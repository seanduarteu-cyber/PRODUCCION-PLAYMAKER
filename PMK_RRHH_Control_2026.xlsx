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rabajadores" sheetId="2" state="visible" r:id="rId4"/>
    <sheet name="Mensual" sheetId="3" state="visible" r:id="rId5"/>
    <sheet name="Contratos" sheetId="4" state="visible" r:id="rId6"/>
    <sheet name="Parametros" sheetId="5" state="visible" r:id="rId7"/>
  </sheets>
  <definedNames>
    <definedName function="false" hidden="true" localSheetId="3" name="_xlnm._FilterDatabase" vbProcedure="false">Contratos!$B$6:$L$506</definedName>
    <definedName function="false" hidden="true" localSheetId="2" name="_xlnm._FilterDatabase" vbProcedure="false">Mensual!$B$6:$U$3006</definedName>
    <definedName function="false" hidden="true" localSheetId="1" name="_xlnm._FilterDatabase" vbProcedure="false">Trabajadores!$B$6:$AF$156</definedName>
    <definedName function="false" hidden="false" name="AFC_INDEF" vbProcedure="false">Parametros!$C$13</definedName>
    <definedName function="false" hidden="false" name="AFC_PF" vbProcedure="false">Parametros!$C$14</definedName>
    <definedName function="false" hidden="false" name="ALERTA_AMARILLA" vbProcedure="false">Parametros!$C$29</definedName>
    <definedName function="false" hidden="false" name="ALERTA_NARANJA" vbProcedure="false">Parametros!$C$28</definedName>
    <definedName function="false" hidden="false" name="ALERTA_ROJA" vbProcedure="false">Parametros!$C$27</definedName>
    <definedName function="false" hidden="false" name="C_CLAVE" vbProcedure="false">Contratos!$P$7:$P$506</definedName>
    <definedName function="false" hidden="false" name="C_CLAVES" vbProcedure="false">Contratos!$S$7:$S$506</definedName>
    <definedName function="false" hidden="false" name="C_DEF" vbProcedure="false">Contratos!$N$7:$N$506</definedName>
    <definedName function="false" hidden="false" name="C_FIRMA" vbProcedure="false">Contratos!$J$7:$J$506</definedName>
    <definedName function="false" hidden="false" name="C_INI" vbProcedure="false">Contratos!$F$7:$F$506</definedName>
    <definedName function="false" hidden="false" name="C_NPF" vbProcedure="false">Contratos!$Q$7:$Q$506</definedName>
    <definedName function="false" hidden="false" name="C_RUT" vbProcedure="false">Contratos!$B$7:$B$506</definedName>
    <definedName function="false" hidden="false" name="C_RUTN" vbProcedure="false">Contratos!$M$7:$M$506</definedName>
    <definedName function="false" hidden="false" name="C_SUELDO" vbProcedure="false">Contratos!$H$7:$H$506</definedName>
    <definedName function="false" hidden="false" name="C_TER" vbProcedure="false">Contratos!$G$7:$G$506</definedName>
    <definedName function="false" hidden="false" name="C_TIPO" vbProcedure="false">Contratos!$E$7:$E$506</definedName>
    <definedName function="false" hidden="false" name="C_TIPODOC" vbProcedure="false">Contratos!$D$7:$D$506</definedName>
    <definedName function="false" hidden="false" name="C_VALID" vbProcedure="false">Contratos!$L$7:$L$506</definedName>
    <definedName function="false" hidden="false" name="FECHA_CORTE" vbProcedure="false">Parametros!$C$7</definedName>
    <definedName function="false" hidden="false" name="FERIADOS" vbProcedure="false">Parametros!$F$26:$F$125</definedName>
    <definedName function="false" hidden="false" name="GRAT_PCT" vbProcedure="false">Parametros!$C$20</definedName>
    <definedName function="false" hidden="false" name="GRAT_TOPE" vbProcedure="false">Parametros!$C$21</definedName>
    <definedName function="false" hidden="false" name="IMM_MES" vbProcedure="false">Parametros!$C$9</definedName>
    <definedName function="false" hidden="false" name="LS_AREAS" vbProcedure="false">Parametros!$J$7:$J$22</definedName>
    <definedName function="false" hidden="false" name="LS_CAUSALES" vbProcedure="false">Parametros!$H$7:$H$12</definedName>
    <definedName function="false" hidden="false" name="LS_MESES" vbProcedure="false">Parametros!$L$7:$L$90</definedName>
    <definedName function="false" hidden="false" name="LS_SINO" vbProcedure="false">Parametros!$I$7:$I$8</definedName>
    <definedName function="false" hidden="false" name="LS_TIPOCONT" vbProcedure="false">Parametros!$G$7:$G$9</definedName>
    <definedName function="false" hidden="false" name="LS_TIPODOC" vbProcedure="false">Parametros!$F$7:$F$10</definedName>
    <definedName function="false" hidden="false" name="MUTUAL" vbProcedure="false">Parametros!$C$15</definedName>
    <definedName function="false" hidden="false" name="M_ANT" vbProcedure="false">Mensual!$K$7:$K$3006</definedName>
    <definedName function="false" hidden="false" name="M_ATR" vbProcedure="false">Mensual!$I$7:$I$3006</definedName>
    <definedName function="false" hidden="false" name="M_CHECK" vbProcedure="false">Mensual!$U$7:$U$3006</definedName>
    <definedName function="false" hidden="false" name="M_COSTO" vbProcedure="false">Mensual!$T$7:$T$3006</definedName>
    <definedName function="false" hidden="false" name="M_FALTAS" vbProcedure="false">Mensual!$E$7:$E$3006</definedName>
    <definedName function="false" hidden="false" name="M_HAB" vbProcedure="false">Mensual!$O$7:$O$3006</definedName>
    <definedName function="false" hidden="false" name="M_HE" vbProcedure="false">Mensual!$J$7:$J$3006</definedName>
    <definedName function="false" hidden="false" name="M_LIC" vbProcedure="false">Mensual!$F$7:$F$3006</definedName>
    <definedName function="false" hidden="false" name="M_LIQ" vbProcedure="false">Mensual!$Q$7:$Q$3006</definedName>
    <definedName function="false" hidden="false" name="M_MES" vbProcedure="false">Mensual!$B$7:$B$3006</definedName>
    <definedName function="false" hidden="false" name="M_PSG" vbProcedure="false">Mensual!$G$7:$G$3006</definedName>
    <definedName function="false" hidden="false" name="M_RUTN" vbProcedure="false">Mensual!$V$7:$V$3006</definedName>
    <definedName function="false" hidden="false" name="M_VAC" vbProcedure="false">Mensual!$H$7:$H$3006</definedName>
    <definedName function="false" hidden="false" name="OBRA_DIAS" vbProcedure="false">Parametros!$C$24</definedName>
    <definedName function="false" hidden="false" name="TASA_EMP" vbProcedure="false">Parametros!$C$12</definedName>
    <definedName function="false" hidden="false" name="TOPE_AFC_UF" vbProcedure="false">Parametros!$C$17</definedName>
    <definedName function="false" hidden="false" name="TOPE_ANIOS" vbProcedure="false">Parametros!$C$23</definedName>
    <definedName function="false" hidden="false" name="TOPE_IAS_UF" vbProcedure="false">Parametros!$C$22</definedName>
    <definedName function="false" hidden="false" name="TOPE_UF" vbProcedure="false">Parametros!$C$16</definedName>
    <definedName function="false" hidden="false" name="T_ACCION" vbProcedure="false">Trabajadores!$X$7:$X$156</definedName>
    <definedName function="false" hidden="false" name="T_CARGO" vbProcedure="false">Trabajadores!$D$7:$D$156</definedName>
    <definedName function="false" hidden="false" name="T_DESP" vbProcedure="false">Trabajadores!$AD$7:$AD$156</definedName>
    <definedName function="false" hidden="false" name="T_DIAS" vbProcedure="false">Trabajadores!$V$7:$V$156</definedName>
    <definedName function="false" hidden="false" name="T_EGR" vbProcedure="false">Trabajadores!$G$7:$G$156</definedName>
    <definedName function="false" hidden="false" name="T_ESTADO" vbProcedure="false">Trabajadores!$O$7:$O$156</definedName>
    <definedName function="false" hidden="false" name="T_FER" vbProcedure="false">Trabajadores!$AB$7:$AB$156</definedName>
    <definedName function="false" hidden="false" name="T_FINV" vbProcedure="false">Trabajadores!$AF$7:$AF$156</definedName>
    <definedName function="false" hidden="false" name="T_ING" vbProcedure="false">Trabajadores!$F$7:$F$156</definedName>
    <definedName function="false" hidden="false" name="T_NOMBRE" vbProcedure="false">Trabajadores!$C$7:$C$156</definedName>
    <definedName function="false" hidden="false" name="T_NPF" vbProcedure="false">Trabajadores!$S$7:$S$156</definedName>
    <definedName function="false" hidden="false" name="T_REN" vbProcedure="false">Trabajadores!$AE$7:$AE$156</definedName>
    <definedName function="false" hidden="false" name="T_RUT" vbProcedure="false">Trabajadores!$B$7:$B$156</definedName>
    <definedName function="false" hidden="false" name="T_RUTN" vbProcedure="false">Trabajadores!$AG$7:$AG$156</definedName>
    <definedName function="false" hidden="false" name="T_SALDO" vbProcedure="false">Trabajadores!$AA$7:$AA$156</definedName>
    <definedName function="false" hidden="false" name="T_SEMAFORO" vbProcedure="false">Trabajadores!$W$7:$W$156</definedName>
    <definedName function="false" hidden="false" name="T_SORT" vbProcedure="false">Trabajadores!$AM$7:$AM$156</definedName>
    <definedName function="false" hidden="false" name="T_TIPO" vbProcedure="false">Trabajadores!$R$7:$R$156</definedName>
    <definedName function="false" hidden="false" name="T_VENCE" vbProcedure="false">Trabajadores!$U$7:$U$156</definedName>
    <definedName function="false" hidden="false" name="UF_MES" vbProcedure="false">Parametros!$C$8</definedName>
    <definedName function="false" hidden="false" name="ULT_MES" vbProcedure="false">Resumen!$O$4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Para trabajadores antiguos: días de vacaciones que ya usaron desde su ingreso hasta antes de usar esta planilla. Desde ahora, las vacaciones de cada mes se anotan en la hoja Mensual.</t>
        </r>
      </text>
    </comment>
    <comment ref="S6" authorId="0">
      <text>
        <r>
          <rPr>
            <sz val="10"/>
            <rFont val="Arial"/>
            <family val="2"/>
          </rPr>
          <t xml:space="preserve">Art. 159 N°4: solo pueden existir 2 contratos a plazo fijo seguidos (el inicial y una renovación). La segunda renovación, o seguir trabajando después del vencimiento, lo convierte en indefinido.</t>
        </r>
      </text>
    </comment>
    <comment ref="Y6" authorId="0">
      <text>
        <r>
          <rPr>
            <sz val="10"/>
            <rFont val="Arial"/>
            <family val="2"/>
          </rPr>
          <t xml:space="preserve">15 días hábiles por año = 1,25 días por mes trabajado (Art. 67). El sábado no se cuenta como día hábil.</t>
        </r>
      </text>
    </comment>
    <comment ref="AB6" authorId="0">
      <text>
        <r>
          <rPr>
            <sz val="10"/>
            <rFont val="Arial"/>
            <family val="2"/>
          </rPr>
          <t xml:space="preserve">Valor del feriado pendiente si el contrato terminara a la fecha de corte: días hábiles convertidos a días corridos (Art. 73) × (sueldo + bono fijo) / 30.</t>
        </r>
      </text>
    </comment>
    <comment ref="AD6" authorId="0">
      <text>
        <r>
          <rPr>
            <sz val="10"/>
            <rFont val="Arial"/>
            <family val="2"/>
          </rPr>
          <t xml:space="preserve">Despido por necesidades de la empresa sin aviso de 30 días: indemnización por años de servicio (30 días por año y fracción &gt; 6 meses, tope 11 años y 90 UF) + mes de aviso + vacaciones pendientes. No descuenta el aporte del empleador al seguro de cesantía (el monto real es algo menor).</t>
        </r>
      </text>
    </comment>
    <comment ref="AF6" authorId="0">
      <text>
        <r>
          <rPr>
            <sz val="10"/>
            <rFont val="Arial"/>
            <family val="2"/>
          </rPr>
          <t xml:space="preserve">Plazo fijo u obra: vacaciones acumuladas hasta el vencimiento (y, para obra o faena, 2,5 días por mes trabajado, Ley 21.122). Vacío si ya está registrada la renovación.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Elija el mes en la lista (queda guardado como día 1 del mes).</t>
        </r>
      </text>
    </comment>
    <comment ref="C6" authorId="0">
      <text>
        <r>
          <rPr>
            <sz val="10"/>
            <rFont val="Arial"/>
            <family val="2"/>
          </rPr>
          <t xml:space="preserve">Puede pegar el RUT con o sin puntos y guion: la planilla lo reconoce igual.</t>
        </r>
      </text>
    </comment>
    <comment ref="I6" authorId="0">
      <text>
        <r>
          <rPr>
            <sz val="10"/>
            <rFont val="Arial"/>
            <family val="2"/>
          </rPr>
          <t xml:space="preserve">Formato horas:minutos (ej. 0:45 = 45 minutos). Si pega desde Workera, copie la columna tal cual.</t>
        </r>
      </text>
    </comment>
    <comment ref="T6" authorId="0">
      <text>
        <r>
          <rPr>
            <sz val="10"/>
            <rFont val="Arial"/>
            <family val="2"/>
          </rPr>
          <t xml:space="preserve">Total haberes + aportes del empleador estimados (cotización previsional, seguro de cesantía y mutual, según Parametros).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Contrato inicial: primer contrato.
Renovación / prórroga: extiende un plazo fijo (2° contrato).
Paso a indefinido: el contrato pasa a indefinido.
Anexo de modificación: cambia sueldo, cargo o jornada sin cambiar el plazo.</t>
        </r>
      </text>
    </comment>
    <comment ref="H6" authorId="0">
      <text>
        <r>
          <rPr>
            <sz val="10"/>
            <rFont val="Arial"/>
            <family val="2"/>
          </rPr>
          <t xml:space="preserve">Escriba el sueldo solo cuando el documento lo fija o lo cambia. La hoja Trabajadores toma el último vigente.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" authorId="0">
      <text>
        <r>
          <rPr>
            <sz val="10"/>
            <rFont val="Arial"/>
            <family val="2"/>
          </rPr>
          <t xml:space="preserve">Fuente: Indicadores Previsionales Previred, octubre 2026 (UF al 31-10-2026).</t>
        </r>
      </text>
    </comment>
    <comment ref="C12" authorId="0">
      <text>
        <r>
          <rPr>
            <sz val="10"/>
            <rFont val="Arial"/>
            <family val="2"/>
          </rPr>
          <t xml:space="preserve">Superintendencia de Pensiones / Hacienda. Para meses anteriores a agosto 2026 el costo empresa queda aproximado.</t>
        </r>
      </text>
    </comment>
  </commentList>
</comments>
</file>

<file path=xl/sharedStrings.xml><?xml version="1.0" encoding="utf-8"?>
<sst xmlns="http://schemas.openxmlformats.org/spreadsheetml/2006/main" count="402" uniqueCount="272">
  <si>
    <t xml:space="preserve">PLAYMAKER — RESUMEN DE RECURSOS HUMANOS</t>
  </si>
  <si>
    <t xml:space="preserve">Contratos por vencer, vacaciones, finiquitos y costos. Todo se calcula solo.</t>
  </si>
  <si>
    <t xml:space="preserve">Fecha de corte:</t>
  </si>
  <si>
    <t xml:space="preserve">TRABAJADORES ACTIVOS</t>
  </si>
  <si>
    <t xml:space="preserve">CONTRATOS INDEFINIDOS</t>
  </si>
  <si>
    <t xml:space="preserve">CONTRATOS A PLAZO FIJO</t>
  </si>
  <si>
    <t xml:space="preserve">CONTRATOS POR OBRA O FAENA</t>
  </si>
  <si>
    <t xml:space="preserve">trabajadores activos</t>
  </si>
  <si>
    <t xml:space="preserve">VENCEN EN ≤ 30 DÍAS</t>
  </si>
  <si>
    <t xml:space="preserve">CONTRATOS VENCIDOS</t>
  </si>
  <si>
    <t xml:space="preserve">DOCUMENTOS SIN FIRMA</t>
  </si>
  <si>
    <t xml:space="preserve">VACACIONES PENDIENTES</t>
  </si>
  <si>
    <t xml:space="preserve">decidir: renovar, indefinido o término</t>
  </si>
  <si>
    <t xml:space="preserve">siguen trabajando con plazo vencido</t>
  </si>
  <si>
    <t xml:space="preserve">contratos o anexos (hoja Contratos)</t>
  </si>
  <si>
    <t xml:space="preserve">COSTO EMPRESA ÚLTIMO MES</t>
  </si>
  <si>
    <t xml:space="preserve">LÍQUIDO PAGADO ÚLTIMO MES</t>
  </si>
  <si>
    <t xml:space="preserve">SI SE DESPIDIERA A TODOS HOY</t>
  </si>
  <si>
    <t xml:space="preserve">FINIQUITOS POR VENCIMIENTO (90 DÍAS)</t>
  </si>
  <si>
    <t xml:space="preserve">indemnizaciones + aviso + vacaciones</t>
  </si>
  <si>
    <t xml:space="preserve">PRÓXIMOS VENCIMIENTOS DE CONTRATO (incluye vencidos)</t>
  </si>
  <si>
    <t xml:space="preserve">N°</t>
  </si>
  <si>
    <t xml:space="preserve">Trabajador</t>
  </si>
  <si>
    <t xml:space="preserve">Cargo</t>
  </si>
  <si>
    <t xml:space="preserve">Tipo</t>
  </si>
  <si>
    <t xml:space="preserve">N° contrato</t>
  </si>
  <si>
    <t xml:space="preserve">Vence</t>
  </si>
  <si>
    <t xml:space="preserve">Días</t>
  </si>
  <si>
    <t xml:space="preserve">Estado</t>
  </si>
  <si>
    <t xml:space="preserve">Qué hacer</t>
  </si>
  <si>
    <t xml:space="preserve">ALERTAS</t>
  </si>
  <si>
    <t xml:space="preserve">Trabajadores con 2° contrato a plazo fijo (no admiten otra renovación a plazo)</t>
  </si>
  <si>
    <t xml:space="preserve">Ver hoja Trabajadores</t>
  </si>
  <si>
    <t xml:space="preserve">Contratos con errores legales (3er plazo fijo, más de 1 año, falta término)</t>
  </si>
  <si>
    <t xml:space="preserve">Ver hoja Contratos</t>
  </si>
  <si>
    <t xml:space="preserve">Trabajadores con más de 30 días hábiles de vacaciones pendientes</t>
  </si>
  <si>
    <t xml:space="preserve">Filas del registro mensual con observaciones (RUT no registrado, liquidación que no cuadra o repetida)</t>
  </si>
  <si>
    <t xml:space="preserve">Ver hoja Mensual</t>
  </si>
  <si>
    <t xml:space="preserve">ÚLTIMOS 12 MESES (desde la hoja Mensual)</t>
  </si>
  <si>
    <t xml:space="preserve">Mes</t>
  </si>
  <si>
    <t xml:space="preserve">Trabajadores a fin de mes</t>
  </si>
  <si>
    <t xml:space="preserve">Días de falta</t>
  </si>
  <si>
    <t xml:space="preserve">Días de licencia</t>
  </si>
  <si>
    <t xml:space="preserve">Atrasos (hh:mm)</t>
  </si>
  <si>
    <t xml:space="preserve">Horas extra</t>
  </si>
  <si>
    <t xml:space="preserve">Anticipos</t>
  </si>
  <si>
    <t xml:space="preserve">Total haberes</t>
  </si>
  <si>
    <t xml:space="preserve">Líquido pagado</t>
  </si>
  <si>
    <t xml:space="preserve">Costo empresa</t>
  </si>
  <si>
    <t xml:space="preserve">TOTAL 12 meses</t>
  </si>
  <si>
    <t xml:space="preserve">CÓMO SE USA</t>
  </si>
  <si>
    <t xml:space="preserve">1. Trabajadores: una fila por persona (RUT, nombre, ingreso, colación, movilización). Cuando alguien se va, escriba la fecha de egreso.</t>
  </si>
  <si>
    <t xml:space="preserve">2. Contratos: cada contrato, renovación o anexo firmado es una fila nueva. De aquí salen el sueldo vigente, el vencimiento y si es 1er o 2° contrato.</t>
  </si>
  <si>
    <t xml:space="preserve">3. Mensual, durante el mes: pegue el reporte de Workera (RUT, faltas, licencias, vacaciones, atrasos, horas extra) y agregue los anticipos a mano.</t>
  </si>
  <si>
    <t xml:space="preserve">4. Para enviar al contador: en Mensual filtre la columna Mes, copie las columnas B a L y envíelas.</t>
  </si>
  <si>
    <t xml:space="preserve">5. Cuando vuelvan las liquidaciones: pegue del libro de la contadora el RUT, sueldo, imponible, haberes, descuentos y líquido (en las mismas filas o en filas nuevas del mes).</t>
  </si>
  <si>
    <t xml:space="preserve">6. Revise este resumen cada semana: contratos por vencer, alertas y costos. Cambie la fecha de corte en Parametros para simular una fecha futura.</t>
  </si>
  <si>
    <t xml:space="preserve">Montos estimados para control y planificación; las liquidaciones y finiquitos oficiales los emite la contadora. Filas "(EJEMPLO)": bórrelas antes de usar.</t>
  </si>
  <si>
    <t xml:space="preserve">PLAYMAKER — TRABAJADORES: CONTRATO, VACACIONES Y FINIQUITO</t>
  </si>
  <si>
    <t xml:space="preserve">Una fila por trabajador. Usted completa las columnas amarillas; el resto se calcula con las hojas Contratos y Mensual.</t>
  </si>
  <si>
    <t xml:space="preserve">Azul sobre amarillo = dato que usted ingresa  |  Verde = automático  |  Filas "(EJEMPLO)": borre su contenido con Supr antes de cargar sus datos — no elimine filas</t>
  </si>
  <si>
    <t xml:space="preserve">DATOS DEL TRABAJADOR</t>
  </si>
  <si>
    <t xml:space="preserve">CONTRATO VIGENTE</t>
  </si>
  <si>
    <t xml:space="preserve">FINIQUITO ESTIMADO A LA FECHA DE CORTE</t>
  </si>
  <si>
    <t xml:space="preserve">RUT</t>
  </si>
  <si>
    <t xml:space="preserve">Nombre</t>
  </si>
  <si>
    <t xml:space="preserve">Área</t>
  </si>
  <si>
    <t xml:space="preserve">Fecha de
ingreso</t>
  </si>
  <si>
    <t xml:space="preserve">Fecha de egreso
(vacío si está activo)</t>
  </si>
  <si>
    <t xml:space="preserve">Causal de egreso</t>
  </si>
  <si>
    <t xml:space="preserve">Colación ($)</t>
  </si>
  <si>
    <t xml:space="preserve">Movilización ($)</t>
  </si>
  <si>
    <t xml:space="preserve">Bono fijo
imponible ($)</t>
  </si>
  <si>
    <t xml:space="preserve">¿Gratificación
mensual Art. 50?</t>
  </si>
  <si>
    <t xml:space="preserve">Vacaciones tomadas
antes de esta
planilla (días)</t>
  </si>
  <si>
    <t xml:space="preserve">Observaciones</t>
  </si>
  <si>
    <t xml:space="preserve">Antigüedad</t>
  </si>
  <si>
    <t xml:space="preserve">Sueldo base
vigente</t>
  </si>
  <si>
    <t xml:space="preserve">Tipo de
contrato</t>
  </si>
  <si>
    <t xml:space="preserve">N° contrato
a plazo</t>
  </si>
  <si>
    <t xml:space="preserve">N°
anexos</t>
  </si>
  <si>
    <t xml:space="preserve">Días para
vencer</t>
  </si>
  <si>
    <t xml:space="preserve">Estado del contrato</t>
  </si>
  <si>
    <t xml:space="preserve">Días
ganados</t>
  </si>
  <si>
    <t xml:space="preserve">Días
tomados</t>
  </si>
  <si>
    <t xml:space="preserve">SALDO
(días hábiles)</t>
  </si>
  <si>
    <t xml:space="preserve">Valor en $</t>
  </si>
  <si>
    <t xml:space="preserve">Años para
indemnización</t>
  </si>
  <si>
    <t xml:space="preserve">Si se le despide
(Art. 161)</t>
  </si>
  <si>
    <t xml:space="preserve">Si renuncia o
mutuo acuerdo</t>
  </si>
  <si>
    <t xml:space="preserve">Al vencer su
contrato
(plazo fijo u obra)</t>
  </si>
  <si>
    <t xml:space="preserve">aux RUT</t>
  </si>
  <si>
    <t xml:space="preserve">aux
inic.</t>
  </si>
  <si>
    <t xml:space="preserve">aux
reg.</t>
  </si>
  <si>
    <t xml:space="preserve">aux
próximo</t>
  </si>
  <si>
    <t xml:space="preserve">aux base
172</t>
  </si>
  <si>
    <t xml:space="preserve">aux base
topada</t>
  </si>
  <si>
    <t xml:space="preserve">aux
orden</t>
  </si>
  <si>
    <t xml:space="preserve">aux saldo
al vencer</t>
  </si>
  <si>
    <t xml:space="preserve">aux fecha
cálculo</t>
  </si>
  <si>
    <t xml:space="preserve">11.111.111-1</t>
  </si>
  <si>
    <t xml:space="preserve">María Soto (EJEMPLO)</t>
  </si>
  <si>
    <t xml:space="preserve">Jefa de Producción</t>
  </si>
  <si>
    <t xml:space="preserve">Producción</t>
  </si>
  <si>
    <t xml:space="preserve">Sí</t>
  </si>
  <si>
    <t xml:space="preserve">Fila de ejemplo</t>
  </si>
  <si>
    <t xml:space="preserve">22.222.222-2</t>
  </si>
  <si>
    <t xml:space="preserve">Juan Pérez (EJEMPLO)</t>
  </si>
  <si>
    <t xml:space="preserve">Operador de sublimación</t>
  </si>
  <si>
    <t xml:space="preserve">Sublimación</t>
  </si>
  <si>
    <t xml:space="preserve">33.333.333-3</t>
  </si>
  <si>
    <t xml:space="preserve">Camila Rojas (EJEMPLO)</t>
  </si>
  <si>
    <t xml:space="preserve">Diseñadora gráfica</t>
  </si>
  <si>
    <t xml:space="preserve">Diseño</t>
  </si>
  <si>
    <t xml:space="preserve">44.444.444-4</t>
  </si>
  <si>
    <t xml:space="preserve">Pedro Muñoz (EJEMPLO)</t>
  </si>
  <si>
    <t xml:space="preserve">Cortador</t>
  </si>
  <si>
    <t xml:space="preserve">Corte</t>
  </si>
  <si>
    <t xml:space="preserve">55.555.555-5</t>
  </si>
  <si>
    <t xml:space="preserve">Ana Díaz (EJEMPLO)</t>
  </si>
  <si>
    <t xml:space="preserve">Costurera</t>
  </si>
  <si>
    <t xml:space="preserve">Confección</t>
  </si>
  <si>
    <t xml:space="preserve">66.666.666-6</t>
  </si>
  <si>
    <t xml:space="preserve">Luis Vega (EJEMPLO)</t>
  </si>
  <si>
    <t xml:space="preserve">Ayudante de despacho</t>
  </si>
  <si>
    <t xml:space="preserve">Despacho</t>
  </si>
  <si>
    <t xml:space="preserve">Art. 159 N°4 – Vencimiento del plazo</t>
  </si>
  <si>
    <t xml:space="preserve">TOTALES (trabajadores activos)</t>
  </si>
  <si>
    <t xml:space="preserve">PLAYMAKER — REGISTRO MENSUAL (asistencia, anticipos y liquidaciones)</t>
  </si>
  <si>
    <t xml:space="preserve">Agregue filas cada mes, nunca borre las anteriores. Puede pegar el reporte de Workera y el libro de la contadora: se cruzan por RUT.</t>
  </si>
  <si>
    <t xml:space="preserve">Azul sobre amarillo = se ingresa o se pega  |  Verde = automático  |  Puede usar una fila por trabajador y mes, o filas separadas para Workera y para el libro: se suman por RUT y mes</t>
  </si>
  <si>
    <t xml:space="preserve">MES Y TRABAJADOR</t>
  </si>
  <si>
    <t xml:space="preserve">ASISTENCIA (reporte de Workera)</t>
  </si>
  <si>
    <t xml:space="preserve">A MANO</t>
  </si>
  <si>
    <t xml:space="preserve">LIQUIDACIÓN (libro de la contadora)</t>
  </si>
  <si>
    <t xml:space="preserve">AUTOMÁTICO</t>
  </si>
  <si>
    <t xml:space="preserve">Nombre (automático)</t>
  </si>
  <si>
    <t xml:space="preserve">Días de
falta</t>
  </si>
  <si>
    <t xml:space="preserve">Días de
licencia</t>
  </si>
  <si>
    <t xml:space="preserve">Días permiso
sin goce</t>
  </si>
  <si>
    <t xml:space="preserve">Días de
vacaciones</t>
  </si>
  <si>
    <t xml:space="preserve">Atrasos
(hh:mm)</t>
  </si>
  <si>
    <t xml:space="preserve">Horas extra
(hh:mm)</t>
  </si>
  <si>
    <t xml:space="preserve">Anticipos ($)</t>
  </si>
  <si>
    <t xml:space="preserve">Préstamos /
otros desc. ($)</t>
  </si>
  <si>
    <t xml:space="preserve">Sueldo base</t>
  </si>
  <si>
    <t xml:space="preserve">Total
imponible</t>
  </si>
  <si>
    <t xml:space="preserve">Total
haberes</t>
  </si>
  <si>
    <t xml:space="preserve">Total
descuentos</t>
  </si>
  <si>
    <t xml:space="preserve">Líquido
a pagar</t>
  </si>
  <si>
    <t xml:space="preserve">Costo empresa
(estimado)</t>
  </si>
  <si>
    <t xml:space="preserve">Control</t>
  </si>
  <si>
    <t xml:space="preserve">Vacaciones 03 al 14-02-2025</t>
  </si>
  <si>
    <t xml:space="preserve">Vacaciones 12 al 23-01-2026</t>
  </si>
  <si>
    <t xml:space="preserve">Vacaciones 02 al 13-02-2026</t>
  </si>
  <si>
    <t xml:space="preserve">Falta injustificada el 14-09</t>
  </si>
  <si>
    <t xml:space="preserve">Licencia 08 al 10-09 · cuota préstamo 2 de 5</t>
  </si>
  <si>
    <t xml:space="preserve">Ingresa el 01-09</t>
  </si>
  <si>
    <t xml:space="preserve">Mes en curso: falta el libro de la contadora</t>
  </si>
  <si>
    <t xml:space="preserve">PLAYMAKER — CONTRATOS Y ANEXOS (historial)</t>
  </si>
  <si>
    <t xml:space="preserve">Una fila por cada documento firmado: contrato, renovación, paso a indefinido o anexo. Nunca borre las filas antiguas.</t>
  </si>
  <si>
    <t xml:space="preserve">Azul sobre amarillo = dato que usted ingresa   |   Verde = cálculo automático (no editar)   |   Encabezado verde = columna automática</t>
  </si>
  <si>
    <t xml:space="preserve">RUT trabajador</t>
  </si>
  <si>
    <t xml:space="preserve">Tipo de documento</t>
  </si>
  <si>
    <t xml:space="preserve">Tipo de contrato</t>
  </si>
  <si>
    <t xml:space="preserve">Inicio</t>
  </si>
  <si>
    <t xml:space="preserve">Término
(plazo fijo u obra)</t>
  </si>
  <si>
    <t xml:space="preserve">Sueldo base ($)
(solo si cambia)</t>
  </si>
  <si>
    <t xml:space="preserve">Detalle (cargo, jornada, cambio)</t>
  </si>
  <si>
    <t xml:space="preserve">¿Firmado?</t>
  </si>
  <si>
    <t xml:space="preserve">Archivo PDF</t>
  </si>
  <si>
    <t xml:space="preserve">Validación</t>
  </si>
  <si>
    <t xml:space="preserve">aux
período</t>
  </si>
  <si>
    <t xml:space="preserve">aux
clave</t>
  </si>
  <si>
    <t xml:space="preserve">aux N°
plazo fijo</t>
  </si>
  <si>
    <t xml:space="preserve">aux N°
sueldo</t>
  </si>
  <si>
    <t xml:space="preserve">aux clave
sueldo</t>
  </si>
  <si>
    <t xml:space="preserve">Contrato inicial</t>
  </si>
  <si>
    <t xml:space="preserve">Plazo fijo</t>
  </si>
  <si>
    <t xml:space="preserve">Operaria de producción</t>
  </si>
  <si>
    <t xml:space="preserve">RRHH/Soto/2021-03_contrato.pdf</t>
  </si>
  <si>
    <t xml:space="preserve">Renovación / prórroga</t>
  </si>
  <si>
    <t xml:space="preserve">Renovación por 3 meses</t>
  </si>
  <si>
    <t xml:space="preserve">RRHH/Soto/2021-06_renovacion.pdf</t>
  </si>
  <si>
    <t xml:space="preserve">Paso a indefinido</t>
  </si>
  <si>
    <t xml:space="preserve">Indefinido</t>
  </si>
  <si>
    <t xml:space="preserve">Pasa a contrato indefinido</t>
  </si>
  <si>
    <t xml:space="preserve">RRHH/Soto/2021-09_indefinido.pdf</t>
  </si>
  <si>
    <t xml:space="preserve">Anexo de modificación</t>
  </si>
  <si>
    <t xml:space="preserve">Ascenso a Jefa de Producción</t>
  </si>
  <si>
    <t xml:space="preserve">RRHH/Soto/2024-03_anexo.pdf</t>
  </si>
  <si>
    <t xml:space="preserve">Reajuste de sueldo</t>
  </si>
  <si>
    <t xml:space="preserve">RRHH/Soto/2026-05_anexo.pdf</t>
  </si>
  <si>
    <t xml:space="preserve">Operador de sublimación, 42 h</t>
  </si>
  <si>
    <t xml:space="preserve">RRHH/Perez/2026-08_contrato.pdf</t>
  </si>
  <si>
    <t xml:space="preserve">Diseñadora gráfica, 42 h</t>
  </si>
  <si>
    <t xml:space="preserve">RRHH/Rojas/2026-03_contrato.pdf</t>
  </si>
  <si>
    <t xml:space="preserve">Renovación por 6 meses (2° contrato)</t>
  </si>
  <si>
    <t xml:space="preserve">RRHH/Rojas/2026-06_renovacion.pdf</t>
  </si>
  <si>
    <t xml:space="preserve">RRHH/Munoz/2023-07_contrato.pdf</t>
  </si>
  <si>
    <t xml:space="preserve">RRHH/Munoz/2025-07_anexo.pdf</t>
  </si>
  <si>
    <t xml:space="preserve">Obra o faena</t>
  </si>
  <si>
    <t xml:space="preserve">Costurera — pedido de uniformes (término estimado)</t>
  </si>
  <si>
    <t xml:space="preserve">No</t>
  </si>
  <si>
    <t xml:space="preserve">RRHH/Vega/2025-11_contrato.pdf</t>
  </si>
  <si>
    <t xml:space="preserve">PLAYMAKER — PARÁMETROS</t>
  </si>
  <si>
    <t xml:space="preserve">Actualice la UF y el sueldo mínimo cuando cambien (Indicadores Previsionales de Previred). Normativa vigente a octubre 2026.</t>
  </si>
  <si>
    <t xml:space="preserve">FECHA Y VALORES DEL MES</t>
  </si>
  <si>
    <t xml:space="preserve">LISTAS DESPLEGABLES</t>
  </si>
  <si>
    <t xml:space="preserve">Fecha de corte (dejar vacío = hoy)</t>
  </si>
  <si>
    <t xml:space="preserve">Escriba una fecha futura para simular contratos, vacaciones y finiquitos a esa fecha</t>
  </si>
  <si>
    <t xml:space="preserve">Causal de término</t>
  </si>
  <si>
    <t xml:space="preserve">Sí / No</t>
  </si>
  <si>
    <t xml:space="preserve">Meses</t>
  </si>
  <si>
    <t xml:space="preserve">Fecha de corte utilizada</t>
  </si>
  <si>
    <t xml:space="preserve">Art. 159 N°1 – Mutuo acuerdo</t>
  </si>
  <si>
    <t xml:space="preserve">UF (último día del mes)</t>
  </si>
  <si>
    <t xml:space="preserve">Previred, octubre 2026</t>
  </si>
  <si>
    <t xml:space="preserve">Art. 159 N°2 – Renuncia voluntaria</t>
  </si>
  <si>
    <t xml:space="preserve">Ingreso mínimo mensual</t>
  </si>
  <si>
    <t xml:space="preserve">Ley 21.830, desde 01-05-2026</t>
  </si>
  <si>
    <t xml:space="preserve">Ploteo / Impresión</t>
  </si>
  <si>
    <t xml:space="preserve">Art. 159 N°5 – Conclusión de la obra o faena</t>
  </si>
  <si>
    <t xml:space="preserve">TASAS DEL EMPLEADOR (para estimar el costo empresa)</t>
  </si>
  <si>
    <t xml:space="preserve">Art. 161 – Necesidades de la empresa</t>
  </si>
  <si>
    <t xml:space="preserve">Cotización previsional del empleador (SIS + reforma de pensiones)</t>
  </si>
  <si>
    <t xml:space="preserve">Ley 21.735: 3,5% desde agosto 2026 (incluye SIS 1,78%); 4,25% desde agosto 2027</t>
  </si>
  <si>
    <t xml:space="preserve">Art. 160 – Despido disciplinario</t>
  </si>
  <si>
    <t xml:space="preserve">Seguro de cesantía empleador – contrato indefinido</t>
  </si>
  <si>
    <t xml:space="preserve">Control de calidad</t>
  </si>
  <si>
    <t xml:space="preserve">Seguro de cesantía empleador – plazo fijo u obra</t>
  </si>
  <si>
    <t xml:space="preserve">Mutual de seguridad (básica 0,90% + adicional + Ley SANNA 0,03%)</t>
  </si>
  <si>
    <t xml:space="preserve">⚠ Sume la tasa adicional de su mutual (aparece en su certificado)</t>
  </si>
  <si>
    <t xml:space="preserve">Ventas</t>
  </si>
  <si>
    <t xml:space="preserve">Tope imponible AFP / salud / mutual (UF)</t>
  </si>
  <si>
    <t xml:space="preserve">Superintendencia de Pensiones, desde 01-02-2026</t>
  </si>
  <si>
    <t xml:space="preserve">Administración</t>
  </si>
  <si>
    <t xml:space="preserve">Tope imponible seguro de cesantía (UF)</t>
  </si>
  <si>
    <t xml:space="preserve">FINIQUITOS Y VACACIONES</t>
  </si>
  <si>
    <t xml:space="preserve">Gratificación Art. 50 (porcentaje)</t>
  </si>
  <si>
    <t xml:space="preserve">Tope mensual de gratificación (4,75 ingresos mínimos / 12)</t>
  </si>
  <si>
    <t xml:space="preserve">Tope de remuneración para indemnizaciones (UF)</t>
  </si>
  <si>
    <t xml:space="preserve">Art. 172 del Código del Trabajo</t>
  </si>
  <si>
    <t xml:space="preserve">Tope de años de servicio</t>
  </si>
  <si>
    <t xml:space="preserve">Art. 163: 30 días por año y fracción superior a 6 meses</t>
  </si>
  <si>
    <t xml:space="preserve">Indemnización por término de obra o faena (días por mes)</t>
  </si>
  <si>
    <t xml:space="preserve">Ley 21.122</t>
  </si>
  <si>
    <t xml:space="preserve">FERIADOS (para contar días hábiles de vacaciones)</t>
  </si>
  <si>
    <t xml:space="preserve">Fecha</t>
  </si>
  <si>
    <t xml:space="preserve">Feriado</t>
  </si>
  <si>
    <t xml:space="preserve">ALERTAS DE VENCIMIENTO</t>
  </si>
  <si>
    <t xml:space="preserve">Año Nuevo</t>
  </si>
  <si>
    <t xml:space="preserve">Rojo: vence en (días)</t>
  </si>
  <si>
    <t xml:space="preserve">Viernes Santo</t>
  </si>
  <si>
    <t xml:space="preserve">Naranja: vence en (días)</t>
  </si>
  <si>
    <t xml:space="preserve">Sábado Santo</t>
  </si>
  <si>
    <t xml:space="preserve">Amarillo: vence en (días)</t>
  </si>
  <si>
    <t xml:space="preserve">Día del Trabajo</t>
  </si>
  <si>
    <t xml:space="preserve">Glorias Navales</t>
  </si>
  <si>
    <t xml:space="preserve">Pueblos Indígenas</t>
  </si>
  <si>
    <t xml:space="preserve">San Pedro y San Pablo</t>
  </si>
  <si>
    <t xml:space="preserve">Virgen del Carmen</t>
  </si>
  <si>
    <t xml:space="preserve">Asunción</t>
  </si>
  <si>
    <t xml:space="preserve">Independencia</t>
  </si>
  <si>
    <t xml:space="preserve">Glorias del Ejército</t>
  </si>
  <si>
    <t xml:space="preserve">Encuentro de Dos Mundos</t>
  </si>
  <si>
    <t xml:space="preserve">Iglesias Evangélicas</t>
  </si>
  <si>
    <t xml:space="preserve">Todos los Santos</t>
  </si>
  <si>
    <t xml:space="preserve">Elecciones</t>
  </si>
  <si>
    <t xml:space="preserve">Inmaculada Concepción</t>
  </si>
  <si>
    <t xml:space="preserve">Elecciones (2ª vuelta)</t>
  </si>
  <si>
    <t xml:space="preserve">Navidad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</si>
</sst>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dd\-mm\-yyyy"/>
    <numFmt numFmtId="166" formatCode="mmm\-yyyy"/>
    <numFmt numFmtId="167" formatCode="0"/>
    <numFmt numFmtId="168" formatCode="&quot;al &quot;dd\-mm\-yyyy"/>
    <numFmt numFmtId="169" formatCode="0&quot; en 2° contrato (no se puede renovar)&quot;"/>
    <numFmt numFmtId="170" formatCode="\$#,##0;[RED]&quot;-$&quot;#,##0;\–"/>
    <numFmt numFmtId="171" formatCode="#,##0.0&quot; días hábiles en total&quot;"/>
    <numFmt numFmtId="172" formatCode="&quot;liquidaciones de &quot;mmm\-yyyy"/>
    <numFmt numFmtId="173" formatCode="0&quot; contrato(s) que vencen&quot;"/>
    <numFmt numFmtId="174" formatCode="General"/>
    <numFmt numFmtId="175" formatCode="0\°"/>
    <numFmt numFmtId="176" formatCode="#,##0;[RED]\-#,##0;\–"/>
    <numFmt numFmtId="177" formatCode="#,##0.0;[RED]\-#,##0.0;\–"/>
    <numFmt numFmtId="178" formatCode="[h]:mm"/>
    <numFmt numFmtId="179" formatCode="#,##0"/>
    <numFmt numFmtId="180" formatCode="0.0"/>
    <numFmt numFmtId="181" formatCode="#,##0.00;[RED]\-#,##0.00;\–"/>
    <numFmt numFmtId="182" formatCode="#,##0.00"/>
    <numFmt numFmtId="183" formatCode="0.0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D6C23"/>
      <name val="Arial"/>
      <family val="0"/>
      <charset val="1"/>
    </font>
    <font>
      <sz val="10"/>
      <color rgb="FF9A9A9A"/>
      <name val="Arial"/>
      <family val="0"/>
      <charset val="1"/>
    </font>
    <font>
      <sz val="9"/>
      <color rgb="FF6B6B6B"/>
      <name val="Arial"/>
      <family val="0"/>
      <charset val="1"/>
    </font>
    <font>
      <b val="true"/>
      <sz val="10"/>
      <color rgb="FF1B7F4A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6B6B6B"/>
      <name val="Arial"/>
      <family val="0"/>
      <charset val="1"/>
    </font>
    <font>
      <b val="true"/>
      <sz val="20"/>
      <color rgb="FF1A1A1A"/>
      <name val="Arial"/>
      <family val="0"/>
      <charset val="1"/>
    </font>
    <font>
      <i val="true"/>
      <sz val="8"/>
      <color rgb="FF6B6B6B"/>
      <name val="Arial"/>
      <family val="0"/>
      <charset val="1"/>
    </font>
    <font>
      <b val="true"/>
      <sz val="11"/>
      <color rgb="FFED6C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1A1A1A"/>
      <name val="Arial"/>
      <family val="0"/>
      <charset val="1"/>
    </font>
    <font>
      <sz val="8"/>
      <color rgb="FF1A1A1A"/>
      <name val="Arial"/>
      <family val="0"/>
      <charset val="1"/>
    </font>
    <font>
      <i val="true"/>
      <u val="single"/>
      <sz val="9"/>
      <color rgb="FF0563C1"/>
      <name val="Arial"/>
      <family val="0"/>
      <charset val="1"/>
    </font>
    <font>
      <b val="true"/>
      <sz val="9"/>
      <color rgb="FF1A1A1A"/>
      <name val="Arial"/>
      <family val="0"/>
      <charset val="1"/>
    </font>
    <font>
      <sz val="9"/>
      <color rgb="FF3A3A3A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1B7F4A"/>
      <name val="Arial"/>
      <family val="0"/>
      <charset val="1"/>
    </font>
    <font>
      <sz val="10"/>
      <name val="Arial"/>
      <family val="2"/>
    </font>
    <font>
      <sz val="10"/>
      <color rgb="FF1A1A1A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1A1A1A"/>
      </patternFill>
    </fill>
    <fill>
      <patternFill patternType="solid">
        <fgColor rgb="FFE8E8E8"/>
        <bgColor rgb="FFE3EEF7"/>
      </patternFill>
    </fill>
    <fill>
      <patternFill patternType="solid">
        <fgColor rgb="FFE3EEF7"/>
        <bgColor rgb="FFE8F3EC"/>
      </patternFill>
    </fill>
    <fill>
      <patternFill patternType="solid">
        <fgColor rgb="FFFDEBD9"/>
        <bgColor rgb="FFFCE4D6"/>
      </patternFill>
    </fill>
    <fill>
      <patternFill patternType="solid">
        <fgColor rgb="FFE8F3EC"/>
        <bgColor rgb="FFE3EEF7"/>
      </patternFill>
    </fill>
    <fill>
      <patternFill patternType="solid">
        <fgColor rgb="FF1A1A1A"/>
        <bgColor rgb="FF003300"/>
      </patternFill>
    </fill>
    <fill>
      <patternFill patternType="solid">
        <fgColor rgb="FF1B5E3B"/>
        <bgColor rgb="FF006100"/>
      </patternFill>
    </fill>
    <fill>
      <patternFill patternType="solid">
        <fgColor rgb="FFFFF3CD"/>
        <bgColor rgb="FFFFF2CC"/>
      </patternFill>
    </fill>
    <fill>
      <patternFill patternType="solid">
        <fgColor rgb="FF305496"/>
        <bgColor rgb="FF0563C1"/>
      </patternFill>
    </fill>
    <fill>
      <patternFill patternType="solid">
        <fgColor rgb="FF7F3F00"/>
        <bgColor rgb="FF9C4A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0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0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0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0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1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11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0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1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11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0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0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0" fillId="5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11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2" fontId="11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11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b val="1"/>
        <color rgb="FFFFFFFF"/>
      </font>
      <fill>
        <patternFill>
          <bgColor rgb="FFFF7C8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4A00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A9A9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5E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7F4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C4A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A9A9A"/>
      </font>
    </dxf>
    <dxf>
      <font>
        <color rgb="FF9C4A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006100"/>
      </font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1B7F4A"/>
      <rgbColor rgb="FFE8E8E8"/>
      <rgbColor rgb="FF878787"/>
      <rgbColor rgb="FF9999FF"/>
      <rgbColor rgb="FF9C4A00"/>
      <rgbColor rgb="FFFFF3CD"/>
      <rgbColor rgb="FFE3EEF7"/>
      <rgbColor rgb="FF660066"/>
      <rgbColor rgb="FFFF7C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1B5E3B"/>
      <rgbColor rgb="FF0000FF"/>
      <rgbColor rgb="FF00CCFF"/>
      <rgbColor rgb="FFE8F3EC"/>
      <rgbColor rgb="FFC6EFCE"/>
      <rgbColor rgb="FFFFF2CC"/>
      <rgbColor rgb="FFFDEBD9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ED6C23"/>
      <rgbColor rgb="FF6B6B6B"/>
      <rgbColor rgb="FF9A9A9A"/>
      <rgbColor rgb="FF003366"/>
      <rgbColor rgb="FF339966"/>
      <rgbColor rgb="FF003300"/>
      <rgbColor rgb="FF1A1A1A"/>
      <rgbColor rgb="FF7F3F00"/>
      <rgbColor rgb="FF993366"/>
      <rgbColor rgb="FF305496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empresa por mes (CLP)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Resumen!L35</c:f>
              <c:strCache>
                <c:ptCount val="1"/>
                <c:pt idx="0">
                  <c:v>Costo empresa</c:v>
                </c:pt>
              </c:strCache>
            </c:strRef>
          </c:tx>
          <c:spPr>
            <a:solidFill>
              <a:srgbClr val="ed6c23"/>
            </a:solidFill>
            <a:ln w="0">
              <a:solidFill>
                <a:srgbClr val="ed6c2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Resumen!$C$36:$C$47</c:f>
              <c:strCache>
                <c:ptCount val="12"/>
                <c:pt idx="0">
                  <c:v>Nov-2025</c:v>
                </c:pt>
                <c:pt idx="1">
                  <c:v>Dec-2025</c:v>
                </c:pt>
                <c:pt idx="2">
                  <c:v>Jan-2026</c:v>
                </c:pt>
                <c:pt idx="3">
                  <c:v>Feb-2026</c:v>
                </c:pt>
                <c:pt idx="4">
                  <c:v>Mar-2026</c:v>
                </c:pt>
                <c:pt idx="5">
                  <c:v>Apr-2026</c:v>
                </c:pt>
                <c:pt idx="6">
                  <c:v>May-2026</c:v>
                </c:pt>
                <c:pt idx="7">
                  <c:v>Jun-2026</c:v>
                </c:pt>
                <c:pt idx="8">
                  <c:v>Jul-2026</c:v>
                </c:pt>
                <c:pt idx="9">
                  <c:v>Aug-2026</c:v>
                </c:pt>
                <c:pt idx="10">
                  <c:v>Sep-2026</c:v>
                </c:pt>
                <c:pt idx="11">
                  <c:v>Oct-2026</c:v>
                </c:pt>
              </c:strCache>
            </c:strRef>
          </c:cat>
          <c:val>
            <c:numRef>
              <c:f>Resumen!$L$36:$L$47</c:f>
              <c:numCache>
                <c:formatCode>\$#,##0;[RED]"-$"#,##0;\–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5980958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0457832"/>
        <c:axId val="29592501"/>
      </c:barChart>
      <c:catAx>
        <c:axId val="1045783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592501"/>
        <c:crosses val="autoZero"/>
        <c:auto val="1"/>
        <c:lblAlgn val="ctr"/>
        <c:lblOffset val="100"/>
        <c:noMultiLvlLbl val="0"/>
      </c:catAx>
      <c:valAx>
        <c:axId val="295925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578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4</xdr:row>
      <xdr:rowOff>0</xdr:rowOff>
    </xdr:from>
    <xdr:to>
      <xdr:col>24</xdr:col>
      <xdr:colOff>255960</xdr:colOff>
      <xdr:row>15</xdr:row>
      <xdr:rowOff>32760</xdr:rowOff>
    </xdr:to>
    <xdr:graphicFrame>
      <xdr:nvGraphicFramePr>
        <xdr:cNvPr id="0" name="Chart 1"/>
        <xdr:cNvGraphicFramePr/>
      </xdr:nvGraphicFramePr>
      <xdr:xfrm>
        <a:off x="12193920" y="8859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MK_RRHH_Control_2026.xlsx" TargetMode="External"/><Relationship Id="rId2" Type="http://schemas.openxmlformats.org/officeDocument/2006/relationships/hyperlink" Target="PMK_RRHH_Control_2026.xlsx" TargetMode="External"/><Relationship Id="rId3" Type="http://schemas.openxmlformats.org/officeDocument/2006/relationships/hyperlink" Target="PMK_RRHH_Control_2026.xlsx" TargetMode="External"/><Relationship Id="rId4" Type="http://schemas.openxmlformats.org/officeDocument/2006/relationships/hyperlink" Target="PMK_RRHH_Control_2026.xlsx" TargetMode="External"/><Relationship Id="rId5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B2:O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8"/>
    <col collapsed="false" customWidth="true" hidden="false" outlineLevel="0" max="11" min="10" style="0" width="14"/>
    <col collapsed="false" customWidth="true" hidden="false" outlineLevel="0" max="13" min="12" style="0" width="15"/>
    <col collapsed="false" customWidth="true" hidden="false" outlineLevel="0" max="14" min="14" style="0" width="3"/>
    <col collapsed="false" customWidth="true" hidden="true" outlineLevel="0" max="15" min="15" style="0" width="13"/>
  </cols>
  <sheetData>
    <row r="2" customFormat="false" ht="24" hidden="false" customHeight="true" outlineLevel="0" collapsed="false">
      <c r="B2" s="1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.75" hidden="false" customHeight="true" outlineLevel="0" collapsed="false">
      <c r="B3" s="3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L4" s="4" t="s">
        <v>2</v>
      </c>
      <c r="M4" s="5" t="n">
        <f aca="false">FECHA_CORTE</f>
        <v>46322</v>
      </c>
      <c r="O4" s="6" t="n">
        <f aca="false">SUMPRODUCT(MAX((M_LIQ&lt;&gt;"")*M_MES))</f>
        <v>46266</v>
      </c>
    </row>
    <row r="5" customFormat="false" ht="15" hidden="false" customHeight="false" outlineLevel="0" collapsed="false">
      <c r="C5" s="7" t="s">
        <v>3</v>
      </c>
      <c r="D5" s="7"/>
      <c r="E5" s="8" t="s">
        <v>4</v>
      </c>
      <c r="F5" s="8"/>
      <c r="G5" s="8"/>
      <c r="H5" s="9" t="s">
        <v>5</v>
      </c>
      <c r="I5" s="9"/>
      <c r="J5" s="9"/>
      <c r="K5" s="10" t="s">
        <v>6</v>
      </c>
      <c r="L5" s="10"/>
      <c r="M5" s="10"/>
    </row>
    <row r="6" customFormat="false" ht="30" hidden="false" customHeight="true" outlineLevel="0" collapsed="false">
      <c r="C6" s="11" t="n">
        <f aca="false">COUNTIF(T_ESTADO,"Activo")</f>
        <v>5</v>
      </c>
      <c r="D6" s="11"/>
      <c r="E6" s="12" t="n">
        <f aca="false">COUNTIFS(T_ESTADO,"Activo",T_TIPO,"Indefinido")</f>
        <v>2</v>
      </c>
      <c r="F6" s="12"/>
      <c r="G6" s="12"/>
      <c r="H6" s="13" t="n">
        <f aca="false">COUNTIFS(T_ESTADO,"Activo",T_TIPO,"Plazo fijo")</f>
        <v>2</v>
      </c>
      <c r="I6" s="13"/>
      <c r="J6" s="13"/>
      <c r="K6" s="14" t="n">
        <f aca="false">COUNTIFS(T_ESTADO,"Activo",T_TIPO,"Obra o faena")</f>
        <v>1</v>
      </c>
      <c r="L6" s="14"/>
      <c r="M6" s="14"/>
    </row>
    <row r="7" customFormat="false" ht="15" hidden="false" customHeight="false" outlineLevel="0" collapsed="false">
      <c r="C7" s="15" t="n">
        <f aca="false">FECHA_CORTE</f>
        <v>46322</v>
      </c>
      <c r="D7" s="15"/>
      <c r="E7" s="16" t="s">
        <v>7</v>
      </c>
      <c r="F7" s="16"/>
      <c r="G7" s="16"/>
      <c r="H7" s="17" t="n">
        <f aca="false">COUNTIFS(T_ESTADO,"Activo",T_TIPO,"Plazo fijo",T_NPF,2)</f>
        <v>1</v>
      </c>
      <c r="I7" s="17"/>
      <c r="J7" s="17"/>
      <c r="K7" s="18" t="s">
        <v>7</v>
      </c>
      <c r="L7" s="18"/>
      <c r="M7" s="18"/>
    </row>
    <row r="9" customFormat="false" ht="15" hidden="false" customHeight="false" outlineLevel="0" collapsed="false">
      <c r="C9" s="7" t="s">
        <v>8</v>
      </c>
      <c r="D9" s="7"/>
      <c r="E9" s="8" t="s">
        <v>9</v>
      </c>
      <c r="F9" s="8"/>
      <c r="G9" s="8"/>
      <c r="H9" s="9" t="s">
        <v>10</v>
      </c>
      <c r="I9" s="9"/>
      <c r="J9" s="9"/>
      <c r="K9" s="10" t="s">
        <v>11</v>
      </c>
      <c r="L9" s="10"/>
      <c r="M9" s="10"/>
    </row>
    <row r="10" customFormat="false" ht="30" hidden="false" customHeight="true" outlineLevel="0" collapsed="false">
      <c r="C10" s="11" t="n">
        <f aca="false">COUNTIFS(T_DIAS,"&gt;=0",T_DIAS,"&lt;="&amp;ALERTA_NARANJA,T_SEMAFORO,"&lt;&gt;Renovación registrada",T_ESTADO,"Activo")</f>
        <v>1</v>
      </c>
      <c r="D10" s="11"/>
      <c r="E10" s="12" t="n">
        <f aca="false">COUNTIF(T_SEMAFORO,"VENCIDO")</f>
        <v>0</v>
      </c>
      <c r="F10" s="12"/>
      <c r="G10" s="12"/>
      <c r="H10" s="13" t="n">
        <f aca="false">COUNTIFS(C_RUT,"&lt;&gt;",C_FIRMA,"&lt;&gt;Sí")</f>
        <v>1</v>
      </c>
      <c r="I10" s="13"/>
      <c r="J10" s="13"/>
      <c r="K10" s="19" t="n">
        <f aca="false">SUM(T_FER)</f>
        <v>2430844</v>
      </c>
      <c r="L10" s="19"/>
      <c r="M10" s="19"/>
    </row>
    <row r="11" customFormat="false" ht="15" hidden="false" customHeight="false" outlineLevel="0" collapsed="false">
      <c r="C11" s="20" t="s">
        <v>12</v>
      </c>
      <c r="D11" s="20"/>
      <c r="E11" s="16" t="s">
        <v>13</v>
      </c>
      <c r="F11" s="16"/>
      <c r="G11" s="16"/>
      <c r="H11" s="21" t="s">
        <v>14</v>
      </c>
      <c r="I11" s="21"/>
      <c r="J11" s="21"/>
      <c r="K11" s="22" t="n">
        <f aca="false">SUM(T_SALDO)</f>
        <v>59.84</v>
      </c>
      <c r="L11" s="22"/>
      <c r="M11" s="22"/>
    </row>
    <row r="13" customFormat="false" ht="15" hidden="false" customHeight="false" outlineLevel="0" collapsed="false">
      <c r="C13" s="7" t="s">
        <v>15</v>
      </c>
      <c r="D13" s="7"/>
      <c r="E13" s="8" t="s">
        <v>16</v>
      </c>
      <c r="F13" s="8"/>
      <c r="G13" s="8"/>
      <c r="H13" s="9" t="s">
        <v>17</v>
      </c>
      <c r="I13" s="9"/>
      <c r="J13" s="9"/>
      <c r="K13" s="10" t="s">
        <v>18</v>
      </c>
      <c r="L13" s="10"/>
      <c r="M13" s="10"/>
    </row>
    <row r="14" customFormat="false" ht="30" hidden="false" customHeight="true" outlineLevel="0" collapsed="false">
      <c r="C14" s="23" t="n">
        <f aca="false">SUMIFS(M_COSTO,M_MES,ULT_MES)</f>
        <v>5980958</v>
      </c>
      <c r="D14" s="23"/>
      <c r="E14" s="24" t="n">
        <f aca="false">SUMIFS(M_LIQ,M_MES,ULT_MES)</f>
        <v>4088042</v>
      </c>
      <c r="F14" s="24"/>
      <c r="G14" s="24"/>
      <c r="H14" s="25" t="n">
        <f aca="false">SUM(T_DESP)</f>
        <v>19932149</v>
      </c>
      <c r="I14" s="25"/>
      <c r="J14" s="25"/>
      <c r="K14" s="19" t="n">
        <f aca="false">SUMIFS(T_FINV,T_VENCE,"&gt;="&amp;FECHA_CORTE,T_VENCE,"&lt;="&amp;FECHA_CORTE+90)</f>
        <v>935583</v>
      </c>
      <c r="L14" s="19"/>
      <c r="M14" s="19"/>
    </row>
    <row r="15" customFormat="false" ht="15" hidden="false" customHeight="false" outlineLevel="0" collapsed="false">
      <c r="C15" s="26" t="n">
        <f aca="false">ULT_MES</f>
        <v>46266</v>
      </c>
      <c r="D15" s="26"/>
      <c r="E15" s="27" t="n">
        <f aca="false">ULT_MES</f>
        <v>46266</v>
      </c>
      <c r="F15" s="27"/>
      <c r="G15" s="27"/>
      <c r="H15" s="21" t="s">
        <v>19</v>
      </c>
      <c r="I15" s="21"/>
      <c r="J15" s="21"/>
      <c r="K15" s="28" t="n">
        <f aca="false">COUNTIFS(T_VENCE,"&gt;="&amp;FECHA_CORTE,T_VENCE,"&lt;="&amp;FECHA_CORTE+90,T_FINV,"&gt;0")</f>
        <v>3</v>
      </c>
      <c r="L15" s="28"/>
      <c r="M15" s="28"/>
    </row>
    <row r="17" customFormat="false" ht="15" hidden="false" customHeight="false" outlineLevel="0" collapsed="false">
      <c r="B17" s="29" t="s">
        <v>20</v>
      </c>
    </row>
    <row r="18" customFormat="false" ht="15" hidden="false" customHeight="false" outlineLevel="0" collapsed="false">
      <c r="B18" s="30" t="s">
        <v>21</v>
      </c>
      <c r="C18" s="30" t="s">
        <v>22</v>
      </c>
      <c r="D18" s="30" t="s">
        <v>23</v>
      </c>
      <c r="E18" s="30" t="s">
        <v>24</v>
      </c>
      <c r="F18" s="30" t="s">
        <v>25</v>
      </c>
      <c r="G18" s="30" t="s">
        <v>26</v>
      </c>
      <c r="H18" s="30" t="s">
        <v>27</v>
      </c>
      <c r="I18" s="30" t="s">
        <v>28</v>
      </c>
      <c r="J18" s="30" t="s">
        <v>29</v>
      </c>
      <c r="K18" s="30"/>
      <c r="L18" s="30"/>
      <c r="M18" s="30"/>
    </row>
    <row r="19" customFormat="false" ht="25.5" hidden="false" customHeight="true" outlineLevel="0" collapsed="false">
      <c r="B19" s="31" t="n">
        <f aca="false">IF($O19="","",1)</f>
        <v>1</v>
      </c>
      <c r="C19" s="31" t="str">
        <f aca="false">IF($O19="","",INDEX(T_NOMBRE,$O19))</f>
        <v>Juan Pérez (EJEMPLO)</v>
      </c>
      <c r="D19" s="31" t="str">
        <f aca="false">IF($O19="","",INDEX(T_CARGO,$O19))</f>
        <v>Operador de sublimación</v>
      </c>
      <c r="E19" s="31" t="str">
        <f aca="false">IF($O19="","",INDEX(T_TIPO,$O19))</f>
        <v>Plazo fijo</v>
      </c>
      <c r="F19" s="32" t="n">
        <f aca="false">IF($O19="","",INDEX(T_NPF,$O19))</f>
        <v>1</v>
      </c>
      <c r="G19" s="33" t="n">
        <f aca="false">IF($O19="","",INDEX(T_VENCE,$O19))</f>
        <v>46328</v>
      </c>
      <c r="H19" s="34" t="n">
        <f aca="false">IF($O19="","",INDEX(T_DIAS,$O19))</f>
        <v>6</v>
      </c>
      <c r="I19" s="35" t="str">
        <f aca="false">IF($O19="","",INDEX(T_SEMAFORO,$O19))</f>
        <v>Vence en ≤ 15 días</v>
      </c>
      <c r="J19" s="36" t="str">
        <f aca="false">IF($O19="","",INDEX(T_ACCION,$O19))</f>
        <v>1er contrato a plazo: renovar (2° contrato), pasar a indefinido o terminar al vencer</v>
      </c>
      <c r="K19" s="36"/>
      <c r="L19" s="36"/>
      <c r="M19" s="36"/>
      <c r="O19" s="0" t="n">
        <f aca="false">IFERROR(MATCH(SMALL(T_SORT,1),T_SORT,0),"")</f>
        <v>2</v>
      </c>
    </row>
    <row r="20" customFormat="false" ht="25.5" hidden="false" customHeight="true" outlineLevel="0" collapsed="false">
      <c r="B20" s="31" t="n">
        <f aca="false">IF($O20="","",2)</f>
        <v>2</v>
      </c>
      <c r="C20" s="31" t="str">
        <f aca="false">IF($O20="","",INDEX(T_NOMBRE,$O20))</f>
        <v>Camila Rojas (EJEMPLO)</v>
      </c>
      <c r="D20" s="31" t="str">
        <f aca="false">IF($O20="","",INDEX(T_CARGO,$O20))</f>
        <v>Diseñadora gráfica</v>
      </c>
      <c r="E20" s="31" t="str">
        <f aca="false">IF($O20="","",INDEX(T_TIPO,$O20))</f>
        <v>Plazo fijo</v>
      </c>
      <c r="F20" s="32" t="n">
        <f aca="false">IF($O20="","",INDEX(T_NPF,$O20))</f>
        <v>2</v>
      </c>
      <c r="G20" s="33" t="n">
        <f aca="false">IF($O20="","",INDEX(T_VENCE,$O20))</f>
        <v>46371</v>
      </c>
      <c r="H20" s="34" t="n">
        <f aca="false">IF($O20="","",INDEX(T_DIAS,$O20))</f>
        <v>49</v>
      </c>
      <c r="I20" s="35" t="str">
        <f aca="false">IF($O20="","",INDEX(T_SEMAFORO,$O20))</f>
        <v>Vence en ≤ 60 días</v>
      </c>
      <c r="J20" s="36" t="str">
        <f aca="false">IF($O20="","",INDEX(T_ACCION,$O20))</f>
        <v>2° contrato a plazo: NO se puede renovar otra vez a plazo fijo. Pasar a indefinido o terminar al vencer</v>
      </c>
      <c r="K20" s="36"/>
      <c r="L20" s="36"/>
      <c r="M20" s="36"/>
      <c r="O20" s="0" t="n">
        <f aca="false">IFERROR(MATCH(SMALL(T_SORT,2),T_SORT,0),"")</f>
        <v>3</v>
      </c>
    </row>
    <row r="21" customFormat="false" ht="25.5" hidden="false" customHeight="true" outlineLevel="0" collapsed="false">
      <c r="B21" s="31" t="n">
        <f aca="false">IF($O21="","",3)</f>
        <v>3</v>
      </c>
      <c r="C21" s="31" t="str">
        <f aca="false">IF($O21="","",INDEX(T_NOMBRE,$O21))</f>
        <v>Ana Díaz (EJEMPLO)</v>
      </c>
      <c r="D21" s="31" t="str">
        <f aca="false">IF($O21="","",INDEX(T_CARGO,$O21))</f>
        <v>Costurera</v>
      </c>
      <c r="E21" s="31" t="str">
        <f aca="false">IF($O21="","",INDEX(T_TIPO,$O21))</f>
        <v>Obra o faena</v>
      </c>
      <c r="F21" s="32" t="str">
        <f aca="false">IF($O21="","",INDEX(T_NPF,$O21))</f>
        <v/>
      </c>
      <c r="G21" s="33" t="n">
        <f aca="false">IF($O21="","",INDEX(T_VENCE,$O21))</f>
        <v>46387</v>
      </c>
      <c r="H21" s="34" t="n">
        <f aca="false">IF($O21="","",INDEX(T_DIAS,$O21))</f>
        <v>65</v>
      </c>
      <c r="I21" s="35" t="str">
        <f aca="false">IF($O21="","",INDEX(T_SEMAFORO,$O21))</f>
        <v>Vigente</v>
      </c>
      <c r="J21" s="36" t="str">
        <f aca="false">IF($O21="","",INDEX(T_ACCION,$O21))</f>
        <v>Al terminar la obra: finiquito + 2,5 días de sueldo por mes trabajado</v>
      </c>
      <c r="K21" s="36"/>
      <c r="L21" s="36"/>
      <c r="M21" s="36"/>
      <c r="O21" s="0" t="n">
        <f aca="false">IFERROR(MATCH(SMALL(T_SORT,3),T_SORT,0),"")</f>
        <v>5</v>
      </c>
    </row>
    <row r="22" customFormat="false" ht="25.5" hidden="false" customHeight="true" outlineLevel="0" collapsed="false">
      <c r="B22" s="31" t="str">
        <f aca="false">IF($O22="","",4)</f>
        <v/>
      </c>
      <c r="C22" s="31" t="str">
        <f aca="false">IF($O22="","",INDEX(T_NOMBRE,$O22))</f>
        <v/>
      </c>
      <c r="D22" s="31" t="str">
        <f aca="false">IF($O22="","",INDEX(T_CARGO,$O22))</f>
        <v/>
      </c>
      <c r="E22" s="31" t="str">
        <f aca="false">IF($O22="","",INDEX(T_TIPO,$O22))</f>
        <v/>
      </c>
      <c r="F22" s="32" t="str">
        <f aca="false">IF($O22="","",INDEX(T_NPF,$O22))</f>
        <v/>
      </c>
      <c r="G22" s="33" t="str">
        <f aca="false">IF($O22="","",INDEX(T_VENCE,$O22))</f>
        <v/>
      </c>
      <c r="H22" s="34" t="str">
        <f aca="false">IF($O22="","",INDEX(T_DIAS,$O22))</f>
        <v/>
      </c>
      <c r="I22" s="35" t="str">
        <f aca="false">IF($O22="","",INDEX(T_SEMAFORO,$O22))</f>
        <v/>
      </c>
      <c r="J22" s="36" t="str">
        <f aca="false">IF($O22="","",INDEX(T_ACCION,$O22))</f>
        <v/>
      </c>
      <c r="K22" s="36"/>
      <c r="L22" s="36"/>
      <c r="M22" s="36"/>
      <c r="O22" s="0" t="str">
        <f aca="false">IFERROR(MATCH(SMALL(T_SORT,4),T_SORT,0),"")</f>
        <v/>
      </c>
    </row>
    <row r="23" customFormat="false" ht="25.5" hidden="false" customHeight="true" outlineLevel="0" collapsed="false">
      <c r="B23" s="31" t="str">
        <f aca="false">IF($O23="","",5)</f>
        <v/>
      </c>
      <c r="C23" s="31" t="str">
        <f aca="false">IF($O23="","",INDEX(T_NOMBRE,$O23))</f>
        <v/>
      </c>
      <c r="D23" s="31" t="str">
        <f aca="false">IF($O23="","",INDEX(T_CARGO,$O23))</f>
        <v/>
      </c>
      <c r="E23" s="31" t="str">
        <f aca="false">IF($O23="","",INDEX(T_TIPO,$O23))</f>
        <v/>
      </c>
      <c r="F23" s="32" t="str">
        <f aca="false">IF($O23="","",INDEX(T_NPF,$O23))</f>
        <v/>
      </c>
      <c r="G23" s="33" t="str">
        <f aca="false">IF($O23="","",INDEX(T_VENCE,$O23))</f>
        <v/>
      </c>
      <c r="H23" s="34" t="str">
        <f aca="false">IF($O23="","",INDEX(T_DIAS,$O23))</f>
        <v/>
      </c>
      <c r="I23" s="35" t="str">
        <f aca="false">IF($O23="","",INDEX(T_SEMAFORO,$O23))</f>
        <v/>
      </c>
      <c r="J23" s="36" t="str">
        <f aca="false">IF($O23="","",INDEX(T_ACCION,$O23))</f>
        <v/>
      </c>
      <c r="K23" s="36"/>
      <c r="L23" s="36"/>
      <c r="M23" s="36"/>
      <c r="O23" s="0" t="str">
        <f aca="false">IFERROR(MATCH(SMALL(T_SORT,5),T_SORT,0),"")</f>
        <v/>
      </c>
    </row>
    <row r="24" customFormat="false" ht="25.5" hidden="false" customHeight="true" outlineLevel="0" collapsed="false">
      <c r="B24" s="31" t="str">
        <f aca="false">IF($O24="","",6)</f>
        <v/>
      </c>
      <c r="C24" s="31" t="str">
        <f aca="false">IF($O24="","",INDEX(T_NOMBRE,$O24))</f>
        <v/>
      </c>
      <c r="D24" s="31" t="str">
        <f aca="false">IF($O24="","",INDEX(T_CARGO,$O24))</f>
        <v/>
      </c>
      <c r="E24" s="31" t="str">
        <f aca="false">IF($O24="","",INDEX(T_TIPO,$O24))</f>
        <v/>
      </c>
      <c r="F24" s="32" t="str">
        <f aca="false">IF($O24="","",INDEX(T_NPF,$O24))</f>
        <v/>
      </c>
      <c r="G24" s="33" t="str">
        <f aca="false">IF($O24="","",INDEX(T_VENCE,$O24))</f>
        <v/>
      </c>
      <c r="H24" s="34" t="str">
        <f aca="false">IF($O24="","",INDEX(T_DIAS,$O24))</f>
        <v/>
      </c>
      <c r="I24" s="35" t="str">
        <f aca="false">IF($O24="","",INDEX(T_SEMAFORO,$O24))</f>
        <v/>
      </c>
      <c r="J24" s="36" t="str">
        <f aca="false">IF($O24="","",INDEX(T_ACCION,$O24))</f>
        <v/>
      </c>
      <c r="K24" s="36"/>
      <c r="L24" s="36"/>
      <c r="M24" s="36"/>
      <c r="O24" s="0" t="str">
        <f aca="false">IFERROR(MATCH(SMALL(T_SORT,6),T_SORT,0),"")</f>
        <v/>
      </c>
    </row>
    <row r="25" customFormat="false" ht="25.5" hidden="false" customHeight="true" outlineLevel="0" collapsed="false">
      <c r="B25" s="31" t="str">
        <f aca="false">IF($O25="","",7)</f>
        <v/>
      </c>
      <c r="C25" s="31" t="str">
        <f aca="false">IF($O25="","",INDEX(T_NOMBRE,$O25))</f>
        <v/>
      </c>
      <c r="D25" s="31" t="str">
        <f aca="false">IF($O25="","",INDEX(T_CARGO,$O25))</f>
        <v/>
      </c>
      <c r="E25" s="31" t="str">
        <f aca="false">IF($O25="","",INDEX(T_TIPO,$O25))</f>
        <v/>
      </c>
      <c r="F25" s="32" t="str">
        <f aca="false">IF($O25="","",INDEX(T_NPF,$O25))</f>
        <v/>
      </c>
      <c r="G25" s="33" t="str">
        <f aca="false">IF($O25="","",INDEX(T_VENCE,$O25))</f>
        <v/>
      </c>
      <c r="H25" s="34" t="str">
        <f aca="false">IF($O25="","",INDEX(T_DIAS,$O25))</f>
        <v/>
      </c>
      <c r="I25" s="35" t="str">
        <f aca="false">IF($O25="","",INDEX(T_SEMAFORO,$O25))</f>
        <v/>
      </c>
      <c r="J25" s="36" t="str">
        <f aca="false">IF($O25="","",INDEX(T_ACCION,$O25))</f>
        <v/>
      </c>
      <c r="K25" s="36"/>
      <c r="L25" s="36"/>
      <c r="M25" s="36"/>
      <c r="O25" s="0" t="str">
        <f aca="false">IFERROR(MATCH(SMALL(T_SORT,7),T_SORT,0),"")</f>
        <v/>
      </c>
    </row>
    <row r="26" customFormat="false" ht="25.5" hidden="false" customHeight="true" outlineLevel="0" collapsed="false">
      <c r="B26" s="31" t="str">
        <f aca="false">IF($O26="","",8)</f>
        <v/>
      </c>
      <c r="C26" s="31" t="str">
        <f aca="false">IF($O26="","",INDEX(T_NOMBRE,$O26))</f>
        <v/>
      </c>
      <c r="D26" s="31" t="str">
        <f aca="false">IF($O26="","",INDEX(T_CARGO,$O26))</f>
        <v/>
      </c>
      <c r="E26" s="31" t="str">
        <f aca="false">IF($O26="","",INDEX(T_TIPO,$O26))</f>
        <v/>
      </c>
      <c r="F26" s="32" t="str">
        <f aca="false">IF($O26="","",INDEX(T_NPF,$O26))</f>
        <v/>
      </c>
      <c r="G26" s="33" t="str">
        <f aca="false">IF($O26="","",INDEX(T_VENCE,$O26))</f>
        <v/>
      </c>
      <c r="H26" s="34" t="str">
        <f aca="false">IF($O26="","",INDEX(T_DIAS,$O26))</f>
        <v/>
      </c>
      <c r="I26" s="35" t="str">
        <f aca="false">IF($O26="","",INDEX(T_SEMAFORO,$O26))</f>
        <v/>
      </c>
      <c r="J26" s="36" t="str">
        <f aca="false">IF($O26="","",INDEX(T_ACCION,$O26))</f>
        <v/>
      </c>
      <c r="K26" s="36"/>
      <c r="L26" s="36"/>
      <c r="M26" s="36"/>
      <c r="O26" s="0" t="str">
        <f aca="false">IFERROR(MATCH(SMALL(T_SORT,8),T_SORT,0),"")</f>
        <v/>
      </c>
    </row>
    <row r="28" customFormat="false" ht="15" hidden="false" customHeight="false" outlineLevel="0" collapsed="false">
      <c r="B28" s="29" t="s">
        <v>30</v>
      </c>
    </row>
    <row r="29" customFormat="false" ht="15" hidden="false" customHeight="false" outlineLevel="0" collapsed="false">
      <c r="C29" s="37" t="s">
        <v>31</v>
      </c>
      <c r="D29" s="37"/>
      <c r="E29" s="37"/>
      <c r="F29" s="37"/>
      <c r="G29" s="37"/>
      <c r="H29" s="37"/>
      <c r="I29" s="38" t="n">
        <f aca="false">COUNTIFS(T_ESTADO,"Activo",T_TIPO,"Plazo fijo",T_NPF,2)</f>
        <v>1</v>
      </c>
      <c r="J29" s="39" t="s">
        <v>32</v>
      </c>
      <c r="K29" s="39"/>
      <c r="L29" s="39"/>
      <c r="M29" s="39"/>
    </row>
    <row r="30" customFormat="false" ht="15" hidden="false" customHeight="false" outlineLevel="0" collapsed="false">
      <c r="C30" s="37" t="s">
        <v>33</v>
      </c>
      <c r="D30" s="37"/>
      <c r="E30" s="37"/>
      <c r="F30" s="37"/>
      <c r="G30" s="37"/>
      <c r="H30" s="37"/>
      <c r="I30" s="38" t="n">
        <f aca="false">COUNTIF(C_VALID,"⚠*")</f>
        <v>0</v>
      </c>
      <c r="J30" s="39" t="s">
        <v>34</v>
      </c>
      <c r="K30" s="39"/>
      <c r="L30" s="39"/>
      <c r="M30" s="39"/>
    </row>
    <row r="31" customFormat="false" ht="15" hidden="false" customHeight="false" outlineLevel="0" collapsed="false">
      <c r="C31" s="37" t="s">
        <v>35</v>
      </c>
      <c r="D31" s="37"/>
      <c r="E31" s="37"/>
      <c r="F31" s="37"/>
      <c r="G31" s="37"/>
      <c r="H31" s="37"/>
      <c r="I31" s="38" t="n">
        <f aca="false">COUNTIF(T_SALDO,"&gt;30")</f>
        <v>0</v>
      </c>
      <c r="J31" s="39" t="s">
        <v>32</v>
      </c>
      <c r="K31" s="39"/>
      <c r="L31" s="39"/>
      <c r="M31" s="39"/>
    </row>
    <row r="32" customFormat="false" ht="15" hidden="false" customHeight="false" outlineLevel="0" collapsed="false">
      <c r="C32" s="37" t="s">
        <v>36</v>
      </c>
      <c r="D32" s="37"/>
      <c r="E32" s="37"/>
      <c r="F32" s="37"/>
      <c r="G32" s="37"/>
      <c r="H32" s="37"/>
      <c r="I32" s="38" t="n">
        <f aca="false">COUNTIF(M_CHECK,"⚠*")</f>
        <v>0</v>
      </c>
      <c r="J32" s="39" t="s">
        <v>37</v>
      </c>
      <c r="K32" s="39"/>
      <c r="L32" s="39"/>
      <c r="M32" s="39"/>
    </row>
    <row r="34" customFormat="false" ht="15" hidden="false" customHeight="false" outlineLevel="0" collapsed="false">
      <c r="B34" s="29" t="s">
        <v>38</v>
      </c>
    </row>
    <row r="35" customFormat="false" ht="30" hidden="false" customHeight="true" outlineLevel="0" collapsed="false">
      <c r="C35" s="40" t="s">
        <v>39</v>
      </c>
      <c r="D35" s="40" t="s">
        <v>40</v>
      </c>
      <c r="E35" s="40" t="s">
        <v>41</v>
      </c>
      <c r="F35" s="40" t="s">
        <v>42</v>
      </c>
      <c r="G35" s="40" t="s">
        <v>43</v>
      </c>
      <c r="H35" s="40" t="s">
        <v>44</v>
      </c>
      <c r="I35" s="40" t="s">
        <v>45</v>
      </c>
      <c r="J35" s="40" t="s">
        <v>46</v>
      </c>
      <c r="K35" s="40" t="s">
        <v>47</v>
      </c>
      <c r="L35" s="40" t="s">
        <v>48</v>
      </c>
    </row>
    <row r="36" customFormat="false" ht="15" hidden="false" customHeight="false" outlineLevel="0" collapsed="false">
      <c r="C36" s="41" t="n">
        <f aca="false">EDATE(DATE(YEAR(FECHA_CORTE),MONTH(FECHA_CORTE),1),-11)</f>
        <v>45962</v>
      </c>
      <c r="D36" s="42" t="n">
        <f aca="false">COUNTIFS(T_ING,"&lt;="&amp;EOMONTH(C36,0))-COUNTIFS(T_ING,"&lt;="&amp;EOMONTH(C36,0),T_EGR,"&lt;"&amp;EOMONTH(C36,0))</f>
        <v>3</v>
      </c>
      <c r="E36" s="43" t="n">
        <f aca="false">SUMIFS(M_FALTAS,M_MES,C36)</f>
        <v>0</v>
      </c>
      <c r="F36" s="43" t="n">
        <f aca="false">SUMIFS(M_LIC,M_MES,C36)</f>
        <v>0</v>
      </c>
      <c r="G36" s="44" t="n">
        <f aca="false">SUMIFS(M_ATR,M_MES,C36)</f>
        <v>0</v>
      </c>
      <c r="H36" s="44" t="n">
        <f aca="false">SUMIFS(M_HE,M_MES,C36)</f>
        <v>0</v>
      </c>
      <c r="I36" s="45" t="n">
        <f aca="false">SUMIFS(M_ANT,M_MES,C36)</f>
        <v>0</v>
      </c>
      <c r="J36" s="45" t="n">
        <f aca="false">SUMIFS(M_HAB,M_MES,C36)</f>
        <v>0</v>
      </c>
      <c r="K36" s="45" t="n">
        <f aca="false">SUMIFS(M_LIQ,M_MES,C36)</f>
        <v>0</v>
      </c>
      <c r="L36" s="45" t="n">
        <f aca="false">SUMIFS(M_COSTO,M_MES,C36)</f>
        <v>0</v>
      </c>
    </row>
    <row r="37" customFormat="false" ht="15" hidden="false" customHeight="false" outlineLevel="0" collapsed="false">
      <c r="C37" s="41" t="n">
        <f aca="false">EDATE(DATE(YEAR(FECHA_CORTE),MONTH(FECHA_CORTE),1),-10)</f>
        <v>45992</v>
      </c>
      <c r="D37" s="42" t="n">
        <f aca="false">COUNTIFS(T_ING,"&lt;="&amp;EOMONTH(C37,0))-COUNTIFS(T_ING,"&lt;="&amp;EOMONTH(C37,0),T_EGR,"&lt;"&amp;EOMONTH(C37,0))</f>
        <v>3</v>
      </c>
      <c r="E37" s="43" t="n">
        <f aca="false">SUMIFS(M_FALTAS,M_MES,C37)</f>
        <v>0</v>
      </c>
      <c r="F37" s="43" t="n">
        <f aca="false">SUMIFS(M_LIC,M_MES,C37)</f>
        <v>0</v>
      </c>
      <c r="G37" s="44" t="n">
        <f aca="false">SUMIFS(M_ATR,M_MES,C37)</f>
        <v>0</v>
      </c>
      <c r="H37" s="44" t="n">
        <f aca="false">SUMIFS(M_HE,M_MES,C37)</f>
        <v>0</v>
      </c>
      <c r="I37" s="45" t="n">
        <f aca="false">SUMIFS(M_ANT,M_MES,C37)</f>
        <v>0</v>
      </c>
      <c r="J37" s="45" t="n">
        <f aca="false">SUMIFS(M_HAB,M_MES,C37)</f>
        <v>0</v>
      </c>
      <c r="K37" s="45" t="n">
        <f aca="false">SUMIFS(M_LIQ,M_MES,C37)</f>
        <v>0</v>
      </c>
      <c r="L37" s="45" t="n">
        <f aca="false">SUMIFS(M_COSTO,M_MES,C37)</f>
        <v>0</v>
      </c>
    </row>
    <row r="38" customFormat="false" ht="15" hidden="false" customHeight="false" outlineLevel="0" collapsed="false">
      <c r="C38" s="41" t="n">
        <f aca="false">EDATE(DATE(YEAR(FECHA_CORTE),MONTH(FECHA_CORTE),1),-9)</f>
        <v>46023</v>
      </c>
      <c r="D38" s="42" t="n">
        <f aca="false">COUNTIFS(T_ING,"&lt;="&amp;EOMONTH(C38,0))-COUNTIFS(T_ING,"&lt;="&amp;EOMONTH(C38,0),T_EGR,"&lt;"&amp;EOMONTH(C38,0))</f>
        <v>3</v>
      </c>
      <c r="E38" s="43" t="n">
        <f aca="false">SUMIFS(M_FALTAS,M_MES,C38)</f>
        <v>0</v>
      </c>
      <c r="F38" s="43" t="n">
        <f aca="false">SUMIFS(M_LIC,M_MES,C38)</f>
        <v>0</v>
      </c>
      <c r="G38" s="44" t="n">
        <f aca="false">SUMIFS(M_ATR,M_MES,C38)</f>
        <v>0</v>
      </c>
      <c r="H38" s="44" t="n">
        <f aca="false">SUMIFS(M_HE,M_MES,C38)</f>
        <v>0</v>
      </c>
      <c r="I38" s="45" t="n">
        <f aca="false">SUMIFS(M_ANT,M_MES,C38)</f>
        <v>0</v>
      </c>
      <c r="J38" s="45" t="n">
        <f aca="false">SUMIFS(M_HAB,M_MES,C38)</f>
        <v>0</v>
      </c>
      <c r="K38" s="45" t="n">
        <f aca="false">SUMIFS(M_LIQ,M_MES,C38)</f>
        <v>0</v>
      </c>
      <c r="L38" s="45" t="n">
        <f aca="false">SUMIFS(M_COSTO,M_MES,C38)</f>
        <v>0</v>
      </c>
    </row>
    <row r="39" customFormat="false" ht="15" hidden="false" customHeight="false" outlineLevel="0" collapsed="false">
      <c r="C39" s="41" t="n">
        <f aca="false">EDATE(DATE(YEAR(FECHA_CORTE),MONTH(FECHA_CORTE),1),-8)</f>
        <v>46054</v>
      </c>
      <c r="D39" s="42" t="n">
        <f aca="false">COUNTIFS(T_ING,"&lt;="&amp;EOMONTH(C39,0))-COUNTIFS(T_ING,"&lt;="&amp;EOMONTH(C39,0),T_EGR,"&lt;"&amp;EOMONTH(C39,0))</f>
        <v>2</v>
      </c>
      <c r="E39" s="43" t="n">
        <f aca="false">SUMIFS(M_FALTAS,M_MES,C39)</f>
        <v>0</v>
      </c>
      <c r="F39" s="43" t="n">
        <f aca="false">SUMIFS(M_LIC,M_MES,C39)</f>
        <v>0</v>
      </c>
      <c r="G39" s="44" t="n">
        <f aca="false">SUMIFS(M_ATR,M_MES,C39)</f>
        <v>0</v>
      </c>
      <c r="H39" s="44" t="n">
        <f aca="false">SUMIFS(M_HE,M_MES,C39)</f>
        <v>0</v>
      </c>
      <c r="I39" s="45" t="n">
        <f aca="false">SUMIFS(M_ANT,M_MES,C39)</f>
        <v>0</v>
      </c>
      <c r="J39" s="45" t="n">
        <f aca="false">SUMIFS(M_HAB,M_MES,C39)</f>
        <v>0</v>
      </c>
      <c r="K39" s="45" t="n">
        <f aca="false">SUMIFS(M_LIQ,M_MES,C39)</f>
        <v>0</v>
      </c>
      <c r="L39" s="45" t="n">
        <f aca="false">SUMIFS(M_COSTO,M_MES,C39)</f>
        <v>0</v>
      </c>
    </row>
    <row r="40" customFormat="false" ht="15" hidden="false" customHeight="false" outlineLevel="0" collapsed="false">
      <c r="C40" s="41" t="n">
        <f aca="false">EDATE(DATE(YEAR(FECHA_CORTE),MONTH(FECHA_CORTE),1),-7)</f>
        <v>46082</v>
      </c>
      <c r="D40" s="42" t="n">
        <f aca="false">COUNTIFS(T_ING,"&lt;="&amp;EOMONTH(C40,0))-COUNTIFS(T_ING,"&lt;="&amp;EOMONTH(C40,0),T_EGR,"&lt;"&amp;EOMONTH(C40,0))</f>
        <v>3</v>
      </c>
      <c r="E40" s="43" t="n">
        <f aca="false">SUMIFS(M_FALTAS,M_MES,C40)</f>
        <v>0</v>
      </c>
      <c r="F40" s="43" t="n">
        <f aca="false">SUMIFS(M_LIC,M_MES,C40)</f>
        <v>0</v>
      </c>
      <c r="G40" s="44" t="n">
        <f aca="false">SUMIFS(M_ATR,M_MES,C40)</f>
        <v>0</v>
      </c>
      <c r="H40" s="44" t="n">
        <f aca="false">SUMIFS(M_HE,M_MES,C40)</f>
        <v>0</v>
      </c>
      <c r="I40" s="45" t="n">
        <f aca="false">SUMIFS(M_ANT,M_MES,C40)</f>
        <v>0</v>
      </c>
      <c r="J40" s="45" t="n">
        <f aca="false">SUMIFS(M_HAB,M_MES,C40)</f>
        <v>0</v>
      </c>
      <c r="K40" s="45" t="n">
        <f aca="false">SUMIFS(M_LIQ,M_MES,C40)</f>
        <v>0</v>
      </c>
      <c r="L40" s="45" t="n">
        <f aca="false">SUMIFS(M_COSTO,M_MES,C40)</f>
        <v>0</v>
      </c>
    </row>
    <row r="41" customFormat="false" ht="15" hidden="false" customHeight="false" outlineLevel="0" collapsed="false">
      <c r="C41" s="41" t="n">
        <f aca="false">EDATE(DATE(YEAR(FECHA_CORTE),MONTH(FECHA_CORTE),1),-6)</f>
        <v>46113</v>
      </c>
      <c r="D41" s="42" t="n">
        <f aca="false">COUNTIFS(T_ING,"&lt;="&amp;EOMONTH(C41,0))-COUNTIFS(T_ING,"&lt;="&amp;EOMONTH(C41,0),T_EGR,"&lt;"&amp;EOMONTH(C41,0))</f>
        <v>3</v>
      </c>
      <c r="E41" s="43" t="n">
        <f aca="false">SUMIFS(M_FALTAS,M_MES,C41)</f>
        <v>0</v>
      </c>
      <c r="F41" s="43" t="n">
        <f aca="false">SUMIFS(M_LIC,M_MES,C41)</f>
        <v>0</v>
      </c>
      <c r="G41" s="44" t="n">
        <f aca="false">SUMIFS(M_ATR,M_MES,C41)</f>
        <v>0</v>
      </c>
      <c r="H41" s="44" t="n">
        <f aca="false">SUMIFS(M_HE,M_MES,C41)</f>
        <v>0</v>
      </c>
      <c r="I41" s="45" t="n">
        <f aca="false">SUMIFS(M_ANT,M_MES,C41)</f>
        <v>0</v>
      </c>
      <c r="J41" s="45" t="n">
        <f aca="false">SUMIFS(M_HAB,M_MES,C41)</f>
        <v>0</v>
      </c>
      <c r="K41" s="45" t="n">
        <f aca="false">SUMIFS(M_LIQ,M_MES,C41)</f>
        <v>0</v>
      </c>
      <c r="L41" s="45" t="n">
        <f aca="false">SUMIFS(M_COSTO,M_MES,C41)</f>
        <v>0</v>
      </c>
    </row>
    <row r="42" customFormat="false" ht="15" hidden="false" customHeight="false" outlineLevel="0" collapsed="false">
      <c r="C42" s="41" t="n">
        <f aca="false">EDATE(DATE(YEAR(FECHA_CORTE),MONTH(FECHA_CORTE),1),-5)</f>
        <v>46143</v>
      </c>
      <c r="D42" s="42" t="n">
        <f aca="false">COUNTIFS(T_ING,"&lt;="&amp;EOMONTH(C42,0))-COUNTIFS(T_ING,"&lt;="&amp;EOMONTH(C42,0),T_EGR,"&lt;"&amp;EOMONTH(C42,0))</f>
        <v>3</v>
      </c>
      <c r="E42" s="43" t="n">
        <f aca="false">SUMIFS(M_FALTAS,M_MES,C42)</f>
        <v>0</v>
      </c>
      <c r="F42" s="43" t="n">
        <f aca="false">SUMIFS(M_LIC,M_MES,C42)</f>
        <v>0</v>
      </c>
      <c r="G42" s="44" t="n">
        <f aca="false">SUMIFS(M_ATR,M_MES,C42)</f>
        <v>0</v>
      </c>
      <c r="H42" s="44" t="n">
        <f aca="false">SUMIFS(M_HE,M_MES,C42)</f>
        <v>0</v>
      </c>
      <c r="I42" s="45" t="n">
        <f aca="false">SUMIFS(M_ANT,M_MES,C42)</f>
        <v>0</v>
      </c>
      <c r="J42" s="45" t="n">
        <f aca="false">SUMIFS(M_HAB,M_MES,C42)</f>
        <v>0</v>
      </c>
      <c r="K42" s="45" t="n">
        <f aca="false">SUMIFS(M_LIQ,M_MES,C42)</f>
        <v>0</v>
      </c>
      <c r="L42" s="45" t="n">
        <f aca="false">SUMIFS(M_COSTO,M_MES,C42)</f>
        <v>0</v>
      </c>
    </row>
    <row r="43" customFormat="false" ht="15" hidden="false" customHeight="false" outlineLevel="0" collapsed="false">
      <c r="C43" s="41" t="n">
        <f aca="false">EDATE(DATE(YEAR(FECHA_CORTE),MONTH(FECHA_CORTE),1),-4)</f>
        <v>46174</v>
      </c>
      <c r="D43" s="42" t="n">
        <f aca="false">COUNTIFS(T_ING,"&lt;="&amp;EOMONTH(C43,0))-COUNTIFS(T_ING,"&lt;="&amp;EOMONTH(C43,0),T_EGR,"&lt;"&amp;EOMONTH(C43,0))</f>
        <v>3</v>
      </c>
      <c r="E43" s="43" t="n">
        <f aca="false">SUMIFS(M_FALTAS,M_MES,C43)</f>
        <v>0</v>
      </c>
      <c r="F43" s="43" t="n">
        <f aca="false">SUMIFS(M_LIC,M_MES,C43)</f>
        <v>0</v>
      </c>
      <c r="G43" s="44" t="n">
        <f aca="false">SUMIFS(M_ATR,M_MES,C43)</f>
        <v>0</v>
      </c>
      <c r="H43" s="44" t="n">
        <f aca="false">SUMIFS(M_HE,M_MES,C43)</f>
        <v>0</v>
      </c>
      <c r="I43" s="45" t="n">
        <f aca="false">SUMIFS(M_ANT,M_MES,C43)</f>
        <v>0</v>
      </c>
      <c r="J43" s="45" t="n">
        <f aca="false">SUMIFS(M_HAB,M_MES,C43)</f>
        <v>0</v>
      </c>
      <c r="K43" s="45" t="n">
        <f aca="false">SUMIFS(M_LIQ,M_MES,C43)</f>
        <v>0</v>
      </c>
      <c r="L43" s="45" t="n">
        <f aca="false">SUMIFS(M_COSTO,M_MES,C43)</f>
        <v>0</v>
      </c>
    </row>
    <row r="44" customFormat="false" ht="15" hidden="false" customHeight="false" outlineLevel="0" collapsed="false">
      <c r="C44" s="41" t="n">
        <f aca="false">EDATE(DATE(YEAR(FECHA_CORTE),MONTH(FECHA_CORTE),1),-3)</f>
        <v>46204</v>
      </c>
      <c r="D44" s="42" t="n">
        <f aca="false">COUNTIFS(T_ING,"&lt;="&amp;EOMONTH(C44,0))-COUNTIFS(T_ING,"&lt;="&amp;EOMONTH(C44,0),T_EGR,"&lt;"&amp;EOMONTH(C44,0))</f>
        <v>3</v>
      </c>
      <c r="E44" s="43" t="n">
        <f aca="false">SUMIFS(M_FALTAS,M_MES,C44)</f>
        <v>0</v>
      </c>
      <c r="F44" s="43" t="n">
        <f aca="false">SUMIFS(M_LIC,M_MES,C44)</f>
        <v>0</v>
      </c>
      <c r="G44" s="44" t="n">
        <f aca="false">SUMIFS(M_ATR,M_MES,C44)</f>
        <v>0</v>
      </c>
      <c r="H44" s="44" t="n">
        <f aca="false">SUMIFS(M_HE,M_MES,C44)</f>
        <v>0</v>
      </c>
      <c r="I44" s="45" t="n">
        <f aca="false">SUMIFS(M_ANT,M_MES,C44)</f>
        <v>0</v>
      </c>
      <c r="J44" s="45" t="n">
        <f aca="false">SUMIFS(M_HAB,M_MES,C44)</f>
        <v>0</v>
      </c>
      <c r="K44" s="45" t="n">
        <f aca="false">SUMIFS(M_LIQ,M_MES,C44)</f>
        <v>0</v>
      </c>
      <c r="L44" s="45" t="n">
        <f aca="false">SUMIFS(M_COSTO,M_MES,C44)</f>
        <v>0</v>
      </c>
    </row>
    <row r="45" customFormat="false" ht="15" hidden="false" customHeight="false" outlineLevel="0" collapsed="false">
      <c r="C45" s="41" t="n">
        <f aca="false">EDATE(DATE(YEAR(FECHA_CORTE),MONTH(FECHA_CORTE),1),-2)</f>
        <v>46235</v>
      </c>
      <c r="D45" s="42" t="n">
        <f aca="false">COUNTIFS(T_ING,"&lt;="&amp;EOMONTH(C45,0))-COUNTIFS(T_ING,"&lt;="&amp;EOMONTH(C45,0),T_EGR,"&lt;"&amp;EOMONTH(C45,0))</f>
        <v>4</v>
      </c>
      <c r="E45" s="43" t="n">
        <f aca="false">SUMIFS(M_FALTAS,M_MES,C45)</f>
        <v>0</v>
      </c>
      <c r="F45" s="43" t="n">
        <f aca="false">SUMIFS(M_LIC,M_MES,C45)</f>
        <v>0</v>
      </c>
      <c r="G45" s="44" t="n">
        <f aca="false">SUMIFS(M_ATR,M_MES,C45)</f>
        <v>0</v>
      </c>
      <c r="H45" s="44" t="n">
        <f aca="false">SUMIFS(M_HE,M_MES,C45)</f>
        <v>0</v>
      </c>
      <c r="I45" s="45" t="n">
        <f aca="false">SUMIFS(M_ANT,M_MES,C45)</f>
        <v>0</v>
      </c>
      <c r="J45" s="45" t="n">
        <f aca="false">SUMIFS(M_HAB,M_MES,C45)</f>
        <v>0</v>
      </c>
      <c r="K45" s="45" t="n">
        <f aca="false">SUMIFS(M_LIQ,M_MES,C45)</f>
        <v>0</v>
      </c>
      <c r="L45" s="45" t="n">
        <f aca="false">SUMIFS(M_COSTO,M_MES,C45)</f>
        <v>0</v>
      </c>
    </row>
    <row r="46" customFormat="false" ht="15" hidden="false" customHeight="false" outlineLevel="0" collapsed="false">
      <c r="C46" s="41" t="n">
        <f aca="false">EDATE(DATE(YEAR(FECHA_CORTE),MONTH(FECHA_CORTE),1),-1)</f>
        <v>46266</v>
      </c>
      <c r="D46" s="42" t="n">
        <f aca="false">COUNTIFS(T_ING,"&lt;="&amp;EOMONTH(C46,0))-COUNTIFS(T_ING,"&lt;="&amp;EOMONTH(C46,0),T_EGR,"&lt;"&amp;EOMONTH(C46,0))</f>
        <v>5</v>
      </c>
      <c r="E46" s="43" t="n">
        <f aca="false">SUMIFS(M_FALTAS,M_MES,C46)</f>
        <v>1</v>
      </c>
      <c r="F46" s="43" t="n">
        <f aca="false">SUMIFS(M_LIC,M_MES,C46)</f>
        <v>3</v>
      </c>
      <c r="G46" s="44" t="n">
        <f aca="false">SUMIFS(M_ATR,M_MES,C46)</f>
        <v>0.0381944444444445</v>
      </c>
      <c r="H46" s="44" t="n">
        <f aca="false">SUMIFS(M_HE,M_MES,C46)</f>
        <v>0.5</v>
      </c>
      <c r="I46" s="45" t="n">
        <f aca="false">SUMIFS(M_ANT,M_MES,C46)</f>
        <v>450000</v>
      </c>
      <c r="J46" s="45" t="n">
        <f aca="false">SUMIFS(M_HAB,M_MES,C46)</f>
        <v>5610374</v>
      </c>
      <c r="K46" s="45" t="n">
        <f aca="false">SUMIFS(M_LIQ,M_MES,C46)</f>
        <v>4088042</v>
      </c>
      <c r="L46" s="45" t="n">
        <f aca="false">SUMIFS(M_COSTO,M_MES,C46)</f>
        <v>5980958</v>
      </c>
    </row>
    <row r="47" customFormat="false" ht="15" hidden="false" customHeight="false" outlineLevel="0" collapsed="false">
      <c r="C47" s="41" t="n">
        <f aca="false">EDATE(DATE(YEAR(FECHA_CORTE),MONTH(FECHA_CORTE),1),0)</f>
        <v>46296</v>
      </c>
      <c r="D47" s="42" t="n">
        <f aca="false">COUNTIFS(T_ING,"&lt;="&amp;EOMONTH(C47,0))-COUNTIFS(T_ING,"&lt;="&amp;EOMONTH(C47,0),T_EGR,"&lt;"&amp;EOMONTH(C47,0))</f>
        <v>5</v>
      </c>
      <c r="E47" s="43" t="n">
        <f aca="false">SUMIFS(M_FALTAS,M_MES,C47)</f>
        <v>0</v>
      </c>
      <c r="F47" s="43" t="n">
        <f aca="false">SUMIFS(M_LIC,M_MES,C47)</f>
        <v>0</v>
      </c>
      <c r="G47" s="44" t="n">
        <f aca="false">SUMIFS(M_ATR,M_MES,C47)</f>
        <v>0.0138888888888889</v>
      </c>
      <c r="H47" s="44" t="n">
        <f aca="false">SUMIFS(M_HE,M_MES,C47)</f>
        <v>0.125</v>
      </c>
      <c r="I47" s="45" t="n">
        <f aca="false">SUMIFS(M_ANT,M_MES,C47)</f>
        <v>450000</v>
      </c>
      <c r="J47" s="45" t="n">
        <f aca="false">SUMIFS(M_HAB,M_MES,C47)</f>
        <v>0</v>
      </c>
      <c r="K47" s="45" t="n">
        <f aca="false">SUMIFS(M_LIQ,M_MES,C47)</f>
        <v>0</v>
      </c>
      <c r="L47" s="45" t="n">
        <f aca="false">SUMIFS(M_COSTO,M_MES,C47)</f>
        <v>0</v>
      </c>
    </row>
    <row r="48" customFormat="false" ht="15" hidden="false" customHeight="false" outlineLevel="0" collapsed="false">
      <c r="C48" s="46" t="s">
        <v>49</v>
      </c>
      <c r="D48" s="46"/>
      <c r="E48" s="47" t="n">
        <f aca="false">SUM(E36:E47)</f>
        <v>1</v>
      </c>
      <c r="F48" s="47" t="n">
        <f aca="false">SUM(F36:F47)</f>
        <v>3</v>
      </c>
      <c r="G48" s="48" t="n">
        <f aca="false">SUM(G36:G47)</f>
        <v>0.0520833333333333</v>
      </c>
      <c r="H48" s="48" t="n">
        <f aca="false">SUM(H36:H47)</f>
        <v>0.625</v>
      </c>
      <c r="I48" s="49" t="n">
        <f aca="false">SUM(I36:I47)</f>
        <v>900000</v>
      </c>
      <c r="J48" s="49" t="n">
        <f aca="false">SUM(J36:J47)</f>
        <v>5610374</v>
      </c>
      <c r="K48" s="49" t="n">
        <f aca="false">SUM(K36:K47)</f>
        <v>4088042</v>
      </c>
      <c r="L48" s="49" t="n">
        <f aca="false">SUM(L36:L47)</f>
        <v>5980958</v>
      </c>
    </row>
    <row r="50" customFormat="false" ht="15" hidden="false" customHeight="false" outlineLevel="0" collapsed="false">
      <c r="B50" s="29" t="s">
        <v>50</v>
      </c>
    </row>
    <row r="51" customFormat="false" ht="24" hidden="false" customHeight="true" outlineLevel="0" collapsed="false">
      <c r="C51" s="50" t="s">
        <v>51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</row>
    <row r="52" customFormat="false" ht="24" hidden="false" customHeight="true" outlineLevel="0" collapsed="false">
      <c r="C52" s="50" t="s">
        <v>52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</row>
    <row r="53" customFormat="false" ht="24" hidden="false" customHeight="true" outlineLevel="0" collapsed="false">
      <c r="C53" s="50" t="s">
        <v>53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</row>
    <row r="54" customFormat="false" ht="24" hidden="false" customHeight="true" outlineLevel="0" collapsed="false">
      <c r="C54" s="50" t="s">
        <v>54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</row>
    <row r="55" customFormat="false" ht="24" hidden="false" customHeight="true" outlineLevel="0" collapsed="false">
      <c r="C55" s="50" t="s">
        <v>55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</row>
    <row r="56" customFormat="false" ht="24" hidden="false" customHeight="true" outlineLevel="0" collapsed="false">
      <c r="C56" s="50" t="s">
        <v>56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</row>
    <row r="57" customFormat="false" ht="24" hidden="false" customHeight="true" outlineLevel="0" collapsed="false">
      <c r="C57" s="51" t="s">
        <v>57</v>
      </c>
      <c r="D57" s="51"/>
      <c r="E57" s="51"/>
      <c r="F57" s="51"/>
      <c r="G57" s="51"/>
      <c r="H57" s="51"/>
      <c r="I57" s="51"/>
      <c r="J57" s="51"/>
      <c r="K57" s="51"/>
      <c r="L57" s="51"/>
      <c r="M57" s="51"/>
    </row>
  </sheetData>
  <mergeCells count="60">
    <mergeCell ref="C5:D5"/>
    <mergeCell ref="E5:G5"/>
    <mergeCell ref="H5:J5"/>
    <mergeCell ref="K5:M5"/>
    <mergeCell ref="C6:D6"/>
    <mergeCell ref="E6:G6"/>
    <mergeCell ref="H6:J6"/>
    <mergeCell ref="K6:M6"/>
    <mergeCell ref="C7:D7"/>
    <mergeCell ref="E7:G7"/>
    <mergeCell ref="H7:J7"/>
    <mergeCell ref="K7:M7"/>
    <mergeCell ref="C9:D9"/>
    <mergeCell ref="E9:G9"/>
    <mergeCell ref="H9:J9"/>
    <mergeCell ref="K9:M9"/>
    <mergeCell ref="C10:D10"/>
    <mergeCell ref="E10:G10"/>
    <mergeCell ref="H10:J10"/>
    <mergeCell ref="K10:M10"/>
    <mergeCell ref="C11:D11"/>
    <mergeCell ref="E11:G11"/>
    <mergeCell ref="H11:J11"/>
    <mergeCell ref="K11:M11"/>
    <mergeCell ref="C13:D13"/>
    <mergeCell ref="E13:G13"/>
    <mergeCell ref="H13:J13"/>
    <mergeCell ref="K13:M13"/>
    <mergeCell ref="C14:D14"/>
    <mergeCell ref="E14:G14"/>
    <mergeCell ref="H14:J14"/>
    <mergeCell ref="K14:M14"/>
    <mergeCell ref="C15:D15"/>
    <mergeCell ref="E15:G15"/>
    <mergeCell ref="H15:J15"/>
    <mergeCell ref="K15:M15"/>
    <mergeCell ref="J18:M18"/>
    <mergeCell ref="J19:M19"/>
    <mergeCell ref="J20:M20"/>
    <mergeCell ref="J21:M21"/>
    <mergeCell ref="J22:M22"/>
    <mergeCell ref="J23:M23"/>
    <mergeCell ref="J24:M24"/>
    <mergeCell ref="J25:M25"/>
    <mergeCell ref="J26:M26"/>
    <mergeCell ref="C29:H29"/>
    <mergeCell ref="J29:M29"/>
    <mergeCell ref="C30:H30"/>
    <mergeCell ref="J30:M30"/>
    <mergeCell ref="C31:H31"/>
    <mergeCell ref="J31:M31"/>
    <mergeCell ref="C32:H32"/>
    <mergeCell ref="J32:M32"/>
    <mergeCell ref="C51:M51"/>
    <mergeCell ref="C52:M52"/>
    <mergeCell ref="C53:M53"/>
    <mergeCell ref="C54:M54"/>
    <mergeCell ref="C55:M55"/>
    <mergeCell ref="C56:M56"/>
    <mergeCell ref="C57:M57"/>
  </mergeCells>
  <conditionalFormatting sqref="H19:I26">
    <cfRule type="expression" priority="2" aboveAverage="0" equalAverage="0" bottom="0" percent="0" rank="0" text="" dxfId="0">
      <formula>AND(ISNUMBER($H19),$H19&lt;0)</formula>
    </cfRule>
    <cfRule type="expression" priority="3" aboveAverage="0" equalAverage="0" bottom="0" percent="0" rank="0" text="" dxfId="1">
      <formula>AND(ISNUMBER($H19),$H19&lt;=ALERTA_ROJA)</formula>
    </cfRule>
    <cfRule type="expression" priority="4" aboveAverage="0" equalAverage="0" bottom="0" percent="0" rank="0" text="" dxfId="2">
      <formula>AND(ISNUMBER($H19),$H19&lt;=ALERTA_NARANJA)</formula>
    </cfRule>
    <cfRule type="expression" priority="5" aboveAverage="0" equalAverage="0" bottom="0" percent="0" rank="0" text="" dxfId="3">
      <formula>AND(ISNUMBER($H19),$H19&lt;=ALERTA_AMARILLA)</formula>
    </cfRule>
  </conditionalFormatting>
  <conditionalFormatting sqref="F19:F26">
    <cfRule type="expression" priority="6" aboveAverage="0" equalAverage="0" bottom="0" percent="0" rank="0" text="" dxfId="2">
      <formula>N($F19)&gt;=2</formula>
    </cfRule>
  </conditionalFormatting>
  <conditionalFormatting sqref="I29:I32">
    <cfRule type="expression" priority="7" aboveAverage="0" equalAverage="0" bottom="0" percent="0" rank="0" text="" dxfId="1">
      <formula>N($I29)&gt;0</formula>
    </cfRule>
    <cfRule type="expression" priority="8" aboveAverage="0" equalAverage="0" bottom="0" percent="0" rank="0" text="" dxfId="4">
      <formula>N($I29)=0</formula>
    </cfRule>
  </conditionalFormatting>
  <hyperlinks>
    <hyperlink ref="J29" r:id="rId1" location="Trabajadores!A1" display="Ver hoja Trabajadores"/>
    <hyperlink ref="J30" r:id="rId2" location="Contratos!A1" display="Ver hoja Contratos"/>
    <hyperlink ref="J31" r:id="rId3" location="Trabajadores!A1" display="Ver hoja Trabajadores"/>
    <hyperlink ref="J32" r:id="rId4" location="Mensual!A1" display="Ver hoja Mensua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6C23"/>
    <pageSetUpPr fitToPage="false"/>
  </sheetPr>
  <dimension ref="B2:AO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8"/>
    <col collapsed="false" customWidth="true" hidden="false" outlineLevel="0" max="23" min="23" style="0" width="19"/>
    <col collapsed="false" customWidth="true" hidden="false" outlineLevel="0" max="24" min="24" style="0" width="58"/>
    <col collapsed="false" customWidth="true" hidden="false" outlineLevel="0" max="26" min="25" style="0" width="8"/>
    <col collapsed="false" customWidth="true" hidden="false" outlineLevel="0" max="27" min="27" style="0" width="9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3"/>
    <col collapsed="false" customWidth="true" hidden="false" outlineLevel="0" max="32" min="31" style="0" width="12"/>
    <col collapsed="false" customWidth="true" hidden="true" outlineLevel="0" max="33" min="33" style="0" width="10"/>
    <col collapsed="false" customWidth="true" hidden="true" outlineLevel="0" max="35" min="34" style="0" width="5"/>
    <col collapsed="false" customWidth="true" hidden="true" outlineLevel="0" max="38" min="36" style="0" width="10"/>
    <col collapsed="false" customWidth="true" hidden="true" outlineLevel="0" max="39" min="39" style="0" width="6"/>
    <col collapsed="false" customWidth="true" hidden="true" outlineLevel="0" max="40" min="40" style="0" width="8"/>
    <col collapsed="false" customWidth="true" hidden="true" outlineLevel="0" max="41" min="41" style="0" width="10"/>
  </cols>
  <sheetData>
    <row r="2" customFormat="false" ht="24" hidden="false" customHeight="true" outlineLevel="0" collapsed="false">
      <c r="B2" s="1" t="s">
        <v>58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B3" s="3" t="s">
        <v>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15" hidden="false" customHeight="false" outlineLevel="0" collapsed="false">
      <c r="B4" s="52" t="s">
        <v>60</v>
      </c>
    </row>
    <row r="5" customFormat="false" ht="15" hidden="false" customHeight="false" outlineLevel="0" collapsed="false">
      <c r="B5" s="53" t="s">
        <v>61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5" t="s">
        <v>62</v>
      </c>
      <c r="P5" s="56"/>
      <c r="Q5" s="56"/>
      <c r="R5" s="56"/>
      <c r="S5" s="56"/>
      <c r="T5" s="56"/>
      <c r="U5" s="56"/>
      <c r="V5" s="56"/>
      <c r="W5" s="56"/>
      <c r="X5" s="56"/>
      <c r="Y5" s="55" t="s">
        <v>11</v>
      </c>
      <c r="Z5" s="56"/>
      <c r="AA5" s="56"/>
      <c r="AB5" s="56"/>
      <c r="AC5" s="55" t="s">
        <v>63</v>
      </c>
      <c r="AD5" s="56"/>
      <c r="AE5" s="56"/>
      <c r="AF5" s="56"/>
    </row>
    <row r="6" customFormat="false" ht="55.5" hidden="false" customHeight="true" outlineLevel="0" collapsed="false">
      <c r="B6" s="57" t="s">
        <v>64</v>
      </c>
      <c r="C6" s="57" t="s">
        <v>65</v>
      </c>
      <c r="D6" s="57" t="s">
        <v>23</v>
      </c>
      <c r="E6" s="57" t="s">
        <v>66</v>
      </c>
      <c r="F6" s="57" t="s">
        <v>67</v>
      </c>
      <c r="G6" s="57" t="s">
        <v>68</v>
      </c>
      <c r="H6" s="57" t="s">
        <v>69</v>
      </c>
      <c r="I6" s="57" t="s">
        <v>70</v>
      </c>
      <c r="J6" s="57" t="s">
        <v>71</v>
      </c>
      <c r="K6" s="57" t="s">
        <v>72</v>
      </c>
      <c r="L6" s="57" t="s">
        <v>73</v>
      </c>
      <c r="M6" s="57" t="s">
        <v>74</v>
      </c>
      <c r="N6" s="57" t="s">
        <v>75</v>
      </c>
      <c r="O6" s="40" t="s">
        <v>28</v>
      </c>
      <c r="P6" s="40" t="s">
        <v>76</v>
      </c>
      <c r="Q6" s="40" t="s">
        <v>77</v>
      </c>
      <c r="R6" s="40" t="s">
        <v>78</v>
      </c>
      <c r="S6" s="40" t="s">
        <v>79</v>
      </c>
      <c r="T6" s="40" t="s">
        <v>80</v>
      </c>
      <c r="U6" s="40" t="s">
        <v>26</v>
      </c>
      <c r="V6" s="40" t="s">
        <v>81</v>
      </c>
      <c r="W6" s="40" t="s">
        <v>82</v>
      </c>
      <c r="X6" s="40" t="s">
        <v>29</v>
      </c>
      <c r="Y6" s="40" t="s">
        <v>83</v>
      </c>
      <c r="Z6" s="40" t="s">
        <v>84</v>
      </c>
      <c r="AA6" s="40" t="s">
        <v>85</v>
      </c>
      <c r="AB6" s="40" t="s">
        <v>86</v>
      </c>
      <c r="AC6" s="40" t="s">
        <v>87</v>
      </c>
      <c r="AD6" s="40" t="s">
        <v>88</v>
      </c>
      <c r="AE6" s="40" t="s">
        <v>89</v>
      </c>
      <c r="AF6" s="40" t="s">
        <v>90</v>
      </c>
      <c r="AG6" s="40" t="s">
        <v>91</v>
      </c>
      <c r="AH6" s="40" t="s">
        <v>92</v>
      </c>
      <c r="AI6" s="40" t="s">
        <v>93</v>
      </c>
      <c r="AJ6" s="40" t="s">
        <v>94</v>
      </c>
      <c r="AK6" s="40" t="s">
        <v>95</v>
      </c>
      <c r="AL6" s="40" t="s">
        <v>96</v>
      </c>
      <c r="AM6" s="40" t="s">
        <v>97</v>
      </c>
      <c r="AN6" s="40" t="s">
        <v>98</v>
      </c>
      <c r="AO6" s="40" t="s">
        <v>99</v>
      </c>
    </row>
    <row r="7" customFormat="false" ht="15" hidden="false" customHeight="false" outlineLevel="0" collapsed="false">
      <c r="B7" s="58" t="s">
        <v>100</v>
      </c>
      <c r="C7" s="58" t="s">
        <v>101</v>
      </c>
      <c r="D7" s="58" t="s">
        <v>102</v>
      </c>
      <c r="E7" s="58" t="s">
        <v>103</v>
      </c>
      <c r="F7" s="59" t="n">
        <v>44256</v>
      </c>
      <c r="G7" s="59"/>
      <c r="H7" s="58"/>
      <c r="I7" s="60" t="n">
        <v>60000</v>
      </c>
      <c r="J7" s="60" t="n">
        <v>40000</v>
      </c>
      <c r="K7" s="60" t="n">
        <v>100000</v>
      </c>
      <c r="L7" s="58" t="s">
        <v>104</v>
      </c>
      <c r="M7" s="61" t="n">
        <v>60</v>
      </c>
      <c r="N7" s="58" t="s">
        <v>105</v>
      </c>
      <c r="O7" s="62" t="str">
        <f aca="false">IF(B7="","",IF(NOT(ISNUMBER(F7)),"⚠ Falta ingreso",IF(F7&gt;FECHA_CORTE,"Por ingresar",IF(G7="","Activo",IF(G7&lt;FECHA_CORTE,"Desvinculado","Activo")))))</f>
        <v>Activo</v>
      </c>
      <c r="P7" s="62" t="str">
        <f aca="false">IF(OR(B7="",NOT(ISNUMBER(F7))),"",IF(F7&gt;FECHA_CORTE,"",DATEDIF(F7,IF(G7="",FECHA_CORTE,MIN(G7,FECHA_CORTE))+1,"y")&amp;" a "&amp;DATEDIF(F7,IF(G7="",FECHA_CORTE,MIN(G7,FECHA_CORTE))+1,"ym")&amp;" m"))</f>
        <v>5 a 7 m</v>
      </c>
      <c r="Q7" s="63" t="n">
        <f aca="false">IF(B7="","",IFERROR(INDEX(C_SUELDO,MATCH(AG7&amp;"-S"&amp;MAX(1,COUNTIFS(C_RUTN,AG7,C_SUELDO,"&lt;&gt;",C_INI,"&lt;="&amp;FECHA_CORTE)),C_CLAVES,0)),0))</f>
        <v>1250000</v>
      </c>
      <c r="R7" s="62" t="str">
        <f aca="false">IF(B7="","",IF(N(AI7)=0,"Sin contrato",IFERROR(INDEX(C_TIPO,MATCH(AG7&amp;"-P"&amp;MAX(1,AH7),C_CLAVE,0))&amp;"","")))</f>
        <v>Indefinido</v>
      </c>
      <c r="S7" s="64" t="str">
        <f aca="false">IF(R7="Plazo fijo",IFERROR(INDEX(C_NPF,MATCH(AG7&amp;"-P"&amp;MAX(1,AH7),C_CLAVE,0)),""),"")</f>
        <v/>
      </c>
      <c r="T7" s="65" t="n">
        <f aca="false">IF(B7="","",COUNTIFS(C_RUTN,AG7,C_TIPODOC,"Anexo de modificación"))</f>
        <v>2</v>
      </c>
      <c r="U7" s="66" t="str">
        <f aca="false">IF(AND(OR(R7="Plazo fijo",R7="Obra o faena"),O7&lt;&gt;"Desvinculado"),IFERROR(IF(N(INDEX(C_TER,MATCH(AG7&amp;"-P"&amp;MAX(1,AH7),C_CLAVE,0)))=0,"",INDEX(C_TER,MATCH(AG7&amp;"-P"&amp;MAX(1,AH7),C_CLAVE,0))),""),"")</f>
        <v/>
      </c>
      <c r="V7" s="67" t="str">
        <f aca="false">IF(ISNUMBER(U7),U7-FECHA_CORTE,"")</f>
        <v/>
      </c>
      <c r="W7" s="62" t="str">
        <f aca="false">IF(B7="","",IF(O7="Desvinculado","Terminado",IF(N(AI7)=0,"Sin contrato registrado",IF(O7="Por ingresar","Por ingresar",IF(ISNUMBER(AJ7),"Renovación registrada",IF(R7="Indefinido","Indefinido",IF(NOT(ISNUMBER(V7)),"Falta fecha de término",IF(V7&lt;0,"VENCIDO",IF(V7&lt;=ALERTA_ROJA,"Vence en ≤ "&amp;ALERTA_ROJA&amp;" días",IF(V7&lt;=ALERTA_NARANJA,"Vence en ≤ "&amp;ALERTA_NARANJA&amp;" días",IF(V7&lt;=ALERTA_AMARILLA,"Vence en ≤ "&amp;ALERTA_AMARILLA&amp;" días","Vigente")))))))))))</f>
        <v>Indefinido</v>
      </c>
      <c r="X7" s="62" t="str">
        <f aca="false">IF(B7="","",IF(W7="Terminado","—",IF(W7="Sin contrato registrado","Registrar su contrato en la hoja Contratos",IF(W7="Por ingresar","Tener el contrato firmado antes del ingreso",IF(W7="Renovación registrada","Siguiente contrato ya registrado: verificar que esté firmado",IF(R7="Indefinido","Sin vencimiento. Cambios de sueldo o cargo: anexo de modificación",IF(W7="Falta fecha de término","Completar la fecha de término en Contratos",IF(W7="VENCIDO","Sigue trabajando con plazo vencido: por ley ya es INDEFINIDO. Firmar anexo de paso a indefinido",IF(R7="Obra o faena","Al terminar la obra: finiquito + 2,5 días de sueldo por mes trabajado",IF(N(S7)&gt;=2,"2° contrato a plazo: NO se puede renovar otra vez a plazo fijo. Pasar a indefinido o terminar al vencer","1er contrato a plazo: renovar (2° contrato), pasar a indefinido o terminar al vencer"))))))))))</f>
        <v>Sin vencimiento. Cambios de sueldo o cargo: anexo de modificación</v>
      </c>
      <c r="Y7" s="68" t="n">
        <f aca="false">IF(O7&lt;&gt;"Activo","",ROUND(1.25*(DATEDIF(F7,AO7+1,"m")+(AO7+1-EDATE(F7,DATEDIF(F7,AO7+1,"m")))/30),2))</f>
        <v>84.88</v>
      </c>
      <c r="Z7" s="68" t="n">
        <f aca="false">IF(O7&lt;&gt;"Activo","",N(M7)+SUMIFS(M_VAC,M_RUTN,AG7,M_MES,"&lt;="&amp;FECHA_CORTE))</f>
        <v>70</v>
      </c>
      <c r="AA7" s="68" t="n">
        <f aca="false">IF(O7&lt;&gt;"Activo","",Y7-Z7)</f>
        <v>14.88</v>
      </c>
      <c r="AB7" s="63" t="n">
        <f aca="false">IF(O7&lt;&gt;"Activo","",ROUND(MAX(0,IF(AA7&lt;=0,0,WORKDAY(FECHA_CORTE,INT(AA7),FERIADOS)-FECHA_CORTE+(AA7-INT(AA7))))*(Q7+N(K7))/30,0))</f>
        <v>939600</v>
      </c>
      <c r="AC7" s="65" t="n">
        <f aca="false">IF(O7&lt;&gt;"Activo","",IF(DATEDIF(F7,FECHA_CORTE+1,"y")&lt;1,0,MIN(TOPE_ANIOS,DATEDIF(F7,FECHA_CORTE+1,"y")+IF(EDATE(F7,12*DATEDIF(F7,FECHA_CORTE+1,"y")+6)&lt;FECHA_CORTE+1,1,0))))</f>
        <v>6</v>
      </c>
      <c r="AD7" s="69" t="n">
        <f aca="false">IF(O7&lt;&gt;"Activo","",AB7+IF(R7="Obra o faena",0,ROUND(AL7*AC7,0)+ROUND(AL7,0)))</f>
        <v>12623405</v>
      </c>
      <c r="AE7" s="69" t="n">
        <f aca="false">IF(O7&lt;&gt;"Activo","",AB7)</f>
        <v>939600</v>
      </c>
      <c r="AF7" s="69" t="str">
        <f aca="false">IF(AN7="","",IF(ISNUMBER(AJ7),"",ROUND(MAX(0,IF(AN7&lt;=0,0,WORKDAY(U7,INT(AN7),FERIADOS)-U7+(AN7-INT(AN7))))*(Q7+N(K7))/30,0)+IF(R7="Obra o faena",ROUND(OBRA_DIAS*AL7/30*(DATEDIF(F7,U7+1,"m")+IF(U7+1-EDATE(F7,DATEDIF(F7,U7+1,"m"))&gt;15,1,0)),0),0)))</f>
        <v/>
      </c>
      <c r="AG7" s="62" t="str">
        <f aca="false">IF(B7="","",IFERROR(VALUE(LEFT(UPPER(SUBSTITUTE(SUBSTITUTE(SUBSTITUTE(TRIM(B7),".",""),"-","")," ","")),LEN(UPPER(SUBSTITUTE(SUBSTITUTE(SUBSTITUTE(TRIM(B7),".",""),"-","")," ","")))-1))&amp;RIGHT(UPPER(SUBSTITUTE(SUBSTITUTE(SUBSTITUTE(TRIM(B7),".",""),"-","")," ","")),1),UPPER(SUBSTITUTE(SUBSTITUTE(SUBSTITUTE(TRIM(B7),".",""),"-","")," ",""))))</f>
        <v>111111111</v>
      </c>
      <c r="AH7" s="62" t="n">
        <f aca="false">IF(B7="","",COUNTIFS(C_RUTN,AG7,C_DEF,"Sí",C_INI,"&lt;="&amp;FECHA_CORTE))</f>
        <v>3</v>
      </c>
      <c r="AI7" s="62" t="n">
        <f aca="false">IF(B7="","",COUNTIFS(C_RUTN,AG7,C_DEF,"Sí"))</f>
        <v>3</v>
      </c>
      <c r="AJ7" s="66" t="str">
        <f aca="false">IF(OR(B7="",N(AI7)&lt;=N(AH7)),"",IFERROR(INDEX(C_INI,MATCH(AG7&amp;"-P"&amp;(AH7+1),C_CLAVE,0)),""))</f>
        <v/>
      </c>
      <c r="AK7" s="63" t="n">
        <f aca="false">IF(O7&lt;&gt;"Activo","",Q7+N(K7)+IF(L7="Sí",MIN(GRAT_PCT*(Q7+N(K7)),GRAT_TOPE),0)+N(I7)+N(J7))</f>
        <v>1669115</v>
      </c>
      <c r="AL7" s="63" t="n">
        <f aca="false">IF(O7&lt;&gt;"Activo","",MIN(AK7,TOPE_IAS_UF*UF_MES))</f>
        <v>1669115</v>
      </c>
      <c r="AM7" s="62" t="str">
        <f aca="false">IF(AND(O7="Activo",ISNUMBER(V7),W7&lt;&gt;"Renovación registrada"),V7+ROW()/100000,"")</f>
        <v/>
      </c>
      <c r="AN7" s="70" t="str">
        <f aca="false">IF(OR(O7&lt;&gt;"Activo",NOT(ISNUMBER(U7))),"",IF(U7&lt;FECHA_CORTE,"",1.25*(DATEDIF(F7,U7+1,"m")+(U7+1-EDATE(F7,DATEDIF(F7,U7+1,"m")))/30)-Z7))</f>
        <v/>
      </c>
      <c r="AO7" s="66" t="n">
        <f aca="false">IF(OR(B7="",NOT(ISNUMBER(F7))),"",IF(N(G7)&gt;0,MIN(G7,FECHA_CORTE),FECHA_CORTE))</f>
        <v>46322</v>
      </c>
    </row>
    <row r="8" customFormat="false" ht="15" hidden="false" customHeight="false" outlineLevel="0" collapsed="false">
      <c r="B8" s="58" t="s">
        <v>106</v>
      </c>
      <c r="C8" s="58" t="s">
        <v>107</v>
      </c>
      <c r="D8" s="58" t="s">
        <v>108</v>
      </c>
      <c r="E8" s="58" t="s">
        <v>109</v>
      </c>
      <c r="F8" s="59" t="n">
        <v>46237</v>
      </c>
      <c r="G8" s="59"/>
      <c r="H8" s="58"/>
      <c r="I8" s="60" t="n">
        <v>40000</v>
      </c>
      <c r="J8" s="60" t="n">
        <v>30000</v>
      </c>
      <c r="K8" s="60" t="n">
        <v>0</v>
      </c>
      <c r="L8" s="58" t="s">
        <v>104</v>
      </c>
      <c r="M8" s="61" t="n">
        <v>0</v>
      </c>
      <c r="N8" s="58" t="s">
        <v>105</v>
      </c>
      <c r="O8" s="62" t="str">
        <f aca="false">IF(B8="","",IF(NOT(ISNUMBER(F8)),"⚠ Falta ingreso",IF(F8&gt;FECHA_CORTE,"Por ingresar",IF(G8="","Activo",IF(G8&lt;FECHA_CORTE,"Desvinculado","Activo")))))</f>
        <v>Activo</v>
      </c>
      <c r="P8" s="62" t="str">
        <f aca="false">IF(OR(B8="",NOT(ISNUMBER(F8))),"",IF(F8&gt;FECHA_CORTE,"",DATEDIF(F8,IF(G8="",FECHA_CORTE,MIN(G8,FECHA_CORTE))+1,"y")&amp;" a "&amp;DATEDIF(F8,IF(G8="",FECHA_CORTE,MIN(G8,FECHA_CORTE))+1,"ym")&amp;" m"))</f>
        <v>0 a 2 m</v>
      </c>
      <c r="Q8" s="63" t="n">
        <f aca="false">IF(B8="","",IFERROR(INDEX(C_SUELDO,MATCH(AG8&amp;"-S"&amp;MAX(1,COUNTIFS(C_RUTN,AG8,C_SUELDO,"&lt;&gt;",C_INI,"&lt;="&amp;FECHA_CORTE)),C_CLAVES,0)),0))</f>
        <v>580000</v>
      </c>
      <c r="R8" s="62" t="str">
        <f aca="false">IF(B8="","",IF(N(AI8)=0,"Sin contrato",IFERROR(INDEX(C_TIPO,MATCH(AG8&amp;"-P"&amp;MAX(1,AH8),C_CLAVE,0))&amp;"","")))</f>
        <v>Plazo fijo</v>
      </c>
      <c r="S8" s="64" t="n">
        <f aca="false">IF(R8="Plazo fijo",IFERROR(INDEX(C_NPF,MATCH(AG8&amp;"-P"&amp;MAX(1,AH8),C_CLAVE,0)),""),"")</f>
        <v>1</v>
      </c>
      <c r="T8" s="65" t="n">
        <f aca="false">IF(B8="","",COUNTIFS(C_RUTN,AG8,C_TIPODOC,"Anexo de modificación"))</f>
        <v>0</v>
      </c>
      <c r="U8" s="66" t="n">
        <f aca="false">IF(AND(OR(R8="Plazo fijo",R8="Obra o faena"),O8&lt;&gt;"Desvinculado"),IFERROR(IF(N(INDEX(C_TER,MATCH(AG8&amp;"-P"&amp;MAX(1,AH8),C_CLAVE,0)))=0,"",INDEX(C_TER,MATCH(AG8&amp;"-P"&amp;MAX(1,AH8),C_CLAVE,0))),""),"")</f>
        <v>46328</v>
      </c>
      <c r="V8" s="67" t="n">
        <f aca="false">IF(ISNUMBER(U8),U8-FECHA_CORTE,"")</f>
        <v>6</v>
      </c>
      <c r="W8" s="62" t="str">
        <f aca="false">IF(B8="","",IF(O8="Desvinculado","Terminado",IF(N(AI8)=0,"Sin contrato registrado",IF(O8="Por ingresar","Por ingresar",IF(ISNUMBER(AJ8),"Renovación registrada",IF(R8="Indefinido","Indefinido",IF(NOT(ISNUMBER(V8)),"Falta fecha de término",IF(V8&lt;0,"VENCIDO",IF(V8&lt;=ALERTA_ROJA,"Vence en ≤ "&amp;ALERTA_ROJA&amp;" días",IF(V8&lt;=ALERTA_NARANJA,"Vence en ≤ "&amp;ALERTA_NARANJA&amp;" días",IF(V8&lt;=ALERTA_AMARILLA,"Vence en ≤ "&amp;ALERTA_AMARILLA&amp;" días","Vigente")))))))))))</f>
        <v>Vence en ≤ 15 días</v>
      </c>
      <c r="X8" s="62" t="str">
        <f aca="false">IF(B8="","",IF(W8="Terminado","—",IF(W8="Sin contrato registrado","Registrar su contrato en la hoja Contratos",IF(W8="Por ingresar","Tener el contrato firmado antes del ingreso",IF(W8="Renovación registrada","Siguiente contrato ya registrado: verificar que esté firmado",IF(R8="Indefinido","Sin vencimiento. Cambios de sueldo o cargo: anexo de modificación",IF(W8="Falta fecha de término","Completar la fecha de término en Contratos",IF(W8="VENCIDO","Sigue trabajando con plazo vencido: por ley ya es INDEFINIDO. Firmar anexo de paso a indefinido",IF(R8="Obra o faena","Al terminar la obra: finiquito + 2,5 días de sueldo por mes trabajado",IF(N(S8)&gt;=2,"2° contrato a plazo: NO se puede renovar otra vez a plazo fijo. Pasar a indefinido o terminar al vencer","1er contrato a plazo: renovar (2° contrato), pasar a indefinido o terminar al vencer"))))))))))</f>
        <v>1er contrato a plazo: renovar (2° contrato), pasar a indefinido o terminar al vencer</v>
      </c>
      <c r="Y8" s="68" t="n">
        <f aca="false">IF(O8&lt;&gt;"Activo","",ROUND(1.25*(DATEDIF(F8,AO8+1,"m")+(AO8+1-EDATE(F8,DATEDIF(F8,AO8+1,"m")))/30),2))</f>
        <v>3.54</v>
      </c>
      <c r="Z8" s="68" t="n">
        <f aca="false">IF(O8&lt;&gt;"Activo","",N(M8)+SUMIFS(M_VAC,M_RUTN,AG8,M_MES,"&lt;="&amp;FECHA_CORTE))</f>
        <v>0</v>
      </c>
      <c r="AA8" s="68" t="n">
        <f aca="false">IF(O8&lt;&gt;"Activo","",Y8-Z8)</f>
        <v>3.54</v>
      </c>
      <c r="AB8" s="63" t="n">
        <f aca="false">IF(O8&lt;&gt;"Activo","",ROUND(MAX(0,IF(AA8&lt;=0,0,WORKDAY(FECHA_CORTE,INT(AA8),FERIADOS)-FECHA_CORTE+(AA8-INT(AA8))))*(Q8+N(K8))/30,0))</f>
        <v>68440</v>
      </c>
      <c r="AC8" s="65" t="n">
        <f aca="false">IF(O8&lt;&gt;"Activo","",IF(DATEDIF(F8,FECHA_CORTE+1,"y")&lt;1,0,MIN(TOPE_ANIOS,DATEDIF(F8,FECHA_CORTE+1,"y")+IF(EDATE(F8,12*DATEDIF(F8,FECHA_CORTE+1,"y")+6)&lt;FECHA_CORTE+1,1,0))))</f>
        <v>0</v>
      </c>
      <c r="AD8" s="69" t="n">
        <f aca="false">IF(O8&lt;&gt;"Activo","",AB8+IF(R8="Obra o faena",0,ROUND(AL8*AC8,0)+ROUND(AL8,0)))</f>
        <v>863440</v>
      </c>
      <c r="AE8" s="69" t="n">
        <f aca="false">IF(O8&lt;&gt;"Activo","",AB8)</f>
        <v>68440</v>
      </c>
      <c r="AF8" s="69" t="n">
        <f aca="false">IF(AN8="","",IF(ISNUMBER(AJ8),"",ROUND(MAX(0,IF(AN8&lt;=0,0,WORKDAY(U8,INT(AN8),FERIADOS)-U8+(AN8-INT(AN8))))*(Q8+N(K8))/30,0)+IF(R8="Obra o faena",ROUND(OBRA_DIAS*AL8/30*(DATEDIF(F8,U8+1,"m")+IF(U8+1-EDATE(F8,DATEDIF(F8,U8+1,"m"))&gt;15,1,0)),0),0)))</f>
        <v>72500</v>
      </c>
      <c r="AG8" s="62" t="str">
        <f aca="false">IF(B8="","",IFERROR(VALUE(LEFT(UPPER(SUBSTITUTE(SUBSTITUTE(SUBSTITUTE(TRIM(B8),".",""),"-","")," ","")),LEN(UPPER(SUBSTITUTE(SUBSTITUTE(SUBSTITUTE(TRIM(B8),".",""),"-","")," ","")))-1))&amp;RIGHT(UPPER(SUBSTITUTE(SUBSTITUTE(SUBSTITUTE(TRIM(B8),".",""),"-","")," ","")),1),UPPER(SUBSTITUTE(SUBSTITUTE(SUBSTITUTE(TRIM(B8),".",""),"-","")," ",""))))</f>
        <v>222222222</v>
      </c>
      <c r="AH8" s="62" t="n">
        <f aca="false">IF(B8="","",COUNTIFS(C_RUTN,AG8,C_DEF,"Sí",C_INI,"&lt;="&amp;FECHA_CORTE))</f>
        <v>1</v>
      </c>
      <c r="AI8" s="62" t="n">
        <f aca="false">IF(B8="","",COUNTIFS(C_RUTN,AG8,C_DEF,"Sí"))</f>
        <v>1</v>
      </c>
      <c r="AJ8" s="66" t="str">
        <f aca="false">IF(OR(B8="",N(AI8)&lt;=N(AH8)),"",IFERROR(INDEX(C_INI,MATCH(AG8&amp;"-P"&amp;(AH8+1),C_CLAVE,0)),""))</f>
        <v/>
      </c>
      <c r="AK8" s="63" t="n">
        <f aca="false">IF(O8&lt;&gt;"Activo","",Q8+N(K8)+IF(L8="Sí",MIN(GRAT_PCT*(Q8+N(K8)),GRAT_TOPE),0)+N(I8)+N(J8))</f>
        <v>795000</v>
      </c>
      <c r="AL8" s="63" t="n">
        <f aca="false">IF(O8&lt;&gt;"Activo","",MIN(AK8,TOPE_IAS_UF*UF_MES))</f>
        <v>795000</v>
      </c>
      <c r="AM8" s="62" t="n">
        <f aca="false">IF(AND(O8="Activo",ISNUMBER(V8),W8&lt;&gt;"Renovación registrada"),V8+ROW()/100000,"")</f>
        <v>6.00008</v>
      </c>
      <c r="AN8" s="70" t="n">
        <f aca="false">IF(OR(O8&lt;&gt;"Activo",NOT(ISNUMBER(U8))),"",IF(U8&lt;FECHA_CORTE,"",1.25*(DATEDIF(F8,U8+1,"m")+(U8+1-EDATE(F8,DATEDIF(F8,U8+1,"m")))/30)-Z8))</f>
        <v>3.75</v>
      </c>
      <c r="AO8" s="66" t="n">
        <f aca="false">IF(OR(B8="",NOT(ISNUMBER(F8))),"",IF(N(G8)&gt;0,MIN(G8,FECHA_CORTE),FECHA_CORTE))</f>
        <v>46322</v>
      </c>
    </row>
    <row r="9" customFormat="false" ht="15" hidden="false" customHeight="false" outlineLevel="0" collapsed="false">
      <c r="B9" s="58" t="s">
        <v>110</v>
      </c>
      <c r="C9" s="58" t="s">
        <v>111</v>
      </c>
      <c r="D9" s="58" t="s">
        <v>112</v>
      </c>
      <c r="E9" s="58" t="s">
        <v>113</v>
      </c>
      <c r="F9" s="59" t="n">
        <v>46097</v>
      </c>
      <c r="G9" s="59"/>
      <c r="H9" s="58"/>
      <c r="I9" s="60" t="n">
        <v>50000</v>
      </c>
      <c r="J9" s="60" t="n">
        <v>30000</v>
      </c>
      <c r="K9" s="60" t="n">
        <v>0</v>
      </c>
      <c r="L9" s="58" t="s">
        <v>104</v>
      </c>
      <c r="M9" s="61" t="n">
        <v>0</v>
      </c>
      <c r="N9" s="58" t="s">
        <v>105</v>
      </c>
      <c r="O9" s="62" t="str">
        <f aca="false">IF(B9="","",IF(NOT(ISNUMBER(F9)),"⚠ Falta ingreso",IF(F9&gt;FECHA_CORTE,"Por ingresar",IF(G9="","Activo",IF(G9&lt;FECHA_CORTE,"Desvinculado","Activo")))))</f>
        <v>Activo</v>
      </c>
      <c r="P9" s="62" t="str">
        <f aca="false">IF(OR(B9="",NOT(ISNUMBER(F9))),"",IF(F9&gt;FECHA_CORTE,"",DATEDIF(F9,IF(G9="",FECHA_CORTE,MIN(G9,FECHA_CORTE))+1,"y")&amp;" a "&amp;DATEDIF(F9,IF(G9="",FECHA_CORTE,MIN(G9,FECHA_CORTE))+1,"ym")&amp;" m"))</f>
        <v>0 a 7 m</v>
      </c>
      <c r="Q9" s="63" t="n">
        <f aca="false">IF(B9="","",IFERROR(INDEX(C_SUELDO,MATCH(AG9&amp;"-S"&amp;MAX(1,COUNTIFS(C_RUTN,AG9,C_SUELDO,"&lt;&gt;",C_INI,"&lt;="&amp;FECHA_CORTE)),C_CLAVES,0)),0))</f>
        <v>850000</v>
      </c>
      <c r="R9" s="62" t="str">
        <f aca="false">IF(B9="","",IF(N(AI9)=0,"Sin contrato",IFERROR(INDEX(C_TIPO,MATCH(AG9&amp;"-P"&amp;MAX(1,AH9),C_CLAVE,0))&amp;"","")))</f>
        <v>Plazo fijo</v>
      </c>
      <c r="S9" s="64" t="n">
        <f aca="false">IF(R9="Plazo fijo",IFERROR(INDEX(C_NPF,MATCH(AG9&amp;"-P"&amp;MAX(1,AH9),C_CLAVE,0)),""),"")</f>
        <v>2</v>
      </c>
      <c r="T9" s="65" t="n">
        <f aca="false">IF(B9="","",COUNTIFS(C_RUTN,AG9,C_TIPODOC,"Anexo de modificación"))</f>
        <v>0</v>
      </c>
      <c r="U9" s="66" t="n">
        <f aca="false">IF(AND(OR(R9="Plazo fijo",R9="Obra o faena"),O9&lt;&gt;"Desvinculado"),IFERROR(IF(N(INDEX(C_TER,MATCH(AG9&amp;"-P"&amp;MAX(1,AH9),C_CLAVE,0)))=0,"",INDEX(C_TER,MATCH(AG9&amp;"-P"&amp;MAX(1,AH9),C_CLAVE,0))),""),"")</f>
        <v>46371</v>
      </c>
      <c r="V9" s="67" t="n">
        <f aca="false">IF(ISNUMBER(U9),U9-FECHA_CORTE,"")</f>
        <v>49</v>
      </c>
      <c r="W9" s="62" t="str">
        <f aca="false">IF(B9="","",IF(O9="Desvinculado","Terminado",IF(N(AI9)=0,"Sin contrato registrado",IF(O9="Por ingresar","Por ingresar",IF(ISNUMBER(AJ9),"Renovación registrada",IF(R9="Indefinido","Indefinido",IF(NOT(ISNUMBER(V9)),"Falta fecha de término",IF(V9&lt;0,"VENCIDO",IF(V9&lt;=ALERTA_ROJA,"Vence en ≤ "&amp;ALERTA_ROJA&amp;" días",IF(V9&lt;=ALERTA_NARANJA,"Vence en ≤ "&amp;ALERTA_NARANJA&amp;" días",IF(V9&lt;=ALERTA_AMARILLA,"Vence en ≤ "&amp;ALERTA_AMARILLA&amp;" días","Vigente")))))))))))</f>
        <v>Vence en ≤ 60 días</v>
      </c>
      <c r="X9" s="62" t="str">
        <f aca="false">IF(B9="","",IF(W9="Terminado","—",IF(W9="Sin contrato registrado","Registrar su contrato en la hoja Contratos",IF(W9="Por ingresar","Tener el contrato firmado antes del ingreso",IF(W9="Renovación registrada","Siguiente contrato ya registrado: verificar que esté firmado",IF(R9="Indefinido","Sin vencimiento. Cambios de sueldo o cargo: anexo de modificación",IF(W9="Falta fecha de término","Completar la fecha de término en Contratos",IF(W9="VENCIDO","Sigue trabajando con plazo vencido: por ley ya es INDEFINIDO. Firmar anexo de paso a indefinido",IF(R9="Obra o faena","Al terminar la obra: finiquito + 2,5 días de sueldo por mes trabajado",IF(N(S9)&gt;=2,"2° contrato a plazo: NO se puede renovar otra vez a plazo fijo. Pasar a indefinido o terminar al vencer","1er contrato a plazo: renovar (2° contrato), pasar a indefinido o terminar al vencer"))))))))))</f>
        <v>2° contrato a plazo: NO se puede renovar otra vez a plazo fijo. Pasar a indefinido o terminar al vencer</v>
      </c>
      <c r="Y9" s="68" t="n">
        <f aca="false">IF(O9&lt;&gt;"Activo","",ROUND(1.25*(DATEDIF(F9,AO9+1,"m")+(AO9+1-EDATE(F9,DATEDIF(F9,AO9+1,"m")))/30),2))</f>
        <v>9.25</v>
      </c>
      <c r="Z9" s="68" t="n">
        <f aca="false">IF(O9&lt;&gt;"Activo","",N(M9)+SUMIFS(M_VAC,M_RUTN,AG9,M_MES,"&lt;="&amp;FECHA_CORTE))</f>
        <v>0</v>
      </c>
      <c r="AA9" s="68" t="n">
        <f aca="false">IF(O9&lt;&gt;"Activo","",Y9-Z9)</f>
        <v>9.25</v>
      </c>
      <c r="AB9" s="63" t="n">
        <f aca="false">IF(O9&lt;&gt;"Activo","",ROUND(MAX(0,IF(AA9&lt;=0,0,WORKDAY(FECHA_CORTE,INT(AA9),FERIADOS)-FECHA_CORTE+(AA9-INT(AA9))))*(Q9+N(K9))/30,0))</f>
        <v>375417</v>
      </c>
      <c r="AC9" s="65" t="n">
        <f aca="false">IF(O9&lt;&gt;"Activo","",IF(DATEDIF(F9,FECHA_CORTE+1,"y")&lt;1,0,MIN(TOPE_ANIOS,DATEDIF(F9,FECHA_CORTE+1,"y")+IF(EDATE(F9,12*DATEDIF(F9,FECHA_CORTE+1,"y")+6)&lt;FECHA_CORTE+1,1,0))))</f>
        <v>0</v>
      </c>
      <c r="AD9" s="69" t="n">
        <f aca="false">IF(O9&lt;&gt;"Activo","",AB9+IF(R9="Obra o faena",0,ROUND(AL9*AC9,0)+ROUND(AL9,0)))</f>
        <v>1517917</v>
      </c>
      <c r="AE9" s="69" t="n">
        <f aca="false">IF(O9&lt;&gt;"Activo","",AB9)</f>
        <v>375417</v>
      </c>
      <c r="AF9" s="69" t="n">
        <f aca="false">IF(AN9="","",IF(ISNUMBER(AJ9),"",ROUND(MAX(0,IF(AN9&lt;=0,0,WORKDAY(U9,INT(AN9),FERIADOS)-U9+(AN9-INT(AN9))))*(Q9+N(K9))/30,0)+IF(R9="Obra o faena",ROUND(OBRA_DIAS*AL9/30*(DATEDIF(F9,U9+1,"m")+IF(U9+1-EDATE(F9,DATEDIF(F9,U9+1,"m"))&gt;15,1,0)),0),0)))</f>
        <v>460417</v>
      </c>
      <c r="AG9" s="62" t="str">
        <f aca="false">IF(B9="","",IFERROR(VALUE(LEFT(UPPER(SUBSTITUTE(SUBSTITUTE(SUBSTITUTE(TRIM(B9),".",""),"-","")," ","")),LEN(UPPER(SUBSTITUTE(SUBSTITUTE(SUBSTITUTE(TRIM(B9),".",""),"-","")," ","")))-1))&amp;RIGHT(UPPER(SUBSTITUTE(SUBSTITUTE(SUBSTITUTE(TRIM(B9),".",""),"-","")," ","")),1),UPPER(SUBSTITUTE(SUBSTITUTE(SUBSTITUTE(TRIM(B9),".",""),"-","")," ",""))))</f>
        <v>333333333</v>
      </c>
      <c r="AH9" s="62" t="n">
        <f aca="false">IF(B9="","",COUNTIFS(C_RUTN,AG9,C_DEF,"Sí",C_INI,"&lt;="&amp;FECHA_CORTE))</f>
        <v>2</v>
      </c>
      <c r="AI9" s="62" t="n">
        <f aca="false">IF(B9="","",COUNTIFS(C_RUTN,AG9,C_DEF,"Sí"))</f>
        <v>2</v>
      </c>
      <c r="AJ9" s="66" t="str">
        <f aca="false">IF(OR(B9="",N(AI9)&lt;=N(AH9)),"",IFERROR(INDEX(C_INI,MATCH(AG9&amp;"-P"&amp;(AH9+1),C_CLAVE,0)),""))</f>
        <v/>
      </c>
      <c r="AK9" s="63" t="n">
        <f aca="false">IF(O9&lt;&gt;"Activo","",Q9+N(K9)+IF(L9="Sí",MIN(GRAT_PCT*(Q9+N(K9)),GRAT_TOPE),0)+N(I9)+N(J9))</f>
        <v>1142500</v>
      </c>
      <c r="AL9" s="63" t="n">
        <f aca="false">IF(O9&lt;&gt;"Activo","",MIN(AK9,TOPE_IAS_UF*UF_MES))</f>
        <v>1142500</v>
      </c>
      <c r="AM9" s="62" t="n">
        <f aca="false">IF(AND(O9="Activo",ISNUMBER(V9),W9&lt;&gt;"Renovación registrada"),V9+ROW()/100000,"")</f>
        <v>49.00009</v>
      </c>
      <c r="AN9" s="70" t="n">
        <f aca="false">IF(OR(O9&lt;&gt;"Activo",NOT(ISNUMBER(U9))),"",IF(U9&lt;FECHA_CORTE,"",1.25*(DATEDIF(F9,U9+1,"m")+(U9+1-EDATE(F9,DATEDIF(F9,U9+1,"m")))/30)-Z9))</f>
        <v>11.25</v>
      </c>
      <c r="AO9" s="66" t="n">
        <f aca="false">IF(OR(B9="",NOT(ISNUMBER(F9))),"",IF(N(G9)&gt;0,MIN(G9,FECHA_CORTE),FECHA_CORTE))</f>
        <v>46322</v>
      </c>
    </row>
    <row r="10" customFormat="false" ht="15" hidden="false" customHeight="false" outlineLevel="0" collapsed="false">
      <c r="B10" s="58" t="s">
        <v>114</v>
      </c>
      <c r="C10" s="58" t="s">
        <v>115</v>
      </c>
      <c r="D10" s="58" t="s">
        <v>116</v>
      </c>
      <c r="E10" s="58" t="s">
        <v>117</v>
      </c>
      <c r="F10" s="59" t="n">
        <v>45110</v>
      </c>
      <c r="G10" s="59"/>
      <c r="H10" s="58"/>
      <c r="I10" s="60" t="n">
        <v>40000</v>
      </c>
      <c r="J10" s="60" t="n">
        <v>30000</v>
      </c>
      <c r="K10" s="60" t="n">
        <v>0</v>
      </c>
      <c r="L10" s="58" t="s">
        <v>104</v>
      </c>
      <c r="M10" s="61" t="n">
        <v>0</v>
      </c>
      <c r="N10" s="58" t="s">
        <v>105</v>
      </c>
      <c r="O10" s="62" t="str">
        <f aca="false">IF(B10="","",IF(NOT(ISNUMBER(F10)),"⚠ Falta ingreso",IF(F10&gt;FECHA_CORTE,"Por ingresar",IF(G10="","Activo",IF(G10&lt;FECHA_CORTE,"Desvinculado","Activo")))))</f>
        <v>Activo</v>
      </c>
      <c r="P10" s="62" t="str">
        <f aca="false">IF(OR(B10="",NOT(ISNUMBER(F10))),"",IF(F10&gt;FECHA_CORTE,"",DATEDIF(F10,IF(G10="",FECHA_CORTE,MIN(G10,FECHA_CORTE))+1,"y")&amp;" a "&amp;DATEDIF(F10,IF(G10="",FECHA_CORTE,MIN(G10,FECHA_CORTE))+1,"ym")&amp;" m"))</f>
        <v>3 a 3 m</v>
      </c>
      <c r="Q10" s="63" t="n">
        <f aca="false">IF(B10="","",IFERROR(INDEX(C_SUELDO,MATCH(AG10&amp;"-S"&amp;MAX(1,COUNTIFS(C_RUTN,AG10,C_SUELDO,"&lt;&gt;",C_INI,"&lt;="&amp;FECHA_CORTE)),C_CLAVES,0)),0))</f>
        <v>720000</v>
      </c>
      <c r="R10" s="62" t="str">
        <f aca="false">IF(B10="","",IF(N(AI10)=0,"Sin contrato",IFERROR(INDEX(C_TIPO,MATCH(AG10&amp;"-P"&amp;MAX(1,AH10),C_CLAVE,0))&amp;"","")))</f>
        <v>Indefinido</v>
      </c>
      <c r="S10" s="64" t="str">
        <f aca="false">IF(R10="Plazo fijo",IFERROR(INDEX(C_NPF,MATCH(AG10&amp;"-P"&amp;MAX(1,AH10),C_CLAVE,0)),""),"")</f>
        <v/>
      </c>
      <c r="T10" s="65" t="n">
        <f aca="false">IF(B10="","",COUNTIFS(C_RUTN,AG10,C_TIPODOC,"Anexo de modificación"))</f>
        <v>1</v>
      </c>
      <c r="U10" s="66" t="str">
        <f aca="false">IF(AND(OR(R10="Plazo fijo",R10="Obra o faena"),O10&lt;&gt;"Desvinculado"),IFERROR(IF(N(INDEX(C_TER,MATCH(AG10&amp;"-P"&amp;MAX(1,AH10),C_CLAVE,0)))=0,"",INDEX(C_TER,MATCH(AG10&amp;"-P"&amp;MAX(1,AH10),C_CLAVE,0))),""),"")</f>
        <v/>
      </c>
      <c r="V10" s="67" t="str">
        <f aca="false">IF(ISNUMBER(U10),U10-FECHA_CORTE,"")</f>
        <v/>
      </c>
      <c r="W10" s="62" t="str">
        <f aca="false">IF(B10="","",IF(O10="Desvinculado","Terminado",IF(N(AI10)=0,"Sin contrato registrado",IF(O10="Por ingresar","Por ingresar",IF(ISNUMBER(AJ10),"Renovación registrada",IF(R10="Indefinido","Indefinido",IF(NOT(ISNUMBER(V10)),"Falta fecha de término",IF(V10&lt;0,"VENCIDO",IF(V10&lt;=ALERTA_ROJA,"Vence en ≤ "&amp;ALERTA_ROJA&amp;" días",IF(V10&lt;=ALERTA_NARANJA,"Vence en ≤ "&amp;ALERTA_NARANJA&amp;" días",IF(V10&lt;=ALERTA_AMARILLA,"Vence en ≤ "&amp;ALERTA_AMARILLA&amp;" días","Vigente")))))))))))</f>
        <v>Indefinido</v>
      </c>
      <c r="X10" s="62" t="str">
        <f aca="false">IF(B10="","",IF(W10="Terminado","—",IF(W10="Sin contrato registrado","Registrar su contrato en la hoja Contratos",IF(W10="Por ingresar","Tener el contrato firmado antes del ingreso",IF(W10="Renovación registrada","Siguiente contrato ya registrado: verificar que esté firmado",IF(R10="Indefinido","Sin vencimiento. Cambios de sueldo o cargo: anexo de modificación",IF(W10="Falta fecha de término","Completar la fecha de término en Contratos",IF(W10="VENCIDO","Sigue trabajando con plazo vencido: por ley ya es INDEFINIDO. Firmar anexo de paso a indefinido",IF(R10="Obra o faena","Al terminar la obra: finiquito + 2,5 días de sueldo por mes trabajado",IF(N(S10)&gt;=2,"2° contrato a plazo: NO se puede renovar otra vez a plazo fijo. Pasar a indefinido o terminar al vencer","1er contrato a plazo: renovar (2° contrato), pasar a indefinido o terminar al vencer"))))))))))</f>
        <v>Sin vencimiento. Cambios de sueldo o cargo: anexo de modificación</v>
      </c>
      <c r="Y10" s="68" t="n">
        <f aca="false">IF(O10&lt;&gt;"Activo","",ROUND(1.25*(DATEDIF(F10,AO10+1,"m")+(AO10+1-EDATE(F10,DATEDIF(F10,AO10+1,"m")))/30),2))</f>
        <v>49.79</v>
      </c>
      <c r="Z10" s="68" t="n">
        <f aca="false">IF(O10&lt;&gt;"Activo","",N(M10)+SUMIFS(M_VAC,M_RUTN,AG10,M_MES,"&lt;="&amp;FECHA_CORTE))</f>
        <v>20</v>
      </c>
      <c r="AA10" s="68" t="n">
        <f aca="false">IF(O10&lt;&gt;"Activo","",Y10-Z10)</f>
        <v>29.79</v>
      </c>
      <c r="AB10" s="63" t="n">
        <f aca="false">IF(O10&lt;&gt;"Activo","",ROUND(MAX(0,IF(AA10&lt;=0,0,WORKDAY(FECHA_CORTE,INT(AA10),FERIADOS)-FECHA_CORTE+(AA10-INT(AA10))))*(Q10+N(K10))/30,0))</f>
        <v>1002960</v>
      </c>
      <c r="AC10" s="65" t="n">
        <f aca="false">IF(O10&lt;&gt;"Activo","",IF(DATEDIF(F10,FECHA_CORTE+1,"y")&lt;1,0,MIN(TOPE_ANIOS,DATEDIF(F10,FECHA_CORTE+1,"y")+IF(EDATE(F10,12*DATEDIF(F10,FECHA_CORTE+1,"y")+6)&lt;FECHA_CORTE+1,1,0))))</f>
        <v>3</v>
      </c>
      <c r="AD10" s="69" t="n">
        <f aca="false">IF(O10&lt;&gt;"Activo","",AB10+IF(R10="Obra o faena",0,ROUND(AL10*AC10,0)+ROUND(AL10,0)))</f>
        <v>4882960</v>
      </c>
      <c r="AE10" s="69" t="n">
        <f aca="false">IF(O10&lt;&gt;"Activo","",AB10)</f>
        <v>1002960</v>
      </c>
      <c r="AF10" s="69" t="str">
        <f aca="false">IF(AN10="","",IF(ISNUMBER(AJ10),"",ROUND(MAX(0,IF(AN10&lt;=0,0,WORKDAY(U10,INT(AN10),FERIADOS)-U10+(AN10-INT(AN10))))*(Q10+N(K10))/30,0)+IF(R10="Obra o faena",ROUND(OBRA_DIAS*AL10/30*(DATEDIF(F10,U10+1,"m")+IF(U10+1-EDATE(F10,DATEDIF(F10,U10+1,"m"))&gt;15,1,0)),0),0)))</f>
        <v/>
      </c>
      <c r="AG10" s="62" t="str">
        <f aca="false">IF(B10="","",IFERROR(VALUE(LEFT(UPPER(SUBSTITUTE(SUBSTITUTE(SUBSTITUTE(TRIM(B10),".",""),"-","")," ","")),LEN(UPPER(SUBSTITUTE(SUBSTITUTE(SUBSTITUTE(TRIM(B10),".",""),"-","")," ","")))-1))&amp;RIGHT(UPPER(SUBSTITUTE(SUBSTITUTE(SUBSTITUTE(TRIM(B10),".",""),"-","")," ","")),1),UPPER(SUBSTITUTE(SUBSTITUTE(SUBSTITUTE(TRIM(B10),".",""),"-","")," ",""))))</f>
        <v>444444444</v>
      </c>
      <c r="AH10" s="62" t="n">
        <f aca="false">IF(B10="","",COUNTIFS(C_RUTN,AG10,C_DEF,"Sí",C_INI,"&lt;="&amp;FECHA_CORTE))</f>
        <v>1</v>
      </c>
      <c r="AI10" s="62" t="n">
        <f aca="false">IF(B10="","",COUNTIFS(C_RUTN,AG10,C_DEF,"Sí"))</f>
        <v>1</v>
      </c>
      <c r="AJ10" s="66" t="str">
        <f aca="false">IF(OR(B10="",N(AI10)&lt;=N(AH10)),"",IFERROR(INDEX(C_INI,MATCH(AG10&amp;"-P"&amp;(AH10+1),C_CLAVE,0)),""))</f>
        <v/>
      </c>
      <c r="AK10" s="63" t="n">
        <f aca="false">IF(O10&lt;&gt;"Activo","",Q10+N(K10)+IF(L10="Sí",MIN(GRAT_PCT*(Q10+N(K10)),GRAT_TOPE),0)+N(I10)+N(J10))</f>
        <v>970000</v>
      </c>
      <c r="AL10" s="63" t="n">
        <f aca="false">IF(O10&lt;&gt;"Activo","",MIN(AK10,TOPE_IAS_UF*UF_MES))</f>
        <v>970000</v>
      </c>
      <c r="AM10" s="62" t="str">
        <f aca="false">IF(AND(O10="Activo",ISNUMBER(V10),W10&lt;&gt;"Renovación registrada"),V10+ROW()/100000,"")</f>
        <v/>
      </c>
      <c r="AN10" s="70" t="str">
        <f aca="false">IF(OR(O10&lt;&gt;"Activo",NOT(ISNUMBER(U10))),"",IF(U10&lt;FECHA_CORTE,"",1.25*(DATEDIF(F10,U10+1,"m")+(U10+1-EDATE(F10,DATEDIF(F10,U10+1,"m")))/30)-Z10))</f>
        <v/>
      </c>
      <c r="AO10" s="66" t="n">
        <f aca="false">IF(OR(B10="",NOT(ISNUMBER(F10))),"",IF(N(G10)&gt;0,MIN(G10,FECHA_CORTE),FECHA_CORTE))</f>
        <v>46322</v>
      </c>
    </row>
    <row r="11" customFormat="false" ht="15" hidden="false" customHeight="false" outlineLevel="0" collapsed="false">
      <c r="B11" s="58" t="s">
        <v>118</v>
      </c>
      <c r="C11" s="58" t="s">
        <v>119</v>
      </c>
      <c r="D11" s="58" t="s">
        <v>120</v>
      </c>
      <c r="E11" s="58" t="s">
        <v>121</v>
      </c>
      <c r="F11" s="59" t="n">
        <v>46266</v>
      </c>
      <c r="G11" s="59"/>
      <c r="H11" s="58"/>
      <c r="I11" s="60" t="n">
        <v>40000</v>
      </c>
      <c r="J11" s="60" t="n">
        <v>20000</v>
      </c>
      <c r="K11" s="60" t="n">
        <v>0</v>
      </c>
      <c r="L11" s="58" t="s">
        <v>104</v>
      </c>
      <c r="M11" s="61" t="n">
        <v>0</v>
      </c>
      <c r="N11" s="58" t="s">
        <v>105</v>
      </c>
      <c r="O11" s="62" t="str">
        <f aca="false">IF(B11="","",IF(NOT(ISNUMBER(F11)),"⚠ Falta ingreso",IF(F11&gt;FECHA_CORTE,"Por ingresar",IF(G11="","Activo",IF(G11&lt;FECHA_CORTE,"Desvinculado","Activo")))))</f>
        <v>Activo</v>
      </c>
      <c r="P11" s="62" t="str">
        <f aca="false">IF(OR(B11="",NOT(ISNUMBER(F11))),"",IF(F11&gt;FECHA_CORTE,"",DATEDIF(F11,IF(G11="",FECHA_CORTE,MIN(G11,FECHA_CORTE))+1,"y")&amp;" a "&amp;DATEDIF(F11,IF(G11="",FECHA_CORTE,MIN(G11,FECHA_CORTE))+1,"ym")&amp;" m"))</f>
        <v>0 a 1 m</v>
      </c>
      <c r="Q11" s="63" t="n">
        <f aca="false">IF(B11="","",IFERROR(INDEX(C_SUELDO,MATCH(AG11&amp;"-S"&amp;MAX(1,COUNTIFS(C_RUTN,AG11,C_SUELDO,"&lt;&gt;",C_INI,"&lt;="&amp;FECHA_CORTE)),C_CLAVES,0)),0))</f>
        <v>560000</v>
      </c>
      <c r="R11" s="62" t="str">
        <f aca="false">IF(B11="","",IF(N(AI11)=0,"Sin contrato",IFERROR(INDEX(C_TIPO,MATCH(AG11&amp;"-P"&amp;MAX(1,AH11),C_CLAVE,0))&amp;"","")))</f>
        <v>Obra o faena</v>
      </c>
      <c r="S11" s="64" t="str">
        <f aca="false">IF(R11="Plazo fijo",IFERROR(INDEX(C_NPF,MATCH(AG11&amp;"-P"&amp;MAX(1,AH11),C_CLAVE,0)),""),"")</f>
        <v/>
      </c>
      <c r="T11" s="65" t="n">
        <f aca="false">IF(B11="","",COUNTIFS(C_RUTN,AG11,C_TIPODOC,"Anexo de modificación"))</f>
        <v>0</v>
      </c>
      <c r="U11" s="66" t="n">
        <f aca="false">IF(AND(OR(R11="Plazo fijo",R11="Obra o faena"),O11&lt;&gt;"Desvinculado"),IFERROR(IF(N(INDEX(C_TER,MATCH(AG11&amp;"-P"&amp;MAX(1,AH11),C_CLAVE,0)))=0,"",INDEX(C_TER,MATCH(AG11&amp;"-P"&amp;MAX(1,AH11),C_CLAVE,0))),""),"")</f>
        <v>46387</v>
      </c>
      <c r="V11" s="67" t="n">
        <f aca="false">IF(ISNUMBER(U11),U11-FECHA_CORTE,"")</f>
        <v>65</v>
      </c>
      <c r="W11" s="62" t="str">
        <f aca="false">IF(B11="","",IF(O11="Desvinculado","Terminado",IF(N(AI11)=0,"Sin contrato registrado",IF(O11="Por ingresar","Por ingresar",IF(ISNUMBER(AJ11),"Renovación registrada",IF(R11="Indefinido","Indefinido",IF(NOT(ISNUMBER(V11)),"Falta fecha de término",IF(V11&lt;0,"VENCIDO",IF(V11&lt;=ALERTA_ROJA,"Vence en ≤ "&amp;ALERTA_ROJA&amp;" días",IF(V11&lt;=ALERTA_NARANJA,"Vence en ≤ "&amp;ALERTA_NARANJA&amp;" días",IF(V11&lt;=ALERTA_AMARILLA,"Vence en ≤ "&amp;ALERTA_AMARILLA&amp;" días","Vigente")))))))))))</f>
        <v>Vigente</v>
      </c>
      <c r="X11" s="62" t="str">
        <f aca="false">IF(B11="","",IF(W11="Terminado","—",IF(W11="Sin contrato registrado","Registrar su contrato en la hoja Contratos",IF(W11="Por ingresar","Tener el contrato firmado antes del ingreso",IF(W11="Renovación registrada","Siguiente contrato ya registrado: verificar que esté firmado",IF(R11="Indefinido","Sin vencimiento. Cambios de sueldo o cargo: anexo de modificación",IF(W11="Falta fecha de término","Completar la fecha de término en Contratos",IF(W11="VENCIDO","Sigue trabajando con plazo vencido: por ley ya es INDEFINIDO. Firmar anexo de paso a indefinido",IF(R11="Obra o faena","Al terminar la obra: finiquito + 2,5 días de sueldo por mes trabajado",IF(N(S11)&gt;=2,"2° contrato a plazo: NO se puede renovar otra vez a plazo fijo. Pasar a indefinido o terminar al vencer","1er contrato a plazo: renovar (2° contrato), pasar a indefinido o terminar al vencer"))))))))))</f>
        <v>Al terminar la obra: finiquito + 2,5 días de sueldo por mes trabajado</v>
      </c>
      <c r="Y11" s="68" t="n">
        <f aca="false">IF(O11&lt;&gt;"Activo","",ROUND(1.25*(DATEDIF(F11,AO11+1,"m")+(AO11+1-EDATE(F11,DATEDIF(F11,AO11+1,"m")))/30),2))</f>
        <v>2.38</v>
      </c>
      <c r="Z11" s="68" t="n">
        <f aca="false">IF(O11&lt;&gt;"Activo","",N(M11)+SUMIFS(M_VAC,M_RUTN,AG11,M_MES,"&lt;="&amp;FECHA_CORTE))</f>
        <v>0</v>
      </c>
      <c r="AA11" s="68" t="n">
        <f aca="false">IF(O11&lt;&gt;"Activo","",Y11-Z11)</f>
        <v>2.38</v>
      </c>
      <c r="AB11" s="63" t="n">
        <f aca="false">IF(O11&lt;&gt;"Activo","",ROUND(MAX(0,IF(AA11&lt;=0,0,WORKDAY(FECHA_CORTE,INT(AA11),FERIADOS)-FECHA_CORTE+(AA11-INT(AA11))))*(Q11+N(K11))/30,0))</f>
        <v>44427</v>
      </c>
      <c r="AC11" s="65" t="n">
        <f aca="false">IF(O11&lt;&gt;"Activo","",IF(DATEDIF(F11,FECHA_CORTE+1,"y")&lt;1,0,MIN(TOPE_ANIOS,DATEDIF(F11,FECHA_CORTE+1,"y")+IF(EDATE(F11,12*DATEDIF(F11,FECHA_CORTE+1,"y")+6)&lt;FECHA_CORTE+1,1,0))))</f>
        <v>0</v>
      </c>
      <c r="AD11" s="69" t="n">
        <f aca="false">IF(O11&lt;&gt;"Activo","",AB11+IF(R11="Obra o faena",0,ROUND(AL11*AC11,0)+ROUND(AL11,0)))</f>
        <v>44427</v>
      </c>
      <c r="AE11" s="69" t="n">
        <f aca="false">IF(O11&lt;&gt;"Activo","",AB11)</f>
        <v>44427</v>
      </c>
      <c r="AF11" s="69" t="n">
        <f aca="false">IF(AN11="","",IF(ISNUMBER(AJ11),"",ROUND(MAX(0,IF(AN11&lt;=0,0,WORKDAY(U11,INT(AN11),FERIADOS)-U11+(AN11-INT(AN11))))*(Q11+N(K11))/30,0)+IF(R11="Obra o faena",ROUND(OBRA_DIAS*AL11/30*(DATEDIF(F11,U11+1,"m")+IF(U11+1-EDATE(F11,DATEDIF(F11,U11+1,"m"))&gt;15,1,0)),0),0)))</f>
        <v>402666</v>
      </c>
      <c r="AG11" s="62" t="str">
        <f aca="false">IF(B11="","",IFERROR(VALUE(LEFT(UPPER(SUBSTITUTE(SUBSTITUTE(SUBSTITUTE(TRIM(B11),".",""),"-","")," ","")),LEN(UPPER(SUBSTITUTE(SUBSTITUTE(SUBSTITUTE(TRIM(B11),".",""),"-","")," ","")))-1))&amp;RIGHT(UPPER(SUBSTITUTE(SUBSTITUTE(SUBSTITUTE(TRIM(B11),".",""),"-","")," ","")),1),UPPER(SUBSTITUTE(SUBSTITUTE(SUBSTITUTE(TRIM(B11),".",""),"-","")," ",""))))</f>
        <v>555555555</v>
      </c>
      <c r="AH11" s="62" t="n">
        <f aca="false">IF(B11="","",COUNTIFS(C_RUTN,AG11,C_DEF,"Sí",C_INI,"&lt;="&amp;FECHA_CORTE))</f>
        <v>1</v>
      </c>
      <c r="AI11" s="62" t="n">
        <f aca="false">IF(B11="","",COUNTIFS(C_RUTN,AG11,C_DEF,"Sí"))</f>
        <v>1</v>
      </c>
      <c r="AJ11" s="66" t="str">
        <f aca="false">IF(OR(B11="",N(AI11)&lt;=N(AH11)),"",IFERROR(INDEX(C_INI,MATCH(AG11&amp;"-P"&amp;(AH11+1),C_CLAVE,0)),""))</f>
        <v/>
      </c>
      <c r="AK11" s="63" t="n">
        <f aca="false">IF(O11&lt;&gt;"Activo","",Q11+N(K11)+IF(L11="Sí",MIN(GRAT_PCT*(Q11+N(K11)),GRAT_TOPE),0)+N(I11)+N(J11))</f>
        <v>760000</v>
      </c>
      <c r="AL11" s="63" t="n">
        <f aca="false">IF(O11&lt;&gt;"Activo","",MIN(AK11,TOPE_IAS_UF*UF_MES))</f>
        <v>760000</v>
      </c>
      <c r="AM11" s="62" t="n">
        <f aca="false">IF(AND(O11="Activo",ISNUMBER(V11),W11&lt;&gt;"Renovación registrada"),V11+ROW()/100000,"")</f>
        <v>65.00011</v>
      </c>
      <c r="AN11" s="70" t="n">
        <f aca="false">IF(OR(O11&lt;&gt;"Activo",NOT(ISNUMBER(U11))),"",IF(U11&lt;FECHA_CORTE,"",1.25*(DATEDIF(F11,U11+1,"m")+(U11+1-EDATE(F11,DATEDIF(F11,U11+1,"m")))/30)-Z11))</f>
        <v>5</v>
      </c>
      <c r="AO11" s="66" t="n">
        <f aca="false">IF(OR(B11="",NOT(ISNUMBER(F11))),"",IF(N(G11)&gt;0,MIN(G11,FECHA_CORTE),FECHA_CORTE))</f>
        <v>46322</v>
      </c>
    </row>
    <row r="12" customFormat="false" ht="15" hidden="false" customHeight="false" outlineLevel="0" collapsed="false">
      <c r="B12" s="58" t="s">
        <v>122</v>
      </c>
      <c r="C12" s="58" t="s">
        <v>123</v>
      </c>
      <c r="D12" s="58" t="s">
        <v>124</v>
      </c>
      <c r="E12" s="58" t="s">
        <v>125</v>
      </c>
      <c r="F12" s="59" t="n">
        <v>45964</v>
      </c>
      <c r="G12" s="59" t="n">
        <v>46055</v>
      </c>
      <c r="H12" s="58" t="s">
        <v>126</v>
      </c>
      <c r="I12" s="60" t="n">
        <v>40000</v>
      </c>
      <c r="J12" s="60" t="n">
        <v>20000</v>
      </c>
      <c r="K12" s="60" t="n">
        <v>0</v>
      </c>
      <c r="L12" s="58" t="s">
        <v>104</v>
      </c>
      <c r="M12" s="61" t="n">
        <v>0</v>
      </c>
      <c r="N12" s="58" t="s">
        <v>105</v>
      </c>
      <c r="O12" s="62" t="str">
        <f aca="false">IF(B12="","",IF(NOT(ISNUMBER(F12)),"⚠ Falta ingreso",IF(F12&gt;FECHA_CORTE,"Por ingresar",IF(G12="","Activo",IF(G12&lt;FECHA_CORTE,"Desvinculado","Activo")))))</f>
        <v>Desvinculado</v>
      </c>
      <c r="P12" s="62" t="str">
        <f aca="false">IF(OR(B12="",NOT(ISNUMBER(F12))),"",IF(F12&gt;FECHA_CORTE,"",DATEDIF(F12,IF(G12="",FECHA_CORTE,MIN(G12,FECHA_CORTE))+1,"y")&amp;" a "&amp;DATEDIF(F12,IF(G12="",FECHA_CORTE,MIN(G12,FECHA_CORTE))+1,"ym")&amp;" m"))</f>
        <v>0 a 3 m</v>
      </c>
      <c r="Q12" s="63" t="n">
        <f aca="false">IF(B12="","",IFERROR(INDEX(C_SUELDO,MATCH(AG12&amp;"-S"&amp;MAX(1,COUNTIFS(C_RUTN,AG12,C_SUELDO,"&lt;&gt;",C_INI,"&lt;="&amp;FECHA_CORTE)),C_CLAVES,0)),0))</f>
        <v>540000</v>
      </c>
      <c r="R12" s="62" t="str">
        <f aca="false">IF(B12="","",IF(N(AI12)=0,"Sin contrato",IFERROR(INDEX(C_TIPO,MATCH(AG12&amp;"-P"&amp;MAX(1,AH12),C_CLAVE,0))&amp;"","")))</f>
        <v>Plazo fijo</v>
      </c>
      <c r="S12" s="64" t="n">
        <f aca="false">IF(R12="Plazo fijo",IFERROR(INDEX(C_NPF,MATCH(AG12&amp;"-P"&amp;MAX(1,AH12),C_CLAVE,0)),""),"")</f>
        <v>1</v>
      </c>
      <c r="T12" s="65" t="n">
        <f aca="false">IF(B12="","",COUNTIFS(C_RUTN,AG12,C_TIPODOC,"Anexo de modificación"))</f>
        <v>0</v>
      </c>
      <c r="U12" s="66" t="str">
        <f aca="false">IF(AND(OR(R12="Plazo fijo",R12="Obra o faena"),O12&lt;&gt;"Desvinculado"),IFERROR(IF(N(INDEX(C_TER,MATCH(AG12&amp;"-P"&amp;MAX(1,AH12),C_CLAVE,0)))=0,"",INDEX(C_TER,MATCH(AG12&amp;"-P"&amp;MAX(1,AH12),C_CLAVE,0))),""),"")</f>
        <v/>
      </c>
      <c r="V12" s="67" t="str">
        <f aca="false">IF(ISNUMBER(U12),U12-FECHA_CORTE,"")</f>
        <v/>
      </c>
      <c r="W12" s="62" t="str">
        <f aca="false">IF(B12="","",IF(O12="Desvinculado","Terminado",IF(N(AI12)=0,"Sin contrato registrado",IF(O12="Por ingresar","Por ingresar",IF(ISNUMBER(AJ12),"Renovación registrada",IF(R12="Indefinido","Indefinido",IF(NOT(ISNUMBER(V12)),"Falta fecha de término",IF(V12&lt;0,"VENCIDO",IF(V12&lt;=ALERTA_ROJA,"Vence en ≤ "&amp;ALERTA_ROJA&amp;" días",IF(V12&lt;=ALERTA_NARANJA,"Vence en ≤ "&amp;ALERTA_NARANJA&amp;" días",IF(V12&lt;=ALERTA_AMARILLA,"Vence en ≤ "&amp;ALERTA_AMARILLA&amp;" días","Vigente")))))))))))</f>
        <v>Terminado</v>
      </c>
      <c r="X12" s="62" t="str">
        <f aca="false">IF(B12="","",IF(W12="Terminado","—",IF(W12="Sin contrato registrado","Registrar su contrato en la hoja Contratos",IF(W12="Por ingresar","Tener el contrato firmado antes del ingreso",IF(W12="Renovación registrada","Siguiente contrato ya registrado: verificar que esté firmado",IF(R12="Indefinido","Sin vencimiento. Cambios de sueldo o cargo: anexo de modificación",IF(W12="Falta fecha de término","Completar la fecha de término en Contratos",IF(W12="VENCIDO","Sigue trabajando con plazo vencido: por ley ya es INDEFINIDO. Firmar anexo de paso a indefinido",IF(R12="Obra o faena","Al terminar la obra: finiquito + 2,5 días de sueldo por mes trabajado",IF(N(S12)&gt;=2,"2° contrato a plazo: NO se puede renovar otra vez a plazo fijo. Pasar a indefinido o terminar al vencer","1er contrato a plazo: renovar (2° contrato), pasar a indefinido o terminar al vencer"))))))))))</f>
        <v>—</v>
      </c>
      <c r="Y12" s="68" t="str">
        <f aca="false">IF(O12&lt;&gt;"Activo","",ROUND(1.25*(DATEDIF(F12,AO12+1,"m")+(AO12+1-EDATE(F12,DATEDIF(F12,AO12+1,"m")))/30),2))</f>
        <v/>
      </c>
      <c r="Z12" s="68" t="str">
        <f aca="false">IF(O12&lt;&gt;"Activo","",N(M12)+SUMIFS(M_VAC,M_RUTN,AG12,M_MES,"&lt;="&amp;FECHA_CORTE))</f>
        <v/>
      </c>
      <c r="AA12" s="68" t="str">
        <f aca="false">IF(O12&lt;&gt;"Activo","",Y12-Z12)</f>
        <v/>
      </c>
      <c r="AB12" s="63" t="str">
        <f aca="false">IF(O12&lt;&gt;"Activo","",ROUND(MAX(0,IF(AA12&lt;=0,0,WORKDAY(FECHA_CORTE,INT(AA12),FERIADOS)-FECHA_CORTE+(AA12-INT(AA12))))*(Q12+N(K12))/30,0))</f>
        <v/>
      </c>
      <c r="AC12" s="65" t="str">
        <f aca="false">IF(O12&lt;&gt;"Activo","",IF(DATEDIF(F12,FECHA_CORTE+1,"y")&lt;1,0,MIN(TOPE_ANIOS,DATEDIF(F12,FECHA_CORTE+1,"y")+IF(EDATE(F12,12*DATEDIF(F12,FECHA_CORTE+1,"y")+6)&lt;FECHA_CORTE+1,1,0))))</f>
        <v/>
      </c>
      <c r="AD12" s="69" t="str">
        <f aca="false">IF(O12&lt;&gt;"Activo","",AB12+IF(R12="Obra o faena",0,ROUND(AL12*AC12,0)+ROUND(AL12,0)))</f>
        <v/>
      </c>
      <c r="AE12" s="69" t="str">
        <f aca="false">IF(O12&lt;&gt;"Activo","",AB12)</f>
        <v/>
      </c>
      <c r="AF12" s="69" t="str">
        <f aca="false">IF(AN12="","",IF(ISNUMBER(AJ12),"",ROUND(MAX(0,IF(AN12&lt;=0,0,WORKDAY(U12,INT(AN12),FERIADOS)-U12+(AN12-INT(AN12))))*(Q12+N(K12))/30,0)+IF(R12="Obra o faena",ROUND(OBRA_DIAS*AL12/30*(DATEDIF(F12,U12+1,"m")+IF(U12+1-EDATE(F12,DATEDIF(F12,U12+1,"m"))&gt;15,1,0)),0),0)))</f>
        <v/>
      </c>
      <c r="AG12" s="62" t="str">
        <f aca="false">IF(B12="","",IFERROR(VALUE(LEFT(UPPER(SUBSTITUTE(SUBSTITUTE(SUBSTITUTE(TRIM(B12),".",""),"-","")," ","")),LEN(UPPER(SUBSTITUTE(SUBSTITUTE(SUBSTITUTE(TRIM(B12),".",""),"-","")," ","")))-1))&amp;RIGHT(UPPER(SUBSTITUTE(SUBSTITUTE(SUBSTITUTE(TRIM(B12),".",""),"-","")," ","")),1),UPPER(SUBSTITUTE(SUBSTITUTE(SUBSTITUTE(TRIM(B12),".",""),"-","")," ",""))))</f>
        <v>666666666</v>
      </c>
      <c r="AH12" s="62" t="n">
        <f aca="false">IF(B12="","",COUNTIFS(C_RUTN,AG12,C_DEF,"Sí",C_INI,"&lt;="&amp;FECHA_CORTE))</f>
        <v>1</v>
      </c>
      <c r="AI12" s="62" t="n">
        <f aca="false">IF(B12="","",COUNTIFS(C_RUTN,AG12,C_DEF,"Sí"))</f>
        <v>1</v>
      </c>
      <c r="AJ12" s="66" t="str">
        <f aca="false">IF(OR(B12="",N(AI12)&lt;=N(AH12)),"",IFERROR(INDEX(C_INI,MATCH(AG12&amp;"-P"&amp;(AH12+1),C_CLAVE,0)),""))</f>
        <v/>
      </c>
      <c r="AK12" s="63" t="str">
        <f aca="false">IF(O12&lt;&gt;"Activo","",Q12+N(K12)+IF(L12="Sí",MIN(GRAT_PCT*(Q12+N(K12)),GRAT_TOPE),0)+N(I12)+N(J12))</f>
        <v/>
      </c>
      <c r="AL12" s="63" t="str">
        <f aca="false">IF(O12&lt;&gt;"Activo","",MIN(AK12,TOPE_IAS_UF*UF_MES))</f>
        <v/>
      </c>
      <c r="AM12" s="62" t="str">
        <f aca="false">IF(AND(O12="Activo",ISNUMBER(V12),W12&lt;&gt;"Renovación registrada"),V12+ROW()/100000,"")</f>
        <v/>
      </c>
      <c r="AN12" s="70" t="str">
        <f aca="false">IF(OR(O12&lt;&gt;"Activo",NOT(ISNUMBER(U12))),"",IF(U12&lt;FECHA_CORTE,"",1.25*(DATEDIF(F12,U12+1,"m")+(U12+1-EDATE(F12,DATEDIF(F12,U12+1,"m")))/30)-Z12))</f>
        <v/>
      </c>
      <c r="AO12" s="66" t="n">
        <f aca="false">IF(OR(B12="",NOT(ISNUMBER(F12))),"",IF(N(G12)&gt;0,MIN(G12,FECHA_CORTE),FECHA_CORTE))</f>
        <v>46055</v>
      </c>
    </row>
    <row r="13" customFormat="false" ht="15" hidden="false" customHeight="false" outlineLevel="0" collapsed="false">
      <c r="B13" s="58"/>
      <c r="C13" s="58"/>
      <c r="D13" s="58"/>
      <c r="E13" s="58"/>
      <c r="F13" s="59"/>
      <c r="G13" s="59"/>
      <c r="H13" s="58"/>
      <c r="I13" s="60"/>
      <c r="J13" s="60"/>
      <c r="K13" s="60"/>
      <c r="L13" s="58"/>
      <c r="M13" s="61"/>
      <c r="N13" s="58"/>
      <c r="O13" s="62" t="str">
        <f aca="false">IF(B13="","",IF(NOT(ISNUMBER(F13)),"⚠ Falta ingreso",IF(F13&gt;FECHA_CORTE,"Por ingresar",IF(G13="","Activo",IF(G13&lt;FECHA_CORTE,"Desvinculado","Activo")))))</f>
        <v/>
      </c>
      <c r="P13" s="62" t="str">
        <f aca="false">IF(OR(B13="",NOT(ISNUMBER(F13))),"",IF(F13&gt;FECHA_CORTE,"",DATEDIF(F13,IF(G13="",FECHA_CORTE,MIN(G13,FECHA_CORTE))+1,"y")&amp;" a "&amp;DATEDIF(F13,IF(G13="",FECHA_CORTE,MIN(G13,FECHA_CORTE))+1,"ym")&amp;" m"))</f>
        <v/>
      </c>
      <c r="Q13" s="63" t="str">
        <f aca="false">IF(B13="","",IFERROR(INDEX(C_SUELDO,MATCH(AG13&amp;"-S"&amp;MAX(1,COUNTIFS(C_RUTN,AG13,C_SUELDO,"&lt;&gt;",C_INI,"&lt;="&amp;FECHA_CORTE)),C_CLAVES,0)),0))</f>
        <v/>
      </c>
      <c r="R13" s="62" t="str">
        <f aca="false">IF(B13="","",IF(N(AI13)=0,"Sin contrato",IFERROR(INDEX(C_TIPO,MATCH(AG13&amp;"-P"&amp;MAX(1,AH13),C_CLAVE,0))&amp;"","")))</f>
        <v/>
      </c>
      <c r="S13" s="64" t="str">
        <f aca="false">IF(R13="Plazo fijo",IFERROR(INDEX(C_NPF,MATCH(AG13&amp;"-P"&amp;MAX(1,AH13),C_CLAVE,0)),""),"")</f>
        <v/>
      </c>
      <c r="T13" s="65" t="str">
        <f aca="false">IF(B13="","",COUNTIFS(C_RUTN,AG13,C_TIPODOC,"Anexo de modificación"))</f>
        <v/>
      </c>
      <c r="U13" s="66" t="str">
        <f aca="false">IF(AND(OR(R13="Plazo fijo",R13="Obra o faena"),O13&lt;&gt;"Desvinculado"),IFERROR(IF(N(INDEX(C_TER,MATCH(AG13&amp;"-P"&amp;MAX(1,AH13),C_CLAVE,0)))=0,"",INDEX(C_TER,MATCH(AG13&amp;"-P"&amp;MAX(1,AH13),C_CLAVE,0))),""),"")</f>
        <v/>
      </c>
      <c r="V13" s="67" t="str">
        <f aca="false">IF(ISNUMBER(U13),U13-FECHA_CORTE,"")</f>
        <v/>
      </c>
      <c r="W13" s="62" t="str">
        <f aca="false">IF(B13="","",IF(O13="Desvinculado","Terminado",IF(N(AI13)=0,"Sin contrato registrado",IF(O13="Por ingresar","Por ingresar",IF(ISNUMBER(AJ13),"Renovación registrada",IF(R13="Indefinido","Indefinido",IF(NOT(ISNUMBER(V13)),"Falta fecha de término",IF(V13&lt;0,"VENCIDO",IF(V13&lt;=ALERTA_ROJA,"Vence en ≤ "&amp;ALERTA_ROJA&amp;" días",IF(V13&lt;=ALERTA_NARANJA,"Vence en ≤ "&amp;ALERTA_NARANJA&amp;" días",IF(V13&lt;=ALERTA_AMARILLA,"Vence en ≤ "&amp;ALERTA_AMARILLA&amp;" días","Vigente")))))))))))</f>
        <v/>
      </c>
      <c r="X13" s="62" t="str">
        <f aca="false">IF(B13="","",IF(W13="Terminado","—",IF(W13="Sin contrato registrado","Registrar su contrato en la hoja Contratos",IF(W13="Por ingresar","Tener el contrato firmado antes del ingreso",IF(W13="Renovación registrada","Siguiente contrato ya registrado: verificar que esté firmado",IF(R13="Indefinido","Sin vencimiento. Cambios de sueldo o cargo: anexo de modificación",IF(W13="Falta fecha de término","Completar la fecha de término en Contratos",IF(W13="VENCIDO","Sigue trabajando con plazo vencido: por ley ya es INDEFINIDO. Firmar anexo de paso a indefinido",IF(R13="Obra o faena","Al terminar la obra: finiquito + 2,5 días de sueldo por mes trabajado",IF(N(S13)&gt;=2,"2° contrato a plazo: NO se puede renovar otra vez a plazo fijo. Pasar a indefinido o terminar al vencer","1er contrato a plazo: renovar (2° contrato), pasar a indefinido o terminar al vencer"))))))))))</f>
        <v/>
      </c>
      <c r="Y13" s="68" t="str">
        <f aca="false">IF(O13&lt;&gt;"Activo","",ROUND(1.25*(DATEDIF(F13,AO13+1,"m")+(AO13+1-EDATE(F13,DATEDIF(F13,AO13+1,"m")))/30),2))</f>
        <v/>
      </c>
      <c r="Z13" s="68" t="str">
        <f aca="false">IF(O13&lt;&gt;"Activo","",N(M13)+SUMIFS(M_VAC,M_RUTN,AG13,M_MES,"&lt;="&amp;FECHA_CORTE))</f>
        <v/>
      </c>
      <c r="AA13" s="68" t="str">
        <f aca="false">IF(O13&lt;&gt;"Activo","",Y13-Z13)</f>
        <v/>
      </c>
      <c r="AB13" s="63" t="str">
        <f aca="false">IF(O13&lt;&gt;"Activo","",ROUND(MAX(0,IF(AA13&lt;=0,0,WORKDAY(FECHA_CORTE,INT(AA13),FERIADOS)-FECHA_CORTE+(AA13-INT(AA13))))*(Q13+N(K13))/30,0))</f>
        <v/>
      </c>
      <c r="AC13" s="65" t="str">
        <f aca="false">IF(O13&lt;&gt;"Activo","",IF(DATEDIF(F13,FECHA_CORTE+1,"y")&lt;1,0,MIN(TOPE_ANIOS,DATEDIF(F13,FECHA_CORTE+1,"y")+IF(EDATE(F13,12*DATEDIF(F13,FECHA_CORTE+1,"y")+6)&lt;FECHA_CORTE+1,1,0))))</f>
        <v/>
      </c>
      <c r="AD13" s="69" t="str">
        <f aca="false">IF(O13&lt;&gt;"Activo","",AB13+IF(R13="Obra o faena",0,ROUND(AL13*AC13,0)+ROUND(AL13,0)))</f>
        <v/>
      </c>
      <c r="AE13" s="69" t="str">
        <f aca="false">IF(O13&lt;&gt;"Activo","",AB13)</f>
        <v/>
      </c>
      <c r="AF13" s="69" t="str">
        <f aca="false">IF(AN13="","",IF(ISNUMBER(AJ13),"",ROUND(MAX(0,IF(AN13&lt;=0,0,WORKDAY(U13,INT(AN13),FERIADOS)-U13+(AN13-INT(AN13))))*(Q13+N(K13))/30,0)+IF(R13="Obra o faena",ROUND(OBRA_DIAS*AL13/30*(DATEDIF(F13,U13+1,"m")+IF(U13+1-EDATE(F13,DATEDIF(F13,U13+1,"m"))&gt;15,1,0)),0),0)))</f>
        <v/>
      </c>
      <c r="AG13" s="62" t="str">
        <f aca="false">IF(B13="","",IFERROR(VALUE(LEFT(UPPER(SUBSTITUTE(SUBSTITUTE(SUBSTITUTE(TRIM(B13),".",""),"-","")," ","")),LEN(UPPER(SUBSTITUTE(SUBSTITUTE(SUBSTITUTE(TRIM(B13),".",""),"-","")," ","")))-1))&amp;RIGHT(UPPER(SUBSTITUTE(SUBSTITUTE(SUBSTITUTE(TRIM(B13),".",""),"-","")," ","")),1),UPPER(SUBSTITUTE(SUBSTITUTE(SUBSTITUTE(TRIM(B13),".",""),"-","")," ",""))))</f>
        <v/>
      </c>
      <c r="AH13" s="62" t="str">
        <f aca="false">IF(B13="","",COUNTIFS(C_RUTN,AG13,C_DEF,"Sí",C_INI,"&lt;="&amp;FECHA_CORTE))</f>
        <v/>
      </c>
      <c r="AI13" s="62" t="str">
        <f aca="false">IF(B13="","",COUNTIFS(C_RUTN,AG13,C_DEF,"Sí"))</f>
        <v/>
      </c>
      <c r="AJ13" s="66" t="str">
        <f aca="false">IF(OR(B13="",N(AI13)&lt;=N(AH13)),"",IFERROR(INDEX(C_INI,MATCH(AG13&amp;"-P"&amp;(AH13+1),C_CLAVE,0)),""))</f>
        <v/>
      </c>
      <c r="AK13" s="63" t="str">
        <f aca="false">IF(O13&lt;&gt;"Activo","",Q13+N(K13)+IF(L13="Sí",MIN(GRAT_PCT*(Q13+N(K13)),GRAT_TOPE),0)+N(I13)+N(J13))</f>
        <v/>
      </c>
      <c r="AL13" s="63" t="str">
        <f aca="false">IF(O13&lt;&gt;"Activo","",MIN(AK13,TOPE_IAS_UF*UF_MES))</f>
        <v/>
      </c>
      <c r="AM13" s="62" t="str">
        <f aca="false">IF(AND(O13="Activo",ISNUMBER(V13),W13&lt;&gt;"Renovación registrada"),V13+ROW()/100000,"")</f>
        <v/>
      </c>
      <c r="AN13" s="70" t="str">
        <f aca="false">IF(OR(O13&lt;&gt;"Activo",NOT(ISNUMBER(U13))),"",IF(U13&lt;FECHA_CORTE,"",1.25*(DATEDIF(F13,U13+1,"m")+(U13+1-EDATE(F13,DATEDIF(F13,U13+1,"m")))/30)-Z13))</f>
        <v/>
      </c>
      <c r="AO13" s="66" t="str">
        <f aca="false">IF(OR(B13="",NOT(ISNUMBER(F13))),"",IF(N(G13)&gt;0,MIN(G13,FECHA_CORTE),FECHA_CORTE))</f>
        <v/>
      </c>
    </row>
    <row r="14" customFormat="false" ht="15" hidden="false" customHeight="false" outlineLevel="0" collapsed="false">
      <c r="B14" s="58"/>
      <c r="C14" s="58"/>
      <c r="D14" s="58"/>
      <c r="E14" s="58"/>
      <c r="F14" s="59"/>
      <c r="G14" s="59"/>
      <c r="H14" s="58"/>
      <c r="I14" s="60"/>
      <c r="J14" s="60"/>
      <c r="K14" s="60"/>
      <c r="L14" s="58"/>
      <c r="M14" s="61"/>
      <c r="N14" s="58"/>
      <c r="O14" s="62" t="str">
        <f aca="false">IF(B14="","",IF(NOT(ISNUMBER(F14)),"⚠ Falta ingreso",IF(F14&gt;FECHA_CORTE,"Por ingresar",IF(G14="","Activo",IF(G14&lt;FECHA_CORTE,"Desvinculado","Activo")))))</f>
        <v/>
      </c>
      <c r="P14" s="62" t="str">
        <f aca="false">IF(OR(B14="",NOT(ISNUMBER(F14))),"",IF(F14&gt;FECHA_CORTE,"",DATEDIF(F14,IF(G14="",FECHA_CORTE,MIN(G14,FECHA_CORTE))+1,"y")&amp;" a "&amp;DATEDIF(F14,IF(G14="",FECHA_CORTE,MIN(G14,FECHA_CORTE))+1,"ym")&amp;" m"))</f>
        <v/>
      </c>
      <c r="Q14" s="63" t="str">
        <f aca="false">IF(B14="","",IFERROR(INDEX(C_SUELDO,MATCH(AG14&amp;"-S"&amp;MAX(1,COUNTIFS(C_RUTN,AG14,C_SUELDO,"&lt;&gt;",C_INI,"&lt;="&amp;FECHA_CORTE)),C_CLAVES,0)),0))</f>
        <v/>
      </c>
      <c r="R14" s="62" t="str">
        <f aca="false">IF(B14="","",IF(N(AI14)=0,"Sin contrato",IFERROR(INDEX(C_TIPO,MATCH(AG14&amp;"-P"&amp;MAX(1,AH14),C_CLAVE,0))&amp;"","")))</f>
        <v/>
      </c>
      <c r="S14" s="64" t="str">
        <f aca="false">IF(R14="Plazo fijo",IFERROR(INDEX(C_NPF,MATCH(AG14&amp;"-P"&amp;MAX(1,AH14),C_CLAVE,0)),""),"")</f>
        <v/>
      </c>
      <c r="T14" s="65" t="str">
        <f aca="false">IF(B14="","",COUNTIFS(C_RUTN,AG14,C_TIPODOC,"Anexo de modificación"))</f>
        <v/>
      </c>
      <c r="U14" s="66" t="str">
        <f aca="false">IF(AND(OR(R14="Plazo fijo",R14="Obra o faena"),O14&lt;&gt;"Desvinculado"),IFERROR(IF(N(INDEX(C_TER,MATCH(AG14&amp;"-P"&amp;MAX(1,AH14),C_CLAVE,0)))=0,"",INDEX(C_TER,MATCH(AG14&amp;"-P"&amp;MAX(1,AH14),C_CLAVE,0))),""),"")</f>
        <v/>
      </c>
      <c r="V14" s="67" t="str">
        <f aca="false">IF(ISNUMBER(U14),U14-FECHA_CORTE,"")</f>
        <v/>
      </c>
      <c r="W14" s="62" t="str">
        <f aca="false">IF(B14="","",IF(O14="Desvinculado","Terminado",IF(N(AI14)=0,"Sin contrato registrado",IF(O14="Por ingresar","Por ingresar",IF(ISNUMBER(AJ14),"Renovación registrada",IF(R14="Indefinido","Indefinido",IF(NOT(ISNUMBER(V14)),"Falta fecha de término",IF(V14&lt;0,"VENCIDO",IF(V14&lt;=ALERTA_ROJA,"Vence en ≤ "&amp;ALERTA_ROJA&amp;" días",IF(V14&lt;=ALERTA_NARANJA,"Vence en ≤ "&amp;ALERTA_NARANJA&amp;" días",IF(V14&lt;=ALERTA_AMARILLA,"Vence en ≤ "&amp;ALERTA_AMARILLA&amp;" días","Vigente")))))))))))</f>
        <v/>
      </c>
      <c r="X14" s="62" t="str">
        <f aca="false">IF(B14="","",IF(W14="Terminado","—",IF(W14="Sin contrato registrado","Registrar su contrato en la hoja Contratos",IF(W14="Por ingresar","Tener el contrato firmado antes del ingreso",IF(W14="Renovación registrada","Siguiente contrato ya registrado: verificar que esté firmado",IF(R14="Indefinido","Sin vencimiento. Cambios de sueldo o cargo: anexo de modificación",IF(W14="Falta fecha de término","Completar la fecha de término en Contratos",IF(W14="VENCIDO","Sigue trabajando con plazo vencido: por ley ya es INDEFINIDO. Firmar anexo de paso a indefinido",IF(R14="Obra o faena","Al terminar la obra: finiquito + 2,5 días de sueldo por mes trabajado",IF(N(S14)&gt;=2,"2° contrato a plazo: NO se puede renovar otra vez a plazo fijo. Pasar a indefinido o terminar al vencer","1er contrato a plazo: renovar (2° contrato), pasar a indefinido o terminar al vencer"))))))))))</f>
        <v/>
      </c>
      <c r="Y14" s="68" t="str">
        <f aca="false">IF(O14&lt;&gt;"Activo","",ROUND(1.25*(DATEDIF(F14,AO14+1,"m")+(AO14+1-EDATE(F14,DATEDIF(F14,AO14+1,"m")))/30),2))</f>
        <v/>
      </c>
      <c r="Z14" s="68" t="str">
        <f aca="false">IF(O14&lt;&gt;"Activo","",N(M14)+SUMIFS(M_VAC,M_RUTN,AG14,M_MES,"&lt;="&amp;FECHA_CORTE))</f>
        <v/>
      </c>
      <c r="AA14" s="68" t="str">
        <f aca="false">IF(O14&lt;&gt;"Activo","",Y14-Z14)</f>
        <v/>
      </c>
      <c r="AB14" s="63" t="str">
        <f aca="false">IF(O14&lt;&gt;"Activo","",ROUND(MAX(0,IF(AA14&lt;=0,0,WORKDAY(FECHA_CORTE,INT(AA14),FERIADOS)-FECHA_CORTE+(AA14-INT(AA14))))*(Q14+N(K14))/30,0))</f>
        <v/>
      </c>
      <c r="AC14" s="65" t="str">
        <f aca="false">IF(O14&lt;&gt;"Activo","",IF(DATEDIF(F14,FECHA_CORTE+1,"y")&lt;1,0,MIN(TOPE_ANIOS,DATEDIF(F14,FECHA_CORTE+1,"y")+IF(EDATE(F14,12*DATEDIF(F14,FECHA_CORTE+1,"y")+6)&lt;FECHA_CORTE+1,1,0))))</f>
        <v/>
      </c>
      <c r="AD14" s="69" t="str">
        <f aca="false">IF(O14&lt;&gt;"Activo","",AB14+IF(R14="Obra o faena",0,ROUND(AL14*AC14,0)+ROUND(AL14,0)))</f>
        <v/>
      </c>
      <c r="AE14" s="69" t="str">
        <f aca="false">IF(O14&lt;&gt;"Activo","",AB14)</f>
        <v/>
      </c>
      <c r="AF14" s="69" t="str">
        <f aca="false">IF(AN14="","",IF(ISNUMBER(AJ14),"",ROUND(MAX(0,IF(AN14&lt;=0,0,WORKDAY(U14,INT(AN14),FERIADOS)-U14+(AN14-INT(AN14))))*(Q14+N(K14))/30,0)+IF(R14="Obra o faena",ROUND(OBRA_DIAS*AL14/30*(DATEDIF(F14,U14+1,"m")+IF(U14+1-EDATE(F14,DATEDIF(F14,U14+1,"m"))&gt;15,1,0)),0),0)))</f>
        <v/>
      </c>
      <c r="AG14" s="62" t="str">
        <f aca="false">IF(B14="","",IFERROR(VALUE(LEFT(UPPER(SUBSTITUTE(SUBSTITUTE(SUBSTITUTE(TRIM(B14),".",""),"-","")," ","")),LEN(UPPER(SUBSTITUTE(SUBSTITUTE(SUBSTITUTE(TRIM(B14),".",""),"-","")," ","")))-1))&amp;RIGHT(UPPER(SUBSTITUTE(SUBSTITUTE(SUBSTITUTE(TRIM(B14),".",""),"-","")," ","")),1),UPPER(SUBSTITUTE(SUBSTITUTE(SUBSTITUTE(TRIM(B14),".",""),"-","")," ",""))))</f>
        <v/>
      </c>
      <c r="AH14" s="62" t="str">
        <f aca="false">IF(B14="","",COUNTIFS(C_RUTN,AG14,C_DEF,"Sí",C_INI,"&lt;="&amp;FECHA_CORTE))</f>
        <v/>
      </c>
      <c r="AI14" s="62" t="str">
        <f aca="false">IF(B14="","",COUNTIFS(C_RUTN,AG14,C_DEF,"Sí"))</f>
        <v/>
      </c>
      <c r="AJ14" s="66" t="str">
        <f aca="false">IF(OR(B14="",N(AI14)&lt;=N(AH14)),"",IFERROR(INDEX(C_INI,MATCH(AG14&amp;"-P"&amp;(AH14+1),C_CLAVE,0)),""))</f>
        <v/>
      </c>
      <c r="AK14" s="63" t="str">
        <f aca="false">IF(O14&lt;&gt;"Activo","",Q14+N(K14)+IF(L14="Sí",MIN(GRAT_PCT*(Q14+N(K14)),GRAT_TOPE),0)+N(I14)+N(J14))</f>
        <v/>
      </c>
      <c r="AL14" s="63" t="str">
        <f aca="false">IF(O14&lt;&gt;"Activo","",MIN(AK14,TOPE_IAS_UF*UF_MES))</f>
        <v/>
      </c>
      <c r="AM14" s="62" t="str">
        <f aca="false">IF(AND(O14="Activo",ISNUMBER(V14),W14&lt;&gt;"Renovación registrada"),V14+ROW()/100000,"")</f>
        <v/>
      </c>
      <c r="AN14" s="70" t="str">
        <f aca="false">IF(OR(O14&lt;&gt;"Activo",NOT(ISNUMBER(U14))),"",IF(U14&lt;FECHA_CORTE,"",1.25*(DATEDIF(F14,U14+1,"m")+(U14+1-EDATE(F14,DATEDIF(F14,U14+1,"m")))/30)-Z14))</f>
        <v/>
      </c>
      <c r="AO14" s="66" t="str">
        <f aca="false">IF(OR(B14="",NOT(ISNUMBER(F14))),"",IF(N(G14)&gt;0,MIN(G14,FECHA_CORTE),FECHA_CORTE))</f>
        <v/>
      </c>
    </row>
    <row r="15" customFormat="false" ht="15" hidden="false" customHeight="false" outlineLevel="0" collapsed="false">
      <c r="B15" s="58"/>
      <c r="C15" s="58"/>
      <c r="D15" s="58"/>
      <c r="E15" s="58"/>
      <c r="F15" s="59"/>
      <c r="G15" s="59"/>
      <c r="H15" s="58"/>
      <c r="I15" s="60"/>
      <c r="J15" s="60"/>
      <c r="K15" s="60"/>
      <c r="L15" s="58"/>
      <c r="M15" s="61"/>
      <c r="N15" s="58"/>
      <c r="O15" s="62" t="str">
        <f aca="false">IF(B15="","",IF(NOT(ISNUMBER(F15)),"⚠ Falta ingreso",IF(F15&gt;FECHA_CORTE,"Por ingresar",IF(G15="","Activo",IF(G15&lt;FECHA_CORTE,"Desvinculado","Activo")))))</f>
        <v/>
      </c>
      <c r="P15" s="62" t="str">
        <f aca="false">IF(OR(B15="",NOT(ISNUMBER(F15))),"",IF(F15&gt;FECHA_CORTE,"",DATEDIF(F15,IF(G15="",FECHA_CORTE,MIN(G15,FECHA_CORTE))+1,"y")&amp;" a "&amp;DATEDIF(F15,IF(G15="",FECHA_CORTE,MIN(G15,FECHA_CORTE))+1,"ym")&amp;" m"))</f>
        <v/>
      </c>
      <c r="Q15" s="63" t="str">
        <f aca="false">IF(B15="","",IFERROR(INDEX(C_SUELDO,MATCH(AG15&amp;"-S"&amp;MAX(1,COUNTIFS(C_RUTN,AG15,C_SUELDO,"&lt;&gt;",C_INI,"&lt;="&amp;FECHA_CORTE)),C_CLAVES,0)),0))</f>
        <v/>
      </c>
      <c r="R15" s="62" t="str">
        <f aca="false">IF(B15="","",IF(N(AI15)=0,"Sin contrato",IFERROR(INDEX(C_TIPO,MATCH(AG15&amp;"-P"&amp;MAX(1,AH15),C_CLAVE,0))&amp;"","")))</f>
        <v/>
      </c>
      <c r="S15" s="64" t="str">
        <f aca="false">IF(R15="Plazo fijo",IFERROR(INDEX(C_NPF,MATCH(AG15&amp;"-P"&amp;MAX(1,AH15),C_CLAVE,0)),""),"")</f>
        <v/>
      </c>
      <c r="T15" s="65" t="str">
        <f aca="false">IF(B15="","",COUNTIFS(C_RUTN,AG15,C_TIPODOC,"Anexo de modificación"))</f>
        <v/>
      </c>
      <c r="U15" s="66" t="str">
        <f aca="false">IF(AND(OR(R15="Plazo fijo",R15="Obra o faena"),O15&lt;&gt;"Desvinculado"),IFERROR(IF(N(INDEX(C_TER,MATCH(AG15&amp;"-P"&amp;MAX(1,AH15),C_CLAVE,0)))=0,"",INDEX(C_TER,MATCH(AG15&amp;"-P"&amp;MAX(1,AH15),C_CLAVE,0))),""),"")</f>
        <v/>
      </c>
      <c r="V15" s="67" t="str">
        <f aca="false">IF(ISNUMBER(U15),U15-FECHA_CORTE,"")</f>
        <v/>
      </c>
      <c r="W15" s="62" t="str">
        <f aca="false">IF(B15="","",IF(O15="Desvinculado","Terminado",IF(N(AI15)=0,"Sin contrato registrado",IF(O15="Por ingresar","Por ingresar",IF(ISNUMBER(AJ15),"Renovación registrada",IF(R15="Indefinido","Indefinido",IF(NOT(ISNUMBER(V15)),"Falta fecha de término",IF(V15&lt;0,"VENCIDO",IF(V15&lt;=ALERTA_ROJA,"Vence en ≤ "&amp;ALERTA_ROJA&amp;" días",IF(V15&lt;=ALERTA_NARANJA,"Vence en ≤ "&amp;ALERTA_NARANJA&amp;" días",IF(V15&lt;=ALERTA_AMARILLA,"Vence en ≤ "&amp;ALERTA_AMARILLA&amp;" días","Vigente")))))))))))</f>
        <v/>
      </c>
      <c r="X15" s="62" t="str">
        <f aca="false">IF(B15="","",IF(W15="Terminado","—",IF(W15="Sin contrato registrado","Registrar su contrato en la hoja Contratos",IF(W15="Por ingresar","Tener el contrato firmado antes del ingreso",IF(W15="Renovación registrada","Siguiente contrato ya registrado: verificar que esté firmado",IF(R15="Indefinido","Sin vencimiento. Cambios de sueldo o cargo: anexo de modificación",IF(W15="Falta fecha de término","Completar la fecha de término en Contratos",IF(W15="VENCIDO","Sigue trabajando con plazo vencido: por ley ya es INDEFINIDO. Firmar anexo de paso a indefinido",IF(R15="Obra o faena","Al terminar la obra: finiquito + 2,5 días de sueldo por mes trabajado",IF(N(S15)&gt;=2,"2° contrato a plazo: NO se puede renovar otra vez a plazo fijo. Pasar a indefinido o terminar al vencer","1er contrato a plazo: renovar (2° contrato), pasar a indefinido o terminar al vencer"))))))))))</f>
        <v/>
      </c>
      <c r="Y15" s="68" t="str">
        <f aca="false">IF(O15&lt;&gt;"Activo","",ROUND(1.25*(DATEDIF(F15,AO15+1,"m")+(AO15+1-EDATE(F15,DATEDIF(F15,AO15+1,"m")))/30),2))</f>
        <v/>
      </c>
      <c r="Z15" s="68" t="str">
        <f aca="false">IF(O15&lt;&gt;"Activo","",N(M15)+SUMIFS(M_VAC,M_RUTN,AG15,M_MES,"&lt;="&amp;FECHA_CORTE))</f>
        <v/>
      </c>
      <c r="AA15" s="68" t="str">
        <f aca="false">IF(O15&lt;&gt;"Activo","",Y15-Z15)</f>
        <v/>
      </c>
      <c r="AB15" s="63" t="str">
        <f aca="false">IF(O15&lt;&gt;"Activo","",ROUND(MAX(0,IF(AA15&lt;=0,0,WORKDAY(FECHA_CORTE,INT(AA15),FERIADOS)-FECHA_CORTE+(AA15-INT(AA15))))*(Q15+N(K15))/30,0))</f>
        <v/>
      </c>
      <c r="AC15" s="65" t="str">
        <f aca="false">IF(O15&lt;&gt;"Activo","",IF(DATEDIF(F15,FECHA_CORTE+1,"y")&lt;1,0,MIN(TOPE_ANIOS,DATEDIF(F15,FECHA_CORTE+1,"y")+IF(EDATE(F15,12*DATEDIF(F15,FECHA_CORTE+1,"y")+6)&lt;FECHA_CORTE+1,1,0))))</f>
        <v/>
      </c>
      <c r="AD15" s="69" t="str">
        <f aca="false">IF(O15&lt;&gt;"Activo","",AB15+IF(R15="Obra o faena",0,ROUND(AL15*AC15,0)+ROUND(AL15,0)))</f>
        <v/>
      </c>
      <c r="AE15" s="69" t="str">
        <f aca="false">IF(O15&lt;&gt;"Activo","",AB15)</f>
        <v/>
      </c>
      <c r="AF15" s="69" t="str">
        <f aca="false">IF(AN15="","",IF(ISNUMBER(AJ15),"",ROUND(MAX(0,IF(AN15&lt;=0,0,WORKDAY(U15,INT(AN15),FERIADOS)-U15+(AN15-INT(AN15))))*(Q15+N(K15))/30,0)+IF(R15="Obra o faena",ROUND(OBRA_DIAS*AL15/30*(DATEDIF(F15,U15+1,"m")+IF(U15+1-EDATE(F15,DATEDIF(F15,U15+1,"m"))&gt;15,1,0)),0),0)))</f>
        <v/>
      </c>
      <c r="AG15" s="62" t="str">
        <f aca="false">IF(B15="","",IFERROR(VALUE(LEFT(UPPER(SUBSTITUTE(SUBSTITUTE(SUBSTITUTE(TRIM(B15),".",""),"-","")," ","")),LEN(UPPER(SUBSTITUTE(SUBSTITUTE(SUBSTITUTE(TRIM(B15),".",""),"-","")," ","")))-1))&amp;RIGHT(UPPER(SUBSTITUTE(SUBSTITUTE(SUBSTITUTE(TRIM(B15),".",""),"-","")," ","")),1),UPPER(SUBSTITUTE(SUBSTITUTE(SUBSTITUTE(TRIM(B15),".",""),"-","")," ",""))))</f>
        <v/>
      </c>
      <c r="AH15" s="62" t="str">
        <f aca="false">IF(B15="","",COUNTIFS(C_RUTN,AG15,C_DEF,"Sí",C_INI,"&lt;="&amp;FECHA_CORTE))</f>
        <v/>
      </c>
      <c r="AI15" s="62" t="str">
        <f aca="false">IF(B15="","",COUNTIFS(C_RUTN,AG15,C_DEF,"Sí"))</f>
        <v/>
      </c>
      <c r="AJ15" s="66" t="str">
        <f aca="false">IF(OR(B15="",N(AI15)&lt;=N(AH15)),"",IFERROR(INDEX(C_INI,MATCH(AG15&amp;"-P"&amp;(AH15+1),C_CLAVE,0)),""))</f>
        <v/>
      </c>
      <c r="AK15" s="63" t="str">
        <f aca="false">IF(O15&lt;&gt;"Activo","",Q15+N(K15)+IF(L15="Sí",MIN(GRAT_PCT*(Q15+N(K15)),GRAT_TOPE),0)+N(I15)+N(J15))</f>
        <v/>
      </c>
      <c r="AL15" s="63" t="str">
        <f aca="false">IF(O15&lt;&gt;"Activo","",MIN(AK15,TOPE_IAS_UF*UF_MES))</f>
        <v/>
      </c>
      <c r="AM15" s="62" t="str">
        <f aca="false">IF(AND(O15="Activo",ISNUMBER(V15),W15&lt;&gt;"Renovación registrada"),V15+ROW()/100000,"")</f>
        <v/>
      </c>
      <c r="AN15" s="70" t="str">
        <f aca="false">IF(OR(O15&lt;&gt;"Activo",NOT(ISNUMBER(U15))),"",IF(U15&lt;FECHA_CORTE,"",1.25*(DATEDIF(F15,U15+1,"m")+(U15+1-EDATE(F15,DATEDIF(F15,U15+1,"m")))/30)-Z15))</f>
        <v/>
      </c>
      <c r="AO15" s="66" t="str">
        <f aca="false">IF(OR(B15="",NOT(ISNUMBER(F15))),"",IF(N(G15)&gt;0,MIN(G15,FECHA_CORTE),FECHA_CORTE))</f>
        <v/>
      </c>
    </row>
    <row r="16" customFormat="false" ht="15" hidden="false" customHeight="false" outlineLevel="0" collapsed="false">
      <c r="B16" s="58"/>
      <c r="C16" s="58"/>
      <c r="D16" s="58"/>
      <c r="E16" s="58"/>
      <c r="F16" s="59"/>
      <c r="G16" s="59"/>
      <c r="H16" s="58"/>
      <c r="I16" s="60"/>
      <c r="J16" s="60"/>
      <c r="K16" s="60"/>
      <c r="L16" s="58"/>
      <c r="M16" s="61"/>
      <c r="N16" s="58"/>
      <c r="O16" s="62" t="str">
        <f aca="false">IF(B16="","",IF(NOT(ISNUMBER(F16)),"⚠ Falta ingreso",IF(F16&gt;FECHA_CORTE,"Por ingresar",IF(G16="","Activo",IF(G16&lt;FECHA_CORTE,"Desvinculado","Activo")))))</f>
        <v/>
      </c>
      <c r="P16" s="62" t="str">
        <f aca="false">IF(OR(B16="",NOT(ISNUMBER(F16))),"",IF(F16&gt;FECHA_CORTE,"",DATEDIF(F16,IF(G16="",FECHA_CORTE,MIN(G16,FECHA_CORTE))+1,"y")&amp;" a "&amp;DATEDIF(F16,IF(G16="",FECHA_CORTE,MIN(G16,FECHA_CORTE))+1,"ym")&amp;" m"))</f>
        <v/>
      </c>
      <c r="Q16" s="63" t="str">
        <f aca="false">IF(B16="","",IFERROR(INDEX(C_SUELDO,MATCH(AG16&amp;"-S"&amp;MAX(1,COUNTIFS(C_RUTN,AG16,C_SUELDO,"&lt;&gt;",C_INI,"&lt;="&amp;FECHA_CORTE)),C_CLAVES,0)),0))</f>
        <v/>
      </c>
      <c r="R16" s="62" t="str">
        <f aca="false">IF(B16="","",IF(N(AI16)=0,"Sin contrato",IFERROR(INDEX(C_TIPO,MATCH(AG16&amp;"-P"&amp;MAX(1,AH16),C_CLAVE,0))&amp;"","")))</f>
        <v/>
      </c>
      <c r="S16" s="64" t="str">
        <f aca="false">IF(R16="Plazo fijo",IFERROR(INDEX(C_NPF,MATCH(AG16&amp;"-P"&amp;MAX(1,AH16),C_CLAVE,0)),""),"")</f>
        <v/>
      </c>
      <c r="T16" s="65" t="str">
        <f aca="false">IF(B16="","",COUNTIFS(C_RUTN,AG16,C_TIPODOC,"Anexo de modificación"))</f>
        <v/>
      </c>
      <c r="U16" s="66" t="str">
        <f aca="false">IF(AND(OR(R16="Plazo fijo",R16="Obra o faena"),O16&lt;&gt;"Desvinculado"),IFERROR(IF(N(INDEX(C_TER,MATCH(AG16&amp;"-P"&amp;MAX(1,AH16),C_CLAVE,0)))=0,"",INDEX(C_TER,MATCH(AG16&amp;"-P"&amp;MAX(1,AH16),C_CLAVE,0))),""),"")</f>
        <v/>
      </c>
      <c r="V16" s="67" t="str">
        <f aca="false">IF(ISNUMBER(U16),U16-FECHA_CORTE,"")</f>
        <v/>
      </c>
      <c r="W16" s="62" t="str">
        <f aca="false">IF(B16="","",IF(O16="Desvinculado","Terminado",IF(N(AI16)=0,"Sin contrato registrado",IF(O16="Por ingresar","Por ingresar",IF(ISNUMBER(AJ16),"Renovación registrada",IF(R16="Indefinido","Indefinido",IF(NOT(ISNUMBER(V16)),"Falta fecha de término",IF(V16&lt;0,"VENCIDO",IF(V16&lt;=ALERTA_ROJA,"Vence en ≤ "&amp;ALERTA_ROJA&amp;" días",IF(V16&lt;=ALERTA_NARANJA,"Vence en ≤ "&amp;ALERTA_NARANJA&amp;" días",IF(V16&lt;=ALERTA_AMARILLA,"Vence en ≤ "&amp;ALERTA_AMARILLA&amp;" días","Vigente")))))))))))</f>
        <v/>
      </c>
      <c r="X16" s="62" t="str">
        <f aca="false">IF(B16="","",IF(W16="Terminado","—",IF(W16="Sin contrato registrado","Registrar su contrato en la hoja Contratos",IF(W16="Por ingresar","Tener el contrato firmado antes del ingreso",IF(W16="Renovación registrada","Siguiente contrato ya registrado: verificar que esté firmado",IF(R16="Indefinido","Sin vencimiento. Cambios de sueldo o cargo: anexo de modificación",IF(W16="Falta fecha de término","Completar la fecha de término en Contratos",IF(W16="VENCIDO","Sigue trabajando con plazo vencido: por ley ya es INDEFINIDO. Firmar anexo de paso a indefinido",IF(R16="Obra o faena","Al terminar la obra: finiquito + 2,5 días de sueldo por mes trabajado",IF(N(S16)&gt;=2,"2° contrato a plazo: NO se puede renovar otra vez a plazo fijo. Pasar a indefinido o terminar al vencer","1er contrato a plazo: renovar (2° contrato), pasar a indefinido o terminar al vencer"))))))))))</f>
        <v/>
      </c>
      <c r="Y16" s="68" t="str">
        <f aca="false">IF(O16&lt;&gt;"Activo","",ROUND(1.25*(DATEDIF(F16,AO16+1,"m")+(AO16+1-EDATE(F16,DATEDIF(F16,AO16+1,"m")))/30),2))</f>
        <v/>
      </c>
      <c r="Z16" s="68" t="str">
        <f aca="false">IF(O16&lt;&gt;"Activo","",N(M16)+SUMIFS(M_VAC,M_RUTN,AG16,M_MES,"&lt;="&amp;FECHA_CORTE))</f>
        <v/>
      </c>
      <c r="AA16" s="68" t="str">
        <f aca="false">IF(O16&lt;&gt;"Activo","",Y16-Z16)</f>
        <v/>
      </c>
      <c r="AB16" s="63" t="str">
        <f aca="false">IF(O16&lt;&gt;"Activo","",ROUND(MAX(0,IF(AA16&lt;=0,0,WORKDAY(FECHA_CORTE,INT(AA16),FERIADOS)-FECHA_CORTE+(AA16-INT(AA16))))*(Q16+N(K16))/30,0))</f>
        <v/>
      </c>
      <c r="AC16" s="65" t="str">
        <f aca="false">IF(O16&lt;&gt;"Activo","",IF(DATEDIF(F16,FECHA_CORTE+1,"y")&lt;1,0,MIN(TOPE_ANIOS,DATEDIF(F16,FECHA_CORTE+1,"y")+IF(EDATE(F16,12*DATEDIF(F16,FECHA_CORTE+1,"y")+6)&lt;FECHA_CORTE+1,1,0))))</f>
        <v/>
      </c>
      <c r="AD16" s="69" t="str">
        <f aca="false">IF(O16&lt;&gt;"Activo","",AB16+IF(R16="Obra o faena",0,ROUND(AL16*AC16,0)+ROUND(AL16,0)))</f>
        <v/>
      </c>
      <c r="AE16" s="69" t="str">
        <f aca="false">IF(O16&lt;&gt;"Activo","",AB16)</f>
        <v/>
      </c>
      <c r="AF16" s="69" t="str">
        <f aca="false">IF(AN16="","",IF(ISNUMBER(AJ16),"",ROUND(MAX(0,IF(AN16&lt;=0,0,WORKDAY(U16,INT(AN16),FERIADOS)-U16+(AN16-INT(AN16))))*(Q16+N(K16))/30,0)+IF(R16="Obra o faena",ROUND(OBRA_DIAS*AL16/30*(DATEDIF(F16,U16+1,"m")+IF(U16+1-EDATE(F16,DATEDIF(F16,U16+1,"m"))&gt;15,1,0)),0),0)))</f>
        <v/>
      </c>
      <c r="AG16" s="62" t="str">
        <f aca="false">IF(B16="","",IFERROR(VALUE(LEFT(UPPER(SUBSTITUTE(SUBSTITUTE(SUBSTITUTE(TRIM(B16),".",""),"-","")," ","")),LEN(UPPER(SUBSTITUTE(SUBSTITUTE(SUBSTITUTE(TRIM(B16),".",""),"-","")," ","")))-1))&amp;RIGHT(UPPER(SUBSTITUTE(SUBSTITUTE(SUBSTITUTE(TRIM(B16),".",""),"-","")," ","")),1),UPPER(SUBSTITUTE(SUBSTITUTE(SUBSTITUTE(TRIM(B16),".",""),"-","")," ",""))))</f>
        <v/>
      </c>
      <c r="AH16" s="62" t="str">
        <f aca="false">IF(B16="","",COUNTIFS(C_RUTN,AG16,C_DEF,"Sí",C_INI,"&lt;="&amp;FECHA_CORTE))</f>
        <v/>
      </c>
      <c r="AI16" s="62" t="str">
        <f aca="false">IF(B16="","",COUNTIFS(C_RUTN,AG16,C_DEF,"Sí"))</f>
        <v/>
      </c>
      <c r="AJ16" s="66" t="str">
        <f aca="false">IF(OR(B16="",N(AI16)&lt;=N(AH16)),"",IFERROR(INDEX(C_INI,MATCH(AG16&amp;"-P"&amp;(AH16+1),C_CLAVE,0)),""))</f>
        <v/>
      </c>
      <c r="AK16" s="63" t="str">
        <f aca="false">IF(O16&lt;&gt;"Activo","",Q16+N(K16)+IF(L16="Sí",MIN(GRAT_PCT*(Q16+N(K16)),GRAT_TOPE),0)+N(I16)+N(J16))</f>
        <v/>
      </c>
      <c r="AL16" s="63" t="str">
        <f aca="false">IF(O16&lt;&gt;"Activo","",MIN(AK16,TOPE_IAS_UF*UF_MES))</f>
        <v/>
      </c>
      <c r="AM16" s="62" t="str">
        <f aca="false">IF(AND(O16="Activo",ISNUMBER(V16),W16&lt;&gt;"Renovación registrada"),V16+ROW()/100000,"")</f>
        <v/>
      </c>
      <c r="AN16" s="70" t="str">
        <f aca="false">IF(OR(O16&lt;&gt;"Activo",NOT(ISNUMBER(U16))),"",IF(U16&lt;FECHA_CORTE,"",1.25*(DATEDIF(F16,U16+1,"m")+(U16+1-EDATE(F16,DATEDIF(F16,U16+1,"m")))/30)-Z16))</f>
        <v/>
      </c>
      <c r="AO16" s="66" t="str">
        <f aca="false">IF(OR(B16="",NOT(ISNUMBER(F16))),"",IF(N(G16)&gt;0,MIN(G16,FECHA_CORTE),FECHA_CORTE))</f>
        <v/>
      </c>
    </row>
    <row r="17" customFormat="false" ht="15" hidden="false" customHeight="false" outlineLevel="0" collapsed="false">
      <c r="B17" s="58"/>
      <c r="C17" s="58"/>
      <c r="D17" s="58"/>
      <c r="E17" s="58"/>
      <c r="F17" s="59"/>
      <c r="G17" s="59"/>
      <c r="H17" s="58"/>
      <c r="I17" s="60"/>
      <c r="J17" s="60"/>
      <c r="K17" s="60"/>
      <c r="L17" s="58"/>
      <c r="M17" s="61"/>
      <c r="N17" s="58"/>
      <c r="O17" s="62" t="str">
        <f aca="false">IF(B17="","",IF(NOT(ISNUMBER(F17)),"⚠ Falta ingreso",IF(F17&gt;FECHA_CORTE,"Por ingresar",IF(G17="","Activo",IF(G17&lt;FECHA_CORTE,"Desvinculado","Activo")))))</f>
        <v/>
      </c>
      <c r="P17" s="62" t="str">
        <f aca="false">IF(OR(B17="",NOT(ISNUMBER(F17))),"",IF(F17&gt;FECHA_CORTE,"",DATEDIF(F17,IF(G17="",FECHA_CORTE,MIN(G17,FECHA_CORTE))+1,"y")&amp;" a "&amp;DATEDIF(F17,IF(G17="",FECHA_CORTE,MIN(G17,FECHA_CORTE))+1,"ym")&amp;" m"))</f>
        <v/>
      </c>
      <c r="Q17" s="63" t="str">
        <f aca="false">IF(B17="","",IFERROR(INDEX(C_SUELDO,MATCH(AG17&amp;"-S"&amp;MAX(1,COUNTIFS(C_RUTN,AG17,C_SUELDO,"&lt;&gt;",C_INI,"&lt;="&amp;FECHA_CORTE)),C_CLAVES,0)),0))</f>
        <v/>
      </c>
      <c r="R17" s="62" t="str">
        <f aca="false">IF(B17="","",IF(N(AI17)=0,"Sin contrato",IFERROR(INDEX(C_TIPO,MATCH(AG17&amp;"-P"&amp;MAX(1,AH17),C_CLAVE,0))&amp;"","")))</f>
        <v/>
      </c>
      <c r="S17" s="64" t="str">
        <f aca="false">IF(R17="Plazo fijo",IFERROR(INDEX(C_NPF,MATCH(AG17&amp;"-P"&amp;MAX(1,AH17),C_CLAVE,0)),""),"")</f>
        <v/>
      </c>
      <c r="T17" s="65" t="str">
        <f aca="false">IF(B17="","",COUNTIFS(C_RUTN,AG17,C_TIPODOC,"Anexo de modificación"))</f>
        <v/>
      </c>
      <c r="U17" s="66" t="str">
        <f aca="false">IF(AND(OR(R17="Plazo fijo",R17="Obra o faena"),O17&lt;&gt;"Desvinculado"),IFERROR(IF(N(INDEX(C_TER,MATCH(AG17&amp;"-P"&amp;MAX(1,AH17),C_CLAVE,0)))=0,"",INDEX(C_TER,MATCH(AG17&amp;"-P"&amp;MAX(1,AH17),C_CLAVE,0))),""),"")</f>
        <v/>
      </c>
      <c r="V17" s="67" t="str">
        <f aca="false">IF(ISNUMBER(U17),U17-FECHA_CORTE,"")</f>
        <v/>
      </c>
      <c r="W17" s="62" t="str">
        <f aca="false">IF(B17="","",IF(O17="Desvinculado","Terminado",IF(N(AI17)=0,"Sin contrato registrado",IF(O17="Por ingresar","Por ingresar",IF(ISNUMBER(AJ17),"Renovación registrada",IF(R17="Indefinido","Indefinido",IF(NOT(ISNUMBER(V17)),"Falta fecha de término",IF(V17&lt;0,"VENCIDO",IF(V17&lt;=ALERTA_ROJA,"Vence en ≤ "&amp;ALERTA_ROJA&amp;" días",IF(V17&lt;=ALERTA_NARANJA,"Vence en ≤ "&amp;ALERTA_NARANJA&amp;" días",IF(V17&lt;=ALERTA_AMARILLA,"Vence en ≤ "&amp;ALERTA_AMARILLA&amp;" días","Vigente")))))))))))</f>
        <v/>
      </c>
      <c r="X17" s="62" t="str">
        <f aca="false">IF(B17="","",IF(W17="Terminado","—",IF(W17="Sin contrato registrado","Registrar su contrato en la hoja Contratos",IF(W17="Por ingresar","Tener el contrato firmado antes del ingreso",IF(W17="Renovación registrada","Siguiente contrato ya registrado: verificar que esté firmado",IF(R17="Indefinido","Sin vencimiento. Cambios de sueldo o cargo: anexo de modificación",IF(W17="Falta fecha de término","Completar la fecha de término en Contratos",IF(W17="VENCIDO","Sigue trabajando con plazo vencido: por ley ya es INDEFINIDO. Firmar anexo de paso a indefinido",IF(R17="Obra o faena","Al terminar la obra: finiquito + 2,5 días de sueldo por mes trabajado",IF(N(S17)&gt;=2,"2° contrato a plazo: NO se puede renovar otra vez a plazo fijo. Pasar a indefinido o terminar al vencer","1er contrato a plazo: renovar (2° contrato), pasar a indefinido o terminar al vencer"))))))))))</f>
        <v/>
      </c>
      <c r="Y17" s="68" t="str">
        <f aca="false">IF(O17&lt;&gt;"Activo","",ROUND(1.25*(DATEDIF(F17,AO17+1,"m")+(AO17+1-EDATE(F17,DATEDIF(F17,AO17+1,"m")))/30),2))</f>
        <v/>
      </c>
      <c r="Z17" s="68" t="str">
        <f aca="false">IF(O17&lt;&gt;"Activo","",N(M17)+SUMIFS(M_VAC,M_RUTN,AG17,M_MES,"&lt;="&amp;FECHA_CORTE))</f>
        <v/>
      </c>
      <c r="AA17" s="68" t="str">
        <f aca="false">IF(O17&lt;&gt;"Activo","",Y17-Z17)</f>
        <v/>
      </c>
      <c r="AB17" s="63" t="str">
        <f aca="false">IF(O17&lt;&gt;"Activo","",ROUND(MAX(0,IF(AA17&lt;=0,0,WORKDAY(FECHA_CORTE,INT(AA17),FERIADOS)-FECHA_CORTE+(AA17-INT(AA17))))*(Q17+N(K17))/30,0))</f>
        <v/>
      </c>
      <c r="AC17" s="65" t="str">
        <f aca="false">IF(O17&lt;&gt;"Activo","",IF(DATEDIF(F17,FECHA_CORTE+1,"y")&lt;1,0,MIN(TOPE_ANIOS,DATEDIF(F17,FECHA_CORTE+1,"y")+IF(EDATE(F17,12*DATEDIF(F17,FECHA_CORTE+1,"y")+6)&lt;FECHA_CORTE+1,1,0))))</f>
        <v/>
      </c>
      <c r="AD17" s="69" t="str">
        <f aca="false">IF(O17&lt;&gt;"Activo","",AB17+IF(R17="Obra o faena",0,ROUND(AL17*AC17,0)+ROUND(AL17,0)))</f>
        <v/>
      </c>
      <c r="AE17" s="69" t="str">
        <f aca="false">IF(O17&lt;&gt;"Activo","",AB17)</f>
        <v/>
      </c>
      <c r="AF17" s="69" t="str">
        <f aca="false">IF(AN17="","",IF(ISNUMBER(AJ17),"",ROUND(MAX(0,IF(AN17&lt;=0,0,WORKDAY(U17,INT(AN17),FERIADOS)-U17+(AN17-INT(AN17))))*(Q17+N(K17))/30,0)+IF(R17="Obra o faena",ROUND(OBRA_DIAS*AL17/30*(DATEDIF(F17,U17+1,"m")+IF(U17+1-EDATE(F17,DATEDIF(F17,U17+1,"m"))&gt;15,1,0)),0),0)))</f>
        <v/>
      </c>
      <c r="AG17" s="62" t="str">
        <f aca="false">IF(B17="","",IFERROR(VALUE(LEFT(UPPER(SUBSTITUTE(SUBSTITUTE(SUBSTITUTE(TRIM(B17),".",""),"-","")," ","")),LEN(UPPER(SUBSTITUTE(SUBSTITUTE(SUBSTITUTE(TRIM(B17),".",""),"-","")," ","")))-1))&amp;RIGHT(UPPER(SUBSTITUTE(SUBSTITUTE(SUBSTITUTE(TRIM(B17),".",""),"-","")," ","")),1),UPPER(SUBSTITUTE(SUBSTITUTE(SUBSTITUTE(TRIM(B17),".",""),"-","")," ",""))))</f>
        <v/>
      </c>
      <c r="AH17" s="62" t="str">
        <f aca="false">IF(B17="","",COUNTIFS(C_RUTN,AG17,C_DEF,"Sí",C_INI,"&lt;="&amp;FECHA_CORTE))</f>
        <v/>
      </c>
      <c r="AI17" s="62" t="str">
        <f aca="false">IF(B17="","",COUNTIFS(C_RUTN,AG17,C_DEF,"Sí"))</f>
        <v/>
      </c>
      <c r="AJ17" s="66" t="str">
        <f aca="false">IF(OR(B17="",N(AI17)&lt;=N(AH17)),"",IFERROR(INDEX(C_INI,MATCH(AG17&amp;"-P"&amp;(AH17+1),C_CLAVE,0)),""))</f>
        <v/>
      </c>
      <c r="AK17" s="63" t="str">
        <f aca="false">IF(O17&lt;&gt;"Activo","",Q17+N(K17)+IF(L17="Sí",MIN(GRAT_PCT*(Q17+N(K17)),GRAT_TOPE),0)+N(I17)+N(J17))</f>
        <v/>
      </c>
      <c r="AL17" s="63" t="str">
        <f aca="false">IF(O17&lt;&gt;"Activo","",MIN(AK17,TOPE_IAS_UF*UF_MES))</f>
        <v/>
      </c>
      <c r="AM17" s="62" t="str">
        <f aca="false">IF(AND(O17="Activo",ISNUMBER(V17),W17&lt;&gt;"Renovación registrada"),V17+ROW()/100000,"")</f>
        <v/>
      </c>
      <c r="AN17" s="70" t="str">
        <f aca="false">IF(OR(O17&lt;&gt;"Activo",NOT(ISNUMBER(U17))),"",IF(U17&lt;FECHA_CORTE,"",1.25*(DATEDIF(F17,U17+1,"m")+(U17+1-EDATE(F17,DATEDIF(F17,U17+1,"m")))/30)-Z17))</f>
        <v/>
      </c>
      <c r="AO17" s="66" t="str">
        <f aca="false">IF(OR(B17="",NOT(ISNUMBER(F17))),"",IF(N(G17)&gt;0,MIN(G17,FECHA_CORTE),FECHA_CORTE))</f>
        <v/>
      </c>
    </row>
    <row r="18" customFormat="false" ht="15" hidden="false" customHeight="false" outlineLevel="0" collapsed="false">
      <c r="B18" s="58"/>
      <c r="C18" s="58"/>
      <c r="D18" s="58"/>
      <c r="E18" s="58"/>
      <c r="F18" s="59"/>
      <c r="G18" s="59"/>
      <c r="H18" s="58"/>
      <c r="I18" s="60"/>
      <c r="J18" s="60"/>
      <c r="K18" s="60"/>
      <c r="L18" s="58"/>
      <c r="M18" s="61"/>
      <c r="N18" s="58"/>
      <c r="O18" s="62" t="str">
        <f aca="false">IF(B18="","",IF(NOT(ISNUMBER(F18)),"⚠ Falta ingreso",IF(F18&gt;FECHA_CORTE,"Por ingresar",IF(G18="","Activo",IF(G18&lt;FECHA_CORTE,"Desvinculado","Activo")))))</f>
        <v/>
      </c>
      <c r="P18" s="62" t="str">
        <f aca="false">IF(OR(B18="",NOT(ISNUMBER(F18))),"",IF(F18&gt;FECHA_CORTE,"",DATEDIF(F18,IF(G18="",FECHA_CORTE,MIN(G18,FECHA_CORTE))+1,"y")&amp;" a "&amp;DATEDIF(F18,IF(G18="",FECHA_CORTE,MIN(G18,FECHA_CORTE))+1,"ym")&amp;" m"))</f>
        <v/>
      </c>
      <c r="Q18" s="63" t="str">
        <f aca="false">IF(B18="","",IFERROR(INDEX(C_SUELDO,MATCH(AG18&amp;"-S"&amp;MAX(1,COUNTIFS(C_RUTN,AG18,C_SUELDO,"&lt;&gt;",C_INI,"&lt;="&amp;FECHA_CORTE)),C_CLAVES,0)),0))</f>
        <v/>
      </c>
      <c r="R18" s="62" t="str">
        <f aca="false">IF(B18="","",IF(N(AI18)=0,"Sin contrato",IFERROR(INDEX(C_TIPO,MATCH(AG18&amp;"-P"&amp;MAX(1,AH18),C_CLAVE,0))&amp;"","")))</f>
        <v/>
      </c>
      <c r="S18" s="64" t="str">
        <f aca="false">IF(R18="Plazo fijo",IFERROR(INDEX(C_NPF,MATCH(AG18&amp;"-P"&amp;MAX(1,AH18),C_CLAVE,0)),""),"")</f>
        <v/>
      </c>
      <c r="T18" s="65" t="str">
        <f aca="false">IF(B18="","",COUNTIFS(C_RUTN,AG18,C_TIPODOC,"Anexo de modificación"))</f>
        <v/>
      </c>
      <c r="U18" s="66" t="str">
        <f aca="false">IF(AND(OR(R18="Plazo fijo",R18="Obra o faena"),O18&lt;&gt;"Desvinculado"),IFERROR(IF(N(INDEX(C_TER,MATCH(AG18&amp;"-P"&amp;MAX(1,AH18),C_CLAVE,0)))=0,"",INDEX(C_TER,MATCH(AG18&amp;"-P"&amp;MAX(1,AH18),C_CLAVE,0))),""),"")</f>
        <v/>
      </c>
      <c r="V18" s="67" t="str">
        <f aca="false">IF(ISNUMBER(U18),U18-FECHA_CORTE,"")</f>
        <v/>
      </c>
      <c r="W18" s="62" t="str">
        <f aca="false">IF(B18="","",IF(O18="Desvinculado","Terminado",IF(N(AI18)=0,"Sin contrato registrado",IF(O18="Por ingresar","Por ingresar",IF(ISNUMBER(AJ18),"Renovación registrada",IF(R18="Indefinido","Indefinido",IF(NOT(ISNUMBER(V18)),"Falta fecha de término",IF(V18&lt;0,"VENCIDO",IF(V18&lt;=ALERTA_ROJA,"Vence en ≤ "&amp;ALERTA_ROJA&amp;" días",IF(V18&lt;=ALERTA_NARANJA,"Vence en ≤ "&amp;ALERTA_NARANJA&amp;" días",IF(V18&lt;=ALERTA_AMARILLA,"Vence en ≤ "&amp;ALERTA_AMARILLA&amp;" días","Vigente")))))))))))</f>
        <v/>
      </c>
      <c r="X18" s="62" t="str">
        <f aca="false">IF(B18="","",IF(W18="Terminado","—",IF(W18="Sin contrato registrado","Registrar su contrato en la hoja Contratos",IF(W18="Por ingresar","Tener el contrato firmado antes del ingreso",IF(W18="Renovación registrada","Siguiente contrato ya registrado: verificar que esté firmado",IF(R18="Indefinido","Sin vencimiento. Cambios de sueldo o cargo: anexo de modificación",IF(W18="Falta fecha de término","Completar la fecha de término en Contratos",IF(W18="VENCIDO","Sigue trabajando con plazo vencido: por ley ya es INDEFINIDO. Firmar anexo de paso a indefinido",IF(R18="Obra o faena","Al terminar la obra: finiquito + 2,5 días de sueldo por mes trabajado",IF(N(S18)&gt;=2,"2° contrato a plazo: NO se puede renovar otra vez a plazo fijo. Pasar a indefinido o terminar al vencer","1er contrato a plazo: renovar (2° contrato), pasar a indefinido o terminar al vencer"))))))))))</f>
        <v/>
      </c>
      <c r="Y18" s="68" t="str">
        <f aca="false">IF(O18&lt;&gt;"Activo","",ROUND(1.25*(DATEDIF(F18,AO18+1,"m")+(AO18+1-EDATE(F18,DATEDIF(F18,AO18+1,"m")))/30),2))</f>
        <v/>
      </c>
      <c r="Z18" s="68" t="str">
        <f aca="false">IF(O18&lt;&gt;"Activo","",N(M18)+SUMIFS(M_VAC,M_RUTN,AG18,M_MES,"&lt;="&amp;FECHA_CORTE))</f>
        <v/>
      </c>
      <c r="AA18" s="68" t="str">
        <f aca="false">IF(O18&lt;&gt;"Activo","",Y18-Z18)</f>
        <v/>
      </c>
      <c r="AB18" s="63" t="str">
        <f aca="false">IF(O18&lt;&gt;"Activo","",ROUND(MAX(0,IF(AA18&lt;=0,0,WORKDAY(FECHA_CORTE,INT(AA18),FERIADOS)-FECHA_CORTE+(AA18-INT(AA18))))*(Q18+N(K18))/30,0))</f>
        <v/>
      </c>
      <c r="AC18" s="65" t="str">
        <f aca="false">IF(O18&lt;&gt;"Activo","",IF(DATEDIF(F18,FECHA_CORTE+1,"y")&lt;1,0,MIN(TOPE_ANIOS,DATEDIF(F18,FECHA_CORTE+1,"y")+IF(EDATE(F18,12*DATEDIF(F18,FECHA_CORTE+1,"y")+6)&lt;FECHA_CORTE+1,1,0))))</f>
        <v/>
      </c>
      <c r="AD18" s="69" t="str">
        <f aca="false">IF(O18&lt;&gt;"Activo","",AB18+IF(R18="Obra o faena",0,ROUND(AL18*AC18,0)+ROUND(AL18,0)))</f>
        <v/>
      </c>
      <c r="AE18" s="69" t="str">
        <f aca="false">IF(O18&lt;&gt;"Activo","",AB18)</f>
        <v/>
      </c>
      <c r="AF18" s="69" t="str">
        <f aca="false">IF(AN18="","",IF(ISNUMBER(AJ18),"",ROUND(MAX(0,IF(AN18&lt;=0,0,WORKDAY(U18,INT(AN18),FERIADOS)-U18+(AN18-INT(AN18))))*(Q18+N(K18))/30,0)+IF(R18="Obra o faena",ROUND(OBRA_DIAS*AL18/30*(DATEDIF(F18,U18+1,"m")+IF(U18+1-EDATE(F18,DATEDIF(F18,U18+1,"m"))&gt;15,1,0)),0),0)))</f>
        <v/>
      </c>
      <c r="AG18" s="62" t="str">
        <f aca="false">IF(B18="","",IFERROR(VALUE(LEFT(UPPER(SUBSTITUTE(SUBSTITUTE(SUBSTITUTE(TRIM(B18),".",""),"-","")," ","")),LEN(UPPER(SUBSTITUTE(SUBSTITUTE(SUBSTITUTE(TRIM(B18),".",""),"-","")," ","")))-1))&amp;RIGHT(UPPER(SUBSTITUTE(SUBSTITUTE(SUBSTITUTE(TRIM(B18),".",""),"-","")," ","")),1),UPPER(SUBSTITUTE(SUBSTITUTE(SUBSTITUTE(TRIM(B18),".",""),"-","")," ",""))))</f>
        <v/>
      </c>
      <c r="AH18" s="62" t="str">
        <f aca="false">IF(B18="","",COUNTIFS(C_RUTN,AG18,C_DEF,"Sí",C_INI,"&lt;="&amp;FECHA_CORTE))</f>
        <v/>
      </c>
      <c r="AI18" s="62" t="str">
        <f aca="false">IF(B18="","",COUNTIFS(C_RUTN,AG18,C_DEF,"Sí"))</f>
        <v/>
      </c>
      <c r="AJ18" s="66" t="str">
        <f aca="false">IF(OR(B18="",N(AI18)&lt;=N(AH18)),"",IFERROR(INDEX(C_INI,MATCH(AG18&amp;"-P"&amp;(AH18+1),C_CLAVE,0)),""))</f>
        <v/>
      </c>
      <c r="AK18" s="63" t="str">
        <f aca="false">IF(O18&lt;&gt;"Activo","",Q18+N(K18)+IF(L18="Sí",MIN(GRAT_PCT*(Q18+N(K18)),GRAT_TOPE),0)+N(I18)+N(J18))</f>
        <v/>
      </c>
      <c r="AL18" s="63" t="str">
        <f aca="false">IF(O18&lt;&gt;"Activo","",MIN(AK18,TOPE_IAS_UF*UF_MES))</f>
        <v/>
      </c>
      <c r="AM18" s="62" t="str">
        <f aca="false">IF(AND(O18="Activo",ISNUMBER(V18),W18&lt;&gt;"Renovación registrada"),V18+ROW()/100000,"")</f>
        <v/>
      </c>
      <c r="AN18" s="70" t="str">
        <f aca="false">IF(OR(O18&lt;&gt;"Activo",NOT(ISNUMBER(U18))),"",IF(U18&lt;FECHA_CORTE,"",1.25*(DATEDIF(F18,U18+1,"m")+(U18+1-EDATE(F18,DATEDIF(F18,U18+1,"m")))/30)-Z18))</f>
        <v/>
      </c>
      <c r="AO18" s="66" t="str">
        <f aca="false">IF(OR(B18="",NOT(ISNUMBER(F18))),"",IF(N(G18)&gt;0,MIN(G18,FECHA_CORTE),FECHA_CORTE))</f>
        <v/>
      </c>
    </row>
    <row r="19" customFormat="false" ht="15" hidden="false" customHeight="false" outlineLevel="0" collapsed="false">
      <c r="B19" s="58"/>
      <c r="C19" s="58"/>
      <c r="D19" s="58"/>
      <c r="E19" s="58"/>
      <c r="F19" s="59"/>
      <c r="G19" s="59"/>
      <c r="H19" s="58"/>
      <c r="I19" s="60"/>
      <c r="J19" s="60"/>
      <c r="K19" s="60"/>
      <c r="L19" s="58"/>
      <c r="M19" s="61"/>
      <c r="N19" s="58"/>
      <c r="O19" s="62" t="str">
        <f aca="false">IF(B19="","",IF(NOT(ISNUMBER(F19)),"⚠ Falta ingreso",IF(F19&gt;FECHA_CORTE,"Por ingresar",IF(G19="","Activo",IF(G19&lt;FECHA_CORTE,"Desvinculado","Activo")))))</f>
        <v/>
      </c>
      <c r="P19" s="62" t="str">
        <f aca="false">IF(OR(B19="",NOT(ISNUMBER(F19))),"",IF(F19&gt;FECHA_CORTE,"",DATEDIF(F19,IF(G19="",FECHA_CORTE,MIN(G19,FECHA_CORTE))+1,"y")&amp;" a "&amp;DATEDIF(F19,IF(G19="",FECHA_CORTE,MIN(G19,FECHA_CORTE))+1,"ym")&amp;" m"))</f>
        <v/>
      </c>
      <c r="Q19" s="63" t="str">
        <f aca="false">IF(B19="","",IFERROR(INDEX(C_SUELDO,MATCH(AG19&amp;"-S"&amp;MAX(1,COUNTIFS(C_RUTN,AG19,C_SUELDO,"&lt;&gt;",C_INI,"&lt;="&amp;FECHA_CORTE)),C_CLAVES,0)),0))</f>
        <v/>
      </c>
      <c r="R19" s="62" t="str">
        <f aca="false">IF(B19="","",IF(N(AI19)=0,"Sin contrato",IFERROR(INDEX(C_TIPO,MATCH(AG19&amp;"-P"&amp;MAX(1,AH19),C_CLAVE,0))&amp;"","")))</f>
        <v/>
      </c>
      <c r="S19" s="64" t="str">
        <f aca="false">IF(R19="Plazo fijo",IFERROR(INDEX(C_NPF,MATCH(AG19&amp;"-P"&amp;MAX(1,AH19),C_CLAVE,0)),""),"")</f>
        <v/>
      </c>
      <c r="T19" s="65" t="str">
        <f aca="false">IF(B19="","",COUNTIFS(C_RUTN,AG19,C_TIPODOC,"Anexo de modificación"))</f>
        <v/>
      </c>
      <c r="U19" s="66" t="str">
        <f aca="false">IF(AND(OR(R19="Plazo fijo",R19="Obra o faena"),O19&lt;&gt;"Desvinculado"),IFERROR(IF(N(INDEX(C_TER,MATCH(AG19&amp;"-P"&amp;MAX(1,AH19),C_CLAVE,0)))=0,"",INDEX(C_TER,MATCH(AG19&amp;"-P"&amp;MAX(1,AH19),C_CLAVE,0))),""),"")</f>
        <v/>
      </c>
      <c r="V19" s="67" t="str">
        <f aca="false">IF(ISNUMBER(U19),U19-FECHA_CORTE,"")</f>
        <v/>
      </c>
      <c r="W19" s="62" t="str">
        <f aca="false">IF(B19="","",IF(O19="Desvinculado","Terminado",IF(N(AI19)=0,"Sin contrato registrado",IF(O19="Por ingresar","Por ingresar",IF(ISNUMBER(AJ19),"Renovación registrada",IF(R19="Indefinido","Indefinido",IF(NOT(ISNUMBER(V19)),"Falta fecha de término",IF(V19&lt;0,"VENCIDO",IF(V19&lt;=ALERTA_ROJA,"Vence en ≤ "&amp;ALERTA_ROJA&amp;" días",IF(V19&lt;=ALERTA_NARANJA,"Vence en ≤ "&amp;ALERTA_NARANJA&amp;" días",IF(V19&lt;=ALERTA_AMARILLA,"Vence en ≤ "&amp;ALERTA_AMARILLA&amp;" días","Vigente")))))))))))</f>
        <v/>
      </c>
      <c r="X19" s="62" t="str">
        <f aca="false">IF(B19="","",IF(W19="Terminado","—",IF(W19="Sin contrato registrado","Registrar su contrato en la hoja Contratos",IF(W19="Por ingresar","Tener el contrato firmado antes del ingreso",IF(W19="Renovación registrada","Siguiente contrato ya registrado: verificar que esté firmado",IF(R19="Indefinido","Sin vencimiento. Cambios de sueldo o cargo: anexo de modificación",IF(W19="Falta fecha de término","Completar la fecha de término en Contratos",IF(W19="VENCIDO","Sigue trabajando con plazo vencido: por ley ya es INDEFINIDO. Firmar anexo de paso a indefinido",IF(R19="Obra o faena","Al terminar la obra: finiquito + 2,5 días de sueldo por mes trabajado",IF(N(S19)&gt;=2,"2° contrato a plazo: NO se puede renovar otra vez a plazo fijo. Pasar a indefinido o terminar al vencer","1er contrato a plazo: renovar (2° contrato), pasar a indefinido o terminar al vencer"))))))))))</f>
        <v/>
      </c>
      <c r="Y19" s="68" t="str">
        <f aca="false">IF(O19&lt;&gt;"Activo","",ROUND(1.25*(DATEDIF(F19,AO19+1,"m")+(AO19+1-EDATE(F19,DATEDIF(F19,AO19+1,"m")))/30),2))</f>
        <v/>
      </c>
      <c r="Z19" s="68" t="str">
        <f aca="false">IF(O19&lt;&gt;"Activo","",N(M19)+SUMIFS(M_VAC,M_RUTN,AG19,M_MES,"&lt;="&amp;FECHA_CORTE))</f>
        <v/>
      </c>
      <c r="AA19" s="68" t="str">
        <f aca="false">IF(O19&lt;&gt;"Activo","",Y19-Z19)</f>
        <v/>
      </c>
      <c r="AB19" s="63" t="str">
        <f aca="false">IF(O19&lt;&gt;"Activo","",ROUND(MAX(0,IF(AA19&lt;=0,0,WORKDAY(FECHA_CORTE,INT(AA19),FERIADOS)-FECHA_CORTE+(AA19-INT(AA19))))*(Q19+N(K19))/30,0))</f>
        <v/>
      </c>
      <c r="AC19" s="65" t="str">
        <f aca="false">IF(O19&lt;&gt;"Activo","",IF(DATEDIF(F19,FECHA_CORTE+1,"y")&lt;1,0,MIN(TOPE_ANIOS,DATEDIF(F19,FECHA_CORTE+1,"y")+IF(EDATE(F19,12*DATEDIF(F19,FECHA_CORTE+1,"y")+6)&lt;FECHA_CORTE+1,1,0))))</f>
        <v/>
      </c>
      <c r="AD19" s="69" t="str">
        <f aca="false">IF(O19&lt;&gt;"Activo","",AB19+IF(R19="Obra o faena",0,ROUND(AL19*AC19,0)+ROUND(AL19,0)))</f>
        <v/>
      </c>
      <c r="AE19" s="69" t="str">
        <f aca="false">IF(O19&lt;&gt;"Activo","",AB19)</f>
        <v/>
      </c>
      <c r="AF19" s="69" t="str">
        <f aca="false">IF(AN19="","",IF(ISNUMBER(AJ19),"",ROUND(MAX(0,IF(AN19&lt;=0,0,WORKDAY(U19,INT(AN19),FERIADOS)-U19+(AN19-INT(AN19))))*(Q19+N(K19))/30,0)+IF(R19="Obra o faena",ROUND(OBRA_DIAS*AL19/30*(DATEDIF(F19,U19+1,"m")+IF(U19+1-EDATE(F19,DATEDIF(F19,U19+1,"m"))&gt;15,1,0)),0),0)))</f>
        <v/>
      </c>
      <c r="AG19" s="62" t="str">
        <f aca="false">IF(B19="","",IFERROR(VALUE(LEFT(UPPER(SUBSTITUTE(SUBSTITUTE(SUBSTITUTE(TRIM(B19),".",""),"-","")," ","")),LEN(UPPER(SUBSTITUTE(SUBSTITUTE(SUBSTITUTE(TRIM(B19),".",""),"-","")," ","")))-1))&amp;RIGHT(UPPER(SUBSTITUTE(SUBSTITUTE(SUBSTITUTE(TRIM(B19),".",""),"-","")," ","")),1),UPPER(SUBSTITUTE(SUBSTITUTE(SUBSTITUTE(TRIM(B19),".",""),"-","")," ",""))))</f>
        <v/>
      </c>
      <c r="AH19" s="62" t="str">
        <f aca="false">IF(B19="","",COUNTIFS(C_RUTN,AG19,C_DEF,"Sí",C_INI,"&lt;="&amp;FECHA_CORTE))</f>
        <v/>
      </c>
      <c r="AI19" s="62" t="str">
        <f aca="false">IF(B19="","",COUNTIFS(C_RUTN,AG19,C_DEF,"Sí"))</f>
        <v/>
      </c>
      <c r="AJ19" s="66" t="str">
        <f aca="false">IF(OR(B19="",N(AI19)&lt;=N(AH19)),"",IFERROR(INDEX(C_INI,MATCH(AG19&amp;"-P"&amp;(AH19+1),C_CLAVE,0)),""))</f>
        <v/>
      </c>
      <c r="AK19" s="63" t="str">
        <f aca="false">IF(O19&lt;&gt;"Activo","",Q19+N(K19)+IF(L19="Sí",MIN(GRAT_PCT*(Q19+N(K19)),GRAT_TOPE),0)+N(I19)+N(J19))</f>
        <v/>
      </c>
      <c r="AL19" s="63" t="str">
        <f aca="false">IF(O19&lt;&gt;"Activo","",MIN(AK19,TOPE_IAS_UF*UF_MES))</f>
        <v/>
      </c>
      <c r="AM19" s="62" t="str">
        <f aca="false">IF(AND(O19="Activo",ISNUMBER(V19),W19&lt;&gt;"Renovación registrada"),V19+ROW()/100000,"")</f>
        <v/>
      </c>
      <c r="AN19" s="70" t="str">
        <f aca="false">IF(OR(O19&lt;&gt;"Activo",NOT(ISNUMBER(U19))),"",IF(U19&lt;FECHA_CORTE,"",1.25*(DATEDIF(F19,U19+1,"m")+(U19+1-EDATE(F19,DATEDIF(F19,U19+1,"m")))/30)-Z19))</f>
        <v/>
      </c>
      <c r="AO19" s="66" t="str">
        <f aca="false">IF(OR(B19="",NOT(ISNUMBER(F19))),"",IF(N(G19)&gt;0,MIN(G19,FECHA_CORTE),FECHA_CORTE))</f>
        <v/>
      </c>
    </row>
    <row r="20" customFormat="false" ht="15" hidden="false" customHeight="false" outlineLevel="0" collapsed="false">
      <c r="B20" s="58"/>
      <c r="C20" s="58"/>
      <c r="D20" s="58"/>
      <c r="E20" s="58"/>
      <c r="F20" s="59"/>
      <c r="G20" s="59"/>
      <c r="H20" s="58"/>
      <c r="I20" s="60"/>
      <c r="J20" s="60"/>
      <c r="K20" s="60"/>
      <c r="L20" s="58"/>
      <c r="M20" s="61"/>
      <c r="N20" s="58"/>
      <c r="O20" s="62" t="str">
        <f aca="false">IF(B20="","",IF(NOT(ISNUMBER(F20)),"⚠ Falta ingreso",IF(F20&gt;FECHA_CORTE,"Por ingresar",IF(G20="","Activo",IF(G20&lt;FECHA_CORTE,"Desvinculado","Activo")))))</f>
        <v/>
      </c>
      <c r="P20" s="62" t="str">
        <f aca="false">IF(OR(B20="",NOT(ISNUMBER(F20))),"",IF(F20&gt;FECHA_CORTE,"",DATEDIF(F20,IF(G20="",FECHA_CORTE,MIN(G20,FECHA_CORTE))+1,"y")&amp;" a "&amp;DATEDIF(F20,IF(G20="",FECHA_CORTE,MIN(G20,FECHA_CORTE))+1,"ym")&amp;" m"))</f>
        <v/>
      </c>
      <c r="Q20" s="63" t="str">
        <f aca="false">IF(B20="","",IFERROR(INDEX(C_SUELDO,MATCH(AG20&amp;"-S"&amp;MAX(1,COUNTIFS(C_RUTN,AG20,C_SUELDO,"&lt;&gt;",C_INI,"&lt;="&amp;FECHA_CORTE)),C_CLAVES,0)),0))</f>
        <v/>
      </c>
      <c r="R20" s="62" t="str">
        <f aca="false">IF(B20="","",IF(N(AI20)=0,"Sin contrato",IFERROR(INDEX(C_TIPO,MATCH(AG20&amp;"-P"&amp;MAX(1,AH20),C_CLAVE,0))&amp;"","")))</f>
        <v/>
      </c>
      <c r="S20" s="64" t="str">
        <f aca="false">IF(R20="Plazo fijo",IFERROR(INDEX(C_NPF,MATCH(AG20&amp;"-P"&amp;MAX(1,AH20),C_CLAVE,0)),""),"")</f>
        <v/>
      </c>
      <c r="T20" s="65" t="str">
        <f aca="false">IF(B20="","",COUNTIFS(C_RUTN,AG20,C_TIPODOC,"Anexo de modificación"))</f>
        <v/>
      </c>
      <c r="U20" s="66" t="str">
        <f aca="false">IF(AND(OR(R20="Plazo fijo",R20="Obra o faena"),O20&lt;&gt;"Desvinculado"),IFERROR(IF(N(INDEX(C_TER,MATCH(AG20&amp;"-P"&amp;MAX(1,AH20),C_CLAVE,0)))=0,"",INDEX(C_TER,MATCH(AG20&amp;"-P"&amp;MAX(1,AH20),C_CLAVE,0))),""),"")</f>
        <v/>
      </c>
      <c r="V20" s="67" t="str">
        <f aca="false">IF(ISNUMBER(U20),U20-FECHA_CORTE,"")</f>
        <v/>
      </c>
      <c r="W20" s="62" t="str">
        <f aca="false">IF(B20="","",IF(O20="Desvinculado","Terminado",IF(N(AI20)=0,"Sin contrato registrado",IF(O20="Por ingresar","Por ingresar",IF(ISNUMBER(AJ20),"Renovación registrada",IF(R20="Indefinido","Indefinido",IF(NOT(ISNUMBER(V20)),"Falta fecha de término",IF(V20&lt;0,"VENCIDO",IF(V20&lt;=ALERTA_ROJA,"Vence en ≤ "&amp;ALERTA_ROJA&amp;" días",IF(V20&lt;=ALERTA_NARANJA,"Vence en ≤ "&amp;ALERTA_NARANJA&amp;" días",IF(V20&lt;=ALERTA_AMARILLA,"Vence en ≤ "&amp;ALERTA_AMARILLA&amp;" días","Vigente")))))))))))</f>
        <v/>
      </c>
      <c r="X20" s="62" t="str">
        <f aca="false">IF(B20="","",IF(W20="Terminado","—",IF(W20="Sin contrato registrado","Registrar su contrato en la hoja Contratos",IF(W20="Por ingresar","Tener el contrato firmado antes del ingreso",IF(W20="Renovación registrada","Siguiente contrato ya registrado: verificar que esté firmado",IF(R20="Indefinido","Sin vencimiento. Cambios de sueldo o cargo: anexo de modificación",IF(W20="Falta fecha de término","Completar la fecha de término en Contratos",IF(W20="VENCIDO","Sigue trabajando con plazo vencido: por ley ya es INDEFINIDO. Firmar anexo de paso a indefinido",IF(R20="Obra o faena","Al terminar la obra: finiquito + 2,5 días de sueldo por mes trabajado",IF(N(S20)&gt;=2,"2° contrato a plazo: NO se puede renovar otra vez a plazo fijo. Pasar a indefinido o terminar al vencer","1er contrato a plazo: renovar (2° contrato), pasar a indefinido o terminar al vencer"))))))))))</f>
        <v/>
      </c>
      <c r="Y20" s="68" t="str">
        <f aca="false">IF(O20&lt;&gt;"Activo","",ROUND(1.25*(DATEDIF(F20,AO20+1,"m")+(AO20+1-EDATE(F20,DATEDIF(F20,AO20+1,"m")))/30),2))</f>
        <v/>
      </c>
      <c r="Z20" s="68" t="str">
        <f aca="false">IF(O20&lt;&gt;"Activo","",N(M20)+SUMIFS(M_VAC,M_RUTN,AG20,M_MES,"&lt;="&amp;FECHA_CORTE))</f>
        <v/>
      </c>
      <c r="AA20" s="68" t="str">
        <f aca="false">IF(O20&lt;&gt;"Activo","",Y20-Z20)</f>
        <v/>
      </c>
      <c r="AB20" s="63" t="str">
        <f aca="false">IF(O20&lt;&gt;"Activo","",ROUND(MAX(0,IF(AA20&lt;=0,0,WORKDAY(FECHA_CORTE,INT(AA20),FERIADOS)-FECHA_CORTE+(AA20-INT(AA20))))*(Q20+N(K20))/30,0))</f>
        <v/>
      </c>
      <c r="AC20" s="65" t="str">
        <f aca="false">IF(O20&lt;&gt;"Activo","",IF(DATEDIF(F20,FECHA_CORTE+1,"y")&lt;1,0,MIN(TOPE_ANIOS,DATEDIF(F20,FECHA_CORTE+1,"y")+IF(EDATE(F20,12*DATEDIF(F20,FECHA_CORTE+1,"y")+6)&lt;FECHA_CORTE+1,1,0))))</f>
        <v/>
      </c>
      <c r="AD20" s="69" t="str">
        <f aca="false">IF(O20&lt;&gt;"Activo","",AB20+IF(R20="Obra o faena",0,ROUND(AL20*AC20,0)+ROUND(AL20,0)))</f>
        <v/>
      </c>
      <c r="AE20" s="69" t="str">
        <f aca="false">IF(O20&lt;&gt;"Activo","",AB20)</f>
        <v/>
      </c>
      <c r="AF20" s="69" t="str">
        <f aca="false">IF(AN20="","",IF(ISNUMBER(AJ20),"",ROUND(MAX(0,IF(AN20&lt;=0,0,WORKDAY(U20,INT(AN20),FERIADOS)-U20+(AN20-INT(AN20))))*(Q20+N(K20))/30,0)+IF(R20="Obra o faena",ROUND(OBRA_DIAS*AL20/30*(DATEDIF(F20,U20+1,"m")+IF(U20+1-EDATE(F20,DATEDIF(F20,U20+1,"m"))&gt;15,1,0)),0),0)))</f>
        <v/>
      </c>
      <c r="AG20" s="62" t="str">
        <f aca="false">IF(B20="","",IFERROR(VALUE(LEFT(UPPER(SUBSTITUTE(SUBSTITUTE(SUBSTITUTE(TRIM(B20),".",""),"-","")," ","")),LEN(UPPER(SUBSTITUTE(SUBSTITUTE(SUBSTITUTE(TRIM(B20),".",""),"-","")," ","")))-1))&amp;RIGHT(UPPER(SUBSTITUTE(SUBSTITUTE(SUBSTITUTE(TRIM(B20),".",""),"-","")," ","")),1),UPPER(SUBSTITUTE(SUBSTITUTE(SUBSTITUTE(TRIM(B20),".",""),"-","")," ",""))))</f>
        <v/>
      </c>
      <c r="AH20" s="62" t="str">
        <f aca="false">IF(B20="","",COUNTIFS(C_RUTN,AG20,C_DEF,"Sí",C_INI,"&lt;="&amp;FECHA_CORTE))</f>
        <v/>
      </c>
      <c r="AI20" s="62" t="str">
        <f aca="false">IF(B20="","",COUNTIFS(C_RUTN,AG20,C_DEF,"Sí"))</f>
        <v/>
      </c>
      <c r="AJ20" s="66" t="str">
        <f aca="false">IF(OR(B20="",N(AI20)&lt;=N(AH20)),"",IFERROR(INDEX(C_INI,MATCH(AG20&amp;"-P"&amp;(AH20+1),C_CLAVE,0)),""))</f>
        <v/>
      </c>
      <c r="AK20" s="63" t="str">
        <f aca="false">IF(O20&lt;&gt;"Activo","",Q20+N(K20)+IF(L20="Sí",MIN(GRAT_PCT*(Q20+N(K20)),GRAT_TOPE),0)+N(I20)+N(J20))</f>
        <v/>
      </c>
      <c r="AL20" s="63" t="str">
        <f aca="false">IF(O20&lt;&gt;"Activo","",MIN(AK20,TOPE_IAS_UF*UF_MES))</f>
        <v/>
      </c>
      <c r="AM20" s="62" t="str">
        <f aca="false">IF(AND(O20="Activo",ISNUMBER(V20),W20&lt;&gt;"Renovación registrada"),V20+ROW()/100000,"")</f>
        <v/>
      </c>
      <c r="AN20" s="70" t="str">
        <f aca="false">IF(OR(O20&lt;&gt;"Activo",NOT(ISNUMBER(U20))),"",IF(U20&lt;FECHA_CORTE,"",1.25*(DATEDIF(F20,U20+1,"m")+(U20+1-EDATE(F20,DATEDIF(F20,U20+1,"m")))/30)-Z20))</f>
        <v/>
      </c>
      <c r="AO20" s="66" t="str">
        <f aca="false">IF(OR(B20="",NOT(ISNUMBER(F20))),"",IF(N(G20)&gt;0,MIN(G20,FECHA_CORTE),FECHA_CORTE))</f>
        <v/>
      </c>
    </row>
    <row r="21" customFormat="false" ht="15" hidden="false" customHeight="false" outlineLevel="0" collapsed="false">
      <c r="B21" s="58"/>
      <c r="C21" s="58"/>
      <c r="D21" s="58"/>
      <c r="E21" s="58"/>
      <c r="F21" s="59"/>
      <c r="G21" s="59"/>
      <c r="H21" s="58"/>
      <c r="I21" s="60"/>
      <c r="J21" s="60"/>
      <c r="K21" s="60"/>
      <c r="L21" s="58"/>
      <c r="M21" s="61"/>
      <c r="N21" s="58"/>
      <c r="O21" s="62" t="str">
        <f aca="false">IF(B21="","",IF(NOT(ISNUMBER(F21)),"⚠ Falta ingreso",IF(F21&gt;FECHA_CORTE,"Por ingresar",IF(G21="","Activo",IF(G21&lt;FECHA_CORTE,"Desvinculado","Activo")))))</f>
        <v/>
      </c>
      <c r="P21" s="62" t="str">
        <f aca="false">IF(OR(B21="",NOT(ISNUMBER(F21))),"",IF(F21&gt;FECHA_CORTE,"",DATEDIF(F21,IF(G21="",FECHA_CORTE,MIN(G21,FECHA_CORTE))+1,"y")&amp;" a "&amp;DATEDIF(F21,IF(G21="",FECHA_CORTE,MIN(G21,FECHA_CORTE))+1,"ym")&amp;" m"))</f>
        <v/>
      </c>
      <c r="Q21" s="63" t="str">
        <f aca="false">IF(B21="","",IFERROR(INDEX(C_SUELDO,MATCH(AG21&amp;"-S"&amp;MAX(1,COUNTIFS(C_RUTN,AG21,C_SUELDO,"&lt;&gt;",C_INI,"&lt;="&amp;FECHA_CORTE)),C_CLAVES,0)),0))</f>
        <v/>
      </c>
      <c r="R21" s="62" t="str">
        <f aca="false">IF(B21="","",IF(N(AI21)=0,"Sin contrato",IFERROR(INDEX(C_TIPO,MATCH(AG21&amp;"-P"&amp;MAX(1,AH21),C_CLAVE,0))&amp;"","")))</f>
        <v/>
      </c>
      <c r="S21" s="64" t="str">
        <f aca="false">IF(R21="Plazo fijo",IFERROR(INDEX(C_NPF,MATCH(AG21&amp;"-P"&amp;MAX(1,AH21),C_CLAVE,0)),""),"")</f>
        <v/>
      </c>
      <c r="T21" s="65" t="str">
        <f aca="false">IF(B21="","",COUNTIFS(C_RUTN,AG21,C_TIPODOC,"Anexo de modificación"))</f>
        <v/>
      </c>
      <c r="U21" s="66" t="str">
        <f aca="false">IF(AND(OR(R21="Plazo fijo",R21="Obra o faena"),O21&lt;&gt;"Desvinculado"),IFERROR(IF(N(INDEX(C_TER,MATCH(AG21&amp;"-P"&amp;MAX(1,AH21),C_CLAVE,0)))=0,"",INDEX(C_TER,MATCH(AG21&amp;"-P"&amp;MAX(1,AH21),C_CLAVE,0))),""),"")</f>
        <v/>
      </c>
      <c r="V21" s="67" t="str">
        <f aca="false">IF(ISNUMBER(U21),U21-FECHA_CORTE,"")</f>
        <v/>
      </c>
      <c r="W21" s="62" t="str">
        <f aca="false">IF(B21="","",IF(O21="Desvinculado","Terminado",IF(N(AI21)=0,"Sin contrato registrado",IF(O21="Por ingresar","Por ingresar",IF(ISNUMBER(AJ21),"Renovación registrada",IF(R21="Indefinido","Indefinido",IF(NOT(ISNUMBER(V21)),"Falta fecha de término",IF(V21&lt;0,"VENCIDO",IF(V21&lt;=ALERTA_ROJA,"Vence en ≤ "&amp;ALERTA_ROJA&amp;" días",IF(V21&lt;=ALERTA_NARANJA,"Vence en ≤ "&amp;ALERTA_NARANJA&amp;" días",IF(V21&lt;=ALERTA_AMARILLA,"Vence en ≤ "&amp;ALERTA_AMARILLA&amp;" días","Vigente")))))))))))</f>
        <v/>
      </c>
      <c r="X21" s="62" t="str">
        <f aca="false">IF(B21="","",IF(W21="Terminado","—",IF(W21="Sin contrato registrado","Registrar su contrato en la hoja Contratos",IF(W21="Por ingresar","Tener el contrato firmado antes del ingreso",IF(W21="Renovación registrada","Siguiente contrato ya registrado: verificar que esté firmado",IF(R21="Indefinido","Sin vencimiento. Cambios de sueldo o cargo: anexo de modificación",IF(W21="Falta fecha de término","Completar la fecha de término en Contratos",IF(W21="VENCIDO","Sigue trabajando con plazo vencido: por ley ya es INDEFINIDO. Firmar anexo de paso a indefinido",IF(R21="Obra o faena","Al terminar la obra: finiquito + 2,5 días de sueldo por mes trabajado",IF(N(S21)&gt;=2,"2° contrato a plazo: NO se puede renovar otra vez a plazo fijo. Pasar a indefinido o terminar al vencer","1er contrato a plazo: renovar (2° contrato), pasar a indefinido o terminar al vencer"))))))))))</f>
        <v/>
      </c>
      <c r="Y21" s="68" t="str">
        <f aca="false">IF(O21&lt;&gt;"Activo","",ROUND(1.25*(DATEDIF(F21,AO21+1,"m")+(AO21+1-EDATE(F21,DATEDIF(F21,AO21+1,"m")))/30),2))</f>
        <v/>
      </c>
      <c r="Z21" s="68" t="str">
        <f aca="false">IF(O21&lt;&gt;"Activo","",N(M21)+SUMIFS(M_VAC,M_RUTN,AG21,M_MES,"&lt;="&amp;FECHA_CORTE))</f>
        <v/>
      </c>
      <c r="AA21" s="68" t="str">
        <f aca="false">IF(O21&lt;&gt;"Activo","",Y21-Z21)</f>
        <v/>
      </c>
      <c r="AB21" s="63" t="str">
        <f aca="false">IF(O21&lt;&gt;"Activo","",ROUND(MAX(0,IF(AA21&lt;=0,0,WORKDAY(FECHA_CORTE,INT(AA21),FERIADOS)-FECHA_CORTE+(AA21-INT(AA21))))*(Q21+N(K21))/30,0))</f>
        <v/>
      </c>
      <c r="AC21" s="65" t="str">
        <f aca="false">IF(O21&lt;&gt;"Activo","",IF(DATEDIF(F21,FECHA_CORTE+1,"y")&lt;1,0,MIN(TOPE_ANIOS,DATEDIF(F21,FECHA_CORTE+1,"y")+IF(EDATE(F21,12*DATEDIF(F21,FECHA_CORTE+1,"y")+6)&lt;FECHA_CORTE+1,1,0))))</f>
        <v/>
      </c>
      <c r="AD21" s="69" t="str">
        <f aca="false">IF(O21&lt;&gt;"Activo","",AB21+IF(R21="Obra o faena",0,ROUND(AL21*AC21,0)+ROUND(AL21,0)))</f>
        <v/>
      </c>
      <c r="AE21" s="69" t="str">
        <f aca="false">IF(O21&lt;&gt;"Activo","",AB21)</f>
        <v/>
      </c>
      <c r="AF21" s="69" t="str">
        <f aca="false">IF(AN21="","",IF(ISNUMBER(AJ21),"",ROUND(MAX(0,IF(AN21&lt;=0,0,WORKDAY(U21,INT(AN21),FERIADOS)-U21+(AN21-INT(AN21))))*(Q21+N(K21))/30,0)+IF(R21="Obra o faena",ROUND(OBRA_DIAS*AL21/30*(DATEDIF(F21,U21+1,"m")+IF(U21+1-EDATE(F21,DATEDIF(F21,U21+1,"m"))&gt;15,1,0)),0),0)))</f>
        <v/>
      </c>
      <c r="AG21" s="62" t="str">
        <f aca="false">IF(B21="","",IFERROR(VALUE(LEFT(UPPER(SUBSTITUTE(SUBSTITUTE(SUBSTITUTE(TRIM(B21),".",""),"-","")," ","")),LEN(UPPER(SUBSTITUTE(SUBSTITUTE(SUBSTITUTE(TRIM(B21),".",""),"-","")," ","")))-1))&amp;RIGHT(UPPER(SUBSTITUTE(SUBSTITUTE(SUBSTITUTE(TRIM(B21),".",""),"-","")," ","")),1),UPPER(SUBSTITUTE(SUBSTITUTE(SUBSTITUTE(TRIM(B21),".",""),"-","")," ",""))))</f>
        <v/>
      </c>
      <c r="AH21" s="62" t="str">
        <f aca="false">IF(B21="","",COUNTIFS(C_RUTN,AG21,C_DEF,"Sí",C_INI,"&lt;="&amp;FECHA_CORTE))</f>
        <v/>
      </c>
      <c r="AI21" s="62" t="str">
        <f aca="false">IF(B21="","",COUNTIFS(C_RUTN,AG21,C_DEF,"Sí"))</f>
        <v/>
      </c>
      <c r="AJ21" s="66" t="str">
        <f aca="false">IF(OR(B21="",N(AI21)&lt;=N(AH21)),"",IFERROR(INDEX(C_INI,MATCH(AG21&amp;"-P"&amp;(AH21+1),C_CLAVE,0)),""))</f>
        <v/>
      </c>
      <c r="AK21" s="63" t="str">
        <f aca="false">IF(O21&lt;&gt;"Activo","",Q21+N(K21)+IF(L21="Sí",MIN(GRAT_PCT*(Q21+N(K21)),GRAT_TOPE),0)+N(I21)+N(J21))</f>
        <v/>
      </c>
      <c r="AL21" s="63" t="str">
        <f aca="false">IF(O21&lt;&gt;"Activo","",MIN(AK21,TOPE_IAS_UF*UF_MES))</f>
        <v/>
      </c>
      <c r="AM21" s="62" t="str">
        <f aca="false">IF(AND(O21="Activo",ISNUMBER(V21),W21&lt;&gt;"Renovación registrada"),V21+ROW()/100000,"")</f>
        <v/>
      </c>
      <c r="AN21" s="70" t="str">
        <f aca="false">IF(OR(O21&lt;&gt;"Activo",NOT(ISNUMBER(U21))),"",IF(U21&lt;FECHA_CORTE,"",1.25*(DATEDIF(F21,U21+1,"m")+(U21+1-EDATE(F21,DATEDIF(F21,U21+1,"m")))/30)-Z21))</f>
        <v/>
      </c>
      <c r="AO21" s="66" t="str">
        <f aca="false">IF(OR(B21="",NOT(ISNUMBER(F21))),"",IF(N(G21)&gt;0,MIN(G21,FECHA_CORTE),FECHA_CORTE))</f>
        <v/>
      </c>
    </row>
    <row r="22" customFormat="false" ht="15" hidden="false" customHeight="false" outlineLevel="0" collapsed="false">
      <c r="B22" s="58"/>
      <c r="C22" s="58"/>
      <c r="D22" s="58"/>
      <c r="E22" s="58"/>
      <c r="F22" s="59"/>
      <c r="G22" s="59"/>
      <c r="H22" s="58"/>
      <c r="I22" s="60"/>
      <c r="J22" s="60"/>
      <c r="K22" s="60"/>
      <c r="L22" s="58"/>
      <c r="M22" s="61"/>
      <c r="N22" s="58"/>
      <c r="O22" s="62" t="str">
        <f aca="false">IF(B22="","",IF(NOT(ISNUMBER(F22)),"⚠ Falta ingreso",IF(F22&gt;FECHA_CORTE,"Por ingresar",IF(G22="","Activo",IF(G22&lt;FECHA_CORTE,"Desvinculado","Activo")))))</f>
        <v/>
      </c>
      <c r="P22" s="62" t="str">
        <f aca="false">IF(OR(B22="",NOT(ISNUMBER(F22))),"",IF(F22&gt;FECHA_CORTE,"",DATEDIF(F22,IF(G22="",FECHA_CORTE,MIN(G22,FECHA_CORTE))+1,"y")&amp;" a "&amp;DATEDIF(F22,IF(G22="",FECHA_CORTE,MIN(G22,FECHA_CORTE))+1,"ym")&amp;" m"))</f>
        <v/>
      </c>
      <c r="Q22" s="63" t="str">
        <f aca="false">IF(B22="","",IFERROR(INDEX(C_SUELDO,MATCH(AG22&amp;"-S"&amp;MAX(1,COUNTIFS(C_RUTN,AG22,C_SUELDO,"&lt;&gt;",C_INI,"&lt;="&amp;FECHA_CORTE)),C_CLAVES,0)),0))</f>
        <v/>
      </c>
      <c r="R22" s="62" t="str">
        <f aca="false">IF(B22="","",IF(N(AI22)=0,"Sin contrato",IFERROR(INDEX(C_TIPO,MATCH(AG22&amp;"-P"&amp;MAX(1,AH22),C_CLAVE,0))&amp;"","")))</f>
        <v/>
      </c>
      <c r="S22" s="64" t="str">
        <f aca="false">IF(R22="Plazo fijo",IFERROR(INDEX(C_NPF,MATCH(AG22&amp;"-P"&amp;MAX(1,AH22),C_CLAVE,0)),""),"")</f>
        <v/>
      </c>
      <c r="T22" s="65" t="str">
        <f aca="false">IF(B22="","",COUNTIFS(C_RUTN,AG22,C_TIPODOC,"Anexo de modificación"))</f>
        <v/>
      </c>
      <c r="U22" s="66" t="str">
        <f aca="false">IF(AND(OR(R22="Plazo fijo",R22="Obra o faena"),O22&lt;&gt;"Desvinculado"),IFERROR(IF(N(INDEX(C_TER,MATCH(AG22&amp;"-P"&amp;MAX(1,AH22),C_CLAVE,0)))=0,"",INDEX(C_TER,MATCH(AG22&amp;"-P"&amp;MAX(1,AH22),C_CLAVE,0))),""),"")</f>
        <v/>
      </c>
      <c r="V22" s="67" t="str">
        <f aca="false">IF(ISNUMBER(U22),U22-FECHA_CORTE,"")</f>
        <v/>
      </c>
      <c r="W22" s="62" t="str">
        <f aca="false">IF(B22="","",IF(O22="Desvinculado","Terminado",IF(N(AI22)=0,"Sin contrato registrado",IF(O22="Por ingresar","Por ingresar",IF(ISNUMBER(AJ22),"Renovación registrada",IF(R22="Indefinido","Indefinido",IF(NOT(ISNUMBER(V22)),"Falta fecha de término",IF(V22&lt;0,"VENCIDO",IF(V22&lt;=ALERTA_ROJA,"Vence en ≤ "&amp;ALERTA_ROJA&amp;" días",IF(V22&lt;=ALERTA_NARANJA,"Vence en ≤ "&amp;ALERTA_NARANJA&amp;" días",IF(V22&lt;=ALERTA_AMARILLA,"Vence en ≤ "&amp;ALERTA_AMARILLA&amp;" días","Vigente")))))))))))</f>
        <v/>
      </c>
      <c r="X22" s="62" t="str">
        <f aca="false">IF(B22="","",IF(W22="Terminado","—",IF(W22="Sin contrato registrado","Registrar su contrato en la hoja Contratos",IF(W22="Por ingresar","Tener el contrato firmado antes del ingreso",IF(W22="Renovación registrada","Siguiente contrato ya registrado: verificar que esté firmado",IF(R22="Indefinido","Sin vencimiento. Cambios de sueldo o cargo: anexo de modificación",IF(W22="Falta fecha de término","Completar la fecha de término en Contratos",IF(W22="VENCIDO","Sigue trabajando con plazo vencido: por ley ya es INDEFINIDO. Firmar anexo de paso a indefinido",IF(R22="Obra o faena","Al terminar la obra: finiquito + 2,5 días de sueldo por mes trabajado",IF(N(S22)&gt;=2,"2° contrato a plazo: NO se puede renovar otra vez a plazo fijo. Pasar a indefinido o terminar al vencer","1er contrato a plazo: renovar (2° contrato), pasar a indefinido o terminar al vencer"))))))))))</f>
        <v/>
      </c>
      <c r="Y22" s="68" t="str">
        <f aca="false">IF(O22&lt;&gt;"Activo","",ROUND(1.25*(DATEDIF(F22,AO22+1,"m")+(AO22+1-EDATE(F22,DATEDIF(F22,AO22+1,"m")))/30),2))</f>
        <v/>
      </c>
      <c r="Z22" s="68" t="str">
        <f aca="false">IF(O22&lt;&gt;"Activo","",N(M22)+SUMIFS(M_VAC,M_RUTN,AG22,M_MES,"&lt;="&amp;FECHA_CORTE))</f>
        <v/>
      </c>
      <c r="AA22" s="68" t="str">
        <f aca="false">IF(O22&lt;&gt;"Activo","",Y22-Z22)</f>
        <v/>
      </c>
      <c r="AB22" s="63" t="str">
        <f aca="false">IF(O22&lt;&gt;"Activo","",ROUND(MAX(0,IF(AA22&lt;=0,0,WORKDAY(FECHA_CORTE,INT(AA22),FERIADOS)-FECHA_CORTE+(AA22-INT(AA22))))*(Q22+N(K22))/30,0))</f>
        <v/>
      </c>
      <c r="AC22" s="65" t="str">
        <f aca="false">IF(O22&lt;&gt;"Activo","",IF(DATEDIF(F22,FECHA_CORTE+1,"y")&lt;1,0,MIN(TOPE_ANIOS,DATEDIF(F22,FECHA_CORTE+1,"y")+IF(EDATE(F22,12*DATEDIF(F22,FECHA_CORTE+1,"y")+6)&lt;FECHA_CORTE+1,1,0))))</f>
        <v/>
      </c>
      <c r="AD22" s="69" t="str">
        <f aca="false">IF(O22&lt;&gt;"Activo","",AB22+IF(R22="Obra o faena",0,ROUND(AL22*AC22,0)+ROUND(AL22,0)))</f>
        <v/>
      </c>
      <c r="AE22" s="69" t="str">
        <f aca="false">IF(O22&lt;&gt;"Activo","",AB22)</f>
        <v/>
      </c>
      <c r="AF22" s="69" t="str">
        <f aca="false">IF(AN22="","",IF(ISNUMBER(AJ22),"",ROUND(MAX(0,IF(AN22&lt;=0,0,WORKDAY(U22,INT(AN22),FERIADOS)-U22+(AN22-INT(AN22))))*(Q22+N(K22))/30,0)+IF(R22="Obra o faena",ROUND(OBRA_DIAS*AL22/30*(DATEDIF(F22,U22+1,"m")+IF(U22+1-EDATE(F22,DATEDIF(F22,U22+1,"m"))&gt;15,1,0)),0),0)))</f>
        <v/>
      </c>
      <c r="AG22" s="62" t="str">
        <f aca="false">IF(B22="","",IFERROR(VALUE(LEFT(UPPER(SUBSTITUTE(SUBSTITUTE(SUBSTITUTE(TRIM(B22),".",""),"-","")," ","")),LEN(UPPER(SUBSTITUTE(SUBSTITUTE(SUBSTITUTE(TRIM(B22),".",""),"-","")," ","")))-1))&amp;RIGHT(UPPER(SUBSTITUTE(SUBSTITUTE(SUBSTITUTE(TRIM(B22),".",""),"-","")," ","")),1),UPPER(SUBSTITUTE(SUBSTITUTE(SUBSTITUTE(TRIM(B22),".",""),"-","")," ",""))))</f>
        <v/>
      </c>
      <c r="AH22" s="62" t="str">
        <f aca="false">IF(B22="","",COUNTIFS(C_RUTN,AG22,C_DEF,"Sí",C_INI,"&lt;="&amp;FECHA_CORTE))</f>
        <v/>
      </c>
      <c r="AI22" s="62" t="str">
        <f aca="false">IF(B22="","",COUNTIFS(C_RUTN,AG22,C_DEF,"Sí"))</f>
        <v/>
      </c>
      <c r="AJ22" s="66" t="str">
        <f aca="false">IF(OR(B22="",N(AI22)&lt;=N(AH22)),"",IFERROR(INDEX(C_INI,MATCH(AG22&amp;"-P"&amp;(AH22+1),C_CLAVE,0)),""))</f>
        <v/>
      </c>
      <c r="AK22" s="63" t="str">
        <f aca="false">IF(O22&lt;&gt;"Activo","",Q22+N(K22)+IF(L22="Sí",MIN(GRAT_PCT*(Q22+N(K22)),GRAT_TOPE),0)+N(I22)+N(J22))</f>
        <v/>
      </c>
      <c r="AL22" s="63" t="str">
        <f aca="false">IF(O22&lt;&gt;"Activo","",MIN(AK22,TOPE_IAS_UF*UF_MES))</f>
        <v/>
      </c>
      <c r="AM22" s="62" t="str">
        <f aca="false">IF(AND(O22="Activo",ISNUMBER(V22),W22&lt;&gt;"Renovación registrada"),V22+ROW()/100000,"")</f>
        <v/>
      </c>
      <c r="AN22" s="70" t="str">
        <f aca="false">IF(OR(O22&lt;&gt;"Activo",NOT(ISNUMBER(U22))),"",IF(U22&lt;FECHA_CORTE,"",1.25*(DATEDIF(F22,U22+1,"m")+(U22+1-EDATE(F22,DATEDIF(F22,U22+1,"m")))/30)-Z22))</f>
        <v/>
      </c>
      <c r="AO22" s="66" t="str">
        <f aca="false">IF(OR(B22="",NOT(ISNUMBER(F22))),"",IF(N(G22)&gt;0,MIN(G22,FECHA_CORTE),FECHA_CORTE))</f>
        <v/>
      </c>
    </row>
    <row r="23" customFormat="false" ht="15" hidden="false" customHeight="false" outlineLevel="0" collapsed="false">
      <c r="B23" s="58"/>
      <c r="C23" s="58"/>
      <c r="D23" s="58"/>
      <c r="E23" s="58"/>
      <c r="F23" s="59"/>
      <c r="G23" s="59"/>
      <c r="H23" s="58"/>
      <c r="I23" s="60"/>
      <c r="J23" s="60"/>
      <c r="K23" s="60"/>
      <c r="L23" s="58"/>
      <c r="M23" s="61"/>
      <c r="N23" s="58"/>
      <c r="O23" s="62" t="str">
        <f aca="false">IF(B23="","",IF(NOT(ISNUMBER(F23)),"⚠ Falta ingreso",IF(F23&gt;FECHA_CORTE,"Por ingresar",IF(G23="","Activo",IF(G23&lt;FECHA_CORTE,"Desvinculado","Activo")))))</f>
        <v/>
      </c>
      <c r="P23" s="62" t="str">
        <f aca="false">IF(OR(B23="",NOT(ISNUMBER(F23))),"",IF(F23&gt;FECHA_CORTE,"",DATEDIF(F23,IF(G23="",FECHA_CORTE,MIN(G23,FECHA_CORTE))+1,"y")&amp;" a "&amp;DATEDIF(F23,IF(G23="",FECHA_CORTE,MIN(G23,FECHA_CORTE))+1,"ym")&amp;" m"))</f>
        <v/>
      </c>
      <c r="Q23" s="63" t="str">
        <f aca="false">IF(B23="","",IFERROR(INDEX(C_SUELDO,MATCH(AG23&amp;"-S"&amp;MAX(1,COUNTIFS(C_RUTN,AG23,C_SUELDO,"&lt;&gt;",C_INI,"&lt;="&amp;FECHA_CORTE)),C_CLAVES,0)),0))</f>
        <v/>
      </c>
      <c r="R23" s="62" t="str">
        <f aca="false">IF(B23="","",IF(N(AI23)=0,"Sin contrato",IFERROR(INDEX(C_TIPO,MATCH(AG23&amp;"-P"&amp;MAX(1,AH23),C_CLAVE,0))&amp;"","")))</f>
        <v/>
      </c>
      <c r="S23" s="64" t="str">
        <f aca="false">IF(R23="Plazo fijo",IFERROR(INDEX(C_NPF,MATCH(AG23&amp;"-P"&amp;MAX(1,AH23),C_CLAVE,0)),""),"")</f>
        <v/>
      </c>
      <c r="T23" s="65" t="str">
        <f aca="false">IF(B23="","",COUNTIFS(C_RUTN,AG23,C_TIPODOC,"Anexo de modificación"))</f>
        <v/>
      </c>
      <c r="U23" s="66" t="str">
        <f aca="false">IF(AND(OR(R23="Plazo fijo",R23="Obra o faena"),O23&lt;&gt;"Desvinculado"),IFERROR(IF(N(INDEX(C_TER,MATCH(AG23&amp;"-P"&amp;MAX(1,AH23),C_CLAVE,0)))=0,"",INDEX(C_TER,MATCH(AG23&amp;"-P"&amp;MAX(1,AH23),C_CLAVE,0))),""),"")</f>
        <v/>
      </c>
      <c r="V23" s="67" t="str">
        <f aca="false">IF(ISNUMBER(U23),U23-FECHA_CORTE,"")</f>
        <v/>
      </c>
      <c r="W23" s="62" t="str">
        <f aca="false">IF(B23="","",IF(O23="Desvinculado","Terminado",IF(N(AI23)=0,"Sin contrato registrado",IF(O23="Por ingresar","Por ingresar",IF(ISNUMBER(AJ23),"Renovación registrada",IF(R23="Indefinido","Indefinido",IF(NOT(ISNUMBER(V23)),"Falta fecha de término",IF(V23&lt;0,"VENCIDO",IF(V23&lt;=ALERTA_ROJA,"Vence en ≤ "&amp;ALERTA_ROJA&amp;" días",IF(V23&lt;=ALERTA_NARANJA,"Vence en ≤ "&amp;ALERTA_NARANJA&amp;" días",IF(V23&lt;=ALERTA_AMARILLA,"Vence en ≤ "&amp;ALERTA_AMARILLA&amp;" días","Vigente")))))))))))</f>
        <v/>
      </c>
      <c r="X23" s="62" t="str">
        <f aca="false">IF(B23="","",IF(W23="Terminado","—",IF(W23="Sin contrato registrado","Registrar su contrato en la hoja Contratos",IF(W23="Por ingresar","Tener el contrato firmado antes del ingreso",IF(W23="Renovación registrada","Siguiente contrato ya registrado: verificar que esté firmado",IF(R23="Indefinido","Sin vencimiento. Cambios de sueldo o cargo: anexo de modificación",IF(W23="Falta fecha de término","Completar la fecha de término en Contratos",IF(W23="VENCIDO","Sigue trabajando con plazo vencido: por ley ya es INDEFINIDO. Firmar anexo de paso a indefinido",IF(R23="Obra o faena","Al terminar la obra: finiquito + 2,5 días de sueldo por mes trabajado",IF(N(S23)&gt;=2,"2° contrato a plazo: NO se puede renovar otra vez a plazo fijo. Pasar a indefinido o terminar al vencer","1er contrato a plazo: renovar (2° contrato), pasar a indefinido o terminar al vencer"))))))))))</f>
        <v/>
      </c>
      <c r="Y23" s="68" t="str">
        <f aca="false">IF(O23&lt;&gt;"Activo","",ROUND(1.25*(DATEDIF(F23,AO23+1,"m")+(AO23+1-EDATE(F23,DATEDIF(F23,AO23+1,"m")))/30),2))</f>
        <v/>
      </c>
      <c r="Z23" s="68" t="str">
        <f aca="false">IF(O23&lt;&gt;"Activo","",N(M23)+SUMIFS(M_VAC,M_RUTN,AG23,M_MES,"&lt;="&amp;FECHA_CORTE))</f>
        <v/>
      </c>
      <c r="AA23" s="68" t="str">
        <f aca="false">IF(O23&lt;&gt;"Activo","",Y23-Z23)</f>
        <v/>
      </c>
      <c r="AB23" s="63" t="str">
        <f aca="false">IF(O23&lt;&gt;"Activo","",ROUND(MAX(0,IF(AA23&lt;=0,0,WORKDAY(FECHA_CORTE,INT(AA23),FERIADOS)-FECHA_CORTE+(AA23-INT(AA23))))*(Q23+N(K23))/30,0))</f>
        <v/>
      </c>
      <c r="AC23" s="65" t="str">
        <f aca="false">IF(O23&lt;&gt;"Activo","",IF(DATEDIF(F23,FECHA_CORTE+1,"y")&lt;1,0,MIN(TOPE_ANIOS,DATEDIF(F23,FECHA_CORTE+1,"y")+IF(EDATE(F23,12*DATEDIF(F23,FECHA_CORTE+1,"y")+6)&lt;FECHA_CORTE+1,1,0))))</f>
        <v/>
      </c>
      <c r="AD23" s="69" t="str">
        <f aca="false">IF(O23&lt;&gt;"Activo","",AB23+IF(R23="Obra o faena",0,ROUND(AL23*AC23,0)+ROUND(AL23,0)))</f>
        <v/>
      </c>
      <c r="AE23" s="69" t="str">
        <f aca="false">IF(O23&lt;&gt;"Activo","",AB23)</f>
        <v/>
      </c>
      <c r="AF23" s="69" t="str">
        <f aca="false">IF(AN23="","",IF(ISNUMBER(AJ23),"",ROUND(MAX(0,IF(AN23&lt;=0,0,WORKDAY(U23,INT(AN23),FERIADOS)-U23+(AN23-INT(AN23))))*(Q23+N(K23))/30,0)+IF(R23="Obra o faena",ROUND(OBRA_DIAS*AL23/30*(DATEDIF(F23,U23+1,"m")+IF(U23+1-EDATE(F23,DATEDIF(F23,U23+1,"m"))&gt;15,1,0)),0),0)))</f>
        <v/>
      </c>
      <c r="AG23" s="62" t="str">
        <f aca="false">IF(B23="","",IFERROR(VALUE(LEFT(UPPER(SUBSTITUTE(SUBSTITUTE(SUBSTITUTE(TRIM(B23),".",""),"-","")," ","")),LEN(UPPER(SUBSTITUTE(SUBSTITUTE(SUBSTITUTE(TRIM(B23),".",""),"-","")," ","")))-1))&amp;RIGHT(UPPER(SUBSTITUTE(SUBSTITUTE(SUBSTITUTE(TRIM(B23),".",""),"-","")," ","")),1),UPPER(SUBSTITUTE(SUBSTITUTE(SUBSTITUTE(TRIM(B23),".",""),"-","")," ",""))))</f>
        <v/>
      </c>
      <c r="AH23" s="62" t="str">
        <f aca="false">IF(B23="","",COUNTIFS(C_RUTN,AG23,C_DEF,"Sí",C_INI,"&lt;="&amp;FECHA_CORTE))</f>
        <v/>
      </c>
      <c r="AI23" s="62" t="str">
        <f aca="false">IF(B23="","",COUNTIFS(C_RUTN,AG23,C_DEF,"Sí"))</f>
        <v/>
      </c>
      <c r="AJ23" s="66" t="str">
        <f aca="false">IF(OR(B23="",N(AI23)&lt;=N(AH23)),"",IFERROR(INDEX(C_INI,MATCH(AG23&amp;"-P"&amp;(AH23+1),C_CLAVE,0)),""))</f>
        <v/>
      </c>
      <c r="AK23" s="63" t="str">
        <f aca="false">IF(O23&lt;&gt;"Activo","",Q23+N(K23)+IF(L23="Sí",MIN(GRAT_PCT*(Q23+N(K23)),GRAT_TOPE),0)+N(I23)+N(J23))</f>
        <v/>
      </c>
      <c r="AL23" s="63" t="str">
        <f aca="false">IF(O23&lt;&gt;"Activo","",MIN(AK23,TOPE_IAS_UF*UF_MES))</f>
        <v/>
      </c>
      <c r="AM23" s="62" t="str">
        <f aca="false">IF(AND(O23="Activo",ISNUMBER(V23),W23&lt;&gt;"Renovación registrada"),V23+ROW()/100000,"")</f>
        <v/>
      </c>
      <c r="AN23" s="70" t="str">
        <f aca="false">IF(OR(O23&lt;&gt;"Activo",NOT(ISNUMBER(U23))),"",IF(U23&lt;FECHA_CORTE,"",1.25*(DATEDIF(F23,U23+1,"m")+(U23+1-EDATE(F23,DATEDIF(F23,U23+1,"m")))/30)-Z23))</f>
        <v/>
      </c>
      <c r="AO23" s="66" t="str">
        <f aca="false">IF(OR(B23="",NOT(ISNUMBER(F23))),"",IF(N(G23)&gt;0,MIN(G23,FECHA_CORTE),FECHA_CORTE))</f>
        <v/>
      </c>
    </row>
    <row r="24" customFormat="false" ht="15" hidden="false" customHeight="false" outlineLevel="0" collapsed="false">
      <c r="B24" s="58"/>
      <c r="C24" s="58"/>
      <c r="D24" s="58"/>
      <c r="E24" s="58"/>
      <c r="F24" s="59"/>
      <c r="G24" s="59"/>
      <c r="H24" s="58"/>
      <c r="I24" s="60"/>
      <c r="J24" s="60"/>
      <c r="K24" s="60"/>
      <c r="L24" s="58"/>
      <c r="M24" s="61"/>
      <c r="N24" s="58"/>
      <c r="O24" s="62" t="str">
        <f aca="false">IF(B24="","",IF(NOT(ISNUMBER(F24)),"⚠ Falta ingreso",IF(F24&gt;FECHA_CORTE,"Por ingresar",IF(G24="","Activo",IF(G24&lt;FECHA_CORTE,"Desvinculado","Activo")))))</f>
        <v/>
      </c>
      <c r="P24" s="62" t="str">
        <f aca="false">IF(OR(B24="",NOT(ISNUMBER(F24))),"",IF(F24&gt;FECHA_CORTE,"",DATEDIF(F24,IF(G24="",FECHA_CORTE,MIN(G24,FECHA_CORTE))+1,"y")&amp;" a "&amp;DATEDIF(F24,IF(G24="",FECHA_CORTE,MIN(G24,FECHA_CORTE))+1,"ym")&amp;" m"))</f>
        <v/>
      </c>
      <c r="Q24" s="63" t="str">
        <f aca="false">IF(B24="","",IFERROR(INDEX(C_SUELDO,MATCH(AG24&amp;"-S"&amp;MAX(1,COUNTIFS(C_RUTN,AG24,C_SUELDO,"&lt;&gt;",C_INI,"&lt;="&amp;FECHA_CORTE)),C_CLAVES,0)),0))</f>
        <v/>
      </c>
      <c r="R24" s="62" t="str">
        <f aca="false">IF(B24="","",IF(N(AI24)=0,"Sin contrato",IFERROR(INDEX(C_TIPO,MATCH(AG24&amp;"-P"&amp;MAX(1,AH24),C_CLAVE,0))&amp;"","")))</f>
        <v/>
      </c>
      <c r="S24" s="64" t="str">
        <f aca="false">IF(R24="Plazo fijo",IFERROR(INDEX(C_NPF,MATCH(AG24&amp;"-P"&amp;MAX(1,AH24),C_CLAVE,0)),""),"")</f>
        <v/>
      </c>
      <c r="T24" s="65" t="str">
        <f aca="false">IF(B24="","",COUNTIFS(C_RUTN,AG24,C_TIPODOC,"Anexo de modificación"))</f>
        <v/>
      </c>
      <c r="U24" s="66" t="str">
        <f aca="false">IF(AND(OR(R24="Plazo fijo",R24="Obra o faena"),O24&lt;&gt;"Desvinculado"),IFERROR(IF(N(INDEX(C_TER,MATCH(AG24&amp;"-P"&amp;MAX(1,AH24),C_CLAVE,0)))=0,"",INDEX(C_TER,MATCH(AG24&amp;"-P"&amp;MAX(1,AH24),C_CLAVE,0))),""),"")</f>
        <v/>
      </c>
      <c r="V24" s="67" t="str">
        <f aca="false">IF(ISNUMBER(U24),U24-FECHA_CORTE,"")</f>
        <v/>
      </c>
      <c r="W24" s="62" t="str">
        <f aca="false">IF(B24="","",IF(O24="Desvinculado","Terminado",IF(N(AI24)=0,"Sin contrato registrado",IF(O24="Por ingresar","Por ingresar",IF(ISNUMBER(AJ24),"Renovación registrada",IF(R24="Indefinido","Indefinido",IF(NOT(ISNUMBER(V24)),"Falta fecha de término",IF(V24&lt;0,"VENCIDO",IF(V24&lt;=ALERTA_ROJA,"Vence en ≤ "&amp;ALERTA_ROJA&amp;" días",IF(V24&lt;=ALERTA_NARANJA,"Vence en ≤ "&amp;ALERTA_NARANJA&amp;" días",IF(V24&lt;=ALERTA_AMARILLA,"Vence en ≤ "&amp;ALERTA_AMARILLA&amp;" días","Vigente")))))))))))</f>
        <v/>
      </c>
      <c r="X24" s="62" t="str">
        <f aca="false">IF(B24="","",IF(W24="Terminado","—",IF(W24="Sin contrato registrado","Registrar su contrato en la hoja Contratos",IF(W24="Por ingresar","Tener el contrato firmado antes del ingreso",IF(W24="Renovación registrada","Siguiente contrato ya registrado: verificar que esté firmado",IF(R24="Indefinido","Sin vencimiento. Cambios de sueldo o cargo: anexo de modificación",IF(W24="Falta fecha de término","Completar la fecha de término en Contratos",IF(W24="VENCIDO","Sigue trabajando con plazo vencido: por ley ya es INDEFINIDO. Firmar anexo de paso a indefinido",IF(R24="Obra o faena","Al terminar la obra: finiquito + 2,5 días de sueldo por mes trabajado",IF(N(S24)&gt;=2,"2° contrato a plazo: NO se puede renovar otra vez a plazo fijo. Pasar a indefinido o terminar al vencer","1er contrato a plazo: renovar (2° contrato), pasar a indefinido o terminar al vencer"))))))))))</f>
        <v/>
      </c>
      <c r="Y24" s="68" t="str">
        <f aca="false">IF(O24&lt;&gt;"Activo","",ROUND(1.25*(DATEDIF(F24,AO24+1,"m")+(AO24+1-EDATE(F24,DATEDIF(F24,AO24+1,"m")))/30),2))</f>
        <v/>
      </c>
      <c r="Z24" s="68" t="str">
        <f aca="false">IF(O24&lt;&gt;"Activo","",N(M24)+SUMIFS(M_VAC,M_RUTN,AG24,M_MES,"&lt;="&amp;FECHA_CORTE))</f>
        <v/>
      </c>
      <c r="AA24" s="68" t="str">
        <f aca="false">IF(O24&lt;&gt;"Activo","",Y24-Z24)</f>
        <v/>
      </c>
      <c r="AB24" s="63" t="str">
        <f aca="false">IF(O24&lt;&gt;"Activo","",ROUND(MAX(0,IF(AA24&lt;=0,0,WORKDAY(FECHA_CORTE,INT(AA24),FERIADOS)-FECHA_CORTE+(AA24-INT(AA24))))*(Q24+N(K24))/30,0))</f>
        <v/>
      </c>
      <c r="AC24" s="65" t="str">
        <f aca="false">IF(O24&lt;&gt;"Activo","",IF(DATEDIF(F24,FECHA_CORTE+1,"y")&lt;1,0,MIN(TOPE_ANIOS,DATEDIF(F24,FECHA_CORTE+1,"y")+IF(EDATE(F24,12*DATEDIF(F24,FECHA_CORTE+1,"y")+6)&lt;FECHA_CORTE+1,1,0))))</f>
        <v/>
      </c>
      <c r="AD24" s="69" t="str">
        <f aca="false">IF(O24&lt;&gt;"Activo","",AB24+IF(R24="Obra o faena",0,ROUND(AL24*AC24,0)+ROUND(AL24,0)))</f>
        <v/>
      </c>
      <c r="AE24" s="69" t="str">
        <f aca="false">IF(O24&lt;&gt;"Activo","",AB24)</f>
        <v/>
      </c>
      <c r="AF24" s="69" t="str">
        <f aca="false">IF(AN24="","",IF(ISNUMBER(AJ24),"",ROUND(MAX(0,IF(AN24&lt;=0,0,WORKDAY(U24,INT(AN24),FERIADOS)-U24+(AN24-INT(AN24))))*(Q24+N(K24))/30,0)+IF(R24="Obra o faena",ROUND(OBRA_DIAS*AL24/30*(DATEDIF(F24,U24+1,"m")+IF(U24+1-EDATE(F24,DATEDIF(F24,U24+1,"m"))&gt;15,1,0)),0),0)))</f>
        <v/>
      </c>
      <c r="AG24" s="62" t="str">
        <f aca="false">IF(B24="","",IFERROR(VALUE(LEFT(UPPER(SUBSTITUTE(SUBSTITUTE(SUBSTITUTE(TRIM(B24),".",""),"-","")," ","")),LEN(UPPER(SUBSTITUTE(SUBSTITUTE(SUBSTITUTE(TRIM(B24),".",""),"-","")," ","")))-1))&amp;RIGHT(UPPER(SUBSTITUTE(SUBSTITUTE(SUBSTITUTE(TRIM(B24),".",""),"-","")," ","")),1),UPPER(SUBSTITUTE(SUBSTITUTE(SUBSTITUTE(TRIM(B24),".",""),"-","")," ",""))))</f>
        <v/>
      </c>
      <c r="AH24" s="62" t="str">
        <f aca="false">IF(B24="","",COUNTIFS(C_RUTN,AG24,C_DEF,"Sí",C_INI,"&lt;="&amp;FECHA_CORTE))</f>
        <v/>
      </c>
      <c r="AI24" s="62" t="str">
        <f aca="false">IF(B24="","",COUNTIFS(C_RUTN,AG24,C_DEF,"Sí"))</f>
        <v/>
      </c>
      <c r="AJ24" s="66" t="str">
        <f aca="false">IF(OR(B24="",N(AI24)&lt;=N(AH24)),"",IFERROR(INDEX(C_INI,MATCH(AG24&amp;"-P"&amp;(AH24+1),C_CLAVE,0)),""))</f>
        <v/>
      </c>
      <c r="AK24" s="63" t="str">
        <f aca="false">IF(O24&lt;&gt;"Activo","",Q24+N(K24)+IF(L24="Sí",MIN(GRAT_PCT*(Q24+N(K24)),GRAT_TOPE),0)+N(I24)+N(J24))</f>
        <v/>
      </c>
      <c r="AL24" s="63" t="str">
        <f aca="false">IF(O24&lt;&gt;"Activo","",MIN(AK24,TOPE_IAS_UF*UF_MES))</f>
        <v/>
      </c>
      <c r="AM24" s="62" t="str">
        <f aca="false">IF(AND(O24="Activo",ISNUMBER(V24),W24&lt;&gt;"Renovación registrada"),V24+ROW()/100000,"")</f>
        <v/>
      </c>
      <c r="AN24" s="70" t="str">
        <f aca="false">IF(OR(O24&lt;&gt;"Activo",NOT(ISNUMBER(U24))),"",IF(U24&lt;FECHA_CORTE,"",1.25*(DATEDIF(F24,U24+1,"m")+(U24+1-EDATE(F24,DATEDIF(F24,U24+1,"m")))/30)-Z24))</f>
        <v/>
      </c>
      <c r="AO24" s="66" t="str">
        <f aca="false">IF(OR(B24="",NOT(ISNUMBER(F24))),"",IF(N(G24)&gt;0,MIN(G24,FECHA_CORTE),FECHA_CORTE))</f>
        <v/>
      </c>
    </row>
    <row r="25" customFormat="false" ht="15" hidden="false" customHeight="false" outlineLevel="0" collapsed="false">
      <c r="B25" s="58"/>
      <c r="C25" s="58"/>
      <c r="D25" s="58"/>
      <c r="E25" s="58"/>
      <c r="F25" s="59"/>
      <c r="G25" s="59"/>
      <c r="H25" s="58"/>
      <c r="I25" s="60"/>
      <c r="J25" s="60"/>
      <c r="K25" s="60"/>
      <c r="L25" s="58"/>
      <c r="M25" s="61"/>
      <c r="N25" s="58"/>
      <c r="O25" s="62" t="str">
        <f aca="false">IF(B25="","",IF(NOT(ISNUMBER(F25)),"⚠ Falta ingreso",IF(F25&gt;FECHA_CORTE,"Por ingresar",IF(G25="","Activo",IF(G25&lt;FECHA_CORTE,"Desvinculado","Activo")))))</f>
        <v/>
      </c>
      <c r="P25" s="62" t="str">
        <f aca="false">IF(OR(B25="",NOT(ISNUMBER(F25))),"",IF(F25&gt;FECHA_CORTE,"",DATEDIF(F25,IF(G25="",FECHA_CORTE,MIN(G25,FECHA_CORTE))+1,"y")&amp;" a "&amp;DATEDIF(F25,IF(G25="",FECHA_CORTE,MIN(G25,FECHA_CORTE))+1,"ym")&amp;" m"))</f>
        <v/>
      </c>
      <c r="Q25" s="63" t="str">
        <f aca="false">IF(B25="","",IFERROR(INDEX(C_SUELDO,MATCH(AG25&amp;"-S"&amp;MAX(1,COUNTIFS(C_RUTN,AG25,C_SUELDO,"&lt;&gt;",C_INI,"&lt;="&amp;FECHA_CORTE)),C_CLAVES,0)),0))</f>
        <v/>
      </c>
      <c r="R25" s="62" t="str">
        <f aca="false">IF(B25="","",IF(N(AI25)=0,"Sin contrato",IFERROR(INDEX(C_TIPO,MATCH(AG25&amp;"-P"&amp;MAX(1,AH25),C_CLAVE,0))&amp;"","")))</f>
        <v/>
      </c>
      <c r="S25" s="64" t="str">
        <f aca="false">IF(R25="Plazo fijo",IFERROR(INDEX(C_NPF,MATCH(AG25&amp;"-P"&amp;MAX(1,AH25),C_CLAVE,0)),""),"")</f>
        <v/>
      </c>
      <c r="T25" s="65" t="str">
        <f aca="false">IF(B25="","",COUNTIFS(C_RUTN,AG25,C_TIPODOC,"Anexo de modificación"))</f>
        <v/>
      </c>
      <c r="U25" s="66" t="str">
        <f aca="false">IF(AND(OR(R25="Plazo fijo",R25="Obra o faena"),O25&lt;&gt;"Desvinculado"),IFERROR(IF(N(INDEX(C_TER,MATCH(AG25&amp;"-P"&amp;MAX(1,AH25),C_CLAVE,0)))=0,"",INDEX(C_TER,MATCH(AG25&amp;"-P"&amp;MAX(1,AH25),C_CLAVE,0))),""),"")</f>
        <v/>
      </c>
      <c r="V25" s="67" t="str">
        <f aca="false">IF(ISNUMBER(U25),U25-FECHA_CORTE,"")</f>
        <v/>
      </c>
      <c r="W25" s="62" t="str">
        <f aca="false">IF(B25="","",IF(O25="Desvinculado","Terminado",IF(N(AI25)=0,"Sin contrato registrado",IF(O25="Por ingresar","Por ingresar",IF(ISNUMBER(AJ25),"Renovación registrada",IF(R25="Indefinido","Indefinido",IF(NOT(ISNUMBER(V25)),"Falta fecha de término",IF(V25&lt;0,"VENCIDO",IF(V25&lt;=ALERTA_ROJA,"Vence en ≤ "&amp;ALERTA_ROJA&amp;" días",IF(V25&lt;=ALERTA_NARANJA,"Vence en ≤ "&amp;ALERTA_NARANJA&amp;" días",IF(V25&lt;=ALERTA_AMARILLA,"Vence en ≤ "&amp;ALERTA_AMARILLA&amp;" días","Vigente")))))))))))</f>
        <v/>
      </c>
      <c r="X25" s="62" t="str">
        <f aca="false">IF(B25="","",IF(W25="Terminado","—",IF(W25="Sin contrato registrado","Registrar su contrato en la hoja Contratos",IF(W25="Por ingresar","Tener el contrato firmado antes del ingreso",IF(W25="Renovación registrada","Siguiente contrato ya registrado: verificar que esté firmado",IF(R25="Indefinido","Sin vencimiento. Cambios de sueldo o cargo: anexo de modificación",IF(W25="Falta fecha de término","Completar la fecha de término en Contratos",IF(W25="VENCIDO","Sigue trabajando con plazo vencido: por ley ya es INDEFINIDO. Firmar anexo de paso a indefinido",IF(R25="Obra o faena","Al terminar la obra: finiquito + 2,5 días de sueldo por mes trabajado",IF(N(S25)&gt;=2,"2° contrato a plazo: NO se puede renovar otra vez a plazo fijo. Pasar a indefinido o terminar al vencer","1er contrato a plazo: renovar (2° contrato), pasar a indefinido o terminar al vencer"))))))))))</f>
        <v/>
      </c>
      <c r="Y25" s="68" t="str">
        <f aca="false">IF(O25&lt;&gt;"Activo","",ROUND(1.25*(DATEDIF(F25,AO25+1,"m")+(AO25+1-EDATE(F25,DATEDIF(F25,AO25+1,"m")))/30),2))</f>
        <v/>
      </c>
      <c r="Z25" s="68" t="str">
        <f aca="false">IF(O25&lt;&gt;"Activo","",N(M25)+SUMIFS(M_VAC,M_RUTN,AG25,M_MES,"&lt;="&amp;FECHA_CORTE))</f>
        <v/>
      </c>
      <c r="AA25" s="68" t="str">
        <f aca="false">IF(O25&lt;&gt;"Activo","",Y25-Z25)</f>
        <v/>
      </c>
      <c r="AB25" s="63" t="str">
        <f aca="false">IF(O25&lt;&gt;"Activo","",ROUND(MAX(0,IF(AA25&lt;=0,0,WORKDAY(FECHA_CORTE,INT(AA25),FERIADOS)-FECHA_CORTE+(AA25-INT(AA25))))*(Q25+N(K25))/30,0))</f>
        <v/>
      </c>
      <c r="AC25" s="65" t="str">
        <f aca="false">IF(O25&lt;&gt;"Activo","",IF(DATEDIF(F25,FECHA_CORTE+1,"y")&lt;1,0,MIN(TOPE_ANIOS,DATEDIF(F25,FECHA_CORTE+1,"y")+IF(EDATE(F25,12*DATEDIF(F25,FECHA_CORTE+1,"y")+6)&lt;FECHA_CORTE+1,1,0))))</f>
        <v/>
      </c>
      <c r="AD25" s="69" t="str">
        <f aca="false">IF(O25&lt;&gt;"Activo","",AB25+IF(R25="Obra o faena",0,ROUND(AL25*AC25,0)+ROUND(AL25,0)))</f>
        <v/>
      </c>
      <c r="AE25" s="69" t="str">
        <f aca="false">IF(O25&lt;&gt;"Activo","",AB25)</f>
        <v/>
      </c>
      <c r="AF25" s="69" t="str">
        <f aca="false">IF(AN25="","",IF(ISNUMBER(AJ25),"",ROUND(MAX(0,IF(AN25&lt;=0,0,WORKDAY(U25,INT(AN25),FERIADOS)-U25+(AN25-INT(AN25))))*(Q25+N(K25))/30,0)+IF(R25="Obra o faena",ROUND(OBRA_DIAS*AL25/30*(DATEDIF(F25,U25+1,"m")+IF(U25+1-EDATE(F25,DATEDIF(F25,U25+1,"m"))&gt;15,1,0)),0),0)))</f>
        <v/>
      </c>
      <c r="AG25" s="62" t="str">
        <f aca="false">IF(B25="","",IFERROR(VALUE(LEFT(UPPER(SUBSTITUTE(SUBSTITUTE(SUBSTITUTE(TRIM(B25),".",""),"-","")," ","")),LEN(UPPER(SUBSTITUTE(SUBSTITUTE(SUBSTITUTE(TRIM(B25),".",""),"-","")," ","")))-1))&amp;RIGHT(UPPER(SUBSTITUTE(SUBSTITUTE(SUBSTITUTE(TRIM(B25),".",""),"-","")," ","")),1),UPPER(SUBSTITUTE(SUBSTITUTE(SUBSTITUTE(TRIM(B25),".",""),"-","")," ",""))))</f>
        <v/>
      </c>
      <c r="AH25" s="62" t="str">
        <f aca="false">IF(B25="","",COUNTIFS(C_RUTN,AG25,C_DEF,"Sí",C_INI,"&lt;="&amp;FECHA_CORTE))</f>
        <v/>
      </c>
      <c r="AI25" s="62" t="str">
        <f aca="false">IF(B25="","",COUNTIFS(C_RUTN,AG25,C_DEF,"Sí"))</f>
        <v/>
      </c>
      <c r="AJ25" s="66" t="str">
        <f aca="false">IF(OR(B25="",N(AI25)&lt;=N(AH25)),"",IFERROR(INDEX(C_INI,MATCH(AG25&amp;"-P"&amp;(AH25+1),C_CLAVE,0)),""))</f>
        <v/>
      </c>
      <c r="AK25" s="63" t="str">
        <f aca="false">IF(O25&lt;&gt;"Activo","",Q25+N(K25)+IF(L25="Sí",MIN(GRAT_PCT*(Q25+N(K25)),GRAT_TOPE),0)+N(I25)+N(J25))</f>
        <v/>
      </c>
      <c r="AL25" s="63" t="str">
        <f aca="false">IF(O25&lt;&gt;"Activo","",MIN(AK25,TOPE_IAS_UF*UF_MES))</f>
        <v/>
      </c>
      <c r="AM25" s="62" t="str">
        <f aca="false">IF(AND(O25="Activo",ISNUMBER(V25),W25&lt;&gt;"Renovación registrada"),V25+ROW()/100000,"")</f>
        <v/>
      </c>
      <c r="AN25" s="70" t="str">
        <f aca="false">IF(OR(O25&lt;&gt;"Activo",NOT(ISNUMBER(U25))),"",IF(U25&lt;FECHA_CORTE,"",1.25*(DATEDIF(F25,U25+1,"m")+(U25+1-EDATE(F25,DATEDIF(F25,U25+1,"m")))/30)-Z25))</f>
        <v/>
      </c>
      <c r="AO25" s="66" t="str">
        <f aca="false">IF(OR(B25="",NOT(ISNUMBER(F25))),"",IF(N(G25)&gt;0,MIN(G25,FECHA_CORTE),FECHA_CORTE))</f>
        <v/>
      </c>
    </row>
    <row r="26" customFormat="false" ht="15" hidden="false" customHeight="false" outlineLevel="0" collapsed="false">
      <c r="B26" s="58"/>
      <c r="C26" s="58"/>
      <c r="D26" s="58"/>
      <c r="E26" s="58"/>
      <c r="F26" s="59"/>
      <c r="G26" s="59"/>
      <c r="H26" s="58"/>
      <c r="I26" s="60"/>
      <c r="J26" s="60"/>
      <c r="K26" s="60"/>
      <c r="L26" s="58"/>
      <c r="M26" s="61"/>
      <c r="N26" s="58"/>
      <c r="O26" s="62" t="str">
        <f aca="false">IF(B26="","",IF(NOT(ISNUMBER(F26)),"⚠ Falta ingreso",IF(F26&gt;FECHA_CORTE,"Por ingresar",IF(G26="","Activo",IF(G26&lt;FECHA_CORTE,"Desvinculado","Activo")))))</f>
        <v/>
      </c>
      <c r="P26" s="62" t="str">
        <f aca="false">IF(OR(B26="",NOT(ISNUMBER(F26))),"",IF(F26&gt;FECHA_CORTE,"",DATEDIF(F26,IF(G26="",FECHA_CORTE,MIN(G26,FECHA_CORTE))+1,"y")&amp;" a "&amp;DATEDIF(F26,IF(G26="",FECHA_CORTE,MIN(G26,FECHA_CORTE))+1,"ym")&amp;" m"))</f>
        <v/>
      </c>
      <c r="Q26" s="63" t="str">
        <f aca="false">IF(B26="","",IFERROR(INDEX(C_SUELDO,MATCH(AG26&amp;"-S"&amp;MAX(1,COUNTIFS(C_RUTN,AG26,C_SUELDO,"&lt;&gt;",C_INI,"&lt;="&amp;FECHA_CORTE)),C_CLAVES,0)),0))</f>
        <v/>
      </c>
      <c r="R26" s="62" t="str">
        <f aca="false">IF(B26="","",IF(N(AI26)=0,"Sin contrato",IFERROR(INDEX(C_TIPO,MATCH(AG26&amp;"-P"&amp;MAX(1,AH26),C_CLAVE,0))&amp;"","")))</f>
        <v/>
      </c>
      <c r="S26" s="64" t="str">
        <f aca="false">IF(R26="Plazo fijo",IFERROR(INDEX(C_NPF,MATCH(AG26&amp;"-P"&amp;MAX(1,AH26),C_CLAVE,0)),""),"")</f>
        <v/>
      </c>
      <c r="T26" s="65" t="str">
        <f aca="false">IF(B26="","",COUNTIFS(C_RUTN,AG26,C_TIPODOC,"Anexo de modificación"))</f>
        <v/>
      </c>
      <c r="U26" s="66" t="str">
        <f aca="false">IF(AND(OR(R26="Plazo fijo",R26="Obra o faena"),O26&lt;&gt;"Desvinculado"),IFERROR(IF(N(INDEX(C_TER,MATCH(AG26&amp;"-P"&amp;MAX(1,AH26),C_CLAVE,0)))=0,"",INDEX(C_TER,MATCH(AG26&amp;"-P"&amp;MAX(1,AH26),C_CLAVE,0))),""),"")</f>
        <v/>
      </c>
      <c r="V26" s="67" t="str">
        <f aca="false">IF(ISNUMBER(U26),U26-FECHA_CORTE,"")</f>
        <v/>
      </c>
      <c r="W26" s="62" t="str">
        <f aca="false">IF(B26="","",IF(O26="Desvinculado","Terminado",IF(N(AI26)=0,"Sin contrato registrado",IF(O26="Por ingresar","Por ingresar",IF(ISNUMBER(AJ26),"Renovación registrada",IF(R26="Indefinido","Indefinido",IF(NOT(ISNUMBER(V26)),"Falta fecha de término",IF(V26&lt;0,"VENCIDO",IF(V26&lt;=ALERTA_ROJA,"Vence en ≤ "&amp;ALERTA_ROJA&amp;" días",IF(V26&lt;=ALERTA_NARANJA,"Vence en ≤ "&amp;ALERTA_NARANJA&amp;" días",IF(V26&lt;=ALERTA_AMARILLA,"Vence en ≤ "&amp;ALERTA_AMARILLA&amp;" días","Vigente")))))))))))</f>
        <v/>
      </c>
      <c r="X26" s="62" t="str">
        <f aca="false">IF(B26="","",IF(W26="Terminado","—",IF(W26="Sin contrato registrado","Registrar su contrato en la hoja Contratos",IF(W26="Por ingresar","Tener el contrato firmado antes del ingreso",IF(W26="Renovación registrada","Siguiente contrato ya registrado: verificar que esté firmado",IF(R26="Indefinido","Sin vencimiento. Cambios de sueldo o cargo: anexo de modificación",IF(W26="Falta fecha de término","Completar la fecha de término en Contratos",IF(W26="VENCIDO","Sigue trabajando con plazo vencido: por ley ya es INDEFINIDO. Firmar anexo de paso a indefinido",IF(R26="Obra o faena","Al terminar la obra: finiquito + 2,5 días de sueldo por mes trabajado",IF(N(S26)&gt;=2,"2° contrato a plazo: NO se puede renovar otra vez a plazo fijo. Pasar a indefinido o terminar al vencer","1er contrato a plazo: renovar (2° contrato), pasar a indefinido o terminar al vencer"))))))))))</f>
        <v/>
      </c>
      <c r="Y26" s="68" t="str">
        <f aca="false">IF(O26&lt;&gt;"Activo","",ROUND(1.25*(DATEDIF(F26,AO26+1,"m")+(AO26+1-EDATE(F26,DATEDIF(F26,AO26+1,"m")))/30),2))</f>
        <v/>
      </c>
      <c r="Z26" s="68" t="str">
        <f aca="false">IF(O26&lt;&gt;"Activo","",N(M26)+SUMIFS(M_VAC,M_RUTN,AG26,M_MES,"&lt;="&amp;FECHA_CORTE))</f>
        <v/>
      </c>
      <c r="AA26" s="68" t="str">
        <f aca="false">IF(O26&lt;&gt;"Activo","",Y26-Z26)</f>
        <v/>
      </c>
      <c r="AB26" s="63" t="str">
        <f aca="false">IF(O26&lt;&gt;"Activo","",ROUND(MAX(0,IF(AA26&lt;=0,0,WORKDAY(FECHA_CORTE,INT(AA26),FERIADOS)-FECHA_CORTE+(AA26-INT(AA26))))*(Q26+N(K26))/30,0))</f>
        <v/>
      </c>
      <c r="AC26" s="65" t="str">
        <f aca="false">IF(O26&lt;&gt;"Activo","",IF(DATEDIF(F26,FECHA_CORTE+1,"y")&lt;1,0,MIN(TOPE_ANIOS,DATEDIF(F26,FECHA_CORTE+1,"y")+IF(EDATE(F26,12*DATEDIF(F26,FECHA_CORTE+1,"y")+6)&lt;FECHA_CORTE+1,1,0))))</f>
        <v/>
      </c>
      <c r="AD26" s="69" t="str">
        <f aca="false">IF(O26&lt;&gt;"Activo","",AB26+IF(R26="Obra o faena",0,ROUND(AL26*AC26,0)+ROUND(AL26,0)))</f>
        <v/>
      </c>
      <c r="AE26" s="69" t="str">
        <f aca="false">IF(O26&lt;&gt;"Activo","",AB26)</f>
        <v/>
      </c>
      <c r="AF26" s="69" t="str">
        <f aca="false">IF(AN26="","",IF(ISNUMBER(AJ26),"",ROUND(MAX(0,IF(AN26&lt;=0,0,WORKDAY(U26,INT(AN26),FERIADOS)-U26+(AN26-INT(AN26))))*(Q26+N(K26))/30,0)+IF(R26="Obra o faena",ROUND(OBRA_DIAS*AL26/30*(DATEDIF(F26,U26+1,"m")+IF(U26+1-EDATE(F26,DATEDIF(F26,U26+1,"m"))&gt;15,1,0)),0),0)))</f>
        <v/>
      </c>
      <c r="AG26" s="62" t="str">
        <f aca="false">IF(B26="","",IFERROR(VALUE(LEFT(UPPER(SUBSTITUTE(SUBSTITUTE(SUBSTITUTE(TRIM(B26),".",""),"-","")," ","")),LEN(UPPER(SUBSTITUTE(SUBSTITUTE(SUBSTITUTE(TRIM(B26),".",""),"-","")," ","")))-1))&amp;RIGHT(UPPER(SUBSTITUTE(SUBSTITUTE(SUBSTITUTE(TRIM(B26),".",""),"-","")," ","")),1),UPPER(SUBSTITUTE(SUBSTITUTE(SUBSTITUTE(TRIM(B26),".",""),"-","")," ",""))))</f>
        <v/>
      </c>
      <c r="AH26" s="62" t="str">
        <f aca="false">IF(B26="","",COUNTIFS(C_RUTN,AG26,C_DEF,"Sí",C_INI,"&lt;="&amp;FECHA_CORTE))</f>
        <v/>
      </c>
      <c r="AI26" s="62" t="str">
        <f aca="false">IF(B26="","",COUNTIFS(C_RUTN,AG26,C_DEF,"Sí"))</f>
        <v/>
      </c>
      <c r="AJ26" s="66" t="str">
        <f aca="false">IF(OR(B26="",N(AI26)&lt;=N(AH26)),"",IFERROR(INDEX(C_INI,MATCH(AG26&amp;"-P"&amp;(AH26+1),C_CLAVE,0)),""))</f>
        <v/>
      </c>
      <c r="AK26" s="63" t="str">
        <f aca="false">IF(O26&lt;&gt;"Activo","",Q26+N(K26)+IF(L26="Sí",MIN(GRAT_PCT*(Q26+N(K26)),GRAT_TOPE),0)+N(I26)+N(J26))</f>
        <v/>
      </c>
      <c r="AL26" s="63" t="str">
        <f aca="false">IF(O26&lt;&gt;"Activo","",MIN(AK26,TOPE_IAS_UF*UF_MES))</f>
        <v/>
      </c>
      <c r="AM26" s="62" t="str">
        <f aca="false">IF(AND(O26="Activo",ISNUMBER(V26),W26&lt;&gt;"Renovación registrada"),V26+ROW()/100000,"")</f>
        <v/>
      </c>
      <c r="AN26" s="70" t="str">
        <f aca="false">IF(OR(O26&lt;&gt;"Activo",NOT(ISNUMBER(U26))),"",IF(U26&lt;FECHA_CORTE,"",1.25*(DATEDIF(F26,U26+1,"m")+(U26+1-EDATE(F26,DATEDIF(F26,U26+1,"m")))/30)-Z26))</f>
        <v/>
      </c>
      <c r="AO26" s="66" t="str">
        <f aca="false">IF(OR(B26="",NOT(ISNUMBER(F26))),"",IF(N(G26)&gt;0,MIN(G26,FECHA_CORTE),FECHA_CORTE))</f>
        <v/>
      </c>
    </row>
    <row r="27" customFormat="false" ht="15" hidden="false" customHeight="false" outlineLevel="0" collapsed="false">
      <c r="B27" s="58"/>
      <c r="C27" s="58"/>
      <c r="D27" s="58"/>
      <c r="E27" s="58"/>
      <c r="F27" s="59"/>
      <c r="G27" s="59"/>
      <c r="H27" s="58"/>
      <c r="I27" s="60"/>
      <c r="J27" s="60"/>
      <c r="K27" s="60"/>
      <c r="L27" s="58"/>
      <c r="M27" s="61"/>
      <c r="N27" s="58"/>
      <c r="O27" s="62" t="str">
        <f aca="false">IF(B27="","",IF(NOT(ISNUMBER(F27)),"⚠ Falta ingreso",IF(F27&gt;FECHA_CORTE,"Por ingresar",IF(G27="","Activo",IF(G27&lt;FECHA_CORTE,"Desvinculado","Activo")))))</f>
        <v/>
      </c>
      <c r="P27" s="62" t="str">
        <f aca="false">IF(OR(B27="",NOT(ISNUMBER(F27))),"",IF(F27&gt;FECHA_CORTE,"",DATEDIF(F27,IF(G27="",FECHA_CORTE,MIN(G27,FECHA_CORTE))+1,"y")&amp;" a "&amp;DATEDIF(F27,IF(G27="",FECHA_CORTE,MIN(G27,FECHA_CORTE))+1,"ym")&amp;" m"))</f>
        <v/>
      </c>
      <c r="Q27" s="63" t="str">
        <f aca="false">IF(B27="","",IFERROR(INDEX(C_SUELDO,MATCH(AG27&amp;"-S"&amp;MAX(1,COUNTIFS(C_RUTN,AG27,C_SUELDO,"&lt;&gt;",C_INI,"&lt;="&amp;FECHA_CORTE)),C_CLAVES,0)),0))</f>
        <v/>
      </c>
      <c r="R27" s="62" t="str">
        <f aca="false">IF(B27="","",IF(N(AI27)=0,"Sin contrato",IFERROR(INDEX(C_TIPO,MATCH(AG27&amp;"-P"&amp;MAX(1,AH27),C_CLAVE,0))&amp;"","")))</f>
        <v/>
      </c>
      <c r="S27" s="64" t="str">
        <f aca="false">IF(R27="Plazo fijo",IFERROR(INDEX(C_NPF,MATCH(AG27&amp;"-P"&amp;MAX(1,AH27),C_CLAVE,0)),""),"")</f>
        <v/>
      </c>
      <c r="T27" s="65" t="str">
        <f aca="false">IF(B27="","",COUNTIFS(C_RUTN,AG27,C_TIPODOC,"Anexo de modificación"))</f>
        <v/>
      </c>
      <c r="U27" s="66" t="str">
        <f aca="false">IF(AND(OR(R27="Plazo fijo",R27="Obra o faena"),O27&lt;&gt;"Desvinculado"),IFERROR(IF(N(INDEX(C_TER,MATCH(AG27&amp;"-P"&amp;MAX(1,AH27),C_CLAVE,0)))=0,"",INDEX(C_TER,MATCH(AG27&amp;"-P"&amp;MAX(1,AH27),C_CLAVE,0))),""),"")</f>
        <v/>
      </c>
      <c r="V27" s="67" t="str">
        <f aca="false">IF(ISNUMBER(U27),U27-FECHA_CORTE,"")</f>
        <v/>
      </c>
      <c r="W27" s="62" t="str">
        <f aca="false">IF(B27="","",IF(O27="Desvinculado","Terminado",IF(N(AI27)=0,"Sin contrato registrado",IF(O27="Por ingresar","Por ingresar",IF(ISNUMBER(AJ27),"Renovación registrada",IF(R27="Indefinido","Indefinido",IF(NOT(ISNUMBER(V27)),"Falta fecha de término",IF(V27&lt;0,"VENCIDO",IF(V27&lt;=ALERTA_ROJA,"Vence en ≤ "&amp;ALERTA_ROJA&amp;" días",IF(V27&lt;=ALERTA_NARANJA,"Vence en ≤ "&amp;ALERTA_NARANJA&amp;" días",IF(V27&lt;=ALERTA_AMARILLA,"Vence en ≤ "&amp;ALERTA_AMARILLA&amp;" días","Vigente")))))))))))</f>
        <v/>
      </c>
      <c r="X27" s="62" t="str">
        <f aca="false">IF(B27="","",IF(W27="Terminado","—",IF(W27="Sin contrato registrado","Registrar su contrato en la hoja Contratos",IF(W27="Por ingresar","Tener el contrato firmado antes del ingreso",IF(W27="Renovación registrada","Siguiente contrato ya registrado: verificar que esté firmado",IF(R27="Indefinido","Sin vencimiento. Cambios de sueldo o cargo: anexo de modificación",IF(W27="Falta fecha de término","Completar la fecha de término en Contratos",IF(W27="VENCIDO","Sigue trabajando con plazo vencido: por ley ya es INDEFINIDO. Firmar anexo de paso a indefinido",IF(R27="Obra o faena","Al terminar la obra: finiquito + 2,5 días de sueldo por mes trabajado",IF(N(S27)&gt;=2,"2° contrato a plazo: NO se puede renovar otra vez a plazo fijo. Pasar a indefinido o terminar al vencer","1er contrato a plazo: renovar (2° contrato), pasar a indefinido o terminar al vencer"))))))))))</f>
        <v/>
      </c>
      <c r="Y27" s="68" t="str">
        <f aca="false">IF(O27&lt;&gt;"Activo","",ROUND(1.25*(DATEDIF(F27,AO27+1,"m")+(AO27+1-EDATE(F27,DATEDIF(F27,AO27+1,"m")))/30),2))</f>
        <v/>
      </c>
      <c r="Z27" s="68" t="str">
        <f aca="false">IF(O27&lt;&gt;"Activo","",N(M27)+SUMIFS(M_VAC,M_RUTN,AG27,M_MES,"&lt;="&amp;FECHA_CORTE))</f>
        <v/>
      </c>
      <c r="AA27" s="68" t="str">
        <f aca="false">IF(O27&lt;&gt;"Activo","",Y27-Z27)</f>
        <v/>
      </c>
      <c r="AB27" s="63" t="str">
        <f aca="false">IF(O27&lt;&gt;"Activo","",ROUND(MAX(0,IF(AA27&lt;=0,0,WORKDAY(FECHA_CORTE,INT(AA27),FERIADOS)-FECHA_CORTE+(AA27-INT(AA27))))*(Q27+N(K27))/30,0))</f>
        <v/>
      </c>
      <c r="AC27" s="65" t="str">
        <f aca="false">IF(O27&lt;&gt;"Activo","",IF(DATEDIF(F27,FECHA_CORTE+1,"y")&lt;1,0,MIN(TOPE_ANIOS,DATEDIF(F27,FECHA_CORTE+1,"y")+IF(EDATE(F27,12*DATEDIF(F27,FECHA_CORTE+1,"y")+6)&lt;FECHA_CORTE+1,1,0))))</f>
        <v/>
      </c>
      <c r="AD27" s="69" t="str">
        <f aca="false">IF(O27&lt;&gt;"Activo","",AB27+IF(R27="Obra o faena",0,ROUND(AL27*AC27,0)+ROUND(AL27,0)))</f>
        <v/>
      </c>
      <c r="AE27" s="69" t="str">
        <f aca="false">IF(O27&lt;&gt;"Activo","",AB27)</f>
        <v/>
      </c>
      <c r="AF27" s="69" t="str">
        <f aca="false">IF(AN27="","",IF(ISNUMBER(AJ27),"",ROUND(MAX(0,IF(AN27&lt;=0,0,WORKDAY(U27,INT(AN27),FERIADOS)-U27+(AN27-INT(AN27))))*(Q27+N(K27))/30,0)+IF(R27="Obra o faena",ROUND(OBRA_DIAS*AL27/30*(DATEDIF(F27,U27+1,"m")+IF(U27+1-EDATE(F27,DATEDIF(F27,U27+1,"m"))&gt;15,1,0)),0),0)))</f>
        <v/>
      </c>
      <c r="AG27" s="62" t="str">
        <f aca="false">IF(B27="","",IFERROR(VALUE(LEFT(UPPER(SUBSTITUTE(SUBSTITUTE(SUBSTITUTE(TRIM(B27),".",""),"-","")," ","")),LEN(UPPER(SUBSTITUTE(SUBSTITUTE(SUBSTITUTE(TRIM(B27),".",""),"-","")," ","")))-1))&amp;RIGHT(UPPER(SUBSTITUTE(SUBSTITUTE(SUBSTITUTE(TRIM(B27),".",""),"-","")," ","")),1),UPPER(SUBSTITUTE(SUBSTITUTE(SUBSTITUTE(TRIM(B27),".",""),"-","")," ",""))))</f>
        <v/>
      </c>
      <c r="AH27" s="62" t="str">
        <f aca="false">IF(B27="","",COUNTIFS(C_RUTN,AG27,C_DEF,"Sí",C_INI,"&lt;="&amp;FECHA_CORTE))</f>
        <v/>
      </c>
      <c r="AI27" s="62" t="str">
        <f aca="false">IF(B27="","",COUNTIFS(C_RUTN,AG27,C_DEF,"Sí"))</f>
        <v/>
      </c>
      <c r="AJ27" s="66" t="str">
        <f aca="false">IF(OR(B27="",N(AI27)&lt;=N(AH27)),"",IFERROR(INDEX(C_INI,MATCH(AG27&amp;"-P"&amp;(AH27+1),C_CLAVE,0)),""))</f>
        <v/>
      </c>
      <c r="AK27" s="63" t="str">
        <f aca="false">IF(O27&lt;&gt;"Activo","",Q27+N(K27)+IF(L27="Sí",MIN(GRAT_PCT*(Q27+N(K27)),GRAT_TOPE),0)+N(I27)+N(J27))</f>
        <v/>
      </c>
      <c r="AL27" s="63" t="str">
        <f aca="false">IF(O27&lt;&gt;"Activo","",MIN(AK27,TOPE_IAS_UF*UF_MES))</f>
        <v/>
      </c>
      <c r="AM27" s="62" t="str">
        <f aca="false">IF(AND(O27="Activo",ISNUMBER(V27),W27&lt;&gt;"Renovación registrada"),V27+ROW()/100000,"")</f>
        <v/>
      </c>
      <c r="AN27" s="70" t="str">
        <f aca="false">IF(OR(O27&lt;&gt;"Activo",NOT(ISNUMBER(U27))),"",IF(U27&lt;FECHA_CORTE,"",1.25*(DATEDIF(F27,U27+1,"m")+(U27+1-EDATE(F27,DATEDIF(F27,U27+1,"m")))/30)-Z27))</f>
        <v/>
      </c>
      <c r="AO27" s="66" t="str">
        <f aca="false">IF(OR(B27="",NOT(ISNUMBER(F27))),"",IF(N(G27)&gt;0,MIN(G27,FECHA_CORTE),FECHA_CORTE))</f>
        <v/>
      </c>
    </row>
    <row r="28" customFormat="false" ht="15" hidden="false" customHeight="false" outlineLevel="0" collapsed="false">
      <c r="B28" s="58"/>
      <c r="C28" s="58"/>
      <c r="D28" s="58"/>
      <c r="E28" s="58"/>
      <c r="F28" s="59"/>
      <c r="G28" s="59"/>
      <c r="H28" s="58"/>
      <c r="I28" s="60"/>
      <c r="J28" s="60"/>
      <c r="K28" s="60"/>
      <c r="L28" s="58"/>
      <c r="M28" s="61"/>
      <c r="N28" s="58"/>
      <c r="O28" s="62" t="str">
        <f aca="false">IF(B28="","",IF(NOT(ISNUMBER(F28)),"⚠ Falta ingreso",IF(F28&gt;FECHA_CORTE,"Por ingresar",IF(G28="","Activo",IF(G28&lt;FECHA_CORTE,"Desvinculado","Activo")))))</f>
        <v/>
      </c>
      <c r="P28" s="62" t="str">
        <f aca="false">IF(OR(B28="",NOT(ISNUMBER(F28))),"",IF(F28&gt;FECHA_CORTE,"",DATEDIF(F28,IF(G28="",FECHA_CORTE,MIN(G28,FECHA_CORTE))+1,"y")&amp;" a "&amp;DATEDIF(F28,IF(G28="",FECHA_CORTE,MIN(G28,FECHA_CORTE))+1,"ym")&amp;" m"))</f>
        <v/>
      </c>
      <c r="Q28" s="63" t="str">
        <f aca="false">IF(B28="","",IFERROR(INDEX(C_SUELDO,MATCH(AG28&amp;"-S"&amp;MAX(1,COUNTIFS(C_RUTN,AG28,C_SUELDO,"&lt;&gt;",C_INI,"&lt;="&amp;FECHA_CORTE)),C_CLAVES,0)),0))</f>
        <v/>
      </c>
      <c r="R28" s="62" t="str">
        <f aca="false">IF(B28="","",IF(N(AI28)=0,"Sin contrato",IFERROR(INDEX(C_TIPO,MATCH(AG28&amp;"-P"&amp;MAX(1,AH28),C_CLAVE,0))&amp;"","")))</f>
        <v/>
      </c>
      <c r="S28" s="64" t="str">
        <f aca="false">IF(R28="Plazo fijo",IFERROR(INDEX(C_NPF,MATCH(AG28&amp;"-P"&amp;MAX(1,AH28),C_CLAVE,0)),""),"")</f>
        <v/>
      </c>
      <c r="T28" s="65" t="str">
        <f aca="false">IF(B28="","",COUNTIFS(C_RUTN,AG28,C_TIPODOC,"Anexo de modificación"))</f>
        <v/>
      </c>
      <c r="U28" s="66" t="str">
        <f aca="false">IF(AND(OR(R28="Plazo fijo",R28="Obra o faena"),O28&lt;&gt;"Desvinculado"),IFERROR(IF(N(INDEX(C_TER,MATCH(AG28&amp;"-P"&amp;MAX(1,AH28),C_CLAVE,0)))=0,"",INDEX(C_TER,MATCH(AG28&amp;"-P"&amp;MAX(1,AH28),C_CLAVE,0))),""),"")</f>
        <v/>
      </c>
      <c r="V28" s="67" t="str">
        <f aca="false">IF(ISNUMBER(U28),U28-FECHA_CORTE,"")</f>
        <v/>
      </c>
      <c r="W28" s="62" t="str">
        <f aca="false">IF(B28="","",IF(O28="Desvinculado","Terminado",IF(N(AI28)=0,"Sin contrato registrado",IF(O28="Por ingresar","Por ingresar",IF(ISNUMBER(AJ28),"Renovación registrada",IF(R28="Indefinido","Indefinido",IF(NOT(ISNUMBER(V28)),"Falta fecha de término",IF(V28&lt;0,"VENCIDO",IF(V28&lt;=ALERTA_ROJA,"Vence en ≤ "&amp;ALERTA_ROJA&amp;" días",IF(V28&lt;=ALERTA_NARANJA,"Vence en ≤ "&amp;ALERTA_NARANJA&amp;" días",IF(V28&lt;=ALERTA_AMARILLA,"Vence en ≤ "&amp;ALERTA_AMARILLA&amp;" días","Vigente")))))))))))</f>
        <v/>
      </c>
      <c r="X28" s="62" t="str">
        <f aca="false">IF(B28="","",IF(W28="Terminado","—",IF(W28="Sin contrato registrado","Registrar su contrato en la hoja Contratos",IF(W28="Por ingresar","Tener el contrato firmado antes del ingreso",IF(W28="Renovación registrada","Siguiente contrato ya registrado: verificar que esté firmado",IF(R28="Indefinido","Sin vencimiento. Cambios de sueldo o cargo: anexo de modificación",IF(W28="Falta fecha de término","Completar la fecha de término en Contratos",IF(W28="VENCIDO","Sigue trabajando con plazo vencido: por ley ya es INDEFINIDO. Firmar anexo de paso a indefinido",IF(R28="Obra o faena","Al terminar la obra: finiquito + 2,5 días de sueldo por mes trabajado",IF(N(S28)&gt;=2,"2° contrato a plazo: NO se puede renovar otra vez a plazo fijo. Pasar a indefinido o terminar al vencer","1er contrato a plazo: renovar (2° contrato), pasar a indefinido o terminar al vencer"))))))))))</f>
        <v/>
      </c>
      <c r="Y28" s="68" t="str">
        <f aca="false">IF(O28&lt;&gt;"Activo","",ROUND(1.25*(DATEDIF(F28,AO28+1,"m")+(AO28+1-EDATE(F28,DATEDIF(F28,AO28+1,"m")))/30),2))</f>
        <v/>
      </c>
      <c r="Z28" s="68" t="str">
        <f aca="false">IF(O28&lt;&gt;"Activo","",N(M28)+SUMIFS(M_VAC,M_RUTN,AG28,M_MES,"&lt;="&amp;FECHA_CORTE))</f>
        <v/>
      </c>
      <c r="AA28" s="68" t="str">
        <f aca="false">IF(O28&lt;&gt;"Activo","",Y28-Z28)</f>
        <v/>
      </c>
      <c r="AB28" s="63" t="str">
        <f aca="false">IF(O28&lt;&gt;"Activo","",ROUND(MAX(0,IF(AA28&lt;=0,0,WORKDAY(FECHA_CORTE,INT(AA28),FERIADOS)-FECHA_CORTE+(AA28-INT(AA28))))*(Q28+N(K28))/30,0))</f>
        <v/>
      </c>
      <c r="AC28" s="65" t="str">
        <f aca="false">IF(O28&lt;&gt;"Activo","",IF(DATEDIF(F28,FECHA_CORTE+1,"y")&lt;1,0,MIN(TOPE_ANIOS,DATEDIF(F28,FECHA_CORTE+1,"y")+IF(EDATE(F28,12*DATEDIF(F28,FECHA_CORTE+1,"y")+6)&lt;FECHA_CORTE+1,1,0))))</f>
        <v/>
      </c>
      <c r="AD28" s="69" t="str">
        <f aca="false">IF(O28&lt;&gt;"Activo","",AB28+IF(R28="Obra o faena",0,ROUND(AL28*AC28,0)+ROUND(AL28,0)))</f>
        <v/>
      </c>
      <c r="AE28" s="69" t="str">
        <f aca="false">IF(O28&lt;&gt;"Activo","",AB28)</f>
        <v/>
      </c>
      <c r="AF28" s="69" t="str">
        <f aca="false">IF(AN28="","",IF(ISNUMBER(AJ28),"",ROUND(MAX(0,IF(AN28&lt;=0,0,WORKDAY(U28,INT(AN28),FERIADOS)-U28+(AN28-INT(AN28))))*(Q28+N(K28))/30,0)+IF(R28="Obra o faena",ROUND(OBRA_DIAS*AL28/30*(DATEDIF(F28,U28+1,"m")+IF(U28+1-EDATE(F28,DATEDIF(F28,U28+1,"m"))&gt;15,1,0)),0),0)))</f>
        <v/>
      </c>
      <c r="AG28" s="62" t="str">
        <f aca="false">IF(B28="","",IFERROR(VALUE(LEFT(UPPER(SUBSTITUTE(SUBSTITUTE(SUBSTITUTE(TRIM(B28),".",""),"-","")," ","")),LEN(UPPER(SUBSTITUTE(SUBSTITUTE(SUBSTITUTE(TRIM(B28),".",""),"-","")," ","")))-1))&amp;RIGHT(UPPER(SUBSTITUTE(SUBSTITUTE(SUBSTITUTE(TRIM(B28),".",""),"-","")," ","")),1),UPPER(SUBSTITUTE(SUBSTITUTE(SUBSTITUTE(TRIM(B28),".",""),"-","")," ",""))))</f>
        <v/>
      </c>
      <c r="AH28" s="62" t="str">
        <f aca="false">IF(B28="","",COUNTIFS(C_RUTN,AG28,C_DEF,"Sí",C_INI,"&lt;="&amp;FECHA_CORTE))</f>
        <v/>
      </c>
      <c r="AI28" s="62" t="str">
        <f aca="false">IF(B28="","",COUNTIFS(C_RUTN,AG28,C_DEF,"Sí"))</f>
        <v/>
      </c>
      <c r="AJ28" s="66" t="str">
        <f aca="false">IF(OR(B28="",N(AI28)&lt;=N(AH28)),"",IFERROR(INDEX(C_INI,MATCH(AG28&amp;"-P"&amp;(AH28+1),C_CLAVE,0)),""))</f>
        <v/>
      </c>
      <c r="AK28" s="63" t="str">
        <f aca="false">IF(O28&lt;&gt;"Activo","",Q28+N(K28)+IF(L28="Sí",MIN(GRAT_PCT*(Q28+N(K28)),GRAT_TOPE),0)+N(I28)+N(J28))</f>
        <v/>
      </c>
      <c r="AL28" s="63" t="str">
        <f aca="false">IF(O28&lt;&gt;"Activo","",MIN(AK28,TOPE_IAS_UF*UF_MES))</f>
        <v/>
      </c>
      <c r="AM28" s="62" t="str">
        <f aca="false">IF(AND(O28="Activo",ISNUMBER(V28),W28&lt;&gt;"Renovación registrada"),V28+ROW()/100000,"")</f>
        <v/>
      </c>
      <c r="AN28" s="70" t="str">
        <f aca="false">IF(OR(O28&lt;&gt;"Activo",NOT(ISNUMBER(U28))),"",IF(U28&lt;FECHA_CORTE,"",1.25*(DATEDIF(F28,U28+1,"m")+(U28+1-EDATE(F28,DATEDIF(F28,U28+1,"m")))/30)-Z28))</f>
        <v/>
      </c>
      <c r="AO28" s="66" t="str">
        <f aca="false">IF(OR(B28="",NOT(ISNUMBER(F28))),"",IF(N(G28)&gt;0,MIN(G28,FECHA_CORTE),FECHA_CORTE))</f>
        <v/>
      </c>
    </row>
    <row r="29" customFormat="false" ht="15" hidden="false" customHeight="false" outlineLevel="0" collapsed="false">
      <c r="B29" s="58"/>
      <c r="C29" s="58"/>
      <c r="D29" s="58"/>
      <c r="E29" s="58"/>
      <c r="F29" s="59"/>
      <c r="G29" s="59"/>
      <c r="H29" s="58"/>
      <c r="I29" s="60"/>
      <c r="J29" s="60"/>
      <c r="K29" s="60"/>
      <c r="L29" s="58"/>
      <c r="M29" s="61"/>
      <c r="N29" s="58"/>
      <c r="O29" s="62" t="str">
        <f aca="false">IF(B29="","",IF(NOT(ISNUMBER(F29)),"⚠ Falta ingreso",IF(F29&gt;FECHA_CORTE,"Por ingresar",IF(G29="","Activo",IF(G29&lt;FECHA_CORTE,"Desvinculado","Activo")))))</f>
        <v/>
      </c>
      <c r="P29" s="62" t="str">
        <f aca="false">IF(OR(B29="",NOT(ISNUMBER(F29))),"",IF(F29&gt;FECHA_CORTE,"",DATEDIF(F29,IF(G29="",FECHA_CORTE,MIN(G29,FECHA_CORTE))+1,"y")&amp;" a "&amp;DATEDIF(F29,IF(G29="",FECHA_CORTE,MIN(G29,FECHA_CORTE))+1,"ym")&amp;" m"))</f>
        <v/>
      </c>
      <c r="Q29" s="63" t="str">
        <f aca="false">IF(B29="","",IFERROR(INDEX(C_SUELDO,MATCH(AG29&amp;"-S"&amp;MAX(1,COUNTIFS(C_RUTN,AG29,C_SUELDO,"&lt;&gt;",C_INI,"&lt;="&amp;FECHA_CORTE)),C_CLAVES,0)),0))</f>
        <v/>
      </c>
      <c r="R29" s="62" t="str">
        <f aca="false">IF(B29="","",IF(N(AI29)=0,"Sin contrato",IFERROR(INDEX(C_TIPO,MATCH(AG29&amp;"-P"&amp;MAX(1,AH29),C_CLAVE,0))&amp;"","")))</f>
        <v/>
      </c>
      <c r="S29" s="64" t="str">
        <f aca="false">IF(R29="Plazo fijo",IFERROR(INDEX(C_NPF,MATCH(AG29&amp;"-P"&amp;MAX(1,AH29),C_CLAVE,0)),""),"")</f>
        <v/>
      </c>
      <c r="T29" s="65" t="str">
        <f aca="false">IF(B29="","",COUNTIFS(C_RUTN,AG29,C_TIPODOC,"Anexo de modificación"))</f>
        <v/>
      </c>
      <c r="U29" s="66" t="str">
        <f aca="false">IF(AND(OR(R29="Plazo fijo",R29="Obra o faena"),O29&lt;&gt;"Desvinculado"),IFERROR(IF(N(INDEX(C_TER,MATCH(AG29&amp;"-P"&amp;MAX(1,AH29),C_CLAVE,0)))=0,"",INDEX(C_TER,MATCH(AG29&amp;"-P"&amp;MAX(1,AH29),C_CLAVE,0))),""),"")</f>
        <v/>
      </c>
      <c r="V29" s="67" t="str">
        <f aca="false">IF(ISNUMBER(U29),U29-FECHA_CORTE,"")</f>
        <v/>
      </c>
      <c r="W29" s="62" t="str">
        <f aca="false">IF(B29="","",IF(O29="Desvinculado","Terminado",IF(N(AI29)=0,"Sin contrato registrado",IF(O29="Por ingresar","Por ingresar",IF(ISNUMBER(AJ29),"Renovación registrada",IF(R29="Indefinido","Indefinido",IF(NOT(ISNUMBER(V29)),"Falta fecha de término",IF(V29&lt;0,"VENCIDO",IF(V29&lt;=ALERTA_ROJA,"Vence en ≤ "&amp;ALERTA_ROJA&amp;" días",IF(V29&lt;=ALERTA_NARANJA,"Vence en ≤ "&amp;ALERTA_NARANJA&amp;" días",IF(V29&lt;=ALERTA_AMARILLA,"Vence en ≤ "&amp;ALERTA_AMARILLA&amp;" días","Vigente")))))))))))</f>
        <v/>
      </c>
      <c r="X29" s="62" t="str">
        <f aca="false">IF(B29="","",IF(W29="Terminado","—",IF(W29="Sin contrato registrado","Registrar su contrato en la hoja Contratos",IF(W29="Por ingresar","Tener el contrato firmado antes del ingreso",IF(W29="Renovación registrada","Siguiente contrato ya registrado: verificar que esté firmado",IF(R29="Indefinido","Sin vencimiento. Cambios de sueldo o cargo: anexo de modificación",IF(W29="Falta fecha de término","Completar la fecha de término en Contratos",IF(W29="VENCIDO","Sigue trabajando con plazo vencido: por ley ya es INDEFINIDO. Firmar anexo de paso a indefinido",IF(R29="Obra o faena","Al terminar la obra: finiquito + 2,5 días de sueldo por mes trabajado",IF(N(S29)&gt;=2,"2° contrato a plazo: NO se puede renovar otra vez a plazo fijo. Pasar a indefinido o terminar al vencer","1er contrato a plazo: renovar (2° contrato), pasar a indefinido o terminar al vencer"))))))))))</f>
        <v/>
      </c>
      <c r="Y29" s="68" t="str">
        <f aca="false">IF(O29&lt;&gt;"Activo","",ROUND(1.25*(DATEDIF(F29,AO29+1,"m")+(AO29+1-EDATE(F29,DATEDIF(F29,AO29+1,"m")))/30),2))</f>
        <v/>
      </c>
      <c r="Z29" s="68" t="str">
        <f aca="false">IF(O29&lt;&gt;"Activo","",N(M29)+SUMIFS(M_VAC,M_RUTN,AG29,M_MES,"&lt;="&amp;FECHA_CORTE))</f>
        <v/>
      </c>
      <c r="AA29" s="68" t="str">
        <f aca="false">IF(O29&lt;&gt;"Activo","",Y29-Z29)</f>
        <v/>
      </c>
      <c r="AB29" s="63" t="str">
        <f aca="false">IF(O29&lt;&gt;"Activo","",ROUND(MAX(0,IF(AA29&lt;=0,0,WORKDAY(FECHA_CORTE,INT(AA29),FERIADOS)-FECHA_CORTE+(AA29-INT(AA29))))*(Q29+N(K29))/30,0))</f>
        <v/>
      </c>
      <c r="AC29" s="65" t="str">
        <f aca="false">IF(O29&lt;&gt;"Activo","",IF(DATEDIF(F29,FECHA_CORTE+1,"y")&lt;1,0,MIN(TOPE_ANIOS,DATEDIF(F29,FECHA_CORTE+1,"y")+IF(EDATE(F29,12*DATEDIF(F29,FECHA_CORTE+1,"y")+6)&lt;FECHA_CORTE+1,1,0))))</f>
        <v/>
      </c>
      <c r="AD29" s="69" t="str">
        <f aca="false">IF(O29&lt;&gt;"Activo","",AB29+IF(R29="Obra o faena",0,ROUND(AL29*AC29,0)+ROUND(AL29,0)))</f>
        <v/>
      </c>
      <c r="AE29" s="69" t="str">
        <f aca="false">IF(O29&lt;&gt;"Activo","",AB29)</f>
        <v/>
      </c>
      <c r="AF29" s="69" t="str">
        <f aca="false">IF(AN29="","",IF(ISNUMBER(AJ29),"",ROUND(MAX(0,IF(AN29&lt;=0,0,WORKDAY(U29,INT(AN29),FERIADOS)-U29+(AN29-INT(AN29))))*(Q29+N(K29))/30,0)+IF(R29="Obra o faena",ROUND(OBRA_DIAS*AL29/30*(DATEDIF(F29,U29+1,"m")+IF(U29+1-EDATE(F29,DATEDIF(F29,U29+1,"m"))&gt;15,1,0)),0),0)))</f>
        <v/>
      </c>
      <c r="AG29" s="62" t="str">
        <f aca="false">IF(B29="","",IFERROR(VALUE(LEFT(UPPER(SUBSTITUTE(SUBSTITUTE(SUBSTITUTE(TRIM(B29),".",""),"-","")," ","")),LEN(UPPER(SUBSTITUTE(SUBSTITUTE(SUBSTITUTE(TRIM(B29),".",""),"-","")," ","")))-1))&amp;RIGHT(UPPER(SUBSTITUTE(SUBSTITUTE(SUBSTITUTE(TRIM(B29),".",""),"-","")," ","")),1),UPPER(SUBSTITUTE(SUBSTITUTE(SUBSTITUTE(TRIM(B29),".",""),"-","")," ",""))))</f>
        <v/>
      </c>
      <c r="AH29" s="62" t="str">
        <f aca="false">IF(B29="","",COUNTIFS(C_RUTN,AG29,C_DEF,"Sí",C_INI,"&lt;="&amp;FECHA_CORTE))</f>
        <v/>
      </c>
      <c r="AI29" s="62" t="str">
        <f aca="false">IF(B29="","",COUNTIFS(C_RUTN,AG29,C_DEF,"Sí"))</f>
        <v/>
      </c>
      <c r="AJ29" s="66" t="str">
        <f aca="false">IF(OR(B29="",N(AI29)&lt;=N(AH29)),"",IFERROR(INDEX(C_INI,MATCH(AG29&amp;"-P"&amp;(AH29+1),C_CLAVE,0)),""))</f>
        <v/>
      </c>
      <c r="AK29" s="63" t="str">
        <f aca="false">IF(O29&lt;&gt;"Activo","",Q29+N(K29)+IF(L29="Sí",MIN(GRAT_PCT*(Q29+N(K29)),GRAT_TOPE),0)+N(I29)+N(J29))</f>
        <v/>
      </c>
      <c r="AL29" s="63" t="str">
        <f aca="false">IF(O29&lt;&gt;"Activo","",MIN(AK29,TOPE_IAS_UF*UF_MES))</f>
        <v/>
      </c>
      <c r="AM29" s="62" t="str">
        <f aca="false">IF(AND(O29="Activo",ISNUMBER(V29),W29&lt;&gt;"Renovación registrada"),V29+ROW()/100000,"")</f>
        <v/>
      </c>
      <c r="AN29" s="70" t="str">
        <f aca="false">IF(OR(O29&lt;&gt;"Activo",NOT(ISNUMBER(U29))),"",IF(U29&lt;FECHA_CORTE,"",1.25*(DATEDIF(F29,U29+1,"m")+(U29+1-EDATE(F29,DATEDIF(F29,U29+1,"m")))/30)-Z29))</f>
        <v/>
      </c>
      <c r="AO29" s="66" t="str">
        <f aca="false">IF(OR(B29="",NOT(ISNUMBER(F29))),"",IF(N(G29)&gt;0,MIN(G29,FECHA_CORTE),FECHA_CORTE))</f>
        <v/>
      </c>
    </row>
    <row r="30" customFormat="false" ht="15" hidden="false" customHeight="false" outlineLevel="0" collapsed="false">
      <c r="B30" s="58"/>
      <c r="C30" s="58"/>
      <c r="D30" s="58"/>
      <c r="E30" s="58"/>
      <c r="F30" s="59"/>
      <c r="G30" s="59"/>
      <c r="H30" s="58"/>
      <c r="I30" s="60"/>
      <c r="J30" s="60"/>
      <c r="K30" s="60"/>
      <c r="L30" s="58"/>
      <c r="M30" s="61"/>
      <c r="N30" s="58"/>
      <c r="O30" s="62" t="str">
        <f aca="false">IF(B30="","",IF(NOT(ISNUMBER(F30)),"⚠ Falta ingreso",IF(F30&gt;FECHA_CORTE,"Por ingresar",IF(G30="","Activo",IF(G30&lt;FECHA_CORTE,"Desvinculado","Activo")))))</f>
        <v/>
      </c>
      <c r="P30" s="62" t="str">
        <f aca="false">IF(OR(B30="",NOT(ISNUMBER(F30))),"",IF(F30&gt;FECHA_CORTE,"",DATEDIF(F30,IF(G30="",FECHA_CORTE,MIN(G30,FECHA_CORTE))+1,"y")&amp;" a "&amp;DATEDIF(F30,IF(G30="",FECHA_CORTE,MIN(G30,FECHA_CORTE))+1,"ym")&amp;" m"))</f>
        <v/>
      </c>
      <c r="Q30" s="63" t="str">
        <f aca="false">IF(B30="","",IFERROR(INDEX(C_SUELDO,MATCH(AG30&amp;"-S"&amp;MAX(1,COUNTIFS(C_RUTN,AG30,C_SUELDO,"&lt;&gt;",C_INI,"&lt;="&amp;FECHA_CORTE)),C_CLAVES,0)),0))</f>
        <v/>
      </c>
      <c r="R30" s="62" t="str">
        <f aca="false">IF(B30="","",IF(N(AI30)=0,"Sin contrato",IFERROR(INDEX(C_TIPO,MATCH(AG30&amp;"-P"&amp;MAX(1,AH30),C_CLAVE,0))&amp;"","")))</f>
        <v/>
      </c>
      <c r="S30" s="64" t="str">
        <f aca="false">IF(R30="Plazo fijo",IFERROR(INDEX(C_NPF,MATCH(AG30&amp;"-P"&amp;MAX(1,AH30),C_CLAVE,0)),""),"")</f>
        <v/>
      </c>
      <c r="T30" s="65" t="str">
        <f aca="false">IF(B30="","",COUNTIFS(C_RUTN,AG30,C_TIPODOC,"Anexo de modificación"))</f>
        <v/>
      </c>
      <c r="U30" s="66" t="str">
        <f aca="false">IF(AND(OR(R30="Plazo fijo",R30="Obra o faena"),O30&lt;&gt;"Desvinculado"),IFERROR(IF(N(INDEX(C_TER,MATCH(AG30&amp;"-P"&amp;MAX(1,AH30),C_CLAVE,0)))=0,"",INDEX(C_TER,MATCH(AG30&amp;"-P"&amp;MAX(1,AH30),C_CLAVE,0))),""),"")</f>
        <v/>
      </c>
      <c r="V30" s="67" t="str">
        <f aca="false">IF(ISNUMBER(U30),U30-FECHA_CORTE,"")</f>
        <v/>
      </c>
      <c r="W30" s="62" t="str">
        <f aca="false">IF(B30="","",IF(O30="Desvinculado","Terminado",IF(N(AI30)=0,"Sin contrato registrado",IF(O30="Por ingresar","Por ingresar",IF(ISNUMBER(AJ30),"Renovación registrada",IF(R30="Indefinido","Indefinido",IF(NOT(ISNUMBER(V30)),"Falta fecha de término",IF(V30&lt;0,"VENCIDO",IF(V30&lt;=ALERTA_ROJA,"Vence en ≤ "&amp;ALERTA_ROJA&amp;" días",IF(V30&lt;=ALERTA_NARANJA,"Vence en ≤ "&amp;ALERTA_NARANJA&amp;" días",IF(V30&lt;=ALERTA_AMARILLA,"Vence en ≤ "&amp;ALERTA_AMARILLA&amp;" días","Vigente")))))))))))</f>
        <v/>
      </c>
      <c r="X30" s="62" t="str">
        <f aca="false">IF(B30="","",IF(W30="Terminado","—",IF(W30="Sin contrato registrado","Registrar su contrato en la hoja Contratos",IF(W30="Por ingresar","Tener el contrato firmado antes del ingreso",IF(W30="Renovación registrada","Siguiente contrato ya registrado: verificar que esté firmado",IF(R30="Indefinido","Sin vencimiento. Cambios de sueldo o cargo: anexo de modificación",IF(W30="Falta fecha de término","Completar la fecha de término en Contratos",IF(W30="VENCIDO","Sigue trabajando con plazo vencido: por ley ya es INDEFINIDO. Firmar anexo de paso a indefinido",IF(R30="Obra o faena","Al terminar la obra: finiquito + 2,5 días de sueldo por mes trabajado",IF(N(S30)&gt;=2,"2° contrato a plazo: NO se puede renovar otra vez a plazo fijo. Pasar a indefinido o terminar al vencer","1er contrato a plazo: renovar (2° contrato), pasar a indefinido o terminar al vencer"))))))))))</f>
        <v/>
      </c>
      <c r="Y30" s="68" t="str">
        <f aca="false">IF(O30&lt;&gt;"Activo","",ROUND(1.25*(DATEDIF(F30,AO30+1,"m")+(AO30+1-EDATE(F30,DATEDIF(F30,AO30+1,"m")))/30),2))</f>
        <v/>
      </c>
      <c r="Z30" s="68" t="str">
        <f aca="false">IF(O30&lt;&gt;"Activo","",N(M30)+SUMIFS(M_VAC,M_RUTN,AG30,M_MES,"&lt;="&amp;FECHA_CORTE))</f>
        <v/>
      </c>
      <c r="AA30" s="68" t="str">
        <f aca="false">IF(O30&lt;&gt;"Activo","",Y30-Z30)</f>
        <v/>
      </c>
      <c r="AB30" s="63" t="str">
        <f aca="false">IF(O30&lt;&gt;"Activo","",ROUND(MAX(0,IF(AA30&lt;=0,0,WORKDAY(FECHA_CORTE,INT(AA30),FERIADOS)-FECHA_CORTE+(AA30-INT(AA30))))*(Q30+N(K30))/30,0))</f>
        <v/>
      </c>
      <c r="AC30" s="65" t="str">
        <f aca="false">IF(O30&lt;&gt;"Activo","",IF(DATEDIF(F30,FECHA_CORTE+1,"y")&lt;1,0,MIN(TOPE_ANIOS,DATEDIF(F30,FECHA_CORTE+1,"y")+IF(EDATE(F30,12*DATEDIF(F30,FECHA_CORTE+1,"y")+6)&lt;FECHA_CORTE+1,1,0))))</f>
        <v/>
      </c>
      <c r="AD30" s="69" t="str">
        <f aca="false">IF(O30&lt;&gt;"Activo","",AB30+IF(R30="Obra o faena",0,ROUND(AL30*AC30,0)+ROUND(AL30,0)))</f>
        <v/>
      </c>
      <c r="AE30" s="69" t="str">
        <f aca="false">IF(O30&lt;&gt;"Activo","",AB30)</f>
        <v/>
      </c>
      <c r="AF30" s="69" t="str">
        <f aca="false">IF(AN30="","",IF(ISNUMBER(AJ30),"",ROUND(MAX(0,IF(AN30&lt;=0,0,WORKDAY(U30,INT(AN30),FERIADOS)-U30+(AN30-INT(AN30))))*(Q30+N(K30))/30,0)+IF(R30="Obra o faena",ROUND(OBRA_DIAS*AL30/30*(DATEDIF(F30,U30+1,"m")+IF(U30+1-EDATE(F30,DATEDIF(F30,U30+1,"m"))&gt;15,1,0)),0),0)))</f>
        <v/>
      </c>
      <c r="AG30" s="62" t="str">
        <f aca="false">IF(B30="","",IFERROR(VALUE(LEFT(UPPER(SUBSTITUTE(SUBSTITUTE(SUBSTITUTE(TRIM(B30),".",""),"-","")," ","")),LEN(UPPER(SUBSTITUTE(SUBSTITUTE(SUBSTITUTE(TRIM(B30),".",""),"-","")," ","")))-1))&amp;RIGHT(UPPER(SUBSTITUTE(SUBSTITUTE(SUBSTITUTE(TRIM(B30),".",""),"-","")," ","")),1),UPPER(SUBSTITUTE(SUBSTITUTE(SUBSTITUTE(TRIM(B30),".",""),"-","")," ",""))))</f>
        <v/>
      </c>
      <c r="AH30" s="62" t="str">
        <f aca="false">IF(B30="","",COUNTIFS(C_RUTN,AG30,C_DEF,"Sí",C_INI,"&lt;="&amp;FECHA_CORTE))</f>
        <v/>
      </c>
      <c r="AI30" s="62" t="str">
        <f aca="false">IF(B30="","",COUNTIFS(C_RUTN,AG30,C_DEF,"Sí"))</f>
        <v/>
      </c>
      <c r="AJ30" s="66" t="str">
        <f aca="false">IF(OR(B30="",N(AI30)&lt;=N(AH30)),"",IFERROR(INDEX(C_INI,MATCH(AG30&amp;"-P"&amp;(AH30+1),C_CLAVE,0)),""))</f>
        <v/>
      </c>
      <c r="AK30" s="63" t="str">
        <f aca="false">IF(O30&lt;&gt;"Activo","",Q30+N(K30)+IF(L30="Sí",MIN(GRAT_PCT*(Q30+N(K30)),GRAT_TOPE),0)+N(I30)+N(J30))</f>
        <v/>
      </c>
      <c r="AL30" s="63" t="str">
        <f aca="false">IF(O30&lt;&gt;"Activo","",MIN(AK30,TOPE_IAS_UF*UF_MES))</f>
        <v/>
      </c>
      <c r="AM30" s="62" t="str">
        <f aca="false">IF(AND(O30="Activo",ISNUMBER(V30),W30&lt;&gt;"Renovación registrada"),V30+ROW()/100000,"")</f>
        <v/>
      </c>
      <c r="AN30" s="70" t="str">
        <f aca="false">IF(OR(O30&lt;&gt;"Activo",NOT(ISNUMBER(U30))),"",IF(U30&lt;FECHA_CORTE,"",1.25*(DATEDIF(F30,U30+1,"m")+(U30+1-EDATE(F30,DATEDIF(F30,U30+1,"m")))/30)-Z30))</f>
        <v/>
      </c>
      <c r="AO30" s="66" t="str">
        <f aca="false">IF(OR(B30="",NOT(ISNUMBER(F30))),"",IF(N(G30)&gt;0,MIN(G30,FECHA_CORTE),FECHA_CORTE))</f>
        <v/>
      </c>
    </row>
    <row r="31" customFormat="false" ht="15" hidden="false" customHeight="false" outlineLevel="0" collapsed="false">
      <c r="B31" s="58"/>
      <c r="C31" s="58"/>
      <c r="D31" s="58"/>
      <c r="E31" s="58"/>
      <c r="F31" s="59"/>
      <c r="G31" s="59"/>
      <c r="H31" s="58"/>
      <c r="I31" s="60"/>
      <c r="J31" s="60"/>
      <c r="K31" s="60"/>
      <c r="L31" s="58"/>
      <c r="M31" s="61"/>
      <c r="N31" s="58"/>
      <c r="O31" s="62" t="str">
        <f aca="false">IF(B31="","",IF(NOT(ISNUMBER(F31)),"⚠ Falta ingreso",IF(F31&gt;FECHA_CORTE,"Por ingresar",IF(G31="","Activo",IF(G31&lt;FECHA_CORTE,"Desvinculado","Activo")))))</f>
        <v/>
      </c>
      <c r="P31" s="62" t="str">
        <f aca="false">IF(OR(B31="",NOT(ISNUMBER(F31))),"",IF(F31&gt;FECHA_CORTE,"",DATEDIF(F31,IF(G31="",FECHA_CORTE,MIN(G31,FECHA_CORTE))+1,"y")&amp;" a "&amp;DATEDIF(F31,IF(G31="",FECHA_CORTE,MIN(G31,FECHA_CORTE))+1,"ym")&amp;" m"))</f>
        <v/>
      </c>
      <c r="Q31" s="63" t="str">
        <f aca="false">IF(B31="","",IFERROR(INDEX(C_SUELDO,MATCH(AG31&amp;"-S"&amp;MAX(1,COUNTIFS(C_RUTN,AG31,C_SUELDO,"&lt;&gt;",C_INI,"&lt;="&amp;FECHA_CORTE)),C_CLAVES,0)),0))</f>
        <v/>
      </c>
      <c r="R31" s="62" t="str">
        <f aca="false">IF(B31="","",IF(N(AI31)=0,"Sin contrato",IFERROR(INDEX(C_TIPO,MATCH(AG31&amp;"-P"&amp;MAX(1,AH31),C_CLAVE,0))&amp;"","")))</f>
        <v/>
      </c>
      <c r="S31" s="64" t="str">
        <f aca="false">IF(R31="Plazo fijo",IFERROR(INDEX(C_NPF,MATCH(AG31&amp;"-P"&amp;MAX(1,AH31),C_CLAVE,0)),""),"")</f>
        <v/>
      </c>
      <c r="T31" s="65" t="str">
        <f aca="false">IF(B31="","",COUNTIFS(C_RUTN,AG31,C_TIPODOC,"Anexo de modificación"))</f>
        <v/>
      </c>
      <c r="U31" s="66" t="str">
        <f aca="false">IF(AND(OR(R31="Plazo fijo",R31="Obra o faena"),O31&lt;&gt;"Desvinculado"),IFERROR(IF(N(INDEX(C_TER,MATCH(AG31&amp;"-P"&amp;MAX(1,AH31),C_CLAVE,0)))=0,"",INDEX(C_TER,MATCH(AG31&amp;"-P"&amp;MAX(1,AH31),C_CLAVE,0))),""),"")</f>
        <v/>
      </c>
      <c r="V31" s="67" t="str">
        <f aca="false">IF(ISNUMBER(U31),U31-FECHA_CORTE,"")</f>
        <v/>
      </c>
      <c r="W31" s="62" t="str">
        <f aca="false">IF(B31="","",IF(O31="Desvinculado","Terminado",IF(N(AI31)=0,"Sin contrato registrado",IF(O31="Por ingresar","Por ingresar",IF(ISNUMBER(AJ31),"Renovación registrada",IF(R31="Indefinido","Indefinido",IF(NOT(ISNUMBER(V31)),"Falta fecha de término",IF(V31&lt;0,"VENCIDO",IF(V31&lt;=ALERTA_ROJA,"Vence en ≤ "&amp;ALERTA_ROJA&amp;" días",IF(V31&lt;=ALERTA_NARANJA,"Vence en ≤ "&amp;ALERTA_NARANJA&amp;" días",IF(V31&lt;=ALERTA_AMARILLA,"Vence en ≤ "&amp;ALERTA_AMARILLA&amp;" días","Vigente")))))))))))</f>
        <v/>
      </c>
      <c r="X31" s="62" t="str">
        <f aca="false">IF(B31="","",IF(W31="Terminado","—",IF(W31="Sin contrato registrado","Registrar su contrato en la hoja Contratos",IF(W31="Por ingresar","Tener el contrato firmado antes del ingreso",IF(W31="Renovación registrada","Siguiente contrato ya registrado: verificar que esté firmado",IF(R31="Indefinido","Sin vencimiento. Cambios de sueldo o cargo: anexo de modificación",IF(W31="Falta fecha de término","Completar la fecha de término en Contratos",IF(W31="VENCIDO","Sigue trabajando con plazo vencido: por ley ya es INDEFINIDO. Firmar anexo de paso a indefinido",IF(R31="Obra o faena","Al terminar la obra: finiquito + 2,5 días de sueldo por mes trabajado",IF(N(S31)&gt;=2,"2° contrato a plazo: NO se puede renovar otra vez a plazo fijo. Pasar a indefinido o terminar al vencer","1er contrato a plazo: renovar (2° contrato), pasar a indefinido o terminar al vencer"))))))))))</f>
        <v/>
      </c>
      <c r="Y31" s="68" t="str">
        <f aca="false">IF(O31&lt;&gt;"Activo","",ROUND(1.25*(DATEDIF(F31,AO31+1,"m")+(AO31+1-EDATE(F31,DATEDIF(F31,AO31+1,"m")))/30),2))</f>
        <v/>
      </c>
      <c r="Z31" s="68" t="str">
        <f aca="false">IF(O31&lt;&gt;"Activo","",N(M31)+SUMIFS(M_VAC,M_RUTN,AG31,M_MES,"&lt;="&amp;FECHA_CORTE))</f>
        <v/>
      </c>
      <c r="AA31" s="68" t="str">
        <f aca="false">IF(O31&lt;&gt;"Activo","",Y31-Z31)</f>
        <v/>
      </c>
      <c r="AB31" s="63" t="str">
        <f aca="false">IF(O31&lt;&gt;"Activo","",ROUND(MAX(0,IF(AA31&lt;=0,0,WORKDAY(FECHA_CORTE,INT(AA31),FERIADOS)-FECHA_CORTE+(AA31-INT(AA31))))*(Q31+N(K31))/30,0))</f>
        <v/>
      </c>
      <c r="AC31" s="65" t="str">
        <f aca="false">IF(O31&lt;&gt;"Activo","",IF(DATEDIF(F31,FECHA_CORTE+1,"y")&lt;1,0,MIN(TOPE_ANIOS,DATEDIF(F31,FECHA_CORTE+1,"y")+IF(EDATE(F31,12*DATEDIF(F31,FECHA_CORTE+1,"y")+6)&lt;FECHA_CORTE+1,1,0))))</f>
        <v/>
      </c>
      <c r="AD31" s="69" t="str">
        <f aca="false">IF(O31&lt;&gt;"Activo","",AB31+IF(R31="Obra o faena",0,ROUND(AL31*AC31,0)+ROUND(AL31,0)))</f>
        <v/>
      </c>
      <c r="AE31" s="69" t="str">
        <f aca="false">IF(O31&lt;&gt;"Activo","",AB31)</f>
        <v/>
      </c>
      <c r="AF31" s="69" t="str">
        <f aca="false">IF(AN31="","",IF(ISNUMBER(AJ31),"",ROUND(MAX(0,IF(AN31&lt;=0,0,WORKDAY(U31,INT(AN31),FERIADOS)-U31+(AN31-INT(AN31))))*(Q31+N(K31))/30,0)+IF(R31="Obra o faena",ROUND(OBRA_DIAS*AL31/30*(DATEDIF(F31,U31+1,"m")+IF(U31+1-EDATE(F31,DATEDIF(F31,U31+1,"m"))&gt;15,1,0)),0),0)))</f>
        <v/>
      </c>
      <c r="AG31" s="62" t="str">
        <f aca="false">IF(B31="","",IFERROR(VALUE(LEFT(UPPER(SUBSTITUTE(SUBSTITUTE(SUBSTITUTE(TRIM(B31),".",""),"-","")," ","")),LEN(UPPER(SUBSTITUTE(SUBSTITUTE(SUBSTITUTE(TRIM(B31),".",""),"-","")," ","")))-1))&amp;RIGHT(UPPER(SUBSTITUTE(SUBSTITUTE(SUBSTITUTE(TRIM(B31),".",""),"-","")," ","")),1),UPPER(SUBSTITUTE(SUBSTITUTE(SUBSTITUTE(TRIM(B31),".",""),"-","")," ",""))))</f>
        <v/>
      </c>
      <c r="AH31" s="62" t="str">
        <f aca="false">IF(B31="","",COUNTIFS(C_RUTN,AG31,C_DEF,"Sí",C_INI,"&lt;="&amp;FECHA_CORTE))</f>
        <v/>
      </c>
      <c r="AI31" s="62" t="str">
        <f aca="false">IF(B31="","",COUNTIFS(C_RUTN,AG31,C_DEF,"Sí"))</f>
        <v/>
      </c>
      <c r="AJ31" s="66" t="str">
        <f aca="false">IF(OR(B31="",N(AI31)&lt;=N(AH31)),"",IFERROR(INDEX(C_INI,MATCH(AG31&amp;"-P"&amp;(AH31+1),C_CLAVE,0)),""))</f>
        <v/>
      </c>
      <c r="AK31" s="63" t="str">
        <f aca="false">IF(O31&lt;&gt;"Activo","",Q31+N(K31)+IF(L31="Sí",MIN(GRAT_PCT*(Q31+N(K31)),GRAT_TOPE),0)+N(I31)+N(J31))</f>
        <v/>
      </c>
      <c r="AL31" s="63" t="str">
        <f aca="false">IF(O31&lt;&gt;"Activo","",MIN(AK31,TOPE_IAS_UF*UF_MES))</f>
        <v/>
      </c>
      <c r="AM31" s="62" t="str">
        <f aca="false">IF(AND(O31="Activo",ISNUMBER(V31),W31&lt;&gt;"Renovación registrada"),V31+ROW()/100000,"")</f>
        <v/>
      </c>
      <c r="AN31" s="70" t="str">
        <f aca="false">IF(OR(O31&lt;&gt;"Activo",NOT(ISNUMBER(U31))),"",IF(U31&lt;FECHA_CORTE,"",1.25*(DATEDIF(F31,U31+1,"m")+(U31+1-EDATE(F31,DATEDIF(F31,U31+1,"m")))/30)-Z31))</f>
        <v/>
      </c>
      <c r="AO31" s="66" t="str">
        <f aca="false">IF(OR(B31="",NOT(ISNUMBER(F31))),"",IF(N(G31)&gt;0,MIN(G31,FECHA_CORTE),FECHA_CORTE))</f>
        <v/>
      </c>
    </row>
    <row r="32" customFormat="false" ht="15" hidden="false" customHeight="false" outlineLevel="0" collapsed="false">
      <c r="B32" s="58"/>
      <c r="C32" s="58"/>
      <c r="D32" s="58"/>
      <c r="E32" s="58"/>
      <c r="F32" s="59"/>
      <c r="G32" s="59"/>
      <c r="H32" s="58"/>
      <c r="I32" s="60"/>
      <c r="J32" s="60"/>
      <c r="K32" s="60"/>
      <c r="L32" s="58"/>
      <c r="M32" s="61"/>
      <c r="N32" s="58"/>
      <c r="O32" s="62" t="str">
        <f aca="false">IF(B32="","",IF(NOT(ISNUMBER(F32)),"⚠ Falta ingreso",IF(F32&gt;FECHA_CORTE,"Por ingresar",IF(G32="","Activo",IF(G32&lt;FECHA_CORTE,"Desvinculado","Activo")))))</f>
        <v/>
      </c>
      <c r="P32" s="62" t="str">
        <f aca="false">IF(OR(B32="",NOT(ISNUMBER(F32))),"",IF(F32&gt;FECHA_CORTE,"",DATEDIF(F32,IF(G32="",FECHA_CORTE,MIN(G32,FECHA_CORTE))+1,"y")&amp;" a "&amp;DATEDIF(F32,IF(G32="",FECHA_CORTE,MIN(G32,FECHA_CORTE))+1,"ym")&amp;" m"))</f>
        <v/>
      </c>
      <c r="Q32" s="63" t="str">
        <f aca="false">IF(B32="","",IFERROR(INDEX(C_SUELDO,MATCH(AG32&amp;"-S"&amp;MAX(1,COUNTIFS(C_RUTN,AG32,C_SUELDO,"&lt;&gt;",C_INI,"&lt;="&amp;FECHA_CORTE)),C_CLAVES,0)),0))</f>
        <v/>
      </c>
      <c r="R32" s="62" t="str">
        <f aca="false">IF(B32="","",IF(N(AI32)=0,"Sin contrato",IFERROR(INDEX(C_TIPO,MATCH(AG32&amp;"-P"&amp;MAX(1,AH32),C_CLAVE,0))&amp;"","")))</f>
        <v/>
      </c>
      <c r="S32" s="64" t="str">
        <f aca="false">IF(R32="Plazo fijo",IFERROR(INDEX(C_NPF,MATCH(AG32&amp;"-P"&amp;MAX(1,AH32),C_CLAVE,0)),""),"")</f>
        <v/>
      </c>
      <c r="T32" s="65" t="str">
        <f aca="false">IF(B32="","",COUNTIFS(C_RUTN,AG32,C_TIPODOC,"Anexo de modificación"))</f>
        <v/>
      </c>
      <c r="U32" s="66" t="str">
        <f aca="false">IF(AND(OR(R32="Plazo fijo",R32="Obra o faena"),O32&lt;&gt;"Desvinculado"),IFERROR(IF(N(INDEX(C_TER,MATCH(AG32&amp;"-P"&amp;MAX(1,AH32),C_CLAVE,0)))=0,"",INDEX(C_TER,MATCH(AG32&amp;"-P"&amp;MAX(1,AH32),C_CLAVE,0))),""),"")</f>
        <v/>
      </c>
      <c r="V32" s="67" t="str">
        <f aca="false">IF(ISNUMBER(U32),U32-FECHA_CORTE,"")</f>
        <v/>
      </c>
      <c r="W32" s="62" t="str">
        <f aca="false">IF(B32="","",IF(O32="Desvinculado","Terminado",IF(N(AI32)=0,"Sin contrato registrado",IF(O32="Por ingresar","Por ingresar",IF(ISNUMBER(AJ32),"Renovación registrada",IF(R32="Indefinido","Indefinido",IF(NOT(ISNUMBER(V32)),"Falta fecha de término",IF(V32&lt;0,"VENCIDO",IF(V32&lt;=ALERTA_ROJA,"Vence en ≤ "&amp;ALERTA_ROJA&amp;" días",IF(V32&lt;=ALERTA_NARANJA,"Vence en ≤ "&amp;ALERTA_NARANJA&amp;" días",IF(V32&lt;=ALERTA_AMARILLA,"Vence en ≤ "&amp;ALERTA_AMARILLA&amp;" días","Vigente")))))))))))</f>
        <v/>
      </c>
      <c r="X32" s="62" t="str">
        <f aca="false">IF(B32="","",IF(W32="Terminado","—",IF(W32="Sin contrato registrado","Registrar su contrato en la hoja Contratos",IF(W32="Por ingresar","Tener el contrato firmado antes del ingreso",IF(W32="Renovación registrada","Siguiente contrato ya registrado: verificar que esté firmado",IF(R32="Indefinido","Sin vencimiento. Cambios de sueldo o cargo: anexo de modificación",IF(W32="Falta fecha de término","Completar la fecha de término en Contratos",IF(W32="VENCIDO","Sigue trabajando con plazo vencido: por ley ya es INDEFINIDO. Firmar anexo de paso a indefinido",IF(R32="Obra o faena","Al terminar la obra: finiquito + 2,5 días de sueldo por mes trabajado",IF(N(S32)&gt;=2,"2° contrato a plazo: NO se puede renovar otra vez a plazo fijo. Pasar a indefinido o terminar al vencer","1er contrato a plazo: renovar (2° contrato), pasar a indefinido o terminar al vencer"))))))))))</f>
        <v/>
      </c>
      <c r="Y32" s="68" t="str">
        <f aca="false">IF(O32&lt;&gt;"Activo","",ROUND(1.25*(DATEDIF(F32,AO32+1,"m")+(AO32+1-EDATE(F32,DATEDIF(F32,AO32+1,"m")))/30),2))</f>
        <v/>
      </c>
      <c r="Z32" s="68" t="str">
        <f aca="false">IF(O32&lt;&gt;"Activo","",N(M32)+SUMIFS(M_VAC,M_RUTN,AG32,M_MES,"&lt;="&amp;FECHA_CORTE))</f>
        <v/>
      </c>
      <c r="AA32" s="68" t="str">
        <f aca="false">IF(O32&lt;&gt;"Activo","",Y32-Z32)</f>
        <v/>
      </c>
      <c r="AB32" s="63" t="str">
        <f aca="false">IF(O32&lt;&gt;"Activo","",ROUND(MAX(0,IF(AA32&lt;=0,0,WORKDAY(FECHA_CORTE,INT(AA32),FERIADOS)-FECHA_CORTE+(AA32-INT(AA32))))*(Q32+N(K32))/30,0))</f>
        <v/>
      </c>
      <c r="AC32" s="65" t="str">
        <f aca="false">IF(O32&lt;&gt;"Activo","",IF(DATEDIF(F32,FECHA_CORTE+1,"y")&lt;1,0,MIN(TOPE_ANIOS,DATEDIF(F32,FECHA_CORTE+1,"y")+IF(EDATE(F32,12*DATEDIF(F32,FECHA_CORTE+1,"y")+6)&lt;FECHA_CORTE+1,1,0))))</f>
        <v/>
      </c>
      <c r="AD32" s="69" t="str">
        <f aca="false">IF(O32&lt;&gt;"Activo","",AB32+IF(R32="Obra o faena",0,ROUND(AL32*AC32,0)+ROUND(AL32,0)))</f>
        <v/>
      </c>
      <c r="AE32" s="69" t="str">
        <f aca="false">IF(O32&lt;&gt;"Activo","",AB32)</f>
        <v/>
      </c>
      <c r="AF32" s="69" t="str">
        <f aca="false">IF(AN32="","",IF(ISNUMBER(AJ32),"",ROUND(MAX(0,IF(AN32&lt;=0,0,WORKDAY(U32,INT(AN32),FERIADOS)-U32+(AN32-INT(AN32))))*(Q32+N(K32))/30,0)+IF(R32="Obra o faena",ROUND(OBRA_DIAS*AL32/30*(DATEDIF(F32,U32+1,"m")+IF(U32+1-EDATE(F32,DATEDIF(F32,U32+1,"m"))&gt;15,1,0)),0),0)))</f>
        <v/>
      </c>
      <c r="AG32" s="62" t="str">
        <f aca="false">IF(B32="","",IFERROR(VALUE(LEFT(UPPER(SUBSTITUTE(SUBSTITUTE(SUBSTITUTE(TRIM(B32),".",""),"-","")," ","")),LEN(UPPER(SUBSTITUTE(SUBSTITUTE(SUBSTITUTE(TRIM(B32),".",""),"-","")," ","")))-1))&amp;RIGHT(UPPER(SUBSTITUTE(SUBSTITUTE(SUBSTITUTE(TRIM(B32),".",""),"-","")," ","")),1),UPPER(SUBSTITUTE(SUBSTITUTE(SUBSTITUTE(TRIM(B32),".",""),"-","")," ",""))))</f>
        <v/>
      </c>
      <c r="AH32" s="62" t="str">
        <f aca="false">IF(B32="","",COUNTIFS(C_RUTN,AG32,C_DEF,"Sí",C_INI,"&lt;="&amp;FECHA_CORTE))</f>
        <v/>
      </c>
      <c r="AI32" s="62" t="str">
        <f aca="false">IF(B32="","",COUNTIFS(C_RUTN,AG32,C_DEF,"Sí"))</f>
        <v/>
      </c>
      <c r="AJ32" s="66" t="str">
        <f aca="false">IF(OR(B32="",N(AI32)&lt;=N(AH32)),"",IFERROR(INDEX(C_INI,MATCH(AG32&amp;"-P"&amp;(AH32+1),C_CLAVE,0)),""))</f>
        <v/>
      </c>
      <c r="AK32" s="63" t="str">
        <f aca="false">IF(O32&lt;&gt;"Activo","",Q32+N(K32)+IF(L32="Sí",MIN(GRAT_PCT*(Q32+N(K32)),GRAT_TOPE),0)+N(I32)+N(J32))</f>
        <v/>
      </c>
      <c r="AL32" s="63" t="str">
        <f aca="false">IF(O32&lt;&gt;"Activo","",MIN(AK32,TOPE_IAS_UF*UF_MES))</f>
        <v/>
      </c>
      <c r="AM32" s="62" t="str">
        <f aca="false">IF(AND(O32="Activo",ISNUMBER(V32),W32&lt;&gt;"Renovación registrada"),V32+ROW()/100000,"")</f>
        <v/>
      </c>
      <c r="AN32" s="70" t="str">
        <f aca="false">IF(OR(O32&lt;&gt;"Activo",NOT(ISNUMBER(U32))),"",IF(U32&lt;FECHA_CORTE,"",1.25*(DATEDIF(F32,U32+1,"m")+(U32+1-EDATE(F32,DATEDIF(F32,U32+1,"m")))/30)-Z32))</f>
        <v/>
      </c>
      <c r="AO32" s="66" t="str">
        <f aca="false">IF(OR(B32="",NOT(ISNUMBER(F32))),"",IF(N(G32)&gt;0,MIN(G32,FECHA_CORTE),FECHA_CORTE))</f>
        <v/>
      </c>
    </row>
    <row r="33" customFormat="false" ht="15" hidden="false" customHeight="false" outlineLevel="0" collapsed="false">
      <c r="B33" s="58"/>
      <c r="C33" s="58"/>
      <c r="D33" s="58"/>
      <c r="E33" s="58"/>
      <c r="F33" s="59"/>
      <c r="G33" s="59"/>
      <c r="H33" s="58"/>
      <c r="I33" s="60"/>
      <c r="J33" s="60"/>
      <c r="K33" s="60"/>
      <c r="L33" s="58"/>
      <c r="M33" s="61"/>
      <c r="N33" s="58"/>
      <c r="O33" s="62" t="str">
        <f aca="false">IF(B33="","",IF(NOT(ISNUMBER(F33)),"⚠ Falta ingreso",IF(F33&gt;FECHA_CORTE,"Por ingresar",IF(G33="","Activo",IF(G33&lt;FECHA_CORTE,"Desvinculado","Activo")))))</f>
        <v/>
      </c>
      <c r="P33" s="62" t="str">
        <f aca="false">IF(OR(B33="",NOT(ISNUMBER(F33))),"",IF(F33&gt;FECHA_CORTE,"",DATEDIF(F33,IF(G33="",FECHA_CORTE,MIN(G33,FECHA_CORTE))+1,"y")&amp;" a "&amp;DATEDIF(F33,IF(G33="",FECHA_CORTE,MIN(G33,FECHA_CORTE))+1,"ym")&amp;" m"))</f>
        <v/>
      </c>
      <c r="Q33" s="63" t="str">
        <f aca="false">IF(B33="","",IFERROR(INDEX(C_SUELDO,MATCH(AG33&amp;"-S"&amp;MAX(1,COUNTIFS(C_RUTN,AG33,C_SUELDO,"&lt;&gt;",C_INI,"&lt;="&amp;FECHA_CORTE)),C_CLAVES,0)),0))</f>
        <v/>
      </c>
      <c r="R33" s="62" t="str">
        <f aca="false">IF(B33="","",IF(N(AI33)=0,"Sin contrato",IFERROR(INDEX(C_TIPO,MATCH(AG33&amp;"-P"&amp;MAX(1,AH33),C_CLAVE,0))&amp;"","")))</f>
        <v/>
      </c>
      <c r="S33" s="64" t="str">
        <f aca="false">IF(R33="Plazo fijo",IFERROR(INDEX(C_NPF,MATCH(AG33&amp;"-P"&amp;MAX(1,AH33),C_CLAVE,0)),""),"")</f>
        <v/>
      </c>
      <c r="T33" s="65" t="str">
        <f aca="false">IF(B33="","",COUNTIFS(C_RUTN,AG33,C_TIPODOC,"Anexo de modificación"))</f>
        <v/>
      </c>
      <c r="U33" s="66" t="str">
        <f aca="false">IF(AND(OR(R33="Plazo fijo",R33="Obra o faena"),O33&lt;&gt;"Desvinculado"),IFERROR(IF(N(INDEX(C_TER,MATCH(AG33&amp;"-P"&amp;MAX(1,AH33),C_CLAVE,0)))=0,"",INDEX(C_TER,MATCH(AG33&amp;"-P"&amp;MAX(1,AH33),C_CLAVE,0))),""),"")</f>
        <v/>
      </c>
      <c r="V33" s="67" t="str">
        <f aca="false">IF(ISNUMBER(U33),U33-FECHA_CORTE,"")</f>
        <v/>
      </c>
      <c r="W33" s="62" t="str">
        <f aca="false">IF(B33="","",IF(O33="Desvinculado","Terminado",IF(N(AI33)=0,"Sin contrato registrado",IF(O33="Por ingresar","Por ingresar",IF(ISNUMBER(AJ33),"Renovación registrada",IF(R33="Indefinido","Indefinido",IF(NOT(ISNUMBER(V33)),"Falta fecha de término",IF(V33&lt;0,"VENCIDO",IF(V33&lt;=ALERTA_ROJA,"Vence en ≤ "&amp;ALERTA_ROJA&amp;" días",IF(V33&lt;=ALERTA_NARANJA,"Vence en ≤ "&amp;ALERTA_NARANJA&amp;" días",IF(V33&lt;=ALERTA_AMARILLA,"Vence en ≤ "&amp;ALERTA_AMARILLA&amp;" días","Vigente")))))))))))</f>
        <v/>
      </c>
      <c r="X33" s="62" t="str">
        <f aca="false">IF(B33="","",IF(W33="Terminado","—",IF(W33="Sin contrato registrado","Registrar su contrato en la hoja Contratos",IF(W33="Por ingresar","Tener el contrato firmado antes del ingreso",IF(W33="Renovación registrada","Siguiente contrato ya registrado: verificar que esté firmado",IF(R33="Indefinido","Sin vencimiento. Cambios de sueldo o cargo: anexo de modificación",IF(W33="Falta fecha de término","Completar la fecha de término en Contratos",IF(W33="VENCIDO","Sigue trabajando con plazo vencido: por ley ya es INDEFINIDO. Firmar anexo de paso a indefinido",IF(R33="Obra o faena","Al terminar la obra: finiquito + 2,5 días de sueldo por mes trabajado",IF(N(S33)&gt;=2,"2° contrato a plazo: NO se puede renovar otra vez a plazo fijo. Pasar a indefinido o terminar al vencer","1er contrato a plazo: renovar (2° contrato), pasar a indefinido o terminar al vencer"))))))))))</f>
        <v/>
      </c>
      <c r="Y33" s="68" t="str">
        <f aca="false">IF(O33&lt;&gt;"Activo","",ROUND(1.25*(DATEDIF(F33,AO33+1,"m")+(AO33+1-EDATE(F33,DATEDIF(F33,AO33+1,"m")))/30),2))</f>
        <v/>
      </c>
      <c r="Z33" s="68" t="str">
        <f aca="false">IF(O33&lt;&gt;"Activo","",N(M33)+SUMIFS(M_VAC,M_RUTN,AG33,M_MES,"&lt;="&amp;FECHA_CORTE))</f>
        <v/>
      </c>
      <c r="AA33" s="68" t="str">
        <f aca="false">IF(O33&lt;&gt;"Activo","",Y33-Z33)</f>
        <v/>
      </c>
      <c r="AB33" s="63" t="str">
        <f aca="false">IF(O33&lt;&gt;"Activo","",ROUND(MAX(0,IF(AA33&lt;=0,0,WORKDAY(FECHA_CORTE,INT(AA33),FERIADOS)-FECHA_CORTE+(AA33-INT(AA33))))*(Q33+N(K33))/30,0))</f>
        <v/>
      </c>
      <c r="AC33" s="65" t="str">
        <f aca="false">IF(O33&lt;&gt;"Activo","",IF(DATEDIF(F33,FECHA_CORTE+1,"y")&lt;1,0,MIN(TOPE_ANIOS,DATEDIF(F33,FECHA_CORTE+1,"y")+IF(EDATE(F33,12*DATEDIF(F33,FECHA_CORTE+1,"y")+6)&lt;FECHA_CORTE+1,1,0))))</f>
        <v/>
      </c>
      <c r="AD33" s="69" t="str">
        <f aca="false">IF(O33&lt;&gt;"Activo","",AB33+IF(R33="Obra o faena",0,ROUND(AL33*AC33,0)+ROUND(AL33,0)))</f>
        <v/>
      </c>
      <c r="AE33" s="69" t="str">
        <f aca="false">IF(O33&lt;&gt;"Activo","",AB33)</f>
        <v/>
      </c>
      <c r="AF33" s="69" t="str">
        <f aca="false">IF(AN33="","",IF(ISNUMBER(AJ33),"",ROUND(MAX(0,IF(AN33&lt;=0,0,WORKDAY(U33,INT(AN33),FERIADOS)-U33+(AN33-INT(AN33))))*(Q33+N(K33))/30,0)+IF(R33="Obra o faena",ROUND(OBRA_DIAS*AL33/30*(DATEDIF(F33,U33+1,"m")+IF(U33+1-EDATE(F33,DATEDIF(F33,U33+1,"m"))&gt;15,1,0)),0),0)))</f>
        <v/>
      </c>
      <c r="AG33" s="62" t="str">
        <f aca="false">IF(B33="","",IFERROR(VALUE(LEFT(UPPER(SUBSTITUTE(SUBSTITUTE(SUBSTITUTE(TRIM(B33),".",""),"-","")," ","")),LEN(UPPER(SUBSTITUTE(SUBSTITUTE(SUBSTITUTE(TRIM(B33),".",""),"-","")," ","")))-1))&amp;RIGHT(UPPER(SUBSTITUTE(SUBSTITUTE(SUBSTITUTE(TRIM(B33),".",""),"-","")," ","")),1),UPPER(SUBSTITUTE(SUBSTITUTE(SUBSTITUTE(TRIM(B33),".",""),"-","")," ",""))))</f>
        <v/>
      </c>
      <c r="AH33" s="62" t="str">
        <f aca="false">IF(B33="","",COUNTIFS(C_RUTN,AG33,C_DEF,"Sí",C_INI,"&lt;="&amp;FECHA_CORTE))</f>
        <v/>
      </c>
      <c r="AI33" s="62" t="str">
        <f aca="false">IF(B33="","",COUNTIFS(C_RUTN,AG33,C_DEF,"Sí"))</f>
        <v/>
      </c>
      <c r="AJ33" s="66" t="str">
        <f aca="false">IF(OR(B33="",N(AI33)&lt;=N(AH33)),"",IFERROR(INDEX(C_INI,MATCH(AG33&amp;"-P"&amp;(AH33+1),C_CLAVE,0)),""))</f>
        <v/>
      </c>
      <c r="AK33" s="63" t="str">
        <f aca="false">IF(O33&lt;&gt;"Activo","",Q33+N(K33)+IF(L33="Sí",MIN(GRAT_PCT*(Q33+N(K33)),GRAT_TOPE),0)+N(I33)+N(J33))</f>
        <v/>
      </c>
      <c r="AL33" s="63" t="str">
        <f aca="false">IF(O33&lt;&gt;"Activo","",MIN(AK33,TOPE_IAS_UF*UF_MES))</f>
        <v/>
      </c>
      <c r="AM33" s="62" t="str">
        <f aca="false">IF(AND(O33="Activo",ISNUMBER(V33),W33&lt;&gt;"Renovación registrada"),V33+ROW()/100000,"")</f>
        <v/>
      </c>
      <c r="AN33" s="70" t="str">
        <f aca="false">IF(OR(O33&lt;&gt;"Activo",NOT(ISNUMBER(U33))),"",IF(U33&lt;FECHA_CORTE,"",1.25*(DATEDIF(F33,U33+1,"m")+(U33+1-EDATE(F33,DATEDIF(F33,U33+1,"m")))/30)-Z33))</f>
        <v/>
      </c>
      <c r="AO33" s="66" t="str">
        <f aca="false">IF(OR(B33="",NOT(ISNUMBER(F33))),"",IF(N(G33)&gt;0,MIN(G33,FECHA_CORTE),FECHA_CORTE))</f>
        <v/>
      </c>
    </row>
    <row r="34" customFormat="false" ht="15" hidden="false" customHeight="false" outlineLevel="0" collapsed="false">
      <c r="B34" s="58"/>
      <c r="C34" s="58"/>
      <c r="D34" s="58"/>
      <c r="E34" s="58"/>
      <c r="F34" s="59"/>
      <c r="G34" s="59"/>
      <c r="H34" s="58"/>
      <c r="I34" s="60"/>
      <c r="J34" s="60"/>
      <c r="K34" s="60"/>
      <c r="L34" s="58"/>
      <c r="M34" s="61"/>
      <c r="N34" s="58"/>
      <c r="O34" s="62" t="str">
        <f aca="false">IF(B34="","",IF(NOT(ISNUMBER(F34)),"⚠ Falta ingreso",IF(F34&gt;FECHA_CORTE,"Por ingresar",IF(G34="","Activo",IF(G34&lt;FECHA_CORTE,"Desvinculado","Activo")))))</f>
        <v/>
      </c>
      <c r="P34" s="62" t="str">
        <f aca="false">IF(OR(B34="",NOT(ISNUMBER(F34))),"",IF(F34&gt;FECHA_CORTE,"",DATEDIF(F34,IF(G34="",FECHA_CORTE,MIN(G34,FECHA_CORTE))+1,"y")&amp;" a "&amp;DATEDIF(F34,IF(G34="",FECHA_CORTE,MIN(G34,FECHA_CORTE))+1,"ym")&amp;" m"))</f>
        <v/>
      </c>
      <c r="Q34" s="63" t="str">
        <f aca="false">IF(B34="","",IFERROR(INDEX(C_SUELDO,MATCH(AG34&amp;"-S"&amp;MAX(1,COUNTIFS(C_RUTN,AG34,C_SUELDO,"&lt;&gt;",C_INI,"&lt;="&amp;FECHA_CORTE)),C_CLAVES,0)),0))</f>
        <v/>
      </c>
      <c r="R34" s="62" t="str">
        <f aca="false">IF(B34="","",IF(N(AI34)=0,"Sin contrato",IFERROR(INDEX(C_TIPO,MATCH(AG34&amp;"-P"&amp;MAX(1,AH34),C_CLAVE,0))&amp;"","")))</f>
        <v/>
      </c>
      <c r="S34" s="64" t="str">
        <f aca="false">IF(R34="Plazo fijo",IFERROR(INDEX(C_NPF,MATCH(AG34&amp;"-P"&amp;MAX(1,AH34),C_CLAVE,0)),""),"")</f>
        <v/>
      </c>
      <c r="T34" s="65" t="str">
        <f aca="false">IF(B34="","",COUNTIFS(C_RUTN,AG34,C_TIPODOC,"Anexo de modificación"))</f>
        <v/>
      </c>
      <c r="U34" s="66" t="str">
        <f aca="false">IF(AND(OR(R34="Plazo fijo",R34="Obra o faena"),O34&lt;&gt;"Desvinculado"),IFERROR(IF(N(INDEX(C_TER,MATCH(AG34&amp;"-P"&amp;MAX(1,AH34),C_CLAVE,0)))=0,"",INDEX(C_TER,MATCH(AG34&amp;"-P"&amp;MAX(1,AH34),C_CLAVE,0))),""),"")</f>
        <v/>
      </c>
      <c r="V34" s="67" t="str">
        <f aca="false">IF(ISNUMBER(U34),U34-FECHA_CORTE,"")</f>
        <v/>
      </c>
      <c r="W34" s="62" t="str">
        <f aca="false">IF(B34="","",IF(O34="Desvinculado","Terminado",IF(N(AI34)=0,"Sin contrato registrado",IF(O34="Por ingresar","Por ingresar",IF(ISNUMBER(AJ34),"Renovación registrada",IF(R34="Indefinido","Indefinido",IF(NOT(ISNUMBER(V34)),"Falta fecha de término",IF(V34&lt;0,"VENCIDO",IF(V34&lt;=ALERTA_ROJA,"Vence en ≤ "&amp;ALERTA_ROJA&amp;" días",IF(V34&lt;=ALERTA_NARANJA,"Vence en ≤ "&amp;ALERTA_NARANJA&amp;" días",IF(V34&lt;=ALERTA_AMARILLA,"Vence en ≤ "&amp;ALERTA_AMARILLA&amp;" días","Vigente")))))))))))</f>
        <v/>
      </c>
      <c r="X34" s="62" t="str">
        <f aca="false">IF(B34="","",IF(W34="Terminado","—",IF(W34="Sin contrato registrado","Registrar su contrato en la hoja Contratos",IF(W34="Por ingresar","Tener el contrato firmado antes del ingreso",IF(W34="Renovación registrada","Siguiente contrato ya registrado: verificar que esté firmado",IF(R34="Indefinido","Sin vencimiento. Cambios de sueldo o cargo: anexo de modificación",IF(W34="Falta fecha de término","Completar la fecha de término en Contratos",IF(W34="VENCIDO","Sigue trabajando con plazo vencido: por ley ya es INDEFINIDO. Firmar anexo de paso a indefinido",IF(R34="Obra o faena","Al terminar la obra: finiquito + 2,5 días de sueldo por mes trabajado",IF(N(S34)&gt;=2,"2° contrato a plazo: NO se puede renovar otra vez a plazo fijo. Pasar a indefinido o terminar al vencer","1er contrato a plazo: renovar (2° contrato), pasar a indefinido o terminar al vencer"))))))))))</f>
        <v/>
      </c>
      <c r="Y34" s="68" t="str">
        <f aca="false">IF(O34&lt;&gt;"Activo","",ROUND(1.25*(DATEDIF(F34,AO34+1,"m")+(AO34+1-EDATE(F34,DATEDIF(F34,AO34+1,"m")))/30),2))</f>
        <v/>
      </c>
      <c r="Z34" s="68" t="str">
        <f aca="false">IF(O34&lt;&gt;"Activo","",N(M34)+SUMIFS(M_VAC,M_RUTN,AG34,M_MES,"&lt;="&amp;FECHA_CORTE))</f>
        <v/>
      </c>
      <c r="AA34" s="68" t="str">
        <f aca="false">IF(O34&lt;&gt;"Activo","",Y34-Z34)</f>
        <v/>
      </c>
      <c r="AB34" s="63" t="str">
        <f aca="false">IF(O34&lt;&gt;"Activo","",ROUND(MAX(0,IF(AA34&lt;=0,0,WORKDAY(FECHA_CORTE,INT(AA34),FERIADOS)-FECHA_CORTE+(AA34-INT(AA34))))*(Q34+N(K34))/30,0))</f>
        <v/>
      </c>
      <c r="AC34" s="65" t="str">
        <f aca="false">IF(O34&lt;&gt;"Activo","",IF(DATEDIF(F34,FECHA_CORTE+1,"y")&lt;1,0,MIN(TOPE_ANIOS,DATEDIF(F34,FECHA_CORTE+1,"y")+IF(EDATE(F34,12*DATEDIF(F34,FECHA_CORTE+1,"y")+6)&lt;FECHA_CORTE+1,1,0))))</f>
        <v/>
      </c>
      <c r="AD34" s="69" t="str">
        <f aca="false">IF(O34&lt;&gt;"Activo","",AB34+IF(R34="Obra o faena",0,ROUND(AL34*AC34,0)+ROUND(AL34,0)))</f>
        <v/>
      </c>
      <c r="AE34" s="69" t="str">
        <f aca="false">IF(O34&lt;&gt;"Activo","",AB34)</f>
        <v/>
      </c>
      <c r="AF34" s="69" t="str">
        <f aca="false">IF(AN34="","",IF(ISNUMBER(AJ34),"",ROUND(MAX(0,IF(AN34&lt;=0,0,WORKDAY(U34,INT(AN34),FERIADOS)-U34+(AN34-INT(AN34))))*(Q34+N(K34))/30,0)+IF(R34="Obra o faena",ROUND(OBRA_DIAS*AL34/30*(DATEDIF(F34,U34+1,"m")+IF(U34+1-EDATE(F34,DATEDIF(F34,U34+1,"m"))&gt;15,1,0)),0),0)))</f>
        <v/>
      </c>
      <c r="AG34" s="62" t="str">
        <f aca="false">IF(B34="","",IFERROR(VALUE(LEFT(UPPER(SUBSTITUTE(SUBSTITUTE(SUBSTITUTE(TRIM(B34),".",""),"-","")," ","")),LEN(UPPER(SUBSTITUTE(SUBSTITUTE(SUBSTITUTE(TRIM(B34),".",""),"-","")," ","")))-1))&amp;RIGHT(UPPER(SUBSTITUTE(SUBSTITUTE(SUBSTITUTE(TRIM(B34),".",""),"-","")," ","")),1),UPPER(SUBSTITUTE(SUBSTITUTE(SUBSTITUTE(TRIM(B34),".",""),"-","")," ",""))))</f>
        <v/>
      </c>
      <c r="AH34" s="62" t="str">
        <f aca="false">IF(B34="","",COUNTIFS(C_RUTN,AG34,C_DEF,"Sí",C_INI,"&lt;="&amp;FECHA_CORTE))</f>
        <v/>
      </c>
      <c r="AI34" s="62" t="str">
        <f aca="false">IF(B34="","",COUNTIFS(C_RUTN,AG34,C_DEF,"Sí"))</f>
        <v/>
      </c>
      <c r="AJ34" s="66" t="str">
        <f aca="false">IF(OR(B34="",N(AI34)&lt;=N(AH34)),"",IFERROR(INDEX(C_INI,MATCH(AG34&amp;"-P"&amp;(AH34+1),C_CLAVE,0)),""))</f>
        <v/>
      </c>
      <c r="AK34" s="63" t="str">
        <f aca="false">IF(O34&lt;&gt;"Activo","",Q34+N(K34)+IF(L34="Sí",MIN(GRAT_PCT*(Q34+N(K34)),GRAT_TOPE),0)+N(I34)+N(J34))</f>
        <v/>
      </c>
      <c r="AL34" s="63" t="str">
        <f aca="false">IF(O34&lt;&gt;"Activo","",MIN(AK34,TOPE_IAS_UF*UF_MES))</f>
        <v/>
      </c>
      <c r="AM34" s="62" t="str">
        <f aca="false">IF(AND(O34="Activo",ISNUMBER(V34),W34&lt;&gt;"Renovación registrada"),V34+ROW()/100000,"")</f>
        <v/>
      </c>
      <c r="AN34" s="70" t="str">
        <f aca="false">IF(OR(O34&lt;&gt;"Activo",NOT(ISNUMBER(U34))),"",IF(U34&lt;FECHA_CORTE,"",1.25*(DATEDIF(F34,U34+1,"m")+(U34+1-EDATE(F34,DATEDIF(F34,U34+1,"m")))/30)-Z34))</f>
        <v/>
      </c>
      <c r="AO34" s="66" t="str">
        <f aca="false">IF(OR(B34="",NOT(ISNUMBER(F34))),"",IF(N(G34)&gt;0,MIN(G34,FECHA_CORTE),FECHA_CORTE))</f>
        <v/>
      </c>
    </row>
    <row r="35" customFormat="false" ht="15" hidden="false" customHeight="false" outlineLevel="0" collapsed="false">
      <c r="B35" s="58"/>
      <c r="C35" s="58"/>
      <c r="D35" s="58"/>
      <c r="E35" s="58"/>
      <c r="F35" s="59"/>
      <c r="G35" s="59"/>
      <c r="H35" s="58"/>
      <c r="I35" s="60"/>
      <c r="J35" s="60"/>
      <c r="K35" s="60"/>
      <c r="L35" s="58"/>
      <c r="M35" s="61"/>
      <c r="N35" s="58"/>
      <c r="O35" s="62" t="str">
        <f aca="false">IF(B35="","",IF(NOT(ISNUMBER(F35)),"⚠ Falta ingreso",IF(F35&gt;FECHA_CORTE,"Por ingresar",IF(G35="","Activo",IF(G35&lt;FECHA_CORTE,"Desvinculado","Activo")))))</f>
        <v/>
      </c>
      <c r="P35" s="62" t="str">
        <f aca="false">IF(OR(B35="",NOT(ISNUMBER(F35))),"",IF(F35&gt;FECHA_CORTE,"",DATEDIF(F35,IF(G35="",FECHA_CORTE,MIN(G35,FECHA_CORTE))+1,"y")&amp;" a "&amp;DATEDIF(F35,IF(G35="",FECHA_CORTE,MIN(G35,FECHA_CORTE))+1,"ym")&amp;" m"))</f>
        <v/>
      </c>
      <c r="Q35" s="63" t="str">
        <f aca="false">IF(B35="","",IFERROR(INDEX(C_SUELDO,MATCH(AG35&amp;"-S"&amp;MAX(1,COUNTIFS(C_RUTN,AG35,C_SUELDO,"&lt;&gt;",C_INI,"&lt;="&amp;FECHA_CORTE)),C_CLAVES,0)),0))</f>
        <v/>
      </c>
      <c r="R35" s="62" t="str">
        <f aca="false">IF(B35="","",IF(N(AI35)=0,"Sin contrato",IFERROR(INDEX(C_TIPO,MATCH(AG35&amp;"-P"&amp;MAX(1,AH35),C_CLAVE,0))&amp;"","")))</f>
        <v/>
      </c>
      <c r="S35" s="64" t="str">
        <f aca="false">IF(R35="Plazo fijo",IFERROR(INDEX(C_NPF,MATCH(AG35&amp;"-P"&amp;MAX(1,AH35),C_CLAVE,0)),""),"")</f>
        <v/>
      </c>
      <c r="T35" s="65" t="str">
        <f aca="false">IF(B35="","",COUNTIFS(C_RUTN,AG35,C_TIPODOC,"Anexo de modificación"))</f>
        <v/>
      </c>
      <c r="U35" s="66" t="str">
        <f aca="false">IF(AND(OR(R35="Plazo fijo",R35="Obra o faena"),O35&lt;&gt;"Desvinculado"),IFERROR(IF(N(INDEX(C_TER,MATCH(AG35&amp;"-P"&amp;MAX(1,AH35),C_CLAVE,0)))=0,"",INDEX(C_TER,MATCH(AG35&amp;"-P"&amp;MAX(1,AH35),C_CLAVE,0))),""),"")</f>
        <v/>
      </c>
      <c r="V35" s="67" t="str">
        <f aca="false">IF(ISNUMBER(U35),U35-FECHA_CORTE,"")</f>
        <v/>
      </c>
      <c r="W35" s="62" t="str">
        <f aca="false">IF(B35="","",IF(O35="Desvinculado","Terminado",IF(N(AI35)=0,"Sin contrato registrado",IF(O35="Por ingresar","Por ingresar",IF(ISNUMBER(AJ35),"Renovación registrada",IF(R35="Indefinido","Indefinido",IF(NOT(ISNUMBER(V35)),"Falta fecha de término",IF(V35&lt;0,"VENCIDO",IF(V35&lt;=ALERTA_ROJA,"Vence en ≤ "&amp;ALERTA_ROJA&amp;" días",IF(V35&lt;=ALERTA_NARANJA,"Vence en ≤ "&amp;ALERTA_NARANJA&amp;" días",IF(V35&lt;=ALERTA_AMARILLA,"Vence en ≤ "&amp;ALERTA_AMARILLA&amp;" días","Vigente")))))))))))</f>
        <v/>
      </c>
      <c r="X35" s="62" t="str">
        <f aca="false">IF(B35="","",IF(W35="Terminado","—",IF(W35="Sin contrato registrado","Registrar su contrato en la hoja Contratos",IF(W35="Por ingresar","Tener el contrato firmado antes del ingreso",IF(W35="Renovación registrada","Siguiente contrato ya registrado: verificar que esté firmado",IF(R35="Indefinido","Sin vencimiento. Cambios de sueldo o cargo: anexo de modificación",IF(W35="Falta fecha de término","Completar la fecha de término en Contratos",IF(W35="VENCIDO","Sigue trabajando con plazo vencido: por ley ya es INDEFINIDO. Firmar anexo de paso a indefinido",IF(R35="Obra o faena","Al terminar la obra: finiquito + 2,5 días de sueldo por mes trabajado",IF(N(S35)&gt;=2,"2° contrato a plazo: NO se puede renovar otra vez a plazo fijo. Pasar a indefinido o terminar al vencer","1er contrato a plazo: renovar (2° contrato), pasar a indefinido o terminar al vencer"))))))))))</f>
        <v/>
      </c>
      <c r="Y35" s="68" t="str">
        <f aca="false">IF(O35&lt;&gt;"Activo","",ROUND(1.25*(DATEDIF(F35,AO35+1,"m")+(AO35+1-EDATE(F35,DATEDIF(F35,AO35+1,"m")))/30),2))</f>
        <v/>
      </c>
      <c r="Z35" s="68" t="str">
        <f aca="false">IF(O35&lt;&gt;"Activo","",N(M35)+SUMIFS(M_VAC,M_RUTN,AG35,M_MES,"&lt;="&amp;FECHA_CORTE))</f>
        <v/>
      </c>
      <c r="AA35" s="68" t="str">
        <f aca="false">IF(O35&lt;&gt;"Activo","",Y35-Z35)</f>
        <v/>
      </c>
      <c r="AB35" s="63" t="str">
        <f aca="false">IF(O35&lt;&gt;"Activo","",ROUND(MAX(0,IF(AA35&lt;=0,0,WORKDAY(FECHA_CORTE,INT(AA35),FERIADOS)-FECHA_CORTE+(AA35-INT(AA35))))*(Q35+N(K35))/30,0))</f>
        <v/>
      </c>
      <c r="AC35" s="65" t="str">
        <f aca="false">IF(O35&lt;&gt;"Activo","",IF(DATEDIF(F35,FECHA_CORTE+1,"y")&lt;1,0,MIN(TOPE_ANIOS,DATEDIF(F35,FECHA_CORTE+1,"y")+IF(EDATE(F35,12*DATEDIF(F35,FECHA_CORTE+1,"y")+6)&lt;FECHA_CORTE+1,1,0))))</f>
        <v/>
      </c>
      <c r="AD35" s="69" t="str">
        <f aca="false">IF(O35&lt;&gt;"Activo","",AB35+IF(R35="Obra o faena",0,ROUND(AL35*AC35,0)+ROUND(AL35,0)))</f>
        <v/>
      </c>
      <c r="AE35" s="69" t="str">
        <f aca="false">IF(O35&lt;&gt;"Activo","",AB35)</f>
        <v/>
      </c>
      <c r="AF35" s="69" t="str">
        <f aca="false">IF(AN35="","",IF(ISNUMBER(AJ35),"",ROUND(MAX(0,IF(AN35&lt;=0,0,WORKDAY(U35,INT(AN35),FERIADOS)-U35+(AN35-INT(AN35))))*(Q35+N(K35))/30,0)+IF(R35="Obra o faena",ROUND(OBRA_DIAS*AL35/30*(DATEDIF(F35,U35+1,"m")+IF(U35+1-EDATE(F35,DATEDIF(F35,U35+1,"m"))&gt;15,1,0)),0),0)))</f>
        <v/>
      </c>
      <c r="AG35" s="62" t="str">
        <f aca="false">IF(B35="","",IFERROR(VALUE(LEFT(UPPER(SUBSTITUTE(SUBSTITUTE(SUBSTITUTE(TRIM(B35),".",""),"-","")," ","")),LEN(UPPER(SUBSTITUTE(SUBSTITUTE(SUBSTITUTE(TRIM(B35),".",""),"-","")," ","")))-1))&amp;RIGHT(UPPER(SUBSTITUTE(SUBSTITUTE(SUBSTITUTE(TRIM(B35),".",""),"-","")," ","")),1),UPPER(SUBSTITUTE(SUBSTITUTE(SUBSTITUTE(TRIM(B35),".",""),"-","")," ",""))))</f>
        <v/>
      </c>
      <c r="AH35" s="62" t="str">
        <f aca="false">IF(B35="","",COUNTIFS(C_RUTN,AG35,C_DEF,"Sí",C_INI,"&lt;="&amp;FECHA_CORTE))</f>
        <v/>
      </c>
      <c r="AI35" s="62" t="str">
        <f aca="false">IF(B35="","",COUNTIFS(C_RUTN,AG35,C_DEF,"Sí"))</f>
        <v/>
      </c>
      <c r="AJ35" s="66" t="str">
        <f aca="false">IF(OR(B35="",N(AI35)&lt;=N(AH35)),"",IFERROR(INDEX(C_INI,MATCH(AG35&amp;"-P"&amp;(AH35+1),C_CLAVE,0)),""))</f>
        <v/>
      </c>
      <c r="AK35" s="63" t="str">
        <f aca="false">IF(O35&lt;&gt;"Activo","",Q35+N(K35)+IF(L35="Sí",MIN(GRAT_PCT*(Q35+N(K35)),GRAT_TOPE),0)+N(I35)+N(J35))</f>
        <v/>
      </c>
      <c r="AL35" s="63" t="str">
        <f aca="false">IF(O35&lt;&gt;"Activo","",MIN(AK35,TOPE_IAS_UF*UF_MES))</f>
        <v/>
      </c>
      <c r="AM35" s="62" t="str">
        <f aca="false">IF(AND(O35="Activo",ISNUMBER(V35),W35&lt;&gt;"Renovación registrada"),V35+ROW()/100000,"")</f>
        <v/>
      </c>
      <c r="AN35" s="70" t="str">
        <f aca="false">IF(OR(O35&lt;&gt;"Activo",NOT(ISNUMBER(U35))),"",IF(U35&lt;FECHA_CORTE,"",1.25*(DATEDIF(F35,U35+1,"m")+(U35+1-EDATE(F35,DATEDIF(F35,U35+1,"m")))/30)-Z35))</f>
        <v/>
      </c>
      <c r="AO35" s="66" t="str">
        <f aca="false">IF(OR(B35="",NOT(ISNUMBER(F35))),"",IF(N(G35)&gt;0,MIN(G35,FECHA_CORTE),FECHA_CORTE))</f>
        <v/>
      </c>
    </row>
    <row r="36" customFormat="false" ht="15" hidden="false" customHeight="false" outlineLevel="0" collapsed="false">
      <c r="B36" s="58"/>
      <c r="C36" s="58"/>
      <c r="D36" s="58"/>
      <c r="E36" s="58"/>
      <c r="F36" s="59"/>
      <c r="G36" s="59"/>
      <c r="H36" s="58"/>
      <c r="I36" s="60"/>
      <c r="J36" s="60"/>
      <c r="K36" s="60"/>
      <c r="L36" s="58"/>
      <c r="M36" s="61"/>
      <c r="N36" s="58"/>
      <c r="O36" s="62" t="str">
        <f aca="false">IF(B36="","",IF(NOT(ISNUMBER(F36)),"⚠ Falta ingreso",IF(F36&gt;FECHA_CORTE,"Por ingresar",IF(G36="","Activo",IF(G36&lt;FECHA_CORTE,"Desvinculado","Activo")))))</f>
        <v/>
      </c>
      <c r="P36" s="62" t="str">
        <f aca="false">IF(OR(B36="",NOT(ISNUMBER(F36))),"",IF(F36&gt;FECHA_CORTE,"",DATEDIF(F36,IF(G36="",FECHA_CORTE,MIN(G36,FECHA_CORTE))+1,"y")&amp;" a "&amp;DATEDIF(F36,IF(G36="",FECHA_CORTE,MIN(G36,FECHA_CORTE))+1,"ym")&amp;" m"))</f>
        <v/>
      </c>
      <c r="Q36" s="63" t="str">
        <f aca="false">IF(B36="","",IFERROR(INDEX(C_SUELDO,MATCH(AG36&amp;"-S"&amp;MAX(1,COUNTIFS(C_RUTN,AG36,C_SUELDO,"&lt;&gt;",C_INI,"&lt;="&amp;FECHA_CORTE)),C_CLAVES,0)),0))</f>
        <v/>
      </c>
      <c r="R36" s="62" t="str">
        <f aca="false">IF(B36="","",IF(N(AI36)=0,"Sin contrato",IFERROR(INDEX(C_TIPO,MATCH(AG36&amp;"-P"&amp;MAX(1,AH36),C_CLAVE,0))&amp;"","")))</f>
        <v/>
      </c>
      <c r="S36" s="64" t="str">
        <f aca="false">IF(R36="Plazo fijo",IFERROR(INDEX(C_NPF,MATCH(AG36&amp;"-P"&amp;MAX(1,AH36),C_CLAVE,0)),""),"")</f>
        <v/>
      </c>
      <c r="T36" s="65" t="str">
        <f aca="false">IF(B36="","",COUNTIFS(C_RUTN,AG36,C_TIPODOC,"Anexo de modificación"))</f>
        <v/>
      </c>
      <c r="U36" s="66" t="str">
        <f aca="false">IF(AND(OR(R36="Plazo fijo",R36="Obra o faena"),O36&lt;&gt;"Desvinculado"),IFERROR(IF(N(INDEX(C_TER,MATCH(AG36&amp;"-P"&amp;MAX(1,AH36),C_CLAVE,0)))=0,"",INDEX(C_TER,MATCH(AG36&amp;"-P"&amp;MAX(1,AH36),C_CLAVE,0))),""),"")</f>
        <v/>
      </c>
      <c r="V36" s="67" t="str">
        <f aca="false">IF(ISNUMBER(U36),U36-FECHA_CORTE,"")</f>
        <v/>
      </c>
      <c r="W36" s="62" t="str">
        <f aca="false">IF(B36="","",IF(O36="Desvinculado","Terminado",IF(N(AI36)=0,"Sin contrato registrado",IF(O36="Por ingresar","Por ingresar",IF(ISNUMBER(AJ36),"Renovación registrada",IF(R36="Indefinido","Indefinido",IF(NOT(ISNUMBER(V36)),"Falta fecha de término",IF(V36&lt;0,"VENCIDO",IF(V36&lt;=ALERTA_ROJA,"Vence en ≤ "&amp;ALERTA_ROJA&amp;" días",IF(V36&lt;=ALERTA_NARANJA,"Vence en ≤ "&amp;ALERTA_NARANJA&amp;" días",IF(V36&lt;=ALERTA_AMARILLA,"Vence en ≤ "&amp;ALERTA_AMARILLA&amp;" días","Vigente")))))))))))</f>
        <v/>
      </c>
      <c r="X36" s="62" t="str">
        <f aca="false">IF(B36="","",IF(W36="Terminado","—",IF(W36="Sin contrato registrado","Registrar su contrato en la hoja Contratos",IF(W36="Por ingresar","Tener el contrato firmado antes del ingreso",IF(W36="Renovación registrada","Siguiente contrato ya registrado: verificar que esté firmado",IF(R36="Indefinido","Sin vencimiento. Cambios de sueldo o cargo: anexo de modificación",IF(W36="Falta fecha de término","Completar la fecha de término en Contratos",IF(W36="VENCIDO","Sigue trabajando con plazo vencido: por ley ya es INDEFINIDO. Firmar anexo de paso a indefinido",IF(R36="Obra o faena","Al terminar la obra: finiquito + 2,5 días de sueldo por mes trabajado",IF(N(S36)&gt;=2,"2° contrato a plazo: NO se puede renovar otra vez a plazo fijo. Pasar a indefinido o terminar al vencer","1er contrato a plazo: renovar (2° contrato), pasar a indefinido o terminar al vencer"))))))))))</f>
        <v/>
      </c>
      <c r="Y36" s="68" t="str">
        <f aca="false">IF(O36&lt;&gt;"Activo","",ROUND(1.25*(DATEDIF(F36,AO36+1,"m")+(AO36+1-EDATE(F36,DATEDIF(F36,AO36+1,"m")))/30),2))</f>
        <v/>
      </c>
      <c r="Z36" s="68" t="str">
        <f aca="false">IF(O36&lt;&gt;"Activo","",N(M36)+SUMIFS(M_VAC,M_RUTN,AG36,M_MES,"&lt;="&amp;FECHA_CORTE))</f>
        <v/>
      </c>
      <c r="AA36" s="68" t="str">
        <f aca="false">IF(O36&lt;&gt;"Activo","",Y36-Z36)</f>
        <v/>
      </c>
      <c r="AB36" s="63" t="str">
        <f aca="false">IF(O36&lt;&gt;"Activo","",ROUND(MAX(0,IF(AA36&lt;=0,0,WORKDAY(FECHA_CORTE,INT(AA36),FERIADOS)-FECHA_CORTE+(AA36-INT(AA36))))*(Q36+N(K36))/30,0))</f>
        <v/>
      </c>
      <c r="AC36" s="65" t="str">
        <f aca="false">IF(O36&lt;&gt;"Activo","",IF(DATEDIF(F36,FECHA_CORTE+1,"y")&lt;1,0,MIN(TOPE_ANIOS,DATEDIF(F36,FECHA_CORTE+1,"y")+IF(EDATE(F36,12*DATEDIF(F36,FECHA_CORTE+1,"y")+6)&lt;FECHA_CORTE+1,1,0))))</f>
        <v/>
      </c>
      <c r="AD36" s="69" t="str">
        <f aca="false">IF(O36&lt;&gt;"Activo","",AB36+IF(R36="Obra o faena",0,ROUND(AL36*AC36,0)+ROUND(AL36,0)))</f>
        <v/>
      </c>
      <c r="AE36" s="69" t="str">
        <f aca="false">IF(O36&lt;&gt;"Activo","",AB36)</f>
        <v/>
      </c>
      <c r="AF36" s="69" t="str">
        <f aca="false">IF(AN36="","",IF(ISNUMBER(AJ36),"",ROUND(MAX(0,IF(AN36&lt;=0,0,WORKDAY(U36,INT(AN36),FERIADOS)-U36+(AN36-INT(AN36))))*(Q36+N(K36))/30,0)+IF(R36="Obra o faena",ROUND(OBRA_DIAS*AL36/30*(DATEDIF(F36,U36+1,"m")+IF(U36+1-EDATE(F36,DATEDIF(F36,U36+1,"m"))&gt;15,1,0)),0),0)))</f>
        <v/>
      </c>
      <c r="AG36" s="62" t="str">
        <f aca="false">IF(B36="","",IFERROR(VALUE(LEFT(UPPER(SUBSTITUTE(SUBSTITUTE(SUBSTITUTE(TRIM(B36),".",""),"-","")," ","")),LEN(UPPER(SUBSTITUTE(SUBSTITUTE(SUBSTITUTE(TRIM(B36),".",""),"-","")," ","")))-1))&amp;RIGHT(UPPER(SUBSTITUTE(SUBSTITUTE(SUBSTITUTE(TRIM(B36),".",""),"-","")," ","")),1),UPPER(SUBSTITUTE(SUBSTITUTE(SUBSTITUTE(TRIM(B36),".",""),"-","")," ",""))))</f>
        <v/>
      </c>
      <c r="AH36" s="62" t="str">
        <f aca="false">IF(B36="","",COUNTIFS(C_RUTN,AG36,C_DEF,"Sí",C_INI,"&lt;="&amp;FECHA_CORTE))</f>
        <v/>
      </c>
      <c r="AI36" s="62" t="str">
        <f aca="false">IF(B36="","",COUNTIFS(C_RUTN,AG36,C_DEF,"Sí"))</f>
        <v/>
      </c>
      <c r="AJ36" s="66" t="str">
        <f aca="false">IF(OR(B36="",N(AI36)&lt;=N(AH36)),"",IFERROR(INDEX(C_INI,MATCH(AG36&amp;"-P"&amp;(AH36+1),C_CLAVE,0)),""))</f>
        <v/>
      </c>
      <c r="AK36" s="63" t="str">
        <f aca="false">IF(O36&lt;&gt;"Activo","",Q36+N(K36)+IF(L36="Sí",MIN(GRAT_PCT*(Q36+N(K36)),GRAT_TOPE),0)+N(I36)+N(J36))</f>
        <v/>
      </c>
      <c r="AL36" s="63" t="str">
        <f aca="false">IF(O36&lt;&gt;"Activo","",MIN(AK36,TOPE_IAS_UF*UF_MES))</f>
        <v/>
      </c>
      <c r="AM36" s="62" t="str">
        <f aca="false">IF(AND(O36="Activo",ISNUMBER(V36),W36&lt;&gt;"Renovación registrada"),V36+ROW()/100000,"")</f>
        <v/>
      </c>
      <c r="AN36" s="70" t="str">
        <f aca="false">IF(OR(O36&lt;&gt;"Activo",NOT(ISNUMBER(U36))),"",IF(U36&lt;FECHA_CORTE,"",1.25*(DATEDIF(F36,U36+1,"m")+(U36+1-EDATE(F36,DATEDIF(F36,U36+1,"m")))/30)-Z36))</f>
        <v/>
      </c>
      <c r="AO36" s="66" t="str">
        <f aca="false">IF(OR(B36="",NOT(ISNUMBER(F36))),"",IF(N(G36)&gt;0,MIN(G36,FECHA_CORTE),FECHA_CORTE))</f>
        <v/>
      </c>
    </row>
    <row r="37" customFormat="false" ht="15" hidden="false" customHeight="false" outlineLevel="0" collapsed="false">
      <c r="B37" s="58"/>
      <c r="C37" s="58"/>
      <c r="D37" s="58"/>
      <c r="E37" s="58"/>
      <c r="F37" s="59"/>
      <c r="G37" s="59"/>
      <c r="H37" s="58"/>
      <c r="I37" s="60"/>
      <c r="J37" s="60"/>
      <c r="K37" s="60"/>
      <c r="L37" s="58"/>
      <c r="M37" s="61"/>
      <c r="N37" s="58"/>
      <c r="O37" s="62" t="str">
        <f aca="false">IF(B37="","",IF(NOT(ISNUMBER(F37)),"⚠ Falta ingreso",IF(F37&gt;FECHA_CORTE,"Por ingresar",IF(G37="","Activo",IF(G37&lt;FECHA_CORTE,"Desvinculado","Activo")))))</f>
        <v/>
      </c>
      <c r="P37" s="62" t="str">
        <f aca="false">IF(OR(B37="",NOT(ISNUMBER(F37))),"",IF(F37&gt;FECHA_CORTE,"",DATEDIF(F37,IF(G37="",FECHA_CORTE,MIN(G37,FECHA_CORTE))+1,"y")&amp;" a "&amp;DATEDIF(F37,IF(G37="",FECHA_CORTE,MIN(G37,FECHA_CORTE))+1,"ym")&amp;" m"))</f>
        <v/>
      </c>
      <c r="Q37" s="63" t="str">
        <f aca="false">IF(B37="","",IFERROR(INDEX(C_SUELDO,MATCH(AG37&amp;"-S"&amp;MAX(1,COUNTIFS(C_RUTN,AG37,C_SUELDO,"&lt;&gt;",C_INI,"&lt;="&amp;FECHA_CORTE)),C_CLAVES,0)),0))</f>
        <v/>
      </c>
      <c r="R37" s="62" t="str">
        <f aca="false">IF(B37="","",IF(N(AI37)=0,"Sin contrato",IFERROR(INDEX(C_TIPO,MATCH(AG37&amp;"-P"&amp;MAX(1,AH37),C_CLAVE,0))&amp;"","")))</f>
        <v/>
      </c>
      <c r="S37" s="64" t="str">
        <f aca="false">IF(R37="Plazo fijo",IFERROR(INDEX(C_NPF,MATCH(AG37&amp;"-P"&amp;MAX(1,AH37),C_CLAVE,0)),""),"")</f>
        <v/>
      </c>
      <c r="T37" s="65" t="str">
        <f aca="false">IF(B37="","",COUNTIFS(C_RUTN,AG37,C_TIPODOC,"Anexo de modificación"))</f>
        <v/>
      </c>
      <c r="U37" s="66" t="str">
        <f aca="false">IF(AND(OR(R37="Plazo fijo",R37="Obra o faena"),O37&lt;&gt;"Desvinculado"),IFERROR(IF(N(INDEX(C_TER,MATCH(AG37&amp;"-P"&amp;MAX(1,AH37),C_CLAVE,0)))=0,"",INDEX(C_TER,MATCH(AG37&amp;"-P"&amp;MAX(1,AH37),C_CLAVE,0))),""),"")</f>
        <v/>
      </c>
      <c r="V37" s="67" t="str">
        <f aca="false">IF(ISNUMBER(U37),U37-FECHA_CORTE,"")</f>
        <v/>
      </c>
      <c r="W37" s="62" t="str">
        <f aca="false">IF(B37="","",IF(O37="Desvinculado","Terminado",IF(N(AI37)=0,"Sin contrato registrado",IF(O37="Por ingresar","Por ingresar",IF(ISNUMBER(AJ37),"Renovación registrada",IF(R37="Indefinido","Indefinido",IF(NOT(ISNUMBER(V37)),"Falta fecha de término",IF(V37&lt;0,"VENCIDO",IF(V37&lt;=ALERTA_ROJA,"Vence en ≤ "&amp;ALERTA_ROJA&amp;" días",IF(V37&lt;=ALERTA_NARANJA,"Vence en ≤ "&amp;ALERTA_NARANJA&amp;" días",IF(V37&lt;=ALERTA_AMARILLA,"Vence en ≤ "&amp;ALERTA_AMARILLA&amp;" días","Vigente")))))))))))</f>
        <v/>
      </c>
      <c r="X37" s="62" t="str">
        <f aca="false">IF(B37="","",IF(W37="Terminado","—",IF(W37="Sin contrato registrado","Registrar su contrato en la hoja Contratos",IF(W37="Por ingresar","Tener el contrato firmado antes del ingreso",IF(W37="Renovación registrada","Siguiente contrato ya registrado: verificar que esté firmado",IF(R37="Indefinido","Sin vencimiento. Cambios de sueldo o cargo: anexo de modificación",IF(W37="Falta fecha de término","Completar la fecha de término en Contratos",IF(W37="VENCIDO","Sigue trabajando con plazo vencido: por ley ya es INDEFINIDO. Firmar anexo de paso a indefinido",IF(R37="Obra o faena","Al terminar la obra: finiquito + 2,5 días de sueldo por mes trabajado",IF(N(S37)&gt;=2,"2° contrato a plazo: NO se puede renovar otra vez a plazo fijo. Pasar a indefinido o terminar al vencer","1er contrato a plazo: renovar (2° contrato), pasar a indefinido o terminar al vencer"))))))))))</f>
        <v/>
      </c>
      <c r="Y37" s="68" t="str">
        <f aca="false">IF(O37&lt;&gt;"Activo","",ROUND(1.25*(DATEDIF(F37,AO37+1,"m")+(AO37+1-EDATE(F37,DATEDIF(F37,AO37+1,"m")))/30),2))</f>
        <v/>
      </c>
      <c r="Z37" s="68" t="str">
        <f aca="false">IF(O37&lt;&gt;"Activo","",N(M37)+SUMIFS(M_VAC,M_RUTN,AG37,M_MES,"&lt;="&amp;FECHA_CORTE))</f>
        <v/>
      </c>
      <c r="AA37" s="68" t="str">
        <f aca="false">IF(O37&lt;&gt;"Activo","",Y37-Z37)</f>
        <v/>
      </c>
      <c r="AB37" s="63" t="str">
        <f aca="false">IF(O37&lt;&gt;"Activo","",ROUND(MAX(0,IF(AA37&lt;=0,0,WORKDAY(FECHA_CORTE,INT(AA37),FERIADOS)-FECHA_CORTE+(AA37-INT(AA37))))*(Q37+N(K37))/30,0))</f>
        <v/>
      </c>
      <c r="AC37" s="65" t="str">
        <f aca="false">IF(O37&lt;&gt;"Activo","",IF(DATEDIF(F37,FECHA_CORTE+1,"y")&lt;1,0,MIN(TOPE_ANIOS,DATEDIF(F37,FECHA_CORTE+1,"y")+IF(EDATE(F37,12*DATEDIF(F37,FECHA_CORTE+1,"y")+6)&lt;FECHA_CORTE+1,1,0))))</f>
        <v/>
      </c>
      <c r="AD37" s="69" t="str">
        <f aca="false">IF(O37&lt;&gt;"Activo","",AB37+IF(R37="Obra o faena",0,ROUND(AL37*AC37,0)+ROUND(AL37,0)))</f>
        <v/>
      </c>
      <c r="AE37" s="69" t="str">
        <f aca="false">IF(O37&lt;&gt;"Activo","",AB37)</f>
        <v/>
      </c>
      <c r="AF37" s="69" t="str">
        <f aca="false">IF(AN37="","",IF(ISNUMBER(AJ37),"",ROUND(MAX(0,IF(AN37&lt;=0,0,WORKDAY(U37,INT(AN37),FERIADOS)-U37+(AN37-INT(AN37))))*(Q37+N(K37))/30,0)+IF(R37="Obra o faena",ROUND(OBRA_DIAS*AL37/30*(DATEDIF(F37,U37+1,"m")+IF(U37+1-EDATE(F37,DATEDIF(F37,U37+1,"m"))&gt;15,1,0)),0),0)))</f>
        <v/>
      </c>
      <c r="AG37" s="62" t="str">
        <f aca="false">IF(B37="","",IFERROR(VALUE(LEFT(UPPER(SUBSTITUTE(SUBSTITUTE(SUBSTITUTE(TRIM(B37),".",""),"-","")," ","")),LEN(UPPER(SUBSTITUTE(SUBSTITUTE(SUBSTITUTE(TRIM(B37),".",""),"-","")," ","")))-1))&amp;RIGHT(UPPER(SUBSTITUTE(SUBSTITUTE(SUBSTITUTE(TRIM(B37),".",""),"-","")," ","")),1),UPPER(SUBSTITUTE(SUBSTITUTE(SUBSTITUTE(TRIM(B37),".",""),"-","")," ",""))))</f>
        <v/>
      </c>
      <c r="AH37" s="62" t="str">
        <f aca="false">IF(B37="","",COUNTIFS(C_RUTN,AG37,C_DEF,"Sí",C_INI,"&lt;="&amp;FECHA_CORTE))</f>
        <v/>
      </c>
      <c r="AI37" s="62" t="str">
        <f aca="false">IF(B37="","",COUNTIFS(C_RUTN,AG37,C_DEF,"Sí"))</f>
        <v/>
      </c>
      <c r="AJ37" s="66" t="str">
        <f aca="false">IF(OR(B37="",N(AI37)&lt;=N(AH37)),"",IFERROR(INDEX(C_INI,MATCH(AG37&amp;"-P"&amp;(AH37+1),C_CLAVE,0)),""))</f>
        <v/>
      </c>
      <c r="AK37" s="63" t="str">
        <f aca="false">IF(O37&lt;&gt;"Activo","",Q37+N(K37)+IF(L37="Sí",MIN(GRAT_PCT*(Q37+N(K37)),GRAT_TOPE),0)+N(I37)+N(J37))</f>
        <v/>
      </c>
      <c r="AL37" s="63" t="str">
        <f aca="false">IF(O37&lt;&gt;"Activo","",MIN(AK37,TOPE_IAS_UF*UF_MES))</f>
        <v/>
      </c>
      <c r="AM37" s="62" t="str">
        <f aca="false">IF(AND(O37="Activo",ISNUMBER(V37),W37&lt;&gt;"Renovación registrada"),V37+ROW()/100000,"")</f>
        <v/>
      </c>
      <c r="AN37" s="70" t="str">
        <f aca="false">IF(OR(O37&lt;&gt;"Activo",NOT(ISNUMBER(U37))),"",IF(U37&lt;FECHA_CORTE,"",1.25*(DATEDIF(F37,U37+1,"m")+(U37+1-EDATE(F37,DATEDIF(F37,U37+1,"m")))/30)-Z37))</f>
        <v/>
      </c>
      <c r="AO37" s="66" t="str">
        <f aca="false">IF(OR(B37="",NOT(ISNUMBER(F37))),"",IF(N(G37)&gt;0,MIN(G37,FECHA_CORTE),FECHA_CORTE))</f>
        <v/>
      </c>
    </row>
    <row r="38" customFormat="false" ht="15" hidden="false" customHeight="false" outlineLevel="0" collapsed="false">
      <c r="B38" s="58"/>
      <c r="C38" s="58"/>
      <c r="D38" s="58"/>
      <c r="E38" s="58"/>
      <c r="F38" s="59"/>
      <c r="G38" s="59"/>
      <c r="H38" s="58"/>
      <c r="I38" s="60"/>
      <c r="J38" s="60"/>
      <c r="K38" s="60"/>
      <c r="L38" s="58"/>
      <c r="M38" s="61"/>
      <c r="N38" s="58"/>
      <c r="O38" s="62" t="str">
        <f aca="false">IF(B38="","",IF(NOT(ISNUMBER(F38)),"⚠ Falta ingreso",IF(F38&gt;FECHA_CORTE,"Por ingresar",IF(G38="","Activo",IF(G38&lt;FECHA_CORTE,"Desvinculado","Activo")))))</f>
        <v/>
      </c>
      <c r="P38" s="62" t="str">
        <f aca="false">IF(OR(B38="",NOT(ISNUMBER(F38))),"",IF(F38&gt;FECHA_CORTE,"",DATEDIF(F38,IF(G38="",FECHA_CORTE,MIN(G38,FECHA_CORTE))+1,"y")&amp;" a "&amp;DATEDIF(F38,IF(G38="",FECHA_CORTE,MIN(G38,FECHA_CORTE))+1,"ym")&amp;" m"))</f>
        <v/>
      </c>
      <c r="Q38" s="63" t="str">
        <f aca="false">IF(B38="","",IFERROR(INDEX(C_SUELDO,MATCH(AG38&amp;"-S"&amp;MAX(1,COUNTIFS(C_RUTN,AG38,C_SUELDO,"&lt;&gt;",C_INI,"&lt;="&amp;FECHA_CORTE)),C_CLAVES,0)),0))</f>
        <v/>
      </c>
      <c r="R38" s="62" t="str">
        <f aca="false">IF(B38="","",IF(N(AI38)=0,"Sin contrato",IFERROR(INDEX(C_TIPO,MATCH(AG38&amp;"-P"&amp;MAX(1,AH38),C_CLAVE,0))&amp;"","")))</f>
        <v/>
      </c>
      <c r="S38" s="64" t="str">
        <f aca="false">IF(R38="Plazo fijo",IFERROR(INDEX(C_NPF,MATCH(AG38&amp;"-P"&amp;MAX(1,AH38),C_CLAVE,0)),""),"")</f>
        <v/>
      </c>
      <c r="T38" s="65" t="str">
        <f aca="false">IF(B38="","",COUNTIFS(C_RUTN,AG38,C_TIPODOC,"Anexo de modificación"))</f>
        <v/>
      </c>
      <c r="U38" s="66" t="str">
        <f aca="false">IF(AND(OR(R38="Plazo fijo",R38="Obra o faena"),O38&lt;&gt;"Desvinculado"),IFERROR(IF(N(INDEX(C_TER,MATCH(AG38&amp;"-P"&amp;MAX(1,AH38),C_CLAVE,0)))=0,"",INDEX(C_TER,MATCH(AG38&amp;"-P"&amp;MAX(1,AH38),C_CLAVE,0))),""),"")</f>
        <v/>
      </c>
      <c r="V38" s="67" t="str">
        <f aca="false">IF(ISNUMBER(U38),U38-FECHA_CORTE,"")</f>
        <v/>
      </c>
      <c r="W38" s="62" t="str">
        <f aca="false">IF(B38="","",IF(O38="Desvinculado","Terminado",IF(N(AI38)=0,"Sin contrato registrado",IF(O38="Por ingresar","Por ingresar",IF(ISNUMBER(AJ38),"Renovación registrada",IF(R38="Indefinido","Indefinido",IF(NOT(ISNUMBER(V38)),"Falta fecha de término",IF(V38&lt;0,"VENCIDO",IF(V38&lt;=ALERTA_ROJA,"Vence en ≤ "&amp;ALERTA_ROJA&amp;" días",IF(V38&lt;=ALERTA_NARANJA,"Vence en ≤ "&amp;ALERTA_NARANJA&amp;" días",IF(V38&lt;=ALERTA_AMARILLA,"Vence en ≤ "&amp;ALERTA_AMARILLA&amp;" días","Vigente")))))))))))</f>
        <v/>
      </c>
      <c r="X38" s="62" t="str">
        <f aca="false">IF(B38="","",IF(W38="Terminado","—",IF(W38="Sin contrato registrado","Registrar su contrato en la hoja Contratos",IF(W38="Por ingresar","Tener el contrato firmado antes del ingreso",IF(W38="Renovación registrada","Siguiente contrato ya registrado: verificar que esté firmado",IF(R38="Indefinido","Sin vencimiento. Cambios de sueldo o cargo: anexo de modificación",IF(W38="Falta fecha de término","Completar la fecha de término en Contratos",IF(W38="VENCIDO","Sigue trabajando con plazo vencido: por ley ya es INDEFINIDO. Firmar anexo de paso a indefinido",IF(R38="Obra o faena","Al terminar la obra: finiquito + 2,5 días de sueldo por mes trabajado",IF(N(S38)&gt;=2,"2° contrato a plazo: NO se puede renovar otra vez a plazo fijo. Pasar a indefinido o terminar al vencer","1er contrato a plazo: renovar (2° contrato), pasar a indefinido o terminar al vencer"))))))))))</f>
        <v/>
      </c>
      <c r="Y38" s="68" t="str">
        <f aca="false">IF(O38&lt;&gt;"Activo","",ROUND(1.25*(DATEDIF(F38,AO38+1,"m")+(AO38+1-EDATE(F38,DATEDIF(F38,AO38+1,"m")))/30),2))</f>
        <v/>
      </c>
      <c r="Z38" s="68" t="str">
        <f aca="false">IF(O38&lt;&gt;"Activo","",N(M38)+SUMIFS(M_VAC,M_RUTN,AG38,M_MES,"&lt;="&amp;FECHA_CORTE))</f>
        <v/>
      </c>
      <c r="AA38" s="68" t="str">
        <f aca="false">IF(O38&lt;&gt;"Activo","",Y38-Z38)</f>
        <v/>
      </c>
      <c r="AB38" s="63" t="str">
        <f aca="false">IF(O38&lt;&gt;"Activo","",ROUND(MAX(0,IF(AA38&lt;=0,0,WORKDAY(FECHA_CORTE,INT(AA38),FERIADOS)-FECHA_CORTE+(AA38-INT(AA38))))*(Q38+N(K38))/30,0))</f>
        <v/>
      </c>
      <c r="AC38" s="65" t="str">
        <f aca="false">IF(O38&lt;&gt;"Activo","",IF(DATEDIF(F38,FECHA_CORTE+1,"y")&lt;1,0,MIN(TOPE_ANIOS,DATEDIF(F38,FECHA_CORTE+1,"y")+IF(EDATE(F38,12*DATEDIF(F38,FECHA_CORTE+1,"y")+6)&lt;FECHA_CORTE+1,1,0))))</f>
        <v/>
      </c>
      <c r="AD38" s="69" t="str">
        <f aca="false">IF(O38&lt;&gt;"Activo","",AB38+IF(R38="Obra o faena",0,ROUND(AL38*AC38,0)+ROUND(AL38,0)))</f>
        <v/>
      </c>
      <c r="AE38" s="69" t="str">
        <f aca="false">IF(O38&lt;&gt;"Activo","",AB38)</f>
        <v/>
      </c>
      <c r="AF38" s="69" t="str">
        <f aca="false">IF(AN38="","",IF(ISNUMBER(AJ38),"",ROUND(MAX(0,IF(AN38&lt;=0,0,WORKDAY(U38,INT(AN38),FERIADOS)-U38+(AN38-INT(AN38))))*(Q38+N(K38))/30,0)+IF(R38="Obra o faena",ROUND(OBRA_DIAS*AL38/30*(DATEDIF(F38,U38+1,"m")+IF(U38+1-EDATE(F38,DATEDIF(F38,U38+1,"m"))&gt;15,1,0)),0),0)))</f>
        <v/>
      </c>
      <c r="AG38" s="62" t="str">
        <f aca="false">IF(B38="","",IFERROR(VALUE(LEFT(UPPER(SUBSTITUTE(SUBSTITUTE(SUBSTITUTE(TRIM(B38),".",""),"-","")," ","")),LEN(UPPER(SUBSTITUTE(SUBSTITUTE(SUBSTITUTE(TRIM(B38),".",""),"-","")," ","")))-1))&amp;RIGHT(UPPER(SUBSTITUTE(SUBSTITUTE(SUBSTITUTE(TRIM(B38),".",""),"-","")," ","")),1),UPPER(SUBSTITUTE(SUBSTITUTE(SUBSTITUTE(TRIM(B38),".",""),"-","")," ",""))))</f>
        <v/>
      </c>
      <c r="AH38" s="62" t="str">
        <f aca="false">IF(B38="","",COUNTIFS(C_RUTN,AG38,C_DEF,"Sí",C_INI,"&lt;="&amp;FECHA_CORTE))</f>
        <v/>
      </c>
      <c r="AI38" s="62" t="str">
        <f aca="false">IF(B38="","",COUNTIFS(C_RUTN,AG38,C_DEF,"Sí"))</f>
        <v/>
      </c>
      <c r="AJ38" s="66" t="str">
        <f aca="false">IF(OR(B38="",N(AI38)&lt;=N(AH38)),"",IFERROR(INDEX(C_INI,MATCH(AG38&amp;"-P"&amp;(AH38+1),C_CLAVE,0)),""))</f>
        <v/>
      </c>
      <c r="AK38" s="63" t="str">
        <f aca="false">IF(O38&lt;&gt;"Activo","",Q38+N(K38)+IF(L38="Sí",MIN(GRAT_PCT*(Q38+N(K38)),GRAT_TOPE),0)+N(I38)+N(J38))</f>
        <v/>
      </c>
      <c r="AL38" s="63" t="str">
        <f aca="false">IF(O38&lt;&gt;"Activo","",MIN(AK38,TOPE_IAS_UF*UF_MES))</f>
        <v/>
      </c>
      <c r="AM38" s="62" t="str">
        <f aca="false">IF(AND(O38="Activo",ISNUMBER(V38),W38&lt;&gt;"Renovación registrada"),V38+ROW()/100000,"")</f>
        <v/>
      </c>
      <c r="AN38" s="70" t="str">
        <f aca="false">IF(OR(O38&lt;&gt;"Activo",NOT(ISNUMBER(U38))),"",IF(U38&lt;FECHA_CORTE,"",1.25*(DATEDIF(F38,U38+1,"m")+(U38+1-EDATE(F38,DATEDIF(F38,U38+1,"m")))/30)-Z38))</f>
        <v/>
      </c>
      <c r="AO38" s="66" t="str">
        <f aca="false">IF(OR(B38="",NOT(ISNUMBER(F38))),"",IF(N(G38)&gt;0,MIN(G38,FECHA_CORTE),FECHA_CORTE))</f>
        <v/>
      </c>
    </row>
    <row r="39" customFormat="false" ht="15" hidden="false" customHeight="false" outlineLevel="0" collapsed="false">
      <c r="B39" s="58"/>
      <c r="C39" s="58"/>
      <c r="D39" s="58"/>
      <c r="E39" s="58"/>
      <c r="F39" s="59"/>
      <c r="G39" s="59"/>
      <c r="H39" s="58"/>
      <c r="I39" s="60"/>
      <c r="J39" s="60"/>
      <c r="K39" s="60"/>
      <c r="L39" s="58"/>
      <c r="M39" s="61"/>
      <c r="N39" s="58"/>
      <c r="O39" s="62" t="str">
        <f aca="false">IF(B39="","",IF(NOT(ISNUMBER(F39)),"⚠ Falta ingreso",IF(F39&gt;FECHA_CORTE,"Por ingresar",IF(G39="","Activo",IF(G39&lt;FECHA_CORTE,"Desvinculado","Activo")))))</f>
        <v/>
      </c>
      <c r="P39" s="62" t="str">
        <f aca="false">IF(OR(B39="",NOT(ISNUMBER(F39))),"",IF(F39&gt;FECHA_CORTE,"",DATEDIF(F39,IF(G39="",FECHA_CORTE,MIN(G39,FECHA_CORTE))+1,"y")&amp;" a "&amp;DATEDIF(F39,IF(G39="",FECHA_CORTE,MIN(G39,FECHA_CORTE))+1,"ym")&amp;" m"))</f>
        <v/>
      </c>
      <c r="Q39" s="63" t="str">
        <f aca="false">IF(B39="","",IFERROR(INDEX(C_SUELDO,MATCH(AG39&amp;"-S"&amp;MAX(1,COUNTIFS(C_RUTN,AG39,C_SUELDO,"&lt;&gt;",C_INI,"&lt;="&amp;FECHA_CORTE)),C_CLAVES,0)),0))</f>
        <v/>
      </c>
      <c r="R39" s="62" t="str">
        <f aca="false">IF(B39="","",IF(N(AI39)=0,"Sin contrato",IFERROR(INDEX(C_TIPO,MATCH(AG39&amp;"-P"&amp;MAX(1,AH39),C_CLAVE,0))&amp;"","")))</f>
        <v/>
      </c>
      <c r="S39" s="64" t="str">
        <f aca="false">IF(R39="Plazo fijo",IFERROR(INDEX(C_NPF,MATCH(AG39&amp;"-P"&amp;MAX(1,AH39),C_CLAVE,0)),""),"")</f>
        <v/>
      </c>
      <c r="T39" s="65" t="str">
        <f aca="false">IF(B39="","",COUNTIFS(C_RUTN,AG39,C_TIPODOC,"Anexo de modificación"))</f>
        <v/>
      </c>
      <c r="U39" s="66" t="str">
        <f aca="false">IF(AND(OR(R39="Plazo fijo",R39="Obra o faena"),O39&lt;&gt;"Desvinculado"),IFERROR(IF(N(INDEX(C_TER,MATCH(AG39&amp;"-P"&amp;MAX(1,AH39),C_CLAVE,0)))=0,"",INDEX(C_TER,MATCH(AG39&amp;"-P"&amp;MAX(1,AH39),C_CLAVE,0))),""),"")</f>
        <v/>
      </c>
      <c r="V39" s="67" t="str">
        <f aca="false">IF(ISNUMBER(U39),U39-FECHA_CORTE,"")</f>
        <v/>
      </c>
      <c r="W39" s="62" t="str">
        <f aca="false">IF(B39="","",IF(O39="Desvinculado","Terminado",IF(N(AI39)=0,"Sin contrato registrado",IF(O39="Por ingresar","Por ingresar",IF(ISNUMBER(AJ39),"Renovación registrada",IF(R39="Indefinido","Indefinido",IF(NOT(ISNUMBER(V39)),"Falta fecha de término",IF(V39&lt;0,"VENCIDO",IF(V39&lt;=ALERTA_ROJA,"Vence en ≤ "&amp;ALERTA_ROJA&amp;" días",IF(V39&lt;=ALERTA_NARANJA,"Vence en ≤ "&amp;ALERTA_NARANJA&amp;" días",IF(V39&lt;=ALERTA_AMARILLA,"Vence en ≤ "&amp;ALERTA_AMARILLA&amp;" días","Vigente")))))))))))</f>
        <v/>
      </c>
      <c r="X39" s="62" t="str">
        <f aca="false">IF(B39="","",IF(W39="Terminado","—",IF(W39="Sin contrato registrado","Registrar su contrato en la hoja Contratos",IF(W39="Por ingresar","Tener el contrato firmado antes del ingreso",IF(W39="Renovación registrada","Siguiente contrato ya registrado: verificar que esté firmado",IF(R39="Indefinido","Sin vencimiento. Cambios de sueldo o cargo: anexo de modificación",IF(W39="Falta fecha de término","Completar la fecha de término en Contratos",IF(W39="VENCIDO","Sigue trabajando con plazo vencido: por ley ya es INDEFINIDO. Firmar anexo de paso a indefinido",IF(R39="Obra o faena","Al terminar la obra: finiquito + 2,5 días de sueldo por mes trabajado",IF(N(S39)&gt;=2,"2° contrato a plazo: NO se puede renovar otra vez a plazo fijo. Pasar a indefinido o terminar al vencer","1er contrato a plazo: renovar (2° contrato), pasar a indefinido o terminar al vencer"))))))))))</f>
        <v/>
      </c>
      <c r="Y39" s="68" t="str">
        <f aca="false">IF(O39&lt;&gt;"Activo","",ROUND(1.25*(DATEDIF(F39,AO39+1,"m")+(AO39+1-EDATE(F39,DATEDIF(F39,AO39+1,"m")))/30),2))</f>
        <v/>
      </c>
      <c r="Z39" s="68" t="str">
        <f aca="false">IF(O39&lt;&gt;"Activo","",N(M39)+SUMIFS(M_VAC,M_RUTN,AG39,M_MES,"&lt;="&amp;FECHA_CORTE))</f>
        <v/>
      </c>
      <c r="AA39" s="68" t="str">
        <f aca="false">IF(O39&lt;&gt;"Activo","",Y39-Z39)</f>
        <v/>
      </c>
      <c r="AB39" s="63" t="str">
        <f aca="false">IF(O39&lt;&gt;"Activo","",ROUND(MAX(0,IF(AA39&lt;=0,0,WORKDAY(FECHA_CORTE,INT(AA39),FERIADOS)-FECHA_CORTE+(AA39-INT(AA39))))*(Q39+N(K39))/30,0))</f>
        <v/>
      </c>
      <c r="AC39" s="65" t="str">
        <f aca="false">IF(O39&lt;&gt;"Activo","",IF(DATEDIF(F39,FECHA_CORTE+1,"y")&lt;1,0,MIN(TOPE_ANIOS,DATEDIF(F39,FECHA_CORTE+1,"y")+IF(EDATE(F39,12*DATEDIF(F39,FECHA_CORTE+1,"y")+6)&lt;FECHA_CORTE+1,1,0))))</f>
        <v/>
      </c>
      <c r="AD39" s="69" t="str">
        <f aca="false">IF(O39&lt;&gt;"Activo","",AB39+IF(R39="Obra o faena",0,ROUND(AL39*AC39,0)+ROUND(AL39,0)))</f>
        <v/>
      </c>
      <c r="AE39" s="69" t="str">
        <f aca="false">IF(O39&lt;&gt;"Activo","",AB39)</f>
        <v/>
      </c>
      <c r="AF39" s="69" t="str">
        <f aca="false">IF(AN39="","",IF(ISNUMBER(AJ39),"",ROUND(MAX(0,IF(AN39&lt;=0,0,WORKDAY(U39,INT(AN39),FERIADOS)-U39+(AN39-INT(AN39))))*(Q39+N(K39))/30,0)+IF(R39="Obra o faena",ROUND(OBRA_DIAS*AL39/30*(DATEDIF(F39,U39+1,"m")+IF(U39+1-EDATE(F39,DATEDIF(F39,U39+1,"m"))&gt;15,1,0)),0),0)))</f>
        <v/>
      </c>
      <c r="AG39" s="62" t="str">
        <f aca="false">IF(B39="","",IFERROR(VALUE(LEFT(UPPER(SUBSTITUTE(SUBSTITUTE(SUBSTITUTE(TRIM(B39),".",""),"-","")," ","")),LEN(UPPER(SUBSTITUTE(SUBSTITUTE(SUBSTITUTE(TRIM(B39),".",""),"-","")," ","")))-1))&amp;RIGHT(UPPER(SUBSTITUTE(SUBSTITUTE(SUBSTITUTE(TRIM(B39),".",""),"-","")," ","")),1),UPPER(SUBSTITUTE(SUBSTITUTE(SUBSTITUTE(TRIM(B39),".",""),"-","")," ",""))))</f>
        <v/>
      </c>
      <c r="AH39" s="62" t="str">
        <f aca="false">IF(B39="","",COUNTIFS(C_RUTN,AG39,C_DEF,"Sí",C_INI,"&lt;="&amp;FECHA_CORTE))</f>
        <v/>
      </c>
      <c r="AI39" s="62" t="str">
        <f aca="false">IF(B39="","",COUNTIFS(C_RUTN,AG39,C_DEF,"Sí"))</f>
        <v/>
      </c>
      <c r="AJ39" s="66" t="str">
        <f aca="false">IF(OR(B39="",N(AI39)&lt;=N(AH39)),"",IFERROR(INDEX(C_INI,MATCH(AG39&amp;"-P"&amp;(AH39+1),C_CLAVE,0)),""))</f>
        <v/>
      </c>
      <c r="AK39" s="63" t="str">
        <f aca="false">IF(O39&lt;&gt;"Activo","",Q39+N(K39)+IF(L39="Sí",MIN(GRAT_PCT*(Q39+N(K39)),GRAT_TOPE),0)+N(I39)+N(J39))</f>
        <v/>
      </c>
      <c r="AL39" s="63" t="str">
        <f aca="false">IF(O39&lt;&gt;"Activo","",MIN(AK39,TOPE_IAS_UF*UF_MES))</f>
        <v/>
      </c>
      <c r="AM39" s="62" t="str">
        <f aca="false">IF(AND(O39="Activo",ISNUMBER(V39),W39&lt;&gt;"Renovación registrada"),V39+ROW()/100000,"")</f>
        <v/>
      </c>
      <c r="AN39" s="70" t="str">
        <f aca="false">IF(OR(O39&lt;&gt;"Activo",NOT(ISNUMBER(U39))),"",IF(U39&lt;FECHA_CORTE,"",1.25*(DATEDIF(F39,U39+1,"m")+(U39+1-EDATE(F39,DATEDIF(F39,U39+1,"m")))/30)-Z39))</f>
        <v/>
      </c>
      <c r="AO39" s="66" t="str">
        <f aca="false">IF(OR(B39="",NOT(ISNUMBER(F39))),"",IF(N(G39)&gt;0,MIN(G39,FECHA_CORTE),FECHA_CORTE))</f>
        <v/>
      </c>
    </row>
    <row r="40" customFormat="false" ht="15" hidden="false" customHeight="false" outlineLevel="0" collapsed="false">
      <c r="B40" s="58"/>
      <c r="C40" s="58"/>
      <c r="D40" s="58"/>
      <c r="E40" s="58"/>
      <c r="F40" s="59"/>
      <c r="G40" s="59"/>
      <c r="H40" s="58"/>
      <c r="I40" s="60"/>
      <c r="J40" s="60"/>
      <c r="K40" s="60"/>
      <c r="L40" s="58"/>
      <c r="M40" s="61"/>
      <c r="N40" s="58"/>
      <c r="O40" s="62" t="str">
        <f aca="false">IF(B40="","",IF(NOT(ISNUMBER(F40)),"⚠ Falta ingreso",IF(F40&gt;FECHA_CORTE,"Por ingresar",IF(G40="","Activo",IF(G40&lt;FECHA_CORTE,"Desvinculado","Activo")))))</f>
        <v/>
      </c>
      <c r="P40" s="62" t="str">
        <f aca="false">IF(OR(B40="",NOT(ISNUMBER(F40))),"",IF(F40&gt;FECHA_CORTE,"",DATEDIF(F40,IF(G40="",FECHA_CORTE,MIN(G40,FECHA_CORTE))+1,"y")&amp;" a "&amp;DATEDIF(F40,IF(G40="",FECHA_CORTE,MIN(G40,FECHA_CORTE))+1,"ym")&amp;" m"))</f>
        <v/>
      </c>
      <c r="Q40" s="63" t="str">
        <f aca="false">IF(B40="","",IFERROR(INDEX(C_SUELDO,MATCH(AG40&amp;"-S"&amp;MAX(1,COUNTIFS(C_RUTN,AG40,C_SUELDO,"&lt;&gt;",C_INI,"&lt;="&amp;FECHA_CORTE)),C_CLAVES,0)),0))</f>
        <v/>
      </c>
      <c r="R40" s="62" t="str">
        <f aca="false">IF(B40="","",IF(N(AI40)=0,"Sin contrato",IFERROR(INDEX(C_TIPO,MATCH(AG40&amp;"-P"&amp;MAX(1,AH40),C_CLAVE,0))&amp;"","")))</f>
        <v/>
      </c>
      <c r="S40" s="64" t="str">
        <f aca="false">IF(R40="Plazo fijo",IFERROR(INDEX(C_NPF,MATCH(AG40&amp;"-P"&amp;MAX(1,AH40),C_CLAVE,0)),""),"")</f>
        <v/>
      </c>
      <c r="T40" s="65" t="str">
        <f aca="false">IF(B40="","",COUNTIFS(C_RUTN,AG40,C_TIPODOC,"Anexo de modificación"))</f>
        <v/>
      </c>
      <c r="U40" s="66" t="str">
        <f aca="false">IF(AND(OR(R40="Plazo fijo",R40="Obra o faena"),O40&lt;&gt;"Desvinculado"),IFERROR(IF(N(INDEX(C_TER,MATCH(AG40&amp;"-P"&amp;MAX(1,AH40),C_CLAVE,0)))=0,"",INDEX(C_TER,MATCH(AG40&amp;"-P"&amp;MAX(1,AH40),C_CLAVE,0))),""),"")</f>
        <v/>
      </c>
      <c r="V40" s="67" t="str">
        <f aca="false">IF(ISNUMBER(U40),U40-FECHA_CORTE,"")</f>
        <v/>
      </c>
      <c r="W40" s="62" t="str">
        <f aca="false">IF(B40="","",IF(O40="Desvinculado","Terminado",IF(N(AI40)=0,"Sin contrato registrado",IF(O40="Por ingresar","Por ingresar",IF(ISNUMBER(AJ40),"Renovación registrada",IF(R40="Indefinido","Indefinido",IF(NOT(ISNUMBER(V40)),"Falta fecha de término",IF(V40&lt;0,"VENCIDO",IF(V40&lt;=ALERTA_ROJA,"Vence en ≤ "&amp;ALERTA_ROJA&amp;" días",IF(V40&lt;=ALERTA_NARANJA,"Vence en ≤ "&amp;ALERTA_NARANJA&amp;" días",IF(V40&lt;=ALERTA_AMARILLA,"Vence en ≤ "&amp;ALERTA_AMARILLA&amp;" días","Vigente")))))))))))</f>
        <v/>
      </c>
      <c r="X40" s="62" t="str">
        <f aca="false">IF(B40="","",IF(W40="Terminado","—",IF(W40="Sin contrato registrado","Registrar su contrato en la hoja Contratos",IF(W40="Por ingresar","Tener el contrato firmado antes del ingreso",IF(W40="Renovación registrada","Siguiente contrato ya registrado: verificar que esté firmado",IF(R40="Indefinido","Sin vencimiento. Cambios de sueldo o cargo: anexo de modificación",IF(W40="Falta fecha de término","Completar la fecha de término en Contratos",IF(W40="VENCIDO","Sigue trabajando con plazo vencido: por ley ya es INDEFINIDO. Firmar anexo de paso a indefinido",IF(R40="Obra o faena","Al terminar la obra: finiquito + 2,5 días de sueldo por mes trabajado",IF(N(S40)&gt;=2,"2° contrato a plazo: NO se puede renovar otra vez a plazo fijo. Pasar a indefinido o terminar al vencer","1er contrato a plazo: renovar (2° contrato), pasar a indefinido o terminar al vencer"))))))))))</f>
        <v/>
      </c>
      <c r="Y40" s="68" t="str">
        <f aca="false">IF(O40&lt;&gt;"Activo","",ROUND(1.25*(DATEDIF(F40,AO40+1,"m")+(AO40+1-EDATE(F40,DATEDIF(F40,AO40+1,"m")))/30),2))</f>
        <v/>
      </c>
      <c r="Z40" s="68" t="str">
        <f aca="false">IF(O40&lt;&gt;"Activo","",N(M40)+SUMIFS(M_VAC,M_RUTN,AG40,M_MES,"&lt;="&amp;FECHA_CORTE))</f>
        <v/>
      </c>
      <c r="AA40" s="68" t="str">
        <f aca="false">IF(O40&lt;&gt;"Activo","",Y40-Z40)</f>
        <v/>
      </c>
      <c r="AB40" s="63" t="str">
        <f aca="false">IF(O40&lt;&gt;"Activo","",ROUND(MAX(0,IF(AA40&lt;=0,0,WORKDAY(FECHA_CORTE,INT(AA40),FERIADOS)-FECHA_CORTE+(AA40-INT(AA40))))*(Q40+N(K40))/30,0))</f>
        <v/>
      </c>
      <c r="AC40" s="65" t="str">
        <f aca="false">IF(O40&lt;&gt;"Activo","",IF(DATEDIF(F40,FECHA_CORTE+1,"y")&lt;1,0,MIN(TOPE_ANIOS,DATEDIF(F40,FECHA_CORTE+1,"y")+IF(EDATE(F40,12*DATEDIF(F40,FECHA_CORTE+1,"y")+6)&lt;FECHA_CORTE+1,1,0))))</f>
        <v/>
      </c>
      <c r="AD40" s="69" t="str">
        <f aca="false">IF(O40&lt;&gt;"Activo","",AB40+IF(R40="Obra o faena",0,ROUND(AL40*AC40,0)+ROUND(AL40,0)))</f>
        <v/>
      </c>
      <c r="AE40" s="69" t="str">
        <f aca="false">IF(O40&lt;&gt;"Activo","",AB40)</f>
        <v/>
      </c>
      <c r="AF40" s="69" t="str">
        <f aca="false">IF(AN40="","",IF(ISNUMBER(AJ40),"",ROUND(MAX(0,IF(AN40&lt;=0,0,WORKDAY(U40,INT(AN40),FERIADOS)-U40+(AN40-INT(AN40))))*(Q40+N(K40))/30,0)+IF(R40="Obra o faena",ROUND(OBRA_DIAS*AL40/30*(DATEDIF(F40,U40+1,"m")+IF(U40+1-EDATE(F40,DATEDIF(F40,U40+1,"m"))&gt;15,1,0)),0),0)))</f>
        <v/>
      </c>
      <c r="AG40" s="62" t="str">
        <f aca="false">IF(B40="","",IFERROR(VALUE(LEFT(UPPER(SUBSTITUTE(SUBSTITUTE(SUBSTITUTE(TRIM(B40),".",""),"-","")," ","")),LEN(UPPER(SUBSTITUTE(SUBSTITUTE(SUBSTITUTE(TRIM(B40),".",""),"-","")," ","")))-1))&amp;RIGHT(UPPER(SUBSTITUTE(SUBSTITUTE(SUBSTITUTE(TRIM(B40),".",""),"-","")," ","")),1),UPPER(SUBSTITUTE(SUBSTITUTE(SUBSTITUTE(TRIM(B40),".",""),"-","")," ",""))))</f>
        <v/>
      </c>
      <c r="AH40" s="62" t="str">
        <f aca="false">IF(B40="","",COUNTIFS(C_RUTN,AG40,C_DEF,"Sí",C_INI,"&lt;="&amp;FECHA_CORTE))</f>
        <v/>
      </c>
      <c r="AI40" s="62" t="str">
        <f aca="false">IF(B40="","",COUNTIFS(C_RUTN,AG40,C_DEF,"Sí"))</f>
        <v/>
      </c>
      <c r="AJ40" s="66" t="str">
        <f aca="false">IF(OR(B40="",N(AI40)&lt;=N(AH40)),"",IFERROR(INDEX(C_INI,MATCH(AG40&amp;"-P"&amp;(AH40+1),C_CLAVE,0)),""))</f>
        <v/>
      </c>
      <c r="AK40" s="63" t="str">
        <f aca="false">IF(O40&lt;&gt;"Activo","",Q40+N(K40)+IF(L40="Sí",MIN(GRAT_PCT*(Q40+N(K40)),GRAT_TOPE),0)+N(I40)+N(J40))</f>
        <v/>
      </c>
      <c r="AL40" s="63" t="str">
        <f aca="false">IF(O40&lt;&gt;"Activo","",MIN(AK40,TOPE_IAS_UF*UF_MES))</f>
        <v/>
      </c>
      <c r="AM40" s="62" t="str">
        <f aca="false">IF(AND(O40="Activo",ISNUMBER(V40),W40&lt;&gt;"Renovación registrada"),V40+ROW()/100000,"")</f>
        <v/>
      </c>
      <c r="AN40" s="70" t="str">
        <f aca="false">IF(OR(O40&lt;&gt;"Activo",NOT(ISNUMBER(U40))),"",IF(U40&lt;FECHA_CORTE,"",1.25*(DATEDIF(F40,U40+1,"m")+(U40+1-EDATE(F40,DATEDIF(F40,U40+1,"m")))/30)-Z40))</f>
        <v/>
      </c>
      <c r="AO40" s="66" t="str">
        <f aca="false">IF(OR(B40="",NOT(ISNUMBER(F40))),"",IF(N(G40)&gt;0,MIN(G40,FECHA_CORTE),FECHA_CORTE))</f>
        <v/>
      </c>
    </row>
    <row r="41" customFormat="false" ht="15" hidden="false" customHeight="false" outlineLevel="0" collapsed="false">
      <c r="B41" s="58"/>
      <c r="C41" s="58"/>
      <c r="D41" s="58"/>
      <c r="E41" s="58"/>
      <c r="F41" s="59"/>
      <c r="G41" s="59"/>
      <c r="H41" s="58"/>
      <c r="I41" s="60"/>
      <c r="J41" s="60"/>
      <c r="K41" s="60"/>
      <c r="L41" s="58"/>
      <c r="M41" s="61"/>
      <c r="N41" s="58"/>
      <c r="O41" s="62" t="str">
        <f aca="false">IF(B41="","",IF(NOT(ISNUMBER(F41)),"⚠ Falta ingreso",IF(F41&gt;FECHA_CORTE,"Por ingresar",IF(G41="","Activo",IF(G41&lt;FECHA_CORTE,"Desvinculado","Activo")))))</f>
        <v/>
      </c>
      <c r="P41" s="62" t="str">
        <f aca="false">IF(OR(B41="",NOT(ISNUMBER(F41))),"",IF(F41&gt;FECHA_CORTE,"",DATEDIF(F41,IF(G41="",FECHA_CORTE,MIN(G41,FECHA_CORTE))+1,"y")&amp;" a "&amp;DATEDIF(F41,IF(G41="",FECHA_CORTE,MIN(G41,FECHA_CORTE))+1,"ym")&amp;" m"))</f>
        <v/>
      </c>
      <c r="Q41" s="63" t="str">
        <f aca="false">IF(B41="","",IFERROR(INDEX(C_SUELDO,MATCH(AG41&amp;"-S"&amp;MAX(1,COUNTIFS(C_RUTN,AG41,C_SUELDO,"&lt;&gt;",C_INI,"&lt;="&amp;FECHA_CORTE)),C_CLAVES,0)),0))</f>
        <v/>
      </c>
      <c r="R41" s="62" t="str">
        <f aca="false">IF(B41="","",IF(N(AI41)=0,"Sin contrato",IFERROR(INDEX(C_TIPO,MATCH(AG41&amp;"-P"&amp;MAX(1,AH41),C_CLAVE,0))&amp;"","")))</f>
        <v/>
      </c>
      <c r="S41" s="64" t="str">
        <f aca="false">IF(R41="Plazo fijo",IFERROR(INDEX(C_NPF,MATCH(AG41&amp;"-P"&amp;MAX(1,AH41),C_CLAVE,0)),""),"")</f>
        <v/>
      </c>
      <c r="T41" s="65" t="str">
        <f aca="false">IF(B41="","",COUNTIFS(C_RUTN,AG41,C_TIPODOC,"Anexo de modificación"))</f>
        <v/>
      </c>
      <c r="U41" s="66" t="str">
        <f aca="false">IF(AND(OR(R41="Plazo fijo",R41="Obra o faena"),O41&lt;&gt;"Desvinculado"),IFERROR(IF(N(INDEX(C_TER,MATCH(AG41&amp;"-P"&amp;MAX(1,AH41),C_CLAVE,0)))=0,"",INDEX(C_TER,MATCH(AG41&amp;"-P"&amp;MAX(1,AH41),C_CLAVE,0))),""),"")</f>
        <v/>
      </c>
      <c r="V41" s="67" t="str">
        <f aca="false">IF(ISNUMBER(U41),U41-FECHA_CORTE,"")</f>
        <v/>
      </c>
      <c r="W41" s="62" t="str">
        <f aca="false">IF(B41="","",IF(O41="Desvinculado","Terminado",IF(N(AI41)=0,"Sin contrato registrado",IF(O41="Por ingresar","Por ingresar",IF(ISNUMBER(AJ41),"Renovación registrada",IF(R41="Indefinido","Indefinido",IF(NOT(ISNUMBER(V41)),"Falta fecha de término",IF(V41&lt;0,"VENCIDO",IF(V41&lt;=ALERTA_ROJA,"Vence en ≤ "&amp;ALERTA_ROJA&amp;" días",IF(V41&lt;=ALERTA_NARANJA,"Vence en ≤ "&amp;ALERTA_NARANJA&amp;" días",IF(V41&lt;=ALERTA_AMARILLA,"Vence en ≤ "&amp;ALERTA_AMARILLA&amp;" días","Vigente")))))))))))</f>
        <v/>
      </c>
      <c r="X41" s="62" t="str">
        <f aca="false">IF(B41="","",IF(W41="Terminado","—",IF(W41="Sin contrato registrado","Registrar su contrato en la hoja Contratos",IF(W41="Por ingresar","Tener el contrato firmado antes del ingreso",IF(W41="Renovación registrada","Siguiente contrato ya registrado: verificar que esté firmado",IF(R41="Indefinido","Sin vencimiento. Cambios de sueldo o cargo: anexo de modificación",IF(W41="Falta fecha de término","Completar la fecha de término en Contratos",IF(W41="VENCIDO","Sigue trabajando con plazo vencido: por ley ya es INDEFINIDO. Firmar anexo de paso a indefinido",IF(R41="Obra o faena","Al terminar la obra: finiquito + 2,5 días de sueldo por mes trabajado",IF(N(S41)&gt;=2,"2° contrato a plazo: NO se puede renovar otra vez a plazo fijo. Pasar a indefinido o terminar al vencer","1er contrato a plazo: renovar (2° contrato), pasar a indefinido o terminar al vencer"))))))))))</f>
        <v/>
      </c>
      <c r="Y41" s="68" t="str">
        <f aca="false">IF(O41&lt;&gt;"Activo","",ROUND(1.25*(DATEDIF(F41,AO41+1,"m")+(AO41+1-EDATE(F41,DATEDIF(F41,AO41+1,"m")))/30),2))</f>
        <v/>
      </c>
      <c r="Z41" s="68" t="str">
        <f aca="false">IF(O41&lt;&gt;"Activo","",N(M41)+SUMIFS(M_VAC,M_RUTN,AG41,M_MES,"&lt;="&amp;FECHA_CORTE))</f>
        <v/>
      </c>
      <c r="AA41" s="68" t="str">
        <f aca="false">IF(O41&lt;&gt;"Activo","",Y41-Z41)</f>
        <v/>
      </c>
      <c r="AB41" s="63" t="str">
        <f aca="false">IF(O41&lt;&gt;"Activo","",ROUND(MAX(0,IF(AA41&lt;=0,0,WORKDAY(FECHA_CORTE,INT(AA41),FERIADOS)-FECHA_CORTE+(AA41-INT(AA41))))*(Q41+N(K41))/30,0))</f>
        <v/>
      </c>
      <c r="AC41" s="65" t="str">
        <f aca="false">IF(O41&lt;&gt;"Activo","",IF(DATEDIF(F41,FECHA_CORTE+1,"y")&lt;1,0,MIN(TOPE_ANIOS,DATEDIF(F41,FECHA_CORTE+1,"y")+IF(EDATE(F41,12*DATEDIF(F41,FECHA_CORTE+1,"y")+6)&lt;FECHA_CORTE+1,1,0))))</f>
        <v/>
      </c>
      <c r="AD41" s="69" t="str">
        <f aca="false">IF(O41&lt;&gt;"Activo","",AB41+IF(R41="Obra o faena",0,ROUND(AL41*AC41,0)+ROUND(AL41,0)))</f>
        <v/>
      </c>
      <c r="AE41" s="69" t="str">
        <f aca="false">IF(O41&lt;&gt;"Activo","",AB41)</f>
        <v/>
      </c>
      <c r="AF41" s="69" t="str">
        <f aca="false">IF(AN41="","",IF(ISNUMBER(AJ41),"",ROUND(MAX(0,IF(AN41&lt;=0,0,WORKDAY(U41,INT(AN41),FERIADOS)-U41+(AN41-INT(AN41))))*(Q41+N(K41))/30,0)+IF(R41="Obra o faena",ROUND(OBRA_DIAS*AL41/30*(DATEDIF(F41,U41+1,"m")+IF(U41+1-EDATE(F41,DATEDIF(F41,U41+1,"m"))&gt;15,1,0)),0),0)))</f>
        <v/>
      </c>
      <c r="AG41" s="62" t="str">
        <f aca="false">IF(B41="","",IFERROR(VALUE(LEFT(UPPER(SUBSTITUTE(SUBSTITUTE(SUBSTITUTE(TRIM(B41),".",""),"-","")," ","")),LEN(UPPER(SUBSTITUTE(SUBSTITUTE(SUBSTITUTE(TRIM(B41),".",""),"-","")," ","")))-1))&amp;RIGHT(UPPER(SUBSTITUTE(SUBSTITUTE(SUBSTITUTE(TRIM(B41),".",""),"-","")," ","")),1),UPPER(SUBSTITUTE(SUBSTITUTE(SUBSTITUTE(TRIM(B41),".",""),"-","")," ",""))))</f>
        <v/>
      </c>
      <c r="AH41" s="62" t="str">
        <f aca="false">IF(B41="","",COUNTIFS(C_RUTN,AG41,C_DEF,"Sí",C_INI,"&lt;="&amp;FECHA_CORTE))</f>
        <v/>
      </c>
      <c r="AI41" s="62" t="str">
        <f aca="false">IF(B41="","",COUNTIFS(C_RUTN,AG41,C_DEF,"Sí"))</f>
        <v/>
      </c>
      <c r="AJ41" s="66" t="str">
        <f aca="false">IF(OR(B41="",N(AI41)&lt;=N(AH41)),"",IFERROR(INDEX(C_INI,MATCH(AG41&amp;"-P"&amp;(AH41+1),C_CLAVE,0)),""))</f>
        <v/>
      </c>
      <c r="AK41" s="63" t="str">
        <f aca="false">IF(O41&lt;&gt;"Activo","",Q41+N(K41)+IF(L41="Sí",MIN(GRAT_PCT*(Q41+N(K41)),GRAT_TOPE),0)+N(I41)+N(J41))</f>
        <v/>
      </c>
      <c r="AL41" s="63" t="str">
        <f aca="false">IF(O41&lt;&gt;"Activo","",MIN(AK41,TOPE_IAS_UF*UF_MES))</f>
        <v/>
      </c>
      <c r="AM41" s="62" t="str">
        <f aca="false">IF(AND(O41="Activo",ISNUMBER(V41),W41&lt;&gt;"Renovación registrada"),V41+ROW()/100000,"")</f>
        <v/>
      </c>
      <c r="AN41" s="70" t="str">
        <f aca="false">IF(OR(O41&lt;&gt;"Activo",NOT(ISNUMBER(U41))),"",IF(U41&lt;FECHA_CORTE,"",1.25*(DATEDIF(F41,U41+1,"m")+(U41+1-EDATE(F41,DATEDIF(F41,U41+1,"m")))/30)-Z41))</f>
        <v/>
      </c>
      <c r="AO41" s="66" t="str">
        <f aca="false">IF(OR(B41="",NOT(ISNUMBER(F41))),"",IF(N(G41)&gt;0,MIN(G41,FECHA_CORTE),FECHA_CORTE))</f>
        <v/>
      </c>
    </row>
    <row r="42" customFormat="false" ht="15" hidden="false" customHeight="false" outlineLevel="0" collapsed="false">
      <c r="B42" s="58"/>
      <c r="C42" s="58"/>
      <c r="D42" s="58"/>
      <c r="E42" s="58"/>
      <c r="F42" s="59"/>
      <c r="G42" s="59"/>
      <c r="H42" s="58"/>
      <c r="I42" s="60"/>
      <c r="J42" s="60"/>
      <c r="K42" s="60"/>
      <c r="L42" s="58"/>
      <c r="M42" s="61"/>
      <c r="N42" s="58"/>
      <c r="O42" s="62" t="str">
        <f aca="false">IF(B42="","",IF(NOT(ISNUMBER(F42)),"⚠ Falta ingreso",IF(F42&gt;FECHA_CORTE,"Por ingresar",IF(G42="","Activo",IF(G42&lt;FECHA_CORTE,"Desvinculado","Activo")))))</f>
        <v/>
      </c>
      <c r="P42" s="62" t="str">
        <f aca="false">IF(OR(B42="",NOT(ISNUMBER(F42))),"",IF(F42&gt;FECHA_CORTE,"",DATEDIF(F42,IF(G42="",FECHA_CORTE,MIN(G42,FECHA_CORTE))+1,"y")&amp;" a "&amp;DATEDIF(F42,IF(G42="",FECHA_CORTE,MIN(G42,FECHA_CORTE))+1,"ym")&amp;" m"))</f>
        <v/>
      </c>
      <c r="Q42" s="63" t="str">
        <f aca="false">IF(B42="","",IFERROR(INDEX(C_SUELDO,MATCH(AG42&amp;"-S"&amp;MAX(1,COUNTIFS(C_RUTN,AG42,C_SUELDO,"&lt;&gt;",C_INI,"&lt;="&amp;FECHA_CORTE)),C_CLAVES,0)),0))</f>
        <v/>
      </c>
      <c r="R42" s="62" t="str">
        <f aca="false">IF(B42="","",IF(N(AI42)=0,"Sin contrato",IFERROR(INDEX(C_TIPO,MATCH(AG42&amp;"-P"&amp;MAX(1,AH42),C_CLAVE,0))&amp;"","")))</f>
        <v/>
      </c>
      <c r="S42" s="64" t="str">
        <f aca="false">IF(R42="Plazo fijo",IFERROR(INDEX(C_NPF,MATCH(AG42&amp;"-P"&amp;MAX(1,AH42),C_CLAVE,0)),""),"")</f>
        <v/>
      </c>
      <c r="T42" s="65" t="str">
        <f aca="false">IF(B42="","",COUNTIFS(C_RUTN,AG42,C_TIPODOC,"Anexo de modificación"))</f>
        <v/>
      </c>
      <c r="U42" s="66" t="str">
        <f aca="false">IF(AND(OR(R42="Plazo fijo",R42="Obra o faena"),O42&lt;&gt;"Desvinculado"),IFERROR(IF(N(INDEX(C_TER,MATCH(AG42&amp;"-P"&amp;MAX(1,AH42),C_CLAVE,0)))=0,"",INDEX(C_TER,MATCH(AG42&amp;"-P"&amp;MAX(1,AH42),C_CLAVE,0))),""),"")</f>
        <v/>
      </c>
      <c r="V42" s="67" t="str">
        <f aca="false">IF(ISNUMBER(U42),U42-FECHA_CORTE,"")</f>
        <v/>
      </c>
      <c r="W42" s="62" t="str">
        <f aca="false">IF(B42="","",IF(O42="Desvinculado","Terminado",IF(N(AI42)=0,"Sin contrato registrado",IF(O42="Por ingresar","Por ingresar",IF(ISNUMBER(AJ42),"Renovación registrada",IF(R42="Indefinido","Indefinido",IF(NOT(ISNUMBER(V42)),"Falta fecha de término",IF(V42&lt;0,"VENCIDO",IF(V42&lt;=ALERTA_ROJA,"Vence en ≤ "&amp;ALERTA_ROJA&amp;" días",IF(V42&lt;=ALERTA_NARANJA,"Vence en ≤ "&amp;ALERTA_NARANJA&amp;" días",IF(V42&lt;=ALERTA_AMARILLA,"Vence en ≤ "&amp;ALERTA_AMARILLA&amp;" días","Vigente")))))))))))</f>
        <v/>
      </c>
      <c r="X42" s="62" t="str">
        <f aca="false">IF(B42="","",IF(W42="Terminado","—",IF(W42="Sin contrato registrado","Registrar su contrato en la hoja Contratos",IF(W42="Por ingresar","Tener el contrato firmado antes del ingreso",IF(W42="Renovación registrada","Siguiente contrato ya registrado: verificar que esté firmado",IF(R42="Indefinido","Sin vencimiento. Cambios de sueldo o cargo: anexo de modificación",IF(W42="Falta fecha de término","Completar la fecha de término en Contratos",IF(W42="VENCIDO","Sigue trabajando con plazo vencido: por ley ya es INDEFINIDO. Firmar anexo de paso a indefinido",IF(R42="Obra o faena","Al terminar la obra: finiquito + 2,5 días de sueldo por mes trabajado",IF(N(S42)&gt;=2,"2° contrato a plazo: NO se puede renovar otra vez a plazo fijo. Pasar a indefinido o terminar al vencer","1er contrato a plazo: renovar (2° contrato), pasar a indefinido o terminar al vencer"))))))))))</f>
        <v/>
      </c>
      <c r="Y42" s="68" t="str">
        <f aca="false">IF(O42&lt;&gt;"Activo","",ROUND(1.25*(DATEDIF(F42,AO42+1,"m")+(AO42+1-EDATE(F42,DATEDIF(F42,AO42+1,"m")))/30),2))</f>
        <v/>
      </c>
      <c r="Z42" s="68" t="str">
        <f aca="false">IF(O42&lt;&gt;"Activo","",N(M42)+SUMIFS(M_VAC,M_RUTN,AG42,M_MES,"&lt;="&amp;FECHA_CORTE))</f>
        <v/>
      </c>
      <c r="AA42" s="68" t="str">
        <f aca="false">IF(O42&lt;&gt;"Activo","",Y42-Z42)</f>
        <v/>
      </c>
      <c r="AB42" s="63" t="str">
        <f aca="false">IF(O42&lt;&gt;"Activo","",ROUND(MAX(0,IF(AA42&lt;=0,0,WORKDAY(FECHA_CORTE,INT(AA42),FERIADOS)-FECHA_CORTE+(AA42-INT(AA42))))*(Q42+N(K42))/30,0))</f>
        <v/>
      </c>
      <c r="AC42" s="65" t="str">
        <f aca="false">IF(O42&lt;&gt;"Activo","",IF(DATEDIF(F42,FECHA_CORTE+1,"y")&lt;1,0,MIN(TOPE_ANIOS,DATEDIF(F42,FECHA_CORTE+1,"y")+IF(EDATE(F42,12*DATEDIF(F42,FECHA_CORTE+1,"y")+6)&lt;FECHA_CORTE+1,1,0))))</f>
        <v/>
      </c>
      <c r="AD42" s="69" t="str">
        <f aca="false">IF(O42&lt;&gt;"Activo","",AB42+IF(R42="Obra o faena",0,ROUND(AL42*AC42,0)+ROUND(AL42,0)))</f>
        <v/>
      </c>
      <c r="AE42" s="69" t="str">
        <f aca="false">IF(O42&lt;&gt;"Activo","",AB42)</f>
        <v/>
      </c>
      <c r="AF42" s="69" t="str">
        <f aca="false">IF(AN42="","",IF(ISNUMBER(AJ42),"",ROUND(MAX(0,IF(AN42&lt;=0,0,WORKDAY(U42,INT(AN42),FERIADOS)-U42+(AN42-INT(AN42))))*(Q42+N(K42))/30,0)+IF(R42="Obra o faena",ROUND(OBRA_DIAS*AL42/30*(DATEDIF(F42,U42+1,"m")+IF(U42+1-EDATE(F42,DATEDIF(F42,U42+1,"m"))&gt;15,1,0)),0),0)))</f>
        <v/>
      </c>
      <c r="AG42" s="62" t="str">
        <f aca="false">IF(B42="","",IFERROR(VALUE(LEFT(UPPER(SUBSTITUTE(SUBSTITUTE(SUBSTITUTE(TRIM(B42),".",""),"-","")," ","")),LEN(UPPER(SUBSTITUTE(SUBSTITUTE(SUBSTITUTE(TRIM(B42),".",""),"-","")," ","")))-1))&amp;RIGHT(UPPER(SUBSTITUTE(SUBSTITUTE(SUBSTITUTE(TRIM(B42),".",""),"-","")," ","")),1),UPPER(SUBSTITUTE(SUBSTITUTE(SUBSTITUTE(TRIM(B42),".",""),"-","")," ",""))))</f>
        <v/>
      </c>
      <c r="AH42" s="62" t="str">
        <f aca="false">IF(B42="","",COUNTIFS(C_RUTN,AG42,C_DEF,"Sí",C_INI,"&lt;="&amp;FECHA_CORTE))</f>
        <v/>
      </c>
      <c r="AI42" s="62" t="str">
        <f aca="false">IF(B42="","",COUNTIFS(C_RUTN,AG42,C_DEF,"Sí"))</f>
        <v/>
      </c>
      <c r="AJ42" s="66" t="str">
        <f aca="false">IF(OR(B42="",N(AI42)&lt;=N(AH42)),"",IFERROR(INDEX(C_INI,MATCH(AG42&amp;"-P"&amp;(AH42+1),C_CLAVE,0)),""))</f>
        <v/>
      </c>
      <c r="AK42" s="63" t="str">
        <f aca="false">IF(O42&lt;&gt;"Activo","",Q42+N(K42)+IF(L42="Sí",MIN(GRAT_PCT*(Q42+N(K42)),GRAT_TOPE),0)+N(I42)+N(J42))</f>
        <v/>
      </c>
      <c r="AL42" s="63" t="str">
        <f aca="false">IF(O42&lt;&gt;"Activo","",MIN(AK42,TOPE_IAS_UF*UF_MES))</f>
        <v/>
      </c>
      <c r="AM42" s="62" t="str">
        <f aca="false">IF(AND(O42="Activo",ISNUMBER(V42),W42&lt;&gt;"Renovación registrada"),V42+ROW()/100000,"")</f>
        <v/>
      </c>
      <c r="AN42" s="70" t="str">
        <f aca="false">IF(OR(O42&lt;&gt;"Activo",NOT(ISNUMBER(U42))),"",IF(U42&lt;FECHA_CORTE,"",1.25*(DATEDIF(F42,U42+1,"m")+(U42+1-EDATE(F42,DATEDIF(F42,U42+1,"m")))/30)-Z42))</f>
        <v/>
      </c>
      <c r="AO42" s="66" t="str">
        <f aca="false">IF(OR(B42="",NOT(ISNUMBER(F42))),"",IF(N(G42)&gt;0,MIN(G42,FECHA_CORTE),FECHA_CORTE))</f>
        <v/>
      </c>
    </row>
    <row r="43" customFormat="false" ht="15" hidden="false" customHeight="false" outlineLevel="0" collapsed="false">
      <c r="B43" s="58"/>
      <c r="C43" s="58"/>
      <c r="D43" s="58"/>
      <c r="E43" s="58"/>
      <c r="F43" s="59"/>
      <c r="G43" s="59"/>
      <c r="H43" s="58"/>
      <c r="I43" s="60"/>
      <c r="J43" s="60"/>
      <c r="K43" s="60"/>
      <c r="L43" s="58"/>
      <c r="M43" s="61"/>
      <c r="N43" s="58"/>
      <c r="O43" s="62" t="str">
        <f aca="false">IF(B43="","",IF(NOT(ISNUMBER(F43)),"⚠ Falta ingreso",IF(F43&gt;FECHA_CORTE,"Por ingresar",IF(G43="","Activo",IF(G43&lt;FECHA_CORTE,"Desvinculado","Activo")))))</f>
        <v/>
      </c>
      <c r="P43" s="62" t="str">
        <f aca="false">IF(OR(B43="",NOT(ISNUMBER(F43))),"",IF(F43&gt;FECHA_CORTE,"",DATEDIF(F43,IF(G43="",FECHA_CORTE,MIN(G43,FECHA_CORTE))+1,"y")&amp;" a "&amp;DATEDIF(F43,IF(G43="",FECHA_CORTE,MIN(G43,FECHA_CORTE))+1,"ym")&amp;" m"))</f>
        <v/>
      </c>
      <c r="Q43" s="63" t="str">
        <f aca="false">IF(B43="","",IFERROR(INDEX(C_SUELDO,MATCH(AG43&amp;"-S"&amp;MAX(1,COUNTIFS(C_RUTN,AG43,C_SUELDO,"&lt;&gt;",C_INI,"&lt;="&amp;FECHA_CORTE)),C_CLAVES,0)),0))</f>
        <v/>
      </c>
      <c r="R43" s="62" t="str">
        <f aca="false">IF(B43="","",IF(N(AI43)=0,"Sin contrato",IFERROR(INDEX(C_TIPO,MATCH(AG43&amp;"-P"&amp;MAX(1,AH43),C_CLAVE,0))&amp;"","")))</f>
        <v/>
      </c>
      <c r="S43" s="64" t="str">
        <f aca="false">IF(R43="Plazo fijo",IFERROR(INDEX(C_NPF,MATCH(AG43&amp;"-P"&amp;MAX(1,AH43),C_CLAVE,0)),""),"")</f>
        <v/>
      </c>
      <c r="T43" s="65" t="str">
        <f aca="false">IF(B43="","",COUNTIFS(C_RUTN,AG43,C_TIPODOC,"Anexo de modificación"))</f>
        <v/>
      </c>
      <c r="U43" s="66" t="str">
        <f aca="false">IF(AND(OR(R43="Plazo fijo",R43="Obra o faena"),O43&lt;&gt;"Desvinculado"),IFERROR(IF(N(INDEX(C_TER,MATCH(AG43&amp;"-P"&amp;MAX(1,AH43),C_CLAVE,0)))=0,"",INDEX(C_TER,MATCH(AG43&amp;"-P"&amp;MAX(1,AH43),C_CLAVE,0))),""),"")</f>
        <v/>
      </c>
      <c r="V43" s="67" t="str">
        <f aca="false">IF(ISNUMBER(U43),U43-FECHA_CORTE,"")</f>
        <v/>
      </c>
      <c r="W43" s="62" t="str">
        <f aca="false">IF(B43="","",IF(O43="Desvinculado","Terminado",IF(N(AI43)=0,"Sin contrato registrado",IF(O43="Por ingresar","Por ingresar",IF(ISNUMBER(AJ43),"Renovación registrada",IF(R43="Indefinido","Indefinido",IF(NOT(ISNUMBER(V43)),"Falta fecha de término",IF(V43&lt;0,"VENCIDO",IF(V43&lt;=ALERTA_ROJA,"Vence en ≤ "&amp;ALERTA_ROJA&amp;" días",IF(V43&lt;=ALERTA_NARANJA,"Vence en ≤ "&amp;ALERTA_NARANJA&amp;" días",IF(V43&lt;=ALERTA_AMARILLA,"Vence en ≤ "&amp;ALERTA_AMARILLA&amp;" días","Vigente")))))))))))</f>
        <v/>
      </c>
      <c r="X43" s="62" t="str">
        <f aca="false">IF(B43="","",IF(W43="Terminado","—",IF(W43="Sin contrato registrado","Registrar su contrato en la hoja Contratos",IF(W43="Por ingresar","Tener el contrato firmado antes del ingreso",IF(W43="Renovación registrada","Siguiente contrato ya registrado: verificar que esté firmado",IF(R43="Indefinido","Sin vencimiento. Cambios de sueldo o cargo: anexo de modificación",IF(W43="Falta fecha de término","Completar la fecha de término en Contratos",IF(W43="VENCIDO","Sigue trabajando con plazo vencido: por ley ya es INDEFINIDO. Firmar anexo de paso a indefinido",IF(R43="Obra o faena","Al terminar la obra: finiquito + 2,5 días de sueldo por mes trabajado",IF(N(S43)&gt;=2,"2° contrato a plazo: NO se puede renovar otra vez a plazo fijo. Pasar a indefinido o terminar al vencer","1er contrato a plazo: renovar (2° contrato), pasar a indefinido o terminar al vencer"))))))))))</f>
        <v/>
      </c>
      <c r="Y43" s="68" t="str">
        <f aca="false">IF(O43&lt;&gt;"Activo","",ROUND(1.25*(DATEDIF(F43,AO43+1,"m")+(AO43+1-EDATE(F43,DATEDIF(F43,AO43+1,"m")))/30),2))</f>
        <v/>
      </c>
      <c r="Z43" s="68" t="str">
        <f aca="false">IF(O43&lt;&gt;"Activo","",N(M43)+SUMIFS(M_VAC,M_RUTN,AG43,M_MES,"&lt;="&amp;FECHA_CORTE))</f>
        <v/>
      </c>
      <c r="AA43" s="68" t="str">
        <f aca="false">IF(O43&lt;&gt;"Activo","",Y43-Z43)</f>
        <v/>
      </c>
      <c r="AB43" s="63" t="str">
        <f aca="false">IF(O43&lt;&gt;"Activo","",ROUND(MAX(0,IF(AA43&lt;=0,0,WORKDAY(FECHA_CORTE,INT(AA43),FERIADOS)-FECHA_CORTE+(AA43-INT(AA43))))*(Q43+N(K43))/30,0))</f>
        <v/>
      </c>
      <c r="AC43" s="65" t="str">
        <f aca="false">IF(O43&lt;&gt;"Activo","",IF(DATEDIF(F43,FECHA_CORTE+1,"y")&lt;1,0,MIN(TOPE_ANIOS,DATEDIF(F43,FECHA_CORTE+1,"y")+IF(EDATE(F43,12*DATEDIF(F43,FECHA_CORTE+1,"y")+6)&lt;FECHA_CORTE+1,1,0))))</f>
        <v/>
      </c>
      <c r="AD43" s="69" t="str">
        <f aca="false">IF(O43&lt;&gt;"Activo","",AB43+IF(R43="Obra o faena",0,ROUND(AL43*AC43,0)+ROUND(AL43,0)))</f>
        <v/>
      </c>
      <c r="AE43" s="69" t="str">
        <f aca="false">IF(O43&lt;&gt;"Activo","",AB43)</f>
        <v/>
      </c>
      <c r="AF43" s="69" t="str">
        <f aca="false">IF(AN43="","",IF(ISNUMBER(AJ43),"",ROUND(MAX(0,IF(AN43&lt;=0,0,WORKDAY(U43,INT(AN43),FERIADOS)-U43+(AN43-INT(AN43))))*(Q43+N(K43))/30,0)+IF(R43="Obra o faena",ROUND(OBRA_DIAS*AL43/30*(DATEDIF(F43,U43+1,"m")+IF(U43+1-EDATE(F43,DATEDIF(F43,U43+1,"m"))&gt;15,1,0)),0),0)))</f>
        <v/>
      </c>
      <c r="AG43" s="62" t="str">
        <f aca="false">IF(B43="","",IFERROR(VALUE(LEFT(UPPER(SUBSTITUTE(SUBSTITUTE(SUBSTITUTE(TRIM(B43),".",""),"-","")," ","")),LEN(UPPER(SUBSTITUTE(SUBSTITUTE(SUBSTITUTE(TRIM(B43),".",""),"-","")," ","")))-1))&amp;RIGHT(UPPER(SUBSTITUTE(SUBSTITUTE(SUBSTITUTE(TRIM(B43),".",""),"-","")," ","")),1),UPPER(SUBSTITUTE(SUBSTITUTE(SUBSTITUTE(TRIM(B43),".",""),"-","")," ",""))))</f>
        <v/>
      </c>
      <c r="AH43" s="62" t="str">
        <f aca="false">IF(B43="","",COUNTIFS(C_RUTN,AG43,C_DEF,"Sí",C_INI,"&lt;="&amp;FECHA_CORTE))</f>
        <v/>
      </c>
      <c r="AI43" s="62" t="str">
        <f aca="false">IF(B43="","",COUNTIFS(C_RUTN,AG43,C_DEF,"Sí"))</f>
        <v/>
      </c>
      <c r="AJ43" s="66" t="str">
        <f aca="false">IF(OR(B43="",N(AI43)&lt;=N(AH43)),"",IFERROR(INDEX(C_INI,MATCH(AG43&amp;"-P"&amp;(AH43+1),C_CLAVE,0)),""))</f>
        <v/>
      </c>
      <c r="AK43" s="63" t="str">
        <f aca="false">IF(O43&lt;&gt;"Activo","",Q43+N(K43)+IF(L43="Sí",MIN(GRAT_PCT*(Q43+N(K43)),GRAT_TOPE),0)+N(I43)+N(J43))</f>
        <v/>
      </c>
      <c r="AL43" s="63" t="str">
        <f aca="false">IF(O43&lt;&gt;"Activo","",MIN(AK43,TOPE_IAS_UF*UF_MES))</f>
        <v/>
      </c>
      <c r="AM43" s="62" t="str">
        <f aca="false">IF(AND(O43="Activo",ISNUMBER(V43),W43&lt;&gt;"Renovación registrada"),V43+ROW()/100000,"")</f>
        <v/>
      </c>
      <c r="AN43" s="70" t="str">
        <f aca="false">IF(OR(O43&lt;&gt;"Activo",NOT(ISNUMBER(U43))),"",IF(U43&lt;FECHA_CORTE,"",1.25*(DATEDIF(F43,U43+1,"m")+(U43+1-EDATE(F43,DATEDIF(F43,U43+1,"m")))/30)-Z43))</f>
        <v/>
      </c>
      <c r="AO43" s="66" t="str">
        <f aca="false">IF(OR(B43="",NOT(ISNUMBER(F43))),"",IF(N(G43)&gt;0,MIN(G43,FECHA_CORTE),FECHA_CORTE))</f>
        <v/>
      </c>
    </row>
    <row r="44" customFormat="false" ht="15" hidden="false" customHeight="false" outlineLevel="0" collapsed="false">
      <c r="B44" s="58"/>
      <c r="C44" s="58"/>
      <c r="D44" s="58"/>
      <c r="E44" s="58"/>
      <c r="F44" s="59"/>
      <c r="G44" s="59"/>
      <c r="H44" s="58"/>
      <c r="I44" s="60"/>
      <c r="J44" s="60"/>
      <c r="K44" s="60"/>
      <c r="L44" s="58"/>
      <c r="M44" s="61"/>
      <c r="N44" s="58"/>
      <c r="O44" s="62" t="str">
        <f aca="false">IF(B44="","",IF(NOT(ISNUMBER(F44)),"⚠ Falta ingreso",IF(F44&gt;FECHA_CORTE,"Por ingresar",IF(G44="","Activo",IF(G44&lt;FECHA_CORTE,"Desvinculado","Activo")))))</f>
        <v/>
      </c>
      <c r="P44" s="62" t="str">
        <f aca="false">IF(OR(B44="",NOT(ISNUMBER(F44))),"",IF(F44&gt;FECHA_CORTE,"",DATEDIF(F44,IF(G44="",FECHA_CORTE,MIN(G44,FECHA_CORTE))+1,"y")&amp;" a "&amp;DATEDIF(F44,IF(G44="",FECHA_CORTE,MIN(G44,FECHA_CORTE))+1,"ym")&amp;" m"))</f>
        <v/>
      </c>
      <c r="Q44" s="63" t="str">
        <f aca="false">IF(B44="","",IFERROR(INDEX(C_SUELDO,MATCH(AG44&amp;"-S"&amp;MAX(1,COUNTIFS(C_RUTN,AG44,C_SUELDO,"&lt;&gt;",C_INI,"&lt;="&amp;FECHA_CORTE)),C_CLAVES,0)),0))</f>
        <v/>
      </c>
      <c r="R44" s="62" t="str">
        <f aca="false">IF(B44="","",IF(N(AI44)=0,"Sin contrato",IFERROR(INDEX(C_TIPO,MATCH(AG44&amp;"-P"&amp;MAX(1,AH44),C_CLAVE,0))&amp;"","")))</f>
        <v/>
      </c>
      <c r="S44" s="64" t="str">
        <f aca="false">IF(R44="Plazo fijo",IFERROR(INDEX(C_NPF,MATCH(AG44&amp;"-P"&amp;MAX(1,AH44),C_CLAVE,0)),""),"")</f>
        <v/>
      </c>
      <c r="T44" s="65" t="str">
        <f aca="false">IF(B44="","",COUNTIFS(C_RUTN,AG44,C_TIPODOC,"Anexo de modificación"))</f>
        <v/>
      </c>
      <c r="U44" s="66" t="str">
        <f aca="false">IF(AND(OR(R44="Plazo fijo",R44="Obra o faena"),O44&lt;&gt;"Desvinculado"),IFERROR(IF(N(INDEX(C_TER,MATCH(AG44&amp;"-P"&amp;MAX(1,AH44),C_CLAVE,0)))=0,"",INDEX(C_TER,MATCH(AG44&amp;"-P"&amp;MAX(1,AH44),C_CLAVE,0))),""),"")</f>
        <v/>
      </c>
      <c r="V44" s="67" t="str">
        <f aca="false">IF(ISNUMBER(U44),U44-FECHA_CORTE,"")</f>
        <v/>
      </c>
      <c r="W44" s="62" t="str">
        <f aca="false">IF(B44="","",IF(O44="Desvinculado","Terminado",IF(N(AI44)=0,"Sin contrato registrado",IF(O44="Por ingresar","Por ingresar",IF(ISNUMBER(AJ44),"Renovación registrada",IF(R44="Indefinido","Indefinido",IF(NOT(ISNUMBER(V44)),"Falta fecha de término",IF(V44&lt;0,"VENCIDO",IF(V44&lt;=ALERTA_ROJA,"Vence en ≤ "&amp;ALERTA_ROJA&amp;" días",IF(V44&lt;=ALERTA_NARANJA,"Vence en ≤ "&amp;ALERTA_NARANJA&amp;" días",IF(V44&lt;=ALERTA_AMARILLA,"Vence en ≤ "&amp;ALERTA_AMARILLA&amp;" días","Vigente")))))))))))</f>
        <v/>
      </c>
      <c r="X44" s="62" t="str">
        <f aca="false">IF(B44="","",IF(W44="Terminado","—",IF(W44="Sin contrato registrado","Registrar su contrato en la hoja Contratos",IF(W44="Por ingresar","Tener el contrato firmado antes del ingreso",IF(W44="Renovación registrada","Siguiente contrato ya registrado: verificar que esté firmado",IF(R44="Indefinido","Sin vencimiento. Cambios de sueldo o cargo: anexo de modificación",IF(W44="Falta fecha de término","Completar la fecha de término en Contratos",IF(W44="VENCIDO","Sigue trabajando con plazo vencido: por ley ya es INDEFINIDO. Firmar anexo de paso a indefinido",IF(R44="Obra o faena","Al terminar la obra: finiquito + 2,5 días de sueldo por mes trabajado",IF(N(S44)&gt;=2,"2° contrato a plazo: NO se puede renovar otra vez a plazo fijo. Pasar a indefinido o terminar al vencer","1er contrato a plazo: renovar (2° contrato), pasar a indefinido o terminar al vencer"))))))))))</f>
        <v/>
      </c>
      <c r="Y44" s="68" t="str">
        <f aca="false">IF(O44&lt;&gt;"Activo","",ROUND(1.25*(DATEDIF(F44,AO44+1,"m")+(AO44+1-EDATE(F44,DATEDIF(F44,AO44+1,"m")))/30),2))</f>
        <v/>
      </c>
      <c r="Z44" s="68" t="str">
        <f aca="false">IF(O44&lt;&gt;"Activo","",N(M44)+SUMIFS(M_VAC,M_RUTN,AG44,M_MES,"&lt;="&amp;FECHA_CORTE))</f>
        <v/>
      </c>
      <c r="AA44" s="68" t="str">
        <f aca="false">IF(O44&lt;&gt;"Activo","",Y44-Z44)</f>
        <v/>
      </c>
      <c r="AB44" s="63" t="str">
        <f aca="false">IF(O44&lt;&gt;"Activo","",ROUND(MAX(0,IF(AA44&lt;=0,0,WORKDAY(FECHA_CORTE,INT(AA44),FERIADOS)-FECHA_CORTE+(AA44-INT(AA44))))*(Q44+N(K44))/30,0))</f>
        <v/>
      </c>
      <c r="AC44" s="65" t="str">
        <f aca="false">IF(O44&lt;&gt;"Activo","",IF(DATEDIF(F44,FECHA_CORTE+1,"y")&lt;1,0,MIN(TOPE_ANIOS,DATEDIF(F44,FECHA_CORTE+1,"y")+IF(EDATE(F44,12*DATEDIF(F44,FECHA_CORTE+1,"y")+6)&lt;FECHA_CORTE+1,1,0))))</f>
        <v/>
      </c>
      <c r="AD44" s="69" t="str">
        <f aca="false">IF(O44&lt;&gt;"Activo","",AB44+IF(R44="Obra o faena",0,ROUND(AL44*AC44,0)+ROUND(AL44,0)))</f>
        <v/>
      </c>
      <c r="AE44" s="69" t="str">
        <f aca="false">IF(O44&lt;&gt;"Activo","",AB44)</f>
        <v/>
      </c>
      <c r="AF44" s="69" t="str">
        <f aca="false">IF(AN44="","",IF(ISNUMBER(AJ44),"",ROUND(MAX(0,IF(AN44&lt;=0,0,WORKDAY(U44,INT(AN44),FERIADOS)-U44+(AN44-INT(AN44))))*(Q44+N(K44))/30,0)+IF(R44="Obra o faena",ROUND(OBRA_DIAS*AL44/30*(DATEDIF(F44,U44+1,"m")+IF(U44+1-EDATE(F44,DATEDIF(F44,U44+1,"m"))&gt;15,1,0)),0),0)))</f>
        <v/>
      </c>
      <c r="AG44" s="62" t="str">
        <f aca="false">IF(B44="","",IFERROR(VALUE(LEFT(UPPER(SUBSTITUTE(SUBSTITUTE(SUBSTITUTE(TRIM(B44),".",""),"-","")," ","")),LEN(UPPER(SUBSTITUTE(SUBSTITUTE(SUBSTITUTE(TRIM(B44),".",""),"-","")," ","")))-1))&amp;RIGHT(UPPER(SUBSTITUTE(SUBSTITUTE(SUBSTITUTE(TRIM(B44),".",""),"-","")," ","")),1),UPPER(SUBSTITUTE(SUBSTITUTE(SUBSTITUTE(TRIM(B44),".",""),"-","")," ",""))))</f>
        <v/>
      </c>
      <c r="AH44" s="62" t="str">
        <f aca="false">IF(B44="","",COUNTIFS(C_RUTN,AG44,C_DEF,"Sí",C_INI,"&lt;="&amp;FECHA_CORTE))</f>
        <v/>
      </c>
      <c r="AI44" s="62" t="str">
        <f aca="false">IF(B44="","",COUNTIFS(C_RUTN,AG44,C_DEF,"Sí"))</f>
        <v/>
      </c>
      <c r="AJ44" s="66" t="str">
        <f aca="false">IF(OR(B44="",N(AI44)&lt;=N(AH44)),"",IFERROR(INDEX(C_INI,MATCH(AG44&amp;"-P"&amp;(AH44+1),C_CLAVE,0)),""))</f>
        <v/>
      </c>
      <c r="AK44" s="63" t="str">
        <f aca="false">IF(O44&lt;&gt;"Activo","",Q44+N(K44)+IF(L44="Sí",MIN(GRAT_PCT*(Q44+N(K44)),GRAT_TOPE),0)+N(I44)+N(J44))</f>
        <v/>
      </c>
      <c r="AL44" s="63" t="str">
        <f aca="false">IF(O44&lt;&gt;"Activo","",MIN(AK44,TOPE_IAS_UF*UF_MES))</f>
        <v/>
      </c>
      <c r="AM44" s="62" t="str">
        <f aca="false">IF(AND(O44="Activo",ISNUMBER(V44),W44&lt;&gt;"Renovación registrada"),V44+ROW()/100000,"")</f>
        <v/>
      </c>
      <c r="AN44" s="70" t="str">
        <f aca="false">IF(OR(O44&lt;&gt;"Activo",NOT(ISNUMBER(U44))),"",IF(U44&lt;FECHA_CORTE,"",1.25*(DATEDIF(F44,U44+1,"m")+(U44+1-EDATE(F44,DATEDIF(F44,U44+1,"m")))/30)-Z44))</f>
        <v/>
      </c>
      <c r="AO44" s="66" t="str">
        <f aca="false">IF(OR(B44="",NOT(ISNUMBER(F44))),"",IF(N(G44)&gt;0,MIN(G44,FECHA_CORTE),FECHA_CORTE))</f>
        <v/>
      </c>
    </row>
    <row r="45" customFormat="false" ht="15" hidden="false" customHeight="false" outlineLevel="0" collapsed="false">
      <c r="B45" s="58"/>
      <c r="C45" s="58"/>
      <c r="D45" s="58"/>
      <c r="E45" s="58"/>
      <c r="F45" s="59"/>
      <c r="G45" s="59"/>
      <c r="H45" s="58"/>
      <c r="I45" s="60"/>
      <c r="J45" s="60"/>
      <c r="K45" s="60"/>
      <c r="L45" s="58"/>
      <c r="M45" s="61"/>
      <c r="N45" s="58"/>
      <c r="O45" s="62" t="str">
        <f aca="false">IF(B45="","",IF(NOT(ISNUMBER(F45)),"⚠ Falta ingreso",IF(F45&gt;FECHA_CORTE,"Por ingresar",IF(G45="","Activo",IF(G45&lt;FECHA_CORTE,"Desvinculado","Activo")))))</f>
        <v/>
      </c>
      <c r="P45" s="62" t="str">
        <f aca="false">IF(OR(B45="",NOT(ISNUMBER(F45))),"",IF(F45&gt;FECHA_CORTE,"",DATEDIF(F45,IF(G45="",FECHA_CORTE,MIN(G45,FECHA_CORTE))+1,"y")&amp;" a "&amp;DATEDIF(F45,IF(G45="",FECHA_CORTE,MIN(G45,FECHA_CORTE))+1,"ym")&amp;" m"))</f>
        <v/>
      </c>
      <c r="Q45" s="63" t="str">
        <f aca="false">IF(B45="","",IFERROR(INDEX(C_SUELDO,MATCH(AG45&amp;"-S"&amp;MAX(1,COUNTIFS(C_RUTN,AG45,C_SUELDO,"&lt;&gt;",C_INI,"&lt;="&amp;FECHA_CORTE)),C_CLAVES,0)),0))</f>
        <v/>
      </c>
      <c r="R45" s="62" t="str">
        <f aca="false">IF(B45="","",IF(N(AI45)=0,"Sin contrato",IFERROR(INDEX(C_TIPO,MATCH(AG45&amp;"-P"&amp;MAX(1,AH45),C_CLAVE,0))&amp;"","")))</f>
        <v/>
      </c>
      <c r="S45" s="64" t="str">
        <f aca="false">IF(R45="Plazo fijo",IFERROR(INDEX(C_NPF,MATCH(AG45&amp;"-P"&amp;MAX(1,AH45),C_CLAVE,0)),""),"")</f>
        <v/>
      </c>
      <c r="T45" s="65" t="str">
        <f aca="false">IF(B45="","",COUNTIFS(C_RUTN,AG45,C_TIPODOC,"Anexo de modificación"))</f>
        <v/>
      </c>
      <c r="U45" s="66" t="str">
        <f aca="false">IF(AND(OR(R45="Plazo fijo",R45="Obra o faena"),O45&lt;&gt;"Desvinculado"),IFERROR(IF(N(INDEX(C_TER,MATCH(AG45&amp;"-P"&amp;MAX(1,AH45),C_CLAVE,0)))=0,"",INDEX(C_TER,MATCH(AG45&amp;"-P"&amp;MAX(1,AH45),C_CLAVE,0))),""),"")</f>
        <v/>
      </c>
      <c r="V45" s="67" t="str">
        <f aca="false">IF(ISNUMBER(U45),U45-FECHA_CORTE,"")</f>
        <v/>
      </c>
      <c r="W45" s="62" t="str">
        <f aca="false">IF(B45="","",IF(O45="Desvinculado","Terminado",IF(N(AI45)=0,"Sin contrato registrado",IF(O45="Por ingresar","Por ingresar",IF(ISNUMBER(AJ45),"Renovación registrada",IF(R45="Indefinido","Indefinido",IF(NOT(ISNUMBER(V45)),"Falta fecha de término",IF(V45&lt;0,"VENCIDO",IF(V45&lt;=ALERTA_ROJA,"Vence en ≤ "&amp;ALERTA_ROJA&amp;" días",IF(V45&lt;=ALERTA_NARANJA,"Vence en ≤ "&amp;ALERTA_NARANJA&amp;" días",IF(V45&lt;=ALERTA_AMARILLA,"Vence en ≤ "&amp;ALERTA_AMARILLA&amp;" días","Vigente")))))))))))</f>
        <v/>
      </c>
      <c r="X45" s="62" t="str">
        <f aca="false">IF(B45="","",IF(W45="Terminado","—",IF(W45="Sin contrato registrado","Registrar su contrato en la hoja Contratos",IF(W45="Por ingresar","Tener el contrato firmado antes del ingreso",IF(W45="Renovación registrada","Siguiente contrato ya registrado: verificar que esté firmado",IF(R45="Indefinido","Sin vencimiento. Cambios de sueldo o cargo: anexo de modificación",IF(W45="Falta fecha de término","Completar la fecha de término en Contratos",IF(W45="VENCIDO","Sigue trabajando con plazo vencido: por ley ya es INDEFINIDO. Firmar anexo de paso a indefinido",IF(R45="Obra o faena","Al terminar la obra: finiquito + 2,5 días de sueldo por mes trabajado",IF(N(S45)&gt;=2,"2° contrato a plazo: NO se puede renovar otra vez a plazo fijo. Pasar a indefinido o terminar al vencer","1er contrato a plazo: renovar (2° contrato), pasar a indefinido o terminar al vencer"))))))))))</f>
        <v/>
      </c>
      <c r="Y45" s="68" t="str">
        <f aca="false">IF(O45&lt;&gt;"Activo","",ROUND(1.25*(DATEDIF(F45,AO45+1,"m")+(AO45+1-EDATE(F45,DATEDIF(F45,AO45+1,"m")))/30),2))</f>
        <v/>
      </c>
      <c r="Z45" s="68" t="str">
        <f aca="false">IF(O45&lt;&gt;"Activo","",N(M45)+SUMIFS(M_VAC,M_RUTN,AG45,M_MES,"&lt;="&amp;FECHA_CORTE))</f>
        <v/>
      </c>
      <c r="AA45" s="68" t="str">
        <f aca="false">IF(O45&lt;&gt;"Activo","",Y45-Z45)</f>
        <v/>
      </c>
      <c r="AB45" s="63" t="str">
        <f aca="false">IF(O45&lt;&gt;"Activo","",ROUND(MAX(0,IF(AA45&lt;=0,0,WORKDAY(FECHA_CORTE,INT(AA45),FERIADOS)-FECHA_CORTE+(AA45-INT(AA45))))*(Q45+N(K45))/30,0))</f>
        <v/>
      </c>
      <c r="AC45" s="65" t="str">
        <f aca="false">IF(O45&lt;&gt;"Activo","",IF(DATEDIF(F45,FECHA_CORTE+1,"y")&lt;1,0,MIN(TOPE_ANIOS,DATEDIF(F45,FECHA_CORTE+1,"y")+IF(EDATE(F45,12*DATEDIF(F45,FECHA_CORTE+1,"y")+6)&lt;FECHA_CORTE+1,1,0))))</f>
        <v/>
      </c>
      <c r="AD45" s="69" t="str">
        <f aca="false">IF(O45&lt;&gt;"Activo","",AB45+IF(R45="Obra o faena",0,ROUND(AL45*AC45,0)+ROUND(AL45,0)))</f>
        <v/>
      </c>
      <c r="AE45" s="69" t="str">
        <f aca="false">IF(O45&lt;&gt;"Activo","",AB45)</f>
        <v/>
      </c>
      <c r="AF45" s="69" t="str">
        <f aca="false">IF(AN45="","",IF(ISNUMBER(AJ45),"",ROUND(MAX(0,IF(AN45&lt;=0,0,WORKDAY(U45,INT(AN45),FERIADOS)-U45+(AN45-INT(AN45))))*(Q45+N(K45))/30,0)+IF(R45="Obra o faena",ROUND(OBRA_DIAS*AL45/30*(DATEDIF(F45,U45+1,"m")+IF(U45+1-EDATE(F45,DATEDIF(F45,U45+1,"m"))&gt;15,1,0)),0),0)))</f>
        <v/>
      </c>
      <c r="AG45" s="62" t="str">
        <f aca="false">IF(B45="","",IFERROR(VALUE(LEFT(UPPER(SUBSTITUTE(SUBSTITUTE(SUBSTITUTE(TRIM(B45),".",""),"-","")," ","")),LEN(UPPER(SUBSTITUTE(SUBSTITUTE(SUBSTITUTE(TRIM(B45),".",""),"-","")," ","")))-1))&amp;RIGHT(UPPER(SUBSTITUTE(SUBSTITUTE(SUBSTITUTE(TRIM(B45),".",""),"-","")," ","")),1),UPPER(SUBSTITUTE(SUBSTITUTE(SUBSTITUTE(TRIM(B45),".",""),"-","")," ",""))))</f>
        <v/>
      </c>
      <c r="AH45" s="62" t="str">
        <f aca="false">IF(B45="","",COUNTIFS(C_RUTN,AG45,C_DEF,"Sí",C_INI,"&lt;="&amp;FECHA_CORTE))</f>
        <v/>
      </c>
      <c r="AI45" s="62" t="str">
        <f aca="false">IF(B45="","",COUNTIFS(C_RUTN,AG45,C_DEF,"Sí"))</f>
        <v/>
      </c>
      <c r="AJ45" s="66" t="str">
        <f aca="false">IF(OR(B45="",N(AI45)&lt;=N(AH45)),"",IFERROR(INDEX(C_INI,MATCH(AG45&amp;"-P"&amp;(AH45+1),C_CLAVE,0)),""))</f>
        <v/>
      </c>
      <c r="AK45" s="63" t="str">
        <f aca="false">IF(O45&lt;&gt;"Activo","",Q45+N(K45)+IF(L45="Sí",MIN(GRAT_PCT*(Q45+N(K45)),GRAT_TOPE),0)+N(I45)+N(J45))</f>
        <v/>
      </c>
      <c r="AL45" s="63" t="str">
        <f aca="false">IF(O45&lt;&gt;"Activo","",MIN(AK45,TOPE_IAS_UF*UF_MES))</f>
        <v/>
      </c>
      <c r="AM45" s="62" t="str">
        <f aca="false">IF(AND(O45="Activo",ISNUMBER(V45),W45&lt;&gt;"Renovación registrada"),V45+ROW()/100000,"")</f>
        <v/>
      </c>
      <c r="AN45" s="70" t="str">
        <f aca="false">IF(OR(O45&lt;&gt;"Activo",NOT(ISNUMBER(U45))),"",IF(U45&lt;FECHA_CORTE,"",1.25*(DATEDIF(F45,U45+1,"m")+(U45+1-EDATE(F45,DATEDIF(F45,U45+1,"m")))/30)-Z45))</f>
        <v/>
      </c>
      <c r="AO45" s="66" t="str">
        <f aca="false">IF(OR(B45="",NOT(ISNUMBER(F45))),"",IF(N(G45)&gt;0,MIN(G45,FECHA_CORTE),FECHA_CORTE))</f>
        <v/>
      </c>
    </row>
    <row r="46" customFormat="false" ht="15" hidden="false" customHeight="false" outlineLevel="0" collapsed="false">
      <c r="B46" s="58"/>
      <c r="C46" s="58"/>
      <c r="D46" s="58"/>
      <c r="E46" s="58"/>
      <c r="F46" s="59"/>
      <c r="G46" s="59"/>
      <c r="H46" s="58"/>
      <c r="I46" s="60"/>
      <c r="J46" s="60"/>
      <c r="K46" s="60"/>
      <c r="L46" s="58"/>
      <c r="M46" s="61"/>
      <c r="N46" s="58"/>
      <c r="O46" s="62" t="str">
        <f aca="false">IF(B46="","",IF(NOT(ISNUMBER(F46)),"⚠ Falta ingreso",IF(F46&gt;FECHA_CORTE,"Por ingresar",IF(G46="","Activo",IF(G46&lt;FECHA_CORTE,"Desvinculado","Activo")))))</f>
        <v/>
      </c>
      <c r="P46" s="62" t="str">
        <f aca="false">IF(OR(B46="",NOT(ISNUMBER(F46))),"",IF(F46&gt;FECHA_CORTE,"",DATEDIF(F46,IF(G46="",FECHA_CORTE,MIN(G46,FECHA_CORTE))+1,"y")&amp;" a "&amp;DATEDIF(F46,IF(G46="",FECHA_CORTE,MIN(G46,FECHA_CORTE))+1,"ym")&amp;" m"))</f>
        <v/>
      </c>
      <c r="Q46" s="63" t="str">
        <f aca="false">IF(B46="","",IFERROR(INDEX(C_SUELDO,MATCH(AG46&amp;"-S"&amp;MAX(1,COUNTIFS(C_RUTN,AG46,C_SUELDO,"&lt;&gt;",C_INI,"&lt;="&amp;FECHA_CORTE)),C_CLAVES,0)),0))</f>
        <v/>
      </c>
      <c r="R46" s="62" t="str">
        <f aca="false">IF(B46="","",IF(N(AI46)=0,"Sin contrato",IFERROR(INDEX(C_TIPO,MATCH(AG46&amp;"-P"&amp;MAX(1,AH46),C_CLAVE,0))&amp;"","")))</f>
        <v/>
      </c>
      <c r="S46" s="64" t="str">
        <f aca="false">IF(R46="Plazo fijo",IFERROR(INDEX(C_NPF,MATCH(AG46&amp;"-P"&amp;MAX(1,AH46),C_CLAVE,0)),""),"")</f>
        <v/>
      </c>
      <c r="T46" s="65" t="str">
        <f aca="false">IF(B46="","",COUNTIFS(C_RUTN,AG46,C_TIPODOC,"Anexo de modificación"))</f>
        <v/>
      </c>
      <c r="U46" s="66" t="str">
        <f aca="false">IF(AND(OR(R46="Plazo fijo",R46="Obra o faena"),O46&lt;&gt;"Desvinculado"),IFERROR(IF(N(INDEX(C_TER,MATCH(AG46&amp;"-P"&amp;MAX(1,AH46),C_CLAVE,0)))=0,"",INDEX(C_TER,MATCH(AG46&amp;"-P"&amp;MAX(1,AH46),C_CLAVE,0))),""),"")</f>
        <v/>
      </c>
      <c r="V46" s="67" t="str">
        <f aca="false">IF(ISNUMBER(U46),U46-FECHA_CORTE,"")</f>
        <v/>
      </c>
      <c r="W46" s="62" t="str">
        <f aca="false">IF(B46="","",IF(O46="Desvinculado","Terminado",IF(N(AI46)=0,"Sin contrato registrado",IF(O46="Por ingresar","Por ingresar",IF(ISNUMBER(AJ46),"Renovación registrada",IF(R46="Indefinido","Indefinido",IF(NOT(ISNUMBER(V46)),"Falta fecha de término",IF(V46&lt;0,"VENCIDO",IF(V46&lt;=ALERTA_ROJA,"Vence en ≤ "&amp;ALERTA_ROJA&amp;" días",IF(V46&lt;=ALERTA_NARANJA,"Vence en ≤ "&amp;ALERTA_NARANJA&amp;" días",IF(V46&lt;=ALERTA_AMARILLA,"Vence en ≤ "&amp;ALERTA_AMARILLA&amp;" días","Vigente")))))))))))</f>
        <v/>
      </c>
      <c r="X46" s="62" t="str">
        <f aca="false">IF(B46="","",IF(W46="Terminado","—",IF(W46="Sin contrato registrado","Registrar su contrato en la hoja Contratos",IF(W46="Por ingresar","Tener el contrato firmado antes del ingreso",IF(W46="Renovación registrada","Siguiente contrato ya registrado: verificar que esté firmado",IF(R46="Indefinido","Sin vencimiento. Cambios de sueldo o cargo: anexo de modificación",IF(W46="Falta fecha de término","Completar la fecha de término en Contratos",IF(W46="VENCIDO","Sigue trabajando con plazo vencido: por ley ya es INDEFINIDO. Firmar anexo de paso a indefinido",IF(R46="Obra o faena","Al terminar la obra: finiquito + 2,5 días de sueldo por mes trabajado",IF(N(S46)&gt;=2,"2° contrato a plazo: NO se puede renovar otra vez a plazo fijo. Pasar a indefinido o terminar al vencer","1er contrato a plazo: renovar (2° contrato), pasar a indefinido o terminar al vencer"))))))))))</f>
        <v/>
      </c>
      <c r="Y46" s="68" t="str">
        <f aca="false">IF(O46&lt;&gt;"Activo","",ROUND(1.25*(DATEDIF(F46,AO46+1,"m")+(AO46+1-EDATE(F46,DATEDIF(F46,AO46+1,"m")))/30),2))</f>
        <v/>
      </c>
      <c r="Z46" s="68" t="str">
        <f aca="false">IF(O46&lt;&gt;"Activo","",N(M46)+SUMIFS(M_VAC,M_RUTN,AG46,M_MES,"&lt;="&amp;FECHA_CORTE))</f>
        <v/>
      </c>
      <c r="AA46" s="68" t="str">
        <f aca="false">IF(O46&lt;&gt;"Activo","",Y46-Z46)</f>
        <v/>
      </c>
      <c r="AB46" s="63" t="str">
        <f aca="false">IF(O46&lt;&gt;"Activo","",ROUND(MAX(0,IF(AA46&lt;=0,0,WORKDAY(FECHA_CORTE,INT(AA46),FERIADOS)-FECHA_CORTE+(AA46-INT(AA46))))*(Q46+N(K46))/30,0))</f>
        <v/>
      </c>
      <c r="AC46" s="65" t="str">
        <f aca="false">IF(O46&lt;&gt;"Activo","",IF(DATEDIF(F46,FECHA_CORTE+1,"y")&lt;1,0,MIN(TOPE_ANIOS,DATEDIF(F46,FECHA_CORTE+1,"y")+IF(EDATE(F46,12*DATEDIF(F46,FECHA_CORTE+1,"y")+6)&lt;FECHA_CORTE+1,1,0))))</f>
        <v/>
      </c>
      <c r="AD46" s="69" t="str">
        <f aca="false">IF(O46&lt;&gt;"Activo","",AB46+IF(R46="Obra o faena",0,ROUND(AL46*AC46,0)+ROUND(AL46,0)))</f>
        <v/>
      </c>
      <c r="AE46" s="69" t="str">
        <f aca="false">IF(O46&lt;&gt;"Activo","",AB46)</f>
        <v/>
      </c>
      <c r="AF46" s="69" t="str">
        <f aca="false">IF(AN46="","",IF(ISNUMBER(AJ46),"",ROUND(MAX(0,IF(AN46&lt;=0,0,WORKDAY(U46,INT(AN46),FERIADOS)-U46+(AN46-INT(AN46))))*(Q46+N(K46))/30,0)+IF(R46="Obra o faena",ROUND(OBRA_DIAS*AL46/30*(DATEDIF(F46,U46+1,"m")+IF(U46+1-EDATE(F46,DATEDIF(F46,U46+1,"m"))&gt;15,1,0)),0),0)))</f>
        <v/>
      </c>
      <c r="AG46" s="62" t="str">
        <f aca="false">IF(B46="","",IFERROR(VALUE(LEFT(UPPER(SUBSTITUTE(SUBSTITUTE(SUBSTITUTE(TRIM(B46),".",""),"-","")," ","")),LEN(UPPER(SUBSTITUTE(SUBSTITUTE(SUBSTITUTE(TRIM(B46),".",""),"-","")," ","")))-1))&amp;RIGHT(UPPER(SUBSTITUTE(SUBSTITUTE(SUBSTITUTE(TRIM(B46),".",""),"-","")," ","")),1),UPPER(SUBSTITUTE(SUBSTITUTE(SUBSTITUTE(TRIM(B46),".",""),"-","")," ",""))))</f>
        <v/>
      </c>
      <c r="AH46" s="62" t="str">
        <f aca="false">IF(B46="","",COUNTIFS(C_RUTN,AG46,C_DEF,"Sí",C_INI,"&lt;="&amp;FECHA_CORTE))</f>
        <v/>
      </c>
      <c r="AI46" s="62" t="str">
        <f aca="false">IF(B46="","",COUNTIFS(C_RUTN,AG46,C_DEF,"Sí"))</f>
        <v/>
      </c>
      <c r="AJ46" s="66" t="str">
        <f aca="false">IF(OR(B46="",N(AI46)&lt;=N(AH46)),"",IFERROR(INDEX(C_INI,MATCH(AG46&amp;"-P"&amp;(AH46+1),C_CLAVE,0)),""))</f>
        <v/>
      </c>
      <c r="AK46" s="63" t="str">
        <f aca="false">IF(O46&lt;&gt;"Activo","",Q46+N(K46)+IF(L46="Sí",MIN(GRAT_PCT*(Q46+N(K46)),GRAT_TOPE),0)+N(I46)+N(J46))</f>
        <v/>
      </c>
      <c r="AL46" s="63" t="str">
        <f aca="false">IF(O46&lt;&gt;"Activo","",MIN(AK46,TOPE_IAS_UF*UF_MES))</f>
        <v/>
      </c>
      <c r="AM46" s="62" t="str">
        <f aca="false">IF(AND(O46="Activo",ISNUMBER(V46),W46&lt;&gt;"Renovación registrada"),V46+ROW()/100000,"")</f>
        <v/>
      </c>
      <c r="AN46" s="70" t="str">
        <f aca="false">IF(OR(O46&lt;&gt;"Activo",NOT(ISNUMBER(U46))),"",IF(U46&lt;FECHA_CORTE,"",1.25*(DATEDIF(F46,U46+1,"m")+(U46+1-EDATE(F46,DATEDIF(F46,U46+1,"m")))/30)-Z46))</f>
        <v/>
      </c>
      <c r="AO46" s="66" t="str">
        <f aca="false">IF(OR(B46="",NOT(ISNUMBER(F46))),"",IF(N(G46)&gt;0,MIN(G46,FECHA_CORTE),FECHA_CORTE))</f>
        <v/>
      </c>
    </row>
    <row r="47" customFormat="false" ht="15" hidden="false" customHeight="false" outlineLevel="0" collapsed="false">
      <c r="B47" s="58"/>
      <c r="C47" s="58"/>
      <c r="D47" s="58"/>
      <c r="E47" s="58"/>
      <c r="F47" s="59"/>
      <c r="G47" s="59"/>
      <c r="H47" s="58"/>
      <c r="I47" s="60"/>
      <c r="J47" s="60"/>
      <c r="K47" s="60"/>
      <c r="L47" s="58"/>
      <c r="M47" s="61"/>
      <c r="N47" s="58"/>
      <c r="O47" s="62" t="str">
        <f aca="false">IF(B47="","",IF(NOT(ISNUMBER(F47)),"⚠ Falta ingreso",IF(F47&gt;FECHA_CORTE,"Por ingresar",IF(G47="","Activo",IF(G47&lt;FECHA_CORTE,"Desvinculado","Activo")))))</f>
        <v/>
      </c>
      <c r="P47" s="62" t="str">
        <f aca="false">IF(OR(B47="",NOT(ISNUMBER(F47))),"",IF(F47&gt;FECHA_CORTE,"",DATEDIF(F47,IF(G47="",FECHA_CORTE,MIN(G47,FECHA_CORTE))+1,"y")&amp;" a "&amp;DATEDIF(F47,IF(G47="",FECHA_CORTE,MIN(G47,FECHA_CORTE))+1,"ym")&amp;" m"))</f>
        <v/>
      </c>
      <c r="Q47" s="63" t="str">
        <f aca="false">IF(B47="","",IFERROR(INDEX(C_SUELDO,MATCH(AG47&amp;"-S"&amp;MAX(1,COUNTIFS(C_RUTN,AG47,C_SUELDO,"&lt;&gt;",C_INI,"&lt;="&amp;FECHA_CORTE)),C_CLAVES,0)),0))</f>
        <v/>
      </c>
      <c r="R47" s="62" t="str">
        <f aca="false">IF(B47="","",IF(N(AI47)=0,"Sin contrato",IFERROR(INDEX(C_TIPO,MATCH(AG47&amp;"-P"&amp;MAX(1,AH47),C_CLAVE,0))&amp;"","")))</f>
        <v/>
      </c>
      <c r="S47" s="64" t="str">
        <f aca="false">IF(R47="Plazo fijo",IFERROR(INDEX(C_NPF,MATCH(AG47&amp;"-P"&amp;MAX(1,AH47),C_CLAVE,0)),""),"")</f>
        <v/>
      </c>
      <c r="T47" s="65" t="str">
        <f aca="false">IF(B47="","",COUNTIFS(C_RUTN,AG47,C_TIPODOC,"Anexo de modificación"))</f>
        <v/>
      </c>
      <c r="U47" s="66" t="str">
        <f aca="false">IF(AND(OR(R47="Plazo fijo",R47="Obra o faena"),O47&lt;&gt;"Desvinculado"),IFERROR(IF(N(INDEX(C_TER,MATCH(AG47&amp;"-P"&amp;MAX(1,AH47),C_CLAVE,0)))=0,"",INDEX(C_TER,MATCH(AG47&amp;"-P"&amp;MAX(1,AH47),C_CLAVE,0))),""),"")</f>
        <v/>
      </c>
      <c r="V47" s="67" t="str">
        <f aca="false">IF(ISNUMBER(U47),U47-FECHA_CORTE,"")</f>
        <v/>
      </c>
      <c r="W47" s="62" t="str">
        <f aca="false">IF(B47="","",IF(O47="Desvinculado","Terminado",IF(N(AI47)=0,"Sin contrato registrado",IF(O47="Por ingresar","Por ingresar",IF(ISNUMBER(AJ47),"Renovación registrada",IF(R47="Indefinido","Indefinido",IF(NOT(ISNUMBER(V47)),"Falta fecha de término",IF(V47&lt;0,"VENCIDO",IF(V47&lt;=ALERTA_ROJA,"Vence en ≤ "&amp;ALERTA_ROJA&amp;" días",IF(V47&lt;=ALERTA_NARANJA,"Vence en ≤ "&amp;ALERTA_NARANJA&amp;" días",IF(V47&lt;=ALERTA_AMARILLA,"Vence en ≤ "&amp;ALERTA_AMARILLA&amp;" días","Vigente")))))))))))</f>
        <v/>
      </c>
      <c r="X47" s="62" t="str">
        <f aca="false">IF(B47="","",IF(W47="Terminado","—",IF(W47="Sin contrato registrado","Registrar su contrato en la hoja Contratos",IF(W47="Por ingresar","Tener el contrato firmado antes del ingreso",IF(W47="Renovación registrada","Siguiente contrato ya registrado: verificar que esté firmado",IF(R47="Indefinido","Sin vencimiento. Cambios de sueldo o cargo: anexo de modificación",IF(W47="Falta fecha de término","Completar la fecha de término en Contratos",IF(W47="VENCIDO","Sigue trabajando con plazo vencido: por ley ya es INDEFINIDO. Firmar anexo de paso a indefinido",IF(R47="Obra o faena","Al terminar la obra: finiquito + 2,5 días de sueldo por mes trabajado",IF(N(S47)&gt;=2,"2° contrato a plazo: NO se puede renovar otra vez a plazo fijo. Pasar a indefinido o terminar al vencer","1er contrato a plazo: renovar (2° contrato), pasar a indefinido o terminar al vencer"))))))))))</f>
        <v/>
      </c>
      <c r="Y47" s="68" t="str">
        <f aca="false">IF(O47&lt;&gt;"Activo","",ROUND(1.25*(DATEDIF(F47,AO47+1,"m")+(AO47+1-EDATE(F47,DATEDIF(F47,AO47+1,"m")))/30),2))</f>
        <v/>
      </c>
      <c r="Z47" s="68" t="str">
        <f aca="false">IF(O47&lt;&gt;"Activo","",N(M47)+SUMIFS(M_VAC,M_RUTN,AG47,M_MES,"&lt;="&amp;FECHA_CORTE))</f>
        <v/>
      </c>
      <c r="AA47" s="68" t="str">
        <f aca="false">IF(O47&lt;&gt;"Activo","",Y47-Z47)</f>
        <v/>
      </c>
      <c r="AB47" s="63" t="str">
        <f aca="false">IF(O47&lt;&gt;"Activo","",ROUND(MAX(0,IF(AA47&lt;=0,0,WORKDAY(FECHA_CORTE,INT(AA47),FERIADOS)-FECHA_CORTE+(AA47-INT(AA47))))*(Q47+N(K47))/30,0))</f>
        <v/>
      </c>
      <c r="AC47" s="65" t="str">
        <f aca="false">IF(O47&lt;&gt;"Activo","",IF(DATEDIF(F47,FECHA_CORTE+1,"y")&lt;1,0,MIN(TOPE_ANIOS,DATEDIF(F47,FECHA_CORTE+1,"y")+IF(EDATE(F47,12*DATEDIF(F47,FECHA_CORTE+1,"y")+6)&lt;FECHA_CORTE+1,1,0))))</f>
        <v/>
      </c>
      <c r="AD47" s="69" t="str">
        <f aca="false">IF(O47&lt;&gt;"Activo","",AB47+IF(R47="Obra o faena",0,ROUND(AL47*AC47,0)+ROUND(AL47,0)))</f>
        <v/>
      </c>
      <c r="AE47" s="69" t="str">
        <f aca="false">IF(O47&lt;&gt;"Activo","",AB47)</f>
        <v/>
      </c>
      <c r="AF47" s="69" t="str">
        <f aca="false">IF(AN47="","",IF(ISNUMBER(AJ47),"",ROUND(MAX(0,IF(AN47&lt;=0,0,WORKDAY(U47,INT(AN47),FERIADOS)-U47+(AN47-INT(AN47))))*(Q47+N(K47))/30,0)+IF(R47="Obra o faena",ROUND(OBRA_DIAS*AL47/30*(DATEDIF(F47,U47+1,"m")+IF(U47+1-EDATE(F47,DATEDIF(F47,U47+1,"m"))&gt;15,1,0)),0),0)))</f>
        <v/>
      </c>
      <c r="AG47" s="62" t="str">
        <f aca="false">IF(B47="","",IFERROR(VALUE(LEFT(UPPER(SUBSTITUTE(SUBSTITUTE(SUBSTITUTE(TRIM(B47),".",""),"-","")," ","")),LEN(UPPER(SUBSTITUTE(SUBSTITUTE(SUBSTITUTE(TRIM(B47),".",""),"-","")," ","")))-1))&amp;RIGHT(UPPER(SUBSTITUTE(SUBSTITUTE(SUBSTITUTE(TRIM(B47),".",""),"-","")," ","")),1),UPPER(SUBSTITUTE(SUBSTITUTE(SUBSTITUTE(TRIM(B47),".",""),"-","")," ",""))))</f>
        <v/>
      </c>
      <c r="AH47" s="62" t="str">
        <f aca="false">IF(B47="","",COUNTIFS(C_RUTN,AG47,C_DEF,"Sí",C_INI,"&lt;="&amp;FECHA_CORTE))</f>
        <v/>
      </c>
      <c r="AI47" s="62" t="str">
        <f aca="false">IF(B47="","",COUNTIFS(C_RUTN,AG47,C_DEF,"Sí"))</f>
        <v/>
      </c>
      <c r="AJ47" s="66" t="str">
        <f aca="false">IF(OR(B47="",N(AI47)&lt;=N(AH47)),"",IFERROR(INDEX(C_INI,MATCH(AG47&amp;"-P"&amp;(AH47+1),C_CLAVE,0)),""))</f>
        <v/>
      </c>
      <c r="AK47" s="63" t="str">
        <f aca="false">IF(O47&lt;&gt;"Activo","",Q47+N(K47)+IF(L47="Sí",MIN(GRAT_PCT*(Q47+N(K47)),GRAT_TOPE),0)+N(I47)+N(J47))</f>
        <v/>
      </c>
      <c r="AL47" s="63" t="str">
        <f aca="false">IF(O47&lt;&gt;"Activo","",MIN(AK47,TOPE_IAS_UF*UF_MES))</f>
        <v/>
      </c>
      <c r="AM47" s="62" t="str">
        <f aca="false">IF(AND(O47="Activo",ISNUMBER(V47),W47&lt;&gt;"Renovación registrada"),V47+ROW()/100000,"")</f>
        <v/>
      </c>
      <c r="AN47" s="70" t="str">
        <f aca="false">IF(OR(O47&lt;&gt;"Activo",NOT(ISNUMBER(U47))),"",IF(U47&lt;FECHA_CORTE,"",1.25*(DATEDIF(F47,U47+1,"m")+(U47+1-EDATE(F47,DATEDIF(F47,U47+1,"m")))/30)-Z47))</f>
        <v/>
      </c>
      <c r="AO47" s="66" t="str">
        <f aca="false">IF(OR(B47="",NOT(ISNUMBER(F47))),"",IF(N(G47)&gt;0,MIN(G47,FECHA_CORTE),FECHA_CORTE))</f>
        <v/>
      </c>
    </row>
    <row r="48" customFormat="false" ht="15" hidden="false" customHeight="false" outlineLevel="0" collapsed="false">
      <c r="B48" s="58"/>
      <c r="C48" s="58"/>
      <c r="D48" s="58"/>
      <c r="E48" s="58"/>
      <c r="F48" s="59"/>
      <c r="G48" s="59"/>
      <c r="H48" s="58"/>
      <c r="I48" s="60"/>
      <c r="J48" s="60"/>
      <c r="K48" s="60"/>
      <c r="L48" s="58"/>
      <c r="M48" s="61"/>
      <c r="N48" s="58"/>
      <c r="O48" s="62" t="str">
        <f aca="false">IF(B48="","",IF(NOT(ISNUMBER(F48)),"⚠ Falta ingreso",IF(F48&gt;FECHA_CORTE,"Por ingresar",IF(G48="","Activo",IF(G48&lt;FECHA_CORTE,"Desvinculado","Activo")))))</f>
        <v/>
      </c>
      <c r="P48" s="62" t="str">
        <f aca="false">IF(OR(B48="",NOT(ISNUMBER(F48))),"",IF(F48&gt;FECHA_CORTE,"",DATEDIF(F48,IF(G48="",FECHA_CORTE,MIN(G48,FECHA_CORTE))+1,"y")&amp;" a "&amp;DATEDIF(F48,IF(G48="",FECHA_CORTE,MIN(G48,FECHA_CORTE))+1,"ym")&amp;" m"))</f>
        <v/>
      </c>
      <c r="Q48" s="63" t="str">
        <f aca="false">IF(B48="","",IFERROR(INDEX(C_SUELDO,MATCH(AG48&amp;"-S"&amp;MAX(1,COUNTIFS(C_RUTN,AG48,C_SUELDO,"&lt;&gt;",C_INI,"&lt;="&amp;FECHA_CORTE)),C_CLAVES,0)),0))</f>
        <v/>
      </c>
      <c r="R48" s="62" t="str">
        <f aca="false">IF(B48="","",IF(N(AI48)=0,"Sin contrato",IFERROR(INDEX(C_TIPO,MATCH(AG48&amp;"-P"&amp;MAX(1,AH48),C_CLAVE,0))&amp;"","")))</f>
        <v/>
      </c>
      <c r="S48" s="64" t="str">
        <f aca="false">IF(R48="Plazo fijo",IFERROR(INDEX(C_NPF,MATCH(AG48&amp;"-P"&amp;MAX(1,AH48),C_CLAVE,0)),""),"")</f>
        <v/>
      </c>
      <c r="T48" s="65" t="str">
        <f aca="false">IF(B48="","",COUNTIFS(C_RUTN,AG48,C_TIPODOC,"Anexo de modificación"))</f>
        <v/>
      </c>
      <c r="U48" s="66" t="str">
        <f aca="false">IF(AND(OR(R48="Plazo fijo",R48="Obra o faena"),O48&lt;&gt;"Desvinculado"),IFERROR(IF(N(INDEX(C_TER,MATCH(AG48&amp;"-P"&amp;MAX(1,AH48),C_CLAVE,0)))=0,"",INDEX(C_TER,MATCH(AG48&amp;"-P"&amp;MAX(1,AH48),C_CLAVE,0))),""),"")</f>
        <v/>
      </c>
      <c r="V48" s="67" t="str">
        <f aca="false">IF(ISNUMBER(U48),U48-FECHA_CORTE,"")</f>
        <v/>
      </c>
      <c r="W48" s="62" t="str">
        <f aca="false">IF(B48="","",IF(O48="Desvinculado","Terminado",IF(N(AI48)=0,"Sin contrato registrado",IF(O48="Por ingresar","Por ingresar",IF(ISNUMBER(AJ48),"Renovación registrada",IF(R48="Indefinido","Indefinido",IF(NOT(ISNUMBER(V48)),"Falta fecha de término",IF(V48&lt;0,"VENCIDO",IF(V48&lt;=ALERTA_ROJA,"Vence en ≤ "&amp;ALERTA_ROJA&amp;" días",IF(V48&lt;=ALERTA_NARANJA,"Vence en ≤ "&amp;ALERTA_NARANJA&amp;" días",IF(V48&lt;=ALERTA_AMARILLA,"Vence en ≤ "&amp;ALERTA_AMARILLA&amp;" días","Vigente")))))))))))</f>
        <v/>
      </c>
      <c r="X48" s="62" t="str">
        <f aca="false">IF(B48="","",IF(W48="Terminado","—",IF(W48="Sin contrato registrado","Registrar su contrato en la hoja Contratos",IF(W48="Por ingresar","Tener el contrato firmado antes del ingreso",IF(W48="Renovación registrada","Siguiente contrato ya registrado: verificar que esté firmado",IF(R48="Indefinido","Sin vencimiento. Cambios de sueldo o cargo: anexo de modificación",IF(W48="Falta fecha de término","Completar la fecha de término en Contratos",IF(W48="VENCIDO","Sigue trabajando con plazo vencido: por ley ya es INDEFINIDO. Firmar anexo de paso a indefinido",IF(R48="Obra o faena","Al terminar la obra: finiquito + 2,5 días de sueldo por mes trabajado",IF(N(S48)&gt;=2,"2° contrato a plazo: NO se puede renovar otra vez a plazo fijo. Pasar a indefinido o terminar al vencer","1er contrato a plazo: renovar (2° contrato), pasar a indefinido o terminar al vencer"))))))))))</f>
        <v/>
      </c>
      <c r="Y48" s="68" t="str">
        <f aca="false">IF(O48&lt;&gt;"Activo","",ROUND(1.25*(DATEDIF(F48,AO48+1,"m")+(AO48+1-EDATE(F48,DATEDIF(F48,AO48+1,"m")))/30),2))</f>
        <v/>
      </c>
      <c r="Z48" s="68" t="str">
        <f aca="false">IF(O48&lt;&gt;"Activo","",N(M48)+SUMIFS(M_VAC,M_RUTN,AG48,M_MES,"&lt;="&amp;FECHA_CORTE))</f>
        <v/>
      </c>
      <c r="AA48" s="68" t="str">
        <f aca="false">IF(O48&lt;&gt;"Activo","",Y48-Z48)</f>
        <v/>
      </c>
      <c r="AB48" s="63" t="str">
        <f aca="false">IF(O48&lt;&gt;"Activo","",ROUND(MAX(0,IF(AA48&lt;=0,0,WORKDAY(FECHA_CORTE,INT(AA48),FERIADOS)-FECHA_CORTE+(AA48-INT(AA48))))*(Q48+N(K48))/30,0))</f>
        <v/>
      </c>
      <c r="AC48" s="65" t="str">
        <f aca="false">IF(O48&lt;&gt;"Activo","",IF(DATEDIF(F48,FECHA_CORTE+1,"y")&lt;1,0,MIN(TOPE_ANIOS,DATEDIF(F48,FECHA_CORTE+1,"y")+IF(EDATE(F48,12*DATEDIF(F48,FECHA_CORTE+1,"y")+6)&lt;FECHA_CORTE+1,1,0))))</f>
        <v/>
      </c>
      <c r="AD48" s="69" t="str">
        <f aca="false">IF(O48&lt;&gt;"Activo","",AB48+IF(R48="Obra o faena",0,ROUND(AL48*AC48,0)+ROUND(AL48,0)))</f>
        <v/>
      </c>
      <c r="AE48" s="69" t="str">
        <f aca="false">IF(O48&lt;&gt;"Activo","",AB48)</f>
        <v/>
      </c>
      <c r="AF48" s="69" t="str">
        <f aca="false">IF(AN48="","",IF(ISNUMBER(AJ48),"",ROUND(MAX(0,IF(AN48&lt;=0,0,WORKDAY(U48,INT(AN48),FERIADOS)-U48+(AN48-INT(AN48))))*(Q48+N(K48))/30,0)+IF(R48="Obra o faena",ROUND(OBRA_DIAS*AL48/30*(DATEDIF(F48,U48+1,"m")+IF(U48+1-EDATE(F48,DATEDIF(F48,U48+1,"m"))&gt;15,1,0)),0),0)))</f>
        <v/>
      </c>
      <c r="AG48" s="62" t="str">
        <f aca="false">IF(B48="","",IFERROR(VALUE(LEFT(UPPER(SUBSTITUTE(SUBSTITUTE(SUBSTITUTE(TRIM(B48),".",""),"-","")," ","")),LEN(UPPER(SUBSTITUTE(SUBSTITUTE(SUBSTITUTE(TRIM(B48),".",""),"-","")," ","")))-1))&amp;RIGHT(UPPER(SUBSTITUTE(SUBSTITUTE(SUBSTITUTE(TRIM(B48),".",""),"-","")," ","")),1),UPPER(SUBSTITUTE(SUBSTITUTE(SUBSTITUTE(TRIM(B48),".",""),"-","")," ",""))))</f>
        <v/>
      </c>
      <c r="AH48" s="62" t="str">
        <f aca="false">IF(B48="","",COUNTIFS(C_RUTN,AG48,C_DEF,"Sí",C_INI,"&lt;="&amp;FECHA_CORTE))</f>
        <v/>
      </c>
      <c r="AI48" s="62" t="str">
        <f aca="false">IF(B48="","",COUNTIFS(C_RUTN,AG48,C_DEF,"Sí"))</f>
        <v/>
      </c>
      <c r="AJ48" s="66" t="str">
        <f aca="false">IF(OR(B48="",N(AI48)&lt;=N(AH48)),"",IFERROR(INDEX(C_INI,MATCH(AG48&amp;"-P"&amp;(AH48+1),C_CLAVE,0)),""))</f>
        <v/>
      </c>
      <c r="AK48" s="63" t="str">
        <f aca="false">IF(O48&lt;&gt;"Activo","",Q48+N(K48)+IF(L48="Sí",MIN(GRAT_PCT*(Q48+N(K48)),GRAT_TOPE),0)+N(I48)+N(J48))</f>
        <v/>
      </c>
      <c r="AL48" s="63" t="str">
        <f aca="false">IF(O48&lt;&gt;"Activo","",MIN(AK48,TOPE_IAS_UF*UF_MES))</f>
        <v/>
      </c>
      <c r="AM48" s="62" t="str">
        <f aca="false">IF(AND(O48="Activo",ISNUMBER(V48),W48&lt;&gt;"Renovación registrada"),V48+ROW()/100000,"")</f>
        <v/>
      </c>
      <c r="AN48" s="70" t="str">
        <f aca="false">IF(OR(O48&lt;&gt;"Activo",NOT(ISNUMBER(U48))),"",IF(U48&lt;FECHA_CORTE,"",1.25*(DATEDIF(F48,U48+1,"m")+(U48+1-EDATE(F48,DATEDIF(F48,U48+1,"m")))/30)-Z48))</f>
        <v/>
      </c>
      <c r="AO48" s="66" t="str">
        <f aca="false">IF(OR(B48="",NOT(ISNUMBER(F48))),"",IF(N(G48)&gt;0,MIN(G48,FECHA_CORTE),FECHA_CORTE))</f>
        <v/>
      </c>
    </row>
    <row r="49" customFormat="false" ht="15" hidden="false" customHeight="false" outlineLevel="0" collapsed="false">
      <c r="B49" s="58"/>
      <c r="C49" s="58"/>
      <c r="D49" s="58"/>
      <c r="E49" s="58"/>
      <c r="F49" s="59"/>
      <c r="G49" s="59"/>
      <c r="H49" s="58"/>
      <c r="I49" s="60"/>
      <c r="J49" s="60"/>
      <c r="K49" s="60"/>
      <c r="L49" s="58"/>
      <c r="M49" s="61"/>
      <c r="N49" s="58"/>
      <c r="O49" s="62" t="str">
        <f aca="false">IF(B49="","",IF(NOT(ISNUMBER(F49)),"⚠ Falta ingreso",IF(F49&gt;FECHA_CORTE,"Por ingresar",IF(G49="","Activo",IF(G49&lt;FECHA_CORTE,"Desvinculado","Activo")))))</f>
        <v/>
      </c>
      <c r="P49" s="62" t="str">
        <f aca="false">IF(OR(B49="",NOT(ISNUMBER(F49))),"",IF(F49&gt;FECHA_CORTE,"",DATEDIF(F49,IF(G49="",FECHA_CORTE,MIN(G49,FECHA_CORTE))+1,"y")&amp;" a "&amp;DATEDIF(F49,IF(G49="",FECHA_CORTE,MIN(G49,FECHA_CORTE))+1,"ym")&amp;" m"))</f>
        <v/>
      </c>
      <c r="Q49" s="63" t="str">
        <f aca="false">IF(B49="","",IFERROR(INDEX(C_SUELDO,MATCH(AG49&amp;"-S"&amp;MAX(1,COUNTIFS(C_RUTN,AG49,C_SUELDO,"&lt;&gt;",C_INI,"&lt;="&amp;FECHA_CORTE)),C_CLAVES,0)),0))</f>
        <v/>
      </c>
      <c r="R49" s="62" t="str">
        <f aca="false">IF(B49="","",IF(N(AI49)=0,"Sin contrato",IFERROR(INDEX(C_TIPO,MATCH(AG49&amp;"-P"&amp;MAX(1,AH49),C_CLAVE,0))&amp;"","")))</f>
        <v/>
      </c>
      <c r="S49" s="64" t="str">
        <f aca="false">IF(R49="Plazo fijo",IFERROR(INDEX(C_NPF,MATCH(AG49&amp;"-P"&amp;MAX(1,AH49),C_CLAVE,0)),""),"")</f>
        <v/>
      </c>
      <c r="T49" s="65" t="str">
        <f aca="false">IF(B49="","",COUNTIFS(C_RUTN,AG49,C_TIPODOC,"Anexo de modificación"))</f>
        <v/>
      </c>
      <c r="U49" s="66" t="str">
        <f aca="false">IF(AND(OR(R49="Plazo fijo",R49="Obra o faena"),O49&lt;&gt;"Desvinculado"),IFERROR(IF(N(INDEX(C_TER,MATCH(AG49&amp;"-P"&amp;MAX(1,AH49),C_CLAVE,0)))=0,"",INDEX(C_TER,MATCH(AG49&amp;"-P"&amp;MAX(1,AH49),C_CLAVE,0))),""),"")</f>
        <v/>
      </c>
      <c r="V49" s="67" t="str">
        <f aca="false">IF(ISNUMBER(U49),U49-FECHA_CORTE,"")</f>
        <v/>
      </c>
      <c r="W49" s="62" t="str">
        <f aca="false">IF(B49="","",IF(O49="Desvinculado","Terminado",IF(N(AI49)=0,"Sin contrato registrado",IF(O49="Por ingresar","Por ingresar",IF(ISNUMBER(AJ49),"Renovación registrada",IF(R49="Indefinido","Indefinido",IF(NOT(ISNUMBER(V49)),"Falta fecha de término",IF(V49&lt;0,"VENCIDO",IF(V49&lt;=ALERTA_ROJA,"Vence en ≤ "&amp;ALERTA_ROJA&amp;" días",IF(V49&lt;=ALERTA_NARANJA,"Vence en ≤ "&amp;ALERTA_NARANJA&amp;" días",IF(V49&lt;=ALERTA_AMARILLA,"Vence en ≤ "&amp;ALERTA_AMARILLA&amp;" días","Vigente")))))))))))</f>
        <v/>
      </c>
      <c r="X49" s="62" t="str">
        <f aca="false">IF(B49="","",IF(W49="Terminado","—",IF(W49="Sin contrato registrado","Registrar su contrato en la hoja Contratos",IF(W49="Por ingresar","Tener el contrato firmado antes del ingreso",IF(W49="Renovación registrada","Siguiente contrato ya registrado: verificar que esté firmado",IF(R49="Indefinido","Sin vencimiento. Cambios de sueldo o cargo: anexo de modificación",IF(W49="Falta fecha de término","Completar la fecha de término en Contratos",IF(W49="VENCIDO","Sigue trabajando con plazo vencido: por ley ya es INDEFINIDO. Firmar anexo de paso a indefinido",IF(R49="Obra o faena","Al terminar la obra: finiquito + 2,5 días de sueldo por mes trabajado",IF(N(S49)&gt;=2,"2° contrato a plazo: NO se puede renovar otra vez a plazo fijo. Pasar a indefinido o terminar al vencer","1er contrato a plazo: renovar (2° contrato), pasar a indefinido o terminar al vencer"))))))))))</f>
        <v/>
      </c>
      <c r="Y49" s="68" t="str">
        <f aca="false">IF(O49&lt;&gt;"Activo","",ROUND(1.25*(DATEDIF(F49,AO49+1,"m")+(AO49+1-EDATE(F49,DATEDIF(F49,AO49+1,"m")))/30),2))</f>
        <v/>
      </c>
      <c r="Z49" s="68" t="str">
        <f aca="false">IF(O49&lt;&gt;"Activo","",N(M49)+SUMIFS(M_VAC,M_RUTN,AG49,M_MES,"&lt;="&amp;FECHA_CORTE))</f>
        <v/>
      </c>
      <c r="AA49" s="68" t="str">
        <f aca="false">IF(O49&lt;&gt;"Activo","",Y49-Z49)</f>
        <v/>
      </c>
      <c r="AB49" s="63" t="str">
        <f aca="false">IF(O49&lt;&gt;"Activo","",ROUND(MAX(0,IF(AA49&lt;=0,0,WORKDAY(FECHA_CORTE,INT(AA49),FERIADOS)-FECHA_CORTE+(AA49-INT(AA49))))*(Q49+N(K49))/30,0))</f>
        <v/>
      </c>
      <c r="AC49" s="65" t="str">
        <f aca="false">IF(O49&lt;&gt;"Activo","",IF(DATEDIF(F49,FECHA_CORTE+1,"y")&lt;1,0,MIN(TOPE_ANIOS,DATEDIF(F49,FECHA_CORTE+1,"y")+IF(EDATE(F49,12*DATEDIF(F49,FECHA_CORTE+1,"y")+6)&lt;FECHA_CORTE+1,1,0))))</f>
        <v/>
      </c>
      <c r="AD49" s="69" t="str">
        <f aca="false">IF(O49&lt;&gt;"Activo","",AB49+IF(R49="Obra o faena",0,ROUND(AL49*AC49,0)+ROUND(AL49,0)))</f>
        <v/>
      </c>
      <c r="AE49" s="69" t="str">
        <f aca="false">IF(O49&lt;&gt;"Activo","",AB49)</f>
        <v/>
      </c>
      <c r="AF49" s="69" t="str">
        <f aca="false">IF(AN49="","",IF(ISNUMBER(AJ49),"",ROUND(MAX(0,IF(AN49&lt;=0,0,WORKDAY(U49,INT(AN49),FERIADOS)-U49+(AN49-INT(AN49))))*(Q49+N(K49))/30,0)+IF(R49="Obra o faena",ROUND(OBRA_DIAS*AL49/30*(DATEDIF(F49,U49+1,"m")+IF(U49+1-EDATE(F49,DATEDIF(F49,U49+1,"m"))&gt;15,1,0)),0),0)))</f>
        <v/>
      </c>
      <c r="AG49" s="62" t="str">
        <f aca="false">IF(B49="","",IFERROR(VALUE(LEFT(UPPER(SUBSTITUTE(SUBSTITUTE(SUBSTITUTE(TRIM(B49),".",""),"-","")," ","")),LEN(UPPER(SUBSTITUTE(SUBSTITUTE(SUBSTITUTE(TRIM(B49),".",""),"-","")," ","")))-1))&amp;RIGHT(UPPER(SUBSTITUTE(SUBSTITUTE(SUBSTITUTE(TRIM(B49),".",""),"-","")," ","")),1),UPPER(SUBSTITUTE(SUBSTITUTE(SUBSTITUTE(TRIM(B49),".",""),"-","")," ",""))))</f>
        <v/>
      </c>
      <c r="AH49" s="62" t="str">
        <f aca="false">IF(B49="","",COUNTIFS(C_RUTN,AG49,C_DEF,"Sí",C_INI,"&lt;="&amp;FECHA_CORTE))</f>
        <v/>
      </c>
      <c r="AI49" s="62" t="str">
        <f aca="false">IF(B49="","",COUNTIFS(C_RUTN,AG49,C_DEF,"Sí"))</f>
        <v/>
      </c>
      <c r="AJ49" s="66" t="str">
        <f aca="false">IF(OR(B49="",N(AI49)&lt;=N(AH49)),"",IFERROR(INDEX(C_INI,MATCH(AG49&amp;"-P"&amp;(AH49+1),C_CLAVE,0)),""))</f>
        <v/>
      </c>
      <c r="AK49" s="63" t="str">
        <f aca="false">IF(O49&lt;&gt;"Activo","",Q49+N(K49)+IF(L49="Sí",MIN(GRAT_PCT*(Q49+N(K49)),GRAT_TOPE),0)+N(I49)+N(J49))</f>
        <v/>
      </c>
      <c r="AL49" s="63" t="str">
        <f aca="false">IF(O49&lt;&gt;"Activo","",MIN(AK49,TOPE_IAS_UF*UF_MES))</f>
        <v/>
      </c>
      <c r="AM49" s="62" t="str">
        <f aca="false">IF(AND(O49="Activo",ISNUMBER(V49),W49&lt;&gt;"Renovación registrada"),V49+ROW()/100000,"")</f>
        <v/>
      </c>
      <c r="AN49" s="70" t="str">
        <f aca="false">IF(OR(O49&lt;&gt;"Activo",NOT(ISNUMBER(U49))),"",IF(U49&lt;FECHA_CORTE,"",1.25*(DATEDIF(F49,U49+1,"m")+(U49+1-EDATE(F49,DATEDIF(F49,U49+1,"m")))/30)-Z49))</f>
        <v/>
      </c>
      <c r="AO49" s="66" t="str">
        <f aca="false">IF(OR(B49="",NOT(ISNUMBER(F49))),"",IF(N(G49)&gt;0,MIN(G49,FECHA_CORTE),FECHA_CORTE))</f>
        <v/>
      </c>
    </row>
    <row r="50" customFormat="false" ht="15" hidden="false" customHeight="false" outlineLevel="0" collapsed="false">
      <c r="B50" s="58"/>
      <c r="C50" s="58"/>
      <c r="D50" s="58"/>
      <c r="E50" s="58"/>
      <c r="F50" s="59"/>
      <c r="G50" s="59"/>
      <c r="H50" s="58"/>
      <c r="I50" s="60"/>
      <c r="J50" s="60"/>
      <c r="K50" s="60"/>
      <c r="L50" s="58"/>
      <c r="M50" s="61"/>
      <c r="N50" s="58"/>
      <c r="O50" s="62" t="str">
        <f aca="false">IF(B50="","",IF(NOT(ISNUMBER(F50)),"⚠ Falta ingreso",IF(F50&gt;FECHA_CORTE,"Por ingresar",IF(G50="","Activo",IF(G50&lt;FECHA_CORTE,"Desvinculado","Activo")))))</f>
        <v/>
      </c>
      <c r="P50" s="62" t="str">
        <f aca="false">IF(OR(B50="",NOT(ISNUMBER(F50))),"",IF(F50&gt;FECHA_CORTE,"",DATEDIF(F50,IF(G50="",FECHA_CORTE,MIN(G50,FECHA_CORTE))+1,"y")&amp;" a "&amp;DATEDIF(F50,IF(G50="",FECHA_CORTE,MIN(G50,FECHA_CORTE))+1,"ym")&amp;" m"))</f>
        <v/>
      </c>
      <c r="Q50" s="63" t="str">
        <f aca="false">IF(B50="","",IFERROR(INDEX(C_SUELDO,MATCH(AG50&amp;"-S"&amp;MAX(1,COUNTIFS(C_RUTN,AG50,C_SUELDO,"&lt;&gt;",C_INI,"&lt;="&amp;FECHA_CORTE)),C_CLAVES,0)),0))</f>
        <v/>
      </c>
      <c r="R50" s="62" t="str">
        <f aca="false">IF(B50="","",IF(N(AI50)=0,"Sin contrato",IFERROR(INDEX(C_TIPO,MATCH(AG50&amp;"-P"&amp;MAX(1,AH50),C_CLAVE,0))&amp;"","")))</f>
        <v/>
      </c>
      <c r="S50" s="64" t="str">
        <f aca="false">IF(R50="Plazo fijo",IFERROR(INDEX(C_NPF,MATCH(AG50&amp;"-P"&amp;MAX(1,AH50),C_CLAVE,0)),""),"")</f>
        <v/>
      </c>
      <c r="T50" s="65" t="str">
        <f aca="false">IF(B50="","",COUNTIFS(C_RUTN,AG50,C_TIPODOC,"Anexo de modificación"))</f>
        <v/>
      </c>
      <c r="U50" s="66" t="str">
        <f aca="false">IF(AND(OR(R50="Plazo fijo",R50="Obra o faena"),O50&lt;&gt;"Desvinculado"),IFERROR(IF(N(INDEX(C_TER,MATCH(AG50&amp;"-P"&amp;MAX(1,AH50),C_CLAVE,0)))=0,"",INDEX(C_TER,MATCH(AG50&amp;"-P"&amp;MAX(1,AH50),C_CLAVE,0))),""),"")</f>
        <v/>
      </c>
      <c r="V50" s="67" t="str">
        <f aca="false">IF(ISNUMBER(U50),U50-FECHA_CORTE,"")</f>
        <v/>
      </c>
      <c r="W50" s="62" t="str">
        <f aca="false">IF(B50="","",IF(O50="Desvinculado","Terminado",IF(N(AI50)=0,"Sin contrato registrado",IF(O50="Por ingresar","Por ingresar",IF(ISNUMBER(AJ50),"Renovación registrada",IF(R50="Indefinido","Indefinido",IF(NOT(ISNUMBER(V50)),"Falta fecha de término",IF(V50&lt;0,"VENCIDO",IF(V50&lt;=ALERTA_ROJA,"Vence en ≤ "&amp;ALERTA_ROJA&amp;" días",IF(V50&lt;=ALERTA_NARANJA,"Vence en ≤ "&amp;ALERTA_NARANJA&amp;" días",IF(V50&lt;=ALERTA_AMARILLA,"Vence en ≤ "&amp;ALERTA_AMARILLA&amp;" días","Vigente")))))))))))</f>
        <v/>
      </c>
      <c r="X50" s="62" t="str">
        <f aca="false">IF(B50="","",IF(W50="Terminado","—",IF(W50="Sin contrato registrado","Registrar su contrato en la hoja Contratos",IF(W50="Por ingresar","Tener el contrato firmado antes del ingreso",IF(W50="Renovación registrada","Siguiente contrato ya registrado: verificar que esté firmado",IF(R50="Indefinido","Sin vencimiento. Cambios de sueldo o cargo: anexo de modificación",IF(W50="Falta fecha de término","Completar la fecha de término en Contratos",IF(W50="VENCIDO","Sigue trabajando con plazo vencido: por ley ya es INDEFINIDO. Firmar anexo de paso a indefinido",IF(R50="Obra o faena","Al terminar la obra: finiquito + 2,5 días de sueldo por mes trabajado",IF(N(S50)&gt;=2,"2° contrato a plazo: NO se puede renovar otra vez a plazo fijo. Pasar a indefinido o terminar al vencer","1er contrato a plazo: renovar (2° contrato), pasar a indefinido o terminar al vencer"))))))))))</f>
        <v/>
      </c>
      <c r="Y50" s="68" t="str">
        <f aca="false">IF(O50&lt;&gt;"Activo","",ROUND(1.25*(DATEDIF(F50,AO50+1,"m")+(AO50+1-EDATE(F50,DATEDIF(F50,AO50+1,"m")))/30),2))</f>
        <v/>
      </c>
      <c r="Z50" s="68" t="str">
        <f aca="false">IF(O50&lt;&gt;"Activo","",N(M50)+SUMIFS(M_VAC,M_RUTN,AG50,M_MES,"&lt;="&amp;FECHA_CORTE))</f>
        <v/>
      </c>
      <c r="AA50" s="68" t="str">
        <f aca="false">IF(O50&lt;&gt;"Activo","",Y50-Z50)</f>
        <v/>
      </c>
      <c r="AB50" s="63" t="str">
        <f aca="false">IF(O50&lt;&gt;"Activo","",ROUND(MAX(0,IF(AA50&lt;=0,0,WORKDAY(FECHA_CORTE,INT(AA50),FERIADOS)-FECHA_CORTE+(AA50-INT(AA50))))*(Q50+N(K50))/30,0))</f>
        <v/>
      </c>
      <c r="AC50" s="65" t="str">
        <f aca="false">IF(O50&lt;&gt;"Activo","",IF(DATEDIF(F50,FECHA_CORTE+1,"y")&lt;1,0,MIN(TOPE_ANIOS,DATEDIF(F50,FECHA_CORTE+1,"y")+IF(EDATE(F50,12*DATEDIF(F50,FECHA_CORTE+1,"y")+6)&lt;FECHA_CORTE+1,1,0))))</f>
        <v/>
      </c>
      <c r="AD50" s="69" t="str">
        <f aca="false">IF(O50&lt;&gt;"Activo","",AB50+IF(R50="Obra o faena",0,ROUND(AL50*AC50,0)+ROUND(AL50,0)))</f>
        <v/>
      </c>
      <c r="AE50" s="69" t="str">
        <f aca="false">IF(O50&lt;&gt;"Activo","",AB50)</f>
        <v/>
      </c>
      <c r="AF50" s="69" t="str">
        <f aca="false">IF(AN50="","",IF(ISNUMBER(AJ50),"",ROUND(MAX(0,IF(AN50&lt;=0,0,WORKDAY(U50,INT(AN50),FERIADOS)-U50+(AN50-INT(AN50))))*(Q50+N(K50))/30,0)+IF(R50="Obra o faena",ROUND(OBRA_DIAS*AL50/30*(DATEDIF(F50,U50+1,"m")+IF(U50+1-EDATE(F50,DATEDIF(F50,U50+1,"m"))&gt;15,1,0)),0),0)))</f>
        <v/>
      </c>
      <c r="AG50" s="62" t="str">
        <f aca="false">IF(B50="","",IFERROR(VALUE(LEFT(UPPER(SUBSTITUTE(SUBSTITUTE(SUBSTITUTE(TRIM(B50),".",""),"-","")," ","")),LEN(UPPER(SUBSTITUTE(SUBSTITUTE(SUBSTITUTE(TRIM(B50),".",""),"-","")," ","")))-1))&amp;RIGHT(UPPER(SUBSTITUTE(SUBSTITUTE(SUBSTITUTE(TRIM(B50),".",""),"-","")," ","")),1),UPPER(SUBSTITUTE(SUBSTITUTE(SUBSTITUTE(TRIM(B50),".",""),"-","")," ",""))))</f>
        <v/>
      </c>
      <c r="AH50" s="62" t="str">
        <f aca="false">IF(B50="","",COUNTIFS(C_RUTN,AG50,C_DEF,"Sí",C_INI,"&lt;="&amp;FECHA_CORTE))</f>
        <v/>
      </c>
      <c r="AI50" s="62" t="str">
        <f aca="false">IF(B50="","",COUNTIFS(C_RUTN,AG50,C_DEF,"Sí"))</f>
        <v/>
      </c>
      <c r="AJ50" s="66" t="str">
        <f aca="false">IF(OR(B50="",N(AI50)&lt;=N(AH50)),"",IFERROR(INDEX(C_INI,MATCH(AG50&amp;"-P"&amp;(AH50+1),C_CLAVE,0)),""))</f>
        <v/>
      </c>
      <c r="AK50" s="63" t="str">
        <f aca="false">IF(O50&lt;&gt;"Activo","",Q50+N(K50)+IF(L50="Sí",MIN(GRAT_PCT*(Q50+N(K50)),GRAT_TOPE),0)+N(I50)+N(J50))</f>
        <v/>
      </c>
      <c r="AL50" s="63" t="str">
        <f aca="false">IF(O50&lt;&gt;"Activo","",MIN(AK50,TOPE_IAS_UF*UF_MES))</f>
        <v/>
      </c>
      <c r="AM50" s="62" t="str">
        <f aca="false">IF(AND(O50="Activo",ISNUMBER(V50),W50&lt;&gt;"Renovación registrada"),V50+ROW()/100000,"")</f>
        <v/>
      </c>
      <c r="AN50" s="70" t="str">
        <f aca="false">IF(OR(O50&lt;&gt;"Activo",NOT(ISNUMBER(U50))),"",IF(U50&lt;FECHA_CORTE,"",1.25*(DATEDIF(F50,U50+1,"m")+(U50+1-EDATE(F50,DATEDIF(F50,U50+1,"m")))/30)-Z50))</f>
        <v/>
      </c>
      <c r="AO50" s="66" t="str">
        <f aca="false">IF(OR(B50="",NOT(ISNUMBER(F50))),"",IF(N(G50)&gt;0,MIN(G50,FECHA_CORTE),FECHA_CORTE))</f>
        <v/>
      </c>
    </row>
    <row r="51" customFormat="false" ht="15" hidden="false" customHeight="false" outlineLevel="0" collapsed="false">
      <c r="B51" s="58"/>
      <c r="C51" s="58"/>
      <c r="D51" s="58"/>
      <c r="E51" s="58"/>
      <c r="F51" s="59"/>
      <c r="G51" s="59"/>
      <c r="H51" s="58"/>
      <c r="I51" s="60"/>
      <c r="J51" s="60"/>
      <c r="K51" s="60"/>
      <c r="L51" s="58"/>
      <c r="M51" s="61"/>
      <c r="N51" s="58"/>
      <c r="O51" s="62" t="str">
        <f aca="false">IF(B51="","",IF(NOT(ISNUMBER(F51)),"⚠ Falta ingreso",IF(F51&gt;FECHA_CORTE,"Por ingresar",IF(G51="","Activo",IF(G51&lt;FECHA_CORTE,"Desvinculado","Activo")))))</f>
        <v/>
      </c>
      <c r="P51" s="62" t="str">
        <f aca="false">IF(OR(B51="",NOT(ISNUMBER(F51))),"",IF(F51&gt;FECHA_CORTE,"",DATEDIF(F51,IF(G51="",FECHA_CORTE,MIN(G51,FECHA_CORTE))+1,"y")&amp;" a "&amp;DATEDIF(F51,IF(G51="",FECHA_CORTE,MIN(G51,FECHA_CORTE))+1,"ym")&amp;" m"))</f>
        <v/>
      </c>
      <c r="Q51" s="63" t="str">
        <f aca="false">IF(B51="","",IFERROR(INDEX(C_SUELDO,MATCH(AG51&amp;"-S"&amp;MAX(1,COUNTIFS(C_RUTN,AG51,C_SUELDO,"&lt;&gt;",C_INI,"&lt;="&amp;FECHA_CORTE)),C_CLAVES,0)),0))</f>
        <v/>
      </c>
      <c r="R51" s="62" t="str">
        <f aca="false">IF(B51="","",IF(N(AI51)=0,"Sin contrato",IFERROR(INDEX(C_TIPO,MATCH(AG51&amp;"-P"&amp;MAX(1,AH51),C_CLAVE,0))&amp;"","")))</f>
        <v/>
      </c>
      <c r="S51" s="64" t="str">
        <f aca="false">IF(R51="Plazo fijo",IFERROR(INDEX(C_NPF,MATCH(AG51&amp;"-P"&amp;MAX(1,AH51),C_CLAVE,0)),""),"")</f>
        <v/>
      </c>
      <c r="T51" s="65" t="str">
        <f aca="false">IF(B51="","",COUNTIFS(C_RUTN,AG51,C_TIPODOC,"Anexo de modificación"))</f>
        <v/>
      </c>
      <c r="U51" s="66" t="str">
        <f aca="false">IF(AND(OR(R51="Plazo fijo",R51="Obra o faena"),O51&lt;&gt;"Desvinculado"),IFERROR(IF(N(INDEX(C_TER,MATCH(AG51&amp;"-P"&amp;MAX(1,AH51),C_CLAVE,0)))=0,"",INDEX(C_TER,MATCH(AG51&amp;"-P"&amp;MAX(1,AH51),C_CLAVE,0))),""),"")</f>
        <v/>
      </c>
      <c r="V51" s="67" t="str">
        <f aca="false">IF(ISNUMBER(U51),U51-FECHA_CORTE,"")</f>
        <v/>
      </c>
      <c r="W51" s="62" t="str">
        <f aca="false">IF(B51="","",IF(O51="Desvinculado","Terminado",IF(N(AI51)=0,"Sin contrato registrado",IF(O51="Por ingresar","Por ingresar",IF(ISNUMBER(AJ51),"Renovación registrada",IF(R51="Indefinido","Indefinido",IF(NOT(ISNUMBER(V51)),"Falta fecha de término",IF(V51&lt;0,"VENCIDO",IF(V51&lt;=ALERTA_ROJA,"Vence en ≤ "&amp;ALERTA_ROJA&amp;" días",IF(V51&lt;=ALERTA_NARANJA,"Vence en ≤ "&amp;ALERTA_NARANJA&amp;" días",IF(V51&lt;=ALERTA_AMARILLA,"Vence en ≤ "&amp;ALERTA_AMARILLA&amp;" días","Vigente")))))))))))</f>
        <v/>
      </c>
      <c r="X51" s="62" t="str">
        <f aca="false">IF(B51="","",IF(W51="Terminado","—",IF(W51="Sin contrato registrado","Registrar su contrato en la hoja Contratos",IF(W51="Por ingresar","Tener el contrato firmado antes del ingreso",IF(W51="Renovación registrada","Siguiente contrato ya registrado: verificar que esté firmado",IF(R51="Indefinido","Sin vencimiento. Cambios de sueldo o cargo: anexo de modificación",IF(W51="Falta fecha de término","Completar la fecha de término en Contratos",IF(W51="VENCIDO","Sigue trabajando con plazo vencido: por ley ya es INDEFINIDO. Firmar anexo de paso a indefinido",IF(R51="Obra o faena","Al terminar la obra: finiquito + 2,5 días de sueldo por mes trabajado",IF(N(S51)&gt;=2,"2° contrato a plazo: NO se puede renovar otra vez a plazo fijo. Pasar a indefinido o terminar al vencer","1er contrato a plazo: renovar (2° contrato), pasar a indefinido o terminar al vencer"))))))))))</f>
        <v/>
      </c>
      <c r="Y51" s="68" t="str">
        <f aca="false">IF(O51&lt;&gt;"Activo","",ROUND(1.25*(DATEDIF(F51,AO51+1,"m")+(AO51+1-EDATE(F51,DATEDIF(F51,AO51+1,"m")))/30),2))</f>
        <v/>
      </c>
      <c r="Z51" s="68" t="str">
        <f aca="false">IF(O51&lt;&gt;"Activo","",N(M51)+SUMIFS(M_VAC,M_RUTN,AG51,M_MES,"&lt;="&amp;FECHA_CORTE))</f>
        <v/>
      </c>
      <c r="AA51" s="68" t="str">
        <f aca="false">IF(O51&lt;&gt;"Activo","",Y51-Z51)</f>
        <v/>
      </c>
      <c r="AB51" s="63" t="str">
        <f aca="false">IF(O51&lt;&gt;"Activo","",ROUND(MAX(0,IF(AA51&lt;=0,0,WORKDAY(FECHA_CORTE,INT(AA51),FERIADOS)-FECHA_CORTE+(AA51-INT(AA51))))*(Q51+N(K51))/30,0))</f>
        <v/>
      </c>
      <c r="AC51" s="65" t="str">
        <f aca="false">IF(O51&lt;&gt;"Activo","",IF(DATEDIF(F51,FECHA_CORTE+1,"y")&lt;1,0,MIN(TOPE_ANIOS,DATEDIF(F51,FECHA_CORTE+1,"y")+IF(EDATE(F51,12*DATEDIF(F51,FECHA_CORTE+1,"y")+6)&lt;FECHA_CORTE+1,1,0))))</f>
        <v/>
      </c>
      <c r="AD51" s="69" t="str">
        <f aca="false">IF(O51&lt;&gt;"Activo","",AB51+IF(R51="Obra o faena",0,ROUND(AL51*AC51,0)+ROUND(AL51,0)))</f>
        <v/>
      </c>
      <c r="AE51" s="69" t="str">
        <f aca="false">IF(O51&lt;&gt;"Activo","",AB51)</f>
        <v/>
      </c>
      <c r="AF51" s="69" t="str">
        <f aca="false">IF(AN51="","",IF(ISNUMBER(AJ51),"",ROUND(MAX(0,IF(AN51&lt;=0,0,WORKDAY(U51,INT(AN51),FERIADOS)-U51+(AN51-INT(AN51))))*(Q51+N(K51))/30,0)+IF(R51="Obra o faena",ROUND(OBRA_DIAS*AL51/30*(DATEDIF(F51,U51+1,"m")+IF(U51+1-EDATE(F51,DATEDIF(F51,U51+1,"m"))&gt;15,1,0)),0),0)))</f>
        <v/>
      </c>
      <c r="AG51" s="62" t="str">
        <f aca="false">IF(B51="","",IFERROR(VALUE(LEFT(UPPER(SUBSTITUTE(SUBSTITUTE(SUBSTITUTE(TRIM(B51),".",""),"-","")," ","")),LEN(UPPER(SUBSTITUTE(SUBSTITUTE(SUBSTITUTE(TRIM(B51),".",""),"-","")," ","")))-1))&amp;RIGHT(UPPER(SUBSTITUTE(SUBSTITUTE(SUBSTITUTE(TRIM(B51),".",""),"-","")," ","")),1),UPPER(SUBSTITUTE(SUBSTITUTE(SUBSTITUTE(TRIM(B51),".",""),"-","")," ",""))))</f>
        <v/>
      </c>
      <c r="AH51" s="62" t="str">
        <f aca="false">IF(B51="","",COUNTIFS(C_RUTN,AG51,C_DEF,"Sí",C_INI,"&lt;="&amp;FECHA_CORTE))</f>
        <v/>
      </c>
      <c r="AI51" s="62" t="str">
        <f aca="false">IF(B51="","",COUNTIFS(C_RUTN,AG51,C_DEF,"Sí"))</f>
        <v/>
      </c>
      <c r="AJ51" s="66" t="str">
        <f aca="false">IF(OR(B51="",N(AI51)&lt;=N(AH51)),"",IFERROR(INDEX(C_INI,MATCH(AG51&amp;"-P"&amp;(AH51+1),C_CLAVE,0)),""))</f>
        <v/>
      </c>
      <c r="AK51" s="63" t="str">
        <f aca="false">IF(O51&lt;&gt;"Activo","",Q51+N(K51)+IF(L51="Sí",MIN(GRAT_PCT*(Q51+N(K51)),GRAT_TOPE),0)+N(I51)+N(J51))</f>
        <v/>
      </c>
      <c r="AL51" s="63" t="str">
        <f aca="false">IF(O51&lt;&gt;"Activo","",MIN(AK51,TOPE_IAS_UF*UF_MES))</f>
        <v/>
      </c>
      <c r="AM51" s="62" t="str">
        <f aca="false">IF(AND(O51="Activo",ISNUMBER(V51),W51&lt;&gt;"Renovación registrada"),V51+ROW()/100000,"")</f>
        <v/>
      </c>
      <c r="AN51" s="70" t="str">
        <f aca="false">IF(OR(O51&lt;&gt;"Activo",NOT(ISNUMBER(U51))),"",IF(U51&lt;FECHA_CORTE,"",1.25*(DATEDIF(F51,U51+1,"m")+(U51+1-EDATE(F51,DATEDIF(F51,U51+1,"m")))/30)-Z51))</f>
        <v/>
      </c>
      <c r="AO51" s="66" t="str">
        <f aca="false">IF(OR(B51="",NOT(ISNUMBER(F51))),"",IF(N(G51)&gt;0,MIN(G51,FECHA_CORTE),FECHA_CORTE))</f>
        <v/>
      </c>
    </row>
    <row r="52" customFormat="false" ht="15" hidden="false" customHeight="false" outlineLevel="0" collapsed="false">
      <c r="B52" s="58"/>
      <c r="C52" s="58"/>
      <c r="D52" s="58"/>
      <c r="E52" s="58"/>
      <c r="F52" s="59"/>
      <c r="G52" s="59"/>
      <c r="H52" s="58"/>
      <c r="I52" s="60"/>
      <c r="J52" s="60"/>
      <c r="K52" s="60"/>
      <c r="L52" s="58"/>
      <c r="M52" s="61"/>
      <c r="N52" s="58"/>
      <c r="O52" s="62" t="str">
        <f aca="false">IF(B52="","",IF(NOT(ISNUMBER(F52)),"⚠ Falta ingreso",IF(F52&gt;FECHA_CORTE,"Por ingresar",IF(G52="","Activo",IF(G52&lt;FECHA_CORTE,"Desvinculado","Activo")))))</f>
        <v/>
      </c>
      <c r="P52" s="62" t="str">
        <f aca="false">IF(OR(B52="",NOT(ISNUMBER(F52))),"",IF(F52&gt;FECHA_CORTE,"",DATEDIF(F52,IF(G52="",FECHA_CORTE,MIN(G52,FECHA_CORTE))+1,"y")&amp;" a "&amp;DATEDIF(F52,IF(G52="",FECHA_CORTE,MIN(G52,FECHA_CORTE))+1,"ym")&amp;" m"))</f>
        <v/>
      </c>
      <c r="Q52" s="63" t="str">
        <f aca="false">IF(B52="","",IFERROR(INDEX(C_SUELDO,MATCH(AG52&amp;"-S"&amp;MAX(1,COUNTIFS(C_RUTN,AG52,C_SUELDO,"&lt;&gt;",C_INI,"&lt;="&amp;FECHA_CORTE)),C_CLAVES,0)),0))</f>
        <v/>
      </c>
      <c r="R52" s="62" t="str">
        <f aca="false">IF(B52="","",IF(N(AI52)=0,"Sin contrato",IFERROR(INDEX(C_TIPO,MATCH(AG52&amp;"-P"&amp;MAX(1,AH52),C_CLAVE,0))&amp;"","")))</f>
        <v/>
      </c>
      <c r="S52" s="64" t="str">
        <f aca="false">IF(R52="Plazo fijo",IFERROR(INDEX(C_NPF,MATCH(AG52&amp;"-P"&amp;MAX(1,AH52),C_CLAVE,0)),""),"")</f>
        <v/>
      </c>
      <c r="T52" s="65" t="str">
        <f aca="false">IF(B52="","",COUNTIFS(C_RUTN,AG52,C_TIPODOC,"Anexo de modificación"))</f>
        <v/>
      </c>
      <c r="U52" s="66" t="str">
        <f aca="false">IF(AND(OR(R52="Plazo fijo",R52="Obra o faena"),O52&lt;&gt;"Desvinculado"),IFERROR(IF(N(INDEX(C_TER,MATCH(AG52&amp;"-P"&amp;MAX(1,AH52),C_CLAVE,0)))=0,"",INDEX(C_TER,MATCH(AG52&amp;"-P"&amp;MAX(1,AH52),C_CLAVE,0))),""),"")</f>
        <v/>
      </c>
      <c r="V52" s="67" t="str">
        <f aca="false">IF(ISNUMBER(U52),U52-FECHA_CORTE,"")</f>
        <v/>
      </c>
      <c r="W52" s="62" t="str">
        <f aca="false">IF(B52="","",IF(O52="Desvinculado","Terminado",IF(N(AI52)=0,"Sin contrato registrado",IF(O52="Por ingresar","Por ingresar",IF(ISNUMBER(AJ52),"Renovación registrada",IF(R52="Indefinido","Indefinido",IF(NOT(ISNUMBER(V52)),"Falta fecha de término",IF(V52&lt;0,"VENCIDO",IF(V52&lt;=ALERTA_ROJA,"Vence en ≤ "&amp;ALERTA_ROJA&amp;" días",IF(V52&lt;=ALERTA_NARANJA,"Vence en ≤ "&amp;ALERTA_NARANJA&amp;" días",IF(V52&lt;=ALERTA_AMARILLA,"Vence en ≤ "&amp;ALERTA_AMARILLA&amp;" días","Vigente")))))))))))</f>
        <v/>
      </c>
      <c r="X52" s="62" t="str">
        <f aca="false">IF(B52="","",IF(W52="Terminado","—",IF(W52="Sin contrato registrado","Registrar su contrato en la hoja Contratos",IF(W52="Por ingresar","Tener el contrato firmado antes del ingreso",IF(W52="Renovación registrada","Siguiente contrato ya registrado: verificar que esté firmado",IF(R52="Indefinido","Sin vencimiento. Cambios de sueldo o cargo: anexo de modificación",IF(W52="Falta fecha de término","Completar la fecha de término en Contratos",IF(W52="VENCIDO","Sigue trabajando con plazo vencido: por ley ya es INDEFINIDO. Firmar anexo de paso a indefinido",IF(R52="Obra o faena","Al terminar la obra: finiquito + 2,5 días de sueldo por mes trabajado",IF(N(S52)&gt;=2,"2° contrato a plazo: NO se puede renovar otra vez a plazo fijo. Pasar a indefinido o terminar al vencer","1er contrato a plazo: renovar (2° contrato), pasar a indefinido o terminar al vencer"))))))))))</f>
        <v/>
      </c>
      <c r="Y52" s="68" t="str">
        <f aca="false">IF(O52&lt;&gt;"Activo","",ROUND(1.25*(DATEDIF(F52,AO52+1,"m")+(AO52+1-EDATE(F52,DATEDIF(F52,AO52+1,"m")))/30),2))</f>
        <v/>
      </c>
      <c r="Z52" s="68" t="str">
        <f aca="false">IF(O52&lt;&gt;"Activo","",N(M52)+SUMIFS(M_VAC,M_RUTN,AG52,M_MES,"&lt;="&amp;FECHA_CORTE))</f>
        <v/>
      </c>
      <c r="AA52" s="68" t="str">
        <f aca="false">IF(O52&lt;&gt;"Activo","",Y52-Z52)</f>
        <v/>
      </c>
      <c r="AB52" s="63" t="str">
        <f aca="false">IF(O52&lt;&gt;"Activo","",ROUND(MAX(0,IF(AA52&lt;=0,0,WORKDAY(FECHA_CORTE,INT(AA52),FERIADOS)-FECHA_CORTE+(AA52-INT(AA52))))*(Q52+N(K52))/30,0))</f>
        <v/>
      </c>
      <c r="AC52" s="65" t="str">
        <f aca="false">IF(O52&lt;&gt;"Activo","",IF(DATEDIF(F52,FECHA_CORTE+1,"y")&lt;1,0,MIN(TOPE_ANIOS,DATEDIF(F52,FECHA_CORTE+1,"y")+IF(EDATE(F52,12*DATEDIF(F52,FECHA_CORTE+1,"y")+6)&lt;FECHA_CORTE+1,1,0))))</f>
        <v/>
      </c>
      <c r="AD52" s="69" t="str">
        <f aca="false">IF(O52&lt;&gt;"Activo","",AB52+IF(R52="Obra o faena",0,ROUND(AL52*AC52,0)+ROUND(AL52,0)))</f>
        <v/>
      </c>
      <c r="AE52" s="69" t="str">
        <f aca="false">IF(O52&lt;&gt;"Activo","",AB52)</f>
        <v/>
      </c>
      <c r="AF52" s="69" t="str">
        <f aca="false">IF(AN52="","",IF(ISNUMBER(AJ52),"",ROUND(MAX(0,IF(AN52&lt;=0,0,WORKDAY(U52,INT(AN52),FERIADOS)-U52+(AN52-INT(AN52))))*(Q52+N(K52))/30,0)+IF(R52="Obra o faena",ROUND(OBRA_DIAS*AL52/30*(DATEDIF(F52,U52+1,"m")+IF(U52+1-EDATE(F52,DATEDIF(F52,U52+1,"m"))&gt;15,1,0)),0),0)))</f>
        <v/>
      </c>
      <c r="AG52" s="62" t="str">
        <f aca="false">IF(B52="","",IFERROR(VALUE(LEFT(UPPER(SUBSTITUTE(SUBSTITUTE(SUBSTITUTE(TRIM(B52),".",""),"-","")," ","")),LEN(UPPER(SUBSTITUTE(SUBSTITUTE(SUBSTITUTE(TRIM(B52),".",""),"-","")," ","")))-1))&amp;RIGHT(UPPER(SUBSTITUTE(SUBSTITUTE(SUBSTITUTE(TRIM(B52),".",""),"-","")," ","")),1),UPPER(SUBSTITUTE(SUBSTITUTE(SUBSTITUTE(TRIM(B52),".",""),"-","")," ",""))))</f>
        <v/>
      </c>
      <c r="AH52" s="62" t="str">
        <f aca="false">IF(B52="","",COUNTIFS(C_RUTN,AG52,C_DEF,"Sí",C_INI,"&lt;="&amp;FECHA_CORTE))</f>
        <v/>
      </c>
      <c r="AI52" s="62" t="str">
        <f aca="false">IF(B52="","",COUNTIFS(C_RUTN,AG52,C_DEF,"Sí"))</f>
        <v/>
      </c>
      <c r="AJ52" s="66" t="str">
        <f aca="false">IF(OR(B52="",N(AI52)&lt;=N(AH52)),"",IFERROR(INDEX(C_INI,MATCH(AG52&amp;"-P"&amp;(AH52+1),C_CLAVE,0)),""))</f>
        <v/>
      </c>
      <c r="AK52" s="63" t="str">
        <f aca="false">IF(O52&lt;&gt;"Activo","",Q52+N(K52)+IF(L52="Sí",MIN(GRAT_PCT*(Q52+N(K52)),GRAT_TOPE),0)+N(I52)+N(J52))</f>
        <v/>
      </c>
      <c r="AL52" s="63" t="str">
        <f aca="false">IF(O52&lt;&gt;"Activo","",MIN(AK52,TOPE_IAS_UF*UF_MES))</f>
        <v/>
      </c>
      <c r="AM52" s="62" t="str">
        <f aca="false">IF(AND(O52="Activo",ISNUMBER(V52),W52&lt;&gt;"Renovación registrada"),V52+ROW()/100000,"")</f>
        <v/>
      </c>
      <c r="AN52" s="70" t="str">
        <f aca="false">IF(OR(O52&lt;&gt;"Activo",NOT(ISNUMBER(U52))),"",IF(U52&lt;FECHA_CORTE,"",1.25*(DATEDIF(F52,U52+1,"m")+(U52+1-EDATE(F52,DATEDIF(F52,U52+1,"m")))/30)-Z52))</f>
        <v/>
      </c>
      <c r="AO52" s="66" t="str">
        <f aca="false">IF(OR(B52="",NOT(ISNUMBER(F52))),"",IF(N(G52)&gt;0,MIN(G52,FECHA_CORTE),FECHA_CORTE))</f>
        <v/>
      </c>
    </row>
    <row r="53" customFormat="false" ht="15" hidden="false" customHeight="false" outlineLevel="0" collapsed="false">
      <c r="B53" s="58"/>
      <c r="C53" s="58"/>
      <c r="D53" s="58"/>
      <c r="E53" s="58"/>
      <c r="F53" s="59"/>
      <c r="G53" s="59"/>
      <c r="H53" s="58"/>
      <c r="I53" s="60"/>
      <c r="J53" s="60"/>
      <c r="K53" s="60"/>
      <c r="L53" s="58"/>
      <c r="M53" s="61"/>
      <c r="N53" s="58"/>
      <c r="O53" s="62" t="str">
        <f aca="false">IF(B53="","",IF(NOT(ISNUMBER(F53)),"⚠ Falta ingreso",IF(F53&gt;FECHA_CORTE,"Por ingresar",IF(G53="","Activo",IF(G53&lt;FECHA_CORTE,"Desvinculado","Activo")))))</f>
        <v/>
      </c>
      <c r="P53" s="62" t="str">
        <f aca="false">IF(OR(B53="",NOT(ISNUMBER(F53))),"",IF(F53&gt;FECHA_CORTE,"",DATEDIF(F53,IF(G53="",FECHA_CORTE,MIN(G53,FECHA_CORTE))+1,"y")&amp;" a "&amp;DATEDIF(F53,IF(G53="",FECHA_CORTE,MIN(G53,FECHA_CORTE))+1,"ym")&amp;" m"))</f>
        <v/>
      </c>
      <c r="Q53" s="63" t="str">
        <f aca="false">IF(B53="","",IFERROR(INDEX(C_SUELDO,MATCH(AG53&amp;"-S"&amp;MAX(1,COUNTIFS(C_RUTN,AG53,C_SUELDO,"&lt;&gt;",C_INI,"&lt;="&amp;FECHA_CORTE)),C_CLAVES,0)),0))</f>
        <v/>
      </c>
      <c r="R53" s="62" t="str">
        <f aca="false">IF(B53="","",IF(N(AI53)=0,"Sin contrato",IFERROR(INDEX(C_TIPO,MATCH(AG53&amp;"-P"&amp;MAX(1,AH53),C_CLAVE,0))&amp;"","")))</f>
        <v/>
      </c>
      <c r="S53" s="64" t="str">
        <f aca="false">IF(R53="Plazo fijo",IFERROR(INDEX(C_NPF,MATCH(AG53&amp;"-P"&amp;MAX(1,AH53),C_CLAVE,0)),""),"")</f>
        <v/>
      </c>
      <c r="T53" s="65" t="str">
        <f aca="false">IF(B53="","",COUNTIFS(C_RUTN,AG53,C_TIPODOC,"Anexo de modificación"))</f>
        <v/>
      </c>
      <c r="U53" s="66" t="str">
        <f aca="false">IF(AND(OR(R53="Plazo fijo",R53="Obra o faena"),O53&lt;&gt;"Desvinculado"),IFERROR(IF(N(INDEX(C_TER,MATCH(AG53&amp;"-P"&amp;MAX(1,AH53),C_CLAVE,0)))=0,"",INDEX(C_TER,MATCH(AG53&amp;"-P"&amp;MAX(1,AH53),C_CLAVE,0))),""),"")</f>
        <v/>
      </c>
      <c r="V53" s="67" t="str">
        <f aca="false">IF(ISNUMBER(U53),U53-FECHA_CORTE,"")</f>
        <v/>
      </c>
      <c r="W53" s="62" t="str">
        <f aca="false">IF(B53="","",IF(O53="Desvinculado","Terminado",IF(N(AI53)=0,"Sin contrato registrado",IF(O53="Por ingresar","Por ingresar",IF(ISNUMBER(AJ53),"Renovación registrada",IF(R53="Indefinido","Indefinido",IF(NOT(ISNUMBER(V53)),"Falta fecha de término",IF(V53&lt;0,"VENCIDO",IF(V53&lt;=ALERTA_ROJA,"Vence en ≤ "&amp;ALERTA_ROJA&amp;" días",IF(V53&lt;=ALERTA_NARANJA,"Vence en ≤ "&amp;ALERTA_NARANJA&amp;" días",IF(V53&lt;=ALERTA_AMARILLA,"Vence en ≤ "&amp;ALERTA_AMARILLA&amp;" días","Vigente")))))))))))</f>
        <v/>
      </c>
      <c r="X53" s="62" t="str">
        <f aca="false">IF(B53="","",IF(W53="Terminado","—",IF(W53="Sin contrato registrado","Registrar su contrato en la hoja Contratos",IF(W53="Por ingresar","Tener el contrato firmado antes del ingreso",IF(W53="Renovación registrada","Siguiente contrato ya registrado: verificar que esté firmado",IF(R53="Indefinido","Sin vencimiento. Cambios de sueldo o cargo: anexo de modificación",IF(W53="Falta fecha de término","Completar la fecha de término en Contratos",IF(W53="VENCIDO","Sigue trabajando con plazo vencido: por ley ya es INDEFINIDO. Firmar anexo de paso a indefinido",IF(R53="Obra o faena","Al terminar la obra: finiquito + 2,5 días de sueldo por mes trabajado",IF(N(S53)&gt;=2,"2° contrato a plazo: NO se puede renovar otra vez a plazo fijo. Pasar a indefinido o terminar al vencer","1er contrato a plazo: renovar (2° contrato), pasar a indefinido o terminar al vencer"))))))))))</f>
        <v/>
      </c>
      <c r="Y53" s="68" t="str">
        <f aca="false">IF(O53&lt;&gt;"Activo","",ROUND(1.25*(DATEDIF(F53,AO53+1,"m")+(AO53+1-EDATE(F53,DATEDIF(F53,AO53+1,"m")))/30),2))</f>
        <v/>
      </c>
      <c r="Z53" s="68" t="str">
        <f aca="false">IF(O53&lt;&gt;"Activo","",N(M53)+SUMIFS(M_VAC,M_RUTN,AG53,M_MES,"&lt;="&amp;FECHA_CORTE))</f>
        <v/>
      </c>
      <c r="AA53" s="68" t="str">
        <f aca="false">IF(O53&lt;&gt;"Activo","",Y53-Z53)</f>
        <v/>
      </c>
      <c r="AB53" s="63" t="str">
        <f aca="false">IF(O53&lt;&gt;"Activo","",ROUND(MAX(0,IF(AA53&lt;=0,0,WORKDAY(FECHA_CORTE,INT(AA53),FERIADOS)-FECHA_CORTE+(AA53-INT(AA53))))*(Q53+N(K53))/30,0))</f>
        <v/>
      </c>
      <c r="AC53" s="65" t="str">
        <f aca="false">IF(O53&lt;&gt;"Activo","",IF(DATEDIF(F53,FECHA_CORTE+1,"y")&lt;1,0,MIN(TOPE_ANIOS,DATEDIF(F53,FECHA_CORTE+1,"y")+IF(EDATE(F53,12*DATEDIF(F53,FECHA_CORTE+1,"y")+6)&lt;FECHA_CORTE+1,1,0))))</f>
        <v/>
      </c>
      <c r="AD53" s="69" t="str">
        <f aca="false">IF(O53&lt;&gt;"Activo","",AB53+IF(R53="Obra o faena",0,ROUND(AL53*AC53,0)+ROUND(AL53,0)))</f>
        <v/>
      </c>
      <c r="AE53" s="69" t="str">
        <f aca="false">IF(O53&lt;&gt;"Activo","",AB53)</f>
        <v/>
      </c>
      <c r="AF53" s="69" t="str">
        <f aca="false">IF(AN53="","",IF(ISNUMBER(AJ53),"",ROUND(MAX(0,IF(AN53&lt;=0,0,WORKDAY(U53,INT(AN53),FERIADOS)-U53+(AN53-INT(AN53))))*(Q53+N(K53))/30,0)+IF(R53="Obra o faena",ROUND(OBRA_DIAS*AL53/30*(DATEDIF(F53,U53+1,"m")+IF(U53+1-EDATE(F53,DATEDIF(F53,U53+1,"m"))&gt;15,1,0)),0),0)))</f>
        <v/>
      </c>
      <c r="AG53" s="62" t="str">
        <f aca="false">IF(B53="","",IFERROR(VALUE(LEFT(UPPER(SUBSTITUTE(SUBSTITUTE(SUBSTITUTE(TRIM(B53),".",""),"-","")," ","")),LEN(UPPER(SUBSTITUTE(SUBSTITUTE(SUBSTITUTE(TRIM(B53),".",""),"-","")," ","")))-1))&amp;RIGHT(UPPER(SUBSTITUTE(SUBSTITUTE(SUBSTITUTE(TRIM(B53),".",""),"-","")," ","")),1),UPPER(SUBSTITUTE(SUBSTITUTE(SUBSTITUTE(TRIM(B53),".",""),"-","")," ",""))))</f>
        <v/>
      </c>
      <c r="AH53" s="62" t="str">
        <f aca="false">IF(B53="","",COUNTIFS(C_RUTN,AG53,C_DEF,"Sí",C_INI,"&lt;="&amp;FECHA_CORTE))</f>
        <v/>
      </c>
      <c r="AI53" s="62" t="str">
        <f aca="false">IF(B53="","",COUNTIFS(C_RUTN,AG53,C_DEF,"Sí"))</f>
        <v/>
      </c>
      <c r="AJ53" s="66" t="str">
        <f aca="false">IF(OR(B53="",N(AI53)&lt;=N(AH53)),"",IFERROR(INDEX(C_INI,MATCH(AG53&amp;"-P"&amp;(AH53+1),C_CLAVE,0)),""))</f>
        <v/>
      </c>
      <c r="AK53" s="63" t="str">
        <f aca="false">IF(O53&lt;&gt;"Activo","",Q53+N(K53)+IF(L53="Sí",MIN(GRAT_PCT*(Q53+N(K53)),GRAT_TOPE),0)+N(I53)+N(J53))</f>
        <v/>
      </c>
      <c r="AL53" s="63" t="str">
        <f aca="false">IF(O53&lt;&gt;"Activo","",MIN(AK53,TOPE_IAS_UF*UF_MES))</f>
        <v/>
      </c>
      <c r="AM53" s="62" t="str">
        <f aca="false">IF(AND(O53="Activo",ISNUMBER(V53),W53&lt;&gt;"Renovación registrada"),V53+ROW()/100000,"")</f>
        <v/>
      </c>
      <c r="AN53" s="70" t="str">
        <f aca="false">IF(OR(O53&lt;&gt;"Activo",NOT(ISNUMBER(U53))),"",IF(U53&lt;FECHA_CORTE,"",1.25*(DATEDIF(F53,U53+1,"m")+(U53+1-EDATE(F53,DATEDIF(F53,U53+1,"m")))/30)-Z53))</f>
        <v/>
      </c>
      <c r="AO53" s="66" t="str">
        <f aca="false">IF(OR(B53="",NOT(ISNUMBER(F53))),"",IF(N(G53)&gt;0,MIN(G53,FECHA_CORTE),FECHA_CORTE))</f>
        <v/>
      </c>
    </row>
    <row r="54" customFormat="false" ht="15" hidden="false" customHeight="false" outlineLevel="0" collapsed="false">
      <c r="B54" s="58"/>
      <c r="C54" s="58"/>
      <c r="D54" s="58"/>
      <c r="E54" s="58"/>
      <c r="F54" s="59"/>
      <c r="G54" s="59"/>
      <c r="H54" s="58"/>
      <c r="I54" s="60"/>
      <c r="J54" s="60"/>
      <c r="K54" s="60"/>
      <c r="L54" s="58"/>
      <c r="M54" s="61"/>
      <c r="N54" s="58"/>
      <c r="O54" s="62" t="str">
        <f aca="false">IF(B54="","",IF(NOT(ISNUMBER(F54)),"⚠ Falta ingreso",IF(F54&gt;FECHA_CORTE,"Por ingresar",IF(G54="","Activo",IF(G54&lt;FECHA_CORTE,"Desvinculado","Activo")))))</f>
        <v/>
      </c>
      <c r="P54" s="62" t="str">
        <f aca="false">IF(OR(B54="",NOT(ISNUMBER(F54))),"",IF(F54&gt;FECHA_CORTE,"",DATEDIF(F54,IF(G54="",FECHA_CORTE,MIN(G54,FECHA_CORTE))+1,"y")&amp;" a "&amp;DATEDIF(F54,IF(G54="",FECHA_CORTE,MIN(G54,FECHA_CORTE))+1,"ym")&amp;" m"))</f>
        <v/>
      </c>
      <c r="Q54" s="63" t="str">
        <f aca="false">IF(B54="","",IFERROR(INDEX(C_SUELDO,MATCH(AG54&amp;"-S"&amp;MAX(1,COUNTIFS(C_RUTN,AG54,C_SUELDO,"&lt;&gt;",C_INI,"&lt;="&amp;FECHA_CORTE)),C_CLAVES,0)),0))</f>
        <v/>
      </c>
      <c r="R54" s="62" t="str">
        <f aca="false">IF(B54="","",IF(N(AI54)=0,"Sin contrato",IFERROR(INDEX(C_TIPO,MATCH(AG54&amp;"-P"&amp;MAX(1,AH54),C_CLAVE,0))&amp;"","")))</f>
        <v/>
      </c>
      <c r="S54" s="64" t="str">
        <f aca="false">IF(R54="Plazo fijo",IFERROR(INDEX(C_NPF,MATCH(AG54&amp;"-P"&amp;MAX(1,AH54),C_CLAVE,0)),""),"")</f>
        <v/>
      </c>
      <c r="T54" s="65" t="str">
        <f aca="false">IF(B54="","",COUNTIFS(C_RUTN,AG54,C_TIPODOC,"Anexo de modificación"))</f>
        <v/>
      </c>
      <c r="U54" s="66" t="str">
        <f aca="false">IF(AND(OR(R54="Plazo fijo",R54="Obra o faena"),O54&lt;&gt;"Desvinculado"),IFERROR(IF(N(INDEX(C_TER,MATCH(AG54&amp;"-P"&amp;MAX(1,AH54),C_CLAVE,0)))=0,"",INDEX(C_TER,MATCH(AG54&amp;"-P"&amp;MAX(1,AH54),C_CLAVE,0))),""),"")</f>
        <v/>
      </c>
      <c r="V54" s="67" t="str">
        <f aca="false">IF(ISNUMBER(U54),U54-FECHA_CORTE,"")</f>
        <v/>
      </c>
      <c r="W54" s="62" t="str">
        <f aca="false">IF(B54="","",IF(O54="Desvinculado","Terminado",IF(N(AI54)=0,"Sin contrato registrado",IF(O54="Por ingresar","Por ingresar",IF(ISNUMBER(AJ54),"Renovación registrada",IF(R54="Indefinido","Indefinido",IF(NOT(ISNUMBER(V54)),"Falta fecha de término",IF(V54&lt;0,"VENCIDO",IF(V54&lt;=ALERTA_ROJA,"Vence en ≤ "&amp;ALERTA_ROJA&amp;" días",IF(V54&lt;=ALERTA_NARANJA,"Vence en ≤ "&amp;ALERTA_NARANJA&amp;" días",IF(V54&lt;=ALERTA_AMARILLA,"Vence en ≤ "&amp;ALERTA_AMARILLA&amp;" días","Vigente")))))))))))</f>
        <v/>
      </c>
      <c r="X54" s="62" t="str">
        <f aca="false">IF(B54="","",IF(W54="Terminado","—",IF(W54="Sin contrato registrado","Registrar su contrato en la hoja Contratos",IF(W54="Por ingresar","Tener el contrato firmado antes del ingreso",IF(W54="Renovación registrada","Siguiente contrato ya registrado: verificar que esté firmado",IF(R54="Indefinido","Sin vencimiento. Cambios de sueldo o cargo: anexo de modificación",IF(W54="Falta fecha de término","Completar la fecha de término en Contratos",IF(W54="VENCIDO","Sigue trabajando con plazo vencido: por ley ya es INDEFINIDO. Firmar anexo de paso a indefinido",IF(R54="Obra o faena","Al terminar la obra: finiquito + 2,5 días de sueldo por mes trabajado",IF(N(S54)&gt;=2,"2° contrato a plazo: NO se puede renovar otra vez a plazo fijo. Pasar a indefinido o terminar al vencer","1er contrato a plazo: renovar (2° contrato), pasar a indefinido o terminar al vencer"))))))))))</f>
        <v/>
      </c>
      <c r="Y54" s="68" t="str">
        <f aca="false">IF(O54&lt;&gt;"Activo","",ROUND(1.25*(DATEDIF(F54,AO54+1,"m")+(AO54+1-EDATE(F54,DATEDIF(F54,AO54+1,"m")))/30),2))</f>
        <v/>
      </c>
      <c r="Z54" s="68" t="str">
        <f aca="false">IF(O54&lt;&gt;"Activo","",N(M54)+SUMIFS(M_VAC,M_RUTN,AG54,M_MES,"&lt;="&amp;FECHA_CORTE))</f>
        <v/>
      </c>
      <c r="AA54" s="68" t="str">
        <f aca="false">IF(O54&lt;&gt;"Activo","",Y54-Z54)</f>
        <v/>
      </c>
      <c r="AB54" s="63" t="str">
        <f aca="false">IF(O54&lt;&gt;"Activo","",ROUND(MAX(0,IF(AA54&lt;=0,0,WORKDAY(FECHA_CORTE,INT(AA54),FERIADOS)-FECHA_CORTE+(AA54-INT(AA54))))*(Q54+N(K54))/30,0))</f>
        <v/>
      </c>
      <c r="AC54" s="65" t="str">
        <f aca="false">IF(O54&lt;&gt;"Activo","",IF(DATEDIF(F54,FECHA_CORTE+1,"y")&lt;1,0,MIN(TOPE_ANIOS,DATEDIF(F54,FECHA_CORTE+1,"y")+IF(EDATE(F54,12*DATEDIF(F54,FECHA_CORTE+1,"y")+6)&lt;FECHA_CORTE+1,1,0))))</f>
        <v/>
      </c>
      <c r="AD54" s="69" t="str">
        <f aca="false">IF(O54&lt;&gt;"Activo","",AB54+IF(R54="Obra o faena",0,ROUND(AL54*AC54,0)+ROUND(AL54,0)))</f>
        <v/>
      </c>
      <c r="AE54" s="69" t="str">
        <f aca="false">IF(O54&lt;&gt;"Activo","",AB54)</f>
        <v/>
      </c>
      <c r="AF54" s="69" t="str">
        <f aca="false">IF(AN54="","",IF(ISNUMBER(AJ54),"",ROUND(MAX(0,IF(AN54&lt;=0,0,WORKDAY(U54,INT(AN54),FERIADOS)-U54+(AN54-INT(AN54))))*(Q54+N(K54))/30,0)+IF(R54="Obra o faena",ROUND(OBRA_DIAS*AL54/30*(DATEDIF(F54,U54+1,"m")+IF(U54+1-EDATE(F54,DATEDIF(F54,U54+1,"m"))&gt;15,1,0)),0),0)))</f>
        <v/>
      </c>
      <c r="AG54" s="62" t="str">
        <f aca="false">IF(B54="","",IFERROR(VALUE(LEFT(UPPER(SUBSTITUTE(SUBSTITUTE(SUBSTITUTE(TRIM(B54),".",""),"-","")," ","")),LEN(UPPER(SUBSTITUTE(SUBSTITUTE(SUBSTITUTE(TRIM(B54),".",""),"-","")," ","")))-1))&amp;RIGHT(UPPER(SUBSTITUTE(SUBSTITUTE(SUBSTITUTE(TRIM(B54),".",""),"-","")," ","")),1),UPPER(SUBSTITUTE(SUBSTITUTE(SUBSTITUTE(TRIM(B54),".",""),"-","")," ",""))))</f>
        <v/>
      </c>
      <c r="AH54" s="62" t="str">
        <f aca="false">IF(B54="","",COUNTIFS(C_RUTN,AG54,C_DEF,"Sí",C_INI,"&lt;="&amp;FECHA_CORTE))</f>
        <v/>
      </c>
      <c r="AI54" s="62" t="str">
        <f aca="false">IF(B54="","",COUNTIFS(C_RUTN,AG54,C_DEF,"Sí"))</f>
        <v/>
      </c>
      <c r="AJ54" s="66" t="str">
        <f aca="false">IF(OR(B54="",N(AI54)&lt;=N(AH54)),"",IFERROR(INDEX(C_INI,MATCH(AG54&amp;"-P"&amp;(AH54+1),C_CLAVE,0)),""))</f>
        <v/>
      </c>
      <c r="AK54" s="63" t="str">
        <f aca="false">IF(O54&lt;&gt;"Activo","",Q54+N(K54)+IF(L54="Sí",MIN(GRAT_PCT*(Q54+N(K54)),GRAT_TOPE),0)+N(I54)+N(J54))</f>
        <v/>
      </c>
      <c r="AL54" s="63" t="str">
        <f aca="false">IF(O54&lt;&gt;"Activo","",MIN(AK54,TOPE_IAS_UF*UF_MES))</f>
        <v/>
      </c>
      <c r="AM54" s="62" t="str">
        <f aca="false">IF(AND(O54="Activo",ISNUMBER(V54),W54&lt;&gt;"Renovación registrada"),V54+ROW()/100000,"")</f>
        <v/>
      </c>
      <c r="AN54" s="70" t="str">
        <f aca="false">IF(OR(O54&lt;&gt;"Activo",NOT(ISNUMBER(U54))),"",IF(U54&lt;FECHA_CORTE,"",1.25*(DATEDIF(F54,U54+1,"m")+(U54+1-EDATE(F54,DATEDIF(F54,U54+1,"m")))/30)-Z54))</f>
        <v/>
      </c>
      <c r="AO54" s="66" t="str">
        <f aca="false">IF(OR(B54="",NOT(ISNUMBER(F54))),"",IF(N(G54)&gt;0,MIN(G54,FECHA_CORTE),FECHA_CORTE))</f>
        <v/>
      </c>
    </row>
    <row r="55" customFormat="false" ht="15" hidden="false" customHeight="false" outlineLevel="0" collapsed="false">
      <c r="B55" s="58"/>
      <c r="C55" s="58"/>
      <c r="D55" s="58"/>
      <c r="E55" s="58"/>
      <c r="F55" s="59"/>
      <c r="G55" s="59"/>
      <c r="H55" s="58"/>
      <c r="I55" s="60"/>
      <c r="J55" s="60"/>
      <c r="K55" s="60"/>
      <c r="L55" s="58"/>
      <c r="M55" s="61"/>
      <c r="N55" s="58"/>
      <c r="O55" s="62" t="str">
        <f aca="false">IF(B55="","",IF(NOT(ISNUMBER(F55)),"⚠ Falta ingreso",IF(F55&gt;FECHA_CORTE,"Por ingresar",IF(G55="","Activo",IF(G55&lt;FECHA_CORTE,"Desvinculado","Activo")))))</f>
        <v/>
      </c>
      <c r="P55" s="62" t="str">
        <f aca="false">IF(OR(B55="",NOT(ISNUMBER(F55))),"",IF(F55&gt;FECHA_CORTE,"",DATEDIF(F55,IF(G55="",FECHA_CORTE,MIN(G55,FECHA_CORTE))+1,"y")&amp;" a "&amp;DATEDIF(F55,IF(G55="",FECHA_CORTE,MIN(G55,FECHA_CORTE))+1,"ym")&amp;" m"))</f>
        <v/>
      </c>
      <c r="Q55" s="63" t="str">
        <f aca="false">IF(B55="","",IFERROR(INDEX(C_SUELDO,MATCH(AG55&amp;"-S"&amp;MAX(1,COUNTIFS(C_RUTN,AG55,C_SUELDO,"&lt;&gt;",C_INI,"&lt;="&amp;FECHA_CORTE)),C_CLAVES,0)),0))</f>
        <v/>
      </c>
      <c r="R55" s="62" t="str">
        <f aca="false">IF(B55="","",IF(N(AI55)=0,"Sin contrato",IFERROR(INDEX(C_TIPO,MATCH(AG55&amp;"-P"&amp;MAX(1,AH55),C_CLAVE,0))&amp;"","")))</f>
        <v/>
      </c>
      <c r="S55" s="64" t="str">
        <f aca="false">IF(R55="Plazo fijo",IFERROR(INDEX(C_NPF,MATCH(AG55&amp;"-P"&amp;MAX(1,AH55),C_CLAVE,0)),""),"")</f>
        <v/>
      </c>
      <c r="T55" s="65" t="str">
        <f aca="false">IF(B55="","",COUNTIFS(C_RUTN,AG55,C_TIPODOC,"Anexo de modificación"))</f>
        <v/>
      </c>
      <c r="U55" s="66" t="str">
        <f aca="false">IF(AND(OR(R55="Plazo fijo",R55="Obra o faena"),O55&lt;&gt;"Desvinculado"),IFERROR(IF(N(INDEX(C_TER,MATCH(AG55&amp;"-P"&amp;MAX(1,AH55),C_CLAVE,0)))=0,"",INDEX(C_TER,MATCH(AG55&amp;"-P"&amp;MAX(1,AH55),C_CLAVE,0))),""),"")</f>
        <v/>
      </c>
      <c r="V55" s="67" t="str">
        <f aca="false">IF(ISNUMBER(U55),U55-FECHA_CORTE,"")</f>
        <v/>
      </c>
      <c r="W55" s="62" t="str">
        <f aca="false">IF(B55="","",IF(O55="Desvinculado","Terminado",IF(N(AI55)=0,"Sin contrato registrado",IF(O55="Por ingresar","Por ingresar",IF(ISNUMBER(AJ55),"Renovación registrada",IF(R55="Indefinido","Indefinido",IF(NOT(ISNUMBER(V55)),"Falta fecha de término",IF(V55&lt;0,"VENCIDO",IF(V55&lt;=ALERTA_ROJA,"Vence en ≤ "&amp;ALERTA_ROJA&amp;" días",IF(V55&lt;=ALERTA_NARANJA,"Vence en ≤ "&amp;ALERTA_NARANJA&amp;" días",IF(V55&lt;=ALERTA_AMARILLA,"Vence en ≤ "&amp;ALERTA_AMARILLA&amp;" días","Vigente")))))))))))</f>
        <v/>
      </c>
      <c r="X55" s="62" t="str">
        <f aca="false">IF(B55="","",IF(W55="Terminado","—",IF(W55="Sin contrato registrado","Registrar su contrato en la hoja Contratos",IF(W55="Por ingresar","Tener el contrato firmado antes del ingreso",IF(W55="Renovación registrada","Siguiente contrato ya registrado: verificar que esté firmado",IF(R55="Indefinido","Sin vencimiento. Cambios de sueldo o cargo: anexo de modificación",IF(W55="Falta fecha de término","Completar la fecha de término en Contratos",IF(W55="VENCIDO","Sigue trabajando con plazo vencido: por ley ya es INDEFINIDO. Firmar anexo de paso a indefinido",IF(R55="Obra o faena","Al terminar la obra: finiquito + 2,5 días de sueldo por mes trabajado",IF(N(S55)&gt;=2,"2° contrato a plazo: NO se puede renovar otra vez a plazo fijo. Pasar a indefinido o terminar al vencer","1er contrato a plazo: renovar (2° contrato), pasar a indefinido o terminar al vencer"))))))))))</f>
        <v/>
      </c>
      <c r="Y55" s="68" t="str">
        <f aca="false">IF(O55&lt;&gt;"Activo","",ROUND(1.25*(DATEDIF(F55,AO55+1,"m")+(AO55+1-EDATE(F55,DATEDIF(F55,AO55+1,"m")))/30),2))</f>
        <v/>
      </c>
      <c r="Z55" s="68" t="str">
        <f aca="false">IF(O55&lt;&gt;"Activo","",N(M55)+SUMIFS(M_VAC,M_RUTN,AG55,M_MES,"&lt;="&amp;FECHA_CORTE))</f>
        <v/>
      </c>
      <c r="AA55" s="68" t="str">
        <f aca="false">IF(O55&lt;&gt;"Activo","",Y55-Z55)</f>
        <v/>
      </c>
      <c r="AB55" s="63" t="str">
        <f aca="false">IF(O55&lt;&gt;"Activo","",ROUND(MAX(0,IF(AA55&lt;=0,0,WORKDAY(FECHA_CORTE,INT(AA55),FERIADOS)-FECHA_CORTE+(AA55-INT(AA55))))*(Q55+N(K55))/30,0))</f>
        <v/>
      </c>
      <c r="AC55" s="65" t="str">
        <f aca="false">IF(O55&lt;&gt;"Activo","",IF(DATEDIF(F55,FECHA_CORTE+1,"y")&lt;1,0,MIN(TOPE_ANIOS,DATEDIF(F55,FECHA_CORTE+1,"y")+IF(EDATE(F55,12*DATEDIF(F55,FECHA_CORTE+1,"y")+6)&lt;FECHA_CORTE+1,1,0))))</f>
        <v/>
      </c>
      <c r="AD55" s="69" t="str">
        <f aca="false">IF(O55&lt;&gt;"Activo","",AB55+IF(R55="Obra o faena",0,ROUND(AL55*AC55,0)+ROUND(AL55,0)))</f>
        <v/>
      </c>
      <c r="AE55" s="69" t="str">
        <f aca="false">IF(O55&lt;&gt;"Activo","",AB55)</f>
        <v/>
      </c>
      <c r="AF55" s="69" t="str">
        <f aca="false">IF(AN55="","",IF(ISNUMBER(AJ55),"",ROUND(MAX(0,IF(AN55&lt;=0,0,WORKDAY(U55,INT(AN55),FERIADOS)-U55+(AN55-INT(AN55))))*(Q55+N(K55))/30,0)+IF(R55="Obra o faena",ROUND(OBRA_DIAS*AL55/30*(DATEDIF(F55,U55+1,"m")+IF(U55+1-EDATE(F55,DATEDIF(F55,U55+1,"m"))&gt;15,1,0)),0),0)))</f>
        <v/>
      </c>
      <c r="AG55" s="62" t="str">
        <f aca="false">IF(B55="","",IFERROR(VALUE(LEFT(UPPER(SUBSTITUTE(SUBSTITUTE(SUBSTITUTE(TRIM(B55),".",""),"-","")," ","")),LEN(UPPER(SUBSTITUTE(SUBSTITUTE(SUBSTITUTE(TRIM(B55),".",""),"-","")," ","")))-1))&amp;RIGHT(UPPER(SUBSTITUTE(SUBSTITUTE(SUBSTITUTE(TRIM(B55),".",""),"-","")," ","")),1),UPPER(SUBSTITUTE(SUBSTITUTE(SUBSTITUTE(TRIM(B55),".",""),"-","")," ",""))))</f>
        <v/>
      </c>
      <c r="AH55" s="62" t="str">
        <f aca="false">IF(B55="","",COUNTIFS(C_RUTN,AG55,C_DEF,"Sí",C_INI,"&lt;="&amp;FECHA_CORTE))</f>
        <v/>
      </c>
      <c r="AI55" s="62" t="str">
        <f aca="false">IF(B55="","",COUNTIFS(C_RUTN,AG55,C_DEF,"Sí"))</f>
        <v/>
      </c>
      <c r="AJ55" s="66" t="str">
        <f aca="false">IF(OR(B55="",N(AI55)&lt;=N(AH55)),"",IFERROR(INDEX(C_INI,MATCH(AG55&amp;"-P"&amp;(AH55+1),C_CLAVE,0)),""))</f>
        <v/>
      </c>
      <c r="AK55" s="63" t="str">
        <f aca="false">IF(O55&lt;&gt;"Activo","",Q55+N(K55)+IF(L55="Sí",MIN(GRAT_PCT*(Q55+N(K55)),GRAT_TOPE),0)+N(I55)+N(J55))</f>
        <v/>
      </c>
      <c r="AL55" s="63" t="str">
        <f aca="false">IF(O55&lt;&gt;"Activo","",MIN(AK55,TOPE_IAS_UF*UF_MES))</f>
        <v/>
      </c>
      <c r="AM55" s="62" t="str">
        <f aca="false">IF(AND(O55="Activo",ISNUMBER(V55),W55&lt;&gt;"Renovación registrada"),V55+ROW()/100000,"")</f>
        <v/>
      </c>
      <c r="AN55" s="70" t="str">
        <f aca="false">IF(OR(O55&lt;&gt;"Activo",NOT(ISNUMBER(U55))),"",IF(U55&lt;FECHA_CORTE,"",1.25*(DATEDIF(F55,U55+1,"m")+(U55+1-EDATE(F55,DATEDIF(F55,U55+1,"m")))/30)-Z55))</f>
        <v/>
      </c>
      <c r="AO55" s="66" t="str">
        <f aca="false">IF(OR(B55="",NOT(ISNUMBER(F55))),"",IF(N(G55)&gt;0,MIN(G55,FECHA_CORTE),FECHA_CORTE))</f>
        <v/>
      </c>
    </row>
    <row r="56" customFormat="false" ht="15" hidden="false" customHeight="false" outlineLevel="0" collapsed="false">
      <c r="B56" s="58"/>
      <c r="C56" s="58"/>
      <c r="D56" s="58"/>
      <c r="E56" s="58"/>
      <c r="F56" s="59"/>
      <c r="G56" s="59"/>
      <c r="H56" s="58"/>
      <c r="I56" s="60"/>
      <c r="J56" s="60"/>
      <c r="K56" s="60"/>
      <c r="L56" s="58"/>
      <c r="M56" s="61"/>
      <c r="N56" s="58"/>
      <c r="O56" s="62" t="str">
        <f aca="false">IF(B56="","",IF(NOT(ISNUMBER(F56)),"⚠ Falta ingreso",IF(F56&gt;FECHA_CORTE,"Por ingresar",IF(G56="","Activo",IF(G56&lt;FECHA_CORTE,"Desvinculado","Activo")))))</f>
        <v/>
      </c>
      <c r="P56" s="62" t="str">
        <f aca="false">IF(OR(B56="",NOT(ISNUMBER(F56))),"",IF(F56&gt;FECHA_CORTE,"",DATEDIF(F56,IF(G56="",FECHA_CORTE,MIN(G56,FECHA_CORTE))+1,"y")&amp;" a "&amp;DATEDIF(F56,IF(G56="",FECHA_CORTE,MIN(G56,FECHA_CORTE))+1,"ym")&amp;" m"))</f>
        <v/>
      </c>
      <c r="Q56" s="63" t="str">
        <f aca="false">IF(B56="","",IFERROR(INDEX(C_SUELDO,MATCH(AG56&amp;"-S"&amp;MAX(1,COUNTIFS(C_RUTN,AG56,C_SUELDO,"&lt;&gt;",C_INI,"&lt;="&amp;FECHA_CORTE)),C_CLAVES,0)),0))</f>
        <v/>
      </c>
      <c r="R56" s="62" t="str">
        <f aca="false">IF(B56="","",IF(N(AI56)=0,"Sin contrato",IFERROR(INDEX(C_TIPO,MATCH(AG56&amp;"-P"&amp;MAX(1,AH56),C_CLAVE,0))&amp;"","")))</f>
        <v/>
      </c>
      <c r="S56" s="64" t="str">
        <f aca="false">IF(R56="Plazo fijo",IFERROR(INDEX(C_NPF,MATCH(AG56&amp;"-P"&amp;MAX(1,AH56),C_CLAVE,0)),""),"")</f>
        <v/>
      </c>
      <c r="T56" s="65" t="str">
        <f aca="false">IF(B56="","",COUNTIFS(C_RUTN,AG56,C_TIPODOC,"Anexo de modificación"))</f>
        <v/>
      </c>
      <c r="U56" s="66" t="str">
        <f aca="false">IF(AND(OR(R56="Plazo fijo",R56="Obra o faena"),O56&lt;&gt;"Desvinculado"),IFERROR(IF(N(INDEX(C_TER,MATCH(AG56&amp;"-P"&amp;MAX(1,AH56),C_CLAVE,0)))=0,"",INDEX(C_TER,MATCH(AG56&amp;"-P"&amp;MAX(1,AH56),C_CLAVE,0))),""),"")</f>
        <v/>
      </c>
      <c r="V56" s="67" t="str">
        <f aca="false">IF(ISNUMBER(U56),U56-FECHA_CORTE,"")</f>
        <v/>
      </c>
      <c r="W56" s="62" t="str">
        <f aca="false">IF(B56="","",IF(O56="Desvinculado","Terminado",IF(N(AI56)=0,"Sin contrato registrado",IF(O56="Por ingresar","Por ingresar",IF(ISNUMBER(AJ56),"Renovación registrada",IF(R56="Indefinido","Indefinido",IF(NOT(ISNUMBER(V56)),"Falta fecha de término",IF(V56&lt;0,"VENCIDO",IF(V56&lt;=ALERTA_ROJA,"Vence en ≤ "&amp;ALERTA_ROJA&amp;" días",IF(V56&lt;=ALERTA_NARANJA,"Vence en ≤ "&amp;ALERTA_NARANJA&amp;" días",IF(V56&lt;=ALERTA_AMARILLA,"Vence en ≤ "&amp;ALERTA_AMARILLA&amp;" días","Vigente")))))))))))</f>
        <v/>
      </c>
      <c r="X56" s="62" t="str">
        <f aca="false">IF(B56="","",IF(W56="Terminado","—",IF(W56="Sin contrato registrado","Registrar su contrato en la hoja Contratos",IF(W56="Por ingresar","Tener el contrato firmado antes del ingreso",IF(W56="Renovación registrada","Siguiente contrato ya registrado: verificar que esté firmado",IF(R56="Indefinido","Sin vencimiento. Cambios de sueldo o cargo: anexo de modificación",IF(W56="Falta fecha de término","Completar la fecha de término en Contratos",IF(W56="VENCIDO","Sigue trabajando con plazo vencido: por ley ya es INDEFINIDO. Firmar anexo de paso a indefinido",IF(R56="Obra o faena","Al terminar la obra: finiquito + 2,5 días de sueldo por mes trabajado",IF(N(S56)&gt;=2,"2° contrato a plazo: NO se puede renovar otra vez a plazo fijo. Pasar a indefinido o terminar al vencer","1er contrato a plazo: renovar (2° contrato), pasar a indefinido o terminar al vencer"))))))))))</f>
        <v/>
      </c>
      <c r="Y56" s="68" t="str">
        <f aca="false">IF(O56&lt;&gt;"Activo","",ROUND(1.25*(DATEDIF(F56,AO56+1,"m")+(AO56+1-EDATE(F56,DATEDIF(F56,AO56+1,"m")))/30),2))</f>
        <v/>
      </c>
      <c r="Z56" s="68" t="str">
        <f aca="false">IF(O56&lt;&gt;"Activo","",N(M56)+SUMIFS(M_VAC,M_RUTN,AG56,M_MES,"&lt;="&amp;FECHA_CORTE))</f>
        <v/>
      </c>
      <c r="AA56" s="68" t="str">
        <f aca="false">IF(O56&lt;&gt;"Activo","",Y56-Z56)</f>
        <v/>
      </c>
      <c r="AB56" s="63" t="str">
        <f aca="false">IF(O56&lt;&gt;"Activo","",ROUND(MAX(0,IF(AA56&lt;=0,0,WORKDAY(FECHA_CORTE,INT(AA56),FERIADOS)-FECHA_CORTE+(AA56-INT(AA56))))*(Q56+N(K56))/30,0))</f>
        <v/>
      </c>
      <c r="AC56" s="65" t="str">
        <f aca="false">IF(O56&lt;&gt;"Activo","",IF(DATEDIF(F56,FECHA_CORTE+1,"y")&lt;1,0,MIN(TOPE_ANIOS,DATEDIF(F56,FECHA_CORTE+1,"y")+IF(EDATE(F56,12*DATEDIF(F56,FECHA_CORTE+1,"y")+6)&lt;FECHA_CORTE+1,1,0))))</f>
        <v/>
      </c>
      <c r="AD56" s="69" t="str">
        <f aca="false">IF(O56&lt;&gt;"Activo","",AB56+IF(R56="Obra o faena",0,ROUND(AL56*AC56,0)+ROUND(AL56,0)))</f>
        <v/>
      </c>
      <c r="AE56" s="69" t="str">
        <f aca="false">IF(O56&lt;&gt;"Activo","",AB56)</f>
        <v/>
      </c>
      <c r="AF56" s="69" t="str">
        <f aca="false">IF(AN56="","",IF(ISNUMBER(AJ56),"",ROUND(MAX(0,IF(AN56&lt;=0,0,WORKDAY(U56,INT(AN56),FERIADOS)-U56+(AN56-INT(AN56))))*(Q56+N(K56))/30,0)+IF(R56="Obra o faena",ROUND(OBRA_DIAS*AL56/30*(DATEDIF(F56,U56+1,"m")+IF(U56+1-EDATE(F56,DATEDIF(F56,U56+1,"m"))&gt;15,1,0)),0),0)))</f>
        <v/>
      </c>
      <c r="AG56" s="62" t="str">
        <f aca="false">IF(B56="","",IFERROR(VALUE(LEFT(UPPER(SUBSTITUTE(SUBSTITUTE(SUBSTITUTE(TRIM(B56),".",""),"-","")," ","")),LEN(UPPER(SUBSTITUTE(SUBSTITUTE(SUBSTITUTE(TRIM(B56),".",""),"-","")," ","")))-1))&amp;RIGHT(UPPER(SUBSTITUTE(SUBSTITUTE(SUBSTITUTE(TRIM(B56),".",""),"-","")," ","")),1),UPPER(SUBSTITUTE(SUBSTITUTE(SUBSTITUTE(TRIM(B56),".",""),"-","")," ",""))))</f>
        <v/>
      </c>
      <c r="AH56" s="62" t="str">
        <f aca="false">IF(B56="","",COUNTIFS(C_RUTN,AG56,C_DEF,"Sí",C_INI,"&lt;="&amp;FECHA_CORTE))</f>
        <v/>
      </c>
      <c r="AI56" s="62" t="str">
        <f aca="false">IF(B56="","",COUNTIFS(C_RUTN,AG56,C_DEF,"Sí"))</f>
        <v/>
      </c>
      <c r="AJ56" s="66" t="str">
        <f aca="false">IF(OR(B56="",N(AI56)&lt;=N(AH56)),"",IFERROR(INDEX(C_INI,MATCH(AG56&amp;"-P"&amp;(AH56+1),C_CLAVE,0)),""))</f>
        <v/>
      </c>
      <c r="AK56" s="63" t="str">
        <f aca="false">IF(O56&lt;&gt;"Activo","",Q56+N(K56)+IF(L56="Sí",MIN(GRAT_PCT*(Q56+N(K56)),GRAT_TOPE),0)+N(I56)+N(J56))</f>
        <v/>
      </c>
      <c r="AL56" s="63" t="str">
        <f aca="false">IF(O56&lt;&gt;"Activo","",MIN(AK56,TOPE_IAS_UF*UF_MES))</f>
        <v/>
      </c>
      <c r="AM56" s="62" t="str">
        <f aca="false">IF(AND(O56="Activo",ISNUMBER(V56),W56&lt;&gt;"Renovación registrada"),V56+ROW()/100000,"")</f>
        <v/>
      </c>
      <c r="AN56" s="70" t="str">
        <f aca="false">IF(OR(O56&lt;&gt;"Activo",NOT(ISNUMBER(U56))),"",IF(U56&lt;FECHA_CORTE,"",1.25*(DATEDIF(F56,U56+1,"m")+(U56+1-EDATE(F56,DATEDIF(F56,U56+1,"m")))/30)-Z56))</f>
        <v/>
      </c>
      <c r="AO56" s="66" t="str">
        <f aca="false">IF(OR(B56="",NOT(ISNUMBER(F56))),"",IF(N(G56)&gt;0,MIN(G56,FECHA_CORTE),FECHA_CORTE))</f>
        <v/>
      </c>
    </row>
    <row r="57" customFormat="false" ht="15" hidden="false" customHeight="false" outlineLevel="0" collapsed="false">
      <c r="B57" s="58"/>
      <c r="C57" s="58"/>
      <c r="D57" s="58"/>
      <c r="E57" s="58"/>
      <c r="F57" s="59"/>
      <c r="G57" s="59"/>
      <c r="H57" s="58"/>
      <c r="I57" s="60"/>
      <c r="J57" s="60"/>
      <c r="K57" s="60"/>
      <c r="L57" s="58"/>
      <c r="M57" s="61"/>
      <c r="N57" s="58"/>
      <c r="O57" s="62" t="str">
        <f aca="false">IF(B57="","",IF(NOT(ISNUMBER(F57)),"⚠ Falta ingreso",IF(F57&gt;FECHA_CORTE,"Por ingresar",IF(G57="","Activo",IF(G57&lt;FECHA_CORTE,"Desvinculado","Activo")))))</f>
        <v/>
      </c>
      <c r="P57" s="62" t="str">
        <f aca="false">IF(OR(B57="",NOT(ISNUMBER(F57))),"",IF(F57&gt;FECHA_CORTE,"",DATEDIF(F57,IF(G57="",FECHA_CORTE,MIN(G57,FECHA_CORTE))+1,"y")&amp;" a "&amp;DATEDIF(F57,IF(G57="",FECHA_CORTE,MIN(G57,FECHA_CORTE))+1,"ym")&amp;" m"))</f>
        <v/>
      </c>
      <c r="Q57" s="63" t="str">
        <f aca="false">IF(B57="","",IFERROR(INDEX(C_SUELDO,MATCH(AG57&amp;"-S"&amp;MAX(1,COUNTIFS(C_RUTN,AG57,C_SUELDO,"&lt;&gt;",C_INI,"&lt;="&amp;FECHA_CORTE)),C_CLAVES,0)),0))</f>
        <v/>
      </c>
      <c r="R57" s="62" t="str">
        <f aca="false">IF(B57="","",IF(N(AI57)=0,"Sin contrato",IFERROR(INDEX(C_TIPO,MATCH(AG57&amp;"-P"&amp;MAX(1,AH57),C_CLAVE,0))&amp;"","")))</f>
        <v/>
      </c>
      <c r="S57" s="64" t="str">
        <f aca="false">IF(R57="Plazo fijo",IFERROR(INDEX(C_NPF,MATCH(AG57&amp;"-P"&amp;MAX(1,AH57),C_CLAVE,0)),""),"")</f>
        <v/>
      </c>
      <c r="T57" s="65" t="str">
        <f aca="false">IF(B57="","",COUNTIFS(C_RUTN,AG57,C_TIPODOC,"Anexo de modificación"))</f>
        <v/>
      </c>
      <c r="U57" s="66" t="str">
        <f aca="false">IF(AND(OR(R57="Plazo fijo",R57="Obra o faena"),O57&lt;&gt;"Desvinculado"),IFERROR(IF(N(INDEX(C_TER,MATCH(AG57&amp;"-P"&amp;MAX(1,AH57),C_CLAVE,0)))=0,"",INDEX(C_TER,MATCH(AG57&amp;"-P"&amp;MAX(1,AH57),C_CLAVE,0))),""),"")</f>
        <v/>
      </c>
      <c r="V57" s="67" t="str">
        <f aca="false">IF(ISNUMBER(U57),U57-FECHA_CORTE,"")</f>
        <v/>
      </c>
      <c r="W57" s="62" t="str">
        <f aca="false">IF(B57="","",IF(O57="Desvinculado","Terminado",IF(N(AI57)=0,"Sin contrato registrado",IF(O57="Por ingresar","Por ingresar",IF(ISNUMBER(AJ57),"Renovación registrada",IF(R57="Indefinido","Indefinido",IF(NOT(ISNUMBER(V57)),"Falta fecha de término",IF(V57&lt;0,"VENCIDO",IF(V57&lt;=ALERTA_ROJA,"Vence en ≤ "&amp;ALERTA_ROJA&amp;" días",IF(V57&lt;=ALERTA_NARANJA,"Vence en ≤ "&amp;ALERTA_NARANJA&amp;" días",IF(V57&lt;=ALERTA_AMARILLA,"Vence en ≤ "&amp;ALERTA_AMARILLA&amp;" días","Vigente")))))))))))</f>
        <v/>
      </c>
      <c r="X57" s="62" t="str">
        <f aca="false">IF(B57="","",IF(W57="Terminado","—",IF(W57="Sin contrato registrado","Registrar su contrato en la hoja Contratos",IF(W57="Por ingresar","Tener el contrato firmado antes del ingreso",IF(W57="Renovación registrada","Siguiente contrato ya registrado: verificar que esté firmado",IF(R57="Indefinido","Sin vencimiento. Cambios de sueldo o cargo: anexo de modificación",IF(W57="Falta fecha de término","Completar la fecha de término en Contratos",IF(W57="VENCIDO","Sigue trabajando con plazo vencido: por ley ya es INDEFINIDO. Firmar anexo de paso a indefinido",IF(R57="Obra o faena","Al terminar la obra: finiquito + 2,5 días de sueldo por mes trabajado",IF(N(S57)&gt;=2,"2° contrato a plazo: NO se puede renovar otra vez a plazo fijo. Pasar a indefinido o terminar al vencer","1er contrato a plazo: renovar (2° contrato), pasar a indefinido o terminar al vencer"))))))))))</f>
        <v/>
      </c>
      <c r="Y57" s="68" t="str">
        <f aca="false">IF(O57&lt;&gt;"Activo","",ROUND(1.25*(DATEDIF(F57,AO57+1,"m")+(AO57+1-EDATE(F57,DATEDIF(F57,AO57+1,"m")))/30),2))</f>
        <v/>
      </c>
      <c r="Z57" s="68" t="str">
        <f aca="false">IF(O57&lt;&gt;"Activo","",N(M57)+SUMIFS(M_VAC,M_RUTN,AG57,M_MES,"&lt;="&amp;FECHA_CORTE))</f>
        <v/>
      </c>
      <c r="AA57" s="68" t="str">
        <f aca="false">IF(O57&lt;&gt;"Activo","",Y57-Z57)</f>
        <v/>
      </c>
      <c r="AB57" s="63" t="str">
        <f aca="false">IF(O57&lt;&gt;"Activo","",ROUND(MAX(0,IF(AA57&lt;=0,0,WORKDAY(FECHA_CORTE,INT(AA57),FERIADOS)-FECHA_CORTE+(AA57-INT(AA57))))*(Q57+N(K57))/30,0))</f>
        <v/>
      </c>
      <c r="AC57" s="65" t="str">
        <f aca="false">IF(O57&lt;&gt;"Activo","",IF(DATEDIF(F57,FECHA_CORTE+1,"y")&lt;1,0,MIN(TOPE_ANIOS,DATEDIF(F57,FECHA_CORTE+1,"y")+IF(EDATE(F57,12*DATEDIF(F57,FECHA_CORTE+1,"y")+6)&lt;FECHA_CORTE+1,1,0))))</f>
        <v/>
      </c>
      <c r="AD57" s="69" t="str">
        <f aca="false">IF(O57&lt;&gt;"Activo","",AB57+IF(R57="Obra o faena",0,ROUND(AL57*AC57,0)+ROUND(AL57,0)))</f>
        <v/>
      </c>
      <c r="AE57" s="69" t="str">
        <f aca="false">IF(O57&lt;&gt;"Activo","",AB57)</f>
        <v/>
      </c>
      <c r="AF57" s="69" t="str">
        <f aca="false">IF(AN57="","",IF(ISNUMBER(AJ57),"",ROUND(MAX(0,IF(AN57&lt;=0,0,WORKDAY(U57,INT(AN57),FERIADOS)-U57+(AN57-INT(AN57))))*(Q57+N(K57))/30,0)+IF(R57="Obra o faena",ROUND(OBRA_DIAS*AL57/30*(DATEDIF(F57,U57+1,"m")+IF(U57+1-EDATE(F57,DATEDIF(F57,U57+1,"m"))&gt;15,1,0)),0),0)))</f>
        <v/>
      </c>
      <c r="AG57" s="62" t="str">
        <f aca="false">IF(B57="","",IFERROR(VALUE(LEFT(UPPER(SUBSTITUTE(SUBSTITUTE(SUBSTITUTE(TRIM(B57),".",""),"-","")," ","")),LEN(UPPER(SUBSTITUTE(SUBSTITUTE(SUBSTITUTE(TRIM(B57),".",""),"-","")," ","")))-1))&amp;RIGHT(UPPER(SUBSTITUTE(SUBSTITUTE(SUBSTITUTE(TRIM(B57),".",""),"-","")," ","")),1),UPPER(SUBSTITUTE(SUBSTITUTE(SUBSTITUTE(TRIM(B57),".",""),"-","")," ",""))))</f>
        <v/>
      </c>
      <c r="AH57" s="62" t="str">
        <f aca="false">IF(B57="","",COUNTIFS(C_RUTN,AG57,C_DEF,"Sí",C_INI,"&lt;="&amp;FECHA_CORTE))</f>
        <v/>
      </c>
      <c r="AI57" s="62" t="str">
        <f aca="false">IF(B57="","",COUNTIFS(C_RUTN,AG57,C_DEF,"Sí"))</f>
        <v/>
      </c>
      <c r="AJ57" s="66" t="str">
        <f aca="false">IF(OR(B57="",N(AI57)&lt;=N(AH57)),"",IFERROR(INDEX(C_INI,MATCH(AG57&amp;"-P"&amp;(AH57+1),C_CLAVE,0)),""))</f>
        <v/>
      </c>
      <c r="AK57" s="63" t="str">
        <f aca="false">IF(O57&lt;&gt;"Activo","",Q57+N(K57)+IF(L57="Sí",MIN(GRAT_PCT*(Q57+N(K57)),GRAT_TOPE),0)+N(I57)+N(J57))</f>
        <v/>
      </c>
      <c r="AL57" s="63" t="str">
        <f aca="false">IF(O57&lt;&gt;"Activo","",MIN(AK57,TOPE_IAS_UF*UF_MES))</f>
        <v/>
      </c>
      <c r="AM57" s="62" t="str">
        <f aca="false">IF(AND(O57="Activo",ISNUMBER(V57),W57&lt;&gt;"Renovación registrada"),V57+ROW()/100000,"")</f>
        <v/>
      </c>
      <c r="AN57" s="70" t="str">
        <f aca="false">IF(OR(O57&lt;&gt;"Activo",NOT(ISNUMBER(U57))),"",IF(U57&lt;FECHA_CORTE,"",1.25*(DATEDIF(F57,U57+1,"m")+(U57+1-EDATE(F57,DATEDIF(F57,U57+1,"m")))/30)-Z57))</f>
        <v/>
      </c>
      <c r="AO57" s="66" t="str">
        <f aca="false">IF(OR(B57="",NOT(ISNUMBER(F57))),"",IF(N(G57)&gt;0,MIN(G57,FECHA_CORTE),FECHA_CORTE))</f>
        <v/>
      </c>
    </row>
    <row r="58" customFormat="false" ht="15" hidden="false" customHeight="false" outlineLevel="0" collapsed="false">
      <c r="B58" s="58"/>
      <c r="C58" s="58"/>
      <c r="D58" s="58"/>
      <c r="E58" s="58"/>
      <c r="F58" s="59"/>
      <c r="G58" s="59"/>
      <c r="H58" s="58"/>
      <c r="I58" s="60"/>
      <c r="J58" s="60"/>
      <c r="K58" s="60"/>
      <c r="L58" s="58"/>
      <c r="M58" s="61"/>
      <c r="N58" s="58"/>
      <c r="O58" s="62" t="str">
        <f aca="false">IF(B58="","",IF(NOT(ISNUMBER(F58)),"⚠ Falta ingreso",IF(F58&gt;FECHA_CORTE,"Por ingresar",IF(G58="","Activo",IF(G58&lt;FECHA_CORTE,"Desvinculado","Activo")))))</f>
        <v/>
      </c>
      <c r="P58" s="62" t="str">
        <f aca="false">IF(OR(B58="",NOT(ISNUMBER(F58))),"",IF(F58&gt;FECHA_CORTE,"",DATEDIF(F58,IF(G58="",FECHA_CORTE,MIN(G58,FECHA_CORTE))+1,"y")&amp;" a "&amp;DATEDIF(F58,IF(G58="",FECHA_CORTE,MIN(G58,FECHA_CORTE))+1,"ym")&amp;" m"))</f>
        <v/>
      </c>
      <c r="Q58" s="63" t="str">
        <f aca="false">IF(B58="","",IFERROR(INDEX(C_SUELDO,MATCH(AG58&amp;"-S"&amp;MAX(1,COUNTIFS(C_RUTN,AG58,C_SUELDO,"&lt;&gt;",C_INI,"&lt;="&amp;FECHA_CORTE)),C_CLAVES,0)),0))</f>
        <v/>
      </c>
      <c r="R58" s="62" t="str">
        <f aca="false">IF(B58="","",IF(N(AI58)=0,"Sin contrato",IFERROR(INDEX(C_TIPO,MATCH(AG58&amp;"-P"&amp;MAX(1,AH58),C_CLAVE,0))&amp;"","")))</f>
        <v/>
      </c>
      <c r="S58" s="64" t="str">
        <f aca="false">IF(R58="Plazo fijo",IFERROR(INDEX(C_NPF,MATCH(AG58&amp;"-P"&amp;MAX(1,AH58),C_CLAVE,0)),""),"")</f>
        <v/>
      </c>
      <c r="T58" s="65" t="str">
        <f aca="false">IF(B58="","",COUNTIFS(C_RUTN,AG58,C_TIPODOC,"Anexo de modificación"))</f>
        <v/>
      </c>
      <c r="U58" s="66" t="str">
        <f aca="false">IF(AND(OR(R58="Plazo fijo",R58="Obra o faena"),O58&lt;&gt;"Desvinculado"),IFERROR(IF(N(INDEX(C_TER,MATCH(AG58&amp;"-P"&amp;MAX(1,AH58),C_CLAVE,0)))=0,"",INDEX(C_TER,MATCH(AG58&amp;"-P"&amp;MAX(1,AH58),C_CLAVE,0))),""),"")</f>
        <v/>
      </c>
      <c r="V58" s="67" t="str">
        <f aca="false">IF(ISNUMBER(U58),U58-FECHA_CORTE,"")</f>
        <v/>
      </c>
      <c r="W58" s="62" t="str">
        <f aca="false">IF(B58="","",IF(O58="Desvinculado","Terminado",IF(N(AI58)=0,"Sin contrato registrado",IF(O58="Por ingresar","Por ingresar",IF(ISNUMBER(AJ58),"Renovación registrada",IF(R58="Indefinido","Indefinido",IF(NOT(ISNUMBER(V58)),"Falta fecha de término",IF(V58&lt;0,"VENCIDO",IF(V58&lt;=ALERTA_ROJA,"Vence en ≤ "&amp;ALERTA_ROJA&amp;" días",IF(V58&lt;=ALERTA_NARANJA,"Vence en ≤ "&amp;ALERTA_NARANJA&amp;" días",IF(V58&lt;=ALERTA_AMARILLA,"Vence en ≤ "&amp;ALERTA_AMARILLA&amp;" días","Vigente")))))))))))</f>
        <v/>
      </c>
      <c r="X58" s="62" t="str">
        <f aca="false">IF(B58="","",IF(W58="Terminado","—",IF(W58="Sin contrato registrado","Registrar su contrato en la hoja Contratos",IF(W58="Por ingresar","Tener el contrato firmado antes del ingreso",IF(W58="Renovación registrada","Siguiente contrato ya registrado: verificar que esté firmado",IF(R58="Indefinido","Sin vencimiento. Cambios de sueldo o cargo: anexo de modificación",IF(W58="Falta fecha de término","Completar la fecha de término en Contratos",IF(W58="VENCIDO","Sigue trabajando con plazo vencido: por ley ya es INDEFINIDO. Firmar anexo de paso a indefinido",IF(R58="Obra o faena","Al terminar la obra: finiquito + 2,5 días de sueldo por mes trabajado",IF(N(S58)&gt;=2,"2° contrato a plazo: NO se puede renovar otra vez a plazo fijo. Pasar a indefinido o terminar al vencer","1er contrato a plazo: renovar (2° contrato), pasar a indefinido o terminar al vencer"))))))))))</f>
        <v/>
      </c>
      <c r="Y58" s="68" t="str">
        <f aca="false">IF(O58&lt;&gt;"Activo","",ROUND(1.25*(DATEDIF(F58,AO58+1,"m")+(AO58+1-EDATE(F58,DATEDIF(F58,AO58+1,"m")))/30),2))</f>
        <v/>
      </c>
      <c r="Z58" s="68" t="str">
        <f aca="false">IF(O58&lt;&gt;"Activo","",N(M58)+SUMIFS(M_VAC,M_RUTN,AG58,M_MES,"&lt;="&amp;FECHA_CORTE))</f>
        <v/>
      </c>
      <c r="AA58" s="68" t="str">
        <f aca="false">IF(O58&lt;&gt;"Activo","",Y58-Z58)</f>
        <v/>
      </c>
      <c r="AB58" s="63" t="str">
        <f aca="false">IF(O58&lt;&gt;"Activo","",ROUND(MAX(0,IF(AA58&lt;=0,0,WORKDAY(FECHA_CORTE,INT(AA58),FERIADOS)-FECHA_CORTE+(AA58-INT(AA58))))*(Q58+N(K58))/30,0))</f>
        <v/>
      </c>
      <c r="AC58" s="65" t="str">
        <f aca="false">IF(O58&lt;&gt;"Activo","",IF(DATEDIF(F58,FECHA_CORTE+1,"y")&lt;1,0,MIN(TOPE_ANIOS,DATEDIF(F58,FECHA_CORTE+1,"y")+IF(EDATE(F58,12*DATEDIF(F58,FECHA_CORTE+1,"y")+6)&lt;FECHA_CORTE+1,1,0))))</f>
        <v/>
      </c>
      <c r="AD58" s="69" t="str">
        <f aca="false">IF(O58&lt;&gt;"Activo","",AB58+IF(R58="Obra o faena",0,ROUND(AL58*AC58,0)+ROUND(AL58,0)))</f>
        <v/>
      </c>
      <c r="AE58" s="69" t="str">
        <f aca="false">IF(O58&lt;&gt;"Activo","",AB58)</f>
        <v/>
      </c>
      <c r="AF58" s="69" t="str">
        <f aca="false">IF(AN58="","",IF(ISNUMBER(AJ58),"",ROUND(MAX(0,IF(AN58&lt;=0,0,WORKDAY(U58,INT(AN58),FERIADOS)-U58+(AN58-INT(AN58))))*(Q58+N(K58))/30,0)+IF(R58="Obra o faena",ROUND(OBRA_DIAS*AL58/30*(DATEDIF(F58,U58+1,"m")+IF(U58+1-EDATE(F58,DATEDIF(F58,U58+1,"m"))&gt;15,1,0)),0),0)))</f>
        <v/>
      </c>
      <c r="AG58" s="62" t="str">
        <f aca="false">IF(B58="","",IFERROR(VALUE(LEFT(UPPER(SUBSTITUTE(SUBSTITUTE(SUBSTITUTE(TRIM(B58),".",""),"-","")," ","")),LEN(UPPER(SUBSTITUTE(SUBSTITUTE(SUBSTITUTE(TRIM(B58),".",""),"-","")," ","")))-1))&amp;RIGHT(UPPER(SUBSTITUTE(SUBSTITUTE(SUBSTITUTE(TRIM(B58),".",""),"-","")," ","")),1),UPPER(SUBSTITUTE(SUBSTITUTE(SUBSTITUTE(TRIM(B58),".",""),"-","")," ",""))))</f>
        <v/>
      </c>
      <c r="AH58" s="62" t="str">
        <f aca="false">IF(B58="","",COUNTIFS(C_RUTN,AG58,C_DEF,"Sí",C_INI,"&lt;="&amp;FECHA_CORTE))</f>
        <v/>
      </c>
      <c r="AI58" s="62" t="str">
        <f aca="false">IF(B58="","",COUNTIFS(C_RUTN,AG58,C_DEF,"Sí"))</f>
        <v/>
      </c>
      <c r="AJ58" s="66" t="str">
        <f aca="false">IF(OR(B58="",N(AI58)&lt;=N(AH58)),"",IFERROR(INDEX(C_INI,MATCH(AG58&amp;"-P"&amp;(AH58+1),C_CLAVE,0)),""))</f>
        <v/>
      </c>
      <c r="AK58" s="63" t="str">
        <f aca="false">IF(O58&lt;&gt;"Activo","",Q58+N(K58)+IF(L58="Sí",MIN(GRAT_PCT*(Q58+N(K58)),GRAT_TOPE),0)+N(I58)+N(J58))</f>
        <v/>
      </c>
      <c r="AL58" s="63" t="str">
        <f aca="false">IF(O58&lt;&gt;"Activo","",MIN(AK58,TOPE_IAS_UF*UF_MES))</f>
        <v/>
      </c>
      <c r="AM58" s="62" t="str">
        <f aca="false">IF(AND(O58="Activo",ISNUMBER(V58),W58&lt;&gt;"Renovación registrada"),V58+ROW()/100000,"")</f>
        <v/>
      </c>
      <c r="AN58" s="70" t="str">
        <f aca="false">IF(OR(O58&lt;&gt;"Activo",NOT(ISNUMBER(U58))),"",IF(U58&lt;FECHA_CORTE,"",1.25*(DATEDIF(F58,U58+1,"m")+(U58+1-EDATE(F58,DATEDIF(F58,U58+1,"m")))/30)-Z58))</f>
        <v/>
      </c>
      <c r="AO58" s="66" t="str">
        <f aca="false">IF(OR(B58="",NOT(ISNUMBER(F58))),"",IF(N(G58)&gt;0,MIN(G58,FECHA_CORTE),FECHA_CORTE))</f>
        <v/>
      </c>
    </row>
    <row r="59" customFormat="false" ht="15" hidden="false" customHeight="false" outlineLevel="0" collapsed="false">
      <c r="B59" s="58"/>
      <c r="C59" s="58"/>
      <c r="D59" s="58"/>
      <c r="E59" s="58"/>
      <c r="F59" s="59"/>
      <c r="G59" s="59"/>
      <c r="H59" s="58"/>
      <c r="I59" s="60"/>
      <c r="J59" s="60"/>
      <c r="K59" s="60"/>
      <c r="L59" s="58"/>
      <c r="M59" s="61"/>
      <c r="N59" s="58"/>
      <c r="O59" s="62" t="str">
        <f aca="false">IF(B59="","",IF(NOT(ISNUMBER(F59)),"⚠ Falta ingreso",IF(F59&gt;FECHA_CORTE,"Por ingresar",IF(G59="","Activo",IF(G59&lt;FECHA_CORTE,"Desvinculado","Activo")))))</f>
        <v/>
      </c>
      <c r="P59" s="62" t="str">
        <f aca="false">IF(OR(B59="",NOT(ISNUMBER(F59))),"",IF(F59&gt;FECHA_CORTE,"",DATEDIF(F59,IF(G59="",FECHA_CORTE,MIN(G59,FECHA_CORTE))+1,"y")&amp;" a "&amp;DATEDIF(F59,IF(G59="",FECHA_CORTE,MIN(G59,FECHA_CORTE))+1,"ym")&amp;" m"))</f>
        <v/>
      </c>
      <c r="Q59" s="63" t="str">
        <f aca="false">IF(B59="","",IFERROR(INDEX(C_SUELDO,MATCH(AG59&amp;"-S"&amp;MAX(1,COUNTIFS(C_RUTN,AG59,C_SUELDO,"&lt;&gt;",C_INI,"&lt;="&amp;FECHA_CORTE)),C_CLAVES,0)),0))</f>
        <v/>
      </c>
      <c r="R59" s="62" t="str">
        <f aca="false">IF(B59="","",IF(N(AI59)=0,"Sin contrato",IFERROR(INDEX(C_TIPO,MATCH(AG59&amp;"-P"&amp;MAX(1,AH59),C_CLAVE,0))&amp;"","")))</f>
        <v/>
      </c>
      <c r="S59" s="64" t="str">
        <f aca="false">IF(R59="Plazo fijo",IFERROR(INDEX(C_NPF,MATCH(AG59&amp;"-P"&amp;MAX(1,AH59),C_CLAVE,0)),""),"")</f>
        <v/>
      </c>
      <c r="T59" s="65" t="str">
        <f aca="false">IF(B59="","",COUNTIFS(C_RUTN,AG59,C_TIPODOC,"Anexo de modificación"))</f>
        <v/>
      </c>
      <c r="U59" s="66" t="str">
        <f aca="false">IF(AND(OR(R59="Plazo fijo",R59="Obra o faena"),O59&lt;&gt;"Desvinculado"),IFERROR(IF(N(INDEX(C_TER,MATCH(AG59&amp;"-P"&amp;MAX(1,AH59),C_CLAVE,0)))=0,"",INDEX(C_TER,MATCH(AG59&amp;"-P"&amp;MAX(1,AH59),C_CLAVE,0))),""),"")</f>
        <v/>
      </c>
      <c r="V59" s="67" t="str">
        <f aca="false">IF(ISNUMBER(U59),U59-FECHA_CORTE,"")</f>
        <v/>
      </c>
      <c r="W59" s="62" t="str">
        <f aca="false">IF(B59="","",IF(O59="Desvinculado","Terminado",IF(N(AI59)=0,"Sin contrato registrado",IF(O59="Por ingresar","Por ingresar",IF(ISNUMBER(AJ59),"Renovación registrada",IF(R59="Indefinido","Indefinido",IF(NOT(ISNUMBER(V59)),"Falta fecha de término",IF(V59&lt;0,"VENCIDO",IF(V59&lt;=ALERTA_ROJA,"Vence en ≤ "&amp;ALERTA_ROJA&amp;" días",IF(V59&lt;=ALERTA_NARANJA,"Vence en ≤ "&amp;ALERTA_NARANJA&amp;" días",IF(V59&lt;=ALERTA_AMARILLA,"Vence en ≤ "&amp;ALERTA_AMARILLA&amp;" días","Vigente")))))))))))</f>
        <v/>
      </c>
      <c r="X59" s="62" t="str">
        <f aca="false">IF(B59="","",IF(W59="Terminado","—",IF(W59="Sin contrato registrado","Registrar su contrato en la hoja Contratos",IF(W59="Por ingresar","Tener el contrato firmado antes del ingreso",IF(W59="Renovación registrada","Siguiente contrato ya registrado: verificar que esté firmado",IF(R59="Indefinido","Sin vencimiento. Cambios de sueldo o cargo: anexo de modificación",IF(W59="Falta fecha de término","Completar la fecha de término en Contratos",IF(W59="VENCIDO","Sigue trabajando con plazo vencido: por ley ya es INDEFINIDO. Firmar anexo de paso a indefinido",IF(R59="Obra o faena","Al terminar la obra: finiquito + 2,5 días de sueldo por mes trabajado",IF(N(S59)&gt;=2,"2° contrato a plazo: NO se puede renovar otra vez a plazo fijo. Pasar a indefinido o terminar al vencer","1er contrato a plazo: renovar (2° contrato), pasar a indefinido o terminar al vencer"))))))))))</f>
        <v/>
      </c>
      <c r="Y59" s="68" t="str">
        <f aca="false">IF(O59&lt;&gt;"Activo","",ROUND(1.25*(DATEDIF(F59,AO59+1,"m")+(AO59+1-EDATE(F59,DATEDIF(F59,AO59+1,"m")))/30),2))</f>
        <v/>
      </c>
      <c r="Z59" s="68" t="str">
        <f aca="false">IF(O59&lt;&gt;"Activo","",N(M59)+SUMIFS(M_VAC,M_RUTN,AG59,M_MES,"&lt;="&amp;FECHA_CORTE))</f>
        <v/>
      </c>
      <c r="AA59" s="68" t="str">
        <f aca="false">IF(O59&lt;&gt;"Activo","",Y59-Z59)</f>
        <v/>
      </c>
      <c r="AB59" s="63" t="str">
        <f aca="false">IF(O59&lt;&gt;"Activo","",ROUND(MAX(0,IF(AA59&lt;=0,0,WORKDAY(FECHA_CORTE,INT(AA59),FERIADOS)-FECHA_CORTE+(AA59-INT(AA59))))*(Q59+N(K59))/30,0))</f>
        <v/>
      </c>
      <c r="AC59" s="65" t="str">
        <f aca="false">IF(O59&lt;&gt;"Activo","",IF(DATEDIF(F59,FECHA_CORTE+1,"y")&lt;1,0,MIN(TOPE_ANIOS,DATEDIF(F59,FECHA_CORTE+1,"y")+IF(EDATE(F59,12*DATEDIF(F59,FECHA_CORTE+1,"y")+6)&lt;FECHA_CORTE+1,1,0))))</f>
        <v/>
      </c>
      <c r="AD59" s="69" t="str">
        <f aca="false">IF(O59&lt;&gt;"Activo","",AB59+IF(R59="Obra o faena",0,ROUND(AL59*AC59,0)+ROUND(AL59,0)))</f>
        <v/>
      </c>
      <c r="AE59" s="69" t="str">
        <f aca="false">IF(O59&lt;&gt;"Activo","",AB59)</f>
        <v/>
      </c>
      <c r="AF59" s="69" t="str">
        <f aca="false">IF(AN59="","",IF(ISNUMBER(AJ59),"",ROUND(MAX(0,IF(AN59&lt;=0,0,WORKDAY(U59,INT(AN59),FERIADOS)-U59+(AN59-INT(AN59))))*(Q59+N(K59))/30,0)+IF(R59="Obra o faena",ROUND(OBRA_DIAS*AL59/30*(DATEDIF(F59,U59+1,"m")+IF(U59+1-EDATE(F59,DATEDIF(F59,U59+1,"m"))&gt;15,1,0)),0),0)))</f>
        <v/>
      </c>
      <c r="AG59" s="62" t="str">
        <f aca="false">IF(B59="","",IFERROR(VALUE(LEFT(UPPER(SUBSTITUTE(SUBSTITUTE(SUBSTITUTE(TRIM(B59),".",""),"-","")," ","")),LEN(UPPER(SUBSTITUTE(SUBSTITUTE(SUBSTITUTE(TRIM(B59),".",""),"-","")," ","")))-1))&amp;RIGHT(UPPER(SUBSTITUTE(SUBSTITUTE(SUBSTITUTE(TRIM(B59),".",""),"-","")," ","")),1),UPPER(SUBSTITUTE(SUBSTITUTE(SUBSTITUTE(TRIM(B59),".",""),"-","")," ",""))))</f>
        <v/>
      </c>
      <c r="AH59" s="62" t="str">
        <f aca="false">IF(B59="","",COUNTIFS(C_RUTN,AG59,C_DEF,"Sí",C_INI,"&lt;="&amp;FECHA_CORTE))</f>
        <v/>
      </c>
      <c r="AI59" s="62" t="str">
        <f aca="false">IF(B59="","",COUNTIFS(C_RUTN,AG59,C_DEF,"Sí"))</f>
        <v/>
      </c>
      <c r="AJ59" s="66" t="str">
        <f aca="false">IF(OR(B59="",N(AI59)&lt;=N(AH59)),"",IFERROR(INDEX(C_INI,MATCH(AG59&amp;"-P"&amp;(AH59+1),C_CLAVE,0)),""))</f>
        <v/>
      </c>
      <c r="AK59" s="63" t="str">
        <f aca="false">IF(O59&lt;&gt;"Activo","",Q59+N(K59)+IF(L59="Sí",MIN(GRAT_PCT*(Q59+N(K59)),GRAT_TOPE),0)+N(I59)+N(J59))</f>
        <v/>
      </c>
      <c r="AL59" s="63" t="str">
        <f aca="false">IF(O59&lt;&gt;"Activo","",MIN(AK59,TOPE_IAS_UF*UF_MES))</f>
        <v/>
      </c>
      <c r="AM59" s="62" t="str">
        <f aca="false">IF(AND(O59="Activo",ISNUMBER(V59),W59&lt;&gt;"Renovación registrada"),V59+ROW()/100000,"")</f>
        <v/>
      </c>
      <c r="AN59" s="70" t="str">
        <f aca="false">IF(OR(O59&lt;&gt;"Activo",NOT(ISNUMBER(U59))),"",IF(U59&lt;FECHA_CORTE,"",1.25*(DATEDIF(F59,U59+1,"m")+(U59+1-EDATE(F59,DATEDIF(F59,U59+1,"m")))/30)-Z59))</f>
        <v/>
      </c>
      <c r="AO59" s="66" t="str">
        <f aca="false">IF(OR(B59="",NOT(ISNUMBER(F59))),"",IF(N(G59)&gt;0,MIN(G59,FECHA_CORTE),FECHA_CORTE))</f>
        <v/>
      </c>
    </row>
    <row r="60" customFormat="false" ht="15" hidden="false" customHeight="false" outlineLevel="0" collapsed="false">
      <c r="B60" s="58"/>
      <c r="C60" s="58"/>
      <c r="D60" s="58"/>
      <c r="E60" s="58"/>
      <c r="F60" s="59"/>
      <c r="G60" s="59"/>
      <c r="H60" s="58"/>
      <c r="I60" s="60"/>
      <c r="J60" s="60"/>
      <c r="K60" s="60"/>
      <c r="L60" s="58"/>
      <c r="M60" s="61"/>
      <c r="N60" s="58"/>
      <c r="O60" s="62" t="str">
        <f aca="false">IF(B60="","",IF(NOT(ISNUMBER(F60)),"⚠ Falta ingreso",IF(F60&gt;FECHA_CORTE,"Por ingresar",IF(G60="","Activo",IF(G60&lt;FECHA_CORTE,"Desvinculado","Activo")))))</f>
        <v/>
      </c>
      <c r="P60" s="62" t="str">
        <f aca="false">IF(OR(B60="",NOT(ISNUMBER(F60))),"",IF(F60&gt;FECHA_CORTE,"",DATEDIF(F60,IF(G60="",FECHA_CORTE,MIN(G60,FECHA_CORTE))+1,"y")&amp;" a "&amp;DATEDIF(F60,IF(G60="",FECHA_CORTE,MIN(G60,FECHA_CORTE))+1,"ym")&amp;" m"))</f>
        <v/>
      </c>
      <c r="Q60" s="63" t="str">
        <f aca="false">IF(B60="","",IFERROR(INDEX(C_SUELDO,MATCH(AG60&amp;"-S"&amp;MAX(1,COUNTIFS(C_RUTN,AG60,C_SUELDO,"&lt;&gt;",C_INI,"&lt;="&amp;FECHA_CORTE)),C_CLAVES,0)),0))</f>
        <v/>
      </c>
      <c r="R60" s="62" t="str">
        <f aca="false">IF(B60="","",IF(N(AI60)=0,"Sin contrato",IFERROR(INDEX(C_TIPO,MATCH(AG60&amp;"-P"&amp;MAX(1,AH60),C_CLAVE,0))&amp;"","")))</f>
        <v/>
      </c>
      <c r="S60" s="64" t="str">
        <f aca="false">IF(R60="Plazo fijo",IFERROR(INDEX(C_NPF,MATCH(AG60&amp;"-P"&amp;MAX(1,AH60),C_CLAVE,0)),""),"")</f>
        <v/>
      </c>
      <c r="T60" s="65" t="str">
        <f aca="false">IF(B60="","",COUNTIFS(C_RUTN,AG60,C_TIPODOC,"Anexo de modificación"))</f>
        <v/>
      </c>
      <c r="U60" s="66" t="str">
        <f aca="false">IF(AND(OR(R60="Plazo fijo",R60="Obra o faena"),O60&lt;&gt;"Desvinculado"),IFERROR(IF(N(INDEX(C_TER,MATCH(AG60&amp;"-P"&amp;MAX(1,AH60),C_CLAVE,0)))=0,"",INDEX(C_TER,MATCH(AG60&amp;"-P"&amp;MAX(1,AH60),C_CLAVE,0))),""),"")</f>
        <v/>
      </c>
      <c r="V60" s="67" t="str">
        <f aca="false">IF(ISNUMBER(U60),U60-FECHA_CORTE,"")</f>
        <v/>
      </c>
      <c r="W60" s="62" t="str">
        <f aca="false">IF(B60="","",IF(O60="Desvinculado","Terminado",IF(N(AI60)=0,"Sin contrato registrado",IF(O60="Por ingresar","Por ingresar",IF(ISNUMBER(AJ60),"Renovación registrada",IF(R60="Indefinido","Indefinido",IF(NOT(ISNUMBER(V60)),"Falta fecha de término",IF(V60&lt;0,"VENCIDO",IF(V60&lt;=ALERTA_ROJA,"Vence en ≤ "&amp;ALERTA_ROJA&amp;" días",IF(V60&lt;=ALERTA_NARANJA,"Vence en ≤ "&amp;ALERTA_NARANJA&amp;" días",IF(V60&lt;=ALERTA_AMARILLA,"Vence en ≤ "&amp;ALERTA_AMARILLA&amp;" días","Vigente")))))))))))</f>
        <v/>
      </c>
      <c r="X60" s="62" t="str">
        <f aca="false">IF(B60="","",IF(W60="Terminado","—",IF(W60="Sin contrato registrado","Registrar su contrato en la hoja Contratos",IF(W60="Por ingresar","Tener el contrato firmado antes del ingreso",IF(W60="Renovación registrada","Siguiente contrato ya registrado: verificar que esté firmado",IF(R60="Indefinido","Sin vencimiento. Cambios de sueldo o cargo: anexo de modificación",IF(W60="Falta fecha de término","Completar la fecha de término en Contratos",IF(W60="VENCIDO","Sigue trabajando con plazo vencido: por ley ya es INDEFINIDO. Firmar anexo de paso a indefinido",IF(R60="Obra o faena","Al terminar la obra: finiquito + 2,5 días de sueldo por mes trabajado",IF(N(S60)&gt;=2,"2° contrato a plazo: NO se puede renovar otra vez a plazo fijo. Pasar a indefinido o terminar al vencer","1er contrato a plazo: renovar (2° contrato), pasar a indefinido o terminar al vencer"))))))))))</f>
        <v/>
      </c>
      <c r="Y60" s="68" t="str">
        <f aca="false">IF(O60&lt;&gt;"Activo","",ROUND(1.25*(DATEDIF(F60,AO60+1,"m")+(AO60+1-EDATE(F60,DATEDIF(F60,AO60+1,"m")))/30),2))</f>
        <v/>
      </c>
      <c r="Z60" s="68" t="str">
        <f aca="false">IF(O60&lt;&gt;"Activo","",N(M60)+SUMIFS(M_VAC,M_RUTN,AG60,M_MES,"&lt;="&amp;FECHA_CORTE))</f>
        <v/>
      </c>
      <c r="AA60" s="68" t="str">
        <f aca="false">IF(O60&lt;&gt;"Activo","",Y60-Z60)</f>
        <v/>
      </c>
      <c r="AB60" s="63" t="str">
        <f aca="false">IF(O60&lt;&gt;"Activo","",ROUND(MAX(0,IF(AA60&lt;=0,0,WORKDAY(FECHA_CORTE,INT(AA60),FERIADOS)-FECHA_CORTE+(AA60-INT(AA60))))*(Q60+N(K60))/30,0))</f>
        <v/>
      </c>
      <c r="AC60" s="65" t="str">
        <f aca="false">IF(O60&lt;&gt;"Activo","",IF(DATEDIF(F60,FECHA_CORTE+1,"y")&lt;1,0,MIN(TOPE_ANIOS,DATEDIF(F60,FECHA_CORTE+1,"y")+IF(EDATE(F60,12*DATEDIF(F60,FECHA_CORTE+1,"y")+6)&lt;FECHA_CORTE+1,1,0))))</f>
        <v/>
      </c>
      <c r="AD60" s="69" t="str">
        <f aca="false">IF(O60&lt;&gt;"Activo","",AB60+IF(R60="Obra o faena",0,ROUND(AL60*AC60,0)+ROUND(AL60,0)))</f>
        <v/>
      </c>
      <c r="AE60" s="69" t="str">
        <f aca="false">IF(O60&lt;&gt;"Activo","",AB60)</f>
        <v/>
      </c>
      <c r="AF60" s="69" t="str">
        <f aca="false">IF(AN60="","",IF(ISNUMBER(AJ60),"",ROUND(MAX(0,IF(AN60&lt;=0,0,WORKDAY(U60,INT(AN60),FERIADOS)-U60+(AN60-INT(AN60))))*(Q60+N(K60))/30,0)+IF(R60="Obra o faena",ROUND(OBRA_DIAS*AL60/30*(DATEDIF(F60,U60+1,"m")+IF(U60+1-EDATE(F60,DATEDIF(F60,U60+1,"m"))&gt;15,1,0)),0),0)))</f>
        <v/>
      </c>
      <c r="AG60" s="62" t="str">
        <f aca="false">IF(B60="","",IFERROR(VALUE(LEFT(UPPER(SUBSTITUTE(SUBSTITUTE(SUBSTITUTE(TRIM(B60),".",""),"-","")," ","")),LEN(UPPER(SUBSTITUTE(SUBSTITUTE(SUBSTITUTE(TRIM(B60),".",""),"-","")," ","")))-1))&amp;RIGHT(UPPER(SUBSTITUTE(SUBSTITUTE(SUBSTITUTE(TRIM(B60),".",""),"-","")," ","")),1),UPPER(SUBSTITUTE(SUBSTITUTE(SUBSTITUTE(TRIM(B60),".",""),"-","")," ",""))))</f>
        <v/>
      </c>
      <c r="AH60" s="62" t="str">
        <f aca="false">IF(B60="","",COUNTIFS(C_RUTN,AG60,C_DEF,"Sí",C_INI,"&lt;="&amp;FECHA_CORTE))</f>
        <v/>
      </c>
      <c r="AI60" s="62" t="str">
        <f aca="false">IF(B60="","",COUNTIFS(C_RUTN,AG60,C_DEF,"Sí"))</f>
        <v/>
      </c>
      <c r="AJ60" s="66" t="str">
        <f aca="false">IF(OR(B60="",N(AI60)&lt;=N(AH60)),"",IFERROR(INDEX(C_INI,MATCH(AG60&amp;"-P"&amp;(AH60+1),C_CLAVE,0)),""))</f>
        <v/>
      </c>
      <c r="AK60" s="63" t="str">
        <f aca="false">IF(O60&lt;&gt;"Activo","",Q60+N(K60)+IF(L60="Sí",MIN(GRAT_PCT*(Q60+N(K60)),GRAT_TOPE),0)+N(I60)+N(J60))</f>
        <v/>
      </c>
      <c r="AL60" s="63" t="str">
        <f aca="false">IF(O60&lt;&gt;"Activo","",MIN(AK60,TOPE_IAS_UF*UF_MES))</f>
        <v/>
      </c>
      <c r="AM60" s="62" t="str">
        <f aca="false">IF(AND(O60="Activo",ISNUMBER(V60),W60&lt;&gt;"Renovación registrada"),V60+ROW()/100000,"")</f>
        <v/>
      </c>
      <c r="AN60" s="70" t="str">
        <f aca="false">IF(OR(O60&lt;&gt;"Activo",NOT(ISNUMBER(U60))),"",IF(U60&lt;FECHA_CORTE,"",1.25*(DATEDIF(F60,U60+1,"m")+(U60+1-EDATE(F60,DATEDIF(F60,U60+1,"m")))/30)-Z60))</f>
        <v/>
      </c>
      <c r="AO60" s="66" t="str">
        <f aca="false">IF(OR(B60="",NOT(ISNUMBER(F60))),"",IF(N(G60)&gt;0,MIN(G60,FECHA_CORTE),FECHA_CORTE))</f>
        <v/>
      </c>
    </row>
    <row r="61" customFormat="false" ht="15" hidden="false" customHeight="false" outlineLevel="0" collapsed="false">
      <c r="B61" s="58"/>
      <c r="C61" s="58"/>
      <c r="D61" s="58"/>
      <c r="E61" s="58"/>
      <c r="F61" s="59"/>
      <c r="G61" s="59"/>
      <c r="H61" s="58"/>
      <c r="I61" s="60"/>
      <c r="J61" s="60"/>
      <c r="K61" s="60"/>
      <c r="L61" s="58"/>
      <c r="M61" s="61"/>
      <c r="N61" s="58"/>
      <c r="O61" s="62" t="str">
        <f aca="false">IF(B61="","",IF(NOT(ISNUMBER(F61)),"⚠ Falta ingreso",IF(F61&gt;FECHA_CORTE,"Por ingresar",IF(G61="","Activo",IF(G61&lt;FECHA_CORTE,"Desvinculado","Activo")))))</f>
        <v/>
      </c>
      <c r="P61" s="62" t="str">
        <f aca="false">IF(OR(B61="",NOT(ISNUMBER(F61))),"",IF(F61&gt;FECHA_CORTE,"",DATEDIF(F61,IF(G61="",FECHA_CORTE,MIN(G61,FECHA_CORTE))+1,"y")&amp;" a "&amp;DATEDIF(F61,IF(G61="",FECHA_CORTE,MIN(G61,FECHA_CORTE))+1,"ym")&amp;" m"))</f>
        <v/>
      </c>
      <c r="Q61" s="63" t="str">
        <f aca="false">IF(B61="","",IFERROR(INDEX(C_SUELDO,MATCH(AG61&amp;"-S"&amp;MAX(1,COUNTIFS(C_RUTN,AG61,C_SUELDO,"&lt;&gt;",C_INI,"&lt;="&amp;FECHA_CORTE)),C_CLAVES,0)),0))</f>
        <v/>
      </c>
      <c r="R61" s="62" t="str">
        <f aca="false">IF(B61="","",IF(N(AI61)=0,"Sin contrato",IFERROR(INDEX(C_TIPO,MATCH(AG61&amp;"-P"&amp;MAX(1,AH61),C_CLAVE,0))&amp;"","")))</f>
        <v/>
      </c>
      <c r="S61" s="64" t="str">
        <f aca="false">IF(R61="Plazo fijo",IFERROR(INDEX(C_NPF,MATCH(AG61&amp;"-P"&amp;MAX(1,AH61),C_CLAVE,0)),""),"")</f>
        <v/>
      </c>
      <c r="T61" s="65" t="str">
        <f aca="false">IF(B61="","",COUNTIFS(C_RUTN,AG61,C_TIPODOC,"Anexo de modificación"))</f>
        <v/>
      </c>
      <c r="U61" s="66" t="str">
        <f aca="false">IF(AND(OR(R61="Plazo fijo",R61="Obra o faena"),O61&lt;&gt;"Desvinculado"),IFERROR(IF(N(INDEX(C_TER,MATCH(AG61&amp;"-P"&amp;MAX(1,AH61),C_CLAVE,0)))=0,"",INDEX(C_TER,MATCH(AG61&amp;"-P"&amp;MAX(1,AH61),C_CLAVE,0))),""),"")</f>
        <v/>
      </c>
      <c r="V61" s="67" t="str">
        <f aca="false">IF(ISNUMBER(U61),U61-FECHA_CORTE,"")</f>
        <v/>
      </c>
      <c r="W61" s="62" t="str">
        <f aca="false">IF(B61="","",IF(O61="Desvinculado","Terminado",IF(N(AI61)=0,"Sin contrato registrado",IF(O61="Por ingresar","Por ingresar",IF(ISNUMBER(AJ61),"Renovación registrada",IF(R61="Indefinido","Indefinido",IF(NOT(ISNUMBER(V61)),"Falta fecha de término",IF(V61&lt;0,"VENCIDO",IF(V61&lt;=ALERTA_ROJA,"Vence en ≤ "&amp;ALERTA_ROJA&amp;" días",IF(V61&lt;=ALERTA_NARANJA,"Vence en ≤ "&amp;ALERTA_NARANJA&amp;" días",IF(V61&lt;=ALERTA_AMARILLA,"Vence en ≤ "&amp;ALERTA_AMARILLA&amp;" días","Vigente")))))))))))</f>
        <v/>
      </c>
      <c r="X61" s="62" t="str">
        <f aca="false">IF(B61="","",IF(W61="Terminado","—",IF(W61="Sin contrato registrado","Registrar su contrato en la hoja Contratos",IF(W61="Por ingresar","Tener el contrato firmado antes del ingreso",IF(W61="Renovación registrada","Siguiente contrato ya registrado: verificar que esté firmado",IF(R61="Indefinido","Sin vencimiento. Cambios de sueldo o cargo: anexo de modificación",IF(W61="Falta fecha de término","Completar la fecha de término en Contratos",IF(W61="VENCIDO","Sigue trabajando con plazo vencido: por ley ya es INDEFINIDO. Firmar anexo de paso a indefinido",IF(R61="Obra o faena","Al terminar la obra: finiquito + 2,5 días de sueldo por mes trabajado",IF(N(S61)&gt;=2,"2° contrato a plazo: NO se puede renovar otra vez a plazo fijo. Pasar a indefinido o terminar al vencer","1er contrato a plazo: renovar (2° contrato), pasar a indefinido o terminar al vencer"))))))))))</f>
        <v/>
      </c>
      <c r="Y61" s="68" t="str">
        <f aca="false">IF(O61&lt;&gt;"Activo","",ROUND(1.25*(DATEDIF(F61,AO61+1,"m")+(AO61+1-EDATE(F61,DATEDIF(F61,AO61+1,"m")))/30),2))</f>
        <v/>
      </c>
      <c r="Z61" s="68" t="str">
        <f aca="false">IF(O61&lt;&gt;"Activo","",N(M61)+SUMIFS(M_VAC,M_RUTN,AG61,M_MES,"&lt;="&amp;FECHA_CORTE))</f>
        <v/>
      </c>
      <c r="AA61" s="68" t="str">
        <f aca="false">IF(O61&lt;&gt;"Activo","",Y61-Z61)</f>
        <v/>
      </c>
      <c r="AB61" s="63" t="str">
        <f aca="false">IF(O61&lt;&gt;"Activo","",ROUND(MAX(0,IF(AA61&lt;=0,0,WORKDAY(FECHA_CORTE,INT(AA61),FERIADOS)-FECHA_CORTE+(AA61-INT(AA61))))*(Q61+N(K61))/30,0))</f>
        <v/>
      </c>
      <c r="AC61" s="65" t="str">
        <f aca="false">IF(O61&lt;&gt;"Activo","",IF(DATEDIF(F61,FECHA_CORTE+1,"y")&lt;1,0,MIN(TOPE_ANIOS,DATEDIF(F61,FECHA_CORTE+1,"y")+IF(EDATE(F61,12*DATEDIF(F61,FECHA_CORTE+1,"y")+6)&lt;FECHA_CORTE+1,1,0))))</f>
        <v/>
      </c>
      <c r="AD61" s="69" t="str">
        <f aca="false">IF(O61&lt;&gt;"Activo","",AB61+IF(R61="Obra o faena",0,ROUND(AL61*AC61,0)+ROUND(AL61,0)))</f>
        <v/>
      </c>
      <c r="AE61" s="69" t="str">
        <f aca="false">IF(O61&lt;&gt;"Activo","",AB61)</f>
        <v/>
      </c>
      <c r="AF61" s="69" t="str">
        <f aca="false">IF(AN61="","",IF(ISNUMBER(AJ61),"",ROUND(MAX(0,IF(AN61&lt;=0,0,WORKDAY(U61,INT(AN61),FERIADOS)-U61+(AN61-INT(AN61))))*(Q61+N(K61))/30,0)+IF(R61="Obra o faena",ROUND(OBRA_DIAS*AL61/30*(DATEDIF(F61,U61+1,"m")+IF(U61+1-EDATE(F61,DATEDIF(F61,U61+1,"m"))&gt;15,1,0)),0),0)))</f>
        <v/>
      </c>
      <c r="AG61" s="62" t="str">
        <f aca="false">IF(B61="","",IFERROR(VALUE(LEFT(UPPER(SUBSTITUTE(SUBSTITUTE(SUBSTITUTE(TRIM(B61),".",""),"-","")," ","")),LEN(UPPER(SUBSTITUTE(SUBSTITUTE(SUBSTITUTE(TRIM(B61),".",""),"-","")," ","")))-1))&amp;RIGHT(UPPER(SUBSTITUTE(SUBSTITUTE(SUBSTITUTE(TRIM(B61),".",""),"-","")," ","")),1),UPPER(SUBSTITUTE(SUBSTITUTE(SUBSTITUTE(TRIM(B61),".",""),"-","")," ",""))))</f>
        <v/>
      </c>
      <c r="AH61" s="62" t="str">
        <f aca="false">IF(B61="","",COUNTIFS(C_RUTN,AG61,C_DEF,"Sí",C_INI,"&lt;="&amp;FECHA_CORTE))</f>
        <v/>
      </c>
      <c r="AI61" s="62" t="str">
        <f aca="false">IF(B61="","",COUNTIFS(C_RUTN,AG61,C_DEF,"Sí"))</f>
        <v/>
      </c>
      <c r="AJ61" s="66" t="str">
        <f aca="false">IF(OR(B61="",N(AI61)&lt;=N(AH61)),"",IFERROR(INDEX(C_INI,MATCH(AG61&amp;"-P"&amp;(AH61+1),C_CLAVE,0)),""))</f>
        <v/>
      </c>
      <c r="AK61" s="63" t="str">
        <f aca="false">IF(O61&lt;&gt;"Activo","",Q61+N(K61)+IF(L61="Sí",MIN(GRAT_PCT*(Q61+N(K61)),GRAT_TOPE),0)+N(I61)+N(J61))</f>
        <v/>
      </c>
      <c r="AL61" s="63" t="str">
        <f aca="false">IF(O61&lt;&gt;"Activo","",MIN(AK61,TOPE_IAS_UF*UF_MES))</f>
        <v/>
      </c>
      <c r="AM61" s="62" t="str">
        <f aca="false">IF(AND(O61="Activo",ISNUMBER(V61),W61&lt;&gt;"Renovación registrada"),V61+ROW()/100000,"")</f>
        <v/>
      </c>
      <c r="AN61" s="70" t="str">
        <f aca="false">IF(OR(O61&lt;&gt;"Activo",NOT(ISNUMBER(U61))),"",IF(U61&lt;FECHA_CORTE,"",1.25*(DATEDIF(F61,U61+1,"m")+(U61+1-EDATE(F61,DATEDIF(F61,U61+1,"m")))/30)-Z61))</f>
        <v/>
      </c>
      <c r="AO61" s="66" t="str">
        <f aca="false">IF(OR(B61="",NOT(ISNUMBER(F61))),"",IF(N(G61)&gt;0,MIN(G61,FECHA_CORTE),FECHA_CORTE))</f>
        <v/>
      </c>
    </row>
    <row r="62" customFormat="false" ht="15" hidden="false" customHeight="false" outlineLevel="0" collapsed="false">
      <c r="B62" s="58"/>
      <c r="C62" s="58"/>
      <c r="D62" s="58"/>
      <c r="E62" s="58"/>
      <c r="F62" s="59"/>
      <c r="G62" s="59"/>
      <c r="H62" s="58"/>
      <c r="I62" s="60"/>
      <c r="J62" s="60"/>
      <c r="K62" s="60"/>
      <c r="L62" s="58"/>
      <c r="M62" s="61"/>
      <c r="N62" s="58"/>
      <c r="O62" s="62" t="str">
        <f aca="false">IF(B62="","",IF(NOT(ISNUMBER(F62)),"⚠ Falta ingreso",IF(F62&gt;FECHA_CORTE,"Por ingresar",IF(G62="","Activo",IF(G62&lt;FECHA_CORTE,"Desvinculado","Activo")))))</f>
        <v/>
      </c>
      <c r="P62" s="62" t="str">
        <f aca="false">IF(OR(B62="",NOT(ISNUMBER(F62))),"",IF(F62&gt;FECHA_CORTE,"",DATEDIF(F62,IF(G62="",FECHA_CORTE,MIN(G62,FECHA_CORTE))+1,"y")&amp;" a "&amp;DATEDIF(F62,IF(G62="",FECHA_CORTE,MIN(G62,FECHA_CORTE))+1,"ym")&amp;" m"))</f>
        <v/>
      </c>
      <c r="Q62" s="63" t="str">
        <f aca="false">IF(B62="","",IFERROR(INDEX(C_SUELDO,MATCH(AG62&amp;"-S"&amp;MAX(1,COUNTIFS(C_RUTN,AG62,C_SUELDO,"&lt;&gt;",C_INI,"&lt;="&amp;FECHA_CORTE)),C_CLAVES,0)),0))</f>
        <v/>
      </c>
      <c r="R62" s="62" t="str">
        <f aca="false">IF(B62="","",IF(N(AI62)=0,"Sin contrato",IFERROR(INDEX(C_TIPO,MATCH(AG62&amp;"-P"&amp;MAX(1,AH62),C_CLAVE,0))&amp;"","")))</f>
        <v/>
      </c>
      <c r="S62" s="64" t="str">
        <f aca="false">IF(R62="Plazo fijo",IFERROR(INDEX(C_NPF,MATCH(AG62&amp;"-P"&amp;MAX(1,AH62),C_CLAVE,0)),""),"")</f>
        <v/>
      </c>
      <c r="T62" s="65" t="str">
        <f aca="false">IF(B62="","",COUNTIFS(C_RUTN,AG62,C_TIPODOC,"Anexo de modificación"))</f>
        <v/>
      </c>
      <c r="U62" s="66" t="str">
        <f aca="false">IF(AND(OR(R62="Plazo fijo",R62="Obra o faena"),O62&lt;&gt;"Desvinculado"),IFERROR(IF(N(INDEX(C_TER,MATCH(AG62&amp;"-P"&amp;MAX(1,AH62),C_CLAVE,0)))=0,"",INDEX(C_TER,MATCH(AG62&amp;"-P"&amp;MAX(1,AH62),C_CLAVE,0))),""),"")</f>
        <v/>
      </c>
      <c r="V62" s="67" t="str">
        <f aca="false">IF(ISNUMBER(U62),U62-FECHA_CORTE,"")</f>
        <v/>
      </c>
      <c r="W62" s="62" t="str">
        <f aca="false">IF(B62="","",IF(O62="Desvinculado","Terminado",IF(N(AI62)=0,"Sin contrato registrado",IF(O62="Por ingresar","Por ingresar",IF(ISNUMBER(AJ62),"Renovación registrada",IF(R62="Indefinido","Indefinido",IF(NOT(ISNUMBER(V62)),"Falta fecha de término",IF(V62&lt;0,"VENCIDO",IF(V62&lt;=ALERTA_ROJA,"Vence en ≤ "&amp;ALERTA_ROJA&amp;" días",IF(V62&lt;=ALERTA_NARANJA,"Vence en ≤ "&amp;ALERTA_NARANJA&amp;" días",IF(V62&lt;=ALERTA_AMARILLA,"Vence en ≤ "&amp;ALERTA_AMARILLA&amp;" días","Vigente")))))))))))</f>
        <v/>
      </c>
      <c r="X62" s="62" t="str">
        <f aca="false">IF(B62="","",IF(W62="Terminado","—",IF(W62="Sin contrato registrado","Registrar su contrato en la hoja Contratos",IF(W62="Por ingresar","Tener el contrato firmado antes del ingreso",IF(W62="Renovación registrada","Siguiente contrato ya registrado: verificar que esté firmado",IF(R62="Indefinido","Sin vencimiento. Cambios de sueldo o cargo: anexo de modificación",IF(W62="Falta fecha de término","Completar la fecha de término en Contratos",IF(W62="VENCIDO","Sigue trabajando con plazo vencido: por ley ya es INDEFINIDO. Firmar anexo de paso a indefinido",IF(R62="Obra o faena","Al terminar la obra: finiquito + 2,5 días de sueldo por mes trabajado",IF(N(S62)&gt;=2,"2° contrato a plazo: NO se puede renovar otra vez a plazo fijo. Pasar a indefinido o terminar al vencer","1er contrato a plazo: renovar (2° contrato), pasar a indefinido o terminar al vencer"))))))))))</f>
        <v/>
      </c>
      <c r="Y62" s="68" t="str">
        <f aca="false">IF(O62&lt;&gt;"Activo","",ROUND(1.25*(DATEDIF(F62,AO62+1,"m")+(AO62+1-EDATE(F62,DATEDIF(F62,AO62+1,"m")))/30),2))</f>
        <v/>
      </c>
      <c r="Z62" s="68" t="str">
        <f aca="false">IF(O62&lt;&gt;"Activo","",N(M62)+SUMIFS(M_VAC,M_RUTN,AG62,M_MES,"&lt;="&amp;FECHA_CORTE))</f>
        <v/>
      </c>
      <c r="AA62" s="68" t="str">
        <f aca="false">IF(O62&lt;&gt;"Activo","",Y62-Z62)</f>
        <v/>
      </c>
      <c r="AB62" s="63" t="str">
        <f aca="false">IF(O62&lt;&gt;"Activo","",ROUND(MAX(0,IF(AA62&lt;=0,0,WORKDAY(FECHA_CORTE,INT(AA62),FERIADOS)-FECHA_CORTE+(AA62-INT(AA62))))*(Q62+N(K62))/30,0))</f>
        <v/>
      </c>
      <c r="AC62" s="65" t="str">
        <f aca="false">IF(O62&lt;&gt;"Activo","",IF(DATEDIF(F62,FECHA_CORTE+1,"y")&lt;1,0,MIN(TOPE_ANIOS,DATEDIF(F62,FECHA_CORTE+1,"y")+IF(EDATE(F62,12*DATEDIF(F62,FECHA_CORTE+1,"y")+6)&lt;FECHA_CORTE+1,1,0))))</f>
        <v/>
      </c>
      <c r="AD62" s="69" t="str">
        <f aca="false">IF(O62&lt;&gt;"Activo","",AB62+IF(R62="Obra o faena",0,ROUND(AL62*AC62,0)+ROUND(AL62,0)))</f>
        <v/>
      </c>
      <c r="AE62" s="69" t="str">
        <f aca="false">IF(O62&lt;&gt;"Activo","",AB62)</f>
        <v/>
      </c>
      <c r="AF62" s="69" t="str">
        <f aca="false">IF(AN62="","",IF(ISNUMBER(AJ62),"",ROUND(MAX(0,IF(AN62&lt;=0,0,WORKDAY(U62,INT(AN62),FERIADOS)-U62+(AN62-INT(AN62))))*(Q62+N(K62))/30,0)+IF(R62="Obra o faena",ROUND(OBRA_DIAS*AL62/30*(DATEDIF(F62,U62+1,"m")+IF(U62+1-EDATE(F62,DATEDIF(F62,U62+1,"m"))&gt;15,1,0)),0),0)))</f>
        <v/>
      </c>
      <c r="AG62" s="62" t="str">
        <f aca="false">IF(B62="","",IFERROR(VALUE(LEFT(UPPER(SUBSTITUTE(SUBSTITUTE(SUBSTITUTE(TRIM(B62),".",""),"-","")," ","")),LEN(UPPER(SUBSTITUTE(SUBSTITUTE(SUBSTITUTE(TRIM(B62),".",""),"-","")," ","")))-1))&amp;RIGHT(UPPER(SUBSTITUTE(SUBSTITUTE(SUBSTITUTE(TRIM(B62),".",""),"-","")," ","")),1),UPPER(SUBSTITUTE(SUBSTITUTE(SUBSTITUTE(TRIM(B62),".",""),"-","")," ",""))))</f>
        <v/>
      </c>
      <c r="AH62" s="62" t="str">
        <f aca="false">IF(B62="","",COUNTIFS(C_RUTN,AG62,C_DEF,"Sí",C_INI,"&lt;="&amp;FECHA_CORTE))</f>
        <v/>
      </c>
      <c r="AI62" s="62" t="str">
        <f aca="false">IF(B62="","",COUNTIFS(C_RUTN,AG62,C_DEF,"Sí"))</f>
        <v/>
      </c>
      <c r="AJ62" s="66" t="str">
        <f aca="false">IF(OR(B62="",N(AI62)&lt;=N(AH62)),"",IFERROR(INDEX(C_INI,MATCH(AG62&amp;"-P"&amp;(AH62+1),C_CLAVE,0)),""))</f>
        <v/>
      </c>
      <c r="AK62" s="63" t="str">
        <f aca="false">IF(O62&lt;&gt;"Activo","",Q62+N(K62)+IF(L62="Sí",MIN(GRAT_PCT*(Q62+N(K62)),GRAT_TOPE),0)+N(I62)+N(J62))</f>
        <v/>
      </c>
      <c r="AL62" s="63" t="str">
        <f aca="false">IF(O62&lt;&gt;"Activo","",MIN(AK62,TOPE_IAS_UF*UF_MES))</f>
        <v/>
      </c>
      <c r="AM62" s="62" t="str">
        <f aca="false">IF(AND(O62="Activo",ISNUMBER(V62),W62&lt;&gt;"Renovación registrada"),V62+ROW()/100000,"")</f>
        <v/>
      </c>
      <c r="AN62" s="70" t="str">
        <f aca="false">IF(OR(O62&lt;&gt;"Activo",NOT(ISNUMBER(U62))),"",IF(U62&lt;FECHA_CORTE,"",1.25*(DATEDIF(F62,U62+1,"m")+(U62+1-EDATE(F62,DATEDIF(F62,U62+1,"m")))/30)-Z62))</f>
        <v/>
      </c>
      <c r="AO62" s="66" t="str">
        <f aca="false">IF(OR(B62="",NOT(ISNUMBER(F62))),"",IF(N(G62)&gt;0,MIN(G62,FECHA_CORTE),FECHA_CORTE))</f>
        <v/>
      </c>
    </row>
    <row r="63" customFormat="false" ht="15" hidden="false" customHeight="false" outlineLevel="0" collapsed="false">
      <c r="B63" s="58"/>
      <c r="C63" s="58"/>
      <c r="D63" s="58"/>
      <c r="E63" s="58"/>
      <c r="F63" s="59"/>
      <c r="G63" s="59"/>
      <c r="H63" s="58"/>
      <c r="I63" s="60"/>
      <c r="J63" s="60"/>
      <c r="K63" s="60"/>
      <c r="L63" s="58"/>
      <c r="M63" s="61"/>
      <c r="N63" s="58"/>
      <c r="O63" s="62" t="str">
        <f aca="false">IF(B63="","",IF(NOT(ISNUMBER(F63)),"⚠ Falta ingreso",IF(F63&gt;FECHA_CORTE,"Por ingresar",IF(G63="","Activo",IF(G63&lt;FECHA_CORTE,"Desvinculado","Activo")))))</f>
        <v/>
      </c>
      <c r="P63" s="62" t="str">
        <f aca="false">IF(OR(B63="",NOT(ISNUMBER(F63))),"",IF(F63&gt;FECHA_CORTE,"",DATEDIF(F63,IF(G63="",FECHA_CORTE,MIN(G63,FECHA_CORTE))+1,"y")&amp;" a "&amp;DATEDIF(F63,IF(G63="",FECHA_CORTE,MIN(G63,FECHA_CORTE))+1,"ym")&amp;" m"))</f>
        <v/>
      </c>
      <c r="Q63" s="63" t="str">
        <f aca="false">IF(B63="","",IFERROR(INDEX(C_SUELDO,MATCH(AG63&amp;"-S"&amp;MAX(1,COUNTIFS(C_RUTN,AG63,C_SUELDO,"&lt;&gt;",C_INI,"&lt;="&amp;FECHA_CORTE)),C_CLAVES,0)),0))</f>
        <v/>
      </c>
      <c r="R63" s="62" t="str">
        <f aca="false">IF(B63="","",IF(N(AI63)=0,"Sin contrato",IFERROR(INDEX(C_TIPO,MATCH(AG63&amp;"-P"&amp;MAX(1,AH63),C_CLAVE,0))&amp;"","")))</f>
        <v/>
      </c>
      <c r="S63" s="64" t="str">
        <f aca="false">IF(R63="Plazo fijo",IFERROR(INDEX(C_NPF,MATCH(AG63&amp;"-P"&amp;MAX(1,AH63),C_CLAVE,0)),""),"")</f>
        <v/>
      </c>
      <c r="T63" s="65" t="str">
        <f aca="false">IF(B63="","",COUNTIFS(C_RUTN,AG63,C_TIPODOC,"Anexo de modificación"))</f>
        <v/>
      </c>
      <c r="U63" s="66" t="str">
        <f aca="false">IF(AND(OR(R63="Plazo fijo",R63="Obra o faena"),O63&lt;&gt;"Desvinculado"),IFERROR(IF(N(INDEX(C_TER,MATCH(AG63&amp;"-P"&amp;MAX(1,AH63),C_CLAVE,0)))=0,"",INDEX(C_TER,MATCH(AG63&amp;"-P"&amp;MAX(1,AH63),C_CLAVE,0))),""),"")</f>
        <v/>
      </c>
      <c r="V63" s="67" t="str">
        <f aca="false">IF(ISNUMBER(U63),U63-FECHA_CORTE,"")</f>
        <v/>
      </c>
      <c r="W63" s="62" t="str">
        <f aca="false">IF(B63="","",IF(O63="Desvinculado","Terminado",IF(N(AI63)=0,"Sin contrato registrado",IF(O63="Por ingresar","Por ingresar",IF(ISNUMBER(AJ63),"Renovación registrada",IF(R63="Indefinido","Indefinido",IF(NOT(ISNUMBER(V63)),"Falta fecha de término",IF(V63&lt;0,"VENCIDO",IF(V63&lt;=ALERTA_ROJA,"Vence en ≤ "&amp;ALERTA_ROJA&amp;" días",IF(V63&lt;=ALERTA_NARANJA,"Vence en ≤ "&amp;ALERTA_NARANJA&amp;" días",IF(V63&lt;=ALERTA_AMARILLA,"Vence en ≤ "&amp;ALERTA_AMARILLA&amp;" días","Vigente")))))))))))</f>
        <v/>
      </c>
      <c r="X63" s="62" t="str">
        <f aca="false">IF(B63="","",IF(W63="Terminado","—",IF(W63="Sin contrato registrado","Registrar su contrato en la hoja Contratos",IF(W63="Por ingresar","Tener el contrato firmado antes del ingreso",IF(W63="Renovación registrada","Siguiente contrato ya registrado: verificar que esté firmado",IF(R63="Indefinido","Sin vencimiento. Cambios de sueldo o cargo: anexo de modificación",IF(W63="Falta fecha de término","Completar la fecha de término en Contratos",IF(W63="VENCIDO","Sigue trabajando con plazo vencido: por ley ya es INDEFINIDO. Firmar anexo de paso a indefinido",IF(R63="Obra o faena","Al terminar la obra: finiquito + 2,5 días de sueldo por mes trabajado",IF(N(S63)&gt;=2,"2° contrato a plazo: NO se puede renovar otra vez a plazo fijo. Pasar a indefinido o terminar al vencer","1er contrato a plazo: renovar (2° contrato), pasar a indefinido o terminar al vencer"))))))))))</f>
        <v/>
      </c>
      <c r="Y63" s="68" t="str">
        <f aca="false">IF(O63&lt;&gt;"Activo","",ROUND(1.25*(DATEDIF(F63,AO63+1,"m")+(AO63+1-EDATE(F63,DATEDIF(F63,AO63+1,"m")))/30),2))</f>
        <v/>
      </c>
      <c r="Z63" s="68" t="str">
        <f aca="false">IF(O63&lt;&gt;"Activo","",N(M63)+SUMIFS(M_VAC,M_RUTN,AG63,M_MES,"&lt;="&amp;FECHA_CORTE))</f>
        <v/>
      </c>
      <c r="AA63" s="68" t="str">
        <f aca="false">IF(O63&lt;&gt;"Activo","",Y63-Z63)</f>
        <v/>
      </c>
      <c r="AB63" s="63" t="str">
        <f aca="false">IF(O63&lt;&gt;"Activo","",ROUND(MAX(0,IF(AA63&lt;=0,0,WORKDAY(FECHA_CORTE,INT(AA63),FERIADOS)-FECHA_CORTE+(AA63-INT(AA63))))*(Q63+N(K63))/30,0))</f>
        <v/>
      </c>
      <c r="AC63" s="65" t="str">
        <f aca="false">IF(O63&lt;&gt;"Activo","",IF(DATEDIF(F63,FECHA_CORTE+1,"y")&lt;1,0,MIN(TOPE_ANIOS,DATEDIF(F63,FECHA_CORTE+1,"y")+IF(EDATE(F63,12*DATEDIF(F63,FECHA_CORTE+1,"y")+6)&lt;FECHA_CORTE+1,1,0))))</f>
        <v/>
      </c>
      <c r="AD63" s="69" t="str">
        <f aca="false">IF(O63&lt;&gt;"Activo","",AB63+IF(R63="Obra o faena",0,ROUND(AL63*AC63,0)+ROUND(AL63,0)))</f>
        <v/>
      </c>
      <c r="AE63" s="69" t="str">
        <f aca="false">IF(O63&lt;&gt;"Activo","",AB63)</f>
        <v/>
      </c>
      <c r="AF63" s="69" t="str">
        <f aca="false">IF(AN63="","",IF(ISNUMBER(AJ63),"",ROUND(MAX(0,IF(AN63&lt;=0,0,WORKDAY(U63,INT(AN63),FERIADOS)-U63+(AN63-INT(AN63))))*(Q63+N(K63))/30,0)+IF(R63="Obra o faena",ROUND(OBRA_DIAS*AL63/30*(DATEDIF(F63,U63+1,"m")+IF(U63+1-EDATE(F63,DATEDIF(F63,U63+1,"m"))&gt;15,1,0)),0),0)))</f>
        <v/>
      </c>
      <c r="AG63" s="62" t="str">
        <f aca="false">IF(B63="","",IFERROR(VALUE(LEFT(UPPER(SUBSTITUTE(SUBSTITUTE(SUBSTITUTE(TRIM(B63),".",""),"-","")," ","")),LEN(UPPER(SUBSTITUTE(SUBSTITUTE(SUBSTITUTE(TRIM(B63),".",""),"-","")," ","")))-1))&amp;RIGHT(UPPER(SUBSTITUTE(SUBSTITUTE(SUBSTITUTE(TRIM(B63),".",""),"-","")," ","")),1),UPPER(SUBSTITUTE(SUBSTITUTE(SUBSTITUTE(TRIM(B63),".",""),"-","")," ",""))))</f>
        <v/>
      </c>
      <c r="AH63" s="62" t="str">
        <f aca="false">IF(B63="","",COUNTIFS(C_RUTN,AG63,C_DEF,"Sí",C_INI,"&lt;="&amp;FECHA_CORTE))</f>
        <v/>
      </c>
      <c r="AI63" s="62" t="str">
        <f aca="false">IF(B63="","",COUNTIFS(C_RUTN,AG63,C_DEF,"Sí"))</f>
        <v/>
      </c>
      <c r="AJ63" s="66" t="str">
        <f aca="false">IF(OR(B63="",N(AI63)&lt;=N(AH63)),"",IFERROR(INDEX(C_INI,MATCH(AG63&amp;"-P"&amp;(AH63+1),C_CLAVE,0)),""))</f>
        <v/>
      </c>
      <c r="AK63" s="63" t="str">
        <f aca="false">IF(O63&lt;&gt;"Activo","",Q63+N(K63)+IF(L63="Sí",MIN(GRAT_PCT*(Q63+N(K63)),GRAT_TOPE),0)+N(I63)+N(J63))</f>
        <v/>
      </c>
      <c r="AL63" s="63" t="str">
        <f aca="false">IF(O63&lt;&gt;"Activo","",MIN(AK63,TOPE_IAS_UF*UF_MES))</f>
        <v/>
      </c>
      <c r="AM63" s="62" t="str">
        <f aca="false">IF(AND(O63="Activo",ISNUMBER(V63),W63&lt;&gt;"Renovación registrada"),V63+ROW()/100000,"")</f>
        <v/>
      </c>
      <c r="AN63" s="70" t="str">
        <f aca="false">IF(OR(O63&lt;&gt;"Activo",NOT(ISNUMBER(U63))),"",IF(U63&lt;FECHA_CORTE,"",1.25*(DATEDIF(F63,U63+1,"m")+(U63+1-EDATE(F63,DATEDIF(F63,U63+1,"m")))/30)-Z63))</f>
        <v/>
      </c>
      <c r="AO63" s="66" t="str">
        <f aca="false">IF(OR(B63="",NOT(ISNUMBER(F63))),"",IF(N(G63)&gt;0,MIN(G63,FECHA_CORTE),FECHA_CORTE))</f>
        <v/>
      </c>
    </row>
    <row r="64" customFormat="false" ht="15" hidden="false" customHeight="false" outlineLevel="0" collapsed="false">
      <c r="B64" s="58"/>
      <c r="C64" s="58"/>
      <c r="D64" s="58"/>
      <c r="E64" s="58"/>
      <c r="F64" s="59"/>
      <c r="G64" s="59"/>
      <c r="H64" s="58"/>
      <c r="I64" s="60"/>
      <c r="J64" s="60"/>
      <c r="K64" s="60"/>
      <c r="L64" s="58"/>
      <c r="M64" s="61"/>
      <c r="N64" s="58"/>
      <c r="O64" s="62" t="str">
        <f aca="false">IF(B64="","",IF(NOT(ISNUMBER(F64)),"⚠ Falta ingreso",IF(F64&gt;FECHA_CORTE,"Por ingresar",IF(G64="","Activo",IF(G64&lt;FECHA_CORTE,"Desvinculado","Activo")))))</f>
        <v/>
      </c>
      <c r="P64" s="62" t="str">
        <f aca="false">IF(OR(B64="",NOT(ISNUMBER(F64))),"",IF(F64&gt;FECHA_CORTE,"",DATEDIF(F64,IF(G64="",FECHA_CORTE,MIN(G64,FECHA_CORTE))+1,"y")&amp;" a "&amp;DATEDIF(F64,IF(G64="",FECHA_CORTE,MIN(G64,FECHA_CORTE))+1,"ym")&amp;" m"))</f>
        <v/>
      </c>
      <c r="Q64" s="63" t="str">
        <f aca="false">IF(B64="","",IFERROR(INDEX(C_SUELDO,MATCH(AG64&amp;"-S"&amp;MAX(1,COUNTIFS(C_RUTN,AG64,C_SUELDO,"&lt;&gt;",C_INI,"&lt;="&amp;FECHA_CORTE)),C_CLAVES,0)),0))</f>
        <v/>
      </c>
      <c r="R64" s="62" t="str">
        <f aca="false">IF(B64="","",IF(N(AI64)=0,"Sin contrato",IFERROR(INDEX(C_TIPO,MATCH(AG64&amp;"-P"&amp;MAX(1,AH64),C_CLAVE,0))&amp;"","")))</f>
        <v/>
      </c>
      <c r="S64" s="64" t="str">
        <f aca="false">IF(R64="Plazo fijo",IFERROR(INDEX(C_NPF,MATCH(AG64&amp;"-P"&amp;MAX(1,AH64),C_CLAVE,0)),""),"")</f>
        <v/>
      </c>
      <c r="T64" s="65" t="str">
        <f aca="false">IF(B64="","",COUNTIFS(C_RUTN,AG64,C_TIPODOC,"Anexo de modificación"))</f>
        <v/>
      </c>
      <c r="U64" s="66" t="str">
        <f aca="false">IF(AND(OR(R64="Plazo fijo",R64="Obra o faena"),O64&lt;&gt;"Desvinculado"),IFERROR(IF(N(INDEX(C_TER,MATCH(AG64&amp;"-P"&amp;MAX(1,AH64),C_CLAVE,0)))=0,"",INDEX(C_TER,MATCH(AG64&amp;"-P"&amp;MAX(1,AH64),C_CLAVE,0))),""),"")</f>
        <v/>
      </c>
      <c r="V64" s="67" t="str">
        <f aca="false">IF(ISNUMBER(U64),U64-FECHA_CORTE,"")</f>
        <v/>
      </c>
      <c r="W64" s="62" t="str">
        <f aca="false">IF(B64="","",IF(O64="Desvinculado","Terminado",IF(N(AI64)=0,"Sin contrato registrado",IF(O64="Por ingresar","Por ingresar",IF(ISNUMBER(AJ64),"Renovación registrada",IF(R64="Indefinido","Indefinido",IF(NOT(ISNUMBER(V64)),"Falta fecha de término",IF(V64&lt;0,"VENCIDO",IF(V64&lt;=ALERTA_ROJA,"Vence en ≤ "&amp;ALERTA_ROJA&amp;" días",IF(V64&lt;=ALERTA_NARANJA,"Vence en ≤ "&amp;ALERTA_NARANJA&amp;" días",IF(V64&lt;=ALERTA_AMARILLA,"Vence en ≤ "&amp;ALERTA_AMARILLA&amp;" días","Vigente")))))))))))</f>
        <v/>
      </c>
      <c r="X64" s="62" t="str">
        <f aca="false">IF(B64="","",IF(W64="Terminado","—",IF(W64="Sin contrato registrado","Registrar su contrato en la hoja Contratos",IF(W64="Por ingresar","Tener el contrato firmado antes del ingreso",IF(W64="Renovación registrada","Siguiente contrato ya registrado: verificar que esté firmado",IF(R64="Indefinido","Sin vencimiento. Cambios de sueldo o cargo: anexo de modificación",IF(W64="Falta fecha de término","Completar la fecha de término en Contratos",IF(W64="VENCIDO","Sigue trabajando con plazo vencido: por ley ya es INDEFINIDO. Firmar anexo de paso a indefinido",IF(R64="Obra o faena","Al terminar la obra: finiquito + 2,5 días de sueldo por mes trabajado",IF(N(S64)&gt;=2,"2° contrato a plazo: NO se puede renovar otra vez a plazo fijo. Pasar a indefinido o terminar al vencer","1er contrato a plazo: renovar (2° contrato), pasar a indefinido o terminar al vencer"))))))))))</f>
        <v/>
      </c>
      <c r="Y64" s="68" t="str">
        <f aca="false">IF(O64&lt;&gt;"Activo","",ROUND(1.25*(DATEDIF(F64,AO64+1,"m")+(AO64+1-EDATE(F64,DATEDIF(F64,AO64+1,"m")))/30),2))</f>
        <v/>
      </c>
      <c r="Z64" s="68" t="str">
        <f aca="false">IF(O64&lt;&gt;"Activo","",N(M64)+SUMIFS(M_VAC,M_RUTN,AG64,M_MES,"&lt;="&amp;FECHA_CORTE))</f>
        <v/>
      </c>
      <c r="AA64" s="68" t="str">
        <f aca="false">IF(O64&lt;&gt;"Activo","",Y64-Z64)</f>
        <v/>
      </c>
      <c r="AB64" s="63" t="str">
        <f aca="false">IF(O64&lt;&gt;"Activo","",ROUND(MAX(0,IF(AA64&lt;=0,0,WORKDAY(FECHA_CORTE,INT(AA64),FERIADOS)-FECHA_CORTE+(AA64-INT(AA64))))*(Q64+N(K64))/30,0))</f>
        <v/>
      </c>
      <c r="AC64" s="65" t="str">
        <f aca="false">IF(O64&lt;&gt;"Activo","",IF(DATEDIF(F64,FECHA_CORTE+1,"y")&lt;1,0,MIN(TOPE_ANIOS,DATEDIF(F64,FECHA_CORTE+1,"y")+IF(EDATE(F64,12*DATEDIF(F64,FECHA_CORTE+1,"y")+6)&lt;FECHA_CORTE+1,1,0))))</f>
        <v/>
      </c>
      <c r="AD64" s="69" t="str">
        <f aca="false">IF(O64&lt;&gt;"Activo","",AB64+IF(R64="Obra o faena",0,ROUND(AL64*AC64,0)+ROUND(AL64,0)))</f>
        <v/>
      </c>
      <c r="AE64" s="69" t="str">
        <f aca="false">IF(O64&lt;&gt;"Activo","",AB64)</f>
        <v/>
      </c>
      <c r="AF64" s="69" t="str">
        <f aca="false">IF(AN64="","",IF(ISNUMBER(AJ64),"",ROUND(MAX(0,IF(AN64&lt;=0,0,WORKDAY(U64,INT(AN64),FERIADOS)-U64+(AN64-INT(AN64))))*(Q64+N(K64))/30,0)+IF(R64="Obra o faena",ROUND(OBRA_DIAS*AL64/30*(DATEDIF(F64,U64+1,"m")+IF(U64+1-EDATE(F64,DATEDIF(F64,U64+1,"m"))&gt;15,1,0)),0),0)))</f>
        <v/>
      </c>
      <c r="AG64" s="62" t="str">
        <f aca="false">IF(B64="","",IFERROR(VALUE(LEFT(UPPER(SUBSTITUTE(SUBSTITUTE(SUBSTITUTE(TRIM(B64),".",""),"-","")," ","")),LEN(UPPER(SUBSTITUTE(SUBSTITUTE(SUBSTITUTE(TRIM(B64),".",""),"-","")," ","")))-1))&amp;RIGHT(UPPER(SUBSTITUTE(SUBSTITUTE(SUBSTITUTE(TRIM(B64),".",""),"-","")," ","")),1),UPPER(SUBSTITUTE(SUBSTITUTE(SUBSTITUTE(TRIM(B64),".",""),"-","")," ",""))))</f>
        <v/>
      </c>
      <c r="AH64" s="62" t="str">
        <f aca="false">IF(B64="","",COUNTIFS(C_RUTN,AG64,C_DEF,"Sí",C_INI,"&lt;="&amp;FECHA_CORTE))</f>
        <v/>
      </c>
      <c r="AI64" s="62" t="str">
        <f aca="false">IF(B64="","",COUNTIFS(C_RUTN,AG64,C_DEF,"Sí"))</f>
        <v/>
      </c>
      <c r="AJ64" s="66" t="str">
        <f aca="false">IF(OR(B64="",N(AI64)&lt;=N(AH64)),"",IFERROR(INDEX(C_INI,MATCH(AG64&amp;"-P"&amp;(AH64+1),C_CLAVE,0)),""))</f>
        <v/>
      </c>
      <c r="AK64" s="63" t="str">
        <f aca="false">IF(O64&lt;&gt;"Activo","",Q64+N(K64)+IF(L64="Sí",MIN(GRAT_PCT*(Q64+N(K64)),GRAT_TOPE),0)+N(I64)+N(J64))</f>
        <v/>
      </c>
      <c r="AL64" s="63" t="str">
        <f aca="false">IF(O64&lt;&gt;"Activo","",MIN(AK64,TOPE_IAS_UF*UF_MES))</f>
        <v/>
      </c>
      <c r="AM64" s="62" t="str">
        <f aca="false">IF(AND(O64="Activo",ISNUMBER(V64),W64&lt;&gt;"Renovación registrada"),V64+ROW()/100000,"")</f>
        <v/>
      </c>
      <c r="AN64" s="70" t="str">
        <f aca="false">IF(OR(O64&lt;&gt;"Activo",NOT(ISNUMBER(U64))),"",IF(U64&lt;FECHA_CORTE,"",1.25*(DATEDIF(F64,U64+1,"m")+(U64+1-EDATE(F64,DATEDIF(F64,U64+1,"m")))/30)-Z64))</f>
        <v/>
      </c>
      <c r="AO64" s="66" t="str">
        <f aca="false">IF(OR(B64="",NOT(ISNUMBER(F64))),"",IF(N(G64)&gt;0,MIN(G64,FECHA_CORTE),FECHA_CORTE))</f>
        <v/>
      </c>
    </row>
    <row r="65" customFormat="false" ht="15" hidden="false" customHeight="false" outlineLevel="0" collapsed="false">
      <c r="B65" s="58"/>
      <c r="C65" s="58"/>
      <c r="D65" s="58"/>
      <c r="E65" s="58"/>
      <c r="F65" s="59"/>
      <c r="G65" s="59"/>
      <c r="H65" s="58"/>
      <c r="I65" s="60"/>
      <c r="J65" s="60"/>
      <c r="K65" s="60"/>
      <c r="L65" s="58"/>
      <c r="M65" s="61"/>
      <c r="N65" s="58"/>
      <c r="O65" s="62" t="str">
        <f aca="false">IF(B65="","",IF(NOT(ISNUMBER(F65)),"⚠ Falta ingreso",IF(F65&gt;FECHA_CORTE,"Por ingresar",IF(G65="","Activo",IF(G65&lt;FECHA_CORTE,"Desvinculado","Activo")))))</f>
        <v/>
      </c>
      <c r="P65" s="62" t="str">
        <f aca="false">IF(OR(B65="",NOT(ISNUMBER(F65))),"",IF(F65&gt;FECHA_CORTE,"",DATEDIF(F65,IF(G65="",FECHA_CORTE,MIN(G65,FECHA_CORTE))+1,"y")&amp;" a "&amp;DATEDIF(F65,IF(G65="",FECHA_CORTE,MIN(G65,FECHA_CORTE))+1,"ym")&amp;" m"))</f>
        <v/>
      </c>
      <c r="Q65" s="63" t="str">
        <f aca="false">IF(B65="","",IFERROR(INDEX(C_SUELDO,MATCH(AG65&amp;"-S"&amp;MAX(1,COUNTIFS(C_RUTN,AG65,C_SUELDO,"&lt;&gt;",C_INI,"&lt;="&amp;FECHA_CORTE)),C_CLAVES,0)),0))</f>
        <v/>
      </c>
      <c r="R65" s="62" t="str">
        <f aca="false">IF(B65="","",IF(N(AI65)=0,"Sin contrato",IFERROR(INDEX(C_TIPO,MATCH(AG65&amp;"-P"&amp;MAX(1,AH65),C_CLAVE,0))&amp;"","")))</f>
        <v/>
      </c>
      <c r="S65" s="64" t="str">
        <f aca="false">IF(R65="Plazo fijo",IFERROR(INDEX(C_NPF,MATCH(AG65&amp;"-P"&amp;MAX(1,AH65),C_CLAVE,0)),""),"")</f>
        <v/>
      </c>
      <c r="T65" s="65" t="str">
        <f aca="false">IF(B65="","",COUNTIFS(C_RUTN,AG65,C_TIPODOC,"Anexo de modificación"))</f>
        <v/>
      </c>
      <c r="U65" s="66" t="str">
        <f aca="false">IF(AND(OR(R65="Plazo fijo",R65="Obra o faena"),O65&lt;&gt;"Desvinculado"),IFERROR(IF(N(INDEX(C_TER,MATCH(AG65&amp;"-P"&amp;MAX(1,AH65),C_CLAVE,0)))=0,"",INDEX(C_TER,MATCH(AG65&amp;"-P"&amp;MAX(1,AH65),C_CLAVE,0))),""),"")</f>
        <v/>
      </c>
      <c r="V65" s="67" t="str">
        <f aca="false">IF(ISNUMBER(U65),U65-FECHA_CORTE,"")</f>
        <v/>
      </c>
      <c r="W65" s="62" t="str">
        <f aca="false">IF(B65="","",IF(O65="Desvinculado","Terminado",IF(N(AI65)=0,"Sin contrato registrado",IF(O65="Por ingresar","Por ingresar",IF(ISNUMBER(AJ65),"Renovación registrada",IF(R65="Indefinido","Indefinido",IF(NOT(ISNUMBER(V65)),"Falta fecha de término",IF(V65&lt;0,"VENCIDO",IF(V65&lt;=ALERTA_ROJA,"Vence en ≤ "&amp;ALERTA_ROJA&amp;" días",IF(V65&lt;=ALERTA_NARANJA,"Vence en ≤ "&amp;ALERTA_NARANJA&amp;" días",IF(V65&lt;=ALERTA_AMARILLA,"Vence en ≤ "&amp;ALERTA_AMARILLA&amp;" días","Vigente")))))))))))</f>
        <v/>
      </c>
      <c r="X65" s="62" t="str">
        <f aca="false">IF(B65="","",IF(W65="Terminado","—",IF(W65="Sin contrato registrado","Registrar su contrato en la hoja Contratos",IF(W65="Por ingresar","Tener el contrato firmado antes del ingreso",IF(W65="Renovación registrada","Siguiente contrato ya registrado: verificar que esté firmado",IF(R65="Indefinido","Sin vencimiento. Cambios de sueldo o cargo: anexo de modificación",IF(W65="Falta fecha de término","Completar la fecha de término en Contratos",IF(W65="VENCIDO","Sigue trabajando con plazo vencido: por ley ya es INDEFINIDO. Firmar anexo de paso a indefinido",IF(R65="Obra o faena","Al terminar la obra: finiquito + 2,5 días de sueldo por mes trabajado",IF(N(S65)&gt;=2,"2° contrato a plazo: NO se puede renovar otra vez a plazo fijo. Pasar a indefinido o terminar al vencer","1er contrato a plazo: renovar (2° contrato), pasar a indefinido o terminar al vencer"))))))))))</f>
        <v/>
      </c>
      <c r="Y65" s="68" t="str">
        <f aca="false">IF(O65&lt;&gt;"Activo","",ROUND(1.25*(DATEDIF(F65,AO65+1,"m")+(AO65+1-EDATE(F65,DATEDIF(F65,AO65+1,"m")))/30),2))</f>
        <v/>
      </c>
      <c r="Z65" s="68" t="str">
        <f aca="false">IF(O65&lt;&gt;"Activo","",N(M65)+SUMIFS(M_VAC,M_RUTN,AG65,M_MES,"&lt;="&amp;FECHA_CORTE))</f>
        <v/>
      </c>
      <c r="AA65" s="68" t="str">
        <f aca="false">IF(O65&lt;&gt;"Activo","",Y65-Z65)</f>
        <v/>
      </c>
      <c r="AB65" s="63" t="str">
        <f aca="false">IF(O65&lt;&gt;"Activo","",ROUND(MAX(0,IF(AA65&lt;=0,0,WORKDAY(FECHA_CORTE,INT(AA65),FERIADOS)-FECHA_CORTE+(AA65-INT(AA65))))*(Q65+N(K65))/30,0))</f>
        <v/>
      </c>
      <c r="AC65" s="65" t="str">
        <f aca="false">IF(O65&lt;&gt;"Activo","",IF(DATEDIF(F65,FECHA_CORTE+1,"y")&lt;1,0,MIN(TOPE_ANIOS,DATEDIF(F65,FECHA_CORTE+1,"y")+IF(EDATE(F65,12*DATEDIF(F65,FECHA_CORTE+1,"y")+6)&lt;FECHA_CORTE+1,1,0))))</f>
        <v/>
      </c>
      <c r="AD65" s="69" t="str">
        <f aca="false">IF(O65&lt;&gt;"Activo","",AB65+IF(R65="Obra o faena",0,ROUND(AL65*AC65,0)+ROUND(AL65,0)))</f>
        <v/>
      </c>
      <c r="AE65" s="69" t="str">
        <f aca="false">IF(O65&lt;&gt;"Activo","",AB65)</f>
        <v/>
      </c>
      <c r="AF65" s="69" t="str">
        <f aca="false">IF(AN65="","",IF(ISNUMBER(AJ65),"",ROUND(MAX(0,IF(AN65&lt;=0,0,WORKDAY(U65,INT(AN65),FERIADOS)-U65+(AN65-INT(AN65))))*(Q65+N(K65))/30,0)+IF(R65="Obra o faena",ROUND(OBRA_DIAS*AL65/30*(DATEDIF(F65,U65+1,"m")+IF(U65+1-EDATE(F65,DATEDIF(F65,U65+1,"m"))&gt;15,1,0)),0),0)))</f>
        <v/>
      </c>
      <c r="AG65" s="62" t="str">
        <f aca="false">IF(B65="","",IFERROR(VALUE(LEFT(UPPER(SUBSTITUTE(SUBSTITUTE(SUBSTITUTE(TRIM(B65),".",""),"-","")," ","")),LEN(UPPER(SUBSTITUTE(SUBSTITUTE(SUBSTITUTE(TRIM(B65),".",""),"-","")," ","")))-1))&amp;RIGHT(UPPER(SUBSTITUTE(SUBSTITUTE(SUBSTITUTE(TRIM(B65),".",""),"-","")," ","")),1),UPPER(SUBSTITUTE(SUBSTITUTE(SUBSTITUTE(TRIM(B65),".",""),"-","")," ",""))))</f>
        <v/>
      </c>
      <c r="AH65" s="62" t="str">
        <f aca="false">IF(B65="","",COUNTIFS(C_RUTN,AG65,C_DEF,"Sí",C_INI,"&lt;="&amp;FECHA_CORTE))</f>
        <v/>
      </c>
      <c r="AI65" s="62" t="str">
        <f aca="false">IF(B65="","",COUNTIFS(C_RUTN,AG65,C_DEF,"Sí"))</f>
        <v/>
      </c>
      <c r="AJ65" s="66" t="str">
        <f aca="false">IF(OR(B65="",N(AI65)&lt;=N(AH65)),"",IFERROR(INDEX(C_INI,MATCH(AG65&amp;"-P"&amp;(AH65+1),C_CLAVE,0)),""))</f>
        <v/>
      </c>
      <c r="AK65" s="63" t="str">
        <f aca="false">IF(O65&lt;&gt;"Activo","",Q65+N(K65)+IF(L65="Sí",MIN(GRAT_PCT*(Q65+N(K65)),GRAT_TOPE),0)+N(I65)+N(J65))</f>
        <v/>
      </c>
      <c r="AL65" s="63" t="str">
        <f aca="false">IF(O65&lt;&gt;"Activo","",MIN(AK65,TOPE_IAS_UF*UF_MES))</f>
        <v/>
      </c>
      <c r="AM65" s="62" t="str">
        <f aca="false">IF(AND(O65="Activo",ISNUMBER(V65),W65&lt;&gt;"Renovación registrada"),V65+ROW()/100000,"")</f>
        <v/>
      </c>
      <c r="AN65" s="70" t="str">
        <f aca="false">IF(OR(O65&lt;&gt;"Activo",NOT(ISNUMBER(U65))),"",IF(U65&lt;FECHA_CORTE,"",1.25*(DATEDIF(F65,U65+1,"m")+(U65+1-EDATE(F65,DATEDIF(F65,U65+1,"m")))/30)-Z65))</f>
        <v/>
      </c>
      <c r="AO65" s="66" t="str">
        <f aca="false">IF(OR(B65="",NOT(ISNUMBER(F65))),"",IF(N(G65)&gt;0,MIN(G65,FECHA_CORTE),FECHA_CORTE))</f>
        <v/>
      </c>
    </row>
    <row r="66" customFormat="false" ht="15" hidden="false" customHeight="false" outlineLevel="0" collapsed="false">
      <c r="B66" s="58"/>
      <c r="C66" s="58"/>
      <c r="D66" s="58"/>
      <c r="E66" s="58"/>
      <c r="F66" s="59"/>
      <c r="G66" s="59"/>
      <c r="H66" s="58"/>
      <c r="I66" s="60"/>
      <c r="J66" s="60"/>
      <c r="K66" s="60"/>
      <c r="L66" s="58"/>
      <c r="M66" s="61"/>
      <c r="N66" s="58"/>
      <c r="O66" s="62" t="str">
        <f aca="false">IF(B66="","",IF(NOT(ISNUMBER(F66)),"⚠ Falta ingreso",IF(F66&gt;FECHA_CORTE,"Por ingresar",IF(G66="","Activo",IF(G66&lt;FECHA_CORTE,"Desvinculado","Activo")))))</f>
        <v/>
      </c>
      <c r="P66" s="62" t="str">
        <f aca="false">IF(OR(B66="",NOT(ISNUMBER(F66))),"",IF(F66&gt;FECHA_CORTE,"",DATEDIF(F66,IF(G66="",FECHA_CORTE,MIN(G66,FECHA_CORTE))+1,"y")&amp;" a "&amp;DATEDIF(F66,IF(G66="",FECHA_CORTE,MIN(G66,FECHA_CORTE))+1,"ym")&amp;" m"))</f>
        <v/>
      </c>
      <c r="Q66" s="63" t="str">
        <f aca="false">IF(B66="","",IFERROR(INDEX(C_SUELDO,MATCH(AG66&amp;"-S"&amp;MAX(1,COUNTIFS(C_RUTN,AG66,C_SUELDO,"&lt;&gt;",C_INI,"&lt;="&amp;FECHA_CORTE)),C_CLAVES,0)),0))</f>
        <v/>
      </c>
      <c r="R66" s="62" t="str">
        <f aca="false">IF(B66="","",IF(N(AI66)=0,"Sin contrato",IFERROR(INDEX(C_TIPO,MATCH(AG66&amp;"-P"&amp;MAX(1,AH66),C_CLAVE,0))&amp;"","")))</f>
        <v/>
      </c>
      <c r="S66" s="64" t="str">
        <f aca="false">IF(R66="Plazo fijo",IFERROR(INDEX(C_NPF,MATCH(AG66&amp;"-P"&amp;MAX(1,AH66),C_CLAVE,0)),""),"")</f>
        <v/>
      </c>
      <c r="T66" s="65" t="str">
        <f aca="false">IF(B66="","",COUNTIFS(C_RUTN,AG66,C_TIPODOC,"Anexo de modificación"))</f>
        <v/>
      </c>
      <c r="U66" s="66" t="str">
        <f aca="false">IF(AND(OR(R66="Plazo fijo",R66="Obra o faena"),O66&lt;&gt;"Desvinculado"),IFERROR(IF(N(INDEX(C_TER,MATCH(AG66&amp;"-P"&amp;MAX(1,AH66),C_CLAVE,0)))=0,"",INDEX(C_TER,MATCH(AG66&amp;"-P"&amp;MAX(1,AH66),C_CLAVE,0))),""),"")</f>
        <v/>
      </c>
      <c r="V66" s="67" t="str">
        <f aca="false">IF(ISNUMBER(U66),U66-FECHA_CORTE,"")</f>
        <v/>
      </c>
      <c r="W66" s="62" t="str">
        <f aca="false">IF(B66="","",IF(O66="Desvinculado","Terminado",IF(N(AI66)=0,"Sin contrato registrado",IF(O66="Por ingresar","Por ingresar",IF(ISNUMBER(AJ66),"Renovación registrada",IF(R66="Indefinido","Indefinido",IF(NOT(ISNUMBER(V66)),"Falta fecha de término",IF(V66&lt;0,"VENCIDO",IF(V66&lt;=ALERTA_ROJA,"Vence en ≤ "&amp;ALERTA_ROJA&amp;" días",IF(V66&lt;=ALERTA_NARANJA,"Vence en ≤ "&amp;ALERTA_NARANJA&amp;" días",IF(V66&lt;=ALERTA_AMARILLA,"Vence en ≤ "&amp;ALERTA_AMARILLA&amp;" días","Vigente")))))))))))</f>
        <v/>
      </c>
      <c r="X66" s="62" t="str">
        <f aca="false">IF(B66="","",IF(W66="Terminado","—",IF(W66="Sin contrato registrado","Registrar su contrato en la hoja Contratos",IF(W66="Por ingresar","Tener el contrato firmado antes del ingreso",IF(W66="Renovación registrada","Siguiente contrato ya registrado: verificar que esté firmado",IF(R66="Indefinido","Sin vencimiento. Cambios de sueldo o cargo: anexo de modificación",IF(W66="Falta fecha de término","Completar la fecha de término en Contratos",IF(W66="VENCIDO","Sigue trabajando con plazo vencido: por ley ya es INDEFINIDO. Firmar anexo de paso a indefinido",IF(R66="Obra o faena","Al terminar la obra: finiquito + 2,5 días de sueldo por mes trabajado",IF(N(S66)&gt;=2,"2° contrato a plazo: NO se puede renovar otra vez a plazo fijo. Pasar a indefinido o terminar al vencer","1er contrato a plazo: renovar (2° contrato), pasar a indefinido o terminar al vencer"))))))))))</f>
        <v/>
      </c>
      <c r="Y66" s="68" t="str">
        <f aca="false">IF(O66&lt;&gt;"Activo","",ROUND(1.25*(DATEDIF(F66,AO66+1,"m")+(AO66+1-EDATE(F66,DATEDIF(F66,AO66+1,"m")))/30),2))</f>
        <v/>
      </c>
      <c r="Z66" s="68" t="str">
        <f aca="false">IF(O66&lt;&gt;"Activo","",N(M66)+SUMIFS(M_VAC,M_RUTN,AG66,M_MES,"&lt;="&amp;FECHA_CORTE))</f>
        <v/>
      </c>
      <c r="AA66" s="68" t="str">
        <f aca="false">IF(O66&lt;&gt;"Activo","",Y66-Z66)</f>
        <v/>
      </c>
      <c r="AB66" s="63" t="str">
        <f aca="false">IF(O66&lt;&gt;"Activo","",ROUND(MAX(0,IF(AA66&lt;=0,0,WORKDAY(FECHA_CORTE,INT(AA66),FERIADOS)-FECHA_CORTE+(AA66-INT(AA66))))*(Q66+N(K66))/30,0))</f>
        <v/>
      </c>
      <c r="AC66" s="65" t="str">
        <f aca="false">IF(O66&lt;&gt;"Activo","",IF(DATEDIF(F66,FECHA_CORTE+1,"y")&lt;1,0,MIN(TOPE_ANIOS,DATEDIF(F66,FECHA_CORTE+1,"y")+IF(EDATE(F66,12*DATEDIF(F66,FECHA_CORTE+1,"y")+6)&lt;FECHA_CORTE+1,1,0))))</f>
        <v/>
      </c>
      <c r="AD66" s="69" t="str">
        <f aca="false">IF(O66&lt;&gt;"Activo","",AB66+IF(R66="Obra o faena",0,ROUND(AL66*AC66,0)+ROUND(AL66,0)))</f>
        <v/>
      </c>
      <c r="AE66" s="69" t="str">
        <f aca="false">IF(O66&lt;&gt;"Activo","",AB66)</f>
        <v/>
      </c>
      <c r="AF66" s="69" t="str">
        <f aca="false">IF(AN66="","",IF(ISNUMBER(AJ66),"",ROUND(MAX(0,IF(AN66&lt;=0,0,WORKDAY(U66,INT(AN66),FERIADOS)-U66+(AN66-INT(AN66))))*(Q66+N(K66))/30,0)+IF(R66="Obra o faena",ROUND(OBRA_DIAS*AL66/30*(DATEDIF(F66,U66+1,"m")+IF(U66+1-EDATE(F66,DATEDIF(F66,U66+1,"m"))&gt;15,1,0)),0),0)))</f>
        <v/>
      </c>
      <c r="AG66" s="62" t="str">
        <f aca="false">IF(B66="","",IFERROR(VALUE(LEFT(UPPER(SUBSTITUTE(SUBSTITUTE(SUBSTITUTE(TRIM(B66),".",""),"-","")," ","")),LEN(UPPER(SUBSTITUTE(SUBSTITUTE(SUBSTITUTE(TRIM(B66),".",""),"-","")," ","")))-1))&amp;RIGHT(UPPER(SUBSTITUTE(SUBSTITUTE(SUBSTITUTE(TRIM(B66),".",""),"-","")," ","")),1),UPPER(SUBSTITUTE(SUBSTITUTE(SUBSTITUTE(TRIM(B66),".",""),"-","")," ",""))))</f>
        <v/>
      </c>
      <c r="AH66" s="62" t="str">
        <f aca="false">IF(B66="","",COUNTIFS(C_RUTN,AG66,C_DEF,"Sí",C_INI,"&lt;="&amp;FECHA_CORTE))</f>
        <v/>
      </c>
      <c r="AI66" s="62" t="str">
        <f aca="false">IF(B66="","",COUNTIFS(C_RUTN,AG66,C_DEF,"Sí"))</f>
        <v/>
      </c>
      <c r="AJ66" s="66" t="str">
        <f aca="false">IF(OR(B66="",N(AI66)&lt;=N(AH66)),"",IFERROR(INDEX(C_INI,MATCH(AG66&amp;"-P"&amp;(AH66+1),C_CLAVE,0)),""))</f>
        <v/>
      </c>
      <c r="AK66" s="63" t="str">
        <f aca="false">IF(O66&lt;&gt;"Activo","",Q66+N(K66)+IF(L66="Sí",MIN(GRAT_PCT*(Q66+N(K66)),GRAT_TOPE),0)+N(I66)+N(J66))</f>
        <v/>
      </c>
      <c r="AL66" s="63" t="str">
        <f aca="false">IF(O66&lt;&gt;"Activo","",MIN(AK66,TOPE_IAS_UF*UF_MES))</f>
        <v/>
      </c>
      <c r="AM66" s="62" t="str">
        <f aca="false">IF(AND(O66="Activo",ISNUMBER(V66),W66&lt;&gt;"Renovación registrada"),V66+ROW()/100000,"")</f>
        <v/>
      </c>
      <c r="AN66" s="70" t="str">
        <f aca="false">IF(OR(O66&lt;&gt;"Activo",NOT(ISNUMBER(U66))),"",IF(U66&lt;FECHA_CORTE,"",1.25*(DATEDIF(F66,U66+1,"m")+(U66+1-EDATE(F66,DATEDIF(F66,U66+1,"m")))/30)-Z66))</f>
        <v/>
      </c>
      <c r="AO66" s="66" t="str">
        <f aca="false">IF(OR(B66="",NOT(ISNUMBER(F66))),"",IF(N(G66)&gt;0,MIN(G66,FECHA_CORTE),FECHA_CORTE))</f>
        <v/>
      </c>
    </row>
    <row r="67" customFormat="false" ht="15" hidden="false" customHeight="false" outlineLevel="0" collapsed="false">
      <c r="B67" s="58"/>
      <c r="C67" s="58"/>
      <c r="D67" s="58"/>
      <c r="E67" s="58"/>
      <c r="F67" s="59"/>
      <c r="G67" s="59"/>
      <c r="H67" s="58"/>
      <c r="I67" s="60"/>
      <c r="J67" s="60"/>
      <c r="K67" s="60"/>
      <c r="L67" s="58"/>
      <c r="M67" s="61"/>
      <c r="N67" s="58"/>
      <c r="O67" s="62" t="str">
        <f aca="false">IF(B67="","",IF(NOT(ISNUMBER(F67)),"⚠ Falta ingreso",IF(F67&gt;FECHA_CORTE,"Por ingresar",IF(G67="","Activo",IF(G67&lt;FECHA_CORTE,"Desvinculado","Activo")))))</f>
        <v/>
      </c>
      <c r="P67" s="62" t="str">
        <f aca="false">IF(OR(B67="",NOT(ISNUMBER(F67))),"",IF(F67&gt;FECHA_CORTE,"",DATEDIF(F67,IF(G67="",FECHA_CORTE,MIN(G67,FECHA_CORTE))+1,"y")&amp;" a "&amp;DATEDIF(F67,IF(G67="",FECHA_CORTE,MIN(G67,FECHA_CORTE))+1,"ym")&amp;" m"))</f>
        <v/>
      </c>
      <c r="Q67" s="63" t="str">
        <f aca="false">IF(B67="","",IFERROR(INDEX(C_SUELDO,MATCH(AG67&amp;"-S"&amp;MAX(1,COUNTIFS(C_RUTN,AG67,C_SUELDO,"&lt;&gt;",C_INI,"&lt;="&amp;FECHA_CORTE)),C_CLAVES,0)),0))</f>
        <v/>
      </c>
      <c r="R67" s="62" t="str">
        <f aca="false">IF(B67="","",IF(N(AI67)=0,"Sin contrato",IFERROR(INDEX(C_TIPO,MATCH(AG67&amp;"-P"&amp;MAX(1,AH67),C_CLAVE,0))&amp;"","")))</f>
        <v/>
      </c>
      <c r="S67" s="64" t="str">
        <f aca="false">IF(R67="Plazo fijo",IFERROR(INDEX(C_NPF,MATCH(AG67&amp;"-P"&amp;MAX(1,AH67),C_CLAVE,0)),""),"")</f>
        <v/>
      </c>
      <c r="T67" s="65" t="str">
        <f aca="false">IF(B67="","",COUNTIFS(C_RUTN,AG67,C_TIPODOC,"Anexo de modificación"))</f>
        <v/>
      </c>
      <c r="U67" s="66" t="str">
        <f aca="false">IF(AND(OR(R67="Plazo fijo",R67="Obra o faena"),O67&lt;&gt;"Desvinculado"),IFERROR(IF(N(INDEX(C_TER,MATCH(AG67&amp;"-P"&amp;MAX(1,AH67),C_CLAVE,0)))=0,"",INDEX(C_TER,MATCH(AG67&amp;"-P"&amp;MAX(1,AH67),C_CLAVE,0))),""),"")</f>
        <v/>
      </c>
      <c r="V67" s="67" t="str">
        <f aca="false">IF(ISNUMBER(U67),U67-FECHA_CORTE,"")</f>
        <v/>
      </c>
      <c r="W67" s="62" t="str">
        <f aca="false">IF(B67="","",IF(O67="Desvinculado","Terminado",IF(N(AI67)=0,"Sin contrato registrado",IF(O67="Por ingresar","Por ingresar",IF(ISNUMBER(AJ67),"Renovación registrada",IF(R67="Indefinido","Indefinido",IF(NOT(ISNUMBER(V67)),"Falta fecha de término",IF(V67&lt;0,"VENCIDO",IF(V67&lt;=ALERTA_ROJA,"Vence en ≤ "&amp;ALERTA_ROJA&amp;" días",IF(V67&lt;=ALERTA_NARANJA,"Vence en ≤ "&amp;ALERTA_NARANJA&amp;" días",IF(V67&lt;=ALERTA_AMARILLA,"Vence en ≤ "&amp;ALERTA_AMARILLA&amp;" días","Vigente")))))))))))</f>
        <v/>
      </c>
      <c r="X67" s="62" t="str">
        <f aca="false">IF(B67="","",IF(W67="Terminado","—",IF(W67="Sin contrato registrado","Registrar su contrato en la hoja Contratos",IF(W67="Por ingresar","Tener el contrato firmado antes del ingreso",IF(W67="Renovación registrada","Siguiente contrato ya registrado: verificar que esté firmado",IF(R67="Indefinido","Sin vencimiento. Cambios de sueldo o cargo: anexo de modificación",IF(W67="Falta fecha de término","Completar la fecha de término en Contratos",IF(W67="VENCIDO","Sigue trabajando con plazo vencido: por ley ya es INDEFINIDO. Firmar anexo de paso a indefinido",IF(R67="Obra o faena","Al terminar la obra: finiquito + 2,5 días de sueldo por mes trabajado",IF(N(S67)&gt;=2,"2° contrato a plazo: NO se puede renovar otra vez a plazo fijo. Pasar a indefinido o terminar al vencer","1er contrato a plazo: renovar (2° contrato), pasar a indefinido o terminar al vencer"))))))))))</f>
        <v/>
      </c>
      <c r="Y67" s="68" t="str">
        <f aca="false">IF(O67&lt;&gt;"Activo","",ROUND(1.25*(DATEDIF(F67,AO67+1,"m")+(AO67+1-EDATE(F67,DATEDIF(F67,AO67+1,"m")))/30),2))</f>
        <v/>
      </c>
      <c r="Z67" s="68" t="str">
        <f aca="false">IF(O67&lt;&gt;"Activo","",N(M67)+SUMIFS(M_VAC,M_RUTN,AG67,M_MES,"&lt;="&amp;FECHA_CORTE))</f>
        <v/>
      </c>
      <c r="AA67" s="68" t="str">
        <f aca="false">IF(O67&lt;&gt;"Activo","",Y67-Z67)</f>
        <v/>
      </c>
      <c r="AB67" s="63" t="str">
        <f aca="false">IF(O67&lt;&gt;"Activo","",ROUND(MAX(0,IF(AA67&lt;=0,0,WORKDAY(FECHA_CORTE,INT(AA67),FERIADOS)-FECHA_CORTE+(AA67-INT(AA67))))*(Q67+N(K67))/30,0))</f>
        <v/>
      </c>
      <c r="AC67" s="65" t="str">
        <f aca="false">IF(O67&lt;&gt;"Activo","",IF(DATEDIF(F67,FECHA_CORTE+1,"y")&lt;1,0,MIN(TOPE_ANIOS,DATEDIF(F67,FECHA_CORTE+1,"y")+IF(EDATE(F67,12*DATEDIF(F67,FECHA_CORTE+1,"y")+6)&lt;FECHA_CORTE+1,1,0))))</f>
        <v/>
      </c>
      <c r="AD67" s="69" t="str">
        <f aca="false">IF(O67&lt;&gt;"Activo","",AB67+IF(R67="Obra o faena",0,ROUND(AL67*AC67,0)+ROUND(AL67,0)))</f>
        <v/>
      </c>
      <c r="AE67" s="69" t="str">
        <f aca="false">IF(O67&lt;&gt;"Activo","",AB67)</f>
        <v/>
      </c>
      <c r="AF67" s="69" t="str">
        <f aca="false">IF(AN67="","",IF(ISNUMBER(AJ67),"",ROUND(MAX(0,IF(AN67&lt;=0,0,WORKDAY(U67,INT(AN67),FERIADOS)-U67+(AN67-INT(AN67))))*(Q67+N(K67))/30,0)+IF(R67="Obra o faena",ROUND(OBRA_DIAS*AL67/30*(DATEDIF(F67,U67+1,"m")+IF(U67+1-EDATE(F67,DATEDIF(F67,U67+1,"m"))&gt;15,1,0)),0),0)))</f>
        <v/>
      </c>
      <c r="AG67" s="62" t="str">
        <f aca="false">IF(B67="","",IFERROR(VALUE(LEFT(UPPER(SUBSTITUTE(SUBSTITUTE(SUBSTITUTE(TRIM(B67),".",""),"-","")," ","")),LEN(UPPER(SUBSTITUTE(SUBSTITUTE(SUBSTITUTE(TRIM(B67),".",""),"-","")," ","")))-1))&amp;RIGHT(UPPER(SUBSTITUTE(SUBSTITUTE(SUBSTITUTE(TRIM(B67),".",""),"-","")," ","")),1),UPPER(SUBSTITUTE(SUBSTITUTE(SUBSTITUTE(TRIM(B67),".",""),"-","")," ",""))))</f>
        <v/>
      </c>
      <c r="AH67" s="62" t="str">
        <f aca="false">IF(B67="","",COUNTIFS(C_RUTN,AG67,C_DEF,"Sí",C_INI,"&lt;="&amp;FECHA_CORTE))</f>
        <v/>
      </c>
      <c r="AI67" s="62" t="str">
        <f aca="false">IF(B67="","",COUNTIFS(C_RUTN,AG67,C_DEF,"Sí"))</f>
        <v/>
      </c>
      <c r="AJ67" s="66" t="str">
        <f aca="false">IF(OR(B67="",N(AI67)&lt;=N(AH67)),"",IFERROR(INDEX(C_INI,MATCH(AG67&amp;"-P"&amp;(AH67+1),C_CLAVE,0)),""))</f>
        <v/>
      </c>
      <c r="AK67" s="63" t="str">
        <f aca="false">IF(O67&lt;&gt;"Activo","",Q67+N(K67)+IF(L67="Sí",MIN(GRAT_PCT*(Q67+N(K67)),GRAT_TOPE),0)+N(I67)+N(J67))</f>
        <v/>
      </c>
      <c r="AL67" s="63" t="str">
        <f aca="false">IF(O67&lt;&gt;"Activo","",MIN(AK67,TOPE_IAS_UF*UF_MES))</f>
        <v/>
      </c>
      <c r="AM67" s="62" t="str">
        <f aca="false">IF(AND(O67="Activo",ISNUMBER(V67),W67&lt;&gt;"Renovación registrada"),V67+ROW()/100000,"")</f>
        <v/>
      </c>
      <c r="AN67" s="70" t="str">
        <f aca="false">IF(OR(O67&lt;&gt;"Activo",NOT(ISNUMBER(U67))),"",IF(U67&lt;FECHA_CORTE,"",1.25*(DATEDIF(F67,U67+1,"m")+(U67+1-EDATE(F67,DATEDIF(F67,U67+1,"m")))/30)-Z67))</f>
        <v/>
      </c>
      <c r="AO67" s="66" t="str">
        <f aca="false">IF(OR(B67="",NOT(ISNUMBER(F67))),"",IF(N(G67)&gt;0,MIN(G67,FECHA_CORTE),FECHA_CORTE))</f>
        <v/>
      </c>
    </row>
    <row r="68" customFormat="false" ht="15" hidden="false" customHeight="false" outlineLevel="0" collapsed="false">
      <c r="B68" s="58"/>
      <c r="C68" s="58"/>
      <c r="D68" s="58"/>
      <c r="E68" s="58"/>
      <c r="F68" s="59"/>
      <c r="G68" s="59"/>
      <c r="H68" s="58"/>
      <c r="I68" s="60"/>
      <c r="J68" s="60"/>
      <c r="K68" s="60"/>
      <c r="L68" s="58"/>
      <c r="M68" s="61"/>
      <c r="N68" s="58"/>
      <c r="O68" s="62" t="str">
        <f aca="false">IF(B68="","",IF(NOT(ISNUMBER(F68)),"⚠ Falta ingreso",IF(F68&gt;FECHA_CORTE,"Por ingresar",IF(G68="","Activo",IF(G68&lt;FECHA_CORTE,"Desvinculado","Activo")))))</f>
        <v/>
      </c>
      <c r="P68" s="62" t="str">
        <f aca="false">IF(OR(B68="",NOT(ISNUMBER(F68))),"",IF(F68&gt;FECHA_CORTE,"",DATEDIF(F68,IF(G68="",FECHA_CORTE,MIN(G68,FECHA_CORTE))+1,"y")&amp;" a "&amp;DATEDIF(F68,IF(G68="",FECHA_CORTE,MIN(G68,FECHA_CORTE))+1,"ym")&amp;" m"))</f>
        <v/>
      </c>
      <c r="Q68" s="63" t="str">
        <f aca="false">IF(B68="","",IFERROR(INDEX(C_SUELDO,MATCH(AG68&amp;"-S"&amp;MAX(1,COUNTIFS(C_RUTN,AG68,C_SUELDO,"&lt;&gt;",C_INI,"&lt;="&amp;FECHA_CORTE)),C_CLAVES,0)),0))</f>
        <v/>
      </c>
      <c r="R68" s="62" t="str">
        <f aca="false">IF(B68="","",IF(N(AI68)=0,"Sin contrato",IFERROR(INDEX(C_TIPO,MATCH(AG68&amp;"-P"&amp;MAX(1,AH68),C_CLAVE,0))&amp;"","")))</f>
        <v/>
      </c>
      <c r="S68" s="64" t="str">
        <f aca="false">IF(R68="Plazo fijo",IFERROR(INDEX(C_NPF,MATCH(AG68&amp;"-P"&amp;MAX(1,AH68),C_CLAVE,0)),""),"")</f>
        <v/>
      </c>
      <c r="T68" s="65" t="str">
        <f aca="false">IF(B68="","",COUNTIFS(C_RUTN,AG68,C_TIPODOC,"Anexo de modificación"))</f>
        <v/>
      </c>
      <c r="U68" s="66" t="str">
        <f aca="false">IF(AND(OR(R68="Plazo fijo",R68="Obra o faena"),O68&lt;&gt;"Desvinculado"),IFERROR(IF(N(INDEX(C_TER,MATCH(AG68&amp;"-P"&amp;MAX(1,AH68),C_CLAVE,0)))=0,"",INDEX(C_TER,MATCH(AG68&amp;"-P"&amp;MAX(1,AH68),C_CLAVE,0))),""),"")</f>
        <v/>
      </c>
      <c r="V68" s="67" t="str">
        <f aca="false">IF(ISNUMBER(U68),U68-FECHA_CORTE,"")</f>
        <v/>
      </c>
      <c r="W68" s="62" t="str">
        <f aca="false">IF(B68="","",IF(O68="Desvinculado","Terminado",IF(N(AI68)=0,"Sin contrato registrado",IF(O68="Por ingresar","Por ingresar",IF(ISNUMBER(AJ68),"Renovación registrada",IF(R68="Indefinido","Indefinido",IF(NOT(ISNUMBER(V68)),"Falta fecha de término",IF(V68&lt;0,"VENCIDO",IF(V68&lt;=ALERTA_ROJA,"Vence en ≤ "&amp;ALERTA_ROJA&amp;" días",IF(V68&lt;=ALERTA_NARANJA,"Vence en ≤ "&amp;ALERTA_NARANJA&amp;" días",IF(V68&lt;=ALERTA_AMARILLA,"Vence en ≤ "&amp;ALERTA_AMARILLA&amp;" días","Vigente")))))))))))</f>
        <v/>
      </c>
      <c r="X68" s="62" t="str">
        <f aca="false">IF(B68="","",IF(W68="Terminado","—",IF(W68="Sin contrato registrado","Registrar su contrato en la hoja Contratos",IF(W68="Por ingresar","Tener el contrato firmado antes del ingreso",IF(W68="Renovación registrada","Siguiente contrato ya registrado: verificar que esté firmado",IF(R68="Indefinido","Sin vencimiento. Cambios de sueldo o cargo: anexo de modificación",IF(W68="Falta fecha de término","Completar la fecha de término en Contratos",IF(W68="VENCIDO","Sigue trabajando con plazo vencido: por ley ya es INDEFINIDO. Firmar anexo de paso a indefinido",IF(R68="Obra o faena","Al terminar la obra: finiquito + 2,5 días de sueldo por mes trabajado",IF(N(S68)&gt;=2,"2° contrato a plazo: NO se puede renovar otra vez a plazo fijo. Pasar a indefinido o terminar al vencer","1er contrato a plazo: renovar (2° contrato), pasar a indefinido o terminar al vencer"))))))))))</f>
        <v/>
      </c>
      <c r="Y68" s="68" t="str">
        <f aca="false">IF(O68&lt;&gt;"Activo","",ROUND(1.25*(DATEDIF(F68,AO68+1,"m")+(AO68+1-EDATE(F68,DATEDIF(F68,AO68+1,"m")))/30),2))</f>
        <v/>
      </c>
      <c r="Z68" s="68" t="str">
        <f aca="false">IF(O68&lt;&gt;"Activo","",N(M68)+SUMIFS(M_VAC,M_RUTN,AG68,M_MES,"&lt;="&amp;FECHA_CORTE))</f>
        <v/>
      </c>
      <c r="AA68" s="68" t="str">
        <f aca="false">IF(O68&lt;&gt;"Activo","",Y68-Z68)</f>
        <v/>
      </c>
      <c r="AB68" s="63" t="str">
        <f aca="false">IF(O68&lt;&gt;"Activo","",ROUND(MAX(0,IF(AA68&lt;=0,0,WORKDAY(FECHA_CORTE,INT(AA68),FERIADOS)-FECHA_CORTE+(AA68-INT(AA68))))*(Q68+N(K68))/30,0))</f>
        <v/>
      </c>
      <c r="AC68" s="65" t="str">
        <f aca="false">IF(O68&lt;&gt;"Activo","",IF(DATEDIF(F68,FECHA_CORTE+1,"y")&lt;1,0,MIN(TOPE_ANIOS,DATEDIF(F68,FECHA_CORTE+1,"y")+IF(EDATE(F68,12*DATEDIF(F68,FECHA_CORTE+1,"y")+6)&lt;FECHA_CORTE+1,1,0))))</f>
        <v/>
      </c>
      <c r="AD68" s="69" t="str">
        <f aca="false">IF(O68&lt;&gt;"Activo","",AB68+IF(R68="Obra o faena",0,ROUND(AL68*AC68,0)+ROUND(AL68,0)))</f>
        <v/>
      </c>
      <c r="AE68" s="69" t="str">
        <f aca="false">IF(O68&lt;&gt;"Activo","",AB68)</f>
        <v/>
      </c>
      <c r="AF68" s="69" t="str">
        <f aca="false">IF(AN68="","",IF(ISNUMBER(AJ68),"",ROUND(MAX(0,IF(AN68&lt;=0,0,WORKDAY(U68,INT(AN68),FERIADOS)-U68+(AN68-INT(AN68))))*(Q68+N(K68))/30,0)+IF(R68="Obra o faena",ROUND(OBRA_DIAS*AL68/30*(DATEDIF(F68,U68+1,"m")+IF(U68+1-EDATE(F68,DATEDIF(F68,U68+1,"m"))&gt;15,1,0)),0),0)))</f>
        <v/>
      </c>
      <c r="AG68" s="62" t="str">
        <f aca="false">IF(B68="","",IFERROR(VALUE(LEFT(UPPER(SUBSTITUTE(SUBSTITUTE(SUBSTITUTE(TRIM(B68),".",""),"-","")," ","")),LEN(UPPER(SUBSTITUTE(SUBSTITUTE(SUBSTITUTE(TRIM(B68),".",""),"-","")," ","")))-1))&amp;RIGHT(UPPER(SUBSTITUTE(SUBSTITUTE(SUBSTITUTE(TRIM(B68),".",""),"-","")," ","")),1),UPPER(SUBSTITUTE(SUBSTITUTE(SUBSTITUTE(TRIM(B68),".",""),"-","")," ",""))))</f>
        <v/>
      </c>
      <c r="AH68" s="62" t="str">
        <f aca="false">IF(B68="","",COUNTIFS(C_RUTN,AG68,C_DEF,"Sí",C_INI,"&lt;="&amp;FECHA_CORTE))</f>
        <v/>
      </c>
      <c r="AI68" s="62" t="str">
        <f aca="false">IF(B68="","",COUNTIFS(C_RUTN,AG68,C_DEF,"Sí"))</f>
        <v/>
      </c>
      <c r="AJ68" s="66" t="str">
        <f aca="false">IF(OR(B68="",N(AI68)&lt;=N(AH68)),"",IFERROR(INDEX(C_INI,MATCH(AG68&amp;"-P"&amp;(AH68+1),C_CLAVE,0)),""))</f>
        <v/>
      </c>
      <c r="AK68" s="63" t="str">
        <f aca="false">IF(O68&lt;&gt;"Activo","",Q68+N(K68)+IF(L68="Sí",MIN(GRAT_PCT*(Q68+N(K68)),GRAT_TOPE),0)+N(I68)+N(J68))</f>
        <v/>
      </c>
      <c r="AL68" s="63" t="str">
        <f aca="false">IF(O68&lt;&gt;"Activo","",MIN(AK68,TOPE_IAS_UF*UF_MES))</f>
        <v/>
      </c>
      <c r="AM68" s="62" t="str">
        <f aca="false">IF(AND(O68="Activo",ISNUMBER(V68),W68&lt;&gt;"Renovación registrada"),V68+ROW()/100000,"")</f>
        <v/>
      </c>
      <c r="AN68" s="70" t="str">
        <f aca="false">IF(OR(O68&lt;&gt;"Activo",NOT(ISNUMBER(U68))),"",IF(U68&lt;FECHA_CORTE,"",1.25*(DATEDIF(F68,U68+1,"m")+(U68+1-EDATE(F68,DATEDIF(F68,U68+1,"m")))/30)-Z68))</f>
        <v/>
      </c>
      <c r="AO68" s="66" t="str">
        <f aca="false">IF(OR(B68="",NOT(ISNUMBER(F68))),"",IF(N(G68)&gt;0,MIN(G68,FECHA_CORTE),FECHA_CORTE))</f>
        <v/>
      </c>
    </row>
    <row r="69" customFormat="false" ht="15" hidden="false" customHeight="false" outlineLevel="0" collapsed="false">
      <c r="B69" s="58"/>
      <c r="C69" s="58"/>
      <c r="D69" s="58"/>
      <c r="E69" s="58"/>
      <c r="F69" s="59"/>
      <c r="G69" s="59"/>
      <c r="H69" s="58"/>
      <c r="I69" s="60"/>
      <c r="J69" s="60"/>
      <c r="K69" s="60"/>
      <c r="L69" s="58"/>
      <c r="M69" s="61"/>
      <c r="N69" s="58"/>
      <c r="O69" s="62" t="str">
        <f aca="false">IF(B69="","",IF(NOT(ISNUMBER(F69)),"⚠ Falta ingreso",IF(F69&gt;FECHA_CORTE,"Por ingresar",IF(G69="","Activo",IF(G69&lt;FECHA_CORTE,"Desvinculado","Activo")))))</f>
        <v/>
      </c>
      <c r="P69" s="62" t="str">
        <f aca="false">IF(OR(B69="",NOT(ISNUMBER(F69))),"",IF(F69&gt;FECHA_CORTE,"",DATEDIF(F69,IF(G69="",FECHA_CORTE,MIN(G69,FECHA_CORTE))+1,"y")&amp;" a "&amp;DATEDIF(F69,IF(G69="",FECHA_CORTE,MIN(G69,FECHA_CORTE))+1,"ym")&amp;" m"))</f>
        <v/>
      </c>
      <c r="Q69" s="63" t="str">
        <f aca="false">IF(B69="","",IFERROR(INDEX(C_SUELDO,MATCH(AG69&amp;"-S"&amp;MAX(1,COUNTIFS(C_RUTN,AG69,C_SUELDO,"&lt;&gt;",C_INI,"&lt;="&amp;FECHA_CORTE)),C_CLAVES,0)),0))</f>
        <v/>
      </c>
      <c r="R69" s="62" t="str">
        <f aca="false">IF(B69="","",IF(N(AI69)=0,"Sin contrato",IFERROR(INDEX(C_TIPO,MATCH(AG69&amp;"-P"&amp;MAX(1,AH69),C_CLAVE,0))&amp;"","")))</f>
        <v/>
      </c>
      <c r="S69" s="64" t="str">
        <f aca="false">IF(R69="Plazo fijo",IFERROR(INDEX(C_NPF,MATCH(AG69&amp;"-P"&amp;MAX(1,AH69),C_CLAVE,0)),""),"")</f>
        <v/>
      </c>
      <c r="T69" s="65" t="str">
        <f aca="false">IF(B69="","",COUNTIFS(C_RUTN,AG69,C_TIPODOC,"Anexo de modificación"))</f>
        <v/>
      </c>
      <c r="U69" s="66" t="str">
        <f aca="false">IF(AND(OR(R69="Plazo fijo",R69="Obra o faena"),O69&lt;&gt;"Desvinculado"),IFERROR(IF(N(INDEX(C_TER,MATCH(AG69&amp;"-P"&amp;MAX(1,AH69),C_CLAVE,0)))=0,"",INDEX(C_TER,MATCH(AG69&amp;"-P"&amp;MAX(1,AH69),C_CLAVE,0))),""),"")</f>
        <v/>
      </c>
      <c r="V69" s="67" t="str">
        <f aca="false">IF(ISNUMBER(U69),U69-FECHA_CORTE,"")</f>
        <v/>
      </c>
      <c r="W69" s="62" t="str">
        <f aca="false">IF(B69="","",IF(O69="Desvinculado","Terminado",IF(N(AI69)=0,"Sin contrato registrado",IF(O69="Por ingresar","Por ingresar",IF(ISNUMBER(AJ69),"Renovación registrada",IF(R69="Indefinido","Indefinido",IF(NOT(ISNUMBER(V69)),"Falta fecha de término",IF(V69&lt;0,"VENCIDO",IF(V69&lt;=ALERTA_ROJA,"Vence en ≤ "&amp;ALERTA_ROJA&amp;" días",IF(V69&lt;=ALERTA_NARANJA,"Vence en ≤ "&amp;ALERTA_NARANJA&amp;" días",IF(V69&lt;=ALERTA_AMARILLA,"Vence en ≤ "&amp;ALERTA_AMARILLA&amp;" días","Vigente")))))))))))</f>
        <v/>
      </c>
      <c r="X69" s="62" t="str">
        <f aca="false">IF(B69="","",IF(W69="Terminado","—",IF(W69="Sin contrato registrado","Registrar su contrato en la hoja Contratos",IF(W69="Por ingresar","Tener el contrato firmado antes del ingreso",IF(W69="Renovación registrada","Siguiente contrato ya registrado: verificar que esté firmado",IF(R69="Indefinido","Sin vencimiento. Cambios de sueldo o cargo: anexo de modificación",IF(W69="Falta fecha de término","Completar la fecha de término en Contratos",IF(W69="VENCIDO","Sigue trabajando con plazo vencido: por ley ya es INDEFINIDO. Firmar anexo de paso a indefinido",IF(R69="Obra o faena","Al terminar la obra: finiquito + 2,5 días de sueldo por mes trabajado",IF(N(S69)&gt;=2,"2° contrato a plazo: NO se puede renovar otra vez a plazo fijo. Pasar a indefinido o terminar al vencer","1er contrato a plazo: renovar (2° contrato), pasar a indefinido o terminar al vencer"))))))))))</f>
        <v/>
      </c>
      <c r="Y69" s="68" t="str">
        <f aca="false">IF(O69&lt;&gt;"Activo","",ROUND(1.25*(DATEDIF(F69,AO69+1,"m")+(AO69+1-EDATE(F69,DATEDIF(F69,AO69+1,"m")))/30),2))</f>
        <v/>
      </c>
      <c r="Z69" s="68" t="str">
        <f aca="false">IF(O69&lt;&gt;"Activo","",N(M69)+SUMIFS(M_VAC,M_RUTN,AG69,M_MES,"&lt;="&amp;FECHA_CORTE))</f>
        <v/>
      </c>
      <c r="AA69" s="68" t="str">
        <f aca="false">IF(O69&lt;&gt;"Activo","",Y69-Z69)</f>
        <v/>
      </c>
      <c r="AB69" s="63" t="str">
        <f aca="false">IF(O69&lt;&gt;"Activo","",ROUND(MAX(0,IF(AA69&lt;=0,0,WORKDAY(FECHA_CORTE,INT(AA69),FERIADOS)-FECHA_CORTE+(AA69-INT(AA69))))*(Q69+N(K69))/30,0))</f>
        <v/>
      </c>
      <c r="AC69" s="65" t="str">
        <f aca="false">IF(O69&lt;&gt;"Activo","",IF(DATEDIF(F69,FECHA_CORTE+1,"y")&lt;1,0,MIN(TOPE_ANIOS,DATEDIF(F69,FECHA_CORTE+1,"y")+IF(EDATE(F69,12*DATEDIF(F69,FECHA_CORTE+1,"y")+6)&lt;FECHA_CORTE+1,1,0))))</f>
        <v/>
      </c>
      <c r="AD69" s="69" t="str">
        <f aca="false">IF(O69&lt;&gt;"Activo","",AB69+IF(R69="Obra o faena",0,ROUND(AL69*AC69,0)+ROUND(AL69,0)))</f>
        <v/>
      </c>
      <c r="AE69" s="69" t="str">
        <f aca="false">IF(O69&lt;&gt;"Activo","",AB69)</f>
        <v/>
      </c>
      <c r="AF69" s="69" t="str">
        <f aca="false">IF(AN69="","",IF(ISNUMBER(AJ69),"",ROUND(MAX(0,IF(AN69&lt;=0,0,WORKDAY(U69,INT(AN69),FERIADOS)-U69+(AN69-INT(AN69))))*(Q69+N(K69))/30,0)+IF(R69="Obra o faena",ROUND(OBRA_DIAS*AL69/30*(DATEDIF(F69,U69+1,"m")+IF(U69+1-EDATE(F69,DATEDIF(F69,U69+1,"m"))&gt;15,1,0)),0),0)))</f>
        <v/>
      </c>
      <c r="AG69" s="62" t="str">
        <f aca="false">IF(B69="","",IFERROR(VALUE(LEFT(UPPER(SUBSTITUTE(SUBSTITUTE(SUBSTITUTE(TRIM(B69),".",""),"-","")," ","")),LEN(UPPER(SUBSTITUTE(SUBSTITUTE(SUBSTITUTE(TRIM(B69),".",""),"-","")," ","")))-1))&amp;RIGHT(UPPER(SUBSTITUTE(SUBSTITUTE(SUBSTITUTE(TRIM(B69),".",""),"-","")," ","")),1),UPPER(SUBSTITUTE(SUBSTITUTE(SUBSTITUTE(TRIM(B69),".",""),"-","")," ",""))))</f>
        <v/>
      </c>
      <c r="AH69" s="62" t="str">
        <f aca="false">IF(B69="","",COUNTIFS(C_RUTN,AG69,C_DEF,"Sí",C_INI,"&lt;="&amp;FECHA_CORTE))</f>
        <v/>
      </c>
      <c r="AI69" s="62" t="str">
        <f aca="false">IF(B69="","",COUNTIFS(C_RUTN,AG69,C_DEF,"Sí"))</f>
        <v/>
      </c>
      <c r="AJ69" s="66" t="str">
        <f aca="false">IF(OR(B69="",N(AI69)&lt;=N(AH69)),"",IFERROR(INDEX(C_INI,MATCH(AG69&amp;"-P"&amp;(AH69+1),C_CLAVE,0)),""))</f>
        <v/>
      </c>
      <c r="AK69" s="63" t="str">
        <f aca="false">IF(O69&lt;&gt;"Activo","",Q69+N(K69)+IF(L69="Sí",MIN(GRAT_PCT*(Q69+N(K69)),GRAT_TOPE),0)+N(I69)+N(J69))</f>
        <v/>
      </c>
      <c r="AL69" s="63" t="str">
        <f aca="false">IF(O69&lt;&gt;"Activo","",MIN(AK69,TOPE_IAS_UF*UF_MES))</f>
        <v/>
      </c>
      <c r="AM69" s="62" t="str">
        <f aca="false">IF(AND(O69="Activo",ISNUMBER(V69),W69&lt;&gt;"Renovación registrada"),V69+ROW()/100000,"")</f>
        <v/>
      </c>
      <c r="AN69" s="70" t="str">
        <f aca="false">IF(OR(O69&lt;&gt;"Activo",NOT(ISNUMBER(U69))),"",IF(U69&lt;FECHA_CORTE,"",1.25*(DATEDIF(F69,U69+1,"m")+(U69+1-EDATE(F69,DATEDIF(F69,U69+1,"m")))/30)-Z69))</f>
        <v/>
      </c>
      <c r="AO69" s="66" t="str">
        <f aca="false">IF(OR(B69="",NOT(ISNUMBER(F69))),"",IF(N(G69)&gt;0,MIN(G69,FECHA_CORTE),FECHA_CORTE))</f>
        <v/>
      </c>
    </row>
    <row r="70" customFormat="false" ht="15" hidden="false" customHeight="false" outlineLevel="0" collapsed="false">
      <c r="B70" s="58"/>
      <c r="C70" s="58"/>
      <c r="D70" s="58"/>
      <c r="E70" s="58"/>
      <c r="F70" s="59"/>
      <c r="G70" s="59"/>
      <c r="H70" s="58"/>
      <c r="I70" s="60"/>
      <c r="J70" s="60"/>
      <c r="K70" s="60"/>
      <c r="L70" s="58"/>
      <c r="M70" s="61"/>
      <c r="N70" s="58"/>
      <c r="O70" s="62" t="str">
        <f aca="false">IF(B70="","",IF(NOT(ISNUMBER(F70)),"⚠ Falta ingreso",IF(F70&gt;FECHA_CORTE,"Por ingresar",IF(G70="","Activo",IF(G70&lt;FECHA_CORTE,"Desvinculado","Activo")))))</f>
        <v/>
      </c>
      <c r="P70" s="62" t="str">
        <f aca="false">IF(OR(B70="",NOT(ISNUMBER(F70))),"",IF(F70&gt;FECHA_CORTE,"",DATEDIF(F70,IF(G70="",FECHA_CORTE,MIN(G70,FECHA_CORTE))+1,"y")&amp;" a "&amp;DATEDIF(F70,IF(G70="",FECHA_CORTE,MIN(G70,FECHA_CORTE))+1,"ym")&amp;" m"))</f>
        <v/>
      </c>
      <c r="Q70" s="63" t="str">
        <f aca="false">IF(B70="","",IFERROR(INDEX(C_SUELDO,MATCH(AG70&amp;"-S"&amp;MAX(1,COUNTIFS(C_RUTN,AG70,C_SUELDO,"&lt;&gt;",C_INI,"&lt;="&amp;FECHA_CORTE)),C_CLAVES,0)),0))</f>
        <v/>
      </c>
      <c r="R70" s="62" t="str">
        <f aca="false">IF(B70="","",IF(N(AI70)=0,"Sin contrato",IFERROR(INDEX(C_TIPO,MATCH(AG70&amp;"-P"&amp;MAX(1,AH70),C_CLAVE,0))&amp;"","")))</f>
        <v/>
      </c>
      <c r="S70" s="64" t="str">
        <f aca="false">IF(R70="Plazo fijo",IFERROR(INDEX(C_NPF,MATCH(AG70&amp;"-P"&amp;MAX(1,AH70),C_CLAVE,0)),""),"")</f>
        <v/>
      </c>
      <c r="T70" s="65" t="str">
        <f aca="false">IF(B70="","",COUNTIFS(C_RUTN,AG70,C_TIPODOC,"Anexo de modificación"))</f>
        <v/>
      </c>
      <c r="U70" s="66" t="str">
        <f aca="false">IF(AND(OR(R70="Plazo fijo",R70="Obra o faena"),O70&lt;&gt;"Desvinculado"),IFERROR(IF(N(INDEX(C_TER,MATCH(AG70&amp;"-P"&amp;MAX(1,AH70),C_CLAVE,0)))=0,"",INDEX(C_TER,MATCH(AG70&amp;"-P"&amp;MAX(1,AH70),C_CLAVE,0))),""),"")</f>
        <v/>
      </c>
      <c r="V70" s="67" t="str">
        <f aca="false">IF(ISNUMBER(U70),U70-FECHA_CORTE,"")</f>
        <v/>
      </c>
      <c r="W70" s="62" t="str">
        <f aca="false">IF(B70="","",IF(O70="Desvinculado","Terminado",IF(N(AI70)=0,"Sin contrato registrado",IF(O70="Por ingresar","Por ingresar",IF(ISNUMBER(AJ70),"Renovación registrada",IF(R70="Indefinido","Indefinido",IF(NOT(ISNUMBER(V70)),"Falta fecha de término",IF(V70&lt;0,"VENCIDO",IF(V70&lt;=ALERTA_ROJA,"Vence en ≤ "&amp;ALERTA_ROJA&amp;" días",IF(V70&lt;=ALERTA_NARANJA,"Vence en ≤ "&amp;ALERTA_NARANJA&amp;" días",IF(V70&lt;=ALERTA_AMARILLA,"Vence en ≤ "&amp;ALERTA_AMARILLA&amp;" días","Vigente")))))))))))</f>
        <v/>
      </c>
      <c r="X70" s="62" t="str">
        <f aca="false">IF(B70="","",IF(W70="Terminado","—",IF(W70="Sin contrato registrado","Registrar su contrato en la hoja Contratos",IF(W70="Por ingresar","Tener el contrato firmado antes del ingreso",IF(W70="Renovación registrada","Siguiente contrato ya registrado: verificar que esté firmado",IF(R70="Indefinido","Sin vencimiento. Cambios de sueldo o cargo: anexo de modificación",IF(W70="Falta fecha de término","Completar la fecha de término en Contratos",IF(W70="VENCIDO","Sigue trabajando con plazo vencido: por ley ya es INDEFINIDO. Firmar anexo de paso a indefinido",IF(R70="Obra o faena","Al terminar la obra: finiquito + 2,5 días de sueldo por mes trabajado",IF(N(S70)&gt;=2,"2° contrato a plazo: NO se puede renovar otra vez a plazo fijo. Pasar a indefinido o terminar al vencer","1er contrato a plazo: renovar (2° contrato), pasar a indefinido o terminar al vencer"))))))))))</f>
        <v/>
      </c>
      <c r="Y70" s="68" t="str">
        <f aca="false">IF(O70&lt;&gt;"Activo","",ROUND(1.25*(DATEDIF(F70,AO70+1,"m")+(AO70+1-EDATE(F70,DATEDIF(F70,AO70+1,"m")))/30),2))</f>
        <v/>
      </c>
      <c r="Z70" s="68" t="str">
        <f aca="false">IF(O70&lt;&gt;"Activo","",N(M70)+SUMIFS(M_VAC,M_RUTN,AG70,M_MES,"&lt;="&amp;FECHA_CORTE))</f>
        <v/>
      </c>
      <c r="AA70" s="68" t="str">
        <f aca="false">IF(O70&lt;&gt;"Activo","",Y70-Z70)</f>
        <v/>
      </c>
      <c r="AB70" s="63" t="str">
        <f aca="false">IF(O70&lt;&gt;"Activo","",ROUND(MAX(0,IF(AA70&lt;=0,0,WORKDAY(FECHA_CORTE,INT(AA70),FERIADOS)-FECHA_CORTE+(AA70-INT(AA70))))*(Q70+N(K70))/30,0))</f>
        <v/>
      </c>
      <c r="AC70" s="65" t="str">
        <f aca="false">IF(O70&lt;&gt;"Activo","",IF(DATEDIF(F70,FECHA_CORTE+1,"y")&lt;1,0,MIN(TOPE_ANIOS,DATEDIF(F70,FECHA_CORTE+1,"y")+IF(EDATE(F70,12*DATEDIF(F70,FECHA_CORTE+1,"y")+6)&lt;FECHA_CORTE+1,1,0))))</f>
        <v/>
      </c>
      <c r="AD70" s="69" t="str">
        <f aca="false">IF(O70&lt;&gt;"Activo","",AB70+IF(R70="Obra o faena",0,ROUND(AL70*AC70,0)+ROUND(AL70,0)))</f>
        <v/>
      </c>
      <c r="AE70" s="69" t="str">
        <f aca="false">IF(O70&lt;&gt;"Activo","",AB70)</f>
        <v/>
      </c>
      <c r="AF70" s="69" t="str">
        <f aca="false">IF(AN70="","",IF(ISNUMBER(AJ70),"",ROUND(MAX(0,IF(AN70&lt;=0,0,WORKDAY(U70,INT(AN70),FERIADOS)-U70+(AN70-INT(AN70))))*(Q70+N(K70))/30,0)+IF(R70="Obra o faena",ROUND(OBRA_DIAS*AL70/30*(DATEDIF(F70,U70+1,"m")+IF(U70+1-EDATE(F70,DATEDIF(F70,U70+1,"m"))&gt;15,1,0)),0),0)))</f>
        <v/>
      </c>
      <c r="AG70" s="62" t="str">
        <f aca="false">IF(B70="","",IFERROR(VALUE(LEFT(UPPER(SUBSTITUTE(SUBSTITUTE(SUBSTITUTE(TRIM(B70),".",""),"-","")," ","")),LEN(UPPER(SUBSTITUTE(SUBSTITUTE(SUBSTITUTE(TRIM(B70),".",""),"-","")," ","")))-1))&amp;RIGHT(UPPER(SUBSTITUTE(SUBSTITUTE(SUBSTITUTE(TRIM(B70),".",""),"-","")," ","")),1),UPPER(SUBSTITUTE(SUBSTITUTE(SUBSTITUTE(TRIM(B70),".",""),"-","")," ",""))))</f>
        <v/>
      </c>
      <c r="AH70" s="62" t="str">
        <f aca="false">IF(B70="","",COUNTIFS(C_RUTN,AG70,C_DEF,"Sí",C_INI,"&lt;="&amp;FECHA_CORTE))</f>
        <v/>
      </c>
      <c r="AI70" s="62" t="str">
        <f aca="false">IF(B70="","",COUNTIFS(C_RUTN,AG70,C_DEF,"Sí"))</f>
        <v/>
      </c>
      <c r="AJ70" s="66" t="str">
        <f aca="false">IF(OR(B70="",N(AI70)&lt;=N(AH70)),"",IFERROR(INDEX(C_INI,MATCH(AG70&amp;"-P"&amp;(AH70+1),C_CLAVE,0)),""))</f>
        <v/>
      </c>
      <c r="AK70" s="63" t="str">
        <f aca="false">IF(O70&lt;&gt;"Activo","",Q70+N(K70)+IF(L70="Sí",MIN(GRAT_PCT*(Q70+N(K70)),GRAT_TOPE),0)+N(I70)+N(J70))</f>
        <v/>
      </c>
      <c r="AL70" s="63" t="str">
        <f aca="false">IF(O70&lt;&gt;"Activo","",MIN(AK70,TOPE_IAS_UF*UF_MES))</f>
        <v/>
      </c>
      <c r="AM70" s="62" t="str">
        <f aca="false">IF(AND(O70="Activo",ISNUMBER(V70),W70&lt;&gt;"Renovación registrada"),V70+ROW()/100000,"")</f>
        <v/>
      </c>
      <c r="AN70" s="70" t="str">
        <f aca="false">IF(OR(O70&lt;&gt;"Activo",NOT(ISNUMBER(U70))),"",IF(U70&lt;FECHA_CORTE,"",1.25*(DATEDIF(F70,U70+1,"m")+(U70+1-EDATE(F70,DATEDIF(F70,U70+1,"m")))/30)-Z70))</f>
        <v/>
      </c>
      <c r="AO70" s="66" t="str">
        <f aca="false">IF(OR(B70="",NOT(ISNUMBER(F70))),"",IF(N(G70)&gt;0,MIN(G70,FECHA_CORTE),FECHA_CORTE))</f>
        <v/>
      </c>
    </row>
    <row r="71" customFormat="false" ht="15" hidden="false" customHeight="false" outlineLevel="0" collapsed="false">
      <c r="B71" s="58"/>
      <c r="C71" s="58"/>
      <c r="D71" s="58"/>
      <c r="E71" s="58"/>
      <c r="F71" s="59"/>
      <c r="G71" s="59"/>
      <c r="H71" s="58"/>
      <c r="I71" s="60"/>
      <c r="J71" s="60"/>
      <c r="K71" s="60"/>
      <c r="L71" s="58"/>
      <c r="M71" s="61"/>
      <c r="N71" s="58"/>
      <c r="O71" s="62" t="str">
        <f aca="false">IF(B71="","",IF(NOT(ISNUMBER(F71)),"⚠ Falta ingreso",IF(F71&gt;FECHA_CORTE,"Por ingresar",IF(G71="","Activo",IF(G71&lt;FECHA_CORTE,"Desvinculado","Activo")))))</f>
        <v/>
      </c>
      <c r="P71" s="62" t="str">
        <f aca="false">IF(OR(B71="",NOT(ISNUMBER(F71))),"",IF(F71&gt;FECHA_CORTE,"",DATEDIF(F71,IF(G71="",FECHA_CORTE,MIN(G71,FECHA_CORTE))+1,"y")&amp;" a "&amp;DATEDIF(F71,IF(G71="",FECHA_CORTE,MIN(G71,FECHA_CORTE))+1,"ym")&amp;" m"))</f>
        <v/>
      </c>
      <c r="Q71" s="63" t="str">
        <f aca="false">IF(B71="","",IFERROR(INDEX(C_SUELDO,MATCH(AG71&amp;"-S"&amp;MAX(1,COUNTIFS(C_RUTN,AG71,C_SUELDO,"&lt;&gt;",C_INI,"&lt;="&amp;FECHA_CORTE)),C_CLAVES,0)),0))</f>
        <v/>
      </c>
      <c r="R71" s="62" t="str">
        <f aca="false">IF(B71="","",IF(N(AI71)=0,"Sin contrato",IFERROR(INDEX(C_TIPO,MATCH(AG71&amp;"-P"&amp;MAX(1,AH71),C_CLAVE,0))&amp;"","")))</f>
        <v/>
      </c>
      <c r="S71" s="64" t="str">
        <f aca="false">IF(R71="Plazo fijo",IFERROR(INDEX(C_NPF,MATCH(AG71&amp;"-P"&amp;MAX(1,AH71),C_CLAVE,0)),""),"")</f>
        <v/>
      </c>
      <c r="T71" s="65" t="str">
        <f aca="false">IF(B71="","",COUNTIFS(C_RUTN,AG71,C_TIPODOC,"Anexo de modificación"))</f>
        <v/>
      </c>
      <c r="U71" s="66" t="str">
        <f aca="false">IF(AND(OR(R71="Plazo fijo",R71="Obra o faena"),O71&lt;&gt;"Desvinculado"),IFERROR(IF(N(INDEX(C_TER,MATCH(AG71&amp;"-P"&amp;MAX(1,AH71),C_CLAVE,0)))=0,"",INDEX(C_TER,MATCH(AG71&amp;"-P"&amp;MAX(1,AH71),C_CLAVE,0))),""),"")</f>
        <v/>
      </c>
      <c r="V71" s="67" t="str">
        <f aca="false">IF(ISNUMBER(U71),U71-FECHA_CORTE,"")</f>
        <v/>
      </c>
      <c r="W71" s="62" t="str">
        <f aca="false">IF(B71="","",IF(O71="Desvinculado","Terminado",IF(N(AI71)=0,"Sin contrato registrado",IF(O71="Por ingresar","Por ingresar",IF(ISNUMBER(AJ71),"Renovación registrada",IF(R71="Indefinido","Indefinido",IF(NOT(ISNUMBER(V71)),"Falta fecha de término",IF(V71&lt;0,"VENCIDO",IF(V71&lt;=ALERTA_ROJA,"Vence en ≤ "&amp;ALERTA_ROJA&amp;" días",IF(V71&lt;=ALERTA_NARANJA,"Vence en ≤ "&amp;ALERTA_NARANJA&amp;" días",IF(V71&lt;=ALERTA_AMARILLA,"Vence en ≤ "&amp;ALERTA_AMARILLA&amp;" días","Vigente")))))))))))</f>
        <v/>
      </c>
      <c r="X71" s="62" t="str">
        <f aca="false">IF(B71="","",IF(W71="Terminado","—",IF(W71="Sin contrato registrado","Registrar su contrato en la hoja Contratos",IF(W71="Por ingresar","Tener el contrato firmado antes del ingreso",IF(W71="Renovación registrada","Siguiente contrato ya registrado: verificar que esté firmado",IF(R71="Indefinido","Sin vencimiento. Cambios de sueldo o cargo: anexo de modificación",IF(W71="Falta fecha de término","Completar la fecha de término en Contratos",IF(W71="VENCIDO","Sigue trabajando con plazo vencido: por ley ya es INDEFINIDO. Firmar anexo de paso a indefinido",IF(R71="Obra o faena","Al terminar la obra: finiquito + 2,5 días de sueldo por mes trabajado",IF(N(S71)&gt;=2,"2° contrato a plazo: NO se puede renovar otra vez a plazo fijo. Pasar a indefinido o terminar al vencer","1er contrato a plazo: renovar (2° contrato), pasar a indefinido o terminar al vencer"))))))))))</f>
        <v/>
      </c>
      <c r="Y71" s="68" t="str">
        <f aca="false">IF(O71&lt;&gt;"Activo","",ROUND(1.25*(DATEDIF(F71,AO71+1,"m")+(AO71+1-EDATE(F71,DATEDIF(F71,AO71+1,"m")))/30),2))</f>
        <v/>
      </c>
      <c r="Z71" s="68" t="str">
        <f aca="false">IF(O71&lt;&gt;"Activo","",N(M71)+SUMIFS(M_VAC,M_RUTN,AG71,M_MES,"&lt;="&amp;FECHA_CORTE))</f>
        <v/>
      </c>
      <c r="AA71" s="68" t="str">
        <f aca="false">IF(O71&lt;&gt;"Activo","",Y71-Z71)</f>
        <v/>
      </c>
      <c r="AB71" s="63" t="str">
        <f aca="false">IF(O71&lt;&gt;"Activo","",ROUND(MAX(0,IF(AA71&lt;=0,0,WORKDAY(FECHA_CORTE,INT(AA71),FERIADOS)-FECHA_CORTE+(AA71-INT(AA71))))*(Q71+N(K71))/30,0))</f>
        <v/>
      </c>
      <c r="AC71" s="65" t="str">
        <f aca="false">IF(O71&lt;&gt;"Activo","",IF(DATEDIF(F71,FECHA_CORTE+1,"y")&lt;1,0,MIN(TOPE_ANIOS,DATEDIF(F71,FECHA_CORTE+1,"y")+IF(EDATE(F71,12*DATEDIF(F71,FECHA_CORTE+1,"y")+6)&lt;FECHA_CORTE+1,1,0))))</f>
        <v/>
      </c>
      <c r="AD71" s="69" t="str">
        <f aca="false">IF(O71&lt;&gt;"Activo","",AB71+IF(R71="Obra o faena",0,ROUND(AL71*AC71,0)+ROUND(AL71,0)))</f>
        <v/>
      </c>
      <c r="AE71" s="69" t="str">
        <f aca="false">IF(O71&lt;&gt;"Activo","",AB71)</f>
        <v/>
      </c>
      <c r="AF71" s="69" t="str">
        <f aca="false">IF(AN71="","",IF(ISNUMBER(AJ71),"",ROUND(MAX(0,IF(AN71&lt;=0,0,WORKDAY(U71,INT(AN71),FERIADOS)-U71+(AN71-INT(AN71))))*(Q71+N(K71))/30,0)+IF(R71="Obra o faena",ROUND(OBRA_DIAS*AL71/30*(DATEDIF(F71,U71+1,"m")+IF(U71+1-EDATE(F71,DATEDIF(F71,U71+1,"m"))&gt;15,1,0)),0),0)))</f>
        <v/>
      </c>
      <c r="AG71" s="62" t="str">
        <f aca="false">IF(B71="","",IFERROR(VALUE(LEFT(UPPER(SUBSTITUTE(SUBSTITUTE(SUBSTITUTE(TRIM(B71),".",""),"-","")," ","")),LEN(UPPER(SUBSTITUTE(SUBSTITUTE(SUBSTITUTE(TRIM(B71),".",""),"-","")," ","")))-1))&amp;RIGHT(UPPER(SUBSTITUTE(SUBSTITUTE(SUBSTITUTE(TRIM(B71),".",""),"-","")," ","")),1),UPPER(SUBSTITUTE(SUBSTITUTE(SUBSTITUTE(TRIM(B71),".",""),"-","")," ",""))))</f>
        <v/>
      </c>
      <c r="AH71" s="62" t="str">
        <f aca="false">IF(B71="","",COUNTIFS(C_RUTN,AG71,C_DEF,"Sí",C_INI,"&lt;="&amp;FECHA_CORTE))</f>
        <v/>
      </c>
      <c r="AI71" s="62" t="str">
        <f aca="false">IF(B71="","",COUNTIFS(C_RUTN,AG71,C_DEF,"Sí"))</f>
        <v/>
      </c>
      <c r="AJ71" s="66" t="str">
        <f aca="false">IF(OR(B71="",N(AI71)&lt;=N(AH71)),"",IFERROR(INDEX(C_INI,MATCH(AG71&amp;"-P"&amp;(AH71+1),C_CLAVE,0)),""))</f>
        <v/>
      </c>
      <c r="AK71" s="63" t="str">
        <f aca="false">IF(O71&lt;&gt;"Activo","",Q71+N(K71)+IF(L71="Sí",MIN(GRAT_PCT*(Q71+N(K71)),GRAT_TOPE),0)+N(I71)+N(J71))</f>
        <v/>
      </c>
      <c r="AL71" s="63" t="str">
        <f aca="false">IF(O71&lt;&gt;"Activo","",MIN(AK71,TOPE_IAS_UF*UF_MES))</f>
        <v/>
      </c>
      <c r="AM71" s="62" t="str">
        <f aca="false">IF(AND(O71="Activo",ISNUMBER(V71),W71&lt;&gt;"Renovación registrada"),V71+ROW()/100000,"")</f>
        <v/>
      </c>
      <c r="AN71" s="70" t="str">
        <f aca="false">IF(OR(O71&lt;&gt;"Activo",NOT(ISNUMBER(U71))),"",IF(U71&lt;FECHA_CORTE,"",1.25*(DATEDIF(F71,U71+1,"m")+(U71+1-EDATE(F71,DATEDIF(F71,U71+1,"m")))/30)-Z71))</f>
        <v/>
      </c>
      <c r="AO71" s="66" t="str">
        <f aca="false">IF(OR(B71="",NOT(ISNUMBER(F71))),"",IF(N(G71)&gt;0,MIN(G71,FECHA_CORTE),FECHA_CORTE))</f>
        <v/>
      </c>
    </row>
    <row r="72" customFormat="false" ht="15" hidden="false" customHeight="false" outlineLevel="0" collapsed="false">
      <c r="B72" s="58"/>
      <c r="C72" s="58"/>
      <c r="D72" s="58"/>
      <c r="E72" s="58"/>
      <c r="F72" s="59"/>
      <c r="G72" s="59"/>
      <c r="H72" s="58"/>
      <c r="I72" s="60"/>
      <c r="J72" s="60"/>
      <c r="K72" s="60"/>
      <c r="L72" s="58"/>
      <c r="M72" s="61"/>
      <c r="N72" s="58"/>
      <c r="O72" s="62" t="str">
        <f aca="false">IF(B72="","",IF(NOT(ISNUMBER(F72)),"⚠ Falta ingreso",IF(F72&gt;FECHA_CORTE,"Por ingresar",IF(G72="","Activo",IF(G72&lt;FECHA_CORTE,"Desvinculado","Activo")))))</f>
        <v/>
      </c>
      <c r="P72" s="62" t="str">
        <f aca="false">IF(OR(B72="",NOT(ISNUMBER(F72))),"",IF(F72&gt;FECHA_CORTE,"",DATEDIF(F72,IF(G72="",FECHA_CORTE,MIN(G72,FECHA_CORTE))+1,"y")&amp;" a "&amp;DATEDIF(F72,IF(G72="",FECHA_CORTE,MIN(G72,FECHA_CORTE))+1,"ym")&amp;" m"))</f>
        <v/>
      </c>
      <c r="Q72" s="63" t="str">
        <f aca="false">IF(B72="","",IFERROR(INDEX(C_SUELDO,MATCH(AG72&amp;"-S"&amp;MAX(1,COUNTIFS(C_RUTN,AG72,C_SUELDO,"&lt;&gt;",C_INI,"&lt;="&amp;FECHA_CORTE)),C_CLAVES,0)),0))</f>
        <v/>
      </c>
      <c r="R72" s="62" t="str">
        <f aca="false">IF(B72="","",IF(N(AI72)=0,"Sin contrato",IFERROR(INDEX(C_TIPO,MATCH(AG72&amp;"-P"&amp;MAX(1,AH72),C_CLAVE,0))&amp;"","")))</f>
        <v/>
      </c>
      <c r="S72" s="64" t="str">
        <f aca="false">IF(R72="Plazo fijo",IFERROR(INDEX(C_NPF,MATCH(AG72&amp;"-P"&amp;MAX(1,AH72),C_CLAVE,0)),""),"")</f>
        <v/>
      </c>
      <c r="T72" s="65" t="str">
        <f aca="false">IF(B72="","",COUNTIFS(C_RUTN,AG72,C_TIPODOC,"Anexo de modificación"))</f>
        <v/>
      </c>
      <c r="U72" s="66" t="str">
        <f aca="false">IF(AND(OR(R72="Plazo fijo",R72="Obra o faena"),O72&lt;&gt;"Desvinculado"),IFERROR(IF(N(INDEX(C_TER,MATCH(AG72&amp;"-P"&amp;MAX(1,AH72),C_CLAVE,0)))=0,"",INDEX(C_TER,MATCH(AG72&amp;"-P"&amp;MAX(1,AH72),C_CLAVE,0))),""),"")</f>
        <v/>
      </c>
      <c r="V72" s="67" t="str">
        <f aca="false">IF(ISNUMBER(U72),U72-FECHA_CORTE,"")</f>
        <v/>
      </c>
      <c r="W72" s="62" t="str">
        <f aca="false">IF(B72="","",IF(O72="Desvinculado","Terminado",IF(N(AI72)=0,"Sin contrato registrado",IF(O72="Por ingresar","Por ingresar",IF(ISNUMBER(AJ72),"Renovación registrada",IF(R72="Indefinido","Indefinido",IF(NOT(ISNUMBER(V72)),"Falta fecha de término",IF(V72&lt;0,"VENCIDO",IF(V72&lt;=ALERTA_ROJA,"Vence en ≤ "&amp;ALERTA_ROJA&amp;" días",IF(V72&lt;=ALERTA_NARANJA,"Vence en ≤ "&amp;ALERTA_NARANJA&amp;" días",IF(V72&lt;=ALERTA_AMARILLA,"Vence en ≤ "&amp;ALERTA_AMARILLA&amp;" días","Vigente")))))))))))</f>
        <v/>
      </c>
      <c r="X72" s="62" t="str">
        <f aca="false">IF(B72="","",IF(W72="Terminado","—",IF(W72="Sin contrato registrado","Registrar su contrato en la hoja Contratos",IF(W72="Por ingresar","Tener el contrato firmado antes del ingreso",IF(W72="Renovación registrada","Siguiente contrato ya registrado: verificar que esté firmado",IF(R72="Indefinido","Sin vencimiento. Cambios de sueldo o cargo: anexo de modificación",IF(W72="Falta fecha de término","Completar la fecha de término en Contratos",IF(W72="VENCIDO","Sigue trabajando con plazo vencido: por ley ya es INDEFINIDO. Firmar anexo de paso a indefinido",IF(R72="Obra o faena","Al terminar la obra: finiquito + 2,5 días de sueldo por mes trabajado",IF(N(S72)&gt;=2,"2° contrato a plazo: NO se puede renovar otra vez a plazo fijo. Pasar a indefinido o terminar al vencer","1er contrato a plazo: renovar (2° contrato), pasar a indefinido o terminar al vencer"))))))))))</f>
        <v/>
      </c>
      <c r="Y72" s="68" t="str">
        <f aca="false">IF(O72&lt;&gt;"Activo","",ROUND(1.25*(DATEDIF(F72,AO72+1,"m")+(AO72+1-EDATE(F72,DATEDIF(F72,AO72+1,"m")))/30),2))</f>
        <v/>
      </c>
      <c r="Z72" s="68" t="str">
        <f aca="false">IF(O72&lt;&gt;"Activo","",N(M72)+SUMIFS(M_VAC,M_RUTN,AG72,M_MES,"&lt;="&amp;FECHA_CORTE))</f>
        <v/>
      </c>
      <c r="AA72" s="68" t="str">
        <f aca="false">IF(O72&lt;&gt;"Activo","",Y72-Z72)</f>
        <v/>
      </c>
      <c r="AB72" s="63" t="str">
        <f aca="false">IF(O72&lt;&gt;"Activo","",ROUND(MAX(0,IF(AA72&lt;=0,0,WORKDAY(FECHA_CORTE,INT(AA72),FERIADOS)-FECHA_CORTE+(AA72-INT(AA72))))*(Q72+N(K72))/30,0))</f>
        <v/>
      </c>
      <c r="AC72" s="65" t="str">
        <f aca="false">IF(O72&lt;&gt;"Activo","",IF(DATEDIF(F72,FECHA_CORTE+1,"y")&lt;1,0,MIN(TOPE_ANIOS,DATEDIF(F72,FECHA_CORTE+1,"y")+IF(EDATE(F72,12*DATEDIF(F72,FECHA_CORTE+1,"y")+6)&lt;FECHA_CORTE+1,1,0))))</f>
        <v/>
      </c>
      <c r="AD72" s="69" t="str">
        <f aca="false">IF(O72&lt;&gt;"Activo","",AB72+IF(R72="Obra o faena",0,ROUND(AL72*AC72,0)+ROUND(AL72,0)))</f>
        <v/>
      </c>
      <c r="AE72" s="69" t="str">
        <f aca="false">IF(O72&lt;&gt;"Activo","",AB72)</f>
        <v/>
      </c>
      <c r="AF72" s="69" t="str">
        <f aca="false">IF(AN72="","",IF(ISNUMBER(AJ72),"",ROUND(MAX(0,IF(AN72&lt;=0,0,WORKDAY(U72,INT(AN72),FERIADOS)-U72+(AN72-INT(AN72))))*(Q72+N(K72))/30,0)+IF(R72="Obra o faena",ROUND(OBRA_DIAS*AL72/30*(DATEDIF(F72,U72+1,"m")+IF(U72+1-EDATE(F72,DATEDIF(F72,U72+1,"m"))&gt;15,1,0)),0),0)))</f>
        <v/>
      </c>
      <c r="AG72" s="62" t="str">
        <f aca="false">IF(B72="","",IFERROR(VALUE(LEFT(UPPER(SUBSTITUTE(SUBSTITUTE(SUBSTITUTE(TRIM(B72),".",""),"-","")," ","")),LEN(UPPER(SUBSTITUTE(SUBSTITUTE(SUBSTITUTE(TRIM(B72),".",""),"-","")," ","")))-1))&amp;RIGHT(UPPER(SUBSTITUTE(SUBSTITUTE(SUBSTITUTE(TRIM(B72),".",""),"-","")," ","")),1),UPPER(SUBSTITUTE(SUBSTITUTE(SUBSTITUTE(TRIM(B72),".",""),"-","")," ",""))))</f>
        <v/>
      </c>
      <c r="AH72" s="62" t="str">
        <f aca="false">IF(B72="","",COUNTIFS(C_RUTN,AG72,C_DEF,"Sí",C_INI,"&lt;="&amp;FECHA_CORTE))</f>
        <v/>
      </c>
      <c r="AI72" s="62" t="str">
        <f aca="false">IF(B72="","",COUNTIFS(C_RUTN,AG72,C_DEF,"Sí"))</f>
        <v/>
      </c>
      <c r="AJ72" s="66" t="str">
        <f aca="false">IF(OR(B72="",N(AI72)&lt;=N(AH72)),"",IFERROR(INDEX(C_INI,MATCH(AG72&amp;"-P"&amp;(AH72+1),C_CLAVE,0)),""))</f>
        <v/>
      </c>
      <c r="AK72" s="63" t="str">
        <f aca="false">IF(O72&lt;&gt;"Activo","",Q72+N(K72)+IF(L72="Sí",MIN(GRAT_PCT*(Q72+N(K72)),GRAT_TOPE),0)+N(I72)+N(J72))</f>
        <v/>
      </c>
      <c r="AL72" s="63" t="str">
        <f aca="false">IF(O72&lt;&gt;"Activo","",MIN(AK72,TOPE_IAS_UF*UF_MES))</f>
        <v/>
      </c>
      <c r="AM72" s="62" t="str">
        <f aca="false">IF(AND(O72="Activo",ISNUMBER(V72),W72&lt;&gt;"Renovación registrada"),V72+ROW()/100000,"")</f>
        <v/>
      </c>
      <c r="AN72" s="70" t="str">
        <f aca="false">IF(OR(O72&lt;&gt;"Activo",NOT(ISNUMBER(U72))),"",IF(U72&lt;FECHA_CORTE,"",1.25*(DATEDIF(F72,U72+1,"m")+(U72+1-EDATE(F72,DATEDIF(F72,U72+1,"m")))/30)-Z72))</f>
        <v/>
      </c>
      <c r="AO72" s="66" t="str">
        <f aca="false">IF(OR(B72="",NOT(ISNUMBER(F72))),"",IF(N(G72)&gt;0,MIN(G72,FECHA_CORTE),FECHA_CORTE))</f>
        <v/>
      </c>
    </row>
    <row r="73" customFormat="false" ht="15" hidden="false" customHeight="false" outlineLevel="0" collapsed="false">
      <c r="B73" s="58"/>
      <c r="C73" s="58"/>
      <c r="D73" s="58"/>
      <c r="E73" s="58"/>
      <c r="F73" s="59"/>
      <c r="G73" s="59"/>
      <c r="H73" s="58"/>
      <c r="I73" s="60"/>
      <c r="J73" s="60"/>
      <c r="K73" s="60"/>
      <c r="L73" s="58"/>
      <c r="M73" s="61"/>
      <c r="N73" s="58"/>
      <c r="O73" s="62" t="str">
        <f aca="false">IF(B73="","",IF(NOT(ISNUMBER(F73)),"⚠ Falta ingreso",IF(F73&gt;FECHA_CORTE,"Por ingresar",IF(G73="","Activo",IF(G73&lt;FECHA_CORTE,"Desvinculado","Activo")))))</f>
        <v/>
      </c>
      <c r="P73" s="62" t="str">
        <f aca="false">IF(OR(B73="",NOT(ISNUMBER(F73))),"",IF(F73&gt;FECHA_CORTE,"",DATEDIF(F73,IF(G73="",FECHA_CORTE,MIN(G73,FECHA_CORTE))+1,"y")&amp;" a "&amp;DATEDIF(F73,IF(G73="",FECHA_CORTE,MIN(G73,FECHA_CORTE))+1,"ym")&amp;" m"))</f>
        <v/>
      </c>
      <c r="Q73" s="63" t="str">
        <f aca="false">IF(B73="","",IFERROR(INDEX(C_SUELDO,MATCH(AG73&amp;"-S"&amp;MAX(1,COUNTIFS(C_RUTN,AG73,C_SUELDO,"&lt;&gt;",C_INI,"&lt;="&amp;FECHA_CORTE)),C_CLAVES,0)),0))</f>
        <v/>
      </c>
      <c r="R73" s="62" t="str">
        <f aca="false">IF(B73="","",IF(N(AI73)=0,"Sin contrato",IFERROR(INDEX(C_TIPO,MATCH(AG73&amp;"-P"&amp;MAX(1,AH73),C_CLAVE,0))&amp;"","")))</f>
        <v/>
      </c>
      <c r="S73" s="64" t="str">
        <f aca="false">IF(R73="Plazo fijo",IFERROR(INDEX(C_NPF,MATCH(AG73&amp;"-P"&amp;MAX(1,AH73),C_CLAVE,0)),""),"")</f>
        <v/>
      </c>
      <c r="T73" s="65" t="str">
        <f aca="false">IF(B73="","",COUNTIFS(C_RUTN,AG73,C_TIPODOC,"Anexo de modificación"))</f>
        <v/>
      </c>
      <c r="U73" s="66" t="str">
        <f aca="false">IF(AND(OR(R73="Plazo fijo",R73="Obra o faena"),O73&lt;&gt;"Desvinculado"),IFERROR(IF(N(INDEX(C_TER,MATCH(AG73&amp;"-P"&amp;MAX(1,AH73),C_CLAVE,0)))=0,"",INDEX(C_TER,MATCH(AG73&amp;"-P"&amp;MAX(1,AH73),C_CLAVE,0))),""),"")</f>
        <v/>
      </c>
      <c r="V73" s="67" t="str">
        <f aca="false">IF(ISNUMBER(U73),U73-FECHA_CORTE,"")</f>
        <v/>
      </c>
      <c r="W73" s="62" t="str">
        <f aca="false">IF(B73="","",IF(O73="Desvinculado","Terminado",IF(N(AI73)=0,"Sin contrato registrado",IF(O73="Por ingresar","Por ingresar",IF(ISNUMBER(AJ73),"Renovación registrada",IF(R73="Indefinido","Indefinido",IF(NOT(ISNUMBER(V73)),"Falta fecha de término",IF(V73&lt;0,"VENCIDO",IF(V73&lt;=ALERTA_ROJA,"Vence en ≤ "&amp;ALERTA_ROJA&amp;" días",IF(V73&lt;=ALERTA_NARANJA,"Vence en ≤ "&amp;ALERTA_NARANJA&amp;" días",IF(V73&lt;=ALERTA_AMARILLA,"Vence en ≤ "&amp;ALERTA_AMARILLA&amp;" días","Vigente")))))))))))</f>
        <v/>
      </c>
      <c r="X73" s="62" t="str">
        <f aca="false">IF(B73="","",IF(W73="Terminado","—",IF(W73="Sin contrato registrado","Registrar su contrato en la hoja Contratos",IF(W73="Por ingresar","Tener el contrato firmado antes del ingreso",IF(W73="Renovación registrada","Siguiente contrato ya registrado: verificar que esté firmado",IF(R73="Indefinido","Sin vencimiento. Cambios de sueldo o cargo: anexo de modificación",IF(W73="Falta fecha de término","Completar la fecha de término en Contratos",IF(W73="VENCIDO","Sigue trabajando con plazo vencido: por ley ya es INDEFINIDO. Firmar anexo de paso a indefinido",IF(R73="Obra o faena","Al terminar la obra: finiquito + 2,5 días de sueldo por mes trabajado",IF(N(S73)&gt;=2,"2° contrato a plazo: NO se puede renovar otra vez a plazo fijo. Pasar a indefinido o terminar al vencer","1er contrato a plazo: renovar (2° contrato), pasar a indefinido o terminar al vencer"))))))))))</f>
        <v/>
      </c>
      <c r="Y73" s="68" t="str">
        <f aca="false">IF(O73&lt;&gt;"Activo","",ROUND(1.25*(DATEDIF(F73,AO73+1,"m")+(AO73+1-EDATE(F73,DATEDIF(F73,AO73+1,"m")))/30),2))</f>
        <v/>
      </c>
      <c r="Z73" s="68" t="str">
        <f aca="false">IF(O73&lt;&gt;"Activo","",N(M73)+SUMIFS(M_VAC,M_RUTN,AG73,M_MES,"&lt;="&amp;FECHA_CORTE))</f>
        <v/>
      </c>
      <c r="AA73" s="68" t="str">
        <f aca="false">IF(O73&lt;&gt;"Activo","",Y73-Z73)</f>
        <v/>
      </c>
      <c r="AB73" s="63" t="str">
        <f aca="false">IF(O73&lt;&gt;"Activo","",ROUND(MAX(0,IF(AA73&lt;=0,0,WORKDAY(FECHA_CORTE,INT(AA73),FERIADOS)-FECHA_CORTE+(AA73-INT(AA73))))*(Q73+N(K73))/30,0))</f>
        <v/>
      </c>
      <c r="AC73" s="65" t="str">
        <f aca="false">IF(O73&lt;&gt;"Activo","",IF(DATEDIF(F73,FECHA_CORTE+1,"y")&lt;1,0,MIN(TOPE_ANIOS,DATEDIF(F73,FECHA_CORTE+1,"y")+IF(EDATE(F73,12*DATEDIF(F73,FECHA_CORTE+1,"y")+6)&lt;FECHA_CORTE+1,1,0))))</f>
        <v/>
      </c>
      <c r="AD73" s="69" t="str">
        <f aca="false">IF(O73&lt;&gt;"Activo","",AB73+IF(R73="Obra o faena",0,ROUND(AL73*AC73,0)+ROUND(AL73,0)))</f>
        <v/>
      </c>
      <c r="AE73" s="69" t="str">
        <f aca="false">IF(O73&lt;&gt;"Activo","",AB73)</f>
        <v/>
      </c>
      <c r="AF73" s="69" t="str">
        <f aca="false">IF(AN73="","",IF(ISNUMBER(AJ73),"",ROUND(MAX(0,IF(AN73&lt;=0,0,WORKDAY(U73,INT(AN73),FERIADOS)-U73+(AN73-INT(AN73))))*(Q73+N(K73))/30,0)+IF(R73="Obra o faena",ROUND(OBRA_DIAS*AL73/30*(DATEDIF(F73,U73+1,"m")+IF(U73+1-EDATE(F73,DATEDIF(F73,U73+1,"m"))&gt;15,1,0)),0),0)))</f>
        <v/>
      </c>
      <c r="AG73" s="62" t="str">
        <f aca="false">IF(B73="","",IFERROR(VALUE(LEFT(UPPER(SUBSTITUTE(SUBSTITUTE(SUBSTITUTE(TRIM(B73),".",""),"-","")," ","")),LEN(UPPER(SUBSTITUTE(SUBSTITUTE(SUBSTITUTE(TRIM(B73),".",""),"-","")," ","")))-1))&amp;RIGHT(UPPER(SUBSTITUTE(SUBSTITUTE(SUBSTITUTE(TRIM(B73),".",""),"-","")," ","")),1),UPPER(SUBSTITUTE(SUBSTITUTE(SUBSTITUTE(TRIM(B73),".",""),"-","")," ",""))))</f>
        <v/>
      </c>
      <c r="AH73" s="62" t="str">
        <f aca="false">IF(B73="","",COUNTIFS(C_RUTN,AG73,C_DEF,"Sí",C_INI,"&lt;="&amp;FECHA_CORTE))</f>
        <v/>
      </c>
      <c r="AI73" s="62" t="str">
        <f aca="false">IF(B73="","",COUNTIFS(C_RUTN,AG73,C_DEF,"Sí"))</f>
        <v/>
      </c>
      <c r="AJ73" s="66" t="str">
        <f aca="false">IF(OR(B73="",N(AI73)&lt;=N(AH73)),"",IFERROR(INDEX(C_INI,MATCH(AG73&amp;"-P"&amp;(AH73+1),C_CLAVE,0)),""))</f>
        <v/>
      </c>
      <c r="AK73" s="63" t="str">
        <f aca="false">IF(O73&lt;&gt;"Activo","",Q73+N(K73)+IF(L73="Sí",MIN(GRAT_PCT*(Q73+N(K73)),GRAT_TOPE),0)+N(I73)+N(J73))</f>
        <v/>
      </c>
      <c r="AL73" s="63" t="str">
        <f aca="false">IF(O73&lt;&gt;"Activo","",MIN(AK73,TOPE_IAS_UF*UF_MES))</f>
        <v/>
      </c>
      <c r="AM73" s="62" t="str">
        <f aca="false">IF(AND(O73="Activo",ISNUMBER(V73),W73&lt;&gt;"Renovación registrada"),V73+ROW()/100000,"")</f>
        <v/>
      </c>
      <c r="AN73" s="70" t="str">
        <f aca="false">IF(OR(O73&lt;&gt;"Activo",NOT(ISNUMBER(U73))),"",IF(U73&lt;FECHA_CORTE,"",1.25*(DATEDIF(F73,U73+1,"m")+(U73+1-EDATE(F73,DATEDIF(F73,U73+1,"m")))/30)-Z73))</f>
        <v/>
      </c>
      <c r="AO73" s="66" t="str">
        <f aca="false">IF(OR(B73="",NOT(ISNUMBER(F73))),"",IF(N(G73)&gt;0,MIN(G73,FECHA_CORTE),FECHA_CORTE))</f>
        <v/>
      </c>
    </row>
    <row r="74" customFormat="false" ht="15" hidden="false" customHeight="false" outlineLevel="0" collapsed="false">
      <c r="B74" s="58"/>
      <c r="C74" s="58"/>
      <c r="D74" s="58"/>
      <c r="E74" s="58"/>
      <c r="F74" s="59"/>
      <c r="G74" s="59"/>
      <c r="H74" s="58"/>
      <c r="I74" s="60"/>
      <c r="J74" s="60"/>
      <c r="K74" s="60"/>
      <c r="L74" s="58"/>
      <c r="M74" s="61"/>
      <c r="N74" s="58"/>
      <c r="O74" s="62" t="str">
        <f aca="false">IF(B74="","",IF(NOT(ISNUMBER(F74)),"⚠ Falta ingreso",IF(F74&gt;FECHA_CORTE,"Por ingresar",IF(G74="","Activo",IF(G74&lt;FECHA_CORTE,"Desvinculado","Activo")))))</f>
        <v/>
      </c>
      <c r="P74" s="62" t="str">
        <f aca="false">IF(OR(B74="",NOT(ISNUMBER(F74))),"",IF(F74&gt;FECHA_CORTE,"",DATEDIF(F74,IF(G74="",FECHA_CORTE,MIN(G74,FECHA_CORTE))+1,"y")&amp;" a "&amp;DATEDIF(F74,IF(G74="",FECHA_CORTE,MIN(G74,FECHA_CORTE))+1,"ym")&amp;" m"))</f>
        <v/>
      </c>
      <c r="Q74" s="63" t="str">
        <f aca="false">IF(B74="","",IFERROR(INDEX(C_SUELDO,MATCH(AG74&amp;"-S"&amp;MAX(1,COUNTIFS(C_RUTN,AG74,C_SUELDO,"&lt;&gt;",C_INI,"&lt;="&amp;FECHA_CORTE)),C_CLAVES,0)),0))</f>
        <v/>
      </c>
      <c r="R74" s="62" t="str">
        <f aca="false">IF(B74="","",IF(N(AI74)=0,"Sin contrato",IFERROR(INDEX(C_TIPO,MATCH(AG74&amp;"-P"&amp;MAX(1,AH74),C_CLAVE,0))&amp;"","")))</f>
        <v/>
      </c>
      <c r="S74" s="64" t="str">
        <f aca="false">IF(R74="Plazo fijo",IFERROR(INDEX(C_NPF,MATCH(AG74&amp;"-P"&amp;MAX(1,AH74),C_CLAVE,0)),""),"")</f>
        <v/>
      </c>
      <c r="T74" s="65" t="str">
        <f aca="false">IF(B74="","",COUNTIFS(C_RUTN,AG74,C_TIPODOC,"Anexo de modificación"))</f>
        <v/>
      </c>
      <c r="U74" s="66" t="str">
        <f aca="false">IF(AND(OR(R74="Plazo fijo",R74="Obra o faena"),O74&lt;&gt;"Desvinculado"),IFERROR(IF(N(INDEX(C_TER,MATCH(AG74&amp;"-P"&amp;MAX(1,AH74),C_CLAVE,0)))=0,"",INDEX(C_TER,MATCH(AG74&amp;"-P"&amp;MAX(1,AH74),C_CLAVE,0))),""),"")</f>
        <v/>
      </c>
      <c r="V74" s="67" t="str">
        <f aca="false">IF(ISNUMBER(U74),U74-FECHA_CORTE,"")</f>
        <v/>
      </c>
      <c r="W74" s="62" t="str">
        <f aca="false">IF(B74="","",IF(O74="Desvinculado","Terminado",IF(N(AI74)=0,"Sin contrato registrado",IF(O74="Por ingresar","Por ingresar",IF(ISNUMBER(AJ74),"Renovación registrada",IF(R74="Indefinido","Indefinido",IF(NOT(ISNUMBER(V74)),"Falta fecha de término",IF(V74&lt;0,"VENCIDO",IF(V74&lt;=ALERTA_ROJA,"Vence en ≤ "&amp;ALERTA_ROJA&amp;" días",IF(V74&lt;=ALERTA_NARANJA,"Vence en ≤ "&amp;ALERTA_NARANJA&amp;" días",IF(V74&lt;=ALERTA_AMARILLA,"Vence en ≤ "&amp;ALERTA_AMARILLA&amp;" días","Vigente")))))))))))</f>
        <v/>
      </c>
      <c r="X74" s="62" t="str">
        <f aca="false">IF(B74="","",IF(W74="Terminado","—",IF(W74="Sin contrato registrado","Registrar su contrato en la hoja Contratos",IF(W74="Por ingresar","Tener el contrato firmado antes del ingreso",IF(W74="Renovación registrada","Siguiente contrato ya registrado: verificar que esté firmado",IF(R74="Indefinido","Sin vencimiento. Cambios de sueldo o cargo: anexo de modificación",IF(W74="Falta fecha de término","Completar la fecha de término en Contratos",IF(W74="VENCIDO","Sigue trabajando con plazo vencido: por ley ya es INDEFINIDO. Firmar anexo de paso a indefinido",IF(R74="Obra o faena","Al terminar la obra: finiquito + 2,5 días de sueldo por mes trabajado",IF(N(S74)&gt;=2,"2° contrato a plazo: NO se puede renovar otra vez a plazo fijo. Pasar a indefinido o terminar al vencer","1er contrato a plazo: renovar (2° contrato), pasar a indefinido o terminar al vencer"))))))))))</f>
        <v/>
      </c>
      <c r="Y74" s="68" t="str">
        <f aca="false">IF(O74&lt;&gt;"Activo","",ROUND(1.25*(DATEDIF(F74,AO74+1,"m")+(AO74+1-EDATE(F74,DATEDIF(F74,AO74+1,"m")))/30),2))</f>
        <v/>
      </c>
      <c r="Z74" s="68" t="str">
        <f aca="false">IF(O74&lt;&gt;"Activo","",N(M74)+SUMIFS(M_VAC,M_RUTN,AG74,M_MES,"&lt;="&amp;FECHA_CORTE))</f>
        <v/>
      </c>
      <c r="AA74" s="68" t="str">
        <f aca="false">IF(O74&lt;&gt;"Activo","",Y74-Z74)</f>
        <v/>
      </c>
      <c r="AB74" s="63" t="str">
        <f aca="false">IF(O74&lt;&gt;"Activo","",ROUND(MAX(0,IF(AA74&lt;=0,0,WORKDAY(FECHA_CORTE,INT(AA74),FERIADOS)-FECHA_CORTE+(AA74-INT(AA74))))*(Q74+N(K74))/30,0))</f>
        <v/>
      </c>
      <c r="AC74" s="65" t="str">
        <f aca="false">IF(O74&lt;&gt;"Activo","",IF(DATEDIF(F74,FECHA_CORTE+1,"y")&lt;1,0,MIN(TOPE_ANIOS,DATEDIF(F74,FECHA_CORTE+1,"y")+IF(EDATE(F74,12*DATEDIF(F74,FECHA_CORTE+1,"y")+6)&lt;FECHA_CORTE+1,1,0))))</f>
        <v/>
      </c>
      <c r="AD74" s="69" t="str">
        <f aca="false">IF(O74&lt;&gt;"Activo","",AB74+IF(R74="Obra o faena",0,ROUND(AL74*AC74,0)+ROUND(AL74,0)))</f>
        <v/>
      </c>
      <c r="AE74" s="69" t="str">
        <f aca="false">IF(O74&lt;&gt;"Activo","",AB74)</f>
        <v/>
      </c>
      <c r="AF74" s="69" t="str">
        <f aca="false">IF(AN74="","",IF(ISNUMBER(AJ74),"",ROUND(MAX(0,IF(AN74&lt;=0,0,WORKDAY(U74,INT(AN74),FERIADOS)-U74+(AN74-INT(AN74))))*(Q74+N(K74))/30,0)+IF(R74="Obra o faena",ROUND(OBRA_DIAS*AL74/30*(DATEDIF(F74,U74+1,"m")+IF(U74+1-EDATE(F74,DATEDIF(F74,U74+1,"m"))&gt;15,1,0)),0),0)))</f>
        <v/>
      </c>
      <c r="AG74" s="62" t="str">
        <f aca="false">IF(B74="","",IFERROR(VALUE(LEFT(UPPER(SUBSTITUTE(SUBSTITUTE(SUBSTITUTE(TRIM(B74),".",""),"-","")," ","")),LEN(UPPER(SUBSTITUTE(SUBSTITUTE(SUBSTITUTE(TRIM(B74),".",""),"-","")," ","")))-1))&amp;RIGHT(UPPER(SUBSTITUTE(SUBSTITUTE(SUBSTITUTE(TRIM(B74),".",""),"-","")," ","")),1),UPPER(SUBSTITUTE(SUBSTITUTE(SUBSTITUTE(TRIM(B74),".",""),"-","")," ",""))))</f>
        <v/>
      </c>
      <c r="AH74" s="62" t="str">
        <f aca="false">IF(B74="","",COUNTIFS(C_RUTN,AG74,C_DEF,"Sí",C_INI,"&lt;="&amp;FECHA_CORTE))</f>
        <v/>
      </c>
      <c r="AI74" s="62" t="str">
        <f aca="false">IF(B74="","",COUNTIFS(C_RUTN,AG74,C_DEF,"Sí"))</f>
        <v/>
      </c>
      <c r="AJ74" s="66" t="str">
        <f aca="false">IF(OR(B74="",N(AI74)&lt;=N(AH74)),"",IFERROR(INDEX(C_INI,MATCH(AG74&amp;"-P"&amp;(AH74+1),C_CLAVE,0)),""))</f>
        <v/>
      </c>
      <c r="AK74" s="63" t="str">
        <f aca="false">IF(O74&lt;&gt;"Activo","",Q74+N(K74)+IF(L74="Sí",MIN(GRAT_PCT*(Q74+N(K74)),GRAT_TOPE),0)+N(I74)+N(J74))</f>
        <v/>
      </c>
      <c r="AL74" s="63" t="str">
        <f aca="false">IF(O74&lt;&gt;"Activo","",MIN(AK74,TOPE_IAS_UF*UF_MES))</f>
        <v/>
      </c>
      <c r="AM74" s="62" t="str">
        <f aca="false">IF(AND(O74="Activo",ISNUMBER(V74),W74&lt;&gt;"Renovación registrada"),V74+ROW()/100000,"")</f>
        <v/>
      </c>
      <c r="AN74" s="70" t="str">
        <f aca="false">IF(OR(O74&lt;&gt;"Activo",NOT(ISNUMBER(U74))),"",IF(U74&lt;FECHA_CORTE,"",1.25*(DATEDIF(F74,U74+1,"m")+(U74+1-EDATE(F74,DATEDIF(F74,U74+1,"m")))/30)-Z74))</f>
        <v/>
      </c>
      <c r="AO74" s="66" t="str">
        <f aca="false">IF(OR(B74="",NOT(ISNUMBER(F74))),"",IF(N(G74)&gt;0,MIN(G74,FECHA_CORTE),FECHA_CORTE))</f>
        <v/>
      </c>
    </row>
    <row r="75" customFormat="false" ht="15" hidden="false" customHeight="false" outlineLevel="0" collapsed="false">
      <c r="B75" s="58"/>
      <c r="C75" s="58"/>
      <c r="D75" s="58"/>
      <c r="E75" s="58"/>
      <c r="F75" s="59"/>
      <c r="G75" s="59"/>
      <c r="H75" s="58"/>
      <c r="I75" s="60"/>
      <c r="J75" s="60"/>
      <c r="K75" s="60"/>
      <c r="L75" s="58"/>
      <c r="M75" s="61"/>
      <c r="N75" s="58"/>
      <c r="O75" s="62" t="str">
        <f aca="false">IF(B75="","",IF(NOT(ISNUMBER(F75)),"⚠ Falta ingreso",IF(F75&gt;FECHA_CORTE,"Por ingresar",IF(G75="","Activo",IF(G75&lt;FECHA_CORTE,"Desvinculado","Activo")))))</f>
        <v/>
      </c>
      <c r="P75" s="62" t="str">
        <f aca="false">IF(OR(B75="",NOT(ISNUMBER(F75))),"",IF(F75&gt;FECHA_CORTE,"",DATEDIF(F75,IF(G75="",FECHA_CORTE,MIN(G75,FECHA_CORTE))+1,"y")&amp;" a "&amp;DATEDIF(F75,IF(G75="",FECHA_CORTE,MIN(G75,FECHA_CORTE))+1,"ym")&amp;" m"))</f>
        <v/>
      </c>
      <c r="Q75" s="63" t="str">
        <f aca="false">IF(B75="","",IFERROR(INDEX(C_SUELDO,MATCH(AG75&amp;"-S"&amp;MAX(1,COUNTIFS(C_RUTN,AG75,C_SUELDO,"&lt;&gt;",C_INI,"&lt;="&amp;FECHA_CORTE)),C_CLAVES,0)),0))</f>
        <v/>
      </c>
      <c r="R75" s="62" t="str">
        <f aca="false">IF(B75="","",IF(N(AI75)=0,"Sin contrato",IFERROR(INDEX(C_TIPO,MATCH(AG75&amp;"-P"&amp;MAX(1,AH75),C_CLAVE,0))&amp;"","")))</f>
        <v/>
      </c>
      <c r="S75" s="64" t="str">
        <f aca="false">IF(R75="Plazo fijo",IFERROR(INDEX(C_NPF,MATCH(AG75&amp;"-P"&amp;MAX(1,AH75),C_CLAVE,0)),""),"")</f>
        <v/>
      </c>
      <c r="T75" s="65" t="str">
        <f aca="false">IF(B75="","",COUNTIFS(C_RUTN,AG75,C_TIPODOC,"Anexo de modificación"))</f>
        <v/>
      </c>
      <c r="U75" s="66" t="str">
        <f aca="false">IF(AND(OR(R75="Plazo fijo",R75="Obra o faena"),O75&lt;&gt;"Desvinculado"),IFERROR(IF(N(INDEX(C_TER,MATCH(AG75&amp;"-P"&amp;MAX(1,AH75),C_CLAVE,0)))=0,"",INDEX(C_TER,MATCH(AG75&amp;"-P"&amp;MAX(1,AH75),C_CLAVE,0))),""),"")</f>
        <v/>
      </c>
      <c r="V75" s="67" t="str">
        <f aca="false">IF(ISNUMBER(U75),U75-FECHA_CORTE,"")</f>
        <v/>
      </c>
      <c r="W75" s="62" t="str">
        <f aca="false">IF(B75="","",IF(O75="Desvinculado","Terminado",IF(N(AI75)=0,"Sin contrato registrado",IF(O75="Por ingresar","Por ingresar",IF(ISNUMBER(AJ75),"Renovación registrada",IF(R75="Indefinido","Indefinido",IF(NOT(ISNUMBER(V75)),"Falta fecha de término",IF(V75&lt;0,"VENCIDO",IF(V75&lt;=ALERTA_ROJA,"Vence en ≤ "&amp;ALERTA_ROJA&amp;" días",IF(V75&lt;=ALERTA_NARANJA,"Vence en ≤ "&amp;ALERTA_NARANJA&amp;" días",IF(V75&lt;=ALERTA_AMARILLA,"Vence en ≤ "&amp;ALERTA_AMARILLA&amp;" días","Vigente")))))))))))</f>
        <v/>
      </c>
      <c r="X75" s="62" t="str">
        <f aca="false">IF(B75="","",IF(W75="Terminado","—",IF(W75="Sin contrato registrado","Registrar su contrato en la hoja Contratos",IF(W75="Por ingresar","Tener el contrato firmado antes del ingreso",IF(W75="Renovación registrada","Siguiente contrato ya registrado: verificar que esté firmado",IF(R75="Indefinido","Sin vencimiento. Cambios de sueldo o cargo: anexo de modificación",IF(W75="Falta fecha de término","Completar la fecha de término en Contratos",IF(W75="VENCIDO","Sigue trabajando con plazo vencido: por ley ya es INDEFINIDO. Firmar anexo de paso a indefinido",IF(R75="Obra o faena","Al terminar la obra: finiquito + 2,5 días de sueldo por mes trabajado",IF(N(S75)&gt;=2,"2° contrato a plazo: NO se puede renovar otra vez a plazo fijo. Pasar a indefinido o terminar al vencer","1er contrato a plazo: renovar (2° contrato), pasar a indefinido o terminar al vencer"))))))))))</f>
        <v/>
      </c>
      <c r="Y75" s="68" t="str">
        <f aca="false">IF(O75&lt;&gt;"Activo","",ROUND(1.25*(DATEDIF(F75,AO75+1,"m")+(AO75+1-EDATE(F75,DATEDIF(F75,AO75+1,"m")))/30),2))</f>
        <v/>
      </c>
      <c r="Z75" s="68" t="str">
        <f aca="false">IF(O75&lt;&gt;"Activo","",N(M75)+SUMIFS(M_VAC,M_RUTN,AG75,M_MES,"&lt;="&amp;FECHA_CORTE))</f>
        <v/>
      </c>
      <c r="AA75" s="68" t="str">
        <f aca="false">IF(O75&lt;&gt;"Activo","",Y75-Z75)</f>
        <v/>
      </c>
      <c r="AB75" s="63" t="str">
        <f aca="false">IF(O75&lt;&gt;"Activo","",ROUND(MAX(0,IF(AA75&lt;=0,0,WORKDAY(FECHA_CORTE,INT(AA75),FERIADOS)-FECHA_CORTE+(AA75-INT(AA75))))*(Q75+N(K75))/30,0))</f>
        <v/>
      </c>
      <c r="AC75" s="65" t="str">
        <f aca="false">IF(O75&lt;&gt;"Activo","",IF(DATEDIF(F75,FECHA_CORTE+1,"y")&lt;1,0,MIN(TOPE_ANIOS,DATEDIF(F75,FECHA_CORTE+1,"y")+IF(EDATE(F75,12*DATEDIF(F75,FECHA_CORTE+1,"y")+6)&lt;FECHA_CORTE+1,1,0))))</f>
        <v/>
      </c>
      <c r="AD75" s="69" t="str">
        <f aca="false">IF(O75&lt;&gt;"Activo","",AB75+IF(R75="Obra o faena",0,ROUND(AL75*AC75,0)+ROUND(AL75,0)))</f>
        <v/>
      </c>
      <c r="AE75" s="69" t="str">
        <f aca="false">IF(O75&lt;&gt;"Activo","",AB75)</f>
        <v/>
      </c>
      <c r="AF75" s="69" t="str">
        <f aca="false">IF(AN75="","",IF(ISNUMBER(AJ75),"",ROUND(MAX(0,IF(AN75&lt;=0,0,WORKDAY(U75,INT(AN75),FERIADOS)-U75+(AN75-INT(AN75))))*(Q75+N(K75))/30,0)+IF(R75="Obra o faena",ROUND(OBRA_DIAS*AL75/30*(DATEDIF(F75,U75+1,"m")+IF(U75+1-EDATE(F75,DATEDIF(F75,U75+1,"m"))&gt;15,1,0)),0),0)))</f>
        <v/>
      </c>
      <c r="AG75" s="62" t="str">
        <f aca="false">IF(B75="","",IFERROR(VALUE(LEFT(UPPER(SUBSTITUTE(SUBSTITUTE(SUBSTITUTE(TRIM(B75),".",""),"-","")," ","")),LEN(UPPER(SUBSTITUTE(SUBSTITUTE(SUBSTITUTE(TRIM(B75),".",""),"-","")," ","")))-1))&amp;RIGHT(UPPER(SUBSTITUTE(SUBSTITUTE(SUBSTITUTE(TRIM(B75),".",""),"-","")," ","")),1),UPPER(SUBSTITUTE(SUBSTITUTE(SUBSTITUTE(TRIM(B75),".",""),"-","")," ",""))))</f>
        <v/>
      </c>
      <c r="AH75" s="62" t="str">
        <f aca="false">IF(B75="","",COUNTIFS(C_RUTN,AG75,C_DEF,"Sí",C_INI,"&lt;="&amp;FECHA_CORTE))</f>
        <v/>
      </c>
      <c r="AI75" s="62" t="str">
        <f aca="false">IF(B75="","",COUNTIFS(C_RUTN,AG75,C_DEF,"Sí"))</f>
        <v/>
      </c>
      <c r="AJ75" s="66" t="str">
        <f aca="false">IF(OR(B75="",N(AI75)&lt;=N(AH75)),"",IFERROR(INDEX(C_INI,MATCH(AG75&amp;"-P"&amp;(AH75+1),C_CLAVE,0)),""))</f>
        <v/>
      </c>
      <c r="AK75" s="63" t="str">
        <f aca="false">IF(O75&lt;&gt;"Activo","",Q75+N(K75)+IF(L75="Sí",MIN(GRAT_PCT*(Q75+N(K75)),GRAT_TOPE),0)+N(I75)+N(J75))</f>
        <v/>
      </c>
      <c r="AL75" s="63" t="str">
        <f aca="false">IF(O75&lt;&gt;"Activo","",MIN(AK75,TOPE_IAS_UF*UF_MES))</f>
        <v/>
      </c>
      <c r="AM75" s="62" t="str">
        <f aca="false">IF(AND(O75="Activo",ISNUMBER(V75),W75&lt;&gt;"Renovación registrada"),V75+ROW()/100000,"")</f>
        <v/>
      </c>
      <c r="AN75" s="70" t="str">
        <f aca="false">IF(OR(O75&lt;&gt;"Activo",NOT(ISNUMBER(U75))),"",IF(U75&lt;FECHA_CORTE,"",1.25*(DATEDIF(F75,U75+1,"m")+(U75+1-EDATE(F75,DATEDIF(F75,U75+1,"m")))/30)-Z75))</f>
        <v/>
      </c>
      <c r="AO75" s="66" t="str">
        <f aca="false">IF(OR(B75="",NOT(ISNUMBER(F75))),"",IF(N(G75)&gt;0,MIN(G75,FECHA_CORTE),FECHA_CORTE))</f>
        <v/>
      </c>
    </row>
    <row r="76" customFormat="false" ht="15" hidden="false" customHeight="false" outlineLevel="0" collapsed="false">
      <c r="B76" s="58"/>
      <c r="C76" s="58"/>
      <c r="D76" s="58"/>
      <c r="E76" s="58"/>
      <c r="F76" s="59"/>
      <c r="G76" s="59"/>
      <c r="H76" s="58"/>
      <c r="I76" s="60"/>
      <c r="J76" s="60"/>
      <c r="K76" s="60"/>
      <c r="L76" s="58"/>
      <c r="M76" s="61"/>
      <c r="N76" s="58"/>
      <c r="O76" s="62" t="str">
        <f aca="false">IF(B76="","",IF(NOT(ISNUMBER(F76)),"⚠ Falta ingreso",IF(F76&gt;FECHA_CORTE,"Por ingresar",IF(G76="","Activo",IF(G76&lt;FECHA_CORTE,"Desvinculado","Activo")))))</f>
        <v/>
      </c>
      <c r="P76" s="62" t="str">
        <f aca="false">IF(OR(B76="",NOT(ISNUMBER(F76))),"",IF(F76&gt;FECHA_CORTE,"",DATEDIF(F76,IF(G76="",FECHA_CORTE,MIN(G76,FECHA_CORTE))+1,"y")&amp;" a "&amp;DATEDIF(F76,IF(G76="",FECHA_CORTE,MIN(G76,FECHA_CORTE))+1,"ym")&amp;" m"))</f>
        <v/>
      </c>
      <c r="Q76" s="63" t="str">
        <f aca="false">IF(B76="","",IFERROR(INDEX(C_SUELDO,MATCH(AG76&amp;"-S"&amp;MAX(1,COUNTIFS(C_RUTN,AG76,C_SUELDO,"&lt;&gt;",C_INI,"&lt;="&amp;FECHA_CORTE)),C_CLAVES,0)),0))</f>
        <v/>
      </c>
      <c r="R76" s="62" t="str">
        <f aca="false">IF(B76="","",IF(N(AI76)=0,"Sin contrato",IFERROR(INDEX(C_TIPO,MATCH(AG76&amp;"-P"&amp;MAX(1,AH76),C_CLAVE,0))&amp;"","")))</f>
        <v/>
      </c>
      <c r="S76" s="64" t="str">
        <f aca="false">IF(R76="Plazo fijo",IFERROR(INDEX(C_NPF,MATCH(AG76&amp;"-P"&amp;MAX(1,AH76),C_CLAVE,0)),""),"")</f>
        <v/>
      </c>
      <c r="T76" s="65" t="str">
        <f aca="false">IF(B76="","",COUNTIFS(C_RUTN,AG76,C_TIPODOC,"Anexo de modificación"))</f>
        <v/>
      </c>
      <c r="U76" s="66" t="str">
        <f aca="false">IF(AND(OR(R76="Plazo fijo",R76="Obra o faena"),O76&lt;&gt;"Desvinculado"),IFERROR(IF(N(INDEX(C_TER,MATCH(AG76&amp;"-P"&amp;MAX(1,AH76),C_CLAVE,0)))=0,"",INDEX(C_TER,MATCH(AG76&amp;"-P"&amp;MAX(1,AH76),C_CLAVE,0))),""),"")</f>
        <v/>
      </c>
      <c r="V76" s="67" t="str">
        <f aca="false">IF(ISNUMBER(U76),U76-FECHA_CORTE,"")</f>
        <v/>
      </c>
      <c r="W76" s="62" t="str">
        <f aca="false">IF(B76="","",IF(O76="Desvinculado","Terminado",IF(N(AI76)=0,"Sin contrato registrado",IF(O76="Por ingresar","Por ingresar",IF(ISNUMBER(AJ76),"Renovación registrada",IF(R76="Indefinido","Indefinido",IF(NOT(ISNUMBER(V76)),"Falta fecha de término",IF(V76&lt;0,"VENCIDO",IF(V76&lt;=ALERTA_ROJA,"Vence en ≤ "&amp;ALERTA_ROJA&amp;" días",IF(V76&lt;=ALERTA_NARANJA,"Vence en ≤ "&amp;ALERTA_NARANJA&amp;" días",IF(V76&lt;=ALERTA_AMARILLA,"Vence en ≤ "&amp;ALERTA_AMARILLA&amp;" días","Vigente")))))))))))</f>
        <v/>
      </c>
      <c r="X76" s="62" t="str">
        <f aca="false">IF(B76="","",IF(W76="Terminado","—",IF(W76="Sin contrato registrado","Registrar su contrato en la hoja Contratos",IF(W76="Por ingresar","Tener el contrato firmado antes del ingreso",IF(W76="Renovación registrada","Siguiente contrato ya registrado: verificar que esté firmado",IF(R76="Indefinido","Sin vencimiento. Cambios de sueldo o cargo: anexo de modificación",IF(W76="Falta fecha de término","Completar la fecha de término en Contratos",IF(W76="VENCIDO","Sigue trabajando con plazo vencido: por ley ya es INDEFINIDO. Firmar anexo de paso a indefinido",IF(R76="Obra o faena","Al terminar la obra: finiquito + 2,5 días de sueldo por mes trabajado",IF(N(S76)&gt;=2,"2° contrato a plazo: NO se puede renovar otra vez a plazo fijo. Pasar a indefinido o terminar al vencer","1er contrato a plazo: renovar (2° contrato), pasar a indefinido o terminar al vencer"))))))))))</f>
        <v/>
      </c>
      <c r="Y76" s="68" t="str">
        <f aca="false">IF(O76&lt;&gt;"Activo","",ROUND(1.25*(DATEDIF(F76,AO76+1,"m")+(AO76+1-EDATE(F76,DATEDIF(F76,AO76+1,"m")))/30),2))</f>
        <v/>
      </c>
      <c r="Z76" s="68" t="str">
        <f aca="false">IF(O76&lt;&gt;"Activo","",N(M76)+SUMIFS(M_VAC,M_RUTN,AG76,M_MES,"&lt;="&amp;FECHA_CORTE))</f>
        <v/>
      </c>
      <c r="AA76" s="68" t="str">
        <f aca="false">IF(O76&lt;&gt;"Activo","",Y76-Z76)</f>
        <v/>
      </c>
      <c r="AB76" s="63" t="str">
        <f aca="false">IF(O76&lt;&gt;"Activo","",ROUND(MAX(0,IF(AA76&lt;=0,0,WORKDAY(FECHA_CORTE,INT(AA76),FERIADOS)-FECHA_CORTE+(AA76-INT(AA76))))*(Q76+N(K76))/30,0))</f>
        <v/>
      </c>
      <c r="AC76" s="65" t="str">
        <f aca="false">IF(O76&lt;&gt;"Activo","",IF(DATEDIF(F76,FECHA_CORTE+1,"y")&lt;1,0,MIN(TOPE_ANIOS,DATEDIF(F76,FECHA_CORTE+1,"y")+IF(EDATE(F76,12*DATEDIF(F76,FECHA_CORTE+1,"y")+6)&lt;FECHA_CORTE+1,1,0))))</f>
        <v/>
      </c>
      <c r="AD76" s="69" t="str">
        <f aca="false">IF(O76&lt;&gt;"Activo","",AB76+IF(R76="Obra o faena",0,ROUND(AL76*AC76,0)+ROUND(AL76,0)))</f>
        <v/>
      </c>
      <c r="AE76" s="69" t="str">
        <f aca="false">IF(O76&lt;&gt;"Activo","",AB76)</f>
        <v/>
      </c>
      <c r="AF76" s="69" t="str">
        <f aca="false">IF(AN76="","",IF(ISNUMBER(AJ76),"",ROUND(MAX(0,IF(AN76&lt;=0,0,WORKDAY(U76,INT(AN76),FERIADOS)-U76+(AN76-INT(AN76))))*(Q76+N(K76))/30,0)+IF(R76="Obra o faena",ROUND(OBRA_DIAS*AL76/30*(DATEDIF(F76,U76+1,"m")+IF(U76+1-EDATE(F76,DATEDIF(F76,U76+1,"m"))&gt;15,1,0)),0),0)))</f>
        <v/>
      </c>
      <c r="AG76" s="62" t="str">
        <f aca="false">IF(B76="","",IFERROR(VALUE(LEFT(UPPER(SUBSTITUTE(SUBSTITUTE(SUBSTITUTE(TRIM(B76),".",""),"-","")," ","")),LEN(UPPER(SUBSTITUTE(SUBSTITUTE(SUBSTITUTE(TRIM(B76),".",""),"-","")," ","")))-1))&amp;RIGHT(UPPER(SUBSTITUTE(SUBSTITUTE(SUBSTITUTE(TRIM(B76),".",""),"-","")," ","")),1),UPPER(SUBSTITUTE(SUBSTITUTE(SUBSTITUTE(TRIM(B76),".",""),"-","")," ",""))))</f>
        <v/>
      </c>
      <c r="AH76" s="62" t="str">
        <f aca="false">IF(B76="","",COUNTIFS(C_RUTN,AG76,C_DEF,"Sí",C_INI,"&lt;="&amp;FECHA_CORTE))</f>
        <v/>
      </c>
      <c r="AI76" s="62" t="str">
        <f aca="false">IF(B76="","",COUNTIFS(C_RUTN,AG76,C_DEF,"Sí"))</f>
        <v/>
      </c>
      <c r="AJ76" s="66" t="str">
        <f aca="false">IF(OR(B76="",N(AI76)&lt;=N(AH76)),"",IFERROR(INDEX(C_INI,MATCH(AG76&amp;"-P"&amp;(AH76+1),C_CLAVE,0)),""))</f>
        <v/>
      </c>
      <c r="AK76" s="63" t="str">
        <f aca="false">IF(O76&lt;&gt;"Activo","",Q76+N(K76)+IF(L76="Sí",MIN(GRAT_PCT*(Q76+N(K76)),GRAT_TOPE),0)+N(I76)+N(J76))</f>
        <v/>
      </c>
      <c r="AL76" s="63" t="str">
        <f aca="false">IF(O76&lt;&gt;"Activo","",MIN(AK76,TOPE_IAS_UF*UF_MES))</f>
        <v/>
      </c>
      <c r="AM76" s="62" t="str">
        <f aca="false">IF(AND(O76="Activo",ISNUMBER(V76),W76&lt;&gt;"Renovación registrada"),V76+ROW()/100000,"")</f>
        <v/>
      </c>
      <c r="AN76" s="70" t="str">
        <f aca="false">IF(OR(O76&lt;&gt;"Activo",NOT(ISNUMBER(U76))),"",IF(U76&lt;FECHA_CORTE,"",1.25*(DATEDIF(F76,U76+1,"m")+(U76+1-EDATE(F76,DATEDIF(F76,U76+1,"m")))/30)-Z76))</f>
        <v/>
      </c>
      <c r="AO76" s="66" t="str">
        <f aca="false">IF(OR(B76="",NOT(ISNUMBER(F76))),"",IF(N(G76)&gt;0,MIN(G76,FECHA_CORTE),FECHA_CORTE))</f>
        <v/>
      </c>
    </row>
    <row r="77" customFormat="false" ht="15" hidden="false" customHeight="false" outlineLevel="0" collapsed="false">
      <c r="B77" s="58"/>
      <c r="C77" s="58"/>
      <c r="D77" s="58"/>
      <c r="E77" s="58"/>
      <c r="F77" s="59"/>
      <c r="G77" s="59"/>
      <c r="H77" s="58"/>
      <c r="I77" s="60"/>
      <c r="J77" s="60"/>
      <c r="K77" s="60"/>
      <c r="L77" s="58"/>
      <c r="M77" s="61"/>
      <c r="N77" s="58"/>
      <c r="O77" s="62" t="str">
        <f aca="false">IF(B77="","",IF(NOT(ISNUMBER(F77)),"⚠ Falta ingreso",IF(F77&gt;FECHA_CORTE,"Por ingresar",IF(G77="","Activo",IF(G77&lt;FECHA_CORTE,"Desvinculado","Activo")))))</f>
        <v/>
      </c>
      <c r="P77" s="62" t="str">
        <f aca="false">IF(OR(B77="",NOT(ISNUMBER(F77))),"",IF(F77&gt;FECHA_CORTE,"",DATEDIF(F77,IF(G77="",FECHA_CORTE,MIN(G77,FECHA_CORTE))+1,"y")&amp;" a "&amp;DATEDIF(F77,IF(G77="",FECHA_CORTE,MIN(G77,FECHA_CORTE))+1,"ym")&amp;" m"))</f>
        <v/>
      </c>
      <c r="Q77" s="63" t="str">
        <f aca="false">IF(B77="","",IFERROR(INDEX(C_SUELDO,MATCH(AG77&amp;"-S"&amp;MAX(1,COUNTIFS(C_RUTN,AG77,C_SUELDO,"&lt;&gt;",C_INI,"&lt;="&amp;FECHA_CORTE)),C_CLAVES,0)),0))</f>
        <v/>
      </c>
      <c r="R77" s="62" t="str">
        <f aca="false">IF(B77="","",IF(N(AI77)=0,"Sin contrato",IFERROR(INDEX(C_TIPO,MATCH(AG77&amp;"-P"&amp;MAX(1,AH77),C_CLAVE,0))&amp;"","")))</f>
        <v/>
      </c>
      <c r="S77" s="64" t="str">
        <f aca="false">IF(R77="Plazo fijo",IFERROR(INDEX(C_NPF,MATCH(AG77&amp;"-P"&amp;MAX(1,AH77),C_CLAVE,0)),""),"")</f>
        <v/>
      </c>
      <c r="T77" s="65" t="str">
        <f aca="false">IF(B77="","",COUNTIFS(C_RUTN,AG77,C_TIPODOC,"Anexo de modificación"))</f>
        <v/>
      </c>
      <c r="U77" s="66" t="str">
        <f aca="false">IF(AND(OR(R77="Plazo fijo",R77="Obra o faena"),O77&lt;&gt;"Desvinculado"),IFERROR(IF(N(INDEX(C_TER,MATCH(AG77&amp;"-P"&amp;MAX(1,AH77),C_CLAVE,0)))=0,"",INDEX(C_TER,MATCH(AG77&amp;"-P"&amp;MAX(1,AH77),C_CLAVE,0))),""),"")</f>
        <v/>
      </c>
      <c r="V77" s="67" t="str">
        <f aca="false">IF(ISNUMBER(U77),U77-FECHA_CORTE,"")</f>
        <v/>
      </c>
      <c r="W77" s="62" t="str">
        <f aca="false">IF(B77="","",IF(O77="Desvinculado","Terminado",IF(N(AI77)=0,"Sin contrato registrado",IF(O77="Por ingresar","Por ingresar",IF(ISNUMBER(AJ77),"Renovación registrada",IF(R77="Indefinido","Indefinido",IF(NOT(ISNUMBER(V77)),"Falta fecha de término",IF(V77&lt;0,"VENCIDO",IF(V77&lt;=ALERTA_ROJA,"Vence en ≤ "&amp;ALERTA_ROJA&amp;" días",IF(V77&lt;=ALERTA_NARANJA,"Vence en ≤ "&amp;ALERTA_NARANJA&amp;" días",IF(V77&lt;=ALERTA_AMARILLA,"Vence en ≤ "&amp;ALERTA_AMARILLA&amp;" días","Vigente")))))))))))</f>
        <v/>
      </c>
      <c r="X77" s="62" t="str">
        <f aca="false">IF(B77="","",IF(W77="Terminado","—",IF(W77="Sin contrato registrado","Registrar su contrato en la hoja Contratos",IF(W77="Por ingresar","Tener el contrato firmado antes del ingreso",IF(W77="Renovación registrada","Siguiente contrato ya registrado: verificar que esté firmado",IF(R77="Indefinido","Sin vencimiento. Cambios de sueldo o cargo: anexo de modificación",IF(W77="Falta fecha de término","Completar la fecha de término en Contratos",IF(W77="VENCIDO","Sigue trabajando con plazo vencido: por ley ya es INDEFINIDO. Firmar anexo de paso a indefinido",IF(R77="Obra o faena","Al terminar la obra: finiquito + 2,5 días de sueldo por mes trabajado",IF(N(S77)&gt;=2,"2° contrato a plazo: NO se puede renovar otra vez a plazo fijo. Pasar a indefinido o terminar al vencer","1er contrato a plazo: renovar (2° contrato), pasar a indefinido o terminar al vencer"))))))))))</f>
        <v/>
      </c>
      <c r="Y77" s="68" t="str">
        <f aca="false">IF(O77&lt;&gt;"Activo","",ROUND(1.25*(DATEDIF(F77,AO77+1,"m")+(AO77+1-EDATE(F77,DATEDIF(F77,AO77+1,"m")))/30),2))</f>
        <v/>
      </c>
      <c r="Z77" s="68" t="str">
        <f aca="false">IF(O77&lt;&gt;"Activo","",N(M77)+SUMIFS(M_VAC,M_RUTN,AG77,M_MES,"&lt;="&amp;FECHA_CORTE))</f>
        <v/>
      </c>
      <c r="AA77" s="68" t="str">
        <f aca="false">IF(O77&lt;&gt;"Activo","",Y77-Z77)</f>
        <v/>
      </c>
      <c r="AB77" s="63" t="str">
        <f aca="false">IF(O77&lt;&gt;"Activo","",ROUND(MAX(0,IF(AA77&lt;=0,0,WORKDAY(FECHA_CORTE,INT(AA77),FERIADOS)-FECHA_CORTE+(AA77-INT(AA77))))*(Q77+N(K77))/30,0))</f>
        <v/>
      </c>
      <c r="AC77" s="65" t="str">
        <f aca="false">IF(O77&lt;&gt;"Activo","",IF(DATEDIF(F77,FECHA_CORTE+1,"y")&lt;1,0,MIN(TOPE_ANIOS,DATEDIF(F77,FECHA_CORTE+1,"y")+IF(EDATE(F77,12*DATEDIF(F77,FECHA_CORTE+1,"y")+6)&lt;FECHA_CORTE+1,1,0))))</f>
        <v/>
      </c>
      <c r="AD77" s="69" t="str">
        <f aca="false">IF(O77&lt;&gt;"Activo","",AB77+IF(R77="Obra o faena",0,ROUND(AL77*AC77,0)+ROUND(AL77,0)))</f>
        <v/>
      </c>
      <c r="AE77" s="69" t="str">
        <f aca="false">IF(O77&lt;&gt;"Activo","",AB77)</f>
        <v/>
      </c>
      <c r="AF77" s="69" t="str">
        <f aca="false">IF(AN77="","",IF(ISNUMBER(AJ77),"",ROUND(MAX(0,IF(AN77&lt;=0,0,WORKDAY(U77,INT(AN77),FERIADOS)-U77+(AN77-INT(AN77))))*(Q77+N(K77))/30,0)+IF(R77="Obra o faena",ROUND(OBRA_DIAS*AL77/30*(DATEDIF(F77,U77+1,"m")+IF(U77+1-EDATE(F77,DATEDIF(F77,U77+1,"m"))&gt;15,1,0)),0),0)))</f>
        <v/>
      </c>
      <c r="AG77" s="62" t="str">
        <f aca="false">IF(B77="","",IFERROR(VALUE(LEFT(UPPER(SUBSTITUTE(SUBSTITUTE(SUBSTITUTE(TRIM(B77),".",""),"-","")," ","")),LEN(UPPER(SUBSTITUTE(SUBSTITUTE(SUBSTITUTE(TRIM(B77),".",""),"-","")," ","")))-1))&amp;RIGHT(UPPER(SUBSTITUTE(SUBSTITUTE(SUBSTITUTE(TRIM(B77),".",""),"-","")," ","")),1),UPPER(SUBSTITUTE(SUBSTITUTE(SUBSTITUTE(TRIM(B77),".",""),"-","")," ",""))))</f>
        <v/>
      </c>
      <c r="AH77" s="62" t="str">
        <f aca="false">IF(B77="","",COUNTIFS(C_RUTN,AG77,C_DEF,"Sí",C_INI,"&lt;="&amp;FECHA_CORTE))</f>
        <v/>
      </c>
      <c r="AI77" s="62" t="str">
        <f aca="false">IF(B77="","",COUNTIFS(C_RUTN,AG77,C_DEF,"Sí"))</f>
        <v/>
      </c>
      <c r="AJ77" s="66" t="str">
        <f aca="false">IF(OR(B77="",N(AI77)&lt;=N(AH77)),"",IFERROR(INDEX(C_INI,MATCH(AG77&amp;"-P"&amp;(AH77+1),C_CLAVE,0)),""))</f>
        <v/>
      </c>
      <c r="AK77" s="63" t="str">
        <f aca="false">IF(O77&lt;&gt;"Activo","",Q77+N(K77)+IF(L77="Sí",MIN(GRAT_PCT*(Q77+N(K77)),GRAT_TOPE),0)+N(I77)+N(J77))</f>
        <v/>
      </c>
      <c r="AL77" s="63" t="str">
        <f aca="false">IF(O77&lt;&gt;"Activo","",MIN(AK77,TOPE_IAS_UF*UF_MES))</f>
        <v/>
      </c>
      <c r="AM77" s="62" t="str">
        <f aca="false">IF(AND(O77="Activo",ISNUMBER(V77),W77&lt;&gt;"Renovación registrada"),V77+ROW()/100000,"")</f>
        <v/>
      </c>
      <c r="AN77" s="70" t="str">
        <f aca="false">IF(OR(O77&lt;&gt;"Activo",NOT(ISNUMBER(U77))),"",IF(U77&lt;FECHA_CORTE,"",1.25*(DATEDIF(F77,U77+1,"m")+(U77+1-EDATE(F77,DATEDIF(F77,U77+1,"m")))/30)-Z77))</f>
        <v/>
      </c>
      <c r="AO77" s="66" t="str">
        <f aca="false">IF(OR(B77="",NOT(ISNUMBER(F77))),"",IF(N(G77)&gt;0,MIN(G77,FECHA_CORTE),FECHA_CORTE))</f>
        <v/>
      </c>
    </row>
    <row r="78" customFormat="false" ht="15" hidden="false" customHeight="false" outlineLevel="0" collapsed="false">
      <c r="B78" s="58"/>
      <c r="C78" s="58"/>
      <c r="D78" s="58"/>
      <c r="E78" s="58"/>
      <c r="F78" s="59"/>
      <c r="G78" s="59"/>
      <c r="H78" s="58"/>
      <c r="I78" s="60"/>
      <c r="J78" s="60"/>
      <c r="K78" s="60"/>
      <c r="L78" s="58"/>
      <c r="M78" s="61"/>
      <c r="N78" s="58"/>
      <c r="O78" s="62" t="str">
        <f aca="false">IF(B78="","",IF(NOT(ISNUMBER(F78)),"⚠ Falta ingreso",IF(F78&gt;FECHA_CORTE,"Por ingresar",IF(G78="","Activo",IF(G78&lt;FECHA_CORTE,"Desvinculado","Activo")))))</f>
        <v/>
      </c>
      <c r="P78" s="62" t="str">
        <f aca="false">IF(OR(B78="",NOT(ISNUMBER(F78))),"",IF(F78&gt;FECHA_CORTE,"",DATEDIF(F78,IF(G78="",FECHA_CORTE,MIN(G78,FECHA_CORTE))+1,"y")&amp;" a "&amp;DATEDIF(F78,IF(G78="",FECHA_CORTE,MIN(G78,FECHA_CORTE))+1,"ym")&amp;" m"))</f>
        <v/>
      </c>
      <c r="Q78" s="63" t="str">
        <f aca="false">IF(B78="","",IFERROR(INDEX(C_SUELDO,MATCH(AG78&amp;"-S"&amp;MAX(1,COUNTIFS(C_RUTN,AG78,C_SUELDO,"&lt;&gt;",C_INI,"&lt;="&amp;FECHA_CORTE)),C_CLAVES,0)),0))</f>
        <v/>
      </c>
      <c r="R78" s="62" t="str">
        <f aca="false">IF(B78="","",IF(N(AI78)=0,"Sin contrato",IFERROR(INDEX(C_TIPO,MATCH(AG78&amp;"-P"&amp;MAX(1,AH78),C_CLAVE,0))&amp;"","")))</f>
        <v/>
      </c>
      <c r="S78" s="64" t="str">
        <f aca="false">IF(R78="Plazo fijo",IFERROR(INDEX(C_NPF,MATCH(AG78&amp;"-P"&amp;MAX(1,AH78),C_CLAVE,0)),""),"")</f>
        <v/>
      </c>
      <c r="T78" s="65" t="str">
        <f aca="false">IF(B78="","",COUNTIFS(C_RUTN,AG78,C_TIPODOC,"Anexo de modificación"))</f>
        <v/>
      </c>
      <c r="U78" s="66" t="str">
        <f aca="false">IF(AND(OR(R78="Plazo fijo",R78="Obra o faena"),O78&lt;&gt;"Desvinculado"),IFERROR(IF(N(INDEX(C_TER,MATCH(AG78&amp;"-P"&amp;MAX(1,AH78),C_CLAVE,0)))=0,"",INDEX(C_TER,MATCH(AG78&amp;"-P"&amp;MAX(1,AH78),C_CLAVE,0))),""),"")</f>
        <v/>
      </c>
      <c r="V78" s="67" t="str">
        <f aca="false">IF(ISNUMBER(U78),U78-FECHA_CORTE,"")</f>
        <v/>
      </c>
      <c r="W78" s="62" t="str">
        <f aca="false">IF(B78="","",IF(O78="Desvinculado","Terminado",IF(N(AI78)=0,"Sin contrato registrado",IF(O78="Por ingresar","Por ingresar",IF(ISNUMBER(AJ78),"Renovación registrada",IF(R78="Indefinido","Indefinido",IF(NOT(ISNUMBER(V78)),"Falta fecha de término",IF(V78&lt;0,"VENCIDO",IF(V78&lt;=ALERTA_ROJA,"Vence en ≤ "&amp;ALERTA_ROJA&amp;" días",IF(V78&lt;=ALERTA_NARANJA,"Vence en ≤ "&amp;ALERTA_NARANJA&amp;" días",IF(V78&lt;=ALERTA_AMARILLA,"Vence en ≤ "&amp;ALERTA_AMARILLA&amp;" días","Vigente")))))))))))</f>
        <v/>
      </c>
      <c r="X78" s="62" t="str">
        <f aca="false">IF(B78="","",IF(W78="Terminado","—",IF(W78="Sin contrato registrado","Registrar su contrato en la hoja Contratos",IF(W78="Por ingresar","Tener el contrato firmado antes del ingreso",IF(W78="Renovación registrada","Siguiente contrato ya registrado: verificar que esté firmado",IF(R78="Indefinido","Sin vencimiento. Cambios de sueldo o cargo: anexo de modificación",IF(W78="Falta fecha de término","Completar la fecha de término en Contratos",IF(W78="VENCIDO","Sigue trabajando con plazo vencido: por ley ya es INDEFINIDO. Firmar anexo de paso a indefinido",IF(R78="Obra o faena","Al terminar la obra: finiquito + 2,5 días de sueldo por mes trabajado",IF(N(S78)&gt;=2,"2° contrato a plazo: NO se puede renovar otra vez a plazo fijo. Pasar a indefinido o terminar al vencer","1er contrato a plazo: renovar (2° contrato), pasar a indefinido o terminar al vencer"))))))))))</f>
        <v/>
      </c>
      <c r="Y78" s="68" t="str">
        <f aca="false">IF(O78&lt;&gt;"Activo","",ROUND(1.25*(DATEDIF(F78,AO78+1,"m")+(AO78+1-EDATE(F78,DATEDIF(F78,AO78+1,"m")))/30),2))</f>
        <v/>
      </c>
      <c r="Z78" s="68" t="str">
        <f aca="false">IF(O78&lt;&gt;"Activo","",N(M78)+SUMIFS(M_VAC,M_RUTN,AG78,M_MES,"&lt;="&amp;FECHA_CORTE))</f>
        <v/>
      </c>
      <c r="AA78" s="68" t="str">
        <f aca="false">IF(O78&lt;&gt;"Activo","",Y78-Z78)</f>
        <v/>
      </c>
      <c r="AB78" s="63" t="str">
        <f aca="false">IF(O78&lt;&gt;"Activo","",ROUND(MAX(0,IF(AA78&lt;=0,0,WORKDAY(FECHA_CORTE,INT(AA78),FERIADOS)-FECHA_CORTE+(AA78-INT(AA78))))*(Q78+N(K78))/30,0))</f>
        <v/>
      </c>
      <c r="AC78" s="65" t="str">
        <f aca="false">IF(O78&lt;&gt;"Activo","",IF(DATEDIF(F78,FECHA_CORTE+1,"y")&lt;1,0,MIN(TOPE_ANIOS,DATEDIF(F78,FECHA_CORTE+1,"y")+IF(EDATE(F78,12*DATEDIF(F78,FECHA_CORTE+1,"y")+6)&lt;FECHA_CORTE+1,1,0))))</f>
        <v/>
      </c>
      <c r="AD78" s="69" t="str">
        <f aca="false">IF(O78&lt;&gt;"Activo","",AB78+IF(R78="Obra o faena",0,ROUND(AL78*AC78,0)+ROUND(AL78,0)))</f>
        <v/>
      </c>
      <c r="AE78" s="69" t="str">
        <f aca="false">IF(O78&lt;&gt;"Activo","",AB78)</f>
        <v/>
      </c>
      <c r="AF78" s="69" t="str">
        <f aca="false">IF(AN78="","",IF(ISNUMBER(AJ78),"",ROUND(MAX(0,IF(AN78&lt;=0,0,WORKDAY(U78,INT(AN78),FERIADOS)-U78+(AN78-INT(AN78))))*(Q78+N(K78))/30,0)+IF(R78="Obra o faena",ROUND(OBRA_DIAS*AL78/30*(DATEDIF(F78,U78+1,"m")+IF(U78+1-EDATE(F78,DATEDIF(F78,U78+1,"m"))&gt;15,1,0)),0),0)))</f>
        <v/>
      </c>
      <c r="AG78" s="62" t="str">
        <f aca="false">IF(B78="","",IFERROR(VALUE(LEFT(UPPER(SUBSTITUTE(SUBSTITUTE(SUBSTITUTE(TRIM(B78),".",""),"-","")," ","")),LEN(UPPER(SUBSTITUTE(SUBSTITUTE(SUBSTITUTE(TRIM(B78),".",""),"-","")," ","")))-1))&amp;RIGHT(UPPER(SUBSTITUTE(SUBSTITUTE(SUBSTITUTE(TRIM(B78),".",""),"-","")," ","")),1),UPPER(SUBSTITUTE(SUBSTITUTE(SUBSTITUTE(TRIM(B78),".",""),"-","")," ",""))))</f>
        <v/>
      </c>
      <c r="AH78" s="62" t="str">
        <f aca="false">IF(B78="","",COUNTIFS(C_RUTN,AG78,C_DEF,"Sí",C_INI,"&lt;="&amp;FECHA_CORTE))</f>
        <v/>
      </c>
      <c r="AI78" s="62" t="str">
        <f aca="false">IF(B78="","",COUNTIFS(C_RUTN,AG78,C_DEF,"Sí"))</f>
        <v/>
      </c>
      <c r="AJ78" s="66" t="str">
        <f aca="false">IF(OR(B78="",N(AI78)&lt;=N(AH78)),"",IFERROR(INDEX(C_INI,MATCH(AG78&amp;"-P"&amp;(AH78+1),C_CLAVE,0)),""))</f>
        <v/>
      </c>
      <c r="AK78" s="63" t="str">
        <f aca="false">IF(O78&lt;&gt;"Activo","",Q78+N(K78)+IF(L78="Sí",MIN(GRAT_PCT*(Q78+N(K78)),GRAT_TOPE),0)+N(I78)+N(J78))</f>
        <v/>
      </c>
      <c r="AL78" s="63" t="str">
        <f aca="false">IF(O78&lt;&gt;"Activo","",MIN(AK78,TOPE_IAS_UF*UF_MES))</f>
        <v/>
      </c>
      <c r="AM78" s="62" t="str">
        <f aca="false">IF(AND(O78="Activo",ISNUMBER(V78),W78&lt;&gt;"Renovación registrada"),V78+ROW()/100000,"")</f>
        <v/>
      </c>
      <c r="AN78" s="70" t="str">
        <f aca="false">IF(OR(O78&lt;&gt;"Activo",NOT(ISNUMBER(U78))),"",IF(U78&lt;FECHA_CORTE,"",1.25*(DATEDIF(F78,U78+1,"m")+(U78+1-EDATE(F78,DATEDIF(F78,U78+1,"m")))/30)-Z78))</f>
        <v/>
      </c>
      <c r="AO78" s="66" t="str">
        <f aca="false">IF(OR(B78="",NOT(ISNUMBER(F78))),"",IF(N(G78)&gt;0,MIN(G78,FECHA_CORTE),FECHA_CORTE))</f>
        <v/>
      </c>
    </row>
    <row r="79" customFormat="false" ht="15" hidden="false" customHeight="false" outlineLevel="0" collapsed="false">
      <c r="B79" s="58"/>
      <c r="C79" s="58"/>
      <c r="D79" s="58"/>
      <c r="E79" s="58"/>
      <c r="F79" s="59"/>
      <c r="G79" s="59"/>
      <c r="H79" s="58"/>
      <c r="I79" s="60"/>
      <c r="J79" s="60"/>
      <c r="K79" s="60"/>
      <c r="L79" s="58"/>
      <c r="M79" s="61"/>
      <c r="N79" s="58"/>
      <c r="O79" s="62" t="str">
        <f aca="false">IF(B79="","",IF(NOT(ISNUMBER(F79)),"⚠ Falta ingreso",IF(F79&gt;FECHA_CORTE,"Por ingresar",IF(G79="","Activo",IF(G79&lt;FECHA_CORTE,"Desvinculado","Activo")))))</f>
        <v/>
      </c>
      <c r="P79" s="62" t="str">
        <f aca="false">IF(OR(B79="",NOT(ISNUMBER(F79))),"",IF(F79&gt;FECHA_CORTE,"",DATEDIF(F79,IF(G79="",FECHA_CORTE,MIN(G79,FECHA_CORTE))+1,"y")&amp;" a "&amp;DATEDIF(F79,IF(G79="",FECHA_CORTE,MIN(G79,FECHA_CORTE))+1,"ym")&amp;" m"))</f>
        <v/>
      </c>
      <c r="Q79" s="63" t="str">
        <f aca="false">IF(B79="","",IFERROR(INDEX(C_SUELDO,MATCH(AG79&amp;"-S"&amp;MAX(1,COUNTIFS(C_RUTN,AG79,C_SUELDO,"&lt;&gt;",C_INI,"&lt;="&amp;FECHA_CORTE)),C_CLAVES,0)),0))</f>
        <v/>
      </c>
      <c r="R79" s="62" t="str">
        <f aca="false">IF(B79="","",IF(N(AI79)=0,"Sin contrato",IFERROR(INDEX(C_TIPO,MATCH(AG79&amp;"-P"&amp;MAX(1,AH79),C_CLAVE,0))&amp;"","")))</f>
        <v/>
      </c>
      <c r="S79" s="64" t="str">
        <f aca="false">IF(R79="Plazo fijo",IFERROR(INDEX(C_NPF,MATCH(AG79&amp;"-P"&amp;MAX(1,AH79),C_CLAVE,0)),""),"")</f>
        <v/>
      </c>
      <c r="T79" s="65" t="str">
        <f aca="false">IF(B79="","",COUNTIFS(C_RUTN,AG79,C_TIPODOC,"Anexo de modificación"))</f>
        <v/>
      </c>
      <c r="U79" s="66" t="str">
        <f aca="false">IF(AND(OR(R79="Plazo fijo",R79="Obra o faena"),O79&lt;&gt;"Desvinculado"),IFERROR(IF(N(INDEX(C_TER,MATCH(AG79&amp;"-P"&amp;MAX(1,AH79),C_CLAVE,0)))=0,"",INDEX(C_TER,MATCH(AG79&amp;"-P"&amp;MAX(1,AH79),C_CLAVE,0))),""),"")</f>
        <v/>
      </c>
      <c r="V79" s="67" t="str">
        <f aca="false">IF(ISNUMBER(U79),U79-FECHA_CORTE,"")</f>
        <v/>
      </c>
      <c r="W79" s="62" t="str">
        <f aca="false">IF(B79="","",IF(O79="Desvinculado","Terminado",IF(N(AI79)=0,"Sin contrato registrado",IF(O79="Por ingresar","Por ingresar",IF(ISNUMBER(AJ79),"Renovación registrada",IF(R79="Indefinido","Indefinido",IF(NOT(ISNUMBER(V79)),"Falta fecha de término",IF(V79&lt;0,"VENCIDO",IF(V79&lt;=ALERTA_ROJA,"Vence en ≤ "&amp;ALERTA_ROJA&amp;" días",IF(V79&lt;=ALERTA_NARANJA,"Vence en ≤ "&amp;ALERTA_NARANJA&amp;" días",IF(V79&lt;=ALERTA_AMARILLA,"Vence en ≤ "&amp;ALERTA_AMARILLA&amp;" días","Vigente")))))))))))</f>
        <v/>
      </c>
      <c r="X79" s="62" t="str">
        <f aca="false">IF(B79="","",IF(W79="Terminado","—",IF(W79="Sin contrato registrado","Registrar su contrato en la hoja Contratos",IF(W79="Por ingresar","Tener el contrato firmado antes del ingreso",IF(W79="Renovación registrada","Siguiente contrato ya registrado: verificar que esté firmado",IF(R79="Indefinido","Sin vencimiento. Cambios de sueldo o cargo: anexo de modificación",IF(W79="Falta fecha de término","Completar la fecha de término en Contratos",IF(W79="VENCIDO","Sigue trabajando con plazo vencido: por ley ya es INDEFINIDO. Firmar anexo de paso a indefinido",IF(R79="Obra o faena","Al terminar la obra: finiquito + 2,5 días de sueldo por mes trabajado",IF(N(S79)&gt;=2,"2° contrato a plazo: NO se puede renovar otra vez a plazo fijo. Pasar a indefinido o terminar al vencer","1er contrato a plazo: renovar (2° contrato), pasar a indefinido o terminar al vencer"))))))))))</f>
        <v/>
      </c>
      <c r="Y79" s="68" t="str">
        <f aca="false">IF(O79&lt;&gt;"Activo","",ROUND(1.25*(DATEDIF(F79,AO79+1,"m")+(AO79+1-EDATE(F79,DATEDIF(F79,AO79+1,"m")))/30),2))</f>
        <v/>
      </c>
      <c r="Z79" s="68" t="str">
        <f aca="false">IF(O79&lt;&gt;"Activo","",N(M79)+SUMIFS(M_VAC,M_RUTN,AG79,M_MES,"&lt;="&amp;FECHA_CORTE))</f>
        <v/>
      </c>
      <c r="AA79" s="68" t="str">
        <f aca="false">IF(O79&lt;&gt;"Activo","",Y79-Z79)</f>
        <v/>
      </c>
      <c r="AB79" s="63" t="str">
        <f aca="false">IF(O79&lt;&gt;"Activo","",ROUND(MAX(0,IF(AA79&lt;=0,0,WORKDAY(FECHA_CORTE,INT(AA79),FERIADOS)-FECHA_CORTE+(AA79-INT(AA79))))*(Q79+N(K79))/30,0))</f>
        <v/>
      </c>
      <c r="AC79" s="65" t="str">
        <f aca="false">IF(O79&lt;&gt;"Activo","",IF(DATEDIF(F79,FECHA_CORTE+1,"y")&lt;1,0,MIN(TOPE_ANIOS,DATEDIF(F79,FECHA_CORTE+1,"y")+IF(EDATE(F79,12*DATEDIF(F79,FECHA_CORTE+1,"y")+6)&lt;FECHA_CORTE+1,1,0))))</f>
        <v/>
      </c>
      <c r="AD79" s="69" t="str">
        <f aca="false">IF(O79&lt;&gt;"Activo","",AB79+IF(R79="Obra o faena",0,ROUND(AL79*AC79,0)+ROUND(AL79,0)))</f>
        <v/>
      </c>
      <c r="AE79" s="69" t="str">
        <f aca="false">IF(O79&lt;&gt;"Activo","",AB79)</f>
        <v/>
      </c>
      <c r="AF79" s="69" t="str">
        <f aca="false">IF(AN79="","",IF(ISNUMBER(AJ79),"",ROUND(MAX(0,IF(AN79&lt;=0,0,WORKDAY(U79,INT(AN79),FERIADOS)-U79+(AN79-INT(AN79))))*(Q79+N(K79))/30,0)+IF(R79="Obra o faena",ROUND(OBRA_DIAS*AL79/30*(DATEDIF(F79,U79+1,"m")+IF(U79+1-EDATE(F79,DATEDIF(F79,U79+1,"m"))&gt;15,1,0)),0),0)))</f>
        <v/>
      </c>
      <c r="AG79" s="62" t="str">
        <f aca="false">IF(B79="","",IFERROR(VALUE(LEFT(UPPER(SUBSTITUTE(SUBSTITUTE(SUBSTITUTE(TRIM(B79),".",""),"-","")," ","")),LEN(UPPER(SUBSTITUTE(SUBSTITUTE(SUBSTITUTE(TRIM(B79),".",""),"-","")," ","")))-1))&amp;RIGHT(UPPER(SUBSTITUTE(SUBSTITUTE(SUBSTITUTE(TRIM(B79),".",""),"-","")," ","")),1),UPPER(SUBSTITUTE(SUBSTITUTE(SUBSTITUTE(TRIM(B79),".",""),"-","")," ",""))))</f>
        <v/>
      </c>
      <c r="AH79" s="62" t="str">
        <f aca="false">IF(B79="","",COUNTIFS(C_RUTN,AG79,C_DEF,"Sí",C_INI,"&lt;="&amp;FECHA_CORTE))</f>
        <v/>
      </c>
      <c r="AI79" s="62" t="str">
        <f aca="false">IF(B79="","",COUNTIFS(C_RUTN,AG79,C_DEF,"Sí"))</f>
        <v/>
      </c>
      <c r="AJ79" s="66" t="str">
        <f aca="false">IF(OR(B79="",N(AI79)&lt;=N(AH79)),"",IFERROR(INDEX(C_INI,MATCH(AG79&amp;"-P"&amp;(AH79+1),C_CLAVE,0)),""))</f>
        <v/>
      </c>
      <c r="AK79" s="63" t="str">
        <f aca="false">IF(O79&lt;&gt;"Activo","",Q79+N(K79)+IF(L79="Sí",MIN(GRAT_PCT*(Q79+N(K79)),GRAT_TOPE),0)+N(I79)+N(J79))</f>
        <v/>
      </c>
      <c r="AL79" s="63" t="str">
        <f aca="false">IF(O79&lt;&gt;"Activo","",MIN(AK79,TOPE_IAS_UF*UF_MES))</f>
        <v/>
      </c>
      <c r="AM79" s="62" t="str">
        <f aca="false">IF(AND(O79="Activo",ISNUMBER(V79),W79&lt;&gt;"Renovación registrada"),V79+ROW()/100000,"")</f>
        <v/>
      </c>
      <c r="AN79" s="70" t="str">
        <f aca="false">IF(OR(O79&lt;&gt;"Activo",NOT(ISNUMBER(U79))),"",IF(U79&lt;FECHA_CORTE,"",1.25*(DATEDIF(F79,U79+1,"m")+(U79+1-EDATE(F79,DATEDIF(F79,U79+1,"m")))/30)-Z79))</f>
        <v/>
      </c>
      <c r="AO79" s="66" t="str">
        <f aca="false">IF(OR(B79="",NOT(ISNUMBER(F79))),"",IF(N(G79)&gt;0,MIN(G79,FECHA_CORTE),FECHA_CORTE))</f>
        <v/>
      </c>
    </row>
    <row r="80" customFormat="false" ht="15" hidden="false" customHeight="false" outlineLevel="0" collapsed="false">
      <c r="B80" s="58"/>
      <c r="C80" s="58"/>
      <c r="D80" s="58"/>
      <c r="E80" s="58"/>
      <c r="F80" s="59"/>
      <c r="G80" s="59"/>
      <c r="H80" s="58"/>
      <c r="I80" s="60"/>
      <c r="J80" s="60"/>
      <c r="K80" s="60"/>
      <c r="L80" s="58"/>
      <c r="M80" s="61"/>
      <c r="N80" s="58"/>
      <c r="O80" s="62" t="str">
        <f aca="false">IF(B80="","",IF(NOT(ISNUMBER(F80)),"⚠ Falta ingreso",IF(F80&gt;FECHA_CORTE,"Por ingresar",IF(G80="","Activo",IF(G80&lt;FECHA_CORTE,"Desvinculado","Activo")))))</f>
        <v/>
      </c>
      <c r="P80" s="62" t="str">
        <f aca="false">IF(OR(B80="",NOT(ISNUMBER(F80))),"",IF(F80&gt;FECHA_CORTE,"",DATEDIF(F80,IF(G80="",FECHA_CORTE,MIN(G80,FECHA_CORTE))+1,"y")&amp;" a "&amp;DATEDIF(F80,IF(G80="",FECHA_CORTE,MIN(G80,FECHA_CORTE))+1,"ym")&amp;" m"))</f>
        <v/>
      </c>
      <c r="Q80" s="63" t="str">
        <f aca="false">IF(B80="","",IFERROR(INDEX(C_SUELDO,MATCH(AG80&amp;"-S"&amp;MAX(1,COUNTIFS(C_RUTN,AG80,C_SUELDO,"&lt;&gt;",C_INI,"&lt;="&amp;FECHA_CORTE)),C_CLAVES,0)),0))</f>
        <v/>
      </c>
      <c r="R80" s="62" t="str">
        <f aca="false">IF(B80="","",IF(N(AI80)=0,"Sin contrato",IFERROR(INDEX(C_TIPO,MATCH(AG80&amp;"-P"&amp;MAX(1,AH80),C_CLAVE,0))&amp;"","")))</f>
        <v/>
      </c>
      <c r="S80" s="64" t="str">
        <f aca="false">IF(R80="Plazo fijo",IFERROR(INDEX(C_NPF,MATCH(AG80&amp;"-P"&amp;MAX(1,AH80),C_CLAVE,0)),""),"")</f>
        <v/>
      </c>
      <c r="T80" s="65" t="str">
        <f aca="false">IF(B80="","",COUNTIFS(C_RUTN,AG80,C_TIPODOC,"Anexo de modificación"))</f>
        <v/>
      </c>
      <c r="U80" s="66" t="str">
        <f aca="false">IF(AND(OR(R80="Plazo fijo",R80="Obra o faena"),O80&lt;&gt;"Desvinculado"),IFERROR(IF(N(INDEX(C_TER,MATCH(AG80&amp;"-P"&amp;MAX(1,AH80),C_CLAVE,0)))=0,"",INDEX(C_TER,MATCH(AG80&amp;"-P"&amp;MAX(1,AH80),C_CLAVE,0))),""),"")</f>
        <v/>
      </c>
      <c r="V80" s="67" t="str">
        <f aca="false">IF(ISNUMBER(U80),U80-FECHA_CORTE,"")</f>
        <v/>
      </c>
      <c r="W80" s="62" t="str">
        <f aca="false">IF(B80="","",IF(O80="Desvinculado","Terminado",IF(N(AI80)=0,"Sin contrato registrado",IF(O80="Por ingresar","Por ingresar",IF(ISNUMBER(AJ80),"Renovación registrada",IF(R80="Indefinido","Indefinido",IF(NOT(ISNUMBER(V80)),"Falta fecha de término",IF(V80&lt;0,"VENCIDO",IF(V80&lt;=ALERTA_ROJA,"Vence en ≤ "&amp;ALERTA_ROJA&amp;" días",IF(V80&lt;=ALERTA_NARANJA,"Vence en ≤ "&amp;ALERTA_NARANJA&amp;" días",IF(V80&lt;=ALERTA_AMARILLA,"Vence en ≤ "&amp;ALERTA_AMARILLA&amp;" días","Vigente")))))))))))</f>
        <v/>
      </c>
      <c r="X80" s="62" t="str">
        <f aca="false">IF(B80="","",IF(W80="Terminado","—",IF(W80="Sin contrato registrado","Registrar su contrato en la hoja Contratos",IF(W80="Por ingresar","Tener el contrato firmado antes del ingreso",IF(W80="Renovación registrada","Siguiente contrato ya registrado: verificar que esté firmado",IF(R80="Indefinido","Sin vencimiento. Cambios de sueldo o cargo: anexo de modificación",IF(W80="Falta fecha de término","Completar la fecha de término en Contratos",IF(W80="VENCIDO","Sigue trabajando con plazo vencido: por ley ya es INDEFINIDO. Firmar anexo de paso a indefinido",IF(R80="Obra o faena","Al terminar la obra: finiquito + 2,5 días de sueldo por mes trabajado",IF(N(S80)&gt;=2,"2° contrato a plazo: NO se puede renovar otra vez a plazo fijo. Pasar a indefinido o terminar al vencer","1er contrato a plazo: renovar (2° contrato), pasar a indefinido o terminar al vencer"))))))))))</f>
        <v/>
      </c>
      <c r="Y80" s="68" t="str">
        <f aca="false">IF(O80&lt;&gt;"Activo","",ROUND(1.25*(DATEDIF(F80,AO80+1,"m")+(AO80+1-EDATE(F80,DATEDIF(F80,AO80+1,"m")))/30),2))</f>
        <v/>
      </c>
      <c r="Z80" s="68" t="str">
        <f aca="false">IF(O80&lt;&gt;"Activo","",N(M80)+SUMIFS(M_VAC,M_RUTN,AG80,M_MES,"&lt;="&amp;FECHA_CORTE))</f>
        <v/>
      </c>
      <c r="AA80" s="68" t="str">
        <f aca="false">IF(O80&lt;&gt;"Activo","",Y80-Z80)</f>
        <v/>
      </c>
      <c r="AB80" s="63" t="str">
        <f aca="false">IF(O80&lt;&gt;"Activo","",ROUND(MAX(0,IF(AA80&lt;=0,0,WORKDAY(FECHA_CORTE,INT(AA80),FERIADOS)-FECHA_CORTE+(AA80-INT(AA80))))*(Q80+N(K80))/30,0))</f>
        <v/>
      </c>
      <c r="AC80" s="65" t="str">
        <f aca="false">IF(O80&lt;&gt;"Activo","",IF(DATEDIF(F80,FECHA_CORTE+1,"y")&lt;1,0,MIN(TOPE_ANIOS,DATEDIF(F80,FECHA_CORTE+1,"y")+IF(EDATE(F80,12*DATEDIF(F80,FECHA_CORTE+1,"y")+6)&lt;FECHA_CORTE+1,1,0))))</f>
        <v/>
      </c>
      <c r="AD80" s="69" t="str">
        <f aca="false">IF(O80&lt;&gt;"Activo","",AB80+IF(R80="Obra o faena",0,ROUND(AL80*AC80,0)+ROUND(AL80,0)))</f>
        <v/>
      </c>
      <c r="AE80" s="69" t="str">
        <f aca="false">IF(O80&lt;&gt;"Activo","",AB80)</f>
        <v/>
      </c>
      <c r="AF80" s="69" t="str">
        <f aca="false">IF(AN80="","",IF(ISNUMBER(AJ80),"",ROUND(MAX(0,IF(AN80&lt;=0,0,WORKDAY(U80,INT(AN80),FERIADOS)-U80+(AN80-INT(AN80))))*(Q80+N(K80))/30,0)+IF(R80="Obra o faena",ROUND(OBRA_DIAS*AL80/30*(DATEDIF(F80,U80+1,"m")+IF(U80+1-EDATE(F80,DATEDIF(F80,U80+1,"m"))&gt;15,1,0)),0),0)))</f>
        <v/>
      </c>
      <c r="AG80" s="62" t="str">
        <f aca="false">IF(B80="","",IFERROR(VALUE(LEFT(UPPER(SUBSTITUTE(SUBSTITUTE(SUBSTITUTE(TRIM(B80),".",""),"-","")," ","")),LEN(UPPER(SUBSTITUTE(SUBSTITUTE(SUBSTITUTE(TRIM(B80),".",""),"-","")," ","")))-1))&amp;RIGHT(UPPER(SUBSTITUTE(SUBSTITUTE(SUBSTITUTE(TRIM(B80),".",""),"-","")," ","")),1),UPPER(SUBSTITUTE(SUBSTITUTE(SUBSTITUTE(TRIM(B80),".",""),"-","")," ",""))))</f>
        <v/>
      </c>
      <c r="AH80" s="62" t="str">
        <f aca="false">IF(B80="","",COUNTIFS(C_RUTN,AG80,C_DEF,"Sí",C_INI,"&lt;="&amp;FECHA_CORTE))</f>
        <v/>
      </c>
      <c r="AI80" s="62" t="str">
        <f aca="false">IF(B80="","",COUNTIFS(C_RUTN,AG80,C_DEF,"Sí"))</f>
        <v/>
      </c>
      <c r="AJ80" s="66" t="str">
        <f aca="false">IF(OR(B80="",N(AI80)&lt;=N(AH80)),"",IFERROR(INDEX(C_INI,MATCH(AG80&amp;"-P"&amp;(AH80+1),C_CLAVE,0)),""))</f>
        <v/>
      </c>
      <c r="AK80" s="63" t="str">
        <f aca="false">IF(O80&lt;&gt;"Activo","",Q80+N(K80)+IF(L80="Sí",MIN(GRAT_PCT*(Q80+N(K80)),GRAT_TOPE),0)+N(I80)+N(J80))</f>
        <v/>
      </c>
      <c r="AL80" s="63" t="str">
        <f aca="false">IF(O80&lt;&gt;"Activo","",MIN(AK80,TOPE_IAS_UF*UF_MES))</f>
        <v/>
      </c>
      <c r="AM80" s="62" t="str">
        <f aca="false">IF(AND(O80="Activo",ISNUMBER(V80),W80&lt;&gt;"Renovación registrada"),V80+ROW()/100000,"")</f>
        <v/>
      </c>
      <c r="AN80" s="70" t="str">
        <f aca="false">IF(OR(O80&lt;&gt;"Activo",NOT(ISNUMBER(U80))),"",IF(U80&lt;FECHA_CORTE,"",1.25*(DATEDIF(F80,U80+1,"m")+(U80+1-EDATE(F80,DATEDIF(F80,U80+1,"m")))/30)-Z80))</f>
        <v/>
      </c>
      <c r="AO80" s="66" t="str">
        <f aca="false">IF(OR(B80="",NOT(ISNUMBER(F80))),"",IF(N(G80)&gt;0,MIN(G80,FECHA_CORTE),FECHA_CORTE))</f>
        <v/>
      </c>
    </row>
    <row r="81" customFormat="false" ht="15" hidden="false" customHeight="false" outlineLevel="0" collapsed="false">
      <c r="B81" s="58"/>
      <c r="C81" s="58"/>
      <c r="D81" s="58"/>
      <c r="E81" s="58"/>
      <c r="F81" s="59"/>
      <c r="G81" s="59"/>
      <c r="H81" s="58"/>
      <c r="I81" s="60"/>
      <c r="J81" s="60"/>
      <c r="K81" s="60"/>
      <c r="L81" s="58"/>
      <c r="M81" s="61"/>
      <c r="N81" s="58"/>
      <c r="O81" s="62" t="str">
        <f aca="false">IF(B81="","",IF(NOT(ISNUMBER(F81)),"⚠ Falta ingreso",IF(F81&gt;FECHA_CORTE,"Por ingresar",IF(G81="","Activo",IF(G81&lt;FECHA_CORTE,"Desvinculado","Activo")))))</f>
        <v/>
      </c>
      <c r="P81" s="62" t="str">
        <f aca="false">IF(OR(B81="",NOT(ISNUMBER(F81))),"",IF(F81&gt;FECHA_CORTE,"",DATEDIF(F81,IF(G81="",FECHA_CORTE,MIN(G81,FECHA_CORTE))+1,"y")&amp;" a "&amp;DATEDIF(F81,IF(G81="",FECHA_CORTE,MIN(G81,FECHA_CORTE))+1,"ym")&amp;" m"))</f>
        <v/>
      </c>
      <c r="Q81" s="63" t="str">
        <f aca="false">IF(B81="","",IFERROR(INDEX(C_SUELDO,MATCH(AG81&amp;"-S"&amp;MAX(1,COUNTIFS(C_RUTN,AG81,C_SUELDO,"&lt;&gt;",C_INI,"&lt;="&amp;FECHA_CORTE)),C_CLAVES,0)),0))</f>
        <v/>
      </c>
      <c r="R81" s="62" t="str">
        <f aca="false">IF(B81="","",IF(N(AI81)=0,"Sin contrato",IFERROR(INDEX(C_TIPO,MATCH(AG81&amp;"-P"&amp;MAX(1,AH81),C_CLAVE,0))&amp;"","")))</f>
        <v/>
      </c>
      <c r="S81" s="64" t="str">
        <f aca="false">IF(R81="Plazo fijo",IFERROR(INDEX(C_NPF,MATCH(AG81&amp;"-P"&amp;MAX(1,AH81),C_CLAVE,0)),""),"")</f>
        <v/>
      </c>
      <c r="T81" s="65" t="str">
        <f aca="false">IF(B81="","",COUNTIFS(C_RUTN,AG81,C_TIPODOC,"Anexo de modificación"))</f>
        <v/>
      </c>
      <c r="U81" s="66" t="str">
        <f aca="false">IF(AND(OR(R81="Plazo fijo",R81="Obra o faena"),O81&lt;&gt;"Desvinculado"),IFERROR(IF(N(INDEX(C_TER,MATCH(AG81&amp;"-P"&amp;MAX(1,AH81),C_CLAVE,0)))=0,"",INDEX(C_TER,MATCH(AG81&amp;"-P"&amp;MAX(1,AH81),C_CLAVE,0))),""),"")</f>
        <v/>
      </c>
      <c r="V81" s="67" t="str">
        <f aca="false">IF(ISNUMBER(U81),U81-FECHA_CORTE,"")</f>
        <v/>
      </c>
      <c r="W81" s="62" t="str">
        <f aca="false">IF(B81="","",IF(O81="Desvinculado","Terminado",IF(N(AI81)=0,"Sin contrato registrado",IF(O81="Por ingresar","Por ingresar",IF(ISNUMBER(AJ81),"Renovación registrada",IF(R81="Indefinido","Indefinido",IF(NOT(ISNUMBER(V81)),"Falta fecha de término",IF(V81&lt;0,"VENCIDO",IF(V81&lt;=ALERTA_ROJA,"Vence en ≤ "&amp;ALERTA_ROJA&amp;" días",IF(V81&lt;=ALERTA_NARANJA,"Vence en ≤ "&amp;ALERTA_NARANJA&amp;" días",IF(V81&lt;=ALERTA_AMARILLA,"Vence en ≤ "&amp;ALERTA_AMARILLA&amp;" días","Vigente")))))))))))</f>
        <v/>
      </c>
      <c r="X81" s="62" t="str">
        <f aca="false">IF(B81="","",IF(W81="Terminado","—",IF(W81="Sin contrato registrado","Registrar su contrato en la hoja Contratos",IF(W81="Por ingresar","Tener el contrato firmado antes del ingreso",IF(W81="Renovación registrada","Siguiente contrato ya registrado: verificar que esté firmado",IF(R81="Indefinido","Sin vencimiento. Cambios de sueldo o cargo: anexo de modificación",IF(W81="Falta fecha de término","Completar la fecha de término en Contratos",IF(W81="VENCIDO","Sigue trabajando con plazo vencido: por ley ya es INDEFINIDO. Firmar anexo de paso a indefinido",IF(R81="Obra o faena","Al terminar la obra: finiquito + 2,5 días de sueldo por mes trabajado",IF(N(S81)&gt;=2,"2° contrato a plazo: NO se puede renovar otra vez a plazo fijo. Pasar a indefinido o terminar al vencer","1er contrato a plazo: renovar (2° contrato), pasar a indefinido o terminar al vencer"))))))))))</f>
        <v/>
      </c>
      <c r="Y81" s="68" t="str">
        <f aca="false">IF(O81&lt;&gt;"Activo","",ROUND(1.25*(DATEDIF(F81,AO81+1,"m")+(AO81+1-EDATE(F81,DATEDIF(F81,AO81+1,"m")))/30),2))</f>
        <v/>
      </c>
      <c r="Z81" s="68" t="str">
        <f aca="false">IF(O81&lt;&gt;"Activo","",N(M81)+SUMIFS(M_VAC,M_RUTN,AG81,M_MES,"&lt;="&amp;FECHA_CORTE))</f>
        <v/>
      </c>
      <c r="AA81" s="68" t="str">
        <f aca="false">IF(O81&lt;&gt;"Activo","",Y81-Z81)</f>
        <v/>
      </c>
      <c r="AB81" s="63" t="str">
        <f aca="false">IF(O81&lt;&gt;"Activo","",ROUND(MAX(0,IF(AA81&lt;=0,0,WORKDAY(FECHA_CORTE,INT(AA81),FERIADOS)-FECHA_CORTE+(AA81-INT(AA81))))*(Q81+N(K81))/30,0))</f>
        <v/>
      </c>
      <c r="AC81" s="65" t="str">
        <f aca="false">IF(O81&lt;&gt;"Activo","",IF(DATEDIF(F81,FECHA_CORTE+1,"y")&lt;1,0,MIN(TOPE_ANIOS,DATEDIF(F81,FECHA_CORTE+1,"y")+IF(EDATE(F81,12*DATEDIF(F81,FECHA_CORTE+1,"y")+6)&lt;FECHA_CORTE+1,1,0))))</f>
        <v/>
      </c>
      <c r="AD81" s="69" t="str">
        <f aca="false">IF(O81&lt;&gt;"Activo","",AB81+IF(R81="Obra o faena",0,ROUND(AL81*AC81,0)+ROUND(AL81,0)))</f>
        <v/>
      </c>
      <c r="AE81" s="69" t="str">
        <f aca="false">IF(O81&lt;&gt;"Activo","",AB81)</f>
        <v/>
      </c>
      <c r="AF81" s="69" t="str">
        <f aca="false">IF(AN81="","",IF(ISNUMBER(AJ81),"",ROUND(MAX(0,IF(AN81&lt;=0,0,WORKDAY(U81,INT(AN81),FERIADOS)-U81+(AN81-INT(AN81))))*(Q81+N(K81))/30,0)+IF(R81="Obra o faena",ROUND(OBRA_DIAS*AL81/30*(DATEDIF(F81,U81+1,"m")+IF(U81+1-EDATE(F81,DATEDIF(F81,U81+1,"m"))&gt;15,1,0)),0),0)))</f>
        <v/>
      </c>
      <c r="AG81" s="62" t="str">
        <f aca="false">IF(B81="","",IFERROR(VALUE(LEFT(UPPER(SUBSTITUTE(SUBSTITUTE(SUBSTITUTE(TRIM(B81),".",""),"-","")," ","")),LEN(UPPER(SUBSTITUTE(SUBSTITUTE(SUBSTITUTE(TRIM(B81),".",""),"-","")," ","")))-1))&amp;RIGHT(UPPER(SUBSTITUTE(SUBSTITUTE(SUBSTITUTE(TRIM(B81),".",""),"-","")," ","")),1),UPPER(SUBSTITUTE(SUBSTITUTE(SUBSTITUTE(TRIM(B81),".",""),"-","")," ",""))))</f>
        <v/>
      </c>
      <c r="AH81" s="62" t="str">
        <f aca="false">IF(B81="","",COUNTIFS(C_RUTN,AG81,C_DEF,"Sí",C_INI,"&lt;="&amp;FECHA_CORTE))</f>
        <v/>
      </c>
      <c r="AI81" s="62" t="str">
        <f aca="false">IF(B81="","",COUNTIFS(C_RUTN,AG81,C_DEF,"Sí"))</f>
        <v/>
      </c>
      <c r="AJ81" s="66" t="str">
        <f aca="false">IF(OR(B81="",N(AI81)&lt;=N(AH81)),"",IFERROR(INDEX(C_INI,MATCH(AG81&amp;"-P"&amp;(AH81+1),C_CLAVE,0)),""))</f>
        <v/>
      </c>
      <c r="AK81" s="63" t="str">
        <f aca="false">IF(O81&lt;&gt;"Activo","",Q81+N(K81)+IF(L81="Sí",MIN(GRAT_PCT*(Q81+N(K81)),GRAT_TOPE),0)+N(I81)+N(J81))</f>
        <v/>
      </c>
      <c r="AL81" s="63" t="str">
        <f aca="false">IF(O81&lt;&gt;"Activo","",MIN(AK81,TOPE_IAS_UF*UF_MES))</f>
        <v/>
      </c>
      <c r="AM81" s="62" t="str">
        <f aca="false">IF(AND(O81="Activo",ISNUMBER(V81),W81&lt;&gt;"Renovación registrada"),V81+ROW()/100000,"")</f>
        <v/>
      </c>
      <c r="AN81" s="70" t="str">
        <f aca="false">IF(OR(O81&lt;&gt;"Activo",NOT(ISNUMBER(U81))),"",IF(U81&lt;FECHA_CORTE,"",1.25*(DATEDIF(F81,U81+1,"m")+(U81+1-EDATE(F81,DATEDIF(F81,U81+1,"m")))/30)-Z81))</f>
        <v/>
      </c>
      <c r="AO81" s="66" t="str">
        <f aca="false">IF(OR(B81="",NOT(ISNUMBER(F81))),"",IF(N(G81)&gt;0,MIN(G81,FECHA_CORTE),FECHA_CORTE))</f>
        <v/>
      </c>
    </row>
    <row r="82" customFormat="false" ht="15" hidden="false" customHeight="false" outlineLevel="0" collapsed="false">
      <c r="B82" s="58"/>
      <c r="C82" s="58"/>
      <c r="D82" s="58"/>
      <c r="E82" s="58"/>
      <c r="F82" s="59"/>
      <c r="G82" s="59"/>
      <c r="H82" s="58"/>
      <c r="I82" s="60"/>
      <c r="J82" s="60"/>
      <c r="K82" s="60"/>
      <c r="L82" s="58"/>
      <c r="M82" s="61"/>
      <c r="N82" s="58"/>
      <c r="O82" s="62" t="str">
        <f aca="false">IF(B82="","",IF(NOT(ISNUMBER(F82)),"⚠ Falta ingreso",IF(F82&gt;FECHA_CORTE,"Por ingresar",IF(G82="","Activo",IF(G82&lt;FECHA_CORTE,"Desvinculado","Activo")))))</f>
        <v/>
      </c>
      <c r="P82" s="62" t="str">
        <f aca="false">IF(OR(B82="",NOT(ISNUMBER(F82))),"",IF(F82&gt;FECHA_CORTE,"",DATEDIF(F82,IF(G82="",FECHA_CORTE,MIN(G82,FECHA_CORTE))+1,"y")&amp;" a "&amp;DATEDIF(F82,IF(G82="",FECHA_CORTE,MIN(G82,FECHA_CORTE))+1,"ym")&amp;" m"))</f>
        <v/>
      </c>
      <c r="Q82" s="63" t="str">
        <f aca="false">IF(B82="","",IFERROR(INDEX(C_SUELDO,MATCH(AG82&amp;"-S"&amp;MAX(1,COUNTIFS(C_RUTN,AG82,C_SUELDO,"&lt;&gt;",C_INI,"&lt;="&amp;FECHA_CORTE)),C_CLAVES,0)),0))</f>
        <v/>
      </c>
      <c r="R82" s="62" t="str">
        <f aca="false">IF(B82="","",IF(N(AI82)=0,"Sin contrato",IFERROR(INDEX(C_TIPO,MATCH(AG82&amp;"-P"&amp;MAX(1,AH82),C_CLAVE,0))&amp;"","")))</f>
        <v/>
      </c>
      <c r="S82" s="64" t="str">
        <f aca="false">IF(R82="Plazo fijo",IFERROR(INDEX(C_NPF,MATCH(AG82&amp;"-P"&amp;MAX(1,AH82),C_CLAVE,0)),""),"")</f>
        <v/>
      </c>
      <c r="T82" s="65" t="str">
        <f aca="false">IF(B82="","",COUNTIFS(C_RUTN,AG82,C_TIPODOC,"Anexo de modificación"))</f>
        <v/>
      </c>
      <c r="U82" s="66" t="str">
        <f aca="false">IF(AND(OR(R82="Plazo fijo",R82="Obra o faena"),O82&lt;&gt;"Desvinculado"),IFERROR(IF(N(INDEX(C_TER,MATCH(AG82&amp;"-P"&amp;MAX(1,AH82),C_CLAVE,0)))=0,"",INDEX(C_TER,MATCH(AG82&amp;"-P"&amp;MAX(1,AH82),C_CLAVE,0))),""),"")</f>
        <v/>
      </c>
      <c r="V82" s="67" t="str">
        <f aca="false">IF(ISNUMBER(U82),U82-FECHA_CORTE,"")</f>
        <v/>
      </c>
      <c r="W82" s="62" t="str">
        <f aca="false">IF(B82="","",IF(O82="Desvinculado","Terminado",IF(N(AI82)=0,"Sin contrato registrado",IF(O82="Por ingresar","Por ingresar",IF(ISNUMBER(AJ82),"Renovación registrada",IF(R82="Indefinido","Indefinido",IF(NOT(ISNUMBER(V82)),"Falta fecha de término",IF(V82&lt;0,"VENCIDO",IF(V82&lt;=ALERTA_ROJA,"Vence en ≤ "&amp;ALERTA_ROJA&amp;" días",IF(V82&lt;=ALERTA_NARANJA,"Vence en ≤ "&amp;ALERTA_NARANJA&amp;" días",IF(V82&lt;=ALERTA_AMARILLA,"Vence en ≤ "&amp;ALERTA_AMARILLA&amp;" días","Vigente")))))))))))</f>
        <v/>
      </c>
      <c r="X82" s="62" t="str">
        <f aca="false">IF(B82="","",IF(W82="Terminado","—",IF(W82="Sin contrato registrado","Registrar su contrato en la hoja Contratos",IF(W82="Por ingresar","Tener el contrato firmado antes del ingreso",IF(W82="Renovación registrada","Siguiente contrato ya registrado: verificar que esté firmado",IF(R82="Indefinido","Sin vencimiento. Cambios de sueldo o cargo: anexo de modificación",IF(W82="Falta fecha de término","Completar la fecha de término en Contratos",IF(W82="VENCIDO","Sigue trabajando con plazo vencido: por ley ya es INDEFINIDO. Firmar anexo de paso a indefinido",IF(R82="Obra o faena","Al terminar la obra: finiquito + 2,5 días de sueldo por mes trabajado",IF(N(S82)&gt;=2,"2° contrato a plazo: NO se puede renovar otra vez a plazo fijo. Pasar a indefinido o terminar al vencer","1er contrato a plazo: renovar (2° contrato), pasar a indefinido o terminar al vencer"))))))))))</f>
        <v/>
      </c>
      <c r="Y82" s="68" t="str">
        <f aca="false">IF(O82&lt;&gt;"Activo","",ROUND(1.25*(DATEDIF(F82,AO82+1,"m")+(AO82+1-EDATE(F82,DATEDIF(F82,AO82+1,"m")))/30),2))</f>
        <v/>
      </c>
      <c r="Z82" s="68" t="str">
        <f aca="false">IF(O82&lt;&gt;"Activo","",N(M82)+SUMIFS(M_VAC,M_RUTN,AG82,M_MES,"&lt;="&amp;FECHA_CORTE))</f>
        <v/>
      </c>
      <c r="AA82" s="68" t="str">
        <f aca="false">IF(O82&lt;&gt;"Activo","",Y82-Z82)</f>
        <v/>
      </c>
      <c r="AB82" s="63" t="str">
        <f aca="false">IF(O82&lt;&gt;"Activo","",ROUND(MAX(0,IF(AA82&lt;=0,0,WORKDAY(FECHA_CORTE,INT(AA82),FERIADOS)-FECHA_CORTE+(AA82-INT(AA82))))*(Q82+N(K82))/30,0))</f>
        <v/>
      </c>
      <c r="AC82" s="65" t="str">
        <f aca="false">IF(O82&lt;&gt;"Activo","",IF(DATEDIF(F82,FECHA_CORTE+1,"y")&lt;1,0,MIN(TOPE_ANIOS,DATEDIF(F82,FECHA_CORTE+1,"y")+IF(EDATE(F82,12*DATEDIF(F82,FECHA_CORTE+1,"y")+6)&lt;FECHA_CORTE+1,1,0))))</f>
        <v/>
      </c>
      <c r="AD82" s="69" t="str">
        <f aca="false">IF(O82&lt;&gt;"Activo","",AB82+IF(R82="Obra o faena",0,ROUND(AL82*AC82,0)+ROUND(AL82,0)))</f>
        <v/>
      </c>
      <c r="AE82" s="69" t="str">
        <f aca="false">IF(O82&lt;&gt;"Activo","",AB82)</f>
        <v/>
      </c>
      <c r="AF82" s="69" t="str">
        <f aca="false">IF(AN82="","",IF(ISNUMBER(AJ82),"",ROUND(MAX(0,IF(AN82&lt;=0,0,WORKDAY(U82,INT(AN82),FERIADOS)-U82+(AN82-INT(AN82))))*(Q82+N(K82))/30,0)+IF(R82="Obra o faena",ROUND(OBRA_DIAS*AL82/30*(DATEDIF(F82,U82+1,"m")+IF(U82+1-EDATE(F82,DATEDIF(F82,U82+1,"m"))&gt;15,1,0)),0),0)))</f>
        <v/>
      </c>
      <c r="AG82" s="62" t="str">
        <f aca="false">IF(B82="","",IFERROR(VALUE(LEFT(UPPER(SUBSTITUTE(SUBSTITUTE(SUBSTITUTE(TRIM(B82),".",""),"-","")," ","")),LEN(UPPER(SUBSTITUTE(SUBSTITUTE(SUBSTITUTE(TRIM(B82),".",""),"-","")," ","")))-1))&amp;RIGHT(UPPER(SUBSTITUTE(SUBSTITUTE(SUBSTITUTE(TRIM(B82),".",""),"-","")," ","")),1),UPPER(SUBSTITUTE(SUBSTITUTE(SUBSTITUTE(TRIM(B82),".",""),"-","")," ",""))))</f>
        <v/>
      </c>
      <c r="AH82" s="62" t="str">
        <f aca="false">IF(B82="","",COUNTIFS(C_RUTN,AG82,C_DEF,"Sí",C_INI,"&lt;="&amp;FECHA_CORTE))</f>
        <v/>
      </c>
      <c r="AI82" s="62" t="str">
        <f aca="false">IF(B82="","",COUNTIFS(C_RUTN,AG82,C_DEF,"Sí"))</f>
        <v/>
      </c>
      <c r="AJ82" s="66" t="str">
        <f aca="false">IF(OR(B82="",N(AI82)&lt;=N(AH82)),"",IFERROR(INDEX(C_INI,MATCH(AG82&amp;"-P"&amp;(AH82+1),C_CLAVE,0)),""))</f>
        <v/>
      </c>
      <c r="AK82" s="63" t="str">
        <f aca="false">IF(O82&lt;&gt;"Activo","",Q82+N(K82)+IF(L82="Sí",MIN(GRAT_PCT*(Q82+N(K82)),GRAT_TOPE),0)+N(I82)+N(J82))</f>
        <v/>
      </c>
      <c r="AL82" s="63" t="str">
        <f aca="false">IF(O82&lt;&gt;"Activo","",MIN(AK82,TOPE_IAS_UF*UF_MES))</f>
        <v/>
      </c>
      <c r="AM82" s="62" t="str">
        <f aca="false">IF(AND(O82="Activo",ISNUMBER(V82),W82&lt;&gt;"Renovación registrada"),V82+ROW()/100000,"")</f>
        <v/>
      </c>
      <c r="AN82" s="70" t="str">
        <f aca="false">IF(OR(O82&lt;&gt;"Activo",NOT(ISNUMBER(U82))),"",IF(U82&lt;FECHA_CORTE,"",1.25*(DATEDIF(F82,U82+1,"m")+(U82+1-EDATE(F82,DATEDIF(F82,U82+1,"m")))/30)-Z82))</f>
        <v/>
      </c>
      <c r="AO82" s="66" t="str">
        <f aca="false">IF(OR(B82="",NOT(ISNUMBER(F82))),"",IF(N(G82)&gt;0,MIN(G82,FECHA_CORTE),FECHA_CORTE))</f>
        <v/>
      </c>
    </row>
    <row r="83" customFormat="false" ht="15" hidden="false" customHeight="false" outlineLevel="0" collapsed="false">
      <c r="B83" s="58"/>
      <c r="C83" s="58"/>
      <c r="D83" s="58"/>
      <c r="E83" s="58"/>
      <c r="F83" s="59"/>
      <c r="G83" s="59"/>
      <c r="H83" s="58"/>
      <c r="I83" s="60"/>
      <c r="J83" s="60"/>
      <c r="K83" s="60"/>
      <c r="L83" s="58"/>
      <c r="M83" s="61"/>
      <c r="N83" s="58"/>
      <c r="O83" s="62" t="str">
        <f aca="false">IF(B83="","",IF(NOT(ISNUMBER(F83)),"⚠ Falta ingreso",IF(F83&gt;FECHA_CORTE,"Por ingresar",IF(G83="","Activo",IF(G83&lt;FECHA_CORTE,"Desvinculado","Activo")))))</f>
        <v/>
      </c>
      <c r="P83" s="62" t="str">
        <f aca="false">IF(OR(B83="",NOT(ISNUMBER(F83))),"",IF(F83&gt;FECHA_CORTE,"",DATEDIF(F83,IF(G83="",FECHA_CORTE,MIN(G83,FECHA_CORTE))+1,"y")&amp;" a "&amp;DATEDIF(F83,IF(G83="",FECHA_CORTE,MIN(G83,FECHA_CORTE))+1,"ym")&amp;" m"))</f>
        <v/>
      </c>
      <c r="Q83" s="63" t="str">
        <f aca="false">IF(B83="","",IFERROR(INDEX(C_SUELDO,MATCH(AG83&amp;"-S"&amp;MAX(1,COUNTIFS(C_RUTN,AG83,C_SUELDO,"&lt;&gt;",C_INI,"&lt;="&amp;FECHA_CORTE)),C_CLAVES,0)),0))</f>
        <v/>
      </c>
      <c r="R83" s="62" t="str">
        <f aca="false">IF(B83="","",IF(N(AI83)=0,"Sin contrato",IFERROR(INDEX(C_TIPO,MATCH(AG83&amp;"-P"&amp;MAX(1,AH83),C_CLAVE,0))&amp;"","")))</f>
        <v/>
      </c>
      <c r="S83" s="64" t="str">
        <f aca="false">IF(R83="Plazo fijo",IFERROR(INDEX(C_NPF,MATCH(AG83&amp;"-P"&amp;MAX(1,AH83),C_CLAVE,0)),""),"")</f>
        <v/>
      </c>
      <c r="T83" s="65" t="str">
        <f aca="false">IF(B83="","",COUNTIFS(C_RUTN,AG83,C_TIPODOC,"Anexo de modificación"))</f>
        <v/>
      </c>
      <c r="U83" s="66" t="str">
        <f aca="false">IF(AND(OR(R83="Plazo fijo",R83="Obra o faena"),O83&lt;&gt;"Desvinculado"),IFERROR(IF(N(INDEX(C_TER,MATCH(AG83&amp;"-P"&amp;MAX(1,AH83),C_CLAVE,0)))=0,"",INDEX(C_TER,MATCH(AG83&amp;"-P"&amp;MAX(1,AH83),C_CLAVE,0))),""),"")</f>
        <v/>
      </c>
      <c r="V83" s="67" t="str">
        <f aca="false">IF(ISNUMBER(U83),U83-FECHA_CORTE,"")</f>
        <v/>
      </c>
      <c r="W83" s="62" t="str">
        <f aca="false">IF(B83="","",IF(O83="Desvinculado","Terminado",IF(N(AI83)=0,"Sin contrato registrado",IF(O83="Por ingresar","Por ingresar",IF(ISNUMBER(AJ83),"Renovación registrada",IF(R83="Indefinido","Indefinido",IF(NOT(ISNUMBER(V83)),"Falta fecha de término",IF(V83&lt;0,"VENCIDO",IF(V83&lt;=ALERTA_ROJA,"Vence en ≤ "&amp;ALERTA_ROJA&amp;" días",IF(V83&lt;=ALERTA_NARANJA,"Vence en ≤ "&amp;ALERTA_NARANJA&amp;" días",IF(V83&lt;=ALERTA_AMARILLA,"Vence en ≤ "&amp;ALERTA_AMARILLA&amp;" días","Vigente")))))))))))</f>
        <v/>
      </c>
      <c r="X83" s="62" t="str">
        <f aca="false">IF(B83="","",IF(W83="Terminado","—",IF(W83="Sin contrato registrado","Registrar su contrato en la hoja Contratos",IF(W83="Por ingresar","Tener el contrato firmado antes del ingreso",IF(W83="Renovación registrada","Siguiente contrato ya registrado: verificar que esté firmado",IF(R83="Indefinido","Sin vencimiento. Cambios de sueldo o cargo: anexo de modificación",IF(W83="Falta fecha de término","Completar la fecha de término en Contratos",IF(W83="VENCIDO","Sigue trabajando con plazo vencido: por ley ya es INDEFINIDO. Firmar anexo de paso a indefinido",IF(R83="Obra o faena","Al terminar la obra: finiquito + 2,5 días de sueldo por mes trabajado",IF(N(S83)&gt;=2,"2° contrato a plazo: NO se puede renovar otra vez a plazo fijo. Pasar a indefinido o terminar al vencer","1er contrato a plazo: renovar (2° contrato), pasar a indefinido o terminar al vencer"))))))))))</f>
        <v/>
      </c>
      <c r="Y83" s="68" t="str">
        <f aca="false">IF(O83&lt;&gt;"Activo","",ROUND(1.25*(DATEDIF(F83,AO83+1,"m")+(AO83+1-EDATE(F83,DATEDIF(F83,AO83+1,"m")))/30),2))</f>
        <v/>
      </c>
      <c r="Z83" s="68" t="str">
        <f aca="false">IF(O83&lt;&gt;"Activo","",N(M83)+SUMIFS(M_VAC,M_RUTN,AG83,M_MES,"&lt;="&amp;FECHA_CORTE))</f>
        <v/>
      </c>
      <c r="AA83" s="68" t="str">
        <f aca="false">IF(O83&lt;&gt;"Activo","",Y83-Z83)</f>
        <v/>
      </c>
      <c r="AB83" s="63" t="str">
        <f aca="false">IF(O83&lt;&gt;"Activo","",ROUND(MAX(0,IF(AA83&lt;=0,0,WORKDAY(FECHA_CORTE,INT(AA83),FERIADOS)-FECHA_CORTE+(AA83-INT(AA83))))*(Q83+N(K83))/30,0))</f>
        <v/>
      </c>
      <c r="AC83" s="65" t="str">
        <f aca="false">IF(O83&lt;&gt;"Activo","",IF(DATEDIF(F83,FECHA_CORTE+1,"y")&lt;1,0,MIN(TOPE_ANIOS,DATEDIF(F83,FECHA_CORTE+1,"y")+IF(EDATE(F83,12*DATEDIF(F83,FECHA_CORTE+1,"y")+6)&lt;FECHA_CORTE+1,1,0))))</f>
        <v/>
      </c>
      <c r="AD83" s="69" t="str">
        <f aca="false">IF(O83&lt;&gt;"Activo","",AB83+IF(R83="Obra o faena",0,ROUND(AL83*AC83,0)+ROUND(AL83,0)))</f>
        <v/>
      </c>
      <c r="AE83" s="69" t="str">
        <f aca="false">IF(O83&lt;&gt;"Activo","",AB83)</f>
        <v/>
      </c>
      <c r="AF83" s="69" t="str">
        <f aca="false">IF(AN83="","",IF(ISNUMBER(AJ83),"",ROUND(MAX(0,IF(AN83&lt;=0,0,WORKDAY(U83,INT(AN83),FERIADOS)-U83+(AN83-INT(AN83))))*(Q83+N(K83))/30,0)+IF(R83="Obra o faena",ROUND(OBRA_DIAS*AL83/30*(DATEDIF(F83,U83+1,"m")+IF(U83+1-EDATE(F83,DATEDIF(F83,U83+1,"m"))&gt;15,1,0)),0),0)))</f>
        <v/>
      </c>
      <c r="AG83" s="62" t="str">
        <f aca="false">IF(B83="","",IFERROR(VALUE(LEFT(UPPER(SUBSTITUTE(SUBSTITUTE(SUBSTITUTE(TRIM(B83),".",""),"-","")," ","")),LEN(UPPER(SUBSTITUTE(SUBSTITUTE(SUBSTITUTE(TRIM(B83),".",""),"-","")," ","")))-1))&amp;RIGHT(UPPER(SUBSTITUTE(SUBSTITUTE(SUBSTITUTE(TRIM(B83),".",""),"-","")," ","")),1),UPPER(SUBSTITUTE(SUBSTITUTE(SUBSTITUTE(TRIM(B83),".",""),"-","")," ",""))))</f>
        <v/>
      </c>
      <c r="AH83" s="62" t="str">
        <f aca="false">IF(B83="","",COUNTIFS(C_RUTN,AG83,C_DEF,"Sí",C_INI,"&lt;="&amp;FECHA_CORTE))</f>
        <v/>
      </c>
      <c r="AI83" s="62" t="str">
        <f aca="false">IF(B83="","",COUNTIFS(C_RUTN,AG83,C_DEF,"Sí"))</f>
        <v/>
      </c>
      <c r="AJ83" s="66" t="str">
        <f aca="false">IF(OR(B83="",N(AI83)&lt;=N(AH83)),"",IFERROR(INDEX(C_INI,MATCH(AG83&amp;"-P"&amp;(AH83+1),C_CLAVE,0)),""))</f>
        <v/>
      </c>
      <c r="AK83" s="63" t="str">
        <f aca="false">IF(O83&lt;&gt;"Activo","",Q83+N(K83)+IF(L83="Sí",MIN(GRAT_PCT*(Q83+N(K83)),GRAT_TOPE),0)+N(I83)+N(J83))</f>
        <v/>
      </c>
      <c r="AL83" s="63" t="str">
        <f aca="false">IF(O83&lt;&gt;"Activo","",MIN(AK83,TOPE_IAS_UF*UF_MES))</f>
        <v/>
      </c>
      <c r="AM83" s="62" t="str">
        <f aca="false">IF(AND(O83="Activo",ISNUMBER(V83),W83&lt;&gt;"Renovación registrada"),V83+ROW()/100000,"")</f>
        <v/>
      </c>
      <c r="AN83" s="70" t="str">
        <f aca="false">IF(OR(O83&lt;&gt;"Activo",NOT(ISNUMBER(U83))),"",IF(U83&lt;FECHA_CORTE,"",1.25*(DATEDIF(F83,U83+1,"m")+(U83+1-EDATE(F83,DATEDIF(F83,U83+1,"m")))/30)-Z83))</f>
        <v/>
      </c>
      <c r="AO83" s="66" t="str">
        <f aca="false">IF(OR(B83="",NOT(ISNUMBER(F83))),"",IF(N(G83)&gt;0,MIN(G83,FECHA_CORTE),FECHA_CORTE))</f>
        <v/>
      </c>
    </row>
    <row r="84" customFormat="false" ht="15" hidden="false" customHeight="false" outlineLevel="0" collapsed="false">
      <c r="B84" s="58"/>
      <c r="C84" s="58"/>
      <c r="D84" s="58"/>
      <c r="E84" s="58"/>
      <c r="F84" s="59"/>
      <c r="G84" s="59"/>
      <c r="H84" s="58"/>
      <c r="I84" s="60"/>
      <c r="J84" s="60"/>
      <c r="K84" s="60"/>
      <c r="L84" s="58"/>
      <c r="M84" s="61"/>
      <c r="N84" s="58"/>
      <c r="O84" s="62" t="str">
        <f aca="false">IF(B84="","",IF(NOT(ISNUMBER(F84)),"⚠ Falta ingreso",IF(F84&gt;FECHA_CORTE,"Por ingresar",IF(G84="","Activo",IF(G84&lt;FECHA_CORTE,"Desvinculado","Activo")))))</f>
        <v/>
      </c>
      <c r="P84" s="62" t="str">
        <f aca="false">IF(OR(B84="",NOT(ISNUMBER(F84))),"",IF(F84&gt;FECHA_CORTE,"",DATEDIF(F84,IF(G84="",FECHA_CORTE,MIN(G84,FECHA_CORTE))+1,"y")&amp;" a "&amp;DATEDIF(F84,IF(G84="",FECHA_CORTE,MIN(G84,FECHA_CORTE))+1,"ym")&amp;" m"))</f>
        <v/>
      </c>
      <c r="Q84" s="63" t="str">
        <f aca="false">IF(B84="","",IFERROR(INDEX(C_SUELDO,MATCH(AG84&amp;"-S"&amp;MAX(1,COUNTIFS(C_RUTN,AG84,C_SUELDO,"&lt;&gt;",C_INI,"&lt;="&amp;FECHA_CORTE)),C_CLAVES,0)),0))</f>
        <v/>
      </c>
      <c r="R84" s="62" t="str">
        <f aca="false">IF(B84="","",IF(N(AI84)=0,"Sin contrato",IFERROR(INDEX(C_TIPO,MATCH(AG84&amp;"-P"&amp;MAX(1,AH84),C_CLAVE,0))&amp;"","")))</f>
        <v/>
      </c>
      <c r="S84" s="64" t="str">
        <f aca="false">IF(R84="Plazo fijo",IFERROR(INDEX(C_NPF,MATCH(AG84&amp;"-P"&amp;MAX(1,AH84),C_CLAVE,0)),""),"")</f>
        <v/>
      </c>
      <c r="T84" s="65" t="str">
        <f aca="false">IF(B84="","",COUNTIFS(C_RUTN,AG84,C_TIPODOC,"Anexo de modificación"))</f>
        <v/>
      </c>
      <c r="U84" s="66" t="str">
        <f aca="false">IF(AND(OR(R84="Plazo fijo",R84="Obra o faena"),O84&lt;&gt;"Desvinculado"),IFERROR(IF(N(INDEX(C_TER,MATCH(AG84&amp;"-P"&amp;MAX(1,AH84),C_CLAVE,0)))=0,"",INDEX(C_TER,MATCH(AG84&amp;"-P"&amp;MAX(1,AH84),C_CLAVE,0))),""),"")</f>
        <v/>
      </c>
      <c r="V84" s="67" t="str">
        <f aca="false">IF(ISNUMBER(U84),U84-FECHA_CORTE,"")</f>
        <v/>
      </c>
      <c r="W84" s="62" t="str">
        <f aca="false">IF(B84="","",IF(O84="Desvinculado","Terminado",IF(N(AI84)=0,"Sin contrato registrado",IF(O84="Por ingresar","Por ingresar",IF(ISNUMBER(AJ84),"Renovación registrada",IF(R84="Indefinido","Indefinido",IF(NOT(ISNUMBER(V84)),"Falta fecha de término",IF(V84&lt;0,"VENCIDO",IF(V84&lt;=ALERTA_ROJA,"Vence en ≤ "&amp;ALERTA_ROJA&amp;" días",IF(V84&lt;=ALERTA_NARANJA,"Vence en ≤ "&amp;ALERTA_NARANJA&amp;" días",IF(V84&lt;=ALERTA_AMARILLA,"Vence en ≤ "&amp;ALERTA_AMARILLA&amp;" días","Vigente")))))))))))</f>
        <v/>
      </c>
      <c r="X84" s="62" t="str">
        <f aca="false">IF(B84="","",IF(W84="Terminado","—",IF(W84="Sin contrato registrado","Registrar su contrato en la hoja Contratos",IF(W84="Por ingresar","Tener el contrato firmado antes del ingreso",IF(W84="Renovación registrada","Siguiente contrato ya registrado: verificar que esté firmado",IF(R84="Indefinido","Sin vencimiento. Cambios de sueldo o cargo: anexo de modificación",IF(W84="Falta fecha de término","Completar la fecha de término en Contratos",IF(W84="VENCIDO","Sigue trabajando con plazo vencido: por ley ya es INDEFINIDO. Firmar anexo de paso a indefinido",IF(R84="Obra o faena","Al terminar la obra: finiquito + 2,5 días de sueldo por mes trabajado",IF(N(S84)&gt;=2,"2° contrato a plazo: NO se puede renovar otra vez a plazo fijo. Pasar a indefinido o terminar al vencer","1er contrato a plazo: renovar (2° contrato), pasar a indefinido o terminar al vencer"))))))))))</f>
        <v/>
      </c>
      <c r="Y84" s="68" t="str">
        <f aca="false">IF(O84&lt;&gt;"Activo","",ROUND(1.25*(DATEDIF(F84,AO84+1,"m")+(AO84+1-EDATE(F84,DATEDIF(F84,AO84+1,"m")))/30),2))</f>
        <v/>
      </c>
      <c r="Z84" s="68" t="str">
        <f aca="false">IF(O84&lt;&gt;"Activo","",N(M84)+SUMIFS(M_VAC,M_RUTN,AG84,M_MES,"&lt;="&amp;FECHA_CORTE))</f>
        <v/>
      </c>
      <c r="AA84" s="68" t="str">
        <f aca="false">IF(O84&lt;&gt;"Activo","",Y84-Z84)</f>
        <v/>
      </c>
      <c r="AB84" s="63" t="str">
        <f aca="false">IF(O84&lt;&gt;"Activo","",ROUND(MAX(0,IF(AA84&lt;=0,0,WORKDAY(FECHA_CORTE,INT(AA84),FERIADOS)-FECHA_CORTE+(AA84-INT(AA84))))*(Q84+N(K84))/30,0))</f>
        <v/>
      </c>
      <c r="AC84" s="65" t="str">
        <f aca="false">IF(O84&lt;&gt;"Activo","",IF(DATEDIF(F84,FECHA_CORTE+1,"y")&lt;1,0,MIN(TOPE_ANIOS,DATEDIF(F84,FECHA_CORTE+1,"y")+IF(EDATE(F84,12*DATEDIF(F84,FECHA_CORTE+1,"y")+6)&lt;FECHA_CORTE+1,1,0))))</f>
        <v/>
      </c>
      <c r="AD84" s="69" t="str">
        <f aca="false">IF(O84&lt;&gt;"Activo","",AB84+IF(R84="Obra o faena",0,ROUND(AL84*AC84,0)+ROUND(AL84,0)))</f>
        <v/>
      </c>
      <c r="AE84" s="69" t="str">
        <f aca="false">IF(O84&lt;&gt;"Activo","",AB84)</f>
        <v/>
      </c>
      <c r="AF84" s="69" t="str">
        <f aca="false">IF(AN84="","",IF(ISNUMBER(AJ84),"",ROUND(MAX(0,IF(AN84&lt;=0,0,WORKDAY(U84,INT(AN84),FERIADOS)-U84+(AN84-INT(AN84))))*(Q84+N(K84))/30,0)+IF(R84="Obra o faena",ROUND(OBRA_DIAS*AL84/30*(DATEDIF(F84,U84+1,"m")+IF(U84+1-EDATE(F84,DATEDIF(F84,U84+1,"m"))&gt;15,1,0)),0),0)))</f>
        <v/>
      </c>
      <c r="AG84" s="62" t="str">
        <f aca="false">IF(B84="","",IFERROR(VALUE(LEFT(UPPER(SUBSTITUTE(SUBSTITUTE(SUBSTITUTE(TRIM(B84),".",""),"-","")," ","")),LEN(UPPER(SUBSTITUTE(SUBSTITUTE(SUBSTITUTE(TRIM(B84),".",""),"-","")," ","")))-1))&amp;RIGHT(UPPER(SUBSTITUTE(SUBSTITUTE(SUBSTITUTE(TRIM(B84),".",""),"-","")," ","")),1),UPPER(SUBSTITUTE(SUBSTITUTE(SUBSTITUTE(TRIM(B84),".",""),"-","")," ",""))))</f>
        <v/>
      </c>
      <c r="AH84" s="62" t="str">
        <f aca="false">IF(B84="","",COUNTIFS(C_RUTN,AG84,C_DEF,"Sí",C_INI,"&lt;="&amp;FECHA_CORTE))</f>
        <v/>
      </c>
      <c r="AI84" s="62" t="str">
        <f aca="false">IF(B84="","",COUNTIFS(C_RUTN,AG84,C_DEF,"Sí"))</f>
        <v/>
      </c>
      <c r="AJ84" s="66" t="str">
        <f aca="false">IF(OR(B84="",N(AI84)&lt;=N(AH84)),"",IFERROR(INDEX(C_INI,MATCH(AG84&amp;"-P"&amp;(AH84+1),C_CLAVE,0)),""))</f>
        <v/>
      </c>
      <c r="AK84" s="63" t="str">
        <f aca="false">IF(O84&lt;&gt;"Activo","",Q84+N(K84)+IF(L84="Sí",MIN(GRAT_PCT*(Q84+N(K84)),GRAT_TOPE),0)+N(I84)+N(J84))</f>
        <v/>
      </c>
      <c r="AL84" s="63" t="str">
        <f aca="false">IF(O84&lt;&gt;"Activo","",MIN(AK84,TOPE_IAS_UF*UF_MES))</f>
        <v/>
      </c>
      <c r="AM84" s="62" t="str">
        <f aca="false">IF(AND(O84="Activo",ISNUMBER(V84),W84&lt;&gt;"Renovación registrada"),V84+ROW()/100000,"")</f>
        <v/>
      </c>
      <c r="AN84" s="70" t="str">
        <f aca="false">IF(OR(O84&lt;&gt;"Activo",NOT(ISNUMBER(U84))),"",IF(U84&lt;FECHA_CORTE,"",1.25*(DATEDIF(F84,U84+1,"m")+(U84+1-EDATE(F84,DATEDIF(F84,U84+1,"m")))/30)-Z84))</f>
        <v/>
      </c>
      <c r="AO84" s="66" t="str">
        <f aca="false">IF(OR(B84="",NOT(ISNUMBER(F84))),"",IF(N(G84)&gt;0,MIN(G84,FECHA_CORTE),FECHA_CORTE))</f>
        <v/>
      </c>
    </row>
    <row r="85" customFormat="false" ht="15" hidden="false" customHeight="false" outlineLevel="0" collapsed="false">
      <c r="B85" s="58"/>
      <c r="C85" s="58"/>
      <c r="D85" s="58"/>
      <c r="E85" s="58"/>
      <c r="F85" s="59"/>
      <c r="G85" s="59"/>
      <c r="H85" s="58"/>
      <c r="I85" s="60"/>
      <c r="J85" s="60"/>
      <c r="K85" s="60"/>
      <c r="L85" s="58"/>
      <c r="M85" s="61"/>
      <c r="N85" s="58"/>
      <c r="O85" s="62" t="str">
        <f aca="false">IF(B85="","",IF(NOT(ISNUMBER(F85)),"⚠ Falta ingreso",IF(F85&gt;FECHA_CORTE,"Por ingresar",IF(G85="","Activo",IF(G85&lt;FECHA_CORTE,"Desvinculado","Activo")))))</f>
        <v/>
      </c>
      <c r="P85" s="62" t="str">
        <f aca="false">IF(OR(B85="",NOT(ISNUMBER(F85))),"",IF(F85&gt;FECHA_CORTE,"",DATEDIF(F85,IF(G85="",FECHA_CORTE,MIN(G85,FECHA_CORTE))+1,"y")&amp;" a "&amp;DATEDIF(F85,IF(G85="",FECHA_CORTE,MIN(G85,FECHA_CORTE))+1,"ym")&amp;" m"))</f>
        <v/>
      </c>
      <c r="Q85" s="63" t="str">
        <f aca="false">IF(B85="","",IFERROR(INDEX(C_SUELDO,MATCH(AG85&amp;"-S"&amp;MAX(1,COUNTIFS(C_RUTN,AG85,C_SUELDO,"&lt;&gt;",C_INI,"&lt;="&amp;FECHA_CORTE)),C_CLAVES,0)),0))</f>
        <v/>
      </c>
      <c r="R85" s="62" t="str">
        <f aca="false">IF(B85="","",IF(N(AI85)=0,"Sin contrato",IFERROR(INDEX(C_TIPO,MATCH(AG85&amp;"-P"&amp;MAX(1,AH85),C_CLAVE,0))&amp;"","")))</f>
        <v/>
      </c>
      <c r="S85" s="64" t="str">
        <f aca="false">IF(R85="Plazo fijo",IFERROR(INDEX(C_NPF,MATCH(AG85&amp;"-P"&amp;MAX(1,AH85),C_CLAVE,0)),""),"")</f>
        <v/>
      </c>
      <c r="T85" s="65" t="str">
        <f aca="false">IF(B85="","",COUNTIFS(C_RUTN,AG85,C_TIPODOC,"Anexo de modificación"))</f>
        <v/>
      </c>
      <c r="U85" s="66" t="str">
        <f aca="false">IF(AND(OR(R85="Plazo fijo",R85="Obra o faena"),O85&lt;&gt;"Desvinculado"),IFERROR(IF(N(INDEX(C_TER,MATCH(AG85&amp;"-P"&amp;MAX(1,AH85),C_CLAVE,0)))=0,"",INDEX(C_TER,MATCH(AG85&amp;"-P"&amp;MAX(1,AH85),C_CLAVE,0))),""),"")</f>
        <v/>
      </c>
      <c r="V85" s="67" t="str">
        <f aca="false">IF(ISNUMBER(U85),U85-FECHA_CORTE,"")</f>
        <v/>
      </c>
      <c r="W85" s="62" t="str">
        <f aca="false">IF(B85="","",IF(O85="Desvinculado","Terminado",IF(N(AI85)=0,"Sin contrato registrado",IF(O85="Por ingresar","Por ingresar",IF(ISNUMBER(AJ85),"Renovación registrada",IF(R85="Indefinido","Indefinido",IF(NOT(ISNUMBER(V85)),"Falta fecha de término",IF(V85&lt;0,"VENCIDO",IF(V85&lt;=ALERTA_ROJA,"Vence en ≤ "&amp;ALERTA_ROJA&amp;" días",IF(V85&lt;=ALERTA_NARANJA,"Vence en ≤ "&amp;ALERTA_NARANJA&amp;" días",IF(V85&lt;=ALERTA_AMARILLA,"Vence en ≤ "&amp;ALERTA_AMARILLA&amp;" días","Vigente")))))))))))</f>
        <v/>
      </c>
      <c r="X85" s="62" t="str">
        <f aca="false">IF(B85="","",IF(W85="Terminado","—",IF(W85="Sin contrato registrado","Registrar su contrato en la hoja Contratos",IF(W85="Por ingresar","Tener el contrato firmado antes del ingreso",IF(W85="Renovación registrada","Siguiente contrato ya registrado: verificar que esté firmado",IF(R85="Indefinido","Sin vencimiento. Cambios de sueldo o cargo: anexo de modificación",IF(W85="Falta fecha de término","Completar la fecha de término en Contratos",IF(W85="VENCIDO","Sigue trabajando con plazo vencido: por ley ya es INDEFINIDO. Firmar anexo de paso a indefinido",IF(R85="Obra o faena","Al terminar la obra: finiquito + 2,5 días de sueldo por mes trabajado",IF(N(S85)&gt;=2,"2° contrato a plazo: NO se puede renovar otra vez a plazo fijo. Pasar a indefinido o terminar al vencer","1er contrato a plazo: renovar (2° contrato), pasar a indefinido o terminar al vencer"))))))))))</f>
        <v/>
      </c>
      <c r="Y85" s="68" t="str">
        <f aca="false">IF(O85&lt;&gt;"Activo","",ROUND(1.25*(DATEDIF(F85,AO85+1,"m")+(AO85+1-EDATE(F85,DATEDIF(F85,AO85+1,"m")))/30),2))</f>
        <v/>
      </c>
      <c r="Z85" s="68" t="str">
        <f aca="false">IF(O85&lt;&gt;"Activo","",N(M85)+SUMIFS(M_VAC,M_RUTN,AG85,M_MES,"&lt;="&amp;FECHA_CORTE))</f>
        <v/>
      </c>
      <c r="AA85" s="68" t="str">
        <f aca="false">IF(O85&lt;&gt;"Activo","",Y85-Z85)</f>
        <v/>
      </c>
      <c r="AB85" s="63" t="str">
        <f aca="false">IF(O85&lt;&gt;"Activo","",ROUND(MAX(0,IF(AA85&lt;=0,0,WORKDAY(FECHA_CORTE,INT(AA85),FERIADOS)-FECHA_CORTE+(AA85-INT(AA85))))*(Q85+N(K85))/30,0))</f>
        <v/>
      </c>
      <c r="AC85" s="65" t="str">
        <f aca="false">IF(O85&lt;&gt;"Activo","",IF(DATEDIF(F85,FECHA_CORTE+1,"y")&lt;1,0,MIN(TOPE_ANIOS,DATEDIF(F85,FECHA_CORTE+1,"y")+IF(EDATE(F85,12*DATEDIF(F85,FECHA_CORTE+1,"y")+6)&lt;FECHA_CORTE+1,1,0))))</f>
        <v/>
      </c>
      <c r="AD85" s="69" t="str">
        <f aca="false">IF(O85&lt;&gt;"Activo","",AB85+IF(R85="Obra o faena",0,ROUND(AL85*AC85,0)+ROUND(AL85,0)))</f>
        <v/>
      </c>
      <c r="AE85" s="69" t="str">
        <f aca="false">IF(O85&lt;&gt;"Activo","",AB85)</f>
        <v/>
      </c>
      <c r="AF85" s="69" t="str">
        <f aca="false">IF(AN85="","",IF(ISNUMBER(AJ85),"",ROUND(MAX(0,IF(AN85&lt;=0,0,WORKDAY(U85,INT(AN85),FERIADOS)-U85+(AN85-INT(AN85))))*(Q85+N(K85))/30,0)+IF(R85="Obra o faena",ROUND(OBRA_DIAS*AL85/30*(DATEDIF(F85,U85+1,"m")+IF(U85+1-EDATE(F85,DATEDIF(F85,U85+1,"m"))&gt;15,1,0)),0),0)))</f>
        <v/>
      </c>
      <c r="AG85" s="62" t="str">
        <f aca="false">IF(B85="","",IFERROR(VALUE(LEFT(UPPER(SUBSTITUTE(SUBSTITUTE(SUBSTITUTE(TRIM(B85),".",""),"-","")," ","")),LEN(UPPER(SUBSTITUTE(SUBSTITUTE(SUBSTITUTE(TRIM(B85),".",""),"-","")," ","")))-1))&amp;RIGHT(UPPER(SUBSTITUTE(SUBSTITUTE(SUBSTITUTE(TRIM(B85),".",""),"-","")," ","")),1),UPPER(SUBSTITUTE(SUBSTITUTE(SUBSTITUTE(TRIM(B85),".",""),"-","")," ",""))))</f>
        <v/>
      </c>
      <c r="AH85" s="62" t="str">
        <f aca="false">IF(B85="","",COUNTIFS(C_RUTN,AG85,C_DEF,"Sí",C_INI,"&lt;="&amp;FECHA_CORTE))</f>
        <v/>
      </c>
      <c r="AI85" s="62" t="str">
        <f aca="false">IF(B85="","",COUNTIFS(C_RUTN,AG85,C_DEF,"Sí"))</f>
        <v/>
      </c>
      <c r="AJ85" s="66" t="str">
        <f aca="false">IF(OR(B85="",N(AI85)&lt;=N(AH85)),"",IFERROR(INDEX(C_INI,MATCH(AG85&amp;"-P"&amp;(AH85+1),C_CLAVE,0)),""))</f>
        <v/>
      </c>
      <c r="AK85" s="63" t="str">
        <f aca="false">IF(O85&lt;&gt;"Activo","",Q85+N(K85)+IF(L85="Sí",MIN(GRAT_PCT*(Q85+N(K85)),GRAT_TOPE),0)+N(I85)+N(J85))</f>
        <v/>
      </c>
      <c r="AL85" s="63" t="str">
        <f aca="false">IF(O85&lt;&gt;"Activo","",MIN(AK85,TOPE_IAS_UF*UF_MES))</f>
        <v/>
      </c>
      <c r="AM85" s="62" t="str">
        <f aca="false">IF(AND(O85="Activo",ISNUMBER(V85),W85&lt;&gt;"Renovación registrada"),V85+ROW()/100000,"")</f>
        <v/>
      </c>
      <c r="AN85" s="70" t="str">
        <f aca="false">IF(OR(O85&lt;&gt;"Activo",NOT(ISNUMBER(U85))),"",IF(U85&lt;FECHA_CORTE,"",1.25*(DATEDIF(F85,U85+1,"m")+(U85+1-EDATE(F85,DATEDIF(F85,U85+1,"m")))/30)-Z85))</f>
        <v/>
      </c>
      <c r="AO85" s="66" t="str">
        <f aca="false">IF(OR(B85="",NOT(ISNUMBER(F85))),"",IF(N(G85)&gt;0,MIN(G85,FECHA_CORTE),FECHA_CORTE))</f>
        <v/>
      </c>
    </row>
    <row r="86" customFormat="false" ht="15" hidden="false" customHeight="false" outlineLevel="0" collapsed="false">
      <c r="B86" s="58"/>
      <c r="C86" s="58"/>
      <c r="D86" s="58"/>
      <c r="E86" s="58"/>
      <c r="F86" s="59"/>
      <c r="G86" s="59"/>
      <c r="H86" s="58"/>
      <c r="I86" s="60"/>
      <c r="J86" s="60"/>
      <c r="K86" s="60"/>
      <c r="L86" s="58"/>
      <c r="M86" s="61"/>
      <c r="N86" s="58"/>
      <c r="O86" s="62" t="str">
        <f aca="false">IF(B86="","",IF(NOT(ISNUMBER(F86)),"⚠ Falta ingreso",IF(F86&gt;FECHA_CORTE,"Por ingresar",IF(G86="","Activo",IF(G86&lt;FECHA_CORTE,"Desvinculado","Activo")))))</f>
        <v/>
      </c>
      <c r="P86" s="62" t="str">
        <f aca="false">IF(OR(B86="",NOT(ISNUMBER(F86))),"",IF(F86&gt;FECHA_CORTE,"",DATEDIF(F86,IF(G86="",FECHA_CORTE,MIN(G86,FECHA_CORTE))+1,"y")&amp;" a "&amp;DATEDIF(F86,IF(G86="",FECHA_CORTE,MIN(G86,FECHA_CORTE))+1,"ym")&amp;" m"))</f>
        <v/>
      </c>
      <c r="Q86" s="63" t="str">
        <f aca="false">IF(B86="","",IFERROR(INDEX(C_SUELDO,MATCH(AG86&amp;"-S"&amp;MAX(1,COUNTIFS(C_RUTN,AG86,C_SUELDO,"&lt;&gt;",C_INI,"&lt;="&amp;FECHA_CORTE)),C_CLAVES,0)),0))</f>
        <v/>
      </c>
      <c r="R86" s="62" t="str">
        <f aca="false">IF(B86="","",IF(N(AI86)=0,"Sin contrato",IFERROR(INDEX(C_TIPO,MATCH(AG86&amp;"-P"&amp;MAX(1,AH86),C_CLAVE,0))&amp;"","")))</f>
        <v/>
      </c>
      <c r="S86" s="64" t="str">
        <f aca="false">IF(R86="Plazo fijo",IFERROR(INDEX(C_NPF,MATCH(AG86&amp;"-P"&amp;MAX(1,AH86),C_CLAVE,0)),""),"")</f>
        <v/>
      </c>
      <c r="T86" s="65" t="str">
        <f aca="false">IF(B86="","",COUNTIFS(C_RUTN,AG86,C_TIPODOC,"Anexo de modificación"))</f>
        <v/>
      </c>
      <c r="U86" s="66" t="str">
        <f aca="false">IF(AND(OR(R86="Plazo fijo",R86="Obra o faena"),O86&lt;&gt;"Desvinculado"),IFERROR(IF(N(INDEX(C_TER,MATCH(AG86&amp;"-P"&amp;MAX(1,AH86),C_CLAVE,0)))=0,"",INDEX(C_TER,MATCH(AG86&amp;"-P"&amp;MAX(1,AH86),C_CLAVE,0))),""),"")</f>
        <v/>
      </c>
      <c r="V86" s="67" t="str">
        <f aca="false">IF(ISNUMBER(U86),U86-FECHA_CORTE,"")</f>
        <v/>
      </c>
      <c r="W86" s="62" t="str">
        <f aca="false">IF(B86="","",IF(O86="Desvinculado","Terminado",IF(N(AI86)=0,"Sin contrato registrado",IF(O86="Por ingresar","Por ingresar",IF(ISNUMBER(AJ86),"Renovación registrada",IF(R86="Indefinido","Indefinido",IF(NOT(ISNUMBER(V86)),"Falta fecha de término",IF(V86&lt;0,"VENCIDO",IF(V86&lt;=ALERTA_ROJA,"Vence en ≤ "&amp;ALERTA_ROJA&amp;" días",IF(V86&lt;=ALERTA_NARANJA,"Vence en ≤ "&amp;ALERTA_NARANJA&amp;" días",IF(V86&lt;=ALERTA_AMARILLA,"Vence en ≤ "&amp;ALERTA_AMARILLA&amp;" días","Vigente")))))))))))</f>
        <v/>
      </c>
      <c r="X86" s="62" t="str">
        <f aca="false">IF(B86="","",IF(W86="Terminado","—",IF(W86="Sin contrato registrado","Registrar su contrato en la hoja Contratos",IF(W86="Por ingresar","Tener el contrato firmado antes del ingreso",IF(W86="Renovación registrada","Siguiente contrato ya registrado: verificar que esté firmado",IF(R86="Indefinido","Sin vencimiento. Cambios de sueldo o cargo: anexo de modificación",IF(W86="Falta fecha de término","Completar la fecha de término en Contratos",IF(W86="VENCIDO","Sigue trabajando con plazo vencido: por ley ya es INDEFINIDO. Firmar anexo de paso a indefinido",IF(R86="Obra o faena","Al terminar la obra: finiquito + 2,5 días de sueldo por mes trabajado",IF(N(S86)&gt;=2,"2° contrato a plazo: NO se puede renovar otra vez a plazo fijo. Pasar a indefinido o terminar al vencer","1er contrato a plazo: renovar (2° contrato), pasar a indefinido o terminar al vencer"))))))))))</f>
        <v/>
      </c>
      <c r="Y86" s="68" t="str">
        <f aca="false">IF(O86&lt;&gt;"Activo","",ROUND(1.25*(DATEDIF(F86,AO86+1,"m")+(AO86+1-EDATE(F86,DATEDIF(F86,AO86+1,"m")))/30),2))</f>
        <v/>
      </c>
      <c r="Z86" s="68" t="str">
        <f aca="false">IF(O86&lt;&gt;"Activo","",N(M86)+SUMIFS(M_VAC,M_RUTN,AG86,M_MES,"&lt;="&amp;FECHA_CORTE))</f>
        <v/>
      </c>
      <c r="AA86" s="68" t="str">
        <f aca="false">IF(O86&lt;&gt;"Activo","",Y86-Z86)</f>
        <v/>
      </c>
      <c r="AB86" s="63" t="str">
        <f aca="false">IF(O86&lt;&gt;"Activo","",ROUND(MAX(0,IF(AA86&lt;=0,0,WORKDAY(FECHA_CORTE,INT(AA86),FERIADOS)-FECHA_CORTE+(AA86-INT(AA86))))*(Q86+N(K86))/30,0))</f>
        <v/>
      </c>
      <c r="AC86" s="65" t="str">
        <f aca="false">IF(O86&lt;&gt;"Activo","",IF(DATEDIF(F86,FECHA_CORTE+1,"y")&lt;1,0,MIN(TOPE_ANIOS,DATEDIF(F86,FECHA_CORTE+1,"y")+IF(EDATE(F86,12*DATEDIF(F86,FECHA_CORTE+1,"y")+6)&lt;FECHA_CORTE+1,1,0))))</f>
        <v/>
      </c>
      <c r="AD86" s="69" t="str">
        <f aca="false">IF(O86&lt;&gt;"Activo","",AB86+IF(R86="Obra o faena",0,ROUND(AL86*AC86,0)+ROUND(AL86,0)))</f>
        <v/>
      </c>
      <c r="AE86" s="69" t="str">
        <f aca="false">IF(O86&lt;&gt;"Activo","",AB86)</f>
        <v/>
      </c>
      <c r="AF86" s="69" t="str">
        <f aca="false">IF(AN86="","",IF(ISNUMBER(AJ86),"",ROUND(MAX(0,IF(AN86&lt;=0,0,WORKDAY(U86,INT(AN86),FERIADOS)-U86+(AN86-INT(AN86))))*(Q86+N(K86))/30,0)+IF(R86="Obra o faena",ROUND(OBRA_DIAS*AL86/30*(DATEDIF(F86,U86+1,"m")+IF(U86+1-EDATE(F86,DATEDIF(F86,U86+1,"m"))&gt;15,1,0)),0),0)))</f>
        <v/>
      </c>
      <c r="AG86" s="62" t="str">
        <f aca="false">IF(B86="","",IFERROR(VALUE(LEFT(UPPER(SUBSTITUTE(SUBSTITUTE(SUBSTITUTE(TRIM(B86),".",""),"-","")," ","")),LEN(UPPER(SUBSTITUTE(SUBSTITUTE(SUBSTITUTE(TRIM(B86),".",""),"-","")," ","")))-1))&amp;RIGHT(UPPER(SUBSTITUTE(SUBSTITUTE(SUBSTITUTE(TRIM(B86),".",""),"-","")," ","")),1),UPPER(SUBSTITUTE(SUBSTITUTE(SUBSTITUTE(TRIM(B86),".",""),"-","")," ",""))))</f>
        <v/>
      </c>
      <c r="AH86" s="62" t="str">
        <f aca="false">IF(B86="","",COUNTIFS(C_RUTN,AG86,C_DEF,"Sí",C_INI,"&lt;="&amp;FECHA_CORTE))</f>
        <v/>
      </c>
      <c r="AI86" s="62" t="str">
        <f aca="false">IF(B86="","",COUNTIFS(C_RUTN,AG86,C_DEF,"Sí"))</f>
        <v/>
      </c>
      <c r="AJ86" s="66" t="str">
        <f aca="false">IF(OR(B86="",N(AI86)&lt;=N(AH86)),"",IFERROR(INDEX(C_INI,MATCH(AG86&amp;"-P"&amp;(AH86+1),C_CLAVE,0)),""))</f>
        <v/>
      </c>
      <c r="AK86" s="63" t="str">
        <f aca="false">IF(O86&lt;&gt;"Activo","",Q86+N(K86)+IF(L86="Sí",MIN(GRAT_PCT*(Q86+N(K86)),GRAT_TOPE),0)+N(I86)+N(J86))</f>
        <v/>
      </c>
      <c r="AL86" s="63" t="str">
        <f aca="false">IF(O86&lt;&gt;"Activo","",MIN(AK86,TOPE_IAS_UF*UF_MES))</f>
        <v/>
      </c>
      <c r="AM86" s="62" t="str">
        <f aca="false">IF(AND(O86="Activo",ISNUMBER(V86),W86&lt;&gt;"Renovación registrada"),V86+ROW()/100000,"")</f>
        <v/>
      </c>
      <c r="AN86" s="70" t="str">
        <f aca="false">IF(OR(O86&lt;&gt;"Activo",NOT(ISNUMBER(U86))),"",IF(U86&lt;FECHA_CORTE,"",1.25*(DATEDIF(F86,U86+1,"m")+(U86+1-EDATE(F86,DATEDIF(F86,U86+1,"m")))/30)-Z86))</f>
        <v/>
      </c>
      <c r="AO86" s="66" t="str">
        <f aca="false">IF(OR(B86="",NOT(ISNUMBER(F86))),"",IF(N(G86)&gt;0,MIN(G86,FECHA_CORTE),FECHA_CORTE))</f>
        <v/>
      </c>
    </row>
    <row r="87" customFormat="false" ht="15" hidden="false" customHeight="false" outlineLevel="0" collapsed="false">
      <c r="B87" s="58"/>
      <c r="C87" s="58"/>
      <c r="D87" s="58"/>
      <c r="E87" s="58"/>
      <c r="F87" s="59"/>
      <c r="G87" s="59"/>
      <c r="H87" s="58"/>
      <c r="I87" s="60"/>
      <c r="J87" s="60"/>
      <c r="K87" s="60"/>
      <c r="L87" s="58"/>
      <c r="M87" s="61"/>
      <c r="N87" s="58"/>
      <c r="O87" s="62" t="str">
        <f aca="false">IF(B87="","",IF(NOT(ISNUMBER(F87)),"⚠ Falta ingreso",IF(F87&gt;FECHA_CORTE,"Por ingresar",IF(G87="","Activo",IF(G87&lt;FECHA_CORTE,"Desvinculado","Activo")))))</f>
        <v/>
      </c>
      <c r="P87" s="62" t="str">
        <f aca="false">IF(OR(B87="",NOT(ISNUMBER(F87))),"",IF(F87&gt;FECHA_CORTE,"",DATEDIF(F87,IF(G87="",FECHA_CORTE,MIN(G87,FECHA_CORTE))+1,"y")&amp;" a "&amp;DATEDIF(F87,IF(G87="",FECHA_CORTE,MIN(G87,FECHA_CORTE))+1,"ym")&amp;" m"))</f>
        <v/>
      </c>
      <c r="Q87" s="63" t="str">
        <f aca="false">IF(B87="","",IFERROR(INDEX(C_SUELDO,MATCH(AG87&amp;"-S"&amp;MAX(1,COUNTIFS(C_RUTN,AG87,C_SUELDO,"&lt;&gt;",C_INI,"&lt;="&amp;FECHA_CORTE)),C_CLAVES,0)),0))</f>
        <v/>
      </c>
      <c r="R87" s="62" t="str">
        <f aca="false">IF(B87="","",IF(N(AI87)=0,"Sin contrato",IFERROR(INDEX(C_TIPO,MATCH(AG87&amp;"-P"&amp;MAX(1,AH87),C_CLAVE,0))&amp;"","")))</f>
        <v/>
      </c>
      <c r="S87" s="64" t="str">
        <f aca="false">IF(R87="Plazo fijo",IFERROR(INDEX(C_NPF,MATCH(AG87&amp;"-P"&amp;MAX(1,AH87),C_CLAVE,0)),""),"")</f>
        <v/>
      </c>
      <c r="T87" s="65" t="str">
        <f aca="false">IF(B87="","",COUNTIFS(C_RUTN,AG87,C_TIPODOC,"Anexo de modificación"))</f>
        <v/>
      </c>
      <c r="U87" s="66" t="str">
        <f aca="false">IF(AND(OR(R87="Plazo fijo",R87="Obra o faena"),O87&lt;&gt;"Desvinculado"),IFERROR(IF(N(INDEX(C_TER,MATCH(AG87&amp;"-P"&amp;MAX(1,AH87),C_CLAVE,0)))=0,"",INDEX(C_TER,MATCH(AG87&amp;"-P"&amp;MAX(1,AH87),C_CLAVE,0))),""),"")</f>
        <v/>
      </c>
      <c r="V87" s="67" t="str">
        <f aca="false">IF(ISNUMBER(U87),U87-FECHA_CORTE,"")</f>
        <v/>
      </c>
      <c r="W87" s="62" t="str">
        <f aca="false">IF(B87="","",IF(O87="Desvinculado","Terminado",IF(N(AI87)=0,"Sin contrato registrado",IF(O87="Por ingresar","Por ingresar",IF(ISNUMBER(AJ87),"Renovación registrada",IF(R87="Indefinido","Indefinido",IF(NOT(ISNUMBER(V87)),"Falta fecha de término",IF(V87&lt;0,"VENCIDO",IF(V87&lt;=ALERTA_ROJA,"Vence en ≤ "&amp;ALERTA_ROJA&amp;" días",IF(V87&lt;=ALERTA_NARANJA,"Vence en ≤ "&amp;ALERTA_NARANJA&amp;" días",IF(V87&lt;=ALERTA_AMARILLA,"Vence en ≤ "&amp;ALERTA_AMARILLA&amp;" días","Vigente")))))))))))</f>
        <v/>
      </c>
      <c r="X87" s="62" t="str">
        <f aca="false">IF(B87="","",IF(W87="Terminado","—",IF(W87="Sin contrato registrado","Registrar su contrato en la hoja Contratos",IF(W87="Por ingresar","Tener el contrato firmado antes del ingreso",IF(W87="Renovación registrada","Siguiente contrato ya registrado: verificar que esté firmado",IF(R87="Indefinido","Sin vencimiento. Cambios de sueldo o cargo: anexo de modificación",IF(W87="Falta fecha de término","Completar la fecha de término en Contratos",IF(W87="VENCIDO","Sigue trabajando con plazo vencido: por ley ya es INDEFINIDO. Firmar anexo de paso a indefinido",IF(R87="Obra o faena","Al terminar la obra: finiquito + 2,5 días de sueldo por mes trabajado",IF(N(S87)&gt;=2,"2° contrato a plazo: NO se puede renovar otra vez a plazo fijo. Pasar a indefinido o terminar al vencer","1er contrato a plazo: renovar (2° contrato), pasar a indefinido o terminar al vencer"))))))))))</f>
        <v/>
      </c>
      <c r="Y87" s="68" t="str">
        <f aca="false">IF(O87&lt;&gt;"Activo","",ROUND(1.25*(DATEDIF(F87,AO87+1,"m")+(AO87+1-EDATE(F87,DATEDIF(F87,AO87+1,"m")))/30),2))</f>
        <v/>
      </c>
      <c r="Z87" s="68" t="str">
        <f aca="false">IF(O87&lt;&gt;"Activo","",N(M87)+SUMIFS(M_VAC,M_RUTN,AG87,M_MES,"&lt;="&amp;FECHA_CORTE))</f>
        <v/>
      </c>
      <c r="AA87" s="68" t="str">
        <f aca="false">IF(O87&lt;&gt;"Activo","",Y87-Z87)</f>
        <v/>
      </c>
      <c r="AB87" s="63" t="str">
        <f aca="false">IF(O87&lt;&gt;"Activo","",ROUND(MAX(0,IF(AA87&lt;=0,0,WORKDAY(FECHA_CORTE,INT(AA87),FERIADOS)-FECHA_CORTE+(AA87-INT(AA87))))*(Q87+N(K87))/30,0))</f>
        <v/>
      </c>
      <c r="AC87" s="65" t="str">
        <f aca="false">IF(O87&lt;&gt;"Activo","",IF(DATEDIF(F87,FECHA_CORTE+1,"y")&lt;1,0,MIN(TOPE_ANIOS,DATEDIF(F87,FECHA_CORTE+1,"y")+IF(EDATE(F87,12*DATEDIF(F87,FECHA_CORTE+1,"y")+6)&lt;FECHA_CORTE+1,1,0))))</f>
        <v/>
      </c>
      <c r="AD87" s="69" t="str">
        <f aca="false">IF(O87&lt;&gt;"Activo","",AB87+IF(R87="Obra o faena",0,ROUND(AL87*AC87,0)+ROUND(AL87,0)))</f>
        <v/>
      </c>
      <c r="AE87" s="69" t="str">
        <f aca="false">IF(O87&lt;&gt;"Activo","",AB87)</f>
        <v/>
      </c>
      <c r="AF87" s="69" t="str">
        <f aca="false">IF(AN87="","",IF(ISNUMBER(AJ87),"",ROUND(MAX(0,IF(AN87&lt;=0,0,WORKDAY(U87,INT(AN87),FERIADOS)-U87+(AN87-INT(AN87))))*(Q87+N(K87))/30,0)+IF(R87="Obra o faena",ROUND(OBRA_DIAS*AL87/30*(DATEDIF(F87,U87+1,"m")+IF(U87+1-EDATE(F87,DATEDIF(F87,U87+1,"m"))&gt;15,1,0)),0),0)))</f>
        <v/>
      </c>
      <c r="AG87" s="62" t="str">
        <f aca="false">IF(B87="","",IFERROR(VALUE(LEFT(UPPER(SUBSTITUTE(SUBSTITUTE(SUBSTITUTE(TRIM(B87),".",""),"-","")," ","")),LEN(UPPER(SUBSTITUTE(SUBSTITUTE(SUBSTITUTE(TRIM(B87),".",""),"-","")," ","")))-1))&amp;RIGHT(UPPER(SUBSTITUTE(SUBSTITUTE(SUBSTITUTE(TRIM(B87),".",""),"-","")," ","")),1),UPPER(SUBSTITUTE(SUBSTITUTE(SUBSTITUTE(TRIM(B87),".",""),"-","")," ",""))))</f>
        <v/>
      </c>
      <c r="AH87" s="62" t="str">
        <f aca="false">IF(B87="","",COUNTIFS(C_RUTN,AG87,C_DEF,"Sí",C_INI,"&lt;="&amp;FECHA_CORTE))</f>
        <v/>
      </c>
      <c r="AI87" s="62" t="str">
        <f aca="false">IF(B87="","",COUNTIFS(C_RUTN,AG87,C_DEF,"Sí"))</f>
        <v/>
      </c>
      <c r="AJ87" s="66" t="str">
        <f aca="false">IF(OR(B87="",N(AI87)&lt;=N(AH87)),"",IFERROR(INDEX(C_INI,MATCH(AG87&amp;"-P"&amp;(AH87+1),C_CLAVE,0)),""))</f>
        <v/>
      </c>
      <c r="AK87" s="63" t="str">
        <f aca="false">IF(O87&lt;&gt;"Activo","",Q87+N(K87)+IF(L87="Sí",MIN(GRAT_PCT*(Q87+N(K87)),GRAT_TOPE),0)+N(I87)+N(J87))</f>
        <v/>
      </c>
      <c r="AL87" s="63" t="str">
        <f aca="false">IF(O87&lt;&gt;"Activo","",MIN(AK87,TOPE_IAS_UF*UF_MES))</f>
        <v/>
      </c>
      <c r="AM87" s="62" t="str">
        <f aca="false">IF(AND(O87="Activo",ISNUMBER(V87),W87&lt;&gt;"Renovación registrada"),V87+ROW()/100000,"")</f>
        <v/>
      </c>
      <c r="AN87" s="70" t="str">
        <f aca="false">IF(OR(O87&lt;&gt;"Activo",NOT(ISNUMBER(U87))),"",IF(U87&lt;FECHA_CORTE,"",1.25*(DATEDIF(F87,U87+1,"m")+(U87+1-EDATE(F87,DATEDIF(F87,U87+1,"m")))/30)-Z87))</f>
        <v/>
      </c>
      <c r="AO87" s="66" t="str">
        <f aca="false">IF(OR(B87="",NOT(ISNUMBER(F87))),"",IF(N(G87)&gt;0,MIN(G87,FECHA_CORTE),FECHA_CORTE))</f>
        <v/>
      </c>
    </row>
    <row r="88" customFormat="false" ht="15" hidden="false" customHeight="false" outlineLevel="0" collapsed="false">
      <c r="B88" s="58"/>
      <c r="C88" s="58"/>
      <c r="D88" s="58"/>
      <c r="E88" s="58"/>
      <c r="F88" s="59"/>
      <c r="G88" s="59"/>
      <c r="H88" s="58"/>
      <c r="I88" s="60"/>
      <c r="J88" s="60"/>
      <c r="K88" s="60"/>
      <c r="L88" s="58"/>
      <c r="M88" s="61"/>
      <c r="N88" s="58"/>
      <c r="O88" s="62" t="str">
        <f aca="false">IF(B88="","",IF(NOT(ISNUMBER(F88)),"⚠ Falta ingreso",IF(F88&gt;FECHA_CORTE,"Por ingresar",IF(G88="","Activo",IF(G88&lt;FECHA_CORTE,"Desvinculado","Activo")))))</f>
        <v/>
      </c>
      <c r="P88" s="62" t="str">
        <f aca="false">IF(OR(B88="",NOT(ISNUMBER(F88))),"",IF(F88&gt;FECHA_CORTE,"",DATEDIF(F88,IF(G88="",FECHA_CORTE,MIN(G88,FECHA_CORTE))+1,"y")&amp;" a "&amp;DATEDIF(F88,IF(G88="",FECHA_CORTE,MIN(G88,FECHA_CORTE))+1,"ym")&amp;" m"))</f>
        <v/>
      </c>
      <c r="Q88" s="63" t="str">
        <f aca="false">IF(B88="","",IFERROR(INDEX(C_SUELDO,MATCH(AG88&amp;"-S"&amp;MAX(1,COUNTIFS(C_RUTN,AG88,C_SUELDO,"&lt;&gt;",C_INI,"&lt;="&amp;FECHA_CORTE)),C_CLAVES,0)),0))</f>
        <v/>
      </c>
      <c r="R88" s="62" t="str">
        <f aca="false">IF(B88="","",IF(N(AI88)=0,"Sin contrato",IFERROR(INDEX(C_TIPO,MATCH(AG88&amp;"-P"&amp;MAX(1,AH88),C_CLAVE,0))&amp;"","")))</f>
        <v/>
      </c>
      <c r="S88" s="64" t="str">
        <f aca="false">IF(R88="Plazo fijo",IFERROR(INDEX(C_NPF,MATCH(AG88&amp;"-P"&amp;MAX(1,AH88),C_CLAVE,0)),""),"")</f>
        <v/>
      </c>
      <c r="T88" s="65" t="str">
        <f aca="false">IF(B88="","",COUNTIFS(C_RUTN,AG88,C_TIPODOC,"Anexo de modificación"))</f>
        <v/>
      </c>
      <c r="U88" s="66" t="str">
        <f aca="false">IF(AND(OR(R88="Plazo fijo",R88="Obra o faena"),O88&lt;&gt;"Desvinculado"),IFERROR(IF(N(INDEX(C_TER,MATCH(AG88&amp;"-P"&amp;MAX(1,AH88),C_CLAVE,0)))=0,"",INDEX(C_TER,MATCH(AG88&amp;"-P"&amp;MAX(1,AH88),C_CLAVE,0))),""),"")</f>
        <v/>
      </c>
      <c r="V88" s="67" t="str">
        <f aca="false">IF(ISNUMBER(U88),U88-FECHA_CORTE,"")</f>
        <v/>
      </c>
      <c r="W88" s="62" t="str">
        <f aca="false">IF(B88="","",IF(O88="Desvinculado","Terminado",IF(N(AI88)=0,"Sin contrato registrado",IF(O88="Por ingresar","Por ingresar",IF(ISNUMBER(AJ88),"Renovación registrada",IF(R88="Indefinido","Indefinido",IF(NOT(ISNUMBER(V88)),"Falta fecha de término",IF(V88&lt;0,"VENCIDO",IF(V88&lt;=ALERTA_ROJA,"Vence en ≤ "&amp;ALERTA_ROJA&amp;" días",IF(V88&lt;=ALERTA_NARANJA,"Vence en ≤ "&amp;ALERTA_NARANJA&amp;" días",IF(V88&lt;=ALERTA_AMARILLA,"Vence en ≤ "&amp;ALERTA_AMARILLA&amp;" días","Vigente")))))))))))</f>
        <v/>
      </c>
      <c r="X88" s="62" t="str">
        <f aca="false">IF(B88="","",IF(W88="Terminado","—",IF(W88="Sin contrato registrado","Registrar su contrato en la hoja Contratos",IF(W88="Por ingresar","Tener el contrato firmado antes del ingreso",IF(W88="Renovación registrada","Siguiente contrato ya registrado: verificar que esté firmado",IF(R88="Indefinido","Sin vencimiento. Cambios de sueldo o cargo: anexo de modificación",IF(W88="Falta fecha de término","Completar la fecha de término en Contratos",IF(W88="VENCIDO","Sigue trabajando con plazo vencido: por ley ya es INDEFINIDO. Firmar anexo de paso a indefinido",IF(R88="Obra o faena","Al terminar la obra: finiquito + 2,5 días de sueldo por mes trabajado",IF(N(S88)&gt;=2,"2° contrato a plazo: NO se puede renovar otra vez a plazo fijo. Pasar a indefinido o terminar al vencer","1er contrato a plazo: renovar (2° contrato), pasar a indefinido o terminar al vencer"))))))))))</f>
        <v/>
      </c>
      <c r="Y88" s="68" t="str">
        <f aca="false">IF(O88&lt;&gt;"Activo","",ROUND(1.25*(DATEDIF(F88,AO88+1,"m")+(AO88+1-EDATE(F88,DATEDIF(F88,AO88+1,"m")))/30),2))</f>
        <v/>
      </c>
      <c r="Z88" s="68" t="str">
        <f aca="false">IF(O88&lt;&gt;"Activo","",N(M88)+SUMIFS(M_VAC,M_RUTN,AG88,M_MES,"&lt;="&amp;FECHA_CORTE))</f>
        <v/>
      </c>
      <c r="AA88" s="68" t="str">
        <f aca="false">IF(O88&lt;&gt;"Activo","",Y88-Z88)</f>
        <v/>
      </c>
      <c r="AB88" s="63" t="str">
        <f aca="false">IF(O88&lt;&gt;"Activo","",ROUND(MAX(0,IF(AA88&lt;=0,0,WORKDAY(FECHA_CORTE,INT(AA88),FERIADOS)-FECHA_CORTE+(AA88-INT(AA88))))*(Q88+N(K88))/30,0))</f>
        <v/>
      </c>
      <c r="AC88" s="65" t="str">
        <f aca="false">IF(O88&lt;&gt;"Activo","",IF(DATEDIF(F88,FECHA_CORTE+1,"y")&lt;1,0,MIN(TOPE_ANIOS,DATEDIF(F88,FECHA_CORTE+1,"y")+IF(EDATE(F88,12*DATEDIF(F88,FECHA_CORTE+1,"y")+6)&lt;FECHA_CORTE+1,1,0))))</f>
        <v/>
      </c>
      <c r="AD88" s="69" t="str">
        <f aca="false">IF(O88&lt;&gt;"Activo","",AB88+IF(R88="Obra o faena",0,ROUND(AL88*AC88,0)+ROUND(AL88,0)))</f>
        <v/>
      </c>
      <c r="AE88" s="69" t="str">
        <f aca="false">IF(O88&lt;&gt;"Activo","",AB88)</f>
        <v/>
      </c>
      <c r="AF88" s="69" t="str">
        <f aca="false">IF(AN88="","",IF(ISNUMBER(AJ88),"",ROUND(MAX(0,IF(AN88&lt;=0,0,WORKDAY(U88,INT(AN88),FERIADOS)-U88+(AN88-INT(AN88))))*(Q88+N(K88))/30,0)+IF(R88="Obra o faena",ROUND(OBRA_DIAS*AL88/30*(DATEDIF(F88,U88+1,"m")+IF(U88+1-EDATE(F88,DATEDIF(F88,U88+1,"m"))&gt;15,1,0)),0),0)))</f>
        <v/>
      </c>
      <c r="AG88" s="62" t="str">
        <f aca="false">IF(B88="","",IFERROR(VALUE(LEFT(UPPER(SUBSTITUTE(SUBSTITUTE(SUBSTITUTE(TRIM(B88),".",""),"-","")," ","")),LEN(UPPER(SUBSTITUTE(SUBSTITUTE(SUBSTITUTE(TRIM(B88),".",""),"-","")," ","")))-1))&amp;RIGHT(UPPER(SUBSTITUTE(SUBSTITUTE(SUBSTITUTE(TRIM(B88),".",""),"-","")," ","")),1),UPPER(SUBSTITUTE(SUBSTITUTE(SUBSTITUTE(TRIM(B88),".",""),"-","")," ",""))))</f>
        <v/>
      </c>
      <c r="AH88" s="62" t="str">
        <f aca="false">IF(B88="","",COUNTIFS(C_RUTN,AG88,C_DEF,"Sí",C_INI,"&lt;="&amp;FECHA_CORTE))</f>
        <v/>
      </c>
      <c r="AI88" s="62" t="str">
        <f aca="false">IF(B88="","",COUNTIFS(C_RUTN,AG88,C_DEF,"Sí"))</f>
        <v/>
      </c>
      <c r="AJ88" s="66" t="str">
        <f aca="false">IF(OR(B88="",N(AI88)&lt;=N(AH88)),"",IFERROR(INDEX(C_INI,MATCH(AG88&amp;"-P"&amp;(AH88+1),C_CLAVE,0)),""))</f>
        <v/>
      </c>
      <c r="AK88" s="63" t="str">
        <f aca="false">IF(O88&lt;&gt;"Activo","",Q88+N(K88)+IF(L88="Sí",MIN(GRAT_PCT*(Q88+N(K88)),GRAT_TOPE),0)+N(I88)+N(J88))</f>
        <v/>
      </c>
      <c r="AL88" s="63" t="str">
        <f aca="false">IF(O88&lt;&gt;"Activo","",MIN(AK88,TOPE_IAS_UF*UF_MES))</f>
        <v/>
      </c>
      <c r="AM88" s="62" t="str">
        <f aca="false">IF(AND(O88="Activo",ISNUMBER(V88),W88&lt;&gt;"Renovación registrada"),V88+ROW()/100000,"")</f>
        <v/>
      </c>
      <c r="AN88" s="70" t="str">
        <f aca="false">IF(OR(O88&lt;&gt;"Activo",NOT(ISNUMBER(U88))),"",IF(U88&lt;FECHA_CORTE,"",1.25*(DATEDIF(F88,U88+1,"m")+(U88+1-EDATE(F88,DATEDIF(F88,U88+1,"m")))/30)-Z88))</f>
        <v/>
      </c>
      <c r="AO88" s="66" t="str">
        <f aca="false">IF(OR(B88="",NOT(ISNUMBER(F88))),"",IF(N(G88)&gt;0,MIN(G88,FECHA_CORTE),FECHA_CORTE))</f>
        <v/>
      </c>
    </row>
    <row r="89" customFormat="false" ht="15" hidden="false" customHeight="false" outlineLevel="0" collapsed="false">
      <c r="B89" s="58"/>
      <c r="C89" s="58"/>
      <c r="D89" s="58"/>
      <c r="E89" s="58"/>
      <c r="F89" s="59"/>
      <c r="G89" s="59"/>
      <c r="H89" s="58"/>
      <c r="I89" s="60"/>
      <c r="J89" s="60"/>
      <c r="K89" s="60"/>
      <c r="L89" s="58"/>
      <c r="M89" s="61"/>
      <c r="N89" s="58"/>
      <c r="O89" s="62" t="str">
        <f aca="false">IF(B89="","",IF(NOT(ISNUMBER(F89)),"⚠ Falta ingreso",IF(F89&gt;FECHA_CORTE,"Por ingresar",IF(G89="","Activo",IF(G89&lt;FECHA_CORTE,"Desvinculado","Activo")))))</f>
        <v/>
      </c>
      <c r="P89" s="62" t="str">
        <f aca="false">IF(OR(B89="",NOT(ISNUMBER(F89))),"",IF(F89&gt;FECHA_CORTE,"",DATEDIF(F89,IF(G89="",FECHA_CORTE,MIN(G89,FECHA_CORTE))+1,"y")&amp;" a "&amp;DATEDIF(F89,IF(G89="",FECHA_CORTE,MIN(G89,FECHA_CORTE))+1,"ym")&amp;" m"))</f>
        <v/>
      </c>
      <c r="Q89" s="63" t="str">
        <f aca="false">IF(B89="","",IFERROR(INDEX(C_SUELDO,MATCH(AG89&amp;"-S"&amp;MAX(1,COUNTIFS(C_RUTN,AG89,C_SUELDO,"&lt;&gt;",C_INI,"&lt;="&amp;FECHA_CORTE)),C_CLAVES,0)),0))</f>
        <v/>
      </c>
      <c r="R89" s="62" t="str">
        <f aca="false">IF(B89="","",IF(N(AI89)=0,"Sin contrato",IFERROR(INDEX(C_TIPO,MATCH(AG89&amp;"-P"&amp;MAX(1,AH89),C_CLAVE,0))&amp;"","")))</f>
        <v/>
      </c>
      <c r="S89" s="64" t="str">
        <f aca="false">IF(R89="Plazo fijo",IFERROR(INDEX(C_NPF,MATCH(AG89&amp;"-P"&amp;MAX(1,AH89),C_CLAVE,0)),""),"")</f>
        <v/>
      </c>
      <c r="T89" s="65" t="str">
        <f aca="false">IF(B89="","",COUNTIFS(C_RUTN,AG89,C_TIPODOC,"Anexo de modificación"))</f>
        <v/>
      </c>
      <c r="U89" s="66" t="str">
        <f aca="false">IF(AND(OR(R89="Plazo fijo",R89="Obra o faena"),O89&lt;&gt;"Desvinculado"),IFERROR(IF(N(INDEX(C_TER,MATCH(AG89&amp;"-P"&amp;MAX(1,AH89),C_CLAVE,0)))=0,"",INDEX(C_TER,MATCH(AG89&amp;"-P"&amp;MAX(1,AH89),C_CLAVE,0))),""),"")</f>
        <v/>
      </c>
      <c r="V89" s="67" t="str">
        <f aca="false">IF(ISNUMBER(U89),U89-FECHA_CORTE,"")</f>
        <v/>
      </c>
      <c r="W89" s="62" t="str">
        <f aca="false">IF(B89="","",IF(O89="Desvinculado","Terminado",IF(N(AI89)=0,"Sin contrato registrado",IF(O89="Por ingresar","Por ingresar",IF(ISNUMBER(AJ89),"Renovación registrada",IF(R89="Indefinido","Indefinido",IF(NOT(ISNUMBER(V89)),"Falta fecha de término",IF(V89&lt;0,"VENCIDO",IF(V89&lt;=ALERTA_ROJA,"Vence en ≤ "&amp;ALERTA_ROJA&amp;" días",IF(V89&lt;=ALERTA_NARANJA,"Vence en ≤ "&amp;ALERTA_NARANJA&amp;" días",IF(V89&lt;=ALERTA_AMARILLA,"Vence en ≤ "&amp;ALERTA_AMARILLA&amp;" días","Vigente")))))))))))</f>
        <v/>
      </c>
      <c r="X89" s="62" t="str">
        <f aca="false">IF(B89="","",IF(W89="Terminado","—",IF(W89="Sin contrato registrado","Registrar su contrato en la hoja Contratos",IF(W89="Por ingresar","Tener el contrato firmado antes del ingreso",IF(W89="Renovación registrada","Siguiente contrato ya registrado: verificar que esté firmado",IF(R89="Indefinido","Sin vencimiento. Cambios de sueldo o cargo: anexo de modificación",IF(W89="Falta fecha de término","Completar la fecha de término en Contratos",IF(W89="VENCIDO","Sigue trabajando con plazo vencido: por ley ya es INDEFINIDO. Firmar anexo de paso a indefinido",IF(R89="Obra o faena","Al terminar la obra: finiquito + 2,5 días de sueldo por mes trabajado",IF(N(S89)&gt;=2,"2° contrato a plazo: NO se puede renovar otra vez a plazo fijo. Pasar a indefinido o terminar al vencer","1er contrato a plazo: renovar (2° contrato), pasar a indefinido o terminar al vencer"))))))))))</f>
        <v/>
      </c>
      <c r="Y89" s="68" t="str">
        <f aca="false">IF(O89&lt;&gt;"Activo","",ROUND(1.25*(DATEDIF(F89,AO89+1,"m")+(AO89+1-EDATE(F89,DATEDIF(F89,AO89+1,"m")))/30),2))</f>
        <v/>
      </c>
      <c r="Z89" s="68" t="str">
        <f aca="false">IF(O89&lt;&gt;"Activo","",N(M89)+SUMIFS(M_VAC,M_RUTN,AG89,M_MES,"&lt;="&amp;FECHA_CORTE))</f>
        <v/>
      </c>
      <c r="AA89" s="68" t="str">
        <f aca="false">IF(O89&lt;&gt;"Activo","",Y89-Z89)</f>
        <v/>
      </c>
      <c r="AB89" s="63" t="str">
        <f aca="false">IF(O89&lt;&gt;"Activo","",ROUND(MAX(0,IF(AA89&lt;=0,0,WORKDAY(FECHA_CORTE,INT(AA89),FERIADOS)-FECHA_CORTE+(AA89-INT(AA89))))*(Q89+N(K89))/30,0))</f>
        <v/>
      </c>
      <c r="AC89" s="65" t="str">
        <f aca="false">IF(O89&lt;&gt;"Activo","",IF(DATEDIF(F89,FECHA_CORTE+1,"y")&lt;1,0,MIN(TOPE_ANIOS,DATEDIF(F89,FECHA_CORTE+1,"y")+IF(EDATE(F89,12*DATEDIF(F89,FECHA_CORTE+1,"y")+6)&lt;FECHA_CORTE+1,1,0))))</f>
        <v/>
      </c>
      <c r="AD89" s="69" t="str">
        <f aca="false">IF(O89&lt;&gt;"Activo","",AB89+IF(R89="Obra o faena",0,ROUND(AL89*AC89,0)+ROUND(AL89,0)))</f>
        <v/>
      </c>
      <c r="AE89" s="69" t="str">
        <f aca="false">IF(O89&lt;&gt;"Activo","",AB89)</f>
        <v/>
      </c>
      <c r="AF89" s="69" t="str">
        <f aca="false">IF(AN89="","",IF(ISNUMBER(AJ89),"",ROUND(MAX(0,IF(AN89&lt;=0,0,WORKDAY(U89,INT(AN89),FERIADOS)-U89+(AN89-INT(AN89))))*(Q89+N(K89))/30,0)+IF(R89="Obra o faena",ROUND(OBRA_DIAS*AL89/30*(DATEDIF(F89,U89+1,"m")+IF(U89+1-EDATE(F89,DATEDIF(F89,U89+1,"m"))&gt;15,1,0)),0),0)))</f>
        <v/>
      </c>
      <c r="AG89" s="62" t="str">
        <f aca="false">IF(B89="","",IFERROR(VALUE(LEFT(UPPER(SUBSTITUTE(SUBSTITUTE(SUBSTITUTE(TRIM(B89),".",""),"-","")," ","")),LEN(UPPER(SUBSTITUTE(SUBSTITUTE(SUBSTITUTE(TRIM(B89),".",""),"-","")," ","")))-1))&amp;RIGHT(UPPER(SUBSTITUTE(SUBSTITUTE(SUBSTITUTE(TRIM(B89),".",""),"-","")," ","")),1),UPPER(SUBSTITUTE(SUBSTITUTE(SUBSTITUTE(TRIM(B89),".",""),"-","")," ",""))))</f>
        <v/>
      </c>
      <c r="AH89" s="62" t="str">
        <f aca="false">IF(B89="","",COUNTIFS(C_RUTN,AG89,C_DEF,"Sí",C_INI,"&lt;="&amp;FECHA_CORTE))</f>
        <v/>
      </c>
      <c r="AI89" s="62" t="str">
        <f aca="false">IF(B89="","",COUNTIFS(C_RUTN,AG89,C_DEF,"Sí"))</f>
        <v/>
      </c>
      <c r="AJ89" s="66" t="str">
        <f aca="false">IF(OR(B89="",N(AI89)&lt;=N(AH89)),"",IFERROR(INDEX(C_INI,MATCH(AG89&amp;"-P"&amp;(AH89+1),C_CLAVE,0)),""))</f>
        <v/>
      </c>
      <c r="AK89" s="63" t="str">
        <f aca="false">IF(O89&lt;&gt;"Activo","",Q89+N(K89)+IF(L89="Sí",MIN(GRAT_PCT*(Q89+N(K89)),GRAT_TOPE),0)+N(I89)+N(J89))</f>
        <v/>
      </c>
      <c r="AL89" s="63" t="str">
        <f aca="false">IF(O89&lt;&gt;"Activo","",MIN(AK89,TOPE_IAS_UF*UF_MES))</f>
        <v/>
      </c>
      <c r="AM89" s="62" t="str">
        <f aca="false">IF(AND(O89="Activo",ISNUMBER(V89),W89&lt;&gt;"Renovación registrada"),V89+ROW()/100000,"")</f>
        <v/>
      </c>
      <c r="AN89" s="70" t="str">
        <f aca="false">IF(OR(O89&lt;&gt;"Activo",NOT(ISNUMBER(U89))),"",IF(U89&lt;FECHA_CORTE,"",1.25*(DATEDIF(F89,U89+1,"m")+(U89+1-EDATE(F89,DATEDIF(F89,U89+1,"m")))/30)-Z89))</f>
        <v/>
      </c>
      <c r="AO89" s="66" t="str">
        <f aca="false">IF(OR(B89="",NOT(ISNUMBER(F89))),"",IF(N(G89)&gt;0,MIN(G89,FECHA_CORTE),FECHA_CORTE))</f>
        <v/>
      </c>
    </row>
    <row r="90" customFormat="false" ht="15" hidden="false" customHeight="false" outlineLevel="0" collapsed="false">
      <c r="B90" s="58"/>
      <c r="C90" s="58"/>
      <c r="D90" s="58"/>
      <c r="E90" s="58"/>
      <c r="F90" s="59"/>
      <c r="G90" s="59"/>
      <c r="H90" s="58"/>
      <c r="I90" s="60"/>
      <c r="J90" s="60"/>
      <c r="K90" s="60"/>
      <c r="L90" s="58"/>
      <c r="M90" s="61"/>
      <c r="N90" s="58"/>
      <c r="O90" s="62" t="str">
        <f aca="false">IF(B90="","",IF(NOT(ISNUMBER(F90)),"⚠ Falta ingreso",IF(F90&gt;FECHA_CORTE,"Por ingresar",IF(G90="","Activo",IF(G90&lt;FECHA_CORTE,"Desvinculado","Activo")))))</f>
        <v/>
      </c>
      <c r="P90" s="62" t="str">
        <f aca="false">IF(OR(B90="",NOT(ISNUMBER(F90))),"",IF(F90&gt;FECHA_CORTE,"",DATEDIF(F90,IF(G90="",FECHA_CORTE,MIN(G90,FECHA_CORTE))+1,"y")&amp;" a "&amp;DATEDIF(F90,IF(G90="",FECHA_CORTE,MIN(G90,FECHA_CORTE))+1,"ym")&amp;" m"))</f>
        <v/>
      </c>
      <c r="Q90" s="63" t="str">
        <f aca="false">IF(B90="","",IFERROR(INDEX(C_SUELDO,MATCH(AG90&amp;"-S"&amp;MAX(1,COUNTIFS(C_RUTN,AG90,C_SUELDO,"&lt;&gt;",C_INI,"&lt;="&amp;FECHA_CORTE)),C_CLAVES,0)),0))</f>
        <v/>
      </c>
      <c r="R90" s="62" t="str">
        <f aca="false">IF(B90="","",IF(N(AI90)=0,"Sin contrato",IFERROR(INDEX(C_TIPO,MATCH(AG90&amp;"-P"&amp;MAX(1,AH90),C_CLAVE,0))&amp;"","")))</f>
        <v/>
      </c>
      <c r="S90" s="64" t="str">
        <f aca="false">IF(R90="Plazo fijo",IFERROR(INDEX(C_NPF,MATCH(AG90&amp;"-P"&amp;MAX(1,AH90),C_CLAVE,0)),""),"")</f>
        <v/>
      </c>
      <c r="T90" s="65" t="str">
        <f aca="false">IF(B90="","",COUNTIFS(C_RUTN,AG90,C_TIPODOC,"Anexo de modificación"))</f>
        <v/>
      </c>
      <c r="U90" s="66" t="str">
        <f aca="false">IF(AND(OR(R90="Plazo fijo",R90="Obra o faena"),O90&lt;&gt;"Desvinculado"),IFERROR(IF(N(INDEX(C_TER,MATCH(AG90&amp;"-P"&amp;MAX(1,AH90),C_CLAVE,0)))=0,"",INDEX(C_TER,MATCH(AG90&amp;"-P"&amp;MAX(1,AH90),C_CLAVE,0))),""),"")</f>
        <v/>
      </c>
      <c r="V90" s="67" t="str">
        <f aca="false">IF(ISNUMBER(U90),U90-FECHA_CORTE,"")</f>
        <v/>
      </c>
      <c r="W90" s="62" t="str">
        <f aca="false">IF(B90="","",IF(O90="Desvinculado","Terminado",IF(N(AI90)=0,"Sin contrato registrado",IF(O90="Por ingresar","Por ingresar",IF(ISNUMBER(AJ90),"Renovación registrada",IF(R90="Indefinido","Indefinido",IF(NOT(ISNUMBER(V90)),"Falta fecha de término",IF(V90&lt;0,"VENCIDO",IF(V90&lt;=ALERTA_ROJA,"Vence en ≤ "&amp;ALERTA_ROJA&amp;" días",IF(V90&lt;=ALERTA_NARANJA,"Vence en ≤ "&amp;ALERTA_NARANJA&amp;" días",IF(V90&lt;=ALERTA_AMARILLA,"Vence en ≤ "&amp;ALERTA_AMARILLA&amp;" días","Vigente")))))))))))</f>
        <v/>
      </c>
      <c r="X90" s="62" t="str">
        <f aca="false">IF(B90="","",IF(W90="Terminado","—",IF(W90="Sin contrato registrado","Registrar su contrato en la hoja Contratos",IF(W90="Por ingresar","Tener el contrato firmado antes del ingreso",IF(W90="Renovación registrada","Siguiente contrato ya registrado: verificar que esté firmado",IF(R90="Indefinido","Sin vencimiento. Cambios de sueldo o cargo: anexo de modificación",IF(W90="Falta fecha de término","Completar la fecha de término en Contratos",IF(W90="VENCIDO","Sigue trabajando con plazo vencido: por ley ya es INDEFINIDO. Firmar anexo de paso a indefinido",IF(R90="Obra o faena","Al terminar la obra: finiquito + 2,5 días de sueldo por mes trabajado",IF(N(S90)&gt;=2,"2° contrato a plazo: NO se puede renovar otra vez a plazo fijo. Pasar a indefinido o terminar al vencer","1er contrato a plazo: renovar (2° contrato), pasar a indefinido o terminar al vencer"))))))))))</f>
        <v/>
      </c>
      <c r="Y90" s="68" t="str">
        <f aca="false">IF(O90&lt;&gt;"Activo","",ROUND(1.25*(DATEDIF(F90,AO90+1,"m")+(AO90+1-EDATE(F90,DATEDIF(F90,AO90+1,"m")))/30),2))</f>
        <v/>
      </c>
      <c r="Z90" s="68" t="str">
        <f aca="false">IF(O90&lt;&gt;"Activo","",N(M90)+SUMIFS(M_VAC,M_RUTN,AG90,M_MES,"&lt;="&amp;FECHA_CORTE))</f>
        <v/>
      </c>
      <c r="AA90" s="68" t="str">
        <f aca="false">IF(O90&lt;&gt;"Activo","",Y90-Z90)</f>
        <v/>
      </c>
      <c r="AB90" s="63" t="str">
        <f aca="false">IF(O90&lt;&gt;"Activo","",ROUND(MAX(0,IF(AA90&lt;=0,0,WORKDAY(FECHA_CORTE,INT(AA90),FERIADOS)-FECHA_CORTE+(AA90-INT(AA90))))*(Q90+N(K90))/30,0))</f>
        <v/>
      </c>
      <c r="AC90" s="65" t="str">
        <f aca="false">IF(O90&lt;&gt;"Activo","",IF(DATEDIF(F90,FECHA_CORTE+1,"y")&lt;1,0,MIN(TOPE_ANIOS,DATEDIF(F90,FECHA_CORTE+1,"y")+IF(EDATE(F90,12*DATEDIF(F90,FECHA_CORTE+1,"y")+6)&lt;FECHA_CORTE+1,1,0))))</f>
        <v/>
      </c>
      <c r="AD90" s="69" t="str">
        <f aca="false">IF(O90&lt;&gt;"Activo","",AB90+IF(R90="Obra o faena",0,ROUND(AL90*AC90,0)+ROUND(AL90,0)))</f>
        <v/>
      </c>
      <c r="AE90" s="69" t="str">
        <f aca="false">IF(O90&lt;&gt;"Activo","",AB90)</f>
        <v/>
      </c>
      <c r="AF90" s="69" t="str">
        <f aca="false">IF(AN90="","",IF(ISNUMBER(AJ90),"",ROUND(MAX(0,IF(AN90&lt;=0,0,WORKDAY(U90,INT(AN90),FERIADOS)-U90+(AN90-INT(AN90))))*(Q90+N(K90))/30,0)+IF(R90="Obra o faena",ROUND(OBRA_DIAS*AL90/30*(DATEDIF(F90,U90+1,"m")+IF(U90+1-EDATE(F90,DATEDIF(F90,U90+1,"m"))&gt;15,1,0)),0),0)))</f>
        <v/>
      </c>
      <c r="AG90" s="62" t="str">
        <f aca="false">IF(B90="","",IFERROR(VALUE(LEFT(UPPER(SUBSTITUTE(SUBSTITUTE(SUBSTITUTE(TRIM(B90),".",""),"-","")," ","")),LEN(UPPER(SUBSTITUTE(SUBSTITUTE(SUBSTITUTE(TRIM(B90),".",""),"-","")," ","")))-1))&amp;RIGHT(UPPER(SUBSTITUTE(SUBSTITUTE(SUBSTITUTE(TRIM(B90),".",""),"-","")," ","")),1),UPPER(SUBSTITUTE(SUBSTITUTE(SUBSTITUTE(TRIM(B90),".",""),"-","")," ",""))))</f>
        <v/>
      </c>
      <c r="AH90" s="62" t="str">
        <f aca="false">IF(B90="","",COUNTIFS(C_RUTN,AG90,C_DEF,"Sí",C_INI,"&lt;="&amp;FECHA_CORTE))</f>
        <v/>
      </c>
      <c r="AI90" s="62" t="str">
        <f aca="false">IF(B90="","",COUNTIFS(C_RUTN,AG90,C_DEF,"Sí"))</f>
        <v/>
      </c>
      <c r="AJ90" s="66" t="str">
        <f aca="false">IF(OR(B90="",N(AI90)&lt;=N(AH90)),"",IFERROR(INDEX(C_INI,MATCH(AG90&amp;"-P"&amp;(AH90+1),C_CLAVE,0)),""))</f>
        <v/>
      </c>
      <c r="AK90" s="63" t="str">
        <f aca="false">IF(O90&lt;&gt;"Activo","",Q90+N(K90)+IF(L90="Sí",MIN(GRAT_PCT*(Q90+N(K90)),GRAT_TOPE),0)+N(I90)+N(J90))</f>
        <v/>
      </c>
      <c r="AL90" s="63" t="str">
        <f aca="false">IF(O90&lt;&gt;"Activo","",MIN(AK90,TOPE_IAS_UF*UF_MES))</f>
        <v/>
      </c>
      <c r="AM90" s="62" t="str">
        <f aca="false">IF(AND(O90="Activo",ISNUMBER(V90),W90&lt;&gt;"Renovación registrada"),V90+ROW()/100000,"")</f>
        <v/>
      </c>
      <c r="AN90" s="70" t="str">
        <f aca="false">IF(OR(O90&lt;&gt;"Activo",NOT(ISNUMBER(U90))),"",IF(U90&lt;FECHA_CORTE,"",1.25*(DATEDIF(F90,U90+1,"m")+(U90+1-EDATE(F90,DATEDIF(F90,U90+1,"m")))/30)-Z90))</f>
        <v/>
      </c>
      <c r="AO90" s="66" t="str">
        <f aca="false">IF(OR(B90="",NOT(ISNUMBER(F90))),"",IF(N(G90)&gt;0,MIN(G90,FECHA_CORTE),FECHA_CORTE))</f>
        <v/>
      </c>
    </row>
    <row r="91" customFormat="false" ht="15" hidden="false" customHeight="false" outlineLevel="0" collapsed="false">
      <c r="B91" s="58"/>
      <c r="C91" s="58"/>
      <c r="D91" s="58"/>
      <c r="E91" s="58"/>
      <c r="F91" s="59"/>
      <c r="G91" s="59"/>
      <c r="H91" s="58"/>
      <c r="I91" s="60"/>
      <c r="J91" s="60"/>
      <c r="K91" s="60"/>
      <c r="L91" s="58"/>
      <c r="M91" s="61"/>
      <c r="N91" s="58"/>
      <c r="O91" s="62" t="str">
        <f aca="false">IF(B91="","",IF(NOT(ISNUMBER(F91)),"⚠ Falta ingreso",IF(F91&gt;FECHA_CORTE,"Por ingresar",IF(G91="","Activo",IF(G91&lt;FECHA_CORTE,"Desvinculado","Activo")))))</f>
        <v/>
      </c>
      <c r="P91" s="62" t="str">
        <f aca="false">IF(OR(B91="",NOT(ISNUMBER(F91))),"",IF(F91&gt;FECHA_CORTE,"",DATEDIF(F91,IF(G91="",FECHA_CORTE,MIN(G91,FECHA_CORTE))+1,"y")&amp;" a "&amp;DATEDIF(F91,IF(G91="",FECHA_CORTE,MIN(G91,FECHA_CORTE))+1,"ym")&amp;" m"))</f>
        <v/>
      </c>
      <c r="Q91" s="63" t="str">
        <f aca="false">IF(B91="","",IFERROR(INDEX(C_SUELDO,MATCH(AG91&amp;"-S"&amp;MAX(1,COUNTIFS(C_RUTN,AG91,C_SUELDO,"&lt;&gt;",C_INI,"&lt;="&amp;FECHA_CORTE)),C_CLAVES,0)),0))</f>
        <v/>
      </c>
      <c r="R91" s="62" t="str">
        <f aca="false">IF(B91="","",IF(N(AI91)=0,"Sin contrato",IFERROR(INDEX(C_TIPO,MATCH(AG91&amp;"-P"&amp;MAX(1,AH91),C_CLAVE,0))&amp;"","")))</f>
        <v/>
      </c>
      <c r="S91" s="64" t="str">
        <f aca="false">IF(R91="Plazo fijo",IFERROR(INDEX(C_NPF,MATCH(AG91&amp;"-P"&amp;MAX(1,AH91),C_CLAVE,0)),""),"")</f>
        <v/>
      </c>
      <c r="T91" s="65" t="str">
        <f aca="false">IF(B91="","",COUNTIFS(C_RUTN,AG91,C_TIPODOC,"Anexo de modificación"))</f>
        <v/>
      </c>
      <c r="U91" s="66" t="str">
        <f aca="false">IF(AND(OR(R91="Plazo fijo",R91="Obra o faena"),O91&lt;&gt;"Desvinculado"),IFERROR(IF(N(INDEX(C_TER,MATCH(AG91&amp;"-P"&amp;MAX(1,AH91),C_CLAVE,0)))=0,"",INDEX(C_TER,MATCH(AG91&amp;"-P"&amp;MAX(1,AH91),C_CLAVE,0))),""),"")</f>
        <v/>
      </c>
      <c r="V91" s="67" t="str">
        <f aca="false">IF(ISNUMBER(U91),U91-FECHA_CORTE,"")</f>
        <v/>
      </c>
      <c r="W91" s="62" t="str">
        <f aca="false">IF(B91="","",IF(O91="Desvinculado","Terminado",IF(N(AI91)=0,"Sin contrato registrado",IF(O91="Por ingresar","Por ingresar",IF(ISNUMBER(AJ91),"Renovación registrada",IF(R91="Indefinido","Indefinido",IF(NOT(ISNUMBER(V91)),"Falta fecha de término",IF(V91&lt;0,"VENCIDO",IF(V91&lt;=ALERTA_ROJA,"Vence en ≤ "&amp;ALERTA_ROJA&amp;" días",IF(V91&lt;=ALERTA_NARANJA,"Vence en ≤ "&amp;ALERTA_NARANJA&amp;" días",IF(V91&lt;=ALERTA_AMARILLA,"Vence en ≤ "&amp;ALERTA_AMARILLA&amp;" días","Vigente")))))))))))</f>
        <v/>
      </c>
      <c r="X91" s="62" t="str">
        <f aca="false">IF(B91="","",IF(W91="Terminado","—",IF(W91="Sin contrato registrado","Registrar su contrato en la hoja Contratos",IF(W91="Por ingresar","Tener el contrato firmado antes del ingreso",IF(W91="Renovación registrada","Siguiente contrato ya registrado: verificar que esté firmado",IF(R91="Indefinido","Sin vencimiento. Cambios de sueldo o cargo: anexo de modificación",IF(W91="Falta fecha de término","Completar la fecha de término en Contratos",IF(W91="VENCIDO","Sigue trabajando con plazo vencido: por ley ya es INDEFINIDO. Firmar anexo de paso a indefinido",IF(R91="Obra o faena","Al terminar la obra: finiquito + 2,5 días de sueldo por mes trabajado",IF(N(S91)&gt;=2,"2° contrato a plazo: NO se puede renovar otra vez a plazo fijo. Pasar a indefinido o terminar al vencer","1er contrato a plazo: renovar (2° contrato), pasar a indefinido o terminar al vencer"))))))))))</f>
        <v/>
      </c>
      <c r="Y91" s="68" t="str">
        <f aca="false">IF(O91&lt;&gt;"Activo","",ROUND(1.25*(DATEDIF(F91,AO91+1,"m")+(AO91+1-EDATE(F91,DATEDIF(F91,AO91+1,"m")))/30),2))</f>
        <v/>
      </c>
      <c r="Z91" s="68" t="str">
        <f aca="false">IF(O91&lt;&gt;"Activo","",N(M91)+SUMIFS(M_VAC,M_RUTN,AG91,M_MES,"&lt;="&amp;FECHA_CORTE))</f>
        <v/>
      </c>
      <c r="AA91" s="68" t="str">
        <f aca="false">IF(O91&lt;&gt;"Activo","",Y91-Z91)</f>
        <v/>
      </c>
      <c r="AB91" s="63" t="str">
        <f aca="false">IF(O91&lt;&gt;"Activo","",ROUND(MAX(0,IF(AA91&lt;=0,0,WORKDAY(FECHA_CORTE,INT(AA91),FERIADOS)-FECHA_CORTE+(AA91-INT(AA91))))*(Q91+N(K91))/30,0))</f>
        <v/>
      </c>
      <c r="AC91" s="65" t="str">
        <f aca="false">IF(O91&lt;&gt;"Activo","",IF(DATEDIF(F91,FECHA_CORTE+1,"y")&lt;1,0,MIN(TOPE_ANIOS,DATEDIF(F91,FECHA_CORTE+1,"y")+IF(EDATE(F91,12*DATEDIF(F91,FECHA_CORTE+1,"y")+6)&lt;FECHA_CORTE+1,1,0))))</f>
        <v/>
      </c>
      <c r="AD91" s="69" t="str">
        <f aca="false">IF(O91&lt;&gt;"Activo","",AB91+IF(R91="Obra o faena",0,ROUND(AL91*AC91,0)+ROUND(AL91,0)))</f>
        <v/>
      </c>
      <c r="AE91" s="69" t="str">
        <f aca="false">IF(O91&lt;&gt;"Activo","",AB91)</f>
        <v/>
      </c>
      <c r="AF91" s="69" t="str">
        <f aca="false">IF(AN91="","",IF(ISNUMBER(AJ91),"",ROUND(MAX(0,IF(AN91&lt;=0,0,WORKDAY(U91,INT(AN91),FERIADOS)-U91+(AN91-INT(AN91))))*(Q91+N(K91))/30,0)+IF(R91="Obra o faena",ROUND(OBRA_DIAS*AL91/30*(DATEDIF(F91,U91+1,"m")+IF(U91+1-EDATE(F91,DATEDIF(F91,U91+1,"m"))&gt;15,1,0)),0),0)))</f>
        <v/>
      </c>
      <c r="AG91" s="62" t="str">
        <f aca="false">IF(B91="","",IFERROR(VALUE(LEFT(UPPER(SUBSTITUTE(SUBSTITUTE(SUBSTITUTE(TRIM(B91),".",""),"-","")," ","")),LEN(UPPER(SUBSTITUTE(SUBSTITUTE(SUBSTITUTE(TRIM(B91),".",""),"-","")," ","")))-1))&amp;RIGHT(UPPER(SUBSTITUTE(SUBSTITUTE(SUBSTITUTE(TRIM(B91),".",""),"-","")," ","")),1),UPPER(SUBSTITUTE(SUBSTITUTE(SUBSTITUTE(TRIM(B91),".",""),"-","")," ",""))))</f>
        <v/>
      </c>
      <c r="AH91" s="62" t="str">
        <f aca="false">IF(B91="","",COUNTIFS(C_RUTN,AG91,C_DEF,"Sí",C_INI,"&lt;="&amp;FECHA_CORTE))</f>
        <v/>
      </c>
      <c r="AI91" s="62" t="str">
        <f aca="false">IF(B91="","",COUNTIFS(C_RUTN,AG91,C_DEF,"Sí"))</f>
        <v/>
      </c>
      <c r="AJ91" s="66" t="str">
        <f aca="false">IF(OR(B91="",N(AI91)&lt;=N(AH91)),"",IFERROR(INDEX(C_INI,MATCH(AG91&amp;"-P"&amp;(AH91+1),C_CLAVE,0)),""))</f>
        <v/>
      </c>
      <c r="AK91" s="63" t="str">
        <f aca="false">IF(O91&lt;&gt;"Activo","",Q91+N(K91)+IF(L91="Sí",MIN(GRAT_PCT*(Q91+N(K91)),GRAT_TOPE),0)+N(I91)+N(J91))</f>
        <v/>
      </c>
      <c r="AL91" s="63" t="str">
        <f aca="false">IF(O91&lt;&gt;"Activo","",MIN(AK91,TOPE_IAS_UF*UF_MES))</f>
        <v/>
      </c>
      <c r="AM91" s="62" t="str">
        <f aca="false">IF(AND(O91="Activo",ISNUMBER(V91),W91&lt;&gt;"Renovación registrada"),V91+ROW()/100000,"")</f>
        <v/>
      </c>
      <c r="AN91" s="70" t="str">
        <f aca="false">IF(OR(O91&lt;&gt;"Activo",NOT(ISNUMBER(U91))),"",IF(U91&lt;FECHA_CORTE,"",1.25*(DATEDIF(F91,U91+1,"m")+(U91+1-EDATE(F91,DATEDIF(F91,U91+1,"m")))/30)-Z91))</f>
        <v/>
      </c>
      <c r="AO91" s="66" t="str">
        <f aca="false">IF(OR(B91="",NOT(ISNUMBER(F91))),"",IF(N(G91)&gt;0,MIN(G91,FECHA_CORTE),FECHA_CORTE))</f>
        <v/>
      </c>
    </row>
    <row r="92" customFormat="false" ht="15" hidden="false" customHeight="false" outlineLevel="0" collapsed="false">
      <c r="B92" s="58"/>
      <c r="C92" s="58"/>
      <c r="D92" s="58"/>
      <c r="E92" s="58"/>
      <c r="F92" s="59"/>
      <c r="G92" s="59"/>
      <c r="H92" s="58"/>
      <c r="I92" s="60"/>
      <c r="J92" s="60"/>
      <c r="K92" s="60"/>
      <c r="L92" s="58"/>
      <c r="M92" s="61"/>
      <c r="N92" s="58"/>
      <c r="O92" s="62" t="str">
        <f aca="false">IF(B92="","",IF(NOT(ISNUMBER(F92)),"⚠ Falta ingreso",IF(F92&gt;FECHA_CORTE,"Por ingresar",IF(G92="","Activo",IF(G92&lt;FECHA_CORTE,"Desvinculado","Activo")))))</f>
        <v/>
      </c>
      <c r="P92" s="62" t="str">
        <f aca="false">IF(OR(B92="",NOT(ISNUMBER(F92))),"",IF(F92&gt;FECHA_CORTE,"",DATEDIF(F92,IF(G92="",FECHA_CORTE,MIN(G92,FECHA_CORTE))+1,"y")&amp;" a "&amp;DATEDIF(F92,IF(G92="",FECHA_CORTE,MIN(G92,FECHA_CORTE))+1,"ym")&amp;" m"))</f>
        <v/>
      </c>
      <c r="Q92" s="63" t="str">
        <f aca="false">IF(B92="","",IFERROR(INDEX(C_SUELDO,MATCH(AG92&amp;"-S"&amp;MAX(1,COUNTIFS(C_RUTN,AG92,C_SUELDO,"&lt;&gt;",C_INI,"&lt;="&amp;FECHA_CORTE)),C_CLAVES,0)),0))</f>
        <v/>
      </c>
      <c r="R92" s="62" t="str">
        <f aca="false">IF(B92="","",IF(N(AI92)=0,"Sin contrato",IFERROR(INDEX(C_TIPO,MATCH(AG92&amp;"-P"&amp;MAX(1,AH92),C_CLAVE,0))&amp;"","")))</f>
        <v/>
      </c>
      <c r="S92" s="64" t="str">
        <f aca="false">IF(R92="Plazo fijo",IFERROR(INDEX(C_NPF,MATCH(AG92&amp;"-P"&amp;MAX(1,AH92),C_CLAVE,0)),""),"")</f>
        <v/>
      </c>
      <c r="T92" s="65" t="str">
        <f aca="false">IF(B92="","",COUNTIFS(C_RUTN,AG92,C_TIPODOC,"Anexo de modificación"))</f>
        <v/>
      </c>
      <c r="U92" s="66" t="str">
        <f aca="false">IF(AND(OR(R92="Plazo fijo",R92="Obra o faena"),O92&lt;&gt;"Desvinculado"),IFERROR(IF(N(INDEX(C_TER,MATCH(AG92&amp;"-P"&amp;MAX(1,AH92),C_CLAVE,0)))=0,"",INDEX(C_TER,MATCH(AG92&amp;"-P"&amp;MAX(1,AH92),C_CLAVE,0))),""),"")</f>
        <v/>
      </c>
      <c r="V92" s="67" t="str">
        <f aca="false">IF(ISNUMBER(U92),U92-FECHA_CORTE,"")</f>
        <v/>
      </c>
      <c r="W92" s="62" t="str">
        <f aca="false">IF(B92="","",IF(O92="Desvinculado","Terminado",IF(N(AI92)=0,"Sin contrato registrado",IF(O92="Por ingresar","Por ingresar",IF(ISNUMBER(AJ92),"Renovación registrada",IF(R92="Indefinido","Indefinido",IF(NOT(ISNUMBER(V92)),"Falta fecha de término",IF(V92&lt;0,"VENCIDO",IF(V92&lt;=ALERTA_ROJA,"Vence en ≤ "&amp;ALERTA_ROJA&amp;" días",IF(V92&lt;=ALERTA_NARANJA,"Vence en ≤ "&amp;ALERTA_NARANJA&amp;" días",IF(V92&lt;=ALERTA_AMARILLA,"Vence en ≤ "&amp;ALERTA_AMARILLA&amp;" días","Vigente")))))))))))</f>
        <v/>
      </c>
      <c r="X92" s="62" t="str">
        <f aca="false">IF(B92="","",IF(W92="Terminado","—",IF(W92="Sin contrato registrado","Registrar su contrato en la hoja Contratos",IF(W92="Por ingresar","Tener el contrato firmado antes del ingreso",IF(W92="Renovación registrada","Siguiente contrato ya registrado: verificar que esté firmado",IF(R92="Indefinido","Sin vencimiento. Cambios de sueldo o cargo: anexo de modificación",IF(W92="Falta fecha de término","Completar la fecha de término en Contratos",IF(W92="VENCIDO","Sigue trabajando con plazo vencido: por ley ya es INDEFINIDO. Firmar anexo de paso a indefinido",IF(R92="Obra o faena","Al terminar la obra: finiquito + 2,5 días de sueldo por mes trabajado",IF(N(S92)&gt;=2,"2° contrato a plazo: NO se puede renovar otra vez a plazo fijo. Pasar a indefinido o terminar al vencer","1er contrato a plazo: renovar (2° contrato), pasar a indefinido o terminar al vencer"))))))))))</f>
        <v/>
      </c>
      <c r="Y92" s="68" t="str">
        <f aca="false">IF(O92&lt;&gt;"Activo","",ROUND(1.25*(DATEDIF(F92,AO92+1,"m")+(AO92+1-EDATE(F92,DATEDIF(F92,AO92+1,"m")))/30),2))</f>
        <v/>
      </c>
      <c r="Z92" s="68" t="str">
        <f aca="false">IF(O92&lt;&gt;"Activo","",N(M92)+SUMIFS(M_VAC,M_RUTN,AG92,M_MES,"&lt;="&amp;FECHA_CORTE))</f>
        <v/>
      </c>
      <c r="AA92" s="68" t="str">
        <f aca="false">IF(O92&lt;&gt;"Activo","",Y92-Z92)</f>
        <v/>
      </c>
      <c r="AB92" s="63" t="str">
        <f aca="false">IF(O92&lt;&gt;"Activo","",ROUND(MAX(0,IF(AA92&lt;=0,0,WORKDAY(FECHA_CORTE,INT(AA92),FERIADOS)-FECHA_CORTE+(AA92-INT(AA92))))*(Q92+N(K92))/30,0))</f>
        <v/>
      </c>
      <c r="AC92" s="65" t="str">
        <f aca="false">IF(O92&lt;&gt;"Activo","",IF(DATEDIF(F92,FECHA_CORTE+1,"y")&lt;1,0,MIN(TOPE_ANIOS,DATEDIF(F92,FECHA_CORTE+1,"y")+IF(EDATE(F92,12*DATEDIF(F92,FECHA_CORTE+1,"y")+6)&lt;FECHA_CORTE+1,1,0))))</f>
        <v/>
      </c>
      <c r="AD92" s="69" t="str">
        <f aca="false">IF(O92&lt;&gt;"Activo","",AB92+IF(R92="Obra o faena",0,ROUND(AL92*AC92,0)+ROUND(AL92,0)))</f>
        <v/>
      </c>
      <c r="AE92" s="69" t="str">
        <f aca="false">IF(O92&lt;&gt;"Activo","",AB92)</f>
        <v/>
      </c>
      <c r="AF92" s="69" t="str">
        <f aca="false">IF(AN92="","",IF(ISNUMBER(AJ92),"",ROUND(MAX(0,IF(AN92&lt;=0,0,WORKDAY(U92,INT(AN92),FERIADOS)-U92+(AN92-INT(AN92))))*(Q92+N(K92))/30,0)+IF(R92="Obra o faena",ROUND(OBRA_DIAS*AL92/30*(DATEDIF(F92,U92+1,"m")+IF(U92+1-EDATE(F92,DATEDIF(F92,U92+1,"m"))&gt;15,1,0)),0),0)))</f>
        <v/>
      </c>
      <c r="AG92" s="62" t="str">
        <f aca="false">IF(B92="","",IFERROR(VALUE(LEFT(UPPER(SUBSTITUTE(SUBSTITUTE(SUBSTITUTE(TRIM(B92),".",""),"-","")," ","")),LEN(UPPER(SUBSTITUTE(SUBSTITUTE(SUBSTITUTE(TRIM(B92),".",""),"-","")," ","")))-1))&amp;RIGHT(UPPER(SUBSTITUTE(SUBSTITUTE(SUBSTITUTE(TRIM(B92),".",""),"-","")," ","")),1),UPPER(SUBSTITUTE(SUBSTITUTE(SUBSTITUTE(TRIM(B92),".",""),"-","")," ",""))))</f>
        <v/>
      </c>
      <c r="AH92" s="62" t="str">
        <f aca="false">IF(B92="","",COUNTIFS(C_RUTN,AG92,C_DEF,"Sí",C_INI,"&lt;="&amp;FECHA_CORTE))</f>
        <v/>
      </c>
      <c r="AI92" s="62" t="str">
        <f aca="false">IF(B92="","",COUNTIFS(C_RUTN,AG92,C_DEF,"Sí"))</f>
        <v/>
      </c>
      <c r="AJ92" s="66" t="str">
        <f aca="false">IF(OR(B92="",N(AI92)&lt;=N(AH92)),"",IFERROR(INDEX(C_INI,MATCH(AG92&amp;"-P"&amp;(AH92+1),C_CLAVE,0)),""))</f>
        <v/>
      </c>
      <c r="AK92" s="63" t="str">
        <f aca="false">IF(O92&lt;&gt;"Activo","",Q92+N(K92)+IF(L92="Sí",MIN(GRAT_PCT*(Q92+N(K92)),GRAT_TOPE),0)+N(I92)+N(J92))</f>
        <v/>
      </c>
      <c r="AL92" s="63" t="str">
        <f aca="false">IF(O92&lt;&gt;"Activo","",MIN(AK92,TOPE_IAS_UF*UF_MES))</f>
        <v/>
      </c>
      <c r="AM92" s="62" t="str">
        <f aca="false">IF(AND(O92="Activo",ISNUMBER(V92),W92&lt;&gt;"Renovación registrada"),V92+ROW()/100000,"")</f>
        <v/>
      </c>
      <c r="AN92" s="70" t="str">
        <f aca="false">IF(OR(O92&lt;&gt;"Activo",NOT(ISNUMBER(U92))),"",IF(U92&lt;FECHA_CORTE,"",1.25*(DATEDIF(F92,U92+1,"m")+(U92+1-EDATE(F92,DATEDIF(F92,U92+1,"m")))/30)-Z92))</f>
        <v/>
      </c>
      <c r="AO92" s="66" t="str">
        <f aca="false">IF(OR(B92="",NOT(ISNUMBER(F92))),"",IF(N(G92)&gt;0,MIN(G92,FECHA_CORTE),FECHA_CORTE))</f>
        <v/>
      </c>
    </row>
    <row r="93" customFormat="false" ht="15" hidden="false" customHeight="false" outlineLevel="0" collapsed="false">
      <c r="B93" s="58"/>
      <c r="C93" s="58"/>
      <c r="D93" s="58"/>
      <c r="E93" s="58"/>
      <c r="F93" s="59"/>
      <c r="G93" s="59"/>
      <c r="H93" s="58"/>
      <c r="I93" s="60"/>
      <c r="J93" s="60"/>
      <c r="K93" s="60"/>
      <c r="L93" s="58"/>
      <c r="M93" s="61"/>
      <c r="N93" s="58"/>
      <c r="O93" s="62" t="str">
        <f aca="false">IF(B93="","",IF(NOT(ISNUMBER(F93)),"⚠ Falta ingreso",IF(F93&gt;FECHA_CORTE,"Por ingresar",IF(G93="","Activo",IF(G93&lt;FECHA_CORTE,"Desvinculado","Activo")))))</f>
        <v/>
      </c>
      <c r="P93" s="62" t="str">
        <f aca="false">IF(OR(B93="",NOT(ISNUMBER(F93))),"",IF(F93&gt;FECHA_CORTE,"",DATEDIF(F93,IF(G93="",FECHA_CORTE,MIN(G93,FECHA_CORTE))+1,"y")&amp;" a "&amp;DATEDIF(F93,IF(G93="",FECHA_CORTE,MIN(G93,FECHA_CORTE))+1,"ym")&amp;" m"))</f>
        <v/>
      </c>
      <c r="Q93" s="63" t="str">
        <f aca="false">IF(B93="","",IFERROR(INDEX(C_SUELDO,MATCH(AG93&amp;"-S"&amp;MAX(1,COUNTIFS(C_RUTN,AG93,C_SUELDO,"&lt;&gt;",C_INI,"&lt;="&amp;FECHA_CORTE)),C_CLAVES,0)),0))</f>
        <v/>
      </c>
      <c r="R93" s="62" t="str">
        <f aca="false">IF(B93="","",IF(N(AI93)=0,"Sin contrato",IFERROR(INDEX(C_TIPO,MATCH(AG93&amp;"-P"&amp;MAX(1,AH93),C_CLAVE,0))&amp;"","")))</f>
        <v/>
      </c>
      <c r="S93" s="64" t="str">
        <f aca="false">IF(R93="Plazo fijo",IFERROR(INDEX(C_NPF,MATCH(AG93&amp;"-P"&amp;MAX(1,AH93),C_CLAVE,0)),""),"")</f>
        <v/>
      </c>
      <c r="T93" s="65" t="str">
        <f aca="false">IF(B93="","",COUNTIFS(C_RUTN,AG93,C_TIPODOC,"Anexo de modificación"))</f>
        <v/>
      </c>
      <c r="U93" s="66" t="str">
        <f aca="false">IF(AND(OR(R93="Plazo fijo",R93="Obra o faena"),O93&lt;&gt;"Desvinculado"),IFERROR(IF(N(INDEX(C_TER,MATCH(AG93&amp;"-P"&amp;MAX(1,AH93),C_CLAVE,0)))=0,"",INDEX(C_TER,MATCH(AG93&amp;"-P"&amp;MAX(1,AH93),C_CLAVE,0))),""),"")</f>
        <v/>
      </c>
      <c r="V93" s="67" t="str">
        <f aca="false">IF(ISNUMBER(U93),U93-FECHA_CORTE,"")</f>
        <v/>
      </c>
      <c r="W93" s="62" t="str">
        <f aca="false">IF(B93="","",IF(O93="Desvinculado","Terminado",IF(N(AI93)=0,"Sin contrato registrado",IF(O93="Por ingresar","Por ingresar",IF(ISNUMBER(AJ93),"Renovación registrada",IF(R93="Indefinido","Indefinido",IF(NOT(ISNUMBER(V93)),"Falta fecha de término",IF(V93&lt;0,"VENCIDO",IF(V93&lt;=ALERTA_ROJA,"Vence en ≤ "&amp;ALERTA_ROJA&amp;" días",IF(V93&lt;=ALERTA_NARANJA,"Vence en ≤ "&amp;ALERTA_NARANJA&amp;" días",IF(V93&lt;=ALERTA_AMARILLA,"Vence en ≤ "&amp;ALERTA_AMARILLA&amp;" días","Vigente")))))))))))</f>
        <v/>
      </c>
      <c r="X93" s="62" t="str">
        <f aca="false">IF(B93="","",IF(W93="Terminado","—",IF(W93="Sin contrato registrado","Registrar su contrato en la hoja Contratos",IF(W93="Por ingresar","Tener el contrato firmado antes del ingreso",IF(W93="Renovación registrada","Siguiente contrato ya registrado: verificar que esté firmado",IF(R93="Indefinido","Sin vencimiento. Cambios de sueldo o cargo: anexo de modificación",IF(W93="Falta fecha de término","Completar la fecha de término en Contratos",IF(W93="VENCIDO","Sigue trabajando con plazo vencido: por ley ya es INDEFINIDO. Firmar anexo de paso a indefinido",IF(R93="Obra o faena","Al terminar la obra: finiquito + 2,5 días de sueldo por mes trabajado",IF(N(S93)&gt;=2,"2° contrato a plazo: NO se puede renovar otra vez a plazo fijo. Pasar a indefinido o terminar al vencer","1er contrato a plazo: renovar (2° contrato), pasar a indefinido o terminar al vencer"))))))))))</f>
        <v/>
      </c>
      <c r="Y93" s="68" t="str">
        <f aca="false">IF(O93&lt;&gt;"Activo","",ROUND(1.25*(DATEDIF(F93,AO93+1,"m")+(AO93+1-EDATE(F93,DATEDIF(F93,AO93+1,"m")))/30),2))</f>
        <v/>
      </c>
      <c r="Z93" s="68" t="str">
        <f aca="false">IF(O93&lt;&gt;"Activo","",N(M93)+SUMIFS(M_VAC,M_RUTN,AG93,M_MES,"&lt;="&amp;FECHA_CORTE))</f>
        <v/>
      </c>
      <c r="AA93" s="68" t="str">
        <f aca="false">IF(O93&lt;&gt;"Activo","",Y93-Z93)</f>
        <v/>
      </c>
      <c r="AB93" s="63" t="str">
        <f aca="false">IF(O93&lt;&gt;"Activo","",ROUND(MAX(0,IF(AA93&lt;=0,0,WORKDAY(FECHA_CORTE,INT(AA93),FERIADOS)-FECHA_CORTE+(AA93-INT(AA93))))*(Q93+N(K93))/30,0))</f>
        <v/>
      </c>
      <c r="AC93" s="65" t="str">
        <f aca="false">IF(O93&lt;&gt;"Activo","",IF(DATEDIF(F93,FECHA_CORTE+1,"y")&lt;1,0,MIN(TOPE_ANIOS,DATEDIF(F93,FECHA_CORTE+1,"y")+IF(EDATE(F93,12*DATEDIF(F93,FECHA_CORTE+1,"y")+6)&lt;FECHA_CORTE+1,1,0))))</f>
        <v/>
      </c>
      <c r="AD93" s="69" t="str">
        <f aca="false">IF(O93&lt;&gt;"Activo","",AB93+IF(R93="Obra o faena",0,ROUND(AL93*AC93,0)+ROUND(AL93,0)))</f>
        <v/>
      </c>
      <c r="AE93" s="69" t="str">
        <f aca="false">IF(O93&lt;&gt;"Activo","",AB93)</f>
        <v/>
      </c>
      <c r="AF93" s="69" t="str">
        <f aca="false">IF(AN93="","",IF(ISNUMBER(AJ93),"",ROUND(MAX(0,IF(AN93&lt;=0,0,WORKDAY(U93,INT(AN93),FERIADOS)-U93+(AN93-INT(AN93))))*(Q93+N(K93))/30,0)+IF(R93="Obra o faena",ROUND(OBRA_DIAS*AL93/30*(DATEDIF(F93,U93+1,"m")+IF(U93+1-EDATE(F93,DATEDIF(F93,U93+1,"m"))&gt;15,1,0)),0),0)))</f>
        <v/>
      </c>
      <c r="AG93" s="62" t="str">
        <f aca="false">IF(B93="","",IFERROR(VALUE(LEFT(UPPER(SUBSTITUTE(SUBSTITUTE(SUBSTITUTE(TRIM(B93),".",""),"-","")," ","")),LEN(UPPER(SUBSTITUTE(SUBSTITUTE(SUBSTITUTE(TRIM(B93),".",""),"-","")," ","")))-1))&amp;RIGHT(UPPER(SUBSTITUTE(SUBSTITUTE(SUBSTITUTE(TRIM(B93),".",""),"-","")," ","")),1),UPPER(SUBSTITUTE(SUBSTITUTE(SUBSTITUTE(TRIM(B93),".",""),"-","")," ",""))))</f>
        <v/>
      </c>
      <c r="AH93" s="62" t="str">
        <f aca="false">IF(B93="","",COUNTIFS(C_RUTN,AG93,C_DEF,"Sí",C_INI,"&lt;="&amp;FECHA_CORTE))</f>
        <v/>
      </c>
      <c r="AI93" s="62" t="str">
        <f aca="false">IF(B93="","",COUNTIFS(C_RUTN,AG93,C_DEF,"Sí"))</f>
        <v/>
      </c>
      <c r="AJ93" s="66" t="str">
        <f aca="false">IF(OR(B93="",N(AI93)&lt;=N(AH93)),"",IFERROR(INDEX(C_INI,MATCH(AG93&amp;"-P"&amp;(AH93+1),C_CLAVE,0)),""))</f>
        <v/>
      </c>
      <c r="AK93" s="63" t="str">
        <f aca="false">IF(O93&lt;&gt;"Activo","",Q93+N(K93)+IF(L93="Sí",MIN(GRAT_PCT*(Q93+N(K93)),GRAT_TOPE),0)+N(I93)+N(J93))</f>
        <v/>
      </c>
      <c r="AL93" s="63" t="str">
        <f aca="false">IF(O93&lt;&gt;"Activo","",MIN(AK93,TOPE_IAS_UF*UF_MES))</f>
        <v/>
      </c>
      <c r="AM93" s="62" t="str">
        <f aca="false">IF(AND(O93="Activo",ISNUMBER(V93),W93&lt;&gt;"Renovación registrada"),V93+ROW()/100000,"")</f>
        <v/>
      </c>
      <c r="AN93" s="70" t="str">
        <f aca="false">IF(OR(O93&lt;&gt;"Activo",NOT(ISNUMBER(U93))),"",IF(U93&lt;FECHA_CORTE,"",1.25*(DATEDIF(F93,U93+1,"m")+(U93+1-EDATE(F93,DATEDIF(F93,U93+1,"m")))/30)-Z93))</f>
        <v/>
      </c>
      <c r="AO93" s="66" t="str">
        <f aca="false">IF(OR(B93="",NOT(ISNUMBER(F93))),"",IF(N(G93)&gt;0,MIN(G93,FECHA_CORTE),FECHA_CORTE))</f>
        <v/>
      </c>
    </row>
    <row r="94" customFormat="false" ht="15" hidden="false" customHeight="false" outlineLevel="0" collapsed="false">
      <c r="B94" s="58"/>
      <c r="C94" s="58"/>
      <c r="D94" s="58"/>
      <c r="E94" s="58"/>
      <c r="F94" s="59"/>
      <c r="G94" s="59"/>
      <c r="H94" s="58"/>
      <c r="I94" s="60"/>
      <c r="J94" s="60"/>
      <c r="K94" s="60"/>
      <c r="L94" s="58"/>
      <c r="M94" s="61"/>
      <c r="N94" s="58"/>
      <c r="O94" s="62" t="str">
        <f aca="false">IF(B94="","",IF(NOT(ISNUMBER(F94)),"⚠ Falta ingreso",IF(F94&gt;FECHA_CORTE,"Por ingresar",IF(G94="","Activo",IF(G94&lt;FECHA_CORTE,"Desvinculado","Activo")))))</f>
        <v/>
      </c>
      <c r="P94" s="62" t="str">
        <f aca="false">IF(OR(B94="",NOT(ISNUMBER(F94))),"",IF(F94&gt;FECHA_CORTE,"",DATEDIF(F94,IF(G94="",FECHA_CORTE,MIN(G94,FECHA_CORTE))+1,"y")&amp;" a "&amp;DATEDIF(F94,IF(G94="",FECHA_CORTE,MIN(G94,FECHA_CORTE))+1,"ym")&amp;" m"))</f>
        <v/>
      </c>
      <c r="Q94" s="63" t="str">
        <f aca="false">IF(B94="","",IFERROR(INDEX(C_SUELDO,MATCH(AG94&amp;"-S"&amp;MAX(1,COUNTIFS(C_RUTN,AG94,C_SUELDO,"&lt;&gt;",C_INI,"&lt;="&amp;FECHA_CORTE)),C_CLAVES,0)),0))</f>
        <v/>
      </c>
      <c r="R94" s="62" t="str">
        <f aca="false">IF(B94="","",IF(N(AI94)=0,"Sin contrato",IFERROR(INDEX(C_TIPO,MATCH(AG94&amp;"-P"&amp;MAX(1,AH94),C_CLAVE,0))&amp;"","")))</f>
        <v/>
      </c>
      <c r="S94" s="64" t="str">
        <f aca="false">IF(R94="Plazo fijo",IFERROR(INDEX(C_NPF,MATCH(AG94&amp;"-P"&amp;MAX(1,AH94),C_CLAVE,0)),""),"")</f>
        <v/>
      </c>
      <c r="T94" s="65" t="str">
        <f aca="false">IF(B94="","",COUNTIFS(C_RUTN,AG94,C_TIPODOC,"Anexo de modificación"))</f>
        <v/>
      </c>
      <c r="U94" s="66" t="str">
        <f aca="false">IF(AND(OR(R94="Plazo fijo",R94="Obra o faena"),O94&lt;&gt;"Desvinculado"),IFERROR(IF(N(INDEX(C_TER,MATCH(AG94&amp;"-P"&amp;MAX(1,AH94),C_CLAVE,0)))=0,"",INDEX(C_TER,MATCH(AG94&amp;"-P"&amp;MAX(1,AH94),C_CLAVE,0))),""),"")</f>
        <v/>
      </c>
      <c r="V94" s="67" t="str">
        <f aca="false">IF(ISNUMBER(U94),U94-FECHA_CORTE,"")</f>
        <v/>
      </c>
      <c r="W94" s="62" t="str">
        <f aca="false">IF(B94="","",IF(O94="Desvinculado","Terminado",IF(N(AI94)=0,"Sin contrato registrado",IF(O94="Por ingresar","Por ingresar",IF(ISNUMBER(AJ94),"Renovación registrada",IF(R94="Indefinido","Indefinido",IF(NOT(ISNUMBER(V94)),"Falta fecha de término",IF(V94&lt;0,"VENCIDO",IF(V94&lt;=ALERTA_ROJA,"Vence en ≤ "&amp;ALERTA_ROJA&amp;" días",IF(V94&lt;=ALERTA_NARANJA,"Vence en ≤ "&amp;ALERTA_NARANJA&amp;" días",IF(V94&lt;=ALERTA_AMARILLA,"Vence en ≤ "&amp;ALERTA_AMARILLA&amp;" días","Vigente")))))))))))</f>
        <v/>
      </c>
      <c r="X94" s="62" t="str">
        <f aca="false">IF(B94="","",IF(W94="Terminado","—",IF(W94="Sin contrato registrado","Registrar su contrato en la hoja Contratos",IF(W94="Por ingresar","Tener el contrato firmado antes del ingreso",IF(W94="Renovación registrada","Siguiente contrato ya registrado: verificar que esté firmado",IF(R94="Indefinido","Sin vencimiento. Cambios de sueldo o cargo: anexo de modificación",IF(W94="Falta fecha de término","Completar la fecha de término en Contratos",IF(W94="VENCIDO","Sigue trabajando con plazo vencido: por ley ya es INDEFINIDO. Firmar anexo de paso a indefinido",IF(R94="Obra o faena","Al terminar la obra: finiquito + 2,5 días de sueldo por mes trabajado",IF(N(S94)&gt;=2,"2° contrato a plazo: NO se puede renovar otra vez a plazo fijo. Pasar a indefinido o terminar al vencer","1er contrato a plazo: renovar (2° contrato), pasar a indefinido o terminar al vencer"))))))))))</f>
        <v/>
      </c>
      <c r="Y94" s="68" t="str">
        <f aca="false">IF(O94&lt;&gt;"Activo","",ROUND(1.25*(DATEDIF(F94,AO94+1,"m")+(AO94+1-EDATE(F94,DATEDIF(F94,AO94+1,"m")))/30),2))</f>
        <v/>
      </c>
      <c r="Z94" s="68" t="str">
        <f aca="false">IF(O94&lt;&gt;"Activo","",N(M94)+SUMIFS(M_VAC,M_RUTN,AG94,M_MES,"&lt;="&amp;FECHA_CORTE))</f>
        <v/>
      </c>
      <c r="AA94" s="68" t="str">
        <f aca="false">IF(O94&lt;&gt;"Activo","",Y94-Z94)</f>
        <v/>
      </c>
      <c r="AB94" s="63" t="str">
        <f aca="false">IF(O94&lt;&gt;"Activo","",ROUND(MAX(0,IF(AA94&lt;=0,0,WORKDAY(FECHA_CORTE,INT(AA94),FERIADOS)-FECHA_CORTE+(AA94-INT(AA94))))*(Q94+N(K94))/30,0))</f>
        <v/>
      </c>
      <c r="AC94" s="65" t="str">
        <f aca="false">IF(O94&lt;&gt;"Activo","",IF(DATEDIF(F94,FECHA_CORTE+1,"y")&lt;1,0,MIN(TOPE_ANIOS,DATEDIF(F94,FECHA_CORTE+1,"y")+IF(EDATE(F94,12*DATEDIF(F94,FECHA_CORTE+1,"y")+6)&lt;FECHA_CORTE+1,1,0))))</f>
        <v/>
      </c>
      <c r="AD94" s="69" t="str">
        <f aca="false">IF(O94&lt;&gt;"Activo","",AB94+IF(R94="Obra o faena",0,ROUND(AL94*AC94,0)+ROUND(AL94,0)))</f>
        <v/>
      </c>
      <c r="AE94" s="69" t="str">
        <f aca="false">IF(O94&lt;&gt;"Activo","",AB94)</f>
        <v/>
      </c>
      <c r="AF94" s="69" t="str">
        <f aca="false">IF(AN94="","",IF(ISNUMBER(AJ94),"",ROUND(MAX(0,IF(AN94&lt;=0,0,WORKDAY(U94,INT(AN94),FERIADOS)-U94+(AN94-INT(AN94))))*(Q94+N(K94))/30,0)+IF(R94="Obra o faena",ROUND(OBRA_DIAS*AL94/30*(DATEDIF(F94,U94+1,"m")+IF(U94+1-EDATE(F94,DATEDIF(F94,U94+1,"m"))&gt;15,1,0)),0),0)))</f>
        <v/>
      </c>
      <c r="AG94" s="62" t="str">
        <f aca="false">IF(B94="","",IFERROR(VALUE(LEFT(UPPER(SUBSTITUTE(SUBSTITUTE(SUBSTITUTE(TRIM(B94),".",""),"-","")," ","")),LEN(UPPER(SUBSTITUTE(SUBSTITUTE(SUBSTITUTE(TRIM(B94),".",""),"-","")," ","")))-1))&amp;RIGHT(UPPER(SUBSTITUTE(SUBSTITUTE(SUBSTITUTE(TRIM(B94),".",""),"-","")," ","")),1),UPPER(SUBSTITUTE(SUBSTITUTE(SUBSTITUTE(TRIM(B94),".",""),"-","")," ",""))))</f>
        <v/>
      </c>
      <c r="AH94" s="62" t="str">
        <f aca="false">IF(B94="","",COUNTIFS(C_RUTN,AG94,C_DEF,"Sí",C_INI,"&lt;="&amp;FECHA_CORTE))</f>
        <v/>
      </c>
      <c r="AI94" s="62" t="str">
        <f aca="false">IF(B94="","",COUNTIFS(C_RUTN,AG94,C_DEF,"Sí"))</f>
        <v/>
      </c>
      <c r="AJ94" s="66" t="str">
        <f aca="false">IF(OR(B94="",N(AI94)&lt;=N(AH94)),"",IFERROR(INDEX(C_INI,MATCH(AG94&amp;"-P"&amp;(AH94+1),C_CLAVE,0)),""))</f>
        <v/>
      </c>
      <c r="AK94" s="63" t="str">
        <f aca="false">IF(O94&lt;&gt;"Activo","",Q94+N(K94)+IF(L94="Sí",MIN(GRAT_PCT*(Q94+N(K94)),GRAT_TOPE),0)+N(I94)+N(J94))</f>
        <v/>
      </c>
      <c r="AL94" s="63" t="str">
        <f aca="false">IF(O94&lt;&gt;"Activo","",MIN(AK94,TOPE_IAS_UF*UF_MES))</f>
        <v/>
      </c>
      <c r="AM94" s="62" t="str">
        <f aca="false">IF(AND(O94="Activo",ISNUMBER(V94),W94&lt;&gt;"Renovación registrada"),V94+ROW()/100000,"")</f>
        <v/>
      </c>
      <c r="AN94" s="70" t="str">
        <f aca="false">IF(OR(O94&lt;&gt;"Activo",NOT(ISNUMBER(U94))),"",IF(U94&lt;FECHA_CORTE,"",1.25*(DATEDIF(F94,U94+1,"m")+(U94+1-EDATE(F94,DATEDIF(F94,U94+1,"m")))/30)-Z94))</f>
        <v/>
      </c>
      <c r="AO94" s="66" t="str">
        <f aca="false">IF(OR(B94="",NOT(ISNUMBER(F94))),"",IF(N(G94)&gt;0,MIN(G94,FECHA_CORTE),FECHA_CORTE))</f>
        <v/>
      </c>
    </row>
    <row r="95" customFormat="false" ht="15" hidden="false" customHeight="false" outlineLevel="0" collapsed="false">
      <c r="B95" s="58"/>
      <c r="C95" s="58"/>
      <c r="D95" s="58"/>
      <c r="E95" s="58"/>
      <c r="F95" s="59"/>
      <c r="G95" s="59"/>
      <c r="H95" s="58"/>
      <c r="I95" s="60"/>
      <c r="J95" s="60"/>
      <c r="K95" s="60"/>
      <c r="L95" s="58"/>
      <c r="M95" s="61"/>
      <c r="N95" s="58"/>
      <c r="O95" s="62" t="str">
        <f aca="false">IF(B95="","",IF(NOT(ISNUMBER(F95)),"⚠ Falta ingreso",IF(F95&gt;FECHA_CORTE,"Por ingresar",IF(G95="","Activo",IF(G95&lt;FECHA_CORTE,"Desvinculado","Activo")))))</f>
        <v/>
      </c>
      <c r="P95" s="62" t="str">
        <f aca="false">IF(OR(B95="",NOT(ISNUMBER(F95))),"",IF(F95&gt;FECHA_CORTE,"",DATEDIF(F95,IF(G95="",FECHA_CORTE,MIN(G95,FECHA_CORTE))+1,"y")&amp;" a "&amp;DATEDIF(F95,IF(G95="",FECHA_CORTE,MIN(G95,FECHA_CORTE))+1,"ym")&amp;" m"))</f>
        <v/>
      </c>
      <c r="Q95" s="63" t="str">
        <f aca="false">IF(B95="","",IFERROR(INDEX(C_SUELDO,MATCH(AG95&amp;"-S"&amp;MAX(1,COUNTIFS(C_RUTN,AG95,C_SUELDO,"&lt;&gt;",C_INI,"&lt;="&amp;FECHA_CORTE)),C_CLAVES,0)),0))</f>
        <v/>
      </c>
      <c r="R95" s="62" t="str">
        <f aca="false">IF(B95="","",IF(N(AI95)=0,"Sin contrato",IFERROR(INDEX(C_TIPO,MATCH(AG95&amp;"-P"&amp;MAX(1,AH95),C_CLAVE,0))&amp;"","")))</f>
        <v/>
      </c>
      <c r="S95" s="64" t="str">
        <f aca="false">IF(R95="Plazo fijo",IFERROR(INDEX(C_NPF,MATCH(AG95&amp;"-P"&amp;MAX(1,AH95),C_CLAVE,0)),""),"")</f>
        <v/>
      </c>
      <c r="T95" s="65" t="str">
        <f aca="false">IF(B95="","",COUNTIFS(C_RUTN,AG95,C_TIPODOC,"Anexo de modificación"))</f>
        <v/>
      </c>
      <c r="U95" s="66" t="str">
        <f aca="false">IF(AND(OR(R95="Plazo fijo",R95="Obra o faena"),O95&lt;&gt;"Desvinculado"),IFERROR(IF(N(INDEX(C_TER,MATCH(AG95&amp;"-P"&amp;MAX(1,AH95),C_CLAVE,0)))=0,"",INDEX(C_TER,MATCH(AG95&amp;"-P"&amp;MAX(1,AH95),C_CLAVE,0))),""),"")</f>
        <v/>
      </c>
      <c r="V95" s="67" t="str">
        <f aca="false">IF(ISNUMBER(U95),U95-FECHA_CORTE,"")</f>
        <v/>
      </c>
      <c r="W95" s="62" t="str">
        <f aca="false">IF(B95="","",IF(O95="Desvinculado","Terminado",IF(N(AI95)=0,"Sin contrato registrado",IF(O95="Por ingresar","Por ingresar",IF(ISNUMBER(AJ95),"Renovación registrada",IF(R95="Indefinido","Indefinido",IF(NOT(ISNUMBER(V95)),"Falta fecha de término",IF(V95&lt;0,"VENCIDO",IF(V95&lt;=ALERTA_ROJA,"Vence en ≤ "&amp;ALERTA_ROJA&amp;" días",IF(V95&lt;=ALERTA_NARANJA,"Vence en ≤ "&amp;ALERTA_NARANJA&amp;" días",IF(V95&lt;=ALERTA_AMARILLA,"Vence en ≤ "&amp;ALERTA_AMARILLA&amp;" días","Vigente")))))))))))</f>
        <v/>
      </c>
      <c r="X95" s="62" t="str">
        <f aca="false">IF(B95="","",IF(W95="Terminado","—",IF(W95="Sin contrato registrado","Registrar su contrato en la hoja Contratos",IF(W95="Por ingresar","Tener el contrato firmado antes del ingreso",IF(W95="Renovación registrada","Siguiente contrato ya registrado: verificar que esté firmado",IF(R95="Indefinido","Sin vencimiento. Cambios de sueldo o cargo: anexo de modificación",IF(W95="Falta fecha de término","Completar la fecha de término en Contratos",IF(W95="VENCIDO","Sigue trabajando con plazo vencido: por ley ya es INDEFINIDO. Firmar anexo de paso a indefinido",IF(R95="Obra o faena","Al terminar la obra: finiquito + 2,5 días de sueldo por mes trabajado",IF(N(S95)&gt;=2,"2° contrato a plazo: NO se puede renovar otra vez a plazo fijo. Pasar a indefinido o terminar al vencer","1er contrato a plazo: renovar (2° contrato), pasar a indefinido o terminar al vencer"))))))))))</f>
        <v/>
      </c>
      <c r="Y95" s="68" t="str">
        <f aca="false">IF(O95&lt;&gt;"Activo","",ROUND(1.25*(DATEDIF(F95,AO95+1,"m")+(AO95+1-EDATE(F95,DATEDIF(F95,AO95+1,"m")))/30),2))</f>
        <v/>
      </c>
      <c r="Z95" s="68" t="str">
        <f aca="false">IF(O95&lt;&gt;"Activo","",N(M95)+SUMIFS(M_VAC,M_RUTN,AG95,M_MES,"&lt;="&amp;FECHA_CORTE))</f>
        <v/>
      </c>
      <c r="AA95" s="68" t="str">
        <f aca="false">IF(O95&lt;&gt;"Activo","",Y95-Z95)</f>
        <v/>
      </c>
      <c r="AB95" s="63" t="str">
        <f aca="false">IF(O95&lt;&gt;"Activo","",ROUND(MAX(0,IF(AA95&lt;=0,0,WORKDAY(FECHA_CORTE,INT(AA95),FERIADOS)-FECHA_CORTE+(AA95-INT(AA95))))*(Q95+N(K95))/30,0))</f>
        <v/>
      </c>
      <c r="AC95" s="65" t="str">
        <f aca="false">IF(O95&lt;&gt;"Activo","",IF(DATEDIF(F95,FECHA_CORTE+1,"y")&lt;1,0,MIN(TOPE_ANIOS,DATEDIF(F95,FECHA_CORTE+1,"y")+IF(EDATE(F95,12*DATEDIF(F95,FECHA_CORTE+1,"y")+6)&lt;FECHA_CORTE+1,1,0))))</f>
        <v/>
      </c>
      <c r="AD95" s="69" t="str">
        <f aca="false">IF(O95&lt;&gt;"Activo","",AB95+IF(R95="Obra o faena",0,ROUND(AL95*AC95,0)+ROUND(AL95,0)))</f>
        <v/>
      </c>
      <c r="AE95" s="69" t="str">
        <f aca="false">IF(O95&lt;&gt;"Activo","",AB95)</f>
        <v/>
      </c>
      <c r="AF95" s="69" t="str">
        <f aca="false">IF(AN95="","",IF(ISNUMBER(AJ95),"",ROUND(MAX(0,IF(AN95&lt;=0,0,WORKDAY(U95,INT(AN95),FERIADOS)-U95+(AN95-INT(AN95))))*(Q95+N(K95))/30,0)+IF(R95="Obra o faena",ROUND(OBRA_DIAS*AL95/30*(DATEDIF(F95,U95+1,"m")+IF(U95+1-EDATE(F95,DATEDIF(F95,U95+1,"m"))&gt;15,1,0)),0),0)))</f>
        <v/>
      </c>
      <c r="AG95" s="62" t="str">
        <f aca="false">IF(B95="","",IFERROR(VALUE(LEFT(UPPER(SUBSTITUTE(SUBSTITUTE(SUBSTITUTE(TRIM(B95),".",""),"-","")," ","")),LEN(UPPER(SUBSTITUTE(SUBSTITUTE(SUBSTITUTE(TRIM(B95),".",""),"-","")," ","")))-1))&amp;RIGHT(UPPER(SUBSTITUTE(SUBSTITUTE(SUBSTITUTE(TRIM(B95),".",""),"-","")," ","")),1),UPPER(SUBSTITUTE(SUBSTITUTE(SUBSTITUTE(TRIM(B95),".",""),"-","")," ",""))))</f>
        <v/>
      </c>
      <c r="AH95" s="62" t="str">
        <f aca="false">IF(B95="","",COUNTIFS(C_RUTN,AG95,C_DEF,"Sí",C_INI,"&lt;="&amp;FECHA_CORTE))</f>
        <v/>
      </c>
      <c r="AI95" s="62" t="str">
        <f aca="false">IF(B95="","",COUNTIFS(C_RUTN,AG95,C_DEF,"Sí"))</f>
        <v/>
      </c>
      <c r="AJ95" s="66" t="str">
        <f aca="false">IF(OR(B95="",N(AI95)&lt;=N(AH95)),"",IFERROR(INDEX(C_INI,MATCH(AG95&amp;"-P"&amp;(AH95+1),C_CLAVE,0)),""))</f>
        <v/>
      </c>
      <c r="AK95" s="63" t="str">
        <f aca="false">IF(O95&lt;&gt;"Activo","",Q95+N(K95)+IF(L95="Sí",MIN(GRAT_PCT*(Q95+N(K95)),GRAT_TOPE),0)+N(I95)+N(J95))</f>
        <v/>
      </c>
      <c r="AL95" s="63" t="str">
        <f aca="false">IF(O95&lt;&gt;"Activo","",MIN(AK95,TOPE_IAS_UF*UF_MES))</f>
        <v/>
      </c>
      <c r="AM95" s="62" t="str">
        <f aca="false">IF(AND(O95="Activo",ISNUMBER(V95),W95&lt;&gt;"Renovación registrada"),V95+ROW()/100000,"")</f>
        <v/>
      </c>
      <c r="AN95" s="70" t="str">
        <f aca="false">IF(OR(O95&lt;&gt;"Activo",NOT(ISNUMBER(U95))),"",IF(U95&lt;FECHA_CORTE,"",1.25*(DATEDIF(F95,U95+1,"m")+(U95+1-EDATE(F95,DATEDIF(F95,U95+1,"m")))/30)-Z95))</f>
        <v/>
      </c>
      <c r="AO95" s="66" t="str">
        <f aca="false">IF(OR(B95="",NOT(ISNUMBER(F95))),"",IF(N(G95)&gt;0,MIN(G95,FECHA_CORTE),FECHA_CORTE))</f>
        <v/>
      </c>
    </row>
    <row r="96" customFormat="false" ht="15" hidden="false" customHeight="false" outlineLevel="0" collapsed="false">
      <c r="B96" s="58"/>
      <c r="C96" s="58"/>
      <c r="D96" s="58"/>
      <c r="E96" s="58"/>
      <c r="F96" s="59"/>
      <c r="G96" s="59"/>
      <c r="H96" s="58"/>
      <c r="I96" s="60"/>
      <c r="J96" s="60"/>
      <c r="K96" s="60"/>
      <c r="L96" s="58"/>
      <c r="M96" s="61"/>
      <c r="N96" s="58"/>
      <c r="O96" s="62" t="str">
        <f aca="false">IF(B96="","",IF(NOT(ISNUMBER(F96)),"⚠ Falta ingreso",IF(F96&gt;FECHA_CORTE,"Por ingresar",IF(G96="","Activo",IF(G96&lt;FECHA_CORTE,"Desvinculado","Activo")))))</f>
        <v/>
      </c>
      <c r="P96" s="62" t="str">
        <f aca="false">IF(OR(B96="",NOT(ISNUMBER(F96))),"",IF(F96&gt;FECHA_CORTE,"",DATEDIF(F96,IF(G96="",FECHA_CORTE,MIN(G96,FECHA_CORTE))+1,"y")&amp;" a "&amp;DATEDIF(F96,IF(G96="",FECHA_CORTE,MIN(G96,FECHA_CORTE))+1,"ym")&amp;" m"))</f>
        <v/>
      </c>
      <c r="Q96" s="63" t="str">
        <f aca="false">IF(B96="","",IFERROR(INDEX(C_SUELDO,MATCH(AG96&amp;"-S"&amp;MAX(1,COUNTIFS(C_RUTN,AG96,C_SUELDO,"&lt;&gt;",C_INI,"&lt;="&amp;FECHA_CORTE)),C_CLAVES,0)),0))</f>
        <v/>
      </c>
      <c r="R96" s="62" t="str">
        <f aca="false">IF(B96="","",IF(N(AI96)=0,"Sin contrato",IFERROR(INDEX(C_TIPO,MATCH(AG96&amp;"-P"&amp;MAX(1,AH96),C_CLAVE,0))&amp;"","")))</f>
        <v/>
      </c>
      <c r="S96" s="64" t="str">
        <f aca="false">IF(R96="Plazo fijo",IFERROR(INDEX(C_NPF,MATCH(AG96&amp;"-P"&amp;MAX(1,AH96),C_CLAVE,0)),""),"")</f>
        <v/>
      </c>
      <c r="T96" s="65" t="str">
        <f aca="false">IF(B96="","",COUNTIFS(C_RUTN,AG96,C_TIPODOC,"Anexo de modificación"))</f>
        <v/>
      </c>
      <c r="U96" s="66" t="str">
        <f aca="false">IF(AND(OR(R96="Plazo fijo",R96="Obra o faena"),O96&lt;&gt;"Desvinculado"),IFERROR(IF(N(INDEX(C_TER,MATCH(AG96&amp;"-P"&amp;MAX(1,AH96),C_CLAVE,0)))=0,"",INDEX(C_TER,MATCH(AG96&amp;"-P"&amp;MAX(1,AH96),C_CLAVE,0))),""),"")</f>
        <v/>
      </c>
      <c r="V96" s="67" t="str">
        <f aca="false">IF(ISNUMBER(U96),U96-FECHA_CORTE,"")</f>
        <v/>
      </c>
      <c r="W96" s="62" t="str">
        <f aca="false">IF(B96="","",IF(O96="Desvinculado","Terminado",IF(N(AI96)=0,"Sin contrato registrado",IF(O96="Por ingresar","Por ingresar",IF(ISNUMBER(AJ96),"Renovación registrada",IF(R96="Indefinido","Indefinido",IF(NOT(ISNUMBER(V96)),"Falta fecha de término",IF(V96&lt;0,"VENCIDO",IF(V96&lt;=ALERTA_ROJA,"Vence en ≤ "&amp;ALERTA_ROJA&amp;" días",IF(V96&lt;=ALERTA_NARANJA,"Vence en ≤ "&amp;ALERTA_NARANJA&amp;" días",IF(V96&lt;=ALERTA_AMARILLA,"Vence en ≤ "&amp;ALERTA_AMARILLA&amp;" días","Vigente")))))))))))</f>
        <v/>
      </c>
      <c r="X96" s="62" t="str">
        <f aca="false">IF(B96="","",IF(W96="Terminado","—",IF(W96="Sin contrato registrado","Registrar su contrato en la hoja Contratos",IF(W96="Por ingresar","Tener el contrato firmado antes del ingreso",IF(W96="Renovación registrada","Siguiente contrato ya registrado: verificar que esté firmado",IF(R96="Indefinido","Sin vencimiento. Cambios de sueldo o cargo: anexo de modificación",IF(W96="Falta fecha de término","Completar la fecha de término en Contratos",IF(W96="VENCIDO","Sigue trabajando con plazo vencido: por ley ya es INDEFINIDO. Firmar anexo de paso a indefinido",IF(R96="Obra o faena","Al terminar la obra: finiquito + 2,5 días de sueldo por mes trabajado",IF(N(S96)&gt;=2,"2° contrato a plazo: NO se puede renovar otra vez a plazo fijo. Pasar a indefinido o terminar al vencer","1er contrato a plazo: renovar (2° contrato), pasar a indefinido o terminar al vencer"))))))))))</f>
        <v/>
      </c>
      <c r="Y96" s="68" t="str">
        <f aca="false">IF(O96&lt;&gt;"Activo","",ROUND(1.25*(DATEDIF(F96,AO96+1,"m")+(AO96+1-EDATE(F96,DATEDIF(F96,AO96+1,"m")))/30),2))</f>
        <v/>
      </c>
      <c r="Z96" s="68" t="str">
        <f aca="false">IF(O96&lt;&gt;"Activo","",N(M96)+SUMIFS(M_VAC,M_RUTN,AG96,M_MES,"&lt;="&amp;FECHA_CORTE))</f>
        <v/>
      </c>
      <c r="AA96" s="68" t="str">
        <f aca="false">IF(O96&lt;&gt;"Activo","",Y96-Z96)</f>
        <v/>
      </c>
      <c r="AB96" s="63" t="str">
        <f aca="false">IF(O96&lt;&gt;"Activo","",ROUND(MAX(0,IF(AA96&lt;=0,0,WORKDAY(FECHA_CORTE,INT(AA96),FERIADOS)-FECHA_CORTE+(AA96-INT(AA96))))*(Q96+N(K96))/30,0))</f>
        <v/>
      </c>
      <c r="AC96" s="65" t="str">
        <f aca="false">IF(O96&lt;&gt;"Activo","",IF(DATEDIF(F96,FECHA_CORTE+1,"y")&lt;1,0,MIN(TOPE_ANIOS,DATEDIF(F96,FECHA_CORTE+1,"y")+IF(EDATE(F96,12*DATEDIF(F96,FECHA_CORTE+1,"y")+6)&lt;FECHA_CORTE+1,1,0))))</f>
        <v/>
      </c>
      <c r="AD96" s="69" t="str">
        <f aca="false">IF(O96&lt;&gt;"Activo","",AB96+IF(R96="Obra o faena",0,ROUND(AL96*AC96,0)+ROUND(AL96,0)))</f>
        <v/>
      </c>
      <c r="AE96" s="69" t="str">
        <f aca="false">IF(O96&lt;&gt;"Activo","",AB96)</f>
        <v/>
      </c>
      <c r="AF96" s="69" t="str">
        <f aca="false">IF(AN96="","",IF(ISNUMBER(AJ96),"",ROUND(MAX(0,IF(AN96&lt;=0,0,WORKDAY(U96,INT(AN96),FERIADOS)-U96+(AN96-INT(AN96))))*(Q96+N(K96))/30,0)+IF(R96="Obra o faena",ROUND(OBRA_DIAS*AL96/30*(DATEDIF(F96,U96+1,"m")+IF(U96+1-EDATE(F96,DATEDIF(F96,U96+1,"m"))&gt;15,1,0)),0),0)))</f>
        <v/>
      </c>
      <c r="AG96" s="62" t="str">
        <f aca="false">IF(B96="","",IFERROR(VALUE(LEFT(UPPER(SUBSTITUTE(SUBSTITUTE(SUBSTITUTE(TRIM(B96),".",""),"-","")," ","")),LEN(UPPER(SUBSTITUTE(SUBSTITUTE(SUBSTITUTE(TRIM(B96),".",""),"-","")," ","")))-1))&amp;RIGHT(UPPER(SUBSTITUTE(SUBSTITUTE(SUBSTITUTE(TRIM(B96),".",""),"-","")," ","")),1),UPPER(SUBSTITUTE(SUBSTITUTE(SUBSTITUTE(TRIM(B96),".",""),"-","")," ",""))))</f>
        <v/>
      </c>
      <c r="AH96" s="62" t="str">
        <f aca="false">IF(B96="","",COUNTIFS(C_RUTN,AG96,C_DEF,"Sí",C_INI,"&lt;="&amp;FECHA_CORTE))</f>
        <v/>
      </c>
      <c r="AI96" s="62" t="str">
        <f aca="false">IF(B96="","",COUNTIFS(C_RUTN,AG96,C_DEF,"Sí"))</f>
        <v/>
      </c>
      <c r="AJ96" s="66" t="str">
        <f aca="false">IF(OR(B96="",N(AI96)&lt;=N(AH96)),"",IFERROR(INDEX(C_INI,MATCH(AG96&amp;"-P"&amp;(AH96+1),C_CLAVE,0)),""))</f>
        <v/>
      </c>
      <c r="AK96" s="63" t="str">
        <f aca="false">IF(O96&lt;&gt;"Activo","",Q96+N(K96)+IF(L96="Sí",MIN(GRAT_PCT*(Q96+N(K96)),GRAT_TOPE),0)+N(I96)+N(J96))</f>
        <v/>
      </c>
      <c r="AL96" s="63" t="str">
        <f aca="false">IF(O96&lt;&gt;"Activo","",MIN(AK96,TOPE_IAS_UF*UF_MES))</f>
        <v/>
      </c>
      <c r="AM96" s="62" t="str">
        <f aca="false">IF(AND(O96="Activo",ISNUMBER(V96),W96&lt;&gt;"Renovación registrada"),V96+ROW()/100000,"")</f>
        <v/>
      </c>
      <c r="AN96" s="70" t="str">
        <f aca="false">IF(OR(O96&lt;&gt;"Activo",NOT(ISNUMBER(U96))),"",IF(U96&lt;FECHA_CORTE,"",1.25*(DATEDIF(F96,U96+1,"m")+(U96+1-EDATE(F96,DATEDIF(F96,U96+1,"m")))/30)-Z96))</f>
        <v/>
      </c>
      <c r="AO96" s="66" t="str">
        <f aca="false">IF(OR(B96="",NOT(ISNUMBER(F96))),"",IF(N(G96)&gt;0,MIN(G96,FECHA_CORTE),FECHA_CORTE))</f>
        <v/>
      </c>
    </row>
    <row r="97" customFormat="false" ht="15" hidden="false" customHeight="false" outlineLevel="0" collapsed="false">
      <c r="B97" s="58"/>
      <c r="C97" s="58"/>
      <c r="D97" s="58"/>
      <c r="E97" s="58"/>
      <c r="F97" s="59"/>
      <c r="G97" s="59"/>
      <c r="H97" s="58"/>
      <c r="I97" s="60"/>
      <c r="J97" s="60"/>
      <c r="K97" s="60"/>
      <c r="L97" s="58"/>
      <c r="M97" s="61"/>
      <c r="N97" s="58"/>
      <c r="O97" s="62" t="str">
        <f aca="false">IF(B97="","",IF(NOT(ISNUMBER(F97)),"⚠ Falta ingreso",IF(F97&gt;FECHA_CORTE,"Por ingresar",IF(G97="","Activo",IF(G97&lt;FECHA_CORTE,"Desvinculado","Activo")))))</f>
        <v/>
      </c>
      <c r="P97" s="62" t="str">
        <f aca="false">IF(OR(B97="",NOT(ISNUMBER(F97))),"",IF(F97&gt;FECHA_CORTE,"",DATEDIF(F97,IF(G97="",FECHA_CORTE,MIN(G97,FECHA_CORTE))+1,"y")&amp;" a "&amp;DATEDIF(F97,IF(G97="",FECHA_CORTE,MIN(G97,FECHA_CORTE))+1,"ym")&amp;" m"))</f>
        <v/>
      </c>
      <c r="Q97" s="63" t="str">
        <f aca="false">IF(B97="","",IFERROR(INDEX(C_SUELDO,MATCH(AG97&amp;"-S"&amp;MAX(1,COUNTIFS(C_RUTN,AG97,C_SUELDO,"&lt;&gt;",C_INI,"&lt;="&amp;FECHA_CORTE)),C_CLAVES,0)),0))</f>
        <v/>
      </c>
      <c r="R97" s="62" t="str">
        <f aca="false">IF(B97="","",IF(N(AI97)=0,"Sin contrato",IFERROR(INDEX(C_TIPO,MATCH(AG97&amp;"-P"&amp;MAX(1,AH97),C_CLAVE,0))&amp;"","")))</f>
        <v/>
      </c>
      <c r="S97" s="64" t="str">
        <f aca="false">IF(R97="Plazo fijo",IFERROR(INDEX(C_NPF,MATCH(AG97&amp;"-P"&amp;MAX(1,AH97),C_CLAVE,0)),""),"")</f>
        <v/>
      </c>
      <c r="T97" s="65" t="str">
        <f aca="false">IF(B97="","",COUNTIFS(C_RUTN,AG97,C_TIPODOC,"Anexo de modificación"))</f>
        <v/>
      </c>
      <c r="U97" s="66" t="str">
        <f aca="false">IF(AND(OR(R97="Plazo fijo",R97="Obra o faena"),O97&lt;&gt;"Desvinculado"),IFERROR(IF(N(INDEX(C_TER,MATCH(AG97&amp;"-P"&amp;MAX(1,AH97),C_CLAVE,0)))=0,"",INDEX(C_TER,MATCH(AG97&amp;"-P"&amp;MAX(1,AH97),C_CLAVE,0))),""),"")</f>
        <v/>
      </c>
      <c r="V97" s="67" t="str">
        <f aca="false">IF(ISNUMBER(U97),U97-FECHA_CORTE,"")</f>
        <v/>
      </c>
      <c r="W97" s="62" t="str">
        <f aca="false">IF(B97="","",IF(O97="Desvinculado","Terminado",IF(N(AI97)=0,"Sin contrato registrado",IF(O97="Por ingresar","Por ingresar",IF(ISNUMBER(AJ97),"Renovación registrada",IF(R97="Indefinido","Indefinido",IF(NOT(ISNUMBER(V97)),"Falta fecha de término",IF(V97&lt;0,"VENCIDO",IF(V97&lt;=ALERTA_ROJA,"Vence en ≤ "&amp;ALERTA_ROJA&amp;" días",IF(V97&lt;=ALERTA_NARANJA,"Vence en ≤ "&amp;ALERTA_NARANJA&amp;" días",IF(V97&lt;=ALERTA_AMARILLA,"Vence en ≤ "&amp;ALERTA_AMARILLA&amp;" días","Vigente")))))))))))</f>
        <v/>
      </c>
      <c r="X97" s="62" t="str">
        <f aca="false">IF(B97="","",IF(W97="Terminado","—",IF(W97="Sin contrato registrado","Registrar su contrato en la hoja Contratos",IF(W97="Por ingresar","Tener el contrato firmado antes del ingreso",IF(W97="Renovación registrada","Siguiente contrato ya registrado: verificar que esté firmado",IF(R97="Indefinido","Sin vencimiento. Cambios de sueldo o cargo: anexo de modificación",IF(W97="Falta fecha de término","Completar la fecha de término en Contratos",IF(W97="VENCIDO","Sigue trabajando con plazo vencido: por ley ya es INDEFINIDO. Firmar anexo de paso a indefinido",IF(R97="Obra o faena","Al terminar la obra: finiquito + 2,5 días de sueldo por mes trabajado",IF(N(S97)&gt;=2,"2° contrato a plazo: NO se puede renovar otra vez a plazo fijo. Pasar a indefinido o terminar al vencer","1er contrato a plazo: renovar (2° contrato), pasar a indefinido o terminar al vencer"))))))))))</f>
        <v/>
      </c>
      <c r="Y97" s="68" t="str">
        <f aca="false">IF(O97&lt;&gt;"Activo","",ROUND(1.25*(DATEDIF(F97,AO97+1,"m")+(AO97+1-EDATE(F97,DATEDIF(F97,AO97+1,"m")))/30),2))</f>
        <v/>
      </c>
      <c r="Z97" s="68" t="str">
        <f aca="false">IF(O97&lt;&gt;"Activo","",N(M97)+SUMIFS(M_VAC,M_RUTN,AG97,M_MES,"&lt;="&amp;FECHA_CORTE))</f>
        <v/>
      </c>
      <c r="AA97" s="68" t="str">
        <f aca="false">IF(O97&lt;&gt;"Activo","",Y97-Z97)</f>
        <v/>
      </c>
      <c r="AB97" s="63" t="str">
        <f aca="false">IF(O97&lt;&gt;"Activo","",ROUND(MAX(0,IF(AA97&lt;=0,0,WORKDAY(FECHA_CORTE,INT(AA97),FERIADOS)-FECHA_CORTE+(AA97-INT(AA97))))*(Q97+N(K97))/30,0))</f>
        <v/>
      </c>
      <c r="AC97" s="65" t="str">
        <f aca="false">IF(O97&lt;&gt;"Activo","",IF(DATEDIF(F97,FECHA_CORTE+1,"y")&lt;1,0,MIN(TOPE_ANIOS,DATEDIF(F97,FECHA_CORTE+1,"y")+IF(EDATE(F97,12*DATEDIF(F97,FECHA_CORTE+1,"y")+6)&lt;FECHA_CORTE+1,1,0))))</f>
        <v/>
      </c>
      <c r="AD97" s="69" t="str">
        <f aca="false">IF(O97&lt;&gt;"Activo","",AB97+IF(R97="Obra o faena",0,ROUND(AL97*AC97,0)+ROUND(AL97,0)))</f>
        <v/>
      </c>
      <c r="AE97" s="69" t="str">
        <f aca="false">IF(O97&lt;&gt;"Activo","",AB97)</f>
        <v/>
      </c>
      <c r="AF97" s="69" t="str">
        <f aca="false">IF(AN97="","",IF(ISNUMBER(AJ97),"",ROUND(MAX(0,IF(AN97&lt;=0,0,WORKDAY(U97,INT(AN97),FERIADOS)-U97+(AN97-INT(AN97))))*(Q97+N(K97))/30,0)+IF(R97="Obra o faena",ROUND(OBRA_DIAS*AL97/30*(DATEDIF(F97,U97+1,"m")+IF(U97+1-EDATE(F97,DATEDIF(F97,U97+1,"m"))&gt;15,1,0)),0),0)))</f>
        <v/>
      </c>
      <c r="AG97" s="62" t="str">
        <f aca="false">IF(B97="","",IFERROR(VALUE(LEFT(UPPER(SUBSTITUTE(SUBSTITUTE(SUBSTITUTE(TRIM(B97),".",""),"-","")," ","")),LEN(UPPER(SUBSTITUTE(SUBSTITUTE(SUBSTITUTE(TRIM(B97),".",""),"-","")," ","")))-1))&amp;RIGHT(UPPER(SUBSTITUTE(SUBSTITUTE(SUBSTITUTE(TRIM(B97),".",""),"-","")," ","")),1),UPPER(SUBSTITUTE(SUBSTITUTE(SUBSTITUTE(TRIM(B97),".",""),"-","")," ",""))))</f>
        <v/>
      </c>
      <c r="AH97" s="62" t="str">
        <f aca="false">IF(B97="","",COUNTIFS(C_RUTN,AG97,C_DEF,"Sí",C_INI,"&lt;="&amp;FECHA_CORTE))</f>
        <v/>
      </c>
      <c r="AI97" s="62" t="str">
        <f aca="false">IF(B97="","",COUNTIFS(C_RUTN,AG97,C_DEF,"Sí"))</f>
        <v/>
      </c>
      <c r="AJ97" s="66" t="str">
        <f aca="false">IF(OR(B97="",N(AI97)&lt;=N(AH97)),"",IFERROR(INDEX(C_INI,MATCH(AG97&amp;"-P"&amp;(AH97+1),C_CLAVE,0)),""))</f>
        <v/>
      </c>
      <c r="AK97" s="63" t="str">
        <f aca="false">IF(O97&lt;&gt;"Activo","",Q97+N(K97)+IF(L97="Sí",MIN(GRAT_PCT*(Q97+N(K97)),GRAT_TOPE),0)+N(I97)+N(J97))</f>
        <v/>
      </c>
      <c r="AL97" s="63" t="str">
        <f aca="false">IF(O97&lt;&gt;"Activo","",MIN(AK97,TOPE_IAS_UF*UF_MES))</f>
        <v/>
      </c>
      <c r="AM97" s="62" t="str">
        <f aca="false">IF(AND(O97="Activo",ISNUMBER(V97),W97&lt;&gt;"Renovación registrada"),V97+ROW()/100000,"")</f>
        <v/>
      </c>
      <c r="AN97" s="70" t="str">
        <f aca="false">IF(OR(O97&lt;&gt;"Activo",NOT(ISNUMBER(U97))),"",IF(U97&lt;FECHA_CORTE,"",1.25*(DATEDIF(F97,U97+1,"m")+(U97+1-EDATE(F97,DATEDIF(F97,U97+1,"m")))/30)-Z97))</f>
        <v/>
      </c>
      <c r="AO97" s="66" t="str">
        <f aca="false">IF(OR(B97="",NOT(ISNUMBER(F97))),"",IF(N(G97)&gt;0,MIN(G97,FECHA_CORTE),FECHA_CORTE))</f>
        <v/>
      </c>
    </row>
    <row r="98" customFormat="false" ht="15" hidden="false" customHeight="false" outlineLevel="0" collapsed="false">
      <c r="B98" s="58"/>
      <c r="C98" s="58"/>
      <c r="D98" s="58"/>
      <c r="E98" s="58"/>
      <c r="F98" s="59"/>
      <c r="G98" s="59"/>
      <c r="H98" s="58"/>
      <c r="I98" s="60"/>
      <c r="J98" s="60"/>
      <c r="K98" s="60"/>
      <c r="L98" s="58"/>
      <c r="M98" s="61"/>
      <c r="N98" s="58"/>
      <c r="O98" s="62" t="str">
        <f aca="false">IF(B98="","",IF(NOT(ISNUMBER(F98)),"⚠ Falta ingreso",IF(F98&gt;FECHA_CORTE,"Por ingresar",IF(G98="","Activo",IF(G98&lt;FECHA_CORTE,"Desvinculado","Activo")))))</f>
        <v/>
      </c>
      <c r="P98" s="62" t="str">
        <f aca="false">IF(OR(B98="",NOT(ISNUMBER(F98))),"",IF(F98&gt;FECHA_CORTE,"",DATEDIF(F98,IF(G98="",FECHA_CORTE,MIN(G98,FECHA_CORTE))+1,"y")&amp;" a "&amp;DATEDIF(F98,IF(G98="",FECHA_CORTE,MIN(G98,FECHA_CORTE))+1,"ym")&amp;" m"))</f>
        <v/>
      </c>
      <c r="Q98" s="63" t="str">
        <f aca="false">IF(B98="","",IFERROR(INDEX(C_SUELDO,MATCH(AG98&amp;"-S"&amp;MAX(1,COUNTIFS(C_RUTN,AG98,C_SUELDO,"&lt;&gt;",C_INI,"&lt;="&amp;FECHA_CORTE)),C_CLAVES,0)),0))</f>
        <v/>
      </c>
      <c r="R98" s="62" t="str">
        <f aca="false">IF(B98="","",IF(N(AI98)=0,"Sin contrato",IFERROR(INDEX(C_TIPO,MATCH(AG98&amp;"-P"&amp;MAX(1,AH98),C_CLAVE,0))&amp;"","")))</f>
        <v/>
      </c>
      <c r="S98" s="64" t="str">
        <f aca="false">IF(R98="Plazo fijo",IFERROR(INDEX(C_NPF,MATCH(AG98&amp;"-P"&amp;MAX(1,AH98),C_CLAVE,0)),""),"")</f>
        <v/>
      </c>
      <c r="T98" s="65" t="str">
        <f aca="false">IF(B98="","",COUNTIFS(C_RUTN,AG98,C_TIPODOC,"Anexo de modificación"))</f>
        <v/>
      </c>
      <c r="U98" s="66" t="str">
        <f aca="false">IF(AND(OR(R98="Plazo fijo",R98="Obra o faena"),O98&lt;&gt;"Desvinculado"),IFERROR(IF(N(INDEX(C_TER,MATCH(AG98&amp;"-P"&amp;MAX(1,AH98),C_CLAVE,0)))=0,"",INDEX(C_TER,MATCH(AG98&amp;"-P"&amp;MAX(1,AH98),C_CLAVE,0))),""),"")</f>
        <v/>
      </c>
      <c r="V98" s="67" t="str">
        <f aca="false">IF(ISNUMBER(U98),U98-FECHA_CORTE,"")</f>
        <v/>
      </c>
      <c r="W98" s="62" t="str">
        <f aca="false">IF(B98="","",IF(O98="Desvinculado","Terminado",IF(N(AI98)=0,"Sin contrato registrado",IF(O98="Por ingresar","Por ingresar",IF(ISNUMBER(AJ98),"Renovación registrada",IF(R98="Indefinido","Indefinido",IF(NOT(ISNUMBER(V98)),"Falta fecha de término",IF(V98&lt;0,"VENCIDO",IF(V98&lt;=ALERTA_ROJA,"Vence en ≤ "&amp;ALERTA_ROJA&amp;" días",IF(V98&lt;=ALERTA_NARANJA,"Vence en ≤ "&amp;ALERTA_NARANJA&amp;" días",IF(V98&lt;=ALERTA_AMARILLA,"Vence en ≤ "&amp;ALERTA_AMARILLA&amp;" días","Vigente")))))))))))</f>
        <v/>
      </c>
      <c r="X98" s="62" t="str">
        <f aca="false">IF(B98="","",IF(W98="Terminado","—",IF(W98="Sin contrato registrado","Registrar su contrato en la hoja Contratos",IF(W98="Por ingresar","Tener el contrato firmado antes del ingreso",IF(W98="Renovación registrada","Siguiente contrato ya registrado: verificar que esté firmado",IF(R98="Indefinido","Sin vencimiento. Cambios de sueldo o cargo: anexo de modificación",IF(W98="Falta fecha de término","Completar la fecha de término en Contratos",IF(W98="VENCIDO","Sigue trabajando con plazo vencido: por ley ya es INDEFINIDO. Firmar anexo de paso a indefinido",IF(R98="Obra o faena","Al terminar la obra: finiquito + 2,5 días de sueldo por mes trabajado",IF(N(S98)&gt;=2,"2° contrato a plazo: NO se puede renovar otra vez a plazo fijo. Pasar a indefinido o terminar al vencer","1er contrato a plazo: renovar (2° contrato), pasar a indefinido o terminar al vencer"))))))))))</f>
        <v/>
      </c>
      <c r="Y98" s="68" t="str">
        <f aca="false">IF(O98&lt;&gt;"Activo","",ROUND(1.25*(DATEDIF(F98,AO98+1,"m")+(AO98+1-EDATE(F98,DATEDIF(F98,AO98+1,"m")))/30),2))</f>
        <v/>
      </c>
      <c r="Z98" s="68" t="str">
        <f aca="false">IF(O98&lt;&gt;"Activo","",N(M98)+SUMIFS(M_VAC,M_RUTN,AG98,M_MES,"&lt;="&amp;FECHA_CORTE))</f>
        <v/>
      </c>
      <c r="AA98" s="68" t="str">
        <f aca="false">IF(O98&lt;&gt;"Activo","",Y98-Z98)</f>
        <v/>
      </c>
      <c r="AB98" s="63" t="str">
        <f aca="false">IF(O98&lt;&gt;"Activo","",ROUND(MAX(0,IF(AA98&lt;=0,0,WORKDAY(FECHA_CORTE,INT(AA98),FERIADOS)-FECHA_CORTE+(AA98-INT(AA98))))*(Q98+N(K98))/30,0))</f>
        <v/>
      </c>
      <c r="AC98" s="65" t="str">
        <f aca="false">IF(O98&lt;&gt;"Activo","",IF(DATEDIF(F98,FECHA_CORTE+1,"y")&lt;1,0,MIN(TOPE_ANIOS,DATEDIF(F98,FECHA_CORTE+1,"y")+IF(EDATE(F98,12*DATEDIF(F98,FECHA_CORTE+1,"y")+6)&lt;FECHA_CORTE+1,1,0))))</f>
        <v/>
      </c>
      <c r="AD98" s="69" t="str">
        <f aca="false">IF(O98&lt;&gt;"Activo","",AB98+IF(R98="Obra o faena",0,ROUND(AL98*AC98,0)+ROUND(AL98,0)))</f>
        <v/>
      </c>
      <c r="AE98" s="69" t="str">
        <f aca="false">IF(O98&lt;&gt;"Activo","",AB98)</f>
        <v/>
      </c>
      <c r="AF98" s="69" t="str">
        <f aca="false">IF(AN98="","",IF(ISNUMBER(AJ98),"",ROUND(MAX(0,IF(AN98&lt;=0,0,WORKDAY(U98,INT(AN98),FERIADOS)-U98+(AN98-INT(AN98))))*(Q98+N(K98))/30,0)+IF(R98="Obra o faena",ROUND(OBRA_DIAS*AL98/30*(DATEDIF(F98,U98+1,"m")+IF(U98+1-EDATE(F98,DATEDIF(F98,U98+1,"m"))&gt;15,1,0)),0),0)))</f>
        <v/>
      </c>
      <c r="AG98" s="62" t="str">
        <f aca="false">IF(B98="","",IFERROR(VALUE(LEFT(UPPER(SUBSTITUTE(SUBSTITUTE(SUBSTITUTE(TRIM(B98),".",""),"-","")," ","")),LEN(UPPER(SUBSTITUTE(SUBSTITUTE(SUBSTITUTE(TRIM(B98),".",""),"-","")," ","")))-1))&amp;RIGHT(UPPER(SUBSTITUTE(SUBSTITUTE(SUBSTITUTE(TRIM(B98),".",""),"-","")," ","")),1),UPPER(SUBSTITUTE(SUBSTITUTE(SUBSTITUTE(TRIM(B98),".",""),"-","")," ",""))))</f>
        <v/>
      </c>
      <c r="AH98" s="62" t="str">
        <f aca="false">IF(B98="","",COUNTIFS(C_RUTN,AG98,C_DEF,"Sí",C_INI,"&lt;="&amp;FECHA_CORTE))</f>
        <v/>
      </c>
      <c r="AI98" s="62" t="str">
        <f aca="false">IF(B98="","",COUNTIFS(C_RUTN,AG98,C_DEF,"Sí"))</f>
        <v/>
      </c>
      <c r="AJ98" s="66" t="str">
        <f aca="false">IF(OR(B98="",N(AI98)&lt;=N(AH98)),"",IFERROR(INDEX(C_INI,MATCH(AG98&amp;"-P"&amp;(AH98+1),C_CLAVE,0)),""))</f>
        <v/>
      </c>
      <c r="AK98" s="63" t="str">
        <f aca="false">IF(O98&lt;&gt;"Activo","",Q98+N(K98)+IF(L98="Sí",MIN(GRAT_PCT*(Q98+N(K98)),GRAT_TOPE),0)+N(I98)+N(J98))</f>
        <v/>
      </c>
      <c r="AL98" s="63" t="str">
        <f aca="false">IF(O98&lt;&gt;"Activo","",MIN(AK98,TOPE_IAS_UF*UF_MES))</f>
        <v/>
      </c>
      <c r="AM98" s="62" t="str">
        <f aca="false">IF(AND(O98="Activo",ISNUMBER(V98),W98&lt;&gt;"Renovación registrada"),V98+ROW()/100000,"")</f>
        <v/>
      </c>
      <c r="AN98" s="70" t="str">
        <f aca="false">IF(OR(O98&lt;&gt;"Activo",NOT(ISNUMBER(U98))),"",IF(U98&lt;FECHA_CORTE,"",1.25*(DATEDIF(F98,U98+1,"m")+(U98+1-EDATE(F98,DATEDIF(F98,U98+1,"m")))/30)-Z98))</f>
        <v/>
      </c>
      <c r="AO98" s="66" t="str">
        <f aca="false">IF(OR(B98="",NOT(ISNUMBER(F98))),"",IF(N(G98)&gt;0,MIN(G98,FECHA_CORTE),FECHA_CORTE))</f>
        <v/>
      </c>
    </row>
    <row r="99" customFormat="false" ht="15" hidden="false" customHeight="false" outlineLevel="0" collapsed="false">
      <c r="B99" s="58"/>
      <c r="C99" s="58"/>
      <c r="D99" s="58"/>
      <c r="E99" s="58"/>
      <c r="F99" s="59"/>
      <c r="G99" s="59"/>
      <c r="H99" s="58"/>
      <c r="I99" s="60"/>
      <c r="J99" s="60"/>
      <c r="K99" s="60"/>
      <c r="L99" s="58"/>
      <c r="M99" s="61"/>
      <c r="N99" s="58"/>
      <c r="O99" s="62" t="str">
        <f aca="false">IF(B99="","",IF(NOT(ISNUMBER(F99)),"⚠ Falta ingreso",IF(F99&gt;FECHA_CORTE,"Por ingresar",IF(G99="","Activo",IF(G99&lt;FECHA_CORTE,"Desvinculado","Activo")))))</f>
        <v/>
      </c>
      <c r="P99" s="62" t="str">
        <f aca="false">IF(OR(B99="",NOT(ISNUMBER(F99))),"",IF(F99&gt;FECHA_CORTE,"",DATEDIF(F99,IF(G99="",FECHA_CORTE,MIN(G99,FECHA_CORTE))+1,"y")&amp;" a "&amp;DATEDIF(F99,IF(G99="",FECHA_CORTE,MIN(G99,FECHA_CORTE))+1,"ym")&amp;" m"))</f>
        <v/>
      </c>
      <c r="Q99" s="63" t="str">
        <f aca="false">IF(B99="","",IFERROR(INDEX(C_SUELDO,MATCH(AG99&amp;"-S"&amp;MAX(1,COUNTIFS(C_RUTN,AG99,C_SUELDO,"&lt;&gt;",C_INI,"&lt;="&amp;FECHA_CORTE)),C_CLAVES,0)),0))</f>
        <v/>
      </c>
      <c r="R99" s="62" t="str">
        <f aca="false">IF(B99="","",IF(N(AI99)=0,"Sin contrato",IFERROR(INDEX(C_TIPO,MATCH(AG99&amp;"-P"&amp;MAX(1,AH99),C_CLAVE,0))&amp;"","")))</f>
        <v/>
      </c>
      <c r="S99" s="64" t="str">
        <f aca="false">IF(R99="Plazo fijo",IFERROR(INDEX(C_NPF,MATCH(AG99&amp;"-P"&amp;MAX(1,AH99),C_CLAVE,0)),""),"")</f>
        <v/>
      </c>
      <c r="T99" s="65" t="str">
        <f aca="false">IF(B99="","",COUNTIFS(C_RUTN,AG99,C_TIPODOC,"Anexo de modificación"))</f>
        <v/>
      </c>
      <c r="U99" s="66" t="str">
        <f aca="false">IF(AND(OR(R99="Plazo fijo",R99="Obra o faena"),O99&lt;&gt;"Desvinculado"),IFERROR(IF(N(INDEX(C_TER,MATCH(AG99&amp;"-P"&amp;MAX(1,AH99),C_CLAVE,0)))=0,"",INDEX(C_TER,MATCH(AG99&amp;"-P"&amp;MAX(1,AH99),C_CLAVE,0))),""),"")</f>
        <v/>
      </c>
      <c r="V99" s="67" t="str">
        <f aca="false">IF(ISNUMBER(U99),U99-FECHA_CORTE,"")</f>
        <v/>
      </c>
      <c r="W99" s="62" t="str">
        <f aca="false">IF(B99="","",IF(O99="Desvinculado","Terminado",IF(N(AI99)=0,"Sin contrato registrado",IF(O99="Por ingresar","Por ingresar",IF(ISNUMBER(AJ99),"Renovación registrada",IF(R99="Indefinido","Indefinido",IF(NOT(ISNUMBER(V99)),"Falta fecha de término",IF(V99&lt;0,"VENCIDO",IF(V99&lt;=ALERTA_ROJA,"Vence en ≤ "&amp;ALERTA_ROJA&amp;" días",IF(V99&lt;=ALERTA_NARANJA,"Vence en ≤ "&amp;ALERTA_NARANJA&amp;" días",IF(V99&lt;=ALERTA_AMARILLA,"Vence en ≤ "&amp;ALERTA_AMARILLA&amp;" días","Vigente")))))))))))</f>
        <v/>
      </c>
      <c r="X99" s="62" t="str">
        <f aca="false">IF(B99="","",IF(W99="Terminado","—",IF(W99="Sin contrato registrado","Registrar su contrato en la hoja Contratos",IF(W99="Por ingresar","Tener el contrato firmado antes del ingreso",IF(W99="Renovación registrada","Siguiente contrato ya registrado: verificar que esté firmado",IF(R99="Indefinido","Sin vencimiento. Cambios de sueldo o cargo: anexo de modificación",IF(W99="Falta fecha de término","Completar la fecha de término en Contratos",IF(W99="VENCIDO","Sigue trabajando con plazo vencido: por ley ya es INDEFINIDO. Firmar anexo de paso a indefinido",IF(R99="Obra o faena","Al terminar la obra: finiquito + 2,5 días de sueldo por mes trabajado",IF(N(S99)&gt;=2,"2° contrato a plazo: NO se puede renovar otra vez a plazo fijo. Pasar a indefinido o terminar al vencer","1er contrato a plazo: renovar (2° contrato), pasar a indefinido o terminar al vencer"))))))))))</f>
        <v/>
      </c>
      <c r="Y99" s="68" t="str">
        <f aca="false">IF(O99&lt;&gt;"Activo","",ROUND(1.25*(DATEDIF(F99,AO99+1,"m")+(AO99+1-EDATE(F99,DATEDIF(F99,AO99+1,"m")))/30),2))</f>
        <v/>
      </c>
      <c r="Z99" s="68" t="str">
        <f aca="false">IF(O99&lt;&gt;"Activo","",N(M99)+SUMIFS(M_VAC,M_RUTN,AG99,M_MES,"&lt;="&amp;FECHA_CORTE))</f>
        <v/>
      </c>
      <c r="AA99" s="68" t="str">
        <f aca="false">IF(O99&lt;&gt;"Activo","",Y99-Z99)</f>
        <v/>
      </c>
      <c r="AB99" s="63" t="str">
        <f aca="false">IF(O99&lt;&gt;"Activo","",ROUND(MAX(0,IF(AA99&lt;=0,0,WORKDAY(FECHA_CORTE,INT(AA99),FERIADOS)-FECHA_CORTE+(AA99-INT(AA99))))*(Q99+N(K99))/30,0))</f>
        <v/>
      </c>
      <c r="AC99" s="65" t="str">
        <f aca="false">IF(O99&lt;&gt;"Activo","",IF(DATEDIF(F99,FECHA_CORTE+1,"y")&lt;1,0,MIN(TOPE_ANIOS,DATEDIF(F99,FECHA_CORTE+1,"y")+IF(EDATE(F99,12*DATEDIF(F99,FECHA_CORTE+1,"y")+6)&lt;FECHA_CORTE+1,1,0))))</f>
        <v/>
      </c>
      <c r="AD99" s="69" t="str">
        <f aca="false">IF(O99&lt;&gt;"Activo","",AB99+IF(R99="Obra o faena",0,ROUND(AL99*AC99,0)+ROUND(AL99,0)))</f>
        <v/>
      </c>
      <c r="AE99" s="69" t="str">
        <f aca="false">IF(O99&lt;&gt;"Activo","",AB99)</f>
        <v/>
      </c>
      <c r="AF99" s="69" t="str">
        <f aca="false">IF(AN99="","",IF(ISNUMBER(AJ99),"",ROUND(MAX(0,IF(AN99&lt;=0,0,WORKDAY(U99,INT(AN99),FERIADOS)-U99+(AN99-INT(AN99))))*(Q99+N(K99))/30,0)+IF(R99="Obra o faena",ROUND(OBRA_DIAS*AL99/30*(DATEDIF(F99,U99+1,"m")+IF(U99+1-EDATE(F99,DATEDIF(F99,U99+1,"m"))&gt;15,1,0)),0),0)))</f>
        <v/>
      </c>
      <c r="AG99" s="62" t="str">
        <f aca="false">IF(B99="","",IFERROR(VALUE(LEFT(UPPER(SUBSTITUTE(SUBSTITUTE(SUBSTITUTE(TRIM(B99),".",""),"-","")," ","")),LEN(UPPER(SUBSTITUTE(SUBSTITUTE(SUBSTITUTE(TRIM(B99),".",""),"-","")," ","")))-1))&amp;RIGHT(UPPER(SUBSTITUTE(SUBSTITUTE(SUBSTITUTE(TRIM(B99),".",""),"-","")," ","")),1),UPPER(SUBSTITUTE(SUBSTITUTE(SUBSTITUTE(TRIM(B99),".",""),"-","")," ",""))))</f>
        <v/>
      </c>
      <c r="AH99" s="62" t="str">
        <f aca="false">IF(B99="","",COUNTIFS(C_RUTN,AG99,C_DEF,"Sí",C_INI,"&lt;="&amp;FECHA_CORTE))</f>
        <v/>
      </c>
      <c r="AI99" s="62" t="str">
        <f aca="false">IF(B99="","",COUNTIFS(C_RUTN,AG99,C_DEF,"Sí"))</f>
        <v/>
      </c>
      <c r="AJ99" s="66" t="str">
        <f aca="false">IF(OR(B99="",N(AI99)&lt;=N(AH99)),"",IFERROR(INDEX(C_INI,MATCH(AG99&amp;"-P"&amp;(AH99+1),C_CLAVE,0)),""))</f>
        <v/>
      </c>
      <c r="AK99" s="63" t="str">
        <f aca="false">IF(O99&lt;&gt;"Activo","",Q99+N(K99)+IF(L99="Sí",MIN(GRAT_PCT*(Q99+N(K99)),GRAT_TOPE),0)+N(I99)+N(J99))</f>
        <v/>
      </c>
      <c r="AL99" s="63" t="str">
        <f aca="false">IF(O99&lt;&gt;"Activo","",MIN(AK99,TOPE_IAS_UF*UF_MES))</f>
        <v/>
      </c>
      <c r="AM99" s="62" t="str">
        <f aca="false">IF(AND(O99="Activo",ISNUMBER(V99),W99&lt;&gt;"Renovación registrada"),V99+ROW()/100000,"")</f>
        <v/>
      </c>
      <c r="AN99" s="70" t="str">
        <f aca="false">IF(OR(O99&lt;&gt;"Activo",NOT(ISNUMBER(U99))),"",IF(U99&lt;FECHA_CORTE,"",1.25*(DATEDIF(F99,U99+1,"m")+(U99+1-EDATE(F99,DATEDIF(F99,U99+1,"m")))/30)-Z99))</f>
        <v/>
      </c>
      <c r="AO99" s="66" t="str">
        <f aca="false">IF(OR(B99="",NOT(ISNUMBER(F99))),"",IF(N(G99)&gt;0,MIN(G99,FECHA_CORTE),FECHA_CORTE))</f>
        <v/>
      </c>
    </row>
    <row r="100" customFormat="false" ht="15" hidden="false" customHeight="false" outlineLevel="0" collapsed="false">
      <c r="B100" s="58"/>
      <c r="C100" s="58"/>
      <c r="D100" s="58"/>
      <c r="E100" s="58"/>
      <c r="F100" s="59"/>
      <c r="G100" s="59"/>
      <c r="H100" s="58"/>
      <c r="I100" s="60"/>
      <c r="J100" s="60"/>
      <c r="K100" s="60"/>
      <c r="L100" s="58"/>
      <c r="M100" s="61"/>
      <c r="N100" s="58"/>
      <c r="O100" s="62" t="str">
        <f aca="false">IF(B100="","",IF(NOT(ISNUMBER(F100)),"⚠ Falta ingreso",IF(F100&gt;FECHA_CORTE,"Por ingresar",IF(G100="","Activo",IF(G100&lt;FECHA_CORTE,"Desvinculado","Activo")))))</f>
        <v/>
      </c>
      <c r="P100" s="62" t="str">
        <f aca="false">IF(OR(B100="",NOT(ISNUMBER(F100))),"",IF(F100&gt;FECHA_CORTE,"",DATEDIF(F100,IF(G100="",FECHA_CORTE,MIN(G100,FECHA_CORTE))+1,"y")&amp;" a "&amp;DATEDIF(F100,IF(G100="",FECHA_CORTE,MIN(G100,FECHA_CORTE))+1,"ym")&amp;" m"))</f>
        <v/>
      </c>
      <c r="Q100" s="63" t="str">
        <f aca="false">IF(B100="","",IFERROR(INDEX(C_SUELDO,MATCH(AG100&amp;"-S"&amp;MAX(1,COUNTIFS(C_RUTN,AG100,C_SUELDO,"&lt;&gt;",C_INI,"&lt;="&amp;FECHA_CORTE)),C_CLAVES,0)),0))</f>
        <v/>
      </c>
      <c r="R100" s="62" t="str">
        <f aca="false">IF(B100="","",IF(N(AI100)=0,"Sin contrato",IFERROR(INDEX(C_TIPO,MATCH(AG100&amp;"-P"&amp;MAX(1,AH100),C_CLAVE,0))&amp;"","")))</f>
        <v/>
      </c>
      <c r="S100" s="64" t="str">
        <f aca="false">IF(R100="Plazo fijo",IFERROR(INDEX(C_NPF,MATCH(AG100&amp;"-P"&amp;MAX(1,AH100),C_CLAVE,0)),""),"")</f>
        <v/>
      </c>
      <c r="T100" s="65" t="str">
        <f aca="false">IF(B100="","",COUNTIFS(C_RUTN,AG100,C_TIPODOC,"Anexo de modificación"))</f>
        <v/>
      </c>
      <c r="U100" s="66" t="str">
        <f aca="false">IF(AND(OR(R100="Plazo fijo",R100="Obra o faena"),O100&lt;&gt;"Desvinculado"),IFERROR(IF(N(INDEX(C_TER,MATCH(AG100&amp;"-P"&amp;MAX(1,AH100),C_CLAVE,0)))=0,"",INDEX(C_TER,MATCH(AG100&amp;"-P"&amp;MAX(1,AH100),C_CLAVE,0))),""),"")</f>
        <v/>
      </c>
      <c r="V100" s="67" t="str">
        <f aca="false">IF(ISNUMBER(U100),U100-FECHA_CORTE,"")</f>
        <v/>
      </c>
      <c r="W100" s="62" t="str">
        <f aca="false">IF(B100="","",IF(O100="Desvinculado","Terminado",IF(N(AI100)=0,"Sin contrato registrado",IF(O100="Por ingresar","Por ingresar",IF(ISNUMBER(AJ100),"Renovación registrada",IF(R100="Indefinido","Indefinido",IF(NOT(ISNUMBER(V100)),"Falta fecha de término",IF(V100&lt;0,"VENCIDO",IF(V100&lt;=ALERTA_ROJA,"Vence en ≤ "&amp;ALERTA_ROJA&amp;" días",IF(V100&lt;=ALERTA_NARANJA,"Vence en ≤ "&amp;ALERTA_NARANJA&amp;" días",IF(V100&lt;=ALERTA_AMARILLA,"Vence en ≤ "&amp;ALERTA_AMARILLA&amp;" días","Vigente")))))))))))</f>
        <v/>
      </c>
      <c r="X100" s="62" t="str">
        <f aca="false">IF(B100="","",IF(W100="Terminado","—",IF(W100="Sin contrato registrado","Registrar su contrato en la hoja Contratos",IF(W100="Por ingresar","Tener el contrato firmado antes del ingreso",IF(W100="Renovación registrada","Siguiente contrato ya registrado: verificar que esté firmado",IF(R100="Indefinido","Sin vencimiento. Cambios de sueldo o cargo: anexo de modificación",IF(W100="Falta fecha de término","Completar la fecha de término en Contratos",IF(W100="VENCIDO","Sigue trabajando con plazo vencido: por ley ya es INDEFINIDO. Firmar anexo de paso a indefinido",IF(R100="Obra o faena","Al terminar la obra: finiquito + 2,5 días de sueldo por mes trabajado",IF(N(S100)&gt;=2,"2° contrato a plazo: NO se puede renovar otra vez a plazo fijo. Pasar a indefinido o terminar al vencer","1er contrato a plazo: renovar (2° contrato), pasar a indefinido o terminar al vencer"))))))))))</f>
        <v/>
      </c>
      <c r="Y100" s="68" t="str">
        <f aca="false">IF(O100&lt;&gt;"Activo","",ROUND(1.25*(DATEDIF(F100,AO100+1,"m")+(AO100+1-EDATE(F100,DATEDIF(F100,AO100+1,"m")))/30),2))</f>
        <v/>
      </c>
      <c r="Z100" s="68" t="str">
        <f aca="false">IF(O100&lt;&gt;"Activo","",N(M100)+SUMIFS(M_VAC,M_RUTN,AG100,M_MES,"&lt;="&amp;FECHA_CORTE))</f>
        <v/>
      </c>
      <c r="AA100" s="68" t="str">
        <f aca="false">IF(O100&lt;&gt;"Activo","",Y100-Z100)</f>
        <v/>
      </c>
      <c r="AB100" s="63" t="str">
        <f aca="false">IF(O100&lt;&gt;"Activo","",ROUND(MAX(0,IF(AA100&lt;=0,0,WORKDAY(FECHA_CORTE,INT(AA100),FERIADOS)-FECHA_CORTE+(AA100-INT(AA100))))*(Q100+N(K100))/30,0))</f>
        <v/>
      </c>
      <c r="AC100" s="65" t="str">
        <f aca="false">IF(O100&lt;&gt;"Activo","",IF(DATEDIF(F100,FECHA_CORTE+1,"y")&lt;1,0,MIN(TOPE_ANIOS,DATEDIF(F100,FECHA_CORTE+1,"y")+IF(EDATE(F100,12*DATEDIF(F100,FECHA_CORTE+1,"y")+6)&lt;FECHA_CORTE+1,1,0))))</f>
        <v/>
      </c>
      <c r="AD100" s="69" t="str">
        <f aca="false">IF(O100&lt;&gt;"Activo","",AB100+IF(R100="Obra o faena",0,ROUND(AL100*AC100,0)+ROUND(AL100,0)))</f>
        <v/>
      </c>
      <c r="AE100" s="69" t="str">
        <f aca="false">IF(O100&lt;&gt;"Activo","",AB100)</f>
        <v/>
      </c>
      <c r="AF100" s="69" t="str">
        <f aca="false">IF(AN100="","",IF(ISNUMBER(AJ100),"",ROUND(MAX(0,IF(AN100&lt;=0,0,WORKDAY(U100,INT(AN100),FERIADOS)-U100+(AN100-INT(AN100))))*(Q100+N(K100))/30,0)+IF(R100="Obra o faena",ROUND(OBRA_DIAS*AL100/30*(DATEDIF(F100,U100+1,"m")+IF(U100+1-EDATE(F100,DATEDIF(F100,U100+1,"m"))&gt;15,1,0)),0),0)))</f>
        <v/>
      </c>
      <c r="AG100" s="62" t="str">
        <f aca="false">IF(B100="","",IFERROR(VALUE(LEFT(UPPER(SUBSTITUTE(SUBSTITUTE(SUBSTITUTE(TRIM(B100),".",""),"-","")," ","")),LEN(UPPER(SUBSTITUTE(SUBSTITUTE(SUBSTITUTE(TRIM(B100),".",""),"-","")," ","")))-1))&amp;RIGHT(UPPER(SUBSTITUTE(SUBSTITUTE(SUBSTITUTE(TRIM(B100),".",""),"-","")," ","")),1),UPPER(SUBSTITUTE(SUBSTITUTE(SUBSTITUTE(TRIM(B100),".",""),"-","")," ",""))))</f>
        <v/>
      </c>
      <c r="AH100" s="62" t="str">
        <f aca="false">IF(B100="","",COUNTIFS(C_RUTN,AG100,C_DEF,"Sí",C_INI,"&lt;="&amp;FECHA_CORTE))</f>
        <v/>
      </c>
      <c r="AI100" s="62" t="str">
        <f aca="false">IF(B100="","",COUNTIFS(C_RUTN,AG100,C_DEF,"Sí"))</f>
        <v/>
      </c>
      <c r="AJ100" s="66" t="str">
        <f aca="false">IF(OR(B100="",N(AI100)&lt;=N(AH100)),"",IFERROR(INDEX(C_INI,MATCH(AG100&amp;"-P"&amp;(AH100+1),C_CLAVE,0)),""))</f>
        <v/>
      </c>
      <c r="AK100" s="63" t="str">
        <f aca="false">IF(O100&lt;&gt;"Activo","",Q100+N(K100)+IF(L100="Sí",MIN(GRAT_PCT*(Q100+N(K100)),GRAT_TOPE),0)+N(I100)+N(J100))</f>
        <v/>
      </c>
      <c r="AL100" s="63" t="str">
        <f aca="false">IF(O100&lt;&gt;"Activo","",MIN(AK100,TOPE_IAS_UF*UF_MES))</f>
        <v/>
      </c>
      <c r="AM100" s="62" t="str">
        <f aca="false">IF(AND(O100="Activo",ISNUMBER(V100),W100&lt;&gt;"Renovación registrada"),V100+ROW()/100000,"")</f>
        <v/>
      </c>
      <c r="AN100" s="70" t="str">
        <f aca="false">IF(OR(O100&lt;&gt;"Activo",NOT(ISNUMBER(U100))),"",IF(U100&lt;FECHA_CORTE,"",1.25*(DATEDIF(F100,U100+1,"m")+(U100+1-EDATE(F100,DATEDIF(F100,U100+1,"m")))/30)-Z100))</f>
        <v/>
      </c>
      <c r="AO100" s="66" t="str">
        <f aca="false">IF(OR(B100="",NOT(ISNUMBER(F100))),"",IF(N(G100)&gt;0,MIN(G100,FECHA_CORTE),FECHA_CORTE))</f>
        <v/>
      </c>
    </row>
    <row r="101" customFormat="false" ht="15" hidden="false" customHeight="false" outlineLevel="0" collapsed="false">
      <c r="B101" s="58"/>
      <c r="C101" s="58"/>
      <c r="D101" s="58"/>
      <c r="E101" s="58"/>
      <c r="F101" s="59"/>
      <c r="G101" s="59"/>
      <c r="H101" s="58"/>
      <c r="I101" s="60"/>
      <c r="J101" s="60"/>
      <c r="K101" s="60"/>
      <c r="L101" s="58"/>
      <c r="M101" s="61"/>
      <c r="N101" s="58"/>
      <c r="O101" s="62" t="str">
        <f aca="false">IF(B101="","",IF(NOT(ISNUMBER(F101)),"⚠ Falta ingreso",IF(F101&gt;FECHA_CORTE,"Por ingresar",IF(G101="","Activo",IF(G101&lt;FECHA_CORTE,"Desvinculado","Activo")))))</f>
        <v/>
      </c>
      <c r="P101" s="62" t="str">
        <f aca="false">IF(OR(B101="",NOT(ISNUMBER(F101))),"",IF(F101&gt;FECHA_CORTE,"",DATEDIF(F101,IF(G101="",FECHA_CORTE,MIN(G101,FECHA_CORTE))+1,"y")&amp;" a "&amp;DATEDIF(F101,IF(G101="",FECHA_CORTE,MIN(G101,FECHA_CORTE))+1,"ym")&amp;" m"))</f>
        <v/>
      </c>
      <c r="Q101" s="63" t="str">
        <f aca="false">IF(B101="","",IFERROR(INDEX(C_SUELDO,MATCH(AG101&amp;"-S"&amp;MAX(1,COUNTIFS(C_RUTN,AG101,C_SUELDO,"&lt;&gt;",C_INI,"&lt;="&amp;FECHA_CORTE)),C_CLAVES,0)),0))</f>
        <v/>
      </c>
      <c r="R101" s="62" t="str">
        <f aca="false">IF(B101="","",IF(N(AI101)=0,"Sin contrato",IFERROR(INDEX(C_TIPO,MATCH(AG101&amp;"-P"&amp;MAX(1,AH101),C_CLAVE,0))&amp;"","")))</f>
        <v/>
      </c>
      <c r="S101" s="64" t="str">
        <f aca="false">IF(R101="Plazo fijo",IFERROR(INDEX(C_NPF,MATCH(AG101&amp;"-P"&amp;MAX(1,AH101),C_CLAVE,0)),""),"")</f>
        <v/>
      </c>
      <c r="T101" s="65" t="str">
        <f aca="false">IF(B101="","",COUNTIFS(C_RUTN,AG101,C_TIPODOC,"Anexo de modificación"))</f>
        <v/>
      </c>
      <c r="U101" s="66" t="str">
        <f aca="false">IF(AND(OR(R101="Plazo fijo",R101="Obra o faena"),O101&lt;&gt;"Desvinculado"),IFERROR(IF(N(INDEX(C_TER,MATCH(AG101&amp;"-P"&amp;MAX(1,AH101),C_CLAVE,0)))=0,"",INDEX(C_TER,MATCH(AG101&amp;"-P"&amp;MAX(1,AH101),C_CLAVE,0))),""),"")</f>
        <v/>
      </c>
      <c r="V101" s="67" t="str">
        <f aca="false">IF(ISNUMBER(U101),U101-FECHA_CORTE,"")</f>
        <v/>
      </c>
      <c r="W101" s="62" t="str">
        <f aca="false">IF(B101="","",IF(O101="Desvinculado","Terminado",IF(N(AI101)=0,"Sin contrato registrado",IF(O101="Por ingresar","Por ingresar",IF(ISNUMBER(AJ101),"Renovación registrada",IF(R101="Indefinido","Indefinido",IF(NOT(ISNUMBER(V101)),"Falta fecha de término",IF(V101&lt;0,"VENCIDO",IF(V101&lt;=ALERTA_ROJA,"Vence en ≤ "&amp;ALERTA_ROJA&amp;" días",IF(V101&lt;=ALERTA_NARANJA,"Vence en ≤ "&amp;ALERTA_NARANJA&amp;" días",IF(V101&lt;=ALERTA_AMARILLA,"Vence en ≤ "&amp;ALERTA_AMARILLA&amp;" días","Vigente")))))))))))</f>
        <v/>
      </c>
      <c r="X101" s="62" t="str">
        <f aca="false">IF(B101="","",IF(W101="Terminado","—",IF(W101="Sin contrato registrado","Registrar su contrato en la hoja Contratos",IF(W101="Por ingresar","Tener el contrato firmado antes del ingreso",IF(W101="Renovación registrada","Siguiente contrato ya registrado: verificar que esté firmado",IF(R101="Indefinido","Sin vencimiento. Cambios de sueldo o cargo: anexo de modificación",IF(W101="Falta fecha de término","Completar la fecha de término en Contratos",IF(W101="VENCIDO","Sigue trabajando con plazo vencido: por ley ya es INDEFINIDO. Firmar anexo de paso a indefinido",IF(R101="Obra o faena","Al terminar la obra: finiquito + 2,5 días de sueldo por mes trabajado",IF(N(S101)&gt;=2,"2° contrato a plazo: NO se puede renovar otra vez a plazo fijo. Pasar a indefinido o terminar al vencer","1er contrato a plazo: renovar (2° contrato), pasar a indefinido o terminar al vencer"))))))))))</f>
        <v/>
      </c>
      <c r="Y101" s="68" t="str">
        <f aca="false">IF(O101&lt;&gt;"Activo","",ROUND(1.25*(DATEDIF(F101,AO101+1,"m")+(AO101+1-EDATE(F101,DATEDIF(F101,AO101+1,"m")))/30),2))</f>
        <v/>
      </c>
      <c r="Z101" s="68" t="str">
        <f aca="false">IF(O101&lt;&gt;"Activo","",N(M101)+SUMIFS(M_VAC,M_RUTN,AG101,M_MES,"&lt;="&amp;FECHA_CORTE))</f>
        <v/>
      </c>
      <c r="AA101" s="68" t="str">
        <f aca="false">IF(O101&lt;&gt;"Activo","",Y101-Z101)</f>
        <v/>
      </c>
      <c r="AB101" s="63" t="str">
        <f aca="false">IF(O101&lt;&gt;"Activo","",ROUND(MAX(0,IF(AA101&lt;=0,0,WORKDAY(FECHA_CORTE,INT(AA101),FERIADOS)-FECHA_CORTE+(AA101-INT(AA101))))*(Q101+N(K101))/30,0))</f>
        <v/>
      </c>
      <c r="AC101" s="65" t="str">
        <f aca="false">IF(O101&lt;&gt;"Activo","",IF(DATEDIF(F101,FECHA_CORTE+1,"y")&lt;1,0,MIN(TOPE_ANIOS,DATEDIF(F101,FECHA_CORTE+1,"y")+IF(EDATE(F101,12*DATEDIF(F101,FECHA_CORTE+1,"y")+6)&lt;FECHA_CORTE+1,1,0))))</f>
        <v/>
      </c>
      <c r="AD101" s="69" t="str">
        <f aca="false">IF(O101&lt;&gt;"Activo","",AB101+IF(R101="Obra o faena",0,ROUND(AL101*AC101,0)+ROUND(AL101,0)))</f>
        <v/>
      </c>
      <c r="AE101" s="69" t="str">
        <f aca="false">IF(O101&lt;&gt;"Activo","",AB101)</f>
        <v/>
      </c>
      <c r="AF101" s="69" t="str">
        <f aca="false">IF(AN101="","",IF(ISNUMBER(AJ101),"",ROUND(MAX(0,IF(AN101&lt;=0,0,WORKDAY(U101,INT(AN101),FERIADOS)-U101+(AN101-INT(AN101))))*(Q101+N(K101))/30,0)+IF(R101="Obra o faena",ROUND(OBRA_DIAS*AL101/30*(DATEDIF(F101,U101+1,"m")+IF(U101+1-EDATE(F101,DATEDIF(F101,U101+1,"m"))&gt;15,1,0)),0),0)))</f>
        <v/>
      </c>
      <c r="AG101" s="62" t="str">
        <f aca="false">IF(B101="","",IFERROR(VALUE(LEFT(UPPER(SUBSTITUTE(SUBSTITUTE(SUBSTITUTE(TRIM(B101),".",""),"-","")," ","")),LEN(UPPER(SUBSTITUTE(SUBSTITUTE(SUBSTITUTE(TRIM(B101),".",""),"-","")," ","")))-1))&amp;RIGHT(UPPER(SUBSTITUTE(SUBSTITUTE(SUBSTITUTE(TRIM(B101),".",""),"-","")," ","")),1),UPPER(SUBSTITUTE(SUBSTITUTE(SUBSTITUTE(TRIM(B101),".",""),"-","")," ",""))))</f>
        <v/>
      </c>
      <c r="AH101" s="62" t="str">
        <f aca="false">IF(B101="","",COUNTIFS(C_RUTN,AG101,C_DEF,"Sí",C_INI,"&lt;="&amp;FECHA_CORTE))</f>
        <v/>
      </c>
      <c r="AI101" s="62" t="str">
        <f aca="false">IF(B101="","",COUNTIFS(C_RUTN,AG101,C_DEF,"Sí"))</f>
        <v/>
      </c>
      <c r="AJ101" s="66" t="str">
        <f aca="false">IF(OR(B101="",N(AI101)&lt;=N(AH101)),"",IFERROR(INDEX(C_INI,MATCH(AG101&amp;"-P"&amp;(AH101+1),C_CLAVE,0)),""))</f>
        <v/>
      </c>
      <c r="AK101" s="63" t="str">
        <f aca="false">IF(O101&lt;&gt;"Activo","",Q101+N(K101)+IF(L101="Sí",MIN(GRAT_PCT*(Q101+N(K101)),GRAT_TOPE),0)+N(I101)+N(J101))</f>
        <v/>
      </c>
      <c r="AL101" s="63" t="str">
        <f aca="false">IF(O101&lt;&gt;"Activo","",MIN(AK101,TOPE_IAS_UF*UF_MES))</f>
        <v/>
      </c>
      <c r="AM101" s="62" t="str">
        <f aca="false">IF(AND(O101="Activo",ISNUMBER(V101),W101&lt;&gt;"Renovación registrada"),V101+ROW()/100000,"")</f>
        <v/>
      </c>
      <c r="AN101" s="70" t="str">
        <f aca="false">IF(OR(O101&lt;&gt;"Activo",NOT(ISNUMBER(U101))),"",IF(U101&lt;FECHA_CORTE,"",1.25*(DATEDIF(F101,U101+1,"m")+(U101+1-EDATE(F101,DATEDIF(F101,U101+1,"m")))/30)-Z101))</f>
        <v/>
      </c>
      <c r="AO101" s="66" t="str">
        <f aca="false">IF(OR(B101="",NOT(ISNUMBER(F101))),"",IF(N(G101)&gt;0,MIN(G101,FECHA_CORTE),FECHA_CORTE))</f>
        <v/>
      </c>
    </row>
    <row r="102" customFormat="false" ht="15" hidden="false" customHeight="false" outlineLevel="0" collapsed="false">
      <c r="B102" s="58"/>
      <c r="C102" s="58"/>
      <c r="D102" s="58"/>
      <c r="E102" s="58"/>
      <c r="F102" s="59"/>
      <c r="G102" s="59"/>
      <c r="H102" s="58"/>
      <c r="I102" s="60"/>
      <c r="J102" s="60"/>
      <c r="K102" s="60"/>
      <c r="L102" s="58"/>
      <c r="M102" s="61"/>
      <c r="N102" s="58"/>
      <c r="O102" s="62" t="str">
        <f aca="false">IF(B102="","",IF(NOT(ISNUMBER(F102)),"⚠ Falta ingreso",IF(F102&gt;FECHA_CORTE,"Por ingresar",IF(G102="","Activo",IF(G102&lt;FECHA_CORTE,"Desvinculado","Activo")))))</f>
        <v/>
      </c>
      <c r="P102" s="62" t="str">
        <f aca="false">IF(OR(B102="",NOT(ISNUMBER(F102))),"",IF(F102&gt;FECHA_CORTE,"",DATEDIF(F102,IF(G102="",FECHA_CORTE,MIN(G102,FECHA_CORTE))+1,"y")&amp;" a "&amp;DATEDIF(F102,IF(G102="",FECHA_CORTE,MIN(G102,FECHA_CORTE))+1,"ym")&amp;" m"))</f>
        <v/>
      </c>
      <c r="Q102" s="63" t="str">
        <f aca="false">IF(B102="","",IFERROR(INDEX(C_SUELDO,MATCH(AG102&amp;"-S"&amp;MAX(1,COUNTIFS(C_RUTN,AG102,C_SUELDO,"&lt;&gt;",C_INI,"&lt;="&amp;FECHA_CORTE)),C_CLAVES,0)),0))</f>
        <v/>
      </c>
      <c r="R102" s="62" t="str">
        <f aca="false">IF(B102="","",IF(N(AI102)=0,"Sin contrato",IFERROR(INDEX(C_TIPO,MATCH(AG102&amp;"-P"&amp;MAX(1,AH102),C_CLAVE,0))&amp;"","")))</f>
        <v/>
      </c>
      <c r="S102" s="64" t="str">
        <f aca="false">IF(R102="Plazo fijo",IFERROR(INDEX(C_NPF,MATCH(AG102&amp;"-P"&amp;MAX(1,AH102),C_CLAVE,0)),""),"")</f>
        <v/>
      </c>
      <c r="T102" s="65" t="str">
        <f aca="false">IF(B102="","",COUNTIFS(C_RUTN,AG102,C_TIPODOC,"Anexo de modificación"))</f>
        <v/>
      </c>
      <c r="U102" s="66" t="str">
        <f aca="false">IF(AND(OR(R102="Plazo fijo",R102="Obra o faena"),O102&lt;&gt;"Desvinculado"),IFERROR(IF(N(INDEX(C_TER,MATCH(AG102&amp;"-P"&amp;MAX(1,AH102),C_CLAVE,0)))=0,"",INDEX(C_TER,MATCH(AG102&amp;"-P"&amp;MAX(1,AH102),C_CLAVE,0))),""),"")</f>
        <v/>
      </c>
      <c r="V102" s="67" t="str">
        <f aca="false">IF(ISNUMBER(U102),U102-FECHA_CORTE,"")</f>
        <v/>
      </c>
      <c r="W102" s="62" t="str">
        <f aca="false">IF(B102="","",IF(O102="Desvinculado","Terminado",IF(N(AI102)=0,"Sin contrato registrado",IF(O102="Por ingresar","Por ingresar",IF(ISNUMBER(AJ102),"Renovación registrada",IF(R102="Indefinido","Indefinido",IF(NOT(ISNUMBER(V102)),"Falta fecha de término",IF(V102&lt;0,"VENCIDO",IF(V102&lt;=ALERTA_ROJA,"Vence en ≤ "&amp;ALERTA_ROJA&amp;" días",IF(V102&lt;=ALERTA_NARANJA,"Vence en ≤ "&amp;ALERTA_NARANJA&amp;" días",IF(V102&lt;=ALERTA_AMARILLA,"Vence en ≤ "&amp;ALERTA_AMARILLA&amp;" días","Vigente")))))))))))</f>
        <v/>
      </c>
      <c r="X102" s="62" t="str">
        <f aca="false">IF(B102="","",IF(W102="Terminado","—",IF(W102="Sin contrato registrado","Registrar su contrato en la hoja Contratos",IF(W102="Por ingresar","Tener el contrato firmado antes del ingreso",IF(W102="Renovación registrada","Siguiente contrato ya registrado: verificar que esté firmado",IF(R102="Indefinido","Sin vencimiento. Cambios de sueldo o cargo: anexo de modificación",IF(W102="Falta fecha de término","Completar la fecha de término en Contratos",IF(W102="VENCIDO","Sigue trabajando con plazo vencido: por ley ya es INDEFINIDO. Firmar anexo de paso a indefinido",IF(R102="Obra o faena","Al terminar la obra: finiquito + 2,5 días de sueldo por mes trabajado",IF(N(S102)&gt;=2,"2° contrato a plazo: NO se puede renovar otra vez a plazo fijo. Pasar a indefinido o terminar al vencer","1er contrato a plazo: renovar (2° contrato), pasar a indefinido o terminar al vencer"))))))))))</f>
        <v/>
      </c>
      <c r="Y102" s="68" t="str">
        <f aca="false">IF(O102&lt;&gt;"Activo","",ROUND(1.25*(DATEDIF(F102,AO102+1,"m")+(AO102+1-EDATE(F102,DATEDIF(F102,AO102+1,"m")))/30),2))</f>
        <v/>
      </c>
      <c r="Z102" s="68" t="str">
        <f aca="false">IF(O102&lt;&gt;"Activo","",N(M102)+SUMIFS(M_VAC,M_RUTN,AG102,M_MES,"&lt;="&amp;FECHA_CORTE))</f>
        <v/>
      </c>
      <c r="AA102" s="68" t="str">
        <f aca="false">IF(O102&lt;&gt;"Activo","",Y102-Z102)</f>
        <v/>
      </c>
      <c r="AB102" s="63" t="str">
        <f aca="false">IF(O102&lt;&gt;"Activo","",ROUND(MAX(0,IF(AA102&lt;=0,0,WORKDAY(FECHA_CORTE,INT(AA102),FERIADOS)-FECHA_CORTE+(AA102-INT(AA102))))*(Q102+N(K102))/30,0))</f>
        <v/>
      </c>
      <c r="AC102" s="65" t="str">
        <f aca="false">IF(O102&lt;&gt;"Activo","",IF(DATEDIF(F102,FECHA_CORTE+1,"y")&lt;1,0,MIN(TOPE_ANIOS,DATEDIF(F102,FECHA_CORTE+1,"y")+IF(EDATE(F102,12*DATEDIF(F102,FECHA_CORTE+1,"y")+6)&lt;FECHA_CORTE+1,1,0))))</f>
        <v/>
      </c>
      <c r="AD102" s="69" t="str">
        <f aca="false">IF(O102&lt;&gt;"Activo","",AB102+IF(R102="Obra o faena",0,ROUND(AL102*AC102,0)+ROUND(AL102,0)))</f>
        <v/>
      </c>
      <c r="AE102" s="69" t="str">
        <f aca="false">IF(O102&lt;&gt;"Activo","",AB102)</f>
        <v/>
      </c>
      <c r="AF102" s="69" t="str">
        <f aca="false">IF(AN102="","",IF(ISNUMBER(AJ102),"",ROUND(MAX(0,IF(AN102&lt;=0,0,WORKDAY(U102,INT(AN102),FERIADOS)-U102+(AN102-INT(AN102))))*(Q102+N(K102))/30,0)+IF(R102="Obra o faena",ROUND(OBRA_DIAS*AL102/30*(DATEDIF(F102,U102+1,"m")+IF(U102+1-EDATE(F102,DATEDIF(F102,U102+1,"m"))&gt;15,1,0)),0),0)))</f>
        <v/>
      </c>
      <c r="AG102" s="62" t="str">
        <f aca="false">IF(B102="","",IFERROR(VALUE(LEFT(UPPER(SUBSTITUTE(SUBSTITUTE(SUBSTITUTE(TRIM(B102),".",""),"-","")," ","")),LEN(UPPER(SUBSTITUTE(SUBSTITUTE(SUBSTITUTE(TRIM(B102),".",""),"-","")," ","")))-1))&amp;RIGHT(UPPER(SUBSTITUTE(SUBSTITUTE(SUBSTITUTE(TRIM(B102),".",""),"-","")," ","")),1),UPPER(SUBSTITUTE(SUBSTITUTE(SUBSTITUTE(TRIM(B102),".",""),"-","")," ",""))))</f>
        <v/>
      </c>
      <c r="AH102" s="62" t="str">
        <f aca="false">IF(B102="","",COUNTIFS(C_RUTN,AG102,C_DEF,"Sí",C_INI,"&lt;="&amp;FECHA_CORTE))</f>
        <v/>
      </c>
      <c r="AI102" s="62" t="str">
        <f aca="false">IF(B102="","",COUNTIFS(C_RUTN,AG102,C_DEF,"Sí"))</f>
        <v/>
      </c>
      <c r="AJ102" s="66" t="str">
        <f aca="false">IF(OR(B102="",N(AI102)&lt;=N(AH102)),"",IFERROR(INDEX(C_INI,MATCH(AG102&amp;"-P"&amp;(AH102+1),C_CLAVE,0)),""))</f>
        <v/>
      </c>
      <c r="AK102" s="63" t="str">
        <f aca="false">IF(O102&lt;&gt;"Activo","",Q102+N(K102)+IF(L102="Sí",MIN(GRAT_PCT*(Q102+N(K102)),GRAT_TOPE),0)+N(I102)+N(J102))</f>
        <v/>
      </c>
      <c r="AL102" s="63" t="str">
        <f aca="false">IF(O102&lt;&gt;"Activo","",MIN(AK102,TOPE_IAS_UF*UF_MES))</f>
        <v/>
      </c>
      <c r="AM102" s="62" t="str">
        <f aca="false">IF(AND(O102="Activo",ISNUMBER(V102),W102&lt;&gt;"Renovación registrada"),V102+ROW()/100000,"")</f>
        <v/>
      </c>
      <c r="AN102" s="70" t="str">
        <f aca="false">IF(OR(O102&lt;&gt;"Activo",NOT(ISNUMBER(U102))),"",IF(U102&lt;FECHA_CORTE,"",1.25*(DATEDIF(F102,U102+1,"m")+(U102+1-EDATE(F102,DATEDIF(F102,U102+1,"m")))/30)-Z102))</f>
        <v/>
      </c>
      <c r="AO102" s="66" t="str">
        <f aca="false">IF(OR(B102="",NOT(ISNUMBER(F102))),"",IF(N(G102)&gt;0,MIN(G102,FECHA_CORTE),FECHA_CORTE))</f>
        <v/>
      </c>
    </row>
    <row r="103" customFormat="false" ht="15" hidden="false" customHeight="false" outlineLevel="0" collapsed="false">
      <c r="B103" s="58"/>
      <c r="C103" s="58"/>
      <c r="D103" s="58"/>
      <c r="E103" s="58"/>
      <c r="F103" s="59"/>
      <c r="G103" s="59"/>
      <c r="H103" s="58"/>
      <c r="I103" s="60"/>
      <c r="J103" s="60"/>
      <c r="K103" s="60"/>
      <c r="L103" s="58"/>
      <c r="M103" s="61"/>
      <c r="N103" s="58"/>
      <c r="O103" s="62" t="str">
        <f aca="false">IF(B103="","",IF(NOT(ISNUMBER(F103)),"⚠ Falta ingreso",IF(F103&gt;FECHA_CORTE,"Por ingresar",IF(G103="","Activo",IF(G103&lt;FECHA_CORTE,"Desvinculado","Activo")))))</f>
        <v/>
      </c>
      <c r="P103" s="62" t="str">
        <f aca="false">IF(OR(B103="",NOT(ISNUMBER(F103))),"",IF(F103&gt;FECHA_CORTE,"",DATEDIF(F103,IF(G103="",FECHA_CORTE,MIN(G103,FECHA_CORTE))+1,"y")&amp;" a "&amp;DATEDIF(F103,IF(G103="",FECHA_CORTE,MIN(G103,FECHA_CORTE))+1,"ym")&amp;" m"))</f>
        <v/>
      </c>
      <c r="Q103" s="63" t="str">
        <f aca="false">IF(B103="","",IFERROR(INDEX(C_SUELDO,MATCH(AG103&amp;"-S"&amp;MAX(1,COUNTIFS(C_RUTN,AG103,C_SUELDO,"&lt;&gt;",C_INI,"&lt;="&amp;FECHA_CORTE)),C_CLAVES,0)),0))</f>
        <v/>
      </c>
      <c r="R103" s="62" t="str">
        <f aca="false">IF(B103="","",IF(N(AI103)=0,"Sin contrato",IFERROR(INDEX(C_TIPO,MATCH(AG103&amp;"-P"&amp;MAX(1,AH103),C_CLAVE,0))&amp;"","")))</f>
        <v/>
      </c>
      <c r="S103" s="64" t="str">
        <f aca="false">IF(R103="Plazo fijo",IFERROR(INDEX(C_NPF,MATCH(AG103&amp;"-P"&amp;MAX(1,AH103),C_CLAVE,0)),""),"")</f>
        <v/>
      </c>
      <c r="T103" s="65" t="str">
        <f aca="false">IF(B103="","",COUNTIFS(C_RUTN,AG103,C_TIPODOC,"Anexo de modificación"))</f>
        <v/>
      </c>
      <c r="U103" s="66" t="str">
        <f aca="false">IF(AND(OR(R103="Plazo fijo",R103="Obra o faena"),O103&lt;&gt;"Desvinculado"),IFERROR(IF(N(INDEX(C_TER,MATCH(AG103&amp;"-P"&amp;MAX(1,AH103),C_CLAVE,0)))=0,"",INDEX(C_TER,MATCH(AG103&amp;"-P"&amp;MAX(1,AH103),C_CLAVE,0))),""),"")</f>
        <v/>
      </c>
      <c r="V103" s="67" t="str">
        <f aca="false">IF(ISNUMBER(U103),U103-FECHA_CORTE,"")</f>
        <v/>
      </c>
      <c r="W103" s="62" t="str">
        <f aca="false">IF(B103="","",IF(O103="Desvinculado","Terminado",IF(N(AI103)=0,"Sin contrato registrado",IF(O103="Por ingresar","Por ingresar",IF(ISNUMBER(AJ103),"Renovación registrada",IF(R103="Indefinido","Indefinido",IF(NOT(ISNUMBER(V103)),"Falta fecha de término",IF(V103&lt;0,"VENCIDO",IF(V103&lt;=ALERTA_ROJA,"Vence en ≤ "&amp;ALERTA_ROJA&amp;" días",IF(V103&lt;=ALERTA_NARANJA,"Vence en ≤ "&amp;ALERTA_NARANJA&amp;" días",IF(V103&lt;=ALERTA_AMARILLA,"Vence en ≤ "&amp;ALERTA_AMARILLA&amp;" días","Vigente")))))))))))</f>
        <v/>
      </c>
      <c r="X103" s="62" t="str">
        <f aca="false">IF(B103="","",IF(W103="Terminado","—",IF(W103="Sin contrato registrado","Registrar su contrato en la hoja Contratos",IF(W103="Por ingresar","Tener el contrato firmado antes del ingreso",IF(W103="Renovación registrada","Siguiente contrato ya registrado: verificar que esté firmado",IF(R103="Indefinido","Sin vencimiento. Cambios de sueldo o cargo: anexo de modificación",IF(W103="Falta fecha de término","Completar la fecha de término en Contratos",IF(W103="VENCIDO","Sigue trabajando con plazo vencido: por ley ya es INDEFINIDO. Firmar anexo de paso a indefinido",IF(R103="Obra o faena","Al terminar la obra: finiquito + 2,5 días de sueldo por mes trabajado",IF(N(S103)&gt;=2,"2° contrato a plazo: NO se puede renovar otra vez a plazo fijo. Pasar a indefinido o terminar al vencer","1er contrato a plazo: renovar (2° contrato), pasar a indefinido o terminar al vencer"))))))))))</f>
        <v/>
      </c>
      <c r="Y103" s="68" t="str">
        <f aca="false">IF(O103&lt;&gt;"Activo","",ROUND(1.25*(DATEDIF(F103,AO103+1,"m")+(AO103+1-EDATE(F103,DATEDIF(F103,AO103+1,"m")))/30),2))</f>
        <v/>
      </c>
      <c r="Z103" s="68" t="str">
        <f aca="false">IF(O103&lt;&gt;"Activo","",N(M103)+SUMIFS(M_VAC,M_RUTN,AG103,M_MES,"&lt;="&amp;FECHA_CORTE))</f>
        <v/>
      </c>
      <c r="AA103" s="68" t="str">
        <f aca="false">IF(O103&lt;&gt;"Activo","",Y103-Z103)</f>
        <v/>
      </c>
      <c r="AB103" s="63" t="str">
        <f aca="false">IF(O103&lt;&gt;"Activo","",ROUND(MAX(0,IF(AA103&lt;=0,0,WORKDAY(FECHA_CORTE,INT(AA103),FERIADOS)-FECHA_CORTE+(AA103-INT(AA103))))*(Q103+N(K103))/30,0))</f>
        <v/>
      </c>
      <c r="AC103" s="65" t="str">
        <f aca="false">IF(O103&lt;&gt;"Activo","",IF(DATEDIF(F103,FECHA_CORTE+1,"y")&lt;1,0,MIN(TOPE_ANIOS,DATEDIF(F103,FECHA_CORTE+1,"y")+IF(EDATE(F103,12*DATEDIF(F103,FECHA_CORTE+1,"y")+6)&lt;FECHA_CORTE+1,1,0))))</f>
        <v/>
      </c>
      <c r="AD103" s="69" t="str">
        <f aca="false">IF(O103&lt;&gt;"Activo","",AB103+IF(R103="Obra o faena",0,ROUND(AL103*AC103,0)+ROUND(AL103,0)))</f>
        <v/>
      </c>
      <c r="AE103" s="69" t="str">
        <f aca="false">IF(O103&lt;&gt;"Activo","",AB103)</f>
        <v/>
      </c>
      <c r="AF103" s="69" t="str">
        <f aca="false">IF(AN103="","",IF(ISNUMBER(AJ103),"",ROUND(MAX(0,IF(AN103&lt;=0,0,WORKDAY(U103,INT(AN103),FERIADOS)-U103+(AN103-INT(AN103))))*(Q103+N(K103))/30,0)+IF(R103="Obra o faena",ROUND(OBRA_DIAS*AL103/30*(DATEDIF(F103,U103+1,"m")+IF(U103+1-EDATE(F103,DATEDIF(F103,U103+1,"m"))&gt;15,1,0)),0),0)))</f>
        <v/>
      </c>
      <c r="AG103" s="62" t="str">
        <f aca="false">IF(B103="","",IFERROR(VALUE(LEFT(UPPER(SUBSTITUTE(SUBSTITUTE(SUBSTITUTE(TRIM(B103),".",""),"-","")," ","")),LEN(UPPER(SUBSTITUTE(SUBSTITUTE(SUBSTITUTE(TRIM(B103),".",""),"-","")," ","")))-1))&amp;RIGHT(UPPER(SUBSTITUTE(SUBSTITUTE(SUBSTITUTE(TRIM(B103),".",""),"-","")," ","")),1),UPPER(SUBSTITUTE(SUBSTITUTE(SUBSTITUTE(TRIM(B103),".",""),"-","")," ",""))))</f>
        <v/>
      </c>
      <c r="AH103" s="62" t="str">
        <f aca="false">IF(B103="","",COUNTIFS(C_RUTN,AG103,C_DEF,"Sí",C_INI,"&lt;="&amp;FECHA_CORTE))</f>
        <v/>
      </c>
      <c r="AI103" s="62" t="str">
        <f aca="false">IF(B103="","",COUNTIFS(C_RUTN,AG103,C_DEF,"Sí"))</f>
        <v/>
      </c>
      <c r="AJ103" s="66" t="str">
        <f aca="false">IF(OR(B103="",N(AI103)&lt;=N(AH103)),"",IFERROR(INDEX(C_INI,MATCH(AG103&amp;"-P"&amp;(AH103+1),C_CLAVE,0)),""))</f>
        <v/>
      </c>
      <c r="AK103" s="63" t="str">
        <f aca="false">IF(O103&lt;&gt;"Activo","",Q103+N(K103)+IF(L103="Sí",MIN(GRAT_PCT*(Q103+N(K103)),GRAT_TOPE),0)+N(I103)+N(J103))</f>
        <v/>
      </c>
      <c r="AL103" s="63" t="str">
        <f aca="false">IF(O103&lt;&gt;"Activo","",MIN(AK103,TOPE_IAS_UF*UF_MES))</f>
        <v/>
      </c>
      <c r="AM103" s="62" t="str">
        <f aca="false">IF(AND(O103="Activo",ISNUMBER(V103),W103&lt;&gt;"Renovación registrada"),V103+ROW()/100000,"")</f>
        <v/>
      </c>
      <c r="AN103" s="70" t="str">
        <f aca="false">IF(OR(O103&lt;&gt;"Activo",NOT(ISNUMBER(U103))),"",IF(U103&lt;FECHA_CORTE,"",1.25*(DATEDIF(F103,U103+1,"m")+(U103+1-EDATE(F103,DATEDIF(F103,U103+1,"m")))/30)-Z103))</f>
        <v/>
      </c>
      <c r="AO103" s="66" t="str">
        <f aca="false">IF(OR(B103="",NOT(ISNUMBER(F103))),"",IF(N(G103)&gt;0,MIN(G103,FECHA_CORTE),FECHA_CORTE))</f>
        <v/>
      </c>
    </row>
    <row r="104" customFormat="false" ht="15" hidden="false" customHeight="false" outlineLevel="0" collapsed="false">
      <c r="B104" s="58"/>
      <c r="C104" s="58"/>
      <c r="D104" s="58"/>
      <c r="E104" s="58"/>
      <c r="F104" s="59"/>
      <c r="G104" s="59"/>
      <c r="H104" s="58"/>
      <c r="I104" s="60"/>
      <c r="J104" s="60"/>
      <c r="K104" s="60"/>
      <c r="L104" s="58"/>
      <c r="M104" s="61"/>
      <c r="N104" s="58"/>
      <c r="O104" s="62" t="str">
        <f aca="false">IF(B104="","",IF(NOT(ISNUMBER(F104)),"⚠ Falta ingreso",IF(F104&gt;FECHA_CORTE,"Por ingresar",IF(G104="","Activo",IF(G104&lt;FECHA_CORTE,"Desvinculado","Activo")))))</f>
        <v/>
      </c>
      <c r="P104" s="62" t="str">
        <f aca="false">IF(OR(B104="",NOT(ISNUMBER(F104))),"",IF(F104&gt;FECHA_CORTE,"",DATEDIF(F104,IF(G104="",FECHA_CORTE,MIN(G104,FECHA_CORTE))+1,"y")&amp;" a "&amp;DATEDIF(F104,IF(G104="",FECHA_CORTE,MIN(G104,FECHA_CORTE))+1,"ym")&amp;" m"))</f>
        <v/>
      </c>
      <c r="Q104" s="63" t="str">
        <f aca="false">IF(B104="","",IFERROR(INDEX(C_SUELDO,MATCH(AG104&amp;"-S"&amp;MAX(1,COUNTIFS(C_RUTN,AG104,C_SUELDO,"&lt;&gt;",C_INI,"&lt;="&amp;FECHA_CORTE)),C_CLAVES,0)),0))</f>
        <v/>
      </c>
      <c r="R104" s="62" t="str">
        <f aca="false">IF(B104="","",IF(N(AI104)=0,"Sin contrato",IFERROR(INDEX(C_TIPO,MATCH(AG104&amp;"-P"&amp;MAX(1,AH104),C_CLAVE,0))&amp;"","")))</f>
        <v/>
      </c>
      <c r="S104" s="64" t="str">
        <f aca="false">IF(R104="Plazo fijo",IFERROR(INDEX(C_NPF,MATCH(AG104&amp;"-P"&amp;MAX(1,AH104),C_CLAVE,0)),""),"")</f>
        <v/>
      </c>
      <c r="T104" s="65" t="str">
        <f aca="false">IF(B104="","",COUNTIFS(C_RUTN,AG104,C_TIPODOC,"Anexo de modificación"))</f>
        <v/>
      </c>
      <c r="U104" s="66" t="str">
        <f aca="false">IF(AND(OR(R104="Plazo fijo",R104="Obra o faena"),O104&lt;&gt;"Desvinculado"),IFERROR(IF(N(INDEX(C_TER,MATCH(AG104&amp;"-P"&amp;MAX(1,AH104),C_CLAVE,0)))=0,"",INDEX(C_TER,MATCH(AG104&amp;"-P"&amp;MAX(1,AH104),C_CLAVE,0))),""),"")</f>
        <v/>
      </c>
      <c r="V104" s="67" t="str">
        <f aca="false">IF(ISNUMBER(U104),U104-FECHA_CORTE,"")</f>
        <v/>
      </c>
      <c r="W104" s="62" t="str">
        <f aca="false">IF(B104="","",IF(O104="Desvinculado","Terminado",IF(N(AI104)=0,"Sin contrato registrado",IF(O104="Por ingresar","Por ingresar",IF(ISNUMBER(AJ104),"Renovación registrada",IF(R104="Indefinido","Indefinido",IF(NOT(ISNUMBER(V104)),"Falta fecha de término",IF(V104&lt;0,"VENCIDO",IF(V104&lt;=ALERTA_ROJA,"Vence en ≤ "&amp;ALERTA_ROJA&amp;" días",IF(V104&lt;=ALERTA_NARANJA,"Vence en ≤ "&amp;ALERTA_NARANJA&amp;" días",IF(V104&lt;=ALERTA_AMARILLA,"Vence en ≤ "&amp;ALERTA_AMARILLA&amp;" días","Vigente")))))))))))</f>
        <v/>
      </c>
      <c r="X104" s="62" t="str">
        <f aca="false">IF(B104="","",IF(W104="Terminado","—",IF(W104="Sin contrato registrado","Registrar su contrato en la hoja Contratos",IF(W104="Por ingresar","Tener el contrato firmado antes del ingreso",IF(W104="Renovación registrada","Siguiente contrato ya registrado: verificar que esté firmado",IF(R104="Indefinido","Sin vencimiento. Cambios de sueldo o cargo: anexo de modificación",IF(W104="Falta fecha de término","Completar la fecha de término en Contratos",IF(W104="VENCIDO","Sigue trabajando con plazo vencido: por ley ya es INDEFINIDO. Firmar anexo de paso a indefinido",IF(R104="Obra o faena","Al terminar la obra: finiquito + 2,5 días de sueldo por mes trabajado",IF(N(S104)&gt;=2,"2° contrato a plazo: NO se puede renovar otra vez a plazo fijo. Pasar a indefinido o terminar al vencer","1er contrato a plazo: renovar (2° contrato), pasar a indefinido o terminar al vencer"))))))))))</f>
        <v/>
      </c>
      <c r="Y104" s="68" t="str">
        <f aca="false">IF(O104&lt;&gt;"Activo","",ROUND(1.25*(DATEDIF(F104,AO104+1,"m")+(AO104+1-EDATE(F104,DATEDIF(F104,AO104+1,"m")))/30),2))</f>
        <v/>
      </c>
      <c r="Z104" s="68" t="str">
        <f aca="false">IF(O104&lt;&gt;"Activo","",N(M104)+SUMIFS(M_VAC,M_RUTN,AG104,M_MES,"&lt;="&amp;FECHA_CORTE))</f>
        <v/>
      </c>
      <c r="AA104" s="68" t="str">
        <f aca="false">IF(O104&lt;&gt;"Activo","",Y104-Z104)</f>
        <v/>
      </c>
      <c r="AB104" s="63" t="str">
        <f aca="false">IF(O104&lt;&gt;"Activo","",ROUND(MAX(0,IF(AA104&lt;=0,0,WORKDAY(FECHA_CORTE,INT(AA104),FERIADOS)-FECHA_CORTE+(AA104-INT(AA104))))*(Q104+N(K104))/30,0))</f>
        <v/>
      </c>
      <c r="AC104" s="65" t="str">
        <f aca="false">IF(O104&lt;&gt;"Activo","",IF(DATEDIF(F104,FECHA_CORTE+1,"y")&lt;1,0,MIN(TOPE_ANIOS,DATEDIF(F104,FECHA_CORTE+1,"y")+IF(EDATE(F104,12*DATEDIF(F104,FECHA_CORTE+1,"y")+6)&lt;FECHA_CORTE+1,1,0))))</f>
        <v/>
      </c>
      <c r="AD104" s="69" t="str">
        <f aca="false">IF(O104&lt;&gt;"Activo","",AB104+IF(R104="Obra o faena",0,ROUND(AL104*AC104,0)+ROUND(AL104,0)))</f>
        <v/>
      </c>
      <c r="AE104" s="69" t="str">
        <f aca="false">IF(O104&lt;&gt;"Activo","",AB104)</f>
        <v/>
      </c>
      <c r="AF104" s="69" t="str">
        <f aca="false">IF(AN104="","",IF(ISNUMBER(AJ104),"",ROUND(MAX(0,IF(AN104&lt;=0,0,WORKDAY(U104,INT(AN104),FERIADOS)-U104+(AN104-INT(AN104))))*(Q104+N(K104))/30,0)+IF(R104="Obra o faena",ROUND(OBRA_DIAS*AL104/30*(DATEDIF(F104,U104+1,"m")+IF(U104+1-EDATE(F104,DATEDIF(F104,U104+1,"m"))&gt;15,1,0)),0),0)))</f>
        <v/>
      </c>
      <c r="AG104" s="62" t="str">
        <f aca="false">IF(B104="","",IFERROR(VALUE(LEFT(UPPER(SUBSTITUTE(SUBSTITUTE(SUBSTITUTE(TRIM(B104),".",""),"-","")," ","")),LEN(UPPER(SUBSTITUTE(SUBSTITUTE(SUBSTITUTE(TRIM(B104),".",""),"-","")," ","")))-1))&amp;RIGHT(UPPER(SUBSTITUTE(SUBSTITUTE(SUBSTITUTE(TRIM(B104),".",""),"-","")," ","")),1),UPPER(SUBSTITUTE(SUBSTITUTE(SUBSTITUTE(TRIM(B104),".",""),"-","")," ",""))))</f>
        <v/>
      </c>
      <c r="AH104" s="62" t="str">
        <f aca="false">IF(B104="","",COUNTIFS(C_RUTN,AG104,C_DEF,"Sí",C_INI,"&lt;="&amp;FECHA_CORTE))</f>
        <v/>
      </c>
      <c r="AI104" s="62" t="str">
        <f aca="false">IF(B104="","",COUNTIFS(C_RUTN,AG104,C_DEF,"Sí"))</f>
        <v/>
      </c>
      <c r="AJ104" s="66" t="str">
        <f aca="false">IF(OR(B104="",N(AI104)&lt;=N(AH104)),"",IFERROR(INDEX(C_INI,MATCH(AG104&amp;"-P"&amp;(AH104+1),C_CLAVE,0)),""))</f>
        <v/>
      </c>
      <c r="AK104" s="63" t="str">
        <f aca="false">IF(O104&lt;&gt;"Activo","",Q104+N(K104)+IF(L104="Sí",MIN(GRAT_PCT*(Q104+N(K104)),GRAT_TOPE),0)+N(I104)+N(J104))</f>
        <v/>
      </c>
      <c r="AL104" s="63" t="str">
        <f aca="false">IF(O104&lt;&gt;"Activo","",MIN(AK104,TOPE_IAS_UF*UF_MES))</f>
        <v/>
      </c>
      <c r="AM104" s="62" t="str">
        <f aca="false">IF(AND(O104="Activo",ISNUMBER(V104),W104&lt;&gt;"Renovación registrada"),V104+ROW()/100000,"")</f>
        <v/>
      </c>
      <c r="AN104" s="70" t="str">
        <f aca="false">IF(OR(O104&lt;&gt;"Activo",NOT(ISNUMBER(U104))),"",IF(U104&lt;FECHA_CORTE,"",1.25*(DATEDIF(F104,U104+1,"m")+(U104+1-EDATE(F104,DATEDIF(F104,U104+1,"m")))/30)-Z104))</f>
        <v/>
      </c>
      <c r="AO104" s="66" t="str">
        <f aca="false">IF(OR(B104="",NOT(ISNUMBER(F104))),"",IF(N(G104)&gt;0,MIN(G104,FECHA_CORTE),FECHA_CORTE))</f>
        <v/>
      </c>
    </row>
    <row r="105" customFormat="false" ht="15" hidden="false" customHeight="false" outlineLevel="0" collapsed="false">
      <c r="B105" s="58"/>
      <c r="C105" s="58"/>
      <c r="D105" s="58"/>
      <c r="E105" s="58"/>
      <c r="F105" s="59"/>
      <c r="G105" s="59"/>
      <c r="H105" s="58"/>
      <c r="I105" s="60"/>
      <c r="J105" s="60"/>
      <c r="K105" s="60"/>
      <c r="L105" s="58"/>
      <c r="M105" s="61"/>
      <c r="N105" s="58"/>
      <c r="O105" s="62" t="str">
        <f aca="false">IF(B105="","",IF(NOT(ISNUMBER(F105)),"⚠ Falta ingreso",IF(F105&gt;FECHA_CORTE,"Por ingresar",IF(G105="","Activo",IF(G105&lt;FECHA_CORTE,"Desvinculado","Activo")))))</f>
        <v/>
      </c>
      <c r="P105" s="62" t="str">
        <f aca="false">IF(OR(B105="",NOT(ISNUMBER(F105))),"",IF(F105&gt;FECHA_CORTE,"",DATEDIF(F105,IF(G105="",FECHA_CORTE,MIN(G105,FECHA_CORTE))+1,"y")&amp;" a "&amp;DATEDIF(F105,IF(G105="",FECHA_CORTE,MIN(G105,FECHA_CORTE))+1,"ym")&amp;" m"))</f>
        <v/>
      </c>
      <c r="Q105" s="63" t="str">
        <f aca="false">IF(B105="","",IFERROR(INDEX(C_SUELDO,MATCH(AG105&amp;"-S"&amp;MAX(1,COUNTIFS(C_RUTN,AG105,C_SUELDO,"&lt;&gt;",C_INI,"&lt;="&amp;FECHA_CORTE)),C_CLAVES,0)),0))</f>
        <v/>
      </c>
      <c r="R105" s="62" t="str">
        <f aca="false">IF(B105="","",IF(N(AI105)=0,"Sin contrato",IFERROR(INDEX(C_TIPO,MATCH(AG105&amp;"-P"&amp;MAX(1,AH105),C_CLAVE,0))&amp;"","")))</f>
        <v/>
      </c>
      <c r="S105" s="64" t="str">
        <f aca="false">IF(R105="Plazo fijo",IFERROR(INDEX(C_NPF,MATCH(AG105&amp;"-P"&amp;MAX(1,AH105),C_CLAVE,0)),""),"")</f>
        <v/>
      </c>
      <c r="T105" s="65" t="str">
        <f aca="false">IF(B105="","",COUNTIFS(C_RUTN,AG105,C_TIPODOC,"Anexo de modificación"))</f>
        <v/>
      </c>
      <c r="U105" s="66" t="str">
        <f aca="false">IF(AND(OR(R105="Plazo fijo",R105="Obra o faena"),O105&lt;&gt;"Desvinculado"),IFERROR(IF(N(INDEX(C_TER,MATCH(AG105&amp;"-P"&amp;MAX(1,AH105),C_CLAVE,0)))=0,"",INDEX(C_TER,MATCH(AG105&amp;"-P"&amp;MAX(1,AH105),C_CLAVE,0))),""),"")</f>
        <v/>
      </c>
      <c r="V105" s="67" t="str">
        <f aca="false">IF(ISNUMBER(U105),U105-FECHA_CORTE,"")</f>
        <v/>
      </c>
      <c r="W105" s="62" t="str">
        <f aca="false">IF(B105="","",IF(O105="Desvinculado","Terminado",IF(N(AI105)=0,"Sin contrato registrado",IF(O105="Por ingresar","Por ingresar",IF(ISNUMBER(AJ105),"Renovación registrada",IF(R105="Indefinido","Indefinido",IF(NOT(ISNUMBER(V105)),"Falta fecha de término",IF(V105&lt;0,"VENCIDO",IF(V105&lt;=ALERTA_ROJA,"Vence en ≤ "&amp;ALERTA_ROJA&amp;" días",IF(V105&lt;=ALERTA_NARANJA,"Vence en ≤ "&amp;ALERTA_NARANJA&amp;" días",IF(V105&lt;=ALERTA_AMARILLA,"Vence en ≤ "&amp;ALERTA_AMARILLA&amp;" días","Vigente")))))))))))</f>
        <v/>
      </c>
      <c r="X105" s="62" t="str">
        <f aca="false">IF(B105="","",IF(W105="Terminado","—",IF(W105="Sin contrato registrado","Registrar su contrato en la hoja Contratos",IF(W105="Por ingresar","Tener el contrato firmado antes del ingreso",IF(W105="Renovación registrada","Siguiente contrato ya registrado: verificar que esté firmado",IF(R105="Indefinido","Sin vencimiento. Cambios de sueldo o cargo: anexo de modificación",IF(W105="Falta fecha de término","Completar la fecha de término en Contratos",IF(W105="VENCIDO","Sigue trabajando con plazo vencido: por ley ya es INDEFINIDO. Firmar anexo de paso a indefinido",IF(R105="Obra o faena","Al terminar la obra: finiquito + 2,5 días de sueldo por mes trabajado",IF(N(S105)&gt;=2,"2° contrato a plazo: NO se puede renovar otra vez a plazo fijo. Pasar a indefinido o terminar al vencer","1er contrato a plazo: renovar (2° contrato), pasar a indefinido o terminar al vencer"))))))))))</f>
        <v/>
      </c>
      <c r="Y105" s="68" t="str">
        <f aca="false">IF(O105&lt;&gt;"Activo","",ROUND(1.25*(DATEDIF(F105,AO105+1,"m")+(AO105+1-EDATE(F105,DATEDIF(F105,AO105+1,"m")))/30),2))</f>
        <v/>
      </c>
      <c r="Z105" s="68" t="str">
        <f aca="false">IF(O105&lt;&gt;"Activo","",N(M105)+SUMIFS(M_VAC,M_RUTN,AG105,M_MES,"&lt;="&amp;FECHA_CORTE))</f>
        <v/>
      </c>
      <c r="AA105" s="68" t="str">
        <f aca="false">IF(O105&lt;&gt;"Activo","",Y105-Z105)</f>
        <v/>
      </c>
      <c r="AB105" s="63" t="str">
        <f aca="false">IF(O105&lt;&gt;"Activo","",ROUND(MAX(0,IF(AA105&lt;=0,0,WORKDAY(FECHA_CORTE,INT(AA105),FERIADOS)-FECHA_CORTE+(AA105-INT(AA105))))*(Q105+N(K105))/30,0))</f>
        <v/>
      </c>
      <c r="AC105" s="65" t="str">
        <f aca="false">IF(O105&lt;&gt;"Activo","",IF(DATEDIF(F105,FECHA_CORTE+1,"y")&lt;1,0,MIN(TOPE_ANIOS,DATEDIF(F105,FECHA_CORTE+1,"y")+IF(EDATE(F105,12*DATEDIF(F105,FECHA_CORTE+1,"y")+6)&lt;FECHA_CORTE+1,1,0))))</f>
        <v/>
      </c>
      <c r="AD105" s="69" t="str">
        <f aca="false">IF(O105&lt;&gt;"Activo","",AB105+IF(R105="Obra o faena",0,ROUND(AL105*AC105,0)+ROUND(AL105,0)))</f>
        <v/>
      </c>
      <c r="AE105" s="69" t="str">
        <f aca="false">IF(O105&lt;&gt;"Activo","",AB105)</f>
        <v/>
      </c>
      <c r="AF105" s="69" t="str">
        <f aca="false">IF(AN105="","",IF(ISNUMBER(AJ105),"",ROUND(MAX(0,IF(AN105&lt;=0,0,WORKDAY(U105,INT(AN105),FERIADOS)-U105+(AN105-INT(AN105))))*(Q105+N(K105))/30,0)+IF(R105="Obra o faena",ROUND(OBRA_DIAS*AL105/30*(DATEDIF(F105,U105+1,"m")+IF(U105+1-EDATE(F105,DATEDIF(F105,U105+1,"m"))&gt;15,1,0)),0),0)))</f>
        <v/>
      </c>
      <c r="AG105" s="62" t="str">
        <f aca="false">IF(B105="","",IFERROR(VALUE(LEFT(UPPER(SUBSTITUTE(SUBSTITUTE(SUBSTITUTE(TRIM(B105),".",""),"-","")," ","")),LEN(UPPER(SUBSTITUTE(SUBSTITUTE(SUBSTITUTE(TRIM(B105),".",""),"-","")," ","")))-1))&amp;RIGHT(UPPER(SUBSTITUTE(SUBSTITUTE(SUBSTITUTE(TRIM(B105),".",""),"-","")," ","")),1),UPPER(SUBSTITUTE(SUBSTITUTE(SUBSTITUTE(TRIM(B105),".",""),"-","")," ",""))))</f>
        <v/>
      </c>
      <c r="AH105" s="62" t="str">
        <f aca="false">IF(B105="","",COUNTIFS(C_RUTN,AG105,C_DEF,"Sí",C_INI,"&lt;="&amp;FECHA_CORTE))</f>
        <v/>
      </c>
      <c r="AI105" s="62" t="str">
        <f aca="false">IF(B105="","",COUNTIFS(C_RUTN,AG105,C_DEF,"Sí"))</f>
        <v/>
      </c>
      <c r="AJ105" s="66" t="str">
        <f aca="false">IF(OR(B105="",N(AI105)&lt;=N(AH105)),"",IFERROR(INDEX(C_INI,MATCH(AG105&amp;"-P"&amp;(AH105+1),C_CLAVE,0)),""))</f>
        <v/>
      </c>
      <c r="AK105" s="63" t="str">
        <f aca="false">IF(O105&lt;&gt;"Activo","",Q105+N(K105)+IF(L105="Sí",MIN(GRAT_PCT*(Q105+N(K105)),GRAT_TOPE),0)+N(I105)+N(J105))</f>
        <v/>
      </c>
      <c r="AL105" s="63" t="str">
        <f aca="false">IF(O105&lt;&gt;"Activo","",MIN(AK105,TOPE_IAS_UF*UF_MES))</f>
        <v/>
      </c>
      <c r="AM105" s="62" t="str">
        <f aca="false">IF(AND(O105="Activo",ISNUMBER(V105),W105&lt;&gt;"Renovación registrada"),V105+ROW()/100000,"")</f>
        <v/>
      </c>
      <c r="AN105" s="70" t="str">
        <f aca="false">IF(OR(O105&lt;&gt;"Activo",NOT(ISNUMBER(U105))),"",IF(U105&lt;FECHA_CORTE,"",1.25*(DATEDIF(F105,U105+1,"m")+(U105+1-EDATE(F105,DATEDIF(F105,U105+1,"m")))/30)-Z105))</f>
        <v/>
      </c>
      <c r="AO105" s="66" t="str">
        <f aca="false">IF(OR(B105="",NOT(ISNUMBER(F105))),"",IF(N(G105)&gt;0,MIN(G105,FECHA_CORTE),FECHA_CORTE))</f>
        <v/>
      </c>
    </row>
    <row r="106" customFormat="false" ht="15" hidden="false" customHeight="false" outlineLevel="0" collapsed="false">
      <c r="B106" s="58"/>
      <c r="C106" s="58"/>
      <c r="D106" s="58"/>
      <c r="E106" s="58"/>
      <c r="F106" s="59"/>
      <c r="G106" s="59"/>
      <c r="H106" s="58"/>
      <c r="I106" s="60"/>
      <c r="J106" s="60"/>
      <c r="K106" s="60"/>
      <c r="L106" s="58"/>
      <c r="M106" s="61"/>
      <c r="N106" s="58"/>
      <c r="O106" s="62" t="str">
        <f aca="false">IF(B106="","",IF(NOT(ISNUMBER(F106)),"⚠ Falta ingreso",IF(F106&gt;FECHA_CORTE,"Por ingresar",IF(G106="","Activo",IF(G106&lt;FECHA_CORTE,"Desvinculado","Activo")))))</f>
        <v/>
      </c>
      <c r="P106" s="62" t="str">
        <f aca="false">IF(OR(B106="",NOT(ISNUMBER(F106))),"",IF(F106&gt;FECHA_CORTE,"",DATEDIF(F106,IF(G106="",FECHA_CORTE,MIN(G106,FECHA_CORTE))+1,"y")&amp;" a "&amp;DATEDIF(F106,IF(G106="",FECHA_CORTE,MIN(G106,FECHA_CORTE))+1,"ym")&amp;" m"))</f>
        <v/>
      </c>
      <c r="Q106" s="63" t="str">
        <f aca="false">IF(B106="","",IFERROR(INDEX(C_SUELDO,MATCH(AG106&amp;"-S"&amp;MAX(1,COUNTIFS(C_RUTN,AG106,C_SUELDO,"&lt;&gt;",C_INI,"&lt;="&amp;FECHA_CORTE)),C_CLAVES,0)),0))</f>
        <v/>
      </c>
      <c r="R106" s="62" t="str">
        <f aca="false">IF(B106="","",IF(N(AI106)=0,"Sin contrato",IFERROR(INDEX(C_TIPO,MATCH(AG106&amp;"-P"&amp;MAX(1,AH106),C_CLAVE,0))&amp;"","")))</f>
        <v/>
      </c>
      <c r="S106" s="64" t="str">
        <f aca="false">IF(R106="Plazo fijo",IFERROR(INDEX(C_NPF,MATCH(AG106&amp;"-P"&amp;MAX(1,AH106),C_CLAVE,0)),""),"")</f>
        <v/>
      </c>
      <c r="T106" s="65" t="str">
        <f aca="false">IF(B106="","",COUNTIFS(C_RUTN,AG106,C_TIPODOC,"Anexo de modificación"))</f>
        <v/>
      </c>
      <c r="U106" s="66" t="str">
        <f aca="false">IF(AND(OR(R106="Plazo fijo",R106="Obra o faena"),O106&lt;&gt;"Desvinculado"),IFERROR(IF(N(INDEX(C_TER,MATCH(AG106&amp;"-P"&amp;MAX(1,AH106),C_CLAVE,0)))=0,"",INDEX(C_TER,MATCH(AG106&amp;"-P"&amp;MAX(1,AH106),C_CLAVE,0))),""),"")</f>
        <v/>
      </c>
      <c r="V106" s="67" t="str">
        <f aca="false">IF(ISNUMBER(U106),U106-FECHA_CORTE,"")</f>
        <v/>
      </c>
      <c r="W106" s="62" t="str">
        <f aca="false">IF(B106="","",IF(O106="Desvinculado","Terminado",IF(N(AI106)=0,"Sin contrato registrado",IF(O106="Por ingresar","Por ingresar",IF(ISNUMBER(AJ106),"Renovación registrada",IF(R106="Indefinido","Indefinido",IF(NOT(ISNUMBER(V106)),"Falta fecha de término",IF(V106&lt;0,"VENCIDO",IF(V106&lt;=ALERTA_ROJA,"Vence en ≤ "&amp;ALERTA_ROJA&amp;" días",IF(V106&lt;=ALERTA_NARANJA,"Vence en ≤ "&amp;ALERTA_NARANJA&amp;" días",IF(V106&lt;=ALERTA_AMARILLA,"Vence en ≤ "&amp;ALERTA_AMARILLA&amp;" días","Vigente")))))))))))</f>
        <v/>
      </c>
      <c r="X106" s="62" t="str">
        <f aca="false">IF(B106="","",IF(W106="Terminado","—",IF(W106="Sin contrato registrado","Registrar su contrato en la hoja Contratos",IF(W106="Por ingresar","Tener el contrato firmado antes del ingreso",IF(W106="Renovación registrada","Siguiente contrato ya registrado: verificar que esté firmado",IF(R106="Indefinido","Sin vencimiento. Cambios de sueldo o cargo: anexo de modificación",IF(W106="Falta fecha de término","Completar la fecha de término en Contratos",IF(W106="VENCIDO","Sigue trabajando con plazo vencido: por ley ya es INDEFINIDO. Firmar anexo de paso a indefinido",IF(R106="Obra o faena","Al terminar la obra: finiquito + 2,5 días de sueldo por mes trabajado",IF(N(S106)&gt;=2,"2° contrato a plazo: NO se puede renovar otra vez a plazo fijo. Pasar a indefinido o terminar al vencer","1er contrato a plazo: renovar (2° contrato), pasar a indefinido o terminar al vencer"))))))))))</f>
        <v/>
      </c>
      <c r="Y106" s="68" t="str">
        <f aca="false">IF(O106&lt;&gt;"Activo","",ROUND(1.25*(DATEDIF(F106,AO106+1,"m")+(AO106+1-EDATE(F106,DATEDIF(F106,AO106+1,"m")))/30),2))</f>
        <v/>
      </c>
      <c r="Z106" s="68" t="str">
        <f aca="false">IF(O106&lt;&gt;"Activo","",N(M106)+SUMIFS(M_VAC,M_RUTN,AG106,M_MES,"&lt;="&amp;FECHA_CORTE))</f>
        <v/>
      </c>
      <c r="AA106" s="68" t="str">
        <f aca="false">IF(O106&lt;&gt;"Activo","",Y106-Z106)</f>
        <v/>
      </c>
      <c r="AB106" s="63" t="str">
        <f aca="false">IF(O106&lt;&gt;"Activo","",ROUND(MAX(0,IF(AA106&lt;=0,0,WORKDAY(FECHA_CORTE,INT(AA106),FERIADOS)-FECHA_CORTE+(AA106-INT(AA106))))*(Q106+N(K106))/30,0))</f>
        <v/>
      </c>
      <c r="AC106" s="65" t="str">
        <f aca="false">IF(O106&lt;&gt;"Activo","",IF(DATEDIF(F106,FECHA_CORTE+1,"y")&lt;1,0,MIN(TOPE_ANIOS,DATEDIF(F106,FECHA_CORTE+1,"y")+IF(EDATE(F106,12*DATEDIF(F106,FECHA_CORTE+1,"y")+6)&lt;FECHA_CORTE+1,1,0))))</f>
        <v/>
      </c>
      <c r="AD106" s="69" t="str">
        <f aca="false">IF(O106&lt;&gt;"Activo","",AB106+IF(R106="Obra o faena",0,ROUND(AL106*AC106,0)+ROUND(AL106,0)))</f>
        <v/>
      </c>
      <c r="AE106" s="69" t="str">
        <f aca="false">IF(O106&lt;&gt;"Activo","",AB106)</f>
        <v/>
      </c>
      <c r="AF106" s="69" t="str">
        <f aca="false">IF(AN106="","",IF(ISNUMBER(AJ106),"",ROUND(MAX(0,IF(AN106&lt;=0,0,WORKDAY(U106,INT(AN106),FERIADOS)-U106+(AN106-INT(AN106))))*(Q106+N(K106))/30,0)+IF(R106="Obra o faena",ROUND(OBRA_DIAS*AL106/30*(DATEDIF(F106,U106+1,"m")+IF(U106+1-EDATE(F106,DATEDIF(F106,U106+1,"m"))&gt;15,1,0)),0),0)))</f>
        <v/>
      </c>
      <c r="AG106" s="62" t="str">
        <f aca="false">IF(B106="","",IFERROR(VALUE(LEFT(UPPER(SUBSTITUTE(SUBSTITUTE(SUBSTITUTE(TRIM(B106),".",""),"-","")," ","")),LEN(UPPER(SUBSTITUTE(SUBSTITUTE(SUBSTITUTE(TRIM(B106),".",""),"-","")," ","")))-1))&amp;RIGHT(UPPER(SUBSTITUTE(SUBSTITUTE(SUBSTITUTE(TRIM(B106),".",""),"-","")," ","")),1),UPPER(SUBSTITUTE(SUBSTITUTE(SUBSTITUTE(TRIM(B106),".",""),"-","")," ",""))))</f>
        <v/>
      </c>
      <c r="AH106" s="62" t="str">
        <f aca="false">IF(B106="","",COUNTIFS(C_RUTN,AG106,C_DEF,"Sí",C_INI,"&lt;="&amp;FECHA_CORTE))</f>
        <v/>
      </c>
      <c r="AI106" s="62" t="str">
        <f aca="false">IF(B106="","",COUNTIFS(C_RUTN,AG106,C_DEF,"Sí"))</f>
        <v/>
      </c>
      <c r="AJ106" s="66" t="str">
        <f aca="false">IF(OR(B106="",N(AI106)&lt;=N(AH106)),"",IFERROR(INDEX(C_INI,MATCH(AG106&amp;"-P"&amp;(AH106+1),C_CLAVE,0)),""))</f>
        <v/>
      </c>
      <c r="AK106" s="63" t="str">
        <f aca="false">IF(O106&lt;&gt;"Activo","",Q106+N(K106)+IF(L106="Sí",MIN(GRAT_PCT*(Q106+N(K106)),GRAT_TOPE),0)+N(I106)+N(J106))</f>
        <v/>
      </c>
      <c r="AL106" s="63" t="str">
        <f aca="false">IF(O106&lt;&gt;"Activo","",MIN(AK106,TOPE_IAS_UF*UF_MES))</f>
        <v/>
      </c>
      <c r="AM106" s="62" t="str">
        <f aca="false">IF(AND(O106="Activo",ISNUMBER(V106),W106&lt;&gt;"Renovación registrada"),V106+ROW()/100000,"")</f>
        <v/>
      </c>
      <c r="AN106" s="70" t="str">
        <f aca="false">IF(OR(O106&lt;&gt;"Activo",NOT(ISNUMBER(U106))),"",IF(U106&lt;FECHA_CORTE,"",1.25*(DATEDIF(F106,U106+1,"m")+(U106+1-EDATE(F106,DATEDIF(F106,U106+1,"m")))/30)-Z106))</f>
        <v/>
      </c>
      <c r="AO106" s="66" t="str">
        <f aca="false">IF(OR(B106="",NOT(ISNUMBER(F106))),"",IF(N(G106)&gt;0,MIN(G106,FECHA_CORTE),FECHA_CORTE))</f>
        <v/>
      </c>
    </row>
    <row r="107" customFormat="false" ht="15" hidden="false" customHeight="false" outlineLevel="0" collapsed="false">
      <c r="B107" s="58"/>
      <c r="C107" s="58"/>
      <c r="D107" s="58"/>
      <c r="E107" s="58"/>
      <c r="F107" s="59"/>
      <c r="G107" s="59"/>
      <c r="H107" s="58"/>
      <c r="I107" s="60"/>
      <c r="J107" s="60"/>
      <c r="K107" s="60"/>
      <c r="L107" s="58"/>
      <c r="M107" s="61"/>
      <c r="N107" s="58"/>
      <c r="O107" s="62" t="str">
        <f aca="false">IF(B107="","",IF(NOT(ISNUMBER(F107)),"⚠ Falta ingreso",IF(F107&gt;FECHA_CORTE,"Por ingresar",IF(G107="","Activo",IF(G107&lt;FECHA_CORTE,"Desvinculado","Activo")))))</f>
        <v/>
      </c>
      <c r="P107" s="62" t="str">
        <f aca="false">IF(OR(B107="",NOT(ISNUMBER(F107))),"",IF(F107&gt;FECHA_CORTE,"",DATEDIF(F107,IF(G107="",FECHA_CORTE,MIN(G107,FECHA_CORTE))+1,"y")&amp;" a "&amp;DATEDIF(F107,IF(G107="",FECHA_CORTE,MIN(G107,FECHA_CORTE))+1,"ym")&amp;" m"))</f>
        <v/>
      </c>
      <c r="Q107" s="63" t="str">
        <f aca="false">IF(B107="","",IFERROR(INDEX(C_SUELDO,MATCH(AG107&amp;"-S"&amp;MAX(1,COUNTIFS(C_RUTN,AG107,C_SUELDO,"&lt;&gt;",C_INI,"&lt;="&amp;FECHA_CORTE)),C_CLAVES,0)),0))</f>
        <v/>
      </c>
      <c r="R107" s="62" t="str">
        <f aca="false">IF(B107="","",IF(N(AI107)=0,"Sin contrato",IFERROR(INDEX(C_TIPO,MATCH(AG107&amp;"-P"&amp;MAX(1,AH107),C_CLAVE,0))&amp;"","")))</f>
        <v/>
      </c>
      <c r="S107" s="64" t="str">
        <f aca="false">IF(R107="Plazo fijo",IFERROR(INDEX(C_NPF,MATCH(AG107&amp;"-P"&amp;MAX(1,AH107),C_CLAVE,0)),""),"")</f>
        <v/>
      </c>
      <c r="T107" s="65" t="str">
        <f aca="false">IF(B107="","",COUNTIFS(C_RUTN,AG107,C_TIPODOC,"Anexo de modificación"))</f>
        <v/>
      </c>
      <c r="U107" s="66" t="str">
        <f aca="false">IF(AND(OR(R107="Plazo fijo",R107="Obra o faena"),O107&lt;&gt;"Desvinculado"),IFERROR(IF(N(INDEX(C_TER,MATCH(AG107&amp;"-P"&amp;MAX(1,AH107),C_CLAVE,0)))=0,"",INDEX(C_TER,MATCH(AG107&amp;"-P"&amp;MAX(1,AH107),C_CLAVE,0))),""),"")</f>
        <v/>
      </c>
      <c r="V107" s="67" t="str">
        <f aca="false">IF(ISNUMBER(U107),U107-FECHA_CORTE,"")</f>
        <v/>
      </c>
      <c r="W107" s="62" t="str">
        <f aca="false">IF(B107="","",IF(O107="Desvinculado","Terminado",IF(N(AI107)=0,"Sin contrato registrado",IF(O107="Por ingresar","Por ingresar",IF(ISNUMBER(AJ107),"Renovación registrada",IF(R107="Indefinido","Indefinido",IF(NOT(ISNUMBER(V107)),"Falta fecha de término",IF(V107&lt;0,"VENCIDO",IF(V107&lt;=ALERTA_ROJA,"Vence en ≤ "&amp;ALERTA_ROJA&amp;" días",IF(V107&lt;=ALERTA_NARANJA,"Vence en ≤ "&amp;ALERTA_NARANJA&amp;" días",IF(V107&lt;=ALERTA_AMARILLA,"Vence en ≤ "&amp;ALERTA_AMARILLA&amp;" días","Vigente")))))))))))</f>
        <v/>
      </c>
      <c r="X107" s="62" t="str">
        <f aca="false">IF(B107="","",IF(W107="Terminado","—",IF(W107="Sin contrato registrado","Registrar su contrato en la hoja Contratos",IF(W107="Por ingresar","Tener el contrato firmado antes del ingreso",IF(W107="Renovación registrada","Siguiente contrato ya registrado: verificar que esté firmado",IF(R107="Indefinido","Sin vencimiento. Cambios de sueldo o cargo: anexo de modificación",IF(W107="Falta fecha de término","Completar la fecha de término en Contratos",IF(W107="VENCIDO","Sigue trabajando con plazo vencido: por ley ya es INDEFINIDO. Firmar anexo de paso a indefinido",IF(R107="Obra o faena","Al terminar la obra: finiquito + 2,5 días de sueldo por mes trabajado",IF(N(S107)&gt;=2,"2° contrato a plazo: NO se puede renovar otra vez a plazo fijo. Pasar a indefinido o terminar al vencer","1er contrato a plazo: renovar (2° contrato), pasar a indefinido o terminar al vencer"))))))))))</f>
        <v/>
      </c>
      <c r="Y107" s="68" t="str">
        <f aca="false">IF(O107&lt;&gt;"Activo","",ROUND(1.25*(DATEDIF(F107,AO107+1,"m")+(AO107+1-EDATE(F107,DATEDIF(F107,AO107+1,"m")))/30),2))</f>
        <v/>
      </c>
      <c r="Z107" s="68" t="str">
        <f aca="false">IF(O107&lt;&gt;"Activo","",N(M107)+SUMIFS(M_VAC,M_RUTN,AG107,M_MES,"&lt;="&amp;FECHA_CORTE))</f>
        <v/>
      </c>
      <c r="AA107" s="68" t="str">
        <f aca="false">IF(O107&lt;&gt;"Activo","",Y107-Z107)</f>
        <v/>
      </c>
      <c r="AB107" s="63" t="str">
        <f aca="false">IF(O107&lt;&gt;"Activo","",ROUND(MAX(0,IF(AA107&lt;=0,0,WORKDAY(FECHA_CORTE,INT(AA107),FERIADOS)-FECHA_CORTE+(AA107-INT(AA107))))*(Q107+N(K107))/30,0))</f>
        <v/>
      </c>
      <c r="AC107" s="65" t="str">
        <f aca="false">IF(O107&lt;&gt;"Activo","",IF(DATEDIF(F107,FECHA_CORTE+1,"y")&lt;1,0,MIN(TOPE_ANIOS,DATEDIF(F107,FECHA_CORTE+1,"y")+IF(EDATE(F107,12*DATEDIF(F107,FECHA_CORTE+1,"y")+6)&lt;FECHA_CORTE+1,1,0))))</f>
        <v/>
      </c>
      <c r="AD107" s="69" t="str">
        <f aca="false">IF(O107&lt;&gt;"Activo","",AB107+IF(R107="Obra o faena",0,ROUND(AL107*AC107,0)+ROUND(AL107,0)))</f>
        <v/>
      </c>
      <c r="AE107" s="69" t="str">
        <f aca="false">IF(O107&lt;&gt;"Activo","",AB107)</f>
        <v/>
      </c>
      <c r="AF107" s="69" t="str">
        <f aca="false">IF(AN107="","",IF(ISNUMBER(AJ107),"",ROUND(MAX(0,IF(AN107&lt;=0,0,WORKDAY(U107,INT(AN107),FERIADOS)-U107+(AN107-INT(AN107))))*(Q107+N(K107))/30,0)+IF(R107="Obra o faena",ROUND(OBRA_DIAS*AL107/30*(DATEDIF(F107,U107+1,"m")+IF(U107+1-EDATE(F107,DATEDIF(F107,U107+1,"m"))&gt;15,1,0)),0),0)))</f>
        <v/>
      </c>
      <c r="AG107" s="62" t="str">
        <f aca="false">IF(B107="","",IFERROR(VALUE(LEFT(UPPER(SUBSTITUTE(SUBSTITUTE(SUBSTITUTE(TRIM(B107),".",""),"-","")," ","")),LEN(UPPER(SUBSTITUTE(SUBSTITUTE(SUBSTITUTE(TRIM(B107),".",""),"-","")," ","")))-1))&amp;RIGHT(UPPER(SUBSTITUTE(SUBSTITUTE(SUBSTITUTE(TRIM(B107),".",""),"-","")," ","")),1),UPPER(SUBSTITUTE(SUBSTITUTE(SUBSTITUTE(TRIM(B107),".",""),"-","")," ",""))))</f>
        <v/>
      </c>
      <c r="AH107" s="62" t="str">
        <f aca="false">IF(B107="","",COUNTIFS(C_RUTN,AG107,C_DEF,"Sí",C_INI,"&lt;="&amp;FECHA_CORTE))</f>
        <v/>
      </c>
      <c r="AI107" s="62" t="str">
        <f aca="false">IF(B107="","",COUNTIFS(C_RUTN,AG107,C_DEF,"Sí"))</f>
        <v/>
      </c>
      <c r="AJ107" s="66" t="str">
        <f aca="false">IF(OR(B107="",N(AI107)&lt;=N(AH107)),"",IFERROR(INDEX(C_INI,MATCH(AG107&amp;"-P"&amp;(AH107+1),C_CLAVE,0)),""))</f>
        <v/>
      </c>
      <c r="AK107" s="63" t="str">
        <f aca="false">IF(O107&lt;&gt;"Activo","",Q107+N(K107)+IF(L107="Sí",MIN(GRAT_PCT*(Q107+N(K107)),GRAT_TOPE),0)+N(I107)+N(J107))</f>
        <v/>
      </c>
      <c r="AL107" s="63" t="str">
        <f aca="false">IF(O107&lt;&gt;"Activo","",MIN(AK107,TOPE_IAS_UF*UF_MES))</f>
        <v/>
      </c>
      <c r="AM107" s="62" t="str">
        <f aca="false">IF(AND(O107="Activo",ISNUMBER(V107),W107&lt;&gt;"Renovación registrada"),V107+ROW()/100000,"")</f>
        <v/>
      </c>
      <c r="AN107" s="70" t="str">
        <f aca="false">IF(OR(O107&lt;&gt;"Activo",NOT(ISNUMBER(U107))),"",IF(U107&lt;FECHA_CORTE,"",1.25*(DATEDIF(F107,U107+1,"m")+(U107+1-EDATE(F107,DATEDIF(F107,U107+1,"m")))/30)-Z107))</f>
        <v/>
      </c>
      <c r="AO107" s="66" t="str">
        <f aca="false">IF(OR(B107="",NOT(ISNUMBER(F107))),"",IF(N(G107)&gt;0,MIN(G107,FECHA_CORTE),FECHA_CORTE))</f>
        <v/>
      </c>
    </row>
    <row r="108" customFormat="false" ht="15" hidden="false" customHeight="false" outlineLevel="0" collapsed="false">
      <c r="B108" s="58"/>
      <c r="C108" s="58"/>
      <c r="D108" s="58"/>
      <c r="E108" s="58"/>
      <c r="F108" s="59"/>
      <c r="G108" s="59"/>
      <c r="H108" s="58"/>
      <c r="I108" s="60"/>
      <c r="J108" s="60"/>
      <c r="K108" s="60"/>
      <c r="L108" s="58"/>
      <c r="M108" s="61"/>
      <c r="N108" s="58"/>
      <c r="O108" s="62" t="str">
        <f aca="false">IF(B108="","",IF(NOT(ISNUMBER(F108)),"⚠ Falta ingreso",IF(F108&gt;FECHA_CORTE,"Por ingresar",IF(G108="","Activo",IF(G108&lt;FECHA_CORTE,"Desvinculado","Activo")))))</f>
        <v/>
      </c>
      <c r="P108" s="62" t="str">
        <f aca="false">IF(OR(B108="",NOT(ISNUMBER(F108))),"",IF(F108&gt;FECHA_CORTE,"",DATEDIF(F108,IF(G108="",FECHA_CORTE,MIN(G108,FECHA_CORTE))+1,"y")&amp;" a "&amp;DATEDIF(F108,IF(G108="",FECHA_CORTE,MIN(G108,FECHA_CORTE))+1,"ym")&amp;" m"))</f>
        <v/>
      </c>
      <c r="Q108" s="63" t="str">
        <f aca="false">IF(B108="","",IFERROR(INDEX(C_SUELDO,MATCH(AG108&amp;"-S"&amp;MAX(1,COUNTIFS(C_RUTN,AG108,C_SUELDO,"&lt;&gt;",C_INI,"&lt;="&amp;FECHA_CORTE)),C_CLAVES,0)),0))</f>
        <v/>
      </c>
      <c r="R108" s="62" t="str">
        <f aca="false">IF(B108="","",IF(N(AI108)=0,"Sin contrato",IFERROR(INDEX(C_TIPO,MATCH(AG108&amp;"-P"&amp;MAX(1,AH108),C_CLAVE,0))&amp;"","")))</f>
        <v/>
      </c>
      <c r="S108" s="64" t="str">
        <f aca="false">IF(R108="Plazo fijo",IFERROR(INDEX(C_NPF,MATCH(AG108&amp;"-P"&amp;MAX(1,AH108),C_CLAVE,0)),""),"")</f>
        <v/>
      </c>
      <c r="T108" s="65" t="str">
        <f aca="false">IF(B108="","",COUNTIFS(C_RUTN,AG108,C_TIPODOC,"Anexo de modificación"))</f>
        <v/>
      </c>
      <c r="U108" s="66" t="str">
        <f aca="false">IF(AND(OR(R108="Plazo fijo",R108="Obra o faena"),O108&lt;&gt;"Desvinculado"),IFERROR(IF(N(INDEX(C_TER,MATCH(AG108&amp;"-P"&amp;MAX(1,AH108),C_CLAVE,0)))=0,"",INDEX(C_TER,MATCH(AG108&amp;"-P"&amp;MAX(1,AH108),C_CLAVE,0))),""),"")</f>
        <v/>
      </c>
      <c r="V108" s="67" t="str">
        <f aca="false">IF(ISNUMBER(U108),U108-FECHA_CORTE,"")</f>
        <v/>
      </c>
      <c r="W108" s="62" t="str">
        <f aca="false">IF(B108="","",IF(O108="Desvinculado","Terminado",IF(N(AI108)=0,"Sin contrato registrado",IF(O108="Por ingresar","Por ingresar",IF(ISNUMBER(AJ108),"Renovación registrada",IF(R108="Indefinido","Indefinido",IF(NOT(ISNUMBER(V108)),"Falta fecha de término",IF(V108&lt;0,"VENCIDO",IF(V108&lt;=ALERTA_ROJA,"Vence en ≤ "&amp;ALERTA_ROJA&amp;" días",IF(V108&lt;=ALERTA_NARANJA,"Vence en ≤ "&amp;ALERTA_NARANJA&amp;" días",IF(V108&lt;=ALERTA_AMARILLA,"Vence en ≤ "&amp;ALERTA_AMARILLA&amp;" días","Vigente")))))))))))</f>
        <v/>
      </c>
      <c r="X108" s="62" t="str">
        <f aca="false">IF(B108="","",IF(W108="Terminado","—",IF(W108="Sin contrato registrado","Registrar su contrato en la hoja Contratos",IF(W108="Por ingresar","Tener el contrato firmado antes del ingreso",IF(W108="Renovación registrada","Siguiente contrato ya registrado: verificar que esté firmado",IF(R108="Indefinido","Sin vencimiento. Cambios de sueldo o cargo: anexo de modificación",IF(W108="Falta fecha de término","Completar la fecha de término en Contratos",IF(W108="VENCIDO","Sigue trabajando con plazo vencido: por ley ya es INDEFINIDO. Firmar anexo de paso a indefinido",IF(R108="Obra o faena","Al terminar la obra: finiquito + 2,5 días de sueldo por mes trabajado",IF(N(S108)&gt;=2,"2° contrato a plazo: NO se puede renovar otra vez a plazo fijo. Pasar a indefinido o terminar al vencer","1er contrato a plazo: renovar (2° contrato), pasar a indefinido o terminar al vencer"))))))))))</f>
        <v/>
      </c>
      <c r="Y108" s="68" t="str">
        <f aca="false">IF(O108&lt;&gt;"Activo","",ROUND(1.25*(DATEDIF(F108,AO108+1,"m")+(AO108+1-EDATE(F108,DATEDIF(F108,AO108+1,"m")))/30),2))</f>
        <v/>
      </c>
      <c r="Z108" s="68" t="str">
        <f aca="false">IF(O108&lt;&gt;"Activo","",N(M108)+SUMIFS(M_VAC,M_RUTN,AG108,M_MES,"&lt;="&amp;FECHA_CORTE))</f>
        <v/>
      </c>
      <c r="AA108" s="68" t="str">
        <f aca="false">IF(O108&lt;&gt;"Activo","",Y108-Z108)</f>
        <v/>
      </c>
      <c r="AB108" s="63" t="str">
        <f aca="false">IF(O108&lt;&gt;"Activo","",ROUND(MAX(0,IF(AA108&lt;=0,0,WORKDAY(FECHA_CORTE,INT(AA108),FERIADOS)-FECHA_CORTE+(AA108-INT(AA108))))*(Q108+N(K108))/30,0))</f>
        <v/>
      </c>
      <c r="AC108" s="65" t="str">
        <f aca="false">IF(O108&lt;&gt;"Activo","",IF(DATEDIF(F108,FECHA_CORTE+1,"y")&lt;1,0,MIN(TOPE_ANIOS,DATEDIF(F108,FECHA_CORTE+1,"y")+IF(EDATE(F108,12*DATEDIF(F108,FECHA_CORTE+1,"y")+6)&lt;FECHA_CORTE+1,1,0))))</f>
        <v/>
      </c>
      <c r="AD108" s="69" t="str">
        <f aca="false">IF(O108&lt;&gt;"Activo","",AB108+IF(R108="Obra o faena",0,ROUND(AL108*AC108,0)+ROUND(AL108,0)))</f>
        <v/>
      </c>
      <c r="AE108" s="69" t="str">
        <f aca="false">IF(O108&lt;&gt;"Activo","",AB108)</f>
        <v/>
      </c>
      <c r="AF108" s="69" t="str">
        <f aca="false">IF(AN108="","",IF(ISNUMBER(AJ108),"",ROUND(MAX(0,IF(AN108&lt;=0,0,WORKDAY(U108,INT(AN108),FERIADOS)-U108+(AN108-INT(AN108))))*(Q108+N(K108))/30,0)+IF(R108="Obra o faena",ROUND(OBRA_DIAS*AL108/30*(DATEDIF(F108,U108+1,"m")+IF(U108+1-EDATE(F108,DATEDIF(F108,U108+1,"m"))&gt;15,1,0)),0),0)))</f>
        <v/>
      </c>
      <c r="AG108" s="62" t="str">
        <f aca="false">IF(B108="","",IFERROR(VALUE(LEFT(UPPER(SUBSTITUTE(SUBSTITUTE(SUBSTITUTE(TRIM(B108),".",""),"-","")," ","")),LEN(UPPER(SUBSTITUTE(SUBSTITUTE(SUBSTITUTE(TRIM(B108),".",""),"-","")," ","")))-1))&amp;RIGHT(UPPER(SUBSTITUTE(SUBSTITUTE(SUBSTITUTE(TRIM(B108),".",""),"-","")," ","")),1),UPPER(SUBSTITUTE(SUBSTITUTE(SUBSTITUTE(TRIM(B108),".",""),"-","")," ",""))))</f>
        <v/>
      </c>
      <c r="AH108" s="62" t="str">
        <f aca="false">IF(B108="","",COUNTIFS(C_RUTN,AG108,C_DEF,"Sí",C_INI,"&lt;="&amp;FECHA_CORTE))</f>
        <v/>
      </c>
      <c r="AI108" s="62" t="str">
        <f aca="false">IF(B108="","",COUNTIFS(C_RUTN,AG108,C_DEF,"Sí"))</f>
        <v/>
      </c>
      <c r="AJ108" s="66" t="str">
        <f aca="false">IF(OR(B108="",N(AI108)&lt;=N(AH108)),"",IFERROR(INDEX(C_INI,MATCH(AG108&amp;"-P"&amp;(AH108+1),C_CLAVE,0)),""))</f>
        <v/>
      </c>
      <c r="AK108" s="63" t="str">
        <f aca="false">IF(O108&lt;&gt;"Activo","",Q108+N(K108)+IF(L108="Sí",MIN(GRAT_PCT*(Q108+N(K108)),GRAT_TOPE),0)+N(I108)+N(J108))</f>
        <v/>
      </c>
      <c r="AL108" s="63" t="str">
        <f aca="false">IF(O108&lt;&gt;"Activo","",MIN(AK108,TOPE_IAS_UF*UF_MES))</f>
        <v/>
      </c>
      <c r="AM108" s="62" t="str">
        <f aca="false">IF(AND(O108="Activo",ISNUMBER(V108),W108&lt;&gt;"Renovación registrada"),V108+ROW()/100000,"")</f>
        <v/>
      </c>
      <c r="AN108" s="70" t="str">
        <f aca="false">IF(OR(O108&lt;&gt;"Activo",NOT(ISNUMBER(U108))),"",IF(U108&lt;FECHA_CORTE,"",1.25*(DATEDIF(F108,U108+1,"m")+(U108+1-EDATE(F108,DATEDIF(F108,U108+1,"m")))/30)-Z108))</f>
        <v/>
      </c>
      <c r="AO108" s="66" t="str">
        <f aca="false">IF(OR(B108="",NOT(ISNUMBER(F108))),"",IF(N(G108)&gt;0,MIN(G108,FECHA_CORTE),FECHA_CORTE))</f>
        <v/>
      </c>
    </row>
    <row r="109" customFormat="false" ht="15" hidden="false" customHeight="false" outlineLevel="0" collapsed="false">
      <c r="B109" s="58"/>
      <c r="C109" s="58"/>
      <c r="D109" s="58"/>
      <c r="E109" s="58"/>
      <c r="F109" s="59"/>
      <c r="G109" s="59"/>
      <c r="H109" s="58"/>
      <c r="I109" s="60"/>
      <c r="J109" s="60"/>
      <c r="K109" s="60"/>
      <c r="L109" s="58"/>
      <c r="M109" s="61"/>
      <c r="N109" s="58"/>
      <c r="O109" s="62" t="str">
        <f aca="false">IF(B109="","",IF(NOT(ISNUMBER(F109)),"⚠ Falta ingreso",IF(F109&gt;FECHA_CORTE,"Por ingresar",IF(G109="","Activo",IF(G109&lt;FECHA_CORTE,"Desvinculado","Activo")))))</f>
        <v/>
      </c>
      <c r="P109" s="62" t="str">
        <f aca="false">IF(OR(B109="",NOT(ISNUMBER(F109))),"",IF(F109&gt;FECHA_CORTE,"",DATEDIF(F109,IF(G109="",FECHA_CORTE,MIN(G109,FECHA_CORTE))+1,"y")&amp;" a "&amp;DATEDIF(F109,IF(G109="",FECHA_CORTE,MIN(G109,FECHA_CORTE))+1,"ym")&amp;" m"))</f>
        <v/>
      </c>
      <c r="Q109" s="63" t="str">
        <f aca="false">IF(B109="","",IFERROR(INDEX(C_SUELDO,MATCH(AG109&amp;"-S"&amp;MAX(1,COUNTIFS(C_RUTN,AG109,C_SUELDO,"&lt;&gt;",C_INI,"&lt;="&amp;FECHA_CORTE)),C_CLAVES,0)),0))</f>
        <v/>
      </c>
      <c r="R109" s="62" t="str">
        <f aca="false">IF(B109="","",IF(N(AI109)=0,"Sin contrato",IFERROR(INDEX(C_TIPO,MATCH(AG109&amp;"-P"&amp;MAX(1,AH109),C_CLAVE,0))&amp;"","")))</f>
        <v/>
      </c>
      <c r="S109" s="64" t="str">
        <f aca="false">IF(R109="Plazo fijo",IFERROR(INDEX(C_NPF,MATCH(AG109&amp;"-P"&amp;MAX(1,AH109),C_CLAVE,0)),""),"")</f>
        <v/>
      </c>
      <c r="T109" s="65" t="str">
        <f aca="false">IF(B109="","",COUNTIFS(C_RUTN,AG109,C_TIPODOC,"Anexo de modificación"))</f>
        <v/>
      </c>
      <c r="U109" s="66" t="str">
        <f aca="false">IF(AND(OR(R109="Plazo fijo",R109="Obra o faena"),O109&lt;&gt;"Desvinculado"),IFERROR(IF(N(INDEX(C_TER,MATCH(AG109&amp;"-P"&amp;MAX(1,AH109),C_CLAVE,0)))=0,"",INDEX(C_TER,MATCH(AG109&amp;"-P"&amp;MAX(1,AH109),C_CLAVE,0))),""),"")</f>
        <v/>
      </c>
      <c r="V109" s="67" t="str">
        <f aca="false">IF(ISNUMBER(U109),U109-FECHA_CORTE,"")</f>
        <v/>
      </c>
      <c r="W109" s="62" t="str">
        <f aca="false">IF(B109="","",IF(O109="Desvinculado","Terminado",IF(N(AI109)=0,"Sin contrato registrado",IF(O109="Por ingresar","Por ingresar",IF(ISNUMBER(AJ109),"Renovación registrada",IF(R109="Indefinido","Indefinido",IF(NOT(ISNUMBER(V109)),"Falta fecha de término",IF(V109&lt;0,"VENCIDO",IF(V109&lt;=ALERTA_ROJA,"Vence en ≤ "&amp;ALERTA_ROJA&amp;" días",IF(V109&lt;=ALERTA_NARANJA,"Vence en ≤ "&amp;ALERTA_NARANJA&amp;" días",IF(V109&lt;=ALERTA_AMARILLA,"Vence en ≤ "&amp;ALERTA_AMARILLA&amp;" días","Vigente")))))))))))</f>
        <v/>
      </c>
      <c r="X109" s="62" t="str">
        <f aca="false">IF(B109="","",IF(W109="Terminado","—",IF(W109="Sin contrato registrado","Registrar su contrato en la hoja Contratos",IF(W109="Por ingresar","Tener el contrato firmado antes del ingreso",IF(W109="Renovación registrada","Siguiente contrato ya registrado: verificar que esté firmado",IF(R109="Indefinido","Sin vencimiento. Cambios de sueldo o cargo: anexo de modificación",IF(W109="Falta fecha de término","Completar la fecha de término en Contratos",IF(W109="VENCIDO","Sigue trabajando con plazo vencido: por ley ya es INDEFINIDO. Firmar anexo de paso a indefinido",IF(R109="Obra o faena","Al terminar la obra: finiquito + 2,5 días de sueldo por mes trabajado",IF(N(S109)&gt;=2,"2° contrato a plazo: NO se puede renovar otra vez a plazo fijo. Pasar a indefinido o terminar al vencer","1er contrato a plazo: renovar (2° contrato), pasar a indefinido o terminar al vencer"))))))))))</f>
        <v/>
      </c>
      <c r="Y109" s="68" t="str">
        <f aca="false">IF(O109&lt;&gt;"Activo","",ROUND(1.25*(DATEDIF(F109,AO109+1,"m")+(AO109+1-EDATE(F109,DATEDIF(F109,AO109+1,"m")))/30),2))</f>
        <v/>
      </c>
      <c r="Z109" s="68" t="str">
        <f aca="false">IF(O109&lt;&gt;"Activo","",N(M109)+SUMIFS(M_VAC,M_RUTN,AG109,M_MES,"&lt;="&amp;FECHA_CORTE))</f>
        <v/>
      </c>
      <c r="AA109" s="68" t="str">
        <f aca="false">IF(O109&lt;&gt;"Activo","",Y109-Z109)</f>
        <v/>
      </c>
      <c r="AB109" s="63" t="str">
        <f aca="false">IF(O109&lt;&gt;"Activo","",ROUND(MAX(0,IF(AA109&lt;=0,0,WORKDAY(FECHA_CORTE,INT(AA109),FERIADOS)-FECHA_CORTE+(AA109-INT(AA109))))*(Q109+N(K109))/30,0))</f>
        <v/>
      </c>
      <c r="AC109" s="65" t="str">
        <f aca="false">IF(O109&lt;&gt;"Activo","",IF(DATEDIF(F109,FECHA_CORTE+1,"y")&lt;1,0,MIN(TOPE_ANIOS,DATEDIF(F109,FECHA_CORTE+1,"y")+IF(EDATE(F109,12*DATEDIF(F109,FECHA_CORTE+1,"y")+6)&lt;FECHA_CORTE+1,1,0))))</f>
        <v/>
      </c>
      <c r="AD109" s="69" t="str">
        <f aca="false">IF(O109&lt;&gt;"Activo","",AB109+IF(R109="Obra o faena",0,ROUND(AL109*AC109,0)+ROUND(AL109,0)))</f>
        <v/>
      </c>
      <c r="AE109" s="69" t="str">
        <f aca="false">IF(O109&lt;&gt;"Activo","",AB109)</f>
        <v/>
      </c>
      <c r="AF109" s="69" t="str">
        <f aca="false">IF(AN109="","",IF(ISNUMBER(AJ109),"",ROUND(MAX(0,IF(AN109&lt;=0,0,WORKDAY(U109,INT(AN109),FERIADOS)-U109+(AN109-INT(AN109))))*(Q109+N(K109))/30,0)+IF(R109="Obra o faena",ROUND(OBRA_DIAS*AL109/30*(DATEDIF(F109,U109+1,"m")+IF(U109+1-EDATE(F109,DATEDIF(F109,U109+1,"m"))&gt;15,1,0)),0),0)))</f>
        <v/>
      </c>
      <c r="AG109" s="62" t="str">
        <f aca="false">IF(B109="","",IFERROR(VALUE(LEFT(UPPER(SUBSTITUTE(SUBSTITUTE(SUBSTITUTE(TRIM(B109),".",""),"-","")," ","")),LEN(UPPER(SUBSTITUTE(SUBSTITUTE(SUBSTITUTE(TRIM(B109),".",""),"-","")," ","")))-1))&amp;RIGHT(UPPER(SUBSTITUTE(SUBSTITUTE(SUBSTITUTE(TRIM(B109),".",""),"-","")," ","")),1),UPPER(SUBSTITUTE(SUBSTITUTE(SUBSTITUTE(TRIM(B109),".",""),"-","")," ",""))))</f>
        <v/>
      </c>
      <c r="AH109" s="62" t="str">
        <f aca="false">IF(B109="","",COUNTIFS(C_RUTN,AG109,C_DEF,"Sí",C_INI,"&lt;="&amp;FECHA_CORTE))</f>
        <v/>
      </c>
      <c r="AI109" s="62" t="str">
        <f aca="false">IF(B109="","",COUNTIFS(C_RUTN,AG109,C_DEF,"Sí"))</f>
        <v/>
      </c>
      <c r="AJ109" s="66" t="str">
        <f aca="false">IF(OR(B109="",N(AI109)&lt;=N(AH109)),"",IFERROR(INDEX(C_INI,MATCH(AG109&amp;"-P"&amp;(AH109+1),C_CLAVE,0)),""))</f>
        <v/>
      </c>
      <c r="AK109" s="63" t="str">
        <f aca="false">IF(O109&lt;&gt;"Activo","",Q109+N(K109)+IF(L109="Sí",MIN(GRAT_PCT*(Q109+N(K109)),GRAT_TOPE),0)+N(I109)+N(J109))</f>
        <v/>
      </c>
      <c r="AL109" s="63" t="str">
        <f aca="false">IF(O109&lt;&gt;"Activo","",MIN(AK109,TOPE_IAS_UF*UF_MES))</f>
        <v/>
      </c>
      <c r="AM109" s="62" t="str">
        <f aca="false">IF(AND(O109="Activo",ISNUMBER(V109),W109&lt;&gt;"Renovación registrada"),V109+ROW()/100000,"")</f>
        <v/>
      </c>
      <c r="AN109" s="70" t="str">
        <f aca="false">IF(OR(O109&lt;&gt;"Activo",NOT(ISNUMBER(U109))),"",IF(U109&lt;FECHA_CORTE,"",1.25*(DATEDIF(F109,U109+1,"m")+(U109+1-EDATE(F109,DATEDIF(F109,U109+1,"m")))/30)-Z109))</f>
        <v/>
      </c>
      <c r="AO109" s="66" t="str">
        <f aca="false">IF(OR(B109="",NOT(ISNUMBER(F109))),"",IF(N(G109)&gt;0,MIN(G109,FECHA_CORTE),FECHA_CORTE))</f>
        <v/>
      </c>
    </row>
    <row r="110" customFormat="false" ht="15" hidden="false" customHeight="false" outlineLevel="0" collapsed="false">
      <c r="B110" s="58"/>
      <c r="C110" s="58"/>
      <c r="D110" s="58"/>
      <c r="E110" s="58"/>
      <c r="F110" s="59"/>
      <c r="G110" s="59"/>
      <c r="H110" s="58"/>
      <c r="I110" s="60"/>
      <c r="J110" s="60"/>
      <c r="K110" s="60"/>
      <c r="L110" s="58"/>
      <c r="M110" s="61"/>
      <c r="N110" s="58"/>
      <c r="O110" s="62" t="str">
        <f aca="false">IF(B110="","",IF(NOT(ISNUMBER(F110)),"⚠ Falta ingreso",IF(F110&gt;FECHA_CORTE,"Por ingresar",IF(G110="","Activo",IF(G110&lt;FECHA_CORTE,"Desvinculado","Activo")))))</f>
        <v/>
      </c>
      <c r="P110" s="62" t="str">
        <f aca="false">IF(OR(B110="",NOT(ISNUMBER(F110))),"",IF(F110&gt;FECHA_CORTE,"",DATEDIF(F110,IF(G110="",FECHA_CORTE,MIN(G110,FECHA_CORTE))+1,"y")&amp;" a "&amp;DATEDIF(F110,IF(G110="",FECHA_CORTE,MIN(G110,FECHA_CORTE))+1,"ym")&amp;" m"))</f>
        <v/>
      </c>
      <c r="Q110" s="63" t="str">
        <f aca="false">IF(B110="","",IFERROR(INDEX(C_SUELDO,MATCH(AG110&amp;"-S"&amp;MAX(1,COUNTIFS(C_RUTN,AG110,C_SUELDO,"&lt;&gt;",C_INI,"&lt;="&amp;FECHA_CORTE)),C_CLAVES,0)),0))</f>
        <v/>
      </c>
      <c r="R110" s="62" t="str">
        <f aca="false">IF(B110="","",IF(N(AI110)=0,"Sin contrato",IFERROR(INDEX(C_TIPO,MATCH(AG110&amp;"-P"&amp;MAX(1,AH110),C_CLAVE,0))&amp;"","")))</f>
        <v/>
      </c>
      <c r="S110" s="64" t="str">
        <f aca="false">IF(R110="Plazo fijo",IFERROR(INDEX(C_NPF,MATCH(AG110&amp;"-P"&amp;MAX(1,AH110),C_CLAVE,0)),""),"")</f>
        <v/>
      </c>
      <c r="T110" s="65" t="str">
        <f aca="false">IF(B110="","",COUNTIFS(C_RUTN,AG110,C_TIPODOC,"Anexo de modificación"))</f>
        <v/>
      </c>
      <c r="U110" s="66" t="str">
        <f aca="false">IF(AND(OR(R110="Plazo fijo",R110="Obra o faena"),O110&lt;&gt;"Desvinculado"),IFERROR(IF(N(INDEX(C_TER,MATCH(AG110&amp;"-P"&amp;MAX(1,AH110),C_CLAVE,0)))=0,"",INDEX(C_TER,MATCH(AG110&amp;"-P"&amp;MAX(1,AH110),C_CLAVE,0))),""),"")</f>
        <v/>
      </c>
      <c r="V110" s="67" t="str">
        <f aca="false">IF(ISNUMBER(U110),U110-FECHA_CORTE,"")</f>
        <v/>
      </c>
      <c r="W110" s="62" t="str">
        <f aca="false">IF(B110="","",IF(O110="Desvinculado","Terminado",IF(N(AI110)=0,"Sin contrato registrado",IF(O110="Por ingresar","Por ingresar",IF(ISNUMBER(AJ110),"Renovación registrada",IF(R110="Indefinido","Indefinido",IF(NOT(ISNUMBER(V110)),"Falta fecha de término",IF(V110&lt;0,"VENCIDO",IF(V110&lt;=ALERTA_ROJA,"Vence en ≤ "&amp;ALERTA_ROJA&amp;" días",IF(V110&lt;=ALERTA_NARANJA,"Vence en ≤ "&amp;ALERTA_NARANJA&amp;" días",IF(V110&lt;=ALERTA_AMARILLA,"Vence en ≤ "&amp;ALERTA_AMARILLA&amp;" días","Vigente")))))))))))</f>
        <v/>
      </c>
      <c r="X110" s="62" t="str">
        <f aca="false">IF(B110="","",IF(W110="Terminado","—",IF(W110="Sin contrato registrado","Registrar su contrato en la hoja Contratos",IF(W110="Por ingresar","Tener el contrato firmado antes del ingreso",IF(W110="Renovación registrada","Siguiente contrato ya registrado: verificar que esté firmado",IF(R110="Indefinido","Sin vencimiento. Cambios de sueldo o cargo: anexo de modificación",IF(W110="Falta fecha de término","Completar la fecha de término en Contratos",IF(W110="VENCIDO","Sigue trabajando con plazo vencido: por ley ya es INDEFINIDO. Firmar anexo de paso a indefinido",IF(R110="Obra o faena","Al terminar la obra: finiquito + 2,5 días de sueldo por mes trabajado",IF(N(S110)&gt;=2,"2° contrato a plazo: NO se puede renovar otra vez a plazo fijo. Pasar a indefinido o terminar al vencer","1er contrato a plazo: renovar (2° contrato), pasar a indefinido o terminar al vencer"))))))))))</f>
        <v/>
      </c>
      <c r="Y110" s="68" t="str">
        <f aca="false">IF(O110&lt;&gt;"Activo","",ROUND(1.25*(DATEDIF(F110,AO110+1,"m")+(AO110+1-EDATE(F110,DATEDIF(F110,AO110+1,"m")))/30),2))</f>
        <v/>
      </c>
      <c r="Z110" s="68" t="str">
        <f aca="false">IF(O110&lt;&gt;"Activo","",N(M110)+SUMIFS(M_VAC,M_RUTN,AG110,M_MES,"&lt;="&amp;FECHA_CORTE))</f>
        <v/>
      </c>
      <c r="AA110" s="68" t="str">
        <f aca="false">IF(O110&lt;&gt;"Activo","",Y110-Z110)</f>
        <v/>
      </c>
      <c r="AB110" s="63" t="str">
        <f aca="false">IF(O110&lt;&gt;"Activo","",ROUND(MAX(0,IF(AA110&lt;=0,0,WORKDAY(FECHA_CORTE,INT(AA110),FERIADOS)-FECHA_CORTE+(AA110-INT(AA110))))*(Q110+N(K110))/30,0))</f>
        <v/>
      </c>
      <c r="AC110" s="65" t="str">
        <f aca="false">IF(O110&lt;&gt;"Activo","",IF(DATEDIF(F110,FECHA_CORTE+1,"y")&lt;1,0,MIN(TOPE_ANIOS,DATEDIF(F110,FECHA_CORTE+1,"y")+IF(EDATE(F110,12*DATEDIF(F110,FECHA_CORTE+1,"y")+6)&lt;FECHA_CORTE+1,1,0))))</f>
        <v/>
      </c>
      <c r="AD110" s="69" t="str">
        <f aca="false">IF(O110&lt;&gt;"Activo","",AB110+IF(R110="Obra o faena",0,ROUND(AL110*AC110,0)+ROUND(AL110,0)))</f>
        <v/>
      </c>
      <c r="AE110" s="69" t="str">
        <f aca="false">IF(O110&lt;&gt;"Activo","",AB110)</f>
        <v/>
      </c>
      <c r="AF110" s="69" t="str">
        <f aca="false">IF(AN110="","",IF(ISNUMBER(AJ110),"",ROUND(MAX(0,IF(AN110&lt;=0,0,WORKDAY(U110,INT(AN110),FERIADOS)-U110+(AN110-INT(AN110))))*(Q110+N(K110))/30,0)+IF(R110="Obra o faena",ROUND(OBRA_DIAS*AL110/30*(DATEDIF(F110,U110+1,"m")+IF(U110+1-EDATE(F110,DATEDIF(F110,U110+1,"m"))&gt;15,1,0)),0),0)))</f>
        <v/>
      </c>
      <c r="AG110" s="62" t="str">
        <f aca="false">IF(B110="","",IFERROR(VALUE(LEFT(UPPER(SUBSTITUTE(SUBSTITUTE(SUBSTITUTE(TRIM(B110),".",""),"-","")," ","")),LEN(UPPER(SUBSTITUTE(SUBSTITUTE(SUBSTITUTE(TRIM(B110),".",""),"-","")," ","")))-1))&amp;RIGHT(UPPER(SUBSTITUTE(SUBSTITUTE(SUBSTITUTE(TRIM(B110),".",""),"-","")," ","")),1),UPPER(SUBSTITUTE(SUBSTITUTE(SUBSTITUTE(TRIM(B110),".",""),"-","")," ",""))))</f>
        <v/>
      </c>
      <c r="AH110" s="62" t="str">
        <f aca="false">IF(B110="","",COUNTIFS(C_RUTN,AG110,C_DEF,"Sí",C_INI,"&lt;="&amp;FECHA_CORTE))</f>
        <v/>
      </c>
      <c r="AI110" s="62" t="str">
        <f aca="false">IF(B110="","",COUNTIFS(C_RUTN,AG110,C_DEF,"Sí"))</f>
        <v/>
      </c>
      <c r="AJ110" s="66" t="str">
        <f aca="false">IF(OR(B110="",N(AI110)&lt;=N(AH110)),"",IFERROR(INDEX(C_INI,MATCH(AG110&amp;"-P"&amp;(AH110+1),C_CLAVE,0)),""))</f>
        <v/>
      </c>
      <c r="AK110" s="63" t="str">
        <f aca="false">IF(O110&lt;&gt;"Activo","",Q110+N(K110)+IF(L110="Sí",MIN(GRAT_PCT*(Q110+N(K110)),GRAT_TOPE),0)+N(I110)+N(J110))</f>
        <v/>
      </c>
      <c r="AL110" s="63" t="str">
        <f aca="false">IF(O110&lt;&gt;"Activo","",MIN(AK110,TOPE_IAS_UF*UF_MES))</f>
        <v/>
      </c>
      <c r="AM110" s="62" t="str">
        <f aca="false">IF(AND(O110="Activo",ISNUMBER(V110),W110&lt;&gt;"Renovación registrada"),V110+ROW()/100000,"")</f>
        <v/>
      </c>
      <c r="AN110" s="70" t="str">
        <f aca="false">IF(OR(O110&lt;&gt;"Activo",NOT(ISNUMBER(U110))),"",IF(U110&lt;FECHA_CORTE,"",1.25*(DATEDIF(F110,U110+1,"m")+(U110+1-EDATE(F110,DATEDIF(F110,U110+1,"m")))/30)-Z110))</f>
        <v/>
      </c>
      <c r="AO110" s="66" t="str">
        <f aca="false">IF(OR(B110="",NOT(ISNUMBER(F110))),"",IF(N(G110)&gt;0,MIN(G110,FECHA_CORTE),FECHA_CORTE))</f>
        <v/>
      </c>
    </row>
    <row r="111" customFormat="false" ht="15" hidden="false" customHeight="false" outlineLevel="0" collapsed="false">
      <c r="B111" s="58"/>
      <c r="C111" s="58"/>
      <c r="D111" s="58"/>
      <c r="E111" s="58"/>
      <c r="F111" s="59"/>
      <c r="G111" s="59"/>
      <c r="H111" s="58"/>
      <c r="I111" s="60"/>
      <c r="J111" s="60"/>
      <c r="K111" s="60"/>
      <c r="L111" s="58"/>
      <c r="M111" s="61"/>
      <c r="N111" s="58"/>
      <c r="O111" s="62" t="str">
        <f aca="false">IF(B111="","",IF(NOT(ISNUMBER(F111)),"⚠ Falta ingreso",IF(F111&gt;FECHA_CORTE,"Por ingresar",IF(G111="","Activo",IF(G111&lt;FECHA_CORTE,"Desvinculado","Activo")))))</f>
        <v/>
      </c>
      <c r="P111" s="62" t="str">
        <f aca="false">IF(OR(B111="",NOT(ISNUMBER(F111))),"",IF(F111&gt;FECHA_CORTE,"",DATEDIF(F111,IF(G111="",FECHA_CORTE,MIN(G111,FECHA_CORTE))+1,"y")&amp;" a "&amp;DATEDIF(F111,IF(G111="",FECHA_CORTE,MIN(G111,FECHA_CORTE))+1,"ym")&amp;" m"))</f>
        <v/>
      </c>
      <c r="Q111" s="63" t="str">
        <f aca="false">IF(B111="","",IFERROR(INDEX(C_SUELDO,MATCH(AG111&amp;"-S"&amp;MAX(1,COUNTIFS(C_RUTN,AG111,C_SUELDO,"&lt;&gt;",C_INI,"&lt;="&amp;FECHA_CORTE)),C_CLAVES,0)),0))</f>
        <v/>
      </c>
      <c r="R111" s="62" t="str">
        <f aca="false">IF(B111="","",IF(N(AI111)=0,"Sin contrato",IFERROR(INDEX(C_TIPO,MATCH(AG111&amp;"-P"&amp;MAX(1,AH111),C_CLAVE,0))&amp;"","")))</f>
        <v/>
      </c>
      <c r="S111" s="64" t="str">
        <f aca="false">IF(R111="Plazo fijo",IFERROR(INDEX(C_NPF,MATCH(AG111&amp;"-P"&amp;MAX(1,AH111),C_CLAVE,0)),""),"")</f>
        <v/>
      </c>
      <c r="T111" s="65" t="str">
        <f aca="false">IF(B111="","",COUNTIFS(C_RUTN,AG111,C_TIPODOC,"Anexo de modificación"))</f>
        <v/>
      </c>
      <c r="U111" s="66" t="str">
        <f aca="false">IF(AND(OR(R111="Plazo fijo",R111="Obra o faena"),O111&lt;&gt;"Desvinculado"),IFERROR(IF(N(INDEX(C_TER,MATCH(AG111&amp;"-P"&amp;MAX(1,AH111),C_CLAVE,0)))=0,"",INDEX(C_TER,MATCH(AG111&amp;"-P"&amp;MAX(1,AH111),C_CLAVE,0))),""),"")</f>
        <v/>
      </c>
      <c r="V111" s="67" t="str">
        <f aca="false">IF(ISNUMBER(U111),U111-FECHA_CORTE,"")</f>
        <v/>
      </c>
      <c r="W111" s="62" t="str">
        <f aca="false">IF(B111="","",IF(O111="Desvinculado","Terminado",IF(N(AI111)=0,"Sin contrato registrado",IF(O111="Por ingresar","Por ingresar",IF(ISNUMBER(AJ111),"Renovación registrada",IF(R111="Indefinido","Indefinido",IF(NOT(ISNUMBER(V111)),"Falta fecha de término",IF(V111&lt;0,"VENCIDO",IF(V111&lt;=ALERTA_ROJA,"Vence en ≤ "&amp;ALERTA_ROJA&amp;" días",IF(V111&lt;=ALERTA_NARANJA,"Vence en ≤ "&amp;ALERTA_NARANJA&amp;" días",IF(V111&lt;=ALERTA_AMARILLA,"Vence en ≤ "&amp;ALERTA_AMARILLA&amp;" días","Vigente")))))))))))</f>
        <v/>
      </c>
      <c r="X111" s="62" t="str">
        <f aca="false">IF(B111="","",IF(W111="Terminado","—",IF(W111="Sin contrato registrado","Registrar su contrato en la hoja Contratos",IF(W111="Por ingresar","Tener el contrato firmado antes del ingreso",IF(W111="Renovación registrada","Siguiente contrato ya registrado: verificar que esté firmado",IF(R111="Indefinido","Sin vencimiento. Cambios de sueldo o cargo: anexo de modificación",IF(W111="Falta fecha de término","Completar la fecha de término en Contratos",IF(W111="VENCIDO","Sigue trabajando con plazo vencido: por ley ya es INDEFINIDO. Firmar anexo de paso a indefinido",IF(R111="Obra o faena","Al terminar la obra: finiquito + 2,5 días de sueldo por mes trabajado",IF(N(S111)&gt;=2,"2° contrato a plazo: NO se puede renovar otra vez a plazo fijo. Pasar a indefinido o terminar al vencer","1er contrato a plazo: renovar (2° contrato), pasar a indefinido o terminar al vencer"))))))))))</f>
        <v/>
      </c>
      <c r="Y111" s="68" t="str">
        <f aca="false">IF(O111&lt;&gt;"Activo","",ROUND(1.25*(DATEDIF(F111,AO111+1,"m")+(AO111+1-EDATE(F111,DATEDIF(F111,AO111+1,"m")))/30),2))</f>
        <v/>
      </c>
      <c r="Z111" s="68" t="str">
        <f aca="false">IF(O111&lt;&gt;"Activo","",N(M111)+SUMIFS(M_VAC,M_RUTN,AG111,M_MES,"&lt;="&amp;FECHA_CORTE))</f>
        <v/>
      </c>
      <c r="AA111" s="68" t="str">
        <f aca="false">IF(O111&lt;&gt;"Activo","",Y111-Z111)</f>
        <v/>
      </c>
      <c r="AB111" s="63" t="str">
        <f aca="false">IF(O111&lt;&gt;"Activo","",ROUND(MAX(0,IF(AA111&lt;=0,0,WORKDAY(FECHA_CORTE,INT(AA111),FERIADOS)-FECHA_CORTE+(AA111-INT(AA111))))*(Q111+N(K111))/30,0))</f>
        <v/>
      </c>
      <c r="AC111" s="65" t="str">
        <f aca="false">IF(O111&lt;&gt;"Activo","",IF(DATEDIF(F111,FECHA_CORTE+1,"y")&lt;1,0,MIN(TOPE_ANIOS,DATEDIF(F111,FECHA_CORTE+1,"y")+IF(EDATE(F111,12*DATEDIF(F111,FECHA_CORTE+1,"y")+6)&lt;FECHA_CORTE+1,1,0))))</f>
        <v/>
      </c>
      <c r="AD111" s="69" t="str">
        <f aca="false">IF(O111&lt;&gt;"Activo","",AB111+IF(R111="Obra o faena",0,ROUND(AL111*AC111,0)+ROUND(AL111,0)))</f>
        <v/>
      </c>
      <c r="AE111" s="69" t="str">
        <f aca="false">IF(O111&lt;&gt;"Activo","",AB111)</f>
        <v/>
      </c>
      <c r="AF111" s="69" t="str">
        <f aca="false">IF(AN111="","",IF(ISNUMBER(AJ111),"",ROUND(MAX(0,IF(AN111&lt;=0,0,WORKDAY(U111,INT(AN111),FERIADOS)-U111+(AN111-INT(AN111))))*(Q111+N(K111))/30,0)+IF(R111="Obra o faena",ROUND(OBRA_DIAS*AL111/30*(DATEDIF(F111,U111+1,"m")+IF(U111+1-EDATE(F111,DATEDIF(F111,U111+1,"m"))&gt;15,1,0)),0),0)))</f>
        <v/>
      </c>
      <c r="AG111" s="62" t="str">
        <f aca="false">IF(B111="","",IFERROR(VALUE(LEFT(UPPER(SUBSTITUTE(SUBSTITUTE(SUBSTITUTE(TRIM(B111),".",""),"-","")," ","")),LEN(UPPER(SUBSTITUTE(SUBSTITUTE(SUBSTITUTE(TRIM(B111),".",""),"-","")," ","")))-1))&amp;RIGHT(UPPER(SUBSTITUTE(SUBSTITUTE(SUBSTITUTE(TRIM(B111),".",""),"-","")," ","")),1),UPPER(SUBSTITUTE(SUBSTITUTE(SUBSTITUTE(TRIM(B111),".",""),"-","")," ",""))))</f>
        <v/>
      </c>
      <c r="AH111" s="62" t="str">
        <f aca="false">IF(B111="","",COUNTIFS(C_RUTN,AG111,C_DEF,"Sí",C_INI,"&lt;="&amp;FECHA_CORTE))</f>
        <v/>
      </c>
      <c r="AI111" s="62" t="str">
        <f aca="false">IF(B111="","",COUNTIFS(C_RUTN,AG111,C_DEF,"Sí"))</f>
        <v/>
      </c>
      <c r="AJ111" s="66" t="str">
        <f aca="false">IF(OR(B111="",N(AI111)&lt;=N(AH111)),"",IFERROR(INDEX(C_INI,MATCH(AG111&amp;"-P"&amp;(AH111+1),C_CLAVE,0)),""))</f>
        <v/>
      </c>
      <c r="AK111" s="63" t="str">
        <f aca="false">IF(O111&lt;&gt;"Activo","",Q111+N(K111)+IF(L111="Sí",MIN(GRAT_PCT*(Q111+N(K111)),GRAT_TOPE),0)+N(I111)+N(J111))</f>
        <v/>
      </c>
      <c r="AL111" s="63" t="str">
        <f aca="false">IF(O111&lt;&gt;"Activo","",MIN(AK111,TOPE_IAS_UF*UF_MES))</f>
        <v/>
      </c>
      <c r="AM111" s="62" t="str">
        <f aca="false">IF(AND(O111="Activo",ISNUMBER(V111),W111&lt;&gt;"Renovación registrada"),V111+ROW()/100000,"")</f>
        <v/>
      </c>
      <c r="AN111" s="70" t="str">
        <f aca="false">IF(OR(O111&lt;&gt;"Activo",NOT(ISNUMBER(U111))),"",IF(U111&lt;FECHA_CORTE,"",1.25*(DATEDIF(F111,U111+1,"m")+(U111+1-EDATE(F111,DATEDIF(F111,U111+1,"m")))/30)-Z111))</f>
        <v/>
      </c>
      <c r="AO111" s="66" t="str">
        <f aca="false">IF(OR(B111="",NOT(ISNUMBER(F111))),"",IF(N(G111)&gt;0,MIN(G111,FECHA_CORTE),FECHA_CORTE))</f>
        <v/>
      </c>
    </row>
    <row r="112" customFormat="false" ht="15" hidden="false" customHeight="false" outlineLevel="0" collapsed="false">
      <c r="B112" s="58"/>
      <c r="C112" s="58"/>
      <c r="D112" s="58"/>
      <c r="E112" s="58"/>
      <c r="F112" s="59"/>
      <c r="G112" s="59"/>
      <c r="H112" s="58"/>
      <c r="I112" s="60"/>
      <c r="J112" s="60"/>
      <c r="K112" s="60"/>
      <c r="L112" s="58"/>
      <c r="M112" s="61"/>
      <c r="N112" s="58"/>
      <c r="O112" s="62" t="str">
        <f aca="false">IF(B112="","",IF(NOT(ISNUMBER(F112)),"⚠ Falta ingreso",IF(F112&gt;FECHA_CORTE,"Por ingresar",IF(G112="","Activo",IF(G112&lt;FECHA_CORTE,"Desvinculado","Activo")))))</f>
        <v/>
      </c>
      <c r="P112" s="62" t="str">
        <f aca="false">IF(OR(B112="",NOT(ISNUMBER(F112))),"",IF(F112&gt;FECHA_CORTE,"",DATEDIF(F112,IF(G112="",FECHA_CORTE,MIN(G112,FECHA_CORTE))+1,"y")&amp;" a "&amp;DATEDIF(F112,IF(G112="",FECHA_CORTE,MIN(G112,FECHA_CORTE))+1,"ym")&amp;" m"))</f>
        <v/>
      </c>
      <c r="Q112" s="63" t="str">
        <f aca="false">IF(B112="","",IFERROR(INDEX(C_SUELDO,MATCH(AG112&amp;"-S"&amp;MAX(1,COUNTIFS(C_RUTN,AG112,C_SUELDO,"&lt;&gt;",C_INI,"&lt;="&amp;FECHA_CORTE)),C_CLAVES,0)),0))</f>
        <v/>
      </c>
      <c r="R112" s="62" t="str">
        <f aca="false">IF(B112="","",IF(N(AI112)=0,"Sin contrato",IFERROR(INDEX(C_TIPO,MATCH(AG112&amp;"-P"&amp;MAX(1,AH112),C_CLAVE,0))&amp;"","")))</f>
        <v/>
      </c>
      <c r="S112" s="64" t="str">
        <f aca="false">IF(R112="Plazo fijo",IFERROR(INDEX(C_NPF,MATCH(AG112&amp;"-P"&amp;MAX(1,AH112),C_CLAVE,0)),""),"")</f>
        <v/>
      </c>
      <c r="T112" s="65" t="str">
        <f aca="false">IF(B112="","",COUNTIFS(C_RUTN,AG112,C_TIPODOC,"Anexo de modificación"))</f>
        <v/>
      </c>
      <c r="U112" s="66" t="str">
        <f aca="false">IF(AND(OR(R112="Plazo fijo",R112="Obra o faena"),O112&lt;&gt;"Desvinculado"),IFERROR(IF(N(INDEX(C_TER,MATCH(AG112&amp;"-P"&amp;MAX(1,AH112),C_CLAVE,0)))=0,"",INDEX(C_TER,MATCH(AG112&amp;"-P"&amp;MAX(1,AH112),C_CLAVE,0))),""),"")</f>
        <v/>
      </c>
      <c r="V112" s="67" t="str">
        <f aca="false">IF(ISNUMBER(U112),U112-FECHA_CORTE,"")</f>
        <v/>
      </c>
      <c r="W112" s="62" t="str">
        <f aca="false">IF(B112="","",IF(O112="Desvinculado","Terminado",IF(N(AI112)=0,"Sin contrato registrado",IF(O112="Por ingresar","Por ingresar",IF(ISNUMBER(AJ112),"Renovación registrada",IF(R112="Indefinido","Indefinido",IF(NOT(ISNUMBER(V112)),"Falta fecha de término",IF(V112&lt;0,"VENCIDO",IF(V112&lt;=ALERTA_ROJA,"Vence en ≤ "&amp;ALERTA_ROJA&amp;" días",IF(V112&lt;=ALERTA_NARANJA,"Vence en ≤ "&amp;ALERTA_NARANJA&amp;" días",IF(V112&lt;=ALERTA_AMARILLA,"Vence en ≤ "&amp;ALERTA_AMARILLA&amp;" días","Vigente")))))))))))</f>
        <v/>
      </c>
      <c r="X112" s="62" t="str">
        <f aca="false">IF(B112="","",IF(W112="Terminado","—",IF(W112="Sin contrato registrado","Registrar su contrato en la hoja Contratos",IF(W112="Por ingresar","Tener el contrato firmado antes del ingreso",IF(W112="Renovación registrada","Siguiente contrato ya registrado: verificar que esté firmado",IF(R112="Indefinido","Sin vencimiento. Cambios de sueldo o cargo: anexo de modificación",IF(W112="Falta fecha de término","Completar la fecha de término en Contratos",IF(W112="VENCIDO","Sigue trabajando con plazo vencido: por ley ya es INDEFINIDO. Firmar anexo de paso a indefinido",IF(R112="Obra o faena","Al terminar la obra: finiquito + 2,5 días de sueldo por mes trabajado",IF(N(S112)&gt;=2,"2° contrato a plazo: NO se puede renovar otra vez a plazo fijo. Pasar a indefinido o terminar al vencer","1er contrato a plazo: renovar (2° contrato), pasar a indefinido o terminar al vencer"))))))))))</f>
        <v/>
      </c>
      <c r="Y112" s="68" t="str">
        <f aca="false">IF(O112&lt;&gt;"Activo","",ROUND(1.25*(DATEDIF(F112,AO112+1,"m")+(AO112+1-EDATE(F112,DATEDIF(F112,AO112+1,"m")))/30),2))</f>
        <v/>
      </c>
      <c r="Z112" s="68" t="str">
        <f aca="false">IF(O112&lt;&gt;"Activo","",N(M112)+SUMIFS(M_VAC,M_RUTN,AG112,M_MES,"&lt;="&amp;FECHA_CORTE))</f>
        <v/>
      </c>
      <c r="AA112" s="68" t="str">
        <f aca="false">IF(O112&lt;&gt;"Activo","",Y112-Z112)</f>
        <v/>
      </c>
      <c r="AB112" s="63" t="str">
        <f aca="false">IF(O112&lt;&gt;"Activo","",ROUND(MAX(0,IF(AA112&lt;=0,0,WORKDAY(FECHA_CORTE,INT(AA112),FERIADOS)-FECHA_CORTE+(AA112-INT(AA112))))*(Q112+N(K112))/30,0))</f>
        <v/>
      </c>
      <c r="AC112" s="65" t="str">
        <f aca="false">IF(O112&lt;&gt;"Activo","",IF(DATEDIF(F112,FECHA_CORTE+1,"y")&lt;1,0,MIN(TOPE_ANIOS,DATEDIF(F112,FECHA_CORTE+1,"y")+IF(EDATE(F112,12*DATEDIF(F112,FECHA_CORTE+1,"y")+6)&lt;FECHA_CORTE+1,1,0))))</f>
        <v/>
      </c>
      <c r="AD112" s="69" t="str">
        <f aca="false">IF(O112&lt;&gt;"Activo","",AB112+IF(R112="Obra o faena",0,ROUND(AL112*AC112,0)+ROUND(AL112,0)))</f>
        <v/>
      </c>
      <c r="AE112" s="69" t="str">
        <f aca="false">IF(O112&lt;&gt;"Activo","",AB112)</f>
        <v/>
      </c>
      <c r="AF112" s="69" t="str">
        <f aca="false">IF(AN112="","",IF(ISNUMBER(AJ112),"",ROUND(MAX(0,IF(AN112&lt;=0,0,WORKDAY(U112,INT(AN112),FERIADOS)-U112+(AN112-INT(AN112))))*(Q112+N(K112))/30,0)+IF(R112="Obra o faena",ROUND(OBRA_DIAS*AL112/30*(DATEDIF(F112,U112+1,"m")+IF(U112+1-EDATE(F112,DATEDIF(F112,U112+1,"m"))&gt;15,1,0)),0),0)))</f>
        <v/>
      </c>
      <c r="AG112" s="62" t="str">
        <f aca="false">IF(B112="","",IFERROR(VALUE(LEFT(UPPER(SUBSTITUTE(SUBSTITUTE(SUBSTITUTE(TRIM(B112),".",""),"-","")," ","")),LEN(UPPER(SUBSTITUTE(SUBSTITUTE(SUBSTITUTE(TRIM(B112),".",""),"-","")," ","")))-1))&amp;RIGHT(UPPER(SUBSTITUTE(SUBSTITUTE(SUBSTITUTE(TRIM(B112),".",""),"-","")," ","")),1),UPPER(SUBSTITUTE(SUBSTITUTE(SUBSTITUTE(TRIM(B112),".",""),"-","")," ",""))))</f>
        <v/>
      </c>
      <c r="AH112" s="62" t="str">
        <f aca="false">IF(B112="","",COUNTIFS(C_RUTN,AG112,C_DEF,"Sí",C_INI,"&lt;="&amp;FECHA_CORTE))</f>
        <v/>
      </c>
      <c r="AI112" s="62" t="str">
        <f aca="false">IF(B112="","",COUNTIFS(C_RUTN,AG112,C_DEF,"Sí"))</f>
        <v/>
      </c>
      <c r="AJ112" s="66" t="str">
        <f aca="false">IF(OR(B112="",N(AI112)&lt;=N(AH112)),"",IFERROR(INDEX(C_INI,MATCH(AG112&amp;"-P"&amp;(AH112+1),C_CLAVE,0)),""))</f>
        <v/>
      </c>
      <c r="AK112" s="63" t="str">
        <f aca="false">IF(O112&lt;&gt;"Activo","",Q112+N(K112)+IF(L112="Sí",MIN(GRAT_PCT*(Q112+N(K112)),GRAT_TOPE),0)+N(I112)+N(J112))</f>
        <v/>
      </c>
      <c r="AL112" s="63" t="str">
        <f aca="false">IF(O112&lt;&gt;"Activo","",MIN(AK112,TOPE_IAS_UF*UF_MES))</f>
        <v/>
      </c>
      <c r="AM112" s="62" t="str">
        <f aca="false">IF(AND(O112="Activo",ISNUMBER(V112),W112&lt;&gt;"Renovación registrada"),V112+ROW()/100000,"")</f>
        <v/>
      </c>
      <c r="AN112" s="70" t="str">
        <f aca="false">IF(OR(O112&lt;&gt;"Activo",NOT(ISNUMBER(U112))),"",IF(U112&lt;FECHA_CORTE,"",1.25*(DATEDIF(F112,U112+1,"m")+(U112+1-EDATE(F112,DATEDIF(F112,U112+1,"m")))/30)-Z112))</f>
        <v/>
      </c>
      <c r="AO112" s="66" t="str">
        <f aca="false">IF(OR(B112="",NOT(ISNUMBER(F112))),"",IF(N(G112)&gt;0,MIN(G112,FECHA_CORTE),FECHA_CORTE))</f>
        <v/>
      </c>
    </row>
    <row r="113" customFormat="false" ht="15" hidden="false" customHeight="false" outlineLevel="0" collapsed="false">
      <c r="B113" s="58"/>
      <c r="C113" s="58"/>
      <c r="D113" s="58"/>
      <c r="E113" s="58"/>
      <c r="F113" s="59"/>
      <c r="G113" s="59"/>
      <c r="H113" s="58"/>
      <c r="I113" s="60"/>
      <c r="J113" s="60"/>
      <c r="K113" s="60"/>
      <c r="L113" s="58"/>
      <c r="M113" s="61"/>
      <c r="N113" s="58"/>
      <c r="O113" s="62" t="str">
        <f aca="false">IF(B113="","",IF(NOT(ISNUMBER(F113)),"⚠ Falta ingreso",IF(F113&gt;FECHA_CORTE,"Por ingresar",IF(G113="","Activo",IF(G113&lt;FECHA_CORTE,"Desvinculado","Activo")))))</f>
        <v/>
      </c>
      <c r="P113" s="62" t="str">
        <f aca="false">IF(OR(B113="",NOT(ISNUMBER(F113))),"",IF(F113&gt;FECHA_CORTE,"",DATEDIF(F113,IF(G113="",FECHA_CORTE,MIN(G113,FECHA_CORTE))+1,"y")&amp;" a "&amp;DATEDIF(F113,IF(G113="",FECHA_CORTE,MIN(G113,FECHA_CORTE))+1,"ym")&amp;" m"))</f>
        <v/>
      </c>
      <c r="Q113" s="63" t="str">
        <f aca="false">IF(B113="","",IFERROR(INDEX(C_SUELDO,MATCH(AG113&amp;"-S"&amp;MAX(1,COUNTIFS(C_RUTN,AG113,C_SUELDO,"&lt;&gt;",C_INI,"&lt;="&amp;FECHA_CORTE)),C_CLAVES,0)),0))</f>
        <v/>
      </c>
      <c r="R113" s="62" t="str">
        <f aca="false">IF(B113="","",IF(N(AI113)=0,"Sin contrato",IFERROR(INDEX(C_TIPO,MATCH(AG113&amp;"-P"&amp;MAX(1,AH113),C_CLAVE,0))&amp;"","")))</f>
        <v/>
      </c>
      <c r="S113" s="64" t="str">
        <f aca="false">IF(R113="Plazo fijo",IFERROR(INDEX(C_NPF,MATCH(AG113&amp;"-P"&amp;MAX(1,AH113),C_CLAVE,0)),""),"")</f>
        <v/>
      </c>
      <c r="T113" s="65" t="str">
        <f aca="false">IF(B113="","",COUNTIFS(C_RUTN,AG113,C_TIPODOC,"Anexo de modificación"))</f>
        <v/>
      </c>
      <c r="U113" s="66" t="str">
        <f aca="false">IF(AND(OR(R113="Plazo fijo",R113="Obra o faena"),O113&lt;&gt;"Desvinculado"),IFERROR(IF(N(INDEX(C_TER,MATCH(AG113&amp;"-P"&amp;MAX(1,AH113),C_CLAVE,0)))=0,"",INDEX(C_TER,MATCH(AG113&amp;"-P"&amp;MAX(1,AH113),C_CLAVE,0))),""),"")</f>
        <v/>
      </c>
      <c r="V113" s="67" t="str">
        <f aca="false">IF(ISNUMBER(U113),U113-FECHA_CORTE,"")</f>
        <v/>
      </c>
      <c r="W113" s="62" t="str">
        <f aca="false">IF(B113="","",IF(O113="Desvinculado","Terminado",IF(N(AI113)=0,"Sin contrato registrado",IF(O113="Por ingresar","Por ingresar",IF(ISNUMBER(AJ113),"Renovación registrada",IF(R113="Indefinido","Indefinido",IF(NOT(ISNUMBER(V113)),"Falta fecha de término",IF(V113&lt;0,"VENCIDO",IF(V113&lt;=ALERTA_ROJA,"Vence en ≤ "&amp;ALERTA_ROJA&amp;" días",IF(V113&lt;=ALERTA_NARANJA,"Vence en ≤ "&amp;ALERTA_NARANJA&amp;" días",IF(V113&lt;=ALERTA_AMARILLA,"Vence en ≤ "&amp;ALERTA_AMARILLA&amp;" días","Vigente")))))))))))</f>
        <v/>
      </c>
      <c r="X113" s="62" t="str">
        <f aca="false">IF(B113="","",IF(W113="Terminado","—",IF(W113="Sin contrato registrado","Registrar su contrato en la hoja Contratos",IF(W113="Por ingresar","Tener el contrato firmado antes del ingreso",IF(W113="Renovación registrada","Siguiente contrato ya registrado: verificar que esté firmado",IF(R113="Indefinido","Sin vencimiento. Cambios de sueldo o cargo: anexo de modificación",IF(W113="Falta fecha de término","Completar la fecha de término en Contratos",IF(W113="VENCIDO","Sigue trabajando con plazo vencido: por ley ya es INDEFINIDO. Firmar anexo de paso a indefinido",IF(R113="Obra o faena","Al terminar la obra: finiquito + 2,5 días de sueldo por mes trabajado",IF(N(S113)&gt;=2,"2° contrato a plazo: NO se puede renovar otra vez a plazo fijo. Pasar a indefinido o terminar al vencer","1er contrato a plazo: renovar (2° contrato), pasar a indefinido o terminar al vencer"))))))))))</f>
        <v/>
      </c>
      <c r="Y113" s="68" t="str">
        <f aca="false">IF(O113&lt;&gt;"Activo","",ROUND(1.25*(DATEDIF(F113,AO113+1,"m")+(AO113+1-EDATE(F113,DATEDIF(F113,AO113+1,"m")))/30),2))</f>
        <v/>
      </c>
      <c r="Z113" s="68" t="str">
        <f aca="false">IF(O113&lt;&gt;"Activo","",N(M113)+SUMIFS(M_VAC,M_RUTN,AG113,M_MES,"&lt;="&amp;FECHA_CORTE))</f>
        <v/>
      </c>
      <c r="AA113" s="68" t="str">
        <f aca="false">IF(O113&lt;&gt;"Activo","",Y113-Z113)</f>
        <v/>
      </c>
      <c r="AB113" s="63" t="str">
        <f aca="false">IF(O113&lt;&gt;"Activo","",ROUND(MAX(0,IF(AA113&lt;=0,0,WORKDAY(FECHA_CORTE,INT(AA113),FERIADOS)-FECHA_CORTE+(AA113-INT(AA113))))*(Q113+N(K113))/30,0))</f>
        <v/>
      </c>
      <c r="AC113" s="65" t="str">
        <f aca="false">IF(O113&lt;&gt;"Activo","",IF(DATEDIF(F113,FECHA_CORTE+1,"y")&lt;1,0,MIN(TOPE_ANIOS,DATEDIF(F113,FECHA_CORTE+1,"y")+IF(EDATE(F113,12*DATEDIF(F113,FECHA_CORTE+1,"y")+6)&lt;FECHA_CORTE+1,1,0))))</f>
        <v/>
      </c>
      <c r="AD113" s="69" t="str">
        <f aca="false">IF(O113&lt;&gt;"Activo","",AB113+IF(R113="Obra o faena",0,ROUND(AL113*AC113,0)+ROUND(AL113,0)))</f>
        <v/>
      </c>
      <c r="AE113" s="69" t="str">
        <f aca="false">IF(O113&lt;&gt;"Activo","",AB113)</f>
        <v/>
      </c>
      <c r="AF113" s="69" t="str">
        <f aca="false">IF(AN113="","",IF(ISNUMBER(AJ113),"",ROUND(MAX(0,IF(AN113&lt;=0,0,WORKDAY(U113,INT(AN113),FERIADOS)-U113+(AN113-INT(AN113))))*(Q113+N(K113))/30,0)+IF(R113="Obra o faena",ROUND(OBRA_DIAS*AL113/30*(DATEDIF(F113,U113+1,"m")+IF(U113+1-EDATE(F113,DATEDIF(F113,U113+1,"m"))&gt;15,1,0)),0),0)))</f>
        <v/>
      </c>
      <c r="AG113" s="62" t="str">
        <f aca="false">IF(B113="","",IFERROR(VALUE(LEFT(UPPER(SUBSTITUTE(SUBSTITUTE(SUBSTITUTE(TRIM(B113),".",""),"-","")," ","")),LEN(UPPER(SUBSTITUTE(SUBSTITUTE(SUBSTITUTE(TRIM(B113),".",""),"-","")," ","")))-1))&amp;RIGHT(UPPER(SUBSTITUTE(SUBSTITUTE(SUBSTITUTE(TRIM(B113),".",""),"-","")," ","")),1),UPPER(SUBSTITUTE(SUBSTITUTE(SUBSTITUTE(TRIM(B113),".",""),"-","")," ",""))))</f>
        <v/>
      </c>
      <c r="AH113" s="62" t="str">
        <f aca="false">IF(B113="","",COUNTIFS(C_RUTN,AG113,C_DEF,"Sí",C_INI,"&lt;="&amp;FECHA_CORTE))</f>
        <v/>
      </c>
      <c r="AI113" s="62" t="str">
        <f aca="false">IF(B113="","",COUNTIFS(C_RUTN,AG113,C_DEF,"Sí"))</f>
        <v/>
      </c>
      <c r="AJ113" s="66" t="str">
        <f aca="false">IF(OR(B113="",N(AI113)&lt;=N(AH113)),"",IFERROR(INDEX(C_INI,MATCH(AG113&amp;"-P"&amp;(AH113+1),C_CLAVE,0)),""))</f>
        <v/>
      </c>
      <c r="AK113" s="63" t="str">
        <f aca="false">IF(O113&lt;&gt;"Activo","",Q113+N(K113)+IF(L113="Sí",MIN(GRAT_PCT*(Q113+N(K113)),GRAT_TOPE),0)+N(I113)+N(J113))</f>
        <v/>
      </c>
      <c r="AL113" s="63" t="str">
        <f aca="false">IF(O113&lt;&gt;"Activo","",MIN(AK113,TOPE_IAS_UF*UF_MES))</f>
        <v/>
      </c>
      <c r="AM113" s="62" t="str">
        <f aca="false">IF(AND(O113="Activo",ISNUMBER(V113),W113&lt;&gt;"Renovación registrada"),V113+ROW()/100000,"")</f>
        <v/>
      </c>
      <c r="AN113" s="70" t="str">
        <f aca="false">IF(OR(O113&lt;&gt;"Activo",NOT(ISNUMBER(U113))),"",IF(U113&lt;FECHA_CORTE,"",1.25*(DATEDIF(F113,U113+1,"m")+(U113+1-EDATE(F113,DATEDIF(F113,U113+1,"m")))/30)-Z113))</f>
        <v/>
      </c>
      <c r="AO113" s="66" t="str">
        <f aca="false">IF(OR(B113="",NOT(ISNUMBER(F113))),"",IF(N(G113)&gt;0,MIN(G113,FECHA_CORTE),FECHA_CORTE))</f>
        <v/>
      </c>
    </row>
    <row r="114" customFormat="false" ht="15" hidden="false" customHeight="false" outlineLevel="0" collapsed="false">
      <c r="B114" s="58"/>
      <c r="C114" s="58"/>
      <c r="D114" s="58"/>
      <c r="E114" s="58"/>
      <c r="F114" s="59"/>
      <c r="G114" s="59"/>
      <c r="H114" s="58"/>
      <c r="I114" s="60"/>
      <c r="J114" s="60"/>
      <c r="K114" s="60"/>
      <c r="L114" s="58"/>
      <c r="M114" s="61"/>
      <c r="N114" s="58"/>
      <c r="O114" s="62" t="str">
        <f aca="false">IF(B114="","",IF(NOT(ISNUMBER(F114)),"⚠ Falta ingreso",IF(F114&gt;FECHA_CORTE,"Por ingresar",IF(G114="","Activo",IF(G114&lt;FECHA_CORTE,"Desvinculado","Activo")))))</f>
        <v/>
      </c>
      <c r="P114" s="62" t="str">
        <f aca="false">IF(OR(B114="",NOT(ISNUMBER(F114))),"",IF(F114&gt;FECHA_CORTE,"",DATEDIF(F114,IF(G114="",FECHA_CORTE,MIN(G114,FECHA_CORTE))+1,"y")&amp;" a "&amp;DATEDIF(F114,IF(G114="",FECHA_CORTE,MIN(G114,FECHA_CORTE))+1,"ym")&amp;" m"))</f>
        <v/>
      </c>
      <c r="Q114" s="63" t="str">
        <f aca="false">IF(B114="","",IFERROR(INDEX(C_SUELDO,MATCH(AG114&amp;"-S"&amp;MAX(1,COUNTIFS(C_RUTN,AG114,C_SUELDO,"&lt;&gt;",C_INI,"&lt;="&amp;FECHA_CORTE)),C_CLAVES,0)),0))</f>
        <v/>
      </c>
      <c r="R114" s="62" t="str">
        <f aca="false">IF(B114="","",IF(N(AI114)=0,"Sin contrato",IFERROR(INDEX(C_TIPO,MATCH(AG114&amp;"-P"&amp;MAX(1,AH114),C_CLAVE,0))&amp;"","")))</f>
        <v/>
      </c>
      <c r="S114" s="64" t="str">
        <f aca="false">IF(R114="Plazo fijo",IFERROR(INDEX(C_NPF,MATCH(AG114&amp;"-P"&amp;MAX(1,AH114),C_CLAVE,0)),""),"")</f>
        <v/>
      </c>
      <c r="T114" s="65" t="str">
        <f aca="false">IF(B114="","",COUNTIFS(C_RUTN,AG114,C_TIPODOC,"Anexo de modificación"))</f>
        <v/>
      </c>
      <c r="U114" s="66" t="str">
        <f aca="false">IF(AND(OR(R114="Plazo fijo",R114="Obra o faena"),O114&lt;&gt;"Desvinculado"),IFERROR(IF(N(INDEX(C_TER,MATCH(AG114&amp;"-P"&amp;MAX(1,AH114),C_CLAVE,0)))=0,"",INDEX(C_TER,MATCH(AG114&amp;"-P"&amp;MAX(1,AH114),C_CLAVE,0))),""),"")</f>
        <v/>
      </c>
      <c r="V114" s="67" t="str">
        <f aca="false">IF(ISNUMBER(U114),U114-FECHA_CORTE,"")</f>
        <v/>
      </c>
      <c r="W114" s="62" t="str">
        <f aca="false">IF(B114="","",IF(O114="Desvinculado","Terminado",IF(N(AI114)=0,"Sin contrato registrado",IF(O114="Por ingresar","Por ingresar",IF(ISNUMBER(AJ114),"Renovación registrada",IF(R114="Indefinido","Indefinido",IF(NOT(ISNUMBER(V114)),"Falta fecha de término",IF(V114&lt;0,"VENCIDO",IF(V114&lt;=ALERTA_ROJA,"Vence en ≤ "&amp;ALERTA_ROJA&amp;" días",IF(V114&lt;=ALERTA_NARANJA,"Vence en ≤ "&amp;ALERTA_NARANJA&amp;" días",IF(V114&lt;=ALERTA_AMARILLA,"Vence en ≤ "&amp;ALERTA_AMARILLA&amp;" días","Vigente")))))))))))</f>
        <v/>
      </c>
      <c r="X114" s="62" t="str">
        <f aca="false">IF(B114="","",IF(W114="Terminado","—",IF(W114="Sin contrato registrado","Registrar su contrato en la hoja Contratos",IF(W114="Por ingresar","Tener el contrato firmado antes del ingreso",IF(W114="Renovación registrada","Siguiente contrato ya registrado: verificar que esté firmado",IF(R114="Indefinido","Sin vencimiento. Cambios de sueldo o cargo: anexo de modificación",IF(W114="Falta fecha de término","Completar la fecha de término en Contratos",IF(W114="VENCIDO","Sigue trabajando con plazo vencido: por ley ya es INDEFINIDO. Firmar anexo de paso a indefinido",IF(R114="Obra o faena","Al terminar la obra: finiquito + 2,5 días de sueldo por mes trabajado",IF(N(S114)&gt;=2,"2° contrato a plazo: NO se puede renovar otra vez a plazo fijo. Pasar a indefinido o terminar al vencer","1er contrato a plazo: renovar (2° contrato), pasar a indefinido o terminar al vencer"))))))))))</f>
        <v/>
      </c>
      <c r="Y114" s="68" t="str">
        <f aca="false">IF(O114&lt;&gt;"Activo","",ROUND(1.25*(DATEDIF(F114,AO114+1,"m")+(AO114+1-EDATE(F114,DATEDIF(F114,AO114+1,"m")))/30),2))</f>
        <v/>
      </c>
      <c r="Z114" s="68" t="str">
        <f aca="false">IF(O114&lt;&gt;"Activo","",N(M114)+SUMIFS(M_VAC,M_RUTN,AG114,M_MES,"&lt;="&amp;FECHA_CORTE))</f>
        <v/>
      </c>
      <c r="AA114" s="68" t="str">
        <f aca="false">IF(O114&lt;&gt;"Activo","",Y114-Z114)</f>
        <v/>
      </c>
      <c r="AB114" s="63" t="str">
        <f aca="false">IF(O114&lt;&gt;"Activo","",ROUND(MAX(0,IF(AA114&lt;=0,0,WORKDAY(FECHA_CORTE,INT(AA114),FERIADOS)-FECHA_CORTE+(AA114-INT(AA114))))*(Q114+N(K114))/30,0))</f>
        <v/>
      </c>
      <c r="AC114" s="65" t="str">
        <f aca="false">IF(O114&lt;&gt;"Activo","",IF(DATEDIF(F114,FECHA_CORTE+1,"y")&lt;1,0,MIN(TOPE_ANIOS,DATEDIF(F114,FECHA_CORTE+1,"y")+IF(EDATE(F114,12*DATEDIF(F114,FECHA_CORTE+1,"y")+6)&lt;FECHA_CORTE+1,1,0))))</f>
        <v/>
      </c>
      <c r="AD114" s="69" t="str">
        <f aca="false">IF(O114&lt;&gt;"Activo","",AB114+IF(R114="Obra o faena",0,ROUND(AL114*AC114,0)+ROUND(AL114,0)))</f>
        <v/>
      </c>
      <c r="AE114" s="69" t="str">
        <f aca="false">IF(O114&lt;&gt;"Activo","",AB114)</f>
        <v/>
      </c>
      <c r="AF114" s="69" t="str">
        <f aca="false">IF(AN114="","",IF(ISNUMBER(AJ114),"",ROUND(MAX(0,IF(AN114&lt;=0,0,WORKDAY(U114,INT(AN114),FERIADOS)-U114+(AN114-INT(AN114))))*(Q114+N(K114))/30,0)+IF(R114="Obra o faena",ROUND(OBRA_DIAS*AL114/30*(DATEDIF(F114,U114+1,"m")+IF(U114+1-EDATE(F114,DATEDIF(F114,U114+1,"m"))&gt;15,1,0)),0),0)))</f>
        <v/>
      </c>
      <c r="AG114" s="62" t="str">
        <f aca="false">IF(B114="","",IFERROR(VALUE(LEFT(UPPER(SUBSTITUTE(SUBSTITUTE(SUBSTITUTE(TRIM(B114),".",""),"-","")," ","")),LEN(UPPER(SUBSTITUTE(SUBSTITUTE(SUBSTITUTE(TRIM(B114),".",""),"-","")," ","")))-1))&amp;RIGHT(UPPER(SUBSTITUTE(SUBSTITUTE(SUBSTITUTE(TRIM(B114),".",""),"-","")," ","")),1),UPPER(SUBSTITUTE(SUBSTITUTE(SUBSTITUTE(TRIM(B114),".",""),"-","")," ",""))))</f>
        <v/>
      </c>
      <c r="AH114" s="62" t="str">
        <f aca="false">IF(B114="","",COUNTIFS(C_RUTN,AG114,C_DEF,"Sí",C_INI,"&lt;="&amp;FECHA_CORTE))</f>
        <v/>
      </c>
      <c r="AI114" s="62" t="str">
        <f aca="false">IF(B114="","",COUNTIFS(C_RUTN,AG114,C_DEF,"Sí"))</f>
        <v/>
      </c>
      <c r="AJ114" s="66" t="str">
        <f aca="false">IF(OR(B114="",N(AI114)&lt;=N(AH114)),"",IFERROR(INDEX(C_INI,MATCH(AG114&amp;"-P"&amp;(AH114+1),C_CLAVE,0)),""))</f>
        <v/>
      </c>
      <c r="AK114" s="63" t="str">
        <f aca="false">IF(O114&lt;&gt;"Activo","",Q114+N(K114)+IF(L114="Sí",MIN(GRAT_PCT*(Q114+N(K114)),GRAT_TOPE),0)+N(I114)+N(J114))</f>
        <v/>
      </c>
      <c r="AL114" s="63" t="str">
        <f aca="false">IF(O114&lt;&gt;"Activo","",MIN(AK114,TOPE_IAS_UF*UF_MES))</f>
        <v/>
      </c>
      <c r="AM114" s="62" t="str">
        <f aca="false">IF(AND(O114="Activo",ISNUMBER(V114),W114&lt;&gt;"Renovación registrada"),V114+ROW()/100000,"")</f>
        <v/>
      </c>
      <c r="AN114" s="70" t="str">
        <f aca="false">IF(OR(O114&lt;&gt;"Activo",NOT(ISNUMBER(U114))),"",IF(U114&lt;FECHA_CORTE,"",1.25*(DATEDIF(F114,U114+1,"m")+(U114+1-EDATE(F114,DATEDIF(F114,U114+1,"m")))/30)-Z114))</f>
        <v/>
      </c>
      <c r="AO114" s="66" t="str">
        <f aca="false">IF(OR(B114="",NOT(ISNUMBER(F114))),"",IF(N(G114)&gt;0,MIN(G114,FECHA_CORTE),FECHA_CORTE))</f>
        <v/>
      </c>
    </row>
    <row r="115" customFormat="false" ht="15" hidden="false" customHeight="false" outlineLevel="0" collapsed="false">
      <c r="B115" s="58"/>
      <c r="C115" s="58"/>
      <c r="D115" s="58"/>
      <c r="E115" s="58"/>
      <c r="F115" s="59"/>
      <c r="G115" s="59"/>
      <c r="H115" s="58"/>
      <c r="I115" s="60"/>
      <c r="J115" s="60"/>
      <c r="K115" s="60"/>
      <c r="L115" s="58"/>
      <c r="M115" s="61"/>
      <c r="N115" s="58"/>
      <c r="O115" s="62" t="str">
        <f aca="false">IF(B115="","",IF(NOT(ISNUMBER(F115)),"⚠ Falta ingreso",IF(F115&gt;FECHA_CORTE,"Por ingresar",IF(G115="","Activo",IF(G115&lt;FECHA_CORTE,"Desvinculado","Activo")))))</f>
        <v/>
      </c>
      <c r="P115" s="62" t="str">
        <f aca="false">IF(OR(B115="",NOT(ISNUMBER(F115))),"",IF(F115&gt;FECHA_CORTE,"",DATEDIF(F115,IF(G115="",FECHA_CORTE,MIN(G115,FECHA_CORTE))+1,"y")&amp;" a "&amp;DATEDIF(F115,IF(G115="",FECHA_CORTE,MIN(G115,FECHA_CORTE))+1,"ym")&amp;" m"))</f>
        <v/>
      </c>
      <c r="Q115" s="63" t="str">
        <f aca="false">IF(B115="","",IFERROR(INDEX(C_SUELDO,MATCH(AG115&amp;"-S"&amp;MAX(1,COUNTIFS(C_RUTN,AG115,C_SUELDO,"&lt;&gt;",C_INI,"&lt;="&amp;FECHA_CORTE)),C_CLAVES,0)),0))</f>
        <v/>
      </c>
      <c r="R115" s="62" t="str">
        <f aca="false">IF(B115="","",IF(N(AI115)=0,"Sin contrato",IFERROR(INDEX(C_TIPO,MATCH(AG115&amp;"-P"&amp;MAX(1,AH115),C_CLAVE,0))&amp;"","")))</f>
        <v/>
      </c>
      <c r="S115" s="64" t="str">
        <f aca="false">IF(R115="Plazo fijo",IFERROR(INDEX(C_NPF,MATCH(AG115&amp;"-P"&amp;MAX(1,AH115),C_CLAVE,0)),""),"")</f>
        <v/>
      </c>
      <c r="T115" s="65" t="str">
        <f aca="false">IF(B115="","",COUNTIFS(C_RUTN,AG115,C_TIPODOC,"Anexo de modificación"))</f>
        <v/>
      </c>
      <c r="U115" s="66" t="str">
        <f aca="false">IF(AND(OR(R115="Plazo fijo",R115="Obra o faena"),O115&lt;&gt;"Desvinculado"),IFERROR(IF(N(INDEX(C_TER,MATCH(AG115&amp;"-P"&amp;MAX(1,AH115),C_CLAVE,0)))=0,"",INDEX(C_TER,MATCH(AG115&amp;"-P"&amp;MAX(1,AH115),C_CLAVE,0))),""),"")</f>
        <v/>
      </c>
      <c r="V115" s="67" t="str">
        <f aca="false">IF(ISNUMBER(U115),U115-FECHA_CORTE,"")</f>
        <v/>
      </c>
      <c r="W115" s="62" t="str">
        <f aca="false">IF(B115="","",IF(O115="Desvinculado","Terminado",IF(N(AI115)=0,"Sin contrato registrado",IF(O115="Por ingresar","Por ingresar",IF(ISNUMBER(AJ115),"Renovación registrada",IF(R115="Indefinido","Indefinido",IF(NOT(ISNUMBER(V115)),"Falta fecha de término",IF(V115&lt;0,"VENCIDO",IF(V115&lt;=ALERTA_ROJA,"Vence en ≤ "&amp;ALERTA_ROJA&amp;" días",IF(V115&lt;=ALERTA_NARANJA,"Vence en ≤ "&amp;ALERTA_NARANJA&amp;" días",IF(V115&lt;=ALERTA_AMARILLA,"Vence en ≤ "&amp;ALERTA_AMARILLA&amp;" días","Vigente")))))))))))</f>
        <v/>
      </c>
      <c r="X115" s="62" t="str">
        <f aca="false">IF(B115="","",IF(W115="Terminado","—",IF(W115="Sin contrato registrado","Registrar su contrato en la hoja Contratos",IF(W115="Por ingresar","Tener el contrato firmado antes del ingreso",IF(W115="Renovación registrada","Siguiente contrato ya registrado: verificar que esté firmado",IF(R115="Indefinido","Sin vencimiento. Cambios de sueldo o cargo: anexo de modificación",IF(W115="Falta fecha de término","Completar la fecha de término en Contratos",IF(W115="VENCIDO","Sigue trabajando con plazo vencido: por ley ya es INDEFINIDO. Firmar anexo de paso a indefinido",IF(R115="Obra o faena","Al terminar la obra: finiquito + 2,5 días de sueldo por mes trabajado",IF(N(S115)&gt;=2,"2° contrato a plazo: NO se puede renovar otra vez a plazo fijo. Pasar a indefinido o terminar al vencer","1er contrato a plazo: renovar (2° contrato), pasar a indefinido o terminar al vencer"))))))))))</f>
        <v/>
      </c>
      <c r="Y115" s="68" t="str">
        <f aca="false">IF(O115&lt;&gt;"Activo","",ROUND(1.25*(DATEDIF(F115,AO115+1,"m")+(AO115+1-EDATE(F115,DATEDIF(F115,AO115+1,"m")))/30),2))</f>
        <v/>
      </c>
      <c r="Z115" s="68" t="str">
        <f aca="false">IF(O115&lt;&gt;"Activo","",N(M115)+SUMIFS(M_VAC,M_RUTN,AG115,M_MES,"&lt;="&amp;FECHA_CORTE))</f>
        <v/>
      </c>
      <c r="AA115" s="68" t="str">
        <f aca="false">IF(O115&lt;&gt;"Activo","",Y115-Z115)</f>
        <v/>
      </c>
      <c r="AB115" s="63" t="str">
        <f aca="false">IF(O115&lt;&gt;"Activo","",ROUND(MAX(0,IF(AA115&lt;=0,0,WORKDAY(FECHA_CORTE,INT(AA115),FERIADOS)-FECHA_CORTE+(AA115-INT(AA115))))*(Q115+N(K115))/30,0))</f>
        <v/>
      </c>
      <c r="AC115" s="65" t="str">
        <f aca="false">IF(O115&lt;&gt;"Activo","",IF(DATEDIF(F115,FECHA_CORTE+1,"y")&lt;1,0,MIN(TOPE_ANIOS,DATEDIF(F115,FECHA_CORTE+1,"y")+IF(EDATE(F115,12*DATEDIF(F115,FECHA_CORTE+1,"y")+6)&lt;FECHA_CORTE+1,1,0))))</f>
        <v/>
      </c>
      <c r="AD115" s="69" t="str">
        <f aca="false">IF(O115&lt;&gt;"Activo","",AB115+IF(R115="Obra o faena",0,ROUND(AL115*AC115,0)+ROUND(AL115,0)))</f>
        <v/>
      </c>
      <c r="AE115" s="69" t="str">
        <f aca="false">IF(O115&lt;&gt;"Activo","",AB115)</f>
        <v/>
      </c>
      <c r="AF115" s="69" t="str">
        <f aca="false">IF(AN115="","",IF(ISNUMBER(AJ115),"",ROUND(MAX(0,IF(AN115&lt;=0,0,WORKDAY(U115,INT(AN115),FERIADOS)-U115+(AN115-INT(AN115))))*(Q115+N(K115))/30,0)+IF(R115="Obra o faena",ROUND(OBRA_DIAS*AL115/30*(DATEDIF(F115,U115+1,"m")+IF(U115+1-EDATE(F115,DATEDIF(F115,U115+1,"m"))&gt;15,1,0)),0),0)))</f>
        <v/>
      </c>
      <c r="AG115" s="62" t="str">
        <f aca="false">IF(B115="","",IFERROR(VALUE(LEFT(UPPER(SUBSTITUTE(SUBSTITUTE(SUBSTITUTE(TRIM(B115),".",""),"-","")," ","")),LEN(UPPER(SUBSTITUTE(SUBSTITUTE(SUBSTITUTE(TRIM(B115),".",""),"-","")," ","")))-1))&amp;RIGHT(UPPER(SUBSTITUTE(SUBSTITUTE(SUBSTITUTE(TRIM(B115),".",""),"-","")," ","")),1),UPPER(SUBSTITUTE(SUBSTITUTE(SUBSTITUTE(TRIM(B115),".",""),"-","")," ",""))))</f>
        <v/>
      </c>
      <c r="AH115" s="62" t="str">
        <f aca="false">IF(B115="","",COUNTIFS(C_RUTN,AG115,C_DEF,"Sí",C_INI,"&lt;="&amp;FECHA_CORTE))</f>
        <v/>
      </c>
      <c r="AI115" s="62" t="str">
        <f aca="false">IF(B115="","",COUNTIFS(C_RUTN,AG115,C_DEF,"Sí"))</f>
        <v/>
      </c>
      <c r="AJ115" s="66" t="str">
        <f aca="false">IF(OR(B115="",N(AI115)&lt;=N(AH115)),"",IFERROR(INDEX(C_INI,MATCH(AG115&amp;"-P"&amp;(AH115+1),C_CLAVE,0)),""))</f>
        <v/>
      </c>
      <c r="AK115" s="63" t="str">
        <f aca="false">IF(O115&lt;&gt;"Activo","",Q115+N(K115)+IF(L115="Sí",MIN(GRAT_PCT*(Q115+N(K115)),GRAT_TOPE),0)+N(I115)+N(J115))</f>
        <v/>
      </c>
      <c r="AL115" s="63" t="str">
        <f aca="false">IF(O115&lt;&gt;"Activo","",MIN(AK115,TOPE_IAS_UF*UF_MES))</f>
        <v/>
      </c>
      <c r="AM115" s="62" t="str">
        <f aca="false">IF(AND(O115="Activo",ISNUMBER(V115),W115&lt;&gt;"Renovación registrada"),V115+ROW()/100000,"")</f>
        <v/>
      </c>
      <c r="AN115" s="70" t="str">
        <f aca="false">IF(OR(O115&lt;&gt;"Activo",NOT(ISNUMBER(U115))),"",IF(U115&lt;FECHA_CORTE,"",1.25*(DATEDIF(F115,U115+1,"m")+(U115+1-EDATE(F115,DATEDIF(F115,U115+1,"m")))/30)-Z115))</f>
        <v/>
      </c>
      <c r="AO115" s="66" t="str">
        <f aca="false">IF(OR(B115="",NOT(ISNUMBER(F115))),"",IF(N(G115)&gt;0,MIN(G115,FECHA_CORTE),FECHA_CORTE))</f>
        <v/>
      </c>
    </row>
    <row r="116" customFormat="false" ht="15" hidden="false" customHeight="false" outlineLevel="0" collapsed="false">
      <c r="B116" s="58"/>
      <c r="C116" s="58"/>
      <c r="D116" s="58"/>
      <c r="E116" s="58"/>
      <c r="F116" s="59"/>
      <c r="G116" s="59"/>
      <c r="H116" s="58"/>
      <c r="I116" s="60"/>
      <c r="J116" s="60"/>
      <c r="K116" s="60"/>
      <c r="L116" s="58"/>
      <c r="M116" s="61"/>
      <c r="N116" s="58"/>
      <c r="O116" s="62" t="str">
        <f aca="false">IF(B116="","",IF(NOT(ISNUMBER(F116)),"⚠ Falta ingreso",IF(F116&gt;FECHA_CORTE,"Por ingresar",IF(G116="","Activo",IF(G116&lt;FECHA_CORTE,"Desvinculado","Activo")))))</f>
        <v/>
      </c>
      <c r="P116" s="62" t="str">
        <f aca="false">IF(OR(B116="",NOT(ISNUMBER(F116))),"",IF(F116&gt;FECHA_CORTE,"",DATEDIF(F116,IF(G116="",FECHA_CORTE,MIN(G116,FECHA_CORTE))+1,"y")&amp;" a "&amp;DATEDIF(F116,IF(G116="",FECHA_CORTE,MIN(G116,FECHA_CORTE))+1,"ym")&amp;" m"))</f>
        <v/>
      </c>
      <c r="Q116" s="63" t="str">
        <f aca="false">IF(B116="","",IFERROR(INDEX(C_SUELDO,MATCH(AG116&amp;"-S"&amp;MAX(1,COUNTIFS(C_RUTN,AG116,C_SUELDO,"&lt;&gt;",C_INI,"&lt;="&amp;FECHA_CORTE)),C_CLAVES,0)),0))</f>
        <v/>
      </c>
      <c r="R116" s="62" t="str">
        <f aca="false">IF(B116="","",IF(N(AI116)=0,"Sin contrato",IFERROR(INDEX(C_TIPO,MATCH(AG116&amp;"-P"&amp;MAX(1,AH116),C_CLAVE,0))&amp;"","")))</f>
        <v/>
      </c>
      <c r="S116" s="64" t="str">
        <f aca="false">IF(R116="Plazo fijo",IFERROR(INDEX(C_NPF,MATCH(AG116&amp;"-P"&amp;MAX(1,AH116),C_CLAVE,0)),""),"")</f>
        <v/>
      </c>
      <c r="T116" s="65" t="str">
        <f aca="false">IF(B116="","",COUNTIFS(C_RUTN,AG116,C_TIPODOC,"Anexo de modificación"))</f>
        <v/>
      </c>
      <c r="U116" s="66" t="str">
        <f aca="false">IF(AND(OR(R116="Plazo fijo",R116="Obra o faena"),O116&lt;&gt;"Desvinculado"),IFERROR(IF(N(INDEX(C_TER,MATCH(AG116&amp;"-P"&amp;MAX(1,AH116),C_CLAVE,0)))=0,"",INDEX(C_TER,MATCH(AG116&amp;"-P"&amp;MAX(1,AH116),C_CLAVE,0))),""),"")</f>
        <v/>
      </c>
      <c r="V116" s="67" t="str">
        <f aca="false">IF(ISNUMBER(U116),U116-FECHA_CORTE,"")</f>
        <v/>
      </c>
      <c r="W116" s="62" t="str">
        <f aca="false">IF(B116="","",IF(O116="Desvinculado","Terminado",IF(N(AI116)=0,"Sin contrato registrado",IF(O116="Por ingresar","Por ingresar",IF(ISNUMBER(AJ116),"Renovación registrada",IF(R116="Indefinido","Indefinido",IF(NOT(ISNUMBER(V116)),"Falta fecha de término",IF(V116&lt;0,"VENCIDO",IF(V116&lt;=ALERTA_ROJA,"Vence en ≤ "&amp;ALERTA_ROJA&amp;" días",IF(V116&lt;=ALERTA_NARANJA,"Vence en ≤ "&amp;ALERTA_NARANJA&amp;" días",IF(V116&lt;=ALERTA_AMARILLA,"Vence en ≤ "&amp;ALERTA_AMARILLA&amp;" días","Vigente")))))))))))</f>
        <v/>
      </c>
      <c r="X116" s="62" t="str">
        <f aca="false">IF(B116="","",IF(W116="Terminado","—",IF(W116="Sin contrato registrado","Registrar su contrato en la hoja Contratos",IF(W116="Por ingresar","Tener el contrato firmado antes del ingreso",IF(W116="Renovación registrada","Siguiente contrato ya registrado: verificar que esté firmado",IF(R116="Indefinido","Sin vencimiento. Cambios de sueldo o cargo: anexo de modificación",IF(W116="Falta fecha de término","Completar la fecha de término en Contratos",IF(W116="VENCIDO","Sigue trabajando con plazo vencido: por ley ya es INDEFINIDO. Firmar anexo de paso a indefinido",IF(R116="Obra o faena","Al terminar la obra: finiquito + 2,5 días de sueldo por mes trabajado",IF(N(S116)&gt;=2,"2° contrato a plazo: NO se puede renovar otra vez a plazo fijo. Pasar a indefinido o terminar al vencer","1er contrato a plazo: renovar (2° contrato), pasar a indefinido o terminar al vencer"))))))))))</f>
        <v/>
      </c>
      <c r="Y116" s="68" t="str">
        <f aca="false">IF(O116&lt;&gt;"Activo","",ROUND(1.25*(DATEDIF(F116,AO116+1,"m")+(AO116+1-EDATE(F116,DATEDIF(F116,AO116+1,"m")))/30),2))</f>
        <v/>
      </c>
      <c r="Z116" s="68" t="str">
        <f aca="false">IF(O116&lt;&gt;"Activo","",N(M116)+SUMIFS(M_VAC,M_RUTN,AG116,M_MES,"&lt;="&amp;FECHA_CORTE))</f>
        <v/>
      </c>
      <c r="AA116" s="68" t="str">
        <f aca="false">IF(O116&lt;&gt;"Activo","",Y116-Z116)</f>
        <v/>
      </c>
      <c r="AB116" s="63" t="str">
        <f aca="false">IF(O116&lt;&gt;"Activo","",ROUND(MAX(0,IF(AA116&lt;=0,0,WORKDAY(FECHA_CORTE,INT(AA116),FERIADOS)-FECHA_CORTE+(AA116-INT(AA116))))*(Q116+N(K116))/30,0))</f>
        <v/>
      </c>
      <c r="AC116" s="65" t="str">
        <f aca="false">IF(O116&lt;&gt;"Activo","",IF(DATEDIF(F116,FECHA_CORTE+1,"y")&lt;1,0,MIN(TOPE_ANIOS,DATEDIF(F116,FECHA_CORTE+1,"y")+IF(EDATE(F116,12*DATEDIF(F116,FECHA_CORTE+1,"y")+6)&lt;FECHA_CORTE+1,1,0))))</f>
        <v/>
      </c>
      <c r="AD116" s="69" t="str">
        <f aca="false">IF(O116&lt;&gt;"Activo","",AB116+IF(R116="Obra o faena",0,ROUND(AL116*AC116,0)+ROUND(AL116,0)))</f>
        <v/>
      </c>
      <c r="AE116" s="69" t="str">
        <f aca="false">IF(O116&lt;&gt;"Activo","",AB116)</f>
        <v/>
      </c>
      <c r="AF116" s="69" t="str">
        <f aca="false">IF(AN116="","",IF(ISNUMBER(AJ116),"",ROUND(MAX(0,IF(AN116&lt;=0,0,WORKDAY(U116,INT(AN116),FERIADOS)-U116+(AN116-INT(AN116))))*(Q116+N(K116))/30,0)+IF(R116="Obra o faena",ROUND(OBRA_DIAS*AL116/30*(DATEDIF(F116,U116+1,"m")+IF(U116+1-EDATE(F116,DATEDIF(F116,U116+1,"m"))&gt;15,1,0)),0),0)))</f>
        <v/>
      </c>
      <c r="AG116" s="62" t="str">
        <f aca="false">IF(B116="","",IFERROR(VALUE(LEFT(UPPER(SUBSTITUTE(SUBSTITUTE(SUBSTITUTE(TRIM(B116),".",""),"-","")," ","")),LEN(UPPER(SUBSTITUTE(SUBSTITUTE(SUBSTITUTE(TRIM(B116),".",""),"-","")," ","")))-1))&amp;RIGHT(UPPER(SUBSTITUTE(SUBSTITUTE(SUBSTITUTE(TRIM(B116),".",""),"-","")," ","")),1),UPPER(SUBSTITUTE(SUBSTITUTE(SUBSTITUTE(TRIM(B116),".",""),"-","")," ",""))))</f>
        <v/>
      </c>
      <c r="AH116" s="62" t="str">
        <f aca="false">IF(B116="","",COUNTIFS(C_RUTN,AG116,C_DEF,"Sí",C_INI,"&lt;="&amp;FECHA_CORTE))</f>
        <v/>
      </c>
      <c r="AI116" s="62" t="str">
        <f aca="false">IF(B116="","",COUNTIFS(C_RUTN,AG116,C_DEF,"Sí"))</f>
        <v/>
      </c>
      <c r="AJ116" s="66" t="str">
        <f aca="false">IF(OR(B116="",N(AI116)&lt;=N(AH116)),"",IFERROR(INDEX(C_INI,MATCH(AG116&amp;"-P"&amp;(AH116+1),C_CLAVE,0)),""))</f>
        <v/>
      </c>
      <c r="AK116" s="63" t="str">
        <f aca="false">IF(O116&lt;&gt;"Activo","",Q116+N(K116)+IF(L116="Sí",MIN(GRAT_PCT*(Q116+N(K116)),GRAT_TOPE),0)+N(I116)+N(J116))</f>
        <v/>
      </c>
      <c r="AL116" s="63" t="str">
        <f aca="false">IF(O116&lt;&gt;"Activo","",MIN(AK116,TOPE_IAS_UF*UF_MES))</f>
        <v/>
      </c>
      <c r="AM116" s="62" t="str">
        <f aca="false">IF(AND(O116="Activo",ISNUMBER(V116),W116&lt;&gt;"Renovación registrada"),V116+ROW()/100000,"")</f>
        <v/>
      </c>
      <c r="AN116" s="70" t="str">
        <f aca="false">IF(OR(O116&lt;&gt;"Activo",NOT(ISNUMBER(U116))),"",IF(U116&lt;FECHA_CORTE,"",1.25*(DATEDIF(F116,U116+1,"m")+(U116+1-EDATE(F116,DATEDIF(F116,U116+1,"m")))/30)-Z116))</f>
        <v/>
      </c>
      <c r="AO116" s="66" t="str">
        <f aca="false">IF(OR(B116="",NOT(ISNUMBER(F116))),"",IF(N(G116)&gt;0,MIN(G116,FECHA_CORTE),FECHA_CORTE))</f>
        <v/>
      </c>
    </row>
    <row r="117" customFormat="false" ht="15" hidden="false" customHeight="false" outlineLevel="0" collapsed="false">
      <c r="B117" s="58"/>
      <c r="C117" s="58"/>
      <c r="D117" s="58"/>
      <c r="E117" s="58"/>
      <c r="F117" s="59"/>
      <c r="G117" s="59"/>
      <c r="H117" s="58"/>
      <c r="I117" s="60"/>
      <c r="J117" s="60"/>
      <c r="K117" s="60"/>
      <c r="L117" s="58"/>
      <c r="M117" s="61"/>
      <c r="N117" s="58"/>
      <c r="O117" s="62" t="str">
        <f aca="false">IF(B117="","",IF(NOT(ISNUMBER(F117)),"⚠ Falta ingreso",IF(F117&gt;FECHA_CORTE,"Por ingresar",IF(G117="","Activo",IF(G117&lt;FECHA_CORTE,"Desvinculado","Activo")))))</f>
        <v/>
      </c>
      <c r="P117" s="62" t="str">
        <f aca="false">IF(OR(B117="",NOT(ISNUMBER(F117))),"",IF(F117&gt;FECHA_CORTE,"",DATEDIF(F117,IF(G117="",FECHA_CORTE,MIN(G117,FECHA_CORTE))+1,"y")&amp;" a "&amp;DATEDIF(F117,IF(G117="",FECHA_CORTE,MIN(G117,FECHA_CORTE))+1,"ym")&amp;" m"))</f>
        <v/>
      </c>
      <c r="Q117" s="63" t="str">
        <f aca="false">IF(B117="","",IFERROR(INDEX(C_SUELDO,MATCH(AG117&amp;"-S"&amp;MAX(1,COUNTIFS(C_RUTN,AG117,C_SUELDO,"&lt;&gt;",C_INI,"&lt;="&amp;FECHA_CORTE)),C_CLAVES,0)),0))</f>
        <v/>
      </c>
      <c r="R117" s="62" t="str">
        <f aca="false">IF(B117="","",IF(N(AI117)=0,"Sin contrato",IFERROR(INDEX(C_TIPO,MATCH(AG117&amp;"-P"&amp;MAX(1,AH117),C_CLAVE,0))&amp;"","")))</f>
        <v/>
      </c>
      <c r="S117" s="64" t="str">
        <f aca="false">IF(R117="Plazo fijo",IFERROR(INDEX(C_NPF,MATCH(AG117&amp;"-P"&amp;MAX(1,AH117),C_CLAVE,0)),""),"")</f>
        <v/>
      </c>
      <c r="T117" s="65" t="str">
        <f aca="false">IF(B117="","",COUNTIFS(C_RUTN,AG117,C_TIPODOC,"Anexo de modificación"))</f>
        <v/>
      </c>
      <c r="U117" s="66" t="str">
        <f aca="false">IF(AND(OR(R117="Plazo fijo",R117="Obra o faena"),O117&lt;&gt;"Desvinculado"),IFERROR(IF(N(INDEX(C_TER,MATCH(AG117&amp;"-P"&amp;MAX(1,AH117),C_CLAVE,0)))=0,"",INDEX(C_TER,MATCH(AG117&amp;"-P"&amp;MAX(1,AH117),C_CLAVE,0))),""),"")</f>
        <v/>
      </c>
      <c r="V117" s="67" t="str">
        <f aca="false">IF(ISNUMBER(U117),U117-FECHA_CORTE,"")</f>
        <v/>
      </c>
      <c r="W117" s="62" t="str">
        <f aca="false">IF(B117="","",IF(O117="Desvinculado","Terminado",IF(N(AI117)=0,"Sin contrato registrado",IF(O117="Por ingresar","Por ingresar",IF(ISNUMBER(AJ117),"Renovación registrada",IF(R117="Indefinido","Indefinido",IF(NOT(ISNUMBER(V117)),"Falta fecha de término",IF(V117&lt;0,"VENCIDO",IF(V117&lt;=ALERTA_ROJA,"Vence en ≤ "&amp;ALERTA_ROJA&amp;" días",IF(V117&lt;=ALERTA_NARANJA,"Vence en ≤ "&amp;ALERTA_NARANJA&amp;" días",IF(V117&lt;=ALERTA_AMARILLA,"Vence en ≤ "&amp;ALERTA_AMARILLA&amp;" días","Vigente")))))))))))</f>
        <v/>
      </c>
      <c r="X117" s="62" t="str">
        <f aca="false">IF(B117="","",IF(W117="Terminado","—",IF(W117="Sin contrato registrado","Registrar su contrato en la hoja Contratos",IF(W117="Por ingresar","Tener el contrato firmado antes del ingreso",IF(W117="Renovación registrada","Siguiente contrato ya registrado: verificar que esté firmado",IF(R117="Indefinido","Sin vencimiento. Cambios de sueldo o cargo: anexo de modificación",IF(W117="Falta fecha de término","Completar la fecha de término en Contratos",IF(W117="VENCIDO","Sigue trabajando con plazo vencido: por ley ya es INDEFINIDO. Firmar anexo de paso a indefinido",IF(R117="Obra o faena","Al terminar la obra: finiquito + 2,5 días de sueldo por mes trabajado",IF(N(S117)&gt;=2,"2° contrato a plazo: NO se puede renovar otra vez a plazo fijo. Pasar a indefinido o terminar al vencer","1er contrato a plazo: renovar (2° contrato), pasar a indefinido o terminar al vencer"))))))))))</f>
        <v/>
      </c>
      <c r="Y117" s="68" t="str">
        <f aca="false">IF(O117&lt;&gt;"Activo","",ROUND(1.25*(DATEDIF(F117,AO117+1,"m")+(AO117+1-EDATE(F117,DATEDIF(F117,AO117+1,"m")))/30),2))</f>
        <v/>
      </c>
      <c r="Z117" s="68" t="str">
        <f aca="false">IF(O117&lt;&gt;"Activo","",N(M117)+SUMIFS(M_VAC,M_RUTN,AG117,M_MES,"&lt;="&amp;FECHA_CORTE))</f>
        <v/>
      </c>
      <c r="AA117" s="68" t="str">
        <f aca="false">IF(O117&lt;&gt;"Activo","",Y117-Z117)</f>
        <v/>
      </c>
      <c r="AB117" s="63" t="str">
        <f aca="false">IF(O117&lt;&gt;"Activo","",ROUND(MAX(0,IF(AA117&lt;=0,0,WORKDAY(FECHA_CORTE,INT(AA117),FERIADOS)-FECHA_CORTE+(AA117-INT(AA117))))*(Q117+N(K117))/30,0))</f>
        <v/>
      </c>
      <c r="AC117" s="65" t="str">
        <f aca="false">IF(O117&lt;&gt;"Activo","",IF(DATEDIF(F117,FECHA_CORTE+1,"y")&lt;1,0,MIN(TOPE_ANIOS,DATEDIF(F117,FECHA_CORTE+1,"y")+IF(EDATE(F117,12*DATEDIF(F117,FECHA_CORTE+1,"y")+6)&lt;FECHA_CORTE+1,1,0))))</f>
        <v/>
      </c>
      <c r="AD117" s="69" t="str">
        <f aca="false">IF(O117&lt;&gt;"Activo","",AB117+IF(R117="Obra o faena",0,ROUND(AL117*AC117,0)+ROUND(AL117,0)))</f>
        <v/>
      </c>
      <c r="AE117" s="69" t="str">
        <f aca="false">IF(O117&lt;&gt;"Activo","",AB117)</f>
        <v/>
      </c>
      <c r="AF117" s="69" t="str">
        <f aca="false">IF(AN117="","",IF(ISNUMBER(AJ117),"",ROUND(MAX(0,IF(AN117&lt;=0,0,WORKDAY(U117,INT(AN117),FERIADOS)-U117+(AN117-INT(AN117))))*(Q117+N(K117))/30,0)+IF(R117="Obra o faena",ROUND(OBRA_DIAS*AL117/30*(DATEDIF(F117,U117+1,"m")+IF(U117+1-EDATE(F117,DATEDIF(F117,U117+1,"m"))&gt;15,1,0)),0),0)))</f>
        <v/>
      </c>
      <c r="AG117" s="62" t="str">
        <f aca="false">IF(B117="","",IFERROR(VALUE(LEFT(UPPER(SUBSTITUTE(SUBSTITUTE(SUBSTITUTE(TRIM(B117),".",""),"-","")," ","")),LEN(UPPER(SUBSTITUTE(SUBSTITUTE(SUBSTITUTE(TRIM(B117),".",""),"-","")," ","")))-1))&amp;RIGHT(UPPER(SUBSTITUTE(SUBSTITUTE(SUBSTITUTE(TRIM(B117),".",""),"-","")," ","")),1),UPPER(SUBSTITUTE(SUBSTITUTE(SUBSTITUTE(TRIM(B117),".",""),"-","")," ",""))))</f>
        <v/>
      </c>
      <c r="AH117" s="62" t="str">
        <f aca="false">IF(B117="","",COUNTIFS(C_RUTN,AG117,C_DEF,"Sí",C_INI,"&lt;="&amp;FECHA_CORTE))</f>
        <v/>
      </c>
      <c r="AI117" s="62" t="str">
        <f aca="false">IF(B117="","",COUNTIFS(C_RUTN,AG117,C_DEF,"Sí"))</f>
        <v/>
      </c>
      <c r="AJ117" s="66" t="str">
        <f aca="false">IF(OR(B117="",N(AI117)&lt;=N(AH117)),"",IFERROR(INDEX(C_INI,MATCH(AG117&amp;"-P"&amp;(AH117+1),C_CLAVE,0)),""))</f>
        <v/>
      </c>
      <c r="AK117" s="63" t="str">
        <f aca="false">IF(O117&lt;&gt;"Activo","",Q117+N(K117)+IF(L117="Sí",MIN(GRAT_PCT*(Q117+N(K117)),GRAT_TOPE),0)+N(I117)+N(J117))</f>
        <v/>
      </c>
      <c r="AL117" s="63" t="str">
        <f aca="false">IF(O117&lt;&gt;"Activo","",MIN(AK117,TOPE_IAS_UF*UF_MES))</f>
        <v/>
      </c>
      <c r="AM117" s="62" t="str">
        <f aca="false">IF(AND(O117="Activo",ISNUMBER(V117),W117&lt;&gt;"Renovación registrada"),V117+ROW()/100000,"")</f>
        <v/>
      </c>
      <c r="AN117" s="70" t="str">
        <f aca="false">IF(OR(O117&lt;&gt;"Activo",NOT(ISNUMBER(U117))),"",IF(U117&lt;FECHA_CORTE,"",1.25*(DATEDIF(F117,U117+1,"m")+(U117+1-EDATE(F117,DATEDIF(F117,U117+1,"m")))/30)-Z117))</f>
        <v/>
      </c>
      <c r="AO117" s="66" t="str">
        <f aca="false">IF(OR(B117="",NOT(ISNUMBER(F117))),"",IF(N(G117)&gt;0,MIN(G117,FECHA_CORTE),FECHA_CORTE))</f>
        <v/>
      </c>
    </row>
    <row r="118" customFormat="false" ht="15" hidden="false" customHeight="false" outlineLevel="0" collapsed="false">
      <c r="B118" s="58"/>
      <c r="C118" s="58"/>
      <c r="D118" s="58"/>
      <c r="E118" s="58"/>
      <c r="F118" s="59"/>
      <c r="G118" s="59"/>
      <c r="H118" s="58"/>
      <c r="I118" s="60"/>
      <c r="J118" s="60"/>
      <c r="K118" s="60"/>
      <c r="L118" s="58"/>
      <c r="M118" s="61"/>
      <c r="N118" s="58"/>
      <c r="O118" s="62" t="str">
        <f aca="false">IF(B118="","",IF(NOT(ISNUMBER(F118)),"⚠ Falta ingreso",IF(F118&gt;FECHA_CORTE,"Por ingresar",IF(G118="","Activo",IF(G118&lt;FECHA_CORTE,"Desvinculado","Activo")))))</f>
        <v/>
      </c>
      <c r="P118" s="62" t="str">
        <f aca="false">IF(OR(B118="",NOT(ISNUMBER(F118))),"",IF(F118&gt;FECHA_CORTE,"",DATEDIF(F118,IF(G118="",FECHA_CORTE,MIN(G118,FECHA_CORTE))+1,"y")&amp;" a "&amp;DATEDIF(F118,IF(G118="",FECHA_CORTE,MIN(G118,FECHA_CORTE))+1,"ym")&amp;" m"))</f>
        <v/>
      </c>
      <c r="Q118" s="63" t="str">
        <f aca="false">IF(B118="","",IFERROR(INDEX(C_SUELDO,MATCH(AG118&amp;"-S"&amp;MAX(1,COUNTIFS(C_RUTN,AG118,C_SUELDO,"&lt;&gt;",C_INI,"&lt;="&amp;FECHA_CORTE)),C_CLAVES,0)),0))</f>
        <v/>
      </c>
      <c r="R118" s="62" t="str">
        <f aca="false">IF(B118="","",IF(N(AI118)=0,"Sin contrato",IFERROR(INDEX(C_TIPO,MATCH(AG118&amp;"-P"&amp;MAX(1,AH118),C_CLAVE,0))&amp;"","")))</f>
        <v/>
      </c>
      <c r="S118" s="64" t="str">
        <f aca="false">IF(R118="Plazo fijo",IFERROR(INDEX(C_NPF,MATCH(AG118&amp;"-P"&amp;MAX(1,AH118),C_CLAVE,0)),""),"")</f>
        <v/>
      </c>
      <c r="T118" s="65" t="str">
        <f aca="false">IF(B118="","",COUNTIFS(C_RUTN,AG118,C_TIPODOC,"Anexo de modificación"))</f>
        <v/>
      </c>
      <c r="U118" s="66" t="str">
        <f aca="false">IF(AND(OR(R118="Plazo fijo",R118="Obra o faena"),O118&lt;&gt;"Desvinculado"),IFERROR(IF(N(INDEX(C_TER,MATCH(AG118&amp;"-P"&amp;MAX(1,AH118),C_CLAVE,0)))=0,"",INDEX(C_TER,MATCH(AG118&amp;"-P"&amp;MAX(1,AH118),C_CLAVE,0))),""),"")</f>
        <v/>
      </c>
      <c r="V118" s="67" t="str">
        <f aca="false">IF(ISNUMBER(U118),U118-FECHA_CORTE,"")</f>
        <v/>
      </c>
      <c r="W118" s="62" t="str">
        <f aca="false">IF(B118="","",IF(O118="Desvinculado","Terminado",IF(N(AI118)=0,"Sin contrato registrado",IF(O118="Por ingresar","Por ingresar",IF(ISNUMBER(AJ118),"Renovación registrada",IF(R118="Indefinido","Indefinido",IF(NOT(ISNUMBER(V118)),"Falta fecha de término",IF(V118&lt;0,"VENCIDO",IF(V118&lt;=ALERTA_ROJA,"Vence en ≤ "&amp;ALERTA_ROJA&amp;" días",IF(V118&lt;=ALERTA_NARANJA,"Vence en ≤ "&amp;ALERTA_NARANJA&amp;" días",IF(V118&lt;=ALERTA_AMARILLA,"Vence en ≤ "&amp;ALERTA_AMARILLA&amp;" días","Vigente")))))))))))</f>
        <v/>
      </c>
      <c r="X118" s="62" t="str">
        <f aca="false">IF(B118="","",IF(W118="Terminado","—",IF(W118="Sin contrato registrado","Registrar su contrato en la hoja Contratos",IF(W118="Por ingresar","Tener el contrato firmado antes del ingreso",IF(W118="Renovación registrada","Siguiente contrato ya registrado: verificar que esté firmado",IF(R118="Indefinido","Sin vencimiento. Cambios de sueldo o cargo: anexo de modificación",IF(W118="Falta fecha de término","Completar la fecha de término en Contratos",IF(W118="VENCIDO","Sigue trabajando con plazo vencido: por ley ya es INDEFINIDO. Firmar anexo de paso a indefinido",IF(R118="Obra o faena","Al terminar la obra: finiquito + 2,5 días de sueldo por mes trabajado",IF(N(S118)&gt;=2,"2° contrato a plazo: NO se puede renovar otra vez a plazo fijo. Pasar a indefinido o terminar al vencer","1er contrato a plazo: renovar (2° contrato), pasar a indefinido o terminar al vencer"))))))))))</f>
        <v/>
      </c>
      <c r="Y118" s="68" t="str">
        <f aca="false">IF(O118&lt;&gt;"Activo","",ROUND(1.25*(DATEDIF(F118,AO118+1,"m")+(AO118+1-EDATE(F118,DATEDIF(F118,AO118+1,"m")))/30),2))</f>
        <v/>
      </c>
      <c r="Z118" s="68" t="str">
        <f aca="false">IF(O118&lt;&gt;"Activo","",N(M118)+SUMIFS(M_VAC,M_RUTN,AG118,M_MES,"&lt;="&amp;FECHA_CORTE))</f>
        <v/>
      </c>
      <c r="AA118" s="68" t="str">
        <f aca="false">IF(O118&lt;&gt;"Activo","",Y118-Z118)</f>
        <v/>
      </c>
      <c r="AB118" s="63" t="str">
        <f aca="false">IF(O118&lt;&gt;"Activo","",ROUND(MAX(0,IF(AA118&lt;=0,0,WORKDAY(FECHA_CORTE,INT(AA118),FERIADOS)-FECHA_CORTE+(AA118-INT(AA118))))*(Q118+N(K118))/30,0))</f>
        <v/>
      </c>
      <c r="AC118" s="65" t="str">
        <f aca="false">IF(O118&lt;&gt;"Activo","",IF(DATEDIF(F118,FECHA_CORTE+1,"y")&lt;1,0,MIN(TOPE_ANIOS,DATEDIF(F118,FECHA_CORTE+1,"y")+IF(EDATE(F118,12*DATEDIF(F118,FECHA_CORTE+1,"y")+6)&lt;FECHA_CORTE+1,1,0))))</f>
        <v/>
      </c>
      <c r="AD118" s="69" t="str">
        <f aca="false">IF(O118&lt;&gt;"Activo","",AB118+IF(R118="Obra o faena",0,ROUND(AL118*AC118,0)+ROUND(AL118,0)))</f>
        <v/>
      </c>
      <c r="AE118" s="69" t="str">
        <f aca="false">IF(O118&lt;&gt;"Activo","",AB118)</f>
        <v/>
      </c>
      <c r="AF118" s="69" t="str">
        <f aca="false">IF(AN118="","",IF(ISNUMBER(AJ118),"",ROUND(MAX(0,IF(AN118&lt;=0,0,WORKDAY(U118,INT(AN118),FERIADOS)-U118+(AN118-INT(AN118))))*(Q118+N(K118))/30,0)+IF(R118="Obra o faena",ROUND(OBRA_DIAS*AL118/30*(DATEDIF(F118,U118+1,"m")+IF(U118+1-EDATE(F118,DATEDIF(F118,U118+1,"m"))&gt;15,1,0)),0),0)))</f>
        <v/>
      </c>
      <c r="AG118" s="62" t="str">
        <f aca="false">IF(B118="","",IFERROR(VALUE(LEFT(UPPER(SUBSTITUTE(SUBSTITUTE(SUBSTITUTE(TRIM(B118),".",""),"-","")," ","")),LEN(UPPER(SUBSTITUTE(SUBSTITUTE(SUBSTITUTE(TRIM(B118),".",""),"-","")," ","")))-1))&amp;RIGHT(UPPER(SUBSTITUTE(SUBSTITUTE(SUBSTITUTE(TRIM(B118),".",""),"-","")," ","")),1),UPPER(SUBSTITUTE(SUBSTITUTE(SUBSTITUTE(TRIM(B118),".",""),"-","")," ",""))))</f>
        <v/>
      </c>
      <c r="AH118" s="62" t="str">
        <f aca="false">IF(B118="","",COUNTIFS(C_RUTN,AG118,C_DEF,"Sí",C_INI,"&lt;="&amp;FECHA_CORTE))</f>
        <v/>
      </c>
      <c r="AI118" s="62" t="str">
        <f aca="false">IF(B118="","",COUNTIFS(C_RUTN,AG118,C_DEF,"Sí"))</f>
        <v/>
      </c>
      <c r="AJ118" s="66" t="str">
        <f aca="false">IF(OR(B118="",N(AI118)&lt;=N(AH118)),"",IFERROR(INDEX(C_INI,MATCH(AG118&amp;"-P"&amp;(AH118+1),C_CLAVE,0)),""))</f>
        <v/>
      </c>
      <c r="AK118" s="63" t="str">
        <f aca="false">IF(O118&lt;&gt;"Activo","",Q118+N(K118)+IF(L118="Sí",MIN(GRAT_PCT*(Q118+N(K118)),GRAT_TOPE),0)+N(I118)+N(J118))</f>
        <v/>
      </c>
      <c r="AL118" s="63" t="str">
        <f aca="false">IF(O118&lt;&gt;"Activo","",MIN(AK118,TOPE_IAS_UF*UF_MES))</f>
        <v/>
      </c>
      <c r="AM118" s="62" t="str">
        <f aca="false">IF(AND(O118="Activo",ISNUMBER(V118),W118&lt;&gt;"Renovación registrada"),V118+ROW()/100000,"")</f>
        <v/>
      </c>
      <c r="AN118" s="70" t="str">
        <f aca="false">IF(OR(O118&lt;&gt;"Activo",NOT(ISNUMBER(U118))),"",IF(U118&lt;FECHA_CORTE,"",1.25*(DATEDIF(F118,U118+1,"m")+(U118+1-EDATE(F118,DATEDIF(F118,U118+1,"m")))/30)-Z118))</f>
        <v/>
      </c>
      <c r="AO118" s="66" t="str">
        <f aca="false">IF(OR(B118="",NOT(ISNUMBER(F118))),"",IF(N(G118)&gt;0,MIN(G118,FECHA_CORTE),FECHA_CORTE))</f>
        <v/>
      </c>
    </row>
    <row r="119" customFormat="false" ht="15" hidden="false" customHeight="false" outlineLevel="0" collapsed="false">
      <c r="B119" s="58"/>
      <c r="C119" s="58"/>
      <c r="D119" s="58"/>
      <c r="E119" s="58"/>
      <c r="F119" s="59"/>
      <c r="G119" s="59"/>
      <c r="H119" s="58"/>
      <c r="I119" s="60"/>
      <c r="J119" s="60"/>
      <c r="K119" s="60"/>
      <c r="L119" s="58"/>
      <c r="M119" s="61"/>
      <c r="N119" s="58"/>
      <c r="O119" s="62" t="str">
        <f aca="false">IF(B119="","",IF(NOT(ISNUMBER(F119)),"⚠ Falta ingreso",IF(F119&gt;FECHA_CORTE,"Por ingresar",IF(G119="","Activo",IF(G119&lt;FECHA_CORTE,"Desvinculado","Activo")))))</f>
        <v/>
      </c>
      <c r="P119" s="62" t="str">
        <f aca="false">IF(OR(B119="",NOT(ISNUMBER(F119))),"",IF(F119&gt;FECHA_CORTE,"",DATEDIF(F119,IF(G119="",FECHA_CORTE,MIN(G119,FECHA_CORTE))+1,"y")&amp;" a "&amp;DATEDIF(F119,IF(G119="",FECHA_CORTE,MIN(G119,FECHA_CORTE))+1,"ym")&amp;" m"))</f>
        <v/>
      </c>
      <c r="Q119" s="63" t="str">
        <f aca="false">IF(B119="","",IFERROR(INDEX(C_SUELDO,MATCH(AG119&amp;"-S"&amp;MAX(1,COUNTIFS(C_RUTN,AG119,C_SUELDO,"&lt;&gt;",C_INI,"&lt;="&amp;FECHA_CORTE)),C_CLAVES,0)),0))</f>
        <v/>
      </c>
      <c r="R119" s="62" t="str">
        <f aca="false">IF(B119="","",IF(N(AI119)=0,"Sin contrato",IFERROR(INDEX(C_TIPO,MATCH(AG119&amp;"-P"&amp;MAX(1,AH119),C_CLAVE,0))&amp;"","")))</f>
        <v/>
      </c>
      <c r="S119" s="64" t="str">
        <f aca="false">IF(R119="Plazo fijo",IFERROR(INDEX(C_NPF,MATCH(AG119&amp;"-P"&amp;MAX(1,AH119),C_CLAVE,0)),""),"")</f>
        <v/>
      </c>
      <c r="T119" s="65" t="str">
        <f aca="false">IF(B119="","",COUNTIFS(C_RUTN,AG119,C_TIPODOC,"Anexo de modificación"))</f>
        <v/>
      </c>
      <c r="U119" s="66" t="str">
        <f aca="false">IF(AND(OR(R119="Plazo fijo",R119="Obra o faena"),O119&lt;&gt;"Desvinculado"),IFERROR(IF(N(INDEX(C_TER,MATCH(AG119&amp;"-P"&amp;MAX(1,AH119),C_CLAVE,0)))=0,"",INDEX(C_TER,MATCH(AG119&amp;"-P"&amp;MAX(1,AH119),C_CLAVE,0))),""),"")</f>
        <v/>
      </c>
      <c r="V119" s="67" t="str">
        <f aca="false">IF(ISNUMBER(U119),U119-FECHA_CORTE,"")</f>
        <v/>
      </c>
      <c r="W119" s="62" t="str">
        <f aca="false">IF(B119="","",IF(O119="Desvinculado","Terminado",IF(N(AI119)=0,"Sin contrato registrado",IF(O119="Por ingresar","Por ingresar",IF(ISNUMBER(AJ119),"Renovación registrada",IF(R119="Indefinido","Indefinido",IF(NOT(ISNUMBER(V119)),"Falta fecha de término",IF(V119&lt;0,"VENCIDO",IF(V119&lt;=ALERTA_ROJA,"Vence en ≤ "&amp;ALERTA_ROJA&amp;" días",IF(V119&lt;=ALERTA_NARANJA,"Vence en ≤ "&amp;ALERTA_NARANJA&amp;" días",IF(V119&lt;=ALERTA_AMARILLA,"Vence en ≤ "&amp;ALERTA_AMARILLA&amp;" días","Vigente")))))))))))</f>
        <v/>
      </c>
      <c r="X119" s="62" t="str">
        <f aca="false">IF(B119="","",IF(W119="Terminado","—",IF(W119="Sin contrato registrado","Registrar su contrato en la hoja Contratos",IF(W119="Por ingresar","Tener el contrato firmado antes del ingreso",IF(W119="Renovación registrada","Siguiente contrato ya registrado: verificar que esté firmado",IF(R119="Indefinido","Sin vencimiento. Cambios de sueldo o cargo: anexo de modificación",IF(W119="Falta fecha de término","Completar la fecha de término en Contratos",IF(W119="VENCIDO","Sigue trabajando con plazo vencido: por ley ya es INDEFINIDO. Firmar anexo de paso a indefinido",IF(R119="Obra o faena","Al terminar la obra: finiquito + 2,5 días de sueldo por mes trabajado",IF(N(S119)&gt;=2,"2° contrato a plazo: NO se puede renovar otra vez a plazo fijo. Pasar a indefinido o terminar al vencer","1er contrato a plazo: renovar (2° contrato), pasar a indefinido o terminar al vencer"))))))))))</f>
        <v/>
      </c>
      <c r="Y119" s="68" t="str">
        <f aca="false">IF(O119&lt;&gt;"Activo","",ROUND(1.25*(DATEDIF(F119,AO119+1,"m")+(AO119+1-EDATE(F119,DATEDIF(F119,AO119+1,"m")))/30),2))</f>
        <v/>
      </c>
      <c r="Z119" s="68" t="str">
        <f aca="false">IF(O119&lt;&gt;"Activo","",N(M119)+SUMIFS(M_VAC,M_RUTN,AG119,M_MES,"&lt;="&amp;FECHA_CORTE))</f>
        <v/>
      </c>
      <c r="AA119" s="68" t="str">
        <f aca="false">IF(O119&lt;&gt;"Activo","",Y119-Z119)</f>
        <v/>
      </c>
      <c r="AB119" s="63" t="str">
        <f aca="false">IF(O119&lt;&gt;"Activo","",ROUND(MAX(0,IF(AA119&lt;=0,0,WORKDAY(FECHA_CORTE,INT(AA119),FERIADOS)-FECHA_CORTE+(AA119-INT(AA119))))*(Q119+N(K119))/30,0))</f>
        <v/>
      </c>
      <c r="AC119" s="65" t="str">
        <f aca="false">IF(O119&lt;&gt;"Activo","",IF(DATEDIF(F119,FECHA_CORTE+1,"y")&lt;1,0,MIN(TOPE_ANIOS,DATEDIF(F119,FECHA_CORTE+1,"y")+IF(EDATE(F119,12*DATEDIF(F119,FECHA_CORTE+1,"y")+6)&lt;FECHA_CORTE+1,1,0))))</f>
        <v/>
      </c>
      <c r="AD119" s="69" t="str">
        <f aca="false">IF(O119&lt;&gt;"Activo","",AB119+IF(R119="Obra o faena",0,ROUND(AL119*AC119,0)+ROUND(AL119,0)))</f>
        <v/>
      </c>
      <c r="AE119" s="69" t="str">
        <f aca="false">IF(O119&lt;&gt;"Activo","",AB119)</f>
        <v/>
      </c>
      <c r="AF119" s="69" t="str">
        <f aca="false">IF(AN119="","",IF(ISNUMBER(AJ119),"",ROUND(MAX(0,IF(AN119&lt;=0,0,WORKDAY(U119,INT(AN119),FERIADOS)-U119+(AN119-INT(AN119))))*(Q119+N(K119))/30,0)+IF(R119="Obra o faena",ROUND(OBRA_DIAS*AL119/30*(DATEDIF(F119,U119+1,"m")+IF(U119+1-EDATE(F119,DATEDIF(F119,U119+1,"m"))&gt;15,1,0)),0),0)))</f>
        <v/>
      </c>
      <c r="AG119" s="62" t="str">
        <f aca="false">IF(B119="","",IFERROR(VALUE(LEFT(UPPER(SUBSTITUTE(SUBSTITUTE(SUBSTITUTE(TRIM(B119),".",""),"-","")," ","")),LEN(UPPER(SUBSTITUTE(SUBSTITUTE(SUBSTITUTE(TRIM(B119),".",""),"-","")," ","")))-1))&amp;RIGHT(UPPER(SUBSTITUTE(SUBSTITUTE(SUBSTITUTE(TRIM(B119),".",""),"-","")," ","")),1),UPPER(SUBSTITUTE(SUBSTITUTE(SUBSTITUTE(TRIM(B119),".",""),"-","")," ",""))))</f>
        <v/>
      </c>
      <c r="AH119" s="62" t="str">
        <f aca="false">IF(B119="","",COUNTIFS(C_RUTN,AG119,C_DEF,"Sí",C_INI,"&lt;="&amp;FECHA_CORTE))</f>
        <v/>
      </c>
      <c r="AI119" s="62" t="str">
        <f aca="false">IF(B119="","",COUNTIFS(C_RUTN,AG119,C_DEF,"Sí"))</f>
        <v/>
      </c>
      <c r="AJ119" s="66" t="str">
        <f aca="false">IF(OR(B119="",N(AI119)&lt;=N(AH119)),"",IFERROR(INDEX(C_INI,MATCH(AG119&amp;"-P"&amp;(AH119+1),C_CLAVE,0)),""))</f>
        <v/>
      </c>
      <c r="AK119" s="63" t="str">
        <f aca="false">IF(O119&lt;&gt;"Activo","",Q119+N(K119)+IF(L119="Sí",MIN(GRAT_PCT*(Q119+N(K119)),GRAT_TOPE),0)+N(I119)+N(J119))</f>
        <v/>
      </c>
      <c r="AL119" s="63" t="str">
        <f aca="false">IF(O119&lt;&gt;"Activo","",MIN(AK119,TOPE_IAS_UF*UF_MES))</f>
        <v/>
      </c>
      <c r="AM119" s="62" t="str">
        <f aca="false">IF(AND(O119="Activo",ISNUMBER(V119),W119&lt;&gt;"Renovación registrada"),V119+ROW()/100000,"")</f>
        <v/>
      </c>
      <c r="AN119" s="70" t="str">
        <f aca="false">IF(OR(O119&lt;&gt;"Activo",NOT(ISNUMBER(U119))),"",IF(U119&lt;FECHA_CORTE,"",1.25*(DATEDIF(F119,U119+1,"m")+(U119+1-EDATE(F119,DATEDIF(F119,U119+1,"m")))/30)-Z119))</f>
        <v/>
      </c>
      <c r="AO119" s="66" t="str">
        <f aca="false">IF(OR(B119="",NOT(ISNUMBER(F119))),"",IF(N(G119)&gt;0,MIN(G119,FECHA_CORTE),FECHA_CORTE))</f>
        <v/>
      </c>
    </row>
    <row r="120" customFormat="false" ht="15" hidden="false" customHeight="false" outlineLevel="0" collapsed="false">
      <c r="B120" s="58"/>
      <c r="C120" s="58"/>
      <c r="D120" s="58"/>
      <c r="E120" s="58"/>
      <c r="F120" s="59"/>
      <c r="G120" s="59"/>
      <c r="H120" s="58"/>
      <c r="I120" s="60"/>
      <c r="J120" s="60"/>
      <c r="K120" s="60"/>
      <c r="L120" s="58"/>
      <c r="M120" s="61"/>
      <c r="N120" s="58"/>
      <c r="O120" s="62" t="str">
        <f aca="false">IF(B120="","",IF(NOT(ISNUMBER(F120)),"⚠ Falta ingreso",IF(F120&gt;FECHA_CORTE,"Por ingresar",IF(G120="","Activo",IF(G120&lt;FECHA_CORTE,"Desvinculado","Activo")))))</f>
        <v/>
      </c>
      <c r="P120" s="62" t="str">
        <f aca="false">IF(OR(B120="",NOT(ISNUMBER(F120))),"",IF(F120&gt;FECHA_CORTE,"",DATEDIF(F120,IF(G120="",FECHA_CORTE,MIN(G120,FECHA_CORTE))+1,"y")&amp;" a "&amp;DATEDIF(F120,IF(G120="",FECHA_CORTE,MIN(G120,FECHA_CORTE))+1,"ym")&amp;" m"))</f>
        <v/>
      </c>
      <c r="Q120" s="63" t="str">
        <f aca="false">IF(B120="","",IFERROR(INDEX(C_SUELDO,MATCH(AG120&amp;"-S"&amp;MAX(1,COUNTIFS(C_RUTN,AG120,C_SUELDO,"&lt;&gt;",C_INI,"&lt;="&amp;FECHA_CORTE)),C_CLAVES,0)),0))</f>
        <v/>
      </c>
      <c r="R120" s="62" t="str">
        <f aca="false">IF(B120="","",IF(N(AI120)=0,"Sin contrato",IFERROR(INDEX(C_TIPO,MATCH(AG120&amp;"-P"&amp;MAX(1,AH120),C_CLAVE,0))&amp;"","")))</f>
        <v/>
      </c>
      <c r="S120" s="64" t="str">
        <f aca="false">IF(R120="Plazo fijo",IFERROR(INDEX(C_NPF,MATCH(AG120&amp;"-P"&amp;MAX(1,AH120),C_CLAVE,0)),""),"")</f>
        <v/>
      </c>
      <c r="T120" s="65" t="str">
        <f aca="false">IF(B120="","",COUNTIFS(C_RUTN,AG120,C_TIPODOC,"Anexo de modificación"))</f>
        <v/>
      </c>
      <c r="U120" s="66" t="str">
        <f aca="false">IF(AND(OR(R120="Plazo fijo",R120="Obra o faena"),O120&lt;&gt;"Desvinculado"),IFERROR(IF(N(INDEX(C_TER,MATCH(AG120&amp;"-P"&amp;MAX(1,AH120),C_CLAVE,0)))=0,"",INDEX(C_TER,MATCH(AG120&amp;"-P"&amp;MAX(1,AH120),C_CLAVE,0))),""),"")</f>
        <v/>
      </c>
      <c r="V120" s="67" t="str">
        <f aca="false">IF(ISNUMBER(U120),U120-FECHA_CORTE,"")</f>
        <v/>
      </c>
      <c r="W120" s="62" t="str">
        <f aca="false">IF(B120="","",IF(O120="Desvinculado","Terminado",IF(N(AI120)=0,"Sin contrato registrado",IF(O120="Por ingresar","Por ingresar",IF(ISNUMBER(AJ120),"Renovación registrada",IF(R120="Indefinido","Indefinido",IF(NOT(ISNUMBER(V120)),"Falta fecha de término",IF(V120&lt;0,"VENCIDO",IF(V120&lt;=ALERTA_ROJA,"Vence en ≤ "&amp;ALERTA_ROJA&amp;" días",IF(V120&lt;=ALERTA_NARANJA,"Vence en ≤ "&amp;ALERTA_NARANJA&amp;" días",IF(V120&lt;=ALERTA_AMARILLA,"Vence en ≤ "&amp;ALERTA_AMARILLA&amp;" días","Vigente")))))))))))</f>
        <v/>
      </c>
      <c r="X120" s="62" t="str">
        <f aca="false">IF(B120="","",IF(W120="Terminado","—",IF(W120="Sin contrato registrado","Registrar su contrato en la hoja Contratos",IF(W120="Por ingresar","Tener el contrato firmado antes del ingreso",IF(W120="Renovación registrada","Siguiente contrato ya registrado: verificar que esté firmado",IF(R120="Indefinido","Sin vencimiento. Cambios de sueldo o cargo: anexo de modificación",IF(W120="Falta fecha de término","Completar la fecha de término en Contratos",IF(W120="VENCIDO","Sigue trabajando con plazo vencido: por ley ya es INDEFINIDO. Firmar anexo de paso a indefinido",IF(R120="Obra o faena","Al terminar la obra: finiquito + 2,5 días de sueldo por mes trabajado",IF(N(S120)&gt;=2,"2° contrato a plazo: NO se puede renovar otra vez a plazo fijo. Pasar a indefinido o terminar al vencer","1er contrato a plazo: renovar (2° contrato), pasar a indefinido o terminar al vencer"))))))))))</f>
        <v/>
      </c>
      <c r="Y120" s="68" t="str">
        <f aca="false">IF(O120&lt;&gt;"Activo","",ROUND(1.25*(DATEDIF(F120,AO120+1,"m")+(AO120+1-EDATE(F120,DATEDIF(F120,AO120+1,"m")))/30),2))</f>
        <v/>
      </c>
      <c r="Z120" s="68" t="str">
        <f aca="false">IF(O120&lt;&gt;"Activo","",N(M120)+SUMIFS(M_VAC,M_RUTN,AG120,M_MES,"&lt;="&amp;FECHA_CORTE))</f>
        <v/>
      </c>
      <c r="AA120" s="68" t="str">
        <f aca="false">IF(O120&lt;&gt;"Activo","",Y120-Z120)</f>
        <v/>
      </c>
      <c r="AB120" s="63" t="str">
        <f aca="false">IF(O120&lt;&gt;"Activo","",ROUND(MAX(0,IF(AA120&lt;=0,0,WORKDAY(FECHA_CORTE,INT(AA120),FERIADOS)-FECHA_CORTE+(AA120-INT(AA120))))*(Q120+N(K120))/30,0))</f>
        <v/>
      </c>
      <c r="AC120" s="65" t="str">
        <f aca="false">IF(O120&lt;&gt;"Activo","",IF(DATEDIF(F120,FECHA_CORTE+1,"y")&lt;1,0,MIN(TOPE_ANIOS,DATEDIF(F120,FECHA_CORTE+1,"y")+IF(EDATE(F120,12*DATEDIF(F120,FECHA_CORTE+1,"y")+6)&lt;FECHA_CORTE+1,1,0))))</f>
        <v/>
      </c>
      <c r="AD120" s="69" t="str">
        <f aca="false">IF(O120&lt;&gt;"Activo","",AB120+IF(R120="Obra o faena",0,ROUND(AL120*AC120,0)+ROUND(AL120,0)))</f>
        <v/>
      </c>
      <c r="AE120" s="69" t="str">
        <f aca="false">IF(O120&lt;&gt;"Activo","",AB120)</f>
        <v/>
      </c>
      <c r="AF120" s="69" t="str">
        <f aca="false">IF(AN120="","",IF(ISNUMBER(AJ120),"",ROUND(MAX(0,IF(AN120&lt;=0,0,WORKDAY(U120,INT(AN120),FERIADOS)-U120+(AN120-INT(AN120))))*(Q120+N(K120))/30,0)+IF(R120="Obra o faena",ROUND(OBRA_DIAS*AL120/30*(DATEDIF(F120,U120+1,"m")+IF(U120+1-EDATE(F120,DATEDIF(F120,U120+1,"m"))&gt;15,1,0)),0),0)))</f>
        <v/>
      </c>
      <c r="AG120" s="62" t="str">
        <f aca="false">IF(B120="","",IFERROR(VALUE(LEFT(UPPER(SUBSTITUTE(SUBSTITUTE(SUBSTITUTE(TRIM(B120),".",""),"-","")," ","")),LEN(UPPER(SUBSTITUTE(SUBSTITUTE(SUBSTITUTE(TRIM(B120),".",""),"-","")," ","")))-1))&amp;RIGHT(UPPER(SUBSTITUTE(SUBSTITUTE(SUBSTITUTE(TRIM(B120),".",""),"-","")," ","")),1),UPPER(SUBSTITUTE(SUBSTITUTE(SUBSTITUTE(TRIM(B120),".",""),"-","")," ",""))))</f>
        <v/>
      </c>
      <c r="AH120" s="62" t="str">
        <f aca="false">IF(B120="","",COUNTIFS(C_RUTN,AG120,C_DEF,"Sí",C_INI,"&lt;="&amp;FECHA_CORTE))</f>
        <v/>
      </c>
      <c r="AI120" s="62" t="str">
        <f aca="false">IF(B120="","",COUNTIFS(C_RUTN,AG120,C_DEF,"Sí"))</f>
        <v/>
      </c>
      <c r="AJ120" s="66" t="str">
        <f aca="false">IF(OR(B120="",N(AI120)&lt;=N(AH120)),"",IFERROR(INDEX(C_INI,MATCH(AG120&amp;"-P"&amp;(AH120+1),C_CLAVE,0)),""))</f>
        <v/>
      </c>
      <c r="AK120" s="63" t="str">
        <f aca="false">IF(O120&lt;&gt;"Activo","",Q120+N(K120)+IF(L120="Sí",MIN(GRAT_PCT*(Q120+N(K120)),GRAT_TOPE),0)+N(I120)+N(J120))</f>
        <v/>
      </c>
      <c r="AL120" s="63" t="str">
        <f aca="false">IF(O120&lt;&gt;"Activo","",MIN(AK120,TOPE_IAS_UF*UF_MES))</f>
        <v/>
      </c>
      <c r="AM120" s="62" t="str">
        <f aca="false">IF(AND(O120="Activo",ISNUMBER(V120),W120&lt;&gt;"Renovación registrada"),V120+ROW()/100000,"")</f>
        <v/>
      </c>
      <c r="AN120" s="70" t="str">
        <f aca="false">IF(OR(O120&lt;&gt;"Activo",NOT(ISNUMBER(U120))),"",IF(U120&lt;FECHA_CORTE,"",1.25*(DATEDIF(F120,U120+1,"m")+(U120+1-EDATE(F120,DATEDIF(F120,U120+1,"m")))/30)-Z120))</f>
        <v/>
      </c>
      <c r="AO120" s="66" t="str">
        <f aca="false">IF(OR(B120="",NOT(ISNUMBER(F120))),"",IF(N(G120)&gt;0,MIN(G120,FECHA_CORTE),FECHA_CORTE))</f>
        <v/>
      </c>
    </row>
    <row r="121" customFormat="false" ht="15" hidden="false" customHeight="false" outlineLevel="0" collapsed="false">
      <c r="B121" s="58"/>
      <c r="C121" s="58"/>
      <c r="D121" s="58"/>
      <c r="E121" s="58"/>
      <c r="F121" s="59"/>
      <c r="G121" s="59"/>
      <c r="H121" s="58"/>
      <c r="I121" s="60"/>
      <c r="J121" s="60"/>
      <c r="K121" s="60"/>
      <c r="L121" s="58"/>
      <c r="M121" s="61"/>
      <c r="N121" s="58"/>
      <c r="O121" s="62" t="str">
        <f aca="false">IF(B121="","",IF(NOT(ISNUMBER(F121)),"⚠ Falta ingreso",IF(F121&gt;FECHA_CORTE,"Por ingresar",IF(G121="","Activo",IF(G121&lt;FECHA_CORTE,"Desvinculado","Activo")))))</f>
        <v/>
      </c>
      <c r="P121" s="62" t="str">
        <f aca="false">IF(OR(B121="",NOT(ISNUMBER(F121))),"",IF(F121&gt;FECHA_CORTE,"",DATEDIF(F121,IF(G121="",FECHA_CORTE,MIN(G121,FECHA_CORTE))+1,"y")&amp;" a "&amp;DATEDIF(F121,IF(G121="",FECHA_CORTE,MIN(G121,FECHA_CORTE))+1,"ym")&amp;" m"))</f>
        <v/>
      </c>
      <c r="Q121" s="63" t="str">
        <f aca="false">IF(B121="","",IFERROR(INDEX(C_SUELDO,MATCH(AG121&amp;"-S"&amp;MAX(1,COUNTIFS(C_RUTN,AG121,C_SUELDO,"&lt;&gt;",C_INI,"&lt;="&amp;FECHA_CORTE)),C_CLAVES,0)),0))</f>
        <v/>
      </c>
      <c r="R121" s="62" t="str">
        <f aca="false">IF(B121="","",IF(N(AI121)=0,"Sin contrato",IFERROR(INDEX(C_TIPO,MATCH(AG121&amp;"-P"&amp;MAX(1,AH121),C_CLAVE,0))&amp;"","")))</f>
        <v/>
      </c>
      <c r="S121" s="64" t="str">
        <f aca="false">IF(R121="Plazo fijo",IFERROR(INDEX(C_NPF,MATCH(AG121&amp;"-P"&amp;MAX(1,AH121),C_CLAVE,0)),""),"")</f>
        <v/>
      </c>
      <c r="T121" s="65" t="str">
        <f aca="false">IF(B121="","",COUNTIFS(C_RUTN,AG121,C_TIPODOC,"Anexo de modificación"))</f>
        <v/>
      </c>
      <c r="U121" s="66" t="str">
        <f aca="false">IF(AND(OR(R121="Plazo fijo",R121="Obra o faena"),O121&lt;&gt;"Desvinculado"),IFERROR(IF(N(INDEX(C_TER,MATCH(AG121&amp;"-P"&amp;MAX(1,AH121),C_CLAVE,0)))=0,"",INDEX(C_TER,MATCH(AG121&amp;"-P"&amp;MAX(1,AH121),C_CLAVE,0))),""),"")</f>
        <v/>
      </c>
      <c r="V121" s="67" t="str">
        <f aca="false">IF(ISNUMBER(U121),U121-FECHA_CORTE,"")</f>
        <v/>
      </c>
      <c r="W121" s="62" t="str">
        <f aca="false">IF(B121="","",IF(O121="Desvinculado","Terminado",IF(N(AI121)=0,"Sin contrato registrado",IF(O121="Por ingresar","Por ingresar",IF(ISNUMBER(AJ121),"Renovación registrada",IF(R121="Indefinido","Indefinido",IF(NOT(ISNUMBER(V121)),"Falta fecha de término",IF(V121&lt;0,"VENCIDO",IF(V121&lt;=ALERTA_ROJA,"Vence en ≤ "&amp;ALERTA_ROJA&amp;" días",IF(V121&lt;=ALERTA_NARANJA,"Vence en ≤ "&amp;ALERTA_NARANJA&amp;" días",IF(V121&lt;=ALERTA_AMARILLA,"Vence en ≤ "&amp;ALERTA_AMARILLA&amp;" días","Vigente")))))))))))</f>
        <v/>
      </c>
      <c r="X121" s="62" t="str">
        <f aca="false">IF(B121="","",IF(W121="Terminado","—",IF(W121="Sin contrato registrado","Registrar su contrato en la hoja Contratos",IF(W121="Por ingresar","Tener el contrato firmado antes del ingreso",IF(W121="Renovación registrada","Siguiente contrato ya registrado: verificar que esté firmado",IF(R121="Indefinido","Sin vencimiento. Cambios de sueldo o cargo: anexo de modificación",IF(W121="Falta fecha de término","Completar la fecha de término en Contratos",IF(W121="VENCIDO","Sigue trabajando con plazo vencido: por ley ya es INDEFINIDO. Firmar anexo de paso a indefinido",IF(R121="Obra o faena","Al terminar la obra: finiquito + 2,5 días de sueldo por mes trabajado",IF(N(S121)&gt;=2,"2° contrato a plazo: NO se puede renovar otra vez a plazo fijo. Pasar a indefinido o terminar al vencer","1er contrato a plazo: renovar (2° contrato), pasar a indefinido o terminar al vencer"))))))))))</f>
        <v/>
      </c>
      <c r="Y121" s="68" t="str">
        <f aca="false">IF(O121&lt;&gt;"Activo","",ROUND(1.25*(DATEDIF(F121,AO121+1,"m")+(AO121+1-EDATE(F121,DATEDIF(F121,AO121+1,"m")))/30),2))</f>
        <v/>
      </c>
      <c r="Z121" s="68" t="str">
        <f aca="false">IF(O121&lt;&gt;"Activo","",N(M121)+SUMIFS(M_VAC,M_RUTN,AG121,M_MES,"&lt;="&amp;FECHA_CORTE))</f>
        <v/>
      </c>
      <c r="AA121" s="68" t="str">
        <f aca="false">IF(O121&lt;&gt;"Activo","",Y121-Z121)</f>
        <v/>
      </c>
      <c r="AB121" s="63" t="str">
        <f aca="false">IF(O121&lt;&gt;"Activo","",ROUND(MAX(0,IF(AA121&lt;=0,0,WORKDAY(FECHA_CORTE,INT(AA121),FERIADOS)-FECHA_CORTE+(AA121-INT(AA121))))*(Q121+N(K121))/30,0))</f>
        <v/>
      </c>
      <c r="AC121" s="65" t="str">
        <f aca="false">IF(O121&lt;&gt;"Activo","",IF(DATEDIF(F121,FECHA_CORTE+1,"y")&lt;1,0,MIN(TOPE_ANIOS,DATEDIF(F121,FECHA_CORTE+1,"y")+IF(EDATE(F121,12*DATEDIF(F121,FECHA_CORTE+1,"y")+6)&lt;FECHA_CORTE+1,1,0))))</f>
        <v/>
      </c>
      <c r="AD121" s="69" t="str">
        <f aca="false">IF(O121&lt;&gt;"Activo","",AB121+IF(R121="Obra o faena",0,ROUND(AL121*AC121,0)+ROUND(AL121,0)))</f>
        <v/>
      </c>
      <c r="AE121" s="69" t="str">
        <f aca="false">IF(O121&lt;&gt;"Activo","",AB121)</f>
        <v/>
      </c>
      <c r="AF121" s="69" t="str">
        <f aca="false">IF(AN121="","",IF(ISNUMBER(AJ121),"",ROUND(MAX(0,IF(AN121&lt;=0,0,WORKDAY(U121,INT(AN121),FERIADOS)-U121+(AN121-INT(AN121))))*(Q121+N(K121))/30,0)+IF(R121="Obra o faena",ROUND(OBRA_DIAS*AL121/30*(DATEDIF(F121,U121+1,"m")+IF(U121+1-EDATE(F121,DATEDIF(F121,U121+1,"m"))&gt;15,1,0)),0),0)))</f>
        <v/>
      </c>
      <c r="AG121" s="62" t="str">
        <f aca="false">IF(B121="","",IFERROR(VALUE(LEFT(UPPER(SUBSTITUTE(SUBSTITUTE(SUBSTITUTE(TRIM(B121),".",""),"-","")," ","")),LEN(UPPER(SUBSTITUTE(SUBSTITUTE(SUBSTITUTE(TRIM(B121),".",""),"-","")," ","")))-1))&amp;RIGHT(UPPER(SUBSTITUTE(SUBSTITUTE(SUBSTITUTE(TRIM(B121),".",""),"-","")," ","")),1),UPPER(SUBSTITUTE(SUBSTITUTE(SUBSTITUTE(TRIM(B121),".",""),"-","")," ",""))))</f>
        <v/>
      </c>
      <c r="AH121" s="62" t="str">
        <f aca="false">IF(B121="","",COUNTIFS(C_RUTN,AG121,C_DEF,"Sí",C_INI,"&lt;="&amp;FECHA_CORTE))</f>
        <v/>
      </c>
      <c r="AI121" s="62" t="str">
        <f aca="false">IF(B121="","",COUNTIFS(C_RUTN,AG121,C_DEF,"Sí"))</f>
        <v/>
      </c>
      <c r="AJ121" s="66" t="str">
        <f aca="false">IF(OR(B121="",N(AI121)&lt;=N(AH121)),"",IFERROR(INDEX(C_INI,MATCH(AG121&amp;"-P"&amp;(AH121+1),C_CLAVE,0)),""))</f>
        <v/>
      </c>
      <c r="AK121" s="63" t="str">
        <f aca="false">IF(O121&lt;&gt;"Activo","",Q121+N(K121)+IF(L121="Sí",MIN(GRAT_PCT*(Q121+N(K121)),GRAT_TOPE),0)+N(I121)+N(J121))</f>
        <v/>
      </c>
      <c r="AL121" s="63" t="str">
        <f aca="false">IF(O121&lt;&gt;"Activo","",MIN(AK121,TOPE_IAS_UF*UF_MES))</f>
        <v/>
      </c>
      <c r="AM121" s="62" t="str">
        <f aca="false">IF(AND(O121="Activo",ISNUMBER(V121),W121&lt;&gt;"Renovación registrada"),V121+ROW()/100000,"")</f>
        <v/>
      </c>
      <c r="AN121" s="70" t="str">
        <f aca="false">IF(OR(O121&lt;&gt;"Activo",NOT(ISNUMBER(U121))),"",IF(U121&lt;FECHA_CORTE,"",1.25*(DATEDIF(F121,U121+1,"m")+(U121+1-EDATE(F121,DATEDIF(F121,U121+1,"m")))/30)-Z121))</f>
        <v/>
      </c>
      <c r="AO121" s="66" t="str">
        <f aca="false">IF(OR(B121="",NOT(ISNUMBER(F121))),"",IF(N(G121)&gt;0,MIN(G121,FECHA_CORTE),FECHA_CORTE))</f>
        <v/>
      </c>
    </row>
    <row r="122" customFormat="false" ht="15" hidden="false" customHeight="false" outlineLevel="0" collapsed="false">
      <c r="B122" s="58"/>
      <c r="C122" s="58"/>
      <c r="D122" s="58"/>
      <c r="E122" s="58"/>
      <c r="F122" s="59"/>
      <c r="G122" s="59"/>
      <c r="H122" s="58"/>
      <c r="I122" s="60"/>
      <c r="J122" s="60"/>
      <c r="K122" s="60"/>
      <c r="L122" s="58"/>
      <c r="M122" s="61"/>
      <c r="N122" s="58"/>
      <c r="O122" s="62" t="str">
        <f aca="false">IF(B122="","",IF(NOT(ISNUMBER(F122)),"⚠ Falta ingreso",IF(F122&gt;FECHA_CORTE,"Por ingresar",IF(G122="","Activo",IF(G122&lt;FECHA_CORTE,"Desvinculado","Activo")))))</f>
        <v/>
      </c>
      <c r="P122" s="62" t="str">
        <f aca="false">IF(OR(B122="",NOT(ISNUMBER(F122))),"",IF(F122&gt;FECHA_CORTE,"",DATEDIF(F122,IF(G122="",FECHA_CORTE,MIN(G122,FECHA_CORTE))+1,"y")&amp;" a "&amp;DATEDIF(F122,IF(G122="",FECHA_CORTE,MIN(G122,FECHA_CORTE))+1,"ym")&amp;" m"))</f>
        <v/>
      </c>
      <c r="Q122" s="63" t="str">
        <f aca="false">IF(B122="","",IFERROR(INDEX(C_SUELDO,MATCH(AG122&amp;"-S"&amp;MAX(1,COUNTIFS(C_RUTN,AG122,C_SUELDO,"&lt;&gt;",C_INI,"&lt;="&amp;FECHA_CORTE)),C_CLAVES,0)),0))</f>
        <v/>
      </c>
      <c r="R122" s="62" t="str">
        <f aca="false">IF(B122="","",IF(N(AI122)=0,"Sin contrato",IFERROR(INDEX(C_TIPO,MATCH(AG122&amp;"-P"&amp;MAX(1,AH122),C_CLAVE,0))&amp;"","")))</f>
        <v/>
      </c>
      <c r="S122" s="64" t="str">
        <f aca="false">IF(R122="Plazo fijo",IFERROR(INDEX(C_NPF,MATCH(AG122&amp;"-P"&amp;MAX(1,AH122),C_CLAVE,0)),""),"")</f>
        <v/>
      </c>
      <c r="T122" s="65" t="str">
        <f aca="false">IF(B122="","",COUNTIFS(C_RUTN,AG122,C_TIPODOC,"Anexo de modificación"))</f>
        <v/>
      </c>
      <c r="U122" s="66" t="str">
        <f aca="false">IF(AND(OR(R122="Plazo fijo",R122="Obra o faena"),O122&lt;&gt;"Desvinculado"),IFERROR(IF(N(INDEX(C_TER,MATCH(AG122&amp;"-P"&amp;MAX(1,AH122),C_CLAVE,0)))=0,"",INDEX(C_TER,MATCH(AG122&amp;"-P"&amp;MAX(1,AH122),C_CLAVE,0))),""),"")</f>
        <v/>
      </c>
      <c r="V122" s="67" t="str">
        <f aca="false">IF(ISNUMBER(U122),U122-FECHA_CORTE,"")</f>
        <v/>
      </c>
      <c r="W122" s="62" t="str">
        <f aca="false">IF(B122="","",IF(O122="Desvinculado","Terminado",IF(N(AI122)=0,"Sin contrato registrado",IF(O122="Por ingresar","Por ingresar",IF(ISNUMBER(AJ122),"Renovación registrada",IF(R122="Indefinido","Indefinido",IF(NOT(ISNUMBER(V122)),"Falta fecha de término",IF(V122&lt;0,"VENCIDO",IF(V122&lt;=ALERTA_ROJA,"Vence en ≤ "&amp;ALERTA_ROJA&amp;" días",IF(V122&lt;=ALERTA_NARANJA,"Vence en ≤ "&amp;ALERTA_NARANJA&amp;" días",IF(V122&lt;=ALERTA_AMARILLA,"Vence en ≤ "&amp;ALERTA_AMARILLA&amp;" días","Vigente")))))))))))</f>
        <v/>
      </c>
      <c r="X122" s="62" t="str">
        <f aca="false">IF(B122="","",IF(W122="Terminado","—",IF(W122="Sin contrato registrado","Registrar su contrato en la hoja Contratos",IF(W122="Por ingresar","Tener el contrato firmado antes del ingreso",IF(W122="Renovación registrada","Siguiente contrato ya registrado: verificar que esté firmado",IF(R122="Indefinido","Sin vencimiento. Cambios de sueldo o cargo: anexo de modificación",IF(W122="Falta fecha de término","Completar la fecha de término en Contratos",IF(W122="VENCIDO","Sigue trabajando con plazo vencido: por ley ya es INDEFINIDO. Firmar anexo de paso a indefinido",IF(R122="Obra o faena","Al terminar la obra: finiquito + 2,5 días de sueldo por mes trabajado",IF(N(S122)&gt;=2,"2° contrato a plazo: NO se puede renovar otra vez a plazo fijo. Pasar a indefinido o terminar al vencer","1er contrato a plazo: renovar (2° contrato), pasar a indefinido o terminar al vencer"))))))))))</f>
        <v/>
      </c>
      <c r="Y122" s="68" t="str">
        <f aca="false">IF(O122&lt;&gt;"Activo","",ROUND(1.25*(DATEDIF(F122,AO122+1,"m")+(AO122+1-EDATE(F122,DATEDIF(F122,AO122+1,"m")))/30),2))</f>
        <v/>
      </c>
      <c r="Z122" s="68" t="str">
        <f aca="false">IF(O122&lt;&gt;"Activo","",N(M122)+SUMIFS(M_VAC,M_RUTN,AG122,M_MES,"&lt;="&amp;FECHA_CORTE))</f>
        <v/>
      </c>
      <c r="AA122" s="68" t="str">
        <f aca="false">IF(O122&lt;&gt;"Activo","",Y122-Z122)</f>
        <v/>
      </c>
      <c r="AB122" s="63" t="str">
        <f aca="false">IF(O122&lt;&gt;"Activo","",ROUND(MAX(0,IF(AA122&lt;=0,0,WORKDAY(FECHA_CORTE,INT(AA122),FERIADOS)-FECHA_CORTE+(AA122-INT(AA122))))*(Q122+N(K122))/30,0))</f>
        <v/>
      </c>
      <c r="AC122" s="65" t="str">
        <f aca="false">IF(O122&lt;&gt;"Activo","",IF(DATEDIF(F122,FECHA_CORTE+1,"y")&lt;1,0,MIN(TOPE_ANIOS,DATEDIF(F122,FECHA_CORTE+1,"y")+IF(EDATE(F122,12*DATEDIF(F122,FECHA_CORTE+1,"y")+6)&lt;FECHA_CORTE+1,1,0))))</f>
        <v/>
      </c>
      <c r="AD122" s="69" t="str">
        <f aca="false">IF(O122&lt;&gt;"Activo","",AB122+IF(R122="Obra o faena",0,ROUND(AL122*AC122,0)+ROUND(AL122,0)))</f>
        <v/>
      </c>
      <c r="AE122" s="69" t="str">
        <f aca="false">IF(O122&lt;&gt;"Activo","",AB122)</f>
        <v/>
      </c>
      <c r="AF122" s="69" t="str">
        <f aca="false">IF(AN122="","",IF(ISNUMBER(AJ122),"",ROUND(MAX(0,IF(AN122&lt;=0,0,WORKDAY(U122,INT(AN122),FERIADOS)-U122+(AN122-INT(AN122))))*(Q122+N(K122))/30,0)+IF(R122="Obra o faena",ROUND(OBRA_DIAS*AL122/30*(DATEDIF(F122,U122+1,"m")+IF(U122+1-EDATE(F122,DATEDIF(F122,U122+1,"m"))&gt;15,1,0)),0),0)))</f>
        <v/>
      </c>
      <c r="AG122" s="62" t="str">
        <f aca="false">IF(B122="","",IFERROR(VALUE(LEFT(UPPER(SUBSTITUTE(SUBSTITUTE(SUBSTITUTE(TRIM(B122),".",""),"-","")," ","")),LEN(UPPER(SUBSTITUTE(SUBSTITUTE(SUBSTITUTE(TRIM(B122),".",""),"-","")," ","")))-1))&amp;RIGHT(UPPER(SUBSTITUTE(SUBSTITUTE(SUBSTITUTE(TRIM(B122),".",""),"-","")," ","")),1),UPPER(SUBSTITUTE(SUBSTITUTE(SUBSTITUTE(TRIM(B122),".",""),"-","")," ",""))))</f>
        <v/>
      </c>
      <c r="AH122" s="62" t="str">
        <f aca="false">IF(B122="","",COUNTIFS(C_RUTN,AG122,C_DEF,"Sí",C_INI,"&lt;="&amp;FECHA_CORTE))</f>
        <v/>
      </c>
      <c r="AI122" s="62" t="str">
        <f aca="false">IF(B122="","",COUNTIFS(C_RUTN,AG122,C_DEF,"Sí"))</f>
        <v/>
      </c>
      <c r="AJ122" s="66" t="str">
        <f aca="false">IF(OR(B122="",N(AI122)&lt;=N(AH122)),"",IFERROR(INDEX(C_INI,MATCH(AG122&amp;"-P"&amp;(AH122+1),C_CLAVE,0)),""))</f>
        <v/>
      </c>
      <c r="AK122" s="63" t="str">
        <f aca="false">IF(O122&lt;&gt;"Activo","",Q122+N(K122)+IF(L122="Sí",MIN(GRAT_PCT*(Q122+N(K122)),GRAT_TOPE),0)+N(I122)+N(J122))</f>
        <v/>
      </c>
      <c r="AL122" s="63" t="str">
        <f aca="false">IF(O122&lt;&gt;"Activo","",MIN(AK122,TOPE_IAS_UF*UF_MES))</f>
        <v/>
      </c>
      <c r="AM122" s="62" t="str">
        <f aca="false">IF(AND(O122="Activo",ISNUMBER(V122),W122&lt;&gt;"Renovación registrada"),V122+ROW()/100000,"")</f>
        <v/>
      </c>
      <c r="AN122" s="70" t="str">
        <f aca="false">IF(OR(O122&lt;&gt;"Activo",NOT(ISNUMBER(U122))),"",IF(U122&lt;FECHA_CORTE,"",1.25*(DATEDIF(F122,U122+1,"m")+(U122+1-EDATE(F122,DATEDIF(F122,U122+1,"m")))/30)-Z122))</f>
        <v/>
      </c>
      <c r="AO122" s="66" t="str">
        <f aca="false">IF(OR(B122="",NOT(ISNUMBER(F122))),"",IF(N(G122)&gt;0,MIN(G122,FECHA_CORTE),FECHA_CORTE))</f>
        <v/>
      </c>
    </row>
    <row r="123" customFormat="false" ht="15" hidden="false" customHeight="false" outlineLevel="0" collapsed="false">
      <c r="B123" s="58"/>
      <c r="C123" s="58"/>
      <c r="D123" s="58"/>
      <c r="E123" s="58"/>
      <c r="F123" s="59"/>
      <c r="G123" s="59"/>
      <c r="H123" s="58"/>
      <c r="I123" s="60"/>
      <c r="J123" s="60"/>
      <c r="K123" s="60"/>
      <c r="L123" s="58"/>
      <c r="M123" s="61"/>
      <c r="N123" s="58"/>
      <c r="O123" s="62" t="str">
        <f aca="false">IF(B123="","",IF(NOT(ISNUMBER(F123)),"⚠ Falta ingreso",IF(F123&gt;FECHA_CORTE,"Por ingresar",IF(G123="","Activo",IF(G123&lt;FECHA_CORTE,"Desvinculado","Activo")))))</f>
        <v/>
      </c>
      <c r="P123" s="62" t="str">
        <f aca="false">IF(OR(B123="",NOT(ISNUMBER(F123))),"",IF(F123&gt;FECHA_CORTE,"",DATEDIF(F123,IF(G123="",FECHA_CORTE,MIN(G123,FECHA_CORTE))+1,"y")&amp;" a "&amp;DATEDIF(F123,IF(G123="",FECHA_CORTE,MIN(G123,FECHA_CORTE))+1,"ym")&amp;" m"))</f>
        <v/>
      </c>
      <c r="Q123" s="63" t="str">
        <f aca="false">IF(B123="","",IFERROR(INDEX(C_SUELDO,MATCH(AG123&amp;"-S"&amp;MAX(1,COUNTIFS(C_RUTN,AG123,C_SUELDO,"&lt;&gt;",C_INI,"&lt;="&amp;FECHA_CORTE)),C_CLAVES,0)),0))</f>
        <v/>
      </c>
      <c r="R123" s="62" t="str">
        <f aca="false">IF(B123="","",IF(N(AI123)=0,"Sin contrato",IFERROR(INDEX(C_TIPO,MATCH(AG123&amp;"-P"&amp;MAX(1,AH123),C_CLAVE,0))&amp;"","")))</f>
        <v/>
      </c>
      <c r="S123" s="64" t="str">
        <f aca="false">IF(R123="Plazo fijo",IFERROR(INDEX(C_NPF,MATCH(AG123&amp;"-P"&amp;MAX(1,AH123),C_CLAVE,0)),""),"")</f>
        <v/>
      </c>
      <c r="T123" s="65" t="str">
        <f aca="false">IF(B123="","",COUNTIFS(C_RUTN,AG123,C_TIPODOC,"Anexo de modificación"))</f>
        <v/>
      </c>
      <c r="U123" s="66" t="str">
        <f aca="false">IF(AND(OR(R123="Plazo fijo",R123="Obra o faena"),O123&lt;&gt;"Desvinculado"),IFERROR(IF(N(INDEX(C_TER,MATCH(AG123&amp;"-P"&amp;MAX(1,AH123),C_CLAVE,0)))=0,"",INDEX(C_TER,MATCH(AG123&amp;"-P"&amp;MAX(1,AH123),C_CLAVE,0))),""),"")</f>
        <v/>
      </c>
      <c r="V123" s="67" t="str">
        <f aca="false">IF(ISNUMBER(U123),U123-FECHA_CORTE,"")</f>
        <v/>
      </c>
      <c r="W123" s="62" t="str">
        <f aca="false">IF(B123="","",IF(O123="Desvinculado","Terminado",IF(N(AI123)=0,"Sin contrato registrado",IF(O123="Por ingresar","Por ingresar",IF(ISNUMBER(AJ123),"Renovación registrada",IF(R123="Indefinido","Indefinido",IF(NOT(ISNUMBER(V123)),"Falta fecha de término",IF(V123&lt;0,"VENCIDO",IF(V123&lt;=ALERTA_ROJA,"Vence en ≤ "&amp;ALERTA_ROJA&amp;" días",IF(V123&lt;=ALERTA_NARANJA,"Vence en ≤ "&amp;ALERTA_NARANJA&amp;" días",IF(V123&lt;=ALERTA_AMARILLA,"Vence en ≤ "&amp;ALERTA_AMARILLA&amp;" días","Vigente")))))))))))</f>
        <v/>
      </c>
      <c r="X123" s="62" t="str">
        <f aca="false">IF(B123="","",IF(W123="Terminado","—",IF(W123="Sin contrato registrado","Registrar su contrato en la hoja Contratos",IF(W123="Por ingresar","Tener el contrato firmado antes del ingreso",IF(W123="Renovación registrada","Siguiente contrato ya registrado: verificar que esté firmado",IF(R123="Indefinido","Sin vencimiento. Cambios de sueldo o cargo: anexo de modificación",IF(W123="Falta fecha de término","Completar la fecha de término en Contratos",IF(W123="VENCIDO","Sigue trabajando con plazo vencido: por ley ya es INDEFINIDO. Firmar anexo de paso a indefinido",IF(R123="Obra o faena","Al terminar la obra: finiquito + 2,5 días de sueldo por mes trabajado",IF(N(S123)&gt;=2,"2° contrato a plazo: NO se puede renovar otra vez a plazo fijo. Pasar a indefinido o terminar al vencer","1er contrato a plazo: renovar (2° contrato), pasar a indefinido o terminar al vencer"))))))))))</f>
        <v/>
      </c>
      <c r="Y123" s="68" t="str">
        <f aca="false">IF(O123&lt;&gt;"Activo","",ROUND(1.25*(DATEDIF(F123,AO123+1,"m")+(AO123+1-EDATE(F123,DATEDIF(F123,AO123+1,"m")))/30),2))</f>
        <v/>
      </c>
      <c r="Z123" s="68" t="str">
        <f aca="false">IF(O123&lt;&gt;"Activo","",N(M123)+SUMIFS(M_VAC,M_RUTN,AG123,M_MES,"&lt;="&amp;FECHA_CORTE))</f>
        <v/>
      </c>
      <c r="AA123" s="68" t="str">
        <f aca="false">IF(O123&lt;&gt;"Activo","",Y123-Z123)</f>
        <v/>
      </c>
      <c r="AB123" s="63" t="str">
        <f aca="false">IF(O123&lt;&gt;"Activo","",ROUND(MAX(0,IF(AA123&lt;=0,0,WORKDAY(FECHA_CORTE,INT(AA123),FERIADOS)-FECHA_CORTE+(AA123-INT(AA123))))*(Q123+N(K123))/30,0))</f>
        <v/>
      </c>
      <c r="AC123" s="65" t="str">
        <f aca="false">IF(O123&lt;&gt;"Activo","",IF(DATEDIF(F123,FECHA_CORTE+1,"y")&lt;1,0,MIN(TOPE_ANIOS,DATEDIF(F123,FECHA_CORTE+1,"y")+IF(EDATE(F123,12*DATEDIF(F123,FECHA_CORTE+1,"y")+6)&lt;FECHA_CORTE+1,1,0))))</f>
        <v/>
      </c>
      <c r="AD123" s="69" t="str">
        <f aca="false">IF(O123&lt;&gt;"Activo","",AB123+IF(R123="Obra o faena",0,ROUND(AL123*AC123,0)+ROUND(AL123,0)))</f>
        <v/>
      </c>
      <c r="AE123" s="69" t="str">
        <f aca="false">IF(O123&lt;&gt;"Activo","",AB123)</f>
        <v/>
      </c>
      <c r="AF123" s="69" t="str">
        <f aca="false">IF(AN123="","",IF(ISNUMBER(AJ123),"",ROUND(MAX(0,IF(AN123&lt;=0,0,WORKDAY(U123,INT(AN123),FERIADOS)-U123+(AN123-INT(AN123))))*(Q123+N(K123))/30,0)+IF(R123="Obra o faena",ROUND(OBRA_DIAS*AL123/30*(DATEDIF(F123,U123+1,"m")+IF(U123+1-EDATE(F123,DATEDIF(F123,U123+1,"m"))&gt;15,1,0)),0),0)))</f>
        <v/>
      </c>
      <c r="AG123" s="62" t="str">
        <f aca="false">IF(B123="","",IFERROR(VALUE(LEFT(UPPER(SUBSTITUTE(SUBSTITUTE(SUBSTITUTE(TRIM(B123),".",""),"-","")," ","")),LEN(UPPER(SUBSTITUTE(SUBSTITUTE(SUBSTITUTE(TRIM(B123),".",""),"-","")," ","")))-1))&amp;RIGHT(UPPER(SUBSTITUTE(SUBSTITUTE(SUBSTITUTE(TRIM(B123),".",""),"-","")," ","")),1),UPPER(SUBSTITUTE(SUBSTITUTE(SUBSTITUTE(TRIM(B123),".",""),"-","")," ",""))))</f>
        <v/>
      </c>
      <c r="AH123" s="62" t="str">
        <f aca="false">IF(B123="","",COUNTIFS(C_RUTN,AG123,C_DEF,"Sí",C_INI,"&lt;="&amp;FECHA_CORTE))</f>
        <v/>
      </c>
      <c r="AI123" s="62" t="str">
        <f aca="false">IF(B123="","",COUNTIFS(C_RUTN,AG123,C_DEF,"Sí"))</f>
        <v/>
      </c>
      <c r="AJ123" s="66" t="str">
        <f aca="false">IF(OR(B123="",N(AI123)&lt;=N(AH123)),"",IFERROR(INDEX(C_INI,MATCH(AG123&amp;"-P"&amp;(AH123+1),C_CLAVE,0)),""))</f>
        <v/>
      </c>
      <c r="AK123" s="63" t="str">
        <f aca="false">IF(O123&lt;&gt;"Activo","",Q123+N(K123)+IF(L123="Sí",MIN(GRAT_PCT*(Q123+N(K123)),GRAT_TOPE),0)+N(I123)+N(J123))</f>
        <v/>
      </c>
      <c r="AL123" s="63" t="str">
        <f aca="false">IF(O123&lt;&gt;"Activo","",MIN(AK123,TOPE_IAS_UF*UF_MES))</f>
        <v/>
      </c>
      <c r="AM123" s="62" t="str">
        <f aca="false">IF(AND(O123="Activo",ISNUMBER(V123),W123&lt;&gt;"Renovación registrada"),V123+ROW()/100000,"")</f>
        <v/>
      </c>
      <c r="AN123" s="70" t="str">
        <f aca="false">IF(OR(O123&lt;&gt;"Activo",NOT(ISNUMBER(U123))),"",IF(U123&lt;FECHA_CORTE,"",1.25*(DATEDIF(F123,U123+1,"m")+(U123+1-EDATE(F123,DATEDIF(F123,U123+1,"m")))/30)-Z123))</f>
        <v/>
      </c>
      <c r="AO123" s="66" t="str">
        <f aca="false">IF(OR(B123="",NOT(ISNUMBER(F123))),"",IF(N(G123)&gt;0,MIN(G123,FECHA_CORTE),FECHA_CORTE))</f>
        <v/>
      </c>
    </row>
    <row r="124" customFormat="false" ht="15" hidden="false" customHeight="false" outlineLevel="0" collapsed="false">
      <c r="B124" s="58"/>
      <c r="C124" s="58"/>
      <c r="D124" s="58"/>
      <c r="E124" s="58"/>
      <c r="F124" s="59"/>
      <c r="G124" s="59"/>
      <c r="H124" s="58"/>
      <c r="I124" s="60"/>
      <c r="J124" s="60"/>
      <c r="K124" s="60"/>
      <c r="L124" s="58"/>
      <c r="M124" s="61"/>
      <c r="N124" s="58"/>
      <c r="O124" s="62" t="str">
        <f aca="false">IF(B124="","",IF(NOT(ISNUMBER(F124)),"⚠ Falta ingreso",IF(F124&gt;FECHA_CORTE,"Por ingresar",IF(G124="","Activo",IF(G124&lt;FECHA_CORTE,"Desvinculado","Activo")))))</f>
        <v/>
      </c>
      <c r="P124" s="62" t="str">
        <f aca="false">IF(OR(B124="",NOT(ISNUMBER(F124))),"",IF(F124&gt;FECHA_CORTE,"",DATEDIF(F124,IF(G124="",FECHA_CORTE,MIN(G124,FECHA_CORTE))+1,"y")&amp;" a "&amp;DATEDIF(F124,IF(G124="",FECHA_CORTE,MIN(G124,FECHA_CORTE))+1,"ym")&amp;" m"))</f>
        <v/>
      </c>
      <c r="Q124" s="63" t="str">
        <f aca="false">IF(B124="","",IFERROR(INDEX(C_SUELDO,MATCH(AG124&amp;"-S"&amp;MAX(1,COUNTIFS(C_RUTN,AG124,C_SUELDO,"&lt;&gt;",C_INI,"&lt;="&amp;FECHA_CORTE)),C_CLAVES,0)),0))</f>
        <v/>
      </c>
      <c r="R124" s="62" t="str">
        <f aca="false">IF(B124="","",IF(N(AI124)=0,"Sin contrato",IFERROR(INDEX(C_TIPO,MATCH(AG124&amp;"-P"&amp;MAX(1,AH124),C_CLAVE,0))&amp;"","")))</f>
        <v/>
      </c>
      <c r="S124" s="64" t="str">
        <f aca="false">IF(R124="Plazo fijo",IFERROR(INDEX(C_NPF,MATCH(AG124&amp;"-P"&amp;MAX(1,AH124),C_CLAVE,0)),""),"")</f>
        <v/>
      </c>
      <c r="T124" s="65" t="str">
        <f aca="false">IF(B124="","",COUNTIFS(C_RUTN,AG124,C_TIPODOC,"Anexo de modificación"))</f>
        <v/>
      </c>
      <c r="U124" s="66" t="str">
        <f aca="false">IF(AND(OR(R124="Plazo fijo",R124="Obra o faena"),O124&lt;&gt;"Desvinculado"),IFERROR(IF(N(INDEX(C_TER,MATCH(AG124&amp;"-P"&amp;MAX(1,AH124),C_CLAVE,0)))=0,"",INDEX(C_TER,MATCH(AG124&amp;"-P"&amp;MAX(1,AH124),C_CLAVE,0))),""),"")</f>
        <v/>
      </c>
      <c r="V124" s="67" t="str">
        <f aca="false">IF(ISNUMBER(U124),U124-FECHA_CORTE,"")</f>
        <v/>
      </c>
      <c r="W124" s="62" t="str">
        <f aca="false">IF(B124="","",IF(O124="Desvinculado","Terminado",IF(N(AI124)=0,"Sin contrato registrado",IF(O124="Por ingresar","Por ingresar",IF(ISNUMBER(AJ124),"Renovación registrada",IF(R124="Indefinido","Indefinido",IF(NOT(ISNUMBER(V124)),"Falta fecha de término",IF(V124&lt;0,"VENCIDO",IF(V124&lt;=ALERTA_ROJA,"Vence en ≤ "&amp;ALERTA_ROJA&amp;" días",IF(V124&lt;=ALERTA_NARANJA,"Vence en ≤ "&amp;ALERTA_NARANJA&amp;" días",IF(V124&lt;=ALERTA_AMARILLA,"Vence en ≤ "&amp;ALERTA_AMARILLA&amp;" días","Vigente")))))))))))</f>
        <v/>
      </c>
      <c r="X124" s="62" t="str">
        <f aca="false">IF(B124="","",IF(W124="Terminado","—",IF(W124="Sin contrato registrado","Registrar su contrato en la hoja Contratos",IF(W124="Por ingresar","Tener el contrato firmado antes del ingreso",IF(W124="Renovación registrada","Siguiente contrato ya registrado: verificar que esté firmado",IF(R124="Indefinido","Sin vencimiento. Cambios de sueldo o cargo: anexo de modificación",IF(W124="Falta fecha de término","Completar la fecha de término en Contratos",IF(W124="VENCIDO","Sigue trabajando con plazo vencido: por ley ya es INDEFINIDO. Firmar anexo de paso a indefinido",IF(R124="Obra o faena","Al terminar la obra: finiquito + 2,5 días de sueldo por mes trabajado",IF(N(S124)&gt;=2,"2° contrato a plazo: NO se puede renovar otra vez a plazo fijo. Pasar a indefinido o terminar al vencer","1er contrato a plazo: renovar (2° contrato), pasar a indefinido o terminar al vencer"))))))))))</f>
        <v/>
      </c>
      <c r="Y124" s="68" t="str">
        <f aca="false">IF(O124&lt;&gt;"Activo","",ROUND(1.25*(DATEDIF(F124,AO124+1,"m")+(AO124+1-EDATE(F124,DATEDIF(F124,AO124+1,"m")))/30),2))</f>
        <v/>
      </c>
      <c r="Z124" s="68" t="str">
        <f aca="false">IF(O124&lt;&gt;"Activo","",N(M124)+SUMIFS(M_VAC,M_RUTN,AG124,M_MES,"&lt;="&amp;FECHA_CORTE))</f>
        <v/>
      </c>
      <c r="AA124" s="68" t="str">
        <f aca="false">IF(O124&lt;&gt;"Activo","",Y124-Z124)</f>
        <v/>
      </c>
      <c r="AB124" s="63" t="str">
        <f aca="false">IF(O124&lt;&gt;"Activo","",ROUND(MAX(0,IF(AA124&lt;=0,0,WORKDAY(FECHA_CORTE,INT(AA124),FERIADOS)-FECHA_CORTE+(AA124-INT(AA124))))*(Q124+N(K124))/30,0))</f>
        <v/>
      </c>
      <c r="AC124" s="65" t="str">
        <f aca="false">IF(O124&lt;&gt;"Activo","",IF(DATEDIF(F124,FECHA_CORTE+1,"y")&lt;1,0,MIN(TOPE_ANIOS,DATEDIF(F124,FECHA_CORTE+1,"y")+IF(EDATE(F124,12*DATEDIF(F124,FECHA_CORTE+1,"y")+6)&lt;FECHA_CORTE+1,1,0))))</f>
        <v/>
      </c>
      <c r="AD124" s="69" t="str">
        <f aca="false">IF(O124&lt;&gt;"Activo","",AB124+IF(R124="Obra o faena",0,ROUND(AL124*AC124,0)+ROUND(AL124,0)))</f>
        <v/>
      </c>
      <c r="AE124" s="69" t="str">
        <f aca="false">IF(O124&lt;&gt;"Activo","",AB124)</f>
        <v/>
      </c>
      <c r="AF124" s="69" t="str">
        <f aca="false">IF(AN124="","",IF(ISNUMBER(AJ124),"",ROUND(MAX(0,IF(AN124&lt;=0,0,WORKDAY(U124,INT(AN124),FERIADOS)-U124+(AN124-INT(AN124))))*(Q124+N(K124))/30,0)+IF(R124="Obra o faena",ROUND(OBRA_DIAS*AL124/30*(DATEDIF(F124,U124+1,"m")+IF(U124+1-EDATE(F124,DATEDIF(F124,U124+1,"m"))&gt;15,1,0)),0),0)))</f>
        <v/>
      </c>
      <c r="AG124" s="62" t="str">
        <f aca="false">IF(B124="","",IFERROR(VALUE(LEFT(UPPER(SUBSTITUTE(SUBSTITUTE(SUBSTITUTE(TRIM(B124),".",""),"-","")," ","")),LEN(UPPER(SUBSTITUTE(SUBSTITUTE(SUBSTITUTE(TRIM(B124),".",""),"-","")," ","")))-1))&amp;RIGHT(UPPER(SUBSTITUTE(SUBSTITUTE(SUBSTITUTE(TRIM(B124),".",""),"-","")," ","")),1),UPPER(SUBSTITUTE(SUBSTITUTE(SUBSTITUTE(TRIM(B124),".",""),"-","")," ",""))))</f>
        <v/>
      </c>
      <c r="AH124" s="62" t="str">
        <f aca="false">IF(B124="","",COUNTIFS(C_RUTN,AG124,C_DEF,"Sí",C_INI,"&lt;="&amp;FECHA_CORTE))</f>
        <v/>
      </c>
      <c r="AI124" s="62" t="str">
        <f aca="false">IF(B124="","",COUNTIFS(C_RUTN,AG124,C_DEF,"Sí"))</f>
        <v/>
      </c>
      <c r="AJ124" s="66" t="str">
        <f aca="false">IF(OR(B124="",N(AI124)&lt;=N(AH124)),"",IFERROR(INDEX(C_INI,MATCH(AG124&amp;"-P"&amp;(AH124+1),C_CLAVE,0)),""))</f>
        <v/>
      </c>
      <c r="AK124" s="63" t="str">
        <f aca="false">IF(O124&lt;&gt;"Activo","",Q124+N(K124)+IF(L124="Sí",MIN(GRAT_PCT*(Q124+N(K124)),GRAT_TOPE),0)+N(I124)+N(J124))</f>
        <v/>
      </c>
      <c r="AL124" s="63" t="str">
        <f aca="false">IF(O124&lt;&gt;"Activo","",MIN(AK124,TOPE_IAS_UF*UF_MES))</f>
        <v/>
      </c>
      <c r="AM124" s="62" t="str">
        <f aca="false">IF(AND(O124="Activo",ISNUMBER(V124),W124&lt;&gt;"Renovación registrada"),V124+ROW()/100000,"")</f>
        <v/>
      </c>
      <c r="AN124" s="70" t="str">
        <f aca="false">IF(OR(O124&lt;&gt;"Activo",NOT(ISNUMBER(U124))),"",IF(U124&lt;FECHA_CORTE,"",1.25*(DATEDIF(F124,U124+1,"m")+(U124+1-EDATE(F124,DATEDIF(F124,U124+1,"m")))/30)-Z124))</f>
        <v/>
      </c>
      <c r="AO124" s="66" t="str">
        <f aca="false">IF(OR(B124="",NOT(ISNUMBER(F124))),"",IF(N(G124)&gt;0,MIN(G124,FECHA_CORTE),FECHA_CORTE))</f>
        <v/>
      </c>
    </row>
    <row r="125" customFormat="false" ht="15" hidden="false" customHeight="false" outlineLevel="0" collapsed="false">
      <c r="B125" s="58"/>
      <c r="C125" s="58"/>
      <c r="D125" s="58"/>
      <c r="E125" s="58"/>
      <c r="F125" s="59"/>
      <c r="G125" s="59"/>
      <c r="H125" s="58"/>
      <c r="I125" s="60"/>
      <c r="J125" s="60"/>
      <c r="K125" s="60"/>
      <c r="L125" s="58"/>
      <c r="M125" s="61"/>
      <c r="N125" s="58"/>
      <c r="O125" s="62" t="str">
        <f aca="false">IF(B125="","",IF(NOT(ISNUMBER(F125)),"⚠ Falta ingreso",IF(F125&gt;FECHA_CORTE,"Por ingresar",IF(G125="","Activo",IF(G125&lt;FECHA_CORTE,"Desvinculado","Activo")))))</f>
        <v/>
      </c>
      <c r="P125" s="62" t="str">
        <f aca="false">IF(OR(B125="",NOT(ISNUMBER(F125))),"",IF(F125&gt;FECHA_CORTE,"",DATEDIF(F125,IF(G125="",FECHA_CORTE,MIN(G125,FECHA_CORTE))+1,"y")&amp;" a "&amp;DATEDIF(F125,IF(G125="",FECHA_CORTE,MIN(G125,FECHA_CORTE))+1,"ym")&amp;" m"))</f>
        <v/>
      </c>
      <c r="Q125" s="63" t="str">
        <f aca="false">IF(B125="","",IFERROR(INDEX(C_SUELDO,MATCH(AG125&amp;"-S"&amp;MAX(1,COUNTIFS(C_RUTN,AG125,C_SUELDO,"&lt;&gt;",C_INI,"&lt;="&amp;FECHA_CORTE)),C_CLAVES,0)),0))</f>
        <v/>
      </c>
      <c r="R125" s="62" t="str">
        <f aca="false">IF(B125="","",IF(N(AI125)=0,"Sin contrato",IFERROR(INDEX(C_TIPO,MATCH(AG125&amp;"-P"&amp;MAX(1,AH125),C_CLAVE,0))&amp;"","")))</f>
        <v/>
      </c>
      <c r="S125" s="64" t="str">
        <f aca="false">IF(R125="Plazo fijo",IFERROR(INDEX(C_NPF,MATCH(AG125&amp;"-P"&amp;MAX(1,AH125),C_CLAVE,0)),""),"")</f>
        <v/>
      </c>
      <c r="T125" s="65" t="str">
        <f aca="false">IF(B125="","",COUNTIFS(C_RUTN,AG125,C_TIPODOC,"Anexo de modificación"))</f>
        <v/>
      </c>
      <c r="U125" s="66" t="str">
        <f aca="false">IF(AND(OR(R125="Plazo fijo",R125="Obra o faena"),O125&lt;&gt;"Desvinculado"),IFERROR(IF(N(INDEX(C_TER,MATCH(AG125&amp;"-P"&amp;MAX(1,AH125),C_CLAVE,0)))=0,"",INDEX(C_TER,MATCH(AG125&amp;"-P"&amp;MAX(1,AH125),C_CLAVE,0))),""),"")</f>
        <v/>
      </c>
      <c r="V125" s="67" t="str">
        <f aca="false">IF(ISNUMBER(U125),U125-FECHA_CORTE,"")</f>
        <v/>
      </c>
      <c r="W125" s="62" t="str">
        <f aca="false">IF(B125="","",IF(O125="Desvinculado","Terminado",IF(N(AI125)=0,"Sin contrato registrado",IF(O125="Por ingresar","Por ingresar",IF(ISNUMBER(AJ125),"Renovación registrada",IF(R125="Indefinido","Indefinido",IF(NOT(ISNUMBER(V125)),"Falta fecha de término",IF(V125&lt;0,"VENCIDO",IF(V125&lt;=ALERTA_ROJA,"Vence en ≤ "&amp;ALERTA_ROJA&amp;" días",IF(V125&lt;=ALERTA_NARANJA,"Vence en ≤ "&amp;ALERTA_NARANJA&amp;" días",IF(V125&lt;=ALERTA_AMARILLA,"Vence en ≤ "&amp;ALERTA_AMARILLA&amp;" días","Vigente")))))))))))</f>
        <v/>
      </c>
      <c r="X125" s="62" t="str">
        <f aca="false">IF(B125="","",IF(W125="Terminado","—",IF(W125="Sin contrato registrado","Registrar su contrato en la hoja Contratos",IF(W125="Por ingresar","Tener el contrato firmado antes del ingreso",IF(W125="Renovación registrada","Siguiente contrato ya registrado: verificar que esté firmado",IF(R125="Indefinido","Sin vencimiento. Cambios de sueldo o cargo: anexo de modificación",IF(W125="Falta fecha de término","Completar la fecha de término en Contratos",IF(W125="VENCIDO","Sigue trabajando con plazo vencido: por ley ya es INDEFINIDO. Firmar anexo de paso a indefinido",IF(R125="Obra o faena","Al terminar la obra: finiquito + 2,5 días de sueldo por mes trabajado",IF(N(S125)&gt;=2,"2° contrato a plazo: NO se puede renovar otra vez a plazo fijo. Pasar a indefinido o terminar al vencer","1er contrato a plazo: renovar (2° contrato), pasar a indefinido o terminar al vencer"))))))))))</f>
        <v/>
      </c>
      <c r="Y125" s="68" t="str">
        <f aca="false">IF(O125&lt;&gt;"Activo","",ROUND(1.25*(DATEDIF(F125,AO125+1,"m")+(AO125+1-EDATE(F125,DATEDIF(F125,AO125+1,"m")))/30),2))</f>
        <v/>
      </c>
      <c r="Z125" s="68" t="str">
        <f aca="false">IF(O125&lt;&gt;"Activo","",N(M125)+SUMIFS(M_VAC,M_RUTN,AG125,M_MES,"&lt;="&amp;FECHA_CORTE))</f>
        <v/>
      </c>
      <c r="AA125" s="68" t="str">
        <f aca="false">IF(O125&lt;&gt;"Activo","",Y125-Z125)</f>
        <v/>
      </c>
      <c r="AB125" s="63" t="str">
        <f aca="false">IF(O125&lt;&gt;"Activo","",ROUND(MAX(0,IF(AA125&lt;=0,0,WORKDAY(FECHA_CORTE,INT(AA125),FERIADOS)-FECHA_CORTE+(AA125-INT(AA125))))*(Q125+N(K125))/30,0))</f>
        <v/>
      </c>
      <c r="AC125" s="65" t="str">
        <f aca="false">IF(O125&lt;&gt;"Activo","",IF(DATEDIF(F125,FECHA_CORTE+1,"y")&lt;1,0,MIN(TOPE_ANIOS,DATEDIF(F125,FECHA_CORTE+1,"y")+IF(EDATE(F125,12*DATEDIF(F125,FECHA_CORTE+1,"y")+6)&lt;FECHA_CORTE+1,1,0))))</f>
        <v/>
      </c>
      <c r="AD125" s="69" t="str">
        <f aca="false">IF(O125&lt;&gt;"Activo","",AB125+IF(R125="Obra o faena",0,ROUND(AL125*AC125,0)+ROUND(AL125,0)))</f>
        <v/>
      </c>
      <c r="AE125" s="69" t="str">
        <f aca="false">IF(O125&lt;&gt;"Activo","",AB125)</f>
        <v/>
      </c>
      <c r="AF125" s="69" t="str">
        <f aca="false">IF(AN125="","",IF(ISNUMBER(AJ125),"",ROUND(MAX(0,IF(AN125&lt;=0,0,WORKDAY(U125,INT(AN125),FERIADOS)-U125+(AN125-INT(AN125))))*(Q125+N(K125))/30,0)+IF(R125="Obra o faena",ROUND(OBRA_DIAS*AL125/30*(DATEDIF(F125,U125+1,"m")+IF(U125+1-EDATE(F125,DATEDIF(F125,U125+1,"m"))&gt;15,1,0)),0),0)))</f>
        <v/>
      </c>
      <c r="AG125" s="62" t="str">
        <f aca="false">IF(B125="","",IFERROR(VALUE(LEFT(UPPER(SUBSTITUTE(SUBSTITUTE(SUBSTITUTE(TRIM(B125),".",""),"-","")," ","")),LEN(UPPER(SUBSTITUTE(SUBSTITUTE(SUBSTITUTE(TRIM(B125),".",""),"-","")," ","")))-1))&amp;RIGHT(UPPER(SUBSTITUTE(SUBSTITUTE(SUBSTITUTE(TRIM(B125),".",""),"-","")," ","")),1),UPPER(SUBSTITUTE(SUBSTITUTE(SUBSTITUTE(TRIM(B125),".",""),"-","")," ",""))))</f>
        <v/>
      </c>
      <c r="AH125" s="62" t="str">
        <f aca="false">IF(B125="","",COUNTIFS(C_RUTN,AG125,C_DEF,"Sí",C_INI,"&lt;="&amp;FECHA_CORTE))</f>
        <v/>
      </c>
      <c r="AI125" s="62" t="str">
        <f aca="false">IF(B125="","",COUNTIFS(C_RUTN,AG125,C_DEF,"Sí"))</f>
        <v/>
      </c>
      <c r="AJ125" s="66" t="str">
        <f aca="false">IF(OR(B125="",N(AI125)&lt;=N(AH125)),"",IFERROR(INDEX(C_INI,MATCH(AG125&amp;"-P"&amp;(AH125+1),C_CLAVE,0)),""))</f>
        <v/>
      </c>
      <c r="AK125" s="63" t="str">
        <f aca="false">IF(O125&lt;&gt;"Activo","",Q125+N(K125)+IF(L125="Sí",MIN(GRAT_PCT*(Q125+N(K125)),GRAT_TOPE),0)+N(I125)+N(J125))</f>
        <v/>
      </c>
      <c r="AL125" s="63" t="str">
        <f aca="false">IF(O125&lt;&gt;"Activo","",MIN(AK125,TOPE_IAS_UF*UF_MES))</f>
        <v/>
      </c>
      <c r="AM125" s="62" t="str">
        <f aca="false">IF(AND(O125="Activo",ISNUMBER(V125),W125&lt;&gt;"Renovación registrada"),V125+ROW()/100000,"")</f>
        <v/>
      </c>
      <c r="AN125" s="70" t="str">
        <f aca="false">IF(OR(O125&lt;&gt;"Activo",NOT(ISNUMBER(U125))),"",IF(U125&lt;FECHA_CORTE,"",1.25*(DATEDIF(F125,U125+1,"m")+(U125+1-EDATE(F125,DATEDIF(F125,U125+1,"m")))/30)-Z125))</f>
        <v/>
      </c>
      <c r="AO125" s="66" t="str">
        <f aca="false">IF(OR(B125="",NOT(ISNUMBER(F125))),"",IF(N(G125)&gt;0,MIN(G125,FECHA_CORTE),FECHA_CORTE))</f>
        <v/>
      </c>
    </row>
    <row r="126" customFormat="false" ht="15" hidden="false" customHeight="false" outlineLevel="0" collapsed="false">
      <c r="B126" s="58"/>
      <c r="C126" s="58"/>
      <c r="D126" s="58"/>
      <c r="E126" s="58"/>
      <c r="F126" s="59"/>
      <c r="G126" s="59"/>
      <c r="H126" s="58"/>
      <c r="I126" s="60"/>
      <c r="J126" s="60"/>
      <c r="K126" s="60"/>
      <c r="L126" s="58"/>
      <c r="M126" s="61"/>
      <c r="N126" s="58"/>
      <c r="O126" s="62" t="str">
        <f aca="false">IF(B126="","",IF(NOT(ISNUMBER(F126)),"⚠ Falta ingreso",IF(F126&gt;FECHA_CORTE,"Por ingresar",IF(G126="","Activo",IF(G126&lt;FECHA_CORTE,"Desvinculado","Activo")))))</f>
        <v/>
      </c>
      <c r="P126" s="62" t="str">
        <f aca="false">IF(OR(B126="",NOT(ISNUMBER(F126))),"",IF(F126&gt;FECHA_CORTE,"",DATEDIF(F126,IF(G126="",FECHA_CORTE,MIN(G126,FECHA_CORTE))+1,"y")&amp;" a "&amp;DATEDIF(F126,IF(G126="",FECHA_CORTE,MIN(G126,FECHA_CORTE))+1,"ym")&amp;" m"))</f>
        <v/>
      </c>
      <c r="Q126" s="63" t="str">
        <f aca="false">IF(B126="","",IFERROR(INDEX(C_SUELDO,MATCH(AG126&amp;"-S"&amp;MAX(1,COUNTIFS(C_RUTN,AG126,C_SUELDO,"&lt;&gt;",C_INI,"&lt;="&amp;FECHA_CORTE)),C_CLAVES,0)),0))</f>
        <v/>
      </c>
      <c r="R126" s="62" t="str">
        <f aca="false">IF(B126="","",IF(N(AI126)=0,"Sin contrato",IFERROR(INDEX(C_TIPO,MATCH(AG126&amp;"-P"&amp;MAX(1,AH126),C_CLAVE,0))&amp;"","")))</f>
        <v/>
      </c>
      <c r="S126" s="64" t="str">
        <f aca="false">IF(R126="Plazo fijo",IFERROR(INDEX(C_NPF,MATCH(AG126&amp;"-P"&amp;MAX(1,AH126),C_CLAVE,0)),""),"")</f>
        <v/>
      </c>
      <c r="T126" s="65" t="str">
        <f aca="false">IF(B126="","",COUNTIFS(C_RUTN,AG126,C_TIPODOC,"Anexo de modificación"))</f>
        <v/>
      </c>
      <c r="U126" s="66" t="str">
        <f aca="false">IF(AND(OR(R126="Plazo fijo",R126="Obra o faena"),O126&lt;&gt;"Desvinculado"),IFERROR(IF(N(INDEX(C_TER,MATCH(AG126&amp;"-P"&amp;MAX(1,AH126),C_CLAVE,0)))=0,"",INDEX(C_TER,MATCH(AG126&amp;"-P"&amp;MAX(1,AH126),C_CLAVE,0))),""),"")</f>
        <v/>
      </c>
      <c r="V126" s="67" t="str">
        <f aca="false">IF(ISNUMBER(U126),U126-FECHA_CORTE,"")</f>
        <v/>
      </c>
      <c r="W126" s="62" t="str">
        <f aca="false">IF(B126="","",IF(O126="Desvinculado","Terminado",IF(N(AI126)=0,"Sin contrato registrado",IF(O126="Por ingresar","Por ingresar",IF(ISNUMBER(AJ126),"Renovación registrada",IF(R126="Indefinido","Indefinido",IF(NOT(ISNUMBER(V126)),"Falta fecha de término",IF(V126&lt;0,"VENCIDO",IF(V126&lt;=ALERTA_ROJA,"Vence en ≤ "&amp;ALERTA_ROJA&amp;" días",IF(V126&lt;=ALERTA_NARANJA,"Vence en ≤ "&amp;ALERTA_NARANJA&amp;" días",IF(V126&lt;=ALERTA_AMARILLA,"Vence en ≤ "&amp;ALERTA_AMARILLA&amp;" días","Vigente")))))))))))</f>
        <v/>
      </c>
      <c r="X126" s="62" t="str">
        <f aca="false">IF(B126="","",IF(W126="Terminado","—",IF(W126="Sin contrato registrado","Registrar su contrato en la hoja Contratos",IF(W126="Por ingresar","Tener el contrato firmado antes del ingreso",IF(W126="Renovación registrada","Siguiente contrato ya registrado: verificar que esté firmado",IF(R126="Indefinido","Sin vencimiento. Cambios de sueldo o cargo: anexo de modificación",IF(W126="Falta fecha de término","Completar la fecha de término en Contratos",IF(W126="VENCIDO","Sigue trabajando con plazo vencido: por ley ya es INDEFINIDO. Firmar anexo de paso a indefinido",IF(R126="Obra o faena","Al terminar la obra: finiquito + 2,5 días de sueldo por mes trabajado",IF(N(S126)&gt;=2,"2° contrato a plazo: NO se puede renovar otra vez a plazo fijo. Pasar a indefinido o terminar al vencer","1er contrato a plazo: renovar (2° contrato), pasar a indefinido o terminar al vencer"))))))))))</f>
        <v/>
      </c>
      <c r="Y126" s="68" t="str">
        <f aca="false">IF(O126&lt;&gt;"Activo","",ROUND(1.25*(DATEDIF(F126,AO126+1,"m")+(AO126+1-EDATE(F126,DATEDIF(F126,AO126+1,"m")))/30),2))</f>
        <v/>
      </c>
      <c r="Z126" s="68" t="str">
        <f aca="false">IF(O126&lt;&gt;"Activo","",N(M126)+SUMIFS(M_VAC,M_RUTN,AG126,M_MES,"&lt;="&amp;FECHA_CORTE))</f>
        <v/>
      </c>
      <c r="AA126" s="68" t="str">
        <f aca="false">IF(O126&lt;&gt;"Activo","",Y126-Z126)</f>
        <v/>
      </c>
      <c r="AB126" s="63" t="str">
        <f aca="false">IF(O126&lt;&gt;"Activo","",ROUND(MAX(0,IF(AA126&lt;=0,0,WORKDAY(FECHA_CORTE,INT(AA126),FERIADOS)-FECHA_CORTE+(AA126-INT(AA126))))*(Q126+N(K126))/30,0))</f>
        <v/>
      </c>
      <c r="AC126" s="65" t="str">
        <f aca="false">IF(O126&lt;&gt;"Activo","",IF(DATEDIF(F126,FECHA_CORTE+1,"y")&lt;1,0,MIN(TOPE_ANIOS,DATEDIF(F126,FECHA_CORTE+1,"y")+IF(EDATE(F126,12*DATEDIF(F126,FECHA_CORTE+1,"y")+6)&lt;FECHA_CORTE+1,1,0))))</f>
        <v/>
      </c>
      <c r="AD126" s="69" t="str">
        <f aca="false">IF(O126&lt;&gt;"Activo","",AB126+IF(R126="Obra o faena",0,ROUND(AL126*AC126,0)+ROUND(AL126,0)))</f>
        <v/>
      </c>
      <c r="AE126" s="69" t="str">
        <f aca="false">IF(O126&lt;&gt;"Activo","",AB126)</f>
        <v/>
      </c>
      <c r="AF126" s="69" t="str">
        <f aca="false">IF(AN126="","",IF(ISNUMBER(AJ126),"",ROUND(MAX(0,IF(AN126&lt;=0,0,WORKDAY(U126,INT(AN126),FERIADOS)-U126+(AN126-INT(AN126))))*(Q126+N(K126))/30,0)+IF(R126="Obra o faena",ROUND(OBRA_DIAS*AL126/30*(DATEDIF(F126,U126+1,"m")+IF(U126+1-EDATE(F126,DATEDIF(F126,U126+1,"m"))&gt;15,1,0)),0),0)))</f>
        <v/>
      </c>
      <c r="AG126" s="62" t="str">
        <f aca="false">IF(B126="","",IFERROR(VALUE(LEFT(UPPER(SUBSTITUTE(SUBSTITUTE(SUBSTITUTE(TRIM(B126),".",""),"-","")," ","")),LEN(UPPER(SUBSTITUTE(SUBSTITUTE(SUBSTITUTE(TRIM(B126),".",""),"-","")," ","")))-1))&amp;RIGHT(UPPER(SUBSTITUTE(SUBSTITUTE(SUBSTITUTE(TRIM(B126),".",""),"-","")," ","")),1),UPPER(SUBSTITUTE(SUBSTITUTE(SUBSTITUTE(TRIM(B126),".",""),"-","")," ",""))))</f>
        <v/>
      </c>
      <c r="AH126" s="62" t="str">
        <f aca="false">IF(B126="","",COUNTIFS(C_RUTN,AG126,C_DEF,"Sí",C_INI,"&lt;="&amp;FECHA_CORTE))</f>
        <v/>
      </c>
      <c r="AI126" s="62" t="str">
        <f aca="false">IF(B126="","",COUNTIFS(C_RUTN,AG126,C_DEF,"Sí"))</f>
        <v/>
      </c>
      <c r="AJ126" s="66" t="str">
        <f aca="false">IF(OR(B126="",N(AI126)&lt;=N(AH126)),"",IFERROR(INDEX(C_INI,MATCH(AG126&amp;"-P"&amp;(AH126+1),C_CLAVE,0)),""))</f>
        <v/>
      </c>
      <c r="AK126" s="63" t="str">
        <f aca="false">IF(O126&lt;&gt;"Activo","",Q126+N(K126)+IF(L126="Sí",MIN(GRAT_PCT*(Q126+N(K126)),GRAT_TOPE),0)+N(I126)+N(J126))</f>
        <v/>
      </c>
      <c r="AL126" s="63" t="str">
        <f aca="false">IF(O126&lt;&gt;"Activo","",MIN(AK126,TOPE_IAS_UF*UF_MES))</f>
        <v/>
      </c>
      <c r="AM126" s="62" t="str">
        <f aca="false">IF(AND(O126="Activo",ISNUMBER(V126),W126&lt;&gt;"Renovación registrada"),V126+ROW()/100000,"")</f>
        <v/>
      </c>
      <c r="AN126" s="70" t="str">
        <f aca="false">IF(OR(O126&lt;&gt;"Activo",NOT(ISNUMBER(U126))),"",IF(U126&lt;FECHA_CORTE,"",1.25*(DATEDIF(F126,U126+1,"m")+(U126+1-EDATE(F126,DATEDIF(F126,U126+1,"m")))/30)-Z126))</f>
        <v/>
      </c>
      <c r="AO126" s="66" t="str">
        <f aca="false">IF(OR(B126="",NOT(ISNUMBER(F126))),"",IF(N(G126)&gt;0,MIN(G126,FECHA_CORTE),FECHA_CORTE))</f>
        <v/>
      </c>
    </row>
    <row r="127" customFormat="false" ht="15" hidden="false" customHeight="false" outlineLevel="0" collapsed="false">
      <c r="B127" s="58"/>
      <c r="C127" s="58"/>
      <c r="D127" s="58"/>
      <c r="E127" s="58"/>
      <c r="F127" s="59"/>
      <c r="G127" s="59"/>
      <c r="H127" s="58"/>
      <c r="I127" s="60"/>
      <c r="J127" s="60"/>
      <c r="K127" s="60"/>
      <c r="L127" s="58"/>
      <c r="M127" s="61"/>
      <c r="N127" s="58"/>
      <c r="O127" s="62" t="str">
        <f aca="false">IF(B127="","",IF(NOT(ISNUMBER(F127)),"⚠ Falta ingreso",IF(F127&gt;FECHA_CORTE,"Por ingresar",IF(G127="","Activo",IF(G127&lt;FECHA_CORTE,"Desvinculado","Activo")))))</f>
        <v/>
      </c>
      <c r="P127" s="62" t="str">
        <f aca="false">IF(OR(B127="",NOT(ISNUMBER(F127))),"",IF(F127&gt;FECHA_CORTE,"",DATEDIF(F127,IF(G127="",FECHA_CORTE,MIN(G127,FECHA_CORTE))+1,"y")&amp;" a "&amp;DATEDIF(F127,IF(G127="",FECHA_CORTE,MIN(G127,FECHA_CORTE))+1,"ym")&amp;" m"))</f>
        <v/>
      </c>
      <c r="Q127" s="63" t="str">
        <f aca="false">IF(B127="","",IFERROR(INDEX(C_SUELDO,MATCH(AG127&amp;"-S"&amp;MAX(1,COUNTIFS(C_RUTN,AG127,C_SUELDO,"&lt;&gt;",C_INI,"&lt;="&amp;FECHA_CORTE)),C_CLAVES,0)),0))</f>
        <v/>
      </c>
      <c r="R127" s="62" t="str">
        <f aca="false">IF(B127="","",IF(N(AI127)=0,"Sin contrato",IFERROR(INDEX(C_TIPO,MATCH(AG127&amp;"-P"&amp;MAX(1,AH127),C_CLAVE,0))&amp;"","")))</f>
        <v/>
      </c>
      <c r="S127" s="64" t="str">
        <f aca="false">IF(R127="Plazo fijo",IFERROR(INDEX(C_NPF,MATCH(AG127&amp;"-P"&amp;MAX(1,AH127),C_CLAVE,0)),""),"")</f>
        <v/>
      </c>
      <c r="T127" s="65" t="str">
        <f aca="false">IF(B127="","",COUNTIFS(C_RUTN,AG127,C_TIPODOC,"Anexo de modificación"))</f>
        <v/>
      </c>
      <c r="U127" s="66" t="str">
        <f aca="false">IF(AND(OR(R127="Plazo fijo",R127="Obra o faena"),O127&lt;&gt;"Desvinculado"),IFERROR(IF(N(INDEX(C_TER,MATCH(AG127&amp;"-P"&amp;MAX(1,AH127),C_CLAVE,0)))=0,"",INDEX(C_TER,MATCH(AG127&amp;"-P"&amp;MAX(1,AH127),C_CLAVE,0))),""),"")</f>
        <v/>
      </c>
      <c r="V127" s="67" t="str">
        <f aca="false">IF(ISNUMBER(U127),U127-FECHA_CORTE,"")</f>
        <v/>
      </c>
      <c r="W127" s="62" t="str">
        <f aca="false">IF(B127="","",IF(O127="Desvinculado","Terminado",IF(N(AI127)=0,"Sin contrato registrado",IF(O127="Por ingresar","Por ingresar",IF(ISNUMBER(AJ127),"Renovación registrada",IF(R127="Indefinido","Indefinido",IF(NOT(ISNUMBER(V127)),"Falta fecha de término",IF(V127&lt;0,"VENCIDO",IF(V127&lt;=ALERTA_ROJA,"Vence en ≤ "&amp;ALERTA_ROJA&amp;" días",IF(V127&lt;=ALERTA_NARANJA,"Vence en ≤ "&amp;ALERTA_NARANJA&amp;" días",IF(V127&lt;=ALERTA_AMARILLA,"Vence en ≤ "&amp;ALERTA_AMARILLA&amp;" días","Vigente")))))))))))</f>
        <v/>
      </c>
      <c r="X127" s="62" t="str">
        <f aca="false">IF(B127="","",IF(W127="Terminado","—",IF(W127="Sin contrato registrado","Registrar su contrato en la hoja Contratos",IF(W127="Por ingresar","Tener el contrato firmado antes del ingreso",IF(W127="Renovación registrada","Siguiente contrato ya registrado: verificar que esté firmado",IF(R127="Indefinido","Sin vencimiento. Cambios de sueldo o cargo: anexo de modificación",IF(W127="Falta fecha de término","Completar la fecha de término en Contratos",IF(W127="VENCIDO","Sigue trabajando con plazo vencido: por ley ya es INDEFINIDO. Firmar anexo de paso a indefinido",IF(R127="Obra o faena","Al terminar la obra: finiquito + 2,5 días de sueldo por mes trabajado",IF(N(S127)&gt;=2,"2° contrato a plazo: NO se puede renovar otra vez a plazo fijo. Pasar a indefinido o terminar al vencer","1er contrato a plazo: renovar (2° contrato), pasar a indefinido o terminar al vencer"))))))))))</f>
        <v/>
      </c>
      <c r="Y127" s="68" t="str">
        <f aca="false">IF(O127&lt;&gt;"Activo","",ROUND(1.25*(DATEDIF(F127,AO127+1,"m")+(AO127+1-EDATE(F127,DATEDIF(F127,AO127+1,"m")))/30),2))</f>
        <v/>
      </c>
      <c r="Z127" s="68" t="str">
        <f aca="false">IF(O127&lt;&gt;"Activo","",N(M127)+SUMIFS(M_VAC,M_RUTN,AG127,M_MES,"&lt;="&amp;FECHA_CORTE))</f>
        <v/>
      </c>
      <c r="AA127" s="68" t="str">
        <f aca="false">IF(O127&lt;&gt;"Activo","",Y127-Z127)</f>
        <v/>
      </c>
      <c r="AB127" s="63" t="str">
        <f aca="false">IF(O127&lt;&gt;"Activo","",ROUND(MAX(0,IF(AA127&lt;=0,0,WORKDAY(FECHA_CORTE,INT(AA127),FERIADOS)-FECHA_CORTE+(AA127-INT(AA127))))*(Q127+N(K127))/30,0))</f>
        <v/>
      </c>
      <c r="AC127" s="65" t="str">
        <f aca="false">IF(O127&lt;&gt;"Activo","",IF(DATEDIF(F127,FECHA_CORTE+1,"y")&lt;1,0,MIN(TOPE_ANIOS,DATEDIF(F127,FECHA_CORTE+1,"y")+IF(EDATE(F127,12*DATEDIF(F127,FECHA_CORTE+1,"y")+6)&lt;FECHA_CORTE+1,1,0))))</f>
        <v/>
      </c>
      <c r="AD127" s="69" t="str">
        <f aca="false">IF(O127&lt;&gt;"Activo","",AB127+IF(R127="Obra o faena",0,ROUND(AL127*AC127,0)+ROUND(AL127,0)))</f>
        <v/>
      </c>
      <c r="AE127" s="69" t="str">
        <f aca="false">IF(O127&lt;&gt;"Activo","",AB127)</f>
        <v/>
      </c>
      <c r="AF127" s="69" t="str">
        <f aca="false">IF(AN127="","",IF(ISNUMBER(AJ127),"",ROUND(MAX(0,IF(AN127&lt;=0,0,WORKDAY(U127,INT(AN127),FERIADOS)-U127+(AN127-INT(AN127))))*(Q127+N(K127))/30,0)+IF(R127="Obra o faena",ROUND(OBRA_DIAS*AL127/30*(DATEDIF(F127,U127+1,"m")+IF(U127+1-EDATE(F127,DATEDIF(F127,U127+1,"m"))&gt;15,1,0)),0),0)))</f>
        <v/>
      </c>
      <c r="AG127" s="62" t="str">
        <f aca="false">IF(B127="","",IFERROR(VALUE(LEFT(UPPER(SUBSTITUTE(SUBSTITUTE(SUBSTITUTE(TRIM(B127),".",""),"-","")," ","")),LEN(UPPER(SUBSTITUTE(SUBSTITUTE(SUBSTITUTE(TRIM(B127),".",""),"-","")," ","")))-1))&amp;RIGHT(UPPER(SUBSTITUTE(SUBSTITUTE(SUBSTITUTE(TRIM(B127),".",""),"-","")," ","")),1),UPPER(SUBSTITUTE(SUBSTITUTE(SUBSTITUTE(TRIM(B127),".",""),"-","")," ",""))))</f>
        <v/>
      </c>
      <c r="AH127" s="62" t="str">
        <f aca="false">IF(B127="","",COUNTIFS(C_RUTN,AG127,C_DEF,"Sí",C_INI,"&lt;="&amp;FECHA_CORTE))</f>
        <v/>
      </c>
      <c r="AI127" s="62" t="str">
        <f aca="false">IF(B127="","",COUNTIFS(C_RUTN,AG127,C_DEF,"Sí"))</f>
        <v/>
      </c>
      <c r="AJ127" s="66" t="str">
        <f aca="false">IF(OR(B127="",N(AI127)&lt;=N(AH127)),"",IFERROR(INDEX(C_INI,MATCH(AG127&amp;"-P"&amp;(AH127+1),C_CLAVE,0)),""))</f>
        <v/>
      </c>
      <c r="AK127" s="63" t="str">
        <f aca="false">IF(O127&lt;&gt;"Activo","",Q127+N(K127)+IF(L127="Sí",MIN(GRAT_PCT*(Q127+N(K127)),GRAT_TOPE),0)+N(I127)+N(J127))</f>
        <v/>
      </c>
      <c r="AL127" s="63" t="str">
        <f aca="false">IF(O127&lt;&gt;"Activo","",MIN(AK127,TOPE_IAS_UF*UF_MES))</f>
        <v/>
      </c>
      <c r="AM127" s="62" t="str">
        <f aca="false">IF(AND(O127="Activo",ISNUMBER(V127),W127&lt;&gt;"Renovación registrada"),V127+ROW()/100000,"")</f>
        <v/>
      </c>
      <c r="AN127" s="70" t="str">
        <f aca="false">IF(OR(O127&lt;&gt;"Activo",NOT(ISNUMBER(U127))),"",IF(U127&lt;FECHA_CORTE,"",1.25*(DATEDIF(F127,U127+1,"m")+(U127+1-EDATE(F127,DATEDIF(F127,U127+1,"m")))/30)-Z127))</f>
        <v/>
      </c>
      <c r="AO127" s="66" t="str">
        <f aca="false">IF(OR(B127="",NOT(ISNUMBER(F127))),"",IF(N(G127)&gt;0,MIN(G127,FECHA_CORTE),FECHA_CORTE))</f>
        <v/>
      </c>
    </row>
    <row r="128" customFormat="false" ht="15" hidden="false" customHeight="false" outlineLevel="0" collapsed="false">
      <c r="B128" s="58"/>
      <c r="C128" s="58"/>
      <c r="D128" s="58"/>
      <c r="E128" s="58"/>
      <c r="F128" s="59"/>
      <c r="G128" s="59"/>
      <c r="H128" s="58"/>
      <c r="I128" s="60"/>
      <c r="J128" s="60"/>
      <c r="K128" s="60"/>
      <c r="L128" s="58"/>
      <c r="M128" s="61"/>
      <c r="N128" s="58"/>
      <c r="O128" s="62" t="str">
        <f aca="false">IF(B128="","",IF(NOT(ISNUMBER(F128)),"⚠ Falta ingreso",IF(F128&gt;FECHA_CORTE,"Por ingresar",IF(G128="","Activo",IF(G128&lt;FECHA_CORTE,"Desvinculado","Activo")))))</f>
        <v/>
      </c>
      <c r="P128" s="62" t="str">
        <f aca="false">IF(OR(B128="",NOT(ISNUMBER(F128))),"",IF(F128&gt;FECHA_CORTE,"",DATEDIF(F128,IF(G128="",FECHA_CORTE,MIN(G128,FECHA_CORTE))+1,"y")&amp;" a "&amp;DATEDIF(F128,IF(G128="",FECHA_CORTE,MIN(G128,FECHA_CORTE))+1,"ym")&amp;" m"))</f>
        <v/>
      </c>
      <c r="Q128" s="63" t="str">
        <f aca="false">IF(B128="","",IFERROR(INDEX(C_SUELDO,MATCH(AG128&amp;"-S"&amp;MAX(1,COUNTIFS(C_RUTN,AG128,C_SUELDO,"&lt;&gt;",C_INI,"&lt;="&amp;FECHA_CORTE)),C_CLAVES,0)),0))</f>
        <v/>
      </c>
      <c r="R128" s="62" t="str">
        <f aca="false">IF(B128="","",IF(N(AI128)=0,"Sin contrato",IFERROR(INDEX(C_TIPO,MATCH(AG128&amp;"-P"&amp;MAX(1,AH128),C_CLAVE,0))&amp;"","")))</f>
        <v/>
      </c>
      <c r="S128" s="64" t="str">
        <f aca="false">IF(R128="Plazo fijo",IFERROR(INDEX(C_NPF,MATCH(AG128&amp;"-P"&amp;MAX(1,AH128),C_CLAVE,0)),""),"")</f>
        <v/>
      </c>
      <c r="T128" s="65" t="str">
        <f aca="false">IF(B128="","",COUNTIFS(C_RUTN,AG128,C_TIPODOC,"Anexo de modificación"))</f>
        <v/>
      </c>
      <c r="U128" s="66" t="str">
        <f aca="false">IF(AND(OR(R128="Plazo fijo",R128="Obra o faena"),O128&lt;&gt;"Desvinculado"),IFERROR(IF(N(INDEX(C_TER,MATCH(AG128&amp;"-P"&amp;MAX(1,AH128),C_CLAVE,0)))=0,"",INDEX(C_TER,MATCH(AG128&amp;"-P"&amp;MAX(1,AH128),C_CLAVE,0))),""),"")</f>
        <v/>
      </c>
      <c r="V128" s="67" t="str">
        <f aca="false">IF(ISNUMBER(U128),U128-FECHA_CORTE,"")</f>
        <v/>
      </c>
      <c r="W128" s="62" t="str">
        <f aca="false">IF(B128="","",IF(O128="Desvinculado","Terminado",IF(N(AI128)=0,"Sin contrato registrado",IF(O128="Por ingresar","Por ingresar",IF(ISNUMBER(AJ128),"Renovación registrada",IF(R128="Indefinido","Indefinido",IF(NOT(ISNUMBER(V128)),"Falta fecha de término",IF(V128&lt;0,"VENCIDO",IF(V128&lt;=ALERTA_ROJA,"Vence en ≤ "&amp;ALERTA_ROJA&amp;" días",IF(V128&lt;=ALERTA_NARANJA,"Vence en ≤ "&amp;ALERTA_NARANJA&amp;" días",IF(V128&lt;=ALERTA_AMARILLA,"Vence en ≤ "&amp;ALERTA_AMARILLA&amp;" días","Vigente")))))))))))</f>
        <v/>
      </c>
      <c r="X128" s="62" t="str">
        <f aca="false">IF(B128="","",IF(W128="Terminado","—",IF(W128="Sin contrato registrado","Registrar su contrato en la hoja Contratos",IF(W128="Por ingresar","Tener el contrato firmado antes del ingreso",IF(W128="Renovación registrada","Siguiente contrato ya registrado: verificar que esté firmado",IF(R128="Indefinido","Sin vencimiento. Cambios de sueldo o cargo: anexo de modificación",IF(W128="Falta fecha de término","Completar la fecha de término en Contratos",IF(W128="VENCIDO","Sigue trabajando con plazo vencido: por ley ya es INDEFINIDO. Firmar anexo de paso a indefinido",IF(R128="Obra o faena","Al terminar la obra: finiquito + 2,5 días de sueldo por mes trabajado",IF(N(S128)&gt;=2,"2° contrato a plazo: NO se puede renovar otra vez a plazo fijo. Pasar a indefinido o terminar al vencer","1er contrato a plazo: renovar (2° contrato), pasar a indefinido o terminar al vencer"))))))))))</f>
        <v/>
      </c>
      <c r="Y128" s="68" t="str">
        <f aca="false">IF(O128&lt;&gt;"Activo","",ROUND(1.25*(DATEDIF(F128,AO128+1,"m")+(AO128+1-EDATE(F128,DATEDIF(F128,AO128+1,"m")))/30),2))</f>
        <v/>
      </c>
      <c r="Z128" s="68" t="str">
        <f aca="false">IF(O128&lt;&gt;"Activo","",N(M128)+SUMIFS(M_VAC,M_RUTN,AG128,M_MES,"&lt;="&amp;FECHA_CORTE))</f>
        <v/>
      </c>
      <c r="AA128" s="68" t="str">
        <f aca="false">IF(O128&lt;&gt;"Activo","",Y128-Z128)</f>
        <v/>
      </c>
      <c r="AB128" s="63" t="str">
        <f aca="false">IF(O128&lt;&gt;"Activo","",ROUND(MAX(0,IF(AA128&lt;=0,0,WORKDAY(FECHA_CORTE,INT(AA128),FERIADOS)-FECHA_CORTE+(AA128-INT(AA128))))*(Q128+N(K128))/30,0))</f>
        <v/>
      </c>
      <c r="AC128" s="65" t="str">
        <f aca="false">IF(O128&lt;&gt;"Activo","",IF(DATEDIF(F128,FECHA_CORTE+1,"y")&lt;1,0,MIN(TOPE_ANIOS,DATEDIF(F128,FECHA_CORTE+1,"y")+IF(EDATE(F128,12*DATEDIF(F128,FECHA_CORTE+1,"y")+6)&lt;FECHA_CORTE+1,1,0))))</f>
        <v/>
      </c>
      <c r="AD128" s="69" t="str">
        <f aca="false">IF(O128&lt;&gt;"Activo","",AB128+IF(R128="Obra o faena",0,ROUND(AL128*AC128,0)+ROUND(AL128,0)))</f>
        <v/>
      </c>
      <c r="AE128" s="69" t="str">
        <f aca="false">IF(O128&lt;&gt;"Activo","",AB128)</f>
        <v/>
      </c>
      <c r="AF128" s="69" t="str">
        <f aca="false">IF(AN128="","",IF(ISNUMBER(AJ128),"",ROUND(MAX(0,IF(AN128&lt;=0,0,WORKDAY(U128,INT(AN128),FERIADOS)-U128+(AN128-INT(AN128))))*(Q128+N(K128))/30,0)+IF(R128="Obra o faena",ROUND(OBRA_DIAS*AL128/30*(DATEDIF(F128,U128+1,"m")+IF(U128+1-EDATE(F128,DATEDIF(F128,U128+1,"m"))&gt;15,1,0)),0),0)))</f>
        <v/>
      </c>
      <c r="AG128" s="62" t="str">
        <f aca="false">IF(B128="","",IFERROR(VALUE(LEFT(UPPER(SUBSTITUTE(SUBSTITUTE(SUBSTITUTE(TRIM(B128),".",""),"-","")," ","")),LEN(UPPER(SUBSTITUTE(SUBSTITUTE(SUBSTITUTE(TRIM(B128),".",""),"-","")," ","")))-1))&amp;RIGHT(UPPER(SUBSTITUTE(SUBSTITUTE(SUBSTITUTE(TRIM(B128),".",""),"-","")," ","")),1),UPPER(SUBSTITUTE(SUBSTITUTE(SUBSTITUTE(TRIM(B128),".",""),"-","")," ",""))))</f>
        <v/>
      </c>
      <c r="AH128" s="62" t="str">
        <f aca="false">IF(B128="","",COUNTIFS(C_RUTN,AG128,C_DEF,"Sí",C_INI,"&lt;="&amp;FECHA_CORTE))</f>
        <v/>
      </c>
      <c r="AI128" s="62" t="str">
        <f aca="false">IF(B128="","",COUNTIFS(C_RUTN,AG128,C_DEF,"Sí"))</f>
        <v/>
      </c>
      <c r="AJ128" s="66" t="str">
        <f aca="false">IF(OR(B128="",N(AI128)&lt;=N(AH128)),"",IFERROR(INDEX(C_INI,MATCH(AG128&amp;"-P"&amp;(AH128+1),C_CLAVE,0)),""))</f>
        <v/>
      </c>
      <c r="AK128" s="63" t="str">
        <f aca="false">IF(O128&lt;&gt;"Activo","",Q128+N(K128)+IF(L128="Sí",MIN(GRAT_PCT*(Q128+N(K128)),GRAT_TOPE),0)+N(I128)+N(J128))</f>
        <v/>
      </c>
      <c r="AL128" s="63" t="str">
        <f aca="false">IF(O128&lt;&gt;"Activo","",MIN(AK128,TOPE_IAS_UF*UF_MES))</f>
        <v/>
      </c>
      <c r="AM128" s="62" t="str">
        <f aca="false">IF(AND(O128="Activo",ISNUMBER(V128),W128&lt;&gt;"Renovación registrada"),V128+ROW()/100000,"")</f>
        <v/>
      </c>
      <c r="AN128" s="70" t="str">
        <f aca="false">IF(OR(O128&lt;&gt;"Activo",NOT(ISNUMBER(U128))),"",IF(U128&lt;FECHA_CORTE,"",1.25*(DATEDIF(F128,U128+1,"m")+(U128+1-EDATE(F128,DATEDIF(F128,U128+1,"m")))/30)-Z128))</f>
        <v/>
      </c>
      <c r="AO128" s="66" t="str">
        <f aca="false">IF(OR(B128="",NOT(ISNUMBER(F128))),"",IF(N(G128)&gt;0,MIN(G128,FECHA_CORTE),FECHA_CORTE))</f>
        <v/>
      </c>
    </row>
    <row r="129" customFormat="false" ht="15" hidden="false" customHeight="false" outlineLevel="0" collapsed="false">
      <c r="B129" s="58"/>
      <c r="C129" s="58"/>
      <c r="D129" s="58"/>
      <c r="E129" s="58"/>
      <c r="F129" s="59"/>
      <c r="G129" s="59"/>
      <c r="H129" s="58"/>
      <c r="I129" s="60"/>
      <c r="J129" s="60"/>
      <c r="K129" s="60"/>
      <c r="L129" s="58"/>
      <c r="M129" s="61"/>
      <c r="N129" s="58"/>
      <c r="O129" s="62" t="str">
        <f aca="false">IF(B129="","",IF(NOT(ISNUMBER(F129)),"⚠ Falta ingreso",IF(F129&gt;FECHA_CORTE,"Por ingresar",IF(G129="","Activo",IF(G129&lt;FECHA_CORTE,"Desvinculado","Activo")))))</f>
        <v/>
      </c>
      <c r="P129" s="62" t="str">
        <f aca="false">IF(OR(B129="",NOT(ISNUMBER(F129))),"",IF(F129&gt;FECHA_CORTE,"",DATEDIF(F129,IF(G129="",FECHA_CORTE,MIN(G129,FECHA_CORTE))+1,"y")&amp;" a "&amp;DATEDIF(F129,IF(G129="",FECHA_CORTE,MIN(G129,FECHA_CORTE))+1,"ym")&amp;" m"))</f>
        <v/>
      </c>
      <c r="Q129" s="63" t="str">
        <f aca="false">IF(B129="","",IFERROR(INDEX(C_SUELDO,MATCH(AG129&amp;"-S"&amp;MAX(1,COUNTIFS(C_RUTN,AG129,C_SUELDO,"&lt;&gt;",C_INI,"&lt;="&amp;FECHA_CORTE)),C_CLAVES,0)),0))</f>
        <v/>
      </c>
      <c r="R129" s="62" t="str">
        <f aca="false">IF(B129="","",IF(N(AI129)=0,"Sin contrato",IFERROR(INDEX(C_TIPO,MATCH(AG129&amp;"-P"&amp;MAX(1,AH129),C_CLAVE,0))&amp;"","")))</f>
        <v/>
      </c>
      <c r="S129" s="64" t="str">
        <f aca="false">IF(R129="Plazo fijo",IFERROR(INDEX(C_NPF,MATCH(AG129&amp;"-P"&amp;MAX(1,AH129),C_CLAVE,0)),""),"")</f>
        <v/>
      </c>
      <c r="T129" s="65" t="str">
        <f aca="false">IF(B129="","",COUNTIFS(C_RUTN,AG129,C_TIPODOC,"Anexo de modificación"))</f>
        <v/>
      </c>
      <c r="U129" s="66" t="str">
        <f aca="false">IF(AND(OR(R129="Plazo fijo",R129="Obra o faena"),O129&lt;&gt;"Desvinculado"),IFERROR(IF(N(INDEX(C_TER,MATCH(AG129&amp;"-P"&amp;MAX(1,AH129),C_CLAVE,0)))=0,"",INDEX(C_TER,MATCH(AG129&amp;"-P"&amp;MAX(1,AH129),C_CLAVE,0))),""),"")</f>
        <v/>
      </c>
      <c r="V129" s="67" t="str">
        <f aca="false">IF(ISNUMBER(U129),U129-FECHA_CORTE,"")</f>
        <v/>
      </c>
      <c r="W129" s="62" t="str">
        <f aca="false">IF(B129="","",IF(O129="Desvinculado","Terminado",IF(N(AI129)=0,"Sin contrato registrado",IF(O129="Por ingresar","Por ingresar",IF(ISNUMBER(AJ129),"Renovación registrada",IF(R129="Indefinido","Indefinido",IF(NOT(ISNUMBER(V129)),"Falta fecha de término",IF(V129&lt;0,"VENCIDO",IF(V129&lt;=ALERTA_ROJA,"Vence en ≤ "&amp;ALERTA_ROJA&amp;" días",IF(V129&lt;=ALERTA_NARANJA,"Vence en ≤ "&amp;ALERTA_NARANJA&amp;" días",IF(V129&lt;=ALERTA_AMARILLA,"Vence en ≤ "&amp;ALERTA_AMARILLA&amp;" días","Vigente")))))))))))</f>
        <v/>
      </c>
      <c r="X129" s="62" t="str">
        <f aca="false">IF(B129="","",IF(W129="Terminado","—",IF(W129="Sin contrato registrado","Registrar su contrato en la hoja Contratos",IF(W129="Por ingresar","Tener el contrato firmado antes del ingreso",IF(W129="Renovación registrada","Siguiente contrato ya registrado: verificar que esté firmado",IF(R129="Indefinido","Sin vencimiento. Cambios de sueldo o cargo: anexo de modificación",IF(W129="Falta fecha de término","Completar la fecha de término en Contratos",IF(W129="VENCIDO","Sigue trabajando con plazo vencido: por ley ya es INDEFINIDO. Firmar anexo de paso a indefinido",IF(R129="Obra o faena","Al terminar la obra: finiquito + 2,5 días de sueldo por mes trabajado",IF(N(S129)&gt;=2,"2° contrato a plazo: NO se puede renovar otra vez a plazo fijo. Pasar a indefinido o terminar al vencer","1er contrato a plazo: renovar (2° contrato), pasar a indefinido o terminar al vencer"))))))))))</f>
        <v/>
      </c>
      <c r="Y129" s="68" t="str">
        <f aca="false">IF(O129&lt;&gt;"Activo","",ROUND(1.25*(DATEDIF(F129,AO129+1,"m")+(AO129+1-EDATE(F129,DATEDIF(F129,AO129+1,"m")))/30),2))</f>
        <v/>
      </c>
      <c r="Z129" s="68" t="str">
        <f aca="false">IF(O129&lt;&gt;"Activo","",N(M129)+SUMIFS(M_VAC,M_RUTN,AG129,M_MES,"&lt;="&amp;FECHA_CORTE))</f>
        <v/>
      </c>
      <c r="AA129" s="68" t="str">
        <f aca="false">IF(O129&lt;&gt;"Activo","",Y129-Z129)</f>
        <v/>
      </c>
      <c r="AB129" s="63" t="str">
        <f aca="false">IF(O129&lt;&gt;"Activo","",ROUND(MAX(0,IF(AA129&lt;=0,0,WORKDAY(FECHA_CORTE,INT(AA129),FERIADOS)-FECHA_CORTE+(AA129-INT(AA129))))*(Q129+N(K129))/30,0))</f>
        <v/>
      </c>
      <c r="AC129" s="65" t="str">
        <f aca="false">IF(O129&lt;&gt;"Activo","",IF(DATEDIF(F129,FECHA_CORTE+1,"y")&lt;1,0,MIN(TOPE_ANIOS,DATEDIF(F129,FECHA_CORTE+1,"y")+IF(EDATE(F129,12*DATEDIF(F129,FECHA_CORTE+1,"y")+6)&lt;FECHA_CORTE+1,1,0))))</f>
        <v/>
      </c>
      <c r="AD129" s="69" t="str">
        <f aca="false">IF(O129&lt;&gt;"Activo","",AB129+IF(R129="Obra o faena",0,ROUND(AL129*AC129,0)+ROUND(AL129,0)))</f>
        <v/>
      </c>
      <c r="AE129" s="69" t="str">
        <f aca="false">IF(O129&lt;&gt;"Activo","",AB129)</f>
        <v/>
      </c>
      <c r="AF129" s="69" t="str">
        <f aca="false">IF(AN129="","",IF(ISNUMBER(AJ129),"",ROUND(MAX(0,IF(AN129&lt;=0,0,WORKDAY(U129,INT(AN129),FERIADOS)-U129+(AN129-INT(AN129))))*(Q129+N(K129))/30,0)+IF(R129="Obra o faena",ROUND(OBRA_DIAS*AL129/30*(DATEDIF(F129,U129+1,"m")+IF(U129+1-EDATE(F129,DATEDIF(F129,U129+1,"m"))&gt;15,1,0)),0),0)))</f>
        <v/>
      </c>
      <c r="AG129" s="62" t="str">
        <f aca="false">IF(B129="","",IFERROR(VALUE(LEFT(UPPER(SUBSTITUTE(SUBSTITUTE(SUBSTITUTE(TRIM(B129),".",""),"-","")," ","")),LEN(UPPER(SUBSTITUTE(SUBSTITUTE(SUBSTITUTE(TRIM(B129),".",""),"-","")," ","")))-1))&amp;RIGHT(UPPER(SUBSTITUTE(SUBSTITUTE(SUBSTITUTE(TRIM(B129),".",""),"-","")," ","")),1),UPPER(SUBSTITUTE(SUBSTITUTE(SUBSTITUTE(TRIM(B129),".",""),"-","")," ",""))))</f>
        <v/>
      </c>
      <c r="AH129" s="62" t="str">
        <f aca="false">IF(B129="","",COUNTIFS(C_RUTN,AG129,C_DEF,"Sí",C_INI,"&lt;="&amp;FECHA_CORTE))</f>
        <v/>
      </c>
      <c r="AI129" s="62" t="str">
        <f aca="false">IF(B129="","",COUNTIFS(C_RUTN,AG129,C_DEF,"Sí"))</f>
        <v/>
      </c>
      <c r="AJ129" s="66" t="str">
        <f aca="false">IF(OR(B129="",N(AI129)&lt;=N(AH129)),"",IFERROR(INDEX(C_INI,MATCH(AG129&amp;"-P"&amp;(AH129+1),C_CLAVE,0)),""))</f>
        <v/>
      </c>
      <c r="AK129" s="63" t="str">
        <f aca="false">IF(O129&lt;&gt;"Activo","",Q129+N(K129)+IF(L129="Sí",MIN(GRAT_PCT*(Q129+N(K129)),GRAT_TOPE),0)+N(I129)+N(J129))</f>
        <v/>
      </c>
      <c r="AL129" s="63" t="str">
        <f aca="false">IF(O129&lt;&gt;"Activo","",MIN(AK129,TOPE_IAS_UF*UF_MES))</f>
        <v/>
      </c>
      <c r="AM129" s="62" t="str">
        <f aca="false">IF(AND(O129="Activo",ISNUMBER(V129),W129&lt;&gt;"Renovación registrada"),V129+ROW()/100000,"")</f>
        <v/>
      </c>
      <c r="AN129" s="70" t="str">
        <f aca="false">IF(OR(O129&lt;&gt;"Activo",NOT(ISNUMBER(U129))),"",IF(U129&lt;FECHA_CORTE,"",1.25*(DATEDIF(F129,U129+1,"m")+(U129+1-EDATE(F129,DATEDIF(F129,U129+1,"m")))/30)-Z129))</f>
        <v/>
      </c>
      <c r="AO129" s="66" t="str">
        <f aca="false">IF(OR(B129="",NOT(ISNUMBER(F129))),"",IF(N(G129)&gt;0,MIN(G129,FECHA_CORTE),FECHA_CORTE))</f>
        <v/>
      </c>
    </row>
    <row r="130" customFormat="false" ht="15" hidden="false" customHeight="false" outlineLevel="0" collapsed="false">
      <c r="B130" s="58"/>
      <c r="C130" s="58"/>
      <c r="D130" s="58"/>
      <c r="E130" s="58"/>
      <c r="F130" s="59"/>
      <c r="G130" s="59"/>
      <c r="H130" s="58"/>
      <c r="I130" s="60"/>
      <c r="J130" s="60"/>
      <c r="K130" s="60"/>
      <c r="L130" s="58"/>
      <c r="M130" s="61"/>
      <c r="N130" s="58"/>
      <c r="O130" s="62" t="str">
        <f aca="false">IF(B130="","",IF(NOT(ISNUMBER(F130)),"⚠ Falta ingreso",IF(F130&gt;FECHA_CORTE,"Por ingresar",IF(G130="","Activo",IF(G130&lt;FECHA_CORTE,"Desvinculado","Activo")))))</f>
        <v/>
      </c>
      <c r="P130" s="62" t="str">
        <f aca="false">IF(OR(B130="",NOT(ISNUMBER(F130))),"",IF(F130&gt;FECHA_CORTE,"",DATEDIF(F130,IF(G130="",FECHA_CORTE,MIN(G130,FECHA_CORTE))+1,"y")&amp;" a "&amp;DATEDIF(F130,IF(G130="",FECHA_CORTE,MIN(G130,FECHA_CORTE))+1,"ym")&amp;" m"))</f>
        <v/>
      </c>
      <c r="Q130" s="63" t="str">
        <f aca="false">IF(B130="","",IFERROR(INDEX(C_SUELDO,MATCH(AG130&amp;"-S"&amp;MAX(1,COUNTIFS(C_RUTN,AG130,C_SUELDO,"&lt;&gt;",C_INI,"&lt;="&amp;FECHA_CORTE)),C_CLAVES,0)),0))</f>
        <v/>
      </c>
      <c r="R130" s="62" t="str">
        <f aca="false">IF(B130="","",IF(N(AI130)=0,"Sin contrato",IFERROR(INDEX(C_TIPO,MATCH(AG130&amp;"-P"&amp;MAX(1,AH130),C_CLAVE,0))&amp;"","")))</f>
        <v/>
      </c>
      <c r="S130" s="64" t="str">
        <f aca="false">IF(R130="Plazo fijo",IFERROR(INDEX(C_NPF,MATCH(AG130&amp;"-P"&amp;MAX(1,AH130),C_CLAVE,0)),""),"")</f>
        <v/>
      </c>
      <c r="T130" s="65" t="str">
        <f aca="false">IF(B130="","",COUNTIFS(C_RUTN,AG130,C_TIPODOC,"Anexo de modificación"))</f>
        <v/>
      </c>
      <c r="U130" s="66" t="str">
        <f aca="false">IF(AND(OR(R130="Plazo fijo",R130="Obra o faena"),O130&lt;&gt;"Desvinculado"),IFERROR(IF(N(INDEX(C_TER,MATCH(AG130&amp;"-P"&amp;MAX(1,AH130),C_CLAVE,0)))=0,"",INDEX(C_TER,MATCH(AG130&amp;"-P"&amp;MAX(1,AH130),C_CLAVE,0))),""),"")</f>
        <v/>
      </c>
      <c r="V130" s="67" t="str">
        <f aca="false">IF(ISNUMBER(U130),U130-FECHA_CORTE,"")</f>
        <v/>
      </c>
      <c r="W130" s="62" t="str">
        <f aca="false">IF(B130="","",IF(O130="Desvinculado","Terminado",IF(N(AI130)=0,"Sin contrato registrado",IF(O130="Por ingresar","Por ingresar",IF(ISNUMBER(AJ130),"Renovación registrada",IF(R130="Indefinido","Indefinido",IF(NOT(ISNUMBER(V130)),"Falta fecha de término",IF(V130&lt;0,"VENCIDO",IF(V130&lt;=ALERTA_ROJA,"Vence en ≤ "&amp;ALERTA_ROJA&amp;" días",IF(V130&lt;=ALERTA_NARANJA,"Vence en ≤ "&amp;ALERTA_NARANJA&amp;" días",IF(V130&lt;=ALERTA_AMARILLA,"Vence en ≤ "&amp;ALERTA_AMARILLA&amp;" días","Vigente")))))))))))</f>
        <v/>
      </c>
      <c r="X130" s="62" t="str">
        <f aca="false">IF(B130="","",IF(W130="Terminado","—",IF(W130="Sin contrato registrado","Registrar su contrato en la hoja Contratos",IF(W130="Por ingresar","Tener el contrato firmado antes del ingreso",IF(W130="Renovación registrada","Siguiente contrato ya registrado: verificar que esté firmado",IF(R130="Indefinido","Sin vencimiento. Cambios de sueldo o cargo: anexo de modificación",IF(W130="Falta fecha de término","Completar la fecha de término en Contratos",IF(W130="VENCIDO","Sigue trabajando con plazo vencido: por ley ya es INDEFINIDO. Firmar anexo de paso a indefinido",IF(R130="Obra o faena","Al terminar la obra: finiquito + 2,5 días de sueldo por mes trabajado",IF(N(S130)&gt;=2,"2° contrato a plazo: NO se puede renovar otra vez a plazo fijo. Pasar a indefinido o terminar al vencer","1er contrato a plazo: renovar (2° contrato), pasar a indefinido o terminar al vencer"))))))))))</f>
        <v/>
      </c>
      <c r="Y130" s="68" t="str">
        <f aca="false">IF(O130&lt;&gt;"Activo","",ROUND(1.25*(DATEDIF(F130,AO130+1,"m")+(AO130+1-EDATE(F130,DATEDIF(F130,AO130+1,"m")))/30),2))</f>
        <v/>
      </c>
      <c r="Z130" s="68" t="str">
        <f aca="false">IF(O130&lt;&gt;"Activo","",N(M130)+SUMIFS(M_VAC,M_RUTN,AG130,M_MES,"&lt;="&amp;FECHA_CORTE))</f>
        <v/>
      </c>
      <c r="AA130" s="68" t="str">
        <f aca="false">IF(O130&lt;&gt;"Activo","",Y130-Z130)</f>
        <v/>
      </c>
      <c r="AB130" s="63" t="str">
        <f aca="false">IF(O130&lt;&gt;"Activo","",ROUND(MAX(0,IF(AA130&lt;=0,0,WORKDAY(FECHA_CORTE,INT(AA130),FERIADOS)-FECHA_CORTE+(AA130-INT(AA130))))*(Q130+N(K130))/30,0))</f>
        <v/>
      </c>
      <c r="AC130" s="65" t="str">
        <f aca="false">IF(O130&lt;&gt;"Activo","",IF(DATEDIF(F130,FECHA_CORTE+1,"y")&lt;1,0,MIN(TOPE_ANIOS,DATEDIF(F130,FECHA_CORTE+1,"y")+IF(EDATE(F130,12*DATEDIF(F130,FECHA_CORTE+1,"y")+6)&lt;FECHA_CORTE+1,1,0))))</f>
        <v/>
      </c>
      <c r="AD130" s="69" t="str">
        <f aca="false">IF(O130&lt;&gt;"Activo","",AB130+IF(R130="Obra o faena",0,ROUND(AL130*AC130,0)+ROUND(AL130,0)))</f>
        <v/>
      </c>
      <c r="AE130" s="69" t="str">
        <f aca="false">IF(O130&lt;&gt;"Activo","",AB130)</f>
        <v/>
      </c>
      <c r="AF130" s="69" t="str">
        <f aca="false">IF(AN130="","",IF(ISNUMBER(AJ130),"",ROUND(MAX(0,IF(AN130&lt;=0,0,WORKDAY(U130,INT(AN130),FERIADOS)-U130+(AN130-INT(AN130))))*(Q130+N(K130))/30,0)+IF(R130="Obra o faena",ROUND(OBRA_DIAS*AL130/30*(DATEDIF(F130,U130+1,"m")+IF(U130+1-EDATE(F130,DATEDIF(F130,U130+1,"m"))&gt;15,1,0)),0),0)))</f>
        <v/>
      </c>
      <c r="AG130" s="62" t="str">
        <f aca="false">IF(B130="","",IFERROR(VALUE(LEFT(UPPER(SUBSTITUTE(SUBSTITUTE(SUBSTITUTE(TRIM(B130),".",""),"-","")," ","")),LEN(UPPER(SUBSTITUTE(SUBSTITUTE(SUBSTITUTE(TRIM(B130),".",""),"-","")," ","")))-1))&amp;RIGHT(UPPER(SUBSTITUTE(SUBSTITUTE(SUBSTITUTE(TRIM(B130),".",""),"-","")," ","")),1),UPPER(SUBSTITUTE(SUBSTITUTE(SUBSTITUTE(TRIM(B130),".",""),"-","")," ",""))))</f>
        <v/>
      </c>
      <c r="AH130" s="62" t="str">
        <f aca="false">IF(B130="","",COUNTIFS(C_RUTN,AG130,C_DEF,"Sí",C_INI,"&lt;="&amp;FECHA_CORTE))</f>
        <v/>
      </c>
      <c r="AI130" s="62" t="str">
        <f aca="false">IF(B130="","",COUNTIFS(C_RUTN,AG130,C_DEF,"Sí"))</f>
        <v/>
      </c>
      <c r="AJ130" s="66" t="str">
        <f aca="false">IF(OR(B130="",N(AI130)&lt;=N(AH130)),"",IFERROR(INDEX(C_INI,MATCH(AG130&amp;"-P"&amp;(AH130+1),C_CLAVE,0)),""))</f>
        <v/>
      </c>
      <c r="AK130" s="63" t="str">
        <f aca="false">IF(O130&lt;&gt;"Activo","",Q130+N(K130)+IF(L130="Sí",MIN(GRAT_PCT*(Q130+N(K130)),GRAT_TOPE),0)+N(I130)+N(J130))</f>
        <v/>
      </c>
      <c r="AL130" s="63" t="str">
        <f aca="false">IF(O130&lt;&gt;"Activo","",MIN(AK130,TOPE_IAS_UF*UF_MES))</f>
        <v/>
      </c>
      <c r="AM130" s="62" t="str">
        <f aca="false">IF(AND(O130="Activo",ISNUMBER(V130),W130&lt;&gt;"Renovación registrada"),V130+ROW()/100000,"")</f>
        <v/>
      </c>
      <c r="AN130" s="70" t="str">
        <f aca="false">IF(OR(O130&lt;&gt;"Activo",NOT(ISNUMBER(U130))),"",IF(U130&lt;FECHA_CORTE,"",1.25*(DATEDIF(F130,U130+1,"m")+(U130+1-EDATE(F130,DATEDIF(F130,U130+1,"m")))/30)-Z130))</f>
        <v/>
      </c>
      <c r="AO130" s="66" t="str">
        <f aca="false">IF(OR(B130="",NOT(ISNUMBER(F130))),"",IF(N(G130)&gt;0,MIN(G130,FECHA_CORTE),FECHA_CORTE))</f>
        <v/>
      </c>
    </row>
    <row r="131" customFormat="false" ht="15" hidden="false" customHeight="false" outlineLevel="0" collapsed="false">
      <c r="B131" s="58"/>
      <c r="C131" s="58"/>
      <c r="D131" s="58"/>
      <c r="E131" s="58"/>
      <c r="F131" s="59"/>
      <c r="G131" s="59"/>
      <c r="H131" s="58"/>
      <c r="I131" s="60"/>
      <c r="J131" s="60"/>
      <c r="K131" s="60"/>
      <c r="L131" s="58"/>
      <c r="M131" s="61"/>
      <c r="N131" s="58"/>
      <c r="O131" s="62" t="str">
        <f aca="false">IF(B131="","",IF(NOT(ISNUMBER(F131)),"⚠ Falta ingreso",IF(F131&gt;FECHA_CORTE,"Por ingresar",IF(G131="","Activo",IF(G131&lt;FECHA_CORTE,"Desvinculado","Activo")))))</f>
        <v/>
      </c>
      <c r="P131" s="62" t="str">
        <f aca="false">IF(OR(B131="",NOT(ISNUMBER(F131))),"",IF(F131&gt;FECHA_CORTE,"",DATEDIF(F131,IF(G131="",FECHA_CORTE,MIN(G131,FECHA_CORTE))+1,"y")&amp;" a "&amp;DATEDIF(F131,IF(G131="",FECHA_CORTE,MIN(G131,FECHA_CORTE))+1,"ym")&amp;" m"))</f>
        <v/>
      </c>
      <c r="Q131" s="63" t="str">
        <f aca="false">IF(B131="","",IFERROR(INDEX(C_SUELDO,MATCH(AG131&amp;"-S"&amp;MAX(1,COUNTIFS(C_RUTN,AG131,C_SUELDO,"&lt;&gt;",C_INI,"&lt;="&amp;FECHA_CORTE)),C_CLAVES,0)),0))</f>
        <v/>
      </c>
      <c r="R131" s="62" t="str">
        <f aca="false">IF(B131="","",IF(N(AI131)=0,"Sin contrato",IFERROR(INDEX(C_TIPO,MATCH(AG131&amp;"-P"&amp;MAX(1,AH131),C_CLAVE,0))&amp;"","")))</f>
        <v/>
      </c>
      <c r="S131" s="64" t="str">
        <f aca="false">IF(R131="Plazo fijo",IFERROR(INDEX(C_NPF,MATCH(AG131&amp;"-P"&amp;MAX(1,AH131),C_CLAVE,0)),""),"")</f>
        <v/>
      </c>
      <c r="T131" s="65" t="str">
        <f aca="false">IF(B131="","",COUNTIFS(C_RUTN,AG131,C_TIPODOC,"Anexo de modificación"))</f>
        <v/>
      </c>
      <c r="U131" s="66" t="str">
        <f aca="false">IF(AND(OR(R131="Plazo fijo",R131="Obra o faena"),O131&lt;&gt;"Desvinculado"),IFERROR(IF(N(INDEX(C_TER,MATCH(AG131&amp;"-P"&amp;MAX(1,AH131),C_CLAVE,0)))=0,"",INDEX(C_TER,MATCH(AG131&amp;"-P"&amp;MAX(1,AH131),C_CLAVE,0))),""),"")</f>
        <v/>
      </c>
      <c r="V131" s="67" t="str">
        <f aca="false">IF(ISNUMBER(U131),U131-FECHA_CORTE,"")</f>
        <v/>
      </c>
      <c r="W131" s="62" t="str">
        <f aca="false">IF(B131="","",IF(O131="Desvinculado","Terminado",IF(N(AI131)=0,"Sin contrato registrado",IF(O131="Por ingresar","Por ingresar",IF(ISNUMBER(AJ131),"Renovación registrada",IF(R131="Indefinido","Indefinido",IF(NOT(ISNUMBER(V131)),"Falta fecha de término",IF(V131&lt;0,"VENCIDO",IF(V131&lt;=ALERTA_ROJA,"Vence en ≤ "&amp;ALERTA_ROJA&amp;" días",IF(V131&lt;=ALERTA_NARANJA,"Vence en ≤ "&amp;ALERTA_NARANJA&amp;" días",IF(V131&lt;=ALERTA_AMARILLA,"Vence en ≤ "&amp;ALERTA_AMARILLA&amp;" días","Vigente")))))))))))</f>
        <v/>
      </c>
      <c r="X131" s="62" t="str">
        <f aca="false">IF(B131="","",IF(W131="Terminado","—",IF(W131="Sin contrato registrado","Registrar su contrato en la hoja Contratos",IF(W131="Por ingresar","Tener el contrato firmado antes del ingreso",IF(W131="Renovación registrada","Siguiente contrato ya registrado: verificar que esté firmado",IF(R131="Indefinido","Sin vencimiento. Cambios de sueldo o cargo: anexo de modificación",IF(W131="Falta fecha de término","Completar la fecha de término en Contratos",IF(W131="VENCIDO","Sigue trabajando con plazo vencido: por ley ya es INDEFINIDO. Firmar anexo de paso a indefinido",IF(R131="Obra o faena","Al terminar la obra: finiquito + 2,5 días de sueldo por mes trabajado",IF(N(S131)&gt;=2,"2° contrato a plazo: NO se puede renovar otra vez a plazo fijo. Pasar a indefinido o terminar al vencer","1er contrato a plazo: renovar (2° contrato), pasar a indefinido o terminar al vencer"))))))))))</f>
        <v/>
      </c>
      <c r="Y131" s="68" t="str">
        <f aca="false">IF(O131&lt;&gt;"Activo","",ROUND(1.25*(DATEDIF(F131,AO131+1,"m")+(AO131+1-EDATE(F131,DATEDIF(F131,AO131+1,"m")))/30),2))</f>
        <v/>
      </c>
      <c r="Z131" s="68" t="str">
        <f aca="false">IF(O131&lt;&gt;"Activo","",N(M131)+SUMIFS(M_VAC,M_RUTN,AG131,M_MES,"&lt;="&amp;FECHA_CORTE))</f>
        <v/>
      </c>
      <c r="AA131" s="68" t="str">
        <f aca="false">IF(O131&lt;&gt;"Activo","",Y131-Z131)</f>
        <v/>
      </c>
      <c r="AB131" s="63" t="str">
        <f aca="false">IF(O131&lt;&gt;"Activo","",ROUND(MAX(0,IF(AA131&lt;=0,0,WORKDAY(FECHA_CORTE,INT(AA131),FERIADOS)-FECHA_CORTE+(AA131-INT(AA131))))*(Q131+N(K131))/30,0))</f>
        <v/>
      </c>
      <c r="AC131" s="65" t="str">
        <f aca="false">IF(O131&lt;&gt;"Activo","",IF(DATEDIF(F131,FECHA_CORTE+1,"y")&lt;1,0,MIN(TOPE_ANIOS,DATEDIF(F131,FECHA_CORTE+1,"y")+IF(EDATE(F131,12*DATEDIF(F131,FECHA_CORTE+1,"y")+6)&lt;FECHA_CORTE+1,1,0))))</f>
        <v/>
      </c>
      <c r="AD131" s="69" t="str">
        <f aca="false">IF(O131&lt;&gt;"Activo","",AB131+IF(R131="Obra o faena",0,ROUND(AL131*AC131,0)+ROUND(AL131,0)))</f>
        <v/>
      </c>
      <c r="AE131" s="69" t="str">
        <f aca="false">IF(O131&lt;&gt;"Activo","",AB131)</f>
        <v/>
      </c>
      <c r="AF131" s="69" t="str">
        <f aca="false">IF(AN131="","",IF(ISNUMBER(AJ131),"",ROUND(MAX(0,IF(AN131&lt;=0,0,WORKDAY(U131,INT(AN131),FERIADOS)-U131+(AN131-INT(AN131))))*(Q131+N(K131))/30,0)+IF(R131="Obra o faena",ROUND(OBRA_DIAS*AL131/30*(DATEDIF(F131,U131+1,"m")+IF(U131+1-EDATE(F131,DATEDIF(F131,U131+1,"m"))&gt;15,1,0)),0),0)))</f>
        <v/>
      </c>
      <c r="AG131" s="62" t="str">
        <f aca="false">IF(B131="","",IFERROR(VALUE(LEFT(UPPER(SUBSTITUTE(SUBSTITUTE(SUBSTITUTE(TRIM(B131),".",""),"-","")," ","")),LEN(UPPER(SUBSTITUTE(SUBSTITUTE(SUBSTITUTE(TRIM(B131),".",""),"-","")," ","")))-1))&amp;RIGHT(UPPER(SUBSTITUTE(SUBSTITUTE(SUBSTITUTE(TRIM(B131),".",""),"-","")," ","")),1),UPPER(SUBSTITUTE(SUBSTITUTE(SUBSTITUTE(TRIM(B131),".",""),"-","")," ",""))))</f>
        <v/>
      </c>
      <c r="AH131" s="62" t="str">
        <f aca="false">IF(B131="","",COUNTIFS(C_RUTN,AG131,C_DEF,"Sí",C_INI,"&lt;="&amp;FECHA_CORTE))</f>
        <v/>
      </c>
      <c r="AI131" s="62" t="str">
        <f aca="false">IF(B131="","",COUNTIFS(C_RUTN,AG131,C_DEF,"Sí"))</f>
        <v/>
      </c>
      <c r="AJ131" s="66" t="str">
        <f aca="false">IF(OR(B131="",N(AI131)&lt;=N(AH131)),"",IFERROR(INDEX(C_INI,MATCH(AG131&amp;"-P"&amp;(AH131+1),C_CLAVE,0)),""))</f>
        <v/>
      </c>
      <c r="AK131" s="63" t="str">
        <f aca="false">IF(O131&lt;&gt;"Activo","",Q131+N(K131)+IF(L131="Sí",MIN(GRAT_PCT*(Q131+N(K131)),GRAT_TOPE),0)+N(I131)+N(J131))</f>
        <v/>
      </c>
      <c r="AL131" s="63" t="str">
        <f aca="false">IF(O131&lt;&gt;"Activo","",MIN(AK131,TOPE_IAS_UF*UF_MES))</f>
        <v/>
      </c>
      <c r="AM131" s="62" t="str">
        <f aca="false">IF(AND(O131="Activo",ISNUMBER(V131),W131&lt;&gt;"Renovación registrada"),V131+ROW()/100000,"")</f>
        <v/>
      </c>
      <c r="AN131" s="70" t="str">
        <f aca="false">IF(OR(O131&lt;&gt;"Activo",NOT(ISNUMBER(U131))),"",IF(U131&lt;FECHA_CORTE,"",1.25*(DATEDIF(F131,U131+1,"m")+(U131+1-EDATE(F131,DATEDIF(F131,U131+1,"m")))/30)-Z131))</f>
        <v/>
      </c>
      <c r="AO131" s="66" t="str">
        <f aca="false">IF(OR(B131="",NOT(ISNUMBER(F131))),"",IF(N(G131)&gt;0,MIN(G131,FECHA_CORTE),FECHA_CORTE))</f>
        <v/>
      </c>
    </row>
    <row r="132" customFormat="false" ht="15" hidden="false" customHeight="false" outlineLevel="0" collapsed="false">
      <c r="B132" s="58"/>
      <c r="C132" s="58"/>
      <c r="D132" s="58"/>
      <c r="E132" s="58"/>
      <c r="F132" s="59"/>
      <c r="G132" s="59"/>
      <c r="H132" s="58"/>
      <c r="I132" s="60"/>
      <c r="J132" s="60"/>
      <c r="K132" s="60"/>
      <c r="L132" s="58"/>
      <c r="M132" s="61"/>
      <c r="N132" s="58"/>
      <c r="O132" s="62" t="str">
        <f aca="false">IF(B132="","",IF(NOT(ISNUMBER(F132)),"⚠ Falta ingreso",IF(F132&gt;FECHA_CORTE,"Por ingresar",IF(G132="","Activo",IF(G132&lt;FECHA_CORTE,"Desvinculado","Activo")))))</f>
        <v/>
      </c>
      <c r="P132" s="62" t="str">
        <f aca="false">IF(OR(B132="",NOT(ISNUMBER(F132))),"",IF(F132&gt;FECHA_CORTE,"",DATEDIF(F132,IF(G132="",FECHA_CORTE,MIN(G132,FECHA_CORTE))+1,"y")&amp;" a "&amp;DATEDIF(F132,IF(G132="",FECHA_CORTE,MIN(G132,FECHA_CORTE))+1,"ym")&amp;" m"))</f>
        <v/>
      </c>
      <c r="Q132" s="63" t="str">
        <f aca="false">IF(B132="","",IFERROR(INDEX(C_SUELDO,MATCH(AG132&amp;"-S"&amp;MAX(1,COUNTIFS(C_RUTN,AG132,C_SUELDO,"&lt;&gt;",C_INI,"&lt;="&amp;FECHA_CORTE)),C_CLAVES,0)),0))</f>
        <v/>
      </c>
      <c r="R132" s="62" t="str">
        <f aca="false">IF(B132="","",IF(N(AI132)=0,"Sin contrato",IFERROR(INDEX(C_TIPO,MATCH(AG132&amp;"-P"&amp;MAX(1,AH132),C_CLAVE,0))&amp;"","")))</f>
        <v/>
      </c>
      <c r="S132" s="64" t="str">
        <f aca="false">IF(R132="Plazo fijo",IFERROR(INDEX(C_NPF,MATCH(AG132&amp;"-P"&amp;MAX(1,AH132),C_CLAVE,0)),""),"")</f>
        <v/>
      </c>
      <c r="T132" s="65" t="str">
        <f aca="false">IF(B132="","",COUNTIFS(C_RUTN,AG132,C_TIPODOC,"Anexo de modificación"))</f>
        <v/>
      </c>
      <c r="U132" s="66" t="str">
        <f aca="false">IF(AND(OR(R132="Plazo fijo",R132="Obra o faena"),O132&lt;&gt;"Desvinculado"),IFERROR(IF(N(INDEX(C_TER,MATCH(AG132&amp;"-P"&amp;MAX(1,AH132),C_CLAVE,0)))=0,"",INDEX(C_TER,MATCH(AG132&amp;"-P"&amp;MAX(1,AH132),C_CLAVE,0))),""),"")</f>
        <v/>
      </c>
      <c r="V132" s="67" t="str">
        <f aca="false">IF(ISNUMBER(U132),U132-FECHA_CORTE,"")</f>
        <v/>
      </c>
      <c r="W132" s="62" t="str">
        <f aca="false">IF(B132="","",IF(O132="Desvinculado","Terminado",IF(N(AI132)=0,"Sin contrato registrado",IF(O132="Por ingresar","Por ingresar",IF(ISNUMBER(AJ132),"Renovación registrada",IF(R132="Indefinido","Indefinido",IF(NOT(ISNUMBER(V132)),"Falta fecha de término",IF(V132&lt;0,"VENCIDO",IF(V132&lt;=ALERTA_ROJA,"Vence en ≤ "&amp;ALERTA_ROJA&amp;" días",IF(V132&lt;=ALERTA_NARANJA,"Vence en ≤ "&amp;ALERTA_NARANJA&amp;" días",IF(V132&lt;=ALERTA_AMARILLA,"Vence en ≤ "&amp;ALERTA_AMARILLA&amp;" días","Vigente")))))))))))</f>
        <v/>
      </c>
      <c r="X132" s="62" t="str">
        <f aca="false">IF(B132="","",IF(W132="Terminado","—",IF(W132="Sin contrato registrado","Registrar su contrato en la hoja Contratos",IF(W132="Por ingresar","Tener el contrato firmado antes del ingreso",IF(W132="Renovación registrada","Siguiente contrato ya registrado: verificar que esté firmado",IF(R132="Indefinido","Sin vencimiento. Cambios de sueldo o cargo: anexo de modificación",IF(W132="Falta fecha de término","Completar la fecha de término en Contratos",IF(W132="VENCIDO","Sigue trabajando con plazo vencido: por ley ya es INDEFINIDO. Firmar anexo de paso a indefinido",IF(R132="Obra o faena","Al terminar la obra: finiquito + 2,5 días de sueldo por mes trabajado",IF(N(S132)&gt;=2,"2° contrato a plazo: NO se puede renovar otra vez a plazo fijo. Pasar a indefinido o terminar al vencer","1er contrato a plazo: renovar (2° contrato), pasar a indefinido o terminar al vencer"))))))))))</f>
        <v/>
      </c>
      <c r="Y132" s="68" t="str">
        <f aca="false">IF(O132&lt;&gt;"Activo","",ROUND(1.25*(DATEDIF(F132,AO132+1,"m")+(AO132+1-EDATE(F132,DATEDIF(F132,AO132+1,"m")))/30),2))</f>
        <v/>
      </c>
      <c r="Z132" s="68" t="str">
        <f aca="false">IF(O132&lt;&gt;"Activo","",N(M132)+SUMIFS(M_VAC,M_RUTN,AG132,M_MES,"&lt;="&amp;FECHA_CORTE))</f>
        <v/>
      </c>
      <c r="AA132" s="68" t="str">
        <f aca="false">IF(O132&lt;&gt;"Activo","",Y132-Z132)</f>
        <v/>
      </c>
      <c r="AB132" s="63" t="str">
        <f aca="false">IF(O132&lt;&gt;"Activo","",ROUND(MAX(0,IF(AA132&lt;=0,0,WORKDAY(FECHA_CORTE,INT(AA132),FERIADOS)-FECHA_CORTE+(AA132-INT(AA132))))*(Q132+N(K132))/30,0))</f>
        <v/>
      </c>
      <c r="AC132" s="65" t="str">
        <f aca="false">IF(O132&lt;&gt;"Activo","",IF(DATEDIF(F132,FECHA_CORTE+1,"y")&lt;1,0,MIN(TOPE_ANIOS,DATEDIF(F132,FECHA_CORTE+1,"y")+IF(EDATE(F132,12*DATEDIF(F132,FECHA_CORTE+1,"y")+6)&lt;FECHA_CORTE+1,1,0))))</f>
        <v/>
      </c>
      <c r="AD132" s="69" t="str">
        <f aca="false">IF(O132&lt;&gt;"Activo","",AB132+IF(R132="Obra o faena",0,ROUND(AL132*AC132,0)+ROUND(AL132,0)))</f>
        <v/>
      </c>
      <c r="AE132" s="69" t="str">
        <f aca="false">IF(O132&lt;&gt;"Activo","",AB132)</f>
        <v/>
      </c>
      <c r="AF132" s="69" t="str">
        <f aca="false">IF(AN132="","",IF(ISNUMBER(AJ132),"",ROUND(MAX(0,IF(AN132&lt;=0,0,WORKDAY(U132,INT(AN132),FERIADOS)-U132+(AN132-INT(AN132))))*(Q132+N(K132))/30,0)+IF(R132="Obra o faena",ROUND(OBRA_DIAS*AL132/30*(DATEDIF(F132,U132+1,"m")+IF(U132+1-EDATE(F132,DATEDIF(F132,U132+1,"m"))&gt;15,1,0)),0),0)))</f>
        <v/>
      </c>
      <c r="AG132" s="62" t="str">
        <f aca="false">IF(B132="","",IFERROR(VALUE(LEFT(UPPER(SUBSTITUTE(SUBSTITUTE(SUBSTITUTE(TRIM(B132),".",""),"-","")," ","")),LEN(UPPER(SUBSTITUTE(SUBSTITUTE(SUBSTITUTE(TRIM(B132),".",""),"-","")," ","")))-1))&amp;RIGHT(UPPER(SUBSTITUTE(SUBSTITUTE(SUBSTITUTE(TRIM(B132),".",""),"-","")," ","")),1),UPPER(SUBSTITUTE(SUBSTITUTE(SUBSTITUTE(TRIM(B132),".",""),"-","")," ",""))))</f>
        <v/>
      </c>
      <c r="AH132" s="62" t="str">
        <f aca="false">IF(B132="","",COUNTIFS(C_RUTN,AG132,C_DEF,"Sí",C_INI,"&lt;="&amp;FECHA_CORTE))</f>
        <v/>
      </c>
      <c r="AI132" s="62" t="str">
        <f aca="false">IF(B132="","",COUNTIFS(C_RUTN,AG132,C_DEF,"Sí"))</f>
        <v/>
      </c>
      <c r="AJ132" s="66" t="str">
        <f aca="false">IF(OR(B132="",N(AI132)&lt;=N(AH132)),"",IFERROR(INDEX(C_INI,MATCH(AG132&amp;"-P"&amp;(AH132+1),C_CLAVE,0)),""))</f>
        <v/>
      </c>
      <c r="AK132" s="63" t="str">
        <f aca="false">IF(O132&lt;&gt;"Activo","",Q132+N(K132)+IF(L132="Sí",MIN(GRAT_PCT*(Q132+N(K132)),GRAT_TOPE),0)+N(I132)+N(J132))</f>
        <v/>
      </c>
      <c r="AL132" s="63" t="str">
        <f aca="false">IF(O132&lt;&gt;"Activo","",MIN(AK132,TOPE_IAS_UF*UF_MES))</f>
        <v/>
      </c>
      <c r="AM132" s="62" t="str">
        <f aca="false">IF(AND(O132="Activo",ISNUMBER(V132),W132&lt;&gt;"Renovación registrada"),V132+ROW()/100000,"")</f>
        <v/>
      </c>
      <c r="AN132" s="70" t="str">
        <f aca="false">IF(OR(O132&lt;&gt;"Activo",NOT(ISNUMBER(U132))),"",IF(U132&lt;FECHA_CORTE,"",1.25*(DATEDIF(F132,U132+1,"m")+(U132+1-EDATE(F132,DATEDIF(F132,U132+1,"m")))/30)-Z132))</f>
        <v/>
      </c>
      <c r="AO132" s="66" t="str">
        <f aca="false">IF(OR(B132="",NOT(ISNUMBER(F132))),"",IF(N(G132)&gt;0,MIN(G132,FECHA_CORTE),FECHA_CORTE))</f>
        <v/>
      </c>
    </row>
    <row r="133" customFormat="false" ht="15" hidden="false" customHeight="false" outlineLevel="0" collapsed="false">
      <c r="B133" s="58"/>
      <c r="C133" s="58"/>
      <c r="D133" s="58"/>
      <c r="E133" s="58"/>
      <c r="F133" s="59"/>
      <c r="G133" s="59"/>
      <c r="H133" s="58"/>
      <c r="I133" s="60"/>
      <c r="J133" s="60"/>
      <c r="K133" s="60"/>
      <c r="L133" s="58"/>
      <c r="M133" s="61"/>
      <c r="N133" s="58"/>
      <c r="O133" s="62" t="str">
        <f aca="false">IF(B133="","",IF(NOT(ISNUMBER(F133)),"⚠ Falta ingreso",IF(F133&gt;FECHA_CORTE,"Por ingresar",IF(G133="","Activo",IF(G133&lt;FECHA_CORTE,"Desvinculado","Activo")))))</f>
        <v/>
      </c>
      <c r="P133" s="62" t="str">
        <f aca="false">IF(OR(B133="",NOT(ISNUMBER(F133))),"",IF(F133&gt;FECHA_CORTE,"",DATEDIF(F133,IF(G133="",FECHA_CORTE,MIN(G133,FECHA_CORTE))+1,"y")&amp;" a "&amp;DATEDIF(F133,IF(G133="",FECHA_CORTE,MIN(G133,FECHA_CORTE))+1,"ym")&amp;" m"))</f>
        <v/>
      </c>
      <c r="Q133" s="63" t="str">
        <f aca="false">IF(B133="","",IFERROR(INDEX(C_SUELDO,MATCH(AG133&amp;"-S"&amp;MAX(1,COUNTIFS(C_RUTN,AG133,C_SUELDO,"&lt;&gt;",C_INI,"&lt;="&amp;FECHA_CORTE)),C_CLAVES,0)),0))</f>
        <v/>
      </c>
      <c r="R133" s="62" t="str">
        <f aca="false">IF(B133="","",IF(N(AI133)=0,"Sin contrato",IFERROR(INDEX(C_TIPO,MATCH(AG133&amp;"-P"&amp;MAX(1,AH133),C_CLAVE,0))&amp;"","")))</f>
        <v/>
      </c>
      <c r="S133" s="64" t="str">
        <f aca="false">IF(R133="Plazo fijo",IFERROR(INDEX(C_NPF,MATCH(AG133&amp;"-P"&amp;MAX(1,AH133),C_CLAVE,0)),""),"")</f>
        <v/>
      </c>
      <c r="T133" s="65" t="str">
        <f aca="false">IF(B133="","",COUNTIFS(C_RUTN,AG133,C_TIPODOC,"Anexo de modificación"))</f>
        <v/>
      </c>
      <c r="U133" s="66" t="str">
        <f aca="false">IF(AND(OR(R133="Plazo fijo",R133="Obra o faena"),O133&lt;&gt;"Desvinculado"),IFERROR(IF(N(INDEX(C_TER,MATCH(AG133&amp;"-P"&amp;MAX(1,AH133),C_CLAVE,0)))=0,"",INDEX(C_TER,MATCH(AG133&amp;"-P"&amp;MAX(1,AH133),C_CLAVE,0))),""),"")</f>
        <v/>
      </c>
      <c r="V133" s="67" t="str">
        <f aca="false">IF(ISNUMBER(U133),U133-FECHA_CORTE,"")</f>
        <v/>
      </c>
      <c r="W133" s="62" t="str">
        <f aca="false">IF(B133="","",IF(O133="Desvinculado","Terminado",IF(N(AI133)=0,"Sin contrato registrado",IF(O133="Por ingresar","Por ingresar",IF(ISNUMBER(AJ133),"Renovación registrada",IF(R133="Indefinido","Indefinido",IF(NOT(ISNUMBER(V133)),"Falta fecha de término",IF(V133&lt;0,"VENCIDO",IF(V133&lt;=ALERTA_ROJA,"Vence en ≤ "&amp;ALERTA_ROJA&amp;" días",IF(V133&lt;=ALERTA_NARANJA,"Vence en ≤ "&amp;ALERTA_NARANJA&amp;" días",IF(V133&lt;=ALERTA_AMARILLA,"Vence en ≤ "&amp;ALERTA_AMARILLA&amp;" días","Vigente")))))))))))</f>
        <v/>
      </c>
      <c r="X133" s="62" t="str">
        <f aca="false">IF(B133="","",IF(W133="Terminado","—",IF(W133="Sin contrato registrado","Registrar su contrato en la hoja Contratos",IF(W133="Por ingresar","Tener el contrato firmado antes del ingreso",IF(W133="Renovación registrada","Siguiente contrato ya registrado: verificar que esté firmado",IF(R133="Indefinido","Sin vencimiento. Cambios de sueldo o cargo: anexo de modificación",IF(W133="Falta fecha de término","Completar la fecha de término en Contratos",IF(W133="VENCIDO","Sigue trabajando con plazo vencido: por ley ya es INDEFINIDO. Firmar anexo de paso a indefinido",IF(R133="Obra o faena","Al terminar la obra: finiquito + 2,5 días de sueldo por mes trabajado",IF(N(S133)&gt;=2,"2° contrato a plazo: NO se puede renovar otra vez a plazo fijo. Pasar a indefinido o terminar al vencer","1er contrato a plazo: renovar (2° contrato), pasar a indefinido o terminar al vencer"))))))))))</f>
        <v/>
      </c>
      <c r="Y133" s="68" t="str">
        <f aca="false">IF(O133&lt;&gt;"Activo","",ROUND(1.25*(DATEDIF(F133,AO133+1,"m")+(AO133+1-EDATE(F133,DATEDIF(F133,AO133+1,"m")))/30),2))</f>
        <v/>
      </c>
      <c r="Z133" s="68" t="str">
        <f aca="false">IF(O133&lt;&gt;"Activo","",N(M133)+SUMIFS(M_VAC,M_RUTN,AG133,M_MES,"&lt;="&amp;FECHA_CORTE))</f>
        <v/>
      </c>
      <c r="AA133" s="68" t="str">
        <f aca="false">IF(O133&lt;&gt;"Activo","",Y133-Z133)</f>
        <v/>
      </c>
      <c r="AB133" s="63" t="str">
        <f aca="false">IF(O133&lt;&gt;"Activo","",ROUND(MAX(0,IF(AA133&lt;=0,0,WORKDAY(FECHA_CORTE,INT(AA133),FERIADOS)-FECHA_CORTE+(AA133-INT(AA133))))*(Q133+N(K133))/30,0))</f>
        <v/>
      </c>
      <c r="AC133" s="65" t="str">
        <f aca="false">IF(O133&lt;&gt;"Activo","",IF(DATEDIF(F133,FECHA_CORTE+1,"y")&lt;1,0,MIN(TOPE_ANIOS,DATEDIF(F133,FECHA_CORTE+1,"y")+IF(EDATE(F133,12*DATEDIF(F133,FECHA_CORTE+1,"y")+6)&lt;FECHA_CORTE+1,1,0))))</f>
        <v/>
      </c>
      <c r="AD133" s="69" t="str">
        <f aca="false">IF(O133&lt;&gt;"Activo","",AB133+IF(R133="Obra o faena",0,ROUND(AL133*AC133,0)+ROUND(AL133,0)))</f>
        <v/>
      </c>
      <c r="AE133" s="69" t="str">
        <f aca="false">IF(O133&lt;&gt;"Activo","",AB133)</f>
        <v/>
      </c>
      <c r="AF133" s="69" t="str">
        <f aca="false">IF(AN133="","",IF(ISNUMBER(AJ133),"",ROUND(MAX(0,IF(AN133&lt;=0,0,WORKDAY(U133,INT(AN133),FERIADOS)-U133+(AN133-INT(AN133))))*(Q133+N(K133))/30,0)+IF(R133="Obra o faena",ROUND(OBRA_DIAS*AL133/30*(DATEDIF(F133,U133+1,"m")+IF(U133+1-EDATE(F133,DATEDIF(F133,U133+1,"m"))&gt;15,1,0)),0),0)))</f>
        <v/>
      </c>
      <c r="AG133" s="62" t="str">
        <f aca="false">IF(B133="","",IFERROR(VALUE(LEFT(UPPER(SUBSTITUTE(SUBSTITUTE(SUBSTITUTE(TRIM(B133),".",""),"-","")," ","")),LEN(UPPER(SUBSTITUTE(SUBSTITUTE(SUBSTITUTE(TRIM(B133),".",""),"-","")," ","")))-1))&amp;RIGHT(UPPER(SUBSTITUTE(SUBSTITUTE(SUBSTITUTE(TRIM(B133),".",""),"-","")," ","")),1),UPPER(SUBSTITUTE(SUBSTITUTE(SUBSTITUTE(TRIM(B133),".",""),"-","")," ",""))))</f>
        <v/>
      </c>
      <c r="AH133" s="62" t="str">
        <f aca="false">IF(B133="","",COUNTIFS(C_RUTN,AG133,C_DEF,"Sí",C_INI,"&lt;="&amp;FECHA_CORTE))</f>
        <v/>
      </c>
      <c r="AI133" s="62" t="str">
        <f aca="false">IF(B133="","",COUNTIFS(C_RUTN,AG133,C_DEF,"Sí"))</f>
        <v/>
      </c>
      <c r="AJ133" s="66" t="str">
        <f aca="false">IF(OR(B133="",N(AI133)&lt;=N(AH133)),"",IFERROR(INDEX(C_INI,MATCH(AG133&amp;"-P"&amp;(AH133+1),C_CLAVE,0)),""))</f>
        <v/>
      </c>
      <c r="AK133" s="63" t="str">
        <f aca="false">IF(O133&lt;&gt;"Activo","",Q133+N(K133)+IF(L133="Sí",MIN(GRAT_PCT*(Q133+N(K133)),GRAT_TOPE),0)+N(I133)+N(J133))</f>
        <v/>
      </c>
      <c r="AL133" s="63" t="str">
        <f aca="false">IF(O133&lt;&gt;"Activo","",MIN(AK133,TOPE_IAS_UF*UF_MES))</f>
        <v/>
      </c>
      <c r="AM133" s="62" t="str">
        <f aca="false">IF(AND(O133="Activo",ISNUMBER(V133),W133&lt;&gt;"Renovación registrada"),V133+ROW()/100000,"")</f>
        <v/>
      </c>
      <c r="AN133" s="70" t="str">
        <f aca="false">IF(OR(O133&lt;&gt;"Activo",NOT(ISNUMBER(U133))),"",IF(U133&lt;FECHA_CORTE,"",1.25*(DATEDIF(F133,U133+1,"m")+(U133+1-EDATE(F133,DATEDIF(F133,U133+1,"m")))/30)-Z133))</f>
        <v/>
      </c>
      <c r="AO133" s="66" t="str">
        <f aca="false">IF(OR(B133="",NOT(ISNUMBER(F133))),"",IF(N(G133)&gt;0,MIN(G133,FECHA_CORTE),FECHA_CORTE))</f>
        <v/>
      </c>
    </row>
    <row r="134" customFormat="false" ht="15" hidden="false" customHeight="false" outlineLevel="0" collapsed="false">
      <c r="B134" s="58"/>
      <c r="C134" s="58"/>
      <c r="D134" s="58"/>
      <c r="E134" s="58"/>
      <c r="F134" s="59"/>
      <c r="G134" s="59"/>
      <c r="H134" s="58"/>
      <c r="I134" s="60"/>
      <c r="J134" s="60"/>
      <c r="K134" s="60"/>
      <c r="L134" s="58"/>
      <c r="M134" s="61"/>
      <c r="N134" s="58"/>
      <c r="O134" s="62" t="str">
        <f aca="false">IF(B134="","",IF(NOT(ISNUMBER(F134)),"⚠ Falta ingreso",IF(F134&gt;FECHA_CORTE,"Por ingresar",IF(G134="","Activo",IF(G134&lt;FECHA_CORTE,"Desvinculado","Activo")))))</f>
        <v/>
      </c>
      <c r="P134" s="62" t="str">
        <f aca="false">IF(OR(B134="",NOT(ISNUMBER(F134))),"",IF(F134&gt;FECHA_CORTE,"",DATEDIF(F134,IF(G134="",FECHA_CORTE,MIN(G134,FECHA_CORTE))+1,"y")&amp;" a "&amp;DATEDIF(F134,IF(G134="",FECHA_CORTE,MIN(G134,FECHA_CORTE))+1,"ym")&amp;" m"))</f>
        <v/>
      </c>
      <c r="Q134" s="63" t="str">
        <f aca="false">IF(B134="","",IFERROR(INDEX(C_SUELDO,MATCH(AG134&amp;"-S"&amp;MAX(1,COUNTIFS(C_RUTN,AG134,C_SUELDO,"&lt;&gt;",C_INI,"&lt;="&amp;FECHA_CORTE)),C_CLAVES,0)),0))</f>
        <v/>
      </c>
      <c r="R134" s="62" t="str">
        <f aca="false">IF(B134="","",IF(N(AI134)=0,"Sin contrato",IFERROR(INDEX(C_TIPO,MATCH(AG134&amp;"-P"&amp;MAX(1,AH134),C_CLAVE,0))&amp;"","")))</f>
        <v/>
      </c>
      <c r="S134" s="64" t="str">
        <f aca="false">IF(R134="Plazo fijo",IFERROR(INDEX(C_NPF,MATCH(AG134&amp;"-P"&amp;MAX(1,AH134),C_CLAVE,0)),""),"")</f>
        <v/>
      </c>
      <c r="T134" s="65" t="str">
        <f aca="false">IF(B134="","",COUNTIFS(C_RUTN,AG134,C_TIPODOC,"Anexo de modificación"))</f>
        <v/>
      </c>
      <c r="U134" s="66" t="str">
        <f aca="false">IF(AND(OR(R134="Plazo fijo",R134="Obra o faena"),O134&lt;&gt;"Desvinculado"),IFERROR(IF(N(INDEX(C_TER,MATCH(AG134&amp;"-P"&amp;MAX(1,AH134),C_CLAVE,0)))=0,"",INDEX(C_TER,MATCH(AG134&amp;"-P"&amp;MAX(1,AH134),C_CLAVE,0))),""),"")</f>
        <v/>
      </c>
      <c r="V134" s="67" t="str">
        <f aca="false">IF(ISNUMBER(U134),U134-FECHA_CORTE,"")</f>
        <v/>
      </c>
      <c r="W134" s="62" t="str">
        <f aca="false">IF(B134="","",IF(O134="Desvinculado","Terminado",IF(N(AI134)=0,"Sin contrato registrado",IF(O134="Por ingresar","Por ingresar",IF(ISNUMBER(AJ134),"Renovación registrada",IF(R134="Indefinido","Indefinido",IF(NOT(ISNUMBER(V134)),"Falta fecha de término",IF(V134&lt;0,"VENCIDO",IF(V134&lt;=ALERTA_ROJA,"Vence en ≤ "&amp;ALERTA_ROJA&amp;" días",IF(V134&lt;=ALERTA_NARANJA,"Vence en ≤ "&amp;ALERTA_NARANJA&amp;" días",IF(V134&lt;=ALERTA_AMARILLA,"Vence en ≤ "&amp;ALERTA_AMARILLA&amp;" días","Vigente")))))))))))</f>
        <v/>
      </c>
      <c r="X134" s="62" t="str">
        <f aca="false">IF(B134="","",IF(W134="Terminado","—",IF(W134="Sin contrato registrado","Registrar su contrato en la hoja Contratos",IF(W134="Por ingresar","Tener el contrato firmado antes del ingreso",IF(W134="Renovación registrada","Siguiente contrato ya registrado: verificar que esté firmado",IF(R134="Indefinido","Sin vencimiento. Cambios de sueldo o cargo: anexo de modificación",IF(W134="Falta fecha de término","Completar la fecha de término en Contratos",IF(W134="VENCIDO","Sigue trabajando con plazo vencido: por ley ya es INDEFINIDO. Firmar anexo de paso a indefinido",IF(R134="Obra o faena","Al terminar la obra: finiquito + 2,5 días de sueldo por mes trabajado",IF(N(S134)&gt;=2,"2° contrato a plazo: NO se puede renovar otra vez a plazo fijo. Pasar a indefinido o terminar al vencer","1er contrato a plazo: renovar (2° contrato), pasar a indefinido o terminar al vencer"))))))))))</f>
        <v/>
      </c>
      <c r="Y134" s="68" t="str">
        <f aca="false">IF(O134&lt;&gt;"Activo","",ROUND(1.25*(DATEDIF(F134,AO134+1,"m")+(AO134+1-EDATE(F134,DATEDIF(F134,AO134+1,"m")))/30),2))</f>
        <v/>
      </c>
      <c r="Z134" s="68" t="str">
        <f aca="false">IF(O134&lt;&gt;"Activo","",N(M134)+SUMIFS(M_VAC,M_RUTN,AG134,M_MES,"&lt;="&amp;FECHA_CORTE))</f>
        <v/>
      </c>
      <c r="AA134" s="68" t="str">
        <f aca="false">IF(O134&lt;&gt;"Activo","",Y134-Z134)</f>
        <v/>
      </c>
      <c r="AB134" s="63" t="str">
        <f aca="false">IF(O134&lt;&gt;"Activo","",ROUND(MAX(0,IF(AA134&lt;=0,0,WORKDAY(FECHA_CORTE,INT(AA134),FERIADOS)-FECHA_CORTE+(AA134-INT(AA134))))*(Q134+N(K134))/30,0))</f>
        <v/>
      </c>
      <c r="AC134" s="65" t="str">
        <f aca="false">IF(O134&lt;&gt;"Activo","",IF(DATEDIF(F134,FECHA_CORTE+1,"y")&lt;1,0,MIN(TOPE_ANIOS,DATEDIF(F134,FECHA_CORTE+1,"y")+IF(EDATE(F134,12*DATEDIF(F134,FECHA_CORTE+1,"y")+6)&lt;FECHA_CORTE+1,1,0))))</f>
        <v/>
      </c>
      <c r="AD134" s="69" t="str">
        <f aca="false">IF(O134&lt;&gt;"Activo","",AB134+IF(R134="Obra o faena",0,ROUND(AL134*AC134,0)+ROUND(AL134,0)))</f>
        <v/>
      </c>
      <c r="AE134" s="69" t="str">
        <f aca="false">IF(O134&lt;&gt;"Activo","",AB134)</f>
        <v/>
      </c>
      <c r="AF134" s="69" t="str">
        <f aca="false">IF(AN134="","",IF(ISNUMBER(AJ134),"",ROUND(MAX(0,IF(AN134&lt;=0,0,WORKDAY(U134,INT(AN134),FERIADOS)-U134+(AN134-INT(AN134))))*(Q134+N(K134))/30,0)+IF(R134="Obra o faena",ROUND(OBRA_DIAS*AL134/30*(DATEDIF(F134,U134+1,"m")+IF(U134+1-EDATE(F134,DATEDIF(F134,U134+1,"m"))&gt;15,1,0)),0),0)))</f>
        <v/>
      </c>
      <c r="AG134" s="62" t="str">
        <f aca="false">IF(B134="","",IFERROR(VALUE(LEFT(UPPER(SUBSTITUTE(SUBSTITUTE(SUBSTITUTE(TRIM(B134),".",""),"-","")," ","")),LEN(UPPER(SUBSTITUTE(SUBSTITUTE(SUBSTITUTE(TRIM(B134),".",""),"-","")," ","")))-1))&amp;RIGHT(UPPER(SUBSTITUTE(SUBSTITUTE(SUBSTITUTE(TRIM(B134),".",""),"-","")," ","")),1),UPPER(SUBSTITUTE(SUBSTITUTE(SUBSTITUTE(TRIM(B134),".",""),"-","")," ",""))))</f>
        <v/>
      </c>
      <c r="AH134" s="62" t="str">
        <f aca="false">IF(B134="","",COUNTIFS(C_RUTN,AG134,C_DEF,"Sí",C_INI,"&lt;="&amp;FECHA_CORTE))</f>
        <v/>
      </c>
      <c r="AI134" s="62" t="str">
        <f aca="false">IF(B134="","",COUNTIFS(C_RUTN,AG134,C_DEF,"Sí"))</f>
        <v/>
      </c>
      <c r="AJ134" s="66" t="str">
        <f aca="false">IF(OR(B134="",N(AI134)&lt;=N(AH134)),"",IFERROR(INDEX(C_INI,MATCH(AG134&amp;"-P"&amp;(AH134+1),C_CLAVE,0)),""))</f>
        <v/>
      </c>
      <c r="AK134" s="63" t="str">
        <f aca="false">IF(O134&lt;&gt;"Activo","",Q134+N(K134)+IF(L134="Sí",MIN(GRAT_PCT*(Q134+N(K134)),GRAT_TOPE),0)+N(I134)+N(J134))</f>
        <v/>
      </c>
      <c r="AL134" s="63" t="str">
        <f aca="false">IF(O134&lt;&gt;"Activo","",MIN(AK134,TOPE_IAS_UF*UF_MES))</f>
        <v/>
      </c>
      <c r="AM134" s="62" t="str">
        <f aca="false">IF(AND(O134="Activo",ISNUMBER(V134),W134&lt;&gt;"Renovación registrada"),V134+ROW()/100000,"")</f>
        <v/>
      </c>
      <c r="AN134" s="70" t="str">
        <f aca="false">IF(OR(O134&lt;&gt;"Activo",NOT(ISNUMBER(U134))),"",IF(U134&lt;FECHA_CORTE,"",1.25*(DATEDIF(F134,U134+1,"m")+(U134+1-EDATE(F134,DATEDIF(F134,U134+1,"m")))/30)-Z134))</f>
        <v/>
      </c>
      <c r="AO134" s="66" t="str">
        <f aca="false">IF(OR(B134="",NOT(ISNUMBER(F134))),"",IF(N(G134)&gt;0,MIN(G134,FECHA_CORTE),FECHA_CORTE))</f>
        <v/>
      </c>
    </row>
    <row r="135" customFormat="false" ht="15" hidden="false" customHeight="false" outlineLevel="0" collapsed="false">
      <c r="B135" s="58"/>
      <c r="C135" s="58"/>
      <c r="D135" s="58"/>
      <c r="E135" s="58"/>
      <c r="F135" s="59"/>
      <c r="G135" s="59"/>
      <c r="H135" s="58"/>
      <c r="I135" s="60"/>
      <c r="J135" s="60"/>
      <c r="K135" s="60"/>
      <c r="L135" s="58"/>
      <c r="M135" s="61"/>
      <c r="N135" s="58"/>
      <c r="O135" s="62" t="str">
        <f aca="false">IF(B135="","",IF(NOT(ISNUMBER(F135)),"⚠ Falta ingreso",IF(F135&gt;FECHA_CORTE,"Por ingresar",IF(G135="","Activo",IF(G135&lt;FECHA_CORTE,"Desvinculado","Activo")))))</f>
        <v/>
      </c>
      <c r="P135" s="62" t="str">
        <f aca="false">IF(OR(B135="",NOT(ISNUMBER(F135))),"",IF(F135&gt;FECHA_CORTE,"",DATEDIF(F135,IF(G135="",FECHA_CORTE,MIN(G135,FECHA_CORTE))+1,"y")&amp;" a "&amp;DATEDIF(F135,IF(G135="",FECHA_CORTE,MIN(G135,FECHA_CORTE))+1,"ym")&amp;" m"))</f>
        <v/>
      </c>
      <c r="Q135" s="63" t="str">
        <f aca="false">IF(B135="","",IFERROR(INDEX(C_SUELDO,MATCH(AG135&amp;"-S"&amp;MAX(1,COUNTIFS(C_RUTN,AG135,C_SUELDO,"&lt;&gt;",C_INI,"&lt;="&amp;FECHA_CORTE)),C_CLAVES,0)),0))</f>
        <v/>
      </c>
      <c r="R135" s="62" t="str">
        <f aca="false">IF(B135="","",IF(N(AI135)=0,"Sin contrato",IFERROR(INDEX(C_TIPO,MATCH(AG135&amp;"-P"&amp;MAX(1,AH135),C_CLAVE,0))&amp;"","")))</f>
        <v/>
      </c>
      <c r="S135" s="64" t="str">
        <f aca="false">IF(R135="Plazo fijo",IFERROR(INDEX(C_NPF,MATCH(AG135&amp;"-P"&amp;MAX(1,AH135),C_CLAVE,0)),""),"")</f>
        <v/>
      </c>
      <c r="T135" s="65" t="str">
        <f aca="false">IF(B135="","",COUNTIFS(C_RUTN,AG135,C_TIPODOC,"Anexo de modificación"))</f>
        <v/>
      </c>
      <c r="U135" s="66" t="str">
        <f aca="false">IF(AND(OR(R135="Plazo fijo",R135="Obra o faena"),O135&lt;&gt;"Desvinculado"),IFERROR(IF(N(INDEX(C_TER,MATCH(AG135&amp;"-P"&amp;MAX(1,AH135),C_CLAVE,0)))=0,"",INDEX(C_TER,MATCH(AG135&amp;"-P"&amp;MAX(1,AH135),C_CLAVE,0))),""),"")</f>
        <v/>
      </c>
      <c r="V135" s="67" t="str">
        <f aca="false">IF(ISNUMBER(U135),U135-FECHA_CORTE,"")</f>
        <v/>
      </c>
      <c r="W135" s="62" t="str">
        <f aca="false">IF(B135="","",IF(O135="Desvinculado","Terminado",IF(N(AI135)=0,"Sin contrato registrado",IF(O135="Por ingresar","Por ingresar",IF(ISNUMBER(AJ135),"Renovación registrada",IF(R135="Indefinido","Indefinido",IF(NOT(ISNUMBER(V135)),"Falta fecha de término",IF(V135&lt;0,"VENCIDO",IF(V135&lt;=ALERTA_ROJA,"Vence en ≤ "&amp;ALERTA_ROJA&amp;" días",IF(V135&lt;=ALERTA_NARANJA,"Vence en ≤ "&amp;ALERTA_NARANJA&amp;" días",IF(V135&lt;=ALERTA_AMARILLA,"Vence en ≤ "&amp;ALERTA_AMARILLA&amp;" días","Vigente")))))))))))</f>
        <v/>
      </c>
      <c r="X135" s="62" t="str">
        <f aca="false">IF(B135="","",IF(W135="Terminado","—",IF(W135="Sin contrato registrado","Registrar su contrato en la hoja Contratos",IF(W135="Por ingresar","Tener el contrato firmado antes del ingreso",IF(W135="Renovación registrada","Siguiente contrato ya registrado: verificar que esté firmado",IF(R135="Indefinido","Sin vencimiento. Cambios de sueldo o cargo: anexo de modificación",IF(W135="Falta fecha de término","Completar la fecha de término en Contratos",IF(W135="VENCIDO","Sigue trabajando con plazo vencido: por ley ya es INDEFINIDO. Firmar anexo de paso a indefinido",IF(R135="Obra o faena","Al terminar la obra: finiquito + 2,5 días de sueldo por mes trabajado",IF(N(S135)&gt;=2,"2° contrato a plazo: NO se puede renovar otra vez a plazo fijo. Pasar a indefinido o terminar al vencer","1er contrato a plazo: renovar (2° contrato), pasar a indefinido o terminar al vencer"))))))))))</f>
        <v/>
      </c>
      <c r="Y135" s="68" t="str">
        <f aca="false">IF(O135&lt;&gt;"Activo","",ROUND(1.25*(DATEDIF(F135,AO135+1,"m")+(AO135+1-EDATE(F135,DATEDIF(F135,AO135+1,"m")))/30),2))</f>
        <v/>
      </c>
      <c r="Z135" s="68" t="str">
        <f aca="false">IF(O135&lt;&gt;"Activo","",N(M135)+SUMIFS(M_VAC,M_RUTN,AG135,M_MES,"&lt;="&amp;FECHA_CORTE))</f>
        <v/>
      </c>
      <c r="AA135" s="68" t="str">
        <f aca="false">IF(O135&lt;&gt;"Activo","",Y135-Z135)</f>
        <v/>
      </c>
      <c r="AB135" s="63" t="str">
        <f aca="false">IF(O135&lt;&gt;"Activo","",ROUND(MAX(0,IF(AA135&lt;=0,0,WORKDAY(FECHA_CORTE,INT(AA135),FERIADOS)-FECHA_CORTE+(AA135-INT(AA135))))*(Q135+N(K135))/30,0))</f>
        <v/>
      </c>
      <c r="AC135" s="65" t="str">
        <f aca="false">IF(O135&lt;&gt;"Activo","",IF(DATEDIF(F135,FECHA_CORTE+1,"y")&lt;1,0,MIN(TOPE_ANIOS,DATEDIF(F135,FECHA_CORTE+1,"y")+IF(EDATE(F135,12*DATEDIF(F135,FECHA_CORTE+1,"y")+6)&lt;FECHA_CORTE+1,1,0))))</f>
        <v/>
      </c>
      <c r="AD135" s="69" t="str">
        <f aca="false">IF(O135&lt;&gt;"Activo","",AB135+IF(R135="Obra o faena",0,ROUND(AL135*AC135,0)+ROUND(AL135,0)))</f>
        <v/>
      </c>
      <c r="AE135" s="69" t="str">
        <f aca="false">IF(O135&lt;&gt;"Activo","",AB135)</f>
        <v/>
      </c>
      <c r="AF135" s="69" t="str">
        <f aca="false">IF(AN135="","",IF(ISNUMBER(AJ135),"",ROUND(MAX(0,IF(AN135&lt;=0,0,WORKDAY(U135,INT(AN135),FERIADOS)-U135+(AN135-INT(AN135))))*(Q135+N(K135))/30,0)+IF(R135="Obra o faena",ROUND(OBRA_DIAS*AL135/30*(DATEDIF(F135,U135+1,"m")+IF(U135+1-EDATE(F135,DATEDIF(F135,U135+1,"m"))&gt;15,1,0)),0),0)))</f>
        <v/>
      </c>
      <c r="AG135" s="62" t="str">
        <f aca="false">IF(B135="","",IFERROR(VALUE(LEFT(UPPER(SUBSTITUTE(SUBSTITUTE(SUBSTITUTE(TRIM(B135),".",""),"-","")," ","")),LEN(UPPER(SUBSTITUTE(SUBSTITUTE(SUBSTITUTE(TRIM(B135),".",""),"-","")," ","")))-1))&amp;RIGHT(UPPER(SUBSTITUTE(SUBSTITUTE(SUBSTITUTE(TRIM(B135),".",""),"-","")," ","")),1),UPPER(SUBSTITUTE(SUBSTITUTE(SUBSTITUTE(TRIM(B135),".",""),"-","")," ",""))))</f>
        <v/>
      </c>
      <c r="AH135" s="62" t="str">
        <f aca="false">IF(B135="","",COUNTIFS(C_RUTN,AG135,C_DEF,"Sí",C_INI,"&lt;="&amp;FECHA_CORTE))</f>
        <v/>
      </c>
      <c r="AI135" s="62" t="str">
        <f aca="false">IF(B135="","",COUNTIFS(C_RUTN,AG135,C_DEF,"Sí"))</f>
        <v/>
      </c>
      <c r="AJ135" s="66" t="str">
        <f aca="false">IF(OR(B135="",N(AI135)&lt;=N(AH135)),"",IFERROR(INDEX(C_INI,MATCH(AG135&amp;"-P"&amp;(AH135+1),C_CLAVE,0)),""))</f>
        <v/>
      </c>
      <c r="AK135" s="63" t="str">
        <f aca="false">IF(O135&lt;&gt;"Activo","",Q135+N(K135)+IF(L135="Sí",MIN(GRAT_PCT*(Q135+N(K135)),GRAT_TOPE),0)+N(I135)+N(J135))</f>
        <v/>
      </c>
      <c r="AL135" s="63" t="str">
        <f aca="false">IF(O135&lt;&gt;"Activo","",MIN(AK135,TOPE_IAS_UF*UF_MES))</f>
        <v/>
      </c>
      <c r="AM135" s="62" t="str">
        <f aca="false">IF(AND(O135="Activo",ISNUMBER(V135),W135&lt;&gt;"Renovación registrada"),V135+ROW()/100000,"")</f>
        <v/>
      </c>
      <c r="AN135" s="70" t="str">
        <f aca="false">IF(OR(O135&lt;&gt;"Activo",NOT(ISNUMBER(U135))),"",IF(U135&lt;FECHA_CORTE,"",1.25*(DATEDIF(F135,U135+1,"m")+(U135+1-EDATE(F135,DATEDIF(F135,U135+1,"m")))/30)-Z135))</f>
        <v/>
      </c>
      <c r="AO135" s="66" t="str">
        <f aca="false">IF(OR(B135="",NOT(ISNUMBER(F135))),"",IF(N(G135)&gt;0,MIN(G135,FECHA_CORTE),FECHA_CORTE))</f>
        <v/>
      </c>
    </row>
    <row r="136" customFormat="false" ht="15" hidden="false" customHeight="false" outlineLevel="0" collapsed="false">
      <c r="B136" s="58"/>
      <c r="C136" s="58"/>
      <c r="D136" s="58"/>
      <c r="E136" s="58"/>
      <c r="F136" s="59"/>
      <c r="G136" s="59"/>
      <c r="H136" s="58"/>
      <c r="I136" s="60"/>
      <c r="J136" s="60"/>
      <c r="K136" s="60"/>
      <c r="L136" s="58"/>
      <c r="M136" s="61"/>
      <c r="N136" s="58"/>
      <c r="O136" s="62" t="str">
        <f aca="false">IF(B136="","",IF(NOT(ISNUMBER(F136)),"⚠ Falta ingreso",IF(F136&gt;FECHA_CORTE,"Por ingresar",IF(G136="","Activo",IF(G136&lt;FECHA_CORTE,"Desvinculado","Activo")))))</f>
        <v/>
      </c>
      <c r="P136" s="62" t="str">
        <f aca="false">IF(OR(B136="",NOT(ISNUMBER(F136))),"",IF(F136&gt;FECHA_CORTE,"",DATEDIF(F136,IF(G136="",FECHA_CORTE,MIN(G136,FECHA_CORTE))+1,"y")&amp;" a "&amp;DATEDIF(F136,IF(G136="",FECHA_CORTE,MIN(G136,FECHA_CORTE))+1,"ym")&amp;" m"))</f>
        <v/>
      </c>
      <c r="Q136" s="63" t="str">
        <f aca="false">IF(B136="","",IFERROR(INDEX(C_SUELDO,MATCH(AG136&amp;"-S"&amp;MAX(1,COUNTIFS(C_RUTN,AG136,C_SUELDO,"&lt;&gt;",C_INI,"&lt;="&amp;FECHA_CORTE)),C_CLAVES,0)),0))</f>
        <v/>
      </c>
      <c r="R136" s="62" t="str">
        <f aca="false">IF(B136="","",IF(N(AI136)=0,"Sin contrato",IFERROR(INDEX(C_TIPO,MATCH(AG136&amp;"-P"&amp;MAX(1,AH136),C_CLAVE,0))&amp;"","")))</f>
        <v/>
      </c>
      <c r="S136" s="64" t="str">
        <f aca="false">IF(R136="Plazo fijo",IFERROR(INDEX(C_NPF,MATCH(AG136&amp;"-P"&amp;MAX(1,AH136),C_CLAVE,0)),""),"")</f>
        <v/>
      </c>
      <c r="T136" s="65" t="str">
        <f aca="false">IF(B136="","",COUNTIFS(C_RUTN,AG136,C_TIPODOC,"Anexo de modificación"))</f>
        <v/>
      </c>
      <c r="U136" s="66" t="str">
        <f aca="false">IF(AND(OR(R136="Plazo fijo",R136="Obra o faena"),O136&lt;&gt;"Desvinculado"),IFERROR(IF(N(INDEX(C_TER,MATCH(AG136&amp;"-P"&amp;MAX(1,AH136),C_CLAVE,0)))=0,"",INDEX(C_TER,MATCH(AG136&amp;"-P"&amp;MAX(1,AH136),C_CLAVE,0))),""),"")</f>
        <v/>
      </c>
      <c r="V136" s="67" t="str">
        <f aca="false">IF(ISNUMBER(U136),U136-FECHA_CORTE,"")</f>
        <v/>
      </c>
      <c r="W136" s="62" t="str">
        <f aca="false">IF(B136="","",IF(O136="Desvinculado","Terminado",IF(N(AI136)=0,"Sin contrato registrado",IF(O136="Por ingresar","Por ingresar",IF(ISNUMBER(AJ136),"Renovación registrada",IF(R136="Indefinido","Indefinido",IF(NOT(ISNUMBER(V136)),"Falta fecha de término",IF(V136&lt;0,"VENCIDO",IF(V136&lt;=ALERTA_ROJA,"Vence en ≤ "&amp;ALERTA_ROJA&amp;" días",IF(V136&lt;=ALERTA_NARANJA,"Vence en ≤ "&amp;ALERTA_NARANJA&amp;" días",IF(V136&lt;=ALERTA_AMARILLA,"Vence en ≤ "&amp;ALERTA_AMARILLA&amp;" días","Vigente")))))))))))</f>
        <v/>
      </c>
      <c r="X136" s="62" t="str">
        <f aca="false">IF(B136="","",IF(W136="Terminado","—",IF(W136="Sin contrato registrado","Registrar su contrato en la hoja Contratos",IF(W136="Por ingresar","Tener el contrato firmado antes del ingreso",IF(W136="Renovación registrada","Siguiente contrato ya registrado: verificar que esté firmado",IF(R136="Indefinido","Sin vencimiento. Cambios de sueldo o cargo: anexo de modificación",IF(W136="Falta fecha de término","Completar la fecha de término en Contratos",IF(W136="VENCIDO","Sigue trabajando con plazo vencido: por ley ya es INDEFINIDO. Firmar anexo de paso a indefinido",IF(R136="Obra o faena","Al terminar la obra: finiquito + 2,5 días de sueldo por mes trabajado",IF(N(S136)&gt;=2,"2° contrato a plazo: NO se puede renovar otra vez a plazo fijo. Pasar a indefinido o terminar al vencer","1er contrato a plazo: renovar (2° contrato), pasar a indefinido o terminar al vencer"))))))))))</f>
        <v/>
      </c>
      <c r="Y136" s="68" t="str">
        <f aca="false">IF(O136&lt;&gt;"Activo","",ROUND(1.25*(DATEDIF(F136,AO136+1,"m")+(AO136+1-EDATE(F136,DATEDIF(F136,AO136+1,"m")))/30),2))</f>
        <v/>
      </c>
      <c r="Z136" s="68" t="str">
        <f aca="false">IF(O136&lt;&gt;"Activo","",N(M136)+SUMIFS(M_VAC,M_RUTN,AG136,M_MES,"&lt;="&amp;FECHA_CORTE))</f>
        <v/>
      </c>
      <c r="AA136" s="68" t="str">
        <f aca="false">IF(O136&lt;&gt;"Activo","",Y136-Z136)</f>
        <v/>
      </c>
      <c r="AB136" s="63" t="str">
        <f aca="false">IF(O136&lt;&gt;"Activo","",ROUND(MAX(0,IF(AA136&lt;=0,0,WORKDAY(FECHA_CORTE,INT(AA136),FERIADOS)-FECHA_CORTE+(AA136-INT(AA136))))*(Q136+N(K136))/30,0))</f>
        <v/>
      </c>
      <c r="AC136" s="65" t="str">
        <f aca="false">IF(O136&lt;&gt;"Activo","",IF(DATEDIF(F136,FECHA_CORTE+1,"y")&lt;1,0,MIN(TOPE_ANIOS,DATEDIF(F136,FECHA_CORTE+1,"y")+IF(EDATE(F136,12*DATEDIF(F136,FECHA_CORTE+1,"y")+6)&lt;FECHA_CORTE+1,1,0))))</f>
        <v/>
      </c>
      <c r="AD136" s="69" t="str">
        <f aca="false">IF(O136&lt;&gt;"Activo","",AB136+IF(R136="Obra o faena",0,ROUND(AL136*AC136,0)+ROUND(AL136,0)))</f>
        <v/>
      </c>
      <c r="AE136" s="69" t="str">
        <f aca="false">IF(O136&lt;&gt;"Activo","",AB136)</f>
        <v/>
      </c>
      <c r="AF136" s="69" t="str">
        <f aca="false">IF(AN136="","",IF(ISNUMBER(AJ136),"",ROUND(MAX(0,IF(AN136&lt;=0,0,WORKDAY(U136,INT(AN136),FERIADOS)-U136+(AN136-INT(AN136))))*(Q136+N(K136))/30,0)+IF(R136="Obra o faena",ROUND(OBRA_DIAS*AL136/30*(DATEDIF(F136,U136+1,"m")+IF(U136+1-EDATE(F136,DATEDIF(F136,U136+1,"m"))&gt;15,1,0)),0),0)))</f>
        <v/>
      </c>
      <c r="AG136" s="62" t="str">
        <f aca="false">IF(B136="","",IFERROR(VALUE(LEFT(UPPER(SUBSTITUTE(SUBSTITUTE(SUBSTITUTE(TRIM(B136),".",""),"-","")," ","")),LEN(UPPER(SUBSTITUTE(SUBSTITUTE(SUBSTITUTE(TRIM(B136),".",""),"-","")," ","")))-1))&amp;RIGHT(UPPER(SUBSTITUTE(SUBSTITUTE(SUBSTITUTE(TRIM(B136),".",""),"-","")," ","")),1),UPPER(SUBSTITUTE(SUBSTITUTE(SUBSTITUTE(TRIM(B136),".",""),"-","")," ",""))))</f>
        <v/>
      </c>
      <c r="AH136" s="62" t="str">
        <f aca="false">IF(B136="","",COUNTIFS(C_RUTN,AG136,C_DEF,"Sí",C_INI,"&lt;="&amp;FECHA_CORTE))</f>
        <v/>
      </c>
      <c r="AI136" s="62" t="str">
        <f aca="false">IF(B136="","",COUNTIFS(C_RUTN,AG136,C_DEF,"Sí"))</f>
        <v/>
      </c>
      <c r="AJ136" s="66" t="str">
        <f aca="false">IF(OR(B136="",N(AI136)&lt;=N(AH136)),"",IFERROR(INDEX(C_INI,MATCH(AG136&amp;"-P"&amp;(AH136+1),C_CLAVE,0)),""))</f>
        <v/>
      </c>
      <c r="AK136" s="63" t="str">
        <f aca="false">IF(O136&lt;&gt;"Activo","",Q136+N(K136)+IF(L136="Sí",MIN(GRAT_PCT*(Q136+N(K136)),GRAT_TOPE),0)+N(I136)+N(J136))</f>
        <v/>
      </c>
      <c r="AL136" s="63" t="str">
        <f aca="false">IF(O136&lt;&gt;"Activo","",MIN(AK136,TOPE_IAS_UF*UF_MES))</f>
        <v/>
      </c>
      <c r="AM136" s="62" t="str">
        <f aca="false">IF(AND(O136="Activo",ISNUMBER(V136),W136&lt;&gt;"Renovación registrada"),V136+ROW()/100000,"")</f>
        <v/>
      </c>
      <c r="AN136" s="70" t="str">
        <f aca="false">IF(OR(O136&lt;&gt;"Activo",NOT(ISNUMBER(U136))),"",IF(U136&lt;FECHA_CORTE,"",1.25*(DATEDIF(F136,U136+1,"m")+(U136+1-EDATE(F136,DATEDIF(F136,U136+1,"m")))/30)-Z136))</f>
        <v/>
      </c>
      <c r="AO136" s="66" t="str">
        <f aca="false">IF(OR(B136="",NOT(ISNUMBER(F136))),"",IF(N(G136)&gt;0,MIN(G136,FECHA_CORTE),FECHA_CORTE))</f>
        <v/>
      </c>
    </row>
    <row r="137" customFormat="false" ht="15" hidden="false" customHeight="false" outlineLevel="0" collapsed="false">
      <c r="B137" s="58"/>
      <c r="C137" s="58"/>
      <c r="D137" s="58"/>
      <c r="E137" s="58"/>
      <c r="F137" s="59"/>
      <c r="G137" s="59"/>
      <c r="H137" s="58"/>
      <c r="I137" s="60"/>
      <c r="J137" s="60"/>
      <c r="K137" s="60"/>
      <c r="L137" s="58"/>
      <c r="M137" s="61"/>
      <c r="N137" s="58"/>
      <c r="O137" s="62" t="str">
        <f aca="false">IF(B137="","",IF(NOT(ISNUMBER(F137)),"⚠ Falta ingreso",IF(F137&gt;FECHA_CORTE,"Por ingresar",IF(G137="","Activo",IF(G137&lt;FECHA_CORTE,"Desvinculado","Activo")))))</f>
        <v/>
      </c>
      <c r="P137" s="62" t="str">
        <f aca="false">IF(OR(B137="",NOT(ISNUMBER(F137))),"",IF(F137&gt;FECHA_CORTE,"",DATEDIF(F137,IF(G137="",FECHA_CORTE,MIN(G137,FECHA_CORTE))+1,"y")&amp;" a "&amp;DATEDIF(F137,IF(G137="",FECHA_CORTE,MIN(G137,FECHA_CORTE))+1,"ym")&amp;" m"))</f>
        <v/>
      </c>
      <c r="Q137" s="63" t="str">
        <f aca="false">IF(B137="","",IFERROR(INDEX(C_SUELDO,MATCH(AG137&amp;"-S"&amp;MAX(1,COUNTIFS(C_RUTN,AG137,C_SUELDO,"&lt;&gt;",C_INI,"&lt;="&amp;FECHA_CORTE)),C_CLAVES,0)),0))</f>
        <v/>
      </c>
      <c r="R137" s="62" t="str">
        <f aca="false">IF(B137="","",IF(N(AI137)=0,"Sin contrato",IFERROR(INDEX(C_TIPO,MATCH(AG137&amp;"-P"&amp;MAX(1,AH137),C_CLAVE,0))&amp;"","")))</f>
        <v/>
      </c>
      <c r="S137" s="64" t="str">
        <f aca="false">IF(R137="Plazo fijo",IFERROR(INDEX(C_NPF,MATCH(AG137&amp;"-P"&amp;MAX(1,AH137),C_CLAVE,0)),""),"")</f>
        <v/>
      </c>
      <c r="T137" s="65" t="str">
        <f aca="false">IF(B137="","",COUNTIFS(C_RUTN,AG137,C_TIPODOC,"Anexo de modificación"))</f>
        <v/>
      </c>
      <c r="U137" s="66" t="str">
        <f aca="false">IF(AND(OR(R137="Plazo fijo",R137="Obra o faena"),O137&lt;&gt;"Desvinculado"),IFERROR(IF(N(INDEX(C_TER,MATCH(AG137&amp;"-P"&amp;MAX(1,AH137),C_CLAVE,0)))=0,"",INDEX(C_TER,MATCH(AG137&amp;"-P"&amp;MAX(1,AH137),C_CLAVE,0))),""),"")</f>
        <v/>
      </c>
      <c r="V137" s="67" t="str">
        <f aca="false">IF(ISNUMBER(U137),U137-FECHA_CORTE,"")</f>
        <v/>
      </c>
      <c r="W137" s="62" t="str">
        <f aca="false">IF(B137="","",IF(O137="Desvinculado","Terminado",IF(N(AI137)=0,"Sin contrato registrado",IF(O137="Por ingresar","Por ingresar",IF(ISNUMBER(AJ137),"Renovación registrada",IF(R137="Indefinido","Indefinido",IF(NOT(ISNUMBER(V137)),"Falta fecha de término",IF(V137&lt;0,"VENCIDO",IF(V137&lt;=ALERTA_ROJA,"Vence en ≤ "&amp;ALERTA_ROJA&amp;" días",IF(V137&lt;=ALERTA_NARANJA,"Vence en ≤ "&amp;ALERTA_NARANJA&amp;" días",IF(V137&lt;=ALERTA_AMARILLA,"Vence en ≤ "&amp;ALERTA_AMARILLA&amp;" días","Vigente")))))))))))</f>
        <v/>
      </c>
      <c r="X137" s="62" t="str">
        <f aca="false">IF(B137="","",IF(W137="Terminado","—",IF(W137="Sin contrato registrado","Registrar su contrato en la hoja Contratos",IF(W137="Por ingresar","Tener el contrato firmado antes del ingreso",IF(W137="Renovación registrada","Siguiente contrato ya registrado: verificar que esté firmado",IF(R137="Indefinido","Sin vencimiento. Cambios de sueldo o cargo: anexo de modificación",IF(W137="Falta fecha de término","Completar la fecha de término en Contratos",IF(W137="VENCIDO","Sigue trabajando con plazo vencido: por ley ya es INDEFINIDO. Firmar anexo de paso a indefinido",IF(R137="Obra o faena","Al terminar la obra: finiquito + 2,5 días de sueldo por mes trabajado",IF(N(S137)&gt;=2,"2° contrato a plazo: NO se puede renovar otra vez a plazo fijo. Pasar a indefinido o terminar al vencer","1er contrato a plazo: renovar (2° contrato), pasar a indefinido o terminar al vencer"))))))))))</f>
        <v/>
      </c>
      <c r="Y137" s="68" t="str">
        <f aca="false">IF(O137&lt;&gt;"Activo","",ROUND(1.25*(DATEDIF(F137,AO137+1,"m")+(AO137+1-EDATE(F137,DATEDIF(F137,AO137+1,"m")))/30),2))</f>
        <v/>
      </c>
      <c r="Z137" s="68" t="str">
        <f aca="false">IF(O137&lt;&gt;"Activo","",N(M137)+SUMIFS(M_VAC,M_RUTN,AG137,M_MES,"&lt;="&amp;FECHA_CORTE))</f>
        <v/>
      </c>
      <c r="AA137" s="68" t="str">
        <f aca="false">IF(O137&lt;&gt;"Activo","",Y137-Z137)</f>
        <v/>
      </c>
      <c r="AB137" s="63" t="str">
        <f aca="false">IF(O137&lt;&gt;"Activo","",ROUND(MAX(0,IF(AA137&lt;=0,0,WORKDAY(FECHA_CORTE,INT(AA137),FERIADOS)-FECHA_CORTE+(AA137-INT(AA137))))*(Q137+N(K137))/30,0))</f>
        <v/>
      </c>
      <c r="AC137" s="65" t="str">
        <f aca="false">IF(O137&lt;&gt;"Activo","",IF(DATEDIF(F137,FECHA_CORTE+1,"y")&lt;1,0,MIN(TOPE_ANIOS,DATEDIF(F137,FECHA_CORTE+1,"y")+IF(EDATE(F137,12*DATEDIF(F137,FECHA_CORTE+1,"y")+6)&lt;FECHA_CORTE+1,1,0))))</f>
        <v/>
      </c>
      <c r="AD137" s="69" t="str">
        <f aca="false">IF(O137&lt;&gt;"Activo","",AB137+IF(R137="Obra o faena",0,ROUND(AL137*AC137,0)+ROUND(AL137,0)))</f>
        <v/>
      </c>
      <c r="AE137" s="69" t="str">
        <f aca="false">IF(O137&lt;&gt;"Activo","",AB137)</f>
        <v/>
      </c>
      <c r="AF137" s="69" t="str">
        <f aca="false">IF(AN137="","",IF(ISNUMBER(AJ137),"",ROUND(MAX(0,IF(AN137&lt;=0,0,WORKDAY(U137,INT(AN137),FERIADOS)-U137+(AN137-INT(AN137))))*(Q137+N(K137))/30,0)+IF(R137="Obra o faena",ROUND(OBRA_DIAS*AL137/30*(DATEDIF(F137,U137+1,"m")+IF(U137+1-EDATE(F137,DATEDIF(F137,U137+1,"m"))&gt;15,1,0)),0),0)))</f>
        <v/>
      </c>
      <c r="AG137" s="62" t="str">
        <f aca="false">IF(B137="","",IFERROR(VALUE(LEFT(UPPER(SUBSTITUTE(SUBSTITUTE(SUBSTITUTE(TRIM(B137),".",""),"-","")," ","")),LEN(UPPER(SUBSTITUTE(SUBSTITUTE(SUBSTITUTE(TRIM(B137),".",""),"-","")," ","")))-1))&amp;RIGHT(UPPER(SUBSTITUTE(SUBSTITUTE(SUBSTITUTE(TRIM(B137),".",""),"-","")," ","")),1),UPPER(SUBSTITUTE(SUBSTITUTE(SUBSTITUTE(TRIM(B137),".",""),"-","")," ",""))))</f>
        <v/>
      </c>
      <c r="AH137" s="62" t="str">
        <f aca="false">IF(B137="","",COUNTIFS(C_RUTN,AG137,C_DEF,"Sí",C_INI,"&lt;="&amp;FECHA_CORTE))</f>
        <v/>
      </c>
      <c r="AI137" s="62" t="str">
        <f aca="false">IF(B137="","",COUNTIFS(C_RUTN,AG137,C_DEF,"Sí"))</f>
        <v/>
      </c>
      <c r="AJ137" s="66" t="str">
        <f aca="false">IF(OR(B137="",N(AI137)&lt;=N(AH137)),"",IFERROR(INDEX(C_INI,MATCH(AG137&amp;"-P"&amp;(AH137+1),C_CLAVE,0)),""))</f>
        <v/>
      </c>
      <c r="AK137" s="63" t="str">
        <f aca="false">IF(O137&lt;&gt;"Activo","",Q137+N(K137)+IF(L137="Sí",MIN(GRAT_PCT*(Q137+N(K137)),GRAT_TOPE),0)+N(I137)+N(J137))</f>
        <v/>
      </c>
      <c r="AL137" s="63" t="str">
        <f aca="false">IF(O137&lt;&gt;"Activo","",MIN(AK137,TOPE_IAS_UF*UF_MES))</f>
        <v/>
      </c>
      <c r="AM137" s="62" t="str">
        <f aca="false">IF(AND(O137="Activo",ISNUMBER(V137),W137&lt;&gt;"Renovación registrada"),V137+ROW()/100000,"")</f>
        <v/>
      </c>
      <c r="AN137" s="70" t="str">
        <f aca="false">IF(OR(O137&lt;&gt;"Activo",NOT(ISNUMBER(U137))),"",IF(U137&lt;FECHA_CORTE,"",1.25*(DATEDIF(F137,U137+1,"m")+(U137+1-EDATE(F137,DATEDIF(F137,U137+1,"m")))/30)-Z137))</f>
        <v/>
      </c>
      <c r="AO137" s="66" t="str">
        <f aca="false">IF(OR(B137="",NOT(ISNUMBER(F137))),"",IF(N(G137)&gt;0,MIN(G137,FECHA_CORTE),FECHA_CORTE))</f>
        <v/>
      </c>
    </row>
    <row r="138" customFormat="false" ht="15" hidden="false" customHeight="false" outlineLevel="0" collapsed="false">
      <c r="B138" s="58"/>
      <c r="C138" s="58"/>
      <c r="D138" s="58"/>
      <c r="E138" s="58"/>
      <c r="F138" s="59"/>
      <c r="G138" s="59"/>
      <c r="H138" s="58"/>
      <c r="I138" s="60"/>
      <c r="J138" s="60"/>
      <c r="K138" s="60"/>
      <c r="L138" s="58"/>
      <c r="M138" s="61"/>
      <c r="N138" s="58"/>
      <c r="O138" s="62" t="str">
        <f aca="false">IF(B138="","",IF(NOT(ISNUMBER(F138)),"⚠ Falta ingreso",IF(F138&gt;FECHA_CORTE,"Por ingresar",IF(G138="","Activo",IF(G138&lt;FECHA_CORTE,"Desvinculado","Activo")))))</f>
        <v/>
      </c>
      <c r="P138" s="62" t="str">
        <f aca="false">IF(OR(B138="",NOT(ISNUMBER(F138))),"",IF(F138&gt;FECHA_CORTE,"",DATEDIF(F138,IF(G138="",FECHA_CORTE,MIN(G138,FECHA_CORTE))+1,"y")&amp;" a "&amp;DATEDIF(F138,IF(G138="",FECHA_CORTE,MIN(G138,FECHA_CORTE))+1,"ym")&amp;" m"))</f>
        <v/>
      </c>
      <c r="Q138" s="63" t="str">
        <f aca="false">IF(B138="","",IFERROR(INDEX(C_SUELDO,MATCH(AG138&amp;"-S"&amp;MAX(1,COUNTIFS(C_RUTN,AG138,C_SUELDO,"&lt;&gt;",C_INI,"&lt;="&amp;FECHA_CORTE)),C_CLAVES,0)),0))</f>
        <v/>
      </c>
      <c r="R138" s="62" t="str">
        <f aca="false">IF(B138="","",IF(N(AI138)=0,"Sin contrato",IFERROR(INDEX(C_TIPO,MATCH(AG138&amp;"-P"&amp;MAX(1,AH138),C_CLAVE,0))&amp;"","")))</f>
        <v/>
      </c>
      <c r="S138" s="64" t="str">
        <f aca="false">IF(R138="Plazo fijo",IFERROR(INDEX(C_NPF,MATCH(AG138&amp;"-P"&amp;MAX(1,AH138),C_CLAVE,0)),""),"")</f>
        <v/>
      </c>
      <c r="T138" s="65" t="str">
        <f aca="false">IF(B138="","",COUNTIFS(C_RUTN,AG138,C_TIPODOC,"Anexo de modificación"))</f>
        <v/>
      </c>
      <c r="U138" s="66" t="str">
        <f aca="false">IF(AND(OR(R138="Plazo fijo",R138="Obra o faena"),O138&lt;&gt;"Desvinculado"),IFERROR(IF(N(INDEX(C_TER,MATCH(AG138&amp;"-P"&amp;MAX(1,AH138),C_CLAVE,0)))=0,"",INDEX(C_TER,MATCH(AG138&amp;"-P"&amp;MAX(1,AH138),C_CLAVE,0))),""),"")</f>
        <v/>
      </c>
      <c r="V138" s="67" t="str">
        <f aca="false">IF(ISNUMBER(U138),U138-FECHA_CORTE,"")</f>
        <v/>
      </c>
      <c r="W138" s="62" t="str">
        <f aca="false">IF(B138="","",IF(O138="Desvinculado","Terminado",IF(N(AI138)=0,"Sin contrato registrado",IF(O138="Por ingresar","Por ingresar",IF(ISNUMBER(AJ138),"Renovación registrada",IF(R138="Indefinido","Indefinido",IF(NOT(ISNUMBER(V138)),"Falta fecha de término",IF(V138&lt;0,"VENCIDO",IF(V138&lt;=ALERTA_ROJA,"Vence en ≤ "&amp;ALERTA_ROJA&amp;" días",IF(V138&lt;=ALERTA_NARANJA,"Vence en ≤ "&amp;ALERTA_NARANJA&amp;" días",IF(V138&lt;=ALERTA_AMARILLA,"Vence en ≤ "&amp;ALERTA_AMARILLA&amp;" días","Vigente")))))))))))</f>
        <v/>
      </c>
      <c r="X138" s="62" t="str">
        <f aca="false">IF(B138="","",IF(W138="Terminado","—",IF(W138="Sin contrato registrado","Registrar su contrato en la hoja Contratos",IF(W138="Por ingresar","Tener el contrato firmado antes del ingreso",IF(W138="Renovación registrada","Siguiente contrato ya registrado: verificar que esté firmado",IF(R138="Indefinido","Sin vencimiento. Cambios de sueldo o cargo: anexo de modificación",IF(W138="Falta fecha de término","Completar la fecha de término en Contratos",IF(W138="VENCIDO","Sigue trabajando con plazo vencido: por ley ya es INDEFINIDO. Firmar anexo de paso a indefinido",IF(R138="Obra o faena","Al terminar la obra: finiquito + 2,5 días de sueldo por mes trabajado",IF(N(S138)&gt;=2,"2° contrato a plazo: NO se puede renovar otra vez a plazo fijo. Pasar a indefinido o terminar al vencer","1er contrato a plazo: renovar (2° contrato), pasar a indefinido o terminar al vencer"))))))))))</f>
        <v/>
      </c>
      <c r="Y138" s="68" t="str">
        <f aca="false">IF(O138&lt;&gt;"Activo","",ROUND(1.25*(DATEDIF(F138,AO138+1,"m")+(AO138+1-EDATE(F138,DATEDIF(F138,AO138+1,"m")))/30),2))</f>
        <v/>
      </c>
      <c r="Z138" s="68" t="str">
        <f aca="false">IF(O138&lt;&gt;"Activo","",N(M138)+SUMIFS(M_VAC,M_RUTN,AG138,M_MES,"&lt;="&amp;FECHA_CORTE))</f>
        <v/>
      </c>
      <c r="AA138" s="68" t="str">
        <f aca="false">IF(O138&lt;&gt;"Activo","",Y138-Z138)</f>
        <v/>
      </c>
      <c r="AB138" s="63" t="str">
        <f aca="false">IF(O138&lt;&gt;"Activo","",ROUND(MAX(0,IF(AA138&lt;=0,0,WORKDAY(FECHA_CORTE,INT(AA138),FERIADOS)-FECHA_CORTE+(AA138-INT(AA138))))*(Q138+N(K138))/30,0))</f>
        <v/>
      </c>
      <c r="AC138" s="65" t="str">
        <f aca="false">IF(O138&lt;&gt;"Activo","",IF(DATEDIF(F138,FECHA_CORTE+1,"y")&lt;1,0,MIN(TOPE_ANIOS,DATEDIF(F138,FECHA_CORTE+1,"y")+IF(EDATE(F138,12*DATEDIF(F138,FECHA_CORTE+1,"y")+6)&lt;FECHA_CORTE+1,1,0))))</f>
        <v/>
      </c>
      <c r="AD138" s="69" t="str">
        <f aca="false">IF(O138&lt;&gt;"Activo","",AB138+IF(R138="Obra o faena",0,ROUND(AL138*AC138,0)+ROUND(AL138,0)))</f>
        <v/>
      </c>
      <c r="AE138" s="69" t="str">
        <f aca="false">IF(O138&lt;&gt;"Activo","",AB138)</f>
        <v/>
      </c>
      <c r="AF138" s="69" t="str">
        <f aca="false">IF(AN138="","",IF(ISNUMBER(AJ138),"",ROUND(MAX(0,IF(AN138&lt;=0,0,WORKDAY(U138,INT(AN138),FERIADOS)-U138+(AN138-INT(AN138))))*(Q138+N(K138))/30,0)+IF(R138="Obra o faena",ROUND(OBRA_DIAS*AL138/30*(DATEDIF(F138,U138+1,"m")+IF(U138+1-EDATE(F138,DATEDIF(F138,U138+1,"m"))&gt;15,1,0)),0),0)))</f>
        <v/>
      </c>
      <c r="AG138" s="62" t="str">
        <f aca="false">IF(B138="","",IFERROR(VALUE(LEFT(UPPER(SUBSTITUTE(SUBSTITUTE(SUBSTITUTE(TRIM(B138),".",""),"-","")," ","")),LEN(UPPER(SUBSTITUTE(SUBSTITUTE(SUBSTITUTE(TRIM(B138),".",""),"-","")," ","")))-1))&amp;RIGHT(UPPER(SUBSTITUTE(SUBSTITUTE(SUBSTITUTE(TRIM(B138),".",""),"-","")," ","")),1),UPPER(SUBSTITUTE(SUBSTITUTE(SUBSTITUTE(TRIM(B138),".",""),"-","")," ",""))))</f>
        <v/>
      </c>
      <c r="AH138" s="62" t="str">
        <f aca="false">IF(B138="","",COUNTIFS(C_RUTN,AG138,C_DEF,"Sí",C_INI,"&lt;="&amp;FECHA_CORTE))</f>
        <v/>
      </c>
      <c r="AI138" s="62" t="str">
        <f aca="false">IF(B138="","",COUNTIFS(C_RUTN,AG138,C_DEF,"Sí"))</f>
        <v/>
      </c>
      <c r="AJ138" s="66" t="str">
        <f aca="false">IF(OR(B138="",N(AI138)&lt;=N(AH138)),"",IFERROR(INDEX(C_INI,MATCH(AG138&amp;"-P"&amp;(AH138+1),C_CLAVE,0)),""))</f>
        <v/>
      </c>
      <c r="AK138" s="63" t="str">
        <f aca="false">IF(O138&lt;&gt;"Activo","",Q138+N(K138)+IF(L138="Sí",MIN(GRAT_PCT*(Q138+N(K138)),GRAT_TOPE),0)+N(I138)+N(J138))</f>
        <v/>
      </c>
      <c r="AL138" s="63" t="str">
        <f aca="false">IF(O138&lt;&gt;"Activo","",MIN(AK138,TOPE_IAS_UF*UF_MES))</f>
        <v/>
      </c>
      <c r="AM138" s="62" t="str">
        <f aca="false">IF(AND(O138="Activo",ISNUMBER(V138),W138&lt;&gt;"Renovación registrada"),V138+ROW()/100000,"")</f>
        <v/>
      </c>
      <c r="AN138" s="70" t="str">
        <f aca="false">IF(OR(O138&lt;&gt;"Activo",NOT(ISNUMBER(U138))),"",IF(U138&lt;FECHA_CORTE,"",1.25*(DATEDIF(F138,U138+1,"m")+(U138+1-EDATE(F138,DATEDIF(F138,U138+1,"m")))/30)-Z138))</f>
        <v/>
      </c>
      <c r="AO138" s="66" t="str">
        <f aca="false">IF(OR(B138="",NOT(ISNUMBER(F138))),"",IF(N(G138)&gt;0,MIN(G138,FECHA_CORTE),FECHA_CORTE))</f>
        <v/>
      </c>
    </row>
    <row r="139" customFormat="false" ht="15" hidden="false" customHeight="false" outlineLevel="0" collapsed="false">
      <c r="B139" s="58"/>
      <c r="C139" s="58"/>
      <c r="D139" s="58"/>
      <c r="E139" s="58"/>
      <c r="F139" s="59"/>
      <c r="G139" s="59"/>
      <c r="H139" s="58"/>
      <c r="I139" s="60"/>
      <c r="J139" s="60"/>
      <c r="K139" s="60"/>
      <c r="L139" s="58"/>
      <c r="M139" s="61"/>
      <c r="N139" s="58"/>
      <c r="O139" s="62" t="str">
        <f aca="false">IF(B139="","",IF(NOT(ISNUMBER(F139)),"⚠ Falta ingreso",IF(F139&gt;FECHA_CORTE,"Por ingresar",IF(G139="","Activo",IF(G139&lt;FECHA_CORTE,"Desvinculado","Activo")))))</f>
        <v/>
      </c>
      <c r="P139" s="62" t="str">
        <f aca="false">IF(OR(B139="",NOT(ISNUMBER(F139))),"",IF(F139&gt;FECHA_CORTE,"",DATEDIF(F139,IF(G139="",FECHA_CORTE,MIN(G139,FECHA_CORTE))+1,"y")&amp;" a "&amp;DATEDIF(F139,IF(G139="",FECHA_CORTE,MIN(G139,FECHA_CORTE))+1,"ym")&amp;" m"))</f>
        <v/>
      </c>
      <c r="Q139" s="63" t="str">
        <f aca="false">IF(B139="","",IFERROR(INDEX(C_SUELDO,MATCH(AG139&amp;"-S"&amp;MAX(1,COUNTIFS(C_RUTN,AG139,C_SUELDO,"&lt;&gt;",C_INI,"&lt;="&amp;FECHA_CORTE)),C_CLAVES,0)),0))</f>
        <v/>
      </c>
      <c r="R139" s="62" t="str">
        <f aca="false">IF(B139="","",IF(N(AI139)=0,"Sin contrato",IFERROR(INDEX(C_TIPO,MATCH(AG139&amp;"-P"&amp;MAX(1,AH139),C_CLAVE,0))&amp;"","")))</f>
        <v/>
      </c>
      <c r="S139" s="64" t="str">
        <f aca="false">IF(R139="Plazo fijo",IFERROR(INDEX(C_NPF,MATCH(AG139&amp;"-P"&amp;MAX(1,AH139),C_CLAVE,0)),""),"")</f>
        <v/>
      </c>
      <c r="T139" s="65" t="str">
        <f aca="false">IF(B139="","",COUNTIFS(C_RUTN,AG139,C_TIPODOC,"Anexo de modificación"))</f>
        <v/>
      </c>
      <c r="U139" s="66" t="str">
        <f aca="false">IF(AND(OR(R139="Plazo fijo",R139="Obra o faena"),O139&lt;&gt;"Desvinculado"),IFERROR(IF(N(INDEX(C_TER,MATCH(AG139&amp;"-P"&amp;MAX(1,AH139),C_CLAVE,0)))=0,"",INDEX(C_TER,MATCH(AG139&amp;"-P"&amp;MAX(1,AH139),C_CLAVE,0))),""),"")</f>
        <v/>
      </c>
      <c r="V139" s="67" t="str">
        <f aca="false">IF(ISNUMBER(U139),U139-FECHA_CORTE,"")</f>
        <v/>
      </c>
      <c r="W139" s="62" t="str">
        <f aca="false">IF(B139="","",IF(O139="Desvinculado","Terminado",IF(N(AI139)=0,"Sin contrato registrado",IF(O139="Por ingresar","Por ingresar",IF(ISNUMBER(AJ139),"Renovación registrada",IF(R139="Indefinido","Indefinido",IF(NOT(ISNUMBER(V139)),"Falta fecha de término",IF(V139&lt;0,"VENCIDO",IF(V139&lt;=ALERTA_ROJA,"Vence en ≤ "&amp;ALERTA_ROJA&amp;" días",IF(V139&lt;=ALERTA_NARANJA,"Vence en ≤ "&amp;ALERTA_NARANJA&amp;" días",IF(V139&lt;=ALERTA_AMARILLA,"Vence en ≤ "&amp;ALERTA_AMARILLA&amp;" días","Vigente")))))))))))</f>
        <v/>
      </c>
      <c r="X139" s="62" t="str">
        <f aca="false">IF(B139="","",IF(W139="Terminado","—",IF(W139="Sin contrato registrado","Registrar su contrato en la hoja Contratos",IF(W139="Por ingresar","Tener el contrato firmado antes del ingreso",IF(W139="Renovación registrada","Siguiente contrato ya registrado: verificar que esté firmado",IF(R139="Indefinido","Sin vencimiento. Cambios de sueldo o cargo: anexo de modificación",IF(W139="Falta fecha de término","Completar la fecha de término en Contratos",IF(W139="VENCIDO","Sigue trabajando con plazo vencido: por ley ya es INDEFINIDO. Firmar anexo de paso a indefinido",IF(R139="Obra o faena","Al terminar la obra: finiquito + 2,5 días de sueldo por mes trabajado",IF(N(S139)&gt;=2,"2° contrato a plazo: NO se puede renovar otra vez a plazo fijo. Pasar a indefinido o terminar al vencer","1er contrato a plazo: renovar (2° contrato), pasar a indefinido o terminar al vencer"))))))))))</f>
        <v/>
      </c>
      <c r="Y139" s="68" t="str">
        <f aca="false">IF(O139&lt;&gt;"Activo","",ROUND(1.25*(DATEDIF(F139,AO139+1,"m")+(AO139+1-EDATE(F139,DATEDIF(F139,AO139+1,"m")))/30),2))</f>
        <v/>
      </c>
      <c r="Z139" s="68" t="str">
        <f aca="false">IF(O139&lt;&gt;"Activo","",N(M139)+SUMIFS(M_VAC,M_RUTN,AG139,M_MES,"&lt;="&amp;FECHA_CORTE))</f>
        <v/>
      </c>
      <c r="AA139" s="68" t="str">
        <f aca="false">IF(O139&lt;&gt;"Activo","",Y139-Z139)</f>
        <v/>
      </c>
      <c r="AB139" s="63" t="str">
        <f aca="false">IF(O139&lt;&gt;"Activo","",ROUND(MAX(0,IF(AA139&lt;=0,0,WORKDAY(FECHA_CORTE,INT(AA139),FERIADOS)-FECHA_CORTE+(AA139-INT(AA139))))*(Q139+N(K139))/30,0))</f>
        <v/>
      </c>
      <c r="AC139" s="65" t="str">
        <f aca="false">IF(O139&lt;&gt;"Activo","",IF(DATEDIF(F139,FECHA_CORTE+1,"y")&lt;1,0,MIN(TOPE_ANIOS,DATEDIF(F139,FECHA_CORTE+1,"y")+IF(EDATE(F139,12*DATEDIF(F139,FECHA_CORTE+1,"y")+6)&lt;FECHA_CORTE+1,1,0))))</f>
        <v/>
      </c>
      <c r="AD139" s="69" t="str">
        <f aca="false">IF(O139&lt;&gt;"Activo","",AB139+IF(R139="Obra o faena",0,ROUND(AL139*AC139,0)+ROUND(AL139,0)))</f>
        <v/>
      </c>
      <c r="AE139" s="69" t="str">
        <f aca="false">IF(O139&lt;&gt;"Activo","",AB139)</f>
        <v/>
      </c>
      <c r="AF139" s="69" t="str">
        <f aca="false">IF(AN139="","",IF(ISNUMBER(AJ139),"",ROUND(MAX(0,IF(AN139&lt;=0,0,WORKDAY(U139,INT(AN139),FERIADOS)-U139+(AN139-INT(AN139))))*(Q139+N(K139))/30,0)+IF(R139="Obra o faena",ROUND(OBRA_DIAS*AL139/30*(DATEDIF(F139,U139+1,"m")+IF(U139+1-EDATE(F139,DATEDIF(F139,U139+1,"m"))&gt;15,1,0)),0),0)))</f>
        <v/>
      </c>
      <c r="AG139" s="62" t="str">
        <f aca="false">IF(B139="","",IFERROR(VALUE(LEFT(UPPER(SUBSTITUTE(SUBSTITUTE(SUBSTITUTE(TRIM(B139),".",""),"-","")," ","")),LEN(UPPER(SUBSTITUTE(SUBSTITUTE(SUBSTITUTE(TRIM(B139),".",""),"-","")," ","")))-1))&amp;RIGHT(UPPER(SUBSTITUTE(SUBSTITUTE(SUBSTITUTE(TRIM(B139),".",""),"-","")," ","")),1),UPPER(SUBSTITUTE(SUBSTITUTE(SUBSTITUTE(TRIM(B139),".",""),"-","")," ",""))))</f>
        <v/>
      </c>
      <c r="AH139" s="62" t="str">
        <f aca="false">IF(B139="","",COUNTIFS(C_RUTN,AG139,C_DEF,"Sí",C_INI,"&lt;="&amp;FECHA_CORTE))</f>
        <v/>
      </c>
      <c r="AI139" s="62" t="str">
        <f aca="false">IF(B139="","",COUNTIFS(C_RUTN,AG139,C_DEF,"Sí"))</f>
        <v/>
      </c>
      <c r="AJ139" s="66" t="str">
        <f aca="false">IF(OR(B139="",N(AI139)&lt;=N(AH139)),"",IFERROR(INDEX(C_INI,MATCH(AG139&amp;"-P"&amp;(AH139+1),C_CLAVE,0)),""))</f>
        <v/>
      </c>
      <c r="AK139" s="63" t="str">
        <f aca="false">IF(O139&lt;&gt;"Activo","",Q139+N(K139)+IF(L139="Sí",MIN(GRAT_PCT*(Q139+N(K139)),GRAT_TOPE),0)+N(I139)+N(J139))</f>
        <v/>
      </c>
      <c r="AL139" s="63" t="str">
        <f aca="false">IF(O139&lt;&gt;"Activo","",MIN(AK139,TOPE_IAS_UF*UF_MES))</f>
        <v/>
      </c>
      <c r="AM139" s="62" t="str">
        <f aca="false">IF(AND(O139="Activo",ISNUMBER(V139),W139&lt;&gt;"Renovación registrada"),V139+ROW()/100000,"")</f>
        <v/>
      </c>
      <c r="AN139" s="70" t="str">
        <f aca="false">IF(OR(O139&lt;&gt;"Activo",NOT(ISNUMBER(U139))),"",IF(U139&lt;FECHA_CORTE,"",1.25*(DATEDIF(F139,U139+1,"m")+(U139+1-EDATE(F139,DATEDIF(F139,U139+1,"m")))/30)-Z139))</f>
        <v/>
      </c>
      <c r="AO139" s="66" t="str">
        <f aca="false">IF(OR(B139="",NOT(ISNUMBER(F139))),"",IF(N(G139)&gt;0,MIN(G139,FECHA_CORTE),FECHA_CORTE))</f>
        <v/>
      </c>
    </row>
    <row r="140" customFormat="false" ht="15" hidden="false" customHeight="false" outlineLevel="0" collapsed="false">
      <c r="B140" s="58"/>
      <c r="C140" s="58"/>
      <c r="D140" s="58"/>
      <c r="E140" s="58"/>
      <c r="F140" s="59"/>
      <c r="G140" s="59"/>
      <c r="H140" s="58"/>
      <c r="I140" s="60"/>
      <c r="J140" s="60"/>
      <c r="K140" s="60"/>
      <c r="L140" s="58"/>
      <c r="M140" s="61"/>
      <c r="N140" s="58"/>
      <c r="O140" s="62" t="str">
        <f aca="false">IF(B140="","",IF(NOT(ISNUMBER(F140)),"⚠ Falta ingreso",IF(F140&gt;FECHA_CORTE,"Por ingresar",IF(G140="","Activo",IF(G140&lt;FECHA_CORTE,"Desvinculado","Activo")))))</f>
        <v/>
      </c>
      <c r="P140" s="62" t="str">
        <f aca="false">IF(OR(B140="",NOT(ISNUMBER(F140))),"",IF(F140&gt;FECHA_CORTE,"",DATEDIF(F140,IF(G140="",FECHA_CORTE,MIN(G140,FECHA_CORTE))+1,"y")&amp;" a "&amp;DATEDIF(F140,IF(G140="",FECHA_CORTE,MIN(G140,FECHA_CORTE))+1,"ym")&amp;" m"))</f>
        <v/>
      </c>
      <c r="Q140" s="63" t="str">
        <f aca="false">IF(B140="","",IFERROR(INDEX(C_SUELDO,MATCH(AG140&amp;"-S"&amp;MAX(1,COUNTIFS(C_RUTN,AG140,C_SUELDO,"&lt;&gt;",C_INI,"&lt;="&amp;FECHA_CORTE)),C_CLAVES,0)),0))</f>
        <v/>
      </c>
      <c r="R140" s="62" t="str">
        <f aca="false">IF(B140="","",IF(N(AI140)=0,"Sin contrato",IFERROR(INDEX(C_TIPO,MATCH(AG140&amp;"-P"&amp;MAX(1,AH140),C_CLAVE,0))&amp;"","")))</f>
        <v/>
      </c>
      <c r="S140" s="64" t="str">
        <f aca="false">IF(R140="Plazo fijo",IFERROR(INDEX(C_NPF,MATCH(AG140&amp;"-P"&amp;MAX(1,AH140),C_CLAVE,0)),""),"")</f>
        <v/>
      </c>
      <c r="T140" s="65" t="str">
        <f aca="false">IF(B140="","",COUNTIFS(C_RUTN,AG140,C_TIPODOC,"Anexo de modificación"))</f>
        <v/>
      </c>
      <c r="U140" s="66" t="str">
        <f aca="false">IF(AND(OR(R140="Plazo fijo",R140="Obra o faena"),O140&lt;&gt;"Desvinculado"),IFERROR(IF(N(INDEX(C_TER,MATCH(AG140&amp;"-P"&amp;MAX(1,AH140),C_CLAVE,0)))=0,"",INDEX(C_TER,MATCH(AG140&amp;"-P"&amp;MAX(1,AH140),C_CLAVE,0))),""),"")</f>
        <v/>
      </c>
      <c r="V140" s="67" t="str">
        <f aca="false">IF(ISNUMBER(U140),U140-FECHA_CORTE,"")</f>
        <v/>
      </c>
      <c r="W140" s="62" t="str">
        <f aca="false">IF(B140="","",IF(O140="Desvinculado","Terminado",IF(N(AI140)=0,"Sin contrato registrado",IF(O140="Por ingresar","Por ingresar",IF(ISNUMBER(AJ140),"Renovación registrada",IF(R140="Indefinido","Indefinido",IF(NOT(ISNUMBER(V140)),"Falta fecha de término",IF(V140&lt;0,"VENCIDO",IF(V140&lt;=ALERTA_ROJA,"Vence en ≤ "&amp;ALERTA_ROJA&amp;" días",IF(V140&lt;=ALERTA_NARANJA,"Vence en ≤ "&amp;ALERTA_NARANJA&amp;" días",IF(V140&lt;=ALERTA_AMARILLA,"Vence en ≤ "&amp;ALERTA_AMARILLA&amp;" días","Vigente")))))))))))</f>
        <v/>
      </c>
      <c r="X140" s="62" t="str">
        <f aca="false">IF(B140="","",IF(W140="Terminado","—",IF(W140="Sin contrato registrado","Registrar su contrato en la hoja Contratos",IF(W140="Por ingresar","Tener el contrato firmado antes del ingreso",IF(W140="Renovación registrada","Siguiente contrato ya registrado: verificar que esté firmado",IF(R140="Indefinido","Sin vencimiento. Cambios de sueldo o cargo: anexo de modificación",IF(W140="Falta fecha de término","Completar la fecha de término en Contratos",IF(W140="VENCIDO","Sigue trabajando con plazo vencido: por ley ya es INDEFINIDO. Firmar anexo de paso a indefinido",IF(R140="Obra o faena","Al terminar la obra: finiquito + 2,5 días de sueldo por mes trabajado",IF(N(S140)&gt;=2,"2° contrato a plazo: NO se puede renovar otra vez a plazo fijo. Pasar a indefinido o terminar al vencer","1er contrato a plazo: renovar (2° contrato), pasar a indefinido o terminar al vencer"))))))))))</f>
        <v/>
      </c>
      <c r="Y140" s="68" t="str">
        <f aca="false">IF(O140&lt;&gt;"Activo","",ROUND(1.25*(DATEDIF(F140,AO140+1,"m")+(AO140+1-EDATE(F140,DATEDIF(F140,AO140+1,"m")))/30),2))</f>
        <v/>
      </c>
      <c r="Z140" s="68" t="str">
        <f aca="false">IF(O140&lt;&gt;"Activo","",N(M140)+SUMIFS(M_VAC,M_RUTN,AG140,M_MES,"&lt;="&amp;FECHA_CORTE))</f>
        <v/>
      </c>
      <c r="AA140" s="68" t="str">
        <f aca="false">IF(O140&lt;&gt;"Activo","",Y140-Z140)</f>
        <v/>
      </c>
      <c r="AB140" s="63" t="str">
        <f aca="false">IF(O140&lt;&gt;"Activo","",ROUND(MAX(0,IF(AA140&lt;=0,0,WORKDAY(FECHA_CORTE,INT(AA140),FERIADOS)-FECHA_CORTE+(AA140-INT(AA140))))*(Q140+N(K140))/30,0))</f>
        <v/>
      </c>
      <c r="AC140" s="65" t="str">
        <f aca="false">IF(O140&lt;&gt;"Activo","",IF(DATEDIF(F140,FECHA_CORTE+1,"y")&lt;1,0,MIN(TOPE_ANIOS,DATEDIF(F140,FECHA_CORTE+1,"y")+IF(EDATE(F140,12*DATEDIF(F140,FECHA_CORTE+1,"y")+6)&lt;FECHA_CORTE+1,1,0))))</f>
        <v/>
      </c>
      <c r="AD140" s="69" t="str">
        <f aca="false">IF(O140&lt;&gt;"Activo","",AB140+IF(R140="Obra o faena",0,ROUND(AL140*AC140,0)+ROUND(AL140,0)))</f>
        <v/>
      </c>
      <c r="AE140" s="69" t="str">
        <f aca="false">IF(O140&lt;&gt;"Activo","",AB140)</f>
        <v/>
      </c>
      <c r="AF140" s="69" t="str">
        <f aca="false">IF(AN140="","",IF(ISNUMBER(AJ140),"",ROUND(MAX(0,IF(AN140&lt;=0,0,WORKDAY(U140,INT(AN140),FERIADOS)-U140+(AN140-INT(AN140))))*(Q140+N(K140))/30,0)+IF(R140="Obra o faena",ROUND(OBRA_DIAS*AL140/30*(DATEDIF(F140,U140+1,"m")+IF(U140+1-EDATE(F140,DATEDIF(F140,U140+1,"m"))&gt;15,1,0)),0),0)))</f>
        <v/>
      </c>
      <c r="AG140" s="62" t="str">
        <f aca="false">IF(B140="","",IFERROR(VALUE(LEFT(UPPER(SUBSTITUTE(SUBSTITUTE(SUBSTITUTE(TRIM(B140),".",""),"-","")," ","")),LEN(UPPER(SUBSTITUTE(SUBSTITUTE(SUBSTITUTE(TRIM(B140),".",""),"-","")," ","")))-1))&amp;RIGHT(UPPER(SUBSTITUTE(SUBSTITUTE(SUBSTITUTE(TRIM(B140),".",""),"-","")," ","")),1),UPPER(SUBSTITUTE(SUBSTITUTE(SUBSTITUTE(TRIM(B140),".",""),"-","")," ",""))))</f>
        <v/>
      </c>
      <c r="AH140" s="62" t="str">
        <f aca="false">IF(B140="","",COUNTIFS(C_RUTN,AG140,C_DEF,"Sí",C_INI,"&lt;="&amp;FECHA_CORTE))</f>
        <v/>
      </c>
      <c r="AI140" s="62" t="str">
        <f aca="false">IF(B140="","",COUNTIFS(C_RUTN,AG140,C_DEF,"Sí"))</f>
        <v/>
      </c>
      <c r="AJ140" s="66" t="str">
        <f aca="false">IF(OR(B140="",N(AI140)&lt;=N(AH140)),"",IFERROR(INDEX(C_INI,MATCH(AG140&amp;"-P"&amp;(AH140+1),C_CLAVE,0)),""))</f>
        <v/>
      </c>
      <c r="AK140" s="63" t="str">
        <f aca="false">IF(O140&lt;&gt;"Activo","",Q140+N(K140)+IF(L140="Sí",MIN(GRAT_PCT*(Q140+N(K140)),GRAT_TOPE),0)+N(I140)+N(J140))</f>
        <v/>
      </c>
      <c r="AL140" s="63" t="str">
        <f aca="false">IF(O140&lt;&gt;"Activo","",MIN(AK140,TOPE_IAS_UF*UF_MES))</f>
        <v/>
      </c>
      <c r="AM140" s="62" t="str">
        <f aca="false">IF(AND(O140="Activo",ISNUMBER(V140),W140&lt;&gt;"Renovación registrada"),V140+ROW()/100000,"")</f>
        <v/>
      </c>
      <c r="AN140" s="70" t="str">
        <f aca="false">IF(OR(O140&lt;&gt;"Activo",NOT(ISNUMBER(U140))),"",IF(U140&lt;FECHA_CORTE,"",1.25*(DATEDIF(F140,U140+1,"m")+(U140+1-EDATE(F140,DATEDIF(F140,U140+1,"m")))/30)-Z140))</f>
        <v/>
      </c>
      <c r="AO140" s="66" t="str">
        <f aca="false">IF(OR(B140="",NOT(ISNUMBER(F140))),"",IF(N(G140)&gt;0,MIN(G140,FECHA_CORTE),FECHA_CORTE))</f>
        <v/>
      </c>
    </row>
    <row r="141" customFormat="false" ht="15" hidden="false" customHeight="false" outlineLevel="0" collapsed="false">
      <c r="B141" s="58"/>
      <c r="C141" s="58"/>
      <c r="D141" s="58"/>
      <c r="E141" s="58"/>
      <c r="F141" s="59"/>
      <c r="G141" s="59"/>
      <c r="H141" s="58"/>
      <c r="I141" s="60"/>
      <c r="J141" s="60"/>
      <c r="K141" s="60"/>
      <c r="L141" s="58"/>
      <c r="M141" s="61"/>
      <c r="N141" s="58"/>
      <c r="O141" s="62" t="str">
        <f aca="false">IF(B141="","",IF(NOT(ISNUMBER(F141)),"⚠ Falta ingreso",IF(F141&gt;FECHA_CORTE,"Por ingresar",IF(G141="","Activo",IF(G141&lt;FECHA_CORTE,"Desvinculado","Activo")))))</f>
        <v/>
      </c>
      <c r="P141" s="62" t="str">
        <f aca="false">IF(OR(B141="",NOT(ISNUMBER(F141))),"",IF(F141&gt;FECHA_CORTE,"",DATEDIF(F141,IF(G141="",FECHA_CORTE,MIN(G141,FECHA_CORTE))+1,"y")&amp;" a "&amp;DATEDIF(F141,IF(G141="",FECHA_CORTE,MIN(G141,FECHA_CORTE))+1,"ym")&amp;" m"))</f>
        <v/>
      </c>
      <c r="Q141" s="63" t="str">
        <f aca="false">IF(B141="","",IFERROR(INDEX(C_SUELDO,MATCH(AG141&amp;"-S"&amp;MAX(1,COUNTIFS(C_RUTN,AG141,C_SUELDO,"&lt;&gt;",C_INI,"&lt;="&amp;FECHA_CORTE)),C_CLAVES,0)),0))</f>
        <v/>
      </c>
      <c r="R141" s="62" t="str">
        <f aca="false">IF(B141="","",IF(N(AI141)=0,"Sin contrato",IFERROR(INDEX(C_TIPO,MATCH(AG141&amp;"-P"&amp;MAX(1,AH141),C_CLAVE,0))&amp;"","")))</f>
        <v/>
      </c>
      <c r="S141" s="64" t="str">
        <f aca="false">IF(R141="Plazo fijo",IFERROR(INDEX(C_NPF,MATCH(AG141&amp;"-P"&amp;MAX(1,AH141),C_CLAVE,0)),""),"")</f>
        <v/>
      </c>
      <c r="T141" s="65" t="str">
        <f aca="false">IF(B141="","",COUNTIFS(C_RUTN,AG141,C_TIPODOC,"Anexo de modificación"))</f>
        <v/>
      </c>
      <c r="U141" s="66" t="str">
        <f aca="false">IF(AND(OR(R141="Plazo fijo",R141="Obra o faena"),O141&lt;&gt;"Desvinculado"),IFERROR(IF(N(INDEX(C_TER,MATCH(AG141&amp;"-P"&amp;MAX(1,AH141),C_CLAVE,0)))=0,"",INDEX(C_TER,MATCH(AG141&amp;"-P"&amp;MAX(1,AH141),C_CLAVE,0))),""),"")</f>
        <v/>
      </c>
      <c r="V141" s="67" t="str">
        <f aca="false">IF(ISNUMBER(U141),U141-FECHA_CORTE,"")</f>
        <v/>
      </c>
      <c r="W141" s="62" t="str">
        <f aca="false">IF(B141="","",IF(O141="Desvinculado","Terminado",IF(N(AI141)=0,"Sin contrato registrado",IF(O141="Por ingresar","Por ingresar",IF(ISNUMBER(AJ141),"Renovación registrada",IF(R141="Indefinido","Indefinido",IF(NOT(ISNUMBER(V141)),"Falta fecha de término",IF(V141&lt;0,"VENCIDO",IF(V141&lt;=ALERTA_ROJA,"Vence en ≤ "&amp;ALERTA_ROJA&amp;" días",IF(V141&lt;=ALERTA_NARANJA,"Vence en ≤ "&amp;ALERTA_NARANJA&amp;" días",IF(V141&lt;=ALERTA_AMARILLA,"Vence en ≤ "&amp;ALERTA_AMARILLA&amp;" días","Vigente")))))))))))</f>
        <v/>
      </c>
      <c r="X141" s="62" t="str">
        <f aca="false">IF(B141="","",IF(W141="Terminado","—",IF(W141="Sin contrato registrado","Registrar su contrato en la hoja Contratos",IF(W141="Por ingresar","Tener el contrato firmado antes del ingreso",IF(W141="Renovación registrada","Siguiente contrato ya registrado: verificar que esté firmado",IF(R141="Indefinido","Sin vencimiento. Cambios de sueldo o cargo: anexo de modificación",IF(W141="Falta fecha de término","Completar la fecha de término en Contratos",IF(W141="VENCIDO","Sigue trabajando con plazo vencido: por ley ya es INDEFINIDO. Firmar anexo de paso a indefinido",IF(R141="Obra o faena","Al terminar la obra: finiquito + 2,5 días de sueldo por mes trabajado",IF(N(S141)&gt;=2,"2° contrato a plazo: NO se puede renovar otra vez a plazo fijo. Pasar a indefinido o terminar al vencer","1er contrato a plazo: renovar (2° contrato), pasar a indefinido o terminar al vencer"))))))))))</f>
        <v/>
      </c>
      <c r="Y141" s="68" t="str">
        <f aca="false">IF(O141&lt;&gt;"Activo","",ROUND(1.25*(DATEDIF(F141,AO141+1,"m")+(AO141+1-EDATE(F141,DATEDIF(F141,AO141+1,"m")))/30),2))</f>
        <v/>
      </c>
      <c r="Z141" s="68" t="str">
        <f aca="false">IF(O141&lt;&gt;"Activo","",N(M141)+SUMIFS(M_VAC,M_RUTN,AG141,M_MES,"&lt;="&amp;FECHA_CORTE))</f>
        <v/>
      </c>
      <c r="AA141" s="68" t="str">
        <f aca="false">IF(O141&lt;&gt;"Activo","",Y141-Z141)</f>
        <v/>
      </c>
      <c r="AB141" s="63" t="str">
        <f aca="false">IF(O141&lt;&gt;"Activo","",ROUND(MAX(0,IF(AA141&lt;=0,0,WORKDAY(FECHA_CORTE,INT(AA141),FERIADOS)-FECHA_CORTE+(AA141-INT(AA141))))*(Q141+N(K141))/30,0))</f>
        <v/>
      </c>
      <c r="AC141" s="65" t="str">
        <f aca="false">IF(O141&lt;&gt;"Activo","",IF(DATEDIF(F141,FECHA_CORTE+1,"y")&lt;1,0,MIN(TOPE_ANIOS,DATEDIF(F141,FECHA_CORTE+1,"y")+IF(EDATE(F141,12*DATEDIF(F141,FECHA_CORTE+1,"y")+6)&lt;FECHA_CORTE+1,1,0))))</f>
        <v/>
      </c>
      <c r="AD141" s="69" t="str">
        <f aca="false">IF(O141&lt;&gt;"Activo","",AB141+IF(R141="Obra o faena",0,ROUND(AL141*AC141,0)+ROUND(AL141,0)))</f>
        <v/>
      </c>
      <c r="AE141" s="69" t="str">
        <f aca="false">IF(O141&lt;&gt;"Activo","",AB141)</f>
        <v/>
      </c>
      <c r="AF141" s="69" t="str">
        <f aca="false">IF(AN141="","",IF(ISNUMBER(AJ141),"",ROUND(MAX(0,IF(AN141&lt;=0,0,WORKDAY(U141,INT(AN141),FERIADOS)-U141+(AN141-INT(AN141))))*(Q141+N(K141))/30,0)+IF(R141="Obra o faena",ROUND(OBRA_DIAS*AL141/30*(DATEDIF(F141,U141+1,"m")+IF(U141+1-EDATE(F141,DATEDIF(F141,U141+1,"m"))&gt;15,1,0)),0),0)))</f>
        <v/>
      </c>
      <c r="AG141" s="62" t="str">
        <f aca="false">IF(B141="","",IFERROR(VALUE(LEFT(UPPER(SUBSTITUTE(SUBSTITUTE(SUBSTITUTE(TRIM(B141),".",""),"-","")," ","")),LEN(UPPER(SUBSTITUTE(SUBSTITUTE(SUBSTITUTE(TRIM(B141),".",""),"-","")," ","")))-1))&amp;RIGHT(UPPER(SUBSTITUTE(SUBSTITUTE(SUBSTITUTE(TRIM(B141),".",""),"-","")," ","")),1),UPPER(SUBSTITUTE(SUBSTITUTE(SUBSTITUTE(TRIM(B141),".",""),"-","")," ",""))))</f>
        <v/>
      </c>
      <c r="AH141" s="62" t="str">
        <f aca="false">IF(B141="","",COUNTIFS(C_RUTN,AG141,C_DEF,"Sí",C_INI,"&lt;="&amp;FECHA_CORTE))</f>
        <v/>
      </c>
      <c r="AI141" s="62" t="str">
        <f aca="false">IF(B141="","",COUNTIFS(C_RUTN,AG141,C_DEF,"Sí"))</f>
        <v/>
      </c>
      <c r="AJ141" s="66" t="str">
        <f aca="false">IF(OR(B141="",N(AI141)&lt;=N(AH141)),"",IFERROR(INDEX(C_INI,MATCH(AG141&amp;"-P"&amp;(AH141+1),C_CLAVE,0)),""))</f>
        <v/>
      </c>
      <c r="AK141" s="63" t="str">
        <f aca="false">IF(O141&lt;&gt;"Activo","",Q141+N(K141)+IF(L141="Sí",MIN(GRAT_PCT*(Q141+N(K141)),GRAT_TOPE),0)+N(I141)+N(J141))</f>
        <v/>
      </c>
      <c r="AL141" s="63" t="str">
        <f aca="false">IF(O141&lt;&gt;"Activo","",MIN(AK141,TOPE_IAS_UF*UF_MES))</f>
        <v/>
      </c>
      <c r="AM141" s="62" t="str">
        <f aca="false">IF(AND(O141="Activo",ISNUMBER(V141),W141&lt;&gt;"Renovación registrada"),V141+ROW()/100000,"")</f>
        <v/>
      </c>
      <c r="AN141" s="70" t="str">
        <f aca="false">IF(OR(O141&lt;&gt;"Activo",NOT(ISNUMBER(U141))),"",IF(U141&lt;FECHA_CORTE,"",1.25*(DATEDIF(F141,U141+1,"m")+(U141+1-EDATE(F141,DATEDIF(F141,U141+1,"m")))/30)-Z141))</f>
        <v/>
      </c>
      <c r="AO141" s="66" t="str">
        <f aca="false">IF(OR(B141="",NOT(ISNUMBER(F141))),"",IF(N(G141)&gt;0,MIN(G141,FECHA_CORTE),FECHA_CORTE))</f>
        <v/>
      </c>
    </row>
    <row r="142" customFormat="false" ht="15" hidden="false" customHeight="false" outlineLevel="0" collapsed="false">
      <c r="B142" s="58"/>
      <c r="C142" s="58"/>
      <c r="D142" s="58"/>
      <c r="E142" s="58"/>
      <c r="F142" s="59"/>
      <c r="G142" s="59"/>
      <c r="H142" s="58"/>
      <c r="I142" s="60"/>
      <c r="J142" s="60"/>
      <c r="K142" s="60"/>
      <c r="L142" s="58"/>
      <c r="M142" s="61"/>
      <c r="N142" s="58"/>
      <c r="O142" s="62" t="str">
        <f aca="false">IF(B142="","",IF(NOT(ISNUMBER(F142)),"⚠ Falta ingreso",IF(F142&gt;FECHA_CORTE,"Por ingresar",IF(G142="","Activo",IF(G142&lt;FECHA_CORTE,"Desvinculado","Activo")))))</f>
        <v/>
      </c>
      <c r="P142" s="62" t="str">
        <f aca="false">IF(OR(B142="",NOT(ISNUMBER(F142))),"",IF(F142&gt;FECHA_CORTE,"",DATEDIF(F142,IF(G142="",FECHA_CORTE,MIN(G142,FECHA_CORTE))+1,"y")&amp;" a "&amp;DATEDIF(F142,IF(G142="",FECHA_CORTE,MIN(G142,FECHA_CORTE))+1,"ym")&amp;" m"))</f>
        <v/>
      </c>
      <c r="Q142" s="63" t="str">
        <f aca="false">IF(B142="","",IFERROR(INDEX(C_SUELDO,MATCH(AG142&amp;"-S"&amp;MAX(1,COUNTIFS(C_RUTN,AG142,C_SUELDO,"&lt;&gt;",C_INI,"&lt;="&amp;FECHA_CORTE)),C_CLAVES,0)),0))</f>
        <v/>
      </c>
      <c r="R142" s="62" t="str">
        <f aca="false">IF(B142="","",IF(N(AI142)=0,"Sin contrato",IFERROR(INDEX(C_TIPO,MATCH(AG142&amp;"-P"&amp;MAX(1,AH142),C_CLAVE,0))&amp;"","")))</f>
        <v/>
      </c>
      <c r="S142" s="64" t="str">
        <f aca="false">IF(R142="Plazo fijo",IFERROR(INDEX(C_NPF,MATCH(AG142&amp;"-P"&amp;MAX(1,AH142),C_CLAVE,0)),""),"")</f>
        <v/>
      </c>
      <c r="T142" s="65" t="str">
        <f aca="false">IF(B142="","",COUNTIFS(C_RUTN,AG142,C_TIPODOC,"Anexo de modificación"))</f>
        <v/>
      </c>
      <c r="U142" s="66" t="str">
        <f aca="false">IF(AND(OR(R142="Plazo fijo",R142="Obra o faena"),O142&lt;&gt;"Desvinculado"),IFERROR(IF(N(INDEX(C_TER,MATCH(AG142&amp;"-P"&amp;MAX(1,AH142),C_CLAVE,0)))=0,"",INDEX(C_TER,MATCH(AG142&amp;"-P"&amp;MAX(1,AH142),C_CLAVE,0))),""),"")</f>
        <v/>
      </c>
      <c r="V142" s="67" t="str">
        <f aca="false">IF(ISNUMBER(U142),U142-FECHA_CORTE,"")</f>
        <v/>
      </c>
      <c r="W142" s="62" t="str">
        <f aca="false">IF(B142="","",IF(O142="Desvinculado","Terminado",IF(N(AI142)=0,"Sin contrato registrado",IF(O142="Por ingresar","Por ingresar",IF(ISNUMBER(AJ142),"Renovación registrada",IF(R142="Indefinido","Indefinido",IF(NOT(ISNUMBER(V142)),"Falta fecha de término",IF(V142&lt;0,"VENCIDO",IF(V142&lt;=ALERTA_ROJA,"Vence en ≤ "&amp;ALERTA_ROJA&amp;" días",IF(V142&lt;=ALERTA_NARANJA,"Vence en ≤ "&amp;ALERTA_NARANJA&amp;" días",IF(V142&lt;=ALERTA_AMARILLA,"Vence en ≤ "&amp;ALERTA_AMARILLA&amp;" días","Vigente")))))))))))</f>
        <v/>
      </c>
      <c r="X142" s="62" t="str">
        <f aca="false">IF(B142="","",IF(W142="Terminado","—",IF(W142="Sin contrato registrado","Registrar su contrato en la hoja Contratos",IF(W142="Por ingresar","Tener el contrato firmado antes del ingreso",IF(W142="Renovación registrada","Siguiente contrato ya registrado: verificar que esté firmado",IF(R142="Indefinido","Sin vencimiento. Cambios de sueldo o cargo: anexo de modificación",IF(W142="Falta fecha de término","Completar la fecha de término en Contratos",IF(W142="VENCIDO","Sigue trabajando con plazo vencido: por ley ya es INDEFINIDO. Firmar anexo de paso a indefinido",IF(R142="Obra o faena","Al terminar la obra: finiquito + 2,5 días de sueldo por mes trabajado",IF(N(S142)&gt;=2,"2° contrato a plazo: NO se puede renovar otra vez a plazo fijo. Pasar a indefinido o terminar al vencer","1er contrato a plazo: renovar (2° contrato), pasar a indefinido o terminar al vencer"))))))))))</f>
        <v/>
      </c>
      <c r="Y142" s="68" t="str">
        <f aca="false">IF(O142&lt;&gt;"Activo","",ROUND(1.25*(DATEDIF(F142,AO142+1,"m")+(AO142+1-EDATE(F142,DATEDIF(F142,AO142+1,"m")))/30),2))</f>
        <v/>
      </c>
      <c r="Z142" s="68" t="str">
        <f aca="false">IF(O142&lt;&gt;"Activo","",N(M142)+SUMIFS(M_VAC,M_RUTN,AG142,M_MES,"&lt;="&amp;FECHA_CORTE))</f>
        <v/>
      </c>
      <c r="AA142" s="68" t="str">
        <f aca="false">IF(O142&lt;&gt;"Activo","",Y142-Z142)</f>
        <v/>
      </c>
      <c r="AB142" s="63" t="str">
        <f aca="false">IF(O142&lt;&gt;"Activo","",ROUND(MAX(0,IF(AA142&lt;=0,0,WORKDAY(FECHA_CORTE,INT(AA142),FERIADOS)-FECHA_CORTE+(AA142-INT(AA142))))*(Q142+N(K142))/30,0))</f>
        <v/>
      </c>
      <c r="AC142" s="65" t="str">
        <f aca="false">IF(O142&lt;&gt;"Activo","",IF(DATEDIF(F142,FECHA_CORTE+1,"y")&lt;1,0,MIN(TOPE_ANIOS,DATEDIF(F142,FECHA_CORTE+1,"y")+IF(EDATE(F142,12*DATEDIF(F142,FECHA_CORTE+1,"y")+6)&lt;FECHA_CORTE+1,1,0))))</f>
        <v/>
      </c>
      <c r="AD142" s="69" t="str">
        <f aca="false">IF(O142&lt;&gt;"Activo","",AB142+IF(R142="Obra o faena",0,ROUND(AL142*AC142,0)+ROUND(AL142,0)))</f>
        <v/>
      </c>
      <c r="AE142" s="69" t="str">
        <f aca="false">IF(O142&lt;&gt;"Activo","",AB142)</f>
        <v/>
      </c>
      <c r="AF142" s="69" t="str">
        <f aca="false">IF(AN142="","",IF(ISNUMBER(AJ142),"",ROUND(MAX(0,IF(AN142&lt;=0,0,WORKDAY(U142,INT(AN142),FERIADOS)-U142+(AN142-INT(AN142))))*(Q142+N(K142))/30,0)+IF(R142="Obra o faena",ROUND(OBRA_DIAS*AL142/30*(DATEDIF(F142,U142+1,"m")+IF(U142+1-EDATE(F142,DATEDIF(F142,U142+1,"m"))&gt;15,1,0)),0),0)))</f>
        <v/>
      </c>
      <c r="AG142" s="62" t="str">
        <f aca="false">IF(B142="","",IFERROR(VALUE(LEFT(UPPER(SUBSTITUTE(SUBSTITUTE(SUBSTITUTE(TRIM(B142),".",""),"-","")," ","")),LEN(UPPER(SUBSTITUTE(SUBSTITUTE(SUBSTITUTE(TRIM(B142),".",""),"-","")," ","")))-1))&amp;RIGHT(UPPER(SUBSTITUTE(SUBSTITUTE(SUBSTITUTE(TRIM(B142),".",""),"-","")," ","")),1),UPPER(SUBSTITUTE(SUBSTITUTE(SUBSTITUTE(TRIM(B142),".",""),"-","")," ",""))))</f>
        <v/>
      </c>
      <c r="AH142" s="62" t="str">
        <f aca="false">IF(B142="","",COUNTIFS(C_RUTN,AG142,C_DEF,"Sí",C_INI,"&lt;="&amp;FECHA_CORTE))</f>
        <v/>
      </c>
      <c r="AI142" s="62" t="str">
        <f aca="false">IF(B142="","",COUNTIFS(C_RUTN,AG142,C_DEF,"Sí"))</f>
        <v/>
      </c>
      <c r="AJ142" s="66" t="str">
        <f aca="false">IF(OR(B142="",N(AI142)&lt;=N(AH142)),"",IFERROR(INDEX(C_INI,MATCH(AG142&amp;"-P"&amp;(AH142+1),C_CLAVE,0)),""))</f>
        <v/>
      </c>
      <c r="AK142" s="63" t="str">
        <f aca="false">IF(O142&lt;&gt;"Activo","",Q142+N(K142)+IF(L142="Sí",MIN(GRAT_PCT*(Q142+N(K142)),GRAT_TOPE),0)+N(I142)+N(J142))</f>
        <v/>
      </c>
      <c r="AL142" s="63" t="str">
        <f aca="false">IF(O142&lt;&gt;"Activo","",MIN(AK142,TOPE_IAS_UF*UF_MES))</f>
        <v/>
      </c>
      <c r="AM142" s="62" t="str">
        <f aca="false">IF(AND(O142="Activo",ISNUMBER(V142),W142&lt;&gt;"Renovación registrada"),V142+ROW()/100000,"")</f>
        <v/>
      </c>
      <c r="AN142" s="70" t="str">
        <f aca="false">IF(OR(O142&lt;&gt;"Activo",NOT(ISNUMBER(U142))),"",IF(U142&lt;FECHA_CORTE,"",1.25*(DATEDIF(F142,U142+1,"m")+(U142+1-EDATE(F142,DATEDIF(F142,U142+1,"m")))/30)-Z142))</f>
        <v/>
      </c>
      <c r="AO142" s="66" t="str">
        <f aca="false">IF(OR(B142="",NOT(ISNUMBER(F142))),"",IF(N(G142)&gt;0,MIN(G142,FECHA_CORTE),FECHA_CORTE))</f>
        <v/>
      </c>
    </row>
    <row r="143" customFormat="false" ht="15" hidden="false" customHeight="false" outlineLevel="0" collapsed="false">
      <c r="B143" s="58"/>
      <c r="C143" s="58"/>
      <c r="D143" s="58"/>
      <c r="E143" s="58"/>
      <c r="F143" s="59"/>
      <c r="G143" s="59"/>
      <c r="H143" s="58"/>
      <c r="I143" s="60"/>
      <c r="J143" s="60"/>
      <c r="K143" s="60"/>
      <c r="L143" s="58"/>
      <c r="M143" s="61"/>
      <c r="N143" s="58"/>
      <c r="O143" s="62" t="str">
        <f aca="false">IF(B143="","",IF(NOT(ISNUMBER(F143)),"⚠ Falta ingreso",IF(F143&gt;FECHA_CORTE,"Por ingresar",IF(G143="","Activo",IF(G143&lt;FECHA_CORTE,"Desvinculado","Activo")))))</f>
        <v/>
      </c>
      <c r="P143" s="62" t="str">
        <f aca="false">IF(OR(B143="",NOT(ISNUMBER(F143))),"",IF(F143&gt;FECHA_CORTE,"",DATEDIF(F143,IF(G143="",FECHA_CORTE,MIN(G143,FECHA_CORTE))+1,"y")&amp;" a "&amp;DATEDIF(F143,IF(G143="",FECHA_CORTE,MIN(G143,FECHA_CORTE))+1,"ym")&amp;" m"))</f>
        <v/>
      </c>
      <c r="Q143" s="63" t="str">
        <f aca="false">IF(B143="","",IFERROR(INDEX(C_SUELDO,MATCH(AG143&amp;"-S"&amp;MAX(1,COUNTIFS(C_RUTN,AG143,C_SUELDO,"&lt;&gt;",C_INI,"&lt;="&amp;FECHA_CORTE)),C_CLAVES,0)),0))</f>
        <v/>
      </c>
      <c r="R143" s="62" t="str">
        <f aca="false">IF(B143="","",IF(N(AI143)=0,"Sin contrato",IFERROR(INDEX(C_TIPO,MATCH(AG143&amp;"-P"&amp;MAX(1,AH143),C_CLAVE,0))&amp;"","")))</f>
        <v/>
      </c>
      <c r="S143" s="64" t="str">
        <f aca="false">IF(R143="Plazo fijo",IFERROR(INDEX(C_NPF,MATCH(AG143&amp;"-P"&amp;MAX(1,AH143),C_CLAVE,0)),""),"")</f>
        <v/>
      </c>
      <c r="T143" s="65" t="str">
        <f aca="false">IF(B143="","",COUNTIFS(C_RUTN,AG143,C_TIPODOC,"Anexo de modificación"))</f>
        <v/>
      </c>
      <c r="U143" s="66" t="str">
        <f aca="false">IF(AND(OR(R143="Plazo fijo",R143="Obra o faena"),O143&lt;&gt;"Desvinculado"),IFERROR(IF(N(INDEX(C_TER,MATCH(AG143&amp;"-P"&amp;MAX(1,AH143),C_CLAVE,0)))=0,"",INDEX(C_TER,MATCH(AG143&amp;"-P"&amp;MAX(1,AH143),C_CLAVE,0))),""),"")</f>
        <v/>
      </c>
      <c r="V143" s="67" t="str">
        <f aca="false">IF(ISNUMBER(U143),U143-FECHA_CORTE,"")</f>
        <v/>
      </c>
      <c r="W143" s="62" t="str">
        <f aca="false">IF(B143="","",IF(O143="Desvinculado","Terminado",IF(N(AI143)=0,"Sin contrato registrado",IF(O143="Por ingresar","Por ingresar",IF(ISNUMBER(AJ143),"Renovación registrada",IF(R143="Indefinido","Indefinido",IF(NOT(ISNUMBER(V143)),"Falta fecha de término",IF(V143&lt;0,"VENCIDO",IF(V143&lt;=ALERTA_ROJA,"Vence en ≤ "&amp;ALERTA_ROJA&amp;" días",IF(V143&lt;=ALERTA_NARANJA,"Vence en ≤ "&amp;ALERTA_NARANJA&amp;" días",IF(V143&lt;=ALERTA_AMARILLA,"Vence en ≤ "&amp;ALERTA_AMARILLA&amp;" días","Vigente")))))))))))</f>
        <v/>
      </c>
      <c r="X143" s="62" t="str">
        <f aca="false">IF(B143="","",IF(W143="Terminado","—",IF(W143="Sin contrato registrado","Registrar su contrato en la hoja Contratos",IF(W143="Por ingresar","Tener el contrato firmado antes del ingreso",IF(W143="Renovación registrada","Siguiente contrato ya registrado: verificar que esté firmado",IF(R143="Indefinido","Sin vencimiento. Cambios de sueldo o cargo: anexo de modificación",IF(W143="Falta fecha de término","Completar la fecha de término en Contratos",IF(W143="VENCIDO","Sigue trabajando con plazo vencido: por ley ya es INDEFINIDO. Firmar anexo de paso a indefinido",IF(R143="Obra o faena","Al terminar la obra: finiquito + 2,5 días de sueldo por mes trabajado",IF(N(S143)&gt;=2,"2° contrato a plazo: NO se puede renovar otra vez a plazo fijo. Pasar a indefinido o terminar al vencer","1er contrato a plazo: renovar (2° contrato), pasar a indefinido o terminar al vencer"))))))))))</f>
        <v/>
      </c>
      <c r="Y143" s="68" t="str">
        <f aca="false">IF(O143&lt;&gt;"Activo","",ROUND(1.25*(DATEDIF(F143,AO143+1,"m")+(AO143+1-EDATE(F143,DATEDIF(F143,AO143+1,"m")))/30),2))</f>
        <v/>
      </c>
      <c r="Z143" s="68" t="str">
        <f aca="false">IF(O143&lt;&gt;"Activo","",N(M143)+SUMIFS(M_VAC,M_RUTN,AG143,M_MES,"&lt;="&amp;FECHA_CORTE))</f>
        <v/>
      </c>
      <c r="AA143" s="68" t="str">
        <f aca="false">IF(O143&lt;&gt;"Activo","",Y143-Z143)</f>
        <v/>
      </c>
      <c r="AB143" s="63" t="str">
        <f aca="false">IF(O143&lt;&gt;"Activo","",ROUND(MAX(0,IF(AA143&lt;=0,0,WORKDAY(FECHA_CORTE,INT(AA143),FERIADOS)-FECHA_CORTE+(AA143-INT(AA143))))*(Q143+N(K143))/30,0))</f>
        <v/>
      </c>
      <c r="AC143" s="65" t="str">
        <f aca="false">IF(O143&lt;&gt;"Activo","",IF(DATEDIF(F143,FECHA_CORTE+1,"y")&lt;1,0,MIN(TOPE_ANIOS,DATEDIF(F143,FECHA_CORTE+1,"y")+IF(EDATE(F143,12*DATEDIF(F143,FECHA_CORTE+1,"y")+6)&lt;FECHA_CORTE+1,1,0))))</f>
        <v/>
      </c>
      <c r="AD143" s="69" t="str">
        <f aca="false">IF(O143&lt;&gt;"Activo","",AB143+IF(R143="Obra o faena",0,ROUND(AL143*AC143,0)+ROUND(AL143,0)))</f>
        <v/>
      </c>
      <c r="AE143" s="69" t="str">
        <f aca="false">IF(O143&lt;&gt;"Activo","",AB143)</f>
        <v/>
      </c>
      <c r="AF143" s="69" t="str">
        <f aca="false">IF(AN143="","",IF(ISNUMBER(AJ143),"",ROUND(MAX(0,IF(AN143&lt;=0,0,WORKDAY(U143,INT(AN143),FERIADOS)-U143+(AN143-INT(AN143))))*(Q143+N(K143))/30,0)+IF(R143="Obra o faena",ROUND(OBRA_DIAS*AL143/30*(DATEDIF(F143,U143+1,"m")+IF(U143+1-EDATE(F143,DATEDIF(F143,U143+1,"m"))&gt;15,1,0)),0),0)))</f>
        <v/>
      </c>
      <c r="AG143" s="62" t="str">
        <f aca="false">IF(B143="","",IFERROR(VALUE(LEFT(UPPER(SUBSTITUTE(SUBSTITUTE(SUBSTITUTE(TRIM(B143),".",""),"-","")," ","")),LEN(UPPER(SUBSTITUTE(SUBSTITUTE(SUBSTITUTE(TRIM(B143),".",""),"-","")," ","")))-1))&amp;RIGHT(UPPER(SUBSTITUTE(SUBSTITUTE(SUBSTITUTE(TRIM(B143),".",""),"-","")," ","")),1),UPPER(SUBSTITUTE(SUBSTITUTE(SUBSTITUTE(TRIM(B143),".",""),"-","")," ",""))))</f>
        <v/>
      </c>
      <c r="AH143" s="62" t="str">
        <f aca="false">IF(B143="","",COUNTIFS(C_RUTN,AG143,C_DEF,"Sí",C_INI,"&lt;="&amp;FECHA_CORTE))</f>
        <v/>
      </c>
      <c r="AI143" s="62" t="str">
        <f aca="false">IF(B143="","",COUNTIFS(C_RUTN,AG143,C_DEF,"Sí"))</f>
        <v/>
      </c>
      <c r="AJ143" s="66" t="str">
        <f aca="false">IF(OR(B143="",N(AI143)&lt;=N(AH143)),"",IFERROR(INDEX(C_INI,MATCH(AG143&amp;"-P"&amp;(AH143+1),C_CLAVE,0)),""))</f>
        <v/>
      </c>
      <c r="AK143" s="63" t="str">
        <f aca="false">IF(O143&lt;&gt;"Activo","",Q143+N(K143)+IF(L143="Sí",MIN(GRAT_PCT*(Q143+N(K143)),GRAT_TOPE),0)+N(I143)+N(J143))</f>
        <v/>
      </c>
      <c r="AL143" s="63" t="str">
        <f aca="false">IF(O143&lt;&gt;"Activo","",MIN(AK143,TOPE_IAS_UF*UF_MES))</f>
        <v/>
      </c>
      <c r="AM143" s="62" t="str">
        <f aca="false">IF(AND(O143="Activo",ISNUMBER(V143),W143&lt;&gt;"Renovación registrada"),V143+ROW()/100000,"")</f>
        <v/>
      </c>
      <c r="AN143" s="70" t="str">
        <f aca="false">IF(OR(O143&lt;&gt;"Activo",NOT(ISNUMBER(U143))),"",IF(U143&lt;FECHA_CORTE,"",1.25*(DATEDIF(F143,U143+1,"m")+(U143+1-EDATE(F143,DATEDIF(F143,U143+1,"m")))/30)-Z143))</f>
        <v/>
      </c>
      <c r="AO143" s="66" t="str">
        <f aca="false">IF(OR(B143="",NOT(ISNUMBER(F143))),"",IF(N(G143)&gt;0,MIN(G143,FECHA_CORTE),FECHA_CORTE))</f>
        <v/>
      </c>
    </row>
    <row r="144" customFormat="false" ht="15" hidden="false" customHeight="false" outlineLevel="0" collapsed="false">
      <c r="B144" s="58"/>
      <c r="C144" s="58"/>
      <c r="D144" s="58"/>
      <c r="E144" s="58"/>
      <c r="F144" s="59"/>
      <c r="G144" s="59"/>
      <c r="H144" s="58"/>
      <c r="I144" s="60"/>
      <c r="J144" s="60"/>
      <c r="K144" s="60"/>
      <c r="L144" s="58"/>
      <c r="M144" s="61"/>
      <c r="N144" s="58"/>
      <c r="O144" s="62" t="str">
        <f aca="false">IF(B144="","",IF(NOT(ISNUMBER(F144)),"⚠ Falta ingreso",IF(F144&gt;FECHA_CORTE,"Por ingresar",IF(G144="","Activo",IF(G144&lt;FECHA_CORTE,"Desvinculado","Activo")))))</f>
        <v/>
      </c>
      <c r="P144" s="62" t="str">
        <f aca="false">IF(OR(B144="",NOT(ISNUMBER(F144))),"",IF(F144&gt;FECHA_CORTE,"",DATEDIF(F144,IF(G144="",FECHA_CORTE,MIN(G144,FECHA_CORTE))+1,"y")&amp;" a "&amp;DATEDIF(F144,IF(G144="",FECHA_CORTE,MIN(G144,FECHA_CORTE))+1,"ym")&amp;" m"))</f>
        <v/>
      </c>
      <c r="Q144" s="63" t="str">
        <f aca="false">IF(B144="","",IFERROR(INDEX(C_SUELDO,MATCH(AG144&amp;"-S"&amp;MAX(1,COUNTIFS(C_RUTN,AG144,C_SUELDO,"&lt;&gt;",C_INI,"&lt;="&amp;FECHA_CORTE)),C_CLAVES,0)),0))</f>
        <v/>
      </c>
      <c r="R144" s="62" t="str">
        <f aca="false">IF(B144="","",IF(N(AI144)=0,"Sin contrato",IFERROR(INDEX(C_TIPO,MATCH(AG144&amp;"-P"&amp;MAX(1,AH144),C_CLAVE,0))&amp;"","")))</f>
        <v/>
      </c>
      <c r="S144" s="64" t="str">
        <f aca="false">IF(R144="Plazo fijo",IFERROR(INDEX(C_NPF,MATCH(AG144&amp;"-P"&amp;MAX(1,AH144),C_CLAVE,0)),""),"")</f>
        <v/>
      </c>
      <c r="T144" s="65" t="str">
        <f aca="false">IF(B144="","",COUNTIFS(C_RUTN,AG144,C_TIPODOC,"Anexo de modificación"))</f>
        <v/>
      </c>
      <c r="U144" s="66" t="str">
        <f aca="false">IF(AND(OR(R144="Plazo fijo",R144="Obra o faena"),O144&lt;&gt;"Desvinculado"),IFERROR(IF(N(INDEX(C_TER,MATCH(AG144&amp;"-P"&amp;MAX(1,AH144),C_CLAVE,0)))=0,"",INDEX(C_TER,MATCH(AG144&amp;"-P"&amp;MAX(1,AH144),C_CLAVE,0))),""),"")</f>
        <v/>
      </c>
      <c r="V144" s="67" t="str">
        <f aca="false">IF(ISNUMBER(U144),U144-FECHA_CORTE,"")</f>
        <v/>
      </c>
      <c r="W144" s="62" t="str">
        <f aca="false">IF(B144="","",IF(O144="Desvinculado","Terminado",IF(N(AI144)=0,"Sin contrato registrado",IF(O144="Por ingresar","Por ingresar",IF(ISNUMBER(AJ144),"Renovación registrada",IF(R144="Indefinido","Indefinido",IF(NOT(ISNUMBER(V144)),"Falta fecha de término",IF(V144&lt;0,"VENCIDO",IF(V144&lt;=ALERTA_ROJA,"Vence en ≤ "&amp;ALERTA_ROJA&amp;" días",IF(V144&lt;=ALERTA_NARANJA,"Vence en ≤ "&amp;ALERTA_NARANJA&amp;" días",IF(V144&lt;=ALERTA_AMARILLA,"Vence en ≤ "&amp;ALERTA_AMARILLA&amp;" días","Vigente")))))))))))</f>
        <v/>
      </c>
      <c r="X144" s="62" t="str">
        <f aca="false">IF(B144="","",IF(W144="Terminado","—",IF(W144="Sin contrato registrado","Registrar su contrato en la hoja Contratos",IF(W144="Por ingresar","Tener el contrato firmado antes del ingreso",IF(W144="Renovación registrada","Siguiente contrato ya registrado: verificar que esté firmado",IF(R144="Indefinido","Sin vencimiento. Cambios de sueldo o cargo: anexo de modificación",IF(W144="Falta fecha de término","Completar la fecha de término en Contratos",IF(W144="VENCIDO","Sigue trabajando con plazo vencido: por ley ya es INDEFINIDO. Firmar anexo de paso a indefinido",IF(R144="Obra o faena","Al terminar la obra: finiquito + 2,5 días de sueldo por mes trabajado",IF(N(S144)&gt;=2,"2° contrato a plazo: NO se puede renovar otra vez a plazo fijo. Pasar a indefinido o terminar al vencer","1er contrato a plazo: renovar (2° contrato), pasar a indefinido o terminar al vencer"))))))))))</f>
        <v/>
      </c>
      <c r="Y144" s="68" t="str">
        <f aca="false">IF(O144&lt;&gt;"Activo","",ROUND(1.25*(DATEDIF(F144,AO144+1,"m")+(AO144+1-EDATE(F144,DATEDIF(F144,AO144+1,"m")))/30),2))</f>
        <v/>
      </c>
      <c r="Z144" s="68" t="str">
        <f aca="false">IF(O144&lt;&gt;"Activo","",N(M144)+SUMIFS(M_VAC,M_RUTN,AG144,M_MES,"&lt;="&amp;FECHA_CORTE))</f>
        <v/>
      </c>
      <c r="AA144" s="68" t="str">
        <f aca="false">IF(O144&lt;&gt;"Activo","",Y144-Z144)</f>
        <v/>
      </c>
      <c r="AB144" s="63" t="str">
        <f aca="false">IF(O144&lt;&gt;"Activo","",ROUND(MAX(0,IF(AA144&lt;=0,0,WORKDAY(FECHA_CORTE,INT(AA144),FERIADOS)-FECHA_CORTE+(AA144-INT(AA144))))*(Q144+N(K144))/30,0))</f>
        <v/>
      </c>
      <c r="AC144" s="65" t="str">
        <f aca="false">IF(O144&lt;&gt;"Activo","",IF(DATEDIF(F144,FECHA_CORTE+1,"y")&lt;1,0,MIN(TOPE_ANIOS,DATEDIF(F144,FECHA_CORTE+1,"y")+IF(EDATE(F144,12*DATEDIF(F144,FECHA_CORTE+1,"y")+6)&lt;FECHA_CORTE+1,1,0))))</f>
        <v/>
      </c>
      <c r="AD144" s="69" t="str">
        <f aca="false">IF(O144&lt;&gt;"Activo","",AB144+IF(R144="Obra o faena",0,ROUND(AL144*AC144,0)+ROUND(AL144,0)))</f>
        <v/>
      </c>
      <c r="AE144" s="69" t="str">
        <f aca="false">IF(O144&lt;&gt;"Activo","",AB144)</f>
        <v/>
      </c>
      <c r="AF144" s="69" t="str">
        <f aca="false">IF(AN144="","",IF(ISNUMBER(AJ144),"",ROUND(MAX(0,IF(AN144&lt;=0,0,WORKDAY(U144,INT(AN144),FERIADOS)-U144+(AN144-INT(AN144))))*(Q144+N(K144))/30,0)+IF(R144="Obra o faena",ROUND(OBRA_DIAS*AL144/30*(DATEDIF(F144,U144+1,"m")+IF(U144+1-EDATE(F144,DATEDIF(F144,U144+1,"m"))&gt;15,1,0)),0),0)))</f>
        <v/>
      </c>
      <c r="AG144" s="62" t="str">
        <f aca="false">IF(B144="","",IFERROR(VALUE(LEFT(UPPER(SUBSTITUTE(SUBSTITUTE(SUBSTITUTE(TRIM(B144),".",""),"-","")," ","")),LEN(UPPER(SUBSTITUTE(SUBSTITUTE(SUBSTITUTE(TRIM(B144),".",""),"-","")," ","")))-1))&amp;RIGHT(UPPER(SUBSTITUTE(SUBSTITUTE(SUBSTITUTE(TRIM(B144),".",""),"-","")," ","")),1),UPPER(SUBSTITUTE(SUBSTITUTE(SUBSTITUTE(TRIM(B144),".",""),"-","")," ",""))))</f>
        <v/>
      </c>
      <c r="AH144" s="62" t="str">
        <f aca="false">IF(B144="","",COUNTIFS(C_RUTN,AG144,C_DEF,"Sí",C_INI,"&lt;="&amp;FECHA_CORTE))</f>
        <v/>
      </c>
      <c r="AI144" s="62" t="str">
        <f aca="false">IF(B144="","",COUNTIFS(C_RUTN,AG144,C_DEF,"Sí"))</f>
        <v/>
      </c>
      <c r="AJ144" s="66" t="str">
        <f aca="false">IF(OR(B144="",N(AI144)&lt;=N(AH144)),"",IFERROR(INDEX(C_INI,MATCH(AG144&amp;"-P"&amp;(AH144+1),C_CLAVE,0)),""))</f>
        <v/>
      </c>
      <c r="AK144" s="63" t="str">
        <f aca="false">IF(O144&lt;&gt;"Activo","",Q144+N(K144)+IF(L144="Sí",MIN(GRAT_PCT*(Q144+N(K144)),GRAT_TOPE),0)+N(I144)+N(J144))</f>
        <v/>
      </c>
      <c r="AL144" s="63" t="str">
        <f aca="false">IF(O144&lt;&gt;"Activo","",MIN(AK144,TOPE_IAS_UF*UF_MES))</f>
        <v/>
      </c>
      <c r="AM144" s="62" t="str">
        <f aca="false">IF(AND(O144="Activo",ISNUMBER(V144),W144&lt;&gt;"Renovación registrada"),V144+ROW()/100000,"")</f>
        <v/>
      </c>
      <c r="AN144" s="70" t="str">
        <f aca="false">IF(OR(O144&lt;&gt;"Activo",NOT(ISNUMBER(U144))),"",IF(U144&lt;FECHA_CORTE,"",1.25*(DATEDIF(F144,U144+1,"m")+(U144+1-EDATE(F144,DATEDIF(F144,U144+1,"m")))/30)-Z144))</f>
        <v/>
      </c>
      <c r="AO144" s="66" t="str">
        <f aca="false">IF(OR(B144="",NOT(ISNUMBER(F144))),"",IF(N(G144)&gt;0,MIN(G144,FECHA_CORTE),FECHA_CORTE))</f>
        <v/>
      </c>
    </row>
    <row r="145" customFormat="false" ht="15" hidden="false" customHeight="false" outlineLevel="0" collapsed="false">
      <c r="B145" s="58"/>
      <c r="C145" s="58"/>
      <c r="D145" s="58"/>
      <c r="E145" s="58"/>
      <c r="F145" s="59"/>
      <c r="G145" s="59"/>
      <c r="H145" s="58"/>
      <c r="I145" s="60"/>
      <c r="J145" s="60"/>
      <c r="K145" s="60"/>
      <c r="L145" s="58"/>
      <c r="M145" s="61"/>
      <c r="N145" s="58"/>
      <c r="O145" s="62" t="str">
        <f aca="false">IF(B145="","",IF(NOT(ISNUMBER(F145)),"⚠ Falta ingreso",IF(F145&gt;FECHA_CORTE,"Por ingresar",IF(G145="","Activo",IF(G145&lt;FECHA_CORTE,"Desvinculado","Activo")))))</f>
        <v/>
      </c>
      <c r="P145" s="62" t="str">
        <f aca="false">IF(OR(B145="",NOT(ISNUMBER(F145))),"",IF(F145&gt;FECHA_CORTE,"",DATEDIF(F145,IF(G145="",FECHA_CORTE,MIN(G145,FECHA_CORTE))+1,"y")&amp;" a "&amp;DATEDIF(F145,IF(G145="",FECHA_CORTE,MIN(G145,FECHA_CORTE))+1,"ym")&amp;" m"))</f>
        <v/>
      </c>
      <c r="Q145" s="63" t="str">
        <f aca="false">IF(B145="","",IFERROR(INDEX(C_SUELDO,MATCH(AG145&amp;"-S"&amp;MAX(1,COUNTIFS(C_RUTN,AG145,C_SUELDO,"&lt;&gt;",C_INI,"&lt;="&amp;FECHA_CORTE)),C_CLAVES,0)),0))</f>
        <v/>
      </c>
      <c r="R145" s="62" t="str">
        <f aca="false">IF(B145="","",IF(N(AI145)=0,"Sin contrato",IFERROR(INDEX(C_TIPO,MATCH(AG145&amp;"-P"&amp;MAX(1,AH145),C_CLAVE,0))&amp;"","")))</f>
        <v/>
      </c>
      <c r="S145" s="64" t="str">
        <f aca="false">IF(R145="Plazo fijo",IFERROR(INDEX(C_NPF,MATCH(AG145&amp;"-P"&amp;MAX(1,AH145),C_CLAVE,0)),""),"")</f>
        <v/>
      </c>
      <c r="T145" s="65" t="str">
        <f aca="false">IF(B145="","",COUNTIFS(C_RUTN,AG145,C_TIPODOC,"Anexo de modificación"))</f>
        <v/>
      </c>
      <c r="U145" s="66" t="str">
        <f aca="false">IF(AND(OR(R145="Plazo fijo",R145="Obra o faena"),O145&lt;&gt;"Desvinculado"),IFERROR(IF(N(INDEX(C_TER,MATCH(AG145&amp;"-P"&amp;MAX(1,AH145),C_CLAVE,0)))=0,"",INDEX(C_TER,MATCH(AG145&amp;"-P"&amp;MAX(1,AH145),C_CLAVE,0))),""),"")</f>
        <v/>
      </c>
      <c r="V145" s="67" t="str">
        <f aca="false">IF(ISNUMBER(U145),U145-FECHA_CORTE,"")</f>
        <v/>
      </c>
      <c r="W145" s="62" t="str">
        <f aca="false">IF(B145="","",IF(O145="Desvinculado","Terminado",IF(N(AI145)=0,"Sin contrato registrado",IF(O145="Por ingresar","Por ingresar",IF(ISNUMBER(AJ145),"Renovación registrada",IF(R145="Indefinido","Indefinido",IF(NOT(ISNUMBER(V145)),"Falta fecha de término",IF(V145&lt;0,"VENCIDO",IF(V145&lt;=ALERTA_ROJA,"Vence en ≤ "&amp;ALERTA_ROJA&amp;" días",IF(V145&lt;=ALERTA_NARANJA,"Vence en ≤ "&amp;ALERTA_NARANJA&amp;" días",IF(V145&lt;=ALERTA_AMARILLA,"Vence en ≤ "&amp;ALERTA_AMARILLA&amp;" días","Vigente")))))))))))</f>
        <v/>
      </c>
      <c r="X145" s="62" t="str">
        <f aca="false">IF(B145="","",IF(W145="Terminado","—",IF(W145="Sin contrato registrado","Registrar su contrato en la hoja Contratos",IF(W145="Por ingresar","Tener el contrato firmado antes del ingreso",IF(W145="Renovación registrada","Siguiente contrato ya registrado: verificar que esté firmado",IF(R145="Indefinido","Sin vencimiento. Cambios de sueldo o cargo: anexo de modificación",IF(W145="Falta fecha de término","Completar la fecha de término en Contratos",IF(W145="VENCIDO","Sigue trabajando con plazo vencido: por ley ya es INDEFINIDO. Firmar anexo de paso a indefinido",IF(R145="Obra o faena","Al terminar la obra: finiquito + 2,5 días de sueldo por mes trabajado",IF(N(S145)&gt;=2,"2° contrato a plazo: NO se puede renovar otra vez a plazo fijo. Pasar a indefinido o terminar al vencer","1er contrato a plazo: renovar (2° contrato), pasar a indefinido o terminar al vencer"))))))))))</f>
        <v/>
      </c>
      <c r="Y145" s="68" t="str">
        <f aca="false">IF(O145&lt;&gt;"Activo","",ROUND(1.25*(DATEDIF(F145,AO145+1,"m")+(AO145+1-EDATE(F145,DATEDIF(F145,AO145+1,"m")))/30),2))</f>
        <v/>
      </c>
      <c r="Z145" s="68" t="str">
        <f aca="false">IF(O145&lt;&gt;"Activo","",N(M145)+SUMIFS(M_VAC,M_RUTN,AG145,M_MES,"&lt;="&amp;FECHA_CORTE))</f>
        <v/>
      </c>
      <c r="AA145" s="68" t="str">
        <f aca="false">IF(O145&lt;&gt;"Activo","",Y145-Z145)</f>
        <v/>
      </c>
      <c r="AB145" s="63" t="str">
        <f aca="false">IF(O145&lt;&gt;"Activo","",ROUND(MAX(0,IF(AA145&lt;=0,0,WORKDAY(FECHA_CORTE,INT(AA145),FERIADOS)-FECHA_CORTE+(AA145-INT(AA145))))*(Q145+N(K145))/30,0))</f>
        <v/>
      </c>
      <c r="AC145" s="65" t="str">
        <f aca="false">IF(O145&lt;&gt;"Activo","",IF(DATEDIF(F145,FECHA_CORTE+1,"y")&lt;1,0,MIN(TOPE_ANIOS,DATEDIF(F145,FECHA_CORTE+1,"y")+IF(EDATE(F145,12*DATEDIF(F145,FECHA_CORTE+1,"y")+6)&lt;FECHA_CORTE+1,1,0))))</f>
        <v/>
      </c>
      <c r="AD145" s="69" t="str">
        <f aca="false">IF(O145&lt;&gt;"Activo","",AB145+IF(R145="Obra o faena",0,ROUND(AL145*AC145,0)+ROUND(AL145,0)))</f>
        <v/>
      </c>
      <c r="AE145" s="69" t="str">
        <f aca="false">IF(O145&lt;&gt;"Activo","",AB145)</f>
        <v/>
      </c>
      <c r="AF145" s="69" t="str">
        <f aca="false">IF(AN145="","",IF(ISNUMBER(AJ145),"",ROUND(MAX(0,IF(AN145&lt;=0,0,WORKDAY(U145,INT(AN145),FERIADOS)-U145+(AN145-INT(AN145))))*(Q145+N(K145))/30,0)+IF(R145="Obra o faena",ROUND(OBRA_DIAS*AL145/30*(DATEDIF(F145,U145+1,"m")+IF(U145+1-EDATE(F145,DATEDIF(F145,U145+1,"m"))&gt;15,1,0)),0),0)))</f>
        <v/>
      </c>
      <c r="AG145" s="62" t="str">
        <f aca="false">IF(B145="","",IFERROR(VALUE(LEFT(UPPER(SUBSTITUTE(SUBSTITUTE(SUBSTITUTE(TRIM(B145),".",""),"-","")," ","")),LEN(UPPER(SUBSTITUTE(SUBSTITUTE(SUBSTITUTE(TRIM(B145),".",""),"-","")," ","")))-1))&amp;RIGHT(UPPER(SUBSTITUTE(SUBSTITUTE(SUBSTITUTE(TRIM(B145),".",""),"-","")," ","")),1),UPPER(SUBSTITUTE(SUBSTITUTE(SUBSTITUTE(TRIM(B145),".",""),"-","")," ",""))))</f>
        <v/>
      </c>
      <c r="AH145" s="62" t="str">
        <f aca="false">IF(B145="","",COUNTIFS(C_RUTN,AG145,C_DEF,"Sí",C_INI,"&lt;="&amp;FECHA_CORTE))</f>
        <v/>
      </c>
      <c r="AI145" s="62" t="str">
        <f aca="false">IF(B145="","",COUNTIFS(C_RUTN,AG145,C_DEF,"Sí"))</f>
        <v/>
      </c>
      <c r="AJ145" s="66" t="str">
        <f aca="false">IF(OR(B145="",N(AI145)&lt;=N(AH145)),"",IFERROR(INDEX(C_INI,MATCH(AG145&amp;"-P"&amp;(AH145+1),C_CLAVE,0)),""))</f>
        <v/>
      </c>
      <c r="AK145" s="63" t="str">
        <f aca="false">IF(O145&lt;&gt;"Activo","",Q145+N(K145)+IF(L145="Sí",MIN(GRAT_PCT*(Q145+N(K145)),GRAT_TOPE),0)+N(I145)+N(J145))</f>
        <v/>
      </c>
      <c r="AL145" s="63" t="str">
        <f aca="false">IF(O145&lt;&gt;"Activo","",MIN(AK145,TOPE_IAS_UF*UF_MES))</f>
        <v/>
      </c>
      <c r="AM145" s="62" t="str">
        <f aca="false">IF(AND(O145="Activo",ISNUMBER(V145),W145&lt;&gt;"Renovación registrada"),V145+ROW()/100000,"")</f>
        <v/>
      </c>
      <c r="AN145" s="70" t="str">
        <f aca="false">IF(OR(O145&lt;&gt;"Activo",NOT(ISNUMBER(U145))),"",IF(U145&lt;FECHA_CORTE,"",1.25*(DATEDIF(F145,U145+1,"m")+(U145+1-EDATE(F145,DATEDIF(F145,U145+1,"m")))/30)-Z145))</f>
        <v/>
      </c>
      <c r="AO145" s="66" t="str">
        <f aca="false">IF(OR(B145="",NOT(ISNUMBER(F145))),"",IF(N(G145)&gt;0,MIN(G145,FECHA_CORTE),FECHA_CORTE))</f>
        <v/>
      </c>
    </row>
    <row r="146" customFormat="false" ht="15" hidden="false" customHeight="false" outlineLevel="0" collapsed="false">
      <c r="B146" s="58"/>
      <c r="C146" s="58"/>
      <c r="D146" s="58"/>
      <c r="E146" s="58"/>
      <c r="F146" s="59"/>
      <c r="G146" s="59"/>
      <c r="H146" s="58"/>
      <c r="I146" s="60"/>
      <c r="J146" s="60"/>
      <c r="K146" s="60"/>
      <c r="L146" s="58"/>
      <c r="M146" s="61"/>
      <c r="N146" s="58"/>
      <c r="O146" s="62" t="str">
        <f aca="false">IF(B146="","",IF(NOT(ISNUMBER(F146)),"⚠ Falta ingreso",IF(F146&gt;FECHA_CORTE,"Por ingresar",IF(G146="","Activo",IF(G146&lt;FECHA_CORTE,"Desvinculado","Activo")))))</f>
        <v/>
      </c>
      <c r="P146" s="62" t="str">
        <f aca="false">IF(OR(B146="",NOT(ISNUMBER(F146))),"",IF(F146&gt;FECHA_CORTE,"",DATEDIF(F146,IF(G146="",FECHA_CORTE,MIN(G146,FECHA_CORTE))+1,"y")&amp;" a "&amp;DATEDIF(F146,IF(G146="",FECHA_CORTE,MIN(G146,FECHA_CORTE))+1,"ym")&amp;" m"))</f>
        <v/>
      </c>
      <c r="Q146" s="63" t="str">
        <f aca="false">IF(B146="","",IFERROR(INDEX(C_SUELDO,MATCH(AG146&amp;"-S"&amp;MAX(1,COUNTIFS(C_RUTN,AG146,C_SUELDO,"&lt;&gt;",C_INI,"&lt;="&amp;FECHA_CORTE)),C_CLAVES,0)),0))</f>
        <v/>
      </c>
      <c r="R146" s="62" t="str">
        <f aca="false">IF(B146="","",IF(N(AI146)=0,"Sin contrato",IFERROR(INDEX(C_TIPO,MATCH(AG146&amp;"-P"&amp;MAX(1,AH146),C_CLAVE,0))&amp;"","")))</f>
        <v/>
      </c>
      <c r="S146" s="64" t="str">
        <f aca="false">IF(R146="Plazo fijo",IFERROR(INDEX(C_NPF,MATCH(AG146&amp;"-P"&amp;MAX(1,AH146),C_CLAVE,0)),""),"")</f>
        <v/>
      </c>
      <c r="T146" s="65" t="str">
        <f aca="false">IF(B146="","",COUNTIFS(C_RUTN,AG146,C_TIPODOC,"Anexo de modificación"))</f>
        <v/>
      </c>
      <c r="U146" s="66" t="str">
        <f aca="false">IF(AND(OR(R146="Plazo fijo",R146="Obra o faena"),O146&lt;&gt;"Desvinculado"),IFERROR(IF(N(INDEX(C_TER,MATCH(AG146&amp;"-P"&amp;MAX(1,AH146),C_CLAVE,0)))=0,"",INDEX(C_TER,MATCH(AG146&amp;"-P"&amp;MAX(1,AH146),C_CLAVE,0))),""),"")</f>
        <v/>
      </c>
      <c r="V146" s="67" t="str">
        <f aca="false">IF(ISNUMBER(U146),U146-FECHA_CORTE,"")</f>
        <v/>
      </c>
      <c r="W146" s="62" t="str">
        <f aca="false">IF(B146="","",IF(O146="Desvinculado","Terminado",IF(N(AI146)=0,"Sin contrato registrado",IF(O146="Por ingresar","Por ingresar",IF(ISNUMBER(AJ146),"Renovación registrada",IF(R146="Indefinido","Indefinido",IF(NOT(ISNUMBER(V146)),"Falta fecha de término",IF(V146&lt;0,"VENCIDO",IF(V146&lt;=ALERTA_ROJA,"Vence en ≤ "&amp;ALERTA_ROJA&amp;" días",IF(V146&lt;=ALERTA_NARANJA,"Vence en ≤ "&amp;ALERTA_NARANJA&amp;" días",IF(V146&lt;=ALERTA_AMARILLA,"Vence en ≤ "&amp;ALERTA_AMARILLA&amp;" días","Vigente")))))))))))</f>
        <v/>
      </c>
      <c r="X146" s="62" t="str">
        <f aca="false">IF(B146="","",IF(W146="Terminado","—",IF(W146="Sin contrato registrado","Registrar su contrato en la hoja Contratos",IF(W146="Por ingresar","Tener el contrato firmado antes del ingreso",IF(W146="Renovación registrada","Siguiente contrato ya registrado: verificar que esté firmado",IF(R146="Indefinido","Sin vencimiento. Cambios de sueldo o cargo: anexo de modificación",IF(W146="Falta fecha de término","Completar la fecha de término en Contratos",IF(W146="VENCIDO","Sigue trabajando con plazo vencido: por ley ya es INDEFINIDO. Firmar anexo de paso a indefinido",IF(R146="Obra o faena","Al terminar la obra: finiquito + 2,5 días de sueldo por mes trabajado",IF(N(S146)&gt;=2,"2° contrato a plazo: NO se puede renovar otra vez a plazo fijo. Pasar a indefinido o terminar al vencer","1er contrato a plazo: renovar (2° contrato), pasar a indefinido o terminar al vencer"))))))))))</f>
        <v/>
      </c>
      <c r="Y146" s="68" t="str">
        <f aca="false">IF(O146&lt;&gt;"Activo","",ROUND(1.25*(DATEDIF(F146,AO146+1,"m")+(AO146+1-EDATE(F146,DATEDIF(F146,AO146+1,"m")))/30),2))</f>
        <v/>
      </c>
      <c r="Z146" s="68" t="str">
        <f aca="false">IF(O146&lt;&gt;"Activo","",N(M146)+SUMIFS(M_VAC,M_RUTN,AG146,M_MES,"&lt;="&amp;FECHA_CORTE))</f>
        <v/>
      </c>
      <c r="AA146" s="68" t="str">
        <f aca="false">IF(O146&lt;&gt;"Activo","",Y146-Z146)</f>
        <v/>
      </c>
      <c r="AB146" s="63" t="str">
        <f aca="false">IF(O146&lt;&gt;"Activo","",ROUND(MAX(0,IF(AA146&lt;=0,0,WORKDAY(FECHA_CORTE,INT(AA146),FERIADOS)-FECHA_CORTE+(AA146-INT(AA146))))*(Q146+N(K146))/30,0))</f>
        <v/>
      </c>
      <c r="AC146" s="65" t="str">
        <f aca="false">IF(O146&lt;&gt;"Activo","",IF(DATEDIF(F146,FECHA_CORTE+1,"y")&lt;1,0,MIN(TOPE_ANIOS,DATEDIF(F146,FECHA_CORTE+1,"y")+IF(EDATE(F146,12*DATEDIF(F146,FECHA_CORTE+1,"y")+6)&lt;FECHA_CORTE+1,1,0))))</f>
        <v/>
      </c>
      <c r="AD146" s="69" t="str">
        <f aca="false">IF(O146&lt;&gt;"Activo","",AB146+IF(R146="Obra o faena",0,ROUND(AL146*AC146,0)+ROUND(AL146,0)))</f>
        <v/>
      </c>
      <c r="AE146" s="69" t="str">
        <f aca="false">IF(O146&lt;&gt;"Activo","",AB146)</f>
        <v/>
      </c>
      <c r="AF146" s="69" t="str">
        <f aca="false">IF(AN146="","",IF(ISNUMBER(AJ146),"",ROUND(MAX(0,IF(AN146&lt;=0,0,WORKDAY(U146,INT(AN146),FERIADOS)-U146+(AN146-INT(AN146))))*(Q146+N(K146))/30,0)+IF(R146="Obra o faena",ROUND(OBRA_DIAS*AL146/30*(DATEDIF(F146,U146+1,"m")+IF(U146+1-EDATE(F146,DATEDIF(F146,U146+1,"m"))&gt;15,1,0)),0),0)))</f>
        <v/>
      </c>
      <c r="AG146" s="62" t="str">
        <f aca="false">IF(B146="","",IFERROR(VALUE(LEFT(UPPER(SUBSTITUTE(SUBSTITUTE(SUBSTITUTE(TRIM(B146),".",""),"-","")," ","")),LEN(UPPER(SUBSTITUTE(SUBSTITUTE(SUBSTITUTE(TRIM(B146),".",""),"-","")," ","")))-1))&amp;RIGHT(UPPER(SUBSTITUTE(SUBSTITUTE(SUBSTITUTE(TRIM(B146),".",""),"-","")," ","")),1),UPPER(SUBSTITUTE(SUBSTITUTE(SUBSTITUTE(TRIM(B146),".",""),"-","")," ",""))))</f>
        <v/>
      </c>
      <c r="AH146" s="62" t="str">
        <f aca="false">IF(B146="","",COUNTIFS(C_RUTN,AG146,C_DEF,"Sí",C_INI,"&lt;="&amp;FECHA_CORTE))</f>
        <v/>
      </c>
      <c r="AI146" s="62" t="str">
        <f aca="false">IF(B146="","",COUNTIFS(C_RUTN,AG146,C_DEF,"Sí"))</f>
        <v/>
      </c>
      <c r="AJ146" s="66" t="str">
        <f aca="false">IF(OR(B146="",N(AI146)&lt;=N(AH146)),"",IFERROR(INDEX(C_INI,MATCH(AG146&amp;"-P"&amp;(AH146+1),C_CLAVE,0)),""))</f>
        <v/>
      </c>
      <c r="AK146" s="63" t="str">
        <f aca="false">IF(O146&lt;&gt;"Activo","",Q146+N(K146)+IF(L146="Sí",MIN(GRAT_PCT*(Q146+N(K146)),GRAT_TOPE),0)+N(I146)+N(J146))</f>
        <v/>
      </c>
      <c r="AL146" s="63" t="str">
        <f aca="false">IF(O146&lt;&gt;"Activo","",MIN(AK146,TOPE_IAS_UF*UF_MES))</f>
        <v/>
      </c>
      <c r="AM146" s="62" t="str">
        <f aca="false">IF(AND(O146="Activo",ISNUMBER(V146),W146&lt;&gt;"Renovación registrada"),V146+ROW()/100000,"")</f>
        <v/>
      </c>
      <c r="AN146" s="70" t="str">
        <f aca="false">IF(OR(O146&lt;&gt;"Activo",NOT(ISNUMBER(U146))),"",IF(U146&lt;FECHA_CORTE,"",1.25*(DATEDIF(F146,U146+1,"m")+(U146+1-EDATE(F146,DATEDIF(F146,U146+1,"m")))/30)-Z146))</f>
        <v/>
      </c>
      <c r="AO146" s="66" t="str">
        <f aca="false">IF(OR(B146="",NOT(ISNUMBER(F146))),"",IF(N(G146)&gt;0,MIN(G146,FECHA_CORTE),FECHA_CORTE))</f>
        <v/>
      </c>
    </row>
    <row r="147" customFormat="false" ht="15" hidden="false" customHeight="false" outlineLevel="0" collapsed="false">
      <c r="B147" s="58"/>
      <c r="C147" s="58"/>
      <c r="D147" s="58"/>
      <c r="E147" s="58"/>
      <c r="F147" s="59"/>
      <c r="G147" s="59"/>
      <c r="H147" s="58"/>
      <c r="I147" s="60"/>
      <c r="J147" s="60"/>
      <c r="K147" s="60"/>
      <c r="L147" s="58"/>
      <c r="M147" s="61"/>
      <c r="N147" s="58"/>
      <c r="O147" s="62" t="str">
        <f aca="false">IF(B147="","",IF(NOT(ISNUMBER(F147)),"⚠ Falta ingreso",IF(F147&gt;FECHA_CORTE,"Por ingresar",IF(G147="","Activo",IF(G147&lt;FECHA_CORTE,"Desvinculado","Activo")))))</f>
        <v/>
      </c>
      <c r="P147" s="62" t="str">
        <f aca="false">IF(OR(B147="",NOT(ISNUMBER(F147))),"",IF(F147&gt;FECHA_CORTE,"",DATEDIF(F147,IF(G147="",FECHA_CORTE,MIN(G147,FECHA_CORTE))+1,"y")&amp;" a "&amp;DATEDIF(F147,IF(G147="",FECHA_CORTE,MIN(G147,FECHA_CORTE))+1,"ym")&amp;" m"))</f>
        <v/>
      </c>
      <c r="Q147" s="63" t="str">
        <f aca="false">IF(B147="","",IFERROR(INDEX(C_SUELDO,MATCH(AG147&amp;"-S"&amp;MAX(1,COUNTIFS(C_RUTN,AG147,C_SUELDO,"&lt;&gt;",C_INI,"&lt;="&amp;FECHA_CORTE)),C_CLAVES,0)),0))</f>
        <v/>
      </c>
      <c r="R147" s="62" t="str">
        <f aca="false">IF(B147="","",IF(N(AI147)=0,"Sin contrato",IFERROR(INDEX(C_TIPO,MATCH(AG147&amp;"-P"&amp;MAX(1,AH147),C_CLAVE,0))&amp;"","")))</f>
        <v/>
      </c>
      <c r="S147" s="64" t="str">
        <f aca="false">IF(R147="Plazo fijo",IFERROR(INDEX(C_NPF,MATCH(AG147&amp;"-P"&amp;MAX(1,AH147),C_CLAVE,0)),""),"")</f>
        <v/>
      </c>
      <c r="T147" s="65" t="str">
        <f aca="false">IF(B147="","",COUNTIFS(C_RUTN,AG147,C_TIPODOC,"Anexo de modificación"))</f>
        <v/>
      </c>
      <c r="U147" s="66" t="str">
        <f aca="false">IF(AND(OR(R147="Plazo fijo",R147="Obra o faena"),O147&lt;&gt;"Desvinculado"),IFERROR(IF(N(INDEX(C_TER,MATCH(AG147&amp;"-P"&amp;MAX(1,AH147),C_CLAVE,0)))=0,"",INDEX(C_TER,MATCH(AG147&amp;"-P"&amp;MAX(1,AH147),C_CLAVE,0))),""),"")</f>
        <v/>
      </c>
      <c r="V147" s="67" t="str">
        <f aca="false">IF(ISNUMBER(U147),U147-FECHA_CORTE,"")</f>
        <v/>
      </c>
      <c r="W147" s="62" t="str">
        <f aca="false">IF(B147="","",IF(O147="Desvinculado","Terminado",IF(N(AI147)=0,"Sin contrato registrado",IF(O147="Por ingresar","Por ingresar",IF(ISNUMBER(AJ147),"Renovación registrada",IF(R147="Indefinido","Indefinido",IF(NOT(ISNUMBER(V147)),"Falta fecha de término",IF(V147&lt;0,"VENCIDO",IF(V147&lt;=ALERTA_ROJA,"Vence en ≤ "&amp;ALERTA_ROJA&amp;" días",IF(V147&lt;=ALERTA_NARANJA,"Vence en ≤ "&amp;ALERTA_NARANJA&amp;" días",IF(V147&lt;=ALERTA_AMARILLA,"Vence en ≤ "&amp;ALERTA_AMARILLA&amp;" días","Vigente")))))))))))</f>
        <v/>
      </c>
      <c r="X147" s="62" t="str">
        <f aca="false">IF(B147="","",IF(W147="Terminado","—",IF(W147="Sin contrato registrado","Registrar su contrato en la hoja Contratos",IF(W147="Por ingresar","Tener el contrato firmado antes del ingreso",IF(W147="Renovación registrada","Siguiente contrato ya registrado: verificar que esté firmado",IF(R147="Indefinido","Sin vencimiento. Cambios de sueldo o cargo: anexo de modificación",IF(W147="Falta fecha de término","Completar la fecha de término en Contratos",IF(W147="VENCIDO","Sigue trabajando con plazo vencido: por ley ya es INDEFINIDO. Firmar anexo de paso a indefinido",IF(R147="Obra o faena","Al terminar la obra: finiquito + 2,5 días de sueldo por mes trabajado",IF(N(S147)&gt;=2,"2° contrato a plazo: NO se puede renovar otra vez a plazo fijo. Pasar a indefinido o terminar al vencer","1er contrato a plazo: renovar (2° contrato), pasar a indefinido o terminar al vencer"))))))))))</f>
        <v/>
      </c>
      <c r="Y147" s="68" t="str">
        <f aca="false">IF(O147&lt;&gt;"Activo","",ROUND(1.25*(DATEDIF(F147,AO147+1,"m")+(AO147+1-EDATE(F147,DATEDIF(F147,AO147+1,"m")))/30),2))</f>
        <v/>
      </c>
      <c r="Z147" s="68" t="str">
        <f aca="false">IF(O147&lt;&gt;"Activo","",N(M147)+SUMIFS(M_VAC,M_RUTN,AG147,M_MES,"&lt;="&amp;FECHA_CORTE))</f>
        <v/>
      </c>
      <c r="AA147" s="68" t="str">
        <f aca="false">IF(O147&lt;&gt;"Activo","",Y147-Z147)</f>
        <v/>
      </c>
      <c r="AB147" s="63" t="str">
        <f aca="false">IF(O147&lt;&gt;"Activo","",ROUND(MAX(0,IF(AA147&lt;=0,0,WORKDAY(FECHA_CORTE,INT(AA147),FERIADOS)-FECHA_CORTE+(AA147-INT(AA147))))*(Q147+N(K147))/30,0))</f>
        <v/>
      </c>
      <c r="AC147" s="65" t="str">
        <f aca="false">IF(O147&lt;&gt;"Activo","",IF(DATEDIF(F147,FECHA_CORTE+1,"y")&lt;1,0,MIN(TOPE_ANIOS,DATEDIF(F147,FECHA_CORTE+1,"y")+IF(EDATE(F147,12*DATEDIF(F147,FECHA_CORTE+1,"y")+6)&lt;FECHA_CORTE+1,1,0))))</f>
        <v/>
      </c>
      <c r="AD147" s="69" t="str">
        <f aca="false">IF(O147&lt;&gt;"Activo","",AB147+IF(R147="Obra o faena",0,ROUND(AL147*AC147,0)+ROUND(AL147,0)))</f>
        <v/>
      </c>
      <c r="AE147" s="69" t="str">
        <f aca="false">IF(O147&lt;&gt;"Activo","",AB147)</f>
        <v/>
      </c>
      <c r="AF147" s="69" t="str">
        <f aca="false">IF(AN147="","",IF(ISNUMBER(AJ147),"",ROUND(MAX(0,IF(AN147&lt;=0,0,WORKDAY(U147,INT(AN147),FERIADOS)-U147+(AN147-INT(AN147))))*(Q147+N(K147))/30,0)+IF(R147="Obra o faena",ROUND(OBRA_DIAS*AL147/30*(DATEDIF(F147,U147+1,"m")+IF(U147+1-EDATE(F147,DATEDIF(F147,U147+1,"m"))&gt;15,1,0)),0),0)))</f>
        <v/>
      </c>
      <c r="AG147" s="62" t="str">
        <f aca="false">IF(B147="","",IFERROR(VALUE(LEFT(UPPER(SUBSTITUTE(SUBSTITUTE(SUBSTITUTE(TRIM(B147),".",""),"-","")," ","")),LEN(UPPER(SUBSTITUTE(SUBSTITUTE(SUBSTITUTE(TRIM(B147),".",""),"-","")," ","")))-1))&amp;RIGHT(UPPER(SUBSTITUTE(SUBSTITUTE(SUBSTITUTE(TRIM(B147),".",""),"-","")," ","")),1),UPPER(SUBSTITUTE(SUBSTITUTE(SUBSTITUTE(TRIM(B147),".",""),"-","")," ",""))))</f>
        <v/>
      </c>
      <c r="AH147" s="62" t="str">
        <f aca="false">IF(B147="","",COUNTIFS(C_RUTN,AG147,C_DEF,"Sí",C_INI,"&lt;="&amp;FECHA_CORTE))</f>
        <v/>
      </c>
      <c r="AI147" s="62" t="str">
        <f aca="false">IF(B147="","",COUNTIFS(C_RUTN,AG147,C_DEF,"Sí"))</f>
        <v/>
      </c>
      <c r="AJ147" s="66" t="str">
        <f aca="false">IF(OR(B147="",N(AI147)&lt;=N(AH147)),"",IFERROR(INDEX(C_INI,MATCH(AG147&amp;"-P"&amp;(AH147+1),C_CLAVE,0)),""))</f>
        <v/>
      </c>
      <c r="AK147" s="63" t="str">
        <f aca="false">IF(O147&lt;&gt;"Activo","",Q147+N(K147)+IF(L147="Sí",MIN(GRAT_PCT*(Q147+N(K147)),GRAT_TOPE),0)+N(I147)+N(J147))</f>
        <v/>
      </c>
      <c r="AL147" s="63" t="str">
        <f aca="false">IF(O147&lt;&gt;"Activo","",MIN(AK147,TOPE_IAS_UF*UF_MES))</f>
        <v/>
      </c>
      <c r="AM147" s="62" t="str">
        <f aca="false">IF(AND(O147="Activo",ISNUMBER(V147),W147&lt;&gt;"Renovación registrada"),V147+ROW()/100000,"")</f>
        <v/>
      </c>
      <c r="AN147" s="70" t="str">
        <f aca="false">IF(OR(O147&lt;&gt;"Activo",NOT(ISNUMBER(U147))),"",IF(U147&lt;FECHA_CORTE,"",1.25*(DATEDIF(F147,U147+1,"m")+(U147+1-EDATE(F147,DATEDIF(F147,U147+1,"m")))/30)-Z147))</f>
        <v/>
      </c>
      <c r="AO147" s="66" t="str">
        <f aca="false">IF(OR(B147="",NOT(ISNUMBER(F147))),"",IF(N(G147)&gt;0,MIN(G147,FECHA_CORTE),FECHA_CORTE))</f>
        <v/>
      </c>
    </row>
    <row r="148" customFormat="false" ht="15" hidden="false" customHeight="false" outlineLevel="0" collapsed="false">
      <c r="B148" s="58"/>
      <c r="C148" s="58"/>
      <c r="D148" s="58"/>
      <c r="E148" s="58"/>
      <c r="F148" s="59"/>
      <c r="G148" s="59"/>
      <c r="H148" s="58"/>
      <c r="I148" s="60"/>
      <c r="J148" s="60"/>
      <c r="K148" s="60"/>
      <c r="L148" s="58"/>
      <c r="M148" s="61"/>
      <c r="N148" s="58"/>
      <c r="O148" s="62" t="str">
        <f aca="false">IF(B148="","",IF(NOT(ISNUMBER(F148)),"⚠ Falta ingreso",IF(F148&gt;FECHA_CORTE,"Por ingresar",IF(G148="","Activo",IF(G148&lt;FECHA_CORTE,"Desvinculado","Activo")))))</f>
        <v/>
      </c>
      <c r="P148" s="62" t="str">
        <f aca="false">IF(OR(B148="",NOT(ISNUMBER(F148))),"",IF(F148&gt;FECHA_CORTE,"",DATEDIF(F148,IF(G148="",FECHA_CORTE,MIN(G148,FECHA_CORTE))+1,"y")&amp;" a "&amp;DATEDIF(F148,IF(G148="",FECHA_CORTE,MIN(G148,FECHA_CORTE))+1,"ym")&amp;" m"))</f>
        <v/>
      </c>
      <c r="Q148" s="63" t="str">
        <f aca="false">IF(B148="","",IFERROR(INDEX(C_SUELDO,MATCH(AG148&amp;"-S"&amp;MAX(1,COUNTIFS(C_RUTN,AG148,C_SUELDO,"&lt;&gt;",C_INI,"&lt;="&amp;FECHA_CORTE)),C_CLAVES,0)),0))</f>
        <v/>
      </c>
      <c r="R148" s="62" t="str">
        <f aca="false">IF(B148="","",IF(N(AI148)=0,"Sin contrato",IFERROR(INDEX(C_TIPO,MATCH(AG148&amp;"-P"&amp;MAX(1,AH148),C_CLAVE,0))&amp;"","")))</f>
        <v/>
      </c>
      <c r="S148" s="64" t="str">
        <f aca="false">IF(R148="Plazo fijo",IFERROR(INDEX(C_NPF,MATCH(AG148&amp;"-P"&amp;MAX(1,AH148),C_CLAVE,0)),""),"")</f>
        <v/>
      </c>
      <c r="T148" s="65" t="str">
        <f aca="false">IF(B148="","",COUNTIFS(C_RUTN,AG148,C_TIPODOC,"Anexo de modificación"))</f>
        <v/>
      </c>
      <c r="U148" s="66" t="str">
        <f aca="false">IF(AND(OR(R148="Plazo fijo",R148="Obra o faena"),O148&lt;&gt;"Desvinculado"),IFERROR(IF(N(INDEX(C_TER,MATCH(AG148&amp;"-P"&amp;MAX(1,AH148),C_CLAVE,0)))=0,"",INDEX(C_TER,MATCH(AG148&amp;"-P"&amp;MAX(1,AH148),C_CLAVE,0))),""),"")</f>
        <v/>
      </c>
      <c r="V148" s="67" t="str">
        <f aca="false">IF(ISNUMBER(U148),U148-FECHA_CORTE,"")</f>
        <v/>
      </c>
      <c r="W148" s="62" t="str">
        <f aca="false">IF(B148="","",IF(O148="Desvinculado","Terminado",IF(N(AI148)=0,"Sin contrato registrado",IF(O148="Por ingresar","Por ingresar",IF(ISNUMBER(AJ148),"Renovación registrada",IF(R148="Indefinido","Indefinido",IF(NOT(ISNUMBER(V148)),"Falta fecha de término",IF(V148&lt;0,"VENCIDO",IF(V148&lt;=ALERTA_ROJA,"Vence en ≤ "&amp;ALERTA_ROJA&amp;" días",IF(V148&lt;=ALERTA_NARANJA,"Vence en ≤ "&amp;ALERTA_NARANJA&amp;" días",IF(V148&lt;=ALERTA_AMARILLA,"Vence en ≤ "&amp;ALERTA_AMARILLA&amp;" días","Vigente")))))))))))</f>
        <v/>
      </c>
      <c r="X148" s="62" t="str">
        <f aca="false">IF(B148="","",IF(W148="Terminado","—",IF(W148="Sin contrato registrado","Registrar su contrato en la hoja Contratos",IF(W148="Por ingresar","Tener el contrato firmado antes del ingreso",IF(W148="Renovación registrada","Siguiente contrato ya registrado: verificar que esté firmado",IF(R148="Indefinido","Sin vencimiento. Cambios de sueldo o cargo: anexo de modificación",IF(W148="Falta fecha de término","Completar la fecha de término en Contratos",IF(W148="VENCIDO","Sigue trabajando con plazo vencido: por ley ya es INDEFINIDO. Firmar anexo de paso a indefinido",IF(R148="Obra o faena","Al terminar la obra: finiquito + 2,5 días de sueldo por mes trabajado",IF(N(S148)&gt;=2,"2° contrato a plazo: NO se puede renovar otra vez a plazo fijo. Pasar a indefinido o terminar al vencer","1er contrato a plazo: renovar (2° contrato), pasar a indefinido o terminar al vencer"))))))))))</f>
        <v/>
      </c>
      <c r="Y148" s="68" t="str">
        <f aca="false">IF(O148&lt;&gt;"Activo","",ROUND(1.25*(DATEDIF(F148,AO148+1,"m")+(AO148+1-EDATE(F148,DATEDIF(F148,AO148+1,"m")))/30),2))</f>
        <v/>
      </c>
      <c r="Z148" s="68" t="str">
        <f aca="false">IF(O148&lt;&gt;"Activo","",N(M148)+SUMIFS(M_VAC,M_RUTN,AG148,M_MES,"&lt;="&amp;FECHA_CORTE))</f>
        <v/>
      </c>
      <c r="AA148" s="68" t="str">
        <f aca="false">IF(O148&lt;&gt;"Activo","",Y148-Z148)</f>
        <v/>
      </c>
      <c r="AB148" s="63" t="str">
        <f aca="false">IF(O148&lt;&gt;"Activo","",ROUND(MAX(0,IF(AA148&lt;=0,0,WORKDAY(FECHA_CORTE,INT(AA148),FERIADOS)-FECHA_CORTE+(AA148-INT(AA148))))*(Q148+N(K148))/30,0))</f>
        <v/>
      </c>
      <c r="AC148" s="65" t="str">
        <f aca="false">IF(O148&lt;&gt;"Activo","",IF(DATEDIF(F148,FECHA_CORTE+1,"y")&lt;1,0,MIN(TOPE_ANIOS,DATEDIF(F148,FECHA_CORTE+1,"y")+IF(EDATE(F148,12*DATEDIF(F148,FECHA_CORTE+1,"y")+6)&lt;FECHA_CORTE+1,1,0))))</f>
        <v/>
      </c>
      <c r="AD148" s="69" t="str">
        <f aca="false">IF(O148&lt;&gt;"Activo","",AB148+IF(R148="Obra o faena",0,ROUND(AL148*AC148,0)+ROUND(AL148,0)))</f>
        <v/>
      </c>
      <c r="AE148" s="69" t="str">
        <f aca="false">IF(O148&lt;&gt;"Activo","",AB148)</f>
        <v/>
      </c>
      <c r="AF148" s="69" t="str">
        <f aca="false">IF(AN148="","",IF(ISNUMBER(AJ148),"",ROUND(MAX(0,IF(AN148&lt;=0,0,WORKDAY(U148,INT(AN148),FERIADOS)-U148+(AN148-INT(AN148))))*(Q148+N(K148))/30,0)+IF(R148="Obra o faena",ROUND(OBRA_DIAS*AL148/30*(DATEDIF(F148,U148+1,"m")+IF(U148+1-EDATE(F148,DATEDIF(F148,U148+1,"m"))&gt;15,1,0)),0),0)))</f>
        <v/>
      </c>
      <c r="AG148" s="62" t="str">
        <f aca="false">IF(B148="","",IFERROR(VALUE(LEFT(UPPER(SUBSTITUTE(SUBSTITUTE(SUBSTITUTE(TRIM(B148),".",""),"-","")," ","")),LEN(UPPER(SUBSTITUTE(SUBSTITUTE(SUBSTITUTE(TRIM(B148),".",""),"-","")," ","")))-1))&amp;RIGHT(UPPER(SUBSTITUTE(SUBSTITUTE(SUBSTITUTE(TRIM(B148),".",""),"-","")," ","")),1),UPPER(SUBSTITUTE(SUBSTITUTE(SUBSTITUTE(TRIM(B148),".",""),"-","")," ",""))))</f>
        <v/>
      </c>
      <c r="AH148" s="62" t="str">
        <f aca="false">IF(B148="","",COUNTIFS(C_RUTN,AG148,C_DEF,"Sí",C_INI,"&lt;="&amp;FECHA_CORTE))</f>
        <v/>
      </c>
      <c r="AI148" s="62" t="str">
        <f aca="false">IF(B148="","",COUNTIFS(C_RUTN,AG148,C_DEF,"Sí"))</f>
        <v/>
      </c>
      <c r="AJ148" s="66" t="str">
        <f aca="false">IF(OR(B148="",N(AI148)&lt;=N(AH148)),"",IFERROR(INDEX(C_INI,MATCH(AG148&amp;"-P"&amp;(AH148+1),C_CLAVE,0)),""))</f>
        <v/>
      </c>
      <c r="AK148" s="63" t="str">
        <f aca="false">IF(O148&lt;&gt;"Activo","",Q148+N(K148)+IF(L148="Sí",MIN(GRAT_PCT*(Q148+N(K148)),GRAT_TOPE),0)+N(I148)+N(J148))</f>
        <v/>
      </c>
      <c r="AL148" s="63" t="str">
        <f aca="false">IF(O148&lt;&gt;"Activo","",MIN(AK148,TOPE_IAS_UF*UF_MES))</f>
        <v/>
      </c>
      <c r="AM148" s="62" t="str">
        <f aca="false">IF(AND(O148="Activo",ISNUMBER(V148),W148&lt;&gt;"Renovación registrada"),V148+ROW()/100000,"")</f>
        <v/>
      </c>
      <c r="AN148" s="70" t="str">
        <f aca="false">IF(OR(O148&lt;&gt;"Activo",NOT(ISNUMBER(U148))),"",IF(U148&lt;FECHA_CORTE,"",1.25*(DATEDIF(F148,U148+1,"m")+(U148+1-EDATE(F148,DATEDIF(F148,U148+1,"m")))/30)-Z148))</f>
        <v/>
      </c>
      <c r="AO148" s="66" t="str">
        <f aca="false">IF(OR(B148="",NOT(ISNUMBER(F148))),"",IF(N(G148)&gt;0,MIN(G148,FECHA_CORTE),FECHA_CORTE))</f>
        <v/>
      </c>
    </row>
    <row r="149" customFormat="false" ht="15" hidden="false" customHeight="false" outlineLevel="0" collapsed="false">
      <c r="B149" s="58"/>
      <c r="C149" s="58"/>
      <c r="D149" s="58"/>
      <c r="E149" s="58"/>
      <c r="F149" s="59"/>
      <c r="G149" s="59"/>
      <c r="H149" s="58"/>
      <c r="I149" s="60"/>
      <c r="J149" s="60"/>
      <c r="K149" s="60"/>
      <c r="L149" s="58"/>
      <c r="M149" s="61"/>
      <c r="N149" s="58"/>
      <c r="O149" s="62" t="str">
        <f aca="false">IF(B149="","",IF(NOT(ISNUMBER(F149)),"⚠ Falta ingreso",IF(F149&gt;FECHA_CORTE,"Por ingresar",IF(G149="","Activo",IF(G149&lt;FECHA_CORTE,"Desvinculado","Activo")))))</f>
        <v/>
      </c>
      <c r="P149" s="62" t="str">
        <f aca="false">IF(OR(B149="",NOT(ISNUMBER(F149))),"",IF(F149&gt;FECHA_CORTE,"",DATEDIF(F149,IF(G149="",FECHA_CORTE,MIN(G149,FECHA_CORTE))+1,"y")&amp;" a "&amp;DATEDIF(F149,IF(G149="",FECHA_CORTE,MIN(G149,FECHA_CORTE))+1,"ym")&amp;" m"))</f>
        <v/>
      </c>
      <c r="Q149" s="63" t="str">
        <f aca="false">IF(B149="","",IFERROR(INDEX(C_SUELDO,MATCH(AG149&amp;"-S"&amp;MAX(1,COUNTIFS(C_RUTN,AG149,C_SUELDO,"&lt;&gt;",C_INI,"&lt;="&amp;FECHA_CORTE)),C_CLAVES,0)),0))</f>
        <v/>
      </c>
      <c r="R149" s="62" t="str">
        <f aca="false">IF(B149="","",IF(N(AI149)=0,"Sin contrato",IFERROR(INDEX(C_TIPO,MATCH(AG149&amp;"-P"&amp;MAX(1,AH149),C_CLAVE,0))&amp;"","")))</f>
        <v/>
      </c>
      <c r="S149" s="64" t="str">
        <f aca="false">IF(R149="Plazo fijo",IFERROR(INDEX(C_NPF,MATCH(AG149&amp;"-P"&amp;MAX(1,AH149),C_CLAVE,0)),""),"")</f>
        <v/>
      </c>
      <c r="T149" s="65" t="str">
        <f aca="false">IF(B149="","",COUNTIFS(C_RUTN,AG149,C_TIPODOC,"Anexo de modificación"))</f>
        <v/>
      </c>
      <c r="U149" s="66" t="str">
        <f aca="false">IF(AND(OR(R149="Plazo fijo",R149="Obra o faena"),O149&lt;&gt;"Desvinculado"),IFERROR(IF(N(INDEX(C_TER,MATCH(AG149&amp;"-P"&amp;MAX(1,AH149),C_CLAVE,0)))=0,"",INDEX(C_TER,MATCH(AG149&amp;"-P"&amp;MAX(1,AH149),C_CLAVE,0))),""),"")</f>
        <v/>
      </c>
      <c r="V149" s="67" t="str">
        <f aca="false">IF(ISNUMBER(U149),U149-FECHA_CORTE,"")</f>
        <v/>
      </c>
      <c r="W149" s="62" t="str">
        <f aca="false">IF(B149="","",IF(O149="Desvinculado","Terminado",IF(N(AI149)=0,"Sin contrato registrado",IF(O149="Por ingresar","Por ingresar",IF(ISNUMBER(AJ149),"Renovación registrada",IF(R149="Indefinido","Indefinido",IF(NOT(ISNUMBER(V149)),"Falta fecha de término",IF(V149&lt;0,"VENCIDO",IF(V149&lt;=ALERTA_ROJA,"Vence en ≤ "&amp;ALERTA_ROJA&amp;" días",IF(V149&lt;=ALERTA_NARANJA,"Vence en ≤ "&amp;ALERTA_NARANJA&amp;" días",IF(V149&lt;=ALERTA_AMARILLA,"Vence en ≤ "&amp;ALERTA_AMARILLA&amp;" días","Vigente")))))))))))</f>
        <v/>
      </c>
      <c r="X149" s="62" t="str">
        <f aca="false">IF(B149="","",IF(W149="Terminado","—",IF(W149="Sin contrato registrado","Registrar su contrato en la hoja Contratos",IF(W149="Por ingresar","Tener el contrato firmado antes del ingreso",IF(W149="Renovación registrada","Siguiente contrato ya registrado: verificar que esté firmado",IF(R149="Indefinido","Sin vencimiento. Cambios de sueldo o cargo: anexo de modificación",IF(W149="Falta fecha de término","Completar la fecha de término en Contratos",IF(W149="VENCIDO","Sigue trabajando con plazo vencido: por ley ya es INDEFINIDO. Firmar anexo de paso a indefinido",IF(R149="Obra o faena","Al terminar la obra: finiquito + 2,5 días de sueldo por mes trabajado",IF(N(S149)&gt;=2,"2° contrato a plazo: NO se puede renovar otra vez a plazo fijo. Pasar a indefinido o terminar al vencer","1er contrato a plazo: renovar (2° contrato), pasar a indefinido o terminar al vencer"))))))))))</f>
        <v/>
      </c>
      <c r="Y149" s="68" t="str">
        <f aca="false">IF(O149&lt;&gt;"Activo","",ROUND(1.25*(DATEDIF(F149,AO149+1,"m")+(AO149+1-EDATE(F149,DATEDIF(F149,AO149+1,"m")))/30),2))</f>
        <v/>
      </c>
      <c r="Z149" s="68" t="str">
        <f aca="false">IF(O149&lt;&gt;"Activo","",N(M149)+SUMIFS(M_VAC,M_RUTN,AG149,M_MES,"&lt;="&amp;FECHA_CORTE))</f>
        <v/>
      </c>
      <c r="AA149" s="68" t="str">
        <f aca="false">IF(O149&lt;&gt;"Activo","",Y149-Z149)</f>
        <v/>
      </c>
      <c r="AB149" s="63" t="str">
        <f aca="false">IF(O149&lt;&gt;"Activo","",ROUND(MAX(0,IF(AA149&lt;=0,0,WORKDAY(FECHA_CORTE,INT(AA149),FERIADOS)-FECHA_CORTE+(AA149-INT(AA149))))*(Q149+N(K149))/30,0))</f>
        <v/>
      </c>
      <c r="AC149" s="65" t="str">
        <f aca="false">IF(O149&lt;&gt;"Activo","",IF(DATEDIF(F149,FECHA_CORTE+1,"y")&lt;1,0,MIN(TOPE_ANIOS,DATEDIF(F149,FECHA_CORTE+1,"y")+IF(EDATE(F149,12*DATEDIF(F149,FECHA_CORTE+1,"y")+6)&lt;FECHA_CORTE+1,1,0))))</f>
        <v/>
      </c>
      <c r="AD149" s="69" t="str">
        <f aca="false">IF(O149&lt;&gt;"Activo","",AB149+IF(R149="Obra o faena",0,ROUND(AL149*AC149,0)+ROUND(AL149,0)))</f>
        <v/>
      </c>
      <c r="AE149" s="69" t="str">
        <f aca="false">IF(O149&lt;&gt;"Activo","",AB149)</f>
        <v/>
      </c>
      <c r="AF149" s="69" t="str">
        <f aca="false">IF(AN149="","",IF(ISNUMBER(AJ149),"",ROUND(MAX(0,IF(AN149&lt;=0,0,WORKDAY(U149,INT(AN149),FERIADOS)-U149+(AN149-INT(AN149))))*(Q149+N(K149))/30,0)+IF(R149="Obra o faena",ROUND(OBRA_DIAS*AL149/30*(DATEDIF(F149,U149+1,"m")+IF(U149+1-EDATE(F149,DATEDIF(F149,U149+1,"m"))&gt;15,1,0)),0),0)))</f>
        <v/>
      </c>
      <c r="AG149" s="62" t="str">
        <f aca="false">IF(B149="","",IFERROR(VALUE(LEFT(UPPER(SUBSTITUTE(SUBSTITUTE(SUBSTITUTE(TRIM(B149),".",""),"-","")," ","")),LEN(UPPER(SUBSTITUTE(SUBSTITUTE(SUBSTITUTE(TRIM(B149),".",""),"-","")," ","")))-1))&amp;RIGHT(UPPER(SUBSTITUTE(SUBSTITUTE(SUBSTITUTE(TRIM(B149),".",""),"-","")," ","")),1),UPPER(SUBSTITUTE(SUBSTITUTE(SUBSTITUTE(TRIM(B149),".",""),"-","")," ",""))))</f>
        <v/>
      </c>
      <c r="AH149" s="62" t="str">
        <f aca="false">IF(B149="","",COUNTIFS(C_RUTN,AG149,C_DEF,"Sí",C_INI,"&lt;="&amp;FECHA_CORTE))</f>
        <v/>
      </c>
      <c r="AI149" s="62" t="str">
        <f aca="false">IF(B149="","",COUNTIFS(C_RUTN,AG149,C_DEF,"Sí"))</f>
        <v/>
      </c>
      <c r="AJ149" s="66" t="str">
        <f aca="false">IF(OR(B149="",N(AI149)&lt;=N(AH149)),"",IFERROR(INDEX(C_INI,MATCH(AG149&amp;"-P"&amp;(AH149+1),C_CLAVE,0)),""))</f>
        <v/>
      </c>
      <c r="AK149" s="63" t="str">
        <f aca="false">IF(O149&lt;&gt;"Activo","",Q149+N(K149)+IF(L149="Sí",MIN(GRAT_PCT*(Q149+N(K149)),GRAT_TOPE),0)+N(I149)+N(J149))</f>
        <v/>
      </c>
      <c r="AL149" s="63" t="str">
        <f aca="false">IF(O149&lt;&gt;"Activo","",MIN(AK149,TOPE_IAS_UF*UF_MES))</f>
        <v/>
      </c>
      <c r="AM149" s="62" t="str">
        <f aca="false">IF(AND(O149="Activo",ISNUMBER(V149),W149&lt;&gt;"Renovación registrada"),V149+ROW()/100000,"")</f>
        <v/>
      </c>
      <c r="AN149" s="70" t="str">
        <f aca="false">IF(OR(O149&lt;&gt;"Activo",NOT(ISNUMBER(U149))),"",IF(U149&lt;FECHA_CORTE,"",1.25*(DATEDIF(F149,U149+1,"m")+(U149+1-EDATE(F149,DATEDIF(F149,U149+1,"m")))/30)-Z149))</f>
        <v/>
      </c>
      <c r="AO149" s="66" t="str">
        <f aca="false">IF(OR(B149="",NOT(ISNUMBER(F149))),"",IF(N(G149)&gt;0,MIN(G149,FECHA_CORTE),FECHA_CORTE))</f>
        <v/>
      </c>
    </row>
    <row r="150" customFormat="false" ht="15" hidden="false" customHeight="false" outlineLevel="0" collapsed="false">
      <c r="B150" s="58"/>
      <c r="C150" s="58"/>
      <c r="D150" s="58"/>
      <c r="E150" s="58"/>
      <c r="F150" s="59"/>
      <c r="G150" s="59"/>
      <c r="H150" s="58"/>
      <c r="I150" s="60"/>
      <c r="J150" s="60"/>
      <c r="K150" s="60"/>
      <c r="L150" s="58"/>
      <c r="M150" s="61"/>
      <c r="N150" s="58"/>
      <c r="O150" s="62" t="str">
        <f aca="false">IF(B150="","",IF(NOT(ISNUMBER(F150)),"⚠ Falta ingreso",IF(F150&gt;FECHA_CORTE,"Por ingresar",IF(G150="","Activo",IF(G150&lt;FECHA_CORTE,"Desvinculado","Activo")))))</f>
        <v/>
      </c>
      <c r="P150" s="62" t="str">
        <f aca="false">IF(OR(B150="",NOT(ISNUMBER(F150))),"",IF(F150&gt;FECHA_CORTE,"",DATEDIF(F150,IF(G150="",FECHA_CORTE,MIN(G150,FECHA_CORTE))+1,"y")&amp;" a "&amp;DATEDIF(F150,IF(G150="",FECHA_CORTE,MIN(G150,FECHA_CORTE))+1,"ym")&amp;" m"))</f>
        <v/>
      </c>
      <c r="Q150" s="63" t="str">
        <f aca="false">IF(B150="","",IFERROR(INDEX(C_SUELDO,MATCH(AG150&amp;"-S"&amp;MAX(1,COUNTIFS(C_RUTN,AG150,C_SUELDO,"&lt;&gt;",C_INI,"&lt;="&amp;FECHA_CORTE)),C_CLAVES,0)),0))</f>
        <v/>
      </c>
      <c r="R150" s="62" t="str">
        <f aca="false">IF(B150="","",IF(N(AI150)=0,"Sin contrato",IFERROR(INDEX(C_TIPO,MATCH(AG150&amp;"-P"&amp;MAX(1,AH150),C_CLAVE,0))&amp;"","")))</f>
        <v/>
      </c>
      <c r="S150" s="64" t="str">
        <f aca="false">IF(R150="Plazo fijo",IFERROR(INDEX(C_NPF,MATCH(AG150&amp;"-P"&amp;MAX(1,AH150),C_CLAVE,0)),""),"")</f>
        <v/>
      </c>
      <c r="T150" s="65" t="str">
        <f aca="false">IF(B150="","",COUNTIFS(C_RUTN,AG150,C_TIPODOC,"Anexo de modificación"))</f>
        <v/>
      </c>
      <c r="U150" s="66" t="str">
        <f aca="false">IF(AND(OR(R150="Plazo fijo",R150="Obra o faena"),O150&lt;&gt;"Desvinculado"),IFERROR(IF(N(INDEX(C_TER,MATCH(AG150&amp;"-P"&amp;MAX(1,AH150),C_CLAVE,0)))=0,"",INDEX(C_TER,MATCH(AG150&amp;"-P"&amp;MAX(1,AH150),C_CLAVE,0))),""),"")</f>
        <v/>
      </c>
      <c r="V150" s="67" t="str">
        <f aca="false">IF(ISNUMBER(U150),U150-FECHA_CORTE,"")</f>
        <v/>
      </c>
      <c r="W150" s="62" t="str">
        <f aca="false">IF(B150="","",IF(O150="Desvinculado","Terminado",IF(N(AI150)=0,"Sin contrato registrado",IF(O150="Por ingresar","Por ingresar",IF(ISNUMBER(AJ150),"Renovación registrada",IF(R150="Indefinido","Indefinido",IF(NOT(ISNUMBER(V150)),"Falta fecha de término",IF(V150&lt;0,"VENCIDO",IF(V150&lt;=ALERTA_ROJA,"Vence en ≤ "&amp;ALERTA_ROJA&amp;" días",IF(V150&lt;=ALERTA_NARANJA,"Vence en ≤ "&amp;ALERTA_NARANJA&amp;" días",IF(V150&lt;=ALERTA_AMARILLA,"Vence en ≤ "&amp;ALERTA_AMARILLA&amp;" días","Vigente")))))))))))</f>
        <v/>
      </c>
      <c r="X150" s="62" t="str">
        <f aca="false">IF(B150="","",IF(W150="Terminado","—",IF(W150="Sin contrato registrado","Registrar su contrato en la hoja Contratos",IF(W150="Por ingresar","Tener el contrato firmado antes del ingreso",IF(W150="Renovación registrada","Siguiente contrato ya registrado: verificar que esté firmado",IF(R150="Indefinido","Sin vencimiento. Cambios de sueldo o cargo: anexo de modificación",IF(W150="Falta fecha de término","Completar la fecha de término en Contratos",IF(W150="VENCIDO","Sigue trabajando con plazo vencido: por ley ya es INDEFINIDO. Firmar anexo de paso a indefinido",IF(R150="Obra o faena","Al terminar la obra: finiquito + 2,5 días de sueldo por mes trabajado",IF(N(S150)&gt;=2,"2° contrato a plazo: NO se puede renovar otra vez a plazo fijo. Pasar a indefinido o terminar al vencer","1er contrato a plazo: renovar (2° contrato), pasar a indefinido o terminar al vencer"))))))))))</f>
        <v/>
      </c>
      <c r="Y150" s="68" t="str">
        <f aca="false">IF(O150&lt;&gt;"Activo","",ROUND(1.25*(DATEDIF(F150,AO150+1,"m")+(AO150+1-EDATE(F150,DATEDIF(F150,AO150+1,"m")))/30),2))</f>
        <v/>
      </c>
      <c r="Z150" s="68" t="str">
        <f aca="false">IF(O150&lt;&gt;"Activo","",N(M150)+SUMIFS(M_VAC,M_RUTN,AG150,M_MES,"&lt;="&amp;FECHA_CORTE))</f>
        <v/>
      </c>
      <c r="AA150" s="68" t="str">
        <f aca="false">IF(O150&lt;&gt;"Activo","",Y150-Z150)</f>
        <v/>
      </c>
      <c r="AB150" s="63" t="str">
        <f aca="false">IF(O150&lt;&gt;"Activo","",ROUND(MAX(0,IF(AA150&lt;=0,0,WORKDAY(FECHA_CORTE,INT(AA150),FERIADOS)-FECHA_CORTE+(AA150-INT(AA150))))*(Q150+N(K150))/30,0))</f>
        <v/>
      </c>
      <c r="AC150" s="65" t="str">
        <f aca="false">IF(O150&lt;&gt;"Activo","",IF(DATEDIF(F150,FECHA_CORTE+1,"y")&lt;1,0,MIN(TOPE_ANIOS,DATEDIF(F150,FECHA_CORTE+1,"y")+IF(EDATE(F150,12*DATEDIF(F150,FECHA_CORTE+1,"y")+6)&lt;FECHA_CORTE+1,1,0))))</f>
        <v/>
      </c>
      <c r="AD150" s="69" t="str">
        <f aca="false">IF(O150&lt;&gt;"Activo","",AB150+IF(R150="Obra o faena",0,ROUND(AL150*AC150,0)+ROUND(AL150,0)))</f>
        <v/>
      </c>
      <c r="AE150" s="69" t="str">
        <f aca="false">IF(O150&lt;&gt;"Activo","",AB150)</f>
        <v/>
      </c>
      <c r="AF150" s="69" t="str">
        <f aca="false">IF(AN150="","",IF(ISNUMBER(AJ150),"",ROUND(MAX(0,IF(AN150&lt;=0,0,WORKDAY(U150,INT(AN150),FERIADOS)-U150+(AN150-INT(AN150))))*(Q150+N(K150))/30,0)+IF(R150="Obra o faena",ROUND(OBRA_DIAS*AL150/30*(DATEDIF(F150,U150+1,"m")+IF(U150+1-EDATE(F150,DATEDIF(F150,U150+1,"m"))&gt;15,1,0)),0),0)))</f>
        <v/>
      </c>
      <c r="AG150" s="62" t="str">
        <f aca="false">IF(B150="","",IFERROR(VALUE(LEFT(UPPER(SUBSTITUTE(SUBSTITUTE(SUBSTITUTE(TRIM(B150),".",""),"-","")," ","")),LEN(UPPER(SUBSTITUTE(SUBSTITUTE(SUBSTITUTE(TRIM(B150),".",""),"-","")," ","")))-1))&amp;RIGHT(UPPER(SUBSTITUTE(SUBSTITUTE(SUBSTITUTE(TRIM(B150),".",""),"-","")," ","")),1),UPPER(SUBSTITUTE(SUBSTITUTE(SUBSTITUTE(TRIM(B150),".",""),"-","")," ",""))))</f>
        <v/>
      </c>
      <c r="AH150" s="62" t="str">
        <f aca="false">IF(B150="","",COUNTIFS(C_RUTN,AG150,C_DEF,"Sí",C_INI,"&lt;="&amp;FECHA_CORTE))</f>
        <v/>
      </c>
      <c r="AI150" s="62" t="str">
        <f aca="false">IF(B150="","",COUNTIFS(C_RUTN,AG150,C_DEF,"Sí"))</f>
        <v/>
      </c>
      <c r="AJ150" s="66" t="str">
        <f aca="false">IF(OR(B150="",N(AI150)&lt;=N(AH150)),"",IFERROR(INDEX(C_INI,MATCH(AG150&amp;"-P"&amp;(AH150+1),C_CLAVE,0)),""))</f>
        <v/>
      </c>
      <c r="AK150" s="63" t="str">
        <f aca="false">IF(O150&lt;&gt;"Activo","",Q150+N(K150)+IF(L150="Sí",MIN(GRAT_PCT*(Q150+N(K150)),GRAT_TOPE),0)+N(I150)+N(J150))</f>
        <v/>
      </c>
      <c r="AL150" s="63" t="str">
        <f aca="false">IF(O150&lt;&gt;"Activo","",MIN(AK150,TOPE_IAS_UF*UF_MES))</f>
        <v/>
      </c>
      <c r="AM150" s="62" t="str">
        <f aca="false">IF(AND(O150="Activo",ISNUMBER(V150),W150&lt;&gt;"Renovación registrada"),V150+ROW()/100000,"")</f>
        <v/>
      </c>
      <c r="AN150" s="70" t="str">
        <f aca="false">IF(OR(O150&lt;&gt;"Activo",NOT(ISNUMBER(U150))),"",IF(U150&lt;FECHA_CORTE,"",1.25*(DATEDIF(F150,U150+1,"m")+(U150+1-EDATE(F150,DATEDIF(F150,U150+1,"m")))/30)-Z150))</f>
        <v/>
      </c>
      <c r="AO150" s="66" t="str">
        <f aca="false">IF(OR(B150="",NOT(ISNUMBER(F150))),"",IF(N(G150)&gt;0,MIN(G150,FECHA_CORTE),FECHA_CORTE))</f>
        <v/>
      </c>
    </row>
    <row r="151" customFormat="false" ht="15" hidden="false" customHeight="false" outlineLevel="0" collapsed="false">
      <c r="B151" s="58"/>
      <c r="C151" s="58"/>
      <c r="D151" s="58"/>
      <c r="E151" s="58"/>
      <c r="F151" s="59"/>
      <c r="G151" s="59"/>
      <c r="H151" s="58"/>
      <c r="I151" s="60"/>
      <c r="J151" s="60"/>
      <c r="K151" s="60"/>
      <c r="L151" s="58"/>
      <c r="M151" s="61"/>
      <c r="N151" s="58"/>
      <c r="O151" s="62" t="str">
        <f aca="false">IF(B151="","",IF(NOT(ISNUMBER(F151)),"⚠ Falta ingreso",IF(F151&gt;FECHA_CORTE,"Por ingresar",IF(G151="","Activo",IF(G151&lt;FECHA_CORTE,"Desvinculado","Activo")))))</f>
        <v/>
      </c>
      <c r="P151" s="62" t="str">
        <f aca="false">IF(OR(B151="",NOT(ISNUMBER(F151))),"",IF(F151&gt;FECHA_CORTE,"",DATEDIF(F151,IF(G151="",FECHA_CORTE,MIN(G151,FECHA_CORTE))+1,"y")&amp;" a "&amp;DATEDIF(F151,IF(G151="",FECHA_CORTE,MIN(G151,FECHA_CORTE))+1,"ym")&amp;" m"))</f>
        <v/>
      </c>
      <c r="Q151" s="63" t="str">
        <f aca="false">IF(B151="","",IFERROR(INDEX(C_SUELDO,MATCH(AG151&amp;"-S"&amp;MAX(1,COUNTIFS(C_RUTN,AG151,C_SUELDO,"&lt;&gt;",C_INI,"&lt;="&amp;FECHA_CORTE)),C_CLAVES,0)),0))</f>
        <v/>
      </c>
      <c r="R151" s="62" t="str">
        <f aca="false">IF(B151="","",IF(N(AI151)=0,"Sin contrato",IFERROR(INDEX(C_TIPO,MATCH(AG151&amp;"-P"&amp;MAX(1,AH151),C_CLAVE,0))&amp;"","")))</f>
        <v/>
      </c>
      <c r="S151" s="64" t="str">
        <f aca="false">IF(R151="Plazo fijo",IFERROR(INDEX(C_NPF,MATCH(AG151&amp;"-P"&amp;MAX(1,AH151),C_CLAVE,0)),""),"")</f>
        <v/>
      </c>
      <c r="T151" s="65" t="str">
        <f aca="false">IF(B151="","",COUNTIFS(C_RUTN,AG151,C_TIPODOC,"Anexo de modificación"))</f>
        <v/>
      </c>
      <c r="U151" s="66" t="str">
        <f aca="false">IF(AND(OR(R151="Plazo fijo",R151="Obra o faena"),O151&lt;&gt;"Desvinculado"),IFERROR(IF(N(INDEX(C_TER,MATCH(AG151&amp;"-P"&amp;MAX(1,AH151),C_CLAVE,0)))=0,"",INDEX(C_TER,MATCH(AG151&amp;"-P"&amp;MAX(1,AH151),C_CLAVE,0))),""),"")</f>
        <v/>
      </c>
      <c r="V151" s="67" t="str">
        <f aca="false">IF(ISNUMBER(U151),U151-FECHA_CORTE,"")</f>
        <v/>
      </c>
      <c r="W151" s="62" t="str">
        <f aca="false">IF(B151="","",IF(O151="Desvinculado","Terminado",IF(N(AI151)=0,"Sin contrato registrado",IF(O151="Por ingresar","Por ingresar",IF(ISNUMBER(AJ151),"Renovación registrada",IF(R151="Indefinido","Indefinido",IF(NOT(ISNUMBER(V151)),"Falta fecha de término",IF(V151&lt;0,"VENCIDO",IF(V151&lt;=ALERTA_ROJA,"Vence en ≤ "&amp;ALERTA_ROJA&amp;" días",IF(V151&lt;=ALERTA_NARANJA,"Vence en ≤ "&amp;ALERTA_NARANJA&amp;" días",IF(V151&lt;=ALERTA_AMARILLA,"Vence en ≤ "&amp;ALERTA_AMARILLA&amp;" días","Vigente")))))))))))</f>
        <v/>
      </c>
      <c r="X151" s="62" t="str">
        <f aca="false">IF(B151="","",IF(W151="Terminado","—",IF(W151="Sin contrato registrado","Registrar su contrato en la hoja Contratos",IF(W151="Por ingresar","Tener el contrato firmado antes del ingreso",IF(W151="Renovación registrada","Siguiente contrato ya registrado: verificar que esté firmado",IF(R151="Indefinido","Sin vencimiento. Cambios de sueldo o cargo: anexo de modificación",IF(W151="Falta fecha de término","Completar la fecha de término en Contratos",IF(W151="VENCIDO","Sigue trabajando con plazo vencido: por ley ya es INDEFINIDO. Firmar anexo de paso a indefinido",IF(R151="Obra o faena","Al terminar la obra: finiquito + 2,5 días de sueldo por mes trabajado",IF(N(S151)&gt;=2,"2° contrato a plazo: NO se puede renovar otra vez a plazo fijo. Pasar a indefinido o terminar al vencer","1er contrato a plazo: renovar (2° contrato), pasar a indefinido o terminar al vencer"))))))))))</f>
        <v/>
      </c>
      <c r="Y151" s="68" t="str">
        <f aca="false">IF(O151&lt;&gt;"Activo","",ROUND(1.25*(DATEDIF(F151,AO151+1,"m")+(AO151+1-EDATE(F151,DATEDIF(F151,AO151+1,"m")))/30),2))</f>
        <v/>
      </c>
      <c r="Z151" s="68" t="str">
        <f aca="false">IF(O151&lt;&gt;"Activo","",N(M151)+SUMIFS(M_VAC,M_RUTN,AG151,M_MES,"&lt;="&amp;FECHA_CORTE))</f>
        <v/>
      </c>
      <c r="AA151" s="68" t="str">
        <f aca="false">IF(O151&lt;&gt;"Activo","",Y151-Z151)</f>
        <v/>
      </c>
      <c r="AB151" s="63" t="str">
        <f aca="false">IF(O151&lt;&gt;"Activo","",ROUND(MAX(0,IF(AA151&lt;=0,0,WORKDAY(FECHA_CORTE,INT(AA151),FERIADOS)-FECHA_CORTE+(AA151-INT(AA151))))*(Q151+N(K151))/30,0))</f>
        <v/>
      </c>
      <c r="AC151" s="65" t="str">
        <f aca="false">IF(O151&lt;&gt;"Activo","",IF(DATEDIF(F151,FECHA_CORTE+1,"y")&lt;1,0,MIN(TOPE_ANIOS,DATEDIF(F151,FECHA_CORTE+1,"y")+IF(EDATE(F151,12*DATEDIF(F151,FECHA_CORTE+1,"y")+6)&lt;FECHA_CORTE+1,1,0))))</f>
        <v/>
      </c>
      <c r="AD151" s="69" t="str">
        <f aca="false">IF(O151&lt;&gt;"Activo","",AB151+IF(R151="Obra o faena",0,ROUND(AL151*AC151,0)+ROUND(AL151,0)))</f>
        <v/>
      </c>
      <c r="AE151" s="69" t="str">
        <f aca="false">IF(O151&lt;&gt;"Activo","",AB151)</f>
        <v/>
      </c>
      <c r="AF151" s="69" t="str">
        <f aca="false">IF(AN151="","",IF(ISNUMBER(AJ151),"",ROUND(MAX(0,IF(AN151&lt;=0,0,WORKDAY(U151,INT(AN151),FERIADOS)-U151+(AN151-INT(AN151))))*(Q151+N(K151))/30,0)+IF(R151="Obra o faena",ROUND(OBRA_DIAS*AL151/30*(DATEDIF(F151,U151+1,"m")+IF(U151+1-EDATE(F151,DATEDIF(F151,U151+1,"m"))&gt;15,1,0)),0),0)))</f>
        <v/>
      </c>
      <c r="AG151" s="62" t="str">
        <f aca="false">IF(B151="","",IFERROR(VALUE(LEFT(UPPER(SUBSTITUTE(SUBSTITUTE(SUBSTITUTE(TRIM(B151),".",""),"-","")," ","")),LEN(UPPER(SUBSTITUTE(SUBSTITUTE(SUBSTITUTE(TRIM(B151),".",""),"-","")," ","")))-1))&amp;RIGHT(UPPER(SUBSTITUTE(SUBSTITUTE(SUBSTITUTE(TRIM(B151),".",""),"-","")," ","")),1),UPPER(SUBSTITUTE(SUBSTITUTE(SUBSTITUTE(TRIM(B151),".",""),"-","")," ",""))))</f>
        <v/>
      </c>
      <c r="AH151" s="62" t="str">
        <f aca="false">IF(B151="","",COUNTIFS(C_RUTN,AG151,C_DEF,"Sí",C_INI,"&lt;="&amp;FECHA_CORTE))</f>
        <v/>
      </c>
      <c r="AI151" s="62" t="str">
        <f aca="false">IF(B151="","",COUNTIFS(C_RUTN,AG151,C_DEF,"Sí"))</f>
        <v/>
      </c>
      <c r="AJ151" s="66" t="str">
        <f aca="false">IF(OR(B151="",N(AI151)&lt;=N(AH151)),"",IFERROR(INDEX(C_INI,MATCH(AG151&amp;"-P"&amp;(AH151+1),C_CLAVE,0)),""))</f>
        <v/>
      </c>
      <c r="AK151" s="63" t="str">
        <f aca="false">IF(O151&lt;&gt;"Activo","",Q151+N(K151)+IF(L151="Sí",MIN(GRAT_PCT*(Q151+N(K151)),GRAT_TOPE),0)+N(I151)+N(J151))</f>
        <v/>
      </c>
      <c r="AL151" s="63" t="str">
        <f aca="false">IF(O151&lt;&gt;"Activo","",MIN(AK151,TOPE_IAS_UF*UF_MES))</f>
        <v/>
      </c>
      <c r="AM151" s="62" t="str">
        <f aca="false">IF(AND(O151="Activo",ISNUMBER(V151),W151&lt;&gt;"Renovación registrada"),V151+ROW()/100000,"")</f>
        <v/>
      </c>
      <c r="AN151" s="70" t="str">
        <f aca="false">IF(OR(O151&lt;&gt;"Activo",NOT(ISNUMBER(U151))),"",IF(U151&lt;FECHA_CORTE,"",1.25*(DATEDIF(F151,U151+1,"m")+(U151+1-EDATE(F151,DATEDIF(F151,U151+1,"m")))/30)-Z151))</f>
        <v/>
      </c>
      <c r="AO151" s="66" t="str">
        <f aca="false">IF(OR(B151="",NOT(ISNUMBER(F151))),"",IF(N(G151)&gt;0,MIN(G151,FECHA_CORTE),FECHA_CORTE))</f>
        <v/>
      </c>
    </row>
    <row r="152" customFormat="false" ht="15" hidden="false" customHeight="false" outlineLevel="0" collapsed="false">
      <c r="B152" s="58"/>
      <c r="C152" s="58"/>
      <c r="D152" s="58"/>
      <c r="E152" s="58"/>
      <c r="F152" s="59"/>
      <c r="G152" s="59"/>
      <c r="H152" s="58"/>
      <c r="I152" s="60"/>
      <c r="J152" s="60"/>
      <c r="K152" s="60"/>
      <c r="L152" s="58"/>
      <c r="M152" s="61"/>
      <c r="N152" s="58"/>
      <c r="O152" s="62" t="str">
        <f aca="false">IF(B152="","",IF(NOT(ISNUMBER(F152)),"⚠ Falta ingreso",IF(F152&gt;FECHA_CORTE,"Por ingresar",IF(G152="","Activo",IF(G152&lt;FECHA_CORTE,"Desvinculado","Activo")))))</f>
        <v/>
      </c>
      <c r="P152" s="62" t="str">
        <f aca="false">IF(OR(B152="",NOT(ISNUMBER(F152))),"",IF(F152&gt;FECHA_CORTE,"",DATEDIF(F152,IF(G152="",FECHA_CORTE,MIN(G152,FECHA_CORTE))+1,"y")&amp;" a "&amp;DATEDIF(F152,IF(G152="",FECHA_CORTE,MIN(G152,FECHA_CORTE))+1,"ym")&amp;" m"))</f>
        <v/>
      </c>
      <c r="Q152" s="63" t="str">
        <f aca="false">IF(B152="","",IFERROR(INDEX(C_SUELDO,MATCH(AG152&amp;"-S"&amp;MAX(1,COUNTIFS(C_RUTN,AG152,C_SUELDO,"&lt;&gt;",C_INI,"&lt;="&amp;FECHA_CORTE)),C_CLAVES,0)),0))</f>
        <v/>
      </c>
      <c r="R152" s="62" t="str">
        <f aca="false">IF(B152="","",IF(N(AI152)=0,"Sin contrato",IFERROR(INDEX(C_TIPO,MATCH(AG152&amp;"-P"&amp;MAX(1,AH152),C_CLAVE,0))&amp;"","")))</f>
        <v/>
      </c>
      <c r="S152" s="64" t="str">
        <f aca="false">IF(R152="Plazo fijo",IFERROR(INDEX(C_NPF,MATCH(AG152&amp;"-P"&amp;MAX(1,AH152),C_CLAVE,0)),""),"")</f>
        <v/>
      </c>
      <c r="T152" s="65" t="str">
        <f aca="false">IF(B152="","",COUNTIFS(C_RUTN,AG152,C_TIPODOC,"Anexo de modificación"))</f>
        <v/>
      </c>
      <c r="U152" s="66" t="str">
        <f aca="false">IF(AND(OR(R152="Plazo fijo",R152="Obra o faena"),O152&lt;&gt;"Desvinculado"),IFERROR(IF(N(INDEX(C_TER,MATCH(AG152&amp;"-P"&amp;MAX(1,AH152),C_CLAVE,0)))=0,"",INDEX(C_TER,MATCH(AG152&amp;"-P"&amp;MAX(1,AH152),C_CLAVE,0))),""),"")</f>
        <v/>
      </c>
      <c r="V152" s="67" t="str">
        <f aca="false">IF(ISNUMBER(U152),U152-FECHA_CORTE,"")</f>
        <v/>
      </c>
      <c r="W152" s="62" t="str">
        <f aca="false">IF(B152="","",IF(O152="Desvinculado","Terminado",IF(N(AI152)=0,"Sin contrato registrado",IF(O152="Por ingresar","Por ingresar",IF(ISNUMBER(AJ152),"Renovación registrada",IF(R152="Indefinido","Indefinido",IF(NOT(ISNUMBER(V152)),"Falta fecha de término",IF(V152&lt;0,"VENCIDO",IF(V152&lt;=ALERTA_ROJA,"Vence en ≤ "&amp;ALERTA_ROJA&amp;" días",IF(V152&lt;=ALERTA_NARANJA,"Vence en ≤ "&amp;ALERTA_NARANJA&amp;" días",IF(V152&lt;=ALERTA_AMARILLA,"Vence en ≤ "&amp;ALERTA_AMARILLA&amp;" días","Vigente")))))))))))</f>
        <v/>
      </c>
      <c r="X152" s="62" t="str">
        <f aca="false">IF(B152="","",IF(W152="Terminado","—",IF(W152="Sin contrato registrado","Registrar su contrato en la hoja Contratos",IF(W152="Por ingresar","Tener el contrato firmado antes del ingreso",IF(W152="Renovación registrada","Siguiente contrato ya registrado: verificar que esté firmado",IF(R152="Indefinido","Sin vencimiento. Cambios de sueldo o cargo: anexo de modificación",IF(W152="Falta fecha de término","Completar la fecha de término en Contratos",IF(W152="VENCIDO","Sigue trabajando con plazo vencido: por ley ya es INDEFINIDO. Firmar anexo de paso a indefinido",IF(R152="Obra o faena","Al terminar la obra: finiquito + 2,5 días de sueldo por mes trabajado",IF(N(S152)&gt;=2,"2° contrato a plazo: NO se puede renovar otra vez a plazo fijo. Pasar a indefinido o terminar al vencer","1er contrato a plazo: renovar (2° contrato), pasar a indefinido o terminar al vencer"))))))))))</f>
        <v/>
      </c>
      <c r="Y152" s="68" t="str">
        <f aca="false">IF(O152&lt;&gt;"Activo","",ROUND(1.25*(DATEDIF(F152,AO152+1,"m")+(AO152+1-EDATE(F152,DATEDIF(F152,AO152+1,"m")))/30),2))</f>
        <v/>
      </c>
      <c r="Z152" s="68" t="str">
        <f aca="false">IF(O152&lt;&gt;"Activo","",N(M152)+SUMIFS(M_VAC,M_RUTN,AG152,M_MES,"&lt;="&amp;FECHA_CORTE))</f>
        <v/>
      </c>
      <c r="AA152" s="68" t="str">
        <f aca="false">IF(O152&lt;&gt;"Activo","",Y152-Z152)</f>
        <v/>
      </c>
      <c r="AB152" s="63" t="str">
        <f aca="false">IF(O152&lt;&gt;"Activo","",ROUND(MAX(0,IF(AA152&lt;=0,0,WORKDAY(FECHA_CORTE,INT(AA152),FERIADOS)-FECHA_CORTE+(AA152-INT(AA152))))*(Q152+N(K152))/30,0))</f>
        <v/>
      </c>
      <c r="AC152" s="65" t="str">
        <f aca="false">IF(O152&lt;&gt;"Activo","",IF(DATEDIF(F152,FECHA_CORTE+1,"y")&lt;1,0,MIN(TOPE_ANIOS,DATEDIF(F152,FECHA_CORTE+1,"y")+IF(EDATE(F152,12*DATEDIF(F152,FECHA_CORTE+1,"y")+6)&lt;FECHA_CORTE+1,1,0))))</f>
        <v/>
      </c>
      <c r="AD152" s="69" t="str">
        <f aca="false">IF(O152&lt;&gt;"Activo","",AB152+IF(R152="Obra o faena",0,ROUND(AL152*AC152,0)+ROUND(AL152,0)))</f>
        <v/>
      </c>
      <c r="AE152" s="69" t="str">
        <f aca="false">IF(O152&lt;&gt;"Activo","",AB152)</f>
        <v/>
      </c>
      <c r="AF152" s="69" t="str">
        <f aca="false">IF(AN152="","",IF(ISNUMBER(AJ152),"",ROUND(MAX(0,IF(AN152&lt;=0,0,WORKDAY(U152,INT(AN152),FERIADOS)-U152+(AN152-INT(AN152))))*(Q152+N(K152))/30,0)+IF(R152="Obra o faena",ROUND(OBRA_DIAS*AL152/30*(DATEDIF(F152,U152+1,"m")+IF(U152+1-EDATE(F152,DATEDIF(F152,U152+1,"m"))&gt;15,1,0)),0),0)))</f>
        <v/>
      </c>
      <c r="AG152" s="62" t="str">
        <f aca="false">IF(B152="","",IFERROR(VALUE(LEFT(UPPER(SUBSTITUTE(SUBSTITUTE(SUBSTITUTE(TRIM(B152),".",""),"-","")," ","")),LEN(UPPER(SUBSTITUTE(SUBSTITUTE(SUBSTITUTE(TRIM(B152),".",""),"-","")," ","")))-1))&amp;RIGHT(UPPER(SUBSTITUTE(SUBSTITUTE(SUBSTITUTE(TRIM(B152),".",""),"-","")," ","")),1),UPPER(SUBSTITUTE(SUBSTITUTE(SUBSTITUTE(TRIM(B152),".",""),"-","")," ",""))))</f>
        <v/>
      </c>
      <c r="AH152" s="62" t="str">
        <f aca="false">IF(B152="","",COUNTIFS(C_RUTN,AG152,C_DEF,"Sí",C_INI,"&lt;="&amp;FECHA_CORTE))</f>
        <v/>
      </c>
      <c r="AI152" s="62" t="str">
        <f aca="false">IF(B152="","",COUNTIFS(C_RUTN,AG152,C_DEF,"Sí"))</f>
        <v/>
      </c>
      <c r="AJ152" s="66" t="str">
        <f aca="false">IF(OR(B152="",N(AI152)&lt;=N(AH152)),"",IFERROR(INDEX(C_INI,MATCH(AG152&amp;"-P"&amp;(AH152+1),C_CLAVE,0)),""))</f>
        <v/>
      </c>
      <c r="AK152" s="63" t="str">
        <f aca="false">IF(O152&lt;&gt;"Activo","",Q152+N(K152)+IF(L152="Sí",MIN(GRAT_PCT*(Q152+N(K152)),GRAT_TOPE),0)+N(I152)+N(J152))</f>
        <v/>
      </c>
      <c r="AL152" s="63" t="str">
        <f aca="false">IF(O152&lt;&gt;"Activo","",MIN(AK152,TOPE_IAS_UF*UF_MES))</f>
        <v/>
      </c>
      <c r="AM152" s="62" t="str">
        <f aca="false">IF(AND(O152="Activo",ISNUMBER(V152),W152&lt;&gt;"Renovación registrada"),V152+ROW()/100000,"")</f>
        <v/>
      </c>
      <c r="AN152" s="70" t="str">
        <f aca="false">IF(OR(O152&lt;&gt;"Activo",NOT(ISNUMBER(U152))),"",IF(U152&lt;FECHA_CORTE,"",1.25*(DATEDIF(F152,U152+1,"m")+(U152+1-EDATE(F152,DATEDIF(F152,U152+1,"m")))/30)-Z152))</f>
        <v/>
      </c>
      <c r="AO152" s="66" t="str">
        <f aca="false">IF(OR(B152="",NOT(ISNUMBER(F152))),"",IF(N(G152)&gt;0,MIN(G152,FECHA_CORTE),FECHA_CORTE))</f>
        <v/>
      </c>
    </row>
    <row r="153" customFormat="false" ht="15" hidden="false" customHeight="false" outlineLevel="0" collapsed="false">
      <c r="B153" s="58"/>
      <c r="C153" s="58"/>
      <c r="D153" s="58"/>
      <c r="E153" s="58"/>
      <c r="F153" s="59"/>
      <c r="G153" s="59"/>
      <c r="H153" s="58"/>
      <c r="I153" s="60"/>
      <c r="J153" s="60"/>
      <c r="K153" s="60"/>
      <c r="L153" s="58"/>
      <c r="M153" s="61"/>
      <c r="N153" s="58"/>
      <c r="O153" s="62" t="str">
        <f aca="false">IF(B153="","",IF(NOT(ISNUMBER(F153)),"⚠ Falta ingreso",IF(F153&gt;FECHA_CORTE,"Por ingresar",IF(G153="","Activo",IF(G153&lt;FECHA_CORTE,"Desvinculado","Activo")))))</f>
        <v/>
      </c>
      <c r="P153" s="62" t="str">
        <f aca="false">IF(OR(B153="",NOT(ISNUMBER(F153))),"",IF(F153&gt;FECHA_CORTE,"",DATEDIF(F153,IF(G153="",FECHA_CORTE,MIN(G153,FECHA_CORTE))+1,"y")&amp;" a "&amp;DATEDIF(F153,IF(G153="",FECHA_CORTE,MIN(G153,FECHA_CORTE))+1,"ym")&amp;" m"))</f>
        <v/>
      </c>
      <c r="Q153" s="63" t="str">
        <f aca="false">IF(B153="","",IFERROR(INDEX(C_SUELDO,MATCH(AG153&amp;"-S"&amp;MAX(1,COUNTIFS(C_RUTN,AG153,C_SUELDO,"&lt;&gt;",C_INI,"&lt;="&amp;FECHA_CORTE)),C_CLAVES,0)),0))</f>
        <v/>
      </c>
      <c r="R153" s="62" t="str">
        <f aca="false">IF(B153="","",IF(N(AI153)=0,"Sin contrato",IFERROR(INDEX(C_TIPO,MATCH(AG153&amp;"-P"&amp;MAX(1,AH153),C_CLAVE,0))&amp;"","")))</f>
        <v/>
      </c>
      <c r="S153" s="64" t="str">
        <f aca="false">IF(R153="Plazo fijo",IFERROR(INDEX(C_NPF,MATCH(AG153&amp;"-P"&amp;MAX(1,AH153),C_CLAVE,0)),""),"")</f>
        <v/>
      </c>
      <c r="T153" s="65" t="str">
        <f aca="false">IF(B153="","",COUNTIFS(C_RUTN,AG153,C_TIPODOC,"Anexo de modificación"))</f>
        <v/>
      </c>
      <c r="U153" s="66" t="str">
        <f aca="false">IF(AND(OR(R153="Plazo fijo",R153="Obra o faena"),O153&lt;&gt;"Desvinculado"),IFERROR(IF(N(INDEX(C_TER,MATCH(AG153&amp;"-P"&amp;MAX(1,AH153),C_CLAVE,0)))=0,"",INDEX(C_TER,MATCH(AG153&amp;"-P"&amp;MAX(1,AH153),C_CLAVE,0))),""),"")</f>
        <v/>
      </c>
      <c r="V153" s="67" t="str">
        <f aca="false">IF(ISNUMBER(U153),U153-FECHA_CORTE,"")</f>
        <v/>
      </c>
      <c r="W153" s="62" t="str">
        <f aca="false">IF(B153="","",IF(O153="Desvinculado","Terminado",IF(N(AI153)=0,"Sin contrato registrado",IF(O153="Por ingresar","Por ingresar",IF(ISNUMBER(AJ153),"Renovación registrada",IF(R153="Indefinido","Indefinido",IF(NOT(ISNUMBER(V153)),"Falta fecha de término",IF(V153&lt;0,"VENCIDO",IF(V153&lt;=ALERTA_ROJA,"Vence en ≤ "&amp;ALERTA_ROJA&amp;" días",IF(V153&lt;=ALERTA_NARANJA,"Vence en ≤ "&amp;ALERTA_NARANJA&amp;" días",IF(V153&lt;=ALERTA_AMARILLA,"Vence en ≤ "&amp;ALERTA_AMARILLA&amp;" días","Vigente")))))))))))</f>
        <v/>
      </c>
      <c r="X153" s="62" t="str">
        <f aca="false">IF(B153="","",IF(W153="Terminado","—",IF(W153="Sin contrato registrado","Registrar su contrato en la hoja Contratos",IF(W153="Por ingresar","Tener el contrato firmado antes del ingreso",IF(W153="Renovación registrada","Siguiente contrato ya registrado: verificar que esté firmado",IF(R153="Indefinido","Sin vencimiento. Cambios de sueldo o cargo: anexo de modificación",IF(W153="Falta fecha de término","Completar la fecha de término en Contratos",IF(W153="VENCIDO","Sigue trabajando con plazo vencido: por ley ya es INDEFINIDO. Firmar anexo de paso a indefinido",IF(R153="Obra o faena","Al terminar la obra: finiquito + 2,5 días de sueldo por mes trabajado",IF(N(S153)&gt;=2,"2° contrato a plazo: NO se puede renovar otra vez a plazo fijo. Pasar a indefinido o terminar al vencer","1er contrato a plazo: renovar (2° contrato), pasar a indefinido o terminar al vencer"))))))))))</f>
        <v/>
      </c>
      <c r="Y153" s="68" t="str">
        <f aca="false">IF(O153&lt;&gt;"Activo","",ROUND(1.25*(DATEDIF(F153,AO153+1,"m")+(AO153+1-EDATE(F153,DATEDIF(F153,AO153+1,"m")))/30),2))</f>
        <v/>
      </c>
      <c r="Z153" s="68" t="str">
        <f aca="false">IF(O153&lt;&gt;"Activo","",N(M153)+SUMIFS(M_VAC,M_RUTN,AG153,M_MES,"&lt;="&amp;FECHA_CORTE))</f>
        <v/>
      </c>
      <c r="AA153" s="68" t="str">
        <f aca="false">IF(O153&lt;&gt;"Activo","",Y153-Z153)</f>
        <v/>
      </c>
      <c r="AB153" s="63" t="str">
        <f aca="false">IF(O153&lt;&gt;"Activo","",ROUND(MAX(0,IF(AA153&lt;=0,0,WORKDAY(FECHA_CORTE,INT(AA153),FERIADOS)-FECHA_CORTE+(AA153-INT(AA153))))*(Q153+N(K153))/30,0))</f>
        <v/>
      </c>
      <c r="AC153" s="65" t="str">
        <f aca="false">IF(O153&lt;&gt;"Activo","",IF(DATEDIF(F153,FECHA_CORTE+1,"y")&lt;1,0,MIN(TOPE_ANIOS,DATEDIF(F153,FECHA_CORTE+1,"y")+IF(EDATE(F153,12*DATEDIF(F153,FECHA_CORTE+1,"y")+6)&lt;FECHA_CORTE+1,1,0))))</f>
        <v/>
      </c>
      <c r="AD153" s="69" t="str">
        <f aca="false">IF(O153&lt;&gt;"Activo","",AB153+IF(R153="Obra o faena",0,ROUND(AL153*AC153,0)+ROUND(AL153,0)))</f>
        <v/>
      </c>
      <c r="AE153" s="69" t="str">
        <f aca="false">IF(O153&lt;&gt;"Activo","",AB153)</f>
        <v/>
      </c>
      <c r="AF153" s="69" t="str">
        <f aca="false">IF(AN153="","",IF(ISNUMBER(AJ153),"",ROUND(MAX(0,IF(AN153&lt;=0,0,WORKDAY(U153,INT(AN153),FERIADOS)-U153+(AN153-INT(AN153))))*(Q153+N(K153))/30,0)+IF(R153="Obra o faena",ROUND(OBRA_DIAS*AL153/30*(DATEDIF(F153,U153+1,"m")+IF(U153+1-EDATE(F153,DATEDIF(F153,U153+1,"m"))&gt;15,1,0)),0),0)))</f>
        <v/>
      </c>
      <c r="AG153" s="62" t="str">
        <f aca="false">IF(B153="","",IFERROR(VALUE(LEFT(UPPER(SUBSTITUTE(SUBSTITUTE(SUBSTITUTE(TRIM(B153),".",""),"-","")," ","")),LEN(UPPER(SUBSTITUTE(SUBSTITUTE(SUBSTITUTE(TRIM(B153),".",""),"-","")," ","")))-1))&amp;RIGHT(UPPER(SUBSTITUTE(SUBSTITUTE(SUBSTITUTE(TRIM(B153),".",""),"-","")," ","")),1),UPPER(SUBSTITUTE(SUBSTITUTE(SUBSTITUTE(TRIM(B153),".",""),"-","")," ",""))))</f>
        <v/>
      </c>
      <c r="AH153" s="62" t="str">
        <f aca="false">IF(B153="","",COUNTIFS(C_RUTN,AG153,C_DEF,"Sí",C_INI,"&lt;="&amp;FECHA_CORTE))</f>
        <v/>
      </c>
      <c r="AI153" s="62" t="str">
        <f aca="false">IF(B153="","",COUNTIFS(C_RUTN,AG153,C_DEF,"Sí"))</f>
        <v/>
      </c>
      <c r="AJ153" s="66" t="str">
        <f aca="false">IF(OR(B153="",N(AI153)&lt;=N(AH153)),"",IFERROR(INDEX(C_INI,MATCH(AG153&amp;"-P"&amp;(AH153+1),C_CLAVE,0)),""))</f>
        <v/>
      </c>
      <c r="AK153" s="63" t="str">
        <f aca="false">IF(O153&lt;&gt;"Activo","",Q153+N(K153)+IF(L153="Sí",MIN(GRAT_PCT*(Q153+N(K153)),GRAT_TOPE),0)+N(I153)+N(J153))</f>
        <v/>
      </c>
      <c r="AL153" s="63" t="str">
        <f aca="false">IF(O153&lt;&gt;"Activo","",MIN(AK153,TOPE_IAS_UF*UF_MES))</f>
        <v/>
      </c>
      <c r="AM153" s="62" t="str">
        <f aca="false">IF(AND(O153="Activo",ISNUMBER(V153),W153&lt;&gt;"Renovación registrada"),V153+ROW()/100000,"")</f>
        <v/>
      </c>
      <c r="AN153" s="70" t="str">
        <f aca="false">IF(OR(O153&lt;&gt;"Activo",NOT(ISNUMBER(U153))),"",IF(U153&lt;FECHA_CORTE,"",1.25*(DATEDIF(F153,U153+1,"m")+(U153+1-EDATE(F153,DATEDIF(F153,U153+1,"m")))/30)-Z153))</f>
        <v/>
      </c>
      <c r="AO153" s="66" t="str">
        <f aca="false">IF(OR(B153="",NOT(ISNUMBER(F153))),"",IF(N(G153)&gt;0,MIN(G153,FECHA_CORTE),FECHA_CORTE))</f>
        <v/>
      </c>
    </row>
    <row r="154" customFormat="false" ht="15" hidden="false" customHeight="false" outlineLevel="0" collapsed="false">
      <c r="B154" s="58"/>
      <c r="C154" s="58"/>
      <c r="D154" s="58"/>
      <c r="E154" s="58"/>
      <c r="F154" s="59"/>
      <c r="G154" s="59"/>
      <c r="H154" s="58"/>
      <c r="I154" s="60"/>
      <c r="J154" s="60"/>
      <c r="K154" s="60"/>
      <c r="L154" s="58"/>
      <c r="M154" s="61"/>
      <c r="N154" s="58"/>
      <c r="O154" s="62" t="str">
        <f aca="false">IF(B154="","",IF(NOT(ISNUMBER(F154)),"⚠ Falta ingreso",IF(F154&gt;FECHA_CORTE,"Por ingresar",IF(G154="","Activo",IF(G154&lt;FECHA_CORTE,"Desvinculado","Activo")))))</f>
        <v/>
      </c>
      <c r="P154" s="62" t="str">
        <f aca="false">IF(OR(B154="",NOT(ISNUMBER(F154))),"",IF(F154&gt;FECHA_CORTE,"",DATEDIF(F154,IF(G154="",FECHA_CORTE,MIN(G154,FECHA_CORTE))+1,"y")&amp;" a "&amp;DATEDIF(F154,IF(G154="",FECHA_CORTE,MIN(G154,FECHA_CORTE))+1,"ym")&amp;" m"))</f>
        <v/>
      </c>
      <c r="Q154" s="63" t="str">
        <f aca="false">IF(B154="","",IFERROR(INDEX(C_SUELDO,MATCH(AG154&amp;"-S"&amp;MAX(1,COUNTIFS(C_RUTN,AG154,C_SUELDO,"&lt;&gt;",C_INI,"&lt;="&amp;FECHA_CORTE)),C_CLAVES,0)),0))</f>
        <v/>
      </c>
      <c r="R154" s="62" t="str">
        <f aca="false">IF(B154="","",IF(N(AI154)=0,"Sin contrato",IFERROR(INDEX(C_TIPO,MATCH(AG154&amp;"-P"&amp;MAX(1,AH154),C_CLAVE,0))&amp;"","")))</f>
        <v/>
      </c>
      <c r="S154" s="64" t="str">
        <f aca="false">IF(R154="Plazo fijo",IFERROR(INDEX(C_NPF,MATCH(AG154&amp;"-P"&amp;MAX(1,AH154),C_CLAVE,0)),""),"")</f>
        <v/>
      </c>
      <c r="T154" s="65" t="str">
        <f aca="false">IF(B154="","",COUNTIFS(C_RUTN,AG154,C_TIPODOC,"Anexo de modificación"))</f>
        <v/>
      </c>
      <c r="U154" s="66" t="str">
        <f aca="false">IF(AND(OR(R154="Plazo fijo",R154="Obra o faena"),O154&lt;&gt;"Desvinculado"),IFERROR(IF(N(INDEX(C_TER,MATCH(AG154&amp;"-P"&amp;MAX(1,AH154),C_CLAVE,0)))=0,"",INDEX(C_TER,MATCH(AG154&amp;"-P"&amp;MAX(1,AH154),C_CLAVE,0))),""),"")</f>
        <v/>
      </c>
      <c r="V154" s="67" t="str">
        <f aca="false">IF(ISNUMBER(U154),U154-FECHA_CORTE,"")</f>
        <v/>
      </c>
      <c r="W154" s="62" t="str">
        <f aca="false">IF(B154="","",IF(O154="Desvinculado","Terminado",IF(N(AI154)=0,"Sin contrato registrado",IF(O154="Por ingresar","Por ingresar",IF(ISNUMBER(AJ154),"Renovación registrada",IF(R154="Indefinido","Indefinido",IF(NOT(ISNUMBER(V154)),"Falta fecha de término",IF(V154&lt;0,"VENCIDO",IF(V154&lt;=ALERTA_ROJA,"Vence en ≤ "&amp;ALERTA_ROJA&amp;" días",IF(V154&lt;=ALERTA_NARANJA,"Vence en ≤ "&amp;ALERTA_NARANJA&amp;" días",IF(V154&lt;=ALERTA_AMARILLA,"Vence en ≤ "&amp;ALERTA_AMARILLA&amp;" días","Vigente")))))))))))</f>
        <v/>
      </c>
      <c r="X154" s="62" t="str">
        <f aca="false">IF(B154="","",IF(W154="Terminado","—",IF(W154="Sin contrato registrado","Registrar su contrato en la hoja Contratos",IF(W154="Por ingresar","Tener el contrato firmado antes del ingreso",IF(W154="Renovación registrada","Siguiente contrato ya registrado: verificar que esté firmado",IF(R154="Indefinido","Sin vencimiento. Cambios de sueldo o cargo: anexo de modificación",IF(W154="Falta fecha de término","Completar la fecha de término en Contratos",IF(W154="VENCIDO","Sigue trabajando con plazo vencido: por ley ya es INDEFINIDO. Firmar anexo de paso a indefinido",IF(R154="Obra o faena","Al terminar la obra: finiquito + 2,5 días de sueldo por mes trabajado",IF(N(S154)&gt;=2,"2° contrato a plazo: NO se puede renovar otra vez a plazo fijo. Pasar a indefinido o terminar al vencer","1er contrato a plazo: renovar (2° contrato), pasar a indefinido o terminar al vencer"))))))))))</f>
        <v/>
      </c>
      <c r="Y154" s="68" t="str">
        <f aca="false">IF(O154&lt;&gt;"Activo","",ROUND(1.25*(DATEDIF(F154,AO154+1,"m")+(AO154+1-EDATE(F154,DATEDIF(F154,AO154+1,"m")))/30),2))</f>
        <v/>
      </c>
      <c r="Z154" s="68" t="str">
        <f aca="false">IF(O154&lt;&gt;"Activo","",N(M154)+SUMIFS(M_VAC,M_RUTN,AG154,M_MES,"&lt;="&amp;FECHA_CORTE))</f>
        <v/>
      </c>
      <c r="AA154" s="68" t="str">
        <f aca="false">IF(O154&lt;&gt;"Activo","",Y154-Z154)</f>
        <v/>
      </c>
      <c r="AB154" s="63" t="str">
        <f aca="false">IF(O154&lt;&gt;"Activo","",ROUND(MAX(0,IF(AA154&lt;=0,0,WORKDAY(FECHA_CORTE,INT(AA154),FERIADOS)-FECHA_CORTE+(AA154-INT(AA154))))*(Q154+N(K154))/30,0))</f>
        <v/>
      </c>
      <c r="AC154" s="65" t="str">
        <f aca="false">IF(O154&lt;&gt;"Activo","",IF(DATEDIF(F154,FECHA_CORTE+1,"y")&lt;1,0,MIN(TOPE_ANIOS,DATEDIF(F154,FECHA_CORTE+1,"y")+IF(EDATE(F154,12*DATEDIF(F154,FECHA_CORTE+1,"y")+6)&lt;FECHA_CORTE+1,1,0))))</f>
        <v/>
      </c>
      <c r="AD154" s="69" t="str">
        <f aca="false">IF(O154&lt;&gt;"Activo","",AB154+IF(R154="Obra o faena",0,ROUND(AL154*AC154,0)+ROUND(AL154,0)))</f>
        <v/>
      </c>
      <c r="AE154" s="69" t="str">
        <f aca="false">IF(O154&lt;&gt;"Activo","",AB154)</f>
        <v/>
      </c>
      <c r="AF154" s="69" t="str">
        <f aca="false">IF(AN154="","",IF(ISNUMBER(AJ154),"",ROUND(MAX(0,IF(AN154&lt;=0,0,WORKDAY(U154,INT(AN154),FERIADOS)-U154+(AN154-INT(AN154))))*(Q154+N(K154))/30,0)+IF(R154="Obra o faena",ROUND(OBRA_DIAS*AL154/30*(DATEDIF(F154,U154+1,"m")+IF(U154+1-EDATE(F154,DATEDIF(F154,U154+1,"m"))&gt;15,1,0)),0),0)))</f>
        <v/>
      </c>
      <c r="AG154" s="62" t="str">
        <f aca="false">IF(B154="","",IFERROR(VALUE(LEFT(UPPER(SUBSTITUTE(SUBSTITUTE(SUBSTITUTE(TRIM(B154),".",""),"-","")," ","")),LEN(UPPER(SUBSTITUTE(SUBSTITUTE(SUBSTITUTE(TRIM(B154),".",""),"-","")," ","")))-1))&amp;RIGHT(UPPER(SUBSTITUTE(SUBSTITUTE(SUBSTITUTE(TRIM(B154),".",""),"-","")," ","")),1),UPPER(SUBSTITUTE(SUBSTITUTE(SUBSTITUTE(TRIM(B154),".",""),"-","")," ",""))))</f>
        <v/>
      </c>
      <c r="AH154" s="62" t="str">
        <f aca="false">IF(B154="","",COUNTIFS(C_RUTN,AG154,C_DEF,"Sí",C_INI,"&lt;="&amp;FECHA_CORTE))</f>
        <v/>
      </c>
      <c r="AI154" s="62" t="str">
        <f aca="false">IF(B154="","",COUNTIFS(C_RUTN,AG154,C_DEF,"Sí"))</f>
        <v/>
      </c>
      <c r="AJ154" s="66" t="str">
        <f aca="false">IF(OR(B154="",N(AI154)&lt;=N(AH154)),"",IFERROR(INDEX(C_INI,MATCH(AG154&amp;"-P"&amp;(AH154+1),C_CLAVE,0)),""))</f>
        <v/>
      </c>
      <c r="AK154" s="63" t="str">
        <f aca="false">IF(O154&lt;&gt;"Activo","",Q154+N(K154)+IF(L154="Sí",MIN(GRAT_PCT*(Q154+N(K154)),GRAT_TOPE),0)+N(I154)+N(J154))</f>
        <v/>
      </c>
      <c r="AL154" s="63" t="str">
        <f aca="false">IF(O154&lt;&gt;"Activo","",MIN(AK154,TOPE_IAS_UF*UF_MES))</f>
        <v/>
      </c>
      <c r="AM154" s="62" t="str">
        <f aca="false">IF(AND(O154="Activo",ISNUMBER(V154),W154&lt;&gt;"Renovación registrada"),V154+ROW()/100000,"")</f>
        <v/>
      </c>
      <c r="AN154" s="70" t="str">
        <f aca="false">IF(OR(O154&lt;&gt;"Activo",NOT(ISNUMBER(U154))),"",IF(U154&lt;FECHA_CORTE,"",1.25*(DATEDIF(F154,U154+1,"m")+(U154+1-EDATE(F154,DATEDIF(F154,U154+1,"m")))/30)-Z154))</f>
        <v/>
      </c>
      <c r="AO154" s="66" t="str">
        <f aca="false">IF(OR(B154="",NOT(ISNUMBER(F154))),"",IF(N(G154)&gt;0,MIN(G154,FECHA_CORTE),FECHA_CORTE))</f>
        <v/>
      </c>
    </row>
    <row r="155" customFormat="false" ht="15" hidden="false" customHeight="false" outlineLevel="0" collapsed="false">
      <c r="B155" s="58"/>
      <c r="C155" s="58"/>
      <c r="D155" s="58"/>
      <c r="E155" s="58"/>
      <c r="F155" s="59"/>
      <c r="G155" s="59"/>
      <c r="H155" s="58"/>
      <c r="I155" s="60"/>
      <c r="J155" s="60"/>
      <c r="K155" s="60"/>
      <c r="L155" s="58"/>
      <c r="M155" s="61"/>
      <c r="N155" s="58"/>
      <c r="O155" s="62" t="str">
        <f aca="false">IF(B155="","",IF(NOT(ISNUMBER(F155)),"⚠ Falta ingreso",IF(F155&gt;FECHA_CORTE,"Por ingresar",IF(G155="","Activo",IF(G155&lt;FECHA_CORTE,"Desvinculado","Activo")))))</f>
        <v/>
      </c>
      <c r="P155" s="62" t="str">
        <f aca="false">IF(OR(B155="",NOT(ISNUMBER(F155))),"",IF(F155&gt;FECHA_CORTE,"",DATEDIF(F155,IF(G155="",FECHA_CORTE,MIN(G155,FECHA_CORTE))+1,"y")&amp;" a "&amp;DATEDIF(F155,IF(G155="",FECHA_CORTE,MIN(G155,FECHA_CORTE))+1,"ym")&amp;" m"))</f>
        <v/>
      </c>
      <c r="Q155" s="63" t="str">
        <f aca="false">IF(B155="","",IFERROR(INDEX(C_SUELDO,MATCH(AG155&amp;"-S"&amp;MAX(1,COUNTIFS(C_RUTN,AG155,C_SUELDO,"&lt;&gt;",C_INI,"&lt;="&amp;FECHA_CORTE)),C_CLAVES,0)),0))</f>
        <v/>
      </c>
      <c r="R155" s="62" t="str">
        <f aca="false">IF(B155="","",IF(N(AI155)=0,"Sin contrato",IFERROR(INDEX(C_TIPO,MATCH(AG155&amp;"-P"&amp;MAX(1,AH155),C_CLAVE,0))&amp;"","")))</f>
        <v/>
      </c>
      <c r="S155" s="64" t="str">
        <f aca="false">IF(R155="Plazo fijo",IFERROR(INDEX(C_NPF,MATCH(AG155&amp;"-P"&amp;MAX(1,AH155),C_CLAVE,0)),""),"")</f>
        <v/>
      </c>
      <c r="T155" s="65" t="str">
        <f aca="false">IF(B155="","",COUNTIFS(C_RUTN,AG155,C_TIPODOC,"Anexo de modificación"))</f>
        <v/>
      </c>
      <c r="U155" s="66" t="str">
        <f aca="false">IF(AND(OR(R155="Plazo fijo",R155="Obra o faena"),O155&lt;&gt;"Desvinculado"),IFERROR(IF(N(INDEX(C_TER,MATCH(AG155&amp;"-P"&amp;MAX(1,AH155),C_CLAVE,0)))=0,"",INDEX(C_TER,MATCH(AG155&amp;"-P"&amp;MAX(1,AH155),C_CLAVE,0))),""),"")</f>
        <v/>
      </c>
      <c r="V155" s="67" t="str">
        <f aca="false">IF(ISNUMBER(U155),U155-FECHA_CORTE,"")</f>
        <v/>
      </c>
      <c r="W155" s="62" t="str">
        <f aca="false">IF(B155="","",IF(O155="Desvinculado","Terminado",IF(N(AI155)=0,"Sin contrato registrado",IF(O155="Por ingresar","Por ingresar",IF(ISNUMBER(AJ155),"Renovación registrada",IF(R155="Indefinido","Indefinido",IF(NOT(ISNUMBER(V155)),"Falta fecha de término",IF(V155&lt;0,"VENCIDO",IF(V155&lt;=ALERTA_ROJA,"Vence en ≤ "&amp;ALERTA_ROJA&amp;" días",IF(V155&lt;=ALERTA_NARANJA,"Vence en ≤ "&amp;ALERTA_NARANJA&amp;" días",IF(V155&lt;=ALERTA_AMARILLA,"Vence en ≤ "&amp;ALERTA_AMARILLA&amp;" días","Vigente")))))))))))</f>
        <v/>
      </c>
      <c r="X155" s="62" t="str">
        <f aca="false">IF(B155="","",IF(W155="Terminado","—",IF(W155="Sin contrato registrado","Registrar su contrato en la hoja Contratos",IF(W155="Por ingresar","Tener el contrato firmado antes del ingreso",IF(W155="Renovación registrada","Siguiente contrato ya registrado: verificar que esté firmado",IF(R155="Indefinido","Sin vencimiento. Cambios de sueldo o cargo: anexo de modificación",IF(W155="Falta fecha de término","Completar la fecha de término en Contratos",IF(W155="VENCIDO","Sigue trabajando con plazo vencido: por ley ya es INDEFINIDO. Firmar anexo de paso a indefinido",IF(R155="Obra o faena","Al terminar la obra: finiquito + 2,5 días de sueldo por mes trabajado",IF(N(S155)&gt;=2,"2° contrato a plazo: NO se puede renovar otra vez a plazo fijo. Pasar a indefinido o terminar al vencer","1er contrato a plazo: renovar (2° contrato), pasar a indefinido o terminar al vencer"))))))))))</f>
        <v/>
      </c>
      <c r="Y155" s="68" t="str">
        <f aca="false">IF(O155&lt;&gt;"Activo","",ROUND(1.25*(DATEDIF(F155,AO155+1,"m")+(AO155+1-EDATE(F155,DATEDIF(F155,AO155+1,"m")))/30),2))</f>
        <v/>
      </c>
      <c r="Z155" s="68" t="str">
        <f aca="false">IF(O155&lt;&gt;"Activo","",N(M155)+SUMIFS(M_VAC,M_RUTN,AG155,M_MES,"&lt;="&amp;FECHA_CORTE))</f>
        <v/>
      </c>
      <c r="AA155" s="68" t="str">
        <f aca="false">IF(O155&lt;&gt;"Activo","",Y155-Z155)</f>
        <v/>
      </c>
      <c r="AB155" s="63" t="str">
        <f aca="false">IF(O155&lt;&gt;"Activo","",ROUND(MAX(0,IF(AA155&lt;=0,0,WORKDAY(FECHA_CORTE,INT(AA155),FERIADOS)-FECHA_CORTE+(AA155-INT(AA155))))*(Q155+N(K155))/30,0))</f>
        <v/>
      </c>
      <c r="AC155" s="65" t="str">
        <f aca="false">IF(O155&lt;&gt;"Activo","",IF(DATEDIF(F155,FECHA_CORTE+1,"y")&lt;1,0,MIN(TOPE_ANIOS,DATEDIF(F155,FECHA_CORTE+1,"y")+IF(EDATE(F155,12*DATEDIF(F155,FECHA_CORTE+1,"y")+6)&lt;FECHA_CORTE+1,1,0))))</f>
        <v/>
      </c>
      <c r="AD155" s="69" t="str">
        <f aca="false">IF(O155&lt;&gt;"Activo","",AB155+IF(R155="Obra o faena",0,ROUND(AL155*AC155,0)+ROUND(AL155,0)))</f>
        <v/>
      </c>
      <c r="AE155" s="69" t="str">
        <f aca="false">IF(O155&lt;&gt;"Activo","",AB155)</f>
        <v/>
      </c>
      <c r="AF155" s="69" t="str">
        <f aca="false">IF(AN155="","",IF(ISNUMBER(AJ155),"",ROUND(MAX(0,IF(AN155&lt;=0,0,WORKDAY(U155,INT(AN155),FERIADOS)-U155+(AN155-INT(AN155))))*(Q155+N(K155))/30,0)+IF(R155="Obra o faena",ROUND(OBRA_DIAS*AL155/30*(DATEDIF(F155,U155+1,"m")+IF(U155+1-EDATE(F155,DATEDIF(F155,U155+1,"m"))&gt;15,1,0)),0),0)))</f>
        <v/>
      </c>
      <c r="AG155" s="62" t="str">
        <f aca="false">IF(B155="","",IFERROR(VALUE(LEFT(UPPER(SUBSTITUTE(SUBSTITUTE(SUBSTITUTE(TRIM(B155),".",""),"-","")," ","")),LEN(UPPER(SUBSTITUTE(SUBSTITUTE(SUBSTITUTE(TRIM(B155),".",""),"-","")," ","")))-1))&amp;RIGHT(UPPER(SUBSTITUTE(SUBSTITUTE(SUBSTITUTE(TRIM(B155),".",""),"-","")," ","")),1),UPPER(SUBSTITUTE(SUBSTITUTE(SUBSTITUTE(TRIM(B155),".",""),"-","")," ",""))))</f>
        <v/>
      </c>
      <c r="AH155" s="62" t="str">
        <f aca="false">IF(B155="","",COUNTIFS(C_RUTN,AG155,C_DEF,"Sí",C_INI,"&lt;="&amp;FECHA_CORTE))</f>
        <v/>
      </c>
      <c r="AI155" s="62" t="str">
        <f aca="false">IF(B155="","",COUNTIFS(C_RUTN,AG155,C_DEF,"Sí"))</f>
        <v/>
      </c>
      <c r="AJ155" s="66" t="str">
        <f aca="false">IF(OR(B155="",N(AI155)&lt;=N(AH155)),"",IFERROR(INDEX(C_INI,MATCH(AG155&amp;"-P"&amp;(AH155+1),C_CLAVE,0)),""))</f>
        <v/>
      </c>
      <c r="AK155" s="63" t="str">
        <f aca="false">IF(O155&lt;&gt;"Activo","",Q155+N(K155)+IF(L155="Sí",MIN(GRAT_PCT*(Q155+N(K155)),GRAT_TOPE),0)+N(I155)+N(J155))</f>
        <v/>
      </c>
      <c r="AL155" s="63" t="str">
        <f aca="false">IF(O155&lt;&gt;"Activo","",MIN(AK155,TOPE_IAS_UF*UF_MES))</f>
        <v/>
      </c>
      <c r="AM155" s="62" t="str">
        <f aca="false">IF(AND(O155="Activo",ISNUMBER(V155),W155&lt;&gt;"Renovación registrada"),V155+ROW()/100000,"")</f>
        <v/>
      </c>
      <c r="AN155" s="70" t="str">
        <f aca="false">IF(OR(O155&lt;&gt;"Activo",NOT(ISNUMBER(U155))),"",IF(U155&lt;FECHA_CORTE,"",1.25*(DATEDIF(F155,U155+1,"m")+(U155+1-EDATE(F155,DATEDIF(F155,U155+1,"m")))/30)-Z155))</f>
        <v/>
      </c>
      <c r="AO155" s="66" t="str">
        <f aca="false">IF(OR(B155="",NOT(ISNUMBER(F155))),"",IF(N(G155)&gt;0,MIN(G155,FECHA_CORTE),FECHA_CORTE))</f>
        <v/>
      </c>
    </row>
    <row r="156" customFormat="false" ht="15" hidden="false" customHeight="false" outlineLevel="0" collapsed="false">
      <c r="B156" s="58"/>
      <c r="C156" s="58"/>
      <c r="D156" s="58"/>
      <c r="E156" s="58"/>
      <c r="F156" s="59"/>
      <c r="G156" s="59"/>
      <c r="H156" s="58"/>
      <c r="I156" s="60"/>
      <c r="J156" s="60"/>
      <c r="K156" s="60"/>
      <c r="L156" s="58"/>
      <c r="M156" s="61"/>
      <c r="N156" s="58"/>
      <c r="O156" s="62" t="str">
        <f aca="false">IF(B156="","",IF(NOT(ISNUMBER(F156)),"⚠ Falta ingreso",IF(F156&gt;FECHA_CORTE,"Por ingresar",IF(G156="","Activo",IF(G156&lt;FECHA_CORTE,"Desvinculado","Activo")))))</f>
        <v/>
      </c>
      <c r="P156" s="62" t="str">
        <f aca="false">IF(OR(B156="",NOT(ISNUMBER(F156))),"",IF(F156&gt;FECHA_CORTE,"",DATEDIF(F156,IF(G156="",FECHA_CORTE,MIN(G156,FECHA_CORTE))+1,"y")&amp;" a "&amp;DATEDIF(F156,IF(G156="",FECHA_CORTE,MIN(G156,FECHA_CORTE))+1,"ym")&amp;" m"))</f>
        <v/>
      </c>
      <c r="Q156" s="63" t="str">
        <f aca="false">IF(B156="","",IFERROR(INDEX(C_SUELDO,MATCH(AG156&amp;"-S"&amp;MAX(1,COUNTIFS(C_RUTN,AG156,C_SUELDO,"&lt;&gt;",C_INI,"&lt;="&amp;FECHA_CORTE)),C_CLAVES,0)),0))</f>
        <v/>
      </c>
      <c r="R156" s="62" t="str">
        <f aca="false">IF(B156="","",IF(N(AI156)=0,"Sin contrato",IFERROR(INDEX(C_TIPO,MATCH(AG156&amp;"-P"&amp;MAX(1,AH156),C_CLAVE,0))&amp;"","")))</f>
        <v/>
      </c>
      <c r="S156" s="64" t="str">
        <f aca="false">IF(R156="Plazo fijo",IFERROR(INDEX(C_NPF,MATCH(AG156&amp;"-P"&amp;MAX(1,AH156),C_CLAVE,0)),""),"")</f>
        <v/>
      </c>
      <c r="T156" s="65" t="str">
        <f aca="false">IF(B156="","",COUNTIFS(C_RUTN,AG156,C_TIPODOC,"Anexo de modificación"))</f>
        <v/>
      </c>
      <c r="U156" s="66" t="str">
        <f aca="false">IF(AND(OR(R156="Plazo fijo",R156="Obra o faena"),O156&lt;&gt;"Desvinculado"),IFERROR(IF(N(INDEX(C_TER,MATCH(AG156&amp;"-P"&amp;MAX(1,AH156),C_CLAVE,0)))=0,"",INDEX(C_TER,MATCH(AG156&amp;"-P"&amp;MAX(1,AH156),C_CLAVE,0))),""),"")</f>
        <v/>
      </c>
      <c r="V156" s="67" t="str">
        <f aca="false">IF(ISNUMBER(U156),U156-FECHA_CORTE,"")</f>
        <v/>
      </c>
      <c r="W156" s="62" t="str">
        <f aca="false">IF(B156="","",IF(O156="Desvinculado","Terminado",IF(N(AI156)=0,"Sin contrato registrado",IF(O156="Por ingresar","Por ingresar",IF(ISNUMBER(AJ156),"Renovación registrada",IF(R156="Indefinido","Indefinido",IF(NOT(ISNUMBER(V156)),"Falta fecha de término",IF(V156&lt;0,"VENCIDO",IF(V156&lt;=ALERTA_ROJA,"Vence en ≤ "&amp;ALERTA_ROJA&amp;" días",IF(V156&lt;=ALERTA_NARANJA,"Vence en ≤ "&amp;ALERTA_NARANJA&amp;" días",IF(V156&lt;=ALERTA_AMARILLA,"Vence en ≤ "&amp;ALERTA_AMARILLA&amp;" días","Vigente")))))))))))</f>
        <v/>
      </c>
      <c r="X156" s="62" t="str">
        <f aca="false">IF(B156="","",IF(W156="Terminado","—",IF(W156="Sin contrato registrado","Registrar su contrato en la hoja Contratos",IF(W156="Por ingresar","Tener el contrato firmado antes del ingreso",IF(W156="Renovación registrada","Siguiente contrato ya registrado: verificar que esté firmado",IF(R156="Indefinido","Sin vencimiento. Cambios de sueldo o cargo: anexo de modificación",IF(W156="Falta fecha de término","Completar la fecha de término en Contratos",IF(W156="VENCIDO","Sigue trabajando con plazo vencido: por ley ya es INDEFINIDO. Firmar anexo de paso a indefinido",IF(R156="Obra o faena","Al terminar la obra: finiquito + 2,5 días de sueldo por mes trabajado",IF(N(S156)&gt;=2,"2° contrato a plazo: NO se puede renovar otra vez a plazo fijo. Pasar a indefinido o terminar al vencer","1er contrato a plazo: renovar (2° contrato), pasar a indefinido o terminar al vencer"))))))))))</f>
        <v/>
      </c>
      <c r="Y156" s="68" t="str">
        <f aca="false">IF(O156&lt;&gt;"Activo","",ROUND(1.25*(DATEDIF(F156,AO156+1,"m")+(AO156+1-EDATE(F156,DATEDIF(F156,AO156+1,"m")))/30),2))</f>
        <v/>
      </c>
      <c r="Z156" s="68" t="str">
        <f aca="false">IF(O156&lt;&gt;"Activo","",N(M156)+SUMIFS(M_VAC,M_RUTN,AG156,M_MES,"&lt;="&amp;FECHA_CORTE))</f>
        <v/>
      </c>
      <c r="AA156" s="68" t="str">
        <f aca="false">IF(O156&lt;&gt;"Activo","",Y156-Z156)</f>
        <v/>
      </c>
      <c r="AB156" s="63" t="str">
        <f aca="false">IF(O156&lt;&gt;"Activo","",ROUND(MAX(0,IF(AA156&lt;=0,0,WORKDAY(FECHA_CORTE,INT(AA156),FERIADOS)-FECHA_CORTE+(AA156-INT(AA156))))*(Q156+N(K156))/30,0))</f>
        <v/>
      </c>
      <c r="AC156" s="65" t="str">
        <f aca="false">IF(O156&lt;&gt;"Activo","",IF(DATEDIF(F156,FECHA_CORTE+1,"y")&lt;1,0,MIN(TOPE_ANIOS,DATEDIF(F156,FECHA_CORTE+1,"y")+IF(EDATE(F156,12*DATEDIF(F156,FECHA_CORTE+1,"y")+6)&lt;FECHA_CORTE+1,1,0))))</f>
        <v/>
      </c>
      <c r="AD156" s="69" t="str">
        <f aca="false">IF(O156&lt;&gt;"Activo","",AB156+IF(R156="Obra o faena",0,ROUND(AL156*AC156,0)+ROUND(AL156,0)))</f>
        <v/>
      </c>
      <c r="AE156" s="69" t="str">
        <f aca="false">IF(O156&lt;&gt;"Activo","",AB156)</f>
        <v/>
      </c>
      <c r="AF156" s="69" t="str">
        <f aca="false">IF(AN156="","",IF(ISNUMBER(AJ156),"",ROUND(MAX(0,IF(AN156&lt;=0,0,WORKDAY(U156,INT(AN156),FERIADOS)-U156+(AN156-INT(AN156))))*(Q156+N(K156))/30,0)+IF(R156="Obra o faena",ROUND(OBRA_DIAS*AL156/30*(DATEDIF(F156,U156+1,"m")+IF(U156+1-EDATE(F156,DATEDIF(F156,U156+1,"m"))&gt;15,1,0)),0),0)))</f>
        <v/>
      </c>
      <c r="AG156" s="62" t="str">
        <f aca="false">IF(B156="","",IFERROR(VALUE(LEFT(UPPER(SUBSTITUTE(SUBSTITUTE(SUBSTITUTE(TRIM(B156),".",""),"-","")," ","")),LEN(UPPER(SUBSTITUTE(SUBSTITUTE(SUBSTITUTE(TRIM(B156),".",""),"-","")," ","")))-1))&amp;RIGHT(UPPER(SUBSTITUTE(SUBSTITUTE(SUBSTITUTE(TRIM(B156),".",""),"-","")," ","")),1),UPPER(SUBSTITUTE(SUBSTITUTE(SUBSTITUTE(TRIM(B156),".",""),"-","")," ",""))))</f>
        <v/>
      </c>
      <c r="AH156" s="62" t="str">
        <f aca="false">IF(B156="","",COUNTIFS(C_RUTN,AG156,C_DEF,"Sí",C_INI,"&lt;="&amp;FECHA_CORTE))</f>
        <v/>
      </c>
      <c r="AI156" s="62" t="str">
        <f aca="false">IF(B156="","",COUNTIFS(C_RUTN,AG156,C_DEF,"Sí"))</f>
        <v/>
      </c>
      <c r="AJ156" s="66" t="str">
        <f aca="false">IF(OR(B156="",N(AI156)&lt;=N(AH156)),"",IFERROR(INDEX(C_INI,MATCH(AG156&amp;"-P"&amp;(AH156+1),C_CLAVE,0)),""))</f>
        <v/>
      </c>
      <c r="AK156" s="63" t="str">
        <f aca="false">IF(O156&lt;&gt;"Activo","",Q156+N(K156)+IF(L156="Sí",MIN(GRAT_PCT*(Q156+N(K156)),GRAT_TOPE),0)+N(I156)+N(J156))</f>
        <v/>
      </c>
      <c r="AL156" s="63" t="str">
        <f aca="false">IF(O156&lt;&gt;"Activo","",MIN(AK156,TOPE_IAS_UF*UF_MES))</f>
        <v/>
      </c>
      <c r="AM156" s="62" t="str">
        <f aca="false">IF(AND(O156="Activo",ISNUMBER(V156),W156&lt;&gt;"Renovación registrada"),V156+ROW()/100000,"")</f>
        <v/>
      </c>
      <c r="AN156" s="70" t="str">
        <f aca="false">IF(OR(O156&lt;&gt;"Activo",NOT(ISNUMBER(U156))),"",IF(U156&lt;FECHA_CORTE,"",1.25*(DATEDIF(F156,U156+1,"m")+(U156+1-EDATE(F156,DATEDIF(F156,U156+1,"m")))/30)-Z156))</f>
        <v/>
      </c>
      <c r="AO156" s="66" t="str">
        <f aca="false">IF(OR(B156="",NOT(ISNUMBER(F156))),"",IF(N(G156)&gt;0,MIN(G156,FECHA_CORTE),FECHA_CORTE))</f>
        <v/>
      </c>
    </row>
    <row r="157" customFormat="false" ht="15" hidden="false" customHeight="false" outlineLevel="0" collapsed="false">
      <c r="B157" s="46" t="s">
        <v>127</v>
      </c>
      <c r="C157" s="46"/>
      <c r="D157" s="46"/>
      <c r="E157" s="46"/>
      <c r="F157" s="71"/>
      <c r="G157" s="71"/>
      <c r="H157" s="46"/>
      <c r="I157" s="49"/>
      <c r="J157" s="49"/>
      <c r="K157" s="49"/>
      <c r="L157" s="46"/>
      <c r="M157" s="72"/>
      <c r="N157" s="46"/>
      <c r="O157" s="46"/>
      <c r="P157" s="46"/>
      <c r="Q157" s="49"/>
      <c r="R157" s="46"/>
      <c r="S157" s="73"/>
      <c r="T157" s="74"/>
      <c r="U157" s="71"/>
      <c r="V157" s="75"/>
      <c r="W157" s="46"/>
      <c r="X157" s="46"/>
      <c r="Y157" s="47"/>
      <c r="Z157" s="47"/>
      <c r="AA157" s="47"/>
      <c r="AB157" s="49" t="n">
        <f aca="false">SUM(AB7:AB156)</f>
        <v>2430844</v>
      </c>
      <c r="AC157" s="74"/>
      <c r="AD157" s="49" t="n">
        <f aca="false">SUM(AD7:AD156)</f>
        <v>19932149</v>
      </c>
      <c r="AE157" s="49" t="n">
        <f aca="false">SUM(AE7:AE156)</f>
        <v>2430844</v>
      </c>
      <c r="AF157" s="49" t="n">
        <f aca="false">SUM(AF7:AF156)</f>
        <v>935583</v>
      </c>
    </row>
  </sheetData>
  <autoFilter ref="B6:AF156"/>
  <conditionalFormatting sqref="B7:AF156">
    <cfRule type="expression" priority="2" aboveAverage="0" equalAverage="0" bottom="0" percent="0" rank="0" text="" dxfId="21">
      <formula>$O7="Desvinculado"</formula>
    </cfRule>
  </conditionalFormatting>
  <conditionalFormatting sqref="B7:B156">
    <cfRule type="expression" priority="3" aboveAverage="0" equalAverage="0" bottom="0" percent="0" rank="0" text="" dxfId="1">
      <formula>AND($B7&lt;&gt;"",COUNTIF(T_RUTN,$AG7)&gt;1)</formula>
    </cfRule>
  </conditionalFormatting>
  <conditionalFormatting sqref="U7:W156">
    <cfRule type="expression" priority="4" aboveAverage="0" equalAverage="0" bottom="0" percent="0" rank="0" text="" dxfId="0">
      <formula>$W7="VENCIDO"</formula>
    </cfRule>
    <cfRule type="expression" priority="5" aboveAverage="0" equalAverage="0" bottom="0" percent="0" rank="0" text="" dxfId="1">
      <formula>AND(ISNUMBER($V7),$V7&lt;=ALERTA_ROJA,$W7&lt;&gt;"Renovación registrada")</formula>
    </cfRule>
    <cfRule type="expression" priority="6" aboveAverage="0" equalAverage="0" bottom="0" percent="0" rank="0" text="" dxfId="22">
      <formula>AND(ISNUMBER($V7),$V7&lt;=ALERTA_NARANJA,$W7&lt;&gt;"Renovación registrada")</formula>
    </cfRule>
    <cfRule type="expression" priority="7" aboveAverage="0" equalAverage="0" bottom="0" percent="0" rank="0" text="" dxfId="23">
      <formula>AND(ISNUMBER($V7),$V7&lt;=ALERTA_AMARILLA,$W7&lt;&gt;"Renovación registrada")</formula>
    </cfRule>
    <cfRule type="expression" priority="8" aboveAverage="0" equalAverage="0" bottom="0" percent="0" rank="0" text="" dxfId="4">
      <formula>OR($W7="Indefinido",$W7="Vigente",$W7="Renovación registrada")</formula>
    </cfRule>
  </conditionalFormatting>
  <conditionalFormatting sqref="S7:S156">
    <cfRule type="expression" priority="9" aboveAverage="0" equalAverage="0" bottom="0" percent="0" rank="0" text="" dxfId="2">
      <formula>N($S7)&gt;=2</formula>
    </cfRule>
  </conditionalFormatting>
  <conditionalFormatting sqref="AA7:AA156">
    <cfRule type="expression" priority="10" aboveAverage="0" equalAverage="0" bottom="0" percent="0" rank="0" text="" dxfId="1">
      <formula>AND(ISNUMBER($AA7),$AA7&gt;30)</formula>
    </cfRule>
  </conditionalFormatting>
  <dataValidations count="4">
    <dataValidation allowBlank="true" error="Seleccione un valor de la lista desplegable." errorStyle="stop" errorTitle="Valor no válido" operator="between" showDropDown="false" showErrorMessage="true" showInputMessage="false" sqref="E7:E156" type="list">
      <formula1>LS_AREAS</formula1>
      <formula2>0</formula2>
    </dataValidation>
    <dataValidation allowBlank="true" error="Seleccione un valor de la lista desplegable." errorStyle="stop" errorTitle="Valor no válido" operator="between" showDropDown="false" showErrorMessage="true" showInputMessage="false" sqref="H7:H156" type="list">
      <formula1>LS_CAUSALES</formula1>
      <formula2>0</formula2>
    </dataValidation>
    <dataValidation allowBlank="true" error="Seleccione un valor de la lista desplegable." errorStyle="stop" errorTitle="Valor no válido" operator="between" showDropDown="false" showErrorMessage="true" showInputMessage="false" sqref="L7:L156" type="list">
      <formula1>LS_SINO</formula1>
      <formula2>0</formula2>
    </dataValidation>
    <dataValidation allowBlank="true" error="Ingrese una fecha (dd-mm-aaaa)." errorStyle="stop" errorTitle="Fecha no válida" operator="between" showDropDown="false" showErrorMessage="true" showInputMessage="false" sqref="F7:G156" type="date">
      <formula1>32874</formula1>
      <formula2>73051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6C23"/>
    <pageSetUpPr fitToPage="false"/>
  </sheetPr>
  <dimension ref="B2:V3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7" min="11" style="0" width="11"/>
    <col collapsed="false" customWidth="true" hidden="false" outlineLevel="0" max="18" min="18" style="0" width="26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34"/>
    <col collapsed="false" customWidth="true" hidden="true" outlineLevel="0" max="22" min="22" style="0" width="10"/>
  </cols>
  <sheetData>
    <row r="2" customFormat="false" ht="24" hidden="false" customHeight="true" outlineLevel="0" collapsed="false">
      <c r="B2" s="1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5.75" hidden="false" customHeight="true" outlineLevel="0" collapsed="false">
      <c r="B3" s="3" t="s">
        <v>129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customFormat="false" ht="15" hidden="false" customHeight="false" outlineLevel="0" collapsed="false">
      <c r="B4" s="52" t="s">
        <v>130</v>
      </c>
    </row>
    <row r="5" customFormat="false" ht="15" hidden="false" customHeight="false" outlineLevel="0" collapsed="false">
      <c r="B5" s="53" t="s">
        <v>131</v>
      </c>
      <c r="C5" s="54"/>
      <c r="D5" s="54"/>
      <c r="E5" s="76" t="s">
        <v>132</v>
      </c>
      <c r="F5" s="77"/>
      <c r="G5" s="77"/>
      <c r="H5" s="77"/>
      <c r="I5" s="77"/>
      <c r="J5" s="77"/>
      <c r="K5" s="53" t="s">
        <v>133</v>
      </c>
      <c r="L5" s="54"/>
      <c r="M5" s="78" t="s">
        <v>134</v>
      </c>
      <c r="N5" s="79"/>
      <c r="O5" s="79"/>
      <c r="P5" s="79"/>
      <c r="Q5" s="79"/>
      <c r="R5" s="53"/>
      <c r="S5" s="55" t="s">
        <v>135</v>
      </c>
      <c r="T5" s="56"/>
      <c r="U5" s="56"/>
    </row>
    <row r="6" customFormat="false" ht="43.5" hidden="false" customHeight="true" outlineLevel="0" collapsed="false">
      <c r="B6" s="57" t="s">
        <v>39</v>
      </c>
      <c r="C6" s="57" t="s">
        <v>64</v>
      </c>
      <c r="D6" s="40" t="s">
        <v>136</v>
      </c>
      <c r="E6" s="57" t="s">
        <v>137</v>
      </c>
      <c r="F6" s="57" t="s">
        <v>138</v>
      </c>
      <c r="G6" s="57" t="s">
        <v>139</v>
      </c>
      <c r="H6" s="57" t="s">
        <v>140</v>
      </c>
      <c r="I6" s="57" t="s">
        <v>141</v>
      </c>
      <c r="J6" s="57" t="s">
        <v>142</v>
      </c>
      <c r="K6" s="57" t="s">
        <v>143</v>
      </c>
      <c r="L6" s="57" t="s">
        <v>144</v>
      </c>
      <c r="M6" s="57" t="s">
        <v>145</v>
      </c>
      <c r="N6" s="57" t="s">
        <v>146</v>
      </c>
      <c r="O6" s="57" t="s">
        <v>147</v>
      </c>
      <c r="P6" s="57" t="s">
        <v>148</v>
      </c>
      <c r="Q6" s="57" t="s">
        <v>149</v>
      </c>
      <c r="R6" s="57" t="s">
        <v>75</v>
      </c>
      <c r="S6" s="40" t="s">
        <v>78</v>
      </c>
      <c r="T6" s="40" t="s">
        <v>150</v>
      </c>
      <c r="U6" s="40" t="s">
        <v>151</v>
      </c>
      <c r="V6" s="40" t="s">
        <v>91</v>
      </c>
    </row>
    <row r="7" customFormat="false" ht="15" hidden="false" customHeight="false" outlineLevel="0" collapsed="false">
      <c r="B7" s="80" t="n">
        <v>45689</v>
      </c>
      <c r="C7" s="58" t="s">
        <v>114</v>
      </c>
      <c r="D7" s="62" t="str">
        <f aca="false">IF(C7="","",IFERROR(INDEX(T_NOMBRE,MATCH(V7,T_RUTN,0)),"⚠ RUT no está en Trabajadores"))</f>
        <v>Pedro Muñoz (EJEMPLO)</v>
      </c>
      <c r="E7" s="61"/>
      <c r="F7" s="61"/>
      <c r="G7" s="61"/>
      <c r="H7" s="61" t="n">
        <v>10</v>
      </c>
      <c r="I7" s="81"/>
      <c r="J7" s="81"/>
      <c r="K7" s="60"/>
      <c r="L7" s="60"/>
      <c r="M7" s="60"/>
      <c r="N7" s="60"/>
      <c r="O7" s="60"/>
      <c r="P7" s="60"/>
      <c r="Q7" s="60"/>
      <c r="R7" s="58" t="s">
        <v>152</v>
      </c>
      <c r="S7" s="62" t="str">
        <f aca="false">IF(OR(B7="",V7=""),"",IFERROR(INDEX(C_TIPO,MATCH(V7&amp;"-P"&amp;MAX(1,COUNTIFS(C_RUTN,V7,C_DEF,"Sí",C_INI,"&lt;="&amp;EOMONTH(B7,0))),C_CLAVE,0))&amp;"","Sin contrato"))</f>
        <v>Indefinido</v>
      </c>
      <c r="T7" s="63" t="str">
        <f aca="false">IF(OR(B7="",N(O7)=0),"",N(O7)+ROUND(MIN(N(N7),TOPE_UF*UF_MES)*(TASA_EMP+MUTUAL),0)+ROUND(MIN(N(N7),TOPE_AFC_UF*UF_MES)*IF(S7="Indefinido",AFC_INDEF,AFC_PF),0))</f>
        <v/>
      </c>
      <c r="U7" s="62" t="str">
        <f aca="false">IF(C7="","",IF(LEFT(D7,1)="⚠","⚠ RUT no registrado en Trabajadores",IF(B7="","⚠ Falta el mes",IF(OR(ISTEXT(I7),ISTEXT(J7)),"⚠ Atrasos u horas extra como texto: escriba hh:mm (ej. 1:30)",IF(AND(ISNUMBER(Q7),COUNTIFS(M_RUTN,V7,M_MES,B7,M_LIQ,"&lt;&gt;")&gt;1),"⚠ Liquidación repetida en el mes",IF(AND(ISNUMBER(O7),ISNUMBER(P7),ISNUMBER(Q7),ABS(O7-P7-Q7)&gt;1),"⚠ Haberes − descuentos no da el líquido","OK"))))))</f>
        <v>OK</v>
      </c>
      <c r="V7" s="62" t="str">
        <f aca="false">IF(C7="","",IFERROR(VALUE(LEFT(UPPER(SUBSTITUTE(SUBSTITUTE(SUBSTITUTE(TRIM(C7),".",""),"-","")," ","")),LEN(UPPER(SUBSTITUTE(SUBSTITUTE(SUBSTITUTE(TRIM(C7),".",""),"-","")," ","")))-1))&amp;RIGHT(UPPER(SUBSTITUTE(SUBSTITUTE(SUBSTITUTE(TRIM(C7),".",""),"-","")," ","")),1),UPPER(SUBSTITUTE(SUBSTITUTE(SUBSTITUTE(TRIM(C7),".",""),"-","")," ",""))))</f>
        <v>444444444</v>
      </c>
    </row>
    <row r="8" customFormat="false" ht="15" hidden="false" customHeight="false" outlineLevel="0" collapsed="false">
      <c r="B8" s="80" t="n">
        <v>46023</v>
      </c>
      <c r="C8" s="58" t="s">
        <v>100</v>
      </c>
      <c r="D8" s="62" t="str">
        <f aca="false">IF(C8="","",IFERROR(INDEX(T_NOMBRE,MATCH(V8,T_RUTN,0)),"⚠ RUT no está en Trabajadores"))</f>
        <v>María Soto (EJEMPLO)</v>
      </c>
      <c r="E8" s="61"/>
      <c r="F8" s="61"/>
      <c r="G8" s="61"/>
      <c r="H8" s="61" t="n">
        <v>10</v>
      </c>
      <c r="I8" s="81"/>
      <c r="J8" s="81"/>
      <c r="K8" s="60"/>
      <c r="L8" s="60"/>
      <c r="M8" s="60"/>
      <c r="N8" s="60"/>
      <c r="O8" s="60"/>
      <c r="P8" s="60"/>
      <c r="Q8" s="60"/>
      <c r="R8" s="58" t="s">
        <v>153</v>
      </c>
      <c r="S8" s="62" t="str">
        <f aca="false">IF(OR(B8="",V8=""),"",IFERROR(INDEX(C_TIPO,MATCH(V8&amp;"-P"&amp;MAX(1,COUNTIFS(C_RUTN,V8,C_DEF,"Sí",C_INI,"&lt;="&amp;EOMONTH(B8,0))),C_CLAVE,0))&amp;"","Sin contrato"))</f>
        <v>Indefinido</v>
      </c>
      <c r="T8" s="63" t="str">
        <f aca="false">IF(OR(B8="",N(O8)=0),"",N(O8)+ROUND(MIN(N(N8),TOPE_UF*UF_MES)*(TASA_EMP+MUTUAL),0)+ROUND(MIN(N(N8),TOPE_AFC_UF*UF_MES)*IF(S8="Indefinido",AFC_INDEF,AFC_PF),0))</f>
        <v/>
      </c>
      <c r="U8" s="62" t="str">
        <f aca="false">IF(C8="","",IF(LEFT(D8,1)="⚠","⚠ RUT no registrado en Trabajadores",IF(B8="","⚠ Falta el mes",IF(OR(ISTEXT(I8),ISTEXT(J8)),"⚠ Atrasos u horas extra como texto: escriba hh:mm (ej. 1:30)",IF(AND(ISNUMBER(Q8),COUNTIFS(M_RUTN,V8,M_MES,B8,M_LIQ,"&lt;&gt;")&gt;1),"⚠ Liquidación repetida en el mes",IF(AND(ISNUMBER(O8),ISNUMBER(P8),ISNUMBER(Q8),ABS(O8-P8-Q8)&gt;1),"⚠ Haberes − descuentos no da el líquido","OK"))))))</f>
        <v>OK</v>
      </c>
      <c r="V8" s="62" t="str">
        <f aca="false">IF(C8="","",IFERROR(VALUE(LEFT(UPPER(SUBSTITUTE(SUBSTITUTE(SUBSTITUTE(TRIM(C8),".",""),"-","")," ","")),LEN(UPPER(SUBSTITUTE(SUBSTITUTE(SUBSTITUTE(TRIM(C8),".",""),"-","")," ","")))-1))&amp;RIGHT(UPPER(SUBSTITUTE(SUBSTITUTE(SUBSTITUTE(TRIM(C8),".",""),"-","")," ","")),1),UPPER(SUBSTITUTE(SUBSTITUTE(SUBSTITUTE(TRIM(C8),".",""),"-","")," ",""))))</f>
        <v>111111111</v>
      </c>
    </row>
    <row r="9" customFormat="false" ht="15" hidden="false" customHeight="false" outlineLevel="0" collapsed="false">
      <c r="B9" s="80" t="n">
        <v>46054</v>
      </c>
      <c r="C9" s="58" t="s">
        <v>114</v>
      </c>
      <c r="D9" s="62" t="str">
        <f aca="false">IF(C9="","",IFERROR(INDEX(T_NOMBRE,MATCH(V9,T_RUTN,0)),"⚠ RUT no está en Trabajadores"))</f>
        <v>Pedro Muñoz (EJEMPLO)</v>
      </c>
      <c r="E9" s="61"/>
      <c r="F9" s="61"/>
      <c r="G9" s="61"/>
      <c r="H9" s="61" t="n">
        <v>10</v>
      </c>
      <c r="I9" s="81"/>
      <c r="J9" s="81"/>
      <c r="K9" s="60"/>
      <c r="L9" s="60"/>
      <c r="M9" s="60"/>
      <c r="N9" s="60"/>
      <c r="O9" s="60"/>
      <c r="P9" s="60"/>
      <c r="Q9" s="60"/>
      <c r="R9" s="58" t="s">
        <v>154</v>
      </c>
      <c r="S9" s="62" t="str">
        <f aca="false">IF(OR(B9="",V9=""),"",IFERROR(INDEX(C_TIPO,MATCH(V9&amp;"-P"&amp;MAX(1,COUNTIFS(C_RUTN,V9,C_DEF,"Sí",C_INI,"&lt;="&amp;EOMONTH(B9,0))),C_CLAVE,0))&amp;"","Sin contrato"))</f>
        <v>Indefinido</v>
      </c>
      <c r="T9" s="63" t="str">
        <f aca="false">IF(OR(B9="",N(O9)=0),"",N(O9)+ROUND(MIN(N(N9),TOPE_UF*UF_MES)*(TASA_EMP+MUTUAL),0)+ROUND(MIN(N(N9),TOPE_AFC_UF*UF_MES)*IF(S9="Indefinido",AFC_INDEF,AFC_PF),0))</f>
        <v/>
      </c>
      <c r="U9" s="62" t="str">
        <f aca="false">IF(C9="","",IF(LEFT(D9,1)="⚠","⚠ RUT no registrado en Trabajadores",IF(B9="","⚠ Falta el mes",IF(OR(ISTEXT(I9),ISTEXT(J9)),"⚠ Atrasos u horas extra como texto: escriba hh:mm (ej. 1:30)",IF(AND(ISNUMBER(Q9),COUNTIFS(M_RUTN,V9,M_MES,B9,M_LIQ,"&lt;&gt;")&gt;1),"⚠ Liquidación repetida en el mes",IF(AND(ISNUMBER(O9),ISNUMBER(P9),ISNUMBER(Q9),ABS(O9-P9-Q9)&gt;1),"⚠ Haberes − descuentos no da el líquido","OK"))))))</f>
        <v>OK</v>
      </c>
      <c r="V9" s="62" t="str">
        <f aca="false">IF(C9="","",IFERROR(VALUE(LEFT(UPPER(SUBSTITUTE(SUBSTITUTE(SUBSTITUTE(TRIM(C9),".",""),"-","")," ","")),LEN(UPPER(SUBSTITUTE(SUBSTITUTE(SUBSTITUTE(TRIM(C9),".",""),"-","")," ","")))-1))&amp;RIGHT(UPPER(SUBSTITUTE(SUBSTITUTE(SUBSTITUTE(TRIM(C9),".",""),"-","")," ","")),1),UPPER(SUBSTITUTE(SUBSTITUTE(SUBSTITUTE(TRIM(C9),".",""),"-","")," ",""))))</f>
        <v>444444444</v>
      </c>
    </row>
    <row r="10" customFormat="false" ht="15" hidden="false" customHeight="false" outlineLevel="0" collapsed="false">
      <c r="B10" s="80" t="n">
        <v>46266</v>
      </c>
      <c r="C10" s="58" t="s">
        <v>100</v>
      </c>
      <c r="D10" s="62" t="str">
        <f aca="false">IF(C10="","",IFERROR(INDEX(T_NOMBRE,MATCH(V10,T_RUTN,0)),"⚠ RUT no está en Trabajadores"))</f>
        <v>María Soto (EJEMPLO)</v>
      </c>
      <c r="E10" s="61"/>
      <c r="F10" s="61"/>
      <c r="G10" s="61"/>
      <c r="H10" s="61"/>
      <c r="I10" s="81"/>
      <c r="J10" s="81" t="n">
        <v>0.166666666666667</v>
      </c>
      <c r="K10" s="60" t="n">
        <v>200000</v>
      </c>
      <c r="L10" s="60"/>
      <c r="M10" s="60" t="n">
        <v>1250000</v>
      </c>
      <c r="N10" s="60" t="n">
        <v>1735782</v>
      </c>
      <c r="O10" s="60" t="n">
        <v>1835782</v>
      </c>
      <c r="P10" s="60" t="n">
        <v>596117</v>
      </c>
      <c r="Q10" s="60" t="n">
        <v>1239665</v>
      </c>
      <c r="R10" s="58"/>
      <c r="S10" s="62" t="str">
        <f aca="false">IF(OR(B10="",V10=""),"",IFERROR(INDEX(C_TIPO,MATCH(V10&amp;"-P"&amp;MAX(1,COUNTIFS(C_RUTN,V10,C_DEF,"Sí",C_INI,"&lt;="&amp;EOMONTH(B10,0))),C_CLAVE,0))&amp;"","Sin contrato"))</f>
        <v>Indefinido</v>
      </c>
      <c r="T10" s="63" t="n">
        <f aca="false">IF(OR(B10="",N(O10)=0),"",N(O10)+ROUND(MIN(N(N10),TOPE_UF*UF_MES)*(TASA_EMP+MUTUAL),0)+ROUND(MIN(N(N10),TOPE_AFC_UF*UF_MES)*IF(S10="Indefinido",AFC_INDEF,AFC_PF),0))</f>
        <v>1954336</v>
      </c>
      <c r="U10" s="62" t="str">
        <f aca="false">IF(C10="","",IF(LEFT(D10,1)="⚠","⚠ RUT no registrado en Trabajadores",IF(B10="","⚠ Falta el mes",IF(OR(ISTEXT(I10),ISTEXT(J10)),"⚠ Atrasos u horas extra como texto: escriba hh:mm (ej. 1:30)",IF(AND(ISNUMBER(Q10),COUNTIFS(M_RUTN,V10,M_MES,B10,M_LIQ,"&lt;&gt;")&gt;1),"⚠ Liquidación repetida en el mes",IF(AND(ISNUMBER(O10),ISNUMBER(P10),ISNUMBER(Q10),ABS(O10-P10-Q10)&gt;1),"⚠ Haberes − descuentos no da el líquido","OK"))))))</f>
        <v>OK</v>
      </c>
      <c r="V10" s="62" t="str">
        <f aca="false">IF(C10="","",IFERROR(VALUE(LEFT(UPPER(SUBSTITUTE(SUBSTITUTE(SUBSTITUTE(TRIM(C10),".",""),"-","")," ","")),LEN(UPPER(SUBSTITUTE(SUBSTITUTE(SUBSTITUTE(TRIM(C10),".",""),"-","")," ","")))-1))&amp;RIGHT(UPPER(SUBSTITUTE(SUBSTITUTE(SUBSTITUTE(TRIM(C10),".",""),"-","")," ","")),1),UPPER(SUBSTITUTE(SUBSTITUTE(SUBSTITUTE(TRIM(C10),".",""),"-","")," ",""))))</f>
        <v>111111111</v>
      </c>
    </row>
    <row r="11" customFormat="false" ht="15" hidden="false" customHeight="false" outlineLevel="0" collapsed="false">
      <c r="B11" s="80" t="n">
        <v>46266</v>
      </c>
      <c r="C11" s="58" t="s">
        <v>106</v>
      </c>
      <c r="D11" s="62" t="str">
        <f aca="false">IF(C11="","",IFERROR(INDEX(T_NOMBRE,MATCH(V11,T_RUTN,0)),"⚠ RUT no está en Trabajadores"))</f>
        <v>Juan Pérez (EJEMPLO)</v>
      </c>
      <c r="E11" s="61" t="n">
        <v>1</v>
      </c>
      <c r="F11" s="61"/>
      <c r="G11" s="61"/>
      <c r="H11" s="61"/>
      <c r="I11" s="81" t="n">
        <v>0.03125</v>
      </c>
      <c r="J11" s="81" t="n">
        <v>0.25</v>
      </c>
      <c r="K11" s="60" t="n">
        <v>100000</v>
      </c>
      <c r="L11" s="60"/>
      <c r="M11" s="60" t="n">
        <v>560667</v>
      </c>
      <c r="N11" s="60" t="n">
        <v>833750</v>
      </c>
      <c r="O11" s="60" t="n">
        <v>901417</v>
      </c>
      <c r="P11" s="60" t="n">
        <v>246574</v>
      </c>
      <c r="Q11" s="60" t="n">
        <v>654843</v>
      </c>
      <c r="R11" s="58" t="s">
        <v>155</v>
      </c>
      <c r="S11" s="62" t="str">
        <f aca="false">IF(OR(B11="",V11=""),"",IFERROR(INDEX(C_TIPO,MATCH(V11&amp;"-P"&amp;MAX(1,COUNTIFS(C_RUTN,V11,C_DEF,"Sí",C_INI,"&lt;="&amp;EOMONTH(B11,0))),C_CLAVE,0))&amp;"","Sin contrato"))</f>
        <v>Plazo fijo</v>
      </c>
      <c r="T11" s="63" t="n">
        <f aca="false">IF(OR(B11="",N(O11)=0),"",N(O11)+ROUND(MIN(N(N11),TOPE_UF*UF_MES)*(TASA_EMP+MUTUAL),0)+ROUND(MIN(N(N11),TOPE_AFC_UF*UF_MES)*IF(S11="Indefinido",AFC_INDEF,AFC_PF),0))</f>
        <v>963365</v>
      </c>
      <c r="U11" s="62" t="str">
        <f aca="false">IF(C11="","",IF(LEFT(D11,1)="⚠","⚠ RUT no registrado en Trabajadores",IF(B11="","⚠ Falta el mes",IF(OR(ISTEXT(I11),ISTEXT(J11)),"⚠ Atrasos u horas extra como texto: escriba hh:mm (ej. 1:30)",IF(AND(ISNUMBER(Q11),COUNTIFS(M_RUTN,V11,M_MES,B11,M_LIQ,"&lt;&gt;")&gt;1),"⚠ Liquidación repetida en el mes",IF(AND(ISNUMBER(O11),ISNUMBER(P11),ISNUMBER(Q11),ABS(O11-P11-Q11)&gt;1),"⚠ Haberes − descuentos no da el líquido","OK"))))))</f>
        <v>OK</v>
      </c>
      <c r="V11" s="62" t="str">
        <f aca="false">IF(C11="","",IFERROR(VALUE(LEFT(UPPER(SUBSTITUTE(SUBSTITUTE(SUBSTITUTE(TRIM(C11),".",""),"-","")," ","")),LEN(UPPER(SUBSTITUTE(SUBSTITUTE(SUBSTITUTE(TRIM(C11),".",""),"-","")," ","")))-1))&amp;RIGHT(UPPER(SUBSTITUTE(SUBSTITUTE(SUBSTITUTE(TRIM(C11),".",""),"-","")," ","")),1),UPPER(SUBSTITUTE(SUBSTITUTE(SUBSTITUTE(TRIM(C11),".",""),"-","")," ",""))))</f>
        <v>222222222</v>
      </c>
    </row>
    <row r="12" customFormat="false" ht="15" hidden="false" customHeight="false" outlineLevel="0" collapsed="false">
      <c r="B12" s="80" t="n">
        <v>46266</v>
      </c>
      <c r="C12" s="58" t="s">
        <v>110</v>
      </c>
      <c r="D12" s="62" t="str">
        <f aca="false">IF(C12="","",IFERROR(INDEX(T_NOMBRE,MATCH(V12,T_RUTN,0)),"⚠ RUT no está en Trabajadores"))</f>
        <v>Camila Rojas (EJEMPLO)</v>
      </c>
      <c r="E12" s="61"/>
      <c r="F12" s="61"/>
      <c r="G12" s="61"/>
      <c r="H12" s="61"/>
      <c r="I12" s="81" t="n">
        <v>0.00694444444444444</v>
      </c>
      <c r="J12" s="81"/>
      <c r="K12" s="60"/>
      <c r="L12" s="60"/>
      <c r="M12" s="60" t="n">
        <v>850000</v>
      </c>
      <c r="N12" s="60" t="n">
        <v>1058565</v>
      </c>
      <c r="O12" s="60" t="n">
        <v>1138565</v>
      </c>
      <c r="P12" s="60" t="n">
        <v>184826</v>
      </c>
      <c r="Q12" s="60" t="n">
        <v>953739</v>
      </c>
      <c r="R12" s="58"/>
      <c r="S12" s="62" t="str">
        <f aca="false">IF(OR(B12="",V12=""),"",IFERROR(INDEX(C_TIPO,MATCH(V12&amp;"-P"&amp;MAX(1,COUNTIFS(C_RUTN,V12,C_DEF,"Sí",C_INI,"&lt;="&amp;EOMONTH(B12,0))),C_CLAVE,0))&amp;"","Sin contrato"))</f>
        <v>Plazo fijo</v>
      </c>
      <c r="T12" s="63" t="n">
        <f aca="false">IF(OR(B12="",N(O12)=0),"",N(O12)+ROUND(MIN(N(N12),TOPE_UF*UF_MES)*(TASA_EMP+MUTUAL),0)+ROUND(MIN(N(N12),TOPE_AFC_UF*UF_MES)*IF(S12="Indefinido",AFC_INDEF,AFC_PF),0))</f>
        <v>1217216</v>
      </c>
      <c r="U12" s="62" t="str">
        <f aca="false">IF(C12="","",IF(LEFT(D12,1)="⚠","⚠ RUT no registrado en Trabajadores",IF(B12="","⚠ Falta el mes",IF(OR(ISTEXT(I12),ISTEXT(J12)),"⚠ Atrasos u horas extra como texto: escriba hh:mm (ej. 1:30)",IF(AND(ISNUMBER(Q12),COUNTIFS(M_RUTN,V12,M_MES,B12,M_LIQ,"&lt;&gt;")&gt;1),"⚠ Liquidación repetida en el mes",IF(AND(ISNUMBER(O12),ISNUMBER(P12),ISNUMBER(Q12),ABS(O12-P12-Q12)&gt;1),"⚠ Haberes − descuentos no da el líquido","OK"))))))</f>
        <v>OK</v>
      </c>
      <c r="V12" s="62" t="str">
        <f aca="false">IF(C12="","",IFERROR(VALUE(LEFT(UPPER(SUBSTITUTE(SUBSTITUTE(SUBSTITUTE(TRIM(C12),".",""),"-","")," ","")),LEN(UPPER(SUBSTITUTE(SUBSTITUTE(SUBSTITUTE(TRIM(C12),".",""),"-","")," ","")))-1))&amp;RIGHT(UPPER(SUBSTITUTE(SUBSTITUTE(SUBSTITUTE(TRIM(C12),".",""),"-","")," ","")),1),UPPER(SUBSTITUTE(SUBSTITUTE(SUBSTITUTE(TRIM(C12),".",""),"-","")," ",""))))</f>
        <v>333333333</v>
      </c>
    </row>
    <row r="13" customFormat="false" ht="15" hidden="false" customHeight="false" outlineLevel="0" collapsed="false">
      <c r="B13" s="80" t="n">
        <v>46266</v>
      </c>
      <c r="C13" s="58" t="s">
        <v>114</v>
      </c>
      <c r="D13" s="62" t="str">
        <f aca="false">IF(C13="","",IFERROR(INDEX(T_NOMBRE,MATCH(V13,T_RUTN,0)),"⚠ RUT no está en Trabajadores"))</f>
        <v>Pedro Muñoz (EJEMPLO)</v>
      </c>
      <c r="E13" s="61"/>
      <c r="F13" s="61" t="n">
        <v>3</v>
      </c>
      <c r="G13" s="61"/>
      <c r="H13" s="61"/>
      <c r="I13" s="81"/>
      <c r="J13" s="81" t="n">
        <v>0.0833333333333333</v>
      </c>
      <c r="K13" s="60" t="n">
        <v>150000</v>
      </c>
      <c r="L13" s="60" t="n">
        <v>50000</v>
      </c>
      <c r="M13" s="60" t="n">
        <v>648000</v>
      </c>
      <c r="N13" s="60" t="n">
        <v>870000</v>
      </c>
      <c r="O13" s="60" t="n">
        <v>960740</v>
      </c>
      <c r="P13" s="60" t="n">
        <v>365735</v>
      </c>
      <c r="Q13" s="60" t="n">
        <v>595005</v>
      </c>
      <c r="R13" s="58" t="s">
        <v>156</v>
      </c>
      <c r="S13" s="62" t="str">
        <f aca="false">IF(OR(B13="",V13=""),"",IFERROR(INDEX(C_TIPO,MATCH(V13&amp;"-P"&amp;MAX(1,COUNTIFS(C_RUTN,V13,C_DEF,"Sí",C_INI,"&lt;="&amp;EOMONTH(B13,0))),C_CLAVE,0))&amp;"","Sin contrato"))</f>
        <v>Indefinido</v>
      </c>
      <c r="T13" s="63" t="n">
        <f aca="false">IF(OR(B13="",N(O13)=0),"",N(O13)+ROUND(MIN(N(N13),TOPE_UF*UF_MES)*(TASA_EMP+MUTUAL),0)+ROUND(MIN(N(N13),TOPE_AFC_UF*UF_MES)*IF(S13="Indefinido",AFC_INDEF,AFC_PF),0))</f>
        <v>1020161</v>
      </c>
      <c r="U13" s="62" t="str">
        <f aca="false">IF(C13="","",IF(LEFT(D13,1)="⚠","⚠ RUT no registrado en Trabajadores",IF(B13="","⚠ Falta el mes",IF(OR(ISTEXT(I13),ISTEXT(J13)),"⚠ Atrasos u horas extra como texto: escriba hh:mm (ej. 1:30)",IF(AND(ISNUMBER(Q13),COUNTIFS(M_RUTN,V13,M_MES,B13,M_LIQ,"&lt;&gt;")&gt;1),"⚠ Liquidación repetida en el mes",IF(AND(ISNUMBER(O13),ISNUMBER(P13),ISNUMBER(Q13),ABS(O13-P13-Q13)&gt;1),"⚠ Haberes − descuentos no da el líquido","OK"))))))</f>
        <v>OK</v>
      </c>
      <c r="V13" s="62" t="str">
        <f aca="false">IF(C13="","",IFERROR(VALUE(LEFT(UPPER(SUBSTITUTE(SUBSTITUTE(SUBSTITUTE(TRIM(C13),".",""),"-","")," ","")),LEN(UPPER(SUBSTITUTE(SUBSTITUTE(SUBSTITUTE(TRIM(C13),".",""),"-","")," ","")))-1))&amp;RIGHT(UPPER(SUBSTITUTE(SUBSTITUTE(SUBSTITUTE(TRIM(C13),".",""),"-","")," ","")),1),UPPER(SUBSTITUTE(SUBSTITUTE(SUBSTITUTE(TRIM(C13),".",""),"-","")," ",""))))</f>
        <v>444444444</v>
      </c>
    </row>
    <row r="14" customFormat="false" ht="15" hidden="false" customHeight="false" outlineLevel="0" collapsed="false">
      <c r="B14" s="80" t="n">
        <v>46266</v>
      </c>
      <c r="C14" s="58" t="s">
        <v>118</v>
      </c>
      <c r="D14" s="62" t="str">
        <f aca="false">IF(C14="","",IFERROR(INDEX(T_NOMBRE,MATCH(V14,T_RUTN,0)),"⚠ RUT no está en Trabajadores"))</f>
        <v>Ana Díaz (EJEMPLO)</v>
      </c>
      <c r="E14" s="61"/>
      <c r="F14" s="61"/>
      <c r="G14" s="61"/>
      <c r="H14" s="61"/>
      <c r="I14" s="81"/>
      <c r="J14" s="81"/>
      <c r="K14" s="60"/>
      <c r="L14" s="60"/>
      <c r="M14" s="60" t="n">
        <v>560000</v>
      </c>
      <c r="N14" s="60" t="n">
        <v>700000</v>
      </c>
      <c r="O14" s="60" t="n">
        <v>773870</v>
      </c>
      <c r="P14" s="60" t="n">
        <v>129080</v>
      </c>
      <c r="Q14" s="60" t="n">
        <v>644790</v>
      </c>
      <c r="R14" s="58" t="s">
        <v>157</v>
      </c>
      <c r="S14" s="62" t="str">
        <f aca="false">IF(OR(B14="",V14=""),"",IFERROR(INDEX(C_TIPO,MATCH(V14&amp;"-P"&amp;MAX(1,COUNTIFS(C_RUTN,V14,C_DEF,"Sí",C_INI,"&lt;="&amp;EOMONTH(B14,0))),C_CLAVE,0))&amp;"","Sin contrato"))</f>
        <v>Obra o faena</v>
      </c>
      <c r="T14" s="63" t="n">
        <f aca="false">IF(OR(B14="",N(O14)=0),"",N(O14)+ROUND(MIN(N(N14),TOPE_UF*UF_MES)*(TASA_EMP+MUTUAL),0)+ROUND(MIN(N(N14),TOPE_AFC_UF*UF_MES)*IF(S14="Indefinido",AFC_INDEF,AFC_PF),0))</f>
        <v>825880</v>
      </c>
      <c r="U14" s="62" t="str">
        <f aca="false">IF(C14="","",IF(LEFT(D14,1)="⚠","⚠ RUT no registrado en Trabajadores",IF(B14="","⚠ Falta el mes",IF(OR(ISTEXT(I14),ISTEXT(J14)),"⚠ Atrasos u horas extra como texto: escriba hh:mm (ej. 1:30)",IF(AND(ISNUMBER(Q14),COUNTIFS(M_RUTN,V14,M_MES,B14,M_LIQ,"&lt;&gt;")&gt;1),"⚠ Liquidación repetida en el mes",IF(AND(ISNUMBER(O14),ISNUMBER(P14),ISNUMBER(Q14),ABS(O14-P14-Q14)&gt;1),"⚠ Haberes − descuentos no da el líquido","OK"))))))</f>
        <v>OK</v>
      </c>
      <c r="V14" s="62" t="str">
        <f aca="false">IF(C14="","",IFERROR(VALUE(LEFT(UPPER(SUBSTITUTE(SUBSTITUTE(SUBSTITUTE(TRIM(C14),".",""),"-","")," ","")),LEN(UPPER(SUBSTITUTE(SUBSTITUTE(SUBSTITUTE(TRIM(C14),".",""),"-","")," ","")))-1))&amp;RIGHT(UPPER(SUBSTITUTE(SUBSTITUTE(SUBSTITUTE(TRIM(C14),".",""),"-","")," ","")),1),UPPER(SUBSTITUTE(SUBSTITUTE(SUBSTITUTE(TRIM(C14),".",""),"-","")," ",""))))</f>
        <v>555555555</v>
      </c>
    </row>
    <row r="15" customFormat="false" ht="15" hidden="false" customHeight="false" outlineLevel="0" collapsed="false">
      <c r="B15" s="80" t="n">
        <v>46296</v>
      </c>
      <c r="C15" s="58" t="s">
        <v>100</v>
      </c>
      <c r="D15" s="62" t="str">
        <f aca="false">IF(C15="","",IFERROR(INDEX(T_NOMBRE,MATCH(V15,T_RUTN,0)),"⚠ RUT no está en Trabajadores"))</f>
        <v>María Soto (EJEMPLO)</v>
      </c>
      <c r="E15" s="61"/>
      <c r="F15" s="61"/>
      <c r="G15" s="61"/>
      <c r="H15" s="61"/>
      <c r="I15" s="81"/>
      <c r="J15" s="81"/>
      <c r="K15" s="60" t="n">
        <v>200000</v>
      </c>
      <c r="L15" s="60"/>
      <c r="M15" s="60"/>
      <c r="N15" s="60"/>
      <c r="O15" s="60"/>
      <c r="P15" s="60"/>
      <c r="Q15" s="60"/>
      <c r="R15" s="58" t="s">
        <v>158</v>
      </c>
      <c r="S15" s="62" t="str">
        <f aca="false">IF(OR(B15="",V15=""),"",IFERROR(INDEX(C_TIPO,MATCH(V15&amp;"-P"&amp;MAX(1,COUNTIFS(C_RUTN,V15,C_DEF,"Sí",C_INI,"&lt;="&amp;EOMONTH(B15,0))),C_CLAVE,0))&amp;"","Sin contrato"))</f>
        <v>Indefinido</v>
      </c>
      <c r="T15" s="63" t="str">
        <f aca="false">IF(OR(B15="",N(O15)=0),"",N(O15)+ROUND(MIN(N(N15),TOPE_UF*UF_MES)*(TASA_EMP+MUTUAL),0)+ROUND(MIN(N(N15),TOPE_AFC_UF*UF_MES)*IF(S15="Indefinido",AFC_INDEF,AFC_PF),0))</f>
        <v/>
      </c>
      <c r="U15" s="62" t="str">
        <f aca="false">IF(C15="","",IF(LEFT(D15,1)="⚠","⚠ RUT no registrado en Trabajadores",IF(B15="","⚠ Falta el mes",IF(OR(ISTEXT(I15),ISTEXT(J15)),"⚠ Atrasos u horas extra como texto: escriba hh:mm (ej. 1:30)",IF(AND(ISNUMBER(Q15),COUNTIFS(M_RUTN,V15,M_MES,B15,M_LIQ,"&lt;&gt;")&gt;1),"⚠ Liquidación repetida en el mes",IF(AND(ISNUMBER(O15),ISNUMBER(P15),ISNUMBER(Q15),ABS(O15-P15-Q15)&gt;1),"⚠ Haberes − descuentos no da el líquido","OK"))))))</f>
        <v>OK</v>
      </c>
      <c r="V15" s="62" t="str">
        <f aca="false">IF(C15="","",IFERROR(VALUE(LEFT(UPPER(SUBSTITUTE(SUBSTITUTE(SUBSTITUTE(TRIM(C15),".",""),"-","")," ","")),LEN(UPPER(SUBSTITUTE(SUBSTITUTE(SUBSTITUTE(TRIM(C15),".",""),"-","")," ","")))-1))&amp;RIGHT(UPPER(SUBSTITUTE(SUBSTITUTE(SUBSTITUTE(TRIM(C15),".",""),"-","")," ","")),1),UPPER(SUBSTITUTE(SUBSTITUTE(SUBSTITUTE(TRIM(C15),".",""),"-","")," ",""))))</f>
        <v>111111111</v>
      </c>
    </row>
    <row r="16" customFormat="false" ht="15" hidden="false" customHeight="false" outlineLevel="0" collapsed="false">
      <c r="B16" s="80" t="n">
        <v>46296</v>
      </c>
      <c r="C16" s="58" t="s">
        <v>106</v>
      </c>
      <c r="D16" s="62" t="str">
        <f aca="false">IF(C16="","",IFERROR(INDEX(T_NOMBRE,MATCH(V16,T_RUTN,0)),"⚠ RUT no está en Trabajadores"))</f>
        <v>Juan Pérez (EJEMPLO)</v>
      </c>
      <c r="E16" s="61"/>
      <c r="F16" s="61"/>
      <c r="G16" s="61"/>
      <c r="H16" s="61"/>
      <c r="I16" s="81" t="n">
        <v>0.0138888888888889</v>
      </c>
      <c r="J16" s="81" t="n">
        <v>0.125</v>
      </c>
      <c r="K16" s="60" t="n">
        <v>100000</v>
      </c>
      <c r="L16" s="60"/>
      <c r="M16" s="60"/>
      <c r="N16" s="60"/>
      <c r="O16" s="60"/>
      <c r="P16" s="60"/>
      <c r="Q16" s="60"/>
      <c r="R16" s="58" t="s">
        <v>158</v>
      </c>
      <c r="S16" s="62" t="str">
        <f aca="false">IF(OR(B16="",V16=""),"",IFERROR(INDEX(C_TIPO,MATCH(V16&amp;"-P"&amp;MAX(1,COUNTIFS(C_RUTN,V16,C_DEF,"Sí",C_INI,"&lt;="&amp;EOMONTH(B16,0))),C_CLAVE,0))&amp;"","Sin contrato"))</f>
        <v>Plazo fijo</v>
      </c>
      <c r="T16" s="63" t="str">
        <f aca="false">IF(OR(B16="",N(O16)=0),"",N(O16)+ROUND(MIN(N(N16),TOPE_UF*UF_MES)*(TASA_EMP+MUTUAL),0)+ROUND(MIN(N(N16),TOPE_AFC_UF*UF_MES)*IF(S16="Indefinido",AFC_INDEF,AFC_PF),0))</f>
        <v/>
      </c>
      <c r="U16" s="62" t="str">
        <f aca="false">IF(C16="","",IF(LEFT(D16,1)="⚠","⚠ RUT no registrado en Trabajadores",IF(B16="","⚠ Falta el mes",IF(OR(ISTEXT(I16),ISTEXT(J16)),"⚠ Atrasos u horas extra como texto: escriba hh:mm (ej. 1:30)",IF(AND(ISNUMBER(Q16),COUNTIFS(M_RUTN,V16,M_MES,B16,M_LIQ,"&lt;&gt;")&gt;1),"⚠ Liquidación repetida en el mes",IF(AND(ISNUMBER(O16),ISNUMBER(P16),ISNUMBER(Q16),ABS(O16-P16-Q16)&gt;1),"⚠ Haberes − descuentos no da el líquido","OK"))))))</f>
        <v>OK</v>
      </c>
      <c r="V16" s="62" t="str">
        <f aca="false">IF(C16="","",IFERROR(VALUE(LEFT(UPPER(SUBSTITUTE(SUBSTITUTE(SUBSTITUTE(TRIM(C16),".",""),"-","")," ","")),LEN(UPPER(SUBSTITUTE(SUBSTITUTE(SUBSTITUTE(TRIM(C16),".",""),"-","")," ","")))-1))&amp;RIGHT(UPPER(SUBSTITUTE(SUBSTITUTE(SUBSTITUTE(TRIM(C16),".",""),"-","")," ","")),1),UPPER(SUBSTITUTE(SUBSTITUTE(SUBSTITUTE(TRIM(C16),".",""),"-","")," ",""))))</f>
        <v>222222222</v>
      </c>
    </row>
    <row r="17" customFormat="false" ht="15" hidden="false" customHeight="false" outlineLevel="0" collapsed="false">
      <c r="B17" s="80" t="n">
        <v>46296</v>
      </c>
      <c r="C17" s="58" t="s">
        <v>114</v>
      </c>
      <c r="D17" s="62" t="str">
        <f aca="false">IF(C17="","",IFERROR(INDEX(T_NOMBRE,MATCH(V17,T_RUTN,0)),"⚠ RUT no está en Trabajadores"))</f>
        <v>Pedro Muñoz (EJEMPLO)</v>
      </c>
      <c r="E17" s="61"/>
      <c r="F17" s="61"/>
      <c r="G17" s="61"/>
      <c r="H17" s="61"/>
      <c r="I17" s="81"/>
      <c r="J17" s="81"/>
      <c r="K17" s="60" t="n">
        <v>150000</v>
      </c>
      <c r="L17" s="60" t="n">
        <v>50000</v>
      </c>
      <c r="M17" s="60"/>
      <c r="N17" s="60"/>
      <c r="O17" s="60"/>
      <c r="P17" s="60"/>
      <c r="Q17" s="60"/>
      <c r="R17" s="58" t="s">
        <v>158</v>
      </c>
      <c r="S17" s="62" t="str">
        <f aca="false">IF(OR(B17="",V17=""),"",IFERROR(INDEX(C_TIPO,MATCH(V17&amp;"-P"&amp;MAX(1,COUNTIFS(C_RUTN,V17,C_DEF,"Sí",C_INI,"&lt;="&amp;EOMONTH(B17,0))),C_CLAVE,0))&amp;"","Sin contrato"))</f>
        <v>Indefinido</v>
      </c>
      <c r="T17" s="63" t="str">
        <f aca="false">IF(OR(B17="",N(O17)=0),"",N(O17)+ROUND(MIN(N(N17),TOPE_UF*UF_MES)*(TASA_EMP+MUTUAL),0)+ROUND(MIN(N(N17),TOPE_AFC_UF*UF_MES)*IF(S17="Indefinido",AFC_INDEF,AFC_PF),0))</f>
        <v/>
      </c>
      <c r="U17" s="62" t="str">
        <f aca="false">IF(C17="","",IF(LEFT(D17,1)="⚠","⚠ RUT no registrado en Trabajadores",IF(B17="","⚠ Falta el mes",IF(OR(ISTEXT(I17),ISTEXT(J17)),"⚠ Atrasos u horas extra como texto: escriba hh:mm (ej. 1:30)",IF(AND(ISNUMBER(Q17),COUNTIFS(M_RUTN,V17,M_MES,B17,M_LIQ,"&lt;&gt;")&gt;1),"⚠ Liquidación repetida en el mes",IF(AND(ISNUMBER(O17),ISNUMBER(P17),ISNUMBER(Q17),ABS(O17-P17-Q17)&gt;1),"⚠ Haberes − descuentos no da el líquido","OK"))))))</f>
        <v>OK</v>
      </c>
      <c r="V17" s="62" t="str">
        <f aca="false">IF(C17="","",IFERROR(VALUE(LEFT(UPPER(SUBSTITUTE(SUBSTITUTE(SUBSTITUTE(TRIM(C17),".",""),"-","")," ","")),LEN(UPPER(SUBSTITUTE(SUBSTITUTE(SUBSTITUTE(TRIM(C17),".",""),"-","")," ","")))-1))&amp;RIGHT(UPPER(SUBSTITUTE(SUBSTITUTE(SUBSTITUTE(TRIM(C17),".",""),"-","")," ","")),1),UPPER(SUBSTITUTE(SUBSTITUTE(SUBSTITUTE(TRIM(C17),".",""),"-","")," ",""))))</f>
        <v>444444444</v>
      </c>
    </row>
    <row r="18" customFormat="false" ht="15" hidden="false" customHeight="false" outlineLevel="0" collapsed="false">
      <c r="B18" s="80"/>
      <c r="C18" s="58"/>
      <c r="D18" s="62" t="str">
        <f aca="false">IF(C18="","",IFERROR(INDEX(T_NOMBRE,MATCH(V18,T_RUTN,0)),"⚠ RUT no está en Trabajadores"))</f>
        <v/>
      </c>
      <c r="E18" s="61"/>
      <c r="F18" s="61"/>
      <c r="G18" s="61"/>
      <c r="H18" s="61"/>
      <c r="I18" s="81"/>
      <c r="J18" s="81"/>
      <c r="K18" s="60"/>
      <c r="L18" s="60"/>
      <c r="M18" s="60"/>
      <c r="N18" s="60"/>
      <c r="O18" s="60"/>
      <c r="P18" s="60"/>
      <c r="Q18" s="60"/>
      <c r="R18" s="58"/>
      <c r="S18" s="62" t="str">
        <f aca="false">IF(OR(B18="",V18=""),"",IFERROR(INDEX(C_TIPO,MATCH(V18&amp;"-P"&amp;MAX(1,COUNTIFS(C_RUTN,V18,C_DEF,"Sí",C_INI,"&lt;="&amp;EOMONTH(B18,0))),C_CLAVE,0))&amp;"","Sin contrato"))</f>
        <v/>
      </c>
      <c r="T18" s="63" t="str">
        <f aca="false">IF(OR(B18="",N(O18)=0),"",N(O18)+ROUND(MIN(N(N18),TOPE_UF*UF_MES)*(TASA_EMP+MUTUAL),0)+ROUND(MIN(N(N18),TOPE_AFC_UF*UF_MES)*IF(S18="Indefinido",AFC_INDEF,AFC_PF),0))</f>
        <v/>
      </c>
      <c r="U18" s="62" t="str">
        <f aca="false">IF(C18="","",IF(LEFT(D18,1)="⚠","⚠ RUT no registrado en Trabajadores",IF(B18="","⚠ Falta el mes",IF(OR(ISTEXT(I18),ISTEXT(J18)),"⚠ Atrasos u horas extra como texto: escriba hh:mm (ej. 1:30)",IF(AND(ISNUMBER(Q18),COUNTIFS(M_RUTN,V18,M_MES,B18,M_LIQ,"&lt;&gt;")&gt;1),"⚠ Liquidación repetida en el mes",IF(AND(ISNUMBER(O18),ISNUMBER(P18),ISNUMBER(Q18),ABS(O18-P18-Q18)&gt;1),"⚠ Haberes − descuentos no da el líquido","OK"))))))</f>
        <v/>
      </c>
      <c r="V18" s="62" t="str">
        <f aca="false">IF(C18="","",IFERROR(VALUE(LEFT(UPPER(SUBSTITUTE(SUBSTITUTE(SUBSTITUTE(TRIM(C18),".",""),"-","")," ","")),LEN(UPPER(SUBSTITUTE(SUBSTITUTE(SUBSTITUTE(TRIM(C18),".",""),"-","")," ","")))-1))&amp;RIGHT(UPPER(SUBSTITUTE(SUBSTITUTE(SUBSTITUTE(TRIM(C18),".",""),"-","")," ","")),1),UPPER(SUBSTITUTE(SUBSTITUTE(SUBSTITUTE(TRIM(C18),".",""),"-","")," ",""))))</f>
        <v/>
      </c>
    </row>
    <row r="19" customFormat="false" ht="15" hidden="false" customHeight="false" outlineLevel="0" collapsed="false">
      <c r="B19" s="80"/>
      <c r="C19" s="58"/>
      <c r="D19" s="62" t="str">
        <f aca="false">IF(C19="","",IFERROR(INDEX(T_NOMBRE,MATCH(V19,T_RUTN,0)),"⚠ RUT no está en Trabajadores"))</f>
        <v/>
      </c>
      <c r="E19" s="61"/>
      <c r="F19" s="61"/>
      <c r="G19" s="61"/>
      <c r="H19" s="61"/>
      <c r="I19" s="81"/>
      <c r="J19" s="81"/>
      <c r="K19" s="60"/>
      <c r="L19" s="60"/>
      <c r="M19" s="60"/>
      <c r="N19" s="60"/>
      <c r="O19" s="60"/>
      <c r="P19" s="60"/>
      <c r="Q19" s="60"/>
      <c r="R19" s="58"/>
      <c r="S19" s="62" t="str">
        <f aca="false">IF(OR(B19="",V19=""),"",IFERROR(INDEX(C_TIPO,MATCH(V19&amp;"-P"&amp;MAX(1,COUNTIFS(C_RUTN,V19,C_DEF,"Sí",C_INI,"&lt;="&amp;EOMONTH(B19,0))),C_CLAVE,0))&amp;"","Sin contrato"))</f>
        <v/>
      </c>
      <c r="T19" s="63" t="str">
        <f aca="false">IF(OR(B19="",N(O19)=0),"",N(O19)+ROUND(MIN(N(N19),TOPE_UF*UF_MES)*(TASA_EMP+MUTUAL),0)+ROUND(MIN(N(N19),TOPE_AFC_UF*UF_MES)*IF(S19="Indefinido",AFC_INDEF,AFC_PF),0))</f>
        <v/>
      </c>
      <c r="U19" s="62" t="str">
        <f aca="false">IF(C19="","",IF(LEFT(D19,1)="⚠","⚠ RUT no registrado en Trabajadores",IF(B19="","⚠ Falta el mes",IF(OR(ISTEXT(I19),ISTEXT(J19)),"⚠ Atrasos u horas extra como texto: escriba hh:mm (ej. 1:30)",IF(AND(ISNUMBER(Q19),COUNTIFS(M_RUTN,V19,M_MES,B19,M_LIQ,"&lt;&gt;")&gt;1),"⚠ Liquidación repetida en el mes",IF(AND(ISNUMBER(O19),ISNUMBER(P19),ISNUMBER(Q19),ABS(O19-P19-Q19)&gt;1),"⚠ Haberes − descuentos no da el líquido","OK"))))))</f>
        <v/>
      </c>
      <c r="V19" s="62" t="str">
        <f aca="false">IF(C19="","",IFERROR(VALUE(LEFT(UPPER(SUBSTITUTE(SUBSTITUTE(SUBSTITUTE(TRIM(C19),".",""),"-","")," ","")),LEN(UPPER(SUBSTITUTE(SUBSTITUTE(SUBSTITUTE(TRIM(C19),".",""),"-","")," ","")))-1))&amp;RIGHT(UPPER(SUBSTITUTE(SUBSTITUTE(SUBSTITUTE(TRIM(C19),".",""),"-","")," ","")),1),UPPER(SUBSTITUTE(SUBSTITUTE(SUBSTITUTE(TRIM(C19),".",""),"-","")," ",""))))</f>
        <v/>
      </c>
    </row>
    <row r="20" customFormat="false" ht="15" hidden="false" customHeight="false" outlineLevel="0" collapsed="false">
      <c r="B20" s="80"/>
      <c r="C20" s="58"/>
      <c r="D20" s="62" t="str">
        <f aca="false">IF(C20="","",IFERROR(INDEX(T_NOMBRE,MATCH(V20,T_RUTN,0)),"⚠ RUT no está en Trabajadores"))</f>
        <v/>
      </c>
      <c r="E20" s="61"/>
      <c r="F20" s="61"/>
      <c r="G20" s="61"/>
      <c r="H20" s="61"/>
      <c r="I20" s="81"/>
      <c r="J20" s="81"/>
      <c r="K20" s="60"/>
      <c r="L20" s="60"/>
      <c r="M20" s="60"/>
      <c r="N20" s="60"/>
      <c r="O20" s="60"/>
      <c r="P20" s="60"/>
      <c r="Q20" s="60"/>
      <c r="R20" s="58"/>
      <c r="S20" s="62" t="str">
        <f aca="false">IF(OR(B20="",V20=""),"",IFERROR(INDEX(C_TIPO,MATCH(V20&amp;"-P"&amp;MAX(1,COUNTIFS(C_RUTN,V20,C_DEF,"Sí",C_INI,"&lt;="&amp;EOMONTH(B20,0))),C_CLAVE,0))&amp;"","Sin contrato"))</f>
        <v/>
      </c>
      <c r="T20" s="63" t="str">
        <f aca="false">IF(OR(B20="",N(O20)=0),"",N(O20)+ROUND(MIN(N(N20),TOPE_UF*UF_MES)*(TASA_EMP+MUTUAL),0)+ROUND(MIN(N(N20),TOPE_AFC_UF*UF_MES)*IF(S20="Indefinido",AFC_INDEF,AFC_PF),0))</f>
        <v/>
      </c>
      <c r="U20" s="62" t="str">
        <f aca="false">IF(C20="","",IF(LEFT(D20,1)="⚠","⚠ RUT no registrado en Trabajadores",IF(B20="","⚠ Falta el mes",IF(OR(ISTEXT(I20),ISTEXT(J20)),"⚠ Atrasos u horas extra como texto: escriba hh:mm (ej. 1:30)",IF(AND(ISNUMBER(Q20),COUNTIFS(M_RUTN,V20,M_MES,B20,M_LIQ,"&lt;&gt;")&gt;1),"⚠ Liquidación repetida en el mes",IF(AND(ISNUMBER(O20),ISNUMBER(P20),ISNUMBER(Q20),ABS(O20-P20-Q20)&gt;1),"⚠ Haberes − descuentos no da el líquido","OK"))))))</f>
        <v/>
      </c>
      <c r="V20" s="62" t="str">
        <f aca="false">IF(C20="","",IFERROR(VALUE(LEFT(UPPER(SUBSTITUTE(SUBSTITUTE(SUBSTITUTE(TRIM(C20),".",""),"-","")," ","")),LEN(UPPER(SUBSTITUTE(SUBSTITUTE(SUBSTITUTE(TRIM(C20),".",""),"-","")," ","")))-1))&amp;RIGHT(UPPER(SUBSTITUTE(SUBSTITUTE(SUBSTITUTE(TRIM(C20),".",""),"-","")," ","")),1),UPPER(SUBSTITUTE(SUBSTITUTE(SUBSTITUTE(TRIM(C20),".",""),"-","")," ",""))))</f>
        <v/>
      </c>
    </row>
    <row r="21" customFormat="false" ht="15" hidden="false" customHeight="false" outlineLevel="0" collapsed="false">
      <c r="B21" s="80"/>
      <c r="C21" s="58"/>
      <c r="D21" s="62" t="str">
        <f aca="false">IF(C21="","",IFERROR(INDEX(T_NOMBRE,MATCH(V21,T_RUTN,0)),"⚠ RUT no está en Trabajadores"))</f>
        <v/>
      </c>
      <c r="E21" s="61"/>
      <c r="F21" s="61"/>
      <c r="G21" s="61"/>
      <c r="H21" s="61"/>
      <c r="I21" s="81"/>
      <c r="J21" s="81"/>
      <c r="K21" s="60"/>
      <c r="L21" s="60"/>
      <c r="M21" s="60"/>
      <c r="N21" s="60"/>
      <c r="O21" s="60"/>
      <c r="P21" s="60"/>
      <c r="Q21" s="60"/>
      <c r="R21" s="58"/>
      <c r="S21" s="62" t="str">
        <f aca="false">IF(OR(B21="",V21=""),"",IFERROR(INDEX(C_TIPO,MATCH(V21&amp;"-P"&amp;MAX(1,COUNTIFS(C_RUTN,V21,C_DEF,"Sí",C_INI,"&lt;="&amp;EOMONTH(B21,0))),C_CLAVE,0))&amp;"","Sin contrato"))</f>
        <v/>
      </c>
      <c r="T21" s="63" t="str">
        <f aca="false">IF(OR(B21="",N(O21)=0),"",N(O21)+ROUND(MIN(N(N21),TOPE_UF*UF_MES)*(TASA_EMP+MUTUAL),0)+ROUND(MIN(N(N21),TOPE_AFC_UF*UF_MES)*IF(S21="Indefinido",AFC_INDEF,AFC_PF),0))</f>
        <v/>
      </c>
      <c r="U21" s="62" t="str">
        <f aca="false">IF(C21="","",IF(LEFT(D21,1)="⚠","⚠ RUT no registrado en Trabajadores",IF(B21="","⚠ Falta el mes",IF(OR(ISTEXT(I21),ISTEXT(J21)),"⚠ Atrasos u horas extra como texto: escriba hh:mm (ej. 1:30)",IF(AND(ISNUMBER(Q21),COUNTIFS(M_RUTN,V21,M_MES,B21,M_LIQ,"&lt;&gt;")&gt;1),"⚠ Liquidación repetida en el mes",IF(AND(ISNUMBER(O21),ISNUMBER(P21),ISNUMBER(Q21),ABS(O21-P21-Q21)&gt;1),"⚠ Haberes − descuentos no da el líquido","OK"))))))</f>
        <v/>
      </c>
      <c r="V21" s="62" t="str">
        <f aca="false">IF(C21="","",IFERROR(VALUE(LEFT(UPPER(SUBSTITUTE(SUBSTITUTE(SUBSTITUTE(TRIM(C21),".",""),"-","")," ","")),LEN(UPPER(SUBSTITUTE(SUBSTITUTE(SUBSTITUTE(TRIM(C21),".",""),"-","")," ","")))-1))&amp;RIGHT(UPPER(SUBSTITUTE(SUBSTITUTE(SUBSTITUTE(TRIM(C21),".",""),"-","")," ","")),1),UPPER(SUBSTITUTE(SUBSTITUTE(SUBSTITUTE(TRIM(C21),".",""),"-","")," ",""))))</f>
        <v/>
      </c>
    </row>
    <row r="22" customFormat="false" ht="15" hidden="false" customHeight="false" outlineLevel="0" collapsed="false">
      <c r="B22" s="80"/>
      <c r="C22" s="58"/>
      <c r="D22" s="62" t="str">
        <f aca="false">IF(C22="","",IFERROR(INDEX(T_NOMBRE,MATCH(V22,T_RUTN,0)),"⚠ RUT no está en Trabajadores"))</f>
        <v/>
      </c>
      <c r="E22" s="61"/>
      <c r="F22" s="61"/>
      <c r="G22" s="61"/>
      <c r="H22" s="61"/>
      <c r="I22" s="81"/>
      <c r="J22" s="81"/>
      <c r="K22" s="60"/>
      <c r="L22" s="60"/>
      <c r="M22" s="60"/>
      <c r="N22" s="60"/>
      <c r="O22" s="60"/>
      <c r="P22" s="60"/>
      <c r="Q22" s="60"/>
      <c r="R22" s="58"/>
      <c r="S22" s="62" t="str">
        <f aca="false">IF(OR(B22="",V22=""),"",IFERROR(INDEX(C_TIPO,MATCH(V22&amp;"-P"&amp;MAX(1,COUNTIFS(C_RUTN,V22,C_DEF,"Sí",C_INI,"&lt;="&amp;EOMONTH(B22,0))),C_CLAVE,0))&amp;"","Sin contrato"))</f>
        <v/>
      </c>
      <c r="T22" s="63" t="str">
        <f aca="false">IF(OR(B22="",N(O22)=0),"",N(O22)+ROUND(MIN(N(N22),TOPE_UF*UF_MES)*(TASA_EMP+MUTUAL),0)+ROUND(MIN(N(N22),TOPE_AFC_UF*UF_MES)*IF(S22="Indefinido",AFC_INDEF,AFC_PF),0))</f>
        <v/>
      </c>
      <c r="U22" s="62" t="str">
        <f aca="false">IF(C22="","",IF(LEFT(D22,1)="⚠","⚠ RUT no registrado en Trabajadores",IF(B22="","⚠ Falta el mes",IF(OR(ISTEXT(I22),ISTEXT(J22)),"⚠ Atrasos u horas extra como texto: escriba hh:mm (ej. 1:30)",IF(AND(ISNUMBER(Q22),COUNTIFS(M_RUTN,V22,M_MES,B22,M_LIQ,"&lt;&gt;")&gt;1),"⚠ Liquidación repetida en el mes",IF(AND(ISNUMBER(O22),ISNUMBER(P22),ISNUMBER(Q22),ABS(O22-P22-Q22)&gt;1),"⚠ Haberes − descuentos no da el líquido","OK"))))))</f>
        <v/>
      </c>
      <c r="V22" s="62" t="str">
        <f aca="false">IF(C22="","",IFERROR(VALUE(LEFT(UPPER(SUBSTITUTE(SUBSTITUTE(SUBSTITUTE(TRIM(C22),".",""),"-","")," ","")),LEN(UPPER(SUBSTITUTE(SUBSTITUTE(SUBSTITUTE(TRIM(C22),".",""),"-","")," ","")))-1))&amp;RIGHT(UPPER(SUBSTITUTE(SUBSTITUTE(SUBSTITUTE(TRIM(C22),".",""),"-","")," ","")),1),UPPER(SUBSTITUTE(SUBSTITUTE(SUBSTITUTE(TRIM(C22),".",""),"-","")," ",""))))</f>
        <v/>
      </c>
    </row>
    <row r="23" customFormat="false" ht="15" hidden="false" customHeight="false" outlineLevel="0" collapsed="false">
      <c r="B23" s="80"/>
      <c r="C23" s="58"/>
      <c r="D23" s="62" t="str">
        <f aca="false">IF(C23="","",IFERROR(INDEX(T_NOMBRE,MATCH(V23,T_RUTN,0)),"⚠ RUT no está en Trabajadores"))</f>
        <v/>
      </c>
      <c r="E23" s="61"/>
      <c r="F23" s="61"/>
      <c r="G23" s="61"/>
      <c r="H23" s="61"/>
      <c r="I23" s="81"/>
      <c r="J23" s="81"/>
      <c r="K23" s="60"/>
      <c r="L23" s="60"/>
      <c r="M23" s="60"/>
      <c r="N23" s="60"/>
      <c r="O23" s="60"/>
      <c r="P23" s="60"/>
      <c r="Q23" s="60"/>
      <c r="R23" s="58"/>
      <c r="S23" s="62" t="str">
        <f aca="false">IF(OR(B23="",V23=""),"",IFERROR(INDEX(C_TIPO,MATCH(V23&amp;"-P"&amp;MAX(1,COUNTIFS(C_RUTN,V23,C_DEF,"Sí",C_INI,"&lt;="&amp;EOMONTH(B23,0))),C_CLAVE,0))&amp;"","Sin contrato"))</f>
        <v/>
      </c>
      <c r="T23" s="63" t="str">
        <f aca="false">IF(OR(B23="",N(O23)=0),"",N(O23)+ROUND(MIN(N(N23),TOPE_UF*UF_MES)*(TASA_EMP+MUTUAL),0)+ROUND(MIN(N(N23),TOPE_AFC_UF*UF_MES)*IF(S23="Indefinido",AFC_INDEF,AFC_PF),0))</f>
        <v/>
      </c>
      <c r="U23" s="62" t="str">
        <f aca="false">IF(C23="","",IF(LEFT(D23,1)="⚠","⚠ RUT no registrado en Trabajadores",IF(B23="","⚠ Falta el mes",IF(OR(ISTEXT(I23),ISTEXT(J23)),"⚠ Atrasos u horas extra como texto: escriba hh:mm (ej. 1:30)",IF(AND(ISNUMBER(Q23),COUNTIFS(M_RUTN,V23,M_MES,B23,M_LIQ,"&lt;&gt;")&gt;1),"⚠ Liquidación repetida en el mes",IF(AND(ISNUMBER(O23),ISNUMBER(P23),ISNUMBER(Q23),ABS(O23-P23-Q23)&gt;1),"⚠ Haberes − descuentos no da el líquido","OK"))))))</f>
        <v/>
      </c>
      <c r="V23" s="62" t="str">
        <f aca="false">IF(C23="","",IFERROR(VALUE(LEFT(UPPER(SUBSTITUTE(SUBSTITUTE(SUBSTITUTE(TRIM(C23),".",""),"-","")," ","")),LEN(UPPER(SUBSTITUTE(SUBSTITUTE(SUBSTITUTE(TRIM(C23),".",""),"-","")," ","")))-1))&amp;RIGHT(UPPER(SUBSTITUTE(SUBSTITUTE(SUBSTITUTE(TRIM(C23),".",""),"-","")," ","")),1),UPPER(SUBSTITUTE(SUBSTITUTE(SUBSTITUTE(TRIM(C23),".",""),"-","")," ",""))))</f>
        <v/>
      </c>
    </row>
    <row r="24" customFormat="false" ht="15" hidden="false" customHeight="false" outlineLevel="0" collapsed="false">
      <c r="B24" s="80"/>
      <c r="C24" s="58"/>
      <c r="D24" s="62" t="str">
        <f aca="false">IF(C24="","",IFERROR(INDEX(T_NOMBRE,MATCH(V24,T_RUTN,0)),"⚠ RUT no está en Trabajadores"))</f>
        <v/>
      </c>
      <c r="E24" s="61"/>
      <c r="F24" s="61"/>
      <c r="G24" s="61"/>
      <c r="H24" s="61"/>
      <c r="I24" s="81"/>
      <c r="J24" s="81"/>
      <c r="K24" s="60"/>
      <c r="L24" s="60"/>
      <c r="M24" s="60"/>
      <c r="N24" s="60"/>
      <c r="O24" s="60"/>
      <c r="P24" s="60"/>
      <c r="Q24" s="60"/>
      <c r="R24" s="58"/>
      <c r="S24" s="62" t="str">
        <f aca="false">IF(OR(B24="",V24=""),"",IFERROR(INDEX(C_TIPO,MATCH(V24&amp;"-P"&amp;MAX(1,COUNTIFS(C_RUTN,V24,C_DEF,"Sí",C_INI,"&lt;="&amp;EOMONTH(B24,0))),C_CLAVE,0))&amp;"","Sin contrato"))</f>
        <v/>
      </c>
      <c r="T24" s="63" t="str">
        <f aca="false">IF(OR(B24="",N(O24)=0),"",N(O24)+ROUND(MIN(N(N24),TOPE_UF*UF_MES)*(TASA_EMP+MUTUAL),0)+ROUND(MIN(N(N24),TOPE_AFC_UF*UF_MES)*IF(S24="Indefinido",AFC_INDEF,AFC_PF),0))</f>
        <v/>
      </c>
      <c r="U24" s="62" t="str">
        <f aca="false">IF(C24="","",IF(LEFT(D24,1)="⚠","⚠ RUT no registrado en Trabajadores",IF(B24="","⚠ Falta el mes",IF(OR(ISTEXT(I24),ISTEXT(J24)),"⚠ Atrasos u horas extra como texto: escriba hh:mm (ej. 1:30)",IF(AND(ISNUMBER(Q24),COUNTIFS(M_RUTN,V24,M_MES,B24,M_LIQ,"&lt;&gt;")&gt;1),"⚠ Liquidación repetida en el mes",IF(AND(ISNUMBER(O24),ISNUMBER(P24),ISNUMBER(Q24),ABS(O24-P24-Q24)&gt;1),"⚠ Haberes − descuentos no da el líquido","OK"))))))</f>
        <v/>
      </c>
      <c r="V24" s="62" t="str">
        <f aca="false">IF(C24="","",IFERROR(VALUE(LEFT(UPPER(SUBSTITUTE(SUBSTITUTE(SUBSTITUTE(TRIM(C24),".",""),"-","")," ","")),LEN(UPPER(SUBSTITUTE(SUBSTITUTE(SUBSTITUTE(TRIM(C24),".",""),"-","")," ","")))-1))&amp;RIGHT(UPPER(SUBSTITUTE(SUBSTITUTE(SUBSTITUTE(TRIM(C24),".",""),"-","")," ","")),1),UPPER(SUBSTITUTE(SUBSTITUTE(SUBSTITUTE(TRIM(C24),".",""),"-","")," ",""))))</f>
        <v/>
      </c>
    </row>
    <row r="25" customFormat="false" ht="15" hidden="false" customHeight="false" outlineLevel="0" collapsed="false">
      <c r="B25" s="80"/>
      <c r="C25" s="58"/>
      <c r="D25" s="62" t="str">
        <f aca="false">IF(C25="","",IFERROR(INDEX(T_NOMBRE,MATCH(V25,T_RUTN,0)),"⚠ RUT no está en Trabajadores"))</f>
        <v/>
      </c>
      <c r="E25" s="61"/>
      <c r="F25" s="61"/>
      <c r="G25" s="61"/>
      <c r="H25" s="61"/>
      <c r="I25" s="81"/>
      <c r="J25" s="81"/>
      <c r="K25" s="60"/>
      <c r="L25" s="60"/>
      <c r="M25" s="60"/>
      <c r="N25" s="60"/>
      <c r="O25" s="60"/>
      <c r="P25" s="60"/>
      <c r="Q25" s="60"/>
      <c r="R25" s="58"/>
      <c r="S25" s="62" t="str">
        <f aca="false">IF(OR(B25="",V25=""),"",IFERROR(INDEX(C_TIPO,MATCH(V25&amp;"-P"&amp;MAX(1,COUNTIFS(C_RUTN,V25,C_DEF,"Sí",C_INI,"&lt;="&amp;EOMONTH(B25,0))),C_CLAVE,0))&amp;"","Sin contrato"))</f>
        <v/>
      </c>
      <c r="T25" s="63" t="str">
        <f aca="false">IF(OR(B25="",N(O25)=0),"",N(O25)+ROUND(MIN(N(N25),TOPE_UF*UF_MES)*(TASA_EMP+MUTUAL),0)+ROUND(MIN(N(N25),TOPE_AFC_UF*UF_MES)*IF(S25="Indefinido",AFC_INDEF,AFC_PF),0))</f>
        <v/>
      </c>
      <c r="U25" s="62" t="str">
        <f aca="false">IF(C25="","",IF(LEFT(D25,1)="⚠","⚠ RUT no registrado en Trabajadores",IF(B25="","⚠ Falta el mes",IF(OR(ISTEXT(I25),ISTEXT(J25)),"⚠ Atrasos u horas extra como texto: escriba hh:mm (ej. 1:30)",IF(AND(ISNUMBER(Q25),COUNTIFS(M_RUTN,V25,M_MES,B25,M_LIQ,"&lt;&gt;")&gt;1),"⚠ Liquidación repetida en el mes",IF(AND(ISNUMBER(O25),ISNUMBER(P25),ISNUMBER(Q25),ABS(O25-P25-Q25)&gt;1),"⚠ Haberes − descuentos no da el líquido","OK"))))))</f>
        <v/>
      </c>
      <c r="V25" s="62" t="str">
        <f aca="false">IF(C25="","",IFERROR(VALUE(LEFT(UPPER(SUBSTITUTE(SUBSTITUTE(SUBSTITUTE(TRIM(C25),".",""),"-","")," ","")),LEN(UPPER(SUBSTITUTE(SUBSTITUTE(SUBSTITUTE(TRIM(C25),".",""),"-","")," ","")))-1))&amp;RIGHT(UPPER(SUBSTITUTE(SUBSTITUTE(SUBSTITUTE(TRIM(C25),".",""),"-","")," ","")),1),UPPER(SUBSTITUTE(SUBSTITUTE(SUBSTITUTE(TRIM(C25),".",""),"-","")," ",""))))</f>
        <v/>
      </c>
    </row>
    <row r="26" customFormat="false" ht="15" hidden="false" customHeight="false" outlineLevel="0" collapsed="false">
      <c r="B26" s="80"/>
      <c r="C26" s="58"/>
      <c r="D26" s="62" t="str">
        <f aca="false">IF(C26="","",IFERROR(INDEX(T_NOMBRE,MATCH(V26,T_RUTN,0)),"⚠ RUT no está en Trabajadores"))</f>
        <v/>
      </c>
      <c r="E26" s="61"/>
      <c r="F26" s="61"/>
      <c r="G26" s="61"/>
      <c r="H26" s="61"/>
      <c r="I26" s="81"/>
      <c r="J26" s="81"/>
      <c r="K26" s="60"/>
      <c r="L26" s="60"/>
      <c r="M26" s="60"/>
      <c r="N26" s="60"/>
      <c r="O26" s="60"/>
      <c r="P26" s="60"/>
      <c r="Q26" s="60"/>
      <c r="R26" s="58"/>
      <c r="S26" s="62" t="str">
        <f aca="false">IF(OR(B26="",V26=""),"",IFERROR(INDEX(C_TIPO,MATCH(V26&amp;"-P"&amp;MAX(1,COUNTIFS(C_RUTN,V26,C_DEF,"Sí",C_INI,"&lt;="&amp;EOMONTH(B26,0))),C_CLAVE,0))&amp;"","Sin contrato"))</f>
        <v/>
      </c>
      <c r="T26" s="63" t="str">
        <f aca="false">IF(OR(B26="",N(O26)=0),"",N(O26)+ROUND(MIN(N(N26),TOPE_UF*UF_MES)*(TASA_EMP+MUTUAL),0)+ROUND(MIN(N(N26),TOPE_AFC_UF*UF_MES)*IF(S26="Indefinido",AFC_INDEF,AFC_PF),0))</f>
        <v/>
      </c>
      <c r="U26" s="62" t="str">
        <f aca="false">IF(C26="","",IF(LEFT(D26,1)="⚠","⚠ RUT no registrado en Trabajadores",IF(B26="","⚠ Falta el mes",IF(OR(ISTEXT(I26),ISTEXT(J26)),"⚠ Atrasos u horas extra como texto: escriba hh:mm (ej. 1:30)",IF(AND(ISNUMBER(Q26),COUNTIFS(M_RUTN,V26,M_MES,B26,M_LIQ,"&lt;&gt;")&gt;1),"⚠ Liquidación repetida en el mes",IF(AND(ISNUMBER(O26),ISNUMBER(P26),ISNUMBER(Q26),ABS(O26-P26-Q26)&gt;1),"⚠ Haberes − descuentos no da el líquido","OK"))))))</f>
        <v/>
      </c>
      <c r="V26" s="62" t="str">
        <f aca="false">IF(C26="","",IFERROR(VALUE(LEFT(UPPER(SUBSTITUTE(SUBSTITUTE(SUBSTITUTE(TRIM(C26),".",""),"-","")," ","")),LEN(UPPER(SUBSTITUTE(SUBSTITUTE(SUBSTITUTE(TRIM(C26),".",""),"-","")," ","")))-1))&amp;RIGHT(UPPER(SUBSTITUTE(SUBSTITUTE(SUBSTITUTE(TRIM(C26),".",""),"-","")," ","")),1),UPPER(SUBSTITUTE(SUBSTITUTE(SUBSTITUTE(TRIM(C26),".",""),"-","")," ",""))))</f>
        <v/>
      </c>
    </row>
    <row r="27" customFormat="false" ht="15" hidden="false" customHeight="false" outlineLevel="0" collapsed="false">
      <c r="B27" s="80"/>
      <c r="C27" s="58"/>
      <c r="D27" s="62" t="str">
        <f aca="false">IF(C27="","",IFERROR(INDEX(T_NOMBRE,MATCH(V27,T_RUTN,0)),"⚠ RUT no está en Trabajadores"))</f>
        <v/>
      </c>
      <c r="E27" s="61"/>
      <c r="F27" s="61"/>
      <c r="G27" s="61"/>
      <c r="H27" s="61"/>
      <c r="I27" s="81"/>
      <c r="J27" s="81"/>
      <c r="K27" s="60"/>
      <c r="L27" s="60"/>
      <c r="M27" s="60"/>
      <c r="N27" s="60"/>
      <c r="O27" s="60"/>
      <c r="P27" s="60"/>
      <c r="Q27" s="60"/>
      <c r="R27" s="58"/>
      <c r="S27" s="62" t="str">
        <f aca="false">IF(OR(B27="",V27=""),"",IFERROR(INDEX(C_TIPO,MATCH(V27&amp;"-P"&amp;MAX(1,COUNTIFS(C_RUTN,V27,C_DEF,"Sí",C_INI,"&lt;="&amp;EOMONTH(B27,0))),C_CLAVE,0))&amp;"","Sin contrato"))</f>
        <v/>
      </c>
      <c r="T27" s="63" t="str">
        <f aca="false">IF(OR(B27="",N(O27)=0),"",N(O27)+ROUND(MIN(N(N27),TOPE_UF*UF_MES)*(TASA_EMP+MUTUAL),0)+ROUND(MIN(N(N27),TOPE_AFC_UF*UF_MES)*IF(S27="Indefinido",AFC_INDEF,AFC_PF),0))</f>
        <v/>
      </c>
      <c r="U27" s="62" t="str">
        <f aca="false">IF(C27="","",IF(LEFT(D27,1)="⚠","⚠ RUT no registrado en Trabajadores",IF(B27="","⚠ Falta el mes",IF(OR(ISTEXT(I27),ISTEXT(J27)),"⚠ Atrasos u horas extra como texto: escriba hh:mm (ej. 1:30)",IF(AND(ISNUMBER(Q27),COUNTIFS(M_RUTN,V27,M_MES,B27,M_LIQ,"&lt;&gt;")&gt;1),"⚠ Liquidación repetida en el mes",IF(AND(ISNUMBER(O27),ISNUMBER(P27),ISNUMBER(Q27),ABS(O27-P27-Q27)&gt;1),"⚠ Haberes − descuentos no da el líquido","OK"))))))</f>
        <v/>
      </c>
      <c r="V27" s="62" t="str">
        <f aca="false">IF(C27="","",IFERROR(VALUE(LEFT(UPPER(SUBSTITUTE(SUBSTITUTE(SUBSTITUTE(TRIM(C27),".",""),"-","")," ","")),LEN(UPPER(SUBSTITUTE(SUBSTITUTE(SUBSTITUTE(TRIM(C27),".",""),"-","")," ","")))-1))&amp;RIGHT(UPPER(SUBSTITUTE(SUBSTITUTE(SUBSTITUTE(TRIM(C27),".",""),"-","")," ","")),1),UPPER(SUBSTITUTE(SUBSTITUTE(SUBSTITUTE(TRIM(C27),".",""),"-","")," ",""))))</f>
        <v/>
      </c>
    </row>
    <row r="28" customFormat="false" ht="15" hidden="false" customHeight="false" outlineLevel="0" collapsed="false">
      <c r="B28" s="80"/>
      <c r="C28" s="58"/>
      <c r="D28" s="62" t="str">
        <f aca="false">IF(C28="","",IFERROR(INDEX(T_NOMBRE,MATCH(V28,T_RUTN,0)),"⚠ RUT no está en Trabajadores"))</f>
        <v/>
      </c>
      <c r="E28" s="61"/>
      <c r="F28" s="61"/>
      <c r="G28" s="61"/>
      <c r="H28" s="61"/>
      <c r="I28" s="81"/>
      <c r="J28" s="81"/>
      <c r="K28" s="60"/>
      <c r="L28" s="60"/>
      <c r="M28" s="60"/>
      <c r="N28" s="60"/>
      <c r="O28" s="60"/>
      <c r="P28" s="60"/>
      <c r="Q28" s="60"/>
      <c r="R28" s="58"/>
      <c r="S28" s="62" t="str">
        <f aca="false">IF(OR(B28="",V28=""),"",IFERROR(INDEX(C_TIPO,MATCH(V28&amp;"-P"&amp;MAX(1,COUNTIFS(C_RUTN,V28,C_DEF,"Sí",C_INI,"&lt;="&amp;EOMONTH(B28,0))),C_CLAVE,0))&amp;"","Sin contrato"))</f>
        <v/>
      </c>
      <c r="T28" s="63" t="str">
        <f aca="false">IF(OR(B28="",N(O28)=0),"",N(O28)+ROUND(MIN(N(N28),TOPE_UF*UF_MES)*(TASA_EMP+MUTUAL),0)+ROUND(MIN(N(N28),TOPE_AFC_UF*UF_MES)*IF(S28="Indefinido",AFC_INDEF,AFC_PF),0))</f>
        <v/>
      </c>
      <c r="U28" s="62" t="str">
        <f aca="false">IF(C28="","",IF(LEFT(D28,1)="⚠","⚠ RUT no registrado en Trabajadores",IF(B28="","⚠ Falta el mes",IF(OR(ISTEXT(I28),ISTEXT(J28)),"⚠ Atrasos u horas extra como texto: escriba hh:mm (ej. 1:30)",IF(AND(ISNUMBER(Q28),COUNTIFS(M_RUTN,V28,M_MES,B28,M_LIQ,"&lt;&gt;")&gt;1),"⚠ Liquidación repetida en el mes",IF(AND(ISNUMBER(O28),ISNUMBER(P28),ISNUMBER(Q28),ABS(O28-P28-Q28)&gt;1),"⚠ Haberes − descuentos no da el líquido","OK"))))))</f>
        <v/>
      </c>
      <c r="V28" s="62" t="str">
        <f aca="false">IF(C28="","",IFERROR(VALUE(LEFT(UPPER(SUBSTITUTE(SUBSTITUTE(SUBSTITUTE(TRIM(C28),".",""),"-","")," ","")),LEN(UPPER(SUBSTITUTE(SUBSTITUTE(SUBSTITUTE(TRIM(C28),".",""),"-","")," ","")))-1))&amp;RIGHT(UPPER(SUBSTITUTE(SUBSTITUTE(SUBSTITUTE(TRIM(C28),".",""),"-","")," ","")),1),UPPER(SUBSTITUTE(SUBSTITUTE(SUBSTITUTE(TRIM(C28),".",""),"-","")," ",""))))</f>
        <v/>
      </c>
    </row>
    <row r="29" customFormat="false" ht="15" hidden="false" customHeight="false" outlineLevel="0" collapsed="false">
      <c r="B29" s="80"/>
      <c r="C29" s="58"/>
      <c r="D29" s="62" t="str">
        <f aca="false">IF(C29="","",IFERROR(INDEX(T_NOMBRE,MATCH(V29,T_RUTN,0)),"⚠ RUT no está en Trabajadores"))</f>
        <v/>
      </c>
      <c r="E29" s="61"/>
      <c r="F29" s="61"/>
      <c r="G29" s="61"/>
      <c r="H29" s="61"/>
      <c r="I29" s="81"/>
      <c r="J29" s="81"/>
      <c r="K29" s="60"/>
      <c r="L29" s="60"/>
      <c r="M29" s="60"/>
      <c r="N29" s="60"/>
      <c r="O29" s="60"/>
      <c r="P29" s="60"/>
      <c r="Q29" s="60"/>
      <c r="R29" s="58"/>
      <c r="S29" s="62" t="str">
        <f aca="false">IF(OR(B29="",V29=""),"",IFERROR(INDEX(C_TIPO,MATCH(V29&amp;"-P"&amp;MAX(1,COUNTIFS(C_RUTN,V29,C_DEF,"Sí",C_INI,"&lt;="&amp;EOMONTH(B29,0))),C_CLAVE,0))&amp;"","Sin contrato"))</f>
        <v/>
      </c>
      <c r="T29" s="63" t="str">
        <f aca="false">IF(OR(B29="",N(O29)=0),"",N(O29)+ROUND(MIN(N(N29),TOPE_UF*UF_MES)*(TASA_EMP+MUTUAL),0)+ROUND(MIN(N(N29),TOPE_AFC_UF*UF_MES)*IF(S29="Indefinido",AFC_INDEF,AFC_PF),0))</f>
        <v/>
      </c>
      <c r="U29" s="62" t="str">
        <f aca="false">IF(C29="","",IF(LEFT(D29,1)="⚠","⚠ RUT no registrado en Trabajadores",IF(B29="","⚠ Falta el mes",IF(OR(ISTEXT(I29),ISTEXT(J29)),"⚠ Atrasos u horas extra como texto: escriba hh:mm (ej. 1:30)",IF(AND(ISNUMBER(Q29),COUNTIFS(M_RUTN,V29,M_MES,B29,M_LIQ,"&lt;&gt;")&gt;1),"⚠ Liquidación repetida en el mes",IF(AND(ISNUMBER(O29),ISNUMBER(P29),ISNUMBER(Q29),ABS(O29-P29-Q29)&gt;1),"⚠ Haberes − descuentos no da el líquido","OK"))))))</f>
        <v/>
      </c>
      <c r="V29" s="62" t="str">
        <f aca="false">IF(C29="","",IFERROR(VALUE(LEFT(UPPER(SUBSTITUTE(SUBSTITUTE(SUBSTITUTE(TRIM(C29),".",""),"-","")," ","")),LEN(UPPER(SUBSTITUTE(SUBSTITUTE(SUBSTITUTE(TRIM(C29),".",""),"-","")," ","")))-1))&amp;RIGHT(UPPER(SUBSTITUTE(SUBSTITUTE(SUBSTITUTE(TRIM(C29),".",""),"-","")," ","")),1),UPPER(SUBSTITUTE(SUBSTITUTE(SUBSTITUTE(TRIM(C29),".",""),"-","")," ",""))))</f>
        <v/>
      </c>
    </row>
    <row r="30" customFormat="false" ht="15" hidden="false" customHeight="false" outlineLevel="0" collapsed="false">
      <c r="B30" s="80"/>
      <c r="C30" s="58"/>
      <c r="D30" s="62" t="str">
        <f aca="false">IF(C30="","",IFERROR(INDEX(T_NOMBRE,MATCH(V30,T_RUTN,0)),"⚠ RUT no está en Trabajadores"))</f>
        <v/>
      </c>
      <c r="E30" s="61"/>
      <c r="F30" s="61"/>
      <c r="G30" s="61"/>
      <c r="H30" s="61"/>
      <c r="I30" s="81"/>
      <c r="J30" s="81"/>
      <c r="K30" s="60"/>
      <c r="L30" s="60"/>
      <c r="M30" s="60"/>
      <c r="N30" s="60"/>
      <c r="O30" s="60"/>
      <c r="P30" s="60"/>
      <c r="Q30" s="60"/>
      <c r="R30" s="58"/>
      <c r="S30" s="62" t="str">
        <f aca="false">IF(OR(B30="",V30=""),"",IFERROR(INDEX(C_TIPO,MATCH(V30&amp;"-P"&amp;MAX(1,COUNTIFS(C_RUTN,V30,C_DEF,"Sí",C_INI,"&lt;="&amp;EOMONTH(B30,0))),C_CLAVE,0))&amp;"","Sin contrato"))</f>
        <v/>
      </c>
      <c r="T30" s="63" t="str">
        <f aca="false">IF(OR(B30="",N(O30)=0),"",N(O30)+ROUND(MIN(N(N30),TOPE_UF*UF_MES)*(TASA_EMP+MUTUAL),0)+ROUND(MIN(N(N30),TOPE_AFC_UF*UF_MES)*IF(S30="Indefinido",AFC_INDEF,AFC_PF),0))</f>
        <v/>
      </c>
      <c r="U30" s="62" t="str">
        <f aca="false">IF(C30="","",IF(LEFT(D30,1)="⚠","⚠ RUT no registrado en Trabajadores",IF(B30="","⚠ Falta el mes",IF(OR(ISTEXT(I30),ISTEXT(J30)),"⚠ Atrasos u horas extra como texto: escriba hh:mm (ej. 1:30)",IF(AND(ISNUMBER(Q30),COUNTIFS(M_RUTN,V30,M_MES,B30,M_LIQ,"&lt;&gt;")&gt;1),"⚠ Liquidación repetida en el mes",IF(AND(ISNUMBER(O30),ISNUMBER(P30),ISNUMBER(Q30),ABS(O30-P30-Q30)&gt;1),"⚠ Haberes − descuentos no da el líquido","OK"))))))</f>
        <v/>
      </c>
      <c r="V30" s="62" t="str">
        <f aca="false">IF(C30="","",IFERROR(VALUE(LEFT(UPPER(SUBSTITUTE(SUBSTITUTE(SUBSTITUTE(TRIM(C30),".",""),"-","")," ","")),LEN(UPPER(SUBSTITUTE(SUBSTITUTE(SUBSTITUTE(TRIM(C30),".",""),"-","")," ","")))-1))&amp;RIGHT(UPPER(SUBSTITUTE(SUBSTITUTE(SUBSTITUTE(TRIM(C30),".",""),"-","")," ","")),1),UPPER(SUBSTITUTE(SUBSTITUTE(SUBSTITUTE(TRIM(C30),".",""),"-","")," ",""))))</f>
        <v/>
      </c>
    </row>
    <row r="31" customFormat="false" ht="15" hidden="false" customHeight="false" outlineLevel="0" collapsed="false">
      <c r="B31" s="80"/>
      <c r="C31" s="58"/>
      <c r="D31" s="62" t="str">
        <f aca="false">IF(C31="","",IFERROR(INDEX(T_NOMBRE,MATCH(V31,T_RUTN,0)),"⚠ RUT no está en Trabajadores"))</f>
        <v/>
      </c>
      <c r="E31" s="61"/>
      <c r="F31" s="61"/>
      <c r="G31" s="61"/>
      <c r="H31" s="61"/>
      <c r="I31" s="81"/>
      <c r="J31" s="81"/>
      <c r="K31" s="60"/>
      <c r="L31" s="60"/>
      <c r="M31" s="60"/>
      <c r="N31" s="60"/>
      <c r="O31" s="60"/>
      <c r="P31" s="60"/>
      <c r="Q31" s="60"/>
      <c r="R31" s="58"/>
      <c r="S31" s="62" t="str">
        <f aca="false">IF(OR(B31="",V31=""),"",IFERROR(INDEX(C_TIPO,MATCH(V31&amp;"-P"&amp;MAX(1,COUNTIFS(C_RUTN,V31,C_DEF,"Sí",C_INI,"&lt;="&amp;EOMONTH(B31,0))),C_CLAVE,0))&amp;"","Sin contrato"))</f>
        <v/>
      </c>
      <c r="T31" s="63" t="str">
        <f aca="false">IF(OR(B31="",N(O31)=0),"",N(O31)+ROUND(MIN(N(N31),TOPE_UF*UF_MES)*(TASA_EMP+MUTUAL),0)+ROUND(MIN(N(N31),TOPE_AFC_UF*UF_MES)*IF(S31="Indefinido",AFC_INDEF,AFC_PF),0))</f>
        <v/>
      </c>
      <c r="U31" s="62" t="str">
        <f aca="false">IF(C31="","",IF(LEFT(D31,1)="⚠","⚠ RUT no registrado en Trabajadores",IF(B31="","⚠ Falta el mes",IF(OR(ISTEXT(I31),ISTEXT(J31)),"⚠ Atrasos u horas extra como texto: escriba hh:mm (ej. 1:30)",IF(AND(ISNUMBER(Q31),COUNTIFS(M_RUTN,V31,M_MES,B31,M_LIQ,"&lt;&gt;")&gt;1),"⚠ Liquidación repetida en el mes",IF(AND(ISNUMBER(O31),ISNUMBER(P31),ISNUMBER(Q31),ABS(O31-P31-Q31)&gt;1),"⚠ Haberes − descuentos no da el líquido","OK"))))))</f>
        <v/>
      </c>
      <c r="V31" s="62" t="str">
        <f aca="false">IF(C31="","",IFERROR(VALUE(LEFT(UPPER(SUBSTITUTE(SUBSTITUTE(SUBSTITUTE(TRIM(C31),".",""),"-","")," ","")),LEN(UPPER(SUBSTITUTE(SUBSTITUTE(SUBSTITUTE(TRIM(C31),".",""),"-","")," ","")))-1))&amp;RIGHT(UPPER(SUBSTITUTE(SUBSTITUTE(SUBSTITUTE(TRIM(C31),".",""),"-","")," ","")),1),UPPER(SUBSTITUTE(SUBSTITUTE(SUBSTITUTE(TRIM(C31),".",""),"-","")," ",""))))</f>
        <v/>
      </c>
    </row>
    <row r="32" customFormat="false" ht="15" hidden="false" customHeight="false" outlineLevel="0" collapsed="false">
      <c r="B32" s="80"/>
      <c r="C32" s="58"/>
      <c r="D32" s="62" t="str">
        <f aca="false">IF(C32="","",IFERROR(INDEX(T_NOMBRE,MATCH(V32,T_RUTN,0)),"⚠ RUT no está en Trabajadores"))</f>
        <v/>
      </c>
      <c r="E32" s="61"/>
      <c r="F32" s="61"/>
      <c r="G32" s="61"/>
      <c r="H32" s="61"/>
      <c r="I32" s="81"/>
      <c r="J32" s="81"/>
      <c r="K32" s="60"/>
      <c r="L32" s="60"/>
      <c r="M32" s="60"/>
      <c r="N32" s="60"/>
      <c r="O32" s="60"/>
      <c r="P32" s="60"/>
      <c r="Q32" s="60"/>
      <c r="R32" s="58"/>
      <c r="S32" s="62" t="str">
        <f aca="false">IF(OR(B32="",V32=""),"",IFERROR(INDEX(C_TIPO,MATCH(V32&amp;"-P"&amp;MAX(1,COUNTIFS(C_RUTN,V32,C_DEF,"Sí",C_INI,"&lt;="&amp;EOMONTH(B32,0))),C_CLAVE,0))&amp;"","Sin contrato"))</f>
        <v/>
      </c>
      <c r="T32" s="63" t="str">
        <f aca="false">IF(OR(B32="",N(O32)=0),"",N(O32)+ROUND(MIN(N(N32),TOPE_UF*UF_MES)*(TASA_EMP+MUTUAL),0)+ROUND(MIN(N(N32),TOPE_AFC_UF*UF_MES)*IF(S32="Indefinido",AFC_INDEF,AFC_PF),0))</f>
        <v/>
      </c>
      <c r="U32" s="62" t="str">
        <f aca="false">IF(C32="","",IF(LEFT(D32,1)="⚠","⚠ RUT no registrado en Trabajadores",IF(B32="","⚠ Falta el mes",IF(OR(ISTEXT(I32),ISTEXT(J32)),"⚠ Atrasos u horas extra como texto: escriba hh:mm (ej. 1:30)",IF(AND(ISNUMBER(Q32),COUNTIFS(M_RUTN,V32,M_MES,B32,M_LIQ,"&lt;&gt;")&gt;1),"⚠ Liquidación repetida en el mes",IF(AND(ISNUMBER(O32),ISNUMBER(P32),ISNUMBER(Q32),ABS(O32-P32-Q32)&gt;1),"⚠ Haberes − descuentos no da el líquido","OK"))))))</f>
        <v/>
      </c>
      <c r="V32" s="62" t="str">
        <f aca="false">IF(C32="","",IFERROR(VALUE(LEFT(UPPER(SUBSTITUTE(SUBSTITUTE(SUBSTITUTE(TRIM(C32),".",""),"-","")," ","")),LEN(UPPER(SUBSTITUTE(SUBSTITUTE(SUBSTITUTE(TRIM(C32),".",""),"-","")," ","")))-1))&amp;RIGHT(UPPER(SUBSTITUTE(SUBSTITUTE(SUBSTITUTE(TRIM(C32),".",""),"-","")," ","")),1),UPPER(SUBSTITUTE(SUBSTITUTE(SUBSTITUTE(TRIM(C32),".",""),"-","")," ",""))))</f>
        <v/>
      </c>
    </row>
    <row r="33" customFormat="false" ht="15" hidden="false" customHeight="false" outlineLevel="0" collapsed="false">
      <c r="B33" s="80"/>
      <c r="C33" s="58"/>
      <c r="D33" s="62" t="str">
        <f aca="false">IF(C33="","",IFERROR(INDEX(T_NOMBRE,MATCH(V33,T_RUTN,0)),"⚠ RUT no está en Trabajadores"))</f>
        <v/>
      </c>
      <c r="E33" s="61"/>
      <c r="F33" s="61"/>
      <c r="G33" s="61"/>
      <c r="H33" s="61"/>
      <c r="I33" s="81"/>
      <c r="J33" s="81"/>
      <c r="K33" s="60"/>
      <c r="L33" s="60"/>
      <c r="M33" s="60"/>
      <c r="N33" s="60"/>
      <c r="O33" s="60"/>
      <c r="P33" s="60"/>
      <c r="Q33" s="60"/>
      <c r="R33" s="58"/>
      <c r="S33" s="62" t="str">
        <f aca="false">IF(OR(B33="",V33=""),"",IFERROR(INDEX(C_TIPO,MATCH(V33&amp;"-P"&amp;MAX(1,COUNTIFS(C_RUTN,V33,C_DEF,"Sí",C_INI,"&lt;="&amp;EOMONTH(B33,0))),C_CLAVE,0))&amp;"","Sin contrato"))</f>
        <v/>
      </c>
      <c r="T33" s="63" t="str">
        <f aca="false">IF(OR(B33="",N(O33)=0),"",N(O33)+ROUND(MIN(N(N33),TOPE_UF*UF_MES)*(TASA_EMP+MUTUAL),0)+ROUND(MIN(N(N33),TOPE_AFC_UF*UF_MES)*IF(S33="Indefinido",AFC_INDEF,AFC_PF),0))</f>
        <v/>
      </c>
      <c r="U33" s="62" t="str">
        <f aca="false">IF(C33="","",IF(LEFT(D33,1)="⚠","⚠ RUT no registrado en Trabajadores",IF(B33="","⚠ Falta el mes",IF(OR(ISTEXT(I33),ISTEXT(J33)),"⚠ Atrasos u horas extra como texto: escriba hh:mm (ej. 1:30)",IF(AND(ISNUMBER(Q33),COUNTIFS(M_RUTN,V33,M_MES,B33,M_LIQ,"&lt;&gt;")&gt;1),"⚠ Liquidación repetida en el mes",IF(AND(ISNUMBER(O33),ISNUMBER(P33),ISNUMBER(Q33),ABS(O33-P33-Q33)&gt;1),"⚠ Haberes − descuentos no da el líquido","OK"))))))</f>
        <v/>
      </c>
      <c r="V33" s="62" t="str">
        <f aca="false">IF(C33="","",IFERROR(VALUE(LEFT(UPPER(SUBSTITUTE(SUBSTITUTE(SUBSTITUTE(TRIM(C33),".",""),"-","")," ","")),LEN(UPPER(SUBSTITUTE(SUBSTITUTE(SUBSTITUTE(TRIM(C33),".",""),"-","")," ","")))-1))&amp;RIGHT(UPPER(SUBSTITUTE(SUBSTITUTE(SUBSTITUTE(TRIM(C33),".",""),"-","")," ","")),1),UPPER(SUBSTITUTE(SUBSTITUTE(SUBSTITUTE(TRIM(C33),".",""),"-","")," ",""))))</f>
        <v/>
      </c>
    </row>
    <row r="34" customFormat="false" ht="15" hidden="false" customHeight="false" outlineLevel="0" collapsed="false">
      <c r="B34" s="80"/>
      <c r="C34" s="58"/>
      <c r="D34" s="62" t="str">
        <f aca="false">IF(C34="","",IFERROR(INDEX(T_NOMBRE,MATCH(V34,T_RUTN,0)),"⚠ RUT no está en Trabajadores"))</f>
        <v/>
      </c>
      <c r="E34" s="61"/>
      <c r="F34" s="61"/>
      <c r="G34" s="61"/>
      <c r="H34" s="61"/>
      <c r="I34" s="81"/>
      <c r="J34" s="81"/>
      <c r="K34" s="60"/>
      <c r="L34" s="60"/>
      <c r="M34" s="60"/>
      <c r="N34" s="60"/>
      <c r="O34" s="60"/>
      <c r="P34" s="60"/>
      <c r="Q34" s="60"/>
      <c r="R34" s="58"/>
      <c r="S34" s="62" t="str">
        <f aca="false">IF(OR(B34="",V34=""),"",IFERROR(INDEX(C_TIPO,MATCH(V34&amp;"-P"&amp;MAX(1,COUNTIFS(C_RUTN,V34,C_DEF,"Sí",C_INI,"&lt;="&amp;EOMONTH(B34,0))),C_CLAVE,0))&amp;"","Sin contrato"))</f>
        <v/>
      </c>
      <c r="T34" s="63" t="str">
        <f aca="false">IF(OR(B34="",N(O34)=0),"",N(O34)+ROUND(MIN(N(N34),TOPE_UF*UF_MES)*(TASA_EMP+MUTUAL),0)+ROUND(MIN(N(N34),TOPE_AFC_UF*UF_MES)*IF(S34="Indefinido",AFC_INDEF,AFC_PF),0))</f>
        <v/>
      </c>
      <c r="U34" s="62" t="str">
        <f aca="false">IF(C34="","",IF(LEFT(D34,1)="⚠","⚠ RUT no registrado en Trabajadores",IF(B34="","⚠ Falta el mes",IF(OR(ISTEXT(I34),ISTEXT(J34)),"⚠ Atrasos u horas extra como texto: escriba hh:mm (ej. 1:30)",IF(AND(ISNUMBER(Q34),COUNTIFS(M_RUTN,V34,M_MES,B34,M_LIQ,"&lt;&gt;")&gt;1),"⚠ Liquidación repetida en el mes",IF(AND(ISNUMBER(O34),ISNUMBER(P34),ISNUMBER(Q34),ABS(O34-P34-Q34)&gt;1),"⚠ Haberes − descuentos no da el líquido","OK"))))))</f>
        <v/>
      </c>
      <c r="V34" s="62" t="str">
        <f aca="false">IF(C34="","",IFERROR(VALUE(LEFT(UPPER(SUBSTITUTE(SUBSTITUTE(SUBSTITUTE(TRIM(C34),".",""),"-","")," ","")),LEN(UPPER(SUBSTITUTE(SUBSTITUTE(SUBSTITUTE(TRIM(C34),".",""),"-","")," ","")))-1))&amp;RIGHT(UPPER(SUBSTITUTE(SUBSTITUTE(SUBSTITUTE(TRIM(C34),".",""),"-","")," ","")),1),UPPER(SUBSTITUTE(SUBSTITUTE(SUBSTITUTE(TRIM(C34),".",""),"-","")," ",""))))</f>
        <v/>
      </c>
    </row>
    <row r="35" customFormat="false" ht="15" hidden="false" customHeight="false" outlineLevel="0" collapsed="false">
      <c r="B35" s="80"/>
      <c r="C35" s="58"/>
      <c r="D35" s="62" t="str">
        <f aca="false">IF(C35="","",IFERROR(INDEX(T_NOMBRE,MATCH(V35,T_RUTN,0)),"⚠ RUT no está en Trabajadores"))</f>
        <v/>
      </c>
      <c r="E35" s="61"/>
      <c r="F35" s="61"/>
      <c r="G35" s="61"/>
      <c r="H35" s="61"/>
      <c r="I35" s="81"/>
      <c r="J35" s="81"/>
      <c r="K35" s="60"/>
      <c r="L35" s="60"/>
      <c r="M35" s="60"/>
      <c r="N35" s="60"/>
      <c r="O35" s="60"/>
      <c r="P35" s="60"/>
      <c r="Q35" s="60"/>
      <c r="R35" s="58"/>
      <c r="S35" s="62" t="str">
        <f aca="false">IF(OR(B35="",V35=""),"",IFERROR(INDEX(C_TIPO,MATCH(V35&amp;"-P"&amp;MAX(1,COUNTIFS(C_RUTN,V35,C_DEF,"Sí",C_INI,"&lt;="&amp;EOMONTH(B35,0))),C_CLAVE,0))&amp;"","Sin contrato"))</f>
        <v/>
      </c>
      <c r="T35" s="63" t="str">
        <f aca="false">IF(OR(B35="",N(O35)=0),"",N(O35)+ROUND(MIN(N(N35),TOPE_UF*UF_MES)*(TASA_EMP+MUTUAL),0)+ROUND(MIN(N(N35),TOPE_AFC_UF*UF_MES)*IF(S35="Indefinido",AFC_INDEF,AFC_PF),0))</f>
        <v/>
      </c>
      <c r="U35" s="62" t="str">
        <f aca="false">IF(C35="","",IF(LEFT(D35,1)="⚠","⚠ RUT no registrado en Trabajadores",IF(B35="","⚠ Falta el mes",IF(OR(ISTEXT(I35),ISTEXT(J35)),"⚠ Atrasos u horas extra como texto: escriba hh:mm (ej. 1:30)",IF(AND(ISNUMBER(Q35),COUNTIFS(M_RUTN,V35,M_MES,B35,M_LIQ,"&lt;&gt;")&gt;1),"⚠ Liquidación repetida en el mes",IF(AND(ISNUMBER(O35),ISNUMBER(P35),ISNUMBER(Q35),ABS(O35-P35-Q35)&gt;1),"⚠ Haberes − descuentos no da el líquido","OK"))))))</f>
        <v/>
      </c>
      <c r="V35" s="62" t="str">
        <f aca="false">IF(C35="","",IFERROR(VALUE(LEFT(UPPER(SUBSTITUTE(SUBSTITUTE(SUBSTITUTE(TRIM(C35),".",""),"-","")," ","")),LEN(UPPER(SUBSTITUTE(SUBSTITUTE(SUBSTITUTE(TRIM(C35),".",""),"-","")," ","")))-1))&amp;RIGHT(UPPER(SUBSTITUTE(SUBSTITUTE(SUBSTITUTE(TRIM(C35),".",""),"-","")," ","")),1),UPPER(SUBSTITUTE(SUBSTITUTE(SUBSTITUTE(TRIM(C35),".",""),"-","")," ",""))))</f>
        <v/>
      </c>
    </row>
    <row r="36" customFormat="false" ht="15" hidden="false" customHeight="false" outlineLevel="0" collapsed="false">
      <c r="B36" s="80"/>
      <c r="C36" s="58"/>
      <c r="D36" s="62" t="str">
        <f aca="false">IF(C36="","",IFERROR(INDEX(T_NOMBRE,MATCH(V36,T_RUTN,0)),"⚠ RUT no está en Trabajadores"))</f>
        <v/>
      </c>
      <c r="E36" s="61"/>
      <c r="F36" s="61"/>
      <c r="G36" s="61"/>
      <c r="H36" s="61"/>
      <c r="I36" s="81"/>
      <c r="J36" s="81"/>
      <c r="K36" s="60"/>
      <c r="L36" s="60"/>
      <c r="M36" s="60"/>
      <c r="N36" s="60"/>
      <c r="O36" s="60"/>
      <c r="P36" s="60"/>
      <c r="Q36" s="60"/>
      <c r="R36" s="58"/>
      <c r="S36" s="62" t="str">
        <f aca="false">IF(OR(B36="",V36=""),"",IFERROR(INDEX(C_TIPO,MATCH(V36&amp;"-P"&amp;MAX(1,COUNTIFS(C_RUTN,V36,C_DEF,"Sí",C_INI,"&lt;="&amp;EOMONTH(B36,0))),C_CLAVE,0))&amp;"","Sin contrato"))</f>
        <v/>
      </c>
      <c r="T36" s="63" t="str">
        <f aca="false">IF(OR(B36="",N(O36)=0),"",N(O36)+ROUND(MIN(N(N36),TOPE_UF*UF_MES)*(TASA_EMP+MUTUAL),0)+ROUND(MIN(N(N36),TOPE_AFC_UF*UF_MES)*IF(S36="Indefinido",AFC_INDEF,AFC_PF),0))</f>
        <v/>
      </c>
      <c r="U36" s="62" t="str">
        <f aca="false">IF(C36="","",IF(LEFT(D36,1)="⚠","⚠ RUT no registrado en Trabajadores",IF(B36="","⚠ Falta el mes",IF(OR(ISTEXT(I36),ISTEXT(J36)),"⚠ Atrasos u horas extra como texto: escriba hh:mm (ej. 1:30)",IF(AND(ISNUMBER(Q36),COUNTIFS(M_RUTN,V36,M_MES,B36,M_LIQ,"&lt;&gt;")&gt;1),"⚠ Liquidación repetida en el mes",IF(AND(ISNUMBER(O36),ISNUMBER(P36),ISNUMBER(Q36),ABS(O36-P36-Q36)&gt;1),"⚠ Haberes − descuentos no da el líquido","OK"))))))</f>
        <v/>
      </c>
      <c r="V36" s="62" t="str">
        <f aca="false">IF(C36="","",IFERROR(VALUE(LEFT(UPPER(SUBSTITUTE(SUBSTITUTE(SUBSTITUTE(TRIM(C36),".",""),"-","")," ","")),LEN(UPPER(SUBSTITUTE(SUBSTITUTE(SUBSTITUTE(TRIM(C36),".",""),"-","")," ","")))-1))&amp;RIGHT(UPPER(SUBSTITUTE(SUBSTITUTE(SUBSTITUTE(TRIM(C36),".",""),"-","")," ","")),1),UPPER(SUBSTITUTE(SUBSTITUTE(SUBSTITUTE(TRIM(C36),".",""),"-","")," ",""))))</f>
        <v/>
      </c>
    </row>
    <row r="37" customFormat="false" ht="15" hidden="false" customHeight="false" outlineLevel="0" collapsed="false">
      <c r="B37" s="80"/>
      <c r="C37" s="58"/>
      <c r="D37" s="62" t="str">
        <f aca="false">IF(C37="","",IFERROR(INDEX(T_NOMBRE,MATCH(V37,T_RUTN,0)),"⚠ RUT no está en Trabajadores"))</f>
        <v/>
      </c>
      <c r="E37" s="61"/>
      <c r="F37" s="61"/>
      <c r="G37" s="61"/>
      <c r="H37" s="61"/>
      <c r="I37" s="81"/>
      <c r="J37" s="81"/>
      <c r="K37" s="60"/>
      <c r="L37" s="60"/>
      <c r="M37" s="60"/>
      <c r="N37" s="60"/>
      <c r="O37" s="60"/>
      <c r="P37" s="60"/>
      <c r="Q37" s="60"/>
      <c r="R37" s="58"/>
      <c r="S37" s="62" t="str">
        <f aca="false">IF(OR(B37="",V37=""),"",IFERROR(INDEX(C_TIPO,MATCH(V37&amp;"-P"&amp;MAX(1,COUNTIFS(C_RUTN,V37,C_DEF,"Sí",C_INI,"&lt;="&amp;EOMONTH(B37,0))),C_CLAVE,0))&amp;"","Sin contrato"))</f>
        <v/>
      </c>
      <c r="T37" s="63" t="str">
        <f aca="false">IF(OR(B37="",N(O37)=0),"",N(O37)+ROUND(MIN(N(N37),TOPE_UF*UF_MES)*(TASA_EMP+MUTUAL),0)+ROUND(MIN(N(N37),TOPE_AFC_UF*UF_MES)*IF(S37="Indefinido",AFC_INDEF,AFC_PF),0))</f>
        <v/>
      </c>
      <c r="U37" s="62" t="str">
        <f aca="false">IF(C37="","",IF(LEFT(D37,1)="⚠","⚠ RUT no registrado en Trabajadores",IF(B37="","⚠ Falta el mes",IF(OR(ISTEXT(I37),ISTEXT(J37)),"⚠ Atrasos u horas extra como texto: escriba hh:mm (ej. 1:30)",IF(AND(ISNUMBER(Q37),COUNTIFS(M_RUTN,V37,M_MES,B37,M_LIQ,"&lt;&gt;")&gt;1),"⚠ Liquidación repetida en el mes",IF(AND(ISNUMBER(O37),ISNUMBER(P37),ISNUMBER(Q37),ABS(O37-P37-Q37)&gt;1),"⚠ Haberes − descuentos no da el líquido","OK"))))))</f>
        <v/>
      </c>
      <c r="V37" s="62" t="str">
        <f aca="false">IF(C37="","",IFERROR(VALUE(LEFT(UPPER(SUBSTITUTE(SUBSTITUTE(SUBSTITUTE(TRIM(C37),".",""),"-","")," ","")),LEN(UPPER(SUBSTITUTE(SUBSTITUTE(SUBSTITUTE(TRIM(C37),".",""),"-","")," ","")))-1))&amp;RIGHT(UPPER(SUBSTITUTE(SUBSTITUTE(SUBSTITUTE(TRIM(C37),".",""),"-","")," ","")),1),UPPER(SUBSTITUTE(SUBSTITUTE(SUBSTITUTE(TRIM(C37),".",""),"-","")," ",""))))</f>
        <v/>
      </c>
    </row>
    <row r="38" customFormat="false" ht="15" hidden="false" customHeight="false" outlineLevel="0" collapsed="false">
      <c r="B38" s="80"/>
      <c r="C38" s="58"/>
      <c r="D38" s="62" t="str">
        <f aca="false">IF(C38="","",IFERROR(INDEX(T_NOMBRE,MATCH(V38,T_RUTN,0)),"⚠ RUT no está en Trabajadores"))</f>
        <v/>
      </c>
      <c r="E38" s="61"/>
      <c r="F38" s="61"/>
      <c r="G38" s="61"/>
      <c r="H38" s="61"/>
      <c r="I38" s="81"/>
      <c r="J38" s="81"/>
      <c r="K38" s="60"/>
      <c r="L38" s="60"/>
      <c r="M38" s="60"/>
      <c r="N38" s="60"/>
      <c r="O38" s="60"/>
      <c r="P38" s="60"/>
      <c r="Q38" s="60"/>
      <c r="R38" s="58"/>
      <c r="S38" s="62" t="str">
        <f aca="false">IF(OR(B38="",V38=""),"",IFERROR(INDEX(C_TIPO,MATCH(V38&amp;"-P"&amp;MAX(1,COUNTIFS(C_RUTN,V38,C_DEF,"Sí",C_INI,"&lt;="&amp;EOMONTH(B38,0))),C_CLAVE,0))&amp;"","Sin contrato"))</f>
        <v/>
      </c>
      <c r="T38" s="63" t="str">
        <f aca="false">IF(OR(B38="",N(O38)=0),"",N(O38)+ROUND(MIN(N(N38),TOPE_UF*UF_MES)*(TASA_EMP+MUTUAL),0)+ROUND(MIN(N(N38),TOPE_AFC_UF*UF_MES)*IF(S38="Indefinido",AFC_INDEF,AFC_PF),0))</f>
        <v/>
      </c>
      <c r="U38" s="62" t="str">
        <f aca="false">IF(C38="","",IF(LEFT(D38,1)="⚠","⚠ RUT no registrado en Trabajadores",IF(B38="","⚠ Falta el mes",IF(OR(ISTEXT(I38),ISTEXT(J38)),"⚠ Atrasos u horas extra como texto: escriba hh:mm (ej. 1:30)",IF(AND(ISNUMBER(Q38),COUNTIFS(M_RUTN,V38,M_MES,B38,M_LIQ,"&lt;&gt;")&gt;1),"⚠ Liquidación repetida en el mes",IF(AND(ISNUMBER(O38),ISNUMBER(P38),ISNUMBER(Q38),ABS(O38-P38-Q38)&gt;1),"⚠ Haberes − descuentos no da el líquido","OK"))))))</f>
        <v/>
      </c>
      <c r="V38" s="62" t="str">
        <f aca="false">IF(C38="","",IFERROR(VALUE(LEFT(UPPER(SUBSTITUTE(SUBSTITUTE(SUBSTITUTE(TRIM(C38),".",""),"-","")," ","")),LEN(UPPER(SUBSTITUTE(SUBSTITUTE(SUBSTITUTE(TRIM(C38),".",""),"-","")," ","")))-1))&amp;RIGHT(UPPER(SUBSTITUTE(SUBSTITUTE(SUBSTITUTE(TRIM(C38),".",""),"-","")," ","")),1),UPPER(SUBSTITUTE(SUBSTITUTE(SUBSTITUTE(TRIM(C38),".",""),"-","")," ",""))))</f>
        <v/>
      </c>
    </row>
    <row r="39" customFormat="false" ht="15" hidden="false" customHeight="false" outlineLevel="0" collapsed="false">
      <c r="B39" s="80"/>
      <c r="C39" s="58"/>
      <c r="D39" s="62" t="str">
        <f aca="false">IF(C39="","",IFERROR(INDEX(T_NOMBRE,MATCH(V39,T_RUTN,0)),"⚠ RUT no está en Trabajadores"))</f>
        <v/>
      </c>
      <c r="E39" s="61"/>
      <c r="F39" s="61"/>
      <c r="G39" s="61"/>
      <c r="H39" s="61"/>
      <c r="I39" s="81"/>
      <c r="J39" s="81"/>
      <c r="K39" s="60"/>
      <c r="L39" s="60"/>
      <c r="M39" s="60"/>
      <c r="N39" s="60"/>
      <c r="O39" s="60"/>
      <c r="P39" s="60"/>
      <c r="Q39" s="60"/>
      <c r="R39" s="58"/>
      <c r="S39" s="62" t="str">
        <f aca="false">IF(OR(B39="",V39=""),"",IFERROR(INDEX(C_TIPO,MATCH(V39&amp;"-P"&amp;MAX(1,COUNTIFS(C_RUTN,V39,C_DEF,"Sí",C_INI,"&lt;="&amp;EOMONTH(B39,0))),C_CLAVE,0))&amp;"","Sin contrato"))</f>
        <v/>
      </c>
      <c r="T39" s="63" t="str">
        <f aca="false">IF(OR(B39="",N(O39)=0),"",N(O39)+ROUND(MIN(N(N39),TOPE_UF*UF_MES)*(TASA_EMP+MUTUAL),0)+ROUND(MIN(N(N39),TOPE_AFC_UF*UF_MES)*IF(S39="Indefinido",AFC_INDEF,AFC_PF),0))</f>
        <v/>
      </c>
      <c r="U39" s="62" t="str">
        <f aca="false">IF(C39="","",IF(LEFT(D39,1)="⚠","⚠ RUT no registrado en Trabajadores",IF(B39="","⚠ Falta el mes",IF(OR(ISTEXT(I39),ISTEXT(J39)),"⚠ Atrasos u horas extra como texto: escriba hh:mm (ej. 1:30)",IF(AND(ISNUMBER(Q39),COUNTIFS(M_RUTN,V39,M_MES,B39,M_LIQ,"&lt;&gt;")&gt;1),"⚠ Liquidación repetida en el mes",IF(AND(ISNUMBER(O39),ISNUMBER(P39),ISNUMBER(Q39),ABS(O39-P39-Q39)&gt;1),"⚠ Haberes − descuentos no da el líquido","OK"))))))</f>
        <v/>
      </c>
      <c r="V39" s="62" t="str">
        <f aca="false">IF(C39="","",IFERROR(VALUE(LEFT(UPPER(SUBSTITUTE(SUBSTITUTE(SUBSTITUTE(TRIM(C39),".",""),"-","")," ","")),LEN(UPPER(SUBSTITUTE(SUBSTITUTE(SUBSTITUTE(TRIM(C39),".",""),"-","")," ","")))-1))&amp;RIGHT(UPPER(SUBSTITUTE(SUBSTITUTE(SUBSTITUTE(TRIM(C39),".",""),"-","")," ","")),1),UPPER(SUBSTITUTE(SUBSTITUTE(SUBSTITUTE(TRIM(C39),".",""),"-","")," ",""))))</f>
        <v/>
      </c>
    </row>
    <row r="40" customFormat="false" ht="15" hidden="false" customHeight="false" outlineLevel="0" collapsed="false">
      <c r="B40" s="80"/>
      <c r="C40" s="58"/>
      <c r="D40" s="62" t="str">
        <f aca="false">IF(C40="","",IFERROR(INDEX(T_NOMBRE,MATCH(V40,T_RUTN,0)),"⚠ RUT no está en Trabajadores"))</f>
        <v/>
      </c>
      <c r="E40" s="61"/>
      <c r="F40" s="61"/>
      <c r="G40" s="61"/>
      <c r="H40" s="61"/>
      <c r="I40" s="81"/>
      <c r="J40" s="81"/>
      <c r="K40" s="60"/>
      <c r="L40" s="60"/>
      <c r="M40" s="60"/>
      <c r="N40" s="60"/>
      <c r="O40" s="60"/>
      <c r="P40" s="60"/>
      <c r="Q40" s="60"/>
      <c r="R40" s="58"/>
      <c r="S40" s="62" t="str">
        <f aca="false">IF(OR(B40="",V40=""),"",IFERROR(INDEX(C_TIPO,MATCH(V40&amp;"-P"&amp;MAX(1,COUNTIFS(C_RUTN,V40,C_DEF,"Sí",C_INI,"&lt;="&amp;EOMONTH(B40,0))),C_CLAVE,0))&amp;"","Sin contrato"))</f>
        <v/>
      </c>
      <c r="T40" s="63" t="str">
        <f aca="false">IF(OR(B40="",N(O40)=0),"",N(O40)+ROUND(MIN(N(N40),TOPE_UF*UF_MES)*(TASA_EMP+MUTUAL),0)+ROUND(MIN(N(N40),TOPE_AFC_UF*UF_MES)*IF(S40="Indefinido",AFC_INDEF,AFC_PF),0))</f>
        <v/>
      </c>
      <c r="U40" s="62" t="str">
        <f aca="false">IF(C40="","",IF(LEFT(D40,1)="⚠","⚠ RUT no registrado en Trabajadores",IF(B40="","⚠ Falta el mes",IF(OR(ISTEXT(I40),ISTEXT(J40)),"⚠ Atrasos u horas extra como texto: escriba hh:mm (ej. 1:30)",IF(AND(ISNUMBER(Q40),COUNTIFS(M_RUTN,V40,M_MES,B40,M_LIQ,"&lt;&gt;")&gt;1),"⚠ Liquidación repetida en el mes",IF(AND(ISNUMBER(O40),ISNUMBER(P40),ISNUMBER(Q40),ABS(O40-P40-Q40)&gt;1),"⚠ Haberes − descuentos no da el líquido","OK"))))))</f>
        <v/>
      </c>
      <c r="V40" s="62" t="str">
        <f aca="false">IF(C40="","",IFERROR(VALUE(LEFT(UPPER(SUBSTITUTE(SUBSTITUTE(SUBSTITUTE(TRIM(C40),".",""),"-","")," ","")),LEN(UPPER(SUBSTITUTE(SUBSTITUTE(SUBSTITUTE(TRIM(C40),".",""),"-","")," ","")))-1))&amp;RIGHT(UPPER(SUBSTITUTE(SUBSTITUTE(SUBSTITUTE(TRIM(C40),".",""),"-","")," ","")),1),UPPER(SUBSTITUTE(SUBSTITUTE(SUBSTITUTE(TRIM(C40),".",""),"-","")," ",""))))</f>
        <v/>
      </c>
    </row>
    <row r="41" customFormat="false" ht="15" hidden="false" customHeight="false" outlineLevel="0" collapsed="false">
      <c r="B41" s="80"/>
      <c r="C41" s="58"/>
      <c r="D41" s="62" t="str">
        <f aca="false">IF(C41="","",IFERROR(INDEX(T_NOMBRE,MATCH(V41,T_RUTN,0)),"⚠ RUT no está en Trabajadores"))</f>
        <v/>
      </c>
      <c r="E41" s="61"/>
      <c r="F41" s="61"/>
      <c r="G41" s="61"/>
      <c r="H41" s="61"/>
      <c r="I41" s="81"/>
      <c r="J41" s="81"/>
      <c r="K41" s="60"/>
      <c r="L41" s="60"/>
      <c r="M41" s="60"/>
      <c r="N41" s="60"/>
      <c r="O41" s="60"/>
      <c r="P41" s="60"/>
      <c r="Q41" s="60"/>
      <c r="R41" s="58"/>
      <c r="S41" s="62" t="str">
        <f aca="false">IF(OR(B41="",V41=""),"",IFERROR(INDEX(C_TIPO,MATCH(V41&amp;"-P"&amp;MAX(1,COUNTIFS(C_RUTN,V41,C_DEF,"Sí",C_INI,"&lt;="&amp;EOMONTH(B41,0))),C_CLAVE,0))&amp;"","Sin contrato"))</f>
        <v/>
      </c>
      <c r="T41" s="63" t="str">
        <f aca="false">IF(OR(B41="",N(O41)=0),"",N(O41)+ROUND(MIN(N(N41),TOPE_UF*UF_MES)*(TASA_EMP+MUTUAL),0)+ROUND(MIN(N(N41),TOPE_AFC_UF*UF_MES)*IF(S41="Indefinido",AFC_INDEF,AFC_PF),0))</f>
        <v/>
      </c>
      <c r="U41" s="62" t="str">
        <f aca="false">IF(C41="","",IF(LEFT(D41,1)="⚠","⚠ RUT no registrado en Trabajadores",IF(B41="","⚠ Falta el mes",IF(OR(ISTEXT(I41),ISTEXT(J41)),"⚠ Atrasos u horas extra como texto: escriba hh:mm (ej. 1:30)",IF(AND(ISNUMBER(Q41),COUNTIFS(M_RUTN,V41,M_MES,B41,M_LIQ,"&lt;&gt;")&gt;1),"⚠ Liquidación repetida en el mes",IF(AND(ISNUMBER(O41),ISNUMBER(P41),ISNUMBER(Q41),ABS(O41-P41-Q41)&gt;1),"⚠ Haberes − descuentos no da el líquido","OK"))))))</f>
        <v/>
      </c>
      <c r="V41" s="62" t="str">
        <f aca="false">IF(C41="","",IFERROR(VALUE(LEFT(UPPER(SUBSTITUTE(SUBSTITUTE(SUBSTITUTE(TRIM(C41),".",""),"-","")," ","")),LEN(UPPER(SUBSTITUTE(SUBSTITUTE(SUBSTITUTE(TRIM(C41),".",""),"-","")," ","")))-1))&amp;RIGHT(UPPER(SUBSTITUTE(SUBSTITUTE(SUBSTITUTE(TRIM(C41),".",""),"-","")," ","")),1),UPPER(SUBSTITUTE(SUBSTITUTE(SUBSTITUTE(TRIM(C41),".",""),"-","")," ",""))))</f>
        <v/>
      </c>
    </row>
    <row r="42" customFormat="false" ht="15" hidden="false" customHeight="false" outlineLevel="0" collapsed="false">
      <c r="B42" s="80"/>
      <c r="C42" s="58"/>
      <c r="D42" s="62" t="str">
        <f aca="false">IF(C42="","",IFERROR(INDEX(T_NOMBRE,MATCH(V42,T_RUTN,0)),"⚠ RUT no está en Trabajadores"))</f>
        <v/>
      </c>
      <c r="E42" s="61"/>
      <c r="F42" s="61"/>
      <c r="G42" s="61"/>
      <c r="H42" s="61"/>
      <c r="I42" s="81"/>
      <c r="J42" s="81"/>
      <c r="K42" s="60"/>
      <c r="L42" s="60"/>
      <c r="M42" s="60"/>
      <c r="N42" s="60"/>
      <c r="O42" s="60"/>
      <c r="P42" s="60"/>
      <c r="Q42" s="60"/>
      <c r="R42" s="58"/>
      <c r="S42" s="62" t="str">
        <f aca="false">IF(OR(B42="",V42=""),"",IFERROR(INDEX(C_TIPO,MATCH(V42&amp;"-P"&amp;MAX(1,COUNTIFS(C_RUTN,V42,C_DEF,"Sí",C_INI,"&lt;="&amp;EOMONTH(B42,0))),C_CLAVE,0))&amp;"","Sin contrato"))</f>
        <v/>
      </c>
      <c r="T42" s="63" t="str">
        <f aca="false">IF(OR(B42="",N(O42)=0),"",N(O42)+ROUND(MIN(N(N42),TOPE_UF*UF_MES)*(TASA_EMP+MUTUAL),0)+ROUND(MIN(N(N42),TOPE_AFC_UF*UF_MES)*IF(S42="Indefinido",AFC_INDEF,AFC_PF),0))</f>
        <v/>
      </c>
      <c r="U42" s="62" t="str">
        <f aca="false">IF(C42="","",IF(LEFT(D42,1)="⚠","⚠ RUT no registrado en Trabajadores",IF(B42="","⚠ Falta el mes",IF(OR(ISTEXT(I42),ISTEXT(J42)),"⚠ Atrasos u horas extra como texto: escriba hh:mm (ej. 1:30)",IF(AND(ISNUMBER(Q42),COUNTIFS(M_RUTN,V42,M_MES,B42,M_LIQ,"&lt;&gt;")&gt;1),"⚠ Liquidación repetida en el mes",IF(AND(ISNUMBER(O42),ISNUMBER(P42),ISNUMBER(Q42),ABS(O42-P42-Q42)&gt;1),"⚠ Haberes − descuentos no da el líquido","OK"))))))</f>
        <v/>
      </c>
      <c r="V42" s="62" t="str">
        <f aca="false">IF(C42="","",IFERROR(VALUE(LEFT(UPPER(SUBSTITUTE(SUBSTITUTE(SUBSTITUTE(TRIM(C42),".",""),"-","")," ","")),LEN(UPPER(SUBSTITUTE(SUBSTITUTE(SUBSTITUTE(TRIM(C42),".",""),"-","")," ","")))-1))&amp;RIGHT(UPPER(SUBSTITUTE(SUBSTITUTE(SUBSTITUTE(TRIM(C42),".",""),"-","")," ","")),1),UPPER(SUBSTITUTE(SUBSTITUTE(SUBSTITUTE(TRIM(C42),".",""),"-","")," ",""))))</f>
        <v/>
      </c>
    </row>
    <row r="43" customFormat="false" ht="15" hidden="false" customHeight="false" outlineLevel="0" collapsed="false">
      <c r="B43" s="80"/>
      <c r="C43" s="58"/>
      <c r="D43" s="62" t="str">
        <f aca="false">IF(C43="","",IFERROR(INDEX(T_NOMBRE,MATCH(V43,T_RUTN,0)),"⚠ RUT no está en Trabajadores"))</f>
        <v/>
      </c>
      <c r="E43" s="61"/>
      <c r="F43" s="61"/>
      <c r="G43" s="61"/>
      <c r="H43" s="61"/>
      <c r="I43" s="81"/>
      <c r="J43" s="81"/>
      <c r="K43" s="60"/>
      <c r="L43" s="60"/>
      <c r="M43" s="60"/>
      <c r="N43" s="60"/>
      <c r="O43" s="60"/>
      <c r="P43" s="60"/>
      <c r="Q43" s="60"/>
      <c r="R43" s="58"/>
      <c r="S43" s="62" t="str">
        <f aca="false">IF(OR(B43="",V43=""),"",IFERROR(INDEX(C_TIPO,MATCH(V43&amp;"-P"&amp;MAX(1,COUNTIFS(C_RUTN,V43,C_DEF,"Sí",C_INI,"&lt;="&amp;EOMONTH(B43,0))),C_CLAVE,0))&amp;"","Sin contrato"))</f>
        <v/>
      </c>
      <c r="T43" s="63" t="str">
        <f aca="false">IF(OR(B43="",N(O43)=0),"",N(O43)+ROUND(MIN(N(N43),TOPE_UF*UF_MES)*(TASA_EMP+MUTUAL),0)+ROUND(MIN(N(N43),TOPE_AFC_UF*UF_MES)*IF(S43="Indefinido",AFC_INDEF,AFC_PF),0))</f>
        <v/>
      </c>
      <c r="U43" s="62" t="str">
        <f aca="false">IF(C43="","",IF(LEFT(D43,1)="⚠","⚠ RUT no registrado en Trabajadores",IF(B43="","⚠ Falta el mes",IF(OR(ISTEXT(I43),ISTEXT(J43)),"⚠ Atrasos u horas extra como texto: escriba hh:mm (ej. 1:30)",IF(AND(ISNUMBER(Q43),COUNTIFS(M_RUTN,V43,M_MES,B43,M_LIQ,"&lt;&gt;")&gt;1),"⚠ Liquidación repetida en el mes",IF(AND(ISNUMBER(O43),ISNUMBER(P43),ISNUMBER(Q43),ABS(O43-P43-Q43)&gt;1),"⚠ Haberes − descuentos no da el líquido","OK"))))))</f>
        <v/>
      </c>
      <c r="V43" s="62" t="str">
        <f aca="false">IF(C43="","",IFERROR(VALUE(LEFT(UPPER(SUBSTITUTE(SUBSTITUTE(SUBSTITUTE(TRIM(C43),".",""),"-","")," ","")),LEN(UPPER(SUBSTITUTE(SUBSTITUTE(SUBSTITUTE(TRIM(C43),".",""),"-","")," ","")))-1))&amp;RIGHT(UPPER(SUBSTITUTE(SUBSTITUTE(SUBSTITUTE(TRIM(C43),".",""),"-","")," ","")),1),UPPER(SUBSTITUTE(SUBSTITUTE(SUBSTITUTE(TRIM(C43),".",""),"-","")," ",""))))</f>
        <v/>
      </c>
    </row>
    <row r="44" customFormat="false" ht="15" hidden="false" customHeight="false" outlineLevel="0" collapsed="false">
      <c r="B44" s="80"/>
      <c r="C44" s="58"/>
      <c r="D44" s="62" t="str">
        <f aca="false">IF(C44="","",IFERROR(INDEX(T_NOMBRE,MATCH(V44,T_RUTN,0)),"⚠ RUT no está en Trabajadores"))</f>
        <v/>
      </c>
      <c r="E44" s="61"/>
      <c r="F44" s="61"/>
      <c r="G44" s="61"/>
      <c r="H44" s="61"/>
      <c r="I44" s="81"/>
      <c r="J44" s="81"/>
      <c r="K44" s="60"/>
      <c r="L44" s="60"/>
      <c r="M44" s="60"/>
      <c r="N44" s="60"/>
      <c r="O44" s="60"/>
      <c r="P44" s="60"/>
      <c r="Q44" s="60"/>
      <c r="R44" s="58"/>
      <c r="S44" s="62" t="str">
        <f aca="false">IF(OR(B44="",V44=""),"",IFERROR(INDEX(C_TIPO,MATCH(V44&amp;"-P"&amp;MAX(1,COUNTIFS(C_RUTN,V44,C_DEF,"Sí",C_INI,"&lt;="&amp;EOMONTH(B44,0))),C_CLAVE,0))&amp;"","Sin contrato"))</f>
        <v/>
      </c>
      <c r="T44" s="63" t="str">
        <f aca="false">IF(OR(B44="",N(O44)=0),"",N(O44)+ROUND(MIN(N(N44),TOPE_UF*UF_MES)*(TASA_EMP+MUTUAL),0)+ROUND(MIN(N(N44),TOPE_AFC_UF*UF_MES)*IF(S44="Indefinido",AFC_INDEF,AFC_PF),0))</f>
        <v/>
      </c>
      <c r="U44" s="62" t="str">
        <f aca="false">IF(C44="","",IF(LEFT(D44,1)="⚠","⚠ RUT no registrado en Trabajadores",IF(B44="","⚠ Falta el mes",IF(OR(ISTEXT(I44),ISTEXT(J44)),"⚠ Atrasos u horas extra como texto: escriba hh:mm (ej. 1:30)",IF(AND(ISNUMBER(Q44),COUNTIFS(M_RUTN,V44,M_MES,B44,M_LIQ,"&lt;&gt;")&gt;1),"⚠ Liquidación repetida en el mes",IF(AND(ISNUMBER(O44),ISNUMBER(P44),ISNUMBER(Q44),ABS(O44-P44-Q44)&gt;1),"⚠ Haberes − descuentos no da el líquido","OK"))))))</f>
        <v/>
      </c>
      <c r="V44" s="62" t="str">
        <f aca="false">IF(C44="","",IFERROR(VALUE(LEFT(UPPER(SUBSTITUTE(SUBSTITUTE(SUBSTITUTE(TRIM(C44),".",""),"-","")," ","")),LEN(UPPER(SUBSTITUTE(SUBSTITUTE(SUBSTITUTE(TRIM(C44),".",""),"-","")," ","")))-1))&amp;RIGHT(UPPER(SUBSTITUTE(SUBSTITUTE(SUBSTITUTE(TRIM(C44),".",""),"-","")," ","")),1),UPPER(SUBSTITUTE(SUBSTITUTE(SUBSTITUTE(TRIM(C44),".",""),"-","")," ",""))))</f>
        <v/>
      </c>
    </row>
    <row r="45" customFormat="false" ht="15" hidden="false" customHeight="false" outlineLevel="0" collapsed="false">
      <c r="B45" s="80"/>
      <c r="C45" s="58"/>
      <c r="D45" s="62" t="str">
        <f aca="false">IF(C45="","",IFERROR(INDEX(T_NOMBRE,MATCH(V45,T_RUTN,0)),"⚠ RUT no está en Trabajadores"))</f>
        <v/>
      </c>
      <c r="E45" s="61"/>
      <c r="F45" s="61"/>
      <c r="G45" s="61"/>
      <c r="H45" s="61"/>
      <c r="I45" s="81"/>
      <c r="J45" s="81"/>
      <c r="K45" s="60"/>
      <c r="L45" s="60"/>
      <c r="M45" s="60"/>
      <c r="N45" s="60"/>
      <c r="O45" s="60"/>
      <c r="P45" s="60"/>
      <c r="Q45" s="60"/>
      <c r="R45" s="58"/>
      <c r="S45" s="62" t="str">
        <f aca="false">IF(OR(B45="",V45=""),"",IFERROR(INDEX(C_TIPO,MATCH(V45&amp;"-P"&amp;MAX(1,COUNTIFS(C_RUTN,V45,C_DEF,"Sí",C_INI,"&lt;="&amp;EOMONTH(B45,0))),C_CLAVE,0))&amp;"","Sin contrato"))</f>
        <v/>
      </c>
      <c r="T45" s="63" t="str">
        <f aca="false">IF(OR(B45="",N(O45)=0),"",N(O45)+ROUND(MIN(N(N45),TOPE_UF*UF_MES)*(TASA_EMP+MUTUAL),0)+ROUND(MIN(N(N45),TOPE_AFC_UF*UF_MES)*IF(S45="Indefinido",AFC_INDEF,AFC_PF),0))</f>
        <v/>
      </c>
      <c r="U45" s="62" t="str">
        <f aca="false">IF(C45="","",IF(LEFT(D45,1)="⚠","⚠ RUT no registrado en Trabajadores",IF(B45="","⚠ Falta el mes",IF(OR(ISTEXT(I45),ISTEXT(J45)),"⚠ Atrasos u horas extra como texto: escriba hh:mm (ej. 1:30)",IF(AND(ISNUMBER(Q45),COUNTIFS(M_RUTN,V45,M_MES,B45,M_LIQ,"&lt;&gt;")&gt;1),"⚠ Liquidación repetida en el mes",IF(AND(ISNUMBER(O45),ISNUMBER(P45),ISNUMBER(Q45),ABS(O45-P45-Q45)&gt;1),"⚠ Haberes − descuentos no da el líquido","OK"))))))</f>
        <v/>
      </c>
      <c r="V45" s="62" t="str">
        <f aca="false">IF(C45="","",IFERROR(VALUE(LEFT(UPPER(SUBSTITUTE(SUBSTITUTE(SUBSTITUTE(TRIM(C45),".",""),"-","")," ","")),LEN(UPPER(SUBSTITUTE(SUBSTITUTE(SUBSTITUTE(TRIM(C45),".",""),"-","")," ","")))-1))&amp;RIGHT(UPPER(SUBSTITUTE(SUBSTITUTE(SUBSTITUTE(TRIM(C45),".",""),"-","")," ","")),1),UPPER(SUBSTITUTE(SUBSTITUTE(SUBSTITUTE(TRIM(C45),".",""),"-","")," ",""))))</f>
        <v/>
      </c>
    </row>
    <row r="46" customFormat="false" ht="15" hidden="false" customHeight="false" outlineLevel="0" collapsed="false">
      <c r="B46" s="80"/>
      <c r="C46" s="58"/>
      <c r="D46" s="62" t="str">
        <f aca="false">IF(C46="","",IFERROR(INDEX(T_NOMBRE,MATCH(V46,T_RUTN,0)),"⚠ RUT no está en Trabajadores"))</f>
        <v/>
      </c>
      <c r="E46" s="61"/>
      <c r="F46" s="61"/>
      <c r="G46" s="61"/>
      <c r="H46" s="61"/>
      <c r="I46" s="81"/>
      <c r="J46" s="81"/>
      <c r="K46" s="60"/>
      <c r="L46" s="60"/>
      <c r="M46" s="60"/>
      <c r="N46" s="60"/>
      <c r="O46" s="60"/>
      <c r="P46" s="60"/>
      <c r="Q46" s="60"/>
      <c r="R46" s="58"/>
      <c r="S46" s="62" t="str">
        <f aca="false">IF(OR(B46="",V46=""),"",IFERROR(INDEX(C_TIPO,MATCH(V46&amp;"-P"&amp;MAX(1,COUNTIFS(C_RUTN,V46,C_DEF,"Sí",C_INI,"&lt;="&amp;EOMONTH(B46,0))),C_CLAVE,0))&amp;"","Sin contrato"))</f>
        <v/>
      </c>
      <c r="T46" s="63" t="str">
        <f aca="false">IF(OR(B46="",N(O46)=0),"",N(O46)+ROUND(MIN(N(N46),TOPE_UF*UF_MES)*(TASA_EMP+MUTUAL),0)+ROUND(MIN(N(N46),TOPE_AFC_UF*UF_MES)*IF(S46="Indefinido",AFC_INDEF,AFC_PF),0))</f>
        <v/>
      </c>
      <c r="U46" s="62" t="str">
        <f aca="false">IF(C46="","",IF(LEFT(D46,1)="⚠","⚠ RUT no registrado en Trabajadores",IF(B46="","⚠ Falta el mes",IF(OR(ISTEXT(I46),ISTEXT(J46)),"⚠ Atrasos u horas extra como texto: escriba hh:mm (ej. 1:30)",IF(AND(ISNUMBER(Q46),COUNTIFS(M_RUTN,V46,M_MES,B46,M_LIQ,"&lt;&gt;")&gt;1),"⚠ Liquidación repetida en el mes",IF(AND(ISNUMBER(O46),ISNUMBER(P46),ISNUMBER(Q46),ABS(O46-P46-Q46)&gt;1),"⚠ Haberes − descuentos no da el líquido","OK"))))))</f>
        <v/>
      </c>
      <c r="V46" s="62" t="str">
        <f aca="false">IF(C46="","",IFERROR(VALUE(LEFT(UPPER(SUBSTITUTE(SUBSTITUTE(SUBSTITUTE(TRIM(C46),".",""),"-","")," ","")),LEN(UPPER(SUBSTITUTE(SUBSTITUTE(SUBSTITUTE(TRIM(C46),".",""),"-","")," ","")))-1))&amp;RIGHT(UPPER(SUBSTITUTE(SUBSTITUTE(SUBSTITUTE(TRIM(C46),".",""),"-","")," ","")),1),UPPER(SUBSTITUTE(SUBSTITUTE(SUBSTITUTE(TRIM(C46),".",""),"-","")," ",""))))</f>
        <v/>
      </c>
    </row>
    <row r="47" customFormat="false" ht="15" hidden="false" customHeight="false" outlineLevel="0" collapsed="false">
      <c r="B47" s="80"/>
      <c r="C47" s="58"/>
      <c r="D47" s="62" t="str">
        <f aca="false">IF(C47="","",IFERROR(INDEX(T_NOMBRE,MATCH(V47,T_RUTN,0)),"⚠ RUT no está en Trabajadores"))</f>
        <v/>
      </c>
      <c r="E47" s="61"/>
      <c r="F47" s="61"/>
      <c r="G47" s="61"/>
      <c r="H47" s="61"/>
      <c r="I47" s="81"/>
      <c r="J47" s="81"/>
      <c r="K47" s="60"/>
      <c r="L47" s="60"/>
      <c r="M47" s="60"/>
      <c r="N47" s="60"/>
      <c r="O47" s="60"/>
      <c r="P47" s="60"/>
      <c r="Q47" s="60"/>
      <c r="R47" s="58"/>
      <c r="S47" s="62" t="str">
        <f aca="false">IF(OR(B47="",V47=""),"",IFERROR(INDEX(C_TIPO,MATCH(V47&amp;"-P"&amp;MAX(1,COUNTIFS(C_RUTN,V47,C_DEF,"Sí",C_INI,"&lt;="&amp;EOMONTH(B47,0))),C_CLAVE,0))&amp;"","Sin contrato"))</f>
        <v/>
      </c>
      <c r="T47" s="63" t="str">
        <f aca="false">IF(OR(B47="",N(O47)=0),"",N(O47)+ROUND(MIN(N(N47),TOPE_UF*UF_MES)*(TASA_EMP+MUTUAL),0)+ROUND(MIN(N(N47),TOPE_AFC_UF*UF_MES)*IF(S47="Indefinido",AFC_INDEF,AFC_PF),0))</f>
        <v/>
      </c>
      <c r="U47" s="62" t="str">
        <f aca="false">IF(C47="","",IF(LEFT(D47,1)="⚠","⚠ RUT no registrado en Trabajadores",IF(B47="","⚠ Falta el mes",IF(OR(ISTEXT(I47),ISTEXT(J47)),"⚠ Atrasos u horas extra como texto: escriba hh:mm (ej. 1:30)",IF(AND(ISNUMBER(Q47),COUNTIFS(M_RUTN,V47,M_MES,B47,M_LIQ,"&lt;&gt;")&gt;1),"⚠ Liquidación repetida en el mes",IF(AND(ISNUMBER(O47),ISNUMBER(P47),ISNUMBER(Q47),ABS(O47-P47-Q47)&gt;1),"⚠ Haberes − descuentos no da el líquido","OK"))))))</f>
        <v/>
      </c>
      <c r="V47" s="62" t="str">
        <f aca="false">IF(C47="","",IFERROR(VALUE(LEFT(UPPER(SUBSTITUTE(SUBSTITUTE(SUBSTITUTE(TRIM(C47),".",""),"-","")," ","")),LEN(UPPER(SUBSTITUTE(SUBSTITUTE(SUBSTITUTE(TRIM(C47),".",""),"-","")," ","")))-1))&amp;RIGHT(UPPER(SUBSTITUTE(SUBSTITUTE(SUBSTITUTE(TRIM(C47),".",""),"-","")," ","")),1),UPPER(SUBSTITUTE(SUBSTITUTE(SUBSTITUTE(TRIM(C47),".",""),"-","")," ",""))))</f>
        <v/>
      </c>
    </row>
    <row r="48" customFormat="false" ht="15" hidden="false" customHeight="false" outlineLevel="0" collapsed="false">
      <c r="B48" s="80"/>
      <c r="C48" s="58"/>
      <c r="D48" s="62" t="str">
        <f aca="false">IF(C48="","",IFERROR(INDEX(T_NOMBRE,MATCH(V48,T_RUTN,0)),"⚠ RUT no está en Trabajadores"))</f>
        <v/>
      </c>
      <c r="E48" s="61"/>
      <c r="F48" s="61"/>
      <c r="G48" s="61"/>
      <c r="H48" s="61"/>
      <c r="I48" s="81"/>
      <c r="J48" s="81"/>
      <c r="K48" s="60"/>
      <c r="L48" s="60"/>
      <c r="M48" s="60"/>
      <c r="N48" s="60"/>
      <c r="O48" s="60"/>
      <c r="P48" s="60"/>
      <c r="Q48" s="60"/>
      <c r="R48" s="58"/>
      <c r="S48" s="62" t="str">
        <f aca="false">IF(OR(B48="",V48=""),"",IFERROR(INDEX(C_TIPO,MATCH(V48&amp;"-P"&amp;MAX(1,COUNTIFS(C_RUTN,V48,C_DEF,"Sí",C_INI,"&lt;="&amp;EOMONTH(B48,0))),C_CLAVE,0))&amp;"","Sin contrato"))</f>
        <v/>
      </c>
      <c r="T48" s="63" t="str">
        <f aca="false">IF(OR(B48="",N(O48)=0),"",N(O48)+ROUND(MIN(N(N48),TOPE_UF*UF_MES)*(TASA_EMP+MUTUAL),0)+ROUND(MIN(N(N48),TOPE_AFC_UF*UF_MES)*IF(S48="Indefinido",AFC_INDEF,AFC_PF),0))</f>
        <v/>
      </c>
      <c r="U48" s="62" t="str">
        <f aca="false">IF(C48="","",IF(LEFT(D48,1)="⚠","⚠ RUT no registrado en Trabajadores",IF(B48="","⚠ Falta el mes",IF(OR(ISTEXT(I48),ISTEXT(J48)),"⚠ Atrasos u horas extra como texto: escriba hh:mm (ej. 1:30)",IF(AND(ISNUMBER(Q48),COUNTIFS(M_RUTN,V48,M_MES,B48,M_LIQ,"&lt;&gt;")&gt;1),"⚠ Liquidación repetida en el mes",IF(AND(ISNUMBER(O48),ISNUMBER(P48),ISNUMBER(Q48),ABS(O48-P48-Q48)&gt;1),"⚠ Haberes − descuentos no da el líquido","OK"))))))</f>
        <v/>
      </c>
      <c r="V48" s="62" t="str">
        <f aca="false">IF(C48="","",IFERROR(VALUE(LEFT(UPPER(SUBSTITUTE(SUBSTITUTE(SUBSTITUTE(TRIM(C48),".",""),"-","")," ","")),LEN(UPPER(SUBSTITUTE(SUBSTITUTE(SUBSTITUTE(TRIM(C48),".",""),"-","")," ","")))-1))&amp;RIGHT(UPPER(SUBSTITUTE(SUBSTITUTE(SUBSTITUTE(TRIM(C48),".",""),"-","")," ","")),1),UPPER(SUBSTITUTE(SUBSTITUTE(SUBSTITUTE(TRIM(C48),".",""),"-","")," ",""))))</f>
        <v/>
      </c>
    </row>
    <row r="49" customFormat="false" ht="15" hidden="false" customHeight="false" outlineLevel="0" collapsed="false">
      <c r="B49" s="80"/>
      <c r="C49" s="58"/>
      <c r="D49" s="62" t="str">
        <f aca="false">IF(C49="","",IFERROR(INDEX(T_NOMBRE,MATCH(V49,T_RUTN,0)),"⚠ RUT no está en Trabajadores"))</f>
        <v/>
      </c>
      <c r="E49" s="61"/>
      <c r="F49" s="61"/>
      <c r="G49" s="61"/>
      <c r="H49" s="61"/>
      <c r="I49" s="81"/>
      <c r="J49" s="81"/>
      <c r="K49" s="60"/>
      <c r="L49" s="60"/>
      <c r="M49" s="60"/>
      <c r="N49" s="60"/>
      <c r="O49" s="60"/>
      <c r="P49" s="60"/>
      <c r="Q49" s="60"/>
      <c r="R49" s="58"/>
      <c r="S49" s="62" t="str">
        <f aca="false">IF(OR(B49="",V49=""),"",IFERROR(INDEX(C_TIPO,MATCH(V49&amp;"-P"&amp;MAX(1,COUNTIFS(C_RUTN,V49,C_DEF,"Sí",C_INI,"&lt;="&amp;EOMONTH(B49,0))),C_CLAVE,0))&amp;"","Sin contrato"))</f>
        <v/>
      </c>
      <c r="T49" s="63" t="str">
        <f aca="false">IF(OR(B49="",N(O49)=0),"",N(O49)+ROUND(MIN(N(N49),TOPE_UF*UF_MES)*(TASA_EMP+MUTUAL),0)+ROUND(MIN(N(N49),TOPE_AFC_UF*UF_MES)*IF(S49="Indefinido",AFC_INDEF,AFC_PF),0))</f>
        <v/>
      </c>
      <c r="U49" s="62" t="str">
        <f aca="false">IF(C49="","",IF(LEFT(D49,1)="⚠","⚠ RUT no registrado en Trabajadores",IF(B49="","⚠ Falta el mes",IF(OR(ISTEXT(I49),ISTEXT(J49)),"⚠ Atrasos u horas extra como texto: escriba hh:mm (ej. 1:30)",IF(AND(ISNUMBER(Q49),COUNTIFS(M_RUTN,V49,M_MES,B49,M_LIQ,"&lt;&gt;")&gt;1),"⚠ Liquidación repetida en el mes",IF(AND(ISNUMBER(O49),ISNUMBER(P49),ISNUMBER(Q49),ABS(O49-P49-Q49)&gt;1),"⚠ Haberes − descuentos no da el líquido","OK"))))))</f>
        <v/>
      </c>
      <c r="V49" s="62" t="str">
        <f aca="false">IF(C49="","",IFERROR(VALUE(LEFT(UPPER(SUBSTITUTE(SUBSTITUTE(SUBSTITUTE(TRIM(C49),".",""),"-","")," ","")),LEN(UPPER(SUBSTITUTE(SUBSTITUTE(SUBSTITUTE(TRIM(C49),".",""),"-","")," ","")))-1))&amp;RIGHT(UPPER(SUBSTITUTE(SUBSTITUTE(SUBSTITUTE(TRIM(C49),".",""),"-","")," ","")),1),UPPER(SUBSTITUTE(SUBSTITUTE(SUBSTITUTE(TRIM(C49),".",""),"-","")," ",""))))</f>
        <v/>
      </c>
    </row>
    <row r="50" customFormat="false" ht="15" hidden="false" customHeight="false" outlineLevel="0" collapsed="false">
      <c r="B50" s="80"/>
      <c r="C50" s="58"/>
      <c r="D50" s="62" t="str">
        <f aca="false">IF(C50="","",IFERROR(INDEX(T_NOMBRE,MATCH(V50,T_RUTN,0)),"⚠ RUT no está en Trabajadores"))</f>
        <v/>
      </c>
      <c r="E50" s="61"/>
      <c r="F50" s="61"/>
      <c r="G50" s="61"/>
      <c r="H50" s="61"/>
      <c r="I50" s="81"/>
      <c r="J50" s="81"/>
      <c r="K50" s="60"/>
      <c r="L50" s="60"/>
      <c r="M50" s="60"/>
      <c r="N50" s="60"/>
      <c r="O50" s="60"/>
      <c r="P50" s="60"/>
      <c r="Q50" s="60"/>
      <c r="R50" s="58"/>
      <c r="S50" s="62" t="str">
        <f aca="false">IF(OR(B50="",V50=""),"",IFERROR(INDEX(C_TIPO,MATCH(V50&amp;"-P"&amp;MAX(1,COUNTIFS(C_RUTN,V50,C_DEF,"Sí",C_INI,"&lt;="&amp;EOMONTH(B50,0))),C_CLAVE,0))&amp;"","Sin contrato"))</f>
        <v/>
      </c>
      <c r="T50" s="63" t="str">
        <f aca="false">IF(OR(B50="",N(O50)=0),"",N(O50)+ROUND(MIN(N(N50),TOPE_UF*UF_MES)*(TASA_EMP+MUTUAL),0)+ROUND(MIN(N(N50),TOPE_AFC_UF*UF_MES)*IF(S50="Indefinido",AFC_INDEF,AFC_PF),0))</f>
        <v/>
      </c>
      <c r="U50" s="62" t="str">
        <f aca="false">IF(C50="","",IF(LEFT(D50,1)="⚠","⚠ RUT no registrado en Trabajadores",IF(B50="","⚠ Falta el mes",IF(OR(ISTEXT(I50),ISTEXT(J50)),"⚠ Atrasos u horas extra como texto: escriba hh:mm (ej. 1:30)",IF(AND(ISNUMBER(Q50),COUNTIFS(M_RUTN,V50,M_MES,B50,M_LIQ,"&lt;&gt;")&gt;1),"⚠ Liquidación repetida en el mes",IF(AND(ISNUMBER(O50),ISNUMBER(P50),ISNUMBER(Q50),ABS(O50-P50-Q50)&gt;1),"⚠ Haberes − descuentos no da el líquido","OK"))))))</f>
        <v/>
      </c>
      <c r="V50" s="62" t="str">
        <f aca="false">IF(C50="","",IFERROR(VALUE(LEFT(UPPER(SUBSTITUTE(SUBSTITUTE(SUBSTITUTE(TRIM(C50),".",""),"-","")," ","")),LEN(UPPER(SUBSTITUTE(SUBSTITUTE(SUBSTITUTE(TRIM(C50),".",""),"-","")," ","")))-1))&amp;RIGHT(UPPER(SUBSTITUTE(SUBSTITUTE(SUBSTITUTE(TRIM(C50),".",""),"-","")," ","")),1),UPPER(SUBSTITUTE(SUBSTITUTE(SUBSTITUTE(TRIM(C50),".",""),"-","")," ",""))))</f>
        <v/>
      </c>
    </row>
    <row r="51" customFormat="false" ht="15" hidden="false" customHeight="false" outlineLevel="0" collapsed="false">
      <c r="B51" s="80"/>
      <c r="C51" s="58"/>
      <c r="D51" s="62" t="str">
        <f aca="false">IF(C51="","",IFERROR(INDEX(T_NOMBRE,MATCH(V51,T_RUTN,0)),"⚠ RUT no está en Trabajadores"))</f>
        <v/>
      </c>
      <c r="E51" s="61"/>
      <c r="F51" s="61"/>
      <c r="G51" s="61"/>
      <c r="H51" s="61"/>
      <c r="I51" s="81"/>
      <c r="J51" s="81"/>
      <c r="K51" s="60"/>
      <c r="L51" s="60"/>
      <c r="M51" s="60"/>
      <c r="N51" s="60"/>
      <c r="O51" s="60"/>
      <c r="P51" s="60"/>
      <c r="Q51" s="60"/>
      <c r="R51" s="58"/>
      <c r="S51" s="62" t="str">
        <f aca="false">IF(OR(B51="",V51=""),"",IFERROR(INDEX(C_TIPO,MATCH(V51&amp;"-P"&amp;MAX(1,COUNTIFS(C_RUTN,V51,C_DEF,"Sí",C_INI,"&lt;="&amp;EOMONTH(B51,0))),C_CLAVE,0))&amp;"","Sin contrato"))</f>
        <v/>
      </c>
      <c r="T51" s="63" t="str">
        <f aca="false">IF(OR(B51="",N(O51)=0),"",N(O51)+ROUND(MIN(N(N51),TOPE_UF*UF_MES)*(TASA_EMP+MUTUAL),0)+ROUND(MIN(N(N51),TOPE_AFC_UF*UF_MES)*IF(S51="Indefinido",AFC_INDEF,AFC_PF),0))</f>
        <v/>
      </c>
      <c r="U51" s="62" t="str">
        <f aca="false">IF(C51="","",IF(LEFT(D51,1)="⚠","⚠ RUT no registrado en Trabajadores",IF(B51="","⚠ Falta el mes",IF(OR(ISTEXT(I51),ISTEXT(J51)),"⚠ Atrasos u horas extra como texto: escriba hh:mm (ej. 1:30)",IF(AND(ISNUMBER(Q51),COUNTIFS(M_RUTN,V51,M_MES,B51,M_LIQ,"&lt;&gt;")&gt;1),"⚠ Liquidación repetida en el mes",IF(AND(ISNUMBER(O51),ISNUMBER(P51),ISNUMBER(Q51),ABS(O51-P51-Q51)&gt;1),"⚠ Haberes − descuentos no da el líquido","OK"))))))</f>
        <v/>
      </c>
      <c r="V51" s="62" t="str">
        <f aca="false">IF(C51="","",IFERROR(VALUE(LEFT(UPPER(SUBSTITUTE(SUBSTITUTE(SUBSTITUTE(TRIM(C51),".",""),"-","")," ","")),LEN(UPPER(SUBSTITUTE(SUBSTITUTE(SUBSTITUTE(TRIM(C51),".",""),"-","")," ","")))-1))&amp;RIGHT(UPPER(SUBSTITUTE(SUBSTITUTE(SUBSTITUTE(TRIM(C51),".",""),"-","")," ","")),1),UPPER(SUBSTITUTE(SUBSTITUTE(SUBSTITUTE(TRIM(C51),".",""),"-","")," ",""))))</f>
        <v/>
      </c>
    </row>
    <row r="52" customFormat="false" ht="15" hidden="false" customHeight="false" outlineLevel="0" collapsed="false">
      <c r="B52" s="80"/>
      <c r="C52" s="58"/>
      <c r="D52" s="62" t="str">
        <f aca="false">IF(C52="","",IFERROR(INDEX(T_NOMBRE,MATCH(V52,T_RUTN,0)),"⚠ RUT no está en Trabajadores"))</f>
        <v/>
      </c>
      <c r="E52" s="61"/>
      <c r="F52" s="61"/>
      <c r="G52" s="61"/>
      <c r="H52" s="61"/>
      <c r="I52" s="81"/>
      <c r="J52" s="81"/>
      <c r="K52" s="60"/>
      <c r="L52" s="60"/>
      <c r="M52" s="60"/>
      <c r="N52" s="60"/>
      <c r="O52" s="60"/>
      <c r="P52" s="60"/>
      <c r="Q52" s="60"/>
      <c r="R52" s="58"/>
      <c r="S52" s="62" t="str">
        <f aca="false">IF(OR(B52="",V52=""),"",IFERROR(INDEX(C_TIPO,MATCH(V52&amp;"-P"&amp;MAX(1,COUNTIFS(C_RUTN,V52,C_DEF,"Sí",C_INI,"&lt;="&amp;EOMONTH(B52,0))),C_CLAVE,0))&amp;"","Sin contrato"))</f>
        <v/>
      </c>
      <c r="T52" s="63" t="str">
        <f aca="false">IF(OR(B52="",N(O52)=0),"",N(O52)+ROUND(MIN(N(N52),TOPE_UF*UF_MES)*(TASA_EMP+MUTUAL),0)+ROUND(MIN(N(N52),TOPE_AFC_UF*UF_MES)*IF(S52="Indefinido",AFC_INDEF,AFC_PF),0))</f>
        <v/>
      </c>
      <c r="U52" s="62" t="str">
        <f aca="false">IF(C52="","",IF(LEFT(D52,1)="⚠","⚠ RUT no registrado en Trabajadores",IF(B52="","⚠ Falta el mes",IF(OR(ISTEXT(I52),ISTEXT(J52)),"⚠ Atrasos u horas extra como texto: escriba hh:mm (ej. 1:30)",IF(AND(ISNUMBER(Q52),COUNTIFS(M_RUTN,V52,M_MES,B52,M_LIQ,"&lt;&gt;")&gt;1),"⚠ Liquidación repetida en el mes",IF(AND(ISNUMBER(O52),ISNUMBER(P52),ISNUMBER(Q52),ABS(O52-P52-Q52)&gt;1),"⚠ Haberes − descuentos no da el líquido","OK"))))))</f>
        <v/>
      </c>
      <c r="V52" s="62" t="str">
        <f aca="false">IF(C52="","",IFERROR(VALUE(LEFT(UPPER(SUBSTITUTE(SUBSTITUTE(SUBSTITUTE(TRIM(C52),".",""),"-","")," ","")),LEN(UPPER(SUBSTITUTE(SUBSTITUTE(SUBSTITUTE(TRIM(C52),".",""),"-","")," ","")))-1))&amp;RIGHT(UPPER(SUBSTITUTE(SUBSTITUTE(SUBSTITUTE(TRIM(C52),".",""),"-","")," ","")),1),UPPER(SUBSTITUTE(SUBSTITUTE(SUBSTITUTE(TRIM(C52),".",""),"-","")," ",""))))</f>
        <v/>
      </c>
    </row>
    <row r="53" customFormat="false" ht="15" hidden="false" customHeight="false" outlineLevel="0" collapsed="false">
      <c r="B53" s="80"/>
      <c r="C53" s="58"/>
      <c r="D53" s="62" t="str">
        <f aca="false">IF(C53="","",IFERROR(INDEX(T_NOMBRE,MATCH(V53,T_RUTN,0)),"⚠ RUT no está en Trabajadores"))</f>
        <v/>
      </c>
      <c r="E53" s="61"/>
      <c r="F53" s="61"/>
      <c r="G53" s="61"/>
      <c r="H53" s="61"/>
      <c r="I53" s="81"/>
      <c r="J53" s="81"/>
      <c r="K53" s="60"/>
      <c r="L53" s="60"/>
      <c r="M53" s="60"/>
      <c r="N53" s="60"/>
      <c r="O53" s="60"/>
      <c r="P53" s="60"/>
      <c r="Q53" s="60"/>
      <c r="R53" s="58"/>
      <c r="S53" s="62" t="str">
        <f aca="false">IF(OR(B53="",V53=""),"",IFERROR(INDEX(C_TIPO,MATCH(V53&amp;"-P"&amp;MAX(1,COUNTIFS(C_RUTN,V53,C_DEF,"Sí",C_INI,"&lt;="&amp;EOMONTH(B53,0))),C_CLAVE,0))&amp;"","Sin contrato"))</f>
        <v/>
      </c>
      <c r="T53" s="63" t="str">
        <f aca="false">IF(OR(B53="",N(O53)=0),"",N(O53)+ROUND(MIN(N(N53),TOPE_UF*UF_MES)*(TASA_EMP+MUTUAL),0)+ROUND(MIN(N(N53),TOPE_AFC_UF*UF_MES)*IF(S53="Indefinido",AFC_INDEF,AFC_PF),0))</f>
        <v/>
      </c>
      <c r="U53" s="62" t="str">
        <f aca="false">IF(C53="","",IF(LEFT(D53,1)="⚠","⚠ RUT no registrado en Trabajadores",IF(B53="","⚠ Falta el mes",IF(OR(ISTEXT(I53),ISTEXT(J53)),"⚠ Atrasos u horas extra como texto: escriba hh:mm (ej. 1:30)",IF(AND(ISNUMBER(Q53),COUNTIFS(M_RUTN,V53,M_MES,B53,M_LIQ,"&lt;&gt;")&gt;1),"⚠ Liquidación repetida en el mes",IF(AND(ISNUMBER(O53),ISNUMBER(P53),ISNUMBER(Q53),ABS(O53-P53-Q53)&gt;1),"⚠ Haberes − descuentos no da el líquido","OK"))))))</f>
        <v/>
      </c>
      <c r="V53" s="62" t="str">
        <f aca="false">IF(C53="","",IFERROR(VALUE(LEFT(UPPER(SUBSTITUTE(SUBSTITUTE(SUBSTITUTE(TRIM(C53),".",""),"-","")," ","")),LEN(UPPER(SUBSTITUTE(SUBSTITUTE(SUBSTITUTE(TRIM(C53),".",""),"-","")," ","")))-1))&amp;RIGHT(UPPER(SUBSTITUTE(SUBSTITUTE(SUBSTITUTE(TRIM(C53),".",""),"-","")," ","")),1),UPPER(SUBSTITUTE(SUBSTITUTE(SUBSTITUTE(TRIM(C53),".",""),"-","")," ",""))))</f>
        <v/>
      </c>
    </row>
    <row r="54" customFormat="false" ht="15" hidden="false" customHeight="false" outlineLevel="0" collapsed="false">
      <c r="B54" s="80"/>
      <c r="C54" s="58"/>
      <c r="D54" s="62" t="str">
        <f aca="false">IF(C54="","",IFERROR(INDEX(T_NOMBRE,MATCH(V54,T_RUTN,0)),"⚠ RUT no está en Trabajadores"))</f>
        <v/>
      </c>
      <c r="E54" s="61"/>
      <c r="F54" s="61"/>
      <c r="G54" s="61"/>
      <c r="H54" s="61"/>
      <c r="I54" s="81"/>
      <c r="J54" s="81"/>
      <c r="K54" s="60"/>
      <c r="L54" s="60"/>
      <c r="M54" s="60"/>
      <c r="N54" s="60"/>
      <c r="O54" s="60"/>
      <c r="P54" s="60"/>
      <c r="Q54" s="60"/>
      <c r="R54" s="58"/>
      <c r="S54" s="62" t="str">
        <f aca="false">IF(OR(B54="",V54=""),"",IFERROR(INDEX(C_TIPO,MATCH(V54&amp;"-P"&amp;MAX(1,COUNTIFS(C_RUTN,V54,C_DEF,"Sí",C_INI,"&lt;="&amp;EOMONTH(B54,0))),C_CLAVE,0))&amp;"","Sin contrato"))</f>
        <v/>
      </c>
      <c r="T54" s="63" t="str">
        <f aca="false">IF(OR(B54="",N(O54)=0),"",N(O54)+ROUND(MIN(N(N54),TOPE_UF*UF_MES)*(TASA_EMP+MUTUAL),0)+ROUND(MIN(N(N54),TOPE_AFC_UF*UF_MES)*IF(S54="Indefinido",AFC_INDEF,AFC_PF),0))</f>
        <v/>
      </c>
      <c r="U54" s="62" t="str">
        <f aca="false">IF(C54="","",IF(LEFT(D54,1)="⚠","⚠ RUT no registrado en Trabajadores",IF(B54="","⚠ Falta el mes",IF(OR(ISTEXT(I54),ISTEXT(J54)),"⚠ Atrasos u horas extra como texto: escriba hh:mm (ej. 1:30)",IF(AND(ISNUMBER(Q54),COUNTIFS(M_RUTN,V54,M_MES,B54,M_LIQ,"&lt;&gt;")&gt;1),"⚠ Liquidación repetida en el mes",IF(AND(ISNUMBER(O54),ISNUMBER(P54),ISNUMBER(Q54),ABS(O54-P54-Q54)&gt;1),"⚠ Haberes − descuentos no da el líquido","OK"))))))</f>
        <v/>
      </c>
      <c r="V54" s="62" t="str">
        <f aca="false">IF(C54="","",IFERROR(VALUE(LEFT(UPPER(SUBSTITUTE(SUBSTITUTE(SUBSTITUTE(TRIM(C54),".",""),"-","")," ","")),LEN(UPPER(SUBSTITUTE(SUBSTITUTE(SUBSTITUTE(TRIM(C54),".",""),"-","")," ","")))-1))&amp;RIGHT(UPPER(SUBSTITUTE(SUBSTITUTE(SUBSTITUTE(TRIM(C54),".",""),"-","")," ","")),1),UPPER(SUBSTITUTE(SUBSTITUTE(SUBSTITUTE(TRIM(C54),".",""),"-","")," ",""))))</f>
        <v/>
      </c>
    </row>
    <row r="55" customFormat="false" ht="15" hidden="false" customHeight="false" outlineLevel="0" collapsed="false">
      <c r="B55" s="80"/>
      <c r="C55" s="58"/>
      <c r="D55" s="62" t="str">
        <f aca="false">IF(C55="","",IFERROR(INDEX(T_NOMBRE,MATCH(V55,T_RUTN,0)),"⚠ RUT no está en Trabajadores"))</f>
        <v/>
      </c>
      <c r="E55" s="61"/>
      <c r="F55" s="61"/>
      <c r="G55" s="61"/>
      <c r="H55" s="61"/>
      <c r="I55" s="81"/>
      <c r="J55" s="81"/>
      <c r="K55" s="60"/>
      <c r="L55" s="60"/>
      <c r="M55" s="60"/>
      <c r="N55" s="60"/>
      <c r="O55" s="60"/>
      <c r="P55" s="60"/>
      <c r="Q55" s="60"/>
      <c r="R55" s="58"/>
      <c r="S55" s="62" t="str">
        <f aca="false">IF(OR(B55="",V55=""),"",IFERROR(INDEX(C_TIPO,MATCH(V55&amp;"-P"&amp;MAX(1,COUNTIFS(C_RUTN,V55,C_DEF,"Sí",C_INI,"&lt;="&amp;EOMONTH(B55,0))),C_CLAVE,0))&amp;"","Sin contrato"))</f>
        <v/>
      </c>
      <c r="T55" s="63" t="str">
        <f aca="false">IF(OR(B55="",N(O55)=0),"",N(O55)+ROUND(MIN(N(N55),TOPE_UF*UF_MES)*(TASA_EMP+MUTUAL),0)+ROUND(MIN(N(N55),TOPE_AFC_UF*UF_MES)*IF(S55="Indefinido",AFC_INDEF,AFC_PF),0))</f>
        <v/>
      </c>
      <c r="U55" s="62" t="str">
        <f aca="false">IF(C55="","",IF(LEFT(D55,1)="⚠","⚠ RUT no registrado en Trabajadores",IF(B55="","⚠ Falta el mes",IF(OR(ISTEXT(I55),ISTEXT(J55)),"⚠ Atrasos u horas extra como texto: escriba hh:mm (ej. 1:30)",IF(AND(ISNUMBER(Q55),COUNTIFS(M_RUTN,V55,M_MES,B55,M_LIQ,"&lt;&gt;")&gt;1),"⚠ Liquidación repetida en el mes",IF(AND(ISNUMBER(O55),ISNUMBER(P55),ISNUMBER(Q55),ABS(O55-P55-Q55)&gt;1),"⚠ Haberes − descuentos no da el líquido","OK"))))))</f>
        <v/>
      </c>
      <c r="V55" s="62" t="str">
        <f aca="false">IF(C55="","",IFERROR(VALUE(LEFT(UPPER(SUBSTITUTE(SUBSTITUTE(SUBSTITUTE(TRIM(C55),".",""),"-","")," ","")),LEN(UPPER(SUBSTITUTE(SUBSTITUTE(SUBSTITUTE(TRIM(C55),".",""),"-","")," ","")))-1))&amp;RIGHT(UPPER(SUBSTITUTE(SUBSTITUTE(SUBSTITUTE(TRIM(C55),".",""),"-","")," ","")),1),UPPER(SUBSTITUTE(SUBSTITUTE(SUBSTITUTE(TRIM(C55),".",""),"-","")," ",""))))</f>
        <v/>
      </c>
    </row>
    <row r="56" customFormat="false" ht="15" hidden="false" customHeight="false" outlineLevel="0" collapsed="false">
      <c r="B56" s="80"/>
      <c r="C56" s="58"/>
      <c r="D56" s="62" t="str">
        <f aca="false">IF(C56="","",IFERROR(INDEX(T_NOMBRE,MATCH(V56,T_RUTN,0)),"⚠ RUT no está en Trabajadores"))</f>
        <v/>
      </c>
      <c r="E56" s="61"/>
      <c r="F56" s="61"/>
      <c r="G56" s="61"/>
      <c r="H56" s="61"/>
      <c r="I56" s="81"/>
      <c r="J56" s="81"/>
      <c r="K56" s="60"/>
      <c r="L56" s="60"/>
      <c r="M56" s="60"/>
      <c r="N56" s="60"/>
      <c r="O56" s="60"/>
      <c r="P56" s="60"/>
      <c r="Q56" s="60"/>
      <c r="R56" s="58"/>
      <c r="S56" s="62" t="str">
        <f aca="false">IF(OR(B56="",V56=""),"",IFERROR(INDEX(C_TIPO,MATCH(V56&amp;"-P"&amp;MAX(1,COUNTIFS(C_RUTN,V56,C_DEF,"Sí",C_INI,"&lt;="&amp;EOMONTH(B56,0))),C_CLAVE,0))&amp;"","Sin contrato"))</f>
        <v/>
      </c>
      <c r="T56" s="63" t="str">
        <f aca="false">IF(OR(B56="",N(O56)=0),"",N(O56)+ROUND(MIN(N(N56),TOPE_UF*UF_MES)*(TASA_EMP+MUTUAL),0)+ROUND(MIN(N(N56),TOPE_AFC_UF*UF_MES)*IF(S56="Indefinido",AFC_INDEF,AFC_PF),0))</f>
        <v/>
      </c>
      <c r="U56" s="62" t="str">
        <f aca="false">IF(C56="","",IF(LEFT(D56,1)="⚠","⚠ RUT no registrado en Trabajadores",IF(B56="","⚠ Falta el mes",IF(OR(ISTEXT(I56),ISTEXT(J56)),"⚠ Atrasos u horas extra como texto: escriba hh:mm (ej. 1:30)",IF(AND(ISNUMBER(Q56),COUNTIFS(M_RUTN,V56,M_MES,B56,M_LIQ,"&lt;&gt;")&gt;1),"⚠ Liquidación repetida en el mes",IF(AND(ISNUMBER(O56),ISNUMBER(P56),ISNUMBER(Q56),ABS(O56-P56-Q56)&gt;1),"⚠ Haberes − descuentos no da el líquido","OK"))))))</f>
        <v/>
      </c>
      <c r="V56" s="62" t="str">
        <f aca="false">IF(C56="","",IFERROR(VALUE(LEFT(UPPER(SUBSTITUTE(SUBSTITUTE(SUBSTITUTE(TRIM(C56),".",""),"-","")," ","")),LEN(UPPER(SUBSTITUTE(SUBSTITUTE(SUBSTITUTE(TRIM(C56),".",""),"-","")," ","")))-1))&amp;RIGHT(UPPER(SUBSTITUTE(SUBSTITUTE(SUBSTITUTE(TRIM(C56),".",""),"-","")," ","")),1),UPPER(SUBSTITUTE(SUBSTITUTE(SUBSTITUTE(TRIM(C56),".",""),"-","")," ",""))))</f>
        <v/>
      </c>
    </row>
    <row r="57" customFormat="false" ht="15" hidden="false" customHeight="false" outlineLevel="0" collapsed="false">
      <c r="B57" s="80"/>
      <c r="C57" s="58"/>
      <c r="D57" s="62" t="str">
        <f aca="false">IF(C57="","",IFERROR(INDEX(T_NOMBRE,MATCH(V57,T_RUTN,0)),"⚠ RUT no está en Trabajadores"))</f>
        <v/>
      </c>
      <c r="E57" s="61"/>
      <c r="F57" s="61"/>
      <c r="G57" s="61"/>
      <c r="H57" s="61"/>
      <c r="I57" s="81"/>
      <c r="J57" s="81"/>
      <c r="K57" s="60"/>
      <c r="L57" s="60"/>
      <c r="M57" s="60"/>
      <c r="N57" s="60"/>
      <c r="O57" s="60"/>
      <c r="P57" s="60"/>
      <c r="Q57" s="60"/>
      <c r="R57" s="58"/>
      <c r="S57" s="62" t="str">
        <f aca="false">IF(OR(B57="",V57=""),"",IFERROR(INDEX(C_TIPO,MATCH(V57&amp;"-P"&amp;MAX(1,COUNTIFS(C_RUTN,V57,C_DEF,"Sí",C_INI,"&lt;="&amp;EOMONTH(B57,0))),C_CLAVE,0))&amp;"","Sin contrato"))</f>
        <v/>
      </c>
      <c r="T57" s="63" t="str">
        <f aca="false">IF(OR(B57="",N(O57)=0),"",N(O57)+ROUND(MIN(N(N57),TOPE_UF*UF_MES)*(TASA_EMP+MUTUAL),0)+ROUND(MIN(N(N57),TOPE_AFC_UF*UF_MES)*IF(S57="Indefinido",AFC_INDEF,AFC_PF),0))</f>
        <v/>
      </c>
      <c r="U57" s="62" t="str">
        <f aca="false">IF(C57="","",IF(LEFT(D57,1)="⚠","⚠ RUT no registrado en Trabajadores",IF(B57="","⚠ Falta el mes",IF(OR(ISTEXT(I57),ISTEXT(J57)),"⚠ Atrasos u horas extra como texto: escriba hh:mm (ej. 1:30)",IF(AND(ISNUMBER(Q57),COUNTIFS(M_RUTN,V57,M_MES,B57,M_LIQ,"&lt;&gt;")&gt;1),"⚠ Liquidación repetida en el mes",IF(AND(ISNUMBER(O57),ISNUMBER(P57),ISNUMBER(Q57),ABS(O57-P57-Q57)&gt;1),"⚠ Haberes − descuentos no da el líquido","OK"))))))</f>
        <v/>
      </c>
      <c r="V57" s="62" t="str">
        <f aca="false">IF(C57="","",IFERROR(VALUE(LEFT(UPPER(SUBSTITUTE(SUBSTITUTE(SUBSTITUTE(TRIM(C57),".",""),"-","")," ","")),LEN(UPPER(SUBSTITUTE(SUBSTITUTE(SUBSTITUTE(TRIM(C57),".",""),"-","")," ","")))-1))&amp;RIGHT(UPPER(SUBSTITUTE(SUBSTITUTE(SUBSTITUTE(TRIM(C57),".",""),"-","")," ","")),1),UPPER(SUBSTITUTE(SUBSTITUTE(SUBSTITUTE(TRIM(C57),".",""),"-","")," ",""))))</f>
        <v/>
      </c>
    </row>
    <row r="58" customFormat="false" ht="15" hidden="false" customHeight="false" outlineLevel="0" collapsed="false">
      <c r="B58" s="80"/>
      <c r="C58" s="58"/>
      <c r="D58" s="62" t="str">
        <f aca="false">IF(C58="","",IFERROR(INDEX(T_NOMBRE,MATCH(V58,T_RUTN,0)),"⚠ RUT no está en Trabajadores"))</f>
        <v/>
      </c>
      <c r="E58" s="61"/>
      <c r="F58" s="61"/>
      <c r="G58" s="61"/>
      <c r="H58" s="61"/>
      <c r="I58" s="81"/>
      <c r="J58" s="81"/>
      <c r="K58" s="60"/>
      <c r="L58" s="60"/>
      <c r="M58" s="60"/>
      <c r="N58" s="60"/>
      <c r="O58" s="60"/>
      <c r="P58" s="60"/>
      <c r="Q58" s="60"/>
      <c r="R58" s="58"/>
      <c r="S58" s="62" t="str">
        <f aca="false">IF(OR(B58="",V58=""),"",IFERROR(INDEX(C_TIPO,MATCH(V58&amp;"-P"&amp;MAX(1,COUNTIFS(C_RUTN,V58,C_DEF,"Sí",C_INI,"&lt;="&amp;EOMONTH(B58,0))),C_CLAVE,0))&amp;"","Sin contrato"))</f>
        <v/>
      </c>
      <c r="T58" s="63" t="str">
        <f aca="false">IF(OR(B58="",N(O58)=0),"",N(O58)+ROUND(MIN(N(N58),TOPE_UF*UF_MES)*(TASA_EMP+MUTUAL),0)+ROUND(MIN(N(N58),TOPE_AFC_UF*UF_MES)*IF(S58="Indefinido",AFC_INDEF,AFC_PF),0))</f>
        <v/>
      </c>
      <c r="U58" s="62" t="str">
        <f aca="false">IF(C58="","",IF(LEFT(D58,1)="⚠","⚠ RUT no registrado en Trabajadores",IF(B58="","⚠ Falta el mes",IF(OR(ISTEXT(I58),ISTEXT(J58)),"⚠ Atrasos u horas extra como texto: escriba hh:mm (ej. 1:30)",IF(AND(ISNUMBER(Q58),COUNTIFS(M_RUTN,V58,M_MES,B58,M_LIQ,"&lt;&gt;")&gt;1),"⚠ Liquidación repetida en el mes",IF(AND(ISNUMBER(O58),ISNUMBER(P58),ISNUMBER(Q58),ABS(O58-P58-Q58)&gt;1),"⚠ Haberes − descuentos no da el líquido","OK"))))))</f>
        <v/>
      </c>
      <c r="V58" s="62" t="str">
        <f aca="false">IF(C58="","",IFERROR(VALUE(LEFT(UPPER(SUBSTITUTE(SUBSTITUTE(SUBSTITUTE(TRIM(C58),".",""),"-","")," ","")),LEN(UPPER(SUBSTITUTE(SUBSTITUTE(SUBSTITUTE(TRIM(C58),".",""),"-","")," ","")))-1))&amp;RIGHT(UPPER(SUBSTITUTE(SUBSTITUTE(SUBSTITUTE(TRIM(C58),".",""),"-","")," ","")),1),UPPER(SUBSTITUTE(SUBSTITUTE(SUBSTITUTE(TRIM(C58),".",""),"-","")," ",""))))</f>
        <v/>
      </c>
    </row>
    <row r="59" customFormat="false" ht="15" hidden="false" customHeight="false" outlineLevel="0" collapsed="false">
      <c r="B59" s="80"/>
      <c r="C59" s="58"/>
      <c r="D59" s="62" t="str">
        <f aca="false">IF(C59="","",IFERROR(INDEX(T_NOMBRE,MATCH(V59,T_RUTN,0)),"⚠ RUT no está en Trabajadores"))</f>
        <v/>
      </c>
      <c r="E59" s="61"/>
      <c r="F59" s="61"/>
      <c r="G59" s="61"/>
      <c r="H59" s="61"/>
      <c r="I59" s="81"/>
      <c r="J59" s="81"/>
      <c r="K59" s="60"/>
      <c r="L59" s="60"/>
      <c r="M59" s="60"/>
      <c r="N59" s="60"/>
      <c r="O59" s="60"/>
      <c r="P59" s="60"/>
      <c r="Q59" s="60"/>
      <c r="R59" s="58"/>
      <c r="S59" s="62" t="str">
        <f aca="false">IF(OR(B59="",V59=""),"",IFERROR(INDEX(C_TIPO,MATCH(V59&amp;"-P"&amp;MAX(1,COUNTIFS(C_RUTN,V59,C_DEF,"Sí",C_INI,"&lt;="&amp;EOMONTH(B59,0))),C_CLAVE,0))&amp;"","Sin contrato"))</f>
        <v/>
      </c>
      <c r="T59" s="63" t="str">
        <f aca="false">IF(OR(B59="",N(O59)=0),"",N(O59)+ROUND(MIN(N(N59),TOPE_UF*UF_MES)*(TASA_EMP+MUTUAL),0)+ROUND(MIN(N(N59),TOPE_AFC_UF*UF_MES)*IF(S59="Indefinido",AFC_INDEF,AFC_PF),0))</f>
        <v/>
      </c>
      <c r="U59" s="62" t="str">
        <f aca="false">IF(C59="","",IF(LEFT(D59,1)="⚠","⚠ RUT no registrado en Trabajadores",IF(B59="","⚠ Falta el mes",IF(OR(ISTEXT(I59),ISTEXT(J59)),"⚠ Atrasos u horas extra como texto: escriba hh:mm (ej. 1:30)",IF(AND(ISNUMBER(Q59),COUNTIFS(M_RUTN,V59,M_MES,B59,M_LIQ,"&lt;&gt;")&gt;1),"⚠ Liquidación repetida en el mes",IF(AND(ISNUMBER(O59),ISNUMBER(P59),ISNUMBER(Q59),ABS(O59-P59-Q59)&gt;1),"⚠ Haberes − descuentos no da el líquido","OK"))))))</f>
        <v/>
      </c>
      <c r="V59" s="62" t="str">
        <f aca="false">IF(C59="","",IFERROR(VALUE(LEFT(UPPER(SUBSTITUTE(SUBSTITUTE(SUBSTITUTE(TRIM(C59),".",""),"-","")," ","")),LEN(UPPER(SUBSTITUTE(SUBSTITUTE(SUBSTITUTE(TRIM(C59),".",""),"-","")," ","")))-1))&amp;RIGHT(UPPER(SUBSTITUTE(SUBSTITUTE(SUBSTITUTE(TRIM(C59),".",""),"-","")," ","")),1),UPPER(SUBSTITUTE(SUBSTITUTE(SUBSTITUTE(TRIM(C59),".",""),"-","")," ",""))))</f>
        <v/>
      </c>
    </row>
    <row r="60" customFormat="false" ht="15" hidden="false" customHeight="false" outlineLevel="0" collapsed="false">
      <c r="B60" s="80"/>
      <c r="C60" s="58"/>
      <c r="D60" s="62" t="str">
        <f aca="false">IF(C60="","",IFERROR(INDEX(T_NOMBRE,MATCH(V60,T_RUTN,0)),"⚠ RUT no está en Trabajadores"))</f>
        <v/>
      </c>
      <c r="E60" s="61"/>
      <c r="F60" s="61"/>
      <c r="G60" s="61"/>
      <c r="H60" s="61"/>
      <c r="I60" s="81"/>
      <c r="J60" s="81"/>
      <c r="K60" s="60"/>
      <c r="L60" s="60"/>
      <c r="M60" s="60"/>
      <c r="N60" s="60"/>
      <c r="O60" s="60"/>
      <c r="P60" s="60"/>
      <c r="Q60" s="60"/>
      <c r="R60" s="58"/>
      <c r="S60" s="62" t="str">
        <f aca="false">IF(OR(B60="",V60=""),"",IFERROR(INDEX(C_TIPO,MATCH(V60&amp;"-P"&amp;MAX(1,COUNTIFS(C_RUTN,V60,C_DEF,"Sí",C_INI,"&lt;="&amp;EOMONTH(B60,0))),C_CLAVE,0))&amp;"","Sin contrato"))</f>
        <v/>
      </c>
      <c r="T60" s="63" t="str">
        <f aca="false">IF(OR(B60="",N(O60)=0),"",N(O60)+ROUND(MIN(N(N60),TOPE_UF*UF_MES)*(TASA_EMP+MUTUAL),0)+ROUND(MIN(N(N60),TOPE_AFC_UF*UF_MES)*IF(S60="Indefinido",AFC_INDEF,AFC_PF),0))</f>
        <v/>
      </c>
      <c r="U60" s="62" t="str">
        <f aca="false">IF(C60="","",IF(LEFT(D60,1)="⚠","⚠ RUT no registrado en Trabajadores",IF(B60="","⚠ Falta el mes",IF(OR(ISTEXT(I60),ISTEXT(J60)),"⚠ Atrasos u horas extra como texto: escriba hh:mm (ej. 1:30)",IF(AND(ISNUMBER(Q60),COUNTIFS(M_RUTN,V60,M_MES,B60,M_LIQ,"&lt;&gt;")&gt;1),"⚠ Liquidación repetida en el mes",IF(AND(ISNUMBER(O60),ISNUMBER(P60),ISNUMBER(Q60),ABS(O60-P60-Q60)&gt;1),"⚠ Haberes − descuentos no da el líquido","OK"))))))</f>
        <v/>
      </c>
      <c r="V60" s="62" t="str">
        <f aca="false">IF(C60="","",IFERROR(VALUE(LEFT(UPPER(SUBSTITUTE(SUBSTITUTE(SUBSTITUTE(TRIM(C60),".",""),"-","")," ","")),LEN(UPPER(SUBSTITUTE(SUBSTITUTE(SUBSTITUTE(TRIM(C60),".",""),"-","")," ","")))-1))&amp;RIGHT(UPPER(SUBSTITUTE(SUBSTITUTE(SUBSTITUTE(TRIM(C60),".",""),"-","")," ","")),1),UPPER(SUBSTITUTE(SUBSTITUTE(SUBSTITUTE(TRIM(C60),".",""),"-","")," ",""))))</f>
        <v/>
      </c>
    </row>
    <row r="61" customFormat="false" ht="15" hidden="false" customHeight="false" outlineLevel="0" collapsed="false">
      <c r="B61" s="80"/>
      <c r="C61" s="58"/>
      <c r="D61" s="62" t="str">
        <f aca="false">IF(C61="","",IFERROR(INDEX(T_NOMBRE,MATCH(V61,T_RUTN,0)),"⚠ RUT no está en Trabajadores"))</f>
        <v/>
      </c>
      <c r="E61" s="61"/>
      <c r="F61" s="61"/>
      <c r="G61" s="61"/>
      <c r="H61" s="61"/>
      <c r="I61" s="81"/>
      <c r="J61" s="81"/>
      <c r="K61" s="60"/>
      <c r="L61" s="60"/>
      <c r="M61" s="60"/>
      <c r="N61" s="60"/>
      <c r="O61" s="60"/>
      <c r="P61" s="60"/>
      <c r="Q61" s="60"/>
      <c r="R61" s="58"/>
      <c r="S61" s="62" t="str">
        <f aca="false">IF(OR(B61="",V61=""),"",IFERROR(INDEX(C_TIPO,MATCH(V61&amp;"-P"&amp;MAX(1,COUNTIFS(C_RUTN,V61,C_DEF,"Sí",C_INI,"&lt;="&amp;EOMONTH(B61,0))),C_CLAVE,0))&amp;"","Sin contrato"))</f>
        <v/>
      </c>
      <c r="T61" s="63" t="str">
        <f aca="false">IF(OR(B61="",N(O61)=0),"",N(O61)+ROUND(MIN(N(N61),TOPE_UF*UF_MES)*(TASA_EMP+MUTUAL),0)+ROUND(MIN(N(N61),TOPE_AFC_UF*UF_MES)*IF(S61="Indefinido",AFC_INDEF,AFC_PF),0))</f>
        <v/>
      </c>
      <c r="U61" s="62" t="str">
        <f aca="false">IF(C61="","",IF(LEFT(D61,1)="⚠","⚠ RUT no registrado en Trabajadores",IF(B61="","⚠ Falta el mes",IF(OR(ISTEXT(I61),ISTEXT(J61)),"⚠ Atrasos u horas extra como texto: escriba hh:mm (ej. 1:30)",IF(AND(ISNUMBER(Q61),COUNTIFS(M_RUTN,V61,M_MES,B61,M_LIQ,"&lt;&gt;")&gt;1),"⚠ Liquidación repetida en el mes",IF(AND(ISNUMBER(O61),ISNUMBER(P61),ISNUMBER(Q61),ABS(O61-P61-Q61)&gt;1),"⚠ Haberes − descuentos no da el líquido","OK"))))))</f>
        <v/>
      </c>
      <c r="V61" s="62" t="str">
        <f aca="false">IF(C61="","",IFERROR(VALUE(LEFT(UPPER(SUBSTITUTE(SUBSTITUTE(SUBSTITUTE(TRIM(C61),".",""),"-","")," ","")),LEN(UPPER(SUBSTITUTE(SUBSTITUTE(SUBSTITUTE(TRIM(C61),".",""),"-","")," ","")))-1))&amp;RIGHT(UPPER(SUBSTITUTE(SUBSTITUTE(SUBSTITUTE(TRIM(C61),".",""),"-","")," ","")),1),UPPER(SUBSTITUTE(SUBSTITUTE(SUBSTITUTE(TRIM(C61),".",""),"-","")," ",""))))</f>
        <v/>
      </c>
    </row>
    <row r="62" customFormat="false" ht="15" hidden="false" customHeight="false" outlineLevel="0" collapsed="false">
      <c r="B62" s="80"/>
      <c r="C62" s="58"/>
      <c r="D62" s="62" t="str">
        <f aca="false">IF(C62="","",IFERROR(INDEX(T_NOMBRE,MATCH(V62,T_RUTN,0)),"⚠ RUT no está en Trabajadores"))</f>
        <v/>
      </c>
      <c r="E62" s="61"/>
      <c r="F62" s="61"/>
      <c r="G62" s="61"/>
      <c r="H62" s="61"/>
      <c r="I62" s="81"/>
      <c r="J62" s="81"/>
      <c r="K62" s="60"/>
      <c r="L62" s="60"/>
      <c r="M62" s="60"/>
      <c r="N62" s="60"/>
      <c r="O62" s="60"/>
      <c r="P62" s="60"/>
      <c r="Q62" s="60"/>
      <c r="R62" s="58"/>
      <c r="S62" s="62" t="str">
        <f aca="false">IF(OR(B62="",V62=""),"",IFERROR(INDEX(C_TIPO,MATCH(V62&amp;"-P"&amp;MAX(1,COUNTIFS(C_RUTN,V62,C_DEF,"Sí",C_INI,"&lt;="&amp;EOMONTH(B62,0))),C_CLAVE,0))&amp;"","Sin contrato"))</f>
        <v/>
      </c>
      <c r="T62" s="63" t="str">
        <f aca="false">IF(OR(B62="",N(O62)=0),"",N(O62)+ROUND(MIN(N(N62),TOPE_UF*UF_MES)*(TASA_EMP+MUTUAL),0)+ROUND(MIN(N(N62),TOPE_AFC_UF*UF_MES)*IF(S62="Indefinido",AFC_INDEF,AFC_PF),0))</f>
        <v/>
      </c>
      <c r="U62" s="62" t="str">
        <f aca="false">IF(C62="","",IF(LEFT(D62,1)="⚠","⚠ RUT no registrado en Trabajadores",IF(B62="","⚠ Falta el mes",IF(OR(ISTEXT(I62),ISTEXT(J62)),"⚠ Atrasos u horas extra como texto: escriba hh:mm (ej. 1:30)",IF(AND(ISNUMBER(Q62),COUNTIFS(M_RUTN,V62,M_MES,B62,M_LIQ,"&lt;&gt;")&gt;1),"⚠ Liquidación repetida en el mes",IF(AND(ISNUMBER(O62),ISNUMBER(P62),ISNUMBER(Q62),ABS(O62-P62-Q62)&gt;1),"⚠ Haberes − descuentos no da el líquido","OK"))))))</f>
        <v/>
      </c>
      <c r="V62" s="62" t="str">
        <f aca="false">IF(C62="","",IFERROR(VALUE(LEFT(UPPER(SUBSTITUTE(SUBSTITUTE(SUBSTITUTE(TRIM(C62),".",""),"-","")," ","")),LEN(UPPER(SUBSTITUTE(SUBSTITUTE(SUBSTITUTE(TRIM(C62),".",""),"-","")," ","")))-1))&amp;RIGHT(UPPER(SUBSTITUTE(SUBSTITUTE(SUBSTITUTE(TRIM(C62),".",""),"-","")," ","")),1),UPPER(SUBSTITUTE(SUBSTITUTE(SUBSTITUTE(TRIM(C62),".",""),"-","")," ",""))))</f>
        <v/>
      </c>
    </row>
    <row r="63" customFormat="false" ht="15" hidden="false" customHeight="false" outlineLevel="0" collapsed="false">
      <c r="B63" s="80"/>
      <c r="C63" s="58"/>
      <c r="D63" s="62" t="str">
        <f aca="false">IF(C63="","",IFERROR(INDEX(T_NOMBRE,MATCH(V63,T_RUTN,0)),"⚠ RUT no está en Trabajadores"))</f>
        <v/>
      </c>
      <c r="E63" s="61"/>
      <c r="F63" s="61"/>
      <c r="G63" s="61"/>
      <c r="H63" s="61"/>
      <c r="I63" s="81"/>
      <c r="J63" s="81"/>
      <c r="K63" s="60"/>
      <c r="L63" s="60"/>
      <c r="M63" s="60"/>
      <c r="N63" s="60"/>
      <c r="O63" s="60"/>
      <c r="P63" s="60"/>
      <c r="Q63" s="60"/>
      <c r="R63" s="58"/>
      <c r="S63" s="62" t="str">
        <f aca="false">IF(OR(B63="",V63=""),"",IFERROR(INDEX(C_TIPO,MATCH(V63&amp;"-P"&amp;MAX(1,COUNTIFS(C_RUTN,V63,C_DEF,"Sí",C_INI,"&lt;="&amp;EOMONTH(B63,0))),C_CLAVE,0))&amp;"","Sin contrato"))</f>
        <v/>
      </c>
      <c r="T63" s="63" t="str">
        <f aca="false">IF(OR(B63="",N(O63)=0),"",N(O63)+ROUND(MIN(N(N63),TOPE_UF*UF_MES)*(TASA_EMP+MUTUAL),0)+ROUND(MIN(N(N63),TOPE_AFC_UF*UF_MES)*IF(S63="Indefinido",AFC_INDEF,AFC_PF),0))</f>
        <v/>
      </c>
      <c r="U63" s="62" t="str">
        <f aca="false">IF(C63="","",IF(LEFT(D63,1)="⚠","⚠ RUT no registrado en Trabajadores",IF(B63="","⚠ Falta el mes",IF(OR(ISTEXT(I63),ISTEXT(J63)),"⚠ Atrasos u horas extra como texto: escriba hh:mm (ej. 1:30)",IF(AND(ISNUMBER(Q63),COUNTIFS(M_RUTN,V63,M_MES,B63,M_LIQ,"&lt;&gt;")&gt;1),"⚠ Liquidación repetida en el mes",IF(AND(ISNUMBER(O63),ISNUMBER(P63),ISNUMBER(Q63),ABS(O63-P63-Q63)&gt;1),"⚠ Haberes − descuentos no da el líquido","OK"))))))</f>
        <v/>
      </c>
      <c r="V63" s="62" t="str">
        <f aca="false">IF(C63="","",IFERROR(VALUE(LEFT(UPPER(SUBSTITUTE(SUBSTITUTE(SUBSTITUTE(TRIM(C63),".",""),"-","")," ","")),LEN(UPPER(SUBSTITUTE(SUBSTITUTE(SUBSTITUTE(TRIM(C63),".",""),"-","")," ","")))-1))&amp;RIGHT(UPPER(SUBSTITUTE(SUBSTITUTE(SUBSTITUTE(TRIM(C63),".",""),"-","")," ","")),1),UPPER(SUBSTITUTE(SUBSTITUTE(SUBSTITUTE(TRIM(C63),".",""),"-","")," ",""))))</f>
        <v/>
      </c>
    </row>
    <row r="64" customFormat="false" ht="15" hidden="false" customHeight="false" outlineLevel="0" collapsed="false">
      <c r="B64" s="80"/>
      <c r="C64" s="58"/>
      <c r="D64" s="62" t="str">
        <f aca="false">IF(C64="","",IFERROR(INDEX(T_NOMBRE,MATCH(V64,T_RUTN,0)),"⚠ RUT no está en Trabajadores"))</f>
        <v/>
      </c>
      <c r="E64" s="61"/>
      <c r="F64" s="61"/>
      <c r="G64" s="61"/>
      <c r="H64" s="61"/>
      <c r="I64" s="81"/>
      <c r="J64" s="81"/>
      <c r="K64" s="60"/>
      <c r="L64" s="60"/>
      <c r="M64" s="60"/>
      <c r="N64" s="60"/>
      <c r="O64" s="60"/>
      <c r="P64" s="60"/>
      <c r="Q64" s="60"/>
      <c r="R64" s="58"/>
      <c r="S64" s="62" t="str">
        <f aca="false">IF(OR(B64="",V64=""),"",IFERROR(INDEX(C_TIPO,MATCH(V64&amp;"-P"&amp;MAX(1,COUNTIFS(C_RUTN,V64,C_DEF,"Sí",C_INI,"&lt;="&amp;EOMONTH(B64,0))),C_CLAVE,0))&amp;"","Sin contrato"))</f>
        <v/>
      </c>
      <c r="T64" s="63" t="str">
        <f aca="false">IF(OR(B64="",N(O64)=0),"",N(O64)+ROUND(MIN(N(N64),TOPE_UF*UF_MES)*(TASA_EMP+MUTUAL),0)+ROUND(MIN(N(N64),TOPE_AFC_UF*UF_MES)*IF(S64="Indefinido",AFC_INDEF,AFC_PF),0))</f>
        <v/>
      </c>
      <c r="U64" s="62" t="str">
        <f aca="false">IF(C64="","",IF(LEFT(D64,1)="⚠","⚠ RUT no registrado en Trabajadores",IF(B64="","⚠ Falta el mes",IF(OR(ISTEXT(I64),ISTEXT(J64)),"⚠ Atrasos u horas extra como texto: escriba hh:mm (ej. 1:30)",IF(AND(ISNUMBER(Q64),COUNTIFS(M_RUTN,V64,M_MES,B64,M_LIQ,"&lt;&gt;")&gt;1),"⚠ Liquidación repetida en el mes",IF(AND(ISNUMBER(O64),ISNUMBER(P64),ISNUMBER(Q64),ABS(O64-P64-Q64)&gt;1),"⚠ Haberes − descuentos no da el líquido","OK"))))))</f>
        <v/>
      </c>
      <c r="V64" s="62" t="str">
        <f aca="false">IF(C64="","",IFERROR(VALUE(LEFT(UPPER(SUBSTITUTE(SUBSTITUTE(SUBSTITUTE(TRIM(C64),".",""),"-","")," ","")),LEN(UPPER(SUBSTITUTE(SUBSTITUTE(SUBSTITUTE(TRIM(C64),".",""),"-","")," ","")))-1))&amp;RIGHT(UPPER(SUBSTITUTE(SUBSTITUTE(SUBSTITUTE(TRIM(C64),".",""),"-","")," ","")),1),UPPER(SUBSTITUTE(SUBSTITUTE(SUBSTITUTE(TRIM(C64),".",""),"-","")," ",""))))</f>
        <v/>
      </c>
    </row>
    <row r="65" customFormat="false" ht="15" hidden="false" customHeight="false" outlineLevel="0" collapsed="false">
      <c r="B65" s="80"/>
      <c r="C65" s="58"/>
      <c r="D65" s="62" t="str">
        <f aca="false">IF(C65="","",IFERROR(INDEX(T_NOMBRE,MATCH(V65,T_RUTN,0)),"⚠ RUT no está en Trabajadores"))</f>
        <v/>
      </c>
      <c r="E65" s="61"/>
      <c r="F65" s="61"/>
      <c r="G65" s="61"/>
      <c r="H65" s="61"/>
      <c r="I65" s="81"/>
      <c r="J65" s="81"/>
      <c r="K65" s="60"/>
      <c r="L65" s="60"/>
      <c r="M65" s="60"/>
      <c r="N65" s="60"/>
      <c r="O65" s="60"/>
      <c r="P65" s="60"/>
      <c r="Q65" s="60"/>
      <c r="R65" s="58"/>
      <c r="S65" s="62" t="str">
        <f aca="false">IF(OR(B65="",V65=""),"",IFERROR(INDEX(C_TIPO,MATCH(V65&amp;"-P"&amp;MAX(1,COUNTIFS(C_RUTN,V65,C_DEF,"Sí",C_INI,"&lt;="&amp;EOMONTH(B65,0))),C_CLAVE,0))&amp;"","Sin contrato"))</f>
        <v/>
      </c>
      <c r="T65" s="63" t="str">
        <f aca="false">IF(OR(B65="",N(O65)=0),"",N(O65)+ROUND(MIN(N(N65),TOPE_UF*UF_MES)*(TASA_EMP+MUTUAL),0)+ROUND(MIN(N(N65),TOPE_AFC_UF*UF_MES)*IF(S65="Indefinido",AFC_INDEF,AFC_PF),0))</f>
        <v/>
      </c>
      <c r="U65" s="62" t="str">
        <f aca="false">IF(C65="","",IF(LEFT(D65,1)="⚠","⚠ RUT no registrado en Trabajadores",IF(B65="","⚠ Falta el mes",IF(OR(ISTEXT(I65),ISTEXT(J65)),"⚠ Atrasos u horas extra como texto: escriba hh:mm (ej. 1:30)",IF(AND(ISNUMBER(Q65),COUNTIFS(M_RUTN,V65,M_MES,B65,M_LIQ,"&lt;&gt;")&gt;1),"⚠ Liquidación repetida en el mes",IF(AND(ISNUMBER(O65),ISNUMBER(P65),ISNUMBER(Q65),ABS(O65-P65-Q65)&gt;1),"⚠ Haberes − descuentos no da el líquido","OK"))))))</f>
        <v/>
      </c>
      <c r="V65" s="62" t="str">
        <f aca="false">IF(C65="","",IFERROR(VALUE(LEFT(UPPER(SUBSTITUTE(SUBSTITUTE(SUBSTITUTE(TRIM(C65),".",""),"-","")," ","")),LEN(UPPER(SUBSTITUTE(SUBSTITUTE(SUBSTITUTE(TRIM(C65),".",""),"-","")," ","")))-1))&amp;RIGHT(UPPER(SUBSTITUTE(SUBSTITUTE(SUBSTITUTE(TRIM(C65),".",""),"-","")," ","")),1),UPPER(SUBSTITUTE(SUBSTITUTE(SUBSTITUTE(TRIM(C65),".",""),"-","")," ",""))))</f>
        <v/>
      </c>
    </row>
    <row r="66" customFormat="false" ht="15" hidden="false" customHeight="false" outlineLevel="0" collapsed="false">
      <c r="B66" s="80"/>
      <c r="C66" s="58"/>
      <c r="D66" s="62" t="str">
        <f aca="false">IF(C66="","",IFERROR(INDEX(T_NOMBRE,MATCH(V66,T_RUTN,0)),"⚠ RUT no está en Trabajadores"))</f>
        <v/>
      </c>
      <c r="E66" s="61"/>
      <c r="F66" s="61"/>
      <c r="G66" s="61"/>
      <c r="H66" s="61"/>
      <c r="I66" s="81"/>
      <c r="J66" s="81"/>
      <c r="K66" s="60"/>
      <c r="L66" s="60"/>
      <c r="M66" s="60"/>
      <c r="N66" s="60"/>
      <c r="O66" s="60"/>
      <c r="P66" s="60"/>
      <c r="Q66" s="60"/>
      <c r="R66" s="58"/>
      <c r="S66" s="62" t="str">
        <f aca="false">IF(OR(B66="",V66=""),"",IFERROR(INDEX(C_TIPO,MATCH(V66&amp;"-P"&amp;MAX(1,COUNTIFS(C_RUTN,V66,C_DEF,"Sí",C_INI,"&lt;="&amp;EOMONTH(B66,0))),C_CLAVE,0))&amp;"","Sin contrato"))</f>
        <v/>
      </c>
      <c r="T66" s="63" t="str">
        <f aca="false">IF(OR(B66="",N(O66)=0),"",N(O66)+ROUND(MIN(N(N66),TOPE_UF*UF_MES)*(TASA_EMP+MUTUAL),0)+ROUND(MIN(N(N66),TOPE_AFC_UF*UF_MES)*IF(S66="Indefinido",AFC_INDEF,AFC_PF),0))</f>
        <v/>
      </c>
      <c r="U66" s="62" t="str">
        <f aca="false">IF(C66="","",IF(LEFT(D66,1)="⚠","⚠ RUT no registrado en Trabajadores",IF(B66="","⚠ Falta el mes",IF(OR(ISTEXT(I66),ISTEXT(J66)),"⚠ Atrasos u horas extra como texto: escriba hh:mm (ej. 1:30)",IF(AND(ISNUMBER(Q66),COUNTIFS(M_RUTN,V66,M_MES,B66,M_LIQ,"&lt;&gt;")&gt;1),"⚠ Liquidación repetida en el mes",IF(AND(ISNUMBER(O66),ISNUMBER(P66),ISNUMBER(Q66),ABS(O66-P66-Q66)&gt;1),"⚠ Haberes − descuentos no da el líquido","OK"))))))</f>
        <v/>
      </c>
      <c r="V66" s="62" t="str">
        <f aca="false">IF(C66="","",IFERROR(VALUE(LEFT(UPPER(SUBSTITUTE(SUBSTITUTE(SUBSTITUTE(TRIM(C66),".",""),"-","")," ","")),LEN(UPPER(SUBSTITUTE(SUBSTITUTE(SUBSTITUTE(TRIM(C66),".",""),"-","")," ","")))-1))&amp;RIGHT(UPPER(SUBSTITUTE(SUBSTITUTE(SUBSTITUTE(TRIM(C66),".",""),"-","")," ","")),1),UPPER(SUBSTITUTE(SUBSTITUTE(SUBSTITUTE(TRIM(C66),".",""),"-","")," ",""))))</f>
        <v/>
      </c>
    </row>
    <row r="67" customFormat="false" ht="15" hidden="false" customHeight="false" outlineLevel="0" collapsed="false">
      <c r="B67" s="80"/>
      <c r="C67" s="58"/>
      <c r="D67" s="62" t="str">
        <f aca="false">IF(C67="","",IFERROR(INDEX(T_NOMBRE,MATCH(V67,T_RUTN,0)),"⚠ RUT no está en Trabajadores"))</f>
        <v/>
      </c>
      <c r="E67" s="61"/>
      <c r="F67" s="61"/>
      <c r="G67" s="61"/>
      <c r="H67" s="61"/>
      <c r="I67" s="81"/>
      <c r="J67" s="81"/>
      <c r="K67" s="60"/>
      <c r="L67" s="60"/>
      <c r="M67" s="60"/>
      <c r="N67" s="60"/>
      <c r="O67" s="60"/>
      <c r="P67" s="60"/>
      <c r="Q67" s="60"/>
      <c r="R67" s="58"/>
      <c r="S67" s="62" t="str">
        <f aca="false">IF(OR(B67="",V67=""),"",IFERROR(INDEX(C_TIPO,MATCH(V67&amp;"-P"&amp;MAX(1,COUNTIFS(C_RUTN,V67,C_DEF,"Sí",C_INI,"&lt;="&amp;EOMONTH(B67,0))),C_CLAVE,0))&amp;"","Sin contrato"))</f>
        <v/>
      </c>
      <c r="T67" s="63" t="str">
        <f aca="false">IF(OR(B67="",N(O67)=0),"",N(O67)+ROUND(MIN(N(N67),TOPE_UF*UF_MES)*(TASA_EMP+MUTUAL),0)+ROUND(MIN(N(N67),TOPE_AFC_UF*UF_MES)*IF(S67="Indefinido",AFC_INDEF,AFC_PF),0))</f>
        <v/>
      </c>
      <c r="U67" s="62" t="str">
        <f aca="false">IF(C67="","",IF(LEFT(D67,1)="⚠","⚠ RUT no registrado en Trabajadores",IF(B67="","⚠ Falta el mes",IF(OR(ISTEXT(I67),ISTEXT(J67)),"⚠ Atrasos u horas extra como texto: escriba hh:mm (ej. 1:30)",IF(AND(ISNUMBER(Q67),COUNTIFS(M_RUTN,V67,M_MES,B67,M_LIQ,"&lt;&gt;")&gt;1),"⚠ Liquidación repetida en el mes",IF(AND(ISNUMBER(O67),ISNUMBER(P67),ISNUMBER(Q67),ABS(O67-P67-Q67)&gt;1),"⚠ Haberes − descuentos no da el líquido","OK"))))))</f>
        <v/>
      </c>
      <c r="V67" s="62" t="str">
        <f aca="false">IF(C67="","",IFERROR(VALUE(LEFT(UPPER(SUBSTITUTE(SUBSTITUTE(SUBSTITUTE(TRIM(C67),".",""),"-","")," ","")),LEN(UPPER(SUBSTITUTE(SUBSTITUTE(SUBSTITUTE(TRIM(C67),".",""),"-","")," ","")))-1))&amp;RIGHT(UPPER(SUBSTITUTE(SUBSTITUTE(SUBSTITUTE(TRIM(C67),".",""),"-","")," ","")),1),UPPER(SUBSTITUTE(SUBSTITUTE(SUBSTITUTE(TRIM(C67),".",""),"-","")," ",""))))</f>
        <v/>
      </c>
    </row>
    <row r="68" customFormat="false" ht="15" hidden="false" customHeight="false" outlineLevel="0" collapsed="false">
      <c r="B68" s="80"/>
      <c r="C68" s="58"/>
      <c r="D68" s="62" t="str">
        <f aca="false">IF(C68="","",IFERROR(INDEX(T_NOMBRE,MATCH(V68,T_RUTN,0)),"⚠ RUT no está en Trabajadores"))</f>
        <v/>
      </c>
      <c r="E68" s="61"/>
      <c r="F68" s="61"/>
      <c r="G68" s="61"/>
      <c r="H68" s="61"/>
      <c r="I68" s="81"/>
      <c r="J68" s="81"/>
      <c r="K68" s="60"/>
      <c r="L68" s="60"/>
      <c r="M68" s="60"/>
      <c r="N68" s="60"/>
      <c r="O68" s="60"/>
      <c r="P68" s="60"/>
      <c r="Q68" s="60"/>
      <c r="R68" s="58"/>
      <c r="S68" s="62" t="str">
        <f aca="false">IF(OR(B68="",V68=""),"",IFERROR(INDEX(C_TIPO,MATCH(V68&amp;"-P"&amp;MAX(1,COUNTIFS(C_RUTN,V68,C_DEF,"Sí",C_INI,"&lt;="&amp;EOMONTH(B68,0))),C_CLAVE,0))&amp;"","Sin contrato"))</f>
        <v/>
      </c>
      <c r="T68" s="63" t="str">
        <f aca="false">IF(OR(B68="",N(O68)=0),"",N(O68)+ROUND(MIN(N(N68),TOPE_UF*UF_MES)*(TASA_EMP+MUTUAL),0)+ROUND(MIN(N(N68),TOPE_AFC_UF*UF_MES)*IF(S68="Indefinido",AFC_INDEF,AFC_PF),0))</f>
        <v/>
      </c>
      <c r="U68" s="62" t="str">
        <f aca="false">IF(C68="","",IF(LEFT(D68,1)="⚠","⚠ RUT no registrado en Trabajadores",IF(B68="","⚠ Falta el mes",IF(OR(ISTEXT(I68),ISTEXT(J68)),"⚠ Atrasos u horas extra como texto: escriba hh:mm (ej. 1:30)",IF(AND(ISNUMBER(Q68),COUNTIFS(M_RUTN,V68,M_MES,B68,M_LIQ,"&lt;&gt;")&gt;1),"⚠ Liquidación repetida en el mes",IF(AND(ISNUMBER(O68),ISNUMBER(P68),ISNUMBER(Q68),ABS(O68-P68-Q68)&gt;1),"⚠ Haberes − descuentos no da el líquido","OK"))))))</f>
        <v/>
      </c>
      <c r="V68" s="62" t="str">
        <f aca="false">IF(C68="","",IFERROR(VALUE(LEFT(UPPER(SUBSTITUTE(SUBSTITUTE(SUBSTITUTE(TRIM(C68),".",""),"-","")," ","")),LEN(UPPER(SUBSTITUTE(SUBSTITUTE(SUBSTITUTE(TRIM(C68),".",""),"-","")," ","")))-1))&amp;RIGHT(UPPER(SUBSTITUTE(SUBSTITUTE(SUBSTITUTE(TRIM(C68),".",""),"-","")," ","")),1),UPPER(SUBSTITUTE(SUBSTITUTE(SUBSTITUTE(TRIM(C68),".",""),"-","")," ",""))))</f>
        <v/>
      </c>
    </row>
    <row r="69" customFormat="false" ht="15" hidden="false" customHeight="false" outlineLevel="0" collapsed="false">
      <c r="B69" s="80"/>
      <c r="C69" s="58"/>
      <c r="D69" s="62" t="str">
        <f aca="false">IF(C69="","",IFERROR(INDEX(T_NOMBRE,MATCH(V69,T_RUTN,0)),"⚠ RUT no está en Trabajadores"))</f>
        <v/>
      </c>
      <c r="E69" s="61"/>
      <c r="F69" s="61"/>
      <c r="G69" s="61"/>
      <c r="H69" s="61"/>
      <c r="I69" s="81"/>
      <c r="J69" s="81"/>
      <c r="K69" s="60"/>
      <c r="L69" s="60"/>
      <c r="M69" s="60"/>
      <c r="N69" s="60"/>
      <c r="O69" s="60"/>
      <c r="P69" s="60"/>
      <c r="Q69" s="60"/>
      <c r="R69" s="58"/>
      <c r="S69" s="62" t="str">
        <f aca="false">IF(OR(B69="",V69=""),"",IFERROR(INDEX(C_TIPO,MATCH(V69&amp;"-P"&amp;MAX(1,COUNTIFS(C_RUTN,V69,C_DEF,"Sí",C_INI,"&lt;="&amp;EOMONTH(B69,0))),C_CLAVE,0))&amp;"","Sin contrato"))</f>
        <v/>
      </c>
      <c r="T69" s="63" t="str">
        <f aca="false">IF(OR(B69="",N(O69)=0),"",N(O69)+ROUND(MIN(N(N69),TOPE_UF*UF_MES)*(TASA_EMP+MUTUAL),0)+ROUND(MIN(N(N69),TOPE_AFC_UF*UF_MES)*IF(S69="Indefinido",AFC_INDEF,AFC_PF),0))</f>
        <v/>
      </c>
      <c r="U69" s="62" t="str">
        <f aca="false">IF(C69="","",IF(LEFT(D69,1)="⚠","⚠ RUT no registrado en Trabajadores",IF(B69="","⚠ Falta el mes",IF(OR(ISTEXT(I69),ISTEXT(J69)),"⚠ Atrasos u horas extra como texto: escriba hh:mm (ej. 1:30)",IF(AND(ISNUMBER(Q69),COUNTIFS(M_RUTN,V69,M_MES,B69,M_LIQ,"&lt;&gt;")&gt;1),"⚠ Liquidación repetida en el mes",IF(AND(ISNUMBER(O69),ISNUMBER(P69),ISNUMBER(Q69),ABS(O69-P69-Q69)&gt;1),"⚠ Haberes − descuentos no da el líquido","OK"))))))</f>
        <v/>
      </c>
      <c r="V69" s="62" t="str">
        <f aca="false">IF(C69="","",IFERROR(VALUE(LEFT(UPPER(SUBSTITUTE(SUBSTITUTE(SUBSTITUTE(TRIM(C69),".",""),"-","")," ","")),LEN(UPPER(SUBSTITUTE(SUBSTITUTE(SUBSTITUTE(TRIM(C69),".",""),"-","")," ","")))-1))&amp;RIGHT(UPPER(SUBSTITUTE(SUBSTITUTE(SUBSTITUTE(TRIM(C69),".",""),"-","")," ","")),1),UPPER(SUBSTITUTE(SUBSTITUTE(SUBSTITUTE(TRIM(C69),".",""),"-","")," ",""))))</f>
        <v/>
      </c>
    </row>
    <row r="70" customFormat="false" ht="15" hidden="false" customHeight="false" outlineLevel="0" collapsed="false">
      <c r="B70" s="80"/>
      <c r="C70" s="58"/>
      <c r="D70" s="62" t="str">
        <f aca="false">IF(C70="","",IFERROR(INDEX(T_NOMBRE,MATCH(V70,T_RUTN,0)),"⚠ RUT no está en Trabajadores"))</f>
        <v/>
      </c>
      <c r="E70" s="61"/>
      <c r="F70" s="61"/>
      <c r="G70" s="61"/>
      <c r="H70" s="61"/>
      <c r="I70" s="81"/>
      <c r="J70" s="81"/>
      <c r="K70" s="60"/>
      <c r="L70" s="60"/>
      <c r="M70" s="60"/>
      <c r="N70" s="60"/>
      <c r="O70" s="60"/>
      <c r="P70" s="60"/>
      <c r="Q70" s="60"/>
      <c r="R70" s="58"/>
      <c r="S70" s="62" t="str">
        <f aca="false">IF(OR(B70="",V70=""),"",IFERROR(INDEX(C_TIPO,MATCH(V70&amp;"-P"&amp;MAX(1,COUNTIFS(C_RUTN,V70,C_DEF,"Sí",C_INI,"&lt;="&amp;EOMONTH(B70,0))),C_CLAVE,0))&amp;"","Sin contrato"))</f>
        <v/>
      </c>
      <c r="T70" s="63" t="str">
        <f aca="false">IF(OR(B70="",N(O70)=0),"",N(O70)+ROUND(MIN(N(N70),TOPE_UF*UF_MES)*(TASA_EMP+MUTUAL),0)+ROUND(MIN(N(N70),TOPE_AFC_UF*UF_MES)*IF(S70="Indefinido",AFC_INDEF,AFC_PF),0))</f>
        <v/>
      </c>
      <c r="U70" s="62" t="str">
        <f aca="false">IF(C70="","",IF(LEFT(D70,1)="⚠","⚠ RUT no registrado en Trabajadores",IF(B70="","⚠ Falta el mes",IF(OR(ISTEXT(I70),ISTEXT(J70)),"⚠ Atrasos u horas extra como texto: escriba hh:mm (ej. 1:30)",IF(AND(ISNUMBER(Q70),COUNTIFS(M_RUTN,V70,M_MES,B70,M_LIQ,"&lt;&gt;")&gt;1),"⚠ Liquidación repetida en el mes",IF(AND(ISNUMBER(O70),ISNUMBER(P70),ISNUMBER(Q70),ABS(O70-P70-Q70)&gt;1),"⚠ Haberes − descuentos no da el líquido","OK"))))))</f>
        <v/>
      </c>
      <c r="V70" s="62" t="str">
        <f aca="false">IF(C70="","",IFERROR(VALUE(LEFT(UPPER(SUBSTITUTE(SUBSTITUTE(SUBSTITUTE(TRIM(C70),".",""),"-","")," ","")),LEN(UPPER(SUBSTITUTE(SUBSTITUTE(SUBSTITUTE(TRIM(C70),".",""),"-","")," ","")))-1))&amp;RIGHT(UPPER(SUBSTITUTE(SUBSTITUTE(SUBSTITUTE(TRIM(C70),".",""),"-","")," ","")),1),UPPER(SUBSTITUTE(SUBSTITUTE(SUBSTITUTE(TRIM(C70),".",""),"-","")," ",""))))</f>
        <v/>
      </c>
    </row>
    <row r="71" customFormat="false" ht="15" hidden="false" customHeight="false" outlineLevel="0" collapsed="false">
      <c r="B71" s="80"/>
      <c r="C71" s="58"/>
      <c r="D71" s="62" t="str">
        <f aca="false">IF(C71="","",IFERROR(INDEX(T_NOMBRE,MATCH(V71,T_RUTN,0)),"⚠ RUT no está en Trabajadores"))</f>
        <v/>
      </c>
      <c r="E71" s="61"/>
      <c r="F71" s="61"/>
      <c r="G71" s="61"/>
      <c r="H71" s="61"/>
      <c r="I71" s="81"/>
      <c r="J71" s="81"/>
      <c r="K71" s="60"/>
      <c r="L71" s="60"/>
      <c r="M71" s="60"/>
      <c r="N71" s="60"/>
      <c r="O71" s="60"/>
      <c r="P71" s="60"/>
      <c r="Q71" s="60"/>
      <c r="R71" s="58"/>
      <c r="S71" s="62" t="str">
        <f aca="false">IF(OR(B71="",V71=""),"",IFERROR(INDEX(C_TIPO,MATCH(V71&amp;"-P"&amp;MAX(1,COUNTIFS(C_RUTN,V71,C_DEF,"Sí",C_INI,"&lt;="&amp;EOMONTH(B71,0))),C_CLAVE,0))&amp;"","Sin contrato"))</f>
        <v/>
      </c>
      <c r="T71" s="63" t="str">
        <f aca="false">IF(OR(B71="",N(O71)=0),"",N(O71)+ROUND(MIN(N(N71),TOPE_UF*UF_MES)*(TASA_EMP+MUTUAL),0)+ROUND(MIN(N(N71),TOPE_AFC_UF*UF_MES)*IF(S71="Indefinido",AFC_INDEF,AFC_PF),0))</f>
        <v/>
      </c>
      <c r="U71" s="62" t="str">
        <f aca="false">IF(C71="","",IF(LEFT(D71,1)="⚠","⚠ RUT no registrado en Trabajadores",IF(B71="","⚠ Falta el mes",IF(OR(ISTEXT(I71),ISTEXT(J71)),"⚠ Atrasos u horas extra como texto: escriba hh:mm (ej. 1:30)",IF(AND(ISNUMBER(Q71),COUNTIFS(M_RUTN,V71,M_MES,B71,M_LIQ,"&lt;&gt;")&gt;1),"⚠ Liquidación repetida en el mes",IF(AND(ISNUMBER(O71),ISNUMBER(P71),ISNUMBER(Q71),ABS(O71-P71-Q71)&gt;1),"⚠ Haberes − descuentos no da el líquido","OK"))))))</f>
        <v/>
      </c>
      <c r="V71" s="62" t="str">
        <f aca="false">IF(C71="","",IFERROR(VALUE(LEFT(UPPER(SUBSTITUTE(SUBSTITUTE(SUBSTITUTE(TRIM(C71),".",""),"-","")," ","")),LEN(UPPER(SUBSTITUTE(SUBSTITUTE(SUBSTITUTE(TRIM(C71),".",""),"-","")," ","")))-1))&amp;RIGHT(UPPER(SUBSTITUTE(SUBSTITUTE(SUBSTITUTE(TRIM(C71),".",""),"-","")," ","")),1),UPPER(SUBSTITUTE(SUBSTITUTE(SUBSTITUTE(TRIM(C71),".",""),"-","")," ",""))))</f>
        <v/>
      </c>
    </row>
    <row r="72" customFormat="false" ht="15" hidden="false" customHeight="false" outlineLevel="0" collapsed="false">
      <c r="B72" s="80"/>
      <c r="C72" s="58"/>
      <c r="D72" s="62" t="str">
        <f aca="false">IF(C72="","",IFERROR(INDEX(T_NOMBRE,MATCH(V72,T_RUTN,0)),"⚠ RUT no está en Trabajadores"))</f>
        <v/>
      </c>
      <c r="E72" s="61"/>
      <c r="F72" s="61"/>
      <c r="G72" s="61"/>
      <c r="H72" s="61"/>
      <c r="I72" s="81"/>
      <c r="J72" s="81"/>
      <c r="K72" s="60"/>
      <c r="L72" s="60"/>
      <c r="M72" s="60"/>
      <c r="N72" s="60"/>
      <c r="O72" s="60"/>
      <c r="P72" s="60"/>
      <c r="Q72" s="60"/>
      <c r="R72" s="58"/>
      <c r="S72" s="62" t="str">
        <f aca="false">IF(OR(B72="",V72=""),"",IFERROR(INDEX(C_TIPO,MATCH(V72&amp;"-P"&amp;MAX(1,COUNTIFS(C_RUTN,V72,C_DEF,"Sí",C_INI,"&lt;="&amp;EOMONTH(B72,0))),C_CLAVE,0))&amp;"","Sin contrato"))</f>
        <v/>
      </c>
      <c r="T72" s="63" t="str">
        <f aca="false">IF(OR(B72="",N(O72)=0),"",N(O72)+ROUND(MIN(N(N72),TOPE_UF*UF_MES)*(TASA_EMP+MUTUAL),0)+ROUND(MIN(N(N72),TOPE_AFC_UF*UF_MES)*IF(S72="Indefinido",AFC_INDEF,AFC_PF),0))</f>
        <v/>
      </c>
      <c r="U72" s="62" t="str">
        <f aca="false">IF(C72="","",IF(LEFT(D72,1)="⚠","⚠ RUT no registrado en Trabajadores",IF(B72="","⚠ Falta el mes",IF(OR(ISTEXT(I72),ISTEXT(J72)),"⚠ Atrasos u horas extra como texto: escriba hh:mm (ej. 1:30)",IF(AND(ISNUMBER(Q72),COUNTIFS(M_RUTN,V72,M_MES,B72,M_LIQ,"&lt;&gt;")&gt;1),"⚠ Liquidación repetida en el mes",IF(AND(ISNUMBER(O72),ISNUMBER(P72),ISNUMBER(Q72),ABS(O72-P72-Q72)&gt;1),"⚠ Haberes − descuentos no da el líquido","OK"))))))</f>
        <v/>
      </c>
      <c r="V72" s="62" t="str">
        <f aca="false">IF(C72="","",IFERROR(VALUE(LEFT(UPPER(SUBSTITUTE(SUBSTITUTE(SUBSTITUTE(TRIM(C72),".",""),"-","")," ","")),LEN(UPPER(SUBSTITUTE(SUBSTITUTE(SUBSTITUTE(TRIM(C72),".",""),"-","")," ","")))-1))&amp;RIGHT(UPPER(SUBSTITUTE(SUBSTITUTE(SUBSTITUTE(TRIM(C72),".",""),"-","")," ","")),1),UPPER(SUBSTITUTE(SUBSTITUTE(SUBSTITUTE(TRIM(C72),".",""),"-","")," ",""))))</f>
        <v/>
      </c>
    </row>
    <row r="73" customFormat="false" ht="15" hidden="false" customHeight="false" outlineLevel="0" collapsed="false">
      <c r="B73" s="80"/>
      <c r="C73" s="58"/>
      <c r="D73" s="62" t="str">
        <f aca="false">IF(C73="","",IFERROR(INDEX(T_NOMBRE,MATCH(V73,T_RUTN,0)),"⚠ RUT no está en Trabajadores"))</f>
        <v/>
      </c>
      <c r="E73" s="61"/>
      <c r="F73" s="61"/>
      <c r="G73" s="61"/>
      <c r="H73" s="61"/>
      <c r="I73" s="81"/>
      <c r="J73" s="81"/>
      <c r="K73" s="60"/>
      <c r="L73" s="60"/>
      <c r="M73" s="60"/>
      <c r="N73" s="60"/>
      <c r="O73" s="60"/>
      <c r="P73" s="60"/>
      <c r="Q73" s="60"/>
      <c r="R73" s="58"/>
      <c r="S73" s="62" t="str">
        <f aca="false">IF(OR(B73="",V73=""),"",IFERROR(INDEX(C_TIPO,MATCH(V73&amp;"-P"&amp;MAX(1,COUNTIFS(C_RUTN,V73,C_DEF,"Sí",C_INI,"&lt;="&amp;EOMONTH(B73,0))),C_CLAVE,0))&amp;"","Sin contrato"))</f>
        <v/>
      </c>
      <c r="T73" s="63" t="str">
        <f aca="false">IF(OR(B73="",N(O73)=0),"",N(O73)+ROUND(MIN(N(N73),TOPE_UF*UF_MES)*(TASA_EMP+MUTUAL),0)+ROUND(MIN(N(N73),TOPE_AFC_UF*UF_MES)*IF(S73="Indefinido",AFC_INDEF,AFC_PF),0))</f>
        <v/>
      </c>
      <c r="U73" s="62" t="str">
        <f aca="false">IF(C73="","",IF(LEFT(D73,1)="⚠","⚠ RUT no registrado en Trabajadores",IF(B73="","⚠ Falta el mes",IF(OR(ISTEXT(I73),ISTEXT(J73)),"⚠ Atrasos u horas extra como texto: escriba hh:mm (ej. 1:30)",IF(AND(ISNUMBER(Q73),COUNTIFS(M_RUTN,V73,M_MES,B73,M_LIQ,"&lt;&gt;")&gt;1),"⚠ Liquidación repetida en el mes",IF(AND(ISNUMBER(O73),ISNUMBER(P73),ISNUMBER(Q73),ABS(O73-P73-Q73)&gt;1),"⚠ Haberes − descuentos no da el líquido","OK"))))))</f>
        <v/>
      </c>
      <c r="V73" s="62" t="str">
        <f aca="false">IF(C73="","",IFERROR(VALUE(LEFT(UPPER(SUBSTITUTE(SUBSTITUTE(SUBSTITUTE(TRIM(C73),".",""),"-","")," ","")),LEN(UPPER(SUBSTITUTE(SUBSTITUTE(SUBSTITUTE(TRIM(C73),".",""),"-","")," ","")))-1))&amp;RIGHT(UPPER(SUBSTITUTE(SUBSTITUTE(SUBSTITUTE(TRIM(C73),".",""),"-","")," ","")),1),UPPER(SUBSTITUTE(SUBSTITUTE(SUBSTITUTE(TRIM(C73),".",""),"-","")," ",""))))</f>
        <v/>
      </c>
    </row>
    <row r="74" customFormat="false" ht="15" hidden="false" customHeight="false" outlineLevel="0" collapsed="false">
      <c r="B74" s="80"/>
      <c r="C74" s="58"/>
      <c r="D74" s="62" t="str">
        <f aca="false">IF(C74="","",IFERROR(INDEX(T_NOMBRE,MATCH(V74,T_RUTN,0)),"⚠ RUT no está en Trabajadores"))</f>
        <v/>
      </c>
      <c r="E74" s="61"/>
      <c r="F74" s="61"/>
      <c r="G74" s="61"/>
      <c r="H74" s="61"/>
      <c r="I74" s="81"/>
      <c r="J74" s="81"/>
      <c r="K74" s="60"/>
      <c r="L74" s="60"/>
      <c r="M74" s="60"/>
      <c r="N74" s="60"/>
      <c r="O74" s="60"/>
      <c r="P74" s="60"/>
      <c r="Q74" s="60"/>
      <c r="R74" s="58"/>
      <c r="S74" s="62" t="str">
        <f aca="false">IF(OR(B74="",V74=""),"",IFERROR(INDEX(C_TIPO,MATCH(V74&amp;"-P"&amp;MAX(1,COUNTIFS(C_RUTN,V74,C_DEF,"Sí",C_INI,"&lt;="&amp;EOMONTH(B74,0))),C_CLAVE,0))&amp;"","Sin contrato"))</f>
        <v/>
      </c>
      <c r="T74" s="63" t="str">
        <f aca="false">IF(OR(B74="",N(O74)=0),"",N(O74)+ROUND(MIN(N(N74),TOPE_UF*UF_MES)*(TASA_EMP+MUTUAL),0)+ROUND(MIN(N(N74),TOPE_AFC_UF*UF_MES)*IF(S74="Indefinido",AFC_INDEF,AFC_PF),0))</f>
        <v/>
      </c>
      <c r="U74" s="62" t="str">
        <f aca="false">IF(C74="","",IF(LEFT(D74,1)="⚠","⚠ RUT no registrado en Trabajadores",IF(B74="","⚠ Falta el mes",IF(OR(ISTEXT(I74),ISTEXT(J74)),"⚠ Atrasos u horas extra como texto: escriba hh:mm (ej. 1:30)",IF(AND(ISNUMBER(Q74),COUNTIFS(M_RUTN,V74,M_MES,B74,M_LIQ,"&lt;&gt;")&gt;1),"⚠ Liquidación repetida en el mes",IF(AND(ISNUMBER(O74),ISNUMBER(P74),ISNUMBER(Q74),ABS(O74-P74-Q74)&gt;1),"⚠ Haberes − descuentos no da el líquido","OK"))))))</f>
        <v/>
      </c>
      <c r="V74" s="62" t="str">
        <f aca="false">IF(C74="","",IFERROR(VALUE(LEFT(UPPER(SUBSTITUTE(SUBSTITUTE(SUBSTITUTE(TRIM(C74),".",""),"-","")," ","")),LEN(UPPER(SUBSTITUTE(SUBSTITUTE(SUBSTITUTE(TRIM(C74),".",""),"-","")," ","")))-1))&amp;RIGHT(UPPER(SUBSTITUTE(SUBSTITUTE(SUBSTITUTE(TRIM(C74),".",""),"-","")," ","")),1),UPPER(SUBSTITUTE(SUBSTITUTE(SUBSTITUTE(TRIM(C74),".",""),"-","")," ",""))))</f>
        <v/>
      </c>
    </row>
    <row r="75" customFormat="false" ht="15" hidden="false" customHeight="false" outlineLevel="0" collapsed="false">
      <c r="B75" s="80"/>
      <c r="C75" s="58"/>
      <c r="D75" s="62" t="str">
        <f aca="false">IF(C75="","",IFERROR(INDEX(T_NOMBRE,MATCH(V75,T_RUTN,0)),"⚠ RUT no está en Trabajadores"))</f>
        <v/>
      </c>
      <c r="E75" s="61"/>
      <c r="F75" s="61"/>
      <c r="G75" s="61"/>
      <c r="H75" s="61"/>
      <c r="I75" s="81"/>
      <c r="J75" s="81"/>
      <c r="K75" s="60"/>
      <c r="L75" s="60"/>
      <c r="M75" s="60"/>
      <c r="N75" s="60"/>
      <c r="O75" s="60"/>
      <c r="P75" s="60"/>
      <c r="Q75" s="60"/>
      <c r="R75" s="58"/>
      <c r="S75" s="62" t="str">
        <f aca="false">IF(OR(B75="",V75=""),"",IFERROR(INDEX(C_TIPO,MATCH(V75&amp;"-P"&amp;MAX(1,COUNTIFS(C_RUTN,V75,C_DEF,"Sí",C_INI,"&lt;="&amp;EOMONTH(B75,0))),C_CLAVE,0))&amp;"","Sin contrato"))</f>
        <v/>
      </c>
      <c r="T75" s="63" t="str">
        <f aca="false">IF(OR(B75="",N(O75)=0),"",N(O75)+ROUND(MIN(N(N75),TOPE_UF*UF_MES)*(TASA_EMP+MUTUAL),0)+ROUND(MIN(N(N75),TOPE_AFC_UF*UF_MES)*IF(S75="Indefinido",AFC_INDEF,AFC_PF),0))</f>
        <v/>
      </c>
      <c r="U75" s="62" t="str">
        <f aca="false">IF(C75="","",IF(LEFT(D75,1)="⚠","⚠ RUT no registrado en Trabajadores",IF(B75="","⚠ Falta el mes",IF(OR(ISTEXT(I75),ISTEXT(J75)),"⚠ Atrasos u horas extra como texto: escriba hh:mm (ej. 1:30)",IF(AND(ISNUMBER(Q75),COUNTIFS(M_RUTN,V75,M_MES,B75,M_LIQ,"&lt;&gt;")&gt;1),"⚠ Liquidación repetida en el mes",IF(AND(ISNUMBER(O75),ISNUMBER(P75),ISNUMBER(Q75),ABS(O75-P75-Q75)&gt;1),"⚠ Haberes − descuentos no da el líquido","OK"))))))</f>
        <v/>
      </c>
      <c r="V75" s="62" t="str">
        <f aca="false">IF(C75="","",IFERROR(VALUE(LEFT(UPPER(SUBSTITUTE(SUBSTITUTE(SUBSTITUTE(TRIM(C75),".",""),"-","")," ","")),LEN(UPPER(SUBSTITUTE(SUBSTITUTE(SUBSTITUTE(TRIM(C75),".",""),"-","")," ","")))-1))&amp;RIGHT(UPPER(SUBSTITUTE(SUBSTITUTE(SUBSTITUTE(TRIM(C75),".",""),"-","")," ","")),1),UPPER(SUBSTITUTE(SUBSTITUTE(SUBSTITUTE(TRIM(C75),".",""),"-","")," ",""))))</f>
        <v/>
      </c>
    </row>
    <row r="76" customFormat="false" ht="15" hidden="false" customHeight="false" outlineLevel="0" collapsed="false">
      <c r="B76" s="80"/>
      <c r="C76" s="58"/>
      <c r="D76" s="62" t="str">
        <f aca="false">IF(C76="","",IFERROR(INDEX(T_NOMBRE,MATCH(V76,T_RUTN,0)),"⚠ RUT no está en Trabajadores"))</f>
        <v/>
      </c>
      <c r="E76" s="61"/>
      <c r="F76" s="61"/>
      <c r="G76" s="61"/>
      <c r="H76" s="61"/>
      <c r="I76" s="81"/>
      <c r="J76" s="81"/>
      <c r="K76" s="60"/>
      <c r="L76" s="60"/>
      <c r="M76" s="60"/>
      <c r="N76" s="60"/>
      <c r="O76" s="60"/>
      <c r="P76" s="60"/>
      <c r="Q76" s="60"/>
      <c r="R76" s="58"/>
      <c r="S76" s="62" t="str">
        <f aca="false">IF(OR(B76="",V76=""),"",IFERROR(INDEX(C_TIPO,MATCH(V76&amp;"-P"&amp;MAX(1,COUNTIFS(C_RUTN,V76,C_DEF,"Sí",C_INI,"&lt;="&amp;EOMONTH(B76,0))),C_CLAVE,0))&amp;"","Sin contrato"))</f>
        <v/>
      </c>
      <c r="T76" s="63" t="str">
        <f aca="false">IF(OR(B76="",N(O76)=0),"",N(O76)+ROUND(MIN(N(N76),TOPE_UF*UF_MES)*(TASA_EMP+MUTUAL),0)+ROUND(MIN(N(N76),TOPE_AFC_UF*UF_MES)*IF(S76="Indefinido",AFC_INDEF,AFC_PF),0))</f>
        <v/>
      </c>
      <c r="U76" s="62" t="str">
        <f aca="false">IF(C76="","",IF(LEFT(D76,1)="⚠","⚠ RUT no registrado en Trabajadores",IF(B76="","⚠ Falta el mes",IF(OR(ISTEXT(I76),ISTEXT(J76)),"⚠ Atrasos u horas extra como texto: escriba hh:mm (ej. 1:30)",IF(AND(ISNUMBER(Q76),COUNTIFS(M_RUTN,V76,M_MES,B76,M_LIQ,"&lt;&gt;")&gt;1),"⚠ Liquidación repetida en el mes",IF(AND(ISNUMBER(O76),ISNUMBER(P76),ISNUMBER(Q76),ABS(O76-P76-Q76)&gt;1),"⚠ Haberes − descuentos no da el líquido","OK"))))))</f>
        <v/>
      </c>
      <c r="V76" s="62" t="str">
        <f aca="false">IF(C76="","",IFERROR(VALUE(LEFT(UPPER(SUBSTITUTE(SUBSTITUTE(SUBSTITUTE(TRIM(C76),".",""),"-","")," ","")),LEN(UPPER(SUBSTITUTE(SUBSTITUTE(SUBSTITUTE(TRIM(C76),".",""),"-","")," ","")))-1))&amp;RIGHT(UPPER(SUBSTITUTE(SUBSTITUTE(SUBSTITUTE(TRIM(C76),".",""),"-","")," ","")),1),UPPER(SUBSTITUTE(SUBSTITUTE(SUBSTITUTE(TRIM(C76),".",""),"-","")," ",""))))</f>
        <v/>
      </c>
    </row>
    <row r="77" customFormat="false" ht="15" hidden="false" customHeight="false" outlineLevel="0" collapsed="false">
      <c r="B77" s="80"/>
      <c r="C77" s="58"/>
      <c r="D77" s="62" t="str">
        <f aca="false">IF(C77="","",IFERROR(INDEX(T_NOMBRE,MATCH(V77,T_RUTN,0)),"⚠ RUT no está en Trabajadores"))</f>
        <v/>
      </c>
      <c r="E77" s="61"/>
      <c r="F77" s="61"/>
      <c r="G77" s="61"/>
      <c r="H77" s="61"/>
      <c r="I77" s="81"/>
      <c r="J77" s="81"/>
      <c r="K77" s="60"/>
      <c r="L77" s="60"/>
      <c r="M77" s="60"/>
      <c r="N77" s="60"/>
      <c r="O77" s="60"/>
      <c r="P77" s="60"/>
      <c r="Q77" s="60"/>
      <c r="R77" s="58"/>
      <c r="S77" s="62" t="str">
        <f aca="false">IF(OR(B77="",V77=""),"",IFERROR(INDEX(C_TIPO,MATCH(V77&amp;"-P"&amp;MAX(1,COUNTIFS(C_RUTN,V77,C_DEF,"Sí",C_INI,"&lt;="&amp;EOMONTH(B77,0))),C_CLAVE,0))&amp;"","Sin contrato"))</f>
        <v/>
      </c>
      <c r="T77" s="63" t="str">
        <f aca="false">IF(OR(B77="",N(O77)=0),"",N(O77)+ROUND(MIN(N(N77),TOPE_UF*UF_MES)*(TASA_EMP+MUTUAL),0)+ROUND(MIN(N(N77),TOPE_AFC_UF*UF_MES)*IF(S77="Indefinido",AFC_INDEF,AFC_PF),0))</f>
        <v/>
      </c>
      <c r="U77" s="62" t="str">
        <f aca="false">IF(C77="","",IF(LEFT(D77,1)="⚠","⚠ RUT no registrado en Trabajadores",IF(B77="","⚠ Falta el mes",IF(OR(ISTEXT(I77),ISTEXT(J77)),"⚠ Atrasos u horas extra como texto: escriba hh:mm (ej. 1:30)",IF(AND(ISNUMBER(Q77),COUNTIFS(M_RUTN,V77,M_MES,B77,M_LIQ,"&lt;&gt;")&gt;1),"⚠ Liquidación repetida en el mes",IF(AND(ISNUMBER(O77),ISNUMBER(P77),ISNUMBER(Q77),ABS(O77-P77-Q77)&gt;1),"⚠ Haberes − descuentos no da el líquido","OK"))))))</f>
        <v/>
      </c>
      <c r="V77" s="62" t="str">
        <f aca="false">IF(C77="","",IFERROR(VALUE(LEFT(UPPER(SUBSTITUTE(SUBSTITUTE(SUBSTITUTE(TRIM(C77),".",""),"-","")," ","")),LEN(UPPER(SUBSTITUTE(SUBSTITUTE(SUBSTITUTE(TRIM(C77),".",""),"-","")," ","")))-1))&amp;RIGHT(UPPER(SUBSTITUTE(SUBSTITUTE(SUBSTITUTE(TRIM(C77),".",""),"-","")," ","")),1),UPPER(SUBSTITUTE(SUBSTITUTE(SUBSTITUTE(TRIM(C77),".",""),"-","")," ",""))))</f>
        <v/>
      </c>
    </row>
    <row r="78" customFormat="false" ht="15" hidden="false" customHeight="false" outlineLevel="0" collapsed="false">
      <c r="B78" s="80"/>
      <c r="C78" s="58"/>
      <c r="D78" s="62" t="str">
        <f aca="false">IF(C78="","",IFERROR(INDEX(T_NOMBRE,MATCH(V78,T_RUTN,0)),"⚠ RUT no está en Trabajadores"))</f>
        <v/>
      </c>
      <c r="E78" s="61"/>
      <c r="F78" s="61"/>
      <c r="G78" s="61"/>
      <c r="H78" s="61"/>
      <c r="I78" s="81"/>
      <c r="J78" s="81"/>
      <c r="K78" s="60"/>
      <c r="L78" s="60"/>
      <c r="M78" s="60"/>
      <c r="N78" s="60"/>
      <c r="O78" s="60"/>
      <c r="P78" s="60"/>
      <c r="Q78" s="60"/>
      <c r="R78" s="58"/>
      <c r="S78" s="62" t="str">
        <f aca="false">IF(OR(B78="",V78=""),"",IFERROR(INDEX(C_TIPO,MATCH(V78&amp;"-P"&amp;MAX(1,COUNTIFS(C_RUTN,V78,C_DEF,"Sí",C_INI,"&lt;="&amp;EOMONTH(B78,0))),C_CLAVE,0))&amp;"","Sin contrato"))</f>
        <v/>
      </c>
      <c r="T78" s="63" t="str">
        <f aca="false">IF(OR(B78="",N(O78)=0),"",N(O78)+ROUND(MIN(N(N78),TOPE_UF*UF_MES)*(TASA_EMP+MUTUAL),0)+ROUND(MIN(N(N78),TOPE_AFC_UF*UF_MES)*IF(S78="Indefinido",AFC_INDEF,AFC_PF),0))</f>
        <v/>
      </c>
      <c r="U78" s="62" t="str">
        <f aca="false">IF(C78="","",IF(LEFT(D78,1)="⚠","⚠ RUT no registrado en Trabajadores",IF(B78="","⚠ Falta el mes",IF(OR(ISTEXT(I78),ISTEXT(J78)),"⚠ Atrasos u horas extra como texto: escriba hh:mm (ej. 1:30)",IF(AND(ISNUMBER(Q78),COUNTIFS(M_RUTN,V78,M_MES,B78,M_LIQ,"&lt;&gt;")&gt;1),"⚠ Liquidación repetida en el mes",IF(AND(ISNUMBER(O78),ISNUMBER(P78),ISNUMBER(Q78),ABS(O78-P78-Q78)&gt;1),"⚠ Haberes − descuentos no da el líquido","OK"))))))</f>
        <v/>
      </c>
      <c r="V78" s="62" t="str">
        <f aca="false">IF(C78="","",IFERROR(VALUE(LEFT(UPPER(SUBSTITUTE(SUBSTITUTE(SUBSTITUTE(TRIM(C78),".",""),"-","")," ","")),LEN(UPPER(SUBSTITUTE(SUBSTITUTE(SUBSTITUTE(TRIM(C78),".",""),"-","")," ","")))-1))&amp;RIGHT(UPPER(SUBSTITUTE(SUBSTITUTE(SUBSTITUTE(TRIM(C78),".",""),"-","")," ","")),1),UPPER(SUBSTITUTE(SUBSTITUTE(SUBSTITUTE(TRIM(C78),".",""),"-","")," ",""))))</f>
        <v/>
      </c>
    </row>
    <row r="79" customFormat="false" ht="15" hidden="false" customHeight="false" outlineLevel="0" collapsed="false">
      <c r="B79" s="80"/>
      <c r="C79" s="58"/>
      <c r="D79" s="62" t="str">
        <f aca="false">IF(C79="","",IFERROR(INDEX(T_NOMBRE,MATCH(V79,T_RUTN,0)),"⚠ RUT no está en Trabajadores"))</f>
        <v/>
      </c>
      <c r="E79" s="61"/>
      <c r="F79" s="61"/>
      <c r="G79" s="61"/>
      <c r="H79" s="61"/>
      <c r="I79" s="81"/>
      <c r="J79" s="81"/>
      <c r="K79" s="60"/>
      <c r="L79" s="60"/>
      <c r="M79" s="60"/>
      <c r="N79" s="60"/>
      <c r="O79" s="60"/>
      <c r="P79" s="60"/>
      <c r="Q79" s="60"/>
      <c r="R79" s="58"/>
      <c r="S79" s="62" t="str">
        <f aca="false">IF(OR(B79="",V79=""),"",IFERROR(INDEX(C_TIPO,MATCH(V79&amp;"-P"&amp;MAX(1,COUNTIFS(C_RUTN,V79,C_DEF,"Sí",C_INI,"&lt;="&amp;EOMONTH(B79,0))),C_CLAVE,0))&amp;"","Sin contrato"))</f>
        <v/>
      </c>
      <c r="T79" s="63" t="str">
        <f aca="false">IF(OR(B79="",N(O79)=0),"",N(O79)+ROUND(MIN(N(N79),TOPE_UF*UF_MES)*(TASA_EMP+MUTUAL),0)+ROUND(MIN(N(N79),TOPE_AFC_UF*UF_MES)*IF(S79="Indefinido",AFC_INDEF,AFC_PF),0))</f>
        <v/>
      </c>
      <c r="U79" s="62" t="str">
        <f aca="false">IF(C79="","",IF(LEFT(D79,1)="⚠","⚠ RUT no registrado en Trabajadores",IF(B79="","⚠ Falta el mes",IF(OR(ISTEXT(I79),ISTEXT(J79)),"⚠ Atrasos u horas extra como texto: escriba hh:mm (ej. 1:30)",IF(AND(ISNUMBER(Q79),COUNTIFS(M_RUTN,V79,M_MES,B79,M_LIQ,"&lt;&gt;")&gt;1),"⚠ Liquidación repetida en el mes",IF(AND(ISNUMBER(O79),ISNUMBER(P79),ISNUMBER(Q79),ABS(O79-P79-Q79)&gt;1),"⚠ Haberes − descuentos no da el líquido","OK"))))))</f>
        <v/>
      </c>
      <c r="V79" s="62" t="str">
        <f aca="false">IF(C79="","",IFERROR(VALUE(LEFT(UPPER(SUBSTITUTE(SUBSTITUTE(SUBSTITUTE(TRIM(C79),".",""),"-","")," ","")),LEN(UPPER(SUBSTITUTE(SUBSTITUTE(SUBSTITUTE(TRIM(C79),".",""),"-","")," ","")))-1))&amp;RIGHT(UPPER(SUBSTITUTE(SUBSTITUTE(SUBSTITUTE(TRIM(C79),".",""),"-","")," ","")),1),UPPER(SUBSTITUTE(SUBSTITUTE(SUBSTITUTE(TRIM(C79),".",""),"-","")," ",""))))</f>
        <v/>
      </c>
    </row>
    <row r="80" customFormat="false" ht="15" hidden="false" customHeight="false" outlineLevel="0" collapsed="false">
      <c r="B80" s="80"/>
      <c r="C80" s="58"/>
      <c r="D80" s="62" t="str">
        <f aca="false">IF(C80="","",IFERROR(INDEX(T_NOMBRE,MATCH(V80,T_RUTN,0)),"⚠ RUT no está en Trabajadores"))</f>
        <v/>
      </c>
      <c r="E80" s="61"/>
      <c r="F80" s="61"/>
      <c r="G80" s="61"/>
      <c r="H80" s="61"/>
      <c r="I80" s="81"/>
      <c r="J80" s="81"/>
      <c r="K80" s="60"/>
      <c r="L80" s="60"/>
      <c r="M80" s="60"/>
      <c r="N80" s="60"/>
      <c r="O80" s="60"/>
      <c r="P80" s="60"/>
      <c r="Q80" s="60"/>
      <c r="R80" s="58"/>
      <c r="S80" s="62" t="str">
        <f aca="false">IF(OR(B80="",V80=""),"",IFERROR(INDEX(C_TIPO,MATCH(V80&amp;"-P"&amp;MAX(1,COUNTIFS(C_RUTN,V80,C_DEF,"Sí",C_INI,"&lt;="&amp;EOMONTH(B80,0))),C_CLAVE,0))&amp;"","Sin contrato"))</f>
        <v/>
      </c>
      <c r="T80" s="63" t="str">
        <f aca="false">IF(OR(B80="",N(O80)=0),"",N(O80)+ROUND(MIN(N(N80),TOPE_UF*UF_MES)*(TASA_EMP+MUTUAL),0)+ROUND(MIN(N(N80),TOPE_AFC_UF*UF_MES)*IF(S80="Indefinido",AFC_INDEF,AFC_PF),0))</f>
        <v/>
      </c>
      <c r="U80" s="62" t="str">
        <f aca="false">IF(C80="","",IF(LEFT(D80,1)="⚠","⚠ RUT no registrado en Trabajadores",IF(B80="","⚠ Falta el mes",IF(OR(ISTEXT(I80),ISTEXT(J80)),"⚠ Atrasos u horas extra como texto: escriba hh:mm (ej. 1:30)",IF(AND(ISNUMBER(Q80),COUNTIFS(M_RUTN,V80,M_MES,B80,M_LIQ,"&lt;&gt;")&gt;1),"⚠ Liquidación repetida en el mes",IF(AND(ISNUMBER(O80),ISNUMBER(P80),ISNUMBER(Q80),ABS(O80-P80-Q80)&gt;1),"⚠ Haberes − descuentos no da el líquido","OK"))))))</f>
        <v/>
      </c>
      <c r="V80" s="62" t="str">
        <f aca="false">IF(C80="","",IFERROR(VALUE(LEFT(UPPER(SUBSTITUTE(SUBSTITUTE(SUBSTITUTE(TRIM(C80),".",""),"-","")," ","")),LEN(UPPER(SUBSTITUTE(SUBSTITUTE(SUBSTITUTE(TRIM(C80),".",""),"-","")," ","")))-1))&amp;RIGHT(UPPER(SUBSTITUTE(SUBSTITUTE(SUBSTITUTE(TRIM(C80),".",""),"-","")," ","")),1),UPPER(SUBSTITUTE(SUBSTITUTE(SUBSTITUTE(TRIM(C80),".",""),"-","")," ",""))))</f>
        <v/>
      </c>
    </row>
    <row r="81" customFormat="false" ht="15" hidden="false" customHeight="false" outlineLevel="0" collapsed="false">
      <c r="B81" s="80"/>
      <c r="C81" s="58"/>
      <c r="D81" s="62" t="str">
        <f aca="false">IF(C81="","",IFERROR(INDEX(T_NOMBRE,MATCH(V81,T_RUTN,0)),"⚠ RUT no está en Trabajadores"))</f>
        <v/>
      </c>
      <c r="E81" s="61"/>
      <c r="F81" s="61"/>
      <c r="G81" s="61"/>
      <c r="H81" s="61"/>
      <c r="I81" s="81"/>
      <c r="J81" s="81"/>
      <c r="K81" s="60"/>
      <c r="L81" s="60"/>
      <c r="M81" s="60"/>
      <c r="N81" s="60"/>
      <c r="O81" s="60"/>
      <c r="P81" s="60"/>
      <c r="Q81" s="60"/>
      <c r="R81" s="58"/>
      <c r="S81" s="62" t="str">
        <f aca="false">IF(OR(B81="",V81=""),"",IFERROR(INDEX(C_TIPO,MATCH(V81&amp;"-P"&amp;MAX(1,COUNTIFS(C_RUTN,V81,C_DEF,"Sí",C_INI,"&lt;="&amp;EOMONTH(B81,0))),C_CLAVE,0))&amp;"","Sin contrato"))</f>
        <v/>
      </c>
      <c r="T81" s="63" t="str">
        <f aca="false">IF(OR(B81="",N(O81)=0),"",N(O81)+ROUND(MIN(N(N81),TOPE_UF*UF_MES)*(TASA_EMP+MUTUAL),0)+ROUND(MIN(N(N81),TOPE_AFC_UF*UF_MES)*IF(S81="Indefinido",AFC_INDEF,AFC_PF),0))</f>
        <v/>
      </c>
      <c r="U81" s="62" t="str">
        <f aca="false">IF(C81="","",IF(LEFT(D81,1)="⚠","⚠ RUT no registrado en Trabajadores",IF(B81="","⚠ Falta el mes",IF(OR(ISTEXT(I81),ISTEXT(J81)),"⚠ Atrasos u horas extra como texto: escriba hh:mm (ej. 1:30)",IF(AND(ISNUMBER(Q81),COUNTIFS(M_RUTN,V81,M_MES,B81,M_LIQ,"&lt;&gt;")&gt;1),"⚠ Liquidación repetida en el mes",IF(AND(ISNUMBER(O81),ISNUMBER(P81),ISNUMBER(Q81),ABS(O81-P81-Q81)&gt;1),"⚠ Haberes − descuentos no da el líquido","OK"))))))</f>
        <v/>
      </c>
      <c r="V81" s="62" t="str">
        <f aca="false">IF(C81="","",IFERROR(VALUE(LEFT(UPPER(SUBSTITUTE(SUBSTITUTE(SUBSTITUTE(TRIM(C81),".",""),"-","")," ","")),LEN(UPPER(SUBSTITUTE(SUBSTITUTE(SUBSTITUTE(TRIM(C81),".",""),"-","")," ","")))-1))&amp;RIGHT(UPPER(SUBSTITUTE(SUBSTITUTE(SUBSTITUTE(TRIM(C81),".",""),"-","")," ","")),1),UPPER(SUBSTITUTE(SUBSTITUTE(SUBSTITUTE(TRIM(C81),".",""),"-","")," ",""))))</f>
        <v/>
      </c>
    </row>
    <row r="82" customFormat="false" ht="15" hidden="false" customHeight="false" outlineLevel="0" collapsed="false">
      <c r="B82" s="80"/>
      <c r="C82" s="58"/>
      <c r="D82" s="62" t="str">
        <f aca="false">IF(C82="","",IFERROR(INDEX(T_NOMBRE,MATCH(V82,T_RUTN,0)),"⚠ RUT no está en Trabajadores"))</f>
        <v/>
      </c>
      <c r="E82" s="61"/>
      <c r="F82" s="61"/>
      <c r="G82" s="61"/>
      <c r="H82" s="61"/>
      <c r="I82" s="81"/>
      <c r="J82" s="81"/>
      <c r="K82" s="60"/>
      <c r="L82" s="60"/>
      <c r="M82" s="60"/>
      <c r="N82" s="60"/>
      <c r="O82" s="60"/>
      <c r="P82" s="60"/>
      <c r="Q82" s="60"/>
      <c r="R82" s="58"/>
      <c r="S82" s="62" t="str">
        <f aca="false">IF(OR(B82="",V82=""),"",IFERROR(INDEX(C_TIPO,MATCH(V82&amp;"-P"&amp;MAX(1,COUNTIFS(C_RUTN,V82,C_DEF,"Sí",C_INI,"&lt;="&amp;EOMONTH(B82,0))),C_CLAVE,0))&amp;"","Sin contrato"))</f>
        <v/>
      </c>
      <c r="T82" s="63" t="str">
        <f aca="false">IF(OR(B82="",N(O82)=0),"",N(O82)+ROUND(MIN(N(N82),TOPE_UF*UF_MES)*(TASA_EMP+MUTUAL),0)+ROUND(MIN(N(N82),TOPE_AFC_UF*UF_MES)*IF(S82="Indefinido",AFC_INDEF,AFC_PF),0))</f>
        <v/>
      </c>
      <c r="U82" s="62" t="str">
        <f aca="false">IF(C82="","",IF(LEFT(D82,1)="⚠","⚠ RUT no registrado en Trabajadores",IF(B82="","⚠ Falta el mes",IF(OR(ISTEXT(I82),ISTEXT(J82)),"⚠ Atrasos u horas extra como texto: escriba hh:mm (ej. 1:30)",IF(AND(ISNUMBER(Q82),COUNTIFS(M_RUTN,V82,M_MES,B82,M_LIQ,"&lt;&gt;")&gt;1),"⚠ Liquidación repetida en el mes",IF(AND(ISNUMBER(O82),ISNUMBER(P82),ISNUMBER(Q82),ABS(O82-P82-Q82)&gt;1),"⚠ Haberes − descuentos no da el líquido","OK"))))))</f>
        <v/>
      </c>
      <c r="V82" s="62" t="str">
        <f aca="false">IF(C82="","",IFERROR(VALUE(LEFT(UPPER(SUBSTITUTE(SUBSTITUTE(SUBSTITUTE(TRIM(C82),".",""),"-","")," ","")),LEN(UPPER(SUBSTITUTE(SUBSTITUTE(SUBSTITUTE(TRIM(C82),".",""),"-","")," ","")))-1))&amp;RIGHT(UPPER(SUBSTITUTE(SUBSTITUTE(SUBSTITUTE(TRIM(C82),".",""),"-","")," ","")),1),UPPER(SUBSTITUTE(SUBSTITUTE(SUBSTITUTE(TRIM(C82),".",""),"-","")," ",""))))</f>
        <v/>
      </c>
    </row>
    <row r="83" customFormat="false" ht="15" hidden="false" customHeight="false" outlineLevel="0" collapsed="false">
      <c r="B83" s="80"/>
      <c r="C83" s="58"/>
      <c r="D83" s="62" t="str">
        <f aca="false">IF(C83="","",IFERROR(INDEX(T_NOMBRE,MATCH(V83,T_RUTN,0)),"⚠ RUT no está en Trabajadores"))</f>
        <v/>
      </c>
      <c r="E83" s="61"/>
      <c r="F83" s="61"/>
      <c r="G83" s="61"/>
      <c r="H83" s="61"/>
      <c r="I83" s="81"/>
      <c r="J83" s="81"/>
      <c r="K83" s="60"/>
      <c r="L83" s="60"/>
      <c r="M83" s="60"/>
      <c r="N83" s="60"/>
      <c r="O83" s="60"/>
      <c r="P83" s="60"/>
      <c r="Q83" s="60"/>
      <c r="R83" s="58"/>
      <c r="S83" s="62" t="str">
        <f aca="false">IF(OR(B83="",V83=""),"",IFERROR(INDEX(C_TIPO,MATCH(V83&amp;"-P"&amp;MAX(1,COUNTIFS(C_RUTN,V83,C_DEF,"Sí",C_INI,"&lt;="&amp;EOMONTH(B83,0))),C_CLAVE,0))&amp;"","Sin contrato"))</f>
        <v/>
      </c>
      <c r="T83" s="63" t="str">
        <f aca="false">IF(OR(B83="",N(O83)=0),"",N(O83)+ROUND(MIN(N(N83),TOPE_UF*UF_MES)*(TASA_EMP+MUTUAL),0)+ROUND(MIN(N(N83),TOPE_AFC_UF*UF_MES)*IF(S83="Indefinido",AFC_INDEF,AFC_PF),0))</f>
        <v/>
      </c>
      <c r="U83" s="62" t="str">
        <f aca="false">IF(C83="","",IF(LEFT(D83,1)="⚠","⚠ RUT no registrado en Trabajadores",IF(B83="","⚠ Falta el mes",IF(OR(ISTEXT(I83),ISTEXT(J83)),"⚠ Atrasos u horas extra como texto: escriba hh:mm (ej. 1:30)",IF(AND(ISNUMBER(Q83),COUNTIFS(M_RUTN,V83,M_MES,B83,M_LIQ,"&lt;&gt;")&gt;1),"⚠ Liquidación repetida en el mes",IF(AND(ISNUMBER(O83),ISNUMBER(P83),ISNUMBER(Q83),ABS(O83-P83-Q83)&gt;1),"⚠ Haberes − descuentos no da el líquido","OK"))))))</f>
        <v/>
      </c>
      <c r="V83" s="62" t="str">
        <f aca="false">IF(C83="","",IFERROR(VALUE(LEFT(UPPER(SUBSTITUTE(SUBSTITUTE(SUBSTITUTE(TRIM(C83),".",""),"-","")," ","")),LEN(UPPER(SUBSTITUTE(SUBSTITUTE(SUBSTITUTE(TRIM(C83),".",""),"-","")," ","")))-1))&amp;RIGHT(UPPER(SUBSTITUTE(SUBSTITUTE(SUBSTITUTE(TRIM(C83),".",""),"-","")," ","")),1),UPPER(SUBSTITUTE(SUBSTITUTE(SUBSTITUTE(TRIM(C83),".",""),"-","")," ",""))))</f>
        <v/>
      </c>
    </row>
    <row r="84" customFormat="false" ht="15" hidden="false" customHeight="false" outlineLevel="0" collapsed="false">
      <c r="B84" s="80"/>
      <c r="C84" s="58"/>
      <c r="D84" s="62" t="str">
        <f aca="false">IF(C84="","",IFERROR(INDEX(T_NOMBRE,MATCH(V84,T_RUTN,0)),"⚠ RUT no está en Trabajadores"))</f>
        <v/>
      </c>
      <c r="E84" s="61"/>
      <c r="F84" s="61"/>
      <c r="G84" s="61"/>
      <c r="H84" s="61"/>
      <c r="I84" s="81"/>
      <c r="J84" s="81"/>
      <c r="K84" s="60"/>
      <c r="L84" s="60"/>
      <c r="M84" s="60"/>
      <c r="N84" s="60"/>
      <c r="O84" s="60"/>
      <c r="P84" s="60"/>
      <c r="Q84" s="60"/>
      <c r="R84" s="58"/>
      <c r="S84" s="62" t="str">
        <f aca="false">IF(OR(B84="",V84=""),"",IFERROR(INDEX(C_TIPO,MATCH(V84&amp;"-P"&amp;MAX(1,COUNTIFS(C_RUTN,V84,C_DEF,"Sí",C_INI,"&lt;="&amp;EOMONTH(B84,0))),C_CLAVE,0))&amp;"","Sin contrato"))</f>
        <v/>
      </c>
      <c r="T84" s="63" t="str">
        <f aca="false">IF(OR(B84="",N(O84)=0),"",N(O84)+ROUND(MIN(N(N84),TOPE_UF*UF_MES)*(TASA_EMP+MUTUAL),0)+ROUND(MIN(N(N84),TOPE_AFC_UF*UF_MES)*IF(S84="Indefinido",AFC_INDEF,AFC_PF),0))</f>
        <v/>
      </c>
      <c r="U84" s="62" t="str">
        <f aca="false">IF(C84="","",IF(LEFT(D84,1)="⚠","⚠ RUT no registrado en Trabajadores",IF(B84="","⚠ Falta el mes",IF(OR(ISTEXT(I84),ISTEXT(J84)),"⚠ Atrasos u horas extra como texto: escriba hh:mm (ej. 1:30)",IF(AND(ISNUMBER(Q84),COUNTIFS(M_RUTN,V84,M_MES,B84,M_LIQ,"&lt;&gt;")&gt;1),"⚠ Liquidación repetida en el mes",IF(AND(ISNUMBER(O84),ISNUMBER(P84),ISNUMBER(Q84),ABS(O84-P84-Q84)&gt;1),"⚠ Haberes − descuentos no da el líquido","OK"))))))</f>
        <v/>
      </c>
      <c r="V84" s="62" t="str">
        <f aca="false">IF(C84="","",IFERROR(VALUE(LEFT(UPPER(SUBSTITUTE(SUBSTITUTE(SUBSTITUTE(TRIM(C84),".",""),"-","")," ","")),LEN(UPPER(SUBSTITUTE(SUBSTITUTE(SUBSTITUTE(TRIM(C84),".",""),"-","")," ","")))-1))&amp;RIGHT(UPPER(SUBSTITUTE(SUBSTITUTE(SUBSTITUTE(TRIM(C84),".",""),"-","")," ","")),1),UPPER(SUBSTITUTE(SUBSTITUTE(SUBSTITUTE(TRIM(C84),".",""),"-","")," ",""))))</f>
        <v/>
      </c>
    </row>
    <row r="85" customFormat="false" ht="15" hidden="false" customHeight="false" outlineLevel="0" collapsed="false">
      <c r="B85" s="80"/>
      <c r="C85" s="58"/>
      <c r="D85" s="62" t="str">
        <f aca="false">IF(C85="","",IFERROR(INDEX(T_NOMBRE,MATCH(V85,T_RUTN,0)),"⚠ RUT no está en Trabajadores"))</f>
        <v/>
      </c>
      <c r="E85" s="61"/>
      <c r="F85" s="61"/>
      <c r="G85" s="61"/>
      <c r="H85" s="61"/>
      <c r="I85" s="81"/>
      <c r="J85" s="81"/>
      <c r="K85" s="60"/>
      <c r="L85" s="60"/>
      <c r="M85" s="60"/>
      <c r="N85" s="60"/>
      <c r="O85" s="60"/>
      <c r="P85" s="60"/>
      <c r="Q85" s="60"/>
      <c r="R85" s="58"/>
      <c r="S85" s="62" t="str">
        <f aca="false">IF(OR(B85="",V85=""),"",IFERROR(INDEX(C_TIPO,MATCH(V85&amp;"-P"&amp;MAX(1,COUNTIFS(C_RUTN,V85,C_DEF,"Sí",C_INI,"&lt;="&amp;EOMONTH(B85,0))),C_CLAVE,0))&amp;"","Sin contrato"))</f>
        <v/>
      </c>
      <c r="T85" s="63" t="str">
        <f aca="false">IF(OR(B85="",N(O85)=0),"",N(O85)+ROUND(MIN(N(N85),TOPE_UF*UF_MES)*(TASA_EMP+MUTUAL),0)+ROUND(MIN(N(N85),TOPE_AFC_UF*UF_MES)*IF(S85="Indefinido",AFC_INDEF,AFC_PF),0))</f>
        <v/>
      </c>
      <c r="U85" s="62" t="str">
        <f aca="false">IF(C85="","",IF(LEFT(D85,1)="⚠","⚠ RUT no registrado en Trabajadores",IF(B85="","⚠ Falta el mes",IF(OR(ISTEXT(I85),ISTEXT(J85)),"⚠ Atrasos u horas extra como texto: escriba hh:mm (ej. 1:30)",IF(AND(ISNUMBER(Q85),COUNTIFS(M_RUTN,V85,M_MES,B85,M_LIQ,"&lt;&gt;")&gt;1),"⚠ Liquidación repetida en el mes",IF(AND(ISNUMBER(O85),ISNUMBER(P85),ISNUMBER(Q85),ABS(O85-P85-Q85)&gt;1),"⚠ Haberes − descuentos no da el líquido","OK"))))))</f>
        <v/>
      </c>
      <c r="V85" s="62" t="str">
        <f aca="false">IF(C85="","",IFERROR(VALUE(LEFT(UPPER(SUBSTITUTE(SUBSTITUTE(SUBSTITUTE(TRIM(C85),".",""),"-","")," ","")),LEN(UPPER(SUBSTITUTE(SUBSTITUTE(SUBSTITUTE(TRIM(C85),".",""),"-","")," ","")))-1))&amp;RIGHT(UPPER(SUBSTITUTE(SUBSTITUTE(SUBSTITUTE(TRIM(C85),".",""),"-","")," ","")),1),UPPER(SUBSTITUTE(SUBSTITUTE(SUBSTITUTE(TRIM(C85),".",""),"-","")," ",""))))</f>
        <v/>
      </c>
    </row>
    <row r="86" customFormat="false" ht="15" hidden="false" customHeight="false" outlineLevel="0" collapsed="false">
      <c r="B86" s="80"/>
      <c r="C86" s="58"/>
      <c r="D86" s="62" t="str">
        <f aca="false">IF(C86="","",IFERROR(INDEX(T_NOMBRE,MATCH(V86,T_RUTN,0)),"⚠ RUT no está en Trabajadores"))</f>
        <v/>
      </c>
      <c r="E86" s="61"/>
      <c r="F86" s="61"/>
      <c r="G86" s="61"/>
      <c r="H86" s="61"/>
      <c r="I86" s="81"/>
      <c r="J86" s="81"/>
      <c r="K86" s="60"/>
      <c r="L86" s="60"/>
      <c r="M86" s="60"/>
      <c r="N86" s="60"/>
      <c r="O86" s="60"/>
      <c r="P86" s="60"/>
      <c r="Q86" s="60"/>
      <c r="R86" s="58"/>
      <c r="S86" s="62" t="str">
        <f aca="false">IF(OR(B86="",V86=""),"",IFERROR(INDEX(C_TIPO,MATCH(V86&amp;"-P"&amp;MAX(1,COUNTIFS(C_RUTN,V86,C_DEF,"Sí",C_INI,"&lt;="&amp;EOMONTH(B86,0))),C_CLAVE,0))&amp;"","Sin contrato"))</f>
        <v/>
      </c>
      <c r="T86" s="63" t="str">
        <f aca="false">IF(OR(B86="",N(O86)=0),"",N(O86)+ROUND(MIN(N(N86),TOPE_UF*UF_MES)*(TASA_EMP+MUTUAL),0)+ROUND(MIN(N(N86),TOPE_AFC_UF*UF_MES)*IF(S86="Indefinido",AFC_INDEF,AFC_PF),0))</f>
        <v/>
      </c>
      <c r="U86" s="62" t="str">
        <f aca="false">IF(C86="","",IF(LEFT(D86,1)="⚠","⚠ RUT no registrado en Trabajadores",IF(B86="","⚠ Falta el mes",IF(OR(ISTEXT(I86),ISTEXT(J86)),"⚠ Atrasos u horas extra como texto: escriba hh:mm (ej. 1:30)",IF(AND(ISNUMBER(Q86),COUNTIFS(M_RUTN,V86,M_MES,B86,M_LIQ,"&lt;&gt;")&gt;1),"⚠ Liquidación repetida en el mes",IF(AND(ISNUMBER(O86),ISNUMBER(P86),ISNUMBER(Q86),ABS(O86-P86-Q86)&gt;1),"⚠ Haberes − descuentos no da el líquido","OK"))))))</f>
        <v/>
      </c>
      <c r="V86" s="62" t="str">
        <f aca="false">IF(C86="","",IFERROR(VALUE(LEFT(UPPER(SUBSTITUTE(SUBSTITUTE(SUBSTITUTE(TRIM(C86),".",""),"-","")," ","")),LEN(UPPER(SUBSTITUTE(SUBSTITUTE(SUBSTITUTE(TRIM(C86),".",""),"-","")," ","")))-1))&amp;RIGHT(UPPER(SUBSTITUTE(SUBSTITUTE(SUBSTITUTE(TRIM(C86),".",""),"-","")," ","")),1),UPPER(SUBSTITUTE(SUBSTITUTE(SUBSTITUTE(TRIM(C86),".",""),"-","")," ",""))))</f>
        <v/>
      </c>
    </row>
    <row r="87" customFormat="false" ht="15" hidden="false" customHeight="false" outlineLevel="0" collapsed="false">
      <c r="B87" s="80"/>
      <c r="C87" s="58"/>
      <c r="D87" s="62" t="str">
        <f aca="false">IF(C87="","",IFERROR(INDEX(T_NOMBRE,MATCH(V87,T_RUTN,0)),"⚠ RUT no está en Trabajadores"))</f>
        <v/>
      </c>
      <c r="E87" s="61"/>
      <c r="F87" s="61"/>
      <c r="G87" s="61"/>
      <c r="H87" s="61"/>
      <c r="I87" s="81"/>
      <c r="J87" s="81"/>
      <c r="K87" s="60"/>
      <c r="L87" s="60"/>
      <c r="M87" s="60"/>
      <c r="N87" s="60"/>
      <c r="O87" s="60"/>
      <c r="P87" s="60"/>
      <c r="Q87" s="60"/>
      <c r="R87" s="58"/>
      <c r="S87" s="62" t="str">
        <f aca="false">IF(OR(B87="",V87=""),"",IFERROR(INDEX(C_TIPO,MATCH(V87&amp;"-P"&amp;MAX(1,COUNTIFS(C_RUTN,V87,C_DEF,"Sí",C_INI,"&lt;="&amp;EOMONTH(B87,0))),C_CLAVE,0))&amp;"","Sin contrato"))</f>
        <v/>
      </c>
      <c r="T87" s="63" t="str">
        <f aca="false">IF(OR(B87="",N(O87)=0),"",N(O87)+ROUND(MIN(N(N87),TOPE_UF*UF_MES)*(TASA_EMP+MUTUAL),0)+ROUND(MIN(N(N87),TOPE_AFC_UF*UF_MES)*IF(S87="Indefinido",AFC_INDEF,AFC_PF),0))</f>
        <v/>
      </c>
      <c r="U87" s="62" t="str">
        <f aca="false">IF(C87="","",IF(LEFT(D87,1)="⚠","⚠ RUT no registrado en Trabajadores",IF(B87="","⚠ Falta el mes",IF(OR(ISTEXT(I87),ISTEXT(J87)),"⚠ Atrasos u horas extra como texto: escriba hh:mm (ej. 1:30)",IF(AND(ISNUMBER(Q87),COUNTIFS(M_RUTN,V87,M_MES,B87,M_LIQ,"&lt;&gt;")&gt;1),"⚠ Liquidación repetida en el mes",IF(AND(ISNUMBER(O87),ISNUMBER(P87),ISNUMBER(Q87),ABS(O87-P87-Q87)&gt;1),"⚠ Haberes − descuentos no da el líquido","OK"))))))</f>
        <v/>
      </c>
      <c r="V87" s="62" t="str">
        <f aca="false">IF(C87="","",IFERROR(VALUE(LEFT(UPPER(SUBSTITUTE(SUBSTITUTE(SUBSTITUTE(TRIM(C87),".",""),"-","")," ","")),LEN(UPPER(SUBSTITUTE(SUBSTITUTE(SUBSTITUTE(TRIM(C87),".",""),"-","")," ","")))-1))&amp;RIGHT(UPPER(SUBSTITUTE(SUBSTITUTE(SUBSTITUTE(TRIM(C87),".",""),"-","")," ","")),1),UPPER(SUBSTITUTE(SUBSTITUTE(SUBSTITUTE(TRIM(C87),".",""),"-","")," ",""))))</f>
        <v/>
      </c>
    </row>
    <row r="88" customFormat="false" ht="15" hidden="false" customHeight="false" outlineLevel="0" collapsed="false">
      <c r="B88" s="80"/>
      <c r="C88" s="58"/>
      <c r="D88" s="62" t="str">
        <f aca="false">IF(C88="","",IFERROR(INDEX(T_NOMBRE,MATCH(V88,T_RUTN,0)),"⚠ RUT no está en Trabajadores"))</f>
        <v/>
      </c>
      <c r="E88" s="61"/>
      <c r="F88" s="61"/>
      <c r="G88" s="61"/>
      <c r="H88" s="61"/>
      <c r="I88" s="81"/>
      <c r="J88" s="81"/>
      <c r="K88" s="60"/>
      <c r="L88" s="60"/>
      <c r="M88" s="60"/>
      <c r="N88" s="60"/>
      <c r="O88" s="60"/>
      <c r="P88" s="60"/>
      <c r="Q88" s="60"/>
      <c r="R88" s="58"/>
      <c r="S88" s="62" t="str">
        <f aca="false">IF(OR(B88="",V88=""),"",IFERROR(INDEX(C_TIPO,MATCH(V88&amp;"-P"&amp;MAX(1,COUNTIFS(C_RUTN,V88,C_DEF,"Sí",C_INI,"&lt;="&amp;EOMONTH(B88,0))),C_CLAVE,0))&amp;"","Sin contrato"))</f>
        <v/>
      </c>
      <c r="T88" s="63" t="str">
        <f aca="false">IF(OR(B88="",N(O88)=0),"",N(O88)+ROUND(MIN(N(N88),TOPE_UF*UF_MES)*(TASA_EMP+MUTUAL),0)+ROUND(MIN(N(N88),TOPE_AFC_UF*UF_MES)*IF(S88="Indefinido",AFC_INDEF,AFC_PF),0))</f>
        <v/>
      </c>
      <c r="U88" s="62" t="str">
        <f aca="false">IF(C88="","",IF(LEFT(D88,1)="⚠","⚠ RUT no registrado en Trabajadores",IF(B88="","⚠ Falta el mes",IF(OR(ISTEXT(I88),ISTEXT(J88)),"⚠ Atrasos u horas extra como texto: escriba hh:mm (ej. 1:30)",IF(AND(ISNUMBER(Q88),COUNTIFS(M_RUTN,V88,M_MES,B88,M_LIQ,"&lt;&gt;")&gt;1),"⚠ Liquidación repetida en el mes",IF(AND(ISNUMBER(O88),ISNUMBER(P88),ISNUMBER(Q88),ABS(O88-P88-Q88)&gt;1),"⚠ Haberes − descuentos no da el líquido","OK"))))))</f>
        <v/>
      </c>
      <c r="V88" s="62" t="str">
        <f aca="false">IF(C88="","",IFERROR(VALUE(LEFT(UPPER(SUBSTITUTE(SUBSTITUTE(SUBSTITUTE(TRIM(C88),".",""),"-","")," ","")),LEN(UPPER(SUBSTITUTE(SUBSTITUTE(SUBSTITUTE(TRIM(C88),".",""),"-","")," ","")))-1))&amp;RIGHT(UPPER(SUBSTITUTE(SUBSTITUTE(SUBSTITUTE(TRIM(C88),".",""),"-","")," ","")),1),UPPER(SUBSTITUTE(SUBSTITUTE(SUBSTITUTE(TRIM(C88),".",""),"-","")," ",""))))</f>
        <v/>
      </c>
    </row>
    <row r="89" customFormat="false" ht="15" hidden="false" customHeight="false" outlineLevel="0" collapsed="false">
      <c r="B89" s="80"/>
      <c r="C89" s="58"/>
      <c r="D89" s="62" t="str">
        <f aca="false">IF(C89="","",IFERROR(INDEX(T_NOMBRE,MATCH(V89,T_RUTN,0)),"⚠ RUT no está en Trabajadores"))</f>
        <v/>
      </c>
      <c r="E89" s="61"/>
      <c r="F89" s="61"/>
      <c r="G89" s="61"/>
      <c r="H89" s="61"/>
      <c r="I89" s="81"/>
      <c r="J89" s="81"/>
      <c r="K89" s="60"/>
      <c r="L89" s="60"/>
      <c r="M89" s="60"/>
      <c r="N89" s="60"/>
      <c r="O89" s="60"/>
      <c r="P89" s="60"/>
      <c r="Q89" s="60"/>
      <c r="R89" s="58"/>
      <c r="S89" s="62" t="str">
        <f aca="false">IF(OR(B89="",V89=""),"",IFERROR(INDEX(C_TIPO,MATCH(V89&amp;"-P"&amp;MAX(1,COUNTIFS(C_RUTN,V89,C_DEF,"Sí",C_INI,"&lt;="&amp;EOMONTH(B89,0))),C_CLAVE,0))&amp;"","Sin contrato"))</f>
        <v/>
      </c>
      <c r="T89" s="63" t="str">
        <f aca="false">IF(OR(B89="",N(O89)=0),"",N(O89)+ROUND(MIN(N(N89),TOPE_UF*UF_MES)*(TASA_EMP+MUTUAL),0)+ROUND(MIN(N(N89),TOPE_AFC_UF*UF_MES)*IF(S89="Indefinido",AFC_INDEF,AFC_PF),0))</f>
        <v/>
      </c>
      <c r="U89" s="62" t="str">
        <f aca="false">IF(C89="","",IF(LEFT(D89,1)="⚠","⚠ RUT no registrado en Trabajadores",IF(B89="","⚠ Falta el mes",IF(OR(ISTEXT(I89),ISTEXT(J89)),"⚠ Atrasos u horas extra como texto: escriba hh:mm (ej. 1:30)",IF(AND(ISNUMBER(Q89),COUNTIFS(M_RUTN,V89,M_MES,B89,M_LIQ,"&lt;&gt;")&gt;1),"⚠ Liquidación repetida en el mes",IF(AND(ISNUMBER(O89),ISNUMBER(P89),ISNUMBER(Q89),ABS(O89-P89-Q89)&gt;1),"⚠ Haberes − descuentos no da el líquido","OK"))))))</f>
        <v/>
      </c>
      <c r="V89" s="62" t="str">
        <f aca="false">IF(C89="","",IFERROR(VALUE(LEFT(UPPER(SUBSTITUTE(SUBSTITUTE(SUBSTITUTE(TRIM(C89),".",""),"-","")," ","")),LEN(UPPER(SUBSTITUTE(SUBSTITUTE(SUBSTITUTE(TRIM(C89),".",""),"-","")," ","")))-1))&amp;RIGHT(UPPER(SUBSTITUTE(SUBSTITUTE(SUBSTITUTE(TRIM(C89),".",""),"-","")," ","")),1),UPPER(SUBSTITUTE(SUBSTITUTE(SUBSTITUTE(TRIM(C89),".",""),"-","")," ",""))))</f>
        <v/>
      </c>
    </row>
    <row r="90" customFormat="false" ht="15" hidden="false" customHeight="false" outlineLevel="0" collapsed="false">
      <c r="B90" s="80"/>
      <c r="C90" s="58"/>
      <c r="D90" s="62" t="str">
        <f aca="false">IF(C90="","",IFERROR(INDEX(T_NOMBRE,MATCH(V90,T_RUTN,0)),"⚠ RUT no está en Trabajadores"))</f>
        <v/>
      </c>
      <c r="E90" s="61"/>
      <c r="F90" s="61"/>
      <c r="G90" s="61"/>
      <c r="H90" s="61"/>
      <c r="I90" s="81"/>
      <c r="J90" s="81"/>
      <c r="K90" s="60"/>
      <c r="L90" s="60"/>
      <c r="M90" s="60"/>
      <c r="N90" s="60"/>
      <c r="O90" s="60"/>
      <c r="P90" s="60"/>
      <c r="Q90" s="60"/>
      <c r="R90" s="58"/>
      <c r="S90" s="62" t="str">
        <f aca="false">IF(OR(B90="",V90=""),"",IFERROR(INDEX(C_TIPO,MATCH(V90&amp;"-P"&amp;MAX(1,COUNTIFS(C_RUTN,V90,C_DEF,"Sí",C_INI,"&lt;="&amp;EOMONTH(B90,0))),C_CLAVE,0))&amp;"","Sin contrato"))</f>
        <v/>
      </c>
      <c r="T90" s="63" t="str">
        <f aca="false">IF(OR(B90="",N(O90)=0),"",N(O90)+ROUND(MIN(N(N90),TOPE_UF*UF_MES)*(TASA_EMP+MUTUAL),0)+ROUND(MIN(N(N90),TOPE_AFC_UF*UF_MES)*IF(S90="Indefinido",AFC_INDEF,AFC_PF),0))</f>
        <v/>
      </c>
      <c r="U90" s="62" t="str">
        <f aca="false">IF(C90="","",IF(LEFT(D90,1)="⚠","⚠ RUT no registrado en Trabajadores",IF(B90="","⚠ Falta el mes",IF(OR(ISTEXT(I90),ISTEXT(J90)),"⚠ Atrasos u horas extra como texto: escriba hh:mm (ej. 1:30)",IF(AND(ISNUMBER(Q90),COUNTIFS(M_RUTN,V90,M_MES,B90,M_LIQ,"&lt;&gt;")&gt;1),"⚠ Liquidación repetida en el mes",IF(AND(ISNUMBER(O90),ISNUMBER(P90),ISNUMBER(Q90),ABS(O90-P90-Q90)&gt;1),"⚠ Haberes − descuentos no da el líquido","OK"))))))</f>
        <v/>
      </c>
      <c r="V90" s="62" t="str">
        <f aca="false">IF(C90="","",IFERROR(VALUE(LEFT(UPPER(SUBSTITUTE(SUBSTITUTE(SUBSTITUTE(TRIM(C90),".",""),"-","")," ","")),LEN(UPPER(SUBSTITUTE(SUBSTITUTE(SUBSTITUTE(TRIM(C90),".",""),"-","")," ","")))-1))&amp;RIGHT(UPPER(SUBSTITUTE(SUBSTITUTE(SUBSTITUTE(TRIM(C90),".",""),"-","")," ","")),1),UPPER(SUBSTITUTE(SUBSTITUTE(SUBSTITUTE(TRIM(C90),".",""),"-","")," ",""))))</f>
        <v/>
      </c>
    </row>
    <row r="91" customFormat="false" ht="15" hidden="false" customHeight="false" outlineLevel="0" collapsed="false">
      <c r="B91" s="80"/>
      <c r="C91" s="58"/>
      <c r="D91" s="62" t="str">
        <f aca="false">IF(C91="","",IFERROR(INDEX(T_NOMBRE,MATCH(V91,T_RUTN,0)),"⚠ RUT no está en Trabajadores"))</f>
        <v/>
      </c>
      <c r="E91" s="61"/>
      <c r="F91" s="61"/>
      <c r="G91" s="61"/>
      <c r="H91" s="61"/>
      <c r="I91" s="81"/>
      <c r="J91" s="81"/>
      <c r="K91" s="60"/>
      <c r="L91" s="60"/>
      <c r="M91" s="60"/>
      <c r="N91" s="60"/>
      <c r="O91" s="60"/>
      <c r="P91" s="60"/>
      <c r="Q91" s="60"/>
      <c r="R91" s="58"/>
      <c r="S91" s="62" t="str">
        <f aca="false">IF(OR(B91="",V91=""),"",IFERROR(INDEX(C_TIPO,MATCH(V91&amp;"-P"&amp;MAX(1,COUNTIFS(C_RUTN,V91,C_DEF,"Sí",C_INI,"&lt;="&amp;EOMONTH(B91,0))),C_CLAVE,0))&amp;"","Sin contrato"))</f>
        <v/>
      </c>
      <c r="T91" s="63" t="str">
        <f aca="false">IF(OR(B91="",N(O91)=0),"",N(O91)+ROUND(MIN(N(N91),TOPE_UF*UF_MES)*(TASA_EMP+MUTUAL),0)+ROUND(MIN(N(N91),TOPE_AFC_UF*UF_MES)*IF(S91="Indefinido",AFC_INDEF,AFC_PF),0))</f>
        <v/>
      </c>
      <c r="U91" s="62" t="str">
        <f aca="false">IF(C91="","",IF(LEFT(D91,1)="⚠","⚠ RUT no registrado en Trabajadores",IF(B91="","⚠ Falta el mes",IF(OR(ISTEXT(I91),ISTEXT(J91)),"⚠ Atrasos u horas extra como texto: escriba hh:mm (ej. 1:30)",IF(AND(ISNUMBER(Q91),COUNTIFS(M_RUTN,V91,M_MES,B91,M_LIQ,"&lt;&gt;")&gt;1),"⚠ Liquidación repetida en el mes",IF(AND(ISNUMBER(O91),ISNUMBER(P91),ISNUMBER(Q91),ABS(O91-P91-Q91)&gt;1),"⚠ Haberes − descuentos no da el líquido","OK"))))))</f>
        <v/>
      </c>
      <c r="V91" s="62" t="str">
        <f aca="false">IF(C91="","",IFERROR(VALUE(LEFT(UPPER(SUBSTITUTE(SUBSTITUTE(SUBSTITUTE(TRIM(C91),".",""),"-","")," ","")),LEN(UPPER(SUBSTITUTE(SUBSTITUTE(SUBSTITUTE(TRIM(C91),".",""),"-","")," ","")))-1))&amp;RIGHT(UPPER(SUBSTITUTE(SUBSTITUTE(SUBSTITUTE(TRIM(C91),".",""),"-","")," ","")),1),UPPER(SUBSTITUTE(SUBSTITUTE(SUBSTITUTE(TRIM(C91),".",""),"-","")," ",""))))</f>
        <v/>
      </c>
    </row>
    <row r="92" customFormat="false" ht="15" hidden="false" customHeight="false" outlineLevel="0" collapsed="false">
      <c r="B92" s="80"/>
      <c r="C92" s="58"/>
      <c r="D92" s="62" t="str">
        <f aca="false">IF(C92="","",IFERROR(INDEX(T_NOMBRE,MATCH(V92,T_RUTN,0)),"⚠ RUT no está en Trabajadores"))</f>
        <v/>
      </c>
      <c r="E92" s="61"/>
      <c r="F92" s="61"/>
      <c r="G92" s="61"/>
      <c r="H92" s="61"/>
      <c r="I92" s="81"/>
      <c r="J92" s="81"/>
      <c r="K92" s="60"/>
      <c r="L92" s="60"/>
      <c r="M92" s="60"/>
      <c r="N92" s="60"/>
      <c r="O92" s="60"/>
      <c r="P92" s="60"/>
      <c r="Q92" s="60"/>
      <c r="R92" s="58"/>
      <c r="S92" s="62" t="str">
        <f aca="false">IF(OR(B92="",V92=""),"",IFERROR(INDEX(C_TIPO,MATCH(V92&amp;"-P"&amp;MAX(1,COUNTIFS(C_RUTN,V92,C_DEF,"Sí",C_INI,"&lt;="&amp;EOMONTH(B92,0))),C_CLAVE,0))&amp;"","Sin contrato"))</f>
        <v/>
      </c>
      <c r="T92" s="63" t="str">
        <f aca="false">IF(OR(B92="",N(O92)=0),"",N(O92)+ROUND(MIN(N(N92),TOPE_UF*UF_MES)*(TASA_EMP+MUTUAL),0)+ROUND(MIN(N(N92),TOPE_AFC_UF*UF_MES)*IF(S92="Indefinido",AFC_INDEF,AFC_PF),0))</f>
        <v/>
      </c>
      <c r="U92" s="62" t="str">
        <f aca="false">IF(C92="","",IF(LEFT(D92,1)="⚠","⚠ RUT no registrado en Trabajadores",IF(B92="","⚠ Falta el mes",IF(OR(ISTEXT(I92),ISTEXT(J92)),"⚠ Atrasos u horas extra como texto: escriba hh:mm (ej. 1:30)",IF(AND(ISNUMBER(Q92),COUNTIFS(M_RUTN,V92,M_MES,B92,M_LIQ,"&lt;&gt;")&gt;1),"⚠ Liquidación repetida en el mes",IF(AND(ISNUMBER(O92),ISNUMBER(P92),ISNUMBER(Q92),ABS(O92-P92-Q92)&gt;1),"⚠ Haberes − descuentos no da el líquido","OK"))))))</f>
        <v/>
      </c>
      <c r="V92" s="62" t="str">
        <f aca="false">IF(C92="","",IFERROR(VALUE(LEFT(UPPER(SUBSTITUTE(SUBSTITUTE(SUBSTITUTE(TRIM(C92),".",""),"-","")," ","")),LEN(UPPER(SUBSTITUTE(SUBSTITUTE(SUBSTITUTE(TRIM(C92),".",""),"-","")," ","")))-1))&amp;RIGHT(UPPER(SUBSTITUTE(SUBSTITUTE(SUBSTITUTE(TRIM(C92),".",""),"-","")," ","")),1),UPPER(SUBSTITUTE(SUBSTITUTE(SUBSTITUTE(TRIM(C92),".",""),"-","")," ",""))))</f>
        <v/>
      </c>
    </row>
    <row r="93" customFormat="false" ht="15" hidden="false" customHeight="false" outlineLevel="0" collapsed="false">
      <c r="B93" s="80"/>
      <c r="C93" s="58"/>
      <c r="D93" s="62" t="str">
        <f aca="false">IF(C93="","",IFERROR(INDEX(T_NOMBRE,MATCH(V93,T_RUTN,0)),"⚠ RUT no está en Trabajadores"))</f>
        <v/>
      </c>
      <c r="E93" s="61"/>
      <c r="F93" s="61"/>
      <c r="G93" s="61"/>
      <c r="H93" s="61"/>
      <c r="I93" s="81"/>
      <c r="J93" s="81"/>
      <c r="K93" s="60"/>
      <c r="L93" s="60"/>
      <c r="M93" s="60"/>
      <c r="N93" s="60"/>
      <c r="O93" s="60"/>
      <c r="P93" s="60"/>
      <c r="Q93" s="60"/>
      <c r="R93" s="58"/>
      <c r="S93" s="62" t="str">
        <f aca="false">IF(OR(B93="",V93=""),"",IFERROR(INDEX(C_TIPO,MATCH(V93&amp;"-P"&amp;MAX(1,COUNTIFS(C_RUTN,V93,C_DEF,"Sí",C_INI,"&lt;="&amp;EOMONTH(B93,0))),C_CLAVE,0))&amp;"","Sin contrato"))</f>
        <v/>
      </c>
      <c r="T93" s="63" t="str">
        <f aca="false">IF(OR(B93="",N(O93)=0),"",N(O93)+ROUND(MIN(N(N93),TOPE_UF*UF_MES)*(TASA_EMP+MUTUAL),0)+ROUND(MIN(N(N93),TOPE_AFC_UF*UF_MES)*IF(S93="Indefinido",AFC_INDEF,AFC_PF),0))</f>
        <v/>
      </c>
      <c r="U93" s="62" t="str">
        <f aca="false">IF(C93="","",IF(LEFT(D93,1)="⚠","⚠ RUT no registrado en Trabajadores",IF(B93="","⚠ Falta el mes",IF(OR(ISTEXT(I93),ISTEXT(J93)),"⚠ Atrasos u horas extra como texto: escriba hh:mm (ej. 1:30)",IF(AND(ISNUMBER(Q93),COUNTIFS(M_RUTN,V93,M_MES,B93,M_LIQ,"&lt;&gt;")&gt;1),"⚠ Liquidación repetida en el mes",IF(AND(ISNUMBER(O93),ISNUMBER(P93),ISNUMBER(Q93),ABS(O93-P93-Q93)&gt;1),"⚠ Haberes − descuentos no da el líquido","OK"))))))</f>
        <v/>
      </c>
      <c r="V93" s="62" t="str">
        <f aca="false">IF(C93="","",IFERROR(VALUE(LEFT(UPPER(SUBSTITUTE(SUBSTITUTE(SUBSTITUTE(TRIM(C93),".",""),"-","")," ","")),LEN(UPPER(SUBSTITUTE(SUBSTITUTE(SUBSTITUTE(TRIM(C93),".",""),"-","")," ","")))-1))&amp;RIGHT(UPPER(SUBSTITUTE(SUBSTITUTE(SUBSTITUTE(TRIM(C93),".",""),"-","")," ","")),1),UPPER(SUBSTITUTE(SUBSTITUTE(SUBSTITUTE(TRIM(C93),".",""),"-","")," ",""))))</f>
        <v/>
      </c>
    </row>
    <row r="94" customFormat="false" ht="15" hidden="false" customHeight="false" outlineLevel="0" collapsed="false">
      <c r="B94" s="80"/>
      <c r="C94" s="58"/>
      <c r="D94" s="62" t="str">
        <f aca="false">IF(C94="","",IFERROR(INDEX(T_NOMBRE,MATCH(V94,T_RUTN,0)),"⚠ RUT no está en Trabajadores"))</f>
        <v/>
      </c>
      <c r="E94" s="61"/>
      <c r="F94" s="61"/>
      <c r="G94" s="61"/>
      <c r="H94" s="61"/>
      <c r="I94" s="81"/>
      <c r="J94" s="81"/>
      <c r="K94" s="60"/>
      <c r="L94" s="60"/>
      <c r="M94" s="60"/>
      <c r="N94" s="60"/>
      <c r="O94" s="60"/>
      <c r="P94" s="60"/>
      <c r="Q94" s="60"/>
      <c r="R94" s="58"/>
      <c r="S94" s="62" t="str">
        <f aca="false">IF(OR(B94="",V94=""),"",IFERROR(INDEX(C_TIPO,MATCH(V94&amp;"-P"&amp;MAX(1,COUNTIFS(C_RUTN,V94,C_DEF,"Sí",C_INI,"&lt;="&amp;EOMONTH(B94,0))),C_CLAVE,0))&amp;"","Sin contrato"))</f>
        <v/>
      </c>
      <c r="T94" s="63" t="str">
        <f aca="false">IF(OR(B94="",N(O94)=0),"",N(O94)+ROUND(MIN(N(N94),TOPE_UF*UF_MES)*(TASA_EMP+MUTUAL),0)+ROUND(MIN(N(N94),TOPE_AFC_UF*UF_MES)*IF(S94="Indefinido",AFC_INDEF,AFC_PF),0))</f>
        <v/>
      </c>
      <c r="U94" s="62" t="str">
        <f aca="false">IF(C94="","",IF(LEFT(D94,1)="⚠","⚠ RUT no registrado en Trabajadores",IF(B94="","⚠ Falta el mes",IF(OR(ISTEXT(I94),ISTEXT(J94)),"⚠ Atrasos u horas extra como texto: escriba hh:mm (ej. 1:30)",IF(AND(ISNUMBER(Q94),COUNTIFS(M_RUTN,V94,M_MES,B94,M_LIQ,"&lt;&gt;")&gt;1),"⚠ Liquidación repetida en el mes",IF(AND(ISNUMBER(O94),ISNUMBER(P94),ISNUMBER(Q94),ABS(O94-P94-Q94)&gt;1),"⚠ Haberes − descuentos no da el líquido","OK"))))))</f>
        <v/>
      </c>
      <c r="V94" s="62" t="str">
        <f aca="false">IF(C94="","",IFERROR(VALUE(LEFT(UPPER(SUBSTITUTE(SUBSTITUTE(SUBSTITUTE(TRIM(C94),".",""),"-","")," ","")),LEN(UPPER(SUBSTITUTE(SUBSTITUTE(SUBSTITUTE(TRIM(C94),".",""),"-","")," ","")))-1))&amp;RIGHT(UPPER(SUBSTITUTE(SUBSTITUTE(SUBSTITUTE(TRIM(C94),".",""),"-","")," ","")),1),UPPER(SUBSTITUTE(SUBSTITUTE(SUBSTITUTE(TRIM(C94),".",""),"-","")," ",""))))</f>
        <v/>
      </c>
    </row>
    <row r="95" customFormat="false" ht="15" hidden="false" customHeight="false" outlineLevel="0" collapsed="false">
      <c r="B95" s="80"/>
      <c r="C95" s="58"/>
      <c r="D95" s="62" t="str">
        <f aca="false">IF(C95="","",IFERROR(INDEX(T_NOMBRE,MATCH(V95,T_RUTN,0)),"⚠ RUT no está en Trabajadores"))</f>
        <v/>
      </c>
      <c r="E95" s="61"/>
      <c r="F95" s="61"/>
      <c r="G95" s="61"/>
      <c r="H95" s="61"/>
      <c r="I95" s="81"/>
      <c r="J95" s="81"/>
      <c r="K95" s="60"/>
      <c r="L95" s="60"/>
      <c r="M95" s="60"/>
      <c r="N95" s="60"/>
      <c r="O95" s="60"/>
      <c r="P95" s="60"/>
      <c r="Q95" s="60"/>
      <c r="R95" s="58"/>
      <c r="S95" s="62" t="str">
        <f aca="false">IF(OR(B95="",V95=""),"",IFERROR(INDEX(C_TIPO,MATCH(V95&amp;"-P"&amp;MAX(1,COUNTIFS(C_RUTN,V95,C_DEF,"Sí",C_INI,"&lt;="&amp;EOMONTH(B95,0))),C_CLAVE,0))&amp;"","Sin contrato"))</f>
        <v/>
      </c>
      <c r="T95" s="63" t="str">
        <f aca="false">IF(OR(B95="",N(O95)=0),"",N(O95)+ROUND(MIN(N(N95),TOPE_UF*UF_MES)*(TASA_EMP+MUTUAL),0)+ROUND(MIN(N(N95),TOPE_AFC_UF*UF_MES)*IF(S95="Indefinido",AFC_INDEF,AFC_PF),0))</f>
        <v/>
      </c>
      <c r="U95" s="62" t="str">
        <f aca="false">IF(C95="","",IF(LEFT(D95,1)="⚠","⚠ RUT no registrado en Trabajadores",IF(B95="","⚠ Falta el mes",IF(OR(ISTEXT(I95),ISTEXT(J95)),"⚠ Atrasos u horas extra como texto: escriba hh:mm (ej. 1:30)",IF(AND(ISNUMBER(Q95),COUNTIFS(M_RUTN,V95,M_MES,B95,M_LIQ,"&lt;&gt;")&gt;1),"⚠ Liquidación repetida en el mes",IF(AND(ISNUMBER(O95),ISNUMBER(P95),ISNUMBER(Q95),ABS(O95-P95-Q95)&gt;1),"⚠ Haberes − descuentos no da el líquido","OK"))))))</f>
        <v/>
      </c>
      <c r="V95" s="62" t="str">
        <f aca="false">IF(C95="","",IFERROR(VALUE(LEFT(UPPER(SUBSTITUTE(SUBSTITUTE(SUBSTITUTE(TRIM(C95),".",""),"-","")," ","")),LEN(UPPER(SUBSTITUTE(SUBSTITUTE(SUBSTITUTE(TRIM(C95),".",""),"-","")," ","")))-1))&amp;RIGHT(UPPER(SUBSTITUTE(SUBSTITUTE(SUBSTITUTE(TRIM(C95),".",""),"-","")," ","")),1),UPPER(SUBSTITUTE(SUBSTITUTE(SUBSTITUTE(TRIM(C95),".",""),"-","")," ",""))))</f>
        <v/>
      </c>
    </row>
    <row r="96" customFormat="false" ht="15" hidden="false" customHeight="false" outlineLevel="0" collapsed="false">
      <c r="B96" s="80"/>
      <c r="C96" s="58"/>
      <c r="D96" s="62" t="str">
        <f aca="false">IF(C96="","",IFERROR(INDEX(T_NOMBRE,MATCH(V96,T_RUTN,0)),"⚠ RUT no está en Trabajadores"))</f>
        <v/>
      </c>
      <c r="E96" s="61"/>
      <c r="F96" s="61"/>
      <c r="G96" s="61"/>
      <c r="H96" s="61"/>
      <c r="I96" s="81"/>
      <c r="J96" s="81"/>
      <c r="K96" s="60"/>
      <c r="L96" s="60"/>
      <c r="M96" s="60"/>
      <c r="N96" s="60"/>
      <c r="O96" s="60"/>
      <c r="P96" s="60"/>
      <c r="Q96" s="60"/>
      <c r="R96" s="58"/>
      <c r="S96" s="62" t="str">
        <f aca="false">IF(OR(B96="",V96=""),"",IFERROR(INDEX(C_TIPO,MATCH(V96&amp;"-P"&amp;MAX(1,COUNTIFS(C_RUTN,V96,C_DEF,"Sí",C_INI,"&lt;="&amp;EOMONTH(B96,0))),C_CLAVE,0))&amp;"","Sin contrato"))</f>
        <v/>
      </c>
      <c r="T96" s="63" t="str">
        <f aca="false">IF(OR(B96="",N(O96)=0),"",N(O96)+ROUND(MIN(N(N96),TOPE_UF*UF_MES)*(TASA_EMP+MUTUAL),0)+ROUND(MIN(N(N96),TOPE_AFC_UF*UF_MES)*IF(S96="Indefinido",AFC_INDEF,AFC_PF),0))</f>
        <v/>
      </c>
      <c r="U96" s="62" t="str">
        <f aca="false">IF(C96="","",IF(LEFT(D96,1)="⚠","⚠ RUT no registrado en Trabajadores",IF(B96="","⚠ Falta el mes",IF(OR(ISTEXT(I96),ISTEXT(J96)),"⚠ Atrasos u horas extra como texto: escriba hh:mm (ej. 1:30)",IF(AND(ISNUMBER(Q96),COUNTIFS(M_RUTN,V96,M_MES,B96,M_LIQ,"&lt;&gt;")&gt;1),"⚠ Liquidación repetida en el mes",IF(AND(ISNUMBER(O96),ISNUMBER(P96),ISNUMBER(Q96),ABS(O96-P96-Q96)&gt;1),"⚠ Haberes − descuentos no da el líquido","OK"))))))</f>
        <v/>
      </c>
      <c r="V96" s="62" t="str">
        <f aca="false">IF(C96="","",IFERROR(VALUE(LEFT(UPPER(SUBSTITUTE(SUBSTITUTE(SUBSTITUTE(TRIM(C96),".",""),"-","")," ","")),LEN(UPPER(SUBSTITUTE(SUBSTITUTE(SUBSTITUTE(TRIM(C96),".",""),"-","")," ","")))-1))&amp;RIGHT(UPPER(SUBSTITUTE(SUBSTITUTE(SUBSTITUTE(TRIM(C96),".",""),"-","")," ","")),1),UPPER(SUBSTITUTE(SUBSTITUTE(SUBSTITUTE(TRIM(C96),".",""),"-","")," ",""))))</f>
        <v/>
      </c>
    </row>
    <row r="97" customFormat="false" ht="15" hidden="false" customHeight="false" outlineLevel="0" collapsed="false">
      <c r="B97" s="80"/>
      <c r="C97" s="58"/>
      <c r="D97" s="62" t="str">
        <f aca="false">IF(C97="","",IFERROR(INDEX(T_NOMBRE,MATCH(V97,T_RUTN,0)),"⚠ RUT no está en Trabajadores"))</f>
        <v/>
      </c>
      <c r="E97" s="61"/>
      <c r="F97" s="61"/>
      <c r="G97" s="61"/>
      <c r="H97" s="61"/>
      <c r="I97" s="81"/>
      <c r="J97" s="81"/>
      <c r="K97" s="60"/>
      <c r="L97" s="60"/>
      <c r="M97" s="60"/>
      <c r="N97" s="60"/>
      <c r="O97" s="60"/>
      <c r="P97" s="60"/>
      <c r="Q97" s="60"/>
      <c r="R97" s="58"/>
      <c r="S97" s="62" t="str">
        <f aca="false">IF(OR(B97="",V97=""),"",IFERROR(INDEX(C_TIPO,MATCH(V97&amp;"-P"&amp;MAX(1,COUNTIFS(C_RUTN,V97,C_DEF,"Sí",C_INI,"&lt;="&amp;EOMONTH(B97,0))),C_CLAVE,0))&amp;"","Sin contrato"))</f>
        <v/>
      </c>
      <c r="T97" s="63" t="str">
        <f aca="false">IF(OR(B97="",N(O97)=0),"",N(O97)+ROUND(MIN(N(N97),TOPE_UF*UF_MES)*(TASA_EMP+MUTUAL),0)+ROUND(MIN(N(N97),TOPE_AFC_UF*UF_MES)*IF(S97="Indefinido",AFC_INDEF,AFC_PF),0))</f>
        <v/>
      </c>
      <c r="U97" s="62" t="str">
        <f aca="false">IF(C97="","",IF(LEFT(D97,1)="⚠","⚠ RUT no registrado en Trabajadores",IF(B97="","⚠ Falta el mes",IF(OR(ISTEXT(I97),ISTEXT(J97)),"⚠ Atrasos u horas extra como texto: escriba hh:mm (ej. 1:30)",IF(AND(ISNUMBER(Q97),COUNTIFS(M_RUTN,V97,M_MES,B97,M_LIQ,"&lt;&gt;")&gt;1),"⚠ Liquidación repetida en el mes",IF(AND(ISNUMBER(O97),ISNUMBER(P97),ISNUMBER(Q97),ABS(O97-P97-Q97)&gt;1),"⚠ Haberes − descuentos no da el líquido","OK"))))))</f>
        <v/>
      </c>
      <c r="V97" s="62" t="str">
        <f aca="false">IF(C97="","",IFERROR(VALUE(LEFT(UPPER(SUBSTITUTE(SUBSTITUTE(SUBSTITUTE(TRIM(C97),".",""),"-","")," ","")),LEN(UPPER(SUBSTITUTE(SUBSTITUTE(SUBSTITUTE(TRIM(C97),".",""),"-","")," ","")))-1))&amp;RIGHT(UPPER(SUBSTITUTE(SUBSTITUTE(SUBSTITUTE(TRIM(C97),".",""),"-","")," ","")),1),UPPER(SUBSTITUTE(SUBSTITUTE(SUBSTITUTE(TRIM(C97),".",""),"-","")," ",""))))</f>
        <v/>
      </c>
    </row>
    <row r="98" customFormat="false" ht="15" hidden="false" customHeight="false" outlineLevel="0" collapsed="false">
      <c r="B98" s="80"/>
      <c r="C98" s="58"/>
      <c r="D98" s="62" t="str">
        <f aca="false">IF(C98="","",IFERROR(INDEX(T_NOMBRE,MATCH(V98,T_RUTN,0)),"⚠ RUT no está en Trabajadores"))</f>
        <v/>
      </c>
      <c r="E98" s="61"/>
      <c r="F98" s="61"/>
      <c r="G98" s="61"/>
      <c r="H98" s="61"/>
      <c r="I98" s="81"/>
      <c r="J98" s="81"/>
      <c r="K98" s="60"/>
      <c r="L98" s="60"/>
      <c r="M98" s="60"/>
      <c r="N98" s="60"/>
      <c r="O98" s="60"/>
      <c r="P98" s="60"/>
      <c r="Q98" s="60"/>
      <c r="R98" s="58"/>
      <c r="S98" s="62" t="str">
        <f aca="false">IF(OR(B98="",V98=""),"",IFERROR(INDEX(C_TIPO,MATCH(V98&amp;"-P"&amp;MAX(1,COUNTIFS(C_RUTN,V98,C_DEF,"Sí",C_INI,"&lt;="&amp;EOMONTH(B98,0))),C_CLAVE,0))&amp;"","Sin contrato"))</f>
        <v/>
      </c>
      <c r="T98" s="63" t="str">
        <f aca="false">IF(OR(B98="",N(O98)=0),"",N(O98)+ROUND(MIN(N(N98),TOPE_UF*UF_MES)*(TASA_EMP+MUTUAL),0)+ROUND(MIN(N(N98),TOPE_AFC_UF*UF_MES)*IF(S98="Indefinido",AFC_INDEF,AFC_PF),0))</f>
        <v/>
      </c>
      <c r="U98" s="62" t="str">
        <f aca="false">IF(C98="","",IF(LEFT(D98,1)="⚠","⚠ RUT no registrado en Trabajadores",IF(B98="","⚠ Falta el mes",IF(OR(ISTEXT(I98),ISTEXT(J98)),"⚠ Atrasos u horas extra como texto: escriba hh:mm (ej. 1:30)",IF(AND(ISNUMBER(Q98),COUNTIFS(M_RUTN,V98,M_MES,B98,M_LIQ,"&lt;&gt;")&gt;1),"⚠ Liquidación repetida en el mes",IF(AND(ISNUMBER(O98),ISNUMBER(P98),ISNUMBER(Q98),ABS(O98-P98-Q98)&gt;1),"⚠ Haberes − descuentos no da el líquido","OK"))))))</f>
        <v/>
      </c>
      <c r="V98" s="62" t="str">
        <f aca="false">IF(C98="","",IFERROR(VALUE(LEFT(UPPER(SUBSTITUTE(SUBSTITUTE(SUBSTITUTE(TRIM(C98),".",""),"-","")," ","")),LEN(UPPER(SUBSTITUTE(SUBSTITUTE(SUBSTITUTE(TRIM(C98),".",""),"-","")," ","")))-1))&amp;RIGHT(UPPER(SUBSTITUTE(SUBSTITUTE(SUBSTITUTE(TRIM(C98),".",""),"-","")," ","")),1),UPPER(SUBSTITUTE(SUBSTITUTE(SUBSTITUTE(TRIM(C98),".",""),"-","")," ",""))))</f>
        <v/>
      </c>
    </row>
    <row r="99" customFormat="false" ht="15" hidden="false" customHeight="false" outlineLevel="0" collapsed="false">
      <c r="B99" s="80"/>
      <c r="C99" s="58"/>
      <c r="D99" s="62" t="str">
        <f aca="false">IF(C99="","",IFERROR(INDEX(T_NOMBRE,MATCH(V99,T_RUTN,0)),"⚠ RUT no está en Trabajadores"))</f>
        <v/>
      </c>
      <c r="E99" s="61"/>
      <c r="F99" s="61"/>
      <c r="G99" s="61"/>
      <c r="H99" s="61"/>
      <c r="I99" s="81"/>
      <c r="J99" s="81"/>
      <c r="K99" s="60"/>
      <c r="L99" s="60"/>
      <c r="M99" s="60"/>
      <c r="N99" s="60"/>
      <c r="O99" s="60"/>
      <c r="P99" s="60"/>
      <c r="Q99" s="60"/>
      <c r="R99" s="58"/>
      <c r="S99" s="62" t="str">
        <f aca="false">IF(OR(B99="",V99=""),"",IFERROR(INDEX(C_TIPO,MATCH(V99&amp;"-P"&amp;MAX(1,COUNTIFS(C_RUTN,V99,C_DEF,"Sí",C_INI,"&lt;="&amp;EOMONTH(B99,0))),C_CLAVE,0))&amp;"","Sin contrato"))</f>
        <v/>
      </c>
      <c r="T99" s="63" t="str">
        <f aca="false">IF(OR(B99="",N(O99)=0),"",N(O99)+ROUND(MIN(N(N99),TOPE_UF*UF_MES)*(TASA_EMP+MUTUAL),0)+ROUND(MIN(N(N99),TOPE_AFC_UF*UF_MES)*IF(S99="Indefinido",AFC_INDEF,AFC_PF),0))</f>
        <v/>
      </c>
      <c r="U99" s="62" t="str">
        <f aca="false">IF(C99="","",IF(LEFT(D99,1)="⚠","⚠ RUT no registrado en Trabajadores",IF(B99="","⚠ Falta el mes",IF(OR(ISTEXT(I99),ISTEXT(J99)),"⚠ Atrasos u horas extra como texto: escriba hh:mm (ej. 1:30)",IF(AND(ISNUMBER(Q99),COUNTIFS(M_RUTN,V99,M_MES,B99,M_LIQ,"&lt;&gt;")&gt;1),"⚠ Liquidación repetida en el mes",IF(AND(ISNUMBER(O99),ISNUMBER(P99),ISNUMBER(Q99),ABS(O99-P99-Q99)&gt;1),"⚠ Haberes − descuentos no da el líquido","OK"))))))</f>
        <v/>
      </c>
      <c r="V99" s="62" t="str">
        <f aca="false">IF(C99="","",IFERROR(VALUE(LEFT(UPPER(SUBSTITUTE(SUBSTITUTE(SUBSTITUTE(TRIM(C99),".",""),"-","")," ","")),LEN(UPPER(SUBSTITUTE(SUBSTITUTE(SUBSTITUTE(TRIM(C99),".",""),"-","")," ","")))-1))&amp;RIGHT(UPPER(SUBSTITUTE(SUBSTITUTE(SUBSTITUTE(TRIM(C99),".",""),"-","")," ","")),1),UPPER(SUBSTITUTE(SUBSTITUTE(SUBSTITUTE(TRIM(C99),".",""),"-","")," ",""))))</f>
        <v/>
      </c>
    </row>
    <row r="100" customFormat="false" ht="15" hidden="false" customHeight="false" outlineLevel="0" collapsed="false">
      <c r="B100" s="80"/>
      <c r="C100" s="58"/>
      <c r="D100" s="62" t="str">
        <f aca="false">IF(C100="","",IFERROR(INDEX(T_NOMBRE,MATCH(V100,T_RUTN,0)),"⚠ RUT no está en Trabajadores"))</f>
        <v/>
      </c>
      <c r="E100" s="61"/>
      <c r="F100" s="61"/>
      <c r="G100" s="61"/>
      <c r="H100" s="61"/>
      <c r="I100" s="81"/>
      <c r="J100" s="81"/>
      <c r="K100" s="60"/>
      <c r="L100" s="60"/>
      <c r="M100" s="60"/>
      <c r="N100" s="60"/>
      <c r="O100" s="60"/>
      <c r="P100" s="60"/>
      <c r="Q100" s="60"/>
      <c r="R100" s="58"/>
      <c r="S100" s="62" t="str">
        <f aca="false">IF(OR(B100="",V100=""),"",IFERROR(INDEX(C_TIPO,MATCH(V100&amp;"-P"&amp;MAX(1,COUNTIFS(C_RUTN,V100,C_DEF,"Sí",C_INI,"&lt;="&amp;EOMONTH(B100,0))),C_CLAVE,0))&amp;"","Sin contrato"))</f>
        <v/>
      </c>
      <c r="T100" s="63" t="str">
        <f aca="false">IF(OR(B100="",N(O100)=0),"",N(O100)+ROUND(MIN(N(N100),TOPE_UF*UF_MES)*(TASA_EMP+MUTUAL),0)+ROUND(MIN(N(N100),TOPE_AFC_UF*UF_MES)*IF(S100="Indefinido",AFC_INDEF,AFC_PF),0))</f>
        <v/>
      </c>
      <c r="U100" s="62" t="str">
        <f aca="false">IF(C100="","",IF(LEFT(D100,1)="⚠","⚠ RUT no registrado en Trabajadores",IF(B100="","⚠ Falta el mes",IF(OR(ISTEXT(I100),ISTEXT(J100)),"⚠ Atrasos u horas extra como texto: escriba hh:mm (ej. 1:30)",IF(AND(ISNUMBER(Q100),COUNTIFS(M_RUTN,V100,M_MES,B100,M_LIQ,"&lt;&gt;")&gt;1),"⚠ Liquidación repetida en el mes",IF(AND(ISNUMBER(O100),ISNUMBER(P100),ISNUMBER(Q100),ABS(O100-P100-Q100)&gt;1),"⚠ Haberes − descuentos no da el líquido","OK"))))))</f>
        <v/>
      </c>
      <c r="V100" s="62" t="str">
        <f aca="false">IF(C100="","",IFERROR(VALUE(LEFT(UPPER(SUBSTITUTE(SUBSTITUTE(SUBSTITUTE(TRIM(C100),".",""),"-","")," ","")),LEN(UPPER(SUBSTITUTE(SUBSTITUTE(SUBSTITUTE(TRIM(C100),".",""),"-","")," ","")))-1))&amp;RIGHT(UPPER(SUBSTITUTE(SUBSTITUTE(SUBSTITUTE(TRIM(C100),".",""),"-","")," ","")),1),UPPER(SUBSTITUTE(SUBSTITUTE(SUBSTITUTE(TRIM(C100),".",""),"-","")," ",""))))</f>
        <v/>
      </c>
    </row>
    <row r="101" customFormat="false" ht="15" hidden="false" customHeight="false" outlineLevel="0" collapsed="false">
      <c r="B101" s="80"/>
      <c r="C101" s="58"/>
      <c r="D101" s="62" t="str">
        <f aca="false">IF(C101="","",IFERROR(INDEX(T_NOMBRE,MATCH(V101,T_RUTN,0)),"⚠ RUT no está en Trabajadores"))</f>
        <v/>
      </c>
      <c r="E101" s="61"/>
      <c r="F101" s="61"/>
      <c r="G101" s="61"/>
      <c r="H101" s="61"/>
      <c r="I101" s="81"/>
      <c r="J101" s="81"/>
      <c r="K101" s="60"/>
      <c r="L101" s="60"/>
      <c r="M101" s="60"/>
      <c r="N101" s="60"/>
      <c r="O101" s="60"/>
      <c r="P101" s="60"/>
      <c r="Q101" s="60"/>
      <c r="R101" s="58"/>
      <c r="S101" s="62" t="str">
        <f aca="false">IF(OR(B101="",V101=""),"",IFERROR(INDEX(C_TIPO,MATCH(V101&amp;"-P"&amp;MAX(1,COUNTIFS(C_RUTN,V101,C_DEF,"Sí",C_INI,"&lt;="&amp;EOMONTH(B101,0))),C_CLAVE,0))&amp;"","Sin contrato"))</f>
        <v/>
      </c>
      <c r="T101" s="63" t="str">
        <f aca="false">IF(OR(B101="",N(O101)=0),"",N(O101)+ROUND(MIN(N(N101),TOPE_UF*UF_MES)*(TASA_EMP+MUTUAL),0)+ROUND(MIN(N(N101),TOPE_AFC_UF*UF_MES)*IF(S101="Indefinido",AFC_INDEF,AFC_PF),0))</f>
        <v/>
      </c>
      <c r="U101" s="62" t="str">
        <f aca="false">IF(C101="","",IF(LEFT(D101,1)="⚠","⚠ RUT no registrado en Trabajadores",IF(B101="","⚠ Falta el mes",IF(OR(ISTEXT(I101),ISTEXT(J101)),"⚠ Atrasos u horas extra como texto: escriba hh:mm (ej. 1:30)",IF(AND(ISNUMBER(Q101),COUNTIFS(M_RUTN,V101,M_MES,B101,M_LIQ,"&lt;&gt;")&gt;1),"⚠ Liquidación repetida en el mes",IF(AND(ISNUMBER(O101),ISNUMBER(P101),ISNUMBER(Q101),ABS(O101-P101-Q101)&gt;1),"⚠ Haberes − descuentos no da el líquido","OK"))))))</f>
        <v/>
      </c>
      <c r="V101" s="62" t="str">
        <f aca="false">IF(C101="","",IFERROR(VALUE(LEFT(UPPER(SUBSTITUTE(SUBSTITUTE(SUBSTITUTE(TRIM(C101),".",""),"-","")," ","")),LEN(UPPER(SUBSTITUTE(SUBSTITUTE(SUBSTITUTE(TRIM(C101),".",""),"-","")," ","")))-1))&amp;RIGHT(UPPER(SUBSTITUTE(SUBSTITUTE(SUBSTITUTE(TRIM(C101),".",""),"-","")," ","")),1),UPPER(SUBSTITUTE(SUBSTITUTE(SUBSTITUTE(TRIM(C101),".",""),"-","")," ",""))))</f>
        <v/>
      </c>
    </row>
    <row r="102" customFormat="false" ht="15" hidden="false" customHeight="false" outlineLevel="0" collapsed="false">
      <c r="B102" s="80"/>
      <c r="C102" s="58"/>
      <c r="D102" s="62" t="str">
        <f aca="false">IF(C102="","",IFERROR(INDEX(T_NOMBRE,MATCH(V102,T_RUTN,0)),"⚠ RUT no está en Trabajadores"))</f>
        <v/>
      </c>
      <c r="E102" s="61"/>
      <c r="F102" s="61"/>
      <c r="G102" s="61"/>
      <c r="H102" s="61"/>
      <c r="I102" s="81"/>
      <c r="J102" s="81"/>
      <c r="K102" s="60"/>
      <c r="L102" s="60"/>
      <c r="M102" s="60"/>
      <c r="N102" s="60"/>
      <c r="O102" s="60"/>
      <c r="P102" s="60"/>
      <c r="Q102" s="60"/>
      <c r="R102" s="58"/>
      <c r="S102" s="62" t="str">
        <f aca="false">IF(OR(B102="",V102=""),"",IFERROR(INDEX(C_TIPO,MATCH(V102&amp;"-P"&amp;MAX(1,COUNTIFS(C_RUTN,V102,C_DEF,"Sí",C_INI,"&lt;="&amp;EOMONTH(B102,0))),C_CLAVE,0))&amp;"","Sin contrato"))</f>
        <v/>
      </c>
      <c r="T102" s="63" t="str">
        <f aca="false">IF(OR(B102="",N(O102)=0),"",N(O102)+ROUND(MIN(N(N102),TOPE_UF*UF_MES)*(TASA_EMP+MUTUAL),0)+ROUND(MIN(N(N102),TOPE_AFC_UF*UF_MES)*IF(S102="Indefinido",AFC_INDEF,AFC_PF),0))</f>
        <v/>
      </c>
      <c r="U102" s="62" t="str">
        <f aca="false">IF(C102="","",IF(LEFT(D102,1)="⚠","⚠ RUT no registrado en Trabajadores",IF(B102="","⚠ Falta el mes",IF(OR(ISTEXT(I102),ISTEXT(J102)),"⚠ Atrasos u horas extra como texto: escriba hh:mm (ej. 1:30)",IF(AND(ISNUMBER(Q102),COUNTIFS(M_RUTN,V102,M_MES,B102,M_LIQ,"&lt;&gt;")&gt;1),"⚠ Liquidación repetida en el mes",IF(AND(ISNUMBER(O102),ISNUMBER(P102),ISNUMBER(Q102),ABS(O102-P102-Q102)&gt;1),"⚠ Haberes − descuentos no da el líquido","OK"))))))</f>
        <v/>
      </c>
      <c r="V102" s="62" t="str">
        <f aca="false">IF(C102="","",IFERROR(VALUE(LEFT(UPPER(SUBSTITUTE(SUBSTITUTE(SUBSTITUTE(TRIM(C102),".",""),"-","")," ","")),LEN(UPPER(SUBSTITUTE(SUBSTITUTE(SUBSTITUTE(TRIM(C102),".",""),"-","")," ","")))-1))&amp;RIGHT(UPPER(SUBSTITUTE(SUBSTITUTE(SUBSTITUTE(TRIM(C102),".",""),"-","")," ","")),1),UPPER(SUBSTITUTE(SUBSTITUTE(SUBSTITUTE(TRIM(C102),".",""),"-","")," ",""))))</f>
        <v/>
      </c>
    </row>
    <row r="103" customFormat="false" ht="15" hidden="false" customHeight="false" outlineLevel="0" collapsed="false">
      <c r="B103" s="80"/>
      <c r="C103" s="58"/>
      <c r="D103" s="62" t="str">
        <f aca="false">IF(C103="","",IFERROR(INDEX(T_NOMBRE,MATCH(V103,T_RUTN,0)),"⚠ RUT no está en Trabajadores"))</f>
        <v/>
      </c>
      <c r="E103" s="61"/>
      <c r="F103" s="61"/>
      <c r="G103" s="61"/>
      <c r="H103" s="61"/>
      <c r="I103" s="81"/>
      <c r="J103" s="81"/>
      <c r="K103" s="60"/>
      <c r="L103" s="60"/>
      <c r="M103" s="60"/>
      <c r="N103" s="60"/>
      <c r="O103" s="60"/>
      <c r="P103" s="60"/>
      <c r="Q103" s="60"/>
      <c r="R103" s="58"/>
      <c r="S103" s="62" t="str">
        <f aca="false">IF(OR(B103="",V103=""),"",IFERROR(INDEX(C_TIPO,MATCH(V103&amp;"-P"&amp;MAX(1,COUNTIFS(C_RUTN,V103,C_DEF,"Sí",C_INI,"&lt;="&amp;EOMONTH(B103,0))),C_CLAVE,0))&amp;"","Sin contrato"))</f>
        <v/>
      </c>
      <c r="T103" s="63" t="str">
        <f aca="false">IF(OR(B103="",N(O103)=0),"",N(O103)+ROUND(MIN(N(N103),TOPE_UF*UF_MES)*(TASA_EMP+MUTUAL),0)+ROUND(MIN(N(N103),TOPE_AFC_UF*UF_MES)*IF(S103="Indefinido",AFC_INDEF,AFC_PF),0))</f>
        <v/>
      </c>
      <c r="U103" s="62" t="str">
        <f aca="false">IF(C103="","",IF(LEFT(D103,1)="⚠","⚠ RUT no registrado en Trabajadores",IF(B103="","⚠ Falta el mes",IF(OR(ISTEXT(I103),ISTEXT(J103)),"⚠ Atrasos u horas extra como texto: escriba hh:mm (ej. 1:30)",IF(AND(ISNUMBER(Q103),COUNTIFS(M_RUTN,V103,M_MES,B103,M_LIQ,"&lt;&gt;")&gt;1),"⚠ Liquidación repetida en el mes",IF(AND(ISNUMBER(O103),ISNUMBER(P103),ISNUMBER(Q103),ABS(O103-P103-Q103)&gt;1),"⚠ Haberes − descuentos no da el líquido","OK"))))))</f>
        <v/>
      </c>
      <c r="V103" s="62" t="str">
        <f aca="false">IF(C103="","",IFERROR(VALUE(LEFT(UPPER(SUBSTITUTE(SUBSTITUTE(SUBSTITUTE(TRIM(C103),".",""),"-","")," ","")),LEN(UPPER(SUBSTITUTE(SUBSTITUTE(SUBSTITUTE(TRIM(C103),".",""),"-","")," ","")))-1))&amp;RIGHT(UPPER(SUBSTITUTE(SUBSTITUTE(SUBSTITUTE(TRIM(C103),".",""),"-","")," ","")),1),UPPER(SUBSTITUTE(SUBSTITUTE(SUBSTITUTE(TRIM(C103),".",""),"-","")," ",""))))</f>
        <v/>
      </c>
    </row>
    <row r="104" customFormat="false" ht="15" hidden="false" customHeight="false" outlineLevel="0" collapsed="false">
      <c r="B104" s="80"/>
      <c r="C104" s="58"/>
      <c r="D104" s="62" t="str">
        <f aca="false">IF(C104="","",IFERROR(INDEX(T_NOMBRE,MATCH(V104,T_RUTN,0)),"⚠ RUT no está en Trabajadores"))</f>
        <v/>
      </c>
      <c r="E104" s="61"/>
      <c r="F104" s="61"/>
      <c r="G104" s="61"/>
      <c r="H104" s="61"/>
      <c r="I104" s="81"/>
      <c r="J104" s="81"/>
      <c r="K104" s="60"/>
      <c r="L104" s="60"/>
      <c r="M104" s="60"/>
      <c r="N104" s="60"/>
      <c r="O104" s="60"/>
      <c r="P104" s="60"/>
      <c r="Q104" s="60"/>
      <c r="R104" s="58"/>
      <c r="S104" s="62" t="str">
        <f aca="false">IF(OR(B104="",V104=""),"",IFERROR(INDEX(C_TIPO,MATCH(V104&amp;"-P"&amp;MAX(1,COUNTIFS(C_RUTN,V104,C_DEF,"Sí",C_INI,"&lt;="&amp;EOMONTH(B104,0))),C_CLAVE,0))&amp;"","Sin contrato"))</f>
        <v/>
      </c>
      <c r="T104" s="63" t="str">
        <f aca="false">IF(OR(B104="",N(O104)=0),"",N(O104)+ROUND(MIN(N(N104),TOPE_UF*UF_MES)*(TASA_EMP+MUTUAL),0)+ROUND(MIN(N(N104),TOPE_AFC_UF*UF_MES)*IF(S104="Indefinido",AFC_INDEF,AFC_PF),0))</f>
        <v/>
      </c>
      <c r="U104" s="62" t="str">
        <f aca="false">IF(C104="","",IF(LEFT(D104,1)="⚠","⚠ RUT no registrado en Trabajadores",IF(B104="","⚠ Falta el mes",IF(OR(ISTEXT(I104),ISTEXT(J104)),"⚠ Atrasos u horas extra como texto: escriba hh:mm (ej. 1:30)",IF(AND(ISNUMBER(Q104),COUNTIFS(M_RUTN,V104,M_MES,B104,M_LIQ,"&lt;&gt;")&gt;1),"⚠ Liquidación repetida en el mes",IF(AND(ISNUMBER(O104),ISNUMBER(P104),ISNUMBER(Q104),ABS(O104-P104-Q104)&gt;1),"⚠ Haberes − descuentos no da el líquido","OK"))))))</f>
        <v/>
      </c>
      <c r="V104" s="62" t="str">
        <f aca="false">IF(C104="","",IFERROR(VALUE(LEFT(UPPER(SUBSTITUTE(SUBSTITUTE(SUBSTITUTE(TRIM(C104),".",""),"-","")," ","")),LEN(UPPER(SUBSTITUTE(SUBSTITUTE(SUBSTITUTE(TRIM(C104),".",""),"-","")," ","")))-1))&amp;RIGHT(UPPER(SUBSTITUTE(SUBSTITUTE(SUBSTITUTE(TRIM(C104),".",""),"-","")," ","")),1),UPPER(SUBSTITUTE(SUBSTITUTE(SUBSTITUTE(TRIM(C104),".",""),"-","")," ",""))))</f>
        <v/>
      </c>
    </row>
    <row r="105" customFormat="false" ht="15" hidden="false" customHeight="false" outlineLevel="0" collapsed="false">
      <c r="B105" s="80"/>
      <c r="C105" s="58"/>
      <c r="D105" s="62" t="str">
        <f aca="false">IF(C105="","",IFERROR(INDEX(T_NOMBRE,MATCH(V105,T_RUTN,0)),"⚠ RUT no está en Trabajadores"))</f>
        <v/>
      </c>
      <c r="E105" s="61"/>
      <c r="F105" s="61"/>
      <c r="G105" s="61"/>
      <c r="H105" s="61"/>
      <c r="I105" s="81"/>
      <c r="J105" s="81"/>
      <c r="K105" s="60"/>
      <c r="L105" s="60"/>
      <c r="M105" s="60"/>
      <c r="N105" s="60"/>
      <c r="O105" s="60"/>
      <c r="P105" s="60"/>
      <c r="Q105" s="60"/>
      <c r="R105" s="58"/>
      <c r="S105" s="62" t="str">
        <f aca="false">IF(OR(B105="",V105=""),"",IFERROR(INDEX(C_TIPO,MATCH(V105&amp;"-P"&amp;MAX(1,COUNTIFS(C_RUTN,V105,C_DEF,"Sí",C_INI,"&lt;="&amp;EOMONTH(B105,0))),C_CLAVE,0))&amp;"","Sin contrato"))</f>
        <v/>
      </c>
      <c r="T105" s="63" t="str">
        <f aca="false">IF(OR(B105="",N(O105)=0),"",N(O105)+ROUND(MIN(N(N105),TOPE_UF*UF_MES)*(TASA_EMP+MUTUAL),0)+ROUND(MIN(N(N105),TOPE_AFC_UF*UF_MES)*IF(S105="Indefinido",AFC_INDEF,AFC_PF),0))</f>
        <v/>
      </c>
      <c r="U105" s="62" t="str">
        <f aca="false">IF(C105="","",IF(LEFT(D105,1)="⚠","⚠ RUT no registrado en Trabajadores",IF(B105="","⚠ Falta el mes",IF(OR(ISTEXT(I105),ISTEXT(J105)),"⚠ Atrasos u horas extra como texto: escriba hh:mm (ej. 1:30)",IF(AND(ISNUMBER(Q105),COUNTIFS(M_RUTN,V105,M_MES,B105,M_LIQ,"&lt;&gt;")&gt;1),"⚠ Liquidación repetida en el mes",IF(AND(ISNUMBER(O105),ISNUMBER(P105),ISNUMBER(Q105),ABS(O105-P105-Q105)&gt;1),"⚠ Haberes − descuentos no da el líquido","OK"))))))</f>
        <v/>
      </c>
      <c r="V105" s="62" t="str">
        <f aca="false">IF(C105="","",IFERROR(VALUE(LEFT(UPPER(SUBSTITUTE(SUBSTITUTE(SUBSTITUTE(TRIM(C105),".",""),"-","")," ","")),LEN(UPPER(SUBSTITUTE(SUBSTITUTE(SUBSTITUTE(TRIM(C105),".",""),"-","")," ","")))-1))&amp;RIGHT(UPPER(SUBSTITUTE(SUBSTITUTE(SUBSTITUTE(TRIM(C105),".",""),"-","")," ","")),1),UPPER(SUBSTITUTE(SUBSTITUTE(SUBSTITUTE(TRIM(C105),".",""),"-","")," ",""))))</f>
        <v/>
      </c>
    </row>
    <row r="106" customFormat="false" ht="15" hidden="false" customHeight="false" outlineLevel="0" collapsed="false">
      <c r="B106" s="80"/>
      <c r="C106" s="58"/>
      <c r="D106" s="62" t="str">
        <f aca="false">IF(C106="","",IFERROR(INDEX(T_NOMBRE,MATCH(V106,T_RUTN,0)),"⚠ RUT no está en Trabajadores"))</f>
        <v/>
      </c>
      <c r="E106" s="61"/>
      <c r="F106" s="61"/>
      <c r="G106" s="61"/>
      <c r="H106" s="61"/>
      <c r="I106" s="81"/>
      <c r="J106" s="81"/>
      <c r="K106" s="60"/>
      <c r="L106" s="60"/>
      <c r="M106" s="60"/>
      <c r="N106" s="60"/>
      <c r="O106" s="60"/>
      <c r="P106" s="60"/>
      <c r="Q106" s="60"/>
      <c r="R106" s="58"/>
      <c r="S106" s="62" t="str">
        <f aca="false">IF(OR(B106="",V106=""),"",IFERROR(INDEX(C_TIPO,MATCH(V106&amp;"-P"&amp;MAX(1,COUNTIFS(C_RUTN,V106,C_DEF,"Sí",C_INI,"&lt;="&amp;EOMONTH(B106,0))),C_CLAVE,0))&amp;"","Sin contrato"))</f>
        <v/>
      </c>
      <c r="T106" s="63" t="str">
        <f aca="false">IF(OR(B106="",N(O106)=0),"",N(O106)+ROUND(MIN(N(N106),TOPE_UF*UF_MES)*(TASA_EMP+MUTUAL),0)+ROUND(MIN(N(N106),TOPE_AFC_UF*UF_MES)*IF(S106="Indefinido",AFC_INDEF,AFC_PF),0))</f>
        <v/>
      </c>
      <c r="U106" s="62" t="str">
        <f aca="false">IF(C106="","",IF(LEFT(D106,1)="⚠","⚠ RUT no registrado en Trabajadores",IF(B106="","⚠ Falta el mes",IF(OR(ISTEXT(I106),ISTEXT(J106)),"⚠ Atrasos u horas extra como texto: escriba hh:mm (ej. 1:30)",IF(AND(ISNUMBER(Q106),COUNTIFS(M_RUTN,V106,M_MES,B106,M_LIQ,"&lt;&gt;")&gt;1),"⚠ Liquidación repetida en el mes",IF(AND(ISNUMBER(O106),ISNUMBER(P106),ISNUMBER(Q106),ABS(O106-P106-Q106)&gt;1),"⚠ Haberes − descuentos no da el líquido","OK"))))))</f>
        <v/>
      </c>
      <c r="V106" s="62" t="str">
        <f aca="false">IF(C106="","",IFERROR(VALUE(LEFT(UPPER(SUBSTITUTE(SUBSTITUTE(SUBSTITUTE(TRIM(C106),".",""),"-","")," ","")),LEN(UPPER(SUBSTITUTE(SUBSTITUTE(SUBSTITUTE(TRIM(C106),".",""),"-","")," ","")))-1))&amp;RIGHT(UPPER(SUBSTITUTE(SUBSTITUTE(SUBSTITUTE(TRIM(C106),".",""),"-","")," ","")),1),UPPER(SUBSTITUTE(SUBSTITUTE(SUBSTITUTE(TRIM(C106),".",""),"-","")," ",""))))</f>
        <v/>
      </c>
    </row>
    <row r="107" customFormat="false" ht="15" hidden="false" customHeight="false" outlineLevel="0" collapsed="false">
      <c r="B107" s="80"/>
      <c r="C107" s="58"/>
      <c r="D107" s="62" t="str">
        <f aca="false">IF(C107="","",IFERROR(INDEX(T_NOMBRE,MATCH(V107,T_RUTN,0)),"⚠ RUT no está en Trabajadores"))</f>
        <v/>
      </c>
      <c r="E107" s="61"/>
      <c r="F107" s="61"/>
      <c r="G107" s="61"/>
      <c r="H107" s="61"/>
      <c r="I107" s="81"/>
      <c r="J107" s="81"/>
      <c r="K107" s="60"/>
      <c r="L107" s="60"/>
      <c r="M107" s="60"/>
      <c r="N107" s="60"/>
      <c r="O107" s="60"/>
      <c r="P107" s="60"/>
      <c r="Q107" s="60"/>
      <c r="R107" s="58"/>
      <c r="S107" s="62" t="str">
        <f aca="false">IF(OR(B107="",V107=""),"",IFERROR(INDEX(C_TIPO,MATCH(V107&amp;"-P"&amp;MAX(1,COUNTIFS(C_RUTN,V107,C_DEF,"Sí",C_INI,"&lt;="&amp;EOMONTH(B107,0))),C_CLAVE,0))&amp;"","Sin contrato"))</f>
        <v/>
      </c>
      <c r="T107" s="63" t="str">
        <f aca="false">IF(OR(B107="",N(O107)=0),"",N(O107)+ROUND(MIN(N(N107),TOPE_UF*UF_MES)*(TASA_EMP+MUTUAL),0)+ROUND(MIN(N(N107),TOPE_AFC_UF*UF_MES)*IF(S107="Indefinido",AFC_INDEF,AFC_PF),0))</f>
        <v/>
      </c>
      <c r="U107" s="62" t="str">
        <f aca="false">IF(C107="","",IF(LEFT(D107,1)="⚠","⚠ RUT no registrado en Trabajadores",IF(B107="","⚠ Falta el mes",IF(OR(ISTEXT(I107),ISTEXT(J107)),"⚠ Atrasos u horas extra como texto: escriba hh:mm (ej. 1:30)",IF(AND(ISNUMBER(Q107),COUNTIFS(M_RUTN,V107,M_MES,B107,M_LIQ,"&lt;&gt;")&gt;1),"⚠ Liquidación repetida en el mes",IF(AND(ISNUMBER(O107),ISNUMBER(P107),ISNUMBER(Q107),ABS(O107-P107-Q107)&gt;1),"⚠ Haberes − descuentos no da el líquido","OK"))))))</f>
        <v/>
      </c>
      <c r="V107" s="62" t="str">
        <f aca="false">IF(C107="","",IFERROR(VALUE(LEFT(UPPER(SUBSTITUTE(SUBSTITUTE(SUBSTITUTE(TRIM(C107),".",""),"-","")," ","")),LEN(UPPER(SUBSTITUTE(SUBSTITUTE(SUBSTITUTE(TRIM(C107),".",""),"-","")," ","")))-1))&amp;RIGHT(UPPER(SUBSTITUTE(SUBSTITUTE(SUBSTITUTE(TRIM(C107),".",""),"-","")," ","")),1),UPPER(SUBSTITUTE(SUBSTITUTE(SUBSTITUTE(TRIM(C107),".",""),"-","")," ",""))))</f>
        <v/>
      </c>
    </row>
    <row r="108" customFormat="false" ht="15" hidden="false" customHeight="false" outlineLevel="0" collapsed="false">
      <c r="B108" s="80"/>
      <c r="C108" s="58"/>
      <c r="D108" s="62" t="str">
        <f aca="false">IF(C108="","",IFERROR(INDEX(T_NOMBRE,MATCH(V108,T_RUTN,0)),"⚠ RUT no está en Trabajadores"))</f>
        <v/>
      </c>
      <c r="E108" s="61"/>
      <c r="F108" s="61"/>
      <c r="G108" s="61"/>
      <c r="H108" s="61"/>
      <c r="I108" s="81"/>
      <c r="J108" s="81"/>
      <c r="K108" s="60"/>
      <c r="L108" s="60"/>
      <c r="M108" s="60"/>
      <c r="N108" s="60"/>
      <c r="O108" s="60"/>
      <c r="P108" s="60"/>
      <c r="Q108" s="60"/>
      <c r="R108" s="58"/>
      <c r="S108" s="62" t="str">
        <f aca="false">IF(OR(B108="",V108=""),"",IFERROR(INDEX(C_TIPO,MATCH(V108&amp;"-P"&amp;MAX(1,COUNTIFS(C_RUTN,V108,C_DEF,"Sí",C_INI,"&lt;="&amp;EOMONTH(B108,0))),C_CLAVE,0))&amp;"","Sin contrato"))</f>
        <v/>
      </c>
      <c r="T108" s="63" t="str">
        <f aca="false">IF(OR(B108="",N(O108)=0),"",N(O108)+ROUND(MIN(N(N108),TOPE_UF*UF_MES)*(TASA_EMP+MUTUAL),0)+ROUND(MIN(N(N108),TOPE_AFC_UF*UF_MES)*IF(S108="Indefinido",AFC_INDEF,AFC_PF),0))</f>
        <v/>
      </c>
      <c r="U108" s="62" t="str">
        <f aca="false">IF(C108="","",IF(LEFT(D108,1)="⚠","⚠ RUT no registrado en Trabajadores",IF(B108="","⚠ Falta el mes",IF(OR(ISTEXT(I108),ISTEXT(J108)),"⚠ Atrasos u horas extra como texto: escriba hh:mm (ej. 1:30)",IF(AND(ISNUMBER(Q108),COUNTIFS(M_RUTN,V108,M_MES,B108,M_LIQ,"&lt;&gt;")&gt;1),"⚠ Liquidación repetida en el mes",IF(AND(ISNUMBER(O108),ISNUMBER(P108),ISNUMBER(Q108),ABS(O108-P108-Q108)&gt;1),"⚠ Haberes − descuentos no da el líquido","OK"))))))</f>
        <v/>
      </c>
      <c r="V108" s="62" t="str">
        <f aca="false">IF(C108="","",IFERROR(VALUE(LEFT(UPPER(SUBSTITUTE(SUBSTITUTE(SUBSTITUTE(TRIM(C108),".",""),"-","")," ","")),LEN(UPPER(SUBSTITUTE(SUBSTITUTE(SUBSTITUTE(TRIM(C108),".",""),"-","")," ","")))-1))&amp;RIGHT(UPPER(SUBSTITUTE(SUBSTITUTE(SUBSTITUTE(TRIM(C108),".",""),"-","")," ","")),1),UPPER(SUBSTITUTE(SUBSTITUTE(SUBSTITUTE(TRIM(C108),".",""),"-","")," ",""))))</f>
        <v/>
      </c>
    </row>
    <row r="109" customFormat="false" ht="15" hidden="false" customHeight="false" outlineLevel="0" collapsed="false">
      <c r="B109" s="80"/>
      <c r="C109" s="58"/>
      <c r="D109" s="62" t="str">
        <f aca="false">IF(C109="","",IFERROR(INDEX(T_NOMBRE,MATCH(V109,T_RUTN,0)),"⚠ RUT no está en Trabajadores"))</f>
        <v/>
      </c>
      <c r="E109" s="61"/>
      <c r="F109" s="61"/>
      <c r="G109" s="61"/>
      <c r="H109" s="61"/>
      <c r="I109" s="81"/>
      <c r="J109" s="81"/>
      <c r="K109" s="60"/>
      <c r="L109" s="60"/>
      <c r="M109" s="60"/>
      <c r="N109" s="60"/>
      <c r="O109" s="60"/>
      <c r="P109" s="60"/>
      <c r="Q109" s="60"/>
      <c r="R109" s="58"/>
      <c r="S109" s="62" t="str">
        <f aca="false">IF(OR(B109="",V109=""),"",IFERROR(INDEX(C_TIPO,MATCH(V109&amp;"-P"&amp;MAX(1,COUNTIFS(C_RUTN,V109,C_DEF,"Sí",C_INI,"&lt;="&amp;EOMONTH(B109,0))),C_CLAVE,0))&amp;"","Sin contrato"))</f>
        <v/>
      </c>
      <c r="T109" s="63" t="str">
        <f aca="false">IF(OR(B109="",N(O109)=0),"",N(O109)+ROUND(MIN(N(N109),TOPE_UF*UF_MES)*(TASA_EMP+MUTUAL),0)+ROUND(MIN(N(N109),TOPE_AFC_UF*UF_MES)*IF(S109="Indefinido",AFC_INDEF,AFC_PF),0))</f>
        <v/>
      </c>
      <c r="U109" s="62" t="str">
        <f aca="false">IF(C109="","",IF(LEFT(D109,1)="⚠","⚠ RUT no registrado en Trabajadores",IF(B109="","⚠ Falta el mes",IF(OR(ISTEXT(I109),ISTEXT(J109)),"⚠ Atrasos u horas extra como texto: escriba hh:mm (ej. 1:30)",IF(AND(ISNUMBER(Q109),COUNTIFS(M_RUTN,V109,M_MES,B109,M_LIQ,"&lt;&gt;")&gt;1),"⚠ Liquidación repetida en el mes",IF(AND(ISNUMBER(O109),ISNUMBER(P109),ISNUMBER(Q109),ABS(O109-P109-Q109)&gt;1),"⚠ Haberes − descuentos no da el líquido","OK"))))))</f>
        <v/>
      </c>
      <c r="V109" s="62" t="str">
        <f aca="false">IF(C109="","",IFERROR(VALUE(LEFT(UPPER(SUBSTITUTE(SUBSTITUTE(SUBSTITUTE(TRIM(C109),".",""),"-","")," ","")),LEN(UPPER(SUBSTITUTE(SUBSTITUTE(SUBSTITUTE(TRIM(C109),".",""),"-","")," ","")))-1))&amp;RIGHT(UPPER(SUBSTITUTE(SUBSTITUTE(SUBSTITUTE(TRIM(C109),".",""),"-","")," ","")),1),UPPER(SUBSTITUTE(SUBSTITUTE(SUBSTITUTE(TRIM(C109),".",""),"-","")," ",""))))</f>
        <v/>
      </c>
    </row>
    <row r="110" customFormat="false" ht="15" hidden="false" customHeight="false" outlineLevel="0" collapsed="false">
      <c r="B110" s="80"/>
      <c r="C110" s="58"/>
      <c r="D110" s="62" t="str">
        <f aca="false">IF(C110="","",IFERROR(INDEX(T_NOMBRE,MATCH(V110,T_RUTN,0)),"⚠ RUT no está en Trabajadores"))</f>
        <v/>
      </c>
      <c r="E110" s="61"/>
      <c r="F110" s="61"/>
      <c r="G110" s="61"/>
      <c r="H110" s="61"/>
      <c r="I110" s="81"/>
      <c r="J110" s="81"/>
      <c r="K110" s="60"/>
      <c r="L110" s="60"/>
      <c r="M110" s="60"/>
      <c r="N110" s="60"/>
      <c r="O110" s="60"/>
      <c r="P110" s="60"/>
      <c r="Q110" s="60"/>
      <c r="R110" s="58"/>
      <c r="S110" s="62" t="str">
        <f aca="false">IF(OR(B110="",V110=""),"",IFERROR(INDEX(C_TIPO,MATCH(V110&amp;"-P"&amp;MAX(1,COUNTIFS(C_RUTN,V110,C_DEF,"Sí",C_INI,"&lt;="&amp;EOMONTH(B110,0))),C_CLAVE,0))&amp;"","Sin contrato"))</f>
        <v/>
      </c>
      <c r="T110" s="63" t="str">
        <f aca="false">IF(OR(B110="",N(O110)=0),"",N(O110)+ROUND(MIN(N(N110),TOPE_UF*UF_MES)*(TASA_EMP+MUTUAL),0)+ROUND(MIN(N(N110),TOPE_AFC_UF*UF_MES)*IF(S110="Indefinido",AFC_INDEF,AFC_PF),0))</f>
        <v/>
      </c>
      <c r="U110" s="62" t="str">
        <f aca="false">IF(C110="","",IF(LEFT(D110,1)="⚠","⚠ RUT no registrado en Trabajadores",IF(B110="","⚠ Falta el mes",IF(OR(ISTEXT(I110),ISTEXT(J110)),"⚠ Atrasos u horas extra como texto: escriba hh:mm (ej. 1:30)",IF(AND(ISNUMBER(Q110),COUNTIFS(M_RUTN,V110,M_MES,B110,M_LIQ,"&lt;&gt;")&gt;1),"⚠ Liquidación repetida en el mes",IF(AND(ISNUMBER(O110),ISNUMBER(P110),ISNUMBER(Q110),ABS(O110-P110-Q110)&gt;1),"⚠ Haberes − descuentos no da el líquido","OK"))))))</f>
        <v/>
      </c>
      <c r="V110" s="62" t="str">
        <f aca="false">IF(C110="","",IFERROR(VALUE(LEFT(UPPER(SUBSTITUTE(SUBSTITUTE(SUBSTITUTE(TRIM(C110),".",""),"-","")," ","")),LEN(UPPER(SUBSTITUTE(SUBSTITUTE(SUBSTITUTE(TRIM(C110),".",""),"-","")," ","")))-1))&amp;RIGHT(UPPER(SUBSTITUTE(SUBSTITUTE(SUBSTITUTE(TRIM(C110),".",""),"-","")," ","")),1),UPPER(SUBSTITUTE(SUBSTITUTE(SUBSTITUTE(TRIM(C110),".",""),"-","")," ",""))))</f>
        <v/>
      </c>
    </row>
    <row r="111" customFormat="false" ht="15" hidden="false" customHeight="false" outlineLevel="0" collapsed="false">
      <c r="B111" s="80"/>
      <c r="C111" s="58"/>
      <c r="D111" s="62" t="str">
        <f aca="false">IF(C111="","",IFERROR(INDEX(T_NOMBRE,MATCH(V111,T_RUTN,0)),"⚠ RUT no está en Trabajadores"))</f>
        <v/>
      </c>
      <c r="E111" s="61"/>
      <c r="F111" s="61"/>
      <c r="G111" s="61"/>
      <c r="H111" s="61"/>
      <c r="I111" s="81"/>
      <c r="J111" s="81"/>
      <c r="K111" s="60"/>
      <c r="L111" s="60"/>
      <c r="M111" s="60"/>
      <c r="N111" s="60"/>
      <c r="O111" s="60"/>
      <c r="P111" s="60"/>
      <c r="Q111" s="60"/>
      <c r="R111" s="58"/>
      <c r="S111" s="62" t="str">
        <f aca="false">IF(OR(B111="",V111=""),"",IFERROR(INDEX(C_TIPO,MATCH(V111&amp;"-P"&amp;MAX(1,COUNTIFS(C_RUTN,V111,C_DEF,"Sí",C_INI,"&lt;="&amp;EOMONTH(B111,0))),C_CLAVE,0))&amp;"","Sin contrato"))</f>
        <v/>
      </c>
      <c r="T111" s="63" t="str">
        <f aca="false">IF(OR(B111="",N(O111)=0),"",N(O111)+ROUND(MIN(N(N111),TOPE_UF*UF_MES)*(TASA_EMP+MUTUAL),0)+ROUND(MIN(N(N111),TOPE_AFC_UF*UF_MES)*IF(S111="Indefinido",AFC_INDEF,AFC_PF),0))</f>
        <v/>
      </c>
      <c r="U111" s="62" t="str">
        <f aca="false">IF(C111="","",IF(LEFT(D111,1)="⚠","⚠ RUT no registrado en Trabajadores",IF(B111="","⚠ Falta el mes",IF(OR(ISTEXT(I111),ISTEXT(J111)),"⚠ Atrasos u horas extra como texto: escriba hh:mm (ej. 1:30)",IF(AND(ISNUMBER(Q111),COUNTIFS(M_RUTN,V111,M_MES,B111,M_LIQ,"&lt;&gt;")&gt;1),"⚠ Liquidación repetida en el mes",IF(AND(ISNUMBER(O111),ISNUMBER(P111),ISNUMBER(Q111),ABS(O111-P111-Q111)&gt;1),"⚠ Haberes − descuentos no da el líquido","OK"))))))</f>
        <v/>
      </c>
      <c r="V111" s="62" t="str">
        <f aca="false">IF(C111="","",IFERROR(VALUE(LEFT(UPPER(SUBSTITUTE(SUBSTITUTE(SUBSTITUTE(TRIM(C111),".",""),"-","")," ","")),LEN(UPPER(SUBSTITUTE(SUBSTITUTE(SUBSTITUTE(TRIM(C111),".",""),"-","")," ","")))-1))&amp;RIGHT(UPPER(SUBSTITUTE(SUBSTITUTE(SUBSTITUTE(TRIM(C111),".",""),"-","")," ","")),1),UPPER(SUBSTITUTE(SUBSTITUTE(SUBSTITUTE(TRIM(C111),".",""),"-","")," ",""))))</f>
        <v/>
      </c>
    </row>
    <row r="112" customFormat="false" ht="15" hidden="false" customHeight="false" outlineLevel="0" collapsed="false">
      <c r="B112" s="80"/>
      <c r="C112" s="58"/>
      <c r="D112" s="62" t="str">
        <f aca="false">IF(C112="","",IFERROR(INDEX(T_NOMBRE,MATCH(V112,T_RUTN,0)),"⚠ RUT no está en Trabajadores"))</f>
        <v/>
      </c>
      <c r="E112" s="61"/>
      <c r="F112" s="61"/>
      <c r="G112" s="61"/>
      <c r="H112" s="61"/>
      <c r="I112" s="81"/>
      <c r="J112" s="81"/>
      <c r="K112" s="60"/>
      <c r="L112" s="60"/>
      <c r="M112" s="60"/>
      <c r="N112" s="60"/>
      <c r="O112" s="60"/>
      <c r="P112" s="60"/>
      <c r="Q112" s="60"/>
      <c r="R112" s="58"/>
      <c r="S112" s="62" t="str">
        <f aca="false">IF(OR(B112="",V112=""),"",IFERROR(INDEX(C_TIPO,MATCH(V112&amp;"-P"&amp;MAX(1,COUNTIFS(C_RUTN,V112,C_DEF,"Sí",C_INI,"&lt;="&amp;EOMONTH(B112,0))),C_CLAVE,0))&amp;"","Sin contrato"))</f>
        <v/>
      </c>
      <c r="T112" s="63" t="str">
        <f aca="false">IF(OR(B112="",N(O112)=0),"",N(O112)+ROUND(MIN(N(N112),TOPE_UF*UF_MES)*(TASA_EMP+MUTUAL),0)+ROUND(MIN(N(N112),TOPE_AFC_UF*UF_MES)*IF(S112="Indefinido",AFC_INDEF,AFC_PF),0))</f>
        <v/>
      </c>
      <c r="U112" s="62" t="str">
        <f aca="false">IF(C112="","",IF(LEFT(D112,1)="⚠","⚠ RUT no registrado en Trabajadores",IF(B112="","⚠ Falta el mes",IF(OR(ISTEXT(I112),ISTEXT(J112)),"⚠ Atrasos u horas extra como texto: escriba hh:mm (ej. 1:30)",IF(AND(ISNUMBER(Q112),COUNTIFS(M_RUTN,V112,M_MES,B112,M_LIQ,"&lt;&gt;")&gt;1),"⚠ Liquidación repetida en el mes",IF(AND(ISNUMBER(O112),ISNUMBER(P112),ISNUMBER(Q112),ABS(O112-P112-Q112)&gt;1),"⚠ Haberes − descuentos no da el líquido","OK"))))))</f>
        <v/>
      </c>
      <c r="V112" s="62" t="str">
        <f aca="false">IF(C112="","",IFERROR(VALUE(LEFT(UPPER(SUBSTITUTE(SUBSTITUTE(SUBSTITUTE(TRIM(C112),".",""),"-","")," ","")),LEN(UPPER(SUBSTITUTE(SUBSTITUTE(SUBSTITUTE(TRIM(C112),".",""),"-","")," ","")))-1))&amp;RIGHT(UPPER(SUBSTITUTE(SUBSTITUTE(SUBSTITUTE(TRIM(C112),".",""),"-","")," ","")),1),UPPER(SUBSTITUTE(SUBSTITUTE(SUBSTITUTE(TRIM(C112),".",""),"-","")," ",""))))</f>
        <v/>
      </c>
    </row>
    <row r="113" customFormat="false" ht="15" hidden="false" customHeight="false" outlineLevel="0" collapsed="false">
      <c r="B113" s="80"/>
      <c r="C113" s="58"/>
      <c r="D113" s="62" t="str">
        <f aca="false">IF(C113="","",IFERROR(INDEX(T_NOMBRE,MATCH(V113,T_RUTN,0)),"⚠ RUT no está en Trabajadores"))</f>
        <v/>
      </c>
      <c r="E113" s="61"/>
      <c r="F113" s="61"/>
      <c r="G113" s="61"/>
      <c r="H113" s="61"/>
      <c r="I113" s="81"/>
      <c r="J113" s="81"/>
      <c r="K113" s="60"/>
      <c r="L113" s="60"/>
      <c r="M113" s="60"/>
      <c r="N113" s="60"/>
      <c r="O113" s="60"/>
      <c r="P113" s="60"/>
      <c r="Q113" s="60"/>
      <c r="R113" s="58"/>
      <c r="S113" s="62" t="str">
        <f aca="false">IF(OR(B113="",V113=""),"",IFERROR(INDEX(C_TIPO,MATCH(V113&amp;"-P"&amp;MAX(1,COUNTIFS(C_RUTN,V113,C_DEF,"Sí",C_INI,"&lt;="&amp;EOMONTH(B113,0))),C_CLAVE,0))&amp;"","Sin contrato"))</f>
        <v/>
      </c>
      <c r="T113" s="63" t="str">
        <f aca="false">IF(OR(B113="",N(O113)=0),"",N(O113)+ROUND(MIN(N(N113),TOPE_UF*UF_MES)*(TASA_EMP+MUTUAL),0)+ROUND(MIN(N(N113),TOPE_AFC_UF*UF_MES)*IF(S113="Indefinido",AFC_INDEF,AFC_PF),0))</f>
        <v/>
      </c>
      <c r="U113" s="62" t="str">
        <f aca="false">IF(C113="","",IF(LEFT(D113,1)="⚠","⚠ RUT no registrado en Trabajadores",IF(B113="","⚠ Falta el mes",IF(OR(ISTEXT(I113),ISTEXT(J113)),"⚠ Atrasos u horas extra como texto: escriba hh:mm (ej. 1:30)",IF(AND(ISNUMBER(Q113),COUNTIFS(M_RUTN,V113,M_MES,B113,M_LIQ,"&lt;&gt;")&gt;1),"⚠ Liquidación repetida en el mes",IF(AND(ISNUMBER(O113),ISNUMBER(P113),ISNUMBER(Q113),ABS(O113-P113-Q113)&gt;1),"⚠ Haberes − descuentos no da el líquido","OK"))))))</f>
        <v/>
      </c>
      <c r="V113" s="62" t="str">
        <f aca="false">IF(C113="","",IFERROR(VALUE(LEFT(UPPER(SUBSTITUTE(SUBSTITUTE(SUBSTITUTE(TRIM(C113),".",""),"-","")," ","")),LEN(UPPER(SUBSTITUTE(SUBSTITUTE(SUBSTITUTE(TRIM(C113),".",""),"-","")," ","")))-1))&amp;RIGHT(UPPER(SUBSTITUTE(SUBSTITUTE(SUBSTITUTE(TRIM(C113),".",""),"-","")," ","")),1),UPPER(SUBSTITUTE(SUBSTITUTE(SUBSTITUTE(TRIM(C113),".",""),"-","")," ",""))))</f>
        <v/>
      </c>
    </row>
    <row r="114" customFormat="false" ht="15" hidden="false" customHeight="false" outlineLevel="0" collapsed="false">
      <c r="B114" s="80"/>
      <c r="C114" s="58"/>
      <c r="D114" s="62" t="str">
        <f aca="false">IF(C114="","",IFERROR(INDEX(T_NOMBRE,MATCH(V114,T_RUTN,0)),"⚠ RUT no está en Trabajadores"))</f>
        <v/>
      </c>
      <c r="E114" s="61"/>
      <c r="F114" s="61"/>
      <c r="G114" s="61"/>
      <c r="H114" s="61"/>
      <c r="I114" s="81"/>
      <c r="J114" s="81"/>
      <c r="K114" s="60"/>
      <c r="L114" s="60"/>
      <c r="M114" s="60"/>
      <c r="N114" s="60"/>
      <c r="O114" s="60"/>
      <c r="P114" s="60"/>
      <c r="Q114" s="60"/>
      <c r="R114" s="58"/>
      <c r="S114" s="62" t="str">
        <f aca="false">IF(OR(B114="",V114=""),"",IFERROR(INDEX(C_TIPO,MATCH(V114&amp;"-P"&amp;MAX(1,COUNTIFS(C_RUTN,V114,C_DEF,"Sí",C_INI,"&lt;="&amp;EOMONTH(B114,0))),C_CLAVE,0))&amp;"","Sin contrato"))</f>
        <v/>
      </c>
      <c r="T114" s="63" t="str">
        <f aca="false">IF(OR(B114="",N(O114)=0),"",N(O114)+ROUND(MIN(N(N114),TOPE_UF*UF_MES)*(TASA_EMP+MUTUAL),0)+ROUND(MIN(N(N114),TOPE_AFC_UF*UF_MES)*IF(S114="Indefinido",AFC_INDEF,AFC_PF),0))</f>
        <v/>
      </c>
      <c r="U114" s="62" t="str">
        <f aca="false">IF(C114="","",IF(LEFT(D114,1)="⚠","⚠ RUT no registrado en Trabajadores",IF(B114="","⚠ Falta el mes",IF(OR(ISTEXT(I114),ISTEXT(J114)),"⚠ Atrasos u horas extra como texto: escriba hh:mm (ej. 1:30)",IF(AND(ISNUMBER(Q114),COUNTIFS(M_RUTN,V114,M_MES,B114,M_LIQ,"&lt;&gt;")&gt;1),"⚠ Liquidación repetida en el mes",IF(AND(ISNUMBER(O114),ISNUMBER(P114),ISNUMBER(Q114),ABS(O114-P114-Q114)&gt;1),"⚠ Haberes − descuentos no da el líquido","OK"))))))</f>
        <v/>
      </c>
      <c r="V114" s="62" t="str">
        <f aca="false">IF(C114="","",IFERROR(VALUE(LEFT(UPPER(SUBSTITUTE(SUBSTITUTE(SUBSTITUTE(TRIM(C114),".",""),"-","")," ","")),LEN(UPPER(SUBSTITUTE(SUBSTITUTE(SUBSTITUTE(TRIM(C114),".",""),"-","")," ","")))-1))&amp;RIGHT(UPPER(SUBSTITUTE(SUBSTITUTE(SUBSTITUTE(TRIM(C114),".",""),"-","")," ","")),1),UPPER(SUBSTITUTE(SUBSTITUTE(SUBSTITUTE(TRIM(C114),".",""),"-","")," ",""))))</f>
        <v/>
      </c>
    </row>
    <row r="115" customFormat="false" ht="15" hidden="false" customHeight="false" outlineLevel="0" collapsed="false">
      <c r="B115" s="80"/>
      <c r="C115" s="58"/>
      <c r="D115" s="62" t="str">
        <f aca="false">IF(C115="","",IFERROR(INDEX(T_NOMBRE,MATCH(V115,T_RUTN,0)),"⚠ RUT no está en Trabajadores"))</f>
        <v/>
      </c>
      <c r="E115" s="61"/>
      <c r="F115" s="61"/>
      <c r="G115" s="61"/>
      <c r="H115" s="61"/>
      <c r="I115" s="81"/>
      <c r="J115" s="81"/>
      <c r="K115" s="60"/>
      <c r="L115" s="60"/>
      <c r="M115" s="60"/>
      <c r="N115" s="60"/>
      <c r="O115" s="60"/>
      <c r="P115" s="60"/>
      <c r="Q115" s="60"/>
      <c r="R115" s="58"/>
      <c r="S115" s="62" t="str">
        <f aca="false">IF(OR(B115="",V115=""),"",IFERROR(INDEX(C_TIPO,MATCH(V115&amp;"-P"&amp;MAX(1,COUNTIFS(C_RUTN,V115,C_DEF,"Sí",C_INI,"&lt;="&amp;EOMONTH(B115,0))),C_CLAVE,0))&amp;"","Sin contrato"))</f>
        <v/>
      </c>
      <c r="T115" s="63" t="str">
        <f aca="false">IF(OR(B115="",N(O115)=0),"",N(O115)+ROUND(MIN(N(N115),TOPE_UF*UF_MES)*(TASA_EMP+MUTUAL),0)+ROUND(MIN(N(N115),TOPE_AFC_UF*UF_MES)*IF(S115="Indefinido",AFC_INDEF,AFC_PF),0))</f>
        <v/>
      </c>
      <c r="U115" s="62" t="str">
        <f aca="false">IF(C115="","",IF(LEFT(D115,1)="⚠","⚠ RUT no registrado en Trabajadores",IF(B115="","⚠ Falta el mes",IF(OR(ISTEXT(I115),ISTEXT(J115)),"⚠ Atrasos u horas extra como texto: escriba hh:mm (ej. 1:30)",IF(AND(ISNUMBER(Q115),COUNTIFS(M_RUTN,V115,M_MES,B115,M_LIQ,"&lt;&gt;")&gt;1),"⚠ Liquidación repetida en el mes",IF(AND(ISNUMBER(O115),ISNUMBER(P115),ISNUMBER(Q115),ABS(O115-P115-Q115)&gt;1),"⚠ Haberes − descuentos no da el líquido","OK"))))))</f>
        <v/>
      </c>
      <c r="V115" s="62" t="str">
        <f aca="false">IF(C115="","",IFERROR(VALUE(LEFT(UPPER(SUBSTITUTE(SUBSTITUTE(SUBSTITUTE(TRIM(C115),".",""),"-","")," ","")),LEN(UPPER(SUBSTITUTE(SUBSTITUTE(SUBSTITUTE(TRIM(C115),".",""),"-","")," ","")))-1))&amp;RIGHT(UPPER(SUBSTITUTE(SUBSTITUTE(SUBSTITUTE(TRIM(C115),".",""),"-","")," ","")),1),UPPER(SUBSTITUTE(SUBSTITUTE(SUBSTITUTE(TRIM(C115),".",""),"-","")," ",""))))</f>
        <v/>
      </c>
    </row>
    <row r="116" customFormat="false" ht="15" hidden="false" customHeight="false" outlineLevel="0" collapsed="false">
      <c r="B116" s="80"/>
      <c r="C116" s="58"/>
      <c r="D116" s="62" t="str">
        <f aca="false">IF(C116="","",IFERROR(INDEX(T_NOMBRE,MATCH(V116,T_RUTN,0)),"⚠ RUT no está en Trabajadores"))</f>
        <v/>
      </c>
      <c r="E116" s="61"/>
      <c r="F116" s="61"/>
      <c r="G116" s="61"/>
      <c r="H116" s="61"/>
      <c r="I116" s="81"/>
      <c r="J116" s="81"/>
      <c r="K116" s="60"/>
      <c r="L116" s="60"/>
      <c r="M116" s="60"/>
      <c r="N116" s="60"/>
      <c r="O116" s="60"/>
      <c r="P116" s="60"/>
      <c r="Q116" s="60"/>
      <c r="R116" s="58"/>
      <c r="S116" s="62" t="str">
        <f aca="false">IF(OR(B116="",V116=""),"",IFERROR(INDEX(C_TIPO,MATCH(V116&amp;"-P"&amp;MAX(1,COUNTIFS(C_RUTN,V116,C_DEF,"Sí",C_INI,"&lt;="&amp;EOMONTH(B116,0))),C_CLAVE,0))&amp;"","Sin contrato"))</f>
        <v/>
      </c>
      <c r="T116" s="63" t="str">
        <f aca="false">IF(OR(B116="",N(O116)=0),"",N(O116)+ROUND(MIN(N(N116),TOPE_UF*UF_MES)*(TASA_EMP+MUTUAL),0)+ROUND(MIN(N(N116),TOPE_AFC_UF*UF_MES)*IF(S116="Indefinido",AFC_INDEF,AFC_PF),0))</f>
        <v/>
      </c>
      <c r="U116" s="62" t="str">
        <f aca="false">IF(C116="","",IF(LEFT(D116,1)="⚠","⚠ RUT no registrado en Trabajadores",IF(B116="","⚠ Falta el mes",IF(OR(ISTEXT(I116),ISTEXT(J116)),"⚠ Atrasos u horas extra como texto: escriba hh:mm (ej. 1:30)",IF(AND(ISNUMBER(Q116),COUNTIFS(M_RUTN,V116,M_MES,B116,M_LIQ,"&lt;&gt;")&gt;1),"⚠ Liquidación repetida en el mes",IF(AND(ISNUMBER(O116),ISNUMBER(P116),ISNUMBER(Q116),ABS(O116-P116-Q116)&gt;1),"⚠ Haberes − descuentos no da el líquido","OK"))))))</f>
        <v/>
      </c>
      <c r="V116" s="62" t="str">
        <f aca="false">IF(C116="","",IFERROR(VALUE(LEFT(UPPER(SUBSTITUTE(SUBSTITUTE(SUBSTITUTE(TRIM(C116),".",""),"-","")," ","")),LEN(UPPER(SUBSTITUTE(SUBSTITUTE(SUBSTITUTE(TRIM(C116),".",""),"-","")," ","")))-1))&amp;RIGHT(UPPER(SUBSTITUTE(SUBSTITUTE(SUBSTITUTE(TRIM(C116),".",""),"-","")," ","")),1),UPPER(SUBSTITUTE(SUBSTITUTE(SUBSTITUTE(TRIM(C116),".",""),"-","")," ",""))))</f>
        <v/>
      </c>
    </row>
    <row r="117" customFormat="false" ht="15" hidden="false" customHeight="false" outlineLevel="0" collapsed="false">
      <c r="B117" s="80"/>
      <c r="C117" s="58"/>
      <c r="D117" s="62" t="str">
        <f aca="false">IF(C117="","",IFERROR(INDEX(T_NOMBRE,MATCH(V117,T_RUTN,0)),"⚠ RUT no está en Trabajadores"))</f>
        <v/>
      </c>
      <c r="E117" s="61"/>
      <c r="F117" s="61"/>
      <c r="G117" s="61"/>
      <c r="H117" s="61"/>
      <c r="I117" s="81"/>
      <c r="J117" s="81"/>
      <c r="K117" s="60"/>
      <c r="L117" s="60"/>
      <c r="M117" s="60"/>
      <c r="N117" s="60"/>
      <c r="O117" s="60"/>
      <c r="P117" s="60"/>
      <c r="Q117" s="60"/>
      <c r="R117" s="58"/>
      <c r="S117" s="62" t="str">
        <f aca="false">IF(OR(B117="",V117=""),"",IFERROR(INDEX(C_TIPO,MATCH(V117&amp;"-P"&amp;MAX(1,COUNTIFS(C_RUTN,V117,C_DEF,"Sí",C_INI,"&lt;="&amp;EOMONTH(B117,0))),C_CLAVE,0))&amp;"","Sin contrato"))</f>
        <v/>
      </c>
      <c r="T117" s="63" t="str">
        <f aca="false">IF(OR(B117="",N(O117)=0),"",N(O117)+ROUND(MIN(N(N117),TOPE_UF*UF_MES)*(TASA_EMP+MUTUAL),0)+ROUND(MIN(N(N117),TOPE_AFC_UF*UF_MES)*IF(S117="Indefinido",AFC_INDEF,AFC_PF),0))</f>
        <v/>
      </c>
      <c r="U117" s="62" t="str">
        <f aca="false">IF(C117="","",IF(LEFT(D117,1)="⚠","⚠ RUT no registrado en Trabajadores",IF(B117="","⚠ Falta el mes",IF(OR(ISTEXT(I117),ISTEXT(J117)),"⚠ Atrasos u horas extra como texto: escriba hh:mm (ej. 1:30)",IF(AND(ISNUMBER(Q117),COUNTIFS(M_RUTN,V117,M_MES,B117,M_LIQ,"&lt;&gt;")&gt;1),"⚠ Liquidación repetida en el mes",IF(AND(ISNUMBER(O117),ISNUMBER(P117),ISNUMBER(Q117),ABS(O117-P117-Q117)&gt;1),"⚠ Haberes − descuentos no da el líquido","OK"))))))</f>
        <v/>
      </c>
      <c r="V117" s="62" t="str">
        <f aca="false">IF(C117="","",IFERROR(VALUE(LEFT(UPPER(SUBSTITUTE(SUBSTITUTE(SUBSTITUTE(TRIM(C117),".",""),"-","")," ","")),LEN(UPPER(SUBSTITUTE(SUBSTITUTE(SUBSTITUTE(TRIM(C117),".",""),"-","")," ","")))-1))&amp;RIGHT(UPPER(SUBSTITUTE(SUBSTITUTE(SUBSTITUTE(TRIM(C117),".",""),"-","")," ","")),1),UPPER(SUBSTITUTE(SUBSTITUTE(SUBSTITUTE(TRIM(C117),".",""),"-","")," ",""))))</f>
        <v/>
      </c>
    </row>
    <row r="118" customFormat="false" ht="15" hidden="false" customHeight="false" outlineLevel="0" collapsed="false">
      <c r="B118" s="80"/>
      <c r="C118" s="58"/>
      <c r="D118" s="62" t="str">
        <f aca="false">IF(C118="","",IFERROR(INDEX(T_NOMBRE,MATCH(V118,T_RUTN,0)),"⚠ RUT no está en Trabajadores"))</f>
        <v/>
      </c>
      <c r="E118" s="61"/>
      <c r="F118" s="61"/>
      <c r="G118" s="61"/>
      <c r="H118" s="61"/>
      <c r="I118" s="81"/>
      <c r="J118" s="81"/>
      <c r="K118" s="60"/>
      <c r="L118" s="60"/>
      <c r="M118" s="60"/>
      <c r="N118" s="60"/>
      <c r="O118" s="60"/>
      <c r="P118" s="60"/>
      <c r="Q118" s="60"/>
      <c r="R118" s="58"/>
      <c r="S118" s="62" t="str">
        <f aca="false">IF(OR(B118="",V118=""),"",IFERROR(INDEX(C_TIPO,MATCH(V118&amp;"-P"&amp;MAX(1,COUNTIFS(C_RUTN,V118,C_DEF,"Sí",C_INI,"&lt;="&amp;EOMONTH(B118,0))),C_CLAVE,0))&amp;"","Sin contrato"))</f>
        <v/>
      </c>
      <c r="T118" s="63" t="str">
        <f aca="false">IF(OR(B118="",N(O118)=0),"",N(O118)+ROUND(MIN(N(N118),TOPE_UF*UF_MES)*(TASA_EMP+MUTUAL),0)+ROUND(MIN(N(N118),TOPE_AFC_UF*UF_MES)*IF(S118="Indefinido",AFC_INDEF,AFC_PF),0))</f>
        <v/>
      </c>
      <c r="U118" s="62" t="str">
        <f aca="false">IF(C118="","",IF(LEFT(D118,1)="⚠","⚠ RUT no registrado en Trabajadores",IF(B118="","⚠ Falta el mes",IF(OR(ISTEXT(I118),ISTEXT(J118)),"⚠ Atrasos u horas extra como texto: escriba hh:mm (ej. 1:30)",IF(AND(ISNUMBER(Q118),COUNTIFS(M_RUTN,V118,M_MES,B118,M_LIQ,"&lt;&gt;")&gt;1),"⚠ Liquidación repetida en el mes",IF(AND(ISNUMBER(O118),ISNUMBER(P118),ISNUMBER(Q118),ABS(O118-P118-Q118)&gt;1),"⚠ Haberes − descuentos no da el líquido","OK"))))))</f>
        <v/>
      </c>
      <c r="V118" s="62" t="str">
        <f aca="false">IF(C118="","",IFERROR(VALUE(LEFT(UPPER(SUBSTITUTE(SUBSTITUTE(SUBSTITUTE(TRIM(C118),".",""),"-","")," ","")),LEN(UPPER(SUBSTITUTE(SUBSTITUTE(SUBSTITUTE(TRIM(C118),".",""),"-","")," ","")))-1))&amp;RIGHT(UPPER(SUBSTITUTE(SUBSTITUTE(SUBSTITUTE(TRIM(C118),".",""),"-","")," ","")),1),UPPER(SUBSTITUTE(SUBSTITUTE(SUBSTITUTE(TRIM(C118),".",""),"-","")," ",""))))</f>
        <v/>
      </c>
    </row>
    <row r="119" customFormat="false" ht="15" hidden="false" customHeight="false" outlineLevel="0" collapsed="false">
      <c r="B119" s="80"/>
      <c r="C119" s="58"/>
      <c r="D119" s="62" t="str">
        <f aca="false">IF(C119="","",IFERROR(INDEX(T_NOMBRE,MATCH(V119,T_RUTN,0)),"⚠ RUT no está en Trabajadores"))</f>
        <v/>
      </c>
      <c r="E119" s="61"/>
      <c r="F119" s="61"/>
      <c r="G119" s="61"/>
      <c r="H119" s="61"/>
      <c r="I119" s="81"/>
      <c r="J119" s="81"/>
      <c r="K119" s="60"/>
      <c r="L119" s="60"/>
      <c r="M119" s="60"/>
      <c r="N119" s="60"/>
      <c r="O119" s="60"/>
      <c r="P119" s="60"/>
      <c r="Q119" s="60"/>
      <c r="R119" s="58"/>
      <c r="S119" s="62" t="str">
        <f aca="false">IF(OR(B119="",V119=""),"",IFERROR(INDEX(C_TIPO,MATCH(V119&amp;"-P"&amp;MAX(1,COUNTIFS(C_RUTN,V119,C_DEF,"Sí",C_INI,"&lt;="&amp;EOMONTH(B119,0))),C_CLAVE,0))&amp;"","Sin contrato"))</f>
        <v/>
      </c>
      <c r="T119" s="63" t="str">
        <f aca="false">IF(OR(B119="",N(O119)=0),"",N(O119)+ROUND(MIN(N(N119),TOPE_UF*UF_MES)*(TASA_EMP+MUTUAL),0)+ROUND(MIN(N(N119),TOPE_AFC_UF*UF_MES)*IF(S119="Indefinido",AFC_INDEF,AFC_PF),0))</f>
        <v/>
      </c>
      <c r="U119" s="62" t="str">
        <f aca="false">IF(C119="","",IF(LEFT(D119,1)="⚠","⚠ RUT no registrado en Trabajadores",IF(B119="","⚠ Falta el mes",IF(OR(ISTEXT(I119),ISTEXT(J119)),"⚠ Atrasos u horas extra como texto: escriba hh:mm (ej. 1:30)",IF(AND(ISNUMBER(Q119),COUNTIFS(M_RUTN,V119,M_MES,B119,M_LIQ,"&lt;&gt;")&gt;1),"⚠ Liquidación repetida en el mes",IF(AND(ISNUMBER(O119),ISNUMBER(P119),ISNUMBER(Q119),ABS(O119-P119-Q119)&gt;1),"⚠ Haberes − descuentos no da el líquido","OK"))))))</f>
        <v/>
      </c>
      <c r="V119" s="62" t="str">
        <f aca="false">IF(C119="","",IFERROR(VALUE(LEFT(UPPER(SUBSTITUTE(SUBSTITUTE(SUBSTITUTE(TRIM(C119),".",""),"-","")," ","")),LEN(UPPER(SUBSTITUTE(SUBSTITUTE(SUBSTITUTE(TRIM(C119),".",""),"-","")," ","")))-1))&amp;RIGHT(UPPER(SUBSTITUTE(SUBSTITUTE(SUBSTITUTE(TRIM(C119),".",""),"-","")," ","")),1),UPPER(SUBSTITUTE(SUBSTITUTE(SUBSTITUTE(TRIM(C119),".",""),"-","")," ",""))))</f>
        <v/>
      </c>
    </row>
    <row r="120" customFormat="false" ht="15" hidden="false" customHeight="false" outlineLevel="0" collapsed="false">
      <c r="B120" s="80"/>
      <c r="C120" s="58"/>
      <c r="D120" s="62" t="str">
        <f aca="false">IF(C120="","",IFERROR(INDEX(T_NOMBRE,MATCH(V120,T_RUTN,0)),"⚠ RUT no está en Trabajadores"))</f>
        <v/>
      </c>
      <c r="E120" s="61"/>
      <c r="F120" s="61"/>
      <c r="G120" s="61"/>
      <c r="H120" s="61"/>
      <c r="I120" s="81"/>
      <c r="J120" s="81"/>
      <c r="K120" s="60"/>
      <c r="L120" s="60"/>
      <c r="M120" s="60"/>
      <c r="N120" s="60"/>
      <c r="O120" s="60"/>
      <c r="P120" s="60"/>
      <c r="Q120" s="60"/>
      <c r="R120" s="58"/>
      <c r="S120" s="62" t="str">
        <f aca="false">IF(OR(B120="",V120=""),"",IFERROR(INDEX(C_TIPO,MATCH(V120&amp;"-P"&amp;MAX(1,COUNTIFS(C_RUTN,V120,C_DEF,"Sí",C_INI,"&lt;="&amp;EOMONTH(B120,0))),C_CLAVE,0))&amp;"","Sin contrato"))</f>
        <v/>
      </c>
      <c r="T120" s="63" t="str">
        <f aca="false">IF(OR(B120="",N(O120)=0),"",N(O120)+ROUND(MIN(N(N120),TOPE_UF*UF_MES)*(TASA_EMP+MUTUAL),0)+ROUND(MIN(N(N120),TOPE_AFC_UF*UF_MES)*IF(S120="Indefinido",AFC_INDEF,AFC_PF),0))</f>
        <v/>
      </c>
      <c r="U120" s="62" t="str">
        <f aca="false">IF(C120="","",IF(LEFT(D120,1)="⚠","⚠ RUT no registrado en Trabajadores",IF(B120="","⚠ Falta el mes",IF(OR(ISTEXT(I120),ISTEXT(J120)),"⚠ Atrasos u horas extra como texto: escriba hh:mm (ej. 1:30)",IF(AND(ISNUMBER(Q120),COUNTIFS(M_RUTN,V120,M_MES,B120,M_LIQ,"&lt;&gt;")&gt;1),"⚠ Liquidación repetida en el mes",IF(AND(ISNUMBER(O120),ISNUMBER(P120),ISNUMBER(Q120),ABS(O120-P120-Q120)&gt;1),"⚠ Haberes − descuentos no da el líquido","OK"))))))</f>
        <v/>
      </c>
      <c r="V120" s="62" t="str">
        <f aca="false">IF(C120="","",IFERROR(VALUE(LEFT(UPPER(SUBSTITUTE(SUBSTITUTE(SUBSTITUTE(TRIM(C120),".",""),"-","")," ","")),LEN(UPPER(SUBSTITUTE(SUBSTITUTE(SUBSTITUTE(TRIM(C120),".",""),"-","")," ","")))-1))&amp;RIGHT(UPPER(SUBSTITUTE(SUBSTITUTE(SUBSTITUTE(TRIM(C120),".",""),"-","")," ","")),1),UPPER(SUBSTITUTE(SUBSTITUTE(SUBSTITUTE(TRIM(C120),".",""),"-","")," ",""))))</f>
        <v/>
      </c>
    </row>
    <row r="121" customFormat="false" ht="15" hidden="false" customHeight="false" outlineLevel="0" collapsed="false">
      <c r="B121" s="80"/>
      <c r="C121" s="58"/>
      <c r="D121" s="62" t="str">
        <f aca="false">IF(C121="","",IFERROR(INDEX(T_NOMBRE,MATCH(V121,T_RUTN,0)),"⚠ RUT no está en Trabajadores"))</f>
        <v/>
      </c>
      <c r="E121" s="61"/>
      <c r="F121" s="61"/>
      <c r="G121" s="61"/>
      <c r="H121" s="61"/>
      <c r="I121" s="81"/>
      <c r="J121" s="81"/>
      <c r="K121" s="60"/>
      <c r="L121" s="60"/>
      <c r="M121" s="60"/>
      <c r="N121" s="60"/>
      <c r="O121" s="60"/>
      <c r="P121" s="60"/>
      <c r="Q121" s="60"/>
      <c r="R121" s="58"/>
      <c r="S121" s="62" t="str">
        <f aca="false">IF(OR(B121="",V121=""),"",IFERROR(INDEX(C_TIPO,MATCH(V121&amp;"-P"&amp;MAX(1,COUNTIFS(C_RUTN,V121,C_DEF,"Sí",C_INI,"&lt;="&amp;EOMONTH(B121,0))),C_CLAVE,0))&amp;"","Sin contrato"))</f>
        <v/>
      </c>
      <c r="T121" s="63" t="str">
        <f aca="false">IF(OR(B121="",N(O121)=0),"",N(O121)+ROUND(MIN(N(N121),TOPE_UF*UF_MES)*(TASA_EMP+MUTUAL),0)+ROUND(MIN(N(N121),TOPE_AFC_UF*UF_MES)*IF(S121="Indefinido",AFC_INDEF,AFC_PF),0))</f>
        <v/>
      </c>
      <c r="U121" s="62" t="str">
        <f aca="false">IF(C121="","",IF(LEFT(D121,1)="⚠","⚠ RUT no registrado en Trabajadores",IF(B121="","⚠ Falta el mes",IF(OR(ISTEXT(I121),ISTEXT(J121)),"⚠ Atrasos u horas extra como texto: escriba hh:mm (ej. 1:30)",IF(AND(ISNUMBER(Q121),COUNTIFS(M_RUTN,V121,M_MES,B121,M_LIQ,"&lt;&gt;")&gt;1),"⚠ Liquidación repetida en el mes",IF(AND(ISNUMBER(O121),ISNUMBER(P121),ISNUMBER(Q121),ABS(O121-P121-Q121)&gt;1),"⚠ Haberes − descuentos no da el líquido","OK"))))))</f>
        <v/>
      </c>
      <c r="V121" s="62" t="str">
        <f aca="false">IF(C121="","",IFERROR(VALUE(LEFT(UPPER(SUBSTITUTE(SUBSTITUTE(SUBSTITUTE(TRIM(C121),".",""),"-","")," ","")),LEN(UPPER(SUBSTITUTE(SUBSTITUTE(SUBSTITUTE(TRIM(C121),".",""),"-","")," ","")))-1))&amp;RIGHT(UPPER(SUBSTITUTE(SUBSTITUTE(SUBSTITUTE(TRIM(C121),".",""),"-","")," ","")),1),UPPER(SUBSTITUTE(SUBSTITUTE(SUBSTITUTE(TRIM(C121),".",""),"-","")," ",""))))</f>
        <v/>
      </c>
    </row>
    <row r="122" customFormat="false" ht="15" hidden="false" customHeight="false" outlineLevel="0" collapsed="false">
      <c r="B122" s="80"/>
      <c r="C122" s="58"/>
      <c r="D122" s="62" t="str">
        <f aca="false">IF(C122="","",IFERROR(INDEX(T_NOMBRE,MATCH(V122,T_RUTN,0)),"⚠ RUT no está en Trabajadores"))</f>
        <v/>
      </c>
      <c r="E122" s="61"/>
      <c r="F122" s="61"/>
      <c r="G122" s="61"/>
      <c r="H122" s="61"/>
      <c r="I122" s="81"/>
      <c r="J122" s="81"/>
      <c r="K122" s="60"/>
      <c r="L122" s="60"/>
      <c r="M122" s="60"/>
      <c r="N122" s="60"/>
      <c r="O122" s="60"/>
      <c r="P122" s="60"/>
      <c r="Q122" s="60"/>
      <c r="R122" s="58"/>
      <c r="S122" s="62" t="str">
        <f aca="false">IF(OR(B122="",V122=""),"",IFERROR(INDEX(C_TIPO,MATCH(V122&amp;"-P"&amp;MAX(1,COUNTIFS(C_RUTN,V122,C_DEF,"Sí",C_INI,"&lt;="&amp;EOMONTH(B122,0))),C_CLAVE,0))&amp;"","Sin contrato"))</f>
        <v/>
      </c>
      <c r="T122" s="63" t="str">
        <f aca="false">IF(OR(B122="",N(O122)=0),"",N(O122)+ROUND(MIN(N(N122),TOPE_UF*UF_MES)*(TASA_EMP+MUTUAL),0)+ROUND(MIN(N(N122),TOPE_AFC_UF*UF_MES)*IF(S122="Indefinido",AFC_INDEF,AFC_PF),0))</f>
        <v/>
      </c>
      <c r="U122" s="62" t="str">
        <f aca="false">IF(C122="","",IF(LEFT(D122,1)="⚠","⚠ RUT no registrado en Trabajadores",IF(B122="","⚠ Falta el mes",IF(OR(ISTEXT(I122),ISTEXT(J122)),"⚠ Atrasos u horas extra como texto: escriba hh:mm (ej. 1:30)",IF(AND(ISNUMBER(Q122),COUNTIFS(M_RUTN,V122,M_MES,B122,M_LIQ,"&lt;&gt;")&gt;1),"⚠ Liquidación repetida en el mes",IF(AND(ISNUMBER(O122),ISNUMBER(P122),ISNUMBER(Q122),ABS(O122-P122-Q122)&gt;1),"⚠ Haberes − descuentos no da el líquido","OK"))))))</f>
        <v/>
      </c>
      <c r="V122" s="62" t="str">
        <f aca="false">IF(C122="","",IFERROR(VALUE(LEFT(UPPER(SUBSTITUTE(SUBSTITUTE(SUBSTITUTE(TRIM(C122),".",""),"-","")," ","")),LEN(UPPER(SUBSTITUTE(SUBSTITUTE(SUBSTITUTE(TRIM(C122),".",""),"-","")," ","")))-1))&amp;RIGHT(UPPER(SUBSTITUTE(SUBSTITUTE(SUBSTITUTE(TRIM(C122),".",""),"-","")," ","")),1),UPPER(SUBSTITUTE(SUBSTITUTE(SUBSTITUTE(TRIM(C122),".",""),"-","")," ",""))))</f>
        <v/>
      </c>
    </row>
    <row r="123" customFormat="false" ht="15" hidden="false" customHeight="false" outlineLevel="0" collapsed="false">
      <c r="B123" s="80"/>
      <c r="C123" s="58"/>
      <c r="D123" s="62" t="str">
        <f aca="false">IF(C123="","",IFERROR(INDEX(T_NOMBRE,MATCH(V123,T_RUTN,0)),"⚠ RUT no está en Trabajadores"))</f>
        <v/>
      </c>
      <c r="E123" s="61"/>
      <c r="F123" s="61"/>
      <c r="G123" s="61"/>
      <c r="H123" s="61"/>
      <c r="I123" s="81"/>
      <c r="J123" s="81"/>
      <c r="K123" s="60"/>
      <c r="L123" s="60"/>
      <c r="M123" s="60"/>
      <c r="N123" s="60"/>
      <c r="O123" s="60"/>
      <c r="P123" s="60"/>
      <c r="Q123" s="60"/>
      <c r="R123" s="58"/>
      <c r="S123" s="62" t="str">
        <f aca="false">IF(OR(B123="",V123=""),"",IFERROR(INDEX(C_TIPO,MATCH(V123&amp;"-P"&amp;MAX(1,COUNTIFS(C_RUTN,V123,C_DEF,"Sí",C_INI,"&lt;="&amp;EOMONTH(B123,0))),C_CLAVE,0))&amp;"","Sin contrato"))</f>
        <v/>
      </c>
      <c r="T123" s="63" t="str">
        <f aca="false">IF(OR(B123="",N(O123)=0),"",N(O123)+ROUND(MIN(N(N123),TOPE_UF*UF_MES)*(TASA_EMP+MUTUAL),0)+ROUND(MIN(N(N123),TOPE_AFC_UF*UF_MES)*IF(S123="Indefinido",AFC_INDEF,AFC_PF),0))</f>
        <v/>
      </c>
      <c r="U123" s="62" t="str">
        <f aca="false">IF(C123="","",IF(LEFT(D123,1)="⚠","⚠ RUT no registrado en Trabajadores",IF(B123="","⚠ Falta el mes",IF(OR(ISTEXT(I123),ISTEXT(J123)),"⚠ Atrasos u horas extra como texto: escriba hh:mm (ej. 1:30)",IF(AND(ISNUMBER(Q123),COUNTIFS(M_RUTN,V123,M_MES,B123,M_LIQ,"&lt;&gt;")&gt;1),"⚠ Liquidación repetida en el mes",IF(AND(ISNUMBER(O123),ISNUMBER(P123),ISNUMBER(Q123),ABS(O123-P123-Q123)&gt;1),"⚠ Haberes − descuentos no da el líquido","OK"))))))</f>
        <v/>
      </c>
      <c r="V123" s="62" t="str">
        <f aca="false">IF(C123="","",IFERROR(VALUE(LEFT(UPPER(SUBSTITUTE(SUBSTITUTE(SUBSTITUTE(TRIM(C123),".",""),"-","")," ","")),LEN(UPPER(SUBSTITUTE(SUBSTITUTE(SUBSTITUTE(TRIM(C123),".",""),"-","")," ","")))-1))&amp;RIGHT(UPPER(SUBSTITUTE(SUBSTITUTE(SUBSTITUTE(TRIM(C123),".",""),"-","")," ","")),1),UPPER(SUBSTITUTE(SUBSTITUTE(SUBSTITUTE(TRIM(C123),".",""),"-","")," ",""))))</f>
        <v/>
      </c>
    </row>
    <row r="124" customFormat="false" ht="15" hidden="false" customHeight="false" outlineLevel="0" collapsed="false">
      <c r="B124" s="80"/>
      <c r="C124" s="58"/>
      <c r="D124" s="62" t="str">
        <f aca="false">IF(C124="","",IFERROR(INDEX(T_NOMBRE,MATCH(V124,T_RUTN,0)),"⚠ RUT no está en Trabajadores"))</f>
        <v/>
      </c>
      <c r="E124" s="61"/>
      <c r="F124" s="61"/>
      <c r="G124" s="61"/>
      <c r="H124" s="61"/>
      <c r="I124" s="81"/>
      <c r="J124" s="81"/>
      <c r="K124" s="60"/>
      <c r="L124" s="60"/>
      <c r="M124" s="60"/>
      <c r="N124" s="60"/>
      <c r="O124" s="60"/>
      <c r="P124" s="60"/>
      <c r="Q124" s="60"/>
      <c r="R124" s="58"/>
      <c r="S124" s="62" t="str">
        <f aca="false">IF(OR(B124="",V124=""),"",IFERROR(INDEX(C_TIPO,MATCH(V124&amp;"-P"&amp;MAX(1,COUNTIFS(C_RUTN,V124,C_DEF,"Sí",C_INI,"&lt;="&amp;EOMONTH(B124,0))),C_CLAVE,0))&amp;"","Sin contrato"))</f>
        <v/>
      </c>
      <c r="T124" s="63" t="str">
        <f aca="false">IF(OR(B124="",N(O124)=0),"",N(O124)+ROUND(MIN(N(N124),TOPE_UF*UF_MES)*(TASA_EMP+MUTUAL),0)+ROUND(MIN(N(N124),TOPE_AFC_UF*UF_MES)*IF(S124="Indefinido",AFC_INDEF,AFC_PF),0))</f>
        <v/>
      </c>
      <c r="U124" s="62" t="str">
        <f aca="false">IF(C124="","",IF(LEFT(D124,1)="⚠","⚠ RUT no registrado en Trabajadores",IF(B124="","⚠ Falta el mes",IF(OR(ISTEXT(I124),ISTEXT(J124)),"⚠ Atrasos u horas extra como texto: escriba hh:mm (ej. 1:30)",IF(AND(ISNUMBER(Q124),COUNTIFS(M_RUTN,V124,M_MES,B124,M_LIQ,"&lt;&gt;")&gt;1),"⚠ Liquidación repetida en el mes",IF(AND(ISNUMBER(O124),ISNUMBER(P124),ISNUMBER(Q124),ABS(O124-P124-Q124)&gt;1),"⚠ Haberes − descuentos no da el líquido","OK"))))))</f>
        <v/>
      </c>
      <c r="V124" s="62" t="str">
        <f aca="false">IF(C124="","",IFERROR(VALUE(LEFT(UPPER(SUBSTITUTE(SUBSTITUTE(SUBSTITUTE(TRIM(C124),".",""),"-","")," ","")),LEN(UPPER(SUBSTITUTE(SUBSTITUTE(SUBSTITUTE(TRIM(C124),".",""),"-","")," ","")))-1))&amp;RIGHT(UPPER(SUBSTITUTE(SUBSTITUTE(SUBSTITUTE(TRIM(C124),".",""),"-","")," ","")),1),UPPER(SUBSTITUTE(SUBSTITUTE(SUBSTITUTE(TRIM(C124),".",""),"-","")," ",""))))</f>
        <v/>
      </c>
    </row>
    <row r="125" customFormat="false" ht="15" hidden="false" customHeight="false" outlineLevel="0" collapsed="false">
      <c r="B125" s="80"/>
      <c r="C125" s="58"/>
      <c r="D125" s="62" t="str">
        <f aca="false">IF(C125="","",IFERROR(INDEX(T_NOMBRE,MATCH(V125,T_RUTN,0)),"⚠ RUT no está en Trabajadores"))</f>
        <v/>
      </c>
      <c r="E125" s="61"/>
      <c r="F125" s="61"/>
      <c r="G125" s="61"/>
      <c r="H125" s="61"/>
      <c r="I125" s="81"/>
      <c r="J125" s="81"/>
      <c r="K125" s="60"/>
      <c r="L125" s="60"/>
      <c r="M125" s="60"/>
      <c r="N125" s="60"/>
      <c r="O125" s="60"/>
      <c r="P125" s="60"/>
      <c r="Q125" s="60"/>
      <c r="R125" s="58"/>
      <c r="S125" s="62" t="str">
        <f aca="false">IF(OR(B125="",V125=""),"",IFERROR(INDEX(C_TIPO,MATCH(V125&amp;"-P"&amp;MAX(1,COUNTIFS(C_RUTN,V125,C_DEF,"Sí",C_INI,"&lt;="&amp;EOMONTH(B125,0))),C_CLAVE,0))&amp;"","Sin contrato"))</f>
        <v/>
      </c>
      <c r="T125" s="63" t="str">
        <f aca="false">IF(OR(B125="",N(O125)=0),"",N(O125)+ROUND(MIN(N(N125),TOPE_UF*UF_MES)*(TASA_EMP+MUTUAL),0)+ROUND(MIN(N(N125),TOPE_AFC_UF*UF_MES)*IF(S125="Indefinido",AFC_INDEF,AFC_PF),0))</f>
        <v/>
      </c>
      <c r="U125" s="62" t="str">
        <f aca="false">IF(C125="","",IF(LEFT(D125,1)="⚠","⚠ RUT no registrado en Trabajadores",IF(B125="","⚠ Falta el mes",IF(OR(ISTEXT(I125),ISTEXT(J125)),"⚠ Atrasos u horas extra como texto: escriba hh:mm (ej. 1:30)",IF(AND(ISNUMBER(Q125),COUNTIFS(M_RUTN,V125,M_MES,B125,M_LIQ,"&lt;&gt;")&gt;1),"⚠ Liquidación repetida en el mes",IF(AND(ISNUMBER(O125),ISNUMBER(P125),ISNUMBER(Q125),ABS(O125-P125-Q125)&gt;1),"⚠ Haberes − descuentos no da el líquido","OK"))))))</f>
        <v/>
      </c>
      <c r="V125" s="62" t="str">
        <f aca="false">IF(C125="","",IFERROR(VALUE(LEFT(UPPER(SUBSTITUTE(SUBSTITUTE(SUBSTITUTE(TRIM(C125),".",""),"-","")," ","")),LEN(UPPER(SUBSTITUTE(SUBSTITUTE(SUBSTITUTE(TRIM(C125),".",""),"-","")," ","")))-1))&amp;RIGHT(UPPER(SUBSTITUTE(SUBSTITUTE(SUBSTITUTE(TRIM(C125),".",""),"-","")," ","")),1),UPPER(SUBSTITUTE(SUBSTITUTE(SUBSTITUTE(TRIM(C125),".",""),"-","")," ",""))))</f>
        <v/>
      </c>
    </row>
    <row r="126" customFormat="false" ht="15" hidden="false" customHeight="false" outlineLevel="0" collapsed="false">
      <c r="B126" s="80"/>
      <c r="C126" s="58"/>
      <c r="D126" s="62" t="str">
        <f aca="false">IF(C126="","",IFERROR(INDEX(T_NOMBRE,MATCH(V126,T_RUTN,0)),"⚠ RUT no está en Trabajadores"))</f>
        <v/>
      </c>
      <c r="E126" s="61"/>
      <c r="F126" s="61"/>
      <c r="G126" s="61"/>
      <c r="H126" s="61"/>
      <c r="I126" s="81"/>
      <c r="J126" s="81"/>
      <c r="K126" s="60"/>
      <c r="L126" s="60"/>
      <c r="M126" s="60"/>
      <c r="N126" s="60"/>
      <c r="O126" s="60"/>
      <c r="P126" s="60"/>
      <c r="Q126" s="60"/>
      <c r="R126" s="58"/>
      <c r="S126" s="62" t="str">
        <f aca="false">IF(OR(B126="",V126=""),"",IFERROR(INDEX(C_TIPO,MATCH(V126&amp;"-P"&amp;MAX(1,COUNTIFS(C_RUTN,V126,C_DEF,"Sí",C_INI,"&lt;="&amp;EOMONTH(B126,0))),C_CLAVE,0))&amp;"","Sin contrato"))</f>
        <v/>
      </c>
      <c r="T126" s="63" t="str">
        <f aca="false">IF(OR(B126="",N(O126)=0),"",N(O126)+ROUND(MIN(N(N126),TOPE_UF*UF_MES)*(TASA_EMP+MUTUAL),0)+ROUND(MIN(N(N126),TOPE_AFC_UF*UF_MES)*IF(S126="Indefinido",AFC_INDEF,AFC_PF),0))</f>
        <v/>
      </c>
      <c r="U126" s="62" t="str">
        <f aca="false">IF(C126="","",IF(LEFT(D126,1)="⚠","⚠ RUT no registrado en Trabajadores",IF(B126="","⚠ Falta el mes",IF(OR(ISTEXT(I126),ISTEXT(J126)),"⚠ Atrasos u horas extra como texto: escriba hh:mm (ej. 1:30)",IF(AND(ISNUMBER(Q126),COUNTIFS(M_RUTN,V126,M_MES,B126,M_LIQ,"&lt;&gt;")&gt;1),"⚠ Liquidación repetida en el mes",IF(AND(ISNUMBER(O126),ISNUMBER(P126),ISNUMBER(Q126),ABS(O126-P126-Q126)&gt;1),"⚠ Haberes − descuentos no da el líquido","OK"))))))</f>
        <v/>
      </c>
      <c r="V126" s="62" t="str">
        <f aca="false">IF(C126="","",IFERROR(VALUE(LEFT(UPPER(SUBSTITUTE(SUBSTITUTE(SUBSTITUTE(TRIM(C126),".",""),"-","")," ","")),LEN(UPPER(SUBSTITUTE(SUBSTITUTE(SUBSTITUTE(TRIM(C126),".",""),"-","")," ","")))-1))&amp;RIGHT(UPPER(SUBSTITUTE(SUBSTITUTE(SUBSTITUTE(TRIM(C126),".",""),"-","")," ","")),1),UPPER(SUBSTITUTE(SUBSTITUTE(SUBSTITUTE(TRIM(C126),".",""),"-","")," ",""))))</f>
        <v/>
      </c>
    </row>
    <row r="127" customFormat="false" ht="15" hidden="false" customHeight="false" outlineLevel="0" collapsed="false">
      <c r="B127" s="80"/>
      <c r="C127" s="58"/>
      <c r="D127" s="62" t="str">
        <f aca="false">IF(C127="","",IFERROR(INDEX(T_NOMBRE,MATCH(V127,T_RUTN,0)),"⚠ RUT no está en Trabajadores"))</f>
        <v/>
      </c>
      <c r="E127" s="61"/>
      <c r="F127" s="61"/>
      <c r="G127" s="61"/>
      <c r="H127" s="61"/>
      <c r="I127" s="81"/>
      <c r="J127" s="81"/>
      <c r="K127" s="60"/>
      <c r="L127" s="60"/>
      <c r="M127" s="60"/>
      <c r="N127" s="60"/>
      <c r="O127" s="60"/>
      <c r="P127" s="60"/>
      <c r="Q127" s="60"/>
      <c r="R127" s="58"/>
      <c r="S127" s="62" t="str">
        <f aca="false">IF(OR(B127="",V127=""),"",IFERROR(INDEX(C_TIPO,MATCH(V127&amp;"-P"&amp;MAX(1,COUNTIFS(C_RUTN,V127,C_DEF,"Sí",C_INI,"&lt;="&amp;EOMONTH(B127,0))),C_CLAVE,0))&amp;"","Sin contrato"))</f>
        <v/>
      </c>
      <c r="T127" s="63" t="str">
        <f aca="false">IF(OR(B127="",N(O127)=0),"",N(O127)+ROUND(MIN(N(N127),TOPE_UF*UF_MES)*(TASA_EMP+MUTUAL),0)+ROUND(MIN(N(N127),TOPE_AFC_UF*UF_MES)*IF(S127="Indefinido",AFC_INDEF,AFC_PF),0))</f>
        <v/>
      </c>
      <c r="U127" s="62" t="str">
        <f aca="false">IF(C127="","",IF(LEFT(D127,1)="⚠","⚠ RUT no registrado en Trabajadores",IF(B127="","⚠ Falta el mes",IF(OR(ISTEXT(I127),ISTEXT(J127)),"⚠ Atrasos u horas extra como texto: escriba hh:mm (ej. 1:30)",IF(AND(ISNUMBER(Q127),COUNTIFS(M_RUTN,V127,M_MES,B127,M_LIQ,"&lt;&gt;")&gt;1),"⚠ Liquidación repetida en el mes",IF(AND(ISNUMBER(O127),ISNUMBER(P127),ISNUMBER(Q127),ABS(O127-P127-Q127)&gt;1),"⚠ Haberes − descuentos no da el líquido","OK"))))))</f>
        <v/>
      </c>
      <c r="V127" s="62" t="str">
        <f aca="false">IF(C127="","",IFERROR(VALUE(LEFT(UPPER(SUBSTITUTE(SUBSTITUTE(SUBSTITUTE(TRIM(C127),".",""),"-","")," ","")),LEN(UPPER(SUBSTITUTE(SUBSTITUTE(SUBSTITUTE(TRIM(C127),".",""),"-","")," ","")))-1))&amp;RIGHT(UPPER(SUBSTITUTE(SUBSTITUTE(SUBSTITUTE(TRIM(C127),".",""),"-","")," ","")),1),UPPER(SUBSTITUTE(SUBSTITUTE(SUBSTITUTE(TRIM(C127),".",""),"-","")," ",""))))</f>
        <v/>
      </c>
    </row>
    <row r="128" customFormat="false" ht="15" hidden="false" customHeight="false" outlineLevel="0" collapsed="false">
      <c r="B128" s="80"/>
      <c r="C128" s="58"/>
      <c r="D128" s="62" t="str">
        <f aca="false">IF(C128="","",IFERROR(INDEX(T_NOMBRE,MATCH(V128,T_RUTN,0)),"⚠ RUT no está en Trabajadores"))</f>
        <v/>
      </c>
      <c r="E128" s="61"/>
      <c r="F128" s="61"/>
      <c r="G128" s="61"/>
      <c r="H128" s="61"/>
      <c r="I128" s="81"/>
      <c r="J128" s="81"/>
      <c r="K128" s="60"/>
      <c r="L128" s="60"/>
      <c r="M128" s="60"/>
      <c r="N128" s="60"/>
      <c r="O128" s="60"/>
      <c r="P128" s="60"/>
      <c r="Q128" s="60"/>
      <c r="R128" s="58"/>
      <c r="S128" s="62" t="str">
        <f aca="false">IF(OR(B128="",V128=""),"",IFERROR(INDEX(C_TIPO,MATCH(V128&amp;"-P"&amp;MAX(1,COUNTIFS(C_RUTN,V128,C_DEF,"Sí",C_INI,"&lt;="&amp;EOMONTH(B128,0))),C_CLAVE,0))&amp;"","Sin contrato"))</f>
        <v/>
      </c>
      <c r="T128" s="63" t="str">
        <f aca="false">IF(OR(B128="",N(O128)=0),"",N(O128)+ROUND(MIN(N(N128),TOPE_UF*UF_MES)*(TASA_EMP+MUTUAL),0)+ROUND(MIN(N(N128),TOPE_AFC_UF*UF_MES)*IF(S128="Indefinido",AFC_INDEF,AFC_PF),0))</f>
        <v/>
      </c>
      <c r="U128" s="62" t="str">
        <f aca="false">IF(C128="","",IF(LEFT(D128,1)="⚠","⚠ RUT no registrado en Trabajadores",IF(B128="","⚠ Falta el mes",IF(OR(ISTEXT(I128),ISTEXT(J128)),"⚠ Atrasos u horas extra como texto: escriba hh:mm (ej. 1:30)",IF(AND(ISNUMBER(Q128),COUNTIFS(M_RUTN,V128,M_MES,B128,M_LIQ,"&lt;&gt;")&gt;1),"⚠ Liquidación repetida en el mes",IF(AND(ISNUMBER(O128),ISNUMBER(P128),ISNUMBER(Q128),ABS(O128-P128-Q128)&gt;1),"⚠ Haberes − descuentos no da el líquido","OK"))))))</f>
        <v/>
      </c>
      <c r="V128" s="62" t="str">
        <f aca="false">IF(C128="","",IFERROR(VALUE(LEFT(UPPER(SUBSTITUTE(SUBSTITUTE(SUBSTITUTE(TRIM(C128),".",""),"-","")," ","")),LEN(UPPER(SUBSTITUTE(SUBSTITUTE(SUBSTITUTE(TRIM(C128),".",""),"-","")," ","")))-1))&amp;RIGHT(UPPER(SUBSTITUTE(SUBSTITUTE(SUBSTITUTE(TRIM(C128),".",""),"-","")," ","")),1),UPPER(SUBSTITUTE(SUBSTITUTE(SUBSTITUTE(TRIM(C128),".",""),"-","")," ",""))))</f>
        <v/>
      </c>
    </row>
    <row r="129" customFormat="false" ht="15" hidden="false" customHeight="false" outlineLevel="0" collapsed="false">
      <c r="B129" s="80"/>
      <c r="C129" s="58"/>
      <c r="D129" s="62" t="str">
        <f aca="false">IF(C129="","",IFERROR(INDEX(T_NOMBRE,MATCH(V129,T_RUTN,0)),"⚠ RUT no está en Trabajadores"))</f>
        <v/>
      </c>
      <c r="E129" s="61"/>
      <c r="F129" s="61"/>
      <c r="G129" s="61"/>
      <c r="H129" s="61"/>
      <c r="I129" s="81"/>
      <c r="J129" s="81"/>
      <c r="K129" s="60"/>
      <c r="L129" s="60"/>
      <c r="M129" s="60"/>
      <c r="N129" s="60"/>
      <c r="O129" s="60"/>
      <c r="P129" s="60"/>
      <c r="Q129" s="60"/>
      <c r="R129" s="58"/>
      <c r="S129" s="62" t="str">
        <f aca="false">IF(OR(B129="",V129=""),"",IFERROR(INDEX(C_TIPO,MATCH(V129&amp;"-P"&amp;MAX(1,COUNTIFS(C_RUTN,V129,C_DEF,"Sí",C_INI,"&lt;="&amp;EOMONTH(B129,0))),C_CLAVE,0))&amp;"","Sin contrato"))</f>
        <v/>
      </c>
      <c r="T129" s="63" t="str">
        <f aca="false">IF(OR(B129="",N(O129)=0),"",N(O129)+ROUND(MIN(N(N129),TOPE_UF*UF_MES)*(TASA_EMP+MUTUAL),0)+ROUND(MIN(N(N129),TOPE_AFC_UF*UF_MES)*IF(S129="Indefinido",AFC_INDEF,AFC_PF),0))</f>
        <v/>
      </c>
      <c r="U129" s="62" t="str">
        <f aca="false">IF(C129="","",IF(LEFT(D129,1)="⚠","⚠ RUT no registrado en Trabajadores",IF(B129="","⚠ Falta el mes",IF(OR(ISTEXT(I129),ISTEXT(J129)),"⚠ Atrasos u horas extra como texto: escriba hh:mm (ej. 1:30)",IF(AND(ISNUMBER(Q129),COUNTIFS(M_RUTN,V129,M_MES,B129,M_LIQ,"&lt;&gt;")&gt;1),"⚠ Liquidación repetida en el mes",IF(AND(ISNUMBER(O129),ISNUMBER(P129),ISNUMBER(Q129),ABS(O129-P129-Q129)&gt;1),"⚠ Haberes − descuentos no da el líquido","OK"))))))</f>
        <v/>
      </c>
      <c r="V129" s="62" t="str">
        <f aca="false">IF(C129="","",IFERROR(VALUE(LEFT(UPPER(SUBSTITUTE(SUBSTITUTE(SUBSTITUTE(TRIM(C129),".",""),"-","")," ","")),LEN(UPPER(SUBSTITUTE(SUBSTITUTE(SUBSTITUTE(TRIM(C129),".",""),"-","")," ","")))-1))&amp;RIGHT(UPPER(SUBSTITUTE(SUBSTITUTE(SUBSTITUTE(TRIM(C129),".",""),"-","")," ","")),1),UPPER(SUBSTITUTE(SUBSTITUTE(SUBSTITUTE(TRIM(C129),".",""),"-","")," ",""))))</f>
        <v/>
      </c>
    </row>
    <row r="130" customFormat="false" ht="15" hidden="false" customHeight="false" outlineLevel="0" collapsed="false">
      <c r="B130" s="80"/>
      <c r="C130" s="58"/>
      <c r="D130" s="62" t="str">
        <f aca="false">IF(C130="","",IFERROR(INDEX(T_NOMBRE,MATCH(V130,T_RUTN,0)),"⚠ RUT no está en Trabajadores"))</f>
        <v/>
      </c>
      <c r="E130" s="61"/>
      <c r="F130" s="61"/>
      <c r="G130" s="61"/>
      <c r="H130" s="61"/>
      <c r="I130" s="81"/>
      <c r="J130" s="81"/>
      <c r="K130" s="60"/>
      <c r="L130" s="60"/>
      <c r="M130" s="60"/>
      <c r="N130" s="60"/>
      <c r="O130" s="60"/>
      <c r="P130" s="60"/>
      <c r="Q130" s="60"/>
      <c r="R130" s="58"/>
      <c r="S130" s="62" t="str">
        <f aca="false">IF(OR(B130="",V130=""),"",IFERROR(INDEX(C_TIPO,MATCH(V130&amp;"-P"&amp;MAX(1,COUNTIFS(C_RUTN,V130,C_DEF,"Sí",C_INI,"&lt;="&amp;EOMONTH(B130,0))),C_CLAVE,0))&amp;"","Sin contrato"))</f>
        <v/>
      </c>
      <c r="T130" s="63" t="str">
        <f aca="false">IF(OR(B130="",N(O130)=0),"",N(O130)+ROUND(MIN(N(N130),TOPE_UF*UF_MES)*(TASA_EMP+MUTUAL),0)+ROUND(MIN(N(N130),TOPE_AFC_UF*UF_MES)*IF(S130="Indefinido",AFC_INDEF,AFC_PF),0))</f>
        <v/>
      </c>
      <c r="U130" s="62" t="str">
        <f aca="false">IF(C130="","",IF(LEFT(D130,1)="⚠","⚠ RUT no registrado en Trabajadores",IF(B130="","⚠ Falta el mes",IF(OR(ISTEXT(I130),ISTEXT(J130)),"⚠ Atrasos u horas extra como texto: escriba hh:mm (ej. 1:30)",IF(AND(ISNUMBER(Q130),COUNTIFS(M_RUTN,V130,M_MES,B130,M_LIQ,"&lt;&gt;")&gt;1),"⚠ Liquidación repetida en el mes",IF(AND(ISNUMBER(O130),ISNUMBER(P130),ISNUMBER(Q130),ABS(O130-P130-Q130)&gt;1),"⚠ Haberes − descuentos no da el líquido","OK"))))))</f>
        <v/>
      </c>
      <c r="V130" s="62" t="str">
        <f aca="false">IF(C130="","",IFERROR(VALUE(LEFT(UPPER(SUBSTITUTE(SUBSTITUTE(SUBSTITUTE(TRIM(C130),".",""),"-","")," ","")),LEN(UPPER(SUBSTITUTE(SUBSTITUTE(SUBSTITUTE(TRIM(C130),".",""),"-","")," ","")))-1))&amp;RIGHT(UPPER(SUBSTITUTE(SUBSTITUTE(SUBSTITUTE(TRIM(C130),".",""),"-","")," ","")),1),UPPER(SUBSTITUTE(SUBSTITUTE(SUBSTITUTE(TRIM(C130),".",""),"-","")," ",""))))</f>
        <v/>
      </c>
    </row>
    <row r="131" customFormat="false" ht="15" hidden="false" customHeight="false" outlineLevel="0" collapsed="false">
      <c r="B131" s="80"/>
      <c r="C131" s="58"/>
      <c r="D131" s="62" t="str">
        <f aca="false">IF(C131="","",IFERROR(INDEX(T_NOMBRE,MATCH(V131,T_RUTN,0)),"⚠ RUT no está en Trabajadores"))</f>
        <v/>
      </c>
      <c r="E131" s="61"/>
      <c r="F131" s="61"/>
      <c r="G131" s="61"/>
      <c r="H131" s="61"/>
      <c r="I131" s="81"/>
      <c r="J131" s="81"/>
      <c r="K131" s="60"/>
      <c r="L131" s="60"/>
      <c r="M131" s="60"/>
      <c r="N131" s="60"/>
      <c r="O131" s="60"/>
      <c r="P131" s="60"/>
      <c r="Q131" s="60"/>
      <c r="R131" s="58"/>
      <c r="S131" s="62" t="str">
        <f aca="false">IF(OR(B131="",V131=""),"",IFERROR(INDEX(C_TIPO,MATCH(V131&amp;"-P"&amp;MAX(1,COUNTIFS(C_RUTN,V131,C_DEF,"Sí",C_INI,"&lt;="&amp;EOMONTH(B131,0))),C_CLAVE,0))&amp;"","Sin contrato"))</f>
        <v/>
      </c>
      <c r="T131" s="63" t="str">
        <f aca="false">IF(OR(B131="",N(O131)=0),"",N(O131)+ROUND(MIN(N(N131),TOPE_UF*UF_MES)*(TASA_EMP+MUTUAL),0)+ROUND(MIN(N(N131),TOPE_AFC_UF*UF_MES)*IF(S131="Indefinido",AFC_INDEF,AFC_PF),0))</f>
        <v/>
      </c>
      <c r="U131" s="62" t="str">
        <f aca="false">IF(C131="","",IF(LEFT(D131,1)="⚠","⚠ RUT no registrado en Trabajadores",IF(B131="","⚠ Falta el mes",IF(OR(ISTEXT(I131),ISTEXT(J131)),"⚠ Atrasos u horas extra como texto: escriba hh:mm (ej. 1:30)",IF(AND(ISNUMBER(Q131),COUNTIFS(M_RUTN,V131,M_MES,B131,M_LIQ,"&lt;&gt;")&gt;1),"⚠ Liquidación repetida en el mes",IF(AND(ISNUMBER(O131),ISNUMBER(P131),ISNUMBER(Q131),ABS(O131-P131-Q131)&gt;1),"⚠ Haberes − descuentos no da el líquido","OK"))))))</f>
        <v/>
      </c>
      <c r="V131" s="62" t="str">
        <f aca="false">IF(C131="","",IFERROR(VALUE(LEFT(UPPER(SUBSTITUTE(SUBSTITUTE(SUBSTITUTE(TRIM(C131),".",""),"-","")," ","")),LEN(UPPER(SUBSTITUTE(SUBSTITUTE(SUBSTITUTE(TRIM(C131),".",""),"-","")," ","")))-1))&amp;RIGHT(UPPER(SUBSTITUTE(SUBSTITUTE(SUBSTITUTE(TRIM(C131),".",""),"-","")," ","")),1),UPPER(SUBSTITUTE(SUBSTITUTE(SUBSTITUTE(TRIM(C131),".",""),"-","")," ",""))))</f>
        <v/>
      </c>
    </row>
    <row r="132" customFormat="false" ht="15" hidden="false" customHeight="false" outlineLevel="0" collapsed="false">
      <c r="B132" s="80"/>
      <c r="C132" s="58"/>
      <c r="D132" s="62" t="str">
        <f aca="false">IF(C132="","",IFERROR(INDEX(T_NOMBRE,MATCH(V132,T_RUTN,0)),"⚠ RUT no está en Trabajadores"))</f>
        <v/>
      </c>
      <c r="E132" s="61"/>
      <c r="F132" s="61"/>
      <c r="G132" s="61"/>
      <c r="H132" s="61"/>
      <c r="I132" s="81"/>
      <c r="J132" s="81"/>
      <c r="K132" s="60"/>
      <c r="L132" s="60"/>
      <c r="M132" s="60"/>
      <c r="N132" s="60"/>
      <c r="O132" s="60"/>
      <c r="P132" s="60"/>
      <c r="Q132" s="60"/>
      <c r="R132" s="58"/>
      <c r="S132" s="62" t="str">
        <f aca="false">IF(OR(B132="",V132=""),"",IFERROR(INDEX(C_TIPO,MATCH(V132&amp;"-P"&amp;MAX(1,COUNTIFS(C_RUTN,V132,C_DEF,"Sí",C_INI,"&lt;="&amp;EOMONTH(B132,0))),C_CLAVE,0))&amp;"","Sin contrato"))</f>
        <v/>
      </c>
      <c r="T132" s="63" t="str">
        <f aca="false">IF(OR(B132="",N(O132)=0),"",N(O132)+ROUND(MIN(N(N132),TOPE_UF*UF_MES)*(TASA_EMP+MUTUAL),0)+ROUND(MIN(N(N132),TOPE_AFC_UF*UF_MES)*IF(S132="Indefinido",AFC_INDEF,AFC_PF),0))</f>
        <v/>
      </c>
      <c r="U132" s="62" t="str">
        <f aca="false">IF(C132="","",IF(LEFT(D132,1)="⚠","⚠ RUT no registrado en Trabajadores",IF(B132="","⚠ Falta el mes",IF(OR(ISTEXT(I132),ISTEXT(J132)),"⚠ Atrasos u horas extra como texto: escriba hh:mm (ej. 1:30)",IF(AND(ISNUMBER(Q132),COUNTIFS(M_RUTN,V132,M_MES,B132,M_LIQ,"&lt;&gt;")&gt;1),"⚠ Liquidación repetida en el mes",IF(AND(ISNUMBER(O132),ISNUMBER(P132),ISNUMBER(Q132),ABS(O132-P132-Q132)&gt;1),"⚠ Haberes − descuentos no da el líquido","OK"))))))</f>
        <v/>
      </c>
      <c r="V132" s="62" t="str">
        <f aca="false">IF(C132="","",IFERROR(VALUE(LEFT(UPPER(SUBSTITUTE(SUBSTITUTE(SUBSTITUTE(TRIM(C132),".",""),"-","")," ","")),LEN(UPPER(SUBSTITUTE(SUBSTITUTE(SUBSTITUTE(TRIM(C132),".",""),"-","")," ","")))-1))&amp;RIGHT(UPPER(SUBSTITUTE(SUBSTITUTE(SUBSTITUTE(TRIM(C132),".",""),"-","")," ","")),1),UPPER(SUBSTITUTE(SUBSTITUTE(SUBSTITUTE(TRIM(C132),".",""),"-","")," ",""))))</f>
        <v/>
      </c>
    </row>
    <row r="133" customFormat="false" ht="15" hidden="false" customHeight="false" outlineLevel="0" collapsed="false">
      <c r="B133" s="80"/>
      <c r="C133" s="58"/>
      <c r="D133" s="62" t="str">
        <f aca="false">IF(C133="","",IFERROR(INDEX(T_NOMBRE,MATCH(V133,T_RUTN,0)),"⚠ RUT no está en Trabajadores"))</f>
        <v/>
      </c>
      <c r="E133" s="61"/>
      <c r="F133" s="61"/>
      <c r="G133" s="61"/>
      <c r="H133" s="61"/>
      <c r="I133" s="81"/>
      <c r="J133" s="81"/>
      <c r="K133" s="60"/>
      <c r="L133" s="60"/>
      <c r="M133" s="60"/>
      <c r="N133" s="60"/>
      <c r="O133" s="60"/>
      <c r="P133" s="60"/>
      <c r="Q133" s="60"/>
      <c r="R133" s="58"/>
      <c r="S133" s="62" t="str">
        <f aca="false">IF(OR(B133="",V133=""),"",IFERROR(INDEX(C_TIPO,MATCH(V133&amp;"-P"&amp;MAX(1,COUNTIFS(C_RUTN,V133,C_DEF,"Sí",C_INI,"&lt;="&amp;EOMONTH(B133,0))),C_CLAVE,0))&amp;"","Sin contrato"))</f>
        <v/>
      </c>
      <c r="T133" s="63" t="str">
        <f aca="false">IF(OR(B133="",N(O133)=0),"",N(O133)+ROUND(MIN(N(N133),TOPE_UF*UF_MES)*(TASA_EMP+MUTUAL),0)+ROUND(MIN(N(N133),TOPE_AFC_UF*UF_MES)*IF(S133="Indefinido",AFC_INDEF,AFC_PF),0))</f>
        <v/>
      </c>
      <c r="U133" s="62" t="str">
        <f aca="false">IF(C133="","",IF(LEFT(D133,1)="⚠","⚠ RUT no registrado en Trabajadores",IF(B133="","⚠ Falta el mes",IF(OR(ISTEXT(I133),ISTEXT(J133)),"⚠ Atrasos u horas extra como texto: escriba hh:mm (ej. 1:30)",IF(AND(ISNUMBER(Q133),COUNTIFS(M_RUTN,V133,M_MES,B133,M_LIQ,"&lt;&gt;")&gt;1),"⚠ Liquidación repetida en el mes",IF(AND(ISNUMBER(O133),ISNUMBER(P133),ISNUMBER(Q133),ABS(O133-P133-Q133)&gt;1),"⚠ Haberes − descuentos no da el líquido","OK"))))))</f>
        <v/>
      </c>
      <c r="V133" s="62" t="str">
        <f aca="false">IF(C133="","",IFERROR(VALUE(LEFT(UPPER(SUBSTITUTE(SUBSTITUTE(SUBSTITUTE(TRIM(C133),".",""),"-","")," ","")),LEN(UPPER(SUBSTITUTE(SUBSTITUTE(SUBSTITUTE(TRIM(C133),".",""),"-","")," ","")))-1))&amp;RIGHT(UPPER(SUBSTITUTE(SUBSTITUTE(SUBSTITUTE(TRIM(C133),".",""),"-","")," ","")),1),UPPER(SUBSTITUTE(SUBSTITUTE(SUBSTITUTE(TRIM(C133),".",""),"-","")," ",""))))</f>
        <v/>
      </c>
    </row>
    <row r="134" customFormat="false" ht="15" hidden="false" customHeight="false" outlineLevel="0" collapsed="false">
      <c r="B134" s="80"/>
      <c r="C134" s="58"/>
      <c r="D134" s="62" t="str">
        <f aca="false">IF(C134="","",IFERROR(INDEX(T_NOMBRE,MATCH(V134,T_RUTN,0)),"⚠ RUT no está en Trabajadores"))</f>
        <v/>
      </c>
      <c r="E134" s="61"/>
      <c r="F134" s="61"/>
      <c r="G134" s="61"/>
      <c r="H134" s="61"/>
      <c r="I134" s="81"/>
      <c r="J134" s="81"/>
      <c r="K134" s="60"/>
      <c r="L134" s="60"/>
      <c r="M134" s="60"/>
      <c r="N134" s="60"/>
      <c r="O134" s="60"/>
      <c r="P134" s="60"/>
      <c r="Q134" s="60"/>
      <c r="R134" s="58"/>
      <c r="S134" s="62" t="str">
        <f aca="false">IF(OR(B134="",V134=""),"",IFERROR(INDEX(C_TIPO,MATCH(V134&amp;"-P"&amp;MAX(1,COUNTIFS(C_RUTN,V134,C_DEF,"Sí",C_INI,"&lt;="&amp;EOMONTH(B134,0))),C_CLAVE,0))&amp;"","Sin contrato"))</f>
        <v/>
      </c>
      <c r="T134" s="63" t="str">
        <f aca="false">IF(OR(B134="",N(O134)=0),"",N(O134)+ROUND(MIN(N(N134),TOPE_UF*UF_MES)*(TASA_EMP+MUTUAL),0)+ROUND(MIN(N(N134),TOPE_AFC_UF*UF_MES)*IF(S134="Indefinido",AFC_INDEF,AFC_PF),0))</f>
        <v/>
      </c>
      <c r="U134" s="62" t="str">
        <f aca="false">IF(C134="","",IF(LEFT(D134,1)="⚠","⚠ RUT no registrado en Trabajadores",IF(B134="","⚠ Falta el mes",IF(OR(ISTEXT(I134),ISTEXT(J134)),"⚠ Atrasos u horas extra como texto: escriba hh:mm (ej. 1:30)",IF(AND(ISNUMBER(Q134),COUNTIFS(M_RUTN,V134,M_MES,B134,M_LIQ,"&lt;&gt;")&gt;1),"⚠ Liquidación repetida en el mes",IF(AND(ISNUMBER(O134),ISNUMBER(P134),ISNUMBER(Q134),ABS(O134-P134-Q134)&gt;1),"⚠ Haberes − descuentos no da el líquido","OK"))))))</f>
        <v/>
      </c>
      <c r="V134" s="62" t="str">
        <f aca="false">IF(C134="","",IFERROR(VALUE(LEFT(UPPER(SUBSTITUTE(SUBSTITUTE(SUBSTITUTE(TRIM(C134),".",""),"-","")," ","")),LEN(UPPER(SUBSTITUTE(SUBSTITUTE(SUBSTITUTE(TRIM(C134),".",""),"-","")," ","")))-1))&amp;RIGHT(UPPER(SUBSTITUTE(SUBSTITUTE(SUBSTITUTE(TRIM(C134),".",""),"-","")," ","")),1),UPPER(SUBSTITUTE(SUBSTITUTE(SUBSTITUTE(TRIM(C134),".",""),"-","")," ",""))))</f>
        <v/>
      </c>
    </row>
    <row r="135" customFormat="false" ht="15" hidden="false" customHeight="false" outlineLevel="0" collapsed="false">
      <c r="B135" s="80"/>
      <c r="C135" s="58"/>
      <c r="D135" s="62" t="str">
        <f aca="false">IF(C135="","",IFERROR(INDEX(T_NOMBRE,MATCH(V135,T_RUTN,0)),"⚠ RUT no está en Trabajadores"))</f>
        <v/>
      </c>
      <c r="E135" s="61"/>
      <c r="F135" s="61"/>
      <c r="G135" s="61"/>
      <c r="H135" s="61"/>
      <c r="I135" s="81"/>
      <c r="J135" s="81"/>
      <c r="K135" s="60"/>
      <c r="L135" s="60"/>
      <c r="M135" s="60"/>
      <c r="N135" s="60"/>
      <c r="O135" s="60"/>
      <c r="P135" s="60"/>
      <c r="Q135" s="60"/>
      <c r="R135" s="58"/>
      <c r="S135" s="62" t="str">
        <f aca="false">IF(OR(B135="",V135=""),"",IFERROR(INDEX(C_TIPO,MATCH(V135&amp;"-P"&amp;MAX(1,COUNTIFS(C_RUTN,V135,C_DEF,"Sí",C_INI,"&lt;="&amp;EOMONTH(B135,0))),C_CLAVE,0))&amp;"","Sin contrato"))</f>
        <v/>
      </c>
      <c r="T135" s="63" t="str">
        <f aca="false">IF(OR(B135="",N(O135)=0),"",N(O135)+ROUND(MIN(N(N135),TOPE_UF*UF_MES)*(TASA_EMP+MUTUAL),0)+ROUND(MIN(N(N135),TOPE_AFC_UF*UF_MES)*IF(S135="Indefinido",AFC_INDEF,AFC_PF),0))</f>
        <v/>
      </c>
      <c r="U135" s="62" t="str">
        <f aca="false">IF(C135="","",IF(LEFT(D135,1)="⚠","⚠ RUT no registrado en Trabajadores",IF(B135="","⚠ Falta el mes",IF(OR(ISTEXT(I135),ISTEXT(J135)),"⚠ Atrasos u horas extra como texto: escriba hh:mm (ej. 1:30)",IF(AND(ISNUMBER(Q135),COUNTIFS(M_RUTN,V135,M_MES,B135,M_LIQ,"&lt;&gt;")&gt;1),"⚠ Liquidación repetida en el mes",IF(AND(ISNUMBER(O135),ISNUMBER(P135),ISNUMBER(Q135),ABS(O135-P135-Q135)&gt;1),"⚠ Haberes − descuentos no da el líquido","OK"))))))</f>
        <v/>
      </c>
      <c r="V135" s="62" t="str">
        <f aca="false">IF(C135="","",IFERROR(VALUE(LEFT(UPPER(SUBSTITUTE(SUBSTITUTE(SUBSTITUTE(TRIM(C135),".",""),"-","")," ","")),LEN(UPPER(SUBSTITUTE(SUBSTITUTE(SUBSTITUTE(TRIM(C135),".",""),"-","")," ","")))-1))&amp;RIGHT(UPPER(SUBSTITUTE(SUBSTITUTE(SUBSTITUTE(TRIM(C135),".",""),"-","")," ","")),1),UPPER(SUBSTITUTE(SUBSTITUTE(SUBSTITUTE(TRIM(C135),".",""),"-","")," ",""))))</f>
        <v/>
      </c>
    </row>
    <row r="136" customFormat="false" ht="15" hidden="false" customHeight="false" outlineLevel="0" collapsed="false">
      <c r="B136" s="80"/>
      <c r="C136" s="58"/>
      <c r="D136" s="62" t="str">
        <f aca="false">IF(C136="","",IFERROR(INDEX(T_NOMBRE,MATCH(V136,T_RUTN,0)),"⚠ RUT no está en Trabajadores"))</f>
        <v/>
      </c>
      <c r="E136" s="61"/>
      <c r="F136" s="61"/>
      <c r="G136" s="61"/>
      <c r="H136" s="61"/>
      <c r="I136" s="81"/>
      <c r="J136" s="81"/>
      <c r="K136" s="60"/>
      <c r="L136" s="60"/>
      <c r="M136" s="60"/>
      <c r="N136" s="60"/>
      <c r="O136" s="60"/>
      <c r="P136" s="60"/>
      <c r="Q136" s="60"/>
      <c r="R136" s="58"/>
      <c r="S136" s="62" t="str">
        <f aca="false">IF(OR(B136="",V136=""),"",IFERROR(INDEX(C_TIPO,MATCH(V136&amp;"-P"&amp;MAX(1,COUNTIFS(C_RUTN,V136,C_DEF,"Sí",C_INI,"&lt;="&amp;EOMONTH(B136,0))),C_CLAVE,0))&amp;"","Sin contrato"))</f>
        <v/>
      </c>
      <c r="T136" s="63" t="str">
        <f aca="false">IF(OR(B136="",N(O136)=0),"",N(O136)+ROUND(MIN(N(N136),TOPE_UF*UF_MES)*(TASA_EMP+MUTUAL),0)+ROUND(MIN(N(N136),TOPE_AFC_UF*UF_MES)*IF(S136="Indefinido",AFC_INDEF,AFC_PF),0))</f>
        <v/>
      </c>
      <c r="U136" s="62" t="str">
        <f aca="false">IF(C136="","",IF(LEFT(D136,1)="⚠","⚠ RUT no registrado en Trabajadores",IF(B136="","⚠ Falta el mes",IF(OR(ISTEXT(I136),ISTEXT(J136)),"⚠ Atrasos u horas extra como texto: escriba hh:mm (ej. 1:30)",IF(AND(ISNUMBER(Q136),COUNTIFS(M_RUTN,V136,M_MES,B136,M_LIQ,"&lt;&gt;")&gt;1),"⚠ Liquidación repetida en el mes",IF(AND(ISNUMBER(O136),ISNUMBER(P136),ISNUMBER(Q136),ABS(O136-P136-Q136)&gt;1),"⚠ Haberes − descuentos no da el líquido","OK"))))))</f>
        <v/>
      </c>
      <c r="V136" s="62" t="str">
        <f aca="false">IF(C136="","",IFERROR(VALUE(LEFT(UPPER(SUBSTITUTE(SUBSTITUTE(SUBSTITUTE(TRIM(C136),".",""),"-","")," ","")),LEN(UPPER(SUBSTITUTE(SUBSTITUTE(SUBSTITUTE(TRIM(C136),".",""),"-","")," ","")))-1))&amp;RIGHT(UPPER(SUBSTITUTE(SUBSTITUTE(SUBSTITUTE(TRIM(C136),".",""),"-","")," ","")),1),UPPER(SUBSTITUTE(SUBSTITUTE(SUBSTITUTE(TRIM(C136),".",""),"-","")," ",""))))</f>
        <v/>
      </c>
    </row>
    <row r="137" customFormat="false" ht="15" hidden="false" customHeight="false" outlineLevel="0" collapsed="false">
      <c r="B137" s="80"/>
      <c r="C137" s="58"/>
      <c r="D137" s="62" t="str">
        <f aca="false">IF(C137="","",IFERROR(INDEX(T_NOMBRE,MATCH(V137,T_RUTN,0)),"⚠ RUT no está en Trabajadores"))</f>
        <v/>
      </c>
      <c r="E137" s="61"/>
      <c r="F137" s="61"/>
      <c r="G137" s="61"/>
      <c r="H137" s="61"/>
      <c r="I137" s="81"/>
      <c r="J137" s="81"/>
      <c r="K137" s="60"/>
      <c r="L137" s="60"/>
      <c r="M137" s="60"/>
      <c r="N137" s="60"/>
      <c r="O137" s="60"/>
      <c r="P137" s="60"/>
      <c r="Q137" s="60"/>
      <c r="R137" s="58"/>
      <c r="S137" s="62" t="str">
        <f aca="false">IF(OR(B137="",V137=""),"",IFERROR(INDEX(C_TIPO,MATCH(V137&amp;"-P"&amp;MAX(1,COUNTIFS(C_RUTN,V137,C_DEF,"Sí",C_INI,"&lt;="&amp;EOMONTH(B137,0))),C_CLAVE,0))&amp;"","Sin contrato"))</f>
        <v/>
      </c>
      <c r="T137" s="63" t="str">
        <f aca="false">IF(OR(B137="",N(O137)=0),"",N(O137)+ROUND(MIN(N(N137),TOPE_UF*UF_MES)*(TASA_EMP+MUTUAL),0)+ROUND(MIN(N(N137),TOPE_AFC_UF*UF_MES)*IF(S137="Indefinido",AFC_INDEF,AFC_PF),0))</f>
        <v/>
      </c>
      <c r="U137" s="62" t="str">
        <f aca="false">IF(C137="","",IF(LEFT(D137,1)="⚠","⚠ RUT no registrado en Trabajadores",IF(B137="","⚠ Falta el mes",IF(OR(ISTEXT(I137),ISTEXT(J137)),"⚠ Atrasos u horas extra como texto: escriba hh:mm (ej. 1:30)",IF(AND(ISNUMBER(Q137),COUNTIFS(M_RUTN,V137,M_MES,B137,M_LIQ,"&lt;&gt;")&gt;1),"⚠ Liquidación repetida en el mes",IF(AND(ISNUMBER(O137),ISNUMBER(P137),ISNUMBER(Q137),ABS(O137-P137-Q137)&gt;1),"⚠ Haberes − descuentos no da el líquido","OK"))))))</f>
        <v/>
      </c>
      <c r="V137" s="62" t="str">
        <f aca="false">IF(C137="","",IFERROR(VALUE(LEFT(UPPER(SUBSTITUTE(SUBSTITUTE(SUBSTITUTE(TRIM(C137),".",""),"-","")," ","")),LEN(UPPER(SUBSTITUTE(SUBSTITUTE(SUBSTITUTE(TRIM(C137),".",""),"-","")," ","")))-1))&amp;RIGHT(UPPER(SUBSTITUTE(SUBSTITUTE(SUBSTITUTE(TRIM(C137),".",""),"-","")," ","")),1),UPPER(SUBSTITUTE(SUBSTITUTE(SUBSTITUTE(TRIM(C137),".",""),"-","")," ",""))))</f>
        <v/>
      </c>
    </row>
    <row r="138" customFormat="false" ht="15" hidden="false" customHeight="false" outlineLevel="0" collapsed="false">
      <c r="B138" s="80"/>
      <c r="C138" s="58"/>
      <c r="D138" s="62" t="str">
        <f aca="false">IF(C138="","",IFERROR(INDEX(T_NOMBRE,MATCH(V138,T_RUTN,0)),"⚠ RUT no está en Trabajadores"))</f>
        <v/>
      </c>
      <c r="E138" s="61"/>
      <c r="F138" s="61"/>
      <c r="G138" s="61"/>
      <c r="H138" s="61"/>
      <c r="I138" s="81"/>
      <c r="J138" s="81"/>
      <c r="K138" s="60"/>
      <c r="L138" s="60"/>
      <c r="M138" s="60"/>
      <c r="N138" s="60"/>
      <c r="O138" s="60"/>
      <c r="P138" s="60"/>
      <c r="Q138" s="60"/>
      <c r="R138" s="58"/>
      <c r="S138" s="62" t="str">
        <f aca="false">IF(OR(B138="",V138=""),"",IFERROR(INDEX(C_TIPO,MATCH(V138&amp;"-P"&amp;MAX(1,COUNTIFS(C_RUTN,V138,C_DEF,"Sí",C_INI,"&lt;="&amp;EOMONTH(B138,0))),C_CLAVE,0))&amp;"","Sin contrato"))</f>
        <v/>
      </c>
      <c r="T138" s="63" t="str">
        <f aca="false">IF(OR(B138="",N(O138)=0),"",N(O138)+ROUND(MIN(N(N138),TOPE_UF*UF_MES)*(TASA_EMP+MUTUAL),0)+ROUND(MIN(N(N138),TOPE_AFC_UF*UF_MES)*IF(S138="Indefinido",AFC_INDEF,AFC_PF),0))</f>
        <v/>
      </c>
      <c r="U138" s="62" t="str">
        <f aca="false">IF(C138="","",IF(LEFT(D138,1)="⚠","⚠ RUT no registrado en Trabajadores",IF(B138="","⚠ Falta el mes",IF(OR(ISTEXT(I138),ISTEXT(J138)),"⚠ Atrasos u horas extra como texto: escriba hh:mm (ej. 1:30)",IF(AND(ISNUMBER(Q138),COUNTIFS(M_RUTN,V138,M_MES,B138,M_LIQ,"&lt;&gt;")&gt;1),"⚠ Liquidación repetida en el mes",IF(AND(ISNUMBER(O138),ISNUMBER(P138),ISNUMBER(Q138),ABS(O138-P138-Q138)&gt;1),"⚠ Haberes − descuentos no da el líquido","OK"))))))</f>
        <v/>
      </c>
      <c r="V138" s="62" t="str">
        <f aca="false">IF(C138="","",IFERROR(VALUE(LEFT(UPPER(SUBSTITUTE(SUBSTITUTE(SUBSTITUTE(TRIM(C138),".",""),"-","")," ","")),LEN(UPPER(SUBSTITUTE(SUBSTITUTE(SUBSTITUTE(TRIM(C138),".",""),"-","")," ","")))-1))&amp;RIGHT(UPPER(SUBSTITUTE(SUBSTITUTE(SUBSTITUTE(TRIM(C138),".",""),"-","")," ","")),1),UPPER(SUBSTITUTE(SUBSTITUTE(SUBSTITUTE(TRIM(C138),".",""),"-","")," ",""))))</f>
        <v/>
      </c>
    </row>
    <row r="139" customFormat="false" ht="15" hidden="false" customHeight="false" outlineLevel="0" collapsed="false">
      <c r="B139" s="80"/>
      <c r="C139" s="58"/>
      <c r="D139" s="62" t="str">
        <f aca="false">IF(C139="","",IFERROR(INDEX(T_NOMBRE,MATCH(V139,T_RUTN,0)),"⚠ RUT no está en Trabajadores"))</f>
        <v/>
      </c>
      <c r="E139" s="61"/>
      <c r="F139" s="61"/>
      <c r="G139" s="61"/>
      <c r="H139" s="61"/>
      <c r="I139" s="81"/>
      <c r="J139" s="81"/>
      <c r="K139" s="60"/>
      <c r="L139" s="60"/>
      <c r="M139" s="60"/>
      <c r="N139" s="60"/>
      <c r="O139" s="60"/>
      <c r="P139" s="60"/>
      <c r="Q139" s="60"/>
      <c r="R139" s="58"/>
      <c r="S139" s="62" t="str">
        <f aca="false">IF(OR(B139="",V139=""),"",IFERROR(INDEX(C_TIPO,MATCH(V139&amp;"-P"&amp;MAX(1,COUNTIFS(C_RUTN,V139,C_DEF,"Sí",C_INI,"&lt;="&amp;EOMONTH(B139,0))),C_CLAVE,0))&amp;"","Sin contrato"))</f>
        <v/>
      </c>
      <c r="T139" s="63" t="str">
        <f aca="false">IF(OR(B139="",N(O139)=0),"",N(O139)+ROUND(MIN(N(N139),TOPE_UF*UF_MES)*(TASA_EMP+MUTUAL),0)+ROUND(MIN(N(N139),TOPE_AFC_UF*UF_MES)*IF(S139="Indefinido",AFC_INDEF,AFC_PF),0))</f>
        <v/>
      </c>
      <c r="U139" s="62" t="str">
        <f aca="false">IF(C139="","",IF(LEFT(D139,1)="⚠","⚠ RUT no registrado en Trabajadores",IF(B139="","⚠ Falta el mes",IF(OR(ISTEXT(I139),ISTEXT(J139)),"⚠ Atrasos u horas extra como texto: escriba hh:mm (ej. 1:30)",IF(AND(ISNUMBER(Q139),COUNTIFS(M_RUTN,V139,M_MES,B139,M_LIQ,"&lt;&gt;")&gt;1),"⚠ Liquidación repetida en el mes",IF(AND(ISNUMBER(O139),ISNUMBER(P139),ISNUMBER(Q139),ABS(O139-P139-Q139)&gt;1),"⚠ Haberes − descuentos no da el líquido","OK"))))))</f>
        <v/>
      </c>
      <c r="V139" s="62" t="str">
        <f aca="false">IF(C139="","",IFERROR(VALUE(LEFT(UPPER(SUBSTITUTE(SUBSTITUTE(SUBSTITUTE(TRIM(C139),".",""),"-","")," ","")),LEN(UPPER(SUBSTITUTE(SUBSTITUTE(SUBSTITUTE(TRIM(C139),".",""),"-","")," ","")))-1))&amp;RIGHT(UPPER(SUBSTITUTE(SUBSTITUTE(SUBSTITUTE(TRIM(C139),".",""),"-","")," ","")),1),UPPER(SUBSTITUTE(SUBSTITUTE(SUBSTITUTE(TRIM(C139),".",""),"-","")," ",""))))</f>
        <v/>
      </c>
    </row>
    <row r="140" customFormat="false" ht="15" hidden="false" customHeight="false" outlineLevel="0" collapsed="false">
      <c r="B140" s="80"/>
      <c r="C140" s="58"/>
      <c r="D140" s="62" t="str">
        <f aca="false">IF(C140="","",IFERROR(INDEX(T_NOMBRE,MATCH(V140,T_RUTN,0)),"⚠ RUT no está en Trabajadores"))</f>
        <v/>
      </c>
      <c r="E140" s="61"/>
      <c r="F140" s="61"/>
      <c r="G140" s="61"/>
      <c r="H140" s="61"/>
      <c r="I140" s="81"/>
      <c r="J140" s="81"/>
      <c r="K140" s="60"/>
      <c r="L140" s="60"/>
      <c r="M140" s="60"/>
      <c r="N140" s="60"/>
      <c r="O140" s="60"/>
      <c r="P140" s="60"/>
      <c r="Q140" s="60"/>
      <c r="R140" s="58"/>
      <c r="S140" s="62" t="str">
        <f aca="false">IF(OR(B140="",V140=""),"",IFERROR(INDEX(C_TIPO,MATCH(V140&amp;"-P"&amp;MAX(1,COUNTIFS(C_RUTN,V140,C_DEF,"Sí",C_INI,"&lt;="&amp;EOMONTH(B140,0))),C_CLAVE,0))&amp;"","Sin contrato"))</f>
        <v/>
      </c>
      <c r="T140" s="63" t="str">
        <f aca="false">IF(OR(B140="",N(O140)=0),"",N(O140)+ROUND(MIN(N(N140),TOPE_UF*UF_MES)*(TASA_EMP+MUTUAL),0)+ROUND(MIN(N(N140),TOPE_AFC_UF*UF_MES)*IF(S140="Indefinido",AFC_INDEF,AFC_PF),0))</f>
        <v/>
      </c>
      <c r="U140" s="62" t="str">
        <f aca="false">IF(C140="","",IF(LEFT(D140,1)="⚠","⚠ RUT no registrado en Trabajadores",IF(B140="","⚠ Falta el mes",IF(OR(ISTEXT(I140),ISTEXT(J140)),"⚠ Atrasos u horas extra como texto: escriba hh:mm (ej. 1:30)",IF(AND(ISNUMBER(Q140),COUNTIFS(M_RUTN,V140,M_MES,B140,M_LIQ,"&lt;&gt;")&gt;1),"⚠ Liquidación repetida en el mes",IF(AND(ISNUMBER(O140),ISNUMBER(P140),ISNUMBER(Q140),ABS(O140-P140-Q140)&gt;1),"⚠ Haberes − descuentos no da el líquido","OK"))))))</f>
        <v/>
      </c>
      <c r="V140" s="62" t="str">
        <f aca="false">IF(C140="","",IFERROR(VALUE(LEFT(UPPER(SUBSTITUTE(SUBSTITUTE(SUBSTITUTE(TRIM(C140),".",""),"-","")," ","")),LEN(UPPER(SUBSTITUTE(SUBSTITUTE(SUBSTITUTE(TRIM(C140),".",""),"-","")," ","")))-1))&amp;RIGHT(UPPER(SUBSTITUTE(SUBSTITUTE(SUBSTITUTE(TRIM(C140),".",""),"-","")," ","")),1),UPPER(SUBSTITUTE(SUBSTITUTE(SUBSTITUTE(TRIM(C140),".",""),"-","")," ",""))))</f>
        <v/>
      </c>
    </row>
    <row r="141" customFormat="false" ht="15" hidden="false" customHeight="false" outlineLevel="0" collapsed="false">
      <c r="B141" s="80"/>
      <c r="C141" s="58"/>
      <c r="D141" s="62" t="str">
        <f aca="false">IF(C141="","",IFERROR(INDEX(T_NOMBRE,MATCH(V141,T_RUTN,0)),"⚠ RUT no está en Trabajadores"))</f>
        <v/>
      </c>
      <c r="E141" s="61"/>
      <c r="F141" s="61"/>
      <c r="G141" s="61"/>
      <c r="H141" s="61"/>
      <c r="I141" s="81"/>
      <c r="J141" s="81"/>
      <c r="K141" s="60"/>
      <c r="L141" s="60"/>
      <c r="M141" s="60"/>
      <c r="N141" s="60"/>
      <c r="O141" s="60"/>
      <c r="P141" s="60"/>
      <c r="Q141" s="60"/>
      <c r="R141" s="58"/>
      <c r="S141" s="62" t="str">
        <f aca="false">IF(OR(B141="",V141=""),"",IFERROR(INDEX(C_TIPO,MATCH(V141&amp;"-P"&amp;MAX(1,COUNTIFS(C_RUTN,V141,C_DEF,"Sí",C_INI,"&lt;="&amp;EOMONTH(B141,0))),C_CLAVE,0))&amp;"","Sin contrato"))</f>
        <v/>
      </c>
      <c r="T141" s="63" t="str">
        <f aca="false">IF(OR(B141="",N(O141)=0),"",N(O141)+ROUND(MIN(N(N141),TOPE_UF*UF_MES)*(TASA_EMP+MUTUAL),0)+ROUND(MIN(N(N141),TOPE_AFC_UF*UF_MES)*IF(S141="Indefinido",AFC_INDEF,AFC_PF),0))</f>
        <v/>
      </c>
      <c r="U141" s="62" t="str">
        <f aca="false">IF(C141="","",IF(LEFT(D141,1)="⚠","⚠ RUT no registrado en Trabajadores",IF(B141="","⚠ Falta el mes",IF(OR(ISTEXT(I141),ISTEXT(J141)),"⚠ Atrasos u horas extra como texto: escriba hh:mm (ej. 1:30)",IF(AND(ISNUMBER(Q141),COUNTIFS(M_RUTN,V141,M_MES,B141,M_LIQ,"&lt;&gt;")&gt;1),"⚠ Liquidación repetida en el mes",IF(AND(ISNUMBER(O141),ISNUMBER(P141),ISNUMBER(Q141),ABS(O141-P141-Q141)&gt;1),"⚠ Haberes − descuentos no da el líquido","OK"))))))</f>
        <v/>
      </c>
      <c r="V141" s="62" t="str">
        <f aca="false">IF(C141="","",IFERROR(VALUE(LEFT(UPPER(SUBSTITUTE(SUBSTITUTE(SUBSTITUTE(TRIM(C141),".",""),"-","")," ","")),LEN(UPPER(SUBSTITUTE(SUBSTITUTE(SUBSTITUTE(TRIM(C141),".",""),"-","")," ","")))-1))&amp;RIGHT(UPPER(SUBSTITUTE(SUBSTITUTE(SUBSTITUTE(TRIM(C141),".",""),"-","")," ","")),1),UPPER(SUBSTITUTE(SUBSTITUTE(SUBSTITUTE(TRIM(C141),".",""),"-","")," ",""))))</f>
        <v/>
      </c>
    </row>
    <row r="142" customFormat="false" ht="15" hidden="false" customHeight="false" outlineLevel="0" collapsed="false">
      <c r="B142" s="80"/>
      <c r="C142" s="58"/>
      <c r="D142" s="62" t="str">
        <f aca="false">IF(C142="","",IFERROR(INDEX(T_NOMBRE,MATCH(V142,T_RUTN,0)),"⚠ RUT no está en Trabajadores"))</f>
        <v/>
      </c>
      <c r="E142" s="61"/>
      <c r="F142" s="61"/>
      <c r="G142" s="61"/>
      <c r="H142" s="61"/>
      <c r="I142" s="81"/>
      <c r="J142" s="81"/>
      <c r="K142" s="60"/>
      <c r="L142" s="60"/>
      <c r="M142" s="60"/>
      <c r="N142" s="60"/>
      <c r="O142" s="60"/>
      <c r="P142" s="60"/>
      <c r="Q142" s="60"/>
      <c r="R142" s="58"/>
      <c r="S142" s="62" t="str">
        <f aca="false">IF(OR(B142="",V142=""),"",IFERROR(INDEX(C_TIPO,MATCH(V142&amp;"-P"&amp;MAX(1,COUNTIFS(C_RUTN,V142,C_DEF,"Sí",C_INI,"&lt;="&amp;EOMONTH(B142,0))),C_CLAVE,0))&amp;"","Sin contrato"))</f>
        <v/>
      </c>
      <c r="T142" s="63" t="str">
        <f aca="false">IF(OR(B142="",N(O142)=0),"",N(O142)+ROUND(MIN(N(N142),TOPE_UF*UF_MES)*(TASA_EMP+MUTUAL),0)+ROUND(MIN(N(N142),TOPE_AFC_UF*UF_MES)*IF(S142="Indefinido",AFC_INDEF,AFC_PF),0))</f>
        <v/>
      </c>
      <c r="U142" s="62" t="str">
        <f aca="false">IF(C142="","",IF(LEFT(D142,1)="⚠","⚠ RUT no registrado en Trabajadores",IF(B142="","⚠ Falta el mes",IF(OR(ISTEXT(I142),ISTEXT(J142)),"⚠ Atrasos u horas extra como texto: escriba hh:mm (ej. 1:30)",IF(AND(ISNUMBER(Q142),COUNTIFS(M_RUTN,V142,M_MES,B142,M_LIQ,"&lt;&gt;")&gt;1),"⚠ Liquidación repetida en el mes",IF(AND(ISNUMBER(O142),ISNUMBER(P142),ISNUMBER(Q142),ABS(O142-P142-Q142)&gt;1),"⚠ Haberes − descuentos no da el líquido","OK"))))))</f>
        <v/>
      </c>
      <c r="V142" s="62" t="str">
        <f aca="false">IF(C142="","",IFERROR(VALUE(LEFT(UPPER(SUBSTITUTE(SUBSTITUTE(SUBSTITUTE(TRIM(C142),".",""),"-","")," ","")),LEN(UPPER(SUBSTITUTE(SUBSTITUTE(SUBSTITUTE(TRIM(C142),".",""),"-","")," ","")))-1))&amp;RIGHT(UPPER(SUBSTITUTE(SUBSTITUTE(SUBSTITUTE(TRIM(C142),".",""),"-","")," ","")),1),UPPER(SUBSTITUTE(SUBSTITUTE(SUBSTITUTE(TRIM(C142),".",""),"-","")," ",""))))</f>
        <v/>
      </c>
    </row>
    <row r="143" customFormat="false" ht="15" hidden="false" customHeight="false" outlineLevel="0" collapsed="false">
      <c r="B143" s="80"/>
      <c r="C143" s="58"/>
      <c r="D143" s="62" t="str">
        <f aca="false">IF(C143="","",IFERROR(INDEX(T_NOMBRE,MATCH(V143,T_RUTN,0)),"⚠ RUT no está en Trabajadores"))</f>
        <v/>
      </c>
      <c r="E143" s="61"/>
      <c r="F143" s="61"/>
      <c r="G143" s="61"/>
      <c r="H143" s="61"/>
      <c r="I143" s="81"/>
      <c r="J143" s="81"/>
      <c r="K143" s="60"/>
      <c r="L143" s="60"/>
      <c r="M143" s="60"/>
      <c r="N143" s="60"/>
      <c r="O143" s="60"/>
      <c r="P143" s="60"/>
      <c r="Q143" s="60"/>
      <c r="R143" s="58"/>
      <c r="S143" s="62" t="str">
        <f aca="false">IF(OR(B143="",V143=""),"",IFERROR(INDEX(C_TIPO,MATCH(V143&amp;"-P"&amp;MAX(1,COUNTIFS(C_RUTN,V143,C_DEF,"Sí",C_INI,"&lt;="&amp;EOMONTH(B143,0))),C_CLAVE,0))&amp;"","Sin contrato"))</f>
        <v/>
      </c>
      <c r="T143" s="63" t="str">
        <f aca="false">IF(OR(B143="",N(O143)=0),"",N(O143)+ROUND(MIN(N(N143),TOPE_UF*UF_MES)*(TASA_EMP+MUTUAL),0)+ROUND(MIN(N(N143),TOPE_AFC_UF*UF_MES)*IF(S143="Indefinido",AFC_INDEF,AFC_PF),0))</f>
        <v/>
      </c>
      <c r="U143" s="62" t="str">
        <f aca="false">IF(C143="","",IF(LEFT(D143,1)="⚠","⚠ RUT no registrado en Trabajadores",IF(B143="","⚠ Falta el mes",IF(OR(ISTEXT(I143),ISTEXT(J143)),"⚠ Atrasos u horas extra como texto: escriba hh:mm (ej. 1:30)",IF(AND(ISNUMBER(Q143),COUNTIFS(M_RUTN,V143,M_MES,B143,M_LIQ,"&lt;&gt;")&gt;1),"⚠ Liquidación repetida en el mes",IF(AND(ISNUMBER(O143),ISNUMBER(P143),ISNUMBER(Q143),ABS(O143-P143-Q143)&gt;1),"⚠ Haberes − descuentos no da el líquido","OK"))))))</f>
        <v/>
      </c>
      <c r="V143" s="62" t="str">
        <f aca="false">IF(C143="","",IFERROR(VALUE(LEFT(UPPER(SUBSTITUTE(SUBSTITUTE(SUBSTITUTE(TRIM(C143),".",""),"-","")," ","")),LEN(UPPER(SUBSTITUTE(SUBSTITUTE(SUBSTITUTE(TRIM(C143),".",""),"-","")," ","")))-1))&amp;RIGHT(UPPER(SUBSTITUTE(SUBSTITUTE(SUBSTITUTE(TRIM(C143),".",""),"-","")," ","")),1),UPPER(SUBSTITUTE(SUBSTITUTE(SUBSTITUTE(TRIM(C143),".",""),"-","")," ",""))))</f>
        <v/>
      </c>
    </row>
    <row r="144" customFormat="false" ht="15" hidden="false" customHeight="false" outlineLevel="0" collapsed="false">
      <c r="B144" s="80"/>
      <c r="C144" s="58"/>
      <c r="D144" s="62" t="str">
        <f aca="false">IF(C144="","",IFERROR(INDEX(T_NOMBRE,MATCH(V144,T_RUTN,0)),"⚠ RUT no está en Trabajadores"))</f>
        <v/>
      </c>
      <c r="E144" s="61"/>
      <c r="F144" s="61"/>
      <c r="G144" s="61"/>
      <c r="H144" s="61"/>
      <c r="I144" s="81"/>
      <c r="J144" s="81"/>
      <c r="K144" s="60"/>
      <c r="L144" s="60"/>
      <c r="M144" s="60"/>
      <c r="N144" s="60"/>
      <c r="O144" s="60"/>
      <c r="P144" s="60"/>
      <c r="Q144" s="60"/>
      <c r="R144" s="58"/>
      <c r="S144" s="62" t="str">
        <f aca="false">IF(OR(B144="",V144=""),"",IFERROR(INDEX(C_TIPO,MATCH(V144&amp;"-P"&amp;MAX(1,COUNTIFS(C_RUTN,V144,C_DEF,"Sí",C_INI,"&lt;="&amp;EOMONTH(B144,0))),C_CLAVE,0))&amp;"","Sin contrato"))</f>
        <v/>
      </c>
      <c r="T144" s="63" t="str">
        <f aca="false">IF(OR(B144="",N(O144)=0),"",N(O144)+ROUND(MIN(N(N144),TOPE_UF*UF_MES)*(TASA_EMP+MUTUAL),0)+ROUND(MIN(N(N144),TOPE_AFC_UF*UF_MES)*IF(S144="Indefinido",AFC_INDEF,AFC_PF),0))</f>
        <v/>
      </c>
      <c r="U144" s="62" t="str">
        <f aca="false">IF(C144="","",IF(LEFT(D144,1)="⚠","⚠ RUT no registrado en Trabajadores",IF(B144="","⚠ Falta el mes",IF(OR(ISTEXT(I144),ISTEXT(J144)),"⚠ Atrasos u horas extra como texto: escriba hh:mm (ej. 1:30)",IF(AND(ISNUMBER(Q144),COUNTIFS(M_RUTN,V144,M_MES,B144,M_LIQ,"&lt;&gt;")&gt;1),"⚠ Liquidación repetida en el mes",IF(AND(ISNUMBER(O144),ISNUMBER(P144),ISNUMBER(Q144),ABS(O144-P144-Q144)&gt;1),"⚠ Haberes − descuentos no da el líquido","OK"))))))</f>
        <v/>
      </c>
      <c r="V144" s="62" t="str">
        <f aca="false">IF(C144="","",IFERROR(VALUE(LEFT(UPPER(SUBSTITUTE(SUBSTITUTE(SUBSTITUTE(TRIM(C144),".",""),"-","")," ","")),LEN(UPPER(SUBSTITUTE(SUBSTITUTE(SUBSTITUTE(TRIM(C144),".",""),"-","")," ","")))-1))&amp;RIGHT(UPPER(SUBSTITUTE(SUBSTITUTE(SUBSTITUTE(TRIM(C144),".",""),"-","")," ","")),1),UPPER(SUBSTITUTE(SUBSTITUTE(SUBSTITUTE(TRIM(C144),".",""),"-","")," ",""))))</f>
        <v/>
      </c>
    </row>
    <row r="145" customFormat="false" ht="15" hidden="false" customHeight="false" outlineLevel="0" collapsed="false">
      <c r="B145" s="80"/>
      <c r="C145" s="58"/>
      <c r="D145" s="62" t="str">
        <f aca="false">IF(C145="","",IFERROR(INDEX(T_NOMBRE,MATCH(V145,T_RUTN,0)),"⚠ RUT no está en Trabajadores"))</f>
        <v/>
      </c>
      <c r="E145" s="61"/>
      <c r="F145" s="61"/>
      <c r="G145" s="61"/>
      <c r="H145" s="61"/>
      <c r="I145" s="81"/>
      <c r="J145" s="81"/>
      <c r="K145" s="60"/>
      <c r="L145" s="60"/>
      <c r="M145" s="60"/>
      <c r="N145" s="60"/>
      <c r="O145" s="60"/>
      <c r="P145" s="60"/>
      <c r="Q145" s="60"/>
      <c r="R145" s="58"/>
      <c r="S145" s="62" t="str">
        <f aca="false">IF(OR(B145="",V145=""),"",IFERROR(INDEX(C_TIPO,MATCH(V145&amp;"-P"&amp;MAX(1,COUNTIFS(C_RUTN,V145,C_DEF,"Sí",C_INI,"&lt;="&amp;EOMONTH(B145,0))),C_CLAVE,0))&amp;"","Sin contrato"))</f>
        <v/>
      </c>
      <c r="T145" s="63" t="str">
        <f aca="false">IF(OR(B145="",N(O145)=0),"",N(O145)+ROUND(MIN(N(N145),TOPE_UF*UF_MES)*(TASA_EMP+MUTUAL),0)+ROUND(MIN(N(N145),TOPE_AFC_UF*UF_MES)*IF(S145="Indefinido",AFC_INDEF,AFC_PF),0))</f>
        <v/>
      </c>
      <c r="U145" s="62" t="str">
        <f aca="false">IF(C145="","",IF(LEFT(D145,1)="⚠","⚠ RUT no registrado en Trabajadores",IF(B145="","⚠ Falta el mes",IF(OR(ISTEXT(I145),ISTEXT(J145)),"⚠ Atrasos u horas extra como texto: escriba hh:mm (ej. 1:30)",IF(AND(ISNUMBER(Q145),COUNTIFS(M_RUTN,V145,M_MES,B145,M_LIQ,"&lt;&gt;")&gt;1),"⚠ Liquidación repetida en el mes",IF(AND(ISNUMBER(O145),ISNUMBER(P145),ISNUMBER(Q145),ABS(O145-P145-Q145)&gt;1),"⚠ Haberes − descuentos no da el líquido","OK"))))))</f>
        <v/>
      </c>
      <c r="V145" s="62" t="str">
        <f aca="false">IF(C145="","",IFERROR(VALUE(LEFT(UPPER(SUBSTITUTE(SUBSTITUTE(SUBSTITUTE(TRIM(C145),".",""),"-","")," ","")),LEN(UPPER(SUBSTITUTE(SUBSTITUTE(SUBSTITUTE(TRIM(C145),".",""),"-","")," ","")))-1))&amp;RIGHT(UPPER(SUBSTITUTE(SUBSTITUTE(SUBSTITUTE(TRIM(C145),".",""),"-","")," ","")),1),UPPER(SUBSTITUTE(SUBSTITUTE(SUBSTITUTE(TRIM(C145),".",""),"-","")," ",""))))</f>
        <v/>
      </c>
    </row>
    <row r="146" customFormat="false" ht="15" hidden="false" customHeight="false" outlineLevel="0" collapsed="false">
      <c r="B146" s="80"/>
      <c r="C146" s="58"/>
      <c r="D146" s="62" t="str">
        <f aca="false">IF(C146="","",IFERROR(INDEX(T_NOMBRE,MATCH(V146,T_RUTN,0)),"⚠ RUT no está en Trabajadores"))</f>
        <v/>
      </c>
      <c r="E146" s="61"/>
      <c r="F146" s="61"/>
      <c r="G146" s="61"/>
      <c r="H146" s="61"/>
      <c r="I146" s="81"/>
      <c r="J146" s="81"/>
      <c r="K146" s="60"/>
      <c r="L146" s="60"/>
      <c r="M146" s="60"/>
      <c r="N146" s="60"/>
      <c r="O146" s="60"/>
      <c r="P146" s="60"/>
      <c r="Q146" s="60"/>
      <c r="R146" s="58"/>
      <c r="S146" s="62" t="str">
        <f aca="false">IF(OR(B146="",V146=""),"",IFERROR(INDEX(C_TIPO,MATCH(V146&amp;"-P"&amp;MAX(1,COUNTIFS(C_RUTN,V146,C_DEF,"Sí",C_INI,"&lt;="&amp;EOMONTH(B146,0))),C_CLAVE,0))&amp;"","Sin contrato"))</f>
        <v/>
      </c>
      <c r="T146" s="63" t="str">
        <f aca="false">IF(OR(B146="",N(O146)=0),"",N(O146)+ROUND(MIN(N(N146),TOPE_UF*UF_MES)*(TASA_EMP+MUTUAL),0)+ROUND(MIN(N(N146),TOPE_AFC_UF*UF_MES)*IF(S146="Indefinido",AFC_INDEF,AFC_PF),0))</f>
        <v/>
      </c>
      <c r="U146" s="62" t="str">
        <f aca="false">IF(C146="","",IF(LEFT(D146,1)="⚠","⚠ RUT no registrado en Trabajadores",IF(B146="","⚠ Falta el mes",IF(OR(ISTEXT(I146),ISTEXT(J146)),"⚠ Atrasos u horas extra como texto: escriba hh:mm (ej. 1:30)",IF(AND(ISNUMBER(Q146),COUNTIFS(M_RUTN,V146,M_MES,B146,M_LIQ,"&lt;&gt;")&gt;1),"⚠ Liquidación repetida en el mes",IF(AND(ISNUMBER(O146),ISNUMBER(P146),ISNUMBER(Q146),ABS(O146-P146-Q146)&gt;1),"⚠ Haberes − descuentos no da el líquido","OK"))))))</f>
        <v/>
      </c>
      <c r="V146" s="62" t="str">
        <f aca="false">IF(C146="","",IFERROR(VALUE(LEFT(UPPER(SUBSTITUTE(SUBSTITUTE(SUBSTITUTE(TRIM(C146),".",""),"-","")," ","")),LEN(UPPER(SUBSTITUTE(SUBSTITUTE(SUBSTITUTE(TRIM(C146),".",""),"-","")," ","")))-1))&amp;RIGHT(UPPER(SUBSTITUTE(SUBSTITUTE(SUBSTITUTE(TRIM(C146),".",""),"-","")," ","")),1),UPPER(SUBSTITUTE(SUBSTITUTE(SUBSTITUTE(TRIM(C146),".",""),"-","")," ",""))))</f>
        <v/>
      </c>
    </row>
    <row r="147" customFormat="false" ht="15" hidden="false" customHeight="false" outlineLevel="0" collapsed="false">
      <c r="B147" s="80"/>
      <c r="C147" s="58"/>
      <c r="D147" s="62" t="str">
        <f aca="false">IF(C147="","",IFERROR(INDEX(T_NOMBRE,MATCH(V147,T_RUTN,0)),"⚠ RUT no está en Trabajadores"))</f>
        <v/>
      </c>
      <c r="E147" s="61"/>
      <c r="F147" s="61"/>
      <c r="G147" s="61"/>
      <c r="H147" s="61"/>
      <c r="I147" s="81"/>
      <c r="J147" s="81"/>
      <c r="K147" s="60"/>
      <c r="L147" s="60"/>
      <c r="M147" s="60"/>
      <c r="N147" s="60"/>
      <c r="O147" s="60"/>
      <c r="P147" s="60"/>
      <c r="Q147" s="60"/>
      <c r="R147" s="58"/>
      <c r="S147" s="62" t="str">
        <f aca="false">IF(OR(B147="",V147=""),"",IFERROR(INDEX(C_TIPO,MATCH(V147&amp;"-P"&amp;MAX(1,COUNTIFS(C_RUTN,V147,C_DEF,"Sí",C_INI,"&lt;="&amp;EOMONTH(B147,0))),C_CLAVE,0))&amp;"","Sin contrato"))</f>
        <v/>
      </c>
      <c r="T147" s="63" t="str">
        <f aca="false">IF(OR(B147="",N(O147)=0),"",N(O147)+ROUND(MIN(N(N147),TOPE_UF*UF_MES)*(TASA_EMP+MUTUAL),0)+ROUND(MIN(N(N147),TOPE_AFC_UF*UF_MES)*IF(S147="Indefinido",AFC_INDEF,AFC_PF),0))</f>
        <v/>
      </c>
      <c r="U147" s="62" t="str">
        <f aca="false">IF(C147="","",IF(LEFT(D147,1)="⚠","⚠ RUT no registrado en Trabajadores",IF(B147="","⚠ Falta el mes",IF(OR(ISTEXT(I147),ISTEXT(J147)),"⚠ Atrasos u horas extra como texto: escriba hh:mm (ej. 1:30)",IF(AND(ISNUMBER(Q147),COUNTIFS(M_RUTN,V147,M_MES,B147,M_LIQ,"&lt;&gt;")&gt;1),"⚠ Liquidación repetida en el mes",IF(AND(ISNUMBER(O147),ISNUMBER(P147),ISNUMBER(Q147),ABS(O147-P147-Q147)&gt;1),"⚠ Haberes − descuentos no da el líquido","OK"))))))</f>
        <v/>
      </c>
      <c r="V147" s="62" t="str">
        <f aca="false">IF(C147="","",IFERROR(VALUE(LEFT(UPPER(SUBSTITUTE(SUBSTITUTE(SUBSTITUTE(TRIM(C147),".",""),"-","")," ","")),LEN(UPPER(SUBSTITUTE(SUBSTITUTE(SUBSTITUTE(TRIM(C147),".",""),"-","")," ","")))-1))&amp;RIGHT(UPPER(SUBSTITUTE(SUBSTITUTE(SUBSTITUTE(TRIM(C147),".",""),"-","")," ","")),1),UPPER(SUBSTITUTE(SUBSTITUTE(SUBSTITUTE(TRIM(C147),".",""),"-","")," ",""))))</f>
        <v/>
      </c>
    </row>
    <row r="148" customFormat="false" ht="15" hidden="false" customHeight="false" outlineLevel="0" collapsed="false">
      <c r="B148" s="80"/>
      <c r="C148" s="58"/>
      <c r="D148" s="62" t="str">
        <f aca="false">IF(C148="","",IFERROR(INDEX(T_NOMBRE,MATCH(V148,T_RUTN,0)),"⚠ RUT no está en Trabajadores"))</f>
        <v/>
      </c>
      <c r="E148" s="61"/>
      <c r="F148" s="61"/>
      <c r="G148" s="61"/>
      <c r="H148" s="61"/>
      <c r="I148" s="81"/>
      <c r="J148" s="81"/>
      <c r="K148" s="60"/>
      <c r="L148" s="60"/>
      <c r="M148" s="60"/>
      <c r="N148" s="60"/>
      <c r="O148" s="60"/>
      <c r="P148" s="60"/>
      <c r="Q148" s="60"/>
      <c r="R148" s="58"/>
      <c r="S148" s="62" t="str">
        <f aca="false">IF(OR(B148="",V148=""),"",IFERROR(INDEX(C_TIPO,MATCH(V148&amp;"-P"&amp;MAX(1,COUNTIFS(C_RUTN,V148,C_DEF,"Sí",C_INI,"&lt;="&amp;EOMONTH(B148,0))),C_CLAVE,0))&amp;"","Sin contrato"))</f>
        <v/>
      </c>
      <c r="T148" s="63" t="str">
        <f aca="false">IF(OR(B148="",N(O148)=0),"",N(O148)+ROUND(MIN(N(N148),TOPE_UF*UF_MES)*(TASA_EMP+MUTUAL),0)+ROUND(MIN(N(N148),TOPE_AFC_UF*UF_MES)*IF(S148="Indefinido",AFC_INDEF,AFC_PF),0))</f>
        <v/>
      </c>
      <c r="U148" s="62" t="str">
        <f aca="false">IF(C148="","",IF(LEFT(D148,1)="⚠","⚠ RUT no registrado en Trabajadores",IF(B148="","⚠ Falta el mes",IF(OR(ISTEXT(I148),ISTEXT(J148)),"⚠ Atrasos u horas extra como texto: escriba hh:mm (ej. 1:30)",IF(AND(ISNUMBER(Q148),COUNTIFS(M_RUTN,V148,M_MES,B148,M_LIQ,"&lt;&gt;")&gt;1),"⚠ Liquidación repetida en el mes",IF(AND(ISNUMBER(O148),ISNUMBER(P148),ISNUMBER(Q148),ABS(O148-P148-Q148)&gt;1),"⚠ Haberes − descuentos no da el líquido","OK"))))))</f>
        <v/>
      </c>
      <c r="V148" s="62" t="str">
        <f aca="false">IF(C148="","",IFERROR(VALUE(LEFT(UPPER(SUBSTITUTE(SUBSTITUTE(SUBSTITUTE(TRIM(C148),".",""),"-","")," ","")),LEN(UPPER(SUBSTITUTE(SUBSTITUTE(SUBSTITUTE(TRIM(C148),".",""),"-","")," ","")))-1))&amp;RIGHT(UPPER(SUBSTITUTE(SUBSTITUTE(SUBSTITUTE(TRIM(C148),".",""),"-","")," ","")),1),UPPER(SUBSTITUTE(SUBSTITUTE(SUBSTITUTE(TRIM(C148),".",""),"-","")," ",""))))</f>
        <v/>
      </c>
    </row>
    <row r="149" customFormat="false" ht="15" hidden="false" customHeight="false" outlineLevel="0" collapsed="false">
      <c r="B149" s="80"/>
      <c r="C149" s="58"/>
      <c r="D149" s="62" t="str">
        <f aca="false">IF(C149="","",IFERROR(INDEX(T_NOMBRE,MATCH(V149,T_RUTN,0)),"⚠ RUT no está en Trabajadores"))</f>
        <v/>
      </c>
      <c r="E149" s="61"/>
      <c r="F149" s="61"/>
      <c r="G149" s="61"/>
      <c r="H149" s="61"/>
      <c r="I149" s="81"/>
      <c r="J149" s="81"/>
      <c r="K149" s="60"/>
      <c r="L149" s="60"/>
      <c r="M149" s="60"/>
      <c r="N149" s="60"/>
      <c r="O149" s="60"/>
      <c r="P149" s="60"/>
      <c r="Q149" s="60"/>
      <c r="R149" s="58"/>
      <c r="S149" s="62" t="str">
        <f aca="false">IF(OR(B149="",V149=""),"",IFERROR(INDEX(C_TIPO,MATCH(V149&amp;"-P"&amp;MAX(1,COUNTIFS(C_RUTN,V149,C_DEF,"Sí",C_INI,"&lt;="&amp;EOMONTH(B149,0))),C_CLAVE,0))&amp;"","Sin contrato"))</f>
        <v/>
      </c>
      <c r="T149" s="63" t="str">
        <f aca="false">IF(OR(B149="",N(O149)=0),"",N(O149)+ROUND(MIN(N(N149),TOPE_UF*UF_MES)*(TASA_EMP+MUTUAL),0)+ROUND(MIN(N(N149),TOPE_AFC_UF*UF_MES)*IF(S149="Indefinido",AFC_INDEF,AFC_PF),0))</f>
        <v/>
      </c>
      <c r="U149" s="62" t="str">
        <f aca="false">IF(C149="","",IF(LEFT(D149,1)="⚠","⚠ RUT no registrado en Trabajadores",IF(B149="","⚠ Falta el mes",IF(OR(ISTEXT(I149),ISTEXT(J149)),"⚠ Atrasos u horas extra como texto: escriba hh:mm (ej. 1:30)",IF(AND(ISNUMBER(Q149),COUNTIFS(M_RUTN,V149,M_MES,B149,M_LIQ,"&lt;&gt;")&gt;1),"⚠ Liquidación repetida en el mes",IF(AND(ISNUMBER(O149),ISNUMBER(P149),ISNUMBER(Q149),ABS(O149-P149-Q149)&gt;1),"⚠ Haberes − descuentos no da el líquido","OK"))))))</f>
        <v/>
      </c>
      <c r="V149" s="62" t="str">
        <f aca="false">IF(C149="","",IFERROR(VALUE(LEFT(UPPER(SUBSTITUTE(SUBSTITUTE(SUBSTITUTE(TRIM(C149),".",""),"-","")," ","")),LEN(UPPER(SUBSTITUTE(SUBSTITUTE(SUBSTITUTE(TRIM(C149),".",""),"-","")," ","")))-1))&amp;RIGHT(UPPER(SUBSTITUTE(SUBSTITUTE(SUBSTITUTE(TRIM(C149),".",""),"-","")," ","")),1),UPPER(SUBSTITUTE(SUBSTITUTE(SUBSTITUTE(TRIM(C149),".",""),"-","")," ",""))))</f>
        <v/>
      </c>
    </row>
    <row r="150" customFormat="false" ht="15" hidden="false" customHeight="false" outlineLevel="0" collapsed="false">
      <c r="B150" s="80"/>
      <c r="C150" s="58"/>
      <c r="D150" s="62" t="str">
        <f aca="false">IF(C150="","",IFERROR(INDEX(T_NOMBRE,MATCH(V150,T_RUTN,0)),"⚠ RUT no está en Trabajadores"))</f>
        <v/>
      </c>
      <c r="E150" s="61"/>
      <c r="F150" s="61"/>
      <c r="G150" s="61"/>
      <c r="H150" s="61"/>
      <c r="I150" s="81"/>
      <c r="J150" s="81"/>
      <c r="K150" s="60"/>
      <c r="L150" s="60"/>
      <c r="M150" s="60"/>
      <c r="N150" s="60"/>
      <c r="O150" s="60"/>
      <c r="P150" s="60"/>
      <c r="Q150" s="60"/>
      <c r="R150" s="58"/>
      <c r="S150" s="62" t="str">
        <f aca="false">IF(OR(B150="",V150=""),"",IFERROR(INDEX(C_TIPO,MATCH(V150&amp;"-P"&amp;MAX(1,COUNTIFS(C_RUTN,V150,C_DEF,"Sí",C_INI,"&lt;="&amp;EOMONTH(B150,0))),C_CLAVE,0))&amp;"","Sin contrato"))</f>
        <v/>
      </c>
      <c r="T150" s="63" t="str">
        <f aca="false">IF(OR(B150="",N(O150)=0),"",N(O150)+ROUND(MIN(N(N150),TOPE_UF*UF_MES)*(TASA_EMP+MUTUAL),0)+ROUND(MIN(N(N150),TOPE_AFC_UF*UF_MES)*IF(S150="Indefinido",AFC_INDEF,AFC_PF),0))</f>
        <v/>
      </c>
      <c r="U150" s="62" t="str">
        <f aca="false">IF(C150="","",IF(LEFT(D150,1)="⚠","⚠ RUT no registrado en Trabajadores",IF(B150="","⚠ Falta el mes",IF(OR(ISTEXT(I150),ISTEXT(J150)),"⚠ Atrasos u horas extra como texto: escriba hh:mm (ej. 1:30)",IF(AND(ISNUMBER(Q150),COUNTIFS(M_RUTN,V150,M_MES,B150,M_LIQ,"&lt;&gt;")&gt;1),"⚠ Liquidación repetida en el mes",IF(AND(ISNUMBER(O150),ISNUMBER(P150),ISNUMBER(Q150),ABS(O150-P150-Q150)&gt;1),"⚠ Haberes − descuentos no da el líquido","OK"))))))</f>
        <v/>
      </c>
      <c r="V150" s="62" t="str">
        <f aca="false">IF(C150="","",IFERROR(VALUE(LEFT(UPPER(SUBSTITUTE(SUBSTITUTE(SUBSTITUTE(TRIM(C150),".",""),"-","")," ","")),LEN(UPPER(SUBSTITUTE(SUBSTITUTE(SUBSTITUTE(TRIM(C150),".",""),"-","")," ","")))-1))&amp;RIGHT(UPPER(SUBSTITUTE(SUBSTITUTE(SUBSTITUTE(TRIM(C150),".",""),"-","")," ","")),1),UPPER(SUBSTITUTE(SUBSTITUTE(SUBSTITUTE(TRIM(C150),".",""),"-","")," ",""))))</f>
        <v/>
      </c>
    </row>
    <row r="151" customFormat="false" ht="15" hidden="false" customHeight="false" outlineLevel="0" collapsed="false">
      <c r="B151" s="80"/>
      <c r="C151" s="58"/>
      <c r="D151" s="62" t="str">
        <f aca="false">IF(C151="","",IFERROR(INDEX(T_NOMBRE,MATCH(V151,T_RUTN,0)),"⚠ RUT no está en Trabajadores"))</f>
        <v/>
      </c>
      <c r="E151" s="61"/>
      <c r="F151" s="61"/>
      <c r="G151" s="61"/>
      <c r="H151" s="61"/>
      <c r="I151" s="81"/>
      <c r="J151" s="81"/>
      <c r="K151" s="60"/>
      <c r="L151" s="60"/>
      <c r="M151" s="60"/>
      <c r="N151" s="60"/>
      <c r="O151" s="60"/>
      <c r="P151" s="60"/>
      <c r="Q151" s="60"/>
      <c r="R151" s="58"/>
      <c r="S151" s="62" t="str">
        <f aca="false">IF(OR(B151="",V151=""),"",IFERROR(INDEX(C_TIPO,MATCH(V151&amp;"-P"&amp;MAX(1,COUNTIFS(C_RUTN,V151,C_DEF,"Sí",C_INI,"&lt;="&amp;EOMONTH(B151,0))),C_CLAVE,0))&amp;"","Sin contrato"))</f>
        <v/>
      </c>
      <c r="T151" s="63" t="str">
        <f aca="false">IF(OR(B151="",N(O151)=0),"",N(O151)+ROUND(MIN(N(N151),TOPE_UF*UF_MES)*(TASA_EMP+MUTUAL),0)+ROUND(MIN(N(N151),TOPE_AFC_UF*UF_MES)*IF(S151="Indefinido",AFC_INDEF,AFC_PF),0))</f>
        <v/>
      </c>
      <c r="U151" s="62" t="str">
        <f aca="false">IF(C151="","",IF(LEFT(D151,1)="⚠","⚠ RUT no registrado en Trabajadores",IF(B151="","⚠ Falta el mes",IF(OR(ISTEXT(I151),ISTEXT(J151)),"⚠ Atrasos u horas extra como texto: escriba hh:mm (ej. 1:30)",IF(AND(ISNUMBER(Q151),COUNTIFS(M_RUTN,V151,M_MES,B151,M_LIQ,"&lt;&gt;")&gt;1),"⚠ Liquidación repetida en el mes",IF(AND(ISNUMBER(O151),ISNUMBER(P151),ISNUMBER(Q151),ABS(O151-P151-Q151)&gt;1),"⚠ Haberes − descuentos no da el líquido","OK"))))))</f>
        <v/>
      </c>
      <c r="V151" s="62" t="str">
        <f aca="false">IF(C151="","",IFERROR(VALUE(LEFT(UPPER(SUBSTITUTE(SUBSTITUTE(SUBSTITUTE(TRIM(C151),".",""),"-","")," ","")),LEN(UPPER(SUBSTITUTE(SUBSTITUTE(SUBSTITUTE(TRIM(C151),".",""),"-","")," ","")))-1))&amp;RIGHT(UPPER(SUBSTITUTE(SUBSTITUTE(SUBSTITUTE(TRIM(C151),".",""),"-","")," ","")),1),UPPER(SUBSTITUTE(SUBSTITUTE(SUBSTITUTE(TRIM(C151),".",""),"-","")," ",""))))</f>
        <v/>
      </c>
    </row>
    <row r="152" customFormat="false" ht="15" hidden="false" customHeight="false" outlineLevel="0" collapsed="false">
      <c r="B152" s="80"/>
      <c r="C152" s="58"/>
      <c r="D152" s="62" t="str">
        <f aca="false">IF(C152="","",IFERROR(INDEX(T_NOMBRE,MATCH(V152,T_RUTN,0)),"⚠ RUT no está en Trabajadores"))</f>
        <v/>
      </c>
      <c r="E152" s="61"/>
      <c r="F152" s="61"/>
      <c r="G152" s="61"/>
      <c r="H152" s="61"/>
      <c r="I152" s="81"/>
      <c r="J152" s="81"/>
      <c r="K152" s="60"/>
      <c r="L152" s="60"/>
      <c r="M152" s="60"/>
      <c r="N152" s="60"/>
      <c r="O152" s="60"/>
      <c r="P152" s="60"/>
      <c r="Q152" s="60"/>
      <c r="R152" s="58"/>
      <c r="S152" s="62" t="str">
        <f aca="false">IF(OR(B152="",V152=""),"",IFERROR(INDEX(C_TIPO,MATCH(V152&amp;"-P"&amp;MAX(1,COUNTIFS(C_RUTN,V152,C_DEF,"Sí",C_INI,"&lt;="&amp;EOMONTH(B152,0))),C_CLAVE,0))&amp;"","Sin contrato"))</f>
        <v/>
      </c>
      <c r="T152" s="63" t="str">
        <f aca="false">IF(OR(B152="",N(O152)=0),"",N(O152)+ROUND(MIN(N(N152),TOPE_UF*UF_MES)*(TASA_EMP+MUTUAL),0)+ROUND(MIN(N(N152),TOPE_AFC_UF*UF_MES)*IF(S152="Indefinido",AFC_INDEF,AFC_PF),0))</f>
        <v/>
      </c>
      <c r="U152" s="62" t="str">
        <f aca="false">IF(C152="","",IF(LEFT(D152,1)="⚠","⚠ RUT no registrado en Trabajadores",IF(B152="","⚠ Falta el mes",IF(OR(ISTEXT(I152),ISTEXT(J152)),"⚠ Atrasos u horas extra como texto: escriba hh:mm (ej. 1:30)",IF(AND(ISNUMBER(Q152),COUNTIFS(M_RUTN,V152,M_MES,B152,M_LIQ,"&lt;&gt;")&gt;1),"⚠ Liquidación repetida en el mes",IF(AND(ISNUMBER(O152),ISNUMBER(P152),ISNUMBER(Q152),ABS(O152-P152-Q152)&gt;1),"⚠ Haberes − descuentos no da el líquido","OK"))))))</f>
        <v/>
      </c>
      <c r="V152" s="62" t="str">
        <f aca="false">IF(C152="","",IFERROR(VALUE(LEFT(UPPER(SUBSTITUTE(SUBSTITUTE(SUBSTITUTE(TRIM(C152),".",""),"-","")," ","")),LEN(UPPER(SUBSTITUTE(SUBSTITUTE(SUBSTITUTE(TRIM(C152),".",""),"-","")," ","")))-1))&amp;RIGHT(UPPER(SUBSTITUTE(SUBSTITUTE(SUBSTITUTE(TRIM(C152),".",""),"-","")," ","")),1),UPPER(SUBSTITUTE(SUBSTITUTE(SUBSTITUTE(TRIM(C152),".",""),"-","")," ",""))))</f>
        <v/>
      </c>
    </row>
    <row r="153" customFormat="false" ht="15" hidden="false" customHeight="false" outlineLevel="0" collapsed="false">
      <c r="B153" s="80"/>
      <c r="C153" s="58"/>
      <c r="D153" s="62" t="str">
        <f aca="false">IF(C153="","",IFERROR(INDEX(T_NOMBRE,MATCH(V153,T_RUTN,0)),"⚠ RUT no está en Trabajadores"))</f>
        <v/>
      </c>
      <c r="E153" s="61"/>
      <c r="F153" s="61"/>
      <c r="G153" s="61"/>
      <c r="H153" s="61"/>
      <c r="I153" s="81"/>
      <c r="J153" s="81"/>
      <c r="K153" s="60"/>
      <c r="L153" s="60"/>
      <c r="M153" s="60"/>
      <c r="N153" s="60"/>
      <c r="O153" s="60"/>
      <c r="P153" s="60"/>
      <c r="Q153" s="60"/>
      <c r="R153" s="58"/>
      <c r="S153" s="62" t="str">
        <f aca="false">IF(OR(B153="",V153=""),"",IFERROR(INDEX(C_TIPO,MATCH(V153&amp;"-P"&amp;MAX(1,COUNTIFS(C_RUTN,V153,C_DEF,"Sí",C_INI,"&lt;="&amp;EOMONTH(B153,0))),C_CLAVE,0))&amp;"","Sin contrato"))</f>
        <v/>
      </c>
      <c r="T153" s="63" t="str">
        <f aca="false">IF(OR(B153="",N(O153)=0),"",N(O153)+ROUND(MIN(N(N153),TOPE_UF*UF_MES)*(TASA_EMP+MUTUAL),0)+ROUND(MIN(N(N153),TOPE_AFC_UF*UF_MES)*IF(S153="Indefinido",AFC_INDEF,AFC_PF),0))</f>
        <v/>
      </c>
      <c r="U153" s="62" t="str">
        <f aca="false">IF(C153="","",IF(LEFT(D153,1)="⚠","⚠ RUT no registrado en Trabajadores",IF(B153="","⚠ Falta el mes",IF(OR(ISTEXT(I153),ISTEXT(J153)),"⚠ Atrasos u horas extra como texto: escriba hh:mm (ej. 1:30)",IF(AND(ISNUMBER(Q153),COUNTIFS(M_RUTN,V153,M_MES,B153,M_LIQ,"&lt;&gt;")&gt;1),"⚠ Liquidación repetida en el mes",IF(AND(ISNUMBER(O153),ISNUMBER(P153),ISNUMBER(Q153),ABS(O153-P153-Q153)&gt;1),"⚠ Haberes − descuentos no da el líquido","OK"))))))</f>
        <v/>
      </c>
      <c r="V153" s="62" t="str">
        <f aca="false">IF(C153="","",IFERROR(VALUE(LEFT(UPPER(SUBSTITUTE(SUBSTITUTE(SUBSTITUTE(TRIM(C153),".",""),"-","")," ","")),LEN(UPPER(SUBSTITUTE(SUBSTITUTE(SUBSTITUTE(TRIM(C153),".",""),"-","")," ","")))-1))&amp;RIGHT(UPPER(SUBSTITUTE(SUBSTITUTE(SUBSTITUTE(TRIM(C153),".",""),"-","")," ","")),1),UPPER(SUBSTITUTE(SUBSTITUTE(SUBSTITUTE(TRIM(C153),".",""),"-","")," ",""))))</f>
        <v/>
      </c>
    </row>
    <row r="154" customFormat="false" ht="15" hidden="false" customHeight="false" outlineLevel="0" collapsed="false">
      <c r="B154" s="80"/>
      <c r="C154" s="58"/>
      <c r="D154" s="62" t="str">
        <f aca="false">IF(C154="","",IFERROR(INDEX(T_NOMBRE,MATCH(V154,T_RUTN,0)),"⚠ RUT no está en Trabajadores"))</f>
        <v/>
      </c>
      <c r="E154" s="61"/>
      <c r="F154" s="61"/>
      <c r="G154" s="61"/>
      <c r="H154" s="61"/>
      <c r="I154" s="81"/>
      <c r="J154" s="81"/>
      <c r="K154" s="60"/>
      <c r="L154" s="60"/>
      <c r="M154" s="60"/>
      <c r="N154" s="60"/>
      <c r="O154" s="60"/>
      <c r="P154" s="60"/>
      <c r="Q154" s="60"/>
      <c r="R154" s="58"/>
      <c r="S154" s="62" t="str">
        <f aca="false">IF(OR(B154="",V154=""),"",IFERROR(INDEX(C_TIPO,MATCH(V154&amp;"-P"&amp;MAX(1,COUNTIFS(C_RUTN,V154,C_DEF,"Sí",C_INI,"&lt;="&amp;EOMONTH(B154,0))),C_CLAVE,0))&amp;"","Sin contrato"))</f>
        <v/>
      </c>
      <c r="T154" s="63" t="str">
        <f aca="false">IF(OR(B154="",N(O154)=0),"",N(O154)+ROUND(MIN(N(N154),TOPE_UF*UF_MES)*(TASA_EMP+MUTUAL),0)+ROUND(MIN(N(N154),TOPE_AFC_UF*UF_MES)*IF(S154="Indefinido",AFC_INDEF,AFC_PF),0))</f>
        <v/>
      </c>
      <c r="U154" s="62" t="str">
        <f aca="false">IF(C154="","",IF(LEFT(D154,1)="⚠","⚠ RUT no registrado en Trabajadores",IF(B154="","⚠ Falta el mes",IF(OR(ISTEXT(I154),ISTEXT(J154)),"⚠ Atrasos u horas extra como texto: escriba hh:mm (ej. 1:30)",IF(AND(ISNUMBER(Q154),COUNTIFS(M_RUTN,V154,M_MES,B154,M_LIQ,"&lt;&gt;")&gt;1),"⚠ Liquidación repetida en el mes",IF(AND(ISNUMBER(O154),ISNUMBER(P154),ISNUMBER(Q154),ABS(O154-P154-Q154)&gt;1),"⚠ Haberes − descuentos no da el líquido","OK"))))))</f>
        <v/>
      </c>
      <c r="V154" s="62" t="str">
        <f aca="false">IF(C154="","",IFERROR(VALUE(LEFT(UPPER(SUBSTITUTE(SUBSTITUTE(SUBSTITUTE(TRIM(C154),".",""),"-","")," ","")),LEN(UPPER(SUBSTITUTE(SUBSTITUTE(SUBSTITUTE(TRIM(C154),".",""),"-","")," ","")))-1))&amp;RIGHT(UPPER(SUBSTITUTE(SUBSTITUTE(SUBSTITUTE(TRIM(C154),".",""),"-","")," ","")),1),UPPER(SUBSTITUTE(SUBSTITUTE(SUBSTITUTE(TRIM(C154),".",""),"-","")," ",""))))</f>
        <v/>
      </c>
    </row>
    <row r="155" customFormat="false" ht="15" hidden="false" customHeight="false" outlineLevel="0" collapsed="false">
      <c r="B155" s="80"/>
      <c r="C155" s="58"/>
      <c r="D155" s="62" t="str">
        <f aca="false">IF(C155="","",IFERROR(INDEX(T_NOMBRE,MATCH(V155,T_RUTN,0)),"⚠ RUT no está en Trabajadores"))</f>
        <v/>
      </c>
      <c r="E155" s="61"/>
      <c r="F155" s="61"/>
      <c r="G155" s="61"/>
      <c r="H155" s="61"/>
      <c r="I155" s="81"/>
      <c r="J155" s="81"/>
      <c r="K155" s="60"/>
      <c r="L155" s="60"/>
      <c r="M155" s="60"/>
      <c r="N155" s="60"/>
      <c r="O155" s="60"/>
      <c r="P155" s="60"/>
      <c r="Q155" s="60"/>
      <c r="R155" s="58"/>
      <c r="S155" s="62" t="str">
        <f aca="false">IF(OR(B155="",V155=""),"",IFERROR(INDEX(C_TIPO,MATCH(V155&amp;"-P"&amp;MAX(1,COUNTIFS(C_RUTN,V155,C_DEF,"Sí",C_INI,"&lt;="&amp;EOMONTH(B155,0))),C_CLAVE,0))&amp;"","Sin contrato"))</f>
        <v/>
      </c>
      <c r="T155" s="63" t="str">
        <f aca="false">IF(OR(B155="",N(O155)=0),"",N(O155)+ROUND(MIN(N(N155),TOPE_UF*UF_MES)*(TASA_EMP+MUTUAL),0)+ROUND(MIN(N(N155),TOPE_AFC_UF*UF_MES)*IF(S155="Indefinido",AFC_INDEF,AFC_PF),0))</f>
        <v/>
      </c>
      <c r="U155" s="62" t="str">
        <f aca="false">IF(C155="","",IF(LEFT(D155,1)="⚠","⚠ RUT no registrado en Trabajadores",IF(B155="","⚠ Falta el mes",IF(OR(ISTEXT(I155),ISTEXT(J155)),"⚠ Atrasos u horas extra como texto: escriba hh:mm (ej. 1:30)",IF(AND(ISNUMBER(Q155),COUNTIFS(M_RUTN,V155,M_MES,B155,M_LIQ,"&lt;&gt;")&gt;1),"⚠ Liquidación repetida en el mes",IF(AND(ISNUMBER(O155),ISNUMBER(P155),ISNUMBER(Q155),ABS(O155-P155-Q155)&gt;1),"⚠ Haberes − descuentos no da el líquido","OK"))))))</f>
        <v/>
      </c>
      <c r="V155" s="62" t="str">
        <f aca="false">IF(C155="","",IFERROR(VALUE(LEFT(UPPER(SUBSTITUTE(SUBSTITUTE(SUBSTITUTE(TRIM(C155),".",""),"-","")," ","")),LEN(UPPER(SUBSTITUTE(SUBSTITUTE(SUBSTITUTE(TRIM(C155),".",""),"-","")," ","")))-1))&amp;RIGHT(UPPER(SUBSTITUTE(SUBSTITUTE(SUBSTITUTE(TRIM(C155),".",""),"-","")," ","")),1),UPPER(SUBSTITUTE(SUBSTITUTE(SUBSTITUTE(TRIM(C155),".",""),"-","")," ",""))))</f>
        <v/>
      </c>
    </row>
    <row r="156" customFormat="false" ht="15" hidden="false" customHeight="false" outlineLevel="0" collapsed="false">
      <c r="B156" s="80"/>
      <c r="C156" s="58"/>
      <c r="D156" s="62" t="str">
        <f aca="false">IF(C156="","",IFERROR(INDEX(T_NOMBRE,MATCH(V156,T_RUTN,0)),"⚠ RUT no está en Trabajadores"))</f>
        <v/>
      </c>
      <c r="E156" s="61"/>
      <c r="F156" s="61"/>
      <c r="G156" s="61"/>
      <c r="H156" s="61"/>
      <c r="I156" s="81"/>
      <c r="J156" s="81"/>
      <c r="K156" s="60"/>
      <c r="L156" s="60"/>
      <c r="M156" s="60"/>
      <c r="N156" s="60"/>
      <c r="O156" s="60"/>
      <c r="P156" s="60"/>
      <c r="Q156" s="60"/>
      <c r="R156" s="58"/>
      <c r="S156" s="62" t="str">
        <f aca="false">IF(OR(B156="",V156=""),"",IFERROR(INDEX(C_TIPO,MATCH(V156&amp;"-P"&amp;MAX(1,COUNTIFS(C_RUTN,V156,C_DEF,"Sí",C_INI,"&lt;="&amp;EOMONTH(B156,0))),C_CLAVE,0))&amp;"","Sin contrato"))</f>
        <v/>
      </c>
      <c r="T156" s="63" t="str">
        <f aca="false">IF(OR(B156="",N(O156)=0),"",N(O156)+ROUND(MIN(N(N156),TOPE_UF*UF_MES)*(TASA_EMP+MUTUAL),0)+ROUND(MIN(N(N156),TOPE_AFC_UF*UF_MES)*IF(S156="Indefinido",AFC_INDEF,AFC_PF),0))</f>
        <v/>
      </c>
      <c r="U156" s="62" t="str">
        <f aca="false">IF(C156="","",IF(LEFT(D156,1)="⚠","⚠ RUT no registrado en Trabajadores",IF(B156="","⚠ Falta el mes",IF(OR(ISTEXT(I156),ISTEXT(J156)),"⚠ Atrasos u horas extra como texto: escriba hh:mm (ej. 1:30)",IF(AND(ISNUMBER(Q156),COUNTIFS(M_RUTN,V156,M_MES,B156,M_LIQ,"&lt;&gt;")&gt;1),"⚠ Liquidación repetida en el mes",IF(AND(ISNUMBER(O156),ISNUMBER(P156),ISNUMBER(Q156),ABS(O156-P156-Q156)&gt;1),"⚠ Haberes − descuentos no da el líquido","OK"))))))</f>
        <v/>
      </c>
      <c r="V156" s="62" t="str">
        <f aca="false">IF(C156="","",IFERROR(VALUE(LEFT(UPPER(SUBSTITUTE(SUBSTITUTE(SUBSTITUTE(TRIM(C156),".",""),"-","")," ","")),LEN(UPPER(SUBSTITUTE(SUBSTITUTE(SUBSTITUTE(TRIM(C156),".",""),"-","")," ","")))-1))&amp;RIGHT(UPPER(SUBSTITUTE(SUBSTITUTE(SUBSTITUTE(TRIM(C156),".",""),"-","")," ","")),1),UPPER(SUBSTITUTE(SUBSTITUTE(SUBSTITUTE(TRIM(C156),".",""),"-","")," ",""))))</f>
        <v/>
      </c>
    </row>
    <row r="157" customFormat="false" ht="15" hidden="false" customHeight="false" outlineLevel="0" collapsed="false">
      <c r="B157" s="80"/>
      <c r="C157" s="58"/>
      <c r="D157" s="62" t="str">
        <f aca="false">IF(C157="","",IFERROR(INDEX(T_NOMBRE,MATCH(V157,T_RUTN,0)),"⚠ RUT no está en Trabajadores"))</f>
        <v/>
      </c>
      <c r="E157" s="61"/>
      <c r="F157" s="61"/>
      <c r="G157" s="61"/>
      <c r="H157" s="61"/>
      <c r="I157" s="81"/>
      <c r="J157" s="81"/>
      <c r="K157" s="60"/>
      <c r="L157" s="60"/>
      <c r="M157" s="60"/>
      <c r="N157" s="60"/>
      <c r="O157" s="60"/>
      <c r="P157" s="60"/>
      <c r="Q157" s="60"/>
      <c r="R157" s="58"/>
      <c r="S157" s="62" t="str">
        <f aca="false">IF(OR(B157="",V157=""),"",IFERROR(INDEX(C_TIPO,MATCH(V157&amp;"-P"&amp;MAX(1,COUNTIFS(C_RUTN,V157,C_DEF,"Sí",C_INI,"&lt;="&amp;EOMONTH(B157,0))),C_CLAVE,0))&amp;"","Sin contrato"))</f>
        <v/>
      </c>
      <c r="T157" s="63" t="str">
        <f aca="false">IF(OR(B157="",N(O157)=0),"",N(O157)+ROUND(MIN(N(N157),TOPE_UF*UF_MES)*(TASA_EMP+MUTUAL),0)+ROUND(MIN(N(N157),TOPE_AFC_UF*UF_MES)*IF(S157="Indefinido",AFC_INDEF,AFC_PF),0))</f>
        <v/>
      </c>
      <c r="U157" s="62" t="str">
        <f aca="false">IF(C157="","",IF(LEFT(D157,1)="⚠","⚠ RUT no registrado en Trabajadores",IF(B157="","⚠ Falta el mes",IF(OR(ISTEXT(I157),ISTEXT(J157)),"⚠ Atrasos u horas extra como texto: escriba hh:mm (ej. 1:30)",IF(AND(ISNUMBER(Q157),COUNTIFS(M_RUTN,V157,M_MES,B157,M_LIQ,"&lt;&gt;")&gt;1),"⚠ Liquidación repetida en el mes",IF(AND(ISNUMBER(O157),ISNUMBER(P157),ISNUMBER(Q157),ABS(O157-P157-Q157)&gt;1),"⚠ Haberes − descuentos no da el líquido","OK"))))))</f>
        <v/>
      </c>
      <c r="V157" s="62" t="str">
        <f aca="false">IF(C157="","",IFERROR(VALUE(LEFT(UPPER(SUBSTITUTE(SUBSTITUTE(SUBSTITUTE(TRIM(C157),".",""),"-","")," ","")),LEN(UPPER(SUBSTITUTE(SUBSTITUTE(SUBSTITUTE(TRIM(C157),".",""),"-","")," ","")))-1))&amp;RIGHT(UPPER(SUBSTITUTE(SUBSTITUTE(SUBSTITUTE(TRIM(C157),".",""),"-","")," ","")),1),UPPER(SUBSTITUTE(SUBSTITUTE(SUBSTITUTE(TRIM(C157),".",""),"-","")," ",""))))</f>
        <v/>
      </c>
    </row>
    <row r="158" customFormat="false" ht="15" hidden="false" customHeight="false" outlineLevel="0" collapsed="false">
      <c r="B158" s="80"/>
      <c r="C158" s="58"/>
      <c r="D158" s="62" t="str">
        <f aca="false">IF(C158="","",IFERROR(INDEX(T_NOMBRE,MATCH(V158,T_RUTN,0)),"⚠ RUT no está en Trabajadores"))</f>
        <v/>
      </c>
      <c r="E158" s="61"/>
      <c r="F158" s="61"/>
      <c r="G158" s="61"/>
      <c r="H158" s="61"/>
      <c r="I158" s="81"/>
      <c r="J158" s="81"/>
      <c r="K158" s="60"/>
      <c r="L158" s="60"/>
      <c r="M158" s="60"/>
      <c r="N158" s="60"/>
      <c r="O158" s="60"/>
      <c r="P158" s="60"/>
      <c r="Q158" s="60"/>
      <c r="R158" s="58"/>
      <c r="S158" s="62" t="str">
        <f aca="false">IF(OR(B158="",V158=""),"",IFERROR(INDEX(C_TIPO,MATCH(V158&amp;"-P"&amp;MAX(1,COUNTIFS(C_RUTN,V158,C_DEF,"Sí",C_INI,"&lt;="&amp;EOMONTH(B158,0))),C_CLAVE,0))&amp;"","Sin contrato"))</f>
        <v/>
      </c>
      <c r="T158" s="63" t="str">
        <f aca="false">IF(OR(B158="",N(O158)=0),"",N(O158)+ROUND(MIN(N(N158),TOPE_UF*UF_MES)*(TASA_EMP+MUTUAL),0)+ROUND(MIN(N(N158),TOPE_AFC_UF*UF_MES)*IF(S158="Indefinido",AFC_INDEF,AFC_PF),0))</f>
        <v/>
      </c>
      <c r="U158" s="62" t="str">
        <f aca="false">IF(C158="","",IF(LEFT(D158,1)="⚠","⚠ RUT no registrado en Trabajadores",IF(B158="","⚠ Falta el mes",IF(OR(ISTEXT(I158),ISTEXT(J158)),"⚠ Atrasos u horas extra como texto: escriba hh:mm (ej. 1:30)",IF(AND(ISNUMBER(Q158),COUNTIFS(M_RUTN,V158,M_MES,B158,M_LIQ,"&lt;&gt;")&gt;1),"⚠ Liquidación repetida en el mes",IF(AND(ISNUMBER(O158),ISNUMBER(P158),ISNUMBER(Q158),ABS(O158-P158-Q158)&gt;1),"⚠ Haberes − descuentos no da el líquido","OK"))))))</f>
        <v/>
      </c>
      <c r="V158" s="62" t="str">
        <f aca="false">IF(C158="","",IFERROR(VALUE(LEFT(UPPER(SUBSTITUTE(SUBSTITUTE(SUBSTITUTE(TRIM(C158),".",""),"-","")," ","")),LEN(UPPER(SUBSTITUTE(SUBSTITUTE(SUBSTITUTE(TRIM(C158),".",""),"-","")," ","")))-1))&amp;RIGHT(UPPER(SUBSTITUTE(SUBSTITUTE(SUBSTITUTE(TRIM(C158),".",""),"-","")," ","")),1),UPPER(SUBSTITUTE(SUBSTITUTE(SUBSTITUTE(TRIM(C158),".",""),"-","")," ",""))))</f>
        <v/>
      </c>
    </row>
    <row r="159" customFormat="false" ht="15" hidden="false" customHeight="false" outlineLevel="0" collapsed="false">
      <c r="B159" s="80"/>
      <c r="C159" s="58"/>
      <c r="D159" s="62" t="str">
        <f aca="false">IF(C159="","",IFERROR(INDEX(T_NOMBRE,MATCH(V159,T_RUTN,0)),"⚠ RUT no está en Trabajadores"))</f>
        <v/>
      </c>
      <c r="E159" s="61"/>
      <c r="F159" s="61"/>
      <c r="G159" s="61"/>
      <c r="H159" s="61"/>
      <c r="I159" s="81"/>
      <c r="J159" s="81"/>
      <c r="K159" s="60"/>
      <c r="L159" s="60"/>
      <c r="M159" s="60"/>
      <c r="N159" s="60"/>
      <c r="O159" s="60"/>
      <c r="P159" s="60"/>
      <c r="Q159" s="60"/>
      <c r="R159" s="58"/>
      <c r="S159" s="62" t="str">
        <f aca="false">IF(OR(B159="",V159=""),"",IFERROR(INDEX(C_TIPO,MATCH(V159&amp;"-P"&amp;MAX(1,COUNTIFS(C_RUTN,V159,C_DEF,"Sí",C_INI,"&lt;="&amp;EOMONTH(B159,0))),C_CLAVE,0))&amp;"","Sin contrato"))</f>
        <v/>
      </c>
      <c r="T159" s="63" t="str">
        <f aca="false">IF(OR(B159="",N(O159)=0),"",N(O159)+ROUND(MIN(N(N159),TOPE_UF*UF_MES)*(TASA_EMP+MUTUAL),0)+ROUND(MIN(N(N159),TOPE_AFC_UF*UF_MES)*IF(S159="Indefinido",AFC_INDEF,AFC_PF),0))</f>
        <v/>
      </c>
      <c r="U159" s="62" t="str">
        <f aca="false">IF(C159="","",IF(LEFT(D159,1)="⚠","⚠ RUT no registrado en Trabajadores",IF(B159="","⚠ Falta el mes",IF(OR(ISTEXT(I159),ISTEXT(J159)),"⚠ Atrasos u horas extra como texto: escriba hh:mm (ej. 1:30)",IF(AND(ISNUMBER(Q159),COUNTIFS(M_RUTN,V159,M_MES,B159,M_LIQ,"&lt;&gt;")&gt;1),"⚠ Liquidación repetida en el mes",IF(AND(ISNUMBER(O159),ISNUMBER(P159),ISNUMBER(Q159),ABS(O159-P159-Q159)&gt;1),"⚠ Haberes − descuentos no da el líquido","OK"))))))</f>
        <v/>
      </c>
      <c r="V159" s="62" t="str">
        <f aca="false">IF(C159="","",IFERROR(VALUE(LEFT(UPPER(SUBSTITUTE(SUBSTITUTE(SUBSTITUTE(TRIM(C159),".",""),"-","")," ","")),LEN(UPPER(SUBSTITUTE(SUBSTITUTE(SUBSTITUTE(TRIM(C159),".",""),"-","")," ","")))-1))&amp;RIGHT(UPPER(SUBSTITUTE(SUBSTITUTE(SUBSTITUTE(TRIM(C159),".",""),"-","")," ","")),1),UPPER(SUBSTITUTE(SUBSTITUTE(SUBSTITUTE(TRIM(C159),".",""),"-","")," ",""))))</f>
        <v/>
      </c>
    </row>
    <row r="160" customFormat="false" ht="15" hidden="false" customHeight="false" outlineLevel="0" collapsed="false">
      <c r="B160" s="80"/>
      <c r="C160" s="58"/>
      <c r="D160" s="62" t="str">
        <f aca="false">IF(C160="","",IFERROR(INDEX(T_NOMBRE,MATCH(V160,T_RUTN,0)),"⚠ RUT no está en Trabajadores"))</f>
        <v/>
      </c>
      <c r="E160" s="61"/>
      <c r="F160" s="61"/>
      <c r="G160" s="61"/>
      <c r="H160" s="61"/>
      <c r="I160" s="81"/>
      <c r="J160" s="81"/>
      <c r="K160" s="60"/>
      <c r="L160" s="60"/>
      <c r="M160" s="60"/>
      <c r="N160" s="60"/>
      <c r="O160" s="60"/>
      <c r="P160" s="60"/>
      <c r="Q160" s="60"/>
      <c r="R160" s="58"/>
      <c r="S160" s="62" t="str">
        <f aca="false">IF(OR(B160="",V160=""),"",IFERROR(INDEX(C_TIPO,MATCH(V160&amp;"-P"&amp;MAX(1,COUNTIFS(C_RUTN,V160,C_DEF,"Sí",C_INI,"&lt;="&amp;EOMONTH(B160,0))),C_CLAVE,0))&amp;"","Sin contrato"))</f>
        <v/>
      </c>
      <c r="T160" s="63" t="str">
        <f aca="false">IF(OR(B160="",N(O160)=0),"",N(O160)+ROUND(MIN(N(N160),TOPE_UF*UF_MES)*(TASA_EMP+MUTUAL),0)+ROUND(MIN(N(N160),TOPE_AFC_UF*UF_MES)*IF(S160="Indefinido",AFC_INDEF,AFC_PF),0))</f>
        <v/>
      </c>
      <c r="U160" s="62" t="str">
        <f aca="false">IF(C160="","",IF(LEFT(D160,1)="⚠","⚠ RUT no registrado en Trabajadores",IF(B160="","⚠ Falta el mes",IF(OR(ISTEXT(I160),ISTEXT(J160)),"⚠ Atrasos u horas extra como texto: escriba hh:mm (ej. 1:30)",IF(AND(ISNUMBER(Q160),COUNTIFS(M_RUTN,V160,M_MES,B160,M_LIQ,"&lt;&gt;")&gt;1),"⚠ Liquidación repetida en el mes",IF(AND(ISNUMBER(O160),ISNUMBER(P160),ISNUMBER(Q160),ABS(O160-P160-Q160)&gt;1),"⚠ Haberes − descuentos no da el líquido","OK"))))))</f>
        <v/>
      </c>
      <c r="V160" s="62" t="str">
        <f aca="false">IF(C160="","",IFERROR(VALUE(LEFT(UPPER(SUBSTITUTE(SUBSTITUTE(SUBSTITUTE(TRIM(C160),".",""),"-","")," ","")),LEN(UPPER(SUBSTITUTE(SUBSTITUTE(SUBSTITUTE(TRIM(C160),".",""),"-","")," ","")))-1))&amp;RIGHT(UPPER(SUBSTITUTE(SUBSTITUTE(SUBSTITUTE(TRIM(C160),".",""),"-","")," ","")),1),UPPER(SUBSTITUTE(SUBSTITUTE(SUBSTITUTE(TRIM(C160),".",""),"-","")," ",""))))</f>
        <v/>
      </c>
    </row>
    <row r="161" customFormat="false" ht="15" hidden="false" customHeight="false" outlineLevel="0" collapsed="false">
      <c r="B161" s="80"/>
      <c r="C161" s="58"/>
      <c r="D161" s="62" t="str">
        <f aca="false">IF(C161="","",IFERROR(INDEX(T_NOMBRE,MATCH(V161,T_RUTN,0)),"⚠ RUT no está en Trabajadores"))</f>
        <v/>
      </c>
      <c r="E161" s="61"/>
      <c r="F161" s="61"/>
      <c r="G161" s="61"/>
      <c r="H161" s="61"/>
      <c r="I161" s="81"/>
      <c r="J161" s="81"/>
      <c r="K161" s="60"/>
      <c r="L161" s="60"/>
      <c r="M161" s="60"/>
      <c r="N161" s="60"/>
      <c r="O161" s="60"/>
      <c r="P161" s="60"/>
      <c r="Q161" s="60"/>
      <c r="R161" s="58"/>
      <c r="S161" s="62" t="str">
        <f aca="false">IF(OR(B161="",V161=""),"",IFERROR(INDEX(C_TIPO,MATCH(V161&amp;"-P"&amp;MAX(1,COUNTIFS(C_RUTN,V161,C_DEF,"Sí",C_INI,"&lt;="&amp;EOMONTH(B161,0))),C_CLAVE,0))&amp;"","Sin contrato"))</f>
        <v/>
      </c>
      <c r="T161" s="63" t="str">
        <f aca="false">IF(OR(B161="",N(O161)=0),"",N(O161)+ROUND(MIN(N(N161),TOPE_UF*UF_MES)*(TASA_EMP+MUTUAL),0)+ROUND(MIN(N(N161),TOPE_AFC_UF*UF_MES)*IF(S161="Indefinido",AFC_INDEF,AFC_PF),0))</f>
        <v/>
      </c>
      <c r="U161" s="62" t="str">
        <f aca="false">IF(C161="","",IF(LEFT(D161,1)="⚠","⚠ RUT no registrado en Trabajadores",IF(B161="","⚠ Falta el mes",IF(OR(ISTEXT(I161),ISTEXT(J161)),"⚠ Atrasos u horas extra como texto: escriba hh:mm (ej. 1:30)",IF(AND(ISNUMBER(Q161),COUNTIFS(M_RUTN,V161,M_MES,B161,M_LIQ,"&lt;&gt;")&gt;1),"⚠ Liquidación repetida en el mes",IF(AND(ISNUMBER(O161),ISNUMBER(P161),ISNUMBER(Q161),ABS(O161-P161-Q161)&gt;1),"⚠ Haberes − descuentos no da el líquido","OK"))))))</f>
        <v/>
      </c>
      <c r="V161" s="62" t="str">
        <f aca="false">IF(C161="","",IFERROR(VALUE(LEFT(UPPER(SUBSTITUTE(SUBSTITUTE(SUBSTITUTE(TRIM(C161),".",""),"-","")," ","")),LEN(UPPER(SUBSTITUTE(SUBSTITUTE(SUBSTITUTE(TRIM(C161),".",""),"-","")," ","")))-1))&amp;RIGHT(UPPER(SUBSTITUTE(SUBSTITUTE(SUBSTITUTE(TRIM(C161),".",""),"-","")," ","")),1),UPPER(SUBSTITUTE(SUBSTITUTE(SUBSTITUTE(TRIM(C161),".",""),"-","")," ",""))))</f>
        <v/>
      </c>
    </row>
    <row r="162" customFormat="false" ht="15" hidden="false" customHeight="false" outlineLevel="0" collapsed="false">
      <c r="B162" s="80"/>
      <c r="C162" s="58"/>
      <c r="D162" s="62" t="str">
        <f aca="false">IF(C162="","",IFERROR(INDEX(T_NOMBRE,MATCH(V162,T_RUTN,0)),"⚠ RUT no está en Trabajadores"))</f>
        <v/>
      </c>
      <c r="E162" s="61"/>
      <c r="F162" s="61"/>
      <c r="G162" s="61"/>
      <c r="H162" s="61"/>
      <c r="I162" s="81"/>
      <c r="J162" s="81"/>
      <c r="K162" s="60"/>
      <c r="L162" s="60"/>
      <c r="M162" s="60"/>
      <c r="N162" s="60"/>
      <c r="O162" s="60"/>
      <c r="P162" s="60"/>
      <c r="Q162" s="60"/>
      <c r="R162" s="58"/>
      <c r="S162" s="62" t="str">
        <f aca="false">IF(OR(B162="",V162=""),"",IFERROR(INDEX(C_TIPO,MATCH(V162&amp;"-P"&amp;MAX(1,COUNTIFS(C_RUTN,V162,C_DEF,"Sí",C_INI,"&lt;="&amp;EOMONTH(B162,0))),C_CLAVE,0))&amp;"","Sin contrato"))</f>
        <v/>
      </c>
      <c r="T162" s="63" t="str">
        <f aca="false">IF(OR(B162="",N(O162)=0),"",N(O162)+ROUND(MIN(N(N162),TOPE_UF*UF_MES)*(TASA_EMP+MUTUAL),0)+ROUND(MIN(N(N162),TOPE_AFC_UF*UF_MES)*IF(S162="Indefinido",AFC_INDEF,AFC_PF),0))</f>
        <v/>
      </c>
      <c r="U162" s="62" t="str">
        <f aca="false">IF(C162="","",IF(LEFT(D162,1)="⚠","⚠ RUT no registrado en Trabajadores",IF(B162="","⚠ Falta el mes",IF(OR(ISTEXT(I162),ISTEXT(J162)),"⚠ Atrasos u horas extra como texto: escriba hh:mm (ej. 1:30)",IF(AND(ISNUMBER(Q162),COUNTIFS(M_RUTN,V162,M_MES,B162,M_LIQ,"&lt;&gt;")&gt;1),"⚠ Liquidación repetida en el mes",IF(AND(ISNUMBER(O162),ISNUMBER(P162),ISNUMBER(Q162),ABS(O162-P162-Q162)&gt;1),"⚠ Haberes − descuentos no da el líquido","OK"))))))</f>
        <v/>
      </c>
      <c r="V162" s="62" t="str">
        <f aca="false">IF(C162="","",IFERROR(VALUE(LEFT(UPPER(SUBSTITUTE(SUBSTITUTE(SUBSTITUTE(TRIM(C162),".",""),"-","")," ","")),LEN(UPPER(SUBSTITUTE(SUBSTITUTE(SUBSTITUTE(TRIM(C162),".",""),"-","")," ","")))-1))&amp;RIGHT(UPPER(SUBSTITUTE(SUBSTITUTE(SUBSTITUTE(TRIM(C162),".",""),"-","")," ","")),1),UPPER(SUBSTITUTE(SUBSTITUTE(SUBSTITUTE(TRIM(C162),".",""),"-","")," ",""))))</f>
        <v/>
      </c>
    </row>
    <row r="163" customFormat="false" ht="15" hidden="false" customHeight="false" outlineLevel="0" collapsed="false">
      <c r="B163" s="80"/>
      <c r="C163" s="58"/>
      <c r="D163" s="62" t="str">
        <f aca="false">IF(C163="","",IFERROR(INDEX(T_NOMBRE,MATCH(V163,T_RUTN,0)),"⚠ RUT no está en Trabajadores"))</f>
        <v/>
      </c>
      <c r="E163" s="61"/>
      <c r="F163" s="61"/>
      <c r="G163" s="61"/>
      <c r="H163" s="61"/>
      <c r="I163" s="81"/>
      <c r="J163" s="81"/>
      <c r="K163" s="60"/>
      <c r="L163" s="60"/>
      <c r="M163" s="60"/>
      <c r="N163" s="60"/>
      <c r="O163" s="60"/>
      <c r="P163" s="60"/>
      <c r="Q163" s="60"/>
      <c r="R163" s="58"/>
      <c r="S163" s="62" t="str">
        <f aca="false">IF(OR(B163="",V163=""),"",IFERROR(INDEX(C_TIPO,MATCH(V163&amp;"-P"&amp;MAX(1,COUNTIFS(C_RUTN,V163,C_DEF,"Sí",C_INI,"&lt;="&amp;EOMONTH(B163,0))),C_CLAVE,0))&amp;"","Sin contrato"))</f>
        <v/>
      </c>
      <c r="T163" s="63" t="str">
        <f aca="false">IF(OR(B163="",N(O163)=0),"",N(O163)+ROUND(MIN(N(N163),TOPE_UF*UF_MES)*(TASA_EMP+MUTUAL),0)+ROUND(MIN(N(N163),TOPE_AFC_UF*UF_MES)*IF(S163="Indefinido",AFC_INDEF,AFC_PF),0))</f>
        <v/>
      </c>
      <c r="U163" s="62" t="str">
        <f aca="false">IF(C163="","",IF(LEFT(D163,1)="⚠","⚠ RUT no registrado en Trabajadores",IF(B163="","⚠ Falta el mes",IF(OR(ISTEXT(I163),ISTEXT(J163)),"⚠ Atrasos u horas extra como texto: escriba hh:mm (ej. 1:30)",IF(AND(ISNUMBER(Q163),COUNTIFS(M_RUTN,V163,M_MES,B163,M_LIQ,"&lt;&gt;")&gt;1),"⚠ Liquidación repetida en el mes",IF(AND(ISNUMBER(O163),ISNUMBER(P163),ISNUMBER(Q163),ABS(O163-P163-Q163)&gt;1),"⚠ Haberes − descuentos no da el líquido","OK"))))))</f>
        <v/>
      </c>
      <c r="V163" s="62" t="str">
        <f aca="false">IF(C163="","",IFERROR(VALUE(LEFT(UPPER(SUBSTITUTE(SUBSTITUTE(SUBSTITUTE(TRIM(C163),".",""),"-","")," ","")),LEN(UPPER(SUBSTITUTE(SUBSTITUTE(SUBSTITUTE(TRIM(C163),".",""),"-","")," ","")))-1))&amp;RIGHT(UPPER(SUBSTITUTE(SUBSTITUTE(SUBSTITUTE(TRIM(C163),".",""),"-","")," ","")),1),UPPER(SUBSTITUTE(SUBSTITUTE(SUBSTITUTE(TRIM(C163),".",""),"-","")," ",""))))</f>
        <v/>
      </c>
    </row>
    <row r="164" customFormat="false" ht="15" hidden="false" customHeight="false" outlineLevel="0" collapsed="false">
      <c r="B164" s="80"/>
      <c r="C164" s="58"/>
      <c r="D164" s="62" t="str">
        <f aca="false">IF(C164="","",IFERROR(INDEX(T_NOMBRE,MATCH(V164,T_RUTN,0)),"⚠ RUT no está en Trabajadores"))</f>
        <v/>
      </c>
      <c r="E164" s="61"/>
      <c r="F164" s="61"/>
      <c r="G164" s="61"/>
      <c r="H164" s="61"/>
      <c r="I164" s="81"/>
      <c r="J164" s="81"/>
      <c r="K164" s="60"/>
      <c r="L164" s="60"/>
      <c r="M164" s="60"/>
      <c r="N164" s="60"/>
      <c r="O164" s="60"/>
      <c r="P164" s="60"/>
      <c r="Q164" s="60"/>
      <c r="R164" s="58"/>
      <c r="S164" s="62" t="str">
        <f aca="false">IF(OR(B164="",V164=""),"",IFERROR(INDEX(C_TIPO,MATCH(V164&amp;"-P"&amp;MAX(1,COUNTIFS(C_RUTN,V164,C_DEF,"Sí",C_INI,"&lt;="&amp;EOMONTH(B164,0))),C_CLAVE,0))&amp;"","Sin contrato"))</f>
        <v/>
      </c>
      <c r="T164" s="63" t="str">
        <f aca="false">IF(OR(B164="",N(O164)=0),"",N(O164)+ROUND(MIN(N(N164),TOPE_UF*UF_MES)*(TASA_EMP+MUTUAL),0)+ROUND(MIN(N(N164),TOPE_AFC_UF*UF_MES)*IF(S164="Indefinido",AFC_INDEF,AFC_PF),0))</f>
        <v/>
      </c>
      <c r="U164" s="62" t="str">
        <f aca="false">IF(C164="","",IF(LEFT(D164,1)="⚠","⚠ RUT no registrado en Trabajadores",IF(B164="","⚠ Falta el mes",IF(OR(ISTEXT(I164),ISTEXT(J164)),"⚠ Atrasos u horas extra como texto: escriba hh:mm (ej. 1:30)",IF(AND(ISNUMBER(Q164),COUNTIFS(M_RUTN,V164,M_MES,B164,M_LIQ,"&lt;&gt;")&gt;1),"⚠ Liquidación repetida en el mes",IF(AND(ISNUMBER(O164),ISNUMBER(P164),ISNUMBER(Q164),ABS(O164-P164-Q164)&gt;1),"⚠ Haberes − descuentos no da el líquido","OK"))))))</f>
        <v/>
      </c>
      <c r="V164" s="62" t="str">
        <f aca="false">IF(C164="","",IFERROR(VALUE(LEFT(UPPER(SUBSTITUTE(SUBSTITUTE(SUBSTITUTE(TRIM(C164),".",""),"-","")," ","")),LEN(UPPER(SUBSTITUTE(SUBSTITUTE(SUBSTITUTE(TRIM(C164),".",""),"-","")," ","")))-1))&amp;RIGHT(UPPER(SUBSTITUTE(SUBSTITUTE(SUBSTITUTE(TRIM(C164),".",""),"-","")," ","")),1),UPPER(SUBSTITUTE(SUBSTITUTE(SUBSTITUTE(TRIM(C164),".",""),"-","")," ",""))))</f>
        <v/>
      </c>
    </row>
    <row r="165" customFormat="false" ht="15" hidden="false" customHeight="false" outlineLevel="0" collapsed="false">
      <c r="B165" s="80"/>
      <c r="C165" s="58"/>
      <c r="D165" s="62" t="str">
        <f aca="false">IF(C165="","",IFERROR(INDEX(T_NOMBRE,MATCH(V165,T_RUTN,0)),"⚠ RUT no está en Trabajadores"))</f>
        <v/>
      </c>
      <c r="E165" s="61"/>
      <c r="F165" s="61"/>
      <c r="G165" s="61"/>
      <c r="H165" s="61"/>
      <c r="I165" s="81"/>
      <c r="J165" s="81"/>
      <c r="K165" s="60"/>
      <c r="L165" s="60"/>
      <c r="M165" s="60"/>
      <c r="N165" s="60"/>
      <c r="O165" s="60"/>
      <c r="P165" s="60"/>
      <c r="Q165" s="60"/>
      <c r="R165" s="58"/>
      <c r="S165" s="62" t="str">
        <f aca="false">IF(OR(B165="",V165=""),"",IFERROR(INDEX(C_TIPO,MATCH(V165&amp;"-P"&amp;MAX(1,COUNTIFS(C_RUTN,V165,C_DEF,"Sí",C_INI,"&lt;="&amp;EOMONTH(B165,0))),C_CLAVE,0))&amp;"","Sin contrato"))</f>
        <v/>
      </c>
      <c r="T165" s="63" t="str">
        <f aca="false">IF(OR(B165="",N(O165)=0),"",N(O165)+ROUND(MIN(N(N165),TOPE_UF*UF_MES)*(TASA_EMP+MUTUAL),0)+ROUND(MIN(N(N165),TOPE_AFC_UF*UF_MES)*IF(S165="Indefinido",AFC_INDEF,AFC_PF),0))</f>
        <v/>
      </c>
      <c r="U165" s="62" t="str">
        <f aca="false">IF(C165="","",IF(LEFT(D165,1)="⚠","⚠ RUT no registrado en Trabajadores",IF(B165="","⚠ Falta el mes",IF(OR(ISTEXT(I165),ISTEXT(J165)),"⚠ Atrasos u horas extra como texto: escriba hh:mm (ej. 1:30)",IF(AND(ISNUMBER(Q165),COUNTIFS(M_RUTN,V165,M_MES,B165,M_LIQ,"&lt;&gt;")&gt;1),"⚠ Liquidación repetida en el mes",IF(AND(ISNUMBER(O165),ISNUMBER(P165),ISNUMBER(Q165),ABS(O165-P165-Q165)&gt;1),"⚠ Haberes − descuentos no da el líquido","OK"))))))</f>
        <v/>
      </c>
      <c r="V165" s="62" t="str">
        <f aca="false">IF(C165="","",IFERROR(VALUE(LEFT(UPPER(SUBSTITUTE(SUBSTITUTE(SUBSTITUTE(TRIM(C165),".",""),"-","")," ","")),LEN(UPPER(SUBSTITUTE(SUBSTITUTE(SUBSTITUTE(TRIM(C165),".",""),"-","")," ","")))-1))&amp;RIGHT(UPPER(SUBSTITUTE(SUBSTITUTE(SUBSTITUTE(TRIM(C165),".",""),"-","")," ","")),1),UPPER(SUBSTITUTE(SUBSTITUTE(SUBSTITUTE(TRIM(C165),".",""),"-","")," ",""))))</f>
        <v/>
      </c>
    </row>
    <row r="166" customFormat="false" ht="15" hidden="false" customHeight="false" outlineLevel="0" collapsed="false">
      <c r="B166" s="80"/>
      <c r="C166" s="58"/>
      <c r="D166" s="62" t="str">
        <f aca="false">IF(C166="","",IFERROR(INDEX(T_NOMBRE,MATCH(V166,T_RUTN,0)),"⚠ RUT no está en Trabajadores"))</f>
        <v/>
      </c>
      <c r="E166" s="61"/>
      <c r="F166" s="61"/>
      <c r="G166" s="61"/>
      <c r="H166" s="61"/>
      <c r="I166" s="81"/>
      <c r="J166" s="81"/>
      <c r="K166" s="60"/>
      <c r="L166" s="60"/>
      <c r="M166" s="60"/>
      <c r="N166" s="60"/>
      <c r="O166" s="60"/>
      <c r="P166" s="60"/>
      <c r="Q166" s="60"/>
      <c r="R166" s="58"/>
      <c r="S166" s="62" t="str">
        <f aca="false">IF(OR(B166="",V166=""),"",IFERROR(INDEX(C_TIPO,MATCH(V166&amp;"-P"&amp;MAX(1,COUNTIFS(C_RUTN,V166,C_DEF,"Sí",C_INI,"&lt;="&amp;EOMONTH(B166,0))),C_CLAVE,0))&amp;"","Sin contrato"))</f>
        <v/>
      </c>
      <c r="T166" s="63" t="str">
        <f aca="false">IF(OR(B166="",N(O166)=0),"",N(O166)+ROUND(MIN(N(N166),TOPE_UF*UF_MES)*(TASA_EMP+MUTUAL),0)+ROUND(MIN(N(N166),TOPE_AFC_UF*UF_MES)*IF(S166="Indefinido",AFC_INDEF,AFC_PF),0))</f>
        <v/>
      </c>
      <c r="U166" s="62" t="str">
        <f aca="false">IF(C166="","",IF(LEFT(D166,1)="⚠","⚠ RUT no registrado en Trabajadores",IF(B166="","⚠ Falta el mes",IF(OR(ISTEXT(I166),ISTEXT(J166)),"⚠ Atrasos u horas extra como texto: escriba hh:mm (ej. 1:30)",IF(AND(ISNUMBER(Q166),COUNTIFS(M_RUTN,V166,M_MES,B166,M_LIQ,"&lt;&gt;")&gt;1),"⚠ Liquidación repetida en el mes",IF(AND(ISNUMBER(O166),ISNUMBER(P166),ISNUMBER(Q166),ABS(O166-P166-Q166)&gt;1),"⚠ Haberes − descuentos no da el líquido","OK"))))))</f>
        <v/>
      </c>
      <c r="V166" s="62" t="str">
        <f aca="false">IF(C166="","",IFERROR(VALUE(LEFT(UPPER(SUBSTITUTE(SUBSTITUTE(SUBSTITUTE(TRIM(C166),".",""),"-","")," ","")),LEN(UPPER(SUBSTITUTE(SUBSTITUTE(SUBSTITUTE(TRIM(C166),".",""),"-","")," ","")))-1))&amp;RIGHT(UPPER(SUBSTITUTE(SUBSTITUTE(SUBSTITUTE(TRIM(C166),".",""),"-","")," ","")),1),UPPER(SUBSTITUTE(SUBSTITUTE(SUBSTITUTE(TRIM(C166),".",""),"-","")," ",""))))</f>
        <v/>
      </c>
    </row>
    <row r="167" customFormat="false" ht="15" hidden="false" customHeight="false" outlineLevel="0" collapsed="false">
      <c r="B167" s="80"/>
      <c r="C167" s="58"/>
      <c r="D167" s="62" t="str">
        <f aca="false">IF(C167="","",IFERROR(INDEX(T_NOMBRE,MATCH(V167,T_RUTN,0)),"⚠ RUT no está en Trabajadores"))</f>
        <v/>
      </c>
      <c r="E167" s="61"/>
      <c r="F167" s="61"/>
      <c r="G167" s="61"/>
      <c r="H167" s="61"/>
      <c r="I167" s="81"/>
      <c r="J167" s="81"/>
      <c r="K167" s="60"/>
      <c r="L167" s="60"/>
      <c r="M167" s="60"/>
      <c r="N167" s="60"/>
      <c r="O167" s="60"/>
      <c r="P167" s="60"/>
      <c r="Q167" s="60"/>
      <c r="R167" s="58"/>
      <c r="S167" s="62" t="str">
        <f aca="false">IF(OR(B167="",V167=""),"",IFERROR(INDEX(C_TIPO,MATCH(V167&amp;"-P"&amp;MAX(1,COUNTIFS(C_RUTN,V167,C_DEF,"Sí",C_INI,"&lt;="&amp;EOMONTH(B167,0))),C_CLAVE,0))&amp;"","Sin contrato"))</f>
        <v/>
      </c>
      <c r="T167" s="63" t="str">
        <f aca="false">IF(OR(B167="",N(O167)=0),"",N(O167)+ROUND(MIN(N(N167),TOPE_UF*UF_MES)*(TASA_EMP+MUTUAL),0)+ROUND(MIN(N(N167),TOPE_AFC_UF*UF_MES)*IF(S167="Indefinido",AFC_INDEF,AFC_PF),0))</f>
        <v/>
      </c>
      <c r="U167" s="62" t="str">
        <f aca="false">IF(C167="","",IF(LEFT(D167,1)="⚠","⚠ RUT no registrado en Trabajadores",IF(B167="","⚠ Falta el mes",IF(OR(ISTEXT(I167),ISTEXT(J167)),"⚠ Atrasos u horas extra como texto: escriba hh:mm (ej. 1:30)",IF(AND(ISNUMBER(Q167),COUNTIFS(M_RUTN,V167,M_MES,B167,M_LIQ,"&lt;&gt;")&gt;1),"⚠ Liquidación repetida en el mes",IF(AND(ISNUMBER(O167),ISNUMBER(P167),ISNUMBER(Q167),ABS(O167-P167-Q167)&gt;1),"⚠ Haberes − descuentos no da el líquido","OK"))))))</f>
        <v/>
      </c>
      <c r="V167" s="62" t="str">
        <f aca="false">IF(C167="","",IFERROR(VALUE(LEFT(UPPER(SUBSTITUTE(SUBSTITUTE(SUBSTITUTE(TRIM(C167),".",""),"-","")," ","")),LEN(UPPER(SUBSTITUTE(SUBSTITUTE(SUBSTITUTE(TRIM(C167),".",""),"-","")," ","")))-1))&amp;RIGHT(UPPER(SUBSTITUTE(SUBSTITUTE(SUBSTITUTE(TRIM(C167),".",""),"-","")," ","")),1),UPPER(SUBSTITUTE(SUBSTITUTE(SUBSTITUTE(TRIM(C167),".",""),"-","")," ",""))))</f>
        <v/>
      </c>
    </row>
    <row r="168" customFormat="false" ht="15" hidden="false" customHeight="false" outlineLevel="0" collapsed="false">
      <c r="B168" s="80"/>
      <c r="C168" s="58"/>
      <c r="D168" s="62" t="str">
        <f aca="false">IF(C168="","",IFERROR(INDEX(T_NOMBRE,MATCH(V168,T_RUTN,0)),"⚠ RUT no está en Trabajadores"))</f>
        <v/>
      </c>
      <c r="E168" s="61"/>
      <c r="F168" s="61"/>
      <c r="G168" s="61"/>
      <c r="H168" s="61"/>
      <c r="I168" s="81"/>
      <c r="J168" s="81"/>
      <c r="K168" s="60"/>
      <c r="L168" s="60"/>
      <c r="M168" s="60"/>
      <c r="N168" s="60"/>
      <c r="O168" s="60"/>
      <c r="P168" s="60"/>
      <c r="Q168" s="60"/>
      <c r="R168" s="58"/>
      <c r="S168" s="62" t="str">
        <f aca="false">IF(OR(B168="",V168=""),"",IFERROR(INDEX(C_TIPO,MATCH(V168&amp;"-P"&amp;MAX(1,COUNTIFS(C_RUTN,V168,C_DEF,"Sí",C_INI,"&lt;="&amp;EOMONTH(B168,0))),C_CLAVE,0))&amp;"","Sin contrato"))</f>
        <v/>
      </c>
      <c r="T168" s="63" t="str">
        <f aca="false">IF(OR(B168="",N(O168)=0),"",N(O168)+ROUND(MIN(N(N168),TOPE_UF*UF_MES)*(TASA_EMP+MUTUAL),0)+ROUND(MIN(N(N168),TOPE_AFC_UF*UF_MES)*IF(S168="Indefinido",AFC_INDEF,AFC_PF),0))</f>
        <v/>
      </c>
      <c r="U168" s="62" t="str">
        <f aca="false">IF(C168="","",IF(LEFT(D168,1)="⚠","⚠ RUT no registrado en Trabajadores",IF(B168="","⚠ Falta el mes",IF(OR(ISTEXT(I168),ISTEXT(J168)),"⚠ Atrasos u horas extra como texto: escriba hh:mm (ej. 1:30)",IF(AND(ISNUMBER(Q168),COUNTIFS(M_RUTN,V168,M_MES,B168,M_LIQ,"&lt;&gt;")&gt;1),"⚠ Liquidación repetida en el mes",IF(AND(ISNUMBER(O168),ISNUMBER(P168),ISNUMBER(Q168),ABS(O168-P168-Q168)&gt;1),"⚠ Haberes − descuentos no da el líquido","OK"))))))</f>
        <v/>
      </c>
      <c r="V168" s="62" t="str">
        <f aca="false">IF(C168="","",IFERROR(VALUE(LEFT(UPPER(SUBSTITUTE(SUBSTITUTE(SUBSTITUTE(TRIM(C168),".",""),"-","")," ","")),LEN(UPPER(SUBSTITUTE(SUBSTITUTE(SUBSTITUTE(TRIM(C168),".",""),"-","")," ","")))-1))&amp;RIGHT(UPPER(SUBSTITUTE(SUBSTITUTE(SUBSTITUTE(TRIM(C168),".",""),"-","")," ","")),1),UPPER(SUBSTITUTE(SUBSTITUTE(SUBSTITUTE(TRIM(C168),".",""),"-","")," ",""))))</f>
        <v/>
      </c>
    </row>
    <row r="169" customFormat="false" ht="15" hidden="false" customHeight="false" outlineLevel="0" collapsed="false">
      <c r="B169" s="80"/>
      <c r="C169" s="58"/>
      <c r="D169" s="62" t="str">
        <f aca="false">IF(C169="","",IFERROR(INDEX(T_NOMBRE,MATCH(V169,T_RUTN,0)),"⚠ RUT no está en Trabajadores"))</f>
        <v/>
      </c>
      <c r="E169" s="61"/>
      <c r="F169" s="61"/>
      <c r="G169" s="61"/>
      <c r="H169" s="61"/>
      <c r="I169" s="81"/>
      <c r="J169" s="81"/>
      <c r="K169" s="60"/>
      <c r="L169" s="60"/>
      <c r="M169" s="60"/>
      <c r="N169" s="60"/>
      <c r="O169" s="60"/>
      <c r="P169" s="60"/>
      <c r="Q169" s="60"/>
      <c r="R169" s="58"/>
      <c r="S169" s="62" t="str">
        <f aca="false">IF(OR(B169="",V169=""),"",IFERROR(INDEX(C_TIPO,MATCH(V169&amp;"-P"&amp;MAX(1,COUNTIFS(C_RUTN,V169,C_DEF,"Sí",C_INI,"&lt;="&amp;EOMONTH(B169,0))),C_CLAVE,0))&amp;"","Sin contrato"))</f>
        <v/>
      </c>
      <c r="T169" s="63" t="str">
        <f aca="false">IF(OR(B169="",N(O169)=0),"",N(O169)+ROUND(MIN(N(N169),TOPE_UF*UF_MES)*(TASA_EMP+MUTUAL),0)+ROUND(MIN(N(N169),TOPE_AFC_UF*UF_MES)*IF(S169="Indefinido",AFC_INDEF,AFC_PF),0))</f>
        <v/>
      </c>
      <c r="U169" s="62" t="str">
        <f aca="false">IF(C169="","",IF(LEFT(D169,1)="⚠","⚠ RUT no registrado en Trabajadores",IF(B169="","⚠ Falta el mes",IF(OR(ISTEXT(I169),ISTEXT(J169)),"⚠ Atrasos u horas extra como texto: escriba hh:mm (ej. 1:30)",IF(AND(ISNUMBER(Q169),COUNTIFS(M_RUTN,V169,M_MES,B169,M_LIQ,"&lt;&gt;")&gt;1),"⚠ Liquidación repetida en el mes",IF(AND(ISNUMBER(O169),ISNUMBER(P169),ISNUMBER(Q169),ABS(O169-P169-Q169)&gt;1),"⚠ Haberes − descuentos no da el líquido","OK"))))))</f>
        <v/>
      </c>
      <c r="V169" s="62" t="str">
        <f aca="false">IF(C169="","",IFERROR(VALUE(LEFT(UPPER(SUBSTITUTE(SUBSTITUTE(SUBSTITUTE(TRIM(C169),".",""),"-","")," ","")),LEN(UPPER(SUBSTITUTE(SUBSTITUTE(SUBSTITUTE(TRIM(C169),".",""),"-","")," ","")))-1))&amp;RIGHT(UPPER(SUBSTITUTE(SUBSTITUTE(SUBSTITUTE(TRIM(C169),".",""),"-","")," ","")),1),UPPER(SUBSTITUTE(SUBSTITUTE(SUBSTITUTE(TRIM(C169),".",""),"-","")," ",""))))</f>
        <v/>
      </c>
    </row>
    <row r="170" customFormat="false" ht="15" hidden="false" customHeight="false" outlineLevel="0" collapsed="false">
      <c r="B170" s="80"/>
      <c r="C170" s="58"/>
      <c r="D170" s="62" t="str">
        <f aca="false">IF(C170="","",IFERROR(INDEX(T_NOMBRE,MATCH(V170,T_RUTN,0)),"⚠ RUT no está en Trabajadores"))</f>
        <v/>
      </c>
      <c r="E170" s="61"/>
      <c r="F170" s="61"/>
      <c r="G170" s="61"/>
      <c r="H170" s="61"/>
      <c r="I170" s="81"/>
      <c r="J170" s="81"/>
      <c r="K170" s="60"/>
      <c r="L170" s="60"/>
      <c r="M170" s="60"/>
      <c r="N170" s="60"/>
      <c r="O170" s="60"/>
      <c r="P170" s="60"/>
      <c r="Q170" s="60"/>
      <c r="R170" s="58"/>
      <c r="S170" s="62" t="str">
        <f aca="false">IF(OR(B170="",V170=""),"",IFERROR(INDEX(C_TIPO,MATCH(V170&amp;"-P"&amp;MAX(1,COUNTIFS(C_RUTN,V170,C_DEF,"Sí",C_INI,"&lt;="&amp;EOMONTH(B170,0))),C_CLAVE,0))&amp;"","Sin contrato"))</f>
        <v/>
      </c>
      <c r="T170" s="63" t="str">
        <f aca="false">IF(OR(B170="",N(O170)=0),"",N(O170)+ROUND(MIN(N(N170),TOPE_UF*UF_MES)*(TASA_EMP+MUTUAL),0)+ROUND(MIN(N(N170),TOPE_AFC_UF*UF_MES)*IF(S170="Indefinido",AFC_INDEF,AFC_PF),0))</f>
        <v/>
      </c>
      <c r="U170" s="62" t="str">
        <f aca="false">IF(C170="","",IF(LEFT(D170,1)="⚠","⚠ RUT no registrado en Trabajadores",IF(B170="","⚠ Falta el mes",IF(OR(ISTEXT(I170),ISTEXT(J170)),"⚠ Atrasos u horas extra como texto: escriba hh:mm (ej. 1:30)",IF(AND(ISNUMBER(Q170),COUNTIFS(M_RUTN,V170,M_MES,B170,M_LIQ,"&lt;&gt;")&gt;1),"⚠ Liquidación repetida en el mes",IF(AND(ISNUMBER(O170),ISNUMBER(P170),ISNUMBER(Q170),ABS(O170-P170-Q170)&gt;1),"⚠ Haberes − descuentos no da el líquido","OK"))))))</f>
        <v/>
      </c>
      <c r="V170" s="62" t="str">
        <f aca="false">IF(C170="","",IFERROR(VALUE(LEFT(UPPER(SUBSTITUTE(SUBSTITUTE(SUBSTITUTE(TRIM(C170),".",""),"-","")," ","")),LEN(UPPER(SUBSTITUTE(SUBSTITUTE(SUBSTITUTE(TRIM(C170),".",""),"-","")," ","")))-1))&amp;RIGHT(UPPER(SUBSTITUTE(SUBSTITUTE(SUBSTITUTE(TRIM(C170),".",""),"-","")," ","")),1),UPPER(SUBSTITUTE(SUBSTITUTE(SUBSTITUTE(TRIM(C170),".",""),"-","")," ",""))))</f>
        <v/>
      </c>
    </row>
    <row r="171" customFormat="false" ht="15" hidden="false" customHeight="false" outlineLevel="0" collapsed="false">
      <c r="B171" s="80"/>
      <c r="C171" s="58"/>
      <c r="D171" s="62" t="str">
        <f aca="false">IF(C171="","",IFERROR(INDEX(T_NOMBRE,MATCH(V171,T_RUTN,0)),"⚠ RUT no está en Trabajadores"))</f>
        <v/>
      </c>
      <c r="E171" s="61"/>
      <c r="F171" s="61"/>
      <c r="G171" s="61"/>
      <c r="H171" s="61"/>
      <c r="I171" s="81"/>
      <c r="J171" s="81"/>
      <c r="K171" s="60"/>
      <c r="L171" s="60"/>
      <c r="M171" s="60"/>
      <c r="N171" s="60"/>
      <c r="O171" s="60"/>
      <c r="P171" s="60"/>
      <c r="Q171" s="60"/>
      <c r="R171" s="58"/>
      <c r="S171" s="62" t="str">
        <f aca="false">IF(OR(B171="",V171=""),"",IFERROR(INDEX(C_TIPO,MATCH(V171&amp;"-P"&amp;MAX(1,COUNTIFS(C_RUTN,V171,C_DEF,"Sí",C_INI,"&lt;="&amp;EOMONTH(B171,0))),C_CLAVE,0))&amp;"","Sin contrato"))</f>
        <v/>
      </c>
      <c r="T171" s="63" t="str">
        <f aca="false">IF(OR(B171="",N(O171)=0),"",N(O171)+ROUND(MIN(N(N171),TOPE_UF*UF_MES)*(TASA_EMP+MUTUAL),0)+ROUND(MIN(N(N171),TOPE_AFC_UF*UF_MES)*IF(S171="Indefinido",AFC_INDEF,AFC_PF),0))</f>
        <v/>
      </c>
      <c r="U171" s="62" t="str">
        <f aca="false">IF(C171="","",IF(LEFT(D171,1)="⚠","⚠ RUT no registrado en Trabajadores",IF(B171="","⚠ Falta el mes",IF(OR(ISTEXT(I171),ISTEXT(J171)),"⚠ Atrasos u horas extra como texto: escriba hh:mm (ej. 1:30)",IF(AND(ISNUMBER(Q171),COUNTIFS(M_RUTN,V171,M_MES,B171,M_LIQ,"&lt;&gt;")&gt;1),"⚠ Liquidación repetida en el mes",IF(AND(ISNUMBER(O171),ISNUMBER(P171),ISNUMBER(Q171),ABS(O171-P171-Q171)&gt;1),"⚠ Haberes − descuentos no da el líquido","OK"))))))</f>
        <v/>
      </c>
      <c r="V171" s="62" t="str">
        <f aca="false">IF(C171="","",IFERROR(VALUE(LEFT(UPPER(SUBSTITUTE(SUBSTITUTE(SUBSTITUTE(TRIM(C171),".",""),"-","")," ","")),LEN(UPPER(SUBSTITUTE(SUBSTITUTE(SUBSTITUTE(TRIM(C171),".",""),"-","")," ","")))-1))&amp;RIGHT(UPPER(SUBSTITUTE(SUBSTITUTE(SUBSTITUTE(TRIM(C171),".",""),"-","")," ","")),1),UPPER(SUBSTITUTE(SUBSTITUTE(SUBSTITUTE(TRIM(C171),".",""),"-","")," ",""))))</f>
        <v/>
      </c>
    </row>
    <row r="172" customFormat="false" ht="15" hidden="false" customHeight="false" outlineLevel="0" collapsed="false">
      <c r="B172" s="80"/>
      <c r="C172" s="58"/>
      <c r="D172" s="62" t="str">
        <f aca="false">IF(C172="","",IFERROR(INDEX(T_NOMBRE,MATCH(V172,T_RUTN,0)),"⚠ RUT no está en Trabajadores"))</f>
        <v/>
      </c>
      <c r="E172" s="61"/>
      <c r="F172" s="61"/>
      <c r="G172" s="61"/>
      <c r="H172" s="61"/>
      <c r="I172" s="81"/>
      <c r="J172" s="81"/>
      <c r="K172" s="60"/>
      <c r="L172" s="60"/>
      <c r="M172" s="60"/>
      <c r="N172" s="60"/>
      <c r="O172" s="60"/>
      <c r="P172" s="60"/>
      <c r="Q172" s="60"/>
      <c r="R172" s="58"/>
      <c r="S172" s="62" t="str">
        <f aca="false">IF(OR(B172="",V172=""),"",IFERROR(INDEX(C_TIPO,MATCH(V172&amp;"-P"&amp;MAX(1,COUNTIFS(C_RUTN,V172,C_DEF,"Sí",C_INI,"&lt;="&amp;EOMONTH(B172,0))),C_CLAVE,0))&amp;"","Sin contrato"))</f>
        <v/>
      </c>
      <c r="T172" s="63" t="str">
        <f aca="false">IF(OR(B172="",N(O172)=0),"",N(O172)+ROUND(MIN(N(N172),TOPE_UF*UF_MES)*(TASA_EMP+MUTUAL),0)+ROUND(MIN(N(N172),TOPE_AFC_UF*UF_MES)*IF(S172="Indefinido",AFC_INDEF,AFC_PF),0))</f>
        <v/>
      </c>
      <c r="U172" s="62" t="str">
        <f aca="false">IF(C172="","",IF(LEFT(D172,1)="⚠","⚠ RUT no registrado en Trabajadores",IF(B172="","⚠ Falta el mes",IF(OR(ISTEXT(I172),ISTEXT(J172)),"⚠ Atrasos u horas extra como texto: escriba hh:mm (ej. 1:30)",IF(AND(ISNUMBER(Q172),COUNTIFS(M_RUTN,V172,M_MES,B172,M_LIQ,"&lt;&gt;")&gt;1),"⚠ Liquidación repetida en el mes",IF(AND(ISNUMBER(O172),ISNUMBER(P172),ISNUMBER(Q172),ABS(O172-P172-Q172)&gt;1),"⚠ Haberes − descuentos no da el líquido","OK"))))))</f>
        <v/>
      </c>
      <c r="V172" s="62" t="str">
        <f aca="false">IF(C172="","",IFERROR(VALUE(LEFT(UPPER(SUBSTITUTE(SUBSTITUTE(SUBSTITUTE(TRIM(C172),".",""),"-","")," ","")),LEN(UPPER(SUBSTITUTE(SUBSTITUTE(SUBSTITUTE(TRIM(C172),".",""),"-","")," ","")))-1))&amp;RIGHT(UPPER(SUBSTITUTE(SUBSTITUTE(SUBSTITUTE(TRIM(C172),".",""),"-","")," ","")),1),UPPER(SUBSTITUTE(SUBSTITUTE(SUBSTITUTE(TRIM(C172),".",""),"-","")," ",""))))</f>
        <v/>
      </c>
    </row>
    <row r="173" customFormat="false" ht="15" hidden="false" customHeight="false" outlineLevel="0" collapsed="false">
      <c r="B173" s="80"/>
      <c r="C173" s="58"/>
      <c r="D173" s="62" t="str">
        <f aca="false">IF(C173="","",IFERROR(INDEX(T_NOMBRE,MATCH(V173,T_RUTN,0)),"⚠ RUT no está en Trabajadores"))</f>
        <v/>
      </c>
      <c r="E173" s="61"/>
      <c r="F173" s="61"/>
      <c r="G173" s="61"/>
      <c r="H173" s="61"/>
      <c r="I173" s="81"/>
      <c r="J173" s="81"/>
      <c r="K173" s="60"/>
      <c r="L173" s="60"/>
      <c r="M173" s="60"/>
      <c r="N173" s="60"/>
      <c r="O173" s="60"/>
      <c r="P173" s="60"/>
      <c r="Q173" s="60"/>
      <c r="R173" s="58"/>
      <c r="S173" s="62" t="str">
        <f aca="false">IF(OR(B173="",V173=""),"",IFERROR(INDEX(C_TIPO,MATCH(V173&amp;"-P"&amp;MAX(1,COUNTIFS(C_RUTN,V173,C_DEF,"Sí",C_INI,"&lt;="&amp;EOMONTH(B173,0))),C_CLAVE,0))&amp;"","Sin contrato"))</f>
        <v/>
      </c>
      <c r="T173" s="63" t="str">
        <f aca="false">IF(OR(B173="",N(O173)=0),"",N(O173)+ROUND(MIN(N(N173),TOPE_UF*UF_MES)*(TASA_EMP+MUTUAL),0)+ROUND(MIN(N(N173),TOPE_AFC_UF*UF_MES)*IF(S173="Indefinido",AFC_INDEF,AFC_PF),0))</f>
        <v/>
      </c>
      <c r="U173" s="62" t="str">
        <f aca="false">IF(C173="","",IF(LEFT(D173,1)="⚠","⚠ RUT no registrado en Trabajadores",IF(B173="","⚠ Falta el mes",IF(OR(ISTEXT(I173),ISTEXT(J173)),"⚠ Atrasos u horas extra como texto: escriba hh:mm (ej. 1:30)",IF(AND(ISNUMBER(Q173),COUNTIFS(M_RUTN,V173,M_MES,B173,M_LIQ,"&lt;&gt;")&gt;1),"⚠ Liquidación repetida en el mes",IF(AND(ISNUMBER(O173),ISNUMBER(P173),ISNUMBER(Q173),ABS(O173-P173-Q173)&gt;1),"⚠ Haberes − descuentos no da el líquido","OK"))))))</f>
        <v/>
      </c>
      <c r="V173" s="62" t="str">
        <f aca="false">IF(C173="","",IFERROR(VALUE(LEFT(UPPER(SUBSTITUTE(SUBSTITUTE(SUBSTITUTE(TRIM(C173),".",""),"-","")," ","")),LEN(UPPER(SUBSTITUTE(SUBSTITUTE(SUBSTITUTE(TRIM(C173),".",""),"-","")," ","")))-1))&amp;RIGHT(UPPER(SUBSTITUTE(SUBSTITUTE(SUBSTITUTE(TRIM(C173),".",""),"-","")," ","")),1),UPPER(SUBSTITUTE(SUBSTITUTE(SUBSTITUTE(TRIM(C173),".",""),"-","")," ",""))))</f>
        <v/>
      </c>
    </row>
    <row r="174" customFormat="false" ht="15" hidden="false" customHeight="false" outlineLevel="0" collapsed="false">
      <c r="B174" s="80"/>
      <c r="C174" s="58"/>
      <c r="D174" s="62" t="str">
        <f aca="false">IF(C174="","",IFERROR(INDEX(T_NOMBRE,MATCH(V174,T_RUTN,0)),"⚠ RUT no está en Trabajadores"))</f>
        <v/>
      </c>
      <c r="E174" s="61"/>
      <c r="F174" s="61"/>
      <c r="G174" s="61"/>
      <c r="H174" s="61"/>
      <c r="I174" s="81"/>
      <c r="J174" s="81"/>
      <c r="K174" s="60"/>
      <c r="L174" s="60"/>
      <c r="M174" s="60"/>
      <c r="N174" s="60"/>
      <c r="O174" s="60"/>
      <c r="P174" s="60"/>
      <c r="Q174" s="60"/>
      <c r="R174" s="58"/>
      <c r="S174" s="62" t="str">
        <f aca="false">IF(OR(B174="",V174=""),"",IFERROR(INDEX(C_TIPO,MATCH(V174&amp;"-P"&amp;MAX(1,COUNTIFS(C_RUTN,V174,C_DEF,"Sí",C_INI,"&lt;="&amp;EOMONTH(B174,0))),C_CLAVE,0))&amp;"","Sin contrato"))</f>
        <v/>
      </c>
      <c r="T174" s="63" t="str">
        <f aca="false">IF(OR(B174="",N(O174)=0),"",N(O174)+ROUND(MIN(N(N174),TOPE_UF*UF_MES)*(TASA_EMP+MUTUAL),0)+ROUND(MIN(N(N174),TOPE_AFC_UF*UF_MES)*IF(S174="Indefinido",AFC_INDEF,AFC_PF),0))</f>
        <v/>
      </c>
      <c r="U174" s="62" t="str">
        <f aca="false">IF(C174="","",IF(LEFT(D174,1)="⚠","⚠ RUT no registrado en Trabajadores",IF(B174="","⚠ Falta el mes",IF(OR(ISTEXT(I174),ISTEXT(J174)),"⚠ Atrasos u horas extra como texto: escriba hh:mm (ej. 1:30)",IF(AND(ISNUMBER(Q174),COUNTIFS(M_RUTN,V174,M_MES,B174,M_LIQ,"&lt;&gt;")&gt;1),"⚠ Liquidación repetida en el mes",IF(AND(ISNUMBER(O174),ISNUMBER(P174),ISNUMBER(Q174),ABS(O174-P174-Q174)&gt;1),"⚠ Haberes − descuentos no da el líquido","OK"))))))</f>
        <v/>
      </c>
      <c r="V174" s="62" t="str">
        <f aca="false">IF(C174="","",IFERROR(VALUE(LEFT(UPPER(SUBSTITUTE(SUBSTITUTE(SUBSTITUTE(TRIM(C174),".",""),"-","")," ","")),LEN(UPPER(SUBSTITUTE(SUBSTITUTE(SUBSTITUTE(TRIM(C174),".",""),"-","")," ","")))-1))&amp;RIGHT(UPPER(SUBSTITUTE(SUBSTITUTE(SUBSTITUTE(TRIM(C174),".",""),"-","")," ","")),1),UPPER(SUBSTITUTE(SUBSTITUTE(SUBSTITUTE(TRIM(C174),".",""),"-","")," ",""))))</f>
        <v/>
      </c>
    </row>
    <row r="175" customFormat="false" ht="15" hidden="false" customHeight="false" outlineLevel="0" collapsed="false">
      <c r="B175" s="80"/>
      <c r="C175" s="58"/>
      <c r="D175" s="62" t="str">
        <f aca="false">IF(C175="","",IFERROR(INDEX(T_NOMBRE,MATCH(V175,T_RUTN,0)),"⚠ RUT no está en Trabajadores"))</f>
        <v/>
      </c>
      <c r="E175" s="61"/>
      <c r="F175" s="61"/>
      <c r="G175" s="61"/>
      <c r="H175" s="61"/>
      <c r="I175" s="81"/>
      <c r="J175" s="81"/>
      <c r="K175" s="60"/>
      <c r="L175" s="60"/>
      <c r="M175" s="60"/>
      <c r="N175" s="60"/>
      <c r="O175" s="60"/>
      <c r="P175" s="60"/>
      <c r="Q175" s="60"/>
      <c r="R175" s="58"/>
      <c r="S175" s="62" t="str">
        <f aca="false">IF(OR(B175="",V175=""),"",IFERROR(INDEX(C_TIPO,MATCH(V175&amp;"-P"&amp;MAX(1,COUNTIFS(C_RUTN,V175,C_DEF,"Sí",C_INI,"&lt;="&amp;EOMONTH(B175,0))),C_CLAVE,0))&amp;"","Sin contrato"))</f>
        <v/>
      </c>
      <c r="T175" s="63" t="str">
        <f aca="false">IF(OR(B175="",N(O175)=0),"",N(O175)+ROUND(MIN(N(N175),TOPE_UF*UF_MES)*(TASA_EMP+MUTUAL),0)+ROUND(MIN(N(N175),TOPE_AFC_UF*UF_MES)*IF(S175="Indefinido",AFC_INDEF,AFC_PF),0))</f>
        <v/>
      </c>
      <c r="U175" s="62" t="str">
        <f aca="false">IF(C175="","",IF(LEFT(D175,1)="⚠","⚠ RUT no registrado en Trabajadores",IF(B175="","⚠ Falta el mes",IF(OR(ISTEXT(I175),ISTEXT(J175)),"⚠ Atrasos u horas extra como texto: escriba hh:mm (ej. 1:30)",IF(AND(ISNUMBER(Q175),COUNTIFS(M_RUTN,V175,M_MES,B175,M_LIQ,"&lt;&gt;")&gt;1),"⚠ Liquidación repetida en el mes",IF(AND(ISNUMBER(O175),ISNUMBER(P175),ISNUMBER(Q175),ABS(O175-P175-Q175)&gt;1),"⚠ Haberes − descuentos no da el líquido","OK"))))))</f>
        <v/>
      </c>
      <c r="V175" s="62" t="str">
        <f aca="false">IF(C175="","",IFERROR(VALUE(LEFT(UPPER(SUBSTITUTE(SUBSTITUTE(SUBSTITUTE(TRIM(C175),".",""),"-","")," ","")),LEN(UPPER(SUBSTITUTE(SUBSTITUTE(SUBSTITUTE(TRIM(C175),".",""),"-","")," ","")))-1))&amp;RIGHT(UPPER(SUBSTITUTE(SUBSTITUTE(SUBSTITUTE(TRIM(C175),".",""),"-","")," ","")),1),UPPER(SUBSTITUTE(SUBSTITUTE(SUBSTITUTE(TRIM(C175),".",""),"-","")," ",""))))</f>
        <v/>
      </c>
    </row>
    <row r="176" customFormat="false" ht="15" hidden="false" customHeight="false" outlineLevel="0" collapsed="false">
      <c r="B176" s="80"/>
      <c r="C176" s="58"/>
      <c r="D176" s="62" t="str">
        <f aca="false">IF(C176="","",IFERROR(INDEX(T_NOMBRE,MATCH(V176,T_RUTN,0)),"⚠ RUT no está en Trabajadores"))</f>
        <v/>
      </c>
      <c r="E176" s="61"/>
      <c r="F176" s="61"/>
      <c r="G176" s="61"/>
      <c r="H176" s="61"/>
      <c r="I176" s="81"/>
      <c r="J176" s="81"/>
      <c r="K176" s="60"/>
      <c r="L176" s="60"/>
      <c r="M176" s="60"/>
      <c r="N176" s="60"/>
      <c r="O176" s="60"/>
      <c r="P176" s="60"/>
      <c r="Q176" s="60"/>
      <c r="R176" s="58"/>
      <c r="S176" s="62" t="str">
        <f aca="false">IF(OR(B176="",V176=""),"",IFERROR(INDEX(C_TIPO,MATCH(V176&amp;"-P"&amp;MAX(1,COUNTIFS(C_RUTN,V176,C_DEF,"Sí",C_INI,"&lt;="&amp;EOMONTH(B176,0))),C_CLAVE,0))&amp;"","Sin contrato"))</f>
        <v/>
      </c>
      <c r="T176" s="63" t="str">
        <f aca="false">IF(OR(B176="",N(O176)=0),"",N(O176)+ROUND(MIN(N(N176),TOPE_UF*UF_MES)*(TASA_EMP+MUTUAL),0)+ROUND(MIN(N(N176),TOPE_AFC_UF*UF_MES)*IF(S176="Indefinido",AFC_INDEF,AFC_PF),0))</f>
        <v/>
      </c>
      <c r="U176" s="62" t="str">
        <f aca="false">IF(C176="","",IF(LEFT(D176,1)="⚠","⚠ RUT no registrado en Trabajadores",IF(B176="","⚠ Falta el mes",IF(OR(ISTEXT(I176),ISTEXT(J176)),"⚠ Atrasos u horas extra como texto: escriba hh:mm (ej. 1:30)",IF(AND(ISNUMBER(Q176),COUNTIFS(M_RUTN,V176,M_MES,B176,M_LIQ,"&lt;&gt;")&gt;1),"⚠ Liquidación repetida en el mes",IF(AND(ISNUMBER(O176),ISNUMBER(P176),ISNUMBER(Q176),ABS(O176-P176-Q176)&gt;1),"⚠ Haberes − descuentos no da el líquido","OK"))))))</f>
        <v/>
      </c>
      <c r="V176" s="62" t="str">
        <f aca="false">IF(C176="","",IFERROR(VALUE(LEFT(UPPER(SUBSTITUTE(SUBSTITUTE(SUBSTITUTE(TRIM(C176),".",""),"-","")," ","")),LEN(UPPER(SUBSTITUTE(SUBSTITUTE(SUBSTITUTE(TRIM(C176),".",""),"-","")," ","")))-1))&amp;RIGHT(UPPER(SUBSTITUTE(SUBSTITUTE(SUBSTITUTE(TRIM(C176),".",""),"-","")," ","")),1),UPPER(SUBSTITUTE(SUBSTITUTE(SUBSTITUTE(TRIM(C176),".",""),"-","")," ",""))))</f>
        <v/>
      </c>
    </row>
    <row r="177" customFormat="false" ht="15" hidden="false" customHeight="false" outlineLevel="0" collapsed="false">
      <c r="B177" s="80"/>
      <c r="C177" s="58"/>
      <c r="D177" s="62" t="str">
        <f aca="false">IF(C177="","",IFERROR(INDEX(T_NOMBRE,MATCH(V177,T_RUTN,0)),"⚠ RUT no está en Trabajadores"))</f>
        <v/>
      </c>
      <c r="E177" s="61"/>
      <c r="F177" s="61"/>
      <c r="G177" s="61"/>
      <c r="H177" s="61"/>
      <c r="I177" s="81"/>
      <c r="J177" s="81"/>
      <c r="K177" s="60"/>
      <c r="L177" s="60"/>
      <c r="M177" s="60"/>
      <c r="N177" s="60"/>
      <c r="O177" s="60"/>
      <c r="P177" s="60"/>
      <c r="Q177" s="60"/>
      <c r="R177" s="58"/>
      <c r="S177" s="62" t="str">
        <f aca="false">IF(OR(B177="",V177=""),"",IFERROR(INDEX(C_TIPO,MATCH(V177&amp;"-P"&amp;MAX(1,COUNTIFS(C_RUTN,V177,C_DEF,"Sí",C_INI,"&lt;="&amp;EOMONTH(B177,0))),C_CLAVE,0))&amp;"","Sin contrato"))</f>
        <v/>
      </c>
      <c r="T177" s="63" t="str">
        <f aca="false">IF(OR(B177="",N(O177)=0),"",N(O177)+ROUND(MIN(N(N177),TOPE_UF*UF_MES)*(TASA_EMP+MUTUAL),0)+ROUND(MIN(N(N177),TOPE_AFC_UF*UF_MES)*IF(S177="Indefinido",AFC_INDEF,AFC_PF),0))</f>
        <v/>
      </c>
      <c r="U177" s="62" t="str">
        <f aca="false">IF(C177="","",IF(LEFT(D177,1)="⚠","⚠ RUT no registrado en Trabajadores",IF(B177="","⚠ Falta el mes",IF(OR(ISTEXT(I177),ISTEXT(J177)),"⚠ Atrasos u horas extra como texto: escriba hh:mm (ej. 1:30)",IF(AND(ISNUMBER(Q177),COUNTIFS(M_RUTN,V177,M_MES,B177,M_LIQ,"&lt;&gt;")&gt;1),"⚠ Liquidación repetida en el mes",IF(AND(ISNUMBER(O177),ISNUMBER(P177),ISNUMBER(Q177),ABS(O177-P177-Q177)&gt;1),"⚠ Haberes − descuentos no da el líquido","OK"))))))</f>
        <v/>
      </c>
      <c r="V177" s="62" t="str">
        <f aca="false">IF(C177="","",IFERROR(VALUE(LEFT(UPPER(SUBSTITUTE(SUBSTITUTE(SUBSTITUTE(TRIM(C177),".",""),"-","")," ","")),LEN(UPPER(SUBSTITUTE(SUBSTITUTE(SUBSTITUTE(TRIM(C177),".",""),"-","")," ","")))-1))&amp;RIGHT(UPPER(SUBSTITUTE(SUBSTITUTE(SUBSTITUTE(TRIM(C177),".",""),"-","")," ","")),1),UPPER(SUBSTITUTE(SUBSTITUTE(SUBSTITUTE(TRIM(C177),".",""),"-","")," ",""))))</f>
        <v/>
      </c>
    </row>
    <row r="178" customFormat="false" ht="15" hidden="false" customHeight="false" outlineLevel="0" collapsed="false">
      <c r="B178" s="80"/>
      <c r="C178" s="58"/>
      <c r="D178" s="62" t="str">
        <f aca="false">IF(C178="","",IFERROR(INDEX(T_NOMBRE,MATCH(V178,T_RUTN,0)),"⚠ RUT no está en Trabajadores"))</f>
        <v/>
      </c>
      <c r="E178" s="61"/>
      <c r="F178" s="61"/>
      <c r="G178" s="61"/>
      <c r="H178" s="61"/>
      <c r="I178" s="81"/>
      <c r="J178" s="81"/>
      <c r="K178" s="60"/>
      <c r="L178" s="60"/>
      <c r="M178" s="60"/>
      <c r="N178" s="60"/>
      <c r="O178" s="60"/>
      <c r="P178" s="60"/>
      <c r="Q178" s="60"/>
      <c r="R178" s="58"/>
      <c r="S178" s="62" t="str">
        <f aca="false">IF(OR(B178="",V178=""),"",IFERROR(INDEX(C_TIPO,MATCH(V178&amp;"-P"&amp;MAX(1,COUNTIFS(C_RUTN,V178,C_DEF,"Sí",C_INI,"&lt;="&amp;EOMONTH(B178,0))),C_CLAVE,0))&amp;"","Sin contrato"))</f>
        <v/>
      </c>
      <c r="T178" s="63" t="str">
        <f aca="false">IF(OR(B178="",N(O178)=0),"",N(O178)+ROUND(MIN(N(N178),TOPE_UF*UF_MES)*(TASA_EMP+MUTUAL),0)+ROUND(MIN(N(N178),TOPE_AFC_UF*UF_MES)*IF(S178="Indefinido",AFC_INDEF,AFC_PF),0))</f>
        <v/>
      </c>
      <c r="U178" s="62" t="str">
        <f aca="false">IF(C178="","",IF(LEFT(D178,1)="⚠","⚠ RUT no registrado en Trabajadores",IF(B178="","⚠ Falta el mes",IF(OR(ISTEXT(I178),ISTEXT(J178)),"⚠ Atrasos u horas extra como texto: escriba hh:mm (ej. 1:30)",IF(AND(ISNUMBER(Q178),COUNTIFS(M_RUTN,V178,M_MES,B178,M_LIQ,"&lt;&gt;")&gt;1),"⚠ Liquidación repetida en el mes",IF(AND(ISNUMBER(O178),ISNUMBER(P178),ISNUMBER(Q178),ABS(O178-P178-Q178)&gt;1),"⚠ Haberes − descuentos no da el líquido","OK"))))))</f>
        <v/>
      </c>
      <c r="V178" s="62" t="str">
        <f aca="false">IF(C178="","",IFERROR(VALUE(LEFT(UPPER(SUBSTITUTE(SUBSTITUTE(SUBSTITUTE(TRIM(C178),".",""),"-","")," ","")),LEN(UPPER(SUBSTITUTE(SUBSTITUTE(SUBSTITUTE(TRIM(C178),".",""),"-","")," ","")))-1))&amp;RIGHT(UPPER(SUBSTITUTE(SUBSTITUTE(SUBSTITUTE(TRIM(C178),".",""),"-","")," ","")),1),UPPER(SUBSTITUTE(SUBSTITUTE(SUBSTITUTE(TRIM(C178),".",""),"-","")," ",""))))</f>
        <v/>
      </c>
    </row>
    <row r="179" customFormat="false" ht="15" hidden="false" customHeight="false" outlineLevel="0" collapsed="false">
      <c r="B179" s="80"/>
      <c r="C179" s="58"/>
      <c r="D179" s="62" t="str">
        <f aca="false">IF(C179="","",IFERROR(INDEX(T_NOMBRE,MATCH(V179,T_RUTN,0)),"⚠ RUT no está en Trabajadores"))</f>
        <v/>
      </c>
      <c r="E179" s="61"/>
      <c r="F179" s="61"/>
      <c r="G179" s="61"/>
      <c r="H179" s="61"/>
      <c r="I179" s="81"/>
      <c r="J179" s="81"/>
      <c r="K179" s="60"/>
      <c r="L179" s="60"/>
      <c r="M179" s="60"/>
      <c r="N179" s="60"/>
      <c r="O179" s="60"/>
      <c r="P179" s="60"/>
      <c r="Q179" s="60"/>
      <c r="R179" s="58"/>
      <c r="S179" s="62" t="str">
        <f aca="false">IF(OR(B179="",V179=""),"",IFERROR(INDEX(C_TIPO,MATCH(V179&amp;"-P"&amp;MAX(1,COUNTIFS(C_RUTN,V179,C_DEF,"Sí",C_INI,"&lt;="&amp;EOMONTH(B179,0))),C_CLAVE,0))&amp;"","Sin contrato"))</f>
        <v/>
      </c>
      <c r="T179" s="63" t="str">
        <f aca="false">IF(OR(B179="",N(O179)=0),"",N(O179)+ROUND(MIN(N(N179),TOPE_UF*UF_MES)*(TASA_EMP+MUTUAL),0)+ROUND(MIN(N(N179),TOPE_AFC_UF*UF_MES)*IF(S179="Indefinido",AFC_INDEF,AFC_PF),0))</f>
        <v/>
      </c>
      <c r="U179" s="62" t="str">
        <f aca="false">IF(C179="","",IF(LEFT(D179,1)="⚠","⚠ RUT no registrado en Trabajadores",IF(B179="","⚠ Falta el mes",IF(OR(ISTEXT(I179),ISTEXT(J179)),"⚠ Atrasos u horas extra como texto: escriba hh:mm (ej. 1:30)",IF(AND(ISNUMBER(Q179),COUNTIFS(M_RUTN,V179,M_MES,B179,M_LIQ,"&lt;&gt;")&gt;1),"⚠ Liquidación repetida en el mes",IF(AND(ISNUMBER(O179),ISNUMBER(P179),ISNUMBER(Q179),ABS(O179-P179-Q179)&gt;1),"⚠ Haberes − descuentos no da el líquido","OK"))))))</f>
        <v/>
      </c>
      <c r="V179" s="62" t="str">
        <f aca="false">IF(C179="","",IFERROR(VALUE(LEFT(UPPER(SUBSTITUTE(SUBSTITUTE(SUBSTITUTE(TRIM(C179),".",""),"-","")," ","")),LEN(UPPER(SUBSTITUTE(SUBSTITUTE(SUBSTITUTE(TRIM(C179),".",""),"-","")," ","")))-1))&amp;RIGHT(UPPER(SUBSTITUTE(SUBSTITUTE(SUBSTITUTE(TRIM(C179),".",""),"-","")," ","")),1),UPPER(SUBSTITUTE(SUBSTITUTE(SUBSTITUTE(TRIM(C179),".",""),"-","")," ",""))))</f>
        <v/>
      </c>
    </row>
    <row r="180" customFormat="false" ht="15" hidden="false" customHeight="false" outlineLevel="0" collapsed="false">
      <c r="B180" s="80"/>
      <c r="C180" s="58"/>
      <c r="D180" s="62" t="str">
        <f aca="false">IF(C180="","",IFERROR(INDEX(T_NOMBRE,MATCH(V180,T_RUTN,0)),"⚠ RUT no está en Trabajadores"))</f>
        <v/>
      </c>
      <c r="E180" s="61"/>
      <c r="F180" s="61"/>
      <c r="G180" s="61"/>
      <c r="H180" s="61"/>
      <c r="I180" s="81"/>
      <c r="J180" s="81"/>
      <c r="K180" s="60"/>
      <c r="L180" s="60"/>
      <c r="M180" s="60"/>
      <c r="N180" s="60"/>
      <c r="O180" s="60"/>
      <c r="P180" s="60"/>
      <c r="Q180" s="60"/>
      <c r="R180" s="58"/>
      <c r="S180" s="62" t="str">
        <f aca="false">IF(OR(B180="",V180=""),"",IFERROR(INDEX(C_TIPO,MATCH(V180&amp;"-P"&amp;MAX(1,COUNTIFS(C_RUTN,V180,C_DEF,"Sí",C_INI,"&lt;="&amp;EOMONTH(B180,0))),C_CLAVE,0))&amp;"","Sin contrato"))</f>
        <v/>
      </c>
      <c r="T180" s="63" t="str">
        <f aca="false">IF(OR(B180="",N(O180)=0),"",N(O180)+ROUND(MIN(N(N180),TOPE_UF*UF_MES)*(TASA_EMP+MUTUAL),0)+ROUND(MIN(N(N180),TOPE_AFC_UF*UF_MES)*IF(S180="Indefinido",AFC_INDEF,AFC_PF),0))</f>
        <v/>
      </c>
      <c r="U180" s="62" t="str">
        <f aca="false">IF(C180="","",IF(LEFT(D180,1)="⚠","⚠ RUT no registrado en Trabajadores",IF(B180="","⚠ Falta el mes",IF(OR(ISTEXT(I180),ISTEXT(J180)),"⚠ Atrasos u horas extra como texto: escriba hh:mm (ej. 1:30)",IF(AND(ISNUMBER(Q180),COUNTIFS(M_RUTN,V180,M_MES,B180,M_LIQ,"&lt;&gt;")&gt;1),"⚠ Liquidación repetida en el mes",IF(AND(ISNUMBER(O180),ISNUMBER(P180),ISNUMBER(Q180),ABS(O180-P180-Q180)&gt;1),"⚠ Haberes − descuentos no da el líquido","OK"))))))</f>
        <v/>
      </c>
      <c r="V180" s="62" t="str">
        <f aca="false">IF(C180="","",IFERROR(VALUE(LEFT(UPPER(SUBSTITUTE(SUBSTITUTE(SUBSTITUTE(TRIM(C180),".",""),"-","")," ","")),LEN(UPPER(SUBSTITUTE(SUBSTITUTE(SUBSTITUTE(TRIM(C180),".",""),"-","")," ","")))-1))&amp;RIGHT(UPPER(SUBSTITUTE(SUBSTITUTE(SUBSTITUTE(TRIM(C180),".",""),"-","")," ","")),1),UPPER(SUBSTITUTE(SUBSTITUTE(SUBSTITUTE(TRIM(C180),".",""),"-","")," ",""))))</f>
        <v/>
      </c>
    </row>
    <row r="181" customFormat="false" ht="15" hidden="false" customHeight="false" outlineLevel="0" collapsed="false">
      <c r="B181" s="80"/>
      <c r="C181" s="58"/>
      <c r="D181" s="62" t="str">
        <f aca="false">IF(C181="","",IFERROR(INDEX(T_NOMBRE,MATCH(V181,T_RUTN,0)),"⚠ RUT no está en Trabajadores"))</f>
        <v/>
      </c>
      <c r="E181" s="61"/>
      <c r="F181" s="61"/>
      <c r="G181" s="61"/>
      <c r="H181" s="61"/>
      <c r="I181" s="81"/>
      <c r="J181" s="81"/>
      <c r="K181" s="60"/>
      <c r="L181" s="60"/>
      <c r="M181" s="60"/>
      <c r="N181" s="60"/>
      <c r="O181" s="60"/>
      <c r="P181" s="60"/>
      <c r="Q181" s="60"/>
      <c r="R181" s="58"/>
      <c r="S181" s="62" t="str">
        <f aca="false">IF(OR(B181="",V181=""),"",IFERROR(INDEX(C_TIPO,MATCH(V181&amp;"-P"&amp;MAX(1,COUNTIFS(C_RUTN,V181,C_DEF,"Sí",C_INI,"&lt;="&amp;EOMONTH(B181,0))),C_CLAVE,0))&amp;"","Sin contrato"))</f>
        <v/>
      </c>
      <c r="T181" s="63" t="str">
        <f aca="false">IF(OR(B181="",N(O181)=0),"",N(O181)+ROUND(MIN(N(N181),TOPE_UF*UF_MES)*(TASA_EMP+MUTUAL),0)+ROUND(MIN(N(N181),TOPE_AFC_UF*UF_MES)*IF(S181="Indefinido",AFC_INDEF,AFC_PF),0))</f>
        <v/>
      </c>
      <c r="U181" s="62" t="str">
        <f aca="false">IF(C181="","",IF(LEFT(D181,1)="⚠","⚠ RUT no registrado en Trabajadores",IF(B181="","⚠ Falta el mes",IF(OR(ISTEXT(I181),ISTEXT(J181)),"⚠ Atrasos u horas extra como texto: escriba hh:mm (ej. 1:30)",IF(AND(ISNUMBER(Q181),COUNTIFS(M_RUTN,V181,M_MES,B181,M_LIQ,"&lt;&gt;")&gt;1),"⚠ Liquidación repetida en el mes",IF(AND(ISNUMBER(O181),ISNUMBER(P181),ISNUMBER(Q181),ABS(O181-P181-Q181)&gt;1),"⚠ Haberes − descuentos no da el líquido","OK"))))))</f>
        <v/>
      </c>
      <c r="V181" s="62" t="str">
        <f aca="false">IF(C181="","",IFERROR(VALUE(LEFT(UPPER(SUBSTITUTE(SUBSTITUTE(SUBSTITUTE(TRIM(C181),".",""),"-","")," ","")),LEN(UPPER(SUBSTITUTE(SUBSTITUTE(SUBSTITUTE(TRIM(C181),".",""),"-","")," ","")))-1))&amp;RIGHT(UPPER(SUBSTITUTE(SUBSTITUTE(SUBSTITUTE(TRIM(C181),".",""),"-","")," ","")),1),UPPER(SUBSTITUTE(SUBSTITUTE(SUBSTITUTE(TRIM(C181),".",""),"-","")," ",""))))</f>
        <v/>
      </c>
    </row>
    <row r="182" customFormat="false" ht="15" hidden="false" customHeight="false" outlineLevel="0" collapsed="false">
      <c r="B182" s="80"/>
      <c r="C182" s="58"/>
      <c r="D182" s="62" t="str">
        <f aca="false">IF(C182="","",IFERROR(INDEX(T_NOMBRE,MATCH(V182,T_RUTN,0)),"⚠ RUT no está en Trabajadores"))</f>
        <v/>
      </c>
      <c r="E182" s="61"/>
      <c r="F182" s="61"/>
      <c r="G182" s="61"/>
      <c r="H182" s="61"/>
      <c r="I182" s="81"/>
      <c r="J182" s="81"/>
      <c r="K182" s="60"/>
      <c r="L182" s="60"/>
      <c r="M182" s="60"/>
      <c r="N182" s="60"/>
      <c r="O182" s="60"/>
      <c r="P182" s="60"/>
      <c r="Q182" s="60"/>
      <c r="R182" s="58"/>
      <c r="S182" s="62" t="str">
        <f aca="false">IF(OR(B182="",V182=""),"",IFERROR(INDEX(C_TIPO,MATCH(V182&amp;"-P"&amp;MAX(1,COUNTIFS(C_RUTN,V182,C_DEF,"Sí",C_INI,"&lt;="&amp;EOMONTH(B182,0))),C_CLAVE,0))&amp;"","Sin contrato"))</f>
        <v/>
      </c>
      <c r="T182" s="63" t="str">
        <f aca="false">IF(OR(B182="",N(O182)=0),"",N(O182)+ROUND(MIN(N(N182),TOPE_UF*UF_MES)*(TASA_EMP+MUTUAL),0)+ROUND(MIN(N(N182),TOPE_AFC_UF*UF_MES)*IF(S182="Indefinido",AFC_INDEF,AFC_PF),0))</f>
        <v/>
      </c>
      <c r="U182" s="62" t="str">
        <f aca="false">IF(C182="","",IF(LEFT(D182,1)="⚠","⚠ RUT no registrado en Trabajadores",IF(B182="","⚠ Falta el mes",IF(OR(ISTEXT(I182),ISTEXT(J182)),"⚠ Atrasos u horas extra como texto: escriba hh:mm (ej. 1:30)",IF(AND(ISNUMBER(Q182),COUNTIFS(M_RUTN,V182,M_MES,B182,M_LIQ,"&lt;&gt;")&gt;1),"⚠ Liquidación repetida en el mes",IF(AND(ISNUMBER(O182),ISNUMBER(P182),ISNUMBER(Q182),ABS(O182-P182-Q182)&gt;1),"⚠ Haberes − descuentos no da el líquido","OK"))))))</f>
        <v/>
      </c>
      <c r="V182" s="62" t="str">
        <f aca="false">IF(C182="","",IFERROR(VALUE(LEFT(UPPER(SUBSTITUTE(SUBSTITUTE(SUBSTITUTE(TRIM(C182),".",""),"-","")," ","")),LEN(UPPER(SUBSTITUTE(SUBSTITUTE(SUBSTITUTE(TRIM(C182),".",""),"-","")," ","")))-1))&amp;RIGHT(UPPER(SUBSTITUTE(SUBSTITUTE(SUBSTITUTE(TRIM(C182),".",""),"-","")," ","")),1),UPPER(SUBSTITUTE(SUBSTITUTE(SUBSTITUTE(TRIM(C182),".",""),"-","")," ",""))))</f>
        <v/>
      </c>
    </row>
    <row r="183" customFormat="false" ht="15" hidden="false" customHeight="false" outlineLevel="0" collapsed="false">
      <c r="B183" s="80"/>
      <c r="C183" s="58"/>
      <c r="D183" s="62" t="str">
        <f aca="false">IF(C183="","",IFERROR(INDEX(T_NOMBRE,MATCH(V183,T_RUTN,0)),"⚠ RUT no está en Trabajadores"))</f>
        <v/>
      </c>
      <c r="E183" s="61"/>
      <c r="F183" s="61"/>
      <c r="G183" s="61"/>
      <c r="H183" s="61"/>
      <c r="I183" s="81"/>
      <c r="J183" s="81"/>
      <c r="K183" s="60"/>
      <c r="L183" s="60"/>
      <c r="M183" s="60"/>
      <c r="N183" s="60"/>
      <c r="O183" s="60"/>
      <c r="P183" s="60"/>
      <c r="Q183" s="60"/>
      <c r="R183" s="58"/>
      <c r="S183" s="62" t="str">
        <f aca="false">IF(OR(B183="",V183=""),"",IFERROR(INDEX(C_TIPO,MATCH(V183&amp;"-P"&amp;MAX(1,COUNTIFS(C_RUTN,V183,C_DEF,"Sí",C_INI,"&lt;="&amp;EOMONTH(B183,0))),C_CLAVE,0))&amp;"","Sin contrato"))</f>
        <v/>
      </c>
      <c r="T183" s="63" t="str">
        <f aca="false">IF(OR(B183="",N(O183)=0),"",N(O183)+ROUND(MIN(N(N183),TOPE_UF*UF_MES)*(TASA_EMP+MUTUAL),0)+ROUND(MIN(N(N183),TOPE_AFC_UF*UF_MES)*IF(S183="Indefinido",AFC_INDEF,AFC_PF),0))</f>
        <v/>
      </c>
      <c r="U183" s="62" t="str">
        <f aca="false">IF(C183="","",IF(LEFT(D183,1)="⚠","⚠ RUT no registrado en Trabajadores",IF(B183="","⚠ Falta el mes",IF(OR(ISTEXT(I183),ISTEXT(J183)),"⚠ Atrasos u horas extra como texto: escriba hh:mm (ej. 1:30)",IF(AND(ISNUMBER(Q183),COUNTIFS(M_RUTN,V183,M_MES,B183,M_LIQ,"&lt;&gt;")&gt;1),"⚠ Liquidación repetida en el mes",IF(AND(ISNUMBER(O183),ISNUMBER(P183),ISNUMBER(Q183),ABS(O183-P183-Q183)&gt;1),"⚠ Haberes − descuentos no da el líquido","OK"))))))</f>
        <v/>
      </c>
      <c r="V183" s="62" t="str">
        <f aca="false">IF(C183="","",IFERROR(VALUE(LEFT(UPPER(SUBSTITUTE(SUBSTITUTE(SUBSTITUTE(TRIM(C183),".",""),"-","")," ","")),LEN(UPPER(SUBSTITUTE(SUBSTITUTE(SUBSTITUTE(TRIM(C183),".",""),"-","")," ","")))-1))&amp;RIGHT(UPPER(SUBSTITUTE(SUBSTITUTE(SUBSTITUTE(TRIM(C183),".",""),"-","")," ","")),1),UPPER(SUBSTITUTE(SUBSTITUTE(SUBSTITUTE(TRIM(C183),".",""),"-","")," ",""))))</f>
        <v/>
      </c>
    </row>
    <row r="184" customFormat="false" ht="15" hidden="false" customHeight="false" outlineLevel="0" collapsed="false">
      <c r="B184" s="80"/>
      <c r="C184" s="58"/>
      <c r="D184" s="62" t="str">
        <f aca="false">IF(C184="","",IFERROR(INDEX(T_NOMBRE,MATCH(V184,T_RUTN,0)),"⚠ RUT no está en Trabajadores"))</f>
        <v/>
      </c>
      <c r="E184" s="61"/>
      <c r="F184" s="61"/>
      <c r="G184" s="61"/>
      <c r="H184" s="61"/>
      <c r="I184" s="81"/>
      <c r="J184" s="81"/>
      <c r="K184" s="60"/>
      <c r="L184" s="60"/>
      <c r="M184" s="60"/>
      <c r="N184" s="60"/>
      <c r="O184" s="60"/>
      <c r="P184" s="60"/>
      <c r="Q184" s="60"/>
      <c r="R184" s="58"/>
      <c r="S184" s="62" t="str">
        <f aca="false">IF(OR(B184="",V184=""),"",IFERROR(INDEX(C_TIPO,MATCH(V184&amp;"-P"&amp;MAX(1,COUNTIFS(C_RUTN,V184,C_DEF,"Sí",C_INI,"&lt;="&amp;EOMONTH(B184,0))),C_CLAVE,0))&amp;"","Sin contrato"))</f>
        <v/>
      </c>
      <c r="T184" s="63" t="str">
        <f aca="false">IF(OR(B184="",N(O184)=0),"",N(O184)+ROUND(MIN(N(N184),TOPE_UF*UF_MES)*(TASA_EMP+MUTUAL),0)+ROUND(MIN(N(N184),TOPE_AFC_UF*UF_MES)*IF(S184="Indefinido",AFC_INDEF,AFC_PF),0))</f>
        <v/>
      </c>
      <c r="U184" s="62" t="str">
        <f aca="false">IF(C184="","",IF(LEFT(D184,1)="⚠","⚠ RUT no registrado en Trabajadores",IF(B184="","⚠ Falta el mes",IF(OR(ISTEXT(I184),ISTEXT(J184)),"⚠ Atrasos u horas extra como texto: escriba hh:mm (ej. 1:30)",IF(AND(ISNUMBER(Q184),COUNTIFS(M_RUTN,V184,M_MES,B184,M_LIQ,"&lt;&gt;")&gt;1),"⚠ Liquidación repetida en el mes",IF(AND(ISNUMBER(O184),ISNUMBER(P184),ISNUMBER(Q184),ABS(O184-P184-Q184)&gt;1),"⚠ Haberes − descuentos no da el líquido","OK"))))))</f>
        <v/>
      </c>
      <c r="V184" s="62" t="str">
        <f aca="false">IF(C184="","",IFERROR(VALUE(LEFT(UPPER(SUBSTITUTE(SUBSTITUTE(SUBSTITUTE(TRIM(C184),".",""),"-","")," ","")),LEN(UPPER(SUBSTITUTE(SUBSTITUTE(SUBSTITUTE(TRIM(C184),".",""),"-","")," ","")))-1))&amp;RIGHT(UPPER(SUBSTITUTE(SUBSTITUTE(SUBSTITUTE(TRIM(C184),".",""),"-","")," ","")),1),UPPER(SUBSTITUTE(SUBSTITUTE(SUBSTITUTE(TRIM(C184),".",""),"-","")," ",""))))</f>
        <v/>
      </c>
    </row>
    <row r="185" customFormat="false" ht="15" hidden="false" customHeight="false" outlineLevel="0" collapsed="false">
      <c r="B185" s="80"/>
      <c r="C185" s="58"/>
      <c r="D185" s="62" t="str">
        <f aca="false">IF(C185="","",IFERROR(INDEX(T_NOMBRE,MATCH(V185,T_RUTN,0)),"⚠ RUT no está en Trabajadores"))</f>
        <v/>
      </c>
      <c r="E185" s="61"/>
      <c r="F185" s="61"/>
      <c r="G185" s="61"/>
      <c r="H185" s="61"/>
      <c r="I185" s="81"/>
      <c r="J185" s="81"/>
      <c r="K185" s="60"/>
      <c r="L185" s="60"/>
      <c r="M185" s="60"/>
      <c r="N185" s="60"/>
      <c r="O185" s="60"/>
      <c r="P185" s="60"/>
      <c r="Q185" s="60"/>
      <c r="R185" s="58"/>
      <c r="S185" s="62" t="str">
        <f aca="false">IF(OR(B185="",V185=""),"",IFERROR(INDEX(C_TIPO,MATCH(V185&amp;"-P"&amp;MAX(1,COUNTIFS(C_RUTN,V185,C_DEF,"Sí",C_INI,"&lt;="&amp;EOMONTH(B185,0))),C_CLAVE,0))&amp;"","Sin contrato"))</f>
        <v/>
      </c>
      <c r="T185" s="63" t="str">
        <f aca="false">IF(OR(B185="",N(O185)=0),"",N(O185)+ROUND(MIN(N(N185),TOPE_UF*UF_MES)*(TASA_EMP+MUTUAL),0)+ROUND(MIN(N(N185),TOPE_AFC_UF*UF_MES)*IF(S185="Indefinido",AFC_INDEF,AFC_PF),0))</f>
        <v/>
      </c>
      <c r="U185" s="62" t="str">
        <f aca="false">IF(C185="","",IF(LEFT(D185,1)="⚠","⚠ RUT no registrado en Trabajadores",IF(B185="","⚠ Falta el mes",IF(OR(ISTEXT(I185),ISTEXT(J185)),"⚠ Atrasos u horas extra como texto: escriba hh:mm (ej. 1:30)",IF(AND(ISNUMBER(Q185),COUNTIFS(M_RUTN,V185,M_MES,B185,M_LIQ,"&lt;&gt;")&gt;1),"⚠ Liquidación repetida en el mes",IF(AND(ISNUMBER(O185),ISNUMBER(P185),ISNUMBER(Q185),ABS(O185-P185-Q185)&gt;1),"⚠ Haberes − descuentos no da el líquido","OK"))))))</f>
        <v/>
      </c>
      <c r="V185" s="62" t="str">
        <f aca="false">IF(C185="","",IFERROR(VALUE(LEFT(UPPER(SUBSTITUTE(SUBSTITUTE(SUBSTITUTE(TRIM(C185),".",""),"-","")," ","")),LEN(UPPER(SUBSTITUTE(SUBSTITUTE(SUBSTITUTE(TRIM(C185),".",""),"-","")," ","")))-1))&amp;RIGHT(UPPER(SUBSTITUTE(SUBSTITUTE(SUBSTITUTE(TRIM(C185),".",""),"-","")," ","")),1),UPPER(SUBSTITUTE(SUBSTITUTE(SUBSTITUTE(TRIM(C185),".",""),"-","")," ",""))))</f>
        <v/>
      </c>
    </row>
    <row r="186" customFormat="false" ht="15" hidden="false" customHeight="false" outlineLevel="0" collapsed="false">
      <c r="B186" s="80"/>
      <c r="C186" s="58"/>
      <c r="D186" s="62" t="str">
        <f aca="false">IF(C186="","",IFERROR(INDEX(T_NOMBRE,MATCH(V186,T_RUTN,0)),"⚠ RUT no está en Trabajadores"))</f>
        <v/>
      </c>
      <c r="E186" s="61"/>
      <c r="F186" s="61"/>
      <c r="G186" s="61"/>
      <c r="H186" s="61"/>
      <c r="I186" s="81"/>
      <c r="J186" s="81"/>
      <c r="K186" s="60"/>
      <c r="L186" s="60"/>
      <c r="M186" s="60"/>
      <c r="N186" s="60"/>
      <c r="O186" s="60"/>
      <c r="P186" s="60"/>
      <c r="Q186" s="60"/>
      <c r="R186" s="58"/>
      <c r="S186" s="62" t="str">
        <f aca="false">IF(OR(B186="",V186=""),"",IFERROR(INDEX(C_TIPO,MATCH(V186&amp;"-P"&amp;MAX(1,COUNTIFS(C_RUTN,V186,C_DEF,"Sí",C_INI,"&lt;="&amp;EOMONTH(B186,0))),C_CLAVE,0))&amp;"","Sin contrato"))</f>
        <v/>
      </c>
      <c r="T186" s="63" t="str">
        <f aca="false">IF(OR(B186="",N(O186)=0),"",N(O186)+ROUND(MIN(N(N186),TOPE_UF*UF_MES)*(TASA_EMP+MUTUAL),0)+ROUND(MIN(N(N186),TOPE_AFC_UF*UF_MES)*IF(S186="Indefinido",AFC_INDEF,AFC_PF),0))</f>
        <v/>
      </c>
      <c r="U186" s="62" t="str">
        <f aca="false">IF(C186="","",IF(LEFT(D186,1)="⚠","⚠ RUT no registrado en Trabajadores",IF(B186="","⚠ Falta el mes",IF(OR(ISTEXT(I186),ISTEXT(J186)),"⚠ Atrasos u horas extra como texto: escriba hh:mm (ej. 1:30)",IF(AND(ISNUMBER(Q186),COUNTIFS(M_RUTN,V186,M_MES,B186,M_LIQ,"&lt;&gt;")&gt;1),"⚠ Liquidación repetida en el mes",IF(AND(ISNUMBER(O186),ISNUMBER(P186),ISNUMBER(Q186),ABS(O186-P186-Q186)&gt;1),"⚠ Haberes − descuentos no da el líquido","OK"))))))</f>
        <v/>
      </c>
      <c r="V186" s="62" t="str">
        <f aca="false">IF(C186="","",IFERROR(VALUE(LEFT(UPPER(SUBSTITUTE(SUBSTITUTE(SUBSTITUTE(TRIM(C186),".",""),"-","")," ","")),LEN(UPPER(SUBSTITUTE(SUBSTITUTE(SUBSTITUTE(TRIM(C186),".",""),"-","")," ","")))-1))&amp;RIGHT(UPPER(SUBSTITUTE(SUBSTITUTE(SUBSTITUTE(TRIM(C186),".",""),"-","")," ","")),1),UPPER(SUBSTITUTE(SUBSTITUTE(SUBSTITUTE(TRIM(C186),".",""),"-","")," ",""))))</f>
        <v/>
      </c>
    </row>
    <row r="187" customFormat="false" ht="15" hidden="false" customHeight="false" outlineLevel="0" collapsed="false">
      <c r="B187" s="80"/>
      <c r="C187" s="58"/>
      <c r="D187" s="62" t="str">
        <f aca="false">IF(C187="","",IFERROR(INDEX(T_NOMBRE,MATCH(V187,T_RUTN,0)),"⚠ RUT no está en Trabajadores"))</f>
        <v/>
      </c>
      <c r="E187" s="61"/>
      <c r="F187" s="61"/>
      <c r="G187" s="61"/>
      <c r="H187" s="61"/>
      <c r="I187" s="81"/>
      <c r="J187" s="81"/>
      <c r="K187" s="60"/>
      <c r="L187" s="60"/>
      <c r="M187" s="60"/>
      <c r="N187" s="60"/>
      <c r="O187" s="60"/>
      <c r="P187" s="60"/>
      <c r="Q187" s="60"/>
      <c r="R187" s="58"/>
      <c r="S187" s="62" t="str">
        <f aca="false">IF(OR(B187="",V187=""),"",IFERROR(INDEX(C_TIPO,MATCH(V187&amp;"-P"&amp;MAX(1,COUNTIFS(C_RUTN,V187,C_DEF,"Sí",C_INI,"&lt;="&amp;EOMONTH(B187,0))),C_CLAVE,0))&amp;"","Sin contrato"))</f>
        <v/>
      </c>
      <c r="T187" s="63" t="str">
        <f aca="false">IF(OR(B187="",N(O187)=0),"",N(O187)+ROUND(MIN(N(N187),TOPE_UF*UF_MES)*(TASA_EMP+MUTUAL),0)+ROUND(MIN(N(N187),TOPE_AFC_UF*UF_MES)*IF(S187="Indefinido",AFC_INDEF,AFC_PF),0))</f>
        <v/>
      </c>
      <c r="U187" s="62" t="str">
        <f aca="false">IF(C187="","",IF(LEFT(D187,1)="⚠","⚠ RUT no registrado en Trabajadores",IF(B187="","⚠ Falta el mes",IF(OR(ISTEXT(I187),ISTEXT(J187)),"⚠ Atrasos u horas extra como texto: escriba hh:mm (ej. 1:30)",IF(AND(ISNUMBER(Q187),COUNTIFS(M_RUTN,V187,M_MES,B187,M_LIQ,"&lt;&gt;")&gt;1),"⚠ Liquidación repetida en el mes",IF(AND(ISNUMBER(O187),ISNUMBER(P187),ISNUMBER(Q187),ABS(O187-P187-Q187)&gt;1),"⚠ Haberes − descuentos no da el líquido","OK"))))))</f>
        <v/>
      </c>
      <c r="V187" s="62" t="str">
        <f aca="false">IF(C187="","",IFERROR(VALUE(LEFT(UPPER(SUBSTITUTE(SUBSTITUTE(SUBSTITUTE(TRIM(C187),".",""),"-","")," ","")),LEN(UPPER(SUBSTITUTE(SUBSTITUTE(SUBSTITUTE(TRIM(C187),".",""),"-","")," ","")))-1))&amp;RIGHT(UPPER(SUBSTITUTE(SUBSTITUTE(SUBSTITUTE(TRIM(C187),".",""),"-","")," ","")),1),UPPER(SUBSTITUTE(SUBSTITUTE(SUBSTITUTE(TRIM(C187),".",""),"-","")," ",""))))</f>
        <v/>
      </c>
    </row>
    <row r="188" customFormat="false" ht="15" hidden="false" customHeight="false" outlineLevel="0" collapsed="false">
      <c r="B188" s="80"/>
      <c r="C188" s="58"/>
      <c r="D188" s="62" t="str">
        <f aca="false">IF(C188="","",IFERROR(INDEX(T_NOMBRE,MATCH(V188,T_RUTN,0)),"⚠ RUT no está en Trabajadores"))</f>
        <v/>
      </c>
      <c r="E188" s="61"/>
      <c r="F188" s="61"/>
      <c r="G188" s="61"/>
      <c r="H188" s="61"/>
      <c r="I188" s="81"/>
      <c r="J188" s="81"/>
      <c r="K188" s="60"/>
      <c r="L188" s="60"/>
      <c r="M188" s="60"/>
      <c r="N188" s="60"/>
      <c r="O188" s="60"/>
      <c r="P188" s="60"/>
      <c r="Q188" s="60"/>
      <c r="R188" s="58"/>
      <c r="S188" s="62" t="str">
        <f aca="false">IF(OR(B188="",V188=""),"",IFERROR(INDEX(C_TIPO,MATCH(V188&amp;"-P"&amp;MAX(1,COUNTIFS(C_RUTN,V188,C_DEF,"Sí",C_INI,"&lt;="&amp;EOMONTH(B188,0))),C_CLAVE,0))&amp;"","Sin contrato"))</f>
        <v/>
      </c>
      <c r="T188" s="63" t="str">
        <f aca="false">IF(OR(B188="",N(O188)=0),"",N(O188)+ROUND(MIN(N(N188),TOPE_UF*UF_MES)*(TASA_EMP+MUTUAL),0)+ROUND(MIN(N(N188),TOPE_AFC_UF*UF_MES)*IF(S188="Indefinido",AFC_INDEF,AFC_PF),0))</f>
        <v/>
      </c>
      <c r="U188" s="62" t="str">
        <f aca="false">IF(C188="","",IF(LEFT(D188,1)="⚠","⚠ RUT no registrado en Trabajadores",IF(B188="","⚠ Falta el mes",IF(OR(ISTEXT(I188),ISTEXT(J188)),"⚠ Atrasos u horas extra como texto: escriba hh:mm (ej. 1:30)",IF(AND(ISNUMBER(Q188),COUNTIFS(M_RUTN,V188,M_MES,B188,M_LIQ,"&lt;&gt;")&gt;1),"⚠ Liquidación repetida en el mes",IF(AND(ISNUMBER(O188),ISNUMBER(P188),ISNUMBER(Q188),ABS(O188-P188-Q188)&gt;1),"⚠ Haberes − descuentos no da el líquido","OK"))))))</f>
        <v/>
      </c>
      <c r="V188" s="62" t="str">
        <f aca="false">IF(C188="","",IFERROR(VALUE(LEFT(UPPER(SUBSTITUTE(SUBSTITUTE(SUBSTITUTE(TRIM(C188),".",""),"-","")," ","")),LEN(UPPER(SUBSTITUTE(SUBSTITUTE(SUBSTITUTE(TRIM(C188),".",""),"-","")," ","")))-1))&amp;RIGHT(UPPER(SUBSTITUTE(SUBSTITUTE(SUBSTITUTE(TRIM(C188),".",""),"-","")," ","")),1),UPPER(SUBSTITUTE(SUBSTITUTE(SUBSTITUTE(TRIM(C188),".",""),"-","")," ",""))))</f>
        <v/>
      </c>
    </row>
    <row r="189" customFormat="false" ht="15" hidden="false" customHeight="false" outlineLevel="0" collapsed="false">
      <c r="B189" s="80"/>
      <c r="C189" s="58"/>
      <c r="D189" s="62" t="str">
        <f aca="false">IF(C189="","",IFERROR(INDEX(T_NOMBRE,MATCH(V189,T_RUTN,0)),"⚠ RUT no está en Trabajadores"))</f>
        <v/>
      </c>
      <c r="E189" s="61"/>
      <c r="F189" s="61"/>
      <c r="G189" s="61"/>
      <c r="H189" s="61"/>
      <c r="I189" s="81"/>
      <c r="J189" s="81"/>
      <c r="K189" s="60"/>
      <c r="L189" s="60"/>
      <c r="M189" s="60"/>
      <c r="N189" s="60"/>
      <c r="O189" s="60"/>
      <c r="P189" s="60"/>
      <c r="Q189" s="60"/>
      <c r="R189" s="58"/>
      <c r="S189" s="62" t="str">
        <f aca="false">IF(OR(B189="",V189=""),"",IFERROR(INDEX(C_TIPO,MATCH(V189&amp;"-P"&amp;MAX(1,COUNTIFS(C_RUTN,V189,C_DEF,"Sí",C_INI,"&lt;="&amp;EOMONTH(B189,0))),C_CLAVE,0))&amp;"","Sin contrato"))</f>
        <v/>
      </c>
      <c r="T189" s="63" t="str">
        <f aca="false">IF(OR(B189="",N(O189)=0),"",N(O189)+ROUND(MIN(N(N189),TOPE_UF*UF_MES)*(TASA_EMP+MUTUAL),0)+ROUND(MIN(N(N189),TOPE_AFC_UF*UF_MES)*IF(S189="Indefinido",AFC_INDEF,AFC_PF),0))</f>
        <v/>
      </c>
      <c r="U189" s="62" t="str">
        <f aca="false">IF(C189="","",IF(LEFT(D189,1)="⚠","⚠ RUT no registrado en Trabajadores",IF(B189="","⚠ Falta el mes",IF(OR(ISTEXT(I189),ISTEXT(J189)),"⚠ Atrasos u horas extra como texto: escriba hh:mm (ej. 1:30)",IF(AND(ISNUMBER(Q189),COUNTIFS(M_RUTN,V189,M_MES,B189,M_LIQ,"&lt;&gt;")&gt;1),"⚠ Liquidación repetida en el mes",IF(AND(ISNUMBER(O189),ISNUMBER(P189),ISNUMBER(Q189),ABS(O189-P189-Q189)&gt;1),"⚠ Haberes − descuentos no da el líquido","OK"))))))</f>
        <v/>
      </c>
      <c r="V189" s="62" t="str">
        <f aca="false">IF(C189="","",IFERROR(VALUE(LEFT(UPPER(SUBSTITUTE(SUBSTITUTE(SUBSTITUTE(TRIM(C189),".",""),"-","")," ","")),LEN(UPPER(SUBSTITUTE(SUBSTITUTE(SUBSTITUTE(TRIM(C189),".",""),"-","")," ","")))-1))&amp;RIGHT(UPPER(SUBSTITUTE(SUBSTITUTE(SUBSTITUTE(TRIM(C189),".",""),"-","")," ","")),1),UPPER(SUBSTITUTE(SUBSTITUTE(SUBSTITUTE(TRIM(C189),".",""),"-","")," ",""))))</f>
        <v/>
      </c>
    </row>
    <row r="190" customFormat="false" ht="15" hidden="false" customHeight="false" outlineLevel="0" collapsed="false">
      <c r="B190" s="80"/>
      <c r="C190" s="58"/>
      <c r="D190" s="62" t="str">
        <f aca="false">IF(C190="","",IFERROR(INDEX(T_NOMBRE,MATCH(V190,T_RUTN,0)),"⚠ RUT no está en Trabajadores"))</f>
        <v/>
      </c>
      <c r="E190" s="61"/>
      <c r="F190" s="61"/>
      <c r="G190" s="61"/>
      <c r="H190" s="61"/>
      <c r="I190" s="81"/>
      <c r="J190" s="81"/>
      <c r="K190" s="60"/>
      <c r="L190" s="60"/>
      <c r="M190" s="60"/>
      <c r="N190" s="60"/>
      <c r="O190" s="60"/>
      <c r="P190" s="60"/>
      <c r="Q190" s="60"/>
      <c r="R190" s="58"/>
      <c r="S190" s="62" t="str">
        <f aca="false">IF(OR(B190="",V190=""),"",IFERROR(INDEX(C_TIPO,MATCH(V190&amp;"-P"&amp;MAX(1,COUNTIFS(C_RUTN,V190,C_DEF,"Sí",C_INI,"&lt;="&amp;EOMONTH(B190,0))),C_CLAVE,0))&amp;"","Sin contrato"))</f>
        <v/>
      </c>
      <c r="T190" s="63" t="str">
        <f aca="false">IF(OR(B190="",N(O190)=0),"",N(O190)+ROUND(MIN(N(N190),TOPE_UF*UF_MES)*(TASA_EMP+MUTUAL),0)+ROUND(MIN(N(N190),TOPE_AFC_UF*UF_MES)*IF(S190="Indefinido",AFC_INDEF,AFC_PF),0))</f>
        <v/>
      </c>
      <c r="U190" s="62" t="str">
        <f aca="false">IF(C190="","",IF(LEFT(D190,1)="⚠","⚠ RUT no registrado en Trabajadores",IF(B190="","⚠ Falta el mes",IF(OR(ISTEXT(I190),ISTEXT(J190)),"⚠ Atrasos u horas extra como texto: escriba hh:mm (ej. 1:30)",IF(AND(ISNUMBER(Q190),COUNTIFS(M_RUTN,V190,M_MES,B190,M_LIQ,"&lt;&gt;")&gt;1),"⚠ Liquidación repetida en el mes",IF(AND(ISNUMBER(O190),ISNUMBER(P190),ISNUMBER(Q190),ABS(O190-P190-Q190)&gt;1),"⚠ Haberes − descuentos no da el líquido","OK"))))))</f>
        <v/>
      </c>
      <c r="V190" s="62" t="str">
        <f aca="false">IF(C190="","",IFERROR(VALUE(LEFT(UPPER(SUBSTITUTE(SUBSTITUTE(SUBSTITUTE(TRIM(C190),".",""),"-","")," ","")),LEN(UPPER(SUBSTITUTE(SUBSTITUTE(SUBSTITUTE(TRIM(C190),".",""),"-","")," ","")))-1))&amp;RIGHT(UPPER(SUBSTITUTE(SUBSTITUTE(SUBSTITUTE(TRIM(C190),".",""),"-","")," ","")),1),UPPER(SUBSTITUTE(SUBSTITUTE(SUBSTITUTE(TRIM(C190),".",""),"-","")," ",""))))</f>
        <v/>
      </c>
    </row>
    <row r="191" customFormat="false" ht="15" hidden="false" customHeight="false" outlineLevel="0" collapsed="false">
      <c r="B191" s="80"/>
      <c r="C191" s="58"/>
      <c r="D191" s="62" t="str">
        <f aca="false">IF(C191="","",IFERROR(INDEX(T_NOMBRE,MATCH(V191,T_RUTN,0)),"⚠ RUT no está en Trabajadores"))</f>
        <v/>
      </c>
      <c r="E191" s="61"/>
      <c r="F191" s="61"/>
      <c r="G191" s="61"/>
      <c r="H191" s="61"/>
      <c r="I191" s="81"/>
      <c r="J191" s="81"/>
      <c r="K191" s="60"/>
      <c r="L191" s="60"/>
      <c r="M191" s="60"/>
      <c r="N191" s="60"/>
      <c r="O191" s="60"/>
      <c r="P191" s="60"/>
      <c r="Q191" s="60"/>
      <c r="R191" s="58"/>
      <c r="S191" s="62" t="str">
        <f aca="false">IF(OR(B191="",V191=""),"",IFERROR(INDEX(C_TIPO,MATCH(V191&amp;"-P"&amp;MAX(1,COUNTIFS(C_RUTN,V191,C_DEF,"Sí",C_INI,"&lt;="&amp;EOMONTH(B191,0))),C_CLAVE,0))&amp;"","Sin contrato"))</f>
        <v/>
      </c>
      <c r="T191" s="63" t="str">
        <f aca="false">IF(OR(B191="",N(O191)=0),"",N(O191)+ROUND(MIN(N(N191),TOPE_UF*UF_MES)*(TASA_EMP+MUTUAL),0)+ROUND(MIN(N(N191),TOPE_AFC_UF*UF_MES)*IF(S191="Indefinido",AFC_INDEF,AFC_PF),0))</f>
        <v/>
      </c>
      <c r="U191" s="62" t="str">
        <f aca="false">IF(C191="","",IF(LEFT(D191,1)="⚠","⚠ RUT no registrado en Trabajadores",IF(B191="","⚠ Falta el mes",IF(OR(ISTEXT(I191),ISTEXT(J191)),"⚠ Atrasos u horas extra como texto: escriba hh:mm (ej. 1:30)",IF(AND(ISNUMBER(Q191),COUNTIFS(M_RUTN,V191,M_MES,B191,M_LIQ,"&lt;&gt;")&gt;1),"⚠ Liquidación repetida en el mes",IF(AND(ISNUMBER(O191),ISNUMBER(P191),ISNUMBER(Q191),ABS(O191-P191-Q191)&gt;1),"⚠ Haberes − descuentos no da el líquido","OK"))))))</f>
        <v/>
      </c>
      <c r="V191" s="62" t="str">
        <f aca="false">IF(C191="","",IFERROR(VALUE(LEFT(UPPER(SUBSTITUTE(SUBSTITUTE(SUBSTITUTE(TRIM(C191),".",""),"-","")," ","")),LEN(UPPER(SUBSTITUTE(SUBSTITUTE(SUBSTITUTE(TRIM(C191),".",""),"-","")," ","")))-1))&amp;RIGHT(UPPER(SUBSTITUTE(SUBSTITUTE(SUBSTITUTE(TRIM(C191),".",""),"-","")," ","")),1),UPPER(SUBSTITUTE(SUBSTITUTE(SUBSTITUTE(TRIM(C191),".",""),"-","")," ",""))))</f>
        <v/>
      </c>
    </row>
    <row r="192" customFormat="false" ht="15" hidden="false" customHeight="false" outlineLevel="0" collapsed="false">
      <c r="B192" s="80"/>
      <c r="C192" s="58"/>
      <c r="D192" s="62" t="str">
        <f aca="false">IF(C192="","",IFERROR(INDEX(T_NOMBRE,MATCH(V192,T_RUTN,0)),"⚠ RUT no está en Trabajadores"))</f>
        <v/>
      </c>
      <c r="E192" s="61"/>
      <c r="F192" s="61"/>
      <c r="G192" s="61"/>
      <c r="H192" s="61"/>
      <c r="I192" s="81"/>
      <c r="J192" s="81"/>
      <c r="K192" s="60"/>
      <c r="L192" s="60"/>
      <c r="M192" s="60"/>
      <c r="N192" s="60"/>
      <c r="O192" s="60"/>
      <c r="P192" s="60"/>
      <c r="Q192" s="60"/>
      <c r="R192" s="58"/>
      <c r="S192" s="62" t="str">
        <f aca="false">IF(OR(B192="",V192=""),"",IFERROR(INDEX(C_TIPO,MATCH(V192&amp;"-P"&amp;MAX(1,COUNTIFS(C_RUTN,V192,C_DEF,"Sí",C_INI,"&lt;="&amp;EOMONTH(B192,0))),C_CLAVE,0))&amp;"","Sin contrato"))</f>
        <v/>
      </c>
      <c r="T192" s="63" t="str">
        <f aca="false">IF(OR(B192="",N(O192)=0),"",N(O192)+ROUND(MIN(N(N192),TOPE_UF*UF_MES)*(TASA_EMP+MUTUAL),0)+ROUND(MIN(N(N192),TOPE_AFC_UF*UF_MES)*IF(S192="Indefinido",AFC_INDEF,AFC_PF),0))</f>
        <v/>
      </c>
      <c r="U192" s="62" t="str">
        <f aca="false">IF(C192="","",IF(LEFT(D192,1)="⚠","⚠ RUT no registrado en Trabajadores",IF(B192="","⚠ Falta el mes",IF(OR(ISTEXT(I192),ISTEXT(J192)),"⚠ Atrasos u horas extra como texto: escriba hh:mm (ej. 1:30)",IF(AND(ISNUMBER(Q192),COUNTIFS(M_RUTN,V192,M_MES,B192,M_LIQ,"&lt;&gt;")&gt;1),"⚠ Liquidación repetida en el mes",IF(AND(ISNUMBER(O192),ISNUMBER(P192),ISNUMBER(Q192),ABS(O192-P192-Q192)&gt;1),"⚠ Haberes − descuentos no da el líquido","OK"))))))</f>
        <v/>
      </c>
      <c r="V192" s="62" t="str">
        <f aca="false">IF(C192="","",IFERROR(VALUE(LEFT(UPPER(SUBSTITUTE(SUBSTITUTE(SUBSTITUTE(TRIM(C192),".",""),"-","")," ","")),LEN(UPPER(SUBSTITUTE(SUBSTITUTE(SUBSTITUTE(TRIM(C192),".",""),"-","")," ","")))-1))&amp;RIGHT(UPPER(SUBSTITUTE(SUBSTITUTE(SUBSTITUTE(TRIM(C192),".",""),"-","")," ","")),1),UPPER(SUBSTITUTE(SUBSTITUTE(SUBSTITUTE(TRIM(C192),".",""),"-","")," ",""))))</f>
        <v/>
      </c>
    </row>
    <row r="193" customFormat="false" ht="15" hidden="false" customHeight="false" outlineLevel="0" collapsed="false">
      <c r="B193" s="80"/>
      <c r="C193" s="58"/>
      <c r="D193" s="62" t="str">
        <f aca="false">IF(C193="","",IFERROR(INDEX(T_NOMBRE,MATCH(V193,T_RUTN,0)),"⚠ RUT no está en Trabajadores"))</f>
        <v/>
      </c>
      <c r="E193" s="61"/>
      <c r="F193" s="61"/>
      <c r="G193" s="61"/>
      <c r="H193" s="61"/>
      <c r="I193" s="81"/>
      <c r="J193" s="81"/>
      <c r="K193" s="60"/>
      <c r="L193" s="60"/>
      <c r="M193" s="60"/>
      <c r="N193" s="60"/>
      <c r="O193" s="60"/>
      <c r="P193" s="60"/>
      <c r="Q193" s="60"/>
      <c r="R193" s="58"/>
      <c r="S193" s="62" t="str">
        <f aca="false">IF(OR(B193="",V193=""),"",IFERROR(INDEX(C_TIPO,MATCH(V193&amp;"-P"&amp;MAX(1,COUNTIFS(C_RUTN,V193,C_DEF,"Sí",C_INI,"&lt;="&amp;EOMONTH(B193,0))),C_CLAVE,0))&amp;"","Sin contrato"))</f>
        <v/>
      </c>
      <c r="T193" s="63" t="str">
        <f aca="false">IF(OR(B193="",N(O193)=0),"",N(O193)+ROUND(MIN(N(N193),TOPE_UF*UF_MES)*(TASA_EMP+MUTUAL),0)+ROUND(MIN(N(N193),TOPE_AFC_UF*UF_MES)*IF(S193="Indefinido",AFC_INDEF,AFC_PF),0))</f>
        <v/>
      </c>
      <c r="U193" s="62" t="str">
        <f aca="false">IF(C193="","",IF(LEFT(D193,1)="⚠","⚠ RUT no registrado en Trabajadores",IF(B193="","⚠ Falta el mes",IF(OR(ISTEXT(I193),ISTEXT(J193)),"⚠ Atrasos u horas extra como texto: escriba hh:mm (ej. 1:30)",IF(AND(ISNUMBER(Q193),COUNTIFS(M_RUTN,V193,M_MES,B193,M_LIQ,"&lt;&gt;")&gt;1),"⚠ Liquidación repetida en el mes",IF(AND(ISNUMBER(O193),ISNUMBER(P193),ISNUMBER(Q193),ABS(O193-P193-Q193)&gt;1),"⚠ Haberes − descuentos no da el líquido","OK"))))))</f>
        <v/>
      </c>
      <c r="V193" s="62" t="str">
        <f aca="false">IF(C193="","",IFERROR(VALUE(LEFT(UPPER(SUBSTITUTE(SUBSTITUTE(SUBSTITUTE(TRIM(C193),".",""),"-","")," ","")),LEN(UPPER(SUBSTITUTE(SUBSTITUTE(SUBSTITUTE(TRIM(C193),".",""),"-","")," ","")))-1))&amp;RIGHT(UPPER(SUBSTITUTE(SUBSTITUTE(SUBSTITUTE(TRIM(C193),".",""),"-","")," ","")),1),UPPER(SUBSTITUTE(SUBSTITUTE(SUBSTITUTE(TRIM(C193),".",""),"-","")," ",""))))</f>
        <v/>
      </c>
    </row>
    <row r="194" customFormat="false" ht="15" hidden="false" customHeight="false" outlineLevel="0" collapsed="false">
      <c r="B194" s="80"/>
      <c r="C194" s="58"/>
      <c r="D194" s="62" t="str">
        <f aca="false">IF(C194="","",IFERROR(INDEX(T_NOMBRE,MATCH(V194,T_RUTN,0)),"⚠ RUT no está en Trabajadores"))</f>
        <v/>
      </c>
      <c r="E194" s="61"/>
      <c r="F194" s="61"/>
      <c r="G194" s="61"/>
      <c r="H194" s="61"/>
      <c r="I194" s="81"/>
      <c r="J194" s="81"/>
      <c r="K194" s="60"/>
      <c r="L194" s="60"/>
      <c r="M194" s="60"/>
      <c r="N194" s="60"/>
      <c r="O194" s="60"/>
      <c r="P194" s="60"/>
      <c r="Q194" s="60"/>
      <c r="R194" s="58"/>
      <c r="S194" s="62" t="str">
        <f aca="false">IF(OR(B194="",V194=""),"",IFERROR(INDEX(C_TIPO,MATCH(V194&amp;"-P"&amp;MAX(1,COUNTIFS(C_RUTN,V194,C_DEF,"Sí",C_INI,"&lt;="&amp;EOMONTH(B194,0))),C_CLAVE,0))&amp;"","Sin contrato"))</f>
        <v/>
      </c>
      <c r="T194" s="63" t="str">
        <f aca="false">IF(OR(B194="",N(O194)=0),"",N(O194)+ROUND(MIN(N(N194),TOPE_UF*UF_MES)*(TASA_EMP+MUTUAL),0)+ROUND(MIN(N(N194),TOPE_AFC_UF*UF_MES)*IF(S194="Indefinido",AFC_INDEF,AFC_PF),0))</f>
        <v/>
      </c>
      <c r="U194" s="62" t="str">
        <f aca="false">IF(C194="","",IF(LEFT(D194,1)="⚠","⚠ RUT no registrado en Trabajadores",IF(B194="","⚠ Falta el mes",IF(OR(ISTEXT(I194),ISTEXT(J194)),"⚠ Atrasos u horas extra como texto: escriba hh:mm (ej. 1:30)",IF(AND(ISNUMBER(Q194),COUNTIFS(M_RUTN,V194,M_MES,B194,M_LIQ,"&lt;&gt;")&gt;1),"⚠ Liquidación repetida en el mes",IF(AND(ISNUMBER(O194),ISNUMBER(P194),ISNUMBER(Q194),ABS(O194-P194-Q194)&gt;1),"⚠ Haberes − descuentos no da el líquido","OK"))))))</f>
        <v/>
      </c>
      <c r="V194" s="62" t="str">
        <f aca="false">IF(C194="","",IFERROR(VALUE(LEFT(UPPER(SUBSTITUTE(SUBSTITUTE(SUBSTITUTE(TRIM(C194),".",""),"-","")," ","")),LEN(UPPER(SUBSTITUTE(SUBSTITUTE(SUBSTITUTE(TRIM(C194),".",""),"-","")," ","")))-1))&amp;RIGHT(UPPER(SUBSTITUTE(SUBSTITUTE(SUBSTITUTE(TRIM(C194),".",""),"-","")," ","")),1),UPPER(SUBSTITUTE(SUBSTITUTE(SUBSTITUTE(TRIM(C194),".",""),"-","")," ",""))))</f>
        <v/>
      </c>
    </row>
    <row r="195" customFormat="false" ht="15" hidden="false" customHeight="false" outlineLevel="0" collapsed="false">
      <c r="B195" s="80"/>
      <c r="C195" s="58"/>
      <c r="D195" s="62" t="str">
        <f aca="false">IF(C195="","",IFERROR(INDEX(T_NOMBRE,MATCH(V195,T_RUTN,0)),"⚠ RUT no está en Trabajadores"))</f>
        <v/>
      </c>
      <c r="E195" s="61"/>
      <c r="F195" s="61"/>
      <c r="G195" s="61"/>
      <c r="H195" s="61"/>
      <c r="I195" s="81"/>
      <c r="J195" s="81"/>
      <c r="K195" s="60"/>
      <c r="L195" s="60"/>
      <c r="M195" s="60"/>
      <c r="N195" s="60"/>
      <c r="O195" s="60"/>
      <c r="P195" s="60"/>
      <c r="Q195" s="60"/>
      <c r="R195" s="58"/>
      <c r="S195" s="62" t="str">
        <f aca="false">IF(OR(B195="",V195=""),"",IFERROR(INDEX(C_TIPO,MATCH(V195&amp;"-P"&amp;MAX(1,COUNTIFS(C_RUTN,V195,C_DEF,"Sí",C_INI,"&lt;="&amp;EOMONTH(B195,0))),C_CLAVE,0))&amp;"","Sin contrato"))</f>
        <v/>
      </c>
      <c r="T195" s="63" t="str">
        <f aca="false">IF(OR(B195="",N(O195)=0),"",N(O195)+ROUND(MIN(N(N195),TOPE_UF*UF_MES)*(TASA_EMP+MUTUAL),0)+ROUND(MIN(N(N195),TOPE_AFC_UF*UF_MES)*IF(S195="Indefinido",AFC_INDEF,AFC_PF),0))</f>
        <v/>
      </c>
      <c r="U195" s="62" t="str">
        <f aca="false">IF(C195="","",IF(LEFT(D195,1)="⚠","⚠ RUT no registrado en Trabajadores",IF(B195="","⚠ Falta el mes",IF(OR(ISTEXT(I195),ISTEXT(J195)),"⚠ Atrasos u horas extra como texto: escriba hh:mm (ej. 1:30)",IF(AND(ISNUMBER(Q195),COUNTIFS(M_RUTN,V195,M_MES,B195,M_LIQ,"&lt;&gt;")&gt;1),"⚠ Liquidación repetida en el mes",IF(AND(ISNUMBER(O195),ISNUMBER(P195),ISNUMBER(Q195),ABS(O195-P195-Q195)&gt;1),"⚠ Haberes − descuentos no da el líquido","OK"))))))</f>
        <v/>
      </c>
      <c r="V195" s="62" t="str">
        <f aca="false">IF(C195="","",IFERROR(VALUE(LEFT(UPPER(SUBSTITUTE(SUBSTITUTE(SUBSTITUTE(TRIM(C195),".",""),"-","")," ","")),LEN(UPPER(SUBSTITUTE(SUBSTITUTE(SUBSTITUTE(TRIM(C195),".",""),"-","")," ","")))-1))&amp;RIGHT(UPPER(SUBSTITUTE(SUBSTITUTE(SUBSTITUTE(TRIM(C195),".",""),"-","")," ","")),1),UPPER(SUBSTITUTE(SUBSTITUTE(SUBSTITUTE(TRIM(C195),".",""),"-","")," ",""))))</f>
        <v/>
      </c>
    </row>
    <row r="196" customFormat="false" ht="15" hidden="false" customHeight="false" outlineLevel="0" collapsed="false">
      <c r="B196" s="80"/>
      <c r="C196" s="58"/>
      <c r="D196" s="62" t="str">
        <f aca="false">IF(C196="","",IFERROR(INDEX(T_NOMBRE,MATCH(V196,T_RUTN,0)),"⚠ RUT no está en Trabajadores"))</f>
        <v/>
      </c>
      <c r="E196" s="61"/>
      <c r="F196" s="61"/>
      <c r="G196" s="61"/>
      <c r="H196" s="61"/>
      <c r="I196" s="81"/>
      <c r="J196" s="81"/>
      <c r="K196" s="60"/>
      <c r="L196" s="60"/>
      <c r="M196" s="60"/>
      <c r="N196" s="60"/>
      <c r="O196" s="60"/>
      <c r="P196" s="60"/>
      <c r="Q196" s="60"/>
      <c r="R196" s="58"/>
      <c r="S196" s="62" t="str">
        <f aca="false">IF(OR(B196="",V196=""),"",IFERROR(INDEX(C_TIPO,MATCH(V196&amp;"-P"&amp;MAX(1,COUNTIFS(C_RUTN,V196,C_DEF,"Sí",C_INI,"&lt;="&amp;EOMONTH(B196,0))),C_CLAVE,0))&amp;"","Sin contrato"))</f>
        <v/>
      </c>
      <c r="T196" s="63" t="str">
        <f aca="false">IF(OR(B196="",N(O196)=0),"",N(O196)+ROUND(MIN(N(N196),TOPE_UF*UF_MES)*(TASA_EMP+MUTUAL),0)+ROUND(MIN(N(N196),TOPE_AFC_UF*UF_MES)*IF(S196="Indefinido",AFC_INDEF,AFC_PF),0))</f>
        <v/>
      </c>
      <c r="U196" s="62" t="str">
        <f aca="false">IF(C196="","",IF(LEFT(D196,1)="⚠","⚠ RUT no registrado en Trabajadores",IF(B196="","⚠ Falta el mes",IF(OR(ISTEXT(I196),ISTEXT(J196)),"⚠ Atrasos u horas extra como texto: escriba hh:mm (ej. 1:30)",IF(AND(ISNUMBER(Q196),COUNTIFS(M_RUTN,V196,M_MES,B196,M_LIQ,"&lt;&gt;")&gt;1),"⚠ Liquidación repetida en el mes",IF(AND(ISNUMBER(O196),ISNUMBER(P196),ISNUMBER(Q196),ABS(O196-P196-Q196)&gt;1),"⚠ Haberes − descuentos no da el líquido","OK"))))))</f>
        <v/>
      </c>
      <c r="V196" s="62" t="str">
        <f aca="false">IF(C196="","",IFERROR(VALUE(LEFT(UPPER(SUBSTITUTE(SUBSTITUTE(SUBSTITUTE(TRIM(C196),".",""),"-","")," ","")),LEN(UPPER(SUBSTITUTE(SUBSTITUTE(SUBSTITUTE(TRIM(C196),".",""),"-","")," ","")))-1))&amp;RIGHT(UPPER(SUBSTITUTE(SUBSTITUTE(SUBSTITUTE(TRIM(C196),".",""),"-","")," ","")),1),UPPER(SUBSTITUTE(SUBSTITUTE(SUBSTITUTE(TRIM(C196),".",""),"-","")," ",""))))</f>
        <v/>
      </c>
    </row>
    <row r="197" customFormat="false" ht="15" hidden="false" customHeight="false" outlineLevel="0" collapsed="false">
      <c r="B197" s="80"/>
      <c r="C197" s="58"/>
      <c r="D197" s="62" t="str">
        <f aca="false">IF(C197="","",IFERROR(INDEX(T_NOMBRE,MATCH(V197,T_RUTN,0)),"⚠ RUT no está en Trabajadores"))</f>
        <v/>
      </c>
      <c r="E197" s="61"/>
      <c r="F197" s="61"/>
      <c r="G197" s="61"/>
      <c r="H197" s="61"/>
      <c r="I197" s="81"/>
      <c r="J197" s="81"/>
      <c r="K197" s="60"/>
      <c r="L197" s="60"/>
      <c r="M197" s="60"/>
      <c r="N197" s="60"/>
      <c r="O197" s="60"/>
      <c r="P197" s="60"/>
      <c r="Q197" s="60"/>
      <c r="R197" s="58"/>
      <c r="S197" s="62" t="str">
        <f aca="false">IF(OR(B197="",V197=""),"",IFERROR(INDEX(C_TIPO,MATCH(V197&amp;"-P"&amp;MAX(1,COUNTIFS(C_RUTN,V197,C_DEF,"Sí",C_INI,"&lt;="&amp;EOMONTH(B197,0))),C_CLAVE,0))&amp;"","Sin contrato"))</f>
        <v/>
      </c>
      <c r="T197" s="63" t="str">
        <f aca="false">IF(OR(B197="",N(O197)=0),"",N(O197)+ROUND(MIN(N(N197),TOPE_UF*UF_MES)*(TASA_EMP+MUTUAL),0)+ROUND(MIN(N(N197),TOPE_AFC_UF*UF_MES)*IF(S197="Indefinido",AFC_INDEF,AFC_PF),0))</f>
        <v/>
      </c>
      <c r="U197" s="62" t="str">
        <f aca="false">IF(C197="","",IF(LEFT(D197,1)="⚠","⚠ RUT no registrado en Trabajadores",IF(B197="","⚠ Falta el mes",IF(OR(ISTEXT(I197),ISTEXT(J197)),"⚠ Atrasos u horas extra como texto: escriba hh:mm (ej. 1:30)",IF(AND(ISNUMBER(Q197),COUNTIFS(M_RUTN,V197,M_MES,B197,M_LIQ,"&lt;&gt;")&gt;1),"⚠ Liquidación repetida en el mes",IF(AND(ISNUMBER(O197),ISNUMBER(P197),ISNUMBER(Q197),ABS(O197-P197-Q197)&gt;1),"⚠ Haberes − descuentos no da el líquido","OK"))))))</f>
        <v/>
      </c>
      <c r="V197" s="62" t="str">
        <f aca="false">IF(C197="","",IFERROR(VALUE(LEFT(UPPER(SUBSTITUTE(SUBSTITUTE(SUBSTITUTE(TRIM(C197),".",""),"-","")," ","")),LEN(UPPER(SUBSTITUTE(SUBSTITUTE(SUBSTITUTE(TRIM(C197),".",""),"-","")," ","")))-1))&amp;RIGHT(UPPER(SUBSTITUTE(SUBSTITUTE(SUBSTITUTE(TRIM(C197),".",""),"-","")," ","")),1),UPPER(SUBSTITUTE(SUBSTITUTE(SUBSTITUTE(TRIM(C197),".",""),"-","")," ",""))))</f>
        <v/>
      </c>
    </row>
    <row r="198" customFormat="false" ht="15" hidden="false" customHeight="false" outlineLevel="0" collapsed="false">
      <c r="B198" s="80"/>
      <c r="C198" s="58"/>
      <c r="D198" s="62" t="str">
        <f aca="false">IF(C198="","",IFERROR(INDEX(T_NOMBRE,MATCH(V198,T_RUTN,0)),"⚠ RUT no está en Trabajadores"))</f>
        <v/>
      </c>
      <c r="E198" s="61"/>
      <c r="F198" s="61"/>
      <c r="G198" s="61"/>
      <c r="H198" s="61"/>
      <c r="I198" s="81"/>
      <c r="J198" s="81"/>
      <c r="K198" s="60"/>
      <c r="L198" s="60"/>
      <c r="M198" s="60"/>
      <c r="N198" s="60"/>
      <c r="O198" s="60"/>
      <c r="P198" s="60"/>
      <c r="Q198" s="60"/>
      <c r="R198" s="58"/>
      <c r="S198" s="62" t="str">
        <f aca="false">IF(OR(B198="",V198=""),"",IFERROR(INDEX(C_TIPO,MATCH(V198&amp;"-P"&amp;MAX(1,COUNTIFS(C_RUTN,V198,C_DEF,"Sí",C_INI,"&lt;="&amp;EOMONTH(B198,0))),C_CLAVE,0))&amp;"","Sin contrato"))</f>
        <v/>
      </c>
      <c r="T198" s="63" t="str">
        <f aca="false">IF(OR(B198="",N(O198)=0),"",N(O198)+ROUND(MIN(N(N198),TOPE_UF*UF_MES)*(TASA_EMP+MUTUAL),0)+ROUND(MIN(N(N198),TOPE_AFC_UF*UF_MES)*IF(S198="Indefinido",AFC_INDEF,AFC_PF),0))</f>
        <v/>
      </c>
      <c r="U198" s="62" t="str">
        <f aca="false">IF(C198="","",IF(LEFT(D198,1)="⚠","⚠ RUT no registrado en Trabajadores",IF(B198="","⚠ Falta el mes",IF(OR(ISTEXT(I198),ISTEXT(J198)),"⚠ Atrasos u horas extra como texto: escriba hh:mm (ej. 1:30)",IF(AND(ISNUMBER(Q198),COUNTIFS(M_RUTN,V198,M_MES,B198,M_LIQ,"&lt;&gt;")&gt;1),"⚠ Liquidación repetida en el mes",IF(AND(ISNUMBER(O198),ISNUMBER(P198),ISNUMBER(Q198),ABS(O198-P198-Q198)&gt;1),"⚠ Haberes − descuentos no da el líquido","OK"))))))</f>
        <v/>
      </c>
      <c r="V198" s="62" t="str">
        <f aca="false">IF(C198="","",IFERROR(VALUE(LEFT(UPPER(SUBSTITUTE(SUBSTITUTE(SUBSTITUTE(TRIM(C198),".",""),"-","")," ","")),LEN(UPPER(SUBSTITUTE(SUBSTITUTE(SUBSTITUTE(TRIM(C198),".",""),"-","")," ","")))-1))&amp;RIGHT(UPPER(SUBSTITUTE(SUBSTITUTE(SUBSTITUTE(TRIM(C198),".",""),"-","")," ","")),1),UPPER(SUBSTITUTE(SUBSTITUTE(SUBSTITUTE(TRIM(C198),".",""),"-","")," ",""))))</f>
        <v/>
      </c>
    </row>
    <row r="199" customFormat="false" ht="15" hidden="false" customHeight="false" outlineLevel="0" collapsed="false">
      <c r="B199" s="80"/>
      <c r="C199" s="58"/>
      <c r="D199" s="62" t="str">
        <f aca="false">IF(C199="","",IFERROR(INDEX(T_NOMBRE,MATCH(V199,T_RUTN,0)),"⚠ RUT no está en Trabajadores"))</f>
        <v/>
      </c>
      <c r="E199" s="61"/>
      <c r="F199" s="61"/>
      <c r="G199" s="61"/>
      <c r="H199" s="61"/>
      <c r="I199" s="81"/>
      <c r="J199" s="81"/>
      <c r="K199" s="60"/>
      <c r="L199" s="60"/>
      <c r="M199" s="60"/>
      <c r="N199" s="60"/>
      <c r="O199" s="60"/>
      <c r="P199" s="60"/>
      <c r="Q199" s="60"/>
      <c r="R199" s="58"/>
      <c r="S199" s="62" t="str">
        <f aca="false">IF(OR(B199="",V199=""),"",IFERROR(INDEX(C_TIPO,MATCH(V199&amp;"-P"&amp;MAX(1,COUNTIFS(C_RUTN,V199,C_DEF,"Sí",C_INI,"&lt;="&amp;EOMONTH(B199,0))),C_CLAVE,0))&amp;"","Sin contrato"))</f>
        <v/>
      </c>
      <c r="T199" s="63" t="str">
        <f aca="false">IF(OR(B199="",N(O199)=0),"",N(O199)+ROUND(MIN(N(N199),TOPE_UF*UF_MES)*(TASA_EMP+MUTUAL),0)+ROUND(MIN(N(N199),TOPE_AFC_UF*UF_MES)*IF(S199="Indefinido",AFC_INDEF,AFC_PF),0))</f>
        <v/>
      </c>
      <c r="U199" s="62" t="str">
        <f aca="false">IF(C199="","",IF(LEFT(D199,1)="⚠","⚠ RUT no registrado en Trabajadores",IF(B199="","⚠ Falta el mes",IF(OR(ISTEXT(I199),ISTEXT(J199)),"⚠ Atrasos u horas extra como texto: escriba hh:mm (ej. 1:30)",IF(AND(ISNUMBER(Q199),COUNTIFS(M_RUTN,V199,M_MES,B199,M_LIQ,"&lt;&gt;")&gt;1),"⚠ Liquidación repetida en el mes",IF(AND(ISNUMBER(O199),ISNUMBER(P199),ISNUMBER(Q199),ABS(O199-P199-Q199)&gt;1),"⚠ Haberes − descuentos no da el líquido","OK"))))))</f>
        <v/>
      </c>
      <c r="V199" s="62" t="str">
        <f aca="false">IF(C199="","",IFERROR(VALUE(LEFT(UPPER(SUBSTITUTE(SUBSTITUTE(SUBSTITUTE(TRIM(C199),".",""),"-","")," ","")),LEN(UPPER(SUBSTITUTE(SUBSTITUTE(SUBSTITUTE(TRIM(C199),".",""),"-","")," ","")))-1))&amp;RIGHT(UPPER(SUBSTITUTE(SUBSTITUTE(SUBSTITUTE(TRIM(C199),".",""),"-","")," ","")),1),UPPER(SUBSTITUTE(SUBSTITUTE(SUBSTITUTE(TRIM(C199),".",""),"-","")," ",""))))</f>
        <v/>
      </c>
    </row>
    <row r="200" customFormat="false" ht="15" hidden="false" customHeight="false" outlineLevel="0" collapsed="false">
      <c r="B200" s="80"/>
      <c r="C200" s="58"/>
      <c r="D200" s="62" t="str">
        <f aca="false">IF(C200="","",IFERROR(INDEX(T_NOMBRE,MATCH(V200,T_RUTN,0)),"⚠ RUT no está en Trabajadores"))</f>
        <v/>
      </c>
      <c r="E200" s="61"/>
      <c r="F200" s="61"/>
      <c r="G200" s="61"/>
      <c r="H200" s="61"/>
      <c r="I200" s="81"/>
      <c r="J200" s="81"/>
      <c r="K200" s="60"/>
      <c r="L200" s="60"/>
      <c r="M200" s="60"/>
      <c r="N200" s="60"/>
      <c r="O200" s="60"/>
      <c r="P200" s="60"/>
      <c r="Q200" s="60"/>
      <c r="R200" s="58"/>
      <c r="S200" s="62" t="str">
        <f aca="false">IF(OR(B200="",V200=""),"",IFERROR(INDEX(C_TIPO,MATCH(V200&amp;"-P"&amp;MAX(1,COUNTIFS(C_RUTN,V200,C_DEF,"Sí",C_INI,"&lt;="&amp;EOMONTH(B200,0))),C_CLAVE,0))&amp;"","Sin contrato"))</f>
        <v/>
      </c>
      <c r="T200" s="63" t="str">
        <f aca="false">IF(OR(B200="",N(O200)=0),"",N(O200)+ROUND(MIN(N(N200),TOPE_UF*UF_MES)*(TASA_EMP+MUTUAL),0)+ROUND(MIN(N(N200),TOPE_AFC_UF*UF_MES)*IF(S200="Indefinido",AFC_INDEF,AFC_PF),0))</f>
        <v/>
      </c>
      <c r="U200" s="62" t="str">
        <f aca="false">IF(C200="","",IF(LEFT(D200,1)="⚠","⚠ RUT no registrado en Trabajadores",IF(B200="","⚠ Falta el mes",IF(OR(ISTEXT(I200),ISTEXT(J200)),"⚠ Atrasos u horas extra como texto: escriba hh:mm (ej. 1:30)",IF(AND(ISNUMBER(Q200),COUNTIFS(M_RUTN,V200,M_MES,B200,M_LIQ,"&lt;&gt;")&gt;1),"⚠ Liquidación repetida en el mes",IF(AND(ISNUMBER(O200),ISNUMBER(P200),ISNUMBER(Q200),ABS(O200-P200-Q200)&gt;1),"⚠ Haberes − descuentos no da el líquido","OK"))))))</f>
        <v/>
      </c>
      <c r="V200" s="62" t="str">
        <f aca="false">IF(C200="","",IFERROR(VALUE(LEFT(UPPER(SUBSTITUTE(SUBSTITUTE(SUBSTITUTE(TRIM(C200),".",""),"-","")," ","")),LEN(UPPER(SUBSTITUTE(SUBSTITUTE(SUBSTITUTE(TRIM(C200),".",""),"-","")," ","")))-1))&amp;RIGHT(UPPER(SUBSTITUTE(SUBSTITUTE(SUBSTITUTE(TRIM(C200),".",""),"-","")," ","")),1),UPPER(SUBSTITUTE(SUBSTITUTE(SUBSTITUTE(TRIM(C200),".",""),"-","")," ",""))))</f>
        <v/>
      </c>
    </row>
    <row r="201" customFormat="false" ht="15" hidden="false" customHeight="false" outlineLevel="0" collapsed="false">
      <c r="B201" s="80"/>
      <c r="C201" s="58"/>
      <c r="D201" s="62" t="str">
        <f aca="false">IF(C201="","",IFERROR(INDEX(T_NOMBRE,MATCH(V201,T_RUTN,0)),"⚠ RUT no está en Trabajadores"))</f>
        <v/>
      </c>
      <c r="E201" s="61"/>
      <c r="F201" s="61"/>
      <c r="G201" s="61"/>
      <c r="H201" s="61"/>
      <c r="I201" s="81"/>
      <c r="J201" s="81"/>
      <c r="K201" s="60"/>
      <c r="L201" s="60"/>
      <c r="M201" s="60"/>
      <c r="N201" s="60"/>
      <c r="O201" s="60"/>
      <c r="P201" s="60"/>
      <c r="Q201" s="60"/>
      <c r="R201" s="58"/>
      <c r="S201" s="62" t="str">
        <f aca="false">IF(OR(B201="",V201=""),"",IFERROR(INDEX(C_TIPO,MATCH(V201&amp;"-P"&amp;MAX(1,COUNTIFS(C_RUTN,V201,C_DEF,"Sí",C_INI,"&lt;="&amp;EOMONTH(B201,0))),C_CLAVE,0))&amp;"","Sin contrato"))</f>
        <v/>
      </c>
      <c r="T201" s="63" t="str">
        <f aca="false">IF(OR(B201="",N(O201)=0),"",N(O201)+ROUND(MIN(N(N201),TOPE_UF*UF_MES)*(TASA_EMP+MUTUAL),0)+ROUND(MIN(N(N201),TOPE_AFC_UF*UF_MES)*IF(S201="Indefinido",AFC_INDEF,AFC_PF),0))</f>
        <v/>
      </c>
      <c r="U201" s="62" t="str">
        <f aca="false">IF(C201="","",IF(LEFT(D201,1)="⚠","⚠ RUT no registrado en Trabajadores",IF(B201="","⚠ Falta el mes",IF(OR(ISTEXT(I201),ISTEXT(J201)),"⚠ Atrasos u horas extra como texto: escriba hh:mm (ej. 1:30)",IF(AND(ISNUMBER(Q201),COUNTIFS(M_RUTN,V201,M_MES,B201,M_LIQ,"&lt;&gt;")&gt;1),"⚠ Liquidación repetida en el mes",IF(AND(ISNUMBER(O201),ISNUMBER(P201),ISNUMBER(Q201),ABS(O201-P201-Q201)&gt;1),"⚠ Haberes − descuentos no da el líquido","OK"))))))</f>
        <v/>
      </c>
      <c r="V201" s="62" t="str">
        <f aca="false">IF(C201="","",IFERROR(VALUE(LEFT(UPPER(SUBSTITUTE(SUBSTITUTE(SUBSTITUTE(TRIM(C201),".",""),"-","")," ","")),LEN(UPPER(SUBSTITUTE(SUBSTITUTE(SUBSTITUTE(TRIM(C201),".",""),"-","")," ","")))-1))&amp;RIGHT(UPPER(SUBSTITUTE(SUBSTITUTE(SUBSTITUTE(TRIM(C201),".",""),"-","")," ","")),1),UPPER(SUBSTITUTE(SUBSTITUTE(SUBSTITUTE(TRIM(C201),".",""),"-","")," ",""))))</f>
        <v/>
      </c>
    </row>
    <row r="202" customFormat="false" ht="15" hidden="false" customHeight="false" outlineLevel="0" collapsed="false">
      <c r="B202" s="80"/>
      <c r="C202" s="58"/>
      <c r="D202" s="62" t="str">
        <f aca="false">IF(C202="","",IFERROR(INDEX(T_NOMBRE,MATCH(V202,T_RUTN,0)),"⚠ RUT no está en Trabajadores"))</f>
        <v/>
      </c>
      <c r="E202" s="61"/>
      <c r="F202" s="61"/>
      <c r="G202" s="61"/>
      <c r="H202" s="61"/>
      <c r="I202" s="81"/>
      <c r="J202" s="81"/>
      <c r="K202" s="60"/>
      <c r="L202" s="60"/>
      <c r="M202" s="60"/>
      <c r="N202" s="60"/>
      <c r="O202" s="60"/>
      <c r="P202" s="60"/>
      <c r="Q202" s="60"/>
      <c r="R202" s="58"/>
      <c r="S202" s="62" t="str">
        <f aca="false">IF(OR(B202="",V202=""),"",IFERROR(INDEX(C_TIPO,MATCH(V202&amp;"-P"&amp;MAX(1,COUNTIFS(C_RUTN,V202,C_DEF,"Sí",C_INI,"&lt;="&amp;EOMONTH(B202,0))),C_CLAVE,0))&amp;"","Sin contrato"))</f>
        <v/>
      </c>
      <c r="T202" s="63" t="str">
        <f aca="false">IF(OR(B202="",N(O202)=0),"",N(O202)+ROUND(MIN(N(N202),TOPE_UF*UF_MES)*(TASA_EMP+MUTUAL),0)+ROUND(MIN(N(N202),TOPE_AFC_UF*UF_MES)*IF(S202="Indefinido",AFC_INDEF,AFC_PF),0))</f>
        <v/>
      </c>
      <c r="U202" s="62" t="str">
        <f aca="false">IF(C202="","",IF(LEFT(D202,1)="⚠","⚠ RUT no registrado en Trabajadores",IF(B202="","⚠ Falta el mes",IF(OR(ISTEXT(I202),ISTEXT(J202)),"⚠ Atrasos u horas extra como texto: escriba hh:mm (ej. 1:30)",IF(AND(ISNUMBER(Q202),COUNTIFS(M_RUTN,V202,M_MES,B202,M_LIQ,"&lt;&gt;")&gt;1),"⚠ Liquidación repetida en el mes",IF(AND(ISNUMBER(O202),ISNUMBER(P202),ISNUMBER(Q202),ABS(O202-P202-Q202)&gt;1),"⚠ Haberes − descuentos no da el líquido","OK"))))))</f>
        <v/>
      </c>
      <c r="V202" s="62" t="str">
        <f aca="false">IF(C202="","",IFERROR(VALUE(LEFT(UPPER(SUBSTITUTE(SUBSTITUTE(SUBSTITUTE(TRIM(C202),".",""),"-","")," ","")),LEN(UPPER(SUBSTITUTE(SUBSTITUTE(SUBSTITUTE(TRIM(C202),".",""),"-","")," ","")))-1))&amp;RIGHT(UPPER(SUBSTITUTE(SUBSTITUTE(SUBSTITUTE(TRIM(C202),".",""),"-","")," ","")),1),UPPER(SUBSTITUTE(SUBSTITUTE(SUBSTITUTE(TRIM(C202),".",""),"-","")," ",""))))</f>
        <v/>
      </c>
    </row>
    <row r="203" customFormat="false" ht="15" hidden="false" customHeight="false" outlineLevel="0" collapsed="false">
      <c r="B203" s="80"/>
      <c r="C203" s="58"/>
      <c r="D203" s="62" t="str">
        <f aca="false">IF(C203="","",IFERROR(INDEX(T_NOMBRE,MATCH(V203,T_RUTN,0)),"⚠ RUT no está en Trabajadores"))</f>
        <v/>
      </c>
      <c r="E203" s="61"/>
      <c r="F203" s="61"/>
      <c r="G203" s="61"/>
      <c r="H203" s="61"/>
      <c r="I203" s="81"/>
      <c r="J203" s="81"/>
      <c r="K203" s="60"/>
      <c r="L203" s="60"/>
      <c r="M203" s="60"/>
      <c r="N203" s="60"/>
      <c r="O203" s="60"/>
      <c r="P203" s="60"/>
      <c r="Q203" s="60"/>
      <c r="R203" s="58"/>
      <c r="S203" s="62" t="str">
        <f aca="false">IF(OR(B203="",V203=""),"",IFERROR(INDEX(C_TIPO,MATCH(V203&amp;"-P"&amp;MAX(1,COUNTIFS(C_RUTN,V203,C_DEF,"Sí",C_INI,"&lt;="&amp;EOMONTH(B203,0))),C_CLAVE,0))&amp;"","Sin contrato"))</f>
        <v/>
      </c>
      <c r="T203" s="63" t="str">
        <f aca="false">IF(OR(B203="",N(O203)=0),"",N(O203)+ROUND(MIN(N(N203),TOPE_UF*UF_MES)*(TASA_EMP+MUTUAL),0)+ROUND(MIN(N(N203),TOPE_AFC_UF*UF_MES)*IF(S203="Indefinido",AFC_INDEF,AFC_PF),0))</f>
        <v/>
      </c>
      <c r="U203" s="62" t="str">
        <f aca="false">IF(C203="","",IF(LEFT(D203,1)="⚠","⚠ RUT no registrado en Trabajadores",IF(B203="","⚠ Falta el mes",IF(OR(ISTEXT(I203),ISTEXT(J203)),"⚠ Atrasos u horas extra como texto: escriba hh:mm (ej. 1:30)",IF(AND(ISNUMBER(Q203),COUNTIFS(M_RUTN,V203,M_MES,B203,M_LIQ,"&lt;&gt;")&gt;1),"⚠ Liquidación repetida en el mes",IF(AND(ISNUMBER(O203),ISNUMBER(P203),ISNUMBER(Q203),ABS(O203-P203-Q203)&gt;1),"⚠ Haberes − descuentos no da el líquido","OK"))))))</f>
        <v/>
      </c>
      <c r="V203" s="62" t="str">
        <f aca="false">IF(C203="","",IFERROR(VALUE(LEFT(UPPER(SUBSTITUTE(SUBSTITUTE(SUBSTITUTE(TRIM(C203),".",""),"-","")," ","")),LEN(UPPER(SUBSTITUTE(SUBSTITUTE(SUBSTITUTE(TRIM(C203),".",""),"-","")," ","")))-1))&amp;RIGHT(UPPER(SUBSTITUTE(SUBSTITUTE(SUBSTITUTE(TRIM(C203),".",""),"-","")," ","")),1),UPPER(SUBSTITUTE(SUBSTITUTE(SUBSTITUTE(TRIM(C203),".",""),"-","")," ",""))))</f>
        <v/>
      </c>
    </row>
    <row r="204" customFormat="false" ht="15" hidden="false" customHeight="false" outlineLevel="0" collapsed="false">
      <c r="B204" s="80"/>
      <c r="C204" s="58"/>
      <c r="D204" s="62" t="str">
        <f aca="false">IF(C204="","",IFERROR(INDEX(T_NOMBRE,MATCH(V204,T_RUTN,0)),"⚠ RUT no está en Trabajadores"))</f>
        <v/>
      </c>
      <c r="E204" s="61"/>
      <c r="F204" s="61"/>
      <c r="G204" s="61"/>
      <c r="H204" s="61"/>
      <c r="I204" s="81"/>
      <c r="J204" s="81"/>
      <c r="K204" s="60"/>
      <c r="L204" s="60"/>
      <c r="M204" s="60"/>
      <c r="N204" s="60"/>
      <c r="O204" s="60"/>
      <c r="P204" s="60"/>
      <c r="Q204" s="60"/>
      <c r="R204" s="58"/>
      <c r="S204" s="62" t="str">
        <f aca="false">IF(OR(B204="",V204=""),"",IFERROR(INDEX(C_TIPO,MATCH(V204&amp;"-P"&amp;MAX(1,COUNTIFS(C_RUTN,V204,C_DEF,"Sí",C_INI,"&lt;="&amp;EOMONTH(B204,0))),C_CLAVE,0))&amp;"","Sin contrato"))</f>
        <v/>
      </c>
      <c r="T204" s="63" t="str">
        <f aca="false">IF(OR(B204="",N(O204)=0),"",N(O204)+ROUND(MIN(N(N204),TOPE_UF*UF_MES)*(TASA_EMP+MUTUAL),0)+ROUND(MIN(N(N204),TOPE_AFC_UF*UF_MES)*IF(S204="Indefinido",AFC_INDEF,AFC_PF),0))</f>
        <v/>
      </c>
      <c r="U204" s="62" t="str">
        <f aca="false">IF(C204="","",IF(LEFT(D204,1)="⚠","⚠ RUT no registrado en Trabajadores",IF(B204="","⚠ Falta el mes",IF(OR(ISTEXT(I204),ISTEXT(J204)),"⚠ Atrasos u horas extra como texto: escriba hh:mm (ej. 1:30)",IF(AND(ISNUMBER(Q204),COUNTIFS(M_RUTN,V204,M_MES,B204,M_LIQ,"&lt;&gt;")&gt;1),"⚠ Liquidación repetida en el mes",IF(AND(ISNUMBER(O204),ISNUMBER(P204),ISNUMBER(Q204),ABS(O204-P204-Q204)&gt;1),"⚠ Haberes − descuentos no da el líquido","OK"))))))</f>
        <v/>
      </c>
      <c r="V204" s="62" t="str">
        <f aca="false">IF(C204="","",IFERROR(VALUE(LEFT(UPPER(SUBSTITUTE(SUBSTITUTE(SUBSTITUTE(TRIM(C204),".",""),"-","")," ","")),LEN(UPPER(SUBSTITUTE(SUBSTITUTE(SUBSTITUTE(TRIM(C204),".",""),"-","")," ","")))-1))&amp;RIGHT(UPPER(SUBSTITUTE(SUBSTITUTE(SUBSTITUTE(TRIM(C204),".",""),"-","")," ","")),1),UPPER(SUBSTITUTE(SUBSTITUTE(SUBSTITUTE(TRIM(C204),".",""),"-","")," ",""))))</f>
        <v/>
      </c>
    </row>
    <row r="205" customFormat="false" ht="15" hidden="false" customHeight="false" outlineLevel="0" collapsed="false">
      <c r="B205" s="80"/>
      <c r="C205" s="58"/>
      <c r="D205" s="62" t="str">
        <f aca="false">IF(C205="","",IFERROR(INDEX(T_NOMBRE,MATCH(V205,T_RUTN,0)),"⚠ RUT no está en Trabajadores"))</f>
        <v/>
      </c>
      <c r="E205" s="61"/>
      <c r="F205" s="61"/>
      <c r="G205" s="61"/>
      <c r="H205" s="61"/>
      <c r="I205" s="81"/>
      <c r="J205" s="81"/>
      <c r="K205" s="60"/>
      <c r="L205" s="60"/>
      <c r="M205" s="60"/>
      <c r="N205" s="60"/>
      <c r="O205" s="60"/>
      <c r="P205" s="60"/>
      <c r="Q205" s="60"/>
      <c r="R205" s="58"/>
      <c r="S205" s="62" t="str">
        <f aca="false">IF(OR(B205="",V205=""),"",IFERROR(INDEX(C_TIPO,MATCH(V205&amp;"-P"&amp;MAX(1,COUNTIFS(C_RUTN,V205,C_DEF,"Sí",C_INI,"&lt;="&amp;EOMONTH(B205,0))),C_CLAVE,0))&amp;"","Sin contrato"))</f>
        <v/>
      </c>
      <c r="T205" s="63" t="str">
        <f aca="false">IF(OR(B205="",N(O205)=0),"",N(O205)+ROUND(MIN(N(N205),TOPE_UF*UF_MES)*(TASA_EMP+MUTUAL),0)+ROUND(MIN(N(N205),TOPE_AFC_UF*UF_MES)*IF(S205="Indefinido",AFC_INDEF,AFC_PF),0))</f>
        <v/>
      </c>
      <c r="U205" s="62" t="str">
        <f aca="false">IF(C205="","",IF(LEFT(D205,1)="⚠","⚠ RUT no registrado en Trabajadores",IF(B205="","⚠ Falta el mes",IF(OR(ISTEXT(I205),ISTEXT(J205)),"⚠ Atrasos u horas extra como texto: escriba hh:mm (ej. 1:30)",IF(AND(ISNUMBER(Q205),COUNTIFS(M_RUTN,V205,M_MES,B205,M_LIQ,"&lt;&gt;")&gt;1),"⚠ Liquidación repetida en el mes",IF(AND(ISNUMBER(O205),ISNUMBER(P205),ISNUMBER(Q205),ABS(O205-P205-Q205)&gt;1),"⚠ Haberes − descuentos no da el líquido","OK"))))))</f>
        <v/>
      </c>
      <c r="V205" s="62" t="str">
        <f aca="false">IF(C205="","",IFERROR(VALUE(LEFT(UPPER(SUBSTITUTE(SUBSTITUTE(SUBSTITUTE(TRIM(C205),".",""),"-","")," ","")),LEN(UPPER(SUBSTITUTE(SUBSTITUTE(SUBSTITUTE(TRIM(C205),".",""),"-","")," ","")))-1))&amp;RIGHT(UPPER(SUBSTITUTE(SUBSTITUTE(SUBSTITUTE(TRIM(C205),".",""),"-","")," ","")),1),UPPER(SUBSTITUTE(SUBSTITUTE(SUBSTITUTE(TRIM(C205),".",""),"-","")," ",""))))</f>
        <v/>
      </c>
    </row>
    <row r="206" customFormat="false" ht="15" hidden="false" customHeight="false" outlineLevel="0" collapsed="false">
      <c r="B206" s="80"/>
      <c r="C206" s="58"/>
      <c r="D206" s="62" t="str">
        <f aca="false">IF(C206="","",IFERROR(INDEX(T_NOMBRE,MATCH(V206,T_RUTN,0)),"⚠ RUT no está en Trabajadores"))</f>
        <v/>
      </c>
      <c r="E206" s="61"/>
      <c r="F206" s="61"/>
      <c r="G206" s="61"/>
      <c r="H206" s="61"/>
      <c r="I206" s="81"/>
      <c r="J206" s="81"/>
      <c r="K206" s="60"/>
      <c r="L206" s="60"/>
      <c r="M206" s="60"/>
      <c r="N206" s="60"/>
      <c r="O206" s="60"/>
      <c r="P206" s="60"/>
      <c r="Q206" s="60"/>
      <c r="R206" s="58"/>
      <c r="S206" s="62" t="str">
        <f aca="false">IF(OR(B206="",V206=""),"",IFERROR(INDEX(C_TIPO,MATCH(V206&amp;"-P"&amp;MAX(1,COUNTIFS(C_RUTN,V206,C_DEF,"Sí",C_INI,"&lt;="&amp;EOMONTH(B206,0))),C_CLAVE,0))&amp;"","Sin contrato"))</f>
        <v/>
      </c>
      <c r="T206" s="63" t="str">
        <f aca="false">IF(OR(B206="",N(O206)=0),"",N(O206)+ROUND(MIN(N(N206),TOPE_UF*UF_MES)*(TASA_EMP+MUTUAL),0)+ROUND(MIN(N(N206),TOPE_AFC_UF*UF_MES)*IF(S206="Indefinido",AFC_INDEF,AFC_PF),0))</f>
        <v/>
      </c>
      <c r="U206" s="62" t="str">
        <f aca="false">IF(C206="","",IF(LEFT(D206,1)="⚠","⚠ RUT no registrado en Trabajadores",IF(B206="","⚠ Falta el mes",IF(OR(ISTEXT(I206),ISTEXT(J206)),"⚠ Atrasos u horas extra como texto: escriba hh:mm (ej. 1:30)",IF(AND(ISNUMBER(Q206),COUNTIFS(M_RUTN,V206,M_MES,B206,M_LIQ,"&lt;&gt;")&gt;1),"⚠ Liquidación repetida en el mes",IF(AND(ISNUMBER(O206),ISNUMBER(P206),ISNUMBER(Q206),ABS(O206-P206-Q206)&gt;1),"⚠ Haberes − descuentos no da el líquido","OK"))))))</f>
        <v/>
      </c>
      <c r="V206" s="62" t="str">
        <f aca="false">IF(C206="","",IFERROR(VALUE(LEFT(UPPER(SUBSTITUTE(SUBSTITUTE(SUBSTITUTE(TRIM(C206),".",""),"-","")," ","")),LEN(UPPER(SUBSTITUTE(SUBSTITUTE(SUBSTITUTE(TRIM(C206),".",""),"-","")," ","")))-1))&amp;RIGHT(UPPER(SUBSTITUTE(SUBSTITUTE(SUBSTITUTE(TRIM(C206),".",""),"-","")," ","")),1),UPPER(SUBSTITUTE(SUBSTITUTE(SUBSTITUTE(TRIM(C206),".",""),"-","")," ",""))))</f>
        <v/>
      </c>
    </row>
    <row r="207" customFormat="false" ht="15" hidden="false" customHeight="false" outlineLevel="0" collapsed="false">
      <c r="B207" s="80"/>
      <c r="C207" s="58"/>
      <c r="D207" s="62" t="str">
        <f aca="false">IF(C207="","",IFERROR(INDEX(T_NOMBRE,MATCH(V207,T_RUTN,0)),"⚠ RUT no está en Trabajadores"))</f>
        <v/>
      </c>
      <c r="E207" s="61"/>
      <c r="F207" s="61"/>
      <c r="G207" s="61"/>
      <c r="H207" s="61"/>
      <c r="I207" s="81"/>
      <c r="J207" s="81"/>
      <c r="K207" s="60"/>
      <c r="L207" s="60"/>
      <c r="M207" s="60"/>
      <c r="N207" s="60"/>
      <c r="O207" s="60"/>
      <c r="P207" s="60"/>
      <c r="Q207" s="60"/>
      <c r="R207" s="58"/>
      <c r="S207" s="62" t="str">
        <f aca="false">IF(OR(B207="",V207=""),"",IFERROR(INDEX(C_TIPO,MATCH(V207&amp;"-P"&amp;MAX(1,COUNTIFS(C_RUTN,V207,C_DEF,"Sí",C_INI,"&lt;="&amp;EOMONTH(B207,0))),C_CLAVE,0))&amp;"","Sin contrato"))</f>
        <v/>
      </c>
      <c r="T207" s="63" t="str">
        <f aca="false">IF(OR(B207="",N(O207)=0),"",N(O207)+ROUND(MIN(N(N207),TOPE_UF*UF_MES)*(TASA_EMP+MUTUAL),0)+ROUND(MIN(N(N207),TOPE_AFC_UF*UF_MES)*IF(S207="Indefinido",AFC_INDEF,AFC_PF),0))</f>
        <v/>
      </c>
      <c r="U207" s="62" t="str">
        <f aca="false">IF(C207="","",IF(LEFT(D207,1)="⚠","⚠ RUT no registrado en Trabajadores",IF(B207="","⚠ Falta el mes",IF(OR(ISTEXT(I207),ISTEXT(J207)),"⚠ Atrasos u horas extra como texto: escriba hh:mm (ej. 1:30)",IF(AND(ISNUMBER(Q207),COUNTIFS(M_RUTN,V207,M_MES,B207,M_LIQ,"&lt;&gt;")&gt;1),"⚠ Liquidación repetida en el mes",IF(AND(ISNUMBER(O207),ISNUMBER(P207),ISNUMBER(Q207),ABS(O207-P207-Q207)&gt;1),"⚠ Haberes − descuentos no da el líquido","OK"))))))</f>
        <v/>
      </c>
      <c r="V207" s="62" t="str">
        <f aca="false">IF(C207="","",IFERROR(VALUE(LEFT(UPPER(SUBSTITUTE(SUBSTITUTE(SUBSTITUTE(TRIM(C207),".",""),"-","")," ","")),LEN(UPPER(SUBSTITUTE(SUBSTITUTE(SUBSTITUTE(TRIM(C207),".",""),"-","")," ","")))-1))&amp;RIGHT(UPPER(SUBSTITUTE(SUBSTITUTE(SUBSTITUTE(TRIM(C207),".",""),"-","")," ","")),1),UPPER(SUBSTITUTE(SUBSTITUTE(SUBSTITUTE(TRIM(C207),".",""),"-","")," ",""))))</f>
        <v/>
      </c>
    </row>
    <row r="208" customFormat="false" ht="15" hidden="false" customHeight="false" outlineLevel="0" collapsed="false">
      <c r="B208" s="80"/>
      <c r="C208" s="58"/>
      <c r="D208" s="62" t="str">
        <f aca="false">IF(C208="","",IFERROR(INDEX(T_NOMBRE,MATCH(V208,T_RUTN,0)),"⚠ RUT no está en Trabajadores"))</f>
        <v/>
      </c>
      <c r="E208" s="61"/>
      <c r="F208" s="61"/>
      <c r="G208" s="61"/>
      <c r="H208" s="61"/>
      <c r="I208" s="81"/>
      <c r="J208" s="81"/>
      <c r="K208" s="60"/>
      <c r="L208" s="60"/>
      <c r="M208" s="60"/>
      <c r="N208" s="60"/>
      <c r="O208" s="60"/>
      <c r="P208" s="60"/>
      <c r="Q208" s="60"/>
      <c r="R208" s="58"/>
      <c r="S208" s="62" t="str">
        <f aca="false">IF(OR(B208="",V208=""),"",IFERROR(INDEX(C_TIPO,MATCH(V208&amp;"-P"&amp;MAX(1,COUNTIFS(C_RUTN,V208,C_DEF,"Sí",C_INI,"&lt;="&amp;EOMONTH(B208,0))),C_CLAVE,0))&amp;"","Sin contrato"))</f>
        <v/>
      </c>
      <c r="T208" s="63" t="str">
        <f aca="false">IF(OR(B208="",N(O208)=0),"",N(O208)+ROUND(MIN(N(N208),TOPE_UF*UF_MES)*(TASA_EMP+MUTUAL),0)+ROUND(MIN(N(N208),TOPE_AFC_UF*UF_MES)*IF(S208="Indefinido",AFC_INDEF,AFC_PF),0))</f>
        <v/>
      </c>
      <c r="U208" s="62" t="str">
        <f aca="false">IF(C208="","",IF(LEFT(D208,1)="⚠","⚠ RUT no registrado en Trabajadores",IF(B208="","⚠ Falta el mes",IF(OR(ISTEXT(I208),ISTEXT(J208)),"⚠ Atrasos u horas extra como texto: escriba hh:mm (ej. 1:30)",IF(AND(ISNUMBER(Q208),COUNTIFS(M_RUTN,V208,M_MES,B208,M_LIQ,"&lt;&gt;")&gt;1),"⚠ Liquidación repetida en el mes",IF(AND(ISNUMBER(O208),ISNUMBER(P208),ISNUMBER(Q208),ABS(O208-P208-Q208)&gt;1),"⚠ Haberes − descuentos no da el líquido","OK"))))))</f>
        <v/>
      </c>
      <c r="V208" s="62" t="str">
        <f aca="false">IF(C208="","",IFERROR(VALUE(LEFT(UPPER(SUBSTITUTE(SUBSTITUTE(SUBSTITUTE(TRIM(C208),".",""),"-","")," ","")),LEN(UPPER(SUBSTITUTE(SUBSTITUTE(SUBSTITUTE(TRIM(C208),".",""),"-","")," ","")))-1))&amp;RIGHT(UPPER(SUBSTITUTE(SUBSTITUTE(SUBSTITUTE(TRIM(C208),".",""),"-","")," ","")),1),UPPER(SUBSTITUTE(SUBSTITUTE(SUBSTITUTE(TRIM(C208),".",""),"-","")," ",""))))</f>
        <v/>
      </c>
    </row>
    <row r="209" customFormat="false" ht="15" hidden="false" customHeight="false" outlineLevel="0" collapsed="false">
      <c r="B209" s="80"/>
      <c r="C209" s="58"/>
      <c r="D209" s="62" t="str">
        <f aca="false">IF(C209="","",IFERROR(INDEX(T_NOMBRE,MATCH(V209,T_RUTN,0)),"⚠ RUT no está en Trabajadores"))</f>
        <v/>
      </c>
      <c r="E209" s="61"/>
      <c r="F209" s="61"/>
      <c r="G209" s="61"/>
      <c r="H209" s="61"/>
      <c r="I209" s="81"/>
      <c r="J209" s="81"/>
      <c r="K209" s="60"/>
      <c r="L209" s="60"/>
      <c r="M209" s="60"/>
      <c r="N209" s="60"/>
      <c r="O209" s="60"/>
      <c r="P209" s="60"/>
      <c r="Q209" s="60"/>
      <c r="R209" s="58"/>
      <c r="S209" s="62" t="str">
        <f aca="false">IF(OR(B209="",V209=""),"",IFERROR(INDEX(C_TIPO,MATCH(V209&amp;"-P"&amp;MAX(1,COUNTIFS(C_RUTN,V209,C_DEF,"Sí",C_INI,"&lt;="&amp;EOMONTH(B209,0))),C_CLAVE,0))&amp;"","Sin contrato"))</f>
        <v/>
      </c>
      <c r="T209" s="63" t="str">
        <f aca="false">IF(OR(B209="",N(O209)=0),"",N(O209)+ROUND(MIN(N(N209),TOPE_UF*UF_MES)*(TASA_EMP+MUTUAL),0)+ROUND(MIN(N(N209),TOPE_AFC_UF*UF_MES)*IF(S209="Indefinido",AFC_INDEF,AFC_PF),0))</f>
        <v/>
      </c>
      <c r="U209" s="62" t="str">
        <f aca="false">IF(C209="","",IF(LEFT(D209,1)="⚠","⚠ RUT no registrado en Trabajadores",IF(B209="","⚠ Falta el mes",IF(OR(ISTEXT(I209),ISTEXT(J209)),"⚠ Atrasos u horas extra como texto: escriba hh:mm (ej. 1:30)",IF(AND(ISNUMBER(Q209),COUNTIFS(M_RUTN,V209,M_MES,B209,M_LIQ,"&lt;&gt;")&gt;1),"⚠ Liquidación repetida en el mes",IF(AND(ISNUMBER(O209),ISNUMBER(P209),ISNUMBER(Q209),ABS(O209-P209-Q209)&gt;1),"⚠ Haberes − descuentos no da el líquido","OK"))))))</f>
        <v/>
      </c>
      <c r="V209" s="62" t="str">
        <f aca="false">IF(C209="","",IFERROR(VALUE(LEFT(UPPER(SUBSTITUTE(SUBSTITUTE(SUBSTITUTE(TRIM(C209),".",""),"-","")," ","")),LEN(UPPER(SUBSTITUTE(SUBSTITUTE(SUBSTITUTE(TRIM(C209),".",""),"-","")," ","")))-1))&amp;RIGHT(UPPER(SUBSTITUTE(SUBSTITUTE(SUBSTITUTE(TRIM(C209),".",""),"-","")," ","")),1),UPPER(SUBSTITUTE(SUBSTITUTE(SUBSTITUTE(TRIM(C209),".",""),"-","")," ",""))))</f>
        <v/>
      </c>
    </row>
    <row r="210" customFormat="false" ht="15" hidden="false" customHeight="false" outlineLevel="0" collapsed="false">
      <c r="B210" s="80"/>
      <c r="C210" s="58"/>
      <c r="D210" s="62" t="str">
        <f aca="false">IF(C210="","",IFERROR(INDEX(T_NOMBRE,MATCH(V210,T_RUTN,0)),"⚠ RUT no está en Trabajadores"))</f>
        <v/>
      </c>
      <c r="E210" s="61"/>
      <c r="F210" s="61"/>
      <c r="G210" s="61"/>
      <c r="H210" s="61"/>
      <c r="I210" s="81"/>
      <c r="J210" s="81"/>
      <c r="K210" s="60"/>
      <c r="L210" s="60"/>
      <c r="M210" s="60"/>
      <c r="N210" s="60"/>
      <c r="O210" s="60"/>
      <c r="P210" s="60"/>
      <c r="Q210" s="60"/>
      <c r="R210" s="58"/>
      <c r="S210" s="62" t="str">
        <f aca="false">IF(OR(B210="",V210=""),"",IFERROR(INDEX(C_TIPO,MATCH(V210&amp;"-P"&amp;MAX(1,COUNTIFS(C_RUTN,V210,C_DEF,"Sí",C_INI,"&lt;="&amp;EOMONTH(B210,0))),C_CLAVE,0))&amp;"","Sin contrato"))</f>
        <v/>
      </c>
      <c r="T210" s="63" t="str">
        <f aca="false">IF(OR(B210="",N(O210)=0),"",N(O210)+ROUND(MIN(N(N210),TOPE_UF*UF_MES)*(TASA_EMP+MUTUAL),0)+ROUND(MIN(N(N210),TOPE_AFC_UF*UF_MES)*IF(S210="Indefinido",AFC_INDEF,AFC_PF),0))</f>
        <v/>
      </c>
      <c r="U210" s="62" t="str">
        <f aca="false">IF(C210="","",IF(LEFT(D210,1)="⚠","⚠ RUT no registrado en Trabajadores",IF(B210="","⚠ Falta el mes",IF(OR(ISTEXT(I210),ISTEXT(J210)),"⚠ Atrasos u horas extra como texto: escriba hh:mm (ej. 1:30)",IF(AND(ISNUMBER(Q210),COUNTIFS(M_RUTN,V210,M_MES,B210,M_LIQ,"&lt;&gt;")&gt;1),"⚠ Liquidación repetida en el mes",IF(AND(ISNUMBER(O210),ISNUMBER(P210),ISNUMBER(Q210),ABS(O210-P210-Q210)&gt;1),"⚠ Haberes − descuentos no da el líquido","OK"))))))</f>
        <v/>
      </c>
      <c r="V210" s="62" t="str">
        <f aca="false">IF(C210="","",IFERROR(VALUE(LEFT(UPPER(SUBSTITUTE(SUBSTITUTE(SUBSTITUTE(TRIM(C210),".",""),"-","")," ","")),LEN(UPPER(SUBSTITUTE(SUBSTITUTE(SUBSTITUTE(TRIM(C210),".",""),"-","")," ","")))-1))&amp;RIGHT(UPPER(SUBSTITUTE(SUBSTITUTE(SUBSTITUTE(TRIM(C210),".",""),"-","")," ","")),1),UPPER(SUBSTITUTE(SUBSTITUTE(SUBSTITUTE(TRIM(C210),".",""),"-","")," ",""))))</f>
        <v/>
      </c>
    </row>
    <row r="211" customFormat="false" ht="15" hidden="false" customHeight="false" outlineLevel="0" collapsed="false">
      <c r="B211" s="80"/>
      <c r="C211" s="58"/>
      <c r="D211" s="62" t="str">
        <f aca="false">IF(C211="","",IFERROR(INDEX(T_NOMBRE,MATCH(V211,T_RUTN,0)),"⚠ RUT no está en Trabajadores"))</f>
        <v/>
      </c>
      <c r="E211" s="61"/>
      <c r="F211" s="61"/>
      <c r="G211" s="61"/>
      <c r="H211" s="61"/>
      <c r="I211" s="81"/>
      <c r="J211" s="81"/>
      <c r="K211" s="60"/>
      <c r="L211" s="60"/>
      <c r="M211" s="60"/>
      <c r="N211" s="60"/>
      <c r="O211" s="60"/>
      <c r="P211" s="60"/>
      <c r="Q211" s="60"/>
      <c r="R211" s="58"/>
      <c r="S211" s="62" t="str">
        <f aca="false">IF(OR(B211="",V211=""),"",IFERROR(INDEX(C_TIPO,MATCH(V211&amp;"-P"&amp;MAX(1,COUNTIFS(C_RUTN,V211,C_DEF,"Sí",C_INI,"&lt;="&amp;EOMONTH(B211,0))),C_CLAVE,0))&amp;"","Sin contrato"))</f>
        <v/>
      </c>
      <c r="T211" s="63" t="str">
        <f aca="false">IF(OR(B211="",N(O211)=0),"",N(O211)+ROUND(MIN(N(N211),TOPE_UF*UF_MES)*(TASA_EMP+MUTUAL),0)+ROUND(MIN(N(N211),TOPE_AFC_UF*UF_MES)*IF(S211="Indefinido",AFC_INDEF,AFC_PF),0))</f>
        <v/>
      </c>
      <c r="U211" s="62" t="str">
        <f aca="false">IF(C211="","",IF(LEFT(D211,1)="⚠","⚠ RUT no registrado en Trabajadores",IF(B211="","⚠ Falta el mes",IF(OR(ISTEXT(I211),ISTEXT(J211)),"⚠ Atrasos u horas extra como texto: escriba hh:mm (ej. 1:30)",IF(AND(ISNUMBER(Q211),COUNTIFS(M_RUTN,V211,M_MES,B211,M_LIQ,"&lt;&gt;")&gt;1),"⚠ Liquidación repetida en el mes",IF(AND(ISNUMBER(O211),ISNUMBER(P211),ISNUMBER(Q211),ABS(O211-P211-Q211)&gt;1),"⚠ Haberes − descuentos no da el líquido","OK"))))))</f>
        <v/>
      </c>
      <c r="V211" s="62" t="str">
        <f aca="false">IF(C211="","",IFERROR(VALUE(LEFT(UPPER(SUBSTITUTE(SUBSTITUTE(SUBSTITUTE(TRIM(C211),".",""),"-","")," ","")),LEN(UPPER(SUBSTITUTE(SUBSTITUTE(SUBSTITUTE(TRIM(C211),".",""),"-","")," ","")))-1))&amp;RIGHT(UPPER(SUBSTITUTE(SUBSTITUTE(SUBSTITUTE(TRIM(C211),".",""),"-","")," ","")),1),UPPER(SUBSTITUTE(SUBSTITUTE(SUBSTITUTE(TRIM(C211),".",""),"-","")," ",""))))</f>
        <v/>
      </c>
    </row>
    <row r="212" customFormat="false" ht="15" hidden="false" customHeight="false" outlineLevel="0" collapsed="false">
      <c r="B212" s="80"/>
      <c r="C212" s="58"/>
      <c r="D212" s="62" t="str">
        <f aca="false">IF(C212="","",IFERROR(INDEX(T_NOMBRE,MATCH(V212,T_RUTN,0)),"⚠ RUT no está en Trabajadores"))</f>
        <v/>
      </c>
      <c r="E212" s="61"/>
      <c r="F212" s="61"/>
      <c r="G212" s="61"/>
      <c r="H212" s="61"/>
      <c r="I212" s="81"/>
      <c r="J212" s="81"/>
      <c r="K212" s="60"/>
      <c r="L212" s="60"/>
      <c r="M212" s="60"/>
      <c r="N212" s="60"/>
      <c r="O212" s="60"/>
      <c r="P212" s="60"/>
      <c r="Q212" s="60"/>
      <c r="R212" s="58"/>
      <c r="S212" s="62" t="str">
        <f aca="false">IF(OR(B212="",V212=""),"",IFERROR(INDEX(C_TIPO,MATCH(V212&amp;"-P"&amp;MAX(1,COUNTIFS(C_RUTN,V212,C_DEF,"Sí",C_INI,"&lt;="&amp;EOMONTH(B212,0))),C_CLAVE,0))&amp;"","Sin contrato"))</f>
        <v/>
      </c>
      <c r="T212" s="63" t="str">
        <f aca="false">IF(OR(B212="",N(O212)=0),"",N(O212)+ROUND(MIN(N(N212),TOPE_UF*UF_MES)*(TASA_EMP+MUTUAL),0)+ROUND(MIN(N(N212),TOPE_AFC_UF*UF_MES)*IF(S212="Indefinido",AFC_INDEF,AFC_PF),0))</f>
        <v/>
      </c>
      <c r="U212" s="62" t="str">
        <f aca="false">IF(C212="","",IF(LEFT(D212,1)="⚠","⚠ RUT no registrado en Trabajadores",IF(B212="","⚠ Falta el mes",IF(OR(ISTEXT(I212),ISTEXT(J212)),"⚠ Atrasos u horas extra como texto: escriba hh:mm (ej. 1:30)",IF(AND(ISNUMBER(Q212),COUNTIFS(M_RUTN,V212,M_MES,B212,M_LIQ,"&lt;&gt;")&gt;1),"⚠ Liquidación repetida en el mes",IF(AND(ISNUMBER(O212),ISNUMBER(P212),ISNUMBER(Q212),ABS(O212-P212-Q212)&gt;1),"⚠ Haberes − descuentos no da el líquido","OK"))))))</f>
        <v/>
      </c>
      <c r="V212" s="62" t="str">
        <f aca="false">IF(C212="","",IFERROR(VALUE(LEFT(UPPER(SUBSTITUTE(SUBSTITUTE(SUBSTITUTE(TRIM(C212),".",""),"-","")," ","")),LEN(UPPER(SUBSTITUTE(SUBSTITUTE(SUBSTITUTE(TRIM(C212),".",""),"-","")," ","")))-1))&amp;RIGHT(UPPER(SUBSTITUTE(SUBSTITUTE(SUBSTITUTE(TRIM(C212),".",""),"-","")," ","")),1),UPPER(SUBSTITUTE(SUBSTITUTE(SUBSTITUTE(TRIM(C212),".",""),"-","")," ",""))))</f>
        <v/>
      </c>
    </row>
    <row r="213" customFormat="false" ht="15" hidden="false" customHeight="false" outlineLevel="0" collapsed="false">
      <c r="B213" s="80"/>
      <c r="C213" s="58"/>
      <c r="D213" s="62" t="str">
        <f aca="false">IF(C213="","",IFERROR(INDEX(T_NOMBRE,MATCH(V213,T_RUTN,0)),"⚠ RUT no está en Trabajadores"))</f>
        <v/>
      </c>
      <c r="E213" s="61"/>
      <c r="F213" s="61"/>
      <c r="G213" s="61"/>
      <c r="H213" s="61"/>
      <c r="I213" s="81"/>
      <c r="J213" s="81"/>
      <c r="K213" s="60"/>
      <c r="L213" s="60"/>
      <c r="M213" s="60"/>
      <c r="N213" s="60"/>
      <c r="O213" s="60"/>
      <c r="P213" s="60"/>
      <c r="Q213" s="60"/>
      <c r="R213" s="58"/>
      <c r="S213" s="62" t="str">
        <f aca="false">IF(OR(B213="",V213=""),"",IFERROR(INDEX(C_TIPO,MATCH(V213&amp;"-P"&amp;MAX(1,COUNTIFS(C_RUTN,V213,C_DEF,"Sí",C_INI,"&lt;="&amp;EOMONTH(B213,0))),C_CLAVE,0))&amp;"","Sin contrato"))</f>
        <v/>
      </c>
      <c r="T213" s="63" t="str">
        <f aca="false">IF(OR(B213="",N(O213)=0),"",N(O213)+ROUND(MIN(N(N213),TOPE_UF*UF_MES)*(TASA_EMP+MUTUAL),0)+ROUND(MIN(N(N213),TOPE_AFC_UF*UF_MES)*IF(S213="Indefinido",AFC_INDEF,AFC_PF),0))</f>
        <v/>
      </c>
      <c r="U213" s="62" t="str">
        <f aca="false">IF(C213="","",IF(LEFT(D213,1)="⚠","⚠ RUT no registrado en Trabajadores",IF(B213="","⚠ Falta el mes",IF(OR(ISTEXT(I213),ISTEXT(J213)),"⚠ Atrasos u horas extra como texto: escriba hh:mm (ej. 1:30)",IF(AND(ISNUMBER(Q213),COUNTIFS(M_RUTN,V213,M_MES,B213,M_LIQ,"&lt;&gt;")&gt;1),"⚠ Liquidación repetida en el mes",IF(AND(ISNUMBER(O213),ISNUMBER(P213),ISNUMBER(Q213),ABS(O213-P213-Q213)&gt;1),"⚠ Haberes − descuentos no da el líquido","OK"))))))</f>
        <v/>
      </c>
      <c r="V213" s="62" t="str">
        <f aca="false">IF(C213="","",IFERROR(VALUE(LEFT(UPPER(SUBSTITUTE(SUBSTITUTE(SUBSTITUTE(TRIM(C213),".",""),"-","")," ","")),LEN(UPPER(SUBSTITUTE(SUBSTITUTE(SUBSTITUTE(TRIM(C213),".",""),"-","")," ","")))-1))&amp;RIGHT(UPPER(SUBSTITUTE(SUBSTITUTE(SUBSTITUTE(TRIM(C213),".",""),"-","")," ","")),1),UPPER(SUBSTITUTE(SUBSTITUTE(SUBSTITUTE(TRIM(C213),".",""),"-","")," ",""))))</f>
        <v/>
      </c>
    </row>
    <row r="214" customFormat="false" ht="15" hidden="false" customHeight="false" outlineLevel="0" collapsed="false">
      <c r="B214" s="80"/>
      <c r="C214" s="58"/>
      <c r="D214" s="62" t="str">
        <f aca="false">IF(C214="","",IFERROR(INDEX(T_NOMBRE,MATCH(V214,T_RUTN,0)),"⚠ RUT no está en Trabajadores"))</f>
        <v/>
      </c>
      <c r="E214" s="61"/>
      <c r="F214" s="61"/>
      <c r="G214" s="61"/>
      <c r="H214" s="61"/>
      <c r="I214" s="81"/>
      <c r="J214" s="81"/>
      <c r="K214" s="60"/>
      <c r="L214" s="60"/>
      <c r="M214" s="60"/>
      <c r="N214" s="60"/>
      <c r="O214" s="60"/>
      <c r="P214" s="60"/>
      <c r="Q214" s="60"/>
      <c r="R214" s="58"/>
      <c r="S214" s="62" t="str">
        <f aca="false">IF(OR(B214="",V214=""),"",IFERROR(INDEX(C_TIPO,MATCH(V214&amp;"-P"&amp;MAX(1,COUNTIFS(C_RUTN,V214,C_DEF,"Sí",C_INI,"&lt;="&amp;EOMONTH(B214,0))),C_CLAVE,0))&amp;"","Sin contrato"))</f>
        <v/>
      </c>
      <c r="T214" s="63" t="str">
        <f aca="false">IF(OR(B214="",N(O214)=0),"",N(O214)+ROUND(MIN(N(N214),TOPE_UF*UF_MES)*(TASA_EMP+MUTUAL),0)+ROUND(MIN(N(N214),TOPE_AFC_UF*UF_MES)*IF(S214="Indefinido",AFC_INDEF,AFC_PF),0))</f>
        <v/>
      </c>
      <c r="U214" s="62" t="str">
        <f aca="false">IF(C214="","",IF(LEFT(D214,1)="⚠","⚠ RUT no registrado en Trabajadores",IF(B214="","⚠ Falta el mes",IF(OR(ISTEXT(I214),ISTEXT(J214)),"⚠ Atrasos u horas extra como texto: escriba hh:mm (ej. 1:30)",IF(AND(ISNUMBER(Q214),COUNTIFS(M_RUTN,V214,M_MES,B214,M_LIQ,"&lt;&gt;")&gt;1),"⚠ Liquidación repetida en el mes",IF(AND(ISNUMBER(O214),ISNUMBER(P214),ISNUMBER(Q214),ABS(O214-P214-Q214)&gt;1),"⚠ Haberes − descuentos no da el líquido","OK"))))))</f>
        <v/>
      </c>
      <c r="V214" s="62" t="str">
        <f aca="false">IF(C214="","",IFERROR(VALUE(LEFT(UPPER(SUBSTITUTE(SUBSTITUTE(SUBSTITUTE(TRIM(C214),".",""),"-","")," ","")),LEN(UPPER(SUBSTITUTE(SUBSTITUTE(SUBSTITUTE(TRIM(C214),".",""),"-","")," ","")))-1))&amp;RIGHT(UPPER(SUBSTITUTE(SUBSTITUTE(SUBSTITUTE(TRIM(C214),".",""),"-","")," ","")),1),UPPER(SUBSTITUTE(SUBSTITUTE(SUBSTITUTE(TRIM(C214),".",""),"-","")," ",""))))</f>
        <v/>
      </c>
    </row>
    <row r="215" customFormat="false" ht="15" hidden="false" customHeight="false" outlineLevel="0" collapsed="false">
      <c r="B215" s="80"/>
      <c r="C215" s="58"/>
      <c r="D215" s="62" t="str">
        <f aca="false">IF(C215="","",IFERROR(INDEX(T_NOMBRE,MATCH(V215,T_RUTN,0)),"⚠ RUT no está en Trabajadores"))</f>
        <v/>
      </c>
      <c r="E215" s="61"/>
      <c r="F215" s="61"/>
      <c r="G215" s="61"/>
      <c r="H215" s="61"/>
      <c r="I215" s="81"/>
      <c r="J215" s="81"/>
      <c r="K215" s="60"/>
      <c r="L215" s="60"/>
      <c r="M215" s="60"/>
      <c r="N215" s="60"/>
      <c r="O215" s="60"/>
      <c r="P215" s="60"/>
      <c r="Q215" s="60"/>
      <c r="R215" s="58"/>
      <c r="S215" s="62" t="str">
        <f aca="false">IF(OR(B215="",V215=""),"",IFERROR(INDEX(C_TIPO,MATCH(V215&amp;"-P"&amp;MAX(1,COUNTIFS(C_RUTN,V215,C_DEF,"Sí",C_INI,"&lt;="&amp;EOMONTH(B215,0))),C_CLAVE,0))&amp;"","Sin contrato"))</f>
        <v/>
      </c>
      <c r="T215" s="63" t="str">
        <f aca="false">IF(OR(B215="",N(O215)=0),"",N(O215)+ROUND(MIN(N(N215),TOPE_UF*UF_MES)*(TASA_EMP+MUTUAL),0)+ROUND(MIN(N(N215),TOPE_AFC_UF*UF_MES)*IF(S215="Indefinido",AFC_INDEF,AFC_PF),0))</f>
        <v/>
      </c>
      <c r="U215" s="62" t="str">
        <f aca="false">IF(C215="","",IF(LEFT(D215,1)="⚠","⚠ RUT no registrado en Trabajadores",IF(B215="","⚠ Falta el mes",IF(OR(ISTEXT(I215),ISTEXT(J215)),"⚠ Atrasos u horas extra como texto: escriba hh:mm (ej. 1:30)",IF(AND(ISNUMBER(Q215),COUNTIFS(M_RUTN,V215,M_MES,B215,M_LIQ,"&lt;&gt;")&gt;1),"⚠ Liquidación repetida en el mes",IF(AND(ISNUMBER(O215),ISNUMBER(P215),ISNUMBER(Q215),ABS(O215-P215-Q215)&gt;1),"⚠ Haberes − descuentos no da el líquido","OK"))))))</f>
        <v/>
      </c>
      <c r="V215" s="62" t="str">
        <f aca="false">IF(C215="","",IFERROR(VALUE(LEFT(UPPER(SUBSTITUTE(SUBSTITUTE(SUBSTITUTE(TRIM(C215),".",""),"-","")," ","")),LEN(UPPER(SUBSTITUTE(SUBSTITUTE(SUBSTITUTE(TRIM(C215),".",""),"-","")," ","")))-1))&amp;RIGHT(UPPER(SUBSTITUTE(SUBSTITUTE(SUBSTITUTE(TRIM(C215),".",""),"-","")," ","")),1),UPPER(SUBSTITUTE(SUBSTITUTE(SUBSTITUTE(TRIM(C215),".",""),"-","")," ",""))))</f>
        <v/>
      </c>
    </row>
    <row r="216" customFormat="false" ht="15" hidden="false" customHeight="false" outlineLevel="0" collapsed="false">
      <c r="B216" s="80"/>
      <c r="C216" s="58"/>
      <c r="D216" s="62" t="str">
        <f aca="false">IF(C216="","",IFERROR(INDEX(T_NOMBRE,MATCH(V216,T_RUTN,0)),"⚠ RUT no está en Trabajadores"))</f>
        <v/>
      </c>
      <c r="E216" s="61"/>
      <c r="F216" s="61"/>
      <c r="G216" s="61"/>
      <c r="H216" s="61"/>
      <c r="I216" s="81"/>
      <c r="J216" s="81"/>
      <c r="K216" s="60"/>
      <c r="L216" s="60"/>
      <c r="M216" s="60"/>
      <c r="N216" s="60"/>
      <c r="O216" s="60"/>
      <c r="P216" s="60"/>
      <c r="Q216" s="60"/>
      <c r="R216" s="58"/>
      <c r="S216" s="62" t="str">
        <f aca="false">IF(OR(B216="",V216=""),"",IFERROR(INDEX(C_TIPO,MATCH(V216&amp;"-P"&amp;MAX(1,COUNTIFS(C_RUTN,V216,C_DEF,"Sí",C_INI,"&lt;="&amp;EOMONTH(B216,0))),C_CLAVE,0))&amp;"","Sin contrato"))</f>
        <v/>
      </c>
      <c r="T216" s="63" t="str">
        <f aca="false">IF(OR(B216="",N(O216)=0),"",N(O216)+ROUND(MIN(N(N216),TOPE_UF*UF_MES)*(TASA_EMP+MUTUAL),0)+ROUND(MIN(N(N216),TOPE_AFC_UF*UF_MES)*IF(S216="Indefinido",AFC_INDEF,AFC_PF),0))</f>
        <v/>
      </c>
      <c r="U216" s="62" t="str">
        <f aca="false">IF(C216="","",IF(LEFT(D216,1)="⚠","⚠ RUT no registrado en Trabajadores",IF(B216="","⚠ Falta el mes",IF(OR(ISTEXT(I216),ISTEXT(J216)),"⚠ Atrasos u horas extra como texto: escriba hh:mm (ej. 1:30)",IF(AND(ISNUMBER(Q216),COUNTIFS(M_RUTN,V216,M_MES,B216,M_LIQ,"&lt;&gt;")&gt;1),"⚠ Liquidación repetida en el mes",IF(AND(ISNUMBER(O216),ISNUMBER(P216),ISNUMBER(Q216),ABS(O216-P216-Q216)&gt;1),"⚠ Haberes − descuentos no da el líquido","OK"))))))</f>
        <v/>
      </c>
      <c r="V216" s="62" t="str">
        <f aca="false">IF(C216="","",IFERROR(VALUE(LEFT(UPPER(SUBSTITUTE(SUBSTITUTE(SUBSTITUTE(TRIM(C216),".",""),"-","")," ","")),LEN(UPPER(SUBSTITUTE(SUBSTITUTE(SUBSTITUTE(TRIM(C216),".",""),"-","")," ","")))-1))&amp;RIGHT(UPPER(SUBSTITUTE(SUBSTITUTE(SUBSTITUTE(TRIM(C216),".",""),"-","")," ","")),1),UPPER(SUBSTITUTE(SUBSTITUTE(SUBSTITUTE(TRIM(C216),".",""),"-","")," ",""))))</f>
        <v/>
      </c>
    </row>
    <row r="217" customFormat="false" ht="15" hidden="false" customHeight="false" outlineLevel="0" collapsed="false">
      <c r="B217" s="80"/>
      <c r="C217" s="58"/>
      <c r="D217" s="62" t="str">
        <f aca="false">IF(C217="","",IFERROR(INDEX(T_NOMBRE,MATCH(V217,T_RUTN,0)),"⚠ RUT no está en Trabajadores"))</f>
        <v/>
      </c>
      <c r="E217" s="61"/>
      <c r="F217" s="61"/>
      <c r="G217" s="61"/>
      <c r="H217" s="61"/>
      <c r="I217" s="81"/>
      <c r="J217" s="81"/>
      <c r="K217" s="60"/>
      <c r="L217" s="60"/>
      <c r="M217" s="60"/>
      <c r="N217" s="60"/>
      <c r="O217" s="60"/>
      <c r="P217" s="60"/>
      <c r="Q217" s="60"/>
      <c r="R217" s="58"/>
      <c r="S217" s="62" t="str">
        <f aca="false">IF(OR(B217="",V217=""),"",IFERROR(INDEX(C_TIPO,MATCH(V217&amp;"-P"&amp;MAX(1,COUNTIFS(C_RUTN,V217,C_DEF,"Sí",C_INI,"&lt;="&amp;EOMONTH(B217,0))),C_CLAVE,0))&amp;"","Sin contrato"))</f>
        <v/>
      </c>
      <c r="T217" s="63" t="str">
        <f aca="false">IF(OR(B217="",N(O217)=0),"",N(O217)+ROUND(MIN(N(N217),TOPE_UF*UF_MES)*(TASA_EMP+MUTUAL),0)+ROUND(MIN(N(N217),TOPE_AFC_UF*UF_MES)*IF(S217="Indefinido",AFC_INDEF,AFC_PF),0))</f>
        <v/>
      </c>
      <c r="U217" s="62" t="str">
        <f aca="false">IF(C217="","",IF(LEFT(D217,1)="⚠","⚠ RUT no registrado en Trabajadores",IF(B217="","⚠ Falta el mes",IF(OR(ISTEXT(I217),ISTEXT(J217)),"⚠ Atrasos u horas extra como texto: escriba hh:mm (ej. 1:30)",IF(AND(ISNUMBER(Q217),COUNTIFS(M_RUTN,V217,M_MES,B217,M_LIQ,"&lt;&gt;")&gt;1),"⚠ Liquidación repetida en el mes",IF(AND(ISNUMBER(O217),ISNUMBER(P217),ISNUMBER(Q217),ABS(O217-P217-Q217)&gt;1),"⚠ Haberes − descuentos no da el líquido","OK"))))))</f>
        <v/>
      </c>
      <c r="V217" s="62" t="str">
        <f aca="false">IF(C217="","",IFERROR(VALUE(LEFT(UPPER(SUBSTITUTE(SUBSTITUTE(SUBSTITUTE(TRIM(C217),".",""),"-","")," ","")),LEN(UPPER(SUBSTITUTE(SUBSTITUTE(SUBSTITUTE(TRIM(C217),".",""),"-","")," ","")))-1))&amp;RIGHT(UPPER(SUBSTITUTE(SUBSTITUTE(SUBSTITUTE(TRIM(C217),".",""),"-","")," ","")),1),UPPER(SUBSTITUTE(SUBSTITUTE(SUBSTITUTE(TRIM(C217),".",""),"-","")," ",""))))</f>
        <v/>
      </c>
    </row>
    <row r="218" customFormat="false" ht="15" hidden="false" customHeight="false" outlineLevel="0" collapsed="false">
      <c r="B218" s="80"/>
      <c r="C218" s="58"/>
      <c r="D218" s="62" t="str">
        <f aca="false">IF(C218="","",IFERROR(INDEX(T_NOMBRE,MATCH(V218,T_RUTN,0)),"⚠ RUT no está en Trabajadores"))</f>
        <v/>
      </c>
      <c r="E218" s="61"/>
      <c r="F218" s="61"/>
      <c r="G218" s="61"/>
      <c r="H218" s="61"/>
      <c r="I218" s="81"/>
      <c r="J218" s="81"/>
      <c r="K218" s="60"/>
      <c r="L218" s="60"/>
      <c r="M218" s="60"/>
      <c r="N218" s="60"/>
      <c r="O218" s="60"/>
      <c r="P218" s="60"/>
      <c r="Q218" s="60"/>
      <c r="R218" s="58"/>
      <c r="S218" s="62" t="str">
        <f aca="false">IF(OR(B218="",V218=""),"",IFERROR(INDEX(C_TIPO,MATCH(V218&amp;"-P"&amp;MAX(1,COUNTIFS(C_RUTN,V218,C_DEF,"Sí",C_INI,"&lt;="&amp;EOMONTH(B218,0))),C_CLAVE,0))&amp;"","Sin contrato"))</f>
        <v/>
      </c>
      <c r="T218" s="63" t="str">
        <f aca="false">IF(OR(B218="",N(O218)=0),"",N(O218)+ROUND(MIN(N(N218),TOPE_UF*UF_MES)*(TASA_EMP+MUTUAL),0)+ROUND(MIN(N(N218),TOPE_AFC_UF*UF_MES)*IF(S218="Indefinido",AFC_INDEF,AFC_PF),0))</f>
        <v/>
      </c>
      <c r="U218" s="62" t="str">
        <f aca="false">IF(C218="","",IF(LEFT(D218,1)="⚠","⚠ RUT no registrado en Trabajadores",IF(B218="","⚠ Falta el mes",IF(OR(ISTEXT(I218),ISTEXT(J218)),"⚠ Atrasos u horas extra como texto: escriba hh:mm (ej. 1:30)",IF(AND(ISNUMBER(Q218),COUNTIFS(M_RUTN,V218,M_MES,B218,M_LIQ,"&lt;&gt;")&gt;1),"⚠ Liquidación repetida en el mes",IF(AND(ISNUMBER(O218),ISNUMBER(P218),ISNUMBER(Q218),ABS(O218-P218-Q218)&gt;1),"⚠ Haberes − descuentos no da el líquido","OK"))))))</f>
        <v/>
      </c>
      <c r="V218" s="62" t="str">
        <f aca="false">IF(C218="","",IFERROR(VALUE(LEFT(UPPER(SUBSTITUTE(SUBSTITUTE(SUBSTITUTE(TRIM(C218),".",""),"-","")," ","")),LEN(UPPER(SUBSTITUTE(SUBSTITUTE(SUBSTITUTE(TRIM(C218),".",""),"-","")," ","")))-1))&amp;RIGHT(UPPER(SUBSTITUTE(SUBSTITUTE(SUBSTITUTE(TRIM(C218),".",""),"-","")," ","")),1),UPPER(SUBSTITUTE(SUBSTITUTE(SUBSTITUTE(TRIM(C218),".",""),"-","")," ",""))))</f>
        <v/>
      </c>
    </row>
    <row r="219" customFormat="false" ht="15" hidden="false" customHeight="false" outlineLevel="0" collapsed="false">
      <c r="B219" s="80"/>
      <c r="C219" s="58"/>
      <c r="D219" s="62" t="str">
        <f aca="false">IF(C219="","",IFERROR(INDEX(T_NOMBRE,MATCH(V219,T_RUTN,0)),"⚠ RUT no está en Trabajadores"))</f>
        <v/>
      </c>
      <c r="E219" s="61"/>
      <c r="F219" s="61"/>
      <c r="G219" s="61"/>
      <c r="H219" s="61"/>
      <c r="I219" s="81"/>
      <c r="J219" s="81"/>
      <c r="K219" s="60"/>
      <c r="L219" s="60"/>
      <c r="M219" s="60"/>
      <c r="N219" s="60"/>
      <c r="O219" s="60"/>
      <c r="P219" s="60"/>
      <c r="Q219" s="60"/>
      <c r="R219" s="58"/>
      <c r="S219" s="62" t="str">
        <f aca="false">IF(OR(B219="",V219=""),"",IFERROR(INDEX(C_TIPO,MATCH(V219&amp;"-P"&amp;MAX(1,COUNTIFS(C_RUTN,V219,C_DEF,"Sí",C_INI,"&lt;="&amp;EOMONTH(B219,0))),C_CLAVE,0))&amp;"","Sin contrato"))</f>
        <v/>
      </c>
      <c r="T219" s="63" t="str">
        <f aca="false">IF(OR(B219="",N(O219)=0),"",N(O219)+ROUND(MIN(N(N219),TOPE_UF*UF_MES)*(TASA_EMP+MUTUAL),0)+ROUND(MIN(N(N219),TOPE_AFC_UF*UF_MES)*IF(S219="Indefinido",AFC_INDEF,AFC_PF),0))</f>
        <v/>
      </c>
      <c r="U219" s="62" t="str">
        <f aca="false">IF(C219="","",IF(LEFT(D219,1)="⚠","⚠ RUT no registrado en Trabajadores",IF(B219="","⚠ Falta el mes",IF(OR(ISTEXT(I219),ISTEXT(J219)),"⚠ Atrasos u horas extra como texto: escriba hh:mm (ej. 1:30)",IF(AND(ISNUMBER(Q219),COUNTIFS(M_RUTN,V219,M_MES,B219,M_LIQ,"&lt;&gt;")&gt;1),"⚠ Liquidación repetida en el mes",IF(AND(ISNUMBER(O219),ISNUMBER(P219),ISNUMBER(Q219),ABS(O219-P219-Q219)&gt;1),"⚠ Haberes − descuentos no da el líquido","OK"))))))</f>
        <v/>
      </c>
      <c r="V219" s="62" t="str">
        <f aca="false">IF(C219="","",IFERROR(VALUE(LEFT(UPPER(SUBSTITUTE(SUBSTITUTE(SUBSTITUTE(TRIM(C219),".",""),"-","")," ","")),LEN(UPPER(SUBSTITUTE(SUBSTITUTE(SUBSTITUTE(TRIM(C219),".",""),"-","")," ","")))-1))&amp;RIGHT(UPPER(SUBSTITUTE(SUBSTITUTE(SUBSTITUTE(TRIM(C219),".",""),"-","")," ","")),1),UPPER(SUBSTITUTE(SUBSTITUTE(SUBSTITUTE(TRIM(C219),".",""),"-","")," ",""))))</f>
        <v/>
      </c>
    </row>
    <row r="220" customFormat="false" ht="15" hidden="false" customHeight="false" outlineLevel="0" collapsed="false">
      <c r="B220" s="80"/>
      <c r="C220" s="58"/>
      <c r="D220" s="62" t="str">
        <f aca="false">IF(C220="","",IFERROR(INDEX(T_NOMBRE,MATCH(V220,T_RUTN,0)),"⚠ RUT no está en Trabajadores"))</f>
        <v/>
      </c>
      <c r="E220" s="61"/>
      <c r="F220" s="61"/>
      <c r="G220" s="61"/>
      <c r="H220" s="61"/>
      <c r="I220" s="81"/>
      <c r="J220" s="81"/>
      <c r="K220" s="60"/>
      <c r="L220" s="60"/>
      <c r="M220" s="60"/>
      <c r="N220" s="60"/>
      <c r="O220" s="60"/>
      <c r="P220" s="60"/>
      <c r="Q220" s="60"/>
      <c r="R220" s="58"/>
      <c r="S220" s="62" t="str">
        <f aca="false">IF(OR(B220="",V220=""),"",IFERROR(INDEX(C_TIPO,MATCH(V220&amp;"-P"&amp;MAX(1,COUNTIFS(C_RUTN,V220,C_DEF,"Sí",C_INI,"&lt;="&amp;EOMONTH(B220,0))),C_CLAVE,0))&amp;"","Sin contrato"))</f>
        <v/>
      </c>
      <c r="T220" s="63" t="str">
        <f aca="false">IF(OR(B220="",N(O220)=0),"",N(O220)+ROUND(MIN(N(N220),TOPE_UF*UF_MES)*(TASA_EMP+MUTUAL),0)+ROUND(MIN(N(N220),TOPE_AFC_UF*UF_MES)*IF(S220="Indefinido",AFC_INDEF,AFC_PF),0))</f>
        <v/>
      </c>
      <c r="U220" s="62" t="str">
        <f aca="false">IF(C220="","",IF(LEFT(D220,1)="⚠","⚠ RUT no registrado en Trabajadores",IF(B220="","⚠ Falta el mes",IF(OR(ISTEXT(I220),ISTEXT(J220)),"⚠ Atrasos u horas extra como texto: escriba hh:mm (ej. 1:30)",IF(AND(ISNUMBER(Q220),COUNTIFS(M_RUTN,V220,M_MES,B220,M_LIQ,"&lt;&gt;")&gt;1),"⚠ Liquidación repetida en el mes",IF(AND(ISNUMBER(O220),ISNUMBER(P220),ISNUMBER(Q220),ABS(O220-P220-Q220)&gt;1),"⚠ Haberes − descuentos no da el líquido","OK"))))))</f>
        <v/>
      </c>
      <c r="V220" s="62" t="str">
        <f aca="false">IF(C220="","",IFERROR(VALUE(LEFT(UPPER(SUBSTITUTE(SUBSTITUTE(SUBSTITUTE(TRIM(C220),".",""),"-","")," ","")),LEN(UPPER(SUBSTITUTE(SUBSTITUTE(SUBSTITUTE(TRIM(C220),".",""),"-","")," ","")))-1))&amp;RIGHT(UPPER(SUBSTITUTE(SUBSTITUTE(SUBSTITUTE(TRIM(C220),".",""),"-","")," ","")),1),UPPER(SUBSTITUTE(SUBSTITUTE(SUBSTITUTE(TRIM(C220),".",""),"-","")," ",""))))</f>
        <v/>
      </c>
    </row>
    <row r="221" customFormat="false" ht="15" hidden="false" customHeight="false" outlineLevel="0" collapsed="false">
      <c r="B221" s="80"/>
      <c r="C221" s="58"/>
      <c r="D221" s="62" t="str">
        <f aca="false">IF(C221="","",IFERROR(INDEX(T_NOMBRE,MATCH(V221,T_RUTN,0)),"⚠ RUT no está en Trabajadores"))</f>
        <v/>
      </c>
      <c r="E221" s="61"/>
      <c r="F221" s="61"/>
      <c r="G221" s="61"/>
      <c r="H221" s="61"/>
      <c r="I221" s="81"/>
      <c r="J221" s="81"/>
      <c r="K221" s="60"/>
      <c r="L221" s="60"/>
      <c r="M221" s="60"/>
      <c r="N221" s="60"/>
      <c r="O221" s="60"/>
      <c r="P221" s="60"/>
      <c r="Q221" s="60"/>
      <c r="R221" s="58"/>
      <c r="S221" s="62" t="str">
        <f aca="false">IF(OR(B221="",V221=""),"",IFERROR(INDEX(C_TIPO,MATCH(V221&amp;"-P"&amp;MAX(1,COUNTIFS(C_RUTN,V221,C_DEF,"Sí",C_INI,"&lt;="&amp;EOMONTH(B221,0))),C_CLAVE,0))&amp;"","Sin contrato"))</f>
        <v/>
      </c>
      <c r="T221" s="63" t="str">
        <f aca="false">IF(OR(B221="",N(O221)=0),"",N(O221)+ROUND(MIN(N(N221),TOPE_UF*UF_MES)*(TASA_EMP+MUTUAL),0)+ROUND(MIN(N(N221),TOPE_AFC_UF*UF_MES)*IF(S221="Indefinido",AFC_INDEF,AFC_PF),0))</f>
        <v/>
      </c>
      <c r="U221" s="62" t="str">
        <f aca="false">IF(C221="","",IF(LEFT(D221,1)="⚠","⚠ RUT no registrado en Trabajadores",IF(B221="","⚠ Falta el mes",IF(OR(ISTEXT(I221),ISTEXT(J221)),"⚠ Atrasos u horas extra como texto: escriba hh:mm (ej. 1:30)",IF(AND(ISNUMBER(Q221),COUNTIFS(M_RUTN,V221,M_MES,B221,M_LIQ,"&lt;&gt;")&gt;1),"⚠ Liquidación repetida en el mes",IF(AND(ISNUMBER(O221),ISNUMBER(P221),ISNUMBER(Q221),ABS(O221-P221-Q221)&gt;1),"⚠ Haberes − descuentos no da el líquido","OK"))))))</f>
        <v/>
      </c>
      <c r="V221" s="62" t="str">
        <f aca="false">IF(C221="","",IFERROR(VALUE(LEFT(UPPER(SUBSTITUTE(SUBSTITUTE(SUBSTITUTE(TRIM(C221),".",""),"-","")," ","")),LEN(UPPER(SUBSTITUTE(SUBSTITUTE(SUBSTITUTE(TRIM(C221),".",""),"-","")," ","")))-1))&amp;RIGHT(UPPER(SUBSTITUTE(SUBSTITUTE(SUBSTITUTE(TRIM(C221),".",""),"-","")," ","")),1),UPPER(SUBSTITUTE(SUBSTITUTE(SUBSTITUTE(TRIM(C221),".",""),"-","")," ",""))))</f>
        <v/>
      </c>
    </row>
    <row r="222" customFormat="false" ht="15" hidden="false" customHeight="false" outlineLevel="0" collapsed="false">
      <c r="B222" s="80"/>
      <c r="C222" s="58"/>
      <c r="D222" s="62" t="str">
        <f aca="false">IF(C222="","",IFERROR(INDEX(T_NOMBRE,MATCH(V222,T_RUTN,0)),"⚠ RUT no está en Trabajadores"))</f>
        <v/>
      </c>
      <c r="E222" s="61"/>
      <c r="F222" s="61"/>
      <c r="G222" s="61"/>
      <c r="H222" s="61"/>
      <c r="I222" s="81"/>
      <c r="J222" s="81"/>
      <c r="K222" s="60"/>
      <c r="L222" s="60"/>
      <c r="M222" s="60"/>
      <c r="N222" s="60"/>
      <c r="O222" s="60"/>
      <c r="P222" s="60"/>
      <c r="Q222" s="60"/>
      <c r="R222" s="58"/>
      <c r="S222" s="62" t="str">
        <f aca="false">IF(OR(B222="",V222=""),"",IFERROR(INDEX(C_TIPO,MATCH(V222&amp;"-P"&amp;MAX(1,COUNTIFS(C_RUTN,V222,C_DEF,"Sí",C_INI,"&lt;="&amp;EOMONTH(B222,0))),C_CLAVE,0))&amp;"","Sin contrato"))</f>
        <v/>
      </c>
      <c r="T222" s="63" t="str">
        <f aca="false">IF(OR(B222="",N(O222)=0),"",N(O222)+ROUND(MIN(N(N222),TOPE_UF*UF_MES)*(TASA_EMP+MUTUAL),0)+ROUND(MIN(N(N222),TOPE_AFC_UF*UF_MES)*IF(S222="Indefinido",AFC_INDEF,AFC_PF),0))</f>
        <v/>
      </c>
      <c r="U222" s="62" t="str">
        <f aca="false">IF(C222="","",IF(LEFT(D222,1)="⚠","⚠ RUT no registrado en Trabajadores",IF(B222="","⚠ Falta el mes",IF(OR(ISTEXT(I222),ISTEXT(J222)),"⚠ Atrasos u horas extra como texto: escriba hh:mm (ej. 1:30)",IF(AND(ISNUMBER(Q222),COUNTIFS(M_RUTN,V222,M_MES,B222,M_LIQ,"&lt;&gt;")&gt;1),"⚠ Liquidación repetida en el mes",IF(AND(ISNUMBER(O222),ISNUMBER(P222),ISNUMBER(Q222),ABS(O222-P222-Q222)&gt;1),"⚠ Haberes − descuentos no da el líquido","OK"))))))</f>
        <v/>
      </c>
      <c r="V222" s="62" t="str">
        <f aca="false">IF(C222="","",IFERROR(VALUE(LEFT(UPPER(SUBSTITUTE(SUBSTITUTE(SUBSTITUTE(TRIM(C222),".",""),"-","")," ","")),LEN(UPPER(SUBSTITUTE(SUBSTITUTE(SUBSTITUTE(TRIM(C222),".",""),"-","")," ","")))-1))&amp;RIGHT(UPPER(SUBSTITUTE(SUBSTITUTE(SUBSTITUTE(TRIM(C222),".",""),"-","")," ","")),1),UPPER(SUBSTITUTE(SUBSTITUTE(SUBSTITUTE(TRIM(C222),".",""),"-","")," ",""))))</f>
        <v/>
      </c>
    </row>
    <row r="223" customFormat="false" ht="15" hidden="false" customHeight="false" outlineLevel="0" collapsed="false">
      <c r="B223" s="80"/>
      <c r="C223" s="58"/>
      <c r="D223" s="62" t="str">
        <f aca="false">IF(C223="","",IFERROR(INDEX(T_NOMBRE,MATCH(V223,T_RUTN,0)),"⚠ RUT no está en Trabajadores"))</f>
        <v/>
      </c>
      <c r="E223" s="61"/>
      <c r="F223" s="61"/>
      <c r="G223" s="61"/>
      <c r="H223" s="61"/>
      <c r="I223" s="81"/>
      <c r="J223" s="81"/>
      <c r="K223" s="60"/>
      <c r="L223" s="60"/>
      <c r="M223" s="60"/>
      <c r="N223" s="60"/>
      <c r="O223" s="60"/>
      <c r="P223" s="60"/>
      <c r="Q223" s="60"/>
      <c r="R223" s="58"/>
      <c r="S223" s="62" t="str">
        <f aca="false">IF(OR(B223="",V223=""),"",IFERROR(INDEX(C_TIPO,MATCH(V223&amp;"-P"&amp;MAX(1,COUNTIFS(C_RUTN,V223,C_DEF,"Sí",C_INI,"&lt;="&amp;EOMONTH(B223,0))),C_CLAVE,0))&amp;"","Sin contrato"))</f>
        <v/>
      </c>
      <c r="T223" s="63" t="str">
        <f aca="false">IF(OR(B223="",N(O223)=0),"",N(O223)+ROUND(MIN(N(N223),TOPE_UF*UF_MES)*(TASA_EMP+MUTUAL),0)+ROUND(MIN(N(N223),TOPE_AFC_UF*UF_MES)*IF(S223="Indefinido",AFC_INDEF,AFC_PF),0))</f>
        <v/>
      </c>
      <c r="U223" s="62" t="str">
        <f aca="false">IF(C223="","",IF(LEFT(D223,1)="⚠","⚠ RUT no registrado en Trabajadores",IF(B223="","⚠ Falta el mes",IF(OR(ISTEXT(I223),ISTEXT(J223)),"⚠ Atrasos u horas extra como texto: escriba hh:mm (ej. 1:30)",IF(AND(ISNUMBER(Q223),COUNTIFS(M_RUTN,V223,M_MES,B223,M_LIQ,"&lt;&gt;")&gt;1),"⚠ Liquidación repetida en el mes",IF(AND(ISNUMBER(O223),ISNUMBER(P223),ISNUMBER(Q223),ABS(O223-P223-Q223)&gt;1),"⚠ Haberes − descuentos no da el líquido","OK"))))))</f>
        <v/>
      </c>
      <c r="V223" s="62" t="str">
        <f aca="false">IF(C223="","",IFERROR(VALUE(LEFT(UPPER(SUBSTITUTE(SUBSTITUTE(SUBSTITUTE(TRIM(C223),".",""),"-","")," ","")),LEN(UPPER(SUBSTITUTE(SUBSTITUTE(SUBSTITUTE(TRIM(C223),".",""),"-","")," ","")))-1))&amp;RIGHT(UPPER(SUBSTITUTE(SUBSTITUTE(SUBSTITUTE(TRIM(C223),".",""),"-","")," ","")),1),UPPER(SUBSTITUTE(SUBSTITUTE(SUBSTITUTE(TRIM(C223),".",""),"-","")," ",""))))</f>
        <v/>
      </c>
    </row>
    <row r="224" customFormat="false" ht="15" hidden="false" customHeight="false" outlineLevel="0" collapsed="false">
      <c r="B224" s="80"/>
      <c r="C224" s="58"/>
      <c r="D224" s="62" t="str">
        <f aca="false">IF(C224="","",IFERROR(INDEX(T_NOMBRE,MATCH(V224,T_RUTN,0)),"⚠ RUT no está en Trabajadores"))</f>
        <v/>
      </c>
      <c r="E224" s="61"/>
      <c r="F224" s="61"/>
      <c r="G224" s="61"/>
      <c r="H224" s="61"/>
      <c r="I224" s="81"/>
      <c r="J224" s="81"/>
      <c r="K224" s="60"/>
      <c r="L224" s="60"/>
      <c r="M224" s="60"/>
      <c r="N224" s="60"/>
      <c r="O224" s="60"/>
      <c r="P224" s="60"/>
      <c r="Q224" s="60"/>
      <c r="R224" s="58"/>
      <c r="S224" s="62" t="str">
        <f aca="false">IF(OR(B224="",V224=""),"",IFERROR(INDEX(C_TIPO,MATCH(V224&amp;"-P"&amp;MAX(1,COUNTIFS(C_RUTN,V224,C_DEF,"Sí",C_INI,"&lt;="&amp;EOMONTH(B224,0))),C_CLAVE,0))&amp;"","Sin contrato"))</f>
        <v/>
      </c>
      <c r="T224" s="63" t="str">
        <f aca="false">IF(OR(B224="",N(O224)=0),"",N(O224)+ROUND(MIN(N(N224),TOPE_UF*UF_MES)*(TASA_EMP+MUTUAL),0)+ROUND(MIN(N(N224),TOPE_AFC_UF*UF_MES)*IF(S224="Indefinido",AFC_INDEF,AFC_PF),0))</f>
        <v/>
      </c>
      <c r="U224" s="62" t="str">
        <f aca="false">IF(C224="","",IF(LEFT(D224,1)="⚠","⚠ RUT no registrado en Trabajadores",IF(B224="","⚠ Falta el mes",IF(OR(ISTEXT(I224),ISTEXT(J224)),"⚠ Atrasos u horas extra como texto: escriba hh:mm (ej. 1:30)",IF(AND(ISNUMBER(Q224),COUNTIFS(M_RUTN,V224,M_MES,B224,M_LIQ,"&lt;&gt;")&gt;1),"⚠ Liquidación repetida en el mes",IF(AND(ISNUMBER(O224),ISNUMBER(P224),ISNUMBER(Q224),ABS(O224-P224-Q224)&gt;1),"⚠ Haberes − descuentos no da el líquido","OK"))))))</f>
        <v/>
      </c>
      <c r="V224" s="62" t="str">
        <f aca="false">IF(C224="","",IFERROR(VALUE(LEFT(UPPER(SUBSTITUTE(SUBSTITUTE(SUBSTITUTE(TRIM(C224),".",""),"-","")," ","")),LEN(UPPER(SUBSTITUTE(SUBSTITUTE(SUBSTITUTE(TRIM(C224),".",""),"-","")," ","")))-1))&amp;RIGHT(UPPER(SUBSTITUTE(SUBSTITUTE(SUBSTITUTE(TRIM(C224),".",""),"-","")," ","")),1),UPPER(SUBSTITUTE(SUBSTITUTE(SUBSTITUTE(TRIM(C224),".",""),"-","")," ",""))))</f>
        <v/>
      </c>
    </row>
    <row r="225" customFormat="false" ht="15" hidden="false" customHeight="false" outlineLevel="0" collapsed="false">
      <c r="B225" s="80"/>
      <c r="C225" s="58"/>
      <c r="D225" s="62" t="str">
        <f aca="false">IF(C225="","",IFERROR(INDEX(T_NOMBRE,MATCH(V225,T_RUTN,0)),"⚠ RUT no está en Trabajadores"))</f>
        <v/>
      </c>
      <c r="E225" s="61"/>
      <c r="F225" s="61"/>
      <c r="G225" s="61"/>
      <c r="H225" s="61"/>
      <c r="I225" s="81"/>
      <c r="J225" s="81"/>
      <c r="K225" s="60"/>
      <c r="L225" s="60"/>
      <c r="M225" s="60"/>
      <c r="N225" s="60"/>
      <c r="O225" s="60"/>
      <c r="P225" s="60"/>
      <c r="Q225" s="60"/>
      <c r="R225" s="58"/>
      <c r="S225" s="62" t="str">
        <f aca="false">IF(OR(B225="",V225=""),"",IFERROR(INDEX(C_TIPO,MATCH(V225&amp;"-P"&amp;MAX(1,COUNTIFS(C_RUTN,V225,C_DEF,"Sí",C_INI,"&lt;="&amp;EOMONTH(B225,0))),C_CLAVE,0))&amp;"","Sin contrato"))</f>
        <v/>
      </c>
      <c r="T225" s="63" t="str">
        <f aca="false">IF(OR(B225="",N(O225)=0),"",N(O225)+ROUND(MIN(N(N225),TOPE_UF*UF_MES)*(TASA_EMP+MUTUAL),0)+ROUND(MIN(N(N225),TOPE_AFC_UF*UF_MES)*IF(S225="Indefinido",AFC_INDEF,AFC_PF),0))</f>
        <v/>
      </c>
      <c r="U225" s="62" t="str">
        <f aca="false">IF(C225="","",IF(LEFT(D225,1)="⚠","⚠ RUT no registrado en Trabajadores",IF(B225="","⚠ Falta el mes",IF(OR(ISTEXT(I225),ISTEXT(J225)),"⚠ Atrasos u horas extra como texto: escriba hh:mm (ej. 1:30)",IF(AND(ISNUMBER(Q225),COUNTIFS(M_RUTN,V225,M_MES,B225,M_LIQ,"&lt;&gt;")&gt;1),"⚠ Liquidación repetida en el mes",IF(AND(ISNUMBER(O225),ISNUMBER(P225),ISNUMBER(Q225),ABS(O225-P225-Q225)&gt;1),"⚠ Haberes − descuentos no da el líquido","OK"))))))</f>
        <v/>
      </c>
      <c r="V225" s="62" t="str">
        <f aca="false">IF(C225="","",IFERROR(VALUE(LEFT(UPPER(SUBSTITUTE(SUBSTITUTE(SUBSTITUTE(TRIM(C225),".",""),"-","")," ","")),LEN(UPPER(SUBSTITUTE(SUBSTITUTE(SUBSTITUTE(TRIM(C225),".",""),"-","")," ","")))-1))&amp;RIGHT(UPPER(SUBSTITUTE(SUBSTITUTE(SUBSTITUTE(TRIM(C225),".",""),"-","")," ","")),1),UPPER(SUBSTITUTE(SUBSTITUTE(SUBSTITUTE(TRIM(C225),".",""),"-","")," ",""))))</f>
        <v/>
      </c>
    </row>
    <row r="226" customFormat="false" ht="15" hidden="false" customHeight="false" outlineLevel="0" collapsed="false">
      <c r="B226" s="80"/>
      <c r="C226" s="58"/>
      <c r="D226" s="62" t="str">
        <f aca="false">IF(C226="","",IFERROR(INDEX(T_NOMBRE,MATCH(V226,T_RUTN,0)),"⚠ RUT no está en Trabajadores"))</f>
        <v/>
      </c>
      <c r="E226" s="61"/>
      <c r="F226" s="61"/>
      <c r="G226" s="61"/>
      <c r="H226" s="61"/>
      <c r="I226" s="81"/>
      <c r="J226" s="81"/>
      <c r="K226" s="60"/>
      <c r="L226" s="60"/>
      <c r="M226" s="60"/>
      <c r="N226" s="60"/>
      <c r="O226" s="60"/>
      <c r="P226" s="60"/>
      <c r="Q226" s="60"/>
      <c r="R226" s="58"/>
      <c r="S226" s="62" t="str">
        <f aca="false">IF(OR(B226="",V226=""),"",IFERROR(INDEX(C_TIPO,MATCH(V226&amp;"-P"&amp;MAX(1,COUNTIFS(C_RUTN,V226,C_DEF,"Sí",C_INI,"&lt;="&amp;EOMONTH(B226,0))),C_CLAVE,0))&amp;"","Sin contrato"))</f>
        <v/>
      </c>
      <c r="T226" s="63" t="str">
        <f aca="false">IF(OR(B226="",N(O226)=0),"",N(O226)+ROUND(MIN(N(N226),TOPE_UF*UF_MES)*(TASA_EMP+MUTUAL),0)+ROUND(MIN(N(N226),TOPE_AFC_UF*UF_MES)*IF(S226="Indefinido",AFC_INDEF,AFC_PF),0))</f>
        <v/>
      </c>
      <c r="U226" s="62" t="str">
        <f aca="false">IF(C226="","",IF(LEFT(D226,1)="⚠","⚠ RUT no registrado en Trabajadores",IF(B226="","⚠ Falta el mes",IF(OR(ISTEXT(I226),ISTEXT(J226)),"⚠ Atrasos u horas extra como texto: escriba hh:mm (ej. 1:30)",IF(AND(ISNUMBER(Q226),COUNTIFS(M_RUTN,V226,M_MES,B226,M_LIQ,"&lt;&gt;")&gt;1),"⚠ Liquidación repetida en el mes",IF(AND(ISNUMBER(O226),ISNUMBER(P226),ISNUMBER(Q226),ABS(O226-P226-Q226)&gt;1),"⚠ Haberes − descuentos no da el líquido","OK"))))))</f>
        <v/>
      </c>
      <c r="V226" s="62" t="str">
        <f aca="false">IF(C226="","",IFERROR(VALUE(LEFT(UPPER(SUBSTITUTE(SUBSTITUTE(SUBSTITUTE(TRIM(C226),".",""),"-","")," ","")),LEN(UPPER(SUBSTITUTE(SUBSTITUTE(SUBSTITUTE(TRIM(C226),".",""),"-","")," ","")))-1))&amp;RIGHT(UPPER(SUBSTITUTE(SUBSTITUTE(SUBSTITUTE(TRIM(C226),".",""),"-","")," ","")),1),UPPER(SUBSTITUTE(SUBSTITUTE(SUBSTITUTE(TRIM(C226),".",""),"-","")," ",""))))</f>
        <v/>
      </c>
    </row>
    <row r="227" customFormat="false" ht="15" hidden="false" customHeight="false" outlineLevel="0" collapsed="false">
      <c r="B227" s="80"/>
      <c r="C227" s="58"/>
      <c r="D227" s="62" t="str">
        <f aca="false">IF(C227="","",IFERROR(INDEX(T_NOMBRE,MATCH(V227,T_RUTN,0)),"⚠ RUT no está en Trabajadores"))</f>
        <v/>
      </c>
      <c r="E227" s="61"/>
      <c r="F227" s="61"/>
      <c r="G227" s="61"/>
      <c r="H227" s="61"/>
      <c r="I227" s="81"/>
      <c r="J227" s="81"/>
      <c r="K227" s="60"/>
      <c r="L227" s="60"/>
      <c r="M227" s="60"/>
      <c r="N227" s="60"/>
      <c r="O227" s="60"/>
      <c r="P227" s="60"/>
      <c r="Q227" s="60"/>
      <c r="R227" s="58"/>
      <c r="S227" s="62" t="str">
        <f aca="false">IF(OR(B227="",V227=""),"",IFERROR(INDEX(C_TIPO,MATCH(V227&amp;"-P"&amp;MAX(1,COUNTIFS(C_RUTN,V227,C_DEF,"Sí",C_INI,"&lt;="&amp;EOMONTH(B227,0))),C_CLAVE,0))&amp;"","Sin contrato"))</f>
        <v/>
      </c>
      <c r="T227" s="63" t="str">
        <f aca="false">IF(OR(B227="",N(O227)=0),"",N(O227)+ROUND(MIN(N(N227),TOPE_UF*UF_MES)*(TASA_EMP+MUTUAL),0)+ROUND(MIN(N(N227),TOPE_AFC_UF*UF_MES)*IF(S227="Indefinido",AFC_INDEF,AFC_PF),0))</f>
        <v/>
      </c>
      <c r="U227" s="62" t="str">
        <f aca="false">IF(C227="","",IF(LEFT(D227,1)="⚠","⚠ RUT no registrado en Trabajadores",IF(B227="","⚠ Falta el mes",IF(OR(ISTEXT(I227),ISTEXT(J227)),"⚠ Atrasos u horas extra como texto: escriba hh:mm (ej. 1:30)",IF(AND(ISNUMBER(Q227),COUNTIFS(M_RUTN,V227,M_MES,B227,M_LIQ,"&lt;&gt;")&gt;1),"⚠ Liquidación repetida en el mes",IF(AND(ISNUMBER(O227),ISNUMBER(P227),ISNUMBER(Q227),ABS(O227-P227-Q227)&gt;1),"⚠ Haberes − descuentos no da el líquido","OK"))))))</f>
        <v/>
      </c>
      <c r="V227" s="62" t="str">
        <f aca="false">IF(C227="","",IFERROR(VALUE(LEFT(UPPER(SUBSTITUTE(SUBSTITUTE(SUBSTITUTE(TRIM(C227),".",""),"-","")," ","")),LEN(UPPER(SUBSTITUTE(SUBSTITUTE(SUBSTITUTE(TRIM(C227),".",""),"-","")," ","")))-1))&amp;RIGHT(UPPER(SUBSTITUTE(SUBSTITUTE(SUBSTITUTE(TRIM(C227),".",""),"-","")," ","")),1),UPPER(SUBSTITUTE(SUBSTITUTE(SUBSTITUTE(TRIM(C227),".",""),"-","")," ",""))))</f>
        <v/>
      </c>
    </row>
    <row r="228" customFormat="false" ht="15" hidden="false" customHeight="false" outlineLevel="0" collapsed="false">
      <c r="B228" s="80"/>
      <c r="C228" s="58"/>
      <c r="D228" s="62" t="str">
        <f aca="false">IF(C228="","",IFERROR(INDEX(T_NOMBRE,MATCH(V228,T_RUTN,0)),"⚠ RUT no está en Trabajadores"))</f>
        <v/>
      </c>
      <c r="E228" s="61"/>
      <c r="F228" s="61"/>
      <c r="G228" s="61"/>
      <c r="H228" s="61"/>
      <c r="I228" s="81"/>
      <c r="J228" s="81"/>
      <c r="K228" s="60"/>
      <c r="L228" s="60"/>
      <c r="M228" s="60"/>
      <c r="N228" s="60"/>
      <c r="O228" s="60"/>
      <c r="P228" s="60"/>
      <c r="Q228" s="60"/>
      <c r="R228" s="58"/>
      <c r="S228" s="62" t="str">
        <f aca="false">IF(OR(B228="",V228=""),"",IFERROR(INDEX(C_TIPO,MATCH(V228&amp;"-P"&amp;MAX(1,COUNTIFS(C_RUTN,V228,C_DEF,"Sí",C_INI,"&lt;="&amp;EOMONTH(B228,0))),C_CLAVE,0))&amp;"","Sin contrato"))</f>
        <v/>
      </c>
      <c r="T228" s="63" t="str">
        <f aca="false">IF(OR(B228="",N(O228)=0),"",N(O228)+ROUND(MIN(N(N228),TOPE_UF*UF_MES)*(TASA_EMP+MUTUAL),0)+ROUND(MIN(N(N228),TOPE_AFC_UF*UF_MES)*IF(S228="Indefinido",AFC_INDEF,AFC_PF),0))</f>
        <v/>
      </c>
      <c r="U228" s="62" t="str">
        <f aca="false">IF(C228="","",IF(LEFT(D228,1)="⚠","⚠ RUT no registrado en Trabajadores",IF(B228="","⚠ Falta el mes",IF(OR(ISTEXT(I228),ISTEXT(J228)),"⚠ Atrasos u horas extra como texto: escriba hh:mm (ej. 1:30)",IF(AND(ISNUMBER(Q228),COUNTIFS(M_RUTN,V228,M_MES,B228,M_LIQ,"&lt;&gt;")&gt;1),"⚠ Liquidación repetida en el mes",IF(AND(ISNUMBER(O228),ISNUMBER(P228),ISNUMBER(Q228),ABS(O228-P228-Q228)&gt;1),"⚠ Haberes − descuentos no da el líquido","OK"))))))</f>
        <v/>
      </c>
      <c r="V228" s="62" t="str">
        <f aca="false">IF(C228="","",IFERROR(VALUE(LEFT(UPPER(SUBSTITUTE(SUBSTITUTE(SUBSTITUTE(TRIM(C228),".",""),"-","")," ","")),LEN(UPPER(SUBSTITUTE(SUBSTITUTE(SUBSTITUTE(TRIM(C228),".",""),"-","")," ","")))-1))&amp;RIGHT(UPPER(SUBSTITUTE(SUBSTITUTE(SUBSTITUTE(TRIM(C228),".",""),"-","")," ","")),1),UPPER(SUBSTITUTE(SUBSTITUTE(SUBSTITUTE(TRIM(C228),".",""),"-","")," ",""))))</f>
        <v/>
      </c>
    </row>
    <row r="229" customFormat="false" ht="15" hidden="false" customHeight="false" outlineLevel="0" collapsed="false">
      <c r="B229" s="80"/>
      <c r="C229" s="58"/>
      <c r="D229" s="62" t="str">
        <f aca="false">IF(C229="","",IFERROR(INDEX(T_NOMBRE,MATCH(V229,T_RUTN,0)),"⚠ RUT no está en Trabajadores"))</f>
        <v/>
      </c>
      <c r="E229" s="61"/>
      <c r="F229" s="61"/>
      <c r="G229" s="61"/>
      <c r="H229" s="61"/>
      <c r="I229" s="81"/>
      <c r="J229" s="81"/>
      <c r="K229" s="60"/>
      <c r="L229" s="60"/>
      <c r="M229" s="60"/>
      <c r="N229" s="60"/>
      <c r="O229" s="60"/>
      <c r="P229" s="60"/>
      <c r="Q229" s="60"/>
      <c r="R229" s="58"/>
      <c r="S229" s="62" t="str">
        <f aca="false">IF(OR(B229="",V229=""),"",IFERROR(INDEX(C_TIPO,MATCH(V229&amp;"-P"&amp;MAX(1,COUNTIFS(C_RUTN,V229,C_DEF,"Sí",C_INI,"&lt;="&amp;EOMONTH(B229,0))),C_CLAVE,0))&amp;"","Sin contrato"))</f>
        <v/>
      </c>
      <c r="T229" s="63" t="str">
        <f aca="false">IF(OR(B229="",N(O229)=0),"",N(O229)+ROUND(MIN(N(N229),TOPE_UF*UF_MES)*(TASA_EMP+MUTUAL),0)+ROUND(MIN(N(N229),TOPE_AFC_UF*UF_MES)*IF(S229="Indefinido",AFC_INDEF,AFC_PF),0))</f>
        <v/>
      </c>
      <c r="U229" s="62" t="str">
        <f aca="false">IF(C229="","",IF(LEFT(D229,1)="⚠","⚠ RUT no registrado en Trabajadores",IF(B229="","⚠ Falta el mes",IF(OR(ISTEXT(I229),ISTEXT(J229)),"⚠ Atrasos u horas extra como texto: escriba hh:mm (ej. 1:30)",IF(AND(ISNUMBER(Q229),COUNTIFS(M_RUTN,V229,M_MES,B229,M_LIQ,"&lt;&gt;")&gt;1),"⚠ Liquidación repetida en el mes",IF(AND(ISNUMBER(O229),ISNUMBER(P229),ISNUMBER(Q229),ABS(O229-P229-Q229)&gt;1),"⚠ Haberes − descuentos no da el líquido","OK"))))))</f>
        <v/>
      </c>
      <c r="V229" s="62" t="str">
        <f aca="false">IF(C229="","",IFERROR(VALUE(LEFT(UPPER(SUBSTITUTE(SUBSTITUTE(SUBSTITUTE(TRIM(C229),".",""),"-","")," ","")),LEN(UPPER(SUBSTITUTE(SUBSTITUTE(SUBSTITUTE(TRIM(C229),".",""),"-","")," ","")))-1))&amp;RIGHT(UPPER(SUBSTITUTE(SUBSTITUTE(SUBSTITUTE(TRIM(C229),".",""),"-","")," ","")),1),UPPER(SUBSTITUTE(SUBSTITUTE(SUBSTITUTE(TRIM(C229),".",""),"-","")," ",""))))</f>
        <v/>
      </c>
    </row>
    <row r="230" customFormat="false" ht="15" hidden="false" customHeight="false" outlineLevel="0" collapsed="false">
      <c r="B230" s="80"/>
      <c r="C230" s="58"/>
      <c r="D230" s="62" t="str">
        <f aca="false">IF(C230="","",IFERROR(INDEX(T_NOMBRE,MATCH(V230,T_RUTN,0)),"⚠ RUT no está en Trabajadores"))</f>
        <v/>
      </c>
      <c r="E230" s="61"/>
      <c r="F230" s="61"/>
      <c r="G230" s="61"/>
      <c r="H230" s="61"/>
      <c r="I230" s="81"/>
      <c r="J230" s="81"/>
      <c r="K230" s="60"/>
      <c r="L230" s="60"/>
      <c r="M230" s="60"/>
      <c r="N230" s="60"/>
      <c r="O230" s="60"/>
      <c r="P230" s="60"/>
      <c r="Q230" s="60"/>
      <c r="R230" s="58"/>
      <c r="S230" s="62" t="str">
        <f aca="false">IF(OR(B230="",V230=""),"",IFERROR(INDEX(C_TIPO,MATCH(V230&amp;"-P"&amp;MAX(1,COUNTIFS(C_RUTN,V230,C_DEF,"Sí",C_INI,"&lt;="&amp;EOMONTH(B230,0))),C_CLAVE,0))&amp;"","Sin contrato"))</f>
        <v/>
      </c>
      <c r="T230" s="63" t="str">
        <f aca="false">IF(OR(B230="",N(O230)=0),"",N(O230)+ROUND(MIN(N(N230),TOPE_UF*UF_MES)*(TASA_EMP+MUTUAL),0)+ROUND(MIN(N(N230),TOPE_AFC_UF*UF_MES)*IF(S230="Indefinido",AFC_INDEF,AFC_PF),0))</f>
        <v/>
      </c>
      <c r="U230" s="62" t="str">
        <f aca="false">IF(C230="","",IF(LEFT(D230,1)="⚠","⚠ RUT no registrado en Trabajadores",IF(B230="","⚠ Falta el mes",IF(OR(ISTEXT(I230),ISTEXT(J230)),"⚠ Atrasos u horas extra como texto: escriba hh:mm (ej. 1:30)",IF(AND(ISNUMBER(Q230),COUNTIFS(M_RUTN,V230,M_MES,B230,M_LIQ,"&lt;&gt;")&gt;1),"⚠ Liquidación repetida en el mes",IF(AND(ISNUMBER(O230),ISNUMBER(P230),ISNUMBER(Q230),ABS(O230-P230-Q230)&gt;1),"⚠ Haberes − descuentos no da el líquido","OK"))))))</f>
        <v/>
      </c>
      <c r="V230" s="62" t="str">
        <f aca="false">IF(C230="","",IFERROR(VALUE(LEFT(UPPER(SUBSTITUTE(SUBSTITUTE(SUBSTITUTE(TRIM(C230),".",""),"-","")," ","")),LEN(UPPER(SUBSTITUTE(SUBSTITUTE(SUBSTITUTE(TRIM(C230),".",""),"-","")," ","")))-1))&amp;RIGHT(UPPER(SUBSTITUTE(SUBSTITUTE(SUBSTITUTE(TRIM(C230),".",""),"-","")," ","")),1),UPPER(SUBSTITUTE(SUBSTITUTE(SUBSTITUTE(TRIM(C230),".",""),"-","")," ",""))))</f>
        <v/>
      </c>
    </row>
    <row r="231" customFormat="false" ht="15" hidden="false" customHeight="false" outlineLevel="0" collapsed="false">
      <c r="B231" s="80"/>
      <c r="C231" s="58"/>
      <c r="D231" s="62" t="str">
        <f aca="false">IF(C231="","",IFERROR(INDEX(T_NOMBRE,MATCH(V231,T_RUTN,0)),"⚠ RUT no está en Trabajadores"))</f>
        <v/>
      </c>
      <c r="E231" s="61"/>
      <c r="F231" s="61"/>
      <c r="G231" s="61"/>
      <c r="H231" s="61"/>
      <c r="I231" s="81"/>
      <c r="J231" s="81"/>
      <c r="K231" s="60"/>
      <c r="L231" s="60"/>
      <c r="M231" s="60"/>
      <c r="N231" s="60"/>
      <c r="O231" s="60"/>
      <c r="P231" s="60"/>
      <c r="Q231" s="60"/>
      <c r="R231" s="58"/>
      <c r="S231" s="62" t="str">
        <f aca="false">IF(OR(B231="",V231=""),"",IFERROR(INDEX(C_TIPO,MATCH(V231&amp;"-P"&amp;MAX(1,COUNTIFS(C_RUTN,V231,C_DEF,"Sí",C_INI,"&lt;="&amp;EOMONTH(B231,0))),C_CLAVE,0))&amp;"","Sin contrato"))</f>
        <v/>
      </c>
      <c r="T231" s="63" t="str">
        <f aca="false">IF(OR(B231="",N(O231)=0),"",N(O231)+ROUND(MIN(N(N231),TOPE_UF*UF_MES)*(TASA_EMP+MUTUAL),0)+ROUND(MIN(N(N231),TOPE_AFC_UF*UF_MES)*IF(S231="Indefinido",AFC_INDEF,AFC_PF),0))</f>
        <v/>
      </c>
      <c r="U231" s="62" t="str">
        <f aca="false">IF(C231="","",IF(LEFT(D231,1)="⚠","⚠ RUT no registrado en Trabajadores",IF(B231="","⚠ Falta el mes",IF(OR(ISTEXT(I231),ISTEXT(J231)),"⚠ Atrasos u horas extra como texto: escriba hh:mm (ej. 1:30)",IF(AND(ISNUMBER(Q231),COUNTIFS(M_RUTN,V231,M_MES,B231,M_LIQ,"&lt;&gt;")&gt;1),"⚠ Liquidación repetida en el mes",IF(AND(ISNUMBER(O231),ISNUMBER(P231),ISNUMBER(Q231),ABS(O231-P231-Q231)&gt;1),"⚠ Haberes − descuentos no da el líquido","OK"))))))</f>
        <v/>
      </c>
      <c r="V231" s="62" t="str">
        <f aca="false">IF(C231="","",IFERROR(VALUE(LEFT(UPPER(SUBSTITUTE(SUBSTITUTE(SUBSTITUTE(TRIM(C231),".",""),"-","")," ","")),LEN(UPPER(SUBSTITUTE(SUBSTITUTE(SUBSTITUTE(TRIM(C231),".",""),"-","")," ","")))-1))&amp;RIGHT(UPPER(SUBSTITUTE(SUBSTITUTE(SUBSTITUTE(TRIM(C231),".",""),"-","")," ","")),1),UPPER(SUBSTITUTE(SUBSTITUTE(SUBSTITUTE(TRIM(C231),".",""),"-","")," ",""))))</f>
        <v/>
      </c>
    </row>
    <row r="232" customFormat="false" ht="15" hidden="false" customHeight="false" outlineLevel="0" collapsed="false">
      <c r="B232" s="80"/>
      <c r="C232" s="58"/>
      <c r="D232" s="62" t="str">
        <f aca="false">IF(C232="","",IFERROR(INDEX(T_NOMBRE,MATCH(V232,T_RUTN,0)),"⚠ RUT no está en Trabajadores"))</f>
        <v/>
      </c>
      <c r="E232" s="61"/>
      <c r="F232" s="61"/>
      <c r="G232" s="61"/>
      <c r="H232" s="61"/>
      <c r="I232" s="81"/>
      <c r="J232" s="81"/>
      <c r="K232" s="60"/>
      <c r="L232" s="60"/>
      <c r="M232" s="60"/>
      <c r="N232" s="60"/>
      <c r="O232" s="60"/>
      <c r="P232" s="60"/>
      <c r="Q232" s="60"/>
      <c r="R232" s="58"/>
      <c r="S232" s="62" t="str">
        <f aca="false">IF(OR(B232="",V232=""),"",IFERROR(INDEX(C_TIPO,MATCH(V232&amp;"-P"&amp;MAX(1,COUNTIFS(C_RUTN,V232,C_DEF,"Sí",C_INI,"&lt;="&amp;EOMONTH(B232,0))),C_CLAVE,0))&amp;"","Sin contrato"))</f>
        <v/>
      </c>
      <c r="T232" s="63" t="str">
        <f aca="false">IF(OR(B232="",N(O232)=0),"",N(O232)+ROUND(MIN(N(N232),TOPE_UF*UF_MES)*(TASA_EMP+MUTUAL),0)+ROUND(MIN(N(N232),TOPE_AFC_UF*UF_MES)*IF(S232="Indefinido",AFC_INDEF,AFC_PF),0))</f>
        <v/>
      </c>
      <c r="U232" s="62" t="str">
        <f aca="false">IF(C232="","",IF(LEFT(D232,1)="⚠","⚠ RUT no registrado en Trabajadores",IF(B232="","⚠ Falta el mes",IF(OR(ISTEXT(I232),ISTEXT(J232)),"⚠ Atrasos u horas extra como texto: escriba hh:mm (ej. 1:30)",IF(AND(ISNUMBER(Q232),COUNTIFS(M_RUTN,V232,M_MES,B232,M_LIQ,"&lt;&gt;")&gt;1),"⚠ Liquidación repetida en el mes",IF(AND(ISNUMBER(O232),ISNUMBER(P232),ISNUMBER(Q232),ABS(O232-P232-Q232)&gt;1),"⚠ Haberes − descuentos no da el líquido","OK"))))))</f>
        <v/>
      </c>
      <c r="V232" s="62" t="str">
        <f aca="false">IF(C232="","",IFERROR(VALUE(LEFT(UPPER(SUBSTITUTE(SUBSTITUTE(SUBSTITUTE(TRIM(C232),".",""),"-","")," ","")),LEN(UPPER(SUBSTITUTE(SUBSTITUTE(SUBSTITUTE(TRIM(C232),".",""),"-","")," ","")))-1))&amp;RIGHT(UPPER(SUBSTITUTE(SUBSTITUTE(SUBSTITUTE(TRIM(C232),".",""),"-","")," ","")),1),UPPER(SUBSTITUTE(SUBSTITUTE(SUBSTITUTE(TRIM(C232),".",""),"-","")," ",""))))</f>
        <v/>
      </c>
    </row>
    <row r="233" customFormat="false" ht="15" hidden="false" customHeight="false" outlineLevel="0" collapsed="false">
      <c r="B233" s="80"/>
      <c r="C233" s="58"/>
      <c r="D233" s="62" t="str">
        <f aca="false">IF(C233="","",IFERROR(INDEX(T_NOMBRE,MATCH(V233,T_RUTN,0)),"⚠ RUT no está en Trabajadores"))</f>
        <v/>
      </c>
      <c r="E233" s="61"/>
      <c r="F233" s="61"/>
      <c r="G233" s="61"/>
      <c r="H233" s="61"/>
      <c r="I233" s="81"/>
      <c r="J233" s="81"/>
      <c r="K233" s="60"/>
      <c r="L233" s="60"/>
      <c r="M233" s="60"/>
      <c r="N233" s="60"/>
      <c r="O233" s="60"/>
      <c r="P233" s="60"/>
      <c r="Q233" s="60"/>
      <c r="R233" s="58"/>
      <c r="S233" s="62" t="str">
        <f aca="false">IF(OR(B233="",V233=""),"",IFERROR(INDEX(C_TIPO,MATCH(V233&amp;"-P"&amp;MAX(1,COUNTIFS(C_RUTN,V233,C_DEF,"Sí",C_INI,"&lt;="&amp;EOMONTH(B233,0))),C_CLAVE,0))&amp;"","Sin contrato"))</f>
        <v/>
      </c>
      <c r="T233" s="63" t="str">
        <f aca="false">IF(OR(B233="",N(O233)=0),"",N(O233)+ROUND(MIN(N(N233),TOPE_UF*UF_MES)*(TASA_EMP+MUTUAL),0)+ROUND(MIN(N(N233),TOPE_AFC_UF*UF_MES)*IF(S233="Indefinido",AFC_INDEF,AFC_PF),0))</f>
        <v/>
      </c>
      <c r="U233" s="62" t="str">
        <f aca="false">IF(C233="","",IF(LEFT(D233,1)="⚠","⚠ RUT no registrado en Trabajadores",IF(B233="","⚠ Falta el mes",IF(OR(ISTEXT(I233),ISTEXT(J233)),"⚠ Atrasos u horas extra como texto: escriba hh:mm (ej. 1:30)",IF(AND(ISNUMBER(Q233),COUNTIFS(M_RUTN,V233,M_MES,B233,M_LIQ,"&lt;&gt;")&gt;1),"⚠ Liquidación repetida en el mes",IF(AND(ISNUMBER(O233),ISNUMBER(P233),ISNUMBER(Q233),ABS(O233-P233-Q233)&gt;1),"⚠ Haberes − descuentos no da el líquido","OK"))))))</f>
        <v/>
      </c>
      <c r="V233" s="62" t="str">
        <f aca="false">IF(C233="","",IFERROR(VALUE(LEFT(UPPER(SUBSTITUTE(SUBSTITUTE(SUBSTITUTE(TRIM(C233),".",""),"-","")," ","")),LEN(UPPER(SUBSTITUTE(SUBSTITUTE(SUBSTITUTE(TRIM(C233),".",""),"-","")," ","")))-1))&amp;RIGHT(UPPER(SUBSTITUTE(SUBSTITUTE(SUBSTITUTE(TRIM(C233),".",""),"-","")," ","")),1),UPPER(SUBSTITUTE(SUBSTITUTE(SUBSTITUTE(TRIM(C233),".",""),"-","")," ",""))))</f>
        <v/>
      </c>
    </row>
    <row r="234" customFormat="false" ht="15" hidden="false" customHeight="false" outlineLevel="0" collapsed="false">
      <c r="B234" s="80"/>
      <c r="C234" s="58"/>
      <c r="D234" s="62" t="str">
        <f aca="false">IF(C234="","",IFERROR(INDEX(T_NOMBRE,MATCH(V234,T_RUTN,0)),"⚠ RUT no está en Trabajadores"))</f>
        <v/>
      </c>
      <c r="E234" s="61"/>
      <c r="F234" s="61"/>
      <c r="G234" s="61"/>
      <c r="H234" s="61"/>
      <c r="I234" s="81"/>
      <c r="J234" s="81"/>
      <c r="K234" s="60"/>
      <c r="L234" s="60"/>
      <c r="M234" s="60"/>
      <c r="N234" s="60"/>
      <c r="O234" s="60"/>
      <c r="P234" s="60"/>
      <c r="Q234" s="60"/>
      <c r="R234" s="58"/>
      <c r="S234" s="62" t="str">
        <f aca="false">IF(OR(B234="",V234=""),"",IFERROR(INDEX(C_TIPO,MATCH(V234&amp;"-P"&amp;MAX(1,COUNTIFS(C_RUTN,V234,C_DEF,"Sí",C_INI,"&lt;="&amp;EOMONTH(B234,0))),C_CLAVE,0))&amp;"","Sin contrato"))</f>
        <v/>
      </c>
      <c r="T234" s="63" t="str">
        <f aca="false">IF(OR(B234="",N(O234)=0),"",N(O234)+ROUND(MIN(N(N234),TOPE_UF*UF_MES)*(TASA_EMP+MUTUAL),0)+ROUND(MIN(N(N234),TOPE_AFC_UF*UF_MES)*IF(S234="Indefinido",AFC_INDEF,AFC_PF),0))</f>
        <v/>
      </c>
      <c r="U234" s="62" t="str">
        <f aca="false">IF(C234="","",IF(LEFT(D234,1)="⚠","⚠ RUT no registrado en Trabajadores",IF(B234="","⚠ Falta el mes",IF(OR(ISTEXT(I234),ISTEXT(J234)),"⚠ Atrasos u horas extra como texto: escriba hh:mm (ej. 1:30)",IF(AND(ISNUMBER(Q234),COUNTIFS(M_RUTN,V234,M_MES,B234,M_LIQ,"&lt;&gt;")&gt;1),"⚠ Liquidación repetida en el mes",IF(AND(ISNUMBER(O234),ISNUMBER(P234),ISNUMBER(Q234),ABS(O234-P234-Q234)&gt;1),"⚠ Haberes − descuentos no da el líquido","OK"))))))</f>
        <v/>
      </c>
      <c r="V234" s="62" t="str">
        <f aca="false">IF(C234="","",IFERROR(VALUE(LEFT(UPPER(SUBSTITUTE(SUBSTITUTE(SUBSTITUTE(TRIM(C234),".",""),"-","")," ","")),LEN(UPPER(SUBSTITUTE(SUBSTITUTE(SUBSTITUTE(TRIM(C234),".",""),"-","")," ","")))-1))&amp;RIGHT(UPPER(SUBSTITUTE(SUBSTITUTE(SUBSTITUTE(TRIM(C234),".",""),"-","")," ","")),1),UPPER(SUBSTITUTE(SUBSTITUTE(SUBSTITUTE(TRIM(C234),".",""),"-","")," ",""))))</f>
        <v/>
      </c>
    </row>
    <row r="235" customFormat="false" ht="15" hidden="false" customHeight="false" outlineLevel="0" collapsed="false">
      <c r="B235" s="80"/>
      <c r="C235" s="58"/>
      <c r="D235" s="62" t="str">
        <f aca="false">IF(C235="","",IFERROR(INDEX(T_NOMBRE,MATCH(V235,T_RUTN,0)),"⚠ RUT no está en Trabajadores"))</f>
        <v/>
      </c>
      <c r="E235" s="61"/>
      <c r="F235" s="61"/>
      <c r="G235" s="61"/>
      <c r="H235" s="61"/>
      <c r="I235" s="81"/>
      <c r="J235" s="81"/>
      <c r="K235" s="60"/>
      <c r="L235" s="60"/>
      <c r="M235" s="60"/>
      <c r="N235" s="60"/>
      <c r="O235" s="60"/>
      <c r="P235" s="60"/>
      <c r="Q235" s="60"/>
      <c r="R235" s="58"/>
      <c r="S235" s="62" t="str">
        <f aca="false">IF(OR(B235="",V235=""),"",IFERROR(INDEX(C_TIPO,MATCH(V235&amp;"-P"&amp;MAX(1,COUNTIFS(C_RUTN,V235,C_DEF,"Sí",C_INI,"&lt;="&amp;EOMONTH(B235,0))),C_CLAVE,0))&amp;"","Sin contrato"))</f>
        <v/>
      </c>
      <c r="T235" s="63" t="str">
        <f aca="false">IF(OR(B235="",N(O235)=0),"",N(O235)+ROUND(MIN(N(N235),TOPE_UF*UF_MES)*(TASA_EMP+MUTUAL),0)+ROUND(MIN(N(N235),TOPE_AFC_UF*UF_MES)*IF(S235="Indefinido",AFC_INDEF,AFC_PF),0))</f>
        <v/>
      </c>
      <c r="U235" s="62" t="str">
        <f aca="false">IF(C235="","",IF(LEFT(D235,1)="⚠","⚠ RUT no registrado en Trabajadores",IF(B235="","⚠ Falta el mes",IF(OR(ISTEXT(I235),ISTEXT(J235)),"⚠ Atrasos u horas extra como texto: escriba hh:mm (ej. 1:30)",IF(AND(ISNUMBER(Q235),COUNTIFS(M_RUTN,V235,M_MES,B235,M_LIQ,"&lt;&gt;")&gt;1),"⚠ Liquidación repetida en el mes",IF(AND(ISNUMBER(O235),ISNUMBER(P235),ISNUMBER(Q235),ABS(O235-P235-Q235)&gt;1),"⚠ Haberes − descuentos no da el líquido","OK"))))))</f>
        <v/>
      </c>
      <c r="V235" s="62" t="str">
        <f aca="false">IF(C235="","",IFERROR(VALUE(LEFT(UPPER(SUBSTITUTE(SUBSTITUTE(SUBSTITUTE(TRIM(C235),".",""),"-","")," ","")),LEN(UPPER(SUBSTITUTE(SUBSTITUTE(SUBSTITUTE(TRIM(C235),".",""),"-","")," ","")))-1))&amp;RIGHT(UPPER(SUBSTITUTE(SUBSTITUTE(SUBSTITUTE(TRIM(C235),".",""),"-","")," ","")),1),UPPER(SUBSTITUTE(SUBSTITUTE(SUBSTITUTE(TRIM(C235),".",""),"-","")," ",""))))</f>
        <v/>
      </c>
    </row>
    <row r="236" customFormat="false" ht="15" hidden="false" customHeight="false" outlineLevel="0" collapsed="false">
      <c r="B236" s="80"/>
      <c r="C236" s="58"/>
      <c r="D236" s="62" t="str">
        <f aca="false">IF(C236="","",IFERROR(INDEX(T_NOMBRE,MATCH(V236,T_RUTN,0)),"⚠ RUT no está en Trabajadores"))</f>
        <v/>
      </c>
      <c r="E236" s="61"/>
      <c r="F236" s="61"/>
      <c r="G236" s="61"/>
      <c r="H236" s="61"/>
      <c r="I236" s="81"/>
      <c r="J236" s="81"/>
      <c r="K236" s="60"/>
      <c r="L236" s="60"/>
      <c r="M236" s="60"/>
      <c r="N236" s="60"/>
      <c r="O236" s="60"/>
      <c r="P236" s="60"/>
      <c r="Q236" s="60"/>
      <c r="R236" s="58"/>
      <c r="S236" s="62" t="str">
        <f aca="false">IF(OR(B236="",V236=""),"",IFERROR(INDEX(C_TIPO,MATCH(V236&amp;"-P"&amp;MAX(1,COUNTIFS(C_RUTN,V236,C_DEF,"Sí",C_INI,"&lt;="&amp;EOMONTH(B236,0))),C_CLAVE,0))&amp;"","Sin contrato"))</f>
        <v/>
      </c>
      <c r="T236" s="63" t="str">
        <f aca="false">IF(OR(B236="",N(O236)=0),"",N(O236)+ROUND(MIN(N(N236),TOPE_UF*UF_MES)*(TASA_EMP+MUTUAL),0)+ROUND(MIN(N(N236),TOPE_AFC_UF*UF_MES)*IF(S236="Indefinido",AFC_INDEF,AFC_PF),0))</f>
        <v/>
      </c>
      <c r="U236" s="62" t="str">
        <f aca="false">IF(C236="","",IF(LEFT(D236,1)="⚠","⚠ RUT no registrado en Trabajadores",IF(B236="","⚠ Falta el mes",IF(OR(ISTEXT(I236),ISTEXT(J236)),"⚠ Atrasos u horas extra como texto: escriba hh:mm (ej. 1:30)",IF(AND(ISNUMBER(Q236),COUNTIFS(M_RUTN,V236,M_MES,B236,M_LIQ,"&lt;&gt;")&gt;1),"⚠ Liquidación repetida en el mes",IF(AND(ISNUMBER(O236),ISNUMBER(P236),ISNUMBER(Q236),ABS(O236-P236-Q236)&gt;1),"⚠ Haberes − descuentos no da el líquido","OK"))))))</f>
        <v/>
      </c>
      <c r="V236" s="62" t="str">
        <f aca="false">IF(C236="","",IFERROR(VALUE(LEFT(UPPER(SUBSTITUTE(SUBSTITUTE(SUBSTITUTE(TRIM(C236),".",""),"-","")," ","")),LEN(UPPER(SUBSTITUTE(SUBSTITUTE(SUBSTITUTE(TRIM(C236),".",""),"-","")," ","")))-1))&amp;RIGHT(UPPER(SUBSTITUTE(SUBSTITUTE(SUBSTITUTE(TRIM(C236),".",""),"-","")," ","")),1),UPPER(SUBSTITUTE(SUBSTITUTE(SUBSTITUTE(TRIM(C236),".",""),"-","")," ",""))))</f>
        <v/>
      </c>
    </row>
    <row r="237" customFormat="false" ht="15" hidden="false" customHeight="false" outlineLevel="0" collapsed="false">
      <c r="B237" s="80"/>
      <c r="C237" s="58"/>
      <c r="D237" s="62" t="str">
        <f aca="false">IF(C237="","",IFERROR(INDEX(T_NOMBRE,MATCH(V237,T_RUTN,0)),"⚠ RUT no está en Trabajadores"))</f>
        <v/>
      </c>
      <c r="E237" s="61"/>
      <c r="F237" s="61"/>
      <c r="G237" s="61"/>
      <c r="H237" s="61"/>
      <c r="I237" s="81"/>
      <c r="J237" s="81"/>
      <c r="K237" s="60"/>
      <c r="L237" s="60"/>
      <c r="M237" s="60"/>
      <c r="N237" s="60"/>
      <c r="O237" s="60"/>
      <c r="P237" s="60"/>
      <c r="Q237" s="60"/>
      <c r="R237" s="58"/>
      <c r="S237" s="62" t="str">
        <f aca="false">IF(OR(B237="",V237=""),"",IFERROR(INDEX(C_TIPO,MATCH(V237&amp;"-P"&amp;MAX(1,COUNTIFS(C_RUTN,V237,C_DEF,"Sí",C_INI,"&lt;="&amp;EOMONTH(B237,0))),C_CLAVE,0))&amp;"","Sin contrato"))</f>
        <v/>
      </c>
      <c r="T237" s="63" t="str">
        <f aca="false">IF(OR(B237="",N(O237)=0),"",N(O237)+ROUND(MIN(N(N237),TOPE_UF*UF_MES)*(TASA_EMP+MUTUAL),0)+ROUND(MIN(N(N237),TOPE_AFC_UF*UF_MES)*IF(S237="Indefinido",AFC_INDEF,AFC_PF),0))</f>
        <v/>
      </c>
      <c r="U237" s="62" t="str">
        <f aca="false">IF(C237="","",IF(LEFT(D237,1)="⚠","⚠ RUT no registrado en Trabajadores",IF(B237="","⚠ Falta el mes",IF(OR(ISTEXT(I237),ISTEXT(J237)),"⚠ Atrasos u horas extra como texto: escriba hh:mm (ej. 1:30)",IF(AND(ISNUMBER(Q237),COUNTIFS(M_RUTN,V237,M_MES,B237,M_LIQ,"&lt;&gt;")&gt;1),"⚠ Liquidación repetida en el mes",IF(AND(ISNUMBER(O237),ISNUMBER(P237),ISNUMBER(Q237),ABS(O237-P237-Q237)&gt;1),"⚠ Haberes − descuentos no da el líquido","OK"))))))</f>
        <v/>
      </c>
      <c r="V237" s="62" t="str">
        <f aca="false">IF(C237="","",IFERROR(VALUE(LEFT(UPPER(SUBSTITUTE(SUBSTITUTE(SUBSTITUTE(TRIM(C237),".",""),"-","")," ","")),LEN(UPPER(SUBSTITUTE(SUBSTITUTE(SUBSTITUTE(TRIM(C237),".",""),"-","")," ","")))-1))&amp;RIGHT(UPPER(SUBSTITUTE(SUBSTITUTE(SUBSTITUTE(TRIM(C237),".",""),"-","")," ","")),1),UPPER(SUBSTITUTE(SUBSTITUTE(SUBSTITUTE(TRIM(C237),".",""),"-","")," ",""))))</f>
        <v/>
      </c>
    </row>
    <row r="238" customFormat="false" ht="15" hidden="false" customHeight="false" outlineLevel="0" collapsed="false">
      <c r="B238" s="80"/>
      <c r="C238" s="58"/>
      <c r="D238" s="62" t="str">
        <f aca="false">IF(C238="","",IFERROR(INDEX(T_NOMBRE,MATCH(V238,T_RUTN,0)),"⚠ RUT no está en Trabajadores"))</f>
        <v/>
      </c>
      <c r="E238" s="61"/>
      <c r="F238" s="61"/>
      <c r="G238" s="61"/>
      <c r="H238" s="61"/>
      <c r="I238" s="81"/>
      <c r="J238" s="81"/>
      <c r="K238" s="60"/>
      <c r="L238" s="60"/>
      <c r="M238" s="60"/>
      <c r="N238" s="60"/>
      <c r="O238" s="60"/>
      <c r="P238" s="60"/>
      <c r="Q238" s="60"/>
      <c r="R238" s="58"/>
      <c r="S238" s="62" t="str">
        <f aca="false">IF(OR(B238="",V238=""),"",IFERROR(INDEX(C_TIPO,MATCH(V238&amp;"-P"&amp;MAX(1,COUNTIFS(C_RUTN,V238,C_DEF,"Sí",C_INI,"&lt;="&amp;EOMONTH(B238,0))),C_CLAVE,0))&amp;"","Sin contrato"))</f>
        <v/>
      </c>
      <c r="T238" s="63" t="str">
        <f aca="false">IF(OR(B238="",N(O238)=0),"",N(O238)+ROUND(MIN(N(N238),TOPE_UF*UF_MES)*(TASA_EMP+MUTUAL),0)+ROUND(MIN(N(N238),TOPE_AFC_UF*UF_MES)*IF(S238="Indefinido",AFC_INDEF,AFC_PF),0))</f>
        <v/>
      </c>
      <c r="U238" s="62" t="str">
        <f aca="false">IF(C238="","",IF(LEFT(D238,1)="⚠","⚠ RUT no registrado en Trabajadores",IF(B238="","⚠ Falta el mes",IF(OR(ISTEXT(I238),ISTEXT(J238)),"⚠ Atrasos u horas extra como texto: escriba hh:mm (ej. 1:30)",IF(AND(ISNUMBER(Q238),COUNTIFS(M_RUTN,V238,M_MES,B238,M_LIQ,"&lt;&gt;")&gt;1),"⚠ Liquidación repetida en el mes",IF(AND(ISNUMBER(O238),ISNUMBER(P238),ISNUMBER(Q238),ABS(O238-P238-Q238)&gt;1),"⚠ Haberes − descuentos no da el líquido","OK"))))))</f>
        <v/>
      </c>
      <c r="V238" s="62" t="str">
        <f aca="false">IF(C238="","",IFERROR(VALUE(LEFT(UPPER(SUBSTITUTE(SUBSTITUTE(SUBSTITUTE(TRIM(C238),".",""),"-","")," ","")),LEN(UPPER(SUBSTITUTE(SUBSTITUTE(SUBSTITUTE(TRIM(C238),".",""),"-","")," ","")))-1))&amp;RIGHT(UPPER(SUBSTITUTE(SUBSTITUTE(SUBSTITUTE(TRIM(C238),".",""),"-","")," ","")),1),UPPER(SUBSTITUTE(SUBSTITUTE(SUBSTITUTE(TRIM(C238),".",""),"-","")," ",""))))</f>
        <v/>
      </c>
    </row>
    <row r="239" customFormat="false" ht="15" hidden="false" customHeight="false" outlineLevel="0" collapsed="false">
      <c r="B239" s="80"/>
      <c r="C239" s="58"/>
      <c r="D239" s="62" t="str">
        <f aca="false">IF(C239="","",IFERROR(INDEX(T_NOMBRE,MATCH(V239,T_RUTN,0)),"⚠ RUT no está en Trabajadores"))</f>
        <v/>
      </c>
      <c r="E239" s="61"/>
      <c r="F239" s="61"/>
      <c r="G239" s="61"/>
      <c r="H239" s="61"/>
      <c r="I239" s="81"/>
      <c r="J239" s="81"/>
      <c r="K239" s="60"/>
      <c r="L239" s="60"/>
      <c r="M239" s="60"/>
      <c r="N239" s="60"/>
      <c r="O239" s="60"/>
      <c r="P239" s="60"/>
      <c r="Q239" s="60"/>
      <c r="R239" s="58"/>
      <c r="S239" s="62" t="str">
        <f aca="false">IF(OR(B239="",V239=""),"",IFERROR(INDEX(C_TIPO,MATCH(V239&amp;"-P"&amp;MAX(1,COUNTIFS(C_RUTN,V239,C_DEF,"Sí",C_INI,"&lt;="&amp;EOMONTH(B239,0))),C_CLAVE,0))&amp;"","Sin contrato"))</f>
        <v/>
      </c>
      <c r="T239" s="63" t="str">
        <f aca="false">IF(OR(B239="",N(O239)=0),"",N(O239)+ROUND(MIN(N(N239),TOPE_UF*UF_MES)*(TASA_EMP+MUTUAL),0)+ROUND(MIN(N(N239),TOPE_AFC_UF*UF_MES)*IF(S239="Indefinido",AFC_INDEF,AFC_PF),0))</f>
        <v/>
      </c>
      <c r="U239" s="62" t="str">
        <f aca="false">IF(C239="","",IF(LEFT(D239,1)="⚠","⚠ RUT no registrado en Trabajadores",IF(B239="","⚠ Falta el mes",IF(OR(ISTEXT(I239),ISTEXT(J239)),"⚠ Atrasos u horas extra como texto: escriba hh:mm (ej. 1:30)",IF(AND(ISNUMBER(Q239),COUNTIFS(M_RUTN,V239,M_MES,B239,M_LIQ,"&lt;&gt;")&gt;1),"⚠ Liquidación repetida en el mes",IF(AND(ISNUMBER(O239),ISNUMBER(P239),ISNUMBER(Q239),ABS(O239-P239-Q239)&gt;1),"⚠ Haberes − descuentos no da el líquido","OK"))))))</f>
        <v/>
      </c>
      <c r="V239" s="62" t="str">
        <f aca="false">IF(C239="","",IFERROR(VALUE(LEFT(UPPER(SUBSTITUTE(SUBSTITUTE(SUBSTITUTE(TRIM(C239),".",""),"-","")," ","")),LEN(UPPER(SUBSTITUTE(SUBSTITUTE(SUBSTITUTE(TRIM(C239),".",""),"-","")," ","")))-1))&amp;RIGHT(UPPER(SUBSTITUTE(SUBSTITUTE(SUBSTITUTE(TRIM(C239),".",""),"-","")," ","")),1),UPPER(SUBSTITUTE(SUBSTITUTE(SUBSTITUTE(TRIM(C239),".",""),"-","")," ",""))))</f>
        <v/>
      </c>
    </row>
    <row r="240" customFormat="false" ht="15" hidden="false" customHeight="false" outlineLevel="0" collapsed="false">
      <c r="B240" s="80"/>
      <c r="C240" s="58"/>
      <c r="D240" s="62" t="str">
        <f aca="false">IF(C240="","",IFERROR(INDEX(T_NOMBRE,MATCH(V240,T_RUTN,0)),"⚠ RUT no está en Trabajadores"))</f>
        <v/>
      </c>
      <c r="E240" s="61"/>
      <c r="F240" s="61"/>
      <c r="G240" s="61"/>
      <c r="H240" s="61"/>
      <c r="I240" s="81"/>
      <c r="J240" s="81"/>
      <c r="K240" s="60"/>
      <c r="L240" s="60"/>
      <c r="M240" s="60"/>
      <c r="N240" s="60"/>
      <c r="O240" s="60"/>
      <c r="P240" s="60"/>
      <c r="Q240" s="60"/>
      <c r="R240" s="58"/>
      <c r="S240" s="62" t="str">
        <f aca="false">IF(OR(B240="",V240=""),"",IFERROR(INDEX(C_TIPO,MATCH(V240&amp;"-P"&amp;MAX(1,COUNTIFS(C_RUTN,V240,C_DEF,"Sí",C_INI,"&lt;="&amp;EOMONTH(B240,0))),C_CLAVE,0))&amp;"","Sin contrato"))</f>
        <v/>
      </c>
      <c r="T240" s="63" t="str">
        <f aca="false">IF(OR(B240="",N(O240)=0),"",N(O240)+ROUND(MIN(N(N240),TOPE_UF*UF_MES)*(TASA_EMP+MUTUAL),0)+ROUND(MIN(N(N240),TOPE_AFC_UF*UF_MES)*IF(S240="Indefinido",AFC_INDEF,AFC_PF),0))</f>
        <v/>
      </c>
      <c r="U240" s="62" t="str">
        <f aca="false">IF(C240="","",IF(LEFT(D240,1)="⚠","⚠ RUT no registrado en Trabajadores",IF(B240="","⚠ Falta el mes",IF(OR(ISTEXT(I240),ISTEXT(J240)),"⚠ Atrasos u horas extra como texto: escriba hh:mm (ej. 1:30)",IF(AND(ISNUMBER(Q240),COUNTIFS(M_RUTN,V240,M_MES,B240,M_LIQ,"&lt;&gt;")&gt;1),"⚠ Liquidación repetida en el mes",IF(AND(ISNUMBER(O240),ISNUMBER(P240),ISNUMBER(Q240),ABS(O240-P240-Q240)&gt;1),"⚠ Haberes − descuentos no da el líquido","OK"))))))</f>
        <v/>
      </c>
      <c r="V240" s="62" t="str">
        <f aca="false">IF(C240="","",IFERROR(VALUE(LEFT(UPPER(SUBSTITUTE(SUBSTITUTE(SUBSTITUTE(TRIM(C240),".",""),"-","")," ","")),LEN(UPPER(SUBSTITUTE(SUBSTITUTE(SUBSTITUTE(TRIM(C240),".",""),"-","")," ","")))-1))&amp;RIGHT(UPPER(SUBSTITUTE(SUBSTITUTE(SUBSTITUTE(TRIM(C240),".",""),"-","")," ","")),1),UPPER(SUBSTITUTE(SUBSTITUTE(SUBSTITUTE(TRIM(C240),".",""),"-","")," ",""))))</f>
        <v/>
      </c>
    </row>
    <row r="241" customFormat="false" ht="15" hidden="false" customHeight="false" outlineLevel="0" collapsed="false">
      <c r="B241" s="80"/>
      <c r="C241" s="58"/>
      <c r="D241" s="62" t="str">
        <f aca="false">IF(C241="","",IFERROR(INDEX(T_NOMBRE,MATCH(V241,T_RUTN,0)),"⚠ RUT no está en Trabajadores"))</f>
        <v/>
      </c>
      <c r="E241" s="61"/>
      <c r="F241" s="61"/>
      <c r="G241" s="61"/>
      <c r="H241" s="61"/>
      <c r="I241" s="81"/>
      <c r="J241" s="81"/>
      <c r="K241" s="60"/>
      <c r="L241" s="60"/>
      <c r="M241" s="60"/>
      <c r="N241" s="60"/>
      <c r="O241" s="60"/>
      <c r="P241" s="60"/>
      <c r="Q241" s="60"/>
      <c r="R241" s="58"/>
      <c r="S241" s="62" t="str">
        <f aca="false">IF(OR(B241="",V241=""),"",IFERROR(INDEX(C_TIPO,MATCH(V241&amp;"-P"&amp;MAX(1,COUNTIFS(C_RUTN,V241,C_DEF,"Sí",C_INI,"&lt;="&amp;EOMONTH(B241,0))),C_CLAVE,0))&amp;"","Sin contrato"))</f>
        <v/>
      </c>
      <c r="T241" s="63" t="str">
        <f aca="false">IF(OR(B241="",N(O241)=0),"",N(O241)+ROUND(MIN(N(N241),TOPE_UF*UF_MES)*(TASA_EMP+MUTUAL),0)+ROUND(MIN(N(N241),TOPE_AFC_UF*UF_MES)*IF(S241="Indefinido",AFC_INDEF,AFC_PF),0))</f>
        <v/>
      </c>
      <c r="U241" s="62" t="str">
        <f aca="false">IF(C241="","",IF(LEFT(D241,1)="⚠","⚠ RUT no registrado en Trabajadores",IF(B241="","⚠ Falta el mes",IF(OR(ISTEXT(I241),ISTEXT(J241)),"⚠ Atrasos u horas extra como texto: escriba hh:mm (ej. 1:30)",IF(AND(ISNUMBER(Q241),COUNTIFS(M_RUTN,V241,M_MES,B241,M_LIQ,"&lt;&gt;")&gt;1),"⚠ Liquidación repetida en el mes",IF(AND(ISNUMBER(O241),ISNUMBER(P241),ISNUMBER(Q241),ABS(O241-P241-Q241)&gt;1),"⚠ Haberes − descuentos no da el líquido","OK"))))))</f>
        <v/>
      </c>
      <c r="V241" s="62" t="str">
        <f aca="false">IF(C241="","",IFERROR(VALUE(LEFT(UPPER(SUBSTITUTE(SUBSTITUTE(SUBSTITUTE(TRIM(C241),".",""),"-","")," ","")),LEN(UPPER(SUBSTITUTE(SUBSTITUTE(SUBSTITUTE(TRIM(C241),".",""),"-","")," ","")))-1))&amp;RIGHT(UPPER(SUBSTITUTE(SUBSTITUTE(SUBSTITUTE(TRIM(C241),".",""),"-","")," ","")),1),UPPER(SUBSTITUTE(SUBSTITUTE(SUBSTITUTE(TRIM(C241),".",""),"-","")," ",""))))</f>
        <v/>
      </c>
    </row>
    <row r="242" customFormat="false" ht="15" hidden="false" customHeight="false" outlineLevel="0" collapsed="false">
      <c r="B242" s="80"/>
      <c r="C242" s="58"/>
      <c r="D242" s="62" t="str">
        <f aca="false">IF(C242="","",IFERROR(INDEX(T_NOMBRE,MATCH(V242,T_RUTN,0)),"⚠ RUT no está en Trabajadores"))</f>
        <v/>
      </c>
      <c r="E242" s="61"/>
      <c r="F242" s="61"/>
      <c r="G242" s="61"/>
      <c r="H242" s="61"/>
      <c r="I242" s="81"/>
      <c r="J242" s="81"/>
      <c r="K242" s="60"/>
      <c r="L242" s="60"/>
      <c r="M242" s="60"/>
      <c r="N242" s="60"/>
      <c r="O242" s="60"/>
      <c r="P242" s="60"/>
      <c r="Q242" s="60"/>
      <c r="R242" s="58"/>
      <c r="S242" s="62" t="str">
        <f aca="false">IF(OR(B242="",V242=""),"",IFERROR(INDEX(C_TIPO,MATCH(V242&amp;"-P"&amp;MAX(1,COUNTIFS(C_RUTN,V242,C_DEF,"Sí",C_INI,"&lt;="&amp;EOMONTH(B242,0))),C_CLAVE,0))&amp;"","Sin contrato"))</f>
        <v/>
      </c>
      <c r="T242" s="63" t="str">
        <f aca="false">IF(OR(B242="",N(O242)=0),"",N(O242)+ROUND(MIN(N(N242),TOPE_UF*UF_MES)*(TASA_EMP+MUTUAL),0)+ROUND(MIN(N(N242),TOPE_AFC_UF*UF_MES)*IF(S242="Indefinido",AFC_INDEF,AFC_PF),0))</f>
        <v/>
      </c>
      <c r="U242" s="62" t="str">
        <f aca="false">IF(C242="","",IF(LEFT(D242,1)="⚠","⚠ RUT no registrado en Trabajadores",IF(B242="","⚠ Falta el mes",IF(OR(ISTEXT(I242),ISTEXT(J242)),"⚠ Atrasos u horas extra como texto: escriba hh:mm (ej. 1:30)",IF(AND(ISNUMBER(Q242),COUNTIFS(M_RUTN,V242,M_MES,B242,M_LIQ,"&lt;&gt;")&gt;1),"⚠ Liquidación repetida en el mes",IF(AND(ISNUMBER(O242),ISNUMBER(P242),ISNUMBER(Q242),ABS(O242-P242-Q242)&gt;1),"⚠ Haberes − descuentos no da el líquido","OK"))))))</f>
        <v/>
      </c>
      <c r="V242" s="62" t="str">
        <f aca="false">IF(C242="","",IFERROR(VALUE(LEFT(UPPER(SUBSTITUTE(SUBSTITUTE(SUBSTITUTE(TRIM(C242),".",""),"-","")," ","")),LEN(UPPER(SUBSTITUTE(SUBSTITUTE(SUBSTITUTE(TRIM(C242),".",""),"-","")," ","")))-1))&amp;RIGHT(UPPER(SUBSTITUTE(SUBSTITUTE(SUBSTITUTE(TRIM(C242),".",""),"-","")," ","")),1),UPPER(SUBSTITUTE(SUBSTITUTE(SUBSTITUTE(TRIM(C242),".",""),"-","")," ",""))))</f>
        <v/>
      </c>
    </row>
    <row r="243" customFormat="false" ht="15" hidden="false" customHeight="false" outlineLevel="0" collapsed="false">
      <c r="B243" s="80"/>
      <c r="C243" s="58"/>
      <c r="D243" s="62" t="str">
        <f aca="false">IF(C243="","",IFERROR(INDEX(T_NOMBRE,MATCH(V243,T_RUTN,0)),"⚠ RUT no está en Trabajadores"))</f>
        <v/>
      </c>
      <c r="E243" s="61"/>
      <c r="F243" s="61"/>
      <c r="G243" s="61"/>
      <c r="H243" s="61"/>
      <c r="I243" s="81"/>
      <c r="J243" s="81"/>
      <c r="K243" s="60"/>
      <c r="L243" s="60"/>
      <c r="M243" s="60"/>
      <c r="N243" s="60"/>
      <c r="O243" s="60"/>
      <c r="P243" s="60"/>
      <c r="Q243" s="60"/>
      <c r="R243" s="58"/>
      <c r="S243" s="62" t="str">
        <f aca="false">IF(OR(B243="",V243=""),"",IFERROR(INDEX(C_TIPO,MATCH(V243&amp;"-P"&amp;MAX(1,COUNTIFS(C_RUTN,V243,C_DEF,"Sí",C_INI,"&lt;="&amp;EOMONTH(B243,0))),C_CLAVE,0))&amp;"","Sin contrato"))</f>
        <v/>
      </c>
      <c r="T243" s="63" t="str">
        <f aca="false">IF(OR(B243="",N(O243)=0),"",N(O243)+ROUND(MIN(N(N243),TOPE_UF*UF_MES)*(TASA_EMP+MUTUAL),0)+ROUND(MIN(N(N243),TOPE_AFC_UF*UF_MES)*IF(S243="Indefinido",AFC_INDEF,AFC_PF),0))</f>
        <v/>
      </c>
      <c r="U243" s="62" t="str">
        <f aca="false">IF(C243="","",IF(LEFT(D243,1)="⚠","⚠ RUT no registrado en Trabajadores",IF(B243="","⚠ Falta el mes",IF(OR(ISTEXT(I243),ISTEXT(J243)),"⚠ Atrasos u horas extra como texto: escriba hh:mm (ej. 1:30)",IF(AND(ISNUMBER(Q243),COUNTIFS(M_RUTN,V243,M_MES,B243,M_LIQ,"&lt;&gt;")&gt;1),"⚠ Liquidación repetida en el mes",IF(AND(ISNUMBER(O243),ISNUMBER(P243),ISNUMBER(Q243),ABS(O243-P243-Q243)&gt;1),"⚠ Haberes − descuentos no da el líquido","OK"))))))</f>
        <v/>
      </c>
      <c r="V243" s="62" t="str">
        <f aca="false">IF(C243="","",IFERROR(VALUE(LEFT(UPPER(SUBSTITUTE(SUBSTITUTE(SUBSTITUTE(TRIM(C243),".",""),"-","")," ","")),LEN(UPPER(SUBSTITUTE(SUBSTITUTE(SUBSTITUTE(TRIM(C243),".",""),"-","")," ","")))-1))&amp;RIGHT(UPPER(SUBSTITUTE(SUBSTITUTE(SUBSTITUTE(TRIM(C243),".",""),"-","")," ","")),1),UPPER(SUBSTITUTE(SUBSTITUTE(SUBSTITUTE(TRIM(C243),".",""),"-","")," ",""))))</f>
        <v/>
      </c>
    </row>
    <row r="244" customFormat="false" ht="15" hidden="false" customHeight="false" outlineLevel="0" collapsed="false">
      <c r="B244" s="80"/>
      <c r="C244" s="58"/>
      <c r="D244" s="62" t="str">
        <f aca="false">IF(C244="","",IFERROR(INDEX(T_NOMBRE,MATCH(V244,T_RUTN,0)),"⚠ RUT no está en Trabajadores"))</f>
        <v/>
      </c>
      <c r="E244" s="61"/>
      <c r="F244" s="61"/>
      <c r="G244" s="61"/>
      <c r="H244" s="61"/>
      <c r="I244" s="81"/>
      <c r="J244" s="81"/>
      <c r="K244" s="60"/>
      <c r="L244" s="60"/>
      <c r="M244" s="60"/>
      <c r="N244" s="60"/>
      <c r="O244" s="60"/>
      <c r="P244" s="60"/>
      <c r="Q244" s="60"/>
      <c r="R244" s="58"/>
      <c r="S244" s="62" t="str">
        <f aca="false">IF(OR(B244="",V244=""),"",IFERROR(INDEX(C_TIPO,MATCH(V244&amp;"-P"&amp;MAX(1,COUNTIFS(C_RUTN,V244,C_DEF,"Sí",C_INI,"&lt;="&amp;EOMONTH(B244,0))),C_CLAVE,0))&amp;"","Sin contrato"))</f>
        <v/>
      </c>
      <c r="T244" s="63" t="str">
        <f aca="false">IF(OR(B244="",N(O244)=0),"",N(O244)+ROUND(MIN(N(N244),TOPE_UF*UF_MES)*(TASA_EMP+MUTUAL),0)+ROUND(MIN(N(N244),TOPE_AFC_UF*UF_MES)*IF(S244="Indefinido",AFC_INDEF,AFC_PF),0))</f>
        <v/>
      </c>
      <c r="U244" s="62" t="str">
        <f aca="false">IF(C244="","",IF(LEFT(D244,1)="⚠","⚠ RUT no registrado en Trabajadores",IF(B244="","⚠ Falta el mes",IF(OR(ISTEXT(I244),ISTEXT(J244)),"⚠ Atrasos u horas extra como texto: escriba hh:mm (ej. 1:30)",IF(AND(ISNUMBER(Q244),COUNTIFS(M_RUTN,V244,M_MES,B244,M_LIQ,"&lt;&gt;")&gt;1),"⚠ Liquidación repetida en el mes",IF(AND(ISNUMBER(O244),ISNUMBER(P244),ISNUMBER(Q244),ABS(O244-P244-Q244)&gt;1),"⚠ Haberes − descuentos no da el líquido","OK"))))))</f>
        <v/>
      </c>
      <c r="V244" s="62" t="str">
        <f aca="false">IF(C244="","",IFERROR(VALUE(LEFT(UPPER(SUBSTITUTE(SUBSTITUTE(SUBSTITUTE(TRIM(C244),".",""),"-","")," ","")),LEN(UPPER(SUBSTITUTE(SUBSTITUTE(SUBSTITUTE(TRIM(C244),".",""),"-","")," ","")))-1))&amp;RIGHT(UPPER(SUBSTITUTE(SUBSTITUTE(SUBSTITUTE(TRIM(C244),".",""),"-","")," ","")),1),UPPER(SUBSTITUTE(SUBSTITUTE(SUBSTITUTE(TRIM(C244),".",""),"-","")," ",""))))</f>
        <v/>
      </c>
    </row>
    <row r="245" customFormat="false" ht="15" hidden="false" customHeight="false" outlineLevel="0" collapsed="false">
      <c r="B245" s="80"/>
      <c r="C245" s="58"/>
      <c r="D245" s="62" t="str">
        <f aca="false">IF(C245="","",IFERROR(INDEX(T_NOMBRE,MATCH(V245,T_RUTN,0)),"⚠ RUT no está en Trabajadores"))</f>
        <v/>
      </c>
      <c r="E245" s="61"/>
      <c r="F245" s="61"/>
      <c r="G245" s="61"/>
      <c r="H245" s="61"/>
      <c r="I245" s="81"/>
      <c r="J245" s="81"/>
      <c r="K245" s="60"/>
      <c r="L245" s="60"/>
      <c r="M245" s="60"/>
      <c r="N245" s="60"/>
      <c r="O245" s="60"/>
      <c r="P245" s="60"/>
      <c r="Q245" s="60"/>
      <c r="R245" s="58"/>
      <c r="S245" s="62" t="str">
        <f aca="false">IF(OR(B245="",V245=""),"",IFERROR(INDEX(C_TIPO,MATCH(V245&amp;"-P"&amp;MAX(1,COUNTIFS(C_RUTN,V245,C_DEF,"Sí",C_INI,"&lt;="&amp;EOMONTH(B245,0))),C_CLAVE,0))&amp;"","Sin contrato"))</f>
        <v/>
      </c>
      <c r="T245" s="63" t="str">
        <f aca="false">IF(OR(B245="",N(O245)=0),"",N(O245)+ROUND(MIN(N(N245),TOPE_UF*UF_MES)*(TASA_EMP+MUTUAL),0)+ROUND(MIN(N(N245),TOPE_AFC_UF*UF_MES)*IF(S245="Indefinido",AFC_INDEF,AFC_PF),0))</f>
        <v/>
      </c>
      <c r="U245" s="62" t="str">
        <f aca="false">IF(C245="","",IF(LEFT(D245,1)="⚠","⚠ RUT no registrado en Trabajadores",IF(B245="","⚠ Falta el mes",IF(OR(ISTEXT(I245),ISTEXT(J245)),"⚠ Atrasos u horas extra como texto: escriba hh:mm (ej. 1:30)",IF(AND(ISNUMBER(Q245),COUNTIFS(M_RUTN,V245,M_MES,B245,M_LIQ,"&lt;&gt;")&gt;1),"⚠ Liquidación repetida en el mes",IF(AND(ISNUMBER(O245),ISNUMBER(P245),ISNUMBER(Q245),ABS(O245-P245-Q245)&gt;1),"⚠ Haberes − descuentos no da el líquido","OK"))))))</f>
        <v/>
      </c>
      <c r="V245" s="62" t="str">
        <f aca="false">IF(C245="","",IFERROR(VALUE(LEFT(UPPER(SUBSTITUTE(SUBSTITUTE(SUBSTITUTE(TRIM(C245),".",""),"-","")," ","")),LEN(UPPER(SUBSTITUTE(SUBSTITUTE(SUBSTITUTE(TRIM(C245),".",""),"-","")," ","")))-1))&amp;RIGHT(UPPER(SUBSTITUTE(SUBSTITUTE(SUBSTITUTE(TRIM(C245),".",""),"-","")," ","")),1),UPPER(SUBSTITUTE(SUBSTITUTE(SUBSTITUTE(TRIM(C245),".",""),"-","")," ",""))))</f>
        <v/>
      </c>
    </row>
    <row r="246" customFormat="false" ht="15" hidden="false" customHeight="false" outlineLevel="0" collapsed="false">
      <c r="B246" s="80"/>
      <c r="C246" s="58"/>
      <c r="D246" s="62" t="str">
        <f aca="false">IF(C246="","",IFERROR(INDEX(T_NOMBRE,MATCH(V246,T_RUTN,0)),"⚠ RUT no está en Trabajadores"))</f>
        <v/>
      </c>
      <c r="E246" s="61"/>
      <c r="F246" s="61"/>
      <c r="G246" s="61"/>
      <c r="H246" s="61"/>
      <c r="I246" s="81"/>
      <c r="J246" s="81"/>
      <c r="K246" s="60"/>
      <c r="L246" s="60"/>
      <c r="M246" s="60"/>
      <c r="N246" s="60"/>
      <c r="O246" s="60"/>
      <c r="P246" s="60"/>
      <c r="Q246" s="60"/>
      <c r="R246" s="58"/>
      <c r="S246" s="62" t="str">
        <f aca="false">IF(OR(B246="",V246=""),"",IFERROR(INDEX(C_TIPO,MATCH(V246&amp;"-P"&amp;MAX(1,COUNTIFS(C_RUTN,V246,C_DEF,"Sí",C_INI,"&lt;="&amp;EOMONTH(B246,0))),C_CLAVE,0))&amp;"","Sin contrato"))</f>
        <v/>
      </c>
      <c r="T246" s="63" t="str">
        <f aca="false">IF(OR(B246="",N(O246)=0),"",N(O246)+ROUND(MIN(N(N246),TOPE_UF*UF_MES)*(TASA_EMP+MUTUAL),0)+ROUND(MIN(N(N246),TOPE_AFC_UF*UF_MES)*IF(S246="Indefinido",AFC_INDEF,AFC_PF),0))</f>
        <v/>
      </c>
      <c r="U246" s="62" t="str">
        <f aca="false">IF(C246="","",IF(LEFT(D246,1)="⚠","⚠ RUT no registrado en Trabajadores",IF(B246="","⚠ Falta el mes",IF(OR(ISTEXT(I246),ISTEXT(J246)),"⚠ Atrasos u horas extra como texto: escriba hh:mm (ej. 1:30)",IF(AND(ISNUMBER(Q246),COUNTIFS(M_RUTN,V246,M_MES,B246,M_LIQ,"&lt;&gt;")&gt;1),"⚠ Liquidación repetida en el mes",IF(AND(ISNUMBER(O246),ISNUMBER(P246),ISNUMBER(Q246),ABS(O246-P246-Q246)&gt;1),"⚠ Haberes − descuentos no da el líquido","OK"))))))</f>
        <v/>
      </c>
      <c r="V246" s="62" t="str">
        <f aca="false">IF(C246="","",IFERROR(VALUE(LEFT(UPPER(SUBSTITUTE(SUBSTITUTE(SUBSTITUTE(TRIM(C246),".",""),"-","")," ","")),LEN(UPPER(SUBSTITUTE(SUBSTITUTE(SUBSTITUTE(TRIM(C246),".",""),"-","")," ","")))-1))&amp;RIGHT(UPPER(SUBSTITUTE(SUBSTITUTE(SUBSTITUTE(TRIM(C246),".",""),"-","")," ","")),1),UPPER(SUBSTITUTE(SUBSTITUTE(SUBSTITUTE(TRIM(C246),".",""),"-","")," ",""))))</f>
        <v/>
      </c>
    </row>
    <row r="247" customFormat="false" ht="15" hidden="false" customHeight="false" outlineLevel="0" collapsed="false">
      <c r="B247" s="80"/>
      <c r="C247" s="58"/>
      <c r="D247" s="62" t="str">
        <f aca="false">IF(C247="","",IFERROR(INDEX(T_NOMBRE,MATCH(V247,T_RUTN,0)),"⚠ RUT no está en Trabajadores"))</f>
        <v/>
      </c>
      <c r="E247" s="61"/>
      <c r="F247" s="61"/>
      <c r="G247" s="61"/>
      <c r="H247" s="61"/>
      <c r="I247" s="81"/>
      <c r="J247" s="81"/>
      <c r="K247" s="60"/>
      <c r="L247" s="60"/>
      <c r="M247" s="60"/>
      <c r="N247" s="60"/>
      <c r="O247" s="60"/>
      <c r="P247" s="60"/>
      <c r="Q247" s="60"/>
      <c r="R247" s="58"/>
      <c r="S247" s="62" t="str">
        <f aca="false">IF(OR(B247="",V247=""),"",IFERROR(INDEX(C_TIPO,MATCH(V247&amp;"-P"&amp;MAX(1,COUNTIFS(C_RUTN,V247,C_DEF,"Sí",C_INI,"&lt;="&amp;EOMONTH(B247,0))),C_CLAVE,0))&amp;"","Sin contrato"))</f>
        <v/>
      </c>
      <c r="T247" s="63" t="str">
        <f aca="false">IF(OR(B247="",N(O247)=0),"",N(O247)+ROUND(MIN(N(N247),TOPE_UF*UF_MES)*(TASA_EMP+MUTUAL),0)+ROUND(MIN(N(N247),TOPE_AFC_UF*UF_MES)*IF(S247="Indefinido",AFC_INDEF,AFC_PF),0))</f>
        <v/>
      </c>
      <c r="U247" s="62" t="str">
        <f aca="false">IF(C247="","",IF(LEFT(D247,1)="⚠","⚠ RUT no registrado en Trabajadores",IF(B247="","⚠ Falta el mes",IF(OR(ISTEXT(I247),ISTEXT(J247)),"⚠ Atrasos u horas extra como texto: escriba hh:mm (ej. 1:30)",IF(AND(ISNUMBER(Q247),COUNTIFS(M_RUTN,V247,M_MES,B247,M_LIQ,"&lt;&gt;")&gt;1),"⚠ Liquidación repetida en el mes",IF(AND(ISNUMBER(O247),ISNUMBER(P247),ISNUMBER(Q247),ABS(O247-P247-Q247)&gt;1),"⚠ Haberes − descuentos no da el líquido","OK"))))))</f>
        <v/>
      </c>
      <c r="V247" s="62" t="str">
        <f aca="false">IF(C247="","",IFERROR(VALUE(LEFT(UPPER(SUBSTITUTE(SUBSTITUTE(SUBSTITUTE(TRIM(C247),".",""),"-","")," ","")),LEN(UPPER(SUBSTITUTE(SUBSTITUTE(SUBSTITUTE(TRIM(C247),".",""),"-","")," ","")))-1))&amp;RIGHT(UPPER(SUBSTITUTE(SUBSTITUTE(SUBSTITUTE(TRIM(C247),".",""),"-","")," ","")),1),UPPER(SUBSTITUTE(SUBSTITUTE(SUBSTITUTE(TRIM(C247),".",""),"-","")," ",""))))</f>
        <v/>
      </c>
    </row>
    <row r="248" customFormat="false" ht="15" hidden="false" customHeight="false" outlineLevel="0" collapsed="false">
      <c r="B248" s="80"/>
      <c r="C248" s="58"/>
      <c r="D248" s="62" t="str">
        <f aca="false">IF(C248="","",IFERROR(INDEX(T_NOMBRE,MATCH(V248,T_RUTN,0)),"⚠ RUT no está en Trabajadores"))</f>
        <v/>
      </c>
      <c r="E248" s="61"/>
      <c r="F248" s="61"/>
      <c r="G248" s="61"/>
      <c r="H248" s="61"/>
      <c r="I248" s="81"/>
      <c r="J248" s="81"/>
      <c r="K248" s="60"/>
      <c r="L248" s="60"/>
      <c r="M248" s="60"/>
      <c r="N248" s="60"/>
      <c r="O248" s="60"/>
      <c r="P248" s="60"/>
      <c r="Q248" s="60"/>
      <c r="R248" s="58"/>
      <c r="S248" s="62" t="str">
        <f aca="false">IF(OR(B248="",V248=""),"",IFERROR(INDEX(C_TIPO,MATCH(V248&amp;"-P"&amp;MAX(1,COUNTIFS(C_RUTN,V248,C_DEF,"Sí",C_INI,"&lt;="&amp;EOMONTH(B248,0))),C_CLAVE,0))&amp;"","Sin contrato"))</f>
        <v/>
      </c>
      <c r="T248" s="63" t="str">
        <f aca="false">IF(OR(B248="",N(O248)=0),"",N(O248)+ROUND(MIN(N(N248),TOPE_UF*UF_MES)*(TASA_EMP+MUTUAL),0)+ROUND(MIN(N(N248),TOPE_AFC_UF*UF_MES)*IF(S248="Indefinido",AFC_INDEF,AFC_PF),0))</f>
        <v/>
      </c>
      <c r="U248" s="62" t="str">
        <f aca="false">IF(C248="","",IF(LEFT(D248,1)="⚠","⚠ RUT no registrado en Trabajadores",IF(B248="","⚠ Falta el mes",IF(OR(ISTEXT(I248),ISTEXT(J248)),"⚠ Atrasos u horas extra como texto: escriba hh:mm (ej. 1:30)",IF(AND(ISNUMBER(Q248),COUNTIFS(M_RUTN,V248,M_MES,B248,M_LIQ,"&lt;&gt;")&gt;1),"⚠ Liquidación repetida en el mes",IF(AND(ISNUMBER(O248),ISNUMBER(P248),ISNUMBER(Q248),ABS(O248-P248-Q248)&gt;1),"⚠ Haberes − descuentos no da el líquido","OK"))))))</f>
        <v/>
      </c>
      <c r="V248" s="62" t="str">
        <f aca="false">IF(C248="","",IFERROR(VALUE(LEFT(UPPER(SUBSTITUTE(SUBSTITUTE(SUBSTITUTE(TRIM(C248),".",""),"-","")," ","")),LEN(UPPER(SUBSTITUTE(SUBSTITUTE(SUBSTITUTE(TRIM(C248),".",""),"-","")," ","")))-1))&amp;RIGHT(UPPER(SUBSTITUTE(SUBSTITUTE(SUBSTITUTE(TRIM(C248),".",""),"-","")," ","")),1),UPPER(SUBSTITUTE(SUBSTITUTE(SUBSTITUTE(TRIM(C248),".",""),"-","")," ",""))))</f>
        <v/>
      </c>
    </row>
    <row r="249" customFormat="false" ht="15" hidden="false" customHeight="false" outlineLevel="0" collapsed="false">
      <c r="B249" s="80"/>
      <c r="C249" s="58"/>
      <c r="D249" s="62" t="str">
        <f aca="false">IF(C249="","",IFERROR(INDEX(T_NOMBRE,MATCH(V249,T_RUTN,0)),"⚠ RUT no está en Trabajadores"))</f>
        <v/>
      </c>
      <c r="E249" s="61"/>
      <c r="F249" s="61"/>
      <c r="G249" s="61"/>
      <c r="H249" s="61"/>
      <c r="I249" s="81"/>
      <c r="J249" s="81"/>
      <c r="K249" s="60"/>
      <c r="L249" s="60"/>
      <c r="M249" s="60"/>
      <c r="N249" s="60"/>
      <c r="O249" s="60"/>
      <c r="P249" s="60"/>
      <c r="Q249" s="60"/>
      <c r="R249" s="58"/>
      <c r="S249" s="62" t="str">
        <f aca="false">IF(OR(B249="",V249=""),"",IFERROR(INDEX(C_TIPO,MATCH(V249&amp;"-P"&amp;MAX(1,COUNTIFS(C_RUTN,V249,C_DEF,"Sí",C_INI,"&lt;="&amp;EOMONTH(B249,0))),C_CLAVE,0))&amp;"","Sin contrato"))</f>
        <v/>
      </c>
      <c r="T249" s="63" t="str">
        <f aca="false">IF(OR(B249="",N(O249)=0),"",N(O249)+ROUND(MIN(N(N249),TOPE_UF*UF_MES)*(TASA_EMP+MUTUAL),0)+ROUND(MIN(N(N249),TOPE_AFC_UF*UF_MES)*IF(S249="Indefinido",AFC_INDEF,AFC_PF),0))</f>
        <v/>
      </c>
      <c r="U249" s="62" t="str">
        <f aca="false">IF(C249="","",IF(LEFT(D249,1)="⚠","⚠ RUT no registrado en Trabajadores",IF(B249="","⚠ Falta el mes",IF(OR(ISTEXT(I249),ISTEXT(J249)),"⚠ Atrasos u horas extra como texto: escriba hh:mm (ej. 1:30)",IF(AND(ISNUMBER(Q249),COUNTIFS(M_RUTN,V249,M_MES,B249,M_LIQ,"&lt;&gt;")&gt;1),"⚠ Liquidación repetida en el mes",IF(AND(ISNUMBER(O249),ISNUMBER(P249),ISNUMBER(Q249),ABS(O249-P249-Q249)&gt;1),"⚠ Haberes − descuentos no da el líquido","OK"))))))</f>
        <v/>
      </c>
      <c r="V249" s="62" t="str">
        <f aca="false">IF(C249="","",IFERROR(VALUE(LEFT(UPPER(SUBSTITUTE(SUBSTITUTE(SUBSTITUTE(TRIM(C249),".",""),"-","")," ","")),LEN(UPPER(SUBSTITUTE(SUBSTITUTE(SUBSTITUTE(TRIM(C249),".",""),"-","")," ","")))-1))&amp;RIGHT(UPPER(SUBSTITUTE(SUBSTITUTE(SUBSTITUTE(TRIM(C249),".",""),"-","")," ","")),1),UPPER(SUBSTITUTE(SUBSTITUTE(SUBSTITUTE(TRIM(C249),".",""),"-","")," ",""))))</f>
        <v/>
      </c>
    </row>
    <row r="250" customFormat="false" ht="15" hidden="false" customHeight="false" outlineLevel="0" collapsed="false">
      <c r="B250" s="80"/>
      <c r="C250" s="58"/>
      <c r="D250" s="62" t="str">
        <f aca="false">IF(C250="","",IFERROR(INDEX(T_NOMBRE,MATCH(V250,T_RUTN,0)),"⚠ RUT no está en Trabajadores"))</f>
        <v/>
      </c>
      <c r="E250" s="61"/>
      <c r="F250" s="61"/>
      <c r="G250" s="61"/>
      <c r="H250" s="61"/>
      <c r="I250" s="81"/>
      <c r="J250" s="81"/>
      <c r="K250" s="60"/>
      <c r="L250" s="60"/>
      <c r="M250" s="60"/>
      <c r="N250" s="60"/>
      <c r="O250" s="60"/>
      <c r="P250" s="60"/>
      <c r="Q250" s="60"/>
      <c r="R250" s="58"/>
      <c r="S250" s="62" t="str">
        <f aca="false">IF(OR(B250="",V250=""),"",IFERROR(INDEX(C_TIPO,MATCH(V250&amp;"-P"&amp;MAX(1,COUNTIFS(C_RUTN,V250,C_DEF,"Sí",C_INI,"&lt;="&amp;EOMONTH(B250,0))),C_CLAVE,0))&amp;"","Sin contrato"))</f>
        <v/>
      </c>
      <c r="T250" s="63" t="str">
        <f aca="false">IF(OR(B250="",N(O250)=0),"",N(O250)+ROUND(MIN(N(N250),TOPE_UF*UF_MES)*(TASA_EMP+MUTUAL),0)+ROUND(MIN(N(N250),TOPE_AFC_UF*UF_MES)*IF(S250="Indefinido",AFC_INDEF,AFC_PF),0))</f>
        <v/>
      </c>
      <c r="U250" s="62" t="str">
        <f aca="false">IF(C250="","",IF(LEFT(D250,1)="⚠","⚠ RUT no registrado en Trabajadores",IF(B250="","⚠ Falta el mes",IF(OR(ISTEXT(I250),ISTEXT(J250)),"⚠ Atrasos u horas extra como texto: escriba hh:mm (ej. 1:30)",IF(AND(ISNUMBER(Q250),COUNTIFS(M_RUTN,V250,M_MES,B250,M_LIQ,"&lt;&gt;")&gt;1),"⚠ Liquidación repetida en el mes",IF(AND(ISNUMBER(O250),ISNUMBER(P250),ISNUMBER(Q250),ABS(O250-P250-Q250)&gt;1),"⚠ Haberes − descuentos no da el líquido","OK"))))))</f>
        <v/>
      </c>
      <c r="V250" s="62" t="str">
        <f aca="false">IF(C250="","",IFERROR(VALUE(LEFT(UPPER(SUBSTITUTE(SUBSTITUTE(SUBSTITUTE(TRIM(C250),".",""),"-","")," ","")),LEN(UPPER(SUBSTITUTE(SUBSTITUTE(SUBSTITUTE(TRIM(C250),".",""),"-","")," ","")))-1))&amp;RIGHT(UPPER(SUBSTITUTE(SUBSTITUTE(SUBSTITUTE(TRIM(C250),".",""),"-","")," ","")),1),UPPER(SUBSTITUTE(SUBSTITUTE(SUBSTITUTE(TRIM(C250),".",""),"-","")," ",""))))</f>
        <v/>
      </c>
    </row>
    <row r="251" customFormat="false" ht="15" hidden="false" customHeight="false" outlineLevel="0" collapsed="false">
      <c r="B251" s="80"/>
      <c r="C251" s="58"/>
      <c r="D251" s="62" t="str">
        <f aca="false">IF(C251="","",IFERROR(INDEX(T_NOMBRE,MATCH(V251,T_RUTN,0)),"⚠ RUT no está en Trabajadores"))</f>
        <v/>
      </c>
      <c r="E251" s="61"/>
      <c r="F251" s="61"/>
      <c r="G251" s="61"/>
      <c r="H251" s="61"/>
      <c r="I251" s="81"/>
      <c r="J251" s="81"/>
      <c r="K251" s="60"/>
      <c r="L251" s="60"/>
      <c r="M251" s="60"/>
      <c r="N251" s="60"/>
      <c r="O251" s="60"/>
      <c r="P251" s="60"/>
      <c r="Q251" s="60"/>
      <c r="R251" s="58"/>
      <c r="S251" s="62" t="str">
        <f aca="false">IF(OR(B251="",V251=""),"",IFERROR(INDEX(C_TIPO,MATCH(V251&amp;"-P"&amp;MAX(1,COUNTIFS(C_RUTN,V251,C_DEF,"Sí",C_INI,"&lt;="&amp;EOMONTH(B251,0))),C_CLAVE,0))&amp;"","Sin contrato"))</f>
        <v/>
      </c>
      <c r="T251" s="63" t="str">
        <f aca="false">IF(OR(B251="",N(O251)=0),"",N(O251)+ROUND(MIN(N(N251),TOPE_UF*UF_MES)*(TASA_EMP+MUTUAL),0)+ROUND(MIN(N(N251),TOPE_AFC_UF*UF_MES)*IF(S251="Indefinido",AFC_INDEF,AFC_PF),0))</f>
        <v/>
      </c>
      <c r="U251" s="62" t="str">
        <f aca="false">IF(C251="","",IF(LEFT(D251,1)="⚠","⚠ RUT no registrado en Trabajadores",IF(B251="","⚠ Falta el mes",IF(OR(ISTEXT(I251),ISTEXT(J251)),"⚠ Atrasos u horas extra como texto: escriba hh:mm (ej. 1:30)",IF(AND(ISNUMBER(Q251),COUNTIFS(M_RUTN,V251,M_MES,B251,M_LIQ,"&lt;&gt;")&gt;1),"⚠ Liquidación repetida en el mes",IF(AND(ISNUMBER(O251),ISNUMBER(P251),ISNUMBER(Q251),ABS(O251-P251-Q251)&gt;1),"⚠ Haberes − descuentos no da el líquido","OK"))))))</f>
        <v/>
      </c>
      <c r="V251" s="62" t="str">
        <f aca="false">IF(C251="","",IFERROR(VALUE(LEFT(UPPER(SUBSTITUTE(SUBSTITUTE(SUBSTITUTE(TRIM(C251),".",""),"-","")," ","")),LEN(UPPER(SUBSTITUTE(SUBSTITUTE(SUBSTITUTE(TRIM(C251),".",""),"-","")," ","")))-1))&amp;RIGHT(UPPER(SUBSTITUTE(SUBSTITUTE(SUBSTITUTE(TRIM(C251),".",""),"-","")," ","")),1),UPPER(SUBSTITUTE(SUBSTITUTE(SUBSTITUTE(TRIM(C251),".",""),"-","")," ",""))))</f>
        <v/>
      </c>
    </row>
    <row r="252" customFormat="false" ht="15" hidden="false" customHeight="false" outlineLevel="0" collapsed="false">
      <c r="B252" s="80"/>
      <c r="C252" s="58"/>
      <c r="D252" s="62" t="str">
        <f aca="false">IF(C252="","",IFERROR(INDEX(T_NOMBRE,MATCH(V252,T_RUTN,0)),"⚠ RUT no está en Trabajadores"))</f>
        <v/>
      </c>
      <c r="E252" s="61"/>
      <c r="F252" s="61"/>
      <c r="G252" s="61"/>
      <c r="H252" s="61"/>
      <c r="I252" s="81"/>
      <c r="J252" s="81"/>
      <c r="K252" s="60"/>
      <c r="L252" s="60"/>
      <c r="M252" s="60"/>
      <c r="N252" s="60"/>
      <c r="O252" s="60"/>
      <c r="P252" s="60"/>
      <c r="Q252" s="60"/>
      <c r="R252" s="58"/>
      <c r="S252" s="62" t="str">
        <f aca="false">IF(OR(B252="",V252=""),"",IFERROR(INDEX(C_TIPO,MATCH(V252&amp;"-P"&amp;MAX(1,COUNTIFS(C_RUTN,V252,C_DEF,"Sí",C_INI,"&lt;="&amp;EOMONTH(B252,0))),C_CLAVE,0))&amp;"","Sin contrato"))</f>
        <v/>
      </c>
      <c r="T252" s="63" t="str">
        <f aca="false">IF(OR(B252="",N(O252)=0),"",N(O252)+ROUND(MIN(N(N252),TOPE_UF*UF_MES)*(TASA_EMP+MUTUAL),0)+ROUND(MIN(N(N252),TOPE_AFC_UF*UF_MES)*IF(S252="Indefinido",AFC_INDEF,AFC_PF),0))</f>
        <v/>
      </c>
      <c r="U252" s="62" t="str">
        <f aca="false">IF(C252="","",IF(LEFT(D252,1)="⚠","⚠ RUT no registrado en Trabajadores",IF(B252="","⚠ Falta el mes",IF(OR(ISTEXT(I252),ISTEXT(J252)),"⚠ Atrasos u horas extra como texto: escriba hh:mm (ej. 1:30)",IF(AND(ISNUMBER(Q252),COUNTIFS(M_RUTN,V252,M_MES,B252,M_LIQ,"&lt;&gt;")&gt;1),"⚠ Liquidación repetida en el mes",IF(AND(ISNUMBER(O252),ISNUMBER(P252),ISNUMBER(Q252),ABS(O252-P252-Q252)&gt;1),"⚠ Haberes − descuentos no da el líquido","OK"))))))</f>
        <v/>
      </c>
      <c r="V252" s="62" t="str">
        <f aca="false">IF(C252="","",IFERROR(VALUE(LEFT(UPPER(SUBSTITUTE(SUBSTITUTE(SUBSTITUTE(TRIM(C252),".",""),"-","")," ","")),LEN(UPPER(SUBSTITUTE(SUBSTITUTE(SUBSTITUTE(TRIM(C252),".",""),"-","")," ","")))-1))&amp;RIGHT(UPPER(SUBSTITUTE(SUBSTITUTE(SUBSTITUTE(TRIM(C252),".",""),"-","")," ","")),1),UPPER(SUBSTITUTE(SUBSTITUTE(SUBSTITUTE(TRIM(C252),".",""),"-","")," ",""))))</f>
        <v/>
      </c>
    </row>
    <row r="253" customFormat="false" ht="15" hidden="false" customHeight="false" outlineLevel="0" collapsed="false">
      <c r="B253" s="80"/>
      <c r="C253" s="58"/>
      <c r="D253" s="62" t="str">
        <f aca="false">IF(C253="","",IFERROR(INDEX(T_NOMBRE,MATCH(V253,T_RUTN,0)),"⚠ RUT no está en Trabajadores"))</f>
        <v/>
      </c>
      <c r="E253" s="61"/>
      <c r="F253" s="61"/>
      <c r="G253" s="61"/>
      <c r="H253" s="61"/>
      <c r="I253" s="81"/>
      <c r="J253" s="81"/>
      <c r="K253" s="60"/>
      <c r="L253" s="60"/>
      <c r="M253" s="60"/>
      <c r="N253" s="60"/>
      <c r="O253" s="60"/>
      <c r="P253" s="60"/>
      <c r="Q253" s="60"/>
      <c r="R253" s="58"/>
      <c r="S253" s="62" t="str">
        <f aca="false">IF(OR(B253="",V253=""),"",IFERROR(INDEX(C_TIPO,MATCH(V253&amp;"-P"&amp;MAX(1,COUNTIFS(C_RUTN,V253,C_DEF,"Sí",C_INI,"&lt;="&amp;EOMONTH(B253,0))),C_CLAVE,0))&amp;"","Sin contrato"))</f>
        <v/>
      </c>
      <c r="T253" s="63" t="str">
        <f aca="false">IF(OR(B253="",N(O253)=0),"",N(O253)+ROUND(MIN(N(N253),TOPE_UF*UF_MES)*(TASA_EMP+MUTUAL),0)+ROUND(MIN(N(N253),TOPE_AFC_UF*UF_MES)*IF(S253="Indefinido",AFC_INDEF,AFC_PF),0))</f>
        <v/>
      </c>
      <c r="U253" s="62" t="str">
        <f aca="false">IF(C253="","",IF(LEFT(D253,1)="⚠","⚠ RUT no registrado en Trabajadores",IF(B253="","⚠ Falta el mes",IF(OR(ISTEXT(I253),ISTEXT(J253)),"⚠ Atrasos u horas extra como texto: escriba hh:mm (ej. 1:30)",IF(AND(ISNUMBER(Q253),COUNTIFS(M_RUTN,V253,M_MES,B253,M_LIQ,"&lt;&gt;")&gt;1),"⚠ Liquidación repetida en el mes",IF(AND(ISNUMBER(O253),ISNUMBER(P253),ISNUMBER(Q253),ABS(O253-P253-Q253)&gt;1),"⚠ Haberes − descuentos no da el líquido","OK"))))))</f>
        <v/>
      </c>
      <c r="V253" s="62" t="str">
        <f aca="false">IF(C253="","",IFERROR(VALUE(LEFT(UPPER(SUBSTITUTE(SUBSTITUTE(SUBSTITUTE(TRIM(C253),".",""),"-","")," ","")),LEN(UPPER(SUBSTITUTE(SUBSTITUTE(SUBSTITUTE(TRIM(C253),".",""),"-","")," ","")))-1))&amp;RIGHT(UPPER(SUBSTITUTE(SUBSTITUTE(SUBSTITUTE(TRIM(C253),".",""),"-","")," ","")),1),UPPER(SUBSTITUTE(SUBSTITUTE(SUBSTITUTE(TRIM(C253),".",""),"-","")," ",""))))</f>
        <v/>
      </c>
    </row>
    <row r="254" customFormat="false" ht="15" hidden="false" customHeight="false" outlineLevel="0" collapsed="false">
      <c r="B254" s="80"/>
      <c r="C254" s="58"/>
      <c r="D254" s="62" t="str">
        <f aca="false">IF(C254="","",IFERROR(INDEX(T_NOMBRE,MATCH(V254,T_RUTN,0)),"⚠ RUT no está en Trabajadores"))</f>
        <v/>
      </c>
      <c r="E254" s="61"/>
      <c r="F254" s="61"/>
      <c r="G254" s="61"/>
      <c r="H254" s="61"/>
      <c r="I254" s="81"/>
      <c r="J254" s="81"/>
      <c r="K254" s="60"/>
      <c r="L254" s="60"/>
      <c r="M254" s="60"/>
      <c r="N254" s="60"/>
      <c r="O254" s="60"/>
      <c r="P254" s="60"/>
      <c r="Q254" s="60"/>
      <c r="R254" s="58"/>
      <c r="S254" s="62" t="str">
        <f aca="false">IF(OR(B254="",V254=""),"",IFERROR(INDEX(C_TIPO,MATCH(V254&amp;"-P"&amp;MAX(1,COUNTIFS(C_RUTN,V254,C_DEF,"Sí",C_INI,"&lt;="&amp;EOMONTH(B254,0))),C_CLAVE,0))&amp;"","Sin contrato"))</f>
        <v/>
      </c>
      <c r="T254" s="63" t="str">
        <f aca="false">IF(OR(B254="",N(O254)=0),"",N(O254)+ROUND(MIN(N(N254),TOPE_UF*UF_MES)*(TASA_EMP+MUTUAL),0)+ROUND(MIN(N(N254),TOPE_AFC_UF*UF_MES)*IF(S254="Indefinido",AFC_INDEF,AFC_PF),0))</f>
        <v/>
      </c>
      <c r="U254" s="62" t="str">
        <f aca="false">IF(C254="","",IF(LEFT(D254,1)="⚠","⚠ RUT no registrado en Trabajadores",IF(B254="","⚠ Falta el mes",IF(OR(ISTEXT(I254),ISTEXT(J254)),"⚠ Atrasos u horas extra como texto: escriba hh:mm (ej. 1:30)",IF(AND(ISNUMBER(Q254),COUNTIFS(M_RUTN,V254,M_MES,B254,M_LIQ,"&lt;&gt;")&gt;1),"⚠ Liquidación repetida en el mes",IF(AND(ISNUMBER(O254),ISNUMBER(P254),ISNUMBER(Q254),ABS(O254-P254-Q254)&gt;1),"⚠ Haberes − descuentos no da el líquido","OK"))))))</f>
        <v/>
      </c>
      <c r="V254" s="62" t="str">
        <f aca="false">IF(C254="","",IFERROR(VALUE(LEFT(UPPER(SUBSTITUTE(SUBSTITUTE(SUBSTITUTE(TRIM(C254),".",""),"-","")," ","")),LEN(UPPER(SUBSTITUTE(SUBSTITUTE(SUBSTITUTE(TRIM(C254),".",""),"-","")," ","")))-1))&amp;RIGHT(UPPER(SUBSTITUTE(SUBSTITUTE(SUBSTITUTE(TRIM(C254),".",""),"-","")," ","")),1),UPPER(SUBSTITUTE(SUBSTITUTE(SUBSTITUTE(TRIM(C254),".",""),"-","")," ",""))))</f>
        <v/>
      </c>
    </row>
    <row r="255" customFormat="false" ht="15" hidden="false" customHeight="false" outlineLevel="0" collapsed="false">
      <c r="B255" s="80"/>
      <c r="C255" s="58"/>
      <c r="D255" s="62" t="str">
        <f aca="false">IF(C255="","",IFERROR(INDEX(T_NOMBRE,MATCH(V255,T_RUTN,0)),"⚠ RUT no está en Trabajadores"))</f>
        <v/>
      </c>
      <c r="E255" s="61"/>
      <c r="F255" s="61"/>
      <c r="G255" s="61"/>
      <c r="H255" s="61"/>
      <c r="I255" s="81"/>
      <c r="J255" s="81"/>
      <c r="K255" s="60"/>
      <c r="L255" s="60"/>
      <c r="M255" s="60"/>
      <c r="N255" s="60"/>
      <c r="O255" s="60"/>
      <c r="P255" s="60"/>
      <c r="Q255" s="60"/>
      <c r="R255" s="58"/>
      <c r="S255" s="62" t="str">
        <f aca="false">IF(OR(B255="",V255=""),"",IFERROR(INDEX(C_TIPO,MATCH(V255&amp;"-P"&amp;MAX(1,COUNTIFS(C_RUTN,V255,C_DEF,"Sí",C_INI,"&lt;="&amp;EOMONTH(B255,0))),C_CLAVE,0))&amp;"","Sin contrato"))</f>
        <v/>
      </c>
      <c r="T255" s="63" t="str">
        <f aca="false">IF(OR(B255="",N(O255)=0),"",N(O255)+ROUND(MIN(N(N255),TOPE_UF*UF_MES)*(TASA_EMP+MUTUAL),0)+ROUND(MIN(N(N255),TOPE_AFC_UF*UF_MES)*IF(S255="Indefinido",AFC_INDEF,AFC_PF),0))</f>
        <v/>
      </c>
      <c r="U255" s="62" t="str">
        <f aca="false">IF(C255="","",IF(LEFT(D255,1)="⚠","⚠ RUT no registrado en Trabajadores",IF(B255="","⚠ Falta el mes",IF(OR(ISTEXT(I255),ISTEXT(J255)),"⚠ Atrasos u horas extra como texto: escriba hh:mm (ej. 1:30)",IF(AND(ISNUMBER(Q255),COUNTIFS(M_RUTN,V255,M_MES,B255,M_LIQ,"&lt;&gt;")&gt;1),"⚠ Liquidación repetida en el mes",IF(AND(ISNUMBER(O255),ISNUMBER(P255),ISNUMBER(Q255),ABS(O255-P255-Q255)&gt;1),"⚠ Haberes − descuentos no da el líquido","OK"))))))</f>
        <v/>
      </c>
      <c r="V255" s="62" t="str">
        <f aca="false">IF(C255="","",IFERROR(VALUE(LEFT(UPPER(SUBSTITUTE(SUBSTITUTE(SUBSTITUTE(TRIM(C255),".",""),"-","")," ","")),LEN(UPPER(SUBSTITUTE(SUBSTITUTE(SUBSTITUTE(TRIM(C255),".",""),"-","")," ","")))-1))&amp;RIGHT(UPPER(SUBSTITUTE(SUBSTITUTE(SUBSTITUTE(TRIM(C255),".",""),"-","")," ","")),1),UPPER(SUBSTITUTE(SUBSTITUTE(SUBSTITUTE(TRIM(C255),".",""),"-","")," ",""))))</f>
        <v/>
      </c>
    </row>
    <row r="256" customFormat="false" ht="15" hidden="false" customHeight="false" outlineLevel="0" collapsed="false">
      <c r="B256" s="80"/>
      <c r="C256" s="58"/>
      <c r="D256" s="62" t="str">
        <f aca="false">IF(C256="","",IFERROR(INDEX(T_NOMBRE,MATCH(V256,T_RUTN,0)),"⚠ RUT no está en Trabajadores"))</f>
        <v/>
      </c>
      <c r="E256" s="61"/>
      <c r="F256" s="61"/>
      <c r="G256" s="61"/>
      <c r="H256" s="61"/>
      <c r="I256" s="81"/>
      <c r="J256" s="81"/>
      <c r="K256" s="60"/>
      <c r="L256" s="60"/>
      <c r="M256" s="60"/>
      <c r="N256" s="60"/>
      <c r="O256" s="60"/>
      <c r="P256" s="60"/>
      <c r="Q256" s="60"/>
      <c r="R256" s="58"/>
      <c r="S256" s="62" t="str">
        <f aca="false">IF(OR(B256="",V256=""),"",IFERROR(INDEX(C_TIPO,MATCH(V256&amp;"-P"&amp;MAX(1,COUNTIFS(C_RUTN,V256,C_DEF,"Sí",C_INI,"&lt;="&amp;EOMONTH(B256,0))),C_CLAVE,0))&amp;"","Sin contrato"))</f>
        <v/>
      </c>
      <c r="T256" s="63" t="str">
        <f aca="false">IF(OR(B256="",N(O256)=0),"",N(O256)+ROUND(MIN(N(N256),TOPE_UF*UF_MES)*(TASA_EMP+MUTUAL),0)+ROUND(MIN(N(N256),TOPE_AFC_UF*UF_MES)*IF(S256="Indefinido",AFC_INDEF,AFC_PF),0))</f>
        <v/>
      </c>
      <c r="U256" s="62" t="str">
        <f aca="false">IF(C256="","",IF(LEFT(D256,1)="⚠","⚠ RUT no registrado en Trabajadores",IF(B256="","⚠ Falta el mes",IF(OR(ISTEXT(I256),ISTEXT(J256)),"⚠ Atrasos u horas extra como texto: escriba hh:mm (ej. 1:30)",IF(AND(ISNUMBER(Q256),COUNTIFS(M_RUTN,V256,M_MES,B256,M_LIQ,"&lt;&gt;")&gt;1),"⚠ Liquidación repetida en el mes",IF(AND(ISNUMBER(O256),ISNUMBER(P256),ISNUMBER(Q256),ABS(O256-P256-Q256)&gt;1),"⚠ Haberes − descuentos no da el líquido","OK"))))))</f>
        <v/>
      </c>
      <c r="V256" s="62" t="str">
        <f aca="false">IF(C256="","",IFERROR(VALUE(LEFT(UPPER(SUBSTITUTE(SUBSTITUTE(SUBSTITUTE(TRIM(C256),".",""),"-","")," ","")),LEN(UPPER(SUBSTITUTE(SUBSTITUTE(SUBSTITUTE(TRIM(C256),".",""),"-","")," ","")))-1))&amp;RIGHT(UPPER(SUBSTITUTE(SUBSTITUTE(SUBSTITUTE(TRIM(C256),".",""),"-","")," ","")),1),UPPER(SUBSTITUTE(SUBSTITUTE(SUBSTITUTE(TRIM(C256),".",""),"-","")," ",""))))</f>
        <v/>
      </c>
    </row>
    <row r="257" customFormat="false" ht="15" hidden="false" customHeight="false" outlineLevel="0" collapsed="false">
      <c r="B257" s="80"/>
      <c r="C257" s="58"/>
      <c r="D257" s="62" t="str">
        <f aca="false">IF(C257="","",IFERROR(INDEX(T_NOMBRE,MATCH(V257,T_RUTN,0)),"⚠ RUT no está en Trabajadores"))</f>
        <v/>
      </c>
      <c r="E257" s="61"/>
      <c r="F257" s="61"/>
      <c r="G257" s="61"/>
      <c r="H257" s="61"/>
      <c r="I257" s="81"/>
      <c r="J257" s="81"/>
      <c r="K257" s="60"/>
      <c r="L257" s="60"/>
      <c r="M257" s="60"/>
      <c r="N257" s="60"/>
      <c r="O257" s="60"/>
      <c r="P257" s="60"/>
      <c r="Q257" s="60"/>
      <c r="R257" s="58"/>
      <c r="S257" s="62" t="str">
        <f aca="false">IF(OR(B257="",V257=""),"",IFERROR(INDEX(C_TIPO,MATCH(V257&amp;"-P"&amp;MAX(1,COUNTIFS(C_RUTN,V257,C_DEF,"Sí",C_INI,"&lt;="&amp;EOMONTH(B257,0))),C_CLAVE,0))&amp;"","Sin contrato"))</f>
        <v/>
      </c>
      <c r="T257" s="63" t="str">
        <f aca="false">IF(OR(B257="",N(O257)=0),"",N(O257)+ROUND(MIN(N(N257),TOPE_UF*UF_MES)*(TASA_EMP+MUTUAL),0)+ROUND(MIN(N(N257),TOPE_AFC_UF*UF_MES)*IF(S257="Indefinido",AFC_INDEF,AFC_PF),0))</f>
        <v/>
      </c>
      <c r="U257" s="62" t="str">
        <f aca="false">IF(C257="","",IF(LEFT(D257,1)="⚠","⚠ RUT no registrado en Trabajadores",IF(B257="","⚠ Falta el mes",IF(OR(ISTEXT(I257),ISTEXT(J257)),"⚠ Atrasos u horas extra como texto: escriba hh:mm (ej. 1:30)",IF(AND(ISNUMBER(Q257),COUNTIFS(M_RUTN,V257,M_MES,B257,M_LIQ,"&lt;&gt;")&gt;1),"⚠ Liquidación repetida en el mes",IF(AND(ISNUMBER(O257),ISNUMBER(P257),ISNUMBER(Q257),ABS(O257-P257-Q257)&gt;1),"⚠ Haberes − descuentos no da el líquido","OK"))))))</f>
        <v/>
      </c>
      <c r="V257" s="62" t="str">
        <f aca="false">IF(C257="","",IFERROR(VALUE(LEFT(UPPER(SUBSTITUTE(SUBSTITUTE(SUBSTITUTE(TRIM(C257),".",""),"-","")," ","")),LEN(UPPER(SUBSTITUTE(SUBSTITUTE(SUBSTITUTE(TRIM(C257),".",""),"-","")," ","")))-1))&amp;RIGHT(UPPER(SUBSTITUTE(SUBSTITUTE(SUBSTITUTE(TRIM(C257),".",""),"-","")," ","")),1),UPPER(SUBSTITUTE(SUBSTITUTE(SUBSTITUTE(TRIM(C257),".",""),"-","")," ",""))))</f>
        <v/>
      </c>
    </row>
    <row r="258" customFormat="false" ht="15" hidden="false" customHeight="false" outlineLevel="0" collapsed="false">
      <c r="B258" s="80"/>
      <c r="C258" s="58"/>
      <c r="D258" s="62" t="str">
        <f aca="false">IF(C258="","",IFERROR(INDEX(T_NOMBRE,MATCH(V258,T_RUTN,0)),"⚠ RUT no está en Trabajadores"))</f>
        <v/>
      </c>
      <c r="E258" s="61"/>
      <c r="F258" s="61"/>
      <c r="G258" s="61"/>
      <c r="H258" s="61"/>
      <c r="I258" s="81"/>
      <c r="J258" s="81"/>
      <c r="K258" s="60"/>
      <c r="L258" s="60"/>
      <c r="M258" s="60"/>
      <c r="N258" s="60"/>
      <c r="O258" s="60"/>
      <c r="P258" s="60"/>
      <c r="Q258" s="60"/>
      <c r="R258" s="58"/>
      <c r="S258" s="62" t="str">
        <f aca="false">IF(OR(B258="",V258=""),"",IFERROR(INDEX(C_TIPO,MATCH(V258&amp;"-P"&amp;MAX(1,COUNTIFS(C_RUTN,V258,C_DEF,"Sí",C_INI,"&lt;="&amp;EOMONTH(B258,0))),C_CLAVE,0))&amp;"","Sin contrato"))</f>
        <v/>
      </c>
      <c r="T258" s="63" t="str">
        <f aca="false">IF(OR(B258="",N(O258)=0),"",N(O258)+ROUND(MIN(N(N258),TOPE_UF*UF_MES)*(TASA_EMP+MUTUAL),0)+ROUND(MIN(N(N258),TOPE_AFC_UF*UF_MES)*IF(S258="Indefinido",AFC_INDEF,AFC_PF),0))</f>
        <v/>
      </c>
      <c r="U258" s="62" t="str">
        <f aca="false">IF(C258="","",IF(LEFT(D258,1)="⚠","⚠ RUT no registrado en Trabajadores",IF(B258="","⚠ Falta el mes",IF(OR(ISTEXT(I258),ISTEXT(J258)),"⚠ Atrasos u horas extra como texto: escriba hh:mm (ej. 1:30)",IF(AND(ISNUMBER(Q258),COUNTIFS(M_RUTN,V258,M_MES,B258,M_LIQ,"&lt;&gt;")&gt;1),"⚠ Liquidación repetida en el mes",IF(AND(ISNUMBER(O258),ISNUMBER(P258),ISNUMBER(Q258),ABS(O258-P258-Q258)&gt;1),"⚠ Haberes − descuentos no da el líquido","OK"))))))</f>
        <v/>
      </c>
      <c r="V258" s="62" t="str">
        <f aca="false">IF(C258="","",IFERROR(VALUE(LEFT(UPPER(SUBSTITUTE(SUBSTITUTE(SUBSTITUTE(TRIM(C258),".",""),"-","")," ","")),LEN(UPPER(SUBSTITUTE(SUBSTITUTE(SUBSTITUTE(TRIM(C258),".",""),"-","")," ","")))-1))&amp;RIGHT(UPPER(SUBSTITUTE(SUBSTITUTE(SUBSTITUTE(TRIM(C258),".",""),"-","")," ","")),1),UPPER(SUBSTITUTE(SUBSTITUTE(SUBSTITUTE(TRIM(C258),".",""),"-","")," ",""))))</f>
        <v/>
      </c>
    </row>
    <row r="259" customFormat="false" ht="15" hidden="false" customHeight="false" outlineLevel="0" collapsed="false">
      <c r="B259" s="80"/>
      <c r="C259" s="58"/>
      <c r="D259" s="62" t="str">
        <f aca="false">IF(C259="","",IFERROR(INDEX(T_NOMBRE,MATCH(V259,T_RUTN,0)),"⚠ RUT no está en Trabajadores"))</f>
        <v/>
      </c>
      <c r="E259" s="61"/>
      <c r="F259" s="61"/>
      <c r="G259" s="61"/>
      <c r="H259" s="61"/>
      <c r="I259" s="81"/>
      <c r="J259" s="81"/>
      <c r="K259" s="60"/>
      <c r="L259" s="60"/>
      <c r="M259" s="60"/>
      <c r="N259" s="60"/>
      <c r="O259" s="60"/>
      <c r="P259" s="60"/>
      <c r="Q259" s="60"/>
      <c r="R259" s="58"/>
      <c r="S259" s="62" t="str">
        <f aca="false">IF(OR(B259="",V259=""),"",IFERROR(INDEX(C_TIPO,MATCH(V259&amp;"-P"&amp;MAX(1,COUNTIFS(C_RUTN,V259,C_DEF,"Sí",C_INI,"&lt;="&amp;EOMONTH(B259,0))),C_CLAVE,0))&amp;"","Sin contrato"))</f>
        <v/>
      </c>
      <c r="T259" s="63" t="str">
        <f aca="false">IF(OR(B259="",N(O259)=0),"",N(O259)+ROUND(MIN(N(N259),TOPE_UF*UF_MES)*(TASA_EMP+MUTUAL),0)+ROUND(MIN(N(N259),TOPE_AFC_UF*UF_MES)*IF(S259="Indefinido",AFC_INDEF,AFC_PF),0))</f>
        <v/>
      </c>
      <c r="U259" s="62" t="str">
        <f aca="false">IF(C259="","",IF(LEFT(D259,1)="⚠","⚠ RUT no registrado en Trabajadores",IF(B259="","⚠ Falta el mes",IF(OR(ISTEXT(I259),ISTEXT(J259)),"⚠ Atrasos u horas extra como texto: escriba hh:mm (ej. 1:30)",IF(AND(ISNUMBER(Q259),COUNTIFS(M_RUTN,V259,M_MES,B259,M_LIQ,"&lt;&gt;")&gt;1),"⚠ Liquidación repetida en el mes",IF(AND(ISNUMBER(O259),ISNUMBER(P259),ISNUMBER(Q259),ABS(O259-P259-Q259)&gt;1),"⚠ Haberes − descuentos no da el líquido","OK"))))))</f>
        <v/>
      </c>
      <c r="V259" s="62" t="str">
        <f aca="false">IF(C259="","",IFERROR(VALUE(LEFT(UPPER(SUBSTITUTE(SUBSTITUTE(SUBSTITUTE(TRIM(C259),".",""),"-","")," ","")),LEN(UPPER(SUBSTITUTE(SUBSTITUTE(SUBSTITUTE(TRIM(C259),".",""),"-","")," ","")))-1))&amp;RIGHT(UPPER(SUBSTITUTE(SUBSTITUTE(SUBSTITUTE(TRIM(C259),".",""),"-","")," ","")),1),UPPER(SUBSTITUTE(SUBSTITUTE(SUBSTITUTE(TRIM(C259),".",""),"-","")," ",""))))</f>
        <v/>
      </c>
    </row>
    <row r="260" customFormat="false" ht="15" hidden="false" customHeight="false" outlineLevel="0" collapsed="false">
      <c r="B260" s="80"/>
      <c r="C260" s="58"/>
      <c r="D260" s="62" t="str">
        <f aca="false">IF(C260="","",IFERROR(INDEX(T_NOMBRE,MATCH(V260,T_RUTN,0)),"⚠ RUT no está en Trabajadores"))</f>
        <v/>
      </c>
      <c r="E260" s="61"/>
      <c r="F260" s="61"/>
      <c r="G260" s="61"/>
      <c r="H260" s="61"/>
      <c r="I260" s="81"/>
      <c r="J260" s="81"/>
      <c r="K260" s="60"/>
      <c r="L260" s="60"/>
      <c r="M260" s="60"/>
      <c r="N260" s="60"/>
      <c r="O260" s="60"/>
      <c r="P260" s="60"/>
      <c r="Q260" s="60"/>
      <c r="R260" s="58"/>
      <c r="S260" s="62" t="str">
        <f aca="false">IF(OR(B260="",V260=""),"",IFERROR(INDEX(C_TIPO,MATCH(V260&amp;"-P"&amp;MAX(1,COUNTIFS(C_RUTN,V260,C_DEF,"Sí",C_INI,"&lt;="&amp;EOMONTH(B260,0))),C_CLAVE,0))&amp;"","Sin contrato"))</f>
        <v/>
      </c>
      <c r="T260" s="63" t="str">
        <f aca="false">IF(OR(B260="",N(O260)=0),"",N(O260)+ROUND(MIN(N(N260),TOPE_UF*UF_MES)*(TASA_EMP+MUTUAL),0)+ROUND(MIN(N(N260),TOPE_AFC_UF*UF_MES)*IF(S260="Indefinido",AFC_INDEF,AFC_PF),0))</f>
        <v/>
      </c>
      <c r="U260" s="62" t="str">
        <f aca="false">IF(C260="","",IF(LEFT(D260,1)="⚠","⚠ RUT no registrado en Trabajadores",IF(B260="","⚠ Falta el mes",IF(OR(ISTEXT(I260),ISTEXT(J260)),"⚠ Atrasos u horas extra como texto: escriba hh:mm (ej. 1:30)",IF(AND(ISNUMBER(Q260),COUNTIFS(M_RUTN,V260,M_MES,B260,M_LIQ,"&lt;&gt;")&gt;1),"⚠ Liquidación repetida en el mes",IF(AND(ISNUMBER(O260),ISNUMBER(P260),ISNUMBER(Q260),ABS(O260-P260-Q260)&gt;1),"⚠ Haberes − descuentos no da el líquido","OK"))))))</f>
        <v/>
      </c>
      <c r="V260" s="62" t="str">
        <f aca="false">IF(C260="","",IFERROR(VALUE(LEFT(UPPER(SUBSTITUTE(SUBSTITUTE(SUBSTITUTE(TRIM(C260),".",""),"-","")," ","")),LEN(UPPER(SUBSTITUTE(SUBSTITUTE(SUBSTITUTE(TRIM(C260),".",""),"-","")," ","")))-1))&amp;RIGHT(UPPER(SUBSTITUTE(SUBSTITUTE(SUBSTITUTE(TRIM(C260),".",""),"-","")," ","")),1),UPPER(SUBSTITUTE(SUBSTITUTE(SUBSTITUTE(TRIM(C260),".",""),"-","")," ",""))))</f>
        <v/>
      </c>
    </row>
    <row r="261" customFormat="false" ht="15" hidden="false" customHeight="false" outlineLevel="0" collapsed="false">
      <c r="B261" s="80"/>
      <c r="C261" s="58"/>
      <c r="D261" s="62" t="str">
        <f aca="false">IF(C261="","",IFERROR(INDEX(T_NOMBRE,MATCH(V261,T_RUTN,0)),"⚠ RUT no está en Trabajadores"))</f>
        <v/>
      </c>
      <c r="E261" s="61"/>
      <c r="F261" s="61"/>
      <c r="G261" s="61"/>
      <c r="H261" s="61"/>
      <c r="I261" s="81"/>
      <c r="J261" s="81"/>
      <c r="K261" s="60"/>
      <c r="L261" s="60"/>
      <c r="M261" s="60"/>
      <c r="N261" s="60"/>
      <c r="O261" s="60"/>
      <c r="P261" s="60"/>
      <c r="Q261" s="60"/>
      <c r="R261" s="58"/>
      <c r="S261" s="62" t="str">
        <f aca="false">IF(OR(B261="",V261=""),"",IFERROR(INDEX(C_TIPO,MATCH(V261&amp;"-P"&amp;MAX(1,COUNTIFS(C_RUTN,V261,C_DEF,"Sí",C_INI,"&lt;="&amp;EOMONTH(B261,0))),C_CLAVE,0))&amp;"","Sin contrato"))</f>
        <v/>
      </c>
      <c r="T261" s="63" t="str">
        <f aca="false">IF(OR(B261="",N(O261)=0),"",N(O261)+ROUND(MIN(N(N261),TOPE_UF*UF_MES)*(TASA_EMP+MUTUAL),0)+ROUND(MIN(N(N261),TOPE_AFC_UF*UF_MES)*IF(S261="Indefinido",AFC_INDEF,AFC_PF),0))</f>
        <v/>
      </c>
      <c r="U261" s="62" t="str">
        <f aca="false">IF(C261="","",IF(LEFT(D261,1)="⚠","⚠ RUT no registrado en Trabajadores",IF(B261="","⚠ Falta el mes",IF(OR(ISTEXT(I261),ISTEXT(J261)),"⚠ Atrasos u horas extra como texto: escriba hh:mm (ej. 1:30)",IF(AND(ISNUMBER(Q261),COUNTIFS(M_RUTN,V261,M_MES,B261,M_LIQ,"&lt;&gt;")&gt;1),"⚠ Liquidación repetida en el mes",IF(AND(ISNUMBER(O261),ISNUMBER(P261),ISNUMBER(Q261),ABS(O261-P261-Q261)&gt;1),"⚠ Haberes − descuentos no da el líquido","OK"))))))</f>
        <v/>
      </c>
      <c r="V261" s="62" t="str">
        <f aca="false">IF(C261="","",IFERROR(VALUE(LEFT(UPPER(SUBSTITUTE(SUBSTITUTE(SUBSTITUTE(TRIM(C261),".",""),"-","")," ","")),LEN(UPPER(SUBSTITUTE(SUBSTITUTE(SUBSTITUTE(TRIM(C261),".",""),"-","")," ","")))-1))&amp;RIGHT(UPPER(SUBSTITUTE(SUBSTITUTE(SUBSTITUTE(TRIM(C261),".",""),"-","")," ","")),1),UPPER(SUBSTITUTE(SUBSTITUTE(SUBSTITUTE(TRIM(C261),".",""),"-","")," ",""))))</f>
        <v/>
      </c>
    </row>
    <row r="262" customFormat="false" ht="15" hidden="false" customHeight="false" outlineLevel="0" collapsed="false">
      <c r="B262" s="80"/>
      <c r="C262" s="58"/>
      <c r="D262" s="62" t="str">
        <f aca="false">IF(C262="","",IFERROR(INDEX(T_NOMBRE,MATCH(V262,T_RUTN,0)),"⚠ RUT no está en Trabajadores"))</f>
        <v/>
      </c>
      <c r="E262" s="61"/>
      <c r="F262" s="61"/>
      <c r="G262" s="61"/>
      <c r="H262" s="61"/>
      <c r="I262" s="81"/>
      <c r="J262" s="81"/>
      <c r="K262" s="60"/>
      <c r="L262" s="60"/>
      <c r="M262" s="60"/>
      <c r="N262" s="60"/>
      <c r="O262" s="60"/>
      <c r="P262" s="60"/>
      <c r="Q262" s="60"/>
      <c r="R262" s="58"/>
      <c r="S262" s="62" t="str">
        <f aca="false">IF(OR(B262="",V262=""),"",IFERROR(INDEX(C_TIPO,MATCH(V262&amp;"-P"&amp;MAX(1,COUNTIFS(C_RUTN,V262,C_DEF,"Sí",C_INI,"&lt;="&amp;EOMONTH(B262,0))),C_CLAVE,0))&amp;"","Sin contrato"))</f>
        <v/>
      </c>
      <c r="T262" s="63" t="str">
        <f aca="false">IF(OR(B262="",N(O262)=0),"",N(O262)+ROUND(MIN(N(N262),TOPE_UF*UF_MES)*(TASA_EMP+MUTUAL),0)+ROUND(MIN(N(N262),TOPE_AFC_UF*UF_MES)*IF(S262="Indefinido",AFC_INDEF,AFC_PF),0))</f>
        <v/>
      </c>
      <c r="U262" s="62" t="str">
        <f aca="false">IF(C262="","",IF(LEFT(D262,1)="⚠","⚠ RUT no registrado en Trabajadores",IF(B262="","⚠ Falta el mes",IF(OR(ISTEXT(I262),ISTEXT(J262)),"⚠ Atrasos u horas extra como texto: escriba hh:mm (ej. 1:30)",IF(AND(ISNUMBER(Q262),COUNTIFS(M_RUTN,V262,M_MES,B262,M_LIQ,"&lt;&gt;")&gt;1),"⚠ Liquidación repetida en el mes",IF(AND(ISNUMBER(O262),ISNUMBER(P262),ISNUMBER(Q262),ABS(O262-P262-Q262)&gt;1),"⚠ Haberes − descuentos no da el líquido","OK"))))))</f>
        <v/>
      </c>
      <c r="V262" s="62" t="str">
        <f aca="false">IF(C262="","",IFERROR(VALUE(LEFT(UPPER(SUBSTITUTE(SUBSTITUTE(SUBSTITUTE(TRIM(C262),".",""),"-","")," ","")),LEN(UPPER(SUBSTITUTE(SUBSTITUTE(SUBSTITUTE(TRIM(C262),".",""),"-","")," ","")))-1))&amp;RIGHT(UPPER(SUBSTITUTE(SUBSTITUTE(SUBSTITUTE(TRIM(C262),".",""),"-","")," ","")),1),UPPER(SUBSTITUTE(SUBSTITUTE(SUBSTITUTE(TRIM(C262),".",""),"-","")," ",""))))</f>
        <v/>
      </c>
    </row>
    <row r="263" customFormat="false" ht="15" hidden="false" customHeight="false" outlineLevel="0" collapsed="false">
      <c r="B263" s="80"/>
      <c r="C263" s="58"/>
      <c r="D263" s="62" t="str">
        <f aca="false">IF(C263="","",IFERROR(INDEX(T_NOMBRE,MATCH(V263,T_RUTN,0)),"⚠ RUT no está en Trabajadores"))</f>
        <v/>
      </c>
      <c r="E263" s="61"/>
      <c r="F263" s="61"/>
      <c r="G263" s="61"/>
      <c r="H263" s="61"/>
      <c r="I263" s="81"/>
      <c r="J263" s="81"/>
      <c r="K263" s="60"/>
      <c r="L263" s="60"/>
      <c r="M263" s="60"/>
      <c r="N263" s="60"/>
      <c r="O263" s="60"/>
      <c r="P263" s="60"/>
      <c r="Q263" s="60"/>
      <c r="R263" s="58"/>
      <c r="S263" s="62" t="str">
        <f aca="false">IF(OR(B263="",V263=""),"",IFERROR(INDEX(C_TIPO,MATCH(V263&amp;"-P"&amp;MAX(1,COUNTIFS(C_RUTN,V263,C_DEF,"Sí",C_INI,"&lt;="&amp;EOMONTH(B263,0))),C_CLAVE,0))&amp;"","Sin contrato"))</f>
        <v/>
      </c>
      <c r="T263" s="63" t="str">
        <f aca="false">IF(OR(B263="",N(O263)=0),"",N(O263)+ROUND(MIN(N(N263),TOPE_UF*UF_MES)*(TASA_EMP+MUTUAL),0)+ROUND(MIN(N(N263),TOPE_AFC_UF*UF_MES)*IF(S263="Indefinido",AFC_INDEF,AFC_PF),0))</f>
        <v/>
      </c>
      <c r="U263" s="62" t="str">
        <f aca="false">IF(C263="","",IF(LEFT(D263,1)="⚠","⚠ RUT no registrado en Trabajadores",IF(B263="","⚠ Falta el mes",IF(OR(ISTEXT(I263),ISTEXT(J263)),"⚠ Atrasos u horas extra como texto: escriba hh:mm (ej. 1:30)",IF(AND(ISNUMBER(Q263),COUNTIFS(M_RUTN,V263,M_MES,B263,M_LIQ,"&lt;&gt;")&gt;1),"⚠ Liquidación repetida en el mes",IF(AND(ISNUMBER(O263),ISNUMBER(P263),ISNUMBER(Q263),ABS(O263-P263-Q263)&gt;1),"⚠ Haberes − descuentos no da el líquido","OK"))))))</f>
        <v/>
      </c>
      <c r="V263" s="62" t="str">
        <f aca="false">IF(C263="","",IFERROR(VALUE(LEFT(UPPER(SUBSTITUTE(SUBSTITUTE(SUBSTITUTE(TRIM(C263),".",""),"-","")," ","")),LEN(UPPER(SUBSTITUTE(SUBSTITUTE(SUBSTITUTE(TRIM(C263),".",""),"-","")," ","")))-1))&amp;RIGHT(UPPER(SUBSTITUTE(SUBSTITUTE(SUBSTITUTE(TRIM(C263),".",""),"-","")," ","")),1),UPPER(SUBSTITUTE(SUBSTITUTE(SUBSTITUTE(TRIM(C263),".",""),"-","")," ",""))))</f>
        <v/>
      </c>
    </row>
    <row r="264" customFormat="false" ht="15" hidden="false" customHeight="false" outlineLevel="0" collapsed="false">
      <c r="B264" s="80"/>
      <c r="C264" s="58"/>
      <c r="D264" s="62" t="str">
        <f aca="false">IF(C264="","",IFERROR(INDEX(T_NOMBRE,MATCH(V264,T_RUTN,0)),"⚠ RUT no está en Trabajadores"))</f>
        <v/>
      </c>
      <c r="E264" s="61"/>
      <c r="F264" s="61"/>
      <c r="G264" s="61"/>
      <c r="H264" s="61"/>
      <c r="I264" s="81"/>
      <c r="J264" s="81"/>
      <c r="K264" s="60"/>
      <c r="L264" s="60"/>
      <c r="M264" s="60"/>
      <c r="N264" s="60"/>
      <c r="O264" s="60"/>
      <c r="P264" s="60"/>
      <c r="Q264" s="60"/>
      <c r="R264" s="58"/>
      <c r="S264" s="62" t="str">
        <f aca="false">IF(OR(B264="",V264=""),"",IFERROR(INDEX(C_TIPO,MATCH(V264&amp;"-P"&amp;MAX(1,COUNTIFS(C_RUTN,V264,C_DEF,"Sí",C_INI,"&lt;="&amp;EOMONTH(B264,0))),C_CLAVE,0))&amp;"","Sin contrato"))</f>
        <v/>
      </c>
      <c r="T264" s="63" t="str">
        <f aca="false">IF(OR(B264="",N(O264)=0),"",N(O264)+ROUND(MIN(N(N264),TOPE_UF*UF_MES)*(TASA_EMP+MUTUAL),0)+ROUND(MIN(N(N264),TOPE_AFC_UF*UF_MES)*IF(S264="Indefinido",AFC_INDEF,AFC_PF),0))</f>
        <v/>
      </c>
      <c r="U264" s="62" t="str">
        <f aca="false">IF(C264="","",IF(LEFT(D264,1)="⚠","⚠ RUT no registrado en Trabajadores",IF(B264="","⚠ Falta el mes",IF(OR(ISTEXT(I264),ISTEXT(J264)),"⚠ Atrasos u horas extra como texto: escriba hh:mm (ej. 1:30)",IF(AND(ISNUMBER(Q264),COUNTIFS(M_RUTN,V264,M_MES,B264,M_LIQ,"&lt;&gt;")&gt;1),"⚠ Liquidación repetida en el mes",IF(AND(ISNUMBER(O264),ISNUMBER(P264),ISNUMBER(Q264),ABS(O264-P264-Q264)&gt;1),"⚠ Haberes − descuentos no da el líquido","OK"))))))</f>
        <v/>
      </c>
      <c r="V264" s="62" t="str">
        <f aca="false">IF(C264="","",IFERROR(VALUE(LEFT(UPPER(SUBSTITUTE(SUBSTITUTE(SUBSTITUTE(TRIM(C264),".",""),"-","")," ","")),LEN(UPPER(SUBSTITUTE(SUBSTITUTE(SUBSTITUTE(TRIM(C264),".",""),"-","")," ","")))-1))&amp;RIGHT(UPPER(SUBSTITUTE(SUBSTITUTE(SUBSTITUTE(TRIM(C264),".",""),"-","")," ","")),1),UPPER(SUBSTITUTE(SUBSTITUTE(SUBSTITUTE(TRIM(C264),".",""),"-","")," ",""))))</f>
        <v/>
      </c>
    </row>
    <row r="265" customFormat="false" ht="15" hidden="false" customHeight="false" outlineLevel="0" collapsed="false">
      <c r="B265" s="80"/>
      <c r="C265" s="58"/>
      <c r="D265" s="62" t="str">
        <f aca="false">IF(C265="","",IFERROR(INDEX(T_NOMBRE,MATCH(V265,T_RUTN,0)),"⚠ RUT no está en Trabajadores"))</f>
        <v/>
      </c>
      <c r="E265" s="61"/>
      <c r="F265" s="61"/>
      <c r="G265" s="61"/>
      <c r="H265" s="61"/>
      <c r="I265" s="81"/>
      <c r="J265" s="81"/>
      <c r="K265" s="60"/>
      <c r="L265" s="60"/>
      <c r="M265" s="60"/>
      <c r="N265" s="60"/>
      <c r="O265" s="60"/>
      <c r="P265" s="60"/>
      <c r="Q265" s="60"/>
      <c r="R265" s="58"/>
      <c r="S265" s="62" t="str">
        <f aca="false">IF(OR(B265="",V265=""),"",IFERROR(INDEX(C_TIPO,MATCH(V265&amp;"-P"&amp;MAX(1,COUNTIFS(C_RUTN,V265,C_DEF,"Sí",C_INI,"&lt;="&amp;EOMONTH(B265,0))),C_CLAVE,0))&amp;"","Sin contrato"))</f>
        <v/>
      </c>
      <c r="T265" s="63" t="str">
        <f aca="false">IF(OR(B265="",N(O265)=0),"",N(O265)+ROUND(MIN(N(N265),TOPE_UF*UF_MES)*(TASA_EMP+MUTUAL),0)+ROUND(MIN(N(N265),TOPE_AFC_UF*UF_MES)*IF(S265="Indefinido",AFC_INDEF,AFC_PF),0))</f>
        <v/>
      </c>
      <c r="U265" s="62" t="str">
        <f aca="false">IF(C265="","",IF(LEFT(D265,1)="⚠","⚠ RUT no registrado en Trabajadores",IF(B265="","⚠ Falta el mes",IF(OR(ISTEXT(I265),ISTEXT(J265)),"⚠ Atrasos u horas extra como texto: escriba hh:mm (ej. 1:30)",IF(AND(ISNUMBER(Q265),COUNTIFS(M_RUTN,V265,M_MES,B265,M_LIQ,"&lt;&gt;")&gt;1),"⚠ Liquidación repetida en el mes",IF(AND(ISNUMBER(O265),ISNUMBER(P265),ISNUMBER(Q265),ABS(O265-P265-Q265)&gt;1),"⚠ Haberes − descuentos no da el líquido","OK"))))))</f>
        <v/>
      </c>
      <c r="V265" s="62" t="str">
        <f aca="false">IF(C265="","",IFERROR(VALUE(LEFT(UPPER(SUBSTITUTE(SUBSTITUTE(SUBSTITUTE(TRIM(C265),".",""),"-","")," ","")),LEN(UPPER(SUBSTITUTE(SUBSTITUTE(SUBSTITUTE(TRIM(C265),".",""),"-","")," ","")))-1))&amp;RIGHT(UPPER(SUBSTITUTE(SUBSTITUTE(SUBSTITUTE(TRIM(C265),".",""),"-","")," ","")),1),UPPER(SUBSTITUTE(SUBSTITUTE(SUBSTITUTE(TRIM(C265),".",""),"-","")," ",""))))</f>
        <v/>
      </c>
    </row>
    <row r="266" customFormat="false" ht="15" hidden="false" customHeight="false" outlineLevel="0" collapsed="false">
      <c r="B266" s="80"/>
      <c r="C266" s="58"/>
      <c r="D266" s="62" t="str">
        <f aca="false">IF(C266="","",IFERROR(INDEX(T_NOMBRE,MATCH(V266,T_RUTN,0)),"⚠ RUT no está en Trabajadores"))</f>
        <v/>
      </c>
      <c r="E266" s="61"/>
      <c r="F266" s="61"/>
      <c r="G266" s="61"/>
      <c r="H266" s="61"/>
      <c r="I266" s="81"/>
      <c r="J266" s="81"/>
      <c r="K266" s="60"/>
      <c r="L266" s="60"/>
      <c r="M266" s="60"/>
      <c r="N266" s="60"/>
      <c r="O266" s="60"/>
      <c r="P266" s="60"/>
      <c r="Q266" s="60"/>
      <c r="R266" s="58"/>
      <c r="S266" s="62" t="str">
        <f aca="false">IF(OR(B266="",V266=""),"",IFERROR(INDEX(C_TIPO,MATCH(V266&amp;"-P"&amp;MAX(1,COUNTIFS(C_RUTN,V266,C_DEF,"Sí",C_INI,"&lt;="&amp;EOMONTH(B266,0))),C_CLAVE,0))&amp;"","Sin contrato"))</f>
        <v/>
      </c>
      <c r="T266" s="63" t="str">
        <f aca="false">IF(OR(B266="",N(O266)=0),"",N(O266)+ROUND(MIN(N(N266),TOPE_UF*UF_MES)*(TASA_EMP+MUTUAL),0)+ROUND(MIN(N(N266),TOPE_AFC_UF*UF_MES)*IF(S266="Indefinido",AFC_INDEF,AFC_PF),0))</f>
        <v/>
      </c>
      <c r="U266" s="62" t="str">
        <f aca="false">IF(C266="","",IF(LEFT(D266,1)="⚠","⚠ RUT no registrado en Trabajadores",IF(B266="","⚠ Falta el mes",IF(OR(ISTEXT(I266),ISTEXT(J266)),"⚠ Atrasos u horas extra como texto: escriba hh:mm (ej. 1:30)",IF(AND(ISNUMBER(Q266),COUNTIFS(M_RUTN,V266,M_MES,B266,M_LIQ,"&lt;&gt;")&gt;1),"⚠ Liquidación repetida en el mes",IF(AND(ISNUMBER(O266),ISNUMBER(P266),ISNUMBER(Q266),ABS(O266-P266-Q266)&gt;1),"⚠ Haberes − descuentos no da el líquido","OK"))))))</f>
        <v/>
      </c>
      <c r="V266" s="62" t="str">
        <f aca="false">IF(C266="","",IFERROR(VALUE(LEFT(UPPER(SUBSTITUTE(SUBSTITUTE(SUBSTITUTE(TRIM(C266),".",""),"-","")," ","")),LEN(UPPER(SUBSTITUTE(SUBSTITUTE(SUBSTITUTE(TRIM(C266),".",""),"-","")," ","")))-1))&amp;RIGHT(UPPER(SUBSTITUTE(SUBSTITUTE(SUBSTITUTE(TRIM(C266),".",""),"-","")," ","")),1),UPPER(SUBSTITUTE(SUBSTITUTE(SUBSTITUTE(TRIM(C266),".",""),"-","")," ",""))))</f>
        <v/>
      </c>
    </row>
    <row r="267" customFormat="false" ht="15" hidden="false" customHeight="false" outlineLevel="0" collapsed="false">
      <c r="B267" s="80"/>
      <c r="C267" s="58"/>
      <c r="D267" s="62" t="str">
        <f aca="false">IF(C267="","",IFERROR(INDEX(T_NOMBRE,MATCH(V267,T_RUTN,0)),"⚠ RUT no está en Trabajadores"))</f>
        <v/>
      </c>
      <c r="E267" s="61"/>
      <c r="F267" s="61"/>
      <c r="G267" s="61"/>
      <c r="H267" s="61"/>
      <c r="I267" s="81"/>
      <c r="J267" s="81"/>
      <c r="K267" s="60"/>
      <c r="L267" s="60"/>
      <c r="M267" s="60"/>
      <c r="N267" s="60"/>
      <c r="O267" s="60"/>
      <c r="P267" s="60"/>
      <c r="Q267" s="60"/>
      <c r="R267" s="58"/>
      <c r="S267" s="62" t="str">
        <f aca="false">IF(OR(B267="",V267=""),"",IFERROR(INDEX(C_TIPO,MATCH(V267&amp;"-P"&amp;MAX(1,COUNTIFS(C_RUTN,V267,C_DEF,"Sí",C_INI,"&lt;="&amp;EOMONTH(B267,0))),C_CLAVE,0))&amp;"","Sin contrato"))</f>
        <v/>
      </c>
      <c r="T267" s="63" t="str">
        <f aca="false">IF(OR(B267="",N(O267)=0),"",N(O267)+ROUND(MIN(N(N267),TOPE_UF*UF_MES)*(TASA_EMP+MUTUAL),0)+ROUND(MIN(N(N267),TOPE_AFC_UF*UF_MES)*IF(S267="Indefinido",AFC_INDEF,AFC_PF),0))</f>
        <v/>
      </c>
      <c r="U267" s="62" t="str">
        <f aca="false">IF(C267="","",IF(LEFT(D267,1)="⚠","⚠ RUT no registrado en Trabajadores",IF(B267="","⚠ Falta el mes",IF(OR(ISTEXT(I267),ISTEXT(J267)),"⚠ Atrasos u horas extra como texto: escriba hh:mm (ej. 1:30)",IF(AND(ISNUMBER(Q267),COUNTIFS(M_RUTN,V267,M_MES,B267,M_LIQ,"&lt;&gt;")&gt;1),"⚠ Liquidación repetida en el mes",IF(AND(ISNUMBER(O267),ISNUMBER(P267),ISNUMBER(Q267),ABS(O267-P267-Q267)&gt;1),"⚠ Haberes − descuentos no da el líquido","OK"))))))</f>
        <v/>
      </c>
      <c r="V267" s="62" t="str">
        <f aca="false">IF(C267="","",IFERROR(VALUE(LEFT(UPPER(SUBSTITUTE(SUBSTITUTE(SUBSTITUTE(TRIM(C267),".",""),"-","")," ","")),LEN(UPPER(SUBSTITUTE(SUBSTITUTE(SUBSTITUTE(TRIM(C267),".",""),"-","")," ","")))-1))&amp;RIGHT(UPPER(SUBSTITUTE(SUBSTITUTE(SUBSTITUTE(TRIM(C267),".",""),"-","")," ","")),1),UPPER(SUBSTITUTE(SUBSTITUTE(SUBSTITUTE(TRIM(C267),".",""),"-","")," ",""))))</f>
        <v/>
      </c>
    </row>
    <row r="268" customFormat="false" ht="15" hidden="false" customHeight="false" outlineLevel="0" collapsed="false">
      <c r="B268" s="80"/>
      <c r="C268" s="58"/>
      <c r="D268" s="62" t="str">
        <f aca="false">IF(C268="","",IFERROR(INDEX(T_NOMBRE,MATCH(V268,T_RUTN,0)),"⚠ RUT no está en Trabajadores"))</f>
        <v/>
      </c>
      <c r="E268" s="61"/>
      <c r="F268" s="61"/>
      <c r="G268" s="61"/>
      <c r="H268" s="61"/>
      <c r="I268" s="81"/>
      <c r="J268" s="81"/>
      <c r="K268" s="60"/>
      <c r="L268" s="60"/>
      <c r="M268" s="60"/>
      <c r="N268" s="60"/>
      <c r="O268" s="60"/>
      <c r="P268" s="60"/>
      <c r="Q268" s="60"/>
      <c r="R268" s="58"/>
      <c r="S268" s="62" t="str">
        <f aca="false">IF(OR(B268="",V268=""),"",IFERROR(INDEX(C_TIPO,MATCH(V268&amp;"-P"&amp;MAX(1,COUNTIFS(C_RUTN,V268,C_DEF,"Sí",C_INI,"&lt;="&amp;EOMONTH(B268,0))),C_CLAVE,0))&amp;"","Sin contrato"))</f>
        <v/>
      </c>
      <c r="T268" s="63" t="str">
        <f aca="false">IF(OR(B268="",N(O268)=0),"",N(O268)+ROUND(MIN(N(N268),TOPE_UF*UF_MES)*(TASA_EMP+MUTUAL),0)+ROUND(MIN(N(N268),TOPE_AFC_UF*UF_MES)*IF(S268="Indefinido",AFC_INDEF,AFC_PF),0))</f>
        <v/>
      </c>
      <c r="U268" s="62" t="str">
        <f aca="false">IF(C268="","",IF(LEFT(D268,1)="⚠","⚠ RUT no registrado en Trabajadores",IF(B268="","⚠ Falta el mes",IF(OR(ISTEXT(I268),ISTEXT(J268)),"⚠ Atrasos u horas extra como texto: escriba hh:mm (ej. 1:30)",IF(AND(ISNUMBER(Q268),COUNTIFS(M_RUTN,V268,M_MES,B268,M_LIQ,"&lt;&gt;")&gt;1),"⚠ Liquidación repetida en el mes",IF(AND(ISNUMBER(O268),ISNUMBER(P268),ISNUMBER(Q268),ABS(O268-P268-Q268)&gt;1),"⚠ Haberes − descuentos no da el líquido","OK"))))))</f>
        <v/>
      </c>
      <c r="V268" s="62" t="str">
        <f aca="false">IF(C268="","",IFERROR(VALUE(LEFT(UPPER(SUBSTITUTE(SUBSTITUTE(SUBSTITUTE(TRIM(C268),".",""),"-","")," ","")),LEN(UPPER(SUBSTITUTE(SUBSTITUTE(SUBSTITUTE(TRIM(C268),".",""),"-","")," ","")))-1))&amp;RIGHT(UPPER(SUBSTITUTE(SUBSTITUTE(SUBSTITUTE(TRIM(C268),".",""),"-","")," ","")),1),UPPER(SUBSTITUTE(SUBSTITUTE(SUBSTITUTE(TRIM(C268),".",""),"-","")," ",""))))</f>
        <v/>
      </c>
    </row>
    <row r="269" customFormat="false" ht="15" hidden="false" customHeight="false" outlineLevel="0" collapsed="false">
      <c r="B269" s="80"/>
      <c r="C269" s="58"/>
      <c r="D269" s="62" t="str">
        <f aca="false">IF(C269="","",IFERROR(INDEX(T_NOMBRE,MATCH(V269,T_RUTN,0)),"⚠ RUT no está en Trabajadores"))</f>
        <v/>
      </c>
      <c r="E269" s="61"/>
      <c r="F269" s="61"/>
      <c r="G269" s="61"/>
      <c r="H269" s="61"/>
      <c r="I269" s="81"/>
      <c r="J269" s="81"/>
      <c r="K269" s="60"/>
      <c r="L269" s="60"/>
      <c r="M269" s="60"/>
      <c r="N269" s="60"/>
      <c r="O269" s="60"/>
      <c r="P269" s="60"/>
      <c r="Q269" s="60"/>
      <c r="R269" s="58"/>
      <c r="S269" s="62" t="str">
        <f aca="false">IF(OR(B269="",V269=""),"",IFERROR(INDEX(C_TIPO,MATCH(V269&amp;"-P"&amp;MAX(1,COUNTIFS(C_RUTN,V269,C_DEF,"Sí",C_INI,"&lt;="&amp;EOMONTH(B269,0))),C_CLAVE,0))&amp;"","Sin contrato"))</f>
        <v/>
      </c>
      <c r="T269" s="63" t="str">
        <f aca="false">IF(OR(B269="",N(O269)=0),"",N(O269)+ROUND(MIN(N(N269),TOPE_UF*UF_MES)*(TASA_EMP+MUTUAL),0)+ROUND(MIN(N(N269),TOPE_AFC_UF*UF_MES)*IF(S269="Indefinido",AFC_INDEF,AFC_PF),0))</f>
        <v/>
      </c>
      <c r="U269" s="62" t="str">
        <f aca="false">IF(C269="","",IF(LEFT(D269,1)="⚠","⚠ RUT no registrado en Trabajadores",IF(B269="","⚠ Falta el mes",IF(OR(ISTEXT(I269),ISTEXT(J269)),"⚠ Atrasos u horas extra como texto: escriba hh:mm (ej. 1:30)",IF(AND(ISNUMBER(Q269),COUNTIFS(M_RUTN,V269,M_MES,B269,M_LIQ,"&lt;&gt;")&gt;1),"⚠ Liquidación repetida en el mes",IF(AND(ISNUMBER(O269),ISNUMBER(P269),ISNUMBER(Q269),ABS(O269-P269-Q269)&gt;1),"⚠ Haberes − descuentos no da el líquido","OK"))))))</f>
        <v/>
      </c>
      <c r="V269" s="62" t="str">
        <f aca="false">IF(C269="","",IFERROR(VALUE(LEFT(UPPER(SUBSTITUTE(SUBSTITUTE(SUBSTITUTE(TRIM(C269),".",""),"-","")," ","")),LEN(UPPER(SUBSTITUTE(SUBSTITUTE(SUBSTITUTE(TRIM(C269),".",""),"-","")," ","")))-1))&amp;RIGHT(UPPER(SUBSTITUTE(SUBSTITUTE(SUBSTITUTE(TRIM(C269),".",""),"-","")," ","")),1),UPPER(SUBSTITUTE(SUBSTITUTE(SUBSTITUTE(TRIM(C269),".",""),"-","")," ",""))))</f>
        <v/>
      </c>
    </row>
    <row r="270" customFormat="false" ht="15" hidden="false" customHeight="false" outlineLevel="0" collapsed="false">
      <c r="B270" s="80"/>
      <c r="C270" s="58"/>
      <c r="D270" s="62" t="str">
        <f aca="false">IF(C270="","",IFERROR(INDEX(T_NOMBRE,MATCH(V270,T_RUTN,0)),"⚠ RUT no está en Trabajadores"))</f>
        <v/>
      </c>
      <c r="E270" s="61"/>
      <c r="F270" s="61"/>
      <c r="G270" s="61"/>
      <c r="H270" s="61"/>
      <c r="I270" s="81"/>
      <c r="J270" s="81"/>
      <c r="K270" s="60"/>
      <c r="L270" s="60"/>
      <c r="M270" s="60"/>
      <c r="N270" s="60"/>
      <c r="O270" s="60"/>
      <c r="P270" s="60"/>
      <c r="Q270" s="60"/>
      <c r="R270" s="58"/>
      <c r="S270" s="62" t="str">
        <f aca="false">IF(OR(B270="",V270=""),"",IFERROR(INDEX(C_TIPO,MATCH(V270&amp;"-P"&amp;MAX(1,COUNTIFS(C_RUTN,V270,C_DEF,"Sí",C_INI,"&lt;="&amp;EOMONTH(B270,0))),C_CLAVE,0))&amp;"","Sin contrato"))</f>
        <v/>
      </c>
      <c r="T270" s="63" t="str">
        <f aca="false">IF(OR(B270="",N(O270)=0),"",N(O270)+ROUND(MIN(N(N270),TOPE_UF*UF_MES)*(TASA_EMP+MUTUAL),0)+ROUND(MIN(N(N270),TOPE_AFC_UF*UF_MES)*IF(S270="Indefinido",AFC_INDEF,AFC_PF),0))</f>
        <v/>
      </c>
      <c r="U270" s="62" t="str">
        <f aca="false">IF(C270="","",IF(LEFT(D270,1)="⚠","⚠ RUT no registrado en Trabajadores",IF(B270="","⚠ Falta el mes",IF(OR(ISTEXT(I270),ISTEXT(J270)),"⚠ Atrasos u horas extra como texto: escriba hh:mm (ej. 1:30)",IF(AND(ISNUMBER(Q270),COUNTIFS(M_RUTN,V270,M_MES,B270,M_LIQ,"&lt;&gt;")&gt;1),"⚠ Liquidación repetida en el mes",IF(AND(ISNUMBER(O270),ISNUMBER(P270),ISNUMBER(Q270),ABS(O270-P270-Q270)&gt;1),"⚠ Haberes − descuentos no da el líquido","OK"))))))</f>
        <v/>
      </c>
      <c r="V270" s="62" t="str">
        <f aca="false">IF(C270="","",IFERROR(VALUE(LEFT(UPPER(SUBSTITUTE(SUBSTITUTE(SUBSTITUTE(TRIM(C270),".",""),"-","")," ","")),LEN(UPPER(SUBSTITUTE(SUBSTITUTE(SUBSTITUTE(TRIM(C270),".",""),"-","")," ","")))-1))&amp;RIGHT(UPPER(SUBSTITUTE(SUBSTITUTE(SUBSTITUTE(TRIM(C270),".",""),"-","")," ","")),1),UPPER(SUBSTITUTE(SUBSTITUTE(SUBSTITUTE(TRIM(C270),".",""),"-","")," ",""))))</f>
        <v/>
      </c>
    </row>
    <row r="271" customFormat="false" ht="15" hidden="false" customHeight="false" outlineLevel="0" collapsed="false">
      <c r="B271" s="80"/>
      <c r="C271" s="58"/>
      <c r="D271" s="62" t="str">
        <f aca="false">IF(C271="","",IFERROR(INDEX(T_NOMBRE,MATCH(V271,T_RUTN,0)),"⚠ RUT no está en Trabajadores"))</f>
        <v/>
      </c>
      <c r="E271" s="61"/>
      <c r="F271" s="61"/>
      <c r="G271" s="61"/>
      <c r="H271" s="61"/>
      <c r="I271" s="81"/>
      <c r="J271" s="81"/>
      <c r="K271" s="60"/>
      <c r="L271" s="60"/>
      <c r="M271" s="60"/>
      <c r="N271" s="60"/>
      <c r="O271" s="60"/>
      <c r="P271" s="60"/>
      <c r="Q271" s="60"/>
      <c r="R271" s="58"/>
      <c r="S271" s="62" t="str">
        <f aca="false">IF(OR(B271="",V271=""),"",IFERROR(INDEX(C_TIPO,MATCH(V271&amp;"-P"&amp;MAX(1,COUNTIFS(C_RUTN,V271,C_DEF,"Sí",C_INI,"&lt;="&amp;EOMONTH(B271,0))),C_CLAVE,0))&amp;"","Sin contrato"))</f>
        <v/>
      </c>
      <c r="T271" s="63" t="str">
        <f aca="false">IF(OR(B271="",N(O271)=0),"",N(O271)+ROUND(MIN(N(N271),TOPE_UF*UF_MES)*(TASA_EMP+MUTUAL),0)+ROUND(MIN(N(N271),TOPE_AFC_UF*UF_MES)*IF(S271="Indefinido",AFC_INDEF,AFC_PF),0))</f>
        <v/>
      </c>
      <c r="U271" s="62" t="str">
        <f aca="false">IF(C271="","",IF(LEFT(D271,1)="⚠","⚠ RUT no registrado en Trabajadores",IF(B271="","⚠ Falta el mes",IF(OR(ISTEXT(I271),ISTEXT(J271)),"⚠ Atrasos u horas extra como texto: escriba hh:mm (ej. 1:30)",IF(AND(ISNUMBER(Q271),COUNTIFS(M_RUTN,V271,M_MES,B271,M_LIQ,"&lt;&gt;")&gt;1),"⚠ Liquidación repetida en el mes",IF(AND(ISNUMBER(O271),ISNUMBER(P271),ISNUMBER(Q271),ABS(O271-P271-Q271)&gt;1),"⚠ Haberes − descuentos no da el líquido","OK"))))))</f>
        <v/>
      </c>
      <c r="V271" s="62" t="str">
        <f aca="false">IF(C271="","",IFERROR(VALUE(LEFT(UPPER(SUBSTITUTE(SUBSTITUTE(SUBSTITUTE(TRIM(C271),".",""),"-","")," ","")),LEN(UPPER(SUBSTITUTE(SUBSTITUTE(SUBSTITUTE(TRIM(C271),".",""),"-","")," ","")))-1))&amp;RIGHT(UPPER(SUBSTITUTE(SUBSTITUTE(SUBSTITUTE(TRIM(C271),".",""),"-","")," ","")),1),UPPER(SUBSTITUTE(SUBSTITUTE(SUBSTITUTE(TRIM(C271),".",""),"-","")," ",""))))</f>
        <v/>
      </c>
    </row>
    <row r="272" customFormat="false" ht="15" hidden="false" customHeight="false" outlineLevel="0" collapsed="false">
      <c r="B272" s="80"/>
      <c r="C272" s="58"/>
      <c r="D272" s="62" t="str">
        <f aca="false">IF(C272="","",IFERROR(INDEX(T_NOMBRE,MATCH(V272,T_RUTN,0)),"⚠ RUT no está en Trabajadores"))</f>
        <v/>
      </c>
      <c r="E272" s="61"/>
      <c r="F272" s="61"/>
      <c r="G272" s="61"/>
      <c r="H272" s="61"/>
      <c r="I272" s="81"/>
      <c r="J272" s="81"/>
      <c r="K272" s="60"/>
      <c r="L272" s="60"/>
      <c r="M272" s="60"/>
      <c r="N272" s="60"/>
      <c r="O272" s="60"/>
      <c r="P272" s="60"/>
      <c r="Q272" s="60"/>
      <c r="R272" s="58"/>
      <c r="S272" s="62" t="str">
        <f aca="false">IF(OR(B272="",V272=""),"",IFERROR(INDEX(C_TIPO,MATCH(V272&amp;"-P"&amp;MAX(1,COUNTIFS(C_RUTN,V272,C_DEF,"Sí",C_INI,"&lt;="&amp;EOMONTH(B272,0))),C_CLAVE,0))&amp;"","Sin contrato"))</f>
        <v/>
      </c>
      <c r="T272" s="63" t="str">
        <f aca="false">IF(OR(B272="",N(O272)=0),"",N(O272)+ROUND(MIN(N(N272),TOPE_UF*UF_MES)*(TASA_EMP+MUTUAL),0)+ROUND(MIN(N(N272),TOPE_AFC_UF*UF_MES)*IF(S272="Indefinido",AFC_INDEF,AFC_PF),0))</f>
        <v/>
      </c>
      <c r="U272" s="62" t="str">
        <f aca="false">IF(C272="","",IF(LEFT(D272,1)="⚠","⚠ RUT no registrado en Trabajadores",IF(B272="","⚠ Falta el mes",IF(OR(ISTEXT(I272),ISTEXT(J272)),"⚠ Atrasos u horas extra como texto: escriba hh:mm (ej. 1:30)",IF(AND(ISNUMBER(Q272),COUNTIFS(M_RUTN,V272,M_MES,B272,M_LIQ,"&lt;&gt;")&gt;1),"⚠ Liquidación repetida en el mes",IF(AND(ISNUMBER(O272),ISNUMBER(P272),ISNUMBER(Q272),ABS(O272-P272-Q272)&gt;1),"⚠ Haberes − descuentos no da el líquido","OK"))))))</f>
        <v/>
      </c>
      <c r="V272" s="62" t="str">
        <f aca="false">IF(C272="","",IFERROR(VALUE(LEFT(UPPER(SUBSTITUTE(SUBSTITUTE(SUBSTITUTE(TRIM(C272),".",""),"-","")," ","")),LEN(UPPER(SUBSTITUTE(SUBSTITUTE(SUBSTITUTE(TRIM(C272),".",""),"-","")," ","")))-1))&amp;RIGHT(UPPER(SUBSTITUTE(SUBSTITUTE(SUBSTITUTE(TRIM(C272),".",""),"-","")," ","")),1),UPPER(SUBSTITUTE(SUBSTITUTE(SUBSTITUTE(TRIM(C272),".",""),"-","")," ",""))))</f>
        <v/>
      </c>
    </row>
    <row r="273" customFormat="false" ht="15" hidden="false" customHeight="false" outlineLevel="0" collapsed="false">
      <c r="B273" s="80"/>
      <c r="C273" s="58"/>
      <c r="D273" s="62" t="str">
        <f aca="false">IF(C273="","",IFERROR(INDEX(T_NOMBRE,MATCH(V273,T_RUTN,0)),"⚠ RUT no está en Trabajadores"))</f>
        <v/>
      </c>
      <c r="E273" s="61"/>
      <c r="F273" s="61"/>
      <c r="G273" s="61"/>
      <c r="H273" s="61"/>
      <c r="I273" s="81"/>
      <c r="J273" s="81"/>
      <c r="K273" s="60"/>
      <c r="L273" s="60"/>
      <c r="M273" s="60"/>
      <c r="N273" s="60"/>
      <c r="O273" s="60"/>
      <c r="P273" s="60"/>
      <c r="Q273" s="60"/>
      <c r="R273" s="58"/>
      <c r="S273" s="62" t="str">
        <f aca="false">IF(OR(B273="",V273=""),"",IFERROR(INDEX(C_TIPO,MATCH(V273&amp;"-P"&amp;MAX(1,COUNTIFS(C_RUTN,V273,C_DEF,"Sí",C_INI,"&lt;="&amp;EOMONTH(B273,0))),C_CLAVE,0))&amp;"","Sin contrato"))</f>
        <v/>
      </c>
      <c r="T273" s="63" t="str">
        <f aca="false">IF(OR(B273="",N(O273)=0),"",N(O273)+ROUND(MIN(N(N273),TOPE_UF*UF_MES)*(TASA_EMP+MUTUAL),0)+ROUND(MIN(N(N273),TOPE_AFC_UF*UF_MES)*IF(S273="Indefinido",AFC_INDEF,AFC_PF),0))</f>
        <v/>
      </c>
      <c r="U273" s="62" t="str">
        <f aca="false">IF(C273="","",IF(LEFT(D273,1)="⚠","⚠ RUT no registrado en Trabajadores",IF(B273="","⚠ Falta el mes",IF(OR(ISTEXT(I273),ISTEXT(J273)),"⚠ Atrasos u horas extra como texto: escriba hh:mm (ej. 1:30)",IF(AND(ISNUMBER(Q273),COUNTIFS(M_RUTN,V273,M_MES,B273,M_LIQ,"&lt;&gt;")&gt;1),"⚠ Liquidación repetida en el mes",IF(AND(ISNUMBER(O273),ISNUMBER(P273),ISNUMBER(Q273),ABS(O273-P273-Q273)&gt;1),"⚠ Haberes − descuentos no da el líquido","OK"))))))</f>
        <v/>
      </c>
      <c r="V273" s="62" t="str">
        <f aca="false">IF(C273="","",IFERROR(VALUE(LEFT(UPPER(SUBSTITUTE(SUBSTITUTE(SUBSTITUTE(TRIM(C273),".",""),"-","")," ","")),LEN(UPPER(SUBSTITUTE(SUBSTITUTE(SUBSTITUTE(TRIM(C273),".",""),"-","")," ","")))-1))&amp;RIGHT(UPPER(SUBSTITUTE(SUBSTITUTE(SUBSTITUTE(TRIM(C273),".",""),"-","")," ","")),1),UPPER(SUBSTITUTE(SUBSTITUTE(SUBSTITUTE(TRIM(C273),".",""),"-","")," ",""))))</f>
        <v/>
      </c>
    </row>
    <row r="274" customFormat="false" ht="15" hidden="false" customHeight="false" outlineLevel="0" collapsed="false">
      <c r="B274" s="80"/>
      <c r="C274" s="58"/>
      <c r="D274" s="62" t="str">
        <f aca="false">IF(C274="","",IFERROR(INDEX(T_NOMBRE,MATCH(V274,T_RUTN,0)),"⚠ RUT no está en Trabajadores"))</f>
        <v/>
      </c>
      <c r="E274" s="61"/>
      <c r="F274" s="61"/>
      <c r="G274" s="61"/>
      <c r="H274" s="61"/>
      <c r="I274" s="81"/>
      <c r="J274" s="81"/>
      <c r="K274" s="60"/>
      <c r="L274" s="60"/>
      <c r="M274" s="60"/>
      <c r="N274" s="60"/>
      <c r="O274" s="60"/>
      <c r="P274" s="60"/>
      <c r="Q274" s="60"/>
      <c r="R274" s="58"/>
      <c r="S274" s="62" t="str">
        <f aca="false">IF(OR(B274="",V274=""),"",IFERROR(INDEX(C_TIPO,MATCH(V274&amp;"-P"&amp;MAX(1,COUNTIFS(C_RUTN,V274,C_DEF,"Sí",C_INI,"&lt;="&amp;EOMONTH(B274,0))),C_CLAVE,0))&amp;"","Sin contrato"))</f>
        <v/>
      </c>
      <c r="T274" s="63" t="str">
        <f aca="false">IF(OR(B274="",N(O274)=0),"",N(O274)+ROUND(MIN(N(N274),TOPE_UF*UF_MES)*(TASA_EMP+MUTUAL),0)+ROUND(MIN(N(N274),TOPE_AFC_UF*UF_MES)*IF(S274="Indefinido",AFC_INDEF,AFC_PF),0))</f>
        <v/>
      </c>
      <c r="U274" s="62" t="str">
        <f aca="false">IF(C274="","",IF(LEFT(D274,1)="⚠","⚠ RUT no registrado en Trabajadores",IF(B274="","⚠ Falta el mes",IF(OR(ISTEXT(I274),ISTEXT(J274)),"⚠ Atrasos u horas extra como texto: escriba hh:mm (ej. 1:30)",IF(AND(ISNUMBER(Q274),COUNTIFS(M_RUTN,V274,M_MES,B274,M_LIQ,"&lt;&gt;")&gt;1),"⚠ Liquidación repetida en el mes",IF(AND(ISNUMBER(O274),ISNUMBER(P274),ISNUMBER(Q274),ABS(O274-P274-Q274)&gt;1),"⚠ Haberes − descuentos no da el líquido","OK"))))))</f>
        <v/>
      </c>
      <c r="V274" s="62" t="str">
        <f aca="false">IF(C274="","",IFERROR(VALUE(LEFT(UPPER(SUBSTITUTE(SUBSTITUTE(SUBSTITUTE(TRIM(C274),".",""),"-","")," ","")),LEN(UPPER(SUBSTITUTE(SUBSTITUTE(SUBSTITUTE(TRIM(C274),".",""),"-","")," ","")))-1))&amp;RIGHT(UPPER(SUBSTITUTE(SUBSTITUTE(SUBSTITUTE(TRIM(C274),".",""),"-","")," ","")),1),UPPER(SUBSTITUTE(SUBSTITUTE(SUBSTITUTE(TRIM(C274),".",""),"-","")," ",""))))</f>
        <v/>
      </c>
    </row>
    <row r="275" customFormat="false" ht="15" hidden="false" customHeight="false" outlineLevel="0" collapsed="false">
      <c r="B275" s="80"/>
      <c r="C275" s="58"/>
      <c r="D275" s="62" t="str">
        <f aca="false">IF(C275="","",IFERROR(INDEX(T_NOMBRE,MATCH(V275,T_RUTN,0)),"⚠ RUT no está en Trabajadores"))</f>
        <v/>
      </c>
      <c r="E275" s="61"/>
      <c r="F275" s="61"/>
      <c r="G275" s="61"/>
      <c r="H275" s="61"/>
      <c r="I275" s="81"/>
      <c r="J275" s="81"/>
      <c r="K275" s="60"/>
      <c r="L275" s="60"/>
      <c r="M275" s="60"/>
      <c r="N275" s="60"/>
      <c r="O275" s="60"/>
      <c r="P275" s="60"/>
      <c r="Q275" s="60"/>
      <c r="R275" s="58"/>
      <c r="S275" s="62" t="str">
        <f aca="false">IF(OR(B275="",V275=""),"",IFERROR(INDEX(C_TIPO,MATCH(V275&amp;"-P"&amp;MAX(1,COUNTIFS(C_RUTN,V275,C_DEF,"Sí",C_INI,"&lt;="&amp;EOMONTH(B275,0))),C_CLAVE,0))&amp;"","Sin contrato"))</f>
        <v/>
      </c>
      <c r="T275" s="63" t="str">
        <f aca="false">IF(OR(B275="",N(O275)=0),"",N(O275)+ROUND(MIN(N(N275),TOPE_UF*UF_MES)*(TASA_EMP+MUTUAL),0)+ROUND(MIN(N(N275),TOPE_AFC_UF*UF_MES)*IF(S275="Indefinido",AFC_INDEF,AFC_PF),0))</f>
        <v/>
      </c>
      <c r="U275" s="62" t="str">
        <f aca="false">IF(C275="","",IF(LEFT(D275,1)="⚠","⚠ RUT no registrado en Trabajadores",IF(B275="","⚠ Falta el mes",IF(OR(ISTEXT(I275),ISTEXT(J275)),"⚠ Atrasos u horas extra como texto: escriba hh:mm (ej. 1:30)",IF(AND(ISNUMBER(Q275),COUNTIFS(M_RUTN,V275,M_MES,B275,M_LIQ,"&lt;&gt;")&gt;1),"⚠ Liquidación repetida en el mes",IF(AND(ISNUMBER(O275),ISNUMBER(P275),ISNUMBER(Q275),ABS(O275-P275-Q275)&gt;1),"⚠ Haberes − descuentos no da el líquido","OK"))))))</f>
        <v/>
      </c>
      <c r="V275" s="62" t="str">
        <f aca="false">IF(C275="","",IFERROR(VALUE(LEFT(UPPER(SUBSTITUTE(SUBSTITUTE(SUBSTITUTE(TRIM(C275),".",""),"-","")," ","")),LEN(UPPER(SUBSTITUTE(SUBSTITUTE(SUBSTITUTE(TRIM(C275),".",""),"-","")," ","")))-1))&amp;RIGHT(UPPER(SUBSTITUTE(SUBSTITUTE(SUBSTITUTE(TRIM(C275),".",""),"-","")," ","")),1),UPPER(SUBSTITUTE(SUBSTITUTE(SUBSTITUTE(TRIM(C275),".",""),"-","")," ",""))))</f>
        <v/>
      </c>
    </row>
    <row r="276" customFormat="false" ht="15" hidden="false" customHeight="false" outlineLevel="0" collapsed="false">
      <c r="B276" s="80"/>
      <c r="C276" s="58"/>
      <c r="D276" s="62" t="str">
        <f aca="false">IF(C276="","",IFERROR(INDEX(T_NOMBRE,MATCH(V276,T_RUTN,0)),"⚠ RUT no está en Trabajadores"))</f>
        <v/>
      </c>
      <c r="E276" s="61"/>
      <c r="F276" s="61"/>
      <c r="G276" s="61"/>
      <c r="H276" s="61"/>
      <c r="I276" s="81"/>
      <c r="J276" s="81"/>
      <c r="K276" s="60"/>
      <c r="L276" s="60"/>
      <c r="M276" s="60"/>
      <c r="N276" s="60"/>
      <c r="O276" s="60"/>
      <c r="P276" s="60"/>
      <c r="Q276" s="60"/>
      <c r="R276" s="58"/>
      <c r="S276" s="62" t="str">
        <f aca="false">IF(OR(B276="",V276=""),"",IFERROR(INDEX(C_TIPO,MATCH(V276&amp;"-P"&amp;MAX(1,COUNTIFS(C_RUTN,V276,C_DEF,"Sí",C_INI,"&lt;="&amp;EOMONTH(B276,0))),C_CLAVE,0))&amp;"","Sin contrato"))</f>
        <v/>
      </c>
      <c r="T276" s="63" t="str">
        <f aca="false">IF(OR(B276="",N(O276)=0),"",N(O276)+ROUND(MIN(N(N276),TOPE_UF*UF_MES)*(TASA_EMP+MUTUAL),0)+ROUND(MIN(N(N276),TOPE_AFC_UF*UF_MES)*IF(S276="Indefinido",AFC_INDEF,AFC_PF),0))</f>
        <v/>
      </c>
      <c r="U276" s="62" t="str">
        <f aca="false">IF(C276="","",IF(LEFT(D276,1)="⚠","⚠ RUT no registrado en Trabajadores",IF(B276="","⚠ Falta el mes",IF(OR(ISTEXT(I276),ISTEXT(J276)),"⚠ Atrasos u horas extra como texto: escriba hh:mm (ej. 1:30)",IF(AND(ISNUMBER(Q276),COUNTIFS(M_RUTN,V276,M_MES,B276,M_LIQ,"&lt;&gt;")&gt;1),"⚠ Liquidación repetida en el mes",IF(AND(ISNUMBER(O276),ISNUMBER(P276),ISNUMBER(Q276),ABS(O276-P276-Q276)&gt;1),"⚠ Haberes − descuentos no da el líquido","OK"))))))</f>
        <v/>
      </c>
      <c r="V276" s="62" t="str">
        <f aca="false">IF(C276="","",IFERROR(VALUE(LEFT(UPPER(SUBSTITUTE(SUBSTITUTE(SUBSTITUTE(TRIM(C276),".",""),"-","")," ","")),LEN(UPPER(SUBSTITUTE(SUBSTITUTE(SUBSTITUTE(TRIM(C276),".",""),"-","")," ","")))-1))&amp;RIGHT(UPPER(SUBSTITUTE(SUBSTITUTE(SUBSTITUTE(TRIM(C276),".",""),"-","")," ","")),1),UPPER(SUBSTITUTE(SUBSTITUTE(SUBSTITUTE(TRIM(C276),".",""),"-","")," ",""))))</f>
        <v/>
      </c>
    </row>
    <row r="277" customFormat="false" ht="15" hidden="false" customHeight="false" outlineLevel="0" collapsed="false">
      <c r="B277" s="80"/>
      <c r="C277" s="58"/>
      <c r="D277" s="62" t="str">
        <f aca="false">IF(C277="","",IFERROR(INDEX(T_NOMBRE,MATCH(V277,T_RUTN,0)),"⚠ RUT no está en Trabajadores"))</f>
        <v/>
      </c>
      <c r="E277" s="61"/>
      <c r="F277" s="61"/>
      <c r="G277" s="61"/>
      <c r="H277" s="61"/>
      <c r="I277" s="81"/>
      <c r="J277" s="81"/>
      <c r="K277" s="60"/>
      <c r="L277" s="60"/>
      <c r="M277" s="60"/>
      <c r="N277" s="60"/>
      <c r="O277" s="60"/>
      <c r="P277" s="60"/>
      <c r="Q277" s="60"/>
      <c r="R277" s="58"/>
      <c r="S277" s="62" t="str">
        <f aca="false">IF(OR(B277="",V277=""),"",IFERROR(INDEX(C_TIPO,MATCH(V277&amp;"-P"&amp;MAX(1,COUNTIFS(C_RUTN,V277,C_DEF,"Sí",C_INI,"&lt;="&amp;EOMONTH(B277,0))),C_CLAVE,0))&amp;"","Sin contrato"))</f>
        <v/>
      </c>
      <c r="T277" s="63" t="str">
        <f aca="false">IF(OR(B277="",N(O277)=0),"",N(O277)+ROUND(MIN(N(N277),TOPE_UF*UF_MES)*(TASA_EMP+MUTUAL),0)+ROUND(MIN(N(N277),TOPE_AFC_UF*UF_MES)*IF(S277="Indefinido",AFC_INDEF,AFC_PF),0))</f>
        <v/>
      </c>
      <c r="U277" s="62" t="str">
        <f aca="false">IF(C277="","",IF(LEFT(D277,1)="⚠","⚠ RUT no registrado en Trabajadores",IF(B277="","⚠ Falta el mes",IF(OR(ISTEXT(I277),ISTEXT(J277)),"⚠ Atrasos u horas extra como texto: escriba hh:mm (ej. 1:30)",IF(AND(ISNUMBER(Q277),COUNTIFS(M_RUTN,V277,M_MES,B277,M_LIQ,"&lt;&gt;")&gt;1),"⚠ Liquidación repetida en el mes",IF(AND(ISNUMBER(O277),ISNUMBER(P277),ISNUMBER(Q277),ABS(O277-P277-Q277)&gt;1),"⚠ Haberes − descuentos no da el líquido","OK"))))))</f>
        <v/>
      </c>
      <c r="V277" s="62" t="str">
        <f aca="false">IF(C277="","",IFERROR(VALUE(LEFT(UPPER(SUBSTITUTE(SUBSTITUTE(SUBSTITUTE(TRIM(C277),".",""),"-","")," ","")),LEN(UPPER(SUBSTITUTE(SUBSTITUTE(SUBSTITUTE(TRIM(C277),".",""),"-","")," ","")))-1))&amp;RIGHT(UPPER(SUBSTITUTE(SUBSTITUTE(SUBSTITUTE(TRIM(C277),".",""),"-","")," ","")),1),UPPER(SUBSTITUTE(SUBSTITUTE(SUBSTITUTE(TRIM(C277),".",""),"-","")," ",""))))</f>
        <v/>
      </c>
    </row>
    <row r="278" customFormat="false" ht="15" hidden="false" customHeight="false" outlineLevel="0" collapsed="false">
      <c r="B278" s="80"/>
      <c r="C278" s="58"/>
      <c r="D278" s="62" t="str">
        <f aca="false">IF(C278="","",IFERROR(INDEX(T_NOMBRE,MATCH(V278,T_RUTN,0)),"⚠ RUT no está en Trabajadores"))</f>
        <v/>
      </c>
      <c r="E278" s="61"/>
      <c r="F278" s="61"/>
      <c r="G278" s="61"/>
      <c r="H278" s="61"/>
      <c r="I278" s="81"/>
      <c r="J278" s="81"/>
      <c r="K278" s="60"/>
      <c r="L278" s="60"/>
      <c r="M278" s="60"/>
      <c r="N278" s="60"/>
      <c r="O278" s="60"/>
      <c r="P278" s="60"/>
      <c r="Q278" s="60"/>
      <c r="R278" s="58"/>
      <c r="S278" s="62" t="str">
        <f aca="false">IF(OR(B278="",V278=""),"",IFERROR(INDEX(C_TIPO,MATCH(V278&amp;"-P"&amp;MAX(1,COUNTIFS(C_RUTN,V278,C_DEF,"Sí",C_INI,"&lt;="&amp;EOMONTH(B278,0))),C_CLAVE,0))&amp;"","Sin contrato"))</f>
        <v/>
      </c>
      <c r="T278" s="63" t="str">
        <f aca="false">IF(OR(B278="",N(O278)=0),"",N(O278)+ROUND(MIN(N(N278),TOPE_UF*UF_MES)*(TASA_EMP+MUTUAL),0)+ROUND(MIN(N(N278),TOPE_AFC_UF*UF_MES)*IF(S278="Indefinido",AFC_INDEF,AFC_PF),0))</f>
        <v/>
      </c>
      <c r="U278" s="62" t="str">
        <f aca="false">IF(C278="","",IF(LEFT(D278,1)="⚠","⚠ RUT no registrado en Trabajadores",IF(B278="","⚠ Falta el mes",IF(OR(ISTEXT(I278),ISTEXT(J278)),"⚠ Atrasos u horas extra como texto: escriba hh:mm (ej. 1:30)",IF(AND(ISNUMBER(Q278),COUNTIFS(M_RUTN,V278,M_MES,B278,M_LIQ,"&lt;&gt;")&gt;1),"⚠ Liquidación repetida en el mes",IF(AND(ISNUMBER(O278),ISNUMBER(P278),ISNUMBER(Q278),ABS(O278-P278-Q278)&gt;1),"⚠ Haberes − descuentos no da el líquido","OK"))))))</f>
        <v/>
      </c>
      <c r="V278" s="62" t="str">
        <f aca="false">IF(C278="","",IFERROR(VALUE(LEFT(UPPER(SUBSTITUTE(SUBSTITUTE(SUBSTITUTE(TRIM(C278),".",""),"-","")," ","")),LEN(UPPER(SUBSTITUTE(SUBSTITUTE(SUBSTITUTE(TRIM(C278),".",""),"-","")," ","")))-1))&amp;RIGHT(UPPER(SUBSTITUTE(SUBSTITUTE(SUBSTITUTE(TRIM(C278),".",""),"-","")," ","")),1),UPPER(SUBSTITUTE(SUBSTITUTE(SUBSTITUTE(TRIM(C278),".",""),"-","")," ",""))))</f>
        <v/>
      </c>
    </row>
    <row r="279" customFormat="false" ht="15" hidden="false" customHeight="false" outlineLevel="0" collapsed="false">
      <c r="B279" s="80"/>
      <c r="C279" s="58"/>
      <c r="D279" s="62" t="str">
        <f aca="false">IF(C279="","",IFERROR(INDEX(T_NOMBRE,MATCH(V279,T_RUTN,0)),"⚠ RUT no está en Trabajadores"))</f>
        <v/>
      </c>
      <c r="E279" s="61"/>
      <c r="F279" s="61"/>
      <c r="G279" s="61"/>
      <c r="H279" s="61"/>
      <c r="I279" s="81"/>
      <c r="J279" s="81"/>
      <c r="K279" s="60"/>
      <c r="L279" s="60"/>
      <c r="M279" s="60"/>
      <c r="N279" s="60"/>
      <c r="O279" s="60"/>
      <c r="P279" s="60"/>
      <c r="Q279" s="60"/>
      <c r="R279" s="58"/>
      <c r="S279" s="62" t="str">
        <f aca="false">IF(OR(B279="",V279=""),"",IFERROR(INDEX(C_TIPO,MATCH(V279&amp;"-P"&amp;MAX(1,COUNTIFS(C_RUTN,V279,C_DEF,"Sí",C_INI,"&lt;="&amp;EOMONTH(B279,0))),C_CLAVE,0))&amp;"","Sin contrato"))</f>
        <v/>
      </c>
      <c r="T279" s="63" t="str">
        <f aca="false">IF(OR(B279="",N(O279)=0),"",N(O279)+ROUND(MIN(N(N279),TOPE_UF*UF_MES)*(TASA_EMP+MUTUAL),0)+ROUND(MIN(N(N279),TOPE_AFC_UF*UF_MES)*IF(S279="Indefinido",AFC_INDEF,AFC_PF),0))</f>
        <v/>
      </c>
      <c r="U279" s="62" t="str">
        <f aca="false">IF(C279="","",IF(LEFT(D279,1)="⚠","⚠ RUT no registrado en Trabajadores",IF(B279="","⚠ Falta el mes",IF(OR(ISTEXT(I279),ISTEXT(J279)),"⚠ Atrasos u horas extra como texto: escriba hh:mm (ej. 1:30)",IF(AND(ISNUMBER(Q279),COUNTIFS(M_RUTN,V279,M_MES,B279,M_LIQ,"&lt;&gt;")&gt;1),"⚠ Liquidación repetida en el mes",IF(AND(ISNUMBER(O279),ISNUMBER(P279),ISNUMBER(Q279),ABS(O279-P279-Q279)&gt;1),"⚠ Haberes − descuentos no da el líquido","OK"))))))</f>
        <v/>
      </c>
      <c r="V279" s="62" t="str">
        <f aca="false">IF(C279="","",IFERROR(VALUE(LEFT(UPPER(SUBSTITUTE(SUBSTITUTE(SUBSTITUTE(TRIM(C279),".",""),"-","")," ","")),LEN(UPPER(SUBSTITUTE(SUBSTITUTE(SUBSTITUTE(TRIM(C279),".",""),"-","")," ","")))-1))&amp;RIGHT(UPPER(SUBSTITUTE(SUBSTITUTE(SUBSTITUTE(TRIM(C279),".",""),"-","")," ","")),1),UPPER(SUBSTITUTE(SUBSTITUTE(SUBSTITUTE(TRIM(C279),".",""),"-","")," ",""))))</f>
        <v/>
      </c>
    </row>
    <row r="280" customFormat="false" ht="15" hidden="false" customHeight="false" outlineLevel="0" collapsed="false">
      <c r="B280" s="80"/>
      <c r="C280" s="58"/>
      <c r="D280" s="62" t="str">
        <f aca="false">IF(C280="","",IFERROR(INDEX(T_NOMBRE,MATCH(V280,T_RUTN,0)),"⚠ RUT no está en Trabajadores"))</f>
        <v/>
      </c>
      <c r="E280" s="61"/>
      <c r="F280" s="61"/>
      <c r="G280" s="61"/>
      <c r="H280" s="61"/>
      <c r="I280" s="81"/>
      <c r="J280" s="81"/>
      <c r="K280" s="60"/>
      <c r="L280" s="60"/>
      <c r="M280" s="60"/>
      <c r="N280" s="60"/>
      <c r="O280" s="60"/>
      <c r="P280" s="60"/>
      <c r="Q280" s="60"/>
      <c r="R280" s="58"/>
      <c r="S280" s="62" t="str">
        <f aca="false">IF(OR(B280="",V280=""),"",IFERROR(INDEX(C_TIPO,MATCH(V280&amp;"-P"&amp;MAX(1,COUNTIFS(C_RUTN,V280,C_DEF,"Sí",C_INI,"&lt;="&amp;EOMONTH(B280,0))),C_CLAVE,0))&amp;"","Sin contrato"))</f>
        <v/>
      </c>
      <c r="T280" s="63" t="str">
        <f aca="false">IF(OR(B280="",N(O280)=0),"",N(O280)+ROUND(MIN(N(N280),TOPE_UF*UF_MES)*(TASA_EMP+MUTUAL),0)+ROUND(MIN(N(N280),TOPE_AFC_UF*UF_MES)*IF(S280="Indefinido",AFC_INDEF,AFC_PF),0))</f>
        <v/>
      </c>
      <c r="U280" s="62" t="str">
        <f aca="false">IF(C280="","",IF(LEFT(D280,1)="⚠","⚠ RUT no registrado en Trabajadores",IF(B280="","⚠ Falta el mes",IF(OR(ISTEXT(I280),ISTEXT(J280)),"⚠ Atrasos u horas extra como texto: escriba hh:mm (ej. 1:30)",IF(AND(ISNUMBER(Q280),COUNTIFS(M_RUTN,V280,M_MES,B280,M_LIQ,"&lt;&gt;")&gt;1),"⚠ Liquidación repetida en el mes",IF(AND(ISNUMBER(O280),ISNUMBER(P280),ISNUMBER(Q280),ABS(O280-P280-Q280)&gt;1),"⚠ Haberes − descuentos no da el líquido","OK"))))))</f>
        <v/>
      </c>
      <c r="V280" s="62" t="str">
        <f aca="false">IF(C280="","",IFERROR(VALUE(LEFT(UPPER(SUBSTITUTE(SUBSTITUTE(SUBSTITUTE(TRIM(C280),".",""),"-","")," ","")),LEN(UPPER(SUBSTITUTE(SUBSTITUTE(SUBSTITUTE(TRIM(C280),".",""),"-","")," ","")))-1))&amp;RIGHT(UPPER(SUBSTITUTE(SUBSTITUTE(SUBSTITUTE(TRIM(C280),".",""),"-","")," ","")),1),UPPER(SUBSTITUTE(SUBSTITUTE(SUBSTITUTE(TRIM(C280),".",""),"-","")," ",""))))</f>
        <v/>
      </c>
    </row>
    <row r="281" customFormat="false" ht="15" hidden="false" customHeight="false" outlineLevel="0" collapsed="false">
      <c r="B281" s="80"/>
      <c r="C281" s="58"/>
      <c r="D281" s="62" t="str">
        <f aca="false">IF(C281="","",IFERROR(INDEX(T_NOMBRE,MATCH(V281,T_RUTN,0)),"⚠ RUT no está en Trabajadores"))</f>
        <v/>
      </c>
      <c r="E281" s="61"/>
      <c r="F281" s="61"/>
      <c r="G281" s="61"/>
      <c r="H281" s="61"/>
      <c r="I281" s="81"/>
      <c r="J281" s="81"/>
      <c r="K281" s="60"/>
      <c r="L281" s="60"/>
      <c r="M281" s="60"/>
      <c r="N281" s="60"/>
      <c r="O281" s="60"/>
      <c r="P281" s="60"/>
      <c r="Q281" s="60"/>
      <c r="R281" s="58"/>
      <c r="S281" s="62" t="str">
        <f aca="false">IF(OR(B281="",V281=""),"",IFERROR(INDEX(C_TIPO,MATCH(V281&amp;"-P"&amp;MAX(1,COUNTIFS(C_RUTN,V281,C_DEF,"Sí",C_INI,"&lt;="&amp;EOMONTH(B281,0))),C_CLAVE,0))&amp;"","Sin contrato"))</f>
        <v/>
      </c>
      <c r="T281" s="63" t="str">
        <f aca="false">IF(OR(B281="",N(O281)=0),"",N(O281)+ROUND(MIN(N(N281),TOPE_UF*UF_MES)*(TASA_EMP+MUTUAL),0)+ROUND(MIN(N(N281),TOPE_AFC_UF*UF_MES)*IF(S281="Indefinido",AFC_INDEF,AFC_PF),0))</f>
        <v/>
      </c>
      <c r="U281" s="62" t="str">
        <f aca="false">IF(C281="","",IF(LEFT(D281,1)="⚠","⚠ RUT no registrado en Trabajadores",IF(B281="","⚠ Falta el mes",IF(OR(ISTEXT(I281),ISTEXT(J281)),"⚠ Atrasos u horas extra como texto: escriba hh:mm (ej. 1:30)",IF(AND(ISNUMBER(Q281),COUNTIFS(M_RUTN,V281,M_MES,B281,M_LIQ,"&lt;&gt;")&gt;1),"⚠ Liquidación repetida en el mes",IF(AND(ISNUMBER(O281),ISNUMBER(P281),ISNUMBER(Q281),ABS(O281-P281-Q281)&gt;1),"⚠ Haberes − descuentos no da el líquido","OK"))))))</f>
        <v/>
      </c>
      <c r="V281" s="62" t="str">
        <f aca="false">IF(C281="","",IFERROR(VALUE(LEFT(UPPER(SUBSTITUTE(SUBSTITUTE(SUBSTITUTE(TRIM(C281),".",""),"-","")," ","")),LEN(UPPER(SUBSTITUTE(SUBSTITUTE(SUBSTITUTE(TRIM(C281),".",""),"-","")," ","")))-1))&amp;RIGHT(UPPER(SUBSTITUTE(SUBSTITUTE(SUBSTITUTE(TRIM(C281),".",""),"-","")," ","")),1),UPPER(SUBSTITUTE(SUBSTITUTE(SUBSTITUTE(TRIM(C281),".",""),"-","")," ",""))))</f>
        <v/>
      </c>
    </row>
    <row r="282" customFormat="false" ht="15" hidden="false" customHeight="false" outlineLevel="0" collapsed="false">
      <c r="B282" s="80"/>
      <c r="C282" s="58"/>
      <c r="D282" s="62" t="str">
        <f aca="false">IF(C282="","",IFERROR(INDEX(T_NOMBRE,MATCH(V282,T_RUTN,0)),"⚠ RUT no está en Trabajadores"))</f>
        <v/>
      </c>
      <c r="E282" s="61"/>
      <c r="F282" s="61"/>
      <c r="G282" s="61"/>
      <c r="H282" s="61"/>
      <c r="I282" s="81"/>
      <c r="J282" s="81"/>
      <c r="K282" s="60"/>
      <c r="L282" s="60"/>
      <c r="M282" s="60"/>
      <c r="N282" s="60"/>
      <c r="O282" s="60"/>
      <c r="P282" s="60"/>
      <c r="Q282" s="60"/>
      <c r="R282" s="58"/>
      <c r="S282" s="62" t="str">
        <f aca="false">IF(OR(B282="",V282=""),"",IFERROR(INDEX(C_TIPO,MATCH(V282&amp;"-P"&amp;MAX(1,COUNTIFS(C_RUTN,V282,C_DEF,"Sí",C_INI,"&lt;="&amp;EOMONTH(B282,0))),C_CLAVE,0))&amp;"","Sin contrato"))</f>
        <v/>
      </c>
      <c r="T282" s="63" t="str">
        <f aca="false">IF(OR(B282="",N(O282)=0),"",N(O282)+ROUND(MIN(N(N282),TOPE_UF*UF_MES)*(TASA_EMP+MUTUAL),0)+ROUND(MIN(N(N282),TOPE_AFC_UF*UF_MES)*IF(S282="Indefinido",AFC_INDEF,AFC_PF),0))</f>
        <v/>
      </c>
      <c r="U282" s="62" t="str">
        <f aca="false">IF(C282="","",IF(LEFT(D282,1)="⚠","⚠ RUT no registrado en Trabajadores",IF(B282="","⚠ Falta el mes",IF(OR(ISTEXT(I282),ISTEXT(J282)),"⚠ Atrasos u horas extra como texto: escriba hh:mm (ej. 1:30)",IF(AND(ISNUMBER(Q282),COUNTIFS(M_RUTN,V282,M_MES,B282,M_LIQ,"&lt;&gt;")&gt;1),"⚠ Liquidación repetida en el mes",IF(AND(ISNUMBER(O282),ISNUMBER(P282),ISNUMBER(Q282),ABS(O282-P282-Q282)&gt;1),"⚠ Haberes − descuentos no da el líquido","OK"))))))</f>
        <v/>
      </c>
      <c r="V282" s="62" t="str">
        <f aca="false">IF(C282="","",IFERROR(VALUE(LEFT(UPPER(SUBSTITUTE(SUBSTITUTE(SUBSTITUTE(TRIM(C282),".",""),"-","")," ","")),LEN(UPPER(SUBSTITUTE(SUBSTITUTE(SUBSTITUTE(TRIM(C282),".",""),"-","")," ","")))-1))&amp;RIGHT(UPPER(SUBSTITUTE(SUBSTITUTE(SUBSTITUTE(TRIM(C282),".",""),"-","")," ","")),1),UPPER(SUBSTITUTE(SUBSTITUTE(SUBSTITUTE(TRIM(C282),".",""),"-","")," ",""))))</f>
        <v/>
      </c>
    </row>
    <row r="283" customFormat="false" ht="15" hidden="false" customHeight="false" outlineLevel="0" collapsed="false">
      <c r="B283" s="80"/>
      <c r="C283" s="58"/>
      <c r="D283" s="62" t="str">
        <f aca="false">IF(C283="","",IFERROR(INDEX(T_NOMBRE,MATCH(V283,T_RUTN,0)),"⚠ RUT no está en Trabajadores"))</f>
        <v/>
      </c>
      <c r="E283" s="61"/>
      <c r="F283" s="61"/>
      <c r="G283" s="61"/>
      <c r="H283" s="61"/>
      <c r="I283" s="81"/>
      <c r="J283" s="81"/>
      <c r="K283" s="60"/>
      <c r="L283" s="60"/>
      <c r="M283" s="60"/>
      <c r="N283" s="60"/>
      <c r="O283" s="60"/>
      <c r="P283" s="60"/>
      <c r="Q283" s="60"/>
      <c r="R283" s="58"/>
      <c r="S283" s="62" t="str">
        <f aca="false">IF(OR(B283="",V283=""),"",IFERROR(INDEX(C_TIPO,MATCH(V283&amp;"-P"&amp;MAX(1,COUNTIFS(C_RUTN,V283,C_DEF,"Sí",C_INI,"&lt;="&amp;EOMONTH(B283,0))),C_CLAVE,0))&amp;"","Sin contrato"))</f>
        <v/>
      </c>
      <c r="T283" s="63" t="str">
        <f aca="false">IF(OR(B283="",N(O283)=0),"",N(O283)+ROUND(MIN(N(N283),TOPE_UF*UF_MES)*(TASA_EMP+MUTUAL),0)+ROUND(MIN(N(N283),TOPE_AFC_UF*UF_MES)*IF(S283="Indefinido",AFC_INDEF,AFC_PF),0))</f>
        <v/>
      </c>
      <c r="U283" s="62" t="str">
        <f aca="false">IF(C283="","",IF(LEFT(D283,1)="⚠","⚠ RUT no registrado en Trabajadores",IF(B283="","⚠ Falta el mes",IF(OR(ISTEXT(I283),ISTEXT(J283)),"⚠ Atrasos u horas extra como texto: escriba hh:mm (ej. 1:30)",IF(AND(ISNUMBER(Q283),COUNTIFS(M_RUTN,V283,M_MES,B283,M_LIQ,"&lt;&gt;")&gt;1),"⚠ Liquidación repetida en el mes",IF(AND(ISNUMBER(O283),ISNUMBER(P283),ISNUMBER(Q283),ABS(O283-P283-Q283)&gt;1),"⚠ Haberes − descuentos no da el líquido","OK"))))))</f>
        <v/>
      </c>
      <c r="V283" s="62" t="str">
        <f aca="false">IF(C283="","",IFERROR(VALUE(LEFT(UPPER(SUBSTITUTE(SUBSTITUTE(SUBSTITUTE(TRIM(C283),".",""),"-","")," ","")),LEN(UPPER(SUBSTITUTE(SUBSTITUTE(SUBSTITUTE(TRIM(C283),".",""),"-","")," ","")))-1))&amp;RIGHT(UPPER(SUBSTITUTE(SUBSTITUTE(SUBSTITUTE(TRIM(C283),".",""),"-","")," ","")),1),UPPER(SUBSTITUTE(SUBSTITUTE(SUBSTITUTE(TRIM(C283),".",""),"-","")," ",""))))</f>
        <v/>
      </c>
    </row>
    <row r="284" customFormat="false" ht="15" hidden="false" customHeight="false" outlineLevel="0" collapsed="false">
      <c r="B284" s="80"/>
      <c r="C284" s="58"/>
      <c r="D284" s="62" t="str">
        <f aca="false">IF(C284="","",IFERROR(INDEX(T_NOMBRE,MATCH(V284,T_RUTN,0)),"⚠ RUT no está en Trabajadores"))</f>
        <v/>
      </c>
      <c r="E284" s="61"/>
      <c r="F284" s="61"/>
      <c r="G284" s="61"/>
      <c r="H284" s="61"/>
      <c r="I284" s="81"/>
      <c r="J284" s="81"/>
      <c r="K284" s="60"/>
      <c r="L284" s="60"/>
      <c r="M284" s="60"/>
      <c r="N284" s="60"/>
      <c r="O284" s="60"/>
      <c r="P284" s="60"/>
      <c r="Q284" s="60"/>
      <c r="R284" s="58"/>
      <c r="S284" s="62" t="str">
        <f aca="false">IF(OR(B284="",V284=""),"",IFERROR(INDEX(C_TIPO,MATCH(V284&amp;"-P"&amp;MAX(1,COUNTIFS(C_RUTN,V284,C_DEF,"Sí",C_INI,"&lt;="&amp;EOMONTH(B284,0))),C_CLAVE,0))&amp;"","Sin contrato"))</f>
        <v/>
      </c>
      <c r="T284" s="63" t="str">
        <f aca="false">IF(OR(B284="",N(O284)=0),"",N(O284)+ROUND(MIN(N(N284),TOPE_UF*UF_MES)*(TASA_EMP+MUTUAL),0)+ROUND(MIN(N(N284),TOPE_AFC_UF*UF_MES)*IF(S284="Indefinido",AFC_INDEF,AFC_PF),0))</f>
        <v/>
      </c>
      <c r="U284" s="62" t="str">
        <f aca="false">IF(C284="","",IF(LEFT(D284,1)="⚠","⚠ RUT no registrado en Trabajadores",IF(B284="","⚠ Falta el mes",IF(OR(ISTEXT(I284),ISTEXT(J284)),"⚠ Atrasos u horas extra como texto: escriba hh:mm (ej. 1:30)",IF(AND(ISNUMBER(Q284),COUNTIFS(M_RUTN,V284,M_MES,B284,M_LIQ,"&lt;&gt;")&gt;1),"⚠ Liquidación repetida en el mes",IF(AND(ISNUMBER(O284),ISNUMBER(P284),ISNUMBER(Q284),ABS(O284-P284-Q284)&gt;1),"⚠ Haberes − descuentos no da el líquido","OK"))))))</f>
        <v/>
      </c>
      <c r="V284" s="62" t="str">
        <f aca="false">IF(C284="","",IFERROR(VALUE(LEFT(UPPER(SUBSTITUTE(SUBSTITUTE(SUBSTITUTE(TRIM(C284),".",""),"-","")," ","")),LEN(UPPER(SUBSTITUTE(SUBSTITUTE(SUBSTITUTE(TRIM(C284),".",""),"-","")," ","")))-1))&amp;RIGHT(UPPER(SUBSTITUTE(SUBSTITUTE(SUBSTITUTE(TRIM(C284),".",""),"-","")," ","")),1),UPPER(SUBSTITUTE(SUBSTITUTE(SUBSTITUTE(TRIM(C284),".",""),"-","")," ",""))))</f>
        <v/>
      </c>
    </row>
    <row r="285" customFormat="false" ht="15" hidden="false" customHeight="false" outlineLevel="0" collapsed="false">
      <c r="B285" s="80"/>
      <c r="C285" s="58"/>
      <c r="D285" s="62" t="str">
        <f aca="false">IF(C285="","",IFERROR(INDEX(T_NOMBRE,MATCH(V285,T_RUTN,0)),"⚠ RUT no está en Trabajadores"))</f>
        <v/>
      </c>
      <c r="E285" s="61"/>
      <c r="F285" s="61"/>
      <c r="G285" s="61"/>
      <c r="H285" s="61"/>
      <c r="I285" s="81"/>
      <c r="J285" s="81"/>
      <c r="K285" s="60"/>
      <c r="L285" s="60"/>
      <c r="M285" s="60"/>
      <c r="N285" s="60"/>
      <c r="O285" s="60"/>
      <c r="P285" s="60"/>
      <c r="Q285" s="60"/>
      <c r="R285" s="58"/>
      <c r="S285" s="62" t="str">
        <f aca="false">IF(OR(B285="",V285=""),"",IFERROR(INDEX(C_TIPO,MATCH(V285&amp;"-P"&amp;MAX(1,COUNTIFS(C_RUTN,V285,C_DEF,"Sí",C_INI,"&lt;="&amp;EOMONTH(B285,0))),C_CLAVE,0))&amp;"","Sin contrato"))</f>
        <v/>
      </c>
      <c r="T285" s="63" t="str">
        <f aca="false">IF(OR(B285="",N(O285)=0),"",N(O285)+ROUND(MIN(N(N285),TOPE_UF*UF_MES)*(TASA_EMP+MUTUAL),0)+ROUND(MIN(N(N285),TOPE_AFC_UF*UF_MES)*IF(S285="Indefinido",AFC_INDEF,AFC_PF),0))</f>
        <v/>
      </c>
      <c r="U285" s="62" t="str">
        <f aca="false">IF(C285="","",IF(LEFT(D285,1)="⚠","⚠ RUT no registrado en Trabajadores",IF(B285="","⚠ Falta el mes",IF(OR(ISTEXT(I285),ISTEXT(J285)),"⚠ Atrasos u horas extra como texto: escriba hh:mm (ej. 1:30)",IF(AND(ISNUMBER(Q285),COUNTIFS(M_RUTN,V285,M_MES,B285,M_LIQ,"&lt;&gt;")&gt;1),"⚠ Liquidación repetida en el mes",IF(AND(ISNUMBER(O285),ISNUMBER(P285),ISNUMBER(Q285),ABS(O285-P285-Q285)&gt;1),"⚠ Haberes − descuentos no da el líquido","OK"))))))</f>
        <v/>
      </c>
      <c r="V285" s="62" t="str">
        <f aca="false">IF(C285="","",IFERROR(VALUE(LEFT(UPPER(SUBSTITUTE(SUBSTITUTE(SUBSTITUTE(TRIM(C285),".",""),"-","")," ","")),LEN(UPPER(SUBSTITUTE(SUBSTITUTE(SUBSTITUTE(TRIM(C285),".",""),"-","")," ","")))-1))&amp;RIGHT(UPPER(SUBSTITUTE(SUBSTITUTE(SUBSTITUTE(TRIM(C285),".",""),"-","")," ","")),1),UPPER(SUBSTITUTE(SUBSTITUTE(SUBSTITUTE(TRIM(C285),".",""),"-","")," ",""))))</f>
        <v/>
      </c>
    </row>
    <row r="286" customFormat="false" ht="15" hidden="false" customHeight="false" outlineLevel="0" collapsed="false">
      <c r="B286" s="80"/>
      <c r="C286" s="58"/>
      <c r="D286" s="62" t="str">
        <f aca="false">IF(C286="","",IFERROR(INDEX(T_NOMBRE,MATCH(V286,T_RUTN,0)),"⚠ RUT no está en Trabajadores"))</f>
        <v/>
      </c>
      <c r="E286" s="61"/>
      <c r="F286" s="61"/>
      <c r="G286" s="61"/>
      <c r="H286" s="61"/>
      <c r="I286" s="81"/>
      <c r="J286" s="81"/>
      <c r="K286" s="60"/>
      <c r="L286" s="60"/>
      <c r="M286" s="60"/>
      <c r="N286" s="60"/>
      <c r="O286" s="60"/>
      <c r="P286" s="60"/>
      <c r="Q286" s="60"/>
      <c r="R286" s="58"/>
      <c r="S286" s="62" t="str">
        <f aca="false">IF(OR(B286="",V286=""),"",IFERROR(INDEX(C_TIPO,MATCH(V286&amp;"-P"&amp;MAX(1,COUNTIFS(C_RUTN,V286,C_DEF,"Sí",C_INI,"&lt;="&amp;EOMONTH(B286,0))),C_CLAVE,0))&amp;"","Sin contrato"))</f>
        <v/>
      </c>
      <c r="T286" s="63" t="str">
        <f aca="false">IF(OR(B286="",N(O286)=0),"",N(O286)+ROUND(MIN(N(N286),TOPE_UF*UF_MES)*(TASA_EMP+MUTUAL),0)+ROUND(MIN(N(N286),TOPE_AFC_UF*UF_MES)*IF(S286="Indefinido",AFC_INDEF,AFC_PF),0))</f>
        <v/>
      </c>
      <c r="U286" s="62" t="str">
        <f aca="false">IF(C286="","",IF(LEFT(D286,1)="⚠","⚠ RUT no registrado en Trabajadores",IF(B286="","⚠ Falta el mes",IF(OR(ISTEXT(I286),ISTEXT(J286)),"⚠ Atrasos u horas extra como texto: escriba hh:mm (ej. 1:30)",IF(AND(ISNUMBER(Q286),COUNTIFS(M_RUTN,V286,M_MES,B286,M_LIQ,"&lt;&gt;")&gt;1),"⚠ Liquidación repetida en el mes",IF(AND(ISNUMBER(O286),ISNUMBER(P286),ISNUMBER(Q286),ABS(O286-P286-Q286)&gt;1),"⚠ Haberes − descuentos no da el líquido","OK"))))))</f>
        <v/>
      </c>
      <c r="V286" s="62" t="str">
        <f aca="false">IF(C286="","",IFERROR(VALUE(LEFT(UPPER(SUBSTITUTE(SUBSTITUTE(SUBSTITUTE(TRIM(C286),".",""),"-","")," ","")),LEN(UPPER(SUBSTITUTE(SUBSTITUTE(SUBSTITUTE(TRIM(C286),".",""),"-","")," ","")))-1))&amp;RIGHT(UPPER(SUBSTITUTE(SUBSTITUTE(SUBSTITUTE(TRIM(C286),".",""),"-","")," ","")),1),UPPER(SUBSTITUTE(SUBSTITUTE(SUBSTITUTE(TRIM(C286),".",""),"-","")," ",""))))</f>
        <v/>
      </c>
    </row>
    <row r="287" customFormat="false" ht="15" hidden="false" customHeight="false" outlineLevel="0" collapsed="false">
      <c r="B287" s="80"/>
      <c r="C287" s="58"/>
      <c r="D287" s="62" t="str">
        <f aca="false">IF(C287="","",IFERROR(INDEX(T_NOMBRE,MATCH(V287,T_RUTN,0)),"⚠ RUT no está en Trabajadores"))</f>
        <v/>
      </c>
      <c r="E287" s="61"/>
      <c r="F287" s="61"/>
      <c r="G287" s="61"/>
      <c r="H287" s="61"/>
      <c r="I287" s="81"/>
      <c r="J287" s="81"/>
      <c r="K287" s="60"/>
      <c r="L287" s="60"/>
      <c r="M287" s="60"/>
      <c r="N287" s="60"/>
      <c r="O287" s="60"/>
      <c r="P287" s="60"/>
      <c r="Q287" s="60"/>
      <c r="R287" s="58"/>
      <c r="S287" s="62" t="str">
        <f aca="false">IF(OR(B287="",V287=""),"",IFERROR(INDEX(C_TIPO,MATCH(V287&amp;"-P"&amp;MAX(1,COUNTIFS(C_RUTN,V287,C_DEF,"Sí",C_INI,"&lt;="&amp;EOMONTH(B287,0))),C_CLAVE,0))&amp;"","Sin contrato"))</f>
        <v/>
      </c>
      <c r="T287" s="63" t="str">
        <f aca="false">IF(OR(B287="",N(O287)=0),"",N(O287)+ROUND(MIN(N(N287),TOPE_UF*UF_MES)*(TASA_EMP+MUTUAL),0)+ROUND(MIN(N(N287),TOPE_AFC_UF*UF_MES)*IF(S287="Indefinido",AFC_INDEF,AFC_PF),0))</f>
        <v/>
      </c>
      <c r="U287" s="62" t="str">
        <f aca="false">IF(C287="","",IF(LEFT(D287,1)="⚠","⚠ RUT no registrado en Trabajadores",IF(B287="","⚠ Falta el mes",IF(OR(ISTEXT(I287),ISTEXT(J287)),"⚠ Atrasos u horas extra como texto: escriba hh:mm (ej. 1:30)",IF(AND(ISNUMBER(Q287),COUNTIFS(M_RUTN,V287,M_MES,B287,M_LIQ,"&lt;&gt;")&gt;1),"⚠ Liquidación repetida en el mes",IF(AND(ISNUMBER(O287),ISNUMBER(P287),ISNUMBER(Q287),ABS(O287-P287-Q287)&gt;1),"⚠ Haberes − descuentos no da el líquido","OK"))))))</f>
        <v/>
      </c>
      <c r="V287" s="62" t="str">
        <f aca="false">IF(C287="","",IFERROR(VALUE(LEFT(UPPER(SUBSTITUTE(SUBSTITUTE(SUBSTITUTE(TRIM(C287),".",""),"-","")," ","")),LEN(UPPER(SUBSTITUTE(SUBSTITUTE(SUBSTITUTE(TRIM(C287),".",""),"-","")," ","")))-1))&amp;RIGHT(UPPER(SUBSTITUTE(SUBSTITUTE(SUBSTITUTE(TRIM(C287),".",""),"-","")," ","")),1),UPPER(SUBSTITUTE(SUBSTITUTE(SUBSTITUTE(TRIM(C287),".",""),"-","")," ",""))))</f>
        <v/>
      </c>
    </row>
    <row r="288" customFormat="false" ht="15" hidden="false" customHeight="false" outlineLevel="0" collapsed="false">
      <c r="B288" s="80"/>
      <c r="C288" s="58"/>
      <c r="D288" s="62" t="str">
        <f aca="false">IF(C288="","",IFERROR(INDEX(T_NOMBRE,MATCH(V288,T_RUTN,0)),"⚠ RUT no está en Trabajadores"))</f>
        <v/>
      </c>
      <c r="E288" s="61"/>
      <c r="F288" s="61"/>
      <c r="G288" s="61"/>
      <c r="H288" s="61"/>
      <c r="I288" s="81"/>
      <c r="J288" s="81"/>
      <c r="K288" s="60"/>
      <c r="L288" s="60"/>
      <c r="M288" s="60"/>
      <c r="N288" s="60"/>
      <c r="O288" s="60"/>
      <c r="P288" s="60"/>
      <c r="Q288" s="60"/>
      <c r="R288" s="58"/>
      <c r="S288" s="62" t="str">
        <f aca="false">IF(OR(B288="",V288=""),"",IFERROR(INDEX(C_TIPO,MATCH(V288&amp;"-P"&amp;MAX(1,COUNTIFS(C_RUTN,V288,C_DEF,"Sí",C_INI,"&lt;="&amp;EOMONTH(B288,0))),C_CLAVE,0))&amp;"","Sin contrato"))</f>
        <v/>
      </c>
      <c r="T288" s="63" t="str">
        <f aca="false">IF(OR(B288="",N(O288)=0),"",N(O288)+ROUND(MIN(N(N288),TOPE_UF*UF_MES)*(TASA_EMP+MUTUAL),0)+ROUND(MIN(N(N288),TOPE_AFC_UF*UF_MES)*IF(S288="Indefinido",AFC_INDEF,AFC_PF),0))</f>
        <v/>
      </c>
      <c r="U288" s="62" t="str">
        <f aca="false">IF(C288="","",IF(LEFT(D288,1)="⚠","⚠ RUT no registrado en Trabajadores",IF(B288="","⚠ Falta el mes",IF(OR(ISTEXT(I288),ISTEXT(J288)),"⚠ Atrasos u horas extra como texto: escriba hh:mm (ej. 1:30)",IF(AND(ISNUMBER(Q288),COUNTIFS(M_RUTN,V288,M_MES,B288,M_LIQ,"&lt;&gt;")&gt;1),"⚠ Liquidación repetida en el mes",IF(AND(ISNUMBER(O288),ISNUMBER(P288),ISNUMBER(Q288),ABS(O288-P288-Q288)&gt;1),"⚠ Haberes − descuentos no da el líquido","OK"))))))</f>
        <v/>
      </c>
      <c r="V288" s="62" t="str">
        <f aca="false">IF(C288="","",IFERROR(VALUE(LEFT(UPPER(SUBSTITUTE(SUBSTITUTE(SUBSTITUTE(TRIM(C288),".",""),"-","")," ","")),LEN(UPPER(SUBSTITUTE(SUBSTITUTE(SUBSTITUTE(TRIM(C288),".",""),"-","")," ","")))-1))&amp;RIGHT(UPPER(SUBSTITUTE(SUBSTITUTE(SUBSTITUTE(TRIM(C288),".",""),"-","")," ","")),1),UPPER(SUBSTITUTE(SUBSTITUTE(SUBSTITUTE(TRIM(C288),".",""),"-","")," ",""))))</f>
        <v/>
      </c>
    </row>
    <row r="289" customFormat="false" ht="15" hidden="false" customHeight="false" outlineLevel="0" collapsed="false">
      <c r="B289" s="80"/>
      <c r="C289" s="58"/>
      <c r="D289" s="62" t="str">
        <f aca="false">IF(C289="","",IFERROR(INDEX(T_NOMBRE,MATCH(V289,T_RUTN,0)),"⚠ RUT no está en Trabajadores"))</f>
        <v/>
      </c>
      <c r="E289" s="61"/>
      <c r="F289" s="61"/>
      <c r="G289" s="61"/>
      <c r="H289" s="61"/>
      <c r="I289" s="81"/>
      <c r="J289" s="81"/>
      <c r="K289" s="60"/>
      <c r="L289" s="60"/>
      <c r="M289" s="60"/>
      <c r="N289" s="60"/>
      <c r="O289" s="60"/>
      <c r="P289" s="60"/>
      <c r="Q289" s="60"/>
      <c r="R289" s="58"/>
      <c r="S289" s="62" t="str">
        <f aca="false">IF(OR(B289="",V289=""),"",IFERROR(INDEX(C_TIPO,MATCH(V289&amp;"-P"&amp;MAX(1,COUNTIFS(C_RUTN,V289,C_DEF,"Sí",C_INI,"&lt;="&amp;EOMONTH(B289,0))),C_CLAVE,0))&amp;"","Sin contrato"))</f>
        <v/>
      </c>
      <c r="T289" s="63" t="str">
        <f aca="false">IF(OR(B289="",N(O289)=0),"",N(O289)+ROUND(MIN(N(N289),TOPE_UF*UF_MES)*(TASA_EMP+MUTUAL),0)+ROUND(MIN(N(N289),TOPE_AFC_UF*UF_MES)*IF(S289="Indefinido",AFC_INDEF,AFC_PF),0))</f>
        <v/>
      </c>
      <c r="U289" s="62" t="str">
        <f aca="false">IF(C289="","",IF(LEFT(D289,1)="⚠","⚠ RUT no registrado en Trabajadores",IF(B289="","⚠ Falta el mes",IF(OR(ISTEXT(I289),ISTEXT(J289)),"⚠ Atrasos u horas extra como texto: escriba hh:mm (ej. 1:30)",IF(AND(ISNUMBER(Q289),COUNTIFS(M_RUTN,V289,M_MES,B289,M_LIQ,"&lt;&gt;")&gt;1),"⚠ Liquidación repetida en el mes",IF(AND(ISNUMBER(O289),ISNUMBER(P289),ISNUMBER(Q289),ABS(O289-P289-Q289)&gt;1),"⚠ Haberes − descuentos no da el líquido","OK"))))))</f>
        <v/>
      </c>
      <c r="V289" s="62" t="str">
        <f aca="false">IF(C289="","",IFERROR(VALUE(LEFT(UPPER(SUBSTITUTE(SUBSTITUTE(SUBSTITUTE(TRIM(C289),".",""),"-","")," ","")),LEN(UPPER(SUBSTITUTE(SUBSTITUTE(SUBSTITUTE(TRIM(C289),".",""),"-","")," ","")))-1))&amp;RIGHT(UPPER(SUBSTITUTE(SUBSTITUTE(SUBSTITUTE(TRIM(C289),".",""),"-","")," ","")),1),UPPER(SUBSTITUTE(SUBSTITUTE(SUBSTITUTE(TRIM(C289),".",""),"-","")," ",""))))</f>
        <v/>
      </c>
    </row>
    <row r="290" customFormat="false" ht="15" hidden="false" customHeight="false" outlineLevel="0" collapsed="false">
      <c r="B290" s="80"/>
      <c r="C290" s="58"/>
      <c r="D290" s="62" t="str">
        <f aca="false">IF(C290="","",IFERROR(INDEX(T_NOMBRE,MATCH(V290,T_RUTN,0)),"⚠ RUT no está en Trabajadores"))</f>
        <v/>
      </c>
      <c r="E290" s="61"/>
      <c r="F290" s="61"/>
      <c r="G290" s="61"/>
      <c r="H290" s="61"/>
      <c r="I290" s="81"/>
      <c r="J290" s="81"/>
      <c r="K290" s="60"/>
      <c r="L290" s="60"/>
      <c r="M290" s="60"/>
      <c r="N290" s="60"/>
      <c r="O290" s="60"/>
      <c r="P290" s="60"/>
      <c r="Q290" s="60"/>
      <c r="R290" s="58"/>
      <c r="S290" s="62" t="str">
        <f aca="false">IF(OR(B290="",V290=""),"",IFERROR(INDEX(C_TIPO,MATCH(V290&amp;"-P"&amp;MAX(1,COUNTIFS(C_RUTN,V290,C_DEF,"Sí",C_INI,"&lt;="&amp;EOMONTH(B290,0))),C_CLAVE,0))&amp;"","Sin contrato"))</f>
        <v/>
      </c>
      <c r="T290" s="63" t="str">
        <f aca="false">IF(OR(B290="",N(O290)=0),"",N(O290)+ROUND(MIN(N(N290),TOPE_UF*UF_MES)*(TASA_EMP+MUTUAL),0)+ROUND(MIN(N(N290),TOPE_AFC_UF*UF_MES)*IF(S290="Indefinido",AFC_INDEF,AFC_PF),0))</f>
        <v/>
      </c>
      <c r="U290" s="62" t="str">
        <f aca="false">IF(C290="","",IF(LEFT(D290,1)="⚠","⚠ RUT no registrado en Trabajadores",IF(B290="","⚠ Falta el mes",IF(OR(ISTEXT(I290),ISTEXT(J290)),"⚠ Atrasos u horas extra como texto: escriba hh:mm (ej. 1:30)",IF(AND(ISNUMBER(Q290),COUNTIFS(M_RUTN,V290,M_MES,B290,M_LIQ,"&lt;&gt;")&gt;1),"⚠ Liquidación repetida en el mes",IF(AND(ISNUMBER(O290),ISNUMBER(P290),ISNUMBER(Q290),ABS(O290-P290-Q290)&gt;1),"⚠ Haberes − descuentos no da el líquido","OK"))))))</f>
        <v/>
      </c>
      <c r="V290" s="62" t="str">
        <f aca="false">IF(C290="","",IFERROR(VALUE(LEFT(UPPER(SUBSTITUTE(SUBSTITUTE(SUBSTITUTE(TRIM(C290),".",""),"-","")," ","")),LEN(UPPER(SUBSTITUTE(SUBSTITUTE(SUBSTITUTE(TRIM(C290),".",""),"-","")," ","")))-1))&amp;RIGHT(UPPER(SUBSTITUTE(SUBSTITUTE(SUBSTITUTE(TRIM(C290),".",""),"-","")," ","")),1),UPPER(SUBSTITUTE(SUBSTITUTE(SUBSTITUTE(TRIM(C290),".",""),"-","")," ",""))))</f>
        <v/>
      </c>
    </row>
    <row r="291" customFormat="false" ht="15" hidden="false" customHeight="false" outlineLevel="0" collapsed="false">
      <c r="B291" s="80"/>
      <c r="C291" s="58"/>
      <c r="D291" s="62" t="str">
        <f aca="false">IF(C291="","",IFERROR(INDEX(T_NOMBRE,MATCH(V291,T_RUTN,0)),"⚠ RUT no está en Trabajadores"))</f>
        <v/>
      </c>
      <c r="E291" s="61"/>
      <c r="F291" s="61"/>
      <c r="G291" s="61"/>
      <c r="H291" s="61"/>
      <c r="I291" s="81"/>
      <c r="J291" s="81"/>
      <c r="K291" s="60"/>
      <c r="L291" s="60"/>
      <c r="M291" s="60"/>
      <c r="N291" s="60"/>
      <c r="O291" s="60"/>
      <c r="P291" s="60"/>
      <c r="Q291" s="60"/>
      <c r="R291" s="58"/>
      <c r="S291" s="62" t="str">
        <f aca="false">IF(OR(B291="",V291=""),"",IFERROR(INDEX(C_TIPO,MATCH(V291&amp;"-P"&amp;MAX(1,COUNTIFS(C_RUTN,V291,C_DEF,"Sí",C_INI,"&lt;="&amp;EOMONTH(B291,0))),C_CLAVE,0))&amp;"","Sin contrato"))</f>
        <v/>
      </c>
      <c r="T291" s="63" t="str">
        <f aca="false">IF(OR(B291="",N(O291)=0),"",N(O291)+ROUND(MIN(N(N291),TOPE_UF*UF_MES)*(TASA_EMP+MUTUAL),0)+ROUND(MIN(N(N291),TOPE_AFC_UF*UF_MES)*IF(S291="Indefinido",AFC_INDEF,AFC_PF),0))</f>
        <v/>
      </c>
      <c r="U291" s="62" t="str">
        <f aca="false">IF(C291="","",IF(LEFT(D291,1)="⚠","⚠ RUT no registrado en Trabajadores",IF(B291="","⚠ Falta el mes",IF(OR(ISTEXT(I291),ISTEXT(J291)),"⚠ Atrasos u horas extra como texto: escriba hh:mm (ej. 1:30)",IF(AND(ISNUMBER(Q291),COUNTIFS(M_RUTN,V291,M_MES,B291,M_LIQ,"&lt;&gt;")&gt;1),"⚠ Liquidación repetida en el mes",IF(AND(ISNUMBER(O291),ISNUMBER(P291),ISNUMBER(Q291),ABS(O291-P291-Q291)&gt;1),"⚠ Haberes − descuentos no da el líquido","OK"))))))</f>
        <v/>
      </c>
      <c r="V291" s="62" t="str">
        <f aca="false">IF(C291="","",IFERROR(VALUE(LEFT(UPPER(SUBSTITUTE(SUBSTITUTE(SUBSTITUTE(TRIM(C291),".",""),"-","")," ","")),LEN(UPPER(SUBSTITUTE(SUBSTITUTE(SUBSTITUTE(TRIM(C291),".",""),"-","")," ","")))-1))&amp;RIGHT(UPPER(SUBSTITUTE(SUBSTITUTE(SUBSTITUTE(TRIM(C291),".",""),"-","")," ","")),1),UPPER(SUBSTITUTE(SUBSTITUTE(SUBSTITUTE(TRIM(C291),".",""),"-","")," ",""))))</f>
        <v/>
      </c>
    </row>
    <row r="292" customFormat="false" ht="15" hidden="false" customHeight="false" outlineLevel="0" collapsed="false">
      <c r="B292" s="80"/>
      <c r="C292" s="58"/>
      <c r="D292" s="62" t="str">
        <f aca="false">IF(C292="","",IFERROR(INDEX(T_NOMBRE,MATCH(V292,T_RUTN,0)),"⚠ RUT no está en Trabajadores"))</f>
        <v/>
      </c>
      <c r="E292" s="61"/>
      <c r="F292" s="61"/>
      <c r="G292" s="61"/>
      <c r="H292" s="61"/>
      <c r="I292" s="81"/>
      <c r="J292" s="81"/>
      <c r="K292" s="60"/>
      <c r="L292" s="60"/>
      <c r="M292" s="60"/>
      <c r="N292" s="60"/>
      <c r="O292" s="60"/>
      <c r="P292" s="60"/>
      <c r="Q292" s="60"/>
      <c r="R292" s="58"/>
      <c r="S292" s="62" t="str">
        <f aca="false">IF(OR(B292="",V292=""),"",IFERROR(INDEX(C_TIPO,MATCH(V292&amp;"-P"&amp;MAX(1,COUNTIFS(C_RUTN,V292,C_DEF,"Sí",C_INI,"&lt;="&amp;EOMONTH(B292,0))),C_CLAVE,0))&amp;"","Sin contrato"))</f>
        <v/>
      </c>
      <c r="T292" s="63" t="str">
        <f aca="false">IF(OR(B292="",N(O292)=0),"",N(O292)+ROUND(MIN(N(N292),TOPE_UF*UF_MES)*(TASA_EMP+MUTUAL),0)+ROUND(MIN(N(N292),TOPE_AFC_UF*UF_MES)*IF(S292="Indefinido",AFC_INDEF,AFC_PF),0))</f>
        <v/>
      </c>
      <c r="U292" s="62" t="str">
        <f aca="false">IF(C292="","",IF(LEFT(D292,1)="⚠","⚠ RUT no registrado en Trabajadores",IF(B292="","⚠ Falta el mes",IF(OR(ISTEXT(I292),ISTEXT(J292)),"⚠ Atrasos u horas extra como texto: escriba hh:mm (ej. 1:30)",IF(AND(ISNUMBER(Q292),COUNTIFS(M_RUTN,V292,M_MES,B292,M_LIQ,"&lt;&gt;")&gt;1),"⚠ Liquidación repetida en el mes",IF(AND(ISNUMBER(O292),ISNUMBER(P292),ISNUMBER(Q292),ABS(O292-P292-Q292)&gt;1),"⚠ Haberes − descuentos no da el líquido","OK"))))))</f>
        <v/>
      </c>
      <c r="V292" s="62" t="str">
        <f aca="false">IF(C292="","",IFERROR(VALUE(LEFT(UPPER(SUBSTITUTE(SUBSTITUTE(SUBSTITUTE(TRIM(C292),".",""),"-","")," ","")),LEN(UPPER(SUBSTITUTE(SUBSTITUTE(SUBSTITUTE(TRIM(C292),".",""),"-","")," ","")))-1))&amp;RIGHT(UPPER(SUBSTITUTE(SUBSTITUTE(SUBSTITUTE(TRIM(C292),".",""),"-","")," ","")),1),UPPER(SUBSTITUTE(SUBSTITUTE(SUBSTITUTE(TRIM(C292),".",""),"-","")," ",""))))</f>
        <v/>
      </c>
    </row>
    <row r="293" customFormat="false" ht="15" hidden="false" customHeight="false" outlineLevel="0" collapsed="false">
      <c r="B293" s="80"/>
      <c r="C293" s="58"/>
      <c r="D293" s="62" t="str">
        <f aca="false">IF(C293="","",IFERROR(INDEX(T_NOMBRE,MATCH(V293,T_RUTN,0)),"⚠ RUT no está en Trabajadores"))</f>
        <v/>
      </c>
      <c r="E293" s="61"/>
      <c r="F293" s="61"/>
      <c r="G293" s="61"/>
      <c r="H293" s="61"/>
      <c r="I293" s="81"/>
      <c r="J293" s="81"/>
      <c r="K293" s="60"/>
      <c r="L293" s="60"/>
      <c r="M293" s="60"/>
      <c r="N293" s="60"/>
      <c r="O293" s="60"/>
      <c r="P293" s="60"/>
      <c r="Q293" s="60"/>
      <c r="R293" s="58"/>
      <c r="S293" s="62" t="str">
        <f aca="false">IF(OR(B293="",V293=""),"",IFERROR(INDEX(C_TIPO,MATCH(V293&amp;"-P"&amp;MAX(1,COUNTIFS(C_RUTN,V293,C_DEF,"Sí",C_INI,"&lt;="&amp;EOMONTH(B293,0))),C_CLAVE,0))&amp;"","Sin contrato"))</f>
        <v/>
      </c>
      <c r="T293" s="63" t="str">
        <f aca="false">IF(OR(B293="",N(O293)=0),"",N(O293)+ROUND(MIN(N(N293),TOPE_UF*UF_MES)*(TASA_EMP+MUTUAL),0)+ROUND(MIN(N(N293),TOPE_AFC_UF*UF_MES)*IF(S293="Indefinido",AFC_INDEF,AFC_PF),0))</f>
        <v/>
      </c>
      <c r="U293" s="62" t="str">
        <f aca="false">IF(C293="","",IF(LEFT(D293,1)="⚠","⚠ RUT no registrado en Trabajadores",IF(B293="","⚠ Falta el mes",IF(OR(ISTEXT(I293),ISTEXT(J293)),"⚠ Atrasos u horas extra como texto: escriba hh:mm (ej. 1:30)",IF(AND(ISNUMBER(Q293),COUNTIFS(M_RUTN,V293,M_MES,B293,M_LIQ,"&lt;&gt;")&gt;1),"⚠ Liquidación repetida en el mes",IF(AND(ISNUMBER(O293),ISNUMBER(P293),ISNUMBER(Q293),ABS(O293-P293-Q293)&gt;1),"⚠ Haberes − descuentos no da el líquido","OK"))))))</f>
        <v/>
      </c>
      <c r="V293" s="62" t="str">
        <f aca="false">IF(C293="","",IFERROR(VALUE(LEFT(UPPER(SUBSTITUTE(SUBSTITUTE(SUBSTITUTE(TRIM(C293),".",""),"-","")," ","")),LEN(UPPER(SUBSTITUTE(SUBSTITUTE(SUBSTITUTE(TRIM(C293),".",""),"-","")," ","")))-1))&amp;RIGHT(UPPER(SUBSTITUTE(SUBSTITUTE(SUBSTITUTE(TRIM(C293),".",""),"-","")," ","")),1),UPPER(SUBSTITUTE(SUBSTITUTE(SUBSTITUTE(TRIM(C293),".",""),"-","")," ",""))))</f>
        <v/>
      </c>
    </row>
    <row r="294" customFormat="false" ht="15" hidden="false" customHeight="false" outlineLevel="0" collapsed="false">
      <c r="B294" s="80"/>
      <c r="C294" s="58"/>
      <c r="D294" s="62" t="str">
        <f aca="false">IF(C294="","",IFERROR(INDEX(T_NOMBRE,MATCH(V294,T_RUTN,0)),"⚠ RUT no está en Trabajadores"))</f>
        <v/>
      </c>
      <c r="E294" s="61"/>
      <c r="F294" s="61"/>
      <c r="G294" s="61"/>
      <c r="H294" s="61"/>
      <c r="I294" s="81"/>
      <c r="J294" s="81"/>
      <c r="K294" s="60"/>
      <c r="L294" s="60"/>
      <c r="M294" s="60"/>
      <c r="N294" s="60"/>
      <c r="O294" s="60"/>
      <c r="P294" s="60"/>
      <c r="Q294" s="60"/>
      <c r="R294" s="58"/>
      <c r="S294" s="62" t="str">
        <f aca="false">IF(OR(B294="",V294=""),"",IFERROR(INDEX(C_TIPO,MATCH(V294&amp;"-P"&amp;MAX(1,COUNTIFS(C_RUTN,V294,C_DEF,"Sí",C_INI,"&lt;="&amp;EOMONTH(B294,0))),C_CLAVE,0))&amp;"","Sin contrato"))</f>
        <v/>
      </c>
      <c r="T294" s="63" t="str">
        <f aca="false">IF(OR(B294="",N(O294)=0),"",N(O294)+ROUND(MIN(N(N294),TOPE_UF*UF_MES)*(TASA_EMP+MUTUAL),0)+ROUND(MIN(N(N294),TOPE_AFC_UF*UF_MES)*IF(S294="Indefinido",AFC_INDEF,AFC_PF),0))</f>
        <v/>
      </c>
      <c r="U294" s="62" t="str">
        <f aca="false">IF(C294="","",IF(LEFT(D294,1)="⚠","⚠ RUT no registrado en Trabajadores",IF(B294="","⚠ Falta el mes",IF(OR(ISTEXT(I294),ISTEXT(J294)),"⚠ Atrasos u horas extra como texto: escriba hh:mm (ej. 1:30)",IF(AND(ISNUMBER(Q294),COUNTIFS(M_RUTN,V294,M_MES,B294,M_LIQ,"&lt;&gt;")&gt;1),"⚠ Liquidación repetida en el mes",IF(AND(ISNUMBER(O294),ISNUMBER(P294),ISNUMBER(Q294),ABS(O294-P294-Q294)&gt;1),"⚠ Haberes − descuentos no da el líquido","OK"))))))</f>
        <v/>
      </c>
      <c r="V294" s="62" t="str">
        <f aca="false">IF(C294="","",IFERROR(VALUE(LEFT(UPPER(SUBSTITUTE(SUBSTITUTE(SUBSTITUTE(TRIM(C294),".",""),"-","")," ","")),LEN(UPPER(SUBSTITUTE(SUBSTITUTE(SUBSTITUTE(TRIM(C294),".",""),"-","")," ","")))-1))&amp;RIGHT(UPPER(SUBSTITUTE(SUBSTITUTE(SUBSTITUTE(TRIM(C294),".",""),"-","")," ","")),1),UPPER(SUBSTITUTE(SUBSTITUTE(SUBSTITUTE(TRIM(C294),".",""),"-","")," ",""))))</f>
        <v/>
      </c>
    </row>
    <row r="295" customFormat="false" ht="15" hidden="false" customHeight="false" outlineLevel="0" collapsed="false">
      <c r="B295" s="80"/>
      <c r="C295" s="58"/>
      <c r="D295" s="62" t="str">
        <f aca="false">IF(C295="","",IFERROR(INDEX(T_NOMBRE,MATCH(V295,T_RUTN,0)),"⚠ RUT no está en Trabajadores"))</f>
        <v/>
      </c>
      <c r="E295" s="61"/>
      <c r="F295" s="61"/>
      <c r="G295" s="61"/>
      <c r="H295" s="61"/>
      <c r="I295" s="81"/>
      <c r="J295" s="81"/>
      <c r="K295" s="60"/>
      <c r="L295" s="60"/>
      <c r="M295" s="60"/>
      <c r="N295" s="60"/>
      <c r="O295" s="60"/>
      <c r="P295" s="60"/>
      <c r="Q295" s="60"/>
      <c r="R295" s="58"/>
      <c r="S295" s="62" t="str">
        <f aca="false">IF(OR(B295="",V295=""),"",IFERROR(INDEX(C_TIPO,MATCH(V295&amp;"-P"&amp;MAX(1,COUNTIFS(C_RUTN,V295,C_DEF,"Sí",C_INI,"&lt;="&amp;EOMONTH(B295,0))),C_CLAVE,0))&amp;"","Sin contrato"))</f>
        <v/>
      </c>
      <c r="T295" s="63" t="str">
        <f aca="false">IF(OR(B295="",N(O295)=0),"",N(O295)+ROUND(MIN(N(N295),TOPE_UF*UF_MES)*(TASA_EMP+MUTUAL),0)+ROUND(MIN(N(N295),TOPE_AFC_UF*UF_MES)*IF(S295="Indefinido",AFC_INDEF,AFC_PF),0))</f>
        <v/>
      </c>
      <c r="U295" s="62" t="str">
        <f aca="false">IF(C295="","",IF(LEFT(D295,1)="⚠","⚠ RUT no registrado en Trabajadores",IF(B295="","⚠ Falta el mes",IF(OR(ISTEXT(I295),ISTEXT(J295)),"⚠ Atrasos u horas extra como texto: escriba hh:mm (ej. 1:30)",IF(AND(ISNUMBER(Q295),COUNTIFS(M_RUTN,V295,M_MES,B295,M_LIQ,"&lt;&gt;")&gt;1),"⚠ Liquidación repetida en el mes",IF(AND(ISNUMBER(O295),ISNUMBER(P295),ISNUMBER(Q295),ABS(O295-P295-Q295)&gt;1),"⚠ Haberes − descuentos no da el líquido","OK"))))))</f>
        <v/>
      </c>
      <c r="V295" s="62" t="str">
        <f aca="false">IF(C295="","",IFERROR(VALUE(LEFT(UPPER(SUBSTITUTE(SUBSTITUTE(SUBSTITUTE(TRIM(C295),".",""),"-","")," ","")),LEN(UPPER(SUBSTITUTE(SUBSTITUTE(SUBSTITUTE(TRIM(C295),".",""),"-","")," ","")))-1))&amp;RIGHT(UPPER(SUBSTITUTE(SUBSTITUTE(SUBSTITUTE(TRIM(C295),".",""),"-","")," ","")),1),UPPER(SUBSTITUTE(SUBSTITUTE(SUBSTITUTE(TRIM(C295),".",""),"-","")," ",""))))</f>
        <v/>
      </c>
    </row>
    <row r="296" customFormat="false" ht="15" hidden="false" customHeight="false" outlineLevel="0" collapsed="false">
      <c r="B296" s="80"/>
      <c r="C296" s="58"/>
      <c r="D296" s="62" t="str">
        <f aca="false">IF(C296="","",IFERROR(INDEX(T_NOMBRE,MATCH(V296,T_RUTN,0)),"⚠ RUT no está en Trabajadores"))</f>
        <v/>
      </c>
      <c r="E296" s="61"/>
      <c r="F296" s="61"/>
      <c r="G296" s="61"/>
      <c r="H296" s="61"/>
      <c r="I296" s="81"/>
      <c r="J296" s="81"/>
      <c r="K296" s="60"/>
      <c r="L296" s="60"/>
      <c r="M296" s="60"/>
      <c r="N296" s="60"/>
      <c r="O296" s="60"/>
      <c r="P296" s="60"/>
      <c r="Q296" s="60"/>
      <c r="R296" s="58"/>
      <c r="S296" s="62" t="str">
        <f aca="false">IF(OR(B296="",V296=""),"",IFERROR(INDEX(C_TIPO,MATCH(V296&amp;"-P"&amp;MAX(1,COUNTIFS(C_RUTN,V296,C_DEF,"Sí",C_INI,"&lt;="&amp;EOMONTH(B296,0))),C_CLAVE,0))&amp;"","Sin contrato"))</f>
        <v/>
      </c>
      <c r="T296" s="63" t="str">
        <f aca="false">IF(OR(B296="",N(O296)=0),"",N(O296)+ROUND(MIN(N(N296),TOPE_UF*UF_MES)*(TASA_EMP+MUTUAL),0)+ROUND(MIN(N(N296),TOPE_AFC_UF*UF_MES)*IF(S296="Indefinido",AFC_INDEF,AFC_PF),0))</f>
        <v/>
      </c>
      <c r="U296" s="62" t="str">
        <f aca="false">IF(C296="","",IF(LEFT(D296,1)="⚠","⚠ RUT no registrado en Trabajadores",IF(B296="","⚠ Falta el mes",IF(OR(ISTEXT(I296),ISTEXT(J296)),"⚠ Atrasos u horas extra como texto: escriba hh:mm (ej. 1:30)",IF(AND(ISNUMBER(Q296),COUNTIFS(M_RUTN,V296,M_MES,B296,M_LIQ,"&lt;&gt;")&gt;1),"⚠ Liquidación repetida en el mes",IF(AND(ISNUMBER(O296),ISNUMBER(P296),ISNUMBER(Q296),ABS(O296-P296-Q296)&gt;1),"⚠ Haberes − descuentos no da el líquido","OK"))))))</f>
        <v/>
      </c>
      <c r="V296" s="62" t="str">
        <f aca="false">IF(C296="","",IFERROR(VALUE(LEFT(UPPER(SUBSTITUTE(SUBSTITUTE(SUBSTITUTE(TRIM(C296),".",""),"-","")," ","")),LEN(UPPER(SUBSTITUTE(SUBSTITUTE(SUBSTITUTE(TRIM(C296),".",""),"-","")," ","")))-1))&amp;RIGHT(UPPER(SUBSTITUTE(SUBSTITUTE(SUBSTITUTE(TRIM(C296),".",""),"-","")," ","")),1),UPPER(SUBSTITUTE(SUBSTITUTE(SUBSTITUTE(TRIM(C296),".",""),"-","")," ",""))))</f>
        <v/>
      </c>
    </row>
    <row r="297" customFormat="false" ht="15" hidden="false" customHeight="false" outlineLevel="0" collapsed="false">
      <c r="B297" s="80"/>
      <c r="C297" s="58"/>
      <c r="D297" s="62" t="str">
        <f aca="false">IF(C297="","",IFERROR(INDEX(T_NOMBRE,MATCH(V297,T_RUTN,0)),"⚠ RUT no está en Trabajadores"))</f>
        <v/>
      </c>
      <c r="E297" s="61"/>
      <c r="F297" s="61"/>
      <c r="G297" s="61"/>
      <c r="H297" s="61"/>
      <c r="I297" s="81"/>
      <c r="J297" s="81"/>
      <c r="K297" s="60"/>
      <c r="L297" s="60"/>
      <c r="M297" s="60"/>
      <c r="N297" s="60"/>
      <c r="O297" s="60"/>
      <c r="P297" s="60"/>
      <c r="Q297" s="60"/>
      <c r="R297" s="58"/>
      <c r="S297" s="62" t="str">
        <f aca="false">IF(OR(B297="",V297=""),"",IFERROR(INDEX(C_TIPO,MATCH(V297&amp;"-P"&amp;MAX(1,COUNTIFS(C_RUTN,V297,C_DEF,"Sí",C_INI,"&lt;="&amp;EOMONTH(B297,0))),C_CLAVE,0))&amp;"","Sin contrato"))</f>
        <v/>
      </c>
      <c r="T297" s="63" t="str">
        <f aca="false">IF(OR(B297="",N(O297)=0),"",N(O297)+ROUND(MIN(N(N297),TOPE_UF*UF_MES)*(TASA_EMP+MUTUAL),0)+ROUND(MIN(N(N297),TOPE_AFC_UF*UF_MES)*IF(S297="Indefinido",AFC_INDEF,AFC_PF),0))</f>
        <v/>
      </c>
      <c r="U297" s="62" t="str">
        <f aca="false">IF(C297="","",IF(LEFT(D297,1)="⚠","⚠ RUT no registrado en Trabajadores",IF(B297="","⚠ Falta el mes",IF(OR(ISTEXT(I297),ISTEXT(J297)),"⚠ Atrasos u horas extra como texto: escriba hh:mm (ej. 1:30)",IF(AND(ISNUMBER(Q297),COUNTIFS(M_RUTN,V297,M_MES,B297,M_LIQ,"&lt;&gt;")&gt;1),"⚠ Liquidación repetida en el mes",IF(AND(ISNUMBER(O297),ISNUMBER(P297),ISNUMBER(Q297),ABS(O297-P297-Q297)&gt;1),"⚠ Haberes − descuentos no da el líquido","OK"))))))</f>
        <v/>
      </c>
      <c r="V297" s="62" t="str">
        <f aca="false">IF(C297="","",IFERROR(VALUE(LEFT(UPPER(SUBSTITUTE(SUBSTITUTE(SUBSTITUTE(TRIM(C297),".",""),"-","")," ","")),LEN(UPPER(SUBSTITUTE(SUBSTITUTE(SUBSTITUTE(TRIM(C297),".",""),"-","")," ","")))-1))&amp;RIGHT(UPPER(SUBSTITUTE(SUBSTITUTE(SUBSTITUTE(TRIM(C297),".",""),"-","")," ","")),1),UPPER(SUBSTITUTE(SUBSTITUTE(SUBSTITUTE(TRIM(C297),".",""),"-","")," ",""))))</f>
        <v/>
      </c>
    </row>
    <row r="298" customFormat="false" ht="15" hidden="false" customHeight="false" outlineLevel="0" collapsed="false">
      <c r="B298" s="80"/>
      <c r="C298" s="58"/>
      <c r="D298" s="62" t="str">
        <f aca="false">IF(C298="","",IFERROR(INDEX(T_NOMBRE,MATCH(V298,T_RUTN,0)),"⚠ RUT no está en Trabajadores"))</f>
        <v/>
      </c>
      <c r="E298" s="61"/>
      <c r="F298" s="61"/>
      <c r="G298" s="61"/>
      <c r="H298" s="61"/>
      <c r="I298" s="81"/>
      <c r="J298" s="81"/>
      <c r="K298" s="60"/>
      <c r="L298" s="60"/>
      <c r="M298" s="60"/>
      <c r="N298" s="60"/>
      <c r="O298" s="60"/>
      <c r="P298" s="60"/>
      <c r="Q298" s="60"/>
      <c r="R298" s="58"/>
      <c r="S298" s="62" t="str">
        <f aca="false">IF(OR(B298="",V298=""),"",IFERROR(INDEX(C_TIPO,MATCH(V298&amp;"-P"&amp;MAX(1,COUNTIFS(C_RUTN,V298,C_DEF,"Sí",C_INI,"&lt;="&amp;EOMONTH(B298,0))),C_CLAVE,0))&amp;"","Sin contrato"))</f>
        <v/>
      </c>
      <c r="T298" s="63" t="str">
        <f aca="false">IF(OR(B298="",N(O298)=0),"",N(O298)+ROUND(MIN(N(N298),TOPE_UF*UF_MES)*(TASA_EMP+MUTUAL),0)+ROUND(MIN(N(N298),TOPE_AFC_UF*UF_MES)*IF(S298="Indefinido",AFC_INDEF,AFC_PF),0))</f>
        <v/>
      </c>
      <c r="U298" s="62" t="str">
        <f aca="false">IF(C298="","",IF(LEFT(D298,1)="⚠","⚠ RUT no registrado en Trabajadores",IF(B298="","⚠ Falta el mes",IF(OR(ISTEXT(I298),ISTEXT(J298)),"⚠ Atrasos u horas extra como texto: escriba hh:mm (ej. 1:30)",IF(AND(ISNUMBER(Q298),COUNTIFS(M_RUTN,V298,M_MES,B298,M_LIQ,"&lt;&gt;")&gt;1),"⚠ Liquidación repetida en el mes",IF(AND(ISNUMBER(O298),ISNUMBER(P298),ISNUMBER(Q298),ABS(O298-P298-Q298)&gt;1),"⚠ Haberes − descuentos no da el líquido","OK"))))))</f>
        <v/>
      </c>
      <c r="V298" s="62" t="str">
        <f aca="false">IF(C298="","",IFERROR(VALUE(LEFT(UPPER(SUBSTITUTE(SUBSTITUTE(SUBSTITUTE(TRIM(C298),".",""),"-","")," ","")),LEN(UPPER(SUBSTITUTE(SUBSTITUTE(SUBSTITUTE(TRIM(C298),".",""),"-","")," ","")))-1))&amp;RIGHT(UPPER(SUBSTITUTE(SUBSTITUTE(SUBSTITUTE(TRIM(C298),".",""),"-","")," ","")),1),UPPER(SUBSTITUTE(SUBSTITUTE(SUBSTITUTE(TRIM(C298),".",""),"-","")," ",""))))</f>
        <v/>
      </c>
    </row>
    <row r="299" customFormat="false" ht="15" hidden="false" customHeight="false" outlineLevel="0" collapsed="false">
      <c r="B299" s="80"/>
      <c r="C299" s="58"/>
      <c r="D299" s="62" t="str">
        <f aca="false">IF(C299="","",IFERROR(INDEX(T_NOMBRE,MATCH(V299,T_RUTN,0)),"⚠ RUT no está en Trabajadores"))</f>
        <v/>
      </c>
      <c r="E299" s="61"/>
      <c r="F299" s="61"/>
      <c r="G299" s="61"/>
      <c r="H299" s="61"/>
      <c r="I299" s="81"/>
      <c r="J299" s="81"/>
      <c r="K299" s="60"/>
      <c r="L299" s="60"/>
      <c r="M299" s="60"/>
      <c r="N299" s="60"/>
      <c r="O299" s="60"/>
      <c r="P299" s="60"/>
      <c r="Q299" s="60"/>
      <c r="R299" s="58"/>
      <c r="S299" s="62" t="str">
        <f aca="false">IF(OR(B299="",V299=""),"",IFERROR(INDEX(C_TIPO,MATCH(V299&amp;"-P"&amp;MAX(1,COUNTIFS(C_RUTN,V299,C_DEF,"Sí",C_INI,"&lt;="&amp;EOMONTH(B299,0))),C_CLAVE,0))&amp;"","Sin contrato"))</f>
        <v/>
      </c>
      <c r="T299" s="63" t="str">
        <f aca="false">IF(OR(B299="",N(O299)=0),"",N(O299)+ROUND(MIN(N(N299),TOPE_UF*UF_MES)*(TASA_EMP+MUTUAL),0)+ROUND(MIN(N(N299),TOPE_AFC_UF*UF_MES)*IF(S299="Indefinido",AFC_INDEF,AFC_PF),0))</f>
        <v/>
      </c>
      <c r="U299" s="62" t="str">
        <f aca="false">IF(C299="","",IF(LEFT(D299,1)="⚠","⚠ RUT no registrado en Trabajadores",IF(B299="","⚠ Falta el mes",IF(OR(ISTEXT(I299),ISTEXT(J299)),"⚠ Atrasos u horas extra como texto: escriba hh:mm (ej. 1:30)",IF(AND(ISNUMBER(Q299),COUNTIFS(M_RUTN,V299,M_MES,B299,M_LIQ,"&lt;&gt;")&gt;1),"⚠ Liquidación repetida en el mes",IF(AND(ISNUMBER(O299),ISNUMBER(P299),ISNUMBER(Q299),ABS(O299-P299-Q299)&gt;1),"⚠ Haberes − descuentos no da el líquido","OK"))))))</f>
        <v/>
      </c>
      <c r="V299" s="62" t="str">
        <f aca="false">IF(C299="","",IFERROR(VALUE(LEFT(UPPER(SUBSTITUTE(SUBSTITUTE(SUBSTITUTE(TRIM(C299),".",""),"-","")," ","")),LEN(UPPER(SUBSTITUTE(SUBSTITUTE(SUBSTITUTE(TRIM(C299),".",""),"-","")," ","")))-1))&amp;RIGHT(UPPER(SUBSTITUTE(SUBSTITUTE(SUBSTITUTE(TRIM(C299),".",""),"-","")," ","")),1),UPPER(SUBSTITUTE(SUBSTITUTE(SUBSTITUTE(TRIM(C299),".",""),"-","")," ",""))))</f>
        <v/>
      </c>
    </row>
    <row r="300" customFormat="false" ht="15" hidden="false" customHeight="false" outlineLevel="0" collapsed="false">
      <c r="B300" s="80"/>
      <c r="C300" s="58"/>
      <c r="D300" s="62" t="str">
        <f aca="false">IF(C300="","",IFERROR(INDEX(T_NOMBRE,MATCH(V300,T_RUTN,0)),"⚠ RUT no está en Trabajadores"))</f>
        <v/>
      </c>
      <c r="E300" s="61"/>
      <c r="F300" s="61"/>
      <c r="G300" s="61"/>
      <c r="H300" s="61"/>
      <c r="I300" s="81"/>
      <c r="J300" s="81"/>
      <c r="K300" s="60"/>
      <c r="L300" s="60"/>
      <c r="M300" s="60"/>
      <c r="N300" s="60"/>
      <c r="O300" s="60"/>
      <c r="P300" s="60"/>
      <c r="Q300" s="60"/>
      <c r="R300" s="58"/>
      <c r="S300" s="62" t="str">
        <f aca="false">IF(OR(B300="",V300=""),"",IFERROR(INDEX(C_TIPO,MATCH(V300&amp;"-P"&amp;MAX(1,COUNTIFS(C_RUTN,V300,C_DEF,"Sí",C_INI,"&lt;="&amp;EOMONTH(B300,0))),C_CLAVE,0))&amp;"","Sin contrato"))</f>
        <v/>
      </c>
      <c r="T300" s="63" t="str">
        <f aca="false">IF(OR(B300="",N(O300)=0),"",N(O300)+ROUND(MIN(N(N300),TOPE_UF*UF_MES)*(TASA_EMP+MUTUAL),0)+ROUND(MIN(N(N300),TOPE_AFC_UF*UF_MES)*IF(S300="Indefinido",AFC_INDEF,AFC_PF),0))</f>
        <v/>
      </c>
      <c r="U300" s="62" t="str">
        <f aca="false">IF(C300="","",IF(LEFT(D300,1)="⚠","⚠ RUT no registrado en Trabajadores",IF(B300="","⚠ Falta el mes",IF(OR(ISTEXT(I300),ISTEXT(J300)),"⚠ Atrasos u horas extra como texto: escriba hh:mm (ej. 1:30)",IF(AND(ISNUMBER(Q300),COUNTIFS(M_RUTN,V300,M_MES,B300,M_LIQ,"&lt;&gt;")&gt;1),"⚠ Liquidación repetida en el mes",IF(AND(ISNUMBER(O300),ISNUMBER(P300),ISNUMBER(Q300),ABS(O300-P300-Q300)&gt;1),"⚠ Haberes − descuentos no da el líquido","OK"))))))</f>
        <v/>
      </c>
      <c r="V300" s="62" t="str">
        <f aca="false">IF(C300="","",IFERROR(VALUE(LEFT(UPPER(SUBSTITUTE(SUBSTITUTE(SUBSTITUTE(TRIM(C300),".",""),"-","")," ","")),LEN(UPPER(SUBSTITUTE(SUBSTITUTE(SUBSTITUTE(TRIM(C300),".",""),"-","")," ","")))-1))&amp;RIGHT(UPPER(SUBSTITUTE(SUBSTITUTE(SUBSTITUTE(TRIM(C300),".",""),"-","")," ","")),1),UPPER(SUBSTITUTE(SUBSTITUTE(SUBSTITUTE(TRIM(C300),".",""),"-","")," ",""))))</f>
        <v/>
      </c>
    </row>
    <row r="301" customFormat="false" ht="15" hidden="false" customHeight="false" outlineLevel="0" collapsed="false">
      <c r="B301" s="80"/>
      <c r="C301" s="58"/>
      <c r="D301" s="62" t="str">
        <f aca="false">IF(C301="","",IFERROR(INDEX(T_NOMBRE,MATCH(V301,T_RUTN,0)),"⚠ RUT no está en Trabajadores"))</f>
        <v/>
      </c>
      <c r="E301" s="61"/>
      <c r="F301" s="61"/>
      <c r="G301" s="61"/>
      <c r="H301" s="61"/>
      <c r="I301" s="81"/>
      <c r="J301" s="81"/>
      <c r="K301" s="60"/>
      <c r="L301" s="60"/>
      <c r="M301" s="60"/>
      <c r="N301" s="60"/>
      <c r="O301" s="60"/>
      <c r="P301" s="60"/>
      <c r="Q301" s="60"/>
      <c r="R301" s="58"/>
      <c r="S301" s="62" t="str">
        <f aca="false">IF(OR(B301="",V301=""),"",IFERROR(INDEX(C_TIPO,MATCH(V301&amp;"-P"&amp;MAX(1,COUNTIFS(C_RUTN,V301,C_DEF,"Sí",C_INI,"&lt;="&amp;EOMONTH(B301,0))),C_CLAVE,0))&amp;"","Sin contrato"))</f>
        <v/>
      </c>
      <c r="T301" s="63" t="str">
        <f aca="false">IF(OR(B301="",N(O301)=0),"",N(O301)+ROUND(MIN(N(N301),TOPE_UF*UF_MES)*(TASA_EMP+MUTUAL),0)+ROUND(MIN(N(N301),TOPE_AFC_UF*UF_MES)*IF(S301="Indefinido",AFC_INDEF,AFC_PF),0))</f>
        <v/>
      </c>
      <c r="U301" s="62" t="str">
        <f aca="false">IF(C301="","",IF(LEFT(D301,1)="⚠","⚠ RUT no registrado en Trabajadores",IF(B301="","⚠ Falta el mes",IF(OR(ISTEXT(I301),ISTEXT(J301)),"⚠ Atrasos u horas extra como texto: escriba hh:mm (ej. 1:30)",IF(AND(ISNUMBER(Q301),COUNTIFS(M_RUTN,V301,M_MES,B301,M_LIQ,"&lt;&gt;")&gt;1),"⚠ Liquidación repetida en el mes",IF(AND(ISNUMBER(O301),ISNUMBER(P301),ISNUMBER(Q301),ABS(O301-P301-Q301)&gt;1),"⚠ Haberes − descuentos no da el líquido","OK"))))))</f>
        <v/>
      </c>
      <c r="V301" s="62" t="str">
        <f aca="false">IF(C301="","",IFERROR(VALUE(LEFT(UPPER(SUBSTITUTE(SUBSTITUTE(SUBSTITUTE(TRIM(C301),".",""),"-","")," ","")),LEN(UPPER(SUBSTITUTE(SUBSTITUTE(SUBSTITUTE(TRIM(C301),".",""),"-","")," ","")))-1))&amp;RIGHT(UPPER(SUBSTITUTE(SUBSTITUTE(SUBSTITUTE(TRIM(C301),".",""),"-","")," ","")),1),UPPER(SUBSTITUTE(SUBSTITUTE(SUBSTITUTE(TRIM(C301),".",""),"-","")," ",""))))</f>
        <v/>
      </c>
    </row>
    <row r="302" customFormat="false" ht="15" hidden="false" customHeight="false" outlineLevel="0" collapsed="false">
      <c r="B302" s="80"/>
      <c r="C302" s="58"/>
      <c r="D302" s="62" t="str">
        <f aca="false">IF(C302="","",IFERROR(INDEX(T_NOMBRE,MATCH(V302,T_RUTN,0)),"⚠ RUT no está en Trabajadores"))</f>
        <v/>
      </c>
      <c r="E302" s="61"/>
      <c r="F302" s="61"/>
      <c r="G302" s="61"/>
      <c r="H302" s="61"/>
      <c r="I302" s="81"/>
      <c r="J302" s="81"/>
      <c r="K302" s="60"/>
      <c r="L302" s="60"/>
      <c r="M302" s="60"/>
      <c r="N302" s="60"/>
      <c r="O302" s="60"/>
      <c r="P302" s="60"/>
      <c r="Q302" s="60"/>
      <c r="R302" s="58"/>
      <c r="S302" s="62" t="str">
        <f aca="false">IF(OR(B302="",V302=""),"",IFERROR(INDEX(C_TIPO,MATCH(V302&amp;"-P"&amp;MAX(1,COUNTIFS(C_RUTN,V302,C_DEF,"Sí",C_INI,"&lt;="&amp;EOMONTH(B302,0))),C_CLAVE,0))&amp;"","Sin contrato"))</f>
        <v/>
      </c>
      <c r="T302" s="63" t="str">
        <f aca="false">IF(OR(B302="",N(O302)=0),"",N(O302)+ROUND(MIN(N(N302),TOPE_UF*UF_MES)*(TASA_EMP+MUTUAL),0)+ROUND(MIN(N(N302),TOPE_AFC_UF*UF_MES)*IF(S302="Indefinido",AFC_INDEF,AFC_PF),0))</f>
        <v/>
      </c>
      <c r="U302" s="62" t="str">
        <f aca="false">IF(C302="","",IF(LEFT(D302,1)="⚠","⚠ RUT no registrado en Trabajadores",IF(B302="","⚠ Falta el mes",IF(OR(ISTEXT(I302),ISTEXT(J302)),"⚠ Atrasos u horas extra como texto: escriba hh:mm (ej. 1:30)",IF(AND(ISNUMBER(Q302),COUNTIFS(M_RUTN,V302,M_MES,B302,M_LIQ,"&lt;&gt;")&gt;1),"⚠ Liquidación repetida en el mes",IF(AND(ISNUMBER(O302),ISNUMBER(P302),ISNUMBER(Q302),ABS(O302-P302-Q302)&gt;1),"⚠ Haberes − descuentos no da el líquido","OK"))))))</f>
        <v/>
      </c>
      <c r="V302" s="62" t="str">
        <f aca="false">IF(C302="","",IFERROR(VALUE(LEFT(UPPER(SUBSTITUTE(SUBSTITUTE(SUBSTITUTE(TRIM(C302),".",""),"-","")," ","")),LEN(UPPER(SUBSTITUTE(SUBSTITUTE(SUBSTITUTE(TRIM(C302),".",""),"-","")," ","")))-1))&amp;RIGHT(UPPER(SUBSTITUTE(SUBSTITUTE(SUBSTITUTE(TRIM(C302),".",""),"-","")," ","")),1),UPPER(SUBSTITUTE(SUBSTITUTE(SUBSTITUTE(TRIM(C302),".",""),"-","")," ",""))))</f>
        <v/>
      </c>
    </row>
    <row r="303" customFormat="false" ht="15" hidden="false" customHeight="false" outlineLevel="0" collapsed="false">
      <c r="B303" s="80"/>
      <c r="C303" s="58"/>
      <c r="D303" s="62" t="str">
        <f aca="false">IF(C303="","",IFERROR(INDEX(T_NOMBRE,MATCH(V303,T_RUTN,0)),"⚠ RUT no está en Trabajadores"))</f>
        <v/>
      </c>
      <c r="E303" s="61"/>
      <c r="F303" s="61"/>
      <c r="G303" s="61"/>
      <c r="H303" s="61"/>
      <c r="I303" s="81"/>
      <c r="J303" s="81"/>
      <c r="K303" s="60"/>
      <c r="L303" s="60"/>
      <c r="M303" s="60"/>
      <c r="N303" s="60"/>
      <c r="O303" s="60"/>
      <c r="P303" s="60"/>
      <c r="Q303" s="60"/>
      <c r="R303" s="58"/>
      <c r="S303" s="62" t="str">
        <f aca="false">IF(OR(B303="",V303=""),"",IFERROR(INDEX(C_TIPO,MATCH(V303&amp;"-P"&amp;MAX(1,COUNTIFS(C_RUTN,V303,C_DEF,"Sí",C_INI,"&lt;="&amp;EOMONTH(B303,0))),C_CLAVE,0))&amp;"","Sin contrato"))</f>
        <v/>
      </c>
      <c r="T303" s="63" t="str">
        <f aca="false">IF(OR(B303="",N(O303)=0),"",N(O303)+ROUND(MIN(N(N303),TOPE_UF*UF_MES)*(TASA_EMP+MUTUAL),0)+ROUND(MIN(N(N303),TOPE_AFC_UF*UF_MES)*IF(S303="Indefinido",AFC_INDEF,AFC_PF),0))</f>
        <v/>
      </c>
      <c r="U303" s="62" t="str">
        <f aca="false">IF(C303="","",IF(LEFT(D303,1)="⚠","⚠ RUT no registrado en Trabajadores",IF(B303="","⚠ Falta el mes",IF(OR(ISTEXT(I303),ISTEXT(J303)),"⚠ Atrasos u horas extra como texto: escriba hh:mm (ej. 1:30)",IF(AND(ISNUMBER(Q303),COUNTIFS(M_RUTN,V303,M_MES,B303,M_LIQ,"&lt;&gt;")&gt;1),"⚠ Liquidación repetida en el mes",IF(AND(ISNUMBER(O303),ISNUMBER(P303),ISNUMBER(Q303),ABS(O303-P303-Q303)&gt;1),"⚠ Haberes − descuentos no da el líquido","OK"))))))</f>
        <v/>
      </c>
      <c r="V303" s="62" t="str">
        <f aca="false">IF(C303="","",IFERROR(VALUE(LEFT(UPPER(SUBSTITUTE(SUBSTITUTE(SUBSTITUTE(TRIM(C303),".",""),"-","")," ","")),LEN(UPPER(SUBSTITUTE(SUBSTITUTE(SUBSTITUTE(TRIM(C303),".",""),"-","")," ","")))-1))&amp;RIGHT(UPPER(SUBSTITUTE(SUBSTITUTE(SUBSTITUTE(TRIM(C303),".",""),"-","")," ","")),1),UPPER(SUBSTITUTE(SUBSTITUTE(SUBSTITUTE(TRIM(C303),".",""),"-","")," ",""))))</f>
        <v/>
      </c>
    </row>
    <row r="304" customFormat="false" ht="15" hidden="false" customHeight="false" outlineLevel="0" collapsed="false">
      <c r="B304" s="80"/>
      <c r="C304" s="58"/>
      <c r="D304" s="62" t="str">
        <f aca="false">IF(C304="","",IFERROR(INDEX(T_NOMBRE,MATCH(V304,T_RUTN,0)),"⚠ RUT no está en Trabajadores"))</f>
        <v/>
      </c>
      <c r="E304" s="61"/>
      <c r="F304" s="61"/>
      <c r="G304" s="61"/>
      <c r="H304" s="61"/>
      <c r="I304" s="81"/>
      <c r="J304" s="81"/>
      <c r="K304" s="60"/>
      <c r="L304" s="60"/>
      <c r="M304" s="60"/>
      <c r="N304" s="60"/>
      <c r="O304" s="60"/>
      <c r="P304" s="60"/>
      <c r="Q304" s="60"/>
      <c r="R304" s="58"/>
      <c r="S304" s="62" t="str">
        <f aca="false">IF(OR(B304="",V304=""),"",IFERROR(INDEX(C_TIPO,MATCH(V304&amp;"-P"&amp;MAX(1,COUNTIFS(C_RUTN,V304,C_DEF,"Sí",C_INI,"&lt;="&amp;EOMONTH(B304,0))),C_CLAVE,0))&amp;"","Sin contrato"))</f>
        <v/>
      </c>
      <c r="T304" s="63" t="str">
        <f aca="false">IF(OR(B304="",N(O304)=0),"",N(O304)+ROUND(MIN(N(N304),TOPE_UF*UF_MES)*(TASA_EMP+MUTUAL),0)+ROUND(MIN(N(N304),TOPE_AFC_UF*UF_MES)*IF(S304="Indefinido",AFC_INDEF,AFC_PF),0))</f>
        <v/>
      </c>
      <c r="U304" s="62" t="str">
        <f aca="false">IF(C304="","",IF(LEFT(D304,1)="⚠","⚠ RUT no registrado en Trabajadores",IF(B304="","⚠ Falta el mes",IF(OR(ISTEXT(I304),ISTEXT(J304)),"⚠ Atrasos u horas extra como texto: escriba hh:mm (ej. 1:30)",IF(AND(ISNUMBER(Q304),COUNTIFS(M_RUTN,V304,M_MES,B304,M_LIQ,"&lt;&gt;")&gt;1),"⚠ Liquidación repetida en el mes",IF(AND(ISNUMBER(O304),ISNUMBER(P304),ISNUMBER(Q304),ABS(O304-P304-Q304)&gt;1),"⚠ Haberes − descuentos no da el líquido","OK"))))))</f>
        <v/>
      </c>
      <c r="V304" s="62" t="str">
        <f aca="false">IF(C304="","",IFERROR(VALUE(LEFT(UPPER(SUBSTITUTE(SUBSTITUTE(SUBSTITUTE(TRIM(C304),".",""),"-","")," ","")),LEN(UPPER(SUBSTITUTE(SUBSTITUTE(SUBSTITUTE(TRIM(C304),".",""),"-","")," ","")))-1))&amp;RIGHT(UPPER(SUBSTITUTE(SUBSTITUTE(SUBSTITUTE(TRIM(C304),".",""),"-","")," ","")),1),UPPER(SUBSTITUTE(SUBSTITUTE(SUBSTITUTE(TRIM(C304),".",""),"-","")," ",""))))</f>
        <v/>
      </c>
    </row>
    <row r="305" customFormat="false" ht="15" hidden="false" customHeight="false" outlineLevel="0" collapsed="false">
      <c r="B305" s="80"/>
      <c r="C305" s="58"/>
      <c r="D305" s="62" t="str">
        <f aca="false">IF(C305="","",IFERROR(INDEX(T_NOMBRE,MATCH(V305,T_RUTN,0)),"⚠ RUT no está en Trabajadores"))</f>
        <v/>
      </c>
      <c r="E305" s="61"/>
      <c r="F305" s="61"/>
      <c r="G305" s="61"/>
      <c r="H305" s="61"/>
      <c r="I305" s="81"/>
      <c r="J305" s="81"/>
      <c r="K305" s="60"/>
      <c r="L305" s="60"/>
      <c r="M305" s="60"/>
      <c r="N305" s="60"/>
      <c r="O305" s="60"/>
      <c r="P305" s="60"/>
      <c r="Q305" s="60"/>
      <c r="R305" s="58"/>
      <c r="S305" s="62" t="str">
        <f aca="false">IF(OR(B305="",V305=""),"",IFERROR(INDEX(C_TIPO,MATCH(V305&amp;"-P"&amp;MAX(1,COUNTIFS(C_RUTN,V305,C_DEF,"Sí",C_INI,"&lt;="&amp;EOMONTH(B305,0))),C_CLAVE,0))&amp;"","Sin contrato"))</f>
        <v/>
      </c>
      <c r="T305" s="63" t="str">
        <f aca="false">IF(OR(B305="",N(O305)=0),"",N(O305)+ROUND(MIN(N(N305),TOPE_UF*UF_MES)*(TASA_EMP+MUTUAL),0)+ROUND(MIN(N(N305),TOPE_AFC_UF*UF_MES)*IF(S305="Indefinido",AFC_INDEF,AFC_PF),0))</f>
        <v/>
      </c>
      <c r="U305" s="62" t="str">
        <f aca="false">IF(C305="","",IF(LEFT(D305,1)="⚠","⚠ RUT no registrado en Trabajadores",IF(B305="","⚠ Falta el mes",IF(OR(ISTEXT(I305),ISTEXT(J305)),"⚠ Atrasos u horas extra como texto: escriba hh:mm (ej. 1:30)",IF(AND(ISNUMBER(Q305),COUNTIFS(M_RUTN,V305,M_MES,B305,M_LIQ,"&lt;&gt;")&gt;1),"⚠ Liquidación repetida en el mes",IF(AND(ISNUMBER(O305),ISNUMBER(P305),ISNUMBER(Q305),ABS(O305-P305-Q305)&gt;1),"⚠ Haberes − descuentos no da el líquido","OK"))))))</f>
        <v/>
      </c>
      <c r="V305" s="62" t="str">
        <f aca="false">IF(C305="","",IFERROR(VALUE(LEFT(UPPER(SUBSTITUTE(SUBSTITUTE(SUBSTITUTE(TRIM(C305),".",""),"-","")," ","")),LEN(UPPER(SUBSTITUTE(SUBSTITUTE(SUBSTITUTE(TRIM(C305),".",""),"-","")," ","")))-1))&amp;RIGHT(UPPER(SUBSTITUTE(SUBSTITUTE(SUBSTITUTE(TRIM(C305),".",""),"-","")," ","")),1),UPPER(SUBSTITUTE(SUBSTITUTE(SUBSTITUTE(TRIM(C305),".",""),"-","")," ",""))))</f>
        <v/>
      </c>
    </row>
    <row r="306" customFormat="false" ht="15" hidden="false" customHeight="false" outlineLevel="0" collapsed="false">
      <c r="B306" s="80"/>
      <c r="C306" s="58"/>
      <c r="D306" s="62" t="str">
        <f aca="false">IF(C306="","",IFERROR(INDEX(T_NOMBRE,MATCH(V306,T_RUTN,0)),"⚠ RUT no está en Trabajadores"))</f>
        <v/>
      </c>
      <c r="E306" s="61"/>
      <c r="F306" s="61"/>
      <c r="G306" s="61"/>
      <c r="H306" s="61"/>
      <c r="I306" s="81"/>
      <c r="J306" s="81"/>
      <c r="K306" s="60"/>
      <c r="L306" s="60"/>
      <c r="M306" s="60"/>
      <c r="N306" s="60"/>
      <c r="O306" s="60"/>
      <c r="P306" s="60"/>
      <c r="Q306" s="60"/>
      <c r="R306" s="58"/>
      <c r="S306" s="62" t="str">
        <f aca="false">IF(OR(B306="",V306=""),"",IFERROR(INDEX(C_TIPO,MATCH(V306&amp;"-P"&amp;MAX(1,COUNTIFS(C_RUTN,V306,C_DEF,"Sí",C_INI,"&lt;="&amp;EOMONTH(B306,0))),C_CLAVE,0))&amp;"","Sin contrato"))</f>
        <v/>
      </c>
      <c r="T306" s="63" t="str">
        <f aca="false">IF(OR(B306="",N(O306)=0),"",N(O306)+ROUND(MIN(N(N306),TOPE_UF*UF_MES)*(TASA_EMP+MUTUAL),0)+ROUND(MIN(N(N306),TOPE_AFC_UF*UF_MES)*IF(S306="Indefinido",AFC_INDEF,AFC_PF),0))</f>
        <v/>
      </c>
      <c r="U306" s="62" t="str">
        <f aca="false">IF(C306="","",IF(LEFT(D306,1)="⚠","⚠ RUT no registrado en Trabajadores",IF(B306="","⚠ Falta el mes",IF(OR(ISTEXT(I306),ISTEXT(J306)),"⚠ Atrasos u horas extra como texto: escriba hh:mm (ej. 1:30)",IF(AND(ISNUMBER(Q306),COUNTIFS(M_RUTN,V306,M_MES,B306,M_LIQ,"&lt;&gt;")&gt;1),"⚠ Liquidación repetida en el mes",IF(AND(ISNUMBER(O306),ISNUMBER(P306),ISNUMBER(Q306),ABS(O306-P306-Q306)&gt;1),"⚠ Haberes − descuentos no da el líquido","OK"))))))</f>
        <v/>
      </c>
      <c r="V306" s="62" t="str">
        <f aca="false">IF(C306="","",IFERROR(VALUE(LEFT(UPPER(SUBSTITUTE(SUBSTITUTE(SUBSTITUTE(TRIM(C306),".",""),"-","")," ","")),LEN(UPPER(SUBSTITUTE(SUBSTITUTE(SUBSTITUTE(TRIM(C306),".",""),"-","")," ","")))-1))&amp;RIGHT(UPPER(SUBSTITUTE(SUBSTITUTE(SUBSTITUTE(TRIM(C306),".",""),"-","")," ","")),1),UPPER(SUBSTITUTE(SUBSTITUTE(SUBSTITUTE(TRIM(C306),".",""),"-","")," ",""))))</f>
        <v/>
      </c>
    </row>
    <row r="307" customFormat="false" ht="15" hidden="false" customHeight="false" outlineLevel="0" collapsed="false">
      <c r="B307" s="80"/>
      <c r="C307" s="58"/>
      <c r="D307" s="62" t="str">
        <f aca="false">IF(C307="","",IFERROR(INDEX(T_NOMBRE,MATCH(V307,T_RUTN,0)),"⚠ RUT no está en Trabajadores"))</f>
        <v/>
      </c>
      <c r="E307" s="61"/>
      <c r="F307" s="61"/>
      <c r="G307" s="61"/>
      <c r="H307" s="61"/>
      <c r="I307" s="81"/>
      <c r="J307" s="81"/>
      <c r="K307" s="60"/>
      <c r="L307" s="60"/>
      <c r="M307" s="60"/>
      <c r="N307" s="60"/>
      <c r="O307" s="60"/>
      <c r="P307" s="60"/>
      <c r="Q307" s="60"/>
      <c r="R307" s="58"/>
      <c r="S307" s="62" t="str">
        <f aca="false">IF(OR(B307="",V307=""),"",IFERROR(INDEX(C_TIPO,MATCH(V307&amp;"-P"&amp;MAX(1,COUNTIFS(C_RUTN,V307,C_DEF,"Sí",C_INI,"&lt;="&amp;EOMONTH(B307,0))),C_CLAVE,0))&amp;"","Sin contrato"))</f>
        <v/>
      </c>
      <c r="T307" s="63" t="str">
        <f aca="false">IF(OR(B307="",N(O307)=0),"",N(O307)+ROUND(MIN(N(N307),TOPE_UF*UF_MES)*(TASA_EMP+MUTUAL),0)+ROUND(MIN(N(N307),TOPE_AFC_UF*UF_MES)*IF(S307="Indefinido",AFC_INDEF,AFC_PF),0))</f>
        <v/>
      </c>
      <c r="U307" s="62" t="str">
        <f aca="false">IF(C307="","",IF(LEFT(D307,1)="⚠","⚠ RUT no registrado en Trabajadores",IF(B307="","⚠ Falta el mes",IF(OR(ISTEXT(I307),ISTEXT(J307)),"⚠ Atrasos u horas extra como texto: escriba hh:mm (ej. 1:30)",IF(AND(ISNUMBER(Q307),COUNTIFS(M_RUTN,V307,M_MES,B307,M_LIQ,"&lt;&gt;")&gt;1),"⚠ Liquidación repetida en el mes",IF(AND(ISNUMBER(O307),ISNUMBER(P307),ISNUMBER(Q307),ABS(O307-P307-Q307)&gt;1),"⚠ Haberes − descuentos no da el líquido","OK"))))))</f>
        <v/>
      </c>
      <c r="V307" s="62" t="str">
        <f aca="false">IF(C307="","",IFERROR(VALUE(LEFT(UPPER(SUBSTITUTE(SUBSTITUTE(SUBSTITUTE(TRIM(C307),".",""),"-","")," ","")),LEN(UPPER(SUBSTITUTE(SUBSTITUTE(SUBSTITUTE(TRIM(C307),".",""),"-","")," ","")))-1))&amp;RIGHT(UPPER(SUBSTITUTE(SUBSTITUTE(SUBSTITUTE(TRIM(C307),".",""),"-","")," ","")),1),UPPER(SUBSTITUTE(SUBSTITUTE(SUBSTITUTE(TRIM(C307),".",""),"-","")," ",""))))</f>
        <v/>
      </c>
    </row>
    <row r="308" customFormat="false" ht="15" hidden="false" customHeight="false" outlineLevel="0" collapsed="false">
      <c r="B308" s="80"/>
      <c r="C308" s="58"/>
      <c r="D308" s="62" t="str">
        <f aca="false">IF(C308="","",IFERROR(INDEX(T_NOMBRE,MATCH(V308,T_RUTN,0)),"⚠ RUT no está en Trabajadores"))</f>
        <v/>
      </c>
      <c r="E308" s="61"/>
      <c r="F308" s="61"/>
      <c r="G308" s="61"/>
      <c r="H308" s="61"/>
      <c r="I308" s="81"/>
      <c r="J308" s="81"/>
      <c r="K308" s="60"/>
      <c r="L308" s="60"/>
      <c r="M308" s="60"/>
      <c r="N308" s="60"/>
      <c r="O308" s="60"/>
      <c r="P308" s="60"/>
      <c r="Q308" s="60"/>
      <c r="R308" s="58"/>
      <c r="S308" s="62" t="str">
        <f aca="false">IF(OR(B308="",V308=""),"",IFERROR(INDEX(C_TIPO,MATCH(V308&amp;"-P"&amp;MAX(1,COUNTIFS(C_RUTN,V308,C_DEF,"Sí",C_INI,"&lt;="&amp;EOMONTH(B308,0))),C_CLAVE,0))&amp;"","Sin contrato"))</f>
        <v/>
      </c>
      <c r="T308" s="63" t="str">
        <f aca="false">IF(OR(B308="",N(O308)=0),"",N(O308)+ROUND(MIN(N(N308),TOPE_UF*UF_MES)*(TASA_EMP+MUTUAL),0)+ROUND(MIN(N(N308),TOPE_AFC_UF*UF_MES)*IF(S308="Indefinido",AFC_INDEF,AFC_PF),0))</f>
        <v/>
      </c>
      <c r="U308" s="62" t="str">
        <f aca="false">IF(C308="","",IF(LEFT(D308,1)="⚠","⚠ RUT no registrado en Trabajadores",IF(B308="","⚠ Falta el mes",IF(OR(ISTEXT(I308),ISTEXT(J308)),"⚠ Atrasos u horas extra como texto: escriba hh:mm (ej. 1:30)",IF(AND(ISNUMBER(Q308),COUNTIFS(M_RUTN,V308,M_MES,B308,M_LIQ,"&lt;&gt;")&gt;1),"⚠ Liquidación repetida en el mes",IF(AND(ISNUMBER(O308),ISNUMBER(P308),ISNUMBER(Q308),ABS(O308-P308-Q308)&gt;1),"⚠ Haberes − descuentos no da el líquido","OK"))))))</f>
        <v/>
      </c>
      <c r="V308" s="62" t="str">
        <f aca="false">IF(C308="","",IFERROR(VALUE(LEFT(UPPER(SUBSTITUTE(SUBSTITUTE(SUBSTITUTE(TRIM(C308),".",""),"-","")," ","")),LEN(UPPER(SUBSTITUTE(SUBSTITUTE(SUBSTITUTE(TRIM(C308),".",""),"-","")," ","")))-1))&amp;RIGHT(UPPER(SUBSTITUTE(SUBSTITUTE(SUBSTITUTE(TRIM(C308),".",""),"-","")," ","")),1),UPPER(SUBSTITUTE(SUBSTITUTE(SUBSTITUTE(TRIM(C308),".",""),"-","")," ",""))))</f>
        <v/>
      </c>
    </row>
    <row r="309" customFormat="false" ht="15" hidden="false" customHeight="false" outlineLevel="0" collapsed="false">
      <c r="B309" s="80"/>
      <c r="C309" s="58"/>
      <c r="D309" s="62" t="str">
        <f aca="false">IF(C309="","",IFERROR(INDEX(T_NOMBRE,MATCH(V309,T_RUTN,0)),"⚠ RUT no está en Trabajadores"))</f>
        <v/>
      </c>
      <c r="E309" s="61"/>
      <c r="F309" s="61"/>
      <c r="G309" s="61"/>
      <c r="H309" s="61"/>
      <c r="I309" s="81"/>
      <c r="J309" s="81"/>
      <c r="K309" s="60"/>
      <c r="L309" s="60"/>
      <c r="M309" s="60"/>
      <c r="N309" s="60"/>
      <c r="O309" s="60"/>
      <c r="P309" s="60"/>
      <c r="Q309" s="60"/>
      <c r="R309" s="58"/>
      <c r="S309" s="62" t="str">
        <f aca="false">IF(OR(B309="",V309=""),"",IFERROR(INDEX(C_TIPO,MATCH(V309&amp;"-P"&amp;MAX(1,COUNTIFS(C_RUTN,V309,C_DEF,"Sí",C_INI,"&lt;="&amp;EOMONTH(B309,0))),C_CLAVE,0))&amp;"","Sin contrato"))</f>
        <v/>
      </c>
      <c r="T309" s="63" t="str">
        <f aca="false">IF(OR(B309="",N(O309)=0),"",N(O309)+ROUND(MIN(N(N309),TOPE_UF*UF_MES)*(TASA_EMP+MUTUAL),0)+ROUND(MIN(N(N309),TOPE_AFC_UF*UF_MES)*IF(S309="Indefinido",AFC_INDEF,AFC_PF),0))</f>
        <v/>
      </c>
      <c r="U309" s="62" t="str">
        <f aca="false">IF(C309="","",IF(LEFT(D309,1)="⚠","⚠ RUT no registrado en Trabajadores",IF(B309="","⚠ Falta el mes",IF(OR(ISTEXT(I309),ISTEXT(J309)),"⚠ Atrasos u horas extra como texto: escriba hh:mm (ej. 1:30)",IF(AND(ISNUMBER(Q309),COUNTIFS(M_RUTN,V309,M_MES,B309,M_LIQ,"&lt;&gt;")&gt;1),"⚠ Liquidación repetida en el mes",IF(AND(ISNUMBER(O309),ISNUMBER(P309),ISNUMBER(Q309),ABS(O309-P309-Q309)&gt;1),"⚠ Haberes − descuentos no da el líquido","OK"))))))</f>
        <v/>
      </c>
      <c r="V309" s="62" t="str">
        <f aca="false">IF(C309="","",IFERROR(VALUE(LEFT(UPPER(SUBSTITUTE(SUBSTITUTE(SUBSTITUTE(TRIM(C309),".",""),"-","")," ","")),LEN(UPPER(SUBSTITUTE(SUBSTITUTE(SUBSTITUTE(TRIM(C309),".",""),"-","")," ","")))-1))&amp;RIGHT(UPPER(SUBSTITUTE(SUBSTITUTE(SUBSTITUTE(TRIM(C309),".",""),"-","")," ","")),1),UPPER(SUBSTITUTE(SUBSTITUTE(SUBSTITUTE(TRIM(C309),".",""),"-","")," ",""))))</f>
        <v/>
      </c>
    </row>
    <row r="310" customFormat="false" ht="15" hidden="false" customHeight="false" outlineLevel="0" collapsed="false">
      <c r="B310" s="80"/>
      <c r="C310" s="58"/>
      <c r="D310" s="62" t="str">
        <f aca="false">IF(C310="","",IFERROR(INDEX(T_NOMBRE,MATCH(V310,T_RUTN,0)),"⚠ RUT no está en Trabajadores"))</f>
        <v/>
      </c>
      <c r="E310" s="61"/>
      <c r="F310" s="61"/>
      <c r="G310" s="61"/>
      <c r="H310" s="61"/>
      <c r="I310" s="81"/>
      <c r="J310" s="81"/>
      <c r="K310" s="60"/>
      <c r="L310" s="60"/>
      <c r="M310" s="60"/>
      <c r="N310" s="60"/>
      <c r="O310" s="60"/>
      <c r="P310" s="60"/>
      <c r="Q310" s="60"/>
      <c r="R310" s="58"/>
      <c r="S310" s="62" t="str">
        <f aca="false">IF(OR(B310="",V310=""),"",IFERROR(INDEX(C_TIPO,MATCH(V310&amp;"-P"&amp;MAX(1,COUNTIFS(C_RUTN,V310,C_DEF,"Sí",C_INI,"&lt;="&amp;EOMONTH(B310,0))),C_CLAVE,0))&amp;"","Sin contrato"))</f>
        <v/>
      </c>
      <c r="T310" s="63" t="str">
        <f aca="false">IF(OR(B310="",N(O310)=0),"",N(O310)+ROUND(MIN(N(N310),TOPE_UF*UF_MES)*(TASA_EMP+MUTUAL),0)+ROUND(MIN(N(N310),TOPE_AFC_UF*UF_MES)*IF(S310="Indefinido",AFC_INDEF,AFC_PF),0))</f>
        <v/>
      </c>
      <c r="U310" s="62" t="str">
        <f aca="false">IF(C310="","",IF(LEFT(D310,1)="⚠","⚠ RUT no registrado en Trabajadores",IF(B310="","⚠ Falta el mes",IF(OR(ISTEXT(I310),ISTEXT(J310)),"⚠ Atrasos u horas extra como texto: escriba hh:mm (ej. 1:30)",IF(AND(ISNUMBER(Q310),COUNTIFS(M_RUTN,V310,M_MES,B310,M_LIQ,"&lt;&gt;")&gt;1),"⚠ Liquidación repetida en el mes",IF(AND(ISNUMBER(O310),ISNUMBER(P310),ISNUMBER(Q310),ABS(O310-P310-Q310)&gt;1),"⚠ Haberes − descuentos no da el líquido","OK"))))))</f>
        <v/>
      </c>
      <c r="V310" s="62" t="str">
        <f aca="false">IF(C310="","",IFERROR(VALUE(LEFT(UPPER(SUBSTITUTE(SUBSTITUTE(SUBSTITUTE(TRIM(C310),".",""),"-","")," ","")),LEN(UPPER(SUBSTITUTE(SUBSTITUTE(SUBSTITUTE(TRIM(C310),".",""),"-","")," ","")))-1))&amp;RIGHT(UPPER(SUBSTITUTE(SUBSTITUTE(SUBSTITUTE(TRIM(C310),".",""),"-","")," ","")),1),UPPER(SUBSTITUTE(SUBSTITUTE(SUBSTITUTE(TRIM(C310),".",""),"-","")," ",""))))</f>
        <v/>
      </c>
    </row>
    <row r="311" customFormat="false" ht="15" hidden="false" customHeight="false" outlineLevel="0" collapsed="false">
      <c r="B311" s="80"/>
      <c r="C311" s="58"/>
      <c r="D311" s="62" t="str">
        <f aca="false">IF(C311="","",IFERROR(INDEX(T_NOMBRE,MATCH(V311,T_RUTN,0)),"⚠ RUT no está en Trabajadores"))</f>
        <v/>
      </c>
      <c r="E311" s="61"/>
      <c r="F311" s="61"/>
      <c r="G311" s="61"/>
      <c r="H311" s="61"/>
      <c r="I311" s="81"/>
      <c r="J311" s="81"/>
      <c r="K311" s="60"/>
      <c r="L311" s="60"/>
      <c r="M311" s="60"/>
      <c r="N311" s="60"/>
      <c r="O311" s="60"/>
      <c r="P311" s="60"/>
      <c r="Q311" s="60"/>
      <c r="R311" s="58"/>
      <c r="S311" s="62" t="str">
        <f aca="false">IF(OR(B311="",V311=""),"",IFERROR(INDEX(C_TIPO,MATCH(V311&amp;"-P"&amp;MAX(1,COUNTIFS(C_RUTN,V311,C_DEF,"Sí",C_INI,"&lt;="&amp;EOMONTH(B311,0))),C_CLAVE,0))&amp;"","Sin contrato"))</f>
        <v/>
      </c>
      <c r="T311" s="63" t="str">
        <f aca="false">IF(OR(B311="",N(O311)=0),"",N(O311)+ROUND(MIN(N(N311),TOPE_UF*UF_MES)*(TASA_EMP+MUTUAL),0)+ROUND(MIN(N(N311),TOPE_AFC_UF*UF_MES)*IF(S311="Indefinido",AFC_INDEF,AFC_PF),0))</f>
        <v/>
      </c>
      <c r="U311" s="62" t="str">
        <f aca="false">IF(C311="","",IF(LEFT(D311,1)="⚠","⚠ RUT no registrado en Trabajadores",IF(B311="","⚠ Falta el mes",IF(OR(ISTEXT(I311),ISTEXT(J311)),"⚠ Atrasos u horas extra como texto: escriba hh:mm (ej. 1:30)",IF(AND(ISNUMBER(Q311),COUNTIFS(M_RUTN,V311,M_MES,B311,M_LIQ,"&lt;&gt;")&gt;1),"⚠ Liquidación repetida en el mes",IF(AND(ISNUMBER(O311),ISNUMBER(P311),ISNUMBER(Q311),ABS(O311-P311-Q311)&gt;1),"⚠ Haberes − descuentos no da el líquido","OK"))))))</f>
        <v/>
      </c>
      <c r="V311" s="62" t="str">
        <f aca="false">IF(C311="","",IFERROR(VALUE(LEFT(UPPER(SUBSTITUTE(SUBSTITUTE(SUBSTITUTE(TRIM(C311),".",""),"-","")," ","")),LEN(UPPER(SUBSTITUTE(SUBSTITUTE(SUBSTITUTE(TRIM(C311),".",""),"-","")," ","")))-1))&amp;RIGHT(UPPER(SUBSTITUTE(SUBSTITUTE(SUBSTITUTE(TRIM(C311),".",""),"-","")," ","")),1),UPPER(SUBSTITUTE(SUBSTITUTE(SUBSTITUTE(TRIM(C311),".",""),"-","")," ",""))))</f>
        <v/>
      </c>
    </row>
    <row r="312" customFormat="false" ht="15" hidden="false" customHeight="false" outlineLevel="0" collapsed="false">
      <c r="B312" s="80"/>
      <c r="C312" s="58"/>
      <c r="D312" s="62" t="str">
        <f aca="false">IF(C312="","",IFERROR(INDEX(T_NOMBRE,MATCH(V312,T_RUTN,0)),"⚠ RUT no está en Trabajadores"))</f>
        <v/>
      </c>
      <c r="E312" s="61"/>
      <c r="F312" s="61"/>
      <c r="G312" s="61"/>
      <c r="H312" s="61"/>
      <c r="I312" s="81"/>
      <c r="J312" s="81"/>
      <c r="K312" s="60"/>
      <c r="L312" s="60"/>
      <c r="M312" s="60"/>
      <c r="N312" s="60"/>
      <c r="O312" s="60"/>
      <c r="P312" s="60"/>
      <c r="Q312" s="60"/>
      <c r="R312" s="58"/>
      <c r="S312" s="62" t="str">
        <f aca="false">IF(OR(B312="",V312=""),"",IFERROR(INDEX(C_TIPO,MATCH(V312&amp;"-P"&amp;MAX(1,COUNTIFS(C_RUTN,V312,C_DEF,"Sí",C_INI,"&lt;="&amp;EOMONTH(B312,0))),C_CLAVE,0))&amp;"","Sin contrato"))</f>
        <v/>
      </c>
      <c r="T312" s="63" t="str">
        <f aca="false">IF(OR(B312="",N(O312)=0),"",N(O312)+ROUND(MIN(N(N312),TOPE_UF*UF_MES)*(TASA_EMP+MUTUAL),0)+ROUND(MIN(N(N312),TOPE_AFC_UF*UF_MES)*IF(S312="Indefinido",AFC_INDEF,AFC_PF),0))</f>
        <v/>
      </c>
      <c r="U312" s="62" t="str">
        <f aca="false">IF(C312="","",IF(LEFT(D312,1)="⚠","⚠ RUT no registrado en Trabajadores",IF(B312="","⚠ Falta el mes",IF(OR(ISTEXT(I312),ISTEXT(J312)),"⚠ Atrasos u horas extra como texto: escriba hh:mm (ej. 1:30)",IF(AND(ISNUMBER(Q312),COUNTIFS(M_RUTN,V312,M_MES,B312,M_LIQ,"&lt;&gt;")&gt;1),"⚠ Liquidación repetida en el mes",IF(AND(ISNUMBER(O312),ISNUMBER(P312),ISNUMBER(Q312),ABS(O312-P312-Q312)&gt;1),"⚠ Haberes − descuentos no da el líquido","OK"))))))</f>
        <v/>
      </c>
      <c r="V312" s="62" t="str">
        <f aca="false">IF(C312="","",IFERROR(VALUE(LEFT(UPPER(SUBSTITUTE(SUBSTITUTE(SUBSTITUTE(TRIM(C312),".",""),"-","")," ","")),LEN(UPPER(SUBSTITUTE(SUBSTITUTE(SUBSTITUTE(TRIM(C312),".",""),"-","")," ","")))-1))&amp;RIGHT(UPPER(SUBSTITUTE(SUBSTITUTE(SUBSTITUTE(TRIM(C312),".",""),"-","")," ","")),1),UPPER(SUBSTITUTE(SUBSTITUTE(SUBSTITUTE(TRIM(C312),".",""),"-","")," ",""))))</f>
        <v/>
      </c>
    </row>
    <row r="313" customFormat="false" ht="15" hidden="false" customHeight="false" outlineLevel="0" collapsed="false">
      <c r="B313" s="80"/>
      <c r="C313" s="58"/>
      <c r="D313" s="62" t="str">
        <f aca="false">IF(C313="","",IFERROR(INDEX(T_NOMBRE,MATCH(V313,T_RUTN,0)),"⚠ RUT no está en Trabajadores"))</f>
        <v/>
      </c>
      <c r="E313" s="61"/>
      <c r="F313" s="61"/>
      <c r="G313" s="61"/>
      <c r="H313" s="61"/>
      <c r="I313" s="81"/>
      <c r="J313" s="81"/>
      <c r="K313" s="60"/>
      <c r="L313" s="60"/>
      <c r="M313" s="60"/>
      <c r="N313" s="60"/>
      <c r="O313" s="60"/>
      <c r="P313" s="60"/>
      <c r="Q313" s="60"/>
      <c r="R313" s="58"/>
      <c r="S313" s="62" t="str">
        <f aca="false">IF(OR(B313="",V313=""),"",IFERROR(INDEX(C_TIPO,MATCH(V313&amp;"-P"&amp;MAX(1,COUNTIFS(C_RUTN,V313,C_DEF,"Sí",C_INI,"&lt;="&amp;EOMONTH(B313,0))),C_CLAVE,0))&amp;"","Sin contrato"))</f>
        <v/>
      </c>
      <c r="T313" s="63" t="str">
        <f aca="false">IF(OR(B313="",N(O313)=0),"",N(O313)+ROUND(MIN(N(N313),TOPE_UF*UF_MES)*(TASA_EMP+MUTUAL),0)+ROUND(MIN(N(N313),TOPE_AFC_UF*UF_MES)*IF(S313="Indefinido",AFC_INDEF,AFC_PF),0))</f>
        <v/>
      </c>
      <c r="U313" s="62" t="str">
        <f aca="false">IF(C313="","",IF(LEFT(D313,1)="⚠","⚠ RUT no registrado en Trabajadores",IF(B313="","⚠ Falta el mes",IF(OR(ISTEXT(I313),ISTEXT(J313)),"⚠ Atrasos u horas extra como texto: escriba hh:mm (ej. 1:30)",IF(AND(ISNUMBER(Q313),COUNTIFS(M_RUTN,V313,M_MES,B313,M_LIQ,"&lt;&gt;")&gt;1),"⚠ Liquidación repetida en el mes",IF(AND(ISNUMBER(O313),ISNUMBER(P313),ISNUMBER(Q313),ABS(O313-P313-Q313)&gt;1),"⚠ Haberes − descuentos no da el líquido","OK"))))))</f>
        <v/>
      </c>
      <c r="V313" s="62" t="str">
        <f aca="false">IF(C313="","",IFERROR(VALUE(LEFT(UPPER(SUBSTITUTE(SUBSTITUTE(SUBSTITUTE(TRIM(C313),".",""),"-","")," ","")),LEN(UPPER(SUBSTITUTE(SUBSTITUTE(SUBSTITUTE(TRIM(C313),".",""),"-","")," ","")))-1))&amp;RIGHT(UPPER(SUBSTITUTE(SUBSTITUTE(SUBSTITUTE(TRIM(C313),".",""),"-","")," ","")),1),UPPER(SUBSTITUTE(SUBSTITUTE(SUBSTITUTE(TRIM(C313),".",""),"-","")," ",""))))</f>
        <v/>
      </c>
    </row>
    <row r="314" customFormat="false" ht="15" hidden="false" customHeight="false" outlineLevel="0" collapsed="false">
      <c r="B314" s="80"/>
      <c r="C314" s="58"/>
      <c r="D314" s="62" t="str">
        <f aca="false">IF(C314="","",IFERROR(INDEX(T_NOMBRE,MATCH(V314,T_RUTN,0)),"⚠ RUT no está en Trabajadores"))</f>
        <v/>
      </c>
      <c r="E314" s="61"/>
      <c r="F314" s="61"/>
      <c r="G314" s="61"/>
      <c r="H314" s="61"/>
      <c r="I314" s="81"/>
      <c r="J314" s="81"/>
      <c r="K314" s="60"/>
      <c r="L314" s="60"/>
      <c r="M314" s="60"/>
      <c r="N314" s="60"/>
      <c r="O314" s="60"/>
      <c r="P314" s="60"/>
      <c r="Q314" s="60"/>
      <c r="R314" s="58"/>
      <c r="S314" s="62" t="str">
        <f aca="false">IF(OR(B314="",V314=""),"",IFERROR(INDEX(C_TIPO,MATCH(V314&amp;"-P"&amp;MAX(1,COUNTIFS(C_RUTN,V314,C_DEF,"Sí",C_INI,"&lt;="&amp;EOMONTH(B314,0))),C_CLAVE,0))&amp;"","Sin contrato"))</f>
        <v/>
      </c>
      <c r="T314" s="63" t="str">
        <f aca="false">IF(OR(B314="",N(O314)=0),"",N(O314)+ROUND(MIN(N(N314),TOPE_UF*UF_MES)*(TASA_EMP+MUTUAL),0)+ROUND(MIN(N(N314),TOPE_AFC_UF*UF_MES)*IF(S314="Indefinido",AFC_INDEF,AFC_PF),0))</f>
        <v/>
      </c>
      <c r="U314" s="62" t="str">
        <f aca="false">IF(C314="","",IF(LEFT(D314,1)="⚠","⚠ RUT no registrado en Trabajadores",IF(B314="","⚠ Falta el mes",IF(OR(ISTEXT(I314),ISTEXT(J314)),"⚠ Atrasos u horas extra como texto: escriba hh:mm (ej. 1:30)",IF(AND(ISNUMBER(Q314),COUNTIFS(M_RUTN,V314,M_MES,B314,M_LIQ,"&lt;&gt;")&gt;1),"⚠ Liquidación repetida en el mes",IF(AND(ISNUMBER(O314),ISNUMBER(P314),ISNUMBER(Q314),ABS(O314-P314-Q314)&gt;1),"⚠ Haberes − descuentos no da el líquido","OK"))))))</f>
        <v/>
      </c>
      <c r="V314" s="62" t="str">
        <f aca="false">IF(C314="","",IFERROR(VALUE(LEFT(UPPER(SUBSTITUTE(SUBSTITUTE(SUBSTITUTE(TRIM(C314),".",""),"-","")," ","")),LEN(UPPER(SUBSTITUTE(SUBSTITUTE(SUBSTITUTE(TRIM(C314),".",""),"-","")," ","")))-1))&amp;RIGHT(UPPER(SUBSTITUTE(SUBSTITUTE(SUBSTITUTE(TRIM(C314),".",""),"-","")," ","")),1),UPPER(SUBSTITUTE(SUBSTITUTE(SUBSTITUTE(TRIM(C314),".",""),"-","")," ",""))))</f>
        <v/>
      </c>
    </row>
    <row r="315" customFormat="false" ht="15" hidden="false" customHeight="false" outlineLevel="0" collapsed="false">
      <c r="B315" s="80"/>
      <c r="C315" s="58"/>
      <c r="D315" s="62" t="str">
        <f aca="false">IF(C315="","",IFERROR(INDEX(T_NOMBRE,MATCH(V315,T_RUTN,0)),"⚠ RUT no está en Trabajadores"))</f>
        <v/>
      </c>
      <c r="E315" s="61"/>
      <c r="F315" s="61"/>
      <c r="G315" s="61"/>
      <c r="H315" s="61"/>
      <c r="I315" s="81"/>
      <c r="J315" s="81"/>
      <c r="K315" s="60"/>
      <c r="L315" s="60"/>
      <c r="M315" s="60"/>
      <c r="N315" s="60"/>
      <c r="O315" s="60"/>
      <c r="P315" s="60"/>
      <c r="Q315" s="60"/>
      <c r="R315" s="58"/>
      <c r="S315" s="62" t="str">
        <f aca="false">IF(OR(B315="",V315=""),"",IFERROR(INDEX(C_TIPO,MATCH(V315&amp;"-P"&amp;MAX(1,COUNTIFS(C_RUTN,V315,C_DEF,"Sí",C_INI,"&lt;="&amp;EOMONTH(B315,0))),C_CLAVE,0))&amp;"","Sin contrato"))</f>
        <v/>
      </c>
      <c r="T315" s="63" t="str">
        <f aca="false">IF(OR(B315="",N(O315)=0),"",N(O315)+ROUND(MIN(N(N315),TOPE_UF*UF_MES)*(TASA_EMP+MUTUAL),0)+ROUND(MIN(N(N315),TOPE_AFC_UF*UF_MES)*IF(S315="Indefinido",AFC_INDEF,AFC_PF),0))</f>
        <v/>
      </c>
      <c r="U315" s="62" t="str">
        <f aca="false">IF(C315="","",IF(LEFT(D315,1)="⚠","⚠ RUT no registrado en Trabajadores",IF(B315="","⚠ Falta el mes",IF(OR(ISTEXT(I315),ISTEXT(J315)),"⚠ Atrasos u horas extra como texto: escriba hh:mm (ej. 1:30)",IF(AND(ISNUMBER(Q315),COUNTIFS(M_RUTN,V315,M_MES,B315,M_LIQ,"&lt;&gt;")&gt;1),"⚠ Liquidación repetida en el mes",IF(AND(ISNUMBER(O315),ISNUMBER(P315),ISNUMBER(Q315),ABS(O315-P315-Q315)&gt;1),"⚠ Haberes − descuentos no da el líquido","OK"))))))</f>
        <v/>
      </c>
      <c r="V315" s="62" t="str">
        <f aca="false">IF(C315="","",IFERROR(VALUE(LEFT(UPPER(SUBSTITUTE(SUBSTITUTE(SUBSTITUTE(TRIM(C315),".",""),"-","")," ","")),LEN(UPPER(SUBSTITUTE(SUBSTITUTE(SUBSTITUTE(TRIM(C315),".",""),"-","")," ","")))-1))&amp;RIGHT(UPPER(SUBSTITUTE(SUBSTITUTE(SUBSTITUTE(TRIM(C315),".",""),"-","")," ","")),1),UPPER(SUBSTITUTE(SUBSTITUTE(SUBSTITUTE(TRIM(C315),".",""),"-","")," ",""))))</f>
        <v/>
      </c>
    </row>
    <row r="316" customFormat="false" ht="15" hidden="false" customHeight="false" outlineLevel="0" collapsed="false">
      <c r="B316" s="80"/>
      <c r="C316" s="58"/>
      <c r="D316" s="62" t="str">
        <f aca="false">IF(C316="","",IFERROR(INDEX(T_NOMBRE,MATCH(V316,T_RUTN,0)),"⚠ RUT no está en Trabajadores"))</f>
        <v/>
      </c>
      <c r="E316" s="61"/>
      <c r="F316" s="61"/>
      <c r="G316" s="61"/>
      <c r="H316" s="61"/>
      <c r="I316" s="81"/>
      <c r="J316" s="81"/>
      <c r="K316" s="60"/>
      <c r="L316" s="60"/>
      <c r="M316" s="60"/>
      <c r="N316" s="60"/>
      <c r="O316" s="60"/>
      <c r="P316" s="60"/>
      <c r="Q316" s="60"/>
      <c r="R316" s="58"/>
      <c r="S316" s="62" t="str">
        <f aca="false">IF(OR(B316="",V316=""),"",IFERROR(INDEX(C_TIPO,MATCH(V316&amp;"-P"&amp;MAX(1,COUNTIFS(C_RUTN,V316,C_DEF,"Sí",C_INI,"&lt;="&amp;EOMONTH(B316,0))),C_CLAVE,0))&amp;"","Sin contrato"))</f>
        <v/>
      </c>
      <c r="T316" s="63" t="str">
        <f aca="false">IF(OR(B316="",N(O316)=0),"",N(O316)+ROUND(MIN(N(N316),TOPE_UF*UF_MES)*(TASA_EMP+MUTUAL),0)+ROUND(MIN(N(N316),TOPE_AFC_UF*UF_MES)*IF(S316="Indefinido",AFC_INDEF,AFC_PF),0))</f>
        <v/>
      </c>
      <c r="U316" s="62" t="str">
        <f aca="false">IF(C316="","",IF(LEFT(D316,1)="⚠","⚠ RUT no registrado en Trabajadores",IF(B316="","⚠ Falta el mes",IF(OR(ISTEXT(I316),ISTEXT(J316)),"⚠ Atrasos u horas extra como texto: escriba hh:mm (ej. 1:30)",IF(AND(ISNUMBER(Q316),COUNTIFS(M_RUTN,V316,M_MES,B316,M_LIQ,"&lt;&gt;")&gt;1),"⚠ Liquidación repetida en el mes",IF(AND(ISNUMBER(O316),ISNUMBER(P316),ISNUMBER(Q316),ABS(O316-P316-Q316)&gt;1),"⚠ Haberes − descuentos no da el líquido","OK"))))))</f>
        <v/>
      </c>
      <c r="V316" s="62" t="str">
        <f aca="false">IF(C316="","",IFERROR(VALUE(LEFT(UPPER(SUBSTITUTE(SUBSTITUTE(SUBSTITUTE(TRIM(C316),".",""),"-","")," ","")),LEN(UPPER(SUBSTITUTE(SUBSTITUTE(SUBSTITUTE(TRIM(C316),".",""),"-","")," ","")))-1))&amp;RIGHT(UPPER(SUBSTITUTE(SUBSTITUTE(SUBSTITUTE(TRIM(C316),".",""),"-","")," ","")),1),UPPER(SUBSTITUTE(SUBSTITUTE(SUBSTITUTE(TRIM(C316),".",""),"-","")," ",""))))</f>
        <v/>
      </c>
    </row>
    <row r="317" customFormat="false" ht="15" hidden="false" customHeight="false" outlineLevel="0" collapsed="false">
      <c r="B317" s="80"/>
      <c r="C317" s="58"/>
      <c r="D317" s="62" t="str">
        <f aca="false">IF(C317="","",IFERROR(INDEX(T_NOMBRE,MATCH(V317,T_RUTN,0)),"⚠ RUT no está en Trabajadores"))</f>
        <v/>
      </c>
      <c r="E317" s="61"/>
      <c r="F317" s="61"/>
      <c r="G317" s="61"/>
      <c r="H317" s="61"/>
      <c r="I317" s="81"/>
      <c r="J317" s="81"/>
      <c r="K317" s="60"/>
      <c r="L317" s="60"/>
      <c r="M317" s="60"/>
      <c r="N317" s="60"/>
      <c r="O317" s="60"/>
      <c r="P317" s="60"/>
      <c r="Q317" s="60"/>
      <c r="R317" s="58"/>
      <c r="S317" s="62" t="str">
        <f aca="false">IF(OR(B317="",V317=""),"",IFERROR(INDEX(C_TIPO,MATCH(V317&amp;"-P"&amp;MAX(1,COUNTIFS(C_RUTN,V317,C_DEF,"Sí",C_INI,"&lt;="&amp;EOMONTH(B317,0))),C_CLAVE,0))&amp;"","Sin contrato"))</f>
        <v/>
      </c>
      <c r="T317" s="63" t="str">
        <f aca="false">IF(OR(B317="",N(O317)=0),"",N(O317)+ROUND(MIN(N(N317),TOPE_UF*UF_MES)*(TASA_EMP+MUTUAL),0)+ROUND(MIN(N(N317),TOPE_AFC_UF*UF_MES)*IF(S317="Indefinido",AFC_INDEF,AFC_PF),0))</f>
        <v/>
      </c>
      <c r="U317" s="62" t="str">
        <f aca="false">IF(C317="","",IF(LEFT(D317,1)="⚠","⚠ RUT no registrado en Trabajadores",IF(B317="","⚠ Falta el mes",IF(OR(ISTEXT(I317),ISTEXT(J317)),"⚠ Atrasos u horas extra como texto: escriba hh:mm (ej. 1:30)",IF(AND(ISNUMBER(Q317),COUNTIFS(M_RUTN,V317,M_MES,B317,M_LIQ,"&lt;&gt;")&gt;1),"⚠ Liquidación repetida en el mes",IF(AND(ISNUMBER(O317),ISNUMBER(P317),ISNUMBER(Q317),ABS(O317-P317-Q317)&gt;1),"⚠ Haberes − descuentos no da el líquido","OK"))))))</f>
        <v/>
      </c>
      <c r="V317" s="62" t="str">
        <f aca="false">IF(C317="","",IFERROR(VALUE(LEFT(UPPER(SUBSTITUTE(SUBSTITUTE(SUBSTITUTE(TRIM(C317),".",""),"-","")," ","")),LEN(UPPER(SUBSTITUTE(SUBSTITUTE(SUBSTITUTE(TRIM(C317),".",""),"-","")," ","")))-1))&amp;RIGHT(UPPER(SUBSTITUTE(SUBSTITUTE(SUBSTITUTE(TRIM(C317),".",""),"-","")," ","")),1),UPPER(SUBSTITUTE(SUBSTITUTE(SUBSTITUTE(TRIM(C317),".",""),"-","")," ",""))))</f>
        <v/>
      </c>
    </row>
    <row r="318" customFormat="false" ht="15" hidden="false" customHeight="false" outlineLevel="0" collapsed="false">
      <c r="B318" s="80"/>
      <c r="C318" s="58"/>
      <c r="D318" s="62" t="str">
        <f aca="false">IF(C318="","",IFERROR(INDEX(T_NOMBRE,MATCH(V318,T_RUTN,0)),"⚠ RUT no está en Trabajadores"))</f>
        <v/>
      </c>
      <c r="E318" s="61"/>
      <c r="F318" s="61"/>
      <c r="G318" s="61"/>
      <c r="H318" s="61"/>
      <c r="I318" s="81"/>
      <c r="J318" s="81"/>
      <c r="K318" s="60"/>
      <c r="L318" s="60"/>
      <c r="M318" s="60"/>
      <c r="N318" s="60"/>
      <c r="O318" s="60"/>
      <c r="P318" s="60"/>
      <c r="Q318" s="60"/>
      <c r="R318" s="58"/>
      <c r="S318" s="62" t="str">
        <f aca="false">IF(OR(B318="",V318=""),"",IFERROR(INDEX(C_TIPO,MATCH(V318&amp;"-P"&amp;MAX(1,COUNTIFS(C_RUTN,V318,C_DEF,"Sí",C_INI,"&lt;="&amp;EOMONTH(B318,0))),C_CLAVE,0))&amp;"","Sin contrato"))</f>
        <v/>
      </c>
      <c r="T318" s="63" t="str">
        <f aca="false">IF(OR(B318="",N(O318)=0),"",N(O318)+ROUND(MIN(N(N318),TOPE_UF*UF_MES)*(TASA_EMP+MUTUAL),0)+ROUND(MIN(N(N318),TOPE_AFC_UF*UF_MES)*IF(S318="Indefinido",AFC_INDEF,AFC_PF),0))</f>
        <v/>
      </c>
      <c r="U318" s="62" t="str">
        <f aca="false">IF(C318="","",IF(LEFT(D318,1)="⚠","⚠ RUT no registrado en Trabajadores",IF(B318="","⚠ Falta el mes",IF(OR(ISTEXT(I318),ISTEXT(J318)),"⚠ Atrasos u horas extra como texto: escriba hh:mm (ej. 1:30)",IF(AND(ISNUMBER(Q318),COUNTIFS(M_RUTN,V318,M_MES,B318,M_LIQ,"&lt;&gt;")&gt;1),"⚠ Liquidación repetida en el mes",IF(AND(ISNUMBER(O318),ISNUMBER(P318),ISNUMBER(Q318),ABS(O318-P318-Q318)&gt;1),"⚠ Haberes − descuentos no da el líquido","OK"))))))</f>
        <v/>
      </c>
      <c r="V318" s="62" t="str">
        <f aca="false">IF(C318="","",IFERROR(VALUE(LEFT(UPPER(SUBSTITUTE(SUBSTITUTE(SUBSTITUTE(TRIM(C318),".",""),"-","")," ","")),LEN(UPPER(SUBSTITUTE(SUBSTITUTE(SUBSTITUTE(TRIM(C318),".",""),"-","")," ","")))-1))&amp;RIGHT(UPPER(SUBSTITUTE(SUBSTITUTE(SUBSTITUTE(TRIM(C318),".",""),"-","")," ","")),1),UPPER(SUBSTITUTE(SUBSTITUTE(SUBSTITUTE(TRIM(C318),".",""),"-","")," ",""))))</f>
        <v/>
      </c>
    </row>
    <row r="319" customFormat="false" ht="15" hidden="false" customHeight="false" outlineLevel="0" collapsed="false">
      <c r="B319" s="80"/>
      <c r="C319" s="58"/>
      <c r="D319" s="62" t="str">
        <f aca="false">IF(C319="","",IFERROR(INDEX(T_NOMBRE,MATCH(V319,T_RUTN,0)),"⚠ RUT no está en Trabajadores"))</f>
        <v/>
      </c>
      <c r="E319" s="61"/>
      <c r="F319" s="61"/>
      <c r="G319" s="61"/>
      <c r="H319" s="61"/>
      <c r="I319" s="81"/>
      <c r="J319" s="81"/>
      <c r="K319" s="60"/>
      <c r="L319" s="60"/>
      <c r="M319" s="60"/>
      <c r="N319" s="60"/>
      <c r="O319" s="60"/>
      <c r="P319" s="60"/>
      <c r="Q319" s="60"/>
      <c r="R319" s="58"/>
      <c r="S319" s="62" t="str">
        <f aca="false">IF(OR(B319="",V319=""),"",IFERROR(INDEX(C_TIPO,MATCH(V319&amp;"-P"&amp;MAX(1,COUNTIFS(C_RUTN,V319,C_DEF,"Sí",C_INI,"&lt;="&amp;EOMONTH(B319,0))),C_CLAVE,0))&amp;"","Sin contrato"))</f>
        <v/>
      </c>
      <c r="T319" s="63" t="str">
        <f aca="false">IF(OR(B319="",N(O319)=0),"",N(O319)+ROUND(MIN(N(N319),TOPE_UF*UF_MES)*(TASA_EMP+MUTUAL),0)+ROUND(MIN(N(N319),TOPE_AFC_UF*UF_MES)*IF(S319="Indefinido",AFC_INDEF,AFC_PF),0))</f>
        <v/>
      </c>
      <c r="U319" s="62" t="str">
        <f aca="false">IF(C319="","",IF(LEFT(D319,1)="⚠","⚠ RUT no registrado en Trabajadores",IF(B319="","⚠ Falta el mes",IF(OR(ISTEXT(I319),ISTEXT(J319)),"⚠ Atrasos u horas extra como texto: escriba hh:mm (ej. 1:30)",IF(AND(ISNUMBER(Q319),COUNTIFS(M_RUTN,V319,M_MES,B319,M_LIQ,"&lt;&gt;")&gt;1),"⚠ Liquidación repetida en el mes",IF(AND(ISNUMBER(O319),ISNUMBER(P319),ISNUMBER(Q319),ABS(O319-P319-Q319)&gt;1),"⚠ Haberes − descuentos no da el líquido","OK"))))))</f>
        <v/>
      </c>
      <c r="V319" s="62" t="str">
        <f aca="false">IF(C319="","",IFERROR(VALUE(LEFT(UPPER(SUBSTITUTE(SUBSTITUTE(SUBSTITUTE(TRIM(C319),".",""),"-","")," ","")),LEN(UPPER(SUBSTITUTE(SUBSTITUTE(SUBSTITUTE(TRIM(C319),".",""),"-","")," ","")))-1))&amp;RIGHT(UPPER(SUBSTITUTE(SUBSTITUTE(SUBSTITUTE(TRIM(C319),".",""),"-","")," ","")),1),UPPER(SUBSTITUTE(SUBSTITUTE(SUBSTITUTE(TRIM(C319),".",""),"-","")," ",""))))</f>
        <v/>
      </c>
    </row>
    <row r="320" customFormat="false" ht="15" hidden="false" customHeight="false" outlineLevel="0" collapsed="false">
      <c r="B320" s="80"/>
      <c r="C320" s="58"/>
      <c r="D320" s="62" t="str">
        <f aca="false">IF(C320="","",IFERROR(INDEX(T_NOMBRE,MATCH(V320,T_RUTN,0)),"⚠ RUT no está en Trabajadores"))</f>
        <v/>
      </c>
      <c r="E320" s="61"/>
      <c r="F320" s="61"/>
      <c r="G320" s="61"/>
      <c r="H320" s="61"/>
      <c r="I320" s="81"/>
      <c r="J320" s="81"/>
      <c r="K320" s="60"/>
      <c r="L320" s="60"/>
      <c r="M320" s="60"/>
      <c r="N320" s="60"/>
      <c r="O320" s="60"/>
      <c r="P320" s="60"/>
      <c r="Q320" s="60"/>
      <c r="R320" s="58"/>
      <c r="S320" s="62" t="str">
        <f aca="false">IF(OR(B320="",V320=""),"",IFERROR(INDEX(C_TIPO,MATCH(V320&amp;"-P"&amp;MAX(1,COUNTIFS(C_RUTN,V320,C_DEF,"Sí",C_INI,"&lt;="&amp;EOMONTH(B320,0))),C_CLAVE,0))&amp;"","Sin contrato"))</f>
        <v/>
      </c>
      <c r="T320" s="63" t="str">
        <f aca="false">IF(OR(B320="",N(O320)=0),"",N(O320)+ROUND(MIN(N(N320),TOPE_UF*UF_MES)*(TASA_EMP+MUTUAL),0)+ROUND(MIN(N(N320),TOPE_AFC_UF*UF_MES)*IF(S320="Indefinido",AFC_INDEF,AFC_PF),0))</f>
        <v/>
      </c>
      <c r="U320" s="62" t="str">
        <f aca="false">IF(C320="","",IF(LEFT(D320,1)="⚠","⚠ RUT no registrado en Trabajadores",IF(B320="","⚠ Falta el mes",IF(OR(ISTEXT(I320),ISTEXT(J320)),"⚠ Atrasos u horas extra como texto: escriba hh:mm (ej. 1:30)",IF(AND(ISNUMBER(Q320),COUNTIFS(M_RUTN,V320,M_MES,B320,M_LIQ,"&lt;&gt;")&gt;1),"⚠ Liquidación repetida en el mes",IF(AND(ISNUMBER(O320),ISNUMBER(P320),ISNUMBER(Q320),ABS(O320-P320-Q320)&gt;1),"⚠ Haberes − descuentos no da el líquido","OK"))))))</f>
        <v/>
      </c>
      <c r="V320" s="62" t="str">
        <f aca="false">IF(C320="","",IFERROR(VALUE(LEFT(UPPER(SUBSTITUTE(SUBSTITUTE(SUBSTITUTE(TRIM(C320),".",""),"-","")," ","")),LEN(UPPER(SUBSTITUTE(SUBSTITUTE(SUBSTITUTE(TRIM(C320),".",""),"-","")," ","")))-1))&amp;RIGHT(UPPER(SUBSTITUTE(SUBSTITUTE(SUBSTITUTE(TRIM(C320),".",""),"-","")," ","")),1),UPPER(SUBSTITUTE(SUBSTITUTE(SUBSTITUTE(TRIM(C320),".",""),"-","")," ",""))))</f>
        <v/>
      </c>
    </row>
    <row r="321" customFormat="false" ht="15" hidden="false" customHeight="false" outlineLevel="0" collapsed="false">
      <c r="B321" s="80"/>
      <c r="C321" s="58"/>
      <c r="D321" s="62" t="str">
        <f aca="false">IF(C321="","",IFERROR(INDEX(T_NOMBRE,MATCH(V321,T_RUTN,0)),"⚠ RUT no está en Trabajadores"))</f>
        <v/>
      </c>
      <c r="E321" s="61"/>
      <c r="F321" s="61"/>
      <c r="G321" s="61"/>
      <c r="H321" s="61"/>
      <c r="I321" s="81"/>
      <c r="J321" s="81"/>
      <c r="K321" s="60"/>
      <c r="L321" s="60"/>
      <c r="M321" s="60"/>
      <c r="N321" s="60"/>
      <c r="O321" s="60"/>
      <c r="P321" s="60"/>
      <c r="Q321" s="60"/>
      <c r="R321" s="58"/>
      <c r="S321" s="62" t="str">
        <f aca="false">IF(OR(B321="",V321=""),"",IFERROR(INDEX(C_TIPO,MATCH(V321&amp;"-P"&amp;MAX(1,COUNTIFS(C_RUTN,V321,C_DEF,"Sí",C_INI,"&lt;="&amp;EOMONTH(B321,0))),C_CLAVE,0))&amp;"","Sin contrato"))</f>
        <v/>
      </c>
      <c r="T321" s="63" t="str">
        <f aca="false">IF(OR(B321="",N(O321)=0),"",N(O321)+ROUND(MIN(N(N321),TOPE_UF*UF_MES)*(TASA_EMP+MUTUAL),0)+ROUND(MIN(N(N321),TOPE_AFC_UF*UF_MES)*IF(S321="Indefinido",AFC_INDEF,AFC_PF),0))</f>
        <v/>
      </c>
      <c r="U321" s="62" t="str">
        <f aca="false">IF(C321="","",IF(LEFT(D321,1)="⚠","⚠ RUT no registrado en Trabajadores",IF(B321="","⚠ Falta el mes",IF(OR(ISTEXT(I321),ISTEXT(J321)),"⚠ Atrasos u horas extra como texto: escriba hh:mm (ej. 1:30)",IF(AND(ISNUMBER(Q321),COUNTIFS(M_RUTN,V321,M_MES,B321,M_LIQ,"&lt;&gt;")&gt;1),"⚠ Liquidación repetida en el mes",IF(AND(ISNUMBER(O321),ISNUMBER(P321),ISNUMBER(Q321),ABS(O321-P321-Q321)&gt;1),"⚠ Haberes − descuentos no da el líquido","OK"))))))</f>
        <v/>
      </c>
      <c r="V321" s="62" t="str">
        <f aca="false">IF(C321="","",IFERROR(VALUE(LEFT(UPPER(SUBSTITUTE(SUBSTITUTE(SUBSTITUTE(TRIM(C321),".",""),"-","")," ","")),LEN(UPPER(SUBSTITUTE(SUBSTITUTE(SUBSTITUTE(TRIM(C321),".",""),"-","")," ","")))-1))&amp;RIGHT(UPPER(SUBSTITUTE(SUBSTITUTE(SUBSTITUTE(TRIM(C321),".",""),"-","")," ","")),1),UPPER(SUBSTITUTE(SUBSTITUTE(SUBSTITUTE(TRIM(C321),".",""),"-","")," ",""))))</f>
        <v/>
      </c>
    </row>
    <row r="322" customFormat="false" ht="15" hidden="false" customHeight="false" outlineLevel="0" collapsed="false">
      <c r="B322" s="80"/>
      <c r="C322" s="58"/>
      <c r="D322" s="62" t="str">
        <f aca="false">IF(C322="","",IFERROR(INDEX(T_NOMBRE,MATCH(V322,T_RUTN,0)),"⚠ RUT no está en Trabajadores"))</f>
        <v/>
      </c>
      <c r="E322" s="61"/>
      <c r="F322" s="61"/>
      <c r="G322" s="61"/>
      <c r="H322" s="61"/>
      <c r="I322" s="81"/>
      <c r="J322" s="81"/>
      <c r="K322" s="60"/>
      <c r="L322" s="60"/>
      <c r="M322" s="60"/>
      <c r="N322" s="60"/>
      <c r="O322" s="60"/>
      <c r="P322" s="60"/>
      <c r="Q322" s="60"/>
      <c r="R322" s="58"/>
      <c r="S322" s="62" t="str">
        <f aca="false">IF(OR(B322="",V322=""),"",IFERROR(INDEX(C_TIPO,MATCH(V322&amp;"-P"&amp;MAX(1,COUNTIFS(C_RUTN,V322,C_DEF,"Sí",C_INI,"&lt;="&amp;EOMONTH(B322,0))),C_CLAVE,0))&amp;"","Sin contrato"))</f>
        <v/>
      </c>
      <c r="T322" s="63" t="str">
        <f aca="false">IF(OR(B322="",N(O322)=0),"",N(O322)+ROUND(MIN(N(N322),TOPE_UF*UF_MES)*(TASA_EMP+MUTUAL),0)+ROUND(MIN(N(N322),TOPE_AFC_UF*UF_MES)*IF(S322="Indefinido",AFC_INDEF,AFC_PF),0))</f>
        <v/>
      </c>
      <c r="U322" s="62" t="str">
        <f aca="false">IF(C322="","",IF(LEFT(D322,1)="⚠","⚠ RUT no registrado en Trabajadores",IF(B322="","⚠ Falta el mes",IF(OR(ISTEXT(I322),ISTEXT(J322)),"⚠ Atrasos u horas extra como texto: escriba hh:mm (ej. 1:30)",IF(AND(ISNUMBER(Q322),COUNTIFS(M_RUTN,V322,M_MES,B322,M_LIQ,"&lt;&gt;")&gt;1),"⚠ Liquidación repetida en el mes",IF(AND(ISNUMBER(O322),ISNUMBER(P322),ISNUMBER(Q322),ABS(O322-P322-Q322)&gt;1),"⚠ Haberes − descuentos no da el líquido","OK"))))))</f>
        <v/>
      </c>
      <c r="V322" s="62" t="str">
        <f aca="false">IF(C322="","",IFERROR(VALUE(LEFT(UPPER(SUBSTITUTE(SUBSTITUTE(SUBSTITUTE(TRIM(C322),".",""),"-","")," ","")),LEN(UPPER(SUBSTITUTE(SUBSTITUTE(SUBSTITUTE(TRIM(C322),".",""),"-","")," ","")))-1))&amp;RIGHT(UPPER(SUBSTITUTE(SUBSTITUTE(SUBSTITUTE(TRIM(C322),".",""),"-","")," ","")),1),UPPER(SUBSTITUTE(SUBSTITUTE(SUBSTITUTE(TRIM(C322),".",""),"-","")," ",""))))</f>
        <v/>
      </c>
    </row>
    <row r="323" customFormat="false" ht="15" hidden="false" customHeight="false" outlineLevel="0" collapsed="false">
      <c r="B323" s="80"/>
      <c r="C323" s="58"/>
      <c r="D323" s="62" t="str">
        <f aca="false">IF(C323="","",IFERROR(INDEX(T_NOMBRE,MATCH(V323,T_RUTN,0)),"⚠ RUT no está en Trabajadores"))</f>
        <v/>
      </c>
      <c r="E323" s="61"/>
      <c r="F323" s="61"/>
      <c r="G323" s="61"/>
      <c r="H323" s="61"/>
      <c r="I323" s="81"/>
      <c r="J323" s="81"/>
      <c r="K323" s="60"/>
      <c r="L323" s="60"/>
      <c r="M323" s="60"/>
      <c r="N323" s="60"/>
      <c r="O323" s="60"/>
      <c r="P323" s="60"/>
      <c r="Q323" s="60"/>
      <c r="R323" s="58"/>
      <c r="S323" s="62" t="str">
        <f aca="false">IF(OR(B323="",V323=""),"",IFERROR(INDEX(C_TIPO,MATCH(V323&amp;"-P"&amp;MAX(1,COUNTIFS(C_RUTN,V323,C_DEF,"Sí",C_INI,"&lt;="&amp;EOMONTH(B323,0))),C_CLAVE,0))&amp;"","Sin contrato"))</f>
        <v/>
      </c>
      <c r="T323" s="63" t="str">
        <f aca="false">IF(OR(B323="",N(O323)=0),"",N(O323)+ROUND(MIN(N(N323),TOPE_UF*UF_MES)*(TASA_EMP+MUTUAL),0)+ROUND(MIN(N(N323),TOPE_AFC_UF*UF_MES)*IF(S323="Indefinido",AFC_INDEF,AFC_PF),0))</f>
        <v/>
      </c>
      <c r="U323" s="62" t="str">
        <f aca="false">IF(C323="","",IF(LEFT(D323,1)="⚠","⚠ RUT no registrado en Trabajadores",IF(B323="","⚠ Falta el mes",IF(OR(ISTEXT(I323),ISTEXT(J323)),"⚠ Atrasos u horas extra como texto: escriba hh:mm (ej. 1:30)",IF(AND(ISNUMBER(Q323),COUNTIFS(M_RUTN,V323,M_MES,B323,M_LIQ,"&lt;&gt;")&gt;1),"⚠ Liquidación repetida en el mes",IF(AND(ISNUMBER(O323),ISNUMBER(P323),ISNUMBER(Q323),ABS(O323-P323-Q323)&gt;1),"⚠ Haberes − descuentos no da el líquido","OK"))))))</f>
        <v/>
      </c>
      <c r="V323" s="62" t="str">
        <f aca="false">IF(C323="","",IFERROR(VALUE(LEFT(UPPER(SUBSTITUTE(SUBSTITUTE(SUBSTITUTE(TRIM(C323),".",""),"-","")," ","")),LEN(UPPER(SUBSTITUTE(SUBSTITUTE(SUBSTITUTE(TRIM(C323),".",""),"-","")," ","")))-1))&amp;RIGHT(UPPER(SUBSTITUTE(SUBSTITUTE(SUBSTITUTE(TRIM(C323),".",""),"-","")," ","")),1),UPPER(SUBSTITUTE(SUBSTITUTE(SUBSTITUTE(TRIM(C323),".",""),"-","")," ",""))))</f>
        <v/>
      </c>
    </row>
    <row r="324" customFormat="false" ht="15" hidden="false" customHeight="false" outlineLevel="0" collapsed="false">
      <c r="B324" s="80"/>
      <c r="C324" s="58"/>
      <c r="D324" s="62" t="str">
        <f aca="false">IF(C324="","",IFERROR(INDEX(T_NOMBRE,MATCH(V324,T_RUTN,0)),"⚠ RUT no está en Trabajadores"))</f>
        <v/>
      </c>
      <c r="E324" s="61"/>
      <c r="F324" s="61"/>
      <c r="G324" s="61"/>
      <c r="H324" s="61"/>
      <c r="I324" s="81"/>
      <c r="J324" s="81"/>
      <c r="K324" s="60"/>
      <c r="L324" s="60"/>
      <c r="M324" s="60"/>
      <c r="N324" s="60"/>
      <c r="O324" s="60"/>
      <c r="P324" s="60"/>
      <c r="Q324" s="60"/>
      <c r="R324" s="58"/>
      <c r="S324" s="62" t="str">
        <f aca="false">IF(OR(B324="",V324=""),"",IFERROR(INDEX(C_TIPO,MATCH(V324&amp;"-P"&amp;MAX(1,COUNTIFS(C_RUTN,V324,C_DEF,"Sí",C_INI,"&lt;="&amp;EOMONTH(B324,0))),C_CLAVE,0))&amp;"","Sin contrato"))</f>
        <v/>
      </c>
      <c r="T324" s="63" t="str">
        <f aca="false">IF(OR(B324="",N(O324)=0),"",N(O324)+ROUND(MIN(N(N324),TOPE_UF*UF_MES)*(TASA_EMP+MUTUAL),0)+ROUND(MIN(N(N324),TOPE_AFC_UF*UF_MES)*IF(S324="Indefinido",AFC_INDEF,AFC_PF),0))</f>
        <v/>
      </c>
      <c r="U324" s="62" t="str">
        <f aca="false">IF(C324="","",IF(LEFT(D324,1)="⚠","⚠ RUT no registrado en Trabajadores",IF(B324="","⚠ Falta el mes",IF(OR(ISTEXT(I324),ISTEXT(J324)),"⚠ Atrasos u horas extra como texto: escriba hh:mm (ej. 1:30)",IF(AND(ISNUMBER(Q324),COUNTIFS(M_RUTN,V324,M_MES,B324,M_LIQ,"&lt;&gt;")&gt;1),"⚠ Liquidación repetida en el mes",IF(AND(ISNUMBER(O324),ISNUMBER(P324),ISNUMBER(Q324),ABS(O324-P324-Q324)&gt;1),"⚠ Haberes − descuentos no da el líquido","OK"))))))</f>
        <v/>
      </c>
      <c r="V324" s="62" t="str">
        <f aca="false">IF(C324="","",IFERROR(VALUE(LEFT(UPPER(SUBSTITUTE(SUBSTITUTE(SUBSTITUTE(TRIM(C324),".",""),"-","")," ","")),LEN(UPPER(SUBSTITUTE(SUBSTITUTE(SUBSTITUTE(TRIM(C324),".",""),"-","")," ","")))-1))&amp;RIGHT(UPPER(SUBSTITUTE(SUBSTITUTE(SUBSTITUTE(TRIM(C324),".",""),"-","")," ","")),1),UPPER(SUBSTITUTE(SUBSTITUTE(SUBSTITUTE(TRIM(C324),".",""),"-","")," ",""))))</f>
        <v/>
      </c>
    </row>
    <row r="325" customFormat="false" ht="15" hidden="false" customHeight="false" outlineLevel="0" collapsed="false">
      <c r="B325" s="80"/>
      <c r="C325" s="58"/>
      <c r="D325" s="62" t="str">
        <f aca="false">IF(C325="","",IFERROR(INDEX(T_NOMBRE,MATCH(V325,T_RUTN,0)),"⚠ RUT no está en Trabajadores"))</f>
        <v/>
      </c>
      <c r="E325" s="61"/>
      <c r="F325" s="61"/>
      <c r="G325" s="61"/>
      <c r="H325" s="61"/>
      <c r="I325" s="81"/>
      <c r="J325" s="81"/>
      <c r="K325" s="60"/>
      <c r="L325" s="60"/>
      <c r="M325" s="60"/>
      <c r="N325" s="60"/>
      <c r="O325" s="60"/>
      <c r="P325" s="60"/>
      <c r="Q325" s="60"/>
      <c r="R325" s="58"/>
      <c r="S325" s="62" t="str">
        <f aca="false">IF(OR(B325="",V325=""),"",IFERROR(INDEX(C_TIPO,MATCH(V325&amp;"-P"&amp;MAX(1,COUNTIFS(C_RUTN,V325,C_DEF,"Sí",C_INI,"&lt;="&amp;EOMONTH(B325,0))),C_CLAVE,0))&amp;"","Sin contrato"))</f>
        <v/>
      </c>
      <c r="T325" s="63" t="str">
        <f aca="false">IF(OR(B325="",N(O325)=0),"",N(O325)+ROUND(MIN(N(N325),TOPE_UF*UF_MES)*(TASA_EMP+MUTUAL),0)+ROUND(MIN(N(N325),TOPE_AFC_UF*UF_MES)*IF(S325="Indefinido",AFC_INDEF,AFC_PF),0))</f>
        <v/>
      </c>
      <c r="U325" s="62" t="str">
        <f aca="false">IF(C325="","",IF(LEFT(D325,1)="⚠","⚠ RUT no registrado en Trabajadores",IF(B325="","⚠ Falta el mes",IF(OR(ISTEXT(I325),ISTEXT(J325)),"⚠ Atrasos u horas extra como texto: escriba hh:mm (ej. 1:30)",IF(AND(ISNUMBER(Q325),COUNTIFS(M_RUTN,V325,M_MES,B325,M_LIQ,"&lt;&gt;")&gt;1),"⚠ Liquidación repetida en el mes",IF(AND(ISNUMBER(O325),ISNUMBER(P325),ISNUMBER(Q325),ABS(O325-P325-Q325)&gt;1),"⚠ Haberes − descuentos no da el líquido","OK"))))))</f>
        <v/>
      </c>
      <c r="V325" s="62" t="str">
        <f aca="false">IF(C325="","",IFERROR(VALUE(LEFT(UPPER(SUBSTITUTE(SUBSTITUTE(SUBSTITUTE(TRIM(C325),".",""),"-","")," ","")),LEN(UPPER(SUBSTITUTE(SUBSTITUTE(SUBSTITUTE(TRIM(C325),".",""),"-","")," ","")))-1))&amp;RIGHT(UPPER(SUBSTITUTE(SUBSTITUTE(SUBSTITUTE(TRIM(C325),".",""),"-","")," ","")),1),UPPER(SUBSTITUTE(SUBSTITUTE(SUBSTITUTE(TRIM(C325),".",""),"-","")," ",""))))</f>
        <v/>
      </c>
    </row>
    <row r="326" customFormat="false" ht="15" hidden="false" customHeight="false" outlineLevel="0" collapsed="false">
      <c r="B326" s="80"/>
      <c r="C326" s="58"/>
      <c r="D326" s="62" t="str">
        <f aca="false">IF(C326="","",IFERROR(INDEX(T_NOMBRE,MATCH(V326,T_RUTN,0)),"⚠ RUT no está en Trabajadores"))</f>
        <v/>
      </c>
      <c r="E326" s="61"/>
      <c r="F326" s="61"/>
      <c r="G326" s="61"/>
      <c r="H326" s="61"/>
      <c r="I326" s="81"/>
      <c r="J326" s="81"/>
      <c r="K326" s="60"/>
      <c r="L326" s="60"/>
      <c r="M326" s="60"/>
      <c r="N326" s="60"/>
      <c r="O326" s="60"/>
      <c r="P326" s="60"/>
      <c r="Q326" s="60"/>
      <c r="R326" s="58"/>
      <c r="S326" s="62" t="str">
        <f aca="false">IF(OR(B326="",V326=""),"",IFERROR(INDEX(C_TIPO,MATCH(V326&amp;"-P"&amp;MAX(1,COUNTIFS(C_RUTN,V326,C_DEF,"Sí",C_INI,"&lt;="&amp;EOMONTH(B326,0))),C_CLAVE,0))&amp;"","Sin contrato"))</f>
        <v/>
      </c>
      <c r="T326" s="63" t="str">
        <f aca="false">IF(OR(B326="",N(O326)=0),"",N(O326)+ROUND(MIN(N(N326),TOPE_UF*UF_MES)*(TASA_EMP+MUTUAL),0)+ROUND(MIN(N(N326),TOPE_AFC_UF*UF_MES)*IF(S326="Indefinido",AFC_INDEF,AFC_PF),0))</f>
        <v/>
      </c>
      <c r="U326" s="62" t="str">
        <f aca="false">IF(C326="","",IF(LEFT(D326,1)="⚠","⚠ RUT no registrado en Trabajadores",IF(B326="","⚠ Falta el mes",IF(OR(ISTEXT(I326),ISTEXT(J326)),"⚠ Atrasos u horas extra como texto: escriba hh:mm (ej. 1:30)",IF(AND(ISNUMBER(Q326),COUNTIFS(M_RUTN,V326,M_MES,B326,M_LIQ,"&lt;&gt;")&gt;1),"⚠ Liquidación repetida en el mes",IF(AND(ISNUMBER(O326),ISNUMBER(P326),ISNUMBER(Q326),ABS(O326-P326-Q326)&gt;1),"⚠ Haberes − descuentos no da el líquido","OK"))))))</f>
        <v/>
      </c>
      <c r="V326" s="62" t="str">
        <f aca="false">IF(C326="","",IFERROR(VALUE(LEFT(UPPER(SUBSTITUTE(SUBSTITUTE(SUBSTITUTE(TRIM(C326),".",""),"-","")," ","")),LEN(UPPER(SUBSTITUTE(SUBSTITUTE(SUBSTITUTE(TRIM(C326),".",""),"-","")," ","")))-1))&amp;RIGHT(UPPER(SUBSTITUTE(SUBSTITUTE(SUBSTITUTE(TRIM(C326),".",""),"-","")," ","")),1),UPPER(SUBSTITUTE(SUBSTITUTE(SUBSTITUTE(TRIM(C326),".",""),"-","")," ",""))))</f>
        <v/>
      </c>
    </row>
    <row r="327" customFormat="false" ht="15" hidden="false" customHeight="false" outlineLevel="0" collapsed="false">
      <c r="B327" s="80"/>
      <c r="C327" s="58"/>
      <c r="D327" s="62" t="str">
        <f aca="false">IF(C327="","",IFERROR(INDEX(T_NOMBRE,MATCH(V327,T_RUTN,0)),"⚠ RUT no está en Trabajadores"))</f>
        <v/>
      </c>
      <c r="E327" s="61"/>
      <c r="F327" s="61"/>
      <c r="G327" s="61"/>
      <c r="H327" s="61"/>
      <c r="I327" s="81"/>
      <c r="J327" s="81"/>
      <c r="K327" s="60"/>
      <c r="L327" s="60"/>
      <c r="M327" s="60"/>
      <c r="N327" s="60"/>
      <c r="O327" s="60"/>
      <c r="P327" s="60"/>
      <c r="Q327" s="60"/>
      <c r="R327" s="58"/>
      <c r="S327" s="62" t="str">
        <f aca="false">IF(OR(B327="",V327=""),"",IFERROR(INDEX(C_TIPO,MATCH(V327&amp;"-P"&amp;MAX(1,COUNTIFS(C_RUTN,V327,C_DEF,"Sí",C_INI,"&lt;="&amp;EOMONTH(B327,0))),C_CLAVE,0))&amp;"","Sin contrato"))</f>
        <v/>
      </c>
      <c r="T327" s="63" t="str">
        <f aca="false">IF(OR(B327="",N(O327)=0),"",N(O327)+ROUND(MIN(N(N327),TOPE_UF*UF_MES)*(TASA_EMP+MUTUAL),0)+ROUND(MIN(N(N327),TOPE_AFC_UF*UF_MES)*IF(S327="Indefinido",AFC_INDEF,AFC_PF),0))</f>
        <v/>
      </c>
      <c r="U327" s="62" t="str">
        <f aca="false">IF(C327="","",IF(LEFT(D327,1)="⚠","⚠ RUT no registrado en Trabajadores",IF(B327="","⚠ Falta el mes",IF(OR(ISTEXT(I327),ISTEXT(J327)),"⚠ Atrasos u horas extra como texto: escriba hh:mm (ej. 1:30)",IF(AND(ISNUMBER(Q327),COUNTIFS(M_RUTN,V327,M_MES,B327,M_LIQ,"&lt;&gt;")&gt;1),"⚠ Liquidación repetida en el mes",IF(AND(ISNUMBER(O327),ISNUMBER(P327),ISNUMBER(Q327),ABS(O327-P327-Q327)&gt;1),"⚠ Haberes − descuentos no da el líquido","OK"))))))</f>
        <v/>
      </c>
      <c r="V327" s="62" t="str">
        <f aca="false">IF(C327="","",IFERROR(VALUE(LEFT(UPPER(SUBSTITUTE(SUBSTITUTE(SUBSTITUTE(TRIM(C327),".",""),"-","")," ","")),LEN(UPPER(SUBSTITUTE(SUBSTITUTE(SUBSTITUTE(TRIM(C327),".",""),"-","")," ","")))-1))&amp;RIGHT(UPPER(SUBSTITUTE(SUBSTITUTE(SUBSTITUTE(TRIM(C327),".",""),"-","")," ","")),1),UPPER(SUBSTITUTE(SUBSTITUTE(SUBSTITUTE(TRIM(C327),".",""),"-","")," ",""))))</f>
        <v/>
      </c>
    </row>
    <row r="328" customFormat="false" ht="15" hidden="false" customHeight="false" outlineLevel="0" collapsed="false">
      <c r="B328" s="80"/>
      <c r="C328" s="58"/>
      <c r="D328" s="62" t="str">
        <f aca="false">IF(C328="","",IFERROR(INDEX(T_NOMBRE,MATCH(V328,T_RUTN,0)),"⚠ RUT no está en Trabajadores"))</f>
        <v/>
      </c>
      <c r="E328" s="61"/>
      <c r="F328" s="61"/>
      <c r="G328" s="61"/>
      <c r="H328" s="61"/>
      <c r="I328" s="81"/>
      <c r="J328" s="81"/>
      <c r="K328" s="60"/>
      <c r="L328" s="60"/>
      <c r="M328" s="60"/>
      <c r="N328" s="60"/>
      <c r="O328" s="60"/>
      <c r="P328" s="60"/>
      <c r="Q328" s="60"/>
      <c r="R328" s="58"/>
      <c r="S328" s="62" t="str">
        <f aca="false">IF(OR(B328="",V328=""),"",IFERROR(INDEX(C_TIPO,MATCH(V328&amp;"-P"&amp;MAX(1,COUNTIFS(C_RUTN,V328,C_DEF,"Sí",C_INI,"&lt;="&amp;EOMONTH(B328,0))),C_CLAVE,0))&amp;"","Sin contrato"))</f>
        <v/>
      </c>
      <c r="T328" s="63" t="str">
        <f aca="false">IF(OR(B328="",N(O328)=0),"",N(O328)+ROUND(MIN(N(N328),TOPE_UF*UF_MES)*(TASA_EMP+MUTUAL),0)+ROUND(MIN(N(N328),TOPE_AFC_UF*UF_MES)*IF(S328="Indefinido",AFC_INDEF,AFC_PF),0))</f>
        <v/>
      </c>
      <c r="U328" s="62" t="str">
        <f aca="false">IF(C328="","",IF(LEFT(D328,1)="⚠","⚠ RUT no registrado en Trabajadores",IF(B328="","⚠ Falta el mes",IF(OR(ISTEXT(I328),ISTEXT(J328)),"⚠ Atrasos u horas extra como texto: escriba hh:mm (ej. 1:30)",IF(AND(ISNUMBER(Q328),COUNTIFS(M_RUTN,V328,M_MES,B328,M_LIQ,"&lt;&gt;")&gt;1),"⚠ Liquidación repetida en el mes",IF(AND(ISNUMBER(O328),ISNUMBER(P328),ISNUMBER(Q328),ABS(O328-P328-Q328)&gt;1),"⚠ Haberes − descuentos no da el líquido","OK"))))))</f>
        <v/>
      </c>
      <c r="V328" s="62" t="str">
        <f aca="false">IF(C328="","",IFERROR(VALUE(LEFT(UPPER(SUBSTITUTE(SUBSTITUTE(SUBSTITUTE(TRIM(C328),".",""),"-","")," ","")),LEN(UPPER(SUBSTITUTE(SUBSTITUTE(SUBSTITUTE(TRIM(C328),".",""),"-","")," ","")))-1))&amp;RIGHT(UPPER(SUBSTITUTE(SUBSTITUTE(SUBSTITUTE(TRIM(C328),".",""),"-","")," ","")),1),UPPER(SUBSTITUTE(SUBSTITUTE(SUBSTITUTE(TRIM(C328),".",""),"-","")," ",""))))</f>
        <v/>
      </c>
    </row>
    <row r="329" customFormat="false" ht="15" hidden="false" customHeight="false" outlineLevel="0" collapsed="false">
      <c r="B329" s="80"/>
      <c r="C329" s="58"/>
      <c r="D329" s="62" t="str">
        <f aca="false">IF(C329="","",IFERROR(INDEX(T_NOMBRE,MATCH(V329,T_RUTN,0)),"⚠ RUT no está en Trabajadores"))</f>
        <v/>
      </c>
      <c r="E329" s="61"/>
      <c r="F329" s="61"/>
      <c r="G329" s="61"/>
      <c r="H329" s="61"/>
      <c r="I329" s="81"/>
      <c r="J329" s="81"/>
      <c r="K329" s="60"/>
      <c r="L329" s="60"/>
      <c r="M329" s="60"/>
      <c r="N329" s="60"/>
      <c r="O329" s="60"/>
      <c r="P329" s="60"/>
      <c r="Q329" s="60"/>
      <c r="R329" s="58"/>
      <c r="S329" s="62" t="str">
        <f aca="false">IF(OR(B329="",V329=""),"",IFERROR(INDEX(C_TIPO,MATCH(V329&amp;"-P"&amp;MAX(1,COUNTIFS(C_RUTN,V329,C_DEF,"Sí",C_INI,"&lt;="&amp;EOMONTH(B329,0))),C_CLAVE,0))&amp;"","Sin contrato"))</f>
        <v/>
      </c>
      <c r="T329" s="63" t="str">
        <f aca="false">IF(OR(B329="",N(O329)=0),"",N(O329)+ROUND(MIN(N(N329),TOPE_UF*UF_MES)*(TASA_EMP+MUTUAL),0)+ROUND(MIN(N(N329),TOPE_AFC_UF*UF_MES)*IF(S329="Indefinido",AFC_INDEF,AFC_PF),0))</f>
        <v/>
      </c>
      <c r="U329" s="62" t="str">
        <f aca="false">IF(C329="","",IF(LEFT(D329,1)="⚠","⚠ RUT no registrado en Trabajadores",IF(B329="","⚠ Falta el mes",IF(OR(ISTEXT(I329),ISTEXT(J329)),"⚠ Atrasos u horas extra como texto: escriba hh:mm (ej. 1:30)",IF(AND(ISNUMBER(Q329),COUNTIFS(M_RUTN,V329,M_MES,B329,M_LIQ,"&lt;&gt;")&gt;1),"⚠ Liquidación repetida en el mes",IF(AND(ISNUMBER(O329),ISNUMBER(P329),ISNUMBER(Q329),ABS(O329-P329-Q329)&gt;1),"⚠ Haberes − descuentos no da el líquido","OK"))))))</f>
        <v/>
      </c>
      <c r="V329" s="62" t="str">
        <f aca="false">IF(C329="","",IFERROR(VALUE(LEFT(UPPER(SUBSTITUTE(SUBSTITUTE(SUBSTITUTE(TRIM(C329),".",""),"-","")," ","")),LEN(UPPER(SUBSTITUTE(SUBSTITUTE(SUBSTITUTE(TRIM(C329),".",""),"-","")," ","")))-1))&amp;RIGHT(UPPER(SUBSTITUTE(SUBSTITUTE(SUBSTITUTE(TRIM(C329),".",""),"-","")," ","")),1),UPPER(SUBSTITUTE(SUBSTITUTE(SUBSTITUTE(TRIM(C329),".",""),"-","")," ",""))))</f>
        <v/>
      </c>
    </row>
    <row r="330" customFormat="false" ht="15" hidden="false" customHeight="false" outlineLevel="0" collapsed="false">
      <c r="B330" s="80"/>
      <c r="C330" s="58"/>
      <c r="D330" s="62" t="str">
        <f aca="false">IF(C330="","",IFERROR(INDEX(T_NOMBRE,MATCH(V330,T_RUTN,0)),"⚠ RUT no está en Trabajadores"))</f>
        <v/>
      </c>
      <c r="E330" s="61"/>
      <c r="F330" s="61"/>
      <c r="G330" s="61"/>
      <c r="H330" s="61"/>
      <c r="I330" s="81"/>
      <c r="J330" s="81"/>
      <c r="K330" s="60"/>
      <c r="L330" s="60"/>
      <c r="M330" s="60"/>
      <c r="N330" s="60"/>
      <c r="O330" s="60"/>
      <c r="P330" s="60"/>
      <c r="Q330" s="60"/>
      <c r="R330" s="58"/>
      <c r="S330" s="62" t="str">
        <f aca="false">IF(OR(B330="",V330=""),"",IFERROR(INDEX(C_TIPO,MATCH(V330&amp;"-P"&amp;MAX(1,COUNTIFS(C_RUTN,V330,C_DEF,"Sí",C_INI,"&lt;="&amp;EOMONTH(B330,0))),C_CLAVE,0))&amp;"","Sin contrato"))</f>
        <v/>
      </c>
      <c r="T330" s="63" t="str">
        <f aca="false">IF(OR(B330="",N(O330)=0),"",N(O330)+ROUND(MIN(N(N330),TOPE_UF*UF_MES)*(TASA_EMP+MUTUAL),0)+ROUND(MIN(N(N330),TOPE_AFC_UF*UF_MES)*IF(S330="Indefinido",AFC_INDEF,AFC_PF),0))</f>
        <v/>
      </c>
      <c r="U330" s="62" t="str">
        <f aca="false">IF(C330="","",IF(LEFT(D330,1)="⚠","⚠ RUT no registrado en Trabajadores",IF(B330="","⚠ Falta el mes",IF(OR(ISTEXT(I330),ISTEXT(J330)),"⚠ Atrasos u horas extra como texto: escriba hh:mm (ej. 1:30)",IF(AND(ISNUMBER(Q330),COUNTIFS(M_RUTN,V330,M_MES,B330,M_LIQ,"&lt;&gt;")&gt;1),"⚠ Liquidación repetida en el mes",IF(AND(ISNUMBER(O330),ISNUMBER(P330),ISNUMBER(Q330),ABS(O330-P330-Q330)&gt;1),"⚠ Haberes − descuentos no da el líquido","OK"))))))</f>
        <v/>
      </c>
      <c r="V330" s="62" t="str">
        <f aca="false">IF(C330="","",IFERROR(VALUE(LEFT(UPPER(SUBSTITUTE(SUBSTITUTE(SUBSTITUTE(TRIM(C330),".",""),"-","")," ","")),LEN(UPPER(SUBSTITUTE(SUBSTITUTE(SUBSTITUTE(TRIM(C330),".",""),"-","")," ","")))-1))&amp;RIGHT(UPPER(SUBSTITUTE(SUBSTITUTE(SUBSTITUTE(TRIM(C330),".",""),"-","")," ","")),1),UPPER(SUBSTITUTE(SUBSTITUTE(SUBSTITUTE(TRIM(C330),".",""),"-","")," ",""))))</f>
        <v/>
      </c>
    </row>
    <row r="331" customFormat="false" ht="15" hidden="false" customHeight="false" outlineLevel="0" collapsed="false">
      <c r="B331" s="80"/>
      <c r="C331" s="58"/>
      <c r="D331" s="62" t="str">
        <f aca="false">IF(C331="","",IFERROR(INDEX(T_NOMBRE,MATCH(V331,T_RUTN,0)),"⚠ RUT no está en Trabajadores"))</f>
        <v/>
      </c>
      <c r="E331" s="61"/>
      <c r="F331" s="61"/>
      <c r="G331" s="61"/>
      <c r="H331" s="61"/>
      <c r="I331" s="81"/>
      <c r="J331" s="81"/>
      <c r="K331" s="60"/>
      <c r="L331" s="60"/>
      <c r="M331" s="60"/>
      <c r="N331" s="60"/>
      <c r="O331" s="60"/>
      <c r="P331" s="60"/>
      <c r="Q331" s="60"/>
      <c r="R331" s="58"/>
      <c r="S331" s="62" t="str">
        <f aca="false">IF(OR(B331="",V331=""),"",IFERROR(INDEX(C_TIPO,MATCH(V331&amp;"-P"&amp;MAX(1,COUNTIFS(C_RUTN,V331,C_DEF,"Sí",C_INI,"&lt;="&amp;EOMONTH(B331,0))),C_CLAVE,0))&amp;"","Sin contrato"))</f>
        <v/>
      </c>
      <c r="T331" s="63" t="str">
        <f aca="false">IF(OR(B331="",N(O331)=0),"",N(O331)+ROUND(MIN(N(N331),TOPE_UF*UF_MES)*(TASA_EMP+MUTUAL),0)+ROUND(MIN(N(N331),TOPE_AFC_UF*UF_MES)*IF(S331="Indefinido",AFC_INDEF,AFC_PF),0))</f>
        <v/>
      </c>
      <c r="U331" s="62" t="str">
        <f aca="false">IF(C331="","",IF(LEFT(D331,1)="⚠","⚠ RUT no registrado en Trabajadores",IF(B331="","⚠ Falta el mes",IF(OR(ISTEXT(I331),ISTEXT(J331)),"⚠ Atrasos u horas extra como texto: escriba hh:mm (ej. 1:30)",IF(AND(ISNUMBER(Q331),COUNTIFS(M_RUTN,V331,M_MES,B331,M_LIQ,"&lt;&gt;")&gt;1),"⚠ Liquidación repetida en el mes",IF(AND(ISNUMBER(O331),ISNUMBER(P331),ISNUMBER(Q331),ABS(O331-P331-Q331)&gt;1),"⚠ Haberes − descuentos no da el líquido","OK"))))))</f>
        <v/>
      </c>
      <c r="V331" s="62" t="str">
        <f aca="false">IF(C331="","",IFERROR(VALUE(LEFT(UPPER(SUBSTITUTE(SUBSTITUTE(SUBSTITUTE(TRIM(C331),".",""),"-","")," ","")),LEN(UPPER(SUBSTITUTE(SUBSTITUTE(SUBSTITUTE(TRIM(C331),".",""),"-","")," ","")))-1))&amp;RIGHT(UPPER(SUBSTITUTE(SUBSTITUTE(SUBSTITUTE(TRIM(C331),".",""),"-","")," ","")),1),UPPER(SUBSTITUTE(SUBSTITUTE(SUBSTITUTE(TRIM(C331),".",""),"-","")," ",""))))</f>
        <v/>
      </c>
    </row>
    <row r="332" customFormat="false" ht="15" hidden="false" customHeight="false" outlineLevel="0" collapsed="false">
      <c r="B332" s="80"/>
      <c r="C332" s="58"/>
      <c r="D332" s="62" t="str">
        <f aca="false">IF(C332="","",IFERROR(INDEX(T_NOMBRE,MATCH(V332,T_RUTN,0)),"⚠ RUT no está en Trabajadores"))</f>
        <v/>
      </c>
      <c r="E332" s="61"/>
      <c r="F332" s="61"/>
      <c r="G332" s="61"/>
      <c r="H332" s="61"/>
      <c r="I332" s="81"/>
      <c r="J332" s="81"/>
      <c r="K332" s="60"/>
      <c r="L332" s="60"/>
      <c r="M332" s="60"/>
      <c r="N332" s="60"/>
      <c r="O332" s="60"/>
      <c r="P332" s="60"/>
      <c r="Q332" s="60"/>
      <c r="R332" s="58"/>
      <c r="S332" s="62" t="str">
        <f aca="false">IF(OR(B332="",V332=""),"",IFERROR(INDEX(C_TIPO,MATCH(V332&amp;"-P"&amp;MAX(1,COUNTIFS(C_RUTN,V332,C_DEF,"Sí",C_INI,"&lt;="&amp;EOMONTH(B332,0))),C_CLAVE,0))&amp;"","Sin contrato"))</f>
        <v/>
      </c>
      <c r="T332" s="63" t="str">
        <f aca="false">IF(OR(B332="",N(O332)=0),"",N(O332)+ROUND(MIN(N(N332),TOPE_UF*UF_MES)*(TASA_EMP+MUTUAL),0)+ROUND(MIN(N(N332),TOPE_AFC_UF*UF_MES)*IF(S332="Indefinido",AFC_INDEF,AFC_PF),0))</f>
        <v/>
      </c>
      <c r="U332" s="62" t="str">
        <f aca="false">IF(C332="","",IF(LEFT(D332,1)="⚠","⚠ RUT no registrado en Trabajadores",IF(B332="","⚠ Falta el mes",IF(OR(ISTEXT(I332),ISTEXT(J332)),"⚠ Atrasos u horas extra como texto: escriba hh:mm (ej. 1:30)",IF(AND(ISNUMBER(Q332),COUNTIFS(M_RUTN,V332,M_MES,B332,M_LIQ,"&lt;&gt;")&gt;1),"⚠ Liquidación repetida en el mes",IF(AND(ISNUMBER(O332),ISNUMBER(P332),ISNUMBER(Q332),ABS(O332-P332-Q332)&gt;1),"⚠ Haberes − descuentos no da el líquido","OK"))))))</f>
        <v/>
      </c>
      <c r="V332" s="62" t="str">
        <f aca="false">IF(C332="","",IFERROR(VALUE(LEFT(UPPER(SUBSTITUTE(SUBSTITUTE(SUBSTITUTE(TRIM(C332),".",""),"-","")," ","")),LEN(UPPER(SUBSTITUTE(SUBSTITUTE(SUBSTITUTE(TRIM(C332),".",""),"-","")," ","")))-1))&amp;RIGHT(UPPER(SUBSTITUTE(SUBSTITUTE(SUBSTITUTE(TRIM(C332),".",""),"-","")," ","")),1),UPPER(SUBSTITUTE(SUBSTITUTE(SUBSTITUTE(TRIM(C332),".",""),"-","")," ",""))))</f>
        <v/>
      </c>
    </row>
    <row r="333" customFormat="false" ht="15" hidden="false" customHeight="false" outlineLevel="0" collapsed="false">
      <c r="B333" s="80"/>
      <c r="C333" s="58"/>
      <c r="D333" s="62" t="str">
        <f aca="false">IF(C333="","",IFERROR(INDEX(T_NOMBRE,MATCH(V333,T_RUTN,0)),"⚠ RUT no está en Trabajadores"))</f>
        <v/>
      </c>
      <c r="E333" s="61"/>
      <c r="F333" s="61"/>
      <c r="G333" s="61"/>
      <c r="H333" s="61"/>
      <c r="I333" s="81"/>
      <c r="J333" s="81"/>
      <c r="K333" s="60"/>
      <c r="L333" s="60"/>
      <c r="M333" s="60"/>
      <c r="N333" s="60"/>
      <c r="O333" s="60"/>
      <c r="P333" s="60"/>
      <c r="Q333" s="60"/>
      <c r="R333" s="58"/>
      <c r="S333" s="62" t="str">
        <f aca="false">IF(OR(B333="",V333=""),"",IFERROR(INDEX(C_TIPO,MATCH(V333&amp;"-P"&amp;MAX(1,COUNTIFS(C_RUTN,V333,C_DEF,"Sí",C_INI,"&lt;="&amp;EOMONTH(B333,0))),C_CLAVE,0))&amp;"","Sin contrato"))</f>
        <v/>
      </c>
      <c r="T333" s="63" t="str">
        <f aca="false">IF(OR(B333="",N(O333)=0),"",N(O333)+ROUND(MIN(N(N333),TOPE_UF*UF_MES)*(TASA_EMP+MUTUAL),0)+ROUND(MIN(N(N333),TOPE_AFC_UF*UF_MES)*IF(S333="Indefinido",AFC_INDEF,AFC_PF),0))</f>
        <v/>
      </c>
      <c r="U333" s="62" t="str">
        <f aca="false">IF(C333="","",IF(LEFT(D333,1)="⚠","⚠ RUT no registrado en Trabajadores",IF(B333="","⚠ Falta el mes",IF(OR(ISTEXT(I333),ISTEXT(J333)),"⚠ Atrasos u horas extra como texto: escriba hh:mm (ej. 1:30)",IF(AND(ISNUMBER(Q333),COUNTIFS(M_RUTN,V333,M_MES,B333,M_LIQ,"&lt;&gt;")&gt;1),"⚠ Liquidación repetida en el mes",IF(AND(ISNUMBER(O333),ISNUMBER(P333),ISNUMBER(Q333),ABS(O333-P333-Q333)&gt;1),"⚠ Haberes − descuentos no da el líquido","OK"))))))</f>
        <v/>
      </c>
      <c r="V333" s="62" t="str">
        <f aca="false">IF(C333="","",IFERROR(VALUE(LEFT(UPPER(SUBSTITUTE(SUBSTITUTE(SUBSTITUTE(TRIM(C333),".",""),"-","")," ","")),LEN(UPPER(SUBSTITUTE(SUBSTITUTE(SUBSTITUTE(TRIM(C333),".",""),"-","")," ","")))-1))&amp;RIGHT(UPPER(SUBSTITUTE(SUBSTITUTE(SUBSTITUTE(TRIM(C333),".",""),"-","")," ","")),1),UPPER(SUBSTITUTE(SUBSTITUTE(SUBSTITUTE(TRIM(C333),".",""),"-","")," ",""))))</f>
        <v/>
      </c>
    </row>
    <row r="334" customFormat="false" ht="15" hidden="false" customHeight="false" outlineLevel="0" collapsed="false">
      <c r="B334" s="80"/>
      <c r="C334" s="58"/>
      <c r="D334" s="62" t="str">
        <f aca="false">IF(C334="","",IFERROR(INDEX(T_NOMBRE,MATCH(V334,T_RUTN,0)),"⚠ RUT no está en Trabajadores"))</f>
        <v/>
      </c>
      <c r="E334" s="61"/>
      <c r="F334" s="61"/>
      <c r="G334" s="61"/>
      <c r="H334" s="61"/>
      <c r="I334" s="81"/>
      <c r="J334" s="81"/>
      <c r="K334" s="60"/>
      <c r="L334" s="60"/>
      <c r="M334" s="60"/>
      <c r="N334" s="60"/>
      <c r="O334" s="60"/>
      <c r="P334" s="60"/>
      <c r="Q334" s="60"/>
      <c r="R334" s="58"/>
      <c r="S334" s="62" t="str">
        <f aca="false">IF(OR(B334="",V334=""),"",IFERROR(INDEX(C_TIPO,MATCH(V334&amp;"-P"&amp;MAX(1,COUNTIFS(C_RUTN,V334,C_DEF,"Sí",C_INI,"&lt;="&amp;EOMONTH(B334,0))),C_CLAVE,0))&amp;"","Sin contrato"))</f>
        <v/>
      </c>
      <c r="T334" s="63" t="str">
        <f aca="false">IF(OR(B334="",N(O334)=0),"",N(O334)+ROUND(MIN(N(N334),TOPE_UF*UF_MES)*(TASA_EMP+MUTUAL),0)+ROUND(MIN(N(N334),TOPE_AFC_UF*UF_MES)*IF(S334="Indefinido",AFC_INDEF,AFC_PF),0))</f>
        <v/>
      </c>
      <c r="U334" s="62" t="str">
        <f aca="false">IF(C334="","",IF(LEFT(D334,1)="⚠","⚠ RUT no registrado en Trabajadores",IF(B334="","⚠ Falta el mes",IF(OR(ISTEXT(I334),ISTEXT(J334)),"⚠ Atrasos u horas extra como texto: escriba hh:mm (ej. 1:30)",IF(AND(ISNUMBER(Q334),COUNTIFS(M_RUTN,V334,M_MES,B334,M_LIQ,"&lt;&gt;")&gt;1),"⚠ Liquidación repetida en el mes",IF(AND(ISNUMBER(O334),ISNUMBER(P334),ISNUMBER(Q334),ABS(O334-P334-Q334)&gt;1),"⚠ Haberes − descuentos no da el líquido","OK"))))))</f>
        <v/>
      </c>
      <c r="V334" s="62" t="str">
        <f aca="false">IF(C334="","",IFERROR(VALUE(LEFT(UPPER(SUBSTITUTE(SUBSTITUTE(SUBSTITUTE(TRIM(C334),".",""),"-","")," ","")),LEN(UPPER(SUBSTITUTE(SUBSTITUTE(SUBSTITUTE(TRIM(C334),".",""),"-","")," ","")))-1))&amp;RIGHT(UPPER(SUBSTITUTE(SUBSTITUTE(SUBSTITUTE(TRIM(C334),".",""),"-","")," ","")),1),UPPER(SUBSTITUTE(SUBSTITUTE(SUBSTITUTE(TRIM(C334),".",""),"-","")," ",""))))</f>
        <v/>
      </c>
    </row>
    <row r="335" customFormat="false" ht="15" hidden="false" customHeight="false" outlineLevel="0" collapsed="false">
      <c r="B335" s="80"/>
      <c r="C335" s="58"/>
      <c r="D335" s="62" t="str">
        <f aca="false">IF(C335="","",IFERROR(INDEX(T_NOMBRE,MATCH(V335,T_RUTN,0)),"⚠ RUT no está en Trabajadores"))</f>
        <v/>
      </c>
      <c r="E335" s="61"/>
      <c r="F335" s="61"/>
      <c r="G335" s="61"/>
      <c r="H335" s="61"/>
      <c r="I335" s="81"/>
      <c r="J335" s="81"/>
      <c r="K335" s="60"/>
      <c r="L335" s="60"/>
      <c r="M335" s="60"/>
      <c r="N335" s="60"/>
      <c r="O335" s="60"/>
      <c r="P335" s="60"/>
      <c r="Q335" s="60"/>
      <c r="R335" s="58"/>
      <c r="S335" s="62" t="str">
        <f aca="false">IF(OR(B335="",V335=""),"",IFERROR(INDEX(C_TIPO,MATCH(V335&amp;"-P"&amp;MAX(1,COUNTIFS(C_RUTN,V335,C_DEF,"Sí",C_INI,"&lt;="&amp;EOMONTH(B335,0))),C_CLAVE,0))&amp;"","Sin contrato"))</f>
        <v/>
      </c>
      <c r="T335" s="63" t="str">
        <f aca="false">IF(OR(B335="",N(O335)=0),"",N(O335)+ROUND(MIN(N(N335),TOPE_UF*UF_MES)*(TASA_EMP+MUTUAL),0)+ROUND(MIN(N(N335),TOPE_AFC_UF*UF_MES)*IF(S335="Indefinido",AFC_INDEF,AFC_PF),0))</f>
        <v/>
      </c>
      <c r="U335" s="62" t="str">
        <f aca="false">IF(C335="","",IF(LEFT(D335,1)="⚠","⚠ RUT no registrado en Trabajadores",IF(B335="","⚠ Falta el mes",IF(OR(ISTEXT(I335),ISTEXT(J335)),"⚠ Atrasos u horas extra como texto: escriba hh:mm (ej. 1:30)",IF(AND(ISNUMBER(Q335),COUNTIFS(M_RUTN,V335,M_MES,B335,M_LIQ,"&lt;&gt;")&gt;1),"⚠ Liquidación repetida en el mes",IF(AND(ISNUMBER(O335),ISNUMBER(P335),ISNUMBER(Q335),ABS(O335-P335-Q335)&gt;1),"⚠ Haberes − descuentos no da el líquido","OK"))))))</f>
        <v/>
      </c>
      <c r="V335" s="62" t="str">
        <f aca="false">IF(C335="","",IFERROR(VALUE(LEFT(UPPER(SUBSTITUTE(SUBSTITUTE(SUBSTITUTE(TRIM(C335),".",""),"-","")," ","")),LEN(UPPER(SUBSTITUTE(SUBSTITUTE(SUBSTITUTE(TRIM(C335),".",""),"-","")," ","")))-1))&amp;RIGHT(UPPER(SUBSTITUTE(SUBSTITUTE(SUBSTITUTE(TRIM(C335),".",""),"-","")," ","")),1),UPPER(SUBSTITUTE(SUBSTITUTE(SUBSTITUTE(TRIM(C335),".",""),"-","")," ",""))))</f>
        <v/>
      </c>
    </row>
    <row r="336" customFormat="false" ht="15" hidden="false" customHeight="false" outlineLevel="0" collapsed="false">
      <c r="B336" s="80"/>
      <c r="C336" s="58"/>
      <c r="D336" s="62" t="str">
        <f aca="false">IF(C336="","",IFERROR(INDEX(T_NOMBRE,MATCH(V336,T_RUTN,0)),"⚠ RUT no está en Trabajadores"))</f>
        <v/>
      </c>
      <c r="E336" s="61"/>
      <c r="F336" s="61"/>
      <c r="G336" s="61"/>
      <c r="H336" s="61"/>
      <c r="I336" s="81"/>
      <c r="J336" s="81"/>
      <c r="K336" s="60"/>
      <c r="L336" s="60"/>
      <c r="M336" s="60"/>
      <c r="N336" s="60"/>
      <c r="O336" s="60"/>
      <c r="P336" s="60"/>
      <c r="Q336" s="60"/>
      <c r="R336" s="58"/>
      <c r="S336" s="62" t="str">
        <f aca="false">IF(OR(B336="",V336=""),"",IFERROR(INDEX(C_TIPO,MATCH(V336&amp;"-P"&amp;MAX(1,COUNTIFS(C_RUTN,V336,C_DEF,"Sí",C_INI,"&lt;="&amp;EOMONTH(B336,0))),C_CLAVE,0))&amp;"","Sin contrato"))</f>
        <v/>
      </c>
      <c r="T336" s="63" t="str">
        <f aca="false">IF(OR(B336="",N(O336)=0),"",N(O336)+ROUND(MIN(N(N336),TOPE_UF*UF_MES)*(TASA_EMP+MUTUAL),0)+ROUND(MIN(N(N336),TOPE_AFC_UF*UF_MES)*IF(S336="Indefinido",AFC_INDEF,AFC_PF),0))</f>
        <v/>
      </c>
      <c r="U336" s="62" t="str">
        <f aca="false">IF(C336="","",IF(LEFT(D336,1)="⚠","⚠ RUT no registrado en Trabajadores",IF(B336="","⚠ Falta el mes",IF(OR(ISTEXT(I336),ISTEXT(J336)),"⚠ Atrasos u horas extra como texto: escriba hh:mm (ej. 1:30)",IF(AND(ISNUMBER(Q336),COUNTIFS(M_RUTN,V336,M_MES,B336,M_LIQ,"&lt;&gt;")&gt;1),"⚠ Liquidación repetida en el mes",IF(AND(ISNUMBER(O336),ISNUMBER(P336),ISNUMBER(Q336),ABS(O336-P336-Q336)&gt;1),"⚠ Haberes − descuentos no da el líquido","OK"))))))</f>
        <v/>
      </c>
      <c r="V336" s="62" t="str">
        <f aca="false">IF(C336="","",IFERROR(VALUE(LEFT(UPPER(SUBSTITUTE(SUBSTITUTE(SUBSTITUTE(TRIM(C336),".",""),"-","")," ","")),LEN(UPPER(SUBSTITUTE(SUBSTITUTE(SUBSTITUTE(TRIM(C336),".",""),"-","")," ","")))-1))&amp;RIGHT(UPPER(SUBSTITUTE(SUBSTITUTE(SUBSTITUTE(TRIM(C336),".",""),"-","")," ","")),1),UPPER(SUBSTITUTE(SUBSTITUTE(SUBSTITUTE(TRIM(C336),".",""),"-","")," ",""))))</f>
        <v/>
      </c>
    </row>
    <row r="337" customFormat="false" ht="15" hidden="false" customHeight="false" outlineLevel="0" collapsed="false">
      <c r="B337" s="80"/>
      <c r="C337" s="58"/>
      <c r="D337" s="62" t="str">
        <f aca="false">IF(C337="","",IFERROR(INDEX(T_NOMBRE,MATCH(V337,T_RUTN,0)),"⚠ RUT no está en Trabajadores"))</f>
        <v/>
      </c>
      <c r="E337" s="61"/>
      <c r="F337" s="61"/>
      <c r="G337" s="61"/>
      <c r="H337" s="61"/>
      <c r="I337" s="81"/>
      <c r="J337" s="81"/>
      <c r="K337" s="60"/>
      <c r="L337" s="60"/>
      <c r="M337" s="60"/>
      <c r="N337" s="60"/>
      <c r="O337" s="60"/>
      <c r="P337" s="60"/>
      <c r="Q337" s="60"/>
      <c r="R337" s="58"/>
      <c r="S337" s="62" t="str">
        <f aca="false">IF(OR(B337="",V337=""),"",IFERROR(INDEX(C_TIPO,MATCH(V337&amp;"-P"&amp;MAX(1,COUNTIFS(C_RUTN,V337,C_DEF,"Sí",C_INI,"&lt;="&amp;EOMONTH(B337,0))),C_CLAVE,0))&amp;"","Sin contrato"))</f>
        <v/>
      </c>
      <c r="T337" s="63" t="str">
        <f aca="false">IF(OR(B337="",N(O337)=0),"",N(O337)+ROUND(MIN(N(N337),TOPE_UF*UF_MES)*(TASA_EMP+MUTUAL),0)+ROUND(MIN(N(N337),TOPE_AFC_UF*UF_MES)*IF(S337="Indefinido",AFC_INDEF,AFC_PF),0))</f>
        <v/>
      </c>
      <c r="U337" s="62" t="str">
        <f aca="false">IF(C337="","",IF(LEFT(D337,1)="⚠","⚠ RUT no registrado en Trabajadores",IF(B337="","⚠ Falta el mes",IF(OR(ISTEXT(I337),ISTEXT(J337)),"⚠ Atrasos u horas extra como texto: escriba hh:mm (ej. 1:30)",IF(AND(ISNUMBER(Q337),COUNTIFS(M_RUTN,V337,M_MES,B337,M_LIQ,"&lt;&gt;")&gt;1),"⚠ Liquidación repetida en el mes",IF(AND(ISNUMBER(O337),ISNUMBER(P337),ISNUMBER(Q337),ABS(O337-P337-Q337)&gt;1),"⚠ Haberes − descuentos no da el líquido","OK"))))))</f>
        <v/>
      </c>
      <c r="V337" s="62" t="str">
        <f aca="false">IF(C337="","",IFERROR(VALUE(LEFT(UPPER(SUBSTITUTE(SUBSTITUTE(SUBSTITUTE(TRIM(C337),".",""),"-","")," ","")),LEN(UPPER(SUBSTITUTE(SUBSTITUTE(SUBSTITUTE(TRIM(C337),".",""),"-","")," ","")))-1))&amp;RIGHT(UPPER(SUBSTITUTE(SUBSTITUTE(SUBSTITUTE(TRIM(C337),".",""),"-","")," ","")),1),UPPER(SUBSTITUTE(SUBSTITUTE(SUBSTITUTE(TRIM(C337),".",""),"-","")," ",""))))</f>
        <v/>
      </c>
    </row>
    <row r="338" customFormat="false" ht="15" hidden="false" customHeight="false" outlineLevel="0" collapsed="false">
      <c r="B338" s="80"/>
      <c r="C338" s="58"/>
      <c r="D338" s="62" t="str">
        <f aca="false">IF(C338="","",IFERROR(INDEX(T_NOMBRE,MATCH(V338,T_RUTN,0)),"⚠ RUT no está en Trabajadores"))</f>
        <v/>
      </c>
      <c r="E338" s="61"/>
      <c r="F338" s="61"/>
      <c r="G338" s="61"/>
      <c r="H338" s="61"/>
      <c r="I338" s="81"/>
      <c r="J338" s="81"/>
      <c r="K338" s="60"/>
      <c r="L338" s="60"/>
      <c r="M338" s="60"/>
      <c r="N338" s="60"/>
      <c r="O338" s="60"/>
      <c r="P338" s="60"/>
      <c r="Q338" s="60"/>
      <c r="R338" s="58"/>
      <c r="S338" s="62" t="str">
        <f aca="false">IF(OR(B338="",V338=""),"",IFERROR(INDEX(C_TIPO,MATCH(V338&amp;"-P"&amp;MAX(1,COUNTIFS(C_RUTN,V338,C_DEF,"Sí",C_INI,"&lt;="&amp;EOMONTH(B338,0))),C_CLAVE,0))&amp;"","Sin contrato"))</f>
        <v/>
      </c>
      <c r="T338" s="63" t="str">
        <f aca="false">IF(OR(B338="",N(O338)=0),"",N(O338)+ROUND(MIN(N(N338),TOPE_UF*UF_MES)*(TASA_EMP+MUTUAL),0)+ROUND(MIN(N(N338),TOPE_AFC_UF*UF_MES)*IF(S338="Indefinido",AFC_INDEF,AFC_PF),0))</f>
        <v/>
      </c>
      <c r="U338" s="62" t="str">
        <f aca="false">IF(C338="","",IF(LEFT(D338,1)="⚠","⚠ RUT no registrado en Trabajadores",IF(B338="","⚠ Falta el mes",IF(OR(ISTEXT(I338),ISTEXT(J338)),"⚠ Atrasos u horas extra como texto: escriba hh:mm (ej. 1:30)",IF(AND(ISNUMBER(Q338),COUNTIFS(M_RUTN,V338,M_MES,B338,M_LIQ,"&lt;&gt;")&gt;1),"⚠ Liquidación repetida en el mes",IF(AND(ISNUMBER(O338),ISNUMBER(P338),ISNUMBER(Q338),ABS(O338-P338-Q338)&gt;1),"⚠ Haberes − descuentos no da el líquido","OK"))))))</f>
        <v/>
      </c>
      <c r="V338" s="62" t="str">
        <f aca="false">IF(C338="","",IFERROR(VALUE(LEFT(UPPER(SUBSTITUTE(SUBSTITUTE(SUBSTITUTE(TRIM(C338),".",""),"-","")," ","")),LEN(UPPER(SUBSTITUTE(SUBSTITUTE(SUBSTITUTE(TRIM(C338),".",""),"-","")," ","")))-1))&amp;RIGHT(UPPER(SUBSTITUTE(SUBSTITUTE(SUBSTITUTE(TRIM(C338),".",""),"-","")," ","")),1),UPPER(SUBSTITUTE(SUBSTITUTE(SUBSTITUTE(TRIM(C338),".",""),"-","")," ",""))))</f>
        <v/>
      </c>
    </row>
    <row r="339" customFormat="false" ht="15" hidden="false" customHeight="false" outlineLevel="0" collapsed="false">
      <c r="B339" s="80"/>
      <c r="C339" s="58"/>
      <c r="D339" s="62" t="str">
        <f aca="false">IF(C339="","",IFERROR(INDEX(T_NOMBRE,MATCH(V339,T_RUTN,0)),"⚠ RUT no está en Trabajadores"))</f>
        <v/>
      </c>
      <c r="E339" s="61"/>
      <c r="F339" s="61"/>
      <c r="G339" s="61"/>
      <c r="H339" s="61"/>
      <c r="I339" s="81"/>
      <c r="J339" s="81"/>
      <c r="K339" s="60"/>
      <c r="L339" s="60"/>
      <c r="M339" s="60"/>
      <c r="N339" s="60"/>
      <c r="O339" s="60"/>
      <c r="P339" s="60"/>
      <c r="Q339" s="60"/>
      <c r="R339" s="58"/>
      <c r="S339" s="62" t="str">
        <f aca="false">IF(OR(B339="",V339=""),"",IFERROR(INDEX(C_TIPO,MATCH(V339&amp;"-P"&amp;MAX(1,COUNTIFS(C_RUTN,V339,C_DEF,"Sí",C_INI,"&lt;="&amp;EOMONTH(B339,0))),C_CLAVE,0))&amp;"","Sin contrato"))</f>
        <v/>
      </c>
      <c r="T339" s="63" t="str">
        <f aca="false">IF(OR(B339="",N(O339)=0),"",N(O339)+ROUND(MIN(N(N339),TOPE_UF*UF_MES)*(TASA_EMP+MUTUAL),0)+ROUND(MIN(N(N339),TOPE_AFC_UF*UF_MES)*IF(S339="Indefinido",AFC_INDEF,AFC_PF),0))</f>
        <v/>
      </c>
      <c r="U339" s="62" t="str">
        <f aca="false">IF(C339="","",IF(LEFT(D339,1)="⚠","⚠ RUT no registrado en Trabajadores",IF(B339="","⚠ Falta el mes",IF(OR(ISTEXT(I339),ISTEXT(J339)),"⚠ Atrasos u horas extra como texto: escriba hh:mm (ej. 1:30)",IF(AND(ISNUMBER(Q339),COUNTIFS(M_RUTN,V339,M_MES,B339,M_LIQ,"&lt;&gt;")&gt;1),"⚠ Liquidación repetida en el mes",IF(AND(ISNUMBER(O339),ISNUMBER(P339),ISNUMBER(Q339),ABS(O339-P339-Q339)&gt;1),"⚠ Haberes − descuentos no da el líquido","OK"))))))</f>
        <v/>
      </c>
      <c r="V339" s="62" t="str">
        <f aca="false">IF(C339="","",IFERROR(VALUE(LEFT(UPPER(SUBSTITUTE(SUBSTITUTE(SUBSTITUTE(TRIM(C339),".",""),"-","")," ","")),LEN(UPPER(SUBSTITUTE(SUBSTITUTE(SUBSTITUTE(TRIM(C339),".",""),"-","")," ","")))-1))&amp;RIGHT(UPPER(SUBSTITUTE(SUBSTITUTE(SUBSTITUTE(TRIM(C339),".",""),"-","")," ","")),1),UPPER(SUBSTITUTE(SUBSTITUTE(SUBSTITUTE(TRIM(C339),".",""),"-","")," ",""))))</f>
        <v/>
      </c>
    </row>
    <row r="340" customFormat="false" ht="15" hidden="false" customHeight="false" outlineLevel="0" collapsed="false">
      <c r="B340" s="80"/>
      <c r="C340" s="58"/>
      <c r="D340" s="62" t="str">
        <f aca="false">IF(C340="","",IFERROR(INDEX(T_NOMBRE,MATCH(V340,T_RUTN,0)),"⚠ RUT no está en Trabajadores"))</f>
        <v/>
      </c>
      <c r="E340" s="61"/>
      <c r="F340" s="61"/>
      <c r="G340" s="61"/>
      <c r="H340" s="61"/>
      <c r="I340" s="81"/>
      <c r="J340" s="81"/>
      <c r="K340" s="60"/>
      <c r="L340" s="60"/>
      <c r="M340" s="60"/>
      <c r="N340" s="60"/>
      <c r="O340" s="60"/>
      <c r="P340" s="60"/>
      <c r="Q340" s="60"/>
      <c r="R340" s="58"/>
      <c r="S340" s="62" t="str">
        <f aca="false">IF(OR(B340="",V340=""),"",IFERROR(INDEX(C_TIPO,MATCH(V340&amp;"-P"&amp;MAX(1,COUNTIFS(C_RUTN,V340,C_DEF,"Sí",C_INI,"&lt;="&amp;EOMONTH(B340,0))),C_CLAVE,0))&amp;"","Sin contrato"))</f>
        <v/>
      </c>
      <c r="T340" s="63" t="str">
        <f aca="false">IF(OR(B340="",N(O340)=0),"",N(O340)+ROUND(MIN(N(N340),TOPE_UF*UF_MES)*(TASA_EMP+MUTUAL),0)+ROUND(MIN(N(N340),TOPE_AFC_UF*UF_MES)*IF(S340="Indefinido",AFC_INDEF,AFC_PF),0))</f>
        <v/>
      </c>
      <c r="U340" s="62" t="str">
        <f aca="false">IF(C340="","",IF(LEFT(D340,1)="⚠","⚠ RUT no registrado en Trabajadores",IF(B340="","⚠ Falta el mes",IF(OR(ISTEXT(I340),ISTEXT(J340)),"⚠ Atrasos u horas extra como texto: escriba hh:mm (ej. 1:30)",IF(AND(ISNUMBER(Q340),COUNTIFS(M_RUTN,V340,M_MES,B340,M_LIQ,"&lt;&gt;")&gt;1),"⚠ Liquidación repetida en el mes",IF(AND(ISNUMBER(O340),ISNUMBER(P340),ISNUMBER(Q340),ABS(O340-P340-Q340)&gt;1),"⚠ Haberes − descuentos no da el líquido","OK"))))))</f>
        <v/>
      </c>
      <c r="V340" s="62" t="str">
        <f aca="false">IF(C340="","",IFERROR(VALUE(LEFT(UPPER(SUBSTITUTE(SUBSTITUTE(SUBSTITUTE(TRIM(C340),".",""),"-","")," ","")),LEN(UPPER(SUBSTITUTE(SUBSTITUTE(SUBSTITUTE(TRIM(C340),".",""),"-","")," ","")))-1))&amp;RIGHT(UPPER(SUBSTITUTE(SUBSTITUTE(SUBSTITUTE(TRIM(C340),".",""),"-","")," ","")),1),UPPER(SUBSTITUTE(SUBSTITUTE(SUBSTITUTE(TRIM(C340),".",""),"-","")," ",""))))</f>
        <v/>
      </c>
    </row>
    <row r="341" customFormat="false" ht="15" hidden="false" customHeight="false" outlineLevel="0" collapsed="false">
      <c r="B341" s="80"/>
      <c r="C341" s="58"/>
      <c r="D341" s="62" t="str">
        <f aca="false">IF(C341="","",IFERROR(INDEX(T_NOMBRE,MATCH(V341,T_RUTN,0)),"⚠ RUT no está en Trabajadores"))</f>
        <v/>
      </c>
      <c r="E341" s="61"/>
      <c r="F341" s="61"/>
      <c r="G341" s="61"/>
      <c r="H341" s="61"/>
      <c r="I341" s="81"/>
      <c r="J341" s="81"/>
      <c r="K341" s="60"/>
      <c r="L341" s="60"/>
      <c r="M341" s="60"/>
      <c r="N341" s="60"/>
      <c r="O341" s="60"/>
      <c r="P341" s="60"/>
      <c r="Q341" s="60"/>
      <c r="R341" s="58"/>
      <c r="S341" s="62" t="str">
        <f aca="false">IF(OR(B341="",V341=""),"",IFERROR(INDEX(C_TIPO,MATCH(V341&amp;"-P"&amp;MAX(1,COUNTIFS(C_RUTN,V341,C_DEF,"Sí",C_INI,"&lt;="&amp;EOMONTH(B341,0))),C_CLAVE,0))&amp;"","Sin contrato"))</f>
        <v/>
      </c>
      <c r="T341" s="63" t="str">
        <f aca="false">IF(OR(B341="",N(O341)=0),"",N(O341)+ROUND(MIN(N(N341),TOPE_UF*UF_MES)*(TASA_EMP+MUTUAL),0)+ROUND(MIN(N(N341),TOPE_AFC_UF*UF_MES)*IF(S341="Indefinido",AFC_INDEF,AFC_PF),0))</f>
        <v/>
      </c>
      <c r="U341" s="62" t="str">
        <f aca="false">IF(C341="","",IF(LEFT(D341,1)="⚠","⚠ RUT no registrado en Trabajadores",IF(B341="","⚠ Falta el mes",IF(OR(ISTEXT(I341),ISTEXT(J341)),"⚠ Atrasos u horas extra como texto: escriba hh:mm (ej. 1:30)",IF(AND(ISNUMBER(Q341),COUNTIFS(M_RUTN,V341,M_MES,B341,M_LIQ,"&lt;&gt;")&gt;1),"⚠ Liquidación repetida en el mes",IF(AND(ISNUMBER(O341),ISNUMBER(P341),ISNUMBER(Q341),ABS(O341-P341-Q341)&gt;1),"⚠ Haberes − descuentos no da el líquido","OK"))))))</f>
        <v/>
      </c>
      <c r="V341" s="62" t="str">
        <f aca="false">IF(C341="","",IFERROR(VALUE(LEFT(UPPER(SUBSTITUTE(SUBSTITUTE(SUBSTITUTE(TRIM(C341),".",""),"-","")," ","")),LEN(UPPER(SUBSTITUTE(SUBSTITUTE(SUBSTITUTE(TRIM(C341),".",""),"-","")," ","")))-1))&amp;RIGHT(UPPER(SUBSTITUTE(SUBSTITUTE(SUBSTITUTE(TRIM(C341),".",""),"-","")," ","")),1),UPPER(SUBSTITUTE(SUBSTITUTE(SUBSTITUTE(TRIM(C341),".",""),"-","")," ",""))))</f>
        <v/>
      </c>
    </row>
    <row r="342" customFormat="false" ht="15" hidden="false" customHeight="false" outlineLevel="0" collapsed="false">
      <c r="B342" s="80"/>
      <c r="C342" s="58"/>
      <c r="D342" s="62" t="str">
        <f aca="false">IF(C342="","",IFERROR(INDEX(T_NOMBRE,MATCH(V342,T_RUTN,0)),"⚠ RUT no está en Trabajadores"))</f>
        <v/>
      </c>
      <c r="E342" s="61"/>
      <c r="F342" s="61"/>
      <c r="G342" s="61"/>
      <c r="H342" s="61"/>
      <c r="I342" s="81"/>
      <c r="J342" s="81"/>
      <c r="K342" s="60"/>
      <c r="L342" s="60"/>
      <c r="M342" s="60"/>
      <c r="N342" s="60"/>
      <c r="O342" s="60"/>
      <c r="P342" s="60"/>
      <c r="Q342" s="60"/>
      <c r="R342" s="58"/>
      <c r="S342" s="62" t="str">
        <f aca="false">IF(OR(B342="",V342=""),"",IFERROR(INDEX(C_TIPO,MATCH(V342&amp;"-P"&amp;MAX(1,COUNTIFS(C_RUTN,V342,C_DEF,"Sí",C_INI,"&lt;="&amp;EOMONTH(B342,0))),C_CLAVE,0))&amp;"","Sin contrato"))</f>
        <v/>
      </c>
      <c r="T342" s="63" t="str">
        <f aca="false">IF(OR(B342="",N(O342)=0),"",N(O342)+ROUND(MIN(N(N342),TOPE_UF*UF_MES)*(TASA_EMP+MUTUAL),0)+ROUND(MIN(N(N342),TOPE_AFC_UF*UF_MES)*IF(S342="Indefinido",AFC_INDEF,AFC_PF),0))</f>
        <v/>
      </c>
      <c r="U342" s="62" t="str">
        <f aca="false">IF(C342="","",IF(LEFT(D342,1)="⚠","⚠ RUT no registrado en Trabajadores",IF(B342="","⚠ Falta el mes",IF(OR(ISTEXT(I342),ISTEXT(J342)),"⚠ Atrasos u horas extra como texto: escriba hh:mm (ej. 1:30)",IF(AND(ISNUMBER(Q342),COUNTIFS(M_RUTN,V342,M_MES,B342,M_LIQ,"&lt;&gt;")&gt;1),"⚠ Liquidación repetida en el mes",IF(AND(ISNUMBER(O342),ISNUMBER(P342),ISNUMBER(Q342),ABS(O342-P342-Q342)&gt;1),"⚠ Haberes − descuentos no da el líquido","OK"))))))</f>
        <v/>
      </c>
      <c r="V342" s="62" t="str">
        <f aca="false">IF(C342="","",IFERROR(VALUE(LEFT(UPPER(SUBSTITUTE(SUBSTITUTE(SUBSTITUTE(TRIM(C342),".",""),"-","")," ","")),LEN(UPPER(SUBSTITUTE(SUBSTITUTE(SUBSTITUTE(TRIM(C342),".",""),"-","")," ","")))-1))&amp;RIGHT(UPPER(SUBSTITUTE(SUBSTITUTE(SUBSTITUTE(TRIM(C342),".",""),"-","")," ","")),1),UPPER(SUBSTITUTE(SUBSTITUTE(SUBSTITUTE(TRIM(C342),".",""),"-","")," ",""))))</f>
        <v/>
      </c>
    </row>
    <row r="343" customFormat="false" ht="15" hidden="false" customHeight="false" outlineLevel="0" collapsed="false">
      <c r="B343" s="80"/>
      <c r="C343" s="58"/>
      <c r="D343" s="62" t="str">
        <f aca="false">IF(C343="","",IFERROR(INDEX(T_NOMBRE,MATCH(V343,T_RUTN,0)),"⚠ RUT no está en Trabajadores"))</f>
        <v/>
      </c>
      <c r="E343" s="61"/>
      <c r="F343" s="61"/>
      <c r="G343" s="61"/>
      <c r="H343" s="61"/>
      <c r="I343" s="81"/>
      <c r="J343" s="81"/>
      <c r="K343" s="60"/>
      <c r="L343" s="60"/>
      <c r="M343" s="60"/>
      <c r="N343" s="60"/>
      <c r="O343" s="60"/>
      <c r="P343" s="60"/>
      <c r="Q343" s="60"/>
      <c r="R343" s="58"/>
      <c r="S343" s="62" t="str">
        <f aca="false">IF(OR(B343="",V343=""),"",IFERROR(INDEX(C_TIPO,MATCH(V343&amp;"-P"&amp;MAX(1,COUNTIFS(C_RUTN,V343,C_DEF,"Sí",C_INI,"&lt;="&amp;EOMONTH(B343,0))),C_CLAVE,0))&amp;"","Sin contrato"))</f>
        <v/>
      </c>
      <c r="T343" s="63" t="str">
        <f aca="false">IF(OR(B343="",N(O343)=0),"",N(O343)+ROUND(MIN(N(N343),TOPE_UF*UF_MES)*(TASA_EMP+MUTUAL),0)+ROUND(MIN(N(N343),TOPE_AFC_UF*UF_MES)*IF(S343="Indefinido",AFC_INDEF,AFC_PF),0))</f>
        <v/>
      </c>
      <c r="U343" s="62" t="str">
        <f aca="false">IF(C343="","",IF(LEFT(D343,1)="⚠","⚠ RUT no registrado en Trabajadores",IF(B343="","⚠ Falta el mes",IF(OR(ISTEXT(I343),ISTEXT(J343)),"⚠ Atrasos u horas extra como texto: escriba hh:mm (ej. 1:30)",IF(AND(ISNUMBER(Q343),COUNTIFS(M_RUTN,V343,M_MES,B343,M_LIQ,"&lt;&gt;")&gt;1),"⚠ Liquidación repetida en el mes",IF(AND(ISNUMBER(O343),ISNUMBER(P343),ISNUMBER(Q343),ABS(O343-P343-Q343)&gt;1),"⚠ Haberes − descuentos no da el líquido","OK"))))))</f>
        <v/>
      </c>
      <c r="V343" s="62" t="str">
        <f aca="false">IF(C343="","",IFERROR(VALUE(LEFT(UPPER(SUBSTITUTE(SUBSTITUTE(SUBSTITUTE(TRIM(C343),".",""),"-","")," ","")),LEN(UPPER(SUBSTITUTE(SUBSTITUTE(SUBSTITUTE(TRIM(C343),".",""),"-","")," ","")))-1))&amp;RIGHT(UPPER(SUBSTITUTE(SUBSTITUTE(SUBSTITUTE(TRIM(C343),".",""),"-","")," ","")),1),UPPER(SUBSTITUTE(SUBSTITUTE(SUBSTITUTE(TRIM(C343),".",""),"-","")," ",""))))</f>
        <v/>
      </c>
    </row>
    <row r="344" customFormat="false" ht="15" hidden="false" customHeight="false" outlineLevel="0" collapsed="false">
      <c r="B344" s="80"/>
      <c r="C344" s="58"/>
      <c r="D344" s="62" t="str">
        <f aca="false">IF(C344="","",IFERROR(INDEX(T_NOMBRE,MATCH(V344,T_RUTN,0)),"⚠ RUT no está en Trabajadores"))</f>
        <v/>
      </c>
      <c r="E344" s="61"/>
      <c r="F344" s="61"/>
      <c r="G344" s="61"/>
      <c r="H344" s="61"/>
      <c r="I344" s="81"/>
      <c r="J344" s="81"/>
      <c r="K344" s="60"/>
      <c r="L344" s="60"/>
      <c r="M344" s="60"/>
      <c r="N344" s="60"/>
      <c r="O344" s="60"/>
      <c r="P344" s="60"/>
      <c r="Q344" s="60"/>
      <c r="R344" s="58"/>
      <c r="S344" s="62" t="str">
        <f aca="false">IF(OR(B344="",V344=""),"",IFERROR(INDEX(C_TIPO,MATCH(V344&amp;"-P"&amp;MAX(1,COUNTIFS(C_RUTN,V344,C_DEF,"Sí",C_INI,"&lt;="&amp;EOMONTH(B344,0))),C_CLAVE,0))&amp;"","Sin contrato"))</f>
        <v/>
      </c>
      <c r="T344" s="63" t="str">
        <f aca="false">IF(OR(B344="",N(O344)=0),"",N(O344)+ROUND(MIN(N(N344),TOPE_UF*UF_MES)*(TASA_EMP+MUTUAL),0)+ROUND(MIN(N(N344),TOPE_AFC_UF*UF_MES)*IF(S344="Indefinido",AFC_INDEF,AFC_PF),0))</f>
        <v/>
      </c>
      <c r="U344" s="62" t="str">
        <f aca="false">IF(C344="","",IF(LEFT(D344,1)="⚠","⚠ RUT no registrado en Trabajadores",IF(B344="","⚠ Falta el mes",IF(OR(ISTEXT(I344),ISTEXT(J344)),"⚠ Atrasos u horas extra como texto: escriba hh:mm (ej. 1:30)",IF(AND(ISNUMBER(Q344),COUNTIFS(M_RUTN,V344,M_MES,B344,M_LIQ,"&lt;&gt;")&gt;1),"⚠ Liquidación repetida en el mes",IF(AND(ISNUMBER(O344),ISNUMBER(P344),ISNUMBER(Q344),ABS(O344-P344-Q344)&gt;1),"⚠ Haberes − descuentos no da el líquido","OK"))))))</f>
        <v/>
      </c>
      <c r="V344" s="62" t="str">
        <f aca="false">IF(C344="","",IFERROR(VALUE(LEFT(UPPER(SUBSTITUTE(SUBSTITUTE(SUBSTITUTE(TRIM(C344),".",""),"-","")," ","")),LEN(UPPER(SUBSTITUTE(SUBSTITUTE(SUBSTITUTE(TRIM(C344),".",""),"-","")," ","")))-1))&amp;RIGHT(UPPER(SUBSTITUTE(SUBSTITUTE(SUBSTITUTE(TRIM(C344),".",""),"-","")," ","")),1),UPPER(SUBSTITUTE(SUBSTITUTE(SUBSTITUTE(TRIM(C344),".",""),"-","")," ",""))))</f>
        <v/>
      </c>
    </row>
    <row r="345" customFormat="false" ht="15" hidden="false" customHeight="false" outlineLevel="0" collapsed="false">
      <c r="B345" s="80"/>
      <c r="C345" s="58"/>
      <c r="D345" s="62" t="str">
        <f aca="false">IF(C345="","",IFERROR(INDEX(T_NOMBRE,MATCH(V345,T_RUTN,0)),"⚠ RUT no está en Trabajadores"))</f>
        <v/>
      </c>
      <c r="E345" s="61"/>
      <c r="F345" s="61"/>
      <c r="G345" s="61"/>
      <c r="H345" s="61"/>
      <c r="I345" s="81"/>
      <c r="J345" s="81"/>
      <c r="K345" s="60"/>
      <c r="L345" s="60"/>
      <c r="M345" s="60"/>
      <c r="N345" s="60"/>
      <c r="O345" s="60"/>
      <c r="P345" s="60"/>
      <c r="Q345" s="60"/>
      <c r="R345" s="58"/>
      <c r="S345" s="62" t="str">
        <f aca="false">IF(OR(B345="",V345=""),"",IFERROR(INDEX(C_TIPO,MATCH(V345&amp;"-P"&amp;MAX(1,COUNTIFS(C_RUTN,V345,C_DEF,"Sí",C_INI,"&lt;="&amp;EOMONTH(B345,0))),C_CLAVE,0))&amp;"","Sin contrato"))</f>
        <v/>
      </c>
      <c r="T345" s="63" t="str">
        <f aca="false">IF(OR(B345="",N(O345)=0),"",N(O345)+ROUND(MIN(N(N345),TOPE_UF*UF_MES)*(TASA_EMP+MUTUAL),0)+ROUND(MIN(N(N345),TOPE_AFC_UF*UF_MES)*IF(S345="Indefinido",AFC_INDEF,AFC_PF),0))</f>
        <v/>
      </c>
      <c r="U345" s="62" t="str">
        <f aca="false">IF(C345="","",IF(LEFT(D345,1)="⚠","⚠ RUT no registrado en Trabajadores",IF(B345="","⚠ Falta el mes",IF(OR(ISTEXT(I345),ISTEXT(J345)),"⚠ Atrasos u horas extra como texto: escriba hh:mm (ej. 1:30)",IF(AND(ISNUMBER(Q345),COUNTIFS(M_RUTN,V345,M_MES,B345,M_LIQ,"&lt;&gt;")&gt;1),"⚠ Liquidación repetida en el mes",IF(AND(ISNUMBER(O345),ISNUMBER(P345),ISNUMBER(Q345),ABS(O345-P345-Q345)&gt;1),"⚠ Haberes − descuentos no da el líquido","OK"))))))</f>
        <v/>
      </c>
      <c r="V345" s="62" t="str">
        <f aca="false">IF(C345="","",IFERROR(VALUE(LEFT(UPPER(SUBSTITUTE(SUBSTITUTE(SUBSTITUTE(TRIM(C345),".",""),"-","")," ","")),LEN(UPPER(SUBSTITUTE(SUBSTITUTE(SUBSTITUTE(TRIM(C345),".",""),"-","")," ","")))-1))&amp;RIGHT(UPPER(SUBSTITUTE(SUBSTITUTE(SUBSTITUTE(TRIM(C345),".",""),"-","")," ","")),1),UPPER(SUBSTITUTE(SUBSTITUTE(SUBSTITUTE(TRIM(C345),".",""),"-","")," ",""))))</f>
        <v/>
      </c>
    </row>
    <row r="346" customFormat="false" ht="15" hidden="false" customHeight="false" outlineLevel="0" collapsed="false">
      <c r="B346" s="80"/>
      <c r="C346" s="58"/>
      <c r="D346" s="62" t="str">
        <f aca="false">IF(C346="","",IFERROR(INDEX(T_NOMBRE,MATCH(V346,T_RUTN,0)),"⚠ RUT no está en Trabajadores"))</f>
        <v/>
      </c>
      <c r="E346" s="61"/>
      <c r="F346" s="61"/>
      <c r="G346" s="61"/>
      <c r="H346" s="61"/>
      <c r="I346" s="81"/>
      <c r="J346" s="81"/>
      <c r="K346" s="60"/>
      <c r="L346" s="60"/>
      <c r="M346" s="60"/>
      <c r="N346" s="60"/>
      <c r="O346" s="60"/>
      <c r="P346" s="60"/>
      <c r="Q346" s="60"/>
      <c r="R346" s="58"/>
      <c r="S346" s="62" t="str">
        <f aca="false">IF(OR(B346="",V346=""),"",IFERROR(INDEX(C_TIPO,MATCH(V346&amp;"-P"&amp;MAX(1,COUNTIFS(C_RUTN,V346,C_DEF,"Sí",C_INI,"&lt;="&amp;EOMONTH(B346,0))),C_CLAVE,0))&amp;"","Sin contrato"))</f>
        <v/>
      </c>
      <c r="T346" s="63" t="str">
        <f aca="false">IF(OR(B346="",N(O346)=0),"",N(O346)+ROUND(MIN(N(N346),TOPE_UF*UF_MES)*(TASA_EMP+MUTUAL),0)+ROUND(MIN(N(N346),TOPE_AFC_UF*UF_MES)*IF(S346="Indefinido",AFC_INDEF,AFC_PF),0))</f>
        <v/>
      </c>
      <c r="U346" s="62" t="str">
        <f aca="false">IF(C346="","",IF(LEFT(D346,1)="⚠","⚠ RUT no registrado en Trabajadores",IF(B346="","⚠ Falta el mes",IF(OR(ISTEXT(I346),ISTEXT(J346)),"⚠ Atrasos u horas extra como texto: escriba hh:mm (ej. 1:30)",IF(AND(ISNUMBER(Q346),COUNTIFS(M_RUTN,V346,M_MES,B346,M_LIQ,"&lt;&gt;")&gt;1),"⚠ Liquidación repetida en el mes",IF(AND(ISNUMBER(O346),ISNUMBER(P346),ISNUMBER(Q346),ABS(O346-P346-Q346)&gt;1),"⚠ Haberes − descuentos no da el líquido","OK"))))))</f>
        <v/>
      </c>
      <c r="V346" s="62" t="str">
        <f aca="false">IF(C346="","",IFERROR(VALUE(LEFT(UPPER(SUBSTITUTE(SUBSTITUTE(SUBSTITUTE(TRIM(C346),".",""),"-","")," ","")),LEN(UPPER(SUBSTITUTE(SUBSTITUTE(SUBSTITUTE(TRIM(C346),".",""),"-","")," ","")))-1))&amp;RIGHT(UPPER(SUBSTITUTE(SUBSTITUTE(SUBSTITUTE(TRIM(C346),".",""),"-","")," ","")),1),UPPER(SUBSTITUTE(SUBSTITUTE(SUBSTITUTE(TRIM(C346),".",""),"-","")," ",""))))</f>
        <v/>
      </c>
    </row>
    <row r="347" customFormat="false" ht="15" hidden="false" customHeight="false" outlineLevel="0" collapsed="false">
      <c r="B347" s="80"/>
      <c r="C347" s="58"/>
      <c r="D347" s="62" t="str">
        <f aca="false">IF(C347="","",IFERROR(INDEX(T_NOMBRE,MATCH(V347,T_RUTN,0)),"⚠ RUT no está en Trabajadores"))</f>
        <v/>
      </c>
      <c r="E347" s="61"/>
      <c r="F347" s="61"/>
      <c r="G347" s="61"/>
      <c r="H347" s="61"/>
      <c r="I347" s="81"/>
      <c r="J347" s="81"/>
      <c r="K347" s="60"/>
      <c r="L347" s="60"/>
      <c r="M347" s="60"/>
      <c r="N347" s="60"/>
      <c r="O347" s="60"/>
      <c r="P347" s="60"/>
      <c r="Q347" s="60"/>
      <c r="R347" s="58"/>
      <c r="S347" s="62" t="str">
        <f aca="false">IF(OR(B347="",V347=""),"",IFERROR(INDEX(C_TIPO,MATCH(V347&amp;"-P"&amp;MAX(1,COUNTIFS(C_RUTN,V347,C_DEF,"Sí",C_INI,"&lt;="&amp;EOMONTH(B347,0))),C_CLAVE,0))&amp;"","Sin contrato"))</f>
        <v/>
      </c>
      <c r="T347" s="63" t="str">
        <f aca="false">IF(OR(B347="",N(O347)=0),"",N(O347)+ROUND(MIN(N(N347),TOPE_UF*UF_MES)*(TASA_EMP+MUTUAL),0)+ROUND(MIN(N(N347),TOPE_AFC_UF*UF_MES)*IF(S347="Indefinido",AFC_INDEF,AFC_PF),0))</f>
        <v/>
      </c>
      <c r="U347" s="62" t="str">
        <f aca="false">IF(C347="","",IF(LEFT(D347,1)="⚠","⚠ RUT no registrado en Trabajadores",IF(B347="","⚠ Falta el mes",IF(OR(ISTEXT(I347),ISTEXT(J347)),"⚠ Atrasos u horas extra como texto: escriba hh:mm (ej. 1:30)",IF(AND(ISNUMBER(Q347),COUNTIFS(M_RUTN,V347,M_MES,B347,M_LIQ,"&lt;&gt;")&gt;1),"⚠ Liquidación repetida en el mes",IF(AND(ISNUMBER(O347),ISNUMBER(P347),ISNUMBER(Q347),ABS(O347-P347-Q347)&gt;1),"⚠ Haberes − descuentos no da el líquido","OK"))))))</f>
        <v/>
      </c>
      <c r="V347" s="62" t="str">
        <f aca="false">IF(C347="","",IFERROR(VALUE(LEFT(UPPER(SUBSTITUTE(SUBSTITUTE(SUBSTITUTE(TRIM(C347),".",""),"-","")," ","")),LEN(UPPER(SUBSTITUTE(SUBSTITUTE(SUBSTITUTE(TRIM(C347),".",""),"-","")," ","")))-1))&amp;RIGHT(UPPER(SUBSTITUTE(SUBSTITUTE(SUBSTITUTE(TRIM(C347),".",""),"-","")," ","")),1),UPPER(SUBSTITUTE(SUBSTITUTE(SUBSTITUTE(TRIM(C347),".",""),"-","")," ",""))))</f>
        <v/>
      </c>
    </row>
    <row r="348" customFormat="false" ht="15" hidden="false" customHeight="false" outlineLevel="0" collapsed="false">
      <c r="B348" s="80"/>
      <c r="C348" s="58"/>
      <c r="D348" s="62" t="str">
        <f aca="false">IF(C348="","",IFERROR(INDEX(T_NOMBRE,MATCH(V348,T_RUTN,0)),"⚠ RUT no está en Trabajadores"))</f>
        <v/>
      </c>
      <c r="E348" s="61"/>
      <c r="F348" s="61"/>
      <c r="G348" s="61"/>
      <c r="H348" s="61"/>
      <c r="I348" s="81"/>
      <c r="J348" s="81"/>
      <c r="K348" s="60"/>
      <c r="L348" s="60"/>
      <c r="M348" s="60"/>
      <c r="N348" s="60"/>
      <c r="O348" s="60"/>
      <c r="P348" s="60"/>
      <c r="Q348" s="60"/>
      <c r="R348" s="58"/>
      <c r="S348" s="62" t="str">
        <f aca="false">IF(OR(B348="",V348=""),"",IFERROR(INDEX(C_TIPO,MATCH(V348&amp;"-P"&amp;MAX(1,COUNTIFS(C_RUTN,V348,C_DEF,"Sí",C_INI,"&lt;="&amp;EOMONTH(B348,0))),C_CLAVE,0))&amp;"","Sin contrato"))</f>
        <v/>
      </c>
      <c r="T348" s="63" t="str">
        <f aca="false">IF(OR(B348="",N(O348)=0),"",N(O348)+ROUND(MIN(N(N348),TOPE_UF*UF_MES)*(TASA_EMP+MUTUAL),0)+ROUND(MIN(N(N348),TOPE_AFC_UF*UF_MES)*IF(S348="Indefinido",AFC_INDEF,AFC_PF),0))</f>
        <v/>
      </c>
      <c r="U348" s="62" t="str">
        <f aca="false">IF(C348="","",IF(LEFT(D348,1)="⚠","⚠ RUT no registrado en Trabajadores",IF(B348="","⚠ Falta el mes",IF(OR(ISTEXT(I348),ISTEXT(J348)),"⚠ Atrasos u horas extra como texto: escriba hh:mm (ej. 1:30)",IF(AND(ISNUMBER(Q348),COUNTIFS(M_RUTN,V348,M_MES,B348,M_LIQ,"&lt;&gt;")&gt;1),"⚠ Liquidación repetida en el mes",IF(AND(ISNUMBER(O348),ISNUMBER(P348),ISNUMBER(Q348),ABS(O348-P348-Q348)&gt;1),"⚠ Haberes − descuentos no da el líquido","OK"))))))</f>
        <v/>
      </c>
      <c r="V348" s="62" t="str">
        <f aca="false">IF(C348="","",IFERROR(VALUE(LEFT(UPPER(SUBSTITUTE(SUBSTITUTE(SUBSTITUTE(TRIM(C348),".",""),"-","")," ","")),LEN(UPPER(SUBSTITUTE(SUBSTITUTE(SUBSTITUTE(TRIM(C348),".",""),"-","")," ","")))-1))&amp;RIGHT(UPPER(SUBSTITUTE(SUBSTITUTE(SUBSTITUTE(TRIM(C348),".",""),"-","")," ","")),1),UPPER(SUBSTITUTE(SUBSTITUTE(SUBSTITUTE(TRIM(C348),".",""),"-","")," ",""))))</f>
        <v/>
      </c>
    </row>
    <row r="349" customFormat="false" ht="15" hidden="false" customHeight="false" outlineLevel="0" collapsed="false">
      <c r="B349" s="80"/>
      <c r="C349" s="58"/>
      <c r="D349" s="62" t="str">
        <f aca="false">IF(C349="","",IFERROR(INDEX(T_NOMBRE,MATCH(V349,T_RUTN,0)),"⚠ RUT no está en Trabajadores"))</f>
        <v/>
      </c>
      <c r="E349" s="61"/>
      <c r="F349" s="61"/>
      <c r="G349" s="61"/>
      <c r="H349" s="61"/>
      <c r="I349" s="81"/>
      <c r="J349" s="81"/>
      <c r="K349" s="60"/>
      <c r="L349" s="60"/>
      <c r="M349" s="60"/>
      <c r="N349" s="60"/>
      <c r="O349" s="60"/>
      <c r="P349" s="60"/>
      <c r="Q349" s="60"/>
      <c r="R349" s="58"/>
      <c r="S349" s="62" t="str">
        <f aca="false">IF(OR(B349="",V349=""),"",IFERROR(INDEX(C_TIPO,MATCH(V349&amp;"-P"&amp;MAX(1,COUNTIFS(C_RUTN,V349,C_DEF,"Sí",C_INI,"&lt;="&amp;EOMONTH(B349,0))),C_CLAVE,0))&amp;"","Sin contrato"))</f>
        <v/>
      </c>
      <c r="T349" s="63" t="str">
        <f aca="false">IF(OR(B349="",N(O349)=0),"",N(O349)+ROUND(MIN(N(N349),TOPE_UF*UF_MES)*(TASA_EMP+MUTUAL),0)+ROUND(MIN(N(N349),TOPE_AFC_UF*UF_MES)*IF(S349="Indefinido",AFC_INDEF,AFC_PF),0))</f>
        <v/>
      </c>
      <c r="U349" s="62" t="str">
        <f aca="false">IF(C349="","",IF(LEFT(D349,1)="⚠","⚠ RUT no registrado en Trabajadores",IF(B349="","⚠ Falta el mes",IF(OR(ISTEXT(I349),ISTEXT(J349)),"⚠ Atrasos u horas extra como texto: escriba hh:mm (ej. 1:30)",IF(AND(ISNUMBER(Q349),COUNTIFS(M_RUTN,V349,M_MES,B349,M_LIQ,"&lt;&gt;")&gt;1),"⚠ Liquidación repetida en el mes",IF(AND(ISNUMBER(O349),ISNUMBER(P349),ISNUMBER(Q349),ABS(O349-P349-Q349)&gt;1),"⚠ Haberes − descuentos no da el líquido","OK"))))))</f>
        <v/>
      </c>
      <c r="V349" s="62" t="str">
        <f aca="false">IF(C349="","",IFERROR(VALUE(LEFT(UPPER(SUBSTITUTE(SUBSTITUTE(SUBSTITUTE(TRIM(C349),".",""),"-","")," ","")),LEN(UPPER(SUBSTITUTE(SUBSTITUTE(SUBSTITUTE(TRIM(C349),".",""),"-","")," ","")))-1))&amp;RIGHT(UPPER(SUBSTITUTE(SUBSTITUTE(SUBSTITUTE(TRIM(C349),".",""),"-","")," ","")),1),UPPER(SUBSTITUTE(SUBSTITUTE(SUBSTITUTE(TRIM(C349),".",""),"-","")," ",""))))</f>
        <v/>
      </c>
    </row>
    <row r="350" customFormat="false" ht="15" hidden="false" customHeight="false" outlineLevel="0" collapsed="false">
      <c r="B350" s="80"/>
      <c r="C350" s="58"/>
      <c r="D350" s="62" t="str">
        <f aca="false">IF(C350="","",IFERROR(INDEX(T_NOMBRE,MATCH(V350,T_RUTN,0)),"⚠ RUT no está en Trabajadores"))</f>
        <v/>
      </c>
      <c r="E350" s="61"/>
      <c r="F350" s="61"/>
      <c r="G350" s="61"/>
      <c r="H350" s="61"/>
      <c r="I350" s="81"/>
      <c r="J350" s="81"/>
      <c r="K350" s="60"/>
      <c r="L350" s="60"/>
      <c r="M350" s="60"/>
      <c r="N350" s="60"/>
      <c r="O350" s="60"/>
      <c r="P350" s="60"/>
      <c r="Q350" s="60"/>
      <c r="R350" s="58"/>
      <c r="S350" s="62" t="str">
        <f aca="false">IF(OR(B350="",V350=""),"",IFERROR(INDEX(C_TIPO,MATCH(V350&amp;"-P"&amp;MAX(1,COUNTIFS(C_RUTN,V350,C_DEF,"Sí",C_INI,"&lt;="&amp;EOMONTH(B350,0))),C_CLAVE,0))&amp;"","Sin contrato"))</f>
        <v/>
      </c>
      <c r="T350" s="63" t="str">
        <f aca="false">IF(OR(B350="",N(O350)=0),"",N(O350)+ROUND(MIN(N(N350),TOPE_UF*UF_MES)*(TASA_EMP+MUTUAL),0)+ROUND(MIN(N(N350),TOPE_AFC_UF*UF_MES)*IF(S350="Indefinido",AFC_INDEF,AFC_PF),0))</f>
        <v/>
      </c>
      <c r="U350" s="62" t="str">
        <f aca="false">IF(C350="","",IF(LEFT(D350,1)="⚠","⚠ RUT no registrado en Trabajadores",IF(B350="","⚠ Falta el mes",IF(OR(ISTEXT(I350),ISTEXT(J350)),"⚠ Atrasos u horas extra como texto: escriba hh:mm (ej. 1:30)",IF(AND(ISNUMBER(Q350),COUNTIFS(M_RUTN,V350,M_MES,B350,M_LIQ,"&lt;&gt;")&gt;1),"⚠ Liquidación repetida en el mes",IF(AND(ISNUMBER(O350),ISNUMBER(P350),ISNUMBER(Q350),ABS(O350-P350-Q350)&gt;1),"⚠ Haberes − descuentos no da el líquido","OK"))))))</f>
        <v/>
      </c>
      <c r="V350" s="62" t="str">
        <f aca="false">IF(C350="","",IFERROR(VALUE(LEFT(UPPER(SUBSTITUTE(SUBSTITUTE(SUBSTITUTE(TRIM(C350),".",""),"-","")," ","")),LEN(UPPER(SUBSTITUTE(SUBSTITUTE(SUBSTITUTE(TRIM(C350),".",""),"-","")," ","")))-1))&amp;RIGHT(UPPER(SUBSTITUTE(SUBSTITUTE(SUBSTITUTE(TRIM(C350),".",""),"-","")," ","")),1),UPPER(SUBSTITUTE(SUBSTITUTE(SUBSTITUTE(TRIM(C350),".",""),"-","")," ",""))))</f>
        <v/>
      </c>
    </row>
    <row r="351" customFormat="false" ht="15" hidden="false" customHeight="false" outlineLevel="0" collapsed="false">
      <c r="B351" s="80"/>
      <c r="C351" s="58"/>
      <c r="D351" s="62" t="str">
        <f aca="false">IF(C351="","",IFERROR(INDEX(T_NOMBRE,MATCH(V351,T_RUTN,0)),"⚠ RUT no está en Trabajadores"))</f>
        <v/>
      </c>
      <c r="E351" s="61"/>
      <c r="F351" s="61"/>
      <c r="G351" s="61"/>
      <c r="H351" s="61"/>
      <c r="I351" s="81"/>
      <c r="J351" s="81"/>
      <c r="K351" s="60"/>
      <c r="L351" s="60"/>
      <c r="M351" s="60"/>
      <c r="N351" s="60"/>
      <c r="O351" s="60"/>
      <c r="P351" s="60"/>
      <c r="Q351" s="60"/>
      <c r="R351" s="58"/>
      <c r="S351" s="62" t="str">
        <f aca="false">IF(OR(B351="",V351=""),"",IFERROR(INDEX(C_TIPO,MATCH(V351&amp;"-P"&amp;MAX(1,COUNTIFS(C_RUTN,V351,C_DEF,"Sí",C_INI,"&lt;="&amp;EOMONTH(B351,0))),C_CLAVE,0))&amp;"","Sin contrato"))</f>
        <v/>
      </c>
      <c r="T351" s="63" t="str">
        <f aca="false">IF(OR(B351="",N(O351)=0),"",N(O351)+ROUND(MIN(N(N351),TOPE_UF*UF_MES)*(TASA_EMP+MUTUAL),0)+ROUND(MIN(N(N351),TOPE_AFC_UF*UF_MES)*IF(S351="Indefinido",AFC_INDEF,AFC_PF),0))</f>
        <v/>
      </c>
      <c r="U351" s="62" t="str">
        <f aca="false">IF(C351="","",IF(LEFT(D351,1)="⚠","⚠ RUT no registrado en Trabajadores",IF(B351="","⚠ Falta el mes",IF(OR(ISTEXT(I351),ISTEXT(J351)),"⚠ Atrasos u horas extra como texto: escriba hh:mm (ej. 1:30)",IF(AND(ISNUMBER(Q351),COUNTIFS(M_RUTN,V351,M_MES,B351,M_LIQ,"&lt;&gt;")&gt;1),"⚠ Liquidación repetida en el mes",IF(AND(ISNUMBER(O351),ISNUMBER(P351),ISNUMBER(Q351),ABS(O351-P351-Q351)&gt;1),"⚠ Haberes − descuentos no da el líquido","OK"))))))</f>
        <v/>
      </c>
      <c r="V351" s="62" t="str">
        <f aca="false">IF(C351="","",IFERROR(VALUE(LEFT(UPPER(SUBSTITUTE(SUBSTITUTE(SUBSTITUTE(TRIM(C351),".",""),"-","")," ","")),LEN(UPPER(SUBSTITUTE(SUBSTITUTE(SUBSTITUTE(TRIM(C351),".",""),"-","")," ","")))-1))&amp;RIGHT(UPPER(SUBSTITUTE(SUBSTITUTE(SUBSTITUTE(TRIM(C351),".",""),"-","")," ","")),1),UPPER(SUBSTITUTE(SUBSTITUTE(SUBSTITUTE(TRIM(C351),".",""),"-","")," ",""))))</f>
        <v/>
      </c>
    </row>
    <row r="352" customFormat="false" ht="15" hidden="false" customHeight="false" outlineLevel="0" collapsed="false">
      <c r="B352" s="80"/>
      <c r="C352" s="58"/>
      <c r="D352" s="62" t="str">
        <f aca="false">IF(C352="","",IFERROR(INDEX(T_NOMBRE,MATCH(V352,T_RUTN,0)),"⚠ RUT no está en Trabajadores"))</f>
        <v/>
      </c>
      <c r="E352" s="61"/>
      <c r="F352" s="61"/>
      <c r="G352" s="61"/>
      <c r="H352" s="61"/>
      <c r="I352" s="81"/>
      <c r="J352" s="81"/>
      <c r="K352" s="60"/>
      <c r="L352" s="60"/>
      <c r="M352" s="60"/>
      <c r="N352" s="60"/>
      <c r="O352" s="60"/>
      <c r="P352" s="60"/>
      <c r="Q352" s="60"/>
      <c r="R352" s="58"/>
      <c r="S352" s="62" t="str">
        <f aca="false">IF(OR(B352="",V352=""),"",IFERROR(INDEX(C_TIPO,MATCH(V352&amp;"-P"&amp;MAX(1,COUNTIFS(C_RUTN,V352,C_DEF,"Sí",C_INI,"&lt;="&amp;EOMONTH(B352,0))),C_CLAVE,0))&amp;"","Sin contrato"))</f>
        <v/>
      </c>
      <c r="T352" s="63" t="str">
        <f aca="false">IF(OR(B352="",N(O352)=0),"",N(O352)+ROUND(MIN(N(N352),TOPE_UF*UF_MES)*(TASA_EMP+MUTUAL),0)+ROUND(MIN(N(N352),TOPE_AFC_UF*UF_MES)*IF(S352="Indefinido",AFC_INDEF,AFC_PF),0))</f>
        <v/>
      </c>
      <c r="U352" s="62" t="str">
        <f aca="false">IF(C352="","",IF(LEFT(D352,1)="⚠","⚠ RUT no registrado en Trabajadores",IF(B352="","⚠ Falta el mes",IF(OR(ISTEXT(I352),ISTEXT(J352)),"⚠ Atrasos u horas extra como texto: escriba hh:mm (ej. 1:30)",IF(AND(ISNUMBER(Q352),COUNTIFS(M_RUTN,V352,M_MES,B352,M_LIQ,"&lt;&gt;")&gt;1),"⚠ Liquidación repetida en el mes",IF(AND(ISNUMBER(O352),ISNUMBER(P352),ISNUMBER(Q352),ABS(O352-P352-Q352)&gt;1),"⚠ Haberes − descuentos no da el líquido","OK"))))))</f>
        <v/>
      </c>
      <c r="V352" s="62" t="str">
        <f aca="false">IF(C352="","",IFERROR(VALUE(LEFT(UPPER(SUBSTITUTE(SUBSTITUTE(SUBSTITUTE(TRIM(C352),".",""),"-","")," ","")),LEN(UPPER(SUBSTITUTE(SUBSTITUTE(SUBSTITUTE(TRIM(C352),".",""),"-","")," ","")))-1))&amp;RIGHT(UPPER(SUBSTITUTE(SUBSTITUTE(SUBSTITUTE(TRIM(C352),".",""),"-","")," ","")),1),UPPER(SUBSTITUTE(SUBSTITUTE(SUBSTITUTE(TRIM(C352),".",""),"-","")," ",""))))</f>
        <v/>
      </c>
    </row>
    <row r="353" customFormat="false" ht="15" hidden="false" customHeight="false" outlineLevel="0" collapsed="false">
      <c r="B353" s="80"/>
      <c r="C353" s="58"/>
      <c r="D353" s="62" t="str">
        <f aca="false">IF(C353="","",IFERROR(INDEX(T_NOMBRE,MATCH(V353,T_RUTN,0)),"⚠ RUT no está en Trabajadores"))</f>
        <v/>
      </c>
      <c r="E353" s="61"/>
      <c r="F353" s="61"/>
      <c r="G353" s="61"/>
      <c r="H353" s="61"/>
      <c r="I353" s="81"/>
      <c r="J353" s="81"/>
      <c r="K353" s="60"/>
      <c r="L353" s="60"/>
      <c r="M353" s="60"/>
      <c r="N353" s="60"/>
      <c r="O353" s="60"/>
      <c r="P353" s="60"/>
      <c r="Q353" s="60"/>
      <c r="R353" s="58"/>
      <c r="S353" s="62" t="str">
        <f aca="false">IF(OR(B353="",V353=""),"",IFERROR(INDEX(C_TIPO,MATCH(V353&amp;"-P"&amp;MAX(1,COUNTIFS(C_RUTN,V353,C_DEF,"Sí",C_INI,"&lt;="&amp;EOMONTH(B353,0))),C_CLAVE,0))&amp;"","Sin contrato"))</f>
        <v/>
      </c>
      <c r="T353" s="63" t="str">
        <f aca="false">IF(OR(B353="",N(O353)=0),"",N(O353)+ROUND(MIN(N(N353),TOPE_UF*UF_MES)*(TASA_EMP+MUTUAL),0)+ROUND(MIN(N(N353),TOPE_AFC_UF*UF_MES)*IF(S353="Indefinido",AFC_INDEF,AFC_PF),0))</f>
        <v/>
      </c>
      <c r="U353" s="62" t="str">
        <f aca="false">IF(C353="","",IF(LEFT(D353,1)="⚠","⚠ RUT no registrado en Trabajadores",IF(B353="","⚠ Falta el mes",IF(OR(ISTEXT(I353),ISTEXT(J353)),"⚠ Atrasos u horas extra como texto: escriba hh:mm (ej. 1:30)",IF(AND(ISNUMBER(Q353),COUNTIFS(M_RUTN,V353,M_MES,B353,M_LIQ,"&lt;&gt;")&gt;1),"⚠ Liquidación repetida en el mes",IF(AND(ISNUMBER(O353),ISNUMBER(P353),ISNUMBER(Q353),ABS(O353-P353-Q353)&gt;1),"⚠ Haberes − descuentos no da el líquido","OK"))))))</f>
        <v/>
      </c>
      <c r="V353" s="62" t="str">
        <f aca="false">IF(C353="","",IFERROR(VALUE(LEFT(UPPER(SUBSTITUTE(SUBSTITUTE(SUBSTITUTE(TRIM(C353),".",""),"-","")," ","")),LEN(UPPER(SUBSTITUTE(SUBSTITUTE(SUBSTITUTE(TRIM(C353),".",""),"-","")," ","")))-1))&amp;RIGHT(UPPER(SUBSTITUTE(SUBSTITUTE(SUBSTITUTE(TRIM(C353),".",""),"-","")," ","")),1),UPPER(SUBSTITUTE(SUBSTITUTE(SUBSTITUTE(TRIM(C353),".",""),"-","")," ",""))))</f>
        <v/>
      </c>
    </row>
    <row r="354" customFormat="false" ht="15" hidden="false" customHeight="false" outlineLevel="0" collapsed="false">
      <c r="B354" s="80"/>
      <c r="C354" s="58"/>
      <c r="D354" s="62" t="str">
        <f aca="false">IF(C354="","",IFERROR(INDEX(T_NOMBRE,MATCH(V354,T_RUTN,0)),"⚠ RUT no está en Trabajadores"))</f>
        <v/>
      </c>
      <c r="E354" s="61"/>
      <c r="F354" s="61"/>
      <c r="G354" s="61"/>
      <c r="H354" s="61"/>
      <c r="I354" s="81"/>
      <c r="J354" s="81"/>
      <c r="K354" s="60"/>
      <c r="L354" s="60"/>
      <c r="M354" s="60"/>
      <c r="N354" s="60"/>
      <c r="O354" s="60"/>
      <c r="P354" s="60"/>
      <c r="Q354" s="60"/>
      <c r="R354" s="58"/>
      <c r="S354" s="62" t="str">
        <f aca="false">IF(OR(B354="",V354=""),"",IFERROR(INDEX(C_TIPO,MATCH(V354&amp;"-P"&amp;MAX(1,COUNTIFS(C_RUTN,V354,C_DEF,"Sí",C_INI,"&lt;="&amp;EOMONTH(B354,0))),C_CLAVE,0))&amp;"","Sin contrato"))</f>
        <v/>
      </c>
      <c r="T354" s="63" t="str">
        <f aca="false">IF(OR(B354="",N(O354)=0),"",N(O354)+ROUND(MIN(N(N354),TOPE_UF*UF_MES)*(TASA_EMP+MUTUAL),0)+ROUND(MIN(N(N354),TOPE_AFC_UF*UF_MES)*IF(S354="Indefinido",AFC_INDEF,AFC_PF),0))</f>
        <v/>
      </c>
      <c r="U354" s="62" t="str">
        <f aca="false">IF(C354="","",IF(LEFT(D354,1)="⚠","⚠ RUT no registrado en Trabajadores",IF(B354="","⚠ Falta el mes",IF(OR(ISTEXT(I354),ISTEXT(J354)),"⚠ Atrasos u horas extra como texto: escriba hh:mm (ej. 1:30)",IF(AND(ISNUMBER(Q354),COUNTIFS(M_RUTN,V354,M_MES,B354,M_LIQ,"&lt;&gt;")&gt;1),"⚠ Liquidación repetida en el mes",IF(AND(ISNUMBER(O354),ISNUMBER(P354),ISNUMBER(Q354),ABS(O354-P354-Q354)&gt;1),"⚠ Haberes − descuentos no da el líquido","OK"))))))</f>
        <v/>
      </c>
      <c r="V354" s="62" t="str">
        <f aca="false">IF(C354="","",IFERROR(VALUE(LEFT(UPPER(SUBSTITUTE(SUBSTITUTE(SUBSTITUTE(TRIM(C354),".",""),"-","")," ","")),LEN(UPPER(SUBSTITUTE(SUBSTITUTE(SUBSTITUTE(TRIM(C354),".",""),"-","")," ","")))-1))&amp;RIGHT(UPPER(SUBSTITUTE(SUBSTITUTE(SUBSTITUTE(TRIM(C354),".",""),"-","")," ","")),1),UPPER(SUBSTITUTE(SUBSTITUTE(SUBSTITUTE(TRIM(C354),".",""),"-","")," ",""))))</f>
        <v/>
      </c>
    </row>
    <row r="355" customFormat="false" ht="15" hidden="false" customHeight="false" outlineLevel="0" collapsed="false">
      <c r="B355" s="80"/>
      <c r="C355" s="58"/>
      <c r="D355" s="62" t="str">
        <f aca="false">IF(C355="","",IFERROR(INDEX(T_NOMBRE,MATCH(V355,T_RUTN,0)),"⚠ RUT no está en Trabajadores"))</f>
        <v/>
      </c>
      <c r="E355" s="61"/>
      <c r="F355" s="61"/>
      <c r="G355" s="61"/>
      <c r="H355" s="61"/>
      <c r="I355" s="81"/>
      <c r="J355" s="81"/>
      <c r="K355" s="60"/>
      <c r="L355" s="60"/>
      <c r="M355" s="60"/>
      <c r="N355" s="60"/>
      <c r="O355" s="60"/>
      <c r="P355" s="60"/>
      <c r="Q355" s="60"/>
      <c r="R355" s="58"/>
      <c r="S355" s="62" t="str">
        <f aca="false">IF(OR(B355="",V355=""),"",IFERROR(INDEX(C_TIPO,MATCH(V355&amp;"-P"&amp;MAX(1,COUNTIFS(C_RUTN,V355,C_DEF,"Sí",C_INI,"&lt;="&amp;EOMONTH(B355,0))),C_CLAVE,0))&amp;"","Sin contrato"))</f>
        <v/>
      </c>
      <c r="T355" s="63" t="str">
        <f aca="false">IF(OR(B355="",N(O355)=0),"",N(O355)+ROUND(MIN(N(N355),TOPE_UF*UF_MES)*(TASA_EMP+MUTUAL),0)+ROUND(MIN(N(N355),TOPE_AFC_UF*UF_MES)*IF(S355="Indefinido",AFC_INDEF,AFC_PF),0))</f>
        <v/>
      </c>
      <c r="U355" s="62" t="str">
        <f aca="false">IF(C355="","",IF(LEFT(D355,1)="⚠","⚠ RUT no registrado en Trabajadores",IF(B355="","⚠ Falta el mes",IF(OR(ISTEXT(I355),ISTEXT(J355)),"⚠ Atrasos u horas extra como texto: escriba hh:mm (ej. 1:30)",IF(AND(ISNUMBER(Q355),COUNTIFS(M_RUTN,V355,M_MES,B355,M_LIQ,"&lt;&gt;")&gt;1),"⚠ Liquidación repetida en el mes",IF(AND(ISNUMBER(O355),ISNUMBER(P355),ISNUMBER(Q355),ABS(O355-P355-Q355)&gt;1),"⚠ Haberes − descuentos no da el líquido","OK"))))))</f>
        <v/>
      </c>
      <c r="V355" s="62" t="str">
        <f aca="false">IF(C355="","",IFERROR(VALUE(LEFT(UPPER(SUBSTITUTE(SUBSTITUTE(SUBSTITUTE(TRIM(C355),".",""),"-","")," ","")),LEN(UPPER(SUBSTITUTE(SUBSTITUTE(SUBSTITUTE(TRIM(C355),".",""),"-","")," ","")))-1))&amp;RIGHT(UPPER(SUBSTITUTE(SUBSTITUTE(SUBSTITUTE(TRIM(C355),".",""),"-","")," ","")),1),UPPER(SUBSTITUTE(SUBSTITUTE(SUBSTITUTE(TRIM(C355),".",""),"-","")," ",""))))</f>
        <v/>
      </c>
    </row>
    <row r="356" customFormat="false" ht="15" hidden="false" customHeight="false" outlineLevel="0" collapsed="false">
      <c r="B356" s="80"/>
      <c r="C356" s="58"/>
      <c r="D356" s="62" t="str">
        <f aca="false">IF(C356="","",IFERROR(INDEX(T_NOMBRE,MATCH(V356,T_RUTN,0)),"⚠ RUT no está en Trabajadores"))</f>
        <v/>
      </c>
      <c r="E356" s="61"/>
      <c r="F356" s="61"/>
      <c r="G356" s="61"/>
      <c r="H356" s="61"/>
      <c r="I356" s="81"/>
      <c r="J356" s="81"/>
      <c r="K356" s="60"/>
      <c r="L356" s="60"/>
      <c r="M356" s="60"/>
      <c r="N356" s="60"/>
      <c r="O356" s="60"/>
      <c r="P356" s="60"/>
      <c r="Q356" s="60"/>
      <c r="R356" s="58"/>
      <c r="S356" s="62" t="str">
        <f aca="false">IF(OR(B356="",V356=""),"",IFERROR(INDEX(C_TIPO,MATCH(V356&amp;"-P"&amp;MAX(1,COUNTIFS(C_RUTN,V356,C_DEF,"Sí",C_INI,"&lt;="&amp;EOMONTH(B356,0))),C_CLAVE,0))&amp;"","Sin contrato"))</f>
        <v/>
      </c>
      <c r="T356" s="63" t="str">
        <f aca="false">IF(OR(B356="",N(O356)=0),"",N(O356)+ROUND(MIN(N(N356),TOPE_UF*UF_MES)*(TASA_EMP+MUTUAL),0)+ROUND(MIN(N(N356),TOPE_AFC_UF*UF_MES)*IF(S356="Indefinido",AFC_INDEF,AFC_PF),0))</f>
        <v/>
      </c>
      <c r="U356" s="62" t="str">
        <f aca="false">IF(C356="","",IF(LEFT(D356,1)="⚠","⚠ RUT no registrado en Trabajadores",IF(B356="","⚠ Falta el mes",IF(OR(ISTEXT(I356),ISTEXT(J356)),"⚠ Atrasos u horas extra como texto: escriba hh:mm (ej. 1:30)",IF(AND(ISNUMBER(Q356),COUNTIFS(M_RUTN,V356,M_MES,B356,M_LIQ,"&lt;&gt;")&gt;1),"⚠ Liquidación repetida en el mes",IF(AND(ISNUMBER(O356),ISNUMBER(P356),ISNUMBER(Q356),ABS(O356-P356-Q356)&gt;1),"⚠ Haberes − descuentos no da el líquido","OK"))))))</f>
        <v/>
      </c>
      <c r="V356" s="62" t="str">
        <f aca="false">IF(C356="","",IFERROR(VALUE(LEFT(UPPER(SUBSTITUTE(SUBSTITUTE(SUBSTITUTE(TRIM(C356),".",""),"-","")," ","")),LEN(UPPER(SUBSTITUTE(SUBSTITUTE(SUBSTITUTE(TRIM(C356),".",""),"-","")," ","")))-1))&amp;RIGHT(UPPER(SUBSTITUTE(SUBSTITUTE(SUBSTITUTE(TRIM(C356),".",""),"-","")," ","")),1),UPPER(SUBSTITUTE(SUBSTITUTE(SUBSTITUTE(TRIM(C356),".",""),"-","")," ",""))))</f>
        <v/>
      </c>
    </row>
    <row r="357" customFormat="false" ht="15" hidden="false" customHeight="false" outlineLevel="0" collapsed="false">
      <c r="B357" s="80"/>
      <c r="C357" s="58"/>
      <c r="D357" s="62" t="str">
        <f aca="false">IF(C357="","",IFERROR(INDEX(T_NOMBRE,MATCH(V357,T_RUTN,0)),"⚠ RUT no está en Trabajadores"))</f>
        <v/>
      </c>
      <c r="E357" s="61"/>
      <c r="F357" s="61"/>
      <c r="G357" s="61"/>
      <c r="H357" s="61"/>
      <c r="I357" s="81"/>
      <c r="J357" s="81"/>
      <c r="K357" s="60"/>
      <c r="L357" s="60"/>
      <c r="M357" s="60"/>
      <c r="N357" s="60"/>
      <c r="O357" s="60"/>
      <c r="P357" s="60"/>
      <c r="Q357" s="60"/>
      <c r="R357" s="58"/>
      <c r="S357" s="62" t="str">
        <f aca="false">IF(OR(B357="",V357=""),"",IFERROR(INDEX(C_TIPO,MATCH(V357&amp;"-P"&amp;MAX(1,COUNTIFS(C_RUTN,V357,C_DEF,"Sí",C_INI,"&lt;="&amp;EOMONTH(B357,0))),C_CLAVE,0))&amp;"","Sin contrato"))</f>
        <v/>
      </c>
      <c r="T357" s="63" t="str">
        <f aca="false">IF(OR(B357="",N(O357)=0),"",N(O357)+ROUND(MIN(N(N357),TOPE_UF*UF_MES)*(TASA_EMP+MUTUAL),0)+ROUND(MIN(N(N357),TOPE_AFC_UF*UF_MES)*IF(S357="Indefinido",AFC_INDEF,AFC_PF),0))</f>
        <v/>
      </c>
      <c r="U357" s="62" t="str">
        <f aca="false">IF(C357="","",IF(LEFT(D357,1)="⚠","⚠ RUT no registrado en Trabajadores",IF(B357="","⚠ Falta el mes",IF(OR(ISTEXT(I357),ISTEXT(J357)),"⚠ Atrasos u horas extra como texto: escriba hh:mm (ej. 1:30)",IF(AND(ISNUMBER(Q357),COUNTIFS(M_RUTN,V357,M_MES,B357,M_LIQ,"&lt;&gt;")&gt;1),"⚠ Liquidación repetida en el mes",IF(AND(ISNUMBER(O357),ISNUMBER(P357),ISNUMBER(Q357),ABS(O357-P357-Q357)&gt;1),"⚠ Haberes − descuentos no da el líquido","OK"))))))</f>
        <v/>
      </c>
      <c r="V357" s="62" t="str">
        <f aca="false">IF(C357="","",IFERROR(VALUE(LEFT(UPPER(SUBSTITUTE(SUBSTITUTE(SUBSTITUTE(TRIM(C357),".",""),"-","")," ","")),LEN(UPPER(SUBSTITUTE(SUBSTITUTE(SUBSTITUTE(TRIM(C357),".",""),"-","")," ","")))-1))&amp;RIGHT(UPPER(SUBSTITUTE(SUBSTITUTE(SUBSTITUTE(TRIM(C357),".",""),"-","")," ","")),1),UPPER(SUBSTITUTE(SUBSTITUTE(SUBSTITUTE(TRIM(C357),".",""),"-","")," ",""))))</f>
        <v/>
      </c>
    </row>
    <row r="358" customFormat="false" ht="15" hidden="false" customHeight="false" outlineLevel="0" collapsed="false">
      <c r="B358" s="80"/>
      <c r="C358" s="58"/>
      <c r="D358" s="62" t="str">
        <f aca="false">IF(C358="","",IFERROR(INDEX(T_NOMBRE,MATCH(V358,T_RUTN,0)),"⚠ RUT no está en Trabajadores"))</f>
        <v/>
      </c>
      <c r="E358" s="61"/>
      <c r="F358" s="61"/>
      <c r="G358" s="61"/>
      <c r="H358" s="61"/>
      <c r="I358" s="81"/>
      <c r="J358" s="81"/>
      <c r="K358" s="60"/>
      <c r="L358" s="60"/>
      <c r="M358" s="60"/>
      <c r="N358" s="60"/>
      <c r="O358" s="60"/>
      <c r="P358" s="60"/>
      <c r="Q358" s="60"/>
      <c r="R358" s="58"/>
      <c r="S358" s="62" t="str">
        <f aca="false">IF(OR(B358="",V358=""),"",IFERROR(INDEX(C_TIPO,MATCH(V358&amp;"-P"&amp;MAX(1,COUNTIFS(C_RUTN,V358,C_DEF,"Sí",C_INI,"&lt;="&amp;EOMONTH(B358,0))),C_CLAVE,0))&amp;"","Sin contrato"))</f>
        <v/>
      </c>
      <c r="T358" s="63" t="str">
        <f aca="false">IF(OR(B358="",N(O358)=0),"",N(O358)+ROUND(MIN(N(N358),TOPE_UF*UF_MES)*(TASA_EMP+MUTUAL),0)+ROUND(MIN(N(N358),TOPE_AFC_UF*UF_MES)*IF(S358="Indefinido",AFC_INDEF,AFC_PF),0))</f>
        <v/>
      </c>
      <c r="U358" s="62" t="str">
        <f aca="false">IF(C358="","",IF(LEFT(D358,1)="⚠","⚠ RUT no registrado en Trabajadores",IF(B358="","⚠ Falta el mes",IF(OR(ISTEXT(I358),ISTEXT(J358)),"⚠ Atrasos u horas extra como texto: escriba hh:mm (ej. 1:30)",IF(AND(ISNUMBER(Q358),COUNTIFS(M_RUTN,V358,M_MES,B358,M_LIQ,"&lt;&gt;")&gt;1),"⚠ Liquidación repetida en el mes",IF(AND(ISNUMBER(O358),ISNUMBER(P358),ISNUMBER(Q358),ABS(O358-P358-Q358)&gt;1),"⚠ Haberes − descuentos no da el líquido","OK"))))))</f>
        <v/>
      </c>
      <c r="V358" s="62" t="str">
        <f aca="false">IF(C358="","",IFERROR(VALUE(LEFT(UPPER(SUBSTITUTE(SUBSTITUTE(SUBSTITUTE(TRIM(C358),".",""),"-","")," ","")),LEN(UPPER(SUBSTITUTE(SUBSTITUTE(SUBSTITUTE(TRIM(C358),".",""),"-","")," ","")))-1))&amp;RIGHT(UPPER(SUBSTITUTE(SUBSTITUTE(SUBSTITUTE(TRIM(C358),".",""),"-","")," ","")),1),UPPER(SUBSTITUTE(SUBSTITUTE(SUBSTITUTE(TRIM(C358),".",""),"-","")," ",""))))</f>
        <v/>
      </c>
    </row>
    <row r="359" customFormat="false" ht="15" hidden="false" customHeight="false" outlineLevel="0" collapsed="false">
      <c r="B359" s="80"/>
      <c r="C359" s="58"/>
      <c r="D359" s="62" t="str">
        <f aca="false">IF(C359="","",IFERROR(INDEX(T_NOMBRE,MATCH(V359,T_RUTN,0)),"⚠ RUT no está en Trabajadores"))</f>
        <v/>
      </c>
      <c r="E359" s="61"/>
      <c r="F359" s="61"/>
      <c r="G359" s="61"/>
      <c r="H359" s="61"/>
      <c r="I359" s="81"/>
      <c r="J359" s="81"/>
      <c r="K359" s="60"/>
      <c r="L359" s="60"/>
      <c r="M359" s="60"/>
      <c r="N359" s="60"/>
      <c r="O359" s="60"/>
      <c r="P359" s="60"/>
      <c r="Q359" s="60"/>
      <c r="R359" s="58"/>
      <c r="S359" s="62" t="str">
        <f aca="false">IF(OR(B359="",V359=""),"",IFERROR(INDEX(C_TIPO,MATCH(V359&amp;"-P"&amp;MAX(1,COUNTIFS(C_RUTN,V359,C_DEF,"Sí",C_INI,"&lt;="&amp;EOMONTH(B359,0))),C_CLAVE,0))&amp;"","Sin contrato"))</f>
        <v/>
      </c>
      <c r="T359" s="63" t="str">
        <f aca="false">IF(OR(B359="",N(O359)=0),"",N(O359)+ROUND(MIN(N(N359),TOPE_UF*UF_MES)*(TASA_EMP+MUTUAL),0)+ROUND(MIN(N(N359),TOPE_AFC_UF*UF_MES)*IF(S359="Indefinido",AFC_INDEF,AFC_PF),0))</f>
        <v/>
      </c>
      <c r="U359" s="62" t="str">
        <f aca="false">IF(C359="","",IF(LEFT(D359,1)="⚠","⚠ RUT no registrado en Trabajadores",IF(B359="","⚠ Falta el mes",IF(OR(ISTEXT(I359),ISTEXT(J359)),"⚠ Atrasos u horas extra como texto: escriba hh:mm (ej. 1:30)",IF(AND(ISNUMBER(Q359),COUNTIFS(M_RUTN,V359,M_MES,B359,M_LIQ,"&lt;&gt;")&gt;1),"⚠ Liquidación repetida en el mes",IF(AND(ISNUMBER(O359),ISNUMBER(P359),ISNUMBER(Q359),ABS(O359-P359-Q359)&gt;1),"⚠ Haberes − descuentos no da el líquido","OK"))))))</f>
        <v/>
      </c>
      <c r="V359" s="62" t="str">
        <f aca="false">IF(C359="","",IFERROR(VALUE(LEFT(UPPER(SUBSTITUTE(SUBSTITUTE(SUBSTITUTE(TRIM(C359),".",""),"-","")," ","")),LEN(UPPER(SUBSTITUTE(SUBSTITUTE(SUBSTITUTE(TRIM(C359),".",""),"-","")," ","")))-1))&amp;RIGHT(UPPER(SUBSTITUTE(SUBSTITUTE(SUBSTITUTE(TRIM(C359),".",""),"-","")," ","")),1),UPPER(SUBSTITUTE(SUBSTITUTE(SUBSTITUTE(TRIM(C359),".",""),"-","")," ",""))))</f>
        <v/>
      </c>
    </row>
    <row r="360" customFormat="false" ht="15" hidden="false" customHeight="false" outlineLevel="0" collapsed="false">
      <c r="B360" s="80"/>
      <c r="C360" s="58"/>
      <c r="D360" s="62" t="str">
        <f aca="false">IF(C360="","",IFERROR(INDEX(T_NOMBRE,MATCH(V360,T_RUTN,0)),"⚠ RUT no está en Trabajadores"))</f>
        <v/>
      </c>
      <c r="E360" s="61"/>
      <c r="F360" s="61"/>
      <c r="G360" s="61"/>
      <c r="H360" s="61"/>
      <c r="I360" s="81"/>
      <c r="J360" s="81"/>
      <c r="K360" s="60"/>
      <c r="L360" s="60"/>
      <c r="M360" s="60"/>
      <c r="N360" s="60"/>
      <c r="O360" s="60"/>
      <c r="P360" s="60"/>
      <c r="Q360" s="60"/>
      <c r="R360" s="58"/>
      <c r="S360" s="62" t="str">
        <f aca="false">IF(OR(B360="",V360=""),"",IFERROR(INDEX(C_TIPO,MATCH(V360&amp;"-P"&amp;MAX(1,COUNTIFS(C_RUTN,V360,C_DEF,"Sí",C_INI,"&lt;="&amp;EOMONTH(B360,0))),C_CLAVE,0))&amp;"","Sin contrato"))</f>
        <v/>
      </c>
      <c r="T360" s="63" t="str">
        <f aca="false">IF(OR(B360="",N(O360)=0),"",N(O360)+ROUND(MIN(N(N360),TOPE_UF*UF_MES)*(TASA_EMP+MUTUAL),0)+ROUND(MIN(N(N360),TOPE_AFC_UF*UF_MES)*IF(S360="Indefinido",AFC_INDEF,AFC_PF),0))</f>
        <v/>
      </c>
      <c r="U360" s="62" t="str">
        <f aca="false">IF(C360="","",IF(LEFT(D360,1)="⚠","⚠ RUT no registrado en Trabajadores",IF(B360="","⚠ Falta el mes",IF(OR(ISTEXT(I360),ISTEXT(J360)),"⚠ Atrasos u horas extra como texto: escriba hh:mm (ej. 1:30)",IF(AND(ISNUMBER(Q360),COUNTIFS(M_RUTN,V360,M_MES,B360,M_LIQ,"&lt;&gt;")&gt;1),"⚠ Liquidación repetida en el mes",IF(AND(ISNUMBER(O360),ISNUMBER(P360),ISNUMBER(Q360),ABS(O360-P360-Q360)&gt;1),"⚠ Haberes − descuentos no da el líquido","OK"))))))</f>
        <v/>
      </c>
      <c r="V360" s="62" t="str">
        <f aca="false">IF(C360="","",IFERROR(VALUE(LEFT(UPPER(SUBSTITUTE(SUBSTITUTE(SUBSTITUTE(TRIM(C360),".",""),"-","")," ","")),LEN(UPPER(SUBSTITUTE(SUBSTITUTE(SUBSTITUTE(TRIM(C360),".",""),"-","")," ","")))-1))&amp;RIGHT(UPPER(SUBSTITUTE(SUBSTITUTE(SUBSTITUTE(TRIM(C360),".",""),"-","")," ","")),1),UPPER(SUBSTITUTE(SUBSTITUTE(SUBSTITUTE(TRIM(C360),".",""),"-","")," ",""))))</f>
        <v/>
      </c>
    </row>
    <row r="361" customFormat="false" ht="15" hidden="false" customHeight="false" outlineLevel="0" collapsed="false">
      <c r="B361" s="80"/>
      <c r="C361" s="58"/>
      <c r="D361" s="62" t="str">
        <f aca="false">IF(C361="","",IFERROR(INDEX(T_NOMBRE,MATCH(V361,T_RUTN,0)),"⚠ RUT no está en Trabajadores"))</f>
        <v/>
      </c>
      <c r="E361" s="61"/>
      <c r="F361" s="61"/>
      <c r="G361" s="61"/>
      <c r="H361" s="61"/>
      <c r="I361" s="81"/>
      <c r="J361" s="81"/>
      <c r="K361" s="60"/>
      <c r="L361" s="60"/>
      <c r="M361" s="60"/>
      <c r="N361" s="60"/>
      <c r="O361" s="60"/>
      <c r="P361" s="60"/>
      <c r="Q361" s="60"/>
      <c r="R361" s="58"/>
      <c r="S361" s="62" t="str">
        <f aca="false">IF(OR(B361="",V361=""),"",IFERROR(INDEX(C_TIPO,MATCH(V361&amp;"-P"&amp;MAX(1,COUNTIFS(C_RUTN,V361,C_DEF,"Sí",C_INI,"&lt;="&amp;EOMONTH(B361,0))),C_CLAVE,0))&amp;"","Sin contrato"))</f>
        <v/>
      </c>
      <c r="T361" s="63" t="str">
        <f aca="false">IF(OR(B361="",N(O361)=0),"",N(O361)+ROUND(MIN(N(N361),TOPE_UF*UF_MES)*(TASA_EMP+MUTUAL),0)+ROUND(MIN(N(N361),TOPE_AFC_UF*UF_MES)*IF(S361="Indefinido",AFC_INDEF,AFC_PF),0))</f>
        <v/>
      </c>
      <c r="U361" s="62" t="str">
        <f aca="false">IF(C361="","",IF(LEFT(D361,1)="⚠","⚠ RUT no registrado en Trabajadores",IF(B361="","⚠ Falta el mes",IF(OR(ISTEXT(I361),ISTEXT(J361)),"⚠ Atrasos u horas extra como texto: escriba hh:mm (ej. 1:30)",IF(AND(ISNUMBER(Q361),COUNTIFS(M_RUTN,V361,M_MES,B361,M_LIQ,"&lt;&gt;")&gt;1),"⚠ Liquidación repetida en el mes",IF(AND(ISNUMBER(O361),ISNUMBER(P361),ISNUMBER(Q361),ABS(O361-P361-Q361)&gt;1),"⚠ Haberes − descuentos no da el líquido","OK"))))))</f>
        <v/>
      </c>
      <c r="V361" s="62" t="str">
        <f aca="false">IF(C361="","",IFERROR(VALUE(LEFT(UPPER(SUBSTITUTE(SUBSTITUTE(SUBSTITUTE(TRIM(C361),".",""),"-","")," ","")),LEN(UPPER(SUBSTITUTE(SUBSTITUTE(SUBSTITUTE(TRIM(C361),".",""),"-","")," ","")))-1))&amp;RIGHT(UPPER(SUBSTITUTE(SUBSTITUTE(SUBSTITUTE(TRIM(C361),".",""),"-","")," ","")),1),UPPER(SUBSTITUTE(SUBSTITUTE(SUBSTITUTE(TRIM(C361),".",""),"-","")," ",""))))</f>
        <v/>
      </c>
    </row>
    <row r="362" customFormat="false" ht="15" hidden="false" customHeight="false" outlineLevel="0" collapsed="false">
      <c r="B362" s="80"/>
      <c r="C362" s="58"/>
      <c r="D362" s="62" t="str">
        <f aca="false">IF(C362="","",IFERROR(INDEX(T_NOMBRE,MATCH(V362,T_RUTN,0)),"⚠ RUT no está en Trabajadores"))</f>
        <v/>
      </c>
      <c r="E362" s="61"/>
      <c r="F362" s="61"/>
      <c r="G362" s="61"/>
      <c r="H362" s="61"/>
      <c r="I362" s="81"/>
      <c r="J362" s="81"/>
      <c r="K362" s="60"/>
      <c r="L362" s="60"/>
      <c r="M362" s="60"/>
      <c r="N362" s="60"/>
      <c r="O362" s="60"/>
      <c r="P362" s="60"/>
      <c r="Q362" s="60"/>
      <c r="R362" s="58"/>
      <c r="S362" s="62" t="str">
        <f aca="false">IF(OR(B362="",V362=""),"",IFERROR(INDEX(C_TIPO,MATCH(V362&amp;"-P"&amp;MAX(1,COUNTIFS(C_RUTN,V362,C_DEF,"Sí",C_INI,"&lt;="&amp;EOMONTH(B362,0))),C_CLAVE,0))&amp;"","Sin contrato"))</f>
        <v/>
      </c>
      <c r="T362" s="63" t="str">
        <f aca="false">IF(OR(B362="",N(O362)=0),"",N(O362)+ROUND(MIN(N(N362),TOPE_UF*UF_MES)*(TASA_EMP+MUTUAL),0)+ROUND(MIN(N(N362),TOPE_AFC_UF*UF_MES)*IF(S362="Indefinido",AFC_INDEF,AFC_PF),0))</f>
        <v/>
      </c>
      <c r="U362" s="62" t="str">
        <f aca="false">IF(C362="","",IF(LEFT(D362,1)="⚠","⚠ RUT no registrado en Trabajadores",IF(B362="","⚠ Falta el mes",IF(OR(ISTEXT(I362),ISTEXT(J362)),"⚠ Atrasos u horas extra como texto: escriba hh:mm (ej. 1:30)",IF(AND(ISNUMBER(Q362),COUNTIFS(M_RUTN,V362,M_MES,B362,M_LIQ,"&lt;&gt;")&gt;1),"⚠ Liquidación repetida en el mes",IF(AND(ISNUMBER(O362),ISNUMBER(P362),ISNUMBER(Q362),ABS(O362-P362-Q362)&gt;1),"⚠ Haberes − descuentos no da el líquido","OK"))))))</f>
        <v/>
      </c>
      <c r="V362" s="62" t="str">
        <f aca="false">IF(C362="","",IFERROR(VALUE(LEFT(UPPER(SUBSTITUTE(SUBSTITUTE(SUBSTITUTE(TRIM(C362),".",""),"-","")," ","")),LEN(UPPER(SUBSTITUTE(SUBSTITUTE(SUBSTITUTE(TRIM(C362),".",""),"-","")," ","")))-1))&amp;RIGHT(UPPER(SUBSTITUTE(SUBSTITUTE(SUBSTITUTE(TRIM(C362),".",""),"-","")," ","")),1),UPPER(SUBSTITUTE(SUBSTITUTE(SUBSTITUTE(TRIM(C362),".",""),"-","")," ",""))))</f>
        <v/>
      </c>
    </row>
    <row r="363" customFormat="false" ht="15" hidden="false" customHeight="false" outlineLevel="0" collapsed="false">
      <c r="B363" s="80"/>
      <c r="C363" s="58"/>
      <c r="D363" s="62" t="str">
        <f aca="false">IF(C363="","",IFERROR(INDEX(T_NOMBRE,MATCH(V363,T_RUTN,0)),"⚠ RUT no está en Trabajadores"))</f>
        <v/>
      </c>
      <c r="E363" s="61"/>
      <c r="F363" s="61"/>
      <c r="G363" s="61"/>
      <c r="H363" s="61"/>
      <c r="I363" s="81"/>
      <c r="J363" s="81"/>
      <c r="K363" s="60"/>
      <c r="L363" s="60"/>
      <c r="M363" s="60"/>
      <c r="N363" s="60"/>
      <c r="O363" s="60"/>
      <c r="P363" s="60"/>
      <c r="Q363" s="60"/>
      <c r="R363" s="58"/>
      <c r="S363" s="62" t="str">
        <f aca="false">IF(OR(B363="",V363=""),"",IFERROR(INDEX(C_TIPO,MATCH(V363&amp;"-P"&amp;MAX(1,COUNTIFS(C_RUTN,V363,C_DEF,"Sí",C_INI,"&lt;="&amp;EOMONTH(B363,0))),C_CLAVE,0))&amp;"","Sin contrato"))</f>
        <v/>
      </c>
      <c r="T363" s="63" t="str">
        <f aca="false">IF(OR(B363="",N(O363)=0),"",N(O363)+ROUND(MIN(N(N363),TOPE_UF*UF_MES)*(TASA_EMP+MUTUAL),0)+ROUND(MIN(N(N363),TOPE_AFC_UF*UF_MES)*IF(S363="Indefinido",AFC_INDEF,AFC_PF),0))</f>
        <v/>
      </c>
      <c r="U363" s="62" t="str">
        <f aca="false">IF(C363="","",IF(LEFT(D363,1)="⚠","⚠ RUT no registrado en Trabajadores",IF(B363="","⚠ Falta el mes",IF(OR(ISTEXT(I363),ISTEXT(J363)),"⚠ Atrasos u horas extra como texto: escriba hh:mm (ej. 1:30)",IF(AND(ISNUMBER(Q363),COUNTIFS(M_RUTN,V363,M_MES,B363,M_LIQ,"&lt;&gt;")&gt;1),"⚠ Liquidación repetida en el mes",IF(AND(ISNUMBER(O363),ISNUMBER(P363),ISNUMBER(Q363),ABS(O363-P363-Q363)&gt;1),"⚠ Haberes − descuentos no da el líquido","OK"))))))</f>
        <v/>
      </c>
      <c r="V363" s="62" t="str">
        <f aca="false">IF(C363="","",IFERROR(VALUE(LEFT(UPPER(SUBSTITUTE(SUBSTITUTE(SUBSTITUTE(TRIM(C363),".",""),"-","")," ","")),LEN(UPPER(SUBSTITUTE(SUBSTITUTE(SUBSTITUTE(TRIM(C363),".",""),"-","")," ","")))-1))&amp;RIGHT(UPPER(SUBSTITUTE(SUBSTITUTE(SUBSTITUTE(TRIM(C363),".",""),"-","")," ","")),1),UPPER(SUBSTITUTE(SUBSTITUTE(SUBSTITUTE(TRIM(C363),".",""),"-","")," ",""))))</f>
        <v/>
      </c>
    </row>
    <row r="364" customFormat="false" ht="15" hidden="false" customHeight="false" outlineLevel="0" collapsed="false">
      <c r="B364" s="80"/>
      <c r="C364" s="58"/>
      <c r="D364" s="62" t="str">
        <f aca="false">IF(C364="","",IFERROR(INDEX(T_NOMBRE,MATCH(V364,T_RUTN,0)),"⚠ RUT no está en Trabajadores"))</f>
        <v/>
      </c>
      <c r="E364" s="61"/>
      <c r="F364" s="61"/>
      <c r="G364" s="61"/>
      <c r="H364" s="61"/>
      <c r="I364" s="81"/>
      <c r="J364" s="81"/>
      <c r="K364" s="60"/>
      <c r="L364" s="60"/>
      <c r="M364" s="60"/>
      <c r="N364" s="60"/>
      <c r="O364" s="60"/>
      <c r="P364" s="60"/>
      <c r="Q364" s="60"/>
      <c r="R364" s="58"/>
      <c r="S364" s="62" t="str">
        <f aca="false">IF(OR(B364="",V364=""),"",IFERROR(INDEX(C_TIPO,MATCH(V364&amp;"-P"&amp;MAX(1,COUNTIFS(C_RUTN,V364,C_DEF,"Sí",C_INI,"&lt;="&amp;EOMONTH(B364,0))),C_CLAVE,0))&amp;"","Sin contrato"))</f>
        <v/>
      </c>
      <c r="T364" s="63" t="str">
        <f aca="false">IF(OR(B364="",N(O364)=0),"",N(O364)+ROUND(MIN(N(N364),TOPE_UF*UF_MES)*(TASA_EMP+MUTUAL),0)+ROUND(MIN(N(N364),TOPE_AFC_UF*UF_MES)*IF(S364="Indefinido",AFC_INDEF,AFC_PF),0))</f>
        <v/>
      </c>
      <c r="U364" s="62" t="str">
        <f aca="false">IF(C364="","",IF(LEFT(D364,1)="⚠","⚠ RUT no registrado en Trabajadores",IF(B364="","⚠ Falta el mes",IF(OR(ISTEXT(I364),ISTEXT(J364)),"⚠ Atrasos u horas extra como texto: escriba hh:mm (ej. 1:30)",IF(AND(ISNUMBER(Q364),COUNTIFS(M_RUTN,V364,M_MES,B364,M_LIQ,"&lt;&gt;")&gt;1),"⚠ Liquidación repetida en el mes",IF(AND(ISNUMBER(O364),ISNUMBER(P364),ISNUMBER(Q364),ABS(O364-P364-Q364)&gt;1),"⚠ Haberes − descuentos no da el líquido","OK"))))))</f>
        <v/>
      </c>
      <c r="V364" s="62" t="str">
        <f aca="false">IF(C364="","",IFERROR(VALUE(LEFT(UPPER(SUBSTITUTE(SUBSTITUTE(SUBSTITUTE(TRIM(C364),".",""),"-","")," ","")),LEN(UPPER(SUBSTITUTE(SUBSTITUTE(SUBSTITUTE(TRIM(C364),".",""),"-","")," ","")))-1))&amp;RIGHT(UPPER(SUBSTITUTE(SUBSTITUTE(SUBSTITUTE(TRIM(C364),".",""),"-","")," ","")),1),UPPER(SUBSTITUTE(SUBSTITUTE(SUBSTITUTE(TRIM(C364),".",""),"-","")," ",""))))</f>
        <v/>
      </c>
    </row>
    <row r="365" customFormat="false" ht="15" hidden="false" customHeight="false" outlineLevel="0" collapsed="false">
      <c r="B365" s="80"/>
      <c r="C365" s="58"/>
      <c r="D365" s="62" t="str">
        <f aca="false">IF(C365="","",IFERROR(INDEX(T_NOMBRE,MATCH(V365,T_RUTN,0)),"⚠ RUT no está en Trabajadores"))</f>
        <v/>
      </c>
      <c r="E365" s="61"/>
      <c r="F365" s="61"/>
      <c r="G365" s="61"/>
      <c r="H365" s="61"/>
      <c r="I365" s="81"/>
      <c r="J365" s="81"/>
      <c r="K365" s="60"/>
      <c r="L365" s="60"/>
      <c r="M365" s="60"/>
      <c r="N365" s="60"/>
      <c r="O365" s="60"/>
      <c r="P365" s="60"/>
      <c r="Q365" s="60"/>
      <c r="R365" s="58"/>
      <c r="S365" s="62" t="str">
        <f aca="false">IF(OR(B365="",V365=""),"",IFERROR(INDEX(C_TIPO,MATCH(V365&amp;"-P"&amp;MAX(1,COUNTIFS(C_RUTN,V365,C_DEF,"Sí",C_INI,"&lt;="&amp;EOMONTH(B365,0))),C_CLAVE,0))&amp;"","Sin contrato"))</f>
        <v/>
      </c>
      <c r="T365" s="63" t="str">
        <f aca="false">IF(OR(B365="",N(O365)=0),"",N(O365)+ROUND(MIN(N(N365),TOPE_UF*UF_MES)*(TASA_EMP+MUTUAL),0)+ROUND(MIN(N(N365),TOPE_AFC_UF*UF_MES)*IF(S365="Indefinido",AFC_INDEF,AFC_PF),0))</f>
        <v/>
      </c>
      <c r="U365" s="62" t="str">
        <f aca="false">IF(C365="","",IF(LEFT(D365,1)="⚠","⚠ RUT no registrado en Trabajadores",IF(B365="","⚠ Falta el mes",IF(OR(ISTEXT(I365),ISTEXT(J365)),"⚠ Atrasos u horas extra como texto: escriba hh:mm (ej. 1:30)",IF(AND(ISNUMBER(Q365),COUNTIFS(M_RUTN,V365,M_MES,B365,M_LIQ,"&lt;&gt;")&gt;1),"⚠ Liquidación repetida en el mes",IF(AND(ISNUMBER(O365),ISNUMBER(P365),ISNUMBER(Q365),ABS(O365-P365-Q365)&gt;1),"⚠ Haberes − descuentos no da el líquido","OK"))))))</f>
        <v/>
      </c>
      <c r="V365" s="62" t="str">
        <f aca="false">IF(C365="","",IFERROR(VALUE(LEFT(UPPER(SUBSTITUTE(SUBSTITUTE(SUBSTITUTE(TRIM(C365),".",""),"-","")," ","")),LEN(UPPER(SUBSTITUTE(SUBSTITUTE(SUBSTITUTE(TRIM(C365),".",""),"-","")," ","")))-1))&amp;RIGHT(UPPER(SUBSTITUTE(SUBSTITUTE(SUBSTITUTE(TRIM(C365),".",""),"-","")," ","")),1),UPPER(SUBSTITUTE(SUBSTITUTE(SUBSTITUTE(TRIM(C365),".",""),"-","")," ",""))))</f>
        <v/>
      </c>
    </row>
    <row r="366" customFormat="false" ht="15" hidden="false" customHeight="false" outlineLevel="0" collapsed="false">
      <c r="B366" s="80"/>
      <c r="C366" s="58"/>
      <c r="D366" s="62" t="str">
        <f aca="false">IF(C366="","",IFERROR(INDEX(T_NOMBRE,MATCH(V366,T_RUTN,0)),"⚠ RUT no está en Trabajadores"))</f>
        <v/>
      </c>
      <c r="E366" s="61"/>
      <c r="F366" s="61"/>
      <c r="G366" s="61"/>
      <c r="H366" s="61"/>
      <c r="I366" s="81"/>
      <c r="J366" s="81"/>
      <c r="K366" s="60"/>
      <c r="L366" s="60"/>
      <c r="M366" s="60"/>
      <c r="N366" s="60"/>
      <c r="O366" s="60"/>
      <c r="P366" s="60"/>
      <c r="Q366" s="60"/>
      <c r="R366" s="58"/>
      <c r="S366" s="62" t="str">
        <f aca="false">IF(OR(B366="",V366=""),"",IFERROR(INDEX(C_TIPO,MATCH(V366&amp;"-P"&amp;MAX(1,COUNTIFS(C_RUTN,V366,C_DEF,"Sí",C_INI,"&lt;="&amp;EOMONTH(B366,0))),C_CLAVE,0))&amp;"","Sin contrato"))</f>
        <v/>
      </c>
      <c r="T366" s="63" t="str">
        <f aca="false">IF(OR(B366="",N(O366)=0),"",N(O366)+ROUND(MIN(N(N366),TOPE_UF*UF_MES)*(TASA_EMP+MUTUAL),0)+ROUND(MIN(N(N366),TOPE_AFC_UF*UF_MES)*IF(S366="Indefinido",AFC_INDEF,AFC_PF),0))</f>
        <v/>
      </c>
      <c r="U366" s="62" t="str">
        <f aca="false">IF(C366="","",IF(LEFT(D366,1)="⚠","⚠ RUT no registrado en Trabajadores",IF(B366="","⚠ Falta el mes",IF(OR(ISTEXT(I366),ISTEXT(J366)),"⚠ Atrasos u horas extra como texto: escriba hh:mm (ej. 1:30)",IF(AND(ISNUMBER(Q366),COUNTIFS(M_RUTN,V366,M_MES,B366,M_LIQ,"&lt;&gt;")&gt;1),"⚠ Liquidación repetida en el mes",IF(AND(ISNUMBER(O366),ISNUMBER(P366),ISNUMBER(Q366),ABS(O366-P366-Q366)&gt;1),"⚠ Haberes − descuentos no da el líquido","OK"))))))</f>
        <v/>
      </c>
      <c r="V366" s="62" t="str">
        <f aca="false">IF(C366="","",IFERROR(VALUE(LEFT(UPPER(SUBSTITUTE(SUBSTITUTE(SUBSTITUTE(TRIM(C366),".",""),"-","")," ","")),LEN(UPPER(SUBSTITUTE(SUBSTITUTE(SUBSTITUTE(TRIM(C366),".",""),"-","")," ","")))-1))&amp;RIGHT(UPPER(SUBSTITUTE(SUBSTITUTE(SUBSTITUTE(TRIM(C366),".",""),"-","")," ","")),1),UPPER(SUBSTITUTE(SUBSTITUTE(SUBSTITUTE(TRIM(C366),".",""),"-","")," ",""))))</f>
        <v/>
      </c>
    </row>
    <row r="367" customFormat="false" ht="15" hidden="false" customHeight="false" outlineLevel="0" collapsed="false">
      <c r="B367" s="80"/>
      <c r="C367" s="58"/>
      <c r="D367" s="62" t="str">
        <f aca="false">IF(C367="","",IFERROR(INDEX(T_NOMBRE,MATCH(V367,T_RUTN,0)),"⚠ RUT no está en Trabajadores"))</f>
        <v/>
      </c>
      <c r="E367" s="61"/>
      <c r="F367" s="61"/>
      <c r="G367" s="61"/>
      <c r="H367" s="61"/>
      <c r="I367" s="81"/>
      <c r="J367" s="81"/>
      <c r="K367" s="60"/>
      <c r="L367" s="60"/>
      <c r="M367" s="60"/>
      <c r="N367" s="60"/>
      <c r="O367" s="60"/>
      <c r="P367" s="60"/>
      <c r="Q367" s="60"/>
      <c r="R367" s="58"/>
      <c r="S367" s="62" t="str">
        <f aca="false">IF(OR(B367="",V367=""),"",IFERROR(INDEX(C_TIPO,MATCH(V367&amp;"-P"&amp;MAX(1,COUNTIFS(C_RUTN,V367,C_DEF,"Sí",C_INI,"&lt;="&amp;EOMONTH(B367,0))),C_CLAVE,0))&amp;"","Sin contrato"))</f>
        <v/>
      </c>
      <c r="T367" s="63" t="str">
        <f aca="false">IF(OR(B367="",N(O367)=0),"",N(O367)+ROUND(MIN(N(N367),TOPE_UF*UF_MES)*(TASA_EMP+MUTUAL),0)+ROUND(MIN(N(N367),TOPE_AFC_UF*UF_MES)*IF(S367="Indefinido",AFC_INDEF,AFC_PF),0))</f>
        <v/>
      </c>
      <c r="U367" s="62" t="str">
        <f aca="false">IF(C367="","",IF(LEFT(D367,1)="⚠","⚠ RUT no registrado en Trabajadores",IF(B367="","⚠ Falta el mes",IF(OR(ISTEXT(I367),ISTEXT(J367)),"⚠ Atrasos u horas extra como texto: escriba hh:mm (ej. 1:30)",IF(AND(ISNUMBER(Q367),COUNTIFS(M_RUTN,V367,M_MES,B367,M_LIQ,"&lt;&gt;")&gt;1),"⚠ Liquidación repetida en el mes",IF(AND(ISNUMBER(O367),ISNUMBER(P367),ISNUMBER(Q367),ABS(O367-P367-Q367)&gt;1),"⚠ Haberes − descuentos no da el líquido","OK"))))))</f>
        <v/>
      </c>
      <c r="V367" s="62" t="str">
        <f aca="false">IF(C367="","",IFERROR(VALUE(LEFT(UPPER(SUBSTITUTE(SUBSTITUTE(SUBSTITUTE(TRIM(C367),".",""),"-","")," ","")),LEN(UPPER(SUBSTITUTE(SUBSTITUTE(SUBSTITUTE(TRIM(C367),".",""),"-","")," ","")))-1))&amp;RIGHT(UPPER(SUBSTITUTE(SUBSTITUTE(SUBSTITUTE(TRIM(C367),".",""),"-","")," ","")),1),UPPER(SUBSTITUTE(SUBSTITUTE(SUBSTITUTE(TRIM(C367),".",""),"-","")," ",""))))</f>
        <v/>
      </c>
    </row>
    <row r="368" customFormat="false" ht="15" hidden="false" customHeight="false" outlineLevel="0" collapsed="false">
      <c r="B368" s="80"/>
      <c r="C368" s="58"/>
      <c r="D368" s="62" t="str">
        <f aca="false">IF(C368="","",IFERROR(INDEX(T_NOMBRE,MATCH(V368,T_RUTN,0)),"⚠ RUT no está en Trabajadores"))</f>
        <v/>
      </c>
      <c r="E368" s="61"/>
      <c r="F368" s="61"/>
      <c r="G368" s="61"/>
      <c r="H368" s="61"/>
      <c r="I368" s="81"/>
      <c r="J368" s="81"/>
      <c r="K368" s="60"/>
      <c r="L368" s="60"/>
      <c r="M368" s="60"/>
      <c r="N368" s="60"/>
      <c r="O368" s="60"/>
      <c r="P368" s="60"/>
      <c r="Q368" s="60"/>
      <c r="R368" s="58"/>
      <c r="S368" s="62" t="str">
        <f aca="false">IF(OR(B368="",V368=""),"",IFERROR(INDEX(C_TIPO,MATCH(V368&amp;"-P"&amp;MAX(1,COUNTIFS(C_RUTN,V368,C_DEF,"Sí",C_INI,"&lt;="&amp;EOMONTH(B368,0))),C_CLAVE,0))&amp;"","Sin contrato"))</f>
        <v/>
      </c>
      <c r="T368" s="63" t="str">
        <f aca="false">IF(OR(B368="",N(O368)=0),"",N(O368)+ROUND(MIN(N(N368),TOPE_UF*UF_MES)*(TASA_EMP+MUTUAL),0)+ROUND(MIN(N(N368),TOPE_AFC_UF*UF_MES)*IF(S368="Indefinido",AFC_INDEF,AFC_PF),0))</f>
        <v/>
      </c>
      <c r="U368" s="62" t="str">
        <f aca="false">IF(C368="","",IF(LEFT(D368,1)="⚠","⚠ RUT no registrado en Trabajadores",IF(B368="","⚠ Falta el mes",IF(OR(ISTEXT(I368),ISTEXT(J368)),"⚠ Atrasos u horas extra como texto: escriba hh:mm (ej. 1:30)",IF(AND(ISNUMBER(Q368),COUNTIFS(M_RUTN,V368,M_MES,B368,M_LIQ,"&lt;&gt;")&gt;1),"⚠ Liquidación repetida en el mes",IF(AND(ISNUMBER(O368),ISNUMBER(P368),ISNUMBER(Q368),ABS(O368-P368-Q368)&gt;1),"⚠ Haberes − descuentos no da el líquido","OK"))))))</f>
        <v/>
      </c>
      <c r="V368" s="62" t="str">
        <f aca="false">IF(C368="","",IFERROR(VALUE(LEFT(UPPER(SUBSTITUTE(SUBSTITUTE(SUBSTITUTE(TRIM(C368),".",""),"-","")," ","")),LEN(UPPER(SUBSTITUTE(SUBSTITUTE(SUBSTITUTE(TRIM(C368),".",""),"-","")," ","")))-1))&amp;RIGHT(UPPER(SUBSTITUTE(SUBSTITUTE(SUBSTITUTE(TRIM(C368),".",""),"-","")," ","")),1),UPPER(SUBSTITUTE(SUBSTITUTE(SUBSTITUTE(TRIM(C368),".",""),"-","")," ",""))))</f>
        <v/>
      </c>
    </row>
    <row r="369" customFormat="false" ht="15" hidden="false" customHeight="false" outlineLevel="0" collapsed="false">
      <c r="B369" s="80"/>
      <c r="C369" s="58"/>
      <c r="D369" s="62" t="str">
        <f aca="false">IF(C369="","",IFERROR(INDEX(T_NOMBRE,MATCH(V369,T_RUTN,0)),"⚠ RUT no está en Trabajadores"))</f>
        <v/>
      </c>
      <c r="E369" s="61"/>
      <c r="F369" s="61"/>
      <c r="G369" s="61"/>
      <c r="H369" s="61"/>
      <c r="I369" s="81"/>
      <c r="J369" s="81"/>
      <c r="K369" s="60"/>
      <c r="L369" s="60"/>
      <c r="M369" s="60"/>
      <c r="N369" s="60"/>
      <c r="O369" s="60"/>
      <c r="P369" s="60"/>
      <c r="Q369" s="60"/>
      <c r="R369" s="58"/>
      <c r="S369" s="62" t="str">
        <f aca="false">IF(OR(B369="",V369=""),"",IFERROR(INDEX(C_TIPO,MATCH(V369&amp;"-P"&amp;MAX(1,COUNTIFS(C_RUTN,V369,C_DEF,"Sí",C_INI,"&lt;="&amp;EOMONTH(B369,0))),C_CLAVE,0))&amp;"","Sin contrato"))</f>
        <v/>
      </c>
      <c r="T369" s="63" t="str">
        <f aca="false">IF(OR(B369="",N(O369)=0),"",N(O369)+ROUND(MIN(N(N369),TOPE_UF*UF_MES)*(TASA_EMP+MUTUAL),0)+ROUND(MIN(N(N369),TOPE_AFC_UF*UF_MES)*IF(S369="Indefinido",AFC_INDEF,AFC_PF),0))</f>
        <v/>
      </c>
      <c r="U369" s="62" t="str">
        <f aca="false">IF(C369="","",IF(LEFT(D369,1)="⚠","⚠ RUT no registrado en Trabajadores",IF(B369="","⚠ Falta el mes",IF(OR(ISTEXT(I369),ISTEXT(J369)),"⚠ Atrasos u horas extra como texto: escriba hh:mm (ej. 1:30)",IF(AND(ISNUMBER(Q369),COUNTIFS(M_RUTN,V369,M_MES,B369,M_LIQ,"&lt;&gt;")&gt;1),"⚠ Liquidación repetida en el mes",IF(AND(ISNUMBER(O369),ISNUMBER(P369),ISNUMBER(Q369),ABS(O369-P369-Q369)&gt;1),"⚠ Haberes − descuentos no da el líquido","OK"))))))</f>
        <v/>
      </c>
      <c r="V369" s="62" t="str">
        <f aca="false">IF(C369="","",IFERROR(VALUE(LEFT(UPPER(SUBSTITUTE(SUBSTITUTE(SUBSTITUTE(TRIM(C369),".",""),"-","")," ","")),LEN(UPPER(SUBSTITUTE(SUBSTITUTE(SUBSTITUTE(TRIM(C369),".",""),"-","")," ","")))-1))&amp;RIGHT(UPPER(SUBSTITUTE(SUBSTITUTE(SUBSTITUTE(TRIM(C369),".",""),"-","")," ","")),1),UPPER(SUBSTITUTE(SUBSTITUTE(SUBSTITUTE(TRIM(C369),".",""),"-","")," ",""))))</f>
        <v/>
      </c>
    </row>
    <row r="370" customFormat="false" ht="15" hidden="false" customHeight="false" outlineLevel="0" collapsed="false">
      <c r="B370" s="80"/>
      <c r="C370" s="58"/>
      <c r="D370" s="62" t="str">
        <f aca="false">IF(C370="","",IFERROR(INDEX(T_NOMBRE,MATCH(V370,T_RUTN,0)),"⚠ RUT no está en Trabajadores"))</f>
        <v/>
      </c>
      <c r="E370" s="61"/>
      <c r="F370" s="61"/>
      <c r="G370" s="61"/>
      <c r="H370" s="61"/>
      <c r="I370" s="81"/>
      <c r="J370" s="81"/>
      <c r="K370" s="60"/>
      <c r="L370" s="60"/>
      <c r="M370" s="60"/>
      <c r="N370" s="60"/>
      <c r="O370" s="60"/>
      <c r="P370" s="60"/>
      <c r="Q370" s="60"/>
      <c r="R370" s="58"/>
      <c r="S370" s="62" t="str">
        <f aca="false">IF(OR(B370="",V370=""),"",IFERROR(INDEX(C_TIPO,MATCH(V370&amp;"-P"&amp;MAX(1,COUNTIFS(C_RUTN,V370,C_DEF,"Sí",C_INI,"&lt;="&amp;EOMONTH(B370,0))),C_CLAVE,0))&amp;"","Sin contrato"))</f>
        <v/>
      </c>
      <c r="T370" s="63" t="str">
        <f aca="false">IF(OR(B370="",N(O370)=0),"",N(O370)+ROUND(MIN(N(N370),TOPE_UF*UF_MES)*(TASA_EMP+MUTUAL),0)+ROUND(MIN(N(N370),TOPE_AFC_UF*UF_MES)*IF(S370="Indefinido",AFC_INDEF,AFC_PF),0))</f>
        <v/>
      </c>
      <c r="U370" s="62" t="str">
        <f aca="false">IF(C370="","",IF(LEFT(D370,1)="⚠","⚠ RUT no registrado en Trabajadores",IF(B370="","⚠ Falta el mes",IF(OR(ISTEXT(I370),ISTEXT(J370)),"⚠ Atrasos u horas extra como texto: escriba hh:mm (ej. 1:30)",IF(AND(ISNUMBER(Q370),COUNTIFS(M_RUTN,V370,M_MES,B370,M_LIQ,"&lt;&gt;")&gt;1),"⚠ Liquidación repetida en el mes",IF(AND(ISNUMBER(O370),ISNUMBER(P370),ISNUMBER(Q370),ABS(O370-P370-Q370)&gt;1),"⚠ Haberes − descuentos no da el líquido","OK"))))))</f>
        <v/>
      </c>
      <c r="V370" s="62" t="str">
        <f aca="false">IF(C370="","",IFERROR(VALUE(LEFT(UPPER(SUBSTITUTE(SUBSTITUTE(SUBSTITUTE(TRIM(C370),".",""),"-","")," ","")),LEN(UPPER(SUBSTITUTE(SUBSTITUTE(SUBSTITUTE(TRIM(C370),".",""),"-","")," ","")))-1))&amp;RIGHT(UPPER(SUBSTITUTE(SUBSTITUTE(SUBSTITUTE(TRIM(C370),".",""),"-","")," ","")),1),UPPER(SUBSTITUTE(SUBSTITUTE(SUBSTITUTE(TRIM(C370),".",""),"-","")," ",""))))</f>
        <v/>
      </c>
    </row>
    <row r="371" customFormat="false" ht="15" hidden="false" customHeight="false" outlineLevel="0" collapsed="false">
      <c r="B371" s="80"/>
      <c r="C371" s="58"/>
      <c r="D371" s="62" t="str">
        <f aca="false">IF(C371="","",IFERROR(INDEX(T_NOMBRE,MATCH(V371,T_RUTN,0)),"⚠ RUT no está en Trabajadores"))</f>
        <v/>
      </c>
      <c r="E371" s="61"/>
      <c r="F371" s="61"/>
      <c r="G371" s="61"/>
      <c r="H371" s="61"/>
      <c r="I371" s="81"/>
      <c r="J371" s="81"/>
      <c r="K371" s="60"/>
      <c r="L371" s="60"/>
      <c r="M371" s="60"/>
      <c r="N371" s="60"/>
      <c r="O371" s="60"/>
      <c r="P371" s="60"/>
      <c r="Q371" s="60"/>
      <c r="R371" s="58"/>
      <c r="S371" s="62" t="str">
        <f aca="false">IF(OR(B371="",V371=""),"",IFERROR(INDEX(C_TIPO,MATCH(V371&amp;"-P"&amp;MAX(1,COUNTIFS(C_RUTN,V371,C_DEF,"Sí",C_INI,"&lt;="&amp;EOMONTH(B371,0))),C_CLAVE,0))&amp;"","Sin contrato"))</f>
        <v/>
      </c>
      <c r="T371" s="63" t="str">
        <f aca="false">IF(OR(B371="",N(O371)=0),"",N(O371)+ROUND(MIN(N(N371),TOPE_UF*UF_MES)*(TASA_EMP+MUTUAL),0)+ROUND(MIN(N(N371),TOPE_AFC_UF*UF_MES)*IF(S371="Indefinido",AFC_INDEF,AFC_PF),0))</f>
        <v/>
      </c>
      <c r="U371" s="62" t="str">
        <f aca="false">IF(C371="","",IF(LEFT(D371,1)="⚠","⚠ RUT no registrado en Trabajadores",IF(B371="","⚠ Falta el mes",IF(OR(ISTEXT(I371),ISTEXT(J371)),"⚠ Atrasos u horas extra como texto: escriba hh:mm (ej. 1:30)",IF(AND(ISNUMBER(Q371),COUNTIFS(M_RUTN,V371,M_MES,B371,M_LIQ,"&lt;&gt;")&gt;1),"⚠ Liquidación repetida en el mes",IF(AND(ISNUMBER(O371),ISNUMBER(P371),ISNUMBER(Q371),ABS(O371-P371-Q371)&gt;1),"⚠ Haberes − descuentos no da el líquido","OK"))))))</f>
        <v/>
      </c>
      <c r="V371" s="62" t="str">
        <f aca="false">IF(C371="","",IFERROR(VALUE(LEFT(UPPER(SUBSTITUTE(SUBSTITUTE(SUBSTITUTE(TRIM(C371),".",""),"-","")," ","")),LEN(UPPER(SUBSTITUTE(SUBSTITUTE(SUBSTITUTE(TRIM(C371),".",""),"-","")," ","")))-1))&amp;RIGHT(UPPER(SUBSTITUTE(SUBSTITUTE(SUBSTITUTE(TRIM(C371),".",""),"-","")," ","")),1),UPPER(SUBSTITUTE(SUBSTITUTE(SUBSTITUTE(TRIM(C371),".",""),"-","")," ",""))))</f>
        <v/>
      </c>
    </row>
    <row r="372" customFormat="false" ht="15" hidden="false" customHeight="false" outlineLevel="0" collapsed="false">
      <c r="B372" s="80"/>
      <c r="C372" s="58"/>
      <c r="D372" s="62" t="str">
        <f aca="false">IF(C372="","",IFERROR(INDEX(T_NOMBRE,MATCH(V372,T_RUTN,0)),"⚠ RUT no está en Trabajadores"))</f>
        <v/>
      </c>
      <c r="E372" s="61"/>
      <c r="F372" s="61"/>
      <c r="G372" s="61"/>
      <c r="H372" s="61"/>
      <c r="I372" s="81"/>
      <c r="J372" s="81"/>
      <c r="K372" s="60"/>
      <c r="L372" s="60"/>
      <c r="M372" s="60"/>
      <c r="N372" s="60"/>
      <c r="O372" s="60"/>
      <c r="P372" s="60"/>
      <c r="Q372" s="60"/>
      <c r="R372" s="58"/>
      <c r="S372" s="62" t="str">
        <f aca="false">IF(OR(B372="",V372=""),"",IFERROR(INDEX(C_TIPO,MATCH(V372&amp;"-P"&amp;MAX(1,COUNTIFS(C_RUTN,V372,C_DEF,"Sí",C_INI,"&lt;="&amp;EOMONTH(B372,0))),C_CLAVE,0))&amp;"","Sin contrato"))</f>
        <v/>
      </c>
      <c r="T372" s="63" t="str">
        <f aca="false">IF(OR(B372="",N(O372)=0),"",N(O372)+ROUND(MIN(N(N372),TOPE_UF*UF_MES)*(TASA_EMP+MUTUAL),0)+ROUND(MIN(N(N372),TOPE_AFC_UF*UF_MES)*IF(S372="Indefinido",AFC_INDEF,AFC_PF),0))</f>
        <v/>
      </c>
      <c r="U372" s="62" t="str">
        <f aca="false">IF(C372="","",IF(LEFT(D372,1)="⚠","⚠ RUT no registrado en Trabajadores",IF(B372="","⚠ Falta el mes",IF(OR(ISTEXT(I372),ISTEXT(J372)),"⚠ Atrasos u horas extra como texto: escriba hh:mm (ej. 1:30)",IF(AND(ISNUMBER(Q372),COUNTIFS(M_RUTN,V372,M_MES,B372,M_LIQ,"&lt;&gt;")&gt;1),"⚠ Liquidación repetida en el mes",IF(AND(ISNUMBER(O372),ISNUMBER(P372),ISNUMBER(Q372),ABS(O372-P372-Q372)&gt;1),"⚠ Haberes − descuentos no da el líquido","OK"))))))</f>
        <v/>
      </c>
      <c r="V372" s="62" t="str">
        <f aca="false">IF(C372="","",IFERROR(VALUE(LEFT(UPPER(SUBSTITUTE(SUBSTITUTE(SUBSTITUTE(TRIM(C372),".",""),"-","")," ","")),LEN(UPPER(SUBSTITUTE(SUBSTITUTE(SUBSTITUTE(TRIM(C372),".",""),"-","")," ","")))-1))&amp;RIGHT(UPPER(SUBSTITUTE(SUBSTITUTE(SUBSTITUTE(TRIM(C372),".",""),"-","")," ","")),1),UPPER(SUBSTITUTE(SUBSTITUTE(SUBSTITUTE(TRIM(C372),".",""),"-","")," ",""))))</f>
        <v/>
      </c>
    </row>
    <row r="373" customFormat="false" ht="15" hidden="false" customHeight="false" outlineLevel="0" collapsed="false">
      <c r="B373" s="80"/>
      <c r="C373" s="58"/>
      <c r="D373" s="62" t="str">
        <f aca="false">IF(C373="","",IFERROR(INDEX(T_NOMBRE,MATCH(V373,T_RUTN,0)),"⚠ RUT no está en Trabajadores"))</f>
        <v/>
      </c>
      <c r="E373" s="61"/>
      <c r="F373" s="61"/>
      <c r="G373" s="61"/>
      <c r="H373" s="61"/>
      <c r="I373" s="81"/>
      <c r="J373" s="81"/>
      <c r="K373" s="60"/>
      <c r="L373" s="60"/>
      <c r="M373" s="60"/>
      <c r="N373" s="60"/>
      <c r="O373" s="60"/>
      <c r="P373" s="60"/>
      <c r="Q373" s="60"/>
      <c r="R373" s="58"/>
      <c r="S373" s="62" t="str">
        <f aca="false">IF(OR(B373="",V373=""),"",IFERROR(INDEX(C_TIPO,MATCH(V373&amp;"-P"&amp;MAX(1,COUNTIFS(C_RUTN,V373,C_DEF,"Sí",C_INI,"&lt;="&amp;EOMONTH(B373,0))),C_CLAVE,0))&amp;"","Sin contrato"))</f>
        <v/>
      </c>
      <c r="T373" s="63" t="str">
        <f aca="false">IF(OR(B373="",N(O373)=0),"",N(O373)+ROUND(MIN(N(N373),TOPE_UF*UF_MES)*(TASA_EMP+MUTUAL),0)+ROUND(MIN(N(N373),TOPE_AFC_UF*UF_MES)*IF(S373="Indefinido",AFC_INDEF,AFC_PF),0))</f>
        <v/>
      </c>
      <c r="U373" s="62" t="str">
        <f aca="false">IF(C373="","",IF(LEFT(D373,1)="⚠","⚠ RUT no registrado en Trabajadores",IF(B373="","⚠ Falta el mes",IF(OR(ISTEXT(I373),ISTEXT(J373)),"⚠ Atrasos u horas extra como texto: escriba hh:mm (ej. 1:30)",IF(AND(ISNUMBER(Q373),COUNTIFS(M_RUTN,V373,M_MES,B373,M_LIQ,"&lt;&gt;")&gt;1),"⚠ Liquidación repetida en el mes",IF(AND(ISNUMBER(O373),ISNUMBER(P373),ISNUMBER(Q373),ABS(O373-P373-Q373)&gt;1),"⚠ Haberes − descuentos no da el líquido","OK"))))))</f>
        <v/>
      </c>
      <c r="V373" s="62" t="str">
        <f aca="false">IF(C373="","",IFERROR(VALUE(LEFT(UPPER(SUBSTITUTE(SUBSTITUTE(SUBSTITUTE(TRIM(C373),".",""),"-","")," ","")),LEN(UPPER(SUBSTITUTE(SUBSTITUTE(SUBSTITUTE(TRIM(C373),".",""),"-","")," ","")))-1))&amp;RIGHT(UPPER(SUBSTITUTE(SUBSTITUTE(SUBSTITUTE(TRIM(C373),".",""),"-","")," ","")),1),UPPER(SUBSTITUTE(SUBSTITUTE(SUBSTITUTE(TRIM(C373),".",""),"-","")," ",""))))</f>
        <v/>
      </c>
    </row>
    <row r="374" customFormat="false" ht="15" hidden="false" customHeight="false" outlineLevel="0" collapsed="false">
      <c r="B374" s="80"/>
      <c r="C374" s="58"/>
      <c r="D374" s="62" t="str">
        <f aca="false">IF(C374="","",IFERROR(INDEX(T_NOMBRE,MATCH(V374,T_RUTN,0)),"⚠ RUT no está en Trabajadores"))</f>
        <v/>
      </c>
      <c r="E374" s="61"/>
      <c r="F374" s="61"/>
      <c r="G374" s="61"/>
      <c r="H374" s="61"/>
      <c r="I374" s="81"/>
      <c r="J374" s="81"/>
      <c r="K374" s="60"/>
      <c r="L374" s="60"/>
      <c r="M374" s="60"/>
      <c r="N374" s="60"/>
      <c r="O374" s="60"/>
      <c r="P374" s="60"/>
      <c r="Q374" s="60"/>
      <c r="R374" s="58"/>
      <c r="S374" s="62" t="str">
        <f aca="false">IF(OR(B374="",V374=""),"",IFERROR(INDEX(C_TIPO,MATCH(V374&amp;"-P"&amp;MAX(1,COUNTIFS(C_RUTN,V374,C_DEF,"Sí",C_INI,"&lt;="&amp;EOMONTH(B374,0))),C_CLAVE,0))&amp;"","Sin contrato"))</f>
        <v/>
      </c>
      <c r="T374" s="63" t="str">
        <f aca="false">IF(OR(B374="",N(O374)=0),"",N(O374)+ROUND(MIN(N(N374),TOPE_UF*UF_MES)*(TASA_EMP+MUTUAL),0)+ROUND(MIN(N(N374),TOPE_AFC_UF*UF_MES)*IF(S374="Indefinido",AFC_INDEF,AFC_PF),0))</f>
        <v/>
      </c>
      <c r="U374" s="62" t="str">
        <f aca="false">IF(C374="","",IF(LEFT(D374,1)="⚠","⚠ RUT no registrado en Trabajadores",IF(B374="","⚠ Falta el mes",IF(OR(ISTEXT(I374),ISTEXT(J374)),"⚠ Atrasos u horas extra como texto: escriba hh:mm (ej. 1:30)",IF(AND(ISNUMBER(Q374),COUNTIFS(M_RUTN,V374,M_MES,B374,M_LIQ,"&lt;&gt;")&gt;1),"⚠ Liquidación repetida en el mes",IF(AND(ISNUMBER(O374),ISNUMBER(P374),ISNUMBER(Q374),ABS(O374-P374-Q374)&gt;1),"⚠ Haberes − descuentos no da el líquido","OK"))))))</f>
        <v/>
      </c>
      <c r="V374" s="62" t="str">
        <f aca="false">IF(C374="","",IFERROR(VALUE(LEFT(UPPER(SUBSTITUTE(SUBSTITUTE(SUBSTITUTE(TRIM(C374),".",""),"-","")," ","")),LEN(UPPER(SUBSTITUTE(SUBSTITUTE(SUBSTITUTE(TRIM(C374),".",""),"-","")," ","")))-1))&amp;RIGHT(UPPER(SUBSTITUTE(SUBSTITUTE(SUBSTITUTE(TRIM(C374),".",""),"-","")," ","")),1),UPPER(SUBSTITUTE(SUBSTITUTE(SUBSTITUTE(TRIM(C374),".",""),"-","")," ",""))))</f>
        <v/>
      </c>
    </row>
    <row r="375" customFormat="false" ht="15" hidden="false" customHeight="false" outlineLevel="0" collapsed="false">
      <c r="B375" s="80"/>
      <c r="C375" s="58"/>
      <c r="D375" s="62" t="str">
        <f aca="false">IF(C375="","",IFERROR(INDEX(T_NOMBRE,MATCH(V375,T_RUTN,0)),"⚠ RUT no está en Trabajadores"))</f>
        <v/>
      </c>
      <c r="E375" s="61"/>
      <c r="F375" s="61"/>
      <c r="G375" s="61"/>
      <c r="H375" s="61"/>
      <c r="I375" s="81"/>
      <c r="J375" s="81"/>
      <c r="K375" s="60"/>
      <c r="L375" s="60"/>
      <c r="M375" s="60"/>
      <c r="N375" s="60"/>
      <c r="O375" s="60"/>
      <c r="P375" s="60"/>
      <c r="Q375" s="60"/>
      <c r="R375" s="58"/>
      <c r="S375" s="62" t="str">
        <f aca="false">IF(OR(B375="",V375=""),"",IFERROR(INDEX(C_TIPO,MATCH(V375&amp;"-P"&amp;MAX(1,COUNTIFS(C_RUTN,V375,C_DEF,"Sí",C_INI,"&lt;="&amp;EOMONTH(B375,0))),C_CLAVE,0))&amp;"","Sin contrato"))</f>
        <v/>
      </c>
      <c r="T375" s="63" t="str">
        <f aca="false">IF(OR(B375="",N(O375)=0),"",N(O375)+ROUND(MIN(N(N375),TOPE_UF*UF_MES)*(TASA_EMP+MUTUAL),0)+ROUND(MIN(N(N375),TOPE_AFC_UF*UF_MES)*IF(S375="Indefinido",AFC_INDEF,AFC_PF),0))</f>
        <v/>
      </c>
      <c r="U375" s="62" t="str">
        <f aca="false">IF(C375="","",IF(LEFT(D375,1)="⚠","⚠ RUT no registrado en Trabajadores",IF(B375="","⚠ Falta el mes",IF(OR(ISTEXT(I375),ISTEXT(J375)),"⚠ Atrasos u horas extra como texto: escriba hh:mm (ej. 1:30)",IF(AND(ISNUMBER(Q375),COUNTIFS(M_RUTN,V375,M_MES,B375,M_LIQ,"&lt;&gt;")&gt;1),"⚠ Liquidación repetida en el mes",IF(AND(ISNUMBER(O375),ISNUMBER(P375),ISNUMBER(Q375),ABS(O375-P375-Q375)&gt;1),"⚠ Haberes − descuentos no da el líquido","OK"))))))</f>
        <v/>
      </c>
      <c r="V375" s="62" t="str">
        <f aca="false">IF(C375="","",IFERROR(VALUE(LEFT(UPPER(SUBSTITUTE(SUBSTITUTE(SUBSTITUTE(TRIM(C375),".",""),"-","")," ","")),LEN(UPPER(SUBSTITUTE(SUBSTITUTE(SUBSTITUTE(TRIM(C375),".",""),"-","")," ","")))-1))&amp;RIGHT(UPPER(SUBSTITUTE(SUBSTITUTE(SUBSTITUTE(TRIM(C375),".",""),"-","")," ","")),1),UPPER(SUBSTITUTE(SUBSTITUTE(SUBSTITUTE(TRIM(C375),".",""),"-","")," ",""))))</f>
        <v/>
      </c>
    </row>
    <row r="376" customFormat="false" ht="15" hidden="false" customHeight="false" outlineLevel="0" collapsed="false">
      <c r="B376" s="80"/>
      <c r="C376" s="58"/>
      <c r="D376" s="62" t="str">
        <f aca="false">IF(C376="","",IFERROR(INDEX(T_NOMBRE,MATCH(V376,T_RUTN,0)),"⚠ RUT no está en Trabajadores"))</f>
        <v/>
      </c>
      <c r="E376" s="61"/>
      <c r="F376" s="61"/>
      <c r="G376" s="61"/>
      <c r="H376" s="61"/>
      <c r="I376" s="81"/>
      <c r="J376" s="81"/>
      <c r="K376" s="60"/>
      <c r="L376" s="60"/>
      <c r="M376" s="60"/>
      <c r="N376" s="60"/>
      <c r="O376" s="60"/>
      <c r="P376" s="60"/>
      <c r="Q376" s="60"/>
      <c r="R376" s="58"/>
      <c r="S376" s="62" t="str">
        <f aca="false">IF(OR(B376="",V376=""),"",IFERROR(INDEX(C_TIPO,MATCH(V376&amp;"-P"&amp;MAX(1,COUNTIFS(C_RUTN,V376,C_DEF,"Sí",C_INI,"&lt;="&amp;EOMONTH(B376,0))),C_CLAVE,0))&amp;"","Sin contrato"))</f>
        <v/>
      </c>
      <c r="T376" s="63" t="str">
        <f aca="false">IF(OR(B376="",N(O376)=0),"",N(O376)+ROUND(MIN(N(N376),TOPE_UF*UF_MES)*(TASA_EMP+MUTUAL),0)+ROUND(MIN(N(N376),TOPE_AFC_UF*UF_MES)*IF(S376="Indefinido",AFC_INDEF,AFC_PF),0))</f>
        <v/>
      </c>
      <c r="U376" s="62" t="str">
        <f aca="false">IF(C376="","",IF(LEFT(D376,1)="⚠","⚠ RUT no registrado en Trabajadores",IF(B376="","⚠ Falta el mes",IF(OR(ISTEXT(I376),ISTEXT(J376)),"⚠ Atrasos u horas extra como texto: escriba hh:mm (ej. 1:30)",IF(AND(ISNUMBER(Q376),COUNTIFS(M_RUTN,V376,M_MES,B376,M_LIQ,"&lt;&gt;")&gt;1),"⚠ Liquidación repetida en el mes",IF(AND(ISNUMBER(O376),ISNUMBER(P376),ISNUMBER(Q376),ABS(O376-P376-Q376)&gt;1),"⚠ Haberes − descuentos no da el líquido","OK"))))))</f>
        <v/>
      </c>
      <c r="V376" s="62" t="str">
        <f aca="false">IF(C376="","",IFERROR(VALUE(LEFT(UPPER(SUBSTITUTE(SUBSTITUTE(SUBSTITUTE(TRIM(C376),".",""),"-","")," ","")),LEN(UPPER(SUBSTITUTE(SUBSTITUTE(SUBSTITUTE(TRIM(C376),".",""),"-","")," ","")))-1))&amp;RIGHT(UPPER(SUBSTITUTE(SUBSTITUTE(SUBSTITUTE(TRIM(C376),".",""),"-","")," ","")),1),UPPER(SUBSTITUTE(SUBSTITUTE(SUBSTITUTE(TRIM(C376),".",""),"-","")," ",""))))</f>
        <v/>
      </c>
    </row>
    <row r="377" customFormat="false" ht="15" hidden="false" customHeight="false" outlineLevel="0" collapsed="false">
      <c r="B377" s="80"/>
      <c r="C377" s="58"/>
      <c r="D377" s="62" t="str">
        <f aca="false">IF(C377="","",IFERROR(INDEX(T_NOMBRE,MATCH(V377,T_RUTN,0)),"⚠ RUT no está en Trabajadores"))</f>
        <v/>
      </c>
      <c r="E377" s="61"/>
      <c r="F377" s="61"/>
      <c r="G377" s="61"/>
      <c r="H377" s="61"/>
      <c r="I377" s="81"/>
      <c r="J377" s="81"/>
      <c r="K377" s="60"/>
      <c r="L377" s="60"/>
      <c r="M377" s="60"/>
      <c r="N377" s="60"/>
      <c r="O377" s="60"/>
      <c r="P377" s="60"/>
      <c r="Q377" s="60"/>
      <c r="R377" s="58"/>
      <c r="S377" s="62" t="str">
        <f aca="false">IF(OR(B377="",V377=""),"",IFERROR(INDEX(C_TIPO,MATCH(V377&amp;"-P"&amp;MAX(1,COUNTIFS(C_RUTN,V377,C_DEF,"Sí",C_INI,"&lt;="&amp;EOMONTH(B377,0))),C_CLAVE,0))&amp;"","Sin contrato"))</f>
        <v/>
      </c>
      <c r="T377" s="63" t="str">
        <f aca="false">IF(OR(B377="",N(O377)=0),"",N(O377)+ROUND(MIN(N(N377),TOPE_UF*UF_MES)*(TASA_EMP+MUTUAL),0)+ROUND(MIN(N(N377),TOPE_AFC_UF*UF_MES)*IF(S377="Indefinido",AFC_INDEF,AFC_PF),0))</f>
        <v/>
      </c>
      <c r="U377" s="62" t="str">
        <f aca="false">IF(C377="","",IF(LEFT(D377,1)="⚠","⚠ RUT no registrado en Trabajadores",IF(B377="","⚠ Falta el mes",IF(OR(ISTEXT(I377),ISTEXT(J377)),"⚠ Atrasos u horas extra como texto: escriba hh:mm (ej. 1:30)",IF(AND(ISNUMBER(Q377),COUNTIFS(M_RUTN,V377,M_MES,B377,M_LIQ,"&lt;&gt;")&gt;1),"⚠ Liquidación repetida en el mes",IF(AND(ISNUMBER(O377),ISNUMBER(P377),ISNUMBER(Q377),ABS(O377-P377-Q377)&gt;1),"⚠ Haberes − descuentos no da el líquido","OK"))))))</f>
        <v/>
      </c>
      <c r="V377" s="62" t="str">
        <f aca="false">IF(C377="","",IFERROR(VALUE(LEFT(UPPER(SUBSTITUTE(SUBSTITUTE(SUBSTITUTE(TRIM(C377),".",""),"-","")," ","")),LEN(UPPER(SUBSTITUTE(SUBSTITUTE(SUBSTITUTE(TRIM(C377),".",""),"-","")," ","")))-1))&amp;RIGHT(UPPER(SUBSTITUTE(SUBSTITUTE(SUBSTITUTE(TRIM(C377),".",""),"-","")," ","")),1),UPPER(SUBSTITUTE(SUBSTITUTE(SUBSTITUTE(TRIM(C377),".",""),"-","")," ",""))))</f>
        <v/>
      </c>
    </row>
    <row r="378" customFormat="false" ht="15" hidden="false" customHeight="false" outlineLevel="0" collapsed="false">
      <c r="B378" s="80"/>
      <c r="C378" s="58"/>
      <c r="D378" s="62" t="str">
        <f aca="false">IF(C378="","",IFERROR(INDEX(T_NOMBRE,MATCH(V378,T_RUTN,0)),"⚠ RUT no está en Trabajadores"))</f>
        <v/>
      </c>
      <c r="E378" s="61"/>
      <c r="F378" s="61"/>
      <c r="G378" s="61"/>
      <c r="H378" s="61"/>
      <c r="I378" s="81"/>
      <c r="J378" s="81"/>
      <c r="K378" s="60"/>
      <c r="L378" s="60"/>
      <c r="M378" s="60"/>
      <c r="N378" s="60"/>
      <c r="O378" s="60"/>
      <c r="P378" s="60"/>
      <c r="Q378" s="60"/>
      <c r="R378" s="58"/>
      <c r="S378" s="62" t="str">
        <f aca="false">IF(OR(B378="",V378=""),"",IFERROR(INDEX(C_TIPO,MATCH(V378&amp;"-P"&amp;MAX(1,COUNTIFS(C_RUTN,V378,C_DEF,"Sí",C_INI,"&lt;="&amp;EOMONTH(B378,0))),C_CLAVE,0))&amp;"","Sin contrato"))</f>
        <v/>
      </c>
      <c r="T378" s="63" t="str">
        <f aca="false">IF(OR(B378="",N(O378)=0),"",N(O378)+ROUND(MIN(N(N378),TOPE_UF*UF_MES)*(TASA_EMP+MUTUAL),0)+ROUND(MIN(N(N378),TOPE_AFC_UF*UF_MES)*IF(S378="Indefinido",AFC_INDEF,AFC_PF),0))</f>
        <v/>
      </c>
      <c r="U378" s="62" t="str">
        <f aca="false">IF(C378="","",IF(LEFT(D378,1)="⚠","⚠ RUT no registrado en Trabajadores",IF(B378="","⚠ Falta el mes",IF(OR(ISTEXT(I378),ISTEXT(J378)),"⚠ Atrasos u horas extra como texto: escriba hh:mm (ej. 1:30)",IF(AND(ISNUMBER(Q378),COUNTIFS(M_RUTN,V378,M_MES,B378,M_LIQ,"&lt;&gt;")&gt;1),"⚠ Liquidación repetida en el mes",IF(AND(ISNUMBER(O378),ISNUMBER(P378),ISNUMBER(Q378),ABS(O378-P378-Q378)&gt;1),"⚠ Haberes − descuentos no da el líquido","OK"))))))</f>
        <v/>
      </c>
      <c r="V378" s="62" t="str">
        <f aca="false">IF(C378="","",IFERROR(VALUE(LEFT(UPPER(SUBSTITUTE(SUBSTITUTE(SUBSTITUTE(TRIM(C378),".",""),"-","")," ","")),LEN(UPPER(SUBSTITUTE(SUBSTITUTE(SUBSTITUTE(TRIM(C378),".",""),"-","")," ","")))-1))&amp;RIGHT(UPPER(SUBSTITUTE(SUBSTITUTE(SUBSTITUTE(TRIM(C378),".",""),"-","")," ","")),1),UPPER(SUBSTITUTE(SUBSTITUTE(SUBSTITUTE(TRIM(C378),".",""),"-","")," ",""))))</f>
        <v/>
      </c>
    </row>
    <row r="379" customFormat="false" ht="15" hidden="false" customHeight="false" outlineLevel="0" collapsed="false">
      <c r="B379" s="80"/>
      <c r="C379" s="58"/>
      <c r="D379" s="62" t="str">
        <f aca="false">IF(C379="","",IFERROR(INDEX(T_NOMBRE,MATCH(V379,T_RUTN,0)),"⚠ RUT no está en Trabajadores"))</f>
        <v/>
      </c>
      <c r="E379" s="61"/>
      <c r="F379" s="61"/>
      <c r="G379" s="61"/>
      <c r="H379" s="61"/>
      <c r="I379" s="81"/>
      <c r="J379" s="81"/>
      <c r="K379" s="60"/>
      <c r="L379" s="60"/>
      <c r="M379" s="60"/>
      <c r="N379" s="60"/>
      <c r="O379" s="60"/>
      <c r="P379" s="60"/>
      <c r="Q379" s="60"/>
      <c r="R379" s="58"/>
      <c r="S379" s="62" t="str">
        <f aca="false">IF(OR(B379="",V379=""),"",IFERROR(INDEX(C_TIPO,MATCH(V379&amp;"-P"&amp;MAX(1,COUNTIFS(C_RUTN,V379,C_DEF,"Sí",C_INI,"&lt;="&amp;EOMONTH(B379,0))),C_CLAVE,0))&amp;"","Sin contrato"))</f>
        <v/>
      </c>
      <c r="T379" s="63" t="str">
        <f aca="false">IF(OR(B379="",N(O379)=0),"",N(O379)+ROUND(MIN(N(N379),TOPE_UF*UF_MES)*(TASA_EMP+MUTUAL),0)+ROUND(MIN(N(N379),TOPE_AFC_UF*UF_MES)*IF(S379="Indefinido",AFC_INDEF,AFC_PF),0))</f>
        <v/>
      </c>
      <c r="U379" s="62" t="str">
        <f aca="false">IF(C379="","",IF(LEFT(D379,1)="⚠","⚠ RUT no registrado en Trabajadores",IF(B379="","⚠ Falta el mes",IF(OR(ISTEXT(I379),ISTEXT(J379)),"⚠ Atrasos u horas extra como texto: escriba hh:mm (ej. 1:30)",IF(AND(ISNUMBER(Q379),COUNTIFS(M_RUTN,V379,M_MES,B379,M_LIQ,"&lt;&gt;")&gt;1),"⚠ Liquidación repetida en el mes",IF(AND(ISNUMBER(O379),ISNUMBER(P379),ISNUMBER(Q379),ABS(O379-P379-Q379)&gt;1),"⚠ Haberes − descuentos no da el líquido","OK"))))))</f>
        <v/>
      </c>
      <c r="V379" s="62" t="str">
        <f aca="false">IF(C379="","",IFERROR(VALUE(LEFT(UPPER(SUBSTITUTE(SUBSTITUTE(SUBSTITUTE(TRIM(C379),".",""),"-","")," ","")),LEN(UPPER(SUBSTITUTE(SUBSTITUTE(SUBSTITUTE(TRIM(C379),".",""),"-","")," ","")))-1))&amp;RIGHT(UPPER(SUBSTITUTE(SUBSTITUTE(SUBSTITUTE(TRIM(C379),".",""),"-","")," ","")),1),UPPER(SUBSTITUTE(SUBSTITUTE(SUBSTITUTE(TRIM(C379),".",""),"-","")," ",""))))</f>
        <v/>
      </c>
    </row>
    <row r="380" customFormat="false" ht="15" hidden="false" customHeight="false" outlineLevel="0" collapsed="false">
      <c r="B380" s="80"/>
      <c r="C380" s="58"/>
      <c r="D380" s="62" t="str">
        <f aca="false">IF(C380="","",IFERROR(INDEX(T_NOMBRE,MATCH(V380,T_RUTN,0)),"⚠ RUT no está en Trabajadores"))</f>
        <v/>
      </c>
      <c r="E380" s="61"/>
      <c r="F380" s="61"/>
      <c r="G380" s="61"/>
      <c r="H380" s="61"/>
      <c r="I380" s="81"/>
      <c r="J380" s="81"/>
      <c r="K380" s="60"/>
      <c r="L380" s="60"/>
      <c r="M380" s="60"/>
      <c r="N380" s="60"/>
      <c r="O380" s="60"/>
      <c r="P380" s="60"/>
      <c r="Q380" s="60"/>
      <c r="R380" s="58"/>
      <c r="S380" s="62" t="str">
        <f aca="false">IF(OR(B380="",V380=""),"",IFERROR(INDEX(C_TIPO,MATCH(V380&amp;"-P"&amp;MAX(1,COUNTIFS(C_RUTN,V380,C_DEF,"Sí",C_INI,"&lt;="&amp;EOMONTH(B380,0))),C_CLAVE,0))&amp;"","Sin contrato"))</f>
        <v/>
      </c>
      <c r="T380" s="63" t="str">
        <f aca="false">IF(OR(B380="",N(O380)=0),"",N(O380)+ROUND(MIN(N(N380),TOPE_UF*UF_MES)*(TASA_EMP+MUTUAL),0)+ROUND(MIN(N(N380),TOPE_AFC_UF*UF_MES)*IF(S380="Indefinido",AFC_INDEF,AFC_PF),0))</f>
        <v/>
      </c>
      <c r="U380" s="62" t="str">
        <f aca="false">IF(C380="","",IF(LEFT(D380,1)="⚠","⚠ RUT no registrado en Trabajadores",IF(B380="","⚠ Falta el mes",IF(OR(ISTEXT(I380),ISTEXT(J380)),"⚠ Atrasos u horas extra como texto: escriba hh:mm (ej. 1:30)",IF(AND(ISNUMBER(Q380),COUNTIFS(M_RUTN,V380,M_MES,B380,M_LIQ,"&lt;&gt;")&gt;1),"⚠ Liquidación repetida en el mes",IF(AND(ISNUMBER(O380),ISNUMBER(P380),ISNUMBER(Q380),ABS(O380-P380-Q380)&gt;1),"⚠ Haberes − descuentos no da el líquido","OK"))))))</f>
        <v/>
      </c>
      <c r="V380" s="62" t="str">
        <f aca="false">IF(C380="","",IFERROR(VALUE(LEFT(UPPER(SUBSTITUTE(SUBSTITUTE(SUBSTITUTE(TRIM(C380),".",""),"-","")," ","")),LEN(UPPER(SUBSTITUTE(SUBSTITUTE(SUBSTITUTE(TRIM(C380),".",""),"-","")," ","")))-1))&amp;RIGHT(UPPER(SUBSTITUTE(SUBSTITUTE(SUBSTITUTE(TRIM(C380),".",""),"-","")," ","")),1),UPPER(SUBSTITUTE(SUBSTITUTE(SUBSTITUTE(TRIM(C380),".",""),"-","")," ",""))))</f>
        <v/>
      </c>
    </row>
    <row r="381" customFormat="false" ht="15" hidden="false" customHeight="false" outlineLevel="0" collapsed="false">
      <c r="B381" s="80"/>
      <c r="C381" s="58"/>
      <c r="D381" s="62" t="str">
        <f aca="false">IF(C381="","",IFERROR(INDEX(T_NOMBRE,MATCH(V381,T_RUTN,0)),"⚠ RUT no está en Trabajadores"))</f>
        <v/>
      </c>
      <c r="E381" s="61"/>
      <c r="F381" s="61"/>
      <c r="G381" s="61"/>
      <c r="H381" s="61"/>
      <c r="I381" s="81"/>
      <c r="J381" s="81"/>
      <c r="K381" s="60"/>
      <c r="L381" s="60"/>
      <c r="M381" s="60"/>
      <c r="N381" s="60"/>
      <c r="O381" s="60"/>
      <c r="P381" s="60"/>
      <c r="Q381" s="60"/>
      <c r="R381" s="58"/>
      <c r="S381" s="62" t="str">
        <f aca="false">IF(OR(B381="",V381=""),"",IFERROR(INDEX(C_TIPO,MATCH(V381&amp;"-P"&amp;MAX(1,COUNTIFS(C_RUTN,V381,C_DEF,"Sí",C_INI,"&lt;="&amp;EOMONTH(B381,0))),C_CLAVE,0))&amp;"","Sin contrato"))</f>
        <v/>
      </c>
      <c r="T381" s="63" t="str">
        <f aca="false">IF(OR(B381="",N(O381)=0),"",N(O381)+ROUND(MIN(N(N381),TOPE_UF*UF_MES)*(TASA_EMP+MUTUAL),0)+ROUND(MIN(N(N381),TOPE_AFC_UF*UF_MES)*IF(S381="Indefinido",AFC_INDEF,AFC_PF),0))</f>
        <v/>
      </c>
      <c r="U381" s="62" t="str">
        <f aca="false">IF(C381="","",IF(LEFT(D381,1)="⚠","⚠ RUT no registrado en Trabajadores",IF(B381="","⚠ Falta el mes",IF(OR(ISTEXT(I381),ISTEXT(J381)),"⚠ Atrasos u horas extra como texto: escriba hh:mm (ej. 1:30)",IF(AND(ISNUMBER(Q381),COUNTIFS(M_RUTN,V381,M_MES,B381,M_LIQ,"&lt;&gt;")&gt;1),"⚠ Liquidación repetida en el mes",IF(AND(ISNUMBER(O381),ISNUMBER(P381),ISNUMBER(Q381),ABS(O381-P381-Q381)&gt;1),"⚠ Haberes − descuentos no da el líquido","OK"))))))</f>
        <v/>
      </c>
      <c r="V381" s="62" t="str">
        <f aca="false">IF(C381="","",IFERROR(VALUE(LEFT(UPPER(SUBSTITUTE(SUBSTITUTE(SUBSTITUTE(TRIM(C381),".",""),"-","")," ","")),LEN(UPPER(SUBSTITUTE(SUBSTITUTE(SUBSTITUTE(TRIM(C381),".",""),"-","")," ","")))-1))&amp;RIGHT(UPPER(SUBSTITUTE(SUBSTITUTE(SUBSTITUTE(TRIM(C381),".",""),"-","")," ","")),1),UPPER(SUBSTITUTE(SUBSTITUTE(SUBSTITUTE(TRIM(C381),".",""),"-","")," ",""))))</f>
        <v/>
      </c>
    </row>
    <row r="382" customFormat="false" ht="15" hidden="false" customHeight="false" outlineLevel="0" collapsed="false">
      <c r="B382" s="80"/>
      <c r="C382" s="58"/>
      <c r="D382" s="62" t="str">
        <f aca="false">IF(C382="","",IFERROR(INDEX(T_NOMBRE,MATCH(V382,T_RUTN,0)),"⚠ RUT no está en Trabajadores"))</f>
        <v/>
      </c>
      <c r="E382" s="61"/>
      <c r="F382" s="61"/>
      <c r="G382" s="61"/>
      <c r="H382" s="61"/>
      <c r="I382" s="81"/>
      <c r="J382" s="81"/>
      <c r="K382" s="60"/>
      <c r="L382" s="60"/>
      <c r="M382" s="60"/>
      <c r="N382" s="60"/>
      <c r="O382" s="60"/>
      <c r="P382" s="60"/>
      <c r="Q382" s="60"/>
      <c r="R382" s="58"/>
      <c r="S382" s="62" t="str">
        <f aca="false">IF(OR(B382="",V382=""),"",IFERROR(INDEX(C_TIPO,MATCH(V382&amp;"-P"&amp;MAX(1,COUNTIFS(C_RUTN,V382,C_DEF,"Sí",C_INI,"&lt;="&amp;EOMONTH(B382,0))),C_CLAVE,0))&amp;"","Sin contrato"))</f>
        <v/>
      </c>
      <c r="T382" s="63" t="str">
        <f aca="false">IF(OR(B382="",N(O382)=0),"",N(O382)+ROUND(MIN(N(N382),TOPE_UF*UF_MES)*(TASA_EMP+MUTUAL),0)+ROUND(MIN(N(N382),TOPE_AFC_UF*UF_MES)*IF(S382="Indefinido",AFC_INDEF,AFC_PF),0))</f>
        <v/>
      </c>
      <c r="U382" s="62" t="str">
        <f aca="false">IF(C382="","",IF(LEFT(D382,1)="⚠","⚠ RUT no registrado en Trabajadores",IF(B382="","⚠ Falta el mes",IF(OR(ISTEXT(I382),ISTEXT(J382)),"⚠ Atrasos u horas extra como texto: escriba hh:mm (ej. 1:30)",IF(AND(ISNUMBER(Q382),COUNTIFS(M_RUTN,V382,M_MES,B382,M_LIQ,"&lt;&gt;")&gt;1),"⚠ Liquidación repetida en el mes",IF(AND(ISNUMBER(O382),ISNUMBER(P382),ISNUMBER(Q382),ABS(O382-P382-Q382)&gt;1),"⚠ Haberes − descuentos no da el líquido","OK"))))))</f>
        <v/>
      </c>
      <c r="V382" s="62" t="str">
        <f aca="false">IF(C382="","",IFERROR(VALUE(LEFT(UPPER(SUBSTITUTE(SUBSTITUTE(SUBSTITUTE(TRIM(C382),".",""),"-","")," ","")),LEN(UPPER(SUBSTITUTE(SUBSTITUTE(SUBSTITUTE(TRIM(C382),".",""),"-","")," ","")))-1))&amp;RIGHT(UPPER(SUBSTITUTE(SUBSTITUTE(SUBSTITUTE(TRIM(C382),".",""),"-","")," ","")),1),UPPER(SUBSTITUTE(SUBSTITUTE(SUBSTITUTE(TRIM(C382),".",""),"-","")," ",""))))</f>
        <v/>
      </c>
    </row>
    <row r="383" customFormat="false" ht="15" hidden="false" customHeight="false" outlineLevel="0" collapsed="false">
      <c r="B383" s="80"/>
      <c r="C383" s="58"/>
      <c r="D383" s="62" t="str">
        <f aca="false">IF(C383="","",IFERROR(INDEX(T_NOMBRE,MATCH(V383,T_RUTN,0)),"⚠ RUT no está en Trabajadores"))</f>
        <v/>
      </c>
      <c r="E383" s="61"/>
      <c r="F383" s="61"/>
      <c r="G383" s="61"/>
      <c r="H383" s="61"/>
      <c r="I383" s="81"/>
      <c r="J383" s="81"/>
      <c r="K383" s="60"/>
      <c r="L383" s="60"/>
      <c r="M383" s="60"/>
      <c r="N383" s="60"/>
      <c r="O383" s="60"/>
      <c r="P383" s="60"/>
      <c r="Q383" s="60"/>
      <c r="R383" s="58"/>
      <c r="S383" s="62" t="str">
        <f aca="false">IF(OR(B383="",V383=""),"",IFERROR(INDEX(C_TIPO,MATCH(V383&amp;"-P"&amp;MAX(1,COUNTIFS(C_RUTN,V383,C_DEF,"Sí",C_INI,"&lt;="&amp;EOMONTH(B383,0))),C_CLAVE,0))&amp;"","Sin contrato"))</f>
        <v/>
      </c>
      <c r="T383" s="63" t="str">
        <f aca="false">IF(OR(B383="",N(O383)=0),"",N(O383)+ROUND(MIN(N(N383),TOPE_UF*UF_MES)*(TASA_EMP+MUTUAL),0)+ROUND(MIN(N(N383),TOPE_AFC_UF*UF_MES)*IF(S383="Indefinido",AFC_INDEF,AFC_PF),0))</f>
        <v/>
      </c>
      <c r="U383" s="62" t="str">
        <f aca="false">IF(C383="","",IF(LEFT(D383,1)="⚠","⚠ RUT no registrado en Trabajadores",IF(B383="","⚠ Falta el mes",IF(OR(ISTEXT(I383),ISTEXT(J383)),"⚠ Atrasos u horas extra como texto: escriba hh:mm (ej. 1:30)",IF(AND(ISNUMBER(Q383),COUNTIFS(M_RUTN,V383,M_MES,B383,M_LIQ,"&lt;&gt;")&gt;1),"⚠ Liquidación repetida en el mes",IF(AND(ISNUMBER(O383),ISNUMBER(P383),ISNUMBER(Q383),ABS(O383-P383-Q383)&gt;1),"⚠ Haberes − descuentos no da el líquido","OK"))))))</f>
        <v/>
      </c>
      <c r="V383" s="62" t="str">
        <f aca="false">IF(C383="","",IFERROR(VALUE(LEFT(UPPER(SUBSTITUTE(SUBSTITUTE(SUBSTITUTE(TRIM(C383),".",""),"-","")," ","")),LEN(UPPER(SUBSTITUTE(SUBSTITUTE(SUBSTITUTE(TRIM(C383),".",""),"-","")," ","")))-1))&amp;RIGHT(UPPER(SUBSTITUTE(SUBSTITUTE(SUBSTITUTE(TRIM(C383),".",""),"-","")," ","")),1),UPPER(SUBSTITUTE(SUBSTITUTE(SUBSTITUTE(TRIM(C383),".",""),"-","")," ",""))))</f>
        <v/>
      </c>
    </row>
    <row r="384" customFormat="false" ht="15" hidden="false" customHeight="false" outlineLevel="0" collapsed="false">
      <c r="B384" s="80"/>
      <c r="C384" s="58"/>
      <c r="D384" s="62" t="str">
        <f aca="false">IF(C384="","",IFERROR(INDEX(T_NOMBRE,MATCH(V384,T_RUTN,0)),"⚠ RUT no está en Trabajadores"))</f>
        <v/>
      </c>
      <c r="E384" s="61"/>
      <c r="F384" s="61"/>
      <c r="G384" s="61"/>
      <c r="H384" s="61"/>
      <c r="I384" s="81"/>
      <c r="J384" s="81"/>
      <c r="K384" s="60"/>
      <c r="L384" s="60"/>
      <c r="M384" s="60"/>
      <c r="N384" s="60"/>
      <c r="O384" s="60"/>
      <c r="P384" s="60"/>
      <c r="Q384" s="60"/>
      <c r="R384" s="58"/>
      <c r="S384" s="62" t="str">
        <f aca="false">IF(OR(B384="",V384=""),"",IFERROR(INDEX(C_TIPO,MATCH(V384&amp;"-P"&amp;MAX(1,COUNTIFS(C_RUTN,V384,C_DEF,"Sí",C_INI,"&lt;="&amp;EOMONTH(B384,0))),C_CLAVE,0))&amp;"","Sin contrato"))</f>
        <v/>
      </c>
      <c r="T384" s="63" t="str">
        <f aca="false">IF(OR(B384="",N(O384)=0),"",N(O384)+ROUND(MIN(N(N384),TOPE_UF*UF_MES)*(TASA_EMP+MUTUAL),0)+ROUND(MIN(N(N384),TOPE_AFC_UF*UF_MES)*IF(S384="Indefinido",AFC_INDEF,AFC_PF),0))</f>
        <v/>
      </c>
      <c r="U384" s="62" t="str">
        <f aca="false">IF(C384="","",IF(LEFT(D384,1)="⚠","⚠ RUT no registrado en Trabajadores",IF(B384="","⚠ Falta el mes",IF(OR(ISTEXT(I384),ISTEXT(J384)),"⚠ Atrasos u horas extra como texto: escriba hh:mm (ej. 1:30)",IF(AND(ISNUMBER(Q384),COUNTIFS(M_RUTN,V384,M_MES,B384,M_LIQ,"&lt;&gt;")&gt;1),"⚠ Liquidación repetida en el mes",IF(AND(ISNUMBER(O384),ISNUMBER(P384),ISNUMBER(Q384),ABS(O384-P384-Q384)&gt;1),"⚠ Haberes − descuentos no da el líquido","OK"))))))</f>
        <v/>
      </c>
      <c r="V384" s="62" t="str">
        <f aca="false">IF(C384="","",IFERROR(VALUE(LEFT(UPPER(SUBSTITUTE(SUBSTITUTE(SUBSTITUTE(TRIM(C384),".",""),"-","")," ","")),LEN(UPPER(SUBSTITUTE(SUBSTITUTE(SUBSTITUTE(TRIM(C384),".",""),"-","")," ","")))-1))&amp;RIGHT(UPPER(SUBSTITUTE(SUBSTITUTE(SUBSTITUTE(TRIM(C384),".",""),"-","")," ","")),1),UPPER(SUBSTITUTE(SUBSTITUTE(SUBSTITUTE(TRIM(C384),".",""),"-","")," ",""))))</f>
        <v/>
      </c>
    </row>
    <row r="385" customFormat="false" ht="15" hidden="false" customHeight="false" outlineLevel="0" collapsed="false">
      <c r="B385" s="80"/>
      <c r="C385" s="58"/>
      <c r="D385" s="62" t="str">
        <f aca="false">IF(C385="","",IFERROR(INDEX(T_NOMBRE,MATCH(V385,T_RUTN,0)),"⚠ RUT no está en Trabajadores"))</f>
        <v/>
      </c>
      <c r="E385" s="61"/>
      <c r="F385" s="61"/>
      <c r="G385" s="61"/>
      <c r="H385" s="61"/>
      <c r="I385" s="81"/>
      <c r="J385" s="81"/>
      <c r="K385" s="60"/>
      <c r="L385" s="60"/>
      <c r="M385" s="60"/>
      <c r="N385" s="60"/>
      <c r="O385" s="60"/>
      <c r="P385" s="60"/>
      <c r="Q385" s="60"/>
      <c r="R385" s="58"/>
      <c r="S385" s="62" t="str">
        <f aca="false">IF(OR(B385="",V385=""),"",IFERROR(INDEX(C_TIPO,MATCH(V385&amp;"-P"&amp;MAX(1,COUNTIFS(C_RUTN,V385,C_DEF,"Sí",C_INI,"&lt;="&amp;EOMONTH(B385,0))),C_CLAVE,0))&amp;"","Sin contrato"))</f>
        <v/>
      </c>
      <c r="T385" s="63" t="str">
        <f aca="false">IF(OR(B385="",N(O385)=0),"",N(O385)+ROUND(MIN(N(N385),TOPE_UF*UF_MES)*(TASA_EMP+MUTUAL),0)+ROUND(MIN(N(N385),TOPE_AFC_UF*UF_MES)*IF(S385="Indefinido",AFC_INDEF,AFC_PF),0))</f>
        <v/>
      </c>
      <c r="U385" s="62" t="str">
        <f aca="false">IF(C385="","",IF(LEFT(D385,1)="⚠","⚠ RUT no registrado en Trabajadores",IF(B385="","⚠ Falta el mes",IF(OR(ISTEXT(I385),ISTEXT(J385)),"⚠ Atrasos u horas extra como texto: escriba hh:mm (ej. 1:30)",IF(AND(ISNUMBER(Q385),COUNTIFS(M_RUTN,V385,M_MES,B385,M_LIQ,"&lt;&gt;")&gt;1),"⚠ Liquidación repetida en el mes",IF(AND(ISNUMBER(O385),ISNUMBER(P385),ISNUMBER(Q385),ABS(O385-P385-Q385)&gt;1),"⚠ Haberes − descuentos no da el líquido","OK"))))))</f>
        <v/>
      </c>
      <c r="V385" s="62" t="str">
        <f aca="false">IF(C385="","",IFERROR(VALUE(LEFT(UPPER(SUBSTITUTE(SUBSTITUTE(SUBSTITUTE(TRIM(C385),".",""),"-","")," ","")),LEN(UPPER(SUBSTITUTE(SUBSTITUTE(SUBSTITUTE(TRIM(C385),".",""),"-","")," ","")))-1))&amp;RIGHT(UPPER(SUBSTITUTE(SUBSTITUTE(SUBSTITUTE(TRIM(C385),".",""),"-","")," ","")),1),UPPER(SUBSTITUTE(SUBSTITUTE(SUBSTITUTE(TRIM(C385),".",""),"-","")," ",""))))</f>
        <v/>
      </c>
    </row>
    <row r="386" customFormat="false" ht="15" hidden="false" customHeight="false" outlineLevel="0" collapsed="false">
      <c r="B386" s="80"/>
      <c r="C386" s="58"/>
      <c r="D386" s="62" t="str">
        <f aca="false">IF(C386="","",IFERROR(INDEX(T_NOMBRE,MATCH(V386,T_RUTN,0)),"⚠ RUT no está en Trabajadores"))</f>
        <v/>
      </c>
      <c r="E386" s="61"/>
      <c r="F386" s="61"/>
      <c r="G386" s="61"/>
      <c r="H386" s="61"/>
      <c r="I386" s="81"/>
      <c r="J386" s="81"/>
      <c r="K386" s="60"/>
      <c r="L386" s="60"/>
      <c r="M386" s="60"/>
      <c r="N386" s="60"/>
      <c r="O386" s="60"/>
      <c r="P386" s="60"/>
      <c r="Q386" s="60"/>
      <c r="R386" s="58"/>
      <c r="S386" s="62" t="str">
        <f aca="false">IF(OR(B386="",V386=""),"",IFERROR(INDEX(C_TIPO,MATCH(V386&amp;"-P"&amp;MAX(1,COUNTIFS(C_RUTN,V386,C_DEF,"Sí",C_INI,"&lt;="&amp;EOMONTH(B386,0))),C_CLAVE,0))&amp;"","Sin contrato"))</f>
        <v/>
      </c>
      <c r="T386" s="63" t="str">
        <f aca="false">IF(OR(B386="",N(O386)=0),"",N(O386)+ROUND(MIN(N(N386),TOPE_UF*UF_MES)*(TASA_EMP+MUTUAL),0)+ROUND(MIN(N(N386),TOPE_AFC_UF*UF_MES)*IF(S386="Indefinido",AFC_INDEF,AFC_PF),0))</f>
        <v/>
      </c>
      <c r="U386" s="62" t="str">
        <f aca="false">IF(C386="","",IF(LEFT(D386,1)="⚠","⚠ RUT no registrado en Trabajadores",IF(B386="","⚠ Falta el mes",IF(OR(ISTEXT(I386),ISTEXT(J386)),"⚠ Atrasos u horas extra como texto: escriba hh:mm (ej. 1:30)",IF(AND(ISNUMBER(Q386),COUNTIFS(M_RUTN,V386,M_MES,B386,M_LIQ,"&lt;&gt;")&gt;1),"⚠ Liquidación repetida en el mes",IF(AND(ISNUMBER(O386),ISNUMBER(P386),ISNUMBER(Q386),ABS(O386-P386-Q386)&gt;1),"⚠ Haberes − descuentos no da el líquido","OK"))))))</f>
        <v/>
      </c>
      <c r="V386" s="62" t="str">
        <f aca="false">IF(C386="","",IFERROR(VALUE(LEFT(UPPER(SUBSTITUTE(SUBSTITUTE(SUBSTITUTE(TRIM(C386),".",""),"-","")," ","")),LEN(UPPER(SUBSTITUTE(SUBSTITUTE(SUBSTITUTE(TRIM(C386),".",""),"-","")," ","")))-1))&amp;RIGHT(UPPER(SUBSTITUTE(SUBSTITUTE(SUBSTITUTE(TRIM(C386),".",""),"-","")," ","")),1),UPPER(SUBSTITUTE(SUBSTITUTE(SUBSTITUTE(TRIM(C386),".",""),"-","")," ",""))))</f>
        <v/>
      </c>
    </row>
    <row r="387" customFormat="false" ht="15" hidden="false" customHeight="false" outlineLevel="0" collapsed="false">
      <c r="B387" s="80"/>
      <c r="C387" s="58"/>
      <c r="D387" s="62" t="str">
        <f aca="false">IF(C387="","",IFERROR(INDEX(T_NOMBRE,MATCH(V387,T_RUTN,0)),"⚠ RUT no está en Trabajadores"))</f>
        <v/>
      </c>
      <c r="E387" s="61"/>
      <c r="F387" s="61"/>
      <c r="G387" s="61"/>
      <c r="H387" s="61"/>
      <c r="I387" s="81"/>
      <c r="J387" s="81"/>
      <c r="K387" s="60"/>
      <c r="L387" s="60"/>
      <c r="M387" s="60"/>
      <c r="N387" s="60"/>
      <c r="O387" s="60"/>
      <c r="P387" s="60"/>
      <c r="Q387" s="60"/>
      <c r="R387" s="58"/>
      <c r="S387" s="62" t="str">
        <f aca="false">IF(OR(B387="",V387=""),"",IFERROR(INDEX(C_TIPO,MATCH(V387&amp;"-P"&amp;MAX(1,COUNTIFS(C_RUTN,V387,C_DEF,"Sí",C_INI,"&lt;="&amp;EOMONTH(B387,0))),C_CLAVE,0))&amp;"","Sin contrato"))</f>
        <v/>
      </c>
      <c r="T387" s="63" t="str">
        <f aca="false">IF(OR(B387="",N(O387)=0),"",N(O387)+ROUND(MIN(N(N387),TOPE_UF*UF_MES)*(TASA_EMP+MUTUAL),0)+ROUND(MIN(N(N387),TOPE_AFC_UF*UF_MES)*IF(S387="Indefinido",AFC_INDEF,AFC_PF),0))</f>
        <v/>
      </c>
      <c r="U387" s="62" t="str">
        <f aca="false">IF(C387="","",IF(LEFT(D387,1)="⚠","⚠ RUT no registrado en Trabajadores",IF(B387="","⚠ Falta el mes",IF(OR(ISTEXT(I387),ISTEXT(J387)),"⚠ Atrasos u horas extra como texto: escriba hh:mm (ej. 1:30)",IF(AND(ISNUMBER(Q387),COUNTIFS(M_RUTN,V387,M_MES,B387,M_LIQ,"&lt;&gt;")&gt;1),"⚠ Liquidación repetida en el mes",IF(AND(ISNUMBER(O387),ISNUMBER(P387),ISNUMBER(Q387),ABS(O387-P387-Q387)&gt;1),"⚠ Haberes − descuentos no da el líquido","OK"))))))</f>
        <v/>
      </c>
      <c r="V387" s="62" t="str">
        <f aca="false">IF(C387="","",IFERROR(VALUE(LEFT(UPPER(SUBSTITUTE(SUBSTITUTE(SUBSTITUTE(TRIM(C387),".",""),"-","")," ","")),LEN(UPPER(SUBSTITUTE(SUBSTITUTE(SUBSTITUTE(TRIM(C387),".",""),"-","")," ","")))-1))&amp;RIGHT(UPPER(SUBSTITUTE(SUBSTITUTE(SUBSTITUTE(TRIM(C387),".",""),"-","")," ","")),1),UPPER(SUBSTITUTE(SUBSTITUTE(SUBSTITUTE(TRIM(C387),".",""),"-","")," ",""))))</f>
        <v/>
      </c>
    </row>
    <row r="388" customFormat="false" ht="15" hidden="false" customHeight="false" outlineLevel="0" collapsed="false">
      <c r="B388" s="80"/>
      <c r="C388" s="58"/>
      <c r="D388" s="62" t="str">
        <f aca="false">IF(C388="","",IFERROR(INDEX(T_NOMBRE,MATCH(V388,T_RUTN,0)),"⚠ RUT no está en Trabajadores"))</f>
        <v/>
      </c>
      <c r="E388" s="61"/>
      <c r="F388" s="61"/>
      <c r="G388" s="61"/>
      <c r="H388" s="61"/>
      <c r="I388" s="81"/>
      <c r="J388" s="81"/>
      <c r="K388" s="60"/>
      <c r="L388" s="60"/>
      <c r="M388" s="60"/>
      <c r="N388" s="60"/>
      <c r="O388" s="60"/>
      <c r="P388" s="60"/>
      <c r="Q388" s="60"/>
      <c r="R388" s="58"/>
      <c r="S388" s="62" t="str">
        <f aca="false">IF(OR(B388="",V388=""),"",IFERROR(INDEX(C_TIPO,MATCH(V388&amp;"-P"&amp;MAX(1,COUNTIFS(C_RUTN,V388,C_DEF,"Sí",C_INI,"&lt;="&amp;EOMONTH(B388,0))),C_CLAVE,0))&amp;"","Sin contrato"))</f>
        <v/>
      </c>
      <c r="T388" s="63" t="str">
        <f aca="false">IF(OR(B388="",N(O388)=0),"",N(O388)+ROUND(MIN(N(N388),TOPE_UF*UF_MES)*(TASA_EMP+MUTUAL),0)+ROUND(MIN(N(N388),TOPE_AFC_UF*UF_MES)*IF(S388="Indefinido",AFC_INDEF,AFC_PF),0))</f>
        <v/>
      </c>
      <c r="U388" s="62" t="str">
        <f aca="false">IF(C388="","",IF(LEFT(D388,1)="⚠","⚠ RUT no registrado en Trabajadores",IF(B388="","⚠ Falta el mes",IF(OR(ISTEXT(I388),ISTEXT(J388)),"⚠ Atrasos u horas extra como texto: escriba hh:mm (ej. 1:30)",IF(AND(ISNUMBER(Q388),COUNTIFS(M_RUTN,V388,M_MES,B388,M_LIQ,"&lt;&gt;")&gt;1),"⚠ Liquidación repetida en el mes",IF(AND(ISNUMBER(O388),ISNUMBER(P388),ISNUMBER(Q388),ABS(O388-P388-Q388)&gt;1),"⚠ Haberes − descuentos no da el líquido","OK"))))))</f>
        <v/>
      </c>
      <c r="V388" s="62" t="str">
        <f aca="false">IF(C388="","",IFERROR(VALUE(LEFT(UPPER(SUBSTITUTE(SUBSTITUTE(SUBSTITUTE(TRIM(C388),".",""),"-","")," ","")),LEN(UPPER(SUBSTITUTE(SUBSTITUTE(SUBSTITUTE(TRIM(C388),".",""),"-","")," ","")))-1))&amp;RIGHT(UPPER(SUBSTITUTE(SUBSTITUTE(SUBSTITUTE(TRIM(C388),".",""),"-","")," ","")),1),UPPER(SUBSTITUTE(SUBSTITUTE(SUBSTITUTE(TRIM(C388),".",""),"-","")," ",""))))</f>
        <v/>
      </c>
    </row>
    <row r="389" customFormat="false" ht="15" hidden="false" customHeight="false" outlineLevel="0" collapsed="false">
      <c r="B389" s="80"/>
      <c r="C389" s="58"/>
      <c r="D389" s="62" t="str">
        <f aca="false">IF(C389="","",IFERROR(INDEX(T_NOMBRE,MATCH(V389,T_RUTN,0)),"⚠ RUT no está en Trabajadores"))</f>
        <v/>
      </c>
      <c r="E389" s="61"/>
      <c r="F389" s="61"/>
      <c r="G389" s="61"/>
      <c r="H389" s="61"/>
      <c r="I389" s="81"/>
      <c r="J389" s="81"/>
      <c r="K389" s="60"/>
      <c r="L389" s="60"/>
      <c r="M389" s="60"/>
      <c r="N389" s="60"/>
      <c r="O389" s="60"/>
      <c r="P389" s="60"/>
      <c r="Q389" s="60"/>
      <c r="R389" s="58"/>
      <c r="S389" s="62" t="str">
        <f aca="false">IF(OR(B389="",V389=""),"",IFERROR(INDEX(C_TIPO,MATCH(V389&amp;"-P"&amp;MAX(1,COUNTIFS(C_RUTN,V389,C_DEF,"Sí",C_INI,"&lt;="&amp;EOMONTH(B389,0))),C_CLAVE,0))&amp;"","Sin contrato"))</f>
        <v/>
      </c>
      <c r="T389" s="63" t="str">
        <f aca="false">IF(OR(B389="",N(O389)=0),"",N(O389)+ROUND(MIN(N(N389),TOPE_UF*UF_MES)*(TASA_EMP+MUTUAL),0)+ROUND(MIN(N(N389),TOPE_AFC_UF*UF_MES)*IF(S389="Indefinido",AFC_INDEF,AFC_PF),0))</f>
        <v/>
      </c>
      <c r="U389" s="62" t="str">
        <f aca="false">IF(C389="","",IF(LEFT(D389,1)="⚠","⚠ RUT no registrado en Trabajadores",IF(B389="","⚠ Falta el mes",IF(OR(ISTEXT(I389),ISTEXT(J389)),"⚠ Atrasos u horas extra como texto: escriba hh:mm (ej. 1:30)",IF(AND(ISNUMBER(Q389),COUNTIFS(M_RUTN,V389,M_MES,B389,M_LIQ,"&lt;&gt;")&gt;1),"⚠ Liquidación repetida en el mes",IF(AND(ISNUMBER(O389),ISNUMBER(P389),ISNUMBER(Q389),ABS(O389-P389-Q389)&gt;1),"⚠ Haberes − descuentos no da el líquido","OK"))))))</f>
        <v/>
      </c>
      <c r="V389" s="62" t="str">
        <f aca="false">IF(C389="","",IFERROR(VALUE(LEFT(UPPER(SUBSTITUTE(SUBSTITUTE(SUBSTITUTE(TRIM(C389),".",""),"-","")," ","")),LEN(UPPER(SUBSTITUTE(SUBSTITUTE(SUBSTITUTE(TRIM(C389),".",""),"-","")," ","")))-1))&amp;RIGHT(UPPER(SUBSTITUTE(SUBSTITUTE(SUBSTITUTE(TRIM(C389),".",""),"-","")," ","")),1),UPPER(SUBSTITUTE(SUBSTITUTE(SUBSTITUTE(TRIM(C389),".",""),"-","")," ",""))))</f>
        <v/>
      </c>
    </row>
    <row r="390" customFormat="false" ht="15" hidden="false" customHeight="false" outlineLevel="0" collapsed="false">
      <c r="B390" s="80"/>
      <c r="C390" s="58"/>
      <c r="D390" s="62" t="str">
        <f aca="false">IF(C390="","",IFERROR(INDEX(T_NOMBRE,MATCH(V390,T_RUTN,0)),"⚠ RUT no está en Trabajadores"))</f>
        <v/>
      </c>
      <c r="E390" s="61"/>
      <c r="F390" s="61"/>
      <c r="G390" s="61"/>
      <c r="H390" s="61"/>
      <c r="I390" s="81"/>
      <c r="J390" s="81"/>
      <c r="K390" s="60"/>
      <c r="L390" s="60"/>
      <c r="M390" s="60"/>
      <c r="N390" s="60"/>
      <c r="O390" s="60"/>
      <c r="P390" s="60"/>
      <c r="Q390" s="60"/>
      <c r="R390" s="58"/>
      <c r="S390" s="62" t="str">
        <f aca="false">IF(OR(B390="",V390=""),"",IFERROR(INDEX(C_TIPO,MATCH(V390&amp;"-P"&amp;MAX(1,COUNTIFS(C_RUTN,V390,C_DEF,"Sí",C_INI,"&lt;="&amp;EOMONTH(B390,0))),C_CLAVE,0))&amp;"","Sin contrato"))</f>
        <v/>
      </c>
      <c r="T390" s="63" t="str">
        <f aca="false">IF(OR(B390="",N(O390)=0),"",N(O390)+ROUND(MIN(N(N390),TOPE_UF*UF_MES)*(TASA_EMP+MUTUAL),0)+ROUND(MIN(N(N390),TOPE_AFC_UF*UF_MES)*IF(S390="Indefinido",AFC_INDEF,AFC_PF),0))</f>
        <v/>
      </c>
      <c r="U390" s="62" t="str">
        <f aca="false">IF(C390="","",IF(LEFT(D390,1)="⚠","⚠ RUT no registrado en Trabajadores",IF(B390="","⚠ Falta el mes",IF(OR(ISTEXT(I390),ISTEXT(J390)),"⚠ Atrasos u horas extra como texto: escriba hh:mm (ej. 1:30)",IF(AND(ISNUMBER(Q390),COUNTIFS(M_RUTN,V390,M_MES,B390,M_LIQ,"&lt;&gt;")&gt;1),"⚠ Liquidación repetida en el mes",IF(AND(ISNUMBER(O390),ISNUMBER(P390),ISNUMBER(Q390),ABS(O390-P390-Q390)&gt;1),"⚠ Haberes − descuentos no da el líquido","OK"))))))</f>
        <v/>
      </c>
      <c r="V390" s="62" t="str">
        <f aca="false">IF(C390="","",IFERROR(VALUE(LEFT(UPPER(SUBSTITUTE(SUBSTITUTE(SUBSTITUTE(TRIM(C390),".",""),"-","")," ","")),LEN(UPPER(SUBSTITUTE(SUBSTITUTE(SUBSTITUTE(TRIM(C390),".",""),"-","")," ","")))-1))&amp;RIGHT(UPPER(SUBSTITUTE(SUBSTITUTE(SUBSTITUTE(TRIM(C390),".",""),"-","")," ","")),1),UPPER(SUBSTITUTE(SUBSTITUTE(SUBSTITUTE(TRIM(C390),".",""),"-","")," ",""))))</f>
        <v/>
      </c>
    </row>
    <row r="391" customFormat="false" ht="15" hidden="false" customHeight="false" outlineLevel="0" collapsed="false">
      <c r="B391" s="80"/>
      <c r="C391" s="58"/>
      <c r="D391" s="62" t="str">
        <f aca="false">IF(C391="","",IFERROR(INDEX(T_NOMBRE,MATCH(V391,T_RUTN,0)),"⚠ RUT no está en Trabajadores"))</f>
        <v/>
      </c>
      <c r="E391" s="61"/>
      <c r="F391" s="61"/>
      <c r="G391" s="61"/>
      <c r="H391" s="61"/>
      <c r="I391" s="81"/>
      <c r="J391" s="81"/>
      <c r="K391" s="60"/>
      <c r="L391" s="60"/>
      <c r="M391" s="60"/>
      <c r="N391" s="60"/>
      <c r="O391" s="60"/>
      <c r="P391" s="60"/>
      <c r="Q391" s="60"/>
      <c r="R391" s="58"/>
      <c r="S391" s="62" t="str">
        <f aca="false">IF(OR(B391="",V391=""),"",IFERROR(INDEX(C_TIPO,MATCH(V391&amp;"-P"&amp;MAX(1,COUNTIFS(C_RUTN,V391,C_DEF,"Sí",C_INI,"&lt;="&amp;EOMONTH(B391,0))),C_CLAVE,0))&amp;"","Sin contrato"))</f>
        <v/>
      </c>
      <c r="T391" s="63" t="str">
        <f aca="false">IF(OR(B391="",N(O391)=0),"",N(O391)+ROUND(MIN(N(N391),TOPE_UF*UF_MES)*(TASA_EMP+MUTUAL),0)+ROUND(MIN(N(N391),TOPE_AFC_UF*UF_MES)*IF(S391="Indefinido",AFC_INDEF,AFC_PF),0))</f>
        <v/>
      </c>
      <c r="U391" s="62" t="str">
        <f aca="false">IF(C391="","",IF(LEFT(D391,1)="⚠","⚠ RUT no registrado en Trabajadores",IF(B391="","⚠ Falta el mes",IF(OR(ISTEXT(I391),ISTEXT(J391)),"⚠ Atrasos u horas extra como texto: escriba hh:mm (ej. 1:30)",IF(AND(ISNUMBER(Q391),COUNTIFS(M_RUTN,V391,M_MES,B391,M_LIQ,"&lt;&gt;")&gt;1),"⚠ Liquidación repetida en el mes",IF(AND(ISNUMBER(O391),ISNUMBER(P391),ISNUMBER(Q391),ABS(O391-P391-Q391)&gt;1),"⚠ Haberes − descuentos no da el líquido","OK"))))))</f>
        <v/>
      </c>
      <c r="V391" s="62" t="str">
        <f aca="false">IF(C391="","",IFERROR(VALUE(LEFT(UPPER(SUBSTITUTE(SUBSTITUTE(SUBSTITUTE(TRIM(C391),".",""),"-","")," ","")),LEN(UPPER(SUBSTITUTE(SUBSTITUTE(SUBSTITUTE(TRIM(C391),".",""),"-","")," ","")))-1))&amp;RIGHT(UPPER(SUBSTITUTE(SUBSTITUTE(SUBSTITUTE(TRIM(C391),".",""),"-","")," ","")),1),UPPER(SUBSTITUTE(SUBSTITUTE(SUBSTITUTE(TRIM(C391),".",""),"-","")," ",""))))</f>
        <v/>
      </c>
    </row>
    <row r="392" customFormat="false" ht="15" hidden="false" customHeight="false" outlineLevel="0" collapsed="false">
      <c r="B392" s="80"/>
      <c r="C392" s="58"/>
      <c r="D392" s="62" t="str">
        <f aca="false">IF(C392="","",IFERROR(INDEX(T_NOMBRE,MATCH(V392,T_RUTN,0)),"⚠ RUT no está en Trabajadores"))</f>
        <v/>
      </c>
      <c r="E392" s="61"/>
      <c r="F392" s="61"/>
      <c r="G392" s="61"/>
      <c r="H392" s="61"/>
      <c r="I392" s="81"/>
      <c r="J392" s="81"/>
      <c r="K392" s="60"/>
      <c r="L392" s="60"/>
      <c r="M392" s="60"/>
      <c r="N392" s="60"/>
      <c r="O392" s="60"/>
      <c r="P392" s="60"/>
      <c r="Q392" s="60"/>
      <c r="R392" s="58"/>
      <c r="S392" s="62" t="str">
        <f aca="false">IF(OR(B392="",V392=""),"",IFERROR(INDEX(C_TIPO,MATCH(V392&amp;"-P"&amp;MAX(1,COUNTIFS(C_RUTN,V392,C_DEF,"Sí",C_INI,"&lt;="&amp;EOMONTH(B392,0))),C_CLAVE,0))&amp;"","Sin contrato"))</f>
        <v/>
      </c>
      <c r="T392" s="63" t="str">
        <f aca="false">IF(OR(B392="",N(O392)=0),"",N(O392)+ROUND(MIN(N(N392),TOPE_UF*UF_MES)*(TASA_EMP+MUTUAL),0)+ROUND(MIN(N(N392),TOPE_AFC_UF*UF_MES)*IF(S392="Indefinido",AFC_INDEF,AFC_PF),0))</f>
        <v/>
      </c>
      <c r="U392" s="62" t="str">
        <f aca="false">IF(C392="","",IF(LEFT(D392,1)="⚠","⚠ RUT no registrado en Trabajadores",IF(B392="","⚠ Falta el mes",IF(OR(ISTEXT(I392),ISTEXT(J392)),"⚠ Atrasos u horas extra como texto: escriba hh:mm (ej. 1:30)",IF(AND(ISNUMBER(Q392),COUNTIFS(M_RUTN,V392,M_MES,B392,M_LIQ,"&lt;&gt;")&gt;1),"⚠ Liquidación repetida en el mes",IF(AND(ISNUMBER(O392),ISNUMBER(P392),ISNUMBER(Q392),ABS(O392-P392-Q392)&gt;1),"⚠ Haberes − descuentos no da el líquido","OK"))))))</f>
        <v/>
      </c>
      <c r="V392" s="62" t="str">
        <f aca="false">IF(C392="","",IFERROR(VALUE(LEFT(UPPER(SUBSTITUTE(SUBSTITUTE(SUBSTITUTE(TRIM(C392),".",""),"-","")," ","")),LEN(UPPER(SUBSTITUTE(SUBSTITUTE(SUBSTITUTE(TRIM(C392),".",""),"-","")," ","")))-1))&amp;RIGHT(UPPER(SUBSTITUTE(SUBSTITUTE(SUBSTITUTE(TRIM(C392),".",""),"-","")," ","")),1),UPPER(SUBSTITUTE(SUBSTITUTE(SUBSTITUTE(TRIM(C392),".",""),"-","")," ",""))))</f>
        <v/>
      </c>
    </row>
    <row r="393" customFormat="false" ht="15" hidden="false" customHeight="false" outlineLevel="0" collapsed="false">
      <c r="B393" s="80"/>
      <c r="C393" s="58"/>
      <c r="D393" s="62" t="str">
        <f aca="false">IF(C393="","",IFERROR(INDEX(T_NOMBRE,MATCH(V393,T_RUTN,0)),"⚠ RUT no está en Trabajadores"))</f>
        <v/>
      </c>
      <c r="E393" s="61"/>
      <c r="F393" s="61"/>
      <c r="G393" s="61"/>
      <c r="H393" s="61"/>
      <c r="I393" s="81"/>
      <c r="J393" s="81"/>
      <c r="K393" s="60"/>
      <c r="L393" s="60"/>
      <c r="M393" s="60"/>
      <c r="N393" s="60"/>
      <c r="O393" s="60"/>
      <c r="P393" s="60"/>
      <c r="Q393" s="60"/>
      <c r="R393" s="58"/>
      <c r="S393" s="62" t="str">
        <f aca="false">IF(OR(B393="",V393=""),"",IFERROR(INDEX(C_TIPO,MATCH(V393&amp;"-P"&amp;MAX(1,COUNTIFS(C_RUTN,V393,C_DEF,"Sí",C_INI,"&lt;="&amp;EOMONTH(B393,0))),C_CLAVE,0))&amp;"","Sin contrato"))</f>
        <v/>
      </c>
      <c r="T393" s="63" t="str">
        <f aca="false">IF(OR(B393="",N(O393)=0),"",N(O393)+ROUND(MIN(N(N393),TOPE_UF*UF_MES)*(TASA_EMP+MUTUAL),0)+ROUND(MIN(N(N393),TOPE_AFC_UF*UF_MES)*IF(S393="Indefinido",AFC_INDEF,AFC_PF),0))</f>
        <v/>
      </c>
      <c r="U393" s="62" t="str">
        <f aca="false">IF(C393="","",IF(LEFT(D393,1)="⚠","⚠ RUT no registrado en Trabajadores",IF(B393="","⚠ Falta el mes",IF(OR(ISTEXT(I393),ISTEXT(J393)),"⚠ Atrasos u horas extra como texto: escriba hh:mm (ej. 1:30)",IF(AND(ISNUMBER(Q393),COUNTIFS(M_RUTN,V393,M_MES,B393,M_LIQ,"&lt;&gt;")&gt;1),"⚠ Liquidación repetida en el mes",IF(AND(ISNUMBER(O393),ISNUMBER(P393),ISNUMBER(Q393),ABS(O393-P393-Q393)&gt;1),"⚠ Haberes − descuentos no da el líquido","OK"))))))</f>
        <v/>
      </c>
      <c r="V393" s="62" t="str">
        <f aca="false">IF(C393="","",IFERROR(VALUE(LEFT(UPPER(SUBSTITUTE(SUBSTITUTE(SUBSTITUTE(TRIM(C393),".",""),"-","")," ","")),LEN(UPPER(SUBSTITUTE(SUBSTITUTE(SUBSTITUTE(TRIM(C393),".",""),"-","")," ","")))-1))&amp;RIGHT(UPPER(SUBSTITUTE(SUBSTITUTE(SUBSTITUTE(TRIM(C393),".",""),"-","")," ","")),1),UPPER(SUBSTITUTE(SUBSTITUTE(SUBSTITUTE(TRIM(C393),".",""),"-","")," ",""))))</f>
        <v/>
      </c>
    </row>
    <row r="394" customFormat="false" ht="15" hidden="false" customHeight="false" outlineLevel="0" collapsed="false">
      <c r="B394" s="80"/>
      <c r="C394" s="58"/>
      <c r="D394" s="62" t="str">
        <f aca="false">IF(C394="","",IFERROR(INDEX(T_NOMBRE,MATCH(V394,T_RUTN,0)),"⚠ RUT no está en Trabajadores"))</f>
        <v/>
      </c>
      <c r="E394" s="61"/>
      <c r="F394" s="61"/>
      <c r="G394" s="61"/>
      <c r="H394" s="61"/>
      <c r="I394" s="81"/>
      <c r="J394" s="81"/>
      <c r="K394" s="60"/>
      <c r="L394" s="60"/>
      <c r="M394" s="60"/>
      <c r="N394" s="60"/>
      <c r="O394" s="60"/>
      <c r="P394" s="60"/>
      <c r="Q394" s="60"/>
      <c r="R394" s="58"/>
      <c r="S394" s="62" t="str">
        <f aca="false">IF(OR(B394="",V394=""),"",IFERROR(INDEX(C_TIPO,MATCH(V394&amp;"-P"&amp;MAX(1,COUNTIFS(C_RUTN,V394,C_DEF,"Sí",C_INI,"&lt;="&amp;EOMONTH(B394,0))),C_CLAVE,0))&amp;"","Sin contrato"))</f>
        <v/>
      </c>
      <c r="T394" s="63" t="str">
        <f aca="false">IF(OR(B394="",N(O394)=0),"",N(O394)+ROUND(MIN(N(N394),TOPE_UF*UF_MES)*(TASA_EMP+MUTUAL),0)+ROUND(MIN(N(N394),TOPE_AFC_UF*UF_MES)*IF(S394="Indefinido",AFC_INDEF,AFC_PF),0))</f>
        <v/>
      </c>
      <c r="U394" s="62" t="str">
        <f aca="false">IF(C394="","",IF(LEFT(D394,1)="⚠","⚠ RUT no registrado en Trabajadores",IF(B394="","⚠ Falta el mes",IF(OR(ISTEXT(I394),ISTEXT(J394)),"⚠ Atrasos u horas extra como texto: escriba hh:mm (ej. 1:30)",IF(AND(ISNUMBER(Q394),COUNTIFS(M_RUTN,V394,M_MES,B394,M_LIQ,"&lt;&gt;")&gt;1),"⚠ Liquidación repetida en el mes",IF(AND(ISNUMBER(O394),ISNUMBER(P394),ISNUMBER(Q394),ABS(O394-P394-Q394)&gt;1),"⚠ Haberes − descuentos no da el líquido","OK"))))))</f>
        <v/>
      </c>
      <c r="V394" s="62" t="str">
        <f aca="false">IF(C394="","",IFERROR(VALUE(LEFT(UPPER(SUBSTITUTE(SUBSTITUTE(SUBSTITUTE(TRIM(C394),".",""),"-","")," ","")),LEN(UPPER(SUBSTITUTE(SUBSTITUTE(SUBSTITUTE(TRIM(C394),".",""),"-","")," ","")))-1))&amp;RIGHT(UPPER(SUBSTITUTE(SUBSTITUTE(SUBSTITUTE(TRIM(C394),".",""),"-","")," ","")),1),UPPER(SUBSTITUTE(SUBSTITUTE(SUBSTITUTE(TRIM(C394),".",""),"-","")," ",""))))</f>
        <v/>
      </c>
    </row>
    <row r="395" customFormat="false" ht="15" hidden="false" customHeight="false" outlineLevel="0" collapsed="false">
      <c r="B395" s="80"/>
      <c r="C395" s="58"/>
      <c r="D395" s="62" t="str">
        <f aca="false">IF(C395="","",IFERROR(INDEX(T_NOMBRE,MATCH(V395,T_RUTN,0)),"⚠ RUT no está en Trabajadores"))</f>
        <v/>
      </c>
      <c r="E395" s="61"/>
      <c r="F395" s="61"/>
      <c r="G395" s="61"/>
      <c r="H395" s="61"/>
      <c r="I395" s="81"/>
      <c r="J395" s="81"/>
      <c r="K395" s="60"/>
      <c r="L395" s="60"/>
      <c r="M395" s="60"/>
      <c r="N395" s="60"/>
      <c r="O395" s="60"/>
      <c r="P395" s="60"/>
      <c r="Q395" s="60"/>
      <c r="R395" s="58"/>
      <c r="S395" s="62" t="str">
        <f aca="false">IF(OR(B395="",V395=""),"",IFERROR(INDEX(C_TIPO,MATCH(V395&amp;"-P"&amp;MAX(1,COUNTIFS(C_RUTN,V395,C_DEF,"Sí",C_INI,"&lt;="&amp;EOMONTH(B395,0))),C_CLAVE,0))&amp;"","Sin contrato"))</f>
        <v/>
      </c>
      <c r="T395" s="63" t="str">
        <f aca="false">IF(OR(B395="",N(O395)=0),"",N(O395)+ROUND(MIN(N(N395),TOPE_UF*UF_MES)*(TASA_EMP+MUTUAL),0)+ROUND(MIN(N(N395),TOPE_AFC_UF*UF_MES)*IF(S395="Indefinido",AFC_INDEF,AFC_PF),0))</f>
        <v/>
      </c>
      <c r="U395" s="62" t="str">
        <f aca="false">IF(C395="","",IF(LEFT(D395,1)="⚠","⚠ RUT no registrado en Trabajadores",IF(B395="","⚠ Falta el mes",IF(OR(ISTEXT(I395),ISTEXT(J395)),"⚠ Atrasos u horas extra como texto: escriba hh:mm (ej. 1:30)",IF(AND(ISNUMBER(Q395),COUNTIFS(M_RUTN,V395,M_MES,B395,M_LIQ,"&lt;&gt;")&gt;1),"⚠ Liquidación repetida en el mes",IF(AND(ISNUMBER(O395),ISNUMBER(P395),ISNUMBER(Q395),ABS(O395-P395-Q395)&gt;1),"⚠ Haberes − descuentos no da el líquido","OK"))))))</f>
        <v/>
      </c>
      <c r="V395" s="62" t="str">
        <f aca="false">IF(C395="","",IFERROR(VALUE(LEFT(UPPER(SUBSTITUTE(SUBSTITUTE(SUBSTITUTE(TRIM(C395),".",""),"-","")," ","")),LEN(UPPER(SUBSTITUTE(SUBSTITUTE(SUBSTITUTE(TRIM(C395),".",""),"-","")," ","")))-1))&amp;RIGHT(UPPER(SUBSTITUTE(SUBSTITUTE(SUBSTITUTE(TRIM(C395),".",""),"-","")," ","")),1),UPPER(SUBSTITUTE(SUBSTITUTE(SUBSTITUTE(TRIM(C395),".",""),"-","")," ",""))))</f>
        <v/>
      </c>
    </row>
    <row r="396" customFormat="false" ht="15" hidden="false" customHeight="false" outlineLevel="0" collapsed="false">
      <c r="B396" s="80"/>
      <c r="C396" s="58"/>
      <c r="D396" s="62" t="str">
        <f aca="false">IF(C396="","",IFERROR(INDEX(T_NOMBRE,MATCH(V396,T_RUTN,0)),"⚠ RUT no está en Trabajadores"))</f>
        <v/>
      </c>
      <c r="E396" s="61"/>
      <c r="F396" s="61"/>
      <c r="G396" s="61"/>
      <c r="H396" s="61"/>
      <c r="I396" s="81"/>
      <c r="J396" s="81"/>
      <c r="K396" s="60"/>
      <c r="L396" s="60"/>
      <c r="M396" s="60"/>
      <c r="N396" s="60"/>
      <c r="O396" s="60"/>
      <c r="P396" s="60"/>
      <c r="Q396" s="60"/>
      <c r="R396" s="58"/>
      <c r="S396" s="62" t="str">
        <f aca="false">IF(OR(B396="",V396=""),"",IFERROR(INDEX(C_TIPO,MATCH(V396&amp;"-P"&amp;MAX(1,COUNTIFS(C_RUTN,V396,C_DEF,"Sí",C_INI,"&lt;="&amp;EOMONTH(B396,0))),C_CLAVE,0))&amp;"","Sin contrato"))</f>
        <v/>
      </c>
      <c r="T396" s="63" t="str">
        <f aca="false">IF(OR(B396="",N(O396)=0),"",N(O396)+ROUND(MIN(N(N396),TOPE_UF*UF_MES)*(TASA_EMP+MUTUAL),0)+ROUND(MIN(N(N396),TOPE_AFC_UF*UF_MES)*IF(S396="Indefinido",AFC_INDEF,AFC_PF),0))</f>
        <v/>
      </c>
      <c r="U396" s="62" t="str">
        <f aca="false">IF(C396="","",IF(LEFT(D396,1)="⚠","⚠ RUT no registrado en Trabajadores",IF(B396="","⚠ Falta el mes",IF(OR(ISTEXT(I396),ISTEXT(J396)),"⚠ Atrasos u horas extra como texto: escriba hh:mm (ej. 1:30)",IF(AND(ISNUMBER(Q396),COUNTIFS(M_RUTN,V396,M_MES,B396,M_LIQ,"&lt;&gt;")&gt;1),"⚠ Liquidación repetida en el mes",IF(AND(ISNUMBER(O396),ISNUMBER(P396),ISNUMBER(Q396),ABS(O396-P396-Q396)&gt;1),"⚠ Haberes − descuentos no da el líquido","OK"))))))</f>
        <v/>
      </c>
      <c r="V396" s="62" t="str">
        <f aca="false">IF(C396="","",IFERROR(VALUE(LEFT(UPPER(SUBSTITUTE(SUBSTITUTE(SUBSTITUTE(TRIM(C396),".",""),"-","")," ","")),LEN(UPPER(SUBSTITUTE(SUBSTITUTE(SUBSTITUTE(TRIM(C396),".",""),"-","")," ","")))-1))&amp;RIGHT(UPPER(SUBSTITUTE(SUBSTITUTE(SUBSTITUTE(TRIM(C396),".",""),"-","")," ","")),1),UPPER(SUBSTITUTE(SUBSTITUTE(SUBSTITUTE(TRIM(C396),".",""),"-","")," ",""))))</f>
        <v/>
      </c>
    </row>
    <row r="397" customFormat="false" ht="15" hidden="false" customHeight="false" outlineLevel="0" collapsed="false">
      <c r="B397" s="80"/>
      <c r="C397" s="58"/>
      <c r="D397" s="62" t="str">
        <f aca="false">IF(C397="","",IFERROR(INDEX(T_NOMBRE,MATCH(V397,T_RUTN,0)),"⚠ RUT no está en Trabajadores"))</f>
        <v/>
      </c>
      <c r="E397" s="61"/>
      <c r="F397" s="61"/>
      <c r="G397" s="61"/>
      <c r="H397" s="61"/>
      <c r="I397" s="81"/>
      <c r="J397" s="81"/>
      <c r="K397" s="60"/>
      <c r="L397" s="60"/>
      <c r="M397" s="60"/>
      <c r="N397" s="60"/>
      <c r="O397" s="60"/>
      <c r="P397" s="60"/>
      <c r="Q397" s="60"/>
      <c r="R397" s="58"/>
      <c r="S397" s="62" t="str">
        <f aca="false">IF(OR(B397="",V397=""),"",IFERROR(INDEX(C_TIPO,MATCH(V397&amp;"-P"&amp;MAX(1,COUNTIFS(C_RUTN,V397,C_DEF,"Sí",C_INI,"&lt;="&amp;EOMONTH(B397,0))),C_CLAVE,0))&amp;"","Sin contrato"))</f>
        <v/>
      </c>
      <c r="T397" s="63" t="str">
        <f aca="false">IF(OR(B397="",N(O397)=0),"",N(O397)+ROUND(MIN(N(N397),TOPE_UF*UF_MES)*(TASA_EMP+MUTUAL),0)+ROUND(MIN(N(N397),TOPE_AFC_UF*UF_MES)*IF(S397="Indefinido",AFC_INDEF,AFC_PF),0))</f>
        <v/>
      </c>
      <c r="U397" s="62" t="str">
        <f aca="false">IF(C397="","",IF(LEFT(D397,1)="⚠","⚠ RUT no registrado en Trabajadores",IF(B397="","⚠ Falta el mes",IF(OR(ISTEXT(I397),ISTEXT(J397)),"⚠ Atrasos u horas extra como texto: escriba hh:mm (ej. 1:30)",IF(AND(ISNUMBER(Q397),COUNTIFS(M_RUTN,V397,M_MES,B397,M_LIQ,"&lt;&gt;")&gt;1),"⚠ Liquidación repetida en el mes",IF(AND(ISNUMBER(O397),ISNUMBER(P397),ISNUMBER(Q397),ABS(O397-P397-Q397)&gt;1),"⚠ Haberes − descuentos no da el líquido","OK"))))))</f>
        <v/>
      </c>
      <c r="V397" s="62" t="str">
        <f aca="false">IF(C397="","",IFERROR(VALUE(LEFT(UPPER(SUBSTITUTE(SUBSTITUTE(SUBSTITUTE(TRIM(C397),".",""),"-","")," ","")),LEN(UPPER(SUBSTITUTE(SUBSTITUTE(SUBSTITUTE(TRIM(C397),".",""),"-","")," ","")))-1))&amp;RIGHT(UPPER(SUBSTITUTE(SUBSTITUTE(SUBSTITUTE(TRIM(C397),".",""),"-","")," ","")),1),UPPER(SUBSTITUTE(SUBSTITUTE(SUBSTITUTE(TRIM(C397),".",""),"-","")," ",""))))</f>
        <v/>
      </c>
    </row>
    <row r="398" customFormat="false" ht="15" hidden="false" customHeight="false" outlineLevel="0" collapsed="false">
      <c r="B398" s="80"/>
      <c r="C398" s="58"/>
      <c r="D398" s="62" t="str">
        <f aca="false">IF(C398="","",IFERROR(INDEX(T_NOMBRE,MATCH(V398,T_RUTN,0)),"⚠ RUT no está en Trabajadores"))</f>
        <v/>
      </c>
      <c r="E398" s="61"/>
      <c r="F398" s="61"/>
      <c r="G398" s="61"/>
      <c r="H398" s="61"/>
      <c r="I398" s="81"/>
      <c r="J398" s="81"/>
      <c r="K398" s="60"/>
      <c r="L398" s="60"/>
      <c r="M398" s="60"/>
      <c r="N398" s="60"/>
      <c r="O398" s="60"/>
      <c r="P398" s="60"/>
      <c r="Q398" s="60"/>
      <c r="R398" s="58"/>
      <c r="S398" s="62" t="str">
        <f aca="false">IF(OR(B398="",V398=""),"",IFERROR(INDEX(C_TIPO,MATCH(V398&amp;"-P"&amp;MAX(1,COUNTIFS(C_RUTN,V398,C_DEF,"Sí",C_INI,"&lt;="&amp;EOMONTH(B398,0))),C_CLAVE,0))&amp;"","Sin contrato"))</f>
        <v/>
      </c>
      <c r="T398" s="63" t="str">
        <f aca="false">IF(OR(B398="",N(O398)=0),"",N(O398)+ROUND(MIN(N(N398),TOPE_UF*UF_MES)*(TASA_EMP+MUTUAL),0)+ROUND(MIN(N(N398),TOPE_AFC_UF*UF_MES)*IF(S398="Indefinido",AFC_INDEF,AFC_PF),0))</f>
        <v/>
      </c>
      <c r="U398" s="62" t="str">
        <f aca="false">IF(C398="","",IF(LEFT(D398,1)="⚠","⚠ RUT no registrado en Trabajadores",IF(B398="","⚠ Falta el mes",IF(OR(ISTEXT(I398),ISTEXT(J398)),"⚠ Atrasos u horas extra como texto: escriba hh:mm (ej. 1:30)",IF(AND(ISNUMBER(Q398),COUNTIFS(M_RUTN,V398,M_MES,B398,M_LIQ,"&lt;&gt;")&gt;1),"⚠ Liquidación repetida en el mes",IF(AND(ISNUMBER(O398),ISNUMBER(P398),ISNUMBER(Q398),ABS(O398-P398-Q398)&gt;1),"⚠ Haberes − descuentos no da el líquido","OK"))))))</f>
        <v/>
      </c>
      <c r="V398" s="62" t="str">
        <f aca="false">IF(C398="","",IFERROR(VALUE(LEFT(UPPER(SUBSTITUTE(SUBSTITUTE(SUBSTITUTE(TRIM(C398),".",""),"-","")," ","")),LEN(UPPER(SUBSTITUTE(SUBSTITUTE(SUBSTITUTE(TRIM(C398),".",""),"-","")," ","")))-1))&amp;RIGHT(UPPER(SUBSTITUTE(SUBSTITUTE(SUBSTITUTE(TRIM(C398),".",""),"-","")," ","")),1),UPPER(SUBSTITUTE(SUBSTITUTE(SUBSTITUTE(TRIM(C398),".",""),"-","")," ",""))))</f>
        <v/>
      </c>
    </row>
    <row r="399" customFormat="false" ht="15" hidden="false" customHeight="false" outlineLevel="0" collapsed="false">
      <c r="B399" s="80"/>
      <c r="C399" s="58"/>
      <c r="D399" s="62" t="str">
        <f aca="false">IF(C399="","",IFERROR(INDEX(T_NOMBRE,MATCH(V399,T_RUTN,0)),"⚠ RUT no está en Trabajadores"))</f>
        <v/>
      </c>
      <c r="E399" s="61"/>
      <c r="F399" s="61"/>
      <c r="G399" s="61"/>
      <c r="H399" s="61"/>
      <c r="I399" s="81"/>
      <c r="J399" s="81"/>
      <c r="K399" s="60"/>
      <c r="L399" s="60"/>
      <c r="M399" s="60"/>
      <c r="N399" s="60"/>
      <c r="O399" s="60"/>
      <c r="P399" s="60"/>
      <c r="Q399" s="60"/>
      <c r="R399" s="58"/>
      <c r="S399" s="62" t="str">
        <f aca="false">IF(OR(B399="",V399=""),"",IFERROR(INDEX(C_TIPO,MATCH(V399&amp;"-P"&amp;MAX(1,COUNTIFS(C_RUTN,V399,C_DEF,"Sí",C_INI,"&lt;="&amp;EOMONTH(B399,0))),C_CLAVE,0))&amp;"","Sin contrato"))</f>
        <v/>
      </c>
      <c r="T399" s="63" t="str">
        <f aca="false">IF(OR(B399="",N(O399)=0),"",N(O399)+ROUND(MIN(N(N399),TOPE_UF*UF_MES)*(TASA_EMP+MUTUAL),0)+ROUND(MIN(N(N399),TOPE_AFC_UF*UF_MES)*IF(S399="Indefinido",AFC_INDEF,AFC_PF),0))</f>
        <v/>
      </c>
      <c r="U399" s="62" t="str">
        <f aca="false">IF(C399="","",IF(LEFT(D399,1)="⚠","⚠ RUT no registrado en Trabajadores",IF(B399="","⚠ Falta el mes",IF(OR(ISTEXT(I399),ISTEXT(J399)),"⚠ Atrasos u horas extra como texto: escriba hh:mm (ej. 1:30)",IF(AND(ISNUMBER(Q399),COUNTIFS(M_RUTN,V399,M_MES,B399,M_LIQ,"&lt;&gt;")&gt;1),"⚠ Liquidación repetida en el mes",IF(AND(ISNUMBER(O399),ISNUMBER(P399),ISNUMBER(Q399),ABS(O399-P399-Q399)&gt;1),"⚠ Haberes − descuentos no da el líquido","OK"))))))</f>
        <v/>
      </c>
      <c r="V399" s="62" t="str">
        <f aca="false">IF(C399="","",IFERROR(VALUE(LEFT(UPPER(SUBSTITUTE(SUBSTITUTE(SUBSTITUTE(TRIM(C399),".",""),"-","")," ","")),LEN(UPPER(SUBSTITUTE(SUBSTITUTE(SUBSTITUTE(TRIM(C399),".",""),"-","")," ","")))-1))&amp;RIGHT(UPPER(SUBSTITUTE(SUBSTITUTE(SUBSTITUTE(TRIM(C399),".",""),"-","")," ","")),1),UPPER(SUBSTITUTE(SUBSTITUTE(SUBSTITUTE(TRIM(C399),".",""),"-","")," ",""))))</f>
        <v/>
      </c>
    </row>
    <row r="400" customFormat="false" ht="15" hidden="false" customHeight="false" outlineLevel="0" collapsed="false">
      <c r="B400" s="80"/>
      <c r="C400" s="58"/>
      <c r="D400" s="62" t="str">
        <f aca="false">IF(C400="","",IFERROR(INDEX(T_NOMBRE,MATCH(V400,T_RUTN,0)),"⚠ RUT no está en Trabajadores"))</f>
        <v/>
      </c>
      <c r="E400" s="61"/>
      <c r="F400" s="61"/>
      <c r="G400" s="61"/>
      <c r="H400" s="61"/>
      <c r="I400" s="81"/>
      <c r="J400" s="81"/>
      <c r="K400" s="60"/>
      <c r="L400" s="60"/>
      <c r="M400" s="60"/>
      <c r="N400" s="60"/>
      <c r="O400" s="60"/>
      <c r="P400" s="60"/>
      <c r="Q400" s="60"/>
      <c r="R400" s="58"/>
      <c r="S400" s="62" t="str">
        <f aca="false">IF(OR(B400="",V400=""),"",IFERROR(INDEX(C_TIPO,MATCH(V400&amp;"-P"&amp;MAX(1,COUNTIFS(C_RUTN,V400,C_DEF,"Sí",C_INI,"&lt;="&amp;EOMONTH(B400,0))),C_CLAVE,0))&amp;"","Sin contrato"))</f>
        <v/>
      </c>
      <c r="T400" s="63" t="str">
        <f aca="false">IF(OR(B400="",N(O400)=0),"",N(O400)+ROUND(MIN(N(N400),TOPE_UF*UF_MES)*(TASA_EMP+MUTUAL),0)+ROUND(MIN(N(N400),TOPE_AFC_UF*UF_MES)*IF(S400="Indefinido",AFC_INDEF,AFC_PF),0))</f>
        <v/>
      </c>
      <c r="U400" s="62" t="str">
        <f aca="false">IF(C400="","",IF(LEFT(D400,1)="⚠","⚠ RUT no registrado en Trabajadores",IF(B400="","⚠ Falta el mes",IF(OR(ISTEXT(I400),ISTEXT(J400)),"⚠ Atrasos u horas extra como texto: escriba hh:mm (ej. 1:30)",IF(AND(ISNUMBER(Q400),COUNTIFS(M_RUTN,V400,M_MES,B400,M_LIQ,"&lt;&gt;")&gt;1),"⚠ Liquidación repetida en el mes",IF(AND(ISNUMBER(O400),ISNUMBER(P400),ISNUMBER(Q400),ABS(O400-P400-Q400)&gt;1),"⚠ Haberes − descuentos no da el líquido","OK"))))))</f>
        <v/>
      </c>
      <c r="V400" s="62" t="str">
        <f aca="false">IF(C400="","",IFERROR(VALUE(LEFT(UPPER(SUBSTITUTE(SUBSTITUTE(SUBSTITUTE(TRIM(C400),".",""),"-","")," ","")),LEN(UPPER(SUBSTITUTE(SUBSTITUTE(SUBSTITUTE(TRIM(C400),".",""),"-","")," ","")))-1))&amp;RIGHT(UPPER(SUBSTITUTE(SUBSTITUTE(SUBSTITUTE(TRIM(C400),".",""),"-","")," ","")),1),UPPER(SUBSTITUTE(SUBSTITUTE(SUBSTITUTE(TRIM(C400),".",""),"-","")," ",""))))</f>
        <v/>
      </c>
    </row>
    <row r="401" customFormat="false" ht="15" hidden="false" customHeight="false" outlineLevel="0" collapsed="false">
      <c r="B401" s="80"/>
      <c r="C401" s="58"/>
      <c r="D401" s="62" t="str">
        <f aca="false">IF(C401="","",IFERROR(INDEX(T_NOMBRE,MATCH(V401,T_RUTN,0)),"⚠ RUT no está en Trabajadores"))</f>
        <v/>
      </c>
      <c r="E401" s="61"/>
      <c r="F401" s="61"/>
      <c r="G401" s="61"/>
      <c r="H401" s="61"/>
      <c r="I401" s="81"/>
      <c r="J401" s="81"/>
      <c r="K401" s="60"/>
      <c r="L401" s="60"/>
      <c r="M401" s="60"/>
      <c r="N401" s="60"/>
      <c r="O401" s="60"/>
      <c r="P401" s="60"/>
      <c r="Q401" s="60"/>
      <c r="R401" s="58"/>
      <c r="S401" s="62" t="str">
        <f aca="false">IF(OR(B401="",V401=""),"",IFERROR(INDEX(C_TIPO,MATCH(V401&amp;"-P"&amp;MAX(1,COUNTIFS(C_RUTN,V401,C_DEF,"Sí",C_INI,"&lt;="&amp;EOMONTH(B401,0))),C_CLAVE,0))&amp;"","Sin contrato"))</f>
        <v/>
      </c>
      <c r="T401" s="63" t="str">
        <f aca="false">IF(OR(B401="",N(O401)=0),"",N(O401)+ROUND(MIN(N(N401),TOPE_UF*UF_MES)*(TASA_EMP+MUTUAL),0)+ROUND(MIN(N(N401),TOPE_AFC_UF*UF_MES)*IF(S401="Indefinido",AFC_INDEF,AFC_PF),0))</f>
        <v/>
      </c>
      <c r="U401" s="62" t="str">
        <f aca="false">IF(C401="","",IF(LEFT(D401,1)="⚠","⚠ RUT no registrado en Trabajadores",IF(B401="","⚠ Falta el mes",IF(OR(ISTEXT(I401),ISTEXT(J401)),"⚠ Atrasos u horas extra como texto: escriba hh:mm (ej. 1:30)",IF(AND(ISNUMBER(Q401),COUNTIFS(M_RUTN,V401,M_MES,B401,M_LIQ,"&lt;&gt;")&gt;1),"⚠ Liquidación repetida en el mes",IF(AND(ISNUMBER(O401),ISNUMBER(P401),ISNUMBER(Q401),ABS(O401-P401-Q401)&gt;1),"⚠ Haberes − descuentos no da el líquido","OK"))))))</f>
        <v/>
      </c>
      <c r="V401" s="62" t="str">
        <f aca="false">IF(C401="","",IFERROR(VALUE(LEFT(UPPER(SUBSTITUTE(SUBSTITUTE(SUBSTITUTE(TRIM(C401),".",""),"-","")," ","")),LEN(UPPER(SUBSTITUTE(SUBSTITUTE(SUBSTITUTE(TRIM(C401),".",""),"-","")," ","")))-1))&amp;RIGHT(UPPER(SUBSTITUTE(SUBSTITUTE(SUBSTITUTE(TRIM(C401),".",""),"-","")," ","")),1),UPPER(SUBSTITUTE(SUBSTITUTE(SUBSTITUTE(TRIM(C401),".",""),"-","")," ",""))))</f>
        <v/>
      </c>
    </row>
    <row r="402" customFormat="false" ht="15" hidden="false" customHeight="false" outlineLevel="0" collapsed="false">
      <c r="B402" s="80"/>
      <c r="C402" s="58"/>
      <c r="D402" s="62" t="str">
        <f aca="false">IF(C402="","",IFERROR(INDEX(T_NOMBRE,MATCH(V402,T_RUTN,0)),"⚠ RUT no está en Trabajadores"))</f>
        <v/>
      </c>
      <c r="E402" s="61"/>
      <c r="F402" s="61"/>
      <c r="G402" s="61"/>
      <c r="H402" s="61"/>
      <c r="I402" s="81"/>
      <c r="J402" s="81"/>
      <c r="K402" s="60"/>
      <c r="L402" s="60"/>
      <c r="M402" s="60"/>
      <c r="N402" s="60"/>
      <c r="O402" s="60"/>
      <c r="P402" s="60"/>
      <c r="Q402" s="60"/>
      <c r="R402" s="58"/>
      <c r="S402" s="62" t="str">
        <f aca="false">IF(OR(B402="",V402=""),"",IFERROR(INDEX(C_TIPO,MATCH(V402&amp;"-P"&amp;MAX(1,COUNTIFS(C_RUTN,V402,C_DEF,"Sí",C_INI,"&lt;="&amp;EOMONTH(B402,0))),C_CLAVE,0))&amp;"","Sin contrato"))</f>
        <v/>
      </c>
      <c r="T402" s="63" t="str">
        <f aca="false">IF(OR(B402="",N(O402)=0),"",N(O402)+ROUND(MIN(N(N402),TOPE_UF*UF_MES)*(TASA_EMP+MUTUAL),0)+ROUND(MIN(N(N402),TOPE_AFC_UF*UF_MES)*IF(S402="Indefinido",AFC_INDEF,AFC_PF),0))</f>
        <v/>
      </c>
      <c r="U402" s="62" t="str">
        <f aca="false">IF(C402="","",IF(LEFT(D402,1)="⚠","⚠ RUT no registrado en Trabajadores",IF(B402="","⚠ Falta el mes",IF(OR(ISTEXT(I402),ISTEXT(J402)),"⚠ Atrasos u horas extra como texto: escriba hh:mm (ej. 1:30)",IF(AND(ISNUMBER(Q402),COUNTIFS(M_RUTN,V402,M_MES,B402,M_LIQ,"&lt;&gt;")&gt;1),"⚠ Liquidación repetida en el mes",IF(AND(ISNUMBER(O402),ISNUMBER(P402),ISNUMBER(Q402),ABS(O402-P402-Q402)&gt;1),"⚠ Haberes − descuentos no da el líquido","OK"))))))</f>
        <v/>
      </c>
      <c r="V402" s="62" t="str">
        <f aca="false">IF(C402="","",IFERROR(VALUE(LEFT(UPPER(SUBSTITUTE(SUBSTITUTE(SUBSTITUTE(TRIM(C402),".",""),"-","")," ","")),LEN(UPPER(SUBSTITUTE(SUBSTITUTE(SUBSTITUTE(TRIM(C402),".",""),"-","")," ","")))-1))&amp;RIGHT(UPPER(SUBSTITUTE(SUBSTITUTE(SUBSTITUTE(TRIM(C402),".",""),"-","")," ","")),1),UPPER(SUBSTITUTE(SUBSTITUTE(SUBSTITUTE(TRIM(C402),".",""),"-","")," ",""))))</f>
        <v/>
      </c>
    </row>
    <row r="403" customFormat="false" ht="15" hidden="false" customHeight="false" outlineLevel="0" collapsed="false">
      <c r="B403" s="80"/>
      <c r="C403" s="58"/>
      <c r="D403" s="62" t="str">
        <f aca="false">IF(C403="","",IFERROR(INDEX(T_NOMBRE,MATCH(V403,T_RUTN,0)),"⚠ RUT no está en Trabajadores"))</f>
        <v/>
      </c>
      <c r="E403" s="61"/>
      <c r="F403" s="61"/>
      <c r="G403" s="61"/>
      <c r="H403" s="61"/>
      <c r="I403" s="81"/>
      <c r="J403" s="81"/>
      <c r="K403" s="60"/>
      <c r="L403" s="60"/>
      <c r="M403" s="60"/>
      <c r="N403" s="60"/>
      <c r="O403" s="60"/>
      <c r="P403" s="60"/>
      <c r="Q403" s="60"/>
      <c r="R403" s="58"/>
      <c r="S403" s="62" t="str">
        <f aca="false">IF(OR(B403="",V403=""),"",IFERROR(INDEX(C_TIPO,MATCH(V403&amp;"-P"&amp;MAX(1,COUNTIFS(C_RUTN,V403,C_DEF,"Sí",C_INI,"&lt;="&amp;EOMONTH(B403,0))),C_CLAVE,0))&amp;"","Sin contrato"))</f>
        <v/>
      </c>
      <c r="T403" s="63" t="str">
        <f aca="false">IF(OR(B403="",N(O403)=0),"",N(O403)+ROUND(MIN(N(N403),TOPE_UF*UF_MES)*(TASA_EMP+MUTUAL),0)+ROUND(MIN(N(N403),TOPE_AFC_UF*UF_MES)*IF(S403="Indefinido",AFC_INDEF,AFC_PF),0))</f>
        <v/>
      </c>
      <c r="U403" s="62" t="str">
        <f aca="false">IF(C403="","",IF(LEFT(D403,1)="⚠","⚠ RUT no registrado en Trabajadores",IF(B403="","⚠ Falta el mes",IF(OR(ISTEXT(I403),ISTEXT(J403)),"⚠ Atrasos u horas extra como texto: escriba hh:mm (ej. 1:30)",IF(AND(ISNUMBER(Q403),COUNTIFS(M_RUTN,V403,M_MES,B403,M_LIQ,"&lt;&gt;")&gt;1),"⚠ Liquidación repetida en el mes",IF(AND(ISNUMBER(O403),ISNUMBER(P403),ISNUMBER(Q403),ABS(O403-P403-Q403)&gt;1),"⚠ Haberes − descuentos no da el líquido","OK"))))))</f>
        <v/>
      </c>
      <c r="V403" s="62" t="str">
        <f aca="false">IF(C403="","",IFERROR(VALUE(LEFT(UPPER(SUBSTITUTE(SUBSTITUTE(SUBSTITUTE(TRIM(C403),".",""),"-","")," ","")),LEN(UPPER(SUBSTITUTE(SUBSTITUTE(SUBSTITUTE(TRIM(C403),".",""),"-","")," ","")))-1))&amp;RIGHT(UPPER(SUBSTITUTE(SUBSTITUTE(SUBSTITUTE(TRIM(C403),".",""),"-","")," ","")),1),UPPER(SUBSTITUTE(SUBSTITUTE(SUBSTITUTE(TRIM(C403),".",""),"-","")," ",""))))</f>
        <v/>
      </c>
    </row>
    <row r="404" customFormat="false" ht="15" hidden="false" customHeight="false" outlineLevel="0" collapsed="false">
      <c r="B404" s="80"/>
      <c r="C404" s="58"/>
      <c r="D404" s="62" t="str">
        <f aca="false">IF(C404="","",IFERROR(INDEX(T_NOMBRE,MATCH(V404,T_RUTN,0)),"⚠ RUT no está en Trabajadores"))</f>
        <v/>
      </c>
      <c r="E404" s="61"/>
      <c r="F404" s="61"/>
      <c r="G404" s="61"/>
      <c r="H404" s="61"/>
      <c r="I404" s="81"/>
      <c r="J404" s="81"/>
      <c r="K404" s="60"/>
      <c r="L404" s="60"/>
      <c r="M404" s="60"/>
      <c r="N404" s="60"/>
      <c r="O404" s="60"/>
      <c r="P404" s="60"/>
      <c r="Q404" s="60"/>
      <c r="R404" s="58"/>
      <c r="S404" s="62" t="str">
        <f aca="false">IF(OR(B404="",V404=""),"",IFERROR(INDEX(C_TIPO,MATCH(V404&amp;"-P"&amp;MAX(1,COUNTIFS(C_RUTN,V404,C_DEF,"Sí",C_INI,"&lt;="&amp;EOMONTH(B404,0))),C_CLAVE,0))&amp;"","Sin contrato"))</f>
        <v/>
      </c>
      <c r="T404" s="63" t="str">
        <f aca="false">IF(OR(B404="",N(O404)=0),"",N(O404)+ROUND(MIN(N(N404),TOPE_UF*UF_MES)*(TASA_EMP+MUTUAL),0)+ROUND(MIN(N(N404),TOPE_AFC_UF*UF_MES)*IF(S404="Indefinido",AFC_INDEF,AFC_PF),0))</f>
        <v/>
      </c>
      <c r="U404" s="62" t="str">
        <f aca="false">IF(C404="","",IF(LEFT(D404,1)="⚠","⚠ RUT no registrado en Trabajadores",IF(B404="","⚠ Falta el mes",IF(OR(ISTEXT(I404),ISTEXT(J404)),"⚠ Atrasos u horas extra como texto: escriba hh:mm (ej. 1:30)",IF(AND(ISNUMBER(Q404),COUNTIFS(M_RUTN,V404,M_MES,B404,M_LIQ,"&lt;&gt;")&gt;1),"⚠ Liquidación repetida en el mes",IF(AND(ISNUMBER(O404),ISNUMBER(P404),ISNUMBER(Q404),ABS(O404-P404-Q404)&gt;1),"⚠ Haberes − descuentos no da el líquido","OK"))))))</f>
        <v/>
      </c>
      <c r="V404" s="62" t="str">
        <f aca="false">IF(C404="","",IFERROR(VALUE(LEFT(UPPER(SUBSTITUTE(SUBSTITUTE(SUBSTITUTE(TRIM(C404),".",""),"-","")," ","")),LEN(UPPER(SUBSTITUTE(SUBSTITUTE(SUBSTITUTE(TRIM(C404),".",""),"-","")," ","")))-1))&amp;RIGHT(UPPER(SUBSTITUTE(SUBSTITUTE(SUBSTITUTE(TRIM(C404),".",""),"-","")," ","")),1),UPPER(SUBSTITUTE(SUBSTITUTE(SUBSTITUTE(TRIM(C404),".",""),"-","")," ",""))))</f>
        <v/>
      </c>
    </row>
    <row r="405" customFormat="false" ht="15" hidden="false" customHeight="false" outlineLevel="0" collapsed="false">
      <c r="B405" s="80"/>
      <c r="C405" s="58"/>
      <c r="D405" s="62" t="str">
        <f aca="false">IF(C405="","",IFERROR(INDEX(T_NOMBRE,MATCH(V405,T_RUTN,0)),"⚠ RUT no está en Trabajadores"))</f>
        <v/>
      </c>
      <c r="E405" s="61"/>
      <c r="F405" s="61"/>
      <c r="G405" s="61"/>
      <c r="H405" s="61"/>
      <c r="I405" s="81"/>
      <c r="J405" s="81"/>
      <c r="K405" s="60"/>
      <c r="L405" s="60"/>
      <c r="M405" s="60"/>
      <c r="N405" s="60"/>
      <c r="O405" s="60"/>
      <c r="P405" s="60"/>
      <c r="Q405" s="60"/>
      <c r="R405" s="58"/>
      <c r="S405" s="62" t="str">
        <f aca="false">IF(OR(B405="",V405=""),"",IFERROR(INDEX(C_TIPO,MATCH(V405&amp;"-P"&amp;MAX(1,COUNTIFS(C_RUTN,V405,C_DEF,"Sí",C_INI,"&lt;="&amp;EOMONTH(B405,0))),C_CLAVE,0))&amp;"","Sin contrato"))</f>
        <v/>
      </c>
      <c r="T405" s="63" t="str">
        <f aca="false">IF(OR(B405="",N(O405)=0),"",N(O405)+ROUND(MIN(N(N405),TOPE_UF*UF_MES)*(TASA_EMP+MUTUAL),0)+ROUND(MIN(N(N405),TOPE_AFC_UF*UF_MES)*IF(S405="Indefinido",AFC_INDEF,AFC_PF),0))</f>
        <v/>
      </c>
      <c r="U405" s="62" t="str">
        <f aca="false">IF(C405="","",IF(LEFT(D405,1)="⚠","⚠ RUT no registrado en Trabajadores",IF(B405="","⚠ Falta el mes",IF(OR(ISTEXT(I405),ISTEXT(J405)),"⚠ Atrasos u horas extra como texto: escriba hh:mm (ej. 1:30)",IF(AND(ISNUMBER(Q405),COUNTIFS(M_RUTN,V405,M_MES,B405,M_LIQ,"&lt;&gt;")&gt;1),"⚠ Liquidación repetida en el mes",IF(AND(ISNUMBER(O405),ISNUMBER(P405),ISNUMBER(Q405),ABS(O405-P405-Q405)&gt;1),"⚠ Haberes − descuentos no da el líquido","OK"))))))</f>
        <v/>
      </c>
      <c r="V405" s="62" t="str">
        <f aca="false">IF(C405="","",IFERROR(VALUE(LEFT(UPPER(SUBSTITUTE(SUBSTITUTE(SUBSTITUTE(TRIM(C405),".",""),"-","")," ","")),LEN(UPPER(SUBSTITUTE(SUBSTITUTE(SUBSTITUTE(TRIM(C405),".",""),"-","")," ","")))-1))&amp;RIGHT(UPPER(SUBSTITUTE(SUBSTITUTE(SUBSTITUTE(TRIM(C405),".",""),"-","")," ","")),1),UPPER(SUBSTITUTE(SUBSTITUTE(SUBSTITUTE(TRIM(C405),".",""),"-","")," ",""))))</f>
        <v/>
      </c>
    </row>
    <row r="406" customFormat="false" ht="15" hidden="false" customHeight="false" outlineLevel="0" collapsed="false">
      <c r="B406" s="80"/>
      <c r="C406" s="58"/>
      <c r="D406" s="62" t="str">
        <f aca="false">IF(C406="","",IFERROR(INDEX(T_NOMBRE,MATCH(V406,T_RUTN,0)),"⚠ RUT no está en Trabajadores"))</f>
        <v/>
      </c>
      <c r="E406" s="61"/>
      <c r="F406" s="61"/>
      <c r="G406" s="61"/>
      <c r="H406" s="61"/>
      <c r="I406" s="81"/>
      <c r="J406" s="81"/>
      <c r="K406" s="60"/>
      <c r="L406" s="60"/>
      <c r="M406" s="60"/>
      <c r="N406" s="60"/>
      <c r="O406" s="60"/>
      <c r="P406" s="60"/>
      <c r="Q406" s="60"/>
      <c r="R406" s="58"/>
      <c r="S406" s="62" t="str">
        <f aca="false">IF(OR(B406="",V406=""),"",IFERROR(INDEX(C_TIPO,MATCH(V406&amp;"-P"&amp;MAX(1,COUNTIFS(C_RUTN,V406,C_DEF,"Sí",C_INI,"&lt;="&amp;EOMONTH(B406,0))),C_CLAVE,0))&amp;"","Sin contrato"))</f>
        <v/>
      </c>
      <c r="T406" s="63" t="str">
        <f aca="false">IF(OR(B406="",N(O406)=0),"",N(O406)+ROUND(MIN(N(N406),TOPE_UF*UF_MES)*(TASA_EMP+MUTUAL),0)+ROUND(MIN(N(N406),TOPE_AFC_UF*UF_MES)*IF(S406="Indefinido",AFC_INDEF,AFC_PF),0))</f>
        <v/>
      </c>
      <c r="U406" s="62" t="str">
        <f aca="false">IF(C406="","",IF(LEFT(D406,1)="⚠","⚠ RUT no registrado en Trabajadores",IF(B406="","⚠ Falta el mes",IF(OR(ISTEXT(I406),ISTEXT(J406)),"⚠ Atrasos u horas extra como texto: escriba hh:mm (ej. 1:30)",IF(AND(ISNUMBER(Q406),COUNTIFS(M_RUTN,V406,M_MES,B406,M_LIQ,"&lt;&gt;")&gt;1),"⚠ Liquidación repetida en el mes",IF(AND(ISNUMBER(O406),ISNUMBER(P406),ISNUMBER(Q406),ABS(O406-P406-Q406)&gt;1),"⚠ Haberes − descuentos no da el líquido","OK"))))))</f>
        <v/>
      </c>
      <c r="V406" s="62" t="str">
        <f aca="false">IF(C406="","",IFERROR(VALUE(LEFT(UPPER(SUBSTITUTE(SUBSTITUTE(SUBSTITUTE(TRIM(C406),".",""),"-","")," ","")),LEN(UPPER(SUBSTITUTE(SUBSTITUTE(SUBSTITUTE(TRIM(C406),".",""),"-","")," ","")))-1))&amp;RIGHT(UPPER(SUBSTITUTE(SUBSTITUTE(SUBSTITUTE(TRIM(C406),".",""),"-","")," ","")),1),UPPER(SUBSTITUTE(SUBSTITUTE(SUBSTITUTE(TRIM(C406),".",""),"-","")," ",""))))</f>
        <v/>
      </c>
    </row>
    <row r="407" customFormat="false" ht="15" hidden="false" customHeight="false" outlineLevel="0" collapsed="false">
      <c r="B407" s="80"/>
      <c r="C407" s="58"/>
      <c r="D407" s="62" t="str">
        <f aca="false">IF(C407="","",IFERROR(INDEX(T_NOMBRE,MATCH(V407,T_RUTN,0)),"⚠ RUT no está en Trabajadores"))</f>
        <v/>
      </c>
      <c r="E407" s="61"/>
      <c r="F407" s="61"/>
      <c r="G407" s="61"/>
      <c r="H407" s="61"/>
      <c r="I407" s="81"/>
      <c r="J407" s="81"/>
      <c r="K407" s="60"/>
      <c r="L407" s="60"/>
      <c r="M407" s="60"/>
      <c r="N407" s="60"/>
      <c r="O407" s="60"/>
      <c r="P407" s="60"/>
      <c r="Q407" s="60"/>
      <c r="R407" s="58"/>
      <c r="S407" s="62" t="str">
        <f aca="false">IF(OR(B407="",V407=""),"",IFERROR(INDEX(C_TIPO,MATCH(V407&amp;"-P"&amp;MAX(1,COUNTIFS(C_RUTN,V407,C_DEF,"Sí",C_INI,"&lt;="&amp;EOMONTH(B407,0))),C_CLAVE,0))&amp;"","Sin contrato"))</f>
        <v/>
      </c>
      <c r="T407" s="63" t="str">
        <f aca="false">IF(OR(B407="",N(O407)=0),"",N(O407)+ROUND(MIN(N(N407),TOPE_UF*UF_MES)*(TASA_EMP+MUTUAL),0)+ROUND(MIN(N(N407),TOPE_AFC_UF*UF_MES)*IF(S407="Indefinido",AFC_INDEF,AFC_PF),0))</f>
        <v/>
      </c>
      <c r="U407" s="62" t="str">
        <f aca="false">IF(C407="","",IF(LEFT(D407,1)="⚠","⚠ RUT no registrado en Trabajadores",IF(B407="","⚠ Falta el mes",IF(OR(ISTEXT(I407),ISTEXT(J407)),"⚠ Atrasos u horas extra como texto: escriba hh:mm (ej. 1:30)",IF(AND(ISNUMBER(Q407),COUNTIFS(M_RUTN,V407,M_MES,B407,M_LIQ,"&lt;&gt;")&gt;1),"⚠ Liquidación repetida en el mes",IF(AND(ISNUMBER(O407),ISNUMBER(P407),ISNUMBER(Q407),ABS(O407-P407-Q407)&gt;1),"⚠ Haberes − descuentos no da el líquido","OK"))))))</f>
        <v/>
      </c>
      <c r="V407" s="62" t="str">
        <f aca="false">IF(C407="","",IFERROR(VALUE(LEFT(UPPER(SUBSTITUTE(SUBSTITUTE(SUBSTITUTE(TRIM(C407),".",""),"-","")," ","")),LEN(UPPER(SUBSTITUTE(SUBSTITUTE(SUBSTITUTE(TRIM(C407),".",""),"-","")," ","")))-1))&amp;RIGHT(UPPER(SUBSTITUTE(SUBSTITUTE(SUBSTITUTE(TRIM(C407),".",""),"-","")," ","")),1),UPPER(SUBSTITUTE(SUBSTITUTE(SUBSTITUTE(TRIM(C407),".",""),"-","")," ",""))))</f>
        <v/>
      </c>
    </row>
    <row r="408" customFormat="false" ht="15" hidden="false" customHeight="false" outlineLevel="0" collapsed="false">
      <c r="B408" s="80"/>
      <c r="C408" s="58"/>
      <c r="D408" s="62" t="str">
        <f aca="false">IF(C408="","",IFERROR(INDEX(T_NOMBRE,MATCH(V408,T_RUTN,0)),"⚠ RUT no está en Trabajadores"))</f>
        <v/>
      </c>
      <c r="E408" s="61"/>
      <c r="F408" s="61"/>
      <c r="G408" s="61"/>
      <c r="H408" s="61"/>
      <c r="I408" s="81"/>
      <c r="J408" s="81"/>
      <c r="K408" s="60"/>
      <c r="L408" s="60"/>
      <c r="M408" s="60"/>
      <c r="N408" s="60"/>
      <c r="O408" s="60"/>
      <c r="P408" s="60"/>
      <c r="Q408" s="60"/>
      <c r="R408" s="58"/>
      <c r="S408" s="62" t="str">
        <f aca="false">IF(OR(B408="",V408=""),"",IFERROR(INDEX(C_TIPO,MATCH(V408&amp;"-P"&amp;MAX(1,COUNTIFS(C_RUTN,V408,C_DEF,"Sí",C_INI,"&lt;="&amp;EOMONTH(B408,0))),C_CLAVE,0))&amp;"","Sin contrato"))</f>
        <v/>
      </c>
      <c r="T408" s="63" t="str">
        <f aca="false">IF(OR(B408="",N(O408)=0),"",N(O408)+ROUND(MIN(N(N408),TOPE_UF*UF_MES)*(TASA_EMP+MUTUAL),0)+ROUND(MIN(N(N408),TOPE_AFC_UF*UF_MES)*IF(S408="Indefinido",AFC_INDEF,AFC_PF),0))</f>
        <v/>
      </c>
      <c r="U408" s="62" t="str">
        <f aca="false">IF(C408="","",IF(LEFT(D408,1)="⚠","⚠ RUT no registrado en Trabajadores",IF(B408="","⚠ Falta el mes",IF(OR(ISTEXT(I408),ISTEXT(J408)),"⚠ Atrasos u horas extra como texto: escriba hh:mm (ej. 1:30)",IF(AND(ISNUMBER(Q408),COUNTIFS(M_RUTN,V408,M_MES,B408,M_LIQ,"&lt;&gt;")&gt;1),"⚠ Liquidación repetida en el mes",IF(AND(ISNUMBER(O408),ISNUMBER(P408),ISNUMBER(Q408),ABS(O408-P408-Q408)&gt;1),"⚠ Haberes − descuentos no da el líquido","OK"))))))</f>
        <v/>
      </c>
      <c r="V408" s="62" t="str">
        <f aca="false">IF(C408="","",IFERROR(VALUE(LEFT(UPPER(SUBSTITUTE(SUBSTITUTE(SUBSTITUTE(TRIM(C408),".",""),"-","")," ","")),LEN(UPPER(SUBSTITUTE(SUBSTITUTE(SUBSTITUTE(TRIM(C408),".",""),"-","")," ","")))-1))&amp;RIGHT(UPPER(SUBSTITUTE(SUBSTITUTE(SUBSTITUTE(TRIM(C408),".",""),"-","")," ","")),1),UPPER(SUBSTITUTE(SUBSTITUTE(SUBSTITUTE(TRIM(C408),".",""),"-","")," ",""))))</f>
        <v/>
      </c>
    </row>
    <row r="409" customFormat="false" ht="15" hidden="false" customHeight="false" outlineLevel="0" collapsed="false">
      <c r="B409" s="80"/>
      <c r="C409" s="58"/>
      <c r="D409" s="62" t="str">
        <f aca="false">IF(C409="","",IFERROR(INDEX(T_NOMBRE,MATCH(V409,T_RUTN,0)),"⚠ RUT no está en Trabajadores"))</f>
        <v/>
      </c>
      <c r="E409" s="61"/>
      <c r="F409" s="61"/>
      <c r="G409" s="61"/>
      <c r="H409" s="61"/>
      <c r="I409" s="81"/>
      <c r="J409" s="81"/>
      <c r="K409" s="60"/>
      <c r="L409" s="60"/>
      <c r="M409" s="60"/>
      <c r="N409" s="60"/>
      <c r="O409" s="60"/>
      <c r="P409" s="60"/>
      <c r="Q409" s="60"/>
      <c r="R409" s="58"/>
      <c r="S409" s="62" t="str">
        <f aca="false">IF(OR(B409="",V409=""),"",IFERROR(INDEX(C_TIPO,MATCH(V409&amp;"-P"&amp;MAX(1,COUNTIFS(C_RUTN,V409,C_DEF,"Sí",C_INI,"&lt;="&amp;EOMONTH(B409,0))),C_CLAVE,0))&amp;"","Sin contrato"))</f>
        <v/>
      </c>
      <c r="T409" s="63" t="str">
        <f aca="false">IF(OR(B409="",N(O409)=0),"",N(O409)+ROUND(MIN(N(N409),TOPE_UF*UF_MES)*(TASA_EMP+MUTUAL),0)+ROUND(MIN(N(N409),TOPE_AFC_UF*UF_MES)*IF(S409="Indefinido",AFC_INDEF,AFC_PF),0))</f>
        <v/>
      </c>
      <c r="U409" s="62" t="str">
        <f aca="false">IF(C409="","",IF(LEFT(D409,1)="⚠","⚠ RUT no registrado en Trabajadores",IF(B409="","⚠ Falta el mes",IF(OR(ISTEXT(I409),ISTEXT(J409)),"⚠ Atrasos u horas extra como texto: escriba hh:mm (ej. 1:30)",IF(AND(ISNUMBER(Q409),COUNTIFS(M_RUTN,V409,M_MES,B409,M_LIQ,"&lt;&gt;")&gt;1),"⚠ Liquidación repetida en el mes",IF(AND(ISNUMBER(O409),ISNUMBER(P409),ISNUMBER(Q409),ABS(O409-P409-Q409)&gt;1),"⚠ Haberes − descuentos no da el líquido","OK"))))))</f>
        <v/>
      </c>
      <c r="V409" s="62" t="str">
        <f aca="false">IF(C409="","",IFERROR(VALUE(LEFT(UPPER(SUBSTITUTE(SUBSTITUTE(SUBSTITUTE(TRIM(C409),".",""),"-","")," ","")),LEN(UPPER(SUBSTITUTE(SUBSTITUTE(SUBSTITUTE(TRIM(C409),".",""),"-","")," ","")))-1))&amp;RIGHT(UPPER(SUBSTITUTE(SUBSTITUTE(SUBSTITUTE(TRIM(C409),".",""),"-","")," ","")),1),UPPER(SUBSTITUTE(SUBSTITUTE(SUBSTITUTE(TRIM(C409),".",""),"-","")," ",""))))</f>
        <v/>
      </c>
    </row>
    <row r="410" customFormat="false" ht="15" hidden="false" customHeight="false" outlineLevel="0" collapsed="false">
      <c r="B410" s="80"/>
      <c r="C410" s="58"/>
      <c r="D410" s="62" t="str">
        <f aca="false">IF(C410="","",IFERROR(INDEX(T_NOMBRE,MATCH(V410,T_RUTN,0)),"⚠ RUT no está en Trabajadores"))</f>
        <v/>
      </c>
      <c r="E410" s="61"/>
      <c r="F410" s="61"/>
      <c r="G410" s="61"/>
      <c r="H410" s="61"/>
      <c r="I410" s="81"/>
      <c r="J410" s="81"/>
      <c r="K410" s="60"/>
      <c r="L410" s="60"/>
      <c r="M410" s="60"/>
      <c r="N410" s="60"/>
      <c r="O410" s="60"/>
      <c r="P410" s="60"/>
      <c r="Q410" s="60"/>
      <c r="R410" s="58"/>
      <c r="S410" s="62" t="str">
        <f aca="false">IF(OR(B410="",V410=""),"",IFERROR(INDEX(C_TIPO,MATCH(V410&amp;"-P"&amp;MAX(1,COUNTIFS(C_RUTN,V410,C_DEF,"Sí",C_INI,"&lt;="&amp;EOMONTH(B410,0))),C_CLAVE,0))&amp;"","Sin contrato"))</f>
        <v/>
      </c>
      <c r="T410" s="63" t="str">
        <f aca="false">IF(OR(B410="",N(O410)=0),"",N(O410)+ROUND(MIN(N(N410),TOPE_UF*UF_MES)*(TASA_EMP+MUTUAL),0)+ROUND(MIN(N(N410),TOPE_AFC_UF*UF_MES)*IF(S410="Indefinido",AFC_INDEF,AFC_PF),0))</f>
        <v/>
      </c>
      <c r="U410" s="62" t="str">
        <f aca="false">IF(C410="","",IF(LEFT(D410,1)="⚠","⚠ RUT no registrado en Trabajadores",IF(B410="","⚠ Falta el mes",IF(OR(ISTEXT(I410),ISTEXT(J410)),"⚠ Atrasos u horas extra como texto: escriba hh:mm (ej. 1:30)",IF(AND(ISNUMBER(Q410),COUNTIFS(M_RUTN,V410,M_MES,B410,M_LIQ,"&lt;&gt;")&gt;1),"⚠ Liquidación repetida en el mes",IF(AND(ISNUMBER(O410),ISNUMBER(P410),ISNUMBER(Q410),ABS(O410-P410-Q410)&gt;1),"⚠ Haberes − descuentos no da el líquido","OK"))))))</f>
        <v/>
      </c>
      <c r="V410" s="62" t="str">
        <f aca="false">IF(C410="","",IFERROR(VALUE(LEFT(UPPER(SUBSTITUTE(SUBSTITUTE(SUBSTITUTE(TRIM(C410),".",""),"-","")," ","")),LEN(UPPER(SUBSTITUTE(SUBSTITUTE(SUBSTITUTE(TRIM(C410),".",""),"-","")," ","")))-1))&amp;RIGHT(UPPER(SUBSTITUTE(SUBSTITUTE(SUBSTITUTE(TRIM(C410),".",""),"-","")," ","")),1),UPPER(SUBSTITUTE(SUBSTITUTE(SUBSTITUTE(TRIM(C410),".",""),"-","")," ",""))))</f>
        <v/>
      </c>
    </row>
    <row r="411" customFormat="false" ht="15" hidden="false" customHeight="false" outlineLevel="0" collapsed="false">
      <c r="B411" s="80"/>
      <c r="C411" s="58"/>
      <c r="D411" s="62" t="str">
        <f aca="false">IF(C411="","",IFERROR(INDEX(T_NOMBRE,MATCH(V411,T_RUTN,0)),"⚠ RUT no está en Trabajadores"))</f>
        <v/>
      </c>
      <c r="E411" s="61"/>
      <c r="F411" s="61"/>
      <c r="G411" s="61"/>
      <c r="H411" s="61"/>
      <c r="I411" s="81"/>
      <c r="J411" s="81"/>
      <c r="K411" s="60"/>
      <c r="L411" s="60"/>
      <c r="M411" s="60"/>
      <c r="N411" s="60"/>
      <c r="O411" s="60"/>
      <c r="P411" s="60"/>
      <c r="Q411" s="60"/>
      <c r="R411" s="58"/>
      <c r="S411" s="62" t="str">
        <f aca="false">IF(OR(B411="",V411=""),"",IFERROR(INDEX(C_TIPO,MATCH(V411&amp;"-P"&amp;MAX(1,COUNTIFS(C_RUTN,V411,C_DEF,"Sí",C_INI,"&lt;="&amp;EOMONTH(B411,0))),C_CLAVE,0))&amp;"","Sin contrato"))</f>
        <v/>
      </c>
      <c r="T411" s="63" t="str">
        <f aca="false">IF(OR(B411="",N(O411)=0),"",N(O411)+ROUND(MIN(N(N411),TOPE_UF*UF_MES)*(TASA_EMP+MUTUAL),0)+ROUND(MIN(N(N411),TOPE_AFC_UF*UF_MES)*IF(S411="Indefinido",AFC_INDEF,AFC_PF),0))</f>
        <v/>
      </c>
      <c r="U411" s="62" t="str">
        <f aca="false">IF(C411="","",IF(LEFT(D411,1)="⚠","⚠ RUT no registrado en Trabajadores",IF(B411="","⚠ Falta el mes",IF(OR(ISTEXT(I411),ISTEXT(J411)),"⚠ Atrasos u horas extra como texto: escriba hh:mm (ej. 1:30)",IF(AND(ISNUMBER(Q411),COUNTIFS(M_RUTN,V411,M_MES,B411,M_LIQ,"&lt;&gt;")&gt;1),"⚠ Liquidación repetida en el mes",IF(AND(ISNUMBER(O411),ISNUMBER(P411),ISNUMBER(Q411),ABS(O411-P411-Q411)&gt;1),"⚠ Haberes − descuentos no da el líquido","OK"))))))</f>
        <v/>
      </c>
      <c r="V411" s="62" t="str">
        <f aca="false">IF(C411="","",IFERROR(VALUE(LEFT(UPPER(SUBSTITUTE(SUBSTITUTE(SUBSTITUTE(TRIM(C411),".",""),"-","")," ","")),LEN(UPPER(SUBSTITUTE(SUBSTITUTE(SUBSTITUTE(TRIM(C411),".",""),"-","")," ","")))-1))&amp;RIGHT(UPPER(SUBSTITUTE(SUBSTITUTE(SUBSTITUTE(TRIM(C411),".",""),"-","")," ","")),1),UPPER(SUBSTITUTE(SUBSTITUTE(SUBSTITUTE(TRIM(C411),".",""),"-","")," ",""))))</f>
        <v/>
      </c>
    </row>
    <row r="412" customFormat="false" ht="15" hidden="false" customHeight="false" outlineLevel="0" collapsed="false">
      <c r="B412" s="80"/>
      <c r="C412" s="58"/>
      <c r="D412" s="62" t="str">
        <f aca="false">IF(C412="","",IFERROR(INDEX(T_NOMBRE,MATCH(V412,T_RUTN,0)),"⚠ RUT no está en Trabajadores"))</f>
        <v/>
      </c>
      <c r="E412" s="61"/>
      <c r="F412" s="61"/>
      <c r="G412" s="61"/>
      <c r="H412" s="61"/>
      <c r="I412" s="81"/>
      <c r="J412" s="81"/>
      <c r="K412" s="60"/>
      <c r="L412" s="60"/>
      <c r="M412" s="60"/>
      <c r="N412" s="60"/>
      <c r="O412" s="60"/>
      <c r="P412" s="60"/>
      <c r="Q412" s="60"/>
      <c r="R412" s="58"/>
      <c r="S412" s="62" t="str">
        <f aca="false">IF(OR(B412="",V412=""),"",IFERROR(INDEX(C_TIPO,MATCH(V412&amp;"-P"&amp;MAX(1,COUNTIFS(C_RUTN,V412,C_DEF,"Sí",C_INI,"&lt;="&amp;EOMONTH(B412,0))),C_CLAVE,0))&amp;"","Sin contrato"))</f>
        <v/>
      </c>
      <c r="T412" s="63" t="str">
        <f aca="false">IF(OR(B412="",N(O412)=0),"",N(O412)+ROUND(MIN(N(N412),TOPE_UF*UF_MES)*(TASA_EMP+MUTUAL),0)+ROUND(MIN(N(N412),TOPE_AFC_UF*UF_MES)*IF(S412="Indefinido",AFC_INDEF,AFC_PF),0))</f>
        <v/>
      </c>
      <c r="U412" s="62" t="str">
        <f aca="false">IF(C412="","",IF(LEFT(D412,1)="⚠","⚠ RUT no registrado en Trabajadores",IF(B412="","⚠ Falta el mes",IF(OR(ISTEXT(I412),ISTEXT(J412)),"⚠ Atrasos u horas extra como texto: escriba hh:mm (ej. 1:30)",IF(AND(ISNUMBER(Q412),COUNTIFS(M_RUTN,V412,M_MES,B412,M_LIQ,"&lt;&gt;")&gt;1),"⚠ Liquidación repetida en el mes",IF(AND(ISNUMBER(O412),ISNUMBER(P412),ISNUMBER(Q412),ABS(O412-P412-Q412)&gt;1),"⚠ Haberes − descuentos no da el líquido","OK"))))))</f>
        <v/>
      </c>
      <c r="V412" s="62" t="str">
        <f aca="false">IF(C412="","",IFERROR(VALUE(LEFT(UPPER(SUBSTITUTE(SUBSTITUTE(SUBSTITUTE(TRIM(C412),".",""),"-","")," ","")),LEN(UPPER(SUBSTITUTE(SUBSTITUTE(SUBSTITUTE(TRIM(C412),".",""),"-","")," ","")))-1))&amp;RIGHT(UPPER(SUBSTITUTE(SUBSTITUTE(SUBSTITUTE(TRIM(C412),".",""),"-","")," ","")),1),UPPER(SUBSTITUTE(SUBSTITUTE(SUBSTITUTE(TRIM(C412),".",""),"-","")," ",""))))</f>
        <v/>
      </c>
    </row>
    <row r="413" customFormat="false" ht="15" hidden="false" customHeight="false" outlineLevel="0" collapsed="false">
      <c r="B413" s="80"/>
      <c r="C413" s="58"/>
      <c r="D413" s="62" t="str">
        <f aca="false">IF(C413="","",IFERROR(INDEX(T_NOMBRE,MATCH(V413,T_RUTN,0)),"⚠ RUT no está en Trabajadores"))</f>
        <v/>
      </c>
      <c r="E413" s="61"/>
      <c r="F413" s="61"/>
      <c r="G413" s="61"/>
      <c r="H413" s="61"/>
      <c r="I413" s="81"/>
      <c r="J413" s="81"/>
      <c r="K413" s="60"/>
      <c r="L413" s="60"/>
      <c r="M413" s="60"/>
      <c r="N413" s="60"/>
      <c r="O413" s="60"/>
      <c r="P413" s="60"/>
      <c r="Q413" s="60"/>
      <c r="R413" s="58"/>
      <c r="S413" s="62" t="str">
        <f aca="false">IF(OR(B413="",V413=""),"",IFERROR(INDEX(C_TIPO,MATCH(V413&amp;"-P"&amp;MAX(1,COUNTIFS(C_RUTN,V413,C_DEF,"Sí",C_INI,"&lt;="&amp;EOMONTH(B413,0))),C_CLAVE,0))&amp;"","Sin contrato"))</f>
        <v/>
      </c>
      <c r="T413" s="63" t="str">
        <f aca="false">IF(OR(B413="",N(O413)=0),"",N(O413)+ROUND(MIN(N(N413),TOPE_UF*UF_MES)*(TASA_EMP+MUTUAL),0)+ROUND(MIN(N(N413),TOPE_AFC_UF*UF_MES)*IF(S413="Indefinido",AFC_INDEF,AFC_PF),0))</f>
        <v/>
      </c>
      <c r="U413" s="62" t="str">
        <f aca="false">IF(C413="","",IF(LEFT(D413,1)="⚠","⚠ RUT no registrado en Trabajadores",IF(B413="","⚠ Falta el mes",IF(OR(ISTEXT(I413),ISTEXT(J413)),"⚠ Atrasos u horas extra como texto: escriba hh:mm (ej. 1:30)",IF(AND(ISNUMBER(Q413),COUNTIFS(M_RUTN,V413,M_MES,B413,M_LIQ,"&lt;&gt;")&gt;1),"⚠ Liquidación repetida en el mes",IF(AND(ISNUMBER(O413),ISNUMBER(P413),ISNUMBER(Q413),ABS(O413-P413-Q413)&gt;1),"⚠ Haberes − descuentos no da el líquido","OK"))))))</f>
        <v/>
      </c>
      <c r="V413" s="62" t="str">
        <f aca="false">IF(C413="","",IFERROR(VALUE(LEFT(UPPER(SUBSTITUTE(SUBSTITUTE(SUBSTITUTE(TRIM(C413),".",""),"-","")," ","")),LEN(UPPER(SUBSTITUTE(SUBSTITUTE(SUBSTITUTE(TRIM(C413),".",""),"-","")," ","")))-1))&amp;RIGHT(UPPER(SUBSTITUTE(SUBSTITUTE(SUBSTITUTE(TRIM(C413),".",""),"-","")," ","")),1),UPPER(SUBSTITUTE(SUBSTITUTE(SUBSTITUTE(TRIM(C413),".",""),"-","")," ",""))))</f>
        <v/>
      </c>
    </row>
    <row r="414" customFormat="false" ht="15" hidden="false" customHeight="false" outlineLevel="0" collapsed="false">
      <c r="B414" s="80"/>
      <c r="C414" s="58"/>
      <c r="D414" s="62" t="str">
        <f aca="false">IF(C414="","",IFERROR(INDEX(T_NOMBRE,MATCH(V414,T_RUTN,0)),"⚠ RUT no está en Trabajadores"))</f>
        <v/>
      </c>
      <c r="E414" s="61"/>
      <c r="F414" s="61"/>
      <c r="G414" s="61"/>
      <c r="H414" s="61"/>
      <c r="I414" s="81"/>
      <c r="J414" s="81"/>
      <c r="K414" s="60"/>
      <c r="L414" s="60"/>
      <c r="M414" s="60"/>
      <c r="N414" s="60"/>
      <c r="O414" s="60"/>
      <c r="P414" s="60"/>
      <c r="Q414" s="60"/>
      <c r="R414" s="58"/>
      <c r="S414" s="62" t="str">
        <f aca="false">IF(OR(B414="",V414=""),"",IFERROR(INDEX(C_TIPO,MATCH(V414&amp;"-P"&amp;MAX(1,COUNTIFS(C_RUTN,V414,C_DEF,"Sí",C_INI,"&lt;="&amp;EOMONTH(B414,0))),C_CLAVE,0))&amp;"","Sin contrato"))</f>
        <v/>
      </c>
      <c r="T414" s="63" t="str">
        <f aca="false">IF(OR(B414="",N(O414)=0),"",N(O414)+ROUND(MIN(N(N414),TOPE_UF*UF_MES)*(TASA_EMP+MUTUAL),0)+ROUND(MIN(N(N414),TOPE_AFC_UF*UF_MES)*IF(S414="Indefinido",AFC_INDEF,AFC_PF),0))</f>
        <v/>
      </c>
      <c r="U414" s="62" t="str">
        <f aca="false">IF(C414="","",IF(LEFT(D414,1)="⚠","⚠ RUT no registrado en Trabajadores",IF(B414="","⚠ Falta el mes",IF(OR(ISTEXT(I414),ISTEXT(J414)),"⚠ Atrasos u horas extra como texto: escriba hh:mm (ej. 1:30)",IF(AND(ISNUMBER(Q414),COUNTIFS(M_RUTN,V414,M_MES,B414,M_LIQ,"&lt;&gt;")&gt;1),"⚠ Liquidación repetida en el mes",IF(AND(ISNUMBER(O414),ISNUMBER(P414),ISNUMBER(Q414),ABS(O414-P414-Q414)&gt;1),"⚠ Haberes − descuentos no da el líquido","OK"))))))</f>
        <v/>
      </c>
      <c r="V414" s="62" t="str">
        <f aca="false">IF(C414="","",IFERROR(VALUE(LEFT(UPPER(SUBSTITUTE(SUBSTITUTE(SUBSTITUTE(TRIM(C414),".",""),"-","")," ","")),LEN(UPPER(SUBSTITUTE(SUBSTITUTE(SUBSTITUTE(TRIM(C414),".",""),"-","")," ","")))-1))&amp;RIGHT(UPPER(SUBSTITUTE(SUBSTITUTE(SUBSTITUTE(TRIM(C414),".",""),"-","")," ","")),1),UPPER(SUBSTITUTE(SUBSTITUTE(SUBSTITUTE(TRIM(C414),".",""),"-","")," ",""))))</f>
        <v/>
      </c>
    </row>
    <row r="415" customFormat="false" ht="15" hidden="false" customHeight="false" outlineLevel="0" collapsed="false">
      <c r="B415" s="80"/>
      <c r="C415" s="58"/>
      <c r="D415" s="62" t="str">
        <f aca="false">IF(C415="","",IFERROR(INDEX(T_NOMBRE,MATCH(V415,T_RUTN,0)),"⚠ RUT no está en Trabajadores"))</f>
        <v/>
      </c>
      <c r="E415" s="61"/>
      <c r="F415" s="61"/>
      <c r="G415" s="61"/>
      <c r="H415" s="61"/>
      <c r="I415" s="81"/>
      <c r="J415" s="81"/>
      <c r="K415" s="60"/>
      <c r="L415" s="60"/>
      <c r="M415" s="60"/>
      <c r="N415" s="60"/>
      <c r="O415" s="60"/>
      <c r="P415" s="60"/>
      <c r="Q415" s="60"/>
      <c r="R415" s="58"/>
      <c r="S415" s="62" t="str">
        <f aca="false">IF(OR(B415="",V415=""),"",IFERROR(INDEX(C_TIPO,MATCH(V415&amp;"-P"&amp;MAX(1,COUNTIFS(C_RUTN,V415,C_DEF,"Sí",C_INI,"&lt;="&amp;EOMONTH(B415,0))),C_CLAVE,0))&amp;"","Sin contrato"))</f>
        <v/>
      </c>
      <c r="T415" s="63" t="str">
        <f aca="false">IF(OR(B415="",N(O415)=0),"",N(O415)+ROUND(MIN(N(N415),TOPE_UF*UF_MES)*(TASA_EMP+MUTUAL),0)+ROUND(MIN(N(N415),TOPE_AFC_UF*UF_MES)*IF(S415="Indefinido",AFC_INDEF,AFC_PF),0))</f>
        <v/>
      </c>
      <c r="U415" s="62" t="str">
        <f aca="false">IF(C415="","",IF(LEFT(D415,1)="⚠","⚠ RUT no registrado en Trabajadores",IF(B415="","⚠ Falta el mes",IF(OR(ISTEXT(I415),ISTEXT(J415)),"⚠ Atrasos u horas extra como texto: escriba hh:mm (ej. 1:30)",IF(AND(ISNUMBER(Q415),COUNTIFS(M_RUTN,V415,M_MES,B415,M_LIQ,"&lt;&gt;")&gt;1),"⚠ Liquidación repetida en el mes",IF(AND(ISNUMBER(O415),ISNUMBER(P415),ISNUMBER(Q415),ABS(O415-P415-Q415)&gt;1),"⚠ Haberes − descuentos no da el líquido","OK"))))))</f>
        <v/>
      </c>
      <c r="V415" s="62" t="str">
        <f aca="false">IF(C415="","",IFERROR(VALUE(LEFT(UPPER(SUBSTITUTE(SUBSTITUTE(SUBSTITUTE(TRIM(C415),".",""),"-","")," ","")),LEN(UPPER(SUBSTITUTE(SUBSTITUTE(SUBSTITUTE(TRIM(C415),".",""),"-","")," ","")))-1))&amp;RIGHT(UPPER(SUBSTITUTE(SUBSTITUTE(SUBSTITUTE(TRIM(C415),".",""),"-","")," ","")),1),UPPER(SUBSTITUTE(SUBSTITUTE(SUBSTITUTE(TRIM(C415),".",""),"-","")," ",""))))</f>
        <v/>
      </c>
    </row>
    <row r="416" customFormat="false" ht="15" hidden="false" customHeight="false" outlineLevel="0" collapsed="false">
      <c r="B416" s="80"/>
      <c r="C416" s="58"/>
      <c r="D416" s="62" t="str">
        <f aca="false">IF(C416="","",IFERROR(INDEX(T_NOMBRE,MATCH(V416,T_RUTN,0)),"⚠ RUT no está en Trabajadores"))</f>
        <v/>
      </c>
      <c r="E416" s="61"/>
      <c r="F416" s="61"/>
      <c r="G416" s="61"/>
      <c r="H416" s="61"/>
      <c r="I416" s="81"/>
      <c r="J416" s="81"/>
      <c r="K416" s="60"/>
      <c r="L416" s="60"/>
      <c r="M416" s="60"/>
      <c r="N416" s="60"/>
      <c r="O416" s="60"/>
      <c r="P416" s="60"/>
      <c r="Q416" s="60"/>
      <c r="R416" s="58"/>
      <c r="S416" s="62" t="str">
        <f aca="false">IF(OR(B416="",V416=""),"",IFERROR(INDEX(C_TIPO,MATCH(V416&amp;"-P"&amp;MAX(1,COUNTIFS(C_RUTN,V416,C_DEF,"Sí",C_INI,"&lt;="&amp;EOMONTH(B416,0))),C_CLAVE,0))&amp;"","Sin contrato"))</f>
        <v/>
      </c>
      <c r="T416" s="63" t="str">
        <f aca="false">IF(OR(B416="",N(O416)=0),"",N(O416)+ROUND(MIN(N(N416),TOPE_UF*UF_MES)*(TASA_EMP+MUTUAL),0)+ROUND(MIN(N(N416),TOPE_AFC_UF*UF_MES)*IF(S416="Indefinido",AFC_INDEF,AFC_PF),0))</f>
        <v/>
      </c>
      <c r="U416" s="62" t="str">
        <f aca="false">IF(C416="","",IF(LEFT(D416,1)="⚠","⚠ RUT no registrado en Trabajadores",IF(B416="","⚠ Falta el mes",IF(OR(ISTEXT(I416),ISTEXT(J416)),"⚠ Atrasos u horas extra como texto: escriba hh:mm (ej. 1:30)",IF(AND(ISNUMBER(Q416),COUNTIFS(M_RUTN,V416,M_MES,B416,M_LIQ,"&lt;&gt;")&gt;1),"⚠ Liquidación repetida en el mes",IF(AND(ISNUMBER(O416),ISNUMBER(P416),ISNUMBER(Q416),ABS(O416-P416-Q416)&gt;1),"⚠ Haberes − descuentos no da el líquido","OK"))))))</f>
        <v/>
      </c>
      <c r="V416" s="62" t="str">
        <f aca="false">IF(C416="","",IFERROR(VALUE(LEFT(UPPER(SUBSTITUTE(SUBSTITUTE(SUBSTITUTE(TRIM(C416),".",""),"-","")," ","")),LEN(UPPER(SUBSTITUTE(SUBSTITUTE(SUBSTITUTE(TRIM(C416),".",""),"-","")," ","")))-1))&amp;RIGHT(UPPER(SUBSTITUTE(SUBSTITUTE(SUBSTITUTE(TRIM(C416),".",""),"-","")," ","")),1),UPPER(SUBSTITUTE(SUBSTITUTE(SUBSTITUTE(TRIM(C416),".",""),"-","")," ",""))))</f>
        <v/>
      </c>
    </row>
    <row r="417" customFormat="false" ht="15" hidden="false" customHeight="false" outlineLevel="0" collapsed="false">
      <c r="B417" s="80"/>
      <c r="C417" s="58"/>
      <c r="D417" s="62" t="str">
        <f aca="false">IF(C417="","",IFERROR(INDEX(T_NOMBRE,MATCH(V417,T_RUTN,0)),"⚠ RUT no está en Trabajadores"))</f>
        <v/>
      </c>
      <c r="E417" s="61"/>
      <c r="F417" s="61"/>
      <c r="G417" s="61"/>
      <c r="H417" s="61"/>
      <c r="I417" s="81"/>
      <c r="J417" s="81"/>
      <c r="K417" s="60"/>
      <c r="L417" s="60"/>
      <c r="M417" s="60"/>
      <c r="N417" s="60"/>
      <c r="O417" s="60"/>
      <c r="P417" s="60"/>
      <c r="Q417" s="60"/>
      <c r="R417" s="58"/>
      <c r="S417" s="62" t="str">
        <f aca="false">IF(OR(B417="",V417=""),"",IFERROR(INDEX(C_TIPO,MATCH(V417&amp;"-P"&amp;MAX(1,COUNTIFS(C_RUTN,V417,C_DEF,"Sí",C_INI,"&lt;="&amp;EOMONTH(B417,0))),C_CLAVE,0))&amp;"","Sin contrato"))</f>
        <v/>
      </c>
      <c r="T417" s="63" t="str">
        <f aca="false">IF(OR(B417="",N(O417)=0),"",N(O417)+ROUND(MIN(N(N417),TOPE_UF*UF_MES)*(TASA_EMP+MUTUAL),0)+ROUND(MIN(N(N417),TOPE_AFC_UF*UF_MES)*IF(S417="Indefinido",AFC_INDEF,AFC_PF),0))</f>
        <v/>
      </c>
      <c r="U417" s="62" t="str">
        <f aca="false">IF(C417="","",IF(LEFT(D417,1)="⚠","⚠ RUT no registrado en Trabajadores",IF(B417="","⚠ Falta el mes",IF(OR(ISTEXT(I417),ISTEXT(J417)),"⚠ Atrasos u horas extra como texto: escriba hh:mm (ej. 1:30)",IF(AND(ISNUMBER(Q417),COUNTIFS(M_RUTN,V417,M_MES,B417,M_LIQ,"&lt;&gt;")&gt;1),"⚠ Liquidación repetida en el mes",IF(AND(ISNUMBER(O417),ISNUMBER(P417),ISNUMBER(Q417),ABS(O417-P417-Q417)&gt;1),"⚠ Haberes − descuentos no da el líquido","OK"))))))</f>
        <v/>
      </c>
      <c r="V417" s="62" t="str">
        <f aca="false">IF(C417="","",IFERROR(VALUE(LEFT(UPPER(SUBSTITUTE(SUBSTITUTE(SUBSTITUTE(TRIM(C417),".",""),"-","")," ","")),LEN(UPPER(SUBSTITUTE(SUBSTITUTE(SUBSTITUTE(TRIM(C417),".",""),"-","")," ","")))-1))&amp;RIGHT(UPPER(SUBSTITUTE(SUBSTITUTE(SUBSTITUTE(TRIM(C417),".",""),"-","")," ","")),1),UPPER(SUBSTITUTE(SUBSTITUTE(SUBSTITUTE(TRIM(C417),".",""),"-","")," ",""))))</f>
        <v/>
      </c>
    </row>
    <row r="418" customFormat="false" ht="15" hidden="false" customHeight="false" outlineLevel="0" collapsed="false">
      <c r="B418" s="80"/>
      <c r="C418" s="58"/>
      <c r="D418" s="62" t="str">
        <f aca="false">IF(C418="","",IFERROR(INDEX(T_NOMBRE,MATCH(V418,T_RUTN,0)),"⚠ RUT no está en Trabajadores"))</f>
        <v/>
      </c>
      <c r="E418" s="61"/>
      <c r="F418" s="61"/>
      <c r="G418" s="61"/>
      <c r="H418" s="61"/>
      <c r="I418" s="81"/>
      <c r="J418" s="81"/>
      <c r="K418" s="60"/>
      <c r="L418" s="60"/>
      <c r="M418" s="60"/>
      <c r="N418" s="60"/>
      <c r="O418" s="60"/>
      <c r="P418" s="60"/>
      <c r="Q418" s="60"/>
      <c r="R418" s="58"/>
      <c r="S418" s="62" t="str">
        <f aca="false">IF(OR(B418="",V418=""),"",IFERROR(INDEX(C_TIPO,MATCH(V418&amp;"-P"&amp;MAX(1,COUNTIFS(C_RUTN,V418,C_DEF,"Sí",C_INI,"&lt;="&amp;EOMONTH(B418,0))),C_CLAVE,0))&amp;"","Sin contrato"))</f>
        <v/>
      </c>
      <c r="T418" s="63" t="str">
        <f aca="false">IF(OR(B418="",N(O418)=0),"",N(O418)+ROUND(MIN(N(N418),TOPE_UF*UF_MES)*(TASA_EMP+MUTUAL),0)+ROUND(MIN(N(N418),TOPE_AFC_UF*UF_MES)*IF(S418="Indefinido",AFC_INDEF,AFC_PF),0))</f>
        <v/>
      </c>
      <c r="U418" s="62" t="str">
        <f aca="false">IF(C418="","",IF(LEFT(D418,1)="⚠","⚠ RUT no registrado en Trabajadores",IF(B418="","⚠ Falta el mes",IF(OR(ISTEXT(I418),ISTEXT(J418)),"⚠ Atrasos u horas extra como texto: escriba hh:mm (ej. 1:30)",IF(AND(ISNUMBER(Q418),COUNTIFS(M_RUTN,V418,M_MES,B418,M_LIQ,"&lt;&gt;")&gt;1),"⚠ Liquidación repetida en el mes",IF(AND(ISNUMBER(O418),ISNUMBER(P418),ISNUMBER(Q418),ABS(O418-P418-Q418)&gt;1),"⚠ Haberes − descuentos no da el líquido","OK"))))))</f>
        <v/>
      </c>
      <c r="V418" s="62" t="str">
        <f aca="false">IF(C418="","",IFERROR(VALUE(LEFT(UPPER(SUBSTITUTE(SUBSTITUTE(SUBSTITUTE(TRIM(C418),".",""),"-","")," ","")),LEN(UPPER(SUBSTITUTE(SUBSTITUTE(SUBSTITUTE(TRIM(C418),".",""),"-","")," ","")))-1))&amp;RIGHT(UPPER(SUBSTITUTE(SUBSTITUTE(SUBSTITUTE(TRIM(C418),".",""),"-","")," ","")),1),UPPER(SUBSTITUTE(SUBSTITUTE(SUBSTITUTE(TRIM(C418),".",""),"-","")," ",""))))</f>
        <v/>
      </c>
    </row>
    <row r="419" customFormat="false" ht="15" hidden="false" customHeight="false" outlineLevel="0" collapsed="false">
      <c r="B419" s="80"/>
      <c r="C419" s="58"/>
      <c r="D419" s="62" t="str">
        <f aca="false">IF(C419="","",IFERROR(INDEX(T_NOMBRE,MATCH(V419,T_RUTN,0)),"⚠ RUT no está en Trabajadores"))</f>
        <v/>
      </c>
      <c r="E419" s="61"/>
      <c r="F419" s="61"/>
      <c r="G419" s="61"/>
      <c r="H419" s="61"/>
      <c r="I419" s="81"/>
      <c r="J419" s="81"/>
      <c r="K419" s="60"/>
      <c r="L419" s="60"/>
      <c r="M419" s="60"/>
      <c r="N419" s="60"/>
      <c r="O419" s="60"/>
      <c r="P419" s="60"/>
      <c r="Q419" s="60"/>
      <c r="R419" s="58"/>
      <c r="S419" s="62" t="str">
        <f aca="false">IF(OR(B419="",V419=""),"",IFERROR(INDEX(C_TIPO,MATCH(V419&amp;"-P"&amp;MAX(1,COUNTIFS(C_RUTN,V419,C_DEF,"Sí",C_INI,"&lt;="&amp;EOMONTH(B419,0))),C_CLAVE,0))&amp;"","Sin contrato"))</f>
        <v/>
      </c>
      <c r="T419" s="63" t="str">
        <f aca="false">IF(OR(B419="",N(O419)=0),"",N(O419)+ROUND(MIN(N(N419),TOPE_UF*UF_MES)*(TASA_EMP+MUTUAL),0)+ROUND(MIN(N(N419),TOPE_AFC_UF*UF_MES)*IF(S419="Indefinido",AFC_INDEF,AFC_PF),0))</f>
        <v/>
      </c>
      <c r="U419" s="62" t="str">
        <f aca="false">IF(C419="","",IF(LEFT(D419,1)="⚠","⚠ RUT no registrado en Trabajadores",IF(B419="","⚠ Falta el mes",IF(OR(ISTEXT(I419),ISTEXT(J419)),"⚠ Atrasos u horas extra como texto: escriba hh:mm (ej. 1:30)",IF(AND(ISNUMBER(Q419),COUNTIFS(M_RUTN,V419,M_MES,B419,M_LIQ,"&lt;&gt;")&gt;1),"⚠ Liquidación repetida en el mes",IF(AND(ISNUMBER(O419),ISNUMBER(P419),ISNUMBER(Q419),ABS(O419-P419-Q419)&gt;1),"⚠ Haberes − descuentos no da el líquido","OK"))))))</f>
        <v/>
      </c>
      <c r="V419" s="62" t="str">
        <f aca="false">IF(C419="","",IFERROR(VALUE(LEFT(UPPER(SUBSTITUTE(SUBSTITUTE(SUBSTITUTE(TRIM(C419),".",""),"-","")," ","")),LEN(UPPER(SUBSTITUTE(SUBSTITUTE(SUBSTITUTE(TRIM(C419),".",""),"-","")," ","")))-1))&amp;RIGHT(UPPER(SUBSTITUTE(SUBSTITUTE(SUBSTITUTE(TRIM(C419),".",""),"-","")," ","")),1),UPPER(SUBSTITUTE(SUBSTITUTE(SUBSTITUTE(TRIM(C419),".",""),"-","")," ",""))))</f>
        <v/>
      </c>
    </row>
    <row r="420" customFormat="false" ht="15" hidden="false" customHeight="false" outlineLevel="0" collapsed="false">
      <c r="B420" s="80"/>
      <c r="C420" s="58"/>
      <c r="D420" s="62" t="str">
        <f aca="false">IF(C420="","",IFERROR(INDEX(T_NOMBRE,MATCH(V420,T_RUTN,0)),"⚠ RUT no está en Trabajadores"))</f>
        <v/>
      </c>
      <c r="E420" s="61"/>
      <c r="F420" s="61"/>
      <c r="G420" s="61"/>
      <c r="H420" s="61"/>
      <c r="I420" s="81"/>
      <c r="J420" s="81"/>
      <c r="K420" s="60"/>
      <c r="L420" s="60"/>
      <c r="M420" s="60"/>
      <c r="N420" s="60"/>
      <c r="O420" s="60"/>
      <c r="P420" s="60"/>
      <c r="Q420" s="60"/>
      <c r="R420" s="58"/>
      <c r="S420" s="62" t="str">
        <f aca="false">IF(OR(B420="",V420=""),"",IFERROR(INDEX(C_TIPO,MATCH(V420&amp;"-P"&amp;MAX(1,COUNTIFS(C_RUTN,V420,C_DEF,"Sí",C_INI,"&lt;="&amp;EOMONTH(B420,0))),C_CLAVE,0))&amp;"","Sin contrato"))</f>
        <v/>
      </c>
      <c r="T420" s="63" t="str">
        <f aca="false">IF(OR(B420="",N(O420)=0),"",N(O420)+ROUND(MIN(N(N420),TOPE_UF*UF_MES)*(TASA_EMP+MUTUAL),0)+ROUND(MIN(N(N420),TOPE_AFC_UF*UF_MES)*IF(S420="Indefinido",AFC_INDEF,AFC_PF),0))</f>
        <v/>
      </c>
      <c r="U420" s="62" t="str">
        <f aca="false">IF(C420="","",IF(LEFT(D420,1)="⚠","⚠ RUT no registrado en Trabajadores",IF(B420="","⚠ Falta el mes",IF(OR(ISTEXT(I420),ISTEXT(J420)),"⚠ Atrasos u horas extra como texto: escriba hh:mm (ej. 1:30)",IF(AND(ISNUMBER(Q420),COUNTIFS(M_RUTN,V420,M_MES,B420,M_LIQ,"&lt;&gt;")&gt;1),"⚠ Liquidación repetida en el mes",IF(AND(ISNUMBER(O420),ISNUMBER(P420),ISNUMBER(Q420),ABS(O420-P420-Q420)&gt;1),"⚠ Haberes − descuentos no da el líquido","OK"))))))</f>
        <v/>
      </c>
      <c r="V420" s="62" t="str">
        <f aca="false">IF(C420="","",IFERROR(VALUE(LEFT(UPPER(SUBSTITUTE(SUBSTITUTE(SUBSTITUTE(TRIM(C420),".",""),"-","")," ","")),LEN(UPPER(SUBSTITUTE(SUBSTITUTE(SUBSTITUTE(TRIM(C420),".",""),"-","")," ","")))-1))&amp;RIGHT(UPPER(SUBSTITUTE(SUBSTITUTE(SUBSTITUTE(TRIM(C420),".",""),"-","")," ","")),1),UPPER(SUBSTITUTE(SUBSTITUTE(SUBSTITUTE(TRIM(C420),".",""),"-","")," ",""))))</f>
        <v/>
      </c>
    </row>
    <row r="421" customFormat="false" ht="15" hidden="false" customHeight="false" outlineLevel="0" collapsed="false">
      <c r="B421" s="80"/>
      <c r="C421" s="58"/>
      <c r="D421" s="62" t="str">
        <f aca="false">IF(C421="","",IFERROR(INDEX(T_NOMBRE,MATCH(V421,T_RUTN,0)),"⚠ RUT no está en Trabajadores"))</f>
        <v/>
      </c>
      <c r="E421" s="61"/>
      <c r="F421" s="61"/>
      <c r="G421" s="61"/>
      <c r="H421" s="61"/>
      <c r="I421" s="81"/>
      <c r="J421" s="81"/>
      <c r="K421" s="60"/>
      <c r="L421" s="60"/>
      <c r="M421" s="60"/>
      <c r="N421" s="60"/>
      <c r="O421" s="60"/>
      <c r="P421" s="60"/>
      <c r="Q421" s="60"/>
      <c r="R421" s="58"/>
      <c r="S421" s="62" t="str">
        <f aca="false">IF(OR(B421="",V421=""),"",IFERROR(INDEX(C_TIPO,MATCH(V421&amp;"-P"&amp;MAX(1,COUNTIFS(C_RUTN,V421,C_DEF,"Sí",C_INI,"&lt;="&amp;EOMONTH(B421,0))),C_CLAVE,0))&amp;"","Sin contrato"))</f>
        <v/>
      </c>
      <c r="T421" s="63" t="str">
        <f aca="false">IF(OR(B421="",N(O421)=0),"",N(O421)+ROUND(MIN(N(N421),TOPE_UF*UF_MES)*(TASA_EMP+MUTUAL),0)+ROUND(MIN(N(N421),TOPE_AFC_UF*UF_MES)*IF(S421="Indefinido",AFC_INDEF,AFC_PF),0))</f>
        <v/>
      </c>
      <c r="U421" s="62" t="str">
        <f aca="false">IF(C421="","",IF(LEFT(D421,1)="⚠","⚠ RUT no registrado en Trabajadores",IF(B421="","⚠ Falta el mes",IF(OR(ISTEXT(I421),ISTEXT(J421)),"⚠ Atrasos u horas extra como texto: escriba hh:mm (ej. 1:30)",IF(AND(ISNUMBER(Q421),COUNTIFS(M_RUTN,V421,M_MES,B421,M_LIQ,"&lt;&gt;")&gt;1),"⚠ Liquidación repetida en el mes",IF(AND(ISNUMBER(O421),ISNUMBER(P421),ISNUMBER(Q421),ABS(O421-P421-Q421)&gt;1),"⚠ Haberes − descuentos no da el líquido","OK"))))))</f>
        <v/>
      </c>
      <c r="V421" s="62" t="str">
        <f aca="false">IF(C421="","",IFERROR(VALUE(LEFT(UPPER(SUBSTITUTE(SUBSTITUTE(SUBSTITUTE(TRIM(C421),".",""),"-","")," ","")),LEN(UPPER(SUBSTITUTE(SUBSTITUTE(SUBSTITUTE(TRIM(C421),".",""),"-","")," ","")))-1))&amp;RIGHT(UPPER(SUBSTITUTE(SUBSTITUTE(SUBSTITUTE(TRIM(C421),".",""),"-","")," ","")),1),UPPER(SUBSTITUTE(SUBSTITUTE(SUBSTITUTE(TRIM(C421),".",""),"-","")," ",""))))</f>
        <v/>
      </c>
    </row>
    <row r="422" customFormat="false" ht="15" hidden="false" customHeight="false" outlineLevel="0" collapsed="false">
      <c r="B422" s="80"/>
      <c r="C422" s="58"/>
      <c r="D422" s="62" t="str">
        <f aca="false">IF(C422="","",IFERROR(INDEX(T_NOMBRE,MATCH(V422,T_RUTN,0)),"⚠ RUT no está en Trabajadores"))</f>
        <v/>
      </c>
      <c r="E422" s="61"/>
      <c r="F422" s="61"/>
      <c r="G422" s="61"/>
      <c r="H422" s="61"/>
      <c r="I422" s="81"/>
      <c r="J422" s="81"/>
      <c r="K422" s="60"/>
      <c r="L422" s="60"/>
      <c r="M422" s="60"/>
      <c r="N422" s="60"/>
      <c r="O422" s="60"/>
      <c r="P422" s="60"/>
      <c r="Q422" s="60"/>
      <c r="R422" s="58"/>
      <c r="S422" s="62" t="str">
        <f aca="false">IF(OR(B422="",V422=""),"",IFERROR(INDEX(C_TIPO,MATCH(V422&amp;"-P"&amp;MAX(1,COUNTIFS(C_RUTN,V422,C_DEF,"Sí",C_INI,"&lt;="&amp;EOMONTH(B422,0))),C_CLAVE,0))&amp;"","Sin contrato"))</f>
        <v/>
      </c>
      <c r="T422" s="63" t="str">
        <f aca="false">IF(OR(B422="",N(O422)=0),"",N(O422)+ROUND(MIN(N(N422),TOPE_UF*UF_MES)*(TASA_EMP+MUTUAL),0)+ROUND(MIN(N(N422),TOPE_AFC_UF*UF_MES)*IF(S422="Indefinido",AFC_INDEF,AFC_PF),0))</f>
        <v/>
      </c>
      <c r="U422" s="62" t="str">
        <f aca="false">IF(C422="","",IF(LEFT(D422,1)="⚠","⚠ RUT no registrado en Trabajadores",IF(B422="","⚠ Falta el mes",IF(OR(ISTEXT(I422),ISTEXT(J422)),"⚠ Atrasos u horas extra como texto: escriba hh:mm (ej. 1:30)",IF(AND(ISNUMBER(Q422),COUNTIFS(M_RUTN,V422,M_MES,B422,M_LIQ,"&lt;&gt;")&gt;1),"⚠ Liquidación repetida en el mes",IF(AND(ISNUMBER(O422),ISNUMBER(P422),ISNUMBER(Q422),ABS(O422-P422-Q422)&gt;1),"⚠ Haberes − descuentos no da el líquido","OK"))))))</f>
        <v/>
      </c>
      <c r="V422" s="62" t="str">
        <f aca="false">IF(C422="","",IFERROR(VALUE(LEFT(UPPER(SUBSTITUTE(SUBSTITUTE(SUBSTITUTE(TRIM(C422),".",""),"-","")," ","")),LEN(UPPER(SUBSTITUTE(SUBSTITUTE(SUBSTITUTE(TRIM(C422),".",""),"-","")," ","")))-1))&amp;RIGHT(UPPER(SUBSTITUTE(SUBSTITUTE(SUBSTITUTE(TRIM(C422),".",""),"-","")," ","")),1),UPPER(SUBSTITUTE(SUBSTITUTE(SUBSTITUTE(TRIM(C422),".",""),"-","")," ",""))))</f>
        <v/>
      </c>
    </row>
    <row r="423" customFormat="false" ht="15" hidden="false" customHeight="false" outlineLevel="0" collapsed="false">
      <c r="B423" s="80"/>
      <c r="C423" s="58"/>
      <c r="D423" s="62" t="str">
        <f aca="false">IF(C423="","",IFERROR(INDEX(T_NOMBRE,MATCH(V423,T_RUTN,0)),"⚠ RUT no está en Trabajadores"))</f>
        <v/>
      </c>
      <c r="E423" s="61"/>
      <c r="F423" s="61"/>
      <c r="G423" s="61"/>
      <c r="H423" s="61"/>
      <c r="I423" s="81"/>
      <c r="J423" s="81"/>
      <c r="K423" s="60"/>
      <c r="L423" s="60"/>
      <c r="M423" s="60"/>
      <c r="N423" s="60"/>
      <c r="O423" s="60"/>
      <c r="P423" s="60"/>
      <c r="Q423" s="60"/>
      <c r="R423" s="58"/>
      <c r="S423" s="62" t="str">
        <f aca="false">IF(OR(B423="",V423=""),"",IFERROR(INDEX(C_TIPO,MATCH(V423&amp;"-P"&amp;MAX(1,COUNTIFS(C_RUTN,V423,C_DEF,"Sí",C_INI,"&lt;="&amp;EOMONTH(B423,0))),C_CLAVE,0))&amp;"","Sin contrato"))</f>
        <v/>
      </c>
      <c r="T423" s="63" t="str">
        <f aca="false">IF(OR(B423="",N(O423)=0),"",N(O423)+ROUND(MIN(N(N423),TOPE_UF*UF_MES)*(TASA_EMP+MUTUAL),0)+ROUND(MIN(N(N423),TOPE_AFC_UF*UF_MES)*IF(S423="Indefinido",AFC_INDEF,AFC_PF),0))</f>
        <v/>
      </c>
      <c r="U423" s="62" t="str">
        <f aca="false">IF(C423="","",IF(LEFT(D423,1)="⚠","⚠ RUT no registrado en Trabajadores",IF(B423="","⚠ Falta el mes",IF(OR(ISTEXT(I423),ISTEXT(J423)),"⚠ Atrasos u horas extra como texto: escriba hh:mm (ej. 1:30)",IF(AND(ISNUMBER(Q423),COUNTIFS(M_RUTN,V423,M_MES,B423,M_LIQ,"&lt;&gt;")&gt;1),"⚠ Liquidación repetida en el mes",IF(AND(ISNUMBER(O423),ISNUMBER(P423),ISNUMBER(Q423),ABS(O423-P423-Q423)&gt;1),"⚠ Haberes − descuentos no da el líquido","OK"))))))</f>
        <v/>
      </c>
      <c r="V423" s="62" t="str">
        <f aca="false">IF(C423="","",IFERROR(VALUE(LEFT(UPPER(SUBSTITUTE(SUBSTITUTE(SUBSTITUTE(TRIM(C423),".",""),"-","")," ","")),LEN(UPPER(SUBSTITUTE(SUBSTITUTE(SUBSTITUTE(TRIM(C423),".",""),"-","")," ","")))-1))&amp;RIGHT(UPPER(SUBSTITUTE(SUBSTITUTE(SUBSTITUTE(TRIM(C423),".",""),"-","")," ","")),1),UPPER(SUBSTITUTE(SUBSTITUTE(SUBSTITUTE(TRIM(C423),".",""),"-","")," ",""))))</f>
        <v/>
      </c>
    </row>
    <row r="424" customFormat="false" ht="15" hidden="false" customHeight="false" outlineLevel="0" collapsed="false">
      <c r="B424" s="80"/>
      <c r="C424" s="58"/>
      <c r="D424" s="62" t="str">
        <f aca="false">IF(C424="","",IFERROR(INDEX(T_NOMBRE,MATCH(V424,T_RUTN,0)),"⚠ RUT no está en Trabajadores"))</f>
        <v/>
      </c>
      <c r="E424" s="61"/>
      <c r="F424" s="61"/>
      <c r="G424" s="61"/>
      <c r="H424" s="61"/>
      <c r="I424" s="81"/>
      <c r="J424" s="81"/>
      <c r="K424" s="60"/>
      <c r="L424" s="60"/>
      <c r="M424" s="60"/>
      <c r="N424" s="60"/>
      <c r="O424" s="60"/>
      <c r="P424" s="60"/>
      <c r="Q424" s="60"/>
      <c r="R424" s="58"/>
      <c r="S424" s="62" t="str">
        <f aca="false">IF(OR(B424="",V424=""),"",IFERROR(INDEX(C_TIPO,MATCH(V424&amp;"-P"&amp;MAX(1,COUNTIFS(C_RUTN,V424,C_DEF,"Sí",C_INI,"&lt;="&amp;EOMONTH(B424,0))),C_CLAVE,0))&amp;"","Sin contrato"))</f>
        <v/>
      </c>
      <c r="T424" s="63" t="str">
        <f aca="false">IF(OR(B424="",N(O424)=0),"",N(O424)+ROUND(MIN(N(N424),TOPE_UF*UF_MES)*(TASA_EMP+MUTUAL),0)+ROUND(MIN(N(N424),TOPE_AFC_UF*UF_MES)*IF(S424="Indefinido",AFC_INDEF,AFC_PF),0))</f>
        <v/>
      </c>
      <c r="U424" s="62" t="str">
        <f aca="false">IF(C424="","",IF(LEFT(D424,1)="⚠","⚠ RUT no registrado en Trabajadores",IF(B424="","⚠ Falta el mes",IF(OR(ISTEXT(I424),ISTEXT(J424)),"⚠ Atrasos u horas extra como texto: escriba hh:mm (ej. 1:30)",IF(AND(ISNUMBER(Q424),COUNTIFS(M_RUTN,V424,M_MES,B424,M_LIQ,"&lt;&gt;")&gt;1),"⚠ Liquidación repetida en el mes",IF(AND(ISNUMBER(O424),ISNUMBER(P424),ISNUMBER(Q424),ABS(O424-P424-Q424)&gt;1),"⚠ Haberes − descuentos no da el líquido","OK"))))))</f>
        <v/>
      </c>
      <c r="V424" s="62" t="str">
        <f aca="false">IF(C424="","",IFERROR(VALUE(LEFT(UPPER(SUBSTITUTE(SUBSTITUTE(SUBSTITUTE(TRIM(C424),".",""),"-","")," ","")),LEN(UPPER(SUBSTITUTE(SUBSTITUTE(SUBSTITUTE(TRIM(C424),".",""),"-","")," ","")))-1))&amp;RIGHT(UPPER(SUBSTITUTE(SUBSTITUTE(SUBSTITUTE(TRIM(C424),".",""),"-","")," ","")),1),UPPER(SUBSTITUTE(SUBSTITUTE(SUBSTITUTE(TRIM(C424),".",""),"-","")," ",""))))</f>
        <v/>
      </c>
    </row>
    <row r="425" customFormat="false" ht="15" hidden="false" customHeight="false" outlineLevel="0" collapsed="false">
      <c r="B425" s="80"/>
      <c r="C425" s="58"/>
      <c r="D425" s="62" t="str">
        <f aca="false">IF(C425="","",IFERROR(INDEX(T_NOMBRE,MATCH(V425,T_RUTN,0)),"⚠ RUT no está en Trabajadores"))</f>
        <v/>
      </c>
      <c r="E425" s="61"/>
      <c r="F425" s="61"/>
      <c r="G425" s="61"/>
      <c r="H425" s="61"/>
      <c r="I425" s="81"/>
      <c r="J425" s="81"/>
      <c r="K425" s="60"/>
      <c r="L425" s="60"/>
      <c r="M425" s="60"/>
      <c r="N425" s="60"/>
      <c r="O425" s="60"/>
      <c r="P425" s="60"/>
      <c r="Q425" s="60"/>
      <c r="R425" s="58"/>
      <c r="S425" s="62" t="str">
        <f aca="false">IF(OR(B425="",V425=""),"",IFERROR(INDEX(C_TIPO,MATCH(V425&amp;"-P"&amp;MAX(1,COUNTIFS(C_RUTN,V425,C_DEF,"Sí",C_INI,"&lt;="&amp;EOMONTH(B425,0))),C_CLAVE,0))&amp;"","Sin contrato"))</f>
        <v/>
      </c>
      <c r="T425" s="63" t="str">
        <f aca="false">IF(OR(B425="",N(O425)=0),"",N(O425)+ROUND(MIN(N(N425),TOPE_UF*UF_MES)*(TASA_EMP+MUTUAL),0)+ROUND(MIN(N(N425),TOPE_AFC_UF*UF_MES)*IF(S425="Indefinido",AFC_INDEF,AFC_PF),0))</f>
        <v/>
      </c>
      <c r="U425" s="62" t="str">
        <f aca="false">IF(C425="","",IF(LEFT(D425,1)="⚠","⚠ RUT no registrado en Trabajadores",IF(B425="","⚠ Falta el mes",IF(OR(ISTEXT(I425),ISTEXT(J425)),"⚠ Atrasos u horas extra como texto: escriba hh:mm (ej. 1:30)",IF(AND(ISNUMBER(Q425),COUNTIFS(M_RUTN,V425,M_MES,B425,M_LIQ,"&lt;&gt;")&gt;1),"⚠ Liquidación repetida en el mes",IF(AND(ISNUMBER(O425),ISNUMBER(P425),ISNUMBER(Q425),ABS(O425-P425-Q425)&gt;1),"⚠ Haberes − descuentos no da el líquido","OK"))))))</f>
        <v/>
      </c>
      <c r="V425" s="62" t="str">
        <f aca="false">IF(C425="","",IFERROR(VALUE(LEFT(UPPER(SUBSTITUTE(SUBSTITUTE(SUBSTITUTE(TRIM(C425),".",""),"-","")," ","")),LEN(UPPER(SUBSTITUTE(SUBSTITUTE(SUBSTITUTE(TRIM(C425),".",""),"-","")," ","")))-1))&amp;RIGHT(UPPER(SUBSTITUTE(SUBSTITUTE(SUBSTITUTE(TRIM(C425),".",""),"-","")," ","")),1),UPPER(SUBSTITUTE(SUBSTITUTE(SUBSTITUTE(TRIM(C425),".",""),"-","")," ",""))))</f>
        <v/>
      </c>
    </row>
    <row r="426" customFormat="false" ht="15" hidden="false" customHeight="false" outlineLevel="0" collapsed="false">
      <c r="B426" s="80"/>
      <c r="C426" s="58"/>
      <c r="D426" s="62" t="str">
        <f aca="false">IF(C426="","",IFERROR(INDEX(T_NOMBRE,MATCH(V426,T_RUTN,0)),"⚠ RUT no está en Trabajadores"))</f>
        <v/>
      </c>
      <c r="E426" s="61"/>
      <c r="F426" s="61"/>
      <c r="G426" s="61"/>
      <c r="H426" s="61"/>
      <c r="I426" s="81"/>
      <c r="J426" s="81"/>
      <c r="K426" s="60"/>
      <c r="L426" s="60"/>
      <c r="M426" s="60"/>
      <c r="N426" s="60"/>
      <c r="O426" s="60"/>
      <c r="P426" s="60"/>
      <c r="Q426" s="60"/>
      <c r="R426" s="58"/>
      <c r="S426" s="62" t="str">
        <f aca="false">IF(OR(B426="",V426=""),"",IFERROR(INDEX(C_TIPO,MATCH(V426&amp;"-P"&amp;MAX(1,COUNTIFS(C_RUTN,V426,C_DEF,"Sí",C_INI,"&lt;="&amp;EOMONTH(B426,0))),C_CLAVE,0))&amp;"","Sin contrato"))</f>
        <v/>
      </c>
      <c r="T426" s="63" t="str">
        <f aca="false">IF(OR(B426="",N(O426)=0),"",N(O426)+ROUND(MIN(N(N426),TOPE_UF*UF_MES)*(TASA_EMP+MUTUAL),0)+ROUND(MIN(N(N426),TOPE_AFC_UF*UF_MES)*IF(S426="Indefinido",AFC_INDEF,AFC_PF),0))</f>
        <v/>
      </c>
      <c r="U426" s="62" t="str">
        <f aca="false">IF(C426="","",IF(LEFT(D426,1)="⚠","⚠ RUT no registrado en Trabajadores",IF(B426="","⚠ Falta el mes",IF(OR(ISTEXT(I426),ISTEXT(J426)),"⚠ Atrasos u horas extra como texto: escriba hh:mm (ej. 1:30)",IF(AND(ISNUMBER(Q426),COUNTIFS(M_RUTN,V426,M_MES,B426,M_LIQ,"&lt;&gt;")&gt;1),"⚠ Liquidación repetida en el mes",IF(AND(ISNUMBER(O426),ISNUMBER(P426),ISNUMBER(Q426),ABS(O426-P426-Q426)&gt;1),"⚠ Haberes − descuentos no da el líquido","OK"))))))</f>
        <v/>
      </c>
      <c r="V426" s="62" t="str">
        <f aca="false">IF(C426="","",IFERROR(VALUE(LEFT(UPPER(SUBSTITUTE(SUBSTITUTE(SUBSTITUTE(TRIM(C426),".",""),"-","")," ","")),LEN(UPPER(SUBSTITUTE(SUBSTITUTE(SUBSTITUTE(TRIM(C426),".",""),"-","")," ","")))-1))&amp;RIGHT(UPPER(SUBSTITUTE(SUBSTITUTE(SUBSTITUTE(TRIM(C426),".",""),"-","")," ","")),1),UPPER(SUBSTITUTE(SUBSTITUTE(SUBSTITUTE(TRIM(C426),".",""),"-","")," ",""))))</f>
        <v/>
      </c>
    </row>
    <row r="427" customFormat="false" ht="15" hidden="false" customHeight="false" outlineLevel="0" collapsed="false">
      <c r="B427" s="80"/>
      <c r="C427" s="58"/>
      <c r="D427" s="62" t="str">
        <f aca="false">IF(C427="","",IFERROR(INDEX(T_NOMBRE,MATCH(V427,T_RUTN,0)),"⚠ RUT no está en Trabajadores"))</f>
        <v/>
      </c>
      <c r="E427" s="61"/>
      <c r="F427" s="61"/>
      <c r="G427" s="61"/>
      <c r="H427" s="61"/>
      <c r="I427" s="81"/>
      <c r="J427" s="81"/>
      <c r="K427" s="60"/>
      <c r="L427" s="60"/>
      <c r="M427" s="60"/>
      <c r="N427" s="60"/>
      <c r="O427" s="60"/>
      <c r="P427" s="60"/>
      <c r="Q427" s="60"/>
      <c r="R427" s="58"/>
      <c r="S427" s="62" t="str">
        <f aca="false">IF(OR(B427="",V427=""),"",IFERROR(INDEX(C_TIPO,MATCH(V427&amp;"-P"&amp;MAX(1,COUNTIFS(C_RUTN,V427,C_DEF,"Sí",C_INI,"&lt;="&amp;EOMONTH(B427,0))),C_CLAVE,0))&amp;"","Sin contrato"))</f>
        <v/>
      </c>
      <c r="T427" s="63" t="str">
        <f aca="false">IF(OR(B427="",N(O427)=0),"",N(O427)+ROUND(MIN(N(N427),TOPE_UF*UF_MES)*(TASA_EMP+MUTUAL),0)+ROUND(MIN(N(N427),TOPE_AFC_UF*UF_MES)*IF(S427="Indefinido",AFC_INDEF,AFC_PF),0))</f>
        <v/>
      </c>
      <c r="U427" s="62" t="str">
        <f aca="false">IF(C427="","",IF(LEFT(D427,1)="⚠","⚠ RUT no registrado en Trabajadores",IF(B427="","⚠ Falta el mes",IF(OR(ISTEXT(I427),ISTEXT(J427)),"⚠ Atrasos u horas extra como texto: escriba hh:mm (ej. 1:30)",IF(AND(ISNUMBER(Q427),COUNTIFS(M_RUTN,V427,M_MES,B427,M_LIQ,"&lt;&gt;")&gt;1),"⚠ Liquidación repetida en el mes",IF(AND(ISNUMBER(O427),ISNUMBER(P427),ISNUMBER(Q427),ABS(O427-P427-Q427)&gt;1),"⚠ Haberes − descuentos no da el líquido","OK"))))))</f>
        <v/>
      </c>
      <c r="V427" s="62" t="str">
        <f aca="false">IF(C427="","",IFERROR(VALUE(LEFT(UPPER(SUBSTITUTE(SUBSTITUTE(SUBSTITUTE(TRIM(C427),".",""),"-","")," ","")),LEN(UPPER(SUBSTITUTE(SUBSTITUTE(SUBSTITUTE(TRIM(C427),".",""),"-","")," ","")))-1))&amp;RIGHT(UPPER(SUBSTITUTE(SUBSTITUTE(SUBSTITUTE(TRIM(C427),".",""),"-","")," ","")),1),UPPER(SUBSTITUTE(SUBSTITUTE(SUBSTITUTE(TRIM(C427),".",""),"-","")," ",""))))</f>
        <v/>
      </c>
    </row>
    <row r="428" customFormat="false" ht="15" hidden="false" customHeight="false" outlineLevel="0" collapsed="false">
      <c r="B428" s="80"/>
      <c r="C428" s="58"/>
      <c r="D428" s="62" t="str">
        <f aca="false">IF(C428="","",IFERROR(INDEX(T_NOMBRE,MATCH(V428,T_RUTN,0)),"⚠ RUT no está en Trabajadores"))</f>
        <v/>
      </c>
      <c r="E428" s="61"/>
      <c r="F428" s="61"/>
      <c r="G428" s="61"/>
      <c r="H428" s="61"/>
      <c r="I428" s="81"/>
      <c r="J428" s="81"/>
      <c r="K428" s="60"/>
      <c r="L428" s="60"/>
      <c r="M428" s="60"/>
      <c r="N428" s="60"/>
      <c r="O428" s="60"/>
      <c r="P428" s="60"/>
      <c r="Q428" s="60"/>
      <c r="R428" s="58"/>
      <c r="S428" s="62" t="str">
        <f aca="false">IF(OR(B428="",V428=""),"",IFERROR(INDEX(C_TIPO,MATCH(V428&amp;"-P"&amp;MAX(1,COUNTIFS(C_RUTN,V428,C_DEF,"Sí",C_INI,"&lt;="&amp;EOMONTH(B428,0))),C_CLAVE,0))&amp;"","Sin contrato"))</f>
        <v/>
      </c>
      <c r="T428" s="63" t="str">
        <f aca="false">IF(OR(B428="",N(O428)=0),"",N(O428)+ROUND(MIN(N(N428),TOPE_UF*UF_MES)*(TASA_EMP+MUTUAL),0)+ROUND(MIN(N(N428),TOPE_AFC_UF*UF_MES)*IF(S428="Indefinido",AFC_INDEF,AFC_PF),0))</f>
        <v/>
      </c>
      <c r="U428" s="62" t="str">
        <f aca="false">IF(C428="","",IF(LEFT(D428,1)="⚠","⚠ RUT no registrado en Trabajadores",IF(B428="","⚠ Falta el mes",IF(OR(ISTEXT(I428),ISTEXT(J428)),"⚠ Atrasos u horas extra como texto: escriba hh:mm (ej. 1:30)",IF(AND(ISNUMBER(Q428),COUNTIFS(M_RUTN,V428,M_MES,B428,M_LIQ,"&lt;&gt;")&gt;1),"⚠ Liquidación repetida en el mes",IF(AND(ISNUMBER(O428),ISNUMBER(P428),ISNUMBER(Q428),ABS(O428-P428-Q428)&gt;1),"⚠ Haberes − descuentos no da el líquido","OK"))))))</f>
        <v/>
      </c>
      <c r="V428" s="62" t="str">
        <f aca="false">IF(C428="","",IFERROR(VALUE(LEFT(UPPER(SUBSTITUTE(SUBSTITUTE(SUBSTITUTE(TRIM(C428),".",""),"-","")," ","")),LEN(UPPER(SUBSTITUTE(SUBSTITUTE(SUBSTITUTE(TRIM(C428),".",""),"-","")," ","")))-1))&amp;RIGHT(UPPER(SUBSTITUTE(SUBSTITUTE(SUBSTITUTE(TRIM(C428),".",""),"-","")," ","")),1),UPPER(SUBSTITUTE(SUBSTITUTE(SUBSTITUTE(TRIM(C428),".",""),"-","")," ",""))))</f>
        <v/>
      </c>
    </row>
    <row r="429" customFormat="false" ht="15" hidden="false" customHeight="false" outlineLevel="0" collapsed="false">
      <c r="B429" s="80"/>
      <c r="C429" s="58"/>
      <c r="D429" s="62" t="str">
        <f aca="false">IF(C429="","",IFERROR(INDEX(T_NOMBRE,MATCH(V429,T_RUTN,0)),"⚠ RUT no está en Trabajadores"))</f>
        <v/>
      </c>
      <c r="E429" s="61"/>
      <c r="F429" s="61"/>
      <c r="G429" s="61"/>
      <c r="H429" s="61"/>
      <c r="I429" s="81"/>
      <c r="J429" s="81"/>
      <c r="K429" s="60"/>
      <c r="L429" s="60"/>
      <c r="M429" s="60"/>
      <c r="N429" s="60"/>
      <c r="O429" s="60"/>
      <c r="P429" s="60"/>
      <c r="Q429" s="60"/>
      <c r="R429" s="58"/>
      <c r="S429" s="62" t="str">
        <f aca="false">IF(OR(B429="",V429=""),"",IFERROR(INDEX(C_TIPO,MATCH(V429&amp;"-P"&amp;MAX(1,COUNTIFS(C_RUTN,V429,C_DEF,"Sí",C_INI,"&lt;="&amp;EOMONTH(B429,0))),C_CLAVE,0))&amp;"","Sin contrato"))</f>
        <v/>
      </c>
      <c r="T429" s="63" t="str">
        <f aca="false">IF(OR(B429="",N(O429)=0),"",N(O429)+ROUND(MIN(N(N429),TOPE_UF*UF_MES)*(TASA_EMP+MUTUAL),0)+ROUND(MIN(N(N429),TOPE_AFC_UF*UF_MES)*IF(S429="Indefinido",AFC_INDEF,AFC_PF),0))</f>
        <v/>
      </c>
      <c r="U429" s="62" t="str">
        <f aca="false">IF(C429="","",IF(LEFT(D429,1)="⚠","⚠ RUT no registrado en Trabajadores",IF(B429="","⚠ Falta el mes",IF(OR(ISTEXT(I429),ISTEXT(J429)),"⚠ Atrasos u horas extra como texto: escriba hh:mm (ej. 1:30)",IF(AND(ISNUMBER(Q429),COUNTIFS(M_RUTN,V429,M_MES,B429,M_LIQ,"&lt;&gt;")&gt;1),"⚠ Liquidación repetida en el mes",IF(AND(ISNUMBER(O429),ISNUMBER(P429),ISNUMBER(Q429),ABS(O429-P429-Q429)&gt;1),"⚠ Haberes − descuentos no da el líquido","OK"))))))</f>
        <v/>
      </c>
      <c r="V429" s="62" t="str">
        <f aca="false">IF(C429="","",IFERROR(VALUE(LEFT(UPPER(SUBSTITUTE(SUBSTITUTE(SUBSTITUTE(TRIM(C429),".",""),"-","")," ","")),LEN(UPPER(SUBSTITUTE(SUBSTITUTE(SUBSTITUTE(TRIM(C429),".",""),"-","")," ","")))-1))&amp;RIGHT(UPPER(SUBSTITUTE(SUBSTITUTE(SUBSTITUTE(TRIM(C429),".",""),"-","")," ","")),1),UPPER(SUBSTITUTE(SUBSTITUTE(SUBSTITUTE(TRIM(C429),".",""),"-","")," ",""))))</f>
        <v/>
      </c>
    </row>
    <row r="430" customFormat="false" ht="15" hidden="false" customHeight="false" outlineLevel="0" collapsed="false">
      <c r="B430" s="80"/>
      <c r="C430" s="58"/>
      <c r="D430" s="62" t="str">
        <f aca="false">IF(C430="","",IFERROR(INDEX(T_NOMBRE,MATCH(V430,T_RUTN,0)),"⚠ RUT no está en Trabajadores"))</f>
        <v/>
      </c>
      <c r="E430" s="61"/>
      <c r="F430" s="61"/>
      <c r="G430" s="61"/>
      <c r="H430" s="61"/>
      <c r="I430" s="81"/>
      <c r="J430" s="81"/>
      <c r="K430" s="60"/>
      <c r="L430" s="60"/>
      <c r="M430" s="60"/>
      <c r="N430" s="60"/>
      <c r="O430" s="60"/>
      <c r="P430" s="60"/>
      <c r="Q430" s="60"/>
      <c r="R430" s="58"/>
      <c r="S430" s="62" t="str">
        <f aca="false">IF(OR(B430="",V430=""),"",IFERROR(INDEX(C_TIPO,MATCH(V430&amp;"-P"&amp;MAX(1,COUNTIFS(C_RUTN,V430,C_DEF,"Sí",C_INI,"&lt;="&amp;EOMONTH(B430,0))),C_CLAVE,0))&amp;"","Sin contrato"))</f>
        <v/>
      </c>
      <c r="T430" s="63" t="str">
        <f aca="false">IF(OR(B430="",N(O430)=0),"",N(O430)+ROUND(MIN(N(N430),TOPE_UF*UF_MES)*(TASA_EMP+MUTUAL),0)+ROUND(MIN(N(N430),TOPE_AFC_UF*UF_MES)*IF(S430="Indefinido",AFC_INDEF,AFC_PF),0))</f>
        <v/>
      </c>
      <c r="U430" s="62" t="str">
        <f aca="false">IF(C430="","",IF(LEFT(D430,1)="⚠","⚠ RUT no registrado en Trabajadores",IF(B430="","⚠ Falta el mes",IF(OR(ISTEXT(I430),ISTEXT(J430)),"⚠ Atrasos u horas extra como texto: escriba hh:mm (ej. 1:30)",IF(AND(ISNUMBER(Q430),COUNTIFS(M_RUTN,V430,M_MES,B430,M_LIQ,"&lt;&gt;")&gt;1),"⚠ Liquidación repetida en el mes",IF(AND(ISNUMBER(O430),ISNUMBER(P430),ISNUMBER(Q430),ABS(O430-P430-Q430)&gt;1),"⚠ Haberes − descuentos no da el líquido","OK"))))))</f>
        <v/>
      </c>
      <c r="V430" s="62" t="str">
        <f aca="false">IF(C430="","",IFERROR(VALUE(LEFT(UPPER(SUBSTITUTE(SUBSTITUTE(SUBSTITUTE(TRIM(C430),".",""),"-","")," ","")),LEN(UPPER(SUBSTITUTE(SUBSTITUTE(SUBSTITUTE(TRIM(C430),".",""),"-","")," ","")))-1))&amp;RIGHT(UPPER(SUBSTITUTE(SUBSTITUTE(SUBSTITUTE(TRIM(C430),".",""),"-","")," ","")),1),UPPER(SUBSTITUTE(SUBSTITUTE(SUBSTITUTE(TRIM(C430),".",""),"-","")," ",""))))</f>
        <v/>
      </c>
    </row>
    <row r="431" customFormat="false" ht="15" hidden="false" customHeight="false" outlineLevel="0" collapsed="false">
      <c r="B431" s="80"/>
      <c r="C431" s="58"/>
      <c r="D431" s="62" t="str">
        <f aca="false">IF(C431="","",IFERROR(INDEX(T_NOMBRE,MATCH(V431,T_RUTN,0)),"⚠ RUT no está en Trabajadores"))</f>
        <v/>
      </c>
      <c r="E431" s="61"/>
      <c r="F431" s="61"/>
      <c r="G431" s="61"/>
      <c r="H431" s="61"/>
      <c r="I431" s="81"/>
      <c r="J431" s="81"/>
      <c r="K431" s="60"/>
      <c r="L431" s="60"/>
      <c r="M431" s="60"/>
      <c r="N431" s="60"/>
      <c r="O431" s="60"/>
      <c r="P431" s="60"/>
      <c r="Q431" s="60"/>
      <c r="R431" s="58"/>
      <c r="S431" s="62" t="str">
        <f aca="false">IF(OR(B431="",V431=""),"",IFERROR(INDEX(C_TIPO,MATCH(V431&amp;"-P"&amp;MAX(1,COUNTIFS(C_RUTN,V431,C_DEF,"Sí",C_INI,"&lt;="&amp;EOMONTH(B431,0))),C_CLAVE,0))&amp;"","Sin contrato"))</f>
        <v/>
      </c>
      <c r="T431" s="63" t="str">
        <f aca="false">IF(OR(B431="",N(O431)=0),"",N(O431)+ROUND(MIN(N(N431),TOPE_UF*UF_MES)*(TASA_EMP+MUTUAL),0)+ROUND(MIN(N(N431),TOPE_AFC_UF*UF_MES)*IF(S431="Indefinido",AFC_INDEF,AFC_PF),0))</f>
        <v/>
      </c>
      <c r="U431" s="62" t="str">
        <f aca="false">IF(C431="","",IF(LEFT(D431,1)="⚠","⚠ RUT no registrado en Trabajadores",IF(B431="","⚠ Falta el mes",IF(OR(ISTEXT(I431),ISTEXT(J431)),"⚠ Atrasos u horas extra como texto: escriba hh:mm (ej. 1:30)",IF(AND(ISNUMBER(Q431),COUNTIFS(M_RUTN,V431,M_MES,B431,M_LIQ,"&lt;&gt;")&gt;1),"⚠ Liquidación repetida en el mes",IF(AND(ISNUMBER(O431),ISNUMBER(P431),ISNUMBER(Q431),ABS(O431-P431-Q431)&gt;1),"⚠ Haberes − descuentos no da el líquido","OK"))))))</f>
        <v/>
      </c>
      <c r="V431" s="62" t="str">
        <f aca="false">IF(C431="","",IFERROR(VALUE(LEFT(UPPER(SUBSTITUTE(SUBSTITUTE(SUBSTITUTE(TRIM(C431),".",""),"-","")," ","")),LEN(UPPER(SUBSTITUTE(SUBSTITUTE(SUBSTITUTE(TRIM(C431),".",""),"-","")," ","")))-1))&amp;RIGHT(UPPER(SUBSTITUTE(SUBSTITUTE(SUBSTITUTE(TRIM(C431),".",""),"-","")," ","")),1),UPPER(SUBSTITUTE(SUBSTITUTE(SUBSTITUTE(TRIM(C431),".",""),"-","")," ",""))))</f>
        <v/>
      </c>
    </row>
    <row r="432" customFormat="false" ht="15" hidden="false" customHeight="false" outlineLevel="0" collapsed="false">
      <c r="B432" s="80"/>
      <c r="C432" s="58"/>
      <c r="D432" s="62" t="str">
        <f aca="false">IF(C432="","",IFERROR(INDEX(T_NOMBRE,MATCH(V432,T_RUTN,0)),"⚠ RUT no está en Trabajadores"))</f>
        <v/>
      </c>
      <c r="E432" s="61"/>
      <c r="F432" s="61"/>
      <c r="G432" s="61"/>
      <c r="H432" s="61"/>
      <c r="I432" s="81"/>
      <c r="J432" s="81"/>
      <c r="K432" s="60"/>
      <c r="L432" s="60"/>
      <c r="M432" s="60"/>
      <c r="N432" s="60"/>
      <c r="O432" s="60"/>
      <c r="P432" s="60"/>
      <c r="Q432" s="60"/>
      <c r="R432" s="58"/>
      <c r="S432" s="62" t="str">
        <f aca="false">IF(OR(B432="",V432=""),"",IFERROR(INDEX(C_TIPO,MATCH(V432&amp;"-P"&amp;MAX(1,COUNTIFS(C_RUTN,V432,C_DEF,"Sí",C_INI,"&lt;="&amp;EOMONTH(B432,0))),C_CLAVE,0))&amp;"","Sin contrato"))</f>
        <v/>
      </c>
      <c r="T432" s="63" t="str">
        <f aca="false">IF(OR(B432="",N(O432)=0),"",N(O432)+ROUND(MIN(N(N432),TOPE_UF*UF_MES)*(TASA_EMP+MUTUAL),0)+ROUND(MIN(N(N432),TOPE_AFC_UF*UF_MES)*IF(S432="Indefinido",AFC_INDEF,AFC_PF),0))</f>
        <v/>
      </c>
      <c r="U432" s="62" t="str">
        <f aca="false">IF(C432="","",IF(LEFT(D432,1)="⚠","⚠ RUT no registrado en Trabajadores",IF(B432="","⚠ Falta el mes",IF(OR(ISTEXT(I432),ISTEXT(J432)),"⚠ Atrasos u horas extra como texto: escriba hh:mm (ej. 1:30)",IF(AND(ISNUMBER(Q432),COUNTIFS(M_RUTN,V432,M_MES,B432,M_LIQ,"&lt;&gt;")&gt;1),"⚠ Liquidación repetida en el mes",IF(AND(ISNUMBER(O432),ISNUMBER(P432),ISNUMBER(Q432),ABS(O432-P432-Q432)&gt;1),"⚠ Haberes − descuentos no da el líquido","OK"))))))</f>
        <v/>
      </c>
      <c r="V432" s="62" t="str">
        <f aca="false">IF(C432="","",IFERROR(VALUE(LEFT(UPPER(SUBSTITUTE(SUBSTITUTE(SUBSTITUTE(TRIM(C432),".",""),"-","")," ","")),LEN(UPPER(SUBSTITUTE(SUBSTITUTE(SUBSTITUTE(TRIM(C432),".",""),"-","")," ","")))-1))&amp;RIGHT(UPPER(SUBSTITUTE(SUBSTITUTE(SUBSTITUTE(TRIM(C432),".",""),"-","")," ","")),1),UPPER(SUBSTITUTE(SUBSTITUTE(SUBSTITUTE(TRIM(C432),".",""),"-","")," ",""))))</f>
        <v/>
      </c>
    </row>
    <row r="433" customFormat="false" ht="15" hidden="false" customHeight="false" outlineLevel="0" collapsed="false">
      <c r="B433" s="80"/>
      <c r="C433" s="58"/>
      <c r="D433" s="62" t="str">
        <f aca="false">IF(C433="","",IFERROR(INDEX(T_NOMBRE,MATCH(V433,T_RUTN,0)),"⚠ RUT no está en Trabajadores"))</f>
        <v/>
      </c>
      <c r="E433" s="61"/>
      <c r="F433" s="61"/>
      <c r="G433" s="61"/>
      <c r="H433" s="61"/>
      <c r="I433" s="81"/>
      <c r="J433" s="81"/>
      <c r="K433" s="60"/>
      <c r="L433" s="60"/>
      <c r="M433" s="60"/>
      <c r="N433" s="60"/>
      <c r="O433" s="60"/>
      <c r="P433" s="60"/>
      <c r="Q433" s="60"/>
      <c r="R433" s="58"/>
      <c r="S433" s="62" t="str">
        <f aca="false">IF(OR(B433="",V433=""),"",IFERROR(INDEX(C_TIPO,MATCH(V433&amp;"-P"&amp;MAX(1,COUNTIFS(C_RUTN,V433,C_DEF,"Sí",C_INI,"&lt;="&amp;EOMONTH(B433,0))),C_CLAVE,0))&amp;"","Sin contrato"))</f>
        <v/>
      </c>
      <c r="T433" s="63" t="str">
        <f aca="false">IF(OR(B433="",N(O433)=0),"",N(O433)+ROUND(MIN(N(N433),TOPE_UF*UF_MES)*(TASA_EMP+MUTUAL),0)+ROUND(MIN(N(N433),TOPE_AFC_UF*UF_MES)*IF(S433="Indefinido",AFC_INDEF,AFC_PF),0))</f>
        <v/>
      </c>
      <c r="U433" s="62" t="str">
        <f aca="false">IF(C433="","",IF(LEFT(D433,1)="⚠","⚠ RUT no registrado en Trabajadores",IF(B433="","⚠ Falta el mes",IF(OR(ISTEXT(I433),ISTEXT(J433)),"⚠ Atrasos u horas extra como texto: escriba hh:mm (ej. 1:30)",IF(AND(ISNUMBER(Q433),COUNTIFS(M_RUTN,V433,M_MES,B433,M_LIQ,"&lt;&gt;")&gt;1),"⚠ Liquidación repetida en el mes",IF(AND(ISNUMBER(O433),ISNUMBER(P433),ISNUMBER(Q433),ABS(O433-P433-Q433)&gt;1),"⚠ Haberes − descuentos no da el líquido","OK"))))))</f>
        <v/>
      </c>
      <c r="V433" s="62" t="str">
        <f aca="false">IF(C433="","",IFERROR(VALUE(LEFT(UPPER(SUBSTITUTE(SUBSTITUTE(SUBSTITUTE(TRIM(C433),".",""),"-","")," ","")),LEN(UPPER(SUBSTITUTE(SUBSTITUTE(SUBSTITUTE(TRIM(C433),".",""),"-","")," ","")))-1))&amp;RIGHT(UPPER(SUBSTITUTE(SUBSTITUTE(SUBSTITUTE(TRIM(C433),".",""),"-","")," ","")),1),UPPER(SUBSTITUTE(SUBSTITUTE(SUBSTITUTE(TRIM(C433),".",""),"-","")," ",""))))</f>
        <v/>
      </c>
    </row>
    <row r="434" customFormat="false" ht="15" hidden="false" customHeight="false" outlineLevel="0" collapsed="false">
      <c r="B434" s="80"/>
      <c r="C434" s="58"/>
      <c r="D434" s="62" t="str">
        <f aca="false">IF(C434="","",IFERROR(INDEX(T_NOMBRE,MATCH(V434,T_RUTN,0)),"⚠ RUT no está en Trabajadores"))</f>
        <v/>
      </c>
      <c r="E434" s="61"/>
      <c r="F434" s="61"/>
      <c r="G434" s="61"/>
      <c r="H434" s="61"/>
      <c r="I434" s="81"/>
      <c r="J434" s="81"/>
      <c r="K434" s="60"/>
      <c r="L434" s="60"/>
      <c r="M434" s="60"/>
      <c r="N434" s="60"/>
      <c r="O434" s="60"/>
      <c r="P434" s="60"/>
      <c r="Q434" s="60"/>
      <c r="R434" s="58"/>
      <c r="S434" s="62" t="str">
        <f aca="false">IF(OR(B434="",V434=""),"",IFERROR(INDEX(C_TIPO,MATCH(V434&amp;"-P"&amp;MAX(1,COUNTIFS(C_RUTN,V434,C_DEF,"Sí",C_INI,"&lt;="&amp;EOMONTH(B434,0))),C_CLAVE,0))&amp;"","Sin contrato"))</f>
        <v/>
      </c>
      <c r="T434" s="63" t="str">
        <f aca="false">IF(OR(B434="",N(O434)=0),"",N(O434)+ROUND(MIN(N(N434),TOPE_UF*UF_MES)*(TASA_EMP+MUTUAL),0)+ROUND(MIN(N(N434),TOPE_AFC_UF*UF_MES)*IF(S434="Indefinido",AFC_INDEF,AFC_PF),0))</f>
        <v/>
      </c>
      <c r="U434" s="62" t="str">
        <f aca="false">IF(C434="","",IF(LEFT(D434,1)="⚠","⚠ RUT no registrado en Trabajadores",IF(B434="","⚠ Falta el mes",IF(OR(ISTEXT(I434),ISTEXT(J434)),"⚠ Atrasos u horas extra como texto: escriba hh:mm (ej. 1:30)",IF(AND(ISNUMBER(Q434),COUNTIFS(M_RUTN,V434,M_MES,B434,M_LIQ,"&lt;&gt;")&gt;1),"⚠ Liquidación repetida en el mes",IF(AND(ISNUMBER(O434),ISNUMBER(P434),ISNUMBER(Q434),ABS(O434-P434-Q434)&gt;1),"⚠ Haberes − descuentos no da el líquido","OK"))))))</f>
        <v/>
      </c>
      <c r="V434" s="62" t="str">
        <f aca="false">IF(C434="","",IFERROR(VALUE(LEFT(UPPER(SUBSTITUTE(SUBSTITUTE(SUBSTITUTE(TRIM(C434),".",""),"-","")," ","")),LEN(UPPER(SUBSTITUTE(SUBSTITUTE(SUBSTITUTE(TRIM(C434),".",""),"-","")," ","")))-1))&amp;RIGHT(UPPER(SUBSTITUTE(SUBSTITUTE(SUBSTITUTE(TRIM(C434),".",""),"-","")," ","")),1),UPPER(SUBSTITUTE(SUBSTITUTE(SUBSTITUTE(TRIM(C434),".",""),"-","")," ",""))))</f>
        <v/>
      </c>
    </row>
    <row r="435" customFormat="false" ht="15" hidden="false" customHeight="false" outlineLevel="0" collapsed="false">
      <c r="B435" s="80"/>
      <c r="C435" s="58"/>
      <c r="D435" s="62" t="str">
        <f aca="false">IF(C435="","",IFERROR(INDEX(T_NOMBRE,MATCH(V435,T_RUTN,0)),"⚠ RUT no está en Trabajadores"))</f>
        <v/>
      </c>
      <c r="E435" s="61"/>
      <c r="F435" s="61"/>
      <c r="G435" s="61"/>
      <c r="H435" s="61"/>
      <c r="I435" s="81"/>
      <c r="J435" s="81"/>
      <c r="K435" s="60"/>
      <c r="L435" s="60"/>
      <c r="M435" s="60"/>
      <c r="N435" s="60"/>
      <c r="O435" s="60"/>
      <c r="P435" s="60"/>
      <c r="Q435" s="60"/>
      <c r="R435" s="58"/>
      <c r="S435" s="62" t="str">
        <f aca="false">IF(OR(B435="",V435=""),"",IFERROR(INDEX(C_TIPO,MATCH(V435&amp;"-P"&amp;MAX(1,COUNTIFS(C_RUTN,V435,C_DEF,"Sí",C_INI,"&lt;="&amp;EOMONTH(B435,0))),C_CLAVE,0))&amp;"","Sin contrato"))</f>
        <v/>
      </c>
      <c r="T435" s="63" t="str">
        <f aca="false">IF(OR(B435="",N(O435)=0),"",N(O435)+ROUND(MIN(N(N435),TOPE_UF*UF_MES)*(TASA_EMP+MUTUAL),0)+ROUND(MIN(N(N435),TOPE_AFC_UF*UF_MES)*IF(S435="Indefinido",AFC_INDEF,AFC_PF),0))</f>
        <v/>
      </c>
      <c r="U435" s="62" t="str">
        <f aca="false">IF(C435="","",IF(LEFT(D435,1)="⚠","⚠ RUT no registrado en Trabajadores",IF(B435="","⚠ Falta el mes",IF(OR(ISTEXT(I435),ISTEXT(J435)),"⚠ Atrasos u horas extra como texto: escriba hh:mm (ej. 1:30)",IF(AND(ISNUMBER(Q435),COUNTIFS(M_RUTN,V435,M_MES,B435,M_LIQ,"&lt;&gt;")&gt;1),"⚠ Liquidación repetida en el mes",IF(AND(ISNUMBER(O435),ISNUMBER(P435),ISNUMBER(Q435),ABS(O435-P435-Q435)&gt;1),"⚠ Haberes − descuentos no da el líquido","OK"))))))</f>
        <v/>
      </c>
      <c r="V435" s="62" t="str">
        <f aca="false">IF(C435="","",IFERROR(VALUE(LEFT(UPPER(SUBSTITUTE(SUBSTITUTE(SUBSTITUTE(TRIM(C435),".",""),"-","")," ","")),LEN(UPPER(SUBSTITUTE(SUBSTITUTE(SUBSTITUTE(TRIM(C435),".",""),"-","")," ","")))-1))&amp;RIGHT(UPPER(SUBSTITUTE(SUBSTITUTE(SUBSTITUTE(TRIM(C435),".",""),"-","")," ","")),1),UPPER(SUBSTITUTE(SUBSTITUTE(SUBSTITUTE(TRIM(C435),".",""),"-","")," ",""))))</f>
        <v/>
      </c>
    </row>
    <row r="436" customFormat="false" ht="15" hidden="false" customHeight="false" outlineLevel="0" collapsed="false">
      <c r="B436" s="80"/>
      <c r="C436" s="58"/>
      <c r="D436" s="62" t="str">
        <f aca="false">IF(C436="","",IFERROR(INDEX(T_NOMBRE,MATCH(V436,T_RUTN,0)),"⚠ RUT no está en Trabajadores"))</f>
        <v/>
      </c>
      <c r="E436" s="61"/>
      <c r="F436" s="61"/>
      <c r="G436" s="61"/>
      <c r="H436" s="61"/>
      <c r="I436" s="81"/>
      <c r="J436" s="81"/>
      <c r="K436" s="60"/>
      <c r="L436" s="60"/>
      <c r="M436" s="60"/>
      <c r="N436" s="60"/>
      <c r="O436" s="60"/>
      <c r="P436" s="60"/>
      <c r="Q436" s="60"/>
      <c r="R436" s="58"/>
      <c r="S436" s="62" t="str">
        <f aca="false">IF(OR(B436="",V436=""),"",IFERROR(INDEX(C_TIPO,MATCH(V436&amp;"-P"&amp;MAX(1,COUNTIFS(C_RUTN,V436,C_DEF,"Sí",C_INI,"&lt;="&amp;EOMONTH(B436,0))),C_CLAVE,0))&amp;"","Sin contrato"))</f>
        <v/>
      </c>
      <c r="T436" s="63" t="str">
        <f aca="false">IF(OR(B436="",N(O436)=0),"",N(O436)+ROUND(MIN(N(N436),TOPE_UF*UF_MES)*(TASA_EMP+MUTUAL),0)+ROUND(MIN(N(N436),TOPE_AFC_UF*UF_MES)*IF(S436="Indefinido",AFC_INDEF,AFC_PF),0))</f>
        <v/>
      </c>
      <c r="U436" s="62" t="str">
        <f aca="false">IF(C436="","",IF(LEFT(D436,1)="⚠","⚠ RUT no registrado en Trabajadores",IF(B436="","⚠ Falta el mes",IF(OR(ISTEXT(I436),ISTEXT(J436)),"⚠ Atrasos u horas extra como texto: escriba hh:mm (ej. 1:30)",IF(AND(ISNUMBER(Q436),COUNTIFS(M_RUTN,V436,M_MES,B436,M_LIQ,"&lt;&gt;")&gt;1),"⚠ Liquidación repetida en el mes",IF(AND(ISNUMBER(O436),ISNUMBER(P436),ISNUMBER(Q436),ABS(O436-P436-Q436)&gt;1),"⚠ Haberes − descuentos no da el líquido","OK"))))))</f>
        <v/>
      </c>
      <c r="V436" s="62" t="str">
        <f aca="false">IF(C436="","",IFERROR(VALUE(LEFT(UPPER(SUBSTITUTE(SUBSTITUTE(SUBSTITUTE(TRIM(C436),".",""),"-","")," ","")),LEN(UPPER(SUBSTITUTE(SUBSTITUTE(SUBSTITUTE(TRIM(C436),".",""),"-","")," ","")))-1))&amp;RIGHT(UPPER(SUBSTITUTE(SUBSTITUTE(SUBSTITUTE(TRIM(C436),".",""),"-","")," ","")),1),UPPER(SUBSTITUTE(SUBSTITUTE(SUBSTITUTE(TRIM(C436),".",""),"-","")," ",""))))</f>
        <v/>
      </c>
    </row>
    <row r="437" customFormat="false" ht="15" hidden="false" customHeight="false" outlineLevel="0" collapsed="false">
      <c r="B437" s="80"/>
      <c r="C437" s="58"/>
      <c r="D437" s="62" t="str">
        <f aca="false">IF(C437="","",IFERROR(INDEX(T_NOMBRE,MATCH(V437,T_RUTN,0)),"⚠ RUT no está en Trabajadores"))</f>
        <v/>
      </c>
      <c r="E437" s="61"/>
      <c r="F437" s="61"/>
      <c r="G437" s="61"/>
      <c r="H437" s="61"/>
      <c r="I437" s="81"/>
      <c r="J437" s="81"/>
      <c r="K437" s="60"/>
      <c r="L437" s="60"/>
      <c r="M437" s="60"/>
      <c r="N437" s="60"/>
      <c r="O437" s="60"/>
      <c r="P437" s="60"/>
      <c r="Q437" s="60"/>
      <c r="R437" s="58"/>
      <c r="S437" s="62" t="str">
        <f aca="false">IF(OR(B437="",V437=""),"",IFERROR(INDEX(C_TIPO,MATCH(V437&amp;"-P"&amp;MAX(1,COUNTIFS(C_RUTN,V437,C_DEF,"Sí",C_INI,"&lt;="&amp;EOMONTH(B437,0))),C_CLAVE,0))&amp;"","Sin contrato"))</f>
        <v/>
      </c>
      <c r="T437" s="63" t="str">
        <f aca="false">IF(OR(B437="",N(O437)=0),"",N(O437)+ROUND(MIN(N(N437),TOPE_UF*UF_MES)*(TASA_EMP+MUTUAL),0)+ROUND(MIN(N(N437),TOPE_AFC_UF*UF_MES)*IF(S437="Indefinido",AFC_INDEF,AFC_PF),0))</f>
        <v/>
      </c>
      <c r="U437" s="62" t="str">
        <f aca="false">IF(C437="","",IF(LEFT(D437,1)="⚠","⚠ RUT no registrado en Trabajadores",IF(B437="","⚠ Falta el mes",IF(OR(ISTEXT(I437),ISTEXT(J437)),"⚠ Atrasos u horas extra como texto: escriba hh:mm (ej. 1:30)",IF(AND(ISNUMBER(Q437),COUNTIFS(M_RUTN,V437,M_MES,B437,M_LIQ,"&lt;&gt;")&gt;1),"⚠ Liquidación repetida en el mes",IF(AND(ISNUMBER(O437),ISNUMBER(P437),ISNUMBER(Q437),ABS(O437-P437-Q437)&gt;1),"⚠ Haberes − descuentos no da el líquido","OK"))))))</f>
        <v/>
      </c>
      <c r="V437" s="62" t="str">
        <f aca="false">IF(C437="","",IFERROR(VALUE(LEFT(UPPER(SUBSTITUTE(SUBSTITUTE(SUBSTITUTE(TRIM(C437),".",""),"-","")," ","")),LEN(UPPER(SUBSTITUTE(SUBSTITUTE(SUBSTITUTE(TRIM(C437),".",""),"-","")," ","")))-1))&amp;RIGHT(UPPER(SUBSTITUTE(SUBSTITUTE(SUBSTITUTE(TRIM(C437),".",""),"-","")," ","")),1),UPPER(SUBSTITUTE(SUBSTITUTE(SUBSTITUTE(TRIM(C437),".",""),"-","")," ",""))))</f>
        <v/>
      </c>
    </row>
    <row r="438" customFormat="false" ht="15" hidden="false" customHeight="false" outlineLevel="0" collapsed="false">
      <c r="B438" s="80"/>
      <c r="C438" s="58"/>
      <c r="D438" s="62" t="str">
        <f aca="false">IF(C438="","",IFERROR(INDEX(T_NOMBRE,MATCH(V438,T_RUTN,0)),"⚠ RUT no está en Trabajadores"))</f>
        <v/>
      </c>
      <c r="E438" s="61"/>
      <c r="F438" s="61"/>
      <c r="G438" s="61"/>
      <c r="H438" s="61"/>
      <c r="I438" s="81"/>
      <c r="J438" s="81"/>
      <c r="K438" s="60"/>
      <c r="L438" s="60"/>
      <c r="M438" s="60"/>
      <c r="N438" s="60"/>
      <c r="O438" s="60"/>
      <c r="P438" s="60"/>
      <c r="Q438" s="60"/>
      <c r="R438" s="58"/>
      <c r="S438" s="62" t="str">
        <f aca="false">IF(OR(B438="",V438=""),"",IFERROR(INDEX(C_TIPO,MATCH(V438&amp;"-P"&amp;MAX(1,COUNTIFS(C_RUTN,V438,C_DEF,"Sí",C_INI,"&lt;="&amp;EOMONTH(B438,0))),C_CLAVE,0))&amp;"","Sin contrato"))</f>
        <v/>
      </c>
      <c r="T438" s="63" t="str">
        <f aca="false">IF(OR(B438="",N(O438)=0),"",N(O438)+ROUND(MIN(N(N438),TOPE_UF*UF_MES)*(TASA_EMP+MUTUAL),0)+ROUND(MIN(N(N438),TOPE_AFC_UF*UF_MES)*IF(S438="Indefinido",AFC_INDEF,AFC_PF),0))</f>
        <v/>
      </c>
      <c r="U438" s="62" t="str">
        <f aca="false">IF(C438="","",IF(LEFT(D438,1)="⚠","⚠ RUT no registrado en Trabajadores",IF(B438="","⚠ Falta el mes",IF(OR(ISTEXT(I438),ISTEXT(J438)),"⚠ Atrasos u horas extra como texto: escriba hh:mm (ej. 1:30)",IF(AND(ISNUMBER(Q438),COUNTIFS(M_RUTN,V438,M_MES,B438,M_LIQ,"&lt;&gt;")&gt;1),"⚠ Liquidación repetida en el mes",IF(AND(ISNUMBER(O438),ISNUMBER(P438),ISNUMBER(Q438),ABS(O438-P438-Q438)&gt;1),"⚠ Haberes − descuentos no da el líquido","OK"))))))</f>
        <v/>
      </c>
      <c r="V438" s="62" t="str">
        <f aca="false">IF(C438="","",IFERROR(VALUE(LEFT(UPPER(SUBSTITUTE(SUBSTITUTE(SUBSTITUTE(TRIM(C438),".",""),"-","")," ","")),LEN(UPPER(SUBSTITUTE(SUBSTITUTE(SUBSTITUTE(TRIM(C438),".",""),"-","")," ","")))-1))&amp;RIGHT(UPPER(SUBSTITUTE(SUBSTITUTE(SUBSTITUTE(TRIM(C438),".",""),"-","")," ","")),1),UPPER(SUBSTITUTE(SUBSTITUTE(SUBSTITUTE(TRIM(C438),".",""),"-","")," ",""))))</f>
        <v/>
      </c>
    </row>
    <row r="439" customFormat="false" ht="15" hidden="false" customHeight="false" outlineLevel="0" collapsed="false">
      <c r="B439" s="80"/>
      <c r="C439" s="58"/>
      <c r="D439" s="62" t="str">
        <f aca="false">IF(C439="","",IFERROR(INDEX(T_NOMBRE,MATCH(V439,T_RUTN,0)),"⚠ RUT no está en Trabajadores"))</f>
        <v/>
      </c>
      <c r="E439" s="61"/>
      <c r="F439" s="61"/>
      <c r="G439" s="61"/>
      <c r="H439" s="61"/>
      <c r="I439" s="81"/>
      <c r="J439" s="81"/>
      <c r="K439" s="60"/>
      <c r="L439" s="60"/>
      <c r="M439" s="60"/>
      <c r="N439" s="60"/>
      <c r="O439" s="60"/>
      <c r="P439" s="60"/>
      <c r="Q439" s="60"/>
      <c r="R439" s="58"/>
      <c r="S439" s="62" t="str">
        <f aca="false">IF(OR(B439="",V439=""),"",IFERROR(INDEX(C_TIPO,MATCH(V439&amp;"-P"&amp;MAX(1,COUNTIFS(C_RUTN,V439,C_DEF,"Sí",C_INI,"&lt;="&amp;EOMONTH(B439,0))),C_CLAVE,0))&amp;"","Sin contrato"))</f>
        <v/>
      </c>
      <c r="T439" s="63" t="str">
        <f aca="false">IF(OR(B439="",N(O439)=0),"",N(O439)+ROUND(MIN(N(N439),TOPE_UF*UF_MES)*(TASA_EMP+MUTUAL),0)+ROUND(MIN(N(N439),TOPE_AFC_UF*UF_MES)*IF(S439="Indefinido",AFC_INDEF,AFC_PF),0))</f>
        <v/>
      </c>
      <c r="U439" s="62" t="str">
        <f aca="false">IF(C439="","",IF(LEFT(D439,1)="⚠","⚠ RUT no registrado en Trabajadores",IF(B439="","⚠ Falta el mes",IF(OR(ISTEXT(I439),ISTEXT(J439)),"⚠ Atrasos u horas extra como texto: escriba hh:mm (ej. 1:30)",IF(AND(ISNUMBER(Q439),COUNTIFS(M_RUTN,V439,M_MES,B439,M_LIQ,"&lt;&gt;")&gt;1),"⚠ Liquidación repetida en el mes",IF(AND(ISNUMBER(O439),ISNUMBER(P439),ISNUMBER(Q439),ABS(O439-P439-Q439)&gt;1),"⚠ Haberes − descuentos no da el líquido","OK"))))))</f>
        <v/>
      </c>
      <c r="V439" s="62" t="str">
        <f aca="false">IF(C439="","",IFERROR(VALUE(LEFT(UPPER(SUBSTITUTE(SUBSTITUTE(SUBSTITUTE(TRIM(C439),".",""),"-","")," ","")),LEN(UPPER(SUBSTITUTE(SUBSTITUTE(SUBSTITUTE(TRIM(C439),".",""),"-","")," ","")))-1))&amp;RIGHT(UPPER(SUBSTITUTE(SUBSTITUTE(SUBSTITUTE(TRIM(C439),".",""),"-","")," ","")),1),UPPER(SUBSTITUTE(SUBSTITUTE(SUBSTITUTE(TRIM(C439),".",""),"-","")," ",""))))</f>
        <v/>
      </c>
    </row>
    <row r="440" customFormat="false" ht="15" hidden="false" customHeight="false" outlineLevel="0" collapsed="false">
      <c r="B440" s="80"/>
      <c r="C440" s="58"/>
      <c r="D440" s="62" t="str">
        <f aca="false">IF(C440="","",IFERROR(INDEX(T_NOMBRE,MATCH(V440,T_RUTN,0)),"⚠ RUT no está en Trabajadores"))</f>
        <v/>
      </c>
      <c r="E440" s="61"/>
      <c r="F440" s="61"/>
      <c r="G440" s="61"/>
      <c r="H440" s="61"/>
      <c r="I440" s="81"/>
      <c r="J440" s="81"/>
      <c r="K440" s="60"/>
      <c r="L440" s="60"/>
      <c r="M440" s="60"/>
      <c r="N440" s="60"/>
      <c r="O440" s="60"/>
      <c r="P440" s="60"/>
      <c r="Q440" s="60"/>
      <c r="R440" s="58"/>
      <c r="S440" s="62" t="str">
        <f aca="false">IF(OR(B440="",V440=""),"",IFERROR(INDEX(C_TIPO,MATCH(V440&amp;"-P"&amp;MAX(1,COUNTIFS(C_RUTN,V440,C_DEF,"Sí",C_INI,"&lt;="&amp;EOMONTH(B440,0))),C_CLAVE,0))&amp;"","Sin contrato"))</f>
        <v/>
      </c>
      <c r="T440" s="63" t="str">
        <f aca="false">IF(OR(B440="",N(O440)=0),"",N(O440)+ROUND(MIN(N(N440),TOPE_UF*UF_MES)*(TASA_EMP+MUTUAL),0)+ROUND(MIN(N(N440),TOPE_AFC_UF*UF_MES)*IF(S440="Indefinido",AFC_INDEF,AFC_PF),0))</f>
        <v/>
      </c>
      <c r="U440" s="62" t="str">
        <f aca="false">IF(C440="","",IF(LEFT(D440,1)="⚠","⚠ RUT no registrado en Trabajadores",IF(B440="","⚠ Falta el mes",IF(OR(ISTEXT(I440),ISTEXT(J440)),"⚠ Atrasos u horas extra como texto: escriba hh:mm (ej. 1:30)",IF(AND(ISNUMBER(Q440),COUNTIFS(M_RUTN,V440,M_MES,B440,M_LIQ,"&lt;&gt;")&gt;1),"⚠ Liquidación repetida en el mes",IF(AND(ISNUMBER(O440),ISNUMBER(P440),ISNUMBER(Q440),ABS(O440-P440-Q440)&gt;1),"⚠ Haberes − descuentos no da el líquido","OK"))))))</f>
        <v/>
      </c>
      <c r="V440" s="62" t="str">
        <f aca="false">IF(C440="","",IFERROR(VALUE(LEFT(UPPER(SUBSTITUTE(SUBSTITUTE(SUBSTITUTE(TRIM(C440),".",""),"-","")," ","")),LEN(UPPER(SUBSTITUTE(SUBSTITUTE(SUBSTITUTE(TRIM(C440),".",""),"-","")," ","")))-1))&amp;RIGHT(UPPER(SUBSTITUTE(SUBSTITUTE(SUBSTITUTE(TRIM(C440),".",""),"-","")," ","")),1),UPPER(SUBSTITUTE(SUBSTITUTE(SUBSTITUTE(TRIM(C440),".",""),"-","")," ",""))))</f>
        <v/>
      </c>
    </row>
    <row r="441" customFormat="false" ht="15" hidden="false" customHeight="false" outlineLevel="0" collapsed="false">
      <c r="B441" s="80"/>
      <c r="C441" s="58"/>
      <c r="D441" s="62" t="str">
        <f aca="false">IF(C441="","",IFERROR(INDEX(T_NOMBRE,MATCH(V441,T_RUTN,0)),"⚠ RUT no está en Trabajadores"))</f>
        <v/>
      </c>
      <c r="E441" s="61"/>
      <c r="F441" s="61"/>
      <c r="G441" s="61"/>
      <c r="H441" s="61"/>
      <c r="I441" s="81"/>
      <c r="J441" s="81"/>
      <c r="K441" s="60"/>
      <c r="L441" s="60"/>
      <c r="M441" s="60"/>
      <c r="N441" s="60"/>
      <c r="O441" s="60"/>
      <c r="P441" s="60"/>
      <c r="Q441" s="60"/>
      <c r="R441" s="58"/>
      <c r="S441" s="62" t="str">
        <f aca="false">IF(OR(B441="",V441=""),"",IFERROR(INDEX(C_TIPO,MATCH(V441&amp;"-P"&amp;MAX(1,COUNTIFS(C_RUTN,V441,C_DEF,"Sí",C_INI,"&lt;="&amp;EOMONTH(B441,0))),C_CLAVE,0))&amp;"","Sin contrato"))</f>
        <v/>
      </c>
      <c r="T441" s="63" t="str">
        <f aca="false">IF(OR(B441="",N(O441)=0),"",N(O441)+ROUND(MIN(N(N441),TOPE_UF*UF_MES)*(TASA_EMP+MUTUAL),0)+ROUND(MIN(N(N441),TOPE_AFC_UF*UF_MES)*IF(S441="Indefinido",AFC_INDEF,AFC_PF),0))</f>
        <v/>
      </c>
      <c r="U441" s="62" t="str">
        <f aca="false">IF(C441="","",IF(LEFT(D441,1)="⚠","⚠ RUT no registrado en Trabajadores",IF(B441="","⚠ Falta el mes",IF(OR(ISTEXT(I441),ISTEXT(J441)),"⚠ Atrasos u horas extra como texto: escriba hh:mm (ej. 1:30)",IF(AND(ISNUMBER(Q441),COUNTIFS(M_RUTN,V441,M_MES,B441,M_LIQ,"&lt;&gt;")&gt;1),"⚠ Liquidación repetida en el mes",IF(AND(ISNUMBER(O441),ISNUMBER(P441),ISNUMBER(Q441),ABS(O441-P441-Q441)&gt;1),"⚠ Haberes − descuentos no da el líquido","OK"))))))</f>
        <v/>
      </c>
      <c r="V441" s="62" t="str">
        <f aca="false">IF(C441="","",IFERROR(VALUE(LEFT(UPPER(SUBSTITUTE(SUBSTITUTE(SUBSTITUTE(TRIM(C441),".",""),"-","")," ","")),LEN(UPPER(SUBSTITUTE(SUBSTITUTE(SUBSTITUTE(TRIM(C441),".",""),"-","")," ","")))-1))&amp;RIGHT(UPPER(SUBSTITUTE(SUBSTITUTE(SUBSTITUTE(TRIM(C441),".",""),"-","")," ","")),1),UPPER(SUBSTITUTE(SUBSTITUTE(SUBSTITUTE(TRIM(C441),".",""),"-","")," ",""))))</f>
        <v/>
      </c>
    </row>
    <row r="442" customFormat="false" ht="15" hidden="false" customHeight="false" outlineLevel="0" collapsed="false">
      <c r="B442" s="80"/>
      <c r="C442" s="58"/>
      <c r="D442" s="62" t="str">
        <f aca="false">IF(C442="","",IFERROR(INDEX(T_NOMBRE,MATCH(V442,T_RUTN,0)),"⚠ RUT no está en Trabajadores"))</f>
        <v/>
      </c>
      <c r="E442" s="61"/>
      <c r="F442" s="61"/>
      <c r="G442" s="61"/>
      <c r="H442" s="61"/>
      <c r="I442" s="81"/>
      <c r="J442" s="81"/>
      <c r="K442" s="60"/>
      <c r="L442" s="60"/>
      <c r="M442" s="60"/>
      <c r="N442" s="60"/>
      <c r="O442" s="60"/>
      <c r="P442" s="60"/>
      <c r="Q442" s="60"/>
      <c r="R442" s="58"/>
      <c r="S442" s="62" t="str">
        <f aca="false">IF(OR(B442="",V442=""),"",IFERROR(INDEX(C_TIPO,MATCH(V442&amp;"-P"&amp;MAX(1,COUNTIFS(C_RUTN,V442,C_DEF,"Sí",C_INI,"&lt;="&amp;EOMONTH(B442,0))),C_CLAVE,0))&amp;"","Sin contrato"))</f>
        <v/>
      </c>
      <c r="T442" s="63" t="str">
        <f aca="false">IF(OR(B442="",N(O442)=0),"",N(O442)+ROUND(MIN(N(N442),TOPE_UF*UF_MES)*(TASA_EMP+MUTUAL),0)+ROUND(MIN(N(N442),TOPE_AFC_UF*UF_MES)*IF(S442="Indefinido",AFC_INDEF,AFC_PF),0))</f>
        <v/>
      </c>
      <c r="U442" s="62" t="str">
        <f aca="false">IF(C442="","",IF(LEFT(D442,1)="⚠","⚠ RUT no registrado en Trabajadores",IF(B442="","⚠ Falta el mes",IF(OR(ISTEXT(I442),ISTEXT(J442)),"⚠ Atrasos u horas extra como texto: escriba hh:mm (ej. 1:30)",IF(AND(ISNUMBER(Q442),COUNTIFS(M_RUTN,V442,M_MES,B442,M_LIQ,"&lt;&gt;")&gt;1),"⚠ Liquidación repetida en el mes",IF(AND(ISNUMBER(O442),ISNUMBER(P442),ISNUMBER(Q442),ABS(O442-P442-Q442)&gt;1),"⚠ Haberes − descuentos no da el líquido","OK"))))))</f>
        <v/>
      </c>
      <c r="V442" s="62" t="str">
        <f aca="false">IF(C442="","",IFERROR(VALUE(LEFT(UPPER(SUBSTITUTE(SUBSTITUTE(SUBSTITUTE(TRIM(C442),".",""),"-","")," ","")),LEN(UPPER(SUBSTITUTE(SUBSTITUTE(SUBSTITUTE(TRIM(C442),".",""),"-","")," ","")))-1))&amp;RIGHT(UPPER(SUBSTITUTE(SUBSTITUTE(SUBSTITUTE(TRIM(C442),".",""),"-","")," ","")),1),UPPER(SUBSTITUTE(SUBSTITUTE(SUBSTITUTE(TRIM(C442),".",""),"-","")," ",""))))</f>
        <v/>
      </c>
    </row>
    <row r="443" customFormat="false" ht="15" hidden="false" customHeight="false" outlineLevel="0" collapsed="false">
      <c r="B443" s="80"/>
      <c r="C443" s="58"/>
      <c r="D443" s="62" t="str">
        <f aca="false">IF(C443="","",IFERROR(INDEX(T_NOMBRE,MATCH(V443,T_RUTN,0)),"⚠ RUT no está en Trabajadores"))</f>
        <v/>
      </c>
      <c r="E443" s="61"/>
      <c r="F443" s="61"/>
      <c r="G443" s="61"/>
      <c r="H443" s="61"/>
      <c r="I443" s="81"/>
      <c r="J443" s="81"/>
      <c r="K443" s="60"/>
      <c r="L443" s="60"/>
      <c r="M443" s="60"/>
      <c r="N443" s="60"/>
      <c r="O443" s="60"/>
      <c r="P443" s="60"/>
      <c r="Q443" s="60"/>
      <c r="R443" s="58"/>
      <c r="S443" s="62" t="str">
        <f aca="false">IF(OR(B443="",V443=""),"",IFERROR(INDEX(C_TIPO,MATCH(V443&amp;"-P"&amp;MAX(1,COUNTIFS(C_RUTN,V443,C_DEF,"Sí",C_INI,"&lt;="&amp;EOMONTH(B443,0))),C_CLAVE,0))&amp;"","Sin contrato"))</f>
        <v/>
      </c>
      <c r="T443" s="63" t="str">
        <f aca="false">IF(OR(B443="",N(O443)=0),"",N(O443)+ROUND(MIN(N(N443),TOPE_UF*UF_MES)*(TASA_EMP+MUTUAL),0)+ROUND(MIN(N(N443),TOPE_AFC_UF*UF_MES)*IF(S443="Indefinido",AFC_INDEF,AFC_PF),0))</f>
        <v/>
      </c>
      <c r="U443" s="62" t="str">
        <f aca="false">IF(C443="","",IF(LEFT(D443,1)="⚠","⚠ RUT no registrado en Trabajadores",IF(B443="","⚠ Falta el mes",IF(OR(ISTEXT(I443),ISTEXT(J443)),"⚠ Atrasos u horas extra como texto: escriba hh:mm (ej. 1:30)",IF(AND(ISNUMBER(Q443),COUNTIFS(M_RUTN,V443,M_MES,B443,M_LIQ,"&lt;&gt;")&gt;1),"⚠ Liquidación repetida en el mes",IF(AND(ISNUMBER(O443),ISNUMBER(P443),ISNUMBER(Q443),ABS(O443-P443-Q443)&gt;1),"⚠ Haberes − descuentos no da el líquido","OK"))))))</f>
        <v/>
      </c>
      <c r="V443" s="62" t="str">
        <f aca="false">IF(C443="","",IFERROR(VALUE(LEFT(UPPER(SUBSTITUTE(SUBSTITUTE(SUBSTITUTE(TRIM(C443),".",""),"-","")," ","")),LEN(UPPER(SUBSTITUTE(SUBSTITUTE(SUBSTITUTE(TRIM(C443),".",""),"-","")," ","")))-1))&amp;RIGHT(UPPER(SUBSTITUTE(SUBSTITUTE(SUBSTITUTE(TRIM(C443),".",""),"-","")," ","")),1),UPPER(SUBSTITUTE(SUBSTITUTE(SUBSTITUTE(TRIM(C443),".",""),"-","")," ",""))))</f>
        <v/>
      </c>
    </row>
    <row r="444" customFormat="false" ht="15" hidden="false" customHeight="false" outlineLevel="0" collapsed="false">
      <c r="B444" s="80"/>
      <c r="C444" s="58"/>
      <c r="D444" s="62" t="str">
        <f aca="false">IF(C444="","",IFERROR(INDEX(T_NOMBRE,MATCH(V444,T_RUTN,0)),"⚠ RUT no está en Trabajadores"))</f>
        <v/>
      </c>
      <c r="E444" s="61"/>
      <c r="F444" s="61"/>
      <c r="G444" s="61"/>
      <c r="H444" s="61"/>
      <c r="I444" s="81"/>
      <c r="J444" s="81"/>
      <c r="K444" s="60"/>
      <c r="L444" s="60"/>
      <c r="M444" s="60"/>
      <c r="N444" s="60"/>
      <c r="O444" s="60"/>
      <c r="P444" s="60"/>
      <c r="Q444" s="60"/>
      <c r="R444" s="58"/>
      <c r="S444" s="62" t="str">
        <f aca="false">IF(OR(B444="",V444=""),"",IFERROR(INDEX(C_TIPO,MATCH(V444&amp;"-P"&amp;MAX(1,COUNTIFS(C_RUTN,V444,C_DEF,"Sí",C_INI,"&lt;="&amp;EOMONTH(B444,0))),C_CLAVE,0))&amp;"","Sin contrato"))</f>
        <v/>
      </c>
      <c r="T444" s="63" t="str">
        <f aca="false">IF(OR(B444="",N(O444)=0),"",N(O444)+ROUND(MIN(N(N444),TOPE_UF*UF_MES)*(TASA_EMP+MUTUAL),0)+ROUND(MIN(N(N444),TOPE_AFC_UF*UF_MES)*IF(S444="Indefinido",AFC_INDEF,AFC_PF),0))</f>
        <v/>
      </c>
      <c r="U444" s="62" t="str">
        <f aca="false">IF(C444="","",IF(LEFT(D444,1)="⚠","⚠ RUT no registrado en Trabajadores",IF(B444="","⚠ Falta el mes",IF(OR(ISTEXT(I444),ISTEXT(J444)),"⚠ Atrasos u horas extra como texto: escriba hh:mm (ej. 1:30)",IF(AND(ISNUMBER(Q444),COUNTIFS(M_RUTN,V444,M_MES,B444,M_LIQ,"&lt;&gt;")&gt;1),"⚠ Liquidación repetida en el mes",IF(AND(ISNUMBER(O444),ISNUMBER(P444),ISNUMBER(Q444),ABS(O444-P444-Q444)&gt;1),"⚠ Haberes − descuentos no da el líquido","OK"))))))</f>
        <v/>
      </c>
      <c r="V444" s="62" t="str">
        <f aca="false">IF(C444="","",IFERROR(VALUE(LEFT(UPPER(SUBSTITUTE(SUBSTITUTE(SUBSTITUTE(TRIM(C444),".",""),"-","")," ","")),LEN(UPPER(SUBSTITUTE(SUBSTITUTE(SUBSTITUTE(TRIM(C444),".",""),"-","")," ","")))-1))&amp;RIGHT(UPPER(SUBSTITUTE(SUBSTITUTE(SUBSTITUTE(TRIM(C444),".",""),"-","")," ","")),1),UPPER(SUBSTITUTE(SUBSTITUTE(SUBSTITUTE(TRIM(C444),".",""),"-","")," ",""))))</f>
        <v/>
      </c>
    </row>
    <row r="445" customFormat="false" ht="15" hidden="false" customHeight="false" outlineLevel="0" collapsed="false">
      <c r="B445" s="80"/>
      <c r="C445" s="58"/>
      <c r="D445" s="62" t="str">
        <f aca="false">IF(C445="","",IFERROR(INDEX(T_NOMBRE,MATCH(V445,T_RUTN,0)),"⚠ RUT no está en Trabajadores"))</f>
        <v/>
      </c>
      <c r="E445" s="61"/>
      <c r="F445" s="61"/>
      <c r="G445" s="61"/>
      <c r="H445" s="61"/>
      <c r="I445" s="81"/>
      <c r="J445" s="81"/>
      <c r="K445" s="60"/>
      <c r="L445" s="60"/>
      <c r="M445" s="60"/>
      <c r="N445" s="60"/>
      <c r="O445" s="60"/>
      <c r="P445" s="60"/>
      <c r="Q445" s="60"/>
      <c r="R445" s="58"/>
      <c r="S445" s="62" t="str">
        <f aca="false">IF(OR(B445="",V445=""),"",IFERROR(INDEX(C_TIPO,MATCH(V445&amp;"-P"&amp;MAX(1,COUNTIFS(C_RUTN,V445,C_DEF,"Sí",C_INI,"&lt;="&amp;EOMONTH(B445,0))),C_CLAVE,0))&amp;"","Sin contrato"))</f>
        <v/>
      </c>
      <c r="T445" s="63" t="str">
        <f aca="false">IF(OR(B445="",N(O445)=0),"",N(O445)+ROUND(MIN(N(N445),TOPE_UF*UF_MES)*(TASA_EMP+MUTUAL),0)+ROUND(MIN(N(N445),TOPE_AFC_UF*UF_MES)*IF(S445="Indefinido",AFC_INDEF,AFC_PF),0))</f>
        <v/>
      </c>
      <c r="U445" s="62" t="str">
        <f aca="false">IF(C445="","",IF(LEFT(D445,1)="⚠","⚠ RUT no registrado en Trabajadores",IF(B445="","⚠ Falta el mes",IF(OR(ISTEXT(I445),ISTEXT(J445)),"⚠ Atrasos u horas extra como texto: escriba hh:mm (ej. 1:30)",IF(AND(ISNUMBER(Q445),COUNTIFS(M_RUTN,V445,M_MES,B445,M_LIQ,"&lt;&gt;")&gt;1),"⚠ Liquidación repetida en el mes",IF(AND(ISNUMBER(O445),ISNUMBER(P445),ISNUMBER(Q445),ABS(O445-P445-Q445)&gt;1),"⚠ Haberes − descuentos no da el líquido","OK"))))))</f>
        <v/>
      </c>
      <c r="V445" s="62" t="str">
        <f aca="false">IF(C445="","",IFERROR(VALUE(LEFT(UPPER(SUBSTITUTE(SUBSTITUTE(SUBSTITUTE(TRIM(C445),".",""),"-","")," ","")),LEN(UPPER(SUBSTITUTE(SUBSTITUTE(SUBSTITUTE(TRIM(C445),".",""),"-","")," ","")))-1))&amp;RIGHT(UPPER(SUBSTITUTE(SUBSTITUTE(SUBSTITUTE(TRIM(C445),".",""),"-","")," ","")),1),UPPER(SUBSTITUTE(SUBSTITUTE(SUBSTITUTE(TRIM(C445),".",""),"-","")," ",""))))</f>
        <v/>
      </c>
    </row>
    <row r="446" customFormat="false" ht="15" hidden="false" customHeight="false" outlineLevel="0" collapsed="false">
      <c r="B446" s="80"/>
      <c r="C446" s="58"/>
      <c r="D446" s="62" t="str">
        <f aca="false">IF(C446="","",IFERROR(INDEX(T_NOMBRE,MATCH(V446,T_RUTN,0)),"⚠ RUT no está en Trabajadores"))</f>
        <v/>
      </c>
      <c r="E446" s="61"/>
      <c r="F446" s="61"/>
      <c r="G446" s="61"/>
      <c r="H446" s="61"/>
      <c r="I446" s="81"/>
      <c r="J446" s="81"/>
      <c r="K446" s="60"/>
      <c r="L446" s="60"/>
      <c r="M446" s="60"/>
      <c r="N446" s="60"/>
      <c r="O446" s="60"/>
      <c r="P446" s="60"/>
      <c r="Q446" s="60"/>
      <c r="R446" s="58"/>
      <c r="S446" s="62" t="str">
        <f aca="false">IF(OR(B446="",V446=""),"",IFERROR(INDEX(C_TIPO,MATCH(V446&amp;"-P"&amp;MAX(1,COUNTIFS(C_RUTN,V446,C_DEF,"Sí",C_INI,"&lt;="&amp;EOMONTH(B446,0))),C_CLAVE,0))&amp;"","Sin contrato"))</f>
        <v/>
      </c>
      <c r="T446" s="63" t="str">
        <f aca="false">IF(OR(B446="",N(O446)=0),"",N(O446)+ROUND(MIN(N(N446),TOPE_UF*UF_MES)*(TASA_EMP+MUTUAL),0)+ROUND(MIN(N(N446),TOPE_AFC_UF*UF_MES)*IF(S446="Indefinido",AFC_INDEF,AFC_PF),0))</f>
        <v/>
      </c>
      <c r="U446" s="62" t="str">
        <f aca="false">IF(C446="","",IF(LEFT(D446,1)="⚠","⚠ RUT no registrado en Trabajadores",IF(B446="","⚠ Falta el mes",IF(OR(ISTEXT(I446),ISTEXT(J446)),"⚠ Atrasos u horas extra como texto: escriba hh:mm (ej. 1:30)",IF(AND(ISNUMBER(Q446),COUNTIFS(M_RUTN,V446,M_MES,B446,M_LIQ,"&lt;&gt;")&gt;1),"⚠ Liquidación repetida en el mes",IF(AND(ISNUMBER(O446),ISNUMBER(P446),ISNUMBER(Q446),ABS(O446-P446-Q446)&gt;1),"⚠ Haberes − descuentos no da el líquido","OK"))))))</f>
        <v/>
      </c>
      <c r="V446" s="62" t="str">
        <f aca="false">IF(C446="","",IFERROR(VALUE(LEFT(UPPER(SUBSTITUTE(SUBSTITUTE(SUBSTITUTE(TRIM(C446),".",""),"-","")," ","")),LEN(UPPER(SUBSTITUTE(SUBSTITUTE(SUBSTITUTE(TRIM(C446),".",""),"-","")," ","")))-1))&amp;RIGHT(UPPER(SUBSTITUTE(SUBSTITUTE(SUBSTITUTE(TRIM(C446),".",""),"-","")," ","")),1),UPPER(SUBSTITUTE(SUBSTITUTE(SUBSTITUTE(TRIM(C446),".",""),"-","")," ",""))))</f>
        <v/>
      </c>
    </row>
    <row r="447" customFormat="false" ht="15" hidden="false" customHeight="false" outlineLevel="0" collapsed="false">
      <c r="B447" s="80"/>
      <c r="C447" s="58"/>
      <c r="D447" s="62" t="str">
        <f aca="false">IF(C447="","",IFERROR(INDEX(T_NOMBRE,MATCH(V447,T_RUTN,0)),"⚠ RUT no está en Trabajadores"))</f>
        <v/>
      </c>
      <c r="E447" s="61"/>
      <c r="F447" s="61"/>
      <c r="G447" s="61"/>
      <c r="H447" s="61"/>
      <c r="I447" s="81"/>
      <c r="J447" s="81"/>
      <c r="K447" s="60"/>
      <c r="L447" s="60"/>
      <c r="M447" s="60"/>
      <c r="N447" s="60"/>
      <c r="O447" s="60"/>
      <c r="P447" s="60"/>
      <c r="Q447" s="60"/>
      <c r="R447" s="58"/>
      <c r="S447" s="62" t="str">
        <f aca="false">IF(OR(B447="",V447=""),"",IFERROR(INDEX(C_TIPO,MATCH(V447&amp;"-P"&amp;MAX(1,COUNTIFS(C_RUTN,V447,C_DEF,"Sí",C_INI,"&lt;="&amp;EOMONTH(B447,0))),C_CLAVE,0))&amp;"","Sin contrato"))</f>
        <v/>
      </c>
      <c r="T447" s="63" t="str">
        <f aca="false">IF(OR(B447="",N(O447)=0),"",N(O447)+ROUND(MIN(N(N447),TOPE_UF*UF_MES)*(TASA_EMP+MUTUAL),0)+ROUND(MIN(N(N447),TOPE_AFC_UF*UF_MES)*IF(S447="Indefinido",AFC_INDEF,AFC_PF),0))</f>
        <v/>
      </c>
      <c r="U447" s="62" t="str">
        <f aca="false">IF(C447="","",IF(LEFT(D447,1)="⚠","⚠ RUT no registrado en Trabajadores",IF(B447="","⚠ Falta el mes",IF(OR(ISTEXT(I447),ISTEXT(J447)),"⚠ Atrasos u horas extra como texto: escriba hh:mm (ej. 1:30)",IF(AND(ISNUMBER(Q447),COUNTIFS(M_RUTN,V447,M_MES,B447,M_LIQ,"&lt;&gt;")&gt;1),"⚠ Liquidación repetida en el mes",IF(AND(ISNUMBER(O447),ISNUMBER(P447),ISNUMBER(Q447),ABS(O447-P447-Q447)&gt;1),"⚠ Haberes − descuentos no da el líquido","OK"))))))</f>
        <v/>
      </c>
      <c r="V447" s="62" t="str">
        <f aca="false">IF(C447="","",IFERROR(VALUE(LEFT(UPPER(SUBSTITUTE(SUBSTITUTE(SUBSTITUTE(TRIM(C447),".",""),"-","")," ","")),LEN(UPPER(SUBSTITUTE(SUBSTITUTE(SUBSTITUTE(TRIM(C447),".",""),"-","")," ","")))-1))&amp;RIGHT(UPPER(SUBSTITUTE(SUBSTITUTE(SUBSTITUTE(TRIM(C447),".",""),"-","")," ","")),1),UPPER(SUBSTITUTE(SUBSTITUTE(SUBSTITUTE(TRIM(C447),".",""),"-","")," ",""))))</f>
        <v/>
      </c>
    </row>
    <row r="448" customFormat="false" ht="15" hidden="false" customHeight="false" outlineLevel="0" collapsed="false">
      <c r="B448" s="80"/>
      <c r="C448" s="58"/>
      <c r="D448" s="62" t="str">
        <f aca="false">IF(C448="","",IFERROR(INDEX(T_NOMBRE,MATCH(V448,T_RUTN,0)),"⚠ RUT no está en Trabajadores"))</f>
        <v/>
      </c>
      <c r="E448" s="61"/>
      <c r="F448" s="61"/>
      <c r="G448" s="61"/>
      <c r="H448" s="61"/>
      <c r="I448" s="81"/>
      <c r="J448" s="81"/>
      <c r="K448" s="60"/>
      <c r="L448" s="60"/>
      <c r="M448" s="60"/>
      <c r="N448" s="60"/>
      <c r="O448" s="60"/>
      <c r="P448" s="60"/>
      <c r="Q448" s="60"/>
      <c r="R448" s="58"/>
      <c r="S448" s="62" t="str">
        <f aca="false">IF(OR(B448="",V448=""),"",IFERROR(INDEX(C_TIPO,MATCH(V448&amp;"-P"&amp;MAX(1,COUNTIFS(C_RUTN,V448,C_DEF,"Sí",C_INI,"&lt;="&amp;EOMONTH(B448,0))),C_CLAVE,0))&amp;"","Sin contrato"))</f>
        <v/>
      </c>
      <c r="T448" s="63" t="str">
        <f aca="false">IF(OR(B448="",N(O448)=0),"",N(O448)+ROUND(MIN(N(N448),TOPE_UF*UF_MES)*(TASA_EMP+MUTUAL),0)+ROUND(MIN(N(N448),TOPE_AFC_UF*UF_MES)*IF(S448="Indefinido",AFC_INDEF,AFC_PF),0))</f>
        <v/>
      </c>
      <c r="U448" s="62" t="str">
        <f aca="false">IF(C448="","",IF(LEFT(D448,1)="⚠","⚠ RUT no registrado en Trabajadores",IF(B448="","⚠ Falta el mes",IF(OR(ISTEXT(I448),ISTEXT(J448)),"⚠ Atrasos u horas extra como texto: escriba hh:mm (ej. 1:30)",IF(AND(ISNUMBER(Q448),COUNTIFS(M_RUTN,V448,M_MES,B448,M_LIQ,"&lt;&gt;")&gt;1),"⚠ Liquidación repetida en el mes",IF(AND(ISNUMBER(O448),ISNUMBER(P448),ISNUMBER(Q448),ABS(O448-P448-Q448)&gt;1),"⚠ Haberes − descuentos no da el líquido","OK"))))))</f>
        <v/>
      </c>
      <c r="V448" s="62" t="str">
        <f aca="false">IF(C448="","",IFERROR(VALUE(LEFT(UPPER(SUBSTITUTE(SUBSTITUTE(SUBSTITUTE(TRIM(C448),".",""),"-","")," ","")),LEN(UPPER(SUBSTITUTE(SUBSTITUTE(SUBSTITUTE(TRIM(C448),".",""),"-","")," ","")))-1))&amp;RIGHT(UPPER(SUBSTITUTE(SUBSTITUTE(SUBSTITUTE(TRIM(C448),".",""),"-","")," ","")),1),UPPER(SUBSTITUTE(SUBSTITUTE(SUBSTITUTE(TRIM(C448),".",""),"-","")," ",""))))</f>
        <v/>
      </c>
    </row>
    <row r="449" customFormat="false" ht="15" hidden="false" customHeight="false" outlineLevel="0" collapsed="false">
      <c r="B449" s="80"/>
      <c r="C449" s="58"/>
      <c r="D449" s="62" t="str">
        <f aca="false">IF(C449="","",IFERROR(INDEX(T_NOMBRE,MATCH(V449,T_RUTN,0)),"⚠ RUT no está en Trabajadores"))</f>
        <v/>
      </c>
      <c r="E449" s="61"/>
      <c r="F449" s="61"/>
      <c r="G449" s="61"/>
      <c r="H449" s="61"/>
      <c r="I449" s="81"/>
      <c r="J449" s="81"/>
      <c r="K449" s="60"/>
      <c r="L449" s="60"/>
      <c r="M449" s="60"/>
      <c r="N449" s="60"/>
      <c r="O449" s="60"/>
      <c r="P449" s="60"/>
      <c r="Q449" s="60"/>
      <c r="R449" s="58"/>
      <c r="S449" s="62" t="str">
        <f aca="false">IF(OR(B449="",V449=""),"",IFERROR(INDEX(C_TIPO,MATCH(V449&amp;"-P"&amp;MAX(1,COUNTIFS(C_RUTN,V449,C_DEF,"Sí",C_INI,"&lt;="&amp;EOMONTH(B449,0))),C_CLAVE,0))&amp;"","Sin contrato"))</f>
        <v/>
      </c>
      <c r="T449" s="63" t="str">
        <f aca="false">IF(OR(B449="",N(O449)=0),"",N(O449)+ROUND(MIN(N(N449),TOPE_UF*UF_MES)*(TASA_EMP+MUTUAL),0)+ROUND(MIN(N(N449),TOPE_AFC_UF*UF_MES)*IF(S449="Indefinido",AFC_INDEF,AFC_PF),0))</f>
        <v/>
      </c>
      <c r="U449" s="62" t="str">
        <f aca="false">IF(C449="","",IF(LEFT(D449,1)="⚠","⚠ RUT no registrado en Trabajadores",IF(B449="","⚠ Falta el mes",IF(OR(ISTEXT(I449),ISTEXT(J449)),"⚠ Atrasos u horas extra como texto: escriba hh:mm (ej. 1:30)",IF(AND(ISNUMBER(Q449),COUNTIFS(M_RUTN,V449,M_MES,B449,M_LIQ,"&lt;&gt;")&gt;1),"⚠ Liquidación repetida en el mes",IF(AND(ISNUMBER(O449),ISNUMBER(P449),ISNUMBER(Q449),ABS(O449-P449-Q449)&gt;1),"⚠ Haberes − descuentos no da el líquido","OK"))))))</f>
        <v/>
      </c>
      <c r="V449" s="62" t="str">
        <f aca="false">IF(C449="","",IFERROR(VALUE(LEFT(UPPER(SUBSTITUTE(SUBSTITUTE(SUBSTITUTE(TRIM(C449),".",""),"-","")," ","")),LEN(UPPER(SUBSTITUTE(SUBSTITUTE(SUBSTITUTE(TRIM(C449),".",""),"-","")," ","")))-1))&amp;RIGHT(UPPER(SUBSTITUTE(SUBSTITUTE(SUBSTITUTE(TRIM(C449),".",""),"-","")," ","")),1),UPPER(SUBSTITUTE(SUBSTITUTE(SUBSTITUTE(TRIM(C449),".",""),"-","")," ",""))))</f>
        <v/>
      </c>
    </row>
    <row r="450" customFormat="false" ht="15" hidden="false" customHeight="false" outlineLevel="0" collapsed="false">
      <c r="B450" s="80"/>
      <c r="C450" s="58"/>
      <c r="D450" s="62" t="str">
        <f aca="false">IF(C450="","",IFERROR(INDEX(T_NOMBRE,MATCH(V450,T_RUTN,0)),"⚠ RUT no está en Trabajadores"))</f>
        <v/>
      </c>
      <c r="E450" s="61"/>
      <c r="F450" s="61"/>
      <c r="G450" s="61"/>
      <c r="H450" s="61"/>
      <c r="I450" s="81"/>
      <c r="J450" s="81"/>
      <c r="K450" s="60"/>
      <c r="L450" s="60"/>
      <c r="M450" s="60"/>
      <c r="N450" s="60"/>
      <c r="O450" s="60"/>
      <c r="P450" s="60"/>
      <c r="Q450" s="60"/>
      <c r="R450" s="58"/>
      <c r="S450" s="62" t="str">
        <f aca="false">IF(OR(B450="",V450=""),"",IFERROR(INDEX(C_TIPO,MATCH(V450&amp;"-P"&amp;MAX(1,COUNTIFS(C_RUTN,V450,C_DEF,"Sí",C_INI,"&lt;="&amp;EOMONTH(B450,0))),C_CLAVE,0))&amp;"","Sin contrato"))</f>
        <v/>
      </c>
      <c r="T450" s="63" t="str">
        <f aca="false">IF(OR(B450="",N(O450)=0),"",N(O450)+ROUND(MIN(N(N450),TOPE_UF*UF_MES)*(TASA_EMP+MUTUAL),0)+ROUND(MIN(N(N450),TOPE_AFC_UF*UF_MES)*IF(S450="Indefinido",AFC_INDEF,AFC_PF),0))</f>
        <v/>
      </c>
      <c r="U450" s="62" t="str">
        <f aca="false">IF(C450="","",IF(LEFT(D450,1)="⚠","⚠ RUT no registrado en Trabajadores",IF(B450="","⚠ Falta el mes",IF(OR(ISTEXT(I450),ISTEXT(J450)),"⚠ Atrasos u horas extra como texto: escriba hh:mm (ej. 1:30)",IF(AND(ISNUMBER(Q450),COUNTIFS(M_RUTN,V450,M_MES,B450,M_LIQ,"&lt;&gt;")&gt;1),"⚠ Liquidación repetida en el mes",IF(AND(ISNUMBER(O450),ISNUMBER(P450),ISNUMBER(Q450),ABS(O450-P450-Q450)&gt;1),"⚠ Haberes − descuentos no da el líquido","OK"))))))</f>
        <v/>
      </c>
      <c r="V450" s="62" t="str">
        <f aca="false">IF(C450="","",IFERROR(VALUE(LEFT(UPPER(SUBSTITUTE(SUBSTITUTE(SUBSTITUTE(TRIM(C450),".",""),"-","")," ","")),LEN(UPPER(SUBSTITUTE(SUBSTITUTE(SUBSTITUTE(TRIM(C450),".",""),"-","")," ","")))-1))&amp;RIGHT(UPPER(SUBSTITUTE(SUBSTITUTE(SUBSTITUTE(TRIM(C450),".",""),"-","")," ","")),1),UPPER(SUBSTITUTE(SUBSTITUTE(SUBSTITUTE(TRIM(C450),".",""),"-","")," ",""))))</f>
        <v/>
      </c>
    </row>
    <row r="451" customFormat="false" ht="15" hidden="false" customHeight="false" outlineLevel="0" collapsed="false">
      <c r="B451" s="80"/>
      <c r="C451" s="58"/>
      <c r="D451" s="62" t="str">
        <f aca="false">IF(C451="","",IFERROR(INDEX(T_NOMBRE,MATCH(V451,T_RUTN,0)),"⚠ RUT no está en Trabajadores"))</f>
        <v/>
      </c>
      <c r="E451" s="61"/>
      <c r="F451" s="61"/>
      <c r="G451" s="61"/>
      <c r="H451" s="61"/>
      <c r="I451" s="81"/>
      <c r="J451" s="81"/>
      <c r="K451" s="60"/>
      <c r="L451" s="60"/>
      <c r="M451" s="60"/>
      <c r="N451" s="60"/>
      <c r="O451" s="60"/>
      <c r="P451" s="60"/>
      <c r="Q451" s="60"/>
      <c r="R451" s="58"/>
      <c r="S451" s="62" t="str">
        <f aca="false">IF(OR(B451="",V451=""),"",IFERROR(INDEX(C_TIPO,MATCH(V451&amp;"-P"&amp;MAX(1,COUNTIFS(C_RUTN,V451,C_DEF,"Sí",C_INI,"&lt;="&amp;EOMONTH(B451,0))),C_CLAVE,0))&amp;"","Sin contrato"))</f>
        <v/>
      </c>
      <c r="T451" s="63" t="str">
        <f aca="false">IF(OR(B451="",N(O451)=0),"",N(O451)+ROUND(MIN(N(N451),TOPE_UF*UF_MES)*(TASA_EMP+MUTUAL),0)+ROUND(MIN(N(N451),TOPE_AFC_UF*UF_MES)*IF(S451="Indefinido",AFC_INDEF,AFC_PF),0))</f>
        <v/>
      </c>
      <c r="U451" s="62" t="str">
        <f aca="false">IF(C451="","",IF(LEFT(D451,1)="⚠","⚠ RUT no registrado en Trabajadores",IF(B451="","⚠ Falta el mes",IF(OR(ISTEXT(I451),ISTEXT(J451)),"⚠ Atrasos u horas extra como texto: escriba hh:mm (ej. 1:30)",IF(AND(ISNUMBER(Q451),COUNTIFS(M_RUTN,V451,M_MES,B451,M_LIQ,"&lt;&gt;")&gt;1),"⚠ Liquidación repetida en el mes",IF(AND(ISNUMBER(O451),ISNUMBER(P451),ISNUMBER(Q451),ABS(O451-P451-Q451)&gt;1),"⚠ Haberes − descuentos no da el líquido","OK"))))))</f>
        <v/>
      </c>
      <c r="V451" s="62" t="str">
        <f aca="false">IF(C451="","",IFERROR(VALUE(LEFT(UPPER(SUBSTITUTE(SUBSTITUTE(SUBSTITUTE(TRIM(C451),".",""),"-","")," ","")),LEN(UPPER(SUBSTITUTE(SUBSTITUTE(SUBSTITUTE(TRIM(C451),".",""),"-","")," ","")))-1))&amp;RIGHT(UPPER(SUBSTITUTE(SUBSTITUTE(SUBSTITUTE(TRIM(C451),".",""),"-","")," ","")),1),UPPER(SUBSTITUTE(SUBSTITUTE(SUBSTITUTE(TRIM(C451),".",""),"-","")," ",""))))</f>
        <v/>
      </c>
    </row>
    <row r="452" customFormat="false" ht="15" hidden="false" customHeight="false" outlineLevel="0" collapsed="false">
      <c r="B452" s="80"/>
      <c r="C452" s="58"/>
      <c r="D452" s="62" t="str">
        <f aca="false">IF(C452="","",IFERROR(INDEX(T_NOMBRE,MATCH(V452,T_RUTN,0)),"⚠ RUT no está en Trabajadores"))</f>
        <v/>
      </c>
      <c r="E452" s="61"/>
      <c r="F452" s="61"/>
      <c r="G452" s="61"/>
      <c r="H452" s="61"/>
      <c r="I452" s="81"/>
      <c r="J452" s="81"/>
      <c r="K452" s="60"/>
      <c r="L452" s="60"/>
      <c r="M452" s="60"/>
      <c r="N452" s="60"/>
      <c r="O452" s="60"/>
      <c r="P452" s="60"/>
      <c r="Q452" s="60"/>
      <c r="R452" s="58"/>
      <c r="S452" s="62" t="str">
        <f aca="false">IF(OR(B452="",V452=""),"",IFERROR(INDEX(C_TIPO,MATCH(V452&amp;"-P"&amp;MAX(1,COUNTIFS(C_RUTN,V452,C_DEF,"Sí",C_INI,"&lt;="&amp;EOMONTH(B452,0))),C_CLAVE,0))&amp;"","Sin contrato"))</f>
        <v/>
      </c>
      <c r="T452" s="63" t="str">
        <f aca="false">IF(OR(B452="",N(O452)=0),"",N(O452)+ROUND(MIN(N(N452),TOPE_UF*UF_MES)*(TASA_EMP+MUTUAL),0)+ROUND(MIN(N(N452),TOPE_AFC_UF*UF_MES)*IF(S452="Indefinido",AFC_INDEF,AFC_PF),0))</f>
        <v/>
      </c>
      <c r="U452" s="62" t="str">
        <f aca="false">IF(C452="","",IF(LEFT(D452,1)="⚠","⚠ RUT no registrado en Trabajadores",IF(B452="","⚠ Falta el mes",IF(OR(ISTEXT(I452),ISTEXT(J452)),"⚠ Atrasos u horas extra como texto: escriba hh:mm (ej. 1:30)",IF(AND(ISNUMBER(Q452),COUNTIFS(M_RUTN,V452,M_MES,B452,M_LIQ,"&lt;&gt;")&gt;1),"⚠ Liquidación repetida en el mes",IF(AND(ISNUMBER(O452),ISNUMBER(P452),ISNUMBER(Q452),ABS(O452-P452-Q452)&gt;1),"⚠ Haberes − descuentos no da el líquido","OK"))))))</f>
        <v/>
      </c>
      <c r="V452" s="62" t="str">
        <f aca="false">IF(C452="","",IFERROR(VALUE(LEFT(UPPER(SUBSTITUTE(SUBSTITUTE(SUBSTITUTE(TRIM(C452),".",""),"-","")," ","")),LEN(UPPER(SUBSTITUTE(SUBSTITUTE(SUBSTITUTE(TRIM(C452),".",""),"-","")," ","")))-1))&amp;RIGHT(UPPER(SUBSTITUTE(SUBSTITUTE(SUBSTITUTE(TRIM(C452),".",""),"-","")," ","")),1),UPPER(SUBSTITUTE(SUBSTITUTE(SUBSTITUTE(TRIM(C452),".",""),"-","")," ",""))))</f>
        <v/>
      </c>
    </row>
    <row r="453" customFormat="false" ht="15" hidden="false" customHeight="false" outlineLevel="0" collapsed="false">
      <c r="B453" s="80"/>
      <c r="C453" s="58"/>
      <c r="D453" s="62" t="str">
        <f aca="false">IF(C453="","",IFERROR(INDEX(T_NOMBRE,MATCH(V453,T_RUTN,0)),"⚠ RUT no está en Trabajadores"))</f>
        <v/>
      </c>
      <c r="E453" s="61"/>
      <c r="F453" s="61"/>
      <c r="G453" s="61"/>
      <c r="H453" s="61"/>
      <c r="I453" s="81"/>
      <c r="J453" s="81"/>
      <c r="K453" s="60"/>
      <c r="L453" s="60"/>
      <c r="M453" s="60"/>
      <c r="N453" s="60"/>
      <c r="O453" s="60"/>
      <c r="P453" s="60"/>
      <c r="Q453" s="60"/>
      <c r="R453" s="58"/>
      <c r="S453" s="62" t="str">
        <f aca="false">IF(OR(B453="",V453=""),"",IFERROR(INDEX(C_TIPO,MATCH(V453&amp;"-P"&amp;MAX(1,COUNTIFS(C_RUTN,V453,C_DEF,"Sí",C_INI,"&lt;="&amp;EOMONTH(B453,0))),C_CLAVE,0))&amp;"","Sin contrato"))</f>
        <v/>
      </c>
      <c r="T453" s="63" t="str">
        <f aca="false">IF(OR(B453="",N(O453)=0),"",N(O453)+ROUND(MIN(N(N453),TOPE_UF*UF_MES)*(TASA_EMP+MUTUAL),0)+ROUND(MIN(N(N453),TOPE_AFC_UF*UF_MES)*IF(S453="Indefinido",AFC_INDEF,AFC_PF),0))</f>
        <v/>
      </c>
      <c r="U453" s="62" t="str">
        <f aca="false">IF(C453="","",IF(LEFT(D453,1)="⚠","⚠ RUT no registrado en Trabajadores",IF(B453="","⚠ Falta el mes",IF(OR(ISTEXT(I453),ISTEXT(J453)),"⚠ Atrasos u horas extra como texto: escriba hh:mm (ej. 1:30)",IF(AND(ISNUMBER(Q453),COUNTIFS(M_RUTN,V453,M_MES,B453,M_LIQ,"&lt;&gt;")&gt;1),"⚠ Liquidación repetida en el mes",IF(AND(ISNUMBER(O453),ISNUMBER(P453),ISNUMBER(Q453),ABS(O453-P453-Q453)&gt;1),"⚠ Haberes − descuentos no da el líquido","OK"))))))</f>
        <v/>
      </c>
      <c r="V453" s="62" t="str">
        <f aca="false">IF(C453="","",IFERROR(VALUE(LEFT(UPPER(SUBSTITUTE(SUBSTITUTE(SUBSTITUTE(TRIM(C453),".",""),"-","")," ","")),LEN(UPPER(SUBSTITUTE(SUBSTITUTE(SUBSTITUTE(TRIM(C453),".",""),"-","")," ","")))-1))&amp;RIGHT(UPPER(SUBSTITUTE(SUBSTITUTE(SUBSTITUTE(TRIM(C453),".",""),"-","")," ","")),1),UPPER(SUBSTITUTE(SUBSTITUTE(SUBSTITUTE(TRIM(C453),".",""),"-","")," ",""))))</f>
        <v/>
      </c>
    </row>
    <row r="454" customFormat="false" ht="15" hidden="false" customHeight="false" outlineLevel="0" collapsed="false">
      <c r="B454" s="80"/>
      <c r="C454" s="58"/>
      <c r="D454" s="62" t="str">
        <f aca="false">IF(C454="","",IFERROR(INDEX(T_NOMBRE,MATCH(V454,T_RUTN,0)),"⚠ RUT no está en Trabajadores"))</f>
        <v/>
      </c>
      <c r="E454" s="61"/>
      <c r="F454" s="61"/>
      <c r="G454" s="61"/>
      <c r="H454" s="61"/>
      <c r="I454" s="81"/>
      <c r="J454" s="81"/>
      <c r="K454" s="60"/>
      <c r="L454" s="60"/>
      <c r="M454" s="60"/>
      <c r="N454" s="60"/>
      <c r="O454" s="60"/>
      <c r="P454" s="60"/>
      <c r="Q454" s="60"/>
      <c r="R454" s="58"/>
      <c r="S454" s="62" t="str">
        <f aca="false">IF(OR(B454="",V454=""),"",IFERROR(INDEX(C_TIPO,MATCH(V454&amp;"-P"&amp;MAX(1,COUNTIFS(C_RUTN,V454,C_DEF,"Sí",C_INI,"&lt;="&amp;EOMONTH(B454,0))),C_CLAVE,0))&amp;"","Sin contrato"))</f>
        <v/>
      </c>
      <c r="T454" s="63" t="str">
        <f aca="false">IF(OR(B454="",N(O454)=0),"",N(O454)+ROUND(MIN(N(N454),TOPE_UF*UF_MES)*(TASA_EMP+MUTUAL),0)+ROUND(MIN(N(N454),TOPE_AFC_UF*UF_MES)*IF(S454="Indefinido",AFC_INDEF,AFC_PF),0))</f>
        <v/>
      </c>
      <c r="U454" s="62" t="str">
        <f aca="false">IF(C454="","",IF(LEFT(D454,1)="⚠","⚠ RUT no registrado en Trabajadores",IF(B454="","⚠ Falta el mes",IF(OR(ISTEXT(I454),ISTEXT(J454)),"⚠ Atrasos u horas extra como texto: escriba hh:mm (ej. 1:30)",IF(AND(ISNUMBER(Q454),COUNTIFS(M_RUTN,V454,M_MES,B454,M_LIQ,"&lt;&gt;")&gt;1),"⚠ Liquidación repetida en el mes",IF(AND(ISNUMBER(O454),ISNUMBER(P454),ISNUMBER(Q454),ABS(O454-P454-Q454)&gt;1),"⚠ Haberes − descuentos no da el líquido","OK"))))))</f>
        <v/>
      </c>
      <c r="V454" s="62" t="str">
        <f aca="false">IF(C454="","",IFERROR(VALUE(LEFT(UPPER(SUBSTITUTE(SUBSTITUTE(SUBSTITUTE(TRIM(C454),".",""),"-","")," ","")),LEN(UPPER(SUBSTITUTE(SUBSTITUTE(SUBSTITUTE(TRIM(C454),".",""),"-","")," ","")))-1))&amp;RIGHT(UPPER(SUBSTITUTE(SUBSTITUTE(SUBSTITUTE(TRIM(C454),".",""),"-","")," ","")),1),UPPER(SUBSTITUTE(SUBSTITUTE(SUBSTITUTE(TRIM(C454),".",""),"-","")," ",""))))</f>
        <v/>
      </c>
    </row>
    <row r="455" customFormat="false" ht="15" hidden="false" customHeight="false" outlineLevel="0" collapsed="false">
      <c r="B455" s="80"/>
      <c r="C455" s="58"/>
      <c r="D455" s="62" t="str">
        <f aca="false">IF(C455="","",IFERROR(INDEX(T_NOMBRE,MATCH(V455,T_RUTN,0)),"⚠ RUT no está en Trabajadores"))</f>
        <v/>
      </c>
      <c r="E455" s="61"/>
      <c r="F455" s="61"/>
      <c r="G455" s="61"/>
      <c r="H455" s="61"/>
      <c r="I455" s="81"/>
      <c r="J455" s="81"/>
      <c r="K455" s="60"/>
      <c r="L455" s="60"/>
      <c r="M455" s="60"/>
      <c r="N455" s="60"/>
      <c r="O455" s="60"/>
      <c r="P455" s="60"/>
      <c r="Q455" s="60"/>
      <c r="R455" s="58"/>
      <c r="S455" s="62" t="str">
        <f aca="false">IF(OR(B455="",V455=""),"",IFERROR(INDEX(C_TIPO,MATCH(V455&amp;"-P"&amp;MAX(1,COUNTIFS(C_RUTN,V455,C_DEF,"Sí",C_INI,"&lt;="&amp;EOMONTH(B455,0))),C_CLAVE,0))&amp;"","Sin contrato"))</f>
        <v/>
      </c>
      <c r="T455" s="63" t="str">
        <f aca="false">IF(OR(B455="",N(O455)=0),"",N(O455)+ROUND(MIN(N(N455),TOPE_UF*UF_MES)*(TASA_EMP+MUTUAL),0)+ROUND(MIN(N(N455),TOPE_AFC_UF*UF_MES)*IF(S455="Indefinido",AFC_INDEF,AFC_PF),0))</f>
        <v/>
      </c>
      <c r="U455" s="62" t="str">
        <f aca="false">IF(C455="","",IF(LEFT(D455,1)="⚠","⚠ RUT no registrado en Trabajadores",IF(B455="","⚠ Falta el mes",IF(OR(ISTEXT(I455),ISTEXT(J455)),"⚠ Atrasos u horas extra como texto: escriba hh:mm (ej. 1:30)",IF(AND(ISNUMBER(Q455),COUNTIFS(M_RUTN,V455,M_MES,B455,M_LIQ,"&lt;&gt;")&gt;1),"⚠ Liquidación repetida en el mes",IF(AND(ISNUMBER(O455),ISNUMBER(P455),ISNUMBER(Q455),ABS(O455-P455-Q455)&gt;1),"⚠ Haberes − descuentos no da el líquido","OK"))))))</f>
        <v/>
      </c>
      <c r="V455" s="62" t="str">
        <f aca="false">IF(C455="","",IFERROR(VALUE(LEFT(UPPER(SUBSTITUTE(SUBSTITUTE(SUBSTITUTE(TRIM(C455),".",""),"-","")," ","")),LEN(UPPER(SUBSTITUTE(SUBSTITUTE(SUBSTITUTE(TRIM(C455),".",""),"-","")," ","")))-1))&amp;RIGHT(UPPER(SUBSTITUTE(SUBSTITUTE(SUBSTITUTE(TRIM(C455),".",""),"-","")," ","")),1),UPPER(SUBSTITUTE(SUBSTITUTE(SUBSTITUTE(TRIM(C455),".",""),"-","")," ",""))))</f>
        <v/>
      </c>
    </row>
    <row r="456" customFormat="false" ht="15" hidden="false" customHeight="false" outlineLevel="0" collapsed="false">
      <c r="B456" s="80"/>
      <c r="C456" s="58"/>
      <c r="D456" s="62" t="str">
        <f aca="false">IF(C456="","",IFERROR(INDEX(T_NOMBRE,MATCH(V456,T_RUTN,0)),"⚠ RUT no está en Trabajadores"))</f>
        <v/>
      </c>
      <c r="E456" s="61"/>
      <c r="F456" s="61"/>
      <c r="G456" s="61"/>
      <c r="H456" s="61"/>
      <c r="I456" s="81"/>
      <c r="J456" s="81"/>
      <c r="K456" s="60"/>
      <c r="L456" s="60"/>
      <c r="M456" s="60"/>
      <c r="N456" s="60"/>
      <c r="O456" s="60"/>
      <c r="P456" s="60"/>
      <c r="Q456" s="60"/>
      <c r="R456" s="58"/>
      <c r="S456" s="62" t="str">
        <f aca="false">IF(OR(B456="",V456=""),"",IFERROR(INDEX(C_TIPO,MATCH(V456&amp;"-P"&amp;MAX(1,COUNTIFS(C_RUTN,V456,C_DEF,"Sí",C_INI,"&lt;="&amp;EOMONTH(B456,0))),C_CLAVE,0))&amp;"","Sin contrato"))</f>
        <v/>
      </c>
      <c r="T456" s="63" t="str">
        <f aca="false">IF(OR(B456="",N(O456)=0),"",N(O456)+ROUND(MIN(N(N456),TOPE_UF*UF_MES)*(TASA_EMP+MUTUAL),0)+ROUND(MIN(N(N456),TOPE_AFC_UF*UF_MES)*IF(S456="Indefinido",AFC_INDEF,AFC_PF),0))</f>
        <v/>
      </c>
      <c r="U456" s="62" t="str">
        <f aca="false">IF(C456="","",IF(LEFT(D456,1)="⚠","⚠ RUT no registrado en Trabajadores",IF(B456="","⚠ Falta el mes",IF(OR(ISTEXT(I456),ISTEXT(J456)),"⚠ Atrasos u horas extra como texto: escriba hh:mm (ej. 1:30)",IF(AND(ISNUMBER(Q456),COUNTIFS(M_RUTN,V456,M_MES,B456,M_LIQ,"&lt;&gt;")&gt;1),"⚠ Liquidación repetida en el mes",IF(AND(ISNUMBER(O456),ISNUMBER(P456),ISNUMBER(Q456),ABS(O456-P456-Q456)&gt;1),"⚠ Haberes − descuentos no da el líquido","OK"))))))</f>
        <v/>
      </c>
      <c r="V456" s="62" t="str">
        <f aca="false">IF(C456="","",IFERROR(VALUE(LEFT(UPPER(SUBSTITUTE(SUBSTITUTE(SUBSTITUTE(TRIM(C456),".",""),"-","")," ","")),LEN(UPPER(SUBSTITUTE(SUBSTITUTE(SUBSTITUTE(TRIM(C456),".",""),"-","")," ","")))-1))&amp;RIGHT(UPPER(SUBSTITUTE(SUBSTITUTE(SUBSTITUTE(TRIM(C456),".",""),"-","")," ","")),1),UPPER(SUBSTITUTE(SUBSTITUTE(SUBSTITUTE(TRIM(C456),".",""),"-","")," ",""))))</f>
        <v/>
      </c>
    </row>
    <row r="457" customFormat="false" ht="15" hidden="false" customHeight="false" outlineLevel="0" collapsed="false">
      <c r="B457" s="80"/>
      <c r="C457" s="58"/>
      <c r="D457" s="62" t="str">
        <f aca="false">IF(C457="","",IFERROR(INDEX(T_NOMBRE,MATCH(V457,T_RUTN,0)),"⚠ RUT no está en Trabajadores"))</f>
        <v/>
      </c>
      <c r="E457" s="61"/>
      <c r="F457" s="61"/>
      <c r="G457" s="61"/>
      <c r="H457" s="61"/>
      <c r="I457" s="81"/>
      <c r="J457" s="81"/>
      <c r="K457" s="60"/>
      <c r="L457" s="60"/>
      <c r="M457" s="60"/>
      <c r="N457" s="60"/>
      <c r="O457" s="60"/>
      <c r="P457" s="60"/>
      <c r="Q457" s="60"/>
      <c r="R457" s="58"/>
      <c r="S457" s="62" t="str">
        <f aca="false">IF(OR(B457="",V457=""),"",IFERROR(INDEX(C_TIPO,MATCH(V457&amp;"-P"&amp;MAX(1,COUNTIFS(C_RUTN,V457,C_DEF,"Sí",C_INI,"&lt;="&amp;EOMONTH(B457,0))),C_CLAVE,0))&amp;"","Sin contrato"))</f>
        <v/>
      </c>
      <c r="T457" s="63" t="str">
        <f aca="false">IF(OR(B457="",N(O457)=0),"",N(O457)+ROUND(MIN(N(N457),TOPE_UF*UF_MES)*(TASA_EMP+MUTUAL),0)+ROUND(MIN(N(N457),TOPE_AFC_UF*UF_MES)*IF(S457="Indefinido",AFC_INDEF,AFC_PF),0))</f>
        <v/>
      </c>
      <c r="U457" s="62" t="str">
        <f aca="false">IF(C457="","",IF(LEFT(D457,1)="⚠","⚠ RUT no registrado en Trabajadores",IF(B457="","⚠ Falta el mes",IF(OR(ISTEXT(I457),ISTEXT(J457)),"⚠ Atrasos u horas extra como texto: escriba hh:mm (ej. 1:30)",IF(AND(ISNUMBER(Q457),COUNTIFS(M_RUTN,V457,M_MES,B457,M_LIQ,"&lt;&gt;")&gt;1),"⚠ Liquidación repetida en el mes",IF(AND(ISNUMBER(O457),ISNUMBER(P457),ISNUMBER(Q457),ABS(O457-P457-Q457)&gt;1),"⚠ Haberes − descuentos no da el líquido","OK"))))))</f>
        <v/>
      </c>
      <c r="V457" s="62" t="str">
        <f aca="false">IF(C457="","",IFERROR(VALUE(LEFT(UPPER(SUBSTITUTE(SUBSTITUTE(SUBSTITUTE(TRIM(C457),".",""),"-","")," ","")),LEN(UPPER(SUBSTITUTE(SUBSTITUTE(SUBSTITUTE(TRIM(C457),".",""),"-","")," ","")))-1))&amp;RIGHT(UPPER(SUBSTITUTE(SUBSTITUTE(SUBSTITUTE(TRIM(C457),".",""),"-","")," ","")),1),UPPER(SUBSTITUTE(SUBSTITUTE(SUBSTITUTE(TRIM(C457),".",""),"-","")," ",""))))</f>
        <v/>
      </c>
    </row>
    <row r="458" customFormat="false" ht="15" hidden="false" customHeight="false" outlineLevel="0" collapsed="false">
      <c r="B458" s="80"/>
      <c r="C458" s="58"/>
      <c r="D458" s="62" t="str">
        <f aca="false">IF(C458="","",IFERROR(INDEX(T_NOMBRE,MATCH(V458,T_RUTN,0)),"⚠ RUT no está en Trabajadores"))</f>
        <v/>
      </c>
      <c r="E458" s="61"/>
      <c r="F458" s="61"/>
      <c r="G458" s="61"/>
      <c r="H458" s="61"/>
      <c r="I458" s="81"/>
      <c r="J458" s="81"/>
      <c r="K458" s="60"/>
      <c r="L458" s="60"/>
      <c r="M458" s="60"/>
      <c r="N458" s="60"/>
      <c r="O458" s="60"/>
      <c r="P458" s="60"/>
      <c r="Q458" s="60"/>
      <c r="R458" s="58"/>
      <c r="S458" s="62" t="str">
        <f aca="false">IF(OR(B458="",V458=""),"",IFERROR(INDEX(C_TIPO,MATCH(V458&amp;"-P"&amp;MAX(1,COUNTIFS(C_RUTN,V458,C_DEF,"Sí",C_INI,"&lt;="&amp;EOMONTH(B458,0))),C_CLAVE,0))&amp;"","Sin contrato"))</f>
        <v/>
      </c>
      <c r="T458" s="63" t="str">
        <f aca="false">IF(OR(B458="",N(O458)=0),"",N(O458)+ROUND(MIN(N(N458),TOPE_UF*UF_MES)*(TASA_EMP+MUTUAL),0)+ROUND(MIN(N(N458),TOPE_AFC_UF*UF_MES)*IF(S458="Indefinido",AFC_INDEF,AFC_PF),0))</f>
        <v/>
      </c>
      <c r="U458" s="62" t="str">
        <f aca="false">IF(C458="","",IF(LEFT(D458,1)="⚠","⚠ RUT no registrado en Trabajadores",IF(B458="","⚠ Falta el mes",IF(OR(ISTEXT(I458),ISTEXT(J458)),"⚠ Atrasos u horas extra como texto: escriba hh:mm (ej. 1:30)",IF(AND(ISNUMBER(Q458),COUNTIFS(M_RUTN,V458,M_MES,B458,M_LIQ,"&lt;&gt;")&gt;1),"⚠ Liquidación repetida en el mes",IF(AND(ISNUMBER(O458),ISNUMBER(P458),ISNUMBER(Q458),ABS(O458-P458-Q458)&gt;1),"⚠ Haberes − descuentos no da el líquido","OK"))))))</f>
        <v/>
      </c>
      <c r="V458" s="62" t="str">
        <f aca="false">IF(C458="","",IFERROR(VALUE(LEFT(UPPER(SUBSTITUTE(SUBSTITUTE(SUBSTITUTE(TRIM(C458),".",""),"-","")," ","")),LEN(UPPER(SUBSTITUTE(SUBSTITUTE(SUBSTITUTE(TRIM(C458),".",""),"-","")," ","")))-1))&amp;RIGHT(UPPER(SUBSTITUTE(SUBSTITUTE(SUBSTITUTE(TRIM(C458),".",""),"-","")," ","")),1),UPPER(SUBSTITUTE(SUBSTITUTE(SUBSTITUTE(TRIM(C458),".",""),"-","")," ",""))))</f>
        <v/>
      </c>
    </row>
    <row r="459" customFormat="false" ht="15" hidden="false" customHeight="false" outlineLevel="0" collapsed="false">
      <c r="B459" s="80"/>
      <c r="C459" s="58"/>
      <c r="D459" s="62" t="str">
        <f aca="false">IF(C459="","",IFERROR(INDEX(T_NOMBRE,MATCH(V459,T_RUTN,0)),"⚠ RUT no está en Trabajadores"))</f>
        <v/>
      </c>
      <c r="E459" s="61"/>
      <c r="F459" s="61"/>
      <c r="G459" s="61"/>
      <c r="H459" s="61"/>
      <c r="I459" s="81"/>
      <c r="J459" s="81"/>
      <c r="K459" s="60"/>
      <c r="L459" s="60"/>
      <c r="M459" s="60"/>
      <c r="N459" s="60"/>
      <c r="O459" s="60"/>
      <c r="P459" s="60"/>
      <c r="Q459" s="60"/>
      <c r="R459" s="58"/>
      <c r="S459" s="62" t="str">
        <f aca="false">IF(OR(B459="",V459=""),"",IFERROR(INDEX(C_TIPO,MATCH(V459&amp;"-P"&amp;MAX(1,COUNTIFS(C_RUTN,V459,C_DEF,"Sí",C_INI,"&lt;="&amp;EOMONTH(B459,0))),C_CLAVE,0))&amp;"","Sin contrato"))</f>
        <v/>
      </c>
      <c r="T459" s="63" t="str">
        <f aca="false">IF(OR(B459="",N(O459)=0),"",N(O459)+ROUND(MIN(N(N459),TOPE_UF*UF_MES)*(TASA_EMP+MUTUAL),0)+ROUND(MIN(N(N459),TOPE_AFC_UF*UF_MES)*IF(S459="Indefinido",AFC_INDEF,AFC_PF),0))</f>
        <v/>
      </c>
      <c r="U459" s="62" t="str">
        <f aca="false">IF(C459="","",IF(LEFT(D459,1)="⚠","⚠ RUT no registrado en Trabajadores",IF(B459="","⚠ Falta el mes",IF(OR(ISTEXT(I459),ISTEXT(J459)),"⚠ Atrasos u horas extra como texto: escriba hh:mm (ej. 1:30)",IF(AND(ISNUMBER(Q459),COUNTIFS(M_RUTN,V459,M_MES,B459,M_LIQ,"&lt;&gt;")&gt;1),"⚠ Liquidación repetida en el mes",IF(AND(ISNUMBER(O459),ISNUMBER(P459),ISNUMBER(Q459),ABS(O459-P459-Q459)&gt;1),"⚠ Haberes − descuentos no da el líquido","OK"))))))</f>
        <v/>
      </c>
      <c r="V459" s="62" t="str">
        <f aca="false">IF(C459="","",IFERROR(VALUE(LEFT(UPPER(SUBSTITUTE(SUBSTITUTE(SUBSTITUTE(TRIM(C459),".",""),"-","")," ","")),LEN(UPPER(SUBSTITUTE(SUBSTITUTE(SUBSTITUTE(TRIM(C459),".",""),"-","")," ","")))-1))&amp;RIGHT(UPPER(SUBSTITUTE(SUBSTITUTE(SUBSTITUTE(TRIM(C459),".",""),"-","")," ","")),1),UPPER(SUBSTITUTE(SUBSTITUTE(SUBSTITUTE(TRIM(C459),".",""),"-","")," ",""))))</f>
        <v/>
      </c>
    </row>
    <row r="460" customFormat="false" ht="15" hidden="false" customHeight="false" outlineLevel="0" collapsed="false">
      <c r="B460" s="80"/>
      <c r="C460" s="58"/>
      <c r="D460" s="62" t="str">
        <f aca="false">IF(C460="","",IFERROR(INDEX(T_NOMBRE,MATCH(V460,T_RUTN,0)),"⚠ RUT no está en Trabajadores"))</f>
        <v/>
      </c>
      <c r="E460" s="61"/>
      <c r="F460" s="61"/>
      <c r="G460" s="61"/>
      <c r="H460" s="61"/>
      <c r="I460" s="81"/>
      <c r="J460" s="81"/>
      <c r="K460" s="60"/>
      <c r="L460" s="60"/>
      <c r="M460" s="60"/>
      <c r="N460" s="60"/>
      <c r="O460" s="60"/>
      <c r="P460" s="60"/>
      <c r="Q460" s="60"/>
      <c r="R460" s="58"/>
      <c r="S460" s="62" t="str">
        <f aca="false">IF(OR(B460="",V460=""),"",IFERROR(INDEX(C_TIPO,MATCH(V460&amp;"-P"&amp;MAX(1,COUNTIFS(C_RUTN,V460,C_DEF,"Sí",C_INI,"&lt;="&amp;EOMONTH(B460,0))),C_CLAVE,0))&amp;"","Sin contrato"))</f>
        <v/>
      </c>
      <c r="T460" s="63" t="str">
        <f aca="false">IF(OR(B460="",N(O460)=0),"",N(O460)+ROUND(MIN(N(N460),TOPE_UF*UF_MES)*(TASA_EMP+MUTUAL),0)+ROUND(MIN(N(N460),TOPE_AFC_UF*UF_MES)*IF(S460="Indefinido",AFC_INDEF,AFC_PF),0))</f>
        <v/>
      </c>
      <c r="U460" s="62" t="str">
        <f aca="false">IF(C460="","",IF(LEFT(D460,1)="⚠","⚠ RUT no registrado en Trabajadores",IF(B460="","⚠ Falta el mes",IF(OR(ISTEXT(I460),ISTEXT(J460)),"⚠ Atrasos u horas extra como texto: escriba hh:mm (ej. 1:30)",IF(AND(ISNUMBER(Q460),COUNTIFS(M_RUTN,V460,M_MES,B460,M_LIQ,"&lt;&gt;")&gt;1),"⚠ Liquidación repetida en el mes",IF(AND(ISNUMBER(O460),ISNUMBER(P460),ISNUMBER(Q460),ABS(O460-P460-Q460)&gt;1),"⚠ Haberes − descuentos no da el líquido","OK"))))))</f>
        <v/>
      </c>
      <c r="V460" s="62" t="str">
        <f aca="false">IF(C460="","",IFERROR(VALUE(LEFT(UPPER(SUBSTITUTE(SUBSTITUTE(SUBSTITUTE(TRIM(C460),".",""),"-","")," ","")),LEN(UPPER(SUBSTITUTE(SUBSTITUTE(SUBSTITUTE(TRIM(C460),".",""),"-","")," ","")))-1))&amp;RIGHT(UPPER(SUBSTITUTE(SUBSTITUTE(SUBSTITUTE(TRIM(C460),".",""),"-","")," ","")),1),UPPER(SUBSTITUTE(SUBSTITUTE(SUBSTITUTE(TRIM(C460),".",""),"-","")," ",""))))</f>
        <v/>
      </c>
    </row>
    <row r="461" customFormat="false" ht="15" hidden="false" customHeight="false" outlineLevel="0" collapsed="false">
      <c r="B461" s="80"/>
      <c r="C461" s="58"/>
      <c r="D461" s="62" t="str">
        <f aca="false">IF(C461="","",IFERROR(INDEX(T_NOMBRE,MATCH(V461,T_RUTN,0)),"⚠ RUT no está en Trabajadores"))</f>
        <v/>
      </c>
      <c r="E461" s="61"/>
      <c r="F461" s="61"/>
      <c r="G461" s="61"/>
      <c r="H461" s="61"/>
      <c r="I461" s="81"/>
      <c r="J461" s="81"/>
      <c r="K461" s="60"/>
      <c r="L461" s="60"/>
      <c r="M461" s="60"/>
      <c r="N461" s="60"/>
      <c r="O461" s="60"/>
      <c r="P461" s="60"/>
      <c r="Q461" s="60"/>
      <c r="R461" s="58"/>
      <c r="S461" s="62" t="str">
        <f aca="false">IF(OR(B461="",V461=""),"",IFERROR(INDEX(C_TIPO,MATCH(V461&amp;"-P"&amp;MAX(1,COUNTIFS(C_RUTN,V461,C_DEF,"Sí",C_INI,"&lt;="&amp;EOMONTH(B461,0))),C_CLAVE,0))&amp;"","Sin contrato"))</f>
        <v/>
      </c>
      <c r="T461" s="63" t="str">
        <f aca="false">IF(OR(B461="",N(O461)=0),"",N(O461)+ROUND(MIN(N(N461),TOPE_UF*UF_MES)*(TASA_EMP+MUTUAL),0)+ROUND(MIN(N(N461),TOPE_AFC_UF*UF_MES)*IF(S461="Indefinido",AFC_INDEF,AFC_PF),0))</f>
        <v/>
      </c>
      <c r="U461" s="62" t="str">
        <f aca="false">IF(C461="","",IF(LEFT(D461,1)="⚠","⚠ RUT no registrado en Trabajadores",IF(B461="","⚠ Falta el mes",IF(OR(ISTEXT(I461),ISTEXT(J461)),"⚠ Atrasos u horas extra como texto: escriba hh:mm (ej. 1:30)",IF(AND(ISNUMBER(Q461),COUNTIFS(M_RUTN,V461,M_MES,B461,M_LIQ,"&lt;&gt;")&gt;1),"⚠ Liquidación repetida en el mes",IF(AND(ISNUMBER(O461),ISNUMBER(P461),ISNUMBER(Q461),ABS(O461-P461-Q461)&gt;1),"⚠ Haberes − descuentos no da el líquido","OK"))))))</f>
        <v/>
      </c>
      <c r="V461" s="62" t="str">
        <f aca="false">IF(C461="","",IFERROR(VALUE(LEFT(UPPER(SUBSTITUTE(SUBSTITUTE(SUBSTITUTE(TRIM(C461),".",""),"-","")," ","")),LEN(UPPER(SUBSTITUTE(SUBSTITUTE(SUBSTITUTE(TRIM(C461),".",""),"-","")," ","")))-1))&amp;RIGHT(UPPER(SUBSTITUTE(SUBSTITUTE(SUBSTITUTE(TRIM(C461),".",""),"-","")," ","")),1),UPPER(SUBSTITUTE(SUBSTITUTE(SUBSTITUTE(TRIM(C461),".",""),"-","")," ",""))))</f>
        <v/>
      </c>
    </row>
    <row r="462" customFormat="false" ht="15" hidden="false" customHeight="false" outlineLevel="0" collapsed="false">
      <c r="B462" s="80"/>
      <c r="C462" s="58"/>
      <c r="D462" s="62" t="str">
        <f aca="false">IF(C462="","",IFERROR(INDEX(T_NOMBRE,MATCH(V462,T_RUTN,0)),"⚠ RUT no está en Trabajadores"))</f>
        <v/>
      </c>
      <c r="E462" s="61"/>
      <c r="F462" s="61"/>
      <c r="G462" s="61"/>
      <c r="H462" s="61"/>
      <c r="I462" s="81"/>
      <c r="J462" s="81"/>
      <c r="K462" s="60"/>
      <c r="L462" s="60"/>
      <c r="M462" s="60"/>
      <c r="N462" s="60"/>
      <c r="O462" s="60"/>
      <c r="P462" s="60"/>
      <c r="Q462" s="60"/>
      <c r="R462" s="58"/>
      <c r="S462" s="62" t="str">
        <f aca="false">IF(OR(B462="",V462=""),"",IFERROR(INDEX(C_TIPO,MATCH(V462&amp;"-P"&amp;MAX(1,COUNTIFS(C_RUTN,V462,C_DEF,"Sí",C_INI,"&lt;="&amp;EOMONTH(B462,0))),C_CLAVE,0))&amp;"","Sin contrato"))</f>
        <v/>
      </c>
      <c r="T462" s="63" t="str">
        <f aca="false">IF(OR(B462="",N(O462)=0),"",N(O462)+ROUND(MIN(N(N462),TOPE_UF*UF_MES)*(TASA_EMP+MUTUAL),0)+ROUND(MIN(N(N462),TOPE_AFC_UF*UF_MES)*IF(S462="Indefinido",AFC_INDEF,AFC_PF),0))</f>
        <v/>
      </c>
      <c r="U462" s="62" t="str">
        <f aca="false">IF(C462="","",IF(LEFT(D462,1)="⚠","⚠ RUT no registrado en Trabajadores",IF(B462="","⚠ Falta el mes",IF(OR(ISTEXT(I462),ISTEXT(J462)),"⚠ Atrasos u horas extra como texto: escriba hh:mm (ej. 1:30)",IF(AND(ISNUMBER(Q462),COUNTIFS(M_RUTN,V462,M_MES,B462,M_LIQ,"&lt;&gt;")&gt;1),"⚠ Liquidación repetida en el mes",IF(AND(ISNUMBER(O462),ISNUMBER(P462),ISNUMBER(Q462),ABS(O462-P462-Q462)&gt;1),"⚠ Haberes − descuentos no da el líquido","OK"))))))</f>
        <v/>
      </c>
      <c r="V462" s="62" t="str">
        <f aca="false">IF(C462="","",IFERROR(VALUE(LEFT(UPPER(SUBSTITUTE(SUBSTITUTE(SUBSTITUTE(TRIM(C462),".",""),"-","")," ","")),LEN(UPPER(SUBSTITUTE(SUBSTITUTE(SUBSTITUTE(TRIM(C462),".",""),"-","")," ","")))-1))&amp;RIGHT(UPPER(SUBSTITUTE(SUBSTITUTE(SUBSTITUTE(TRIM(C462),".",""),"-","")," ","")),1),UPPER(SUBSTITUTE(SUBSTITUTE(SUBSTITUTE(TRIM(C462),".",""),"-","")," ",""))))</f>
        <v/>
      </c>
    </row>
    <row r="463" customFormat="false" ht="15" hidden="false" customHeight="false" outlineLevel="0" collapsed="false">
      <c r="B463" s="80"/>
      <c r="C463" s="58"/>
      <c r="D463" s="62" t="str">
        <f aca="false">IF(C463="","",IFERROR(INDEX(T_NOMBRE,MATCH(V463,T_RUTN,0)),"⚠ RUT no está en Trabajadores"))</f>
        <v/>
      </c>
      <c r="E463" s="61"/>
      <c r="F463" s="61"/>
      <c r="G463" s="61"/>
      <c r="H463" s="61"/>
      <c r="I463" s="81"/>
      <c r="J463" s="81"/>
      <c r="K463" s="60"/>
      <c r="L463" s="60"/>
      <c r="M463" s="60"/>
      <c r="N463" s="60"/>
      <c r="O463" s="60"/>
      <c r="P463" s="60"/>
      <c r="Q463" s="60"/>
      <c r="R463" s="58"/>
      <c r="S463" s="62" t="str">
        <f aca="false">IF(OR(B463="",V463=""),"",IFERROR(INDEX(C_TIPO,MATCH(V463&amp;"-P"&amp;MAX(1,COUNTIFS(C_RUTN,V463,C_DEF,"Sí",C_INI,"&lt;="&amp;EOMONTH(B463,0))),C_CLAVE,0))&amp;"","Sin contrato"))</f>
        <v/>
      </c>
      <c r="T463" s="63" t="str">
        <f aca="false">IF(OR(B463="",N(O463)=0),"",N(O463)+ROUND(MIN(N(N463),TOPE_UF*UF_MES)*(TASA_EMP+MUTUAL),0)+ROUND(MIN(N(N463),TOPE_AFC_UF*UF_MES)*IF(S463="Indefinido",AFC_INDEF,AFC_PF),0))</f>
        <v/>
      </c>
      <c r="U463" s="62" t="str">
        <f aca="false">IF(C463="","",IF(LEFT(D463,1)="⚠","⚠ RUT no registrado en Trabajadores",IF(B463="","⚠ Falta el mes",IF(OR(ISTEXT(I463),ISTEXT(J463)),"⚠ Atrasos u horas extra como texto: escriba hh:mm (ej. 1:30)",IF(AND(ISNUMBER(Q463),COUNTIFS(M_RUTN,V463,M_MES,B463,M_LIQ,"&lt;&gt;")&gt;1),"⚠ Liquidación repetida en el mes",IF(AND(ISNUMBER(O463),ISNUMBER(P463),ISNUMBER(Q463),ABS(O463-P463-Q463)&gt;1),"⚠ Haberes − descuentos no da el líquido","OK"))))))</f>
        <v/>
      </c>
      <c r="V463" s="62" t="str">
        <f aca="false">IF(C463="","",IFERROR(VALUE(LEFT(UPPER(SUBSTITUTE(SUBSTITUTE(SUBSTITUTE(TRIM(C463),".",""),"-","")," ","")),LEN(UPPER(SUBSTITUTE(SUBSTITUTE(SUBSTITUTE(TRIM(C463),".",""),"-","")," ","")))-1))&amp;RIGHT(UPPER(SUBSTITUTE(SUBSTITUTE(SUBSTITUTE(TRIM(C463),".",""),"-","")," ","")),1),UPPER(SUBSTITUTE(SUBSTITUTE(SUBSTITUTE(TRIM(C463),".",""),"-","")," ",""))))</f>
        <v/>
      </c>
    </row>
    <row r="464" customFormat="false" ht="15" hidden="false" customHeight="false" outlineLevel="0" collapsed="false">
      <c r="B464" s="80"/>
      <c r="C464" s="58"/>
      <c r="D464" s="62" t="str">
        <f aca="false">IF(C464="","",IFERROR(INDEX(T_NOMBRE,MATCH(V464,T_RUTN,0)),"⚠ RUT no está en Trabajadores"))</f>
        <v/>
      </c>
      <c r="E464" s="61"/>
      <c r="F464" s="61"/>
      <c r="G464" s="61"/>
      <c r="H464" s="61"/>
      <c r="I464" s="81"/>
      <c r="J464" s="81"/>
      <c r="K464" s="60"/>
      <c r="L464" s="60"/>
      <c r="M464" s="60"/>
      <c r="N464" s="60"/>
      <c r="O464" s="60"/>
      <c r="P464" s="60"/>
      <c r="Q464" s="60"/>
      <c r="R464" s="58"/>
      <c r="S464" s="62" t="str">
        <f aca="false">IF(OR(B464="",V464=""),"",IFERROR(INDEX(C_TIPO,MATCH(V464&amp;"-P"&amp;MAX(1,COUNTIFS(C_RUTN,V464,C_DEF,"Sí",C_INI,"&lt;="&amp;EOMONTH(B464,0))),C_CLAVE,0))&amp;"","Sin contrato"))</f>
        <v/>
      </c>
      <c r="T464" s="63" t="str">
        <f aca="false">IF(OR(B464="",N(O464)=0),"",N(O464)+ROUND(MIN(N(N464),TOPE_UF*UF_MES)*(TASA_EMP+MUTUAL),0)+ROUND(MIN(N(N464),TOPE_AFC_UF*UF_MES)*IF(S464="Indefinido",AFC_INDEF,AFC_PF),0))</f>
        <v/>
      </c>
      <c r="U464" s="62" t="str">
        <f aca="false">IF(C464="","",IF(LEFT(D464,1)="⚠","⚠ RUT no registrado en Trabajadores",IF(B464="","⚠ Falta el mes",IF(OR(ISTEXT(I464),ISTEXT(J464)),"⚠ Atrasos u horas extra como texto: escriba hh:mm (ej. 1:30)",IF(AND(ISNUMBER(Q464),COUNTIFS(M_RUTN,V464,M_MES,B464,M_LIQ,"&lt;&gt;")&gt;1),"⚠ Liquidación repetida en el mes",IF(AND(ISNUMBER(O464),ISNUMBER(P464),ISNUMBER(Q464),ABS(O464-P464-Q464)&gt;1),"⚠ Haberes − descuentos no da el líquido","OK"))))))</f>
        <v/>
      </c>
      <c r="V464" s="62" t="str">
        <f aca="false">IF(C464="","",IFERROR(VALUE(LEFT(UPPER(SUBSTITUTE(SUBSTITUTE(SUBSTITUTE(TRIM(C464),".",""),"-","")," ","")),LEN(UPPER(SUBSTITUTE(SUBSTITUTE(SUBSTITUTE(TRIM(C464),".",""),"-","")," ","")))-1))&amp;RIGHT(UPPER(SUBSTITUTE(SUBSTITUTE(SUBSTITUTE(TRIM(C464),".",""),"-","")," ","")),1),UPPER(SUBSTITUTE(SUBSTITUTE(SUBSTITUTE(TRIM(C464),".",""),"-","")," ",""))))</f>
        <v/>
      </c>
    </row>
    <row r="465" customFormat="false" ht="15" hidden="false" customHeight="false" outlineLevel="0" collapsed="false">
      <c r="B465" s="80"/>
      <c r="C465" s="58"/>
      <c r="D465" s="62" t="str">
        <f aca="false">IF(C465="","",IFERROR(INDEX(T_NOMBRE,MATCH(V465,T_RUTN,0)),"⚠ RUT no está en Trabajadores"))</f>
        <v/>
      </c>
      <c r="E465" s="61"/>
      <c r="F465" s="61"/>
      <c r="G465" s="61"/>
      <c r="H465" s="61"/>
      <c r="I465" s="81"/>
      <c r="J465" s="81"/>
      <c r="K465" s="60"/>
      <c r="L465" s="60"/>
      <c r="M465" s="60"/>
      <c r="N465" s="60"/>
      <c r="O465" s="60"/>
      <c r="P465" s="60"/>
      <c r="Q465" s="60"/>
      <c r="R465" s="58"/>
      <c r="S465" s="62" t="str">
        <f aca="false">IF(OR(B465="",V465=""),"",IFERROR(INDEX(C_TIPO,MATCH(V465&amp;"-P"&amp;MAX(1,COUNTIFS(C_RUTN,V465,C_DEF,"Sí",C_INI,"&lt;="&amp;EOMONTH(B465,0))),C_CLAVE,0))&amp;"","Sin contrato"))</f>
        <v/>
      </c>
      <c r="T465" s="63" t="str">
        <f aca="false">IF(OR(B465="",N(O465)=0),"",N(O465)+ROUND(MIN(N(N465),TOPE_UF*UF_MES)*(TASA_EMP+MUTUAL),0)+ROUND(MIN(N(N465),TOPE_AFC_UF*UF_MES)*IF(S465="Indefinido",AFC_INDEF,AFC_PF),0))</f>
        <v/>
      </c>
      <c r="U465" s="62" t="str">
        <f aca="false">IF(C465="","",IF(LEFT(D465,1)="⚠","⚠ RUT no registrado en Trabajadores",IF(B465="","⚠ Falta el mes",IF(OR(ISTEXT(I465),ISTEXT(J465)),"⚠ Atrasos u horas extra como texto: escriba hh:mm (ej. 1:30)",IF(AND(ISNUMBER(Q465),COUNTIFS(M_RUTN,V465,M_MES,B465,M_LIQ,"&lt;&gt;")&gt;1),"⚠ Liquidación repetida en el mes",IF(AND(ISNUMBER(O465),ISNUMBER(P465),ISNUMBER(Q465),ABS(O465-P465-Q465)&gt;1),"⚠ Haberes − descuentos no da el líquido","OK"))))))</f>
        <v/>
      </c>
      <c r="V465" s="62" t="str">
        <f aca="false">IF(C465="","",IFERROR(VALUE(LEFT(UPPER(SUBSTITUTE(SUBSTITUTE(SUBSTITUTE(TRIM(C465),".",""),"-","")," ","")),LEN(UPPER(SUBSTITUTE(SUBSTITUTE(SUBSTITUTE(TRIM(C465),".",""),"-","")," ","")))-1))&amp;RIGHT(UPPER(SUBSTITUTE(SUBSTITUTE(SUBSTITUTE(TRIM(C465),".",""),"-","")," ","")),1),UPPER(SUBSTITUTE(SUBSTITUTE(SUBSTITUTE(TRIM(C465),".",""),"-","")," ",""))))</f>
        <v/>
      </c>
    </row>
    <row r="466" customFormat="false" ht="15" hidden="false" customHeight="false" outlineLevel="0" collapsed="false">
      <c r="B466" s="80"/>
      <c r="C466" s="58"/>
      <c r="D466" s="62" t="str">
        <f aca="false">IF(C466="","",IFERROR(INDEX(T_NOMBRE,MATCH(V466,T_RUTN,0)),"⚠ RUT no está en Trabajadores"))</f>
        <v/>
      </c>
      <c r="E466" s="61"/>
      <c r="F466" s="61"/>
      <c r="G466" s="61"/>
      <c r="H466" s="61"/>
      <c r="I466" s="81"/>
      <c r="J466" s="81"/>
      <c r="K466" s="60"/>
      <c r="L466" s="60"/>
      <c r="M466" s="60"/>
      <c r="N466" s="60"/>
      <c r="O466" s="60"/>
      <c r="P466" s="60"/>
      <c r="Q466" s="60"/>
      <c r="R466" s="58"/>
      <c r="S466" s="62" t="str">
        <f aca="false">IF(OR(B466="",V466=""),"",IFERROR(INDEX(C_TIPO,MATCH(V466&amp;"-P"&amp;MAX(1,COUNTIFS(C_RUTN,V466,C_DEF,"Sí",C_INI,"&lt;="&amp;EOMONTH(B466,0))),C_CLAVE,0))&amp;"","Sin contrato"))</f>
        <v/>
      </c>
      <c r="T466" s="63" t="str">
        <f aca="false">IF(OR(B466="",N(O466)=0),"",N(O466)+ROUND(MIN(N(N466),TOPE_UF*UF_MES)*(TASA_EMP+MUTUAL),0)+ROUND(MIN(N(N466),TOPE_AFC_UF*UF_MES)*IF(S466="Indefinido",AFC_INDEF,AFC_PF),0))</f>
        <v/>
      </c>
      <c r="U466" s="62" t="str">
        <f aca="false">IF(C466="","",IF(LEFT(D466,1)="⚠","⚠ RUT no registrado en Trabajadores",IF(B466="","⚠ Falta el mes",IF(OR(ISTEXT(I466),ISTEXT(J466)),"⚠ Atrasos u horas extra como texto: escriba hh:mm (ej. 1:30)",IF(AND(ISNUMBER(Q466),COUNTIFS(M_RUTN,V466,M_MES,B466,M_LIQ,"&lt;&gt;")&gt;1),"⚠ Liquidación repetida en el mes",IF(AND(ISNUMBER(O466),ISNUMBER(P466),ISNUMBER(Q466),ABS(O466-P466-Q466)&gt;1),"⚠ Haberes − descuentos no da el líquido","OK"))))))</f>
        <v/>
      </c>
      <c r="V466" s="62" t="str">
        <f aca="false">IF(C466="","",IFERROR(VALUE(LEFT(UPPER(SUBSTITUTE(SUBSTITUTE(SUBSTITUTE(TRIM(C466),".",""),"-","")," ","")),LEN(UPPER(SUBSTITUTE(SUBSTITUTE(SUBSTITUTE(TRIM(C466),".",""),"-","")," ","")))-1))&amp;RIGHT(UPPER(SUBSTITUTE(SUBSTITUTE(SUBSTITUTE(TRIM(C466),".",""),"-","")," ","")),1),UPPER(SUBSTITUTE(SUBSTITUTE(SUBSTITUTE(TRIM(C466),".",""),"-","")," ",""))))</f>
        <v/>
      </c>
    </row>
    <row r="467" customFormat="false" ht="15" hidden="false" customHeight="false" outlineLevel="0" collapsed="false">
      <c r="B467" s="80"/>
      <c r="C467" s="58"/>
      <c r="D467" s="62" t="str">
        <f aca="false">IF(C467="","",IFERROR(INDEX(T_NOMBRE,MATCH(V467,T_RUTN,0)),"⚠ RUT no está en Trabajadores"))</f>
        <v/>
      </c>
      <c r="E467" s="61"/>
      <c r="F467" s="61"/>
      <c r="G467" s="61"/>
      <c r="H467" s="61"/>
      <c r="I467" s="81"/>
      <c r="J467" s="81"/>
      <c r="K467" s="60"/>
      <c r="L467" s="60"/>
      <c r="M467" s="60"/>
      <c r="N467" s="60"/>
      <c r="O467" s="60"/>
      <c r="P467" s="60"/>
      <c r="Q467" s="60"/>
      <c r="R467" s="58"/>
      <c r="S467" s="62" t="str">
        <f aca="false">IF(OR(B467="",V467=""),"",IFERROR(INDEX(C_TIPO,MATCH(V467&amp;"-P"&amp;MAX(1,COUNTIFS(C_RUTN,V467,C_DEF,"Sí",C_INI,"&lt;="&amp;EOMONTH(B467,0))),C_CLAVE,0))&amp;"","Sin contrato"))</f>
        <v/>
      </c>
      <c r="T467" s="63" t="str">
        <f aca="false">IF(OR(B467="",N(O467)=0),"",N(O467)+ROUND(MIN(N(N467),TOPE_UF*UF_MES)*(TASA_EMP+MUTUAL),0)+ROUND(MIN(N(N467),TOPE_AFC_UF*UF_MES)*IF(S467="Indefinido",AFC_INDEF,AFC_PF),0))</f>
        <v/>
      </c>
      <c r="U467" s="62" t="str">
        <f aca="false">IF(C467="","",IF(LEFT(D467,1)="⚠","⚠ RUT no registrado en Trabajadores",IF(B467="","⚠ Falta el mes",IF(OR(ISTEXT(I467),ISTEXT(J467)),"⚠ Atrasos u horas extra como texto: escriba hh:mm (ej. 1:30)",IF(AND(ISNUMBER(Q467),COUNTIFS(M_RUTN,V467,M_MES,B467,M_LIQ,"&lt;&gt;")&gt;1),"⚠ Liquidación repetida en el mes",IF(AND(ISNUMBER(O467),ISNUMBER(P467),ISNUMBER(Q467),ABS(O467-P467-Q467)&gt;1),"⚠ Haberes − descuentos no da el líquido","OK"))))))</f>
        <v/>
      </c>
      <c r="V467" s="62" t="str">
        <f aca="false">IF(C467="","",IFERROR(VALUE(LEFT(UPPER(SUBSTITUTE(SUBSTITUTE(SUBSTITUTE(TRIM(C467),".",""),"-","")," ","")),LEN(UPPER(SUBSTITUTE(SUBSTITUTE(SUBSTITUTE(TRIM(C467),".",""),"-","")," ","")))-1))&amp;RIGHT(UPPER(SUBSTITUTE(SUBSTITUTE(SUBSTITUTE(TRIM(C467),".",""),"-","")," ","")),1),UPPER(SUBSTITUTE(SUBSTITUTE(SUBSTITUTE(TRIM(C467),".",""),"-","")," ",""))))</f>
        <v/>
      </c>
    </row>
    <row r="468" customFormat="false" ht="15" hidden="false" customHeight="false" outlineLevel="0" collapsed="false">
      <c r="B468" s="80"/>
      <c r="C468" s="58"/>
      <c r="D468" s="62" t="str">
        <f aca="false">IF(C468="","",IFERROR(INDEX(T_NOMBRE,MATCH(V468,T_RUTN,0)),"⚠ RUT no está en Trabajadores"))</f>
        <v/>
      </c>
      <c r="E468" s="61"/>
      <c r="F468" s="61"/>
      <c r="G468" s="61"/>
      <c r="H468" s="61"/>
      <c r="I468" s="81"/>
      <c r="J468" s="81"/>
      <c r="K468" s="60"/>
      <c r="L468" s="60"/>
      <c r="M468" s="60"/>
      <c r="N468" s="60"/>
      <c r="O468" s="60"/>
      <c r="P468" s="60"/>
      <c r="Q468" s="60"/>
      <c r="R468" s="58"/>
      <c r="S468" s="62" t="str">
        <f aca="false">IF(OR(B468="",V468=""),"",IFERROR(INDEX(C_TIPO,MATCH(V468&amp;"-P"&amp;MAX(1,COUNTIFS(C_RUTN,V468,C_DEF,"Sí",C_INI,"&lt;="&amp;EOMONTH(B468,0))),C_CLAVE,0))&amp;"","Sin contrato"))</f>
        <v/>
      </c>
      <c r="T468" s="63" t="str">
        <f aca="false">IF(OR(B468="",N(O468)=0),"",N(O468)+ROUND(MIN(N(N468),TOPE_UF*UF_MES)*(TASA_EMP+MUTUAL),0)+ROUND(MIN(N(N468),TOPE_AFC_UF*UF_MES)*IF(S468="Indefinido",AFC_INDEF,AFC_PF),0))</f>
        <v/>
      </c>
      <c r="U468" s="62" t="str">
        <f aca="false">IF(C468="","",IF(LEFT(D468,1)="⚠","⚠ RUT no registrado en Trabajadores",IF(B468="","⚠ Falta el mes",IF(OR(ISTEXT(I468),ISTEXT(J468)),"⚠ Atrasos u horas extra como texto: escriba hh:mm (ej. 1:30)",IF(AND(ISNUMBER(Q468),COUNTIFS(M_RUTN,V468,M_MES,B468,M_LIQ,"&lt;&gt;")&gt;1),"⚠ Liquidación repetida en el mes",IF(AND(ISNUMBER(O468),ISNUMBER(P468),ISNUMBER(Q468),ABS(O468-P468-Q468)&gt;1),"⚠ Haberes − descuentos no da el líquido","OK"))))))</f>
        <v/>
      </c>
      <c r="V468" s="62" t="str">
        <f aca="false">IF(C468="","",IFERROR(VALUE(LEFT(UPPER(SUBSTITUTE(SUBSTITUTE(SUBSTITUTE(TRIM(C468),".",""),"-","")," ","")),LEN(UPPER(SUBSTITUTE(SUBSTITUTE(SUBSTITUTE(TRIM(C468),".",""),"-","")," ","")))-1))&amp;RIGHT(UPPER(SUBSTITUTE(SUBSTITUTE(SUBSTITUTE(TRIM(C468),".",""),"-","")," ","")),1),UPPER(SUBSTITUTE(SUBSTITUTE(SUBSTITUTE(TRIM(C468),".",""),"-","")," ",""))))</f>
        <v/>
      </c>
    </row>
    <row r="469" customFormat="false" ht="15" hidden="false" customHeight="false" outlineLevel="0" collapsed="false">
      <c r="B469" s="80"/>
      <c r="C469" s="58"/>
      <c r="D469" s="62" t="str">
        <f aca="false">IF(C469="","",IFERROR(INDEX(T_NOMBRE,MATCH(V469,T_RUTN,0)),"⚠ RUT no está en Trabajadores"))</f>
        <v/>
      </c>
      <c r="E469" s="61"/>
      <c r="F469" s="61"/>
      <c r="G469" s="61"/>
      <c r="H469" s="61"/>
      <c r="I469" s="81"/>
      <c r="J469" s="81"/>
      <c r="K469" s="60"/>
      <c r="L469" s="60"/>
      <c r="M469" s="60"/>
      <c r="N469" s="60"/>
      <c r="O469" s="60"/>
      <c r="P469" s="60"/>
      <c r="Q469" s="60"/>
      <c r="R469" s="58"/>
      <c r="S469" s="62" t="str">
        <f aca="false">IF(OR(B469="",V469=""),"",IFERROR(INDEX(C_TIPO,MATCH(V469&amp;"-P"&amp;MAX(1,COUNTIFS(C_RUTN,V469,C_DEF,"Sí",C_INI,"&lt;="&amp;EOMONTH(B469,0))),C_CLAVE,0))&amp;"","Sin contrato"))</f>
        <v/>
      </c>
      <c r="T469" s="63" t="str">
        <f aca="false">IF(OR(B469="",N(O469)=0),"",N(O469)+ROUND(MIN(N(N469),TOPE_UF*UF_MES)*(TASA_EMP+MUTUAL),0)+ROUND(MIN(N(N469),TOPE_AFC_UF*UF_MES)*IF(S469="Indefinido",AFC_INDEF,AFC_PF),0))</f>
        <v/>
      </c>
      <c r="U469" s="62" t="str">
        <f aca="false">IF(C469="","",IF(LEFT(D469,1)="⚠","⚠ RUT no registrado en Trabajadores",IF(B469="","⚠ Falta el mes",IF(OR(ISTEXT(I469),ISTEXT(J469)),"⚠ Atrasos u horas extra como texto: escriba hh:mm (ej. 1:30)",IF(AND(ISNUMBER(Q469),COUNTIFS(M_RUTN,V469,M_MES,B469,M_LIQ,"&lt;&gt;")&gt;1),"⚠ Liquidación repetida en el mes",IF(AND(ISNUMBER(O469),ISNUMBER(P469),ISNUMBER(Q469),ABS(O469-P469-Q469)&gt;1),"⚠ Haberes − descuentos no da el líquido","OK"))))))</f>
        <v/>
      </c>
      <c r="V469" s="62" t="str">
        <f aca="false">IF(C469="","",IFERROR(VALUE(LEFT(UPPER(SUBSTITUTE(SUBSTITUTE(SUBSTITUTE(TRIM(C469),".",""),"-","")," ","")),LEN(UPPER(SUBSTITUTE(SUBSTITUTE(SUBSTITUTE(TRIM(C469),".",""),"-","")," ","")))-1))&amp;RIGHT(UPPER(SUBSTITUTE(SUBSTITUTE(SUBSTITUTE(TRIM(C469),".",""),"-","")," ","")),1),UPPER(SUBSTITUTE(SUBSTITUTE(SUBSTITUTE(TRIM(C469),".",""),"-","")," ",""))))</f>
        <v/>
      </c>
    </row>
    <row r="470" customFormat="false" ht="15" hidden="false" customHeight="false" outlineLevel="0" collapsed="false">
      <c r="B470" s="80"/>
      <c r="C470" s="58"/>
      <c r="D470" s="62" t="str">
        <f aca="false">IF(C470="","",IFERROR(INDEX(T_NOMBRE,MATCH(V470,T_RUTN,0)),"⚠ RUT no está en Trabajadores"))</f>
        <v/>
      </c>
      <c r="E470" s="61"/>
      <c r="F470" s="61"/>
      <c r="G470" s="61"/>
      <c r="H470" s="61"/>
      <c r="I470" s="81"/>
      <c r="J470" s="81"/>
      <c r="K470" s="60"/>
      <c r="L470" s="60"/>
      <c r="M470" s="60"/>
      <c r="N470" s="60"/>
      <c r="O470" s="60"/>
      <c r="P470" s="60"/>
      <c r="Q470" s="60"/>
      <c r="R470" s="58"/>
      <c r="S470" s="62" t="str">
        <f aca="false">IF(OR(B470="",V470=""),"",IFERROR(INDEX(C_TIPO,MATCH(V470&amp;"-P"&amp;MAX(1,COUNTIFS(C_RUTN,V470,C_DEF,"Sí",C_INI,"&lt;="&amp;EOMONTH(B470,0))),C_CLAVE,0))&amp;"","Sin contrato"))</f>
        <v/>
      </c>
      <c r="T470" s="63" t="str">
        <f aca="false">IF(OR(B470="",N(O470)=0),"",N(O470)+ROUND(MIN(N(N470),TOPE_UF*UF_MES)*(TASA_EMP+MUTUAL),0)+ROUND(MIN(N(N470),TOPE_AFC_UF*UF_MES)*IF(S470="Indefinido",AFC_INDEF,AFC_PF),0))</f>
        <v/>
      </c>
      <c r="U470" s="62" t="str">
        <f aca="false">IF(C470="","",IF(LEFT(D470,1)="⚠","⚠ RUT no registrado en Trabajadores",IF(B470="","⚠ Falta el mes",IF(OR(ISTEXT(I470),ISTEXT(J470)),"⚠ Atrasos u horas extra como texto: escriba hh:mm (ej. 1:30)",IF(AND(ISNUMBER(Q470),COUNTIFS(M_RUTN,V470,M_MES,B470,M_LIQ,"&lt;&gt;")&gt;1),"⚠ Liquidación repetida en el mes",IF(AND(ISNUMBER(O470),ISNUMBER(P470),ISNUMBER(Q470),ABS(O470-P470-Q470)&gt;1),"⚠ Haberes − descuentos no da el líquido","OK"))))))</f>
        <v/>
      </c>
      <c r="V470" s="62" t="str">
        <f aca="false">IF(C470="","",IFERROR(VALUE(LEFT(UPPER(SUBSTITUTE(SUBSTITUTE(SUBSTITUTE(TRIM(C470),".",""),"-","")," ","")),LEN(UPPER(SUBSTITUTE(SUBSTITUTE(SUBSTITUTE(TRIM(C470),".",""),"-","")," ","")))-1))&amp;RIGHT(UPPER(SUBSTITUTE(SUBSTITUTE(SUBSTITUTE(TRIM(C470),".",""),"-","")," ","")),1),UPPER(SUBSTITUTE(SUBSTITUTE(SUBSTITUTE(TRIM(C470),".",""),"-","")," ",""))))</f>
        <v/>
      </c>
    </row>
    <row r="471" customFormat="false" ht="15" hidden="false" customHeight="false" outlineLevel="0" collapsed="false">
      <c r="B471" s="80"/>
      <c r="C471" s="58"/>
      <c r="D471" s="62" t="str">
        <f aca="false">IF(C471="","",IFERROR(INDEX(T_NOMBRE,MATCH(V471,T_RUTN,0)),"⚠ RUT no está en Trabajadores"))</f>
        <v/>
      </c>
      <c r="E471" s="61"/>
      <c r="F471" s="61"/>
      <c r="G471" s="61"/>
      <c r="H471" s="61"/>
      <c r="I471" s="81"/>
      <c r="J471" s="81"/>
      <c r="K471" s="60"/>
      <c r="L471" s="60"/>
      <c r="M471" s="60"/>
      <c r="N471" s="60"/>
      <c r="O471" s="60"/>
      <c r="P471" s="60"/>
      <c r="Q471" s="60"/>
      <c r="R471" s="58"/>
      <c r="S471" s="62" t="str">
        <f aca="false">IF(OR(B471="",V471=""),"",IFERROR(INDEX(C_TIPO,MATCH(V471&amp;"-P"&amp;MAX(1,COUNTIFS(C_RUTN,V471,C_DEF,"Sí",C_INI,"&lt;="&amp;EOMONTH(B471,0))),C_CLAVE,0))&amp;"","Sin contrato"))</f>
        <v/>
      </c>
      <c r="T471" s="63" t="str">
        <f aca="false">IF(OR(B471="",N(O471)=0),"",N(O471)+ROUND(MIN(N(N471),TOPE_UF*UF_MES)*(TASA_EMP+MUTUAL),0)+ROUND(MIN(N(N471),TOPE_AFC_UF*UF_MES)*IF(S471="Indefinido",AFC_INDEF,AFC_PF),0))</f>
        <v/>
      </c>
      <c r="U471" s="62" t="str">
        <f aca="false">IF(C471="","",IF(LEFT(D471,1)="⚠","⚠ RUT no registrado en Trabajadores",IF(B471="","⚠ Falta el mes",IF(OR(ISTEXT(I471),ISTEXT(J471)),"⚠ Atrasos u horas extra como texto: escriba hh:mm (ej. 1:30)",IF(AND(ISNUMBER(Q471),COUNTIFS(M_RUTN,V471,M_MES,B471,M_LIQ,"&lt;&gt;")&gt;1),"⚠ Liquidación repetida en el mes",IF(AND(ISNUMBER(O471),ISNUMBER(P471),ISNUMBER(Q471),ABS(O471-P471-Q471)&gt;1),"⚠ Haberes − descuentos no da el líquido","OK"))))))</f>
        <v/>
      </c>
      <c r="V471" s="62" t="str">
        <f aca="false">IF(C471="","",IFERROR(VALUE(LEFT(UPPER(SUBSTITUTE(SUBSTITUTE(SUBSTITUTE(TRIM(C471),".",""),"-","")," ","")),LEN(UPPER(SUBSTITUTE(SUBSTITUTE(SUBSTITUTE(TRIM(C471),".",""),"-","")," ","")))-1))&amp;RIGHT(UPPER(SUBSTITUTE(SUBSTITUTE(SUBSTITUTE(TRIM(C471),".",""),"-","")," ","")),1),UPPER(SUBSTITUTE(SUBSTITUTE(SUBSTITUTE(TRIM(C471),".",""),"-","")," ",""))))</f>
        <v/>
      </c>
    </row>
    <row r="472" customFormat="false" ht="15" hidden="false" customHeight="false" outlineLevel="0" collapsed="false">
      <c r="B472" s="80"/>
      <c r="C472" s="58"/>
      <c r="D472" s="62" t="str">
        <f aca="false">IF(C472="","",IFERROR(INDEX(T_NOMBRE,MATCH(V472,T_RUTN,0)),"⚠ RUT no está en Trabajadores"))</f>
        <v/>
      </c>
      <c r="E472" s="61"/>
      <c r="F472" s="61"/>
      <c r="G472" s="61"/>
      <c r="H472" s="61"/>
      <c r="I472" s="81"/>
      <c r="J472" s="81"/>
      <c r="K472" s="60"/>
      <c r="L472" s="60"/>
      <c r="M472" s="60"/>
      <c r="N472" s="60"/>
      <c r="O472" s="60"/>
      <c r="P472" s="60"/>
      <c r="Q472" s="60"/>
      <c r="R472" s="58"/>
      <c r="S472" s="62" t="str">
        <f aca="false">IF(OR(B472="",V472=""),"",IFERROR(INDEX(C_TIPO,MATCH(V472&amp;"-P"&amp;MAX(1,COUNTIFS(C_RUTN,V472,C_DEF,"Sí",C_INI,"&lt;="&amp;EOMONTH(B472,0))),C_CLAVE,0))&amp;"","Sin contrato"))</f>
        <v/>
      </c>
      <c r="T472" s="63" t="str">
        <f aca="false">IF(OR(B472="",N(O472)=0),"",N(O472)+ROUND(MIN(N(N472),TOPE_UF*UF_MES)*(TASA_EMP+MUTUAL),0)+ROUND(MIN(N(N472),TOPE_AFC_UF*UF_MES)*IF(S472="Indefinido",AFC_INDEF,AFC_PF),0))</f>
        <v/>
      </c>
      <c r="U472" s="62" t="str">
        <f aca="false">IF(C472="","",IF(LEFT(D472,1)="⚠","⚠ RUT no registrado en Trabajadores",IF(B472="","⚠ Falta el mes",IF(OR(ISTEXT(I472),ISTEXT(J472)),"⚠ Atrasos u horas extra como texto: escriba hh:mm (ej. 1:30)",IF(AND(ISNUMBER(Q472),COUNTIFS(M_RUTN,V472,M_MES,B472,M_LIQ,"&lt;&gt;")&gt;1),"⚠ Liquidación repetida en el mes",IF(AND(ISNUMBER(O472),ISNUMBER(P472),ISNUMBER(Q472),ABS(O472-P472-Q472)&gt;1),"⚠ Haberes − descuentos no da el líquido","OK"))))))</f>
        <v/>
      </c>
      <c r="V472" s="62" t="str">
        <f aca="false">IF(C472="","",IFERROR(VALUE(LEFT(UPPER(SUBSTITUTE(SUBSTITUTE(SUBSTITUTE(TRIM(C472),".",""),"-","")," ","")),LEN(UPPER(SUBSTITUTE(SUBSTITUTE(SUBSTITUTE(TRIM(C472),".",""),"-","")," ","")))-1))&amp;RIGHT(UPPER(SUBSTITUTE(SUBSTITUTE(SUBSTITUTE(TRIM(C472),".",""),"-","")," ","")),1),UPPER(SUBSTITUTE(SUBSTITUTE(SUBSTITUTE(TRIM(C472),".",""),"-","")," ",""))))</f>
        <v/>
      </c>
    </row>
    <row r="473" customFormat="false" ht="15" hidden="false" customHeight="false" outlineLevel="0" collapsed="false">
      <c r="B473" s="80"/>
      <c r="C473" s="58"/>
      <c r="D473" s="62" t="str">
        <f aca="false">IF(C473="","",IFERROR(INDEX(T_NOMBRE,MATCH(V473,T_RUTN,0)),"⚠ RUT no está en Trabajadores"))</f>
        <v/>
      </c>
      <c r="E473" s="61"/>
      <c r="F473" s="61"/>
      <c r="G473" s="61"/>
      <c r="H473" s="61"/>
      <c r="I473" s="81"/>
      <c r="J473" s="81"/>
      <c r="K473" s="60"/>
      <c r="L473" s="60"/>
      <c r="M473" s="60"/>
      <c r="N473" s="60"/>
      <c r="O473" s="60"/>
      <c r="P473" s="60"/>
      <c r="Q473" s="60"/>
      <c r="R473" s="58"/>
      <c r="S473" s="62" t="str">
        <f aca="false">IF(OR(B473="",V473=""),"",IFERROR(INDEX(C_TIPO,MATCH(V473&amp;"-P"&amp;MAX(1,COUNTIFS(C_RUTN,V473,C_DEF,"Sí",C_INI,"&lt;="&amp;EOMONTH(B473,0))),C_CLAVE,0))&amp;"","Sin contrato"))</f>
        <v/>
      </c>
      <c r="T473" s="63" t="str">
        <f aca="false">IF(OR(B473="",N(O473)=0),"",N(O473)+ROUND(MIN(N(N473),TOPE_UF*UF_MES)*(TASA_EMP+MUTUAL),0)+ROUND(MIN(N(N473),TOPE_AFC_UF*UF_MES)*IF(S473="Indefinido",AFC_INDEF,AFC_PF),0))</f>
        <v/>
      </c>
      <c r="U473" s="62" t="str">
        <f aca="false">IF(C473="","",IF(LEFT(D473,1)="⚠","⚠ RUT no registrado en Trabajadores",IF(B473="","⚠ Falta el mes",IF(OR(ISTEXT(I473),ISTEXT(J473)),"⚠ Atrasos u horas extra como texto: escriba hh:mm (ej. 1:30)",IF(AND(ISNUMBER(Q473),COUNTIFS(M_RUTN,V473,M_MES,B473,M_LIQ,"&lt;&gt;")&gt;1),"⚠ Liquidación repetida en el mes",IF(AND(ISNUMBER(O473),ISNUMBER(P473),ISNUMBER(Q473),ABS(O473-P473-Q473)&gt;1),"⚠ Haberes − descuentos no da el líquido","OK"))))))</f>
        <v/>
      </c>
      <c r="V473" s="62" t="str">
        <f aca="false">IF(C473="","",IFERROR(VALUE(LEFT(UPPER(SUBSTITUTE(SUBSTITUTE(SUBSTITUTE(TRIM(C473),".",""),"-","")," ","")),LEN(UPPER(SUBSTITUTE(SUBSTITUTE(SUBSTITUTE(TRIM(C473),".",""),"-","")," ","")))-1))&amp;RIGHT(UPPER(SUBSTITUTE(SUBSTITUTE(SUBSTITUTE(TRIM(C473),".",""),"-","")," ","")),1),UPPER(SUBSTITUTE(SUBSTITUTE(SUBSTITUTE(TRIM(C473),".",""),"-","")," ",""))))</f>
        <v/>
      </c>
    </row>
    <row r="474" customFormat="false" ht="15" hidden="false" customHeight="false" outlineLevel="0" collapsed="false">
      <c r="B474" s="80"/>
      <c r="C474" s="58"/>
      <c r="D474" s="62" t="str">
        <f aca="false">IF(C474="","",IFERROR(INDEX(T_NOMBRE,MATCH(V474,T_RUTN,0)),"⚠ RUT no está en Trabajadores"))</f>
        <v/>
      </c>
      <c r="E474" s="61"/>
      <c r="F474" s="61"/>
      <c r="G474" s="61"/>
      <c r="H474" s="61"/>
      <c r="I474" s="81"/>
      <c r="J474" s="81"/>
      <c r="K474" s="60"/>
      <c r="L474" s="60"/>
      <c r="M474" s="60"/>
      <c r="N474" s="60"/>
      <c r="O474" s="60"/>
      <c r="P474" s="60"/>
      <c r="Q474" s="60"/>
      <c r="R474" s="58"/>
      <c r="S474" s="62" t="str">
        <f aca="false">IF(OR(B474="",V474=""),"",IFERROR(INDEX(C_TIPO,MATCH(V474&amp;"-P"&amp;MAX(1,COUNTIFS(C_RUTN,V474,C_DEF,"Sí",C_INI,"&lt;="&amp;EOMONTH(B474,0))),C_CLAVE,0))&amp;"","Sin contrato"))</f>
        <v/>
      </c>
      <c r="T474" s="63" t="str">
        <f aca="false">IF(OR(B474="",N(O474)=0),"",N(O474)+ROUND(MIN(N(N474),TOPE_UF*UF_MES)*(TASA_EMP+MUTUAL),0)+ROUND(MIN(N(N474),TOPE_AFC_UF*UF_MES)*IF(S474="Indefinido",AFC_INDEF,AFC_PF),0))</f>
        <v/>
      </c>
      <c r="U474" s="62" t="str">
        <f aca="false">IF(C474="","",IF(LEFT(D474,1)="⚠","⚠ RUT no registrado en Trabajadores",IF(B474="","⚠ Falta el mes",IF(OR(ISTEXT(I474),ISTEXT(J474)),"⚠ Atrasos u horas extra como texto: escriba hh:mm (ej. 1:30)",IF(AND(ISNUMBER(Q474),COUNTIFS(M_RUTN,V474,M_MES,B474,M_LIQ,"&lt;&gt;")&gt;1),"⚠ Liquidación repetida en el mes",IF(AND(ISNUMBER(O474),ISNUMBER(P474),ISNUMBER(Q474),ABS(O474-P474-Q474)&gt;1),"⚠ Haberes − descuentos no da el líquido","OK"))))))</f>
        <v/>
      </c>
      <c r="V474" s="62" t="str">
        <f aca="false">IF(C474="","",IFERROR(VALUE(LEFT(UPPER(SUBSTITUTE(SUBSTITUTE(SUBSTITUTE(TRIM(C474),".",""),"-","")," ","")),LEN(UPPER(SUBSTITUTE(SUBSTITUTE(SUBSTITUTE(TRIM(C474),".",""),"-","")," ","")))-1))&amp;RIGHT(UPPER(SUBSTITUTE(SUBSTITUTE(SUBSTITUTE(TRIM(C474),".",""),"-","")," ","")),1),UPPER(SUBSTITUTE(SUBSTITUTE(SUBSTITUTE(TRIM(C474),".",""),"-","")," ",""))))</f>
        <v/>
      </c>
    </row>
    <row r="475" customFormat="false" ht="15" hidden="false" customHeight="false" outlineLevel="0" collapsed="false">
      <c r="B475" s="80"/>
      <c r="C475" s="58"/>
      <c r="D475" s="62" t="str">
        <f aca="false">IF(C475="","",IFERROR(INDEX(T_NOMBRE,MATCH(V475,T_RUTN,0)),"⚠ RUT no está en Trabajadores"))</f>
        <v/>
      </c>
      <c r="E475" s="61"/>
      <c r="F475" s="61"/>
      <c r="G475" s="61"/>
      <c r="H475" s="61"/>
      <c r="I475" s="81"/>
      <c r="J475" s="81"/>
      <c r="K475" s="60"/>
      <c r="L475" s="60"/>
      <c r="M475" s="60"/>
      <c r="N475" s="60"/>
      <c r="O475" s="60"/>
      <c r="P475" s="60"/>
      <c r="Q475" s="60"/>
      <c r="R475" s="58"/>
      <c r="S475" s="62" t="str">
        <f aca="false">IF(OR(B475="",V475=""),"",IFERROR(INDEX(C_TIPO,MATCH(V475&amp;"-P"&amp;MAX(1,COUNTIFS(C_RUTN,V475,C_DEF,"Sí",C_INI,"&lt;="&amp;EOMONTH(B475,0))),C_CLAVE,0))&amp;"","Sin contrato"))</f>
        <v/>
      </c>
      <c r="T475" s="63" t="str">
        <f aca="false">IF(OR(B475="",N(O475)=0),"",N(O475)+ROUND(MIN(N(N475),TOPE_UF*UF_MES)*(TASA_EMP+MUTUAL),0)+ROUND(MIN(N(N475),TOPE_AFC_UF*UF_MES)*IF(S475="Indefinido",AFC_INDEF,AFC_PF),0))</f>
        <v/>
      </c>
      <c r="U475" s="62" t="str">
        <f aca="false">IF(C475="","",IF(LEFT(D475,1)="⚠","⚠ RUT no registrado en Trabajadores",IF(B475="","⚠ Falta el mes",IF(OR(ISTEXT(I475),ISTEXT(J475)),"⚠ Atrasos u horas extra como texto: escriba hh:mm (ej. 1:30)",IF(AND(ISNUMBER(Q475),COUNTIFS(M_RUTN,V475,M_MES,B475,M_LIQ,"&lt;&gt;")&gt;1),"⚠ Liquidación repetida en el mes",IF(AND(ISNUMBER(O475),ISNUMBER(P475),ISNUMBER(Q475),ABS(O475-P475-Q475)&gt;1),"⚠ Haberes − descuentos no da el líquido","OK"))))))</f>
        <v/>
      </c>
      <c r="V475" s="62" t="str">
        <f aca="false">IF(C475="","",IFERROR(VALUE(LEFT(UPPER(SUBSTITUTE(SUBSTITUTE(SUBSTITUTE(TRIM(C475),".",""),"-","")," ","")),LEN(UPPER(SUBSTITUTE(SUBSTITUTE(SUBSTITUTE(TRIM(C475),".",""),"-","")," ","")))-1))&amp;RIGHT(UPPER(SUBSTITUTE(SUBSTITUTE(SUBSTITUTE(TRIM(C475),".",""),"-","")," ","")),1),UPPER(SUBSTITUTE(SUBSTITUTE(SUBSTITUTE(TRIM(C475),".",""),"-","")," ",""))))</f>
        <v/>
      </c>
    </row>
    <row r="476" customFormat="false" ht="15" hidden="false" customHeight="false" outlineLevel="0" collapsed="false">
      <c r="B476" s="80"/>
      <c r="C476" s="58"/>
      <c r="D476" s="62" t="str">
        <f aca="false">IF(C476="","",IFERROR(INDEX(T_NOMBRE,MATCH(V476,T_RUTN,0)),"⚠ RUT no está en Trabajadores"))</f>
        <v/>
      </c>
      <c r="E476" s="61"/>
      <c r="F476" s="61"/>
      <c r="G476" s="61"/>
      <c r="H476" s="61"/>
      <c r="I476" s="81"/>
      <c r="J476" s="81"/>
      <c r="K476" s="60"/>
      <c r="L476" s="60"/>
      <c r="M476" s="60"/>
      <c r="N476" s="60"/>
      <c r="O476" s="60"/>
      <c r="P476" s="60"/>
      <c r="Q476" s="60"/>
      <c r="R476" s="58"/>
      <c r="S476" s="62" t="str">
        <f aca="false">IF(OR(B476="",V476=""),"",IFERROR(INDEX(C_TIPO,MATCH(V476&amp;"-P"&amp;MAX(1,COUNTIFS(C_RUTN,V476,C_DEF,"Sí",C_INI,"&lt;="&amp;EOMONTH(B476,0))),C_CLAVE,0))&amp;"","Sin contrato"))</f>
        <v/>
      </c>
      <c r="T476" s="63" t="str">
        <f aca="false">IF(OR(B476="",N(O476)=0),"",N(O476)+ROUND(MIN(N(N476),TOPE_UF*UF_MES)*(TASA_EMP+MUTUAL),0)+ROUND(MIN(N(N476),TOPE_AFC_UF*UF_MES)*IF(S476="Indefinido",AFC_INDEF,AFC_PF),0))</f>
        <v/>
      </c>
      <c r="U476" s="62" t="str">
        <f aca="false">IF(C476="","",IF(LEFT(D476,1)="⚠","⚠ RUT no registrado en Trabajadores",IF(B476="","⚠ Falta el mes",IF(OR(ISTEXT(I476),ISTEXT(J476)),"⚠ Atrasos u horas extra como texto: escriba hh:mm (ej. 1:30)",IF(AND(ISNUMBER(Q476),COUNTIFS(M_RUTN,V476,M_MES,B476,M_LIQ,"&lt;&gt;")&gt;1),"⚠ Liquidación repetida en el mes",IF(AND(ISNUMBER(O476),ISNUMBER(P476),ISNUMBER(Q476),ABS(O476-P476-Q476)&gt;1),"⚠ Haberes − descuentos no da el líquido","OK"))))))</f>
        <v/>
      </c>
      <c r="V476" s="62" t="str">
        <f aca="false">IF(C476="","",IFERROR(VALUE(LEFT(UPPER(SUBSTITUTE(SUBSTITUTE(SUBSTITUTE(TRIM(C476),".",""),"-","")," ","")),LEN(UPPER(SUBSTITUTE(SUBSTITUTE(SUBSTITUTE(TRIM(C476),".",""),"-","")," ","")))-1))&amp;RIGHT(UPPER(SUBSTITUTE(SUBSTITUTE(SUBSTITUTE(TRIM(C476),".",""),"-","")," ","")),1),UPPER(SUBSTITUTE(SUBSTITUTE(SUBSTITUTE(TRIM(C476),".",""),"-","")," ",""))))</f>
        <v/>
      </c>
    </row>
    <row r="477" customFormat="false" ht="15" hidden="false" customHeight="false" outlineLevel="0" collapsed="false">
      <c r="B477" s="80"/>
      <c r="C477" s="58"/>
      <c r="D477" s="62" t="str">
        <f aca="false">IF(C477="","",IFERROR(INDEX(T_NOMBRE,MATCH(V477,T_RUTN,0)),"⚠ RUT no está en Trabajadores"))</f>
        <v/>
      </c>
      <c r="E477" s="61"/>
      <c r="F477" s="61"/>
      <c r="G477" s="61"/>
      <c r="H477" s="61"/>
      <c r="I477" s="81"/>
      <c r="J477" s="81"/>
      <c r="K477" s="60"/>
      <c r="L477" s="60"/>
      <c r="M477" s="60"/>
      <c r="N477" s="60"/>
      <c r="O477" s="60"/>
      <c r="P477" s="60"/>
      <c r="Q477" s="60"/>
      <c r="R477" s="58"/>
      <c r="S477" s="62" t="str">
        <f aca="false">IF(OR(B477="",V477=""),"",IFERROR(INDEX(C_TIPO,MATCH(V477&amp;"-P"&amp;MAX(1,COUNTIFS(C_RUTN,V477,C_DEF,"Sí",C_INI,"&lt;="&amp;EOMONTH(B477,0))),C_CLAVE,0))&amp;"","Sin contrato"))</f>
        <v/>
      </c>
      <c r="T477" s="63" t="str">
        <f aca="false">IF(OR(B477="",N(O477)=0),"",N(O477)+ROUND(MIN(N(N477),TOPE_UF*UF_MES)*(TASA_EMP+MUTUAL),0)+ROUND(MIN(N(N477),TOPE_AFC_UF*UF_MES)*IF(S477="Indefinido",AFC_INDEF,AFC_PF),0))</f>
        <v/>
      </c>
      <c r="U477" s="62" t="str">
        <f aca="false">IF(C477="","",IF(LEFT(D477,1)="⚠","⚠ RUT no registrado en Trabajadores",IF(B477="","⚠ Falta el mes",IF(OR(ISTEXT(I477),ISTEXT(J477)),"⚠ Atrasos u horas extra como texto: escriba hh:mm (ej. 1:30)",IF(AND(ISNUMBER(Q477),COUNTIFS(M_RUTN,V477,M_MES,B477,M_LIQ,"&lt;&gt;")&gt;1),"⚠ Liquidación repetida en el mes",IF(AND(ISNUMBER(O477),ISNUMBER(P477),ISNUMBER(Q477),ABS(O477-P477-Q477)&gt;1),"⚠ Haberes − descuentos no da el líquido","OK"))))))</f>
        <v/>
      </c>
      <c r="V477" s="62" t="str">
        <f aca="false">IF(C477="","",IFERROR(VALUE(LEFT(UPPER(SUBSTITUTE(SUBSTITUTE(SUBSTITUTE(TRIM(C477),".",""),"-","")," ","")),LEN(UPPER(SUBSTITUTE(SUBSTITUTE(SUBSTITUTE(TRIM(C477),".",""),"-","")," ","")))-1))&amp;RIGHT(UPPER(SUBSTITUTE(SUBSTITUTE(SUBSTITUTE(TRIM(C477),".",""),"-","")," ","")),1),UPPER(SUBSTITUTE(SUBSTITUTE(SUBSTITUTE(TRIM(C477),".",""),"-","")," ",""))))</f>
        <v/>
      </c>
    </row>
    <row r="478" customFormat="false" ht="15" hidden="false" customHeight="false" outlineLevel="0" collapsed="false">
      <c r="B478" s="80"/>
      <c r="C478" s="58"/>
      <c r="D478" s="62" t="str">
        <f aca="false">IF(C478="","",IFERROR(INDEX(T_NOMBRE,MATCH(V478,T_RUTN,0)),"⚠ RUT no está en Trabajadores"))</f>
        <v/>
      </c>
      <c r="E478" s="61"/>
      <c r="F478" s="61"/>
      <c r="G478" s="61"/>
      <c r="H478" s="61"/>
      <c r="I478" s="81"/>
      <c r="J478" s="81"/>
      <c r="K478" s="60"/>
      <c r="L478" s="60"/>
      <c r="M478" s="60"/>
      <c r="N478" s="60"/>
      <c r="O478" s="60"/>
      <c r="P478" s="60"/>
      <c r="Q478" s="60"/>
      <c r="R478" s="58"/>
      <c r="S478" s="62" t="str">
        <f aca="false">IF(OR(B478="",V478=""),"",IFERROR(INDEX(C_TIPO,MATCH(V478&amp;"-P"&amp;MAX(1,COUNTIFS(C_RUTN,V478,C_DEF,"Sí",C_INI,"&lt;="&amp;EOMONTH(B478,0))),C_CLAVE,0))&amp;"","Sin contrato"))</f>
        <v/>
      </c>
      <c r="T478" s="63" t="str">
        <f aca="false">IF(OR(B478="",N(O478)=0),"",N(O478)+ROUND(MIN(N(N478),TOPE_UF*UF_MES)*(TASA_EMP+MUTUAL),0)+ROUND(MIN(N(N478),TOPE_AFC_UF*UF_MES)*IF(S478="Indefinido",AFC_INDEF,AFC_PF),0))</f>
        <v/>
      </c>
      <c r="U478" s="62" t="str">
        <f aca="false">IF(C478="","",IF(LEFT(D478,1)="⚠","⚠ RUT no registrado en Trabajadores",IF(B478="","⚠ Falta el mes",IF(OR(ISTEXT(I478),ISTEXT(J478)),"⚠ Atrasos u horas extra como texto: escriba hh:mm (ej. 1:30)",IF(AND(ISNUMBER(Q478),COUNTIFS(M_RUTN,V478,M_MES,B478,M_LIQ,"&lt;&gt;")&gt;1),"⚠ Liquidación repetida en el mes",IF(AND(ISNUMBER(O478),ISNUMBER(P478),ISNUMBER(Q478),ABS(O478-P478-Q478)&gt;1),"⚠ Haberes − descuentos no da el líquido","OK"))))))</f>
        <v/>
      </c>
      <c r="V478" s="62" t="str">
        <f aca="false">IF(C478="","",IFERROR(VALUE(LEFT(UPPER(SUBSTITUTE(SUBSTITUTE(SUBSTITUTE(TRIM(C478),".",""),"-","")," ","")),LEN(UPPER(SUBSTITUTE(SUBSTITUTE(SUBSTITUTE(TRIM(C478),".",""),"-","")," ","")))-1))&amp;RIGHT(UPPER(SUBSTITUTE(SUBSTITUTE(SUBSTITUTE(TRIM(C478),".",""),"-","")," ","")),1),UPPER(SUBSTITUTE(SUBSTITUTE(SUBSTITUTE(TRIM(C478),".",""),"-","")," ",""))))</f>
        <v/>
      </c>
    </row>
    <row r="479" customFormat="false" ht="15" hidden="false" customHeight="false" outlineLevel="0" collapsed="false">
      <c r="B479" s="80"/>
      <c r="C479" s="58"/>
      <c r="D479" s="62" t="str">
        <f aca="false">IF(C479="","",IFERROR(INDEX(T_NOMBRE,MATCH(V479,T_RUTN,0)),"⚠ RUT no está en Trabajadores"))</f>
        <v/>
      </c>
      <c r="E479" s="61"/>
      <c r="F479" s="61"/>
      <c r="G479" s="61"/>
      <c r="H479" s="61"/>
      <c r="I479" s="81"/>
      <c r="J479" s="81"/>
      <c r="K479" s="60"/>
      <c r="L479" s="60"/>
      <c r="M479" s="60"/>
      <c r="N479" s="60"/>
      <c r="O479" s="60"/>
      <c r="P479" s="60"/>
      <c r="Q479" s="60"/>
      <c r="R479" s="58"/>
      <c r="S479" s="62" t="str">
        <f aca="false">IF(OR(B479="",V479=""),"",IFERROR(INDEX(C_TIPO,MATCH(V479&amp;"-P"&amp;MAX(1,COUNTIFS(C_RUTN,V479,C_DEF,"Sí",C_INI,"&lt;="&amp;EOMONTH(B479,0))),C_CLAVE,0))&amp;"","Sin contrato"))</f>
        <v/>
      </c>
      <c r="T479" s="63" t="str">
        <f aca="false">IF(OR(B479="",N(O479)=0),"",N(O479)+ROUND(MIN(N(N479),TOPE_UF*UF_MES)*(TASA_EMP+MUTUAL),0)+ROUND(MIN(N(N479),TOPE_AFC_UF*UF_MES)*IF(S479="Indefinido",AFC_INDEF,AFC_PF),0))</f>
        <v/>
      </c>
      <c r="U479" s="62" t="str">
        <f aca="false">IF(C479="","",IF(LEFT(D479,1)="⚠","⚠ RUT no registrado en Trabajadores",IF(B479="","⚠ Falta el mes",IF(OR(ISTEXT(I479),ISTEXT(J479)),"⚠ Atrasos u horas extra como texto: escriba hh:mm (ej. 1:30)",IF(AND(ISNUMBER(Q479),COUNTIFS(M_RUTN,V479,M_MES,B479,M_LIQ,"&lt;&gt;")&gt;1),"⚠ Liquidación repetida en el mes",IF(AND(ISNUMBER(O479),ISNUMBER(P479),ISNUMBER(Q479),ABS(O479-P479-Q479)&gt;1),"⚠ Haberes − descuentos no da el líquido","OK"))))))</f>
        <v/>
      </c>
      <c r="V479" s="62" t="str">
        <f aca="false">IF(C479="","",IFERROR(VALUE(LEFT(UPPER(SUBSTITUTE(SUBSTITUTE(SUBSTITUTE(TRIM(C479),".",""),"-","")," ","")),LEN(UPPER(SUBSTITUTE(SUBSTITUTE(SUBSTITUTE(TRIM(C479),".",""),"-","")," ","")))-1))&amp;RIGHT(UPPER(SUBSTITUTE(SUBSTITUTE(SUBSTITUTE(TRIM(C479),".",""),"-","")," ","")),1),UPPER(SUBSTITUTE(SUBSTITUTE(SUBSTITUTE(TRIM(C479),".",""),"-","")," ",""))))</f>
        <v/>
      </c>
    </row>
    <row r="480" customFormat="false" ht="15" hidden="false" customHeight="false" outlineLevel="0" collapsed="false">
      <c r="B480" s="80"/>
      <c r="C480" s="58"/>
      <c r="D480" s="62" t="str">
        <f aca="false">IF(C480="","",IFERROR(INDEX(T_NOMBRE,MATCH(V480,T_RUTN,0)),"⚠ RUT no está en Trabajadores"))</f>
        <v/>
      </c>
      <c r="E480" s="61"/>
      <c r="F480" s="61"/>
      <c r="G480" s="61"/>
      <c r="H480" s="61"/>
      <c r="I480" s="81"/>
      <c r="J480" s="81"/>
      <c r="K480" s="60"/>
      <c r="L480" s="60"/>
      <c r="M480" s="60"/>
      <c r="N480" s="60"/>
      <c r="O480" s="60"/>
      <c r="P480" s="60"/>
      <c r="Q480" s="60"/>
      <c r="R480" s="58"/>
      <c r="S480" s="62" t="str">
        <f aca="false">IF(OR(B480="",V480=""),"",IFERROR(INDEX(C_TIPO,MATCH(V480&amp;"-P"&amp;MAX(1,COUNTIFS(C_RUTN,V480,C_DEF,"Sí",C_INI,"&lt;="&amp;EOMONTH(B480,0))),C_CLAVE,0))&amp;"","Sin contrato"))</f>
        <v/>
      </c>
      <c r="T480" s="63" t="str">
        <f aca="false">IF(OR(B480="",N(O480)=0),"",N(O480)+ROUND(MIN(N(N480),TOPE_UF*UF_MES)*(TASA_EMP+MUTUAL),0)+ROUND(MIN(N(N480),TOPE_AFC_UF*UF_MES)*IF(S480="Indefinido",AFC_INDEF,AFC_PF),0))</f>
        <v/>
      </c>
      <c r="U480" s="62" t="str">
        <f aca="false">IF(C480="","",IF(LEFT(D480,1)="⚠","⚠ RUT no registrado en Trabajadores",IF(B480="","⚠ Falta el mes",IF(OR(ISTEXT(I480),ISTEXT(J480)),"⚠ Atrasos u horas extra como texto: escriba hh:mm (ej. 1:30)",IF(AND(ISNUMBER(Q480),COUNTIFS(M_RUTN,V480,M_MES,B480,M_LIQ,"&lt;&gt;")&gt;1),"⚠ Liquidación repetida en el mes",IF(AND(ISNUMBER(O480),ISNUMBER(P480),ISNUMBER(Q480),ABS(O480-P480-Q480)&gt;1),"⚠ Haberes − descuentos no da el líquido","OK"))))))</f>
        <v/>
      </c>
      <c r="V480" s="62" t="str">
        <f aca="false">IF(C480="","",IFERROR(VALUE(LEFT(UPPER(SUBSTITUTE(SUBSTITUTE(SUBSTITUTE(TRIM(C480),".",""),"-","")," ","")),LEN(UPPER(SUBSTITUTE(SUBSTITUTE(SUBSTITUTE(TRIM(C480),".",""),"-","")," ","")))-1))&amp;RIGHT(UPPER(SUBSTITUTE(SUBSTITUTE(SUBSTITUTE(TRIM(C480),".",""),"-","")," ","")),1),UPPER(SUBSTITUTE(SUBSTITUTE(SUBSTITUTE(TRIM(C480),".",""),"-","")," ",""))))</f>
        <v/>
      </c>
    </row>
    <row r="481" customFormat="false" ht="15" hidden="false" customHeight="false" outlineLevel="0" collapsed="false">
      <c r="B481" s="80"/>
      <c r="C481" s="58"/>
      <c r="D481" s="62" t="str">
        <f aca="false">IF(C481="","",IFERROR(INDEX(T_NOMBRE,MATCH(V481,T_RUTN,0)),"⚠ RUT no está en Trabajadores"))</f>
        <v/>
      </c>
      <c r="E481" s="61"/>
      <c r="F481" s="61"/>
      <c r="G481" s="61"/>
      <c r="H481" s="61"/>
      <c r="I481" s="81"/>
      <c r="J481" s="81"/>
      <c r="K481" s="60"/>
      <c r="L481" s="60"/>
      <c r="M481" s="60"/>
      <c r="N481" s="60"/>
      <c r="O481" s="60"/>
      <c r="P481" s="60"/>
      <c r="Q481" s="60"/>
      <c r="R481" s="58"/>
      <c r="S481" s="62" t="str">
        <f aca="false">IF(OR(B481="",V481=""),"",IFERROR(INDEX(C_TIPO,MATCH(V481&amp;"-P"&amp;MAX(1,COUNTIFS(C_RUTN,V481,C_DEF,"Sí",C_INI,"&lt;="&amp;EOMONTH(B481,0))),C_CLAVE,0))&amp;"","Sin contrato"))</f>
        <v/>
      </c>
      <c r="T481" s="63" t="str">
        <f aca="false">IF(OR(B481="",N(O481)=0),"",N(O481)+ROUND(MIN(N(N481),TOPE_UF*UF_MES)*(TASA_EMP+MUTUAL),0)+ROUND(MIN(N(N481),TOPE_AFC_UF*UF_MES)*IF(S481="Indefinido",AFC_INDEF,AFC_PF),0))</f>
        <v/>
      </c>
      <c r="U481" s="62" t="str">
        <f aca="false">IF(C481="","",IF(LEFT(D481,1)="⚠","⚠ RUT no registrado en Trabajadores",IF(B481="","⚠ Falta el mes",IF(OR(ISTEXT(I481),ISTEXT(J481)),"⚠ Atrasos u horas extra como texto: escriba hh:mm (ej. 1:30)",IF(AND(ISNUMBER(Q481),COUNTIFS(M_RUTN,V481,M_MES,B481,M_LIQ,"&lt;&gt;")&gt;1),"⚠ Liquidación repetida en el mes",IF(AND(ISNUMBER(O481),ISNUMBER(P481),ISNUMBER(Q481),ABS(O481-P481-Q481)&gt;1),"⚠ Haberes − descuentos no da el líquido","OK"))))))</f>
        <v/>
      </c>
      <c r="V481" s="62" t="str">
        <f aca="false">IF(C481="","",IFERROR(VALUE(LEFT(UPPER(SUBSTITUTE(SUBSTITUTE(SUBSTITUTE(TRIM(C481),".",""),"-","")," ","")),LEN(UPPER(SUBSTITUTE(SUBSTITUTE(SUBSTITUTE(TRIM(C481),".",""),"-","")," ","")))-1))&amp;RIGHT(UPPER(SUBSTITUTE(SUBSTITUTE(SUBSTITUTE(TRIM(C481),".",""),"-","")," ","")),1),UPPER(SUBSTITUTE(SUBSTITUTE(SUBSTITUTE(TRIM(C481),".",""),"-","")," ",""))))</f>
        <v/>
      </c>
    </row>
    <row r="482" customFormat="false" ht="15" hidden="false" customHeight="false" outlineLevel="0" collapsed="false">
      <c r="B482" s="80"/>
      <c r="C482" s="58"/>
      <c r="D482" s="62" t="str">
        <f aca="false">IF(C482="","",IFERROR(INDEX(T_NOMBRE,MATCH(V482,T_RUTN,0)),"⚠ RUT no está en Trabajadores"))</f>
        <v/>
      </c>
      <c r="E482" s="61"/>
      <c r="F482" s="61"/>
      <c r="G482" s="61"/>
      <c r="H482" s="61"/>
      <c r="I482" s="81"/>
      <c r="J482" s="81"/>
      <c r="K482" s="60"/>
      <c r="L482" s="60"/>
      <c r="M482" s="60"/>
      <c r="N482" s="60"/>
      <c r="O482" s="60"/>
      <c r="P482" s="60"/>
      <c r="Q482" s="60"/>
      <c r="R482" s="58"/>
      <c r="S482" s="62" t="str">
        <f aca="false">IF(OR(B482="",V482=""),"",IFERROR(INDEX(C_TIPO,MATCH(V482&amp;"-P"&amp;MAX(1,COUNTIFS(C_RUTN,V482,C_DEF,"Sí",C_INI,"&lt;="&amp;EOMONTH(B482,0))),C_CLAVE,0))&amp;"","Sin contrato"))</f>
        <v/>
      </c>
      <c r="T482" s="63" t="str">
        <f aca="false">IF(OR(B482="",N(O482)=0),"",N(O482)+ROUND(MIN(N(N482),TOPE_UF*UF_MES)*(TASA_EMP+MUTUAL),0)+ROUND(MIN(N(N482),TOPE_AFC_UF*UF_MES)*IF(S482="Indefinido",AFC_INDEF,AFC_PF),0))</f>
        <v/>
      </c>
      <c r="U482" s="62" t="str">
        <f aca="false">IF(C482="","",IF(LEFT(D482,1)="⚠","⚠ RUT no registrado en Trabajadores",IF(B482="","⚠ Falta el mes",IF(OR(ISTEXT(I482),ISTEXT(J482)),"⚠ Atrasos u horas extra como texto: escriba hh:mm (ej. 1:30)",IF(AND(ISNUMBER(Q482),COUNTIFS(M_RUTN,V482,M_MES,B482,M_LIQ,"&lt;&gt;")&gt;1),"⚠ Liquidación repetida en el mes",IF(AND(ISNUMBER(O482),ISNUMBER(P482),ISNUMBER(Q482),ABS(O482-P482-Q482)&gt;1),"⚠ Haberes − descuentos no da el líquido","OK"))))))</f>
        <v/>
      </c>
      <c r="V482" s="62" t="str">
        <f aca="false">IF(C482="","",IFERROR(VALUE(LEFT(UPPER(SUBSTITUTE(SUBSTITUTE(SUBSTITUTE(TRIM(C482),".",""),"-","")," ","")),LEN(UPPER(SUBSTITUTE(SUBSTITUTE(SUBSTITUTE(TRIM(C482),".",""),"-","")," ","")))-1))&amp;RIGHT(UPPER(SUBSTITUTE(SUBSTITUTE(SUBSTITUTE(TRIM(C482),".",""),"-","")," ","")),1),UPPER(SUBSTITUTE(SUBSTITUTE(SUBSTITUTE(TRIM(C482),".",""),"-","")," ",""))))</f>
        <v/>
      </c>
    </row>
    <row r="483" customFormat="false" ht="15" hidden="false" customHeight="false" outlineLevel="0" collapsed="false">
      <c r="B483" s="80"/>
      <c r="C483" s="58"/>
      <c r="D483" s="62" t="str">
        <f aca="false">IF(C483="","",IFERROR(INDEX(T_NOMBRE,MATCH(V483,T_RUTN,0)),"⚠ RUT no está en Trabajadores"))</f>
        <v/>
      </c>
      <c r="E483" s="61"/>
      <c r="F483" s="61"/>
      <c r="G483" s="61"/>
      <c r="H483" s="61"/>
      <c r="I483" s="81"/>
      <c r="J483" s="81"/>
      <c r="K483" s="60"/>
      <c r="L483" s="60"/>
      <c r="M483" s="60"/>
      <c r="N483" s="60"/>
      <c r="O483" s="60"/>
      <c r="P483" s="60"/>
      <c r="Q483" s="60"/>
      <c r="R483" s="58"/>
      <c r="S483" s="62" t="str">
        <f aca="false">IF(OR(B483="",V483=""),"",IFERROR(INDEX(C_TIPO,MATCH(V483&amp;"-P"&amp;MAX(1,COUNTIFS(C_RUTN,V483,C_DEF,"Sí",C_INI,"&lt;="&amp;EOMONTH(B483,0))),C_CLAVE,0))&amp;"","Sin contrato"))</f>
        <v/>
      </c>
      <c r="T483" s="63" t="str">
        <f aca="false">IF(OR(B483="",N(O483)=0),"",N(O483)+ROUND(MIN(N(N483),TOPE_UF*UF_MES)*(TASA_EMP+MUTUAL),0)+ROUND(MIN(N(N483),TOPE_AFC_UF*UF_MES)*IF(S483="Indefinido",AFC_INDEF,AFC_PF),0))</f>
        <v/>
      </c>
      <c r="U483" s="62" t="str">
        <f aca="false">IF(C483="","",IF(LEFT(D483,1)="⚠","⚠ RUT no registrado en Trabajadores",IF(B483="","⚠ Falta el mes",IF(OR(ISTEXT(I483),ISTEXT(J483)),"⚠ Atrasos u horas extra como texto: escriba hh:mm (ej. 1:30)",IF(AND(ISNUMBER(Q483),COUNTIFS(M_RUTN,V483,M_MES,B483,M_LIQ,"&lt;&gt;")&gt;1),"⚠ Liquidación repetida en el mes",IF(AND(ISNUMBER(O483),ISNUMBER(P483),ISNUMBER(Q483),ABS(O483-P483-Q483)&gt;1),"⚠ Haberes − descuentos no da el líquido","OK"))))))</f>
        <v/>
      </c>
      <c r="V483" s="62" t="str">
        <f aca="false">IF(C483="","",IFERROR(VALUE(LEFT(UPPER(SUBSTITUTE(SUBSTITUTE(SUBSTITUTE(TRIM(C483),".",""),"-","")," ","")),LEN(UPPER(SUBSTITUTE(SUBSTITUTE(SUBSTITUTE(TRIM(C483),".",""),"-","")," ","")))-1))&amp;RIGHT(UPPER(SUBSTITUTE(SUBSTITUTE(SUBSTITUTE(TRIM(C483),".",""),"-","")," ","")),1),UPPER(SUBSTITUTE(SUBSTITUTE(SUBSTITUTE(TRIM(C483),".",""),"-","")," ",""))))</f>
        <v/>
      </c>
    </row>
    <row r="484" customFormat="false" ht="15" hidden="false" customHeight="false" outlineLevel="0" collapsed="false">
      <c r="B484" s="80"/>
      <c r="C484" s="58"/>
      <c r="D484" s="62" t="str">
        <f aca="false">IF(C484="","",IFERROR(INDEX(T_NOMBRE,MATCH(V484,T_RUTN,0)),"⚠ RUT no está en Trabajadores"))</f>
        <v/>
      </c>
      <c r="E484" s="61"/>
      <c r="F484" s="61"/>
      <c r="G484" s="61"/>
      <c r="H484" s="61"/>
      <c r="I484" s="81"/>
      <c r="J484" s="81"/>
      <c r="K484" s="60"/>
      <c r="L484" s="60"/>
      <c r="M484" s="60"/>
      <c r="N484" s="60"/>
      <c r="O484" s="60"/>
      <c r="P484" s="60"/>
      <c r="Q484" s="60"/>
      <c r="R484" s="58"/>
      <c r="S484" s="62" t="str">
        <f aca="false">IF(OR(B484="",V484=""),"",IFERROR(INDEX(C_TIPO,MATCH(V484&amp;"-P"&amp;MAX(1,COUNTIFS(C_RUTN,V484,C_DEF,"Sí",C_INI,"&lt;="&amp;EOMONTH(B484,0))),C_CLAVE,0))&amp;"","Sin contrato"))</f>
        <v/>
      </c>
      <c r="T484" s="63" t="str">
        <f aca="false">IF(OR(B484="",N(O484)=0),"",N(O484)+ROUND(MIN(N(N484),TOPE_UF*UF_MES)*(TASA_EMP+MUTUAL),0)+ROUND(MIN(N(N484),TOPE_AFC_UF*UF_MES)*IF(S484="Indefinido",AFC_INDEF,AFC_PF),0))</f>
        <v/>
      </c>
      <c r="U484" s="62" t="str">
        <f aca="false">IF(C484="","",IF(LEFT(D484,1)="⚠","⚠ RUT no registrado en Trabajadores",IF(B484="","⚠ Falta el mes",IF(OR(ISTEXT(I484),ISTEXT(J484)),"⚠ Atrasos u horas extra como texto: escriba hh:mm (ej. 1:30)",IF(AND(ISNUMBER(Q484),COUNTIFS(M_RUTN,V484,M_MES,B484,M_LIQ,"&lt;&gt;")&gt;1),"⚠ Liquidación repetida en el mes",IF(AND(ISNUMBER(O484),ISNUMBER(P484),ISNUMBER(Q484),ABS(O484-P484-Q484)&gt;1),"⚠ Haberes − descuentos no da el líquido","OK"))))))</f>
        <v/>
      </c>
      <c r="V484" s="62" t="str">
        <f aca="false">IF(C484="","",IFERROR(VALUE(LEFT(UPPER(SUBSTITUTE(SUBSTITUTE(SUBSTITUTE(TRIM(C484),".",""),"-","")," ","")),LEN(UPPER(SUBSTITUTE(SUBSTITUTE(SUBSTITUTE(TRIM(C484),".",""),"-","")," ","")))-1))&amp;RIGHT(UPPER(SUBSTITUTE(SUBSTITUTE(SUBSTITUTE(TRIM(C484),".",""),"-","")," ","")),1),UPPER(SUBSTITUTE(SUBSTITUTE(SUBSTITUTE(TRIM(C484),".",""),"-","")," ",""))))</f>
        <v/>
      </c>
    </row>
    <row r="485" customFormat="false" ht="15" hidden="false" customHeight="false" outlineLevel="0" collapsed="false">
      <c r="B485" s="80"/>
      <c r="C485" s="58"/>
      <c r="D485" s="62" t="str">
        <f aca="false">IF(C485="","",IFERROR(INDEX(T_NOMBRE,MATCH(V485,T_RUTN,0)),"⚠ RUT no está en Trabajadores"))</f>
        <v/>
      </c>
      <c r="E485" s="61"/>
      <c r="F485" s="61"/>
      <c r="G485" s="61"/>
      <c r="H485" s="61"/>
      <c r="I485" s="81"/>
      <c r="J485" s="81"/>
      <c r="K485" s="60"/>
      <c r="L485" s="60"/>
      <c r="M485" s="60"/>
      <c r="N485" s="60"/>
      <c r="O485" s="60"/>
      <c r="P485" s="60"/>
      <c r="Q485" s="60"/>
      <c r="R485" s="58"/>
      <c r="S485" s="62" t="str">
        <f aca="false">IF(OR(B485="",V485=""),"",IFERROR(INDEX(C_TIPO,MATCH(V485&amp;"-P"&amp;MAX(1,COUNTIFS(C_RUTN,V485,C_DEF,"Sí",C_INI,"&lt;="&amp;EOMONTH(B485,0))),C_CLAVE,0))&amp;"","Sin contrato"))</f>
        <v/>
      </c>
      <c r="T485" s="63" t="str">
        <f aca="false">IF(OR(B485="",N(O485)=0),"",N(O485)+ROUND(MIN(N(N485),TOPE_UF*UF_MES)*(TASA_EMP+MUTUAL),0)+ROUND(MIN(N(N485),TOPE_AFC_UF*UF_MES)*IF(S485="Indefinido",AFC_INDEF,AFC_PF),0))</f>
        <v/>
      </c>
      <c r="U485" s="62" t="str">
        <f aca="false">IF(C485="","",IF(LEFT(D485,1)="⚠","⚠ RUT no registrado en Trabajadores",IF(B485="","⚠ Falta el mes",IF(OR(ISTEXT(I485),ISTEXT(J485)),"⚠ Atrasos u horas extra como texto: escriba hh:mm (ej. 1:30)",IF(AND(ISNUMBER(Q485),COUNTIFS(M_RUTN,V485,M_MES,B485,M_LIQ,"&lt;&gt;")&gt;1),"⚠ Liquidación repetida en el mes",IF(AND(ISNUMBER(O485),ISNUMBER(P485),ISNUMBER(Q485),ABS(O485-P485-Q485)&gt;1),"⚠ Haberes − descuentos no da el líquido","OK"))))))</f>
        <v/>
      </c>
      <c r="V485" s="62" t="str">
        <f aca="false">IF(C485="","",IFERROR(VALUE(LEFT(UPPER(SUBSTITUTE(SUBSTITUTE(SUBSTITUTE(TRIM(C485),".",""),"-","")," ","")),LEN(UPPER(SUBSTITUTE(SUBSTITUTE(SUBSTITUTE(TRIM(C485),".",""),"-","")," ","")))-1))&amp;RIGHT(UPPER(SUBSTITUTE(SUBSTITUTE(SUBSTITUTE(TRIM(C485),".",""),"-","")," ","")),1),UPPER(SUBSTITUTE(SUBSTITUTE(SUBSTITUTE(TRIM(C485),".",""),"-","")," ",""))))</f>
        <v/>
      </c>
    </row>
    <row r="486" customFormat="false" ht="15" hidden="false" customHeight="false" outlineLevel="0" collapsed="false">
      <c r="B486" s="80"/>
      <c r="C486" s="58"/>
      <c r="D486" s="62" t="str">
        <f aca="false">IF(C486="","",IFERROR(INDEX(T_NOMBRE,MATCH(V486,T_RUTN,0)),"⚠ RUT no está en Trabajadores"))</f>
        <v/>
      </c>
      <c r="E486" s="61"/>
      <c r="F486" s="61"/>
      <c r="G486" s="61"/>
      <c r="H486" s="61"/>
      <c r="I486" s="81"/>
      <c r="J486" s="81"/>
      <c r="K486" s="60"/>
      <c r="L486" s="60"/>
      <c r="M486" s="60"/>
      <c r="N486" s="60"/>
      <c r="O486" s="60"/>
      <c r="P486" s="60"/>
      <c r="Q486" s="60"/>
      <c r="R486" s="58"/>
      <c r="S486" s="62" t="str">
        <f aca="false">IF(OR(B486="",V486=""),"",IFERROR(INDEX(C_TIPO,MATCH(V486&amp;"-P"&amp;MAX(1,COUNTIFS(C_RUTN,V486,C_DEF,"Sí",C_INI,"&lt;="&amp;EOMONTH(B486,0))),C_CLAVE,0))&amp;"","Sin contrato"))</f>
        <v/>
      </c>
      <c r="T486" s="63" t="str">
        <f aca="false">IF(OR(B486="",N(O486)=0),"",N(O486)+ROUND(MIN(N(N486),TOPE_UF*UF_MES)*(TASA_EMP+MUTUAL),0)+ROUND(MIN(N(N486),TOPE_AFC_UF*UF_MES)*IF(S486="Indefinido",AFC_INDEF,AFC_PF),0))</f>
        <v/>
      </c>
      <c r="U486" s="62" t="str">
        <f aca="false">IF(C486="","",IF(LEFT(D486,1)="⚠","⚠ RUT no registrado en Trabajadores",IF(B486="","⚠ Falta el mes",IF(OR(ISTEXT(I486),ISTEXT(J486)),"⚠ Atrasos u horas extra como texto: escriba hh:mm (ej. 1:30)",IF(AND(ISNUMBER(Q486),COUNTIFS(M_RUTN,V486,M_MES,B486,M_LIQ,"&lt;&gt;")&gt;1),"⚠ Liquidación repetida en el mes",IF(AND(ISNUMBER(O486),ISNUMBER(P486),ISNUMBER(Q486),ABS(O486-P486-Q486)&gt;1),"⚠ Haberes − descuentos no da el líquido","OK"))))))</f>
        <v/>
      </c>
      <c r="V486" s="62" t="str">
        <f aca="false">IF(C486="","",IFERROR(VALUE(LEFT(UPPER(SUBSTITUTE(SUBSTITUTE(SUBSTITUTE(TRIM(C486),".",""),"-","")," ","")),LEN(UPPER(SUBSTITUTE(SUBSTITUTE(SUBSTITUTE(TRIM(C486),".",""),"-","")," ","")))-1))&amp;RIGHT(UPPER(SUBSTITUTE(SUBSTITUTE(SUBSTITUTE(TRIM(C486),".",""),"-","")," ","")),1),UPPER(SUBSTITUTE(SUBSTITUTE(SUBSTITUTE(TRIM(C486),".",""),"-","")," ",""))))</f>
        <v/>
      </c>
    </row>
    <row r="487" customFormat="false" ht="15" hidden="false" customHeight="false" outlineLevel="0" collapsed="false">
      <c r="B487" s="80"/>
      <c r="C487" s="58"/>
      <c r="D487" s="62" t="str">
        <f aca="false">IF(C487="","",IFERROR(INDEX(T_NOMBRE,MATCH(V487,T_RUTN,0)),"⚠ RUT no está en Trabajadores"))</f>
        <v/>
      </c>
      <c r="E487" s="61"/>
      <c r="F487" s="61"/>
      <c r="G487" s="61"/>
      <c r="H487" s="61"/>
      <c r="I487" s="81"/>
      <c r="J487" s="81"/>
      <c r="K487" s="60"/>
      <c r="L487" s="60"/>
      <c r="M487" s="60"/>
      <c r="N487" s="60"/>
      <c r="O487" s="60"/>
      <c r="P487" s="60"/>
      <c r="Q487" s="60"/>
      <c r="R487" s="58"/>
      <c r="S487" s="62" t="str">
        <f aca="false">IF(OR(B487="",V487=""),"",IFERROR(INDEX(C_TIPO,MATCH(V487&amp;"-P"&amp;MAX(1,COUNTIFS(C_RUTN,V487,C_DEF,"Sí",C_INI,"&lt;="&amp;EOMONTH(B487,0))),C_CLAVE,0))&amp;"","Sin contrato"))</f>
        <v/>
      </c>
      <c r="T487" s="63" t="str">
        <f aca="false">IF(OR(B487="",N(O487)=0),"",N(O487)+ROUND(MIN(N(N487),TOPE_UF*UF_MES)*(TASA_EMP+MUTUAL),0)+ROUND(MIN(N(N487),TOPE_AFC_UF*UF_MES)*IF(S487="Indefinido",AFC_INDEF,AFC_PF),0))</f>
        <v/>
      </c>
      <c r="U487" s="62" t="str">
        <f aca="false">IF(C487="","",IF(LEFT(D487,1)="⚠","⚠ RUT no registrado en Trabajadores",IF(B487="","⚠ Falta el mes",IF(OR(ISTEXT(I487),ISTEXT(J487)),"⚠ Atrasos u horas extra como texto: escriba hh:mm (ej. 1:30)",IF(AND(ISNUMBER(Q487),COUNTIFS(M_RUTN,V487,M_MES,B487,M_LIQ,"&lt;&gt;")&gt;1),"⚠ Liquidación repetida en el mes",IF(AND(ISNUMBER(O487),ISNUMBER(P487),ISNUMBER(Q487),ABS(O487-P487-Q487)&gt;1),"⚠ Haberes − descuentos no da el líquido","OK"))))))</f>
        <v/>
      </c>
      <c r="V487" s="62" t="str">
        <f aca="false">IF(C487="","",IFERROR(VALUE(LEFT(UPPER(SUBSTITUTE(SUBSTITUTE(SUBSTITUTE(TRIM(C487),".",""),"-","")," ","")),LEN(UPPER(SUBSTITUTE(SUBSTITUTE(SUBSTITUTE(TRIM(C487),".",""),"-","")," ","")))-1))&amp;RIGHT(UPPER(SUBSTITUTE(SUBSTITUTE(SUBSTITUTE(TRIM(C487),".",""),"-","")," ","")),1),UPPER(SUBSTITUTE(SUBSTITUTE(SUBSTITUTE(TRIM(C487),".",""),"-","")," ",""))))</f>
        <v/>
      </c>
    </row>
    <row r="488" customFormat="false" ht="15" hidden="false" customHeight="false" outlineLevel="0" collapsed="false">
      <c r="B488" s="80"/>
      <c r="C488" s="58"/>
      <c r="D488" s="62" t="str">
        <f aca="false">IF(C488="","",IFERROR(INDEX(T_NOMBRE,MATCH(V488,T_RUTN,0)),"⚠ RUT no está en Trabajadores"))</f>
        <v/>
      </c>
      <c r="E488" s="61"/>
      <c r="F488" s="61"/>
      <c r="G488" s="61"/>
      <c r="H488" s="61"/>
      <c r="I488" s="81"/>
      <c r="J488" s="81"/>
      <c r="K488" s="60"/>
      <c r="L488" s="60"/>
      <c r="M488" s="60"/>
      <c r="N488" s="60"/>
      <c r="O488" s="60"/>
      <c r="P488" s="60"/>
      <c r="Q488" s="60"/>
      <c r="R488" s="58"/>
      <c r="S488" s="62" t="str">
        <f aca="false">IF(OR(B488="",V488=""),"",IFERROR(INDEX(C_TIPO,MATCH(V488&amp;"-P"&amp;MAX(1,COUNTIFS(C_RUTN,V488,C_DEF,"Sí",C_INI,"&lt;="&amp;EOMONTH(B488,0))),C_CLAVE,0))&amp;"","Sin contrato"))</f>
        <v/>
      </c>
      <c r="T488" s="63" t="str">
        <f aca="false">IF(OR(B488="",N(O488)=0),"",N(O488)+ROUND(MIN(N(N488),TOPE_UF*UF_MES)*(TASA_EMP+MUTUAL),0)+ROUND(MIN(N(N488),TOPE_AFC_UF*UF_MES)*IF(S488="Indefinido",AFC_INDEF,AFC_PF),0))</f>
        <v/>
      </c>
      <c r="U488" s="62" t="str">
        <f aca="false">IF(C488="","",IF(LEFT(D488,1)="⚠","⚠ RUT no registrado en Trabajadores",IF(B488="","⚠ Falta el mes",IF(OR(ISTEXT(I488),ISTEXT(J488)),"⚠ Atrasos u horas extra como texto: escriba hh:mm (ej. 1:30)",IF(AND(ISNUMBER(Q488),COUNTIFS(M_RUTN,V488,M_MES,B488,M_LIQ,"&lt;&gt;")&gt;1),"⚠ Liquidación repetida en el mes",IF(AND(ISNUMBER(O488),ISNUMBER(P488),ISNUMBER(Q488),ABS(O488-P488-Q488)&gt;1),"⚠ Haberes − descuentos no da el líquido","OK"))))))</f>
        <v/>
      </c>
      <c r="V488" s="62" t="str">
        <f aca="false">IF(C488="","",IFERROR(VALUE(LEFT(UPPER(SUBSTITUTE(SUBSTITUTE(SUBSTITUTE(TRIM(C488),".",""),"-","")," ","")),LEN(UPPER(SUBSTITUTE(SUBSTITUTE(SUBSTITUTE(TRIM(C488),".",""),"-","")," ","")))-1))&amp;RIGHT(UPPER(SUBSTITUTE(SUBSTITUTE(SUBSTITUTE(TRIM(C488),".",""),"-","")," ","")),1),UPPER(SUBSTITUTE(SUBSTITUTE(SUBSTITUTE(TRIM(C488),".",""),"-","")," ",""))))</f>
        <v/>
      </c>
    </row>
    <row r="489" customFormat="false" ht="15" hidden="false" customHeight="false" outlineLevel="0" collapsed="false">
      <c r="B489" s="80"/>
      <c r="C489" s="58"/>
      <c r="D489" s="62" t="str">
        <f aca="false">IF(C489="","",IFERROR(INDEX(T_NOMBRE,MATCH(V489,T_RUTN,0)),"⚠ RUT no está en Trabajadores"))</f>
        <v/>
      </c>
      <c r="E489" s="61"/>
      <c r="F489" s="61"/>
      <c r="G489" s="61"/>
      <c r="H489" s="61"/>
      <c r="I489" s="81"/>
      <c r="J489" s="81"/>
      <c r="K489" s="60"/>
      <c r="L489" s="60"/>
      <c r="M489" s="60"/>
      <c r="N489" s="60"/>
      <c r="O489" s="60"/>
      <c r="P489" s="60"/>
      <c r="Q489" s="60"/>
      <c r="R489" s="58"/>
      <c r="S489" s="62" t="str">
        <f aca="false">IF(OR(B489="",V489=""),"",IFERROR(INDEX(C_TIPO,MATCH(V489&amp;"-P"&amp;MAX(1,COUNTIFS(C_RUTN,V489,C_DEF,"Sí",C_INI,"&lt;="&amp;EOMONTH(B489,0))),C_CLAVE,0))&amp;"","Sin contrato"))</f>
        <v/>
      </c>
      <c r="T489" s="63" t="str">
        <f aca="false">IF(OR(B489="",N(O489)=0),"",N(O489)+ROUND(MIN(N(N489),TOPE_UF*UF_MES)*(TASA_EMP+MUTUAL),0)+ROUND(MIN(N(N489),TOPE_AFC_UF*UF_MES)*IF(S489="Indefinido",AFC_INDEF,AFC_PF),0))</f>
        <v/>
      </c>
      <c r="U489" s="62" t="str">
        <f aca="false">IF(C489="","",IF(LEFT(D489,1)="⚠","⚠ RUT no registrado en Trabajadores",IF(B489="","⚠ Falta el mes",IF(OR(ISTEXT(I489),ISTEXT(J489)),"⚠ Atrasos u horas extra como texto: escriba hh:mm (ej. 1:30)",IF(AND(ISNUMBER(Q489),COUNTIFS(M_RUTN,V489,M_MES,B489,M_LIQ,"&lt;&gt;")&gt;1),"⚠ Liquidación repetida en el mes",IF(AND(ISNUMBER(O489),ISNUMBER(P489),ISNUMBER(Q489),ABS(O489-P489-Q489)&gt;1),"⚠ Haberes − descuentos no da el líquido","OK"))))))</f>
        <v/>
      </c>
      <c r="V489" s="62" t="str">
        <f aca="false">IF(C489="","",IFERROR(VALUE(LEFT(UPPER(SUBSTITUTE(SUBSTITUTE(SUBSTITUTE(TRIM(C489),".",""),"-","")," ","")),LEN(UPPER(SUBSTITUTE(SUBSTITUTE(SUBSTITUTE(TRIM(C489),".",""),"-","")," ","")))-1))&amp;RIGHT(UPPER(SUBSTITUTE(SUBSTITUTE(SUBSTITUTE(TRIM(C489),".",""),"-","")," ","")),1),UPPER(SUBSTITUTE(SUBSTITUTE(SUBSTITUTE(TRIM(C489),".",""),"-","")," ",""))))</f>
        <v/>
      </c>
    </row>
    <row r="490" customFormat="false" ht="15" hidden="false" customHeight="false" outlineLevel="0" collapsed="false">
      <c r="B490" s="80"/>
      <c r="C490" s="58"/>
      <c r="D490" s="62" t="str">
        <f aca="false">IF(C490="","",IFERROR(INDEX(T_NOMBRE,MATCH(V490,T_RUTN,0)),"⚠ RUT no está en Trabajadores"))</f>
        <v/>
      </c>
      <c r="E490" s="61"/>
      <c r="F490" s="61"/>
      <c r="G490" s="61"/>
      <c r="H490" s="61"/>
      <c r="I490" s="81"/>
      <c r="J490" s="81"/>
      <c r="K490" s="60"/>
      <c r="L490" s="60"/>
      <c r="M490" s="60"/>
      <c r="N490" s="60"/>
      <c r="O490" s="60"/>
      <c r="P490" s="60"/>
      <c r="Q490" s="60"/>
      <c r="R490" s="58"/>
      <c r="S490" s="62" t="str">
        <f aca="false">IF(OR(B490="",V490=""),"",IFERROR(INDEX(C_TIPO,MATCH(V490&amp;"-P"&amp;MAX(1,COUNTIFS(C_RUTN,V490,C_DEF,"Sí",C_INI,"&lt;="&amp;EOMONTH(B490,0))),C_CLAVE,0))&amp;"","Sin contrato"))</f>
        <v/>
      </c>
      <c r="T490" s="63" t="str">
        <f aca="false">IF(OR(B490="",N(O490)=0),"",N(O490)+ROUND(MIN(N(N490),TOPE_UF*UF_MES)*(TASA_EMP+MUTUAL),0)+ROUND(MIN(N(N490),TOPE_AFC_UF*UF_MES)*IF(S490="Indefinido",AFC_INDEF,AFC_PF),0))</f>
        <v/>
      </c>
      <c r="U490" s="62" t="str">
        <f aca="false">IF(C490="","",IF(LEFT(D490,1)="⚠","⚠ RUT no registrado en Trabajadores",IF(B490="","⚠ Falta el mes",IF(OR(ISTEXT(I490),ISTEXT(J490)),"⚠ Atrasos u horas extra como texto: escriba hh:mm (ej. 1:30)",IF(AND(ISNUMBER(Q490),COUNTIFS(M_RUTN,V490,M_MES,B490,M_LIQ,"&lt;&gt;")&gt;1),"⚠ Liquidación repetida en el mes",IF(AND(ISNUMBER(O490),ISNUMBER(P490),ISNUMBER(Q490),ABS(O490-P490-Q490)&gt;1),"⚠ Haberes − descuentos no da el líquido","OK"))))))</f>
        <v/>
      </c>
      <c r="V490" s="62" t="str">
        <f aca="false">IF(C490="","",IFERROR(VALUE(LEFT(UPPER(SUBSTITUTE(SUBSTITUTE(SUBSTITUTE(TRIM(C490),".",""),"-","")," ","")),LEN(UPPER(SUBSTITUTE(SUBSTITUTE(SUBSTITUTE(TRIM(C490),".",""),"-","")," ","")))-1))&amp;RIGHT(UPPER(SUBSTITUTE(SUBSTITUTE(SUBSTITUTE(TRIM(C490),".",""),"-","")," ","")),1),UPPER(SUBSTITUTE(SUBSTITUTE(SUBSTITUTE(TRIM(C490),".",""),"-","")," ",""))))</f>
        <v/>
      </c>
    </row>
    <row r="491" customFormat="false" ht="15" hidden="false" customHeight="false" outlineLevel="0" collapsed="false">
      <c r="B491" s="80"/>
      <c r="C491" s="58"/>
      <c r="D491" s="62" t="str">
        <f aca="false">IF(C491="","",IFERROR(INDEX(T_NOMBRE,MATCH(V491,T_RUTN,0)),"⚠ RUT no está en Trabajadores"))</f>
        <v/>
      </c>
      <c r="E491" s="61"/>
      <c r="F491" s="61"/>
      <c r="G491" s="61"/>
      <c r="H491" s="61"/>
      <c r="I491" s="81"/>
      <c r="J491" s="81"/>
      <c r="K491" s="60"/>
      <c r="L491" s="60"/>
      <c r="M491" s="60"/>
      <c r="N491" s="60"/>
      <c r="O491" s="60"/>
      <c r="P491" s="60"/>
      <c r="Q491" s="60"/>
      <c r="R491" s="58"/>
      <c r="S491" s="62" t="str">
        <f aca="false">IF(OR(B491="",V491=""),"",IFERROR(INDEX(C_TIPO,MATCH(V491&amp;"-P"&amp;MAX(1,COUNTIFS(C_RUTN,V491,C_DEF,"Sí",C_INI,"&lt;="&amp;EOMONTH(B491,0))),C_CLAVE,0))&amp;"","Sin contrato"))</f>
        <v/>
      </c>
      <c r="T491" s="63" t="str">
        <f aca="false">IF(OR(B491="",N(O491)=0),"",N(O491)+ROUND(MIN(N(N491),TOPE_UF*UF_MES)*(TASA_EMP+MUTUAL),0)+ROUND(MIN(N(N491),TOPE_AFC_UF*UF_MES)*IF(S491="Indefinido",AFC_INDEF,AFC_PF),0))</f>
        <v/>
      </c>
      <c r="U491" s="62" t="str">
        <f aca="false">IF(C491="","",IF(LEFT(D491,1)="⚠","⚠ RUT no registrado en Trabajadores",IF(B491="","⚠ Falta el mes",IF(OR(ISTEXT(I491),ISTEXT(J491)),"⚠ Atrasos u horas extra como texto: escriba hh:mm (ej. 1:30)",IF(AND(ISNUMBER(Q491),COUNTIFS(M_RUTN,V491,M_MES,B491,M_LIQ,"&lt;&gt;")&gt;1),"⚠ Liquidación repetida en el mes",IF(AND(ISNUMBER(O491),ISNUMBER(P491),ISNUMBER(Q491),ABS(O491-P491-Q491)&gt;1),"⚠ Haberes − descuentos no da el líquido","OK"))))))</f>
        <v/>
      </c>
      <c r="V491" s="62" t="str">
        <f aca="false">IF(C491="","",IFERROR(VALUE(LEFT(UPPER(SUBSTITUTE(SUBSTITUTE(SUBSTITUTE(TRIM(C491),".",""),"-","")," ","")),LEN(UPPER(SUBSTITUTE(SUBSTITUTE(SUBSTITUTE(TRIM(C491),".",""),"-","")," ","")))-1))&amp;RIGHT(UPPER(SUBSTITUTE(SUBSTITUTE(SUBSTITUTE(TRIM(C491),".",""),"-","")," ","")),1),UPPER(SUBSTITUTE(SUBSTITUTE(SUBSTITUTE(TRIM(C491),".",""),"-","")," ",""))))</f>
        <v/>
      </c>
    </row>
    <row r="492" customFormat="false" ht="15" hidden="false" customHeight="false" outlineLevel="0" collapsed="false">
      <c r="B492" s="80"/>
      <c r="C492" s="58"/>
      <c r="D492" s="62" t="str">
        <f aca="false">IF(C492="","",IFERROR(INDEX(T_NOMBRE,MATCH(V492,T_RUTN,0)),"⚠ RUT no está en Trabajadores"))</f>
        <v/>
      </c>
      <c r="E492" s="61"/>
      <c r="F492" s="61"/>
      <c r="G492" s="61"/>
      <c r="H492" s="61"/>
      <c r="I492" s="81"/>
      <c r="J492" s="81"/>
      <c r="K492" s="60"/>
      <c r="L492" s="60"/>
      <c r="M492" s="60"/>
      <c r="N492" s="60"/>
      <c r="O492" s="60"/>
      <c r="P492" s="60"/>
      <c r="Q492" s="60"/>
      <c r="R492" s="58"/>
      <c r="S492" s="62" t="str">
        <f aca="false">IF(OR(B492="",V492=""),"",IFERROR(INDEX(C_TIPO,MATCH(V492&amp;"-P"&amp;MAX(1,COUNTIFS(C_RUTN,V492,C_DEF,"Sí",C_INI,"&lt;="&amp;EOMONTH(B492,0))),C_CLAVE,0))&amp;"","Sin contrato"))</f>
        <v/>
      </c>
      <c r="T492" s="63" t="str">
        <f aca="false">IF(OR(B492="",N(O492)=0),"",N(O492)+ROUND(MIN(N(N492),TOPE_UF*UF_MES)*(TASA_EMP+MUTUAL),0)+ROUND(MIN(N(N492),TOPE_AFC_UF*UF_MES)*IF(S492="Indefinido",AFC_INDEF,AFC_PF),0))</f>
        <v/>
      </c>
      <c r="U492" s="62" t="str">
        <f aca="false">IF(C492="","",IF(LEFT(D492,1)="⚠","⚠ RUT no registrado en Trabajadores",IF(B492="","⚠ Falta el mes",IF(OR(ISTEXT(I492),ISTEXT(J492)),"⚠ Atrasos u horas extra como texto: escriba hh:mm (ej. 1:30)",IF(AND(ISNUMBER(Q492),COUNTIFS(M_RUTN,V492,M_MES,B492,M_LIQ,"&lt;&gt;")&gt;1),"⚠ Liquidación repetida en el mes",IF(AND(ISNUMBER(O492),ISNUMBER(P492),ISNUMBER(Q492),ABS(O492-P492-Q492)&gt;1),"⚠ Haberes − descuentos no da el líquido","OK"))))))</f>
        <v/>
      </c>
      <c r="V492" s="62" t="str">
        <f aca="false">IF(C492="","",IFERROR(VALUE(LEFT(UPPER(SUBSTITUTE(SUBSTITUTE(SUBSTITUTE(TRIM(C492),".",""),"-","")," ","")),LEN(UPPER(SUBSTITUTE(SUBSTITUTE(SUBSTITUTE(TRIM(C492),".",""),"-","")," ","")))-1))&amp;RIGHT(UPPER(SUBSTITUTE(SUBSTITUTE(SUBSTITUTE(TRIM(C492),".",""),"-","")," ","")),1),UPPER(SUBSTITUTE(SUBSTITUTE(SUBSTITUTE(TRIM(C492),".",""),"-","")," ",""))))</f>
        <v/>
      </c>
    </row>
    <row r="493" customFormat="false" ht="15" hidden="false" customHeight="false" outlineLevel="0" collapsed="false">
      <c r="B493" s="80"/>
      <c r="C493" s="58"/>
      <c r="D493" s="62" t="str">
        <f aca="false">IF(C493="","",IFERROR(INDEX(T_NOMBRE,MATCH(V493,T_RUTN,0)),"⚠ RUT no está en Trabajadores"))</f>
        <v/>
      </c>
      <c r="E493" s="61"/>
      <c r="F493" s="61"/>
      <c r="G493" s="61"/>
      <c r="H493" s="61"/>
      <c r="I493" s="81"/>
      <c r="J493" s="81"/>
      <c r="K493" s="60"/>
      <c r="L493" s="60"/>
      <c r="M493" s="60"/>
      <c r="N493" s="60"/>
      <c r="O493" s="60"/>
      <c r="P493" s="60"/>
      <c r="Q493" s="60"/>
      <c r="R493" s="58"/>
      <c r="S493" s="62" t="str">
        <f aca="false">IF(OR(B493="",V493=""),"",IFERROR(INDEX(C_TIPO,MATCH(V493&amp;"-P"&amp;MAX(1,COUNTIFS(C_RUTN,V493,C_DEF,"Sí",C_INI,"&lt;="&amp;EOMONTH(B493,0))),C_CLAVE,0))&amp;"","Sin contrato"))</f>
        <v/>
      </c>
      <c r="T493" s="63" t="str">
        <f aca="false">IF(OR(B493="",N(O493)=0),"",N(O493)+ROUND(MIN(N(N493),TOPE_UF*UF_MES)*(TASA_EMP+MUTUAL),0)+ROUND(MIN(N(N493),TOPE_AFC_UF*UF_MES)*IF(S493="Indefinido",AFC_INDEF,AFC_PF),0))</f>
        <v/>
      </c>
      <c r="U493" s="62" t="str">
        <f aca="false">IF(C493="","",IF(LEFT(D493,1)="⚠","⚠ RUT no registrado en Trabajadores",IF(B493="","⚠ Falta el mes",IF(OR(ISTEXT(I493),ISTEXT(J493)),"⚠ Atrasos u horas extra como texto: escriba hh:mm (ej. 1:30)",IF(AND(ISNUMBER(Q493),COUNTIFS(M_RUTN,V493,M_MES,B493,M_LIQ,"&lt;&gt;")&gt;1),"⚠ Liquidación repetida en el mes",IF(AND(ISNUMBER(O493),ISNUMBER(P493),ISNUMBER(Q493),ABS(O493-P493-Q493)&gt;1),"⚠ Haberes − descuentos no da el líquido","OK"))))))</f>
        <v/>
      </c>
      <c r="V493" s="62" t="str">
        <f aca="false">IF(C493="","",IFERROR(VALUE(LEFT(UPPER(SUBSTITUTE(SUBSTITUTE(SUBSTITUTE(TRIM(C493),".",""),"-","")," ","")),LEN(UPPER(SUBSTITUTE(SUBSTITUTE(SUBSTITUTE(TRIM(C493),".",""),"-","")," ","")))-1))&amp;RIGHT(UPPER(SUBSTITUTE(SUBSTITUTE(SUBSTITUTE(TRIM(C493),".",""),"-","")," ","")),1),UPPER(SUBSTITUTE(SUBSTITUTE(SUBSTITUTE(TRIM(C493),".",""),"-","")," ",""))))</f>
        <v/>
      </c>
    </row>
    <row r="494" customFormat="false" ht="15" hidden="false" customHeight="false" outlineLevel="0" collapsed="false">
      <c r="B494" s="80"/>
      <c r="C494" s="58"/>
      <c r="D494" s="62" t="str">
        <f aca="false">IF(C494="","",IFERROR(INDEX(T_NOMBRE,MATCH(V494,T_RUTN,0)),"⚠ RUT no está en Trabajadores"))</f>
        <v/>
      </c>
      <c r="E494" s="61"/>
      <c r="F494" s="61"/>
      <c r="G494" s="61"/>
      <c r="H494" s="61"/>
      <c r="I494" s="81"/>
      <c r="J494" s="81"/>
      <c r="K494" s="60"/>
      <c r="L494" s="60"/>
      <c r="M494" s="60"/>
      <c r="N494" s="60"/>
      <c r="O494" s="60"/>
      <c r="P494" s="60"/>
      <c r="Q494" s="60"/>
      <c r="R494" s="58"/>
      <c r="S494" s="62" t="str">
        <f aca="false">IF(OR(B494="",V494=""),"",IFERROR(INDEX(C_TIPO,MATCH(V494&amp;"-P"&amp;MAX(1,COUNTIFS(C_RUTN,V494,C_DEF,"Sí",C_INI,"&lt;="&amp;EOMONTH(B494,0))),C_CLAVE,0))&amp;"","Sin contrato"))</f>
        <v/>
      </c>
      <c r="T494" s="63" t="str">
        <f aca="false">IF(OR(B494="",N(O494)=0),"",N(O494)+ROUND(MIN(N(N494),TOPE_UF*UF_MES)*(TASA_EMP+MUTUAL),0)+ROUND(MIN(N(N494),TOPE_AFC_UF*UF_MES)*IF(S494="Indefinido",AFC_INDEF,AFC_PF),0))</f>
        <v/>
      </c>
      <c r="U494" s="62" t="str">
        <f aca="false">IF(C494="","",IF(LEFT(D494,1)="⚠","⚠ RUT no registrado en Trabajadores",IF(B494="","⚠ Falta el mes",IF(OR(ISTEXT(I494),ISTEXT(J494)),"⚠ Atrasos u horas extra como texto: escriba hh:mm (ej. 1:30)",IF(AND(ISNUMBER(Q494),COUNTIFS(M_RUTN,V494,M_MES,B494,M_LIQ,"&lt;&gt;")&gt;1),"⚠ Liquidación repetida en el mes",IF(AND(ISNUMBER(O494),ISNUMBER(P494),ISNUMBER(Q494),ABS(O494-P494-Q494)&gt;1),"⚠ Haberes − descuentos no da el líquido","OK"))))))</f>
        <v/>
      </c>
      <c r="V494" s="62" t="str">
        <f aca="false">IF(C494="","",IFERROR(VALUE(LEFT(UPPER(SUBSTITUTE(SUBSTITUTE(SUBSTITUTE(TRIM(C494),".",""),"-","")," ","")),LEN(UPPER(SUBSTITUTE(SUBSTITUTE(SUBSTITUTE(TRIM(C494),".",""),"-","")," ","")))-1))&amp;RIGHT(UPPER(SUBSTITUTE(SUBSTITUTE(SUBSTITUTE(TRIM(C494),".",""),"-","")," ","")),1),UPPER(SUBSTITUTE(SUBSTITUTE(SUBSTITUTE(TRIM(C494),".",""),"-","")," ",""))))</f>
        <v/>
      </c>
    </row>
    <row r="495" customFormat="false" ht="15" hidden="false" customHeight="false" outlineLevel="0" collapsed="false">
      <c r="B495" s="80"/>
      <c r="C495" s="58"/>
      <c r="D495" s="62" t="str">
        <f aca="false">IF(C495="","",IFERROR(INDEX(T_NOMBRE,MATCH(V495,T_RUTN,0)),"⚠ RUT no está en Trabajadores"))</f>
        <v/>
      </c>
      <c r="E495" s="61"/>
      <c r="F495" s="61"/>
      <c r="G495" s="61"/>
      <c r="H495" s="61"/>
      <c r="I495" s="81"/>
      <c r="J495" s="81"/>
      <c r="K495" s="60"/>
      <c r="L495" s="60"/>
      <c r="M495" s="60"/>
      <c r="N495" s="60"/>
      <c r="O495" s="60"/>
      <c r="P495" s="60"/>
      <c r="Q495" s="60"/>
      <c r="R495" s="58"/>
      <c r="S495" s="62" t="str">
        <f aca="false">IF(OR(B495="",V495=""),"",IFERROR(INDEX(C_TIPO,MATCH(V495&amp;"-P"&amp;MAX(1,COUNTIFS(C_RUTN,V495,C_DEF,"Sí",C_INI,"&lt;="&amp;EOMONTH(B495,0))),C_CLAVE,0))&amp;"","Sin contrato"))</f>
        <v/>
      </c>
      <c r="T495" s="63" t="str">
        <f aca="false">IF(OR(B495="",N(O495)=0),"",N(O495)+ROUND(MIN(N(N495),TOPE_UF*UF_MES)*(TASA_EMP+MUTUAL),0)+ROUND(MIN(N(N495),TOPE_AFC_UF*UF_MES)*IF(S495="Indefinido",AFC_INDEF,AFC_PF),0))</f>
        <v/>
      </c>
      <c r="U495" s="62" t="str">
        <f aca="false">IF(C495="","",IF(LEFT(D495,1)="⚠","⚠ RUT no registrado en Trabajadores",IF(B495="","⚠ Falta el mes",IF(OR(ISTEXT(I495),ISTEXT(J495)),"⚠ Atrasos u horas extra como texto: escriba hh:mm (ej. 1:30)",IF(AND(ISNUMBER(Q495),COUNTIFS(M_RUTN,V495,M_MES,B495,M_LIQ,"&lt;&gt;")&gt;1),"⚠ Liquidación repetida en el mes",IF(AND(ISNUMBER(O495),ISNUMBER(P495),ISNUMBER(Q495),ABS(O495-P495-Q495)&gt;1),"⚠ Haberes − descuentos no da el líquido","OK"))))))</f>
        <v/>
      </c>
      <c r="V495" s="62" t="str">
        <f aca="false">IF(C495="","",IFERROR(VALUE(LEFT(UPPER(SUBSTITUTE(SUBSTITUTE(SUBSTITUTE(TRIM(C495),".",""),"-","")," ","")),LEN(UPPER(SUBSTITUTE(SUBSTITUTE(SUBSTITUTE(TRIM(C495),".",""),"-","")," ","")))-1))&amp;RIGHT(UPPER(SUBSTITUTE(SUBSTITUTE(SUBSTITUTE(TRIM(C495),".",""),"-","")," ","")),1),UPPER(SUBSTITUTE(SUBSTITUTE(SUBSTITUTE(TRIM(C495),".",""),"-","")," ",""))))</f>
        <v/>
      </c>
    </row>
    <row r="496" customFormat="false" ht="15" hidden="false" customHeight="false" outlineLevel="0" collapsed="false">
      <c r="B496" s="80"/>
      <c r="C496" s="58"/>
      <c r="D496" s="62" t="str">
        <f aca="false">IF(C496="","",IFERROR(INDEX(T_NOMBRE,MATCH(V496,T_RUTN,0)),"⚠ RUT no está en Trabajadores"))</f>
        <v/>
      </c>
      <c r="E496" s="61"/>
      <c r="F496" s="61"/>
      <c r="G496" s="61"/>
      <c r="H496" s="61"/>
      <c r="I496" s="81"/>
      <c r="J496" s="81"/>
      <c r="K496" s="60"/>
      <c r="L496" s="60"/>
      <c r="M496" s="60"/>
      <c r="N496" s="60"/>
      <c r="O496" s="60"/>
      <c r="P496" s="60"/>
      <c r="Q496" s="60"/>
      <c r="R496" s="58"/>
      <c r="S496" s="62" t="str">
        <f aca="false">IF(OR(B496="",V496=""),"",IFERROR(INDEX(C_TIPO,MATCH(V496&amp;"-P"&amp;MAX(1,COUNTIFS(C_RUTN,V496,C_DEF,"Sí",C_INI,"&lt;="&amp;EOMONTH(B496,0))),C_CLAVE,0))&amp;"","Sin contrato"))</f>
        <v/>
      </c>
      <c r="T496" s="63" t="str">
        <f aca="false">IF(OR(B496="",N(O496)=0),"",N(O496)+ROUND(MIN(N(N496),TOPE_UF*UF_MES)*(TASA_EMP+MUTUAL),0)+ROUND(MIN(N(N496),TOPE_AFC_UF*UF_MES)*IF(S496="Indefinido",AFC_INDEF,AFC_PF),0))</f>
        <v/>
      </c>
      <c r="U496" s="62" t="str">
        <f aca="false">IF(C496="","",IF(LEFT(D496,1)="⚠","⚠ RUT no registrado en Trabajadores",IF(B496="","⚠ Falta el mes",IF(OR(ISTEXT(I496),ISTEXT(J496)),"⚠ Atrasos u horas extra como texto: escriba hh:mm (ej. 1:30)",IF(AND(ISNUMBER(Q496),COUNTIFS(M_RUTN,V496,M_MES,B496,M_LIQ,"&lt;&gt;")&gt;1),"⚠ Liquidación repetida en el mes",IF(AND(ISNUMBER(O496),ISNUMBER(P496),ISNUMBER(Q496),ABS(O496-P496-Q496)&gt;1),"⚠ Haberes − descuentos no da el líquido","OK"))))))</f>
        <v/>
      </c>
      <c r="V496" s="62" t="str">
        <f aca="false">IF(C496="","",IFERROR(VALUE(LEFT(UPPER(SUBSTITUTE(SUBSTITUTE(SUBSTITUTE(TRIM(C496),".",""),"-","")," ","")),LEN(UPPER(SUBSTITUTE(SUBSTITUTE(SUBSTITUTE(TRIM(C496),".",""),"-","")," ","")))-1))&amp;RIGHT(UPPER(SUBSTITUTE(SUBSTITUTE(SUBSTITUTE(TRIM(C496),".",""),"-","")," ","")),1),UPPER(SUBSTITUTE(SUBSTITUTE(SUBSTITUTE(TRIM(C496),".",""),"-","")," ",""))))</f>
        <v/>
      </c>
    </row>
    <row r="497" customFormat="false" ht="15" hidden="false" customHeight="false" outlineLevel="0" collapsed="false">
      <c r="B497" s="80"/>
      <c r="C497" s="58"/>
      <c r="D497" s="62" t="str">
        <f aca="false">IF(C497="","",IFERROR(INDEX(T_NOMBRE,MATCH(V497,T_RUTN,0)),"⚠ RUT no está en Trabajadores"))</f>
        <v/>
      </c>
      <c r="E497" s="61"/>
      <c r="F497" s="61"/>
      <c r="G497" s="61"/>
      <c r="H497" s="61"/>
      <c r="I497" s="81"/>
      <c r="J497" s="81"/>
      <c r="K497" s="60"/>
      <c r="L497" s="60"/>
      <c r="M497" s="60"/>
      <c r="N497" s="60"/>
      <c r="O497" s="60"/>
      <c r="P497" s="60"/>
      <c r="Q497" s="60"/>
      <c r="R497" s="58"/>
      <c r="S497" s="62" t="str">
        <f aca="false">IF(OR(B497="",V497=""),"",IFERROR(INDEX(C_TIPO,MATCH(V497&amp;"-P"&amp;MAX(1,COUNTIFS(C_RUTN,V497,C_DEF,"Sí",C_INI,"&lt;="&amp;EOMONTH(B497,0))),C_CLAVE,0))&amp;"","Sin contrato"))</f>
        <v/>
      </c>
      <c r="T497" s="63" t="str">
        <f aca="false">IF(OR(B497="",N(O497)=0),"",N(O497)+ROUND(MIN(N(N497),TOPE_UF*UF_MES)*(TASA_EMP+MUTUAL),0)+ROUND(MIN(N(N497),TOPE_AFC_UF*UF_MES)*IF(S497="Indefinido",AFC_INDEF,AFC_PF),0))</f>
        <v/>
      </c>
      <c r="U497" s="62" t="str">
        <f aca="false">IF(C497="","",IF(LEFT(D497,1)="⚠","⚠ RUT no registrado en Trabajadores",IF(B497="","⚠ Falta el mes",IF(OR(ISTEXT(I497),ISTEXT(J497)),"⚠ Atrasos u horas extra como texto: escriba hh:mm (ej. 1:30)",IF(AND(ISNUMBER(Q497),COUNTIFS(M_RUTN,V497,M_MES,B497,M_LIQ,"&lt;&gt;")&gt;1),"⚠ Liquidación repetida en el mes",IF(AND(ISNUMBER(O497),ISNUMBER(P497),ISNUMBER(Q497),ABS(O497-P497-Q497)&gt;1),"⚠ Haberes − descuentos no da el líquido","OK"))))))</f>
        <v/>
      </c>
      <c r="V497" s="62" t="str">
        <f aca="false">IF(C497="","",IFERROR(VALUE(LEFT(UPPER(SUBSTITUTE(SUBSTITUTE(SUBSTITUTE(TRIM(C497),".",""),"-","")," ","")),LEN(UPPER(SUBSTITUTE(SUBSTITUTE(SUBSTITUTE(TRIM(C497),".",""),"-","")," ","")))-1))&amp;RIGHT(UPPER(SUBSTITUTE(SUBSTITUTE(SUBSTITUTE(TRIM(C497),".",""),"-","")," ","")),1),UPPER(SUBSTITUTE(SUBSTITUTE(SUBSTITUTE(TRIM(C497),".",""),"-","")," ",""))))</f>
        <v/>
      </c>
    </row>
    <row r="498" customFormat="false" ht="15" hidden="false" customHeight="false" outlineLevel="0" collapsed="false">
      <c r="B498" s="80"/>
      <c r="C498" s="58"/>
      <c r="D498" s="62" t="str">
        <f aca="false">IF(C498="","",IFERROR(INDEX(T_NOMBRE,MATCH(V498,T_RUTN,0)),"⚠ RUT no está en Trabajadores"))</f>
        <v/>
      </c>
      <c r="E498" s="61"/>
      <c r="F498" s="61"/>
      <c r="G498" s="61"/>
      <c r="H498" s="61"/>
      <c r="I498" s="81"/>
      <c r="J498" s="81"/>
      <c r="K498" s="60"/>
      <c r="L498" s="60"/>
      <c r="M498" s="60"/>
      <c r="N498" s="60"/>
      <c r="O498" s="60"/>
      <c r="P498" s="60"/>
      <c r="Q498" s="60"/>
      <c r="R498" s="58"/>
      <c r="S498" s="62" t="str">
        <f aca="false">IF(OR(B498="",V498=""),"",IFERROR(INDEX(C_TIPO,MATCH(V498&amp;"-P"&amp;MAX(1,COUNTIFS(C_RUTN,V498,C_DEF,"Sí",C_INI,"&lt;="&amp;EOMONTH(B498,0))),C_CLAVE,0))&amp;"","Sin contrato"))</f>
        <v/>
      </c>
      <c r="T498" s="63" t="str">
        <f aca="false">IF(OR(B498="",N(O498)=0),"",N(O498)+ROUND(MIN(N(N498),TOPE_UF*UF_MES)*(TASA_EMP+MUTUAL),0)+ROUND(MIN(N(N498),TOPE_AFC_UF*UF_MES)*IF(S498="Indefinido",AFC_INDEF,AFC_PF),0))</f>
        <v/>
      </c>
      <c r="U498" s="62" t="str">
        <f aca="false">IF(C498="","",IF(LEFT(D498,1)="⚠","⚠ RUT no registrado en Trabajadores",IF(B498="","⚠ Falta el mes",IF(OR(ISTEXT(I498),ISTEXT(J498)),"⚠ Atrasos u horas extra como texto: escriba hh:mm (ej. 1:30)",IF(AND(ISNUMBER(Q498),COUNTIFS(M_RUTN,V498,M_MES,B498,M_LIQ,"&lt;&gt;")&gt;1),"⚠ Liquidación repetida en el mes",IF(AND(ISNUMBER(O498),ISNUMBER(P498),ISNUMBER(Q498),ABS(O498-P498-Q498)&gt;1),"⚠ Haberes − descuentos no da el líquido","OK"))))))</f>
        <v/>
      </c>
      <c r="V498" s="62" t="str">
        <f aca="false">IF(C498="","",IFERROR(VALUE(LEFT(UPPER(SUBSTITUTE(SUBSTITUTE(SUBSTITUTE(TRIM(C498),".",""),"-","")," ","")),LEN(UPPER(SUBSTITUTE(SUBSTITUTE(SUBSTITUTE(TRIM(C498),".",""),"-","")," ","")))-1))&amp;RIGHT(UPPER(SUBSTITUTE(SUBSTITUTE(SUBSTITUTE(TRIM(C498),".",""),"-","")," ","")),1),UPPER(SUBSTITUTE(SUBSTITUTE(SUBSTITUTE(TRIM(C498),".",""),"-","")," ",""))))</f>
        <v/>
      </c>
    </row>
    <row r="499" customFormat="false" ht="15" hidden="false" customHeight="false" outlineLevel="0" collapsed="false">
      <c r="B499" s="80"/>
      <c r="C499" s="58"/>
      <c r="D499" s="62" t="str">
        <f aca="false">IF(C499="","",IFERROR(INDEX(T_NOMBRE,MATCH(V499,T_RUTN,0)),"⚠ RUT no está en Trabajadores"))</f>
        <v/>
      </c>
      <c r="E499" s="61"/>
      <c r="F499" s="61"/>
      <c r="G499" s="61"/>
      <c r="H499" s="61"/>
      <c r="I499" s="81"/>
      <c r="J499" s="81"/>
      <c r="K499" s="60"/>
      <c r="L499" s="60"/>
      <c r="M499" s="60"/>
      <c r="N499" s="60"/>
      <c r="O499" s="60"/>
      <c r="P499" s="60"/>
      <c r="Q499" s="60"/>
      <c r="R499" s="58"/>
      <c r="S499" s="62" t="str">
        <f aca="false">IF(OR(B499="",V499=""),"",IFERROR(INDEX(C_TIPO,MATCH(V499&amp;"-P"&amp;MAX(1,COUNTIFS(C_RUTN,V499,C_DEF,"Sí",C_INI,"&lt;="&amp;EOMONTH(B499,0))),C_CLAVE,0))&amp;"","Sin contrato"))</f>
        <v/>
      </c>
      <c r="T499" s="63" t="str">
        <f aca="false">IF(OR(B499="",N(O499)=0),"",N(O499)+ROUND(MIN(N(N499),TOPE_UF*UF_MES)*(TASA_EMP+MUTUAL),0)+ROUND(MIN(N(N499),TOPE_AFC_UF*UF_MES)*IF(S499="Indefinido",AFC_INDEF,AFC_PF),0))</f>
        <v/>
      </c>
      <c r="U499" s="62" t="str">
        <f aca="false">IF(C499="","",IF(LEFT(D499,1)="⚠","⚠ RUT no registrado en Trabajadores",IF(B499="","⚠ Falta el mes",IF(OR(ISTEXT(I499),ISTEXT(J499)),"⚠ Atrasos u horas extra como texto: escriba hh:mm (ej. 1:30)",IF(AND(ISNUMBER(Q499),COUNTIFS(M_RUTN,V499,M_MES,B499,M_LIQ,"&lt;&gt;")&gt;1),"⚠ Liquidación repetida en el mes",IF(AND(ISNUMBER(O499),ISNUMBER(P499),ISNUMBER(Q499),ABS(O499-P499-Q499)&gt;1),"⚠ Haberes − descuentos no da el líquido","OK"))))))</f>
        <v/>
      </c>
      <c r="V499" s="62" t="str">
        <f aca="false">IF(C499="","",IFERROR(VALUE(LEFT(UPPER(SUBSTITUTE(SUBSTITUTE(SUBSTITUTE(TRIM(C499),".",""),"-","")," ","")),LEN(UPPER(SUBSTITUTE(SUBSTITUTE(SUBSTITUTE(TRIM(C499),".",""),"-","")," ","")))-1))&amp;RIGHT(UPPER(SUBSTITUTE(SUBSTITUTE(SUBSTITUTE(TRIM(C499),".",""),"-","")," ","")),1),UPPER(SUBSTITUTE(SUBSTITUTE(SUBSTITUTE(TRIM(C499),".",""),"-","")," ",""))))</f>
        <v/>
      </c>
    </row>
    <row r="500" customFormat="false" ht="15" hidden="false" customHeight="false" outlineLevel="0" collapsed="false">
      <c r="B500" s="80"/>
      <c r="C500" s="58"/>
      <c r="D500" s="62" t="str">
        <f aca="false">IF(C500="","",IFERROR(INDEX(T_NOMBRE,MATCH(V500,T_RUTN,0)),"⚠ RUT no está en Trabajadores"))</f>
        <v/>
      </c>
      <c r="E500" s="61"/>
      <c r="F500" s="61"/>
      <c r="G500" s="61"/>
      <c r="H500" s="61"/>
      <c r="I500" s="81"/>
      <c r="J500" s="81"/>
      <c r="K500" s="60"/>
      <c r="L500" s="60"/>
      <c r="M500" s="60"/>
      <c r="N500" s="60"/>
      <c r="O500" s="60"/>
      <c r="P500" s="60"/>
      <c r="Q500" s="60"/>
      <c r="R500" s="58"/>
      <c r="S500" s="62" t="str">
        <f aca="false">IF(OR(B500="",V500=""),"",IFERROR(INDEX(C_TIPO,MATCH(V500&amp;"-P"&amp;MAX(1,COUNTIFS(C_RUTN,V500,C_DEF,"Sí",C_INI,"&lt;="&amp;EOMONTH(B500,0))),C_CLAVE,0))&amp;"","Sin contrato"))</f>
        <v/>
      </c>
      <c r="T500" s="63" t="str">
        <f aca="false">IF(OR(B500="",N(O500)=0),"",N(O500)+ROUND(MIN(N(N500),TOPE_UF*UF_MES)*(TASA_EMP+MUTUAL),0)+ROUND(MIN(N(N500),TOPE_AFC_UF*UF_MES)*IF(S500="Indefinido",AFC_INDEF,AFC_PF),0))</f>
        <v/>
      </c>
      <c r="U500" s="62" t="str">
        <f aca="false">IF(C500="","",IF(LEFT(D500,1)="⚠","⚠ RUT no registrado en Trabajadores",IF(B500="","⚠ Falta el mes",IF(OR(ISTEXT(I500),ISTEXT(J500)),"⚠ Atrasos u horas extra como texto: escriba hh:mm (ej. 1:30)",IF(AND(ISNUMBER(Q500),COUNTIFS(M_RUTN,V500,M_MES,B500,M_LIQ,"&lt;&gt;")&gt;1),"⚠ Liquidación repetida en el mes",IF(AND(ISNUMBER(O500),ISNUMBER(P500),ISNUMBER(Q500),ABS(O500-P500-Q500)&gt;1),"⚠ Haberes − descuentos no da el líquido","OK"))))))</f>
        <v/>
      </c>
      <c r="V500" s="62" t="str">
        <f aca="false">IF(C500="","",IFERROR(VALUE(LEFT(UPPER(SUBSTITUTE(SUBSTITUTE(SUBSTITUTE(TRIM(C500),".",""),"-","")," ","")),LEN(UPPER(SUBSTITUTE(SUBSTITUTE(SUBSTITUTE(TRIM(C500),".",""),"-","")," ","")))-1))&amp;RIGHT(UPPER(SUBSTITUTE(SUBSTITUTE(SUBSTITUTE(TRIM(C500),".",""),"-","")," ","")),1),UPPER(SUBSTITUTE(SUBSTITUTE(SUBSTITUTE(TRIM(C500),".",""),"-","")," ",""))))</f>
        <v/>
      </c>
    </row>
    <row r="501" customFormat="false" ht="15" hidden="false" customHeight="false" outlineLevel="0" collapsed="false">
      <c r="B501" s="80"/>
      <c r="C501" s="58"/>
      <c r="D501" s="62" t="str">
        <f aca="false">IF(C501="","",IFERROR(INDEX(T_NOMBRE,MATCH(V501,T_RUTN,0)),"⚠ RUT no está en Trabajadores"))</f>
        <v/>
      </c>
      <c r="E501" s="61"/>
      <c r="F501" s="61"/>
      <c r="G501" s="61"/>
      <c r="H501" s="61"/>
      <c r="I501" s="81"/>
      <c r="J501" s="81"/>
      <c r="K501" s="60"/>
      <c r="L501" s="60"/>
      <c r="M501" s="60"/>
      <c r="N501" s="60"/>
      <c r="O501" s="60"/>
      <c r="P501" s="60"/>
      <c r="Q501" s="60"/>
      <c r="R501" s="58"/>
      <c r="S501" s="62" t="str">
        <f aca="false">IF(OR(B501="",V501=""),"",IFERROR(INDEX(C_TIPO,MATCH(V501&amp;"-P"&amp;MAX(1,COUNTIFS(C_RUTN,V501,C_DEF,"Sí",C_INI,"&lt;="&amp;EOMONTH(B501,0))),C_CLAVE,0))&amp;"","Sin contrato"))</f>
        <v/>
      </c>
      <c r="T501" s="63" t="str">
        <f aca="false">IF(OR(B501="",N(O501)=0),"",N(O501)+ROUND(MIN(N(N501),TOPE_UF*UF_MES)*(TASA_EMP+MUTUAL),0)+ROUND(MIN(N(N501),TOPE_AFC_UF*UF_MES)*IF(S501="Indefinido",AFC_INDEF,AFC_PF),0))</f>
        <v/>
      </c>
      <c r="U501" s="62" t="str">
        <f aca="false">IF(C501="","",IF(LEFT(D501,1)="⚠","⚠ RUT no registrado en Trabajadores",IF(B501="","⚠ Falta el mes",IF(OR(ISTEXT(I501),ISTEXT(J501)),"⚠ Atrasos u horas extra como texto: escriba hh:mm (ej. 1:30)",IF(AND(ISNUMBER(Q501),COUNTIFS(M_RUTN,V501,M_MES,B501,M_LIQ,"&lt;&gt;")&gt;1),"⚠ Liquidación repetida en el mes",IF(AND(ISNUMBER(O501),ISNUMBER(P501),ISNUMBER(Q501),ABS(O501-P501-Q501)&gt;1),"⚠ Haberes − descuentos no da el líquido","OK"))))))</f>
        <v/>
      </c>
      <c r="V501" s="62" t="str">
        <f aca="false">IF(C501="","",IFERROR(VALUE(LEFT(UPPER(SUBSTITUTE(SUBSTITUTE(SUBSTITUTE(TRIM(C501),".",""),"-","")," ","")),LEN(UPPER(SUBSTITUTE(SUBSTITUTE(SUBSTITUTE(TRIM(C501),".",""),"-","")," ","")))-1))&amp;RIGHT(UPPER(SUBSTITUTE(SUBSTITUTE(SUBSTITUTE(TRIM(C501),".",""),"-","")," ","")),1),UPPER(SUBSTITUTE(SUBSTITUTE(SUBSTITUTE(TRIM(C501),".",""),"-","")," ",""))))</f>
        <v/>
      </c>
    </row>
    <row r="502" customFormat="false" ht="15" hidden="false" customHeight="false" outlineLevel="0" collapsed="false">
      <c r="B502" s="80"/>
      <c r="C502" s="58"/>
      <c r="D502" s="62" t="str">
        <f aca="false">IF(C502="","",IFERROR(INDEX(T_NOMBRE,MATCH(V502,T_RUTN,0)),"⚠ RUT no está en Trabajadores"))</f>
        <v/>
      </c>
      <c r="E502" s="61"/>
      <c r="F502" s="61"/>
      <c r="G502" s="61"/>
      <c r="H502" s="61"/>
      <c r="I502" s="81"/>
      <c r="J502" s="81"/>
      <c r="K502" s="60"/>
      <c r="L502" s="60"/>
      <c r="M502" s="60"/>
      <c r="N502" s="60"/>
      <c r="O502" s="60"/>
      <c r="P502" s="60"/>
      <c r="Q502" s="60"/>
      <c r="R502" s="58"/>
      <c r="S502" s="62" t="str">
        <f aca="false">IF(OR(B502="",V502=""),"",IFERROR(INDEX(C_TIPO,MATCH(V502&amp;"-P"&amp;MAX(1,COUNTIFS(C_RUTN,V502,C_DEF,"Sí",C_INI,"&lt;="&amp;EOMONTH(B502,0))),C_CLAVE,0))&amp;"","Sin contrato"))</f>
        <v/>
      </c>
      <c r="T502" s="63" t="str">
        <f aca="false">IF(OR(B502="",N(O502)=0),"",N(O502)+ROUND(MIN(N(N502),TOPE_UF*UF_MES)*(TASA_EMP+MUTUAL),0)+ROUND(MIN(N(N502),TOPE_AFC_UF*UF_MES)*IF(S502="Indefinido",AFC_INDEF,AFC_PF),0))</f>
        <v/>
      </c>
      <c r="U502" s="62" t="str">
        <f aca="false">IF(C502="","",IF(LEFT(D502,1)="⚠","⚠ RUT no registrado en Trabajadores",IF(B502="","⚠ Falta el mes",IF(OR(ISTEXT(I502),ISTEXT(J502)),"⚠ Atrasos u horas extra como texto: escriba hh:mm (ej. 1:30)",IF(AND(ISNUMBER(Q502),COUNTIFS(M_RUTN,V502,M_MES,B502,M_LIQ,"&lt;&gt;")&gt;1),"⚠ Liquidación repetida en el mes",IF(AND(ISNUMBER(O502),ISNUMBER(P502),ISNUMBER(Q502),ABS(O502-P502-Q502)&gt;1),"⚠ Haberes − descuentos no da el líquido","OK"))))))</f>
        <v/>
      </c>
      <c r="V502" s="62" t="str">
        <f aca="false">IF(C502="","",IFERROR(VALUE(LEFT(UPPER(SUBSTITUTE(SUBSTITUTE(SUBSTITUTE(TRIM(C502),".",""),"-","")," ","")),LEN(UPPER(SUBSTITUTE(SUBSTITUTE(SUBSTITUTE(TRIM(C502),".",""),"-","")," ","")))-1))&amp;RIGHT(UPPER(SUBSTITUTE(SUBSTITUTE(SUBSTITUTE(TRIM(C502),".",""),"-","")," ","")),1),UPPER(SUBSTITUTE(SUBSTITUTE(SUBSTITUTE(TRIM(C502),".",""),"-","")," ",""))))</f>
        <v/>
      </c>
    </row>
    <row r="503" customFormat="false" ht="15" hidden="false" customHeight="false" outlineLevel="0" collapsed="false">
      <c r="B503" s="80"/>
      <c r="C503" s="58"/>
      <c r="D503" s="62" t="str">
        <f aca="false">IF(C503="","",IFERROR(INDEX(T_NOMBRE,MATCH(V503,T_RUTN,0)),"⚠ RUT no está en Trabajadores"))</f>
        <v/>
      </c>
      <c r="E503" s="61"/>
      <c r="F503" s="61"/>
      <c r="G503" s="61"/>
      <c r="H503" s="61"/>
      <c r="I503" s="81"/>
      <c r="J503" s="81"/>
      <c r="K503" s="60"/>
      <c r="L503" s="60"/>
      <c r="M503" s="60"/>
      <c r="N503" s="60"/>
      <c r="O503" s="60"/>
      <c r="P503" s="60"/>
      <c r="Q503" s="60"/>
      <c r="R503" s="58"/>
      <c r="S503" s="62" t="str">
        <f aca="false">IF(OR(B503="",V503=""),"",IFERROR(INDEX(C_TIPO,MATCH(V503&amp;"-P"&amp;MAX(1,COUNTIFS(C_RUTN,V503,C_DEF,"Sí",C_INI,"&lt;="&amp;EOMONTH(B503,0))),C_CLAVE,0))&amp;"","Sin contrato"))</f>
        <v/>
      </c>
      <c r="T503" s="63" t="str">
        <f aca="false">IF(OR(B503="",N(O503)=0),"",N(O503)+ROUND(MIN(N(N503),TOPE_UF*UF_MES)*(TASA_EMP+MUTUAL),0)+ROUND(MIN(N(N503),TOPE_AFC_UF*UF_MES)*IF(S503="Indefinido",AFC_INDEF,AFC_PF),0))</f>
        <v/>
      </c>
      <c r="U503" s="62" t="str">
        <f aca="false">IF(C503="","",IF(LEFT(D503,1)="⚠","⚠ RUT no registrado en Trabajadores",IF(B503="","⚠ Falta el mes",IF(OR(ISTEXT(I503),ISTEXT(J503)),"⚠ Atrasos u horas extra como texto: escriba hh:mm (ej. 1:30)",IF(AND(ISNUMBER(Q503),COUNTIFS(M_RUTN,V503,M_MES,B503,M_LIQ,"&lt;&gt;")&gt;1),"⚠ Liquidación repetida en el mes",IF(AND(ISNUMBER(O503),ISNUMBER(P503),ISNUMBER(Q503),ABS(O503-P503-Q503)&gt;1),"⚠ Haberes − descuentos no da el líquido","OK"))))))</f>
        <v/>
      </c>
      <c r="V503" s="62" t="str">
        <f aca="false">IF(C503="","",IFERROR(VALUE(LEFT(UPPER(SUBSTITUTE(SUBSTITUTE(SUBSTITUTE(TRIM(C503),".",""),"-","")," ","")),LEN(UPPER(SUBSTITUTE(SUBSTITUTE(SUBSTITUTE(TRIM(C503),".",""),"-","")," ","")))-1))&amp;RIGHT(UPPER(SUBSTITUTE(SUBSTITUTE(SUBSTITUTE(TRIM(C503),".",""),"-","")," ","")),1),UPPER(SUBSTITUTE(SUBSTITUTE(SUBSTITUTE(TRIM(C503),".",""),"-","")," ",""))))</f>
        <v/>
      </c>
    </row>
    <row r="504" customFormat="false" ht="15" hidden="false" customHeight="false" outlineLevel="0" collapsed="false">
      <c r="B504" s="80"/>
      <c r="C504" s="58"/>
      <c r="D504" s="62" t="str">
        <f aca="false">IF(C504="","",IFERROR(INDEX(T_NOMBRE,MATCH(V504,T_RUTN,0)),"⚠ RUT no está en Trabajadores"))</f>
        <v/>
      </c>
      <c r="E504" s="61"/>
      <c r="F504" s="61"/>
      <c r="G504" s="61"/>
      <c r="H504" s="61"/>
      <c r="I504" s="81"/>
      <c r="J504" s="81"/>
      <c r="K504" s="60"/>
      <c r="L504" s="60"/>
      <c r="M504" s="60"/>
      <c r="N504" s="60"/>
      <c r="O504" s="60"/>
      <c r="P504" s="60"/>
      <c r="Q504" s="60"/>
      <c r="R504" s="58"/>
      <c r="S504" s="62" t="str">
        <f aca="false">IF(OR(B504="",V504=""),"",IFERROR(INDEX(C_TIPO,MATCH(V504&amp;"-P"&amp;MAX(1,COUNTIFS(C_RUTN,V504,C_DEF,"Sí",C_INI,"&lt;="&amp;EOMONTH(B504,0))),C_CLAVE,0))&amp;"","Sin contrato"))</f>
        <v/>
      </c>
      <c r="T504" s="63" t="str">
        <f aca="false">IF(OR(B504="",N(O504)=0),"",N(O504)+ROUND(MIN(N(N504),TOPE_UF*UF_MES)*(TASA_EMP+MUTUAL),0)+ROUND(MIN(N(N504),TOPE_AFC_UF*UF_MES)*IF(S504="Indefinido",AFC_INDEF,AFC_PF),0))</f>
        <v/>
      </c>
      <c r="U504" s="62" t="str">
        <f aca="false">IF(C504="","",IF(LEFT(D504,1)="⚠","⚠ RUT no registrado en Trabajadores",IF(B504="","⚠ Falta el mes",IF(OR(ISTEXT(I504),ISTEXT(J504)),"⚠ Atrasos u horas extra como texto: escriba hh:mm (ej. 1:30)",IF(AND(ISNUMBER(Q504),COUNTIFS(M_RUTN,V504,M_MES,B504,M_LIQ,"&lt;&gt;")&gt;1),"⚠ Liquidación repetida en el mes",IF(AND(ISNUMBER(O504),ISNUMBER(P504),ISNUMBER(Q504),ABS(O504-P504-Q504)&gt;1),"⚠ Haberes − descuentos no da el líquido","OK"))))))</f>
        <v/>
      </c>
      <c r="V504" s="62" t="str">
        <f aca="false">IF(C504="","",IFERROR(VALUE(LEFT(UPPER(SUBSTITUTE(SUBSTITUTE(SUBSTITUTE(TRIM(C504),".",""),"-","")," ","")),LEN(UPPER(SUBSTITUTE(SUBSTITUTE(SUBSTITUTE(TRIM(C504),".",""),"-","")," ","")))-1))&amp;RIGHT(UPPER(SUBSTITUTE(SUBSTITUTE(SUBSTITUTE(TRIM(C504),".",""),"-","")," ","")),1),UPPER(SUBSTITUTE(SUBSTITUTE(SUBSTITUTE(TRIM(C504),".",""),"-","")," ",""))))</f>
        <v/>
      </c>
    </row>
    <row r="505" customFormat="false" ht="15" hidden="false" customHeight="false" outlineLevel="0" collapsed="false">
      <c r="B505" s="80"/>
      <c r="C505" s="58"/>
      <c r="D505" s="62" t="str">
        <f aca="false">IF(C505="","",IFERROR(INDEX(T_NOMBRE,MATCH(V505,T_RUTN,0)),"⚠ RUT no está en Trabajadores"))</f>
        <v/>
      </c>
      <c r="E505" s="61"/>
      <c r="F505" s="61"/>
      <c r="G505" s="61"/>
      <c r="H505" s="61"/>
      <c r="I505" s="81"/>
      <c r="J505" s="81"/>
      <c r="K505" s="60"/>
      <c r="L505" s="60"/>
      <c r="M505" s="60"/>
      <c r="N505" s="60"/>
      <c r="O505" s="60"/>
      <c r="P505" s="60"/>
      <c r="Q505" s="60"/>
      <c r="R505" s="58"/>
      <c r="S505" s="62" t="str">
        <f aca="false">IF(OR(B505="",V505=""),"",IFERROR(INDEX(C_TIPO,MATCH(V505&amp;"-P"&amp;MAX(1,COUNTIFS(C_RUTN,V505,C_DEF,"Sí",C_INI,"&lt;="&amp;EOMONTH(B505,0))),C_CLAVE,0))&amp;"","Sin contrato"))</f>
        <v/>
      </c>
      <c r="T505" s="63" t="str">
        <f aca="false">IF(OR(B505="",N(O505)=0),"",N(O505)+ROUND(MIN(N(N505),TOPE_UF*UF_MES)*(TASA_EMP+MUTUAL),0)+ROUND(MIN(N(N505),TOPE_AFC_UF*UF_MES)*IF(S505="Indefinido",AFC_INDEF,AFC_PF),0))</f>
        <v/>
      </c>
      <c r="U505" s="62" t="str">
        <f aca="false">IF(C505="","",IF(LEFT(D505,1)="⚠","⚠ RUT no registrado en Trabajadores",IF(B505="","⚠ Falta el mes",IF(OR(ISTEXT(I505),ISTEXT(J505)),"⚠ Atrasos u horas extra como texto: escriba hh:mm (ej. 1:30)",IF(AND(ISNUMBER(Q505),COUNTIFS(M_RUTN,V505,M_MES,B505,M_LIQ,"&lt;&gt;")&gt;1),"⚠ Liquidación repetida en el mes",IF(AND(ISNUMBER(O505),ISNUMBER(P505),ISNUMBER(Q505),ABS(O505-P505-Q505)&gt;1),"⚠ Haberes − descuentos no da el líquido","OK"))))))</f>
        <v/>
      </c>
      <c r="V505" s="62" t="str">
        <f aca="false">IF(C505="","",IFERROR(VALUE(LEFT(UPPER(SUBSTITUTE(SUBSTITUTE(SUBSTITUTE(TRIM(C505),".",""),"-","")," ","")),LEN(UPPER(SUBSTITUTE(SUBSTITUTE(SUBSTITUTE(TRIM(C505),".",""),"-","")," ","")))-1))&amp;RIGHT(UPPER(SUBSTITUTE(SUBSTITUTE(SUBSTITUTE(TRIM(C505),".",""),"-","")," ","")),1),UPPER(SUBSTITUTE(SUBSTITUTE(SUBSTITUTE(TRIM(C505),".",""),"-","")," ",""))))</f>
        <v/>
      </c>
    </row>
    <row r="506" customFormat="false" ht="15" hidden="false" customHeight="false" outlineLevel="0" collapsed="false">
      <c r="B506" s="80"/>
      <c r="C506" s="58"/>
      <c r="D506" s="62" t="str">
        <f aca="false">IF(C506="","",IFERROR(INDEX(T_NOMBRE,MATCH(V506,T_RUTN,0)),"⚠ RUT no está en Trabajadores"))</f>
        <v/>
      </c>
      <c r="E506" s="61"/>
      <c r="F506" s="61"/>
      <c r="G506" s="61"/>
      <c r="H506" s="61"/>
      <c r="I506" s="81"/>
      <c r="J506" s="81"/>
      <c r="K506" s="60"/>
      <c r="L506" s="60"/>
      <c r="M506" s="60"/>
      <c r="N506" s="60"/>
      <c r="O506" s="60"/>
      <c r="P506" s="60"/>
      <c r="Q506" s="60"/>
      <c r="R506" s="58"/>
      <c r="S506" s="62" t="str">
        <f aca="false">IF(OR(B506="",V506=""),"",IFERROR(INDEX(C_TIPO,MATCH(V506&amp;"-P"&amp;MAX(1,COUNTIFS(C_RUTN,V506,C_DEF,"Sí",C_INI,"&lt;="&amp;EOMONTH(B506,0))),C_CLAVE,0))&amp;"","Sin contrato"))</f>
        <v/>
      </c>
      <c r="T506" s="63" t="str">
        <f aca="false">IF(OR(B506="",N(O506)=0),"",N(O506)+ROUND(MIN(N(N506),TOPE_UF*UF_MES)*(TASA_EMP+MUTUAL),0)+ROUND(MIN(N(N506),TOPE_AFC_UF*UF_MES)*IF(S506="Indefinido",AFC_INDEF,AFC_PF),0))</f>
        <v/>
      </c>
      <c r="U506" s="62" t="str">
        <f aca="false">IF(C506="","",IF(LEFT(D506,1)="⚠","⚠ RUT no registrado en Trabajadores",IF(B506="","⚠ Falta el mes",IF(OR(ISTEXT(I506),ISTEXT(J506)),"⚠ Atrasos u horas extra como texto: escriba hh:mm (ej. 1:30)",IF(AND(ISNUMBER(Q506),COUNTIFS(M_RUTN,V506,M_MES,B506,M_LIQ,"&lt;&gt;")&gt;1),"⚠ Liquidación repetida en el mes",IF(AND(ISNUMBER(O506),ISNUMBER(P506),ISNUMBER(Q506),ABS(O506-P506-Q506)&gt;1),"⚠ Haberes − descuentos no da el líquido","OK"))))))</f>
        <v/>
      </c>
      <c r="V506" s="62" t="str">
        <f aca="false">IF(C506="","",IFERROR(VALUE(LEFT(UPPER(SUBSTITUTE(SUBSTITUTE(SUBSTITUTE(TRIM(C506),".",""),"-","")," ","")),LEN(UPPER(SUBSTITUTE(SUBSTITUTE(SUBSTITUTE(TRIM(C506),".",""),"-","")," ","")))-1))&amp;RIGHT(UPPER(SUBSTITUTE(SUBSTITUTE(SUBSTITUTE(TRIM(C506),".",""),"-","")," ","")),1),UPPER(SUBSTITUTE(SUBSTITUTE(SUBSTITUTE(TRIM(C506),".",""),"-","")," ",""))))</f>
        <v/>
      </c>
    </row>
    <row r="507" customFormat="false" ht="15" hidden="false" customHeight="false" outlineLevel="0" collapsed="false">
      <c r="B507" s="80"/>
      <c r="C507" s="58"/>
      <c r="D507" s="62" t="str">
        <f aca="false">IF(C507="","",IFERROR(INDEX(T_NOMBRE,MATCH(V507,T_RUTN,0)),"⚠ RUT no está en Trabajadores"))</f>
        <v/>
      </c>
      <c r="E507" s="61"/>
      <c r="F507" s="61"/>
      <c r="G507" s="61"/>
      <c r="H507" s="61"/>
      <c r="I507" s="81"/>
      <c r="J507" s="81"/>
      <c r="K507" s="60"/>
      <c r="L507" s="60"/>
      <c r="M507" s="60"/>
      <c r="N507" s="60"/>
      <c r="O507" s="60"/>
      <c r="P507" s="60"/>
      <c r="Q507" s="60"/>
      <c r="R507" s="58"/>
      <c r="S507" s="62" t="str">
        <f aca="false">IF(OR(B507="",V507=""),"",IFERROR(INDEX(C_TIPO,MATCH(V507&amp;"-P"&amp;MAX(1,COUNTIFS(C_RUTN,V507,C_DEF,"Sí",C_INI,"&lt;="&amp;EOMONTH(B507,0))),C_CLAVE,0))&amp;"","Sin contrato"))</f>
        <v/>
      </c>
      <c r="T507" s="63" t="str">
        <f aca="false">IF(OR(B507="",N(O507)=0),"",N(O507)+ROUND(MIN(N(N507),TOPE_UF*UF_MES)*(TASA_EMP+MUTUAL),0)+ROUND(MIN(N(N507),TOPE_AFC_UF*UF_MES)*IF(S507="Indefinido",AFC_INDEF,AFC_PF),0))</f>
        <v/>
      </c>
      <c r="U507" s="62" t="str">
        <f aca="false">IF(C507="","",IF(LEFT(D507,1)="⚠","⚠ RUT no registrado en Trabajadores",IF(B507="","⚠ Falta el mes",IF(OR(ISTEXT(I507),ISTEXT(J507)),"⚠ Atrasos u horas extra como texto: escriba hh:mm (ej. 1:30)",IF(AND(ISNUMBER(Q507),COUNTIFS(M_RUTN,V507,M_MES,B507,M_LIQ,"&lt;&gt;")&gt;1),"⚠ Liquidación repetida en el mes",IF(AND(ISNUMBER(O507),ISNUMBER(P507),ISNUMBER(Q507),ABS(O507-P507-Q507)&gt;1),"⚠ Haberes − descuentos no da el líquido","OK"))))))</f>
        <v/>
      </c>
      <c r="V507" s="62" t="str">
        <f aca="false">IF(C507="","",IFERROR(VALUE(LEFT(UPPER(SUBSTITUTE(SUBSTITUTE(SUBSTITUTE(TRIM(C507),".",""),"-","")," ","")),LEN(UPPER(SUBSTITUTE(SUBSTITUTE(SUBSTITUTE(TRIM(C507),".",""),"-","")," ","")))-1))&amp;RIGHT(UPPER(SUBSTITUTE(SUBSTITUTE(SUBSTITUTE(TRIM(C507),".",""),"-","")," ","")),1),UPPER(SUBSTITUTE(SUBSTITUTE(SUBSTITUTE(TRIM(C507),".",""),"-","")," ",""))))</f>
        <v/>
      </c>
    </row>
    <row r="508" customFormat="false" ht="15" hidden="false" customHeight="false" outlineLevel="0" collapsed="false">
      <c r="B508" s="80"/>
      <c r="C508" s="58"/>
      <c r="D508" s="62" t="str">
        <f aca="false">IF(C508="","",IFERROR(INDEX(T_NOMBRE,MATCH(V508,T_RUTN,0)),"⚠ RUT no está en Trabajadores"))</f>
        <v/>
      </c>
      <c r="E508" s="61"/>
      <c r="F508" s="61"/>
      <c r="G508" s="61"/>
      <c r="H508" s="61"/>
      <c r="I508" s="81"/>
      <c r="J508" s="81"/>
      <c r="K508" s="60"/>
      <c r="L508" s="60"/>
      <c r="M508" s="60"/>
      <c r="N508" s="60"/>
      <c r="O508" s="60"/>
      <c r="P508" s="60"/>
      <c r="Q508" s="60"/>
      <c r="R508" s="58"/>
      <c r="S508" s="62" t="str">
        <f aca="false">IF(OR(B508="",V508=""),"",IFERROR(INDEX(C_TIPO,MATCH(V508&amp;"-P"&amp;MAX(1,COUNTIFS(C_RUTN,V508,C_DEF,"Sí",C_INI,"&lt;="&amp;EOMONTH(B508,0))),C_CLAVE,0))&amp;"","Sin contrato"))</f>
        <v/>
      </c>
      <c r="T508" s="63" t="str">
        <f aca="false">IF(OR(B508="",N(O508)=0),"",N(O508)+ROUND(MIN(N(N508),TOPE_UF*UF_MES)*(TASA_EMP+MUTUAL),0)+ROUND(MIN(N(N508),TOPE_AFC_UF*UF_MES)*IF(S508="Indefinido",AFC_INDEF,AFC_PF),0))</f>
        <v/>
      </c>
      <c r="U508" s="62" t="str">
        <f aca="false">IF(C508="","",IF(LEFT(D508,1)="⚠","⚠ RUT no registrado en Trabajadores",IF(B508="","⚠ Falta el mes",IF(OR(ISTEXT(I508),ISTEXT(J508)),"⚠ Atrasos u horas extra como texto: escriba hh:mm (ej. 1:30)",IF(AND(ISNUMBER(Q508),COUNTIFS(M_RUTN,V508,M_MES,B508,M_LIQ,"&lt;&gt;")&gt;1),"⚠ Liquidación repetida en el mes",IF(AND(ISNUMBER(O508),ISNUMBER(P508),ISNUMBER(Q508),ABS(O508-P508-Q508)&gt;1),"⚠ Haberes − descuentos no da el líquido","OK"))))))</f>
        <v/>
      </c>
      <c r="V508" s="62" t="str">
        <f aca="false">IF(C508="","",IFERROR(VALUE(LEFT(UPPER(SUBSTITUTE(SUBSTITUTE(SUBSTITUTE(TRIM(C508),".",""),"-","")," ","")),LEN(UPPER(SUBSTITUTE(SUBSTITUTE(SUBSTITUTE(TRIM(C508),".",""),"-","")," ","")))-1))&amp;RIGHT(UPPER(SUBSTITUTE(SUBSTITUTE(SUBSTITUTE(TRIM(C508),".",""),"-","")," ","")),1),UPPER(SUBSTITUTE(SUBSTITUTE(SUBSTITUTE(TRIM(C508),".",""),"-","")," ",""))))</f>
        <v/>
      </c>
    </row>
    <row r="509" customFormat="false" ht="15" hidden="false" customHeight="false" outlineLevel="0" collapsed="false">
      <c r="B509" s="80"/>
      <c r="C509" s="58"/>
      <c r="D509" s="62" t="str">
        <f aca="false">IF(C509="","",IFERROR(INDEX(T_NOMBRE,MATCH(V509,T_RUTN,0)),"⚠ RUT no está en Trabajadores"))</f>
        <v/>
      </c>
      <c r="E509" s="61"/>
      <c r="F509" s="61"/>
      <c r="G509" s="61"/>
      <c r="H509" s="61"/>
      <c r="I509" s="81"/>
      <c r="J509" s="81"/>
      <c r="K509" s="60"/>
      <c r="L509" s="60"/>
      <c r="M509" s="60"/>
      <c r="N509" s="60"/>
      <c r="O509" s="60"/>
      <c r="P509" s="60"/>
      <c r="Q509" s="60"/>
      <c r="R509" s="58"/>
      <c r="S509" s="62" t="str">
        <f aca="false">IF(OR(B509="",V509=""),"",IFERROR(INDEX(C_TIPO,MATCH(V509&amp;"-P"&amp;MAX(1,COUNTIFS(C_RUTN,V509,C_DEF,"Sí",C_INI,"&lt;="&amp;EOMONTH(B509,0))),C_CLAVE,0))&amp;"","Sin contrato"))</f>
        <v/>
      </c>
      <c r="T509" s="63" t="str">
        <f aca="false">IF(OR(B509="",N(O509)=0),"",N(O509)+ROUND(MIN(N(N509),TOPE_UF*UF_MES)*(TASA_EMP+MUTUAL),0)+ROUND(MIN(N(N509),TOPE_AFC_UF*UF_MES)*IF(S509="Indefinido",AFC_INDEF,AFC_PF),0))</f>
        <v/>
      </c>
      <c r="U509" s="62" t="str">
        <f aca="false">IF(C509="","",IF(LEFT(D509,1)="⚠","⚠ RUT no registrado en Trabajadores",IF(B509="","⚠ Falta el mes",IF(OR(ISTEXT(I509),ISTEXT(J509)),"⚠ Atrasos u horas extra como texto: escriba hh:mm (ej. 1:30)",IF(AND(ISNUMBER(Q509),COUNTIFS(M_RUTN,V509,M_MES,B509,M_LIQ,"&lt;&gt;")&gt;1),"⚠ Liquidación repetida en el mes",IF(AND(ISNUMBER(O509),ISNUMBER(P509),ISNUMBER(Q509),ABS(O509-P509-Q509)&gt;1),"⚠ Haberes − descuentos no da el líquido","OK"))))))</f>
        <v/>
      </c>
      <c r="V509" s="62" t="str">
        <f aca="false">IF(C509="","",IFERROR(VALUE(LEFT(UPPER(SUBSTITUTE(SUBSTITUTE(SUBSTITUTE(TRIM(C509),".",""),"-","")," ","")),LEN(UPPER(SUBSTITUTE(SUBSTITUTE(SUBSTITUTE(TRIM(C509),".",""),"-","")," ","")))-1))&amp;RIGHT(UPPER(SUBSTITUTE(SUBSTITUTE(SUBSTITUTE(TRIM(C509),".",""),"-","")," ","")),1),UPPER(SUBSTITUTE(SUBSTITUTE(SUBSTITUTE(TRIM(C509),".",""),"-","")," ",""))))</f>
        <v/>
      </c>
    </row>
    <row r="510" customFormat="false" ht="15" hidden="false" customHeight="false" outlineLevel="0" collapsed="false">
      <c r="B510" s="80"/>
      <c r="C510" s="58"/>
      <c r="D510" s="62" t="str">
        <f aca="false">IF(C510="","",IFERROR(INDEX(T_NOMBRE,MATCH(V510,T_RUTN,0)),"⚠ RUT no está en Trabajadores"))</f>
        <v/>
      </c>
      <c r="E510" s="61"/>
      <c r="F510" s="61"/>
      <c r="G510" s="61"/>
      <c r="H510" s="61"/>
      <c r="I510" s="81"/>
      <c r="J510" s="81"/>
      <c r="K510" s="60"/>
      <c r="L510" s="60"/>
      <c r="M510" s="60"/>
      <c r="N510" s="60"/>
      <c r="O510" s="60"/>
      <c r="P510" s="60"/>
      <c r="Q510" s="60"/>
      <c r="R510" s="58"/>
      <c r="S510" s="62" t="str">
        <f aca="false">IF(OR(B510="",V510=""),"",IFERROR(INDEX(C_TIPO,MATCH(V510&amp;"-P"&amp;MAX(1,COUNTIFS(C_RUTN,V510,C_DEF,"Sí",C_INI,"&lt;="&amp;EOMONTH(B510,0))),C_CLAVE,0))&amp;"","Sin contrato"))</f>
        <v/>
      </c>
      <c r="T510" s="63" t="str">
        <f aca="false">IF(OR(B510="",N(O510)=0),"",N(O510)+ROUND(MIN(N(N510),TOPE_UF*UF_MES)*(TASA_EMP+MUTUAL),0)+ROUND(MIN(N(N510),TOPE_AFC_UF*UF_MES)*IF(S510="Indefinido",AFC_INDEF,AFC_PF),0))</f>
        <v/>
      </c>
      <c r="U510" s="62" t="str">
        <f aca="false">IF(C510="","",IF(LEFT(D510,1)="⚠","⚠ RUT no registrado en Trabajadores",IF(B510="","⚠ Falta el mes",IF(OR(ISTEXT(I510),ISTEXT(J510)),"⚠ Atrasos u horas extra como texto: escriba hh:mm (ej. 1:30)",IF(AND(ISNUMBER(Q510),COUNTIFS(M_RUTN,V510,M_MES,B510,M_LIQ,"&lt;&gt;")&gt;1),"⚠ Liquidación repetida en el mes",IF(AND(ISNUMBER(O510),ISNUMBER(P510),ISNUMBER(Q510),ABS(O510-P510-Q510)&gt;1),"⚠ Haberes − descuentos no da el líquido","OK"))))))</f>
        <v/>
      </c>
      <c r="V510" s="62" t="str">
        <f aca="false">IF(C510="","",IFERROR(VALUE(LEFT(UPPER(SUBSTITUTE(SUBSTITUTE(SUBSTITUTE(TRIM(C510),".",""),"-","")," ","")),LEN(UPPER(SUBSTITUTE(SUBSTITUTE(SUBSTITUTE(TRIM(C510),".",""),"-","")," ","")))-1))&amp;RIGHT(UPPER(SUBSTITUTE(SUBSTITUTE(SUBSTITUTE(TRIM(C510),".",""),"-","")," ","")),1),UPPER(SUBSTITUTE(SUBSTITUTE(SUBSTITUTE(TRIM(C510),".",""),"-","")," ",""))))</f>
        <v/>
      </c>
    </row>
    <row r="511" customFormat="false" ht="15" hidden="false" customHeight="false" outlineLevel="0" collapsed="false">
      <c r="B511" s="80"/>
      <c r="C511" s="58"/>
      <c r="D511" s="62" t="str">
        <f aca="false">IF(C511="","",IFERROR(INDEX(T_NOMBRE,MATCH(V511,T_RUTN,0)),"⚠ RUT no está en Trabajadores"))</f>
        <v/>
      </c>
      <c r="E511" s="61"/>
      <c r="F511" s="61"/>
      <c r="G511" s="61"/>
      <c r="H511" s="61"/>
      <c r="I511" s="81"/>
      <c r="J511" s="81"/>
      <c r="K511" s="60"/>
      <c r="L511" s="60"/>
      <c r="M511" s="60"/>
      <c r="N511" s="60"/>
      <c r="O511" s="60"/>
      <c r="P511" s="60"/>
      <c r="Q511" s="60"/>
      <c r="R511" s="58"/>
      <c r="S511" s="62" t="str">
        <f aca="false">IF(OR(B511="",V511=""),"",IFERROR(INDEX(C_TIPO,MATCH(V511&amp;"-P"&amp;MAX(1,COUNTIFS(C_RUTN,V511,C_DEF,"Sí",C_INI,"&lt;="&amp;EOMONTH(B511,0))),C_CLAVE,0))&amp;"","Sin contrato"))</f>
        <v/>
      </c>
      <c r="T511" s="63" t="str">
        <f aca="false">IF(OR(B511="",N(O511)=0),"",N(O511)+ROUND(MIN(N(N511),TOPE_UF*UF_MES)*(TASA_EMP+MUTUAL),0)+ROUND(MIN(N(N511),TOPE_AFC_UF*UF_MES)*IF(S511="Indefinido",AFC_INDEF,AFC_PF),0))</f>
        <v/>
      </c>
      <c r="U511" s="62" t="str">
        <f aca="false">IF(C511="","",IF(LEFT(D511,1)="⚠","⚠ RUT no registrado en Trabajadores",IF(B511="","⚠ Falta el mes",IF(OR(ISTEXT(I511),ISTEXT(J511)),"⚠ Atrasos u horas extra como texto: escriba hh:mm (ej. 1:30)",IF(AND(ISNUMBER(Q511),COUNTIFS(M_RUTN,V511,M_MES,B511,M_LIQ,"&lt;&gt;")&gt;1),"⚠ Liquidación repetida en el mes",IF(AND(ISNUMBER(O511),ISNUMBER(P511),ISNUMBER(Q511),ABS(O511-P511-Q511)&gt;1),"⚠ Haberes − descuentos no da el líquido","OK"))))))</f>
        <v/>
      </c>
      <c r="V511" s="62" t="str">
        <f aca="false">IF(C511="","",IFERROR(VALUE(LEFT(UPPER(SUBSTITUTE(SUBSTITUTE(SUBSTITUTE(TRIM(C511),".",""),"-","")," ","")),LEN(UPPER(SUBSTITUTE(SUBSTITUTE(SUBSTITUTE(TRIM(C511),".",""),"-","")," ","")))-1))&amp;RIGHT(UPPER(SUBSTITUTE(SUBSTITUTE(SUBSTITUTE(TRIM(C511),".",""),"-","")," ","")),1),UPPER(SUBSTITUTE(SUBSTITUTE(SUBSTITUTE(TRIM(C511),".",""),"-","")," ",""))))</f>
        <v/>
      </c>
    </row>
    <row r="512" customFormat="false" ht="15" hidden="false" customHeight="false" outlineLevel="0" collapsed="false">
      <c r="B512" s="80"/>
      <c r="C512" s="58"/>
      <c r="D512" s="62" t="str">
        <f aca="false">IF(C512="","",IFERROR(INDEX(T_NOMBRE,MATCH(V512,T_RUTN,0)),"⚠ RUT no está en Trabajadores"))</f>
        <v/>
      </c>
      <c r="E512" s="61"/>
      <c r="F512" s="61"/>
      <c r="G512" s="61"/>
      <c r="H512" s="61"/>
      <c r="I512" s="81"/>
      <c r="J512" s="81"/>
      <c r="K512" s="60"/>
      <c r="L512" s="60"/>
      <c r="M512" s="60"/>
      <c r="N512" s="60"/>
      <c r="O512" s="60"/>
      <c r="P512" s="60"/>
      <c r="Q512" s="60"/>
      <c r="R512" s="58"/>
      <c r="S512" s="62" t="str">
        <f aca="false">IF(OR(B512="",V512=""),"",IFERROR(INDEX(C_TIPO,MATCH(V512&amp;"-P"&amp;MAX(1,COUNTIFS(C_RUTN,V512,C_DEF,"Sí",C_INI,"&lt;="&amp;EOMONTH(B512,0))),C_CLAVE,0))&amp;"","Sin contrato"))</f>
        <v/>
      </c>
      <c r="T512" s="63" t="str">
        <f aca="false">IF(OR(B512="",N(O512)=0),"",N(O512)+ROUND(MIN(N(N512),TOPE_UF*UF_MES)*(TASA_EMP+MUTUAL),0)+ROUND(MIN(N(N512),TOPE_AFC_UF*UF_MES)*IF(S512="Indefinido",AFC_INDEF,AFC_PF),0))</f>
        <v/>
      </c>
      <c r="U512" s="62" t="str">
        <f aca="false">IF(C512="","",IF(LEFT(D512,1)="⚠","⚠ RUT no registrado en Trabajadores",IF(B512="","⚠ Falta el mes",IF(OR(ISTEXT(I512),ISTEXT(J512)),"⚠ Atrasos u horas extra como texto: escriba hh:mm (ej. 1:30)",IF(AND(ISNUMBER(Q512),COUNTIFS(M_RUTN,V512,M_MES,B512,M_LIQ,"&lt;&gt;")&gt;1),"⚠ Liquidación repetida en el mes",IF(AND(ISNUMBER(O512),ISNUMBER(P512),ISNUMBER(Q512),ABS(O512-P512-Q512)&gt;1),"⚠ Haberes − descuentos no da el líquido","OK"))))))</f>
        <v/>
      </c>
      <c r="V512" s="62" t="str">
        <f aca="false">IF(C512="","",IFERROR(VALUE(LEFT(UPPER(SUBSTITUTE(SUBSTITUTE(SUBSTITUTE(TRIM(C512),".",""),"-","")," ","")),LEN(UPPER(SUBSTITUTE(SUBSTITUTE(SUBSTITUTE(TRIM(C512),".",""),"-","")," ","")))-1))&amp;RIGHT(UPPER(SUBSTITUTE(SUBSTITUTE(SUBSTITUTE(TRIM(C512),".",""),"-","")," ","")),1),UPPER(SUBSTITUTE(SUBSTITUTE(SUBSTITUTE(TRIM(C512),".",""),"-","")," ",""))))</f>
        <v/>
      </c>
    </row>
    <row r="513" customFormat="false" ht="15" hidden="false" customHeight="false" outlineLevel="0" collapsed="false">
      <c r="B513" s="80"/>
      <c r="C513" s="58"/>
      <c r="D513" s="62" t="str">
        <f aca="false">IF(C513="","",IFERROR(INDEX(T_NOMBRE,MATCH(V513,T_RUTN,0)),"⚠ RUT no está en Trabajadores"))</f>
        <v/>
      </c>
      <c r="E513" s="61"/>
      <c r="F513" s="61"/>
      <c r="G513" s="61"/>
      <c r="H513" s="61"/>
      <c r="I513" s="81"/>
      <c r="J513" s="81"/>
      <c r="K513" s="60"/>
      <c r="L513" s="60"/>
      <c r="M513" s="60"/>
      <c r="N513" s="60"/>
      <c r="O513" s="60"/>
      <c r="P513" s="60"/>
      <c r="Q513" s="60"/>
      <c r="R513" s="58"/>
      <c r="S513" s="62" t="str">
        <f aca="false">IF(OR(B513="",V513=""),"",IFERROR(INDEX(C_TIPO,MATCH(V513&amp;"-P"&amp;MAX(1,COUNTIFS(C_RUTN,V513,C_DEF,"Sí",C_INI,"&lt;="&amp;EOMONTH(B513,0))),C_CLAVE,0))&amp;"","Sin contrato"))</f>
        <v/>
      </c>
      <c r="T513" s="63" t="str">
        <f aca="false">IF(OR(B513="",N(O513)=0),"",N(O513)+ROUND(MIN(N(N513),TOPE_UF*UF_MES)*(TASA_EMP+MUTUAL),0)+ROUND(MIN(N(N513),TOPE_AFC_UF*UF_MES)*IF(S513="Indefinido",AFC_INDEF,AFC_PF),0))</f>
        <v/>
      </c>
      <c r="U513" s="62" t="str">
        <f aca="false">IF(C513="","",IF(LEFT(D513,1)="⚠","⚠ RUT no registrado en Trabajadores",IF(B513="","⚠ Falta el mes",IF(OR(ISTEXT(I513),ISTEXT(J513)),"⚠ Atrasos u horas extra como texto: escriba hh:mm (ej. 1:30)",IF(AND(ISNUMBER(Q513),COUNTIFS(M_RUTN,V513,M_MES,B513,M_LIQ,"&lt;&gt;")&gt;1),"⚠ Liquidación repetida en el mes",IF(AND(ISNUMBER(O513),ISNUMBER(P513),ISNUMBER(Q513),ABS(O513-P513-Q513)&gt;1),"⚠ Haberes − descuentos no da el líquido","OK"))))))</f>
        <v/>
      </c>
      <c r="V513" s="62" t="str">
        <f aca="false">IF(C513="","",IFERROR(VALUE(LEFT(UPPER(SUBSTITUTE(SUBSTITUTE(SUBSTITUTE(TRIM(C513),".",""),"-","")," ","")),LEN(UPPER(SUBSTITUTE(SUBSTITUTE(SUBSTITUTE(TRIM(C513),".",""),"-","")," ","")))-1))&amp;RIGHT(UPPER(SUBSTITUTE(SUBSTITUTE(SUBSTITUTE(TRIM(C513),".",""),"-","")," ","")),1),UPPER(SUBSTITUTE(SUBSTITUTE(SUBSTITUTE(TRIM(C513),".",""),"-","")," ",""))))</f>
        <v/>
      </c>
    </row>
    <row r="514" customFormat="false" ht="15" hidden="false" customHeight="false" outlineLevel="0" collapsed="false">
      <c r="B514" s="80"/>
      <c r="C514" s="58"/>
      <c r="D514" s="62" t="str">
        <f aca="false">IF(C514="","",IFERROR(INDEX(T_NOMBRE,MATCH(V514,T_RUTN,0)),"⚠ RUT no está en Trabajadores"))</f>
        <v/>
      </c>
      <c r="E514" s="61"/>
      <c r="F514" s="61"/>
      <c r="G514" s="61"/>
      <c r="H514" s="61"/>
      <c r="I514" s="81"/>
      <c r="J514" s="81"/>
      <c r="K514" s="60"/>
      <c r="L514" s="60"/>
      <c r="M514" s="60"/>
      <c r="N514" s="60"/>
      <c r="O514" s="60"/>
      <c r="P514" s="60"/>
      <c r="Q514" s="60"/>
      <c r="R514" s="58"/>
      <c r="S514" s="62" t="str">
        <f aca="false">IF(OR(B514="",V514=""),"",IFERROR(INDEX(C_TIPO,MATCH(V514&amp;"-P"&amp;MAX(1,COUNTIFS(C_RUTN,V514,C_DEF,"Sí",C_INI,"&lt;="&amp;EOMONTH(B514,0))),C_CLAVE,0))&amp;"","Sin contrato"))</f>
        <v/>
      </c>
      <c r="T514" s="63" t="str">
        <f aca="false">IF(OR(B514="",N(O514)=0),"",N(O514)+ROUND(MIN(N(N514),TOPE_UF*UF_MES)*(TASA_EMP+MUTUAL),0)+ROUND(MIN(N(N514),TOPE_AFC_UF*UF_MES)*IF(S514="Indefinido",AFC_INDEF,AFC_PF),0))</f>
        <v/>
      </c>
      <c r="U514" s="62" t="str">
        <f aca="false">IF(C514="","",IF(LEFT(D514,1)="⚠","⚠ RUT no registrado en Trabajadores",IF(B514="","⚠ Falta el mes",IF(OR(ISTEXT(I514),ISTEXT(J514)),"⚠ Atrasos u horas extra como texto: escriba hh:mm (ej. 1:30)",IF(AND(ISNUMBER(Q514),COUNTIFS(M_RUTN,V514,M_MES,B514,M_LIQ,"&lt;&gt;")&gt;1),"⚠ Liquidación repetida en el mes",IF(AND(ISNUMBER(O514),ISNUMBER(P514),ISNUMBER(Q514),ABS(O514-P514-Q514)&gt;1),"⚠ Haberes − descuentos no da el líquido","OK"))))))</f>
        <v/>
      </c>
      <c r="V514" s="62" t="str">
        <f aca="false">IF(C514="","",IFERROR(VALUE(LEFT(UPPER(SUBSTITUTE(SUBSTITUTE(SUBSTITUTE(TRIM(C514),".",""),"-","")," ","")),LEN(UPPER(SUBSTITUTE(SUBSTITUTE(SUBSTITUTE(TRIM(C514),".",""),"-","")," ","")))-1))&amp;RIGHT(UPPER(SUBSTITUTE(SUBSTITUTE(SUBSTITUTE(TRIM(C514),".",""),"-","")," ","")),1),UPPER(SUBSTITUTE(SUBSTITUTE(SUBSTITUTE(TRIM(C514),".",""),"-","")," ",""))))</f>
        <v/>
      </c>
    </row>
    <row r="515" customFormat="false" ht="15" hidden="false" customHeight="false" outlineLevel="0" collapsed="false">
      <c r="B515" s="80"/>
      <c r="C515" s="58"/>
      <c r="D515" s="62" t="str">
        <f aca="false">IF(C515="","",IFERROR(INDEX(T_NOMBRE,MATCH(V515,T_RUTN,0)),"⚠ RUT no está en Trabajadores"))</f>
        <v/>
      </c>
      <c r="E515" s="61"/>
      <c r="F515" s="61"/>
      <c r="G515" s="61"/>
      <c r="H515" s="61"/>
      <c r="I515" s="81"/>
      <c r="J515" s="81"/>
      <c r="K515" s="60"/>
      <c r="L515" s="60"/>
      <c r="M515" s="60"/>
      <c r="N515" s="60"/>
      <c r="O515" s="60"/>
      <c r="P515" s="60"/>
      <c r="Q515" s="60"/>
      <c r="R515" s="58"/>
      <c r="S515" s="62" t="str">
        <f aca="false">IF(OR(B515="",V515=""),"",IFERROR(INDEX(C_TIPO,MATCH(V515&amp;"-P"&amp;MAX(1,COUNTIFS(C_RUTN,V515,C_DEF,"Sí",C_INI,"&lt;="&amp;EOMONTH(B515,0))),C_CLAVE,0))&amp;"","Sin contrato"))</f>
        <v/>
      </c>
      <c r="T515" s="63" t="str">
        <f aca="false">IF(OR(B515="",N(O515)=0),"",N(O515)+ROUND(MIN(N(N515),TOPE_UF*UF_MES)*(TASA_EMP+MUTUAL),0)+ROUND(MIN(N(N515),TOPE_AFC_UF*UF_MES)*IF(S515="Indefinido",AFC_INDEF,AFC_PF),0))</f>
        <v/>
      </c>
      <c r="U515" s="62" t="str">
        <f aca="false">IF(C515="","",IF(LEFT(D515,1)="⚠","⚠ RUT no registrado en Trabajadores",IF(B515="","⚠ Falta el mes",IF(OR(ISTEXT(I515),ISTEXT(J515)),"⚠ Atrasos u horas extra como texto: escriba hh:mm (ej. 1:30)",IF(AND(ISNUMBER(Q515),COUNTIFS(M_RUTN,V515,M_MES,B515,M_LIQ,"&lt;&gt;")&gt;1),"⚠ Liquidación repetida en el mes",IF(AND(ISNUMBER(O515),ISNUMBER(P515),ISNUMBER(Q515),ABS(O515-P515-Q515)&gt;1),"⚠ Haberes − descuentos no da el líquido","OK"))))))</f>
        <v/>
      </c>
      <c r="V515" s="62" t="str">
        <f aca="false">IF(C515="","",IFERROR(VALUE(LEFT(UPPER(SUBSTITUTE(SUBSTITUTE(SUBSTITUTE(TRIM(C515),".",""),"-","")," ","")),LEN(UPPER(SUBSTITUTE(SUBSTITUTE(SUBSTITUTE(TRIM(C515),".",""),"-","")," ","")))-1))&amp;RIGHT(UPPER(SUBSTITUTE(SUBSTITUTE(SUBSTITUTE(TRIM(C515),".",""),"-","")," ","")),1),UPPER(SUBSTITUTE(SUBSTITUTE(SUBSTITUTE(TRIM(C515),".",""),"-","")," ",""))))</f>
        <v/>
      </c>
    </row>
    <row r="516" customFormat="false" ht="15" hidden="false" customHeight="false" outlineLevel="0" collapsed="false">
      <c r="B516" s="80"/>
      <c r="C516" s="58"/>
      <c r="D516" s="62" t="str">
        <f aca="false">IF(C516="","",IFERROR(INDEX(T_NOMBRE,MATCH(V516,T_RUTN,0)),"⚠ RUT no está en Trabajadores"))</f>
        <v/>
      </c>
      <c r="E516" s="61"/>
      <c r="F516" s="61"/>
      <c r="G516" s="61"/>
      <c r="H516" s="61"/>
      <c r="I516" s="81"/>
      <c r="J516" s="81"/>
      <c r="K516" s="60"/>
      <c r="L516" s="60"/>
      <c r="M516" s="60"/>
      <c r="N516" s="60"/>
      <c r="O516" s="60"/>
      <c r="P516" s="60"/>
      <c r="Q516" s="60"/>
      <c r="R516" s="58"/>
      <c r="S516" s="62" t="str">
        <f aca="false">IF(OR(B516="",V516=""),"",IFERROR(INDEX(C_TIPO,MATCH(V516&amp;"-P"&amp;MAX(1,COUNTIFS(C_RUTN,V516,C_DEF,"Sí",C_INI,"&lt;="&amp;EOMONTH(B516,0))),C_CLAVE,0))&amp;"","Sin contrato"))</f>
        <v/>
      </c>
      <c r="T516" s="63" t="str">
        <f aca="false">IF(OR(B516="",N(O516)=0),"",N(O516)+ROUND(MIN(N(N516),TOPE_UF*UF_MES)*(TASA_EMP+MUTUAL),0)+ROUND(MIN(N(N516),TOPE_AFC_UF*UF_MES)*IF(S516="Indefinido",AFC_INDEF,AFC_PF),0))</f>
        <v/>
      </c>
      <c r="U516" s="62" t="str">
        <f aca="false">IF(C516="","",IF(LEFT(D516,1)="⚠","⚠ RUT no registrado en Trabajadores",IF(B516="","⚠ Falta el mes",IF(OR(ISTEXT(I516),ISTEXT(J516)),"⚠ Atrasos u horas extra como texto: escriba hh:mm (ej. 1:30)",IF(AND(ISNUMBER(Q516),COUNTIFS(M_RUTN,V516,M_MES,B516,M_LIQ,"&lt;&gt;")&gt;1),"⚠ Liquidación repetida en el mes",IF(AND(ISNUMBER(O516),ISNUMBER(P516),ISNUMBER(Q516),ABS(O516-P516-Q516)&gt;1),"⚠ Haberes − descuentos no da el líquido","OK"))))))</f>
        <v/>
      </c>
      <c r="V516" s="62" t="str">
        <f aca="false">IF(C516="","",IFERROR(VALUE(LEFT(UPPER(SUBSTITUTE(SUBSTITUTE(SUBSTITUTE(TRIM(C516),".",""),"-","")," ","")),LEN(UPPER(SUBSTITUTE(SUBSTITUTE(SUBSTITUTE(TRIM(C516),".",""),"-","")," ","")))-1))&amp;RIGHT(UPPER(SUBSTITUTE(SUBSTITUTE(SUBSTITUTE(TRIM(C516),".",""),"-","")," ","")),1),UPPER(SUBSTITUTE(SUBSTITUTE(SUBSTITUTE(TRIM(C516),".",""),"-","")," ",""))))</f>
        <v/>
      </c>
    </row>
    <row r="517" customFormat="false" ht="15" hidden="false" customHeight="false" outlineLevel="0" collapsed="false">
      <c r="B517" s="80"/>
      <c r="C517" s="58"/>
      <c r="D517" s="62" t="str">
        <f aca="false">IF(C517="","",IFERROR(INDEX(T_NOMBRE,MATCH(V517,T_RUTN,0)),"⚠ RUT no está en Trabajadores"))</f>
        <v/>
      </c>
      <c r="E517" s="61"/>
      <c r="F517" s="61"/>
      <c r="G517" s="61"/>
      <c r="H517" s="61"/>
      <c r="I517" s="81"/>
      <c r="J517" s="81"/>
      <c r="K517" s="60"/>
      <c r="L517" s="60"/>
      <c r="M517" s="60"/>
      <c r="N517" s="60"/>
      <c r="O517" s="60"/>
      <c r="P517" s="60"/>
      <c r="Q517" s="60"/>
      <c r="R517" s="58"/>
      <c r="S517" s="62" t="str">
        <f aca="false">IF(OR(B517="",V517=""),"",IFERROR(INDEX(C_TIPO,MATCH(V517&amp;"-P"&amp;MAX(1,COUNTIFS(C_RUTN,V517,C_DEF,"Sí",C_INI,"&lt;="&amp;EOMONTH(B517,0))),C_CLAVE,0))&amp;"","Sin contrato"))</f>
        <v/>
      </c>
      <c r="T517" s="63" t="str">
        <f aca="false">IF(OR(B517="",N(O517)=0),"",N(O517)+ROUND(MIN(N(N517),TOPE_UF*UF_MES)*(TASA_EMP+MUTUAL),0)+ROUND(MIN(N(N517),TOPE_AFC_UF*UF_MES)*IF(S517="Indefinido",AFC_INDEF,AFC_PF),0))</f>
        <v/>
      </c>
      <c r="U517" s="62" t="str">
        <f aca="false">IF(C517="","",IF(LEFT(D517,1)="⚠","⚠ RUT no registrado en Trabajadores",IF(B517="","⚠ Falta el mes",IF(OR(ISTEXT(I517),ISTEXT(J517)),"⚠ Atrasos u horas extra como texto: escriba hh:mm (ej. 1:30)",IF(AND(ISNUMBER(Q517),COUNTIFS(M_RUTN,V517,M_MES,B517,M_LIQ,"&lt;&gt;")&gt;1),"⚠ Liquidación repetida en el mes",IF(AND(ISNUMBER(O517),ISNUMBER(P517),ISNUMBER(Q517),ABS(O517-P517-Q517)&gt;1),"⚠ Haberes − descuentos no da el líquido","OK"))))))</f>
        <v/>
      </c>
      <c r="V517" s="62" t="str">
        <f aca="false">IF(C517="","",IFERROR(VALUE(LEFT(UPPER(SUBSTITUTE(SUBSTITUTE(SUBSTITUTE(TRIM(C517),".",""),"-","")," ","")),LEN(UPPER(SUBSTITUTE(SUBSTITUTE(SUBSTITUTE(TRIM(C517),".",""),"-","")," ","")))-1))&amp;RIGHT(UPPER(SUBSTITUTE(SUBSTITUTE(SUBSTITUTE(TRIM(C517),".",""),"-","")," ","")),1),UPPER(SUBSTITUTE(SUBSTITUTE(SUBSTITUTE(TRIM(C517),".",""),"-","")," ",""))))</f>
        <v/>
      </c>
    </row>
    <row r="518" customFormat="false" ht="15" hidden="false" customHeight="false" outlineLevel="0" collapsed="false">
      <c r="B518" s="80"/>
      <c r="C518" s="58"/>
      <c r="D518" s="62" t="str">
        <f aca="false">IF(C518="","",IFERROR(INDEX(T_NOMBRE,MATCH(V518,T_RUTN,0)),"⚠ RUT no está en Trabajadores"))</f>
        <v/>
      </c>
      <c r="E518" s="61"/>
      <c r="F518" s="61"/>
      <c r="G518" s="61"/>
      <c r="H518" s="61"/>
      <c r="I518" s="81"/>
      <c r="J518" s="81"/>
      <c r="K518" s="60"/>
      <c r="L518" s="60"/>
      <c r="M518" s="60"/>
      <c r="N518" s="60"/>
      <c r="O518" s="60"/>
      <c r="P518" s="60"/>
      <c r="Q518" s="60"/>
      <c r="R518" s="58"/>
      <c r="S518" s="62" t="str">
        <f aca="false">IF(OR(B518="",V518=""),"",IFERROR(INDEX(C_TIPO,MATCH(V518&amp;"-P"&amp;MAX(1,COUNTIFS(C_RUTN,V518,C_DEF,"Sí",C_INI,"&lt;="&amp;EOMONTH(B518,0))),C_CLAVE,0))&amp;"","Sin contrato"))</f>
        <v/>
      </c>
      <c r="T518" s="63" t="str">
        <f aca="false">IF(OR(B518="",N(O518)=0),"",N(O518)+ROUND(MIN(N(N518),TOPE_UF*UF_MES)*(TASA_EMP+MUTUAL),0)+ROUND(MIN(N(N518),TOPE_AFC_UF*UF_MES)*IF(S518="Indefinido",AFC_INDEF,AFC_PF),0))</f>
        <v/>
      </c>
      <c r="U518" s="62" t="str">
        <f aca="false">IF(C518="","",IF(LEFT(D518,1)="⚠","⚠ RUT no registrado en Trabajadores",IF(B518="","⚠ Falta el mes",IF(OR(ISTEXT(I518),ISTEXT(J518)),"⚠ Atrasos u horas extra como texto: escriba hh:mm (ej. 1:30)",IF(AND(ISNUMBER(Q518),COUNTIFS(M_RUTN,V518,M_MES,B518,M_LIQ,"&lt;&gt;")&gt;1),"⚠ Liquidación repetida en el mes",IF(AND(ISNUMBER(O518),ISNUMBER(P518),ISNUMBER(Q518),ABS(O518-P518-Q518)&gt;1),"⚠ Haberes − descuentos no da el líquido","OK"))))))</f>
        <v/>
      </c>
      <c r="V518" s="62" t="str">
        <f aca="false">IF(C518="","",IFERROR(VALUE(LEFT(UPPER(SUBSTITUTE(SUBSTITUTE(SUBSTITUTE(TRIM(C518),".",""),"-","")," ","")),LEN(UPPER(SUBSTITUTE(SUBSTITUTE(SUBSTITUTE(TRIM(C518),".",""),"-","")," ","")))-1))&amp;RIGHT(UPPER(SUBSTITUTE(SUBSTITUTE(SUBSTITUTE(TRIM(C518),".",""),"-","")," ","")),1),UPPER(SUBSTITUTE(SUBSTITUTE(SUBSTITUTE(TRIM(C518),".",""),"-","")," ",""))))</f>
        <v/>
      </c>
    </row>
    <row r="519" customFormat="false" ht="15" hidden="false" customHeight="false" outlineLevel="0" collapsed="false">
      <c r="B519" s="80"/>
      <c r="C519" s="58"/>
      <c r="D519" s="62" t="str">
        <f aca="false">IF(C519="","",IFERROR(INDEX(T_NOMBRE,MATCH(V519,T_RUTN,0)),"⚠ RUT no está en Trabajadores"))</f>
        <v/>
      </c>
      <c r="E519" s="61"/>
      <c r="F519" s="61"/>
      <c r="G519" s="61"/>
      <c r="H519" s="61"/>
      <c r="I519" s="81"/>
      <c r="J519" s="81"/>
      <c r="K519" s="60"/>
      <c r="L519" s="60"/>
      <c r="M519" s="60"/>
      <c r="N519" s="60"/>
      <c r="O519" s="60"/>
      <c r="P519" s="60"/>
      <c r="Q519" s="60"/>
      <c r="R519" s="58"/>
      <c r="S519" s="62" t="str">
        <f aca="false">IF(OR(B519="",V519=""),"",IFERROR(INDEX(C_TIPO,MATCH(V519&amp;"-P"&amp;MAX(1,COUNTIFS(C_RUTN,V519,C_DEF,"Sí",C_INI,"&lt;="&amp;EOMONTH(B519,0))),C_CLAVE,0))&amp;"","Sin contrato"))</f>
        <v/>
      </c>
      <c r="T519" s="63" t="str">
        <f aca="false">IF(OR(B519="",N(O519)=0),"",N(O519)+ROUND(MIN(N(N519),TOPE_UF*UF_MES)*(TASA_EMP+MUTUAL),0)+ROUND(MIN(N(N519),TOPE_AFC_UF*UF_MES)*IF(S519="Indefinido",AFC_INDEF,AFC_PF),0))</f>
        <v/>
      </c>
      <c r="U519" s="62" t="str">
        <f aca="false">IF(C519="","",IF(LEFT(D519,1)="⚠","⚠ RUT no registrado en Trabajadores",IF(B519="","⚠ Falta el mes",IF(OR(ISTEXT(I519),ISTEXT(J519)),"⚠ Atrasos u horas extra como texto: escriba hh:mm (ej. 1:30)",IF(AND(ISNUMBER(Q519),COUNTIFS(M_RUTN,V519,M_MES,B519,M_LIQ,"&lt;&gt;")&gt;1),"⚠ Liquidación repetida en el mes",IF(AND(ISNUMBER(O519),ISNUMBER(P519),ISNUMBER(Q519),ABS(O519-P519-Q519)&gt;1),"⚠ Haberes − descuentos no da el líquido","OK"))))))</f>
        <v/>
      </c>
      <c r="V519" s="62" t="str">
        <f aca="false">IF(C519="","",IFERROR(VALUE(LEFT(UPPER(SUBSTITUTE(SUBSTITUTE(SUBSTITUTE(TRIM(C519),".",""),"-","")," ","")),LEN(UPPER(SUBSTITUTE(SUBSTITUTE(SUBSTITUTE(TRIM(C519),".",""),"-","")," ","")))-1))&amp;RIGHT(UPPER(SUBSTITUTE(SUBSTITUTE(SUBSTITUTE(TRIM(C519),".",""),"-","")," ","")),1),UPPER(SUBSTITUTE(SUBSTITUTE(SUBSTITUTE(TRIM(C519),".",""),"-","")," ",""))))</f>
        <v/>
      </c>
    </row>
    <row r="520" customFormat="false" ht="15" hidden="false" customHeight="false" outlineLevel="0" collapsed="false">
      <c r="B520" s="80"/>
      <c r="C520" s="58"/>
      <c r="D520" s="62" t="str">
        <f aca="false">IF(C520="","",IFERROR(INDEX(T_NOMBRE,MATCH(V520,T_RUTN,0)),"⚠ RUT no está en Trabajadores"))</f>
        <v/>
      </c>
      <c r="E520" s="61"/>
      <c r="F520" s="61"/>
      <c r="G520" s="61"/>
      <c r="H520" s="61"/>
      <c r="I520" s="81"/>
      <c r="J520" s="81"/>
      <c r="K520" s="60"/>
      <c r="L520" s="60"/>
      <c r="M520" s="60"/>
      <c r="N520" s="60"/>
      <c r="O520" s="60"/>
      <c r="P520" s="60"/>
      <c r="Q520" s="60"/>
      <c r="R520" s="58"/>
      <c r="S520" s="62" t="str">
        <f aca="false">IF(OR(B520="",V520=""),"",IFERROR(INDEX(C_TIPO,MATCH(V520&amp;"-P"&amp;MAX(1,COUNTIFS(C_RUTN,V520,C_DEF,"Sí",C_INI,"&lt;="&amp;EOMONTH(B520,0))),C_CLAVE,0))&amp;"","Sin contrato"))</f>
        <v/>
      </c>
      <c r="T520" s="63" t="str">
        <f aca="false">IF(OR(B520="",N(O520)=0),"",N(O520)+ROUND(MIN(N(N520),TOPE_UF*UF_MES)*(TASA_EMP+MUTUAL),0)+ROUND(MIN(N(N520),TOPE_AFC_UF*UF_MES)*IF(S520="Indefinido",AFC_INDEF,AFC_PF),0))</f>
        <v/>
      </c>
      <c r="U520" s="62" t="str">
        <f aca="false">IF(C520="","",IF(LEFT(D520,1)="⚠","⚠ RUT no registrado en Trabajadores",IF(B520="","⚠ Falta el mes",IF(OR(ISTEXT(I520),ISTEXT(J520)),"⚠ Atrasos u horas extra como texto: escriba hh:mm (ej. 1:30)",IF(AND(ISNUMBER(Q520),COUNTIFS(M_RUTN,V520,M_MES,B520,M_LIQ,"&lt;&gt;")&gt;1),"⚠ Liquidación repetida en el mes",IF(AND(ISNUMBER(O520),ISNUMBER(P520),ISNUMBER(Q520),ABS(O520-P520-Q520)&gt;1),"⚠ Haberes − descuentos no da el líquido","OK"))))))</f>
        <v/>
      </c>
      <c r="V520" s="62" t="str">
        <f aca="false">IF(C520="","",IFERROR(VALUE(LEFT(UPPER(SUBSTITUTE(SUBSTITUTE(SUBSTITUTE(TRIM(C520),".",""),"-","")," ","")),LEN(UPPER(SUBSTITUTE(SUBSTITUTE(SUBSTITUTE(TRIM(C520),".",""),"-","")," ","")))-1))&amp;RIGHT(UPPER(SUBSTITUTE(SUBSTITUTE(SUBSTITUTE(TRIM(C520),".",""),"-","")," ","")),1),UPPER(SUBSTITUTE(SUBSTITUTE(SUBSTITUTE(TRIM(C520),".",""),"-","")," ",""))))</f>
        <v/>
      </c>
    </row>
    <row r="521" customFormat="false" ht="15" hidden="false" customHeight="false" outlineLevel="0" collapsed="false">
      <c r="B521" s="80"/>
      <c r="C521" s="58"/>
      <c r="D521" s="62" t="str">
        <f aca="false">IF(C521="","",IFERROR(INDEX(T_NOMBRE,MATCH(V521,T_RUTN,0)),"⚠ RUT no está en Trabajadores"))</f>
        <v/>
      </c>
      <c r="E521" s="61"/>
      <c r="F521" s="61"/>
      <c r="G521" s="61"/>
      <c r="H521" s="61"/>
      <c r="I521" s="81"/>
      <c r="J521" s="81"/>
      <c r="K521" s="60"/>
      <c r="L521" s="60"/>
      <c r="M521" s="60"/>
      <c r="N521" s="60"/>
      <c r="O521" s="60"/>
      <c r="P521" s="60"/>
      <c r="Q521" s="60"/>
      <c r="R521" s="58"/>
      <c r="S521" s="62" t="str">
        <f aca="false">IF(OR(B521="",V521=""),"",IFERROR(INDEX(C_TIPO,MATCH(V521&amp;"-P"&amp;MAX(1,COUNTIFS(C_RUTN,V521,C_DEF,"Sí",C_INI,"&lt;="&amp;EOMONTH(B521,0))),C_CLAVE,0))&amp;"","Sin contrato"))</f>
        <v/>
      </c>
      <c r="T521" s="63" t="str">
        <f aca="false">IF(OR(B521="",N(O521)=0),"",N(O521)+ROUND(MIN(N(N521),TOPE_UF*UF_MES)*(TASA_EMP+MUTUAL),0)+ROUND(MIN(N(N521),TOPE_AFC_UF*UF_MES)*IF(S521="Indefinido",AFC_INDEF,AFC_PF),0))</f>
        <v/>
      </c>
      <c r="U521" s="62" t="str">
        <f aca="false">IF(C521="","",IF(LEFT(D521,1)="⚠","⚠ RUT no registrado en Trabajadores",IF(B521="","⚠ Falta el mes",IF(OR(ISTEXT(I521),ISTEXT(J521)),"⚠ Atrasos u horas extra como texto: escriba hh:mm (ej. 1:30)",IF(AND(ISNUMBER(Q521),COUNTIFS(M_RUTN,V521,M_MES,B521,M_LIQ,"&lt;&gt;")&gt;1),"⚠ Liquidación repetida en el mes",IF(AND(ISNUMBER(O521),ISNUMBER(P521),ISNUMBER(Q521),ABS(O521-P521-Q521)&gt;1),"⚠ Haberes − descuentos no da el líquido","OK"))))))</f>
        <v/>
      </c>
      <c r="V521" s="62" t="str">
        <f aca="false">IF(C521="","",IFERROR(VALUE(LEFT(UPPER(SUBSTITUTE(SUBSTITUTE(SUBSTITUTE(TRIM(C521),".",""),"-","")," ","")),LEN(UPPER(SUBSTITUTE(SUBSTITUTE(SUBSTITUTE(TRIM(C521),".",""),"-","")," ","")))-1))&amp;RIGHT(UPPER(SUBSTITUTE(SUBSTITUTE(SUBSTITUTE(TRIM(C521),".",""),"-","")," ","")),1),UPPER(SUBSTITUTE(SUBSTITUTE(SUBSTITUTE(TRIM(C521),".",""),"-","")," ",""))))</f>
        <v/>
      </c>
    </row>
    <row r="522" customFormat="false" ht="15" hidden="false" customHeight="false" outlineLevel="0" collapsed="false">
      <c r="B522" s="80"/>
      <c r="C522" s="58"/>
      <c r="D522" s="62" t="str">
        <f aca="false">IF(C522="","",IFERROR(INDEX(T_NOMBRE,MATCH(V522,T_RUTN,0)),"⚠ RUT no está en Trabajadores"))</f>
        <v/>
      </c>
      <c r="E522" s="61"/>
      <c r="F522" s="61"/>
      <c r="G522" s="61"/>
      <c r="H522" s="61"/>
      <c r="I522" s="81"/>
      <c r="J522" s="81"/>
      <c r="K522" s="60"/>
      <c r="L522" s="60"/>
      <c r="M522" s="60"/>
      <c r="N522" s="60"/>
      <c r="O522" s="60"/>
      <c r="P522" s="60"/>
      <c r="Q522" s="60"/>
      <c r="R522" s="58"/>
      <c r="S522" s="62" t="str">
        <f aca="false">IF(OR(B522="",V522=""),"",IFERROR(INDEX(C_TIPO,MATCH(V522&amp;"-P"&amp;MAX(1,COUNTIFS(C_RUTN,V522,C_DEF,"Sí",C_INI,"&lt;="&amp;EOMONTH(B522,0))),C_CLAVE,0))&amp;"","Sin contrato"))</f>
        <v/>
      </c>
      <c r="T522" s="63" t="str">
        <f aca="false">IF(OR(B522="",N(O522)=0),"",N(O522)+ROUND(MIN(N(N522),TOPE_UF*UF_MES)*(TASA_EMP+MUTUAL),0)+ROUND(MIN(N(N522),TOPE_AFC_UF*UF_MES)*IF(S522="Indefinido",AFC_INDEF,AFC_PF),0))</f>
        <v/>
      </c>
      <c r="U522" s="62" t="str">
        <f aca="false">IF(C522="","",IF(LEFT(D522,1)="⚠","⚠ RUT no registrado en Trabajadores",IF(B522="","⚠ Falta el mes",IF(OR(ISTEXT(I522),ISTEXT(J522)),"⚠ Atrasos u horas extra como texto: escriba hh:mm (ej. 1:30)",IF(AND(ISNUMBER(Q522),COUNTIFS(M_RUTN,V522,M_MES,B522,M_LIQ,"&lt;&gt;")&gt;1),"⚠ Liquidación repetida en el mes",IF(AND(ISNUMBER(O522),ISNUMBER(P522),ISNUMBER(Q522),ABS(O522-P522-Q522)&gt;1),"⚠ Haberes − descuentos no da el líquido","OK"))))))</f>
        <v/>
      </c>
      <c r="V522" s="62" t="str">
        <f aca="false">IF(C522="","",IFERROR(VALUE(LEFT(UPPER(SUBSTITUTE(SUBSTITUTE(SUBSTITUTE(TRIM(C522),".",""),"-","")," ","")),LEN(UPPER(SUBSTITUTE(SUBSTITUTE(SUBSTITUTE(TRIM(C522),".",""),"-","")," ","")))-1))&amp;RIGHT(UPPER(SUBSTITUTE(SUBSTITUTE(SUBSTITUTE(TRIM(C522),".",""),"-","")," ","")),1),UPPER(SUBSTITUTE(SUBSTITUTE(SUBSTITUTE(TRIM(C522),".",""),"-","")," ",""))))</f>
        <v/>
      </c>
    </row>
    <row r="523" customFormat="false" ht="15" hidden="false" customHeight="false" outlineLevel="0" collapsed="false">
      <c r="B523" s="80"/>
      <c r="C523" s="58"/>
      <c r="D523" s="62" t="str">
        <f aca="false">IF(C523="","",IFERROR(INDEX(T_NOMBRE,MATCH(V523,T_RUTN,0)),"⚠ RUT no está en Trabajadores"))</f>
        <v/>
      </c>
      <c r="E523" s="61"/>
      <c r="F523" s="61"/>
      <c r="G523" s="61"/>
      <c r="H523" s="61"/>
      <c r="I523" s="81"/>
      <c r="J523" s="81"/>
      <c r="K523" s="60"/>
      <c r="L523" s="60"/>
      <c r="M523" s="60"/>
      <c r="N523" s="60"/>
      <c r="O523" s="60"/>
      <c r="P523" s="60"/>
      <c r="Q523" s="60"/>
      <c r="R523" s="58"/>
      <c r="S523" s="62" t="str">
        <f aca="false">IF(OR(B523="",V523=""),"",IFERROR(INDEX(C_TIPO,MATCH(V523&amp;"-P"&amp;MAX(1,COUNTIFS(C_RUTN,V523,C_DEF,"Sí",C_INI,"&lt;="&amp;EOMONTH(B523,0))),C_CLAVE,0))&amp;"","Sin contrato"))</f>
        <v/>
      </c>
      <c r="T523" s="63" t="str">
        <f aca="false">IF(OR(B523="",N(O523)=0),"",N(O523)+ROUND(MIN(N(N523),TOPE_UF*UF_MES)*(TASA_EMP+MUTUAL),0)+ROUND(MIN(N(N523),TOPE_AFC_UF*UF_MES)*IF(S523="Indefinido",AFC_INDEF,AFC_PF),0))</f>
        <v/>
      </c>
      <c r="U523" s="62" t="str">
        <f aca="false">IF(C523="","",IF(LEFT(D523,1)="⚠","⚠ RUT no registrado en Trabajadores",IF(B523="","⚠ Falta el mes",IF(OR(ISTEXT(I523),ISTEXT(J523)),"⚠ Atrasos u horas extra como texto: escriba hh:mm (ej. 1:30)",IF(AND(ISNUMBER(Q523),COUNTIFS(M_RUTN,V523,M_MES,B523,M_LIQ,"&lt;&gt;")&gt;1),"⚠ Liquidación repetida en el mes",IF(AND(ISNUMBER(O523),ISNUMBER(P523),ISNUMBER(Q523),ABS(O523-P523-Q523)&gt;1),"⚠ Haberes − descuentos no da el líquido","OK"))))))</f>
        <v/>
      </c>
      <c r="V523" s="62" t="str">
        <f aca="false">IF(C523="","",IFERROR(VALUE(LEFT(UPPER(SUBSTITUTE(SUBSTITUTE(SUBSTITUTE(TRIM(C523),".",""),"-","")," ","")),LEN(UPPER(SUBSTITUTE(SUBSTITUTE(SUBSTITUTE(TRIM(C523),".",""),"-","")," ","")))-1))&amp;RIGHT(UPPER(SUBSTITUTE(SUBSTITUTE(SUBSTITUTE(TRIM(C523),".",""),"-","")," ","")),1),UPPER(SUBSTITUTE(SUBSTITUTE(SUBSTITUTE(TRIM(C523),".",""),"-","")," ",""))))</f>
        <v/>
      </c>
    </row>
    <row r="524" customFormat="false" ht="15" hidden="false" customHeight="false" outlineLevel="0" collapsed="false">
      <c r="B524" s="80"/>
      <c r="C524" s="58"/>
      <c r="D524" s="62" t="str">
        <f aca="false">IF(C524="","",IFERROR(INDEX(T_NOMBRE,MATCH(V524,T_RUTN,0)),"⚠ RUT no está en Trabajadores"))</f>
        <v/>
      </c>
      <c r="E524" s="61"/>
      <c r="F524" s="61"/>
      <c r="G524" s="61"/>
      <c r="H524" s="61"/>
      <c r="I524" s="81"/>
      <c r="J524" s="81"/>
      <c r="K524" s="60"/>
      <c r="L524" s="60"/>
      <c r="M524" s="60"/>
      <c r="N524" s="60"/>
      <c r="O524" s="60"/>
      <c r="P524" s="60"/>
      <c r="Q524" s="60"/>
      <c r="R524" s="58"/>
      <c r="S524" s="62" t="str">
        <f aca="false">IF(OR(B524="",V524=""),"",IFERROR(INDEX(C_TIPO,MATCH(V524&amp;"-P"&amp;MAX(1,COUNTIFS(C_RUTN,V524,C_DEF,"Sí",C_INI,"&lt;="&amp;EOMONTH(B524,0))),C_CLAVE,0))&amp;"","Sin contrato"))</f>
        <v/>
      </c>
      <c r="T524" s="63" t="str">
        <f aca="false">IF(OR(B524="",N(O524)=0),"",N(O524)+ROUND(MIN(N(N524),TOPE_UF*UF_MES)*(TASA_EMP+MUTUAL),0)+ROUND(MIN(N(N524),TOPE_AFC_UF*UF_MES)*IF(S524="Indefinido",AFC_INDEF,AFC_PF),0))</f>
        <v/>
      </c>
      <c r="U524" s="62" t="str">
        <f aca="false">IF(C524="","",IF(LEFT(D524,1)="⚠","⚠ RUT no registrado en Trabajadores",IF(B524="","⚠ Falta el mes",IF(OR(ISTEXT(I524),ISTEXT(J524)),"⚠ Atrasos u horas extra como texto: escriba hh:mm (ej. 1:30)",IF(AND(ISNUMBER(Q524),COUNTIFS(M_RUTN,V524,M_MES,B524,M_LIQ,"&lt;&gt;")&gt;1),"⚠ Liquidación repetida en el mes",IF(AND(ISNUMBER(O524),ISNUMBER(P524),ISNUMBER(Q524),ABS(O524-P524-Q524)&gt;1),"⚠ Haberes − descuentos no da el líquido","OK"))))))</f>
        <v/>
      </c>
      <c r="V524" s="62" t="str">
        <f aca="false">IF(C524="","",IFERROR(VALUE(LEFT(UPPER(SUBSTITUTE(SUBSTITUTE(SUBSTITUTE(TRIM(C524),".",""),"-","")," ","")),LEN(UPPER(SUBSTITUTE(SUBSTITUTE(SUBSTITUTE(TRIM(C524),".",""),"-","")," ","")))-1))&amp;RIGHT(UPPER(SUBSTITUTE(SUBSTITUTE(SUBSTITUTE(TRIM(C524),".",""),"-","")," ","")),1),UPPER(SUBSTITUTE(SUBSTITUTE(SUBSTITUTE(TRIM(C524),".",""),"-","")," ",""))))</f>
        <v/>
      </c>
    </row>
    <row r="525" customFormat="false" ht="15" hidden="false" customHeight="false" outlineLevel="0" collapsed="false">
      <c r="B525" s="80"/>
      <c r="C525" s="58"/>
      <c r="D525" s="62" t="str">
        <f aca="false">IF(C525="","",IFERROR(INDEX(T_NOMBRE,MATCH(V525,T_RUTN,0)),"⚠ RUT no está en Trabajadores"))</f>
        <v/>
      </c>
      <c r="E525" s="61"/>
      <c r="F525" s="61"/>
      <c r="G525" s="61"/>
      <c r="H525" s="61"/>
      <c r="I525" s="81"/>
      <c r="J525" s="81"/>
      <c r="K525" s="60"/>
      <c r="L525" s="60"/>
      <c r="M525" s="60"/>
      <c r="N525" s="60"/>
      <c r="O525" s="60"/>
      <c r="P525" s="60"/>
      <c r="Q525" s="60"/>
      <c r="R525" s="58"/>
      <c r="S525" s="62" t="str">
        <f aca="false">IF(OR(B525="",V525=""),"",IFERROR(INDEX(C_TIPO,MATCH(V525&amp;"-P"&amp;MAX(1,COUNTIFS(C_RUTN,V525,C_DEF,"Sí",C_INI,"&lt;="&amp;EOMONTH(B525,0))),C_CLAVE,0))&amp;"","Sin contrato"))</f>
        <v/>
      </c>
      <c r="T525" s="63" t="str">
        <f aca="false">IF(OR(B525="",N(O525)=0),"",N(O525)+ROUND(MIN(N(N525),TOPE_UF*UF_MES)*(TASA_EMP+MUTUAL),0)+ROUND(MIN(N(N525),TOPE_AFC_UF*UF_MES)*IF(S525="Indefinido",AFC_INDEF,AFC_PF),0))</f>
        <v/>
      </c>
      <c r="U525" s="62" t="str">
        <f aca="false">IF(C525="","",IF(LEFT(D525,1)="⚠","⚠ RUT no registrado en Trabajadores",IF(B525="","⚠ Falta el mes",IF(OR(ISTEXT(I525),ISTEXT(J525)),"⚠ Atrasos u horas extra como texto: escriba hh:mm (ej. 1:30)",IF(AND(ISNUMBER(Q525),COUNTIFS(M_RUTN,V525,M_MES,B525,M_LIQ,"&lt;&gt;")&gt;1),"⚠ Liquidación repetida en el mes",IF(AND(ISNUMBER(O525),ISNUMBER(P525),ISNUMBER(Q525),ABS(O525-P525-Q525)&gt;1),"⚠ Haberes − descuentos no da el líquido","OK"))))))</f>
        <v/>
      </c>
      <c r="V525" s="62" t="str">
        <f aca="false">IF(C525="","",IFERROR(VALUE(LEFT(UPPER(SUBSTITUTE(SUBSTITUTE(SUBSTITUTE(TRIM(C525),".",""),"-","")," ","")),LEN(UPPER(SUBSTITUTE(SUBSTITUTE(SUBSTITUTE(TRIM(C525),".",""),"-","")," ","")))-1))&amp;RIGHT(UPPER(SUBSTITUTE(SUBSTITUTE(SUBSTITUTE(TRIM(C525),".",""),"-","")," ","")),1),UPPER(SUBSTITUTE(SUBSTITUTE(SUBSTITUTE(TRIM(C525),".",""),"-","")," ",""))))</f>
        <v/>
      </c>
    </row>
    <row r="526" customFormat="false" ht="15" hidden="false" customHeight="false" outlineLevel="0" collapsed="false">
      <c r="B526" s="80"/>
      <c r="C526" s="58"/>
      <c r="D526" s="62" t="str">
        <f aca="false">IF(C526="","",IFERROR(INDEX(T_NOMBRE,MATCH(V526,T_RUTN,0)),"⚠ RUT no está en Trabajadores"))</f>
        <v/>
      </c>
      <c r="E526" s="61"/>
      <c r="F526" s="61"/>
      <c r="G526" s="61"/>
      <c r="H526" s="61"/>
      <c r="I526" s="81"/>
      <c r="J526" s="81"/>
      <c r="K526" s="60"/>
      <c r="L526" s="60"/>
      <c r="M526" s="60"/>
      <c r="N526" s="60"/>
      <c r="O526" s="60"/>
      <c r="P526" s="60"/>
      <c r="Q526" s="60"/>
      <c r="R526" s="58"/>
      <c r="S526" s="62" t="str">
        <f aca="false">IF(OR(B526="",V526=""),"",IFERROR(INDEX(C_TIPO,MATCH(V526&amp;"-P"&amp;MAX(1,COUNTIFS(C_RUTN,V526,C_DEF,"Sí",C_INI,"&lt;="&amp;EOMONTH(B526,0))),C_CLAVE,0))&amp;"","Sin contrato"))</f>
        <v/>
      </c>
      <c r="T526" s="63" t="str">
        <f aca="false">IF(OR(B526="",N(O526)=0),"",N(O526)+ROUND(MIN(N(N526),TOPE_UF*UF_MES)*(TASA_EMP+MUTUAL),0)+ROUND(MIN(N(N526),TOPE_AFC_UF*UF_MES)*IF(S526="Indefinido",AFC_INDEF,AFC_PF),0))</f>
        <v/>
      </c>
      <c r="U526" s="62" t="str">
        <f aca="false">IF(C526="","",IF(LEFT(D526,1)="⚠","⚠ RUT no registrado en Trabajadores",IF(B526="","⚠ Falta el mes",IF(OR(ISTEXT(I526),ISTEXT(J526)),"⚠ Atrasos u horas extra como texto: escriba hh:mm (ej. 1:30)",IF(AND(ISNUMBER(Q526),COUNTIFS(M_RUTN,V526,M_MES,B526,M_LIQ,"&lt;&gt;")&gt;1),"⚠ Liquidación repetida en el mes",IF(AND(ISNUMBER(O526),ISNUMBER(P526),ISNUMBER(Q526),ABS(O526-P526-Q526)&gt;1),"⚠ Haberes − descuentos no da el líquido","OK"))))))</f>
        <v/>
      </c>
      <c r="V526" s="62" t="str">
        <f aca="false">IF(C526="","",IFERROR(VALUE(LEFT(UPPER(SUBSTITUTE(SUBSTITUTE(SUBSTITUTE(TRIM(C526),".",""),"-","")," ","")),LEN(UPPER(SUBSTITUTE(SUBSTITUTE(SUBSTITUTE(TRIM(C526),".",""),"-","")," ","")))-1))&amp;RIGHT(UPPER(SUBSTITUTE(SUBSTITUTE(SUBSTITUTE(TRIM(C526),".",""),"-","")," ","")),1),UPPER(SUBSTITUTE(SUBSTITUTE(SUBSTITUTE(TRIM(C526),".",""),"-","")," ",""))))</f>
        <v/>
      </c>
    </row>
    <row r="527" customFormat="false" ht="15" hidden="false" customHeight="false" outlineLevel="0" collapsed="false">
      <c r="B527" s="80"/>
      <c r="C527" s="58"/>
      <c r="D527" s="62" t="str">
        <f aca="false">IF(C527="","",IFERROR(INDEX(T_NOMBRE,MATCH(V527,T_RUTN,0)),"⚠ RUT no está en Trabajadores"))</f>
        <v/>
      </c>
      <c r="E527" s="61"/>
      <c r="F527" s="61"/>
      <c r="G527" s="61"/>
      <c r="H527" s="61"/>
      <c r="I527" s="81"/>
      <c r="J527" s="81"/>
      <c r="K527" s="60"/>
      <c r="L527" s="60"/>
      <c r="M527" s="60"/>
      <c r="N527" s="60"/>
      <c r="O527" s="60"/>
      <c r="P527" s="60"/>
      <c r="Q527" s="60"/>
      <c r="R527" s="58"/>
      <c r="S527" s="62" t="str">
        <f aca="false">IF(OR(B527="",V527=""),"",IFERROR(INDEX(C_TIPO,MATCH(V527&amp;"-P"&amp;MAX(1,COUNTIFS(C_RUTN,V527,C_DEF,"Sí",C_INI,"&lt;="&amp;EOMONTH(B527,0))),C_CLAVE,0))&amp;"","Sin contrato"))</f>
        <v/>
      </c>
      <c r="T527" s="63" t="str">
        <f aca="false">IF(OR(B527="",N(O527)=0),"",N(O527)+ROUND(MIN(N(N527),TOPE_UF*UF_MES)*(TASA_EMP+MUTUAL),0)+ROUND(MIN(N(N527),TOPE_AFC_UF*UF_MES)*IF(S527="Indefinido",AFC_INDEF,AFC_PF),0))</f>
        <v/>
      </c>
      <c r="U527" s="62" t="str">
        <f aca="false">IF(C527="","",IF(LEFT(D527,1)="⚠","⚠ RUT no registrado en Trabajadores",IF(B527="","⚠ Falta el mes",IF(OR(ISTEXT(I527),ISTEXT(J527)),"⚠ Atrasos u horas extra como texto: escriba hh:mm (ej. 1:30)",IF(AND(ISNUMBER(Q527),COUNTIFS(M_RUTN,V527,M_MES,B527,M_LIQ,"&lt;&gt;")&gt;1),"⚠ Liquidación repetida en el mes",IF(AND(ISNUMBER(O527),ISNUMBER(P527),ISNUMBER(Q527),ABS(O527-P527-Q527)&gt;1),"⚠ Haberes − descuentos no da el líquido","OK"))))))</f>
        <v/>
      </c>
      <c r="V527" s="62" t="str">
        <f aca="false">IF(C527="","",IFERROR(VALUE(LEFT(UPPER(SUBSTITUTE(SUBSTITUTE(SUBSTITUTE(TRIM(C527),".",""),"-","")," ","")),LEN(UPPER(SUBSTITUTE(SUBSTITUTE(SUBSTITUTE(TRIM(C527),".",""),"-","")," ","")))-1))&amp;RIGHT(UPPER(SUBSTITUTE(SUBSTITUTE(SUBSTITUTE(TRIM(C527),".",""),"-","")," ","")),1),UPPER(SUBSTITUTE(SUBSTITUTE(SUBSTITUTE(TRIM(C527),".",""),"-","")," ",""))))</f>
        <v/>
      </c>
    </row>
    <row r="528" customFormat="false" ht="15" hidden="false" customHeight="false" outlineLevel="0" collapsed="false">
      <c r="B528" s="80"/>
      <c r="C528" s="58"/>
      <c r="D528" s="62" t="str">
        <f aca="false">IF(C528="","",IFERROR(INDEX(T_NOMBRE,MATCH(V528,T_RUTN,0)),"⚠ RUT no está en Trabajadores"))</f>
        <v/>
      </c>
      <c r="E528" s="61"/>
      <c r="F528" s="61"/>
      <c r="G528" s="61"/>
      <c r="H528" s="61"/>
      <c r="I528" s="81"/>
      <c r="J528" s="81"/>
      <c r="K528" s="60"/>
      <c r="L528" s="60"/>
      <c r="M528" s="60"/>
      <c r="N528" s="60"/>
      <c r="O528" s="60"/>
      <c r="P528" s="60"/>
      <c r="Q528" s="60"/>
      <c r="R528" s="58"/>
      <c r="S528" s="62" t="str">
        <f aca="false">IF(OR(B528="",V528=""),"",IFERROR(INDEX(C_TIPO,MATCH(V528&amp;"-P"&amp;MAX(1,COUNTIFS(C_RUTN,V528,C_DEF,"Sí",C_INI,"&lt;="&amp;EOMONTH(B528,0))),C_CLAVE,0))&amp;"","Sin contrato"))</f>
        <v/>
      </c>
      <c r="T528" s="63" t="str">
        <f aca="false">IF(OR(B528="",N(O528)=0),"",N(O528)+ROUND(MIN(N(N528),TOPE_UF*UF_MES)*(TASA_EMP+MUTUAL),0)+ROUND(MIN(N(N528),TOPE_AFC_UF*UF_MES)*IF(S528="Indefinido",AFC_INDEF,AFC_PF),0))</f>
        <v/>
      </c>
      <c r="U528" s="62" t="str">
        <f aca="false">IF(C528="","",IF(LEFT(D528,1)="⚠","⚠ RUT no registrado en Trabajadores",IF(B528="","⚠ Falta el mes",IF(OR(ISTEXT(I528),ISTEXT(J528)),"⚠ Atrasos u horas extra como texto: escriba hh:mm (ej. 1:30)",IF(AND(ISNUMBER(Q528),COUNTIFS(M_RUTN,V528,M_MES,B528,M_LIQ,"&lt;&gt;")&gt;1),"⚠ Liquidación repetida en el mes",IF(AND(ISNUMBER(O528),ISNUMBER(P528),ISNUMBER(Q528),ABS(O528-P528-Q528)&gt;1),"⚠ Haberes − descuentos no da el líquido","OK"))))))</f>
        <v/>
      </c>
      <c r="V528" s="62" t="str">
        <f aca="false">IF(C528="","",IFERROR(VALUE(LEFT(UPPER(SUBSTITUTE(SUBSTITUTE(SUBSTITUTE(TRIM(C528),".",""),"-","")," ","")),LEN(UPPER(SUBSTITUTE(SUBSTITUTE(SUBSTITUTE(TRIM(C528),".",""),"-","")," ","")))-1))&amp;RIGHT(UPPER(SUBSTITUTE(SUBSTITUTE(SUBSTITUTE(TRIM(C528),".",""),"-","")," ","")),1),UPPER(SUBSTITUTE(SUBSTITUTE(SUBSTITUTE(TRIM(C528),".",""),"-","")," ",""))))</f>
        <v/>
      </c>
    </row>
    <row r="529" customFormat="false" ht="15" hidden="false" customHeight="false" outlineLevel="0" collapsed="false">
      <c r="B529" s="80"/>
      <c r="C529" s="58"/>
      <c r="D529" s="62" t="str">
        <f aca="false">IF(C529="","",IFERROR(INDEX(T_NOMBRE,MATCH(V529,T_RUTN,0)),"⚠ RUT no está en Trabajadores"))</f>
        <v/>
      </c>
      <c r="E529" s="61"/>
      <c r="F529" s="61"/>
      <c r="G529" s="61"/>
      <c r="H529" s="61"/>
      <c r="I529" s="81"/>
      <c r="J529" s="81"/>
      <c r="K529" s="60"/>
      <c r="L529" s="60"/>
      <c r="M529" s="60"/>
      <c r="N529" s="60"/>
      <c r="O529" s="60"/>
      <c r="P529" s="60"/>
      <c r="Q529" s="60"/>
      <c r="R529" s="58"/>
      <c r="S529" s="62" t="str">
        <f aca="false">IF(OR(B529="",V529=""),"",IFERROR(INDEX(C_TIPO,MATCH(V529&amp;"-P"&amp;MAX(1,COUNTIFS(C_RUTN,V529,C_DEF,"Sí",C_INI,"&lt;="&amp;EOMONTH(B529,0))),C_CLAVE,0))&amp;"","Sin contrato"))</f>
        <v/>
      </c>
      <c r="T529" s="63" t="str">
        <f aca="false">IF(OR(B529="",N(O529)=0),"",N(O529)+ROUND(MIN(N(N529),TOPE_UF*UF_MES)*(TASA_EMP+MUTUAL),0)+ROUND(MIN(N(N529),TOPE_AFC_UF*UF_MES)*IF(S529="Indefinido",AFC_INDEF,AFC_PF),0))</f>
        <v/>
      </c>
      <c r="U529" s="62" t="str">
        <f aca="false">IF(C529="","",IF(LEFT(D529,1)="⚠","⚠ RUT no registrado en Trabajadores",IF(B529="","⚠ Falta el mes",IF(OR(ISTEXT(I529),ISTEXT(J529)),"⚠ Atrasos u horas extra como texto: escriba hh:mm (ej. 1:30)",IF(AND(ISNUMBER(Q529),COUNTIFS(M_RUTN,V529,M_MES,B529,M_LIQ,"&lt;&gt;")&gt;1),"⚠ Liquidación repetida en el mes",IF(AND(ISNUMBER(O529),ISNUMBER(P529),ISNUMBER(Q529),ABS(O529-P529-Q529)&gt;1),"⚠ Haberes − descuentos no da el líquido","OK"))))))</f>
        <v/>
      </c>
      <c r="V529" s="62" t="str">
        <f aca="false">IF(C529="","",IFERROR(VALUE(LEFT(UPPER(SUBSTITUTE(SUBSTITUTE(SUBSTITUTE(TRIM(C529),".",""),"-","")," ","")),LEN(UPPER(SUBSTITUTE(SUBSTITUTE(SUBSTITUTE(TRIM(C529),".",""),"-","")," ","")))-1))&amp;RIGHT(UPPER(SUBSTITUTE(SUBSTITUTE(SUBSTITUTE(TRIM(C529),".",""),"-","")," ","")),1),UPPER(SUBSTITUTE(SUBSTITUTE(SUBSTITUTE(TRIM(C529),".",""),"-","")," ",""))))</f>
        <v/>
      </c>
    </row>
    <row r="530" customFormat="false" ht="15" hidden="false" customHeight="false" outlineLevel="0" collapsed="false">
      <c r="B530" s="80"/>
      <c r="C530" s="58"/>
      <c r="D530" s="62" t="str">
        <f aca="false">IF(C530="","",IFERROR(INDEX(T_NOMBRE,MATCH(V530,T_RUTN,0)),"⚠ RUT no está en Trabajadores"))</f>
        <v/>
      </c>
      <c r="E530" s="61"/>
      <c r="F530" s="61"/>
      <c r="G530" s="61"/>
      <c r="H530" s="61"/>
      <c r="I530" s="81"/>
      <c r="J530" s="81"/>
      <c r="K530" s="60"/>
      <c r="L530" s="60"/>
      <c r="M530" s="60"/>
      <c r="N530" s="60"/>
      <c r="O530" s="60"/>
      <c r="P530" s="60"/>
      <c r="Q530" s="60"/>
      <c r="R530" s="58"/>
      <c r="S530" s="62" t="str">
        <f aca="false">IF(OR(B530="",V530=""),"",IFERROR(INDEX(C_TIPO,MATCH(V530&amp;"-P"&amp;MAX(1,COUNTIFS(C_RUTN,V530,C_DEF,"Sí",C_INI,"&lt;="&amp;EOMONTH(B530,0))),C_CLAVE,0))&amp;"","Sin contrato"))</f>
        <v/>
      </c>
      <c r="T530" s="63" t="str">
        <f aca="false">IF(OR(B530="",N(O530)=0),"",N(O530)+ROUND(MIN(N(N530),TOPE_UF*UF_MES)*(TASA_EMP+MUTUAL),0)+ROUND(MIN(N(N530),TOPE_AFC_UF*UF_MES)*IF(S530="Indefinido",AFC_INDEF,AFC_PF),0))</f>
        <v/>
      </c>
      <c r="U530" s="62" t="str">
        <f aca="false">IF(C530="","",IF(LEFT(D530,1)="⚠","⚠ RUT no registrado en Trabajadores",IF(B530="","⚠ Falta el mes",IF(OR(ISTEXT(I530),ISTEXT(J530)),"⚠ Atrasos u horas extra como texto: escriba hh:mm (ej. 1:30)",IF(AND(ISNUMBER(Q530),COUNTIFS(M_RUTN,V530,M_MES,B530,M_LIQ,"&lt;&gt;")&gt;1),"⚠ Liquidación repetida en el mes",IF(AND(ISNUMBER(O530),ISNUMBER(P530),ISNUMBER(Q530),ABS(O530-P530-Q530)&gt;1),"⚠ Haberes − descuentos no da el líquido","OK"))))))</f>
        <v/>
      </c>
      <c r="V530" s="62" t="str">
        <f aca="false">IF(C530="","",IFERROR(VALUE(LEFT(UPPER(SUBSTITUTE(SUBSTITUTE(SUBSTITUTE(TRIM(C530),".",""),"-","")," ","")),LEN(UPPER(SUBSTITUTE(SUBSTITUTE(SUBSTITUTE(TRIM(C530),".",""),"-","")," ","")))-1))&amp;RIGHT(UPPER(SUBSTITUTE(SUBSTITUTE(SUBSTITUTE(TRIM(C530),".",""),"-","")," ","")),1),UPPER(SUBSTITUTE(SUBSTITUTE(SUBSTITUTE(TRIM(C530),".",""),"-","")," ",""))))</f>
        <v/>
      </c>
    </row>
    <row r="531" customFormat="false" ht="15" hidden="false" customHeight="false" outlineLevel="0" collapsed="false">
      <c r="B531" s="80"/>
      <c r="C531" s="58"/>
      <c r="D531" s="62" t="str">
        <f aca="false">IF(C531="","",IFERROR(INDEX(T_NOMBRE,MATCH(V531,T_RUTN,0)),"⚠ RUT no está en Trabajadores"))</f>
        <v/>
      </c>
      <c r="E531" s="61"/>
      <c r="F531" s="61"/>
      <c r="G531" s="61"/>
      <c r="H531" s="61"/>
      <c r="I531" s="81"/>
      <c r="J531" s="81"/>
      <c r="K531" s="60"/>
      <c r="L531" s="60"/>
      <c r="M531" s="60"/>
      <c r="N531" s="60"/>
      <c r="O531" s="60"/>
      <c r="P531" s="60"/>
      <c r="Q531" s="60"/>
      <c r="R531" s="58"/>
      <c r="S531" s="62" t="str">
        <f aca="false">IF(OR(B531="",V531=""),"",IFERROR(INDEX(C_TIPO,MATCH(V531&amp;"-P"&amp;MAX(1,COUNTIFS(C_RUTN,V531,C_DEF,"Sí",C_INI,"&lt;="&amp;EOMONTH(B531,0))),C_CLAVE,0))&amp;"","Sin contrato"))</f>
        <v/>
      </c>
      <c r="T531" s="63" t="str">
        <f aca="false">IF(OR(B531="",N(O531)=0),"",N(O531)+ROUND(MIN(N(N531),TOPE_UF*UF_MES)*(TASA_EMP+MUTUAL),0)+ROUND(MIN(N(N531),TOPE_AFC_UF*UF_MES)*IF(S531="Indefinido",AFC_INDEF,AFC_PF),0))</f>
        <v/>
      </c>
      <c r="U531" s="62" t="str">
        <f aca="false">IF(C531="","",IF(LEFT(D531,1)="⚠","⚠ RUT no registrado en Trabajadores",IF(B531="","⚠ Falta el mes",IF(OR(ISTEXT(I531),ISTEXT(J531)),"⚠ Atrasos u horas extra como texto: escriba hh:mm (ej. 1:30)",IF(AND(ISNUMBER(Q531),COUNTIFS(M_RUTN,V531,M_MES,B531,M_LIQ,"&lt;&gt;")&gt;1),"⚠ Liquidación repetida en el mes",IF(AND(ISNUMBER(O531),ISNUMBER(P531),ISNUMBER(Q531),ABS(O531-P531-Q531)&gt;1),"⚠ Haberes − descuentos no da el líquido","OK"))))))</f>
        <v/>
      </c>
      <c r="V531" s="62" t="str">
        <f aca="false">IF(C531="","",IFERROR(VALUE(LEFT(UPPER(SUBSTITUTE(SUBSTITUTE(SUBSTITUTE(TRIM(C531),".",""),"-","")," ","")),LEN(UPPER(SUBSTITUTE(SUBSTITUTE(SUBSTITUTE(TRIM(C531),".",""),"-","")," ","")))-1))&amp;RIGHT(UPPER(SUBSTITUTE(SUBSTITUTE(SUBSTITUTE(TRIM(C531),".",""),"-","")," ","")),1),UPPER(SUBSTITUTE(SUBSTITUTE(SUBSTITUTE(TRIM(C531),".",""),"-","")," ",""))))</f>
        <v/>
      </c>
    </row>
    <row r="532" customFormat="false" ht="15" hidden="false" customHeight="false" outlineLevel="0" collapsed="false">
      <c r="B532" s="80"/>
      <c r="C532" s="58"/>
      <c r="D532" s="62" t="str">
        <f aca="false">IF(C532="","",IFERROR(INDEX(T_NOMBRE,MATCH(V532,T_RUTN,0)),"⚠ RUT no está en Trabajadores"))</f>
        <v/>
      </c>
      <c r="E532" s="61"/>
      <c r="F532" s="61"/>
      <c r="G532" s="61"/>
      <c r="H532" s="61"/>
      <c r="I532" s="81"/>
      <c r="J532" s="81"/>
      <c r="K532" s="60"/>
      <c r="L532" s="60"/>
      <c r="M532" s="60"/>
      <c r="N532" s="60"/>
      <c r="O532" s="60"/>
      <c r="P532" s="60"/>
      <c r="Q532" s="60"/>
      <c r="R532" s="58"/>
      <c r="S532" s="62" t="str">
        <f aca="false">IF(OR(B532="",V532=""),"",IFERROR(INDEX(C_TIPO,MATCH(V532&amp;"-P"&amp;MAX(1,COUNTIFS(C_RUTN,V532,C_DEF,"Sí",C_INI,"&lt;="&amp;EOMONTH(B532,0))),C_CLAVE,0))&amp;"","Sin contrato"))</f>
        <v/>
      </c>
      <c r="T532" s="63" t="str">
        <f aca="false">IF(OR(B532="",N(O532)=0),"",N(O532)+ROUND(MIN(N(N532),TOPE_UF*UF_MES)*(TASA_EMP+MUTUAL),0)+ROUND(MIN(N(N532),TOPE_AFC_UF*UF_MES)*IF(S532="Indefinido",AFC_INDEF,AFC_PF),0))</f>
        <v/>
      </c>
      <c r="U532" s="62" t="str">
        <f aca="false">IF(C532="","",IF(LEFT(D532,1)="⚠","⚠ RUT no registrado en Trabajadores",IF(B532="","⚠ Falta el mes",IF(OR(ISTEXT(I532),ISTEXT(J532)),"⚠ Atrasos u horas extra como texto: escriba hh:mm (ej. 1:30)",IF(AND(ISNUMBER(Q532),COUNTIFS(M_RUTN,V532,M_MES,B532,M_LIQ,"&lt;&gt;")&gt;1),"⚠ Liquidación repetida en el mes",IF(AND(ISNUMBER(O532),ISNUMBER(P532),ISNUMBER(Q532),ABS(O532-P532-Q532)&gt;1),"⚠ Haberes − descuentos no da el líquido","OK"))))))</f>
        <v/>
      </c>
      <c r="V532" s="62" t="str">
        <f aca="false">IF(C532="","",IFERROR(VALUE(LEFT(UPPER(SUBSTITUTE(SUBSTITUTE(SUBSTITUTE(TRIM(C532),".",""),"-","")," ","")),LEN(UPPER(SUBSTITUTE(SUBSTITUTE(SUBSTITUTE(TRIM(C532),".",""),"-","")," ","")))-1))&amp;RIGHT(UPPER(SUBSTITUTE(SUBSTITUTE(SUBSTITUTE(TRIM(C532),".",""),"-","")," ","")),1),UPPER(SUBSTITUTE(SUBSTITUTE(SUBSTITUTE(TRIM(C532),".",""),"-","")," ",""))))</f>
        <v/>
      </c>
    </row>
    <row r="533" customFormat="false" ht="15" hidden="false" customHeight="false" outlineLevel="0" collapsed="false">
      <c r="B533" s="80"/>
      <c r="C533" s="58"/>
      <c r="D533" s="62" t="str">
        <f aca="false">IF(C533="","",IFERROR(INDEX(T_NOMBRE,MATCH(V533,T_RUTN,0)),"⚠ RUT no está en Trabajadores"))</f>
        <v/>
      </c>
      <c r="E533" s="61"/>
      <c r="F533" s="61"/>
      <c r="G533" s="61"/>
      <c r="H533" s="61"/>
      <c r="I533" s="81"/>
      <c r="J533" s="81"/>
      <c r="K533" s="60"/>
      <c r="L533" s="60"/>
      <c r="M533" s="60"/>
      <c r="N533" s="60"/>
      <c r="O533" s="60"/>
      <c r="P533" s="60"/>
      <c r="Q533" s="60"/>
      <c r="R533" s="58"/>
      <c r="S533" s="62" t="str">
        <f aca="false">IF(OR(B533="",V533=""),"",IFERROR(INDEX(C_TIPO,MATCH(V533&amp;"-P"&amp;MAX(1,COUNTIFS(C_RUTN,V533,C_DEF,"Sí",C_INI,"&lt;="&amp;EOMONTH(B533,0))),C_CLAVE,0))&amp;"","Sin contrato"))</f>
        <v/>
      </c>
      <c r="T533" s="63" t="str">
        <f aca="false">IF(OR(B533="",N(O533)=0),"",N(O533)+ROUND(MIN(N(N533),TOPE_UF*UF_MES)*(TASA_EMP+MUTUAL),0)+ROUND(MIN(N(N533),TOPE_AFC_UF*UF_MES)*IF(S533="Indefinido",AFC_INDEF,AFC_PF),0))</f>
        <v/>
      </c>
      <c r="U533" s="62" t="str">
        <f aca="false">IF(C533="","",IF(LEFT(D533,1)="⚠","⚠ RUT no registrado en Trabajadores",IF(B533="","⚠ Falta el mes",IF(OR(ISTEXT(I533),ISTEXT(J533)),"⚠ Atrasos u horas extra como texto: escriba hh:mm (ej. 1:30)",IF(AND(ISNUMBER(Q533),COUNTIFS(M_RUTN,V533,M_MES,B533,M_LIQ,"&lt;&gt;")&gt;1),"⚠ Liquidación repetida en el mes",IF(AND(ISNUMBER(O533),ISNUMBER(P533),ISNUMBER(Q533),ABS(O533-P533-Q533)&gt;1),"⚠ Haberes − descuentos no da el líquido","OK"))))))</f>
        <v/>
      </c>
      <c r="V533" s="62" t="str">
        <f aca="false">IF(C533="","",IFERROR(VALUE(LEFT(UPPER(SUBSTITUTE(SUBSTITUTE(SUBSTITUTE(TRIM(C533),".",""),"-","")," ","")),LEN(UPPER(SUBSTITUTE(SUBSTITUTE(SUBSTITUTE(TRIM(C533),".",""),"-","")," ","")))-1))&amp;RIGHT(UPPER(SUBSTITUTE(SUBSTITUTE(SUBSTITUTE(TRIM(C533),".",""),"-","")," ","")),1),UPPER(SUBSTITUTE(SUBSTITUTE(SUBSTITUTE(TRIM(C533),".",""),"-","")," ",""))))</f>
        <v/>
      </c>
    </row>
    <row r="534" customFormat="false" ht="15" hidden="false" customHeight="false" outlineLevel="0" collapsed="false">
      <c r="B534" s="80"/>
      <c r="C534" s="58"/>
      <c r="D534" s="62" t="str">
        <f aca="false">IF(C534="","",IFERROR(INDEX(T_NOMBRE,MATCH(V534,T_RUTN,0)),"⚠ RUT no está en Trabajadores"))</f>
        <v/>
      </c>
      <c r="E534" s="61"/>
      <c r="F534" s="61"/>
      <c r="G534" s="61"/>
      <c r="H534" s="61"/>
      <c r="I534" s="81"/>
      <c r="J534" s="81"/>
      <c r="K534" s="60"/>
      <c r="L534" s="60"/>
      <c r="M534" s="60"/>
      <c r="N534" s="60"/>
      <c r="O534" s="60"/>
      <c r="P534" s="60"/>
      <c r="Q534" s="60"/>
      <c r="R534" s="58"/>
      <c r="S534" s="62" t="str">
        <f aca="false">IF(OR(B534="",V534=""),"",IFERROR(INDEX(C_TIPO,MATCH(V534&amp;"-P"&amp;MAX(1,COUNTIFS(C_RUTN,V534,C_DEF,"Sí",C_INI,"&lt;="&amp;EOMONTH(B534,0))),C_CLAVE,0))&amp;"","Sin contrato"))</f>
        <v/>
      </c>
      <c r="T534" s="63" t="str">
        <f aca="false">IF(OR(B534="",N(O534)=0),"",N(O534)+ROUND(MIN(N(N534),TOPE_UF*UF_MES)*(TASA_EMP+MUTUAL),0)+ROUND(MIN(N(N534),TOPE_AFC_UF*UF_MES)*IF(S534="Indefinido",AFC_INDEF,AFC_PF),0))</f>
        <v/>
      </c>
      <c r="U534" s="62" t="str">
        <f aca="false">IF(C534="","",IF(LEFT(D534,1)="⚠","⚠ RUT no registrado en Trabajadores",IF(B534="","⚠ Falta el mes",IF(OR(ISTEXT(I534),ISTEXT(J534)),"⚠ Atrasos u horas extra como texto: escriba hh:mm (ej. 1:30)",IF(AND(ISNUMBER(Q534),COUNTIFS(M_RUTN,V534,M_MES,B534,M_LIQ,"&lt;&gt;")&gt;1),"⚠ Liquidación repetida en el mes",IF(AND(ISNUMBER(O534),ISNUMBER(P534),ISNUMBER(Q534),ABS(O534-P534-Q534)&gt;1),"⚠ Haberes − descuentos no da el líquido","OK"))))))</f>
        <v/>
      </c>
      <c r="V534" s="62" t="str">
        <f aca="false">IF(C534="","",IFERROR(VALUE(LEFT(UPPER(SUBSTITUTE(SUBSTITUTE(SUBSTITUTE(TRIM(C534),".",""),"-","")," ","")),LEN(UPPER(SUBSTITUTE(SUBSTITUTE(SUBSTITUTE(TRIM(C534),".",""),"-","")," ","")))-1))&amp;RIGHT(UPPER(SUBSTITUTE(SUBSTITUTE(SUBSTITUTE(TRIM(C534),".",""),"-","")," ","")),1),UPPER(SUBSTITUTE(SUBSTITUTE(SUBSTITUTE(TRIM(C534),".",""),"-","")," ",""))))</f>
        <v/>
      </c>
    </row>
    <row r="535" customFormat="false" ht="15" hidden="false" customHeight="false" outlineLevel="0" collapsed="false">
      <c r="B535" s="80"/>
      <c r="C535" s="58"/>
      <c r="D535" s="62" t="str">
        <f aca="false">IF(C535="","",IFERROR(INDEX(T_NOMBRE,MATCH(V535,T_RUTN,0)),"⚠ RUT no está en Trabajadores"))</f>
        <v/>
      </c>
      <c r="E535" s="61"/>
      <c r="F535" s="61"/>
      <c r="G535" s="61"/>
      <c r="H535" s="61"/>
      <c r="I535" s="81"/>
      <c r="J535" s="81"/>
      <c r="K535" s="60"/>
      <c r="L535" s="60"/>
      <c r="M535" s="60"/>
      <c r="N535" s="60"/>
      <c r="O535" s="60"/>
      <c r="P535" s="60"/>
      <c r="Q535" s="60"/>
      <c r="R535" s="58"/>
      <c r="S535" s="62" t="str">
        <f aca="false">IF(OR(B535="",V535=""),"",IFERROR(INDEX(C_TIPO,MATCH(V535&amp;"-P"&amp;MAX(1,COUNTIFS(C_RUTN,V535,C_DEF,"Sí",C_INI,"&lt;="&amp;EOMONTH(B535,0))),C_CLAVE,0))&amp;"","Sin contrato"))</f>
        <v/>
      </c>
      <c r="T535" s="63" t="str">
        <f aca="false">IF(OR(B535="",N(O535)=0),"",N(O535)+ROUND(MIN(N(N535),TOPE_UF*UF_MES)*(TASA_EMP+MUTUAL),0)+ROUND(MIN(N(N535),TOPE_AFC_UF*UF_MES)*IF(S535="Indefinido",AFC_INDEF,AFC_PF),0))</f>
        <v/>
      </c>
      <c r="U535" s="62" t="str">
        <f aca="false">IF(C535="","",IF(LEFT(D535,1)="⚠","⚠ RUT no registrado en Trabajadores",IF(B535="","⚠ Falta el mes",IF(OR(ISTEXT(I535),ISTEXT(J535)),"⚠ Atrasos u horas extra como texto: escriba hh:mm (ej. 1:30)",IF(AND(ISNUMBER(Q535),COUNTIFS(M_RUTN,V535,M_MES,B535,M_LIQ,"&lt;&gt;")&gt;1),"⚠ Liquidación repetida en el mes",IF(AND(ISNUMBER(O535),ISNUMBER(P535),ISNUMBER(Q535),ABS(O535-P535-Q535)&gt;1),"⚠ Haberes − descuentos no da el líquido","OK"))))))</f>
        <v/>
      </c>
      <c r="V535" s="62" t="str">
        <f aca="false">IF(C535="","",IFERROR(VALUE(LEFT(UPPER(SUBSTITUTE(SUBSTITUTE(SUBSTITUTE(TRIM(C535),".",""),"-","")," ","")),LEN(UPPER(SUBSTITUTE(SUBSTITUTE(SUBSTITUTE(TRIM(C535),".",""),"-","")," ","")))-1))&amp;RIGHT(UPPER(SUBSTITUTE(SUBSTITUTE(SUBSTITUTE(TRIM(C535),".",""),"-","")," ","")),1),UPPER(SUBSTITUTE(SUBSTITUTE(SUBSTITUTE(TRIM(C535),".",""),"-","")," ",""))))</f>
        <v/>
      </c>
    </row>
    <row r="536" customFormat="false" ht="15" hidden="false" customHeight="false" outlineLevel="0" collapsed="false">
      <c r="B536" s="80"/>
      <c r="C536" s="58"/>
      <c r="D536" s="62" t="str">
        <f aca="false">IF(C536="","",IFERROR(INDEX(T_NOMBRE,MATCH(V536,T_RUTN,0)),"⚠ RUT no está en Trabajadores"))</f>
        <v/>
      </c>
      <c r="E536" s="61"/>
      <c r="F536" s="61"/>
      <c r="G536" s="61"/>
      <c r="H536" s="61"/>
      <c r="I536" s="81"/>
      <c r="J536" s="81"/>
      <c r="K536" s="60"/>
      <c r="L536" s="60"/>
      <c r="M536" s="60"/>
      <c r="N536" s="60"/>
      <c r="O536" s="60"/>
      <c r="P536" s="60"/>
      <c r="Q536" s="60"/>
      <c r="R536" s="58"/>
      <c r="S536" s="62" t="str">
        <f aca="false">IF(OR(B536="",V536=""),"",IFERROR(INDEX(C_TIPO,MATCH(V536&amp;"-P"&amp;MAX(1,COUNTIFS(C_RUTN,V536,C_DEF,"Sí",C_INI,"&lt;="&amp;EOMONTH(B536,0))),C_CLAVE,0))&amp;"","Sin contrato"))</f>
        <v/>
      </c>
      <c r="T536" s="63" t="str">
        <f aca="false">IF(OR(B536="",N(O536)=0),"",N(O536)+ROUND(MIN(N(N536),TOPE_UF*UF_MES)*(TASA_EMP+MUTUAL),0)+ROUND(MIN(N(N536),TOPE_AFC_UF*UF_MES)*IF(S536="Indefinido",AFC_INDEF,AFC_PF),0))</f>
        <v/>
      </c>
      <c r="U536" s="62" t="str">
        <f aca="false">IF(C536="","",IF(LEFT(D536,1)="⚠","⚠ RUT no registrado en Trabajadores",IF(B536="","⚠ Falta el mes",IF(OR(ISTEXT(I536),ISTEXT(J536)),"⚠ Atrasos u horas extra como texto: escriba hh:mm (ej. 1:30)",IF(AND(ISNUMBER(Q536),COUNTIFS(M_RUTN,V536,M_MES,B536,M_LIQ,"&lt;&gt;")&gt;1),"⚠ Liquidación repetida en el mes",IF(AND(ISNUMBER(O536),ISNUMBER(P536),ISNUMBER(Q536),ABS(O536-P536-Q536)&gt;1),"⚠ Haberes − descuentos no da el líquido","OK"))))))</f>
        <v/>
      </c>
      <c r="V536" s="62" t="str">
        <f aca="false">IF(C536="","",IFERROR(VALUE(LEFT(UPPER(SUBSTITUTE(SUBSTITUTE(SUBSTITUTE(TRIM(C536),".",""),"-","")," ","")),LEN(UPPER(SUBSTITUTE(SUBSTITUTE(SUBSTITUTE(TRIM(C536),".",""),"-","")," ","")))-1))&amp;RIGHT(UPPER(SUBSTITUTE(SUBSTITUTE(SUBSTITUTE(TRIM(C536),".",""),"-","")," ","")),1),UPPER(SUBSTITUTE(SUBSTITUTE(SUBSTITUTE(TRIM(C536),".",""),"-","")," ",""))))</f>
        <v/>
      </c>
    </row>
    <row r="537" customFormat="false" ht="15" hidden="false" customHeight="false" outlineLevel="0" collapsed="false">
      <c r="B537" s="80"/>
      <c r="C537" s="58"/>
      <c r="D537" s="62" t="str">
        <f aca="false">IF(C537="","",IFERROR(INDEX(T_NOMBRE,MATCH(V537,T_RUTN,0)),"⚠ RUT no está en Trabajadores"))</f>
        <v/>
      </c>
      <c r="E537" s="61"/>
      <c r="F537" s="61"/>
      <c r="G537" s="61"/>
      <c r="H537" s="61"/>
      <c r="I537" s="81"/>
      <c r="J537" s="81"/>
      <c r="K537" s="60"/>
      <c r="L537" s="60"/>
      <c r="M537" s="60"/>
      <c r="N537" s="60"/>
      <c r="O537" s="60"/>
      <c r="P537" s="60"/>
      <c r="Q537" s="60"/>
      <c r="R537" s="58"/>
      <c r="S537" s="62" t="str">
        <f aca="false">IF(OR(B537="",V537=""),"",IFERROR(INDEX(C_TIPO,MATCH(V537&amp;"-P"&amp;MAX(1,COUNTIFS(C_RUTN,V537,C_DEF,"Sí",C_INI,"&lt;="&amp;EOMONTH(B537,0))),C_CLAVE,0))&amp;"","Sin contrato"))</f>
        <v/>
      </c>
      <c r="T537" s="63" t="str">
        <f aca="false">IF(OR(B537="",N(O537)=0),"",N(O537)+ROUND(MIN(N(N537),TOPE_UF*UF_MES)*(TASA_EMP+MUTUAL),0)+ROUND(MIN(N(N537),TOPE_AFC_UF*UF_MES)*IF(S537="Indefinido",AFC_INDEF,AFC_PF),0))</f>
        <v/>
      </c>
      <c r="U537" s="62" t="str">
        <f aca="false">IF(C537="","",IF(LEFT(D537,1)="⚠","⚠ RUT no registrado en Trabajadores",IF(B537="","⚠ Falta el mes",IF(OR(ISTEXT(I537),ISTEXT(J537)),"⚠ Atrasos u horas extra como texto: escriba hh:mm (ej. 1:30)",IF(AND(ISNUMBER(Q537),COUNTIFS(M_RUTN,V537,M_MES,B537,M_LIQ,"&lt;&gt;")&gt;1),"⚠ Liquidación repetida en el mes",IF(AND(ISNUMBER(O537),ISNUMBER(P537),ISNUMBER(Q537),ABS(O537-P537-Q537)&gt;1),"⚠ Haberes − descuentos no da el líquido","OK"))))))</f>
        <v/>
      </c>
      <c r="V537" s="62" t="str">
        <f aca="false">IF(C537="","",IFERROR(VALUE(LEFT(UPPER(SUBSTITUTE(SUBSTITUTE(SUBSTITUTE(TRIM(C537),".",""),"-","")," ","")),LEN(UPPER(SUBSTITUTE(SUBSTITUTE(SUBSTITUTE(TRIM(C537),".",""),"-","")," ","")))-1))&amp;RIGHT(UPPER(SUBSTITUTE(SUBSTITUTE(SUBSTITUTE(TRIM(C537),".",""),"-","")," ","")),1),UPPER(SUBSTITUTE(SUBSTITUTE(SUBSTITUTE(TRIM(C537),".",""),"-","")," ",""))))</f>
        <v/>
      </c>
    </row>
    <row r="538" customFormat="false" ht="15" hidden="false" customHeight="false" outlineLevel="0" collapsed="false">
      <c r="B538" s="80"/>
      <c r="C538" s="58"/>
      <c r="D538" s="62" t="str">
        <f aca="false">IF(C538="","",IFERROR(INDEX(T_NOMBRE,MATCH(V538,T_RUTN,0)),"⚠ RUT no está en Trabajadores"))</f>
        <v/>
      </c>
      <c r="E538" s="61"/>
      <c r="F538" s="61"/>
      <c r="G538" s="61"/>
      <c r="H538" s="61"/>
      <c r="I538" s="81"/>
      <c r="J538" s="81"/>
      <c r="K538" s="60"/>
      <c r="L538" s="60"/>
      <c r="M538" s="60"/>
      <c r="N538" s="60"/>
      <c r="O538" s="60"/>
      <c r="P538" s="60"/>
      <c r="Q538" s="60"/>
      <c r="R538" s="58"/>
      <c r="S538" s="62" t="str">
        <f aca="false">IF(OR(B538="",V538=""),"",IFERROR(INDEX(C_TIPO,MATCH(V538&amp;"-P"&amp;MAX(1,COUNTIFS(C_RUTN,V538,C_DEF,"Sí",C_INI,"&lt;="&amp;EOMONTH(B538,0))),C_CLAVE,0))&amp;"","Sin contrato"))</f>
        <v/>
      </c>
      <c r="T538" s="63" t="str">
        <f aca="false">IF(OR(B538="",N(O538)=0),"",N(O538)+ROUND(MIN(N(N538),TOPE_UF*UF_MES)*(TASA_EMP+MUTUAL),0)+ROUND(MIN(N(N538),TOPE_AFC_UF*UF_MES)*IF(S538="Indefinido",AFC_INDEF,AFC_PF),0))</f>
        <v/>
      </c>
      <c r="U538" s="62" t="str">
        <f aca="false">IF(C538="","",IF(LEFT(D538,1)="⚠","⚠ RUT no registrado en Trabajadores",IF(B538="","⚠ Falta el mes",IF(OR(ISTEXT(I538),ISTEXT(J538)),"⚠ Atrasos u horas extra como texto: escriba hh:mm (ej. 1:30)",IF(AND(ISNUMBER(Q538),COUNTIFS(M_RUTN,V538,M_MES,B538,M_LIQ,"&lt;&gt;")&gt;1),"⚠ Liquidación repetida en el mes",IF(AND(ISNUMBER(O538),ISNUMBER(P538),ISNUMBER(Q538),ABS(O538-P538-Q538)&gt;1),"⚠ Haberes − descuentos no da el líquido","OK"))))))</f>
        <v/>
      </c>
      <c r="V538" s="62" t="str">
        <f aca="false">IF(C538="","",IFERROR(VALUE(LEFT(UPPER(SUBSTITUTE(SUBSTITUTE(SUBSTITUTE(TRIM(C538),".",""),"-","")," ","")),LEN(UPPER(SUBSTITUTE(SUBSTITUTE(SUBSTITUTE(TRIM(C538),".",""),"-","")," ","")))-1))&amp;RIGHT(UPPER(SUBSTITUTE(SUBSTITUTE(SUBSTITUTE(TRIM(C538),".",""),"-","")," ","")),1),UPPER(SUBSTITUTE(SUBSTITUTE(SUBSTITUTE(TRIM(C538),".",""),"-","")," ",""))))</f>
        <v/>
      </c>
    </row>
    <row r="539" customFormat="false" ht="15" hidden="false" customHeight="false" outlineLevel="0" collapsed="false">
      <c r="B539" s="80"/>
      <c r="C539" s="58"/>
      <c r="D539" s="62" t="str">
        <f aca="false">IF(C539="","",IFERROR(INDEX(T_NOMBRE,MATCH(V539,T_RUTN,0)),"⚠ RUT no está en Trabajadores"))</f>
        <v/>
      </c>
      <c r="E539" s="61"/>
      <c r="F539" s="61"/>
      <c r="G539" s="61"/>
      <c r="H539" s="61"/>
      <c r="I539" s="81"/>
      <c r="J539" s="81"/>
      <c r="K539" s="60"/>
      <c r="L539" s="60"/>
      <c r="M539" s="60"/>
      <c r="N539" s="60"/>
      <c r="O539" s="60"/>
      <c r="P539" s="60"/>
      <c r="Q539" s="60"/>
      <c r="R539" s="58"/>
      <c r="S539" s="62" t="str">
        <f aca="false">IF(OR(B539="",V539=""),"",IFERROR(INDEX(C_TIPO,MATCH(V539&amp;"-P"&amp;MAX(1,COUNTIFS(C_RUTN,V539,C_DEF,"Sí",C_INI,"&lt;="&amp;EOMONTH(B539,0))),C_CLAVE,0))&amp;"","Sin contrato"))</f>
        <v/>
      </c>
      <c r="T539" s="63" t="str">
        <f aca="false">IF(OR(B539="",N(O539)=0),"",N(O539)+ROUND(MIN(N(N539),TOPE_UF*UF_MES)*(TASA_EMP+MUTUAL),0)+ROUND(MIN(N(N539),TOPE_AFC_UF*UF_MES)*IF(S539="Indefinido",AFC_INDEF,AFC_PF),0))</f>
        <v/>
      </c>
      <c r="U539" s="62" t="str">
        <f aca="false">IF(C539="","",IF(LEFT(D539,1)="⚠","⚠ RUT no registrado en Trabajadores",IF(B539="","⚠ Falta el mes",IF(OR(ISTEXT(I539),ISTEXT(J539)),"⚠ Atrasos u horas extra como texto: escriba hh:mm (ej. 1:30)",IF(AND(ISNUMBER(Q539),COUNTIFS(M_RUTN,V539,M_MES,B539,M_LIQ,"&lt;&gt;")&gt;1),"⚠ Liquidación repetida en el mes",IF(AND(ISNUMBER(O539),ISNUMBER(P539),ISNUMBER(Q539),ABS(O539-P539-Q539)&gt;1),"⚠ Haberes − descuentos no da el líquido","OK"))))))</f>
        <v/>
      </c>
      <c r="V539" s="62" t="str">
        <f aca="false">IF(C539="","",IFERROR(VALUE(LEFT(UPPER(SUBSTITUTE(SUBSTITUTE(SUBSTITUTE(TRIM(C539),".",""),"-","")," ","")),LEN(UPPER(SUBSTITUTE(SUBSTITUTE(SUBSTITUTE(TRIM(C539),".",""),"-","")," ","")))-1))&amp;RIGHT(UPPER(SUBSTITUTE(SUBSTITUTE(SUBSTITUTE(TRIM(C539),".",""),"-","")," ","")),1),UPPER(SUBSTITUTE(SUBSTITUTE(SUBSTITUTE(TRIM(C539),".",""),"-","")," ",""))))</f>
        <v/>
      </c>
    </row>
    <row r="540" customFormat="false" ht="15" hidden="false" customHeight="false" outlineLevel="0" collapsed="false">
      <c r="B540" s="80"/>
      <c r="C540" s="58"/>
      <c r="D540" s="62" t="str">
        <f aca="false">IF(C540="","",IFERROR(INDEX(T_NOMBRE,MATCH(V540,T_RUTN,0)),"⚠ RUT no está en Trabajadores"))</f>
        <v/>
      </c>
      <c r="E540" s="61"/>
      <c r="F540" s="61"/>
      <c r="G540" s="61"/>
      <c r="H540" s="61"/>
      <c r="I540" s="81"/>
      <c r="J540" s="81"/>
      <c r="K540" s="60"/>
      <c r="L540" s="60"/>
      <c r="M540" s="60"/>
      <c r="N540" s="60"/>
      <c r="O540" s="60"/>
      <c r="P540" s="60"/>
      <c r="Q540" s="60"/>
      <c r="R540" s="58"/>
      <c r="S540" s="62" t="str">
        <f aca="false">IF(OR(B540="",V540=""),"",IFERROR(INDEX(C_TIPO,MATCH(V540&amp;"-P"&amp;MAX(1,COUNTIFS(C_RUTN,V540,C_DEF,"Sí",C_INI,"&lt;="&amp;EOMONTH(B540,0))),C_CLAVE,0))&amp;"","Sin contrato"))</f>
        <v/>
      </c>
      <c r="T540" s="63" t="str">
        <f aca="false">IF(OR(B540="",N(O540)=0),"",N(O540)+ROUND(MIN(N(N540),TOPE_UF*UF_MES)*(TASA_EMP+MUTUAL),0)+ROUND(MIN(N(N540),TOPE_AFC_UF*UF_MES)*IF(S540="Indefinido",AFC_INDEF,AFC_PF),0))</f>
        <v/>
      </c>
      <c r="U540" s="62" t="str">
        <f aca="false">IF(C540="","",IF(LEFT(D540,1)="⚠","⚠ RUT no registrado en Trabajadores",IF(B540="","⚠ Falta el mes",IF(OR(ISTEXT(I540),ISTEXT(J540)),"⚠ Atrasos u horas extra como texto: escriba hh:mm (ej. 1:30)",IF(AND(ISNUMBER(Q540),COUNTIFS(M_RUTN,V540,M_MES,B540,M_LIQ,"&lt;&gt;")&gt;1),"⚠ Liquidación repetida en el mes",IF(AND(ISNUMBER(O540),ISNUMBER(P540),ISNUMBER(Q540),ABS(O540-P540-Q540)&gt;1),"⚠ Haberes − descuentos no da el líquido","OK"))))))</f>
        <v/>
      </c>
      <c r="V540" s="62" t="str">
        <f aca="false">IF(C540="","",IFERROR(VALUE(LEFT(UPPER(SUBSTITUTE(SUBSTITUTE(SUBSTITUTE(TRIM(C540),".",""),"-","")," ","")),LEN(UPPER(SUBSTITUTE(SUBSTITUTE(SUBSTITUTE(TRIM(C540),".",""),"-","")," ","")))-1))&amp;RIGHT(UPPER(SUBSTITUTE(SUBSTITUTE(SUBSTITUTE(TRIM(C540),".",""),"-","")," ","")),1),UPPER(SUBSTITUTE(SUBSTITUTE(SUBSTITUTE(TRIM(C540),".",""),"-","")," ",""))))</f>
        <v/>
      </c>
    </row>
    <row r="541" customFormat="false" ht="15" hidden="false" customHeight="false" outlineLevel="0" collapsed="false">
      <c r="B541" s="80"/>
      <c r="C541" s="58"/>
      <c r="D541" s="62" t="str">
        <f aca="false">IF(C541="","",IFERROR(INDEX(T_NOMBRE,MATCH(V541,T_RUTN,0)),"⚠ RUT no está en Trabajadores"))</f>
        <v/>
      </c>
      <c r="E541" s="61"/>
      <c r="F541" s="61"/>
      <c r="G541" s="61"/>
      <c r="H541" s="61"/>
      <c r="I541" s="81"/>
      <c r="J541" s="81"/>
      <c r="K541" s="60"/>
      <c r="L541" s="60"/>
      <c r="M541" s="60"/>
      <c r="N541" s="60"/>
      <c r="O541" s="60"/>
      <c r="P541" s="60"/>
      <c r="Q541" s="60"/>
      <c r="R541" s="58"/>
      <c r="S541" s="62" t="str">
        <f aca="false">IF(OR(B541="",V541=""),"",IFERROR(INDEX(C_TIPO,MATCH(V541&amp;"-P"&amp;MAX(1,COUNTIFS(C_RUTN,V541,C_DEF,"Sí",C_INI,"&lt;="&amp;EOMONTH(B541,0))),C_CLAVE,0))&amp;"","Sin contrato"))</f>
        <v/>
      </c>
      <c r="T541" s="63" t="str">
        <f aca="false">IF(OR(B541="",N(O541)=0),"",N(O541)+ROUND(MIN(N(N541),TOPE_UF*UF_MES)*(TASA_EMP+MUTUAL),0)+ROUND(MIN(N(N541),TOPE_AFC_UF*UF_MES)*IF(S541="Indefinido",AFC_INDEF,AFC_PF),0))</f>
        <v/>
      </c>
      <c r="U541" s="62" t="str">
        <f aca="false">IF(C541="","",IF(LEFT(D541,1)="⚠","⚠ RUT no registrado en Trabajadores",IF(B541="","⚠ Falta el mes",IF(OR(ISTEXT(I541),ISTEXT(J541)),"⚠ Atrasos u horas extra como texto: escriba hh:mm (ej. 1:30)",IF(AND(ISNUMBER(Q541),COUNTIFS(M_RUTN,V541,M_MES,B541,M_LIQ,"&lt;&gt;")&gt;1),"⚠ Liquidación repetida en el mes",IF(AND(ISNUMBER(O541),ISNUMBER(P541),ISNUMBER(Q541),ABS(O541-P541-Q541)&gt;1),"⚠ Haberes − descuentos no da el líquido","OK"))))))</f>
        <v/>
      </c>
      <c r="V541" s="62" t="str">
        <f aca="false">IF(C541="","",IFERROR(VALUE(LEFT(UPPER(SUBSTITUTE(SUBSTITUTE(SUBSTITUTE(TRIM(C541),".",""),"-","")," ","")),LEN(UPPER(SUBSTITUTE(SUBSTITUTE(SUBSTITUTE(TRIM(C541),".",""),"-","")," ","")))-1))&amp;RIGHT(UPPER(SUBSTITUTE(SUBSTITUTE(SUBSTITUTE(TRIM(C541),".",""),"-","")," ","")),1),UPPER(SUBSTITUTE(SUBSTITUTE(SUBSTITUTE(TRIM(C541),".",""),"-","")," ",""))))</f>
        <v/>
      </c>
    </row>
    <row r="542" customFormat="false" ht="15" hidden="false" customHeight="false" outlineLevel="0" collapsed="false">
      <c r="B542" s="80"/>
      <c r="C542" s="58"/>
      <c r="D542" s="62" t="str">
        <f aca="false">IF(C542="","",IFERROR(INDEX(T_NOMBRE,MATCH(V542,T_RUTN,0)),"⚠ RUT no está en Trabajadores"))</f>
        <v/>
      </c>
      <c r="E542" s="61"/>
      <c r="F542" s="61"/>
      <c r="G542" s="61"/>
      <c r="H542" s="61"/>
      <c r="I542" s="81"/>
      <c r="J542" s="81"/>
      <c r="K542" s="60"/>
      <c r="L542" s="60"/>
      <c r="M542" s="60"/>
      <c r="N542" s="60"/>
      <c r="O542" s="60"/>
      <c r="P542" s="60"/>
      <c r="Q542" s="60"/>
      <c r="R542" s="58"/>
      <c r="S542" s="62" t="str">
        <f aca="false">IF(OR(B542="",V542=""),"",IFERROR(INDEX(C_TIPO,MATCH(V542&amp;"-P"&amp;MAX(1,COUNTIFS(C_RUTN,V542,C_DEF,"Sí",C_INI,"&lt;="&amp;EOMONTH(B542,0))),C_CLAVE,0))&amp;"","Sin contrato"))</f>
        <v/>
      </c>
      <c r="T542" s="63" t="str">
        <f aca="false">IF(OR(B542="",N(O542)=0),"",N(O542)+ROUND(MIN(N(N542),TOPE_UF*UF_MES)*(TASA_EMP+MUTUAL),0)+ROUND(MIN(N(N542),TOPE_AFC_UF*UF_MES)*IF(S542="Indefinido",AFC_INDEF,AFC_PF),0))</f>
        <v/>
      </c>
      <c r="U542" s="62" t="str">
        <f aca="false">IF(C542="","",IF(LEFT(D542,1)="⚠","⚠ RUT no registrado en Trabajadores",IF(B542="","⚠ Falta el mes",IF(OR(ISTEXT(I542),ISTEXT(J542)),"⚠ Atrasos u horas extra como texto: escriba hh:mm (ej. 1:30)",IF(AND(ISNUMBER(Q542),COUNTIFS(M_RUTN,V542,M_MES,B542,M_LIQ,"&lt;&gt;")&gt;1),"⚠ Liquidación repetida en el mes",IF(AND(ISNUMBER(O542),ISNUMBER(P542),ISNUMBER(Q542),ABS(O542-P542-Q542)&gt;1),"⚠ Haberes − descuentos no da el líquido","OK"))))))</f>
        <v/>
      </c>
      <c r="V542" s="62" t="str">
        <f aca="false">IF(C542="","",IFERROR(VALUE(LEFT(UPPER(SUBSTITUTE(SUBSTITUTE(SUBSTITUTE(TRIM(C542),".",""),"-","")," ","")),LEN(UPPER(SUBSTITUTE(SUBSTITUTE(SUBSTITUTE(TRIM(C542),".",""),"-","")," ","")))-1))&amp;RIGHT(UPPER(SUBSTITUTE(SUBSTITUTE(SUBSTITUTE(TRIM(C542),".",""),"-","")," ","")),1),UPPER(SUBSTITUTE(SUBSTITUTE(SUBSTITUTE(TRIM(C542),".",""),"-","")," ",""))))</f>
        <v/>
      </c>
    </row>
    <row r="543" customFormat="false" ht="15" hidden="false" customHeight="false" outlineLevel="0" collapsed="false">
      <c r="B543" s="80"/>
      <c r="C543" s="58"/>
      <c r="D543" s="62" t="str">
        <f aca="false">IF(C543="","",IFERROR(INDEX(T_NOMBRE,MATCH(V543,T_RUTN,0)),"⚠ RUT no está en Trabajadores"))</f>
        <v/>
      </c>
      <c r="E543" s="61"/>
      <c r="F543" s="61"/>
      <c r="G543" s="61"/>
      <c r="H543" s="61"/>
      <c r="I543" s="81"/>
      <c r="J543" s="81"/>
      <c r="K543" s="60"/>
      <c r="L543" s="60"/>
      <c r="M543" s="60"/>
      <c r="N543" s="60"/>
      <c r="O543" s="60"/>
      <c r="P543" s="60"/>
      <c r="Q543" s="60"/>
      <c r="R543" s="58"/>
      <c r="S543" s="62" t="str">
        <f aca="false">IF(OR(B543="",V543=""),"",IFERROR(INDEX(C_TIPO,MATCH(V543&amp;"-P"&amp;MAX(1,COUNTIFS(C_RUTN,V543,C_DEF,"Sí",C_INI,"&lt;="&amp;EOMONTH(B543,0))),C_CLAVE,0))&amp;"","Sin contrato"))</f>
        <v/>
      </c>
      <c r="T543" s="63" t="str">
        <f aca="false">IF(OR(B543="",N(O543)=0),"",N(O543)+ROUND(MIN(N(N543),TOPE_UF*UF_MES)*(TASA_EMP+MUTUAL),0)+ROUND(MIN(N(N543),TOPE_AFC_UF*UF_MES)*IF(S543="Indefinido",AFC_INDEF,AFC_PF),0))</f>
        <v/>
      </c>
      <c r="U543" s="62" t="str">
        <f aca="false">IF(C543="","",IF(LEFT(D543,1)="⚠","⚠ RUT no registrado en Trabajadores",IF(B543="","⚠ Falta el mes",IF(OR(ISTEXT(I543),ISTEXT(J543)),"⚠ Atrasos u horas extra como texto: escriba hh:mm (ej. 1:30)",IF(AND(ISNUMBER(Q543),COUNTIFS(M_RUTN,V543,M_MES,B543,M_LIQ,"&lt;&gt;")&gt;1),"⚠ Liquidación repetida en el mes",IF(AND(ISNUMBER(O543),ISNUMBER(P543),ISNUMBER(Q543),ABS(O543-P543-Q543)&gt;1),"⚠ Haberes − descuentos no da el líquido","OK"))))))</f>
        <v/>
      </c>
      <c r="V543" s="62" t="str">
        <f aca="false">IF(C543="","",IFERROR(VALUE(LEFT(UPPER(SUBSTITUTE(SUBSTITUTE(SUBSTITUTE(TRIM(C543),".",""),"-","")," ","")),LEN(UPPER(SUBSTITUTE(SUBSTITUTE(SUBSTITUTE(TRIM(C543),".",""),"-","")," ","")))-1))&amp;RIGHT(UPPER(SUBSTITUTE(SUBSTITUTE(SUBSTITUTE(TRIM(C543),".",""),"-","")," ","")),1),UPPER(SUBSTITUTE(SUBSTITUTE(SUBSTITUTE(TRIM(C543),".",""),"-","")," ",""))))</f>
        <v/>
      </c>
    </row>
    <row r="544" customFormat="false" ht="15" hidden="false" customHeight="false" outlineLevel="0" collapsed="false">
      <c r="B544" s="80"/>
      <c r="C544" s="58"/>
      <c r="D544" s="62" t="str">
        <f aca="false">IF(C544="","",IFERROR(INDEX(T_NOMBRE,MATCH(V544,T_RUTN,0)),"⚠ RUT no está en Trabajadores"))</f>
        <v/>
      </c>
      <c r="E544" s="61"/>
      <c r="F544" s="61"/>
      <c r="G544" s="61"/>
      <c r="H544" s="61"/>
      <c r="I544" s="81"/>
      <c r="J544" s="81"/>
      <c r="K544" s="60"/>
      <c r="L544" s="60"/>
      <c r="M544" s="60"/>
      <c r="N544" s="60"/>
      <c r="O544" s="60"/>
      <c r="P544" s="60"/>
      <c r="Q544" s="60"/>
      <c r="R544" s="58"/>
      <c r="S544" s="62" t="str">
        <f aca="false">IF(OR(B544="",V544=""),"",IFERROR(INDEX(C_TIPO,MATCH(V544&amp;"-P"&amp;MAX(1,COUNTIFS(C_RUTN,V544,C_DEF,"Sí",C_INI,"&lt;="&amp;EOMONTH(B544,0))),C_CLAVE,0))&amp;"","Sin contrato"))</f>
        <v/>
      </c>
      <c r="T544" s="63" t="str">
        <f aca="false">IF(OR(B544="",N(O544)=0),"",N(O544)+ROUND(MIN(N(N544),TOPE_UF*UF_MES)*(TASA_EMP+MUTUAL),0)+ROUND(MIN(N(N544),TOPE_AFC_UF*UF_MES)*IF(S544="Indefinido",AFC_INDEF,AFC_PF),0))</f>
        <v/>
      </c>
      <c r="U544" s="62" t="str">
        <f aca="false">IF(C544="","",IF(LEFT(D544,1)="⚠","⚠ RUT no registrado en Trabajadores",IF(B544="","⚠ Falta el mes",IF(OR(ISTEXT(I544),ISTEXT(J544)),"⚠ Atrasos u horas extra como texto: escriba hh:mm (ej. 1:30)",IF(AND(ISNUMBER(Q544),COUNTIFS(M_RUTN,V544,M_MES,B544,M_LIQ,"&lt;&gt;")&gt;1),"⚠ Liquidación repetida en el mes",IF(AND(ISNUMBER(O544),ISNUMBER(P544),ISNUMBER(Q544),ABS(O544-P544-Q544)&gt;1),"⚠ Haberes − descuentos no da el líquido","OK"))))))</f>
        <v/>
      </c>
      <c r="V544" s="62" t="str">
        <f aca="false">IF(C544="","",IFERROR(VALUE(LEFT(UPPER(SUBSTITUTE(SUBSTITUTE(SUBSTITUTE(TRIM(C544),".",""),"-","")," ","")),LEN(UPPER(SUBSTITUTE(SUBSTITUTE(SUBSTITUTE(TRIM(C544),".",""),"-","")," ","")))-1))&amp;RIGHT(UPPER(SUBSTITUTE(SUBSTITUTE(SUBSTITUTE(TRIM(C544),".",""),"-","")," ","")),1),UPPER(SUBSTITUTE(SUBSTITUTE(SUBSTITUTE(TRIM(C544),".",""),"-","")," ",""))))</f>
        <v/>
      </c>
    </row>
    <row r="545" customFormat="false" ht="15" hidden="false" customHeight="false" outlineLevel="0" collapsed="false">
      <c r="B545" s="80"/>
      <c r="C545" s="58"/>
      <c r="D545" s="62" t="str">
        <f aca="false">IF(C545="","",IFERROR(INDEX(T_NOMBRE,MATCH(V545,T_RUTN,0)),"⚠ RUT no está en Trabajadores"))</f>
        <v/>
      </c>
      <c r="E545" s="61"/>
      <c r="F545" s="61"/>
      <c r="G545" s="61"/>
      <c r="H545" s="61"/>
      <c r="I545" s="81"/>
      <c r="J545" s="81"/>
      <c r="K545" s="60"/>
      <c r="L545" s="60"/>
      <c r="M545" s="60"/>
      <c r="N545" s="60"/>
      <c r="O545" s="60"/>
      <c r="P545" s="60"/>
      <c r="Q545" s="60"/>
      <c r="R545" s="58"/>
      <c r="S545" s="62" t="str">
        <f aca="false">IF(OR(B545="",V545=""),"",IFERROR(INDEX(C_TIPO,MATCH(V545&amp;"-P"&amp;MAX(1,COUNTIFS(C_RUTN,V545,C_DEF,"Sí",C_INI,"&lt;="&amp;EOMONTH(B545,0))),C_CLAVE,0))&amp;"","Sin contrato"))</f>
        <v/>
      </c>
      <c r="T545" s="63" t="str">
        <f aca="false">IF(OR(B545="",N(O545)=0),"",N(O545)+ROUND(MIN(N(N545),TOPE_UF*UF_MES)*(TASA_EMP+MUTUAL),0)+ROUND(MIN(N(N545),TOPE_AFC_UF*UF_MES)*IF(S545="Indefinido",AFC_INDEF,AFC_PF),0))</f>
        <v/>
      </c>
      <c r="U545" s="62" t="str">
        <f aca="false">IF(C545="","",IF(LEFT(D545,1)="⚠","⚠ RUT no registrado en Trabajadores",IF(B545="","⚠ Falta el mes",IF(OR(ISTEXT(I545),ISTEXT(J545)),"⚠ Atrasos u horas extra como texto: escriba hh:mm (ej. 1:30)",IF(AND(ISNUMBER(Q545),COUNTIFS(M_RUTN,V545,M_MES,B545,M_LIQ,"&lt;&gt;")&gt;1),"⚠ Liquidación repetida en el mes",IF(AND(ISNUMBER(O545),ISNUMBER(P545),ISNUMBER(Q545),ABS(O545-P545-Q545)&gt;1),"⚠ Haberes − descuentos no da el líquido","OK"))))))</f>
        <v/>
      </c>
      <c r="V545" s="62" t="str">
        <f aca="false">IF(C545="","",IFERROR(VALUE(LEFT(UPPER(SUBSTITUTE(SUBSTITUTE(SUBSTITUTE(TRIM(C545),".",""),"-","")," ","")),LEN(UPPER(SUBSTITUTE(SUBSTITUTE(SUBSTITUTE(TRIM(C545),".",""),"-","")," ","")))-1))&amp;RIGHT(UPPER(SUBSTITUTE(SUBSTITUTE(SUBSTITUTE(TRIM(C545),".",""),"-","")," ","")),1),UPPER(SUBSTITUTE(SUBSTITUTE(SUBSTITUTE(TRIM(C545),".",""),"-","")," ",""))))</f>
        <v/>
      </c>
    </row>
    <row r="546" customFormat="false" ht="15" hidden="false" customHeight="false" outlineLevel="0" collapsed="false">
      <c r="B546" s="80"/>
      <c r="C546" s="58"/>
      <c r="D546" s="62" t="str">
        <f aca="false">IF(C546="","",IFERROR(INDEX(T_NOMBRE,MATCH(V546,T_RUTN,0)),"⚠ RUT no está en Trabajadores"))</f>
        <v/>
      </c>
      <c r="E546" s="61"/>
      <c r="F546" s="61"/>
      <c r="G546" s="61"/>
      <c r="H546" s="61"/>
      <c r="I546" s="81"/>
      <c r="J546" s="81"/>
      <c r="K546" s="60"/>
      <c r="L546" s="60"/>
      <c r="M546" s="60"/>
      <c r="N546" s="60"/>
      <c r="O546" s="60"/>
      <c r="P546" s="60"/>
      <c r="Q546" s="60"/>
      <c r="R546" s="58"/>
      <c r="S546" s="62" t="str">
        <f aca="false">IF(OR(B546="",V546=""),"",IFERROR(INDEX(C_TIPO,MATCH(V546&amp;"-P"&amp;MAX(1,COUNTIFS(C_RUTN,V546,C_DEF,"Sí",C_INI,"&lt;="&amp;EOMONTH(B546,0))),C_CLAVE,0))&amp;"","Sin contrato"))</f>
        <v/>
      </c>
      <c r="T546" s="63" t="str">
        <f aca="false">IF(OR(B546="",N(O546)=0),"",N(O546)+ROUND(MIN(N(N546),TOPE_UF*UF_MES)*(TASA_EMP+MUTUAL),0)+ROUND(MIN(N(N546),TOPE_AFC_UF*UF_MES)*IF(S546="Indefinido",AFC_INDEF,AFC_PF),0))</f>
        <v/>
      </c>
      <c r="U546" s="62" t="str">
        <f aca="false">IF(C546="","",IF(LEFT(D546,1)="⚠","⚠ RUT no registrado en Trabajadores",IF(B546="","⚠ Falta el mes",IF(OR(ISTEXT(I546),ISTEXT(J546)),"⚠ Atrasos u horas extra como texto: escriba hh:mm (ej. 1:30)",IF(AND(ISNUMBER(Q546),COUNTIFS(M_RUTN,V546,M_MES,B546,M_LIQ,"&lt;&gt;")&gt;1),"⚠ Liquidación repetida en el mes",IF(AND(ISNUMBER(O546),ISNUMBER(P546),ISNUMBER(Q546),ABS(O546-P546-Q546)&gt;1),"⚠ Haberes − descuentos no da el líquido","OK"))))))</f>
        <v/>
      </c>
      <c r="V546" s="62" t="str">
        <f aca="false">IF(C546="","",IFERROR(VALUE(LEFT(UPPER(SUBSTITUTE(SUBSTITUTE(SUBSTITUTE(TRIM(C546),".",""),"-","")," ","")),LEN(UPPER(SUBSTITUTE(SUBSTITUTE(SUBSTITUTE(TRIM(C546),".",""),"-","")," ","")))-1))&amp;RIGHT(UPPER(SUBSTITUTE(SUBSTITUTE(SUBSTITUTE(TRIM(C546),".",""),"-","")," ","")),1),UPPER(SUBSTITUTE(SUBSTITUTE(SUBSTITUTE(TRIM(C546),".",""),"-","")," ",""))))</f>
        <v/>
      </c>
    </row>
    <row r="547" customFormat="false" ht="15" hidden="false" customHeight="false" outlineLevel="0" collapsed="false">
      <c r="B547" s="80"/>
      <c r="C547" s="58"/>
      <c r="D547" s="62" t="str">
        <f aca="false">IF(C547="","",IFERROR(INDEX(T_NOMBRE,MATCH(V547,T_RUTN,0)),"⚠ RUT no está en Trabajadores"))</f>
        <v/>
      </c>
      <c r="E547" s="61"/>
      <c r="F547" s="61"/>
      <c r="G547" s="61"/>
      <c r="H547" s="61"/>
      <c r="I547" s="81"/>
      <c r="J547" s="81"/>
      <c r="K547" s="60"/>
      <c r="L547" s="60"/>
      <c r="M547" s="60"/>
      <c r="N547" s="60"/>
      <c r="O547" s="60"/>
      <c r="P547" s="60"/>
      <c r="Q547" s="60"/>
      <c r="R547" s="58"/>
      <c r="S547" s="62" t="str">
        <f aca="false">IF(OR(B547="",V547=""),"",IFERROR(INDEX(C_TIPO,MATCH(V547&amp;"-P"&amp;MAX(1,COUNTIFS(C_RUTN,V547,C_DEF,"Sí",C_INI,"&lt;="&amp;EOMONTH(B547,0))),C_CLAVE,0))&amp;"","Sin contrato"))</f>
        <v/>
      </c>
      <c r="T547" s="63" t="str">
        <f aca="false">IF(OR(B547="",N(O547)=0),"",N(O547)+ROUND(MIN(N(N547),TOPE_UF*UF_MES)*(TASA_EMP+MUTUAL),0)+ROUND(MIN(N(N547),TOPE_AFC_UF*UF_MES)*IF(S547="Indefinido",AFC_INDEF,AFC_PF),0))</f>
        <v/>
      </c>
      <c r="U547" s="62" t="str">
        <f aca="false">IF(C547="","",IF(LEFT(D547,1)="⚠","⚠ RUT no registrado en Trabajadores",IF(B547="","⚠ Falta el mes",IF(OR(ISTEXT(I547),ISTEXT(J547)),"⚠ Atrasos u horas extra como texto: escriba hh:mm (ej. 1:30)",IF(AND(ISNUMBER(Q547),COUNTIFS(M_RUTN,V547,M_MES,B547,M_LIQ,"&lt;&gt;")&gt;1),"⚠ Liquidación repetida en el mes",IF(AND(ISNUMBER(O547),ISNUMBER(P547),ISNUMBER(Q547),ABS(O547-P547-Q547)&gt;1),"⚠ Haberes − descuentos no da el líquido","OK"))))))</f>
        <v/>
      </c>
      <c r="V547" s="62" t="str">
        <f aca="false">IF(C547="","",IFERROR(VALUE(LEFT(UPPER(SUBSTITUTE(SUBSTITUTE(SUBSTITUTE(TRIM(C547),".",""),"-","")," ","")),LEN(UPPER(SUBSTITUTE(SUBSTITUTE(SUBSTITUTE(TRIM(C547),".",""),"-","")," ","")))-1))&amp;RIGHT(UPPER(SUBSTITUTE(SUBSTITUTE(SUBSTITUTE(TRIM(C547),".",""),"-","")," ","")),1),UPPER(SUBSTITUTE(SUBSTITUTE(SUBSTITUTE(TRIM(C547),".",""),"-","")," ",""))))</f>
        <v/>
      </c>
    </row>
    <row r="548" customFormat="false" ht="15" hidden="false" customHeight="false" outlineLevel="0" collapsed="false">
      <c r="B548" s="80"/>
      <c r="C548" s="58"/>
      <c r="D548" s="62" t="str">
        <f aca="false">IF(C548="","",IFERROR(INDEX(T_NOMBRE,MATCH(V548,T_RUTN,0)),"⚠ RUT no está en Trabajadores"))</f>
        <v/>
      </c>
      <c r="E548" s="61"/>
      <c r="F548" s="61"/>
      <c r="G548" s="61"/>
      <c r="H548" s="61"/>
      <c r="I548" s="81"/>
      <c r="J548" s="81"/>
      <c r="K548" s="60"/>
      <c r="L548" s="60"/>
      <c r="M548" s="60"/>
      <c r="N548" s="60"/>
      <c r="O548" s="60"/>
      <c r="P548" s="60"/>
      <c r="Q548" s="60"/>
      <c r="R548" s="58"/>
      <c r="S548" s="62" t="str">
        <f aca="false">IF(OR(B548="",V548=""),"",IFERROR(INDEX(C_TIPO,MATCH(V548&amp;"-P"&amp;MAX(1,COUNTIFS(C_RUTN,V548,C_DEF,"Sí",C_INI,"&lt;="&amp;EOMONTH(B548,0))),C_CLAVE,0))&amp;"","Sin contrato"))</f>
        <v/>
      </c>
      <c r="T548" s="63" t="str">
        <f aca="false">IF(OR(B548="",N(O548)=0),"",N(O548)+ROUND(MIN(N(N548),TOPE_UF*UF_MES)*(TASA_EMP+MUTUAL),0)+ROUND(MIN(N(N548),TOPE_AFC_UF*UF_MES)*IF(S548="Indefinido",AFC_INDEF,AFC_PF),0))</f>
        <v/>
      </c>
      <c r="U548" s="62" t="str">
        <f aca="false">IF(C548="","",IF(LEFT(D548,1)="⚠","⚠ RUT no registrado en Trabajadores",IF(B548="","⚠ Falta el mes",IF(OR(ISTEXT(I548),ISTEXT(J548)),"⚠ Atrasos u horas extra como texto: escriba hh:mm (ej. 1:30)",IF(AND(ISNUMBER(Q548),COUNTIFS(M_RUTN,V548,M_MES,B548,M_LIQ,"&lt;&gt;")&gt;1),"⚠ Liquidación repetida en el mes",IF(AND(ISNUMBER(O548),ISNUMBER(P548),ISNUMBER(Q548),ABS(O548-P548-Q548)&gt;1),"⚠ Haberes − descuentos no da el líquido","OK"))))))</f>
        <v/>
      </c>
      <c r="V548" s="62" t="str">
        <f aca="false">IF(C548="","",IFERROR(VALUE(LEFT(UPPER(SUBSTITUTE(SUBSTITUTE(SUBSTITUTE(TRIM(C548),".",""),"-","")," ","")),LEN(UPPER(SUBSTITUTE(SUBSTITUTE(SUBSTITUTE(TRIM(C548),".",""),"-","")," ","")))-1))&amp;RIGHT(UPPER(SUBSTITUTE(SUBSTITUTE(SUBSTITUTE(TRIM(C548),".",""),"-","")," ","")),1),UPPER(SUBSTITUTE(SUBSTITUTE(SUBSTITUTE(TRIM(C548),".",""),"-","")," ",""))))</f>
        <v/>
      </c>
    </row>
    <row r="549" customFormat="false" ht="15" hidden="false" customHeight="false" outlineLevel="0" collapsed="false">
      <c r="B549" s="80"/>
      <c r="C549" s="58"/>
      <c r="D549" s="62" t="str">
        <f aca="false">IF(C549="","",IFERROR(INDEX(T_NOMBRE,MATCH(V549,T_RUTN,0)),"⚠ RUT no está en Trabajadores"))</f>
        <v/>
      </c>
      <c r="E549" s="61"/>
      <c r="F549" s="61"/>
      <c r="G549" s="61"/>
      <c r="H549" s="61"/>
      <c r="I549" s="81"/>
      <c r="J549" s="81"/>
      <c r="K549" s="60"/>
      <c r="L549" s="60"/>
      <c r="M549" s="60"/>
      <c r="N549" s="60"/>
      <c r="O549" s="60"/>
      <c r="P549" s="60"/>
      <c r="Q549" s="60"/>
      <c r="R549" s="58"/>
      <c r="S549" s="62" t="str">
        <f aca="false">IF(OR(B549="",V549=""),"",IFERROR(INDEX(C_TIPO,MATCH(V549&amp;"-P"&amp;MAX(1,COUNTIFS(C_RUTN,V549,C_DEF,"Sí",C_INI,"&lt;="&amp;EOMONTH(B549,0))),C_CLAVE,0))&amp;"","Sin contrato"))</f>
        <v/>
      </c>
      <c r="T549" s="63" t="str">
        <f aca="false">IF(OR(B549="",N(O549)=0),"",N(O549)+ROUND(MIN(N(N549),TOPE_UF*UF_MES)*(TASA_EMP+MUTUAL),0)+ROUND(MIN(N(N549),TOPE_AFC_UF*UF_MES)*IF(S549="Indefinido",AFC_INDEF,AFC_PF),0))</f>
        <v/>
      </c>
      <c r="U549" s="62" t="str">
        <f aca="false">IF(C549="","",IF(LEFT(D549,1)="⚠","⚠ RUT no registrado en Trabajadores",IF(B549="","⚠ Falta el mes",IF(OR(ISTEXT(I549),ISTEXT(J549)),"⚠ Atrasos u horas extra como texto: escriba hh:mm (ej. 1:30)",IF(AND(ISNUMBER(Q549),COUNTIFS(M_RUTN,V549,M_MES,B549,M_LIQ,"&lt;&gt;")&gt;1),"⚠ Liquidación repetida en el mes",IF(AND(ISNUMBER(O549),ISNUMBER(P549),ISNUMBER(Q549),ABS(O549-P549-Q549)&gt;1),"⚠ Haberes − descuentos no da el líquido","OK"))))))</f>
        <v/>
      </c>
      <c r="V549" s="62" t="str">
        <f aca="false">IF(C549="","",IFERROR(VALUE(LEFT(UPPER(SUBSTITUTE(SUBSTITUTE(SUBSTITUTE(TRIM(C549),".",""),"-","")," ","")),LEN(UPPER(SUBSTITUTE(SUBSTITUTE(SUBSTITUTE(TRIM(C549),".",""),"-","")," ","")))-1))&amp;RIGHT(UPPER(SUBSTITUTE(SUBSTITUTE(SUBSTITUTE(TRIM(C549),".",""),"-","")," ","")),1),UPPER(SUBSTITUTE(SUBSTITUTE(SUBSTITUTE(TRIM(C549),".",""),"-","")," ",""))))</f>
        <v/>
      </c>
    </row>
    <row r="550" customFormat="false" ht="15" hidden="false" customHeight="false" outlineLevel="0" collapsed="false">
      <c r="B550" s="80"/>
      <c r="C550" s="58"/>
      <c r="D550" s="62" t="str">
        <f aca="false">IF(C550="","",IFERROR(INDEX(T_NOMBRE,MATCH(V550,T_RUTN,0)),"⚠ RUT no está en Trabajadores"))</f>
        <v/>
      </c>
      <c r="E550" s="61"/>
      <c r="F550" s="61"/>
      <c r="G550" s="61"/>
      <c r="H550" s="61"/>
      <c r="I550" s="81"/>
      <c r="J550" s="81"/>
      <c r="K550" s="60"/>
      <c r="L550" s="60"/>
      <c r="M550" s="60"/>
      <c r="N550" s="60"/>
      <c r="O550" s="60"/>
      <c r="P550" s="60"/>
      <c r="Q550" s="60"/>
      <c r="R550" s="58"/>
      <c r="S550" s="62" t="str">
        <f aca="false">IF(OR(B550="",V550=""),"",IFERROR(INDEX(C_TIPO,MATCH(V550&amp;"-P"&amp;MAX(1,COUNTIFS(C_RUTN,V550,C_DEF,"Sí",C_INI,"&lt;="&amp;EOMONTH(B550,0))),C_CLAVE,0))&amp;"","Sin contrato"))</f>
        <v/>
      </c>
      <c r="T550" s="63" t="str">
        <f aca="false">IF(OR(B550="",N(O550)=0),"",N(O550)+ROUND(MIN(N(N550),TOPE_UF*UF_MES)*(TASA_EMP+MUTUAL),0)+ROUND(MIN(N(N550),TOPE_AFC_UF*UF_MES)*IF(S550="Indefinido",AFC_INDEF,AFC_PF),0))</f>
        <v/>
      </c>
      <c r="U550" s="62" t="str">
        <f aca="false">IF(C550="","",IF(LEFT(D550,1)="⚠","⚠ RUT no registrado en Trabajadores",IF(B550="","⚠ Falta el mes",IF(OR(ISTEXT(I550),ISTEXT(J550)),"⚠ Atrasos u horas extra como texto: escriba hh:mm (ej. 1:30)",IF(AND(ISNUMBER(Q550),COUNTIFS(M_RUTN,V550,M_MES,B550,M_LIQ,"&lt;&gt;")&gt;1),"⚠ Liquidación repetida en el mes",IF(AND(ISNUMBER(O550),ISNUMBER(P550),ISNUMBER(Q550),ABS(O550-P550-Q550)&gt;1),"⚠ Haberes − descuentos no da el líquido","OK"))))))</f>
        <v/>
      </c>
      <c r="V550" s="62" t="str">
        <f aca="false">IF(C550="","",IFERROR(VALUE(LEFT(UPPER(SUBSTITUTE(SUBSTITUTE(SUBSTITUTE(TRIM(C550),".",""),"-","")," ","")),LEN(UPPER(SUBSTITUTE(SUBSTITUTE(SUBSTITUTE(TRIM(C550),".",""),"-","")," ","")))-1))&amp;RIGHT(UPPER(SUBSTITUTE(SUBSTITUTE(SUBSTITUTE(TRIM(C550),".",""),"-","")," ","")),1),UPPER(SUBSTITUTE(SUBSTITUTE(SUBSTITUTE(TRIM(C550),".",""),"-","")," ",""))))</f>
        <v/>
      </c>
    </row>
    <row r="551" customFormat="false" ht="15" hidden="false" customHeight="false" outlineLevel="0" collapsed="false">
      <c r="B551" s="80"/>
      <c r="C551" s="58"/>
      <c r="D551" s="62" t="str">
        <f aca="false">IF(C551="","",IFERROR(INDEX(T_NOMBRE,MATCH(V551,T_RUTN,0)),"⚠ RUT no está en Trabajadores"))</f>
        <v/>
      </c>
      <c r="E551" s="61"/>
      <c r="F551" s="61"/>
      <c r="G551" s="61"/>
      <c r="H551" s="61"/>
      <c r="I551" s="81"/>
      <c r="J551" s="81"/>
      <c r="K551" s="60"/>
      <c r="L551" s="60"/>
      <c r="M551" s="60"/>
      <c r="N551" s="60"/>
      <c r="O551" s="60"/>
      <c r="P551" s="60"/>
      <c r="Q551" s="60"/>
      <c r="R551" s="58"/>
      <c r="S551" s="62" t="str">
        <f aca="false">IF(OR(B551="",V551=""),"",IFERROR(INDEX(C_TIPO,MATCH(V551&amp;"-P"&amp;MAX(1,COUNTIFS(C_RUTN,V551,C_DEF,"Sí",C_INI,"&lt;="&amp;EOMONTH(B551,0))),C_CLAVE,0))&amp;"","Sin contrato"))</f>
        <v/>
      </c>
      <c r="T551" s="63" t="str">
        <f aca="false">IF(OR(B551="",N(O551)=0),"",N(O551)+ROUND(MIN(N(N551),TOPE_UF*UF_MES)*(TASA_EMP+MUTUAL),0)+ROUND(MIN(N(N551),TOPE_AFC_UF*UF_MES)*IF(S551="Indefinido",AFC_INDEF,AFC_PF),0))</f>
        <v/>
      </c>
      <c r="U551" s="62" t="str">
        <f aca="false">IF(C551="","",IF(LEFT(D551,1)="⚠","⚠ RUT no registrado en Trabajadores",IF(B551="","⚠ Falta el mes",IF(OR(ISTEXT(I551),ISTEXT(J551)),"⚠ Atrasos u horas extra como texto: escriba hh:mm (ej. 1:30)",IF(AND(ISNUMBER(Q551),COUNTIFS(M_RUTN,V551,M_MES,B551,M_LIQ,"&lt;&gt;")&gt;1),"⚠ Liquidación repetida en el mes",IF(AND(ISNUMBER(O551),ISNUMBER(P551),ISNUMBER(Q551),ABS(O551-P551-Q551)&gt;1),"⚠ Haberes − descuentos no da el líquido","OK"))))))</f>
        <v/>
      </c>
      <c r="V551" s="62" t="str">
        <f aca="false">IF(C551="","",IFERROR(VALUE(LEFT(UPPER(SUBSTITUTE(SUBSTITUTE(SUBSTITUTE(TRIM(C551),".",""),"-","")," ","")),LEN(UPPER(SUBSTITUTE(SUBSTITUTE(SUBSTITUTE(TRIM(C551),".",""),"-","")," ","")))-1))&amp;RIGHT(UPPER(SUBSTITUTE(SUBSTITUTE(SUBSTITUTE(TRIM(C551),".",""),"-","")," ","")),1),UPPER(SUBSTITUTE(SUBSTITUTE(SUBSTITUTE(TRIM(C551),".",""),"-","")," ",""))))</f>
        <v/>
      </c>
    </row>
    <row r="552" customFormat="false" ht="15" hidden="false" customHeight="false" outlineLevel="0" collapsed="false">
      <c r="B552" s="80"/>
      <c r="C552" s="58"/>
      <c r="D552" s="62" t="str">
        <f aca="false">IF(C552="","",IFERROR(INDEX(T_NOMBRE,MATCH(V552,T_RUTN,0)),"⚠ RUT no está en Trabajadores"))</f>
        <v/>
      </c>
      <c r="E552" s="61"/>
      <c r="F552" s="61"/>
      <c r="G552" s="61"/>
      <c r="H552" s="61"/>
      <c r="I552" s="81"/>
      <c r="J552" s="81"/>
      <c r="K552" s="60"/>
      <c r="L552" s="60"/>
      <c r="M552" s="60"/>
      <c r="N552" s="60"/>
      <c r="O552" s="60"/>
      <c r="P552" s="60"/>
      <c r="Q552" s="60"/>
      <c r="R552" s="58"/>
      <c r="S552" s="62" t="str">
        <f aca="false">IF(OR(B552="",V552=""),"",IFERROR(INDEX(C_TIPO,MATCH(V552&amp;"-P"&amp;MAX(1,COUNTIFS(C_RUTN,V552,C_DEF,"Sí",C_INI,"&lt;="&amp;EOMONTH(B552,0))),C_CLAVE,0))&amp;"","Sin contrato"))</f>
        <v/>
      </c>
      <c r="T552" s="63" t="str">
        <f aca="false">IF(OR(B552="",N(O552)=0),"",N(O552)+ROUND(MIN(N(N552),TOPE_UF*UF_MES)*(TASA_EMP+MUTUAL),0)+ROUND(MIN(N(N552),TOPE_AFC_UF*UF_MES)*IF(S552="Indefinido",AFC_INDEF,AFC_PF),0))</f>
        <v/>
      </c>
      <c r="U552" s="62" t="str">
        <f aca="false">IF(C552="","",IF(LEFT(D552,1)="⚠","⚠ RUT no registrado en Trabajadores",IF(B552="","⚠ Falta el mes",IF(OR(ISTEXT(I552),ISTEXT(J552)),"⚠ Atrasos u horas extra como texto: escriba hh:mm (ej. 1:30)",IF(AND(ISNUMBER(Q552),COUNTIFS(M_RUTN,V552,M_MES,B552,M_LIQ,"&lt;&gt;")&gt;1),"⚠ Liquidación repetida en el mes",IF(AND(ISNUMBER(O552),ISNUMBER(P552),ISNUMBER(Q552),ABS(O552-P552-Q552)&gt;1),"⚠ Haberes − descuentos no da el líquido","OK"))))))</f>
        <v/>
      </c>
      <c r="V552" s="62" t="str">
        <f aca="false">IF(C552="","",IFERROR(VALUE(LEFT(UPPER(SUBSTITUTE(SUBSTITUTE(SUBSTITUTE(TRIM(C552),".",""),"-","")," ","")),LEN(UPPER(SUBSTITUTE(SUBSTITUTE(SUBSTITUTE(TRIM(C552),".",""),"-","")," ","")))-1))&amp;RIGHT(UPPER(SUBSTITUTE(SUBSTITUTE(SUBSTITUTE(TRIM(C552),".",""),"-","")," ","")),1),UPPER(SUBSTITUTE(SUBSTITUTE(SUBSTITUTE(TRIM(C552),".",""),"-","")," ",""))))</f>
        <v/>
      </c>
    </row>
    <row r="553" customFormat="false" ht="15" hidden="false" customHeight="false" outlineLevel="0" collapsed="false">
      <c r="B553" s="80"/>
      <c r="C553" s="58"/>
      <c r="D553" s="62" t="str">
        <f aca="false">IF(C553="","",IFERROR(INDEX(T_NOMBRE,MATCH(V553,T_RUTN,0)),"⚠ RUT no está en Trabajadores"))</f>
        <v/>
      </c>
      <c r="E553" s="61"/>
      <c r="F553" s="61"/>
      <c r="G553" s="61"/>
      <c r="H553" s="61"/>
      <c r="I553" s="81"/>
      <c r="J553" s="81"/>
      <c r="K553" s="60"/>
      <c r="L553" s="60"/>
      <c r="M553" s="60"/>
      <c r="N553" s="60"/>
      <c r="O553" s="60"/>
      <c r="P553" s="60"/>
      <c r="Q553" s="60"/>
      <c r="R553" s="58"/>
      <c r="S553" s="62" t="str">
        <f aca="false">IF(OR(B553="",V553=""),"",IFERROR(INDEX(C_TIPO,MATCH(V553&amp;"-P"&amp;MAX(1,COUNTIFS(C_RUTN,V553,C_DEF,"Sí",C_INI,"&lt;="&amp;EOMONTH(B553,0))),C_CLAVE,0))&amp;"","Sin contrato"))</f>
        <v/>
      </c>
      <c r="T553" s="63" t="str">
        <f aca="false">IF(OR(B553="",N(O553)=0),"",N(O553)+ROUND(MIN(N(N553),TOPE_UF*UF_MES)*(TASA_EMP+MUTUAL),0)+ROUND(MIN(N(N553),TOPE_AFC_UF*UF_MES)*IF(S553="Indefinido",AFC_INDEF,AFC_PF),0))</f>
        <v/>
      </c>
      <c r="U553" s="62" t="str">
        <f aca="false">IF(C553="","",IF(LEFT(D553,1)="⚠","⚠ RUT no registrado en Trabajadores",IF(B553="","⚠ Falta el mes",IF(OR(ISTEXT(I553),ISTEXT(J553)),"⚠ Atrasos u horas extra como texto: escriba hh:mm (ej. 1:30)",IF(AND(ISNUMBER(Q553),COUNTIFS(M_RUTN,V553,M_MES,B553,M_LIQ,"&lt;&gt;")&gt;1),"⚠ Liquidación repetida en el mes",IF(AND(ISNUMBER(O553),ISNUMBER(P553),ISNUMBER(Q553),ABS(O553-P553-Q553)&gt;1),"⚠ Haberes − descuentos no da el líquido","OK"))))))</f>
        <v/>
      </c>
      <c r="V553" s="62" t="str">
        <f aca="false">IF(C553="","",IFERROR(VALUE(LEFT(UPPER(SUBSTITUTE(SUBSTITUTE(SUBSTITUTE(TRIM(C553),".",""),"-","")," ","")),LEN(UPPER(SUBSTITUTE(SUBSTITUTE(SUBSTITUTE(TRIM(C553),".",""),"-","")," ","")))-1))&amp;RIGHT(UPPER(SUBSTITUTE(SUBSTITUTE(SUBSTITUTE(TRIM(C553),".",""),"-","")," ","")),1),UPPER(SUBSTITUTE(SUBSTITUTE(SUBSTITUTE(TRIM(C553),".",""),"-","")," ",""))))</f>
        <v/>
      </c>
    </row>
    <row r="554" customFormat="false" ht="15" hidden="false" customHeight="false" outlineLevel="0" collapsed="false">
      <c r="B554" s="80"/>
      <c r="C554" s="58"/>
      <c r="D554" s="62" t="str">
        <f aca="false">IF(C554="","",IFERROR(INDEX(T_NOMBRE,MATCH(V554,T_RUTN,0)),"⚠ RUT no está en Trabajadores"))</f>
        <v/>
      </c>
      <c r="E554" s="61"/>
      <c r="F554" s="61"/>
      <c r="G554" s="61"/>
      <c r="H554" s="61"/>
      <c r="I554" s="81"/>
      <c r="J554" s="81"/>
      <c r="K554" s="60"/>
      <c r="L554" s="60"/>
      <c r="M554" s="60"/>
      <c r="N554" s="60"/>
      <c r="O554" s="60"/>
      <c r="P554" s="60"/>
      <c r="Q554" s="60"/>
      <c r="R554" s="58"/>
      <c r="S554" s="62" t="str">
        <f aca="false">IF(OR(B554="",V554=""),"",IFERROR(INDEX(C_TIPO,MATCH(V554&amp;"-P"&amp;MAX(1,COUNTIFS(C_RUTN,V554,C_DEF,"Sí",C_INI,"&lt;="&amp;EOMONTH(B554,0))),C_CLAVE,0))&amp;"","Sin contrato"))</f>
        <v/>
      </c>
      <c r="T554" s="63" t="str">
        <f aca="false">IF(OR(B554="",N(O554)=0),"",N(O554)+ROUND(MIN(N(N554),TOPE_UF*UF_MES)*(TASA_EMP+MUTUAL),0)+ROUND(MIN(N(N554),TOPE_AFC_UF*UF_MES)*IF(S554="Indefinido",AFC_INDEF,AFC_PF),0))</f>
        <v/>
      </c>
      <c r="U554" s="62" t="str">
        <f aca="false">IF(C554="","",IF(LEFT(D554,1)="⚠","⚠ RUT no registrado en Trabajadores",IF(B554="","⚠ Falta el mes",IF(OR(ISTEXT(I554),ISTEXT(J554)),"⚠ Atrasos u horas extra como texto: escriba hh:mm (ej. 1:30)",IF(AND(ISNUMBER(Q554),COUNTIFS(M_RUTN,V554,M_MES,B554,M_LIQ,"&lt;&gt;")&gt;1),"⚠ Liquidación repetida en el mes",IF(AND(ISNUMBER(O554),ISNUMBER(P554),ISNUMBER(Q554),ABS(O554-P554-Q554)&gt;1),"⚠ Haberes − descuentos no da el líquido","OK"))))))</f>
        <v/>
      </c>
      <c r="V554" s="62" t="str">
        <f aca="false">IF(C554="","",IFERROR(VALUE(LEFT(UPPER(SUBSTITUTE(SUBSTITUTE(SUBSTITUTE(TRIM(C554),".",""),"-","")," ","")),LEN(UPPER(SUBSTITUTE(SUBSTITUTE(SUBSTITUTE(TRIM(C554),".",""),"-","")," ","")))-1))&amp;RIGHT(UPPER(SUBSTITUTE(SUBSTITUTE(SUBSTITUTE(TRIM(C554),".",""),"-","")," ","")),1),UPPER(SUBSTITUTE(SUBSTITUTE(SUBSTITUTE(TRIM(C554),".",""),"-","")," ",""))))</f>
        <v/>
      </c>
    </row>
    <row r="555" customFormat="false" ht="15" hidden="false" customHeight="false" outlineLevel="0" collapsed="false">
      <c r="B555" s="80"/>
      <c r="C555" s="58"/>
      <c r="D555" s="62" t="str">
        <f aca="false">IF(C555="","",IFERROR(INDEX(T_NOMBRE,MATCH(V555,T_RUTN,0)),"⚠ RUT no está en Trabajadores"))</f>
        <v/>
      </c>
      <c r="E555" s="61"/>
      <c r="F555" s="61"/>
      <c r="G555" s="61"/>
      <c r="H555" s="61"/>
      <c r="I555" s="81"/>
      <c r="J555" s="81"/>
      <c r="K555" s="60"/>
      <c r="L555" s="60"/>
      <c r="M555" s="60"/>
      <c r="N555" s="60"/>
      <c r="O555" s="60"/>
      <c r="P555" s="60"/>
      <c r="Q555" s="60"/>
      <c r="R555" s="58"/>
      <c r="S555" s="62" t="str">
        <f aca="false">IF(OR(B555="",V555=""),"",IFERROR(INDEX(C_TIPO,MATCH(V555&amp;"-P"&amp;MAX(1,COUNTIFS(C_RUTN,V555,C_DEF,"Sí",C_INI,"&lt;="&amp;EOMONTH(B555,0))),C_CLAVE,0))&amp;"","Sin contrato"))</f>
        <v/>
      </c>
      <c r="T555" s="63" t="str">
        <f aca="false">IF(OR(B555="",N(O555)=0),"",N(O555)+ROUND(MIN(N(N555),TOPE_UF*UF_MES)*(TASA_EMP+MUTUAL),0)+ROUND(MIN(N(N555),TOPE_AFC_UF*UF_MES)*IF(S555="Indefinido",AFC_INDEF,AFC_PF),0))</f>
        <v/>
      </c>
      <c r="U555" s="62" t="str">
        <f aca="false">IF(C555="","",IF(LEFT(D555,1)="⚠","⚠ RUT no registrado en Trabajadores",IF(B555="","⚠ Falta el mes",IF(OR(ISTEXT(I555),ISTEXT(J555)),"⚠ Atrasos u horas extra como texto: escriba hh:mm (ej. 1:30)",IF(AND(ISNUMBER(Q555),COUNTIFS(M_RUTN,V555,M_MES,B555,M_LIQ,"&lt;&gt;")&gt;1),"⚠ Liquidación repetida en el mes",IF(AND(ISNUMBER(O555),ISNUMBER(P555),ISNUMBER(Q555),ABS(O555-P555-Q555)&gt;1),"⚠ Haberes − descuentos no da el líquido","OK"))))))</f>
        <v/>
      </c>
      <c r="V555" s="62" t="str">
        <f aca="false">IF(C555="","",IFERROR(VALUE(LEFT(UPPER(SUBSTITUTE(SUBSTITUTE(SUBSTITUTE(TRIM(C555),".",""),"-","")," ","")),LEN(UPPER(SUBSTITUTE(SUBSTITUTE(SUBSTITUTE(TRIM(C555),".",""),"-","")," ","")))-1))&amp;RIGHT(UPPER(SUBSTITUTE(SUBSTITUTE(SUBSTITUTE(TRIM(C555),".",""),"-","")," ","")),1),UPPER(SUBSTITUTE(SUBSTITUTE(SUBSTITUTE(TRIM(C555),".",""),"-","")," ",""))))</f>
        <v/>
      </c>
    </row>
    <row r="556" customFormat="false" ht="15" hidden="false" customHeight="false" outlineLevel="0" collapsed="false">
      <c r="B556" s="80"/>
      <c r="C556" s="58"/>
      <c r="D556" s="62" t="str">
        <f aca="false">IF(C556="","",IFERROR(INDEX(T_NOMBRE,MATCH(V556,T_RUTN,0)),"⚠ RUT no está en Trabajadores"))</f>
        <v/>
      </c>
      <c r="E556" s="61"/>
      <c r="F556" s="61"/>
      <c r="G556" s="61"/>
      <c r="H556" s="61"/>
      <c r="I556" s="81"/>
      <c r="J556" s="81"/>
      <c r="K556" s="60"/>
      <c r="L556" s="60"/>
      <c r="M556" s="60"/>
      <c r="N556" s="60"/>
      <c r="O556" s="60"/>
      <c r="P556" s="60"/>
      <c r="Q556" s="60"/>
      <c r="R556" s="58"/>
      <c r="S556" s="62" t="str">
        <f aca="false">IF(OR(B556="",V556=""),"",IFERROR(INDEX(C_TIPO,MATCH(V556&amp;"-P"&amp;MAX(1,COUNTIFS(C_RUTN,V556,C_DEF,"Sí",C_INI,"&lt;="&amp;EOMONTH(B556,0))),C_CLAVE,0))&amp;"","Sin contrato"))</f>
        <v/>
      </c>
      <c r="T556" s="63" t="str">
        <f aca="false">IF(OR(B556="",N(O556)=0),"",N(O556)+ROUND(MIN(N(N556),TOPE_UF*UF_MES)*(TASA_EMP+MUTUAL),0)+ROUND(MIN(N(N556),TOPE_AFC_UF*UF_MES)*IF(S556="Indefinido",AFC_INDEF,AFC_PF),0))</f>
        <v/>
      </c>
      <c r="U556" s="62" t="str">
        <f aca="false">IF(C556="","",IF(LEFT(D556,1)="⚠","⚠ RUT no registrado en Trabajadores",IF(B556="","⚠ Falta el mes",IF(OR(ISTEXT(I556),ISTEXT(J556)),"⚠ Atrasos u horas extra como texto: escriba hh:mm (ej. 1:30)",IF(AND(ISNUMBER(Q556),COUNTIFS(M_RUTN,V556,M_MES,B556,M_LIQ,"&lt;&gt;")&gt;1),"⚠ Liquidación repetida en el mes",IF(AND(ISNUMBER(O556),ISNUMBER(P556),ISNUMBER(Q556),ABS(O556-P556-Q556)&gt;1),"⚠ Haberes − descuentos no da el líquido","OK"))))))</f>
        <v/>
      </c>
      <c r="V556" s="62" t="str">
        <f aca="false">IF(C556="","",IFERROR(VALUE(LEFT(UPPER(SUBSTITUTE(SUBSTITUTE(SUBSTITUTE(TRIM(C556),".",""),"-","")," ","")),LEN(UPPER(SUBSTITUTE(SUBSTITUTE(SUBSTITUTE(TRIM(C556),".",""),"-","")," ","")))-1))&amp;RIGHT(UPPER(SUBSTITUTE(SUBSTITUTE(SUBSTITUTE(TRIM(C556),".",""),"-","")," ","")),1),UPPER(SUBSTITUTE(SUBSTITUTE(SUBSTITUTE(TRIM(C556),".",""),"-","")," ",""))))</f>
        <v/>
      </c>
    </row>
    <row r="557" customFormat="false" ht="15" hidden="false" customHeight="false" outlineLevel="0" collapsed="false">
      <c r="B557" s="80"/>
      <c r="C557" s="58"/>
      <c r="D557" s="62" t="str">
        <f aca="false">IF(C557="","",IFERROR(INDEX(T_NOMBRE,MATCH(V557,T_RUTN,0)),"⚠ RUT no está en Trabajadores"))</f>
        <v/>
      </c>
      <c r="E557" s="61"/>
      <c r="F557" s="61"/>
      <c r="G557" s="61"/>
      <c r="H557" s="61"/>
      <c r="I557" s="81"/>
      <c r="J557" s="81"/>
      <c r="K557" s="60"/>
      <c r="L557" s="60"/>
      <c r="M557" s="60"/>
      <c r="N557" s="60"/>
      <c r="O557" s="60"/>
      <c r="P557" s="60"/>
      <c r="Q557" s="60"/>
      <c r="R557" s="58"/>
      <c r="S557" s="62" t="str">
        <f aca="false">IF(OR(B557="",V557=""),"",IFERROR(INDEX(C_TIPO,MATCH(V557&amp;"-P"&amp;MAX(1,COUNTIFS(C_RUTN,V557,C_DEF,"Sí",C_INI,"&lt;="&amp;EOMONTH(B557,0))),C_CLAVE,0))&amp;"","Sin contrato"))</f>
        <v/>
      </c>
      <c r="T557" s="63" t="str">
        <f aca="false">IF(OR(B557="",N(O557)=0),"",N(O557)+ROUND(MIN(N(N557),TOPE_UF*UF_MES)*(TASA_EMP+MUTUAL),0)+ROUND(MIN(N(N557),TOPE_AFC_UF*UF_MES)*IF(S557="Indefinido",AFC_INDEF,AFC_PF),0))</f>
        <v/>
      </c>
      <c r="U557" s="62" t="str">
        <f aca="false">IF(C557="","",IF(LEFT(D557,1)="⚠","⚠ RUT no registrado en Trabajadores",IF(B557="","⚠ Falta el mes",IF(OR(ISTEXT(I557),ISTEXT(J557)),"⚠ Atrasos u horas extra como texto: escriba hh:mm (ej. 1:30)",IF(AND(ISNUMBER(Q557),COUNTIFS(M_RUTN,V557,M_MES,B557,M_LIQ,"&lt;&gt;")&gt;1),"⚠ Liquidación repetida en el mes",IF(AND(ISNUMBER(O557),ISNUMBER(P557),ISNUMBER(Q557),ABS(O557-P557-Q557)&gt;1),"⚠ Haberes − descuentos no da el líquido","OK"))))))</f>
        <v/>
      </c>
      <c r="V557" s="62" t="str">
        <f aca="false">IF(C557="","",IFERROR(VALUE(LEFT(UPPER(SUBSTITUTE(SUBSTITUTE(SUBSTITUTE(TRIM(C557),".",""),"-","")," ","")),LEN(UPPER(SUBSTITUTE(SUBSTITUTE(SUBSTITUTE(TRIM(C557),".",""),"-","")," ","")))-1))&amp;RIGHT(UPPER(SUBSTITUTE(SUBSTITUTE(SUBSTITUTE(TRIM(C557),".",""),"-","")," ","")),1),UPPER(SUBSTITUTE(SUBSTITUTE(SUBSTITUTE(TRIM(C557),".",""),"-","")," ",""))))</f>
        <v/>
      </c>
    </row>
    <row r="558" customFormat="false" ht="15" hidden="false" customHeight="false" outlineLevel="0" collapsed="false">
      <c r="B558" s="80"/>
      <c r="C558" s="58"/>
      <c r="D558" s="62" t="str">
        <f aca="false">IF(C558="","",IFERROR(INDEX(T_NOMBRE,MATCH(V558,T_RUTN,0)),"⚠ RUT no está en Trabajadores"))</f>
        <v/>
      </c>
      <c r="E558" s="61"/>
      <c r="F558" s="61"/>
      <c r="G558" s="61"/>
      <c r="H558" s="61"/>
      <c r="I558" s="81"/>
      <c r="J558" s="81"/>
      <c r="K558" s="60"/>
      <c r="L558" s="60"/>
      <c r="M558" s="60"/>
      <c r="N558" s="60"/>
      <c r="O558" s="60"/>
      <c r="P558" s="60"/>
      <c r="Q558" s="60"/>
      <c r="R558" s="58"/>
      <c r="S558" s="62" t="str">
        <f aca="false">IF(OR(B558="",V558=""),"",IFERROR(INDEX(C_TIPO,MATCH(V558&amp;"-P"&amp;MAX(1,COUNTIFS(C_RUTN,V558,C_DEF,"Sí",C_INI,"&lt;="&amp;EOMONTH(B558,0))),C_CLAVE,0))&amp;"","Sin contrato"))</f>
        <v/>
      </c>
      <c r="T558" s="63" t="str">
        <f aca="false">IF(OR(B558="",N(O558)=0),"",N(O558)+ROUND(MIN(N(N558),TOPE_UF*UF_MES)*(TASA_EMP+MUTUAL),0)+ROUND(MIN(N(N558),TOPE_AFC_UF*UF_MES)*IF(S558="Indefinido",AFC_INDEF,AFC_PF),0))</f>
        <v/>
      </c>
      <c r="U558" s="62" t="str">
        <f aca="false">IF(C558="","",IF(LEFT(D558,1)="⚠","⚠ RUT no registrado en Trabajadores",IF(B558="","⚠ Falta el mes",IF(OR(ISTEXT(I558),ISTEXT(J558)),"⚠ Atrasos u horas extra como texto: escriba hh:mm (ej. 1:30)",IF(AND(ISNUMBER(Q558),COUNTIFS(M_RUTN,V558,M_MES,B558,M_LIQ,"&lt;&gt;")&gt;1),"⚠ Liquidación repetida en el mes",IF(AND(ISNUMBER(O558),ISNUMBER(P558),ISNUMBER(Q558),ABS(O558-P558-Q558)&gt;1),"⚠ Haberes − descuentos no da el líquido","OK"))))))</f>
        <v/>
      </c>
      <c r="V558" s="62" t="str">
        <f aca="false">IF(C558="","",IFERROR(VALUE(LEFT(UPPER(SUBSTITUTE(SUBSTITUTE(SUBSTITUTE(TRIM(C558),".",""),"-","")," ","")),LEN(UPPER(SUBSTITUTE(SUBSTITUTE(SUBSTITUTE(TRIM(C558),".",""),"-","")," ","")))-1))&amp;RIGHT(UPPER(SUBSTITUTE(SUBSTITUTE(SUBSTITUTE(TRIM(C558),".",""),"-","")," ","")),1),UPPER(SUBSTITUTE(SUBSTITUTE(SUBSTITUTE(TRIM(C558),".",""),"-","")," ",""))))</f>
        <v/>
      </c>
    </row>
    <row r="559" customFormat="false" ht="15" hidden="false" customHeight="false" outlineLevel="0" collapsed="false">
      <c r="B559" s="80"/>
      <c r="C559" s="58"/>
      <c r="D559" s="62" t="str">
        <f aca="false">IF(C559="","",IFERROR(INDEX(T_NOMBRE,MATCH(V559,T_RUTN,0)),"⚠ RUT no está en Trabajadores"))</f>
        <v/>
      </c>
      <c r="E559" s="61"/>
      <c r="F559" s="61"/>
      <c r="G559" s="61"/>
      <c r="H559" s="61"/>
      <c r="I559" s="81"/>
      <c r="J559" s="81"/>
      <c r="K559" s="60"/>
      <c r="L559" s="60"/>
      <c r="M559" s="60"/>
      <c r="N559" s="60"/>
      <c r="O559" s="60"/>
      <c r="P559" s="60"/>
      <c r="Q559" s="60"/>
      <c r="R559" s="58"/>
      <c r="S559" s="62" t="str">
        <f aca="false">IF(OR(B559="",V559=""),"",IFERROR(INDEX(C_TIPO,MATCH(V559&amp;"-P"&amp;MAX(1,COUNTIFS(C_RUTN,V559,C_DEF,"Sí",C_INI,"&lt;="&amp;EOMONTH(B559,0))),C_CLAVE,0))&amp;"","Sin contrato"))</f>
        <v/>
      </c>
      <c r="T559" s="63" t="str">
        <f aca="false">IF(OR(B559="",N(O559)=0),"",N(O559)+ROUND(MIN(N(N559),TOPE_UF*UF_MES)*(TASA_EMP+MUTUAL),0)+ROUND(MIN(N(N559),TOPE_AFC_UF*UF_MES)*IF(S559="Indefinido",AFC_INDEF,AFC_PF),0))</f>
        <v/>
      </c>
      <c r="U559" s="62" t="str">
        <f aca="false">IF(C559="","",IF(LEFT(D559,1)="⚠","⚠ RUT no registrado en Trabajadores",IF(B559="","⚠ Falta el mes",IF(OR(ISTEXT(I559),ISTEXT(J559)),"⚠ Atrasos u horas extra como texto: escriba hh:mm (ej. 1:30)",IF(AND(ISNUMBER(Q559),COUNTIFS(M_RUTN,V559,M_MES,B559,M_LIQ,"&lt;&gt;")&gt;1),"⚠ Liquidación repetida en el mes",IF(AND(ISNUMBER(O559),ISNUMBER(P559),ISNUMBER(Q559),ABS(O559-P559-Q559)&gt;1),"⚠ Haberes − descuentos no da el líquido","OK"))))))</f>
        <v/>
      </c>
      <c r="V559" s="62" t="str">
        <f aca="false">IF(C559="","",IFERROR(VALUE(LEFT(UPPER(SUBSTITUTE(SUBSTITUTE(SUBSTITUTE(TRIM(C559),".",""),"-","")," ","")),LEN(UPPER(SUBSTITUTE(SUBSTITUTE(SUBSTITUTE(TRIM(C559),".",""),"-","")," ","")))-1))&amp;RIGHT(UPPER(SUBSTITUTE(SUBSTITUTE(SUBSTITUTE(TRIM(C559),".",""),"-","")," ","")),1),UPPER(SUBSTITUTE(SUBSTITUTE(SUBSTITUTE(TRIM(C559),".",""),"-","")," ",""))))</f>
        <v/>
      </c>
    </row>
    <row r="560" customFormat="false" ht="15" hidden="false" customHeight="false" outlineLevel="0" collapsed="false">
      <c r="B560" s="80"/>
      <c r="C560" s="58"/>
      <c r="D560" s="62" t="str">
        <f aca="false">IF(C560="","",IFERROR(INDEX(T_NOMBRE,MATCH(V560,T_RUTN,0)),"⚠ RUT no está en Trabajadores"))</f>
        <v/>
      </c>
      <c r="E560" s="61"/>
      <c r="F560" s="61"/>
      <c r="G560" s="61"/>
      <c r="H560" s="61"/>
      <c r="I560" s="81"/>
      <c r="J560" s="81"/>
      <c r="K560" s="60"/>
      <c r="L560" s="60"/>
      <c r="M560" s="60"/>
      <c r="N560" s="60"/>
      <c r="O560" s="60"/>
      <c r="P560" s="60"/>
      <c r="Q560" s="60"/>
      <c r="R560" s="58"/>
      <c r="S560" s="62" t="str">
        <f aca="false">IF(OR(B560="",V560=""),"",IFERROR(INDEX(C_TIPO,MATCH(V560&amp;"-P"&amp;MAX(1,COUNTIFS(C_RUTN,V560,C_DEF,"Sí",C_INI,"&lt;="&amp;EOMONTH(B560,0))),C_CLAVE,0))&amp;"","Sin contrato"))</f>
        <v/>
      </c>
      <c r="T560" s="63" t="str">
        <f aca="false">IF(OR(B560="",N(O560)=0),"",N(O560)+ROUND(MIN(N(N560),TOPE_UF*UF_MES)*(TASA_EMP+MUTUAL),0)+ROUND(MIN(N(N560),TOPE_AFC_UF*UF_MES)*IF(S560="Indefinido",AFC_INDEF,AFC_PF),0))</f>
        <v/>
      </c>
      <c r="U560" s="62" t="str">
        <f aca="false">IF(C560="","",IF(LEFT(D560,1)="⚠","⚠ RUT no registrado en Trabajadores",IF(B560="","⚠ Falta el mes",IF(OR(ISTEXT(I560),ISTEXT(J560)),"⚠ Atrasos u horas extra como texto: escriba hh:mm (ej. 1:30)",IF(AND(ISNUMBER(Q560),COUNTIFS(M_RUTN,V560,M_MES,B560,M_LIQ,"&lt;&gt;")&gt;1),"⚠ Liquidación repetida en el mes",IF(AND(ISNUMBER(O560),ISNUMBER(P560),ISNUMBER(Q560),ABS(O560-P560-Q560)&gt;1),"⚠ Haberes − descuentos no da el líquido","OK"))))))</f>
        <v/>
      </c>
      <c r="V560" s="62" t="str">
        <f aca="false">IF(C560="","",IFERROR(VALUE(LEFT(UPPER(SUBSTITUTE(SUBSTITUTE(SUBSTITUTE(TRIM(C560),".",""),"-","")," ","")),LEN(UPPER(SUBSTITUTE(SUBSTITUTE(SUBSTITUTE(TRIM(C560),".",""),"-","")," ","")))-1))&amp;RIGHT(UPPER(SUBSTITUTE(SUBSTITUTE(SUBSTITUTE(TRIM(C560),".",""),"-","")," ","")),1),UPPER(SUBSTITUTE(SUBSTITUTE(SUBSTITUTE(TRIM(C560),".",""),"-","")," ",""))))</f>
        <v/>
      </c>
    </row>
    <row r="561" customFormat="false" ht="15" hidden="false" customHeight="false" outlineLevel="0" collapsed="false">
      <c r="B561" s="80"/>
      <c r="C561" s="58"/>
      <c r="D561" s="62" t="str">
        <f aca="false">IF(C561="","",IFERROR(INDEX(T_NOMBRE,MATCH(V561,T_RUTN,0)),"⚠ RUT no está en Trabajadores"))</f>
        <v/>
      </c>
      <c r="E561" s="61"/>
      <c r="F561" s="61"/>
      <c r="G561" s="61"/>
      <c r="H561" s="61"/>
      <c r="I561" s="81"/>
      <c r="J561" s="81"/>
      <c r="K561" s="60"/>
      <c r="L561" s="60"/>
      <c r="M561" s="60"/>
      <c r="N561" s="60"/>
      <c r="O561" s="60"/>
      <c r="P561" s="60"/>
      <c r="Q561" s="60"/>
      <c r="R561" s="58"/>
      <c r="S561" s="62" t="str">
        <f aca="false">IF(OR(B561="",V561=""),"",IFERROR(INDEX(C_TIPO,MATCH(V561&amp;"-P"&amp;MAX(1,COUNTIFS(C_RUTN,V561,C_DEF,"Sí",C_INI,"&lt;="&amp;EOMONTH(B561,0))),C_CLAVE,0))&amp;"","Sin contrato"))</f>
        <v/>
      </c>
      <c r="T561" s="63" t="str">
        <f aca="false">IF(OR(B561="",N(O561)=0),"",N(O561)+ROUND(MIN(N(N561),TOPE_UF*UF_MES)*(TASA_EMP+MUTUAL),0)+ROUND(MIN(N(N561),TOPE_AFC_UF*UF_MES)*IF(S561="Indefinido",AFC_INDEF,AFC_PF),0))</f>
        <v/>
      </c>
      <c r="U561" s="62" t="str">
        <f aca="false">IF(C561="","",IF(LEFT(D561,1)="⚠","⚠ RUT no registrado en Trabajadores",IF(B561="","⚠ Falta el mes",IF(OR(ISTEXT(I561),ISTEXT(J561)),"⚠ Atrasos u horas extra como texto: escriba hh:mm (ej. 1:30)",IF(AND(ISNUMBER(Q561),COUNTIFS(M_RUTN,V561,M_MES,B561,M_LIQ,"&lt;&gt;")&gt;1),"⚠ Liquidación repetida en el mes",IF(AND(ISNUMBER(O561),ISNUMBER(P561),ISNUMBER(Q561),ABS(O561-P561-Q561)&gt;1),"⚠ Haberes − descuentos no da el líquido","OK"))))))</f>
        <v/>
      </c>
      <c r="V561" s="62" t="str">
        <f aca="false">IF(C561="","",IFERROR(VALUE(LEFT(UPPER(SUBSTITUTE(SUBSTITUTE(SUBSTITUTE(TRIM(C561),".",""),"-","")," ","")),LEN(UPPER(SUBSTITUTE(SUBSTITUTE(SUBSTITUTE(TRIM(C561),".",""),"-","")," ","")))-1))&amp;RIGHT(UPPER(SUBSTITUTE(SUBSTITUTE(SUBSTITUTE(TRIM(C561),".",""),"-","")," ","")),1),UPPER(SUBSTITUTE(SUBSTITUTE(SUBSTITUTE(TRIM(C561),".",""),"-","")," ",""))))</f>
        <v/>
      </c>
    </row>
    <row r="562" customFormat="false" ht="15" hidden="false" customHeight="false" outlineLevel="0" collapsed="false">
      <c r="B562" s="80"/>
      <c r="C562" s="58"/>
      <c r="D562" s="62" t="str">
        <f aca="false">IF(C562="","",IFERROR(INDEX(T_NOMBRE,MATCH(V562,T_RUTN,0)),"⚠ RUT no está en Trabajadores"))</f>
        <v/>
      </c>
      <c r="E562" s="61"/>
      <c r="F562" s="61"/>
      <c r="G562" s="61"/>
      <c r="H562" s="61"/>
      <c r="I562" s="81"/>
      <c r="J562" s="81"/>
      <c r="K562" s="60"/>
      <c r="L562" s="60"/>
      <c r="M562" s="60"/>
      <c r="N562" s="60"/>
      <c r="O562" s="60"/>
      <c r="P562" s="60"/>
      <c r="Q562" s="60"/>
      <c r="R562" s="58"/>
      <c r="S562" s="62" t="str">
        <f aca="false">IF(OR(B562="",V562=""),"",IFERROR(INDEX(C_TIPO,MATCH(V562&amp;"-P"&amp;MAX(1,COUNTIFS(C_RUTN,V562,C_DEF,"Sí",C_INI,"&lt;="&amp;EOMONTH(B562,0))),C_CLAVE,0))&amp;"","Sin contrato"))</f>
        <v/>
      </c>
      <c r="T562" s="63" t="str">
        <f aca="false">IF(OR(B562="",N(O562)=0),"",N(O562)+ROUND(MIN(N(N562),TOPE_UF*UF_MES)*(TASA_EMP+MUTUAL),0)+ROUND(MIN(N(N562),TOPE_AFC_UF*UF_MES)*IF(S562="Indefinido",AFC_INDEF,AFC_PF),0))</f>
        <v/>
      </c>
      <c r="U562" s="62" t="str">
        <f aca="false">IF(C562="","",IF(LEFT(D562,1)="⚠","⚠ RUT no registrado en Trabajadores",IF(B562="","⚠ Falta el mes",IF(OR(ISTEXT(I562),ISTEXT(J562)),"⚠ Atrasos u horas extra como texto: escriba hh:mm (ej. 1:30)",IF(AND(ISNUMBER(Q562),COUNTIFS(M_RUTN,V562,M_MES,B562,M_LIQ,"&lt;&gt;")&gt;1),"⚠ Liquidación repetida en el mes",IF(AND(ISNUMBER(O562),ISNUMBER(P562),ISNUMBER(Q562),ABS(O562-P562-Q562)&gt;1),"⚠ Haberes − descuentos no da el líquido","OK"))))))</f>
        <v/>
      </c>
      <c r="V562" s="62" t="str">
        <f aca="false">IF(C562="","",IFERROR(VALUE(LEFT(UPPER(SUBSTITUTE(SUBSTITUTE(SUBSTITUTE(TRIM(C562),".",""),"-","")," ","")),LEN(UPPER(SUBSTITUTE(SUBSTITUTE(SUBSTITUTE(TRIM(C562),".",""),"-","")," ","")))-1))&amp;RIGHT(UPPER(SUBSTITUTE(SUBSTITUTE(SUBSTITUTE(TRIM(C562),".",""),"-","")," ","")),1),UPPER(SUBSTITUTE(SUBSTITUTE(SUBSTITUTE(TRIM(C562),".",""),"-","")," ",""))))</f>
        <v/>
      </c>
    </row>
    <row r="563" customFormat="false" ht="15" hidden="false" customHeight="false" outlineLevel="0" collapsed="false">
      <c r="B563" s="80"/>
      <c r="C563" s="58"/>
      <c r="D563" s="62" t="str">
        <f aca="false">IF(C563="","",IFERROR(INDEX(T_NOMBRE,MATCH(V563,T_RUTN,0)),"⚠ RUT no está en Trabajadores"))</f>
        <v/>
      </c>
      <c r="E563" s="61"/>
      <c r="F563" s="61"/>
      <c r="G563" s="61"/>
      <c r="H563" s="61"/>
      <c r="I563" s="81"/>
      <c r="J563" s="81"/>
      <c r="K563" s="60"/>
      <c r="L563" s="60"/>
      <c r="M563" s="60"/>
      <c r="N563" s="60"/>
      <c r="O563" s="60"/>
      <c r="P563" s="60"/>
      <c r="Q563" s="60"/>
      <c r="R563" s="58"/>
      <c r="S563" s="62" t="str">
        <f aca="false">IF(OR(B563="",V563=""),"",IFERROR(INDEX(C_TIPO,MATCH(V563&amp;"-P"&amp;MAX(1,COUNTIFS(C_RUTN,V563,C_DEF,"Sí",C_INI,"&lt;="&amp;EOMONTH(B563,0))),C_CLAVE,0))&amp;"","Sin contrato"))</f>
        <v/>
      </c>
      <c r="T563" s="63" t="str">
        <f aca="false">IF(OR(B563="",N(O563)=0),"",N(O563)+ROUND(MIN(N(N563),TOPE_UF*UF_MES)*(TASA_EMP+MUTUAL),0)+ROUND(MIN(N(N563),TOPE_AFC_UF*UF_MES)*IF(S563="Indefinido",AFC_INDEF,AFC_PF),0))</f>
        <v/>
      </c>
      <c r="U563" s="62" t="str">
        <f aca="false">IF(C563="","",IF(LEFT(D563,1)="⚠","⚠ RUT no registrado en Trabajadores",IF(B563="","⚠ Falta el mes",IF(OR(ISTEXT(I563),ISTEXT(J563)),"⚠ Atrasos u horas extra como texto: escriba hh:mm (ej. 1:30)",IF(AND(ISNUMBER(Q563),COUNTIFS(M_RUTN,V563,M_MES,B563,M_LIQ,"&lt;&gt;")&gt;1),"⚠ Liquidación repetida en el mes",IF(AND(ISNUMBER(O563),ISNUMBER(P563),ISNUMBER(Q563),ABS(O563-P563-Q563)&gt;1),"⚠ Haberes − descuentos no da el líquido","OK"))))))</f>
        <v/>
      </c>
      <c r="V563" s="62" t="str">
        <f aca="false">IF(C563="","",IFERROR(VALUE(LEFT(UPPER(SUBSTITUTE(SUBSTITUTE(SUBSTITUTE(TRIM(C563),".",""),"-","")," ","")),LEN(UPPER(SUBSTITUTE(SUBSTITUTE(SUBSTITUTE(TRIM(C563),".",""),"-","")," ","")))-1))&amp;RIGHT(UPPER(SUBSTITUTE(SUBSTITUTE(SUBSTITUTE(TRIM(C563),".",""),"-","")," ","")),1),UPPER(SUBSTITUTE(SUBSTITUTE(SUBSTITUTE(TRIM(C563),".",""),"-","")," ",""))))</f>
        <v/>
      </c>
    </row>
    <row r="564" customFormat="false" ht="15" hidden="false" customHeight="false" outlineLevel="0" collapsed="false">
      <c r="B564" s="80"/>
      <c r="C564" s="58"/>
      <c r="D564" s="62" t="str">
        <f aca="false">IF(C564="","",IFERROR(INDEX(T_NOMBRE,MATCH(V564,T_RUTN,0)),"⚠ RUT no está en Trabajadores"))</f>
        <v/>
      </c>
      <c r="E564" s="61"/>
      <c r="F564" s="61"/>
      <c r="G564" s="61"/>
      <c r="H564" s="61"/>
      <c r="I564" s="81"/>
      <c r="J564" s="81"/>
      <c r="K564" s="60"/>
      <c r="L564" s="60"/>
      <c r="M564" s="60"/>
      <c r="N564" s="60"/>
      <c r="O564" s="60"/>
      <c r="P564" s="60"/>
      <c r="Q564" s="60"/>
      <c r="R564" s="58"/>
      <c r="S564" s="62" t="str">
        <f aca="false">IF(OR(B564="",V564=""),"",IFERROR(INDEX(C_TIPO,MATCH(V564&amp;"-P"&amp;MAX(1,COUNTIFS(C_RUTN,V564,C_DEF,"Sí",C_INI,"&lt;="&amp;EOMONTH(B564,0))),C_CLAVE,0))&amp;"","Sin contrato"))</f>
        <v/>
      </c>
      <c r="T564" s="63" t="str">
        <f aca="false">IF(OR(B564="",N(O564)=0),"",N(O564)+ROUND(MIN(N(N564),TOPE_UF*UF_MES)*(TASA_EMP+MUTUAL),0)+ROUND(MIN(N(N564),TOPE_AFC_UF*UF_MES)*IF(S564="Indefinido",AFC_INDEF,AFC_PF),0))</f>
        <v/>
      </c>
      <c r="U564" s="62" t="str">
        <f aca="false">IF(C564="","",IF(LEFT(D564,1)="⚠","⚠ RUT no registrado en Trabajadores",IF(B564="","⚠ Falta el mes",IF(OR(ISTEXT(I564),ISTEXT(J564)),"⚠ Atrasos u horas extra como texto: escriba hh:mm (ej. 1:30)",IF(AND(ISNUMBER(Q564),COUNTIFS(M_RUTN,V564,M_MES,B564,M_LIQ,"&lt;&gt;")&gt;1),"⚠ Liquidación repetida en el mes",IF(AND(ISNUMBER(O564),ISNUMBER(P564),ISNUMBER(Q564),ABS(O564-P564-Q564)&gt;1),"⚠ Haberes − descuentos no da el líquido","OK"))))))</f>
        <v/>
      </c>
      <c r="V564" s="62" t="str">
        <f aca="false">IF(C564="","",IFERROR(VALUE(LEFT(UPPER(SUBSTITUTE(SUBSTITUTE(SUBSTITUTE(TRIM(C564),".",""),"-","")," ","")),LEN(UPPER(SUBSTITUTE(SUBSTITUTE(SUBSTITUTE(TRIM(C564),".",""),"-","")," ","")))-1))&amp;RIGHT(UPPER(SUBSTITUTE(SUBSTITUTE(SUBSTITUTE(TRIM(C564),".",""),"-","")," ","")),1),UPPER(SUBSTITUTE(SUBSTITUTE(SUBSTITUTE(TRIM(C564),".",""),"-","")," ",""))))</f>
        <v/>
      </c>
    </row>
    <row r="565" customFormat="false" ht="15" hidden="false" customHeight="false" outlineLevel="0" collapsed="false">
      <c r="B565" s="80"/>
      <c r="C565" s="58"/>
      <c r="D565" s="62" t="str">
        <f aca="false">IF(C565="","",IFERROR(INDEX(T_NOMBRE,MATCH(V565,T_RUTN,0)),"⚠ RUT no está en Trabajadores"))</f>
        <v/>
      </c>
      <c r="E565" s="61"/>
      <c r="F565" s="61"/>
      <c r="G565" s="61"/>
      <c r="H565" s="61"/>
      <c r="I565" s="81"/>
      <c r="J565" s="81"/>
      <c r="K565" s="60"/>
      <c r="L565" s="60"/>
      <c r="M565" s="60"/>
      <c r="N565" s="60"/>
      <c r="O565" s="60"/>
      <c r="P565" s="60"/>
      <c r="Q565" s="60"/>
      <c r="R565" s="58"/>
      <c r="S565" s="62" t="str">
        <f aca="false">IF(OR(B565="",V565=""),"",IFERROR(INDEX(C_TIPO,MATCH(V565&amp;"-P"&amp;MAX(1,COUNTIFS(C_RUTN,V565,C_DEF,"Sí",C_INI,"&lt;="&amp;EOMONTH(B565,0))),C_CLAVE,0))&amp;"","Sin contrato"))</f>
        <v/>
      </c>
      <c r="T565" s="63" t="str">
        <f aca="false">IF(OR(B565="",N(O565)=0),"",N(O565)+ROUND(MIN(N(N565),TOPE_UF*UF_MES)*(TASA_EMP+MUTUAL),0)+ROUND(MIN(N(N565),TOPE_AFC_UF*UF_MES)*IF(S565="Indefinido",AFC_INDEF,AFC_PF),0))</f>
        <v/>
      </c>
      <c r="U565" s="62" t="str">
        <f aca="false">IF(C565="","",IF(LEFT(D565,1)="⚠","⚠ RUT no registrado en Trabajadores",IF(B565="","⚠ Falta el mes",IF(OR(ISTEXT(I565),ISTEXT(J565)),"⚠ Atrasos u horas extra como texto: escriba hh:mm (ej. 1:30)",IF(AND(ISNUMBER(Q565),COUNTIFS(M_RUTN,V565,M_MES,B565,M_LIQ,"&lt;&gt;")&gt;1),"⚠ Liquidación repetida en el mes",IF(AND(ISNUMBER(O565),ISNUMBER(P565),ISNUMBER(Q565),ABS(O565-P565-Q565)&gt;1),"⚠ Haberes − descuentos no da el líquido","OK"))))))</f>
        <v/>
      </c>
      <c r="V565" s="62" t="str">
        <f aca="false">IF(C565="","",IFERROR(VALUE(LEFT(UPPER(SUBSTITUTE(SUBSTITUTE(SUBSTITUTE(TRIM(C565),".",""),"-","")," ","")),LEN(UPPER(SUBSTITUTE(SUBSTITUTE(SUBSTITUTE(TRIM(C565),".",""),"-","")," ","")))-1))&amp;RIGHT(UPPER(SUBSTITUTE(SUBSTITUTE(SUBSTITUTE(TRIM(C565),".",""),"-","")," ","")),1),UPPER(SUBSTITUTE(SUBSTITUTE(SUBSTITUTE(TRIM(C565),".",""),"-","")," ",""))))</f>
        <v/>
      </c>
    </row>
    <row r="566" customFormat="false" ht="15" hidden="false" customHeight="false" outlineLevel="0" collapsed="false">
      <c r="B566" s="80"/>
      <c r="C566" s="58"/>
      <c r="D566" s="62" t="str">
        <f aca="false">IF(C566="","",IFERROR(INDEX(T_NOMBRE,MATCH(V566,T_RUTN,0)),"⚠ RUT no está en Trabajadores"))</f>
        <v/>
      </c>
      <c r="E566" s="61"/>
      <c r="F566" s="61"/>
      <c r="G566" s="61"/>
      <c r="H566" s="61"/>
      <c r="I566" s="81"/>
      <c r="J566" s="81"/>
      <c r="K566" s="60"/>
      <c r="L566" s="60"/>
      <c r="M566" s="60"/>
      <c r="N566" s="60"/>
      <c r="O566" s="60"/>
      <c r="P566" s="60"/>
      <c r="Q566" s="60"/>
      <c r="R566" s="58"/>
      <c r="S566" s="62" t="str">
        <f aca="false">IF(OR(B566="",V566=""),"",IFERROR(INDEX(C_TIPO,MATCH(V566&amp;"-P"&amp;MAX(1,COUNTIFS(C_RUTN,V566,C_DEF,"Sí",C_INI,"&lt;="&amp;EOMONTH(B566,0))),C_CLAVE,0))&amp;"","Sin contrato"))</f>
        <v/>
      </c>
      <c r="T566" s="63" t="str">
        <f aca="false">IF(OR(B566="",N(O566)=0),"",N(O566)+ROUND(MIN(N(N566),TOPE_UF*UF_MES)*(TASA_EMP+MUTUAL),0)+ROUND(MIN(N(N566),TOPE_AFC_UF*UF_MES)*IF(S566="Indefinido",AFC_INDEF,AFC_PF),0))</f>
        <v/>
      </c>
      <c r="U566" s="62" t="str">
        <f aca="false">IF(C566="","",IF(LEFT(D566,1)="⚠","⚠ RUT no registrado en Trabajadores",IF(B566="","⚠ Falta el mes",IF(OR(ISTEXT(I566),ISTEXT(J566)),"⚠ Atrasos u horas extra como texto: escriba hh:mm (ej. 1:30)",IF(AND(ISNUMBER(Q566),COUNTIFS(M_RUTN,V566,M_MES,B566,M_LIQ,"&lt;&gt;")&gt;1),"⚠ Liquidación repetida en el mes",IF(AND(ISNUMBER(O566),ISNUMBER(P566),ISNUMBER(Q566),ABS(O566-P566-Q566)&gt;1),"⚠ Haberes − descuentos no da el líquido","OK"))))))</f>
        <v/>
      </c>
      <c r="V566" s="62" t="str">
        <f aca="false">IF(C566="","",IFERROR(VALUE(LEFT(UPPER(SUBSTITUTE(SUBSTITUTE(SUBSTITUTE(TRIM(C566),".",""),"-","")," ","")),LEN(UPPER(SUBSTITUTE(SUBSTITUTE(SUBSTITUTE(TRIM(C566),".",""),"-","")," ","")))-1))&amp;RIGHT(UPPER(SUBSTITUTE(SUBSTITUTE(SUBSTITUTE(TRIM(C566),".",""),"-","")," ","")),1),UPPER(SUBSTITUTE(SUBSTITUTE(SUBSTITUTE(TRIM(C566),".",""),"-","")," ",""))))</f>
        <v/>
      </c>
    </row>
    <row r="567" customFormat="false" ht="15" hidden="false" customHeight="false" outlineLevel="0" collapsed="false">
      <c r="B567" s="80"/>
      <c r="C567" s="58"/>
      <c r="D567" s="62" t="str">
        <f aca="false">IF(C567="","",IFERROR(INDEX(T_NOMBRE,MATCH(V567,T_RUTN,0)),"⚠ RUT no está en Trabajadores"))</f>
        <v/>
      </c>
      <c r="E567" s="61"/>
      <c r="F567" s="61"/>
      <c r="G567" s="61"/>
      <c r="H567" s="61"/>
      <c r="I567" s="81"/>
      <c r="J567" s="81"/>
      <c r="K567" s="60"/>
      <c r="L567" s="60"/>
      <c r="M567" s="60"/>
      <c r="N567" s="60"/>
      <c r="O567" s="60"/>
      <c r="P567" s="60"/>
      <c r="Q567" s="60"/>
      <c r="R567" s="58"/>
      <c r="S567" s="62" t="str">
        <f aca="false">IF(OR(B567="",V567=""),"",IFERROR(INDEX(C_TIPO,MATCH(V567&amp;"-P"&amp;MAX(1,COUNTIFS(C_RUTN,V567,C_DEF,"Sí",C_INI,"&lt;="&amp;EOMONTH(B567,0))),C_CLAVE,0))&amp;"","Sin contrato"))</f>
        <v/>
      </c>
      <c r="T567" s="63" t="str">
        <f aca="false">IF(OR(B567="",N(O567)=0),"",N(O567)+ROUND(MIN(N(N567),TOPE_UF*UF_MES)*(TASA_EMP+MUTUAL),0)+ROUND(MIN(N(N567),TOPE_AFC_UF*UF_MES)*IF(S567="Indefinido",AFC_INDEF,AFC_PF),0))</f>
        <v/>
      </c>
      <c r="U567" s="62" t="str">
        <f aca="false">IF(C567="","",IF(LEFT(D567,1)="⚠","⚠ RUT no registrado en Trabajadores",IF(B567="","⚠ Falta el mes",IF(OR(ISTEXT(I567),ISTEXT(J567)),"⚠ Atrasos u horas extra como texto: escriba hh:mm (ej. 1:30)",IF(AND(ISNUMBER(Q567),COUNTIFS(M_RUTN,V567,M_MES,B567,M_LIQ,"&lt;&gt;")&gt;1),"⚠ Liquidación repetida en el mes",IF(AND(ISNUMBER(O567),ISNUMBER(P567),ISNUMBER(Q567),ABS(O567-P567-Q567)&gt;1),"⚠ Haberes − descuentos no da el líquido","OK"))))))</f>
        <v/>
      </c>
      <c r="V567" s="62" t="str">
        <f aca="false">IF(C567="","",IFERROR(VALUE(LEFT(UPPER(SUBSTITUTE(SUBSTITUTE(SUBSTITUTE(TRIM(C567),".",""),"-","")," ","")),LEN(UPPER(SUBSTITUTE(SUBSTITUTE(SUBSTITUTE(TRIM(C567),".",""),"-","")," ","")))-1))&amp;RIGHT(UPPER(SUBSTITUTE(SUBSTITUTE(SUBSTITUTE(TRIM(C567),".",""),"-","")," ","")),1),UPPER(SUBSTITUTE(SUBSTITUTE(SUBSTITUTE(TRIM(C567),".",""),"-","")," ",""))))</f>
        <v/>
      </c>
    </row>
    <row r="568" customFormat="false" ht="15" hidden="false" customHeight="false" outlineLevel="0" collapsed="false">
      <c r="B568" s="80"/>
      <c r="C568" s="58"/>
      <c r="D568" s="62" t="str">
        <f aca="false">IF(C568="","",IFERROR(INDEX(T_NOMBRE,MATCH(V568,T_RUTN,0)),"⚠ RUT no está en Trabajadores"))</f>
        <v/>
      </c>
      <c r="E568" s="61"/>
      <c r="F568" s="61"/>
      <c r="G568" s="61"/>
      <c r="H568" s="61"/>
      <c r="I568" s="81"/>
      <c r="J568" s="81"/>
      <c r="K568" s="60"/>
      <c r="L568" s="60"/>
      <c r="M568" s="60"/>
      <c r="N568" s="60"/>
      <c r="O568" s="60"/>
      <c r="P568" s="60"/>
      <c r="Q568" s="60"/>
      <c r="R568" s="58"/>
      <c r="S568" s="62" t="str">
        <f aca="false">IF(OR(B568="",V568=""),"",IFERROR(INDEX(C_TIPO,MATCH(V568&amp;"-P"&amp;MAX(1,COUNTIFS(C_RUTN,V568,C_DEF,"Sí",C_INI,"&lt;="&amp;EOMONTH(B568,0))),C_CLAVE,0))&amp;"","Sin contrato"))</f>
        <v/>
      </c>
      <c r="T568" s="63" t="str">
        <f aca="false">IF(OR(B568="",N(O568)=0),"",N(O568)+ROUND(MIN(N(N568),TOPE_UF*UF_MES)*(TASA_EMP+MUTUAL),0)+ROUND(MIN(N(N568),TOPE_AFC_UF*UF_MES)*IF(S568="Indefinido",AFC_INDEF,AFC_PF),0))</f>
        <v/>
      </c>
      <c r="U568" s="62" t="str">
        <f aca="false">IF(C568="","",IF(LEFT(D568,1)="⚠","⚠ RUT no registrado en Trabajadores",IF(B568="","⚠ Falta el mes",IF(OR(ISTEXT(I568),ISTEXT(J568)),"⚠ Atrasos u horas extra como texto: escriba hh:mm (ej. 1:30)",IF(AND(ISNUMBER(Q568),COUNTIFS(M_RUTN,V568,M_MES,B568,M_LIQ,"&lt;&gt;")&gt;1),"⚠ Liquidación repetida en el mes",IF(AND(ISNUMBER(O568),ISNUMBER(P568),ISNUMBER(Q568),ABS(O568-P568-Q568)&gt;1),"⚠ Haberes − descuentos no da el líquido","OK"))))))</f>
        <v/>
      </c>
      <c r="V568" s="62" t="str">
        <f aca="false">IF(C568="","",IFERROR(VALUE(LEFT(UPPER(SUBSTITUTE(SUBSTITUTE(SUBSTITUTE(TRIM(C568),".",""),"-","")," ","")),LEN(UPPER(SUBSTITUTE(SUBSTITUTE(SUBSTITUTE(TRIM(C568),".",""),"-","")," ","")))-1))&amp;RIGHT(UPPER(SUBSTITUTE(SUBSTITUTE(SUBSTITUTE(TRIM(C568),".",""),"-","")," ","")),1),UPPER(SUBSTITUTE(SUBSTITUTE(SUBSTITUTE(TRIM(C568),".",""),"-","")," ",""))))</f>
        <v/>
      </c>
    </row>
    <row r="569" customFormat="false" ht="15" hidden="false" customHeight="false" outlineLevel="0" collapsed="false">
      <c r="B569" s="80"/>
      <c r="C569" s="58"/>
      <c r="D569" s="62" t="str">
        <f aca="false">IF(C569="","",IFERROR(INDEX(T_NOMBRE,MATCH(V569,T_RUTN,0)),"⚠ RUT no está en Trabajadores"))</f>
        <v/>
      </c>
      <c r="E569" s="61"/>
      <c r="F569" s="61"/>
      <c r="G569" s="61"/>
      <c r="H569" s="61"/>
      <c r="I569" s="81"/>
      <c r="J569" s="81"/>
      <c r="K569" s="60"/>
      <c r="L569" s="60"/>
      <c r="M569" s="60"/>
      <c r="N569" s="60"/>
      <c r="O569" s="60"/>
      <c r="P569" s="60"/>
      <c r="Q569" s="60"/>
      <c r="R569" s="58"/>
      <c r="S569" s="62" t="str">
        <f aca="false">IF(OR(B569="",V569=""),"",IFERROR(INDEX(C_TIPO,MATCH(V569&amp;"-P"&amp;MAX(1,COUNTIFS(C_RUTN,V569,C_DEF,"Sí",C_INI,"&lt;="&amp;EOMONTH(B569,0))),C_CLAVE,0))&amp;"","Sin contrato"))</f>
        <v/>
      </c>
      <c r="T569" s="63" t="str">
        <f aca="false">IF(OR(B569="",N(O569)=0),"",N(O569)+ROUND(MIN(N(N569),TOPE_UF*UF_MES)*(TASA_EMP+MUTUAL),0)+ROUND(MIN(N(N569),TOPE_AFC_UF*UF_MES)*IF(S569="Indefinido",AFC_INDEF,AFC_PF),0))</f>
        <v/>
      </c>
      <c r="U569" s="62" t="str">
        <f aca="false">IF(C569="","",IF(LEFT(D569,1)="⚠","⚠ RUT no registrado en Trabajadores",IF(B569="","⚠ Falta el mes",IF(OR(ISTEXT(I569),ISTEXT(J569)),"⚠ Atrasos u horas extra como texto: escriba hh:mm (ej. 1:30)",IF(AND(ISNUMBER(Q569),COUNTIFS(M_RUTN,V569,M_MES,B569,M_LIQ,"&lt;&gt;")&gt;1),"⚠ Liquidación repetida en el mes",IF(AND(ISNUMBER(O569),ISNUMBER(P569),ISNUMBER(Q569),ABS(O569-P569-Q569)&gt;1),"⚠ Haberes − descuentos no da el líquido","OK"))))))</f>
        <v/>
      </c>
      <c r="V569" s="62" t="str">
        <f aca="false">IF(C569="","",IFERROR(VALUE(LEFT(UPPER(SUBSTITUTE(SUBSTITUTE(SUBSTITUTE(TRIM(C569),".",""),"-","")," ","")),LEN(UPPER(SUBSTITUTE(SUBSTITUTE(SUBSTITUTE(TRIM(C569),".",""),"-","")," ","")))-1))&amp;RIGHT(UPPER(SUBSTITUTE(SUBSTITUTE(SUBSTITUTE(TRIM(C569),".",""),"-","")," ","")),1),UPPER(SUBSTITUTE(SUBSTITUTE(SUBSTITUTE(TRIM(C569),".",""),"-","")," ",""))))</f>
        <v/>
      </c>
    </row>
    <row r="570" customFormat="false" ht="15" hidden="false" customHeight="false" outlineLevel="0" collapsed="false">
      <c r="B570" s="80"/>
      <c r="C570" s="58"/>
      <c r="D570" s="62" t="str">
        <f aca="false">IF(C570="","",IFERROR(INDEX(T_NOMBRE,MATCH(V570,T_RUTN,0)),"⚠ RUT no está en Trabajadores"))</f>
        <v/>
      </c>
      <c r="E570" s="61"/>
      <c r="F570" s="61"/>
      <c r="G570" s="61"/>
      <c r="H570" s="61"/>
      <c r="I570" s="81"/>
      <c r="J570" s="81"/>
      <c r="K570" s="60"/>
      <c r="L570" s="60"/>
      <c r="M570" s="60"/>
      <c r="N570" s="60"/>
      <c r="O570" s="60"/>
      <c r="P570" s="60"/>
      <c r="Q570" s="60"/>
      <c r="R570" s="58"/>
      <c r="S570" s="62" t="str">
        <f aca="false">IF(OR(B570="",V570=""),"",IFERROR(INDEX(C_TIPO,MATCH(V570&amp;"-P"&amp;MAX(1,COUNTIFS(C_RUTN,V570,C_DEF,"Sí",C_INI,"&lt;="&amp;EOMONTH(B570,0))),C_CLAVE,0))&amp;"","Sin contrato"))</f>
        <v/>
      </c>
      <c r="T570" s="63" t="str">
        <f aca="false">IF(OR(B570="",N(O570)=0),"",N(O570)+ROUND(MIN(N(N570),TOPE_UF*UF_MES)*(TASA_EMP+MUTUAL),0)+ROUND(MIN(N(N570),TOPE_AFC_UF*UF_MES)*IF(S570="Indefinido",AFC_INDEF,AFC_PF),0))</f>
        <v/>
      </c>
      <c r="U570" s="62" t="str">
        <f aca="false">IF(C570="","",IF(LEFT(D570,1)="⚠","⚠ RUT no registrado en Trabajadores",IF(B570="","⚠ Falta el mes",IF(OR(ISTEXT(I570),ISTEXT(J570)),"⚠ Atrasos u horas extra como texto: escriba hh:mm (ej. 1:30)",IF(AND(ISNUMBER(Q570),COUNTIFS(M_RUTN,V570,M_MES,B570,M_LIQ,"&lt;&gt;")&gt;1),"⚠ Liquidación repetida en el mes",IF(AND(ISNUMBER(O570),ISNUMBER(P570),ISNUMBER(Q570),ABS(O570-P570-Q570)&gt;1),"⚠ Haberes − descuentos no da el líquido","OK"))))))</f>
        <v/>
      </c>
      <c r="V570" s="62" t="str">
        <f aca="false">IF(C570="","",IFERROR(VALUE(LEFT(UPPER(SUBSTITUTE(SUBSTITUTE(SUBSTITUTE(TRIM(C570),".",""),"-","")," ","")),LEN(UPPER(SUBSTITUTE(SUBSTITUTE(SUBSTITUTE(TRIM(C570),".",""),"-","")," ","")))-1))&amp;RIGHT(UPPER(SUBSTITUTE(SUBSTITUTE(SUBSTITUTE(TRIM(C570),".",""),"-","")," ","")),1),UPPER(SUBSTITUTE(SUBSTITUTE(SUBSTITUTE(TRIM(C570),".",""),"-","")," ",""))))</f>
        <v/>
      </c>
    </row>
    <row r="571" customFormat="false" ht="15" hidden="false" customHeight="false" outlineLevel="0" collapsed="false">
      <c r="B571" s="80"/>
      <c r="C571" s="58"/>
      <c r="D571" s="62" t="str">
        <f aca="false">IF(C571="","",IFERROR(INDEX(T_NOMBRE,MATCH(V571,T_RUTN,0)),"⚠ RUT no está en Trabajadores"))</f>
        <v/>
      </c>
      <c r="E571" s="61"/>
      <c r="F571" s="61"/>
      <c r="G571" s="61"/>
      <c r="H571" s="61"/>
      <c r="I571" s="81"/>
      <c r="J571" s="81"/>
      <c r="K571" s="60"/>
      <c r="L571" s="60"/>
      <c r="M571" s="60"/>
      <c r="N571" s="60"/>
      <c r="O571" s="60"/>
      <c r="P571" s="60"/>
      <c r="Q571" s="60"/>
      <c r="R571" s="58"/>
      <c r="S571" s="62" t="str">
        <f aca="false">IF(OR(B571="",V571=""),"",IFERROR(INDEX(C_TIPO,MATCH(V571&amp;"-P"&amp;MAX(1,COUNTIFS(C_RUTN,V571,C_DEF,"Sí",C_INI,"&lt;="&amp;EOMONTH(B571,0))),C_CLAVE,0))&amp;"","Sin contrato"))</f>
        <v/>
      </c>
      <c r="T571" s="63" t="str">
        <f aca="false">IF(OR(B571="",N(O571)=0),"",N(O571)+ROUND(MIN(N(N571),TOPE_UF*UF_MES)*(TASA_EMP+MUTUAL),0)+ROUND(MIN(N(N571),TOPE_AFC_UF*UF_MES)*IF(S571="Indefinido",AFC_INDEF,AFC_PF),0))</f>
        <v/>
      </c>
      <c r="U571" s="62" t="str">
        <f aca="false">IF(C571="","",IF(LEFT(D571,1)="⚠","⚠ RUT no registrado en Trabajadores",IF(B571="","⚠ Falta el mes",IF(OR(ISTEXT(I571),ISTEXT(J571)),"⚠ Atrasos u horas extra como texto: escriba hh:mm (ej. 1:30)",IF(AND(ISNUMBER(Q571),COUNTIFS(M_RUTN,V571,M_MES,B571,M_LIQ,"&lt;&gt;")&gt;1),"⚠ Liquidación repetida en el mes",IF(AND(ISNUMBER(O571),ISNUMBER(P571),ISNUMBER(Q571),ABS(O571-P571-Q571)&gt;1),"⚠ Haberes − descuentos no da el líquido","OK"))))))</f>
        <v/>
      </c>
      <c r="V571" s="62" t="str">
        <f aca="false">IF(C571="","",IFERROR(VALUE(LEFT(UPPER(SUBSTITUTE(SUBSTITUTE(SUBSTITUTE(TRIM(C571),".",""),"-","")," ","")),LEN(UPPER(SUBSTITUTE(SUBSTITUTE(SUBSTITUTE(TRIM(C571),".",""),"-","")," ","")))-1))&amp;RIGHT(UPPER(SUBSTITUTE(SUBSTITUTE(SUBSTITUTE(TRIM(C571),".",""),"-","")," ","")),1),UPPER(SUBSTITUTE(SUBSTITUTE(SUBSTITUTE(TRIM(C571),".",""),"-","")," ",""))))</f>
        <v/>
      </c>
    </row>
    <row r="572" customFormat="false" ht="15" hidden="false" customHeight="false" outlineLevel="0" collapsed="false">
      <c r="B572" s="80"/>
      <c r="C572" s="58"/>
      <c r="D572" s="62" t="str">
        <f aca="false">IF(C572="","",IFERROR(INDEX(T_NOMBRE,MATCH(V572,T_RUTN,0)),"⚠ RUT no está en Trabajadores"))</f>
        <v/>
      </c>
      <c r="E572" s="61"/>
      <c r="F572" s="61"/>
      <c r="G572" s="61"/>
      <c r="H572" s="61"/>
      <c r="I572" s="81"/>
      <c r="J572" s="81"/>
      <c r="K572" s="60"/>
      <c r="L572" s="60"/>
      <c r="M572" s="60"/>
      <c r="N572" s="60"/>
      <c r="O572" s="60"/>
      <c r="P572" s="60"/>
      <c r="Q572" s="60"/>
      <c r="R572" s="58"/>
      <c r="S572" s="62" t="str">
        <f aca="false">IF(OR(B572="",V572=""),"",IFERROR(INDEX(C_TIPO,MATCH(V572&amp;"-P"&amp;MAX(1,COUNTIFS(C_RUTN,V572,C_DEF,"Sí",C_INI,"&lt;="&amp;EOMONTH(B572,0))),C_CLAVE,0))&amp;"","Sin contrato"))</f>
        <v/>
      </c>
      <c r="T572" s="63" t="str">
        <f aca="false">IF(OR(B572="",N(O572)=0),"",N(O572)+ROUND(MIN(N(N572),TOPE_UF*UF_MES)*(TASA_EMP+MUTUAL),0)+ROUND(MIN(N(N572),TOPE_AFC_UF*UF_MES)*IF(S572="Indefinido",AFC_INDEF,AFC_PF),0))</f>
        <v/>
      </c>
      <c r="U572" s="62" t="str">
        <f aca="false">IF(C572="","",IF(LEFT(D572,1)="⚠","⚠ RUT no registrado en Trabajadores",IF(B572="","⚠ Falta el mes",IF(OR(ISTEXT(I572),ISTEXT(J572)),"⚠ Atrasos u horas extra como texto: escriba hh:mm (ej. 1:30)",IF(AND(ISNUMBER(Q572),COUNTIFS(M_RUTN,V572,M_MES,B572,M_LIQ,"&lt;&gt;")&gt;1),"⚠ Liquidación repetida en el mes",IF(AND(ISNUMBER(O572),ISNUMBER(P572),ISNUMBER(Q572),ABS(O572-P572-Q572)&gt;1),"⚠ Haberes − descuentos no da el líquido","OK"))))))</f>
        <v/>
      </c>
      <c r="V572" s="62" t="str">
        <f aca="false">IF(C572="","",IFERROR(VALUE(LEFT(UPPER(SUBSTITUTE(SUBSTITUTE(SUBSTITUTE(TRIM(C572),".",""),"-","")," ","")),LEN(UPPER(SUBSTITUTE(SUBSTITUTE(SUBSTITUTE(TRIM(C572),".",""),"-","")," ","")))-1))&amp;RIGHT(UPPER(SUBSTITUTE(SUBSTITUTE(SUBSTITUTE(TRIM(C572),".",""),"-","")," ","")),1),UPPER(SUBSTITUTE(SUBSTITUTE(SUBSTITUTE(TRIM(C572),".",""),"-","")," ",""))))</f>
        <v/>
      </c>
    </row>
    <row r="573" customFormat="false" ht="15" hidden="false" customHeight="false" outlineLevel="0" collapsed="false">
      <c r="B573" s="80"/>
      <c r="C573" s="58"/>
      <c r="D573" s="62" t="str">
        <f aca="false">IF(C573="","",IFERROR(INDEX(T_NOMBRE,MATCH(V573,T_RUTN,0)),"⚠ RUT no está en Trabajadores"))</f>
        <v/>
      </c>
      <c r="E573" s="61"/>
      <c r="F573" s="61"/>
      <c r="G573" s="61"/>
      <c r="H573" s="61"/>
      <c r="I573" s="81"/>
      <c r="J573" s="81"/>
      <c r="K573" s="60"/>
      <c r="L573" s="60"/>
      <c r="M573" s="60"/>
      <c r="N573" s="60"/>
      <c r="O573" s="60"/>
      <c r="P573" s="60"/>
      <c r="Q573" s="60"/>
      <c r="R573" s="58"/>
      <c r="S573" s="62" t="str">
        <f aca="false">IF(OR(B573="",V573=""),"",IFERROR(INDEX(C_TIPO,MATCH(V573&amp;"-P"&amp;MAX(1,COUNTIFS(C_RUTN,V573,C_DEF,"Sí",C_INI,"&lt;="&amp;EOMONTH(B573,0))),C_CLAVE,0))&amp;"","Sin contrato"))</f>
        <v/>
      </c>
      <c r="T573" s="63" t="str">
        <f aca="false">IF(OR(B573="",N(O573)=0),"",N(O573)+ROUND(MIN(N(N573),TOPE_UF*UF_MES)*(TASA_EMP+MUTUAL),0)+ROUND(MIN(N(N573),TOPE_AFC_UF*UF_MES)*IF(S573="Indefinido",AFC_INDEF,AFC_PF),0))</f>
        <v/>
      </c>
      <c r="U573" s="62" t="str">
        <f aca="false">IF(C573="","",IF(LEFT(D573,1)="⚠","⚠ RUT no registrado en Trabajadores",IF(B573="","⚠ Falta el mes",IF(OR(ISTEXT(I573),ISTEXT(J573)),"⚠ Atrasos u horas extra como texto: escriba hh:mm (ej. 1:30)",IF(AND(ISNUMBER(Q573),COUNTIFS(M_RUTN,V573,M_MES,B573,M_LIQ,"&lt;&gt;")&gt;1),"⚠ Liquidación repetida en el mes",IF(AND(ISNUMBER(O573),ISNUMBER(P573),ISNUMBER(Q573),ABS(O573-P573-Q573)&gt;1),"⚠ Haberes − descuentos no da el líquido","OK"))))))</f>
        <v/>
      </c>
      <c r="V573" s="62" t="str">
        <f aca="false">IF(C573="","",IFERROR(VALUE(LEFT(UPPER(SUBSTITUTE(SUBSTITUTE(SUBSTITUTE(TRIM(C573),".",""),"-","")," ","")),LEN(UPPER(SUBSTITUTE(SUBSTITUTE(SUBSTITUTE(TRIM(C573),".",""),"-","")," ","")))-1))&amp;RIGHT(UPPER(SUBSTITUTE(SUBSTITUTE(SUBSTITUTE(TRIM(C573),".",""),"-","")," ","")),1),UPPER(SUBSTITUTE(SUBSTITUTE(SUBSTITUTE(TRIM(C573),".",""),"-","")," ",""))))</f>
        <v/>
      </c>
    </row>
    <row r="574" customFormat="false" ht="15" hidden="false" customHeight="false" outlineLevel="0" collapsed="false">
      <c r="B574" s="80"/>
      <c r="C574" s="58"/>
      <c r="D574" s="62" t="str">
        <f aca="false">IF(C574="","",IFERROR(INDEX(T_NOMBRE,MATCH(V574,T_RUTN,0)),"⚠ RUT no está en Trabajadores"))</f>
        <v/>
      </c>
      <c r="E574" s="61"/>
      <c r="F574" s="61"/>
      <c r="G574" s="61"/>
      <c r="H574" s="61"/>
      <c r="I574" s="81"/>
      <c r="J574" s="81"/>
      <c r="K574" s="60"/>
      <c r="L574" s="60"/>
      <c r="M574" s="60"/>
      <c r="N574" s="60"/>
      <c r="O574" s="60"/>
      <c r="P574" s="60"/>
      <c r="Q574" s="60"/>
      <c r="R574" s="58"/>
      <c r="S574" s="62" t="str">
        <f aca="false">IF(OR(B574="",V574=""),"",IFERROR(INDEX(C_TIPO,MATCH(V574&amp;"-P"&amp;MAX(1,COUNTIFS(C_RUTN,V574,C_DEF,"Sí",C_INI,"&lt;="&amp;EOMONTH(B574,0))),C_CLAVE,0))&amp;"","Sin contrato"))</f>
        <v/>
      </c>
      <c r="T574" s="63" t="str">
        <f aca="false">IF(OR(B574="",N(O574)=0),"",N(O574)+ROUND(MIN(N(N574),TOPE_UF*UF_MES)*(TASA_EMP+MUTUAL),0)+ROUND(MIN(N(N574),TOPE_AFC_UF*UF_MES)*IF(S574="Indefinido",AFC_INDEF,AFC_PF),0))</f>
        <v/>
      </c>
      <c r="U574" s="62" t="str">
        <f aca="false">IF(C574="","",IF(LEFT(D574,1)="⚠","⚠ RUT no registrado en Trabajadores",IF(B574="","⚠ Falta el mes",IF(OR(ISTEXT(I574),ISTEXT(J574)),"⚠ Atrasos u horas extra como texto: escriba hh:mm (ej. 1:30)",IF(AND(ISNUMBER(Q574),COUNTIFS(M_RUTN,V574,M_MES,B574,M_LIQ,"&lt;&gt;")&gt;1),"⚠ Liquidación repetida en el mes",IF(AND(ISNUMBER(O574),ISNUMBER(P574),ISNUMBER(Q574),ABS(O574-P574-Q574)&gt;1),"⚠ Haberes − descuentos no da el líquido","OK"))))))</f>
        <v/>
      </c>
      <c r="V574" s="62" t="str">
        <f aca="false">IF(C574="","",IFERROR(VALUE(LEFT(UPPER(SUBSTITUTE(SUBSTITUTE(SUBSTITUTE(TRIM(C574),".",""),"-","")," ","")),LEN(UPPER(SUBSTITUTE(SUBSTITUTE(SUBSTITUTE(TRIM(C574),".",""),"-","")," ","")))-1))&amp;RIGHT(UPPER(SUBSTITUTE(SUBSTITUTE(SUBSTITUTE(TRIM(C574),".",""),"-","")," ","")),1),UPPER(SUBSTITUTE(SUBSTITUTE(SUBSTITUTE(TRIM(C574),".",""),"-","")," ",""))))</f>
        <v/>
      </c>
    </row>
    <row r="575" customFormat="false" ht="15" hidden="false" customHeight="false" outlineLevel="0" collapsed="false">
      <c r="B575" s="80"/>
      <c r="C575" s="58"/>
      <c r="D575" s="62" t="str">
        <f aca="false">IF(C575="","",IFERROR(INDEX(T_NOMBRE,MATCH(V575,T_RUTN,0)),"⚠ RUT no está en Trabajadores"))</f>
        <v/>
      </c>
      <c r="E575" s="61"/>
      <c r="F575" s="61"/>
      <c r="G575" s="61"/>
      <c r="H575" s="61"/>
      <c r="I575" s="81"/>
      <c r="J575" s="81"/>
      <c r="K575" s="60"/>
      <c r="L575" s="60"/>
      <c r="M575" s="60"/>
      <c r="N575" s="60"/>
      <c r="O575" s="60"/>
      <c r="P575" s="60"/>
      <c r="Q575" s="60"/>
      <c r="R575" s="58"/>
      <c r="S575" s="62" t="str">
        <f aca="false">IF(OR(B575="",V575=""),"",IFERROR(INDEX(C_TIPO,MATCH(V575&amp;"-P"&amp;MAX(1,COUNTIFS(C_RUTN,V575,C_DEF,"Sí",C_INI,"&lt;="&amp;EOMONTH(B575,0))),C_CLAVE,0))&amp;"","Sin contrato"))</f>
        <v/>
      </c>
      <c r="T575" s="63" t="str">
        <f aca="false">IF(OR(B575="",N(O575)=0),"",N(O575)+ROUND(MIN(N(N575),TOPE_UF*UF_MES)*(TASA_EMP+MUTUAL),0)+ROUND(MIN(N(N575),TOPE_AFC_UF*UF_MES)*IF(S575="Indefinido",AFC_INDEF,AFC_PF),0))</f>
        <v/>
      </c>
      <c r="U575" s="62" t="str">
        <f aca="false">IF(C575="","",IF(LEFT(D575,1)="⚠","⚠ RUT no registrado en Trabajadores",IF(B575="","⚠ Falta el mes",IF(OR(ISTEXT(I575),ISTEXT(J575)),"⚠ Atrasos u horas extra como texto: escriba hh:mm (ej. 1:30)",IF(AND(ISNUMBER(Q575),COUNTIFS(M_RUTN,V575,M_MES,B575,M_LIQ,"&lt;&gt;")&gt;1),"⚠ Liquidación repetida en el mes",IF(AND(ISNUMBER(O575),ISNUMBER(P575),ISNUMBER(Q575),ABS(O575-P575-Q575)&gt;1),"⚠ Haberes − descuentos no da el líquido","OK"))))))</f>
        <v/>
      </c>
      <c r="V575" s="62" t="str">
        <f aca="false">IF(C575="","",IFERROR(VALUE(LEFT(UPPER(SUBSTITUTE(SUBSTITUTE(SUBSTITUTE(TRIM(C575),".",""),"-","")," ","")),LEN(UPPER(SUBSTITUTE(SUBSTITUTE(SUBSTITUTE(TRIM(C575),".",""),"-","")," ","")))-1))&amp;RIGHT(UPPER(SUBSTITUTE(SUBSTITUTE(SUBSTITUTE(TRIM(C575),".",""),"-","")," ","")),1),UPPER(SUBSTITUTE(SUBSTITUTE(SUBSTITUTE(TRIM(C575),".",""),"-","")," ",""))))</f>
        <v/>
      </c>
    </row>
    <row r="576" customFormat="false" ht="15" hidden="false" customHeight="false" outlineLevel="0" collapsed="false">
      <c r="B576" s="80"/>
      <c r="C576" s="58"/>
      <c r="D576" s="62" t="str">
        <f aca="false">IF(C576="","",IFERROR(INDEX(T_NOMBRE,MATCH(V576,T_RUTN,0)),"⚠ RUT no está en Trabajadores"))</f>
        <v/>
      </c>
      <c r="E576" s="61"/>
      <c r="F576" s="61"/>
      <c r="G576" s="61"/>
      <c r="H576" s="61"/>
      <c r="I576" s="81"/>
      <c r="J576" s="81"/>
      <c r="K576" s="60"/>
      <c r="L576" s="60"/>
      <c r="M576" s="60"/>
      <c r="N576" s="60"/>
      <c r="O576" s="60"/>
      <c r="P576" s="60"/>
      <c r="Q576" s="60"/>
      <c r="R576" s="58"/>
      <c r="S576" s="62" t="str">
        <f aca="false">IF(OR(B576="",V576=""),"",IFERROR(INDEX(C_TIPO,MATCH(V576&amp;"-P"&amp;MAX(1,COUNTIFS(C_RUTN,V576,C_DEF,"Sí",C_INI,"&lt;="&amp;EOMONTH(B576,0))),C_CLAVE,0))&amp;"","Sin contrato"))</f>
        <v/>
      </c>
      <c r="T576" s="63" t="str">
        <f aca="false">IF(OR(B576="",N(O576)=0),"",N(O576)+ROUND(MIN(N(N576),TOPE_UF*UF_MES)*(TASA_EMP+MUTUAL),0)+ROUND(MIN(N(N576),TOPE_AFC_UF*UF_MES)*IF(S576="Indefinido",AFC_INDEF,AFC_PF),0))</f>
        <v/>
      </c>
      <c r="U576" s="62" t="str">
        <f aca="false">IF(C576="","",IF(LEFT(D576,1)="⚠","⚠ RUT no registrado en Trabajadores",IF(B576="","⚠ Falta el mes",IF(OR(ISTEXT(I576),ISTEXT(J576)),"⚠ Atrasos u horas extra como texto: escriba hh:mm (ej. 1:30)",IF(AND(ISNUMBER(Q576),COUNTIFS(M_RUTN,V576,M_MES,B576,M_LIQ,"&lt;&gt;")&gt;1),"⚠ Liquidación repetida en el mes",IF(AND(ISNUMBER(O576),ISNUMBER(P576),ISNUMBER(Q576),ABS(O576-P576-Q576)&gt;1),"⚠ Haberes − descuentos no da el líquido","OK"))))))</f>
        <v/>
      </c>
      <c r="V576" s="62" t="str">
        <f aca="false">IF(C576="","",IFERROR(VALUE(LEFT(UPPER(SUBSTITUTE(SUBSTITUTE(SUBSTITUTE(TRIM(C576),".",""),"-","")," ","")),LEN(UPPER(SUBSTITUTE(SUBSTITUTE(SUBSTITUTE(TRIM(C576),".",""),"-","")," ","")))-1))&amp;RIGHT(UPPER(SUBSTITUTE(SUBSTITUTE(SUBSTITUTE(TRIM(C576),".",""),"-","")," ","")),1),UPPER(SUBSTITUTE(SUBSTITUTE(SUBSTITUTE(TRIM(C576),".",""),"-","")," ",""))))</f>
        <v/>
      </c>
    </row>
    <row r="577" customFormat="false" ht="15" hidden="false" customHeight="false" outlineLevel="0" collapsed="false">
      <c r="B577" s="80"/>
      <c r="C577" s="58"/>
      <c r="D577" s="62" t="str">
        <f aca="false">IF(C577="","",IFERROR(INDEX(T_NOMBRE,MATCH(V577,T_RUTN,0)),"⚠ RUT no está en Trabajadores"))</f>
        <v/>
      </c>
      <c r="E577" s="61"/>
      <c r="F577" s="61"/>
      <c r="G577" s="61"/>
      <c r="H577" s="61"/>
      <c r="I577" s="81"/>
      <c r="J577" s="81"/>
      <c r="K577" s="60"/>
      <c r="L577" s="60"/>
      <c r="M577" s="60"/>
      <c r="N577" s="60"/>
      <c r="O577" s="60"/>
      <c r="P577" s="60"/>
      <c r="Q577" s="60"/>
      <c r="R577" s="58"/>
      <c r="S577" s="62" t="str">
        <f aca="false">IF(OR(B577="",V577=""),"",IFERROR(INDEX(C_TIPO,MATCH(V577&amp;"-P"&amp;MAX(1,COUNTIFS(C_RUTN,V577,C_DEF,"Sí",C_INI,"&lt;="&amp;EOMONTH(B577,0))),C_CLAVE,0))&amp;"","Sin contrato"))</f>
        <v/>
      </c>
      <c r="T577" s="63" t="str">
        <f aca="false">IF(OR(B577="",N(O577)=0),"",N(O577)+ROUND(MIN(N(N577),TOPE_UF*UF_MES)*(TASA_EMP+MUTUAL),0)+ROUND(MIN(N(N577),TOPE_AFC_UF*UF_MES)*IF(S577="Indefinido",AFC_INDEF,AFC_PF),0))</f>
        <v/>
      </c>
      <c r="U577" s="62" t="str">
        <f aca="false">IF(C577="","",IF(LEFT(D577,1)="⚠","⚠ RUT no registrado en Trabajadores",IF(B577="","⚠ Falta el mes",IF(OR(ISTEXT(I577),ISTEXT(J577)),"⚠ Atrasos u horas extra como texto: escriba hh:mm (ej. 1:30)",IF(AND(ISNUMBER(Q577),COUNTIFS(M_RUTN,V577,M_MES,B577,M_LIQ,"&lt;&gt;")&gt;1),"⚠ Liquidación repetida en el mes",IF(AND(ISNUMBER(O577),ISNUMBER(P577),ISNUMBER(Q577),ABS(O577-P577-Q577)&gt;1),"⚠ Haberes − descuentos no da el líquido","OK"))))))</f>
        <v/>
      </c>
      <c r="V577" s="62" t="str">
        <f aca="false">IF(C577="","",IFERROR(VALUE(LEFT(UPPER(SUBSTITUTE(SUBSTITUTE(SUBSTITUTE(TRIM(C577),".",""),"-","")," ","")),LEN(UPPER(SUBSTITUTE(SUBSTITUTE(SUBSTITUTE(TRIM(C577),".",""),"-","")," ","")))-1))&amp;RIGHT(UPPER(SUBSTITUTE(SUBSTITUTE(SUBSTITUTE(TRIM(C577),".",""),"-","")," ","")),1),UPPER(SUBSTITUTE(SUBSTITUTE(SUBSTITUTE(TRIM(C577),".",""),"-","")," ",""))))</f>
        <v/>
      </c>
    </row>
    <row r="578" customFormat="false" ht="15" hidden="false" customHeight="false" outlineLevel="0" collapsed="false">
      <c r="B578" s="80"/>
      <c r="C578" s="58"/>
      <c r="D578" s="62" t="str">
        <f aca="false">IF(C578="","",IFERROR(INDEX(T_NOMBRE,MATCH(V578,T_RUTN,0)),"⚠ RUT no está en Trabajadores"))</f>
        <v/>
      </c>
      <c r="E578" s="61"/>
      <c r="F578" s="61"/>
      <c r="G578" s="61"/>
      <c r="H578" s="61"/>
      <c r="I578" s="81"/>
      <c r="J578" s="81"/>
      <c r="K578" s="60"/>
      <c r="L578" s="60"/>
      <c r="M578" s="60"/>
      <c r="N578" s="60"/>
      <c r="O578" s="60"/>
      <c r="P578" s="60"/>
      <c r="Q578" s="60"/>
      <c r="R578" s="58"/>
      <c r="S578" s="62" t="str">
        <f aca="false">IF(OR(B578="",V578=""),"",IFERROR(INDEX(C_TIPO,MATCH(V578&amp;"-P"&amp;MAX(1,COUNTIFS(C_RUTN,V578,C_DEF,"Sí",C_INI,"&lt;="&amp;EOMONTH(B578,0))),C_CLAVE,0))&amp;"","Sin contrato"))</f>
        <v/>
      </c>
      <c r="T578" s="63" t="str">
        <f aca="false">IF(OR(B578="",N(O578)=0),"",N(O578)+ROUND(MIN(N(N578),TOPE_UF*UF_MES)*(TASA_EMP+MUTUAL),0)+ROUND(MIN(N(N578),TOPE_AFC_UF*UF_MES)*IF(S578="Indefinido",AFC_INDEF,AFC_PF),0))</f>
        <v/>
      </c>
      <c r="U578" s="62" t="str">
        <f aca="false">IF(C578="","",IF(LEFT(D578,1)="⚠","⚠ RUT no registrado en Trabajadores",IF(B578="","⚠ Falta el mes",IF(OR(ISTEXT(I578),ISTEXT(J578)),"⚠ Atrasos u horas extra como texto: escriba hh:mm (ej. 1:30)",IF(AND(ISNUMBER(Q578),COUNTIFS(M_RUTN,V578,M_MES,B578,M_LIQ,"&lt;&gt;")&gt;1),"⚠ Liquidación repetida en el mes",IF(AND(ISNUMBER(O578),ISNUMBER(P578),ISNUMBER(Q578),ABS(O578-P578-Q578)&gt;1),"⚠ Haberes − descuentos no da el líquido","OK"))))))</f>
        <v/>
      </c>
      <c r="V578" s="62" t="str">
        <f aca="false">IF(C578="","",IFERROR(VALUE(LEFT(UPPER(SUBSTITUTE(SUBSTITUTE(SUBSTITUTE(TRIM(C578),".",""),"-","")," ","")),LEN(UPPER(SUBSTITUTE(SUBSTITUTE(SUBSTITUTE(TRIM(C578),".",""),"-","")," ","")))-1))&amp;RIGHT(UPPER(SUBSTITUTE(SUBSTITUTE(SUBSTITUTE(TRIM(C578),".",""),"-","")," ","")),1),UPPER(SUBSTITUTE(SUBSTITUTE(SUBSTITUTE(TRIM(C578),".",""),"-","")," ",""))))</f>
        <v/>
      </c>
    </row>
    <row r="579" customFormat="false" ht="15" hidden="false" customHeight="false" outlineLevel="0" collapsed="false">
      <c r="B579" s="80"/>
      <c r="C579" s="58"/>
      <c r="D579" s="62" t="str">
        <f aca="false">IF(C579="","",IFERROR(INDEX(T_NOMBRE,MATCH(V579,T_RUTN,0)),"⚠ RUT no está en Trabajadores"))</f>
        <v/>
      </c>
      <c r="E579" s="61"/>
      <c r="F579" s="61"/>
      <c r="G579" s="61"/>
      <c r="H579" s="61"/>
      <c r="I579" s="81"/>
      <c r="J579" s="81"/>
      <c r="K579" s="60"/>
      <c r="L579" s="60"/>
      <c r="M579" s="60"/>
      <c r="N579" s="60"/>
      <c r="O579" s="60"/>
      <c r="P579" s="60"/>
      <c r="Q579" s="60"/>
      <c r="R579" s="58"/>
      <c r="S579" s="62" t="str">
        <f aca="false">IF(OR(B579="",V579=""),"",IFERROR(INDEX(C_TIPO,MATCH(V579&amp;"-P"&amp;MAX(1,COUNTIFS(C_RUTN,V579,C_DEF,"Sí",C_INI,"&lt;="&amp;EOMONTH(B579,0))),C_CLAVE,0))&amp;"","Sin contrato"))</f>
        <v/>
      </c>
      <c r="T579" s="63" t="str">
        <f aca="false">IF(OR(B579="",N(O579)=0),"",N(O579)+ROUND(MIN(N(N579),TOPE_UF*UF_MES)*(TASA_EMP+MUTUAL),0)+ROUND(MIN(N(N579),TOPE_AFC_UF*UF_MES)*IF(S579="Indefinido",AFC_INDEF,AFC_PF),0))</f>
        <v/>
      </c>
      <c r="U579" s="62" t="str">
        <f aca="false">IF(C579="","",IF(LEFT(D579,1)="⚠","⚠ RUT no registrado en Trabajadores",IF(B579="","⚠ Falta el mes",IF(OR(ISTEXT(I579),ISTEXT(J579)),"⚠ Atrasos u horas extra como texto: escriba hh:mm (ej. 1:30)",IF(AND(ISNUMBER(Q579),COUNTIFS(M_RUTN,V579,M_MES,B579,M_LIQ,"&lt;&gt;")&gt;1),"⚠ Liquidación repetida en el mes",IF(AND(ISNUMBER(O579),ISNUMBER(P579),ISNUMBER(Q579),ABS(O579-P579-Q579)&gt;1),"⚠ Haberes − descuentos no da el líquido","OK"))))))</f>
        <v/>
      </c>
      <c r="V579" s="62" t="str">
        <f aca="false">IF(C579="","",IFERROR(VALUE(LEFT(UPPER(SUBSTITUTE(SUBSTITUTE(SUBSTITUTE(TRIM(C579),".",""),"-","")," ","")),LEN(UPPER(SUBSTITUTE(SUBSTITUTE(SUBSTITUTE(TRIM(C579),".",""),"-","")," ","")))-1))&amp;RIGHT(UPPER(SUBSTITUTE(SUBSTITUTE(SUBSTITUTE(TRIM(C579),".",""),"-","")," ","")),1),UPPER(SUBSTITUTE(SUBSTITUTE(SUBSTITUTE(TRIM(C579),".",""),"-","")," ",""))))</f>
        <v/>
      </c>
    </row>
    <row r="580" customFormat="false" ht="15" hidden="false" customHeight="false" outlineLevel="0" collapsed="false">
      <c r="B580" s="80"/>
      <c r="C580" s="58"/>
      <c r="D580" s="62" t="str">
        <f aca="false">IF(C580="","",IFERROR(INDEX(T_NOMBRE,MATCH(V580,T_RUTN,0)),"⚠ RUT no está en Trabajadores"))</f>
        <v/>
      </c>
      <c r="E580" s="61"/>
      <c r="F580" s="61"/>
      <c r="G580" s="61"/>
      <c r="H580" s="61"/>
      <c r="I580" s="81"/>
      <c r="J580" s="81"/>
      <c r="K580" s="60"/>
      <c r="L580" s="60"/>
      <c r="M580" s="60"/>
      <c r="N580" s="60"/>
      <c r="O580" s="60"/>
      <c r="P580" s="60"/>
      <c r="Q580" s="60"/>
      <c r="R580" s="58"/>
      <c r="S580" s="62" t="str">
        <f aca="false">IF(OR(B580="",V580=""),"",IFERROR(INDEX(C_TIPO,MATCH(V580&amp;"-P"&amp;MAX(1,COUNTIFS(C_RUTN,V580,C_DEF,"Sí",C_INI,"&lt;="&amp;EOMONTH(B580,0))),C_CLAVE,0))&amp;"","Sin contrato"))</f>
        <v/>
      </c>
      <c r="T580" s="63" t="str">
        <f aca="false">IF(OR(B580="",N(O580)=0),"",N(O580)+ROUND(MIN(N(N580),TOPE_UF*UF_MES)*(TASA_EMP+MUTUAL),0)+ROUND(MIN(N(N580),TOPE_AFC_UF*UF_MES)*IF(S580="Indefinido",AFC_INDEF,AFC_PF),0))</f>
        <v/>
      </c>
      <c r="U580" s="62" t="str">
        <f aca="false">IF(C580="","",IF(LEFT(D580,1)="⚠","⚠ RUT no registrado en Trabajadores",IF(B580="","⚠ Falta el mes",IF(OR(ISTEXT(I580),ISTEXT(J580)),"⚠ Atrasos u horas extra como texto: escriba hh:mm (ej. 1:30)",IF(AND(ISNUMBER(Q580),COUNTIFS(M_RUTN,V580,M_MES,B580,M_LIQ,"&lt;&gt;")&gt;1),"⚠ Liquidación repetida en el mes",IF(AND(ISNUMBER(O580),ISNUMBER(P580),ISNUMBER(Q580),ABS(O580-P580-Q580)&gt;1),"⚠ Haberes − descuentos no da el líquido","OK"))))))</f>
        <v/>
      </c>
      <c r="V580" s="62" t="str">
        <f aca="false">IF(C580="","",IFERROR(VALUE(LEFT(UPPER(SUBSTITUTE(SUBSTITUTE(SUBSTITUTE(TRIM(C580),".",""),"-","")," ","")),LEN(UPPER(SUBSTITUTE(SUBSTITUTE(SUBSTITUTE(TRIM(C580),".",""),"-","")," ","")))-1))&amp;RIGHT(UPPER(SUBSTITUTE(SUBSTITUTE(SUBSTITUTE(TRIM(C580),".",""),"-","")," ","")),1),UPPER(SUBSTITUTE(SUBSTITUTE(SUBSTITUTE(TRIM(C580),".",""),"-","")," ",""))))</f>
        <v/>
      </c>
    </row>
    <row r="581" customFormat="false" ht="15" hidden="false" customHeight="false" outlineLevel="0" collapsed="false">
      <c r="B581" s="80"/>
      <c r="C581" s="58"/>
      <c r="D581" s="62" t="str">
        <f aca="false">IF(C581="","",IFERROR(INDEX(T_NOMBRE,MATCH(V581,T_RUTN,0)),"⚠ RUT no está en Trabajadores"))</f>
        <v/>
      </c>
      <c r="E581" s="61"/>
      <c r="F581" s="61"/>
      <c r="G581" s="61"/>
      <c r="H581" s="61"/>
      <c r="I581" s="81"/>
      <c r="J581" s="81"/>
      <c r="K581" s="60"/>
      <c r="L581" s="60"/>
      <c r="M581" s="60"/>
      <c r="N581" s="60"/>
      <c r="O581" s="60"/>
      <c r="P581" s="60"/>
      <c r="Q581" s="60"/>
      <c r="R581" s="58"/>
      <c r="S581" s="62" t="str">
        <f aca="false">IF(OR(B581="",V581=""),"",IFERROR(INDEX(C_TIPO,MATCH(V581&amp;"-P"&amp;MAX(1,COUNTIFS(C_RUTN,V581,C_DEF,"Sí",C_INI,"&lt;="&amp;EOMONTH(B581,0))),C_CLAVE,0))&amp;"","Sin contrato"))</f>
        <v/>
      </c>
      <c r="T581" s="63" t="str">
        <f aca="false">IF(OR(B581="",N(O581)=0),"",N(O581)+ROUND(MIN(N(N581),TOPE_UF*UF_MES)*(TASA_EMP+MUTUAL),0)+ROUND(MIN(N(N581),TOPE_AFC_UF*UF_MES)*IF(S581="Indefinido",AFC_INDEF,AFC_PF),0))</f>
        <v/>
      </c>
      <c r="U581" s="62" t="str">
        <f aca="false">IF(C581="","",IF(LEFT(D581,1)="⚠","⚠ RUT no registrado en Trabajadores",IF(B581="","⚠ Falta el mes",IF(OR(ISTEXT(I581),ISTEXT(J581)),"⚠ Atrasos u horas extra como texto: escriba hh:mm (ej. 1:30)",IF(AND(ISNUMBER(Q581),COUNTIFS(M_RUTN,V581,M_MES,B581,M_LIQ,"&lt;&gt;")&gt;1),"⚠ Liquidación repetida en el mes",IF(AND(ISNUMBER(O581),ISNUMBER(P581),ISNUMBER(Q581),ABS(O581-P581-Q581)&gt;1),"⚠ Haberes − descuentos no da el líquido","OK"))))))</f>
        <v/>
      </c>
      <c r="V581" s="62" t="str">
        <f aca="false">IF(C581="","",IFERROR(VALUE(LEFT(UPPER(SUBSTITUTE(SUBSTITUTE(SUBSTITUTE(TRIM(C581),".",""),"-","")," ","")),LEN(UPPER(SUBSTITUTE(SUBSTITUTE(SUBSTITUTE(TRIM(C581),".",""),"-","")," ","")))-1))&amp;RIGHT(UPPER(SUBSTITUTE(SUBSTITUTE(SUBSTITUTE(TRIM(C581),".",""),"-","")," ","")),1),UPPER(SUBSTITUTE(SUBSTITUTE(SUBSTITUTE(TRIM(C581),".",""),"-","")," ",""))))</f>
        <v/>
      </c>
    </row>
    <row r="582" customFormat="false" ht="15" hidden="false" customHeight="false" outlineLevel="0" collapsed="false">
      <c r="B582" s="80"/>
      <c r="C582" s="58"/>
      <c r="D582" s="62" t="str">
        <f aca="false">IF(C582="","",IFERROR(INDEX(T_NOMBRE,MATCH(V582,T_RUTN,0)),"⚠ RUT no está en Trabajadores"))</f>
        <v/>
      </c>
      <c r="E582" s="61"/>
      <c r="F582" s="61"/>
      <c r="G582" s="61"/>
      <c r="H582" s="61"/>
      <c r="I582" s="81"/>
      <c r="J582" s="81"/>
      <c r="K582" s="60"/>
      <c r="L582" s="60"/>
      <c r="M582" s="60"/>
      <c r="N582" s="60"/>
      <c r="O582" s="60"/>
      <c r="P582" s="60"/>
      <c r="Q582" s="60"/>
      <c r="R582" s="58"/>
      <c r="S582" s="62" t="str">
        <f aca="false">IF(OR(B582="",V582=""),"",IFERROR(INDEX(C_TIPO,MATCH(V582&amp;"-P"&amp;MAX(1,COUNTIFS(C_RUTN,V582,C_DEF,"Sí",C_INI,"&lt;="&amp;EOMONTH(B582,0))),C_CLAVE,0))&amp;"","Sin contrato"))</f>
        <v/>
      </c>
      <c r="T582" s="63" t="str">
        <f aca="false">IF(OR(B582="",N(O582)=0),"",N(O582)+ROUND(MIN(N(N582),TOPE_UF*UF_MES)*(TASA_EMP+MUTUAL),0)+ROUND(MIN(N(N582),TOPE_AFC_UF*UF_MES)*IF(S582="Indefinido",AFC_INDEF,AFC_PF),0))</f>
        <v/>
      </c>
      <c r="U582" s="62" t="str">
        <f aca="false">IF(C582="","",IF(LEFT(D582,1)="⚠","⚠ RUT no registrado en Trabajadores",IF(B582="","⚠ Falta el mes",IF(OR(ISTEXT(I582),ISTEXT(J582)),"⚠ Atrasos u horas extra como texto: escriba hh:mm (ej. 1:30)",IF(AND(ISNUMBER(Q582),COUNTIFS(M_RUTN,V582,M_MES,B582,M_LIQ,"&lt;&gt;")&gt;1),"⚠ Liquidación repetida en el mes",IF(AND(ISNUMBER(O582),ISNUMBER(P582),ISNUMBER(Q582),ABS(O582-P582-Q582)&gt;1),"⚠ Haberes − descuentos no da el líquido","OK"))))))</f>
        <v/>
      </c>
      <c r="V582" s="62" t="str">
        <f aca="false">IF(C582="","",IFERROR(VALUE(LEFT(UPPER(SUBSTITUTE(SUBSTITUTE(SUBSTITUTE(TRIM(C582),".",""),"-","")," ","")),LEN(UPPER(SUBSTITUTE(SUBSTITUTE(SUBSTITUTE(TRIM(C582),".",""),"-","")," ","")))-1))&amp;RIGHT(UPPER(SUBSTITUTE(SUBSTITUTE(SUBSTITUTE(TRIM(C582),".",""),"-","")," ","")),1),UPPER(SUBSTITUTE(SUBSTITUTE(SUBSTITUTE(TRIM(C582),".",""),"-","")," ",""))))</f>
        <v/>
      </c>
    </row>
    <row r="583" customFormat="false" ht="15" hidden="false" customHeight="false" outlineLevel="0" collapsed="false">
      <c r="B583" s="80"/>
      <c r="C583" s="58"/>
      <c r="D583" s="62" t="str">
        <f aca="false">IF(C583="","",IFERROR(INDEX(T_NOMBRE,MATCH(V583,T_RUTN,0)),"⚠ RUT no está en Trabajadores"))</f>
        <v/>
      </c>
      <c r="E583" s="61"/>
      <c r="F583" s="61"/>
      <c r="G583" s="61"/>
      <c r="H583" s="61"/>
      <c r="I583" s="81"/>
      <c r="J583" s="81"/>
      <c r="K583" s="60"/>
      <c r="L583" s="60"/>
      <c r="M583" s="60"/>
      <c r="N583" s="60"/>
      <c r="O583" s="60"/>
      <c r="P583" s="60"/>
      <c r="Q583" s="60"/>
      <c r="R583" s="58"/>
      <c r="S583" s="62" t="str">
        <f aca="false">IF(OR(B583="",V583=""),"",IFERROR(INDEX(C_TIPO,MATCH(V583&amp;"-P"&amp;MAX(1,COUNTIFS(C_RUTN,V583,C_DEF,"Sí",C_INI,"&lt;="&amp;EOMONTH(B583,0))),C_CLAVE,0))&amp;"","Sin contrato"))</f>
        <v/>
      </c>
      <c r="T583" s="63" t="str">
        <f aca="false">IF(OR(B583="",N(O583)=0),"",N(O583)+ROUND(MIN(N(N583),TOPE_UF*UF_MES)*(TASA_EMP+MUTUAL),0)+ROUND(MIN(N(N583),TOPE_AFC_UF*UF_MES)*IF(S583="Indefinido",AFC_INDEF,AFC_PF),0))</f>
        <v/>
      </c>
      <c r="U583" s="62" t="str">
        <f aca="false">IF(C583="","",IF(LEFT(D583,1)="⚠","⚠ RUT no registrado en Trabajadores",IF(B583="","⚠ Falta el mes",IF(OR(ISTEXT(I583),ISTEXT(J583)),"⚠ Atrasos u horas extra como texto: escriba hh:mm (ej. 1:30)",IF(AND(ISNUMBER(Q583),COUNTIFS(M_RUTN,V583,M_MES,B583,M_LIQ,"&lt;&gt;")&gt;1),"⚠ Liquidación repetida en el mes",IF(AND(ISNUMBER(O583),ISNUMBER(P583),ISNUMBER(Q583),ABS(O583-P583-Q583)&gt;1),"⚠ Haberes − descuentos no da el líquido","OK"))))))</f>
        <v/>
      </c>
      <c r="V583" s="62" t="str">
        <f aca="false">IF(C583="","",IFERROR(VALUE(LEFT(UPPER(SUBSTITUTE(SUBSTITUTE(SUBSTITUTE(TRIM(C583),".",""),"-","")," ","")),LEN(UPPER(SUBSTITUTE(SUBSTITUTE(SUBSTITUTE(TRIM(C583),".",""),"-","")," ","")))-1))&amp;RIGHT(UPPER(SUBSTITUTE(SUBSTITUTE(SUBSTITUTE(TRIM(C583),".",""),"-","")," ","")),1),UPPER(SUBSTITUTE(SUBSTITUTE(SUBSTITUTE(TRIM(C583),".",""),"-","")," ",""))))</f>
        <v/>
      </c>
    </row>
    <row r="584" customFormat="false" ht="15" hidden="false" customHeight="false" outlineLevel="0" collapsed="false">
      <c r="B584" s="80"/>
      <c r="C584" s="58"/>
      <c r="D584" s="62" t="str">
        <f aca="false">IF(C584="","",IFERROR(INDEX(T_NOMBRE,MATCH(V584,T_RUTN,0)),"⚠ RUT no está en Trabajadores"))</f>
        <v/>
      </c>
      <c r="E584" s="61"/>
      <c r="F584" s="61"/>
      <c r="G584" s="61"/>
      <c r="H584" s="61"/>
      <c r="I584" s="81"/>
      <c r="J584" s="81"/>
      <c r="K584" s="60"/>
      <c r="L584" s="60"/>
      <c r="M584" s="60"/>
      <c r="N584" s="60"/>
      <c r="O584" s="60"/>
      <c r="P584" s="60"/>
      <c r="Q584" s="60"/>
      <c r="R584" s="58"/>
      <c r="S584" s="62" t="str">
        <f aca="false">IF(OR(B584="",V584=""),"",IFERROR(INDEX(C_TIPO,MATCH(V584&amp;"-P"&amp;MAX(1,COUNTIFS(C_RUTN,V584,C_DEF,"Sí",C_INI,"&lt;="&amp;EOMONTH(B584,0))),C_CLAVE,0))&amp;"","Sin contrato"))</f>
        <v/>
      </c>
      <c r="T584" s="63" t="str">
        <f aca="false">IF(OR(B584="",N(O584)=0),"",N(O584)+ROUND(MIN(N(N584),TOPE_UF*UF_MES)*(TASA_EMP+MUTUAL),0)+ROUND(MIN(N(N584),TOPE_AFC_UF*UF_MES)*IF(S584="Indefinido",AFC_INDEF,AFC_PF),0))</f>
        <v/>
      </c>
      <c r="U584" s="62" t="str">
        <f aca="false">IF(C584="","",IF(LEFT(D584,1)="⚠","⚠ RUT no registrado en Trabajadores",IF(B584="","⚠ Falta el mes",IF(OR(ISTEXT(I584),ISTEXT(J584)),"⚠ Atrasos u horas extra como texto: escriba hh:mm (ej. 1:30)",IF(AND(ISNUMBER(Q584),COUNTIFS(M_RUTN,V584,M_MES,B584,M_LIQ,"&lt;&gt;")&gt;1),"⚠ Liquidación repetida en el mes",IF(AND(ISNUMBER(O584),ISNUMBER(P584),ISNUMBER(Q584),ABS(O584-P584-Q584)&gt;1),"⚠ Haberes − descuentos no da el líquido","OK"))))))</f>
        <v/>
      </c>
      <c r="V584" s="62" t="str">
        <f aca="false">IF(C584="","",IFERROR(VALUE(LEFT(UPPER(SUBSTITUTE(SUBSTITUTE(SUBSTITUTE(TRIM(C584),".",""),"-","")," ","")),LEN(UPPER(SUBSTITUTE(SUBSTITUTE(SUBSTITUTE(TRIM(C584),".",""),"-","")," ","")))-1))&amp;RIGHT(UPPER(SUBSTITUTE(SUBSTITUTE(SUBSTITUTE(TRIM(C584),".",""),"-","")," ","")),1),UPPER(SUBSTITUTE(SUBSTITUTE(SUBSTITUTE(TRIM(C584),".",""),"-","")," ",""))))</f>
        <v/>
      </c>
    </row>
    <row r="585" customFormat="false" ht="15" hidden="false" customHeight="false" outlineLevel="0" collapsed="false">
      <c r="B585" s="80"/>
      <c r="C585" s="58"/>
      <c r="D585" s="62" t="str">
        <f aca="false">IF(C585="","",IFERROR(INDEX(T_NOMBRE,MATCH(V585,T_RUTN,0)),"⚠ RUT no está en Trabajadores"))</f>
        <v/>
      </c>
      <c r="E585" s="61"/>
      <c r="F585" s="61"/>
      <c r="G585" s="61"/>
      <c r="H585" s="61"/>
      <c r="I585" s="81"/>
      <c r="J585" s="81"/>
      <c r="K585" s="60"/>
      <c r="L585" s="60"/>
      <c r="M585" s="60"/>
      <c r="N585" s="60"/>
      <c r="O585" s="60"/>
      <c r="P585" s="60"/>
      <c r="Q585" s="60"/>
      <c r="R585" s="58"/>
      <c r="S585" s="62" t="str">
        <f aca="false">IF(OR(B585="",V585=""),"",IFERROR(INDEX(C_TIPO,MATCH(V585&amp;"-P"&amp;MAX(1,COUNTIFS(C_RUTN,V585,C_DEF,"Sí",C_INI,"&lt;="&amp;EOMONTH(B585,0))),C_CLAVE,0))&amp;"","Sin contrato"))</f>
        <v/>
      </c>
      <c r="T585" s="63" t="str">
        <f aca="false">IF(OR(B585="",N(O585)=0),"",N(O585)+ROUND(MIN(N(N585),TOPE_UF*UF_MES)*(TASA_EMP+MUTUAL),0)+ROUND(MIN(N(N585),TOPE_AFC_UF*UF_MES)*IF(S585="Indefinido",AFC_INDEF,AFC_PF),0))</f>
        <v/>
      </c>
      <c r="U585" s="62" t="str">
        <f aca="false">IF(C585="","",IF(LEFT(D585,1)="⚠","⚠ RUT no registrado en Trabajadores",IF(B585="","⚠ Falta el mes",IF(OR(ISTEXT(I585),ISTEXT(J585)),"⚠ Atrasos u horas extra como texto: escriba hh:mm (ej. 1:30)",IF(AND(ISNUMBER(Q585),COUNTIFS(M_RUTN,V585,M_MES,B585,M_LIQ,"&lt;&gt;")&gt;1),"⚠ Liquidación repetida en el mes",IF(AND(ISNUMBER(O585),ISNUMBER(P585),ISNUMBER(Q585),ABS(O585-P585-Q585)&gt;1),"⚠ Haberes − descuentos no da el líquido","OK"))))))</f>
        <v/>
      </c>
      <c r="V585" s="62" t="str">
        <f aca="false">IF(C585="","",IFERROR(VALUE(LEFT(UPPER(SUBSTITUTE(SUBSTITUTE(SUBSTITUTE(TRIM(C585),".",""),"-","")," ","")),LEN(UPPER(SUBSTITUTE(SUBSTITUTE(SUBSTITUTE(TRIM(C585),".",""),"-","")," ","")))-1))&amp;RIGHT(UPPER(SUBSTITUTE(SUBSTITUTE(SUBSTITUTE(TRIM(C585),".",""),"-","")," ","")),1),UPPER(SUBSTITUTE(SUBSTITUTE(SUBSTITUTE(TRIM(C585),".",""),"-","")," ",""))))</f>
        <v/>
      </c>
    </row>
    <row r="586" customFormat="false" ht="15" hidden="false" customHeight="false" outlineLevel="0" collapsed="false">
      <c r="B586" s="80"/>
      <c r="C586" s="58"/>
      <c r="D586" s="62" t="str">
        <f aca="false">IF(C586="","",IFERROR(INDEX(T_NOMBRE,MATCH(V586,T_RUTN,0)),"⚠ RUT no está en Trabajadores"))</f>
        <v/>
      </c>
      <c r="E586" s="61"/>
      <c r="F586" s="61"/>
      <c r="G586" s="61"/>
      <c r="H586" s="61"/>
      <c r="I586" s="81"/>
      <c r="J586" s="81"/>
      <c r="K586" s="60"/>
      <c r="L586" s="60"/>
      <c r="M586" s="60"/>
      <c r="N586" s="60"/>
      <c r="O586" s="60"/>
      <c r="P586" s="60"/>
      <c r="Q586" s="60"/>
      <c r="R586" s="58"/>
      <c r="S586" s="62" t="str">
        <f aca="false">IF(OR(B586="",V586=""),"",IFERROR(INDEX(C_TIPO,MATCH(V586&amp;"-P"&amp;MAX(1,COUNTIFS(C_RUTN,V586,C_DEF,"Sí",C_INI,"&lt;="&amp;EOMONTH(B586,0))),C_CLAVE,0))&amp;"","Sin contrato"))</f>
        <v/>
      </c>
      <c r="T586" s="63" t="str">
        <f aca="false">IF(OR(B586="",N(O586)=0),"",N(O586)+ROUND(MIN(N(N586),TOPE_UF*UF_MES)*(TASA_EMP+MUTUAL),0)+ROUND(MIN(N(N586),TOPE_AFC_UF*UF_MES)*IF(S586="Indefinido",AFC_INDEF,AFC_PF),0))</f>
        <v/>
      </c>
      <c r="U586" s="62" t="str">
        <f aca="false">IF(C586="","",IF(LEFT(D586,1)="⚠","⚠ RUT no registrado en Trabajadores",IF(B586="","⚠ Falta el mes",IF(OR(ISTEXT(I586),ISTEXT(J586)),"⚠ Atrasos u horas extra como texto: escriba hh:mm (ej. 1:30)",IF(AND(ISNUMBER(Q586),COUNTIFS(M_RUTN,V586,M_MES,B586,M_LIQ,"&lt;&gt;")&gt;1),"⚠ Liquidación repetida en el mes",IF(AND(ISNUMBER(O586),ISNUMBER(P586),ISNUMBER(Q586),ABS(O586-P586-Q586)&gt;1),"⚠ Haberes − descuentos no da el líquido","OK"))))))</f>
        <v/>
      </c>
      <c r="V586" s="62" t="str">
        <f aca="false">IF(C586="","",IFERROR(VALUE(LEFT(UPPER(SUBSTITUTE(SUBSTITUTE(SUBSTITUTE(TRIM(C586),".",""),"-","")," ","")),LEN(UPPER(SUBSTITUTE(SUBSTITUTE(SUBSTITUTE(TRIM(C586),".",""),"-","")," ","")))-1))&amp;RIGHT(UPPER(SUBSTITUTE(SUBSTITUTE(SUBSTITUTE(TRIM(C586),".",""),"-","")," ","")),1),UPPER(SUBSTITUTE(SUBSTITUTE(SUBSTITUTE(TRIM(C586),".",""),"-","")," ",""))))</f>
        <v/>
      </c>
    </row>
    <row r="587" customFormat="false" ht="15" hidden="false" customHeight="false" outlineLevel="0" collapsed="false">
      <c r="B587" s="80"/>
      <c r="C587" s="58"/>
      <c r="D587" s="62" t="str">
        <f aca="false">IF(C587="","",IFERROR(INDEX(T_NOMBRE,MATCH(V587,T_RUTN,0)),"⚠ RUT no está en Trabajadores"))</f>
        <v/>
      </c>
      <c r="E587" s="61"/>
      <c r="F587" s="61"/>
      <c r="G587" s="61"/>
      <c r="H587" s="61"/>
      <c r="I587" s="81"/>
      <c r="J587" s="81"/>
      <c r="K587" s="60"/>
      <c r="L587" s="60"/>
      <c r="M587" s="60"/>
      <c r="N587" s="60"/>
      <c r="O587" s="60"/>
      <c r="P587" s="60"/>
      <c r="Q587" s="60"/>
      <c r="R587" s="58"/>
      <c r="S587" s="62" t="str">
        <f aca="false">IF(OR(B587="",V587=""),"",IFERROR(INDEX(C_TIPO,MATCH(V587&amp;"-P"&amp;MAX(1,COUNTIFS(C_RUTN,V587,C_DEF,"Sí",C_INI,"&lt;="&amp;EOMONTH(B587,0))),C_CLAVE,0))&amp;"","Sin contrato"))</f>
        <v/>
      </c>
      <c r="T587" s="63" t="str">
        <f aca="false">IF(OR(B587="",N(O587)=0),"",N(O587)+ROUND(MIN(N(N587),TOPE_UF*UF_MES)*(TASA_EMP+MUTUAL),0)+ROUND(MIN(N(N587),TOPE_AFC_UF*UF_MES)*IF(S587="Indefinido",AFC_INDEF,AFC_PF),0))</f>
        <v/>
      </c>
      <c r="U587" s="62" t="str">
        <f aca="false">IF(C587="","",IF(LEFT(D587,1)="⚠","⚠ RUT no registrado en Trabajadores",IF(B587="","⚠ Falta el mes",IF(OR(ISTEXT(I587),ISTEXT(J587)),"⚠ Atrasos u horas extra como texto: escriba hh:mm (ej. 1:30)",IF(AND(ISNUMBER(Q587),COUNTIFS(M_RUTN,V587,M_MES,B587,M_LIQ,"&lt;&gt;")&gt;1),"⚠ Liquidación repetida en el mes",IF(AND(ISNUMBER(O587),ISNUMBER(P587),ISNUMBER(Q587),ABS(O587-P587-Q587)&gt;1),"⚠ Haberes − descuentos no da el líquido","OK"))))))</f>
        <v/>
      </c>
      <c r="V587" s="62" t="str">
        <f aca="false">IF(C587="","",IFERROR(VALUE(LEFT(UPPER(SUBSTITUTE(SUBSTITUTE(SUBSTITUTE(TRIM(C587),".",""),"-","")," ","")),LEN(UPPER(SUBSTITUTE(SUBSTITUTE(SUBSTITUTE(TRIM(C587),".",""),"-","")," ","")))-1))&amp;RIGHT(UPPER(SUBSTITUTE(SUBSTITUTE(SUBSTITUTE(TRIM(C587),".",""),"-","")," ","")),1),UPPER(SUBSTITUTE(SUBSTITUTE(SUBSTITUTE(TRIM(C587),".",""),"-","")," ",""))))</f>
        <v/>
      </c>
    </row>
    <row r="588" customFormat="false" ht="15" hidden="false" customHeight="false" outlineLevel="0" collapsed="false">
      <c r="B588" s="80"/>
      <c r="C588" s="58"/>
      <c r="D588" s="62" t="str">
        <f aca="false">IF(C588="","",IFERROR(INDEX(T_NOMBRE,MATCH(V588,T_RUTN,0)),"⚠ RUT no está en Trabajadores"))</f>
        <v/>
      </c>
      <c r="E588" s="61"/>
      <c r="F588" s="61"/>
      <c r="G588" s="61"/>
      <c r="H588" s="61"/>
      <c r="I588" s="81"/>
      <c r="J588" s="81"/>
      <c r="K588" s="60"/>
      <c r="L588" s="60"/>
      <c r="M588" s="60"/>
      <c r="N588" s="60"/>
      <c r="O588" s="60"/>
      <c r="P588" s="60"/>
      <c r="Q588" s="60"/>
      <c r="R588" s="58"/>
      <c r="S588" s="62" t="str">
        <f aca="false">IF(OR(B588="",V588=""),"",IFERROR(INDEX(C_TIPO,MATCH(V588&amp;"-P"&amp;MAX(1,COUNTIFS(C_RUTN,V588,C_DEF,"Sí",C_INI,"&lt;="&amp;EOMONTH(B588,0))),C_CLAVE,0))&amp;"","Sin contrato"))</f>
        <v/>
      </c>
      <c r="T588" s="63" t="str">
        <f aca="false">IF(OR(B588="",N(O588)=0),"",N(O588)+ROUND(MIN(N(N588),TOPE_UF*UF_MES)*(TASA_EMP+MUTUAL),0)+ROUND(MIN(N(N588),TOPE_AFC_UF*UF_MES)*IF(S588="Indefinido",AFC_INDEF,AFC_PF),0))</f>
        <v/>
      </c>
      <c r="U588" s="62" t="str">
        <f aca="false">IF(C588="","",IF(LEFT(D588,1)="⚠","⚠ RUT no registrado en Trabajadores",IF(B588="","⚠ Falta el mes",IF(OR(ISTEXT(I588),ISTEXT(J588)),"⚠ Atrasos u horas extra como texto: escriba hh:mm (ej. 1:30)",IF(AND(ISNUMBER(Q588),COUNTIFS(M_RUTN,V588,M_MES,B588,M_LIQ,"&lt;&gt;")&gt;1),"⚠ Liquidación repetida en el mes",IF(AND(ISNUMBER(O588),ISNUMBER(P588),ISNUMBER(Q588),ABS(O588-P588-Q588)&gt;1),"⚠ Haberes − descuentos no da el líquido","OK"))))))</f>
        <v/>
      </c>
      <c r="V588" s="62" t="str">
        <f aca="false">IF(C588="","",IFERROR(VALUE(LEFT(UPPER(SUBSTITUTE(SUBSTITUTE(SUBSTITUTE(TRIM(C588),".",""),"-","")," ","")),LEN(UPPER(SUBSTITUTE(SUBSTITUTE(SUBSTITUTE(TRIM(C588),".",""),"-","")," ","")))-1))&amp;RIGHT(UPPER(SUBSTITUTE(SUBSTITUTE(SUBSTITUTE(TRIM(C588),".",""),"-","")," ","")),1),UPPER(SUBSTITUTE(SUBSTITUTE(SUBSTITUTE(TRIM(C588),".",""),"-","")," ",""))))</f>
        <v/>
      </c>
    </row>
    <row r="589" customFormat="false" ht="15" hidden="false" customHeight="false" outlineLevel="0" collapsed="false">
      <c r="B589" s="80"/>
      <c r="C589" s="58"/>
      <c r="D589" s="62" t="str">
        <f aca="false">IF(C589="","",IFERROR(INDEX(T_NOMBRE,MATCH(V589,T_RUTN,0)),"⚠ RUT no está en Trabajadores"))</f>
        <v/>
      </c>
      <c r="E589" s="61"/>
      <c r="F589" s="61"/>
      <c r="G589" s="61"/>
      <c r="H589" s="61"/>
      <c r="I589" s="81"/>
      <c r="J589" s="81"/>
      <c r="K589" s="60"/>
      <c r="L589" s="60"/>
      <c r="M589" s="60"/>
      <c r="N589" s="60"/>
      <c r="O589" s="60"/>
      <c r="P589" s="60"/>
      <c r="Q589" s="60"/>
      <c r="R589" s="58"/>
      <c r="S589" s="62" t="str">
        <f aca="false">IF(OR(B589="",V589=""),"",IFERROR(INDEX(C_TIPO,MATCH(V589&amp;"-P"&amp;MAX(1,COUNTIFS(C_RUTN,V589,C_DEF,"Sí",C_INI,"&lt;="&amp;EOMONTH(B589,0))),C_CLAVE,0))&amp;"","Sin contrato"))</f>
        <v/>
      </c>
      <c r="T589" s="63" t="str">
        <f aca="false">IF(OR(B589="",N(O589)=0),"",N(O589)+ROUND(MIN(N(N589),TOPE_UF*UF_MES)*(TASA_EMP+MUTUAL),0)+ROUND(MIN(N(N589),TOPE_AFC_UF*UF_MES)*IF(S589="Indefinido",AFC_INDEF,AFC_PF),0))</f>
        <v/>
      </c>
      <c r="U589" s="62" t="str">
        <f aca="false">IF(C589="","",IF(LEFT(D589,1)="⚠","⚠ RUT no registrado en Trabajadores",IF(B589="","⚠ Falta el mes",IF(OR(ISTEXT(I589),ISTEXT(J589)),"⚠ Atrasos u horas extra como texto: escriba hh:mm (ej. 1:30)",IF(AND(ISNUMBER(Q589),COUNTIFS(M_RUTN,V589,M_MES,B589,M_LIQ,"&lt;&gt;")&gt;1),"⚠ Liquidación repetida en el mes",IF(AND(ISNUMBER(O589),ISNUMBER(P589),ISNUMBER(Q589),ABS(O589-P589-Q589)&gt;1),"⚠ Haberes − descuentos no da el líquido","OK"))))))</f>
        <v/>
      </c>
      <c r="V589" s="62" t="str">
        <f aca="false">IF(C589="","",IFERROR(VALUE(LEFT(UPPER(SUBSTITUTE(SUBSTITUTE(SUBSTITUTE(TRIM(C589),".",""),"-","")," ","")),LEN(UPPER(SUBSTITUTE(SUBSTITUTE(SUBSTITUTE(TRIM(C589),".",""),"-","")," ","")))-1))&amp;RIGHT(UPPER(SUBSTITUTE(SUBSTITUTE(SUBSTITUTE(TRIM(C589),".",""),"-","")," ","")),1),UPPER(SUBSTITUTE(SUBSTITUTE(SUBSTITUTE(TRIM(C589),".",""),"-","")," ",""))))</f>
        <v/>
      </c>
    </row>
    <row r="590" customFormat="false" ht="15" hidden="false" customHeight="false" outlineLevel="0" collapsed="false">
      <c r="B590" s="80"/>
      <c r="C590" s="58"/>
      <c r="D590" s="62" t="str">
        <f aca="false">IF(C590="","",IFERROR(INDEX(T_NOMBRE,MATCH(V590,T_RUTN,0)),"⚠ RUT no está en Trabajadores"))</f>
        <v/>
      </c>
      <c r="E590" s="61"/>
      <c r="F590" s="61"/>
      <c r="G590" s="61"/>
      <c r="H590" s="61"/>
      <c r="I590" s="81"/>
      <c r="J590" s="81"/>
      <c r="K590" s="60"/>
      <c r="L590" s="60"/>
      <c r="M590" s="60"/>
      <c r="N590" s="60"/>
      <c r="O590" s="60"/>
      <c r="P590" s="60"/>
      <c r="Q590" s="60"/>
      <c r="R590" s="58"/>
      <c r="S590" s="62" t="str">
        <f aca="false">IF(OR(B590="",V590=""),"",IFERROR(INDEX(C_TIPO,MATCH(V590&amp;"-P"&amp;MAX(1,COUNTIFS(C_RUTN,V590,C_DEF,"Sí",C_INI,"&lt;="&amp;EOMONTH(B590,0))),C_CLAVE,0))&amp;"","Sin contrato"))</f>
        <v/>
      </c>
      <c r="T590" s="63" t="str">
        <f aca="false">IF(OR(B590="",N(O590)=0),"",N(O590)+ROUND(MIN(N(N590),TOPE_UF*UF_MES)*(TASA_EMP+MUTUAL),0)+ROUND(MIN(N(N590),TOPE_AFC_UF*UF_MES)*IF(S590="Indefinido",AFC_INDEF,AFC_PF),0))</f>
        <v/>
      </c>
      <c r="U590" s="62" t="str">
        <f aca="false">IF(C590="","",IF(LEFT(D590,1)="⚠","⚠ RUT no registrado en Trabajadores",IF(B590="","⚠ Falta el mes",IF(OR(ISTEXT(I590),ISTEXT(J590)),"⚠ Atrasos u horas extra como texto: escriba hh:mm (ej. 1:30)",IF(AND(ISNUMBER(Q590),COUNTIFS(M_RUTN,V590,M_MES,B590,M_LIQ,"&lt;&gt;")&gt;1),"⚠ Liquidación repetida en el mes",IF(AND(ISNUMBER(O590),ISNUMBER(P590),ISNUMBER(Q590),ABS(O590-P590-Q590)&gt;1),"⚠ Haberes − descuentos no da el líquido","OK"))))))</f>
        <v/>
      </c>
      <c r="V590" s="62" t="str">
        <f aca="false">IF(C590="","",IFERROR(VALUE(LEFT(UPPER(SUBSTITUTE(SUBSTITUTE(SUBSTITUTE(TRIM(C590),".",""),"-","")," ","")),LEN(UPPER(SUBSTITUTE(SUBSTITUTE(SUBSTITUTE(TRIM(C590),".",""),"-","")," ","")))-1))&amp;RIGHT(UPPER(SUBSTITUTE(SUBSTITUTE(SUBSTITUTE(TRIM(C590),".",""),"-","")," ","")),1),UPPER(SUBSTITUTE(SUBSTITUTE(SUBSTITUTE(TRIM(C590),".",""),"-","")," ",""))))</f>
        <v/>
      </c>
    </row>
    <row r="591" customFormat="false" ht="15" hidden="false" customHeight="false" outlineLevel="0" collapsed="false">
      <c r="B591" s="80"/>
      <c r="C591" s="58"/>
      <c r="D591" s="62" t="str">
        <f aca="false">IF(C591="","",IFERROR(INDEX(T_NOMBRE,MATCH(V591,T_RUTN,0)),"⚠ RUT no está en Trabajadores"))</f>
        <v/>
      </c>
      <c r="E591" s="61"/>
      <c r="F591" s="61"/>
      <c r="G591" s="61"/>
      <c r="H591" s="61"/>
      <c r="I591" s="81"/>
      <c r="J591" s="81"/>
      <c r="K591" s="60"/>
      <c r="L591" s="60"/>
      <c r="M591" s="60"/>
      <c r="N591" s="60"/>
      <c r="O591" s="60"/>
      <c r="P591" s="60"/>
      <c r="Q591" s="60"/>
      <c r="R591" s="58"/>
      <c r="S591" s="62" t="str">
        <f aca="false">IF(OR(B591="",V591=""),"",IFERROR(INDEX(C_TIPO,MATCH(V591&amp;"-P"&amp;MAX(1,COUNTIFS(C_RUTN,V591,C_DEF,"Sí",C_INI,"&lt;="&amp;EOMONTH(B591,0))),C_CLAVE,0))&amp;"","Sin contrato"))</f>
        <v/>
      </c>
      <c r="T591" s="63" t="str">
        <f aca="false">IF(OR(B591="",N(O591)=0),"",N(O591)+ROUND(MIN(N(N591),TOPE_UF*UF_MES)*(TASA_EMP+MUTUAL),0)+ROUND(MIN(N(N591),TOPE_AFC_UF*UF_MES)*IF(S591="Indefinido",AFC_INDEF,AFC_PF),0))</f>
        <v/>
      </c>
      <c r="U591" s="62" t="str">
        <f aca="false">IF(C591="","",IF(LEFT(D591,1)="⚠","⚠ RUT no registrado en Trabajadores",IF(B591="","⚠ Falta el mes",IF(OR(ISTEXT(I591),ISTEXT(J591)),"⚠ Atrasos u horas extra como texto: escriba hh:mm (ej. 1:30)",IF(AND(ISNUMBER(Q591),COUNTIFS(M_RUTN,V591,M_MES,B591,M_LIQ,"&lt;&gt;")&gt;1),"⚠ Liquidación repetida en el mes",IF(AND(ISNUMBER(O591),ISNUMBER(P591),ISNUMBER(Q591),ABS(O591-P591-Q591)&gt;1),"⚠ Haberes − descuentos no da el líquido","OK"))))))</f>
        <v/>
      </c>
      <c r="V591" s="62" t="str">
        <f aca="false">IF(C591="","",IFERROR(VALUE(LEFT(UPPER(SUBSTITUTE(SUBSTITUTE(SUBSTITUTE(TRIM(C591),".",""),"-","")," ","")),LEN(UPPER(SUBSTITUTE(SUBSTITUTE(SUBSTITUTE(TRIM(C591),".",""),"-","")," ","")))-1))&amp;RIGHT(UPPER(SUBSTITUTE(SUBSTITUTE(SUBSTITUTE(TRIM(C591),".",""),"-","")," ","")),1),UPPER(SUBSTITUTE(SUBSTITUTE(SUBSTITUTE(TRIM(C591),".",""),"-","")," ",""))))</f>
        <v/>
      </c>
    </row>
    <row r="592" customFormat="false" ht="15" hidden="false" customHeight="false" outlineLevel="0" collapsed="false">
      <c r="B592" s="80"/>
      <c r="C592" s="58"/>
      <c r="D592" s="62" t="str">
        <f aca="false">IF(C592="","",IFERROR(INDEX(T_NOMBRE,MATCH(V592,T_RUTN,0)),"⚠ RUT no está en Trabajadores"))</f>
        <v/>
      </c>
      <c r="E592" s="61"/>
      <c r="F592" s="61"/>
      <c r="G592" s="61"/>
      <c r="H592" s="61"/>
      <c r="I592" s="81"/>
      <c r="J592" s="81"/>
      <c r="K592" s="60"/>
      <c r="L592" s="60"/>
      <c r="M592" s="60"/>
      <c r="N592" s="60"/>
      <c r="O592" s="60"/>
      <c r="P592" s="60"/>
      <c r="Q592" s="60"/>
      <c r="R592" s="58"/>
      <c r="S592" s="62" t="str">
        <f aca="false">IF(OR(B592="",V592=""),"",IFERROR(INDEX(C_TIPO,MATCH(V592&amp;"-P"&amp;MAX(1,COUNTIFS(C_RUTN,V592,C_DEF,"Sí",C_INI,"&lt;="&amp;EOMONTH(B592,0))),C_CLAVE,0))&amp;"","Sin contrato"))</f>
        <v/>
      </c>
      <c r="T592" s="63" t="str">
        <f aca="false">IF(OR(B592="",N(O592)=0),"",N(O592)+ROUND(MIN(N(N592),TOPE_UF*UF_MES)*(TASA_EMP+MUTUAL),0)+ROUND(MIN(N(N592),TOPE_AFC_UF*UF_MES)*IF(S592="Indefinido",AFC_INDEF,AFC_PF),0))</f>
        <v/>
      </c>
      <c r="U592" s="62" t="str">
        <f aca="false">IF(C592="","",IF(LEFT(D592,1)="⚠","⚠ RUT no registrado en Trabajadores",IF(B592="","⚠ Falta el mes",IF(OR(ISTEXT(I592),ISTEXT(J592)),"⚠ Atrasos u horas extra como texto: escriba hh:mm (ej. 1:30)",IF(AND(ISNUMBER(Q592),COUNTIFS(M_RUTN,V592,M_MES,B592,M_LIQ,"&lt;&gt;")&gt;1),"⚠ Liquidación repetida en el mes",IF(AND(ISNUMBER(O592),ISNUMBER(P592),ISNUMBER(Q592),ABS(O592-P592-Q592)&gt;1),"⚠ Haberes − descuentos no da el líquido","OK"))))))</f>
        <v/>
      </c>
      <c r="V592" s="62" t="str">
        <f aca="false">IF(C592="","",IFERROR(VALUE(LEFT(UPPER(SUBSTITUTE(SUBSTITUTE(SUBSTITUTE(TRIM(C592),".",""),"-","")," ","")),LEN(UPPER(SUBSTITUTE(SUBSTITUTE(SUBSTITUTE(TRIM(C592),".",""),"-","")," ","")))-1))&amp;RIGHT(UPPER(SUBSTITUTE(SUBSTITUTE(SUBSTITUTE(TRIM(C592),".",""),"-","")," ","")),1),UPPER(SUBSTITUTE(SUBSTITUTE(SUBSTITUTE(TRIM(C592),".",""),"-","")," ",""))))</f>
        <v/>
      </c>
    </row>
    <row r="593" customFormat="false" ht="15" hidden="false" customHeight="false" outlineLevel="0" collapsed="false">
      <c r="B593" s="80"/>
      <c r="C593" s="58"/>
      <c r="D593" s="62" t="str">
        <f aca="false">IF(C593="","",IFERROR(INDEX(T_NOMBRE,MATCH(V593,T_RUTN,0)),"⚠ RUT no está en Trabajadores"))</f>
        <v/>
      </c>
      <c r="E593" s="61"/>
      <c r="F593" s="61"/>
      <c r="G593" s="61"/>
      <c r="H593" s="61"/>
      <c r="I593" s="81"/>
      <c r="J593" s="81"/>
      <c r="K593" s="60"/>
      <c r="L593" s="60"/>
      <c r="M593" s="60"/>
      <c r="N593" s="60"/>
      <c r="O593" s="60"/>
      <c r="P593" s="60"/>
      <c r="Q593" s="60"/>
      <c r="R593" s="58"/>
      <c r="S593" s="62" t="str">
        <f aca="false">IF(OR(B593="",V593=""),"",IFERROR(INDEX(C_TIPO,MATCH(V593&amp;"-P"&amp;MAX(1,COUNTIFS(C_RUTN,V593,C_DEF,"Sí",C_INI,"&lt;="&amp;EOMONTH(B593,0))),C_CLAVE,0))&amp;"","Sin contrato"))</f>
        <v/>
      </c>
      <c r="T593" s="63" t="str">
        <f aca="false">IF(OR(B593="",N(O593)=0),"",N(O593)+ROUND(MIN(N(N593),TOPE_UF*UF_MES)*(TASA_EMP+MUTUAL),0)+ROUND(MIN(N(N593),TOPE_AFC_UF*UF_MES)*IF(S593="Indefinido",AFC_INDEF,AFC_PF),0))</f>
        <v/>
      </c>
      <c r="U593" s="62" t="str">
        <f aca="false">IF(C593="","",IF(LEFT(D593,1)="⚠","⚠ RUT no registrado en Trabajadores",IF(B593="","⚠ Falta el mes",IF(OR(ISTEXT(I593),ISTEXT(J593)),"⚠ Atrasos u horas extra como texto: escriba hh:mm (ej. 1:30)",IF(AND(ISNUMBER(Q593),COUNTIFS(M_RUTN,V593,M_MES,B593,M_LIQ,"&lt;&gt;")&gt;1),"⚠ Liquidación repetida en el mes",IF(AND(ISNUMBER(O593),ISNUMBER(P593),ISNUMBER(Q593),ABS(O593-P593-Q593)&gt;1),"⚠ Haberes − descuentos no da el líquido","OK"))))))</f>
        <v/>
      </c>
      <c r="V593" s="62" t="str">
        <f aca="false">IF(C593="","",IFERROR(VALUE(LEFT(UPPER(SUBSTITUTE(SUBSTITUTE(SUBSTITUTE(TRIM(C593),".",""),"-","")," ","")),LEN(UPPER(SUBSTITUTE(SUBSTITUTE(SUBSTITUTE(TRIM(C593),".",""),"-","")," ","")))-1))&amp;RIGHT(UPPER(SUBSTITUTE(SUBSTITUTE(SUBSTITUTE(TRIM(C593),".",""),"-","")," ","")),1),UPPER(SUBSTITUTE(SUBSTITUTE(SUBSTITUTE(TRIM(C593),".",""),"-","")," ",""))))</f>
        <v/>
      </c>
    </row>
    <row r="594" customFormat="false" ht="15" hidden="false" customHeight="false" outlineLevel="0" collapsed="false">
      <c r="B594" s="80"/>
      <c r="C594" s="58"/>
      <c r="D594" s="62" t="str">
        <f aca="false">IF(C594="","",IFERROR(INDEX(T_NOMBRE,MATCH(V594,T_RUTN,0)),"⚠ RUT no está en Trabajadores"))</f>
        <v/>
      </c>
      <c r="E594" s="61"/>
      <c r="F594" s="61"/>
      <c r="G594" s="61"/>
      <c r="H594" s="61"/>
      <c r="I594" s="81"/>
      <c r="J594" s="81"/>
      <c r="K594" s="60"/>
      <c r="L594" s="60"/>
      <c r="M594" s="60"/>
      <c r="N594" s="60"/>
      <c r="O594" s="60"/>
      <c r="P594" s="60"/>
      <c r="Q594" s="60"/>
      <c r="R594" s="58"/>
      <c r="S594" s="62" t="str">
        <f aca="false">IF(OR(B594="",V594=""),"",IFERROR(INDEX(C_TIPO,MATCH(V594&amp;"-P"&amp;MAX(1,COUNTIFS(C_RUTN,V594,C_DEF,"Sí",C_INI,"&lt;="&amp;EOMONTH(B594,0))),C_CLAVE,0))&amp;"","Sin contrato"))</f>
        <v/>
      </c>
      <c r="T594" s="63" t="str">
        <f aca="false">IF(OR(B594="",N(O594)=0),"",N(O594)+ROUND(MIN(N(N594),TOPE_UF*UF_MES)*(TASA_EMP+MUTUAL),0)+ROUND(MIN(N(N594),TOPE_AFC_UF*UF_MES)*IF(S594="Indefinido",AFC_INDEF,AFC_PF),0))</f>
        <v/>
      </c>
      <c r="U594" s="62" t="str">
        <f aca="false">IF(C594="","",IF(LEFT(D594,1)="⚠","⚠ RUT no registrado en Trabajadores",IF(B594="","⚠ Falta el mes",IF(OR(ISTEXT(I594),ISTEXT(J594)),"⚠ Atrasos u horas extra como texto: escriba hh:mm (ej. 1:30)",IF(AND(ISNUMBER(Q594),COUNTIFS(M_RUTN,V594,M_MES,B594,M_LIQ,"&lt;&gt;")&gt;1),"⚠ Liquidación repetida en el mes",IF(AND(ISNUMBER(O594),ISNUMBER(P594),ISNUMBER(Q594),ABS(O594-P594-Q594)&gt;1),"⚠ Haberes − descuentos no da el líquido","OK"))))))</f>
        <v/>
      </c>
      <c r="V594" s="62" t="str">
        <f aca="false">IF(C594="","",IFERROR(VALUE(LEFT(UPPER(SUBSTITUTE(SUBSTITUTE(SUBSTITUTE(TRIM(C594),".",""),"-","")," ","")),LEN(UPPER(SUBSTITUTE(SUBSTITUTE(SUBSTITUTE(TRIM(C594),".",""),"-","")," ","")))-1))&amp;RIGHT(UPPER(SUBSTITUTE(SUBSTITUTE(SUBSTITUTE(TRIM(C594),".",""),"-","")," ","")),1),UPPER(SUBSTITUTE(SUBSTITUTE(SUBSTITUTE(TRIM(C594),".",""),"-","")," ",""))))</f>
        <v/>
      </c>
    </row>
    <row r="595" customFormat="false" ht="15" hidden="false" customHeight="false" outlineLevel="0" collapsed="false">
      <c r="B595" s="80"/>
      <c r="C595" s="58"/>
      <c r="D595" s="62" t="str">
        <f aca="false">IF(C595="","",IFERROR(INDEX(T_NOMBRE,MATCH(V595,T_RUTN,0)),"⚠ RUT no está en Trabajadores"))</f>
        <v/>
      </c>
      <c r="E595" s="61"/>
      <c r="F595" s="61"/>
      <c r="G595" s="61"/>
      <c r="H595" s="61"/>
      <c r="I595" s="81"/>
      <c r="J595" s="81"/>
      <c r="K595" s="60"/>
      <c r="L595" s="60"/>
      <c r="M595" s="60"/>
      <c r="N595" s="60"/>
      <c r="O595" s="60"/>
      <c r="P595" s="60"/>
      <c r="Q595" s="60"/>
      <c r="R595" s="58"/>
      <c r="S595" s="62" t="str">
        <f aca="false">IF(OR(B595="",V595=""),"",IFERROR(INDEX(C_TIPO,MATCH(V595&amp;"-P"&amp;MAX(1,COUNTIFS(C_RUTN,V595,C_DEF,"Sí",C_INI,"&lt;="&amp;EOMONTH(B595,0))),C_CLAVE,0))&amp;"","Sin contrato"))</f>
        <v/>
      </c>
      <c r="T595" s="63" t="str">
        <f aca="false">IF(OR(B595="",N(O595)=0),"",N(O595)+ROUND(MIN(N(N595),TOPE_UF*UF_MES)*(TASA_EMP+MUTUAL),0)+ROUND(MIN(N(N595),TOPE_AFC_UF*UF_MES)*IF(S595="Indefinido",AFC_INDEF,AFC_PF),0))</f>
        <v/>
      </c>
      <c r="U595" s="62" t="str">
        <f aca="false">IF(C595="","",IF(LEFT(D595,1)="⚠","⚠ RUT no registrado en Trabajadores",IF(B595="","⚠ Falta el mes",IF(OR(ISTEXT(I595),ISTEXT(J595)),"⚠ Atrasos u horas extra como texto: escriba hh:mm (ej. 1:30)",IF(AND(ISNUMBER(Q595),COUNTIFS(M_RUTN,V595,M_MES,B595,M_LIQ,"&lt;&gt;")&gt;1),"⚠ Liquidación repetida en el mes",IF(AND(ISNUMBER(O595),ISNUMBER(P595),ISNUMBER(Q595),ABS(O595-P595-Q595)&gt;1),"⚠ Haberes − descuentos no da el líquido","OK"))))))</f>
        <v/>
      </c>
      <c r="V595" s="62" t="str">
        <f aca="false">IF(C595="","",IFERROR(VALUE(LEFT(UPPER(SUBSTITUTE(SUBSTITUTE(SUBSTITUTE(TRIM(C595),".",""),"-","")," ","")),LEN(UPPER(SUBSTITUTE(SUBSTITUTE(SUBSTITUTE(TRIM(C595),".",""),"-","")," ","")))-1))&amp;RIGHT(UPPER(SUBSTITUTE(SUBSTITUTE(SUBSTITUTE(TRIM(C595),".",""),"-","")," ","")),1),UPPER(SUBSTITUTE(SUBSTITUTE(SUBSTITUTE(TRIM(C595),".",""),"-","")," ",""))))</f>
        <v/>
      </c>
    </row>
    <row r="596" customFormat="false" ht="15" hidden="false" customHeight="false" outlineLevel="0" collapsed="false">
      <c r="B596" s="80"/>
      <c r="C596" s="58"/>
      <c r="D596" s="62" t="str">
        <f aca="false">IF(C596="","",IFERROR(INDEX(T_NOMBRE,MATCH(V596,T_RUTN,0)),"⚠ RUT no está en Trabajadores"))</f>
        <v/>
      </c>
      <c r="E596" s="61"/>
      <c r="F596" s="61"/>
      <c r="G596" s="61"/>
      <c r="H596" s="61"/>
      <c r="I596" s="81"/>
      <c r="J596" s="81"/>
      <c r="K596" s="60"/>
      <c r="L596" s="60"/>
      <c r="M596" s="60"/>
      <c r="N596" s="60"/>
      <c r="O596" s="60"/>
      <c r="P596" s="60"/>
      <c r="Q596" s="60"/>
      <c r="R596" s="58"/>
      <c r="S596" s="62" t="str">
        <f aca="false">IF(OR(B596="",V596=""),"",IFERROR(INDEX(C_TIPO,MATCH(V596&amp;"-P"&amp;MAX(1,COUNTIFS(C_RUTN,V596,C_DEF,"Sí",C_INI,"&lt;="&amp;EOMONTH(B596,0))),C_CLAVE,0))&amp;"","Sin contrato"))</f>
        <v/>
      </c>
      <c r="T596" s="63" t="str">
        <f aca="false">IF(OR(B596="",N(O596)=0),"",N(O596)+ROUND(MIN(N(N596),TOPE_UF*UF_MES)*(TASA_EMP+MUTUAL),0)+ROUND(MIN(N(N596),TOPE_AFC_UF*UF_MES)*IF(S596="Indefinido",AFC_INDEF,AFC_PF),0))</f>
        <v/>
      </c>
      <c r="U596" s="62" t="str">
        <f aca="false">IF(C596="","",IF(LEFT(D596,1)="⚠","⚠ RUT no registrado en Trabajadores",IF(B596="","⚠ Falta el mes",IF(OR(ISTEXT(I596),ISTEXT(J596)),"⚠ Atrasos u horas extra como texto: escriba hh:mm (ej. 1:30)",IF(AND(ISNUMBER(Q596),COUNTIFS(M_RUTN,V596,M_MES,B596,M_LIQ,"&lt;&gt;")&gt;1),"⚠ Liquidación repetida en el mes",IF(AND(ISNUMBER(O596),ISNUMBER(P596),ISNUMBER(Q596),ABS(O596-P596-Q596)&gt;1),"⚠ Haberes − descuentos no da el líquido","OK"))))))</f>
        <v/>
      </c>
      <c r="V596" s="62" t="str">
        <f aca="false">IF(C596="","",IFERROR(VALUE(LEFT(UPPER(SUBSTITUTE(SUBSTITUTE(SUBSTITUTE(TRIM(C596),".",""),"-","")," ","")),LEN(UPPER(SUBSTITUTE(SUBSTITUTE(SUBSTITUTE(TRIM(C596),".",""),"-","")," ","")))-1))&amp;RIGHT(UPPER(SUBSTITUTE(SUBSTITUTE(SUBSTITUTE(TRIM(C596),".",""),"-","")," ","")),1),UPPER(SUBSTITUTE(SUBSTITUTE(SUBSTITUTE(TRIM(C596),".",""),"-","")," ",""))))</f>
        <v/>
      </c>
    </row>
    <row r="597" customFormat="false" ht="15" hidden="false" customHeight="false" outlineLevel="0" collapsed="false">
      <c r="B597" s="80"/>
      <c r="C597" s="58"/>
      <c r="D597" s="62" t="str">
        <f aca="false">IF(C597="","",IFERROR(INDEX(T_NOMBRE,MATCH(V597,T_RUTN,0)),"⚠ RUT no está en Trabajadores"))</f>
        <v/>
      </c>
      <c r="E597" s="61"/>
      <c r="F597" s="61"/>
      <c r="G597" s="61"/>
      <c r="H597" s="61"/>
      <c r="I597" s="81"/>
      <c r="J597" s="81"/>
      <c r="K597" s="60"/>
      <c r="L597" s="60"/>
      <c r="M597" s="60"/>
      <c r="N597" s="60"/>
      <c r="O597" s="60"/>
      <c r="P597" s="60"/>
      <c r="Q597" s="60"/>
      <c r="R597" s="58"/>
      <c r="S597" s="62" t="str">
        <f aca="false">IF(OR(B597="",V597=""),"",IFERROR(INDEX(C_TIPO,MATCH(V597&amp;"-P"&amp;MAX(1,COUNTIFS(C_RUTN,V597,C_DEF,"Sí",C_INI,"&lt;="&amp;EOMONTH(B597,0))),C_CLAVE,0))&amp;"","Sin contrato"))</f>
        <v/>
      </c>
      <c r="T597" s="63" t="str">
        <f aca="false">IF(OR(B597="",N(O597)=0),"",N(O597)+ROUND(MIN(N(N597),TOPE_UF*UF_MES)*(TASA_EMP+MUTUAL),0)+ROUND(MIN(N(N597),TOPE_AFC_UF*UF_MES)*IF(S597="Indefinido",AFC_INDEF,AFC_PF),0))</f>
        <v/>
      </c>
      <c r="U597" s="62" t="str">
        <f aca="false">IF(C597="","",IF(LEFT(D597,1)="⚠","⚠ RUT no registrado en Trabajadores",IF(B597="","⚠ Falta el mes",IF(OR(ISTEXT(I597),ISTEXT(J597)),"⚠ Atrasos u horas extra como texto: escriba hh:mm (ej. 1:30)",IF(AND(ISNUMBER(Q597),COUNTIFS(M_RUTN,V597,M_MES,B597,M_LIQ,"&lt;&gt;")&gt;1),"⚠ Liquidación repetida en el mes",IF(AND(ISNUMBER(O597),ISNUMBER(P597),ISNUMBER(Q597),ABS(O597-P597-Q597)&gt;1),"⚠ Haberes − descuentos no da el líquido","OK"))))))</f>
        <v/>
      </c>
      <c r="V597" s="62" t="str">
        <f aca="false">IF(C597="","",IFERROR(VALUE(LEFT(UPPER(SUBSTITUTE(SUBSTITUTE(SUBSTITUTE(TRIM(C597),".",""),"-","")," ","")),LEN(UPPER(SUBSTITUTE(SUBSTITUTE(SUBSTITUTE(TRIM(C597),".",""),"-","")," ","")))-1))&amp;RIGHT(UPPER(SUBSTITUTE(SUBSTITUTE(SUBSTITUTE(TRIM(C597),".",""),"-","")," ","")),1),UPPER(SUBSTITUTE(SUBSTITUTE(SUBSTITUTE(TRIM(C597),".",""),"-","")," ",""))))</f>
        <v/>
      </c>
    </row>
    <row r="598" customFormat="false" ht="15" hidden="false" customHeight="false" outlineLevel="0" collapsed="false">
      <c r="B598" s="80"/>
      <c r="C598" s="58"/>
      <c r="D598" s="62" t="str">
        <f aca="false">IF(C598="","",IFERROR(INDEX(T_NOMBRE,MATCH(V598,T_RUTN,0)),"⚠ RUT no está en Trabajadores"))</f>
        <v/>
      </c>
      <c r="E598" s="61"/>
      <c r="F598" s="61"/>
      <c r="G598" s="61"/>
      <c r="H598" s="61"/>
      <c r="I598" s="81"/>
      <c r="J598" s="81"/>
      <c r="K598" s="60"/>
      <c r="L598" s="60"/>
      <c r="M598" s="60"/>
      <c r="N598" s="60"/>
      <c r="O598" s="60"/>
      <c r="P598" s="60"/>
      <c r="Q598" s="60"/>
      <c r="R598" s="58"/>
      <c r="S598" s="62" t="str">
        <f aca="false">IF(OR(B598="",V598=""),"",IFERROR(INDEX(C_TIPO,MATCH(V598&amp;"-P"&amp;MAX(1,COUNTIFS(C_RUTN,V598,C_DEF,"Sí",C_INI,"&lt;="&amp;EOMONTH(B598,0))),C_CLAVE,0))&amp;"","Sin contrato"))</f>
        <v/>
      </c>
      <c r="T598" s="63" t="str">
        <f aca="false">IF(OR(B598="",N(O598)=0),"",N(O598)+ROUND(MIN(N(N598),TOPE_UF*UF_MES)*(TASA_EMP+MUTUAL),0)+ROUND(MIN(N(N598),TOPE_AFC_UF*UF_MES)*IF(S598="Indefinido",AFC_INDEF,AFC_PF),0))</f>
        <v/>
      </c>
      <c r="U598" s="62" t="str">
        <f aca="false">IF(C598="","",IF(LEFT(D598,1)="⚠","⚠ RUT no registrado en Trabajadores",IF(B598="","⚠ Falta el mes",IF(OR(ISTEXT(I598),ISTEXT(J598)),"⚠ Atrasos u horas extra como texto: escriba hh:mm (ej. 1:30)",IF(AND(ISNUMBER(Q598),COUNTIFS(M_RUTN,V598,M_MES,B598,M_LIQ,"&lt;&gt;")&gt;1),"⚠ Liquidación repetida en el mes",IF(AND(ISNUMBER(O598),ISNUMBER(P598),ISNUMBER(Q598),ABS(O598-P598-Q598)&gt;1),"⚠ Haberes − descuentos no da el líquido","OK"))))))</f>
        <v/>
      </c>
      <c r="V598" s="62" t="str">
        <f aca="false">IF(C598="","",IFERROR(VALUE(LEFT(UPPER(SUBSTITUTE(SUBSTITUTE(SUBSTITUTE(TRIM(C598),".",""),"-","")," ","")),LEN(UPPER(SUBSTITUTE(SUBSTITUTE(SUBSTITUTE(TRIM(C598),".",""),"-","")," ","")))-1))&amp;RIGHT(UPPER(SUBSTITUTE(SUBSTITUTE(SUBSTITUTE(TRIM(C598),".",""),"-","")," ","")),1),UPPER(SUBSTITUTE(SUBSTITUTE(SUBSTITUTE(TRIM(C598),".",""),"-","")," ",""))))</f>
        <v/>
      </c>
    </row>
    <row r="599" customFormat="false" ht="15" hidden="false" customHeight="false" outlineLevel="0" collapsed="false">
      <c r="B599" s="80"/>
      <c r="C599" s="58"/>
      <c r="D599" s="62" t="str">
        <f aca="false">IF(C599="","",IFERROR(INDEX(T_NOMBRE,MATCH(V599,T_RUTN,0)),"⚠ RUT no está en Trabajadores"))</f>
        <v/>
      </c>
      <c r="E599" s="61"/>
      <c r="F599" s="61"/>
      <c r="G599" s="61"/>
      <c r="H599" s="61"/>
      <c r="I599" s="81"/>
      <c r="J599" s="81"/>
      <c r="K599" s="60"/>
      <c r="L599" s="60"/>
      <c r="M599" s="60"/>
      <c r="N599" s="60"/>
      <c r="O599" s="60"/>
      <c r="P599" s="60"/>
      <c r="Q599" s="60"/>
      <c r="R599" s="58"/>
      <c r="S599" s="62" t="str">
        <f aca="false">IF(OR(B599="",V599=""),"",IFERROR(INDEX(C_TIPO,MATCH(V599&amp;"-P"&amp;MAX(1,COUNTIFS(C_RUTN,V599,C_DEF,"Sí",C_INI,"&lt;="&amp;EOMONTH(B599,0))),C_CLAVE,0))&amp;"","Sin contrato"))</f>
        <v/>
      </c>
      <c r="T599" s="63" t="str">
        <f aca="false">IF(OR(B599="",N(O599)=0),"",N(O599)+ROUND(MIN(N(N599),TOPE_UF*UF_MES)*(TASA_EMP+MUTUAL),0)+ROUND(MIN(N(N599),TOPE_AFC_UF*UF_MES)*IF(S599="Indefinido",AFC_INDEF,AFC_PF),0))</f>
        <v/>
      </c>
      <c r="U599" s="62" t="str">
        <f aca="false">IF(C599="","",IF(LEFT(D599,1)="⚠","⚠ RUT no registrado en Trabajadores",IF(B599="","⚠ Falta el mes",IF(OR(ISTEXT(I599),ISTEXT(J599)),"⚠ Atrasos u horas extra como texto: escriba hh:mm (ej. 1:30)",IF(AND(ISNUMBER(Q599),COUNTIFS(M_RUTN,V599,M_MES,B599,M_LIQ,"&lt;&gt;")&gt;1),"⚠ Liquidación repetida en el mes",IF(AND(ISNUMBER(O599),ISNUMBER(P599),ISNUMBER(Q599),ABS(O599-P599-Q599)&gt;1),"⚠ Haberes − descuentos no da el líquido","OK"))))))</f>
        <v/>
      </c>
      <c r="V599" s="62" t="str">
        <f aca="false">IF(C599="","",IFERROR(VALUE(LEFT(UPPER(SUBSTITUTE(SUBSTITUTE(SUBSTITUTE(TRIM(C599),".",""),"-","")," ","")),LEN(UPPER(SUBSTITUTE(SUBSTITUTE(SUBSTITUTE(TRIM(C599),".",""),"-","")," ","")))-1))&amp;RIGHT(UPPER(SUBSTITUTE(SUBSTITUTE(SUBSTITUTE(TRIM(C599),".",""),"-","")," ","")),1),UPPER(SUBSTITUTE(SUBSTITUTE(SUBSTITUTE(TRIM(C599),".",""),"-","")," ",""))))</f>
        <v/>
      </c>
    </row>
    <row r="600" customFormat="false" ht="15" hidden="false" customHeight="false" outlineLevel="0" collapsed="false">
      <c r="B600" s="80"/>
      <c r="C600" s="58"/>
      <c r="D600" s="62" t="str">
        <f aca="false">IF(C600="","",IFERROR(INDEX(T_NOMBRE,MATCH(V600,T_RUTN,0)),"⚠ RUT no está en Trabajadores"))</f>
        <v/>
      </c>
      <c r="E600" s="61"/>
      <c r="F600" s="61"/>
      <c r="G600" s="61"/>
      <c r="H600" s="61"/>
      <c r="I600" s="81"/>
      <c r="J600" s="81"/>
      <c r="K600" s="60"/>
      <c r="L600" s="60"/>
      <c r="M600" s="60"/>
      <c r="N600" s="60"/>
      <c r="O600" s="60"/>
      <c r="P600" s="60"/>
      <c r="Q600" s="60"/>
      <c r="R600" s="58"/>
      <c r="S600" s="62" t="str">
        <f aca="false">IF(OR(B600="",V600=""),"",IFERROR(INDEX(C_TIPO,MATCH(V600&amp;"-P"&amp;MAX(1,COUNTIFS(C_RUTN,V600,C_DEF,"Sí",C_INI,"&lt;="&amp;EOMONTH(B600,0))),C_CLAVE,0))&amp;"","Sin contrato"))</f>
        <v/>
      </c>
      <c r="T600" s="63" t="str">
        <f aca="false">IF(OR(B600="",N(O600)=0),"",N(O600)+ROUND(MIN(N(N600),TOPE_UF*UF_MES)*(TASA_EMP+MUTUAL),0)+ROUND(MIN(N(N600),TOPE_AFC_UF*UF_MES)*IF(S600="Indefinido",AFC_INDEF,AFC_PF),0))</f>
        <v/>
      </c>
      <c r="U600" s="62" t="str">
        <f aca="false">IF(C600="","",IF(LEFT(D600,1)="⚠","⚠ RUT no registrado en Trabajadores",IF(B600="","⚠ Falta el mes",IF(OR(ISTEXT(I600),ISTEXT(J600)),"⚠ Atrasos u horas extra como texto: escriba hh:mm (ej. 1:30)",IF(AND(ISNUMBER(Q600),COUNTIFS(M_RUTN,V600,M_MES,B600,M_LIQ,"&lt;&gt;")&gt;1),"⚠ Liquidación repetida en el mes",IF(AND(ISNUMBER(O600),ISNUMBER(P600),ISNUMBER(Q600),ABS(O600-P600-Q600)&gt;1),"⚠ Haberes − descuentos no da el líquido","OK"))))))</f>
        <v/>
      </c>
      <c r="V600" s="62" t="str">
        <f aca="false">IF(C600="","",IFERROR(VALUE(LEFT(UPPER(SUBSTITUTE(SUBSTITUTE(SUBSTITUTE(TRIM(C600),".",""),"-","")," ","")),LEN(UPPER(SUBSTITUTE(SUBSTITUTE(SUBSTITUTE(TRIM(C600),".",""),"-","")," ","")))-1))&amp;RIGHT(UPPER(SUBSTITUTE(SUBSTITUTE(SUBSTITUTE(TRIM(C600),".",""),"-","")," ","")),1),UPPER(SUBSTITUTE(SUBSTITUTE(SUBSTITUTE(TRIM(C600),".",""),"-","")," ",""))))</f>
        <v/>
      </c>
    </row>
    <row r="601" customFormat="false" ht="15" hidden="false" customHeight="false" outlineLevel="0" collapsed="false">
      <c r="B601" s="80"/>
      <c r="C601" s="58"/>
      <c r="D601" s="62" t="str">
        <f aca="false">IF(C601="","",IFERROR(INDEX(T_NOMBRE,MATCH(V601,T_RUTN,0)),"⚠ RUT no está en Trabajadores"))</f>
        <v/>
      </c>
      <c r="E601" s="61"/>
      <c r="F601" s="61"/>
      <c r="G601" s="61"/>
      <c r="H601" s="61"/>
      <c r="I601" s="81"/>
      <c r="J601" s="81"/>
      <c r="K601" s="60"/>
      <c r="L601" s="60"/>
      <c r="M601" s="60"/>
      <c r="N601" s="60"/>
      <c r="O601" s="60"/>
      <c r="P601" s="60"/>
      <c r="Q601" s="60"/>
      <c r="R601" s="58"/>
      <c r="S601" s="62" t="str">
        <f aca="false">IF(OR(B601="",V601=""),"",IFERROR(INDEX(C_TIPO,MATCH(V601&amp;"-P"&amp;MAX(1,COUNTIFS(C_RUTN,V601,C_DEF,"Sí",C_INI,"&lt;="&amp;EOMONTH(B601,0))),C_CLAVE,0))&amp;"","Sin contrato"))</f>
        <v/>
      </c>
      <c r="T601" s="63" t="str">
        <f aca="false">IF(OR(B601="",N(O601)=0),"",N(O601)+ROUND(MIN(N(N601),TOPE_UF*UF_MES)*(TASA_EMP+MUTUAL),0)+ROUND(MIN(N(N601),TOPE_AFC_UF*UF_MES)*IF(S601="Indefinido",AFC_INDEF,AFC_PF),0))</f>
        <v/>
      </c>
      <c r="U601" s="62" t="str">
        <f aca="false">IF(C601="","",IF(LEFT(D601,1)="⚠","⚠ RUT no registrado en Trabajadores",IF(B601="","⚠ Falta el mes",IF(OR(ISTEXT(I601),ISTEXT(J601)),"⚠ Atrasos u horas extra como texto: escriba hh:mm (ej. 1:30)",IF(AND(ISNUMBER(Q601),COUNTIFS(M_RUTN,V601,M_MES,B601,M_LIQ,"&lt;&gt;")&gt;1),"⚠ Liquidación repetida en el mes",IF(AND(ISNUMBER(O601),ISNUMBER(P601),ISNUMBER(Q601),ABS(O601-P601-Q601)&gt;1),"⚠ Haberes − descuentos no da el líquido","OK"))))))</f>
        <v/>
      </c>
      <c r="V601" s="62" t="str">
        <f aca="false">IF(C601="","",IFERROR(VALUE(LEFT(UPPER(SUBSTITUTE(SUBSTITUTE(SUBSTITUTE(TRIM(C601),".",""),"-","")," ","")),LEN(UPPER(SUBSTITUTE(SUBSTITUTE(SUBSTITUTE(TRIM(C601),".",""),"-","")," ","")))-1))&amp;RIGHT(UPPER(SUBSTITUTE(SUBSTITUTE(SUBSTITUTE(TRIM(C601),".",""),"-","")," ","")),1),UPPER(SUBSTITUTE(SUBSTITUTE(SUBSTITUTE(TRIM(C601),".",""),"-","")," ",""))))</f>
        <v/>
      </c>
    </row>
    <row r="602" customFormat="false" ht="15" hidden="false" customHeight="false" outlineLevel="0" collapsed="false">
      <c r="B602" s="80"/>
      <c r="C602" s="58"/>
      <c r="D602" s="62" t="str">
        <f aca="false">IF(C602="","",IFERROR(INDEX(T_NOMBRE,MATCH(V602,T_RUTN,0)),"⚠ RUT no está en Trabajadores"))</f>
        <v/>
      </c>
      <c r="E602" s="61"/>
      <c r="F602" s="61"/>
      <c r="G602" s="61"/>
      <c r="H602" s="61"/>
      <c r="I602" s="81"/>
      <c r="J602" s="81"/>
      <c r="K602" s="60"/>
      <c r="L602" s="60"/>
      <c r="M602" s="60"/>
      <c r="N602" s="60"/>
      <c r="O602" s="60"/>
      <c r="P602" s="60"/>
      <c r="Q602" s="60"/>
      <c r="R602" s="58"/>
      <c r="S602" s="62" t="str">
        <f aca="false">IF(OR(B602="",V602=""),"",IFERROR(INDEX(C_TIPO,MATCH(V602&amp;"-P"&amp;MAX(1,COUNTIFS(C_RUTN,V602,C_DEF,"Sí",C_INI,"&lt;="&amp;EOMONTH(B602,0))),C_CLAVE,0))&amp;"","Sin contrato"))</f>
        <v/>
      </c>
      <c r="T602" s="63" t="str">
        <f aca="false">IF(OR(B602="",N(O602)=0),"",N(O602)+ROUND(MIN(N(N602),TOPE_UF*UF_MES)*(TASA_EMP+MUTUAL),0)+ROUND(MIN(N(N602),TOPE_AFC_UF*UF_MES)*IF(S602="Indefinido",AFC_INDEF,AFC_PF),0))</f>
        <v/>
      </c>
      <c r="U602" s="62" t="str">
        <f aca="false">IF(C602="","",IF(LEFT(D602,1)="⚠","⚠ RUT no registrado en Trabajadores",IF(B602="","⚠ Falta el mes",IF(OR(ISTEXT(I602),ISTEXT(J602)),"⚠ Atrasos u horas extra como texto: escriba hh:mm (ej. 1:30)",IF(AND(ISNUMBER(Q602),COUNTIFS(M_RUTN,V602,M_MES,B602,M_LIQ,"&lt;&gt;")&gt;1),"⚠ Liquidación repetida en el mes",IF(AND(ISNUMBER(O602),ISNUMBER(P602),ISNUMBER(Q602),ABS(O602-P602-Q602)&gt;1),"⚠ Haberes − descuentos no da el líquido","OK"))))))</f>
        <v/>
      </c>
      <c r="V602" s="62" t="str">
        <f aca="false">IF(C602="","",IFERROR(VALUE(LEFT(UPPER(SUBSTITUTE(SUBSTITUTE(SUBSTITUTE(TRIM(C602),".",""),"-","")," ","")),LEN(UPPER(SUBSTITUTE(SUBSTITUTE(SUBSTITUTE(TRIM(C602),".",""),"-","")," ","")))-1))&amp;RIGHT(UPPER(SUBSTITUTE(SUBSTITUTE(SUBSTITUTE(TRIM(C602),".",""),"-","")," ","")),1),UPPER(SUBSTITUTE(SUBSTITUTE(SUBSTITUTE(TRIM(C602),".",""),"-","")," ",""))))</f>
        <v/>
      </c>
    </row>
    <row r="603" customFormat="false" ht="15" hidden="false" customHeight="false" outlineLevel="0" collapsed="false">
      <c r="B603" s="80"/>
      <c r="C603" s="58"/>
      <c r="D603" s="62" t="str">
        <f aca="false">IF(C603="","",IFERROR(INDEX(T_NOMBRE,MATCH(V603,T_RUTN,0)),"⚠ RUT no está en Trabajadores"))</f>
        <v/>
      </c>
      <c r="E603" s="61"/>
      <c r="F603" s="61"/>
      <c r="G603" s="61"/>
      <c r="H603" s="61"/>
      <c r="I603" s="81"/>
      <c r="J603" s="81"/>
      <c r="K603" s="60"/>
      <c r="L603" s="60"/>
      <c r="M603" s="60"/>
      <c r="N603" s="60"/>
      <c r="O603" s="60"/>
      <c r="P603" s="60"/>
      <c r="Q603" s="60"/>
      <c r="R603" s="58"/>
      <c r="S603" s="62" t="str">
        <f aca="false">IF(OR(B603="",V603=""),"",IFERROR(INDEX(C_TIPO,MATCH(V603&amp;"-P"&amp;MAX(1,COUNTIFS(C_RUTN,V603,C_DEF,"Sí",C_INI,"&lt;="&amp;EOMONTH(B603,0))),C_CLAVE,0))&amp;"","Sin contrato"))</f>
        <v/>
      </c>
      <c r="T603" s="63" t="str">
        <f aca="false">IF(OR(B603="",N(O603)=0),"",N(O603)+ROUND(MIN(N(N603),TOPE_UF*UF_MES)*(TASA_EMP+MUTUAL),0)+ROUND(MIN(N(N603),TOPE_AFC_UF*UF_MES)*IF(S603="Indefinido",AFC_INDEF,AFC_PF),0))</f>
        <v/>
      </c>
      <c r="U603" s="62" t="str">
        <f aca="false">IF(C603="","",IF(LEFT(D603,1)="⚠","⚠ RUT no registrado en Trabajadores",IF(B603="","⚠ Falta el mes",IF(OR(ISTEXT(I603),ISTEXT(J603)),"⚠ Atrasos u horas extra como texto: escriba hh:mm (ej. 1:30)",IF(AND(ISNUMBER(Q603),COUNTIFS(M_RUTN,V603,M_MES,B603,M_LIQ,"&lt;&gt;")&gt;1),"⚠ Liquidación repetida en el mes",IF(AND(ISNUMBER(O603),ISNUMBER(P603),ISNUMBER(Q603),ABS(O603-P603-Q603)&gt;1),"⚠ Haberes − descuentos no da el líquido","OK"))))))</f>
        <v/>
      </c>
      <c r="V603" s="62" t="str">
        <f aca="false">IF(C603="","",IFERROR(VALUE(LEFT(UPPER(SUBSTITUTE(SUBSTITUTE(SUBSTITUTE(TRIM(C603),".",""),"-","")," ","")),LEN(UPPER(SUBSTITUTE(SUBSTITUTE(SUBSTITUTE(TRIM(C603),".",""),"-","")," ","")))-1))&amp;RIGHT(UPPER(SUBSTITUTE(SUBSTITUTE(SUBSTITUTE(TRIM(C603),".",""),"-","")," ","")),1),UPPER(SUBSTITUTE(SUBSTITUTE(SUBSTITUTE(TRIM(C603),".",""),"-","")," ",""))))</f>
        <v/>
      </c>
    </row>
    <row r="604" customFormat="false" ht="15" hidden="false" customHeight="false" outlineLevel="0" collapsed="false">
      <c r="B604" s="80"/>
      <c r="C604" s="58"/>
      <c r="D604" s="62" t="str">
        <f aca="false">IF(C604="","",IFERROR(INDEX(T_NOMBRE,MATCH(V604,T_RUTN,0)),"⚠ RUT no está en Trabajadores"))</f>
        <v/>
      </c>
      <c r="E604" s="61"/>
      <c r="F604" s="61"/>
      <c r="G604" s="61"/>
      <c r="H604" s="61"/>
      <c r="I604" s="81"/>
      <c r="J604" s="81"/>
      <c r="K604" s="60"/>
      <c r="L604" s="60"/>
      <c r="M604" s="60"/>
      <c r="N604" s="60"/>
      <c r="O604" s="60"/>
      <c r="P604" s="60"/>
      <c r="Q604" s="60"/>
      <c r="R604" s="58"/>
      <c r="S604" s="62" t="str">
        <f aca="false">IF(OR(B604="",V604=""),"",IFERROR(INDEX(C_TIPO,MATCH(V604&amp;"-P"&amp;MAX(1,COUNTIFS(C_RUTN,V604,C_DEF,"Sí",C_INI,"&lt;="&amp;EOMONTH(B604,0))),C_CLAVE,0))&amp;"","Sin contrato"))</f>
        <v/>
      </c>
      <c r="T604" s="63" t="str">
        <f aca="false">IF(OR(B604="",N(O604)=0),"",N(O604)+ROUND(MIN(N(N604),TOPE_UF*UF_MES)*(TASA_EMP+MUTUAL),0)+ROUND(MIN(N(N604),TOPE_AFC_UF*UF_MES)*IF(S604="Indefinido",AFC_INDEF,AFC_PF),0))</f>
        <v/>
      </c>
      <c r="U604" s="62" t="str">
        <f aca="false">IF(C604="","",IF(LEFT(D604,1)="⚠","⚠ RUT no registrado en Trabajadores",IF(B604="","⚠ Falta el mes",IF(OR(ISTEXT(I604),ISTEXT(J604)),"⚠ Atrasos u horas extra como texto: escriba hh:mm (ej. 1:30)",IF(AND(ISNUMBER(Q604),COUNTIFS(M_RUTN,V604,M_MES,B604,M_LIQ,"&lt;&gt;")&gt;1),"⚠ Liquidación repetida en el mes",IF(AND(ISNUMBER(O604),ISNUMBER(P604),ISNUMBER(Q604),ABS(O604-P604-Q604)&gt;1),"⚠ Haberes − descuentos no da el líquido","OK"))))))</f>
        <v/>
      </c>
      <c r="V604" s="62" t="str">
        <f aca="false">IF(C604="","",IFERROR(VALUE(LEFT(UPPER(SUBSTITUTE(SUBSTITUTE(SUBSTITUTE(TRIM(C604),".",""),"-","")," ","")),LEN(UPPER(SUBSTITUTE(SUBSTITUTE(SUBSTITUTE(TRIM(C604),".",""),"-","")," ","")))-1))&amp;RIGHT(UPPER(SUBSTITUTE(SUBSTITUTE(SUBSTITUTE(TRIM(C604),".",""),"-","")," ","")),1),UPPER(SUBSTITUTE(SUBSTITUTE(SUBSTITUTE(TRIM(C604),".",""),"-","")," ",""))))</f>
        <v/>
      </c>
    </row>
    <row r="605" customFormat="false" ht="15" hidden="false" customHeight="false" outlineLevel="0" collapsed="false">
      <c r="B605" s="80"/>
      <c r="C605" s="58"/>
      <c r="D605" s="62" t="str">
        <f aca="false">IF(C605="","",IFERROR(INDEX(T_NOMBRE,MATCH(V605,T_RUTN,0)),"⚠ RUT no está en Trabajadores"))</f>
        <v/>
      </c>
      <c r="E605" s="61"/>
      <c r="F605" s="61"/>
      <c r="G605" s="61"/>
      <c r="H605" s="61"/>
      <c r="I605" s="81"/>
      <c r="J605" s="81"/>
      <c r="K605" s="60"/>
      <c r="L605" s="60"/>
      <c r="M605" s="60"/>
      <c r="N605" s="60"/>
      <c r="O605" s="60"/>
      <c r="P605" s="60"/>
      <c r="Q605" s="60"/>
      <c r="R605" s="58"/>
      <c r="S605" s="62" t="str">
        <f aca="false">IF(OR(B605="",V605=""),"",IFERROR(INDEX(C_TIPO,MATCH(V605&amp;"-P"&amp;MAX(1,COUNTIFS(C_RUTN,V605,C_DEF,"Sí",C_INI,"&lt;="&amp;EOMONTH(B605,0))),C_CLAVE,0))&amp;"","Sin contrato"))</f>
        <v/>
      </c>
      <c r="T605" s="63" t="str">
        <f aca="false">IF(OR(B605="",N(O605)=0),"",N(O605)+ROUND(MIN(N(N605),TOPE_UF*UF_MES)*(TASA_EMP+MUTUAL),0)+ROUND(MIN(N(N605),TOPE_AFC_UF*UF_MES)*IF(S605="Indefinido",AFC_INDEF,AFC_PF),0))</f>
        <v/>
      </c>
      <c r="U605" s="62" t="str">
        <f aca="false">IF(C605="","",IF(LEFT(D605,1)="⚠","⚠ RUT no registrado en Trabajadores",IF(B605="","⚠ Falta el mes",IF(OR(ISTEXT(I605),ISTEXT(J605)),"⚠ Atrasos u horas extra como texto: escriba hh:mm (ej. 1:30)",IF(AND(ISNUMBER(Q605),COUNTIFS(M_RUTN,V605,M_MES,B605,M_LIQ,"&lt;&gt;")&gt;1),"⚠ Liquidación repetida en el mes",IF(AND(ISNUMBER(O605),ISNUMBER(P605),ISNUMBER(Q605),ABS(O605-P605-Q605)&gt;1),"⚠ Haberes − descuentos no da el líquido","OK"))))))</f>
        <v/>
      </c>
      <c r="V605" s="62" t="str">
        <f aca="false">IF(C605="","",IFERROR(VALUE(LEFT(UPPER(SUBSTITUTE(SUBSTITUTE(SUBSTITUTE(TRIM(C605),".",""),"-","")," ","")),LEN(UPPER(SUBSTITUTE(SUBSTITUTE(SUBSTITUTE(TRIM(C605),".",""),"-","")," ","")))-1))&amp;RIGHT(UPPER(SUBSTITUTE(SUBSTITUTE(SUBSTITUTE(TRIM(C605),".",""),"-","")," ","")),1),UPPER(SUBSTITUTE(SUBSTITUTE(SUBSTITUTE(TRIM(C605),".",""),"-","")," ",""))))</f>
        <v/>
      </c>
    </row>
    <row r="606" customFormat="false" ht="15" hidden="false" customHeight="false" outlineLevel="0" collapsed="false">
      <c r="B606" s="80"/>
      <c r="C606" s="58"/>
      <c r="D606" s="62" t="str">
        <f aca="false">IF(C606="","",IFERROR(INDEX(T_NOMBRE,MATCH(V606,T_RUTN,0)),"⚠ RUT no está en Trabajadores"))</f>
        <v/>
      </c>
      <c r="E606" s="61"/>
      <c r="F606" s="61"/>
      <c r="G606" s="61"/>
      <c r="H606" s="61"/>
      <c r="I606" s="81"/>
      <c r="J606" s="81"/>
      <c r="K606" s="60"/>
      <c r="L606" s="60"/>
      <c r="M606" s="60"/>
      <c r="N606" s="60"/>
      <c r="O606" s="60"/>
      <c r="P606" s="60"/>
      <c r="Q606" s="60"/>
      <c r="R606" s="58"/>
      <c r="S606" s="62" t="str">
        <f aca="false">IF(OR(B606="",V606=""),"",IFERROR(INDEX(C_TIPO,MATCH(V606&amp;"-P"&amp;MAX(1,COUNTIFS(C_RUTN,V606,C_DEF,"Sí",C_INI,"&lt;="&amp;EOMONTH(B606,0))),C_CLAVE,0))&amp;"","Sin contrato"))</f>
        <v/>
      </c>
      <c r="T606" s="63" t="str">
        <f aca="false">IF(OR(B606="",N(O606)=0),"",N(O606)+ROUND(MIN(N(N606),TOPE_UF*UF_MES)*(TASA_EMP+MUTUAL),0)+ROUND(MIN(N(N606),TOPE_AFC_UF*UF_MES)*IF(S606="Indefinido",AFC_INDEF,AFC_PF),0))</f>
        <v/>
      </c>
      <c r="U606" s="62" t="str">
        <f aca="false">IF(C606="","",IF(LEFT(D606,1)="⚠","⚠ RUT no registrado en Trabajadores",IF(B606="","⚠ Falta el mes",IF(OR(ISTEXT(I606),ISTEXT(J606)),"⚠ Atrasos u horas extra como texto: escriba hh:mm (ej. 1:30)",IF(AND(ISNUMBER(Q606),COUNTIFS(M_RUTN,V606,M_MES,B606,M_LIQ,"&lt;&gt;")&gt;1),"⚠ Liquidación repetida en el mes",IF(AND(ISNUMBER(O606),ISNUMBER(P606),ISNUMBER(Q606),ABS(O606-P606-Q606)&gt;1),"⚠ Haberes − descuentos no da el líquido","OK"))))))</f>
        <v/>
      </c>
      <c r="V606" s="62" t="str">
        <f aca="false">IF(C606="","",IFERROR(VALUE(LEFT(UPPER(SUBSTITUTE(SUBSTITUTE(SUBSTITUTE(TRIM(C606),".",""),"-","")," ","")),LEN(UPPER(SUBSTITUTE(SUBSTITUTE(SUBSTITUTE(TRIM(C606),".",""),"-","")," ","")))-1))&amp;RIGHT(UPPER(SUBSTITUTE(SUBSTITUTE(SUBSTITUTE(TRIM(C606),".",""),"-","")," ","")),1),UPPER(SUBSTITUTE(SUBSTITUTE(SUBSTITUTE(TRIM(C606),".",""),"-","")," ",""))))</f>
        <v/>
      </c>
    </row>
    <row r="607" customFormat="false" ht="15" hidden="false" customHeight="false" outlineLevel="0" collapsed="false">
      <c r="B607" s="80"/>
      <c r="C607" s="58"/>
      <c r="D607" s="62" t="str">
        <f aca="false">IF(C607="","",IFERROR(INDEX(T_NOMBRE,MATCH(V607,T_RUTN,0)),"⚠ RUT no está en Trabajadores"))</f>
        <v/>
      </c>
      <c r="E607" s="61"/>
      <c r="F607" s="61"/>
      <c r="G607" s="61"/>
      <c r="H607" s="61"/>
      <c r="I607" s="81"/>
      <c r="J607" s="81"/>
      <c r="K607" s="60"/>
      <c r="L607" s="60"/>
      <c r="M607" s="60"/>
      <c r="N607" s="60"/>
      <c r="O607" s="60"/>
      <c r="P607" s="60"/>
      <c r="Q607" s="60"/>
      <c r="R607" s="58"/>
      <c r="S607" s="62" t="str">
        <f aca="false">IF(OR(B607="",V607=""),"",IFERROR(INDEX(C_TIPO,MATCH(V607&amp;"-P"&amp;MAX(1,COUNTIFS(C_RUTN,V607,C_DEF,"Sí",C_INI,"&lt;="&amp;EOMONTH(B607,0))),C_CLAVE,0))&amp;"","Sin contrato"))</f>
        <v/>
      </c>
      <c r="T607" s="63" t="str">
        <f aca="false">IF(OR(B607="",N(O607)=0),"",N(O607)+ROUND(MIN(N(N607),TOPE_UF*UF_MES)*(TASA_EMP+MUTUAL),0)+ROUND(MIN(N(N607),TOPE_AFC_UF*UF_MES)*IF(S607="Indefinido",AFC_INDEF,AFC_PF),0))</f>
        <v/>
      </c>
      <c r="U607" s="62" t="str">
        <f aca="false">IF(C607="","",IF(LEFT(D607,1)="⚠","⚠ RUT no registrado en Trabajadores",IF(B607="","⚠ Falta el mes",IF(OR(ISTEXT(I607),ISTEXT(J607)),"⚠ Atrasos u horas extra como texto: escriba hh:mm (ej. 1:30)",IF(AND(ISNUMBER(Q607),COUNTIFS(M_RUTN,V607,M_MES,B607,M_LIQ,"&lt;&gt;")&gt;1),"⚠ Liquidación repetida en el mes",IF(AND(ISNUMBER(O607),ISNUMBER(P607),ISNUMBER(Q607),ABS(O607-P607-Q607)&gt;1),"⚠ Haberes − descuentos no da el líquido","OK"))))))</f>
        <v/>
      </c>
      <c r="V607" s="62" t="str">
        <f aca="false">IF(C607="","",IFERROR(VALUE(LEFT(UPPER(SUBSTITUTE(SUBSTITUTE(SUBSTITUTE(TRIM(C607),".",""),"-","")," ","")),LEN(UPPER(SUBSTITUTE(SUBSTITUTE(SUBSTITUTE(TRIM(C607),".",""),"-","")," ","")))-1))&amp;RIGHT(UPPER(SUBSTITUTE(SUBSTITUTE(SUBSTITUTE(TRIM(C607),".",""),"-","")," ","")),1),UPPER(SUBSTITUTE(SUBSTITUTE(SUBSTITUTE(TRIM(C607),".",""),"-","")," ",""))))</f>
        <v/>
      </c>
    </row>
    <row r="608" customFormat="false" ht="15" hidden="false" customHeight="false" outlineLevel="0" collapsed="false">
      <c r="B608" s="80"/>
      <c r="C608" s="58"/>
      <c r="D608" s="62" t="str">
        <f aca="false">IF(C608="","",IFERROR(INDEX(T_NOMBRE,MATCH(V608,T_RUTN,0)),"⚠ RUT no está en Trabajadores"))</f>
        <v/>
      </c>
      <c r="E608" s="61"/>
      <c r="F608" s="61"/>
      <c r="G608" s="61"/>
      <c r="H608" s="61"/>
      <c r="I608" s="81"/>
      <c r="J608" s="81"/>
      <c r="K608" s="60"/>
      <c r="L608" s="60"/>
      <c r="M608" s="60"/>
      <c r="N608" s="60"/>
      <c r="O608" s="60"/>
      <c r="P608" s="60"/>
      <c r="Q608" s="60"/>
      <c r="R608" s="58"/>
      <c r="S608" s="62" t="str">
        <f aca="false">IF(OR(B608="",V608=""),"",IFERROR(INDEX(C_TIPO,MATCH(V608&amp;"-P"&amp;MAX(1,COUNTIFS(C_RUTN,V608,C_DEF,"Sí",C_INI,"&lt;="&amp;EOMONTH(B608,0))),C_CLAVE,0))&amp;"","Sin contrato"))</f>
        <v/>
      </c>
      <c r="T608" s="63" t="str">
        <f aca="false">IF(OR(B608="",N(O608)=0),"",N(O608)+ROUND(MIN(N(N608),TOPE_UF*UF_MES)*(TASA_EMP+MUTUAL),0)+ROUND(MIN(N(N608),TOPE_AFC_UF*UF_MES)*IF(S608="Indefinido",AFC_INDEF,AFC_PF),0))</f>
        <v/>
      </c>
      <c r="U608" s="62" t="str">
        <f aca="false">IF(C608="","",IF(LEFT(D608,1)="⚠","⚠ RUT no registrado en Trabajadores",IF(B608="","⚠ Falta el mes",IF(OR(ISTEXT(I608),ISTEXT(J608)),"⚠ Atrasos u horas extra como texto: escriba hh:mm (ej. 1:30)",IF(AND(ISNUMBER(Q608),COUNTIFS(M_RUTN,V608,M_MES,B608,M_LIQ,"&lt;&gt;")&gt;1),"⚠ Liquidación repetida en el mes",IF(AND(ISNUMBER(O608),ISNUMBER(P608),ISNUMBER(Q608),ABS(O608-P608-Q608)&gt;1),"⚠ Haberes − descuentos no da el líquido","OK"))))))</f>
        <v/>
      </c>
      <c r="V608" s="62" t="str">
        <f aca="false">IF(C608="","",IFERROR(VALUE(LEFT(UPPER(SUBSTITUTE(SUBSTITUTE(SUBSTITUTE(TRIM(C608),".",""),"-","")," ","")),LEN(UPPER(SUBSTITUTE(SUBSTITUTE(SUBSTITUTE(TRIM(C608),".",""),"-","")," ","")))-1))&amp;RIGHT(UPPER(SUBSTITUTE(SUBSTITUTE(SUBSTITUTE(TRIM(C608),".",""),"-","")," ","")),1),UPPER(SUBSTITUTE(SUBSTITUTE(SUBSTITUTE(TRIM(C608),".",""),"-","")," ",""))))</f>
        <v/>
      </c>
    </row>
    <row r="609" customFormat="false" ht="15" hidden="false" customHeight="false" outlineLevel="0" collapsed="false">
      <c r="B609" s="80"/>
      <c r="C609" s="58"/>
      <c r="D609" s="62" t="str">
        <f aca="false">IF(C609="","",IFERROR(INDEX(T_NOMBRE,MATCH(V609,T_RUTN,0)),"⚠ RUT no está en Trabajadores"))</f>
        <v/>
      </c>
      <c r="E609" s="61"/>
      <c r="F609" s="61"/>
      <c r="G609" s="61"/>
      <c r="H609" s="61"/>
      <c r="I609" s="81"/>
      <c r="J609" s="81"/>
      <c r="K609" s="60"/>
      <c r="L609" s="60"/>
      <c r="M609" s="60"/>
      <c r="N609" s="60"/>
      <c r="O609" s="60"/>
      <c r="P609" s="60"/>
      <c r="Q609" s="60"/>
      <c r="R609" s="58"/>
      <c r="S609" s="62" t="str">
        <f aca="false">IF(OR(B609="",V609=""),"",IFERROR(INDEX(C_TIPO,MATCH(V609&amp;"-P"&amp;MAX(1,COUNTIFS(C_RUTN,V609,C_DEF,"Sí",C_INI,"&lt;="&amp;EOMONTH(B609,0))),C_CLAVE,0))&amp;"","Sin contrato"))</f>
        <v/>
      </c>
      <c r="T609" s="63" t="str">
        <f aca="false">IF(OR(B609="",N(O609)=0),"",N(O609)+ROUND(MIN(N(N609),TOPE_UF*UF_MES)*(TASA_EMP+MUTUAL),0)+ROUND(MIN(N(N609),TOPE_AFC_UF*UF_MES)*IF(S609="Indefinido",AFC_INDEF,AFC_PF),0))</f>
        <v/>
      </c>
      <c r="U609" s="62" t="str">
        <f aca="false">IF(C609="","",IF(LEFT(D609,1)="⚠","⚠ RUT no registrado en Trabajadores",IF(B609="","⚠ Falta el mes",IF(OR(ISTEXT(I609),ISTEXT(J609)),"⚠ Atrasos u horas extra como texto: escriba hh:mm (ej. 1:30)",IF(AND(ISNUMBER(Q609),COUNTIFS(M_RUTN,V609,M_MES,B609,M_LIQ,"&lt;&gt;")&gt;1),"⚠ Liquidación repetida en el mes",IF(AND(ISNUMBER(O609),ISNUMBER(P609),ISNUMBER(Q609),ABS(O609-P609-Q609)&gt;1),"⚠ Haberes − descuentos no da el líquido","OK"))))))</f>
        <v/>
      </c>
      <c r="V609" s="62" t="str">
        <f aca="false">IF(C609="","",IFERROR(VALUE(LEFT(UPPER(SUBSTITUTE(SUBSTITUTE(SUBSTITUTE(TRIM(C609),".",""),"-","")," ","")),LEN(UPPER(SUBSTITUTE(SUBSTITUTE(SUBSTITUTE(TRIM(C609),".",""),"-","")," ","")))-1))&amp;RIGHT(UPPER(SUBSTITUTE(SUBSTITUTE(SUBSTITUTE(TRIM(C609),".",""),"-","")," ","")),1),UPPER(SUBSTITUTE(SUBSTITUTE(SUBSTITUTE(TRIM(C609),".",""),"-","")," ",""))))</f>
        <v/>
      </c>
    </row>
    <row r="610" customFormat="false" ht="15" hidden="false" customHeight="false" outlineLevel="0" collapsed="false">
      <c r="B610" s="80"/>
      <c r="C610" s="58"/>
      <c r="D610" s="62" t="str">
        <f aca="false">IF(C610="","",IFERROR(INDEX(T_NOMBRE,MATCH(V610,T_RUTN,0)),"⚠ RUT no está en Trabajadores"))</f>
        <v/>
      </c>
      <c r="E610" s="61"/>
      <c r="F610" s="61"/>
      <c r="G610" s="61"/>
      <c r="H610" s="61"/>
      <c r="I610" s="81"/>
      <c r="J610" s="81"/>
      <c r="K610" s="60"/>
      <c r="L610" s="60"/>
      <c r="M610" s="60"/>
      <c r="N610" s="60"/>
      <c r="O610" s="60"/>
      <c r="P610" s="60"/>
      <c r="Q610" s="60"/>
      <c r="R610" s="58"/>
      <c r="S610" s="62" t="str">
        <f aca="false">IF(OR(B610="",V610=""),"",IFERROR(INDEX(C_TIPO,MATCH(V610&amp;"-P"&amp;MAX(1,COUNTIFS(C_RUTN,V610,C_DEF,"Sí",C_INI,"&lt;="&amp;EOMONTH(B610,0))),C_CLAVE,0))&amp;"","Sin contrato"))</f>
        <v/>
      </c>
      <c r="T610" s="63" t="str">
        <f aca="false">IF(OR(B610="",N(O610)=0),"",N(O610)+ROUND(MIN(N(N610),TOPE_UF*UF_MES)*(TASA_EMP+MUTUAL),0)+ROUND(MIN(N(N610),TOPE_AFC_UF*UF_MES)*IF(S610="Indefinido",AFC_INDEF,AFC_PF),0))</f>
        <v/>
      </c>
      <c r="U610" s="62" t="str">
        <f aca="false">IF(C610="","",IF(LEFT(D610,1)="⚠","⚠ RUT no registrado en Trabajadores",IF(B610="","⚠ Falta el mes",IF(OR(ISTEXT(I610),ISTEXT(J610)),"⚠ Atrasos u horas extra como texto: escriba hh:mm (ej. 1:30)",IF(AND(ISNUMBER(Q610),COUNTIFS(M_RUTN,V610,M_MES,B610,M_LIQ,"&lt;&gt;")&gt;1),"⚠ Liquidación repetida en el mes",IF(AND(ISNUMBER(O610),ISNUMBER(P610),ISNUMBER(Q610),ABS(O610-P610-Q610)&gt;1),"⚠ Haberes − descuentos no da el líquido","OK"))))))</f>
        <v/>
      </c>
      <c r="V610" s="62" t="str">
        <f aca="false">IF(C610="","",IFERROR(VALUE(LEFT(UPPER(SUBSTITUTE(SUBSTITUTE(SUBSTITUTE(TRIM(C610),".",""),"-","")," ","")),LEN(UPPER(SUBSTITUTE(SUBSTITUTE(SUBSTITUTE(TRIM(C610),".",""),"-","")," ","")))-1))&amp;RIGHT(UPPER(SUBSTITUTE(SUBSTITUTE(SUBSTITUTE(TRIM(C610),".",""),"-","")," ","")),1),UPPER(SUBSTITUTE(SUBSTITUTE(SUBSTITUTE(TRIM(C610),".",""),"-","")," ",""))))</f>
        <v/>
      </c>
    </row>
    <row r="611" customFormat="false" ht="15" hidden="false" customHeight="false" outlineLevel="0" collapsed="false">
      <c r="B611" s="80"/>
      <c r="C611" s="58"/>
      <c r="D611" s="62" t="str">
        <f aca="false">IF(C611="","",IFERROR(INDEX(T_NOMBRE,MATCH(V611,T_RUTN,0)),"⚠ RUT no está en Trabajadores"))</f>
        <v/>
      </c>
      <c r="E611" s="61"/>
      <c r="F611" s="61"/>
      <c r="G611" s="61"/>
      <c r="H611" s="61"/>
      <c r="I611" s="81"/>
      <c r="J611" s="81"/>
      <c r="K611" s="60"/>
      <c r="L611" s="60"/>
      <c r="M611" s="60"/>
      <c r="N611" s="60"/>
      <c r="O611" s="60"/>
      <c r="P611" s="60"/>
      <c r="Q611" s="60"/>
      <c r="R611" s="58"/>
      <c r="S611" s="62" t="str">
        <f aca="false">IF(OR(B611="",V611=""),"",IFERROR(INDEX(C_TIPO,MATCH(V611&amp;"-P"&amp;MAX(1,COUNTIFS(C_RUTN,V611,C_DEF,"Sí",C_INI,"&lt;="&amp;EOMONTH(B611,0))),C_CLAVE,0))&amp;"","Sin contrato"))</f>
        <v/>
      </c>
      <c r="T611" s="63" t="str">
        <f aca="false">IF(OR(B611="",N(O611)=0),"",N(O611)+ROUND(MIN(N(N611),TOPE_UF*UF_MES)*(TASA_EMP+MUTUAL),0)+ROUND(MIN(N(N611),TOPE_AFC_UF*UF_MES)*IF(S611="Indefinido",AFC_INDEF,AFC_PF),0))</f>
        <v/>
      </c>
      <c r="U611" s="62" t="str">
        <f aca="false">IF(C611="","",IF(LEFT(D611,1)="⚠","⚠ RUT no registrado en Trabajadores",IF(B611="","⚠ Falta el mes",IF(OR(ISTEXT(I611),ISTEXT(J611)),"⚠ Atrasos u horas extra como texto: escriba hh:mm (ej. 1:30)",IF(AND(ISNUMBER(Q611),COUNTIFS(M_RUTN,V611,M_MES,B611,M_LIQ,"&lt;&gt;")&gt;1),"⚠ Liquidación repetida en el mes",IF(AND(ISNUMBER(O611),ISNUMBER(P611),ISNUMBER(Q611),ABS(O611-P611-Q611)&gt;1),"⚠ Haberes − descuentos no da el líquido","OK"))))))</f>
        <v/>
      </c>
      <c r="V611" s="62" t="str">
        <f aca="false">IF(C611="","",IFERROR(VALUE(LEFT(UPPER(SUBSTITUTE(SUBSTITUTE(SUBSTITUTE(TRIM(C611),".",""),"-","")," ","")),LEN(UPPER(SUBSTITUTE(SUBSTITUTE(SUBSTITUTE(TRIM(C611),".",""),"-","")," ","")))-1))&amp;RIGHT(UPPER(SUBSTITUTE(SUBSTITUTE(SUBSTITUTE(TRIM(C611),".",""),"-","")," ","")),1),UPPER(SUBSTITUTE(SUBSTITUTE(SUBSTITUTE(TRIM(C611),".",""),"-","")," ",""))))</f>
        <v/>
      </c>
    </row>
    <row r="612" customFormat="false" ht="15" hidden="false" customHeight="false" outlineLevel="0" collapsed="false">
      <c r="B612" s="80"/>
      <c r="C612" s="58"/>
      <c r="D612" s="62" t="str">
        <f aca="false">IF(C612="","",IFERROR(INDEX(T_NOMBRE,MATCH(V612,T_RUTN,0)),"⚠ RUT no está en Trabajadores"))</f>
        <v/>
      </c>
      <c r="E612" s="61"/>
      <c r="F612" s="61"/>
      <c r="G612" s="61"/>
      <c r="H612" s="61"/>
      <c r="I612" s="81"/>
      <c r="J612" s="81"/>
      <c r="K612" s="60"/>
      <c r="L612" s="60"/>
      <c r="M612" s="60"/>
      <c r="N612" s="60"/>
      <c r="O612" s="60"/>
      <c r="P612" s="60"/>
      <c r="Q612" s="60"/>
      <c r="R612" s="58"/>
      <c r="S612" s="62" t="str">
        <f aca="false">IF(OR(B612="",V612=""),"",IFERROR(INDEX(C_TIPO,MATCH(V612&amp;"-P"&amp;MAX(1,COUNTIFS(C_RUTN,V612,C_DEF,"Sí",C_INI,"&lt;="&amp;EOMONTH(B612,0))),C_CLAVE,0))&amp;"","Sin contrato"))</f>
        <v/>
      </c>
      <c r="T612" s="63" t="str">
        <f aca="false">IF(OR(B612="",N(O612)=0),"",N(O612)+ROUND(MIN(N(N612),TOPE_UF*UF_MES)*(TASA_EMP+MUTUAL),0)+ROUND(MIN(N(N612),TOPE_AFC_UF*UF_MES)*IF(S612="Indefinido",AFC_INDEF,AFC_PF),0))</f>
        <v/>
      </c>
      <c r="U612" s="62" t="str">
        <f aca="false">IF(C612="","",IF(LEFT(D612,1)="⚠","⚠ RUT no registrado en Trabajadores",IF(B612="","⚠ Falta el mes",IF(OR(ISTEXT(I612),ISTEXT(J612)),"⚠ Atrasos u horas extra como texto: escriba hh:mm (ej. 1:30)",IF(AND(ISNUMBER(Q612),COUNTIFS(M_RUTN,V612,M_MES,B612,M_LIQ,"&lt;&gt;")&gt;1),"⚠ Liquidación repetida en el mes",IF(AND(ISNUMBER(O612),ISNUMBER(P612),ISNUMBER(Q612),ABS(O612-P612-Q612)&gt;1),"⚠ Haberes − descuentos no da el líquido","OK"))))))</f>
        <v/>
      </c>
      <c r="V612" s="62" t="str">
        <f aca="false">IF(C612="","",IFERROR(VALUE(LEFT(UPPER(SUBSTITUTE(SUBSTITUTE(SUBSTITUTE(TRIM(C612),".",""),"-","")," ","")),LEN(UPPER(SUBSTITUTE(SUBSTITUTE(SUBSTITUTE(TRIM(C612),".",""),"-","")," ","")))-1))&amp;RIGHT(UPPER(SUBSTITUTE(SUBSTITUTE(SUBSTITUTE(TRIM(C612),".",""),"-","")," ","")),1),UPPER(SUBSTITUTE(SUBSTITUTE(SUBSTITUTE(TRIM(C612),".",""),"-","")," ",""))))</f>
        <v/>
      </c>
    </row>
    <row r="613" customFormat="false" ht="15" hidden="false" customHeight="false" outlineLevel="0" collapsed="false">
      <c r="B613" s="80"/>
      <c r="C613" s="58"/>
      <c r="D613" s="62" t="str">
        <f aca="false">IF(C613="","",IFERROR(INDEX(T_NOMBRE,MATCH(V613,T_RUTN,0)),"⚠ RUT no está en Trabajadores"))</f>
        <v/>
      </c>
      <c r="E613" s="61"/>
      <c r="F613" s="61"/>
      <c r="G613" s="61"/>
      <c r="H613" s="61"/>
      <c r="I613" s="81"/>
      <c r="J613" s="81"/>
      <c r="K613" s="60"/>
      <c r="L613" s="60"/>
      <c r="M613" s="60"/>
      <c r="N613" s="60"/>
      <c r="O613" s="60"/>
      <c r="P613" s="60"/>
      <c r="Q613" s="60"/>
      <c r="R613" s="58"/>
      <c r="S613" s="62" t="str">
        <f aca="false">IF(OR(B613="",V613=""),"",IFERROR(INDEX(C_TIPO,MATCH(V613&amp;"-P"&amp;MAX(1,COUNTIFS(C_RUTN,V613,C_DEF,"Sí",C_INI,"&lt;="&amp;EOMONTH(B613,0))),C_CLAVE,0))&amp;"","Sin contrato"))</f>
        <v/>
      </c>
      <c r="T613" s="63" t="str">
        <f aca="false">IF(OR(B613="",N(O613)=0),"",N(O613)+ROUND(MIN(N(N613),TOPE_UF*UF_MES)*(TASA_EMP+MUTUAL),0)+ROUND(MIN(N(N613),TOPE_AFC_UF*UF_MES)*IF(S613="Indefinido",AFC_INDEF,AFC_PF),0))</f>
        <v/>
      </c>
      <c r="U613" s="62" t="str">
        <f aca="false">IF(C613="","",IF(LEFT(D613,1)="⚠","⚠ RUT no registrado en Trabajadores",IF(B613="","⚠ Falta el mes",IF(OR(ISTEXT(I613),ISTEXT(J613)),"⚠ Atrasos u horas extra como texto: escriba hh:mm (ej. 1:30)",IF(AND(ISNUMBER(Q613),COUNTIFS(M_RUTN,V613,M_MES,B613,M_LIQ,"&lt;&gt;")&gt;1),"⚠ Liquidación repetida en el mes",IF(AND(ISNUMBER(O613),ISNUMBER(P613),ISNUMBER(Q613),ABS(O613-P613-Q613)&gt;1),"⚠ Haberes − descuentos no da el líquido","OK"))))))</f>
        <v/>
      </c>
      <c r="V613" s="62" t="str">
        <f aca="false">IF(C613="","",IFERROR(VALUE(LEFT(UPPER(SUBSTITUTE(SUBSTITUTE(SUBSTITUTE(TRIM(C613),".",""),"-","")," ","")),LEN(UPPER(SUBSTITUTE(SUBSTITUTE(SUBSTITUTE(TRIM(C613),".",""),"-","")," ","")))-1))&amp;RIGHT(UPPER(SUBSTITUTE(SUBSTITUTE(SUBSTITUTE(TRIM(C613),".",""),"-","")," ","")),1),UPPER(SUBSTITUTE(SUBSTITUTE(SUBSTITUTE(TRIM(C613),".",""),"-","")," ",""))))</f>
        <v/>
      </c>
    </row>
    <row r="614" customFormat="false" ht="15" hidden="false" customHeight="false" outlineLevel="0" collapsed="false">
      <c r="B614" s="80"/>
      <c r="C614" s="58"/>
      <c r="D614" s="62" t="str">
        <f aca="false">IF(C614="","",IFERROR(INDEX(T_NOMBRE,MATCH(V614,T_RUTN,0)),"⚠ RUT no está en Trabajadores"))</f>
        <v/>
      </c>
      <c r="E614" s="61"/>
      <c r="F614" s="61"/>
      <c r="G614" s="61"/>
      <c r="H614" s="61"/>
      <c r="I614" s="81"/>
      <c r="J614" s="81"/>
      <c r="K614" s="60"/>
      <c r="L614" s="60"/>
      <c r="M614" s="60"/>
      <c r="N614" s="60"/>
      <c r="O614" s="60"/>
      <c r="P614" s="60"/>
      <c r="Q614" s="60"/>
      <c r="R614" s="58"/>
      <c r="S614" s="62" t="str">
        <f aca="false">IF(OR(B614="",V614=""),"",IFERROR(INDEX(C_TIPO,MATCH(V614&amp;"-P"&amp;MAX(1,COUNTIFS(C_RUTN,V614,C_DEF,"Sí",C_INI,"&lt;="&amp;EOMONTH(B614,0))),C_CLAVE,0))&amp;"","Sin contrato"))</f>
        <v/>
      </c>
      <c r="T614" s="63" t="str">
        <f aca="false">IF(OR(B614="",N(O614)=0),"",N(O614)+ROUND(MIN(N(N614),TOPE_UF*UF_MES)*(TASA_EMP+MUTUAL),0)+ROUND(MIN(N(N614),TOPE_AFC_UF*UF_MES)*IF(S614="Indefinido",AFC_INDEF,AFC_PF),0))</f>
        <v/>
      </c>
      <c r="U614" s="62" t="str">
        <f aca="false">IF(C614="","",IF(LEFT(D614,1)="⚠","⚠ RUT no registrado en Trabajadores",IF(B614="","⚠ Falta el mes",IF(OR(ISTEXT(I614),ISTEXT(J614)),"⚠ Atrasos u horas extra como texto: escriba hh:mm (ej. 1:30)",IF(AND(ISNUMBER(Q614),COUNTIFS(M_RUTN,V614,M_MES,B614,M_LIQ,"&lt;&gt;")&gt;1),"⚠ Liquidación repetida en el mes",IF(AND(ISNUMBER(O614),ISNUMBER(P614),ISNUMBER(Q614),ABS(O614-P614-Q614)&gt;1),"⚠ Haberes − descuentos no da el líquido","OK"))))))</f>
        <v/>
      </c>
      <c r="V614" s="62" t="str">
        <f aca="false">IF(C614="","",IFERROR(VALUE(LEFT(UPPER(SUBSTITUTE(SUBSTITUTE(SUBSTITUTE(TRIM(C614),".",""),"-","")," ","")),LEN(UPPER(SUBSTITUTE(SUBSTITUTE(SUBSTITUTE(TRIM(C614),".",""),"-","")," ","")))-1))&amp;RIGHT(UPPER(SUBSTITUTE(SUBSTITUTE(SUBSTITUTE(TRIM(C614),".",""),"-","")," ","")),1),UPPER(SUBSTITUTE(SUBSTITUTE(SUBSTITUTE(TRIM(C614),".",""),"-","")," ",""))))</f>
        <v/>
      </c>
    </row>
    <row r="615" customFormat="false" ht="15" hidden="false" customHeight="false" outlineLevel="0" collapsed="false">
      <c r="B615" s="80"/>
      <c r="C615" s="58"/>
      <c r="D615" s="62" t="str">
        <f aca="false">IF(C615="","",IFERROR(INDEX(T_NOMBRE,MATCH(V615,T_RUTN,0)),"⚠ RUT no está en Trabajadores"))</f>
        <v/>
      </c>
      <c r="E615" s="61"/>
      <c r="F615" s="61"/>
      <c r="G615" s="61"/>
      <c r="H615" s="61"/>
      <c r="I615" s="81"/>
      <c r="J615" s="81"/>
      <c r="K615" s="60"/>
      <c r="L615" s="60"/>
      <c r="M615" s="60"/>
      <c r="N615" s="60"/>
      <c r="O615" s="60"/>
      <c r="P615" s="60"/>
      <c r="Q615" s="60"/>
      <c r="R615" s="58"/>
      <c r="S615" s="62" t="str">
        <f aca="false">IF(OR(B615="",V615=""),"",IFERROR(INDEX(C_TIPO,MATCH(V615&amp;"-P"&amp;MAX(1,COUNTIFS(C_RUTN,V615,C_DEF,"Sí",C_INI,"&lt;="&amp;EOMONTH(B615,0))),C_CLAVE,0))&amp;"","Sin contrato"))</f>
        <v/>
      </c>
      <c r="T615" s="63" t="str">
        <f aca="false">IF(OR(B615="",N(O615)=0),"",N(O615)+ROUND(MIN(N(N615),TOPE_UF*UF_MES)*(TASA_EMP+MUTUAL),0)+ROUND(MIN(N(N615),TOPE_AFC_UF*UF_MES)*IF(S615="Indefinido",AFC_INDEF,AFC_PF),0))</f>
        <v/>
      </c>
      <c r="U615" s="62" t="str">
        <f aca="false">IF(C615="","",IF(LEFT(D615,1)="⚠","⚠ RUT no registrado en Trabajadores",IF(B615="","⚠ Falta el mes",IF(OR(ISTEXT(I615),ISTEXT(J615)),"⚠ Atrasos u horas extra como texto: escriba hh:mm (ej. 1:30)",IF(AND(ISNUMBER(Q615),COUNTIFS(M_RUTN,V615,M_MES,B615,M_LIQ,"&lt;&gt;")&gt;1),"⚠ Liquidación repetida en el mes",IF(AND(ISNUMBER(O615),ISNUMBER(P615),ISNUMBER(Q615),ABS(O615-P615-Q615)&gt;1),"⚠ Haberes − descuentos no da el líquido","OK"))))))</f>
        <v/>
      </c>
      <c r="V615" s="62" t="str">
        <f aca="false">IF(C615="","",IFERROR(VALUE(LEFT(UPPER(SUBSTITUTE(SUBSTITUTE(SUBSTITUTE(TRIM(C615),".",""),"-","")," ","")),LEN(UPPER(SUBSTITUTE(SUBSTITUTE(SUBSTITUTE(TRIM(C615),".",""),"-","")," ","")))-1))&amp;RIGHT(UPPER(SUBSTITUTE(SUBSTITUTE(SUBSTITUTE(TRIM(C615),".",""),"-","")," ","")),1),UPPER(SUBSTITUTE(SUBSTITUTE(SUBSTITUTE(TRIM(C615),".",""),"-","")," ",""))))</f>
        <v/>
      </c>
    </row>
    <row r="616" customFormat="false" ht="15" hidden="false" customHeight="false" outlineLevel="0" collapsed="false">
      <c r="B616" s="80"/>
      <c r="C616" s="58"/>
      <c r="D616" s="62" t="str">
        <f aca="false">IF(C616="","",IFERROR(INDEX(T_NOMBRE,MATCH(V616,T_RUTN,0)),"⚠ RUT no está en Trabajadores"))</f>
        <v/>
      </c>
      <c r="E616" s="61"/>
      <c r="F616" s="61"/>
      <c r="G616" s="61"/>
      <c r="H616" s="61"/>
      <c r="I616" s="81"/>
      <c r="J616" s="81"/>
      <c r="K616" s="60"/>
      <c r="L616" s="60"/>
      <c r="M616" s="60"/>
      <c r="N616" s="60"/>
      <c r="O616" s="60"/>
      <c r="P616" s="60"/>
      <c r="Q616" s="60"/>
      <c r="R616" s="58"/>
      <c r="S616" s="62" t="str">
        <f aca="false">IF(OR(B616="",V616=""),"",IFERROR(INDEX(C_TIPO,MATCH(V616&amp;"-P"&amp;MAX(1,COUNTIFS(C_RUTN,V616,C_DEF,"Sí",C_INI,"&lt;="&amp;EOMONTH(B616,0))),C_CLAVE,0))&amp;"","Sin contrato"))</f>
        <v/>
      </c>
      <c r="T616" s="63" t="str">
        <f aca="false">IF(OR(B616="",N(O616)=0),"",N(O616)+ROUND(MIN(N(N616),TOPE_UF*UF_MES)*(TASA_EMP+MUTUAL),0)+ROUND(MIN(N(N616),TOPE_AFC_UF*UF_MES)*IF(S616="Indefinido",AFC_INDEF,AFC_PF),0))</f>
        <v/>
      </c>
      <c r="U616" s="62" t="str">
        <f aca="false">IF(C616="","",IF(LEFT(D616,1)="⚠","⚠ RUT no registrado en Trabajadores",IF(B616="","⚠ Falta el mes",IF(OR(ISTEXT(I616),ISTEXT(J616)),"⚠ Atrasos u horas extra como texto: escriba hh:mm (ej. 1:30)",IF(AND(ISNUMBER(Q616),COUNTIFS(M_RUTN,V616,M_MES,B616,M_LIQ,"&lt;&gt;")&gt;1),"⚠ Liquidación repetida en el mes",IF(AND(ISNUMBER(O616),ISNUMBER(P616),ISNUMBER(Q616),ABS(O616-P616-Q616)&gt;1),"⚠ Haberes − descuentos no da el líquido","OK"))))))</f>
        <v/>
      </c>
      <c r="V616" s="62" t="str">
        <f aca="false">IF(C616="","",IFERROR(VALUE(LEFT(UPPER(SUBSTITUTE(SUBSTITUTE(SUBSTITUTE(TRIM(C616),".",""),"-","")," ","")),LEN(UPPER(SUBSTITUTE(SUBSTITUTE(SUBSTITUTE(TRIM(C616),".",""),"-","")," ","")))-1))&amp;RIGHT(UPPER(SUBSTITUTE(SUBSTITUTE(SUBSTITUTE(TRIM(C616),".",""),"-","")," ","")),1),UPPER(SUBSTITUTE(SUBSTITUTE(SUBSTITUTE(TRIM(C616),".",""),"-","")," ",""))))</f>
        <v/>
      </c>
    </row>
    <row r="617" customFormat="false" ht="15" hidden="false" customHeight="false" outlineLevel="0" collapsed="false">
      <c r="B617" s="80"/>
      <c r="C617" s="58"/>
      <c r="D617" s="62" t="str">
        <f aca="false">IF(C617="","",IFERROR(INDEX(T_NOMBRE,MATCH(V617,T_RUTN,0)),"⚠ RUT no está en Trabajadores"))</f>
        <v/>
      </c>
      <c r="E617" s="61"/>
      <c r="F617" s="61"/>
      <c r="G617" s="61"/>
      <c r="H617" s="61"/>
      <c r="I617" s="81"/>
      <c r="J617" s="81"/>
      <c r="K617" s="60"/>
      <c r="L617" s="60"/>
      <c r="M617" s="60"/>
      <c r="N617" s="60"/>
      <c r="O617" s="60"/>
      <c r="P617" s="60"/>
      <c r="Q617" s="60"/>
      <c r="R617" s="58"/>
      <c r="S617" s="62" t="str">
        <f aca="false">IF(OR(B617="",V617=""),"",IFERROR(INDEX(C_TIPO,MATCH(V617&amp;"-P"&amp;MAX(1,COUNTIFS(C_RUTN,V617,C_DEF,"Sí",C_INI,"&lt;="&amp;EOMONTH(B617,0))),C_CLAVE,0))&amp;"","Sin contrato"))</f>
        <v/>
      </c>
      <c r="T617" s="63" t="str">
        <f aca="false">IF(OR(B617="",N(O617)=0),"",N(O617)+ROUND(MIN(N(N617),TOPE_UF*UF_MES)*(TASA_EMP+MUTUAL),0)+ROUND(MIN(N(N617),TOPE_AFC_UF*UF_MES)*IF(S617="Indefinido",AFC_INDEF,AFC_PF),0))</f>
        <v/>
      </c>
      <c r="U617" s="62" t="str">
        <f aca="false">IF(C617="","",IF(LEFT(D617,1)="⚠","⚠ RUT no registrado en Trabajadores",IF(B617="","⚠ Falta el mes",IF(OR(ISTEXT(I617),ISTEXT(J617)),"⚠ Atrasos u horas extra como texto: escriba hh:mm (ej. 1:30)",IF(AND(ISNUMBER(Q617),COUNTIFS(M_RUTN,V617,M_MES,B617,M_LIQ,"&lt;&gt;")&gt;1),"⚠ Liquidación repetida en el mes",IF(AND(ISNUMBER(O617),ISNUMBER(P617),ISNUMBER(Q617),ABS(O617-P617-Q617)&gt;1),"⚠ Haberes − descuentos no da el líquido","OK"))))))</f>
        <v/>
      </c>
      <c r="V617" s="62" t="str">
        <f aca="false">IF(C617="","",IFERROR(VALUE(LEFT(UPPER(SUBSTITUTE(SUBSTITUTE(SUBSTITUTE(TRIM(C617),".",""),"-","")," ","")),LEN(UPPER(SUBSTITUTE(SUBSTITUTE(SUBSTITUTE(TRIM(C617),".",""),"-","")," ","")))-1))&amp;RIGHT(UPPER(SUBSTITUTE(SUBSTITUTE(SUBSTITUTE(TRIM(C617),".",""),"-","")," ","")),1),UPPER(SUBSTITUTE(SUBSTITUTE(SUBSTITUTE(TRIM(C617),".",""),"-","")," ",""))))</f>
        <v/>
      </c>
    </row>
    <row r="618" customFormat="false" ht="15" hidden="false" customHeight="false" outlineLevel="0" collapsed="false">
      <c r="B618" s="80"/>
      <c r="C618" s="58"/>
      <c r="D618" s="62" t="str">
        <f aca="false">IF(C618="","",IFERROR(INDEX(T_NOMBRE,MATCH(V618,T_RUTN,0)),"⚠ RUT no está en Trabajadores"))</f>
        <v/>
      </c>
      <c r="E618" s="61"/>
      <c r="F618" s="61"/>
      <c r="G618" s="61"/>
      <c r="H618" s="61"/>
      <c r="I618" s="81"/>
      <c r="J618" s="81"/>
      <c r="K618" s="60"/>
      <c r="L618" s="60"/>
      <c r="M618" s="60"/>
      <c r="N618" s="60"/>
      <c r="O618" s="60"/>
      <c r="P618" s="60"/>
      <c r="Q618" s="60"/>
      <c r="R618" s="58"/>
      <c r="S618" s="62" t="str">
        <f aca="false">IF(OR(B618="",V618=""),"",IFERROR(INDEX(C_TIPO,MATCH(V618&amp;"-P"&amp;MAX(1,COUNTIFS(C_RUTN,V618,C_DEF,"Sí",C_INI,"&lt;="&amp;EOMONTH(B618,0))),C_CLAVE,0))&amp;"","Sin contrato"))</f>
        <v/>
      </c>
      <c r="T618" s="63" t="str">
        <f aca="false">IF(OR(B618="",N(O618)=0),"",N(O618)+ROUND(MIN(N(N618),TOPE_UF*UF_MES)*(TASA_EMP+MUTUAL),0)+ROUND(MIN(N(N618),TOPE_AFC_UF*UF_MES)*IF(S618="Indefinido",AFC_INDEF,AFC_PF),0))</f>
        <v/>
      </c>
      <c r="U618" s="62" t="str">
        <f aca="false">IF(C618="","",IF(LEFT(D618,1)="⚠","⚠ RUT no registrado en Trabajadores",IF(B618="","⚠ Falta el mes",IF(OR(ISTEXT(I618),ISTEXT(J618)),"⚠ Atrasos u horas extra como texto: escriba hh:mm (ej. 1:30)",IF(AND(ISNUMBER(Q618),COUNTIFS(M_RUTN,V618,M_MES,B618,M_LIQ,"&lt;&gt;")&gt;1),"⚠ Liquidación repetida en el mes",IF(AND(ISNUMBER(O618),ISNUMBER(P618),ISNUMBER(Q618),ABS(O618-P618-Q618)&gt;1),"⚠ Haberes − descuentos no da el líquido","OK"))))))</f>
        <v/>
      </c>
      <c r="V618" s="62" t="str">
        <f aca="false">IF(C618="","",IFERROR(VALUE(LEFT(UPPER(SUBSTITUTE(SUBSTITUTE(SUBSTITUTE(TRIM(C618),".",""),"-","")," ","")),LEN(UPPER(SUBSTITUTE(SUBSTITUTE(SUBSTITUTE(TRIM(C618),".",""),"-","")," ","")))-1))&amp;RIGHT(UPPER(SUBSTITUTE(SUBSTITUTE(SUBSTITUTE(TRIM(C618),".",""),"-","")," ","")),1),UPPER(SUBSTITUTE(SUBSTITUTE(SUBSTITUTE(TRIM(C618),".",""),"-","")," ",""))))</f>
        <v/>
      </c>
    </row>
    <row r="619" customFormat="false" ht="15" hidden="false" customHeight="false" outlineLevel="0" collapsed="false">
      <c r="B619" s="80"/>
      <c r="C619" s="58"/>
      <c r="D619" s="62" t="str">
        <f aca="false">IF(C619="","",IFERROR(INDEX(T_NOMBRE,MATCH(V619,T_RUTN,0)),"⚠ RUT no está en Trabajadores"))</f>
        <v/>
      </c>
      <c r="E619" s="61"/>
      <c r="F619" s="61"/>
      <c r="G619" s="61"/>
      <c r="H619" s="61"/>
      <c r="I619" s="81"/>
      <c r="J619" s="81"/>
      <c r="K619" s="60"/>
      <c r="L619" s="60"/>
      <c r="M619" s="60"/>
      <c r="N619" s="60"/>
      <c r="O619" s="60"/>
      <c r="P619" s="60"/>
      <c r="Q619" s="60"/>
      <c r="R619" s="58"/>
      <c r="S619" s="62" t="str">
        <f aca="false">IF(OR(B619="",V619=""),"",IFERROR(INDEX(C_TIPO,MATCH(V619&amp;"-P"&amp;MAX(1,COUNTIFS(C_RUTN,V619,C_DEF,"Sí",C_INI,"&lt;="&amp;EOMONTH(B619,0))),C_CLAVE,0))&amp;"","Sin contrato"))</f>
        <v/>
      </c>
      <c r="T619" s="63" t="str">
        <f aca="false">IF(OR(B619="",N(O619)=0),"",N(O619)+ROUND(MIN(N(N619),TOPE_UF*UF_MES)*(TASA_EMP+MUTUAL),0)+ROUND(MIN(N(N619),TOPE_AFC_UF*UF_MES)*IF(S619="Indefinido",AFC_INDEF,AFC_PF),0))</f>
        <v/>
      </c>
      <c r="U619" s="62" t="str">
        <f aca="false">IF(C619="","",IF(LEFT(D619,1)="⚠","⚠ RUT no registrado en Trabajadores",IF(B619="","⚠ Falta el mes",IF(OR(ISTEXT(I619),ISTEXT(J619)),"⚠ Atrasos u horas extra como texto: escriba hh:mm (ej. 1:30)",IF(AND(ISNUMBER(Q619),COUNTIFS(M_RUTN,V619,M_MES,B619,M_LIQ,"&lt;&gt;")&gt;1),"⚠ Liquidación repetida en el mes",IF(AND(ISNUMBER(O619),ISNUMBER(P619),ISNUMBER(Q619),ABS(O619-P619-Q619)&gt;1),"⚠ Haberes − descuentos no da el líquido","OK"))))))</f>
        <v/>
      </c>
      <c r="V619" s="62" t="str">
        <f aca="false">IF(C619="","",IFERROR(VALUE(LEFT(UPPER(SUBSTITUTE(SUBSTITUTE(SUBSTITUTE(TRIM(C619),".",""),"-","")," ","")),LEN(UPPER(SUBSTITUTE(SUBSTITUTE(SUBSTITUTE(TRIM(C619),".",""),"-","")," ","")))-1))&amp;RIGHT(UPPER(SUBSTITUTE(SUBSTITUTE(SUBSTITUTE(TRIM(C619),".",""),"-","")," ","")),1),UPPER(SUBSTITUTE(SUBSTITUTE(SUBSTITUTE(TRIM(C619),".",""),"-","")," ",""))))</f>
        <v/>
      </c>
    </row>
    <row r="620" customFormat="false" ht="15" hidden="false" customHeight="false" outlineLevel="0" collapsed="false">
      <c r="B620" s="80"/>
      <c r="C620" s="58"/>
      <c r="D620" s="62" t="str">
        <f aca="false">IF(C620="","",IFERROR(INDEX(T_NOMBRE,MATCH(V620,T_RUTN,0)),"⚠ RUT no está en Trabajadores"))</f>
        <v/>
      </c>
      <c r="E620" s="61"/>
      <c r="F620" s="61"/>
      <c r="G620" s="61"/>
      <c r="H620" s="61"/>
      <c r="I620" s="81"/>
      <c r="J620" s="81"/>
      <c r="K620" s="60"/>
      <c r="L620" s="60"/>
      <c r="M620" s="60"/>
      <c r="N620" s="60"/>
      <c r="O620" s="60"/>
      <c r="P620" s="60"/>
      <c r="Q620" s="60"/>
      <c r="R620" s="58"/>
      <c r="S620" s="62" t="str">
        <f aca="false">IF(OR(B620="",V620=""),"",IFERROR(INDEX(C_TIPO,MATCH(V620&amp;"-P"&amp;MAX(1,COUNTIFS(C_RUTN,V620,C_DEF,"Sí",C_INI,"&lt;="&amp;EOMONTH(B620,0))),C_CLAVE,0))&amp;"","Sin contrato"))</f>
        <v/>
      </c>
      <c r="T620" s="63" t="str">
        <f aca="false">IF(OR(B620="",N(O620)=0),"",N(O620)+ROUND(MIN(N(N620),TOPE_UF*UF_MES)*(TASA_EMP+MUTUAL),0)+ROUND(MIN(N(N620),TOPE_AFC_UF*UF_MES)*IF(S620="Indefinido",AFC_INDEF,AFC_PF),0))</f>
        <v/>
      </c>
      <c r="U620" s="62" t="str">
        <f aca="false">IF(C620="","",IF(LEFT(D620,1)="⚠","⚠ RUT no registrado en Trabajadores",IF(B620="","⚠ Falta el mes",IF(OR(ISTEXT(I620),ISTEXT(J620)),"⚠ Atrasos u horas extra como texto: escriba hh:mm (ej. 1:30)",IF(AND(ISNUMBER(Q620),COUNTIFS(M_RUTN,V620,M_MES,B620,M_LIQ,"&lt;&gt;")&gt;1),"⚠ Liquidación repetida en el mes",IF(AND(ISNUMBER(O620),ISNUMBER(P620),ISNUMBER(Q620),ABS(O620-P620-Q620)&gt;1),"⚠ Haberes − descuentos no da el líquido","OK"))))))</f>
        <v/>
      </c>
      <c r="V620" s="62" t="str">
        <f aca="false">IF(C620="","",IFERROR(VALUE(LEFT(UPPER(SUBSTITUTE(SUBSTITUTE(SUBSTITUTE(TRIM(C620),".",""),"-","")," ","")),LEN(UPPER(SUBSTITUTE(SUBSTITUTE(SUBSTITUTE(TRIM(C620),".",""),"-","")," ","")))-1))&amp;RIGHT(UPPER(SUBSTITUTE(SUBSTITUTE(SUBSTITUTE(TRIM(C620),".",""),"-","")," ","")),1),UPPER(SUBSTITUTE(SUBSTITUTE(SUBSTITUTE(TRIM(C620),".",""),"-","")," ",""))))</f>
        <v/>
      </c>
    </row>
    <row r="621" customFormat="false" ht="15" hidden="false" customHeight="false" outlineLevel="0" collapsed="false">
      <c r="B621" s="80"/>
      <c r="C621" s="58"/>
      <c r="D621" s="62" t="str">
        <f aca="false">IF(C621="","",IFERROR(INDEX(T_NOMBRE,MATCH(V621,T_RUTN,0)),"⚠ RUT no está en Trabajadores"))</f>
        <v/>
      </c>
      <c r="E621" s="61"/>
      <c r="F621" s="61"/>
      <c r="G621" s="61"/>
      <c r="H621" s="61"/>
      <c r="I621" s="81"/>
      <c r="J621" s="81"/>
      <c r="K621" s="60"/>
      <c r="L621" s="60"/>
      <c r="M621" s="60"/>
      <c r="N621" s="60"/>
      <c r="O621" s="60"/>
      <c r="P621" s="60"/>
      <c r="Q621" s="60"/>
      <c r="R621" s="58"/>
      <c r="S621" s="62" t="str">
        <f aca="false">IF(OR(B621="",V621=""),"",IFERROR(INDEX(C_TIPO,MATCH(V621&amp;"-P"&amp;MAX(1,COUNTIFS(C_RUTN,V621,C_DEF,"Sí",C_INI,"&lt;="&amp;EOMONTH(B621,0))),C_CLAVE,0))&amp;"","Sin contrato"))</f>
        <v/>
      </c>
      <c r="T621" s="63" t="str">
        <f aca="false">IF(OR(B621="",N(O621)=0),"",N(O621)+ROUND(MIN(N(N621),TOPE_UF*UF_MES)*(TASA_EMP+MUTUAL),0)+ROUND(MIN(N(N621),TOPE_AFC_UF*UF_MES)*IF(S621="Indefinido",AFC_INDEF,AFC_PF),0))</f>
        <v/>
      </c>
      <c r="U621" s="62" t="str">
        <f aca="false">IF(C621="","",IF(LEFT(D621,1)="⚠","⚠ RUT no registrado en Trabajadores",IF(B621="","⚠ Falta el mes",IF(OR(ISTEXT(I621),ISTEXT(J621)),"⚠ Atrasos u horas extra como texto: escriba hh:mm (ej. 1:30)",IF(AND(ISNUMBER(Q621),COUNTIFS(M_RUTN,V621,M_MES,B621,M_LIQ,"&lt;&gt;")&gt;1),"⚠ Liquidación repetida en el mes",IF(AND(ISNUMBER(O621),ISNUMBER(P621),ISNUMBER(Q621),ABS(O621-P621-Q621)&gt;1),"⚠ Haberes − descuentos no da el líquido","OK"))))))</f>
        <v/>
      </c>
      <c r="V621" s="62" t="str">
        <f aca="false">IF(C621="","",IFERROR(VALUE(LEFT(UPPER(SUBSTITUTE(SUBSTITUTE(SUBSTITUTE(TRIM(C621),".",""),"-","")," ","")),LEN(UPPER(SUBSTITUTE(SUBSTITUTE(SUBSTITUTE(TRIM(C621),".",""),"-","")," ","")))-1))&amp;RIGHT(UPPER(SUBSTITUTE(SUBSTITUTE(SUBSTITUTE(TRIM(C621),".",""),"-","")," ","")),1),UPPER(SUBSTITUTE(SUBSTITUTE(SUBSTITUTE(TRIM(C621),".",""),"-","")," ",""))))</f>
        <v/>
      </c>
    </row>
    <row r="622" customFormat="false" ht="15" hidden="false" customHeight="false" outlineLevel="0" collapsed="false">
      <c r="B622" s="80"/>
      <c r="C622" s="58"/>
      <c r="D622" s="62" t="str">
        <f aca="false">IF(C622="","",IFERROR(INDEX(T_NOMBRE,MATCH(V622,T_RUTN,0)),"⚠ RUT no está en Trabajadores"))</f>
        <v/>
      </c>
      <c r="E622" s="61"/>
      <c r="F622" s="61"/>
      <c r="G622" s="61"/>
      <c r="H622" s="61"/>
      <c r="I622" s="81"/>
      <c r="J622" s="81"/>
      <c r="K622" s="60"/>
      <c r="L622" s="60"/>
      <c r="M622" s="60"/>
      <c r="N622" s="60"/>
      <c r="O622" s="60"/>
      <c r="P622" s="60"/>
      <c r="Q622" s="60"/>
      <c r="R622" s="58"/>
      <c r="S622" s="62" t="str">
        <f aca="false">IF(OR(B622="",V622=""),"",IFERROR(INDEX(C_TIPO,MATCH(V622&amp;"-P"&amp;MAX(1,COUNTIFS(C_RUTN,V622,C_DEF,"Sí",C_INI,"&lt;="&amp;EOMONTH(B622,0))),C_CLAVE,0))&amp;"","Sin contrato"))</f>
        <v/>
      </c>
      <c r="T622" s="63" t="str">
        <f aca="false">IF(OR(B622="",N(O622)=0),"",N(O622)+ROUND(MIN(N(N622),TOPE_UF*UF_MES)*(TASA_EMP+MUTUAL),0)+ROUND(MIN(N(N622),TOPE_AFC_UF*UF_MES)*IF(S622="Indefinido",AFC_INDEF,AFC_PF),0))</f>
        <v/>
      </c>
      <c r="U622" s="62" t="str">
        <f aca="false">IF(C622="","",IF(LEFT(D622,1)="⚠","⚠ RUT no registrado en Trabajadores",IF(B622="","⚠ Falta el mes",IF(OR(ISTEXT(I622),ISTEXT(J622)),"⚠ Atrasos u horas extra como texto: escriba hh:mm (ej. 1:30)",IF(AND(ISNUMBER(Q622),COUNTIFS(M_RUTN,V622,M_MES,B622,M_LIQ,"&lt;&gt;")&gt;1),"⚠ Liquidación repetida en el mes",IF(AND(ISNUMBER(O622),ISNUMBER(P622),ISNUMBER(Q622),ABS(O622-P622-Q622)&gt;1),"⚠ Haberes − descuentos no da el líquido","OK"))))))</f>
        <v/>
      </c>
      <c r="V622" s="62" t="str">
        <f aca="false">IF(C622="","",IFERROR(VALUE(LEFT(UPPER(SUBSTITUTE(SUBSTITUTE(SUBSTITUTE(TRIM(C622),".",""),"-","")," ","")),LEN(UPPER(SUBSTITUTE(SUBSTITUTE(SUBSTITUTE(TRIM(C622),".",""),"-","")," ","")))-1))&amp;RIGHT(UPPER(SUBSTITUTE(SUBSTITUTE(SUBSTITUTE(TRIM(C622),".",""),"-","")," ","")),1),UPPER(SUBSTITUTE(SUBSTITUTE(SUBSTITUTE(TRIM(C622),".",""),"-","")," ",""))))</f>
        <v/>
      </c>
    </row>
    <row r="623" customFormat="false" ht="15" hidden="false" customHeight="false" outlineLevel="0" collapsed="false">
      <c r="B623" s="80"/>
      <c r="C623" s="58"/>
      <c r="D623" s="62" t="str">
        <f aca="false">IF(C623="","",IFERROR(INDEX(T_NOMBRE,MATCH(V623,T_RUTN,0)),"⚠ RUT no está en Trabajadores"))</f>
        <v/>
      </c>
      <c r="E623" s="61"/>
      <c r="F623" s="61"/>
      <c r="G623" s="61"/>
      <c r="H623" s="61"/>
      <c r="I623" s="81"/>
      <c r="J623" s="81"/>
      <c r="K623" s="60"/>
      <c r="L623" s="60"/>
      <c r="M623" s="60"/>
      <c r="N623" s="60"/>
      <c r="O623" s="60"/>
      <c r="P623" s="60"/>
      <c r="Q623" s="60"/>
      <c r="R623" s="58"/>
      <c r="S623" s="62" t="str">
        <f aca="false">IF(OR(B623="",V623=""),"",IFERROR(INDEX(C_TIPO,MATCH(V623&amp;"-P"&amp;MAX(1,COUNTIFS(C_RUTN,V623,C_DEF,"Sí",C_INI,"&lt;="&amp;EOMONTH(B623,0))),C_CLAVE,0))&amp;"","Sin contrato"))</f>
        <v/>
      </c>
      <c r="T623" s="63" t="str">
        <f aca="false">IF(OR(B623="",N(O623)=0),"",N(O623)+ROUND(MIN(N(N623),TOPE_UF*UF_MES)*(TASA_EMP+MUTUAL),0)+ROUND(MIN(N(N623),TOPE_AFC_UF*UF_MES)*IF(S623="Indefinido",AFC_INDEF,AFC_PF),0))</f>
        <v/>
      </c>
      <c r="U623" s="62" t="str">
        <f aca="false">IF(C623="","",IF(LEFT(D623,1)="⚠","⚠ RUT no registrado en Trabajadores",IF(B623="","⚠ Falta el mes",IF(OR(ISTEXT(I623),ISTEXT(J623)),"⚠ Atrasos u horas extra como texto: escriba hh:mm (ej. 1:30)",IF(AND(ISNUMBER(Q623),COUNTIFS(M_RUTN,V623,M_MES,B623,M_LIQ,"&lt;&gt;")&gt;1),"⚠ Liquidación repetida en el mes",IF(AND(ISNUMBER(O623),ISNUMBER(P623),ISNUMBER(Q623),ABS(O623-P623-Q623)&gt;1),"⚠ Haberes − descuentos no da el líquido","OK"))))))</f>
        <v/>
      </c>
      <c r="V623" s="62" t="str">
        <f aca="false">IF(C623="","",IFERROR(VALUE(LEFT(UPPER(SUBSTITUTE(SUBSTITUTE(SUBSTITUTE(TRIM(C623),".",""),"-","")," ","")),LEN(UPPER(SUBSTITUTE(SUBSTITUTE(SUBSTITUTE(TRIM(C623),".",""),"-","")," ","")))-1))&amp;RIGHT(UPPER(SUBSTITUTE(SUBSTITUTE(SUBSTITUTE(TRIM(C623),".",""),"-","")," ","")),1),UPPER(SUBSTITUTE(SUBSTITUTE(SUBSTITUTE(TRIM(C623),".",""),"-","")," ",""))))</f>
        <v/>
      </c>
    </row>
    <row r="624" customFormat="false" ht="15" hidden="false" customHeight="false" outlineLevel="0" collapsed="false">
      <c r="B624" s="80"/>
      <c r="C624" s="58"/>
      <c r="D624" s="62" t="str">
        <f aca="false">IF(C624="","",IFERROR(INDEX(T_NOMBRE,MATCH(V624,T_RUTN,0)),"⚠ RUT no está en Trabajadores"))</f>
        <v/>
      </c>
      <c r="E624" s="61"/>
      <c r="F624" s="61"/>
      <c r="G624" s="61"/>
      <c r="H624" s="61"/>
      <c r="I624" s="81"/>
      <c r="J624" s="81"/>
      <c r="K624" s="60"/>
      <c r="L624" s="60"/>
      <c r="M624" s="60"/>
      <c r="N624" s="60"/>
      <c r="O624" s="60"/>
      <c r="P624" s="60"/>
      <c r="Q624" s="60"/>
      <c r="R624" s="58"/>
      <c r="S624" s="62" t="str">
        <f aca="false">IF(OR(B624="",V624=""),"",IFERROR(INDEX(C_TIPO,MATCH(V624&amp;"-P"&amp;MAX(1,COUNTIFS(C_RUTN,V624,C_DEF,"Sí",C_INI,"&lt;="&amp;EOMONTH(B624,0))),C_CLAVE,0))&amp;"","Sin contrato"))</f>
        <v/>
      </c>
      <c r="T624" s="63" t="str">
        <f aca="false">IF(OR(B624="",N(O624)=0),"",N(O624)+ROUND(MIN(N(N624),TOPE_UF*UF_MES)*(TASA_EMP+MUTUAL),0)+ROUND(MIN(N(N624),TOPE_AFC_UF*UF_MES)*IF(S624="Indefinido",AFC_INDEF,AFC_PF),0))</f>
        <v/>
      </c>
      <c r="U624" s="62" t="str">
        <f aca="false">IF(C624="","",IF(LEFT(D624,1)="⚠","⚠ RUT no registrado en Trabajadores",IF(B624="","⚠ Falta el mes",IF(OR(ISTEXT(I624),ISTEXT(J624)),"⚠ Atrasos u horas extra como texto: escriba hh:mm (ej. 1:30)",IF(AND(ISNUMBER(Q624),COUNTIFS(M_RUTN,V624,M_MES,B624,M_LIQ,"&lt;&gt;")&gt;1),"⚠ Liquidación repetida en el mes",IF(AND(ISNUMBER(O624),ISNUMBER(P624),ISNUMBER(Q624),ABS(O624-P624-Q624)&gt;1),"⚠ Haberes − descuentos no da el líquido","OK"))))))</f>
        <v/>
      </c>
      <c r="V624" s="62" t="str">
        <f aca="false">IF(C624="","",IFERROR(VALUE(LEFT(UPPER(SUBSTITUTE(SUBSTITUTE(SUBSTITUTE(TRIM(C624),".",""),"-","")," ","")),LEN(UPPER(SUBSTITUTE(SUBSTITUTE(SUBSTITUTE(TRIM(C624),".",""),"-","")," ","")))-1))&amp;RIGHT(UPPER(SUBSTITUTE(SUBSTITUTE(SUBSTITUTE(TRIM(C624),".",""),"-","")," ","")),1),UPPER(SUBSTITUTE(SUBSTITUTE(SUBSTITUTE(TRIM(C624),".",""),"-","")," ",""))))</f>
        <v/>
      </c>
    </row>
    <row r="625" customFormat="false" ht="15" hidden="false" customHeight="false" outlineLevel="0" collapsed="false">
      <c r="B625" s="80"/>
      <c r="C625" s="58"/>
      <c r="D625" s="62" t="str">
        <f aca="false">IF(C625="","",IFERROR(INDEX(T_NOMBRE,MATCH(V625,T_RUTN,0)),"⚠ RUT no está en Trabajadores"))</f>
        <v/>
      </c>
      <c r="E625" s="61"/>
      <c r="F625" s="61"/>
      <c r="G625" s="61"/>
      <c r="H625" s="61"/>
      <c r="I625" s="81"/>
      <c r="J625" s="81"/>
      <c r="K625" s="60"/>
      <c r="L625" s="60"/>
      <c r="M625" s="60"/>
      <c r="N625" s="60"/>
      <c r="O625" s="60"/>
      <c r="P625" s="60"/>
      <c r="Q625" s="60"/>
      <c r="R625" s="58"/>
      <c r="S625" s="62" t="str">
        <f aca="false">IF(OR(B625="",V625=""),"",IFERROR(INDEX(C_TIPO,MATCH(V625&amp;"-P"&amp;MAX(1,COUNTIFS(C_RUTN,V625,C_DEF,"Sí",C_INI,"&lt;="&amp;EOMONTH(B625,0))),C_CLAVE,0))&amp;"","Sin contrato"))</f>
        <v/>
      </c>
      <c r="T625" s="63" t="str">
        <f aca="false">IF(OR(B625="",N(O625)=0),"",N(O625)+ROUND(MIN(N(N625),TOPE_UF*UF_MES)*(TASA_EMP+MUTUAL),0)+ROUND(MIN(N(N625),TOPE_AFC_UF*UF_MES)*IF(S625="Indefinido",AFC_INDEF,AFC_PF),0))</f>
        <v/>
      </c>
      <c r="U625" s="62" t="str">
        <f aca="false">IF(C625="","",IF(LEFT(D625,1)="⚠","⚠ RUT no registrado en Trabajadores",IF(B625="","⚠ Falta el mes",IF(OR(ISTEXT(I625),ISTEXT(J625)),"⚠ Atrasos u horas extra como texto: escriba hh:mm (ej. 1:30)",IF(AND(ISNUMBER(Q625),COUNTIFS(M_RUTN,V625,M_MES,B625,M_LIQ,"&lt;&gt;")&gt;1),"⚠ Liquidación repetida en el mes",IF(AND(ISNUMBER(O625),ISNUMBER(P625),ISNUMBER(Q625),ABS(O625-P625-Q625)&gt;1),"⚠ Haberes − descuentos no da el líquido","OK"))))))</f>
        <v/>
      </c>
      <c r="V625" s="62" t="str">
        <f aca="false">IF(C625="","",IFERROR(VALUE(LEFT(UPPER(SUBSTITUTE(SUBSTITUTE(SUBSTITUTE(TRIM(C625),".",""),"-","")," ","")),LEN(UPPER(SUBSTITUTE(SUBSTITUTE(SUBSTITUTE(TRIM(C625),".",""),"-","")," ","")))-1))&amp;RIGHT(UPPER(SUBSTITUTE(SUBSTITUTE(SUBSTITUTE(TRIM(C625),".",""),"-","")," ","")),1),UPPER(SUBSTITUTE(SUBSTITUTE(SUBSTITUTE(TRIM(C625),".",""),"-","")," ",""))))</f>
        <v/>
      </c>
    </row>
    <row r="626" customFormat="false" ht="15" hidden="false" customHeight="false" outlineLevel="0" collapsed="false">
      <c r="B626" s="80"/>
      <c r="C626" s="58"/>
      <c r="D626" s="62" t="str">
        <f aca="false">IF(C626="","",IFERROR(INDEX(T_NOMBRE,MATCH(V626,T_RUTN,0)),"⚠ RUT no está en Trabajadores"))</f>
        <v/>
      </c>
      <c r="E626" s="61"/>
      <c r="F626" s="61"/>
      <c r="G626" s="61"/>
      <c r="H626" s="61"/>
      <c r="I626" s="81"/>
      <c r="J626" s="81"/>
      <c r="K626" s="60"/>
      <c r="L626" s="60"/>
      <c r="M626" s="60"/>
      <c r="N626" s="60"/>
      <c r="O626" s="60"/>
      <c r="P626" s="60"/>
      <c r="Q626" s="60"/>
      <c r="R626" s="58"/>
      <c r="S626" s="62" t="str">
        <f aca="false">IF(OR(B626="",V626=""),"",IFERROR(INDEX(C_TIPO,MATCH(V626&amp;"-P"&amp;MAX(1,COUNTIFS(C_RUTN,V626,C_DEF,"Sí",C_INI,"&lt;="&amp;EOMONTH(B626,0))),C_CLAVE,0))&amp;"","Sin contrato"))</f>
        <v/>
      </c>
      <c r="T626" s="63" t="str">
        <f aca="false">IF(OR(B626="",N(O626)=0),"",N(O626)+ROUND(MIN(N(N626),TOPE_UF*UF_MES)*(TASA_EMP+MUTUAL),0)+ROUND(MIN(N(N626),TOPE_AFC_UF*UF_MES)*IF(S626="Indefinido",AFC_INDEF,AFC_PF),0))</f>
        <v/>
      </c>
      <c r="U626" s="62" t="str">
        <f aca="false">IF(C626="","",IF(LEFT(D626,1)="⚠","⚠ RUT no registrado en Trabajadores",IF(B626="","⚠ Falta el mes",IF(OR(ISTEXT(I626),ISTEXT(J626)),"⚠ Atrasos u horas extra como texto: escriba hh:mm (ej. 1:30)",IF(AND(ISNUMBER(Q626),COUNTIFS(M_RUTN,V626,M_MES,B626,M_LIQ,"&lt;&gt;")&gt;1),"⚠ Liquidación repetida en el mes",IF(AND(ISNUMBER(O626),ISNUMBER(P626),ISNUMBER(Q626),ABS(O626-P626-Q626)&gt;1),"⚠ Haberes − descuentos no da el líquido","OK"))))))</f>
        <v/>
      </c>
      <c r="V626" s="62" t="str">
        <f aca="false">IF(C626="","",IFERROR(VALUE(LEFT(UPPER(SUBSTITUTE(SUBSTITUTE(SUBSTITUTE(TRIM(C626),".",""),"-","")," ","")),LEN(UPPER(SUBSTITUTE(SUBSTITUTE(SUBSTITUTE(TRIM(C626),".",""),"-","")," ","")))-1))&amp;RIGHT(UPPER(SUBSTITUTE(SUBSTITUTE(SUBSTITUTE(TRIM(C626),".",""),"-","")," ","")),1),UPPER(SUBSTITUTE(SUBSTITUTE(SUBSTITUTE(TRIM(C626),".",""),"-","")," ",""))))</f>
        <v/>
      </c>
    </row>
    <row r="627" customFormat="false" ht="15" hidden="false" customHeight="false" outlineLevel="0" collapsed="false">
      <c r="B627" s="80"/>
      <c r="C627" s="58"/>
      <c r="D627" s="62" t="str">
        <f aca="false">IF(C627="","",IFERROR(INDEX(T_NOMBRE,MATCH(V627,T_RUTN,0)),"⚠ RUT no está en Trabajadores"))</f>
        <v/>
      </c>
      <c r="E627" s="61"/>
      <c r="F627" s="61"/>
      <c r="G627" s="61"/>
      <c r="H627" s="61"/>
      <c r="I627" s="81"/>
      <c r="J627" s="81"/>
      <c r="K627" s="60"/>
      <c r="L627" s="60"/>
      <c r="M627" s="60"/>
      <c r="N627" s="60"/>
      <c r="O627" s="60"/>
      <c r="P627" s="60"/>
      <c r="Q627" s="60"/>
      <c r="R627" s="58"/>
      <c r="S627" s="62" t="str">
        <f aca="false">IF(OR(B627="",V627=""),"",IFERROR(INDEX(C_TIPO,MATCH(V627&amp;"-P"&amp;MAX(1,COUNTIFS(C_RUTN,V627,C_DEF,"Sí",C_INI,"&lt;="&amp;EOMONTH(B627,0))),C_CLAVE,0))&amp;"","Sin contrato"))</f>
        <v/>
      </c>
      <c r="T627" s="63" t="str">
        <f aca="false">IF(OR(B627="",N(O627)=0),"",N(O627)+ROUND(MIN(N(N627),TOPE_UF*UF_MES)*(TASA_EMP+MUTUAL),0)+ROUND(MIN(N(N627),TOPE_AFC_UF*UF_MES)*IF(S627="Indefinido",AFC_INDEF,AFC_PF),0))</f>
        <v/>
      </c>
      <c r="U627" s="62" t="str">
        <f aca="false">IF(C627="","",IF(LEFT(D627,1)="⚠","⚠ RUT no registrado en Trabajadores",IF(B627="","⚠ Falta el mes",IF(OR(ISTEXT(I627),ISTEXT(J627)),"⚠ Atrasos u horas extra como texto: escriba hh:mm (ej. 1:30)",IF(AND(ISNUMBER(Q627),COUNTIFS(M_RUTN,V627,M_MES,B627,M_LIQ,"&lt;&gt;")&gt;1),"⚠ Liquidación repetida en el mes",IF(AND(ISNUMBER(O627),ISNUMBER(P627),ISNUMBER(Q627),ABS(O627-P627-Q627)&gt;1),"⚠ Haberes − descuentos no da el líquido","OK"))))))</f>
        <v/>
      </c>
      <c r="V627" s="62" t="str">
        <f aca="false">IF(C627="","",IFERROR(VALUE(LEFT(UPPER(SUBSTITUTE(SUBSTITUTE(SUBSTITUTE(TRIM(C627),".",""),"-","")," ","")),LEN(UPPER(SUBSTITUTE(SUBSTITUTE(SUBSTITUTE(TRIM(C627),".",""),"-","")," ","")))-1))&amp;RIGHT(UPPER(SUBSTITUTE(SUBSTITUTE(SUBSTITUTE(TRIM(C627),".",""),"-","")," ","")),1),UPPER(SUBSTITUTE(SUBSTITUTE(SUBSTITUTE(TRIM(C627),".",""),"-","")," ",""))))</f>
        <v/>
      </c>
    </row>
    <row r="628" customFormat="false" ht="15" hidden="false" customHeight="false" outlineLevel="0" collapsed="false">
      <c r="B628" s="80"/>
      <c r="C628" s="58"/>
      <c r="D628" s="62" t="str">
        <f aca="false">IF(C628="","",IFERROR(INDEX(T_NOMBRE,MATCH(V628,T_RUTN,0)),"⚠ RUT no está en Trabajadores"))</f>
        <v/>
      </c>
      <c r="E628" s="61"/>
      <c r="F628" s="61"/>
      <c r="G628" s="61"/>
      <c r="H628" s="61"/>
      <c r="I628" s="81"/>
      <c r="J628" s="81"/>
      <c r="K628" s="60"/>
      <c r="L628" s="60"/>
      <c r="M628" s="60"/>
      <c r="N628" s="60"/>
      <c r="O628" s="60"/>
      <c r="P628" s="60"/>
      <c r="Q628" s="60"/>
      <c r="R628" s="58"/>
      <c r="S628" s="62" t="str">
        <f aca="false">IF(OR(B628="",V628=""),"",IFERROR(INDEX(C_TIPO,MATCH(V628&amp;"-P"&amp;MAX(1,COUNTIFS(C_RUTN,V628,C_DEF,"Sí",C_INI,"&lt;="&amp;EOMONTH(B628,0))),C_CLAVE,0))&amp;"","Sin contrato"))</f>
        <v/>
      </c>
      <c r="T628" s="63" t="str">
        <f aca="false">IF(OR(B628="",N(O628)=0),"",N(O628)+ROUND(MIN(N(N628),TOPE_UF*UF_MES)*(TASA_EMP+MUTUAL),0)+ROUND(MIN(N(N628),TOPE_AFC_UF*UF_MES)*IF(S628="Indefinido",AFC_INDEF,AFC_PF),0))</f>
        <v/>
      </c>
      <c r="U628" s="62" t="str">
        <f aca="false">IF(C628="","",IF(LEFT(D628,1)="⚠","⚠ RUT no registrado en Trabajadores",IF(B628="","⚠ Falta el mes",IF(OR(ISTEXT(I628),ISTEXT(J628)),"⚠ Atrasos u horas extra como texto: escriba hh:mm (ej. 1:30)",IF(AND(ISNUMBER(Q628),COUNTIFS(M_RUTN,V628,M_MES,B628,M_LIQ,"&lt;&gt;")&gt;1),"⚠ Liquidación repetida en el mes",IF(AND(ISNUMBER(O628),ISNUMBER(P628),ISNUMBER(Q628),ABS(O628-P628-Q628)&gt;1),"⚠ Haberes − descuentos no da el líquido","OK"))))))</f>
        <v/>
      </c>
      <c r="V628" s="62" t="str">
        <f aca="false">IF(C628="","",IFERROR(VALUE(LEFT(UPPER(SUBSTITUTE(SUBSTITUTE(SUBSTITUTE(TRIM(C628),".",""),"-","")," ","")),LEN(UPPER(SUBSTITUTE(SUBSTITUTE(SUBSTITUTE(TRIM(C628),".",""),"-","")," ","")))-1))&amp;RIGHT(UPPER(SUBSTITUTE(SUBSTITUTE(SUBSTITUTE(TRIM(C628),".",""),"-","")," ","")),1),UPPER(SUBSTITUTE(SUBSTITUTE(SUBSTITUTE(TRIM(C628),".",""),"-","")," ",""))))</f>
        <v/>
      </c>
    </row>
    <row r="629" customFormat="false" ht="15" hidden="false" customHeight="false" outlineLevel="0" collapsed="false">
      <c r="B629" s="80"/>
      <c r="C629" s="58"/>
      <c r="D629" s="62" t="str">
        <f aca="false">IF(C629="","",IFERROR(INDEX(T_NOMBRE,MATCH(V629,T_RUTN,0)),"⚠ RUT no está en Trabajadores"))</f>
        <v/>
      </c>
      <c r="E629" s="61"/>
      <c r="F629" s="61"/>
      <c r="G629" s="61"/>
      <c r="H629" s="61"/>
      <c r="I629" s="81"/>
      <c r="J629" s="81"/>
      <c r="K629" s="60"/>
      <c r="L629" s="60"/>
      <c r="M629" s="60"/>
      <c r="N629" s="60"/>
      <c r="O629" s="60"/>
      <c r="P629" s="60"/>
      <c r="Q629" s="60"/>
      <c r="R629" s="58"/>
      <c r="S629" s="62" t="str">
        <f aca="false">IF(OR(B629="",V629=""),"",IFERROR(INDEX(C_TIPO,MATCH(V629&amp;"-P"&amp;MAX(1,COUNTIFS(C_RUTN,V629,C_DEF,"Sí",C_INI,"&lt;="&amp;EOMONTH(B629,0))),C_CLAVE,0))&amp;"","Sin contrato"))</f>
        <v/>
      </c>
      <c r="T629" s="63" t="str">
        <f aca="false">IF(OR(B629="",N(O629)=0),"",N(O629)+ROUND(MIN(N(N629),TOPE_UF*UF_MES)*(TASA_EMP+MUTUAL),0)+ROUND(MIN(N(N629),TOPE_AFC_UF*UF_MES)*IF(S629="Indefinido",AFC_INDEF,AFC_PF),0))</f>
        <v/>
      </c>
      <c r="U629" s="62" t="str">
        <f aca="false">IF(C629="","",IF(LEFT(D629,1)="⚠","⚠ RUT no registrado en Trabajadores",IF(B629="","⚠ Falta el mes",IF(OR(ISTEXT(I629),ISTEXT(J629)),"⚠ Atrasos u horas extra como texto: escriba hh:mm (ej. 1:30)",IF(AND(ISNUMBER(Q629),COUNTIFS(M_RUTN,V629,M_MES,B629,M_LIQ,"&lt;&gt;")&gt;1),"⚠ Liquidación repetida en el mes",IF(AND(ISNUMBER(O629),ISNUMBER(P629),ISNUMBER(Q629),ABS(O629-P629-Q629)&gt;1),"⚠ Haberes − descuentos no da el líquido","OK"))))))</f>
        <v/>
      </c>
      <c r="V629" s="62" t="str">
        <f aca="false">IF(C629="","",IFERROR(VALUE(LEFT(UPPER(SUBSTITUTE(SUBSTITUTE(SUBSTITUTE(TRIM(C629),".",""),"-","")," ","")),LEN(UPPER(SUBSTITUTE(SUBSTITUTE(SUBSTITUTE(TRIM(C629),".",""),"-","")," ","")))-1))&amp;RIGHT(UPPER(SUBSTITUTE(SUBSTITUTE(SUBSTITUTE(TRIM(C629),".",""),"-","")," ","")),1),UPPER(SUBSTITUTE(SUBSTITUTE(SUBSTITUTE(TRIM(C629),".",""),"-","")," ",""))))</f>
        <v/>
      </c>
    </row>
    <row r="630" customFormat="false" ht="15" hidden="false" customHeight="false" outlineLevel="0" collapsed="false">
      <c r="B630" s="80"/>
      <c r="C630" s="58"/>
      <c r="D630" s="62" t="str">
        <f aca="false">IF(C630="","",IFERROR(INDEX(T_NOMBRE,MATCH(V630,T_RUTN,0)),"⚠ RUT no está en Trabajadores"))</f>
        <v/>
      </c>
      <c r="E630" s="61"/>
      <c r="F630" s="61"/>
      <c r="G630" s="61"/>
      <c r="H630" s="61"/>
      <c r="I630" s="81"/>
      <c r="J630" s="81"/>
      <c r="K630" s="60"/>
      <c r="L630" s="60"/>
      <c r="M630" s="60"/>
      <c r="N630" s="60"/>
      <c r="O630" s="60"/>
      <c r="P630" s="60"/>
      <c r="Q630" s="60"/>
      <c r="R630" s="58"/>
      <c r="S630" s="62" t="str">
        <f aca="false">IF(OR(B630="",V630=""),"",IFERROR(INDEX(C_TIPO,MATCH(V630&amp;"-P"&amp;MAX(1,COUNTIFS(C_RUTN,V630,C_DEF,"Sí",C_INI,"&lt;="&amp;EOMONTH(B630,0))),C_CLAVE,0))&amp;"","Sin contrato"))</f>
        <v/>
      </c>
      <c r="T630" s="63" t="str">
        <f aca="false">IF(OR(B630="",N(O630)=0),"",N(O630)+ROUND(MIN(N(N630),TOPE_UF*UF_MES)*(TASA_EMP+MUTUAL),0)+ROUND(MIN(N(N630),TOPE_AFC_UF*UF_MES)*IF(S630="Indefinido",AFC_INDEF,AFC_PF),0))</f>
        <v/>
      </c>
      <c r="U630" s="62" t="str">
        <f aca="false">IF(C630="","",IF(LEFT(D630,1)="⚠","⚠ RUT no registrado en Trabajadores",IF(B630="","⚠ Falta el mes",IF(OR(ISTEXT(I630),ISTEXT(J630)),"⚠ Atrasos u horas extra como texto: escriba hh:mm (ej. 1:30)",IF(AND(ISNUMBER(Q630),COUNTIFS(M_RUTN,V630,M_MES,B630,M_LIQ,"&lt;&gt;")&gt;1),"⚠ Liquidación repetida en el mes",IF(AND(ISNUMBER(O630),ISNUMBER(P630),ISNUMBER(Q630),ABS(O630-P630-Q630)&gt;1),"⚠ Haberes − descuentos no da el líquido","OK"))))))</f>
        <v/>
      </c>
      <c r="V630" s="62" t="str">
        <f aca="false">IF(C630="","",IFERROR(VALUE(LEFT(UPPER(SUBSTITUTE(SUBSTITUTE(SUBSTITUTE(TRIM(C630),".",""),"-","")," ","")),LEN(UPPER(SUBSTITUTE(SUBSTITUTE(SUBSTITUTE(TRIM(C630),".",""),"-","")," ","")))-1))&amp;RIGHT(UPPER(SUBSTITUTE(SUBSTITUTE(SUBSTITUTE(TRIM(C630),".",""),"-","")," ","")),1),UPPER(SUBSTITUTE(SUBSTITUTE(SUBSTITUTE(TRIM(C630),".",""),"-","")," ",""))))</f>
        <v/>
      </c>
    </row>
    <row r="631" customFormat="false" ht="15" hidden="false" customHeight="false" outlineLevel="0" collapsed="false">
      <c r="B631" s="80"/>
      <c r="C631" s="58"/>
      <c r="D631" s="62" t="str">
        <f aca="false">IF(C631="","",IFERROR(INDEX(T_NOMBRE,MATCH(V631,T_RUTN,0)),"⚠ RUT no está en Trabajadores"))</f>
        <v/>
      </c>
      <c r="E631" s="61"/>
      <c r="F631" s="61"/>
      <c r="G631" s="61"/>
      <c r="H631" s="61"/>
      <c r="I631" s="81"/>
      <c r="J631" s="81"/>
      <c r="K631" s="60"/>
      <c r="L631" s="60"/>
      <c r="M631" s="60"/>
      <c r="N631" s="60"/>
      <c r="O631" s="60"/>
      <c r="P631" s="60"/>
      <c r="Q631" s="60"/>
      <c r="R631" s="58"/>
      <c r="S631" s="62" t="str">
        <f aca="false">IF(OR(B631="",V631=""),"",IFERROR(INDEX(C_TIPO,MATCH(V631&amp;"-P"&amp;MAX(1,COUNTIFS(C_RUTN,V631,C_DEF,"Sí",C_INI,"&lt;="&amp;EOMONTH(B631,0))),C_CLAVE,0))&amp;"","Sin contrato"))</f>
        <v/>
      </c>
      <c r="T631" s="63" t="str">
        <f aca="false">IF(OR(B631="",N(O631)=0),"",N(O631)+ROUND(MIN(N(N631),TOPE_UF*UF_MES)*(TASA_EMP+MUTUAL),0)+ROUND(MIN(N(N631),TOPE_AFC_UF*UF_MES)*IF(S631="Indefinido",AFC_INDEF,AFC_PF),0))</f>
        <v/>
      </c>
      <c r="U631" s="62" t="str">
        <f aca="false">IF(C631="","",IF(LEFT(D631,1)="⚠","⚠ RUT no registrado en Trabajadores",IF(B631="","⚠ Falta el mes",IF(OR(ISTEXT(I631),ISTEXT(J631)),"⚠ Atrasos u horas extra como texto: escriba hh:mm (ej. 1:30)",IF(AND(ISNUMBER(Q631),COUNTIFS(M_RUTN,V631,M_MES,B631,M_LIQ,"&lt;&gt;")&gt;1),"⚠ Liquidación repetida en el mes",IF(AND(ISNUMBER(O631),ISNUMBER(P631),ISNUMBER(Q631),ABS(O631-P631-Q631)&gt;1),"⚠ Haberes − descuentos no da el líquido","OK"))))))</f>
        <v/>
      </c>
      <c r="V631" s="62" t="str">
        <f aca="false">IF(C631="","",IFERROR(VALUE(LEFT(UPPER(SUBSTITUTE(SUBSTITUTE(SUBSTITUTE(TRIM(C631),".",""),"-","")," ","")),LEN(UPPER(SUBSTITUTE(SUBSTITUTE(SUBSTITUTE(TRIM(C631),".",""),"-","")," ","")))-1))&amp;RIGHT(UPPER(SUBSTITUTE(SUBSTITUTE(SUBSTITUTE(TRIM(C631),".",""),"-","")," ","")),1),UPPER(SUBSTITUTE(SUBSTITUTE(SUBSTITUTE(TRIM(C631),".",""),"-","")," ",""))))</f>
        <v/>
      </c>
    </row>
    <row r="632" customFormat="false" ht="15" hidden="false" customHeight="false" outlineLevel="0" collapsed="false">
      <c r="B632" s="80"/>
      <c r="C632" s="58"/>
      <c r="D632" s="62" t="str">
        <f aca="false">IF(C632="","",IFERROR(INDEX(T_NOMBRE,MATCH(V632,T_RUTN,0)),"⚠ RUT no está en Trabajadores"))</f>
        <v/>
      </c>
      <c r="E632" s="61"/>
      <c r="F632" s="61"/>
      <c r="G632" s="61"/>
      <c r="H632" s="61"/>
      <c r="I632" s="81"/>
      <c r="J632" s="81"/>
      <c r="K632" s="60"/>
      <c r="L632" s="60"/>
      <c r="M632" s="60"/>
      <c r="N632" s="60"/>
      <c r="O632" s="60"/>
      <c r="P632" s="60"/>
      <c r="Q632" s="60"/>
      <c r="R632" s="58"/>
      <c r="S632" s="62" t="str">
        <f aca="false">IF(OR(B632="",V632=""),"",IFERROR(INDEX(C_TIPO,MATCH(V632&amp;"-P"&amp;MAX(1,COUNTIFS(C_RUTN,V632,C_DEF,"Sí",C_INI,"&lt;="&amp;EOMONTH(B632,0))),C_CLAVE,0))&amp;"","Sin contrato"))</f>
        <v/>
      </c>
      <c r="T632" s="63" t="str">
        <f aca="false">IF(OR(B632="",N(O632)=0),"",N(O632)+ROUND(MIN(N(N632),TOPE_UF*UF_MES)*(TASA_EMP+MUTUAL),0)+ROUND(MIN(N(N632),TOPE_AFC_UF*UF_MES)*IF(S632="Indefinido",AFC_INDEF,AFC_PF),0))</f>
        <v/>
      </c>
      <c r="U632" s="62" t="str">
        <f aca="false">IF(C632="","",IF(LEFT(D632,1)="⚠","⚠ RUT no registrado en Trabajadores",IF(B632="","⚠ Falta el mes",IF(OR(ISTEXT(I632),ISTEXT(J632)),"⚠ Atrasos u horas extra como texto: escriba hh:mm (ej. 1:30)",IF(AND(ISNUMBER(Q632),COUNTIFS(M_RUTN,V632,M_MES,B632,M_LIQ,"&lt;&gt;")&gt;1),"⚠ Liquidación repetida en el mes",IF(AND(ISNUMBER(O632),ISNUMBER(P632),ISNUMBER(Q632),ABS(O632-P632-Q632)&gt;1),"⚠ Haberes − descuentos no da el líquido","OK"))))))</f>
        <v/>
      </c>
      <c r="V632" s="62" t="str">
        <f aca="false">IF(C632="","",IFERROR(VALUE(LEFT(UPPER(SUBSTITUTE(SUBSTITUTE(SUBSTITUTE(TRIM(C632),".",""),"-","")," ","")),LEN(UPPER(SUBSTITUTE(SUBSTITUTE(SUBSTITUTE(TRIM(C632),".",""),"-","")," ","")))-1))&amp;RIGHT(UPPER(SUBSTITUTE(SUBSTITUTE(SUBSTITUTE(TRIM(C632),".",""),"-","")," ","")),1),UPPER(SUBSTITUTE(SUBSTITUTE(SUBSTITUTE(TRIM(C632),".",""),"-","")," ",""))))</f>
        <v/>
      </c>
    </row>
    <row r="633" customFormat="false" ht="15" hidden="false" customHeight="false" outlineLevel="0" collapsed="false">
      <c r="B633" s="80"/>
      <c r="C633" s="58"/>
      <c r="D633" s="62" t="str">
        <f aca="false">IF(C633="","",IFERROR(INDEX(T_NOMBRE,MATCH(V633,T_RUTN,0)),"⚠ RUT no está en Trabajadores"))</f>
        <v/>
      </c>
      <c r="E633" s="61"/>
      <c r="F633" s="61"/>
      <c r="G633" s="61"/>
      <c r="H633" s="61"/>
      <c r="I633" s="81"/>
      <c r="J633" s="81"/>
      <c r="K633" s="60"/>
      <c r="L633" s="60"/>
      <c r="M633" s="60"/>
      <c r="N633" s="60"/>
      <c r="O633" s="60"/>
      <c r="P633" s="60"/>
      <c r="Q633" s="60"/>
      <c r="R633" s="58"/>
      <c r="S633" s="62" t="str">
        <f aca="false">IF(OR(B633="",V633=""),"",IFERROR(INDEX(C_TIPO,MATCH(V633&amp;"-P"&amp;MAX(1,COUNTIFS(C_RUTN,V633,C_DEF,"Sí",C_INI,"&lt;="&amp;EOMONTH(B633,0))),C_CLAVE,0))&amp;"","Sin contrato"))</f>
        <v/>
      </c>
      <c r="T633" s="63" t="str">
        <f aca="false">IF(OR(B633="",N(O633)=0),"",N(O633)+ROUND(MIN(N(N633),TOPE_UF*UF_MES)*(TASA_EMP+MUTUAL),0)+ROUND(MIN(N(N633),TOPE_AFC_UF*UF_MES)*IF(S633="Indefinido",AFC_INDEF,AFC_PF),0))</f>
        <v/>
      </c>
      <c r="U633" s="62" t="str">
        <f aca="false">IF(C633="","",IF(LEFT(D633,1)="⚠","⚠ RUT no registrado en Trabajadores",IF(B633="","⚠ Falta el mes",IF(OR(ISTEXT(I633),ISTEXT(J633)),"⚠ Atrasos u horas extra como texto: escriba hh:mm (ej. 1:30)",IF(AND(ISNUMBER(Q633),COUNTIFS(M_RUTN,V633,M_MES,B633,M_LIQ,"&lt;&gt;")&gt;1),"⚠ Liquidación repetida en el mes",IF(AND(ISNUMBER(O633),ISNUMBER(P633),ISNUMBER(Q633),ABS(O633-P633-Q633)&gt;1),"⚠ Haberes − descuentos no da el líquido","OK"))))))</f>
        <v/>
      </c>
      <c r="V633" s="62" t="str">
        <f aca="false">IF(C633="","",IFERROR(VALUE(LEFT(UPPER(SUBSTITUTE(SUBSTITUTE(SUBSTITUTE(TRIM(C633),".",""),"-","")," ","")),LEN(UPPER(SUBSTITUTE(SUBSTITUTE(SUBSTITUTE(TRIM(C633),".",""),"-","")," ","")))-1))&amp;RIGHT(UPPER(SUBSTITUTE(SUBSTITUTE(SUBSTITUTE(TRIM(C633),".",""),"-","")," ","")),1),UPPER(SUBSTITUTE(SUBSTITUTE(SUBSTITUTE(TRIM(C633),".",""),"-","")," ",""))))</f>
        <v/>
      </c>
    </row>
    <row r="634" customFormat="false" ht="15" hidden="false" customHeight="false" outlineLevel="0" collapsed="false">
      <c r="B634" s="80"/>
      <c r="C634" s="58"/>
      <c r="D634" s="62" t="str">
        <f aca="false">IF(C634="","",IFERROR(INDEX(T_NOMBRE,MATCH(V634,T_RUTN,0)),"⚠ RUT no está en Trabajadores"))</f>
        <v/>
      </c>
      <c r="E634" s="61"/>
      <c r="F634" s="61"/>
      <c r="G634" s="61"/>
      <c r="H634" s="61"/>
      <c r="I634" s="81"/>
      <c r="J634" s="81"/>
      <c r="K634" s="60"/>
      <c r="L634" s="60"/>
      <c r="M634" s="60"/>
      <c r="N634" s="60"/>
      <c r="O634" s="60"/>
      <c r="P634" s="60"/>
      <c r="Q634" s="60"/>
      <c r="R634" s="58"/>
      <c r="S634" s="62" t="str">
        <f aca="false">IF(OR(B634="",V634=""),"",IFERROR(INDEX(C_TIPO,MATCH(V634&amp;"-P"&amp;MAX(1,COUNTIFS(C_RUTN,V634,C_DEF,"Sí",C_INI,"&lt;="&amp;EOMONTH(B634,0))),C_CLAVE,0))&amp;"","Sin contrato"))</f>
        <v/>
      </c>
      <c r="T634" s="63" t="str">
        <f aca="false">IF(OR(B634="",N(O634)=0),"",N(O634)+ROUND(MIN(N(N634),TOPE_UF*UF_MES)*(TASA_EMP+MUTUAL),0)+ROUND(MIN(N(N634),TOPE_AFC_UF*UF_MES)*IF(S634="Indefinido",AFC_INDEF,AFC_PF),0))</f>
        <v/>
      </c>
      <c r="U634" s="62" t="str">
        <f aca="false">IF(C634="","",IF(LEFT(D634,1)="⚠","⚠ RUT no registrado en Trabajadores",IF(B634="","⚠ Falta el mes",IF(OR(ISTEXT(I634),ISTEXT(J634)),"⚠ Atrasos u horas extra como texto: escriba hh:mm (ej. 1:30)",IF(AND(ISNUMBER(Q634),COUNTIFS(M_RUTN,V634,M_MES,B634,M_LIQ,"&lt;&gt;")&gt;1),"⚠ Liquidación repetida en el mes",IF(AND(ISNUMBER(O634),ISNUMBER(P634),ISNUMBER(Q634),ABS(O634-P634-Q634)&gt;1),"⚠ Haberes − descuentos no da el líquido","OK"))))))</f>
        <v/>
      </c>
      <c r="V634" s="62" t="str">
        <f aca="false">IF(C634="","",IFERROR(VALUE(LEFT(UPPER(SUBSTITUTE(SUBSTITUTE(SUBSTITUTE(TRIM(C634),".",""),"-","")," ","")),LEN(UPPER(SUBSTITUTE(SUBSTITUTE(SUBSTITUTE(TRIM(C634),".",""),"-","")," ","")))-1))&amp;RIGHT(UPPER(SUBSTITUTE(SUBSTITUTE(SUBSTITUTE(TRIM(C634),".",""),"-","")," ","")),1),UPPER(SUBSTITUTE(SUBSTITUTE(SUBSTITUTE(TRIM(C634),".",""),"-","")," ",""))))</f>
        <v/>
      </c>
    </row>
    <row r="635" customFormat="false" ht="15" hidden="false" customHeight="false" outlineLevel="0" collapsed="false">
      <c r="B635" s="80"/>
      <c r="C635" s="58"/>
      <c r="D635" s="62" t="str">
        <f aca="false">IF(C635="","",IFERROR(INDEX(T_NOMBRE,MATCH(V635,T_RUTN,0)),"⚠ RUT no está en Trabajadores"))</f>
        <v/>
      </c>
      <c r="E635" s="61"/>
      <c r="F635" s="61"/>
      <c r="G635" s="61"/>
      <c r="H635" s="61"/>
      <c r="I635" s="81"/>
      <c r="J635" s="81"/>
      <c r="K635" s="60"/>
      <c r="L635" s="60"/>
      <c r="M635" s="60"/>
      <c r="N635" s="60"/>
      <c r="O635" s="60"/>
      <c r="P635" s="60"/>
      <c r="Q635" s="60"/>
      <c r="R635" s="58"/>
      <c r="S635" s="62" t="str">
        <f aca="false">IF(OR(B635="",V635=""),"",IFERROR(INDEX(C_TIPO,MATCH(V635&amp;"-P"&amp;MAX(1,COUNTIFS(C_RUTN,V635,C_DEF,"Sí",C_INI,"&lt;="&amp;EOMONTH(B635,0))),C_CLAVE,0))&amp;"","Sin contrato"))</f>
        <v/>
      </c>
      <c r="T635" s="63" t="str">
        <f aca="false">IF(OR(B635="",N(O635)=0),"",N(O635)+ROUND(MIN(N(N635),TOPE_UF*UF_MES)*(TASA_EMP+MUTUAL),0)+ROUND(MIN(N(N635),TOPE_AFC_UF*UF_MES)*IF(S635="Indefinido",AFC_INDEF,AFC_PF),0))</f>
        <v/>
      </c>
      <c r="U635" s="62" t="str">
        <f aca="false">IF(C635="","",IF(LEFT(D635,1)="⚠","⚠ RUT no registrado en Trabajadores",IF(B635="","⚠ Falta el mes",IF(OR(ISTEXT(I635),ISTEXT(J635)),"⚠ Atrasos u horas extra como texto: escriba hh:mm (ej. 1:30)",IF(AND(ISNUMBER(Q635),COUNTIFS(M_RUTN,V635,M_MES,B635,M_LIQ,"&lt;&gt;")&gt;1),"⚠ Liquidación repetida en el mes",IF(AND(ISNUMBER(O635),ISNUMBER(P635),ISNUMBER(Q635),ABS(O635-P635-Q635)&gt;1),"⚠ Haberes − descuentos no da el líquido","OK"))))))</f>
        <v/>
      </c>
      <c r="V635" s="62" t="str">
        <f aca="false">IF(C635="","",IFERROR(VALUE(LEFT(UPPER(SUBSTITUTE(SUBSTITUTE(SUBSTITUTE(TRIM(C635),".",""),"-","")," ","")),LEN(UPPER(SUBSTITUTE(SUBSTITUTE(SUBSTITUTE(TRIM(C635),".",""),"-","")," ","")))-1))&amp;RIGHT(UPPER(SUBSTITUTE(SUBSTITUTE(SUBSTITUTE(TRIM(C635),".",""),"-","")," ","")),1),UPPER(SUBSTITUTE(SUBSTITUTE(SUBSTITUTE(TRIM(C635),".",""),"-","")," ",""))))</f>
        <v/>
      </c>
    </row>
    <row r="636" customFormat="false" ht="15" hidden="false" customHeight="false" outlineLevel="0" collapsed="false">
      <c r="B636" s="80"/>
      <c r="C636" s="58"/>
      <c r="D636" s="62" t="str">
        <f aca="false">IF(C636="","",IFERROR(INDEX(T_NOMBRE,MATCH(V636,T_RUTN,0)),"⚠ RUT no está en Trabajadores"))</f>
        <v/>
      </c>
      <c r="E636" s="61"/>
      <c r="F636" s="61"/>
      <c r="G636" s="61"/>
      <c r="H636" s="61"/>
      <c r="I636" s="81"/>
      <c r="J636" s="81"/>
      <c r="K636" s="60"/>
      <c r="L636" s="60"/>
      <c r="M636" s="60"/>
      <c r="N636" s="60"/>
      <c r="O636" s="60"/>
      <c r="P636" s="60"/>
      <c r="Q636" s="60"/>
      <c r="R636" s="58"/>
      <c r="S636" s="62" t="str">
        <f aca="false">IF(OR(B636="",V636=""),"",IFERROR(INDEX(C_TIPO,MATCH(V636&amp;"-P"&amp;MAX(1,COUNTIFS(C_RUTN,V636,C_DEF,"Sí",C_INI,"&lt;="&amp;EOMONTH(B636,0))),C_CLAVE,0))&amp;"","Sin contrato"))</f>
        <v/>
      </c>
      <c r="T636" s="63" t="str">
        <f aca="false">IF(OR(B636="",N(O636)=0),"",N(O636)+ROUND(MIN(N(N636),TOPE_UF*UF_MES)*(TASA_EMP+MUTUAL),0)+ROUND(MIN(N(N636),TOPE_AFC_UF*UF_MES)*IF(S636="Indefinido",AFC_INDEF,AFC_PF),0))</f>
        <v/>
      </c>
      <c r="U636" s="62" t="str">
        <f aca="false">IF(C636="","",IF(LEFT(D636,1)="⚠","⚠ RUT no registrado en Trabajadores",IF(B636="","⚠ Falta el mes",IF(OR(ISTEXT(I636),ISTEXT(J636)),"⚠ Atrasos u horas extra como texto: escriba hh:mm (ej. 1:30)",IF(AND(ISNUMBER(Q636),COUNTIFS(M_RUTN,V636,M_MES,B636,M_LIQ,"&lt;&gt;")&gt;1),"⚠ Liquidación repetida en el mes",IF(AND(ISNUMBER(O636),ISNUMBER(P636),ISNUMBER(Q636),ABS(O636-P636-Q636)&gt;1),"⚠ Haberes − descuentos no da el líquido","OK"))))))</f>
        <v/>
      </c>
      <c r="V636" s="62" t="str">
        <f aca="false">IF(C636="","",IFERROR(VALUE(LEFT(UPPER(SUBSTITUTE(SUBSTITUTE(SUBSTITUTE(TRIM(C636),".",""),"-","")," ","")),LEN(UPPER(SUBSTITUTE(SUBSTITUTE(SUBSTITUTE(TRIM(C636),".",""),"-","")," ","")))-1))&amp;RIGHT(UPPER(SUBSTITUTE(SUBSTITUTE(SUBSTITUTE(TRIM(C636),".",""),"-","")," ","")),1),UPPER(SUBSTITUTE(SUBSTITUTE(SUBSTITUTE(TRIM(C636),".",""),"-","")," ",""))))</f>
        <v/>
      </c>
    </row>
    <row r="637" customFormat="false" ht="15" hidden="false" customHeight="false" outlineLevel="0" collapsed="false">
      <c r="B637" s="80"/>
      <c r="C637" s="58"/>
      <c r="D637" s="62" t="str">
        <f aca="false">IF(C637="","",IFERROR(INDEX(T_NOMBRE,MATCH(V637,T_RUTN,0)),"⚠ RUT no está en Trabajadores"))</f>
        <v/>
      </c>
      <c r="E637" s="61"/>
      <c r="F637" s="61"/>
      <c r="G637" s="61"/>
      <c r="H637" s="61"/>
      <c r="I637" s="81"/>
      <c r="J637" s="81"/>
      <c r="K637" s="60"/>
      <c r="L637" s="60"/>
      <c r="M637" s="60"/>
      <c r="N637" s="60"/>
      <c r="O637" s="60"/>
      <c r="P637" s="60"/>
      <c r="Q637" s="60"/>
      <c r="R637" s="58"/>
      <c r="S637" s="62" t="str">
        <f aca="false">IF(OR(B637="",V637=""),"",IFERROR(INDEX(C_TIPO,MATCH(V637&amp;"-P"&amp;MAX(1,COUNTIFS(C_RUTN,V637,C_DEF,"Sí",C_INI,"&lt;="&amp;EOMONTH(B637,0))),C_CLAVE,0))&amp;"","Sin contrato"))</f>
        <v/>
      </c>
      <c r="T637" s="63" t="str">
        <f aca="false">IF(OR(B637="",N(O637)=0),"",N(O637)+ROUND(MIN(N(N637),TOPE_UF*UF_MES)*(TASA_EMP+MUTUAL),0)+ROUND(MIN(N(N637),TOPE_AFC_UF*UF_MES)*IF(S637="Indefinido",AFC_INDEF,AFC_PF),0))</f>
        <v/>
      </c>
      <c r="U637" s="62" t="str">
        <f aca="false">IF(C637="","",IF(LEFT(D637,1)="⚠","⚠ RUT no registrado en Trabajadores",IF(B637="","⚠ Falta el mes",IF(OR(ISTEXT(I637),ISTEXT(J637)),"⚠ Atrasos u horas extra como texto: escriba hh:mm (ej. 1:30)",IF(AND(ISNUMBER(Q637),COUNTIFS(M_RUTN,V637,M_MES,B637,M_LIQ,"&lt;&gt;")&gt;1),"⚠ Liquidación repetida en el mes",IF(AND(ISNUMBER(O637),ISNUMBER(P637),ISNUMBER(Q637),ABS(O637-P637-Q637)&gt;1),"⚠ Haberes − descuentos no da el líquido","OK"))))))</f>
        <v/>
      </c>
      <c r="V637" s="62" t="str">
        <f aca="false">IF(C637="","",IFERROR(VALUE(LEFT(UPPER(SUBSTITUTE(SUBSTITUTE(SUBSTITUTE(TRIM(C637),".",""),"-","")," ","")),LEN(UPPER(SUBSTITUTE(SUBSTITUTE(SUBSTITUTE(TRIM(C637),".",""),"-","")," ","")))-1))&amp;RIGHT(UPPER(SUBSTITUTE(SUBSTITUTE(SUBSTITUTE(TRIM(C637),".",""),"-","")," ","")),1),UPPER(SUBSTITUTE(SUBSTITUTE(SUBSTITUTE(TRIM(C637),".",""),"-","")," ",""))))</f>
        <v/>
      </c>
    </row>
    <row r="638" customFormat="false" ht="15" hidden="false" customHeight="false" outlineLevel="0" collapsed="false">
      <c r="B638" s="80"/>
      <c r="C638" s="58"/>
      <c r="D638" s="62" t="str">
        <f aca="false">IF(C638="","",IFERROR(INDEX(T_NOMBRE,MATCH(V638,T_RUTN,0)),"⚠ RUT no está en Trabajadores"))</f>
        <v/>
      </c>
      <c r="E638" s="61"/>
      <c r="F638" s="61"/>
      <c r="G638" s="61"/>
      <c r="H638" s="61"/>
      <c r="I638" s="81"/>
      <c r="J638" s="81"/>
      <c r="K638" s="60"/>
      <c r="L638" s="60"/>
      <c r="M638" s="60"/>
      <c r="N638" s="60"/>
      <c r="O638" s="60"/>
      <c r="P638" s="60"/>
      <c r="Q638" s="60"/>
      <c r="R638" s="58"/>
      <c r="S638" s="62" t="str">
        <f aca="false">IF(OR(B638="",V638=""),"",IFERROR(INDEX(C_TIPO,MATCH(V638&amp;"-P"&amp;MAX(1,COUNTIFS(C_RUTN,V638,C_DEF,"Sí",C_INI,"&lt;="&amp;EOMONTH(B638,0))),C_CLAVE,0))&amp;"","Sin contrato"))</f>
        <v/>
      </c>
      <c r="T638" s="63" t="str">
        <f aca="false">IF(OR(B638="",N(O638)=0),"",N(O638)+ROUND(MIN(N(N638),TOPE_UF*UF_MES)*(TASA_EMP+MUTUAL),0)+ROUND(MIN(N(N638),TOPE_AFC_UF*UF_MES)*IF(S638="Indefinido",AFC_INDEF,AFC_PF),0))</f>
        <v/>
      </c>
      <c r="U638" s="62" t="str">
        <f aca="false">IF(C638="","",IF(LEFT(D638,1)="⚠","⚠ RUT no registrado en Trabajadores",IF(B638="","⚠ Falta el mes",IF(OR(ISTEXT(I638),ISTEXT(J638)),"⚠ Atrasos u horas extra como texto: escriba hh:mm (ej. 1:30)",IF(AND(ISNUMBER(Q638),COUNTIFS(M_RUTN,V638,M_MES,B638,M_LIQ,"&lt;&gt;")&gt;1),"⚠ Liquidación repetida en el mes",IF(AND(ISNUMBER(O638),ISNUMBER(P638),ISNUMBER(Q638),ABS(O638-P638-Q638)&gt;1),"⚠ Haberes − descuentos no da el líquido","OK"))))))</f>
        <v/>
      </c>
      <c r="V638" s="62" t="str">
        <f aca="false">IF(C638="","",IFERROR(VALUE(LEFT(UPPER(SUBSTITUTE(SUBSTITUTE(SUBSTITUTE(TRIM(C638),".",""),"-","")," ","")),LEN(UPPER(SUBSTITUTE(SUBSTITUTE(SUBSTITUTE(TRIM(C638),".",""),"-","")," ","")))-1))&amp;RIGHT(UPPER(SUBSTITUTE(SUBSTITUTE(SUBSTITUTE(TRIM(C638),".",""),"-","")," ","")),1),UPPER(SUBSTITUTE(SUBSTITUTE(SUBSTITUTE(TRIM(C638),".",""),"-","")," ",""))))</f>
        <v/>
      </c>
    </row>
    <row r="639" customFormat="false" ht="15" hidden="false" customHeight="false" outlineLevel="0" collapsed="false">
      <c r="B639" s="80"/>
      <c r="C639" s="58"/>
      <c r="D639" s="62" t="str">
        <f aca="false">IF(C639="","",IFERROR(INDEX(T_NOMBRE,MATCH(V639,T_RUTN,0)),"⚠ RUT no está en Trabajadores"))</f>
        <v/>
      </c>
      <c r="E639" s="61"/>
      <c r="F639" s="61"/>
      <c r="G639" s="61"/>
      <c r="H639" s="61"/>
      <c r="I639" s="81"/>
      <c r="J639" s="81"/>
      <c r="K639" s="60"/>
      <c r="L639" s="60"/>
      <c r="M639" s="60"/>
      <c r="N639" s="60"/>
      <c r="O639" s="60"/>
      <c r="P639" s="60"/>
      <c r="Q639" s="60"/>
      <c r="R639" s="58"/>
      <c r="S639" s="62" t="str">
        <f aca="false">IF(OR(B639="",V639=""),"",IFERROR(INDEX(C_TIPO,MATCH(V639&amp;"-P"&amp;MAX(1,COUNTIFS(C_RUTN,V639,C_DEF,"Sí",C_INI,"&lt;="&amp;EOMONTH(B639,0))),C_CLAVE,0))&amp;"","Sin contrato"))</f>
        <v/>
      </c>
      <c r="T639" s="63" t="str">
        <f aca="false">IF(OR(B639="",N(O639)=0),"",N(O639)+ROUND(MIN(N(N639),TOPE_UF*UF_MES)*(TASA_EMP+MUTUAL),0)+ROUND(MIN(N(N639),TOPE_AFC_UF*UF_MES)*IF(S639="Indefinido",AFC_INDEF,AFC_PF),0))</f>
        <v/>
      </c>
      <c r="U639" s="62" t="str">
        <f aca="false">IF(C639="","",IF(LEFT(D639,1)="⚠","⚠ RUT no registrado en Trabajadores",IF(B639="","⚠ Falta el mes",IF(OR(ISTEXT(I639),ISTEXT(J639)),"⚠ Atrasos u horas extra como texto: escriba hh:mm (ej. 1:30)",IF(AND(ISNUMBER(Q639),COUNTIFS(M_RUTN,V639,M_MES,B639,M_LIQ,"&lt;&gt;")&gt;1),"⚠ Liquidación repetida en el mes",IF(AND(ISNUMBER(O639),ISNUMBER(P639),ISNUMBER(Q639),ABS(O639-P639-Q639)&gt;1),"⚠ Haberes − descuentos no da el líquido","OK"))))))</f>
        <v/>
      </c>
      <c r="V639" s="62" t="str">
        <f aca="false">IF(C639="","",IFERROR(VALUE(LEFT(UPPER(SUBSTITUTE(SUBSTITUTE(SUBSTITUTE(TRIM(C639),".",""),"-","")," ","")),LEN(UPPER(SUBSTITUTE(SUBSTITUTE(SUBSTITUTE(TRIM(C639),".",""),"-","")," ","")))-1))&amp;RIGHT(UPPER(SUBSTITUTE(SUBSTITUTE(SUBSTITUTE(TRIM(C639),".",""),"-","")," ","")),1),UPPER(SUBSTITUTE(SUBSTITUTE(SUBSTITUTE(TRIM(C639),".",""),"-","")," ",""))))</f>
        <v/>
      </c>
    </row>
    <row r="640" customFormat="false" ht="15" hidden="false" customHeight="false" outlineLevel="0" collapsed="false">
      <c r="B640" s="80"/>
      <c r="C640" s="58"/>
      <c r="D640" s="62" t="str">
        <f aca="false">IF(C640="","",IFERROR(INDEX(T_NOMBRE,MATCH(V640,T_RUTN,0)),"⚠ RUT no está en Trabajadores"))</f>
        <v/>
      </c>
      <c r="E640" s="61"/>
      <c r="F640" s="61"/>
      <c r="G640" s="61"/>
      <c r="H640" s="61"/>
      <c r="I640" s="81"/>
      <c r="J640" s="81"/>
      <c r="K640" s="60"/>
      <c r="L640" s="60"/>
      <c r="M640" s="60"/>
      <c r="N640" s="60"/>
      <c r="O640" s="60"/>
      <c r="P640" s="60"/>
      <c r="Q640" s="60"/>
      <c r="R640" s="58"/>
      <c r="S640" s="62" t="str">
        <f aca="false">IF(OR(B640="",V640=""),"",IFERROR(INDEX(C_TIPO,MATCH(V640&amp;"-P"&amp;MAX(1,COUNTIFS(C_RUTN,V640,C_DEF,"Sí",C_INI,"&lt;="&amp;EOMONTH(B640,0))),C_CLAVE,0))&amp;"","Sin contrato"))</f>
        <v/>
      </c>
      <c r="T640" s="63" t="str">
        <f aca="false">IF(OR(B640="",N(O640)=0),"",N(O640)+ROUND(MIN(N(N640),TOPE_UF*UF_MES)*(TASA_EMP+MUTUAL),0)+ROUND(MIN(N(N640),TOPE_AFC_UF*UF_MES)*IF(S640="Indefinido",AFC_INDEF,AFC_PF),0))</f>
        <v/>
      </c>
      <c r="U640" s="62" t="str">
        <f aca="false">IF(C640="","",IF(LEFT(D640,1)="⚠","⚠ RUT no registrado en Trabajadores",IF(B640="","⚠ Falta el mes",IF(OR(ISTEXT(I640),ISTEXT(J640)),"⚠ Atrasos u horas extra como texto: escriba hh:mm (ej. 1:30)",IF(AND(ISNUMBER(Q640),COUNTIFS(M_RUTN,V640,M_MES,B640,M_LIQ,"&lt;&gt;")&gt;1),"⚠ Liquidación repetida en el mes",IF(AND(ISNUMBER(O640),ISNUMBER(P640),ISNUMBER(Q640),ABS(O640-P640-Q640)&gt;1),"⚠ Haberes − descuentos no da el líquido","OK"))))))</f>
        <v/>
      </c>
      <c r="V640" s="62" t="str">
        <f aca="false">IF(C640="","",IFERROR(VALUE(LEFT(UPPER(SUBSTITUTE(SUBSTITUTE(SUBSTITUTE(TRIM(C640),".",""),"-","")," ","")),LEN(UPPER(SUBSTITUTE(SUBSTITUTE(SUBSTITUTE(TRIM(C640),".",""),"-","")," ","")))-1))&amp;RIGHT(UPPER(SUBSTITUTE(SUBSTITUTE(SUBSTITUTE(TRIM(C640),".",""),"-","")," ","")),1),UPPER(SUBSTITUTE(SUBSTITUTE(SUBSTITUTE(TRIM(C640),".",""),"-","")," ",""))))</f>
        <v/>
      </c>
    </row>
    <row r="641" customFormat="false" ht="15" hidden="false" customHeight="false" outlineLevel="0" collapsed="false">
      <c r="B641" s="80"/>
      <c r="C641" s="58"/>
      <c r="D641" s="62" t="str">
        <f aca="false">IF(C641="","",IFERROR(INDEX(T_NOMBRE,MATCH(V641,T_RUTN,0)),"⚠ RUT no está en Trabajadores"))</f>
        <v/>
      </c>
      <c r="E641" s="61"/>
      <c r="F641" s="61"/>
      <c r="G641" s="61"/>
      <c r="H641" s="61"/>
      <c r="I641" s="81"/>
      <c r="J641" s="81"/>
      <c r="K641" s="60"/>
      <c r="L641" s="60"/>
      <c r="M641" s="60"/>
      <c r="N641" s="60"/>
      <c r="O641" s="60"/>
      <c r="P641" s="60"/>
      <c r="Q641" s="60"/>
      <c r="R641" s="58"/>
      <c r="S641" s="62" t="str">
        <f aca="false">IF(OR(B641="",V641=""),"",IFERROR(INDEX(C_TIPO,MATCH(V641&amp;"-P"&amp;MAX(1,COUNTIFS(C_RUTN,V641,C_DEF,"Sí",C_INI,"&lt;="&amp;EOMONTH(B641,0))),C_CLAVE,0))&amp;"","Sin contrato"))</f>
        <v/>
      </c>
      <c r="T641" s="63" t="str">
        <f aca="false">IF(OR(B641="",N(O641)=0),"",N(O641)+ROUND(MIN(N(N641),TOPE_UF*UF_MES)*(TASA_EMP+MUTUAL),0)+ROUND(MIN(N(N641),TOPE_AFC_UF*UF_MES)*IF(S641="Indefinido",AFC_INDEF,AFC_PF),0))</f>
        <v/>
      </c>
      <c r="U641" s="62" t="str">
        <f aca="false">IF(C641="","",IF(LEFT(D641,1)="⚠","⚠ RUT no registrado en Trabajadores",IF(B641="","⚠ Falta el mes",IF(OR(ISTEXT(I641),ISTEXT(J641)),"⚠ Atrasos u horas extra como texto: escriba hh:mm (ej. 1:30)",IF(AND(ISNUMBER(Q641),COUNTIFS(M_RUTN,V641,M_MES,B641,M_LIQ,"&lt;&gt;")&gt;1),"⚠ Liquidación repetida en el mes",IF(AND(ISNUMBER(O641),ISNUMBER(P641),ISNUMBER(Q641),ABS(O641-P641-Q641)&gt;1),"⚠ Haberes − descuentos no da el líquido","OK"))))))</f>
        <v/>
      </c>
      <c r="V641" s="62" t="str">
        <f aca="false">IF(C641="","",IFERROR(VALUE(LEFT(UPPER(SUBSTITUTE(SUBSTITUTE(SUBSTITUTE(TRIM(C641),".",""),"-","")," ","")),LEN(UPPER(SUBSTITUTE(SUBSTITUTE(SUBSTITUTE(TRIM(C641),".",""),"-","")," ","")))-1))&amp;RIGHT(UPPER(SUBSTITUTE(SUBSTITUTE(SUBSTITUTE(TRIM(C641),".",""),"-","")," ","")),1),UPPER(SUBSTITUTE(SUBSTITUTE(SUBSTITUTE(TRIM(C641),".",""),"-","")," ",""))))</f>
        <v/>
      </c>
    </row>
    <row r="642" customFormat="false" ht="15" hidden="false" customHeight="false" outlineLevel="0" collapsed="false">
      <c r="B642" s="80"/>
      <c r="C642" s="58"/>
      <c r="D642" s="62" t="str">
        <f aca="false">IF(C642="","",IFERROR(INDEX(T_NOMBRE,MATCH(V642,T_RUTN,0)),"⚠ RUT no está en Trabajadores"))</f>
        <v/>
      </c>
      <c r="E642" s="61"/>
      <c r="F642" s="61"/>
      <c r="G642" s="61"/>
      <c r="H642" s="61"/>
      <c r="I642" s="81"/>
      <c r="J642" s="81"/>
      <c r="K642" s="60"/>
      <c r="L642" s="60"/>
      <c r="M642" s="60"/>
      <c r="N642" s="60"/>
      <c r="O642" s="60"/>
      <c r="P642" s="60"/>
      <c r="Q642" s="60"/>
      <c r="R642" s="58"/>
      <c r="S642" s="62" t="str">
        <f aca="false">IF(OR(B642="",V642=""),"",IFERROR(INDEX(C_TIPO,MATCH(V642&amp;"-P"&amp;MAX(1,COUNTIFS(C_RUTN,V642,C_DEF,"Sí",C_INI,"&lt;="&amp;EOMONTH(B642,0))),C_CLAVE,0))&amp;"","Sin contrato"))</f>
        <v/>
      </c>
      <c r="T642" s="63" t="str">
        <f aca="false">IF(OR(B642="",N(O642)=0),"",N(O642)+ROUND(MIN(N(N642),TOPE_UF*UF_MES)*(TASA_EMP+MUTUAL),0)+ROUND(MIN(N(N642),TOPE_AFC_UF*UF_MES)*IF(S642="Indefinido",AFC_INDEF,AFC_PF),0))</f>
        <v/>
      </c>
      <c r="U642" s="62" t="str">
        <f aca="false">IF(C642="","",IF(LEFT(D642,1)="⚠","⚠ RUT no registrado en Trabajadores",IF(B642="","⚠ Falta el mes",IF(OR(ISTEXT(I642),ISTEXT(J642)),"⚠ Atrasos u horas extra como texto: escriba hh:mm (ej. 1:30)",IF(AND(ISNUMBER(Q642),COUNTIFS(M_RUTN,V642,M_MES,B642,M_LIQ,"&lt;&gt;")&gt;1),"⚠ Liquidación repetida en el mes",IF(AND(ISNUMBER(O642),ISNUMBER(P642),ISNUMBER(Q642),ABS(O642-P642-Q642)&gt;1),"⚠ Haberes − descuentos no da el líquido","OK"))))))</f>
        <v/>
      </c>
      <c r="V642" s="62" t="str">
        <f aca="false">IF(C642="","",IFERROR(VALUE(LEFT(UPPER(SUBSTITUTE(SUBSTITUTE(SUBSTITUTE(TRIM(C642),".",""),"-","")," ","")),LEN(UPPER(SUBSTITUTE(SUBSTITUTE(SUBSTITUTE(TRIM(C642),".",""),"-","")," ","")))-1))&amp;RIGHT(UPPER(SUBSTITUTE(SUBSTITUTE(SUBSTITUTE(TRIM(C642),".",""),"-","")," ","")),1),UPPER(SUBSTITUTE(SUBSTITUTE(SUBSTITUTE(TRIM(C642),".",""),"-","")," ",""))))</f>
        <v/>
      </c>
    </row>
    <row r="643" customFormat="false" ht="15" hidden="false" customHeight="false" outlineLevel="0" collapsed="false">
      <c r="B643" s="80"/>
      <c r="C643" s="58"/>
      <c r="D643" s="62" t="str">
        <f aca="false">IF(C643="","",IFERROR(INDEX(T_NOMBRE,MATCH(V643,T_RUTN,0)),"⚠ RUT no está en Trabajadores"))</f>
        <v/>
      </c>
      <c r="E643" s="61"/>
      <c r="F643" s="61"/>
      <c r="G643" s="61"/>
      <c r="H643" s="61"/>
      <c r="I643" s="81"/>
      <c r="J643" s="81"/>
      <c r="K643" s="60"/>
      <c r="L643" s="60"/>
      <c r="M643" s="60"/>
      <c r="N643" s="60"/>
      <c r="O643" s="60"/>
      <c r="P643" s="60"/>
      <c r="Q643" s="60"/>
      <c r="R643" s="58"/>
      <c r="S643" s="62" t="str">
        <f aca="false">IF(OR(B643="",V643=""),"",IFERROR(INDEX(C_TIPO,MATCH(V643&amp;"-P"&amp;MAX(1,COUNTIFS(C_RUTN,V643,C_DEF,"Sí",C_INI,"&lt;="&amp;EOMONTH(B643,0))),C_CLAVE,0))&amp;"","Sin contrato"))</f>
        <v/>
      </c>
      <c r="T643" s="63" t="str">
        <f aca="false">IF(OR(B643="",N(O643)=0),"",N(O643)+ROUND(MIN(N(N643),TOPE_UF*UF_MES)*(TASA_EMP+MUTUAL),0)+ROUND(MIN(N(N643),TOPE_AFC_UF*UF_MES)*IF(S643="Indefinido",AFC_INDEF,AFC_PF),0))</f>
        <v/>
      </c>
      <c r="U643" s="62" t="str">
        <f aca="false">IF(C643="","",IF(LEFT(D643,1)="⚠","⚠ RUT no registrado en Trabajadores",IF(B643="","⚠ Falta el mes",IF(OR(ISTEXT(I643),ISTEXT(J643)),"⚠ Atrasos u horas extra como texto: escriba hh:mm (ej. 1:30)",IF(AND(ISNUMBER(Q643),COUNTIFS(M_RUTN,V643,M_MES,B643,M_LIQ,"&lt;&gt;")&gt;1),"⚠ Liquidación repetida en el mes",IF(AND(ISNUMBER(O643),ISNUMBER(P643),ISNUMBER(Q643),ABS(O643-P643-Q643)&gt;1),"⚠ Haberes − descuentos no da el líquido","OK"))))))</f>
        <v/>
      </c>
      <c r="V643" s="62" t="str">
        <f aca="false">IF(C643="","",IFERROR(VALUE(LEFT(UPPER(SUBSTITUTE(SUBSTITUTE(SUBSTITUTE(TRIM(C643),".",""),"-","")," ","")),LEN(UPPER(SUBSTITUTE(SUBSTITUTE(SUBSTITUTE(TRIM(C643),".",""),"-","")," ","")))-1))&amp;RIGHT(UPPER(SUBSTITUTE(SUBSTITUTE(SUBSTITUTE(TRIM(C643),".",""),"-","")," ","")),1),UPPER(SUBSTITUTE(SUBSTITUTE(SUBSTITUTE(TRIM(C643),".",""),"-","")," ",""))))</f>
        <v/>
      </c>
    </row>
    <row r="644" customFormat="false" ht="15" hidden="false" customHeight="false" outlineLevel="0" collapsed="false">
      <c r="B644" s="80"/>
      <c r="C644" s="58"/>
      <c r="D644" s="62" t="str">
        <f aca="false">IF(C644="","",IFERROR(INDEX(T_NOMBRE,MATCH(V644,T_RUTN,0)),"⚠ RUT no está en Trabajadores"))</f>
        <v/>
      </c>
      <c r="E644" s="61"/>
      <c r="F644" s="61"/>
      <c r="G644" s="61"/>
      <c r="H644" s="61"/>
      <c r="I644" s="81"/>
      <c r="J644" s="81"/>
      <c r="K644" s="60"/>
      <c r="L644" s="60"/>
      <c r="M644" s="60"/>
      <c r="N644" s="60"/>
      <c r="O644" s="60"/>
      <c r="P644" s="60"/>
      <c r="Q644" s="60"/>
      <c r="R644" s="58"/>
      <c r="S644" s="62" t="str">
        <f aca="false">IF(OR(B644="",V644=""),"",IFERROR(INDEX(C_TIPO,MATCH(V644&amp;"-P"&amp;MAX(1,COUNTIFS(C_RUTN,V644,C_DEF,"Sí",C_INI,"&lt;="&amp;EOMONTH(B644,0))),C_CLAVE,0))&amp;"","Sin contrato"))</f>
        <v/>
      </c>
      <c r="T644" s="63" t="str">
        <f aca="false">IF(OR(B644="",N(O644)=0),"",N(O644)+ROUND(MIN(N(N644),TOPE_UF*UF_MES)*(TASA_EMP+MUTUAL),0)+ROUND(MIN(N(N644),TOPE_AFC_UF*UF_MES)*IF(S644="Indefinido",AFC_INDEF,AFC_PF),0))</f>
        <v/>
      </c>
      <c r="U644" s="62" t="str">
        <f aca="false">IF(C644="","",IF(LEFT(D644,1)="⚠","⚠ RUT no registrado en Trabajadores",IF(B644="","⚠ Falta el mes",IF(OR(ISTEXT(I644),ISTEXT(J644)),"⚠ Atrasos u horas extra como texto: escriba hh:mm (ej. 1:30)",IF(AND(ISNUMBER(Q644),COUNTIFS(M_RUTN,V644,M_MES,B644,M_LIQ,"&lt;&gt;")&gt;1),"⚠ Liquidación repetida en el mes",IF(AND(ISNUMBER(O644),ISNUMBER(P644),ISNUMBER(Q644),ABS(O644-P644-Q644)&gt;1),"⚠ Haberes − descuentos no da el líquido","OK"))))))</f>
        <v/>
      </c>
      <c r="V644" s="62" t="str">
        <f aca="false">IF(C644="","",IFERROR(VALUE(LEFT(UPPER(SUBSTITUTE(SUBSTITUTE(SUBSTITUTE(TRIM(C644),".",""),"-","")," ","")),LEN(UPPER(SUBSTITUTE(SUBSTITUTE(SUBSTITUTE(TRIM(C644),".",""),"-","")," ","")))-1))&amp;RIGHT(UPPER(SUBSTITUTE(SUBSTITUTE(SUBSTITUTE(TRIM(C644),".",""),"-","")," ","")),1),UPPER(SUBSTITUTE(SUBSTITUTE(SUBSTITUTE(TRIM(C644),".",""),"-","")," ",""))))</f>
        <v/>
      </c>
    </row>
    <row r="645" customFormat="false" ht="15" hidden="false" customHeight="false" outlineLevel="0" collapsed="false">
      <c r="B645" s="80"/>
      <c r="C645" s="58"/>
      <c r="D645" s="62" t="str">
        <f aca="false">IF(C645="","",IFERROR(INDEX(T_NOMBRE,MATCH(V645,T_RUTN,0)),"⚠ RUT no está en Trabajadores"))</f>
        <v/>
      </c>
      <c r="E645" s="61"/>
      <c r="F645" s="61"/>
      <c r="G645" s="61"/>
      <c r="H645" s="61"/>
      <c r="I645" s="81"/>
      <c r="J645" s="81"/>
      <c r="K645" s="60"/>
      <c r="L645" s="60"/>
      <c r="M645" s="60"/>
      <c r="N645" s="60"/>
      <c r="O645" s="60"/>
      <c r="P645" s="60"/>
      <c r="Q645" s="60"/>
      <c r="R645" s="58"/>
      <c r="S645" s="62" t="str">
        <f aca="false">IF(OR(B645="",V645=""),"",IFERROR(INDEX(C_TIPO,MATCH(V645&amp;"-P"&amp;MAX(1,COUNTIFS(C_RUTN,V645,C_DEF,"Sí",C_INI,"&lt;="&amp;EOMONTH(B645,0))),C_CLAVE,0))&amp;"","Sin contrato"))</f>
        <v/>
      </c>
      <c r="T645" s="63" t="str">
        <f aca="false">IF(OR(B645="",N(O645)=0),"",N(O645)+ROUND(MIN(N(N645),TOPE_UF*UF_MES)*(TASA_EMP+MUTUAL),0)+ROUND(MIN(N(N645),TOPE_AFC_UF*UF_MES)*IF(S645="Indefinido",AFC_INDEF,AFC_PF),0))</f>
        <v/>
      </c>
      <c r="U645" s="62" t="str">
        <f aca="false">IF(C645="","",IF(LEFT(D645,1)="⚠","⚠ RUT no registrado en Trabajadores",IF(B645="","⚠ Falta el mes",IF(OR(ISTEXT(I645),ISTEXT(J645)),"⚠ Atrasos u horas extra como texto: escriba hh:mm (ej. 1:30)",IF(AND(ISNUMBER(Q645),COUNTIFS(M_RUTN,V645,M_MES,B645,M_LIQ,"&lt;&gt;")&gt;1),"⚠ Liquidación repetida en el mes",IF(AND(ISNUMBER(O645),ISNUMBER(P645),ISNUMBER(Q645),ABS(O645-P645-Q645)&gt;1),"⚠ Haberes − descuentos no da el líquido","OK"))))))</f>
        <v/>
      </c>
      <c r="V645" s="62" t="str">
        <f aca="false">IF(C645="","",IFERROR(VALUE(LEFT(UPPER(SUBSTITUTE(SUBSTITUTE(SUBSTITUTE(TRIM(C645),".",""),"-","")," ","")),LEN(UPPER(SUBSTITUTE(SUBSTITUTE(SUBSTITUTE(TRIM(C645),".",""),"-","")," ","")))-1))&amp;RIGHT(UPPER(SUBSTITUTE(SUBSTITUTE(SUBSTITUTE(TRIM(C645),".",""),"-","")," ","")),1),UPPER(SUBSTITUTE(SUBSTITUTE(SUBSTITUTE(TRIM(C645),".",""),"-","")," ",""))))</f>
        <v/>
      </c>
    </row>
    <row r="646" customFormat="false" ht="15" hidden="false" customHeight="false" outlineLevel="0" collapsed="false">
      <c r="B646" s="80"/>
      <c r="C646" s="58"/>
      <c r="D646" s="62" t="str">
        <f aca="false">IF(C646="","",IFERROR(INDEX(T_NOMBRE,MATCH(V646,T_RUTN,0)),"⚠ RUT no está en Trabajadores"))</f>
        <v/>
      </c>
      <c r="E646" s="61"/>
      <c r="F646" s="61"/>
      <c r="G646" s="61"/>
      <c r="H646" s="61"/>
      <c r="I646" s="81"/>
      <c r="J646" s="81"/>
      <c r="K646" s="60"/>
      <c r="L646" s="60"/>
      <c r="M646" s="60"/>
      <c r="N646" s="60"/>
      <c r="O646" s="60"/>
      <c r="P646" s="60"/>
      <c r="Q646" s="60"/>
      <c r="R646" s="58"/>
      <c r="S646" s="62" t="str">
        <f aca="false">IF(OR(B646="",V646=""),"",IFERROR(INDEX(C_TIPO,MATCH(V646&amp;"-P"&amp;MAX(1,COUNTIFS(C_RUTN,V646,C_DEF,"Sí",C_INI,"&lt;="&amp;EOMONTH(B646,0))),C_CLAVE,0))&amp;"","Sin contrato"))</f>
        <v/>
      </c>
      <c r="T646" s="63" t="str">
        <f aca="false">IF(OR(B646="",N(O646)=0),"",N(O646)+ROUND(MIN(N(N646),TOPE_UF*UF_MES)*(TASA_EMP+MUTUAL),0)+ROUND(MIN(N(N646),TOPE_AFC_UF*UF_MES)*IF(S646="Indefinido",AFC_INDEF,AFC_PF),0))</f>
        <v/>
      </c>
      <c r="U646" s="62" t="str">
        <f aca="false">IF(C646="","",IF(LEFT(D646,1)="⚠","⚠ RUT no registrado en Trabajadores",IF(B646="","⚠ Falta el mes",IF(OR(ISTEXT(I646),ISTEXT(J646)),"⚠ Atrasos u horas extra como texto: escriba hh:mm (ej. 1:30)",IF(AND(ISNUMBER(Q646),COUNTIFS(M_RUTN,V646,M_MES,B646,M_LIQ,"&lt;&gt;")&gt;1),"⚠ Liquidación repetida en el mes",IF(AND(ISNUMBER(O646),ISNUMBER(P646),ISNUMBER(Q646),ABS(O646-P646-Q646)&gt;1),"⚠ Haberes − descuentos no da el líquido","OK"))))))</f>
        <v/>
      </c>
      <c r="V646" s="62" t="str">
        <f aca="false">IF(C646="","",IFERROR(VALUE(LEFT(UPPER(SUBSTITUTE(SUBSTITUTE(SUBSTITUTE(TRIM(C646),".",""),"-","")," ","")),LEN(UPPER(SUBSTITUTE(SUBSTITUTE(SUBSTITUTE(TRIM(C646),".",""),"-","")," ","")))-1))&amp;RIGHT(UPPER(SUBSTITUTE(SUBSTITUTE(SUBSTITUTE(TRIM(C646),".",""),"-","")," ","")),1),UPPER(SUBSTITUTE(SUBSTITUTE(SUBSTITUTE(TRIM(C646),".",""),"-","")," ",""))))</f>
        <v/>
      </c>
    </row>
    <row r="647" customFormat="false" ht="15" hidden="false" customHeight="false" outlineLevel="0" collapsed="false">
      <c r="B647" s="80"/>
      <c r="C647" s="58"/>
      <c r="D647" s="62" t="str">
        <f aca="false">IF(C647="","",IFERROR(INDEX(T_NOMBRE,MATCH(V647,T_RUTN,0)),"⚠ RUT no está en Trabajadores"))</f>
        <v/>
      </c>
      <c r="E647" s="61"/>
      <c r="F647" s="61"/>
      <c r="G647" s="61"/>
      <c r="H647" s="61"/>
      <c r="I647" s="81"/>
      <c r="J647" s="81"/>
      <c r="K647" s="60"/>
      <c r="L647" s="60"/>
      <c r="M647" s="60"/>
      <c r="N647" s="60"/>
      <c r="O647" s="60"/>
      <c r="P647" s="60"/>
      <c r="Q647" s="60"/>
      <c r="R647" s="58"/>
      <c r="S647" s="62" t="str">
        <f aca="false">IF(OR(B647="",V647=""),"",IFERROR(INDEX(C_TIPO,MATCH(V647&amp;"-P"&amp;MAX(1,COUNTIFS(C_RUTN,V647,C_DEF,"Sí",C_INI,"&lt;="&amp;EOMONTH(B647,0))),C_CLAVE,0))&amp;"","Sin contrato"))</f>
        <v/>
      </c>
      <c r="T647" s="63" t="str">
        <f aca="false">IF(OR(B647="",N(O647)=0),"",N(O647)+ROUND(MIN(N(N647),TOPE_UF*UF_MES)*(TASA_EMP+MUTUAL),0)+ROUND(MIN(N(N647),TOPE_AFC_UF*UF_MES)*IF(S647="Indefinido",AFC_INDEF,AFC_PF),0))</f>
        <v/>
      </c>
      <c r="U647" s="62" t="str">
        <f aca="false">IF(C647="","",IF(LEFT(D647,1)="⚠","⚠ RUT no registrado en Trabajadores",IF(B647="","⚠ Falta el mes",IF(OR(ISTEXT(I647),ISTEXT(J647)),"⚠ Atrasos u horas extra como texto: escriba hh:mm (ej. 1:30)",IF(AND(ISNUMBER(Q647),COUNTIFS(M_RUTN,V647,M_MES,B647,M_LIQ,"&lt;&gt;")&gt;1),"⚠ Liquidación repetida en el mes",IF(AND(ISNUMBER(O647),ISNUMBER(P647),ISNUMBER(Q647),ABS(O647-P647-Q647)&gt;1),"⚠ Haberes − descuentos no da el líquido","OK"))))))</f>
        <v/>
      </c>
      <c r="V647" s="62" t="str">
        <f aca="false">IF(C647="","",IFERROR(VALUE(LEFT(UPPER(SUBSTITUTE(SUBSTITUTE(SUBSTITUTE(TRIM(C647),".",""),"-","")," ","")),LEN(UPPER(SUBSTITUTE(SUBSTITUTE(SUBSTITUTE(TRIM(C647),".",""),"-","")," ","")))-1))&amp;RIGHT(UPPER(SUBSTITUTE(SUBSTITUTE(SUBSTITUTE(TRIM(C647),".",""),"-","")," ","")),1),UPPER(SUBSTITUTE(SUBSTITUTE(SUBSTITUTE(TRIM(C647),".",""),"-","")," ",""))))</f>
        <v/>
      </c>
    </row>
    <row r="648" customFormat="false" ht="15" hidden="false" customHeight="false" outlineLevel="0" collapsed="false">
      <c r="B648" s="80"/>
      <c r="C648" s="58"/>
      <c r="D648" s="62" t="str">
        <f aca="false">IF(C648="","",IFERROR(INDEX(T_NOMBRE,MATCH(V648,T_RUTN,0)),"⚠ RUT no está en Trabajadores"))</f>
        <v/>
      </c>
      <c r="E648" s="61"/>
      <c r="F648" s="61"/>
      <c r="G648" s="61"/>
      <c r="H648" s="61"/>
      <c r="I648" s="81"/>
      <c r="J648" s="81"/>
      <c r="K648" s="60"/>
      <c r="L648" s="60"/>
      <c r="M648" s="60"/>
      <c r="N648" s="60"/>
      <c r="O648" s="60"/>
      <c r="P648" s="60"/>
      <c r="Q648" s="60"/>
      <c r="R648" s="58"/>
      <c r="S648" s="62" t="str">
        <f aca="false">IF(OR(B648="",V648=""),"",IFERROR(INDEX(C_TIPO,MATCH(V648&amp;"-P"&amp;MAX(1,COUNTIFS(C_RUTN,V648,C_DEF,"Sí",C_INI,"&lt;="&amp;EOMONTH(B648,0))),C_CLAVE,0))&amp;"","Sin contrato"))</f>
        <v/>
      </c>
      <c r="T648" s="63" t="str">
        <f aca="false">IF(OR(B648="",N(O648)=0),"",N(O648)+ROUND(MIN(N(N648),TOPE_UF*UF_MES)*(TASA_EMP+MUTUAL),0)+ROUND(MIN(N(N648),TOPE_AFC_UF*UF_MES)*IF(S648="Indefinido",AFC_INDEF,AFC_PF),0))</f>
        <v/>
      </c>
      <c r="U648" s="62" t="str">
        <f aca="false">IF(C648="","",IF(LEFT(D648,1)="⚠","⚠ RUT no registrado en Trabajadores",IF(B648="","⚠ Falta el mes",IF(OR(ISTEXT(I648),ISTEXT(J648)),"⚠ Atrasos u horas extra como texto: escriba hh:mm (ej. 1:30)",IF(AND(ISNUMBER(Q648),COUNTIFS(M_RUTN,V648,M_MES,B648,M_LIQ,"&lt;&gt;")&gt;1),"⚠ Liquidación repetida en el mes",IF(AND(ISNUMBER(O648),ISNUMBER(P648),ISNUMBER(Q648),ABS(O648-P648-Q648)&gt;1),"⚠ Haberes − descuentos no da el líquido","OK"))))))</f>
        <v/>
      </c>
      <c r="V648" s="62" t="str">
        <f aca="false">IF(C648="","",IFERROR(VALUE(LEFT(UPPER(SUBSTITUTE(SUBSTITUTE(SUBSTITUTE(TRIM(C648),".",""),"-","")," ","")),LEN(UPPER(SUBSTITUTE(SUBSTITUTE(SUBSTITUTE(TRIM(C648),".",""),"-","")," ","")))-1))&amp;RIGHT(UPPER(SUBSTITUTE(SUBSTITUTE(SUBSTITUTE(TRIM(C648),".",""),"-","")," ","")),1),UPPER(SUBSTITUTE(SUBSTITUTE(SUBSTITUTE(TRIM(C648),".",""),"-","")," ",""))))</f>
        <v/>
      </c>
    </row>
    <row r="649" customFormat="false" ht="15" hidden="false" customHeight="false" outlineLevel="0" collapsed="false">
      <c r="B649" s="80"/>
      <c r="C649" s="58"/>
      <c r="D649" s="62" t="str">
        <f aca="false">IF(C649="","",IFERROR(INDEX(T_NOMBRE,MATCH(V649,T_RUTN,0)),"⚠ RUT no está en Trabajadores"))</f>
        <v/>
      </c>
      <c r="E649" s="61"/>
      <c r="F649" s="61"/>
      <c r="G649" s="61"/>
      <c r="H649" s="61"/>
      <c r="I649" s="81"/>
      <c r="J649" s="81"/>
      <c r="K649" s="60"/>
      <c r="L649" s="60"/>
      <c r="M649" s="60"/>
      <c r="N649" s="60"/>
      <c r="O649" s="60"/>
      <c r="P649" s="60"/>
      <c r="Q649" s="60"/>
      <c r="R649" s="58"/>
      <c r="S649" s="62" t="str">
        <f aca="false">IF(OR(B649="",V649=""),"",IFERROR(INDEX(C_TIPO,MATCH(V649&amp;"-P"&amp;MAX(1,COUNTIFS(C_RUTN,V649,C_DEF,"Sí",C_INI,"&lt;="&amp;EOMONTH(B649,0))),C_CLAVE,0))&amp;"","Sin contrato"))</f>
        <v/>
      </c>
      <c r="T649" s="63" t="str">
        <f aca="false">IF(OR(B649="",N(O649)=0),"",N(O649)+ROUND(MIN(N(N649),TOPE_UF*UF_MES)*(TASA_EMP+MUTUAL),0)+ROUND(MIN(N(N649),TOPE_AFC_UF*UF_MES)*IF(S649="Indefinido",AFC_INDEF,AFC_PF),0))</f>
        <v/>
      </c>
      <c r="U649" s="62" t="str">
        <f aca="false">IF(C649="","",IF(LEFT(D649,1)="⚠","⚠ RUT no registrado en Trabajadores",IF(B649="","⚠ Falta el mes",IF(OR(ISTEXT(I649),ISTEXT(J649)),"⚠ Atrasos u horas extra como texto: escriba hh:mm (ej. 1:30)",IF(AND(ISNUMBER(Q649),COUNTIFS(M_RUTN,V649,M_MES,B649,M_LIQ,"&lt;&gt;")&gt;1),"⚠ Liquidación repetida en el mes",IF(AND(ISNUMBER(O649),ISNUMBER(P649),ISNUMBER(Q649),ABS(O649-P649-Q649)&gt;1),"⚠ Haberes − descuentos no da el líquido","OK"))))))</f>
        <v/>
      </c>
      <c r="V649" s="62" t="str">
        <f aca="false">IF(C649="","",IFERROR(VALUE(LEFT(UPPER(SUBSTITUTE(SUBSTITUTE(SUBSTITUTE(TRIM(C649),".",""),"-","")," ","")),LEN(UPPER(SUBSTITUTE(SUBSTITUTE(SUBSTITUTE(TRIM(C649),".",""),"-","")," ","")))-1))&amp;RIGHT(UPPER(SUBSTITUTE(SUBSTITUTE(SUBSTITUTE(TRIM(C649),".",""),"-","")," ","")),1),UPPER(SUBSTITUTE(SUBSTITUTE(SUBSTITUTE(TRIM(C649),".",""),"-","")," ",""))))</f>
        <v/>
      </c>
    </row>
    <row r="650" customFormat="false" ht="15" hidden="false" customHeight="false" outlineLevel="0" collapsed="false">
      <c r="B650" s="80"/>
      <c r="C650" s="58"/>
      <c r="D650" s="62" t="str">
        <f aca="false">IF(C650="","",IFERROR(INDEX(T_NOMBRE,MATCH(V650,T_RUTN,0)),"⚠ RUT no está en Trabajadores"))</f>
        <v/>
      </c>
      <c r="E650" s="61"/>
      <c r="F650" s="61"/>
      <c r="G650" s="61"/>
      <c r="H650" s="61"/>
      <c r="I650" s="81"/>
      <c r="J650" s="81"/>
      <c r="K650" s="60"/>
      <c r="L650" s="60"/>
      <c r="M650" s="60"/>
      <c r="N650" s="60"/>
      <c r="O650" s="60"/>
      <c r="P650" s="60"/>
      <c r="Q650" s="60"/>
      <c r="R650" s="58"/>
      <c r="S650" s="62" t="str">
        <f aca="false">IF(OR(B650="",V650=""),"",IFERROR(INDEX(C_TIPO,MATCH(V650&amp;"-P"&amp;MAX(1,COUNTIFS(C_RUTN,V650,C_DEF,"Sí",C_INI,"&lt;="&amp;EOMONTH(B650,0))),C_CLAVE,0))&amp;"","Sin contrato"))</f>
        <v/>
      </c>
      <c r="T650" s="63" t="str">
        <f aca="false">IF(OR(B650="",N(O650)=0),"",N(O650)+ROUND(MIN(N(N650),TOPE_UF*UF_MES)*(TASA_EMP+MUTUAL),0)+ROUND(MIN(N(N650),TOPE_AFC_UF*UF_MES)*IF(S650="Indefinido",AFC_INDEF,AFC_PF),0))</f>
        <v/>
      </c>
      <c r="U650" s="62" t="str">
        <f aca="false">IF(C650="","",IF(LEFT(D650,1)="⚠","⚠ RUT no registrado en Trabajadores",IF(B650="","⚠ Falta el mes",IF(OR(ISTEXT(I650),ISTEXT(J650)),"⚠ Atrasos u horas extra como texto: escriba hh:mm (ej. 1:30)",IF(AND(ISNUMBER(Q650),COUNTIFS(M_RUTN,V650,M_MES,B650,M_LIQ,"&lt;&gt;")&gt;1),"⚠ Liquidación repetida en el mes",IF(AND(ISNUMBER(O650),ISNUMBER(P650),ISNUMBER(Q650),ABS(O650-P650-Q650)&gt;1),"⚠ Haberes − descuentos no da el líquido","OK"))))))</f>
        <v/>
      </c>
      <c r="V650" s="62" t="str">
        <f aca="false">IF(C650="","",IFERROR(VALUE(LEFT(UPPER(SUBSTITUTE(SUBSTITUTE(SUBSTITUTE(TRIM(C650),".",""),"-","")," ","")),LEN(UPPER(SUBSTITUTE(SUBSTITUTE(SUBSTITUTE(TRIM(C650),".",""),"-","")," ","")))-1))&amp;RIGHT(UPPER(SUBSTITUTE(SUBSTITUTE(SUBSTITUTE(TRIM(C650),".",""),"-","")," ","")),1),UPPER(SUBSTITUTE(SUBSTITUTE(SUBSTITUTE(TRIM(C650),".",""),"-","")," ",""))))</f>
        <v/>
      </c>
    </row>
    <row r="651" customFormat="false" ht="15" hidden="false" customHeight="false" outlineLevel="0" collapsed="false">
      <c r="B651" s="80"/>
      <c r="C651" s="58"/>
      <c r="D651" s="62" t="str">
        <f aca="false">IF(C651="","",IFERROR(INDEX(T_NOMBRE,MATCH(V651,T_RUTN,0)),"⚠ RUT no está en Trabajadores"))</f>
        <v/>
      </c>
      <c r="E651" s="61"/>
      <c r="F651" s="61"/>
      <c r="G651" s="61"/>
      <c r="H651" s="61"/>
      <c r="I651" s="81"/>
      <c r="J651" s="81"/>
      <c r="K651" s="60"/>
      <c r="L651" s="60"/>
      <c r="M651" s="60"/>
      <c r="N651" s="60"/>
      <c r="O651" s="60"/>
      <c r="P651" s="60"/>
      <c r="Q651" s="60"/>
      <c r="R651" s="58"/>
      <c r="S651" s="62" t="str">
        <f aca="false">IF(OR(B651="",V651=""),"",IFERROR(INDEX(C_TIPO,MATCH(V651&amp;"-P"&amp;MAX(1,COUNTIFS(C_RUTN,V651,C_DEF,"Sí",C_INI,"&lt;="&amp;EOMONTH(B651,0))),C_CLAVE,0))&amp;"","Sin contrato"))</f>
        <v/>
      </c>
      <c r="T651" s="63" t="str">
        <f aca="false">IF(OR(B651="",N(O651)=0),"",N(O651)+ROUND(MIN(N(N651),TOPE_UF*UF_MES)*(TASA_EMP+MUTUAL),0)+ROUND(MIN(N(N651),TOPE_AFC_UF*UF_MES)*IF(S651="Indefinido",AFC_INDEF,AFC_PF),0))</f>
        <v/>
      </c>
      <c r="U651" s="62" t="str">
        <f aca="false">IF(C651="","",IF(LEFT(D651,1)="⚠","⚠ RUT no registrado en Trabajadores",IF(B651="","⚠ Falta el mes",IF(OR(ISTEXT(I651),ISTEXT(J651)),"⚠ Atrasos u horas extra como texto: escriba hh:mm (ej. 1:30)",IF(AND(ISNUMBER(Q651),COUNTIFS(M_RUTN,V651,M_MES,B651,M_LIQ,"&lt;&gt;")&gt;1),"⚠ Liquidación repetida en el mes",IF(AND(ISNUMBER(O651),ISNUMBER(P651),ISNUMBER(Q651),ABS(O651-P651-Q651)&gt;1),"⚠ Haberes − descuentos no da el líquido","OK"))))))</f>
        <v/>
      </c>
      <c r="V651" s="62" t="str">
        <f aca="false">IF(C651="","",IFERROR(VALUE(LEFT(UPPER(SUBSTITUTE(SUBSTITUTE(SUBSTITUTE(TRIM(C651),".",""),"-","")," ","")),LEN(UPPER(SUBSTITUTE(SUBSTITUTE(SUBSTITUTE(TRIM(C651),".",""),"-","")," ","")))-1))&amp;RIGHT(UPPER(SUBSTITUTE(SUBSTITUTE(SUBSTITUTE(TRIM(C651),".",""),"-","")," ","")),1),UPPER(SUBSTITUTE(SUBSTITUTE(SUBSTITUTE(TRIM(C651),".",""),"-","")," ",""))))</f>
        <v/>
      </c>
    </row>
    <row r="652" customFormat="false" ht="15" hidden="false" customHeight="false" outlineLevel="0" collapsed="false">
      <c r="B652" s="80"/>
      <c r="C652" s="58"/>
      <c r="D652" s="62" t="str">
        <f aca="false">IF(C652="","",IFERROR(INDEX(T_NOMBRE,MATCH(V652,T_RUTN,0)),"⚠ RUT no está en Trabajadores"))</f>
        <v/>
      </c>
      <c r="E652" s="61"/>
      <c r="F652" s="61"/>
      <c r="G652" s="61"/>
      <c r="H652" s="61"/>
      <c r="I652" s="81"/>
      <c r="J652" s="81"/>
      <c r="K652" s="60"/>
      <c r="L652" s="60"/>
      <c r="M652" s="60"/>
      <c r="N652" s="60"/>
      <c r="O652" s="60"/>
      <c r="P652" s="60"/>
      <c r="Q652" s="60"/>
      <c r="R652" s="58"/>
      <c r="S652" s="62" t="str">
        <f aca="false">IF(OR(B652="",V652=""),"",IFERROR(INDEX(C_TIPO,MATCH(V652&amp;"-P"&amp;MAX(1,COUNTIFS(C_RUTN,V652,C_DEF,"Sí",C_INI,"&lt;="&amp;EOMONTH(B652,0))),C_CLAVE,0))&amp;"","Sin contrato"))</f>
        <v/>
      </c>
      <c r="T652" s="63" t="str">
        <f aca="false">IF(OR(B652="",N(O652)=0),"",N(O652)+ROUND(MIN(N(N652),TOPE_UF*UF_MES)*(TASA_EMP+MUTUAL),0)+ROUND(MIN(N(N652),TOPE_AFC_UF*UF_MES)*IF(S652="Indefinido",AFC_INDEF,AFC_PF),0))</f>
        <v/>
      </c>
      <c r="U652" s="62" t="str">
        <f aca="false">IF(C652="","",IF(LEFT(D652,1)="⚠","⚠ RUT no registrado en Trabajadores",IF(B652="","⚠ Falta el mes",IF(OR(ISTEXT(I652),ISTEXT(J652)),"⚠ Atrasos u horas extra como texto: escriba hh:mm (ej. 1:30)",IF(AND(ISNUMBER(Q652),COUNTIFS(M_RUTN,V652,M_MES,B652,M_LIQ,"&lt;&gt;")&gt;1),"⚠ Liquidación repetida en el mes",IF(AND(ISNUMBER(O652),ISNUMBER(P652),ISNUMBER(Q652),ABS(O652-P652-Q652)&gt;1),"⚠ Haberes − descuentos no da el líquido","OK"))))))</f>
        <v/>
      </c>
      <c r="V652" s="62" t="str">
        <f aca="false">IF(C652="","",IFERROR(VALUE(LEFT(UPPER(SUBSTITUTE(SUBSTITUTE(SUBSTITUTE(TRIM(C652),".",""),"-","")," ","")),LEN(UPPER(SUBSTITUTE(SUBSTITUTE(SUBSTITUTE(TRIM(C652),".",""),"-","")," ","")))-1))&amp;RIGHT(UPPER(SUBSTITUTE(SUBSTITUTE(SUBSTITUTE(TRIM(C652),".",""),"-","")," ","")),1),UPPER(SUBSTITUTE(SUBSTITUTE(SUBSTITUTE(TRIM(C652),".",""),"-","")," ",""))))</f>
        <v/>
      </c>
    </row>
    <row r="653" customFormat="false" ht="15" hidden="false" customHeight="false" outlineLevel="0" collapsed="false">
      <c r="B653" s="80"/>
      <c r="C653" s="58"/>
      <c r="D653" s="62" t="str">
        <f aca="false">IF(C653="","",IFERROR(INDEX(T_NOMBRE,MATCH(V653,T_RUTN,0)),"⚠ RUT no está en Trabajadores"))</f>
        <v/>
      </c>
      <c r="E653" s="61"/>
      <c r="F653" s="61"/>
      <c r="G653" s="61"/>
      <c r="H653" s="61"/>
      <c r="I653" s="81"/>
      <c r="J653" s="81"/>
      <c r="K653" s="60"/>
      <c r="L653" s="60"/>
      <c r="M653" s="60"/>
      <c r="N653" s="60"/>
      <c r="O653" s="60"/>
      <c r="P653" s="60"/>
      <c r="Q653" s="60"/>
      <c r="R653" s="58"/>
      <c r="S653" s="62" t="str">
        <f aca="false">IF(OR(B653="",V653=""),"",IFERROR(INDEX(C_TIPO,MATCH(V653&amp;"-P"&amp;MAX(1,COUNTIFS(C_RUTN,V653,C_DEF,"Sí",C_INI,"&lt;="&amp;EOMONTH(B653,0))),C_CLAVE,0))&amp;"","Sin contrato"))</f>
        <v/>
      </c>
      <c r="T653" s="63" t="str">
        <f aca="false">IF(OR(B653="",N(O653)=0),"",N(O653)+ROUND(MIN(N(N653),TOPE_UF*UF_MES)*(TASA_EMP+MUTUAL),0)+ROUND(MIN(N(N653),TOPE_AFC_UF*UF_MES)*IF(S653="Indefinido",AFC_INDEF,AFC_PF),0))</f>
        <v/>
      </c>
      <c r="U653" s="62" t="str">
        <f aca="false">IF(C653="","",IF(LEFT(D653,1)="⚠","⚠ RUT no registrado en Trabajadores",IF(B653="","⚠ Falta el mes",IF(OR(ISTEXT(I653),ISTEXT(J653)),"⚠ Atrasos u horas extra como texto: escriba hh:mm (ej. 1:30)",IF(AND(ISNUMBER(Q653),COUNTIFS(M_RUTN,V653,M_MES,B653,M_LIQ,"&lt;&gt;")&gt;1),"⚠ Liquidación repetida en el mes",IF(AND(ISNUMBER(O653),ISNUMBER(P653),ISNUMBER(Q653),ABS(O653-P653-Q653)&gt;1),"⚠ Haberes − descuentos no da el líquido","OK"))))))</f>
        <v/>
      </c>
      <c r="V653" s="62" t="str">
        <f aca="false">IF(C653="","",IFERROR(VALUE(LEFT(UPPER(SUBSTITUTE(SUBSTITUTE(SUBSTITUTE(TRIM(C653),".",""),"-","")," ","")),LEN(UPPER(SUBSTITUTE(SUBSTITUTE(SUBSTITUTE(TRIM(C653),".",""),"-","")," ","")))-1))&amp;RIGHT(UPPER(SUBSTITUTE(SUBSTITUTE(SUBSTITUTE(TRIM(C653),".",""),"-","")," ","")),1),UPPER(SUBSTITUTE(SUBSTITUTE(SUBSTITUTE(TRIM(C653),".",""),"-","")," ",""))))</f>
        <v/>
      </c>
    </row>
    <row r="654" customFormat="false" ht="15" hidden="false" customHeight="false" outlineLevel="0" collapsed="false">
      <c r="B654" s="80"/>
      <c r="C654" s="58"/>
      <c r="D654" s="62" t="str">
        <f aca="false">IF(C654="","",IFERROR(INDEX(T_NOMBRE,MATCH(V654,T_RUTN,0)),"⚠ RUT no está en Trabajadores"))</f>
        <v/>
      </c>
      <c r="E654" s="61"/>
      <c r="F654" s="61"/>
      <c r="G654" s="61"/>
      <c r="H654" s="61"/>
      <c r="I654" s="81"/>
      <c r="J654" s="81"/>
      <c r="K654" s="60"/>
      <c r="L654" s="60"/>
      <c r="M654" s="60"/>
      <c r="N654" s="60"/>
      <c r="O654" s="60"/>
      <c r="P654" s="60"/>
      <c r="Q654" s="60"/>
      <c r="R654" s="58"/>
      <c r="S654" s="62" t="str">
        <f aca="false">IF(OR(B654="",V654=""),"",IFERROR(INDEX(C_TIPO,MATCH(V654&amp;"-P"&amp;MAX(1,COUNTIFS(C_RUTN,V654,C_DEF,"Sí",C_INI,"&lt;="&amp;EOMONTH(B654,0))),C_CLAVE,0))&amp;"","Sin contrato"))</f>
        <v/>
      </c>
      <c r="T654" s="63" t="str">
        <f aca="false">IF(OR(B654="",N(O654)=0),"",N(O654)+ROUND(MIN(N(N654),TOPE_UF*UF_MES)*(TASA_EMP+MUTUAL),0)+ROUND(MIN(N(N654),TOPE_AFC_UF*UF_MES)*IF(S654="Indefinido",AFC_INDEF,AFC_PF),0))</f>
        <v/>
      </c>
      <c r="U654" s="62" t="str">
        <f aca="false">IF(C654="","",IF(LEFT(D654,1)="⚠","⚠ RUT no registrado en Trabajadores",IF(B654="","⚠ Falta el mes",IF(OR(ISTEXT(I654),ISTEXT(J654)),"⚠ Atrasos u horas extra como texto: escriba hh:mm (ej. 1:30)",IF(AND(ISNUMBER(Q654),COUNTIFS(M_RUTN,V654,M_MES,B654,M_LIQ,"&lt;&gt;")&gt;1),"⚠ Liquidación repetida en el mes",IF(AND(ISNUMBER(O654),ISNUMBER(P654),ISNUMBER(Q654),ABS(O654-P654-Q654)&gt;1),"⚠ Haberes − descuentos no da el líquido","OK"))))))</f>
        <v/>
      </c>
      <c r="V654" s="62" t="str">
        <f aca="false">IF(C654="","",IFERROR(VALUE(LEFT(UPPER(SUBSTITUTE(SUBSTITUTE(SUBSTITUTE(TRIM(C654),".",""),"-","")," ","")),LEN(UPPER(SUBSTITUTE(SUBSTITUTE(SUBSTITUTE(TRIM(C654),".",""),"-","")," ","")))-1))&amp;RIGHT(UPPER(SUBSTITUTE(SUBSTITUTE(SUBSTITUTE(TRIM(C654),".",""),"-","")," ","")),1),UPPER(SUBSTITUTE(SUBSTITUTE(SUBSTITUTE(TRIM(C654),".",""),"-","")," ",""))))</f>
        <v/>
      </c>
    </row>
    <row r="655" customFormat="false" ht="15" hidden="false" customHeight="false" outlineLevel="0" collapsed="false">
      <c r="B655" s="80"/>
      <c r="C655" s="58"/>
      <c r="D655" s="62" t="str">
        <f aca="false">IF(C655="","",IFERROR(INDEX(T_NOMBRE,MATCH(V655,T_RUTN,0)),"⚠ RUT no está en Trabajadores"))</f>
        <v/>
      </c>
      <c r="E655" s="61"/>
      <c r="F655" s="61"/>
      <c r="G655" s="61"/>
      <c r="H655" s="61"/>
      <c r="I655" s="81"/>
      <c r="J655" s="81"/>
      <c r="K655" s="60"/>
      <c r="L655" s="60"/>
      <c r="M655" s="60"/>
      <c r="N655" s="60"/>
      <c r="O655" s="60"/>
      <c r="P655" s="60"/>
      <c r="Q655" s="60"/>
      <c r="R655" s="58"/>
      <c r="S655" s="62" t="str">
        <f aca="false">IF(OR(B655="",V655=""),"",IFERROR(INDEX(C_TIPO,MATCH(V655&amp;"-P"&amp;MAX(1,COUNTIFS(C_RUTN,V655,C_DEF,"Sí",C_INI,"&lt;="&amp;EOMONTH(B655,0))),C_CLAVE,0))&amp;"","Sin contrato"))</f>
        <v/>
      </c>
      <c r="T655" s="63" t="str">
        <f aca="false">IF(OR(B655="",N(O655)=0),"",N(O655)+ROUND(MIN(N(N655),TOPE_UF*UF_MES)*(TASA_EMP+MUTUAL),0)+ROUND(MIN(N(N655),TOPE_AFC_UF*UF_MES)*IF(S655="Indefinido",AFC_INDEF,AFC_PF),0))</f>
        <v/>
      </c>
      <c r="U655" s="62" t="str">
        <f aca="false">IF(C655="","",IF(LEFT(D655,1)="⚠","⚠ RUT no registrado en Trabajadores",IF(B655="","⚠ Falta el mes",IF(OR(ISTEXT(I655),ISTEXT(J655)),"⚠ Atrasos u horas extra como texto: escriba hh:mm (ej. 1:30)",IF(AND(ISNUMBER(Q655),COUNTIFS(M_RUTN,V655,M_MES,B655,M_LIQ,"&lt;&gt;")&gt;1),"⚠ Liquidación repetida en el mes",IF(AND(ISNUMBER(O655),ISNUMBER(P655),ISNUMBER(Q655),ABS(O655-P655-Q655)&gt;1),"⚠ Haberes − descuentos no da el líquido","OK"))))))</f>
        <v/>
      </c>
      <c r="V655" s="62" t="str">
        <f aca="false">IF(C655="","",IFERROR(VALUE(LEFT(UPPER(SUBSTITUTE(SUBSTITUTE(SUBSTITUTE(TRIM(C655),".",""),"-","")," ","")),LEN(UPPER(SUBSTITUTE(SUBSTITUTE(SUBSTITUTE(TRIM(C655),".",""),"-","")," ","")))-1))&amp;RIGHT(UPPER(SUBSTITUTE(SUBSTITUTE(SUBSTITUTE(TRIM(C655),".",""),"-","")," ","")),1),UPPER(SUBSTITUTE(SUBSTITUTE(SUBSTITUTE(TRIM(C655),".",""),"-","")," ",""))))</f>
        <v/>
      </c>
    </row>
    <row r="656" customFormat="false" ht="15" hidden="false" customHeight="false" outlineLevel="0" collapsed="false">
      <c r="B656" s="80"/>
      <c r="C656" s="58"/>
      <c r="D656" s="62" t="str">
        <f aca="false">IF(C656="","",IFERROR(INDEX(T_NOMBRE,MATCH(V656,T_RUTN,0)),"⚠ RUT no está en Trabajadores"))</f>
        <v/>
      </c>
      <c r="E656" s="61"/>
      <c r="F656" s="61"/>
      <c r="G656" s="61"/>
      <c r="H656" s="61"/>
      <c r="I656" s="81"/>
      <c r="J656" s="81"/>
      <c r="K656" s="60"/>
      <c r="L656" s="60"/>
      <c r="M656" s="60"/>
      <c r="N656" s="60"/>
      <c r="O656" s="60"/>
      <c r="P656" s="60"/>
      <c r="Q656" s="60"/>
      <c r="R656" s="58"/>
      <c r="S656" s="62" t="str">
        <f aca="false">IF(OR(B656="",V656=""),"",IFERROR(INDEX(C_TIPO,MATCH(V656&amp;"-P"&amp;MAX(1,COUNTIFS(C_RUTN,V656,C_DEF,"Sí",C_INI,"&lt;="&amp;EOMONTH(B656,0))),C_CLAVE,0))&amp;"","Sin contrato"))</f>
        <v/>
      </c>
      <c r="T656" s="63" t="str">
        <f aca="false">IF(OR(B656="",N(O656)=0),"",N(O656)+ROUND(MIN(N(N656),TOPE_UF*UF_MES)*(TASA_EMP+MUTUAL),0)+ROUND(MIN(N(N656),TOPE_AFC_UF*UF_MES)*IF(S656="Indefinido",AFC_INDEF,AFC_PF),0))</f>
        <v/>
      </c>
      <c r="U656" s="62" t="str">
        <f aca="false">IF(C656="","",IF(LEFT(D656,1)="⚠","⚠ RUT no registrado en Trabajadores",IF(B656="","⚠ Falta el mes",IF(OR(ISTEXT(I656),ISTEXT(J656)),"⚠ Atrasos u horas extra como texto: escriba hh:mm (ej. 1:30)",IF(AND(ISNUMBER(Q656),COUNTIFS(M_RUTN,V656,M_MES,B656,M_LIQ,"&lt;&gt;")&gt;1),"⚠ Liquidación repetida en el mes",IF(AND(ISNUMBER(O656),ISNUMBER(P656),ISNUMBER(Q656),ABS(O656-P656-Q656)&gt;1),"⚠ Haberes − descuentos no da el líquido","OK"))))))</f>
        <v/>
      </c>
      <c r="V656" s="62" t="str">
        <f aca="false">IF(C656="","",IFERROR(VALUE(LEFT(UPPER(SUBSTITUTE(SUBSTITUTE(SUBSTITUTE(TRIM(C656),".",""),"-","")," ","")),LEN(UPPER(SUBSTITUTE(SUBSTITUTE(SUBSTITUTE(TRIM(C656),".",""),"-","")," ","")))-1))&amp;RIGHT(UPPER(SUBSTITUTE(SUBSTITUTE(SUBSTITUTE(TRIM(C656),".",""),"-","")," ","")),1),UPPER(SUBSTITUTE(SUBSTITUTE(SUBSTITUTE(TRIM(C656),".",""),"-","")," ",""))))</f>
        <v/>
      </c>
    </row>
    <row r="657" customFormat="false" ht="15" hidden="false" customHeight="false" outlineLevel="0" collapsed="false">
      <c r="B657" s="80"/>
      <c r="C657" s="58"/>
      <c r="D657" s="62" t="str">
        <f aca="false">IF(C657="","",IFERROR(INDEX(T_NOMBRE,MATCH(V657,T_RUTN,0)),"⚠ RUT no está en Trabajadores"))</f>
        <v/>
      </c>
      <c r="E657" s="61"/>
      <c r="F657" s="61"/>
      <c r="G657" s="61"/>
      <c r="H657" s="61"/>
      <c r="I657" s="81"/>
      <c r="J657" s="81"/>
      <c r="K657" s="60"/>
      <c r="L657" s="60"/>
      <c r="M657" s="60"/>
      <c r="N657" s="60"/>
      <c r="O657" s="60"/>
      <c r="P657" s="60"/>
      <c r="Q657" s="60"/>
      <c r="R657" s="58"/>
      <c r="S657" s="62" t="str">
        <f aca="false">IF(OR(B657="",V657=""),"",IFERROR(INDEX(C_TIPO,MATCH(V657&amp;"-P"&amp;MAX(1,COUNTIFS(C_RUTN,V657,C_DEF,"Sí",C_INI,"&lt;="&amp;EOMONTH(B657,0))),C_CLAVE,0))&amp;"","Sin contrato"))</f>
        <v/>
      </c>
      <c r="T657" s="63" t="str">
        <f aca="false">IF(OR(B657="",N(O657)=0),"",N(O657)+ROUND(MIN(N(N657),TOPE_UF*UF_MES)*(TASA_EMP+MUTUAL),0)+ROUND(MIN(N(N657),TOPE_AFC_UF*UF_MES)*IF(S657="Indefinido",AFC_INDEF,AFC_PF),0))</f>
        <v/>
      </c>
      <c r="U657" s="62" t="str">
        <f aca="false">IF(C657="","",IF(LEFT(D657,1)="⚠","⚠ RUT no registrado en Trabajadores",IF(B657="","⚠ Falta el mes",IF(OR(ISTEXT(I657),ISTEXT(J657)),"⚠ Atrasos u horas extra como texto: escriba hh:mm (ej. 1:30)",IF(AND(ISNUMBER(Q657),COUNTIFS(M_RUTN,V657,M_MES,B657,M_LIQ,"&lt;&gt;")&gt;1),"⚠ Liquidación repetida en el mes",IF(AND(ISNUMBER(O657),ISNUMBER(P657),ISNUMBER(Q657),ABS(O657-P657-Q657)&gt;1),"⚠ Haberes − descuentos no da el líquido","OK"))))))</f>
        <v/>
      </c>
      <c r="V657" s="62" t="str">
        <f aca="false">IF(C657="","",IFERROR(VALUE(LEFT(UPPER(SUBSTITUTE(SUBSTITUTE(SUBSTITUTE(TRIM(C657),".",""),"-","")," ","")),LEN(UPPER(SUBSTITUTE(SUBSTITUTE(SUBSTITUTE(TRIM(C657),".",""),"-","")," ","")))-1))&amp;RIGHT(UPPER(SUBSTITUTE(SUBSTITUTE(SUBSTITUTE(TRIM(C657),".",""),"-","")," ","")),1),UPPER(SUBSTITUTE(SUBSTITUTE(SUBSTITUTE(TRIM(C657),".",""),"-","")," ",""))))</f>
        <v/>
      </c>
    </row>
    <row r="658" customFormat="false" ht="15" hidden="false" customHeight="false" outlineLevel="0" collapsed="false">
      <c r="B658" s="80"/>
      <c r="C658" s="58"/>
      <c r="D658" s="62" t="str">
        <f aca="false">IF(C658="","",IFERROR(INDEX(T_NOMBRE,MATCH(V658,T_RUTN,0)),"⚠ RUT no está en Trabajadores"))</f>
        <v/>
      </c>
      <c r="E658" s="61"/>
      <c r="F658" s="61"/>
      <c r="G658" s="61"/>
      <c r="H658" s="61"/>
      <c r="I658" s="81"/>
      <c r="J658" s="81"/>
      <c r="K658" s="60"/>
      <c r="L658" s="60"/>
      <c r="M658" s="60"/>
      <c r="N658" s="60"/>
      <c r="O658" s="60"/>
      <c r="P658" s="60"/>
      <c r="Q658" s="60"/>
      <c r="R658" s="58"/>
      <c r="S658" s="62" t="str">
        <f aca="false">IF(OR(B658="",V658=""),"",IFERROR(INDEX(C_TIPO,MATCH(V658&amp;"-P"&amp;MAX(1,COUNTIFS(C_RUTN,V658,C_DEF,"Sí",C_INI,"&lt;="&amp;EOMONTH(B658,0))),C_CLAVE,0))&amp;"","Sin contrato"))</f>
        <v/>
      </c>
      <c r="T658" s="63" t="str">
        <f aca="false">IF(OR(B658="",N(O658)=0),"",N(O658)+ROUND(MIN(N(N658),TOPE_UF*UF_MES)*(TASA_EMP+MUTUAL),0)+ROUND(MIN(N(N658),TOPE_AFC_UF*UF_MES)*IF(S658="Indefinido",AFC_INDEF,AFC_PF),0))</f>
        <v/>
      </c>
      <c r="U658" s="62" t="str">
        <f aca="false">IF(C658="","",IF(LEFT(D658,1)="⚠","⚠ RUT no registrado en Trabajadores",IF(B658="","⚠ Falta el mes",IF(OR(ISTEXT(I658),ISTEXT(J658)),"⚠ Atrasos u horas extra como texto: escriba hh:mm (ej. 1:30)",IF(AND(ISNUMBER(Q658),COUNTIFS(M_RUTN,V658,M_MES,B658,M_LIQ,"&lt;&gt;")&gt;1),"⚠ Liquidación repetida en el mes",IF(AND(ISNUMBER(O658),ISNUMBER(P658),ISNUMBER(Q658),ABS(O658-P658-Q658)&gt;1),"⚠ Haberes − descuentos no da el líquido","OK"))))))</f>
        <v/>
      </c>
      <c r="V658" s="62" t="str">
        <f aca="false">IF(C658="","",IFERROR(VALUE(LEFT(UPPER(SUBSTITUTE(SUBSTITUTE(SUBSTITUTE(TRIM(C658),".",""),"-","")," ","")),LEN(UPPER(SUBSTITUTE(SUBSTITUTE(SUBSTITUTE(TRIM(C658),".",""),"-","")," ","")))-1))&amp;RIGHT(UPPER(SUBSTITUTE(SUBSTITUTE(SUBSTITUTE(TRIM(C658),".",""),"-","")," ","")),1),UPPER(SUBSTITUTE(SUBSTITUTE(SUBSTITUTE(TRIM(C658),".",""),"-","")," ",""))))</f>
        <v/>
      </c>
    </row>
    <row r="659" customFormat="false" ht="15" hidden="false" customHeight="false" outlineLevel="0" collapsed="false">
      <c r="B659" s="80"/>
      <c r="C659" s="58"/>
      <c r="D659" s="62" t="str">
        <f aca="false">IF(C659="","",IFERROR(INDEX(T_NOMBRE,MATCH(V659,T_RUTN,0)),"⚠ RUT no está en Trabajadores"))</f>
        <v/>
      </c>
      <c r="E659" s="61"/>
      <c r="F659" s="61"/>
      <c r="G659" s="61"/>
      <c r="H659" s="61"/>
      <c r="I659" s="81"/>
      <c r="J659" s="81"/>
      <c r="K659" s="60"/>
      <c r="L659" s="60"/>
      <c r="M659" s="60"/>
      <c r="N659" s="60"/>
      <c r="O659" s="60"/>
      <c r="P659" s="60"/>
      <c r="Q659" s="60"/>
      <c r="R659" s="58"/>
      <c r="S659" s="62" t="str">
        <f aca="false">IF(OR(B659="",V659=""),"",IFERROR(INDEX(C_TIPO,MATCH(V659&amp;"-P"&amp;MAX(1,COUNTIFS(C_RUTN,V659,C_DEF,"Sí",C_INI,"&lt;="&amp;EOMONTH(B659,0))),C_CLAVE,0))&amp;"","Sin contrato"))</f>
        <v/>
      </c>
      <c r="T659" s="63" t="str">
        <f aca="false">IF(OR(B659="",N(O659)=0),"",N(O659)+ROUND(MIN(N(N659),TOPE_UF*UF_MES)*(TASA_EMP+MUTUAL),0)+ROUND(MIN(N(N659),TOPE_AFC_UF*UF_MES)*IF(S659="Indefinido",AFC_INDEF,AFC_PF),0))</f>
        <v/>
      </c>
      <c r="U659" s="62" t="str">
        <f aca="false">IF(C659="","",IF(LEFT(D659,1)="⚠","⚠ RUT no registrado en Trabajadores",IF(B659="","⚠ Falta el mes",IF(OR(ISTEXT(I659),ISTEXT(J659)),"⚠ Atrasos u horas extra como texto: escriba hh:mm (ej. 1:30)",IF(AND(ISNUMBER(Q659),COUNTIFS(M_RUTN,V659,M_MES,B659,M_LIQ,"&lt;&gt;")&gt;1),"⚠ Liquidación repetida en el mes",IF(AND(ISNUMBER(O659),ISNUMBER(P659),ISNUMBER(Q659),ABS(O659-P659-Q659)&gt;1),"⚠ Haberes − descuentos no da el líquido","OK"))))))</f>
        <v/>
      </c>
      <c r="V659" s="62" t="str">
        <f aca="false">IF(C659="","",IFERROR(VALUE(LEFT(UPPER(SUBSTITUTE(SUBSTITUTE(SUBSTITUTE(TRIM(C659),".",""),"-","")," ","")),LEN(UPPER(SUBSTITUTE(SUBSTITUTE(SUBSTITUTE(TRIM(C659),".",""),"-","")," ","")))-1))&amp;RIGHT(UPPER(SUBSTITUTE(SUBSTITUTE(SUBSTITUTE(TRIM(C659),".",""),"-","")," ","")),1),UPPER(SUBSTITUTE(SUBSTITUTE(SUBSTITUTE(TRIM(C659),".",""),"-","")," ",""))))</f>
        <v/>
      </c>
    </row>
    <row r="660" customFormat="false" ht="15" hidden="false" customHeight="false" outlineLevel="0" collapsed="false">
      <c r="B660" s="80"/>
      <c r="C660" s="58"/>
      <c r="D660" s="62" t="str">
        <f aca="false">IF(C660="","",IFERROR(INDEX(T_NOMBRE,MATCH(V660,T_RUTN,0)),"⚠ RUT no está en Trabajadores"))</f>
        <v/>
      </c>
      <c r="E660" s="61"/>
      <c r="F660" s="61"/>
      <c r="G660" s="61"/>
      <c r="H660" s="61"/>
      <c r="I660" s="81"/>
      <c r="J660" s="81"/>
      <c r="K660" s="60"/>
      <c r="L660" s="60"/>
      <c r="M660" s="60"/>
      <c r="N660" s="60"/>
      <c r="O660" s="60"/>
      <c r="P660" s="60"/>
      <c r="Q660" s="60"/>
      <c r="R660" s="58"/>
      <c r="S660" s="62" t="str">
        <f aca="false">IF(OR(B660="",V660=""),"",IFERROR(INDEX(C_TIPO,MATCH(V660&amp;"-P"&amp;MAX(1,COUNTIFS(C_RUTN,V660,C_DEF,"Sí",C_INI,"&lt;="&amp;EOMONTH(B660,0))),C_CLAVE,0))&amp;"","Sin contrato"))</f>
        <v/>
      </c>
      <c r="T660" s="63" t="str">
        <f aca="false">IF(OR(B660="",N(O660)=0),"",N(O660)+ROUND(MIN(N(N660),TOPE_UF*UF_MES)*(TASA_EMP+MUTUAL),0)+ROUND(MIN(N(N660),TOPE_AFC_UF*UF_MES)*IF(S660="Indefinido",AFC_INDEF,AFC_PF),0))</f>
        <v/>
      </c>
      <c r="U660" s="62" t="str">
        <f aca="false">IF(C660="","",IF(LEFT(D660,1)="⚠","⚠ RUT no registrado en Trabajadores",IF(B660="","⚠ Falta el mes",IF(OR(ISTEXT(I660),ISTEXT(J660)),"⚠ Atrasos u horas extra como texto: escriba hh:mm (ej. 1:30)",IF(AND(ISNUMBER(Q660),COUNTIFS(M_RUTN,V660,M_MES,B660,M_LIQ,"&lt;&gt;")&gt;1),"⚠ Liquidación repetida en el mes",IF(AND(ISNUMBER(O660),ISNUMBER(P660),ISNUMBER(Q660),ABS(O660-P660-Q660)&gt;1),"⚠ Haberes − descuentos no da el líquido","OK"))))))</f>
        <v/>
      </c>
      <c r="V660" s="62" t="str">
        <f aca="false">IF(C660="","",IFERROR(VALUE(LEFT(UPPER(SUBSTITUTE(SUBSTITUTE(SUBSTITUTE(TRIM(C660),".",""),"-","")," ","")),LEN(UPPER(SUBSTITUTE(SUBSTITUTE(SUBSTITUTE(TRIM(C660),".",""),"-","")," ","")))-1))&amp;RIGHT(UPPER(SUBSTITUTE(SUBSTITUTE(SUBSTITUTE(TRIM(C660),".",""),"-","")," ","")),1),UPPER(SUBSTITUTE(SUBSTITUTE(SUBSTITUTE(TRIM(C660),".",""),"-","")," ",""))))</f>
        <v/>
      </c>
    </row>
    <row r="661" customFormat="false" ht="15" hidden="false" customHeight="false" outlineLevel="0" collapsed="false">
      <c r="B661" s="80"/>
      <c r="C661" s="58"/>
      <c r="D661" s="62" t="str">
        <f aca="false">IF(C661="","",IFERROR(INDEX(T_NOMBRE,MATCH(V661,T_RUTN,0)),"⚠ RUT no está en Trabajadores"))</f>
        <v/>
      </c>
      <c r="E661" s="61"/>
      <c r="F661" s="61"/>
      <c r="G661" s="61"/>
      <c r="H661" s="61"/>
      <c r="I661" s="81"/>
      <c r="J661" s="81"/>
      <c r="K661" s="60"/>
      <c r="L661" s="60"/>
      <c r="M661" s="60"/>
      <c r="N661" s="60"/>
      <c r="O661" s="60"/>
      <c r="P661" s="60"/>
      <c r="Q661" s="60"/>
      <c r="R661" s="58"/>
      <c r="S661" s="62" t="str">
        <f aca="false">IF(OR(B661="",V661=""),"",IFERROR(INDEX(C_TIPO,MATCH(V661&amp;"-P"&amp;MAX(1,COUNTIFS(C_RUTN,V661,C_DEF,"Sí",C_INI,"&lt;="&amp;EOMONTH(B661,0))),C_CLAVE,0))&amp;"","Sin contrato"))</f>
        <v/>
      </c>
      <c r="T661" s="63" t="str">
        <f aca="false">IF(OR(B661="",N(O661)=0),"",N(O661)+ROUND(MIN(N(N661),TOPE_UF*UF_MES)*(TASA_EMP+MUTUAL),0)+ROUND(MIN(N(N661),TOPE_AFC_UF*UF_MES)*IF(S661="Indefinido",AFC_INDEF,AFC_PF),0))</f>
        <v/>
      </c>
      <c r="U661" s="62" t="str">
        <f aca="false">IF(C661="","",IF(LEFT(D661,1)="⚠","⚠ RUT no registrado en Trabajadores",IF(B661="","⚠ Falta el mes",IF(OR(ISTEXT(I661),ISTEXT(J661)),"⚠ Atrasos u horas extra como texto: escriba hh:mm (ej. 1:30)",IF(AND(ISNUMBER(Q661),COUNTIFS(M_RUTN,V661,M_MES,B661,M_LIQ,"&lt;&gt;")&gt;1),"⚠ Liquidación repetida en el mes",IF(AND(ISNUMBER(O661),ISNUMBER(P661),ISNUMBER(Q661),ABS(O661-P661-Q661)&gt;1),"⚠ Haberes − descuentos no da el líquido","OK"))))))</f>
        <v/>
      </c>
      <c r="V661" s="62" t="str">
        <f aca="false">IF(C661="","",IFERROR(VALUE(LEFT(UPPER(SUBSTITUTE(SUBSTITUTE(SUBSTITUTE(TRIM(C661),".",""),"-","")," ","")),LEN(UPPER(SUBSTITUTE(SUBSTITUTE(SUBSTITUTE(TRIM(C661),".",""),"-","")," ","")))-1))&amp;RIGHT(UPPER(SUBSTITUTE(SUBSTITUTE(SUBSTITUTE(TRIM(C661),".",""),"-","")," ","")),1),UPPER(SUBSTITUTE(SUBSTITUTE(SUBSTITUTE(TRIM(C661),".",""),"-","")," ",""))))</f>
        <v/>
      </c>
    </row>
    <row r="662" customFormat="false" ht="15" hidden="false" customHeight="false" outlineLevel="0" collapsed="false">
      <c r="B662" s="80"/>
      <c r="C662" s="58"/>
      <c r="D662" s="62" t="str">
        <f aca="false">IF(C662="","",IFERROR(INDEX(T_NOMBRE,MATCH(V662,T_RUTN,0)),"⚠ RUT no está en Trabajadores"))</f>
        <v/>
      </c>
      <c r="E662" s="61"/>
      <c r="F662" s="61"/>
      <c r="G662" s="61"/>
      <c r="H662" s="61"/>
      <c r="I662" s="81"/>
      <c r="J662" s="81"/>
      <c r="K662" s="60"/>
      <c r="L662" s="60"/>
      <c r="M662" s="60"/>
      <c r="N662" s="60"/>
      <c r="O662" s="60"/>
      <c r="P662" s="60"/>
      <c r="Q662" s="60"/>
      <c r="R662" s="58"/>
      <c r="S662" s="62" t="str">
        <f aca="false">IF(OR(B662="",V662=""),"",IFERROR(INDEX(C_TIPO,MATCH(V662&amp;"-P"&amp;MAX(1,COUNTIFS(C_RUTN,V662,C_DEF,"Sí",C_INI,"&lt;="&amp;EOMONTH(B662,0))),C_CLAVE,0))&amp;"","Sin contrato"))</f>
        <v/>
      </c>
      <c r="T662" s="63" t="str">
        <f aca="false">IF(OR(B662="",N(O662)=0),"",N(O662)+ROUND(MIN(N(N662),TOPE_UF*UF_MES)*(TASA_EMP+MUTUAL),0)+ROUND(MIN(N(N662),TOPE_AFC_UF*UF_MES)*IF(S662="Indefinido",AFC_INDEF,AFC_PF),0))</f>
        <v/>
      </c>
      <c r="U662" s="62" t="str">
        <f aca="false">IF(C662="","",IF(LEFT(D662,1)="⚠","⚠ RUT no registrado en Trabajadores",IF(B662="","⚠ Falta el mes",IF(OR(ISTEXT(I662),ISTEXT(J662)),"⚠ Atrasos u horas extra como texto: escriba hh:mm (ej. 1:30)",IF(AND(ISNUMBER(Q662),COUNTIFS(M_RUTN,V662,M_MES,B662,M_LIQ,"&lt;&gt;")&gt;1),"⚠ Liquidación repetida en el mes",IF(AND(ISNUMBER(O662),ISNUMBER(P662),ISNUMBER(Q662),ABS(O662-P662-Q662)&gt;1),"⚠ Haberes − descuentos no da el líquido","OK"))))))</f>
        <v/>
      </c>
      <c r="V662" s="62" t="str">
        <f aca="false">IF(C662="","",IFERROR(VALUE(LEFT(UPPER(SUBSTITUTE(SUBSTITUTE(SUBSTITUTE(TRIM(C662),".",""),"-","")," ","")),LEN(UPPER(SUBSTITUTE(SUBSTITUTE(SUBSTITUTE(TRIM(C662),".",""),"-","")," ","")))-1))&amp;RIGHT(UPPER(SUBSTITUTE(SUBSTITUTE(SUBSTITUTE(TRIM(C662),".",""),"-","")," ","")),1),UPPER(SUBSTITUTE(SUBSTITUTE(SUBSTITUTE(TRIM(C662),".",""),"-","")," ",""))))</f>
        <v/>
      </c>
    </row>
    <row r="663" customFormat="false" ht="15" hidden="false" customHeight="false" outlineLevel="0" collapsed="false">
      <c r="B663" s="80"/>
      <c r="C663" s="58"/>
      <c r="D663" s="62" t="str">
        <f aca="false">IF(C663="","",IFERROR(INDEX(T_NOMBRE,MATCH(V663,T_RUTN,0)),"⚠ RUT no está en Trabajadores"))</f>
        <v/>
      </c>
      <c r="E663" s="61"/>
      <c r="F663" s="61"/>
      <c r="G663" s="61"/>
      <c r="H663" s="61"/>
      <c r="I663" s="81"/>
      <c r="J663" s="81"/>
      <c r="K663" s="60"/>
      <c r="L663" s="60"/>
      <c r="M663" s="60"/>
      <c r="N663" s="60"/>
      <c r="O663" s="60"/>
      <c r="P663" s="60"/>
      <c r="Q663" s="60"/>
      <c r="R663" s="58"/>
      <c r="S663" s="62" t="str">
        <f aca="false">IF(OR(B663="",V663=""),"",IFERROR(INDEX(C_TIPO,MATCH(V663&amp;"-P"&amp;MAX(1,COUNTIFS(C_RUTN,V663,C_DEF,"Sí",C_INI,"&lt;="&amp;EOMONTH(B663,0))),C_CLAVE,0))&amp;"","Sin contrato"))</f>
        <v/>
      </c>
      <c r="T663" s="63" t="str">
        <f aca="false">IF(OR(B663="",N(O663)=0),"",N(O663)+ROUND(MIN(N(N663),TOPE_UF*UF_MES)*(TASA_EMP+MUTUAL),0)+ROUND(MIN(N(N663),TOPE_AFC_UF*UF_MES)*IF(S663="Indefinido",AFC_INDEF,AFC_PF),0))</f>
        <v/>
      </c>
      <c r="U663" s="62" t="str">
        <f aca="false">IF(C663="","",IF(LEFT(D663,1)="⚠","⚠ RUT no registrado en Trabajadores",IF(B663="","⚠ Falta el mes",IF(OR(ISTEXT(I663),ISTEXT(J663)),"⚠ Atrasos u horas extra como texto: escriba hh:mm (ej. 1:30)",IF(AND(ISNUMBER(Q663),COUNTIFS(M_RUTN,V663,M_MES,B663,M_LIQ,"&lt;&gt;")&gt;1),"⚠ Liquidación repetida en el mes",IF(AND(ISNUMBER(O663),ISNUMBER(P663),ISNUMBER(Q663),ABS(O663-P663-Q663)&gt;1),"⚠ Haberes − descuentos no da el líquido","OK"))))))</f>
        <v/>
      </c>
      <c r="V663" s="62" t="str">
        <f aca="false">IF(C663="","",IFERROR(VALUE(LEFT(UPPER(SUBSTITUTE(SUBSTITUTE(SUBSTITUTE(TRIM(C663),".",""),"-","")," ","")),LEN(UPPER(SUBSTITUTE(SUBSTITUTE(SUBSTITUTE(TRIM(C663),".",""),"-","")," ","")))-1))&amp;RIGHT(UPPER(SUBSTITUTE(SUBSTITUTE(SUBSTITUTE(TRIM(C663),".",""),"-","")," ","")),1),UPPER(SUBSTITUTE(SUBSTITUTE(SUBSTITUTE(TRIM(C663),".",""),"-","")," ",""))))</f>
        <v/>
      </c>
    </row>
    <row r="664" customFormat="false" ht="15" hidden="false" customHeight="false" outlineLevel="0" collapsed="false">
      <c r="B664" s="80"/>
      <c r="C664" s="58"/>
      <c r="D664" s="62" t="str">
        <f aca="false">IF(C664="","",IFERROR(INDEX(T_NOMBRE,MATCH(V664,T_RUTN,0)),"⚠ RUT no está en Trabajadores"))</f>
        <v/>
      </c>
      <c r="E664" s="61"/>
      <c r="F664" s="61"/>
      <c r="G664" s="61"/>
      <c r="H664" s="61"/>
      <c r="I664" s="81"/>
      <c r="J664" s="81"/>
      <c r="K664" s="60"/>
      <c r="L664" s="60"/>
      <c r="M664" s="60"/>
      <c r="N664" s="60"/>
      <c r="O664" s="60"/>
      <c r="P664" s="60"/>
      <c r="Q664" s="60"/>
      <c r="R664" s="58"/>
      <c r="S664" s="62" t="str">
        <f aca="false">IF(OR(B664="",V664=""),"",IFERROR(INDEX(C_TIPO,MATCH(V664&amp;"-P"&amp;MAX(1,COUNTIFS(C_RUTN,V664,C_DEF,"Sí",C_INI,"&lt;="&amp;EOMONTH(B664,0))),C_CLAVE,0))&amp;"","Sin contrato"))</f>
        <v/>
      </c>
      <c r="T664" s="63" t="str">
        <f aca="false">IF(OR(B664="",N(O664)=0),"",N(O664)+ROUND(MIN(N(N664),TOPE_UF*UF_MES)*(TASA_EMP+MUTUAL),0)+ROUND(MIN(N(N664),TOPE_AFC_UF*UF_MES)*IF(S664="Indefinido",AFC_INDEF,AFC_PF),0))</f>
        <v/>
      </c>
      <c r="U664" s="62" t="str">
        <f aca="false">IF(C664="","",IF(LEFT(D664,1)="⚠","⚠ RUT no registrado en Trabajadores",IF(B664="","⚠ Falta el mes",IF(OR(ISTEXT(I664),ISTEXT(J664)),"⚠ Atrasos u horas extra como texto: escriba hh:mm (ej. 1:30)",IF(AND(ISNUMBER(Q664),COUNTIFS(M_RUTN,V664,M_MES,B664,M_LIQ,"&lt;&gt;")&gt;1),"⚠ Liquidación repetida en el mes",IF(AND(ISNUMBER(O664),ISNUMBER(P664),ISNUMBER(Q664),ABS(O664-P664-Q664)&gt;1),"⚠ Haberes − descuentos no da el líquido","OK"))))))</f>
        <v/>
      </c>
      <c r="V664" s="62" t="str">
        <f aca="false">IF(C664="","",IFERROR(VALUE(LEFT(UPPER(SUBSTITUTE(SUBSTITUTE(SUBSTITUTE(TRIM(C664),".",""),"-","")," ","")),LEN(UPPER(SUBSTITUTE(SUBSTITUTE(SUBSTITUTE(TRIM(C664),".",""),"-","")," ","")))-1))&amp;RIGHT(UPPER(SUBSTITUTE(SUBSTITUTE(SUBSTITUTE(TRIM(C664),".",""),"-","")," ","")),1),UPPER(SUBSTITUTE(SUBSTITUTE(SUBSTITUTE(TRIM(C664),".",""),"-","")," ",""))))</f>
        <v/>
      </c>
    </row>
    <row r="665" customFormat="false" ht="15" hidden="false" customHeight="false" outlineLevel="0" collapsed="false">
      <c r="B665" s="80"/>
      <c r="C665" s="58"/>
      <c r="D665" s="62" t="str">
        <f aca="false">IF(C665="","",IFERROR(INDEX(T_NOMBRE,MATCH(V665,T_RUTN,0)),"⚠ RUT no está en Trabajadores"))</f>
        <v/>
      </c>
      <c r="E665" s="61"/>
      <c r="F665" s="61"/>
      <c r="G665" s="61"/>
      <c r="H665" s="61"/>
      <c r="I665" s="81"/>
      <c r="J665" s="81"/>
      <c r="K665" s="60"/>
      <c r="L665" s="60"/>
      <c r="M665" s="60"/>
      <c r="N665" s="60"/>
      <c r="O665" s="60"/>
      <c r="P665" s="60"/>
      <c r="Q665" s="60"/>
      <c r="R665" s="58"/>
      <c r="S665" s="62" t="str">
        <f aca="false">IF(OR(B665="",V665=""),"",IFERROR(INDEX(C_TIPO,MATCH(V665&amp;"-P"&amp;MAX(1,COUNTIFS(C_RUTN,V665,C_DEF,"Sí",C_INI,"&lt;="&amp;EOMONTH(B665,0))),C_CLAVE,0))&amp;"","Sin contrato"))</f>
        <v/>
      </c>
      <c r="T665" s="63" t="str">
        <f aca="false">IF(OR(B665="",N(O665)=0),"",N(O665)+ROUND(MIN(N(N665),TOPE_UF*UF_MES)*(TASA_EMP+MUTUAL),0)+ROUND(MIN(N(N665),TOPE_AFC_UF*UF_MES)*IF(S665="Indefinido",AFC_INDEF,AFC_PF),0))</f>
        <v/>
      </c>
      <c r="U665" s="62" t="str">
        <f aca="false">IF(C665="","",IF(LEFT(D665,1)="⚠","⚠ RUT no registrado en Trabajadores",IF(B665="","⚠ Falta el mes",IF(OR(ISTEXT(I665),ISTEXT(J665)),"⚠ Atrasos u horas extra como texto: escriba hh:mm (ej. 1:30)",IF(AND(ISNUMBER(Q665),COUNTIFS(M_RUTN,V665,M_MES,B665,M_LIQ,"&lt;&gt;")&gt;1),"⚠ Liquidación repetida en el mes",IF(AND(ISNUMBER(O665),ISNUMBER(P665),ISNUMBER(Q665),ABS(O665-P665-Q665)&gt;1),"⚠ Haberes − descuentos no da el líquido","OK"))))))</f>
        <v/>
      </c>
      <c r="V665" s="62" t="str">
        <f aca="false">IF(C665="","",IFERROR(VALUE(LEFT(UPPER(SUBSTITUTE(SUBSTITUTE(SUBSTITUTE(TRIM(C665),".",""),"-","")," ","")),LEN(UPPER(SUBSTITUTE(SUBSTITUTE(SUBSTITUTE(TRIM(C665),".",""),"-","")," ","")))-1))&amp;RIGHT(UPPER(SUBSTITUTE(SUBSTITUTE(SUBSTITUTE(TRIM(C665),".",""),"-","")," ","")),1),UPPER(SUBSTITUTE(SUBSTITUTE(SUBSTITUTE(TRIM(C665),".",""),"-","")," ",""))))</f>
        <v/>
      </c>
    </row>
    <row r="666" customFormat="false" ht="15" hidden="false" customHeight="false" outlineLevel="0" collapsed="false">
      <c r="B666" s="80"/>
      <c r="C666" s="58"/>
      <c r="D666" s="62" t="str">
        <f aca="false">IF(C666="","",IFERROR(INDEX(T_NOMBRE,MATCH(V666,T_RUTN,0)),"⚠ RUT no está en Trabajadores"))</f>
        <v/>
      </c>
      <c r="E666" s="61"/>
      <c r="F666" s="61"/>
      <c r="G666" s="61"/>
      <c r="H666" s="61"/>
      <c r="I666" s="81"/>
      <c r="J666" s="81"/>
      <c r="K666" s="60"/>
      <c r="L666" s="60"/>
      <c r="M666" s="60"/>
      <c r="N666" s="60"/>
      <c r="O666" s="60"/>
      <c r="P666" s="60"/>
      <c r="Q666" s="60"/>
      <c r="R666" s="58"/>
      <c r="S666" s="62" t="str">
        <f aca="false">IF(OR(B666="",V666=""),"",IFERROR(INDEX(C_TIPO,MATCH(V666&amp;"-P"&amp;MAX(1,COUNTIFS(C_RUTN,V666,C_DEF,"Sí",C_INI,"&lt;="&amp;EOMONTH(B666,0))),C_CLAVE,0))&amp;"","Sin contrato"))</f>
        <v/>
      </c>
      <c r="T666" s="63" t="str">
        <f aca="false">IF(OR(B666="",N(O666)=0),"",N(O666)+ROUND(MIN(N(N666),TOPE_UF*UF_MES)*(TASA_EMP+MUTUAL),0)+ROUND(MIN(N(N666),TOPE_AFC_UF*UF_MES)*IF(S666="Indefinido",AFC_INDEF,AFC_PF),0))</f>
        <v/>
      </c>
      <c r="U666" s="62" t="str">
        <f aca="false">IF(C666="","",IF(LEFT(D666,1)="⚠","⚠ RUT no registrado en Trabajadores",IF(B666="","⚠ Falta el mes",IF(OR(ISTEXT(I666),ISTEXT(J666)),"⚠ Atrasos u horas extra como texto: escriba hh:mm (ej. 1:30)",IF(AND(ISNUMBER(Q666),COUNTIFS(M_RUTN,V666,M_MES,B666,M_LIQ,"&lt;&gt;")&gt;1),"⚠ Liquidación repetida en el mes",IF(AND(ISNUMBER(O666),ISNUMBER(P666),ISNUMBER(Q666),ABS(O666-P666-Q666)&gt;1),"⚠ Haberes − descuentos no da el líquido","OK"))))))</f>
        <v/>
      </c>
      <c r="V666" s="62" t="str">
        <f aca="false">IF(C666="","",IFERROR(VALUE(LEFT(UPPER(SUBSTITUTE(SUBSTITUTE(SUBSTITUTE(TRIM(C666),".",""),"-","")," ","")),LEN(UPPER(SUBSTITUTE(SUBSTITUTE(SUBSTITUTE(TRIM(C666),".",""),"-","")," ","")))-1))&amp;RIGHT(UPPER(SUBSTITUTE(SUBSTITUTE(SUBSTITUTE(TRIM(C666),".",""),"-","")," ","")),1),UPPER(SUBSTITUTE(SUBSTITUTE(SUBSTITUTE(TRIM(C666),".",""),"-","")," ",""))))</f>
        <v/>
      </c>
    </row>
    <row r="667" customFormat="false" ht="15" hidden="false" customHeight="false" outlineLevel="0" collapsed="false">
      <c r="B667" s="80"/>
      <c r="C667" s="58"/>
      <c r="D667" s="62" t="str">
        <f aca="false">IF(C667="","",IFERROR(INDEX(T_NOMBRE,MATCH(V667,T_RUTN,0)),"⚠ RUT no está en Trabajadores"))</f>
        <v/>
      </c>
      <c r="E667" s="61"/>
      <c r="F667" s="61"/>
      <c r="G667" s="61"/>
      <c r="H667" s="61"/>
      <c r="I667" s="81"/>
      <c r="J667" s="81"/>
      <c r="K667" s="60"/>
      <c r="L667" s="60"/>
      <c r="M667" s="60"/>
      <c r="N667" s="60"/>
      <c r="O667" s="60"/>
      <c r="P667" s="60"/>
      <c r="Q667" s="60"/>
      <c r="R667" s="58"/>
      <c r="S667" s="62" t="str">
        <f aca="false">IF(OR(B667="",V667=""),"",IFERROR(INDEX(C_TIPO,MATCH(V667&amp;"-P"&amp;MAX(1,COUNTIFS(C_RUTN,V667,C_DEF,"Sí",C_INI,"&lt;="&amp;EOMONTH(B667,0))),C_CLAVE,0))&amp;"","Sin contrato"))</f>
        <v/>
      </c>
      <c r="T667" s="63" t="str">
        <f aca="false">IF(OR(B667="",N(O667)=0),"",N(O667)+ROUND(MIN(N(N667),TOPE_UF*UF_MES)*(TASA_EMP+MUTUAL),0)+ROUND(MIN(N(N667),TOPE_AFC_UF*UF_MES)*IF(S667="Indefinido",AFC_INDEF,AFC_PF),0))</f>
        <v/>
      </c>
      <c r="U667" s="62" t="str">
        <f aca="false">IF(C667="","",IF(LEFT(D667,1)="⚠","⚠ RUT no registrado en Trabajadores",IF(B667="","⚠ Falta el mes",IF(OR(ISTEXT(I667),ISTEXT(J667)),"⚠ Atrasos u horas extra como texto: escriba hh:mm (ej. 1:30)",IF(AND(ISNUMBER(Q667),COUNTIFS(M_RUTN,V667,M_MES,B667,M_LIQ,"&lt;&gt;")&gt;1),"⚠ Liquidación repetida en el mes",IF(AND(ISNUMBER(O667),ISNUMBER(P667),ISNUMBER(Q667),ABS(O667-P667-Q667)&gt;1),"⚠ Haberes − descuentos no da el líquido","OK"))))))</f>
        <v/>
      </c>
      <c r="V667" s="62" t="str">
        <f aca="false">IF(C667="","",IFERROR(VALUE(LEFT(UPPER(SUBSTITUTE(SUBSTITUTE(SUBSTITUTE(TRIM(C667),".",""),"-","")," ","")),LEN(UPPER(SUBSTITUTE(SUBSTITUTE(SUBSTITUTE(TRIM(C667),".",""),"-","")," ","")))-1))&amp;RIGHT(UPPER(SUBSTITUTE(SUBSTITUTE(SUBSTITUTE(TRIM(C667),".",""),"-","")," ","")),1),UPPER(SUBSTITUTE(SUBSTITUTE(SUBSTITUTE(TRIM(C667),".",""),"-","")," ",""))))</f>
        <v/>
      </c>
    </row>
    <row r="668" customFormat="false" ht="15" hidden="false" customHeight="false" outlineLevel="0" collapsed="false">
      <c r="B668" s="80"/>
      <c r="C668" s="58"/>
      <c r="D668" s="62" t="str">
        <f aca="false">IF(C668="","",IFERROR(INDEX(T_NOMBRE,MATCH(V668,T_RUTN,0)),"⚠ RUT no está en Trabajadores"))</f>
        <v/>
      </c>
      <c r="E668" s="61"/>
      <c r="F668" s="61"/>
      <c r="G668" s="61"/>
      <c r="H668" s="61"/>
      <c r="I668" s="81"/>
      <c r="J668" s="81"/>
      <c r="K668" s="60"/>
      <c r="L668" s="60"/>
      <c r="M668" s="60"/>
      <c r="N668" s="60"/>
      <c r="O668" s="60"/>
      <c r="P668" s="60"/>
      <c r="Q668" s="60"/>
      <c r="R668" s="58"/>
      <c r="S668" s="62" t="str">
        <f aca="false">IF(OR(B668="",V668=""),"",IFERROR(INDEX(C_TIPO,MATCH(V668&amp;"-P"&amp;MAX(1,COUNTIFS(C_RUTN,V668,C_DEF,"Sí",C_INI,"&lt;="&amp;EOMONTH(B668,0))),C_CLAVE,0))&amp;"","Sin contrato"))</f>
        <v/>
      </c>
      <c r="T668" s="63" t="str">
        <f aca="false">IF(OR(B668="",N(O668)=0),"",N(O668)+ROUND(MIN(N(N668),TOPE_UF*UF_MES)*(TASA_EMP+MUTUAL),0)+ROUND(MIN(N(N668),TOPE_AFC_UF*UF_MES)*IF(S668="Indefinido",AFC_INDEF,AFC_PF),0))</f>
        <v/>
      </c>
      <c r="U668" s="62" t="str">
        <f aca="false">IF(C668="","",IF(LEFT(D668,1)="⚠","⚠ RUT no registrado en Trabajadores",IF(B668="","⚠ Falta el mes",IF(OR(ISTEXT(I668),ISTEXT(J668)),"⚠ Atrasos u horas extra como texto: escriba hh:mm (ej. 1:30)",IF(AND(ISNUMBER(Q668),COUNTIFS(M_RUTN,V668,M_MES,B668,M_LIQ,"&lt;&gt;")&gt;1),"⚠ Liquidación repetida en el mes",IF(AND(ISNUMBER(O668),ISNUMBER(P668),ISNUMBER(Q668),ABS(O668-P668-Q668)&gt;1),"⚠ Haberes − descuentos no da el líquido","OK"))))))</f>
        <v/>
      </c>
      <c r="V668" s="62" t="str">
        <f aca="false">IF(C668="","",IFERROR(VALUE(LEFT(UPPER(SUBSTITUTE(SUBSTITUTE(SUBSTITUTE(TRIM(C668),".",""),"-","")," ","")),LEN(UPPER(SUBSTITUTE(SUBSTITUTE(SUBSTITUTE(TRIM(C668),".",""),"-","")," ","")))-1))&amp;RIGHT(UPPER(SUBSTITUTE(SUBSTITUTE(SUBSTITUTE(TRIM(C668),".",""),"-","")," ","")),1),UPPER(SUBSTITUTE(SUBSTITUTE(SUBSTITUTE(TRIM(C668),".",""),"-","")," ",""))))</f>
        <v/>
      </c>
    </row>
    <row r="669" customFormat="false" ht="15" hidden="false" customHeight="false" outlineLevel="0" collapsed="false">
      <c r="B669" s="80"/>
      <c r="C669" s="58"/>
      <c r="D669" s="62" t="str">
        <f aca="false">IF(C669="","",IFERROR(INDEX(T_NOMBRE,MATCH(V669,T_RUTN,0)),"⚠ RUT no está en Trabajadores"))</f>
        <v/>
      </c>
      <c r="E669" s="61"/>
      <c r="F669" s="61"/>
      <c r="G669" s="61"/>
      <c r="H669" s="61"/>
      <c r="I669" s="81"/>
      <c r="J669" s="81"/>
      <c r="K669" s="60"/>
      <c r="L669" s="60"/>
      <c r="M669" s="60"/>
      <c r="N669" s="60"/>
      <c r="O669" s="60"/>
      <c r="P669" s="60"/>
      <c r="Q669" s="60"/>
      <c r="R669" s="58"/>
      <c r="S669" s="62" t="str">
        <f aca="false">IF(OR(B669="",V669=""),"",IFERROR(INDEX(C_TIPO,MATCH(V669&amp;"-P"&amp;MAX(1,COUNTIFS(C_RUTN,V669,C_DEF,"Sí",C_INI,"&lt;="&amp;EOMONTH(B669,0))),C_CLAVE,0))&amp;"","Sin contrato"))</f>
        <v/>
      </c>
      <c r="T669" s="63" t="str">
        <f aca="false">IF(OR(B669="",N(O669)=0),"",N(O669)+ROUND(MIN(N(N669),TOPE_UF*UF_MES)*(TASA_EMP+MUTUAL),0)+ROUND(MIN(N(N669),TOPE_AFC_UF*UF_MES)*IF(S669="Indefinido",AFC_INDEF,AFC_PF),0))</f>
        <v/>
      </c>
      <c r="U669" s="62" t="str">
        <f aca="false">IF(C669="","",IF(LEFT(D669,1)="⚠","⚠ RUT no registrado en Trabajadores",IF(B669="","⚠ Falta el mes",IF(OR(ISTEXT(I669),ISTEXT(J669)),"⚠ Atrasos u horas extra como texto: escriba hh:mm (ej. 1:30)",IF(AND(ISNUMBER(Q669),COUNTIFS(M_RUTN,V669,M_MES,B669,M_LIQ,"&lt;&gt;")&gt;1),"⚠ Liquidación repetida en el mes",IF(AND(ISNUMBER(O669),ISNUMBER(P669),ISNUMBER(Q669),ABS(O669-P669-Q669)&gt;1),"⚠ Haberes − descuentos no da el líquido","OK"))))))</f>
        <v/>
      </c>
      <c r="V669" s="62" t="str">
        <f aca="false">IF(C669="","",IFERROR(VALUE(LEFT(UPPER(SUBSTITUTE(SUBSTITUTE(SUBSTITUTE(TRIM(C669),".",""),"-","")," ","")),LEN(UPPER(SUBSTITUTE(SUBSTITUTE(SUBSTITUTE(TRIM(C669),".",""),"-","")," ","")))-1))&amp;RIGHT(UPPER(SUBSTITUTE(SUBSTITUTE(SUBSTITUTE(TRIM(C669),".",""),"-","")," ","")),1),UPPER(SUBSTITUTE(SUBSTITUTE(SUBSTITUTE(TRIM(C669),".",""),"-","")," ",""))))</f>
        <v/>
      </c>
    </row>
    <row r="670" customFormat="false" ht="15" hidden="false" customHeight="false" outlineLevel="0" collapsed="false">
      <c r="B670" s="80"/>
      <c r="C670" s="58"/>
      <c r="D670" s="62" t="str">
        <f aca="false">IF(C670="","",IFERROR(INDEX(T_NOMBRE,MATCH(V670,T_RUTN,0)),"⚠ RUT no está en Trabajadores"))</f>
        <v/>
      </c>
      <c r="E670" s="61"/>
      <c r="F670" s="61"/>
      <c r="G670" s="61"/>
      <c r="H670" s="61"/>
      <c r="I670" s="81"/>
      <c r="J670" s="81"/>
      <c r="K670" s="60"/>
      <c r="L670" s="60"/>
      <c r="M670" s="60"/>
      <c r="N670" s="60"/>
      <c r="O670" s="60"/>
      <c r="P670" s="60"/>
      <c r="Q670" s="60"/>
      <c r="R670" s="58"/>
      <c r="S670" s="62" t="str">
        <f aca="false">IF(OR(B670="",V670=""),"",IFERROR(INDEX(C_TIPO,MATCH(V670&amp;"-P"&amp;MAX(1,COUNTIFS(C_RUTN,V670,C_DEF,"Sí",C_INI,"&lt;="&amp;EOMONTH(B670,0))),C_CLAVE,0))&amp;"","Sin contrato"))</f>
        <v/>
      </c>
      <c r="T670" s="63" t="str">
        <f aca="false">IF(OR(B670="",N(O670)=0),"",N(O670)+ROUND(MIN(N(N670),TOPE_UF*UF_MES)*(TASA_EMP+MUTUAL),0)+ROUND(MIN(N(N670),TOPE_AFC_UF*UF_MES)*IF(S670="Indefinido",AFC_INDEF,AFC_PF),0))</f>
        <v/>
      </c>
      <c r="U670" s="62" t="str">
        <f aca="false">IF(C670="","",IF(LEFT(D670,1)="⚠","⚠ RUT no registrado en Trabajadores",IF(B670="","⚠ Falta el mes",IF(OR(ISTEXT(I670),ISTEXT(J670)),"⚠ Atrasos u horas extra como texto: escriba hh:mm (ej. 1:30)",IF(AND(ISNUMBER(Q670),COUNTIFS(M_RUTN,V670,M_MES,B670,M_LIQ,"&lt;&gt;")&gt;1),"⚠ Liquidación repetida en el mes",IF(AND(ISNUMBER(O670),ISNUMBER(P670),ISNUMBER(Q670),ABS(O670-P670-Q670)&gt;1),"⚠ Haberes − descuentos no da el líquido","OK"))))))</f>
        <v/>
      </c>
      <c r="V670" s="62" t="str">
        <f aca="false">IF(C670="","",IFERROR(VALUE(LEFT(UPPER(SUBSTITUTE(SUBSTITUTE(SUBSTITUTE(TRIM(C670),".",""),"-","")," ","")),LEN(UPPER(SUBSTITUTE(SUBSTITUTE(SUBSTITUTE(TRIM(C670),".",""),"-","")," ","")))-1))&amp;RIGHT(UPPER(SUBSTITUTE(SUBSTITUTE(SUBSTITUTE(TRIM(C670),".",""),"-","")," ","")),1),UPPER(SUBSTITUTE(SUBSTITUTE(SUBSTITUTE(TRIM(C670),".",""),"-","")," ",""))))</f>
        <v/>
      </c>
    </row>
    <row r="671" customFormat="false" ht="15" hidden="false" customHeight="false" outlineLevel="0" collapsed="false">
      <c r="B671" s="80"/>
      <c r="C671" s="58"/>
      <c r="D671" s="62" t="str">
        <f aca="false">IF(C671="","",IFERROR(INDEX(T_NOMBRE,MATCH(V671,T_RUTN,0)),"⚠ RUT no está en Trabajadores"))</f>
        <v/>
      </c>
      <c r="E671" s="61"/>
      <c r="F671" s="61"/>
      <c r="G671" s="61"/>
      <c r="H671" s="61"/>
      <c r="I671" s="81"/>
      <c r="J671" s="81"/>
      <c r="K671" s="60"/>
      <c r="L671" s="60"/>
      <c r="M671" s="60"/>
      <c r="N671" s="60"/>
      <c r="O671" s="60"/>
      <c r="P671" s="60"/>
      <c r="Q671" s="60"/>
      <c r="R671" s="58"/>
      <c r="S671" s="62" t="str">
        <f aca="false">IF(OR(B671="",V671=""),"",IFERROR(INDEX(C_TIPO,MATCH(V671&amp;"-P"&amp;MAX(1,COUNTIFS(C_RUTN,V671,C_DEF,"Sí",C_INI,"&lt;="&amp;EOMONTH(B671,0))),C_CLAVE,0))&amp;"","Sin contrato"))</f>
        <v/>
      </c>
      <c r="T671" s="63" t="str">
        <f aca="false">IF(OR(B671="",N(O671)=0),"",N(O671)+ROUND(MIN(N(N671),TOPE_UF*UF_MES)*(TASA_EMP+MUTUAL),0)+ROUND(MIN(N(N671),TOPE_AFC_UF*UF_MES)*IF(S671="Indefinido",AFC_INDEF,AFC_PF),0))</f>
        <v/>
      </c>
      <c r="U671" s="62" t="str">
        <f aca="false">IF(C671="","",IF(LEFT(D671,1)="⚠","⚠ RUT no registrado en Trabajadores",IF(B671="","⚠ Falta el mes",IF(OR(ISTEXT(I671),ISTEXT(J671)),"⚠ Atrasos u horas extra como texto: escriba hh:mm (ej. 1:30)",IF(AND(ISNUMBER(Q671),COUNTIFS(M_RUTN,V671,M_MES,B671,M_LIQ,"&lt;&gt;")&gt;1),"⚠ Liquidación repetida en el mes",IF(AND(ISNUMBER(O671),ISNUMBER(P671),ISNUMBER(Q671),ABS(O671-P671-Q671)&gt;1),"⚠ Haberes − descuentos no da el líquido","OK"))))))</f>
        <v/>
      </c>
      <c r="V671" s="62" t="str">
        <f aca="false">IF(C671="","",IFERROR(VALUE(LEFT(UPPER(SUBSTITUTE(SUBSTITUTE(SUBSTITUTE(TRIM(C671),".",""),"-","")," ","")),LEN(UPPER(SUBSTITUTE(SUBSTITUTE(SUBSTITUTE(TRIM(C671),".",""),"-","")," ","")))-1))&amp;RIGHT(UPPER(SUBSTITUTE(SUBSTITUTE(SUBSTITUTE(TRIM(C671),".",""),"-","")," ","")),1),UPPER(SUBSTITUTE(SUBSTITUTE(SUBSTITUTE(TRIM(C671),".",""),"-","")," ",""))))</f>
        <v/>
      </c>
    </row>
    <row r="672" customFormat="false" ht="15" hidden="false" customHeight="false" outlineLevel="0" collapsed="false">
      <c r="B672" s="80"/>
      <c r="C672" s="58"/>
      <c r="D672" s="62" t="str">
        <f aca="false">IF(C672="","",IFERROR(INDEX(T_NOMBRE,MATCH(V672,T_RUTN,0)),"⚠ RUT no está en Trabajadores"))</f>
        <v/>
      </c>
      <c r="E672" s="61"/>
      <c r="F672" s="61"/>
      <c r="G672" s="61"/>
      <c r="H672" s="61"/>
      <c r="I672" s="81"/>
      <c r="J672" s="81"/>
      <c r="K672" s="60"/>
      <c r="L672" s="60"/>
      <c r="M672" s="60"/>
      <c r="N672" s="60"/>
      <c r="O672" s="60"/>
      <c r="P672" s="60"/>
      <c r="Q672" s="60"/>
      <c r="R672" s="58"/>
      <c r="S672" s="62" t="str">
        <f aca="false">IF(OR(B672="",V672=""),"",IFERROR(INDEX(C_TIPO,MATCH(V672&amp;"-P"&amp;MAX(1,COUNTIFS(C_RUTN,V672,C_DEF,"Sí",C_INI,"&lt;="&amp;EOMONTH(B672,0))),C_CLAVE,0))&amp;"","Sin contrato"))</f>
        <v/>
      </c>
      <c r="T672" s="63" t="str">
        <f aca="false">IF(OR(B672="",N(O672)=0),"",N(O672)+ROUND(MIN(N(N672),TOPE_UF*UF_MES)*(TASA_EMP+MUTUAL),0)+ROUND(MIN(N(N672),TOPE_AFC_UF*UF_MES)*IF(S672="Indefinido",AFC_INDEF,AFC_PF),0))</f>
        <v/>
      </c>
      <c r="U672" s="62" t="str">
        <f aca="false">IF(C672="","",IF(LEFT(D672,1)="⚠","⚠ RUT no registrado en Trabajadores",IF(B672="","⚠ Falta el mes",IF(OR(ISTEXT(I672),ISTEXT(J672)),"⚠ Atrasos u horas extra como texto: escriba hh:mm (ej. 1:30)",IF(AND(ISNUMBER(Q672),COUNTIFS(M_RUTN,V672,M_MES,B672,M_LIQ,"&lt;&gt;")&gt;1),"⚠ Liquidación repetida en el mes",IF(AND(ISNUMBER(O672),ISNUMBER(P672),ISNUMBER(Q672),ABS(O672-P672-Q672)&gt;1),"⚠ Haberes − descuentos no da el líquido","OK"))))))</f>
        <v/>
      </c>
      <c r="V672" s="62" t="str">
        <f aca="false">IF(C672="","",IFERROR(VALUE(LEFT(UPPER(SUBSTITUTE(SUBSTITUTE(SUBSTITUTE(TRIM(C672),".",""),"-","")," ","")),LEN(UPPER(SUBSTITUTE(SUBSTITUTE(SUBSTITUTE(TRIM(C672),".",""),"-","")," ","")))-1))&amp;RIGHT(UPPER(SUBSTITUTE(SUBSTITUTE(SUBSTITUTE(TRIM(C672),".",""),"-","")," ","")),1),UPPER(SUBSTITUTE(SUBSTITUTE(SUBSTITUTE(TRIM(C672),".",""),"-","")," ",""))))</f>
        <v/>
      </c>
    </row>
    <row r="673" customFormat="false" ht="15" hidden="false" customHeight="false" outlineLevel="0" collapsed="false">
      <c r="B673" s="80"/>
      <c r="C673" s="58"/>
      <c r="D673" s="62" t="str">
        <f aca="false">IF(C673="","",IFERROR(INDEX(T_NOMBRE,MATCH(V673,T_RUTN,0)),"⚠ RUT no está en Trabajadores"))</f>
        <v/>
      </c>
      <c r="E673" s="61"/>
      <c r="F673" s="61"/>
      <c r="G673" s="61"/>
      <c r="H673" s="61"/>
      <c r="I673" s="81"/>
      <c r="J673" s="81"/>
      <c r="K673" s="60"/>
      <c r="L673" s="60"/>
      <c r="M673" s="60"/>
      <c r="N673" s="60"/>
      <c r="O673" s="60"/>
      <c r="P673" s="60"/>
      <c r="Q673" s="60"/>
      <c r="R673" s="58"/>
      <c r="S673" s="62" t="str">
        <f aca="false">IF(OR(B673="",V673=""),"",IFERROR(INDEX(C_TIPO,MATCH(V673&amp;"-P"&amp;MAX(1,COUNTIFS(C_RUTN,V673,C_DEF,"Sí",C_INI,"&lt;="&amp;EOMONTH(B673,0))),C_CLAVE,0))&amp;"","Sin contrato"))</f>
        <v/>
      </c>
      <c r="T673" s="63" t="str">
        <f aca="false">IF(OR(B673="",N(O673)=0),"",N(O673)+ROUND(MIN(N(N673),TOPE_UF*UF_MES)*(TASA_EMP+MUTUAL),0)+ROUND(MIN(N(N673),TOPE_AFC_UF*UF_MES)*IF(S673="Indefinido",AFC_INDEF,AFC_PF),0))</f>
        <v/>
      </c>
      <c r="U673" s="62" t="str">
        <f aca="false">IF(C673="","",IF(LEFT(D673,1)="⚠","⚠ RUT no registrado en Trabajadores",IF(B673="","⚠ Falta el mes",IF(OR(ISTEXT(I673),ISTEXT(J673)),"⚠ Atrasos u horas extra como texto: escriba hh:mm (ej. 1:30)",IF(AND(ISNUMBER(Q673),COUNTIFS(M_RUTN,V673,M_MES,B673,M_LIQ,"&lt;&gt;")&gt;1),"⚠ Liquidación repetida en el mes",IF(AND(ISNUMBER(O673),ISNUMBER(P673),ISNUMBER(Q673),ABS(O673-P673-Q673)&gt;1),"⚠ Haberes − descuentos no da el líquido","OK"))))))</f>
        <v/>
      </c>
      <c r="V673" s="62" t="str">
        <f aca="false">IF(C673="","",IFERROR(VALUE(LEFT(UPPER(SUBSTITUTE(SUBSTITUTE(SUBSTITUTE(TRIM(C673),".",""),"-","")," ","")),LEN(UPPER(SUBSTITUTE(SUBSTITUTE(SUBSTITUTE(TRIM(C673),".",""),"-","")," ","")))-1))&amp;RIGHT(UPPER(SUBSTITUTE(SUBSTITUTE(SUBSTITUTE(TRIM(C673),".",""),"-","")," ","")),1),UPPER(SUBSTITUTE(SUBSTITUTE(SUBSTITUTE(TRIM(C673),".",""),"-","")," ",""))))</f>
        <v/>
      </c>
    </row>
    <row r="674" customFormat="false" ht="15" hidden="false" customHeight="false" outlineLevel="0" collapsed="false">
      <c r="B674" s="80"/>
      <c r="C674" s="58"/>
      <c r="D674" s="62" t="str">
        <f aca="false">IF(C674="","",IFERROR(INDEX(T_NOMBRE,MATCH(V674,T_RUTN,0)),"⚠ RUT no está en Trabajadores"))</f>
        <v/>
      </c>
      <c r="E674" s="61"/>
      <c r="F674" s="61"/>
      <c r="G674" s="61"/>
      <c r="H674" s="61"/>
      <c r="I674" s="81"/>
      <c r="J674" s="81"/>
      <c r="K674" s="60"/>
      <c r="L674" s="60"/>
      <c r="M674" s="60"/>
      <c r="N674" s="60"/>
      <c r="O674" s="60"/>
      <c r="P674" s="60"/>
      <c r="Q674" s="60"/>
      <c r="R674" s="58"/>
      <c r="S674" s="62" t="str">
        <f aca="false">IF(OR(B674="",V674=""),"",IFERROR(INDEX(C_TIPO,MATCH(V674&amp;"-P"&amp;MAX(1,COUNTIFS(C_RUTN,V674,C_DEF,"Sí",C_INI,"&lt;="&amp;EOMONTH(B674,0))),C_CLAVE,0))&amp;"","Sin contrato"))</f>
        <v/>
      </c>
      <c r="T674" s="63" t="str">
        <f aca="false">IF(OR(B674="",N(O674)=0),"",N(O674)+ROUND(MIN(N(N674),TOPE_UF*UF_MES)*(TASA_EMP+MUTUAL),0)+ROUND(MIN(N(N674),TOPE_AFC_UF*UF_MES)*IF(S674="Indefinido",AFC_INDEF,AFC_PF),0))</f>
        <v/>
      </c>
      <c r="U674" s="62" t="str">
        <f aca="false">IF(C674="","",IF(LEFT(D674,1)="⚠","⚠ RUT no registrado en Trabajadores",IF(B674="","⚠ Falta el mes",IF(OR(ISTEXT(I674),ISTEXT(J674)),"⚠ Atrasos u horas extra como texto: escriba hh:mm (ej. 1:30)",IF(AND(ISNUMBER(Q674),COUNTIFS(M_RUTN,V674,M_MES,B674,M_LIQ,"&lt;&gt;")&gt;1),"⚠ Liquidación repetida en el mes",IF(AND(ISNUMBER(O674),ISNUMBER(P674),ISNUMBER(Q674),ABS(O674-P674-Q674)&gt;1),"⚠ Haberes − descuentos no da el líquido","OK"))))))</f>
        <v/>
      </c>
      <c r="V674" s="62" t="str">
        <f aca="false">IF(C674="","",IFERROR(VALUE(LEFT(UPPER(SUBSTITUTE(SUBSTITUTE(SUBSTITUTE(TRIM(C674),".",""),"-","")," ","")),LEN(UPPER(SUBSTITUTE(SUBSTITUTE(SUBSTITUTE(TRIM(C674),".",""),"-","")," ","")))-1))&amp;RIGHT(UPPER(SUBSTITUTE(SUBSTITUTE(SUBSTITUTE(TRIM(C674),".",""),"-","")," ","")),1),UPPER(SUBSTITUTE(SUBSTITUTE(SUBSTITUTE(TRIM(C674),".",""),"-","")," ",""))))</f>
        <v/>
      </c>
    </row>
    <row r="675" customFormat="false" ht="15" hidden="false" customHeight="false" outlineLevel="0" collapsed="false">
      <c r="B675" s="80"/>
      <c r="C675" s="58"/>
      <c r="D675" s="62" t="str">
        <f aca="false">IF(C675="","",IFERROR(INDEX(T_NOMBRE,MATCH(V675,T_RUTN,0)),"⚠ RUT no está en Trabajadores"))</f>
        <v/>
      </c>
      <c r="E675" s="61"/>
      <c r="F675" s="61"/>
      <c r="G675" s="61"/>
      <c r="H675" s="61"/>
      <c r="I675" s="81"/>
      <c r="J675" s="81"/>
      <c r="K675" s="60"/>
      <c r="L675" s="60"/>
      <c r="M675" s="60"/>
      <c r="N675" s="60"/>
      <c r="O675" s="60"/>
      <c r="P675" s="60"/>
      <c r="Q675" s="60"/>
      <c r="R675" s="58"/>
      <c r="S675" s="62" t="str">
        <f aca="false">IF(OR(B675="",V675=""),"",IFERROR(INDEX(C_TIPO,MATCH(V675&amp;"-P"&amp;MAX(1,COUNTIFS(C_RUTN,V675,C_DEF,"Sí",C_INI,"&lt;="&amp;EOMONTH(B675,0))),C_CLAVE,0))&amp;"","Sin contrato"))</f>
        <v/>
      </c>
      <c r="T675" s="63" t="str">
        <f aca="false">IF(OR(B675="",N(O675)=0),"",N(O675)+ROUND(MIN(N(N675),TOPE_UF*UF_MES)*(TASA_EMP+MUTUAL),0)+ROUND(MIN(N(N675),TOPE_AFC_UF*UF_MES)*IF(S675="Indefinido",AFC_INDEF,AFC_PF),0))</f>
        <v/>
      </c>
      <c r="U675" s="62" t="str">
        <f aca="false">IF(C675="","",IF(LEFT(D675,1)="⚠","⚠ RUT no registrado en Trabajadores",IF(B675="","⚠ Falta el mes",IF(OR(ISTEXT(I675),ISTEXT(J675)),"⚠ Atrasos u horas extra como texto: escriba hh:mm (ej. 1:30)",IF(AND(ISNUMBER(Q675),COUNTIFS(M_RUTN,V675,M_MES,B675,M_LIQ,"&lt;&gt;")&gt;1),"⚠ Liquidación repetida en el mes",IF(AND(ISNUMBER(O675),ISNUMBER(P675),ISNUMBER(Q675),ABS(O675-P675-Q675)&gt;1),"⚠ Haberes − descuentos no da el líquido","OK"))))))</f>
        <v/>
      </c>
      <c r="V675" s="62" t="str">
        <f aca="false">IF(C675="","",IFERROR(VALUE(LEFT(UPPER(SUBSTITUTE(SUBSTITUTE(SUBSTITUTE(TRIM(C675),".",""),"-","")," ","")),LEN(UPPER(SUBSTITUTE(SUBSTITUTE(SUBSTITUTE(TRIM(C675),".",""),"-","")," ","")))-1))&amp;RIGHT(UPPER(SUBSTITUTE(SUBSTITUTE(SUBSTITUTE(TRIM(C675),".",""),"-","")," ","")),1),UPPER(SUBSTITUTE(SUBSTITUTE(SUBSTITUTE(TRIM(C675),".",""),"-","")," ",""))))</f>
        <v/>
      </c>
    </row>
    <row r="676" customFormat="false" ht="15" hidden="false" customHeight="false" outlineLevel="0" collapsed="false">
      <c r="B676" s="80"/>
      <c r="C676" s="58"/>
      <c r="D676" s="62" t="str">
        <f aca="false">IF(C676="","",IFERROR(INDEX(T_NOMBRE,MATCH(V676,T_RUTN,0)),"⚠ RUT no está en Trabajadores"))</f>
        <v/>
      </c>
      <c r="E676" s="61"/>
      <c r="F676" s="61"/>
      <c r="G676" s="61"/>
      <c r="H676" s="61"/>
      <c r="I676" s="81"/>
      <c r="J676" s="81"/>
      <c r="K676" s="60"/>
      <c r="L676" s="60"/>
      <c r="M676" s="60"/>
      <c r="N676" s="60"/>
      <c r="O676" s="60"/>
      <c r="P676" s="60"/>
      <c r="Q676" s="60"/>
      <c r="R676" s="58"/>
      <c r="S676" s="62" t="str">
        <f aca="false">IF(OR(B676="",V676=""),"",IFERROR(INDEX(C_TIPO,MATCH(V676&amp;"-P"&amp;MAX(1,COUNTIFS(C_RUTN,V676,C_DEF,"Sí",C_INI,"&lt;="&amp;EOMONTH(B676,0))),C_CLAVE,0))&amp;"","Sin contrato"))</f>
        <v/>
      </c>
      <c r="T676" s="63" t="str">
        <f aca="false">IF(OR(B676="",N(O676)=0),"",N(O676)+ROUND(MIN(N(N676),TOPE_UF*UF_MES)*(TASA_EMP+MUTUAL),0)+ROUND(MIN(N(N676),TOPE_AFC_UF*UF_MES)*IF(S676="Indefinido",AFC_INDEF,AFC_PF),0))</f>
        <v/>
      </c>
      <c r="U676" s="62" t="str">
        <f aca="false">IF(C676="","",IF(LEFT(D676,1)="⚠","⚠ RUT no registrado en Trabajadores",IF(B676="","⚠ Falta el mes",IF(OR(ISTEXT(I676),ISTEXT(J676)),"⚠ Atrasos u horas extra como texto: escriba hh:mm (ej. 1:30)",IF(AND(ISNUMBER(Q676),COUNTIFS(M_RUTN,V676,M_MES,B676,M_LIQ,"&lt;&gt;")&gt;1),"⚠ Liquidación repetida en el mes",IF(AND(ISNUMBER(O676),ISNUMBER(P676),ISNUMBER(Q676),ABS(O676-P676-Q676)&gt;1),"⚠ Haberes − descuentos no da el líquido","OK"))))))</f>
        <v/>
      </c>
      <c r="V676" s="62" t="str">
        <f aca="false">IF(C676="","",IFERROR(VALUE(LEFT(UPPER(SUBSTITUTE(SUBSTITUTE(SUBSTITUTE(TRIM(C676),".",""),"-","")," ","")),LEN(UPPER(SUBSTITUTE(SUBSTITUTE(SUBSTITUTE(TRIM(C676),".",""),"-","")," ","")))-1))&amp;RIGHT(UPPER(SUBSTITUTE(SUBSTITUTE(SUBSTITUTE(TRIM(C676),".",""),"-","")," ","")),1),UPPER(SUBSTITUTE(SUBSTITUTE(SUBSTITUTE(TRIM(C676),".",""),"-","")," ",""))))</f>
        <v/>
      </c>
    </row>
    <row r="677" customFormat="false" ht="15" hidden="false" customHeight="false" outlineLevel="0" collapsed="false">
      <c r="B677" s="80"/>
      <c r="C677" s="58"/>
      <c r="D677" s="62" t="str">
        <f aca="false">IF(C677="","",IFERROR(INDEX(T_NOMBRE,MATCH(V677,T_RUTN,0)),"⚠ RUT no está en Trabajadores"))</f>
        <v/>
      </c>
      <c r="E677" s="61"/>
      <c r="F677" s="61"/>
      <c r="G677" s="61"/>
      <c r="H677" s="61"/>
      <c r="I677" s="81"/>
      <c r="J677" s="81"/>
      <c r="K677" s="60"/>
      <c r="L677" s="60"/>
      <c r="M677" s="60"/>
      <c r="N677" s="60"/>
      <c r="O677" s="60"/>
      <c r="P677" s="60"/>
      <c r="Q677" s="60"/>
      <c r="R677" s="58"/>
      <c r="S677" s="62" t="str">
        <f aca="false">IF(OR(B677="",V677=""),"",IFERROR(INDEX(C_TIPO,MATCH(V677&amp;"-P"&amp;MAX(1,COUNTIFS(C_RUTN,V677,C_DEF,"Sí",C_INI,"&lt;="&amp;EOMONTH(B677,0))),C_CLAVE,0))&amp;"","Sin contrato"))</f>
        <v/>
      </c>
      <c r="T677" s="63" t="str">
        <f aca="false">IF(OR(B677="",N(O677)=0),"",N(O677)+ROUND(MIN(N(N677),TOPE_UF*UF_MES)*(TASA_EMP+MUTUAL),0)+ROUND(MIN(N(N677),TOPE_AFC_UF*UF_MES)*IF(S677="Indefinido",AFC_INDEF,AFC_PF),0))</f>
        <v/>
      </c>
      <c r="U677" s="62" t="str">
        <f aca="false">IF(C677="","",IF(LEFT(D677,1)="⚠","⚠ RUT no registrado en Trabajadores",IF(B677="","⚠ Falta el mes",IF(OR(ISTEXT(I677),ISTEXT(J677)),"⚠ Atrasos u horas extra como texto: escriba hh:mm (ej. 1:30)",IF(AND(ISNUMBER(Q677),COUNTIFS(M_RUTN,V677,M_MES,B677,M_LIQ,"&lt;&gt;")&gt;1),"⚠ Liquidación repetida en el mes",IF(AND(ISNUMBER(O677),ISNUMBER(P677),ISNUMBER(Q677),ABS(O677-P677-Q677)&gt;1),"⚠ Haberes − descuentos no da el líquido","OK"))))))</f>
        <v/>
      </c>
      <c r="V677" s="62" t="str">
        <f aca="false">IF(C677="","",IFERROR(VALUE(LEFT(UPPER(SUBSTITUTE(SUBSTITUTE(SUBSTITUTE(TRIM(C677),".",""),"-","")," ","")),LEN(UPPER(SUBSTITUTE(SUBSTITUTE(SUBSTITUTE(TRIM(C677),".",""),"-","")," ","")))-1))&amp;RIGHT(UPPER(SUBSTITUTE(SUBSTITUTE(SUBSTITUTE(TRIM(C677),".",""),"-","")," ","")),1),UPPER(SUBSTITUTE(SUBSTITUTE(SUBSTITUTE(TRIM(C677),".",""),"-","")," ",""))))</f>
        <v/>
      </c>
    </row>
    <row r="678" customFormat="false" ht="15" hidden="false" customHeight="false" outlineLevel="0" collapsed="false">
      <c r="B678" s="80"/>
      <c r="C678" s="58"/>
      <c r="D678" s="62" t="str">
        <f aca="false">IF(C678="","",IFERROR(INDEX(T_NOMBRE,MATCH(V678,T_RUTN,0)),"⚠ RUT no está en Trabajadores"))</f>
        <v/>
      </c>
      <c r="E678" s="61"/>
      <c r="F678" s="61"/>
      <c r="G678" s="61"/>
      <c r="H678" s="61"/>
      <c r="I678" s="81"/>
      <c r="J678" s="81"/>
      <c r="K678" s="60"/>
      <c r="L678" s="60"/>
      <c r="M678" s="60"/>
      <c r="N678" s="60"/>
      <c r="O678" s="60"/>
      <c r="P678" s="60"/>
      <c r="Q678" s="60"/>
      <c r="R678" s="58"/>
      <c r="S678" s="62" t="str">
        <f aca="false">IF(OR(B678="",V678=""),"",IFERROR(INDEX(C_TIPO,MATCH(V678&amp;"-P"&amp;MAX(1,COUNTIFS(C_RUTN,V678,C_DEF,"Sí",C_INI,"&lt;="&amp;EOMONTH(B678,0))),C_CLAVE,0))&amp;"","Sin contrato"))</f>
        <v/>
      </c>
      <c r="T678" s="63" t="str">
        <f aca="false">IF(OR(B678="",N(O678)=0),"",N(O678)+ROUND(MIN(N(N678),TOPE_UF*UF_MES)*(TASA_EMP+MUTUAL),0)+ROUND(MIN(N(N678),TOPE_AFC_UF*UF_MES)*IF(S678="Indefinido",AFC_INDEF,AFC_PF),0))</f>
        <v/>
      </c>
      <c r="U678" s="62" t="str">
        <f aca="false">IF(C678="","",IF(LEFT(D678,1)="⚠","⚠ RUT no registrado en Trabajadores",IF(B678="","⚠ Falta el mes",IF(OR(ISTEXT(I678),ISTEXT(J678)),"⚠ Atrasos u horas extra como texto: escriba hh:mm (ej. 1:30)",IF(AND(ISNUMBER(Q678),COUNTIFS(M_RUTN,V678,M_MES,B678,M_LIQ,"&lt;&gt;")&gt;1),"⚠ Liquidación repetida en el mes",IF(AND(ISNUMBER(O678),ISNUMBER(P678),ISNUMBER(Q678),ABS(O678-P678-Q678)&gt;1),"⚠ Haberes − descuentos no da el líquido","OK"))))))</f>
        <v/>
      </c>
      <c r="V678" s="62" t="str">
        <f aca="false">IF(C678="","",IFERROR(VALUE(LEFT(UPPER(SUBSTITUTE(SUBSTITUTE(SUBSTITUTE(TRIM(C678),".",""),"-","")," ","")),LEN(UPPER(SUBSTITUTE(SUBSTITUTE(SUBSTITUTE(TRIM(C678),".",""),"-","")," ","")))-1))&amp;RIGHT(UPPER(SUBSTITUTE(SUBSTITUTE(SUBSTITUTE(TRIM(C678),".",""),"-","")," ","")),1),UPPER(SUBSTITUTE(SUBSTITUTE(SUBSTITUTE(TRIM(C678),".",""),"-","")," ",""))))</f>
        <v/>
      </c>
    </row>
    <row r="679" customFormat="false" ht="15" hidden="false" customHeight="false" outlineLevel="0" collapsed="false">
      <c r="B679" s="80"/>
      <c r="C679" s="58"/>
      <c r="D679" s="62" t="str">
        <f aca="false">IF(C679="","",IFERROR(INDEX(T_NOMBRE,MATCH(V679,T_RUTN,0)),"⚠ RUT no está en Trabajadores"))</f>
        <v/>
      </c>
      <c r="E679" s="61"/>
      <c r="F679" s="61"/>
      <c r="G679" s="61"/>
      <c r="H679" s="61"/>
      <c r="I679" s="81"/>
      <c r="J679" s="81"/>
      <c r="K679" s="60"/>
      <c r="L679" s="60"/>
      <c r="M679" s="60"/>
      <c r="N679" s="60"/>
      <c r="O679" s="60"/>
      <c r="P679" s="60"/>
      <c r="Q679" s="60"/>
      <c r="R679" s="58"/>
      <c r="S679" s="62" t="str">
        <f aca="false">IF(OR(B679="",V679=""),"",IFERROR(INDEX(C_TIPO,MATCH(V679&amp;"-P"&amp;MAX(1,COUNTIFS(C_RUTN,V679,C_DEF,"Sí",C_INI,"&lt;="&amp;EOMONTH(B679,0))),C_CLAVE,0))&amp;"","Sin contrato"))</f>
        <v/>
      </c>
      <c r="T679" s="63" t="str">
        <f aca="false">IF(OR(B679="",N(O679)=0),"",N(O679)+ROUND(MIN(N(N679),TOPE_UF*UF_MES)*(TASA_EMP+MUTUAL),0)+ROUND(MIN(N(N679),TOPE_AFC_UF*UF_MES)*IF(S679="Indefinido",AFC_INDEF,AFC_PF),0))</f>
        <v/>
      </c>
      <c r="U679" s="62" t="str">
        <f aca="false">IF(C679="","",IF(LEFT(D679,1)="⚠","⚠ RUT no registrado en Trabajadores",IF(B679="","⚠ Falta el mes",IF(OR(ISTEXT(I679),ISTEXT(J679)),"⚠ Atrasos u horas extra como texto: escriba hh:mm (ej. 1:30)",IF(AND(ISNUMBER(Q679),COUNTIFS(M_RUTN,V679,M_MES,B679,M_LIQ,"&lt;&gt;")&gt;1),"⚠ Liquidación repetida en el mes",IF(AND(ISNUMBER(O679),ISNUMBER(P679),ISNUMBER(Q679),ABS(O679-P679-Q679)&gt;1),"⚠ Haberes − descuentos no da el líquido","OK"))))))</f>
        <v/>
      </c>
      <c r="V679" s="62" t="str">
        <f aca="false">IF(C679="","",IFERROR(VALUE(LEFT(UPPER(SUBSTITUTE(SUBSTITUTE(SUBSTITUTE(TRIM(C679),".",""),"-","")," ","")),LEN(UPPER(SUBSTITUTE(SUBSTITUTE(SUBSTITUTE(TRIM(C679),".",""),"-","")," ","")))-1))&amp;RIGHT(UPPER(SUBSTITUTE(SUBSTITUTE(SUBSTITUTE(TRIM(C679),".",""),"-","")," ","")),1),UPPER(SUBSTITUTE(SUBSTITUTE(SUBSTITUTE(TRIM(C679),".",""),"-","")," ",""))))</f>
        <v/>
      </c>
    </row>
    <row r="680" customFormat="false" ht="15" hidden="false" customHeight="false" outlineLevel="0" collapsed="false">
      <c r="B680" s="80"/>
      <c r="C680" s="58"/>
      <c r="D680" s="62" t="str">
        <f aca="false">IF(C680="","",IFERROR(INDEX(T_NOMBRE,MATCH(V680,T_RUTN,0)),"⚠ RUT no está en Trabajadores"))</f>
        <v/>
      </c>
      <c r="E680" s="61"/>
      <c r="F680" s="61"/>
      <c r="G680" s="61"/>
      <c r="H680" s="61"/>
      <c r="I680" s="81"/>
      <c r="J680" s="81"/>
      <c r="K680" s="60"/>
      <c r="L680" s="60"/>
      <c r="M680" s="60"/>
      <c r="N680" s="60"/>
      <c r="O680" s="60"/>
      <c r="P680" s="60"/>
      <c r="Q680" s="60"/>
      <c r="R680" s="58"/>
      <c r="S680" s="62" t="str">
        <f aca="false">IF(OR(B680="",V680=""),"",IFERROR(INDEX(C_TIPO,MATCH(V680&amp;"-P"&amp;MAX(1,COUNTIFS(C_RUTN,V680,C_DEF,"Sí",C_INI,"&lt;="&amp;EOMONTH(B680,0))),C_CLAVE,0))&amp;"","Sin contrato"))</f>
        <v/>
      </c>
      <c r="T680" s="63" t="str">
        <f aca="false">IF(OR(B680="",N(O680)=0),"",N(O680)+ROUND(MIN(N(N680),TOPE_UF*UF_MES)*(TASA_EMP+MUTUAL),0)+ROUND(MIN(N(N680),TOPE_AFC_UF*UF_MES)*IF(S680="Indefinido",AFC_INDEF,AFC_PF),0))</f>
        <v/>
      </c>
      <c r="U680" s="62" t="str">
        <f aca="false">IF(C680="","",IF(LEFT(D680,1)="⚠","⚠ RUT no registrado en Trabajadores",IF(B680="","⚠ Falta el mes",IF(OR(ISTEXT(I680),ISTEXT(J680)),"⚠ Atrasos u horas extra como texto: escriba hh:mm (ej. 1:30)",IF(AND(ISNUMBER(Q680),COUNTIFS(M_RUTN,V680,M_MES,B680,M_LIQ,"&lt;&gt;")&gt;1),"⚠ Liquidación repetida en el mes",IF(AND(ISNUMBER(O680),ISNUMBER(P680),ISNUMBER(Q680),ABS(O680-P680-Q680)&gt;1),"⚠ Haberes − descuentos no da el líquido","OK"))))))</f>
        <v/>
      </c>
      <c r="V680" s="62" t="str">
        <f aca="false">IF(C680="","",IFERROR(VALUE(LEFT(UPPER(SUBSTITUTE(SUBSTITUTE(SUBSTITUTE(TRIM(C680),".",""),"-","")," ","")),LEN(UPPER(SUBSTITUTE(SUBSTITUTE(SUBSTITUTE(TRIM(C680),".",""),"-","")," ","")))-1))&amp;RIGHT(UPPER(SUBSTITUTE(SUBSTITUTE(SUBSTITUTE(TRIM(C680),".",""),"-","")," ","")),1),UPPER(SUBSTITUTE(SUBSTITUTE(SUBSTITUTE(TRIM(C680),".",""),"-","")," ",""))))</f>
        <v/>
      </c>
    </row>
    <row r="681" customFormat="false" ht="15" hidden="false" customHeight="false" outlineLevel="0" collapsed="false">
      <c r="B681" s="80"/>
      <c r="C681" s="58"/>
      <c r="D681" s="62" t="str">
        <f aca="false">IF(C681="","",IFERROR(INDEX(T_NOMBRE,MATCH(V681,T_RUTN,0)),"⚠ RUT no está en Trabajadores"))</f>
        <v/>
      </c>
      <c r="E681" s="61"/>
      <c r="F681" s="61"/>
      <c r="G681" s="61"/>
      <c r="H681" s="61"/>
      <c r="I681" s="81"/>
      <c r="J681" s="81"/>
      <c r="K681" s="60"/>
      <c r="L681" s="60"/>
      <c r="M681" s="60"/>
      <c r="N681" s="60"/>
      <c r="O681" s="60"/>
      <c r="P681" s="60"/>
      <c r="Q681" s="60"/>
      <c r="R681" s="58"/>
      <c r="S681" s="62" t="str">
        <f aca="false">IF(OR(B681="",V681=""),"",IFERROR(INDEX(C_TIPO,MATCH(V681&amp;"-P"&amp;MAX(1,COUNTIFS(C_RUTN,V681,C_DEF,"Sí",C_INI,"&lt;="&amp;EOMONTH(B681,0))),C_CLAVE,0))&amp;"","Sin contrato"))</f>
        <v/>
      </c>
      <c r="T681" s="63" t="str">
        <f aca="false">IF(OR(B681="",N(O681)=0),"",N(O681)+ROUND(MIN(N(N681),TOPE_UF*UF_MES)*(TASA_EMP+MUTUAL),0)+ROUND(MIN(N(N681),TOPE_AFC_UF*UF_MES)*IF(S681="Indefinido",AFC_INDEF,AFC_PF),0))</f>
        <v/>
      </c>
      <c r="U681" s="62" t="str">
        <f aca="false">IF(C681="","",IF(LEFT(D681,1)="⚠","⚠ RUT no registrado en Trabajadores",IF(B681="","⚠ Falta el mes",IF(OR(ISTEXT(I681),ISTEXT(J681)),"⚠ Atrasos u horas extra como texto: escriba hh:mm (ej. 1:30)",IF(AND(ISNUMBER(Q681),COUNTIFS(M_RUTN,V681,M_MES,B681,M_LIQ,"&lt;&gt;")&gt;1),"⚠ Liquidación repetida en el mes",IF(AND(ISNUMBER(O681),ISNUMBER(P681),ISNUMBER(Q681),ABS(O681-P681-Q681)&gt;1),"⚠ Haberes − descuentos no da el líquido","OK"))))))</f>
        <v/>
      </c>
      <c r="V681" s="62" t="str">
        <f aca="false">IF(C681="","",IFERROR(VALUE(LEFT(UPPER(SUBSTITUTE(SUBSTITUTE(SUBSTITUTE(TRIM(C681),".",""),"-","")," ","")),LEN(UPPER(SUBSTITUTE(SUBSTITUTE(SUBSTITUTE(TRIM(C681),".",""),"-","")," ","")))-1))&amp;RIGHT(UPPER(SUBSTITUTE(SUBSTITUTE(SUBSTITUTE(TRIM(C681),".",""),"-","")," ","")),1),UPPER(SUBSTITUTE(SUBSTITUTE(SUBSTITUTE(TRIM(C681),".",""),"-","")," ",""))))</f>
        <v/>
      </c>
    </row>
    <row r="682" customFormat="false" ht="15" hidden="false" customHeight="false" outlineLevel="0" collapsed="false">
      <c r="B682" s="80"/>
      <c r="C682" s="58"/>
      <c r="D682" s="62" t="str">
        <f aca="false">IF(C682="","",IFERROR(INDEX(T_NOMBRE,MATCH(V682,T_RUTN,0)),"⚠ RUT no está en Trabajadores"))</f>
        <v/>
      </c>
      <c r="E682" s="61"/>
      <c r="F682" s="61"/>
      <c r="G682" s="61"/>
      <c r="H682" s="61"/>
      <c r="I682" s="81"/>
      <c r="J682" s="81"/>
      <c r="K682" s="60"/>
      <c r="L682" s="60"/>
      <c r="M682" s="60"/>
      <c r="N682" s="60"/>
      <c r="O682" s="60"/>
      <c r="P682" s="60"/>
      <c r="Q682" s="60"/>
      <c r="R682" s="58"/>
      <c r="S682" s="62" t="str">
        <f aca="false">IF(OR(B682="",V682=""),"",IFERROR(INDEX(C_TIPO,MATCH(V682&amp;"-P"&amp;MAX(1,COUNTIFS(C_RUTN,V682,C_DEF,"Sí",C_INI,"&lt;="&amp;EOMONTH(B682,0))),C_CLAVE,0))&amp;"","Sin contrato"))</f>
        <v/>
      </c>
      <c r="T682" s="63" t="str">
        <f aca="false">IF(OR(B682="",N(O682)=0),"",N(O682)+ROUND(MIN(N(N682),TOPE_UF*UF_MES)*(TASA_EMP+MUTUAL),0)+ROUND(MIN(N(N682),TOPE_AFC_UF*UF_MES)*IF(S682="Indefinido",AFC_INDEF,AFC_PF),0))</f>
        <v/>
      </c>
      <c r="U682" s="62" t="str">
        <f aca="false">IF(C682="","",IF(LEFT(D682,1)="⚠","⚠ RUT no registrado en Trabajadores",IF(B682="","⚠ Falta el mes",IF(OR(ISTEXT(I682),ISTEXT(J682)),"⚠ Atrasos u horas extra como texto: escriba hh:mm (ej. 1:30)",IF(AND(ISNUMBER(Q682),COUNTIFS(M_RUTN,V682,M_MES,B682,M_LIQ,"&lt;&gt;")&gt;1),"⚠ Liquidación repetida en el mes",IF(AND(ISNUMBER(O682),ISNUMBER(P682),ISNUMBER(Q682),ABS(O682-P682-Q682)&gt;1),"⚠ Haberes − descuentos no da el líquido","OK"))))))</f>
        <v/>
      </c>
      <c r="V682" s="62" t="str">
        <f aca="false">IF(C682="","",IFERROR(VALUE(LEFT(UPPER(SUBSTITUTE(SUBSTITUTE(SUBSTITUTE(TRIM(C682),".",""),"-","")," ","")),LEN(UPPER(SUBSTITUTE(SUBSTITUTE(SUBSTITUTE(TRIM(C682),".",""),"-","")," ","")))-1))&amp;RIGHT(UPPER(SUBSTITUTE(SUBSTITUTE(SUBSTITUTE(TRIM(C682),".",""),"-","")," ","")),1),UPPER(SUBSTITUTE(SUBSTITUTE(SUBSTITUTE(TRIM(C682),".",""),"-","")," ",""))))</f>
        <v/>
      </c>
    </row>
    <row r="683" customFormat="false" ht="15" hidden="false" customHeight="false" outlineLevel="0" collapsed="false">
      <c r="B683" s="80"/>
      <c r="C683" s="58"/>
      <c r="D683" s="62" t="str">
        <f aca="false">IF(C683="","",IFERROR(INDEX(T_NOMBRE,MATCH(V683,T_RUTN,0)),"⚠ RUT no está en Trabajadores"))</f>
        <v/>
      </c>
      <c r="E683" s="61"/>
      <c r="F683" s="61"/>
      <c r="G683" s="61"/>
      <c r="H683" s="61"/>
      <c r="I683" s="81"/>
      <c r="J683" s="81"/>
      <c r="K683" s="60"/>
      <c r="L683" s="60"/>
      <c r="M683" s="60"/>
      <c r="N683" s="60"/>
      <c r="O683" s="60"/>
      <c r="P683" s="60"/>
      <c r="Q683" s="60"/>
      <c r="R683" s="58"/>
      <c r="S683" s="62" t="str">
        <f aca="false">IF(OR(B683="",V683=""),"",IFERROR(INDEX(C_TIPO,MATCH(V683&amp;"-P"&amp;MAX(1,COUNTIFS(C_RUTN,V683,C_DEF,"Sí",C_INI,"&lt;="&amp;EOMONTH(B683,0))),C_CLAVE,0))&amp;"","Sin contrato"))</f>
        <v/>
      </c>
      <c r="T683" s="63" t="str">
        <f aca="false">IF(OR(B683="",N(O683)=0),"",N(O683)+ROUND(MIN(N(N683),TOPE_UF*UF_MES)*(TASA_EMP+MUTUAL),0)+ROUND(MIN(N(N683),TOPE_AFC_UF*UF_MES)*IF(S683="Indefinido",AFC_INDEF,AFC_PF),0))</f>
        <v/>
      </c>
      <c r="U683" s="62" t="str">
        <f aca="false">IF(C683="","",IF(LEFT(D683,1)="⚠","⚠ RUT no registrado en Trabajadores",IF(B683="","⚠ Falta el mes",IF(OR(ISTEXT(I683),ISTEXT(J683)),"⚠ Atrasos u horas extra como texto: escriba hh:mm (ej. 1:30)",IF(AND(ISNUMBER(Q683),COUNTIFS(M_RUTN,V683,M_MES,B683,M_LIQ,"&lt;&gt;")&gt;1),"⚠ Liquidación repetida en el mes",IF(AND(ISNUMBER(O683),ISNUMBER(P683),ISNUMBER(Q683),ABS(O683-P683-Q683)&gt;1),"⚠ Haberes − descuentos no da el líquido","OK"))))))</f>
        <v/>
      </c>
      <c r="V683" s="62" t="str">
        <f aca="false">IF(C683="","",IFERROR(VALUE(LEFT(UPPER(SUBSTITUTE(SUBSTITUTE(SUBSTITUTE(TRIM(C683),".",""),"-","")," ","")),LEN(UPPER(SUBSTITUTE(SUBSTITUTE(SUBSTITUTE(TRIM(C683),".",""),"-","")," ","")))-1))&amp;RIGHT(UPPER(SUBSTITUTE(SUBSTITUTE(SUBSTITUTE(TRIM(C683),".",""),"-","")," ","")),1),UPPER(SUBSTITUTE(SUBSTITUTE(SUBSTITUTE(TRIM(C683),".",""),"-","")," ",""))))</f>
        <v/>
      </c>
    </row>
    <row r="684" customFormat="false" ht="15" hidden="false" customHeight="false" outlineLevel="0" collapsed="false">
      <c r="B684" s="80"/>
      <c r="C684" s="58"/>
      <c r="D684" s="62" t="str">
        <f aca="false">IF(C684="","",IFERROR(INDEX(T_NOMBRE,MATCH(V684,T_RUTN,0)),"⚠ RUT no está en Trabajadores"))</f>
        <v/>
      </c>
      <c r="E684" s="61"/>
      <c r="F684" s="61"/>
      <c r="G684" s="61"/>
      <c r="H684" s="61"/>
      <c r="I684" s="81"/>
      <c r="J684" s="81"/>
      <c r="K684" s="60"/>
      <c r="L684" s="60"/>
      <c r="M684" s="60"/>
      <c r="N684" s="60"/>
      <c r="O684" s="60"/>
      <c r="P684" s="60"/>
      <c r="Q684" s="60"/>
      <c r="R684" s="58"/>
      <c r="S684" s="62" t="str">
        <f aca="false">IF(OR(B684="",V684=""),"",IFERROR(INDEX(C_TIPO,MATCH(V684&amp;"-P"&amp;MAX(1,COUNTIFS(C_RUTN,V684,C_DEF,"Sí",C_INI,"&lt;="&amp;EOMONTH(B684,0))),C_CLAVE,0))&amp;"","Sin contrato"))</f>
        <v/>
      </c>
      <c r="T684" s="63" t="str">
        <f aca="false">IF(OR(B684="",N(O684)=0),"",N(O684)+ROUND(MIN(N(N684),TOPE_UF*UF_MES)*(TASA_EMP+MUTUAL),0)+ROUND(MIN(N(N684),TOPE_AFC_UF*UF_MES)*IF(S684="Indefinido",AFC_INDEF,AFC_PF),0))</f>
        <v/>
      </c>
      <c r="U684" s="62" t="str">
        <f aca="false">IF(C684="","",IF(LEFT(D684,1)="⚠","⚠ RUT no registrado en Trabajadores",IF(B684="","⚠ Falta el mes",IF(OR(ISTEXT(I684),ISTEXT(J684)),"⚠ Atrasos u horas extra como texto: escriba hh:mm (ej. 1:30)",IF(AND(ISNUMBER(Q684),COUNTIFS(M_RUTN,V684,M_MES,B684,M_LIQ,"&lt;&gt;")&gt;1),"⚠ Liquidación repetida en el mes",IF(AND(ISNUMBER(O684),ISNUMBER(P684),ISNUMBER(Q684),ABS(O684-P684-Q684)&gt;1),"⚠ Haberes − descuentos no da el líquido","OK"))))))</f>
        <v/>
      </c>
      <c r="V684" s="62" t="str">
        <f aca="false">IF(C684="","",IFERROR(VALUE(LEFT(UPPER(SUBSTITUTE(SUBSTITUTE(SUBSTITUTE(TRIM(C684),".",""),"-","")," ","")),LEN(UPPER(SUBSTITUTE(SUBSTITUTE(SUBSTITUTE(TRIM(C684),".",""),"-","")," ","")))-1))&amp;RIGHT(UPPER(SUBSTITUTE(SUBSTITUTE(SUBSTITUTE(TRIM(C684),".",""),"-","")," ","")),1),UPPER(SUBSTITUTE(SUBSTITUTE(SUBSTITUTE(TRIM(C684),".",""),"-","")," ",""))))</f>
        <v/>
      </c>
    </row>
    <row r="685" customFormat="false" ht="15" hidden="false" customHeight="false" outlineLevel="0" collapsed="false">
      <c r="B685" s="80"/>
      <c r="C685" s="58"/>
      <c r="D685" s="62" t="str">
        <f aca="false">IF(C685="","",IFERROR(INDEX(T_NOMBRE,MATCH(V685,T_RUTN,0)),"⚠ RUT no está en Trabajadores"))</f>
        <v/>
      </c>
      <c r="E685" s="61"/>
      <c r="F685" s="61"/>
      <c r="G685" s="61"/>
      <c r="H685" s="61"/>
      <c r="I685" s="81"/>
      <c r="J685" s="81"/>
      <c r="K685" s="60"/>
      <c r="L685" s="60"/>
      <c r="M685" s="60"/>
      <c r="N685" s="60"/>
      <c r="O685" s="60"/>
      <c r="P685" s="60"/>
      <c r="Q685" s="60"/>
      <c r="R685" s="58"/>
      <c r="S685" s="62" t="str">
        <f aca="false">IF(OR(B685="",V685=""),"",IFERROR(INDEX(C_TIPO,MATCH(V685&amp;"-P"&amp;MAX(1,COUNTIFS(C_RUTN,V685,C_DEF,"Sí",C_INI,"&lt;="&amp;EOMONTH(B685,0))),C_CLAVE,0))&amp;"","Sin contrato"))</f>
        <v/>
      </c>
      <c r="T685" s="63" t="str">
        <f aca="false">IF(OR(B685="",N(O685)=0),"",N(O685)+ROUND(MIN(N(N685),TOPE_UF*UF_MES)*(TASA_EMP+MUTUAL),0)+ROUND(MIN(N(N685),TOPE_AFC_UF*UF_MES)*IF(S685="Indefinido",AFC_INDEF,AFC_PF),0))</f>
        <v/>
      </c>
      <c r="U685" s="62" t="str">
        <f aca="false">IF(C685="","",IF(LEFT(D685,1)="⚠","⚠ RUT no registrado en Trabajadores",IF(B685="","⚠ Falta el mes",IF(OR(ISTEXT(I685),ISTEXT(J685)),"⚠ Atrasos u horas extra como texto: escriba hh:mm (ej. 1:30)",IF(AND(ISNUMBER(Q685),COUNTIFS(M_RUTN,V685,M_MES,B685,M_LIQ,"&lt;&gt;")&gt;1),"⚠ Liquidación repetida en el mes",IF(AND(ISNUMBER(O685),ISNUMBER(P685),ISNUMBER(Q685),ABS(O685-P685-Q685)&gt;1),"⚠ Haberes − descuentos no da el líquido","OK"))))))</f>
        <v/>
      </c>
      <c r="V685" s="62" t="str">
        <f aca="false">IF(C685="","",IFERROR(VALUE(LEFT(UPPER(SUBSTITUTE(SUBSTITUTE(SUBSTITUTE(TRIM(C685),".",""),"-","")," ","")),LEN(UPPER(SUBSTITUTE(SUBSTITUTE(SUBSTITUTE(TRIM(C685),".",""),"-","")," ","")))-1))&amp;RIGHT(UPPER(SUBSTITUTE(SUBSTITUTE(SUBSTITUTE(TRIM(C685),".",""),"-","")," ","")),1),UPPER(SUBSTITUTE(SUBSTITUTE(SUBSTITUTE(TRIM(C685),".",""),"-","")," ",""))))</f>
        <v/>
      </c>
    </row>
    <row r="686" customFormat="false" ht="15" hidden="false" customHeight="false" outlineLevel="0" collapsed="false">
      <c r="B686" s="80"/>
      <c r="C686" s="58"/>
      <c r="D686" s="62" t="str">
        <f aca="false">IF(C686="","",IFERROR(INDEX(T_NOMBRE,MATCH(V686,T_RUTN,0)),"⚠ RUT no está en Trabajadores"))</f>
        <v/>
      </c>
      <c r="E686" s="61"/>
      <c r="F686" s="61"/>
      <c r="G686" s="61"/>
      <c r="H686" s="61"/>
      <c r="I686" s="81"/>
      <c r="J686" s="81"/>
      <c r="K686" s="60"/>
      <c r="L686" s="60"/>
      <c r="M686" s="60"/>
      <c r="N686" s="60"/>
      <c r="O686" s="60"/>
      <c r="P686" s="60"/>
      <c r="Q686" s="60"/>
      <c r="R686" s="58"/>
      <c r="S686" s="62" t="str">
        <f aca="false">IF(OR(B686="",V686=""),"",IFERROR(INDEX(C_TIPO,MATCH(V686&amp;"-P"&amp;MAX(1,COUNTIFS(C_RUTN,V686,C_DEF,"Sí",C_INI,"&lt;="&amp;EOMONTH(B686,0))),C_CLAVE,0))&amp;"","Sin contrato"))</f>
        <v/>
      </c>
      <c r="T686" s="63" t="str">
        <f aca="false">IF(OR(B686="",N(O686)=0),"",N(O686)+ROUND(MIN(N(N686),TOPE_UF*UF_MES)*(TASA_EMP+MUTUAL),0)+ROUND(MIN(N(N686),TOPE_AFC_UF*UF_MES)*IF(S686="Indefinido",AFC_INDEF,AFC_PF),0))</f>
        <v/>
      </c>
      <c r="U686" s="62" t="str">
        <f aca="false">IF(C686="","",IF(LEFT(D686,1)="⚠","⚠ RUT no registrado en Trabajadores",IF(B686="","⚠ Falta el mes",IF(OR(ISTEXT(I686),ISTEXT(J686)),"⚠ Atrasos u horas extra como texto: escriba hh:mm (ej. 1:30)",IF(AND(ISNUMBER(Q686),COUNTIFS(M_RUTN,V686,M_MES,B686,M_LIQ,"&lt;&gt;")&gt;1),"⚠ Liquidación repetida en el mes",IF(AND(ISNUMBER(O686),ISNUMBER(P686),ISNUMBER(Q686),ABS(O686-P686-Q686)&gt;1),"⚠ Haberes − descuentos no da el líquido","OK"))))))</f>
        <v/>
      </c>
      <c r="V686" s="62" t="str">
        <f aca="false">IF(C686="","",IFERROR(VALUE(LEFT(UPPER(SUBSTITUTE(SUBSTITUTE(SUBSTITUTE(TRIM(C686),".",""),"-","")," ","")),LEN(UPPER(SUBSTITUTE(SUBSTITUTE(SUBSTITUTE(TRIM(C686),".",""),"-","")," ","")))-1))&amp;RIGHT(UPPER(SUBSTITUTE(SUBSTITUTE(SUBSTITUTE(TRIM(C686),".",""),"-","")," ","")),1),UPPER(SUBSTITUTE(SUBSTITUTE(SUBSTITUTE(TRIM(C686),".",""),"-","")," ",""))))</f>
        <v/>
      </c>
    </row>
    <row r="687" customFormat="false" ht="15" hidden="false" customHeight="false" outlineLevel="0" collapsed="false">
      <c r="B687" s="80"/>
      <c r="C687" s="58"/>
      <c r="D687" s="62" t="str">
        <f aca="false">IF(C687="","",IFERROR(INDEX(T_NOMBRE,MATCH(V687,T_RUTN,0)),"⚠ RUT no está en Trabajadores"))</f>
        <v/>
      </c>
      <c r="E687" s="61"/>
      <c r="F687" s="61"/>
      <c r="G687" s="61"/>
      <c r="H687" s="61"/>
      <c r="I687" s="81"/>
      <c r="J687" s="81"/>
      <c r="K687" s="60"/>
      <c r="L687" s="60"/>
      <c r="M687" s="60"/>
      <c r="N687" s="60"/>
      <c r="O687" s="60"/>
      <c r="P687" s="60"/>
      <c r="Q687" s="60"/>
      <c r="R687" s="58"/>
      <c r="S687" s="62" t="str">
        <f aca="false">IF(OR(B687="",V687=""),"",IFERROR(INDEX(C_TIPO,MATCH(V687&amp;"-P"&amp;MAX(1,COUNTIFS(C_RUTN,V687,C_DEF,"Sí",C_INI,"&lt;="&amp;EOMONTH(B687,0))),C_CLAVE,0))&amp;"","Sin contrato"))</f>
        <v/>
      </c>
      <c r="T687" s="63" t="str">
        <f aca="false">IF(OR(B687="",N(O687)=0),"",N(O687)+ROUND(MIN(N(N687),TOPE_UF*UF_MES)*(TASA_EMP+MUTUAL),0)+ROUND(MIN(N(N687),TOPE_AFC_UF*UF_MES)*IF(S687="Indefinido",AFC_INDEF,AFC_PF),0))</f>
        <v/>
      </c>
      <c r="U687" s="62" t="str">
        <f aca="false">IF(C687="","",IF(LEFT(D687,1)="⚠","⚠ RUT no registrado en Trabajadores",IF(B687="","⚠ Falta el mes",IF(OR(ISTEXT(I687),ISTEXT(J687)),"⚠ Atrasos u horas extra como texto: escriba hh:mm (ej. 1:30)",IF(AND(ISNUMBER(Q687),COUNTIFS(M_RUTN,V687,M_MES,B687,M_LIQ,"&lt;&gt;")&gt;1),"⚠ Liquidación repetida en el mes",IF(AND(ISNUMBER(O687),ISNUMBER(P687),ISNUMBER(Q687),ABS(O687-P687-Q687)&gt;1),"⚠ Haberes − descuentos no da el líquido","OK"))))))</f>
        <v/>
      </c>
      <c r="V687" s="62" t="str">
        <f aca="false">IF(C687="","",IFERROR(VALUE(LEFT(UPPER(SUBSTITUTE(SUBSTITUTE(SUBSTITUTE(TRIM(C687),".",""),"-","")," ","")),LEN(UPPER(SUBSTITUTE(SUBSTITUTE(SUBSTITUTE(TRIM(C687),".",""),"-","")," ","")))-1))&amp;RIGHT(UPPER(SUBSTITUTE(SUBSTITUTE(SUBSTITUTE(TRIM(C687),".",""),"-","")," ","")),1),UPPER(SUBSTITUTE(SUBSTITUTE(SUBSTITUTE(TRIM(C687),".",""),"-","")," ",""))))</f>
        <v/>
      </c>
    </row>
    <row r="688" customFormat="false" ht="15" hidden="false" customHeight="false" outlineLevel="0" collapsed="false">
      <c r="B688" s="80"/>
      <c r="C688" s="58"/>
      <c r="D688" s="62" t="str">
        <f aca="false">IF(C688="","",IFERROR(INDEX(T_NOMBRE,MATCH(V688,T_RUTN,0)),"⚠ RUT no está en Trabajadores"))</f>
        <v/>
      </c>
      <c r="E688" s="61"/>
      <c r="F688" s="61"/>
      <c r="G688" s="61"/>
      <c r="H688" s="61"/>
      <c r="I688" s="81"/>
      <c r="J688" s="81"/>
      <c r="K688" s="60"/>
      <c r="L688" s="60"/>
      <c r="M688" s="60"/>
      <c r="N688" s="60"/>
      <c r="O688" s="60"/>
      <c r="P688" s="60"/>
      <c r="Q688" s="60"/>
      <c r="R688" s="58"/>
      <c r="S688" s="62" t="str">
        <f aca="false">IF(OR(B688="",V688=""),"",IFERROR(INDEX(C_TIPO,MATCH(V688&amp;"-P"&amp;MAX(1,COUNTIFS(C_RUTN,V688,C_DEF,"Sí",C_INI,"&lt;="&amp;EOMONTH(B688,0))),C_CLAVE,0))&amp;"","Sin contrato"))</f>
        <v/>
      </c>
      <c r="T688" s="63" t="str">
        <f aca="false">IF(OR(B688="",N(O688)=0),"",N(O688)+ROUND(MIN(N(N688),TOPE_UF*UF_MES)*(TASA_EMP+MUTUAL),0)+ROUND(MIN(N(N688),TOPE_AFC_UF*UF_MES)*IF(S688="Indefinido",AFC_INDEF,AFC_PF),0))</f>
        <v/>
      </c>
      <c r="U688" s="62" t="str">
        <f aca="false">IF(C688="","",IF(LEFT(D688,1)="⚠","⚠ RUT no registrado en Trabajadores",IF(B688="","⚠ Falta el mes",IF(OR(ISTEXT(I688),ISTEXT(J688)),"⚠ Atrasos u horas extra como texto: escriba hh:mm (ej. 1:30)",IF(AND(ISNUMBER(Q688),COUNTIFS(M_RUTN,V688,M_MES,B688,M_LIQ,"&lt;&gt;")&gt;1),"⚠ Liquidación repetida en el mes",IF(AND(ISNUMBER(O688),ISNUMBER(P688),ISNUMBER(Q688),ABS(O688-P688-Q688)&gt;1),"⚠ Haberes − descuentos no da el líquido","OK"))))))</f>
        <v/>
      </c>
      <c r="V688" s="62" t="str">
        <f aca="false">IF(C688="","",IFERROR(VALUE(LEFT(UPPER(SUBSTITUTE(SUBSTITUTE(SUBSTITUTE(TRIM(C688),".",""),"-","")," ","")),LEN(UPPER(SUBSTITUTE(SUBSTITUTE(SUBSTITUTE(TRIM(C688),".",""),"-","")," ","")))-1))&amp;RIGHT(UPPER(SUBSTITUTE(SUBSTITUTE(SUBSTITUTE(TRIM(C688),".",""),"-","")," ","")),1),UPPER(SUBSTITUTE(SUBSTITUTE(SUBSTITUTE(TRIM(C688),".",""),"-","")," ",""))))</f>
        <v/>
      </c>
    </row>
    <row r="689" customFormat="false" ht="15" hidden="false" customHeight="false" outlineLevel="0" collapsed="false">
      <c r="B689" s="80"/>
      <c r="C689" s="58"/>
      <c r="D689" s="62" t="str">
        <f aca="false">IF(C689="","",IFERROR(INDEX(T_NOMBRE,MATCH(V689,T_RUTN,0)),"⚠ RUT no está en Trabajadores"))</f>
        <v/>
      </c>
      <c r="E689" s="61"/>
      <c r="F689" s="61"/>
      <c r="G689" s="61"/>
      <c r="H689" s="61"/>
      <c r="I689" s="81"/>
      <c r="J689" s="81"/>
      <c r="K689" s="60"/>
      <c r="L689" s="60"/>
      <c r="M689" s="60"/>
      <c r="N689" s="60"/>
      <c r="O689" s="60"/>
      <c r="P689" s="60"/>
      <c r="Q689" s="60"/>
      <c r="R689" s="58"/>
      <c r="S689" s="62" t="str">
        <f aca="false">IF(OR(B689="",V689=""),"",IFERROR(INDEX(C_TIPO,MATCH(V689&amp;"-P"&amp;MAX(1,COUNTIFS(C_RUTN,V689,C_DEF,"Sí",C_INI,"&lt;="&amp;EOMONTH(B689,0))),C_CLAVE,0))&amp;"","Sin contrato"))</f>
        <v/>
      </c>
      <c r="T689" s="63" t="str">
        <f aca="false">IF(OR(B689="",N(O689)=0),"",N(O689)+ROUND(MIN(N(N689),TOPE_UF*UF_MES)*(TASA_EMP+MUTUAL),0)+ROUND(MIN(N(N689),TOPE_AFC_UF*UF_MES)*IF(S689="Indefinido",AFC_INDEF,AFC_PF),0))</f>
        <v/>
      </c>
      <c r="U689" s="62" t="str">
        <f aca="false">IF(C689="","",IF(LEFT(D689,1)="⚠","⚠ RUT no registrado en Trabajadores",IF(B689="","⚠ Falta el mes",IF(OR(ISTEXT(I689),ISTEXT(J689)),"⚠ Atrasos u horas extra como texto: escriba hh:mm (ej. 1:30)",IF(AND(ISNUMBER(Q689),COUNTIFS(M_RUTN,V689,M_MES,B689,M_LIQ,"&lt;&gt;")&gt;1),"⚠ Liquidación repetida en el mes",IF(AND(ISNUMBER(O689),ISNUMBER(P689),ISNUMBER(Q689),ABS(O689-P689-Q689)&gt;1),"⚠ Haberes − descuentos no da el líquido","OK"))))))</f>
        <v/>
      </c>
      <c r="V689" s="62" t="str">
        <f aca="false">IF(C689="","",IFERROR(VALUE(LEFT(UPPER(SUBSTITUTE(SUBSTITUTE(SUBSTITUTE(TRIM(C689),".",""),"-","")," ","")),LEN(UPPER(SUBSTITUTE(SUBSTITUTE(SUBSTITUTE(TRIM(C689),".",""),"-","")," ","")))-1))&amp;RIGHT(UPPER(SUBSTITUTE(SUBSTITUTE(SUBSTITUTE(TRIM(C689),".",""),"-","")," ","")),1),UPPER(SUBSTITUTE(SUBSTITUTE(SUBSTITUTE(TRIM(C689),".",""),"-","")," ",""))))</f>
        <v/>
      </c>
    </row>
    <row r="690" customFormat="false" ht="15" hidden="false" customHeight="false" outlineLevel="0" collapsed="false">
      <c r="B690" s="80"/>
      <c r="C690" s="58"/>
      <c r="D690" s="62" t="str">
        <f aca="false">IF(C690="","",IFERROR(INDEX(T_NOMBRE,MATCH(V690,T_RUTN,0)),"⚠ RUT no está en Trabajadores"))</f>
        <v/>
      </c>
      <c r="E690" s="61"/>
      <c r="F690" s="61"/>
      <c r="G690" s="61"/>
      <c r="H690" s="61"/>
      <c r="I690" s="81"/>
      <c r="J690" s="81"/>
      <c r="K690" s="60"/>
      <c r="L690" s="60"/>
      <c r="M690" s="60"/>
      <c r="N690" s="60"/>
      <c r="O690" s="60"/>
      <c r="P690" s="60"/>
      <c r="Q690" s="60"/>
      <c r="R690" s="58"/>
      <c r="S690" s="62" t="str">
        <f aca="false">IF(OR(B690="",V690=""),"",IFERROR(INDEX(C_TIPO,MATCH(V690&amp;"-P"&amp;MAX(1,COUNTIFS(C_RUTN,V690,C_DEF,"Sí",C_INI,"&lt;="&amp;EOMONTH(B690,0))),C_CLAVE,0))&amp;"","Sin contrato"))</f>
        <v/>
      </c>
      <c r="T690" s="63" t="str">
        <f aca="false">IF(OR(B690="",N(O690)=0),"",N(O690)+ROUND(MIN(N(N690),TOPE_UF*UF_MES)*(TASA_EMP+MUTUAL),0)+ROUND(MIN(N(N690),TOPE_AFC_UF*UF_MES)*IF(S690="Indefinido",AFC_INDEF,AFC_PF),0))</f>
        <v/>
      </c>
      <c r="U690" s="62" t="str">
        <f aca="false">IF(C690="","",IF(LEFT(D690,1)="⚠","⚠ RUT no registrado en Trabajadores",IF(B690="","⚠ Falta el mes",IF(OR(ISTEXT(I690),ISTEXT(J690)),"⚠ Atrasos u horas extra como texto: escriba hh:mm (ej. 1:30)",IF(AND(ISNUMBER(Q690),COUNTIFS(M_RUTN,V690,M_MES,B690,M_LIQ,"&lt;&gt;")&gt;1),"⚠ Liquidación repetida en el mes",IF(AND(ISNUMBER(O690),ISNUMBER(P690),ISNUMBER(Q690),ABS(O690-P690-Q690)&gt;1),"⚠ Haberes − descuentos no da el líquido","OK"))))))</f>
        <v/>
      </c>
      <c r="V690" s="62" t="str">
        <f aca="false">IF(C690="","",IFERROR(VALUE(LEFT(UPPER(SUBSTITUTE(SUBSTITUTE(SUBSTITUTE(TRIM(C690),".",""),"-","")," ","")),LEN(UPPER(SUBSTITUTE(SUBSTITUTE(SUBSTITUTE(TRIM(C690),".",""),"-","")," ","")))-1))&amp;RIGHT(UPPER(SUBSTITUTE(SUBSTITUTE(SUBSTITUTE(TRIM(C690),".",""),"-","")," ","")),1),UPPER(SUBSTITUTE(SUBSTITUTE(SUBSTITUTE(TRIM(C690),".",""),"-","")," ",""))))</f>
        <v/>
      </c>
    </row>
    <row r="691" customFormat="false" ht="15" hidden="false" customHeight="false" outlineLevel="0" collapsed="false">
      <c r="B691" s="80"/>
      <c r="C691" s="58"/>
      <c r="D691" s="62" t="str">
        <f aca="false">IF(C691="","",IFERROR(INDEX(T_NOMBRE,MATCH(V691,T_RUTN,0)),"⚠ RUT no está en Trabajadores"))</f>
        <v/>
      </c>
      <c r="E691" s="61"/>
      <c r="F691" s="61"/>
      <c r="G691" s="61"/>
      <c r="H691" s="61"/>
      <c r="I691" s="81"/>
      <c r="J691" s="81"/>
      <c r="K691" s="60"/>
      <c r="L691" s="60"/>
      <c r="M691" s="60"/>
      <c r="N691" s="60"/>
      <c r="O691" s="60"/>
      <c r="P691" s="60"/>
      <c r="Q691" s="60"/>
      <c r="R691" s="58"/>
      <c r="S691" s="62" t="str">
        <f aca="false">IF(OR(B691="",V691=""),"",IFERROR(INDEX(C_TIPO,MATCH(V691&amp;"-P"&amp;MAX(1,COUNTIFS(C_RUTN,V691,C_DEF,"Sí",C_INI,"&lt;="&amp;EOMONTH(B691,0))),C_CLAVE,0))&amp;"","Sin contrato"))</f>
        <v/>
      </c>
      <c r="T691" s="63" t="str">
        <f aca="false">IF(OR(B691="",N(O691)=0),"",N(O691)+ROUND(MIN(N(N691),TOPE_UF*UF_MES)*(TASA_EMP+MUTUAL),0)+ROUND(MIN(N(N691),TOPE_AFC_UF*UF_MES)*IF(S691="Indefinido",AFC_INDEF,AFC_PF),0))</f>
        <v/>
      </c>
      <c r="U691" s="62" t="str">
        <f aca="false">IF(C691="","",IF(LEFT(D691,1)="⚠","⚠ RUT no registrado en Trabajadores",IF(B691="","⚠ Falta el mes",IF(OR(ISTEXT(I691),ISTEXT(J691)),"⚠ Atrasos u horas extra como texto: escriba hh:mm (ej. 1:30)",IF(AND(ISNUMBER(Q691),COUNTIFS(M_RUTN,V691,M_MES,B691,M_LIQ,"&lt;&gt;")&gt;1),"⚠ Liquidación repetida en el mes",IF(AND(ISNUMBER(O691),ISNUMBER(P691),ISNUMBER(Q691),ABS(O691-P691-Q691)&gt;1),"⚠ Haberes − descuentos no da el líquido","OK"))))))</f>
        <v/>
      </c>
      <c r="V691" s="62" t="str">
        <f aca="false">IF(C691="","",IFERROR(VALUE(LEFT(UPPER(SUBSTITUTE(SUBSTITUTE(SUBSTITUTE(TRIM(C691),".",""),"-","")," ","")),LEN(UPPER(SUBSTITUTE(SUBSTITUTE(SUBSTITUTE(TRIM(C691),".",""),"-","")," ","")))-1))&amp;RIGHT(UPPER(SUBSTITUTE(SUBSTITUTE(SUBSTITUTE(TRIM(C691),".",""),"-","")," ","")),1),UPPER(SUBSTITUTE(SUBSTITUTE(SUBSTITUTE(TRIM(C691),".",""),"-","")," ",""))))</f>
        <v/>
      </c>
    </row>
    <row r="692" customFormat="false" ht="15" hidden="false" customHeight="false" outlineLevel="0" collapsed="false">
      <c r="B692" s="80"/>
      <c r="C692" s="58"/>
      <c r="D692" s="62" t="str">
        <f aca="false">IF(C692="","",IFERROR(INDEX(T_NOMBRE,MATCH(V692,T_RUTN,0)),"⚠ RUT no está en Trabajadores"))</f>
        <v/>
      </c>
      <c r="E692" s="61"/>
      <c r="F692" s="61"/>
      <c r="G692" s="61"/>
      <c r="H692" s="61"/>
      <c r="I692" s="81"/>
      <c r="J692" s="81"/>
      <c r="K692" s="60"/>
      <c r="L692" s="60"/>
      <c r="M692" s="60"/>
      <c r="N692" s="60"/>
      <c r="O692" s="60"/>
      <c r="P692" s="60"/>
      <c r="Q692" s="60"/>
      <c r="R692" s="58"/>
      <c r="S692" s="62" t="str">
        <f aca="false">IF(OR(B692="",V692=""),"",IFERROR(INDEX(C_TIPO,MATCH(V692&amp;"-P"&amp;MAX(1,COUNTIFS(C_RUTN,V692,C_DEF,"Sí",C_INI,"&lt;="&amp;EOMONTH(B692,0))),C_CLAVE,0))&amp;"","Sin contrato"))</f>
        <v/>
      </c>
      <c r="T692" s="63" t="str">
        <f aca="false">IF(OR(B692="",N(O692)=0),"",N(O692)+ROUND(MIN(N(N692),TOPE_UF*UF_MES)*(TASA_EMP+MUTUAL),0)+ROUND(MIN(N(N692),TOPE_AFC_UF*UF_MES)*IF(S692="Indefinido",AFC_INDEF,AFC_PF),0))</f>
        <v/>
      </c>
      <c r="U692" s="62" t="str">
        <f aca="false">IF(C692="","",IF(LEFT(D692,1)="⚠","⚠ RUT no registrado en Trabajadores",IF(B692="","⚠ Falta el mes",IF(OR(ISTEXT(I692),ISTEXT(J692)),"⚠ Atrasos u horas extra como texto: escriba hh:mm (ej. 1:30)",IF(AND(ISNUMBER(Q692),COUNTIFS(M_RUTN,V692,M_MES,B692,M_LIQ,"&lt;&gt;")&gt;1),"⚠ Liquidación repetida en el mes",IF(AND(ISNUMBER(O692),ISNUMBER(P692),ISNUMBER(Q692),ABS(O692-P692-Q692)&gt;1),"⚠ Haberes − descuentos no da el líquido","OK"))))))</f>
        <v/>
      </c>
      <c r="V692" s="62" t="str">
        <f aca="false">IF(C692="","",IFERROR(VALUE(LEFT(UPPER(SUBSTITUTE(SUBSTITUTE(SUBSTITUTE(TRIM(C692),".",""),"-","")," ","")),LEN(UPPER(SUBSTITUTE(SUBSTITUTE(SUBSTITUTE(TRIM(C692),".",""),"-","")," ","")))-1))&amp;RIGHT(UPPER(SUBSTITUTE(SUBSTITUTE(SUBSTITUTE(TRIM(C692),".",""),"-","")," ","")),1),UPPER(SUBSTITUTE(SUBSTITUTE(SUBSTITUTE(TRIM(C692),".",""),"-","")," ",""))))</f>
        <v/>
      </c>
    </row>
    <row r="693" customFormat="false" ht="15" hidden="false" customHeight="false" outlineLevel="0" collapsed="false">
      <c r="B693" s="80"/>
      <c r="C693" s="58"/>
      <c r="D693" s="62" t="str">
        <f aca="false">IF(C693="","",IFERROR(INDEX(T_NOMBRE,MATCH(V693,T_RUTN,0)),"⚠ RUT no está en Trabajadores"))</f>
        <v/>
      </c>
      <c r="E693" s="61"/>
      <c r="F693" s="61"/>
      <c r="G693" s="61"/>
      <c r="H693" s="61"/>
      <c r="I693" s="81"/>
      <c r="J693" s="81"/>
      <c r="K693" s="60"/>
      <c r="L693" s="60"/>
      <c r="M693" s="60"/>
      <c r="N693" s="60"/>
      <c r="O693" s="60"/>
      <c r="P693" s="60"/>
      <c r="Q693" s="60"/>
      <c r="R693" s="58"/>
      <c r="S693" s="62" t="str">
        <f aca="false">IF(OR(B693="",V693=""),"",IFERROR(INDEX(C_TIPO,MATCH(V693&amp;"-P"&amp;MAX(1,COUNTIFS(C_RUTN,V693,C_DEF,"Sí",C_INI,"&lt;="&amp;EOMONTH(B693,0))),C_CLAVE,0))&amp;"","Sin contrato"))</f>
        <v/>
      </c>
      <c r="T693" s="63" t="str">
        <f aca="false">IF(OR(B693="",N(O693)=0),"",N(O693)+ROUND(MIN(N(N693),TOPE_UF*UF_MES)*(TASA_EMP+MUTUAL),0)+ROUND(MIN(N(N693),TOPE_AFC_UF*UF_MES)*IF(S693="Indefinido",AFC_INDEF,AFC_PF),0))</f>
        <v/>
      </c>
      <c r="U693" s="62" t="str">
        <f aca="false">IF(C693="","",IF(LEFT(D693,1)="⚠","⚠ RUT no registrado en Trabajadores",IF(B693="","⚠ Falta el mes",IF(OR(ISTEXT(I693),ISTEXT(J693)),"⚠ Atrasos u horas extra como texto: escriba hh:mm (ej. 1:30)",IF(AND(ISNUMBER(Q693),COUNTIFS(M_RUTN,V693,M_MES,B693,M_LIQ,"&lt;&gt;")&gt;1),"⚠ Liquidación repetida en el mes",IF(AND(ISNUMBER(O693),ISNUMBER(P693),ISNUMBER(Q693),ABS(O693-P693-Q693)&gt;1),"⚠ Haberes − descuentos no da el líquido","OK"))))))</f>
        <v/>
      </c>
      <c r="V693" s="62" t="str">
        <f aca="false">IF(C693="","",IFERROR(VALUE(LEFT(UPPER(SUBSTITUTE(SUBSTITUTE(SUBSTITUTE(TRIM(C693),".",""),"-","")," ","")),LEN(UPPER(SUBSTITUTE(SUBSTITUTE(SUBSTITUTE(TRIM(C693),".",""),"-","")," ","")))-1))&amp;RIGHT(UPPER(SUBSTITUTE(SUBSTITUTE(SUBSTITUTE(TRIM(C693),".",""),"-","")," ","")),1),UPPER(SUBSTITUTE(SUBSTITUTE(SUBSTITUTE(TRIM(C693),".",""),"-","")," ",""))))</f>
        <v/>
      </c>
    </row>
    <row r="694" customFormat="false" ht="15" hidden="false" customHeight="false" outlineLevel="0" collapsed="false">
      <c r="B694" s="80"/>
      <c r="C694" s="58"/>
      <c r="D694" s="62" t="str">
        <f aca="false">IF(C694="","",IFERROR(INDEX(T_NOMBRE,MATCH(V694,T_RUTN,0)),"⚠ RUT no está en Trabajadores"))</f>
        <v/>
      </c>
      <c r="E694" s="61"/>
      <c r="F694" s="61"/>
      <c r="G694" s="61"/>
      <c r="H694" s="61"/>
      <c r="I694" s="81"/>
      <c r="J694" s="81"/>
      <c r="K694" s="60"/>
      <c r="L694" s="60"/>
      <c r="M694" s="60"/>
      <c r="N694" s="60"/>
      <c r="O694" s="60"/>
      <c r="P694" s="60"/>
      <c r="Q694" s="60"/>
      <c r="R694" s="58"/>
      <c r="S694" s="62" t="str">
        <f aca="false">IF(OR(B694="",V694=""),"",IFERROR(INDEX(C_TIPO,MATCH(V694&amp;"-P"&amp;MAX(1,COUNTIFS(C_RUTN,V694,C_DEF,"Sí",C_INI,"&lt;="&amp;EOMONTH(B694,0))),C_CLAVE,0))&amp;"","Sin contrato"))</f>
        <v/>
      </c>
      <c r="T694" s="63" t="str">
        <f aca="false">IF(OR(B694="",N(O694)=0),"",N(O694)+ROUND(MIN(N(N694),TOPE_UF*UF_MES)*(TASA_EMP+MUTUAL),0)+ROUND(MIN(N(N694),TOPE_AFC_UF*UF_MES)*IF(S694="Indefinido",AFC_INDEF,AFC_PF),0))</f>
        <v/>
      </c>
      <c r="U694" s="62" t="str">
        <f aca="false">IF(C694="","",IF(LEFT(D694,1)="⚠","⚠ RUT no registrado en Trabajadores",IF(B694="","⚠ Falta el mes",IF(OR(ISTEXT(I694),ISTEXT(J694)),"⚠ Atrasos u horas extra como texto: escriba hh:mm (ej. 1:30)",IF(AND(ISNUMBER(Q694),COUNTIFS(M_RUTN,V694,M_MES,B694,M_LIQ,"&lt;&gt;")&gt;1),"⚠ Liquidación repetida en el mes",IF(AND(ISNUMBER(O694),ISNUMBER(P694),ISNUMBER(Q694),ABS(O694-P694-Q694)&gt;1),"⚠ Haberes − descuentos no da el líquido","OK"))))))</f>
        <v/>
      </c>
      <c r="V694" s="62" t="str">
        <f aca="false">IF(C694="","",IFERROR(VALUE(LEFT(UPPER(SUBSTITUTE(SUBSTITUTE(SUBSTITUTE(TRIM(C694),".",""),"-","")," ","")),LEN(UPPER(SUBSTITUTE(SUBSTITUTE(SUBSTITUTE(TRIM(C694),".",""),"-","")," ","")))-1))&amp;RIGHT(UPPER(SUBSTITUTE(SUBSTITUTE(SUBSTITUTE(TRIM(C694),".",""),"-","")," ","")),1),UPPER(SUBSTITUTE(SUBSTITUTE(SUBSTITUTE(TRIM(C694),".",""),"-","")," ",""))))</f>
        <v/>
      </c>
    </row>
    <row r="695" customFormat="false" ht="15" hidden="false" customHeight="false" outlineLevel="0" collapsed="false">
      <c r="B695" s="80"/>
      <c r="C695" s="58"/>
      <c r="D695" s="62" t="str">
        <f aca="false">IF(C695="","",IFERROR(INDEX(T_NOMBRE,MATCH(V695,T_RUTN,0)),"⚠ RUT no está en Trabajadores"))</f>
        <v/>
      </c>
      <c r="E695" s="61"/>
      <c r="F695" s="61"/>
      <c r="G695" s="61"/>
      <c r="H695" s="61"/>
      <c r="I695" s="81"/>
      <c r="J695" s="81"/>
      <c r="K695" s="60"/>
      <c r="L695" s="60"/>
      <c r="M695" s="60"/>
      <c r="N695" s="60"/>
      <c r="O695" s="60"/>
      <c r="P695" s="60"/>
      <c r="Q695" s="60"/>
      <c r="R695" s="58"/>
      <c r="S695" s="62" t="str">
        <f aca="false">IF(OR(B695="",V695=""),"",IFERROR(INDEX(C_TIPO,MATCH(V695&amp;"-P"&amp;MAX(1,COUNTIFS(C_RUTN,V695,C_DEF,"Sí",C_INI,"&lt;="&amp;EOMONTH(B695,0))),C_CLAVE,0))&amp;"","Sin contrato"))</f>
        <v/>
      </c>
      <c r="T695" s="63" t="str">
        <f aca="false">IF(OR(B695="",N(O695)=0),"",N(O695)+ROUND(MIN(N(N695),TOPE_UF*UF_MES)*(TASA_EMP+MUTUAL),0)+ROUND(MIN(N(N695),TOPE_AFC_UF*UF_MES)*IF(S695="Indefinido",AFC_INDEF,AFC_PF),0))</f>
        <v/>
      </c>
      <c r="U695" s="62" t="str">
        <f aca="false">IF(C695="","",IF(LEFT(D695,1)="⚠","⚠ RUT no registrado en Trabajadores",IF(B695="","⚠ Falta el mes",IF(OR(ISTEXT(I695),ISTEXT(J695)),"⚠ Atrasos u horas extra como texto: escriba hh:mm (ej. 1:30)",IF(AND(ISNUMBER(Q695),COUNTIFS(M_RUTN,V695,M_MES,B695,M_LIQ,"&lt;&gt;")&gt;1),"⚠ Liquidación repetida en el mes",IF(AND(ISNUMBER(O695),ISNUMBER(P695),ISNUMBER(Q695),ABS(O695-P695-Q695)&gt;1),"⚠ Haberes − descuentos no da el líquido","OK"))))))</f>
        <v/>
      </c>
      <c r="V695" s="62" t="str">
        <f aca="false">IF(C695="","",IFERROR(VALUE(LEFT(UPPER(SUBSTITUTE(SUBSTITUTE(SUBSTITUTE(TRIM(C695),".",""),"-","")," ","")),LEN(UPPER(SUBSTITUTE(SUBSTITUTE(SUBSTITUTE(TRIM(C695),".",""),"-","")," ","")))-1))&amp;RIGHT(UPPER(SUBSTITUTE(SUBSTITUTE(SUBSTITUTE(TRIM(C695),".",""),"-","")," ","")),1),UPPER(SUBSTITUTE(SUBSTITUTE(SUBSTITUTE(TRIM(C695),".",""),"-","")," ",""))))</f>
        <v/>
      </c>
    </row>
    <row r="696" customFormat="false" ht="15" hidden="false" customHeight="false" outlineLevel="0" collapsed="false">
      <c r="B696" s="80"/>
      <c r="C696" s="58"/>
      <c r="D696" s="62" t="str">
        <f aca="false">IF(C696="","",IFERROR(INDEX(T_NOMBRE,MATCH(V696,T_RUTN,0)),"⚠ RUT no está en Trabajadores"))</f>
        <v/>
      </c>
      <c r="E696" s="61"/>
      <c r="F696" s="61"/>
      <c r="G696" s="61"/>
      <c r="H696" s="61"/>
      <c r="I696" s="81"/>
      <c r="J696" s="81"/>
      <c r="K696" s="60"/>
      <c r="L696" s="60"/>
      <c r="M696" s="60"/>
      <c r="N696" s="60"/>
      <c r="O696" s="60"/>
      <c r="P696" s="60"/>
      <c r="Q696" s="60"/>
      <c r="R696" s="58"/>
      <c r="S696" s="62" t="str">
        <f aca="false">IF(OR(B696="",V696=""),"",IFERROR(INDEX(C_TIPO,MATCH(V696&amp;"-P"&amp;MAX(1,COUNTIFS(C_RUTN,V696,C_DEF,"Sí",C_INI,"&lt;="&amp;EOMONTH(B696,0))),C_CLAVE,0))&amp;"","Sin contrato"))</f>
        <v/>
      </c>
      <c r="T696" s="63" t="str">
        <f aca="false">IF(OR(B696="",N(O696)=0),"",N(O696)+ROUND(MIN(N(N696),TOPE_UF*UF_MES)*(TASA_EMP+MUTUAL),0)+ROUND(MIN(N(N696),TOPE_AFC_UF*UF_MES)*IF(S696="Indefinido",AFC_INDEF,AFC_PF),0))</f>
        <v/>
      </c>
      <c r="U696" s="62" t="str">
        <f aca="false">IF(C696="","",IF(LEFT(D696,1)="⚠","⚠ RUT no registrado en Trabajadores",IF(B696="","⚠ Falta el mes",IF(OR(ISTEXT(I696),ISTEXT(J696)),"⚠ Atrasos u horas extra como texto: escriba hh:mm (ej. 1:30)",IF(AND(ISNUMBER(Q696),COUNTIFS(M_RUTN,V696,M_MES,B696,M_LIQ,"&lt;&gt;")&gt;1),"⚠ Liquidación repetida en el mes",IF(AND(ISNUMBER(O696),ISNUMBER(P696),ISNUMBER(Q696),ABS(O696-P696-Q696)&gt;1),"⚠ Haberes − descuentos no da el líquido","OK"))))))</f>
        <v/>
      </c>
      <c r="V696" s="62" t="str">
        <f aca="false">IF(C696="","",IFERROR(VALUE(LEFT(UPPER(SUBSTITUTE(SUBSTITUTE(SUBSTITUTE(TRIM(C696),".",""),"-","")," ","")),LEN(UPPER(SUBSTITUTE(SUBSTITUTE(SUBSTITUTE(TRIM(C696),".",""),"-","")," ","")))-1))&amp;RIGHT(UPPER(SUBSTITUTE(SUBSTITUTE(SUBSTITUTE(TRIM(C696),".",""),"-","")," ","")),1),UPPER(SUBSTITUTE(SUBSTITUTE(SUBSTITUTE(TRIM(C696),".",""),"-","")," ",""))))</f>
        <v/>
      </c>
    </row>
    <row r="697" customFormat="false" ht="15" hidden="false" customHeight="false" outlineLevel="0" collapsed="false">
      <c r="B697" s="80"/>
      <c r="C697" s="58"/>
      <c r="D697" s="62" t="str">
        <f aca="false">IF(C697="","",IFERROR(INDEX(T_NOMBRE,MATCH(V697,T_RUTN,0)),"⚠ RUT no está en Trabajadores"))</f>
        <v/>
      </c>
      <c r="E697" s="61"/>
      <c r="F697" s="61"/>
      <c r="G697" s="61"/>
      <c r="H697" s="61"/>
      <c r="I697" s="81"/>
      <c r="J697" s="81"/>
      <c r="K697" s="60"/>
      <c r="L697" s="60"/>
      <c r="M697" s="60"/>
      <c r="N697" s="60"/>
      <c r="O697" s="60"/>
      <c r="P697" s="60"/>
      <c r="Q697" s="60"/>
      <c r="R697" s="58"/>
      <c r="S697" s="62" t="str">
        <f aca="false">IF(OR(B697="",V697=""),"",IFERROR(INDEX(C_TIPO,MATCH(V697&amp;"-P"&amp;MAX(1,COUNTIFS(C_RUTN,V697,C_DEF,"Sí",C_INI,"&lt;="&amp;EOMONTH(B697,0))),C_CLAVE,0))&amp;"","Sin contrato"))</f>
        <v/>
      </c>
      <c r="T697" s="63" t="str">
        <f aca="false">IF(OR(B697="",N(O697)=0),"",N(O697)+ROUND(MIN(N(N697),TOPE_UF*UF_MES)*(TASA_EMP+MUTUAL),0)+ROUND(MIN(N(N697),TOPE_AFC_UF*UF_MES)*IF(S697="Indefinido",AFC_INDEF,AFC_PF),0))</f>
        <v/>
      </c>
      <c r="U697" s="62" t="str">
        <f aca="false">IF(C697="","",IF(LEFT(D697,1)="⚠","⚠ RUT no registrado en Trabajadores",IF(B697="","⚠ Falta el mes",IF(OR(ISTEXT(I697),ISTEXT(J697)),"⚠ Atrasos u horas extra como texto: escriba hh:mm (ej. 1:30)",IF(AND(ISNUMBER(Q697),COUNTIFS(M_RUTN,V697,M_MES,B697,M_LIQ,"&lt;&gt;")&gt;1),"⚠ Liquidación repetida en el mes",IF(AND(ISNUMBER(O697),ISNUMBER(P697),ISNUMBER(Q697),ABS(O697-P697-Q697)&gt;1),"⚠ Haberes − descuentos no da el líquido","OK"))))))</f>
        <v/>
      </c>
      <c r="V697" s="62" t="str">
        <f aca="false">IF(C697="","",IFERROR(VALUE(LEFT(UPPER(SUBSTITUTE(SUBSTITUTE(SUBSTITUTE(TRIM(C697),".",""),"-","")," ","")),LEN(UPPER(SUBSTITUTE(SUBSTITUTE(SUBSTITUTE(TRIM(C697),".",""),"-","")," ","")))-1))&amp;RIGHT(UPPER(SUBSTITUTE(SUBSTITUTE(SUBSTITUTE(TRIM(C697),".",""),"-","")," ","")),1),UPPER(SUBSTITUTE(SUBSTITUTE(SUBSTITUTE(TRIM(C697),".",""),"-","")," ",""))))</f>
        <v/>
      </c>
    </row>
    <row r="698" customFormat="false" ht="15" hidden="false" customHeight="false" outlineLevel="0" collapsed="false">
      <c r="B698" s="80"/>
      <c r="C698" s="58"/>
      <c r="D698" s="62" t="str">
        <f aca="false">IF(C698="","",IFERROR(INDEX(T_NOMBRE,MATCH(V698,T_RUTN,0)),"⚠ RUT no está en Trabajadores"))</f>
        <v/>
      </c>
      <c r="E698" s="61"/>
      <c r="F698" s="61"/>
      <c r="G698" s="61"/>
      <c r="H698" s="61"/>
      <c r="I698" s="81"/>
      <c r="J698" s="81"/>
      <c r="K698" s="60"/>
      <c r="L698" s="60"/>
      <c r="M698" s="60"/>
      <c r="N698" s="60"/>
      <c r="O698" s="60"/>
      <c r="P698" s="60"/>
      <c r="Q698" s="60"/>
      <c r="R698" s="58"/>
      <c r="S698" s="62" t="str">
        <f aca="false">IF(OR(B698="",V698=""),"",IFERROR(INDEX(C_TIPO,MATCH(V698&amp;"-P"&amp;MAX(1,COUNTIFS(C_RUTN,V698,C_DEF,"Sí",C_INI,"&lt;="&amp;EOMONTH(B698,0))),C_CLAVE,0))&amp;"","Sin contrato"))</f>
        <v/>
      </c>
      <c r="T698" s="63" t="str">
        <f aca="false">IF(OR(B698="",N(O698)=0),"",N(O698)+ROUND(MIN(N(N698),TOPE_UF*UF_MES)*(TASA_EMP+MUTUAL),0)+ROUND(MIN(N(N698),TOPE_AFC_UF*UF_MES)*IF(S698="Indefinido",AFC_INDEF,AFC_PF),0))</f>
        <v/>
      </c>
      <c r="U698" s="62" t="str">
        <f aca="false">IF(C698="","",IF(LEFT(D698,1)="⚠","⚠ RUT no registrado en Trabajadores",IF(B698="","⚠ Falta el mes",IF(OR(ISTEXT(I698),ISTEXT(J698)),"⚠ Atrasos u horas extra como texto: escriba hh:mm (ej. 1:30)",IF(AND(ISNUMBER(Q698),COUNTIFS(M_RUTN,V698,M_MES,B698,M_LIQ,"&lt;&gt;")&gt;1),"⚠ Liquidación repetida en el mes",IF(AND(ISNUMBER(O698),ISNUMBER(P698),ISNUMBER(Q698),ABS(O698-P698-Q698)&gt;1),"⚠ Haberes − descuentos no da el líquido","OK"))))))</f>
        <v/>
      </c>
      <c r="V698" s="62" t="str">
        <f aca="false">IF(C698="","",IFERROR(VALUE(LEFT(UPPER(SUBSTITUTE(SUBSTITUTE(SUBSTITUTE(TRIM(C698),".",""),"-","")," ","")),LEN(UPPER(SUBSTITUTE(SUBSTITUTE(SUBSTITUTE(TRIM(C698),".",""),"-","")," ","")))-1))&amp;RIGHT(UPPER(SUBSTITUTE(SUBSTITUTE(SUBSTITUTE(TRIM(C698),".",""),"-","")," ","")),1),UPPER(SUBSTITUTE(SUBSTITUTE(SUBSTITUTE(TRIM(C698),".",""),"-","")," ",""))))</f>
        <v/>
      </c>
    </row>
    <row r="699" customFormat="false" ht="15" hidden="false" customHeight="false" outlineLevel="0" collapsed="false">
      <c r="B699" s="80"/>
      <c r="C699" s="58"/>
      <c r="D699" s="62" t="str">
        <f aca="false">IF(C699="","",IFERROR(INDEX(T_NOMBRE,MATCH(V699,T_RUTN,0)),"⚠ RUT no está en Trabajadores"))</f>
        <v/>
      </c>
      <c r="E699" s="61"/>
      <c r="F699" s="61"/>
      <c r="G699" s="61"/>
      <c r="H699" s="61"/>
      <c r="I699" s="81"/>
      <c r="J699" s="81"/>
      <c r="K699" s="60"/>
      <c r="L699" s="60"/>
      <c r="M699" s="60"/>
      <c r="N699" s="60"/>
      <c r="O699" s="60"/>
      <c r="P699" s="60"/>
      <c r="Q699" s="60"/>
      <c r="R699" s="58"/>
      <c r="S699" s="62" t="str">
        <f aca="false">IF(OR(B699="",V699=""),"",IFERROR(INDEX(C_TIPO,MATCH(V699&amp;"-P"&amp;MAX(1,COUNTIFS(C_RUTN,V699,C_DEF,"Sí",C_INI,"&lt;="&amp;EOMONTH(B699,0))),C_CLAVE,0))&amp;"","Sin contrato"))</f>
        <v/>
      </c>
      <c r="T699" s="63" t="str">
        <f aca="false">IF(OR(B699="",N(O699)=0),"",N(O699)+ROUND(MIN(N(N699),TOPE_UF*UF_MES)*(TASA_EMP+MUTUAL),0)+ROUND(MIN(N(N699),TOPE_AFC_UF*UF_MES)*IF(S699="Indefinido",AFC_INDEF,AFC_PF),0))</f>
        <v/>
      </c>
      <c r="U699" s="62" t="str">
        <f aca="false">IF(C699="","",IF(LEFT(D699,1)="⚠","⚠ RUT no registrado en Trabajadores",IF(B699="","⚠ Falta el mes",IF(OR(ISTEXT(I699),ISTEXT(J699)),"⚠ Atrasos u horas extra como texto: escriba hh:mm (ej. 1:30)",IF(AND(ISNUMBER(Q699),COUNTIFS(M_RUTN,V699,M_MES,B699,M_LIQ,"&lt;&gt;")&gt;1),"⚠ Liquidación repetida en el mes",IF(AND(ISNUMBER(O699),ISNUMBER(P699),ISNUMBER(Q699),ABS(O699-P699-Q699)&gt;1),"⚠ Haberes − descuentos no da el líquido","OK"))))))</f>
        <v/>
      </c>
      <c r="V699" s="62" t="str">
        <f aca="false">IF(C699="","",IFERROR(VALUE(LEFT(UPPER(SUBSTITUTE(SUBSTITUTE(SUBSTITUTE(TRIM(C699),".",""),"-","")," ","")),LEN(UPPER(SUBSTITUTE(SUBSTITUTE(SUBSTITUTE(TRIM(C699),".",""),"-","")," ","")))-1))&amp;RIGHT(UPPER(SUBSTITUTE(SUBSTITUTE(SUBSTITUTE(TRIM(C699),".",""),"-","")," ","")),1),UPPER(SUBSTITUTE(SUBSTITUTE(SUBSTITUTE(TRIM(C699),".",""),"-","")," ",""))))</f>
        <v/>
      </c>
    </row>
    <row r="700" customFormat="false" ht="15" hidden="false" customHeight="false" outlineLevel="0" collapsed="false">
      <c r="B700" s="80"/>
      <c r="C700" s="58"/>
      <c r="D700" s="62" t="str">
        <f aca="false">IF(C700="","",IFERROR(INDEX(T_NOMBRE,MATCH(V700,T_RUTN,0)),"⚠ RUT no está en Trabajadores"))</f>
        <v/>
      </c>
      <c r="E700" s="61"/>
      <c r="F700" s="61"/>
      <c r="G700" s="61"/>
      <c r="H700" s="61"/>
      <c r="I700" s="81"/>
      <c r="J700" s="81"/>
      <c r="K700" s="60"/>
      <c r="L700" s="60"/>
      <c r="M700" s="60"/>
      <c r="N700" s="60"/>
      <c r="O700" s="60"/>
      <c r="P700" s="60"/>
      <c r="Q700" s="60"/>
      <c r="R700" s="58"/>
      <c r="S700" s="62" t="str">
        <f aca="false">IF(OR(B700="",V700=""),"",IFERROR(INDEX(C_TIPO,MATCH(V700&amp;"-P"&amp;MAX(1,COUNTIFS(C_RUTN,V700,C_DEF,"Sí",C_INI,"&lt;="&amp;EOMONTH(B700,0))),C_CLAVE,0))&amp;"","Sin contrato"))</f>
        <v/>
      </c>
      <c r="T700" s="63" t="str">
        <f aca="false">IF(OR(B700="",N(O700)=0),"",N(O700)+ROUND(MIN(N(N700),TOPE_UF*UF_MES)*(TASA_EMP+MUTUAL),0)+ROUND(MIN(N(N700),TOPE_AFC_UF*UF_MES)*IF(S700="Indefinido",AFC_INDEF,AFC_PF),0))</f>
        <v/>
      </c>
      <c r="U700" s="62" t="str">
        <f aca="false">IF(C700="","",IF(LEFT(D700,1)="⚠","⚠ RUT no registrado en Trabajadores",IF(B700="","⚠ Falta el mes",IF(OR(ISTEXT(I700),ISTEXT(J700)),"⚠ Atrasos u horas extra como texto: escriba hh:mm (ej. 1:30)",IF(AND(ISNUMBER(Q700),COUNTIFS(M_RUTN,V700,M_MES,B700,M_LIQ,"&lt;&gt;")&gt;1),"⚠ Liquidación repetida en el mes",IF(AND(ISNUMBER(O700),ISNUMBER(P700),ISNUMBER(Q700),ABS(O700-P700-Q700)&gt;1),"⚠ Haberes − descuentos no da el líquido","OK"))))))</f>
        <v/>
      </c>
      <c r="V700" s="62" t="str">
        <f aca="false">IF(C700="","",IFERROR(VALUE(LEFT(UPPER(SUBSTITUTE(SUBSTITUTE(SUBSTITUTE(TRIM(C700),".",""),"-","")," ","")),LEN(UPPER(SUBSTITUTE(SUBSTITUTE(SUBSTITUTE(TRIM(C700),".",""),"-","")," ","")))-1))&amp;RIGHT(UPPER(SUBSTITUTE(SUBSTITUTE(SUBSTITUTE(TRIM(C700),".",""),"-","")," ","")),1),UPPER(SUBSTITUTE(SUBSTITUTE(SUBSTITUTE(TRIM(C700),".",""),"-","")," ",""))))</f>
        <v/>
      </c>
    </row>
    <row r="701" customFormat="false" ht="15" hidden="false" customHeight="false" outlineLevel="0" collapsed="false">
      <c r="B701" s="80"/>
      <c r="C701" s="58"/>
      <c r="D701" s="62" t="str">
        <f aca="false">IF(C701="","",IFERROR(INDEX(T_NOMBRE,MATCH(V701,T_RUTN,0)),"⚠ RUT no está en Trabajadores"))</f>
        <v/>
      </c>
      <c r="E701" s="61"/>
      <c r="F701" s="61"/>
      <c r="G701" s="61"/>
      <c r="H701" s="61"/>
      <c r="I701" s="81"/>
      <c r="J701" s="81"/>
      <c r="K701" s="60"/>
      <c r="L701" s="60"/>
      <c r="M701" s="60"/>
      <c r="N701" s="60"/>
      <c r="O701" s="60"/>
      <c r="P701" s="60"/>
      <c r="Q701" s="60"/>
      <c r="R701" s="58"/>
      <c r="S701" s="62" t="str">
        <f aca="false">IF(OR(B701="",V701=""),"",IFERROR(INDEX(C_TIPO,MATCH(V701&amp;"-P"&amp;MAX(1,COUNTIFS(C_RUTN,V701,C_DEF,"Sí",C_INI,"&lt;="&amp;EOMONTH(B701,0))),C_CLAVE,0))&amp;"","Sin contrato"))</f>
        <v/>
      </c>
      <c r="T701" s="63" t="str">
        <f aca="false">IF(OR(B701="",N(O701)=0),"",N(O701)+ROUND(MIN(N(N701),TOPE_UF*UF_MES)*(TASA_EMP+MUTUAL),0)+ROUND(MIN(N(N701),TOPE_AFC_UF*UF_MES)*IF(S701="Indefinido",AFC_INDEF,AFC_PF),0))</f>
        <v/>
      </c>
      <c r="U701" s="62" t="str">
        <f aca="false">IF(C701="","",IF(LEFT(D701,1)="⚠","⚠ RUT no registrado en Trabajadores",IF(B701="","⚠ Falta el mes",IF(OR(ISTEXT(I701),ISTEXT(J701)),"⚠ Atrasos u horas extra como texto: escriba hh:mm (ej. 1:30)",IF(AND(ISNUMBER(Q701),COUNTIFS(M_RUTN,V701,M_MES,B701,M_LIQ,"&lt;&gt;")&gt;1),"⚠ Liquidación repetida en el mes",IF(AND(ISNUMBER(O701),ISNUMBER(P701),ISNUMBER(Q701),ABS(O701-P701-Q701)&gt;1),"⚠ Haberes − descuentos no da el líquido","OK"))))))</f>
        <v/>
      </c>
      <c r="V701" s="62" t="str">
        <f aca="false">IF(C701="","",IFERROR(VALUE(LEFT(UPPER(SUBSTITUTE(SUBSTITUTE(SUBSTITUTE(TRIM(C701),".",""),"-","")," ","")),LEN(UPPER(SUBSTITUTE(SUBSTITUTE(SUBSTITUTE(TRIM(C701),".",""),"-","")," ","")))-1))&amp;RIGHT(UPPER(SUBSTITUTE(SUBSTITUTE(SUBSTITUTE(TRIM(C701),".",""),"-","")," ","")),1),UPPER(SUBSTITUTE(SUBSTITUTE(SUBSTITUTE(TRIM(C701),".",""),"-","")," ",""))))</f>
        <v/>
      </c>
    </row>
    <row r="702" customFormat="false" ht="15" hidden="false" customHeight="false" outlineLevel="0" collapsed="false">
      <c r="B702" s="80"/>
      <c r="C702" s="58"/>
      <c r="D702" s="62" t="str">
        <f aca="false">IF(C702="","",IFERROR(INDEX(T_NOMBRE,MATCH(V702,T_RUTN,0)),"⚠ RUT no está en Trabajadores"))</f>
        <v/>
      </c>
      <c r="E702" s="61"/>
      <c r="F702" s="61"/>
      <c r="G702" s="61"/>
      <c r="H702" s="61"/>
      <c r="I702" s="81"/>
      <c r="J702" s="81"/>
      <c r="K702" s="60"/>
      <c r="L702" s="60"/>
      <c r="M702" s="60"/>
      <c r="N702" s="60"/>
      <c r="O702" s="60"/>
      <c r="P702" s="60"/>
      <c r="Q702" s="60"/>
      <c r="R702" s="58"/>
      <c r="S702" s="62" t="str">
        <f aca="false">IF(OR(B702="",V702=""),"",IFERROR(INDEX(C_TIPO,MATCH(V702&amp;"-P"&amp;MAX(1,COUNTIFS(C_RUTN,V702,C_DEF,"Sí",C_INI,"&lt;="&amp;EOMONTH(B702,0))),C_CLAVE,0))&amp;"","Sin contrato"))</f>
        <v/>
      </c>
      <c r="T702" s="63" t="str">
        <f aca="false">IF(OR(B702="",N(O702)=0),"",N(O702)+ROUND(MIN(N(N702),TOPE_UF*UF_MES)*(TASA_EMP+MUTUAL),0)+ROUND(MIN(N(N702),TOPE_AFC_UF*UF_MES)*IF(S702="Indefinido",AFC_INDEF,AFC_PF),0))</f>
        <v/>
      </c>
      <c r="U702" s="62" t="str">
        <f aca="false">IF(C702="","",IF(LEFT(D702,1)="⚠","⚠ RUT no registrado en Trabajadores",IF(B702="","⚠ Falta el mes",IF(OR(ISTEXT(I702),ISTEXT(J702)),"⚠ Atrasos u horas extra como texto: escriba hh:mm (ej. 1:30)",IF(AND(ISNUMBER(Q702),COUNTIFS(M_RUTN,V702,M_MES,B702,M_LIQ,"&lt;&gt;")&gt;1),"⚠ Liquidación repetida en el mes",IF(AND(ISNUMBER(O702),ISNUMBER(P702),ISNUMBER(Q702),ABS(O702-P702-Q702)&gt;1),"⚠ Haberes − descuentos no da el líquido","OK"))))))</f>
        <v/>
      </c>
      <c r="V702" s="62" t="str">
        <f aca="false">IF(C702="","",IFERROR(VALUE(LEFT(UPPER(SUBSTITUTE(SUBSTITUTE(SUBSTITUTE(TRIM(C702),".",""),"-","")," ","")),LEN(UPPER(SUBSTITUTE(SUBSTITUTE(SUBSTITUTE(TRIM(C702),".",""),"-","")," ","")))-1))&amp;RIGHT(UPPER(SUBSTITUTE(SUBSTITUTE(SUBSTITUTE(TRIM(C702),".",""),"-","")," ","")),1),UPPER(SUBSTITUTE(SUBSTITUTE(SUBSTITUTE(TRIM(C702),".",""),"-","")," ",""))))</f>
        <v/>
      </c>
    </row>
    <row r="703" customFormat="false" ht="15" hidden="false" customHeight="false" outlineLevel="0" collapsed="false">
      <c r="B703" s="80"/>
      <c r="C703" s="58"/>
      <c r="D703" s="62" t="str">
        <f aca="false">IF(C703="","",IFERROR(INDEX(T_NOMBRE,MATCH(V703,T_RUTN,0)),"⚠ RUT no está en Trabajadores"))</f>
        <v/>
      </c>
      <c r="E703" s="61"/>
      <c r="F703" s="61"/>
      <c r="G703" s="61"/>
      <c r="H703" s="61"/>
      <c r="I703" s="81"/>
      <c r="J703" s="81"/>
      <c r="K703" s="60"/>
      <c r="L703" s="60"/>
      <c r="M703" s="60"/>
      <c r="N703" s="60"/>
      <c r="O703" s="60"/>
      <c r="P703" s="60"/>
      <c r="Q703" s="60"/>
      <c r="R703" s="58"/>
      <c r="S703" s="62" t="str">
        <f aca="false">IF(OR(B703="",V703=""),"",IFERROR(INDEX(C_TIPO,MATCH(V703&amp;"-P"&amp;MAX(1,COUNTIFS(C_RUTN,V703,C_DEF,"Sí",C_INI,"&lt;="&amp;EOMONTH(B703,0))),C_CLAVE,0))&amp;"","Sin contrato"))</f>
        <v/>
      </c>
      <c r="T703" s="63" t="str">
        <f aca="false">IF(OR(B703="",N(O703)=0),"",N(O703)+ROUND(MIN(N(N703),TOPE_UF*UF_MES)*(TASA_EMP+MUTUAL),0)+ROUND(MIN(N(N703),TOPE_AFC_UF*UF_MES)*IF(S703="Indefinido",AFC_INDEF,AFC_PF),0))</f>
        <v/>
      </c>
      <c r="U703" s="62" t="str">
        <f aca="false">IF(C703="","",IF(LEFT(D703,1)="⚠","⚠ RUT no registrado en Trabajadores",IF(B703="","⚠ Falta el mes",IF(OR(ISTEXT(I703),ISTEXT(J703)),"⚠ Atrasos u horas extra como texto: escriba hh:mm (ej. 1:30)",IF(AND(ISNUMBER(Q703),COUNTIFS(M_RUTN,V703,M_MES,B703,M_LIQ,"&lt;&gt;")&gt;1),"⚠ Liquidación repetida en el mes",IF(AND(ISNUMBER(O703),ISNUMBER(P703),ISNUMBER(Q703),ABS(O703-P703-Q703)&gt;1),"⚠ Haberes − descuentos no da el líquido","OK"))))))</f>
        <v/>
      </c>
      <c r="V703" s="62" t="str">
        <f aca="false">IF(C703="","",IFERROR(VALUE(LEFT(UPPER(SUBSTITUTE(SUBSTITUTE(SUBSTITUTE(TRIM(C703),".",""),"-","")," ","")),LEN(UPPER(SUBSTITUTE(SUBSTITUTE(SUBSTITUTE(TRIM(C703),".",""),"-","")," ","")))-1))&amp;RIGHT(UPPER(SUBSTITUTE(SUBSTITUTE(SUBSTITUTE(TRIM(C703),".",""),"-","")," ","")),1),UPPER(SUBSTITUTE(SUBSTITUTE(SUBSTITUTE(TRIM(C703),".",""),"-","")," ",""))))</f>
        <v/>
      </c>
    </row>
    <row r="704" customFormat="false" ht="15" hidden="false" customHeight="false" outlineLevel="0" collapsed="false">
      <c r="B704" s="80"/>
      <c r="C704" s="58"/>
      <c r="D704" s="62" t="str">
        <f aca="false">IF(C704="","",IFERROR(INDEX(T_NOMBRE,MATCH(V704,T_RUTN,0)),"⚠ RUT no está en Trabajadores"))</f>
        <v/>
      </c>
      <c r="E704" s="61"/>
      <c r="F704" s="61"/>
      <c r="G704" s="61"/>
      <c r="H704" s="61"/>
      <c r="I704" s="81"/>
      <c r="J704" s="81"/>
      <c r="K704" s="60"/>
      <c r="L704" s="60"/>
      <c r="M704" s="60"/>
      <c r="N704" s="60"/>
      <c r="O704" s="60"/>
      <c r="P704" s="60"/>
      <c r="Q704" s="60"/>
      <c r="R704" s="58"/>
      <c r="S704" s="62" t="str">
        <f aca="false">IF(OR(B704="",V704=""),"",IFERROR(INDEX(C_TIPO,MATCH(V704&amp;"-P"&amp;MAX(1,COUNTIFS(C_RUTN,V704,C_DEF,"Sí",C_INI,"&lt;="&amp;EOMONTH(B704,0))),C_CLAVE,0))&amp;"","Sin contrato"))</f>
        <v/>
      </c>
      <c r="T704" s="63" t="str">
        <f aca="false">IF(OR(B704="",N(O704)=0),"",N(O704)+ROUND(MIN(N(N704),TOPE_UF*UF_MES)*(TASA_EMP+MUTUAL),0)+ROUND(MIN(N(N704),TOPE_AFC_UF*UF_MES)*IF(S704="Indefinido",AFC_INDEF,AFC_PF),0))</f>
        <v/>
      </c>
      <c r="U704" s="62" t="str">
        <f aca="false">IF(C704="","",IF(LEFT(D704,1)="⚠","⚠ RUT no registrado en Trabajadores",IF(B704="","⚠ Falta el mes",IF(OR(ISTEXT(I704),ISTEXT(J704)),"⚠ Atrasos u horas extra como texto: escriba hh:mm (ej. 1:30)",IF(AND(ISNUMBER(Q704),COUNTIFS(M_RUTN,V704,M_MES,B704,M_LIQ,"&lt;&gt;")&gt;1),"⚠ Liquidación repetida en el mes",IF(AND(ISNUMBER(O704),ISNUMBER(P704),ISNUMBER(Q704),ABS(O704-P704-Q704)&gt;1),"⚠ Haberes − descuentos no da el líquido","OK"))))))</f>
        <v/>
      </c>
      <c r="V704" s="62" t="str">
        <f aca="false">IF(C704="","",IFERROR(VALUE(LEFT(UPPER(SUBSTITUTE(SUBSTITUTE(SUBSTITUTE(TRIM(C704),".",""),"-","")," ","")),LEN(UPPER(SUBSTITUTE(SUBSTITUTE(SUBSTITUTE(TRIM(C704),".",""),"-","")," ","")))-1))&amp;RIGHT(UPPER(SUBSTITUTE(SUBSTITUTE(SUBSTITUTE(TRIM(C704),".",""),"-","")," ","")),1),UPPER(SUBSTITUTE(SUBSTITUTE(SUBSTITUTE(TRIM(C704),".",""),"-","")," ",""))))</f>
        <v/>
      </c>
    </row>
    <row r="705" customFormat="false" ht="15" hidden="false" customHeight="false" outlineLevel="0" collapsed="false">
      <c r="B705" s="80"/>
      <c r="C705" s="58"/>
      <c r="D705" s="62" t="str">
        <f aca="false">IF(C705="","",IFERROR(INDEX(T_NOMBRE,MATCH(V705,T_RUTN,0)),"⚠ RUT no está en Trabajadores"))</f>
        <v/>
      </c>
      <c r="E705" s="61"/>
      <c r="F705" s="61"/>
      <c r="G705" s="61"/>
      <c r="H705" s="61"/>
      <c r="I705" s="81"/>
      <c r="J705" s="81"/>
      <c r="K705" s="60"/>
      <c r="L705" s="60"/>
      <c r="M705" s="60"/>
      <c r="N705" s="60"/>
      <c r="O705" s="60"/>
      <c r="P705" s="60"/>
      <c r="Q705" s="60"/>
      <c r="R705" s="58"/>
      <c r="S705" s="62" t="str">
        <f aca="false">IF(OR(B705="",V705=""),"",IFERROR(INDEX(C_TIPO,MATCH(V705&amp;"-P"&amp;MAX(1,COUNTIFS(C_RUTN,V705,C_DEF,"Sí",C_INI,"&lt;="&amp;EOMONTH(B705,0))),C_CLAVE,0))&amp;"","Sin contrato"))</f>
        <v/>
      </c>
      <c r="T705" s="63" t="str">
        <f aca="false">IF(OR(B705="",N(O705)=0),"",N(O705)+ROUND(MIN(N(N705),TOPE_UF*UF_MES)*(TASA_EMP+MUTUAL),0)+ROUND(MIN(N(N705),TOPE_AFC_UF*UF_MES)*IF(S705="Indefinido",AFC_INDEF,AFC_PF),0))</f>
        <v/>
      </c>
      <c r="U705" s="62" t="str">
        <f aca="false">IF(C705="","",IF(LEFT(D705,1)="⚠","⚠ RUT no registrado en Trabajadores",IF(B705="","⚠ Falta el mes",IF(OR(ISTEXT(I705),ISTEXT(J705)),"⚠ Atrasos u horas extra como texto: escriba hh:mm (ej. 1:30)",IF(AND(ISNUMBER(Q705),COUNTIFS(M_RUTN,V705,M_MES,B705,M_LIQ,"&lt;&gt;")&gt;1),"⚠ Liquidación repetida en el mes",IF(AND(ISNUMBER(O705),ISNUMBER(P705),ISNUMBER(Q705),ABS(O705-P705-Q705)&gt;1),"⚠ Haberes − descuentos no da el líquido","OK"))))))</f>
        <v/>
      </c>
      <c r="V705" s="62" t="str">
        <f aca="false">IF(C705="","",IFERROR(VALUE(LEFT(UPPER(SUBSTITUTE(SUBSTITUTE(SUBSTITUTE(TRIM(C705),".",""),"-","")," ","")),LEN(UPPER(SUBSTITUTE(SUBSTITUTE(SUBSTITUTE(TRIM(C705),".",""),"-","")," ","")))-1))&amp;RIGHT(UPPER(SUBSTITUTE(SUBSTITUTE(SUBSTITUTE(TRIM(C705),".",""),"-","")," ","")),1),UPPER(SUBSTITUTE(SUBSTITUTE(SUBSTITUTE(TRIM(C705),".",""),"-","")," ",""))))</f>
        <v/>
      </c>
    </row>
    <row r="706" customFormat="false" ht="15" hidden="false" customHeight="false" outlineLevel="0" collapsed="false">
      <c r="B706" s="80"/>
      <c r="C706" s="58"/>
      <c r="D706" s="62" t="str">
        <f aca="false">IF(C706="","",IFERROR(INDEX(T_NOMBRE,MATCH(V706,T_RUTN,0)),"⚠ RUT no está en Trabajadores"))</f>
        <v/>
      </c>
      <c r="E706" s="61"/>
      <c r="F706" s="61"/>
      <c r="G706" s="61"/>
      <c r="H706" s="61"/>
      <c r="I706" s="81"/>
      <c r="J706" s="81"/>
      <c r="K706" s="60"/>
      <c r="L706" s="60"/>
      <c r="M706" s="60"/>
      <c r="N706" s="60"/>
      <c r="O706" s="60"/>
      <c r="P706" s="60"/>
      <c r="Q706" s="60"/>
      <c r="R706" s="58"/>
      <c r="S706" s="62" t="str">
        <f aca="false">IF(OR(B706="",V706=""),"",IFERROR(INDEX(C_TIPO,MATCH(V706&amp;"-P"&amp;MAX(1,COUNTIFS(C_RUTN,V706,C_DEF,"Sí",C_INI,"&lt;="&amp;EOMONTH(B706,0))),C_CLAVE,0))&amp;"","Sin contrato"))</f>
        <v/>
      </c>
      <c r="T706" s="63" t="str">
        <f aca="false">IF(OR(B706="",N(O706)=0),"",N(O706)+ROUND(MIN(N(N706),TOPE_UF*UF_MES)*(TASA_EMP+MUTUAL),0)+ROUND(MIN(N(N706),TOPE_AFC_UF*UF_MES)*IF(S706="Indefinido",AFC_INDEF,AFC_PF),0))</f>
        <v/>
      </c>
      <c r="U706" s="62" t="str">
        <f aca="false">IF(C706="","",IF(LEFT(D706,1)="⚠","⚠ RUT no registrado en Trabajadores",IF(B706="","⚠ Falta el mes",IF(OR(ISTEXT(I706),ISTEXT(J706)),"⚠ Atrasos u horas extra como texto: escriba hh:mm (ej. 1:30)",IF(AND(ISNUMBER(Q706),COUNTIFS(M_RUTN,V706,M_MES,B706,M_LIQ,"&lt;&gt;")&gt;1),"⚠ Liquidación repetida en el mes",IF(AND(ISNUMBER(O706),ISNUMBER(P706),ISNUMBER(Q706),ABS(O706-P706-Q706)&gt;1),"⚠ Haberes − descuentos no da el líquido","OK"))))))</f>
        <v/>
      </c>
      <c r="V706" s="62" t="str">
        <f aca="false">IF(C706="","",IFERROR(VALUE(LEFT(UPPER(SUBSTITUTE(SUBSTITUTE(SUBSTITUTE(TRIM(C706),".",""),"-","")," ","")),LEN(UPPER(SUBSTITUTE(SUBSTITUTE(SUBSTITUTE(TRIM(C706),".",""),"-","")," ","")))-1))&amp;RIGHT(UPPER(SUBSTITUTE(SUBSTITUTE(SUBSTITUTE(TRIM(C706),".",""),"-","")," ","")),1),UPPER(SUBSTITUTE(SUBSTITUTE(SUBSTITUTE(TRIM(C706),".",""),"-","")," ",""))))</f>
        <v/>
      </c>
    </row>
    <row r="707" customFormat="false" ht="15" hidden="false" customHeight="false" outlineLevel="0" collapsed="false">
      <c r="B707" s="80"/>
      <c r="C707" s="58"/>
      <c r="D707" s="62" t="str">
        <f aca="false">IF(C707="","",IFERROR(INDEX(T_NOMBRE,MATCH(V707,T_RUTN,0)),"⚠ RUT no está en Trabajadores"))</f>
        <v/>
      </c>
      <c r="E707" s="61"/>
      <c r="F707" s="61"/>
      <c r="G707" s="61"/>
      <c r="H707" s="61"/>
      <c r="I707" s="81"/>
      <c r="J707" s="81"/>
      <c r="K707" s="60"/>
      <c r="L707" s="60"/>
      <c r="M707" s="60"/>
      <c r="N707" s="60"/>
      <c r="O707" s="60"/>
      <c r="P707" s="60"/>
      <c r="Q707" s="60"/>
      <c r="R707" s="58"/>
      <c r="S707" s="62" t="str">
        <f aca="false">IF(OR(B707="",V707=""),"",IFERROR(INDEX(C_TIPO,MATCH(V707&amp;"-P"&amp;MAX(1,COUNTIFS(C_RUTN,V707,C_DEF,"Sí",C_INI,"&lt;="&amp;EOMONTH(B707,0))),C_CLAVE,0))&amp;"","Sin contrato"))</f>
        <v/>
      </c>
      <c r="T707" s="63" t="str">
        <f aca="false">IF(OR(B707="",N(O707)=0),"",N(O707)+ROUND(MIN(N(N707),TOPE_UF*UF_MES)*(TASA_EMP+MUTUAL),0)+ROUND(MIN(N(N707),TOPE_AFC_UF*UF_MES)*IF(S707="Indefinido",AFC_INDEF,AFC_PF),0))</f>
        <v/>
      </c>
      <c r="U707" s="62" t="str">
        <f aca="false">IF(C707="","",IF(LEFT(D707,1)="⚠","⚠ RUT no registrado en Trabajadores",IF(B707="","⚠ Falta el mes",IF(OR(ISTEXT(I707),ISTEXT(J707)),"⚠ Atrasos u horas extra como texto: escriba hh:mm (ej. 1:30)",IF(AND(ISNUMBER(Q707),COUNTIFS(M_RUTN,V707,M_MES,B707,M_LIQ,"&lt;&gt;")&gt;1),"⚠ Liquidación repetida en el mes",IF(AND(ISNUMBER(O707),ISNUMBER(P707),ISNUMBER(Q707),ABS(O707-P707-Q707)&gt;1),"⚠ Haberes − descuentos no da el líquido","OK"))))))</f>
        <v/>
      </c>
      <c r="V707" s="62" t="str">
        <f aca="false">IF(C707="","",IFERROR(VALUE(LEFT(UPPER(SUBSTITUTE(SUBSTITUTE(SUBSTITUTE(TRIM(C707),".",""),"-","")," ","")),LEN(UPPER(SUBSTITUTE(SUBSTITUTE(SUBSTITUTE(TRIM(C707),".",""),"-","")," ","")))-1))&amp;RIGHT(UPPER(SUBSTITUTE(SUBSTITUTE(SUBSTITUTE(TRIM(C707),".",""),"-","")," ","")),1),UPPER(SUBSTITUTE(SUBSTITUTE(SUBSTITUTE(TRIM(C707),".",""),"-","")," ",""))))</f>
        <v/>
      </c>
    </row>
    <row r="708" customFormat="false" ht="15" hidden="false" customHeight="false" outlineLevel="0" collapsed="false">
      <c r="B708" s="80"/>
      <c r="C708" s="58"/>
      <c r="D708" s="62" t="str">
        <f aca="false">IF(C708="","",IFERROR(INDEX(T_NOMBRE,MATCH(V708,T_RUTN,0)),"⚠ RUT no está en Trabajadores"))</f>
        <v/>
      </c>
      <c r="E708" s="61"/>
      <c r="F708" s="61"/>
      <c r="G708" s="61"/>
      <c r="H708" s="61"/>
      <c r="I708" s="81"/>
      <c r="J708" s="81"/>
      <c r="K708" s="60"/>
      <c r="L708" s="60"/>
      <c r="M708" s="60"/>
      <c r="N708" s="60"/>
      <c r="O708" s="60"/>
      <c r="P708" s="60"/>
      <c r="Q708" s="60"/>
      <c r="R708" s="58"/>
      <c r="S708" s="62" t="str">
        <f aca="false">IF(OR(B708="",V708=""),"",IFERROR(INDEX(C_TIPO,MATCH(V708&amp;"-P"&amp;MAX(1,COUNTIFS(C_RUTN,V708,C_DEF,"Sí",C_INI,"&lt;="&amp;EOMONTH(B708,0))),C_CLAVE,0))&amp;"","Sin contrato"))</f>
        <v/>
      </c>
      <c r="T708" s="63" t="str">
        <f aca="false">IF(OR(B708="",N(O708)=0),"",N(O708)+ROUND(MIN(N(N708),TOPE_UF*UF_MES)*(TASA_EMP+MUTUAL),0)+ROUND(MIN(N(N708),TOPE_AFC_UF*UF_MES)*IF(S708="Indefinido",AFC_INDEF,AFC_PF),0))</f>
        <v/>
      </c>
      <c r="U708" s="62" t="str">
        <f aca="false">IF(C708="","",IF(LEFT(D708,1)="⚠","⚠ RUT no registrado en Trabajadores",IF(B708="","⚠ Falta el mes",IF(OR(ISTEXT(I708),ISTEXT(J708)),"⚠ Atrasos u horas extra como texto: escriba hh:mm (ej. 1:30)",IF(AND(ISNUMBER(Q708),COUNTIFS(M_RUTN,V708,M_MES,B708,M_LIQ,"&lt;&gt;")&gt;1),"⚠ Liquidación repetida en el mes",IF(AND(ISNUMBER(O708),ISNUMBER(P708),ISNUMBER(Q708),ABS(O708-P708-Q708)&gt;1),"⚠ Haberes − descuentos no da el líquido","OK"))))))</f>
        <v/>
      </c>
      <c r="V708" s="62" t="str">
        <f aca="false">IF(C708="","",IFERROR(VALUE(LEFT(UPPER(SUBSTITUTE(SUBSTITUTE(SUBSTITUTE(TRIM(C708),".",""),"-","")," ","")),LEN(UPPER(SUBSTITUTE(SUBSTITUTE(SUBSTITUTE(TRIM(C708),".",""),"-","")," ","")))-1))&amp;RIGHT(UPPER(SUBSTITUTE(SUBSTITUTE(SUBSTITUTE(TRIM(C708),".",""),"-","")," ","")),1),UPPER(SUBSTITUTE(SUBSTITUTE(SUBSTITUTE(TRIM(C708),".",""),"-","")," ",""))))</f>
        <v/>
      </c>
    </row>
    <row r="709" customFormat="false" ht="15" hidden="false" customHeight="false" outlineLevel="0" collapsed="false">
      <c r="B709" s="80"/>
      <c r="C709" s="58"/>
      <c r="D709" s="62" t="str">
        <f aca="false">IF(C709="","",IFERROR(INDEX(T_NOMBRE,MATCH(V709,T_RUTN,0)),"⚠ RUT no está en Trabajadores"))</f>
        <v/>
      </c>
      <c r="E709" s="61"/>
      <c r="F709" s="61"/>
      <c r="G709" s="61"/>
      <c r="H709" s="61"/>
      <c r="I709" s="81"/>
      <c r="J709" s="81"/>
      <c r="K709" s="60"/>
      <c r="L709" s="60"/>
      <c r="M709" s="60"/>
      <c r="N709" s="60"/>
      <c r="O709" s="60"/>
      <c r="P709" s="60"/>
      <c r="Q709" s="60"/>
      <c r="R709" s="58"/>
      <c r="S709" s="62" t="str">
        <f aca="false">IF(OR(B709="",V709=""),"",IFERROR(INDEX(C_TIPO,MATCH(V709&amp;"-P"&amp;MAX(1,COUNTIFS(C_RUTN,V709,C_DEF,"Sí",C_INI,"&lt;="&amp;EOMONTH(B709,0))),C_CLAVE,0))&amp;"","Sin contrato"))</f>
        <v/>
      </c>
      <c r="T709" s="63" t="str">
        <f aca="false">IF(OR(B709="",N(O709)=0),"",N(O709)+ROUND(MIN(N(N709),TOPE_UF*UF_MES)*(TASA_EMP+MUTUAL),0)+ROUND(MIN(N(N709),TOPE_AFC_UF*UF_MES)*IF(S709="Indefinido",AFC_INDEF,AFC_PF),0))</f>
        <v/>
      </c>
      <c r="U709" s="62" t="str">
        <f aca="false">IF(C709="","",IF(LEFT(D709,1)="⚠","⚠ RUT no registrado en Trabajadores",IF(B709="","⚠ Falta el mes",IF(OR(ISTEXT(I709),ISTEXT(J709)),"⚠ Atrasos u horas extra como texto: escriba hh:mm (ej. 1:30)",IF(AND(ISNUMBER(Q709),COUNTIFS(M_RUTN,V709,M_MES,B709,M_LIQ,"&lt;&gt;")&gt;1),"⚠ Liquidación repetida en el mes",IF(AND(ISNUMBER(O709),ISNUMBER(P709),ISNUMBER(Q709),ABS(O709-P709-Q709)&gt;1),"⚠ Haberes − descuentos no da el líquido","OK"))))))</f>
        <v/>
      </c>
      <c r="V709" s="62" t="str">
        <f aca="false">IF(C709="","",IFERROR(VALUE(LEFT(UPPER(SUBSTITUTE(SUBSTITUTE(SUBSTITUTE(TRIM(C709),".",""),"-","")," ","")),LEN(UPPER(SUBSTITUTE(SUBSTITUTE(SUBSTITUTE(TRIM(C709),".",""),"-","")," ","")))-1))&amp;RIGHT(UPPER(SUBSTITUTE(SUBSTITUTE(SUBSTITUTE(TRIM(C709),".",""),"-","")," ","")),1),UPPER(SUBSTITUTE(SUBSTITUTE(SUBSTITUTE(TRIM(C709),".",""),"-","")," ",""))))</f>
        <v/>
      </c>
    </row>
    <row r="710" customFormat="false" ht="15" hidden="false" customHeight="false" outlineLevel="0" collapsed="false">
      <c r="B710" s="80"/>
      <c r="C710" s="58"/>
      <c r="D710" s="62" t="str">
        <f aca="false">IF(C710="","",IFERROR(INDEX(T_NOMBRE,MATCH(V710,T_RUTN,0)),"⚠ RUT no está en Trabajadores"))</f>
        <v/>
      </c>
      <c r="E710" s="61"/>
      <c r="F710" s="61"/>
      <c r="G710" s="61"/>
      <c r="H710" s="61"/>
      <c r="I710" s="81"/>
      <c r="J710" s="81"/>
      <c r="K710" s="60"/>
      <c r="L710" s="60"/>
      <c r="M710" s="60"/>
      <c r="N710" s="60"/>
      <c r="O710" s="60"/>
      <c r="P710" s="60"/>
      <c r="Q710" s="60"/>
      <c r="R710" s="58"/>
      <c r="S710" s="62" t="str">
        <f aca="false">IF(OR(B710="",V710=""),"",IFERROR(INDEX(C_TIPO,MATCH(V710&amp;"-P"&amp;MAX(1,COUNTIFS(C_RUTN,V710,C_DEF,"Sí",C_INI,"&lt;="&amp;EOMONTH(B710,0))),C_CLAVE,0))&amp;"","Sin contrato"))</f>
        <v/>
      </c>
      <c r="T710" s="63" t="str">
        <f aca="false">IF(OR(B710="",N(O710)=0),"",N(O710)+ROUND(MIN(N(N710),TOPE_UF*UF_MES)*(TASA_EMP+MUTUAL),0)+ROUND(MIN(N(N710),TOPE_AFC_UF*UF_MES)*IF(S710="Indefinido",AFC_INDEF,AFC_PF),0))</f>
        <v/>
      </c>
      <c r="U710" s="62" t="str">
        <f aca="false">IF(C710="","",IF(LEFT(D710,1)="⚠","⚠ RUT no registrado en Trabajadores",IF(B710="","⚠ Falta el mes",IF(OR(ISTEXT(I710),ISTEXT(J710)),"⚠ Atrasos u horas extra como texto: escriba hh:mm (ej. 1:30)",IF(AND(ISNUMBER(Q710),COUNTIFS(M_RUTN,V710,M_MES,B710,M_LIQ,"&lt;&gt;")&gt;1),"⚠ Liquidación repetida en el mes",IF(AND(ISNUMBER(O710),ISNUMBER(P710),ISNUMBER(Q710),ABS(O710-P710-Q710)&gt;1),"⚠ Haberes − descuentos no da el líquido","OK"))))))</f>
        <v/>
      </c>
      <c r="V710" s="62" t="str">
        <f aca="false">IF(C710="","",IFERROR(VALUE(LEFT(UPPER(SUBSTITUTE(SUBSTITUTE(SUBSTITUTE(TRIM(C710),".",""),"-","")," ","")),LEN(UPPER(SUBSTITUTE(SUBSTITUTE(SUBSTITUTE(TRIM(C710),".",""),"-","")," ","")))-1))&amp;RIGHT(UPPER(SUBSTITUTE(SUBSTITUTE(SUBSTITUTE(TRIM(C710),".",""),"-","")," ","")),1),UPPER(SUBSTITUTE(SUBSTITUTE(SUBSTITUTE(TRIM(C710),".",""),"-","")," ",""))))</f>
        <v/>
      </c>
    </row>
    <row r="711" customFormat="false" ht="15" hidden="false" customHeight="false" outlineLevel="0" collapsed="false">
      <c r="B711" s="80"/>
      <c r="C711" s="58"/>
      <c r="D711" s="62" t="str">
        <f aca="false">IF(C711="","",IFERROR(INDEX(T_NOMBRE,MATCH(V711,T_RUTN,0)),"⚠ RUT no está en Trabajadores"))</f>
        <v/>
      </c>
      <c r="E711" s="61"/>
      <c r="F711" s="61"/>
      <c r="G711" s="61"/>
      <c r="H711" s="61"/>
      <c r="I711" s="81"/>
      <c r="J711" s="81"/>
      <c r="K711" s="60"/>
      <c r="L711" s="60"/>
      <c r="M711" s="60"/>
      <c r="N711" s="60"/>
      <c r="O711" s="60"/>
      <c r="P711" s="60"/>
      <c r="Q711" s="60"/>
      <c r="R711" s="58"/>
      <c r="S711" s="62" t="str">
        <f aca="false">IF(OR(B711="",V711=""),"",IFERROR(INDEX(C_TIPO,MATCH(V711&amp;"-P"&amp;MAX(1,COUNTIFS(C_RUTN,V711,C_DEF,"Sí",C_INI,"&lt;="&amp;EOMONTH(B711,0))),C_CLAVE,0))&amp;"","Sin contrato"))</f>
        <v/>
      </c>
      <c r="T711" s="63" t="str">
        <f aca="false">IF(OR(B711="",N(O711)=0),"",N(O711)+ROUND(MIN(N(N711),TOPE_UF*UF_MES)*(TASA_EMP+MUTUAL),0)+ROUND(MIN(N(N711),TOPE_AFC_UF*UF_MES)*IF(S711="Indefinido",AFC_INDEF,AFC_PF),0))</f>
        <v/>
      </c>
      <c r="U711" s="62" t="str">
        <f aca="false">IF(C711="","",IF(LEFT(D711,1)="⚠","⚠ RUT no registrado en Trabajadores",IF(B711="","⚠ Falta el mes",IF(OR(ISTEXT(I711),ISTEXT(J711)),"⚠ Atrasos u horas extra como texto: escriba hh:mm (ej. 1:30)",IF(AND(ISNUMBER(Q711),COUNTIFS(M_RUTN,V711,M_MES,B711,M_LIQ,"&lt;&gt;")&gt;1),"⚠ Liquidación repetida en el mes",IF(AND(ISNUMBER(O711),ISNUMBER(P711),ISNUMBER(Q711),ABS(O711-P711-Q711)&gt;1),"⚠ Haberes − descuentos no da el líquido","OK"))))))</f>
        <v/>
      </c>
      <c r="V711" s="62" t="str">
        <f aca="false">IF(C711="","",IFERROR(VALUE(LEFT(UPPER(SUBSTITUTE(SUBSTITUTE(SUBSTITUTE(TRIM(C711),".",""),"-","")," ","")),LEN(UPPER(SUBSTITUTE(SUBSTITUTE(SUBSTITUTE(TRIM(C711),".",""),"-","")," ","")))-1))&amp;RIGHT(UPPER(SUBSTITUTE(SUBSTITUTE(SUBSTITUTE(TRIM(C711),".",""),"-","")," ","")),1),UPPER(SUBSTITUTE(SUBSTITUTE(SUBSTITUTE(TRIM(C711),".",""),"-","")," ",""))))</f>
        <v/>
      </c>
    </row>
    <row r="712" customFormat="false" ht="15" hidden="false" customHeight="false" outlineLevel="0" collapsed="false">
      <c r="B712" s="80"/>
      <c r="C712" s="58"/>
      <c r="D712" s="62" t="str">
        <f aca="false">IF(C712="","",IFERROR(INDEX(T_NOMBRE,MATCH(V712,T_RUTN,0)),"⚠ RUT no está en Trabajadores"))</f>
        <v/>
      </c>
      <c r="E712" s="61"/>
      <c r="F712" s="61"/>
      <c r="G712" s="61"/>
      <c r="H712" s="61"/>
      <c r="I712" s="81"/>
      <c r="J712" s="81"/>
      <c r="K712" s="60"/>
      <c r="L712" s="60"/>
      <c r="M712" s="60"/>
      <c r="N712" s="60"/>
      <c r="O712" s="60"/>
      <c r="P712" s="60"/>
      <c r="Q712" s="60"/>
      <c r="R712" s="58"/>
      <c r="S712" s="62" t="str">
        <f aca="false">IF(OR(B712="",V712=""),"",IFERROR(INDEX(C_TIPO,MATCH(V712&amp;"-P"&amp;MAX(1,COUNTIFS(C_RUTN,V712,C_DEF,"Sí",C_INI,"&lt;="&amp;EOMONTH(B712,0))),C_CLAVE,0))&amp;"","Sin contrato"))</f>
        <v/>
      </c>
      <c r="T712" s="63" t="str">
        <f aca="false">IF(OR(B712="",N(O712)=0),"",N(O712)+ROUND(MIN(N(N712),TOPE_UF*UF_MES)*(TASA_EMP+MUTUAL),0)+ROUND(MIN(N(N712),TOPE_AFC_UF*UF_MES)*IF(S712="Indefinido",AFC_INDEF,AFC_PF),0))</f>
        <v/>
      </c>
      <c r="U712" s="62" t="str">
        <f aca="false">IF(C712="","",IF(LEFT(D712,1)="⚠","⚠ RUT no registrado en Trabajadores",IF(B712="","⚠ Falta el mes",IF(OR(ISTEXT(I712),ISTEXT(J712)),"⚠ Atrasos u horas extra como texto: escriba hh:mm (ej. 1:30)",IF(AND(ISNUMBER(Q712),COUNTIFS(M_RUTN,V712,M_MES,B712,M_LIQ,"&lt;&gt;")&gt;1),"⚠ Liquidación repetida en el mes",IF(AND(ISNUMBER(O712),ISNUMBER(P712),ISNUMBER(Q712),ABS(O712-P712-Q712)&gt;1),"⚠ Haberes − descuentos no da el líquido","OK"))))))</f>
        <v/>
      </c>
      <c r="V712" s="62" t="str">
        <f aca="false">IF(C712="","",IFERROR(VALUE(LEFT(UPPER(SUBSTITUTE(SUBSTITUTE(SUBSTITUTE(TRIM(C712),".",""),"-","")," ","")),LEN(UPPER(SUBSTITUTE(SUBSTITUTE(SUBSTITUTE(TRIM(C712),".",""),"-","")," ","")))-1))&amp;RIGHT(UPPER(SUBSTITUTE(SUBSTITUTE(SUBSTITUTE(TRIM(C712),".",""),"-","")," ","")),1),UPPER(SUBSTITUTE(SUBSTITUTE(SUBSTITUTE(TRIM(C712),".",""),"-","")," ",""))))</f>
        <v/>
      </c>
    </row>
    <row r="713" customFormat="false" ht="15" hidden="false" customHeight="false" outlineLevel="0" collapsed="false">
      <c r="B713" s="80"/>
      <c r="C713" s="58"/>
      <c r="D713" s="62" t="str">
        <f aca="false">IF(C713="","",IFERROR(INDEX(T_NOMBRE,MATCH(V713,T_RUTN,0)),"⚠ RUT no está en Trabajadores"))</f>
        <v/>
      </c>
      <c r="E713" s="61"/>
      <c r="F713" s="61"/>
      <c r="G713" s="61"/>
      <c r="H713" s="61"/>
      <c r="I713" s="81"/>
      <c r="J713" s="81"/>
      <c r="K713" s="60"/>
      <c r="L713" s="60"/>
      <c r="M713" s="60"/>
      <c r="N713" s="60"/>
      <c r="O713" s="60"/>
      <c r="P713" s="60"/>
      <c r="Q713" s="60"/>
      <c r="R713" s="58"/>
      <c r="S713" s="62" t="str">
        <f aca="false">IF(OR(B713="",V713=""),"",IFERROR(INDEX(C_TIPO,MATCH(V713&amp;"-P"&amp;MAX(1,COUNTIFS(C_RUTN,V713,C_DEF,"Sí",C_INI,"&lt;="&amp;EOMONTH(B713,0))),C_CLAVE,0))&amp;"","Sin contrato"))</f>
        <v/>
      </c>
      <c r="T713" s="63" t="str">
        <f aca="false">IF(OR(B713="",N(O713)=0),"",N(O713)+ROUND(MIN(N(N713),TOPE_UF*UF_MES)*(TASA_EMP+MUTUAL),0)+ROUND(MIN(N(N713),TOPE_AFC_UF*UF_MES)*IF(S713="Indefinido",AFC_INDEF,AFC_PF),0))</f>
        <v/>
      </c>
      <c r="U713" s="62" t="str">
        <f aca="false">IF(C713="","",IF(LEFT(D713,1)="⚠","⚠ RUT no registrado en Trabajadores",IF(B713="","⚠ Falta el mes",IF(OR(ISTEXT(I713),ISTEXT(J713)),"⚠ Atrasos u horas extra como texto: escriba hh:mm (ej. 1:30)",IF(AND(ISNUMBER(Q713),COUNTIFS(M_RUTN,V713,M_MES,B713,M_LIQ,"&lt;&gt;")&gt;1),"⚠ Liquidación repetida en el mes",IF(AND(ISNUMBER(O713),ISNUMBER(P713),ISNUMBER(Q713),ABS(O713-P713-Q713)&gt;1),"⚠ Haberes − descuentos no da el líquido","OK"))))))</f>
        <v/>
      </c>
      <c r="V713" s="62" t="str">
        <f aca="false">IF(C713="","",IFERROR(VALUE(LEFT(UPPER(SUBSTITUTE(SUBSTITUTE(SUBSTITUTE(TRIM(C713),".",""),"-","")," ","")),LEN(UPPER(SUBSTITUTE(SUBSTITUTE(SUBSTITUTE(TRIM(C713),".",""),"-","")," ","")))-1))&amp;RIGHT(UPPER(SUBSTITUTE(SUBSTITUTE(SUBSTITUTE(TRIM(C713),".",""),"-","")," ","")),1),UPPER(SUBSTITUTE(SUBSTITUTE(SUBSTITUTE(TRIM(C713),".",""),"-","")," ",""))))</f>
        <v/>
      </c>
    </row>
    <row r="714" customFormat="false" ht="15" hidden="false" customHeight="false" outlineLevel="0" collapsed="false">
      <c r="B714" s="80"/>
      <c r="C714" s="58"/>
      <c r="D714" s="62" t="str">
        <f aca="false">IF(C714="","",IFERROR(INDEX(T_NOMBRE,MATCH(V714,T_RUTN,0)),"⚠ RUT no está en Trabajadores"))</f>
        <v/>
      </c>
      <c r="E714" s="61"/>
      <c r="F714" s="61"/>
      <c r="G714" s="61"/>
      <c r="H714" s="61"/>
      <c r="I714" s="81"/>
      <c r="J714" s="81"/>
      <c r="K714" s="60"/>
      <c r="L714" s="60"/>
      <c r="M714" s="60"/>
      <c r="N714" s="60"/>
      <c r="O714" s="60"/>
      <c r="P714" s="60"/>
      <c r="Q714" s="60"/>
      <c r="R714" s="58"/>
      <c r="S714" s="62" t="str">
        <f aca="false">IF(OR(B714="",V714=""),"",IFERROR(INDEX(C_TIPO,MATCH(V714&amp;"-P"&amp;MAX(1,COUNTIFS(C_RUTN,V714,C_DEF,"Sí",C_INI,"&lt;="&amp;EOMONTH(B714,0))),C_CLAVE,0))&amp;"","Sin contrato"))</f>
        <v/>
      </c>
      <c r="T714" s="63" t="str">
        <f aca="false">IF(OR(B714="",N(O714)=0),"",N(O714)+ROUND(MIN(N(N714),TOPE_UF*UF_MES)*(TASA_EMP+MUTUAL),0)+ROUND(MIN(N(N714),TOPE_AFC_UF*UF_MES)*IF(S714="Indefinido",AFC_INDEF,AFC_PF),0))</f>
        <v/>
      </c>
      <c r="U714" s="62" t="str">
        <f aca="false">IF(C714="","",IF(LEFT(D714,1)="⚠","⚠ RUT no registrado en Trabajadores",IF(B714="","⚠ Falta el mes",IF(OR(ISTEXT(I714),ISTEXT(J714)),"⚠ Atrasos u horas extra como texto: escriba hh:mm (ej. 1:30)",IF(AND(ISNUMBER(Q714),COUNTIFS(M_RUTN,V714,M_MES,B714,M_LIQ,"&lt;&gt;")&gt;1),"⚠ Liquidación repetida en el mes",IF(AND(ISNUMBER(O714),ISNUMBER(P714),ISNUMBER(Q714),ABS(O714-P714-Q714)&gt;1),"⚠ Haberes − descuentos no da el líquido","OK"))))))</f>
        <v/>
      </c>
      <c r="V714" s="62" t="str">
        <f aca="false">IF(C714="","",IFERROR(VALUE(LEFT(UPPER(SUBSTITUTE(SUBSTITUTE(SUBSTITUTE(TRIM(C714),".",""),"-","")," ","")),LEN(UPPER(SUBSTITUTE(SUBSTITUTE(SUBSTITUTE(TRIM(C714),".",""),"-","")," ","")))-1))&amp;RIGHT(UPPER(SUBSTITUTE(SUBSTITUTE(SUBSTITUTE(TRIM(C714),".",""),"-","")," ","")),1),UPPER(SUBSTITUTE(SUBSTITUTE(SUBSTITUTE(TRIM(C714),".",""),"-","")," ",""))))</f>
        <v/>
      </c>
    </row>
    <row r="715" customFormat="false" ht="15" hidden="false" customHeight="false" outlineLevel="0" collapsed="false">
      <c r="B715" s="80"/>
      <c r="C715" s="58"/>
      <c r="D715" s="62" t="str">
        <f aca="false">IF(C715="","",IFERROR(INDEX(T_NOMBRE,MATCH(V715,T_RUTN,0)),"⚠ RUT no está en Trabajadores"))</f>
        <v/>
      </c>
      <c r="E715" s="61"/>
      <c r="F715" s="61"/>
      <c r="G715" s="61"/>
      <c r="H715" s="61"/>
      <c r="I715" s="81"/>
      <c r="J715" s="81"/>
      <c r="K715" s="60"/>
      <c r="L715" s="60"/>
      <c r="M715" s="60"/>
      <c r="N715" s="60"/>
      <c r="O715" s="60"/>
      <c r="P715" s="60"/>
      <c r="Q715" s="60"/>
      <c r="R715" s="58"/>
      <c r="S715" s="62" t="str">
        <f aca="false">IF(OR(B715="",V715=""),"",IFERROR(INDEX(C_TIPO,MATCH(V715&amp;"-P"&amp;MAX(1,COUNTIFS(C_RUTN,V715,C_DEF,"Sí",C_INI,"&lt;="&amp;EOMONTH(B715,0))),C_CLAVE,0))&amp;"","Sin contrato"))</f>
        <v/>
      </c>
      <c r="T715" s="63" t="str">
        <f aca="false">IF(OR(B715="",N(O715)=0),"",N(O715)+ROUND(MIN(N(N715),TOPE_UF*UF_MES)*(TASA_EMP+MUTUAL),0)+ROUND(MIN(N(N715),TOPE_AFC_UF*UF_MES)*IF(S715="Indefinido",AFC_INDEF,AFC_PF),0))</f>
        <v/>
      </c>
      <c r="U715" s="62" t="str">
        <f aca="false">IF(C715="","",IF(LEFT(D715,1)="⚠","⚠ RUT no registrado en Trabajadores",IF(B715="","⚠ Falta el mes",IF(OR(ISTEXT(I715),ISTEXT(J715)),"⚠ Atrasos u horas extra como texto: escriba hh:mm (ej. 1:30)",IF(AND(ISNUMBER(Q715),COUNTIFS(M_RUTN,V715,M_MES,B715,M_LIQ,"&lt;&gt;")&gt;1),"⚠ Liquidación repetida en el mes",IF(AND(ISNUMBER(O715),ISNUMBER(P715),ISNUMBER(Q715),ABS(O715-P715-Q715)&gt;1),"⚠ Haberes − descuentos no da el líquido","OK"))))))</f>
        <v/>
      </c>
      <c r="V715" s="62" t="str">
        <f aca="false">IF(C715="","",IFERROR(VALUE(LEFT(UPPER(SUBSTITUTE(SUBSTITUTE(SUBSTITUTE(TRIM(C715),".",""),"-","")," ","")),LEN(UPPER(SUBSTITUTE(SUBSTITUTE(SUBSTITUTE(TRIM(C715),".",""),"-","")," ","")))-1))&amp;RIGHT(UPPER(SUBSTITUTE(SUBSTITUTE(SUBSTITUTE(TRIM(C715),".",""),"-","")," ","")),1),UPPER(SUBSTITUTE(SUBSTITUTE(SUBSTITUTE(TRIM(C715),".",""),"-","")," ",""))))</f>
        <v/>
      </c>
    </row>
    <row r="716" customFormat="false" ht="15" hidden="false" customHeight="false" outlineLevel="0" collapsed="false">
      <c r="B716" s="80"/>
      <c r="C716" s="58"/>
      <c r="D716" s="62" t="str">
        <f aca="false">IF(C716="","",IFERROR(INDEX(T_NOMBRE,MATCH(V716,T_RUTN,0)),"⚠ RUT no está en Trabajadores"))</f>
        <v/>
      </c>
      <c r="E716" s="61"/>
      <c r="F716" s="61"/>
      <c r="G716" s="61"/>
      <c r="H716" s="61"/>
      <c r="I716" s="81"/>
      <c r="J716" s="81"/>
      <c r="K716" s="60"/>
      <c r="L716" s="60"/>
      <c r="M716" s="60"/>
      <c r="N716" s="60"/>
      <c r="O716" s="60"/>
      <c r="P716" s="60"/>
      <c r="Q716" s="60"/>
      <c r="R716" s="58"/>
      <c r="S716" s="62" t="str">
        <f aca="false">IF(OR(B716="",V716=""),"",IFERROR(INDEX(C_TIPO,MATCH(V716&amp;"-P"&amp;MAX(1,COUNTIFS(C_RUTN,V716,C_DEF,"Sí",C_INI,"&lt;="&amp;EOMONTH(B716,0))),C_CLAVE,0))&amp;"","Sin contrato"))</f>
        <v/>
      </c>
      <c r="T716" s="63" t="str">
        <f aca="false">IF(OR(B716="",N(O716)=0),"",N(O716)+ROUND(MIN(N(N716),TOPE_UF*UF_MES)*(TASA_EMP+MUTUAL),0)+ROUND(MIN(N(N716),TOPE_AFC_UF*UF_MES)*IF(S716="Indefinido",AFC_INDEF,AFC_PF),0))</f>
        <v/>
      </c>
      <c r="U716" s="62" t="str">
        <f aca="false">IF(C716="","",IF(LEFT(D716,1)="⚠","⚠ RUT no registrado en Trabajadores",IF(B716="","⚠ Falta el mes",IF(OR(ISTEXT(I716),ISTEXT(J716)),"⚠ Atrasos u horas extra como texto: escriba hh:mm (ej. 1:30)",IF(AND(ISNUMBER(Q716),COUNTIFS(M_RUTN,V716,M_MES,B716,M_LIQ,"&lt;&gt;")&gt;1),"⚠ Liquidación repetida en el mes",IF(AND(ISNUMBER(O716),ISNUMBER(P716),ISNUMBER(Q716),ABS(O716-P716-Q716)&gt;1),"⚠ Haberes − descuentos no da el líquido","OK"))))))</f>
        <v/>
      </c>
      <c r="V716" s="62" t="str">
        <f aca="false">IF(C716="","",IFERROR(VALUE(LEFT(UPPER(SUBSTITUTE(SUBSTITUTE(SUBSTITUTE(TRIM(C716),".",""),"-","")," ","")),LEN(UPPER(SUBSTITUTE(SUBSTITUTE(SUBSTITUTE(TRIM(C716),".",""),"-","")," ","")))-1))&amp;RIGHT(UPPER(SUBSTITUTE(SUBSTITUTE(SUBSTITUTE(TRIM(C716),".",""),"-","")," ","")),1),UPPER(SUBSTITUTE(SUBSTITUTE(SUBSTITUTE(TRIM(C716),".",""),"-","")," ",""))))</f>
        <v/>
      </c>
    </row>
    <row r="717" customFormat="false" ht="15" hidden="false" customHeight="false" outlineLevel="0" collapsed="false">
      <c r="B717" s="80"/>
      <c r="C717" s="58"/>
      <c r="D717" s="62" t="str">
        <f aca="false">IF(C717="","",IFERROR(INDEX(T_NOMBRE,MATCH(V717,T_RUTN,0)),"⚠ RUT no está en Trabajadores"))</f>
        <v/>
      </c>
      <c r="E717" s="61"/>
      <c r="F717" s="61"/>
      <c r="G717" s="61"/>
      <c r="H717" s="61"/>
      <c r="I717" s="81"/>
      <c r="J717" s="81"/>
      <c r="K717" s="60"/>
      <c r="L717" s="60"/>
      <c r="M717" s="60"/>
      <c r="N717" s="60"/>
      <c r="O717" s="60"/>
      <c r="P717" s="60"/>
      <c r="Q717" s="60"/>
      <c r="R717" s="58"/>
      <c r="S717" s="62" t="str">
        <f aca="false">IF(OR(B717="",V717=""),"",IFERROR(INDEX(C_TIPO,MATCH(V717&amp;"-P"&amp;MAX(1,COUNTIFS(C_RUTN,V717,C_DEF,"Sí",C_INI,"&lt;="&amp;EOMONTH(B717,0))),C_CLAVE,0))&amp;"","Sin contrato"))</f>
        <v/>
      </c>
      <c r="T717" s="63" t="str">
        <f aca="false">IF(OR(B717="",N(O717)=0),"",N(O717)+ROUND(MIN(N(N717),TOPE_UF*UF_MES)*(TASA_EMP+MUTUAL),0)+ROUND(MIN(N(N717),TOPE_AFC_UF*UF_MES)*IF(S717="Indefinido",AFC_INDEF,AFC_PF),0))</f>
        <v/>
      </c>
      <c r="U717" s="62" t="str">
        <f aca="false">IF(C717="","",IF(LEFT(D717,1)="⚠","⚠ RUT no registrado en Trabajadores",IF(B717="","⚠ Falta el mes",IF(OR(ISTEXT(I717),ISTEXT(J717)),"⚠ Atrasos u horas extra como texto: escriba hh:mm (ej. 1:30)",IF(AND(ISNUMBER(Q717),COUNTIFS(M_RUTN,V717,M_MES,B717,M_LIQ,"&lt;&gt;")&gt;1),"⚠ Liquidación repetida en el mes",IF(AND(ISNUMBER(O717),ISNUMBER(P717),ISNUMBER(Q717),ABS(O717-P717-Q717)&gt;1),"⚠ Haberes − descuentos no da el líquido","OK"))))))</f>
        <v/>
      </c>
      <c r="V717" s="62" t="str">
        <f aca="false">IF(C717="","",IFERROR(VALUE(LEFT(UPPER(SUBSTITUTE(SUBSTITUTE(SUBSTITUTE(TRIM(C717),".",""),"-","")," ","")),LEN(UPPER(SUBSTITUTE(SUBSTITUTE(SUBSTITUTE(TRIM(C717),".",""),"-","")," ","")))-1))&amp;RIGHT(UPPER(SUBSTITUTE(SUBSTITUTE(SUBSTITUTE(TRIM(C717),".",""),"-","")," ","")),1),UPPER(SUBSTITUTE(SUBSTITUTE(SUBSTITUTE(TRIM(C717),".",""),"-","")," ",""))))</f>
        <v/>
      </c>
    </row>
    <row r="718" customFormat="false" ht="15" hidden="false" customHeight="false" outlineLevel="0" collapsed="false">
      <c r="B718" s="80"/>
      <c r="C718" s="58"/>
      <c r="D718" s="62" t="str">
        <f aca="false">IF(C718="","",IFERROR(INDEX(T_NOMBRE,MATCH(V718,T_RUTN,0)),"⚠ RUT no está en Trabajadores"))</f>
        <v/>
      </c>
      <c r="E718" s="61"/>
      <c r="F718" s="61"/>
      <c r="G718" s="61"/>
      <c r="H718" s="61"/>
      <c r="I718" s="81"/>
      <c r="J718" s="81"/>
      <c r="K718" s="60"/>
      <c r="L718" s="60"/>
      <c r="M718" s="60"/>
      <c r="N718" s="60"/>
      <c r="O718" s="60"/>
      <c r="P718" s="60"/>
      <c r="Q718" s="60"/>
      <c r="R718" s="58"/>
      <c r="S718" s="62" t="str">
        <f aca="false">IF(OR(B718="",V718=""),"",IFERROR(INDEX(C_TIPO,MATCH(V718&amp;"-P"&amp;MAX(1,COUNTIFS(C_RUTN,V718,C_DEF,"Sí",C_INI,"&lt;="&amp;EOMONTH(B718,0))),C_CLAVE,0))&amp;"","Sin contrato"))</f>
        <v/>
      </c>
      <c r="T718" s="63" t="str">
        <f aca="false">IF(OR(B718="",N(O718)=0),"",N(O718)+ROUND(MIN(N(N718),TOPE_UF*UF_MES)*(TASA_EMP+MUTUAL),0)+ROUND(MIN(N(N718),TOPE_AFC_UF*UF_MES)*IF(S718="Indefinido",AFC_INDEF,AFC_PF),0))</f>
        <v/>
      </c>
      <c r="U718" s="62" t="str">
        <f aca="false">IF(C718="","",IF(LEFT(D718,1)="⚠","⚠ RUT no registrado en Trabajadores",IF(B718="","⚠ Falta el mes",IF(OR(ISTEXT(I718),ISTEXT(J718)),"⚠ Atrasos u horas extra como texto: escriba hh:mm (ej. 1:30)",IF(AND(ISNUMBER(Q718),COUNTIFS(M_RUTN,V718,M_MES,B718,M_LIQ,"&lt;&gt;")&gt;1),"⚠ Liquidación repetida en el mes",IF(AND(ISNUMBER(O718),ISNUMBER(P718),ISNUMBER(Q718),ABS(O718-P718-Q718)&gt;1),"⚠ Haberes − descuentos no da el líquido","OK"))))))</f>
        <v/>
      </c>
      <c r="V718" s="62" t="str">
        <f aca="false">IF(C718="","",IFERROR(VALUE(LEFT(UPPER(SUBSTITUTE(SUBSTITUTE(SUBSTITUTE(TRIM(C718),".",""),"-","")," ","")),LEN(UPPER(SUBSTITUTE(SUBSTITUTE(SUBSTITUTE(TRIM(C718),".",""),"-","")," ","")))-1))&amp;RIGHT(UPPER(SUBSTITUTE(SUBSTITUTE(SUBSTITUTE(TRIM(C718),".",""),"-","")," ","")),1),UPPER(SUBSTITUTE(SUBSTITUTE(SUBSTITUTE(TRIM(C718),".",""),"-","")," ",""))))</f>
        <v/>
      </c>
    </row>
    <row r="719" customFormat="false" ht="15" hidden="false" customHeight="false" outlineLevel="0" collapsed="false">
      <c r="B719" s="80"/>
      <c r="C719" s="58"/>
      <c r="D719" s="62" t="str">
        <f aca="false">IF(C719="","",IFERROR(INDEX(T_NOMBRE,MATCH(V719,T_RUTN,0)),"⚠ RUT no está en Trabajadores"))</f>
        <v/>
      </c>
      <c r="E719" s="61"/>
      <c r="F719" s="61"/>
      <c r="G719" s="61"/>
      <c r="H719" s="61"/>
      <c r="I719" s="81"/>
      <c r="J719" s="81"/>
      <c r="K719" s="60"/>
      <c r="L719" s="60"/>
      <c r="M719" s="60"/>
      <c r="N719" s="60"/>
      <c r="O719" s="60"/>
      <c r="P719" s="60"/>
      <c r="Q719" s="60"/>
      <c r="R719" s="58"/>
      <c r="S719" s="62" t="str">
        <f aca="false">IF(OR(B719="",V719=""),"",IFERROR(INDEX(C_TIPO,MATCH(V719&amp;"-P"&amp;MAX(1,COUNTIFS(C_RUTN,V719,C_DEF,"Sí",C_INI,"&lt;="&amp;EOMONTH(B719,0))),C_CLAVE,0))&amp;"","Sin contrato"))</f>
        <v/>
      </c>
      <c r="T719" s="63" t="str">
        <f aca="false">IF(OR(B719="",N(O719)=0),"",N(O719)+ROUND(MIN(N(N719),TOPE_UF*UF_MES)*(TASA_EMP+MUTUAL),0)+ROUND(MIN(N(N719),TOPE_AFC_UF*UF_MES)*IF(S719="Indefinido",AFC_INDEF,AFC_PF),0))</f>
        <v/>
      </c>
      <c r="U719" s="62" t="str">
        <f aca="false">IF(C719="","",IF(LEFT(D719,1)="⚠","⚠ RUT no registrado en Trabajadores",IF(B719="","⚠ Falta el mes",IF(OR(ISTEXT(I719),ISTEXT(J719)),"⚠ Atrasos u horas extra como texto: escriba hh:mm (ej. 1:30)",IF(AND(ISNUMBER(Q719),COUNTIFS(M_RUTN,V719,M_MES,B719,M_LIQ,"&lt;&gt;")&gt;1),"⚠ Liquidación repetida en el mes",IF(AND(ISNUMBER(O719),ISNUMBER(P719),ISNUMBER(Q719),ABS(O719-P719-Q719)&gt;1),"⚠ Haberes − descuentos no da el líquido","OK"))))))</f>
        <v/>
      </c>
      <c r="V719" s="62" t="str">
        <f aca="false">IF(C719="","",IFERROR(VALUE(LEFT(UPPER(SUBSTITUTE(SUBSTITUTE(SUBSTITUTE(TRIM(C719),".",""),"-","")," ","")),LEN(UPPER(SUBSTITUTE(SUBSTITUTE(SUBSTITUTE(TRIM(C719),".",""),"-","")," ","")))-1))&amp;RIGHT(UPPER(SUBSTITUTE(SUBSTITUTE(SUBSTITUTE(TRIM(C719),".",""),"-","")," ","")),1),UPPER(SUBSTITUTE(SUBSTITUTE(SUBSTITUTE(TRIM(C719),".",""),"-","")," ",""))))</f>
        <v/>
      </c>
    </row>
    <row r="720" customFormat="false" ht="15" hidden="false" customHeight="false" outlineLevel="0" collapsed="false">
      <c r="B720" s="80"/>
      <c r="C720" s="58"/>
      <c r="D720" s="62" t="str">
        <f aca="false">IF(C720="","",IFERROR(INDEX(T_NOMBRE,MATCH(V720,T_RUTN,0)),"⚠ RUT no está en Trabajadores"))</f>
        <v/>
      </c>
      <c r="E720" s="61"/>
      <c r="F720" s="61"/>
      <c r="G720" s="61"/>
      <c r="H720" s="61"/>
      <c r="I720" s="81"/>
      <c r="J720" s="81"/>
      <c r="K720" s="60"/>
      <c r="L720" s="60"/>
      <c r="M720" s="60"/>
      <c r="N720" s="60"/>
      <c r="O720" s="60"/>
      <c r="P720" s="60"/>
      <c r="Q720" s="60"/>
      <c r="R720" s="58"/>
      <c r="S720" s="62" t="str">
        <f aca="false">IF(OR(B720="",V720=""),"",IFERROR(INDEX(C_TIPO,MATCH(V720&amp;"-P"&amp;MAX(1,COUNTIFS(C_RUTN,V720,C_DEF,"Sí",C_INI,"&lt;="&amp;EOMONTH(B720,0))),C_CLAVE,0))&amp;"","Sin contrato"))</f>
        <v/>
      </c>
      <c r="T720" s="63" t="str">
        <f aca="false">IF(OR(B720="",N(O720)=0),"",N(O720)+ROUND(MIN(N(N720),TOPE_UF*UF_MES)*(TASA_EMP+MUTUAL),0)+ROUND(MIN(N(N720),TOPE_AFC_UF*UF_MES)*IF(S720="Indefinido",AFC_INDEF,AFC_PF),0))</f>
        <v/>
      </c>
      <c r="U720" s="62" t="str">
        <f aca="false">IF(C720="","",IF(LEFT(D720,1)="⚠","⚠ RUT no registrado en Trabajadores",IF(B720="","⚠ Falta el mes",IF(OR(ISTEXT(I720),ISTEXT(J720)),"⚠ Atrasos u horas extra como texto: escriba hh:mm (ej. 1:30)",IF(AND(ISNUMBER(Q720),COUNTIFS(M_RUTN,V720,M_MES,B720,M_LIQ,"&lt;&gt;")&gt;1),"⚠ Liquidación repetida en el mes",IF(AND(ISNUMBER(O720),ISNUMBER(P720),ISNUMBER(Q720),ABS(O720-P720-Q720)&gt;1),"⚠ Haberes − descuentos no da el líquido","OK"))))))</f>
        <v/>
      </c>
      <c r="V720" s="62" t="str">
        <f aca="false">IF(C720="","",IFERROR(VALUE(LEFT(UPPER(SUBSTITUTE(SUBSTITUTE(SUBSTITUTE(TRIM(C720),".",""),"-","")," ","")),LEN(UPPER(SUBSTITUTE(SUBSTITUTE(SUBSTITUTE(TRIM(C720),".",""),"-","")," ","")))-1))&amp;RIGHT(UPPER(SUBSTITUTE(SUBSTITUTE(SUBSTITUTE(TRIM(C720),".",""),"-","")," ","")),1),UPPER(SUBSTITUTE(SUBSTITUTE(SUBSTITUTE(TRIM(C720),".",""),"-","")," ",""))))</f>
        <v/>
      </c>
    </row>
    <row r="721" customFormat="false" ht="15" hidden="false" customHeight="false" outlineLevel="0" collapsed="false">
      <c r="B721" s="80"/>
      <c r="C721" s="58"/>
      <c r="D721" s="62" t="str">
        <f aca="false">IF(C721="","",IFERROR(INDEX(T_NOMBRE,MATCH(V721,T_RUTN,0)),"⚠ RUT no está en Trabajadores"))</f>
        <v/>
      </c>
      <c r="E721" s="61"/>
      <c r="F721" s="61"/>
      <c r="G721" s="61"/>
      <c r="H721" s="61"/>
      <c r="I721" s="81"/>
      <c r="J721" s="81"/>
      <c r="K721" s="60"/>
      <c r="L721" s="60"/>
      <c r="M721" s="60"/>
      <c r="N721" s="60"/>
      <c r="O721" s="60"/>
      <c r="P721" s="60"/>
      <c r="Q721" s="60"/>
      <c r="R721" s="58"/>
      <c r="S721" s="62" t="str">
        <f aca="false">IF(OR(B721="",V721=""),"",IFERROR(INDEX(C_TIPO,MATCH(V721&amp;"-P"&amp;MAX(1,COUNTIFS(C_RUTN,V721,C_DEF,"Sí",C_INI,"&lt;="&amp;EOMONTH(B721,0))),C_CLAVE,0))&amp;"","Sin contrato"))</f>
        <v/>
      </c>
      <c r="T721" s="63" t="str">
        <f aca="false">IF(OR(B721="",N(O721)=0),"",N(O721)+ROUND(MIN(N(N721),TOPE_UF*UF_MES)*(TASA_EMP+MUTUAL),0)+ROUND(MIN(N(N721),TOPE_AFC_UF*UF_MES)*IF(S721="Indefinido",AFC_INDEF,AFC_PF),0))</f>
        <v/>
      </c>
      <c r="U721" s="62" t="str">
        <f aca="false">IF(C721="","",IF(LEFT(D721,1)="⚠","⚠ RUT no registrado en Trabajadores",IF(B721="","⚠ Falta el mes",IF(OR(ISTEXT(I721),ISTEXT(J721)),"⚠ Atrasos u horas extra como texto: escriba hh:mm (ej. 1:30)",IF(AND(ISNUMBER(Q721),COUNTIFS(M_RUTN,V721,M_MES,B721,M_LIQ,"&lt;&gt;")&gt;1),"⚠ Liquidación repetida en el mes",IF(AND(ISNUMBER(O721),ISNUMBER(P721),ISNUMBER(Q721),ABS(O721-P721-Q721)&gt;1),"⚠ Haberes − descuentos no da el líquido","OK"))))))</f>
        <v/>
      </c>
      <c r="V721" s="62" t="str">
        <f aca="false">IF(C721="","",IFERROR(VALUE(LEFT(UPPER(SUBSTITUTE(SUBSTITUTE(SUBSTITUTE(TRIM(C721),".",""),"-","")," ","")),LEN(UPPER(SUBSTITUTE(SUBSTITUTE(SUBSTITUTE(TRIM(C721),".",""),"-","")," ","")))-1))&amp;RIGHT(UPPER(SUBSTITUTE(SUBSTITUTE(SUBSTITUTE(TRIM(C721),".",""),"-","")," ","")),1),UPPER(SUBSTITUTE(SUBSTITUTE(SUBSTITUTE(TRIM(C721),".",""),"-","")," ",""))))</f>
        <v/>
      </c>
    </row>
    <row r="722" customFormat="false" ht="15" hidden="false" customHeight="false" outlineLevel="0" collapsed="false">
      <c r="B722" s="80"/>
      <c r="C722" s="58"/>
      <c r="D722" s="62" t="str">
        <f aca="false">IF(C722="","",IFERROR(INDEX(T_NOMBRE,MATCH(V722,T_RUTN,0)),"⚠ RUT no está en Trabajadores"))</f>
        <v/>
      </c>
      <c r="E722" s="61"/>
      <c r="F722" s="61"/>
      <c r="G722" s="61"/>
      <c r="H722" s="61"/>
      <c r="I722" s="81"/>
      <c r="J722" s="81"/>
      <c r="K722" s="60"/>
      <c r="L722" s="60"/>
      <c r="M722" s="60"/>
      <c r="N722" s="60"/>
      <c r="O722" s="60"/>
      <c r="P722" s="60"/>
      <c r="Q722" s="60"/>
      <c r="R722" s="58"/>
      <c r="S722" s="62" t="str">
        <f aca="false">IF(OR(B722="",V722=""),"",IFERROR(INDEX(C_TIPO,MATCH(V722&amp;"-P"&amp;MAX(1,COUNTIFS(C_RUTN,V722,C_DEF,"Sí",C_INI,"&lt;="&amp;EOMONTH(B722,0))),C_CLAVE,0))&amp;"","Sin contrato"))</f>
        <v/>
      </c>
      <c r="T722" s="63" t="str">
        <f aca="false">IF(OR(B722="",N(O722)=0),"",N(O722)+ROUND(MIN(N(N722),TOPE_UF*UF_MES)*(TASA_EMP+MUTUAL),0)+ROUND(MIN(N(N722),TOPE_AFC_UF*UF_MES)*IF(S722="Indefinido",AFC_INDEF,AFC_PF),0))</f>
        <v/>
      </c>
      <c r="U722" s="62" t="str">
        <f aca="false">IF(C722="","",IF(LEFT(D722,1)="⚠","⚠ RUT no registrado en Trabajadores",IF(B722="","⚠ Falta el mes",IF(OR(ISTEXT(I722),ISTEXT(J722)),"⚠ Atrasos u horas extra como texto: escriba hh:mm (ej. 1:30)",IF(AND(ISNUMBER(Q722),COUNTIFS(M_RUTN,V722,M_MES,B722,M_LIQ,"&lt;&gt;")&gt;1),"⚠ Liquidación repetida en el mes",IF(AND(ISNUMBER(O722),ISNUMBER(P722),ISNUMBER(Q722),ABS(O722-P722-Q722)&gt;1),"⚠ Haberes − descuentos no da el líquido","OK"))))))</f>
        <v/>
      </c>
      <c r="V722" s="62" t="str">
        <f aca="false">IF(C722="","",IFERROR(VALUE(LEFT(UPPER(SUBSTITUTE(SUBSTITUTE(SUBSTITUTE(TRIM(C722),".",""),"-","")," ","")),LEN(UPPER(SUBSTITUTE(SUBSTITUTE(SUBSTITUTE(TRIM(C722),".",""),"-","")," ","")))-1))&amp;RIGHT(UPPER(SUBSTITUTE(SUBSTITUTE(SUBSTITUTE(TRIM(C722),".",""),"-","")," ","")),1),UPPER(SUBSTITUTE(SUBSTITUTE(SUBSTITUTE(TRIM(C722),".",""),"-","")," ",""))))</f>
        <v/>
      </c>
    </row>
    <row r="723" customFormat="false" ht="15" hidden="false" customHeight="false" outlineLevel="0" collapsed="false">
      <c r="B723" s="80"/>
      <c r="C723" s="58"/>
      <c r="D723" s="62" t="str">
        <f aca="false">IF(C723="","",IFERROR(INDEX(T_NOMBRE,MATCH(V723,T_RUTN,0)),"⚠ RUT no está en Trabajadores"))</f>
        <v/>
      </c>
      <c r="E723" s="61"/>
      <c r="F723" s="61"/>
      <c r="G723" s="61"/>
      <c r="H723" s="61"/>
      <c r="I723" s="81"/>
      <c r="J723" s="81"/>
      <c r="K723" s="60"/>
      <c r="L723" s="60"/>
      <c r="M723" s="60"/>
      <c r="N723" s="60"/>
      <c r="O723" s="60"/>
      <c r="P723" s="60"/>
      <c r="Q723" s="60"/>
      <c r="R723" s="58"/>
      <c r="S723" s="62" t="str">
        <f aca="false">IF(OR(B723="",V723=""),"",IFERROR(INDEX(C_TIPO,MATCH(V723&amp;"-P"&amp;MAX(1,COUNTIFS(C_RUTN,V723,C_DEF,"Sí",C_INI,"&lt;="&amp;EOMONTH(B723,0))),C_CLAVE,0))&amp;"","Sin contrato"))</f>
        <v/>
      </c>
      <c r="T723" s="63" t="str">
        <f aca="false">IF(OR(B723="",N(O723)=0),"",N(O723)+ROUND(MIN(N(N723),TOPE_UF*UF_MES)*(TASA_EMP+MUTUAL),0)+ROUND(MIN(N(N723),TOPE_AFC_UF*UF_MES)*IF(S723="Indefinido",AFC_INDEF,AFC_PF),0))</f>
        <v/>
      </c>
      <c r="U723" s="62" t="str">
        <f aca="false">IF(C723="","",IF(LEFT(D723,1)="⚠","⚠ RUT no registrado en Trabajadores",IF(B723="","⚠ Falta el mes",IF(OR(ISTEXT(I723),ISTEXT(J723)),"⚠ Atrasos u horas extra como texto: escriba hh:mm (ej. 1:30)",IF(AND(ISNUMBER(Q723),COUNTIFS(M_RUTN,V723,M_MES,B723,M_LIQ,"&lt;&gt;")&gt;1),"⚠ Liquidación repetida en el mes",IF(AND(ISNUMBER(O723),ISNUMBER(P723),ISNUMBER(Q723),ABS(O723-P723-Q723)&gt;1),"⚠ Haberes − descuentos no da el líquido","OK"))))))</f>
        <v/>
      </c>
      <c r="V723" s="62" t="str">
        <f aca="false">IF(C723="","",IFERROR(VALUE(LEFT(UPPER(SUBSTITUTE(SUBSTITUTE(SUBSTITUTE(TRIM(C723),".",""),"-","")," ","")),LEN(UPPER(SUBSTITUTE(SUBSTITUTE(SUBSTITUTE(TRIM(C723),".",""),"-","")," ","")))-1))&amp;RIGHT(UPPER(SUBSTITUTE(SUBSTITUTE(SUBSTITUTE(TRIM(C723),".",""),"-","")," ","")),1),UPPER(SUBSTITUTE(SUBSTITUTE(SUBSTITUTE(TRIM(C723),".",""),"-","")," ",""))))</f>
        <v/>
      </c>
    </row>
    <row r="724" customFormat="false" ht="15" hidden="false" customHeight="false" outlineLevel="0" collapsed="false">
      <c r="B724" s="80"/>
      <c r="C724" s="58"/>
      <c r="D724" s="62" t="str">
        <f aca="false">IF(C724="","",IFERROR(INDEX(T_NOMBRE,MATCH(V724,T_RUTN,0)),"⚠ RUT no está en Trabajadores"))</f>
        <v/>
      </c>
      <c r="E724" s="61"/>
      <c r="F724" s="61"/>
      <c r="G724" s="61"/>
      <c r="H724" s="61"/>
      <c r="I724" s="81"/>
      <c r="J724" s="81"/>
      <c r="K724" s="60"/>
      <c r="L724" s="60"/>
      <c r="M724" s="60"/>
      <c r="N724" s="60"/>
      <c r="O724" s="60"/>
      <c r="P724" s="60"/>
      <c r="Q724" s="60"/>
      <c r="R724" s="58"/>
      <c r="S724" s="62" t="str">
        <f aca="false">IF(OR(B724="",V724=""),"",IFERROR(INDEX(C_TIPO,MATCH(V724&amp;"-P"&amp;MAX(1,COUNTIFS(C_RUTN,V724,C_DEF,"Sí",C_INI,"&lt;="&amp;EOMONTH(B724,0))),C_CLAVE,0))&amp;"","Sin contrato"))</f>
        <v/>
      </c>
      <c r="T724" s="63" t="str">
        <f aca="false">IF(OR(B724="",N(O724)=0),"",N(O724)+ROUND(MIN(N(N724),TOPE_UF*UF_MES)*(TASA_EMP+MUTUAL),0)+ROUND(MIN(N(N724),TOPE_AFC_UF*UF_MES)*IF(S724="Indefinido",AFC_INDEF,AFC_PF),0))</f>
        <v/>
      </c>
      <c r="U724" s="62" t="str">
        <f aca="false">IF(C724="","",IF(LEFT(D724,1)="⚠","⚠ RUT no registrado en Trabajadores",IF(B724="","⚠ Falta el mes",IF(OR(ISTEXT(I724),ISTEXT(J724)),"⚠ Atrasos u horas extra como texto: escriba hh:mm (ej. 1:30)",IF(AND(ISNUMBER(Q724),COUNTIFS(M_RUTN,V724,M_MES,B724,M_LIQ,"&lt;&gt;")&gt;1),"⚠ Liquidación repetida en el mes",IF(AND(ISNUMBER(O724),ISNUMBER(P724),ISNUMBER(Q724),ABS(O724-P724-Q724)&gt;1),"⚠ Haberes − descuentos no da el líquido","OK"))))))</f>
        <v/>
      </c>
      <c r="V724" s="62" t="str">
        <f aca="false">IF(C724="","",IFERROR(VALUE(LEFT(UPPER(SUBSTITUTE(SUBSTITUTE(SUBSTITUTE(TRIM(C724),".",""),"-","")," ","")),LEN(UPPER(SUBSTITUTE(SUBSTITUTE(SUBSTITUTE(TRIM(C724),".",""),"-","")," ","")))-1))&amp;RIGHT(UPPER(SUBSTITUTE(SUBSTITUTE(SUBSTITUTE(TRIM(C724),".",""),"-","")," ","")),1),UPPER(SUBSTITUTE(SUBSTITUTE(SUBSTITUTE(TRIM(C724),".",""),"-","")," ",""))))</f>
        <v/>
      </c>
    </row>
    <row r="725" customFormat="false" ht="15" hidden="false" customHeight="false" outlineLevel="0" collapsed="false">
      <c r="B725" s="80"/>
      <c r="C725" s="58"/>
      <c r="D725" s="62" t="str">
        <f aca="false">IF(C725="","",IFERROR(INDEX(T_NOMBRE,MATCH(V725,T_RUTN,0)),"⚠ RUT no está en Trabajadores"))</f>
        <v/>
      </c>
      <c r="E725" s="61"/>
      <c r="F725" s="61"/>
      <c r="G725" s="61"/>
      <c r="H725" s="61"/>
      <c r="I725" s="81"/>
      <c r="J725" s="81"/>
      <c r="K725" s="60"/>
      <c r="L725" s="60"/>
      <c r="M725" s="60"/>
      <c r="N725" s="60"/>
      <c r="O725" s="60"/>
      <c r="P725" s="60"/>
      <c r="Q725" s="60"/>
      <c r="R725" s="58"/>
      <c r="S725" s="62" t="str">
        <f aca="false">IF(OR(B725="",V725=""),"",IFERROR(INDEX(C_TIPO,MATCH(V725&amp;"-P"&amp;MAX(1,COUNTIFS(C_RUTN,V725,C_DEF,"Sí",C_INI,"&lt;="&amp;EOMONTH(B725,0))),C_CLAVE,0))&amp;"","Sin contrato"))</f>
        <v/>
      </c>
      <c r="T725" s="63" t="str">
        <f aca="false">IF(OR(B725="",N(O725)=0),"",N(O725)+ROUND(MIN(N(N725),TOPE_UF*UF_MES)*(TASA_EMP+MUTUAL),0)+ROUND(MIN(N(N725),TOPE_AFC_UF*UF_MES)*IF(S725="Indefinido",AFC_INDEF,AFC_PF),0))</f>
        <v/>
      </c>
      <c r="U725" s="62" t="str">
        <f aca="false">IF(C725="","",IF(LEFT(D725,1)="⚠","⚠ RUT no registrado en Trabajadores",IF(B725="","⚠ Falta el mes",IF(OR(ISTEXT(I725),ISTEXT(J725)),"⚠ Atrasos u horas extra como texto: escriba hh:mm (ej. 1:30)",IF(AND(ISNUMBER(Q725),COUNTIFS(M_RUTN,V725,M_MES,B725,M_LIQ,"&lt;&gt;")&gt;1),"⚠ Liquidación repetida en el mes",IF(AND(ISNUMBER(O725),ISNUMBER(P725),ISNUMBER(Q725),ABS(O725-P725-Q725)&gt;1),"⚠ Haberes − descuentos no da el líquido","OK"))))))</f>
        <v/>
      </c>
      <c r="V725" s="62" t="str">
        <f aca="false">IF(C725="","",IFERROR(VALUE(LEFT(UPPER(SUBSTITUTE(SUBSTITUTE(SUBSTITUTE(TRIM(C725),".",""),"-","")," ","")),LEN(UPPER(SUBSTITUTE(SUBSTITUTE(SUBSTITUTE(TRIM(C725),".",""),"-","")," ","")))-1))&amp;RIGHT(UPPER(SUBSTITUTE(SUBSTITUTE(SUBSTITUTE(TRIM(C725),".",""),"-","")," ","")),1),UPPER(SUBSTITUTE(SUBSTITUTE(SUBSTITUTE(TRIM(C725),".",""),"-","")," ",""))))</f>
        <v/>
      </c>
    </row>
    <row r="726" customFormat="false" ht="15" hidden="false" customHeight="false" outlineLevel="0" collapsed="false">
      <c r="B726" s="80"/>
      <c r="C726" s="58"/>
      <c r="D726" s="62" t="str">
        <f aca="false">IF(C726="","",IFERROR(INDEX(T_NOMBRE,MATCH(V726,T_RUTN,0)),"⚠ RUT no está en Trabajadores"))</f>
        <v/>
      </c>
      <c r="E726" s="61"/>
      <c r="F726" s="61"/>
      <c r="G726" s="61"/>
      <c r="H726" s="61"/>
      <c r="I726" s="81"/>
      <c r="J726" s="81"/>
      <c r="K726" s="60"/>
      <c r="L726" s="60"/>
      <c r="M726" s="60"/>
      <c r="N726" s="60"/>
      <c r="O726" s="60"/>
      <c r="P726" s="60"/>
      <c r="Q726" s="60"/>
      <c r="R726" s="58"/>
      <c r="S726" s="62" t="str">
        <f aca="false">IF(OR(B726="",V726=""),"",IFERROR(INDEX(C_TIPO,MATCH(V726&amp;"-P"&amp;MAX(1,COUNTIFS(C_RUTN,V726,C_DEF,"Sí",C_INI,"&lt;="&amp;EOMONTH(B726,0))),C_CLAVE,0))&amp;"","Sin contrato"))</f>
        <v/>
      </c>
      <c r="T726" s="63" t="str">
        <f aca="false">IF(OR(B726="",N(O726)=0),"",N(O726)+ROUND(MIN(N(N726),TOPE_UF*UF_MES)*(TASA_EMP+MUTUAL),0)+ROUND(MIN(N(N726),TOPE_AFC_UF*UF_MES)*IF(S726="Indefinido",AFC_INDEF,AFC_PF),0))</f>
        <v/>
      </c>
      <c r="U726" s="62" t="str">
        <f aca="false">IF(C726="","",IF(LEFT(D726,1)="⚠","⚠ RUT no registrado en Trabajadores",IF(B726="","⚠ Falta el mes",IF(OR(ISTEXT(I726),ISTEXT(J726)),"⚠ Atrasos u horas extra como texto: escriba hh:mm (ej. 1:30)",IF(AND(ISNUMBER(Q726),COUNTIFS(M_RUTN,V726,M_MES,B726,M_LIQ,"&lt;&gt;")&gt;1),"⚠ Liquidación repetida en el mes",IF(AND(ISNUMBER(O726),ISNUMBER(P726),ISNUMBER(Q726),ABS(O726-P726-Q726)&gt;1),"⚠ Haberes − descuentos no da el líquido","OK"))))))</f>
        <v/>
      </c>
      <c r="V726" s="62" t="str">
        <f aca="false">IF(C726="","",IFERROR(VALUE(LEFT(UPPER(SUBSTITUTE(SUBSTITUTE(SUBSTITUTE(TRIM(C726),".",""),"-","")," ","")),LEN(UPPER(SUBSTITUTE(SUBSTITUTE(SUBSTITUTE(TRIM(C726),".",""),"-","")," ","")))-1))&amp;RIGHT(UPPER(SUBSTITUTE(SUBSTITUTE(SUBSTITUTE(TRIM(C726),".",""),"-","")," ","")),1),UPPER(SUBSTITUTE(SUBSTITUTE(SUBSTITUTE(TRIM(C726),".",""),"-","")," ",""))))</f>
        <v/>
      </c>
    </row>
    <row r="727" customFormat="false" ht="15" hidden="false" customHeight="false" outlineLevel="0" collapsed="false">
      <c r="B727" s="80"/>
      <c r="C727" s="58"/>
      <c r="D727" s="62" t="str">
        <f aca="false">IF(C727="","",IFERROR(INDEX(T_NOMBRE,MATCH(V727,T_RUTN,0)),"⚠ RUT no está en Trabajadores"))</f>
        <v/>
      </c>
      <c r="E727" s="61"/>
      <c r="F727" s="61"/>
      <c r="G727" s="61"/>
      <c r="H727" s="61"/>
      <c r="I727" s="81"/>
      <c r="J727" s="81"/>
      <c r="K727" s="60"/>
      <c r="L727" s="60"/>
      <c r="M727" s="60"/>
      <c r="N727" s="60"/>
      <c r="O727" s="60"/>
      <c r="P727" s="60"/>
      <c r="Q727" s="60"/>
      <c r="R727" s="58"/>
      <c r="S727" s="62" t="str">
        <f aca="false">IF(OR(B727="",V727=""),"",IFERROR(INDEX(C_TIPO,MATCH(V727&amp;"-P"&amp;MAX(1,COUNTIFS(C_RUTN,V727,C_DEF,"Sí",C_INI,"&lt;="&amp;EOMONTH(B727,0))),C_CLAVE,0))&amp;"","Sin contrato"))</f>
        <v/>
      </c>
      <c r="T727" s="63" t="str">
        <f aca="false">IF(OR(B727="",N(O727)=0),"",N(O727)+ROUND(MIN(N(N727),TOPE_UF*UF_MES)*(TASA_EMP+MUTUAL),0)+ROUND(MIN(N(N727),TOPE_AFC_UF*UF_MES)*IF(S727="Indefinido",AFC_INDEF,AFC_PF),0))</f>
        <v/>
      </c>
      <c r="U727" s="62" t="str">
        <f aca="false">IF(C727="","",IF(LEFT(D727,1)="⚠","⚠ RUT no registrado en Trabajadores",IF(B727="","⚠ Falta el mes",IF(OR(ISTEXT(I727),ISTEXT(J727)),"⚠ Atrasos u horas extra como texto: escriba hh:mm (ej. 1:30)",IF(AND(ISNUMBER(Q727),COUNTIFS(M_RUTN,V727,M_MES,B727,M_LIQ,"&lt;&gt;")&gt;1),"⚠ Liquidación repetida en el mes",IF(AND(ISNUMBER(O727),ISNUMBER(P727),ISNUMBER(Q727),ABS(O727-P727-Q727)&gt;1),"⚠ Haberes − descuentos no da el líquido","OK"))))))</f>
        <v/>
      </c>
      <c r="V727" s="62" t="str">
        <f aca="false">IF(C727="","",IFERROR(VALUE(LEFT(UPPER(SUBSTITUTE(SUBSTITUTE(SUBSTITUTE(TRIM(C727),".",""),"-","")," ","")),LEN(UPPER(SUBSTITUTE(SUBSTITUTE(SUBSTITUTE(TRIM(C727),".",""),"-","")," ","")))-1))&amp;RIGHT(UPPER(SUBSTITUTE(SUBSTITUTE(SUBSTITUTE(TRIM(C727),".",""),"-","")," ","")),1),UPPER(SUBSTITUTE(SUBSTITUTE(SUBSTITUTE(TRIM(C727),".",""),"-","")," ",""))))</f>
        <v/>
      </c>
    </row>
    <row r="728" customFormat="false" ht="15" hidden="false" customHeight="false" outlineLevel="0" collapsed="false">
      <c r="B728" s="80"/>
      <c r="C728" s="58"/>
      <c r="D728" s="62" t="str">
        <f aca="false">IF(C728="","",IFERROR(INDEX(T_NOMBRE,MATCH(V728,T_RUTN,0)),"⚠ RUT no está en Trabajadores"))</f>
        <v/>
      </c>
      <c r="E728" s="61"/>
      <c r="F728" s="61"/>
      <c r="G728" s="61"/>
      <c r="H728" s="61"/>
      <c r="I728" s="81"/>
      <c r="J728" s="81"/>
      <c r="K728" s="60"/>
      <c r="L728" s="60"/>
      <c r="M728" s="60"/>
      <c r="N728" s="60"/>
      <c r="O728" s="60"/>
      <c r="P728" s="60"/>
      <c r="Q728" s="60"/>
      <c r="R728" s="58"/>
      <c r="S728" s="62" t="str">
        <f aca="false">IF(OR(B728="",V728=""),"",IFERROR(INDEX(C_TIPO,MATCH(V728&amp;"-P"&amp;MAX(1,COUNTIFS(C_RUTN,V728,C_DEF,"Sí",C_INI,"&lt;="&amp;EOMONTH(B728,0))),C_CLAVE,0))&amp;"","Sin contrato"))</f>
        <v/>
      </c>
      <c r="T728" s="63" t="str">
        <f aca="false">IF(OR(B728="",N(O728)=0),"",N(O728)+ROUND(MIN(N(N728),TOPE_UF*UF_MES)*(TASA_EMP+MUTUAL),0)+ROUND(MIN(N(N728),TOPE_AFC_UF*UF_MES)*IF(S728="Indefinido",AFC_INDEF,AFC_PF),0))</f>
        <v/>
      </c>
      <c r="U728" s="62" t="str">
        <f aca="false">IF(C728="","",IF(LEFT(D728,1)="⚠","⚠ RUT no registrado en Trabajadores",IF(B728="","⚠ Falta el mes",IF(OR(ISTEXT(I728),ISTEXT(J728)),"⚠ Atrasos u horas extra como texto: escriba hh:mm (ej. 1:30)",IF(AND(ISNUMBER(Q728),COUNTIFS(M_RUTN,V728,M_MES,B728,M_LIQ,"&lt;&gt;")&gt;1),"⚠ Liquidación repetida en el mes",IF(AND(ISNUMBER(O728),ISNUMBER(P728),ISNUMBER(Q728),ABS(O728-P728-Q728)&gt;1),"⚠ Haberes − descuentos no da el líquido","OK"))))))</f>
        <v/>
      </c>
      <c r="V728" s="62" t="str">
        <f aca="false">IF(C728="","",IFERROR(VALUE(LEFT(UPPER(SUBSTITUTE(SUBSTITUTE(SUBSTITUTE(TRIM(C728),".",""),"-","")," ","")),LEN(UPPER(SUBSTITUTE(SUBSTITUTE(SUBSTITUTE(TRIM(C728),".",""),"-","")," ","")))-1))&amp;RIGHT(UPPER(SUBSTITUTE(SUBSTITUTE(SUBSTITUTE(TRIM(C728),".",""),"-","")," ","")),1),UPPER(SUBSTITUTE(SUBSTITUTE(SUBSTITUTE(TRIM(C728),".",""),"-","")," ",""))))</f>
        <v/>
      </c>
    </row>
    <row r="729" customFormat="false" ht="15" hidden="false" customHeight="false" outlineLevel="0" collapsed="false">
      <c r="B729" s="80"/>
      <c r="C729" s="58"/>
      <c r="D729" s="62" t="str">
        <f aca="false">IF(C729="","",IFERROR(INDEX(T_NOMBRE,MATCH(V729,T_RUTN,0)),"⚠ RUT no está en Trabajadores"))</f>
        <v/>
      </c>
      <c r="E729" s="61"/>
      <c r="F729" s="61"/>
      <c r="G729" s="61"/>
      <c r="H729" s="61"/>
      <c r="I729" s="81"/>
      <c r="J729" s="81"/>
      <c r="K729" s="60"/>
      <c r="L729" s="60"/>
      <c r="M729" s="60"/>
      <c r="N729" s="60"/>
      <c r="O729" s="60"/>
      <c r="P729" s="60"/>
      <c r="Q729" s="60"/>
      <c r="R729" s="58"/>
      <c r="S729" s="62" t="str">
        <f aca="false">IF(OR(B729="",V729=""),"",IFERROR(INDEX(C_TIPO,MATCH(V729&amp;"-P"&amp;MAX(1,COUNTIFS(C_RUTN,V729,C_DEF,"Sí",C_INI,"&lt;="&amp;EOMONTH(B729,0))),C_CLAVE,0))&amp;"","Sin contrato"))</f>
        <v/>
      </c>
      <c r="T729" s="63" t="str">
        <f aca="false">IF(OR(B729="",N(O729)=0),"",N(O729)+ROUND(MIN(N(N729),TOPE_UF*UF_MES)*(TASA_EMP+MUTUAL),0)+ROUND(MIN(N(N729),TOPE_AFC_UF*UF_MES)*IF(S729="Indefinido",AFC_INDEF,AFC_PF),0))</f>
        <v/>
      </c>
      <c r="U729" s="62" t="str">
        <f aca="false">IF(C729="","",IF(LEFT(D729,1)="⚠","⚠ RUT no registrado en Trabajadores",IF(B729="","⚠ Falta el mes",IF(OR(ISTEXT(I729),ISTEXT(J729)),"⚠ Atrasos u horas extra como texto: escriba hh:mm (ej. 1:30)",IF(AND(ISNUMBER(Q729),COUNTIFS(M_RUTN,V729,M_MES,B729,M_LIQ,"&lt;&gt;")&gt;1),"⚠ Liquidación repetida en el mes",IF(AND(ISNUMBER(O729),ISNUMBER(P729),ISNUMBER(Q729),ABS(O729-P729-Q729)&gt;1),"⚠ Haberes − descuentos no da el líquido","OK"))))))</f>
        <v/>
      </c>
      <c r="V729" s="62" t="str">
        <f aca="false">IF(C729="","",IFERROR(VALUE(LEFT(UPPER(SUBSTITUTE(SUBSTITUTE(SUBSTITUTE(TRIM(C729),".",""),"-","")," ","")),LEN(UPPER(SUBSTITUTE(SUBSTITUTE(SUBSTITUTE(TRIM(C729),".",""),"-","")," ","")))-1))&amp;RIGHT(UPPER(SUBSTITUTE(SUBSTITUTE(SUBSTITUTE(TRIM(C729),".",""),"-","")," ","")),1),UPPER(SUBSTITUTE(SUBSTITUTE(SUBSTITUTE(TRIM(C729),".",""),"-","")," ",""))))</f>
        <v/>
      </c>
    </row>
    <row r="730" customFormat="false" ht="15" hidden="false" customHeight="false" outlineLevel="0" collapsed="false">
      <c r="B730" s="80"/>
      <c r="C730" s="58"/>
      <c r="D730" s="62" t="str">
        <f aca="false">IF(C730="","",IFERROR(INDEX(T_NOMBRE,MATCH(V730,T_RUTN,0)),"⚠ RUT no está en Trabajadores"))</f>
        <v/>
      </c>
      <c r="E730" s="61"/>
      <c r="F730" s="61"/>
      <c r="G730" s="61"/>
      <c r="H730" s="61"/>
      <c r="I730" s="81"/>
      <c r="J730" s="81"/>
      <c r="K730" s="60"/>
      <c r="L730" s="60"/>
      <c r="M730" s="60"/>
      <c r="N730" s="60"/>
      <c r="O730" s="60"/>
      <c r="P730" s="60"/>
      <c r="Q730" s="60"/>
      <c r="R730" s="58"/>
      <c r="S730" s="62" t="str">
        <f aca="false">IF(OR(B730="",V730=""),"",IFERROR(INDEX(C_TIPO,MATCH(V730&amp;"-P"&amp;MAX(1,COUNTIFS(C_RUTN,V730,C_DEF,"Sí",C_INI,"&lt;="&amp;EOMONTH(B730,0))),C_CLAVE,0))&amp;"","Sin contrato"))</f>
        <v/>
      </c>
      <c r="T730" s="63" t="str">
        <f aca="false">IF(OR(B730="",N(O730)=0),"",N(O730)+ROUND(MIN(N(N730),TOPE_UF*UF_MES)*(TASA_EMP+MUTUAL),0)+ROUND(MIN(N(N730),TOPE_AFC_UF*UF_MES)*IF(S730="Indefinido",AFC_INDEF,AFC_PF),0))</f>
        <v/>
      </c>
      <c r="U730" s="62" t="str">
        <f aca="false">IF(C730="","",IF(LEFT(D730,1)="⚠","⚠ RUT no registrado en Trabajadores",IF(B730="","⚠ Falta el mes",IF(OR(ISTEXT(I730),ISTEXT(J730)),"⚠ Atrasos u horas extra como texto: escriba hh:mm (ej. 1:30)",IF(AND(ISNUMBER(Q730),COUNTIFS(M_RUTN,V730,M_MES,B730,M_LIQ,"&lt;&gt;")&gt;1),"⚠ Liquidación repetida en el mes",IF(AND(ISNUMBER(O730),ISNUMBER(P730),ISNUMBER(Q730),ABS(O730-P730-Q730)&gt;1),"⚠ Haberes − descuentos no da el líquido","OK"))))))</f>
        <v/>
      </c>
      <c r="V730" s="62" t="str">
        <f aca="false">IF(C730="","",IFERROR(VALUE(LEFT(UPPER(SUBSTITUTE(SUBSTITUTE(SUBSTITUTE(TRIM(C730),".",""),"-","")," ","")),LEN(UPPER(SUBSTITUTE(SUBSTITUTE(SUBSTITUTE(TRIM(C730),".",""),"-","")," ","")))-1))&amp;RIGHT(UPPER(SUBSTITUTE(SUBSTITUTE(SUBSTITUTE(TRIM(C730),".",""),"-","")," ","")),1),UPPER(SUBSTITUTE(SUBSTITUTE(SUBSTITUTE(TRIM(C730),".",""),"-","")," ",""))))</f>
        <v/>
      </c>
    </row>
    <row r="731" customFormat="false" ht="15" hidden="false" customHeight="false" outlineLevel="0" collapsed="false">
      <c r="B731" s="80"/>
      <c r="C731" s="58"/>
      <c r="D731" s="62" t="str">
        <f aca="false">IF(C731="","",IFERROR(INDEX(T_NOMBRE,MATCH(V731,T_RUTN,0)),"⚠ RUT no está en Trabajadores"))</f>
        <v/>
      </c>
      <c r="E731" s="61"/>
      <c r="F731" s="61"/>
      <c r="G731" s="61"/>
      <c r="H731" s="61"/>
      <c r="I731" s="81"/>
      <c r="J731" s="81"/>
      <c r="K731" s="60"/>
      <c r="L731" s="60"/>
      <c r="M731" s="60"/>
      <c r="N731" s="60"/>
      <c r="O731" s="60"/>
      <c r="P731" s="60"/>
      <c r="Q731" s="60"/>
      <c r="R731" s="58"/>
      <c r="S731" s="62" t="str">
        <f aca="false">IF(OR(B731="",V731=""),"",IFERROR(INDEX(C_TIPO,MATCH(V731&amp;"-P"&amp;MAX(1,COUNTIFS(C_RUTN,V731,C_DEF,"Sí",C_INI,"&lt;="&amp;EOMONTH(B731,0))),C_CLAVE,0))&amp;"","Sin contrato"))</f>
        <v/>
      </c>
      <c r="T731" s="63" t="str">
        <f aca="false">IF(OR(B731="",N(O731)=0),"",N(O731)+ROUND(MIN(N(N731),TOPE_UF*UF_MES)*(TASA_EMP+MUTUAL),0)+ROUND(MIN(N(N731),TOPE_AFC_UF*UF_MES)*IF(S731="Indefinido",AFC_INDEF,AFC_PF),0))</f>
        <v/>
      </c>
      <c r="U731" s="62" t="str">
        <f aca="false">IF(C731="","",IF(LEFT(D731,1)="⚠","⚠ RUT no registrado en Trabajadores",IF(B731="","⚠ Falta el mes",IF(OR(ISTEXT(I731),ISTEXT(J731)),"⚠ Atrasos u horas extra como texto: escriba hh:mm (ej. 1:30)",IF(AND(ISNUMBER(Q731),COUNTIFS(M_RUTN,V731,M_MES,B731,M_LIQ,"&lt;&gt;")&gt;1),"⚠ Liquidación repetida en el mes",IF(AND(ISNUMBER(O731),ISNUMBER(P731),ISNUMBER(Q731),ABS(O731-P731-Q731)&gt;1),"⚠ Haberes − descuentos no da el líquido","OK"))))))</f>
        <v/>
      </c>
      <c r="V731" s="62" t="str">
        <f aca="false">IF(C731="","",IFERROR(VALUE(LEFT(UPPER(SUBSTITUTE(SUBSTITUTE(SUBSTITUTE(TRIM(C731),".",""),"-","")," ","")),LEN(UPPER(SUBSTITUTE(SUBSTITUTE(SUBSTITUTE(TRIM(C731),".",""),"-","")," ","")))-1))&amp;RIGHT(UPPER(SUBSTITUTE(SUBSTITUTE(SUBSTITUTE(TRIM(C731),".",""),"-","")," ","")),1),UPPER(SUBSTITUTE(SUBSTITUTE(SUBSTITUTE(TRIM(C731),".",""),"-","")," ",""))))</f>
        <v/>
      </c>
    </row>
    <row r="732" customFormat="false" ht="15" hidden="false" customHeight="false" outlineLevel="0" collapsed="false">
      <c r="B732" s="80"/>
      <c r="C732" s="58"/>
      <c r="D732" s="62" t="str">
        <f aca="false">IF(C732="","",IFERROR(INDEX(T_NOMBRE,MATCH(V732,T_RUTN,0)),"⚠ RUT no está en Trabajadores"))</f>
        <v/>
      </c>
      <c r="E732" s="61"/>
      <c r="F732" s="61"/>
      <c r="G732" s="61"/>
      <c r="H732" s="61"/>
      <c r="I732" s="81"/>
      <c r="J732" s="81"/>
      <c r="K732" s="60"/>
      <c r="L732" s="60"/>
      <c r="M732" s="60"/>
      <c r="N732" s="60"/>
      <c r="O732" s="60"/>
      <c r="P732" s="60"/>
      <c r="Q732" s="60"/>
      <c r="R732" s="58"/>
      <c r="S732" s="62" t="str">
        <f aca="false">IF(OR(B732="",V732=""),"",IFERROR(INDEX(C_TIPO,MATCH(V732&amp;"-P"&amp;MAX(1,COUNTIFS(C_RUTN,V732,C_DEF,"Sí",C_INI,"&lt;="&amp;EOMONTH(B732,0))),C_CLAVE,0))&amp;"","Sin contrato"))</f>
        <v/>
      </c>
      <c r="T732" s="63" t="str">
        <f aca="false">IF(OR(B732="",N(O732)=0),"",N(O732)+ROUND(MIN(N(N732),TOPE_UF*UF_MES)*(TASA_EMP+MUTUAL),0)+ROUND(MIN(N(N732),TOPE_AFC_UF*UF_MES)*IF(S732="Indefinido",AFC_INDEF,AFC_PF),0))</f>
        <v/>
      </c>
      <c r="U732" s="62" t="str">
        <f aca="false">IF(C732="","",IF(LEFT(D732,1)="⚠","⚠ RUT no registrado en Trabajadores",IF(B732="","⚠ Falta el mes",IF(OR(ISTEXT(I732),ISTEXT(J732)),"⚠ Atrasos u horas extra como texto: escriba hh:mm (ej. 1:30)",IF(AND(ISNUMBER(Q732),COUNTIFS(M_RUTN,V732,M_MES,B732,M_LIQ,"&lt;&gt;")&gt;1),"⚠ Liquidación repetida en el mes",IF(AND(ISNUMBER(O732),ISNUMBER(P732),ISNUMBER(Q732),ABS(O732-P732-Q732)&gt;1),"⚠ Haberes − descuentos no da el líquido","OK"))))))</f>
        <v/>
      </c>
      <c r="V732" s="62" t="str">
        <f aca="false">IF(C732="","",IFERROR(VALUE(LEFT(UPPER(SUBSTITUTE(SUBSTITUTE(SUBSTITUTE(TRIM(C732),".",""),"-","")," ","")),LEN(UPPER(SUBSTITUTE(SUBSTITUTE(SUBSTITUTE(TRIM(C732),".",""),"-","")," ","")))-1))&amp;RIGHT(UPPER(SUBSTITUTE(SUBSTITUTE(SUBSTITUTE(TRIM(C732),".",""),"-","")," ","")),1),UPPER(SUBSTITUTE(SUBSTITUTE(SUBSTITUTE(TRIM(C732),".",""),"-","")," ",""))))</f>
        <v/>
      </c>
    </row>
    <row r="733" customFormat="false" ht="15" hidden="false" customHeight="false" outlineLevel="0" collapsed="false">
      <c r="B733" s="80"/>
      <c r="C733" s="58"/>
      <c r="D733" s="62" t="str">
        <f aca="false">IF(C733="","",IFERROR(INDEX(T_NOMBRE,MATCH(V733,T_RUTN,0)),"⚠ RUT no está en Trabajadores"))</f>
        <v/>
      </c>
      <c r="E733" s="61"/>
      <c r="F733" s="61"/>
      <c r="G733" s="61"/>
      <c r="H733" s="61"/>
      <c r="I733" s="81"/>
      <c r="J733" s="81"/>
      <c r="K733" s="60"/>
      <c r="L733" s="60"/>
      <c r="M733" s="60"/>
      <c r="N733" s="60"/>
      <c r="O733" s="60"/>
      <c r="P733" s="60"/>
      <c r="Q733" s="60"/>
      <c r="R733" s="58"/>
      <c r="S733" s="62" t="str">
        <f aca="false">IF(OR(B733="",V733=""),"",IFERROR(INDEX(C_TIPO,MATCH(V733&amp;"-P"&amp;MAX(1,COUNTIFS(C_RUTN,V733,C_DEF,"Sí",C_INI,"&lt;="&amp;EOMONTH(B733,0))),C_CLAVE,0))&amp;"","Sin contrato"))</f>
        <v/>
      </c>
      <c r="T733" s="63" t="str">
        <f aca="false">IF(OR(B733="",N(O733)=0),"",N(O733)+ROUND(MIN(N(N733),TOPE_UF*UF_MES)*(TASA_EMP+MUTUAL),0)+ROUND(MIN(N(N733),TOPE_AFC_UF*UF_MES)*IF(S733="Indefinido",AFC_INDEF,AFC_PF),0))</f>
        <v/>
      </c>
      <c r="U733" s="62" t="str">
        <f aca="false">IF(C733="","",IF(LEFT(D733,1)="⚠","⚠ RUT no registrado en Trabajadores",IF(B733="","⚠ Falta el mes",IF(OR(ISTEXT(I733),ISTEXT(J733)),"⚠ Atrasos u horas extra como texto: escriba hh:mm (ej. 1:30)",IF(AND(ISNUMBER(Q733),COUNTIFS(M_RUTN,V733,M_MES,B733,M_LIQ,"&lt;&gt;")&gt;1),"⚠ Liquidación repetida en el mes",IF(AND(ISNUMBER(O733),ISNUMBER(P733),ISNUMBER(Q733),ABS(O733-P733-Q733)&gt;1),"⚠ Haberes − descuentos no da el líquido","OK"))))))</f>
        <v/>
      </c>
      <c r="V733" s="62" t="str">
        <f aca="false">IF(C733="","",IFERROR(VALUE(LEFT(UPPER(SUBSTITUTE(SUBSTITUTE(SUBSTITUTE(TRIM(C733),".",""),"-","")," ","")),LEN(UPPER(SUBSTITUTE(SUBSTITUTE(SUBSTITUTE(TRIM(C733),".",""),"-","")," ","")))-1))&amp;RIGHT(UPPER(SUBSTITUTE(SUBSTITUTE(SUBSTITUTE(TRIM(C733),".",""),"-","")," ","")),1),UPPER(SUBSTITUTE(SUBSTITUTE(SUBSTITUTE(TRIM(C733),".",""),"-","")," ",""))))</f>
        <v/>
      </c>
    </row>
    <row r="734" customFormat="false" ht="15" hidden="false" customHeight="false" outlineLevel="0" collapsed="false">
      <c r="B734" s="80"/>
      <c r="C734" s="58"/>
      <c r="D734" s="62" t="str">
        <f aca="false">IF(C734="","",IFERROR(INDEX(T_NOMBRE,MATCH(V734,T_RUTN,0)),"⚠ RUT no está en Trabajadores"))</f>
        <v/>
      </c>
      <c r="E734" s="61"/>
      <c r="F734" s="61"/>
      <c r="G734" s="61"/>
      <c r="H734" s="61"/>
      <c r="I734" s="81"/>
      <c r="J734" s="81"/>
      <c r="K734" s="60"/>
      <c r="L734" s="60"/>
      <c r="M734" s="60"/>
      <c r="N734" s="60"/>
      <c r="O734" s="60"/>
      <c r="P734" s="60"/>
      <c r="Q734" s="60"/>
      <c r="R734" s="58"/>
      <c r="S734" s="62" t="str">
        <f aca="false">IF(OR(B734="",V734=""),"",IFERROR(INDEX(C_TIPO,MATCH(V734&amp;"-P"&amp;MAX(1,COUNTIFS(C_RUTN,V734,C_DEF,"Sí",C_INI,"&lt;="&amp;EOMONTH(B734,0))),C_CLAVE,0))&amp;"","Sin contrato"))</f>
        <v/>
      </c>
      <c r="T734" s="63" t="str">
        <f aca="false">IF(OR(B734="",N(O734)=0),"",N(O734)+ROUND(MIN(N(N734),TOPE_UF*UF_MES)*(TASA_EMP+MUTUAL),0)+ROUND(MIN(N(N734),TOPE_AFC_UF*UF_MES)*IF(S734="Indefinido",AFC_INDEF,AFC_PF),0))</f>
        <v/>
      </c>
      <c r="U734" s="62" t="str">
        <f aca="false">IF(C734="","",IF(LEFT(D734,1)="⚠","⚠ RUT no registrado en Trabajadores",IF(B734="","⚠ Falta el mes",IF(OR(ISTEXT(I734),ISTEXT(J734)),"⚠ Atrasos u horas extra como texto: escriba hh:mm (ej. 1:30)",IF(AND(ISNUMBER(Q734),COUNTIFS(M_RUTN,V734,M_MES,B734,M_LIQ,"&lt;&gt;")&gt;1),"⚠ Liquidación repetida en el mes",IF(AND(ISNUMBER(O734),ISNUMBER(P734),ISNUMBER(Q734),ABS(O734-P734-Q734)&gt;1),"⚠ Haberes − descuentos no da el líquido","OK"))))))</f>
        <v/>
      </c>
      <c r="V734" s="62" t="str">
        <f aca="false">IF(C734="","",IFERROR(VALUE(LEFT(UPPER(SUBSTITUTE(SUBSTITUTE(SUBSTITUTE(TRIM(C734),".",""),"-","")," ","")),LEN(UPPER(SUBSTITUTE(SUBSTITUTE(SUBSTITUTE(TRIM(C734),".",""),"-","")," ","")))-1))&amp;RIGHT(UPPER(SUBSTITUTE(SUBSTITUTE(SUBSTITUTE(TRIM(C734),".",""),"-","")," ","")),1),UPPER(SUBSTITUTE(SUBSTITUTE(SUBSTITUTE(TRIM(C734),".",""),"-","")," ",""))))</f>
        <v/>
      </c>
    </row>
    <row r="735" customFormat="false" ht="15" hidden="false" customHeight="false" outlineLevel="0" collapsed="false">
      <c r="B735" s="80"/>
      <c r="C735" s="58"/>
      <c r="D735" s="62" t="str">
        <f aca="false">IF(C735="","",IFERROR(INDEX(T_NOMBRE,MATCH(V735,T_RUTN,0)),"⚠ RUT no está en Trabajadores"))</f>
        <v/>
      </c>
      <c r="E735" s="61"/>
      <c r="F735" s="61"/>
      <c r="G735" s="61"/>
      <c r="H735" s="61"/>
      <c r="I735" s="81"/>
      <c r="J735" s="81"/>
      <c r="K735" s="60"/>
      <c r="L735" s="60"/>
      <c r="M735" s="60"/>
      <c r="N735" s="60"/>
      <c r="O735" s="60"/>
      <c r="P735" s="60"/>
      <c r="Q735" s="60"/>
      <c r="R735" s="58"/>
      <c r="S735" s="62" t="str">
        <f aca="false">IF(OR(B735="",V735=""),"",IFERROR(INDEX(C_TIPO,MATCH(V735&amp;"-P"&amp;MAX(1,COUNTIFS(C_RUTN,V735,C_DEF,"Sí",C_INI,"&lt;="&amp;EOMONTH(B735,0))),C_CLAVE,0))&amp;"","Sin contrato"))</f>
        <v/>
      </c>
      <c r="T735" s="63" t="str">
        <f aca="false">IF(OR(B735="",N(O735)=0),"",N(O735)+ROUND(MIN(N(N735),TOPE_UF*UF_MES)*(TASA_EMP+MUTUAL),0)+ROUND(MIN(N(N735),TOPE_AFC_UF*UF_MES)*IF(S735="Indefinido",AFC_INDEF,AFC_PF),0))</f>
        <v/>
      </c>
      <c r="U735" s="62" t="str">
        <f aca="false">IF(C735="","",IF(LEFT(D735,1)="⚠","⚠ RUT no registrado en Trabajadores",IF(B735="","⚠ Falta el mes",IF(OR(ISTEXT(I735),ISTEXT(J735)),"⚠ Atrasos u horas extra como texto: escriba hh:mm (ej. 1:30)",IF(AND(ISNUMBER(Q735),COUNTIFS(M_RUTN,V735,M_MES,B735,M_LIQ,"&lt;&gt;")&gt;1),"⚠ Liquidación repetida en el mes",IF(AND(ISNUMBER(O735),ISNUMBER(P735),ISNUMBER(Q735),ABS(O735-P735-Q735)&gt;1),"⚠ Haberes − descuentos no da el líquido","OK"))))))</f>
        <v/>
      </c>
      <c r="V735" s="62" t="str">
        <f aca="false">IF(C735="","",IFERROR(VALUE(LEFT(UPPER(SUBSTITUTE(SUBSTITUTE(SUBSTITUTE(TRIM(C735),".",""),"-","")," ","")),LEN(UPPER(SUBSTITUTE(SUBSTITUTE(SUBSTITUTE(TRIM(C735),".",""),"-","")," ","")))-1))&amp;RIGHT(UPPER(SUBSTITUTE(SUBSTITUTE(SUBSTITUTE(TRIM(C735),".",""),"-","")," ","")),1),UPPER(SUBSTITUTE(SUBSTITUTE(SUBSTITUTE(TRIM(C735),".",""),"-","")," ",""))))</f>
        <v/>
      </c>
    </row>
    <row r="736" customFormat="false" ht="15" hidden="false" customHeight="false" outlineLevel="0" collapsed="false">
      <c r="B736" s="80"/>
      <c r="C736" s="58"/>
      <c r="D736" s="62" t="str">
        <f aca="false">IF(C736="","",IFERROR(INDEX(T_NOMBRE,MATCH(V736,T_RUTN,0)),"⚠ RUT no está en Trabajadores"))</f>
        <v/>
      </c>
      <c r="E736" s="61"/>
      <c r="F736" s="61"/>
      <c r="G736" s="61"/>
      <c r="H736" s="61"/>
      <c r="I736" s="81"/>
      <c r="J736" s="81"/>
      <c r="K736" s="60"/>
      <c r="L736" s="60"/>
      <c r="M736" s="60"/>
      <c r="N736" s="60"/>
      <c r="O736" s="60"/>
      <c r="P736" s="60"/>
      <c r="Q736" s="60"/>
      <c r="R736" s="58"/>
      <c r="S736" s="62" t="str">
        <f aca="false">IF(OR(B736="",V736=""),"",IFERROR(INDEX(C_TIPO,MATCH(V736&amp;"-P"&amp;MAX(1,COUNTIFS(C_RUTN,V736,C_DEF,"Sí",C_INI,"&lt;="&amp;EOMONTH(B736,0))),C_CLAVE,0))&amp;"","Sin contrato"))</f>
        <v/>
      </c>
      <c r="T736" s="63" t="str">
        <f aca="false">IF(OR(B736="",N(O736)=0),"",N(O736)+ROUND(MIN(N(N736),TOPE_UF*UF_MES)*(TASA_EMP+MUTUAL),0)+ROUND(MIN(N(N736),TOPE_AFC_UF*UF_MES)*IF(S736="Indefinido",AFC_INDEF,AFC_PF),0))</f>
        <v/>
      </c>
      <c r="U736" s="62" t="str">
        <f aca="false">IF(C736="","",IF(LEFT(D736,1)="⚠","⚠ RUT no registrado en Trabajadores",IF(B736="","⚠ Falta el mes",IF(OR(ISTEXT(I736),ISTEXT(J736)),"⚠ Atrasos u horas extra como texto: escriba hh:mm (ej. 1:30)",IF(AND(ISNUMBER(Q736),COUNTIFS(M_RUTN,V736,M_MES,B736,M_LIQ,"&lt;&gt;")&gt;1),"⚠ Liquidación repetida en el mes",IF(AND(ISNUMBER(O736),ISNUMBER(P736),ISNUMBER(Q736),ABS(O736-P736-Q736)&gt;1),"⚠ Haberes − descuentos no da el líquido","OK"))))))</f>
        <v/>
      </c>
      <c r="V736" s="62" t="str">
        <f aca="false">IF(C736="","",IFERROR(VALUE(LEFT(UPPER(SUBSTITUTE(SUBSTITUTE(SUBSTITUTE(TRIM(C736),".",""),"-","")," ","")),LEN(UPPER(SUBSTITUTE(SUBSTITUTE(SUBSTITUTE(TRIM(C736),".",""),"-","")," ","")))-1))&amp;RIGHT(UPPER(SUBSTITUTE(SUBSTITUTE(SUBSTITUTE(TRIM(C736),".",""),"-","")," ","")),1),UPPER(SUBSTITUTE(SUBSTITUTE(SUBSTITUTE(TRIM(C736),".",""),"-","")," ",""))))</f>
        <v/>
      </c>
    </row>
    <row r="737" customFormat="false" ht="15" hidden="false" customHeight="false" outlineLevel="0" collapsed="false">
      <c r="B737" s="80"/>
      <c r="C737" s="58"/>
      <c r="D737" s="62" t="str">
        <f aca="false">IF(C737="","",IFERROR(INDEX(T_NOMBRE,MATCH(V737,T_RUTN,0)),"⚠ RUT no está en Trabajadores"))</f>
        <v/>
      </c>
      <c r="E737" s="61"/>
      <c r="F737" s="61"/>
      <c r="G737" s="61"/>
      <c r="H737" s="61"/>
      <c r="I737" s="81"/>
      <c r="J737" s="81"/>
      <c r="K737" s="60"/>
      <c r="L737" s="60"/>
      <c r="M737" s="60"/>
      <c r="N737" s="60"/>
      <c r="O737" s="60"/>
      <c r="P737" s="60"/>
      <c r="Q737" s="60"/>
      <c r="R737" s="58"/>
      <c r="S737" s="62" t="str">
        <f aca="false">IF(OR(B737="",V737=""),"",IFERROR(INDEX(C_TIPO,MATCH(V737&amp;"-P"&amp;MAX(1,COUNTIFS(C_RUTN,V737,C_DEF,"Sí",C_INI,"&lt;="&amp;EOMONTH(B737,0))),C_CLAVE,0))&amp;"","Sin contrato"))</f>
        <v/>
      </c>
      <c r="T737" s="63" t="str">
        <f aca="false">IF(OR(B737="",N(O737)=0),"",N(O737)+ROUND(MIN(N(N737),TOPE_UF*UF_MES)*(TASA_EMP+MUTUAL),0)+ROUND(MIN(N(N737),TOPE_AFC_UF*UF_MES)*IF(S737="Indefinido",AFC_INDEF,AFC_PF),0))</f>
        <v/>
      </c>
      <c r="U737" s="62" t="str">
        <f aca="false">IF(C737="","",IF(LEFT(D737,1)="⚠","⚠ RUT no registrado en Trabajadores",IF(B737="","⚠ Falta el mes",IF(OR(ISTEXT(I737),ISTEXT(J737)),"⚠ Atrasos u horas extra como texto: escriba hh:mm (ej. 1:30)",IF(AND(ISNUMBER(Q737),COUNTIFS(M_RUTN,V737,M_MES,B737,M_LIQ,"&lt;&gt;")&gt;1),"⚠ Liquidación repetida en el mes",IF(AND(ISNUMBER(O737),ISNUMBER(P737),ISNUMBER(Q737),ABS(O737-P737-Q737)&gt;1),"⚠ Haberes − descuentos no da el líquido","OK"))))))</f>
        <v/>
      </c>
      <c r="V737" s="62" t="str">
        <f aca="false">IF(C737="","",IFERROR(VALUE(LEFT(UPPER(SUBSTITUTE(SUBSTITUTE(SUBSTITUTE(TRIM(C737),".",""),"-","")," ","")),LEN(UPPER(SUBSTITUTE(SUBSTITUTE(SUBSTITUTE(TRIM(C737),".",""),"-","")," ","")))-1))&amp;RIGHT(UPPER(SUBSTITUTE(SUBSTITUTE(SUBSTITUTE(TRIM(C737),".",""),"-","")," ","")),1),UPPER(SUBSTITUTE(SUBSTITUTE(SUBSTITUTE(TRIM(C737),".",""),"-","")," ",""))))</f>
        <v/>
      </c>
    </row>
    <row r="738" customFormat="false" ht="15" hidden="false" customHeight="false" outlineLevel="0" collapsed="false">
      <c r="B738" s="80"/>
      <c r="C738" s="58"/>
      <c r="D738" s="62" t="str">
        <f aca="false">IF(C738="","",IFERROR(INDEX(T_NOMBRE,MATCH(V738,T_RUTN,0)),"⚠ RUT no está en Trabajadores"))</f>
        <v/>
      </c>
      <c r="E738" s="61"/>
      <c r="F738" s="61"/>
      <c r="G738" s="61"/>
      <c r="H738" s="61"/>
      <c r="I738" s="81"/>
      <c r="J738" s="81"/>
      <c r="K738" s="60"/>
      <c r="L738" s="60"/>
      <c r="M738" s="60"/>
      <c r="N738" s="60"/>
      <c r="O738" s="60"/>
      <c r="P738" s="60"/>
      <c r="Q738" s="60"/>
      <c r="R738" s="58"/>
      <c r="S738" s="62" t="str">
        <f aca="false">IF(OR(B738="",V738=""),"",IFERROR(INDEX(C_TIPO,MATCH(V738&amp;"-P"&amp;MAX(1,COUNTIFS(C_RUTN,V738,C_DEF,"Sí",C_INI,"&lt;="&amp;EOMONTH(B738,0))),C_CLAVE,0))&amp;"","Sin contrato"))</f>
        <v/>
      </c>
      <c r="T738" s="63" t="str">
        <f aca="false">IF(OR(B738="",N(O738)=0),"",N(O738)+ROUND(MIN(N(N738),TOPE_UF*UF_MES)*(TASA_EMP+MUTUAL),0)+ROUND(MIN(N(N738),TOPE_AFC_UF*UF_MES)*IF(S738="Indefinido",AFC_INDEF,AFC_PF),0))</f>
        <v/>
      </c>
      <c r="U738" s="62" t="str">
        <f aca="false">IF(C738="","",IF(LEFT(D738,1)="⚠","⚠ RUT no registrado en Trabajadores",IF(B738="","⚠ Falta el mes",IF(OR(ISTEXT(I738),ISTEXT(J738)),"⚠ Atrasos u horas extra como texto: escriba hh:mm (ej. 1:30)",IF(AND(ISNUMBER(Q738),COUNTIFS(M_RUTN,V738,M_MES,B738,M_LIQ,"&lt;&gt;")&gt;1),"⚠ Liquidación repetida en el mes",IF(AND(ISNUMBER(O738),ISNUMBER(P738),ISNUMBER(Q738),ABS(O738-P738-Q738)&gt;1),"⚠ Haberes − descuentos no da el líquido","OK"))))))</f>
        <v/>
      </c>
      <c r="V738" s="62" t="str">
        <f aca="false">IF(C738="","",IFERROR(VALUE(LEFT(UPPER(SUBSTITUTE(SUBSTITUTE(SUBSTITUTE(TRIM(C738),".",""),"-","")," ","")),LEN(UPPER(SUBSTITUTE(SUBSTITUTE(SUBSTITUTE(TRIM(C738),".",""),"-","")," ","")))-1))&amp;RIGHT(UPPER(SUBSTITUTE(SUBSTITUTE(SUBSTITUTE(TRIM(C738),".",""),"-","")," ","")),1),UPPER(SUBSTITUTE(SUBSTITUTE(SUBSTITUTE(TRIM(C738),".",""),"-","")," ",""))))</f>
        <v/>
      </c>
    </row>
    <row r="739" customFormat="false" ht="15" hidden="false" customHeight="false" outlineLevel="0" collapsed="false">
      <c r="B739" s="80"/>
      <c r="C739" s="58"/>
      <c r="D739" s="62" t="str">
        <f aca="false">IF(C739="","",IFERROR(INDEX(T_NOMBRE,MATCH(V739,T_RUTN,0)),"⚠ RUT no está en Trabajadores"))</f>
        <v/>
      </c>
      <c r="E739" s="61"/>
      <c r="F739" s="61"/>
      <c r="G739" s="61"/>
      <c r="H739" s="61"/>
      <c r="I739" s="81"/>
      <c r="J739" s="81"/>
      <c r="K739" s="60"/>
      <c r="L739" s="60"/>
      <c r="M739" s="60"/>
      <c r="N739" s="60"/>
      <c r="O739" s="60"/>
      <c r="P739" s="60"/>
      <c r="Q739" s="60"/>
      <c r="R739" s="58"/>
      <c r="S739" s="62" t="str">
        <f aca="false">IF(OR(B739="",V739=""),"",IFERROR(INDEX(C_TIPO,MATCH(V739&amp;"-P"&amp;MAX(1,COUNTIFS(C_RUTN,V739,C_DEF,"Sí",C_INI,"&lt;="&amp;EOMONTH(B739,0))),C_CLAVE,0))&amp;"","Sin contrato"))</f>
        <v/>
      </c>
      <c r="T739" s="63" t="str">
        <f aca="false">IF(OR(B739="",N(O739)=0),"",N(O739)+ROUND(MIN(N(N739),TOPE_UF*UF_MES)*(TASA_EMP+MUTUAL),0)+ROUND(MIN(N(N739),TOPE_AFC_UF*UF_MES)*IF(S739="Indefinido",AFC_INDEF,AFC_PF),0))</f>
        <v/>
      </c>
      <c r="U739" s="62" t="str">
        <f aca="false">IF(C739="","",IF(LEFT(D739,1)="⚠","⚠ RUT no registrado en Trabajadores",IF(B739="","⚠ Falta el mes",IF(OR(ISTEXT(I739),ISTEXT(J739)),"⚠ Atrasos u horas extra como texto: escriba hh:mm (ej. 1:30)",IF(AND(ISNUMBER(Q739),COUNTIFS(M_RUTN,V739,M_MES,B739,M_LIQ,"&lt;&gt;")&gt;1),"⚠ Liquidación repetida en el mes",IF(AND(ISNUMBER(O739),ISNUMBER(P739),ISNUMBER(Q739),ABS(O739-P739-Q739)&gt;1),"⚠ Haberes − descuentos no da el líquido","OK"))))))</f>
        <v/>
      </c>
      <c r="V739" s="62" t="str">
        <f aca="false">IF(C739="","",IFERROR(VALUE(LEFT(UPPER(SUBSTITUTE(SUBSTITUTE(SUBSTITUTE(TRIM(C739),".",""),"-","")," ","")),LEN(UPPER(SUBSTITUTE(SUBSTITUTE(SUBSTITUTE(TRIM(C739),".",""),"-","")," ","")))-1))&amp;RIGHT(UPPER(SUBSTITUTE(SUBSTITUTE(SUBSTITUTE(TRIM(C739),".",""),"-","")," ","")),1),UPPER(SUBSTITUTE(SUBSTITUTE(SUBSTITUTE(TRIM(C739),".",""),"-","")," ",""))))</f>
        <v/>
      </c>
    </row>
    <row r="740" customFormat="false" ht="15" hidden="false" customHeight="false" outlineLevel="0" collapsed="false">
      <c r="B740" s="80"/>
      <c r="C740" s="58"/>
      <c r="D740" s="62" t="str">
        <f aca="false">IF(C740="","",IFERROR(INDEX(T_NOMBRE,MATCH(V740,T_RUTN,0)),"⚠ RUT no está en Trabajadores"))</f>
        <v/>
      </c>
      <c r="E740" s="61"/>
      <c r="F740" s="61"/>
      <c r="G740" s="61"/>
      <c r="H740" s="61"/>
      <c r="I740" s="81"/>
      <c r="J740" s="81"/>
      <c r="K740" s="60"/>
      <c r="L740" s="60"/>
      <c r="M740" s="60"/>
      <c r="N740" s="60"/>
      <c r="O740" s="60"/>
      <c r="P740" s="60"/>
      <c r="Q740" s="60"/>
      <c r="R740" s="58"/>
      <c r="S740" s="62" t="str">
        <f aca="false">IF(OR(B740="",V740=""),"",IFERROR(INDEX(C_TIPO,MATCH(V740&amp;"-P"&amp;MAX(1,COUNTIFS(C_RUTN,V740,C_DEF,"Sí",C_INI,"&lt;="&amp;EOMONTH(B740,0))),C_CLAVE,0))&amp;"","Sin contrato"))</f>
        <v/>
      </c>
      <c r="T740" s="63" t="str">
        <f aca="false">IF(OR(B740="",N(O740)=0),"",N(O740)+ROUND(MIN(N(N740),TOPE_UF*UF_MES)*(TASA_EMP+MUTUAL),0)+ROUND(MIN(N(N740),TOPE_AFC_UF*UF_MES)*IF(S740="Indefinido",AFC_INDEF,AFC_PF),0))</f>
        <v/>
      </c>
      <c r="U740" s="62" t="str">
        <f aca="false">IF(C740="","",IF(LEFT(D740,1)="⚠","⚠ RUT no registrado en Trabajadores",IF(B740="","⚠ Falta el mes",IF(OR(ISTEXT(I740),ISTEXT(J740)),"⚠ Atrasos u horas extra como texto: escriba hh:mm (ej. 1:30)",IF(AND(ISNUMBER(Q740),COUNTIFS(M_RUTN,V740,M_MES,B740,M_LIQ,"&lt;&gt;")&gt;1),"⚠ Liquidación repetida en el mes",IF(AND(ISNUMBER(O740),ISNUMBER(P740),ISNUMBER(Q740),ABS(O740-P740-Q740)&gt;1),"⚠ Haberes − descuentos no da el líquido","OK"))))))</f>
        <v/>
      </c>
      <c r="V740" s="62" t="str">
        <f aca="false">IF(C740="","",IFERROR(VALUE(LEFT(UPPER(SUBSTITUTE(SUBSTITUTE(SUBSTITUTE(TRIM(C740),".",""),"-","")," ","")),LEN(UPPER(SUBSTITUTE(SUBSTITUTE(SUBSTITUTE(TRIM(C740),".",""),"-","")," ","")))-1))&amp;RIGHT(UPPER(SUBSTITUTE(SUBSTITUTE(SUBSTITUTE(TRIM(C740),".",""),"-","")," ","")),1),UPPER(SUBSTITUTE(SUBSTITUTE(SUBSTITUTE(TRIM(C740),".",""),"-","")," ",""))))</f>
        <v/>
      </c>
    </row>
    <row r="741" customFormat="false" ht="15" hidden="false" customHeight="false" outlineLevel="0" collapsed="false">
      <c r="B741" s="80"/>
      <c r="C741" s="58"/>
      <c r="D741" s="62" t="str">
        <f aca="false">IF(C741="","",IFERROR(INDEX(T_NOMBRE,MATCH(V741,T_RUTN,0)),"⚠ RUT no está en Trabajadores"))</f>
        <v/>
      </c>
      <c r="E741" s="61"/>
      <c r="F741" s="61"/>
      <c r="G741" s="61"/>
      <c r="H741" s="61"/>
      <c r="I741" s="81"/>
      <c r="J741" s="81"/>
      <c r="K741" s="60"/>
      <c r="L741" s="60"/>
      <c r="M741" s="60"/>
      <c r="N741" s="60"/>
      <c r="O741" s="60"/>
      <c r="P741" s="60"/>
      <c r="Q741" s="60"/>
      <c r="R741" s="58"/>
      <c r="S741" s="62" t="str">
        <f aca="false">IF(OR(B741="",V741=""),"",IFERROR(INDEX(C_TIPO,MATCH(V741&amp;"-P"&amp;MAX(1,COUNTIFS(C_RUTN,V741,C_DEF,"Sí",C_INI,"&lt;="&amp;EOMONTH(B741,0))),C_CLAVE,0))&amp;"","Sin contrato"))</f>
        <v/>
      </c>
      <c r="T741" s="63" t="str">
        <f aca="false">IF(OR(B741="",N(O741)=0),"",N(O741)+ROUND(MIN(N(N741),TOPE_UF*UF_MES)*(TASA_EMP+MUTUAL),0)+ROUND(MIN(N(N741),TOPE_AFC_UF*UF_MES)*IF(S741="Indefinido",AFC_INDEF,AFC_PF),0))</f>
        <v/>
      </c>
      <c r="U741" s="62" t="str">
        <f aca="false">IF(C741="","",IF(LEFT(D741,1)="⚠","⚠ RUT no registrado en Trabajadores",IF(B741="","⚠ Falta el mes",IF(OR(ISTEXT(I741),ISTEXT(J741)),"⚠ Atrasos u horas extra como texto: escriba hh:mm (ej. 1:30)",IF(AND(ISNUMBER(Q741),COUNTIFS(M_RUTN,V741,M_MES,B741,M_LIQ,"&lt;&gt;")&gt;1),"⚠ Liquidación repetida en el mes",IF(AND(ISNUMBER(O741),ISNUMBER(P741),ISNUMBER(Q741),ABS(O741-P741-Q741)&gt;1),"⚠ Haberes − descuentos no da el líquido","OK"))))))</f>
        <v/>
      </c>
      <c r="V741" s="62" t="str">
        <f aca="false">IF(C741="","",IFERROR(VALUE(LEFT(UPPER(SUBSTITUTE(SUBSTITUTE(SUBSTITUTE(TRIM(C741),".",""),"-","")," ","")),LEN(UPPER(SUBSTITUTE(SUBSTITUTE(SUBSTITUTE(TRIM(C741),".",""),"-","")," ","")))-1))&amp;RIGHT(UPPER(SUBSTITUTE(SUBSTITUTE(SUBSTITUTE(TRIM(C741),".",""),"-","")," ","")),1),UPPER(SUBSTITUTE(SUBSTITUTE(SUBSTITUTE(TRIM(C741),".",""),"-","")," ",""))))</f>
        <v/>
      </c>
    </row>
    <row r="742" customFormat="false" ht="15" hidden="false" customHeight="false" outlineLevel="0" collapsed="false">
      <c r="B742" s="80"/>
      <c r="C742" s="58"/>
      <c r="D742" s="62" t="str">
        <f aca="false">IF(C742="","",IFERROR(INDEX(T_NOMBRE,MATCH(V742,T_RUTN,0)),"⚠ RUT no está en Trabajadores"))</f>
        <v/>
      </c>
      <c r="E742" s="61"/>
      <c r="F742" s="61"/>
      <c r="G742" s="61"/>
      <c r="H742" s="61"/>
      <c r="I742" s="81"/>
      <c r="J742" s="81"/>
      <c r="K742" s="60"/>
      <c r="L742" s="60"/>
      <c r="M742" s="60"/>
      <c r="N742" s="60"/>
      <c r="O742" s="60"/>
      <c r="P742" s="60"/>
      <c r="Q742" s="60"/>
      <c r="R742" s="58"/>
      <c r="S742" s="62" t="str">
        <f aca="false">IF(OR(B742="",V742=""),"",IFERROR(INDEX(C_TIPO,MATCH(V742&amp;"-P"&amp;MAX(1,COUNTIFS(C_RUTN,V742,C_DEF,"Sí",C_INI,"&lt;="&amp;EOMONTH(B742,0))),C_CLAVE,0))&amp;"","Sin contrato"))</f>
        <v/>
      </c>
      <c r="T742" s="63" t="str">
        <f aca="false">IF(OR(B742="",N(O742)=0),"",N(O742)+ROUND(MIN(N(N742),TOPE_UF*UF_MES)*(TASA_EMP+MUTUAL),0)+ROUND(MIN(N(N742),TOPE_AFC_UF*UF_MES)*IF(S742="Indefinido",AFC_INDEF,AFC_PF),0))</f>
        <v/>
      </c>
      <c r="U742" s="62" t="str">
        <f aca="false">IF(C742="","",IF(LEFT(D742,1)="⚠","⚠ RUT no registrado en Trabajadores",IF(B742="","⚠ Falta el mes",IF(OR(ISTEXT(I742),ISTEXT(J742)),"⚠ Atrasos u horas extra como texto: escriba hh:mm (ej. 1:30)",IF(AND(ISNUMBER(Q742),COUNTIFS(M_RUTN,V742,M_MES,B742,M_LIQ,"&lt;&gt;")&gt;1),"⚠ Liquidación repetida en el mes",IF(AND(ISNUMBER(O742),ISNUMBER(P742),ISNUMBER(Q742),ABS(O742-P742-Q742)&gt;1),"⚠ Haberes − descuentos no da el líquido","OK"))))))</f>
        <v/>
      </c>
      <c r="V742" s="62" t="str">
        <f aca="false">IF(C742="","",IFERROR(VALUE(LEFT(UPPER(SUBSTITUTE(SUBSTITUTE(SUBSTITUTE(TRIM(C742),".",""),"-","")," ","")),LEN(UPPER(SUBSTITUTE(SUBSTITUTE(SUBSTITUTE(TRIM(C742),".",""),"-","")," ","")))-1))&amp;RIGHT(UPPER(SUBSTITUTE(SUBSTITUTE(SUBSTITUTE(TRIM(C742),".",""),"-","")," ","")),1),UPPER(SUBSTITUTE(SUBSTITUTE(SUBSTITUTE(TRIM(C742),".",""),"-","")," ",""))))</f>
        <v/>
      </c>
    </row>
    <row r="743" customFormat="false" ht="15" hidden="false" customHeight="false" outlineLevel="0" collapsed="false">
      <c r="B743" s="80"/>
      <c r="C743" s="58"/>
      <c r="D743" s="62" t="str">
        <f aca="false">IF(C743="","",IFERROR(INDEX(T_NOMBRE,MATCH(V743,T_RUTN,0)),"⚠ RUT no está en Trabajadores"))</f>
        <v/>
      </c>
      <c r="E743" s="61"/>
      <c r="F743" s="61"/>
      <c r="G743" s="61"/>
      <c r="H743" s="61"/>
      <c r="I743" s="81"/>
      <c r="J743" s="81"/>
      <c r="K743" s="60"/>
      <c r="L743" s="60"/>
      <c r="M743" s="60"/>
      <c r="N743" s="60"/>
      <c r="O743" s="60"/>
      <c r="P743" s="60"/>
      <c r="Q743" s="60"/>
      <c r="R743" s="58"/>
      <c r="S743" s="62" t="str">
        <f aca="false">IF(OR(B743="",V743=""),"",IFERROR(INDEX(C_TIPO,MATCH(V743&amp;"-P"&amp;MAX(1,COUNTIFS(C_RUTN,V743,C_DEF,"Sí",C_INI,"&lt;="&amp;EOMONTH(B743,0))),C_CLAVE,0))&amp;"","Sin contrato"))</f>
        <v/>
      </c>
      <c r="T743" s="63" t="str">
        <f aca="false">IF(OR(B743="",N(O743)=0),"",N(O743)+ROUND(MIN(N(N743),TOPE_UF*UF_MES)*(TASA_EMP+MUTUAL),0)+ROUND(MIN(N(N743),TOPE_AFC_UF*UF_MES)*IF(S743="Indefinido",AFC_INDEF,AFC_PF),0))</f>
        <v/>
      </c>
      <c r="U743" s="62" t="str">
        <f aca="false">IF(C743="","",IF(LEFT(D743,1)="⚠","⚠ RUT no registrado en Trabajadores",IF(B743="","⚠ Falta el mes",IF(OR(ISTEXT(I743),ISTEXT(J743)),"⚠ Atrasos u horas extra como texto: escriba hh:mm (ej. 1:30)",IF(AND(ISNUMBER(Q743),COUNTIFS(M_RUTN,V743,M_MES,B743,M_LIQ,"&lt;&gt;")&gt;1),"⚠ Liquidación repetida en el mes",IF(AND(ISNUMBER(O743),ISNUMBER(P743),ISNUMBER(Q743),ABS(O743-P743-Q743)&gt;1),"⚠ Haberes − descuentos no da el líquido","OK"))))))</f>
        <v/>
      </c>
      <c r="V743" s="62" t="str">
        <f aca="false">IF(C743="","",IFERROR(VALUE(LEFT(UPPER(SUBSTITUTE(SUBSTITUTE(SUBSTITUTE(TRIM(C743),".",""),"-","")," ","")),LEN(UPPER(SUBSTITUTE(SUBSTITUTE(SUBSTITUTE(TRIM(C743),".",""),"-","")," ","")))-1))&amp;RIGHT(UPPER(SUBSTITUTE(SUBSTITUTE(SUBSTITUTE(TRIM(C743),".",""),"-","")," ","")),1),UPPER(SUBSTITUTE(SUBSTITUTE(SUBSTITUTE(TRIM(C743),".",""),"-","")," ",""))))</f>
        <v/>
      </c>
    </row>
    <row r="744" customFormat="false" ht="15" hidden="false" customHeight="false" outlineLevel="0" collapsed="false">
      <c r="B744" s="80"/>
      <c r="C744" s="58"/>
      <c r="D744" s="62" t="str">
        <f aca="false">IF(C744="","",IFERROR(INDEX(T_NOMBRE,MATCH(V744,T_RUTN,0)),"⚠ RUT no está en Trabajadores"))</f>
        <v/>
      </c>
      <c r="E744" s="61"/>
      <c r="F744" s="61"/>
      <c r="G744" s="61"/>
      <c r="H744" s="61"/>
      <c r="I744" s="81"/>
      <c r="J744" s="81"/>
      <c r="K744" s="60"/>
      <c r="L744" s="60"/>
      <c r="M744" s="60"/>
      <c r="N744" s="60"/>
      <c r="O744" s="60"/>
      <c r="P744" s="60"/>
      <c r="Q744" s="60"/>
      <c r="R744" s="58"/>
      <c r="S744" s="62" t="str">
        <f aca="false">IF(OR(B744="",V744=""),"",IFERROR(INDEX(C_TIPO,MATCH(V744&amp;"-P"&amp;MAX(1,COUNTIFS(C_RUTN,V744,C_DEF,"Sí",C_INI,"&lt;="&amp;EOMONTH(B744,0))),C_CLAVE,0))&amp;"","Sin contrato"))</f>
        <v/>
      </c>
      <c r="T744" s="63" t="str">
        <f aca="false">IF(OR(B744="",N(O744)=0),"",N(O744)+ROUND(MIN(N(N744),TOPE_UF*UF_MES)*(TASA_EMP+MUTUAL),0)+ROUND(MIN(N(N744),TOPE_AFC_UF*UF_MES)*IF(S744="Indefinido",AFC_INDEF,AFC_PF),0))</f>
        <v/>
      </c>
      <c r="U744" s="62" t="str">
        <f aca="false">IF(C744="","",IF(LEFT(D744,1)="⚠","⚠ RUT no registrado en Trabajadores",IF(B744="","⚠ Falta el mes",IF(OR(ISTEXT(I744),ISTEXT(J744)),"⚠ Atrasos u horas extra como texto: escriba hh:mm (ej. 1:30)",IF(AND(ISNUMBER(Q744),COUNTIFS(M_RUTN,V744,M_MES,B744,M_LIQ,"&lt;&gt;")&gt;1),"⚠ Liquidación repetida en el mes",IF(AND(ISNUMBER(O744),ISNUMBER(P744),ISNUMBER(Q744),ABS(O744-P744-Q744)&gt;1),"⚠ Haberes − descuentos no da el líquido","OK"))))))</f>
        <v/>
      </c>
      <c r="V744" s="62" t="str">
        <f aca="false">IF(C744="","",IFERROR(VALUE(LEFT(UPPER(SUBSTITUTE(SUBSTITUTE(SUBSTITUTE(TRIM(C744),".",""),"-","")," ","")),LEN(UPPER(SUBSTITUTE(SUBSTITUTE(SUBSTITUTE(TRIM(C744),".",""),"-","")," ","")))-1))&amp;RIGHT(UPPER(SUBSTITUTE(SUBSTITUTE(SUBSTITUTE(TRIM(C744),".",""),"-","")," ","")),1),UPPER(SUBSTITUTE(SUBSTITUTE(SUBSTITUTE(TRIM(C744),".",""),"-","")," ",""))))</f>
        <v/>
      </c>
    </row>
    <row r="745" customFormat="false" ht="15" hidden="false" customHeight="false" outlineLevel="0" collapsed="false">
      <c r="B745" s="80"/>
      <c r="C745" s="58"/>
      <c r="D745" s="62" t="str">
        <f aca="false">IF(C745="","",IFERROR(INDEX(T_NOMBRE,MATCH(V745,T_RUTN,0)),"⚠ RUT no está en Trabajadores"))</f>
        <v/>
      </c>
      <c r="E745" s="61"/>
      <c r="F745" s="61"/>
      <c r="G745" s="61"/>
      <c r="H745" s="61"/>
      <c r="I745" s="81"/>
      <c r="J745" s="81"/>
      <c r="K745" s="60"/>
      <c r="L745" s="60"/>
      <c r="M745" s="60"/>
      <c r="N745" s="60"/>
      <c r="O745" s="60"/>
      <c r="P745" s="60"/>
      <c r="Q745" s="60"/>
      <c r="R745" s="58"/>
      <c r="S745" s="62" t="str">
        <f aca="false">IF(OR(B745="",V745=""),"",IFERROR(INDEX(C_TIPO,MATCH(V745&amp;"-P"&amp;MAX(1,COUNTIFS(C_RUTN,V745,C_DEF,"Sí",C_INI,"&lt;="&amp;EOMONTH(B745,0))),C_CLAVE,0))&amp;"","Sin contrato"))</f>
        <v/>
      </c>
      <c r="T745" s="63" t="str">
        <f aca="false">IF(OR(B745="",N(O745)=0),"",N(O745)+ROUND(MIN(N(N745),TOPE_UF*UF_MES)*(TASA_EMP+MUTUAL),0)+ROUND(MIN(N(N745),TOPE_AFC_UF*UF_MES)*IF(S745="Indefinido",AFC_INDEF,AFC_PF),0))</f>
        <v/>
      </c>
      <c r="U745" s="62" t="str">
        <f aca="false">IF(C745="","",IF(LEFT(D745,1)="⚠","⚠ RUT no registrado en Trabajadores",IF(B745="","⚠ Falta el mes",IF(OR(ISTEXT(I745),ISTEXT(J745)),"⚠ Atrasos u horas extra como texto: escriba hh:mm (ej. 1:30)",IF(AND(ISNUMBER(Q745),COUNTIFS(M_RUTN,V745,M_MES,B745,M_LIQ,"&lt;&gt;")&gt;1),"⚠ Liquidación repetida en el mes",IF(AND(ISNUMBER(O745),ISNUMBER(P745),ISNUMBER(Q745),ABS(O745-P745-Q745)&gt;1),"⚠ Haberes − descuentos no da el líquido","OK"))))))</f>
        <v/>
      </c>
      <c r="V745" s="62" t="str">
        <f aca="false">IF(C745="","",IFERROR(VALUE(LEFT(UPPER(SUBSTITUTE(SUBSTITUTE(SUBSTITUTE(TRIM(C745),".",""),"-","")," ","")),LEN(UPPER(SUBSTITUTE(SUBSTITUTE(SUBSTITUTE(TRIM(C745),".",""),"-","")," ","")))-1))&amp;RIGHT(UPPER(SUBSTITUTE(SUBSTITUTE(SUBSTITUTE(TRIM(C745),".",""),"-","")," ","")),1),UPPER(SUBSTITUTE(SUBSTITUTE(SUBSTITUTE(TRIM(C745),".",""),"-","")," ",""))))</f>
        <v/>
      </c>
    </row>
    <row r="746" customFormat="false" ht="15" hidden="false" customHeight="false" outlineLevel="0" collapsed="false">
      <c r="B746" s="80"/>
      <c r="C746" s="58"/>
      <c r="D746" s="62" t="str">
        <f aca="false">IF(C746="","",IFERROR(INDEX(T_NOMBRE,MATCH(V746,T_RUTN,0)),"⚠ RUT no está en Trabajadores"))</f>
        <v/>
      </c>
      <c r="E746" s="61"/>
      <c r="F746" s="61"/>
      <c r="G746" s="61"/>
      <c r="H746" s="61"/>
      <c r="I746" s="81"/>
      <c r="J746" s="81"/>
      <c r="K746" s="60"/>
      <c r="L746" s="60"/>
      <c r="M746" s="60"/>
      <c r="N746" s="60"/>
      <c r="O746" s="60"/>
      <c r="P746" s="60"/>
      <c r="Q746" s="60"/>
      <c r="R746" s="58"/>
      <c r="S746" s="62" t="str">
        <f aca="false">IF(OR(B746="",V746=""),"",IFERROR(INDEX(C_TIPO,MATCH(V746&amp;"-P"&amp;MAX(1,COUNTIFS(C_RUTN,V746,C_DEF,"Sí",C_INI,"&lt;="&amp;EOMONTH(B746,0))),C_CLAVE,0))&amp;"","Sin contrato"))</f>
        <v/>
      </c>
      <c r="T746" s="63" t="str">
        <f aca="false">IF(OR(B746="",N(O746)=0),"",N(O746)+ROUND(MIN(N(N746),TOPE_UF*UF_MES)*(TASA_EMP+MUTUAL),0)+ROUND(MIN(N(N746),TOPE_AFC_UF*UF_MES)*IF(S746="Indefinido",AFC_INDEF,AFC_PF),0))</f>
        <v/>
      </c>
      <c r="U746" s="62" t="str">
        <f aca="false">IF(C746="","",IF(LEFT(D746,1)="⚠","⚠ RUT no registrado en Trabajadores",IF(B746="","⚠ Falta el mes",IF(OR(ISTEXT(I746),ISTEXT(J746)),"⚠ Atrasos u horas extra como texto: escriba hh:mm (ej. 1:30)",IF(AND(ISNUMBER(Q746),COUNTIFS(M_RUTN,V746,M_MES,B746,M_LIQ,"&lt;&gt;")&gt;1),"⚠ Liquidación repetida en el mes",IF(AND(ISNUMBER(O746),ISNUMBER(P746),ISNUMBER(Q746),ABS(O746-P746-Q746)&gt;1),"⚠ Haberes − descuentos no da el líquido","OK"))))))</f>
        <v/>
      </c>
      <c r="V746" s="62" t="str">
        <f aca="false">IF(C746="","",IFERROR(VALUE(LEFT(UPPER(SUBSTITUTE(SUBSTITUTE(SUBSTITUTE(TRIM(C746),".",""),"-","")," ","")),LEN(UPPER(SUBSTITUTE(SUBSTITUTE(SUBSTITUTE(TRIM(C746),".",""),"-","")," ","")))-1))&amp;RIGHT(UPPER(SUBSTITUTE(SUBSTITUTE(SUBSTITUTE(TRIM(C746),".",""),"-","")," ","")),1),UPPER(SUBSTITUTE(SUBSTITUTE(SUBSTITUTE(TRIM(C746),".",""),"-","")," ",""))))</f>
        <v/>
      </c>
    </row>
    <row r="747" customFormat="false" ht="15" hidden="false" customHeight="false" outlineLevel="0" collapsed="false">
      <c r="B747" s="80"/>
      <c r="C747" s="58"/>
      <c r="D747" s="62" t="str">
        <f aca="false">IF(C747="","",IFERROR(INDEX(T_NOMBRE,MATCH(V747,T_RUTN,0)),"⚠ RUT no está en Trabajadores"))</f>
        <v/>
      </c>
      <c r="E747" s="61"/>
      <c r="F747" s="61"/>
      <c r="G747" s="61"/>
      <c r="H747" s="61"/>
      <c r="I747" s="81"/>
      <c r="J747" s="81"/>
      <c r="K747" s="60"/>
      <c r="L747" s="60"/>
      <c r="M747" s="60"/>
      <c r="N747" s="60"/>
      <c r="O747" s="60"/>
      <c r="P747" s="60"/>
      <c r="Q747" s="60"/>
      <c r="R747" s="58"/>
      <c r="S747" s="62" t="str">
        <f aca="false">IF(OR(B747="",V747=""),"",IFERROR(INDEX(C_TIPO,MATCH(V747&amp;"-P"&amp;MAX(1,COUNTIFS(C_RUTN,V747,C_DEF,"Sí",C_INI,"&lt;="&amp;EOMONTH(B747,0))),C_CLAVE,0))&amp;"","Sin contrato"))</f>
        <v/>
      </c>
      <c r="T747" s="63" t="str">
        <f aca="false">IF(OR(B747="",N(O747)=0),"",N(O747)+ROUND(MIN(N(N747),TOPE_UF*UF_MES)*(TASA_EMP+MUTUAL),0)+ROUND(MIN(N(N747),TOPE_AFC_UF*UF_MES)*IF(S747="Indefinido",AFC_INDEF,AFC_PF),0))</f>
        <v/>
      </c>
      <c r="U747" s="62" t="str">
        <f aca="false">IF(C747="","",IF(LEFT(D747,1)="⚠","⚠ RUT no registrado en Trabajadores",IF(B747="","⚠ Falta el mes",IF(OR(ISTEXT(I747),ISTEXT(J747)),"⚠ Atrasos u horas extra como texto: escriba hh:mm (ej. 1:30)",IF(AND(ISNUMBER(Q747),COUNTIFS(M_RUTN,V747,M_MES,B747,M_LIQ,"&lt;&gt;")&gt;1),"⚠ Liquidación repetida en el mes",IF(AND(ISNUMBER(O747),ISNUMBER(P747),ISNUMBER(Q747),ABS(O747-P747-Q747)&gt;1),"⚠ Haberes − descuentos no da el líquido","OK"))))))</f>
        <v/>
      </c>
      <c r="V747" s="62" t="str">
        <f aca="false">IF(C747="","",IFERROR(VALUE(LEFT(UPPER(SUBSTITUTE(SUBSTITUTE(SUBSTITUTE(TRIM(C747),".",""),"-","")," ","")),LEN(UPPER(SUBSTITUTE(SUBSTITUTE(SUBSTITUTE(TRIM(C747),".",""),"-","")," ","")))-1))&amp;RIGHT(UPPER(SUBSTITUTE(SUBSTITUTE(SUBSTITUTE(TRIM(C747),".",""),"-","")," ","")),1),UPPER(SUBSTITUTE(SUBSTITUTE(SUBSTITUTE(TRIM(C747),".",""),"-","")," ",""))))</f>
        <v/>
      </c>
    </row>
    <row r="748" customFormat="false" ht="15" hidden="false" customHeight="false" outlineLevel="0" collapsed="false">
      <c r="B748" s="80"/>
      <c r="C748" s="58"/>
      <c r="D748" s="62" t="str">
        <f aca="false">IF(C748="","",IFERROR(INDEX(T_NOMBRE,MATCH(V748,T_RUTN,0)),"⚠ RUT no está en Trabajadores"))</f>
        <v/>
      </c>
      <c r="E748" s="61"/>
      <c r="F748" s="61"/>
      <c r="G748" s="61"/>
      <c r="H748" s="61"/>
      <c r="I748" s="81"/>
      <c r="J748" s="81"/>
      <c r="K748" s="60"/>
      <c r="L748" s="60"/>
      <c r="M748" s="60"/>
      <c r="N748" s="60"/>
      <c r="O748" s="60"/>
      <c r="P748" s="60"/>
      <c r="Q748" s="60"/>
      <c r="R748" s="58"/>
      <c r="S748" s="62" t="str">
        <f aca="false">IF(OR(B748="",V748=""),"",IFERROR(INDEX(C_TIPO,MATCH(V748&amp;"-P"&amp;MAX(1,COUNTIFS(C_RUTN,V748,C_DEF,"Sí",C_INI,"&lt;="&amp;EOMONTH(B748,0))),C_CLAVE,0))&amp;"","Sin contrato"))</f>
        <v/>
      </c>
      <c r="T748" s="63" t="str">
        <f aca="false">IF(OR(B748="",N(O748)=0),"",N(O748)+ROUND(MIN(N(N748),TOPE_UF*UF_MES)*(TASA_EMP+MUTUAL),0)+ROUND(MIN(N(N748),TOPE_AFC_UF*UF_MES)*IF(S748="Indefinido",AFC_INDEF,AFC_PF),0))</f>
        <v/>
      </c>
      <c r="U748" s="62" t="str">
        <f aca="false">IF(C748="","",IF(LEFT(D748,1)="⚠","⚠ RUT no registrado en Trabajadores",IF(B748="","⚠ Falta el mes",IF(OR(ISTEXT(I748),ISTEXT(J748)),"⚠ Atrasos u horas extra como texto: escriba hh:mm (ej. 1:30)",IF(AND(ISNUMBER(Q748),COUNTIFS(M_RUTN,V748,M_MES,B748,M_LIQ,"&lt;&gt;")&gt;1),"⚠ Liquidación repetida en el mes",IF(AND(ISNUMBER(O748),ISNUMBER(P748),ISNUMBER(Q748),ABS(O748-P748-Q748)&gt;1),"⚠ Haberes − descuentos no da el líquido","OK"))))))</f>
        <v/>
      </c>
      <c r="V748" s="62" t="str">
        <f aca="false">IF(C748="","",IFERROR(VALUE(LEFT(UPPER(SUBSTITUTE(SUBSTITUTE(SUBSTITUTE(TRIM(C748),".",""),"-","")," ","")),LEN(UPPER(SUBSTITUTE(SUBSTITUTE(SUBSTITUTE(TRIM(C748),".",""),"-","")," ","")))-1))&amp;RIGHT(UPPER(SUBSTITUTE(SUBSTITUTE(SUBSTITUTE(TRIM(C748),".",""),"-","")," ","")),1),UPPER(SUBSTITUTE(SUBSTITUTE(SUBSTITUTE(TRIM(C748),".",""),"-","")," ",""))))</f>
        <v/>
      </c>
    </row>
    <row r="749" customFormat="false" ht="15" hidden="false" customHeight="false" outlineLevel="0" collapsed="false">
      <c r="B749" s="80"/>
      <c r="C749" s="58"/>
      <c r="D749" s="62" t="str">
        <f aca="false">IF(C749="","",IFERROR(INDEX(T_NOMBRE,MATCH(V749,T_RUTN,0)),"⚠ RUT no está en Trabajadores"))</f>
        <v/>
      </c>
      <c r="E749" s="61"/>
      <c r="F749" s="61"/>
      <c r="G749" s="61"/>
      <c r="H749" s="61"/>
      <c r="I749" s="81"/>
      <c r="J749" s="81"/>
      <c r="K749" s="60"/>
      <c r="L749" s="60"/>
      <c r="M749" s="60"/>
      <c r="N749" s="60"/>
      <c r="O749" s="60"/>
      <c r="P749" s="60"/>
      <c r="Q749" s="60"/>
      <c r="R749" s="58"/>
      <c r="S749" s="62" t="str">
        <f aca="false">IF(OR(B749="",V749=""),"",IFERROR(INDEX(C_TIPO,MATCH(V749&amp;"-P"&amp;MAX(1,COUNTIFS(C_RUTN,V749,C_DEF,"Sí",C_INI,"&lt;="&amp;EOMONTH(B749,0))),C_CLAVE,0))&amp;"","Sin contrato"))</f>
        <v/>
      </c>
      <c r="T749" s="63" t="str">
        <f aca="false">IF(OR(B749="",N(O749)=0),"",N(O749)+ROUND(MIN(N(N749),TOPE_UF*UF_MES)*(TASA_EMP+MUTUAL),0)+ROUND(MIN(N(N749),TOPE_AFC_UF*UF_MES)*IF(S749="Indefinido",AFC_INDEF,AFC_PF),0))</f>
        <v/>
      </c>
      <c r="U749" s="62" t="str">
        <f aca="false">IF(C749="","",IF(LEFT(D749,1)="⚠","⚠ RUT no registrado en Trabajadores",IF(B749="","⚠ Falta el mes",IF(OR(ISTEXT(I749),ISTEXT(J749)),"⚠ Atrasos u horas extra como texto: escriba hh:mm (ej. 1:30)",IF(AND(ISNUMBER(Q749),COUNTIFS(M_RUTN,V749,M_MES,B749,M_LIQ,"&lt;&gt;")&gt;1),"⚠ Liquidación repetida en el mes",IF(AND(ISNUMBER(O749),ISNUMBER(P749),ISNUMBER(Q749),ABS(O749-P749-Q749)&gt;1),"⚠ Haberes − descuentos no da el líquido","OK"))))))</f>
        <v/>
      </c>
      <c r="V749" s="62" t="str">
        <f aca="false">IF(C749="","",IFERROR(VALUE(LEFT(UPPER(SUBSTITUTE(SUBSTITUTE(SUBSTITUTE(TRIM(C749),".",""),"-","")," ","")),LEN(UPPER(SUBSTITUTE(SUBSTITUTE(SUBSTITUTE(TRIM(C749),".",""),"-","")," ","")))-1))&amp;RIGHT(UPPER(SUBSTITUTE(SUBSTITUTE(SUBSTITUTE(TRIM(C749),".",""),"-","")," ","")),1),UPPER(SUBSTITUTE(SUBSTITUTE(SUBSTITUTE(TRIM(C749),".",""),"-","")," ",""))))</f>
        <v/>
      </c>
    </row>
    <row r="750" customFormat="false" ht="15" hidden="false" customHeight="false" outlineLevel="0" collapsed="false">
      <c r="B750" s="80"/>
      <c r="C750" s="58"/>
      <c r="D750" s="62" t="str">
        <f aca="false">IF(C750="","",IFERROR(INDEX(T_NOMBRE,MATCH(V750,T_RUTN,0)),"⚠ RUT no está en Trabajadores"))</f>
        <v/>
      </c>
      <c r="E750" s="61"/>
      <c r="F750" s="61"/>
      <c r="G750" s="61"/>
      <c r="H750" s="61"/>
      <c r="I750" s="81"/>
      <c r="J750" s="81"/>
      <c r="K750" s="60"/>
      <c r="L750" s="60"/>
      <c r="M750" s="60"/>
      <c r="N750" s="60"/>
      <c r="O750" s="60"/>
      <c r="P750" s="60"/>
      <c r="Q750" s="60"/>
      <c r="R750" s="58"/>
      <c r="S750" s="62" t="str">
        <f aca="false">IF(OR(B750="",V750=""),"",IFERROR(INDEX(C_TIPO,MATCH(V750&amp;"-P"&amp;MAX(1,COUNTIFS(C_RUTN,V750,C_DEF,"Sí",C_INI,"&lt;="&amp;EOMONTH(B750,0))),C_CLAVE,0))&amp;"","Sin contrato"))</f>
        <v/>
      </c>
      <c r="T750" s="63" t="str">
        <f aca="false">IF(OR(B750="",N(O750)=0),"",N(O750)+ROUND(MIN(N(N750),TOPE_UF*UF_MES)*(TASA_EMP+MUTUAL),0)+ROUND(MIN(N(N750),TOPE_AFC_UF*UF_MES)*IF(S750="Indefinido",AFC_INDEF,AFC_PF),0))</f>
        <v/>
      </c>
      <c r="U750" s="62" t="str">
        <f aca="false">IF(C750="","",IF(LEFT(D750,1)="⚠","⚠ RUT no registrado en Trabajadores",IF(B750="","⚠ Falta el mes",IF(OR(ISTEXT(I750),ISTEXT(J750)),"⚠ Atrasos u horas extra como texto: escriba hh:mm (ej. 1:30)",IF(AND(ISNUMBER(Q750),COUNTIFS(M_RUTN,V750,M_MES,B750,M_LIQ,"&lt;&gt;")&gt;1),"⚠ Liquidación repetida en el mes",IF(AND(ISNUMBER(O750),ISNUMBER(P750),ISNUMBER(Q750),ABS(O750-P750-Q750)&gt;1),"⚠ Haberes − descuentos no da el líquido","OK"))))))</f>
        <v/>
      </c>
      <c r="V750" s="62" t="str">
        <f aca="false">IF(C750="","",IFERROR(VALUE(LEFT(UPPER(SUBSTITUTE(SUBSTITUTE(SUBSTITUTE(TRIM(C750),".",""),"-","")," ","")),LEN(UPPER(SUBSTITUTE(SUBSTITUTE(SUBSTITUTE(TRIM(C750),".",""),"-","")," ","")))-1))&amp;RIGHT(UPPER(SUBSTITUTE(SUBSTITUTE(SUBSTITUTE(TRIM(C750),".",""),"-","")," ","")),1),UPPER(SUBSTITUTE(SUBSTITUTE(SUBSTITUTE(TRIM(C750),".",""),"-","")," ",""))))</f>
        <v/>
      </c>
    </row>
    <row r="751" customFormat="false" ht="15" hidden="false" customHeight="false" outlineLevel="0" collapsed="false">
      <c r="B751" s="80"/>
      <c r="C751" s="58"/>
      <c r="D751" s="62" t="str">
        <f aca="false">IF(C751="","",IFERROR(INDEX(T_NOMBRE,MATCH(V751,T_RUTN,0)),"⚠ RUT no está en Trabajadores"))</f>
        <v/>
      </c>
      <c r="E751" s="61"/>
      <c r="F751" s="61"/>
      <c r="G751" s="61"/>
      <c r="H751" s="61"/>
      <c r="I751" s="81"/>
      <c r="J751" s="81"/>
      <c r="K751" s="60"/>
      <c r="L751" s="60"/>
      <c r="M751" s="60"/>
      <c r="N751" s="60"/>
      <c r="O751" s="60"/>
      <c r="P751" s="60"/>
      <c r="Q751" s="60"/>
      <c r="R751" s="58"/>
      <c r="S751" s="62" t="str">
        <f aca="false">IF(OR(B751="",V751=""),"",IFERROR(INDEX(C_TIPO,MATCH(V751&amp;"-P"&amp;MAX(1,COUNTIFS(C_RUTN,V751,C_DEF,"Sí",C_INI,"&lt;="&amp;EOMONTH(B751,0))),C_CLAVE,0))&amp;"","Sin contrato"))</f>
        <v/>
      </c>
      <c r="T751" s="63" t="str">
        <f aca="false">IF(OR(B751="",N(O751)=0),"",N(O751)+ROUND(MIN(N(N751),TOPE_UF*UF_MES)*(TASA_EMP+MUTUAL),0)+ROUND(MIN(N(N751),TOPE_AFC_UF*UF_MES)*IF(S751="Indefinido",AFC_INDEF,AFC_PF),0))</f>
        <v/>
      </c>
      <c r="U751" s="62" t="str">
        <f aca="false">IF(C751="","",IF(LEFT(D751,1)="⚠","⚠ RUT no registrado en Trabajadores",IF(B751="","⚠ Falta el mes",IF(OR(ISTEXT(I751),ISTEXT(J751)),"⚠ Atrasos u horas extra como texto: escriba hh:mm (ej. 1:30)",IF(AND(ISNUMBER(Q751),COUNTIFS(M_RUTN,V751,M_MES,B751,M_LIQ,"&lt;&gt;")&gt;1),"⚠ Liquidación repetida en el mes",IF(AND(ISNUMBER(O751),ISNUMBER(P751),ISNUMBER(Q751),ABS(O751-P751-Q751)&gt;1),"⚠ Haberes − descuentos no da el líquido","OK"))))))</f>
        <v/>
      </c>
      <c r="V751" s="62" t="str">
        <f aca="false">IF(C751="","",IFERROR(VALUE(LEFT(UPPER(SUBSTITUTE(SUBSTITUTE(SUBSTITUTE(TRIM(C751),".",""),"-","")," ","")),LEN(UPPER(SUBSTITUTE(SUBSTITUTE(SUBSTITUTE(TRIM(C751),".",""),"-","")," ","")))-1))&amp;RIGHT(UPPER(SUBSTITUTE(SUBSTITUTE(SUBSTITUTE(TRIM(C751),".",""),"-","")," ","")),1),UPPER(SUBSTITUTE(SUBSTITUTE(SUBSTITUTE(TRIM(C751),".",""),"-","")," ",""))))</f>
        <v/>
      </c>
    </row>
    <row r="752" customFormat="false" ht="15" hidden="false" customHeight="false" outlineLevel="0" collapsed="false">
      <c r="B752" s="80"/>
      <c r="C752" s="58"/>
      <c r="D752" s="62" t="str">
        <f aca="false">IF(C752="","",IFERROR(INDEX(T_NOMBRE,MATCH(V752,T_RUTN,0)),"⚠ RUT no está en Trabajadores"))</f>
        <v/>
      </c>
      <c r="E752" s="61"/>
      <c r="F752" s="61"/>
      <c r="G752" s="61"/>
      <c r="H752" s="61"/>
      <c r="I752" s="81"/>
      <c r="J752" s="81"/>
      <c r="K752" s="60"/>
      <c r="L752" s="60"/>
      <c r="M752" s="60"/>
      <c r="N752" s="60"/>
      <c r="O752" s="60"/>
      <c r="P752" s="60"/>
      <c r="Q752" s="60"/>
      <c r="R752" s="58"/>
      <c r="S752" s="62" t="str">
        <f aca="false">IF(OR(B752="",V752=""),"",IFERROR(INDEX(C_TIPO,MATCH(V752&amp;"-P"&amp;MAX(1,COUNTIFS(C_RUTN,V752,C_DEF,"Sí",C_INI,"&lt;="&amp;EOMONTH(B752,0))),C_CLAVE,0))&amp;"","Sin contrato"))</f>
        <v/>
      </c>
      <c r="T752" s="63" t="str">
        <f aca="false">IF(OR(B752="",N(O752)=0),"",N(O752)+ROUND(MIN(N(N752),TOPE_UF*UF_MES)*(TASA_EMP+MUTUAL),0)+ROUND(MIN(N(N752),TOPE_AFC_UF*UF_MES)*IF(S752="Indefinido",AFC_INDEF,AFC_PF),0))</f>
        <v/>
      </c>
      <c r="U752" s="62" t="str">
        <f aca="false">IF(C752="","",IF(LEFT(D752,1)="⚠","⚠ RUT no registrado en Trabajadores",IF(B752="","⚠ Falta el mes",IF(OR(ISTEXT(I752),ISTEXT(J752)),"⚠ Atrasos u horas extra como texto: escriba hh:mm (ej. 1:30)",IF(AND(ISNUMBER(Q752),COUNTIFS(M_RUTN,V752,M_MES,B752,M_LIQ,"&lt;&gt;")&gt;1),"⚠ Liquidación repetida en el mes",IF(AND(ISNUMBER(O752),ISNUMBER(P752),ISNUMBER(Q752),ABS(O752-P752-Q752)&gt;1),"⚠ Haberes − descuentos no da el líquido","OK"))))))</f>
        <v/>
      </c>
      <c r="V752" s="62" t="str">
        <f aca="false">IF(C752="","",IFERROR(VALUE(LEFT(UPPER(SUBSTITUTE(SUBSTITUTE(SUBSTITUTE(TRIM(C752),".",""),"-","")," ","")),LEN(UPPER(SUBSTITUTE(SUBSTITUTE(SUBSTITUTE(TRIM(C752),".",""),"-","")," ","")))-1))&amp;RIGHT(UPPER(SUBSTITUTE(SUBSTITUTE(SUBSTITUTE(TRIM(C752),".",""),"-","")," ","")),1),UPPER(SUBSTITUTE(SUBSTITUTE(SUBSTITUTE(TRIM(C752),".",""),"-","")," ",""))))</f>
        <v/>
      </c>
    </row>
    <row r="753" customFormat="false" ht="15" hidden="false" customHeight="false" outlineLevel="0" collapsed="false">
      <c r="B753" s="80"/>
      <c r="C753" s="58"/>
      <c r="D753" s="62" t="str">
        <f aca="false">IF(C753="","",IFERROR(INDEX(T_NOMBRE,MATCH(V753,T_RUTN,0)),"⚠ RUT no está en Trabajadores"))</f>
        <v/>
      </c>
      <c r="E753" s="61"/>
      <c r="F753" s="61"/>
      <c r="G753" s="61"/>
      <c r="H753" s="61"/>
      <c r="I753" s="81"/>
      <c r="J753" s="81"/>
      <c r="K753" s="60"/>
      <c r="L753" s="60"/>
      <c r="M753" s="60"/>
      <c r="N753" s="60"/>
      <c r="O753" s="60"/>
      <c r="P753" s="60"/>
      <c r="Q753" s="60"/>
      <c r="R753" s="58"/>
      <c r="S753" s="62" t="str">
        <f aca="false">IF(OR(B753="",V753=""),"",IFERROR(INDEX(C_TIPO,MATCH(V753&amp;"-P"&amp;MAX(1,COUNTIFS(C_RUTN,V753,C_DEF,"Sí",C_INI,"&lt;="&amp;EOMONTH(B753,0))),C_CLAVE,0))&amp;"","Sin contrato"))</f>
        <v/>
      </c>
      <c r="T753" s="63" t="str">
        <f aca="false">IF(OR(B753="",N(O753)=0),"",N(O753)+ROUND(MIN(N(N753),TOPE_UF*UF_MES)*(TASA_EMP+MUTUAL),0)+ROUND(MIN(N(N753),TOPE_AFC_UF*UF_MES)*IF(S753="Indefinido",AFC_INDEF,AFC_PF),0))</f>
        <v/>
      </c>
      <c r="U753" s="62" t="str">
        <f aca="false">IF(C753="","",IF(LEFT(D753,1)="⚠","⚠ RUT no registrado en Trabajadores",IF(B753="","⚠ Falta el mes",IF(OR(ISTEXT(I753),ISTEXT(J753)),"⚠ Atrasos u horas extra como texto: escriba hh:mm (ej. 1:30)",IF(AND(ISNUMBER(Q753),COUNTIFS(M_RUTN,V753,M_MES,B753,M_LIQ,"&lt;&gt;")&gt;1),"⚠ Liquidación repetida en el mes",IF(AND(ISNUMBER(O753),ISNUMBER(P753),ISNUMBER(Q753),ABS(O753-P753-Q753)&gt;1),"⚠ Haberes − descuentos no da el líquido","OK"))))))</f>
        <v/>
      </c>
      <c r="V753" s="62" t="str">
        <f aca="false">IF(C753="","",IFERROR(VALUE(LEFT(UPPER(SUBSTITUTE(SUBSTITUTE(SUBSTITUTE(TRIM(C753),".",""),"-","")," ","")),LEN(UPPER(SUBSTITUTE(SUBSTITUTE(SUBSTITUTE(TRIM(C753),".",""),"-","")," ","")))-1))&amp;RIGHT(UPPER(SUBSTITUTE(SUBSTITUTE(SUBSTITUTE(TRIM(C753),".",""),"-","")," ","")),1),UPPER(SUBSTITUTE(SUBSTITUTE(SUBSTITUTE(TRIM(C753),".",""),"-","")," ",""))))</f>
        <v/>
      </c>
    </row>
    <row r="754" customFormat="false" ht="15" hidden="false" customHeight="false" outlineLevel="0" collapsed="false">
      <c r="B754" s="80"/>
      <c r="C754" s="58"/>
      <c r="D754" s="62" t="str">
        <f aca="false">IF(C754="","",IFERROR(INDEX(T_NOMBRE,MATCH(V754,T_RUTN,0)),"⚠ RUT no está en Trabajadores"))</f>
        <v/>
      </c>
      <c r="E754" s="61"/>
      <c r="F754" s="61"/>
      <c r="G754" s="61"/>
      <c r="H754" s="61"/>
      <c r="I754" s="81"/>
      <c r="J754" s="81"/>
      <c r="K754" s="60"/>
      <c r="L754" s="60"/>
      <c r="M754" s="60"/>
      <c r="N754" s="60"/>
      <c r="O754" s="60"/>
      <c r="P754" s="60"/>
      <c r="Q754" s="60"/>
      <c r="R754" s="58"/>
      <c r="S754" s="62" t="str">
        <f aca="false">IF(OR(B754="",V754=""),"",IFERROR(INDEX(C_TIPO,MATCH(V754&amp;"-P"&amp;MAX(1,COUNTIFS(C_RUTN,V754,C_DEF,"Sí",C_INI,"&lt;="&amp;EOMONTH(B754,0))),C_CLAVE,0))&amp;"","Sin contrato"))</f>
        <v/>
      </c>
      <c r="T754" s="63" t="str">
        <f aca="false">IF(OR(B754="",N(O754)=0),"",N(O754)+ROUND(MIN(N(N754),TOPE_UF*UF_MES)*(TASA_EMP+MUTUAL),0)+ROUND(MIN(N(N754),TOPE_AFC_UF*UF_MES)*IF(S754="Indefinido",AFC_INDEF,AFC_PF),0))</f>
        <v/>
      </c>
      <c r="U754" s="62" t="str">
        <f aca="false">IF(C754="","",IF(LEFT(D754,1)="⚠","⚠ RUT no registrado en Trabajadores",IF(B754="","⚠ Falta el mes",IF(OR(ISTEXT(I754),ISTEXT(J754)),"⚠ Atrasos u horas extra como texto: escriba hh:mm (ej. 1:30)",IF(AND(ISNUMBER(Q754),COUNTIFS(M_RUTN,V754,M_MES,B754,M_LIQ,"&lt;&gt;")&gt;1),"⚠ Liquidación repetida en el mes",IF(AND(ISNUMBER(O754),ISNUMBER(P754),ISNUMBER(Q754),ABS(O754-P754-Q754)&gt;1),"⚠ Haberes − descuentos no da el líquido","OK"))))))</f>
        <v/>
      </c>
      <c r="V754" s="62" t="str">
        <f aca="false">IF(C754="","",IFERROR(VALUE(LEFT(UPPER(SUBSTITUTE(SUBSTITUTE(SUBSTITUTE(TRIM(C754),".",""),"-","")," ","")),LEN(UPPER(SUBSTITUTE(SUBSTITUTE(SUBSTITUTE(TRIM(C754),".",""),"-","")," ","")))-1))&amp;RIGHT(UPPER(SUBSTITUTE(SUBSTITUTE(SUBSTITUTE(TRIM(C754),".",""),"-","")," ","")),1),UPPER(SUBSTITUTE(SUBSTITUTE(SUBSTITUTE(TRIM(C754),".",""),"-","")," ",""))))</f>
        <v/>
      </c>
    </row>
    <row r="755" customFormat="false" ht="15" hidden="false" customHeight="false" outlineLevel="0" collapsed="false">
      <c r="B755" s="80"/>
      <c r="C755" s="58"/>
      <c r="D755" s="62" t="str">
        <f aca="false">IF(C755="","",IFERROR(INDEX(T_NOMBRE,MATCH(V755,T_RUTN,0)),"⚠ RUT no está en Trabajadores"))</f>
        <v/>
      </c>
      <c r="E755" s="61"/>
      <c r="F755" s="61"/>
      <c r="G755" s="61"/>
      <c r="H755" s="61"/>
      <c r="I755" s="81"/>
      <c r="J755" s="81"/>
      <c r="K755" s="60"/>
      <c r="L755" s="60"/>
      <c r="M755" s="60"/>
      <c r="N755" s="60"/>
      <c r="O755" s="60"/>
      <c r="P755" s="60"/>
      <c r="Q755" s="60"/>
      <c r="R755" s="58"/>
      <c r="S755" s="62" t="str">
        <f aca="false">IF(OR(B755="",V755=""),"",IFERROR(INDEX(C_TIPO,MATCH(V755&amp;"-P"&amp;MAX(1,COUNTIFS(C_RUTN,V755,C_DEF,"Sí",C_INI,"&lt;="&amp;EOMONTH(B755,0))),C_CLAVE,0))&amp;"","Sin contrato"))</f>
        <v/>
      </c>
      <c r="T755" s="63" t="str">
        <f aca="false">IF(OR(B755="",N(O755)=0),"",N(O755)+ROUND(MIN(N(N755),TOPE_UF*UF_MES)*(TASA_EMP+MUTUAL),0)+ROUND(MIN(N(N755),TOPE_AFC_UF*UF_MES)*IF(S755="Indefinido",AFC_INDEF,AFC_PF),0))</f>
        <v/>
      </c>
      <c r="U755" s="62" t="str">
        <f aca="false">IF(C755="","",IF(LEFT(D755,1)="⚠","⚠ RUT no registrado en Trabajadores",IF(B755="","⚠ Falta el mes",IF(OR(ISTEXT(I755),ISTEXT(J755)),"⚠ Atrasos u horas extra como texto: escriba hh:mm (ej. 1:30)",IF(AND(ISNUMBER(Q755),COUNTIFS(M_RUTN,V755,M_MES,B755,M_LIQ,"&lt;&gt;")&gt;1),"⚠ Liquidación repetida en el mes",IF(AND(ISNUMBER(O755),ISNUMBER(P755),ISNUMBER(Q755),ABS(O755-P755-Q755)&gt;1),"⚠ Haberes − descuentos no da el líquido","OK"))))))</f>
        <v/>
      </c>
      <c r="V755" s="62" t="str">
        <f aca="false">IF(C755="","",IFERROR(VALUE(LEFT(UPPER(SUBSTITUTE(SUBSTITUTE(SUBSTITUTE(TRIM(C755),".",""),"-","")," ","")),LEN(UPPER(SUBSTITUTE(SUBSTITUTE(SUBSTITUTE(TRIM(C755),".",""),"-","")," ","")))-1))&amp;RIGHT(UPPER(SUBSTITUTE(SUBSTITUTE(SUBSTITUTE(TRIM(C755),".",""),"-","")," ","")),1),UPPER(SUBSTITUTE(SUBSTITUTE(SUBSTITUTE(TRIM(C755),".",""),"-","")," ",""))))</f>
        <v/>
      </c>
    </row>
    <row r="756" customFormat="false" ht="15" hidden="false" customHeight="false" outlineLevel="0" collapsed="false">
      <c r="B756" s="80"/>
      <c r="C756" s="58"/>
      <c r="D756" s="62" t="str">
        <f aca="false">IF(C756="","",IFERROR(INDEX(T_NOMBRE,MATCH(V756,T_RUTN,0)),"⚠ RUT no está en Trabajadores"))</f>
        <v/>
      </c>
      <c r="E756" s="61"/>
      <c r="F756" s="61"/>
      <c r="G756" s="61"/>
      <c r="H756" s="61"/>
      <c r="I756" s="81"/>
      <c r="J756" s="81"/>
      <c r="K756" s="60"/>
      <c r="L756" s="60"/>
      <c r="M756" s="60"/>
      <c r="N756" s="60"/>
      <c r="O756" s="60"/>
      <c r="P756" s="60"/>
      <c r="Q756" s="60"/>
      <c r="R756" s="58"/>
      <c r="S756" s="62" t="str">
        <f aca="false">IF(OR(B756="",V756=""),"",IFERROR(INDEX(C_TIPO,MATCH(V756&amp;"-P"&amp;MAX(1,COUNTIFS(C_RUTN,V756,C_DEF,"Sí",C_INI,"&lt;="&amp;EOMONTH(B756,0))),C_CLAVE,0))&amp;"","Sin contrato"))</f>
        <v/>
      </c>
      <c r="T756" s="63" t="str">
        <f aca="false">IF(OR(B756="",N(O756)=0),"",N(O756)+ROUND(MIN(N(N756),TOPE_UF*UF_MES)*(TASA_EMP+MUTUAL),0)+ROUND(MIN(N(N756),TOPE_AFC_UF*UF_MES)*IF(S756="Indefinido",AFC_INDEF,AFC_PF),0))</f>
        <v/>
      </c>
      <c r="U756" s="62" t="str">
        <f aca="false">IF(C756="","",IF(LEFT(D756,1)="⚠","⚠ RUT no registrado en Trabajadores",IF(B756="","⚠ Falta el mes",IF(OR(ISTEXT(I756),ISTEXT(J756)),"⚠ Atrasos u horas extra como texto: escriba hh:mm (ej. 1:30)",IF(AND(ISNUMBER(Q756),COUNTIFS(M_RUTN,V756,M_MES,B756,M_LIQ,"&lt;&gt;")&gt;1),"⚠ Liquidación repetida en el mes",IF(AND(ISNUMBER(O756),ISNUMBER(P756),ISNUMBER(Q756),ABS(O756-P756-Q756)&gt;1),"⚠ Haberes − descuentos no da el líquido","OK"))))))</f>
        <v/>
      </c>
      <c r="V756" s="62" t="str">
        <f aca="false">IF(C756="","",IFERROR(VALUE(LEFT(UPPER(SUBSTITUTE(SUBSTITUTE(SUBSTITUTE(TRIM(C756),".",""),"-","")," ","")),LEN(UPPER(SUBSTITUTE(SUBSTITUTE(SUBSTITUTE(TRIM(C756),".",""),"-","")," ","")))-1))&amp;RIGHT(UPPER(SUBSTITUTE(SUBSTITUTE(SUBSTITUTE(TRIM(C756),".",""),"-","")," ","")),1),UPPER(SUBSTITUTE(SUBSTITUTE(SUBSTITUTE(TRIM(C756),".",""),"-","")," ",""))))</f>
        <v/>
      </c>
    </row>
    <row r="757" customFormat="false" ht="15" hidden="false" customHeight="false" outlineLevel="0" collapsed="false">
      <c r="B757" s="80"/>
      <c r="C757" s="58"/>
      <c r="D757" s="62" t="str">
        <f aca="false">IF(C757="","",IFERROR(INDEX(T_NOMBRE,MATCH(V757,T_RUTN,0)),"⚠ RUT no está en Trabajadores"))</f>
        <v/>
      </c>
      <c r="E757" s="61"/>
      <c r="F757" s="61"/>
      <c r="G757" s="61"/>
      <c r="H757" s="61"/>
      <c r="I757" s="81"/>
      <c r="J757" s="81"/>
      <c r="K757" s="60"/>
      <c r="L757" s="60"/>
      <c r="M757" s="60"/>
      <c r="N757" s="60"/>
      <c r="O757" s="60"/>
      <c r="P757" s="60"/>
      <c r="Q757" s="60"/>
      <c r="R757" s="58"/>
      <c r="S757" s="62" t="str">
        <f aca="false">IF(OR(B757="",V757=""),"",IFERROR(INDEX(C_TIPO,MATCH(V757&amp;"-P"&amp;MAX(1,COUNTIFS(C_RUTN,V757,C_DEF,"Sí",C_INI,"&lt;="&amp;EOMONTH(B757,0))),C_CLAVE,0))&amp;"","Sin contrato"))</f>
        <v/>
      </c>
      <c r="T757" s="63" t="str">
        <f aca="false">IF(OR(B757="",N(O757)=0),"",N(O757)+ROUND(MIN(N(N757),TOPE_UF*UF_MES)*(TASA_EMP+MUTUAL),0)+ROUND(MIN(N(N757),TOPE_AFC_UF*UF_MES)*IF(S757="Indefinido",AFC_INDEF,AFC_PF),0))</f>
        <v/>
      </c>
      <c r="U757" s="62" t="str">
        <f aca="false">IF(C757="","",IF(LEFT(D757,1)="⚠","⚠ RUT no registrado en Trabajadores",IF(B757="","⚠ Falta el mes",IF(OR(ISTEXT(I757),ISTEXT(J757)),"⚠ Atrasos u horas extra como texto: escriba hh:mm (ej. 1:30)",IF(AND(ISNUMBER(Q757),COUNTIFS(M_RUTN,V757,M_MES,B757,M_LIQ,"&lt;&gt;")&gt;1),"⚠ Liquidación repetida en el mes",IF(AND(ISNUMBER(O757),ISNUMBER(P757),ISNUMBER(Q757),ABS(O757-P757-Q757)&gt;1),"⚠ Haberes − descuentos no da el líquido","OK"))))))</f>
        <v/>
      </c>
      <c r="V757" s="62" t="str">
        <f aca="false">IF(C757="","",IFERROR(VALUE(LEFT(UPPER(SUBSTITUTE(SUBSTITUTE(SUBSTITUTE(TRIM(C757),".",""),"-","")," ","")),LEN(UPPER(SUBSTITUTE(SUBSTITUTE(SUBSTITUTE(TRIM(C757),".",""),"-","")," ","")))-1))&amp;RIGHT(UPPER(SUBSTITUTE(SUBSTITUTE(SUBSTITUTE(TRIM(C757),".",""),"-","")," ","")),1),UPPER(SUBSTITUTE(SUBSTITUTE(SUBSTITUTE(TRIM(C757),".",""),"-","")," ",""))))</f>
        <v/>
      </c>
    </row>
    <row r="758" customFormat="false" ht="15" hidden="false" customHeight="false" outlineLevel="0" collapsed="false">
      <c r="B758" s="80"/>
      <c r="C758" s="58"/>
      <c r="D758" s="62" t="str">
        <f aca="false">IF(C758="","",IFERROR(INDEX(T_NOMBRE,MATCH(V758,T_RUTN,0)),"⚠ RUT no está en Trabajadores"))</f>
        <v/>
      </c>
      <c r="E758" s="61"/>
      <c r="F758" s="61"/>
      <c r="G758" s="61"/>
      <c r="H758" s="61"/>
      <c r="I758" s="81"/>
      <c r="J758" s="81"/>
      <c r="K758" s="60"/>
      <c r="L758" s="60"/>
      <c r="M758" s="60"/>
      <c r="N758" s="60"/>
      <c r="O758" s="60"/>
      <c r="P758" s="60"/>
      <c r="Q758" s="60"/>
      <c r="R758" s="58"/>
      <c r="S758" s="62" t="str">
        <f aca="false">IF(OR(B758="",V758=""),"",IFERROR(INDEX(C_TIPO,MATCH(V758&amp;"-P"&amp;MAX(1,COUNTIFS(C_RUTN,V758,C_DEF,"Sí",C_INI,"&lt;="&amp;EOMONTH(B758,0))),C_CLAVE,0))&amp;"","Sin contrato"))</f>
        <v/>
      </c>
      <c r="T758" s="63" t="str">
        <f aca="false">IF(OR(B758="",N(O758)=0),"",N(O758)+ROUND(MIN(N(N758),TOPE_UF*UF_MES)*(TASA_EMP+MUTUAL),0)+ROUND(MIN(N(N758),TOPE_AFC_UF*UF_MES)*IF(S758="Indefinido",AFC_INDEF,AFC_PF),0))</f>
        <v/>
      </c>
      <c r="U758" s="62" t="str">
        <f aca="false">IF(C758="","",IF(LEFT(D758,1)="⚠","⚠ RUT no registrado en Trabajadores",IF(B758="","⚠ Falta el mes",IF(OR(ISTEXT(I758),ISTEXT(J758)),"⚠ Atrasos u horas extra como texto: escriba hh:mm (ej. 1:30)",IF(AND(ISNUMBER(Q758),COUNTIFS(M_RUTN,V758,M_MES,B758,M_LIQ,"&lt;&gt;")&gt;1),"⚠ Liquidación repetida en el mes",IF(AND(ISNUMBER(O758),ISNUMBER(P758),ISNUMBER(Q758),ABS(O758-P758-Q758)&gt;1),"⚠ Haberes − descuentos no da el líquido","OK"))))))</f>
        <v/>
      </c>
      <c r="V758" s="62" t="str">
        <f aca="false">IF(C758="","",IFERROR(VALUE(LEFT(UPPER(SUBSTITUTE(SUBSTITUTE(SUBSTITUTE(TRIM(C758),".",""),"-","")," ","")),LEN(UPPER(SUBSTITUTE(SUBSTITUTE(SUBSTITUTE(TRIM(C758),".",""),"-","")," ","")))-1))&amp;RIGHT(UPPER(SUBSTITUTE(SUBSTITUTE(SUBSTITUTE(TRIM(C758),".",""),"-","")," ","")),1),UPPER(SUBSTITUTE(SUBSTITUTE(SUBSTITUTE(TRIM(C758),".",""),"-","")," ",""))))</f>
        <v/>
      </c>
    </row>
    <row r="759" customFormat="false" ht="15" hidden="false" customHeight="false" outlineLevel="0" collapsed="false">
      <c r="B759" s="80"/>
      <c r="C759" s="58"/>
      <c r="D759" s="62" t="str">
        <f aca="false">IF(C759="","",IFERROR(INDEX(T_NOMBRE,MATCH(V759,T_RUTN,0)),"⚠ RUT no está en Trabajadores"))</f>
        <v/>
      </c>
      <c r="E759" s="61"/>
      <c r="F759" s="61"/>
      <c r="G759" s="61"/>
      <c r="H759" s="61"/>
      <c r="I759" s="81"/>
      <c r="J759" s="81"/>
      <c r="K759" s="60"/>
      <c r="L759" s="60"/>
      <c r="M759" s="60"/>
      <c r="N759" s="60"/>
      <c r="O759" s="60"/>
      <c r="P759" s="60"/>
      <c r="Q759" s="60"/>
      <c r="R759" s="58"/>
      <c r="S759" s="62" t="str">
        <f aca="false">IF(OR(B759="",V759=""),"",IFERROR(INDEX(C_TIPO,MATCH(V759&amp;"-P"&amp;MAX(1,COUNTIFS(C_RUTN,V759,C_DEF,"Sí",C_INI,"&lt;="&amp;EOMONTH(B759,0))),C_CLAVE,0))&amp;"","Sin contrato"))</f>
        <v/>
      </c>
      <c r="T759" s="63" t="str">
        <f aca="false">IF(OR(B759="",N(O759)=0),"",N(O759)+ROUND(MIN(N(N759),TOPE_UF*UF_MES)*(TASA_EMP+MUTUAL),0)+ROUND(MIN(N(N759),TOPE_AFC_UF*UF_MES)*IF(S759="Indefinido",AFC_INDEF,AFC_PF),0))</f>
        <v/>
      </c>
      <c r="U759" s="62" t="str">
        <f aca="false">IF(C759="","",IF(LEFT(D759,1)="⚠","⚠ RUT no registrado en Trabajadores",IF(B759="","⚠ Falta el mes",IF(OR(ISTEXT(I759),ISTEXT(J759)),"⚠ Atrasos u horas extra como texto: escriba hh:mm (ej. 1:30)",IF(AND(ISNUMBER(Q759),COUNTIFS(M_RUTN,V759,M_MES,B759,M_LIQ,"&lt;&gt;")&gt;1),"⚠ Liquidación repetida en el mes",IF(AND(ISNUMBER(O759),ISNUMBER(P759),ISNUMBER(Q759),ABS(O759-P759-Q759)&gt;1),"⚠ Haberes − descuentos no da el líquido","OK"))))))</f>
        <v/>
      </c>
      <c r="V759" s="62" t="str">
        <f aca="false">IF(C759="","",IFERROR(VALUE(LEFT(UPPER(SUBSTITUTE(SUBSTITUTE(SUBSTITUTE(TRIM(C759),".",""),"-","")," ","")),LEN(UPPER(SUBSTITUTE(SUBSTITUTE(SUBSTITUTE(TRIM(C759),".",""),"-","")," ","")))-1))&amp;RIGHT(UPPER(SUBSTITUTE(SUBSTITUTE(SUBSTITUTE(TRIM(C759),".",""),"-","")," ","")),1),UPPER(SUBSTITUTE(SUBSTITUTE(SUBSTITUTE(TRIM(C759),".",""),"-","")," ",""))))</f>
        <v/>
      </c>
    </row>
    <row r="760" customFormat="false" ht="15" hidden="false" customHeight="false" outlineLevel="0" collapsed="false">
      <c r="B760" s="80"/>
      <c r="C760" s="58"/>
      <c r="D760" s="62" t="str">
        <f aca="false">IF(C760="","",IFERROR(INDEX(T_NOMBRE,MATCH(V760,T_RUTN,0)),"⚠ RUT no está en Trabajadores"))</f>
        <v/>
      </c>
      <c r="E760" s="61"/>
      <c r="F760" s="61"/>
      <c r="G760" s="61"/>
      <c r="H760" s="61"/>
      <c r="I760" s="81"/>
      <c r="J760" s="81"/>
      <c r="K760" s="60"/>
      <c r="L760" s="60"/>
      <c r="M760" s="60"/>
      <c r="N760" s="60"/>
      <c r="O760" s="60"/>
      <c r="P760" s="60"/>
      <c r="Q760" s="60"/>
      <c r="R760" s="58"/>
      <c r="S760" s="62" t="str">
        <f aca="false">IF(OR(B760="",V760=""),"",IFERROR(INDEX(C_TIPO,MATCH(V760&amp;"-P"&amp;MAX(1,COUNTIFS(C_RUTN,V760,C_DEF,"Sí",C_INI,"&lt;="&amp;EOMONTH(B760,0))),C_CLAVE,0))&amp;"","Sin contrato"))</f>
        <v/>
      </c>
      <c r="T760" s="63" t="str">
        <f aca="false">IF(OR(B760="",N(O760)=0),"",N(O760)+ROUND(MIN(N(N760),TOPE_UF*UF_MES)*(TASA_EMP+MUTUAL),0)+ROUND(MIN(N(N760),TOPE_AFC_UF*UF_MES)*IF(S760="Indefinido",AFC_INDEF,AFC_PF),0))</f>
        <v/>
      </c>
      <c r="U760" s="62" t="str">
        <f aca="false">IF(C760="","",IF(LEFT(D760,1)="⚠","⚠ RUT no registrado en Trabajadores",IF(B760="","⚠ Falta el mes",IF(OR(ISTEXT(I760),ISTEXT(J760)),"⚠ Atrasos u horas extra como texto: escriba hh:mm (ej. 1:30)",IF(AND(ISNUMBER(Q760),COUNTIFS(M_RUTN,V760,M_MES,B760,M_LIQ,"&lt;&gt;")&gt;1),"⚠ Liquidación repetida en el mes",IF(AND(ISNUMBER(O760),ISNUMBER(P760),ISNUMBER(Q760),ABS(O760-P760-Q760)&gt;1),"⚠ Haberes − descuentos no da el líquido","OK"))))))</f>
        <v/>
      </c>
      <c r="V760" s="62" t="str">
        <f aca="false">IF(C760="","",IFERROR(VALUE(LEFT(UPPER(SUBSTITUTE(SUBSTITUTE(SUBSTITUTE(TRIM(C760),".",""),"-","")," ","")),LEN(UPPER(SUBSTITUTE(SUBSTITUTE(SUBSTITUTE(TRIM(C760),".",""),"-","")," ","")))-1))&amp;RIGHT(UPPER(SUBSTITUTE(SUBSTITUTE(SUBSTITUTE(TRIM(C760),".",""),"-","")," ","")),1),UPPER(SUBSTITUTE(SUBSTITUTE(SUBSTITUTE(TRIM(C760),".",""),"-","")," ",""))))</f>
        <v/>
      </c>
    </row>
    <row r="761" customFormat="false" ht="15" hidden="false" customHeight="false" outlineLevel="0" collapsed="false">
      <c r="B761" s="80"/>
      <c r="C761" s="58"/>
      <c r="D761" s="62" t="str">
        <f aca="false">IF(C761="","",IFERROR(INDEX(T_NOMBRE,MATCH(V761,T_RUTN,0)),"⚠ RUT no está en Trabajadores"))</f>
        <v/>
      </c>
      <c r="E761" s="61"/>
      <c r="F761" s="61"/>
      <c r="G761" s="61"/>
      <c r="H761" s="61"/>
      <c r="I761" s="81"/>
      <c r="J761" s="81"/>
      <c r="K761" s="60"/>
      <c r="L761" s="60"/>
      <c r="M761" s="60"/>
      <c r="N761" s="60"/>
      <c r="O761" s="60"/>
      <c r="P761" s="60"/>
      <c r="Q761" s="60"/>
      <c r="R761" s="58"/>
      <c r="S761" s="62" t="str">
        <f aca="false">IF(OR(B761="",V761=""),"",IFERROR(INDEX(C_TIPO,MATCH(V761&amp;"-P"&amp;MAX(1,COUNTIFS(C_RUTN,V761,C_DEF,"Sí",C_INI,"&lt;="&amp;EOMONTH(B761,0))),C_CLAVE,0))&amp;"","Sin contrato"))</f>
        <v/>
      </c>
      <c r="T761" s="63" t="str">
        <f aca="false">IF(OR(B761="",N(O761)=0),"",N(O761)+ROUND(MIN(N(N761),TOPE_UF*UF_MES)*(TASA_EMP+MUTUAL),0)+ROUND(MIN(N(N761),TOPE_AFC_UF*UF_MES)*IF(S761="Indefinido",AFC_INDEF,AFC_PF),0))</f>
        <v/>
      </c>
      <c r="U761" s="62" t="str">
        <f aca="false">IF(C761="","",IF(LEFT(D761,1)="⚠","⚠ RUT no registrado en Trabajadores",IF(B761="","⚠ Falta el mes",IF(OR(ISTEXT(I761),ISTEXT(J761)),"⚠ Atrasos u horas extra como texto: escriba hh:mm (ej. 1:30)",IF(AND(ISNUMBER(Q761),COUNTIFS(M_RUTN,V761,M_MES,B761,M_LIQ,"&lt;&gt;")&gt;1),"⚠ Liquidación repetida en el mes",IF(AND(ISNUMBER(O761),ISNUMBER(P761),ISNUMBER(Q761),ABS(O761-P761-Q761)&gt;1),"⚠ Haberes − descuentos no da el líquido","OK"))))))</f>
        <v/>
      </c>
      <c r="V761" s="62" t="str">
        <f aca="false">IF(C761="","",IFERROR(VALUE(LEFT(UPPER(SUBSTITUTE(SUBSTITUTE(SUBSTITUTE(TRIM(C761),".",""),"-","")," ","")),LEN(UPPER(SUBSTITUTE(SUBSTITUTE(SUBSTITUTE(TRIM(C761),".",""),"-","")," ","")))-1))&amp;RIGHT(UPPER(SUBSTITUTE(SUBSTITUTE(SUBSTITUTE(TRIM(C761),".",""),"-","")," ","")),1),UPPER(SUBSTITUTE(SUBSTITUTE(SUBSTITUTE(TRIM(C761),".",""),"-","")," ",""))))</f>
        <v/>
      </c>
    </row>
    <row r="762" customFormat="false" ht="15" hidden="false" customHeight="false" outlineLevel="0" collapsed="false">
      <c r="B762" s="80"/>
      <c r="C762" s="58"/>
      <c r="D762" s="62" t="str">
        <f aca="false">IF(C762="","",IFERROR(INDEX(T_NOMBRE,MATCH(V762,T_RUTN,0)),"⚠ RUT no está en Trabajadores"))</f>
        <v/>
      </c>
      <c r="E762" s="61"/>
      <c r="F762" s="61"/>
      <c r="G762" s="61"/>
      <c r="H762" s="61"/>
      <c r="I762" s="81"/>
      <c r="J762" s="81"/>
      <c r="K762" s="60"/>
      <c r="L762" s="60"/>
      <c r="M762" s="60"/>
      <c r="N762" s="60"/>
      <c r="O762" s="60"/>
      <c r="P762" s="60"/>
      <c r="Q762" s="60"/>
      <c r="R762" s="58"/>
      <c r="S762" s="62" t="str">
        <f aca="false">IF(OR(B762="",V762=""),"",IFERROR(INDEX(C_TIPO,MATCH(V762&amp;"-P"&amp;MAX(1,COUNTIFS(C_RUTN,V762,C_DEF,"Sí",C_INI,"&lt;="&amp;EOMONTH(B762,0))),C_CLAVE,0))&amp;"","Sin contrato"))</f>
        <v/>
      </c>
      <c r="T762" s="63" t="str">
        <f aca="false">IF(OR(B762="",N(O762)=0),"",N(O762)+ROUND(MIN(N(N762),TOPE_UF*UF_MES)*(TASA_EMP+MUTUAL),0)+ROUND(MIN(N(N762),TOPE_AFC_UF*UF_MES)*IF(S762="Indefinido",AFC_INDEF,AFC_PF),0))</f>
        <v/>
      </c>
      <c r="U762" s="62" t="str">
        <f aca="false">IF(C762="","",IF(LEFT(D762,1)="⚠","⚠ RUT no registrado en Trabajadores",IF(B762="","⚠ Falta el mes",IF(OR(ISTEXT(I762),ISTEXT(J762)),"⚠ Atrasos u horas extra como texto: escriba hh:mm (ej. 1:30)",IF(AND(ISNUMBER(Q762),COUNTIFS(M_RUTN,V762,M_MES,B762,M_LIQ,"&lt;&gt;")&gt;1),"⚠ Liquidación repetida en el mes",IF(AND(ISNUMBER(O762),ISNUMBER(P762),ISNUMBER(Q762),ABS(O762-P762-Q762)&gt;1),"⚠ Haberes − descuentos no da el líquido","OK"))))))</f>
        <v/>
      </c>
      <c r="V762" s="62" t="str">
        <f aca="false">IF(C762="","",IFERROR(VALUE(LEFT(UPPER(SUBSTITUTE(SUBSTITUTE(SUBSTITUTE(TRIM(C762),".",""),"-","")," ","")),LEN(UPPER(SUBSTITUTE(SUBSTITUTE(SUBSTITUTE(TRIM(C762),".",""),"-","")," ","")))-1))&amp;RIGHT(UPPER(SUBSTITUTE(SUBSTITUTE(SUBSTITUTE(TRIM(C762),".",""),"-","")," ","")),1),UPPER(SUBSTITUTE(SUBSTITUTE(SUBSTITUTE(TRIM(C762),".",""),"-","")," ",""))))</f>
        <v/>
      </c>
    </row>
    <row r="763" customFormat="false" ht="15" hidden="false" customHeight="false" outlineLevel="0" collapsed="false">
      <c r="B763" s="80"/>
      <c r="C763" s="58"/>
      <c r="D763" s="62" t="str">
        <f aca="false">IF(C763="","",IFERROR(INDEX(T_NOMBRE,MATCH(V763,T_RUTN,0)),"⚠ RUT no está en Trabajadores"))</f>
        <v/>
      </c>
      <c r="E763" s="61"/>
      <c r="F763" s="61"/>
      <c r="G763" s="61"/>
      <c r="H763" s="61"/>
      <c r="I763" s="81"/>
      <c r="J763" s="81"/>
      <c r="K763" s="60"/>
      <c r="L763" s="60"/>
      <c r="M763" s="60"/>
      <c r="N763" s="60"/>
      <c r="O763" s="60"/>
      <c r="P763" s="60"/>
      <c r="Q763" s="60"/>
      <c r="R763" s="58"/>
      <c r="S763" s="62" t="str">
        <f aca="false">IF(OR(B763="",V763=""),"",IFERROR(INDEX(C_TIPO,MATCH(V763&amp;"-P"&amp;MAX(1,COUNTIFS(C_RUTN,V763,C_DEF,"Sí",C_INI,"&lt;="&amp;EOMONTH(B763,0))),C_CLAVE,0))&amp;"","Sin contrato"))</f>
        <v/>
      </c>
      <c r="T763" s="63" t="str">
        <f aca="false">IF(OR(B763="",N(O763)=0),"",N(O763)+ROUND(MIN(N(N763),TOPE_UF*UF_MES)*(TASA_EMP+MUTUAL),0)+ROUND(MIN(N(N763),TOPE_AFC_UF*UF_MES)*IF(S763="Indefinido",AFC_INDEF,AFC_PF),0))</f>
        <v/>
      </c>
      <c r="U763" s="62" t="str">
        <f aca="false">IF(C763="","",IF(LEFT(D763,1)="⚠","⚠ RUT no registrado en Trabajadores",IF(B763="","⚠ Falta el mes",IF(OR(ISTEXT(I763),ISTEXT(J763)),"⚠ Atrasos u horas extra como texto: escriba hh:mm (ej. 1:30)",IF(AND(ISNUMBER(Q763),COUNTIFS(M_RUTN,V763,M_MES,B763,M_LIQ,"&lt;&gt;")&gt;1),"⚠ Liquidación repetida en el mes",IF(AND(ISNUMBER(O763),ISNUMBER(P763),ISNUMBER(Q763),ABS(O763-P763-Q763)&gt;1),"⚠ Haberes − descuentos no da el líquido","OK"))))))</f>
        <v/>
      </c>
      <c r="V763" s="62" t="str">
        <f aca="false">IF(C763="","",IFERROR(VALUE(LEFT(UPPER(SUBSTITUTE(SUBSTITUTE(SUBSTITUTE(TRIM(C763),".",""),"-","")," ","")),LEN(UPPER(SUBSTITUTE(SUBSTITUTE(SUBSTITUTE(TRIM(C763),".",""),"-","")," ","")))-1))&amp;RIGHT(UPPER(SUBSTITUTE(SUBSTITUTE(SUBSTITUTE(TRIM(C763),".",""),"-","")," ","")),1),UPPER(SUBSTITUTE(SUBSTITUTE(SUBSTITUTE(TRIM(C763),".",""),"-","")," ",""))))</f>
        <v/>
      </c>
    </row>
    <row r="764" customFormat="false" ht="15" hidden="false" customHeight="false" outlineLevel="0" collapsed="false">
      <c r="B764" s="80"/>
      <c r="C764" s="58"/>
      <c r="D764" s="62" t="str">
        <f aca="false">IF(C764="","",IFERROR(INDEX(T_NOMBRE,MATCH(V764,T_RUTN,0)),"⚠ RUT no está en Trabajadores"))</f>
        <v/>
      </c>
      <c r="E764" s="61"/>
      <c r="F764" s="61"/>
      <c r="G764" s="61"/>
      <c r="H764" s="61"/>
      <c r="I764" s="81"/>
      <c r="J764" s="81"/>
      <c r="K764" s="60"/>
      <c r="L764" s="60"/>
      <c r="M764" s="60"/>
      <c r="N764" s="60"/>
      <c r="O764" s="60"/>
      <c r="P764" s="60"/>
      <c r="Q764" s="60"/>
      <c r="R764" s="58"/>
      <c r="S764" s="62" t="str">
        <f aca="false">IF(OR(B764="",V764=""),"",IFERROR(INDEX(C_TIPO,MATCH(V764&amp;"-P"&amp;MAX(1,COUNTIFS(C_RUTN,V764,C_DEF,"Sí",C_INI,"&lt;="&amp;EOMONTH(B764,0))),C_CLAVE,0))&amp;"","Sin contrato"))</f>
        <v/>
      </c>
      <c r="T764" s="63" t="str">
        <f aca="false">IF(OR(B764="",N(O764)=0),"",N(O764)+ROUND(MIN(N(N764),TOPE_UF*UF_MES)*(TASA_EMP+MUTUAL),0)+ROUND(MIN(N(N764),TOPE_AFC_UF*UF_MES)*IF(S764="Indefinido",AFC_INDEF,AFC_PF),0))</f>
        <v/>
      </c>
      <c r="U764" s="62" t="str">
        <f aca="false">IF(C764="","",IF(LEFT(D764,1)="⚠","⚠ RUT no registrado en Trabajadores",IF(B764="","⚠ Falta el mes",IF(OR(ISTEXT(I764),ISTEXT(J764)),"⚠ Atrasos u horas extra como texto: escriba hh:mm (ej. 1:30)",IF(AND(ISNUMBER(Q764),COUNTIFS(M_RUTN,V764,M_MES,B764,M_LIQ,"&lt;&gt;")&gt;1),"⚠ Liquidación repetida en el mes",IF(AND(ISNUMBER(O764),ISNUMBER(P764),ISNUMBER(Q764),ABS(O764-P764-Q764)&gt;1),"⚠ Haberes − descuentos no da el líquido","OK"))))))</f>
        <v/>
      </c>
      <c r="V764" s="62" t="str">
        <f aca="false">IF(C764="","",IFERROR(VALUE(LEFT(UPPER(SUBSTITUTE(SUBSTITUTE(SUBSTITUTE(TRIM(C764),".",""),"-","")," ","")),LEN(UPPER(SUBSTITUTE(SUBSTITUTE(SUBSTITUTE(TRIM(C764),".",""),"-","")," ","")))-1))&amp;RIGHT(UPPER(SUBSTITUTE(SUBSTITUTE(SUBSTITUTE(TRIM(C764),".",""),"-","")," ","")),1),UPPER(SUBSTITUTE(SUBSTITUTE(SUBSTITUTE(TRIM(C764),".",""),"-","")," ",""))))</f>
        <v/>
      </c>
    </row>
    <row r="765" customFormat="false" ht="15" hidden="false" customHeight="false" outlineLevel="0" collapsed="false">
      <c r="B765" s="80"/>
      <c r="C765" s="58"/>
      <c r="D765" s="62" t="str">
        <f aca="false">IF(C765="","",IFERROR(INDEX(T_NOMBRE,MATCH(V765,T_RUTN,0)),"⚠ RUT no está en Trabajadores"))</f>
        <v/>
      </c>
      <c r="E765" s="61"/>
      <c r="F765" s="61"/>
      <c r="G765" s="61"/>
      <c r="H765" s="61"/>
      <c r="I765" s="81"/>
      <c r="J765" s="81"/>
      <c r="K765" s="60"/>
      <c r="L765" s="60"/>
      <c r="M765" s="60"/>
      <c r="N765" s="60"/>
      <c r="O765" s="60"/>
      <c r="P765" s="60"/>
      <c r="Q765" s="60"/>
      <c r="R765" s="58"/>
      <c r="S765" s="62" t="str">
        <f aca="false">IF(OR(B765="",V765=""),"",IFERROR(INDEX(C_TIPO,MATCH(V765&amp;"-P"&amp;MAX(1,COUNTIFS(C_RUTN,V765,C_DEF,"Sí",C_INI,"&lt;="&amp;EOMONTH(B765,0))),C_CLAVE,0))&amp;"","Sin contrato"))</f>
        <v/>
      </c>
      <c r="T765" s="63" t="str">
        <f aca="false">IF(OR(B765="",N(O765)=0),"",N(O765)+ROUND(MIN(N(N765),TOPE_UF*UF_MES)*(TASA_EMP+MUTUAL),0)+ROUND(MIN(N(N765),TOPE_AFC_UF*UF_MES)*IF(S765="Indefinido",AFC_INDEF,AFC_PF),0))</f>
        <v/>
      </c>
      <c r="U765" s="62" t="str">
        <f aca="false">IF(C765="","",IF(LEFT(D765,1)="⚠","⚠ RUT no registrado en Trabajadores",IF(B765="","⚠ Falta el mes",IF(OR(ISTEXT(I765),ISTEXT(J765)),"⚠ Atrasos u horas extra como texto: escriba hh:mm (ej. 1:30)",IF(AND(ISNUMBER(Q765),COUNTIFS(M_RUTN,V765,M_MES,B765,M_LIQ,"&lt;&gt;")&gt;1),"⚠ Liquidación repetida en el mes",IF(AND(ISNUMBER(O765),ISNUMBER(P765),ISNUMBER(Q765),ABS(O765-P765-Q765)&gt;1),"⚠ Haberes − descuentos no da el líquido","OK"))))))</f>
        <v/>
      </c>
      <c r="V765" s="62" t="str">
        <f aca="false">IF(C765="","",IFERROR(VALUE(LEFT(UPPER(SUBSTITUTE(SUBSTITUTE(SUBSTITUTE(TRIM(C765),".",""),"-","")," ","")),LEN(UPPER(SUBSTITUTE(SUBSTITUTE(SUBSTITUTE(TRIM(C765),".",""),"-","")," ","")))-1))&amp;RIGHT(UPPER(SUBSTITUTE(SUBSTITUTE(SUBSTITUTE(TRIM(C765),".",""),"-","")," ","")),1),UPPER(SUBSTITUTE(SUBSTITUTE(SUBSTITUTE(TRIM(C765),".",""),"-","")," ",""))))</f>
        <v/>
      </c>
    </row>
    <row r="766" customFormat="false" ht="15" hidden="false" customHeight="false" outlineLevel="0" collapsed="false">
      <c r="B766" s="80"/>
      <c r="C766" s="58"/>
      <c r="D766" s="62" t="str">
        <f aca="false">IF(C766="","",IFERROR(INDEX(T_NOMBRE,MATCH(V766,T_RUTN,0)),"⚠ RUT no está en Trabajadores"))</f>
        <v/>
      </c>
      <c r="E766" s="61"/>
      <c r="F766" s="61"/>
      <c r="G766" s="61"/>
      <c r="H766" s="61"/>
      <c r="I766" s="81"/>
      <c r="J766" s="81"/>
      <c r="K766" s="60"/>
      <c r="L766" s="60"/>
      <c r="M766" s="60"/>
      <c r="N766" s="60"/>
      <c r="O766" s="60"/>
      <c r="P766" s="60"/>
      <c r="Q766" s="60"/>
      <c r="R766" s="58"/>
      <c r="S766" s="62" t="str">
        <f aca="false">IF(OR(B766="",V766=""),"",IFERROR(INDEX(C_TIPO,MATCH(V766&amp;"-P"&amp;MAX(1,COUNTIFS(C_RUTN,V766,C_DEF,"Sí",C_INI,"&lt;="&amp;EOMONTH(B766,0))),C_CLAVE,0))&amp;"","Sin contrato"))</f>
        <v/>
      </c>
      <c r="T766" s="63" t="str">
        <f aca="false">IF(OR(B766="",N(O766)=0),"",N(O766)+ROUND(MIN(N(N766),TOPE_UF*UF_MES)*(TASA_EMP+MUTUAL),0)+ROUND(MIN(N(N766),TOPE_AFC_UF*UF_MES)*IF(S766="Indefinido",AFC_INDEF,AFC_PF),0))</f>
        <v/>
      </c>
      <c r="U766" s="62" t="str">
        <f aca="false">IF(C766="","",IF(LEFT(D766,1)="⚠","⚠ RUT no registrado en Trabajadores",IF(B766="","⚠ Falta el mes",IF(OR(ISTEXT(I766),ISTEXT(J766)),"⚠ Atrasos u horas extra como texto: escriba hh:mm (ej. 1:30)",IF(AND(ISNUMBER(Q766),COUNTIFS(M_RUTN,V766,M_MES,B766,M_LIQ,"&lt;&gt;")&gt;1),"⚠ Liquidación repetida en el mes",IF(AND(ISNUMBER(O766),ISNUMBER(P766),ISNUMBER(Q766),ABS(O766-P766-Q766)&gt;1),"⚠ Haberes − descuentos no da el líquido","OK"))))))</f>
        <v/>
      </c>
      <c r="V766" s="62" t="str">
        <f aca="false">IF(C766="","",IFERROR(VALUE(LEFT(UPPER(SUBSTITUTE(SUBSTITUTE(SUBSTITUTE(TRIM(C766),".",""),"-","")," ","")),LEN(UPPER(SUBSTITUTE(SUBSTITUTE(SUBSTITUTE(TRIM(C766),".",""),"-","")," ","")))-1))&amp;RIGHT(UPPER(SUBSTITUTE(SUBSTITUTE(SUBSTITUTE(TRIM(C766),".",""),"-","")," ","")),1),UPPER(SUBSTITUTE(SUBSTITUTE(SUBSTITUTE(TRIM(C766),".",""),"-","")," ",""))))</f>
        <v/>
      </c>
    </row>
    <row r="767" customFormat="false" ht="15" hidden="false" customHeight="false" outlineLevel="0" collapsed="false">
      <c r="B767" s="80"/>
      <c r="C767" s="58"/>
      <c r="D767" s="62" t="str">
        <f aca="false">IF(C767="","",IFERROR(INDEX(T_NOMBRE,MATCH(V767,T_RUTN,0)),"⚠ RUT no está en Trabajadores"))</f>
        <v/>
      </c>
      <c r="E767" s="61"/>
      <c r="F767" s="61"/>
      <c r="G767" s="61"/>
      <c r="H767" s="61"/>
      <c r="I767" s="81"/>
      <c r="J767" s="81"/>
      <c r="K767" s="60"/>
      <c r="L767" s="60"/>
      <c r="M767" s="60"/>
      <c r="N767" s="60"/>
      <c r="O767" s="60"/>
      <c r="P767" s="60"/>
      <c r="Q767" s="60"/>
      <c r="R767" s="58"/>
      <c r="S767" s="62" t="str">
        <f aca="false">IF(OR(B767="",V767=""),"",IFERROR(INDEX(C_TIPO,MATCH(V767&amp;"-P"&amp;MAX(1,COUNTIFS(C_RUTN,V767,C_DEF,"Sí",C_INI,"&lt;="&amp;EOMONTH(B767,0))),C_CLAVE,0))&amp;"","Sin contrato"))</f>
        <v/>
      </c>
      <c r="T767" s="63" t="str">
        <f aca="false">IF(OR(B767="",N(O767)=0),"",N(O767)+ROUND(MIN(N(N767),TOPE_UF*UF_MES)*(TASA_EMP+MUTUAL),0)+ROUND(MIN(N(N767),TOPE_AFC_UF*UF_MES)*IF(S767="Indefinido",AFC_INDEF,AFC_PF),0))</f>
        <v/>
      </c>
      <c r="U767" s="62" t="str">
        <f aca="false">IF(C767="","",IF(LEFT(D767,1)="⚠","⚠ RUT no registrado en Trabajadores",IF(B767="","⚠ Falta el mes",IF(OR(ISTEXT(I767),ISTEXT(J767)),"⚠ Atrasos u horas extra como texto: escriba hh:mm (ej. 1:30)",IF(AND(ISNUMBER(Q767),COUNTIFS(M_RUTN,V767,M_MES,B767,M_LIQ,"&lt;&gt;")&gt;1),"⚠ Liquidación repetida en el mes",IF(AND(ISNUMBER(O767),ISNUMBER(P767),ISNUMBER(Q767),ABS(O767-P767-Q767)&gt;1),"⚠ Haberes − descuentos no da el líquido","OK"))))))</f>
        <v/>
      </c>
      <c r="V767" s="62" t="str">
        <f aca="false">IF(C767="","",IFERROR(VALUE(LEFT(UPPER(SUBSTITUTE(SUBSTITUTE(SUBSTITUTE(TRIM(C767),".",""),"-","")," ","")),LEN(UPPER(SUBSTITUTE(SUBSTITUTE(SUBSTITUTE(TRIM(C767),".",""),"-","")," ","")))-1))&amp;RIGHT(UPPER(SUBSTITUTE(SUBSTITUTE(SUBSTITUTE(TRIM(C767),".",""),"-","")," ","")),1),UPPER(SUBSTITUTE(SUBSTITUTE(SUBSTITUTE(TRIM(C767),".",""),"-","")," ",""))))</f>
        <v/>
      </c>
    </row>
    <row r="768" customFormat="false" ht="15" hidden="false" customHeight="false" outlineLevel="0" collapsed="false">
      <c r="B768" s="80"/>
      <c r="C768" s="58"/>
      <c r="D768" s="62" t="str">
        <f aca="false">IF(C768="","",IFERROR(INDEX(T_NOMBRE,MATCH(V768,T_RUTN,0)),"⚠ RUT no está en Trabajadores"))</f>
        <v/>
      </c>
      <c r="E768" s="61"/>
      <c r="F768" s="61"/>
      <c r="G768" s="61"/>
      <c r="H768" s="61"/>
      <c r="I768" s="81"/>
      <c r="J768" s="81"/>
      <c r="K768" s="60"/>
      <c r="L768" s="60"/>
      <c r="M768" s="60"/>
      <c r="N768" s="60"/>
      <c r="O768" s="60"/>
      <c r="P768" s="60"/>
      <c r="Q768" s="60"/>
      <c r="R768" s="58"/>
      <c r="S768" s="62" t="str">
        <f aca="false">IF(OR(B768="",V768=""),"",IFERROR(INDEX(C_TIPO,MATCH(V768&amp;"-P"&amp;MAX(1,COUNTIFS(C_RUTN,V768,C_DEF,"Sí",C_INI,"&lt;="&amp;EOMONTH(B768,0))),C_CLAVE,0))&amp;"","Sin contrato"))</f>
        <v/>
      </c>
      <c r="T768" s="63" t="str">
        <f aca="false">IF(OR(B768="",N(O768)=0),"",N(O768)+ROUND(MIN(N(N768),TOPE_UF*UF_MES)*(TASA_EMP+MUTUAL),0)+ROUND(MIN(N(N768),TOPE_AFC_UF*UF_MES)*IF(S768="Indefinido",AFC_INDEF,AFC_PF),0))</f>
        <v/>
      </c>
      <c r="U768" s="62" t="str">
        <f aca="false">IF(C768="","",IF(LEFT(D768,1)="⚠","⚠ RUT no registrado en Trabajadores",IF(B768="","⚠ Falta el mes",IF(OR(ISTEXT(I768),ISTEXT(J768)),"⚠ Atrasos u horas extra como texto: escriba hh:mm (ej. 1:30)",IF(AND(ISNUMBER(Q768),COUNTIFS(M_RUTN,V768,M_MES,B768,M_LIQ,"&lt;&gt;")&gt;1),"⚠ Liquidación repetida en el mes",IF(AND(ISNUMBER(O768),ISNUMBER(P768),ISNUMBER(Q768),ABS(O768-P768-Q768)&gt;1),"⚠ Haberes − descuentos no da el líquido","OK"))))))</f>
        <v/>
      </c>
      <c r="V768" s="62" t="str">
        <f aca="false">IF(C768="","",IFERROR(VALUE(LEFT(UPPER(SUBSTITUTE(SUBSTITUTE(SUBSTITUTE(TRIM(C768),".",""),"-","")," ","")),LEN(UPPER(SUBSTITUTE(SUBSTITUTE(SUBSTITUTE(TRIM(C768),".",""),"-","")," ","")))-1))&amp;RIGHT(UPPER(SUBSTITUTE(SUBSTITUTE(SUBSTITUTE(TRIM(C768),".",""),"-","")," ","")),1),UPPER(SUBSTITUTE(SUBSTITUTE(SUBSTITUTE(TRIM(C768),".",""),"-","")," ",""))))</f>
        <v/>
      </c>
    </row>
    <row r="769" customFormat="false" ht="15" hidden="false" customHeight="false" outlineLevel="0" collapsed="false">
      <c r="B769" s="80"/>
      <c r="C769" s="58"/>
      <c r="D769" s="62" t="str">
        <f aca="false">IF(C769="","",IFERROR(INDEX(T_NOMBRE,MATCH(V769,T_RUTN,0)),"⚠ RUT no está en Trabajadores"))</f>
        <v/>
      </c>
      <c r="E769" s="61"/>
      <c r="F769" s="61"/>
      <c r="G769" s="61"/>
      <c r="H769" s="61"/>
      <c r="I769" s="81"/>
      <c r="J769" s="81"/>
      <c r="K769" s="60"/>
      <c r="L769" s="60"/>
      <c r="M769" s="60"/>
      <c r="N769" s="60"/>
      <c r="O769" s="60"/>
      <c r="P769" s="60"/>
      <c r="Q769" s="60"/>
      <c r="R769" s="58"/>
      <c r="S769" s="62" t="str">
        <f aca="false">IF(OR(B769="",V769=""),"",IFERROR(INDEX(C_TIPO,MATCH(V769&amp;"-P"&amp;MAX(1,COUNTIFS(C_RUTN,V769,C_DEF,"Sí",C_INI,"&lt;="&amp;EOMONTH(B769,0))),C_CLAVE,0))&amp;"","Sin contrato"))</f>
        <v/>
      </c>
      <c r="T769" s="63" t="str">
        <f aca="false">IF(OR(B769="",N(O769)=0),"",N(O769)+ROUND(MIN(N(N769),TOPE_UF*UF_MES)*(TASA_EMP+MUTUAL),0)+ROUND(MIN(N(N769),TOPE_AFC_UF*UF_MES)*IF(S769="Indefinido",AFC_INDEF,AFC_PF),0))</f>
        <v/>
      </c>
      <c r="U769" s="62" t="str">
        <f aca="false">IF(C769="","",IF(LEFT(D769,1)="⚠","⚠ RUT no registrado en Trabajadores",IF(B769="","⚠ Falta el mes",IF(OR(ISTEXT(I769),ISTEXT(J769)),"⚠ Atrasos u horas extra como texto: escriba hh:mm (ej. 1:30)",IF(AND(ISNUMBER(Q769),COUNTIFS(M_RUTN,V769,M_MES,B769,M_LIQ,"&lt;&gt;")&gt;1),"⚠ Liquidación repetida en el mes",IF(AND(ISNUMBER(O769),ISNUMBER(P769),ISNUMBER(Q769),ABS(O769-P769-Q769)&gt;1),"⚠ Haberes − descuentos no da el líquido","OK"))))))</f>
        <v/>
      </c>
      <c r="V769" s="62" t="str">
        <f aca="false">IF(C769="","",IFERROR(VALUE(LEFT(UPPER(SUBSTITUTE(SUBSTITUTE(SUBSTITUTE(TRIM(C769),".",""),"-","")," ","")),LEN(UPPER(SUBSTITUTE(SUBSTITUTE(SUBSTITUTE(TRIM(C769),".",""),"-","")," ","")))-1))&amp;RIGHT(UPPER(SUBSTITUTE(SUBSTITUTE(SUBSTITUTE(TRIM(C769),".",""),"-","")," ","")),1),UPPER(SUBSTITUTE(SUBSTITUTE(SUBSTITUTE(TRIM(C769),".",""),"-","")," ",""))))</f>
        <v/>
      </c>
    </row>
    <row r="770" customFormat="false" ht="15" hidden="false" customHeight="false" outlineLevel="0" collapsed="false">
      <c r="B770" s="80"/>
      <c r="C770" s="58"/>
      <c r="D770" s="62" t="str">
        <f aca="false">IF(C770="","",IFERROR(INDEX(T_NOMBRE,MATCH(V770,T_RUTN,0)),"⚠ RUT no está en Trabajadores"))</f>
        <v/>
      </c>
      <c r="E770" s="61"/>
      <c r="F770" s="61"/>
      <c r="G770" s="61"/>
      <c r="H770" s="61"/>
      <c r="I770" s="81"/>
      <c r="J770" s="81"/>
      <c r="K770" s="60"/>
      <c r="L770" s="60"/>
      <c r="M770" s="60"/>
      <c r="N770" s="60"/>
      <c r="O770" s="60"/>
      <c r="P770" s="60"/>
      <c r="Q770" s="60"/>
      <c r="R770" s="58"/>
      <c r="S770" s="62" t="str">
        <f aca="false">IF(OR(B770="",V770=""),"",IFERROR(INDEX(C_TIPO,MATCH(V770&amp;"-P"&amp;MAX(1,COUNTIFS(C_RUTN,V770,C_DEF,"Sí",C_INI,"&lt;="&amp;EOMONTH(B770,0))),C_CLAVE,0))&amp;"","Sin contrato"))</f>
        <v/>
      </c>
      <c r="T770" s="63" t="str">
        <f aca="false">IF(OR(B770="",N(O770)=0),"",N(O770)+ROUND(MIN(N(N770),TOPE_UF*UF_MES)*(TASA_EMP+MUTUAL),0)+ROUND(MIN(N(N770),TOPE_AFC_UF*UF_MES)*IF(S770="Indefinido",AFC_INDEF,AFC_PF),0))</f>
        <v/>
      </c>
      <c r="U770" s="62" t="str">
        <f aca="false">IF(C770="","",IF(LEFT(D770,1)="⚠","⚠ RUT no registrado en Trabajadores",IF(B770="","⚠ Falta el mes",IF(OR(ISTEXT(I770),ISTEXT(J770)),"⚠ Atrasos u horas extra como texto: escriba hh:mm (ej. 1:30)",IF(AND(ISNUMBER(Q770),COUNTIFS(M_RUTN,V770,M_MES,B770,M_LIQ,"&lt;&gt;")&gt;1),"⚠ Liquidación repetida en el mes",IF(AND(ISNUMBER(O770),ISNUMBER(P770),ISNUMBER(Q770),ABS(O770-P770-Q770)&gt;1),"⚠ Haberes − descuentos no da el líquido","OK"))))))</f>
        <v/>
      </c>
      <c r="V770" s="62" t="str">
        <f aca="false">IF(C770="","",IFERROR(VALUE(LEFT(UPPER(SUBSTITUTE(SUBSTITUTE(SUBSTITUTE(TRIM(C770),".",""),"-","")," ","")),LEN(UPPER(SUBSTITUTE(SUBSTITUTE(SUBSTITUTE(TRIM(C770),".",""),"-","")," ","")))-1))&amp;RIGHT(UPPER(SUBSTITUTE(SUBSTITUTE(SUBSTITUTE(TRIM(C770),".",""),"-","")," ","")),1),UPPER(SUBSTITUTE(SUBSTITUTE(SUBSTITUTE(TRIM(C770),".",""),"-","")," ",""))))</f>
        <v/>
      </c>
    </row>
    <row r="771" customFormat="false" ht="15" hidden="false" customHeight="false" outlineLevel="0" collapsed="false">
      <c r="B771" s="80"/>
      <c r="C771" s="58"/>
      <c r="D771" s="62" t="str">
        <f aca="false">IF(C771="","",IFERROR(INDEX(T_NOMBRE,MATCH(V771,T_RUTN,0)),"⚠ RUT no está en Trabajadores"))</f>
        <v/>
      </c>
      <c r="E771" s="61"/>
      <c r="F771" s="61"/>
      <c r="G771" s="61"/>
      <c r="H771" s="61"/>
      <c r="I771" s="81"/>
      <c r="J771" s="81"/>
      <c r="K771" s="60"/>
      <c r="L771" s="60"/>
      <c r="M771" s="60"/>
      <c r="N771" s="60"/>
      <c r="O771" s="60"/>
      <c r="P771" s="60"/>
      <c r="Q771" s="60"/>
      <c r="R771" s="58"/>
      <c r="S771" s="62" t="str">
        <f aca="false">IF(OR(B771="",V771=""),"",IFERROR(INDEX(C_TIPO,MATCH(V771&amp;"-P"&amp;MAX(1,COUNTIFS(C_RUTN,V771,C_DEF,"Sí",C_INI,"&lt;="&amp;EOMONTH(B771,0))),C_CLAVE,0))&amp;"","Sin contrato"))</f>
        <v/>
      </c>
      <c r="T771" s="63" t="str">
        <f aca="false">IF(OR(B771="",N(O771)=0),"",N(O771)+ROUND(MIN(N(N771),TOPE_UF*UF_MES)*(TASA_EMP+MUTUAL),0)+ROUND(MIN(N(N771),TOPE_AFC_UF*UF_MES)*IF(S771="Indefinido",AFC_INDEF,AFC_PF),0))</f>
        <v/>
      </c>
      <c r="U771" s="62" t="str">
        <f aca="false">IF(C771="","",IF(LEFT(D771,1)="⚠","⚠ RUT no registrado en Trabajadores",IF(B771="","⚠ Falta el mes",IF(OR(ISTEXT(I771),ISTEXT(J771)),"⚠ Atrasos u horas extra como texto: escriba hh:mm (ej. 1:30)",IF(AND(ISNUMBER(Q771),COUNTIFS(M_RUTN,V771,M_MES,B771,M_LIQ,"&lt;&gt;")&gt;1),"⚠ Liquidación repetida en el mes",IF(AND(ISNUMBER(O771),ISNUMBER(P771),ISNUMBER(Q771),ABS(O771-P771-Q771)&gt;1),"⚠ Haberes − descuentos no da el líquido","OK"))))))</f>
        <v/>
      </c>
      <c r="V771" s="62" t="str">
        <f aca="false">IF(C771="","",IFERROR(VALUE(LEFT(UPPER(SUBSTITUTE(SUBSTITUTE(SUBSTITUTE(TRIM(C771),".",""),"-","")," ","")),LEN(UPPER(SUBSTITUTE(SUBSTITUTE(SUBSTITUTE(TRIM(C771),".",""),"-","")," ","")))-1))&amp;RIGHT(UPPER(SUBSTITUTE(SUBSTITUTE(SUBSTITUTE(TRIM(C771),".",""),"-","")," ","")),1),UPPER(SUBSTITUTE(SUBSTITUTE(SUBSTITUTE(TRIM(C771),".",""),"-","")," ",""))))</f>
        <v/>
      </c>
    </row>
    <row r="772" customFormat="false" ht="15" hidden="false" customHeight="false" outlineLevel="0" collapsed="false">
      <c r="B772" s="80"/>
      <c r="C772" s="58"/>
      <c r="D772" s="62" t="str">
        <f aca="false">IF(C772="","",IFERROR(INDEX(T_NOMBRE,MATCH(V772,T_RUTN,0)),"⚠ RUT no está en Trabajadores"))</f>
        <v/>
      </c>
      <c r="E772" s="61"/>
      <c r="F772" s="61"/>
      <c r="G772" s="61"/>
      <c r="H772" s="61"/>
      <c r="I772" s="81"/>
      <c r="J772" s="81"/>
      <c r="K772" s="60"/>
      <c r="L772" s="60"/>
      <c r="M772" s="60"/>
      <c r="N772" s="60"/>
      <c r="O772" s="60"/>
      <c r="P772" s="60"/>
      <c r="Q772" s="60"/>
      <c r="R772" s="58"/>
      <c r="S772" s="62" t="str">
        <f aca="false">IF(OR(B772="",V772=""),"",IFERROR(INDEX(C_TIPO,MATCH(V772&amp;"-P"&amp;MAX(1,COUNTIFS(C_RUTN,V772,C_DEF,"Sí",C_INI,"&lt;="&amp;EOMONTH(B772,0))),C_CLAVE,0))&amp;"","Sin contrato"))</f>
        <v/>
      </c>
      <c r="T772" s="63" t="str">
        <f aca="false">IF(OR(B772="",N(O772)=0),"",N(O772)+ROUND(MIN(N(N772),TOPE_UF*UF_MES)*(TASA_EMP+MUTUAL),0)+ROUND(MIN(N(N772),TOPE_AFC_UF*UF_MES)*IF(S772="Indefinido",AFC_INDEF,AFC_PF),0))</f>
        <v/>
      </c>
      <c r="U772" s="62" t="str">
        <f aca="false">IF(C772="","",IF(LEFT(D772,1)="⚠","⚠ RUT no registrado en Trabajadores",IF(B772="","⚠ Falta el mes",IF(OR(ISTEXT(I772),ISTEXT(J772)),"⚠ Atrasos u horas extra como texto: escriba hh:mm (ej. 1:30)",IF(AND(ISNUMBER(Q772),COUNTIFS(M_RUTN,V772,M_MES,B772,M_LIQ,"&lt;&gt;")&gt;1),"⚠ Liquidación repetida en el mes",IF(AND(ISNUMBER(O772),ISNUMBER(P772),ISNUMBER(Q772),ABS(O772-P772-Q772)&gt;1),"⚠ Haberes − descuentos no da el líquido","OK"))))))</f>
        <v/>
      </c>
      <c r="V772" s="62" t="str">
        <f aca="false">IF(C772="","",IFERROR(VALUE(LEFT(UPPER(SUBSTITUTE(SUBSTITUTE(SUBSTITUTE(TRIM(C772),".",""),"-","")," ","")),LEN(UPPER(SUBSTITUTE(SUBSTITUTE(SUBSTITUTE(TRIM(C772),".",""),"-","")," ","")))-1))&amp;RIGHT(UPPER(SUBSTITUTE(SUBSTITUTE(SUBSTITUTE(TRIM(C772),".",""),"-","")," ","")),1),UPPER(SUBSTITUTE(SUBSTITUTE(SUBSTITUTE(TRIM(C772),".",""),"-","")," ",""))))</f>
        <v/>
      </c>
    </row>
    <row r="773" customFormat="false" ht="15" hidden="false" customHeight="false" outlineLevel="0" collapsed="false">
      <c r="B773" s="80"/>
      <c r="C773" s="58"/>
      <c r="D773" s="62" t="str">
        <f aca="false">IF(C773="","",IFERROR(INDEX(T_NOMBRE,MATCH(V773,T_RUTN,0)),"⚠ RUT no está en Trabajadores"))</f>
        <v/>
      </c>
      <c r="E773" s="61"/>
      <c r="F773" s="61"/>
      <c r="G773" s="61"/>
      <c r="H773" s="61"/>
      <c r="I773" s="81"/>
      <c r="J773" s="81"/>
      <c r="K773" s="60"/>
      <c r="L773" s="60"/>
      <c r="M773" s="60"/>
      <c r="N773" s="60"/>
      <c r="O773" s="60"/>
      <c r="P773" s="60"/>
      <c r="Q773" s="60"/>
      <c r="R773" s="58"/>
      <c r="S773" s="62" t="str">
        <f aca="false">IF(OR(B773="",V773=""),"",IFERROR(INDEX(C_TIPO,MATCH(V773&amp;"-P"&amp;MAX(1,COUNTIFS(C_RUTN,V773,C_DEF,"Sí",C_INI,"&lt;="&amp;EOMONTH(B773,0))),C_CLAVE,0))&amp;"","Sin contrato"))</f>
        <v/>
      </c>
      <c r="T773" s="63" t="str">
        <f aca="false">IF(OR(B773="",N(O773)=0),"",N(O773)+ROUND(MIN(N(N773),TOPE_UF*UF_MES)*(TASA_EMP+MUTUAL),0)+ROUND(MIN(N(N773),TOPE_AFC_UF*UF_MES)*IF(S773="Indefinido",AFC_INDEF,AFC_PF),0))</f>
        <v/>
      </c>
      <c r="U773" s="62" t="str">
        <f aca="false">IF(C773="","",IF(LEFT(D773,1)="⚠","⚠ RUT no registrado en Trabajadores",IF(B773="","⚠ Falta el mes",IF(OR(ISTEXT(I773),ISTEXT(J773)),"⚠ Atrasos u horas extra como texto: escriba hh:mm (ej. 1:30)",IF(AND(ISNUMBER(Q773),COUNTIFS(M_RUTN,V773,M_MES,B773,M_LIQ,"&lt;&gt;")&gt;1),"⚠ Liquidación repetida en el mes",IF(AND(ISNUMBER(O773),ISNUMBER(P773),ISNUMBER(Q773),ABS(O773-P773-Q773)&gt;1),"⚠ Haberes − descuentos no da el líquido","OK"))))))</f>
        <v/>
      </c>
      <c r="V773" s="62" t="str">
        <f aca="false">IF(C773="","",IFERROR(VALUE(LEFT(UPPER(SUBSTITUTE(SUBSTITUTE(SUBSTITUTE(TRIM(C773),".",""),"-","")," ","")),LEN(UPPER(SUBSTITUTE(SUBSTITUTE(SUBSTITUTE(TRIM(C773),".",""),"-","")," ","")))-1))&amp;RIGHT(UPPER(SUBSTITUTE(SUBSTITUTE(SUBSTITUTE(TRIM(C773),".",""),"-","")," ","")),1),UPPER(SUBSTITUTE(SUBSTITUTE(SUBSTITUTE(TRIM(C773),".",""),"-","")," ",""))))</f>
        <v/>
      </c>
    </row>
    <row r="774" customFormat="false" ht="15" hidden="false" customHeight="false" outlineLevel="0" collapsed="false">
      <c r="B774" s="80"/>
      <c r="C774" s="58"/>
      <c r="D774" s="62" t="str">
        <f aca="false">IF(C774="","",IFERROR(INDEX(T_NOMBRE,MATCH(V774,T_RUTN,0)),"⚠ RUT no está en Trabajadores"))</f>
        <v/>
      </c>
      <c r="E774" s="61"/>
      <c r="F774" s="61"/>
      <c r="G774" s="61"/>
      <c r="H774" s="61"/>
      <c r="I774" s="81"/>
      <c r="J774" s="81"/>
      <c r="K774" s="60"/>
      <c r="L774" s="60"/>
      <c r="M774" s="60"/>
      <c r="N774" s="60"/>
      <c r="O774" s="60"/>
      <c r="P774" s="60"/>
      <c r="Q774" s="60"/>
      <c r="R774" s="58"/>
      <c r="S774" s="62" t="str">
        <f aca="false">IF(OR(B774="",V774=""),"",IFERROR(INDEX(C_TIPO,MATCH(V774&amp;"-P"&amp;MAX(1,COUNTIFS(C_RUTN,V774,C_DEF,"Sí",C_INI,"&lt;="&amp;EOMONTH(B774,0))),C_CLAVE,0))&amp;"","Sin contrato"))</f>
        <v/>
      </c>
      <c r="T774" s="63" t="str">
        <f aca="false">IF(OR(B774="",N(O774)=0),"",N(O774)+ROUND(MIN(N(N774),TOPE_UF*UF_MES)*(TASA_EMP+MUTUAL),0)+ROUND(MIN(N(N774),TOPE_AFC_UF*UF_MES)*IF(S774="Indefinido",AFC_INDEF,AFC_PF),0))</f>
        <v/>
      </c>
      <c r="U774" s="62" t="str">
        <f aca="false">IF(C774="","",IF(LEFT(D774,1)="⚠","⚠ RUT no registrado en Trabajadores",IF(B774="","⚠ Falta el mes",IF(OR(ISTEXT(I774),ISTEXT(J774)),"⚠ Atrasos u horas extra como texto: escriba hh:mm (ej. 1:30)",IF(AND(ISNUMBER(Q774),COUNTIFS(M_RUTN,V774,M_MES,B774,M_LIQ,"&lt;&gt;")&gt;1),"⚠ Liquidación repetida en el mes",IF(AND(ISNUMBER(O774),ISNUMBER(P774),ISNUMBER(Q774),ABS(O774-P774-Q774)&gt;1),"⚠ Haberes − descuentos no da el líquido","OK"))))))</f>
        <v/>
      </c>
      <c r="V774" s="62" t="str">
        <f aca="false">IF(C774="","",IFERROR(VALUE(LEFT(UPPER(SUBSTITUTE(SUBSTITUTE(SUBSTITUTE(TRIM(C774),".",""),"-","")," ","")),LEN(UPPER(SUBSTITUTE(SUBSTITUTE(SUBSTITUTE(TRIM(C774),".",""),"-","")," ","")))-1))&amp;RIGHT(UPPER(SUBSTITUTE(SUBSTITUTE(SUBSTITUTE(TRIM(C774),".",""),"-","")," ","")),1),UPPER(SUBSTITUTE(SUBSTITUTE(SUBSTITUTE(TRIM(C774),".",""),"-","")," ",""))))</f>
        <v/>
      </c>
    </row>
    <row r="775" customFormat="false" ht="15" hidden="false" customHeight="false" outlineLevel="0" collapsed="false">
      <c r="B775" s="80"/>
      <c r="C775" s="58"/>
      <c r="D775" s="62" t="str">
        <f aca="false">IF(C775="","",IFERROR(INDEX(T_NOMBRE,MATCH(V775,T_RUTN,0)),"⚠ RUT no está en Trabajadores"))</f>
        <v/>
      </c>
      <c r="E775" s="61"/>
      <c r="F775" s="61"/>
      <c r="G775" s="61"/>
      <c r="H775" s="61"/>
      <c r="I775" s="81"/>
      <c r="J775" s="81"/>
      <c r="K775" s="60"/>
      <c r="L775" s="60"/>
      <c r="M775" s="60"/>
      <c r="N775" s="60"/>
      <c r="O775" s="60"/>
      <c r="P775" s="60"/>
      <c r="Q775" s="60"/>
      <c r="R775" s="58"/>
      <c r="S775" s="62" t="str">
        <f aca="false">IF(OR(B775="",V775=""),"",IFERROR(INDEX(C_TIPO,MATCH(V775&amp;"-P"&amp;MAX(1,COUNTIFS(C_RUTN,V775,C_DEF,"Sí",C_INI,"&lt;="&amp;EOMONTH(B775,0))),C_CLAVE,0))&amp;"","Sin contrato"))</f>
        <v/>
      </c>
      <c r="T775" s="63" t="str">
        <f aca="false">IF(OR(B775="",N(O775)=0),"",N(O775)+ROUND(MIN(N(N775),TOPE_UF*UF_MES)*(TASA_EMP+MUTUAL),0)+ROUND(MIN(N(N775),TOPE_AFC_UF*UF_MES)*IF(S775="Indefinido",AFC_INDEF,AFC_PF),0))</f>
        <v/>
      </c>
      <c r="U775" s="62" t="str">
        <f aca="false">IF(C775="","",IF(LEFT(D775,1)="⚠","⚠ RUT no registrado en Trabajadores",IF(B775="","⚠ Falta el mes",IF(OR(ISTEXT(I775),ISTEXT(J775)),"⚠ Atrasos u horas extra como texto: escriba hh:mm (ej. 1:30)",IF(AND(ISNUMBER(Q775),COUNTIFS(M_RUTN,V775,M_MES,B775,M_LIQ,"&lt;&gt;")&gt;1),"⚠ Liquidación repetida en el mes",IF(AND(ISNUMBER(O775),ISNUMBER(P775),ISNUMBER(Q775),ABS(O775-P775-Q775)&gt;1),"⚠ Haberes − descuentos no da el líquido","OK"))))))</f>
        <v/>
      </c>
      <c r="V775" s="62" t="str">
        <f aca="false">IF(C775="","",IFERROR(VALUE(LEFT(UPPER(SUBSTITUTE(SUBSTITUTE(SUBSTITUTE(TRIM(C775),".",""),"-","")," ","")),LEN(UPPER(SUBSTITUTE(SUBSTITUTE(SUBSTITUTE(TRIM(C775),".",""),"-","")," ","")))-1))&amp;RIGHT(UPPER(SUBSTITUTE(SUBSTITUTE(SUBSTITUTE(TRIM(C775),".",""),"-","")," ","")),1),UPPER(SUBSTITUTE(SUBSTITUTE(SUBSTITUTE(TRIM(C775),".",""),"-","")," ",""))))</f>
        <v/>
      </c>
    </row>
    <row r="776" customFormat="false" ht="15" hidden="false" customHeight="false" outlineLevel="0" collapsed="false">
      <c r="B776" s="80"/>
      <c r="C776" s="58"/>
      <c r="D776" s="62" t="str">
        <f aca="false">IF(C776="","",IFERROR(INDEX(T_NOMBRE,MATCH(V776,T_RUTN,0)),"⚠ RUT no está en Trabajadores"))</f>
        <v/>
      </c>
      <c r="E776" s="61"/>
      <c r="F776" s="61"/>
      <c r="G776" s="61"/>
      <c r="H776" s="61"/>
      <c r="I776" s="81"/>
      <c r="J776" s="81"/>
      <c r="K776" s="60"/>
      <c r="L776" s="60"/>
      <c r="M776" s="60"/>
      <c r="N776" s="60"/>
      <c r="O776" s="60"/>
      <c r="P776" s="60"/>
      <c r="Q776" s="60"/>
      <c r="R776" s="58"/>
      <c r="S776" s="62" t="str">
        <f aca="false">IF(OR(B776="",V776=""),"",IFERROR(INDEX(C_TIPO,MATCH(V776&amp;"-P"&amp;MAX(1,COUNTIFS(C_RUTN,V776,C_DEF,"Sí",C_INI,"&lt;="&amp;EOMONTH(B776,0))),C_CLAVE,0))&amp;"","Sin contrato"))</f>
        <v/>
      </c>
      <c r="T776" s="63" t="str">
        <f aca="false">IF(OR(B776="",N(O776)=0),"",N(O776)+ROUND(MIN(N(N776),TOPE_UF*UF_MES)*(TASA_EMP+MUTUAL),0)+ROUND(MIN(N(N776),TOPE_AFC_UF*UF_MES)*IF(S776="Indefinido",AFC_INDEF,AFC_PF),0))</f>
        <v/>
      </c>
      <c r="U776" s="62" t="str">
        <f aca="false">IF(C776="","",IF(LEFT(D776,1)="⚠","⚠ RUT no registrado en Trabajadores",IF(B776="","⚠ Falta el mes",IF(OR(ISTEXT(I776),ISTEXT(J776)),"⚠ Atrasos u horas extra como texto: escriba hh:mm (ej. 1:30)",IF(AND(ISNUMBER(Q776),COUNTIFS(M_RUTN,V776,M_MES,B776,M_LIQ,"&lt;&gt;")&gt;1),"⚠ Liquidación repetida en el mes",IF(AND(ISNUMBER(O776),ISNUMBER(P776),ISNUMBER(Q776),ABS(O776-P776-Q776)&gt;1),"⚠ Haberes − descuentos no da el líquido","OK"))))))</f>
        <v/>
      </c>
      <c r="V776" s="62" t="str">
        <f aca="false">IF(C776="","",IFERROR(VALUE(LEFT(UPPER(SUBSTITUTE(SUBSTITUTE(SUBSTITUTE(TRIM(C776),".",""),"-","")," ","")),LEN(UPPER(SUBSTITUTE(SUBSTITUTE(SUBSTITUTE(TRIM(C776),".",""),"-","")," ","")))-1))&amp;RIGHT(UPPER(SUBSTITUTE(SUBSTITUTE(SUBSTITUTE(TRIM(C776),".",""),"-","")," ","")),1),UPPER(SUBSTITUTE(SUBSTITUTE(SUBSTITUTE(TRIM(C776),".",""),"-","")," ",""))))</f>
        <v/>
      </c>
    </row>
    <row r="777" customFormat="false" ht="15" hidden="false" customHeight="false" outlineLevel="0" collapsed="false">
      <c r="B777" s="80"/>
      <c r="C777" s="58"/>
      <c r="D777" s="62" t="str">
        <f aca="false">IF(C777="","",IFERROR(INDEX(T_NOMBRE,MATCH(V777,T_RUTN,0)),"⚠ RUT no está en Trabajadores"))</f>
        <v/>
      </c>
      <c r="E777" s="61"/>
      <c r="F777" s="61"/>
      <c r="G777" s="61"/>
      <c r="H777" s="61"/>
      <c r="I777" s="81"/>
      <c r="J777" s="81"/>
      <c r="K777" s="60"/>
      <c r="L777" s="60"/>
      <c r="M777" s="60"/>
      <c r="N777" s="60"/>
      <c r="O777" s="60"/>
      <c r="P777" s="60"/>
      <c r="Q777" s="60"/>
      <c r="R777" s="58"/>
      <c r="S777" s="62" t="str">
        <f aca="false">IF(OR(B777="",V777=""),"",IFERROR(INDEX(C_TIPO,MATCH(V777&amp;"-P"&amp;MAX(1,COUNTIFS(C_RUTN,V777,C_DEF,"Sí",C_INI,"&lt;="&amp;EOMONTH(B777,0))),C_CLAVE,0))&amp;"","Sin contrato"))</f>
        <v/>
      </c>
      <c r="T777" s="63" t="str">
        <f aca="false">IF(OR(B777="",N(O777)=0),"",N(O777)+ROUND(MIN(N(N777),TOPE_UF*UF_MES)*(TASA_EMP+MUTUAL),0)+ROUND(MIN(N(N777),TOPE_AFC_UF*UF_MES)*IF(S777="Indefinido",AFC_INDEF,AFC_PF),0))</f>
        <v/>
      </c>
      <c r="U777" s="62" t="str">
        <f aca="false">IF(C777="","",IF(LEFT(D777,1)="⚠","⚠ RUT no registrado en Trabajadores",IF(B777="","⚠ Falta el mes",IF(OR(ISTEXT(I777),ISTEXT(J777)),"⚠ Atrasos u horas extra como texto: escriba hh:mm (ej. 1:30)",IF(AND(ISNUMBER(Q777),COUNTIFS(M_RUTN,V777,M_MES,B777,M_LIQ,"&lt;&gt;")&gt;1),"⚠ Liquidación repetida en el mes",IF(AND(ISNUMBER(O777),ISNUMBER(P777),ISNUMBER(Q777),ABS(O777-P777-Q777)&gt;1),"⚠ Haberes − descuentos no da el líquido","OK"))))))</f>
        <v/>
      </c>
      <c r="V777" s="62" t="str">
        <f aca="false">IF(C777="","",IFERROR(VALUE(LEFT(UPPER(SUBSTITUTE(SUBSTITUTE(SUBSTITUTE(TRIM(C777),".",""),"-","")," ","")),LEN(UPPER(SUBSTITUTE(SUBSTITUTE(SUBSTITUTE(TRIM(C777),".",""),"-","")," ","")))-1))&amp;RIGHT(UPPER(SUBSTITUTE(SUBSTITUTE(SUBSTITUTE(TRIM(C777),".",""),"-","")," ","")),1),UPPER(SUBSTITUTE(SUBSTITUTE(SUBSTITUTE(TRIM(C777),".",""),"-","")," ",""))))</f>
        <v/>
      </c>
    </row>
    <row r="778" customFormat="false" ht="15" hidden="false" customHeight="false" outlineLevel="0" collapsed="false">
      <c r="B778" s="80"/>
      <c r="C778" s="58"/>
      <c r="D778" s="62" t="str">
        <f aca="false">IF(C778="","",IFERROR(INDEX(T_NOMBRE,MATCH(V778,T_RUTN,0)),"⚠ RUT no está en Trabajadores"))</f>
        <v/>
      </c>
      <c r="E778" s="61"/>
      <c r="F778" s="61"/>
      <c r="G778" s="61"/>
      <c r="H778" s="61"/>
      <c r="I778" s="81"/>
      <c r="J778" s="81"/>
      <c r="K778" s="60"/>
      <c r="L778" s="60"/>
      <c r="M778" s="60"/>
      <c r="N778" s="60"/>
      <c r="O778" s="60"/>
      <c r="P778" s="60"/>
      <c r="Q778" s="60"/>
      <c r="R778" s="58"/>
      <c r="S778" s="62" t="str">
        <f aca="false">IF(OR(B778="",V778=""),"",IFERROR(INDEX(C_TIPO,MATCH(V778&amp;"-P"&amp;MAX(1,COUNTIFS(C_RUTN,V778,C_DEF,"Sí",C_INI,"&lt;="&amp;EOMONTH(B778,0))),C_CLAVE,0))&amp;"","Sin contrato"))</f>
        <v/>
      </c>
      <c r="T778" s="63" t="str">
        <f aca="false">IF(OR(B778="",N(O778)=0),"",N(O778)+ROUND(MIN(N(N778),TOPE_UF*UF_MES)*(TASA_EMP+MUTUAL),0)+ROUND(MIN(N(N778),TOPE_AFC_UF*UF_MES)*IF(S778="Indefinido",AFC_INDEF,AFC_PF),0))</f>
        <v/>
      </c>
      <c r="U778" s="62" t="str">
        <f aca="false">IF(C778="","",IF(LEFT(D778,1)="⚠","⚠ RUT no registrado en Trabajadores",IF(B778="","⚠ Falta el mes",IF(OR(ISTEXT(I778),ISTEXT(J778)),"⚠ Atrasos u horas extra como texto: escriba hh:mm (ej. 1:30)",IF(AND(ISNUMBER(Q778),COUNTIFS(M_RUTN,V778,M_MES,B778,M_LIQ,"&lt;&gt;")&gt;1),"⚠ Liquidación repetida en el mes",IF(AND(ISNUMBER(O778),ISNUMBER(P778),ISNUMBER(Q778),ABS(O778-P778-Q778)&gt;1),"⚠ Haberes − descuentos no da el líquido","OK"))))))</f>
        <v/>
      </c>
      <c r="V778" s="62" t="str">
        <f aca="false">IF(C778="","",IFERROR(VALUE(LEFT(UPPER(SUBSTITUTE(SUBSTITUTE(SUBSTITUTE(TRIM(C778),".",""),"-","")," ","")),LEN(UPPER(SUBSTITUTE(SUBSTITUTE(SUBSTITUTE(TRIM(C778),".",""),"-","")," ","")))-1))&amp;RIGHT(UPPER(SUBSTITUTE(SUBSTITUTE(SUBSTITUTE(TRIM(C778),".",""),"-","")," ","")),1),UPPER(SUBSTITUTE(SUBSTITUTE(SUBSTITUTE(TRIM(C778),".",""),"-","")," ",""))))</f>
        <v/>
      </c>
    </row>
    <row r="779" customFormat="false" ht="15" hidden="false" customHeight="false" outlineLevel="0" collapsed="false">
      <c r="B779" s="80"/>
      <c r="C779" s="58"/>
      <c r="D779" s="62" t="str">
        <f aca="false">IF(C779="","",IFERROR(INDEX(T_NOMBRE,MATCH(V779,T_RUTN,0)),"⚠ RUT no está en Trabajadores"))</f>
        <v/>
      </c>
      <c r="E779" s="61"/>
      <c r="F779" s="61"/>
      <c r="G779" s="61"/>
      <c r="H779" s="61"/>
      <c r="I779" s="81"/>
      <c r="J779" s="81"/>
      <c r="K779" s="60"/>
      <c r="L779" s="60"/>
      <c r="M779" s="60"/>
      <c r="N779" s="60"/>
      <c r="O779" s="60"/>
      <c r="P779" s="60"/>
      <c r="Q779" s="60"/>
      <c r="R779" s="58"/>
      <c r="S779" s="62" t="str">
        <f aca="false">IF(OR(B779="",V779=""),"",IFERROR(INDEX(C_TIPO,MATCH(V779&amp;"-P"&amp;MAX(1,COUNTIFS(C_RUTN,V779,C_DEF,"Sí",C_INI,"&lt;="&amp;EOMONTH(B779,0))),C_CLAVE,0))&amp;"","Sin contrato"))</f>
        <v/>
      </c>
      <c r="T779" s="63" t="str">
        <f aca="false">IF(OR(B779="",N(O779)=0),"",N(O779)+ROUND(MIN(N(N779),TOPE_UF*UF_MES)*(TASA_EMP+MUTUAL),0)+ROUND(MIN(N(N779),TOPE_AFC_UF*UF_MES)*IF(S779="Indefinido",AFC_INDEF,AFC_PF),0))</f>
        <v/>
      </c>
      <c r="U779" s="62" t="str">
        <f aca="false">IF(C779="","",IF(LEFT(D779,1)="⚠","⚠ RUT no registrado en Trabajadores",IF(B779="","⚠ Falta el mes",IF(OR(ISTEXT(I779),ISTEXT(J779)),"⚠ Atrasos u horas extra como texto: escriba hh:mm (ej. 1:30)",IF(AND(ISNUMBER(Q779),COUNTIFS(M_RUTN,V779,M_MES,B779,M_LIQ,"&lt;&gt;")&gt;1),"⚠ Liquidación repetida en el mes",IF(AND(ISNUMBER(O779),ISNUMBER(P779),ISNUMBER(Q779),ABS(O779-P779-Q779)&gt;1),"⚠ Haberes − descuentos no da el líquido","OK"))))))</f>
        <v/>
      </c>
      <c r="V779" s="62" t="str">
        <f aca="false">IF(C779="","",IFERROR(VALUE(LEFT(UPPER(SUBSTITUTE(SUBSTITUTE(SUBSTITUTE(TRIM(C779),".",""),"-","")," ","")),LEN(UPPER(SUBSTITUTE(SUBSTITUTE(SUBSTITUTE(TRIM(C779),".",""),"-","")," ","")))-1))&amp;RIGHT(UPPER(SUBSTITUTE(SUBSTITUTE(SUBSTITUTE(TRIM(C779),".",""),"-","")," ","")),1),UPPER(SUBSTITUTE(SUBSTITUTE(SUBSTITUTE(TRIM(C779),".",""),"-","")," ",""))))</f>
        <v/>
      </c>
    </row>
    <row r="780" customFormat="false" ht="15" hidden="false" customHeight="false" outlineLevel="0" collapsed="false">
      <c r="B780" s="80"/>
      <c r="C780" s="58"/>
      <c r="D780" s="62" t="str">
        <f aca="false">IF(C780="","",IFERROR(INDEX(T_NOMBRE,MATCH(V780,T_RUTN,0)),"⚠ RUT no está en Trabajadores"))</f>
        <v/>
      </c>
      <c r="E780" s="61"/>
      <c r="F780" s="61"/>
      <c r="G780" s="61"/>
      <c r="H780" s="61"/>
      <c r="I780" s="81"/>
      <c r="J780" s="81"/>
      <c r="K780" s="60"/>
      <c r="L780" s="60"/>
      <c r="M780" s="60"/>
      <c r="N780" s="60"/>
      <c r="O780" s="60"/>
      <c r="P780" s="60"/>
      <c r="Q780" s="60"/>
      <c r="R780" s="58"/>
      <c r="S780" s="62" t="str">
        <f aca="false">IF(OR(B780="",V780=""),"",IFERROR(INDEX(C_TIPO,MATCH(V780&amp;"-P"&amp;MAX(1,COUNTIFS(C_RUTN,V780,C_DEF,"Sí",C_INI,"&lt;="&amp;EOMONTH(B780,0))),C_CLAVE,0))&amp;"","Sin contrato"))</f>
        <v/>
      </c>
      <c r="T780" s="63" t="str">
        <f aca="false">IF(OR(B780="",N(O780)=0),"",N(O780)+ROUND(MIN(N(N780),TOPE_UF*UF_MES)*(TASA_EMP+MUTUAL),0)+ROUND(MIN(N(N780),TOPE_AFC_UF*UF_MES)*IF(S780="Indefinido",AFC_INDEF,AFC_PF),0))</f>
        <v/>
      </c>
      <c r="U780" s="62" t="str">
        <f aca="false">IF(C780="","",IF(LEFT(D780,1)="⚠","⚠ RUT no registrado en Trabajadores",IF(B780="","⚠ Falta el mes",IF(OR(ISTEXT(I780),ISTEXT(J780)),"⚠ Atrasos u horas extra como texto: escriba hh:mm (ej. 1:30)",IF(AND(ISNUMBER(Q780),COUNTIFS(M_RUTN,V780,M_MES,B780,M_LIQ,"&lt;&gt;")&gt;1),"⚠ Liquidación repetida en el mes",IF(AND(ISNUMBER(O780),ISNUMBER(P780),ISNUMBER(Q780),ABS(O780-P780-Q780)&gt;1),"⚠ Haberes − descuentos no da el líquido","OK"))))))</f>
        <v/>
      </c>
      <c r="V780" s="62" t="str">
        <f aca="false">IF(C780="","",IFERROR(VALUE(LEFT(UPPER(SUBSTITUTE(SUBSTITUTE(SUBSTITUTE(TRIM(C780),".",""),"-","")," ","")),LEN(UPPER(SUBSTITUTE(SUBSTITUTE(SUBSTITUTE(TRIM(C780),".",""),"-","")," ","")))-1))&amp;RIGHT(UPPER(SUBSTITUTE(SUBSTITUTE(SUBSTITUTE(TRIM(C780),".",""),"-","")," ","")),1),UPPER(SUBSTITUTE(SUBSTITUTE(SUBSTITUTE(TRIM(C780),".",""),"-","")," ",""))))</f>
        <v/>
      </c>
    </row>
    <row r="781" customFormat="false" ht="15" hidden="false" customHeight="false" outlineLevel="0" collapsed="false">
      <c r="B781" s="80"/>
      <c r="C781" s="58"/>
      <c r="D781" s="62" t="str">
        <f aca="false">IF(C781="","",IFERROR(INDEX(T_NOMBRE,MATCH(V781,T_RUTN,0)),"⚠ RUT no está en Trabajadores"))</f>
        <v/>
      </c>
      <c r="E781" s="61"/>
      <c r="F781" s="61"/>
      <c r="G781" s="61"/>
      <c r="H781" s="61"/>
      <c r="I781" s="81"/>
      <c r="J781" s="81"/>
      <c r="K781" s="60"/>
      <c r="L781" s="60"/>
      <c r="M781" s="60"/>
      <c r="N781" s="60"/>
      <c r="O781" s="60"/>
      <c r="P781" s="60"/>
      <c r="Q781" s="60"/>
      <c r="R781" s="58"/>
      <c r="S781" s="62" t="str">
        <f aca="false">IF(OR(B781="",V781=""),"",IFERROR(INDEX(C_TIPO,MATCH(V781&amp;"-P"&amp;MAX(1,COUNTIFS(C_RUTN,V781,C_DEF,"Sí",C_INI,"&lt;="&amp;EOMONTH(B781,0))),C_CLAVE,0))&amp;"","Sin contrato"))</f>
        <v/>
      </c>
      <c r="T781" s="63" t="str">
        <f aca="false">IF(OR(B781="",N(O781)=0),"",N(O781)+ROUND(MIN(N(N781),TOPE_UF*UF_MES)*(TASA_EMP+MUTUAL),0)+ROUND(MIN(N(N781),TOPE_AFC_UF*UF_MES)*IF(S781="Indefinido",AFC_INDEF,AFC_PF),0))</f>
        <v/>
      </c>
      <c r="U781" s="62" t="str">
        <f aca="false">IF(C781="","",IF(LEFT(D781,1)="⚠","⚠ RUT no registrado en Trabajadores",IF(B781="","⚠ Falta el mes",IF(OR(ISTEXT(I781),ISTEXT(J781)),"⚠ Atrasos u horas extra como texto: escriba hh:mm (ej. 1:30)",IF(AND(ISNUMBER(Q781),COUNTIFS(M_RUTN,V781,M_MES,B781,M_LIQ,"&lt;&gt;")&gt;1),"⚠ Liquidación repetida en el mes",IF(AND(ISNUMBER(O781),ISNUMBER(P781),ISNUMBER(Q781),ABS(O781-P781-Q781)&gt;1),"⚠ Haberes − descuentos no da el líquido","OK"))))))</f>
        <v/>
      </c>
      <c r="V781" s="62" t="str">
        <f aca="false">IF(C781="","",IFERROR(VALUE(LEFT(UPPER(SUBSTITUTE(SUBSTITUTE(SUBSTITUTE(TRIM(C781),".",""),"-","")," ","")),LEN(UPPER(SUBSTITUTE(SUBSTITUTE(SUBSTITUTE(TRIM(C781),".",""),"-","")," ","")))-1))&amp;RIGHT(UPPER(SUBSTITUTE(SUBSTITUTE(SUBSTITUTE(TRIM(C781),".",""),"-","")," ","")),1),UPPER(SUBSTITUTE(SUBSTITUTE(SUBSTITUTE(TRIM(C781),".",""),"-","")," ",""))))</f>
        <v/>
      </c>
    </row>
    <row r="782" customFormat="false" ht="15" hidden="false" customHeight="false" outlineLevel="0" collapsed="false">
      <c r="B782" s="80"/>
      <c r="C782" s="58"/>
      <c r="D782" s="62" t="str">
        <f aca="false">IF(C782="","",IFERROR(INDEX(T_NOMBRE,MATCH(V782,T_RUTN,0)),"⚠ RUT no está en Trabajadores"))</f>
        <v/>
      </c>
      <c r="E782" s="61"/>
      <c r="F782" s="61"/>
      <c r="G782" s="61"/>
      <c r="H782" s="61"/>
      <c r="I782" s="81"/>
      <c r="J782" s="81"/>
      <c r="K782" s="60"/>
      <c r="L782" s="60"/>
      <c r="M782" s="60"/>
      <c r="N782" s="60"/>
      <c r="O782" s="60"/>
      <c r="P782" s="60"/>
      <c r="Q782" s="60"/>
      <c r="R782" s="58"/>
      <c r="S782" s="62" t="str">
        <f aca="false">IF(OR(B782="",V782=""),"",IFERROR(INDEX(C_TIPO,MATCH(V782&amp;"-P"&amp;MAX(1,COUNTIFS(C_RUTN,V782,C_DEF,"Sí",C_INI,"&lt;="&amp;EOMONTH(B782,0))),C_CLAVE,0))&amp;"","Sin contrato"))</f>
        <v/>
      </c>
      <c r="T782" s="63" t="str">
        <f aca="false">IF(OR(B782="",N(O782)=0),"",N(O782)+ROUND(MIN(N(N782),TOPE_UF*UF_MES)*(TASA_EMP+MUTUAL),0)+ROUND(MIN(N(N782),TOPE_AFC_UF*UF_MES)*IF(S782="Indefinido",AFC_INDEF,AFC_PF),0))</f>
        <v/>
      </c>
      <c r="U782" s="62" t="str">
        <f aca="false">IF(C782="","",IF(LEFT(D782,1)="⚠","⚠ RUT no registrado en Trabajadores",IF(B782="","⚠ Falta el mes",IF(OR(ISTEXT(I782),ISTEXT(J782)),"⚠ Atrasos u horas extra como texto: escriba hh:mm (ej. 1:30)",IF(AND(ISNUMBER(Q782),COUNTIFS(M_RUTN,V782,M_MES,B782,M_LIQ,"&lt;&gt;")&gt;1),"⚠ Liquidación repetida en el mes",IF(AND(ISNUMBER(O782),ISNUMBER(P782),ISNUMBER(Q782),ABS(O782-P782-Q782)&gt;1),"⚠ Haberes − descuentos no da el líquido","OK"))))))</f>
        <v/>
      </c>
      <c r="V782" s="62" t="str">
        <f aca="false">IF(C782="","",IFERROR(VALUE(LEFT(UPPER(SUBSTITUTE(SUBSTITUTE(SUBSTITUTE(TRIM(C782),".",""),"-","")," ","")),LEN(UPPER(SUBSTITUTE(SUBSTITUTE(SUBSTITUTE(TRIM(C782),".",""),"-","")," ","")))-1))&amp;RIGHT(UPPER(SUBSTITUTE(SUBSTITUTE(SUBSTITUTE(TRIM(C782),".",""),"-","")," ","")),1),UPPER(SUBSTITUTE(SUBSTITUTE(SUBSTITUTE(TRIM(C782),".",""),"-","")," ",""))))</f>
        <v/>
      </c>
    </row>
    <row r="783" customFormat="false" ht="15" hidden="false" customHeight="false" outlineLevel="0" collapsed="false">
      <c r="B783" s="80"/>
      <c r="C783" s="58"/>
      <c r="D783" s="62" t="str">
        <f aca="false">IF(C783="","",IFERROR(INDEX(T_NOMBRE,MATCH(V783,T_RUTN,0)),"⚠ RUT no está en Trabajadores"))</f>
        <v/>
      </c>
      <c r="E783" s="61"/>
      <c r="F783" s="61"/>
      <c r="G783" s="61"/>
      <c r="H783" s="61"/>
      <c r="I783" s="81"/>
      <c r="J783" s="81"/>
      <c r="K783" s="60"/>
      <c r="L783" s="60"/>
      <c r="M783" s="60"/>
      <c r="N783" s="60"/>
      <c r="O783" s="60"/>
      <c r="P783" s="60"/>
      <c r="Q783" s="60"/>
      <c r="R783" s="58"/>
      <c r="S783" s="62" t="str">
        <f aca="false">IF(OR(B783="",V783=""),"",IFERROR(INDEX(C_TIPO,MATCH(V783&amp;"-P"&amp;MAX(1,COUNTIFS(C_RUTN,V783,C_DEF,"Sí",C_INI,"&lt;="&amp;EOMONTH(B783,0))),C_CLAVE,0))&amp;"","Sin contrato"))</f>
        <v/>
      </c>
      <c r="T783" s="63" t="str">
        <f aca="false">IF(OR(B783="",N(O783)=0),"",N(O783)+ROUND(MIN(N(N783),TOPE_UF*UF_MES)*(TASA_EMP+MUTUAL),0)+ROUND(MIN(N(N783),TOPE_AFC_UF*UF_MES)*IF(S783="Indefinido",AFC_INDEF,AFC_PF),0))</f>
        <v/>
      </c>
      <c r="U783" s="62" t="str">
        <f aca="false">IF(C783="","",IF(LEFT(D783,1)="⚠","⚠ RUT no registrado en Trabajadores",IF(B783="","⚠ Falta el mes",IF(OR(ISTEXT(I783),ISTEXT(J783)),"⚠ Atrasos u horas extra como texto: escriba hh:mm (ej. 1:30)",IF(AND(ISNUMBER(Q783),COUNTIFS(M_RUTN,V783,M_MES,B783,M_LIQ,"&lt;&gt;")&gt;1),"⚠ Liquidación repetida en el mes",IF(AND(ISNUMBER(O783),ISNUMBER(P783),ISNUMBER(Q783),ABS(O783-P783-Q783)&gt;1),"⚠ Haberes − descuentos no da el líquido","OK"))))))</f>
        <v/>
      </c>
      <c r="V783" s="62" t="str">
        <f aca="false">IF(C783="","",IFERROR(VALUE(LEFT(UPPER(SUBSTITUTE(SUBSTITUTE(SUBSTITUTE(TRIM(C783),".",""),"-","")," ","")),LEN(UPPER(SUBSTITUTE(SUBSTITUTE(SUBSTITUTE(TRIM(C783),".",""),"-","")," ","")))-1))&amp;RIGHT(UPPER(SUBSTITUTE(SUBSTITUTE(SUBSTITUTE(TRIM(C783),".",""),"-","")," ","")),1),UPPER(SUBSTITUTE(SUBSTITUTE(SUBSTITUTE(TRIM(C783),".",""),"-","")," ",""))))</f>
        <v/>
      </c>
    </row>
    <row r="784" customFormat="false" ht="15" hidden="false" customHeight="false" outlineLevel="0" collapsed="false">
      <c r="B784" s="80"/>
      <c r="C784" s="58"/>
      <c r="D784" s="62" t="str">
        <f aca="false">IF(C784="","",IFERROR(INDEX(T_NOMBRE,MATCH(V784,T_RUTN,0)),"⚠ RUT no está en Trabajadores"))</f>
        <v/>
      </c>
      <c r="E784" s="61"/>
      <c r="F784" s="61"/>
      <c r="G784" s="61"/>
      <c r="H784" s="61"/>
      <c r="I784" s="81"/>
      <c r="J784" s="81"/>
      <c r="K784" s="60"/>
      <c r="L784" s="60"/>
      <c r="M784" s="60"/>
      <c r="N784" s="60"/>
      <c r="O784" s="60"/>
      <c r="P784" s="60"/>
      <c r="Q784" s="60"/>
      <c r="R784" s="58"/>
      <c r="S784" s="62" t="str">
        <f aca="false">IF(OR(B784="",V784=""),"",IFERROR(INDEX(C_TIPO,MATCH(V784&amp;"-P"&amp;MAX(1,COUNTIFS(C_RUTN,V784,C_DEF,"Sí",C_INI,"&lt;="&amp;EOMONTH(B784,0))),C_CLAVE,0))&amp;"","Sin contrato"))</f>
        <v/>
      </c>
      <c r="T784" s="63" t="str">
        <f aca="false">IF(OR(B784="",N(O784)=0),"",N(O784)+ROUND(MIN(N(N784),TOPE_UF*UF_MES)*(TASA_EMP+MUTUAL),0)+ROUND(MIN(N(N784),TOPE_AFC_UF*UF_MES)*IF(S784="Indefinido",AFC_INDEF,AFC_PF),0))</f>
        <v/>
      </c>
      <c r="U784" s="62" t="str">
        <f aca="false">IF(C784="","",IF(LEFT(D784,1)="⚠","⚠ RUT no registrado en Trabajadores",IF(B784="","⚠ Falta el mes",IF(OR(ISTEXT(I784),ISTEXT(J784)),"⚠ Atrasos u horas extra como texto: escriba hh:mm (ej. 1:30)",IF(AND(ISNUMBER(Q784),COUNTIFS(M_RUTN,V784,M_MES,B784,M_LIQ,"&lt;&gt;")&gt;1),"⚠ Liquidación repetida en el mes",IF(AND(ISNUMBER(O784),ISNUMBER(P784),ISNUMBER(Q784),ABS(O784-P784-Q784)&gt;1),"⚠ Haberes − descuentos no da el líquido","OK"))))))</f>
        <v/>
      </c>
      <c r="V784" s="62" t="str">
        <f aca="false">IF(C784="","",IFERROR(VALUE(LEFT(UPPER(SUBSTITUTE(SUBSTITUTE(SUBSTITUTE(TRIM(C784),".",""),"-","")," ","")),LEN(UPPER(SUBSTITUTE(SUBSTITUTE(SUBSTITUTE(TRIM(C784),".",""),"-","")," ","")))-1))&amp;RIGHT(UPPER(SUBSTITUTE(SUBSTITUTE(SUBSTITUTE(TRIM(C784),".",""),"-","")," ","")),1),UPPER(SUBSTITUTE(SUBSTITUTE(SUBSTITUTE(TRIM(C784),".",""),"-","")," ",""))))</f>
        <v/>
      </c>
    </row>
    <row r="785" customFormat="false" ht="15" hidden="false" customHeight="false" outlineLevel="0" collapsed="false">
      <c r="B785" s="80"/>
      <c r="C785" s="58"/>
      <c r="D785" s="62" t="str">
        <f aca="false">IF(C785="","",IFERROR(INDEX(T_NOMBRE,MATCH(V785,T_RUTN,0)),"⚠ RUT no está en Trabajadores"))</f>
        <v/>
      </c>
      <c r="E785" s="61"/>
      <c r="F785" s="61"/>
      <c r="G785" s="61"/>
      <c r="H785" s="61"/>
      <c r="I785" s="81"/>
      <c r="J785" s="81"/>
      <c r="K785" s="60"/>
      <c r="L785" s="60"/>
      <c r="M785" s="60"/>
      <c r="N785" s="60"/>
      <c r="O785" s="60"/>
      <c r="P785" s="60"/>
      <c r="Q785" s="60"/>
      <c r="R785" s="58"/>
      <c r="S785" s="62" t="str">
        <f aca="false">IF(OR(B785="",V785=""),"",IFERROR(INDEX(C_TIPO,MATCH(V785&amp;"-P"&amp;MAX(1,COUNTIFS(C_RUTN,V785,C_DEF,"Sí",C_INI,"&lt;="&amp;EOMONTH(B785,0))),C_CLAVE,0))&amp;"","Sin contrato"))</f>
        <v/>
      </c>
      <c r="T785" s="63" t="str">
        <f aca="false">IF(OR(B785="",N(O785)=0),"",N(O785)+ROUND(MIN(N(N785),TOPE_UF*UF_MES)*(TASA_EMP+MUTUAL),0)+ROUND(MIN(N(N785),TOPE_AFC_UF*UF_MES)*IF(S785="Indefinido",AFC_INDEF,AFC_PF),0))</f>
        <v/>
      </c>
      <c r="U785" s="62" t="str">
        <f aca="false">IF(C785="","",IF(LEFT(D785,1)="⚠","⚠ RUT no registrado en Trabajadores",IF(B785="","⚠ Falta el mes",IF(OR(ISTEXT(I785),ISTEXT(J785)),"⚠ Atrasos u horas extra como texto: escriba hh:mm (ej. 1:30)",IF(AND(ISNUMBER(Q785),COUNTIFS(M_RUTN,V785,M_MES,B785,M_LIQ,"&lt;&gt;")&gt;1),"⚠ Liquidación repetida en el mes",IF(AND(ISNUMBER(O785),ISNUMBER(P785),ISNUMBER(Q785),ABS(O785-P785-Q785)&gt;1),"⚠ Haberes − descuentos no da el líquido","OK"))))))</f>
        <v/>
      </c>
      <c r="V785" s="62" t="str">
        <f aca="false">IF(C785="","",IFERROR(VALUE(LEFT(UPPER(SUBSTITUTE(SUBSTITUTE(SUBSTITUTE(TRIM(C785),".",""),"-","")," ","")),LEN(UPPER(SUBSTITUTE(SUBSTITUTE(SUBSTITUTE(TRIM(C785),".",""),"-","")," ","")))-1))&amp;RIGHT(UPPER(SUBSTITUTE(SUBSTITUTE(SUBSTITUTE(TRIM(C785),".",""),"-","")," ","")),1),UPPER(SUBSTITUTE(SUBSTITUTE(SUBSTITUTE(TRIM(C785),".",""),"-","")," ",""))))</f>
        <v/>
      </c>
    </row>
    <row r="786" customFormat="false" ht="15" hidden="false" customHeight="false" outlineLevel="0" collapsed="false">
      <c r="B786" s="80"/>
      <c r="C786" s="58"/>
      <c r="D786" s="62" t="str">
        <f aca="false">IF(C786="","",IFERROR(INDEX(T_NOMBRE,MATCH(V786,T_RUTN,0)),"⚠ RUT no está en Trabajadores"))</f>
        <v/>
      </c>
      <c r="E786" s="61"/>
      <c r="F786" s="61"/>
      <c r="G786" s="61"/>
      <c r="H786" s="61"/>
      <c r="I786" s="81"/>
      <c r="J786" s="81"/>
      <c r="K786" s="60"/>
      <c r="L786" s="60"/>
      <c r="M786" s="60"/>
      <c r="N786" s="60"/>
      <c r="O786" s="60"/>
      <c r="P786" s="60"/>
      <c r="Q786" s="60"/>
      <c r="R786" s="58"/>
      <c r="S786" s="62" t="str">
        <f aca="false">IF(OR(B786="",V786=""),"",IFERROR(INDEX(C_TIPO,MATCH(V786&amp;"-P"&amp;MAX(1,COUNTIFS(C_RUTN,V786,C_DEF,"Sí",C_INI,"&lt;="&amp;EOMONTH(B786,0))),C_CLAVE,0))&amp;"","Sin contrato"))</f>
        <v/>
      </c>
      <c r="T786" s="63" t="str">
        <f aca="false">IF(OR(B786="",N(O786)=0),"",N(O786)+ROUND(MIN(N(N786),TOPE_UF*UF_MES)*(TASA_EMP+MUTUAL),0)+ROUND(MIN(N(N786),TOPE_AFC_UF*UF_MES)*IF(S786="Indefinido",AFC_INDEF,AFC_PF),0))</f>
        <v/>
      </c>
      <c r="U786" s="62" t="str">
        <f aca="false">IF(C786="","",IF(LEFT(D786,1)="⚠","⚠ RUT no registrado en Trabajadores",IF(B786="","⚠ Falta el mes",IF(OR(ISTEXT(I786),ISTEXT(J786)),"⚠ Atrasos u horas extra como texto: escriba hh:mm (ej. 1:30)",IF(AND(ISNUMBER(Q786),COUNTIFS(M_RUTN,V786,M_MES,B786,M_LIQ,"&lt;&gt;")&gt;1),"⚠ Liquidación repetida en el mes",IF(AND(ISNUMBER(O786),ISNUMBER(P786),ISNUMBER(Q786),ABS(O786-P786-Q786)&gt;1),"⚠ Haberes − descuentos no da el líquido","OK"))))))</f>
        <v/>
      </c>
      <c r="V786" s="62" t="str">
        <f aca="false">IF(C786="","",IFERROR(VALUE(LEFT(UPPER(SUBSTITUTE(SUBSTITUTE(SUBSTITUTE(TRIM(C786),".",""),"-","")," ","")),LEN(UPPER(SUBSTITUTE(SUBSTITUTE(SUBSTITUTE(TRIM(C786),".",""),"-","")," ","")))-1))&amp;RIGHT(UPPER(SUBSTITUTE(SUBSTITUTE(SUBSTITUTE(TRIM(C786),".",""),"-","")," ","")),1),UPPER(SUBSTITUTE(SUBSTITUTE(SUBSTITUTE(TRIM(C786),".",""),"-","")," ",""))))</f>
        <v/>
      </c>
    </row>
    <row r="787" customFormat="false" ht="15" hidden="false" customHeight="false" outlineLevel="0" collapsed="false">
      <c r="B787" s="80"/>
      <c r="C787" s="58"/>
      <c r="D787" s="62" t="str">
        <f aca="false">IF(C787="","",IFERROR(INDEX(T_NOMBRE,MATCH(V787,T_RUTN,0)),"⚠ RUT no está en Trabajadores"))</f>
        <v/>
      </c>
      <c r="E787" s="61"/>
      <c r="F787" s="61"/>
      <c r="G787" s="61"/>
      <c r="H787" s="61"/>
      <c r="I787" s="81"/>
      <c r="J787" s="81"/>
      <c r="K787" s="60"/>
      <c r="L787" s="60"/>
      <c r="M787" s="60"/>
      <c r="N787" s="60"/>
      <c r="O787" s="60"/>
      <c r="P787" s="60"/>
      <c r="Q787" s="60"/>
      <c r="R787" s="58"/>
      <c r="S787" s="62" t="str">
        <f aca="false">IF(OR(B787="",V787=""),"",IFERROR(INDEX(C_TIPO,MATCH(V787&amp;"-P"&amp;MAX(1,COUNTIFS(C_RUTN,V787,C_DEF,"Sí",C_INI,"&lt;="&amp;EOMONTH(B787,0))),C_CLAVE,0))&amp;"","Sin contrato"))</f>
        <v/>
      </c>
      <c r="T787" s="63" t="str">
        <f aca="false">IF(OR(B787="",N(O787)=0),"",N(O787)+ROUND(MIN(N(N787),TOPE_UF*UF_MES)*(TASA_EMP+MUTUAL),0)+ROUND(MIN(N(N787),TOPE_AFC_UF*UF_MES)*IF(S787="Indefinido",AFC_INDEF,AFC_PF),0))</f>
        <v/>
      </c>
      <c r="U787" s="62" t="str">
        <f aca="false">IF(C787="","",IF(LEFT(D787,1)="⚠","⚠ RUT no registrado en Trabajadores",IF(B787="","⚠ Falta el mes",IF(OR(ISTEXT(I787),ISTEXT(J787)),"⚠ Atrasos u horas extra como texto: escriba hh:mm (ej. 1:30)",IF(AND(ISNUMBER(Q787),COUNTIFS(M_RUTN,V787,M_MES,B787,M_LIQ,"&lt;&gt;")&gt;1),"⚠ Liquidación repetida en el mes",IF(AND(ISNUMBER(O787),ISNUMBER(P787),ISNUMBER(Q787),ABS(O787-P787-Q787)&gt;1),"⚠ Haberes − descuentos no da el líquido","OK"))))))</f>
        <v/>
      </c>
      <c r="V787" s="62" t="str">
        <f aca="false">IF(C787="","",IFERROR(VALUE(LEFT(UPPER(SUBSTITUTE(SUBSTITUTE(SUBSTITUTE(TRIM(C787),".",""),"-","")," ","")),LEN(UPPER(SUBSTITUTE(SUBSTITUTE(SUBSTITUTE(TRIM(C787),".",""),"-","")," ","")))-1))&amp;RIGHT(UPPER(SUBSTITUTE(SUBSTITUTE(SUBSTITUTE(TRIM(C787),".",""),"-","")," ","")),1),UPPER(SUBSTITUTE(SUBSTITUTE(SUBSTITUTE(TRIM(C787),".",""),"-","")," ",""))))</f>
        <v/>
      </c>
    </row>
    <row r="788" customFormat="false" ht="15" hidden="false" customHeight="false" outlineLevel="0" collapsed="false">
      <c r="B788" s="80"/>
      <c r="C788" s="58"/>
      <c r="D788" s="62" t="str">
        <f aca="false">IF(C788="","",IFERROR(INDEX(T_NOMBRE,MATCH(V788,T_RUTN,0)),"⚠ RUT no está en Trabajadores"))</f>
        <v/>
      </c>
      <c r="E788" s="61"/>
      <c r="F788" s="61"/>
      <c r="G788" s="61"/>
      <c r="H788" s="61"/>
      <c r="I788" s="81"/>
      <c r="J788" s="81"/>
      <c r="K788" s="60"/>
      <c r="L788" s="60"/>
      <c r="M788" s="60"/>
      <c r="N788" s="60"/>
      <c r="O788" s="60"/>
      <c r="P788" s="60"/>
      <c r="Q788" s="60"/>
      <c r="R788" s="58"/>
      <c r="S788" s="62" t="str">
        <f aca="false">IF(OR(B788="",V788=""),"",IFERROR(INDEX(C_TIPO,MATCH(V788&amp;"-P"&amp;MAX(1,COUNTIFS(C_RUTN,V788,C_DEF,"Sí",C_INI,"&lt;="&amp;EOMONTH(B788,0))),C_CLAVE,0))&amp;"","Sin contrato"))</f>
        <v/>
      </c>
      <c r="T788" s="63" t="str">
        <f aca="false">IF(OR(B788="",N(O788)=0),"",N(O788)+ROUND(MIN(N(N788),TOPE_UF*UF_MES)*(TASA_EMP+MUTUAL),0)+ROUND(MIN(N(N788),TOPE_AFC_UF*UF_MES)*IF(S788="Indefinido",AFC_INDEF,AFC_PF),0))</f>
        <v/>
      </c>
      <c r="U788" s="62" t="str">
        <f aca="false">IF(C788="","",IF(LEFT(D788,1)="⚠","⚠ RUT no registrado en Trabajadores",IF(B788="","⚠ Falta el mes",IF(OR(ISTEXT(I788),ISTEXT(J788)),"⚠ Atrasos u horas extra como texto: escriba hh:mm (ej. 1:30)",IF(AND(ISNUMBER(Q788),COUNTIFS(M_RUTN,V788,M_MES,B788,M_LIQ,"&lt;&gt;")&gt;1),"⚠ Liquidación repetida en el mes",IF(AND(ISNUMBER(O788),ISNUMBER(P788),ISNUMBER(Q788),ABS(O788-P788-Q788)&gt;1),"⚠ Haberes − descuentos no da el líquido","OK"))))))</f>
        <v/>
      </c>
      <c r="V788" s="62" t="str">
        <f aca="false">IF(C788="","",IFERROR(VALUE(LEFT(UPPER(SUBSTITUTE(SUBSTITUTE(SUBSTITUTE(TRIM(C788),".",""),"-","")," ","")),LEN(UPPER(SUBSTITUTE(SUBSTITUTE(SUBSTITUTE(TRIM(C788),".",""),"-","")," ","")))-1))&amp;RIGHT(UPPER(SUBSTITUTE(SUBSTITUTE(SUBSTITUTE(TRIM(C788),".",""),"-","")," ","")),1),UPPER(SUBSTITUTE(SUBSTITUTE(SUBSTITUTE(TRIM(C788),".",""),"-","")," ",""))))</f>
        <v/>
      </c>
    </row>
    <row r="789" customFormat="false" ht="15" hidden="false" customHeight="false" outlineLevel="0" collapsed="false">
      <c r="B789" s="80"/>
      <c r="C789" s="58"/>
      <c r="D789" s="62" t="str">
        <f aca="false">IF(C789="","",IFERROR(INDEX(T_NOMBRE,MATCH(V789,T_RUTN,0)),"⚠ RUT no está en Trabajadores"))</f>
        <v/>
      </c>
      <c r="E789" s="61"/>
      <c r="F789" s="61"/>
      <c r="G789" s="61"/>
      <c r="H789" s="61"/>
      <c r="I789" s="81"/>
      <c r="J789" s="81"/>
      <c r="K789" s="60"/>
      <c r="L789" s="60"/>
      <c r="M789" s="60"/>
      <c r="N789" s="60"/>
      <c r="O789" s="60"/>
      <c r="P789" s="60"/>
      <c r="Q789" s="60"/>
      <c r="R789" s="58"/>
      <c r="S789" s="62" t="str">
        <f aca="false">IF(OR(B789="",V789=""),"",IFERROR(INDEX(C_TIPO,MATCH(V789&amp;"-P"&amp;MAX(1,COUNTIFS(C_RUTN,V789,C_DEF,"Sí",C_INI,"&lt;="&amp;EOMONTH(B789,0))),C_CLAVE,0))&amp;"","Sin contrato"))</f>
        <v/>
      </c>
      <c r="T789" s="63" t="str">
        <f aca="false">IF(OR(B789="",N(O789)=0),"",N(O789)+ROUND(MIN(N(N789),TOPE_UF*UF_MES)*(TASA_EMP+MUTUAL),0)+ROUND(MIN(N(N789),TOPE_AFC_UF*UF_MES)*IF(S789="Indefinido",AFC_INDEF,AFC_PF),0))</f>
        <v/>
      </c>
      <c r="U789" s="62" t="str">
        <f aca="false">IF(C789="","",IF(LEFT(D789,1)="⚠","⚠ RUT no registrado en Trabajadores",IF(B789="","⚠ Falta el mes",IF(OR(ISTEXT(I789),ISTEXT(J789)),"⚠ Atrasos u horas extra como texto: escriba hh:mm (ej. 1:30)",IF(AND(ISNUMBER(Q789),COUNTIFS(M_RUTN,V789,M_MES,B789,M_LIQ,"&lt;&gt;")&gt;1),"⚠ Liquidación repetida en el mes",IF(AND(ISNUMBER(O789),ISNUMBER(P789),ISNUMBER(Q789),ABS(O789-P789-Q789)&gt;1),"⚠ Haberes − descuentos no da el líquido","OK"))))))</f>
        <v/>
      </c>
      <c r="V789" s="62" t="str">
        <f aca="false">IF(C789="","",IFERROR(VALUE(LEFT(UPPER(SUBSTITUTE(SUBSTITUTE(SUBSTITUTE(TRIM(C789),".",""),"-","")," ","")),LEN(UPPER(SUBSTITUTE(SUBSTITUTE(SUBSTITUTE(TRIM(C789),".",""),"-","")," ","")))-1))&amp;RIGHT(UPPER(SUBSTITUTE(SUBSTITUTE(SUBSTITUTE(TRIM(C789),".",""),"-","")," ","")),1),UPPER(SUBSTITUTE(SUBSTITUTE(SUBSTITUTE(TRIM(C789),".",""),"-","")," ",""))))</f>
        <v/>
      </c>
    </row>
    <row r="790" customFormat="false" ht="15" hidden="false" customHeight="false" outlineLevel="0" collapsed="false">
      <c r="B790" s="80"/>
      <c r="C790" s="58"/>
      <c r="D790" s="62" t="str">
        <f aca="false">IF(C790="","",IFERROR(INDEX(T_NOMBRE,MATCH(V790,T_RUTN,0)),"⚠ RUT no está en Trabajadores"))</f>
        <v/>
      </c>
      <c r="E790" s="61"/>
      <c r="F790" s="61"/>
      <c r="G790" s="61"/>
      <c r="H790" s="61"/>
      <c r="I790" s="81"/>
      <c r="J790" s="81"/>
      <c r="K790" s="60"/>
      <c r="L790" s="60"/>
      <c r="M790" s="60"/>
      <c r="N790" s="60"/>
      <c r="O790" s="60"/>
      <c r="P790" s="60"/>
      <c r="Q790" s="60"/>
      <c r="R790" s="58"/>
      <c r="S790" s="62" t="str">
        <f aca="false">IF(OR(B790="",V790=""),"",IFERROR(INDEX(C_TIPO,MATCH(V790&amp;"-P"&amp;MAX(1,COUNTIFS(C_RUTN,V790,C_DEF,"Sí",C_INI,"&lt;="&amp;EOMONTH(B790,0))),C_CLAVE,0))&amp;"","Sin contrato"))</f>
        <v/>
      </c>
      <c r="T790" s="63" t="str">
        <f aca="false">IF(OR(B790="",N(O790)=0),"",N(O790)+ROUND(MIN(N(N790),TOPE_UF*UF_MES)*(TASA_EMP+MUTUAL),0)+ROUND(MIN(N(N790),TOPE_AFC_UF*UF_MES)*IF(S790="Indefinido",AFC_INDEF,AFC_PF),0))</f>
        <v/>
      </c>
      <c r="U790" s="62" t="str">
        <f aca="false">IF(C790="","",IF(LEFT(D790,1)="⚠","⚠ RUT no registrado en Trabajadores",IF(B790="","⚠ Falta el mes",IF(OR(ISTEXT(I790),ISTEXT(J790)),"⚠ Atrasos u horas extra como texto: escriba hh:mm (ej. 1:30)",IF(AND(ISNUMBER(Q790),COUNTIFS(M_RUTN,V790,M_MES,B790,M_LIQ,"&lt;&gt;")&gt;1),"⚠ Liquidación repetida en el mes",IF(AND(ISNUMBER(O790),ISNUMBER(P790),ISNUMBER(Q790),ABS(O790-P790-Q790)&gt;1),"⚠ Haberes − descuentos no da el líquido","OK"))))))</f>
        <v/>
      </c>
      <c r="V790" s="62" t="str">
        <f aca="false">IF(C790="","",IFERROR(VALUE(LEFT(UPPER(SUBSTITUTE(SUBSTITUTE(SUBSTITUTE(TRIM(C790),".",""),"-","")," ","")),LEN(UPPER(SUBSTITUTE(SUBSTITUTE(SUBSTITUTE(TRIM(C790),".",""),"-","")," ","")))-1))&amp;RIGHT(UPPER(SUBSTITUTE(SUBSTITUTE(SUBSTITUTE(TRIM(C790),".",""),"-","")," ","")),1),UPPER(SUBSTITUTE(SUBSTITUTE(SUBSTITUTE(TRIM(C790),".",""),"-","")," ",""))))</f>
        <v/>
      </c>
    </row>
    <row r="791" customFormat="false" ht="15" hidden="false" customHeight="false" outlineLevel="0" collapsed="false">
      <c r="B791" s="80"/>
      <c r="C791" s="58"/>
      <c r="D791" s="62" t="str">
        <f aca="false">IF(C791="","",IFERROR(INDEX(T_NOMBRE,MATCH(V791,T_RUTN,0)),"⚠ RUT no está en Trabajadores"))</f>
        <v/>
      </c>
      <c r="E791" s="61"/>
      <c r="F791" s="61"/>
      <c r="G791" s="61"/>
      <c r="H791" s="61"/>
      <c r="I791" s="81"/>
      <c r="J791" s="81"/>
      <c r="K791" s="60"/>
      <c r="L791" s="60"/>
      <c r="M791" s="60"/>
      <c r="N791" s="60"/>
      <c r="O791" s="60"/>
      <c r="P791" s="60"/>
      <c r="Q791" s="60"/>
      <c r="R791" s="58"/>
      <c r="S791" s="62" t="str">
        <f aca="false">IF(OR(B791="",V791=""),"",IFERROR(INDEX(C_TIPO,MATCH(V791&amp;"-P"&amp;MAX(1,COUNTIFS(C_RUTN,V791,C_DEF,"Sí",C_INI,"&lt;="&amp;EOMONTH(B791,0))),C_CLAVE,0))&amp;"","Sin contrato"))</f>
        <v/>
      </c>
      <c r="T791" s="63" t="str">
        <f aca="false">IF(OR(B791="",N(O791)=0),"",N(O791)+ROUND(MIN(N(N791),TOPE_UF*UF_MES)*(TASA_EMP+MUTUAL),0)+ROUND(MIN(N(N791),TOPE_AFC_UF*UF_MES)*IF(S791="Indefinido",AFC_INDEF,AFC_PF),0))</f>
        <v/>
      </c>
      <c r="U791" s="62" t="str">
        <f aca="false">IF(C791="","",IF(LEFT(D791,1)="⚠","⚠ RUT no registrado en Trabajadores",IF(B791="","⚠ Falta el mes",IF(OR(ISTEXT(I791),ISTEXT(J791)),"⚠ Atrasos u horas extra como texto: escriba hh:mm (ej. 1:30)",IF(AND(ISNUMBER(Q791),COUNTIFS(M_RUTN,V791,M_MES,B791,M_LIQ,"&lt;&gt;")&gt;1),"⚠ Liquidación repetida en el mes",IF(AND(ISNUMBER(O791),ISNUMBER(P791),ISNUMBER(Q791),ABS(O791-P791-Q791)&gt;1),"⚠ Haberes − descuentos no da el líquido","OK"))))))</f>
        <v/>
      </c>
      <c r="V791" s="62" t="str">
        <f aca="false">IF(C791="","",IFERROR(VALUE(LEFT(UPPER(SUBSTITUTE(SUBSTITUTE(SUBSTITUTE(TRIM(C791),".",""),"-","")," ","")),LEN(UPPER(SUBSTITUTE(SUBSTITUTE(SUBSTITUTE(TRIM(C791),".",""),"-","")," ","")))-1))&amp;RIGHT(UPPER(SUBSTITUTE(SUBSTITUTE(SUBSTITUTE(TRIM(C791),".",""),"-","")," ","")),1),UPPER(SUBSTITUTE(SUBSTITUTE(SUBSTITUTE(TRIM(C791),".",""),"-","")," ",""))))</f>
        <v/>
      </c>
    </row>
    <row r="792" customFormat="false" ht="15" hidden="false" customHeight="false" outlineLevel="0" collapsed="false">
      <c r="B792" s="80"/>
      <c r="C792" s="58"/>
      <c r="D792" s="62" t="str">
        <f aca="false">IF(C792="","",IFERROR(INDEX(T_NOMBRE,MATCH(V792,T_RUTN,0)),"⚠ RUT no está en Trabajadores"))</f>
        <v/>
      </c>
      <c r="E792" s="61"/>
      <c r="F792" s="61"/>
      <c r="G792" s="61"/>
      <c r="H792" s="61"/>
      <c r="I792" s="81"/>
      <c r="J792" s="81"/>
      <c r="K792" s="60"/>
      <c r="L792" s="60"/>
      <c r="M792" s="60"/>
      <c r="N792" s="60"/>
      <c r="O792" s="60"/>
      <c r="P792" s="60"/>
      <c r="Q792" s="60"/>
      <c r="R792" s="58"/>
      <c r="S792" s="62" t="str">
        <f aca="false">IF(OR(B792="",V792=""),"",IFERROR(INDEX(C_TIPO,MATCH(V792&amp;"-P"&amp;MAX(1,COUNTIFS(C_RUTN,V792,C_DEF,"Sí",C_INI,"&lt;="&amp;EOMONTH(B792,0))),C_CLAVE,0))&amp;"","Sin contrato"))</f>
        <v/>
      </c>
      <c r="T792" s="63" t="str">
        <f aca="false">IF(OR(B792="",N(O792)=0),"",N(O792)+ROUND(MIN(N(N792),TOPE_UF*UF_MES)*(TASA_EMP+MUTUAL),0)+ROUND(MIN(N(N792),TOPE_AFC_UF*UF_MES)*IF(S792="Indefinido",AFC_INDEF,AFC_PF),0))</f>
        <v/>
      </c>
      <c r="U792" s="62" t="str">
        <f aca="false">IF(C792="","",IF(LEFT(D792,1)="⚠","⚠ RUT no registrado en Trabajadores",IF(B792="","⚠ Falta el mes",IF(OR(ISTEXT(I792),ISTEXT(J792)),"⚠ Atrasos u horas extra como texto: escriba hh:mm (ej. 1:30)",IF(AND(ISNUMBER(Q792),COUNTIFS(M_RUTN,V792,M_MES,B792,M_LIQ,"&lt;&gt;")&gt;1),"⚠ Liquidación repetida en el mes",IF(AND(ISNUMBER(O792),ISNUMBER(P792),ISNUMBER(Q792),ABS(O792-P792-Q792)&gt;1),"⚠ Haberes − descuentos no da el líquido","OK"))))))</f>
        <v/>
      </c>
      <c r="V792" s="62" t="str">
        <f aca="false">IF(C792="","",IFERROR(VALUE(LEFT(UPPER(SUBSTITUTE(SUBSTITUTE(SUBSTITUTE(TRIM(C792),".",""),"-","")," ","")),LEN(UPPER(SUBSTITUTE(SUBSTITUTE(SUBSTITUTE(TRIM(C792),".",""),"-","")," ","")))-1))&amp;RIGHT(UPPER(SUBSTITUTE(SUBSTITUTE(SUBSTITUTE(TRIM(C792),".",""),"-","")," ","")),1),UPPER(SUBSTITUTE(SUBSTITUTE(SUBSTITUTE(TRIM(C792),".",""),"-","")," ",""))))</f>
        <v/>
      </c>
    </row>
    <row r="793" customFormat="false" ht="15" hidden="false" customHeight="false" outlineLevel="0" collapsed="false">
      <c r="B793" s="80"/>
      <c r="C793" s="58"/>
      <c r="D793" s="62" t="str">
        <f aca="false">IF(C793="","",IFERROR(INDEX(T_NOMBRE,MATCH(V793,T_RUTN,0)),"⚠ RUT no está en Trabajadores"))</f>
        <v/>
      </c>
      <c r="E793" s="61"/>
      <c r="F793" s="61"/>
      <c r="G793" s="61"/>
      <c r="H793" s="61"/>
      <c r="I793" s="81"/>
      <c r="J793" s="81"/>
      <c r="K793" s="60"/>
      <c r="L793" s="60"/>
      <c r="M793" s="60"/>
      <c r="N793" s="60"/>
      <c r="O793" s="60"/>
      <c r="P793" s="60"/>
      <c r="Q793" s="60"/>
      <c r="R793" s="58"/>
      <c r="S793" s="62" t="str">
        <f aca="false">IF(OR(B793="",V793=""),"",IFERROR(INDEX(C_TIPO,MATCH(V793&amp;"-P"&amp;MAX(1,COUNTIFS(C_RUTN,V793,C_DEF,"Sí",C_INI,"&lt;="&amp;EOMONTH(B793,0))),C_CLAVE,0))&amp;"","Sin contrato"))</f>
        <v/>
      </c>
      <c r="T793" s="63" t="str">
        <f aca="false">IF(OR(B793="",N(O793)=0),"",N(O793)+ROUND(MIN(N(N793),TOPE_UF*UF_MES)*(TASA_EMP+MUTUAL),0)+ROUND(MIN(N(N793),TOPE_AFC_UF*UF_MES)*IF(S793="Indefinido",AFC_INDEF,AFC_PF),0))</f>
        <v/>
      </c>
      <c r="U793" s="62" t="str">
        <f aca="false">IF(C793="","",IF(LEFT(D793,1)="⚠","⚠ RUT no registrado en Trabajadores",IF(B793="","⚠ Falta el mes",IF(OR(ISTEXT(I793),ISTEXT(J793)),"⚠ Atrasos u horas extra como texto: escriba hh:mm (ej. 1:30)",IF(AND(ISNUMBER(Q793),COUNTIFS(M_RUTN,V793,M_MES,B793,M_LIQ,"&lt;&gt;")&gt;1),"⚠ Liquidación repetida en el mes",IF(AND(ISNUMBER(O793),ISNUMBER(P793),ISNUMBER(Q793),ABS(O793-P793-Q793)&gt;1),"⚠ Haberes − descuentos no da el líquido","OK"))))))</f>
        <v/>
      </c>
      <c r="V793" s="62" t="str">
        <f aca="false">IF(C793="","",IFERROR(VALUE(LEFT(UPPER(SUBSTITUTE(SUBSTITUTE(SUBSTITUTE(TRIM(C793),".",""),"-","")," ","")),LEN(UPPER(SUBSTITUTE(SUBSTITUTE(SUBSTITUTE(TRIM(C793),".",""),"-","")," ","")))-1))&amp;RIGHT(UPPER(SUBSTITUTE(SUBSTITUTE(SUBSTITUTE(TRIM(C793),".",""),"-","")," ","")),1),UPPER(SUBSTITUTE(SUBSTITUTE(SUBSTITUTE(TRIM(C793),".",""),"-","")," ",""))))</f>
        <v/>
      </c>
    </row>
    <row r="794" customFormat="false" ht="15" hidden="false" customHeight="false" outlineLevel="0" collapsed="false">
      <c r="B794" s="80"/>
      <c r="C794" s="58"/>
      <c r="D794" s="62" t="str">
        <f aca="false">IF(C794="","",IFERROR(INDEX(T_NOMBRE,MATCH(V794,T_RUTN,0)),"⚠ RUT no está en Trabajadores"))</f>
        <v/>
      </c>
      <c r="E794" s="61"/>
      <c r="F794" s="61"/>
      <c r="G794" s="61"/>
      <c r="H794" s="61"/>
      <c r="I794" s="81"/>
      <c r="J794" s="81"/>
      <c r="K794" s="60"/>
      <c r="L794" s="60"/>
      <c r="M794" s="60"/>
      <c r="N794" s="60"/>
      <c r="O794" s="60"/>
      <c r="P794" s="60"/>
      <c r="Q794" s="60"/>
      <c r="R794" s="58"/>
      <c r="S794" s="62" t="str">
        <f aca="false">IF(OR(B794="",V794=""),"",IFERROR(INDEX(C_TIPO,MATCH(V794&amp;"-P"&amp;MAX(1,COUNTIFS(C_RUTN,V794,C_DEF,"Sí",C_INI,"&lt;="&amp;EOMONTH(B794,0))),C_CLAVE,0))&amp;"","Sin contrato"))</f>
        <v/>
      </c>
      <c r="T794" s="63" t="str">
        <f aca="false">IF(OR(B794="",N(O794)=0),"",N(O794)+ROUND(MIN(N(N794),TOPE_UF*UF_MES)*(TASA_EMP+MUTUAL),0)+ROUND(MIN(N(N794),TOPE_AFC_UF*UF_MES)*IF(S794="Indefinido",AFC_INDEF,AFC_PF),0))</f>
        <v/>
      </c>
      <c r="U794" s="62" t="str">
        <f aca="false">IF(C794="","",IF(LEFT(D794,1)="⚠","⚠ RUT no registrado en Trabajadores",IF(B794="","⚠ Falta el mes",IF(OR(ISTEXT(I794),ISTEXT(J794)),"⚠ Atrasos u horas extra como texto: escriba hh:mm (ej. 1:30)",IF(AND(ISNUMBER(Q794),COUNTIFS(M_RUTN,V794,M_MES,B794,M_LIQ,"&lt;&gt;")&gt;1),"⚠ Liquidación repetida en el mes",IF(AND(ISNUMBER(O794),ISNUMBER(P794),ISNUMBER(Q794),ABS(O794-P794-Q794)&gt;1),"⚠ Haberes − descuentos no da el líquido","OK"))))))</f>
        <v/>
      </c>
      <c r="V794" s="62" t="str">
        <f aca="false">IF(C794="","",IFERROR(VALUE(LEFT(UPPER(SUBSTITUTE(SUBSTITUTE(SUBSTITUTE(TRIM(C794),".",""),"-","")," ","")),LEN(UPPER(SUBSTITUTE(SUBSTITUTE(SUBSTITUTE(TRIM(C794),".",""),"-","")," ","")))-1))&amp;RIGHT(UPPER(SUBSTITUTE(SUBSTITUTE(SUBSTITUTE(TRIM(C794),".",""),"-","")," ","")),1),UPPER(SUBSTITUTE(SUBSTITUTE(SUBSTITUTE(TRIM(C794),".",""),"-","")," ",""))))</f>
        <v/>
      </c>
    </row>
    <row r="795" customFormat="false" ht="15" hidden="false" customHeight="false" outlineLevel="0" collapsed="false">
      <c r="B795" s="80"/>
      <c r="C795" s="58"/>
      <c r="D795" s="62" t="str">
        <f aca="false">IF(C795="","",IFERROR(INDEX(T_NOMBRE,MATCH(V795,T_RUTN,0)),"⚠ RUT no está en Trabajadores"))</f>
        <v/>
      </c>
      <c r="E795" s="61"/>
      <c r="F795" s="61"/>
      <c r="G795" s="61"/>
      <c r="H795" s="61"/>
      <c r="I795" s="81"/>
      <c r="J795" s="81"/>
      <c r="K795" s="60"/>
      <c r="L795" s="60"/>
      <c r="M795" s="60"/>
      <c r="N795" s="60"/>
      <c r="O795" s="60"/>
      <c r="P795" s="60"/>
      <c r="Q795" s="60"/>
      <c r="R795" s="58"/>
      <c r="S795" s="62" t="str">
        <f aca="false">IF(OR(B795="",V795=""),"",IFERROR(INDEX(C_TIPO,MATCH(V795&amp;"-P"&amp;MAX(1,COUNTIFS(C_RUTN,V795,C_DEF,"Sí",C_INI,"&lt;="&amp;EOMONTH(B795,0))),C_CLAVE,0))&amp;"","Sin contrato"))</f>
        <v/>
      </c>
      <c r="T795" s="63" t="str">
        <f aca="false">IF(OR(B795="",N(O795)=0),"",N(O795)+ROUND(MIN(N(N795),TOPE_UF*UF_MES)*(TASA_EMP+MUTUAL),0)+ROUND(MIN(N(N795),TOPE_AFC_UF*UF_MES)*IF(S795="Indefinido",AFC_INDEF,AFC_PF),0))</f>
        <v/>
      </c>
      <c r="U795" s="62" t="str">
        <f aca="false">IF(C795="","",IF(LEFT(D795,1)="⚠","⚠ RUT no registrado en Trabajadores",IF(B795="","⚠ Falta el mes",IF(OR(ISTEXT(I795),ISTEXT(J795)),"⚠ Atrasos u horas extra como texto: escriba hh:mm (ej. 1:30)",IF(AND(ISNUMBER(Q795),COUNTIFS(M_RUTN,V795,M_MES,B795,M_LIQ,"&lt;&gt;")&gt;1),"⚠ Liquidación repetida en el mes",IF(AND(ISNUMBER(O795),ISNUMBER(P795),ISNUMBER(Q795),ABS(O795-P795-Q795)&gt;1),"⚠ Haberes − descuentos no da el líquido","OK"))))))</f>
        <v/>
      </c>
      <c r="V795" s="62" t="str">
        <f aca="false">IF(C795="","",IFERROR(VALUE(LEFT(UPPER(SUBSTITUTE(SUBSTITUTE(SUBSTITUTE(TRIM(C795),".",""),"-","")," ","")),LEN(UPPER(SUBSTITUTE(SUBSTITUTE(SUBSTITUTE(TRIM(C795),".",""),"-","")," ","")))-1))&amp;RIGHT(UPPER(SUBSTITUTE(SUBSTITUTE(SUBSTITUTE(TRIM(C795),".",""),"-","")," ","")),1),UPPER(SUBSTITUTE(SUBSTITUTE(SUBSTITUTE(TRIM(C795),".",""),"-","")," ",""))))</f>
        <v/>
      </c>
    </row>
    <row r="796" customFormat="false" ht="15" hidden="false" customHeight="false" outlineLevel="0" collapsed="false">
      <c r="B796" s="80"/>
      <c r="C796" s="58"/>
      <c r="D796" s="62" t="str">
        <f aca="false">IF(C796="","",IFERROR(INDEX(T_NOMBRE,MATCH(V796,T_RUTN,0)),"⚠ RUT no está en Trabajadores"))</f>
        <v/>
      </c>
      <c r="E796" s="61"/>
      <c r="F796" s="61"/>
      <c r="G796" s="61"/>
      <c r="H796" s="61"/>
      <c r="I796" s="81"/>
      <c r="J796" s="81"/>
      <c r="K796" s="60"/>
      <c r="L796" s="60"/>
      <c r="M796" s="60"/>
      <c r="N796" s="60"/>
      <c r="O796" s="60"/>
      <c r="P796" s="60"/>
      <c r="Q796" s="60"/>
      <c r="R796" s="58"/>
      <c r="S796" s="62" t="str">
        <f aca="false">IF(OR(B796="",V796=""),"",IFERROR(INDEX(C_TIPO,MATCH(V796&amp;"-P"&amp;MAX(1,COUNTIFS(C_RUTN,V796,C_DEF,"Sí",C_INI,"&lt;="&amp;EOMONTH(B796,0))),C_CLAVE,0))&amp;"","Sin contrato"))</f>
        <v/>
      </c>
      <c r="T796" s="63" t="str">
        <f aca="false">IF(OR(B796="",N(O796)=0),"",N(O796)+ROUND(MIN(N(N796),TOPE_UF*UF_MES)*(TASA_EMP+MUTUAL),0)+ROUND(MIN(N(N796),TOPE_AFC_UF*UF_MES)*IF(S796="Indefinido",AFC_INDEF,AFC_PF),0))</f>
        <v/>
      </c>
      <c r="U796" s="62" t="str">
        <f aca="false">IF(C796="","",IF(LEFT(D796,1)="⚠","⚠ RUT no registrado en Trabajadores",IF(B796="","⚠ Falta el mes",IF(OR(ISTEXT(I796),ISTEXT(J796)),"⚠ Atrasos u horas extra como texto: escriba hh:mm (ej. 1:30)",IF(AND(ISNUMBER(Q796),COUNTIFS(M_RUTN,V796,M_MES,B796,M_LIQ,"&lt;&gt;")&gt;1),"⚠ Liquidación repetida en el mes",IF(AND(ISNUMBER(O796),ISNUMBER(P796),ISNUMBER(Q796),ABS(O796-P796-Q796)&gt;1),"⚠ Haberes − descuentos no da el líquido","OK"))))))</f>
        <v/>
      </c>
      <c r="V796" s="62" t="str">
        <f aca="false">IF(C796="","",IFERROR(VALUE(LEFT(UPPER(SUBSTITUTE(SUBSTITUTE(SUBSTITUTE(TRIM(C796),".",""),"-","")," ","")),LEN(UPPER(SUBSTITUTE(SUBSTITUTE(SUBSTITUTE(TRIM(C796),".",""),"-","")," ","")))-1))&amp;RIGHT(UPPER(SUBSTITUTE(SUBSTITUTE(SUBSTITUTE(TRIM(C796),".",""),"-","")," ","")),1),UPPER(SUBSTITUTE(SUBSTITUTE(SUBSTITUTE(TRIM(C796),".",""),"-","")," ",""))))</f>
        <v/>
      </c>
    </row>
    <row r="797" customFormat="false" ht="15" hidden="false" customHeight="false" outlineLevel="0" collapsed="false">
      <c r="B797" s="80"/>
      <c r="C797" s="58"/>
      <c r="D797" s="62" t="str">
        <f aca="false">IF(C797="","",IFERROR(INDEX(T_NOMBRE,MATCH(V797,T_RUTN,0)),"⚠ RUT no está en Trabajadores"))</f>
        <v/>
      </c>
      <c r="E797" s="61"/>
      <c r="F797" s="61"/>
      <c r="G797" s="61"/>
      <c r="H797" s="61"/>
      <c r="I797" s="81"/>
      <c r="J797" s="81"/>
      <c r="K797" s="60"/>
      <c r="L797" s="60"/>
      <c r="M797" s="60"/>
      <c r="N797" s="60"/>
      <c r="O797" s="60"/>
      <c r="P797" s="60"/>
      <c r="Q797" s="60"/>
      <c r="R797" s="58"/>
      <c r="S797" s="62" t="str">
        <f aca="false">IF(OR(B797="",V797=""),"",IFERROR(INDEX(C_TIPO,MATCH(V797&amp;"-P"&amp;MAX(1,COUNTIFS(C_RUTN,V797,C_DEF,"Sí",C_INI,"&lt;="&amp;EOMONTH(B797,0))),C_CLAVE,0))&amp;"","Sin contrato"))</f>
        <v/>
      </c>
      <c r="T797" s="63" t="str">
        <f aca="false">IF(OR(B797="",N(O797)=0),"",N(O797)+ROUND(MIN(N(N797),TOPE_UF*UF_MES)*(TASA_EMP+MUTUAL),0)+ROUND(MIN(N(N797),TOPE_AFC_UF*UF_MES)*IF(S797="Indefinido",AFC_INDEF,AFC_PF),0))</f>
        <v/>
      </c>
      <c r="U797" s="62" t="str">
        <f aca="false">IF(C797="","",IF(LEFT(D797,1)="⚠","⚠ RUT no registrado en Trabajadores",IF(B797="","⚠ Falta el mes",IF(OR(ISTEXT(I797),ISTEXT(J797)),"⚠ Atrasos u horas extra como texto: escriba hh:mm (ej. 1:30)",IF(AND(ISNUMBER(Q797),COUNTIFS(M_RUTN,V797,M_MES,B797,M_LIQ,"&lt;&gt;")&gt;1),"⚠ Liquidación repetida en el mes",IF(AND(ISNUMBER(O797),ISNUMBER(P797),ISNUMBER(Q797),ABS(O797-P797-Q797)&gt;1),"⚠ Haberes − descuentos no da el líquido","OK"))))))</f>
        <v/>
      </c>
      <c r="V797" s="62" t="str">
        <f aca="false">IF(C797="","",IFERROR(VALUE(LEFT(UPPER(SUBSTITUTE(SUBSTITUTE(SUBSTITUTE(TRIM(C797),".",""),"-","")," ","")),LEN(UPPER(SUBSTITUTE(SUBSTITUTE(SUBSTITUTE(TRIM(C797),".",""),"-","")," ","")))-1))&amp;RIGHT(UPPER(SUBSTITUTE(SUBSTITUTE(SUBSTITUTE(TRIM(C797),".",""),"-","")," ","")),1),UPPER(SUBSTITUTE(SUBSTITUTE(SUBSTITUTE(TRIM(C797),".",""),"-","")," ",""))))</f>
        <v/>
      </c>
    </row>
    <row r="798" customFormat="false" ht="15" hidden="false" customHeight="false" outlineLevel="0" collapsed="false">
      <c r="B798" s="80"/>
      <c r="C798" s="58"/>
      <c r="D798" s="62" t="str">
        <f aca="false">IF(C798="","",IFERROR(INDEX(T_NOMBRE,MATCH(V798,T_RUTN,0)),"⚠ RUT no está en Trabajadores"))</f>
        <v/>
      </c>
      <c r="E798" s="61"/>
      <c r="F798" s="61"/>
      <c r="G798" s="61"/>
      <c r="H798" s="61"/>
      <c r="I798" s="81"/>
      <c r="J798" s="81"/>
      <c r="K798" s="60"/>
      <c r="L798" s="60"/>
      <c r="M798" s="60"/>
      <c r="N798" s="60"/>
      <c r="O798" s="60"/>
      <c r="P798" s="60"/>
      <c r="Q798" s="60"/>
      <c r="R798" s="58"/>
      <c r="S798" s="62" t="str">
        <f aca="false">IF(OR(B798="",V798=""),"",IFERROR(INDEX(C_TIPO,MATCH(V798&amp;"-P"&amp;MAX(1,COUNTIFS(C_RUTN,V798,C_DEF,"Sí",C_INI,"&lt;="&amp;EOMONTH(B798,0))),C_CLAVE,0))&amp;"","Sin contrato"))</f>
        <v/>
      </c>
      <c r="T798" s="63" t="str">
        <f aca="false">IF(OR(B798="",N(O798)=0),"",N(O798)+ROUND(MIN(N(N798),TOPE_UF*UF_MES)*(TASA_EMP+MUTUAL),0)+ROUND(MIN(N(N798),TOPE_AFC_UF*UF_MES)*IF(S798="Indefinido",AFC_INDEF,AFC_PF),0))</f>
        <v/>
      </c>
      <c r="U798" s="62" t="str">
        <f aca="false">IF(C798="","",IF(LEFT(D798,1)="⚠","⚠ RUT no registrado en Trabajadores",IF(B798="","⚠ Falta el mes",IF(OR(ISTEXT(I798),ISTEXT(J798)),"⚠ Atrasos u horas extra como texto: escriba hh:mm (ej. 1:30)",IF(AND(ISNUMBER(Q798),COUNTIFS(M_RUTN,V798,M_MES,B798,M_LIQ,"&lt;&gt;")&gt;1),"⚠ Liquidación repetida en el mes",IF(AND(ISNUMBER(O798),ISNUMBER(P798),ISNUMBER(Q798),ABS(O798-P798-Q798)&gt;1),"⚠ Haberes − descuentos no da el líquido","OK"))))))</f>
        <v/>
      </c>
      <c r="V798" s="62" t="str">
        <f aca="false">IF(C798="","",IFERROR(VALUE(LEFT(UPPER(SUBSTITUTE(SUBSTITUTE(SUBSTITUTE(TRIM(C798),".",""),"-","")," ","")),LEN(UPPER(SUBSTITUTE(SUBSTITUTE(SUBSTITUTE(TRIM(C798),".",""),"-","")," ","")))-1))&amp;RIGHT(UPPER(SUBSTITUTE(SUBSTITUTE(SUBSTITUTE(TRIM(C798),".",""),"-","")," ","")),1),UPPER(SUBSTITUTE(SUBSTITUTE(SUBSTITUTE(TRIM(C798),".",""),"-","")," ",""))))</f>
        <v/>
      </c>
    </row>
    <row r="799" customFormat="false" ht="15" hidden="false" customHeight="false" outlineLevel="0" collapsed="false">
      <c r="B799" s="80"/>
      <c r="C799" s="58"/>
      <c r="D799" s="62" t="str">
        <f aca="false">IF(C799="","",IFERROR(INDEX(T_NOMBRE,MATCH(V799,T_RUTN,0)),"⚠ RUT no está en Trabajadores"))</f>
        <v/>
      </c>
      <c r="E799" s="61"/>
      <c r="F799" s="61"/>
      <c r="G799" s="61"/>
      <c r="H799" s="61"/>
      <c r="I799" s="81"/>
      <c r="J799" s="81"/>
      <c r="K799" s="60"/>
      <c r="L799" s="60"/>
      <c r="M799" s="60"/>
      <c r="N799" s="60"/>
      <c r="O799" s="60"/>
      <c r="P799" s="60"/>
      <c r="Q799" s="60"/>
      <c r="R799" s="58"/>
      <c r="S799" s="62" t="str">
        <f aca="false">IF(OR(B799="",V799=""),"",IFERROR(INDEX(C_TIPO,MATCH(V799&amp;"-P"&amp;MAX(1,COUNTIFS(C_RUTN,V799,C_DEF,"Sí",C_INI,"&lt;="&amp;EOMONTH(B799,0))),C_CLAVE,0))&amp;"","Sin contrato"))</f>
        <v/>
      </c>
      <c r="T799" s="63" t="str">
        <f aca="false">IF(OR(B799="",N(O799)=0),"",N(O799)+ROUND(MIN(N(N799),TOPE_UF*UF_MES)*(TASA_EMP+MUTUAL),0)+ROUND(MIN(N(N799),TOPE_AFC_UF*UF_MES)*IF(S799="Indefinido",AFC_INDEF,AFC_PF),0))</f>
        <v/>
      </c>
      <c r="U799" s="62" t="str">
        <f aca="false">IF(C799="","",IF(LEFT(D799,1)="⚠","⚠ RUT no registrado en Trabajadores",IF(B799="","⚠ Falta el mes",IF(OR(ISTEXT(I799),ISTEXT(J799)),"⚠ Atrasos u horas extra como texto: escriba hh:mm (ej. 1:30)",IF(AND(ISNUMBER(Q799),COUNTIFS(M_RUTN,V799,M_MES,B799,M_LIQ,"&lt;&gt;")&gt;1),"⚠ Liquidación repetida en el mes",IF(AND(ISNUMBER(O799),ISNUMBER(P799),ISNUMBER(Q799),ABS(O799-P799-Q799)&gt;1),"⚠ Haberes − descuentos no da el líquido","OK"))))))</f>
        <v/>
      </c>
      <c r="V799" s="62" t="str">
        <f aca="false">IF(C799="","",IFERROR(VALUE(LEFT(UPPER(SUBSTITUTE(SUBSTITUTE(SUBSTITUTE(TRIM(C799),".",""),"-","")," ","")),LEN(UPPER(SUBSTITUTE(SUBSTITUTE(SUBSTITUTE(TRIM(C799),".",""),"-","")," ","")))-1))&amp;RIGHT(UPPER(SUBSTITUTE(SUBSTITUTE(SUBSTITUTE(TRIM(C799),".",""),"-","")," ","")),1),UPPER(SUBSTITUTE(SUBSTITUTE(SUBSTITUTE(TRIM(C799),".",""),"-","")," ",""))))</f>
        <v/>
      </c>
    </row>
    <row r="800" customFormat="false" ht="15" hidden="false" customHeight="false" outlineLevel="0" collapsed="false">
      <c r="B800" s="80"/>
      <c r="C800" s="58"/>
      <c r="D800" s="62" t="str">
        <f aca="false">IF(C800="","",IFERROR(INDEX(T_NOMBRE,MATCH(V800,T_RUTN,0)),"⚠ RUT no está en Trabajadores"))</f>
        <v/>
      </c>
      <c r="E800" s="61"/>
      <c r="F800" s="61"/>
      <c r="G800" s="61"/>
      <c r="H800" s="61"/>
      <c r="I800" s="81"/>
      <c r="J800" s="81"/>
      <c r="K800" s="60"/>
      <c r="L800" s="60"/>
      <c r="M800" s="60"/>
      <c r="N800" s="60"/>
      <c r="O800" s="60"/>
      <c r="P800" s="60"/>
      <c r="Q800" s="60"/>
      <c r="R800" s="58"/>
      <c r="S800" s="62" t="str">
        <f aca="false">IF(OR(B800="",V800=""),"",IFERROR(INDEX(C_TIPO,MATCH(V800&amp;"-P"&amp;MAX(1,COUNTIFS(C_RUTN,V800,C_DEF,"Sí",C_INI,"&lt;="&amp;EOMONTH(B800,0))),C_CLAVE,0))&amp;"","Sin contrato"))</f>
        <v/>
      </c>
      <c r="T800" s="63" t="str">
        <f aca="false">IF(OR(B800="",N(O800)=0),"",N(O800)+ROUND(MIN(N(N800),TOPE_UF*UF_MES)*(TASA_EMP+MUTUAL),0)+ROUND(MIN(N(N800),TOPE_AFC_UF*UF_MES)*IF(S800="Indefinido",AFC_INDEF,AFC_PF),0))</f>
        <v/>
      </c>
      <c r="U800" s="62" t="str">
        <f aca="false">IF(C800="","",IF(LEFT(D800,1)="⚠","⚠ RUT no registrado en Trabajadores",IF(B800="","⚠ Falta el mes",IF(OR(ISTEXT(I800),ISTEXT(J800)),"⚠ Atrasos u horas extra como texto: escriba hh:mm (ej. 1:30)",IF(AND(ISNUMBER(Q800),COUNTIFS(M_RUTN,V800,M_MES,B800,M_LIQ,"&lt;&gt;")&gt;1),"⚠ Liquidación repetida en el mes",IF(AND(ISNUMBER(O800),ISNUMBER(P800),ISNUMBER(Q800),ABS(O800-P800-Q800)&gt;1),"⚠ Haberes − descuentos no da el líquido","OK"))))))</f>
        <v/>
      </c>
      <c r="V800" s="62" t="str">
        <f aca="false">IF(C800="","",IFERROR(VALUE(LEFT(UPPER(SUBSTITUTE(SUBSTITUTE(SUBSTITUTE(TRIM(C800),".",""),"-","")," ","")),LEN(UPPER(SUBSTITUTE(SUBSTITUTE(SUBSTITUTE(TRIM(C800),".",""),"-","")," ","")))-1))&amp;RIGHT(UPPER(SUBSTITUTE(SUBSTITUTE(SUBSTITUTE(TRIM(C800),".",""),"-","")," ","")),1),UPPER(SUBSTITUTE(SUBSTITUTE(SUBSTITUTE(TRIM(C800),".",""),"-","")," ",""))))</f>
        <v/>
      </c>
    </row>
    <row r="801" customFormat="false" ht="15" hidden="false" customHeight="false" outlineLevel="0" collapsed="false">
      <c r="B801" s="80"/>
      <c r="C801" s="58"/>
      <c r="D801" s="62" t="str">
        <f aca="false">IF(C801="","",IFERROR(INDEX(T_NOMBRE,MATCH(V801,T_RUTN,0)),"⚠ RUT no está en Trabajadores"))</f>
        <v/>
      </c>
      <c r="E801" s="61"/>
      <c r="F801" s="61"/>
      <c r="G801" s="61"/>
      <c r="H801" s="61"/>
      <c r="I801" s="81"/>
      <c r="J801" s="81"/>
      <c r="K801" s="60"/>
      <c r="L801" s="60"/>
      <c r="M801" s="60"/>
      <c r="N801" s="60"/>
      <c r="O801" s="60"/>
      <c r="P801" s="60"/>
      <c r="Q801" s="60"/>
      <c r="R801" s="58"/>
      <c r="S801" s="62" t="str">
        <f aca="false">IF(OR(B801="",V801=""),"",IFERROR(INDEX(C_TIPO,MATCH(V801&amp;"-P"&amp;MAX(1,COUNTIFS(C_RUTN,V801,C_DEF,"Sí",C_INI,"&lt;="&amp;EOMONTH(B801,0))),C_CLAVE,0))&amp;"","Sin contrato"))</f>
        <v/>
      </c>
      <c r="T801" s="63" t="str">
        <f aca="false">IF(OR(B801="",N(O801)=0),"",N(O801)+ROUND(MIN(N(N801),TOPE_UF*UF_MES)*(TASA_EMP+MUTUAL),0)+ROUND(MIN(N(N801),TOPE_AFC_UF*UF_MES)*IF(S801="Indefinido",AFC_INDEF,AFC_PF),0))</f>
        <v/>
      </c>
      <c r="U801" s="62" t="str">
        <f aca="false">IF(C801="","",IF(LEFT(D801,1)="⚠","⚠ RUT no registrado en Trabajadores",IF(B801="","⚠ Falta el mes",IF(OR(ISTEXT(I801),ISTEXT(J801)),"⚠ Atrasos u horas extra como texto: escriba hh:mm (ej. 1:30)",IF(AND(ISNUMBER(Q801),COUNTIFS(M_RUTN,V801,M_MES,B801,M_LIQ,"&lt;&gt;")&gt;1),"⚠ Liquidación repetida en el mes",IF(AND(ISNUMBER(O801),ISNUMBER(P801),ISNUMBER(Q801),ABS(O801-P801-Q801)&gt;1),"⚠ Haberes − descuentos no da el líquido","OK"))))))</f>
        <v/>
      </c>
      <c r="V801" s="62" t="str">
        <f aca="false">IF(C801="","",IFERROR(VALUE(LEFT(UPPER(SUBSTITUTE(SUBSTITUTE(SUBSTITUTE(TRIM(C801),".",""),"-","")," ","")),LEN(UPPER(SUBSTITUTE(SUBSTITUTE(SUBSTITUTE(TRIM(C801),".",""),"-","")," ","")))-1))&amp;RIGHT(UPPER(SUBSTITUTE(SUBSTITUTE(SUBSTITUTE(TRIM(C801),".",""),"-","")," ","")),1),UPPER(SUBSTITUTE(SUBSTITUTE(SUBSTITUTE(TRIM(C801),".",""),"-","")," ",""))))</f>
        <v/>
      </c>
    </row>
    <row r="802" customFormat="false" ht="15" hidden="false" customHeight="false" outlineLevel="0" collapsed="false">
      <c r="B802" s="80"/>
      <c r="C802" s="58"/>
      <c r="D802" s="62" t="str">
        <f aca="false">IF(C802="","",IFERROR(INDEX(T_NOMBRE,MATCH(V802,T_RUTN,0)),"⚠ RUT no está en Trabajadores"))</f>
        <v/>
      </c>
      <c r="E802" s="61"/>
      <c r="F802" s="61"/>
      <c r="G802" s="61"/>
      <c r="H802" s="61"/>
      <c r="I802" s="81"/>
      <c r="J802" s="81"/>
      <c r="K802" s="60"/>
      <c r="L802" s="60"/>
      <c r="M802" s="60"/>
      <c r="N802" s="60"/>
      <c r="O802" s="60"/>
      <c r="P802" s="60"/>
      <c r="Q802" s="60"/>
      <c r="R802" s="58"/>
      <c r="S802" s="62" t="str">
        <f aca="false">IF(OR(B802="",V802=""),"",IFERROR(INDEX(C_TIPO,MATCH(V802&amp;"-P"&amp;MAX(1,COUNTIFS(C_RUTN,V802,C_DEF,"Sí",C_INI,"&lt;="&amp;EOMONTH(B802,0))),C_CLAVE,0))&amp;"","Sin contrato"))</f>
        <v/>
      </c>
      <c r="T802" s="63" t="str">
        <f aca="false">IF(OR(B802="",N(O802)=0),"",N(O802)+ROUND(MIN(N(N802),TOPE_UF*UF_MES)*(TASA_EMP+MUTUAL),0)+ROUND(MIN(N(N802),TOPE_AFC_UF*UF_MES)*IF(S802="Indefinido",AFC_INDEF,AFC_PF),0))</f>
        <v/>
      </c>
      <c r="U802" s="62" t="str">
        <f aca="false">IF(C802="","",IF(LEFT(D802,1)="⚠","⚠ RUT no registrado en Trabajadores",IF(B802="","⚠ Falta el mes",IF(OR(ISTEXT(I802),ISTEXT(J802)),"⚠ Atrasos u horas extra como texto: escriba hh:mm (ej. 1:30)",IF(AND(ISNUMBER(Q802),COUNTIFS(M_RUTN,V802,M_MES,B802,M_LIQ,"&lt;&gt;")&gt;1),"⚠ Liquidación repetida en el mes",IF(AND(ISNUMBER(O802),ISNUMBER(P802),ISNUMBER(Q802),ABS(O802-P802-Q802)&gt;1),"⚠ Haberes − descuentos no da el líquido","OK"))))))</f>
        <v/>
      </c>
      <c r="V802" s="62" t="str">
        <f aca="false">IF(C802="","",IFERROR(VALUE(LEFT(UPPER(SUBSTITUTE(SUBSTITUTE(SUBSTITUTE(TRIM(C802),".",""),"-","")," ","")),LEN(UPPER(SUBSTITUTE(SUBSTITUTE(SUBSTITUTE(TRIM(C802),".",""),"-","")," ","")))-1))&amp;RIGHT(UPPER(SUBSTITUTE(SUBSTITUTE(SUBSTITUTE(TRIM(C802),".",""),"-","")," ","")),1),UPPER(SUBSTITUTE(SUBSTITUTE(SUBSTITUTE(TRIM(C802),".",""),"-","")," ",""))))</f>
        <v/>
      </c>
    </row>
    <row r="803" customFormat="false" ht="15" hidden="false" customHeight="false" outlineLevel="0" collapsed="false">
      <c r="B803" s="80"/>
      <c r="C803" s="58"/>
      <c r="D803" s="62" t="str">
        <f aca="false">IF(C803="","",IFERROR(INDEX(T_NOMBRE,MATCH(V803,T_RUTN,0)),"⚠ RUT no está en Trabajadores"))</f>
        <v/>
      </c>
      <c r="E803" s="61"/>
      <c r="F803" s="61"/>
      <c r="G803" s="61"/>
      <c r="H803" s="61"/>
      <c r="I803" s="81"/>
      <c r="J803" s="81"/>
      <c r="K803" s="60"/>
      <c r="L803" s="60"/>
      <c r="M803" s="60"/>
      <c r="N803" s="60"/>
      <c r="O803" s="60"/>
      <c r="P803" s="60"/>
      <c r="Q803" s="60"/>
      <c r="R803" s="58"/>
      <c r="S803" s="62" t="str">
        <f aca="false">IF(OR(B803="",V803=""),"",IFERROR(INDEX(C_TIPO,MATCH(V803&amp;"-P"&amp;MAX(1,COUNTIFS(C_RUTN,V803,C_DEF,"Sí",C_INI,"&lt;="&amp;EOMONTH(B803,0))),C_CLAVE,0))&amp;"","Sin contrato"))</f>
        <v/>
      </c>
      <c r="T803" s="63" t="str">
        <f aca="false">IF(OR(B803="",N(O803)=0),"",N(O803)+ROUND(MIN(N(N803),TOPE_UF*UF_MES)*(TASA_EMP+MUTUAL),0)+ROUND(MIN(N(N803),TOPE_AFC_UF*UF_MES)*IF(S803="Indefinido",AFC_INDEF,AFC_PF),0))</f>
        <v/>
      </c>
      <c r="U803" s="62" t="str">
        <f aca="false">IF(C803="","",IF(LEFT(D803,1)="⚠","⚠ RUT no registrado en Trabajadores",IF(B803="","⚠ Falta el mes",IF(OR(ISTEXT(I803),ISTEXT(J803)),"⚠ Atrasos u horas extra como texto: escriba hh:mm (ej. 1:30)",IF(AND(ISNUMBER(Q803),COUNTIFS(M_RUTN,V803,M_MES,B803,M_LIQ,"&lt;&gt;")&gt;1),"⚠ Liquidación repetida en el mes",IF(AND(ISNUMBER(O803),ISNUMBER(P803),ISNUMBER(Q803),ABS(O803-P803-Q803)&gt;1),"⚠ Haberes − descuentos no da el líquido","OK"))))))</f>
        <v/>
      </c>
      <c r="V803" s="62" t="str">
        <f aca="false">IF(C803="","",IFERROR(VALUE(LEFT(UPPER(SUBSTITUTE(SUBSTITUTE(SUBSTITUTE(TRIM(C803),".",""),"-","")," ","")),LEN(UPPER(SUBSTITUTE(SUBSTITUTE(SUBSTITUTE(TRIM(C803),".",""),"-","")," ","")))-1))&amp;RIGHT(UPPER(SUBSTITUTE(SUBSTITUTE(SUBSTITUTE(TRIM(C803),".",""),"-","")," ","")),1),UPPER(SUBSTITUTE(SUBSTITUTE(SUBSTITUTE(TRIM(C803),".",""),"-","")," ",""))))</f>
        <v/>
      </c>
    </row>
    <row r="804" customFormat="false" ht="15" hidden="false" customHeight="false" outlineLevel="0" collapsed="false">
      <c r="B804" s="80"/>
      <c r="C804" s="58"/>
      <c r="D804" s="62" t="str">
        <f aca="false">IF(C804="","",IFERROR(INDEX(T_NOMBRE,MATCH(V804,T_RUTN,0)),"⚠ RUT no está en Trabajadores"))</f>
        <v/>
      </c>
      <c r="E804" s="61"/>
      <c r="F804" s="61"/>
      <c r="G804" s="61"/>
      <c r="H804" s="61"/>
      <c r="I804" s="81"/>
      <c r="J804" s="81"/>
      <c r="K804" s="60"/>
      <c r="L804" s="60"/>
      <c r="M804" s="60"/>
      <c r="N804" s="60"/>
      <c r="O804" s="60"/>
      <c r="P804" s="60"/>
      <c r="Q804" s="60"/>
      <c r="R804" s="58"/>
      <c r="S804" s="62" t="str">
        <f aca="false">IF(OR(B804="",V804=""),"",IFERROR(INDEX(C_TIPO,MATCH(V804&amp;"-P"&amp;MAX(1,COUNTIFS(C_RUTN,V804,C_DEF,"Sí",C_INI,"&lt;="&amp;EOMONTH(B804,0))),C_CLAVE,0))&amp;"","Sin contrato"))</f>
        <v/>
      </c>
      <c r="T804" s="63" t="str">
        <f aca="false">IF(OR(B804="",N(O804)=0),"",N(O804)+ROUND(MIN(N(N804),TOPE_UF*UF_MES)*(TASA_EMP+MUTUAL),0)+ROUND(MIN(N(N804),TOPE_AFC_UF*UF_MES)*IF(S804="Indefinido",AFC_INDEF,AFC_PF),0))</f>
        <v/>
      </c>
      <c r="U804" s="62" t="str">
        <f aca="false">IF(C804="","",IF(LEFT(D804,1)="⚠","⚠ RUT no registrado en Trabajadores",IF(B804="","⚠ Falta el mes",IF(OR(ISTEXT(I804),ISTEXT(J804)),"⚠ Atrasos u horas extra como texto: escriba hh:mm (ej. 1:30)",IF(AND(ISNUMBER(Q804),COUNTIFS(M_RUTN,V804,M_MES,B804,M_LIQ,"&lt;&gt;")&gt;1),"⚠ Liquidación repetida en el mes",IF(AND(ISNUMBER(O804),ISNUMBER(P804),ISNUMBER(Q804),ABS(O804-P804-Q804)&gt;1),"⚠ Haberes − descuentos no da el líquido","OK"))))))</f>
        <v/>
      </c>
      <c r="V804" s="62" t="str">
        <f aca="false">IF(C804="","",IFERROR(VALUE(LEFT(UPPER(SUBSTITUTE(SUBSTITUTE(SUBSTITUTE(TRIM(C804),".",""),"-","")," ","")),LEN(UPPER(SUBSTITUTE(SUBSTITUTE(SUBSTITUTE(TRIM(C804),".",""),"-","")," ","")))-1))&amp;RIGHT(UPPER(SUBSTITUTE(SUBSTITUTE(SUBSTITUTE(TRIM(C804),".",""),"-","")," ","")),1),UPPER(SUBSTITUTE(SUBSTITUTE(SUBSTITUTE(TRIM(C804),".",""),"-","")," ",""))))</f>
        <v/>
      </c>
    </row>
    <row r="805" customFormat="false" ht="15" hidden="false" customHeight="false" outlineLevel="0" collapsed="false">
      <c r="B805" s="80"/>
      <c r="C805" s="58"/>
      <c r="D805" s="62" t="str">
        <f aca="false">IF(C805="","",IFERROR(INDEX(T_NOMBRE,MATCH(V805,T_RUTN,0)),"⚠ RUT no está en Trabajadores"))</f>
        <v/>
      </c>
      <c r="E805" s="61"/>
      <c r="F805" s="61"/>
      <c r="G805" s="61"/>
      <c r="H805" s="61"/>
      <c r="I805" s="81"/>
      <c r="J805" s="81"/>
      <c r="K805" s="60"/>
      <c r="L805" s="60"/>
      <c r="M805" s="60"/>
      <c r="N805" s="60"/>
      <c r="O805" s="60"/>
      <c r="P805" s="60"/>
      <c r="Q805" s="60"/>
      <c r="R805" s="58"/>
      <c r="S805" s="62" t="str">
        <f aca="false">IF(OR(B805="",V805=""),"",IFERROR(INDEX(C_TIPO,MATCH(V805&amp;"-P"&amp;MAX(1,COUNTIFS(C_RUTN,V805,C_DEF,"Sí",C_INI,"&lt;="&amp;EOMONTH(B805,0))),C_CLAVE,0))&amp;"","Sin contrato"))</f>
        <v/>
      </c>
      <c r="T805" s="63" t="str">
        <f aca="false">IF(OR(B805="",N(O805)=0),"",N(O805)+ROUND(MIN(N(N805),TOPE_UF*UF_MES)*(TASA_EMP+MUTUAL),0)+ROUND(MIN(N(N805),TOPE_AFC_UF*UF_MES)*IF(S805="Indefinido",AFC_INDEF,AFC_PF),0))</f>
        <v/>
      </c>
      <c r="U805" s="62" t="str">
        <f aca="false">IF(C805="","",IF(LEFT(D805,1)="⚠","⚠ RUT no registrado en Trabajadores",IF(B805="","⚠ Falta el mes",IF(OR(ISTEXT(I805),ISTEXT(J805)),"⚠ Atrasos u horas extra como texto: escriba hh:mm (ej. 1:30)",IF(AND(ISNUMBER(Q805),COUNTIFS(M_RUTN,V805,M_MES,B805,M_LIQ,"&lt;&gt;")&gt;1),"⚠ Liquidación repetida en el mes",IF(AND(ISNUMBER(O805),ISNUMBER(P805),ISNUMBER(Q805),ABS(O805-P805-Q805)&gt;1),"⚠ Haberes − descuentos no da el líquido","OK"))))))</f>
        <v/>
      </c>
      <c r="V805" s="62" t="str">
        <f aca="false">IF(C805="","",IFERROR(VALUE(LEFT(UPPER(SUBSTITUTE(SUBSTITUTE(SUBSTITUTE(TRIM(C805),".",""),"-","")," ","")),LEN(UPPER(SUBSTITUTE(SUBSTITUTE(SUBSTITUTE(TRIM(C805),".",""),"-","")," ","")))-1))&amp;RIGHT(UPPER(SUBSTITUTE(SUBSTITUTE(SUBSTITUTE(TRIM(C805),".",""),"-","")," ","")),1),UPPER(SUBSTITUTE(SUBSTITUTE(SUBSTITUTE(TRIM(C805),".",""),"-","")," ",""))))</f>
        <v/>
      </c>
    </row>
    <row r="806" customFormat="false" ht="15" hidden="false" customHeight="false" outlineLevel="0" collapsed="false">
      <c r="B806" s="80"/>
      <c r="C806" s="58"/>
      <c r="D806" s="62" t="str">
        <f aca="false">IF(C806="","",IFERROR(INDEX(T_NOMBRE,MATCH(V806,T_RUTN,0)),"⚠ RUT no está en Trabajadores"))</f>
        <v/>
      </c>
      <c r="E806" s="61"/>
      <c r="F806" s="61"/>
      <c r="G806" s="61"/>
      <c r="H806" s="61"/>
      <c r="I806" s="81"/>
      <c r="J806" s="81"/>
      <c r="K806" s="60"/>
      <c r="L806" s="60"/>
      <c r="M806" s="60"/>
      <c r="N806" s="60"/>
      <c r="O806" s="60"/>
      <c r="P806" s="60"/>
      <c r="Q806" s="60"/>
      <c r="R806" s="58"/>
      <c r="S806" s="62" t="str">
        <f aca="false">IF(OR(B806="",V806=""),"",IFERROR(INDEX(C_TIPO,MATCH(V806&amp;"-P"&amp;MAX(1,COUNTIFS(C_RUTN,V806,C_DEF,"Sí",C_INI,"&lt;="&amp;EOMONTH(B806,0))),C_CLAVE,0))&amp;"","Sin contrato"))</f>
        <v/>
      </c>
      <c r="T806" s="63" t="str">
        <f aca="false">IF(OR(B806="",N(O806)=0),"",N(O806)+ROUND(MIN(N(N806),TOPE_UF*UF_MES)*(TASA_EMP+MUTUAL),0)+ROUND(MIN(N(N806),TOPE_AFC_UF*UF_MES)*IF(S806="Indefinido",AFC_INDEF,AFC_PF),0))</f>
        <v/>
      </c>
      <c r="U806" s="62" t="str">
        <f aca="false">IF(C806="","",IF(LEFT(D806,1)="⚠","⚠ RUT no registrado en Trabajadores",IF(B806="","⚠ Falta el mes",IF(OR(ISTEXT(I806),ISTEXT(J806)),"⚠ Atrasos u horas extra como texto: escriba hh:mm (ej. 1:30)",IF(AND(ISNUMBER(Q806),COUNTIFS(M_RUTN,V806,M_MES,B806,M_LIQ,"&lt;&gt;")&gt;1),"⚠ Liquidación repetida en el mes",IF(AND(ISNUMBER(O806),ISNUMBER(P806),ISNUMBER(Q806),ABS(O806-P806-Q806)&gt;1),"⚠ Haberes − descuentos no da el líquido","OK"))))))</f>
        <v/>
      </c>
      <c r="V806" s="62" t="str">
        <f aca="false">IF(C806="","",IFERROR(VALUE(LEFT(UPPER(SUBSTITUTE(SUBSTITUTE(SUBSTITUTE(TRIM(C806),".",""),"-","")," ","")),LEN(UPPER(SUBSTITUTE(SUBSTITUTE(SUBSTITUTE(TRIM(C806),".",""),"-","")," ","")))-1))&amp;RIGHT(UPPER(SUBSTITUTE(SUBSTITUTE(SUBSTITUTE(TRIM(C806),".",""),"-","")," ","")),1),UPPER(SUBSTITUTE(SUBSTITUTE(SUBSTITUTE(TRIM(C806),".",""),"-","")," ",""))))</f>
        <v/>
      </c>
    </row>
    <row r="807" customFormat="false" ht="15" hidden="false" customHeight="false" outlineLevel="0" collapsed="false">
      <c r="B807" s="80"/>
      <c r="C807" s="58"/>
      <c r="D807" s="62" t="str">
        <f aca="false">IF(C807="","",IFERROR(INDEX(T_NOMBRE,MATCH(V807,T_RUTN,0)),"⚠ RUT no está en Trabajadores"))</f>
        <v/>
      </c>
      <c r="E807" s="61"/>
      <c r="F807" s="61"/>
      <c r="G807" s="61"/>
      <c r="H807" s="61"/>
      <c r="I807" s="81"/>
      <c r="J807" s="81"/>
      <c r="K807" s="60"/>
      <c r="L807" s="60"/>
      <c r="M807" s="60"/>
      <c r="N807" s="60"/>
      <c r="O807" s="60"/>
      <c r="P807" s="60"/>
      <c r="Q807" s="60"/>
      <c r="R807" s="58"/>
      <c r="S807" s="62" t="str">
        <f aca="false">IF(OR(B807="",V807=""),"",IFERROR(INDEX(C_TIPO,MATCH(V807&amp;"-P"&amp;MAX(1,COUNTIFS(C_RUTN,V807,C_DEF,"Sí",C_INI,"&lt;="&amp;EOMONTH(B807,0))),C_CLAVE,0))&amp;"","Sin contrato"))</f>
        <v/>
      </c>
      <c r="T807" s="63" t="str">
        <f aca="false">IF(OR(B807="",N(O807)=0),"",N(O807)+ROUND(MIN(N(N807),TOPE_UF*UF_MES)*(TASA_EMP+MUTUAL),0)+ROUND(MIN(N(N807),TOPE_AFC_UF*UF_MES)*IF(S807="Indefinido",AFC_INDEF,AFC_PF),0))</f>
        <v/>
      </c>
      <c r="U807" s="62" t="str">
        <f aca="false">IF(C807="","",IF(LEFT(D807,1)="⚠","⚠ RUT no registrado en Trabajadores",IF(B807="","⚠ Falta el mes",IF(OR(ISTEXT(I807),ISTEXT(J807)),"⚠ Atrasos u horas extra como texto: escriba hh:mm (ej. 1:30)",IF(AND(ISNUMBER(Q807),COUNTIFS(M_RUTN,V807,M_MES,B807,M_LIQ,"&lt;&gt;")&gt;1),"⚠ Liquidación repetida en el mes",IF(AND(ISNUMBER(O807),ISNUMBER(P807),ISNUMBER(Q807),ABS(O807-P807-Q807)&gt;1),"⚠ Haberes − descuentos no da el líquido","OK"))))))</f>
        <v/>
      </c>
      <c r="V807" s="62" t="str">
        <f aca="false">IF(C807="","",IFERROR(VALUE(LEFT(UPPER(SUBSTITUTE(SUBSTITUTE(SUBSTITUTE(TRIM(C807),".",""),"-","")," ","")),LEN(UPPER(SUBSTITUTE(SUBSTITUTE(SUBSTITUTE(TRIM(C807),".",""),"-","")," ","")))-1))&amp;RIGHT(UPPER(SUBSTITUTE(SUBSTITUTE(SUBSTITUTE(TRIM(C807),".",""),"-","")," ","")),1),UPPER(SUBSTITUTE(SUBSTITUTE(SUBSTITUTE(TRIM(C807),".",""),"-","")," ",""))))</f>
        <v/>
      </c>
    </row>
    <row r="808" customFormat="false" ht="15" hidden="false" customHeight="false" outlineLevel="0" collapsed="false">
      <c r="B808" s="80"/>
      <c r="C808" s="58"/>
      <c r="D808" s="62" t="str">
        <f aca="false">IF(C808="","",IFERROR(INDEX(T_NOMBRE,MATCH(V808,T_RUTN,0)),"⚠ RUT no está en Trabajadores"))</f>
        <v/>
      </c>
      <c r="E808" s="61"/>
      <c r="F808" s="61"/>
      <c r="G808" s="61"/>
      <c r="H808" s="61"/>
      <c r="I808" s="81"/>
      <c r="J808" s="81"/>
      <c r="K808" s="60"/>
      <c r="L808" s="60"/>
      <c r="M808" s="60"/>
      <c r="N808" s="60"/>
      <c r="O808" s="60"/>
      <c r="P808" s="60"/>
      <c r="Q808" s="60"/>
      <c r="R808" s="58"/>
      <c r="S808" s="62" t="str">
        <f aca="false">IF(OR(B808="",V808=""),"",IFERROR(INDEX(C_TIPO,MATCH(V808&amp;"-P"&amp;MAX(1,COUNTIFS(C_RUTN,V808,C_DEF,"Sí",C_INI,"&lt;="&amp;EOMONTH(B808,0))),C_CLAVE,0))&amp;"","Sin contrato"))</f>
        <v/>
      </c>
      <c r="T808" s="63" t="str">
        <f aca="false">IF(OR(B808="",N(O808)=0),"",N(O808)+ROUND(MIN(N(N808),TOPE_UF*UF_MES)*(TASA_EMP+MUTUAL),0)+ROUND(MIN(N(N808),TOPE_AFC_UF*UF_MES)*IF(S808="Indefinido",AFC_INDEF,AFC_PF),0))</f>
        <v/>
      </c>
      <c r="U808" s="62" t="str">
        <f aca="false">IF(C808="","",IF(LEFT(D808,1)="⚠","⚠ RUT no registrado en Trabajadores",IF(B808="","⚠ Falta el mes",IF(OR(ISTEXT(I808),ISTEXT(J808)),"⚠ Atrasos u horas extra como texto: escriba hh:mm (ej. 1:30)",IF(AND(ISNUMBER(Q808),COUNTIFS(M_RUTN,V808,M_MES,B808,M_LIQ,"&lt;&gt;")&gt;1),"⚠ Liquidación repetida en el mes",IF(AND(ISNUMBER(O808),ISNUMBER(P808),ISNUMBER(Q808),ABS(O808-P808-Q808)&gt;1),"⚠ Haberes − descuentos no da el líquido","OK"))))))</f>
        <v/>
      </c>
      <c r="V808" s="62" t="str">
        <f aca="false">IF(C808="","",IFERROR(VALUE(LEFT(UPPER(SUBSTITUTE(SUBSTITUTE(SUBSTITUTE(TRIM(C808),".",""),"-","")," ","")),LEN(UPPER(SUBSTITUTE(SUBSTITUTE(SUBSTITUTE(TRIM(C808),".",""),"-","")," ","")))-1))&amp;RIGHT(UPPER(SUBSTITUTE(SUBSTITUTE(SUBSTITUTE(TRIM(C808),".",""),"-","")," ","")),1),UPPER(SUBSTITUTE(SUBSTITUTE(SUBSTITUTE(TRIM(C808),".",""),"-","")," ",""))))</f>
        <v/>
      </c>
    </row>
    <row r="809" customFormat="false" ht="15" hidden="false" customHeight="false" outlineLevel="0" collapsed="false">
      <c r="B809" s="80"/>
      <c r="C809" s="58"/>
      <c r="D809" s="62" t="str">
        <f aca="false">IF(C809="","",IFERROR(INDEX(T_NOMBRE,MATCH(V809,T_RUTN,0)),"⚠ RUT no está en Trabajadores"))</f>
        <v/>
      </c>
      <c r="E809" s="61"/>
      <c r="F809" s="61"/>
      <c r="G809" s="61"/>
      <c r="H809" s="61"/>
      <c r="I809" s="81"/>
      <c r="J809" s="81"/>
      <c r="K809" s="60"/>
      <c r="L809" s="60"/>
      <c r="M809" s="60"/>
      <c r="N809" s="60"/>
      <c r="O809" s="60"/>
      <c r="P809" s="60"/>
      <c r="Q809" s="60"/>
      <c r="R809" s="58"/>
      <c r="S809" s="62" t="str">
        <f aca="false">IF(OR(B809="",V809=""),"",IFERROR(INDEX(C_TIPO,MATCH(V809&amp;"-P"&amp;MAX(1,COUNTIFS(C_RUTN,V809,C_DEF,"Sí",C_INI,"&lt;="&amp;EOMONTH(B809,0))),C_CLAVE,0))&amp;"","Sin contrato"))</f>
        <v/>
      </c>
      <c r="T809" s="63" t="str">
        <f aca="false">IF(OR(B809="",N(O809)=0),"",N(O809)+ROUND(MIN(N(N809),TOPE_UF*UF_MES)*(TASA_EMP+MUTUAL),0)+ROUND(MIN(N(N809),TOPE_AFC_UF*UF_MES)*IF(S809="Indefinido",AFC_INDEF,AFC_PF),0))</f>
        <v/>
      </c>
      <c r="U809" s="62" t="str">
        <f aca="false">IF(C809="","",IF(LEFT(D809,1)="⚠","⚠ RUT no registrado en Trabajadores",IF(B809="","⚠ Falta el mes",IF(OR(ISTEXT(I809),ISTEXT(J809)),"⚠ Atrasos u horas extra como texto: escriba hh:mm (ej. 1:30)",IF(AND(ISNUMBER(Q809),COUNTIFS(M_RUTN,V809,M_MES,B809,M_LIQ,"&lt;&gt;")&gt;1),"⚠ Liquidación repetida en el mes",IF(AND(ISNUMBER(O809),ISNUMBER(P809),ISNUMBER(Q809),ABS(O809-P809-Q809)&gt;1),"⚠ Haberes − descuentos no da el líquido","OK"))))))</f>
        <v/>
      </c>
      <c r="V809" s="62" t="str">
        <f aca="false">IF(C809="","",IFERROR(VALUE(LEFT(UPPER(SUBSTITUTE(SUBSTITUTE(SUBSTITUTE(TRIM(C809),".",""),"-","")," ","")),LEN(UPPER(SUBSTITUTE(SUBSTITUTE(SUBSTITUTE(TRIM(C809),".",""),"-","")," ","")))-1))&amp;RIGHT(UPPER(SUBSTITUTE(SUBSTITUTE(SUBSTITUTE(TRIM(C809),".",""),"-","")," ","")),1),UPPER(SUBSTITUTE(SUBSTITUTE(SUBSTITUTE(TRIM(C809),".",""),"-","")," ",""))))</f>
        <v/>
      </c>
    </row>
    <row r="810" customFormat="false" ht="15" hidden="false" customHeight="false" outlineLevel="0" collapsed="false">
      <c r="B810" s="80"/>
      <c r="C810" s="58"/>
      <c r="D810" s="62" t="str">
        <f aca="false">IF(C810="","",IFERROR(INDEX(T_NOMBRE,MATCH(V810,T_RUTN,0)),"⚠ RUT no está en Trabajadores"))</f>
        <v/>
      </c>
      <c r="E810" s="61"/>
      <c r="F810" s="61"/>
      <c r="G810" s="61"/>
      <c r="H810" s="61"/>
      <c r="I810" s="81"/>
      <c r="J810" s="81"/>
      <c r="K810" s="60"/>
      <c r="L810" s="60"/>
      <c r="M810" s="60"/>
      <c r="N810" s="60"/>
      <c r="O810" s="60"/>
      <c r="P810" s="60"/>
      <c r="Q810" s="60"/>
      <c r="R810" s="58"/>
      <c r="S810" s="62" t="str">
        <f aca="false">IF(OR(B810="",V810=""),"",IFERROR(INDEX(C_TIPO,MATCH(V810&amp;"-P"&amp;MAX(1,COUNTIFS(C_RUTN,V810,C_DEF,"Sí",C_INI,"&lt;="&amp;EOMONTH(B810,0))),C_CLAVE,0))&amp;"","Sin contrato"))</f>
        <v/>
      </c>
      <c r="T810" s="63" t="str">
        <f aca="false">IF(OR(B810="",N(O810)=0),"",N(O810)+ROUND(MIN(N(N810),TOPE_UF*UF_MES)*(TASA_EMP+MUTUAL),0)+ROUND(MIN(N(N810),TOPE_AFC_UF*UF_MES)*IF(S810="Indefinido",AFC_INDEF,AFC_PF),0))</f>
        <v/>
      </c>
      <c r="U810" s="62" t="str">
        <f aca="false">IF(C810="","",IF(LEFT(D810,1)="⚠","⚠ RUT no registrado en Trabajadores",IF(B810="","⚠ Falta el mes",IF(OR(ISTEXT(I810),ISTEXT(J810)),"⚠ Atrasos u horas extra como texto: escriba hh:mm (ej. 1:30)",IF(AND(ISNUMBER(Q810),COUNTIFS(M_RUTN,V810,M_MES,B810,M_LIQ,"&lt;&gt;")&gt;1),"⚠ Liquidación repetida en el mes",IF(AND(ISNUMBER(O810),ISNUMBER(P810),ISNUMBER(Q810),ABS(O810-P810-Q810)&gt;1),"⚠ Haberes − descuentos no da el líquido","OK"))))))</f>
        <v/>
      </c>
      <c r="V810" s="62" t="str">
        <f aca="false">IF(C810="","",IFERROR(VALUE(LEFT(UPPER(SUBSTITUTE(SUBSTITUTE(SUBSTITUTE(TRIM(C810),".",""),"-","")," ","")),LEN(UPPER(SUBSTITUTE(SUBSTITUTE(SUBSTITUTE(TRIM(C810),".",""),"-","")," ","")))-1))&amp;RIGHT(UPPER(SUBSTITUTE(SUBSTITUTE(SUBSTITUTE(TRIM(C810),".",""),"-","")," ","")),1),UPPER(SUBSTITUTE(SUBSTITUTE(SUBSTITUTE(TRIM(C810),".",""),"-","")," ",""))))</f>
        <v/>
      </c>
    </row>
    <row r="811" customFormat="false" ht="15" hidden="false" customHeight="false" outlineLevel="0" collapsed="false">
      <c r="B811" s="80"/>
      <c r="C811" s="58"/>
      <c r="D811" s="62" t="str">
        <f aca="false">IF(C811="","",IFERROR(INDEX(T_NOMBRE,MATCH(V811,T_RUTN,0)),"⚠ RUT no está en Trabajadores"))</f>
        <v/>
      </c>
      <c r="E811" s="61"/>
      <c r="F811" s="61"/>
      <c r="G811" s="61"/>
      <c r="H811" s="61"/>
      <c r="I811" s="81"/>
      <c r="J811" s="81"/>
      <c r="K811" s="60"/>
      <c r="L811" s="60"/>
      <c r="M811" s="60"/>
      <c r="N811" s="60"/>
      <c r="O811" s="60"/>
      <c r="P811" s="60"/>
      <c r="Q811" s="60"/>
      <c r="R811" s="58"/>
      <c r="S811" s="62" t="str">
        <f aca="false">IF(OR(B811="",V811=""),"",IFERROR(INDEX(C_TIPO,MATCH(V811&amp;"-P"&amp;MAX(1,COUNTIFS(C_RUTN,V811,C_DEF,"Sí",C_INI,"&lt;="&amp;EOMONTH(B811,0))),C_CLAVE,0))&amp;"","Sin contrato"))</f>
        <v/>
      </c>
      <c r="T811" s="63" t="str">
        <f aca="false">IF(OR(B811="",N(O811)=0),"",N(O811)+ROUND(MIN(N(N811),TOPE_UF*UF_MES)*(TASA_EMP+MUTUAL),0)+ROUND(MIN(N(N811),TOPE_AFC_UF*UF_MES)*IF(S811="Indefinido",AFC_INDEF,AFC_PF),0))</f>
        <v/>
      </c>
      <c r="U811" s="62" t="str">
        <f aca="false">IF(C811="","",IF(LEFT(D811,1)="⚠","⚠ RUT no registrado en Trabajadores",IF(B811="","⚠ Falta el mes",IF(OR(ISTEXT(I811),ISTEXT(J811)),"⚠ Atrasos u horas extra como texto: escriba hh:mm (ej. 1:30)",IF(AND(ISNUMBER(Q811),COUNTIFS(M_RUTN,V811,M_MES,B811,M_LIQ,"&lt;&gt;")&gt;1),"⚠ Liquidación repetida en el mes",IF(AND(ISNUMBER(O811),ISNUMBER(P811),ISNUMBER(Q811),ABS(O811-P811-Q811)&gt;1),"⚠ Haberes − descuentos no da el líquido","OK"))))))</f>
        <v/>
      </c>
      <c r="V811" s="62" t="str">
        <f aca="false">IF(C811="","",IFERROR(VALUE(LEFT(UPPER(SUBSTITUTE(SUBSTITUTE(SUBSTITUTE(TRIM(C811),".",""),"-","")," ","")),LEN(UPPER(SUBSTITUTE(SUBSTITUTE(SUBSTITUTE(TRIM(C811),".",""),"-","")," ","")))-1))&amp;RIGHT(UPPER(SUBSTITUTE(SUBSTITUTE(SUBSTITUTE(TRIM(C811),".",""),"-","")," ","")),1),UPPER(SUBSTITUTE(SUBSTITUTE(SUBSTITUTE(TRIM(C811),".",""),"-","")," ",""))))</f>
        <v/>
      </c>
    </row>
    <row r="812" customFormat="false" ht="15" hidden="false" customHeight="false" outlineLevel="0" collapsed="false">
      <c r="B812" s="80"/>
      <c r="C812" s="58"/>
      <c r="D812" s="62" t="str">
        <f aca="false">IF(C812="","",IFERROR(INDEX(T_NOMBRE,MATCH(V812,T_RUTN,0)),"⚠ RUT no está en Trabajadores"))</f>
        <v/>
      </c>
      <c r="E812" s="61"/>
      <c r="F812" s="61"/>
      <c r="G812" s="61"/>
      <c r="H812" s="61"/>
      <c r="I812" s="81"/>
      <c r="J812" s="81"/>
      <c r="K812" s="60"/>
      <c r="L812" s="60"/>
      <c r="M812" s="60"/>
      <c r="N812" s="60"/>
      <c r="O812" s="60"/>
      <c r="P812" s="60"/>
      <c r="Q812" s="60"/>
      <c r="R812" s="58"/>
      <c r="S812" s="62" t="str">
        <f aca="false">IF(OR(B812="",V812=""),"",IFERROR(INDEX(C_TIPO,MATCH(V812&amp;"-P"&amp;MAX(1,COUNTIFS(C_RUTN,V812,C_DEF,"Sí",C_INI,"&lt;="&amp;EOMONTH(B812,0))),C_CLAVE,0))&amp;"","Sin contrato"))</f>
        <v/>
      </c>
      <c r="T812" s="63" t="str">
        <f aca="false">IF(OR(B812="",N(O812)=0),"",N(O812)+ROUND(MIN(N(N812),TOPE_UF*UF_MES)*(TASA_EMP+MUTUAL),0)+ROUND(MIN(N(N812),TOPE_AFC_UF*UF_MES)*IF(S812="Indefinido",AFC_INDEF,AFC_PF),0))</f>
        <v/>
      </c>
      <c r="U812" s="62" t="str">
        <f aca="false">IF(C812="","",IF(LEFT(D812,1)="⚠","⚠ RUT no registrado en Trabajadores",IF(B812="","⚠ Falta el mes",IF(OR(ISTEXT(I812),ISTEXT(J812)),"⚠ Atrasos u horas extra como texto: escriba hh:mm (ej. 1:30)",IF(AND(ISNUMBER(Q812),COUNTIFS(M_RUTN,V812,M_MES,B812,M_LIQ,"&lt;&gt;")&gt;1),"⚠ Liquidación repetida en el mes",IF(AND(ISNUMBER(O812),ISNUMBER(P812),ISNUMBER(Q812),ABS(O812-P812-Q812)&gt;1),"⚠ Haberes − descuentos no da el líquido","OK"))))))</f>
        <v/>
      </c>
      <c r="V812" s="62" t="str">
        <f aca="false">IF(C812="","",IFERROR(VALUE(LEFT(UPPER(SUBSTITUTE(SUBSTITUTE(SUBSTITUTE(TRIM(C812),".",""),"-","")," ","")),LEN(UPPER(SUBSTITUTE(SUBSTITUTE(SUBSTITUTE(TRIM(C812),".",""),"-","")," ","")))-1))&amp;RIGHT(UPPER(SUBSTITUTE(SUBSTITUTE(SUBSTITUTE(TRIM(C812),".",""),"-","")," ","")),1),UPPER(SUBSTITUTE(SUBSTITUTE(SUBSTITUTE(TRIM(C812),".",""),"-","")," ",""))))</f>
        <v/>
      </c>
    </row>
    <row r="813" customFormat="false" ht="15" hidden="false" customHeight="false" outlineLevel="0" collapsed="false">
      <c r="B813" s="80"/>
      <c r="C813" s="58"/>
      <c r="D813" s="62" t="str">
        <f aca="false">IF(C813="","",IFERROR(INDEX(T_NOMBRE,MATCH(V813,T_RUTN,0)),"⚠ RUT no está en Trabajadores"))</f>
        <v/>
      </c>
      <c r="E813" s="61"/>
      <c r="F813" s="61"/>
      <c r="G813" s="61"/>
      <c r="H813" s="61"/>
      <c r="I813" s="81"/>
      <c r="J813" s="81"/>
      <c r="K813" s="60"/>
      <c r="L813" s="60"/>
      <c r="M813" s="60"/>
      <c r="N813" s="60"/>
      <c r="O813" s="60"/>
      <c r="P813" s="60"/>
      <c r="Q813" s="60"/>
      <c r="R813" s="58"/>
      <c r="S813" s="62" t="str">
        <f aca="false">IF(OR(B813="",V813=""),"",IFERROR(INDEX(C_TIPO,MATCH(V813&amp;"-P"&amp;MAX(1,COUNTIFS(C_RUTN,V813,C_DEF,"Sí",C_INI,"&lt;="&amp;EOMONTH(B813,0))),C_CLAVE,0))&amp;"","Sin contrato"))</f>
        <v/>
      </c>
      <c r="T813" s="63" t="str">
        <f aca="false">IF(OR(B813="",N(O813)=0),"",N(O813)+ROUND(MIN(N(N813),TOPE_UF*UF_MES)*(TASA_EMP+MUTUAL),0)+ROUND(MIN(N(N813),TOPE_AFC_UF*UF_MES)*IF(S813="Indefinido",AFC_INDEF,AFC_PF),0))</f>
        <v/>
      </c>
      <c r="U813" s="62" t="str">
        <f aca="false">IF(C813="","",IF(LEFT(D813,1)="⚠","⚠ RUT no registrado en Trabajadores",IF(B813="","⚠ Falta el mes",IF(OR(ISTEXT(I813),ISTEXT(J813)),"⚠ Atrasos u horas extra como texto: escriba hh:mm (ej. 1:30)",IF(AND(ISNUMBER(Q813),COUNTIFS(M_RUTN,V813,M_MES,B813,M_LIQ,"&lt;&gt;")&gt;1),"⚠ Liquidación repetida en el mes",IF(AND(ISNUMBER(O813),ISNUMBER(P813),ISNUMBER(Q813),ABS(O813-P813-Q813)&gt;1),"⚠ Haberes − descuentos no da el líquido","OK"))))))</f>
        <v/>
      </c>
      <c r="V813" s="62" t="str">
        <f aca="false">IF(C813="","",IFERROR(VALUE(LEFT(UPPER(SUBSTITUTE(SUBSTITUTE(SUBSTITUTE(TRIM(C813),".",""),"-","")," ","")),LEN(UPPER(SUBSTITUTE(SUBSTITUTE(SUBSTITUTE(TRIM(C813),".",""),"-","")," ","")))-1))&amp;RIGHT(UPPER(SUBSTITUTE(SUBSTITUTE(SUBSTITUTE(TRIM(C813),".",""),"-","")," ","")),1),UPPER(SUBSTITUTE(SUBSTITUTE(SUBSTITUTE(TRIM(C813),".",""),"-","")," ",""))))</f>
        <v/>
      </c>
    </row>
    <row r="814" customFormat="false" ht="15" hidden="false" customHeight="false" outlineLevel="0" collapsed="false">
      <c r="B814" s="80"/>
      <c r="C814" s="58"/>
      <c r="D814" s="62" t="str">
        <f aca="false">IF(C814="","",IFERROR(INDEX(T_NOMBRE,MATCH(V814,T_RUTN,0)),"⚠ RUT no está en Trabajadores"))</f>
        <v/>
      </c>
      <c r="E814" s="61"/>
      <c r="F814" s="61"/>
      <c r="G814" s="61"/>
      <c r="H814" s="61"/>
      <c r="I814" s="81"/>
      <c r="J814" s="81"/>
      <c r="K814" s="60"/>
      <c r="L814" s="60"/>
      <c r="M814" s="60"/>
      <c r="N814" s="60"/>
      <c r="O814" s="60"/>
      <c r="P814" s="60"/>
      <c r="Q814" s="60"/>
      <c r="R814" s="58"/>
      <c r="S814" s="62" t="str">
        <f aca="false">IF(OR(B814="",V814=""),"",IFERROR(INDEX(C_TIPO,MATCH(V814&amp;"-P"&amp;MAX(1,COUNTIFS(C_RUTN,V814,C_DEF,"Sí",C_INI,"&lt;="&amp;EOMONTH(B814,0))),C_CLAVE,0))&amp;"","Sin contrato"))</f>
        <v/>
      </c>
      <c r="T814" s="63" t="str">
        <f aca="false">IF(OR(B814="",N(O814)=0),"",N(O814)+ROUND(MIN(N(N814),TOPE_UF*UF_MES)*(TASA_EMP+MUTUAL),0)+ROUND(MIN(N(N814),TOPE_AFC_UF*UF_MES)*IF(S814="Indefinido",AFC_INDEF,AFC_PF),0))</f>
        <v/>
      </c>
      <c r="U814" s="62" t="str">
        <f aca="false">IF(C814="","",IF(LEFT(D814,1)="⚠","⚠ RUT no registrado en Trabajadores",IF(B814="","⚠ Falta el mes",IF(OR(ISTEXT(I814),ISTEXT(J814)),"⚠ Atrasos u horas extra como texto: escriba hh:mm (ej. 1:30)",IF(AND(ISNUMBER(Q814),COUNTIFS(M_RUTN,V814,M_MES,B814,M_LIQ,"&lt;&gt;")&gt;1),"⚠ Liquidación repetida en el mes",IF(AND(ISNUMBER(O814),ISNUMBER(P814),ISNUMBER(Q814),ABS(O814-P814-Q814)&gt;1),"⚠ Haberes − descuentos no da el líquido","OK"))))))</f>
        <v/>
      </c>
      <c r="V814" s="62" t="str">
        <f aca="false">IF(C814="","",IFERROR(VALUE(LEFT(UPPER(SUBSTITUTE(SUBSTITUTE(SUBSTITUTE(TRIM(C814),".",""),"-","")," ","")),LEN(UPPER(SUBSTITUTE(SUBSTITUTE(SUBSTITUTE(TRIM(C814),".",""),"-","")," ","")))-1))&amp;RIGHT(UPPER(SUBSTITUTE(SUBSTITUTE(SUBSTITUTE(TRIM(C814),".",""),"-","")," ","")),1),UPPER(SUBSTITUTE(SUBSTITUTE(SUBSTITUTE(TRIM(C814),".",""),"-","")," ",""))))</f>
        <v/>
      </c>
    </row>
    <row r="815" customFormat="false" ht="15" hidden="false" customHeight="false" outlineLevel="0" collapsed="false">
      <c r="B815" s="80"/>
      <c r="C815" s="58"/>
      <c r="D815" s="62" t="str">
        <f aca="false">IF(C815="","",IFERROR(INDEX(T_NOMBRE,MATCH(V815,T_RUTN,0)),"⚠ RUT no está en Trabajadores"))</f>
        <v/>
      </c>
      <c r="E815" s="61"/>
      <c r="F815" s="61"/>
      <c r="G815" s="61"/>
      <c r="H815" s="61"/>
      <c r="I815" s="81"/>
      <c r="J815" s="81"/>
      <c r="K815" s="60"/>
      <c r="L815" s="60"/>
      <c r="M815" s="60"/>
      <c r="N815" s="60"/>
      <c r="O815" s="60"/>
      <c r="P815" s="60"/>
      <c r="Q815" s="60"/>
      <c r="R815" s="58"/>
      <c r="S815" s="62" t="str">
        <f aca="false">IF(OR(B815="",V815=""),"",IFERROR(INDEX(C_TIPO,MATCH(V815&amp;"-P"&amp;MAX(1,COUNTIFS(C_RUTN,V815,C_DEF,"Sí",C_INI,"&lt;="&amp;EOMONTH(B815,0))),C_CLAVE,0))&amp;"","Sin contrato"))</f>
        <v/>
      </c>
      <c r="T815" s="63" t="str">
        <f aca="false">IF(OR(B815="",N(O815)=0),"",N(O815)+ROUND(MIN(N(N815),TOPE_UF*UF_MES)*(TASA_EMP+MUTUAL),0)+ROUND(MIN(N(N815),TOPE_AFC_UF*UF_MES)*IF(S815="Indefinido",AFC_INDEF,AFC_PF),0))</f>
        <v/>
      </c>
      <c r="U815" s="62" t="str">
        <f aca="false">IF(C815="","",IF(LEFT(D815,1)="⚠","⚠ RUT no registrado en Trabajadores",IF(B815="","⚠ Falta el mes",IF(OR(ISTEXT(I815),ISTEXT(J815)),"⚠ Atrasos u horas extra como texto: escriba hh:mm (ej. 1:30)",IF(AND(ISNUMBER(Q815),COUNTIFS(M_RUTN,V815,M_MES,B815,M_LIQ,"&lt;&gt;")&gt;1),"⚠ Liquidación repetida en el mes",IF(AND(ISNUMBER(O815),ISNUMBER(P815),ISNUMBER(Q815),ABS(O815-P815-Q815)&gt;1),"⚠ Haberes − descuentos no da el líquido","OK"))))))</f>
        <v/>
      </c>
      <c r="V815" s="62" t="str">
        <f aca="false">IF(C815="","",IFERROR(VALUE(LEFT(UPPER(SUBSTITUTE(SUBSTITUTE(SUBSTITUTE(TRIM(C815),".",""),"-","")," ","")),LEN(UPPER(SUBSTITUTE(SUBSTITUTE(SUBSTITUTE(TRIM(C815),".",""),"-","")," ","")))-1))&amp;RIGHT(UPPER(SUBSTITUTE(SUBSTITUTE(SUBSTITUTE(TRIM(C815),".",""),"-","")," ","")),1),UPPER(SUBSTITUTE(SUBSTITUTE(SUBSTITUTE(TRIM(C815),".",""),"-","")," ",""))))</f>
        <v/>
      </c>
    </row>
    <row r="816" customFormat="false" ht="15" hidden="false" customHeight="false" outlineLevel="0" collapsed="false">
      <c r="B816" s="80"/>
      <c r="C816" s="58"/>
      <c r="D816" s="62" t="str">
        <f aca="false">IF(C816="","",IFERROR(INDEX(T_NOMBRE,MATCH(V816,T_RUTN,0)),"⚠ RUT no está en Trabajadores"))</f>
        <v/>
      </c>
      <c r="E816" s="61"/>
      <c r="F816" s="61"/>
      <c r="G816" s="61"/>
      <c r="H816" s="61"/>
      <c r="I816" s="81"/>
      <c r="J816" s="81"/>
      <c r="K816" s="60"/>
      <c r="L816" s="60"/>
      <c r="M816" s="60"/>
      <c r="N816" s="60"/>
      <c r="O816" s="60"/>
      <c r="P816" s="60"/>
      <c r="Q816" s="60"/>
      <c r="R816" s="58"/>
      <c r="S816" s="62" t="str">
        <f aca="false">IF(OR(B816="",V816=""),"",IFERROR(INDEX(C_TIPO,MATCH(V816&amp;"-P"&amp;MAX(1,COUNTIFS(C_RUTN,V816,C_DEF,"Sí",C_INI,"&lt;="&amp;EOMONTH(B816,0))),C_CLAVE,0))&amp;"","Sin contrato"))</f>
        <v/>
      </c>
      <c r="T816" s="63" t="str">
        <f aca="false">IF(OR(B816="",N(O816)=0),"",N(O816)+ROUND(MIN(N(N816),TOPE_UF*UF_MES)*(TASA_EMP+MUTUAL),0)+ROUND(MIN(N(N816),TOPE_AFC_UF*UF_MES)*IF(S816="Indefinido",AFC_INDEF,AFC_PF),0))</f>
        <v/>
      </c>
      <c r="U816" s="62" t="str">
        <f aca="false">IF(C816="","",IF(LEFT(D816,1)="⚠","⚠ RUT no registrado en Trabajadores",IF(B816="","⚠ Falta el mes",IF(OR(ISTEXT(I816),ISTEXT(J816)),"⚠ Atrasos u horas extra como texto: escriba hh:mm (ej. 1:30)",IF(AND(ISNUMBER(Q816),COUNTIFS(M_RUTN,V816,M_MES,B816,M_LIQ,"&lt;&gt;")&gt;1),"⚠ Liquidación repetida en el mes",IF(AND(ISNUMBER(O816),ISNUMBER(P816),ISNUMBER(Q816),ABS(O816-P816-Q816)&gt;1),"⚠ Haberes − descuentos no da el líquido","OK"))))))</f>
        <v/>
      </c>
      <c r="V816" s="62" t="str">
        <f aca="false">IF(C816="","",IFERROR(VALUE(LEFT(UPPER(SUBSTITUTE(SUBSTITUTE(SUBSTITUTE(TRIM(C816),".",""),"-","")," ","")),LEN(UPPER(SUBSTITUTE(SUBSTITUTE(SUBSTITUTE(TRIM(C816),".",""),"-","")," ","")))-1))&amp;RIGHT(UPPER(SUBSTITUTE(SUBSTITUTE(SUBSTITUTE(TRIM(C816),".",""),"-","")," ","")),1),UPPER(SUBSTITUTE(SUBSTITUTE(SUBSTITUTE(TRIM(C816),".",""),"-","")," ",""))))</f>
        <v/>
      </c>
    </row>
    <row r="817" customFormat="false" ht="15" hidden="false" customHeight="false" outlineLevel="0" collapsed="false">
      <c r="B817" s="80"/>
      <c r="C817" s="58"/>
      <c r="D817" s="62" t="str">
        <f aca="false">IF(C817="","",IFERROR(INDEX(T_NOMBRE,MATCH(V817,T_RUTN,0)),"⚠ RUT no está en Trabajadores"))</f>
        <v/>
      </c>
      <c r="E817" s="61"/>
      <c r="F817" s="61"/>
      <c r="G817" s="61"/>
      <c r="H817" s="61"/>
      <c r="I817" s="81"/>
      <c r="J817" s="81"/>
      <c r="K817" s="60"/>
      <c r="L817" s="60"/>
      <c r="M817" s="60"/>
      <c r="N817" s="60"/>
      <c r="O817" s="60"/>
      <c r="P817" s="60"/>
      <c r="Q817" s="60"/>
      <c r="R817" s="58"/>
      <c r="S817" s="62" t="str">
        <f aca="false">IF(OR(B817="",V817=""),"",IFERROR(INDEX(C_TIPO,MATCH(V817&amp;"-P"&amp;MAX(1,COUNTIFS(C_RUTN,V817,C_DEF,"Sí",C_INI,"&lt;="&amp;EOMONTH(B817,0))),C_CLAVE,0))&amp;"","Sin contrato"))</f>
        <v/>
      </c>
      <c r="T817" s="63" t="str">
        <f aca="false">IF(OR(B817="",N(O817)=0),"",N(O817)+ROUND(MIN(N(N817),TOPE_UF*UF_MES)*(TASA_EMP+MUTUAL),0)+ROUND(MIN(N(N817),TOPE_AFC_UF*UF_MES)*IF(S817="Indefinido",AFC_INDEF,AFC_PF),0))</f>
        <v/>
      </c>
      <c r="U817" s="62" t="str">
        <f aca="false">IF(C817="","",IF(LEFT(D817,1)="⚠","⚠ RUT no registrado en Trabajadores",IF(B817="","⚠ Falta el mes",IF(OR(ISTEXT(I817),ISTEXT(J817)),"⚠ Atrasos u horas extra como texto: escriba hh:mm (ej. 1:30)",IF(AND(ISNUMBER(Q817),COUNTIFS(M_RUTN,V817,M_MES,B817,M_LIQ,"&lt;&gt;")&gt;1),"⚠ Liquidación repetida en el mes",IF(AND(ISNUMBER(O817),ISNUMBER(P817),ISNUMBER(Q817),ABS(O817-P817-Q817)&gt;1),"⚠ Haberes − descuentos no da el líquido","OK"))))))</f>
        <v/>
      </c>
      <c r="V817" s="62" t="str">
        <f aca="false">IF(C817="","",IFERROR(VALUE(LEFT(UPPER(SUBSTITUTE(SUBSTITUTE(SUBSTITUTE(TRIM(C817),".",""),"-","")," ","")),LEN(UPPER(SUBSTITUTE(SUBSTITUTE(SUBSTITUTE(TRIM(C817),".",""),"-","")," ","")))-1))&amp;RIGHT(UPPER(SUBSTITUTE(SUBSTITUTE(SUBSTITUTE(TRIM(C817),".",""),"-","")," ","")),1),UPPER(SUBSTITUTE(SUBSTITUTE(SUBSTITUTE(TRIM(C817),".",""),"-","")," ",""))))</f>
        <v/>
      </c>
    </row>
    <row r="818" customFormat="false" ht="15" hidden="false" customHeight="false" outlineLevel="0" collapsed="false">
      <c r="B818" s="80"/>
      <c r="C818" s="58"/>
      <c r="D818" s="62" t="str">
        <f aca="false">IF(C818="","",IFERROR(INDEX(T_NOMBRE,MATCH(V818,T_RUTN,0)),"⚠ RUT no está en Trabajadores"))</f>
        <v/>
      </c>
      <c r="E818" s="61"/>
      <c r="F818" s="61"/>
      <c r="G818" s="61"/>
      <c r="H818" s="61"/>
      <c r="I818" s="81"/>
      <c r="J818" s="81"/>
      <c r="K818" s="60"/>
      <c r="L818" s="60"/>
      <c r="M818" s="60"/>
      <c r="N818" s="60"/>
      <c r="O818" s="60"/>
      <c r="P818" s="60"/>
      <c r="Q818" s="60"/>
      <c r="R818" s="58"/>
      <c r="S818" s="62" t="str">
        <f aca="false">IF(OR(B818="",V818=""),"",IFERROR(INDEX(C_TIPO,MATCH(V818&amp;"-P"&amp;MAX(1,COUNTIFS(C_RUTN,V818,C_DEF,"Sí",C_INI,"&lt;="&amp;EOMONTH(B818,0))),C_CLAVE,0))&amp;"","Sin contrato"))</f>
        <v/>
      </c>
      <c r="T818" s="63" t="str">
        <f aca="false">IF(OR(B818="",N(O818)=0),"",N(O818)+ROUND(MIN(N(N818),TOPE_UF*UF_MES)*(TASA_EMP+MUTUAL),0)+ROUND(MIN(N(N818),TOPE_AFC_UF*UF_MES)*IF(S818="Indefinido",AFC_INDEF,AFC_PF),0))</f>
        <v/>
      </c>
      <c r="U818" s="62" t="str">
        <f aca="false">IF(C818="","",IF(LEFT(D818,1)="⚠","⚠ RUT no registrado en Trabajadores",IF(B818="","⚠ Falta el mes",IF(OR(ISTEXT(I818),ISTEXT(J818)),"⚠ Atrasos u horas extra como texto: escriba hh:mm (ej. 1:30)",IF(AND(ISNUMBER(Q818),COUNTIFS(M_RUTN,V818,M_MES,B818,M_LIQ,"&lt;&gt;")&gt;1),"⚠ Liquidación repetida en el mes",IF(AND(ISNUMBER(O818),ISNUMBER(P818),ISNUMBER(Q818),ABS(O818-P818-Q818)&gt;1),"⚠ Haberes − descuentos no da el líquido","OK"))))))</f>
        <v/>
      </c>
      <c r="V818" s="62" t="str">
        <f aca="false">IF(C818="","",IFERROR(VALUE(LEFT(UPPER(SUBSTITUTE(SUBSTITUTE(SUBSTITUTE(TRIM(C818),".",""),"-","")," ","")),LEN(UPPER(SUBSTITUTE(SUBSTITUTE(SUBSTITUTE(TRIM(C818),".",""),"-","")," ","")))-1))&amp;RIGHT(UPPER(SUBSTITUTE(SUBSTITUTE(SUBSTITUTE(TRIM(C818),".",""),"-","")," ","")),1),UPPER(SUBSTITUTE(SUBSTITUTE(SUBSTITUTE(TRIM(C818),".",""),"-","")," ",""))))</f>
        <v/>
      </c>
    </row>
    <row r="819" customFormat="false" ht="15" hidden="false" customHeight="false" outlineLevel="0" collapsed="false">
      <c r="B819" s="80"/>
      <c r="C819" s="58"/>
      <c r="D819" s="62" t="str">
        <f aca="false">IF(C819="","",IFERROR(INDEX(T_NOMBRE,MATCH(V819,T_RUTN,0)),"⚠ RUT no está en Trabajadores"))</f>
        <v/>
      </c>
      <c r="E819" s="61"/>
      <c r="F819" s="61"/>
      <c r="G819" s="61"/>
      <c r="H819" s="61"/>
      <c r="I819" s="81"/>
      <c r="J819" s="81"/>
      <c r="K819" s="60"/>
      <c r="L819" s="60"/>
      <c r="M819" s="60"/>
      <c r="N819" s="60"/>
      <c r="O819" s="60"/>
      <c r="P819" s="60"/>
      <c r="Q819" s="60"/>
      <c r="R819" s="58"/>
      <c r="S819" s="62" t="str">
        <f aca="false">IF(OR(B819="",V819=""),"",IFERROR(INDEX(C_TIPO,MATCH(V819&amp;"-P"&amp;MAX(1,COUNTIFS(C_RUTN,V819,C_DEF,"Sí",C_INI,"&lt;="&amp;EOMONTH(B819,0))),C_CLAVE,0))&amp;"","Sin contrato"))</f>
        <v/>
      </c>
      <c r="T819" s="63" t="str">
        <f aca="false">IF(OR(B819="",N(O819)=0),"",N(O819)+ROUND(MIN(N(N819),TOPE_UF*UF_MES)*(TASA_EMP+MUTUAL),0)+ROUND(MIN(N(N819),TOPE_AFC_UF*UF_MES)*IF(S819="Indefinido",AFC_INDEF,AFC_PF),0))</f>
        <v/>
      </c>
      <c r="U819" s="62" t="str">
        <f aca="false">IF(C819="","",IF(LEFT(D819,1)="⚠","⚠ RUT no registrado en Trabajadores",IF(B819="","⚠ Falta el mes",IF(OR(ISTEXT(I819),ISTEXT(J819)),"⚠ Atrasos u horas extra como texto: escriba hh:mm (ej. 1:30)",IF(AND(ISNUMBER(Q819),COUNTIFS(M_RUTN,V819,M_MES,B819,M_LIQ,"&lt;&gt;")&gt;1),"⚠ Liquidación repetida en el mes",IF(AND(ISNUMBER(O819),ISNUMBER(P819),ISNUMBER(Q819),ABS(O819-P819-Q819)&gt;1),"⚠ Haberes − descuentos no da el líquido","OK"))))))</f>
        <v/>
      </c>
      <c r="V819" s="62" t="str">
        <f aca="false">IF(C819="","",IFERROR(VALUE(LEFT(UPPER(SUBSTITUTE(SUBSTITUTE(SUBSTITUTE(TRIM(C819),".",""),"-","")," ","")),LEN(UPPER(SUBSTITUTE(SUBSTITUTE(SUBSTITUTE(TRIM(C819),".",""),"-","")," ","")))-1))&amp;RIGHT(UPPER(SUBSTITUTE(SUBSTITUTE(SUBSTITUTE(TRIM(C819),".",""),"-","")," ","")),1),UPPER(SUBSTITUTE(SUBSTITUTE(SUBSTITUTE(TRIM(C819),".",""),"-","")," ",""))))</f>
        <v/>
      </c>
    </row>
    <row r="820" customFormat="false" ht="15" hidden="false" customHeight="false" outlineLevel="0" collapsed="false">
      <c r="B820" s="80"/>
      <c r="C820" s="58"/>
      <c r="D820" s="62" t="str">
        <f aca="false">IF(C820="","",IFERROR(INDEX(T_NOMBRE,MATCH(V820,T_RUTN,0)),"⚠ RUT no está en Trabajadores"))</f>
        <v/>
      </c>
      <c r="E820" s="61"/>
      <c r="F820" s="61"/>
      <c r="G820" s="61"/>
      <c r="H820" s="61"/>
      <c r="I820" s="81"/>
      <c r="J820" s="81"/>
      <c r="K820" s="60"/>
      <c r="L820" s="60"/>
      <c r="M820" s="60"/>
      <c r="N820" s="60"/>
      <c r="O820" s="60"/>
      <c r="P820" s="60"/>
      <c r="Q820" s="60"/>
      <c r="R820" s="58"/>
      <c r="S820" s="62" t="str">
        <f aca="false">IF(OR(B820="",V820=""),"",IFERROR(INDEX(C_TIPO,MATCH(V820&amp;"-P"&amp;MAX(1,COUNTIFS(C_RUTN,V820,C_DEF,"Sí",C_INI,"&lt;="&amp;EOMONTH(B820,0))),C_CLAVE,0))&amp;"","Sin contrato"))</f>
        <v/>
      </c>
      <c r="T820" s="63" t="str">
        <f aca="false">IF(OR(B820="",N(O820)=0),"",N(O820)+ROUND(MIN(N(N820),TOPE_UF*UF_MES)*(TASA_EMP+MUTUAL),0)+ROUND(MIN(N(N820),TOPE_AFC_UF*UF_MES)*IF(S820="Indefinido",AFC_INDEF,AFC_PF),0))</f>
        <v/>
      </c>
      <c r="U820" s="62" t="str">
        <f aca="false">IF(C820="","",IF(LEFT(D820,1)="⚠","⚠ RUT no registrado en Trabajadores",IF(B820="","⚠ Falta el mes",IF(OR(ISTEXT(I820),ISTEXT(J820)),"⚠ Atrasos u horas extra como texto: escriba hh:mm (ej. 1:30)",IF(AND(ISNUMBER(Q820),COUNTIFS(M_RUTN,V820,M_MES,B820,M_LIQ,"&lt;&gt;")&gt;1),"⚠ Liquidación repetida en el mes",IF(AND(ISNUMBER(O820),ISNUMBER(P820),ISNUMBER(Q820),ABS(O820-P820-Q820)&gt;1),"⚠ Haberes − descuentos no da el líquido","OK"))))))</f>
        <v/>
      </c>
      <c r="V820" s="62" t="str">
        <f aca="false">IF(C820="","",IFERROR(VALUE(LEFT(UPPER(SUBSTITUTE(SUBSTITUTE(SUBSTITUTE(TRIM(C820),".",""),"-","")," ","")),LEN(UPPER(SUBSTITUTE(SUBSTITUTE(SUBSTITUTE(TRIM(C820),".",""),"-","")," ","")))-1))&amp;RIGHT(UPPER(SUBSTITUTE(SUBSTITUTE(SUBSTITUTE(TRIM(C820),".",""),"-","")," ","")),1),UPPER(SUBSTITUTE(SUBSTITUTE(SUBSTITUTE(TRIM(C820),".",""),"-","")," ",""))))</f>
        <v/>
      </c>
    </row>
    <row r="821" customFormat="false" ht="15" hidden="false" customHeight="false" outlineLevel="0" collapsed="false">
      <c r="B821" s="80"/>
      <c r="C821" s="58"/>
      <c r="D821" s="62" t="str">
        <f aca="false">IF(C821="","",IFERROR(INDEX(T_NOMBRE,MATCH(V821,T_RUTN,0)),"⚠ RUT no está en Trabajadores"))</f>
        <v/>
      </c>
      <c r="E821" s="61"/>
      <c r="F821" s="61"/>
      <c r="G821" s="61"/>
      <c r="H821" s="61"/>
      <c r="I821" s="81"/>
      <c r="J821" s="81"/>
      <c r="K821" s="60"/>
      <c r="L821" s="60"/>
      <c r="M821" s="60"/>
      <c r="N821" s="60"/>
      <c r="O821" s="60"/>
      <c r="P821" s="60"/>
      <c r="Q821" s="60"/>
      <c r="R821" s="58"/>
      <c r="S821" s="62" t="str">
        <f aca="false">IF(OR(B821="",V821=""),"",IFERROR(INDEX(C_TIPO,MATCH(V821&amp;"-P"&amp;MAX(1,COUNTIFS(C_RUTN,V821,C_DEF,"Sí",C_INI,"&lt;="&amp;EOMONTH(B821,0))),C_CLAVE,0))&amp;"","Sin contrato"))</f>
        <v/>
      </c>
      <c r="T821" s="63" t="str">
        <f aca="false">IF(OR(B821="",N(O821)=0),"",N(O821)+ROUND(MIN(N(N821),TOPE_UF*UF_MES)*(TASA_EMP+MUTUAL),0)+ROUND(MIN(N(N821),TOPE_AFC_UF*UF_MES)*IF(S821="Indefinido",AFC_INDEF,AFC_PF),0))</f>
        <v/>
      </c>
      <c r="U821" s="62" t="str">
        <f aca="false">IF(C821="","",IF(LEFT(D821,1)="⚠","⚠ RUT no registrado en Trabajadores",IF(B821="","⚠ Falta el mes",IF(OR(ISTEXT(I821),ISTEXT(J821)),"⚠ Atrasos u horas extra como texto: escriba hh:mm (ej. 1:30)",IF(AND(ISNUMBER(Q821),COUNTIFS(M_RUTN,V821,M_MES,B821,M_LIQ,"&lt;&gt;")&gt;1),"⚠ Liquidación repetida en el mes",IF(AND(ISNUMBER(O821),ISNUMBER(P821),ISNUMBER(Q821),ABS(O821-P821-Q821)&gt;1),"⚠ Haberes − descuentos no da el líquido","OK"))))))</f>
        <v/>
      </c>
      <c r="V821" s="62" t="str">
        <f aca="false">IF(C821="","",IFERROR(VALUE(LEFT(UPPER(SUBSTITUTE(SUBSTITUTE(SUBSTITUTE(TRIM(C821),".",""),"-","")," ","")),LEN(UPPER(SUBSTITUTE(SUBSTITUTE(SUBSTITUTE(TRIM(C821),".",""),"-","")," ","")))-1))&amp;RIGHT(UPPER(SUBSTITUTE(SUBSTITUTE(SUBSTITUTE(TRIM(C821),".",""),"-","")," ","")),1),UPPER(SUBSTITUTE(SUBSTITUTE(SUBSTITUTE(TRIM(C821),".",""),"-","")," ",""))))</f>
        <v/>
      </c>
    </row>
    <row r="822" customFormat="false" ht="15" hidden="false" customHeight="false" outlineLevel="0" collapsed="false">
      <c r="B822" s="80"/>
      <c r="C822" s="58"/>
      <c r="D822" s="62" t="str">
        <f aca="false">IF(C822="","",IFERROR(INDEX(T_NOMBRE,MATCH(V822,T_RUTN,0)),"⚠ RUT no está en Trabajadores"))</f>
        <v/>
      </c>
      <c r="E822" s="61"/>
      <c r="F822" s="61"/>
      <c r="G822" s="61"/>
      <c r="H822" s="61"/>
      <c r="I822" s="81"/>
      <c r="J822" s="81"/>
      <c r="K822" s="60"/>
      <c r="L822" s="60"/>
      <c r="M822" s="60"/>
      <c r="N822" s="60"/>
      <c r="O822" s="60"/>
      <c r="P822" s="60"/>
      <c r="Q822" s="60"/>
      <c r="R822" s="58"/>
      <c r="S822" s="62" t="str">
        <f aca="false">IF(OR(B822="",V822=""),"",IFERROR(INDEX(C_TIPO,MATCH(V822&amp;"-P"&amp;MAX(1,COUNTIFS(C_RUTN,V822,C_DEF,"Sí",C_INI,"&lt;="&amp;EOMONTH(B822,0))),C_CLAVE,0))&amp;"","Sin contrato"))</f>
        <v/>
      </c>
      <c r="T822" s="63" t="str">
        <f aca="false">IF(OR(B822="",N(O822)=0),"",N(O822)+ROUND(MIN(N(N822),TOPE_UF*UF_MES)*(TASA_EMP+MUTUAL),0)+ROUND(MIN(N(N822),TOPE_AFC_UF*UF_MES)*IF(S822="Indefinido",AFC_INDEF,AFC_PF),0))</f>
        <v/>
      </c>
      <c r="U822" s="62" t="str">
        <f aca="false">IF(C822="","",IF(LEFT(D822,1)="⚠","⚠ RUT no registrado en Trabajadores",IF(B822="","⚠ Falta el mes",IF(OR(ISTEXT(I822),ISTEXT(J822)),"⚠ Atrasos u horas extra como texto: escriba hh:mm (ej. 1:30)",IF(AND(ISNUMBER(Q822),COUNTIFS(M_RUTN,V822,M_MES,B822,M_LIQ,"&lt;&gt;")&gt;1),"⚠ Liquidación repetida en el mes",IF(AND(ISNUMBER(O822),ISNUMBER(P822),ISNUMBER(Q822),ABS(O822-P822-Q822)&gt;1),"⚠ Haberes − descuentos no da el líquido","OK"))))))</f>
        <v/>
      </c>
      <c r="V822" s="62" t="str">
        <f aca="false">IF(C822="","",IFERROR(VALUE(LEFT(UPPER(SUBSTITUTE(SUBSTITUTE(SUBSTITUTE(TRIM(C822),".",""),"-","")," ","")),LEN(UPPER(SUBSTITUTE(SUBSTITUTE(SUBSTITUTE(TRIM(C822),".",""),"-","")," ","")))-1))&amp;RIGHT(UPPER(SUBSTITUTE(SUBSTITUTE(SUBSTITUTE(TRIM(C822),".",""),"-","")," ","")),1),UPPER(SUBSTITUTE(SUBSTITUTE(SUBSTITUTE(TRIM(C822),".",""),"-","")," ",""))))</f>
        <v/>
      </c>
    </row>
    <row r="823" customFormat="false" ht="15" hidden="false" customHeight="false" outlineLevel="0" collapsed="false">
      <c r="B823" s="80"/>
      <c r="C823" s="58"/>
      <c r="D823" s="62" t="str">
        <f aca="false">IF(C823="","",IFERROR(INDEX(T_NOMBRE,MATCH(V823,T_RUTN,0)),"⚠ RUT no está en Trabajadores"))</f>
        <v/>
      </c>
      <c r="E823" s="61"/>
      <c r="F823" s="61"/>
      <c r="G823" s="61"/>
      <c r="H823" s="61"/>
      <c r="I823" s="81"/>
      <c r="J823" s="81"/>
      <c r="K823" s="60"/>
      <c r="L823" s="60"/>
      <c r="M823" s="60"/>
      <c r="N823" s="60"/>
      <c r="O823" s="60"/>
      <c r="P823" s="60"/>
      <c r="Q823" s="60"/>
      <c r="R823" s="58"/>
      <c r="S823" s="62" t="str">
        <f aca="false">IF(OR(B823="",V823=""),"",IFERROR(INDEX(C_TIPO,MATCH(V823&amp;"-P"&amp;MAX(1,COUNTIFS(C_RUTN,V823,C_DEF,"Sí",C_INI,"&lt;="&amp;EOMONTH(B823,0))),C_CLAVE,0))&amp;"","Sin contrato"))</f>
        <v/>
      </c>
      <c r="T823" s="63" t="str">
        <f aca="false">IF(OR(B823="",N(O823)=0),"",N(O823)+ROUND(MIN(N(N823),TOPE_UF*UF_MES)*(TASA_EMP+MUTUAL),0)+ROUND(MIN(N(N823),TOPE_AFC_UF*UF_MES)*IF(S823="Indefinido",AFC_INDEF,AFC_PF),0))</f>
        <v/>
      </c>
      <c r="U823" s="62" t="str">
        <f aca="false">IF(C823="","",IF(LEFT(D823,1)="⚠","⚠ RUT no registrado en Trabajadores",IF(B823="","⚠ Falta el mes",IF(OR(ISTEXT(I823),ISTEXT(J823)),"⚠ Atrasos u horas extra como texto: escriba hh:mm (ej. 1:30)",IF(AND(ISNUMBER(Q823),COUNTIFS(M_RUTN,V823,M_MES,B823,M_LIQ,"&lt;&gt;")&gt;1),"⚠ Liquidación repetida en el mes",IF(AND(ISNUMBER(O823),ISNUMBER(P823),ISNUMBER(Q823),ABS(O823-P823-Q823)&gt;1),"⚠ Haberes − descuentos no da el líquido","OK"))))))</f>
        <v/>
      </c>
      <c r="V823" s="62" t="str">
        <f aca="false">IF(C823="","",IFERROR(VALUE(LEFT(UPPER(SUBSTITUTE(SUBSTITUTE(SUBSTITUTE(TRIM(C823),".",""),"-","")," ","")),LEN(UPPER(SUBSTITUTE(SUBSTITUTE(SUBSTITUTE(TRIM(C823),".",""),"-","")," ","")))-1))&amp;RIGHT(UPPER(SUBSTITUTE(SUBSTITUTE(SUBSTITUTE(TRIM(C823),".",""),"-","")," ","")),1),UPPER(SUBSTITUTE(SUBSTITUTE(SUBSTITUTE(TRIM(C823),".",""),"-","")," ",""))))</f>
        <v/>
      </c>
    </row>
    <row r="824" customFormat="false" ht="15" hidden="false" customHeight="false" outlineLevel="0" collapsed="false">
      <c r="B824" s="80"/>
      <c r="C824" s="58"/>
      <c r="D824" s="62" t="str">
        <f aca="false">IF(C824="","",IFERROR(INDEX(T_NOMBRE,MATCH(V824,T_RUTN,0)),"⚠ RUT no está en Trabajadores"))</f>
        <v/>
      </c>
      <c r="E824" s="61"/>
      <c r="F824" s="61"/>
      <c r="G824" s="61"/>
      <c r="H824" s="61"/>
      <c r="I824" s="81"/>
      <c r="J824" s="81"/>
      <c r="K824" s="60"/>
      <c r="L824" s="60"/>
      <c r="M824" s="60"/>
      <c r="N824" s="60"/>
      <c r="O824" s="60"/>
      <c r="P824" s="60"/>
      <c r="Q824" s="60"/>
      <c r="R824" s="58"/>
      <c r="S824" s="62" t="str">
        <f aca="false">IF(OR(B824="",V824=""),"",IFERROR(INDEX(C_TIPO,MATCH(V824&amp;"-P"&amp;MAX(1,COUNTIFS(C_RUTN,V824,C_DEF,"Sí",C_INI,"&lt;="&amp;EOMONTH(B824,0))),C_CLAVE,0))&amp;"","Sin contrato"))</f>
        <v/>
      </c>
      <c r="T824" s="63" t="str">
        <f aca="false">IF(OR(B824="",N(O824)=0),"",N(O824)+ROUND(MIN(N(N824),TOPE_UF*UF_MES)*(TASA_EMP+MUTUAL),0)+ROUND(MIN(N(N824),TOPE_AFC_UF*UF_MES)*IF(S824="Indefinido",AFC_INDEF,AFC_PF),0))</f>
        <v/>
      </c>
      <c r="U824" s="62" t="str">
        <f aca="false">IF(C824="","",IF(LEFT(D824,1)="⚠","⚠ RUT no registrado en Trabajadores",IF(B824="","⚠ Falta el mes",IF(OR(ISTEXT(I824),ISTEXT(J824)),"⚠ Atrasos u horas extra como texto: escriba hh:mm (ej. 1:30)",IF(AND(ISNUMBER(Q824),COUNTIFS(M_RUTN,V824,M_MES,B824,M_LIQ,"&lt;&gt;")&gt;1),"⚠ Liquidación repetida en el mes",IF(AND(ISNUMBER(O824),ISNUMBER(P824),ISNUMBER(Q824),ABS(O824-P824-Q824)&gt;1),"⚠ Haberes − descuentos no da el líquido","OK"))))))</f>
        <v/>
      </c>
      <c r="V824" s="62" t="str">
        <f aca="false">IF(C824="","",IFERROR(VALUE(LEFT(UPPER(SUBSTITUTE(SUBSTITUTE(SUBSTITUTE(TRIM(C824),".",""),"-","")," ","")),LEN(UPPER(SUBSTITUTE(SUBSTITUTE(SUBSTITUTE(TRIM(C824),".",""),"-","")," ","")))-1))&amp;RIGHT(UPPER(SUBSTITUTE(SUBSTITUTE(SUBSTITUTE(TRIM(C824),".",""),"-","")," ","")),1),UPPER(SUBSTITUTE(SUBSTITUTE(SUBSTITUTE(TRIM(C824),".",""),"-","")," ",""))))</f>
        <v/>
      </c>
    </row>
    <row r="825" customFormat="false" ht="15" hidden="false" customHeight="false" outlineLevel="0" collapsed="false">
      <c r="B825" s="80"/>
      <c r="C825" s="58"/>
      <c r="D825" s="62" t="str">
        <f aca="false">IF(C825="","",IFERROR(INDEX(T_NOMBRE,MATCH(V825,T_RUTN,0)),"⚠ RUT no está en Trabajadores"))</f>
        <v/>
      </c>
      <c r="E825" s="61"/>
      <c r="F825" s="61"/>
      <c r="G825" s="61"/>
      <c r="H825" s="61"/>
      <c r="I825" s="81"/>
      <c r="J825" s="81"/>
      <c r="K825" s="60"/>
      <c r="L825" s="60"/>
      <c r="M825" s="60"/>
      <c r="N825" s="60"/>
      <c r="O825" s="60"/>
      <c r="P825" s="60"/>
      <c r="Q825" s="60"/>
      <c r="R825" s="58"/>
      <c r="S825" s="62" t="str">
        <f aca="false">IF(OR(B825="",V825=""),"",IFERROR(INDEX(C_TIPO,MATCH(V825&amp;"-P"&amp;MAX(1,COUNTIFS(C_RUTN,V825,C_DEF,"Sí",C_INI,"&lt;="&amp;EOMONTH(B825,0))),C_CLAVE,0))&amp;"","Sin contrato"))</f>
        <v/>
      </c>
      <c r="T825" s="63" t="str">
        <f aca="false">IF(OR(B825="",N(O825)=0),"",N(O825)+ROUND(MIN(N(N825),TOPE_UF*UF_MES)*(TASA_EMP+MUTUAL),0)+ROUND(MIN(N(N825),TOPE_AFC_UF*UF_MES)*IF(S825="Indefinido",AFC_INDEF,AFC_PF),0))</f>
        <v/>
      </c>
      <c r="U825" s="62" t="str">
        <f aca="false">IF(C825="","",IF(LEFT(D825,1)="⚠","⚠ RUT no registrado en Trabajadores",IF(B825="","⚠ Falta el mes",IF(OR(ISTEXT(I825),ISTEXT(J825)),"⚠ Atrasos u horas extra como texto: escriba hh:mm (ej. 1:30)",IF(AND(ISNUMBER(Q825),COUNTIFS(M_RUTN,V825,M_MES,B825,M_LIQ,"&lt;&gt;")&gt;1),"⚠ Liquidación repetida en el mes",IF(AND(ISNUMBER(O825),ISNUMBER(P825),ISNUMBER(Q825),ABS(O825-P825-Q825)&gt;1),"⚠ Haberes − descuentos no da el líquido","OK"))))))</f>
        <v/>
      </c>
      <c r="V825" s="62" t="str">
        <f aca="false">IF(C825="","",IFERROR(VALUE(LEFT(UPPER(SUBSTITUTE(SUBSTITUTE(SUBSTITUTE(TRIM(C825),".",""),"-","")," ","")),LEN(UPPER(SUBSTITUTE(SUBSTITUTE(SUBSTITUTE(TRIM(C825),".",""),"-","")," ","")))-1))&amp;RIGHT(UPPER(SUBSTITUTE(SUBSTITUTE(SUBSTITUTE(TRIM(C825),".",""),"-","")," ","")),1),UPPER(SUBSTITUTE(SUBSTITUTE(SUBSTITUTE(TRIM(C825),".",""),"-","")," ",""))))</f>
        <v/>
      </c>
    </row>
    <row r="826" customFormat="false" ht="15" hidden="false" customHeight="false" outlineLevel="0" collapsed="false">
      <c r="B826" s="80"/>
      <c r="C826" s="58"/>
      <c r="D826" s="62" t="str">
        <f aca="false">IF(C826="","",IFERROR(INDEX(T_NOMBRE,MATCH(V826,T_RUTN,0)),"⚠ RUT no está en Trabajadores"))</f>
        <v/>
      </c>
      <c r="E826" s="61"/>
      <c r="F826" s="61"/>
      <c r="G826" s="61"/>
      <c r="H826" s="61"/>
      <c r="I826" s="81"/>
      <c r="J826" s="81"/>
      <c r="K826" s="60"/>
      <c r="L826" s="60"/>
      <c r="M826" s="60"/>
      <c r="N826" s="60"/>
      <c r="O826" s="60"/>
      <c r="P826" s="60"/>
      <c r="Q826" s="60"/>
      <c r="R826" s="58"/>
      <c r="S826" s="62" t="str">
        <f aca="false">IF(OR(B826="",V826=""),"",IFERROR(INDEX(C_TIPO,MATCH(V826&amp;"-P"&amp;MAX(1,COUNTIFS(C_RUTN,V826,C_DEF,"Sí",C_INI,"&lt;="&amp;EOMONTH(B826,0))),C_CLAVE,0))&amp;"","Sin contrato"))</f>
        <v/>
      </c>
      <c r="T826" s="63" t="str">
        <f aca="false">IF(OR(B826="",N(O826)=0),"",N(O826)+ROUND(MIN(N(N826),TOPE_UF*UF_MES)*(TASA_EMP+MUTUAL),0)+ROUND(MIN(N(N826),TOPE_AFC_UF*UF_MES)*IF(S826="Indefinido",AFC_INDEF,AFC_PF),0))</f>
        <v/>
      </c>
      <c r="U826" s="62" t="str">
        <f aca="false">IF(C826="","",IF(LEFT(D826,1)="⚠","⚠ RUT no registrado en Trabajadores",IF(B826="","⚠ Falta el mes",IF(OR(ISTEXT(I826),ISTEXT(J826)),"⚠ Atrasos u horas extra como texto: escriba hh:mm (ej. 1:30)",IF(AND(ISNUMBER(Q826),COUNTIFS(M_RUTN,V826,M_MES,B826,M_LIQ,"&lt;&gt;")&gt;1),"⚠ Liquidación repetida en el mes",IF(AND(ISNUMBER(O826),ISNUMBER(P826),ISNUMBER(Q826),ABS(O826-P826-Q826)&gt;1),"⚠ Haberes − descuentos no da el líquido","OK"))))))</f>
        <v/>
      </c>
      <c r="V826" s="62" t="str">
        <f aca="false">IF(C826="","",IFERROR(VALUE(LEFT(UPPER(SUBSTITUTE(SUBSTITUTE(SUBSTITUTE(TRIM(C826),".",""),"-","")," ","")),LEN(UPPER(SUBSTITUTE(SUBSTITUTE(SUBSTITUTE(TRIM(C826),".",""),"-","")," ","")))-1))&amp;RIGHT(UPPER(SUBSTITUTE(SUBSTITUTE(SUBSTITUTE(TRIM(C826),".",""),"-","")," ","")),1),UPPER(SUBSTITUTE(SUBSTITUTE(SUBSTITUTE(TRIM(C826),".",""),"-","")," ",""))))</f>
        <v/>
      </c>
    </row>
    <row r="827" customFormat="false" ht="15" hidden="false" customHeight="false" outlineLevel="0" collapsed="false">
      <c r="B827" s="80"/>
      <c r="C827" s="58"/>
      <c r="D827" s="62" t="str">
        <f aca="false">IF(C827="","",IFERROR(INDEX(T_NOMBRE,MATCH(V827,T_RUTN,0)),"⚠ RUT no está en Trabajadores"))</f>
        <v/>
      </c>
      <c r="E827" s="61"/>
      <c r="F827" s="61"/>
      <c r="G827" s="61"/>
      <c r="H827" s="61"/>
      <c r="I827" s="81"/>
      <c r="J827" s="81"/>
      <c r="K827" s="60"/>
      <c r="L827" s="60"/>
      <c r="M827" s="60"/>
      <c r="N827" s="60"/>
      <c r="O827" s="60"/>
      <c r="P827" s="60"/>
      <c r="Q827" s="60"/>
      <c r="R827" s="58"/>
      <c r="S827" s="62" t="str">
        <f aca="false">IF(OR(B827="",V827=""),"",IFERROR(INDEX(C_TIPO,MATCH(V827&amp;"-P"&amp;MAX(1,COUNTIFS(C_RUTN,V827,C_DEF,"Sí",C_INI,"&lt;="&amp;EOMONTH(B827,0))),C_CLAVE,0))&amp;"","Sin contrato"))</f>
        <v/>
      </c>
      <c r="T827" s="63" t="str">
        <f aca="false">IF(OR(B827="",N(O827)=0),"",N(O827)+ROUND(MIN(N(N827),TOPE_UF*UF_MES)*(TASA_EMP+MUTUAL),0)+ROUND(MIN(N(N827),TOPE_AFC_UF*UF_MES)*IF(S827="Indefinido",AFC_INDEF,AFC_PF),0))</f>
        <v/>
      </c>
      <c r="U827" s="62" t="str">
        <f aca="false">IF(C827="","",IF(LEFT(D827,1)="⚠","⚠ RUT no registrado en Trabajadores",IF(B827="","⚠ Falta el mes",IF(OR(ISTEXT(I827),ISTEXT(J827)),"⚠ Atrasos u horas extra como texto: escriba hh:mm (ej. 1:30)",IF(AND(ISNUMBER(Q827),COUNTIFS(M_RUTN,V827,M_MES,B827,M_LIQ,"&lt;&gt;")&gt;1),"⚠ Liquidación repetida en el mes",IF(AND(ISNUMBER(O827),ISNUMBER(P827),ISNUMBER(Q827),ABS(O827-P827-Q827)&gt;1),"⚠ Haberes − descuentos no da el líquido","OK"))))))</f>
        <v/>
      </c>
      <c r="V827" s="62" t="str">
        <f aca="false">IF(C827="","",IFERROR(VALUE(LEFT(UPPER(SUBSTITUTE(SUBSTITUTE(SUBSTITUTE(TRIM(C827),".",""),"-","")," ","")),LEN(UPPER(SUBSTITUTE(SUBSTITUTE(SUBSTITUTE(TRIM(C827),".",""),"-","")," ","")))-1))&amp;RIGHT(UPPER(SUBSTITUTE(SUBSTITUTE(SUBSTITUTE(TRIM(C827),".",""),"-","")," ","")),1),UPPER(SUBSTITUTE(SUBSTITUTE(SUBSTITUTE(TRIM(C827),".",""),"-","")," ",""))))</f>
        <v/>
      </c>
    </row>
    <row r="828" customFormat="false" ht="15" hidden="false" customHeight="false" outlineLevel="0" collapsed="false">
      <c r="B828" s="80"/>
      <c r="C828" s="58"/>
      <c r="D828" s="62" t="str">
        <f aca="false">IF(C828="","",IFERROR(INDEX(T_NOMBRE,MATCH(V828,T_RUTN,0)),"⚠ RUT no está en Trabajadores"))</f>
        <v/>
      </c>
      <c r="E828" s="61"/>
      <c r="F828" s="61"/>
      <c r="G828" s="61"/>
      <c r="H828" s="61"/>
      <c r="I828" s="81"/>
      <c r="J828" s="81"/>
      <c r="K828" s="60"/>
      <c r="L828" s="60"/>
      <c r="M828" s="60"/>
      <c r="N828" s="60"/>
      <c r="O828" s="60"/>
      <c r="P828" s="60"/>
      <c r="Q828" s="60"/>
      <c r="R828" s="58"/>
      <c r="S828" s="62" t="str">
        <f aca="false">IF(OR(B828="",V828=""),"",IFERROR(INDEX(C_TIPO,MATCH(V828&amp;"-P"&amp;MAX(1,COUNTIFS(C_RUTN,V828,C_DEF,"Sí",C_INI,"&lt;="&amp;EOMONTH(B828,0))),C_CLAVE,0))&amp;"","Sin contrato"))</f>
        <v/>
      </c>
      <c r="T828" s="63" t="str">
        <f aca="false">IF(OR(B828="",N(O828)=0),"",N(O828)+ROUND(MIN(N(N828),TOPE_UF*UF_MES)*(TASA_EMP+MUTUAL),0)+ROUND(MIN(N(N828),TOPE_AFC_UF*UF_MES)*IF(S828="Indefinido",AFC_INDEF,AFC_PF),0))</f>
        <v/>
      </c>
      <c r="U828" s="62" t="str">
        <f aca="false">IF(C828="","",IF(LEFT(D828,1)="⚠","⚠ RUT no registrado en Trabajadores",IF(B828="","⚠ Falta el mes",IF(OR(ISTEXT(I828),ISTEXT(J828)),"⚠ Atrasos u horas extra como texto: escriba hh:mm (ej. 1:30)",IF(AND(ISNUMBER(Q828),COUNTIFS(M_RUTN,V828,M_MES,B828,M_LIQ,"&lt;&gt;")&gt;1),"⚠ Liquidación repetida en el mes",IF(AND(ISNUMBER(O828),ISNUMBER(P828),ISNUMBER(Q828),ABS(O828-P828-Q828)&gt;1),"⚠ Haberes − descuentos no da el líquido","OK"))))))</f>
        <v/>
      </c>
      <c r="V828" s="62" t="str">
        <f aca="false">IF(C828="","",IFERROR(VALUE(LEFT(UPPER(SUBSTITUTE(SUBSTITUTE(SUBSTITUTE(TRIM(C828),".",""),"-","")," ","")),LEN(UPPER(SUBSTITUTE(SUBSTITUTE(SUBSTITUTE(TRIM(C828),".",""),"-","")," ","")))-1))&amp;RIGHT(UPPER(SUBSTITUTE(SUBSTITUTE(SUBSTITUTE(TRIM(C828),".",""),"-","")," ","")),1),UPPER(SUBSTITUTE(SUBSTITUTE(SUBSTITUTE(TRIM(C828),".",""),"-","")," ",""))))</f>
        <v/>
      </c>
    </row>
    <row r="829" customFormat="false" ht="15" hidden="false" customHeight="false" outlineLevel="0" collapsed="false">
      <c r="B829" s="80"/>
      <c r="C829" s="58"/>
      <c r="D829" s="62" t="str">
        <f aca="false">IF(C829="","",IFERROR(INDEX(T_NOMBRE,MATCH(V829,T_RUTN,0)),"⚠ RUT no está en Trabajadores"))</f>
        <v/>
      </c>
      <c r="E829" s="61"/>
      <c r="F829" s="61"/>
      <c r="G829" s="61"/>
      <c r="H829" s="61"/>
      <c r="I829" s="81"/>
      <c r="J829" s="81"/>
      <c r="K829" s="60"/>
      <c r="L829" s="60"/>
      <c r="M829" s="60"/>
      <c r="N829" s="60"/>
      <c r="O829" s="60"/>
      <c r="P829" s="60"/>
      <c r="Q829" s="60"/>
      <c r="R829" s="58"/>
      <c r="S829" s="62" t="str">
        <f aca="false">IF(OR(B829="",V829=""),"",IFERROR(INDEX(C_TIPO,MATCH(V829&amp;"-P"&amp;MAX(1,COUNTIFS(C_RUTN,V829,C_DEF,"Sí",C_INI,"&lt;="&amp;EOMONTH(B829,0))),C_CLAVE,0))&amp;"","Sin contrato"))</f>
        <v/>
      </c>
      <c r="T829" s="63" t="str">
        <f aca="false">IF(OR(B829="",N(O829)=0),"",N(O829)+ROUND(MIN(N(N829),TOPE_UF*UF_MES)*(TASA_EMP+MUTUAL),0)+ROUND(MIN(N(N829),TOPE_AFC_UF*UF_MES)*IF(S829="Indefinido",AFC_INDEF,AFC_PF),0))</f>
        <v/>
      </c>
      <c r="U829" s="62" t="str">
        <f aca="false">IF(C829="","",IF(LEFT(D829,1)="⚠","⚠ RUT no registrado en Trabajadores",IF(B829="","⚠ Falta el mes",IF(OR(ISTEXT(I829),ISTEXT(J829)),"⚠ Atrasos u horas extra como texto: escriba hh:mm (ej. 1:30)",IF(AND(ISNUMBER(Q829),COUNTIFS(M_RUTN,V829,M_MES,B829,M_LIQ,"&lt;&gt;")&gt;1),"⚠ Liquidación repetida en el mes",IF(AND(ISNUMBER(O829),ISNUMBER(P829),ISNUMBER(Q829),ABS(O829-P829-Q829)&gt;1),"⚠ Haberes − descuentos no da el líquido","OK"))))))</f>
        <v/>
      </c>
      <c r="V829" s="62" t="str">
        <f aca="false">IF(C829="","",IFERROR(VALUE(LEFT(UPPER(SUBSTITUTE(SUBSTITUTE(SUBSTITUTE(TRIM(C829),".",""),"-","")," ","")),LEN(UPPER(SUBSTITUTE(SUBSTITUTE(SUBSTITUTE(TRIM(C829),".",""),"-","")," ","")))-1))&amp;RIGHT(UPPER(SUBSTITUTE(SUBSTITUTE(SUBSTITUTE(TRIM(C829),".",""),"-","")," ","")),1),UPPER(SUBSTITUTE(SUBSTITUTE(SUBSTITUTE(TRIM(C829),".",""),"-","")," ",""))))</f>
        <v/>
      </c>
    </row>
    <row r="830" customFormat="false" ht="15" hidden="false" customHeight="false" outlineLevel="0" collapsed="false">
      <c r="B830" s="80"/>
      <c r="C830" s="58"/>
      <c r="D830" s="62" t="str">
        <f aca="false">IF(C830="","",IFERROR(INDEX(T_NOMBRE,MATCH(V830,T_RUTN,0)),"⚠ RUT no está en Trabajadores"))</f>
        <v/>
      </c>
      <c r="E830" s="61"/>
      <c r="F830" s="61"/>
      <c r="G830" s="61"/>
      <c r="H830" s="61"/>
      <c r="I830" s="81"/>
      <c r="J830" s="81"/>
      <c r="K830" s="60"/>
      <c r="L830" s="60"/>
      <c r="M830" s="60"/>
      <c r="N830" s="60"/>
      <c r="O830" s="60"/>
      <c r="P830" s="60"/>
      <c r="Q830" s="60"/>
      <c r="R830" s="58"/>
      <c r="S830" s="62" t="str">
        <f aca="false">IF(OR(B830="",V830=""),"",IFERROR(INDEX(C_TIPO,MATCH(V830&amp;"-P"&amp;MAX(1,COUNTIFS(C_RUTN,V830,C_DEF,"Sí",C_INI,"&lt;="&amp;EOMONTH(B830,0))),C_CLAVE,0))&amp;"","Sin contrato"))</f>
        <v/>
      </c>
      <c r="T830" s="63" t="str">
        <f aca="false">IF(OR(B830="",N(O830)=0),"",N(O830)+ROUND(MIN(N(N830),TOPE_UF*UF_MES)*(TASA_EMP+MUTUAL),0)+ROUND(MIN(N(N830),TOPE_AFC_UF*UF_MES)*IF(S830="Indefinido",AFC_INDEF,AFC_PF),0))</f>
        <v/>
      </c>
      <c r="U830" s="62" t="str">
        <f aca="false">IF(C830="","",IF(LEFT(D830,1)="⚠","⚠ RUT no registrado en Trabajadores",IF(B830="","⚠ Falta el mes",IF(OR(ISTEXT(I830),ISTEXT(J830)),"⚠ Atrasos u horas extra como texto: escriba hh:mm (ej. 1:30)",IF(AND(ISNUMBER(Q830),COUNTIFS(M_RUTN,V830,M_MES,B830,M_LIQ,"&lt;&gt;")&gt;1),"⚠ Liquidación repetida en el mes",IF(AND(ISNUMBER(O830),ISNUMBER(P830),ISNUMBER(Q830),ABS(O830-P830-Q830)&gt;1),"⚠ Haberes − descuentos no da el líquido","OK"))))))</f>
        <v/>
      </c>
      <c r="V830" s="62" t="str">
        <f aca="false">IF(C830="","",IFERROR(VALUE(LEFT(UPPER(SUBSTITUTE(SUBSTITUTE(SUBSTITUTE(TRIM(C830),".",""),"-","")," ","")),LEN(UPPER(SUBSTITUTE(SUBSTITUTE(SUBSTITUTE(TRIM(C830),".",""),"-","")," ","")))-1))&amp;RIGHT(UPPER(SUBSTITUTE(SUBSTITUTE(SUBSTITUTE(TRIM(C830),".",""),"-","")," ","")),1),UPPER(SUBSTITUTE(SUBSTITUTE(SUBSTITUTE(TRIM(C830),".",""),"-","")," ",""))))</f>
        <v/>
      </c>
    </row>
    <row r="831" customFormat="false" ht="15" hidden="false" customHeight="false" outlineLevel="0" collapsed="false">
      <c r="B831" s="80"/>
      <c r="C831" s="58"/>
      <c r="D831" s="62" t="str">
        <f aca="false">IF(C831="","",IFERROR(INDEX(T_NOMBRE,MATCH(V831,T_RUTN,0)),"⚠ RUT no está en Trabajadores"))</f>
        <v/>
      </c>
      <c r="E831" s="61"/>
      <c r="F831" s="61"/>
      <c r="G831" s="61"/>
      <c r="H831" s="61"/>
      <c r="I831" s="81"/>
      <c r="J831" s="81"/>
      <c r="K831" s="60"/>
      <c r="L831" s="60"/>
      <c r="M831" s="60"/>
      <c r="N831" s="60"/>
      <c r="O831" s="60"/>
      <c r="P831" s="60"/>
      <c r="Q831" s="60"/>
      <c r="R831" s="58"/>
      <c r="S831" s="62" t="str">
        <f aca="false">IF(OR(B831="",V831=""),"",IFERROR(INDEX(C_TIPO,MATCH(V831&amp;"-P"&amp;MAX(1,COUNTIFS(C_RUTN,V831,C_DEF,"Sí",C_INI,"&lt;="&amp;EOMONTH(B831,0))),C_CLAVE,0))&amp;"","Sin contrato"))</f>
        <v/>
      </c>
      <c r="T831" s="63" t="str">
        <f aca="false">IF(OR(B831="",N(O831)=0),"",N(O831)+ROUND(MIN(N(N831),TOPE_UF*UF_MES)*(TASA_EMP+MUTUAL),0)+ROUND(MIN(N(N831),TOPE_AFC_UF*UF_MES)*IF(S831="Indefinido",AFC_INDEF,AFC_PF),0))</f>
        <v/>
      </c>
      <c r="U831" s="62" t="str">
        <f aca="false">IF(C831="","",IF(LEFT(D831,1)="⚠","⚠ RUT no registrado en Trabajadores",IF(B831="","⚠ Falta el mes",IF(OR(ISTEXT(I831),ISTEXT(J831)),"⚠ Atrasos u horas extra como texto: escriba hh:mm (ej. 1:30)",IF(AND(ISNUMBER(Q831),COUNTIFS(M_RUTN,V831,M_MES,B831,M_LIQ,"&lt;&gt;")&gt;1),"⚠ Liquidación repetida en el mes",IF(AND(ISNUMBER(O831),ISNUMBER(P831),ISNUMBER(Q831),ABS(O831-P831-Q831)&gt;1),"⚠ Haberes − descuentos no da el líquido","OK"))))))</f>
        <v/>
      </c>
      <c r="V831" s="62" t="str">
        <f aca="false">IF(C831="","",IFERROR(VALUE(LEFT(UPPER(SUBSTITUTE(SUBSTITUTE(SUBSTITUTE(TRIM(C831),".",""),"-","")," ","")),LEN(UPPER(SUBSTITUTE(SUBSTITUTE(SUBSTITUTE(TRIM(C831),".",""),"-","")," ","")))-1))&amp;RIGHT(UPPER(SUBSTITUTE(SUBSTITUTE(SUBSTITUTE(TRIM(C831),".",""),"-","")," ","")),1),UPPER(SUBSTITUTE(SUBSTITUTE(SUBSTITUTE(TRIM(C831),".",""),"-","")," ",""))))</f>
        <v/>
      </c>
    </row>
    <row r="832" customFormat="false" ht="15" hidden="false" customHeight="false" outlineLevel="0" collapsed="false">
      <c r="B832" s="80"/>
      <c r="C832" s="58"/>
      <c r="D832" s="62" t="str">
        <f aca="false">IF(C832="","",IFERROR(INDEX(T_NOMBRE,MATCH(V832,T_RUTN,0)),"⚠ RUT no está en Trabajadores"))</f>
        <v/>
      </c>
      <c r="E832" s="61"/>
      <c r="F832" s="61"/>
      <c r="G832" s="61"/>
      <c r="H832" s="61"/>
      <c r="I832" s="81"/>
      <c r="J832" s="81"/>
      <c r="K832" s="60"/>
      <c r="L832" s="60"/>
      <c r="M832" s="60"/>
      <c r="N832" s="60"/>
      <c r="O832" s="60"/>
      <c r="P832" s="60"/>
      <c r="Q832" s="60"/>
      <c r="R832" s="58"/>
      <c r="S832" s="62" t="str">
        <f aca="false">IF(OR(B832="",V832=""),"",IFERROR(INDEX(C_TIPO,MATCH(V832&amp;"-P"&amp;MAX(1,COUNTIFS(C_RUTN,V832,C_DEF,"Sí",C_INI,"&lt;="&amp;EOMONTH(B832,0))),C_CLAVE,0))&amp;"","Sin contrato"))</f>
        <v/>
      </c>
      <c r="T832" s="63" t="str">
        <f aca="false">IF(OR(B832="",N(O832)=0),"",N(O832)+ROUND(MIN(N(N832),TOPE_UF*UF_MES)*(TASA_EMP+MUTUAL),0)+ROUND(MIN(N(N832),TOPE_AFC_UF*UF_MES)*IF(S832="Indefinido",AFC_INDEF,AFC_PF),0))</f>
        <v/>
      </c>
      <c r="U832" s="62" t="str">
        <f aca="false">IF(C832="","",IF(LEFT(D832,1)="⚠","⚠ RUT no registrado en Trabajadores",IF(B832="","⚠ Falta el mes",IF(OR(ISTEXT(I832),ISTEXT(J832)),"⚠ Atrasos u horas extra como texto: escriba hh:mm (ej. 1:30)",IF(AND(ISNUMBER(Q832),COUNTIFS(M_RUTN,V832,M_MES,B832,M_LIQ,"&lt;&gt;")&gt;1),"⚠ Liquidación repetida en el mes",IF(AND(ISNUMBER(O832),ISNUMBER(P832),ISNUMBER(Q832),ABS(O832-P832-Q832)&gt;1),"⚠ Haberes − descuentos no da el líquido","OK"))))))</f>
        <v/>
      </c>
      <c r="V832" s="62" t="str">
        <f aca="false">IF(C832="","",IFERROR(VALUE(LEFT(UPPER(SUBSTITUTE(SUBSTITUTE(SUBSTITUTE(TRIM(C832),".",""),"-","")," ","")),LEN(UPPER(SUBSTITUTE(SUBSTITUTE(SUBSTITUTE(TRIM(C832),".",""),"-","")," ","")))-1))&amp;RIGHT(UPPER(SUBSTITUTE(SUBSTITUTE(SUBSTITUTE(TRIM(C832),".",""),"-","")," ","")),1),UPPER(SUBSTITUTE(SUBSTITUTE(SUBSTITUTE(TRIM(C832),".",""),"-","")," ",""))))</f>
        <v/>
      </c>
    </row>
    <row r="833" customFormat="false" ht="15" hidden="false" customHeight="false" outlineLevel="0" collapsed="false">
      <c r="B833" s="80"/>
      <c r="C833" s="58"/>
      <c r="D833" s="62" t="str">
        <f aca="false">IF(C833="","",IFERROR(INDEX(T_NOMBRE,MATCH(V833,T_RUTN,0)),"⚠ RUT no está en Trabajadores"))</f>
        <v/>
      </c>
      <c r="E833" s="61"/>
      <c r="F833" s="61"/>
      <c r="G833" s="61"/>
      <c r="H833" s="61"/>
      <c r="I833" s="81"/>
      <c r="J833" s="81"/>
      <c r="K833" s="60"/>
      <c r="L833" s="60"/>
      <c r="M833" s="60"/>
      <c r="N833" s="60"/>
      <c r="O833" s="60"/>
      <c r="P833" s="60"/>
      <c r="Q833" s="60"/>
      <c r="R833" s="58"/>
      <c r="S833" s="62" t="str">
        <f aca="false">IF(OR(B833="",V833=""),"",IFERROR(INDEX(C_TIPO,MATCH(V833&amp;"-P"&amp;MAX(1,COUNTIFS(C_RUTN,V833,C_DEF,"Sí",C_INI,"&lt;="&amp;EOMONTH(B833,0))),C_CLAVE,0))&amp;"","Sin contrato"))</f>
        <v/>
      </c>
      <c r="T833" s="63" t="str">
        <f aca="false">IF(OR(B833="",N(O833)=0),"",N(O833)+ROUND(MIN(N(N833),TOPE_UF*UF_MES)*(TASA_EMP+MUTUAL),0)+ROUND(MIN(N(N833),TOPE_AFC_UF*UF_MES)*IF(S833="Indefinido",AFC_INDEF,AFC_PF),0))</f>
        <v/>
      </c>
      <c r="U833" s="62" t="str">
        <f aca="false">IF(C833="","",IF(LEFT(D833,1)="⚠","⚠ RUT no registrado en Trabajadores",IF(B833="","⚠ Falta el mes",IF(OR(ISTEXT(I833),ISTEXT(J833)),"⚠ Atrasos u horas extra como texto: escriba hh:mm (ej. 1:30)",IF(AND(ISNUMBER(Q833),COUNTIFS(M_RUTN,V833,M_MES,B833,M_LIQ,"&lt;&gt;")&gt;1),"⚠ Liquidación repetida en el mes",IF(AND(ISNUMBER(O833),ISNUMBER(P833),ISNUMBER(Q833),ABS(O833-P833-Q833)&gt;1),"⚠ Haberes − descuentos no da el líquido","OK"))))))</f>
        <v/>
      </c>
      <c r="V833" s="62" t="str">
        <f aca="false">IF(C833="","",IFERROR(VALUE(LEFT(UPPER(SUBSTITUTE(SUBSTITUTE(SUBSTITUTE(TRIM(C833),".",""),"-","")," ","")),LEN(UPPER(SUBSTITUTE(SUBSTITUTE(SUBSTITUTE(TRIM(C833),".",""),"-","")," ","")))-1))&amp;RIGHT(UPPER(SUBSTITUTE(SUBSTITUTE(SUBSTITUTE(TRIM(C833),".",""),"-","")," ","")),1),UPPER(SUBSTITUTE(SUBSTITUTE(SUBSTITUTE(TRIM(C833),".",""),"-","")," ",""))))</f>
        <v/>
      </c>
    </row>
    <row r="834" customFormat="false" ht="15" hidden="false" customHeight="false" outlineLevel="0" collapsed="false">
      <c r="B834" s="80"/>
      <c r="C834" s="58"/>
      <c r="D834" s="62" t="str">
        <f aca="false">IF(C834="","",IFERROR(INDEX(T_NOMBRE,MATCH(V834,T_RUTN,0)),"⚠ RUT no está en Trabajadores"))</f>
        <v/>
      </c>
      <c r="E834" s="61"/>
      <c r="F834" s="61"/>
      <c r="G834" s="61"/>
      <c r="H834" s="61"/>
      <c r="I834" s="81"/>
      <c r="J834" s="81"/>
      <c r="K834" s="60"/>
      <c r="L834" s="60"/>
      <c r="M834" s="60"/>
      <c r="N834" s="60"/>
      <c r="O834" s="60"/>
      <c r="P834" s="60"/>
      <c r="Q834" s="60"/>
      <c r="R834" s="58"/>
      <c r="S834" s="62" t="str">
        <f aca="false">IF(OR(B834="",V834=""),"",IFERROR(INDEX(C_TIPO,MATCH(V834&amp;"-P"&amp;MAX(1,COUNTIFS(C_RUTN,V834,C_DEF,"Sí",C_INI,"&lt;="&amp;EOMONTH(B834,0))),C_CLAVE,0))&amp;"","Sin contrato"))</f>
        <v/>
      </c>
      <c r="T834" s="63" t="str">
        <f aca="false">IF(OR(B834="",N(O834)=0),"",N(O834)+ROUND(MIN(N(N834),TOPE_UF*UF_MES)*(TASA_EMP+MUTUAL),0)+ROUND(MIN(N(N834),TOPE_AFC_UF*UF_MES)*IF(S834="Indefinido",AFC_INDEF,AFC_PF),0))</f>
        <v/>
      </c>
      <c r="U834" s="62" t="str">
        <f aca="false">IF(C834="","",IF(LEFT(D834,1)="⚠","⚠ RUT no registrado en Trabajadores",IF(B834="","⚠ Falta el mes",IF(OR(ISTEXT(I834),ISTEXT(J834)),"⚠ Atrasos u horas extra como texto: escriba hh:mm (ej. 1:30)",IF(AND(ISNUMBER(Q834),COUNTIFS(M_RUTN,V834,M_MES,B834,M_LIQ,"&lt;&gt;")&gt;1),"⚠ Liquidación repetida en el mes",IF(AND(ISNUMBER(O834),ISNUMBER(P834),ISNUMBER(Q834),ABS(O834-P834-Q834)&gt;1),"⚠ Haberes − descuentos no da el líquido","OK"))))))</f>
        <v/>
      </c>
      <c r="V834" s="62" t="str">
        <f aca="false">IF(C834="","",IFERROR(VALUE(LEFT(UPPER(SUBSTITUTE(SUBSTITUTE(SUBSTITUTE(TRIM(C834),".",""),"-","")," ","")),LEN(UPPER(SUBSTITUTE(SUBSTITUTE(SUBSTITUTE(TRIM(C834),".",""),"-","")," ","")))-1))&amp;RIGHT(UPPER(SUBSTITUTE(SUBSTITUTE(SUBSTITUTE(TRIM(C834),".",""),"-","")," ","")),1),UPPER(SUBSTITUTE(SUBSTITUTE(SUBSTITUTE(TRIM(C834),".",""),"-","")," ",""))))</f>
        <v/>
      </c>
    </row>
    <row r="835" customFormat="false" ht="15" hidden="false" customHeight="false" outlineLevel="0" collapsed="false">
      <c r="B835" s="80"/>
      <c r="C835" s="58"/>
      <c r="D835" s="62" t="str">
        <f aca="false">IF(C835="","",IFERROR(INDEX(T_NOMBRE,MATCH(V835,T_RUTN,0)),"⚠ RUT no está en Trabajadores"))</f>
        <v/>
      </c>
      <c r="E835" s="61"/>
      <c r="F835" s="61"/>
      <c r="G835" s="61"/>
      <c r="H835" s="61"/>
      <c r="I835" s="81"/>
      <c r="J835" s="81"/>
      <c r="K835" s="60"/>
      <c r="L835" s="60"/>
      <c r="M835" s="60"/>
      <c r="N835" s="60"/>
      <c r="O835" s="60"/>
      <c r="P835" s="60"/>
      <c r="Q835" s="60"/>
      <c r="R835" s="58"/>
      <c r="S835" s="62" t="str">
        <f aca="false">IF(OR(B835="",V835=""),"",IFERROR(INDEX(C_TIPO,MATCH(V835&amp;"-P"&amp;MAX(1,COUNTIFS(C_RUTN,V835,C_DEF,"Sí",C_INI,"&lt;="&amp;EOMONTH(B835,0))),C_CLAVE,0))&amp;"","Sin contrato"))</f>
        <v/>
      </c>
      <c r="T835" s="63" t="str">
        <f aca="false">IF(OR(B835="",N(O835)=0),"",N(O835)+ROUND(MIN(N(N835),TOPE_UF*UF_MES)*(TASA_EMP+MUTUAL),0)+ROUND(MIN(N(N835),TOPE_AFC_UF*UF_MES)*IF(S835="Indefinido",AFC_INDEF,AFC_PF),0))</f>
        <v/>
      </c>
      <c r="U835" s="62" t="str">
        <f aca="false">IF(C835="","",IF(LEFT(D835,1)="⚠","⚠ RUT no registrado en Trabajadores",IF(B835="","⚠ Falta el mes",IF(OR(ISTEXT(I835),ISTEXT(J835)),"⚠ Atrasos u horas extra como texto: escriba hh:mm (ej. 1:30)",IF(AND(ISNUMBER(Q835),COUNTIFS(M_RUTN,V835,M_MES,B835,M_LIQ,"&lt;&gt;")&gt;1),"⚠ Liquidación repetida en el mes",IF(AND(ISNUMBER(O835),ISNUMBER(P835),ISNUMBER(Q835),ABS(O835-P835-Q835)&gt;1),"⚠ Haberes − descuentos no da el líquido","OK"))))))</f>
        <v/>
      </c>
      <c r="V835" s="62" t="str">
        <f aca="false">IF(C835="","",IFERROR(VALUE(LEFT(UPPER(SUBSTITUTE(SUBSTITUTE(SUBSTITUTE(TRIM(C835),".",""),"-","")," ","")),LEN(UPPER(SUBSTITUTE(SUBSTITUTE(SUBSTITUTE(TRIM(C835),".",""),"-","")," ","")))-1))&amp;RIGHT(UPPER(SUBSTITUTE(SUBSTITUTE(SUBSTITUTE(TRIM(C835),".",""),"-","")," ","")),1),UPPER(SUBSTITUTE(SUBSTITUTE(SUBSTITUTE(TRIM(C835),".",""),"-","")," ",""))))</f>
        <v/>
      </c>
    </row>
    <row r="836" customFormat="false" ht="15" hidden="false" customHeight="false" outlineLevel="0" collapsed="false">
      <c r="B836" s="80"/>
      <c r="C836" s="58"/>
      <c r="D836" s="62" t="str">
        <f aca="false">IF(C836="","",IFERROR(INDEX(T_NOMBRE,MATCH(V836,T_RUTN,0)),"⚠ RUT no está en Trabajadores"))</f>
        <v/>
      </c>
      <c r="E836" s="61"/>
      <c r="F836" s="61"/>
      <c r="G836" s="61"/>
      <c r="H836" s="61"/>
      <c r="I836" s="81"/>
      <c r="J836" s="81"/>
      <c r="K836" s="60"/>
      <c r="L836" s="60"/>
      <c r="M836" s="60"/>
      <c r="N836" s="60"/>
      <c r="O836" s="60"/>
      <c r="P836" s="60"/>
      <c r="Q836" s="60"/>
      <c r="R836" s="58"/>
      <c r="S836" s="62" t="str">
        <f aca="false">IF(OR(B836="",V836=""),"",IFERROR(INDEX(C_TIPO,MATCH(V836&amp;"-P"&amp;MAX(1,COUNTIFS(C_RUTN,V836,C_DEF,"Sí",C_INI,"&lt;="&amp;EOMONTH(B836,0))),C_CLAVE,0))&amp;"","Sin contrato"))</f>
        <v/>
      </c>
      <c r="T836" s="63" t="str">
        <f aca="false">IF(OR(B836="",N(O836)=0),"",N(O836)+ROUND(MIN(N(N836),TOPE_UF*UF_MES)*(TASA_EMP+MUTUAL),0)+ROUND(MIN(N(N836),TOPE_AFC_UF*UF_MES)*IF(S836="Indefinido",AFC_INDEF,AFC_PF),0))</f>
        <v/>
      </c>
      <c r="U836" s="62" t="str">
        <f aca="false">IF(C836="","",IF(LEFT(D836,1)="⚠","⚠ RUT no registrado en Trabajadores",IF(B836="","⚠ Falta el mes",IF(OR(ISTEXT(I836),ISTEXT(J836)),"⚠ Atrasos u horas extra como texto: escriba hh:mm (ej. 1:30)",IF(AND(ISNUMBER(Q836),COUNTIFS(M_RUTN,V836,M_MES,B836,M_LIQ,"&lt;&gt;")&gt;1),"⚠ Liquidación repetida en el mes",IF(AND(ISNUMBER(O836),ISNUMBER(P836),ISNUMBER(Q836),ABS(O836-P836-Q836)&gt;1),"⚠ Haberes − descuentos no da el líquido","OK"))))))</f>
        <v/>
      </c>
      <c r="V836" s="62" t="str">
        <f aca="false">IF(C836="","",IFERROR(VALUE(LEFT(UPPER(SUBSTITUTE(SUBSTITUTE(SUBSTITUTE(TRIM(C836),".",""),"-","")," ","")),LEN(UPPER(SUBSTITUTE(SUBSTITUTE(SUBSTITUTE(TRIM(C836),".",""),"-","")," ","")))-1))&amp;RIGHT(UPPER(SUBSTITUTE(SUBSTITUTE(SUBSTITUTE(TRIM(C836),".",""),"-","")," ","")),1),UPPER(SUBSTITUTE(SUBSTITUTE(SUBSTITUTE(TRIM(C836),".",""),"-","")," ",""))))</f>
        <v/>
      </c>
    </row>
    <row r="837" customFormat="false" ht="15" hidden="false" customHeight="false" outlineLevel="0" collapsed="false">
      <c r="B837" s="80"/>
      <c r="C837" s="58"/>
      <c r="D837" s="62" t="str">
        <f aca="false">IF(C837="","",IFERROR(INDEX(T_NOMBRE,MATCH(V837,T_RUTN,0)),"⚠ RUT no está en Trabajadores"))</f>
        <v/>
      </c>
      <c r="E837" s="61"/>
      <c r="F837" s="61"/>
      <c r="G837" s="61"/>
      <c r="H837" s="61"/>
      <c r="I837" s="81"/>
      <c r="J837" s="81"/>
      <c r="K837" s="60"/>
      <c r="L837" s="60"/>
      <c r="M837" s="60"/>
      <c r="N837" s="60"/>
      <c r="O837" s="60"/>
      <c r="P837" s="60"/>
      <c r="Q837" s="60"/>
      <c r="R837" s="58"/>
      <c r="S837" s="62" t="str">
        <f aca="false">IF(OR(B837="",V837=""),"",IFERROR(INDEX(C_TIPO,MATCH(V837&amp;"-P"&amp;MAX(1,COUNTIFS(C_RUTN,V837,C_DEF,"Sí",C_INI,"&lt;="&amp;EOMONTH(B837,0))),C_CLAVE,0))&amp;"","Sin contrato"))</f>
        <v/>
      </c>
      <c r="T837" s="63" t="str">
        <f aca="false">IF(OR(B837="",N(O837)=0),"",N(O837)+ROUND(MIN(N(N837),TOPE_UF*UF_MES)*(TASA_EMP+MUTUAL),0)+ROUND(MIN(N(N837),TOPE_AFC_UF*UF_MES)*IF(S837="Indefinido",AFC_INDEF,AFC_PF),0))</f>
        <v/>
      </c>
      <c r="U837" s="62" t="str">
        <f aca="false">IF(C837="","",IF(LEFT(D837,1)="⚠","⚠ RUT no registrado en Trabajadores",IF(B837="","⚠ Falta el mes",IF(OR(ISTEXT(I837),ISTEXT(J837)),"⚠ Atrasos u horas extra como texto: escriba hh:mm (ej. 1:30)",IF(AND(ISNUMBER(Q837),COUNTIFS(M_RUTN,V837,M_MES,B837,M_LIQ,"&lt;&gt;")&gt;1),"⚠ Liquidación repetida en el mes",IF(AND(ISNUMBER(O837),ISNUMBER(P837),ISNUMBER(Q837),ABS(O837-P837-Q837)&gt;1),"⚠ Haberes − descuentos no da el líquido","OK"))))))</f>
        <v/>
      </c>
      <c r="V837" s="62" t="str">
        <f aca="false">IF(C837="","",IFERROR(VALUE(LEFT(UPPER(SUBSTITUTE(SUBSTITUTE(SUBSTITUTE(TRIM(C837),".",""),"-","")," ","")),LEN(UPPER(SUBSTITUTE(SUBSTITUTE(SUBSTITUTE(TRIM(C837),".",""),"-","")," ","")))-1))&amp;RIGHT(UPPER(SUBSTITUTE(SUBSTITUTE(SUBSTITUTE(TRIM(C837),".",""),"-","")," ","")),1),UPPER(SUBSTITUTE(SUBSTITUTE(SUBSTITUTE(TRIM(C837),".",""),"-","")," ",""))))</f>
        <v/>
      </c>
    </row>
    <row r="838" customFormat="false" ht="15" hidden="false" customHeight="false" outlineLevel="0" collapsed="false">
      <c r="B838" s="80"/>
      <c r="C838" s="58"/>
      <c r="D838" s="62" t="str">
        <f aca="false">IF(C838="","",IFERROR(INDEX(T_NOMBRE,MATCH(V838,T_RUTN,0)),"⚠ RUT no está en Trabajadores"))</f>
        <v/>
      </c>
      <c r="E838" s="61"/>
      <c r="F838" s="61"/>
      <c r="G838" s="61"/>
      <c r="H838" s="61"/>
      <c r="I838" s="81"/>
      <c r="J838" s="81"/>
      <c r="K838" s="60"/>
      <c r="L838" s="60"/>
      <c r="M838" s="60"/>
      <c r="N838" s="60"/>
      <c r="O838" s="60"/>
      <c r="P838" s="60"/>
      <c r="Q838" s="60"/>
      <c r="R838" s="58"/>
      <c r="S838" s="62" t="str">
        <f aca="false">IF(OR(B838="",V838=""),"",IFERROR(INDEX(C_TIPO,MATCH(V838&amp;"-P"&amp;MAX(1,COUNTIFS(C_RUTN,V838,C_DEF,"Sí",C_INI,"&lt;="&amp;EOMONTH(B838,0))),C_CLAVE,0))&amp;"","Sin contrato"))</f>
        <v/>
      </c>
      <c r="T838" s="63" t="str">
        <f aca="false">IF(OR(B838="",N(O838)=0),"",N(O838)+ROUND(MIN(N(N838),TOPE_UF*UF_MES)*(TASA_EMP+MUTUAL),0)+ROUND(MIN(N(N838),TOPE_AFC_UF*UF_MES)*IF(S838="Indefinido",AFC_INDEF,AFC_PF),0))</f>
        <v/>
      </c>
      <c r="U838" s="62" t="str">
        <f aca="false">IF(C838="","",IF(LEFT(D838,1)="⚠","⚠ RUT no registrado en Trabajadores",IF(B838="","⚠ Falta el mes",IF(OR(ISTEXT(I838),ISTEXT(J838)),"⚠ Atrasos u horas extra como texto: escriba hh:mm (ej. 1:30)",IF(AND(ISNUMBER(Q838),COUNTIFS(M_RUTN,V838,M_MES,B838,M_LIQ,"&lt;&gt;")&gt;1),"⚠ Liquidación repetida en el mes",IF(AND(ISNUMBER(O838),ISNUMBER(P838),ISNUMBER(Q838),ABS(O838-P838-Q838)&gt;1),"⚠ Haberes − descuentos no da el líquido","OK"))))))</f>
        <v/>
      </c>
      <c r="V838" s="62" t="str">
        <f aca="false">IF(C838="","",IFERROR(VALUE(LEFT(UPPER(SUBSTITUTE(SUBSTITUTE(SUBSTITUTE(TRIM(C838),".",""),"-","")," ","")),LEN(UPPER(SUBSTITUTE(SUBSTITUTE(SUBSTITUTE(TRIM(C838),".",""),"-","")," ","")))-1))&amp;RIGHT(UPPER(SUBSTITUTE(SUBSTITUTE(SUBSTITUTE(TRIM(C838),".",""),"-","")," ","")),1),UPPER(SUBSTITUTE(SUBSTITUTE(SUBSTITUTE(TRIM(C838),".",""),"-","")," ",""))))</f>
        <v/>
      </c>
    </row>
    <row r="839" customFormat="false" ht="15" hidden="false" customHeight="false" outlineLevel="0" collapsed="false">
      <c r="B839" s="80"/>
      <c r="C839" s="58"/>
      <c r="D839" s="62" t="str">
        <f aca="false">IF(C839="","",IFERROR(INDEX(T_NOMBRE,MATCH(V839,T_RUTN,0)),"⚠ RUT no está en Trabajadores"))</f>
        <v/>
      </c>
      <c r="E839" s="61"/>
      <c r="F839" s="61"/>
      <c r="G839" s="61"/>
      <c r="H839" s="61"/>
      <c r="I839" s="81"/>
      <c r="J839" s="81"/>
      <c r="K839" s="60"/>
      <c r="L839" s="60"/>
      <c r="M839" s="60"/>
      <c r="N839" s="60"/>
      <c r="O839" s="60"/>
      <c r="P839" s="60"/>
      <c r="Q839" s="60"/>
      <c r="R839" s="58"/>
      <c r="S839" s="62" t="str">
        <f aca="false">IF(OR(B839="",V839=""),"",IFERROR(INDEX(C_TIPO,MATCH(V839&amp;"-P"&amp;MAX(1,COUNTIFS(C_RUTN,V839,C_DEF,"Sí",C_INI,"&lt;="&amp;EOMONTH(B839,0))),C_CLAVE,0))&amp;"","Sin contrato"))</f>
        <v/>
      </c>
      <c r="T839" s="63" t="str">
        <f aca="false">IF(OR(B839="",N(O839)=0),"",N(O839)+ROUND(MIN(N(N839),TOPE_UF*UF_MES)*(TASA_EMP+MUTUAL),0)+ROUND(MIN(N(N839),TOPE_AFC_UF*UF_MES)*IF(S839="Indefinido",AFC_INDEF,AFC_PF),0))</f>
        <v/>
      </c>
      <c r="U839" s="62" t="str">
        <f aca="false">IF(C839="","",IF(LEFT(D839,1)="⚠","⚠ RUT no registrado en Trabajadores",IF(B839="","⚠ Falta el mes",IF(OR(ISTEXT(I839),ISTEXT(J839)),"⚠ Atrasos u horas extra como texto: escriba hh:mm (ej. 1:30)",IF(AND(ISNUMBER(Q839),COUNTIFS(M_RUTN,V839,M_MES,B839,M_LIQ,"&lt;&gt;")&gt;1),"⚠ Liquidación repetida en el mes",IF(AND(ISNUMBER(O839),ISNUMBER(P839),ISNUMBER(Q839),ABS(O839-P839-Q839)&gt;1),"⚠ Haberes − descuentos no da el líquido","OK"))))))</f>
        <v/>
      </c>
      <c r="V839" s="62" t="str">
        <f aca="false">IF(C839="","",IFERROR(VALUE(LEFT(UPPER(SUBSTITUTE(SUBSTITUTE(SUBSTITUTE(TRIM(C839),".",""),"-","")," ","")),LEN(UPPER(SUBSTITUTE(SUBSTITUTE(SUBSTITUTE(TRIM(C839),".",""),"-","")," ","")))-1))&amp;RIGHT(UPPER(SUBSTITUTE(SUBSTITUTE(SUBSTITUTE(TRIM(C839),".",""),"-","")," ","")),1),UPPER(SUBSTITUTE(SUBSTITUTE(SUBSTITUTE(TRIM(C839),".",""),"-","")," ",""))))</f>
        <v/>
      </c>
    </row>
    <row r="840" customFormat="false" ht="15" hidden="false" customHeight="false" outlineLevel="0" collapsed="false">
      <c r="B840" s="80"/>
      <c r="C840" s="58"/>
      <c r="D840" s="62" t="str">
        <f aca="false">IF(C840="","",IFERROR(INDEX(T_NOMBRE,MATCH(V840,T_RUTN,0)),"⚠ RUT no está en Trabajadores"))</f>
        <v/>
      </c>
      <c r="E840" s="61"/>
      <c r="F840" s="61"/>
      <c r="G840" s="61"/>
      <c r="H840" s="61"/>
      <c r="I840" s="81"/>
      <c r="J840" s="81"/>
      <c r="K840" s="60"/>
      <c r="L840" s="60"/>
      <c r="M840" s="60"/>
      <c r="N840" s="60"/>
      <c r="O840" s="60"/>
      <c r="P840" s="60"/>
      <c r="Q840" s="60"/>
      <c r="R840" s="58"/>
      <c r="S840" s="62" t="str">
        <f aca="false">IF(OR(B840="",V840=""),"",IFERROR(INDEX(C_TIPO,MATCH(V840&amp;"-P"&amp;MAX(1,COUNTIFS(C_RUTN,V840,C_DEF,"Sí",C_INI,"&lt;="&amp;EOMONTH(B840,0))),C_CLAVE,0))&amp;"","Sin contrato"))</f>
        <v/>
      </c>
      <c r="T840" s="63" t="str">
        <f aca="false">IF(OR(B840="",N(O840)=0),"",N(O840)+ROUND(MIN(N(N840),TOPE_UF*UF_MES)*(TASA_EMP+MUTUAL),0)+ROUND(MIN(N(N840),TOPE_AFC_UF*UF_MES)*IF(S840="Indefinido",AFC_INDEF,AFC_PF),0))</f>
        <v/>
      </c>
      <c r="U840" s="62" t="str">
        <f aca="false">IF(C840="","",IF(LEFT(D840,1)="⚠","⚠ RUT no registrado en Trabajadores",IF(B840="","⚠ Falta el mes",IF(OR(ISTEXT(I840),ISTEXT(J840)),"⚠ Atrasos u horas extra como texto: escriba hh:mm (ej. 1:30)",IF(AND(ISNUMBER(Q840),COUNTIFS(M_RUTN,V840,M_MES,B840,M_LIQ,"&lt;&gt;")&gt;1),"⚠ Liquidación repetida en el mes",IF(AND(ISNUMBER(O840),ISNUMBER(P840),ISNUMBER(Q840),ABS(O840-P840-Q840)&gt;1),"⚠ Haberes − descuentos no da el líquido","OK"))))))</f>
        <v/>
      </c>
      <c r="V840" s="62" t="str">
        <f aca="false">IF(C840="","",IFERROR(VALUE(LEFT(UPPER(SUBSTITUTE(SUBSTITUTE(SUBSTITUTE(TRIM(C840),".",""),"-","")," ","")),LEN(UPPER(SUBSTITUTE(SUBSTITUTE(SUBSTITUTE(TRIM(C840),".",""),"-","")," ","")))-1))&amp;RIGHT(UPPER(SUBSTITUTE(SUBSTITUTE(SUBSTITUTE(TRIM(C840),".",""),"-","")," ","")),1),UPPER(SUBSTITUTE(SUBSTITUTE(SUBSTITUTE(TRIM(C840),".",""),"-","")," ",""))))</f>
        <v/>
      </c>
    </row>
    <row r="841" customFormat="false" ht="15" hidden="false" customHeight="false" outlineLevel="0" collapsed="false">
      <c r="B841" s="80"/>
      <c r="C841" s="58"/>
      <c r="D841" s="62" t="str">
        <f aca="false">IF(C841="","",IFERROR(INDEX(T_NOMBRE,MATCH(V841,T_RUTN,0)),"⚠ RUT no está en Trabajadores"))</f>
        <v/>
      </c>
      <c r="E841" s="61"/>
      <c r="F841" s="61"/>
      <c r="G841" s="61"/>
      <c r="H841" s="61"/>
      <c r="I841" s="81"/>
      <c r="J841" s="81"/>
      <c r="K841" s="60"/>
      <c r="L841" s="60"/>
      <c r="M841" s="60"/>
      <c r="N841" s="60"/>
      <c r="O841" s="60"/>
      <c r="P841" s="60"/>
      <c r="Q841" s="60"/>
      <c r="R841" s="58"/>
      <c r="S841" s="62" t="str">
        <f aca="false">IF(OR(B841="",V841=""),"",IFERROR(INDEX(C_TIPO,MATCH(V841&amp;"-P"&amp;MAX(1,COUNTIFS(C_RUTN,V841,C_DEF,"Sí",C_INI,"&lt;="&amp;EOMONTH(B841,0))),C_CLAVE,0))&amp;"","Sin contrato"))</f>
        <v/>
      </c>
      <c r="T841" s="63" t="str">
        <f aca="false">IF(OR(B841="",N(O841)=0),"",N(O841)+ROUND(MIN(N(N841),TOPE_UF*UF_MES)*(TASA_EMP+MUTUAL),0)+ROUND(MIN(N(N841),TOPE_AFC_UF*UF_MES)*IF(S841="Indefinido",AFC_INDEF,AFC_PF),0))</f>
        <v/>
      </c>
      <c r="U841" s="62" t="str">
        <f aca="false">IF(C841="","",IF(LEFT(D841,1)="⚠","⚠ RUT no registrado en Trabajadores",IF(B841="","⚠ Falta el mes",IF(OR(ISTEXT(I841),ISTEXT(J841)),"⚠ Atrasos u horas extra como texto: escriba hh:mm (ej. 1:30)",IF(AND(ISNUMBER(Q841),COUNTIFS(M_RUTN,V841,M_MES,B841,M_LIQ,"&lt;&gt;")&gt;1),"⚠ Liquidación repetida en el mes",IF(AND(ISNUMBER(O841),ISNUMBER(P841),ISNUMBER(Q841),ABS(O841-P841-Q841)&gt;1),"⚠ Haberes − descuentos no da el líquido","OK"))))))</f>
        <v/>
      </c>
      <c r="V841" s="62" t="str">
        <f aca="false">IF(C841="","",IFERROR(VALUE(LEFT(UPPER(SUBSTITUTE(SUBSTITUTE(SUBSTITUTE(TRIM(C841),".",""),"-","")," ","")),LEN(UPPER(SUBSTITUTE(SUBSTITUTE(SUBSTITUTE(TRIM(C841),".",""),"-","")," ","")))-1))&amp;RIGHT(UPPER(SUBSTITUTE(SUBSTITUTE(SUBSTITUTE(TRIM(C841),".",""),"-","")," ","")),1),UPPER(SUBSTITUTE(SUBSTITUTE(SUBSTITUTE(TRIM(C841),".",""),"-","")," ",""))))</f>
        <v/>
      </c>
    </row>
    <row r="842" customFormat="false" ht="15" hidden="false" customHeight="false" outlineLevel="0" collapsed="false">
      <c r="B842" s="80"/>
      <c r="C842" s="58"/>
      <c r="D842" s="62" t="str">
        <f aca="false">IF(C842="","",IFERROR(INDEX(T_NOMBRE,MATCH(V842,T_RUTN,0)),"⚠ RUT no está en Trabajadores"))</f>
        <v/>
      </c>
      <c r="E842" s="61"/>
      <c r="F842" s="61"/>
      <c r="G842" s="61"/>
      <c r="H842" s="61"/>
      <c r="I842" s="81"/>
      <c r="J842" s="81"/>
      <c r="K842" s="60"/>
      <c r="L842" s="60"/>
      <c r="M842" s="60"/>
      <c r="N842" s="60"/>
      <c r="O842" s="60"/>
      <c r="P842" s="60"/>
      <c r="Q842" s="60"/>
      <c r="R842" s="58"/>
      <c r="S842" s="62" t="str">
        <f aca="false">IF(OR(B842="",V842=""),"",IFERROR(INDEX(C_TIPO,MATCH(V842&amp;"-P"&amp;MAX(1,COUNTIFS(C_RUTN,V842,C_DEF,"Sí",C_INI,"&lt;="&amp;EOMONTH(B842,0))),C_CLAVE,0))&amp;"","Sin contrato"))</f>
        <v/>
      </c>
      <c r="T842" s="63" t="str">
        <f aca="false">IF(OR(B842="",N(O842)=0),"",N(O842)+ROUND(MIN(N(N842),TOPE_UF*UF_MES)*(TASA_EMP+MUTUAL),0)+ROUND(MIN(N(N842),TOPE_AFC_UF*UF_MES)*IF(S842="Indefinido",AFC_INDEF,AFC_PF),0))</f>
        <v/>
      </c>
      <c r="U842" s="62" t="str">
        <f aca="false">IF(C842="","",IF(LEFT(D842,1)="⚠","⚠ RUT no registrado en Trabajadores",IF(B842="","⚠ Falta el mes",IF(OR(ISTEXT(I842),ISTEXT(J842)),"⚠ Atrasos u horas extra como texto: escriba hh:mm (ej. 1:30)",IF(AND(ISNUMBER(Q842),COUNTIFS(M_RUTN,V842,M_MES,B842,M_LIQ,"&lt;&gt;")&gt;1),"⚠ Liquidación repetida en el mes",IF(AND(ISNUMBER(O842),ISNUMBER(P842),ISNUMBER(Q842),ABS(O842-P842-Q842)&gt;1),"⚠ Haberes − descuentos no da el líquido","OK"))))))</f>
        <v/>
      </c>
      <c r="V842" s="62" t="str">
        <f aca="false">IF(C842="","",IFERROR(VALUE(LEFT(UPPER(SUBSTITUTE(SUBSTITUTE(SUBSTITUTE(TRIM(C842),".",""),"-","")," ","")),LEN(UPPER(SUBSTITUTE(SUBSTITUTE(SUBSTITUTE(TRIM(C842),".",""),"-","")," ","")))-1))&amp;RIGHT(UPPER(SUBSTITUTE(SUBSTITUTE(SUBSTITUTE(TRIM(C842),".",""),"-","")," ","")),1),UPPER(SUBSTITUTE(SUBSTITUTE(SUBSTITUTE(TRIM(C842),".",""),"-","")," ",""))))</f>
        <v/>
      </c>
    </row>
    <row r="843" customFormat="false" ht="15" hidden="false" customHeight="false" outlineLevel="0" collapsed="false">
      <c r="B843" s="80"/>
      <c r="C843" s="58"/>
      <c r="D843" s="62" t="str">
        <f aca="false">IF(C843="","",IFERROR(INDEX(T_NOMBRE,MATCH(V843,T_RUTN,0)),"⚠ RUT no está en Trabajadores"))</f>
        <v/>
      </c>
      <c r="E843" s="61"/>
      <c r="F843" s="61"/>
      <c r="G843" s="61"/>
      <c r="H843" s="61"/>
      <c r="I843" s="81"/>
      <c r="J843" s="81"/>
      <c r="K843" s="60"/>
      <c r="L843" s="60"/>
      <c r="M843" s="60"/>
      <c r="N843" s="60"/>
      <c r="O843" s="60"/>
      <c r="P843" s="60"/>
      <c r="Q843" s="60"/>
      <c r="R843" s="58"/>
      <c r="S843" s="62" t="str">
        <f aca="false">IF(OR(B843="",V843=""),"",IFERROR(INDEX(C_TIPO,MATCH(V843&amp;"-P"&amp;MAX(1,COUNTIFS(C_RUTN,V843,C_DEF,"Sí",C_INI,"&lt;="&amp;EOMONTH(B843,0))),C_CLAVE,0))&amp;"","Sin contrato"))</f>
        <v/>
      </c>
      <c r="T843" s="63" t="str">
        <f aca="false">IF(OR(B843="",N(O843)=0),"",N(O843)+ROUND(MIN(N(N843),TOPE_UF*UF_MES)*(TASA_EMP+MUTUAL),0)+ROUND(MIN(N(N843),TOPE_AFC_UF*UF_MES)*IF(S843="Indefinido",AFC_INDEF,AFC_PF),0))</f>
        <v/>
      </c>
      <c r="U843" s="62" t="str">
        <f aca="false">IF(C843="","",IF(LEFT(D843,1)="⚠","⚠ RUT no registrado en Trabajadores",IF(B843="","⚠ Falta el mes",IF(OR(ISTEXT(I843),ISTEXT(J843)),"⚠ Atrasos u horas extra como texto: escriba hh:mm (ej. 1:30)",IF(AND(ISNUMBER(Q843),COUNTIFS(M_RUTN,V843,M_MES,B843,M_LIQ,"&lt;&gt;")&gt;1),"⚠ Liquidación repetida en el mes",IF(AND(ISNUMBER(O843),ISNUMBER(P843),ISNUMBER(Q843),ABS(O843-P843-Q843)&gt;1),"⚠ Haberes − descuentos no da el líquido","OK"))))))</f>
        <v/>
      </c>
      <c r="V843" s="62" t="str">
        <f aca="false">IF(C843="","",IFERROR(VALUE(LEFT(UPPER(SUBSTITUTE(SUBSTITUTE(SUBSTITUTE(TRIM(C843),".",""),"-","")," ","")),LEN(UPPER(SUBSTITUTE(SUBSTITUTE(SUBSTITUTE(TRIM(C843),".",""),"-","")," ","")))-1))&amp;RIGHT(UPPER(SUBSTITUTE(SUBSTITUTE(SUBSTITUTE(TRIM(C843),".",""),"-","")," ","")),1),UPPER(SUBSTITUTE(SUBSTITUTE(SUBSTITUTE(TRIM(C843),".",""),"-","")," ",""))))</f>
        <v/>
      </c>
    </row>
    <row r="844" customFormat="false" ht="15" hidden="false" customHeight="false" outlineLevel="0" collapsed="false">
      <c r="B844" s="80"/>
      <c r="C844" s="58"/>
      <c r="D844" s="62" t="str">
        <f aca="false">IF(C844="","",IFERROR(INDEX(T_NOMBRE,MATCH(V844,T_RUTN,0)),"⚠ RUT no está en Trabajadores"))</f>
        <v/>
      </c>
      <c r="E844" s="61"/>
      <c r="F844" s="61"/>
      <c r="G844" s="61"/>
      <c r="H844" s="61"/>
      <c r="I844" s="81"/>
      <c r="J844" s="81"/>
      <c r="K844" s="60"/>
      <c r="L844" s="60"/>
      <c r="M844" s="60"/>
      <c r="N844" s="60"/>
      <c r="O844" s="60"/>
      <c r="P844" s="60"/>
      <c r="Q844" s="60"/>
      <c r="R844" s="58"/>
      <c r="S844" s="62" t="str">
        <f aca="false">IF(OR(B844="",V844=""),"",IFERROR(INDEX(C_TIPO,MATCH(V844&amp;"-P"&amp;MAX(1,COUNTIFS(C_RUTN,V844,C_DEF,"Sí",C_INI,"&lt;="&amp;EOMONTH(B844,0))),C_CLAVE,0))&amp;"","Sin contrato"))</f>
        <v/>
      </c>
      <c r="T844" s="63" t="str">
        <f aca="false">IF(OR(B844="",N(O844)=0),"",N(O844)+ROUND(MIN(N(N844),TOPE_UF*UF_MES)*(TASA_EMP+MUTUAL),0)+ROUND(MIN(N(N844),TOPE_AFC_UF*UF_MES)*IF(S844="Indefinido",AFC_INDEF,AFC_PF),0))</f>
        <v/>
      </c>
      <c r="U844" s="62" t="str">
        <f aca="false">IF(C844="","",IF(LEFT(D844,1)="⚠","⚠ RUT no registrado en Trabajadores",IF(B844="","⚠ Falta el mes",IF(OR(ISTEXT(I844),ISTEXT(J844)),"⚠ Atrasos u horas extra como texto: escriba hh:mm (ej. 1:30)",IF(AND(ISNUMBER(Q844),COUNTIFS(M_RUTN,V844,M_MES,B844,M_LIQ,"&lt;&gt;")&gt;1),"⚠ Liquidación repetida en el mes",IF(AND(ISNUMBER(O844),ISNUMBER(P844),ISNUMBER(Q844),ABS(O844-P844-Q844)&gt;1),"⚠ Haberes − descuentos no da el líquido","OK"))))))</f>
        <v/>
      </c>
      <c r="V844" s="62" t="str">
        <f aca="false">IF(C844="","",IFERROR(VALUE(LEFT(UPPER(SUBSTITUTE(SUBSTITUTE(SUBSTITUTE(TRIM(C844),".",""),"-","")," ","")),LEN(UPPER(SUBSTITUTE(SUBSTITUTE(SUBSTITUTE(TRIM(C844),".",""),"-","")," ","")))-1))&amp;RIGHT(UPPER(SUBSTITUTE(SUBSTITUTE(SUBSTITUTE(TRIM(C844),".",""),"-","")," ","")),1),UPPER(SUBSTITUTE(SUBSTITUTE(SUBSTITUTE(TRIM(C844),".",""),"-","")," ",""))))</f>
        <v/>
      </c>
    </row>
    <row r="845" customFormat="false" ht="15" hidden="false" customHeight="false" outlineLevel="0" collapsed="false">
      <c r="B845" s="80"/>
      <c r="C845" s="58"/>
      <c r="D845" s="62" t="str">
        <f aca="false">IF(C845="","",IFERROR(INDEX(T_NOMBRE,MATCH(V845,T_RUTN,0)),"⚠ RUT no está en Trabajadores"))</f>
        <v/>
      </c>
      <c r="E845" s="61"/>
      <c r="F845" s="61"/>
      <c r="G845" s="61"/>
      <c r="H845" s="61"/>
      <c r="I845" s="81"/>
      <c r="J845" s="81"/>
      <c r="K845" s="60"/>
      <c r="L845" s="60"/>
      <c r="M845" s="60"/>
      <c r="N845" s="60"/>
      <c r="O845" s="60"/>
      <c r="P845" s="60"/>
      <c r="Q845" s="60"/>
      <c r="R845" s="58"/>
      <c r="S845" s="62" t="str">
        <f aca="false">IF(OR(B845="",V845=""),"",IFERROR(INDEX(C_TIPO,MATCH(V845&amp;"-P"&amp;MAX(1,COUNTIFS(C_RUTN,V845,C_DEF,"Sí",C_INI,"&lt;="&amp;EOMONTH(B845,0))),C_CLAVE,0))&amp;"","Sin contrato"))</f>
        <v/>
      </c>
      <c r="T845" s="63" t="str">
        <f aca="false">IF(OR(B845="",N(O845)=0),"",N(O845)+ROUND(MIN(N(N845),TOPE_UF*UF_MES)*(TASA_EMP+MUTUAL),0)+ROUND(MIN(N(N845),TOPE_AFC_UF*UF_MES)*IF(S845="Indefinido",AFC_INDEF,AFC_PF),0))</f>
        <v/>
      </c>
      <c r="U845" s="62" t="str">
        <f aca="false">IF(C845="","",IF(LEFT(D845,1)="⚠","⚠ RUT no registrado en Trabajadores",IF(B845="","⚠ Falta el mes",IF(OR(ISTEXT(I845),ISTEXT(J845)),"⚠ Atrasos u horas extra como texto: escriba hh:mm (ej. 1:30)",IF(AND(ISNUMBER(Q845),COUNTIFS(M_RUTN,V845,M_MES,B845,M_LIQ,"&lt;&gt;")&gt;1),"⚠ Liquidación repetida en el mes",IF(AND(ISNUMBER(O845),ISNUMBER(P845),ISNUMBER(Q845),ABS(O845-P845-Q845)&gt;1),"⚠ Haberes − descuentos no da el líquido","OK"))))))</f>
        <v/>
      </c>
      <c r="V845" s="62" t="str">
        <f aca="false">IF(C845="","",IFERROR(VALUE(LEFT(UPPER(SUBSTITUTE(SUBSTITUTE(SUBSTITUTE(TRIM(C845),".",""),"-","")," ","")),LEN(UPPER(SUBSTITUTE(SUBSTITUTE(SUBSTITUTE(TRIM(C845),".",""),"-","")," ","")))-1))&amp;RIGHT(UPPER(SUBSTITUTE(SUBSTITUTE(SUBSTITUTE(TRIM(C845),".",""),"-","")," ","")),1),UPPER(SUBSTITUTE(SUBSTITUTE(SUBSTITUTE(TRIM(C845),".",""),"-","")," ",""))))</f>
        <v/>
      </c>
    </row>
    <row r="846" customFormat="false" ht="15" hidden="false" customHeight="false" outlineLevel="0" collapsed="false">
      <c r="B846" s="80"/>
      <c r="C846" s="58"/>
      <c r="D846" s="62" t="str">
        <f aca="false">IF(C846="","",IFERROR(INDEX(T_NOMBRE,MATCH(V846,T_RUTN,0)),"⚠ RUT no está en Trabajadores"))</f>
        <v/>
      </c>
      <c r="E846" s="61"/>
      <c r="F846" s="61"/>
      <c r="G846" s="61"/>
      <c r="H846" s="61"/>
      <c r="I846" s="81"/>
      <c r="J846" s="81"/>
      <c r="K846" s="60"/>
      <c r="L846" s="60"/>
      <c r="M846" s="60"/>
      <c r="N846" s="60"/>
      <c r="O846" s="60"/>
      <c r="P846" s="60"/>
      <c r="Q846" s="60"/>
      <c r="R846" s="58"/>
      <c r="S846" s="62" t="str">
        <f aca="false">IF(OR(B846="",V846=""),"",IFERROR(INDEX(C_TIPO,MATCH(V846&amp;"-P"&amp;MAX(1,COUNTIFS(C_RUTN,V846,C_DEF,"Sí",C_INI,"&lt;="&amp;EOMONTH(B846,0))),C_CLAVE,0))&amp;"","Sin contrato"))</f>
        <v/>
      </c>
      <c r="T846" s="63" t="str">
        <f aca="false">IF(OR(B846="",N(O846)=0),"",N(O846)+ROUND(MIN(N(N846),TOPE_UF*UF_MES)*(TASA_EMP+MUTUAL),0)+ROUND(MIN(N(N846),TOPE_AFC_UF*UF_MES)*IF(S846="Indefinido",AFC_INDEF,AFC_PF),0))</f>
        <v/>
      </c>
      <c r="U846" s="62" t="str">
        <f aca="false">IF(C846="","",IF(LEFT(D846,1)="⚠","⚠ RUT no registrado en Trabajadores",IF(B846="","⚠ Falta el mes",IF(OR(ISTEXT(I846),ISTEXT(J846)),"⚠ Atrasos u horas extra como texto: escriba hh:mm (ej. 1:30)",IF(AND(ISNUMBER(Q846),COUNTIFS(M_RUTN,V846,M_MES,B846,M_LIQ,"&lt;&gt;")&gt;1),"⚠ Liquidación repetida en el mes",IF(AND(ISNUMBER(O846),ISNUMBER(P846),ISNUMBER(Q846),ABS(O846-P846-Q846)&gt;1),"⚠ Haberes − descuentos no da el líquido","OK"))))))</f>
        <v/>
      </c>
      <c r="V846" s="62" t="str">
        <f aca="false">IF(C846="","",IFERROR(VALUE(LEFT(UPPER(SUBSTITUTE(SUBSTITUTE(SUBSTITUTE(TRIM(C846),".",""),"-","")," ","")),LEN(UPPER(SUBSTITUTE(SUBSTITUTE(SUBSTITUTE(TRIM(C846),".",""),"-","")," ","")))-1))&amp;RIGHT(UPPER(SUBSTITUTE(SUBSTITUTE(SUBSTITUTE(TRIM(C846),".",""),"-","")," ","")),1),UPPER(SUBSTITUTE(SUBSTITUTE(SUBSTITUTE(TRIM(C846),".",""),"-","")," ",""))))</f>
        <v/>
      </c>
    </row>
    <row r="847" customFormat="false" ht="15" hidden="false" customHeight="false" outlineLevel="0" collapsed="false">
      <c r="B847" s="80"/>
      <c r="C847" s="58"/>
      <c r="D847" s="62" t="str">
        <f aca="false">IF(C847="","",IFERROR(INDEX(T_NOMBRE,MATCH(V847,T_RUTN,0)),"⚠ RUT no está en Trabajadores"))</f>
        <v/>
      </c>
      <c r="E847" s="61"/>
      <c r="F847" s="61"/>
      <c r="G847" s="61"/>
      <c r="H847" s="61"/>
      <c r="I847" s="81"/>
      <c r="J847" s="81"/>
      <c r="K847" s="60"/>
      <c r="L847" s="60"/>
      <c r="M847" s="60"/>
      <c r="N847" s="60"/>
      <c r="O847" s="60"/>
      <c r="P847" s="60"/>
      <c r="Q847" s="60"/>
      <c r="R847" s="58"/>
      <c r="S847" s="62" t="str">
        <f aca="false">IF(OR(B847="",V847=""),"",IFERROR(INDEX(C_TIPO,MATCH(V847&amp;"-P"&amp;MAX(1,COUNTIFS(C_RUTN,V847,C_DEF,"Sí",C_INI,"&lt;="&amp;EOMONTH(B847,0))),C_CLAVE,0))&amp;"","Sin contrato"))</f>
        <v/>
      </c>
      <c r="T847" s="63" t="str">
        <f aca="false">IF(OR(B847="",N(O847)=0),"",N(O847)+ROUND(MIN(N(N847),TOPE_UF*UF_MES)*(TASA_EMP+MUTUAL),0)+ROUND(MIN(N(N847),TOPE_AFC_UF*UF_MES)*IF(S847="Indefinido",AFC_INDEF,AFC_PF),0))</f>
        <v/>
      </c>
      <c r="U847" s="62" t="str">
        <f aca="false">IF(C847="","",IF(LEFT(D847,1)="⚠","⚠ RUT no registrado en Trabajadores",IF(B847="","⚠ Falta el mes",IF(OR(ISTEXT(I847),ISTEXT(J847)),"⚠ Atrasos u horas extra como texto: escriba hh:mm (ej. 1:30)",IF(AND(ISNUMBER(Q847),COUNTIFS(M_RUTN,V847,M_MES,B847,M_LIQ,"&lt;&gt;")&gt;1),"⚠ Liquidación repetida en el mes",IF(AND(ISNUMBER(O847),ISNUMBER(P847),ISNUMBER(Q847),ABS(O847-P847-Q847)&gt;1),"⚠ Haberes − descuentos no da el líquido","OK"))))))</f>
        <v/>
      </c>
      <c r="V847" s="62" t="str">
        <f aca="false">IF(C847="","",IFERROR(VALUE(LEFT(UPPER(SUBSTITUTE(SUBSTITUTE(SUBSTITUTE(TRIM(C847),".",""),"-","")," ","")),LEN(UPPER(SUBSTITUTE(SUBSTITUTE(SUBSTITUTE(TRIM(C847),".",""),"-","")," ","")))-1))&amp;RIGHT(UPPER(SUBSTITUTE(SUBSTITUTE(SUBSTITUTE(TRIM(C847),".",""),"-","")," ","")),1),UPPER(SUBSTITUTE(SUBSTITUTE(SUBSTITUTE(TRIM(C847),".",""),"-","")," ",""))))</f>
        <v/>
      </c>
    </row>
    <row r="848" customFormat="false" ht="15" hidden="false" customHeight="false" outlineLevel="0" collapsed="false">
      <c r="B848" s="80"/>
      <c r="C848" s="58"/>
      <c r="D848" s="62" t="str">
        <f aca="false">IF(C848="","",IFERROR(INDEX(T_NOMBRE,MATCH(V848,T_RUTN,0)),"⚠ RUT no está en Trabajadores"))</f>
        <v/>
      </c>
      <c r="E848" s="61"/>
      <c r="F848" s="61"/>
      <c r="G848" s="61"/>
      <c r="H848" s="61"/>
      <c r="I848" s="81"/>
      <c r="J848" s="81"/>
      <c r="K848" s="60"/>
      <c r="L848" s="60"/>
      <c r="M848" s="60"/>
      <c r="N848" s="60"/>
      <c r="O848" s="60"/>
      <c r="P848" s="60"/>
      <c r="Q848" s="60"/>
      <c r="R848" s="58"/>
      <c r="S848" s="62" t="str">
        <f aca="false">IF(OR(B848="",V848=""),"",IFERROR(INDEX(C_TIPO,MATCH(V848&amp;"-P"&amp;MAX(1,COUNTIFS(C_RUTN,V848,C_DEF,"Sí",C_INI,"&lt;="&amp;EOMONTH(B848,0))),C_CLAVE,0))&amp;"","Sin contrato"))</f>
        <v/>
      </c>
      <c r="T848" s="63" t="str">
        <f aca="false">IF(OR(B848="",N(O848)=0),"",N(O848)+ROUND(MIN(N(N848),TOPE_UF*UF_MES)*(TASA_EMP+MUTUAL),0)+ROUND(MIN(N(N848),TOPE_AFC_UF*UF_MES)*IF(S848="Indefinido",AFC_INDEF,AFC_PF),0))</f>
        <v/>
      </c>
      <c r="U848" s="62" t="str">
        <f aca="false">IF(C848="","",IF(LEFT(D848,1)="⚠","⚠ RUT no registrado en Trabajadores",IF(B848="","⚠ Falta el mes",IF(OR(ISTEXT(I848),ISTEXT(J848)),"⚠ Atrasos u horas extra como texto: escriba hh:mm (ej. 1:30)",IF(AND(ISNUMBER(Q848),COUNTIFS(M_RUTN,V848,M_MES,B848,M_LIQ,"&lt;&gt;")&gt;1),"⚠ Liquidación repetida en el mes",IF(AND(ISNUMBER(O848),ISNUMBER(P848),ISNUMBER(Q848),ABS(O848-P848-Q848)&gt;1),"⚠ Haberes − descuentos no da el líquido","OK"))))))</f>
        <v/>
      </c>
      <c r="V848" s="62" t="str">
        <f aca="false">IF(C848="","",IFERROR(VALUE(LEFT(UPPER(SUBSTITUTE(SUBSTITUTE(SUBSTITUTE(TRIM(C848),".",""),"-","")," ","")),LEN(UPPER(SUBSTITUTE(SUBSTITUTE(SUBSTITUTE(TRIM(C848),".",""),"-","")," ","")))-1))&amp;RIGHT(UPPER(SUBSTITUTE(SUBSTITUTE(SUBSTITUTE(TRIM(C848),".",""),"-","")," ","")),1),UPPER(SUBSTITUTE(SUBSTITUTE(SUBSTITUTE(TRIM(C848),".",""),"-","")," ",""))))</f>
        <v/>
      </c>
    </row>
    <row r="849" customFormat="false" ht="15" hidden="false" customHeight="false" outlineLevel="0" collapsed="false">
      <c r="B849" s="80"/>
      <c r="C849" s="58"/>
      <c r="D849" s="62" t="str">
        <f aca="false">IF(C849="","",IFERROR(INDEX(T_NOMBRE,MATCH(V849,T_RUTN,0)),"⚠ RUT no está en Trabajadores"))</f>
        <v/>
      </c>
      <c r="E849" s="61"/>
      <c r="F849" s="61"/>
      <c r="G849" s="61"/>
      <c r="H849" s="61"/>
      <c r="I849" s="81"/>
      <c r="J849" s="81"/>
      <c r="K849" s="60"/>
      <c r="L849" s="60"/>
      <c r="M849" s="60"/>
      <c r="N849" s="60"/>
      <c r="O849" s="60"/>
      <c r="P849" s="60"/>
      <c r="Q849" s="60"/>
      <c r="R849" s="58"/>
      <c r="S849" s="62" t="str">
        <f aca="false">IF(OR(B849="",V849=""),"",IFERROR(INDEX(C_TIPO,MATCH(V849&amp;"-P"&amp;MAX(1,COUNTIFS(C_RUTN,V849,C_DEF,"Sí",C_INI,"&lt;="&amp;EOMONTH(B849,0))),C_CLAVE,0))&amp;"","Sin contrato"))</f>
        <v/>
      </c>
      <c r="T849" s="63" t="str">
        <f aca="false">IF(OR(B849="",N(O849)=0),"",N(O849)+ROUND(MIN(N(N849),TOPE_UF*UF_MES)*(TASA_EMP+MUTUAL),0)+ROUND(MIN(N(N849),TOPE_AFC_UF*UF_MES)*IF(S849="Indefinido",AFC_INDEF,AFC_PF),0))</f>
        <v/>
      </c>
      <c r="U849" s="62" t="str">
        <f aca="false">IF(C849="","",IF(LEFT(D849,1)="⚠","⚠ RUT no registrado en Trabajadores",IF(B849="","⚠ Falta el mes",IF(OR(ISTEXT(I849),ISTEXT(J849)),"⚠ Atrasos u horas extra como texto: escriba hh:mm (ej. 1:30)",IF(AND(ISNUMBER(Q849),COUNTIFS(M_RUTN,V849,M_MES,B849,M_LIQ,"&lt;&gt;")&gt;1),"⚠ Liquidación repetida en el mes",IF(AND(ISNUMBER(O849),ISNUMBER(P849),ISNUMBER(Q849),ABS(O849-P849-Q849)&gt;1),"⚠ Haberes − descuentos no da el líquido","OK"))))))</f>
        <v/>
      </c>
      <c r="V849" s="62" t="str">
        <f aca="false">IF(C849="","",IFERROR(VALUE(LEFT(UPPER(SUBSTITUTE(SUBSTITUTE(SUBSTITUTE(TRIM(C849),".",""),"-","")," ","")),LEN(UPPER(SUBSTITUTE(SUBSTITUTE(SUBSTITUTE(TRIM(C849),".",""),"-","")," ","")))-1))&amp;RIGHT(UPPER(SUBSTITUTE(SUBSTITUTE(SUBSTITUTE(TRIM(C849),".",""),"-","")," ","")),1),UPPER(SUBSTITUTE(SUBSTITUTE(SUBSTITUTE(TRIM(C849),".",""),"-","")," ",""))))</f>
        <v/>
      </c>
    </row>
    <row r="850" customFormat="false" ht="15" hidden="false" customHeight="false" outlineLevel="0" collapsed="false">
      <c r="B850" s="80"/>
      <c r="C850" s="58"/>
      <c r="D850" s="62" t="str">
        <f aca="false">IF(C850="","",IFERROR(INDEX(T_NOMBRE,MATCH(V850,T_RUTN,0)),"⚠ RUT no está en Trabajadores"))</f>
        <v/>
      </c>
      <c r="E850" s="61"/>
      <c r="F850" s="61"/>
      <c r="G850" s="61"/>
      <c r="H850" s="61"/>
      <c r="I850" s="81"/>
      <c r="J850" s="81"/>
      <c r="K850" s="60"/>
      <c r="L850" s="60"/>
      <c r="M850" s="60"/>
      <c r="N850" s="60"/>
      <c r="O850" s="60"/>
      <c r="P850" s="60"/>
      <c r="Q850" s="60"/>
      <c r="R850" s="58"/>
      <c r="S850" s="62" t="str">
        <f aca="false">IF(OR(B850="",V850=""),"",IFERROR(INDEX(C_TIPO,MATCH(V850&amp;"-P"&amp;MAX(1,COUNTIFS(C_RUTN,V850,C_DEF,"Sí",C_INI,"&lt;="&amp;EOMONTH(B850,0))),C_CLAVE,0))&amp;"","Sin contrato"))</f>
        <v/>
      </c>
      <c r="T850" s="63" t="str">
        <f aca="false">IF(OR(B850="",N(O850)=0),"",N(O850)+ROUND(MIN(N(N850),TOPE_UF*UF_MES)*(TASA_EMP+MUTUAL),0)+ROUND(MIN(N(N850),TOPE_AFC_UF*UF_MES)*IF(S850="Indefinido",AFC_INDEF,AFC_PF),0))</f>
        <v/>
      </c>
      <c r="U850" s="62" t="str">
        <f aca="false">IF(C850="","",IF(LEFT(D850,1)="⚠","⚠ RUT no registrado en Trabajadores",IF(B850="","⚠ Falta el mes",IF(OR(ISTEXT(I850),ISTEXT(J850)),"⚠ Atrasos u horas extra como texto: escriba hh:mm (ej. 1:30)",IF(AND(ISNUMBER(Q850),COUNTIFS(M_RUTN,V850,M_MES,B850,M_LIQ,"&lt;&gt;")&gt;1),"⚠ Liquidación repetida en el mes",IF(AND(ISNUMBER(O850),ISNUMBER(P850),ISNUMBER(Q850),ABS(O850-P850-Q850)&gt;1),"⚠ Haberes − descuentos no da el líquido","OK"))))))</f>
        <v/>
      </c>
      <c r="V850" s="62" t="str">
        <f aca="false">IF(C850="","",IFERROR(VALUE(LEFT(UPPER(SUBSTITUTE(SUBSTITUTE(SUBSTITUTE(TRIM(C850),".",""),"-","")," ","")),LEN(UPPER(SUBSTITUTE(SUBSTITUTE(SUBSTITUTE(TRIM(C850),".",""),"-","")," ","")))-1))&amp;RIGHT(UPPER(SUBSTITUTE(SUBSTITUTE(SUBSTITUTE(TRIM(C850),".",""),"-","")," ","")),1),UPPER(SUBSTITUTE(SUBSTITUTE(SUBSTITUTE(TRIM(C850),".",""),"-","")," ",""))))</f>
        <v/>
      </c>
    </row>
    <row r="851" customFormat="false" ht="15" hidden="false" customHeight="false" outlineLevel="0" collapsed="false">
      <c r="B851" s="80"/>
      <c r="C851" s="58"/>
      <c r="D851" s="62" t="str">
        <f aca="false">IF(C851="","",IFERROR(INDEX(T_NOMBRE,MATCH(V851,T_RUTN,0)),"⚠ RUT no está en Trabajadores"))</f>
        <v/>
      </c>
      <c r="E851" s="61"/>
      <c r="F851" s="61"/>
      <c r="G851" s="61"/>
      <c r="H851" s="61"/>
      <c r="I851" s="81"/>
      <c r="J851" s="81"/>
      <c r="K851" s="60"/>
      <c r="L851" s="60"/>
      <c r="M851" s="60"/>
      <c r="N851" s="60"/>
      <c r="O851" s="60"/>
      <c r="P851" s="60"/>
      <c r="Q851" s="60"/>
      <c r="R851" s="58"/>
      <c r="S851" s="62" t="str">
        <f aca="false">IF(OR(B851="",V851=""),"",IFERROR(INDEX(C_TIPO,MATCH(V851&amp;"-P"&amp;MAX(1,COUNTIFS(C_RUTN,V851,C_DEF,"Sí",C_INI,"&lt;="&amp;EOMONTH(B851,0))),C_CLAVE,0))&amp;"","Sin contrato"))</f>
        <v/>
      </c>
      <c r="T851" s="63" t="str">
        <f aca="false">IF(OR(B851="",N(O851)=0),"",N(O851)+ROUND(MIN(N(N851),TOPE_UF*UF_MES)*(TASA_EMP+MUTUAL),0)+ROUND(MIN(N(N851),TOPE_AFC_UF*UF_MES)*IF(S851="Indefinido",AFC_INDEF,AFC_PF),0))</f>
        <v/>
      </c>
      <c r="U851" s="62" t="str">
        <f aca="false">IF(C851="","",IF(LEFT(D851,1)="⚠","⚠ RUT no registrado en Trabajadores",IF(B851="","⚠ Falta el mes",IF(OR(ISTEXT(I851),ISTEXT(J851)),"⚠ Atrasos u horas extra como texto: escriba hh:mm (ej. 1:30)",IF(AND(ISNUMBER(Q851),COUNTIFS(M_RUTN,V851,M_MES,B851,M_LIQ,"&lt;&gt;")&gt;1),"⚠ Liquidación repetida en el mes",IF(AND(ISNUMBER(O851),ISNUMBER(P851),ISNUMBER(Q851),ABS(O851-P851-Q851)&gt;1),"⚠ Haberes − descuentos no da el líquido","OK"))))))</f>
        <v/>
      </c>
      <c r="V851" s="62" t="str">
        <f aca="false">IF(C851="","",IFERROR(VALUE(LEFT(UPPER(SUBSTITUTE(SUBSTITUTE(SUBSTITUTE(TRIM(C851),".",""),"-","")," ","")),LEN(UPPER(SUBSTITUTE(SUBSTITUTE(SUBSTITUTE(TRIM(C851),".",""),"-","")," ","")))-1))&amp;RIGHT(UPPER(SUBSTITUTE(SUBSTITUTE(SUBSTITUTE(TRIM(C851),".",""),"-","")," ","")),1),UPPER(SUBSTITUTE(SUBSTITUTE(SUBSTITUTE(TRIM(C851),".",""),"-","")," ",""))))</f>
        <v/>
      </c>
    </row>
    <row r="852" customFormat="false" ht="15" hidden="false" customHeight="false" outlineLevel="0" collapsed="false">
      <c r="B852" s="80"/>
      <c r="C852" s="58"/>
      <c r="D852" s="62" t="str">
        <f aca="false">IF(C852="","",IFERROR(INDEX(T_NOMBRE,MATCH(V852,T_RUTN,0)),"⚠ RUT no está en Trabajadores"))</f>
        <v/>
      </c>
      <c r="E852" s="61"/>
      <c r="F852" s="61"/>
      <c r="G852" s="61"/>
      <c r="H852" s="61"/>
      <c r="I852" s="81"/>
      <c r="J852" s="81"/>
      <c r="K852" s="60"/>
      <c r="L852" s="60"/>
      <c r="M852" s="60"/>
      <c r="N852" s="60"/>
      <c r="O852" s="60"/>
      <c r="P852" s="60"/>
      <c r="Q852" s="60"/>
      <c r="R852" s="58"/>
      <c r="S852" s="62" t="str">
        <f aca="false">IF(OR(B852="",V852=""),"",IFERROR(INDEX(C_TIPO,MATCH(V852&amp;"-P"&amp;MAX(1,COUNTIFS(C_RUTN,V852,C_DEF,"Sí",C_INI,"&lt;="&amp;EOMONTH(B852,0))),C_CLAVE,0))&amp;"","Sin contrato"))</f>
        <v/>
      </c>
      <c r="T852" s="63" t="str">
        <f aca="false">IF(OR(B852="",N(O852)=0),"",N(O852)+ROUND(MIN(N(N852),TOPE_UF*UF_MES)*(TASA_EMP+MUTUAL),0)+ROUND(MIN(N(N852),TOPE_AFC_UF*UF_MES)*IF(S852="Indefinido",AFC_INDEF,AFC_PF),0))</f>
        <v/>
      </c>
      <c r="U852" s="62" t="str">
        <f aca="false">IF(C852="","",IF(LEFT(D852,1)="⚠","⚠ RUT no registrado en Trabajadores",IF(B852="","⚠ Falta el mes",IF(OR(ISTEXT(I852),ISTEXT(J852)),"⚠ Atrasos u horas extra como texto: escriba hh:mm (ej. 1:30)",IF(AND(ISNUMBER(Q852),COUNTIFS(M_RUTN,V852,M_MES,B852,M_LIQ,"&lt;&gt;")&gt;1),"⚠ Liquidación repetida en el mes",IF(AND(ISNUMBER(O852),ISNUMBER(P852),ISNUMBER(Q852),ABS(O852-P852-Q852)&gt;1),"⚠ Haberes − descuentos no da el líquido","OK"))))))</f>
        <v/>
      </c>
      <c r="V852" s="62" t="str">
        <f aca="false">IF(C852="","",IFERROR(VALUE(LEFT(UPPER(SUBSTITUTE(SUBSTITUTE(SUBSTITUTE(TRIM(C852),".",""),"-","")," ","")),LEN(UPPER(SUBSTITUTE(SUBSTITUTE(SUBSTITUTE(TRIM(C852),".",""),"-","")," ","")))-1))&amp;RIGHT(UPPER(SUBSTITUTE(SUBSTITUTE(SUBSTITUTE(TRIM(C852),".",""),"-","")," ","")),1),UPPER(SUBSTITUTE(SUBSTITUTE(SUBSTITUTE(TRIM(C852),".",""),"-","")," ",""))))</f>
        <v/>
      </c>
    </row>
    <row r="853" customFormat="false" ht="15" hidden="false" customHeight="false" outlineLevel="0" collapsed="false">
      <c r="B853" s="80"/>
      <c r="C853" s="58"/>
      <c r="D853" s="62" t="str">
        <f aca="false">IF(C853="","",IFERROR(INDEX(T_NOMBRE,MATCH(V853,T_RUTN,0)),"⚠ RUT no está en Trabajadores"))</f>
        <v/>
      </c>
      <c r="E853" s="61"/>
      <c r="F853" s="61"/>
      <c r="G853" s="61"/>
      <c r="H853" s="61"/>
      <c r="I853" s="81"/>
      <c r="J853" s="81"/>
      <c r="K853" s="60"/>
      <c r="L853" s="60"/>
      <c r="M853" s="60"/>
      <c r="N853" s="60"/>
      <c r="O853" s="60"/>
      <c r="P853" s="60"/>
      <c r="Q853" s="60"/>
      <c r="R853" s="58"/>
      <c r="S853" s="62" t="str">
        <f aca="false">IF(OR(B853="",V853=""),"",IFERROR(INDEX(C_TIPO,MATCH(V853&amp;"-P"&amp;MAX(1,COUNTIFS(C_RUTN,V853,C_DEF,"Sí",C_INI,"&lt;="&amp;EOMONTH(B853,0))),C_CLAVE,0))&amp;"","Sin contrato"))</f>
        <v/>
      </c>
      <c r="T853" s="63" t="str">
        <f aca="false">IF(OR(B853="",N(O853)=0),"",N(O853)+ROUND(MIN(N(N853),TOPE_UF*UF_MES)*(TASA_EMP+MUTUAL),0)+ROUND(MIN(N(N853),TOPE_AFC_UF*UF_MES)*IF(S853="Indefinido",AFC_INDEF,AFC_PF),0))</f>
        <v/>
      </c>
      <c r="U853" s="62" t="str">
        <f aca="false">IF(C853="","",IF(LEFT(D853,1)="⚠","⚠ RUT no registrado en Trabajadores",IF(B853="","⚠ Falta el mes",IF(OR(ISTEXT(I853),ISTEXT(J853)),"⚠ Atrasos u horas extra como texto: escriba hh:mm (ej. 1:30)",IF(AND(ISNUMBER(Q853),COUNTIFS(M_RUTN,V853,M_MES,B853,M_LIQ,"&lt;&gt;")&gt;1),"⚠ Liquidación repetida en el mes",IF(AND(ISNUMBER(O853),ISNUMBER(P853),ISNUMBER(Q853),ABS(O853-P853-Q853)&gt;1),"⚠ Haberes − descuentos no da el líquido","OK"))))))</f>
        <v/>
      </c>
      <c r="V853" s="62" t="str">
        <f aca="false">IF(C853="","",IFERROR(VALUE(LEFT(UPPER(SUBSTITUTE(SUBSTITUTE(SUBSTITUTE(TRIM(C853),".",""),"-","")," ","")),LEN(UPPER(SUBSTITUTE(SUBSTITUTE(SUBSTITUTE(TRIM(C853),".",""),"-","")," ","")))-1))&amp;RIGHT(UPPER(SUBSTITUTE(SUBSTITUTE(SUBSTITUTE(TRIM(C853),".",""),"-","")," ","")),1),UPPER(SUBSTITUTE(SUBSTITUTE(SUBSTITUTE(TRIM(C853),".",""),"-","")," ",""))))</f>
        <v/>
      </c>
    </row>
    <row r="854" customFormat="false" ht="15" hidden="false" customHeight="false" outlineLevel="0" collapsed="false">
      <c r="B854" s="80"/>
      <c r="C854" s="58"/>
      <c r="D854" s="62" t="str">
        <f aca="false">IF(C854="","",IFERROR(INDEX(T_NOMBRE,MATCH(V854,T_RUTN,0)),"⚠ RUT no está en Trabajadores"))</f>
        <v/>
      </c>
      <c r="E854" s="61"/>
      <c r="F854" s="61"/>
      <c r="G854" s="61"/>
      <c r="H854" s="61"/>
      <c r="I854" s="81"/>
      <c r="J854" s="81"/>
      <c r="K854" s="60"/>
      <c r="L854" s="60"/>
      <c r="M854" s="60"/>
      <c r="N854" s="60"/>
      <c r="O854" s="60"/>
      <c r="P854" s="60"/>
      <c r="Q854" s="60"/>
      <c r="R854" s="58"/>
      <c r="S854" s="62" t="str">
        <f aca="false">IF(OR(B854="",V854=""),"",IFERROR(INDEX(C_TIPO,MATCH(V854&amp;"-P"&amp;MAX(1,COUNTIFS(C_RUTN,V854,C_DEF,"Sí",C_INI,"&lt;="&amp;EOMONTH(B854,0))),C_CLAVE,0))&amp;"","Sin contrato"))</f>
        <v/>
      </c>
      <c r="T854" s="63" t="str">
        <f aca="false">IF(OR(B854="",N(O854)=0),"",N(O854)+ROUND(MIN(N(N854),TOPE_UF*UF_MES)*(TASA_EMP+MUTUAL),0)+ROUND(MIN(N(N854),TOPE_AFC_UF*UF_MES)*IF(S854="Indefinido",AFC_INDEF,AFC_PF),0))</f>
        <v/>
      </c>
      <c r="U854" s="62" t="str">
        <f aca="false">IF(C854="","",IF(LEFT(D854,1)="⚠","⚠ RUT no registrado en Trabajadores",IF(B854="","⚠ Falta el mes",IF(OR(ISTEXT(I854),ISTEXT(J854)),"⚠ Atrasos u horas extra como texto: escriba hh:mm (ej. 1:30)",IF(AND(ISNUMBER(Q854),COUNTIFS(M_RUTN,V854,M_MES,B854,M_LIQ,"&lt;&gt;")&gt;1),"⚠ Liquidación repetida en el mes",IF(AND(ISNUMBER(O854),ISNUMBER(P854),ISNUMBER(Q854),ABS(O854-P854-Q854)&gt;1),"⚠ Haberes − descuentos no da el líquido","OK"))))))</f>
        <v/>
      </c>
      <c r="V854" s="62" t="str">
        <f aca="false">IF(C854="","",IFERROR(VALUE(LEFT(UPPER(SUBSTITUTE(SUBSTITUTE(SUBSTITUTE(TRIM(C854),".",""),"-","")," ","")),LEN(UPPER(SUBSTITUTE(SUBSTITUTE(SUBSTITUTE(TRIM(C854),".",""),"-","")," ","")))-1))&amp;RIGHT(UPPER(SUBSTITUTE(SUBSTITUTE(SUBSTITUTE(TRIM(C854),".",""),"-","")," ","")),1),UPPER(SUBSTITUTE(SUBSTITUTE(SUBSTITUTE(TRIM(C854),".",""),"-","")," ",""))))</f>
        <v/>
      </c>
    </row>
    <row r="855" customFormat="false" ht="15" hidden="false" customHeight="false" outlineLevel="0" collapsed="false">
      <c r="B855" s="80"/>
      <c r="C855" s="58"/>
      <c r="D855" s="62" t="str">
        <f aca="false">IF(C855="","",IFERROR(INDEX(T_NOMBRE,MATCH(V855,T_RUTN,0)),"⚠ RUT no está en Trabajadores"))</f>
        <v/>
      </c>
      <c r="E855" s="61"/>
      <c r="F855" s="61"/>
      <c r="G855" s="61"/>
      <c r="H855" s="61"/>
      <c r="I855" s="81"/>
      <c r="J855" s="81"/>
      <c r="K855" s="60"/>
      <c r="L855" s="60"/>
      <c r="M855" s="60"/>
      <c r="N855" s="60"/>
      <c r="O855" s="60"/>
      <c r="P855" s="60"/>
      <c r="Q855" s="60"/>
      <c r="R855" s="58"/>
      <c r="S855" s="62" t="str">
        <f aca="false">IF(OR(B855="",V855=""),"",IFERROR(INDEX(C_TIPO,MATCH(V855&amp;"-P"&amp;MAX(1,COUNTIFS(C_RUTN,V855,C_DEF,"Sí",C_INI,"&lt;="&amp;EOMONTH(B855,0))),C_CLAVE,0))&amp;"","Sin contrato"))</f>
        <v/>
      </c>
      <c r="T855" s="63" t="str">
        <f aca="false">IF(OR(B855="",N(O855)=0),"",N(O855)+ROUND(MIN(N(N855),TOPE_UF*UF_MES)*(TASA_EMP+MUTUAL),0)+ROUND(MIN(N(N855),TOPE_AFC_UF*UF_MES)*IF(S855="Indefinido",AFC_INDEF,AFC_PF),0))</f>
        <v/>
      </c>
      <c r="U855" s="62" t="str">
        <f aca="false">IF(C855="","",IF(LEFT(D855,1)="⚠","⚠ RUT no registrado en Trabajadores",IF(B855="","⚠ Falta el mes",IF(OR(ISTEXT(I855),ISTEXT(J855)),"⚠ Atrasos u horas extra como texto: escriba hh:mm (ej. 1:30)",IF(AND(ISNUMBER(Q855),COUNTIFS(M_RUTN,V855,M_MES,B855,M_LIQ,"&lt;&gt;")&gt;1),"⚠ Liquidación repetida en el mes",IF(AND(ISNUMBER(O855),ISNUMBER(P855),ISNUMBER(Q855),ABS(O855-P855-Q855)&gt;1),"⚠ Haberes − descuentos no da el líquido","OK"))))))</f>
        <v/>
      </c>
      <c r="V855" s="62" t="str">
        <f aca="false">IF(C855="","",IFERROR(VALUE(LEFT(UPPER(SUBSTITUTE(SUBSTITUTE(SUBSTITUTE(TRIM(C855),".",""),"-","")," ","")),LEN(UPPER(SUBSTITUTE(SUBSTITUTE(SUBSTITUTE(TRIM(C855),".",""),"-","")," ","")))-1))&amp;RIGHT(UPPER(SUBSTITUTE(SUBSTITUTE(SUBSTITUTE(TRIM(C855),".",""),"-","")," ","")),1),UPPER(SUBSTITUTE(SUBSTITUTE(SUBSTITUTE(TRIM(C855),".",""),"-","")," ",""))))</f>
        <v/>
      </c>
    </row>
    <row r="856" customFormat="false" ht="15" hidden="false" customHeight="false" outlineLevel="0" collapsed="false">
      <c r="B856" s="80"/>
      <c r="C856" s="58"/>
      <c r="D856" s="62" t="str">
        <f aca="false">IF(C856="","",IFERROR(INDEX(T_NOMBRE,MATCH(V856,T_RUTN,0)),"⚠ RUT no está en Trabajadores"))</f>
        <v/>
      </c>
      <c r="E856" s="61"/>
      <c r="F856" s="61"/>
      <c r="G856" s="61"/>
      <c r="H856" s="61"/>
      <c r="I856" s="81"/>
      <c r="J856" s="81"/>
      <c r="K856" s="60"/>
      <c r="L856" s="60"/>
      <c r="M856" s="60"/>
      <c r="N856" s="60"/>
      <c r="O856" s="60"/>
      <c r="P856" s="60"/>
      <c r="Q856" s="60"/>
      <c r="R856" s="58"/>
      <c r="S856" s="62" t="str">
        <f aca="false">IF(OR(B856="",V856=""),"",IFERROR(INDEX(C_TIPO,MATCH(V856&amp;"-P"&amp;MAX(1,COUNTIFS(C_RUTN,V856,C_DEF,"Sí",C_INI,"&lt;="&amp;EOMONTH(B856,0))),C_CLAVE,0))&amp;"","Sin contrato"))</f>
        <v/>
      </c>
      <c r="T856" s="63" t="str">
        <f aca="false">IF(OR(B856="",N(O856)=0),"",N(O856)+ROUND(MIN(N(N856),TOPE_UF*UF_MES)*(TASA_EMP+MUTUAL),0)+ROUND(MIN(N(N856),TOPE_AFC_UF*UF_MES)*IF(S856="Indefinido",AFC_INDEF,AFC_PF),0))</f>
        <v/>
      </c>
      <c r="U856" s="62" t="str">
        <f aca="false">IF(C856="","",IF(LEFT(D856,1)="⚠","⚠ RUT no registrado en Trabajadores",IF(B856="","⚠ Falta el mes",IF(OR(ISTEXT(I856),ISTEXT(J856)),"⚠ Atrasos u horas extra como texto: escriba hh:mm (ej. 1:30)",IF(AND(ISNUMBER(Q856),COUNTIFS(M_RUTN,V856,M_MES,B856,M_LIQ,"&lt;&gt;")&gt;1),"⚠ Liquidación repetida en el mes",IF(AND(ISNUMBER(O856),ISNUMBER(P856),ISNUMBER(Q856),ABS(O856-P856-Q856)&gt;1),"⚠ Haberes − descuentos no da el líquido","OK"))))))</f>
        <v/>
      </c>
      <c r="V856" s="62" t="str">
        <f aca="false">IF(C856="","",IFERROR(VALUE(LEFT(UPPER(SUBSTITUTE(SUBSTITUTE(SUBSTITUTE(TRIM(C856),".",""),"-","")," ","")),LEN(UPPER(SUBSTITUTE(SUBSTITUTE(SUBSTITUTE(TRIM(C856),".",""),"-","")," ","")))-1))&amp;RIGHT(UPPER(SUBSTITUTE(SUBSTITUTE(SUBSTITUTE(TRIM(C856),".",""),"-","")," ","")),1),UPPER(SUBSTITUTE(SUBSTITUTE(SUBSTITUTE(TRIM(C856),".",""),"-","")," ",""))))</f>
        <v/>
      </c>
    </row>
    <row r="857" customFormat="false" ht="15" hidden="false" customHeight="false" outlineLevel="0" collapsed="false">
      <c r="B857" s="80"/>
      <c r="C857" s="58"/>
      <c r="D857" s="62" t="str">
        <f aca="false">IF(C857="","",IFERROR(INDEX(T_NOMBRE,MATCH(V857,T_RUTN,0)),"⚠ RUT no está en Trabajadores"))</f>
        <v/>
      </c>
      <c r="E857" s="61"/>
      <c r="F857" s="61"/>
      <c r="G857" s="61"/>
      <c r="H857" s="61"/>
      <c r="I857" s="81"/>
      <c r="J857" s="81"/>
      <c r="K857" s="60"/>
      <c r="L857" s="60"/>
      <c r="M857" s="60"/>
      <c r="N857" s="60"/>
      <c r="O857" s="60"/>
      <c r="P857" s="60"/>
      <c r="Q857" s="60"/>
      <c r="R857" s="58"/>
      <c r="S857" s="62" t="str">
        <f aca="false">IF(OR(B857="",V857=""),"",IFERROR(INDEX(C_TIPO,MATCH(V857&amp;"-P"&amp;MAX(1,COUNTIFS(C_RUTN,V857,C_DEF,"Sí",C_INI,"&lt;="&amp;EOMONTH(B857,0))),C_CLAVE,0))&amp;"","Sin contrato"))</f>
        <v/>
      </c>
      <c r="T857" s="63" t="str">
        <f aca="false">IF(OR(B857="",N(O857)=0),"",N(O857)+ROUND(MIN(N(N857),TOPE_UF*UF_MES)*(TASA_EMP+MUTUAL),0)+ROUND(MIN(N(N857),TOPE_AFC_UF*UF_MES)*IF(S857="Indefinido",AFC_INDEF,AFC_PF),0))</f>
        <v/>
      </c>
      <c r="U857" s="62" t="str">
        <f aca="false">IF(C857="","",IF(LEFT(D857,1)="⚠","⚠ RUT no registrado en Trabajadores",IF(B857="","⚠ Falta el mes",IF(OR(ISTEXT(I857),ISTEXT(J857)),"⚠ Atrasos u horas extra como texto: escriba hh:mm (ej. 1:30)",IF(AND(ISNUMBER(Q857),COUNTIFS(M_RUTN,V857,M_MES,B857,M_LIQ,"&lt;&gt;")&gt;1),"⚠ Liquidación repetida en el mes",IF(AND(ISNUMBER(O857),ISNUMBER(P857),ISNUMBER(Q857),ABS(O857-P857-Q857)&gt;1),"⚠ Haberes − descuentos no da el líquido","OK"))))))</f>
        <v/>
      </c>
      <c r="V857" s="62" t="str">
        <f aca="false">IF(C857="","",IFERROR(VALUE(LEFT(UPPER(SUBSTITUTE(SUBSTITUTE(SUBSTITUTE(TRIM(C857),".",""),"-","")," ","")),LEN(UPPER(SUBSTITUTE(SUBSTITUTE(SUBSTITUTE(TRIM(C857),".",""),"-","")," ","")))-1))&amp;RIGHT(UPPER(SUBSTITUTE(SUBSTITUTE(SUBSTITUTE(TRIM(C857),".",""),"-","")," ","")),1),UPPER(SUBSTITUTE(SUBSTITUTE(SUBSTITUTE(TRIM(C857),".",""),"-","")," ",""))))</f>
        <v/>
      </c>
    </row>
    <row r="858" customFormat="false" ht="15" hidden="false" customHeight="false" outlineLevel="0" collapsed="false">
      <c r="B858" s="80"/>
      <c r="C858" s="58"/>
      <c r="D858" s="62" t="str">
        <f aca="false">IF(C858="","",IFERROR(INDEX(T_NOMBRE,MATCH(V858,T_RUTN,0)),"⚠ RUT no está en Trabajadores"))</f>
        <v/>
      </c>
      <c r="E858" s="61"/>
      <c r="F858" s="61"/>
      <c r="G858" s="61"/>
      <c r="H858" s="61"/>
      <c r="I858" s="81"/>
      <c r="J858" s="81"/>
      <c r="K858" s="60"/>
      <c r="L858" s="60"/>
      <c r="M858" s="60"/>
      <c r="N858" s="60"/>
      <c r="O858" s="60"/>
      <c r="P858" s="60"/>
      <c r="Q858" s="60"/>
      <c r="R858" s="58"/>
      <c r="S858" s="62" t="str">
        <f aca="false">IF(OR(B858="",V858=""),"",IFERROR(INDEX(C_TIPO,MATCH(V858&amp;"-P"&amp;MAX(1,COUNTIFS(C_RUTN,V858,C_DEF,"Sí",C_INI,"&lt;="&amp;EOMONTH(B858,0))),C_CLAVE,0))&amp;"","Sin contrato"))</f>
        <v/>
      </c>
      <c r="T858" s="63" t="str">
        <f aca="false">IF(OR(B858="",N(O858)=0),"",N(O858)+ROUND(MIN(N(N858),TOPE_UF*UF_MES)*(TASA_EMP+MUTUAL),0)+ROUND(MIN(N(N858),TOPE_AFC_UF*UF_MES)*IF(S858="Indefinido",AFC_INDEF,AFC_PF),0))</f>
        <v/>
      </c>
      <c r="U858" s="62" t="str">
        <f aca="false">IF(C858="","",IF(LEFT(D858,1)="⚠","⚠ RUT no registrado en Trabajadores",IF(B858="","⚠ Falta el mes",IF(OR(ISTEXT(I858),ISTEXT(J858)),"⚠ Atrasos u horas extra como texto: escriba hh:mm (ej. 1:30)",IF(AND(ISNUMBER(Q858),COUNTIFS(M_RUTN,V858,M_MES,B858,M_LIQ,"&lt;&gt;")&gt;1),"⚠ Liquidación repetida en el mes",IF(AND(ISNUMBER(O858),ISNUMBER(P858),ISNUMBER(Q858),ABS(O858-P858-Q858)&gt;1),"⚠ Haberes − descuentos no da el líquido","OK"))))))</f>
        <v/>
      </c>
      <c r="V858" s="62" t="str">
        <f aca="false">IF(C858="","",IFERROR(VALUE(LEFT(UPPER(SUBSTITUTE(SUBSTITUTE(SUBSTITUTE(TRIM(C858),".",""),"-","")," ","")),LEN(UPPER(SUBSTITUTE(SUBSTITUTE(SUBSTITUTE(TRIM(C858),".",""),"-","")," ","")))-1))&amp;RIGHT(UPPER(SUBSTITUTE(SUBSTITUTE(SUBSTITUTE(TRIM(C858),".",""),"-","")," ","")),1),UPPER(SUBSTITUTE(SUBSTITUTE(SUBSTITUTE(TRIM(C858),".",""),"-","")," ",""))))</f>
        <v/>
      </c>
    </row>
    <row r="859" customFormat="false" ht="15" hidden="false" customHeight="false" outlineLevel="0" collapsed="false">
      <c r="B859" s="80"/>
      <c r="C859" s="58"/>
      <c r="D859" s="62" t="str">
        <f aca="false">IF(C859="","",IFERROR(INDEX(T_NOMBRE,MATCH(V859,T_RUTN,0)),"⚠ RUT no está en Trabajadores"))</f>
        <v/>
      </c>
      <c r="E859" s="61"/>
      <c r="F859" s="61"/>
      <c r="G859" s="61"/>
      <c r="H859" s="61"/>
      <c r="I859" s="81"/>
      <c r="J859" s="81"/>
      <c r="K859" s="60"/>
      <c r="L859" s="60"/>
      <c r="M859" s="60"/>
      <c r="N859" s="60"/>
      <c r="O859" s="60"/>
      <c r="P859" s="60"/>
      <c r="Q859" s="60"/>
      <c r="R859" s="58"/>
      <c r="S859" s="62" t="str">
        <f aca="false">IF(OR(B859="",V859=""),"",IFERROR(INDEX(C_TIPO,MATCH(V859&amp;"-P"&amp;MAX(1,COUNTIFS(C_RUTN,V859,C_DEF,"Sí",C_INI,"&lt;="&amp;EOMONTH(B859,0))),C_CLAVE,0))&amp;"","Sin contrato"))</f>
        <v/>
      </c>
      <c r="T859" s="63" t="str">
        <f aca="false">IF(OR(B859="",N(O859)=0),"",N(O859)+ROUND(MIN(N(N859),TOPE_UF*UF_MES)*(TASA_EMP+MUTUAL),0)+ROUND(MIN(N(N859),TOPE_AFC_UF*UF_MES)*IF(S859="Indefinido",AFC_INDEF,AFC_PF),0))</f>
        <v/>
      </c>
      <c r="U859" s="62" t="str">
        <f aca="false">IF(C859="","",IF(LEFT(D859,1)="⚠","⚠ RUT no registrado en Trabajadores",IF(B859="","⚠ Falta el mes",IF(OR(ISTEXT(I859),ISTEXT(J859)),"⚠ Atrasos u horas extra como texto: escriba hh:mm (ej. 1:30)",IF(AND(ISNUMBER(Q859),COUNTIFS(M_RUTN,V859,M_MES,B859,M_LIQ,"&lt;&gt;")&gt;1),"⚠ Liquidación repetida en el mes",IF(AND(ISNUMBER(O859),ISNUMBER(P859),ISNUMBER(Q859),ABS(O859-P859-Q859)&gt;1),"⚠ Haberes − descuentos no da el líquido","OK"))))))</f>
        <v/>
      </c>
      <c r="V859" s="62" t="str">
        <f aca="false">IF(C859="","",IFERROR(VALUE(LEFT(UPPER(SUBSTITUTE(SUBSTITUTE(SUBSTITUTE(TRIM(C859),".",""),"-","")," ","")),LEN(UPPER(SUBSTITUTE(SUBSTITUTE(SUBSTITUTE(TRIM(C859),".",""),"-","")," ","")))-1))&amp;RIGHT(UPPER(SUBSTITUTE(SUBSTITUTE(SUBSTITUTE(TRIM(C859),".",""),"-","")," ","")),1),UPPER(SUBSTITUTE(SUBSTITUTE(SUBSTITUTE(TRIM(C859),".",""),"-","")," ",""))))</f>
        <v/>
      </c>
    </row>
    <row r="860" customFormat="false" ht="15" hidden="false" customHeight="false" outlineLevel="0" collapsed="false">
      <c r="B860" s="80"/>
      <c r="C860" s="58"/>
      <c r="D860" s="62" t="str">
        <f aca="false">IF(C860="","",IFERROR(INDEX(T_NOMBRE,MATCH(V860,T_RUTN,0)),"⚠ RUT no está en Trabajadores"))</f>
        <v/>
      </c>
      <c r="E860" s="61"/>
      <c r="F860" s="61"/>
      <c r="G860" s="61"/>
      <c r="H860" s="61"/>
      <c r="I860" s="81"/>
      <c r="J860" s="81"/>
      <c r="K860" s="60"/>
      <c r="L860" s="60"/>
      <c r="M860" s="60"/>
      <c r="N860" s="60"/>
      <c r="O860" s="60"/>
      <c r="P860" s="60"/>
      <c r="Q860" s="60"/>
      <c r="R860" s="58"/>
      <c r="S860" s="62" t="str">
        <f aca="false">IF(OR(B860="",V860=""),"",IFERROR(INDEX(C_TIPO,MATCH(V860&amp;"-P"&amp;MAX(1,COUNTIFS(C_RUTN,V860,C_DEF,"Sí",C_INI,"&lt;="&amp;EOMONTH(B860,0))),C_CLAVE,0))&amp;"","Sin contrato"))</f>
        <v/>
      </c>
      <c r="T860" s="63" t="str">
        <f aca="false">IF(OR(B860="",N(O860)=0),"",N(O860)+ROUND(MIN(N(N860),TOPE_UF*UF_MES)*(TASA_EMP+MUTUAL),0)+ROUND(MIN(N(N860),TOPE_AFC_UF*UF_MES)*IF(S860="Indefinido",AFC_INDEF,AFC_PF),0))</f>
        <v/>
      </c>
      <c r="U860" s="62" t="str">
        <f aca="false">IF(C860="","",IF(LEFT(D860,1)="⚠","⚠ RUT no registrado en Trabajadores",IF(B860="","⚠ Falta el mes",IF(OR(ISTEXT(I860),ISTEXT(J860)),"⚠ Atrasos u horas extra como texto: escriba hh:mm (ej. 1:30)",IF(AND(ISNUMBER(Q860),COUNTIFS(M_RUTN,V860,M_MES,B860,M_LIQ,"&lt;&gt;")&gt;1),"⚠ Liquidación repetida en el mes",IF(AND(ISNUMBER(O860),ISNUMBER(P860),ISNUMBER(Q860),ABS(O860-P860-Q860)&gt;1),"⚠ Haberes − descuentos no da el líquido","OK"))))))</f>
        <v/>
      </c>
      <c r="V860" s="62" t="str">
        <f aca="false">IF(C860="","",IFERROR(VALUE(LEFT(UPPER(SUBSTITUTE(SUBSTITUTE(SUBSTITUTE(TRIM(C860),".",""),"-","")," ","")),LEN(UPPER(SUBSTITUTE(SUBSTITUTE(SUBSTITUTE(TRIM(C860),".",""),"-","")," ","")))-1))&amp;RIGHT(UPPER(SUBSTITUTE(SUBSTITUTE(SUBSTITUTE(TRIM(C860),".",""),"-","")," ","")),1),UPPER(SUBSTITUTE(SUBSTITUTE(SUBSTITUTE(TRIM(C860),".",""),"-","")," ",""))))</f>
        <v/>
      </c>
    </row>
    <row r="861" customFormat="false" ht="15" hidden="false" customHeight="false" outlineLevel="0" collapsed="false">
      <c r="B861" s="80"/>
      <c r="C861" s="58"/>
      <c r="D861" s="62" t="str">
        <f aca="false">IF(C861="","",IFERROR(INDEX(T_NOMBRE,MATCH(V861,T_RUTN,0)),"⚠ RUT no está en Trabajadores"))</f>
        <v/>
      </c>
      <c r="E861" s="61"/>
      <c r="F861" s="61"/>
      <c r="G861" s="61"/>
      <c r="H861" s="61"/>
      <c r="I861" s="81"/>
      <c r="J861" s="81"/>
      <c r="K861" s="60"/>
      <c r="L861" s="60"/>
      <c r="M861" s="60"/>
      <c r="N861" s="60"/>
      <c r="O861" s="60"/>
      <c r="P861" s="60"/>
      <c r="Q861" s="60"/>
      <c r="R861" s="58"/>
      <c r="S861" s="62" t="str">
        <f aca="false">IF(OR(B861="",V861=""),"",IFERROR(INDEX(C_TIPO,MATCH(V861&amp;"-P"&amp;MAX(1,COUNTIFS(C_RUTN,V861,C_DEF,"Sí",C_INI,"&lt;="&amp;EOMONTH(B861,0))),C_CLAVE,0))&amp;"","Sin contrato"))</f>
        <v/>
      </c>
      <c r="T861" s="63" t="str">
        <f aca="false">IF(OR(B861="",N(O861)=0),"",N(O861)+ROUND(MIN(N(N861),TOPE_UF*UF_MES)*(TASA_EMP+MUTUAL),0)+ROUND(MIN(N(N861),TOPE_AFC_UF*UF_MES)*IF(S861="Indefinido",AFC_INDEF,AFC_PF),0))</f>
        <v/>
      </c>
      <c r="U861" s="62" t="str">
        <f aca="false">IF(C861="","",IF(LEFT(D861,1)="⚠","⚠ RUT no registrado en Trabajadores",IF(B861="","⚠ Falta el mes",IF(OR(ISTEXT(I861),ISTEXT(J861)),"⚠ Atrasos u horas extra como texto: escriba hh:mm (ej. 1:30)",IF(AND(ISNUMBER(Q861),COUNTIFS(M_RUTN,V861,M_MES,B861,M_LIQ,"&lt;&gt;")&gt;1),"⚠ Liquidación repetida en el mes",IF(AND(ISNUMBER(O861),ISNUMBER(P861),ISNUMBER(Q861),ABS(O861-P861-Q861)&gt;1),"⚠ Haberes − descuentos no da el líquido","OK"))))))</f>
        <v/>
      </c>
      <c r="V861" s="62" t="str">
        <f aca="false">IF(C861="","",IFERROR(VALUE(LEFT(UPPER(SUBSTITUTE(SUBSTITUTE(SUBSTITUTE(TRIM(C861),".",""),"-","")," ","")),LEN(UPPER(SUBSTITUTE(SUBSTITUTE(SUBSTITUTE(TRIM(C861),".",""),"-","")," ","")))-1))&amp;RIGHT(UPPER(SUBSTITUTE(SUBSTITUTE(SUBSTITUTE(TRIM(C861),".",""),"-","")," ","")),1),UPPER(SUBSTITUTE(SUBSTITUTE(SUBSTITUTE(TRIM(C861),".",""),"-","")," ",""))))</f>
        <v/>
      </c>
    </row>
    <row r="862" customFormat="false" ht="15" hidden="false" customHeight="false" outlineLevel="0" collapsed="false">
      <c r="B862" s="80"/>
      <c r="C862" s="58"/>
      <c r="D862" s="62" t="str">
        <f aca="false">IF(C862="","",IFERROR(INDEX(T_NOMBRE,MATCH(V862,T_RUTN,0)),"⚠ RUT no está en Trabajadores"))</f>
        <v/>
      </c>
      <c r="E862" s="61"/>
      <c r="F862" s="61"/>
      <c r="G862" s="61"/>
      <c r="H862" s="61"/>
      <c r="I862" s="81"/>
      <c r="J862" s="81"/>
      <c r="K862" s="60"/>
      <c r="L862" s="60"/>
      <c r="M862" s="60"/>
      <c r="N862" s="60"/>
      <c r="O862" s="60"/>
      <c r="P862" s="60"/>
      <c r="Q862" s="60"/>
      <c r="R862" s="58"/>
      <c r="S862" s="62" t="str">
        <f aca="false">IF(OR(B862="",V862=""),"",IFERROR(INDEX(C_TIPO,MATCH(V862&amp;"-P"&amp;MAX(1,COUNTIFS(C_RUTN,V862,C_DEF,"Sí",C_INI,"&lt;="&amp;EOMONTH(B862,0))),C_CLAVE,0))&amp;"","Sin contrato"))</f>
        <v/>
      </c>
      <c r="T862" s="63" t="str">
        <f aca="false">IF(OR(B862="",N(O862)=0),"",N(O862)+ROUND(MIN(N(N862),TOPE_UF*UF_MES)*(TASA_EMP+MUTUAL),0)+ROUND(MIN(N(N862),TOPE_AFC_UF*UF_MES)*IF(S862="Indefinido",AFC_INDEF,AFC_PF),0))</f>
        <v/>
      </c>
      <c r="U862" s="62" t="str">
        <f aca="false">IF(C862="","",IF(LEFT(D862,1)="⚠","⚠ RUT no registrado en Trabajadores",IF(B862="","⚠ Falta el mes",IF(OR(ISTEXT(I862),ISTEXT(J862)),"⚠ Atrasos u horas extra como texto: escriba hh:mm (ej. 1:30)",IF(AND(ISNUMBER(Q862),COUNTIFS(M_RUTN,V862,M_MES,B862,M_LIQ,"&lt;&gt;")&gt;1),"⚠ Liquidación repetida en el mes",IF(AND(ISNUMBER(O862),ISNUMBER(P862),ISNUMBER(Q862),ABS(O862-P862-Q862)&gt;1),"⚠ Haberes − descuentos no da el líquido","OK"))))))</f>
        <v/>
      </c>
      <c r="V862" s="62" t="str">
        <f aca="false">IF(C862="","",IFERROR(VALUE(LEFT(UPPER(SUBSTITUTE(SUBSTITUTE(SUBSTITUTE(TRIM(C862),".",""),"-","")," ","")),LEN(UPPER(SUBSTITUTE(SUBSTITUTE(SUBSTITUTE(TRIM(C862),".",""),"-","")," ","")))-1))&amp;RIGHT(UPPER(SUBSTITUTE(SUBSTITUTE(SUBSTITUTE(TRIM(C862),".",""),"-","")," ","")),1),UPPER(SUBSTITUTE(SUBSTITUTE(SUBSTITUTE(TRIM(C862),".",""),"-","")," ",""))))</f>
        <v/>
      </c>
    </row>
    <row r="863" customFormat="false" ht="15" hidden="false" customHeight="false" outlineLevel="0" collapsed="false">
      <c r="B863" s="80"/>
      <c r="C863" s="58"/>
      <c r="D863" s="62" t="str">
        <f aca="false">IF(C863="","",IFERROR(INDEX(T_NOMBRE,MATCH(V863,T_RUTN,0)),"⚠ RUT no está en Trabajadores"))</f>
        <v/>
      </c>
      <c r="E863" s="61"/>
      <c r="F863" s="61"/>
      <c r="G863" s="61"/>
      <c r="H863" s="61"/>
      <c r="I863" s="81"/>
      <c r="J863" s="81"/>
      <c r="K863" s="60"/>
      <c r="L863" s="60"/>
      <c r="M863" s="60"/>
      <c r="N863" s="60"/>
      <c r="O863" s="60"/>
      <c r="P863" s="60"/>
      <c r="Q863" s="60"/>
      <c r="R863" s="58"/>
      <c r="S863" s="62" t="str">
        <f aca="false">IF(OR(B863="",V863=""),"",IFERROR(INDEX(C_TIPO,MATCH(V863&amp;"-P"&amp;MAX(1,COUNTIFS(C_RUTN,V863,C_DEF,"Sí",C_INI,"&lt;="&amp;EOMONTH(B863,0))),C_CLAVE,0))&amp;"","Sin contrato"))</f>
        <v/>
      </c>
      <c r="T863" s="63" t="str">
        <f aca="false">IF(OR(B863="",N(O863)=0),"",N(O863)+ROUND(MIN(N(N863),TOPE_UF*UF_MES)*(TASA_EMP+MUTUAL),0)+ROUND(MIN(N(N863),TOPE_AFC_UF*UF_MES)*IF(S863="Indefinido",AFC_INDEF,AFC_PF),0))</f>
        <v/>
      </c>
      <c r="U863" s="62" t="str">
        <f aca="false">IF(C863="","",IF(LEFT(D863,1)="⚠","⚠ RUT no registrado en Trabajadores",IF(B863="","⚠ Falta el mes",IF(OR(ISTEXT(I863),ISTEXT(J863)),"⚠ Atrasos u horas extra como texto: escriba hh:mm (ej. 1:30)",IF(AND(ISNUMBER(Q863),COUNTIFS(M_RUTN,V863,M_MES,B863,M_LIQ,"&lt;&gt;")&gt;1),"⚠ Liquidación repetida en el mes",IF(AND(ISNUMBER(O863),ISNUMBER(P863),ISNUMBER(Q863),ABS(O863-P863-Q863)&gt;1),"⚠ Haberes − descuentos no da el líquido","OK"))))))</f>
        <v/>
      </c>
      <c r="V863" s="62" t="str">
        <f aca="false">IF(C863="","",IFERROR(VALUE(LEFT(UPPER(SUBSTITUTE(SUBSTITUTE(SUBSTITUTE(TRIM(C863),".",""),"-","")," ","")),LEN(UPPER(SUBSTITUTE(SUBSTITUTE(SUBSTITUTE(TRIM(C863),".",""),"-","")," ","")))-1))&amp;RIGHT(UPPER(SUBSTITUTE(SUBSTITUTE(SUBSTITUTE(TRIM(C863),".",""),"-","")," ","")),1),UPPER(SUBSTITUTE(SUBSTITUTE(SUBSTITUTE(TRIM(C863),".",""),"-","")," ",""))))</f>
        <v/>
      </c>
    </row>
    <row r="864" customFormat="false" ht="15" hidden="false" customHeight="false" outlineLevel="0" collapsed="false">
      <c r="B864" s="80"/>
      <c r="C864" s="58"/>
      <c r="D864" s="62" t="str">
        <f aca="false">IF(C864="","",IFERROR(INDEX(T_NOMBRE,MATCH(V864,T_RUTN,0)),"⚠ RUT no está en Trabajadores"))</f>
        <v/>
      </c>
      <c r="E864" s="61"/>
      <c r="F864" s="61"/>
      <c r="G864" s="61"/>
      <c r="H864" s="61"/>
      <c r="I864" s="81"/>
      <c r="J864" s="81"/>
      <c r="K864" s="60"/>
      <c r="L864" s="60"/>
      <c r="M864" s="60"/>
      <c r="N864" s="60"/>
      <c r="O864" s="60"/>
      <c r="P864" s="60"/>
      <c r="Q864" s="60"/>
      <c r="R864" s="58"/>
      <c r="S864" s="62" t="str">
        <f aca="false">IF(OR(B864="",V864=""),"",IFERROR(INDEX(C_TIPO,MATCH(V864&amp;"-P"&amp;MAX(1,COUNTIFS(C_RUTN,V864,C_DEF,"Sí",C_INI,"&lt;="&amp;EOMONTH(B864,0))),C_CLAVE,0))&amp;"","Sin contrato"))</f>
        <v/>
      </c>
      <c r="T864" s="63" t="str">
        <f aca="false">IF(OR(B864="",N(O864)=0),"",N(O864)+ROUND(MIN(N(N864),TOPE_UF*UF_MES)*(TASA_EMP+MUTUAL),0)+ROUND(MIN(N(N864),TOPE_AFC_UF*UF_MES)*IF(S864="Indefinido",AFC_INDEF,AFC_PF),0))</f>
        <v/>
      </c>
      <c r="U864" s="62" t="str">
        <f aca="false">IF(C864="","",IF(LEFT(D864,1)="⚠","⚠ RUT no registrado en Trabajadores",IF(B864="","⚠ Falta el mes",IF(OR(ISTEXT(I864),ISTEXT(J864)),"⚠ Atrasos u horas extra como texto: escriba hh:mm (ej. 1:30)",IF(AND(ISNUMBER(Q864),COUNTIFS(M_RUTN,V864,M_MES,B864,M_LIQ,"&lt;&gt;")&gt;1),"⚠ Liquidación repetida en el mes",IF(AND(ISNUMBER(O864),ISNUMBER(P864),ISNUMBER(Q864),ABS(O864-P864-Q864)&gt;1),"⚠ Haberes − descuentos no da el líquido","OK"))))))</f>
        <v/>
      </c>
      <c r="V864" s="62" t="str">
        <f aca="false">IF(C864="","",IFERROR(VALUE(LEFT(UPPER(SUBSTITUTE(SUBSTITUTE(SUBSTITUTE(TRIM(C864),".",""),"-","")," ","")),LEN(UPPER(SUBSTITUTE(SUBSTITUTE(SUBSTITUTE(TRIM(C864),".",""),"-","")," ","")))-1))&amp;RIGHT(UPPER(SUBSTITUTE(SUBSTITUTE(SUBSTITUTE(TRIM(C864),".",""),"-","")," ","")),1),UPPER(SUBSTITUTE(SUBSTITUTE(SUBSTITUTE(TRIM(C864),".",""),"-","")," ",""))))</f>
        <v/>
      </c>
    </row>
    <row r="865" customFormat="false" ht="15" hidden="false" customHeight="false" outlineLevel="0" collapsed="false">
      <c r="B865" s="80"/>
      <c r="C865" s="58"/>
      <c r="D865" s="62" t="str">
        <f aca="false">IF(C865="","",IFERROR(INDEX(T_NOMBRE,MATCH(V865,T_RUTN,0)),"⚠ RUT no está en Trabajadores"))</f>
        <v/>
      </c>
      <c r="E865" s="61"/>
      <c r="F865" s="61"/>
      <c r="G865" s="61"/>
      <c r="H865" s="61"/>
      <c r="I865" s="81"/>
      <c r="J865" s="81"/>
      <c r="K865" s="60"/>
      <c r="L865" s="60"/>
      <c r="M865" s="60"/>
      <c r="N865" s="60"/>
      <c r="O865" s="60"/>
      <c r="P865" s="60"/>
      <c r="Q865" s="60"/>
      <c r="R865" s="58"/>
      <c r="S865" s="62" t="str">
        <f aca="false">IF(OR(B865="",V865=""),"",IFERROR(INDEX(C_TIPO,MATCH(V865&amp;"-P"&amp;MAX(1,COUNTIFS(C_RUTN,V865,C_DEF,"Sí",C_INI,"&lt;="&amp;EOMONTH(B865,0))),C_CLAVE,0))&amp;"","Sin contrato"))</f>
        <v/>
      </c>
      <c r="T865" s="63" t="str">
        <f aca="false">IF(OR(B865="",N(O865)=0),"",N(O865)+ROUND(MIN(N(N865),TOPE_UF*UF_MES)*(TASA_EMP+MUTUAL),0)+ROUND(MIN(N(N865),TOPE_AFC_UF*UF_MES)*IF(S865="Indefinido",AFC_INDEF,AFC_PF),0))</f>
        <v/>
      </c>
      <c r="U865" s="62" t="str">
        <f aca="false">IF(C865="","",IF(LEFT(D865,1)="⚠","⚠ RUT no registrado en Trabajadores",IF(B865="","⚠ Falta el mes",IF(OR(ISTEXT(I865),ISTEXT(J865)),"⚠ Atrasos u horas extra como texto: escriba hh:mm (ej. 1:30)",IF(AND(ISNUMBER(Q865),COUNTIFS(M_RUTN,V865,M_MES,B865,M_LIQ,"&lt;&gt;")&gt;1),"⚠ Liquidación repetida en el mes",IF(AND(ISNUMBER(O865),ISNUMBER(P865),ISNUMBER(Q865),ABS(O865-P865-Q865)&gt;1),"⚠ Haberes − descuentos no da el líquido","OK"))))))</f>
        <v/>
      </c>
      <c r="V865" s="62" t="str">
        <f aca="false">IF(C865="","",IFERROR(VALUE(LEFT(UPPER(SUBSTITUTE(SUBSTITUTE(SUBSTITUTE(TRIM(C865),".",""),"-","")," ","")),LEN(UPPER(SUBSTITUTE(SUBSTITUTE(SUBSTITUTE(TRIM(C865),".",""),"-","")," ","")))-1))&amp;RIGHT(UPPER(SUBSTITUTE(SUBSTITUTE(SUBSTITUTE(TRIM(C865),".",""),"-","")," ","")),1),UPPER(SUBSTITUTE(SUBSTITUTE(SUBSTITUTE(TRIM(C865),".",""),"-","")," ",""))))</f>
        <v/>
      </c>
    </row>
    <row r="866" customFormat="false" ht="15" hidden="false" customHeight="false" outlineLevel="0" collapsed="false">
      <c r="B866" s="80"/>
      <c r="C866" s="58"/>
      <c r="D866" s="62" t="str">
        <f aca="false">IF(C866="","",IFERROR(INDEX(T_NOMBRE,MATCH(V866,T_RUTN,0)),"⚠ RUT no está en Trabajadores"))</f>
        <v/>
      </c>
      <c r="E866" s="61"/>
      <c r="F866" s="61"/>
      <c r="G866" s="61"/>
      <c r="H866" s="61"/>
      <c r="I866" s="81"/>
      <c r="J866" s="81"/>
      <c r="K866" s="60"/>
      <c r="L866" s="60"/>
      <c r="M866" s="60"/>
      <c r="N866" s="60"/>
      <c r="O866" s="60"/>
      <c r="P866" s="60"/>
      <c r="Q866" s="60"/>
      <c r="R866" s="58"/>
      <c r="S866" s="62" t="str">
        <f aca="false">IF(OR(B866="",V866=""),"",IFERROR(INDEX(C_TIPO,MATCH(V866&amp;"-P"&amp;MAX(1,COUNTIFS(C_RUTN,V866,C_DEF,"Sí",C_INI,"&lt;="&amp;EOMONTH(B866,0))),C_CLAVE,0))&amp;"","Sin contrato"))</f>
        <v/>
      </c>
      <c r="T866" s="63" t="str">
        <f aca="false">IF(OR(B866="",N(O866)=0),"",N(O866)+ROUND(MIN(N(N866),TOPE_UF*UF_MES)*(TASA_EMP+MUTUAL),0)+ROUND(MIN(N(N866),TOPE_AFC_UF*UF_MES)*IF(S866="Indefinido",AFC_INDEF,AFC_PF),0))</f>
        <v/>
      </c>
      <c r="U866" s="62" t="str">
        <f aca="false">IF(C866="","",IF(LEFT(D866,1)="⚠","⚠ RUT no registrado en Trabajadores",IF(B866="","⚠ Falta el mes",IF(OR(ISTEXT(I866),ISTEXT(J866)),"⚠ Atrasos u horas extra como texto: escriba hh:mm (ej. 1:30)",IF(AND(ISNUMBER(Q866),COUNTIFS(M_RUTN,V866,M_MES,B866,M_LIQ,"&lt;&gt;")&gt;1),"⚠ Liquidación repetida en el mes",IF(AND(ISNUMBER(O866),ISNUMBER(P866),ISNUMBER(Q866),ABS(O866-P866-Q866)&gt;1),"⚠ Haberes − descuentos no da el líquido","OK"))))))</f>
        <v/>
      </c>
      <c r="V866" s="62" t="str">
        <f aca="false">IF(C866="","",IFERROR(VALUE(LEFT(UPPER(SUBSTITUTE(SUBSTITUTE(SUBSTITUTE(TRIM(C866),".",""),"-","")," ","")),LEN(UPPER(SUBSTITUTE(SUBSTITUTE(SUBSTITUTE(TRIM(C866),".",""),"-","")," ","")))-1))&amp;RIGHT(UPPER(SUBSTITUTE(SUBSTITUTE(SUBSTITUTE(TRIM(C866),".",""),"-","")," ","")),1),UPPER(SUBSTITUTE(SUBSTITUTE(SUBSTITUTE(TRIM(C866),".",""),"-","")," ",""))))</f>
        <v/>
      </c>
    </row>
    <row r="867" customFormat="false" ht="15" hidden="false" customHeight="false" outlineLevel="0" collapsed="false">
      <c r="B867" s="80"/>
      <c r="C867" s="58"/>
      <c r="D867" s="62" t="str">
        <f aca="false">IF(C867="","",IFERROR(INDEX(T_NOMBRE,MATCH(V867,T_RUTN,0)),"⚠ RUT no está en Trabajadores"))</f>
        <v/>
      </c>
      <c r="E867" s="61"/>
      <c r="F867" s="61"/>
      <c r="G867" s="61"/>
      <c r="H867" s="61"/>
      <c r="I867" s="81"/>
      <c r="J867" s="81"/>
      <c r="K867" s="60"/>
      <c r="L867" s="60"/>
      <c r="M867" s="60"/>
      <c r="N867" s="60"/>
      <c r="O867" s="60"/>
      <c r="P867" s="60"/>
      <c r="Q867" s="60"/>
      <c r="R867" s="58"/>
      <c r="S867" s="62" t="str">
        <f aca="false">IF(OR(B867="",V867=""),"",IFERROR(INDEX(C_TIPO,MATCH(V867&amp;"-P"&amp;MAX(1,COUNTIFS(C_RUTN,V867,C_DEF,"Sí",C_INI,"&lt;="&amp;EOMONTH(B867,0))),C_CLAVE,0))&amp;"","Sin contrato"))</f>
        <v/>
      </c>
      <c r="T867" s="63" t="str">
        <f aca="false">IF(OR(B867="",N(O867)=0),"",N(O867)+ROUND(MIN(N(N867),TOPE_UF*UF_MES)*(TASA_EMP+MUTUAL),0)+ROUND(MIN(N(N867),TOPE_AFC_UF*UF_MES)*IF(S867="Indefinido",AFC_INDEF,AFC_PF),0))</f>
        <v/>
      </c>
      <c r="U867" s="62" t="str">
        <f aca="false">IF(C867="","",IF(LEFT(D867,1)="⚠","⚠ RUT no registrado en Trabajadores",IF(B867="","⚠ Falta el mes",IF(OR(ISTEXT(I867),ISTEXT(J867)),"⚠ Atrasos u horas extra como texto: escriba hh:mm (ej. 1:30)",IF(AND(ISNUMBER(Q867),COUNTIFS(M_RUTN,V867,M_MES,B867,M_LIQ,"&lt;&gt;")&gt;1),"⚠ Liquidación repetida en el mes",IF(AND(ISNUMBER(O867),ISNUMBER(P867),ISNUMBER(Q867),ABS(O867-P867-Q867)&gt;1),"⚠ Haberes − descuentos no da el líquido","OK"))))))</f>
        <v/>
      </c>
      <c r="V867" s="62" t="str">
        <f aca="false">IF(C867="","",IFERROR(VALUE(LEFT(UPPER(SUBSTITUTE(SUBSTITUTE(SUBSTITUTE(TRIM(C867),".",""),"-","")," ","")),LEN(UPPER(SUBSTITUTE(SUBSTITUTE(SUBSTITUTE(TRIM(C867),".",""),"-","")," ","")))-1))&amp;RIGHT(UPPER(SUBSTITUTE(SUBSTITUTE(SUBSTITUTE(TRIM(C867),".",""),"-","")," ","")),1),UPPER(SUBSTITUTE(SUBSTITUTE(SUBSTITUTE(TRIM(C867),".",""),"-","")," ",""))))</f>
        <v/>
      </c>
    </row>
    <row r="868" customFormat="false" ht="15" hidden="false" customHeight="false" outlineLevel="0" collapsed="false">
      <c r="B868" s="80"/>
      <c r="C868" s="58"/>
      <c r="D868" s="62" t="str">
        <f aca="false">IF(C868="","",IFERROR(INDEX(T_NOMBRE,MATCH(V868,T_RUTN,0)),"⚠ RUT no está en Trabajadores"))</f>
        <v/>
      </c>
      <c r="E868" s="61"/>
      <c r="F868" s="61"/>
      <c r="G868" s="61"/>
      <c r="H868" s="61"/>
      <c r="I868" s="81"/>
      <c r="J868" s="81"/>
      <c r="K868" s="60"/>
      <c r="L868" s="60"/>
      <c r="M868" s="60"/>
      <c r="N868" s="60"/>
      <c r="O868" s="60"/>
      <c r="P868" s="60"/>
      <c r="Q868" s="60"/>
      <c r="R868" s="58"/>
      <c r="S868" s="62" t="str">
        <f aca="false">IF(OR(B868="",V868=""),"",IFERROR(INDEX(C_TIPO,MATCH(V868&amp;"-P"&amp;MAX(1,COUNTIFS(C_RUTN,V868,C_DEF,"Sí",C_INI,"&lt;="&amp;EOMONTH(B868,0))),C_CLAVE,0))&amp;"","Sin contrato"))</f>
        <v/>
      </c>
      <c r="T868" s="63" t="str">
        <f aca="false">IF(OR(B868="",N(O868)=0),"",N(O868)+ROUND(MIN(N(N868),TOPE_UF*UF_MES)*(TASA_EMP+MUTUAL),0)+ROUND(MIN(N(N868),TOPE_AFC_UF*UF_MES)*IF(S868="Indefinido",AFC_INDEF,AFC_PF),0))</f>
        <v/>
      </c>
      <c r="U868" s="62" t="str">
        <f aca="false">IF(C868="","",IF(LEFT(D868,1)="⚠","⚠ RUT no registrado en Trabajadores",IF(B868="","⚠ Falta el mes",IF(OR(ISTEXT(I868),ISTEXT(J868)),"⚠ Atrasos u horas extra como texto: escriba hh:mm (ej. 1:30)",IF(AND(ISNUMBER(Q868),COUNTIFS(M_RUTN,V868,M_MES,B868,M_LIQ,"&lt;&gt;")&gt;1),"⚠ Liquidación repetida en el mes",IF(AND(ISNUMBER(O868),ISNUMBER(P868),ISNUMBER(Q868),ABS(O868-P868-Q868)&gt;1),"⚠ Haberes − descuentos no da el líquido","OK"))))))</f>
        <v/>
      </c>
      <c r="V868" s="62" t="str">
        <f aca="false">IF(C868="","",IFERROR(VALUE(LEFT(UPPER(SUBSTITUTE(SUBSTITUTE(SUBSTITUTE(TRIM(C868),".",""),"-","")," ","")),LEN(UPPER(SUBSTITUTE(SUBSTITUTE(SUBSTITUTE(TRIM(C868),".",""),"-","")," ","")))-1))&amp;RIGHT(UPPER(SUBSTITUTE(SUBSTITUTE(SUBSTITUTE(TRIM(C868),".",""),"-","")," ","")),1),UPPER(SUBSTITUTE(SUBSTITUTE(SUBSTITUTE(TRIM(C868),".",""),"-","")," ",""))))</f>
        <v/>
      </c>
    </row>
    <row r="869" customFormat="false" ht="15" hidden="false" customHeight="false" outlineLevel="0" collapsed="false">
      <c r="B869" s="80"/>
      <c r="C869" s="58"/>
      <c r="D869" s="62" t="str">
        <f aca="false">IF(C869="","",IFERROR(INDEX(T_NOMBRE,MATCH(V869,T_RUTN,0)),"⚠ RUT no está en Trabajadores"))</f>
        <v/>
      </c>
      <c r="E869" s="61"/>
      <c r="F869" s="61"/>
      <c r="G869" s="61"/>
      <c r="H869" s="61"/>
      <c r="I869" s="81"/>
      <c r="J869" s="81"/>
      <c r="K869" s="60"/>
      <c r="L869" s="60"/>
      <c r="M869" s="60"/>
      <c r="N869" s="60"/>
      <c r="O869" s="60"/>
      <c r="P869" s="60"/>
      <c r="Q869" s="60"/>
      <c r="R869" s="58"/>
      <c r="S869" s="62" t="str">
        <f aca="false">IF(OR(B869="",V869=""),"",IFERROR(INDEX(C_TIPO,MATCH(V869&amp;"-P"&amp;MAX(1,COUNTIFS(C_RUTN,V869,C_DEF,"Sí",C_INI,"&lt;="&amp;EOMONTH(B869,0))),C_CLAVE,0))&amp;"","Sin contrato"))</f>
        <v/>
      </c>
      <c r="T869" s="63" t="str">
        <f aca="false">IF(OR(B869="",N(O869)=0),"",N(O869)+ROUND(MIN(N(N869),TOPE_UF*UF_MES)*(TASA_EMP+MUTUAL),0)+ROUND(MIN(N(N869),TOPE_AFC_UF*UF_MES)*IF(S869="Indefinido",AFC_INDEF,AFC_PF),0))</f>
        <v/>
      </c>
      <c r="U869" s="62" t="str">
        <f aca="false">IF(C869="","",IF(LEFT(D869,1)="⚠","⚠ RUT no registrado en Trabajadores",IF(B869="","⚠ Falta el mes",IF(OR(ISTEXT(I869),ISTEXT(J869)),"⚠ Atrasos u horas extra como texto: escriba hh:mm (ej. 1:30)",IF(AND(ISNUMBER(Q869),COUNTIFS(M_RUTN,V869,M_MES,B869,M_LIQ,"&lt;&gt;")&gt;1),"⚠ Liquidación repetida en el mes",IF(AND(ISNUMBER(O869),ISNUMBER(P869),ISNUMBER(Q869),ABS(O869-P869-Q869)&gt;1),"⚠ Haberes − descuentos no da el líquido","OK"))))))</f>
        <v/>
      </c>
      <c r="V869" s="62" t="str">
        <f aca="false">IF(C869="","",IFERROR(VALUE(LEFT(UPPER(SUBSTITUTE(SUBSTITUTE(SUBSTITUTE(TRIM(C869),".",""),"-","")," ","")),LEN(UPPER(SUBSTITUTE(SUBSTITUTE(SUBSTITUTE(TRIM(C869),".",""),"-","")," ","")))-1))&amp;RIGHT(UPPER(SUBSTITUTE(SUBSTITUTE(SUBSTITUTE(TRIM(C869),".",""),"-","")," ","")),1),UPPER(SUBSTITUTE(SUBSTITUTE(SUBSTITUTE(TRIM(C869),".",""),"-","")," ",""))))</f>
        <v/>
      </c>
    </row>
    <row r="870" customFormat="false" ht="15" hidden="false" customHeight="false" outlineLevel="0" collapsed="false">
      <c r="B870" s="80"/>
      <c r="C870" s="58"/>
      <c r="D870" s="62" t="str">
        <f aca="false">IF(C870="","",IFERROR(INDEX(T_NOMBRE,MATCH(V870,T_RUTN,0)),"⚠ RUT no está en Trabajadores"))</f>
        <v/>
      </c>
      <c r="E870" s="61"/>
      <c r="F870" s="61"/>
      <c r="G870" s="61"/>
      <c r="H870" s="61"/>
      <c r="I870" s="81"/>
      <c r="J870" s="81"/>
      <c r="K870" s="60"/>
      <c r="L870" s="60"/>
      <c r="M870" s="60"/>
      <c r="N870" s="60"/>
      <c r="O870" s="60"/>
      <c r="P870" s="60"/>
      <c r="Q870" s="60"/>
      <c r="R870" s="58"/>
      <c r="S870" s="62" t="str">
        <f aca="false">IF(OR(B870="",V870=""),"",IFERROR(INDEX(C_TIPO,MATCH(V870&amp;"-P"&amp;MAX(1,COUNTIFS(C_RUTN,V870,C_DEF,"Sí",C_INI,"&lt;="&amp;EOMONTH(B870,0))),C_CLAVE,0))&amp;"","Sin contrato"))</f>
        <v/>
      </c>
      <c r="T870" s="63" t="str">
        <f aca="false">IF(OR(B870="",N(O870)=0),"",N(O870)+ROUND(MIN(N(N870),TOPE_UF*UF_MES)*(TASA_EMP+MUTUAL),0)+ROUND(MIN(N(N870),TOPE_AFC_UF*UF_MES)*IF(S870="Indefinido",AFC_INDEF,AFC_PF),0))</f>
        <v/>
      </c>
      <c r="U870" s="62" t="str">
        <f aca="false">IF(C870="","",IF(LEFT(D870,1)="⚠","⚠ RUT no registrado en Trabajadores",IF(B870="","⚠ Falta el mes",IF(OR(ISTEXT(I870),ISTEXT(J870)),"⚠ Atrasos u horas extra como texto: escriba hh:mm (ej. 1:30)",IF(AND(ISNUMBER(Q870),COUNTIFS(M_RUTN,V870,M_MES,B870,M_LIQ,"&lt;&gt;")&gt;1),"⚠ Liquidación repetida en el mes",IF(AND(ISNUMBER(O870),ISNUMBER(P870),ISNUMBER(Q870),ABS(O870-P870-Q870)&gt;1),"⚠ Haberes − descuentos no da el líquido","OK"))))))</f>
        <v/>
      </c>
      <c r="V870" s="62" t="str">
        <f aca="false">IF(C870="","",IFERROR(VALUE(LEFT(UPPER(SUBSTITUTE(SUBSTITUTE(SUBSTITUTE(TRIM(C870),".",""),"-","")," ","")),LEN(UPPER(SUBSTITUTE(SUBSTITUTE(SUBSTITUTE(TRIM(C870),".",""),"-","")," ","")))-1))&amp;RIGHT(UPPER(SUBSTITUTE(SUBSTITUTE(SUBSTITUTE(TRIM(C870),".",""),"-","")," ","")),1),UPPER(SUBSTITUTE(SUBSTITUTE(SUBSTITUTE(TRIM(C870),".",""),"-","")," ",""))))</f>
        <v/>
      </c>
    </row>
    <row r="871" customFormat="false" ht="15" hidden="false" customHeight="false" outlineLevel="0" collapsed="false">
      <c r="B871" s="80"/>
      <c r="C871" s="58"/>
      <c r="D871" s="62" t="str">
        <f aca="false">IF(C871="","",IFERROR(INDEX(T_NOMBRE,MATCH(V871,T_RUTN,0)),"⚠ RUT no está en Trabajadores"))</f>
        <v/>
      </c>
      <c r="E871" s="61"/>
      <c r="F871" s="61"/>
      <c r="G871" s="61"/>
      <c r="H871" s="61"/>
      <c r="I871" s="81"/>
      <c r="J871" s="81"/>
      <c r="K871" s="60"/>
      <c r="L871" s="60"/>
      <c r="M871" s="60"/>
      <c r="N871" s="60"/>
      <c r="O871" s="60"/>
      <c r="P871" s="60"/>
      <c r="Q871" s="60"/>
      <c r="R871" s="58"/>
      <c r="S871" s="62" t="str">
        <f aca="false">IF(OR(B871="",V871=""),"",IFERROR(INDEX(C_TIPO,MATCH(V871&amp;"-P"&amp;MAX(1,COUNTIFS(C_RUTN,V871,C_DEF,"Sí",C_INI,"&lt;="&amp;EOMONTH(B871,0))),C_CLAVE,0))&amp;"","Sin contrato"))</f>
        <v/>
      </c>
      <c r="T871" s="63" t="str">
        <f aca="false">IF(OR(B871="",N(O871)=0),"",N(O871)+ROUND(MIN(N(N871),TOPE_UF*UF_MES)*(TASA_EMP+MUTUAL),0)+ROUND(MIN(N(N871),TOPE_AFC_UF*UF_MES)*IF(S871="Indefinido",AFC_INDEF,AFC_PF),0))</f>
        <v/>
      </c>
      <c r="U871" s="62" t="str">
        <f aca="false">IF(C871="","",IF(LEFT(D871,1)="⚠","⚠ RUT no registrado en Trabajadores",IF(B871="","⚠ Falta el mes",IF(OR(ISTEXT(I871),ISTEXT(J871)),"⚠ Atrasos u horas extra como texto: escriba hh:mm (ej. 1:30)",IF(AND(ISNUMBER(Q871),COUNTIFS(M_RUTN,V871,M_MES,B871,M_LIQ,"&lt;&gt;")&gt;1),"⚠ Liquidación repetida en el mes",IF(AND(ISNUMBER(O871),ISNUMBER(P871),ISNUMBER(Q871),ABS(O871-P871-Q871)&gt;1),"⚠ Haberes − descuentos no da el líquido","OK"))))))</f>
        <v/>
      </c>
      <c r="V871" s="62" t="str">
        <f aca="false">IF(C871="","",IFERROR(VALUE(LEFT(UPPER(SUBSTITUTE(SUBSTITUTE(SUBSTITUTE(TRIM(C871),".",""),"-","")," ","")),LEN(UPPER(SUBSTITUTE(SUBSTITUTE(SUBSTITUTE(TRIM(C871),".",""),"-","")," ","")))-1))&amp;RIGHT(UPPER(SUBSTITUTE(SUBSTITUTE(SUBSTITUTE(TRIM(C871),".",""),"-","")," ","")),1),UPPER(SUBSTITUTE(SUBSTITUTE(SUBSTITUTE(TRIM(C871),".",""),"-","")," ",""))))</f>
        <v/>
      </c>
    </row>
    <row r="872" customFormat="false" ht="15" hidden="false" customHeight="false" outlineLevel="0" collapsed="false">
      <c r="B872" s="80"/>
      <c r="C872" s="58"/>
      <c r="D872" s="62" t="str">
        <f aca="false">IF(C872="","",IFERROR(INDEX(T_NOMBRE,MATCH(V872,T_RUTN,0)),"⚠ RUT no está en Trabajadores"))</f>
        <v/>
      </c>
      <c r="E872" s="61"/>
      <c r="F872" s="61"/>
      <c r="G872" s="61"/>
      <c r="H872" s="61"/>
      <c r="I872" s="81"/>
      <c r="J872" s="81"/>
      <c r="K872" s="60"/>
      <c r="L872" s="60"/>
      <c r="M872" s="60"/>
      <c r="N872" s="60"/>
      <c r="O872" s="60"/>
      <c r="P872" s="60"/>
      <c r="Q872" s="60"/>
      <c r="R872" s="58"/>
      <c r="S872" s="62" t="str">
        <f aca="false">IF(OR(B872="",V872=""),"",IFERROR(INDEX(C_TIPO,MATCH(V872&amp;"-P"&amp;MAX(1,COUNTIFS(C_RUTN,V872,C_DEF,"Sí",C_INI,"&lt;="&amp;EOMONTH(B872,0))),C_CLAVE,0))&amp;"","Sin contrato"))</f>
        <v/>
      </c>
      <c r="T872" s="63" t="str">
        <f aca="false">IF(OR(B872="",N(O872)=0),"",N(O872)+ROUND(MIN(N(N872),TOPE_UF*UF_MES)*(TASA_EMP+MUTUAL),0)+ROUND(MIN(N(N872),TOPE_AFC_UF*UF_MES)*IF(S872="Indefinido",AFC_INDEF,AFC_PF),0))</f>
        <v/>
      </c>
      <c r="U872" s="62" t="str">
        <f aca="false">IF(C872="","",IF(LEFT(D872,1)="⚠","⚠ RUT no registrado en Trabajadores",IF(B872="","⚠ Falta el mes",IF(OR(ISTEXT(I872),ISTEXT(J872)),"⚠ Atrasos u horas extra como texto: escriba hh:mm (ej. 1:30)",IF(AND(ISNUMBER(Q872),COUNTIFS(M_RUTN,V872,M_MES,B872,M_LIQ,"&lt;&gt;")&gt;1),"⚠ Liquidación repetida en el mes",IF(AND(ISNUMBER(O872),ISNUMBER(P872),ISNUMBER(Q872),ABS(O872-P872-Q872)&gt;1),"⚠ Haberes − descuentos no da el líquido","OK"))))))</f>
        <v/>
      </c>
      <c r="V872" s="62" t="str">
        <f aca="false">IF(C872="","",IFERROR(VALUE(LEFT(UPPER(SUBSTITUTE(SUBSTITUTE(SUBSTITUTE(TRIM(C872),".",""),"-","")," ","")),LEN(UPPER(SUBSTITUTE(SUBSTITUTE(SUBSTITUTE(TRIM(C872),".",""),"-","")," ","")))-1))&amp;RIGHT(UPPER(SUBSTITUTE(SUBSTITUTE(SUBSTITUTE(TRIM(C872),".",""),"-","")," ","")),1),UPPER(SUBSTITUTE(SUBSTITUTE(SUBSTITUTE(TRIM(C872),".",""),"-","")," ",""))))</f>
        <v/>
      </c>
    </row>
    <row r="873" customFormat="false" ht="15" hidden="false" customHeight="false" outlineLevel="0" collapsed="false">
      <c r="B873" s="80"/>
      <c r="C873" s="58"/>
      <c r="D873" s="62" t="str">
        <f aca="false">IF(C873="","",IFERROR(INDEX(T_NOMBRE,MATCH(V873,T_RUTN,0)),"⚠ RUT no está en Trabajadores"))</f>
        <v/>
      </c>
      <c r="E873" s="61"/>
      <c r="F873" s="61"/>
      <c r="G873" s="61"/>
      <c r="H873" s="61"/>
      <c r="I873" s="81"/>
      <c r="J873" s="81"/>
      <c r="K873" s="60"/>
      <c r="L873" s="60"/>
      <c r="M873" s="60"/>
      <c r="N873" s="60"/>
      <c r="O873" s="60"/>
      <c r="P873" s="60"/>
      <c r="Q873" s="60"/>
      <c r="R873" s="58"/>
      <c r="S873" s="62" t="str">
        <f aca="false">IF(OR(B873="",V873=""),"",IFERROR(INDEX(C_TIPO,MATCH(V873&amp;"-P"&amp;MAX(1,COUNTIFS(C_RUTN,V873,C_DEF,"Sí",C_INI,"&lt;="&amp;EOMONTH(B873,0))),C_CLAVE,0))&amp;"","Sin contrato"))</f>
        <v/>
      </c>
      <c r="T873" s="63" t="str">
        <f aca="false">IF(OR(B873="",N(O873)=0),"",N(O873)+ROUND(MIN(N(N873),TOPE_UF*UF_MES)*(TASA_EMP+MUTUAL),0)+ROUND(MIN(N(N873),TOPE_AFC_UF*UF_MES)*IF(S873="Indefinido",AFC_INDEF,AFC_PF),0))</f>
        <v/>
      </c>
      <c r="U873" s="62" t="str">
        <f aca="false">IF(C873="","",IF(LEFT(D873,1)="⚠","⚠ RUT no registrado en Trabajadores",IF(B873="","⚠ Falta el mes",IF(OR(ISTEXT(I873),ISTEXT(J873)),"⚠ Atrasos u horas extra como texto: escriba hh:mm (ej. 1:30)",IF(AND(ISNUMBER(Q873),COUNTIFS(M_RUTN,V873,M_MES,B873,M_LIQ,"&lt;&gt;")&gt;1),"⚠ Liquidación repetida en el mes",IF(AND(ISNUMBER(O873),ISNUMBER(P873),ISNUMBER(Q873),ABS(O873-P873-Q873)&gt;1),"⚠ Haberes − descuentos no da el líquido","OK"))))))</f>
        <v/>
      </c>
      <c r="V873" s="62" t="str">
        <f aca="false">IF(C873="","",IFERROR(VALUE(LEFT(UPPER(SUBSTITUTE(SUBSTITUTE(SUBSTITUTE(TRIM(C873),".",""),"-","")," ","")),LEN(UPPER(SUBSTITUTE(SUBSTITUTE(SUBSTITUTE(TRIM(C873),".",""),"-","")," ","")))-1))&amp;RIGHT(UPPER(SUBSTITUTE(SUBSTITUTE(SUBSTITUTE(TRIM(C873),".",""),"-","")," ","")),1),UPPER(SUBSTITUTE(SUBSTITUTE(SUBSTITUTE(TRIM(C873),".",""),"-","")," ",""))))</f>
        <v/>
      </c>
    </row>
    <row r="874" customFormat="false" ht="15" hidden="false" customHeight="false" outlineLevel="0" collapsed="false">
      <c r="B874" s="80"/>
      <c r="C874" s="58"/>
      <c r="D874" s="62" t="str">
        <f aca="false">IF(C874="","",IFERROR(INDEX(T_NOMBRE,MATCH(V874,T_RUTN,0)),"⚠ RUT no está en Trabajadores"))</f>
        <v/>
      </c>
      <c r="E874" s="61"/>
      <c r="F874" s="61"/>
      <c r="G874" s="61"/>
      <c r="H874" s="61"/>
      <c r="I874" s="81"/>
      <c r="J874" s="81"/>
      <c r="K874" s="60"/>
      <c r="L874" s="60"/>
      <c r="M874" s="60"/>
      <c r="N874" s="60"/>
      <c r="O874" s="60"/>
      <c r="P874" s="60"/>
      <c r="Q874" s="60"/>
      <c r="R874" s="58"/>
      <c r="S874" s="62" t="str">
        <f aca="false">IF(OR(B874="",V874=""),"",IFERROR(INDEX(C_TIPO,MATCH(V874&amp;"-P"&amp;MAX(1,COUNTIFS(C_RUTN,V874,C_DEF,"Sí",C_INI,"&lt;="&amp;EOMONTH(B874,0))),C_CLAVE,0))&amp;"","Sin contrato"))</f>
        <v/>
      </c>
      <c r="T874" s="63" t="str">
        <f aca="false">IF(OR(B874="",N(O874)=0),"",N(O874)+ROUND(MIN(N(N874),TOPE_UF*UF_MES)*(TASA_EMP+MUTUAL),0)+ROUND(MIN(N(N874),TOPE_AFC_UF*UF_MES)*IF(S874="Indefinido",AFC_INDEF,AFC_PF),0))</f>
        <v/>
      </c>
      <c r="U874" s="62" t="str">
        <f aca="false">IF(C874="","",IF(LEFT(D874,1)="⚠","⚠ RUT no registrado en Trabajadores",IF(B874="","⚠ Falta el mes",IF(OR(ISTEXT(I874),ISTEXT(J874)),"⚠ Atrasos u horas extra como texto: escriba hh:mm (ej. 1:30)",IF(AND(ISNUMBER(Q874),COUNTIFS(M_RUTN,V874,M_MES,B874,M_LIQ,"&lt;&gt;")&gt;1),"⚠ Liquidación repetida en el mes",IF(AND(ISNUMBER(O874),ISNUMBER(P874),ISNUMBER(Q874),ABS(O874-P874-Q874)&gt;1),"⚠ Haberes − descuentos no da el líquido","OK"))))))</f>
        <v/>
      </c>
      <c r="V874" s="62" t="str">
        <f aca="false">IF(C874="","",IFERROR(VALUE(LEFT(UPPER(SUBSTITUTE(SUBSTITUTE(SUBSTITUTE(TRIM(C874),".",""),"-","")," ","")),LEN(UPPER(SUBSTITUTE(SUBSTITUTE(SUBSTITUTE(TRIM(C874),".",""),"-","")," ","")))-1))&amp;RIGHT(UPPER(SUBSTITUTE(SUBSTITUTE(SUBSTITUTE(TRIM(C874),".",""),"-","")," ","")),1),UPPER(SUBSTITUTE(SUBSTITUTE(SUBSTITUTE(TRIM(C874),".",""),"-","")," ",""))))</f>
        <v/>
      </c>
    </row>
    <row r="875" customFormat="false" ht="15" hidden="false" customHeight="false" outlineLevel="0" collapsed="false">
      <c r="B875" s="80"/>
      <c r="C875" s="58"/>
      <c r="D875" s="62" t="str">
        <f aca="false">IF(C875="","",IFERROR(INDEX(T_NOMBRE,MATCH(V875,T_RUTN,0)),"⚠ RUT no está en Trabajadores"))</f>
        <v/>
      </c>
      <c r="E875" s="61"/>
      <c r="F875" s="61"/>
      <c r="G875" s="61"/>
      <c r="H875" s="61"/>
      <c r="I875" s="81"/>
      <c r="J875" s="81"/>
      <c r="K875" s="60"/>
      <c r="L875" s="60"/>
      <c r="M875" s="60"/>
      <c r="N875" s="60"/>
      <c r="O875" s="60"/>
      <c r="P875" s="60"/>
      <c r="Q875" s="60"/>
      <c r="R875" s="58"/>
      <c r="S875" s="62" t="str">
        <f aca="false">IF(OR(B875="",V875=""),"",IFERROR(INDEX(C_TIPO,MATCH(V875&amp;"-P"&amp;MAX(1,COUNTIFS(C_RUTN,V875,C_DEF,"Sí",C_INI,"&lt;="&amp;EOMONTH(B875,0))),C_CLAVE,0))&amp;"","Sin contrato"))</f>
        <v/>
      </c>
      <c r="T875" s="63" t="str">
        <f aca="false">IF(OR(B875="",N(O875)=0),"",N(O875)+ROUND(MIN(N(N875),TOPE_UF*UF_MES)*(TASA_EMP+MUTUAL),0)+ROUND(MIN(N(N875),TOPE_AFC_UF*UF_MES)*IF(S875="Indefinido",AFC_INDEF,AFC_PF),0))</f>
        <v/>
      </c>
      <c r="U875" s="62" t="str">
        <f aca="false">IF(C875="","",IF(LEFT(D875,1)="⚠","⚠ RUT no registrado en Trabajadores",IF(B875="","⚠ Falta el mes",IF(OR(ISTEXT(I875),ISTEXT(J875)),"⚠ Atrasos u horas extra como texto: escriba hh:mm (ej. 1:30)",IF(AND(ISNUMBER(Q875),COUNTIFS(M_RUTN,V875,M_MES,B875,M_LIQ,"&lt;&gt;")&gt;1),"⚠ Liquidación repetida en el mes",IF(AND(ISNUMBER(O875),ISNUMBER(P875),ISNUMBER(Q875),ABS(O875-P875-Q875)&gt;1),"⚠ Haberes − descuentos no da el líquido","OK"))))))</f>
        <v/>
      </c>
      <c r="V875" s="62" t="str">
        <f aca="false">IF(C875="","",IFERROR(VALUE(LEFT(UPPER(SUBSTITUTE(SUBSTITUTE(SUBSTITUTE(TRIM(C875),".",""),"-","")," ","")),LEN(UPPER(SUBSTITUTE(SUBSTITUTE(SUBSTITUTE(TRIM(C875),".",""),"-","")," ","")))-1))&amp;RIGHT(UPPER(SUBSTITUTE(SUBSTITUTE(SUBSTITUTE(TRIM(C875),".",""),"-","")," ","")),1),UPPER(SUBSTITUTE(SUBSTITUTE(SUBSTITUTE(TRIM(C875),".",""),"-","")," ",""))))</f>
        <v/>
      </c>
    </row>
    <row r="876" customFormat="false" ht="15" hidden="false" customHeight="false" outlineLevel="0" collapsed="false">
      <c r="B876" s="80"/>
      <c r="C876" s="58"/>
      <c r="D876" s="62" t="str">
        <f aca="false">IF(C876="","",IFERROR(INDEX(T_NOMBRE,MATCH(V876,T_RUTN,0)),"⚠ RUT no está en Trabajadores"))</f>
        <v/>
      </c>
      <c r="E876" s="61"/>
      <c r="F876" s="61"/>
      <c r="G876" s="61"/>
      <c r="H876" s="61"/>
      <c r="I876" s="81"/>
      <c r="J876" s="81"/>
      <c r="K876" s="60"/>
      <c r="L876" s="60"/>
      <c r="M876" s="60"/>
      <c r="N876" s="60"/>
      <c r="O876" s="60"/>
      <c r="P876" s="60"/>
      <c r="Q876" s="60"/>
      <c r="R876" s="58"/>
      <c r="S876" s="62" t="str">
        <f aca="false">IF(OR(B876="",V876=""),"",IFERROR(INDEX(C_TIPO,MATCH(V876&amp;"-P"&amp;MAX(1,COUNTIFS(C_RUTN,V876,C_DEF,"Sí",C_INI,"&lt;="&amp;EOMONTH(B876,0))),C_CLAVE,0))&amp;"","Sin contrato"))</f>
        <v/>
      </c>
      <c r="T876" s="63" t="str">
        <f aca="false">IF(OR(B876="",N(O876)=0),"",N(O876)+ROUND(MIN(N(N876),TOPE_UF*UF_MES)*(TASA_EMP+MUTUAL),0)+ROUND(MIN(N(N876),TOPE_AFC_UF*UF_MES)*IF(S876="Indefinido",AFC_INDEF,AFC_PF),0))</f>
        <v/>
      </c>
      <c r="U876" s="62" t="str">
        <f aca="false">IF(C876="","",IF(LEFT(D876,1)="⚠","⚠ RUT no registrado en Trabajadores",IF(B876="","⚠ Falta el mes",IF(OR(ISTEXT(I876),ISTEXT(J876)),"⚠ Atrasos u horas extra como texto: escriba hh:mm (ej. 1:30)",IF(AND(ISNUMBER(Q876),COUNTIFS(M_RUTN,V876,M_MES,B876,M_LIQ,"&lt;&gt;")&gt;1),"⚠ Liquidación repetida en el mes",IF(AND(ISNUMBER(O876),ISNUMBER(P876),ISNUMBER(Q876),ABS(O876-P876-Q876)&gt;1),"⚠ Haberes − descuentos no da el líquido","OK"))))))</f>
        <v/>
      </c>
      <c r="V876" s="62" t="str">
        <f aca="false">IF(C876="","",IFERROR(VALUE(LEFT(UPPER(SUBSTITUTE(SUBSTITUTE(SUBSTITUTE(TRIM(C876),".",""),"-","")," ","")),LEN(UPPER(SUBSTITUTE(SUBSTITUTE(SUBSTITUTE(TRIM(C876),".",""),"-","")," ","")))-1))&amp;RIGHT(UPPER(SUBSTITUTE(SUBSTITUTE(SUBSTITUTE(TRIM(C876),".",""),"-","")," ","")),1),UPPER(SUBSTITUTE(SUBSTITUTE(SUBSTITUTE(TRIM(C876),".",""),"-","")," ",""))))</f>
        <v/>
      </c>
    </row>
    <row r="877" customFormat="false" ht="15" hidden="false" customHeight="false" outlineLevel="0" collapsed="false">
      <c r="B877" s="80"/>
      <c r="C877" s="58"/>
      <c r="D877" s="62" t="str">
        <f aca="false">IF(C877="","",IFERROR(INDEX(T_NOMBRE,MATCH(V877,T_RUTN,0)),"⚠ RUT no está en Trabajadores"))</f>
        <v/>
      </c>
      <c r="E877" s="61"/>
      <c r="F877" s="61"/>
      <c r="G877" s="61"/>
      <c r="H877" s="61"/>
      <c r="I877" s="81"/>
      <c r="J877" s="81"/>
      <c r="K877" s="60"/>
      <c r="L877" s="60"/>
      <c r="M877" s="60"/>
      <c r="N877" s="60"/>
      <c r="O877" s="60"/>
      <c r="P877" s="60"/>
      <c r="Q877" s="60"/>
      <c r="R877" s="58"/>
      <c r="S877" s="62" t="str">
        <f aca="false">IF(OR(B877="",V877=""),"",IFERROR(INDEX(C_TIPO,MATCH(V877&amp;"-P"&amp;MAX(1,COUNTIFS(C_RUTN,V877,C_DEF,"Sí",C_INI,"&lt;="&amp;EOMONTH(B877,0))),C_CLAVE,0))&amp;"","Sin contrato"))</f>
        <v/>
      </c>
      <c r="T877" s="63" t="str">
        <f aca="false">IF(OR(B877="",N(O877)=0),"",N(O877)+ROUND(MIN(N(N877),TOPE_UF*UF_MES)*(TASA_EMP+MUTUAL),0)+ROUND(MIN(N(N877),TOPE_AFC_UF*UF_MES)*IF(S877="Indefinido",AFC_INDEF,AFC_PF),0))</f>
        <v/>
      </c>
      <c r="U877" s="62" t="str">
        <f aca="false">IF(C877="","",IF(LEFT(D877,1)="⚠","⚠ RUT no registrado en Trabajadores",IF(B877="","⚠ Falta el mes",IF(OR(ISTEXT(I877),ISTEXT(J877)),"⚠ Atrasos u horas extra como texto: escriba hh:mm (ej. 1:30)",IF(AND(ISNUMBER(Q877),COUNTIFS(M_RUTN,V877,M_MES,B877,M_LIQ,"&lt;&gt;")&gt;1),"⚠ Liquidación repetida en el mes",IF(AND(ISNUMBER(O877),ISNUMBER(P877),ISNUMBER(Q877),ABS(O877-P877-Q877)&gt;1),"⚠ Haberes − descuentos no da el líquido","OK"))))))</f>
        <v/>
      </c>
      <c r="V877" s="62" t="str">
        <f aca="false">IF(C877="","",IFERROR(VALUE(LEFT(UPPER(SUBSTITUTE(SUBSTITUTE(SUBSTITUTE(TRIM(C877),".",""),"-","")," ","")),LEN(UPPER(SUBSTITUTE(SUBSTITUTE(SUBSTITUTE(TRIM(C877),".",""),"-","")," ","")))-1))&amp;RIGHT(UPPER(SUBSTITUTE(SUBSTITUTE(SUBSTITUTE(TRIM(C877),".",""),"-","")," ","")),1),UPPER(SUBSTITUTE(SUBSTITUTE(SUBSTITUTE(TRIM(C877),".",""),"-","")," ",""))))</f>
        <v/>
      </c>
    </row>
    <row r="878" customFormat="false" ht="15" hidden="false" customHeight="false" outlineLevel="0" collapsed="false">
      <c r="B878" s="80"/>
      <c r="C878" s="58"/>
      <c r="D878" s="62" t="str">
        <f aca="false">IF(C878="","",IFERROR(INDEX(T_NOMBRE,MATCH(V878,T_RUTN,0)),"⚠ RUT no está en Trabajadores"))</f>
        <v/>
      </c>
      <c r="E878" s="61"/>
      <c r="F878" s="61"/>
      <c r="G878" s="61"/>
      <c r="H878" s="61"/>
      <c r="I878" s="81"/>
      <c r="J878" s="81"/>
      <c r="K878" s="60"/>
      <c r="L878" s="60"/>
      <c r="M878" s="60"/>
      <c r="N878" s="60"/>
      <c r="O878" s="60"/>
      <c r="P878" s="60"/>
      <c r="Q878" s="60"/>
      <c r="R878" s="58"/>
      <c r="S878" s="62" t="str">
        <f aca="false">IF(OR(B878="",V878=""),"",IFERROR(INDEX(C_TIPO,MATCH(V878&amp;"-P"&amp;MAX(1,COUNTIFS(C_RUTN,V878,C_DEF,"Sí",C_INI,"&lt;="&amp;EOMONTH(B878,0))),C_CLAVE,0))&amp;"","Sin contrato"))</f>
        <v/>
      </c>
      <c r="T878" s="63" t="str">
        <f aca="false">IF(OR(B878="",N(O878)=0),"",N(O878)+ROUND(MIN(N(N878),TOPE_UF*UF_MES)*(TASA_EMP+MUTUAL),0)+ROUND(MIN(N(N878),TOPE_AFC_UF*UF_MES)*IF(S878="Indefinido",AFC_INDEF,AFC_PF),0))</f>
        <v/>
      </c>
      <c r="U878" s="62" t="str">
        <f aca="false">IF(C878="","",IF(LEFT(D878,1)="⚠","⚠ RUT no registrado en Trabajadores",IF(B878="","⚠ Falta el mes",IF(OR(ISTEXT(I878),ISTEXT(J878)),"⚠ Atrasos u horas extra como texto: escriba hh:mm (ej. 1:30)",IF(AND(ISNUMBER(Q878),COUNTIFS(M_RUTN,V878,M_MES,B878,M_LIQ,"&lt;&gt;")&gt;1),"⚠ Liquidación repetida en el mes",IF(AND(ISNUMBER(O878),ISNUMBER(P878),ISNUMBER(Q878),ABS(O878-P878-Q878)&gt;1),"⚠ Haberes − descuentos no da el líquido","OK"))))))</f>
        <v/>
      </c>
      <c r="V878" s="62" t="str">
        <f aca="false">IF(C878="","",IFERROR(VALUE(LEFT(UPPER(SUBSTITUTE(SUBSTITUTE(SUBSTITUTE(TRIM(C878),".",""),"-","")," ","")),LEN(UPPER(SUBSTITUTE(SUBSTITUTE(SUBSTITUTE(TRIM(C878),".",""),"-","")," ","")))-1))&amp;RIGHT(UPPER(SUBSTITUTE(SUBSTITUTE(SUBSTITUTE(TRIM(C878),".",""),"-","")," ","")),1),UPPER(SUBSTITUTE(SUBSTITUTE(SUBSTITUTE(TRIM(C878),".",""),"-","")," ",""))))</f>
        <v/>
      </c>
    </row>
    <row r="879" customFormat="false" ht="15" hidden="false" customHeight="false" outlineLevel="0" collapsed="false">
      <c r="B879" s="80"/>
      <c r="C879" s="58"/>
      <c r="D879" s="62" t="str">
        <f aca="false">IF(C879="","",IFERROR(INDEX(T_NOMBRE,MATCH(V879,T_RUTN,0)),"⚠ RUT no está en Trabajadores"))</f>
        <v/>
      </c>
      <c r="E879" s="61"/>
      <c r="F879" s="61"/>
      <c r="G879" s="61"/>
      <c r="H879" s="61"/>
      <c r="I879" s="81"/>
      <c r="J879" s="81"/>
      <c r="K879" s="60"/>
      <c r="L879" s="60"/>
      <c r="M879" s="60"/>
      <c r="N879" s="60"/>
      <c r="O879" s="60"/>
      <c r="P879" s="60"/>
      <c r="Q879" s="60"/>
      <c r="R879" s="58"/>
      <c r="S879" s="62" t="str">
        <f aca="false">IF(OR(B879="",V879=""),"",IFERROR(INDEX(C_TIPO,MATCH(V879&amp;"-P"&amp;MAX(1,COUNTIFS(C_RUTN,V879,C_DEF,"Sí",C_INI,"&lt;="&amp;EOMONTH(B879,0))),C_CLAVE,0))&amp;"","Sin contrato"))</f>
        <v/>
      </c>
      <c r="T879" s="63" t="str">
        <f aca="false">IF(OR(B879="",N(O879)=0),"",N(O879)+ROUND(MIN(N(N879),TOPE_UF*UF_MES)*(TASA_EMP+MUTUAL),0)+ROUND(MIN(N(N879),TOPE_AFC_UF*UF_MES)*IF(S879="Indefinido",AFC_INDEF,AFC_PF),0))</f>
        <v/>
      </c>
      <c r="U879" s="62" t="str">
        <f aca="false">IF(C879="","",IF(LEFT(D879,1)="⚠","⚠ RUT no registrado en Trabajadores",IF(B879="","⚠ Falta el mes",IF(OR(ISTEXT(I879),ISTEXT(J879)),"⚠ Atrasos u horas extra como texto: escriba hh:mm (ej. 1:30)",IF(AND(ISNUMBER(Q879),COUNTIFS(M_RUTN,V879,M_MES,B879,M_LIQ,"&lt;&gt;")&gt;1),"⚠ Liquidación repetida en el mes",IF(AND(ISNUMBER(O879),ISNUMBER(P879),ISNUMBER(Q879),ABS(O879-P879-Q879)&gt;1),"⚠ Haberes − descuentos no da el líquido","OK"))))))</f>
        <v/>
      </c>
      <c r="V879" s="62" t="str">
        <f aca="false">IF(C879="","",IFERROR(VALUE(LEFT(UPPER(SUBSTITUTE(SUBSTITUTE(SUBSTITUTE(TRIM(C879),".",""),"-","")," ","")),LEN(UPPER(SUBSTITUTE(SUBSTITUTE(SUBSTITUTE(TRIM(C879),".",""),"-","")," ","")))-1))&amp;RIGHT(UPPER(SUBSTITUTE(SUBSTITUTE(SUBSTITUTE(TRIM(C879),".",""),"-","")," ","")),1),UPPER(SUBSTITUTE(SUBSTITUTE(SUBSTITUTE(TRIM(C879),".",""),"-","")," ",""))))</f>
        <v/>
      </c>
    </row>
    <row r="880" customFormat="false" ht="15" hidden="false" customHeight="false" outlineLevel="0" collapsed="false">
      <c r="B880" s="80"/>
      <c r="C880" s="58"/>
      <c r="D880" s="62" t="str">
        <f aca="false">IF(C880="","",IFERROR(INDEX(T_NOMBRE,MATCH(V880,T_RUTN,0)),"⚠ RUT no está en Trabajadores"))</f>
        <v/>
      </c>
      <c r="E880" s="61"/>
      <c r="F880" s="61"/>
      <c r="G880" s="61"/>
      <c r="H880" s="61"/>
      <c r="I880" s="81"/>
      <c r="J880" s="81"/>
      <c r="K880" s="60"/>
      <c r="L880" s="60"/>
      <c r="M880" s="60"/>
      <c r="N880" s="60"/>
      <c r="O880" s="60"/>
      <c r="P880" s="60"/>
      <c r="Q880" s="60"/>
      <c r="R880" s="58"/>
      <c r="S880" s="62" t="str">
        <f aca="false">IF(OR(B880="",V880=""),"",IFERROR(INDEX(C_TIPO,MATCH(V880&amp;"-P"&amp;MAX(1,COUNTIFS(C_RUTN,V880,C_DEF,"Sí",C_INI,"&lt;="&amp;EOMONTH(B880,0))),C_CLAVE,0))&amp;"","Sin contrato"))</f>
        <v/>
      </c>
      <c r="T880" s="63" t="str">
        <f aca="false">IF(OR(B880="",N(O880)=0),"",N(O880)+ROUND(MIN(N(N880),TOPE_UF*UF_MES)*(TASA_EMP+MUTUAL),0)+ROUND(MIN(N(N880),TOPE_AFC_UF*UF_MES)*IF(S880="Indefinido",AFC_INDEF,AFC_PF),0))</f>
        <v/>
      </c>
      <c r="U880" s="62" t="str">
        <f aca="false">IF(C880="","",IF(LEFT(D880,1)="⚠","⚠ RUT no registrado en Trabajadores",IF(B880="","⚠ Falta el mes",IF(OR(ISTEXT(I880),ISTEXT(J880)),"⚠ Atrasos u horas extra como texto: escriba hh:mm (ej. 1:30)",IF(AND(ISNUMBER(Q880),COUNTIFS(M_RUTN,V880,M_MES,B880,M_LIQ,"&lt;&gt;")&gt;1),"⚠ Liquidación repetida en el mes",IF(AND(ISNUMBER(O880),ISNUMBER(P880),ISNUMBER(Q880),ABS(O880-P880-Q880)&gt;1),"⚠ Haberes − descuentos no da el líquido","OK"))))))</f>
        <v/>
      </c>
      <c r="V880" s="62" t="str">
        <f aca="false">IF(C880="","",IFERROR(VALUE(LEFT(UPPER(SUBSTITUTE(SUBSTITUTE(SUBSTITUTE(TRIM(C880),".",""),"-","")," ","")),LEN(UPPER(SUBSTITUTE(SUBSTITUTE(SUBSTITUTE(TRIM(C880),".",""),"-","")," ","")))-1))&amp;RIGHT(UPPER(SUBSTITUTE(SUBSTITUTE(SUBSTITUTE(TRIM(C880),".",""),"-","")," ","")),1),UPPER(SUBSTITUTE(SUBSTITUTE(SUBSTITUTE(TRIM(C880),".",""),"-","")," ",""))))</f>
        <v/>
      </c>
    </row>
    <row r="881" customFormat="false" ht="15" hidden="false" customHeight="false" outlineLevel="0" collapsed="false">
      <c r="B881" s="80"/>
      <c r="C881" s="58"/>
      <c r="D881" s="62" t="str">
        <f aca="false">IF(C881="","",IFERROR(INDEX(T_NOMBRE,MATCH(V881,T_RUTN,0)),"⚠ RUT no está en Trabajadores"))</f>
        <v/>
      </c>
      <c r="E881" s="61"/>
      <c r="F881" s="61"/>
      <c r="G881" s="61"/>
      <c r="H881" s="61"/>
      <c r="I881" s="81"/>
      <c r="J881" s="81"/>
      <c r="K881" s="60"/>
      <c r="L881" s="60"/>
      <c r="M881" s="60"/>
      <c r="N881" s="60"/>
      <c r="O881" s="60"/>
      <c r="P881" s="60"/>
      <c r="Q881" s="60"/>
      <c r="R881" s="58"/>
      <c r="S881" s="62" t="str">
        <f aca="false">IF(OR(B881="",V881=""),"",IFERROR(INDEX(C_TIPO,MATCH(V881&amp;"-P"&amp;MAX(1,COUNTIFS(C_RUTN,V881,C_DEF,"Sí",C_INI,"&lt;="&amp;EOMONTH(B881,0))),C_CLAVE,0))&amp;"","Sin contrato"))</f>
        <v/>
      </c>
      <c r="T881" s="63" t="str">
        <f aca="false">IF(OR(B881="",N(O881)=0),"",N(O881)+ROUND(MIN(N(N881),TOPE_UF*UF_MES)*(TASA_EMP+MUTUAL),0)+ROUND(MIN(N(N881),TOPE_AFC_UF*UF_MES)*IF(S881="Indefinido",AFC_INDEF,AFC_PF),0))</f>
        <v/>
      </c>
      <c r="U881" s="62" t="str">
        <f aca="false">IF(C881="","",IF(LEFT(D881,1)="⚠","⚠ RUT no registrado en Trabajadores",IF(B881="","⚠ Falta el mes",IF(OR(ISTEXT(I881),ISTEXT(J881)),"⚠ Atrasos u horas extra como texto: escriba hh:mm (ej. 1:30)",IF(AND(ISNUMBER(Q881),COUNTIFS(M_RUTN,V881,M_MES,B881,M_LIQ,"&lt;&gt;")&gt;1),"⚠ Liquidación repetida en el mes",IF(AND(ISNUMBER(O881),ISNUMBER(P881),ISNUMBER(Q881),ABS(O881-P881-Q881)&gt;1),"⚠ Haberes − descuentos no da el líquido","OK"))))))</f>
        <v/>
      </c>
      <c r="V881" s="62" t="str">
        <f aca="false">IF(C881="","",IFERROR(VALUE(LEFT(UPPER(SUBSTITUTE(SUBSTITUTE(SUBSTITUTE(TRIM(C881),".",""),"-","")," ","")),LEN(UPPER(SUBSTITUTE(SUBSTITUTE(SUBSTITUTE(TRIM(C881),".",""),"-","")," ","")))-1))&amp;RIGHT(UPPER(SUBSTITUTE(SUBSTITUTE(SUBSTITUTE(TRIM(C881),".",""),"-","")," ","")),1),UPPER(SUBSTITUTE(SUBSTITUTE(SUBSTITUTE(TRIM(C881),".",""),"-","")," ",""))))</f>
        <v/>
      </c>
    </row>
    <row r="882" customFormat="false" ht="15" hidden="false" customHeight="false" outlineLevel="0" collapsed="false">
      <c r="B882" s="80"/>
      <c r="C882" s="58"/>
      <c r="D882" s="62" t="str">
        <f aca="false">IF(C882="","",IFERROR(INDEX(T_NOMBRE,MATCH(V882,T_RUTN,0)),"⚠ RUT no está en Trabajadores"))</f>
        <v/>
      </c>
      <c r="E882" s="61"/>
      <c r="F882" s="61"/>
      <c r="G882" s="61"/>
      <c r="H882" s="61"/>
      <c r="I882" s="81"/>
      <c r="J882" s="81"/>
      <c r="K882" s="60"/>
      <c r="L882" s="60"/>
      <c r="M882" s="60"/>
      <c r="N882" s="60"/>
      <c r="O882" s="60"/>
      <c r="P882" s="60"/>
      <c r="Q882" s="60"/>
      <c r="R882" s="58"/>
      <c r="S882" s="62" t="str">
        <f aca="false">IF(OR(B882="",V882=""),"",IFERROR(INDEX(C_TIPO,MATCH(V882&amp;"-P"&amp;MAX(1,COUNTIFS(C_RUTN,V882,C_DEF,"Sí",C_INI,"&lt;="&amp;EOMONTH(B882,0))),C_CLAVE,0))&amp;"","Sin contrato"))</f>
        <v/>
      </c>
      <c r="T882" s="63" t="str">
        <f aca="false">IF(OR(B882="",N(O882)=0),"",N(O882)+ROUND(MIN(N(N882),TOPE_UF*UF_MES)*(TASA_EMP+MUTUAL),0)+ROUND(MIN(N(N882),TOPE_AFC_UF*UF_MES)*IF(S882="Indefinido",AFC_INDEF,AFC_PF),0))</f>
        <v/>
      </c>
      <c r="U882" s="62" t="str">
        <f aca="false">IF(C882="","",IF(LEFT(D882,1)="⚠","⚠ RUT no registrado en Trabajadores",IF(B882="","⚠ Falta el mes",IF(OR(ISTEXT(I882),ISTEXT(J882)),"⚠ Atrasos u horas extra como texto: escriba hh:mm (ej. 1:30)",IF(AND(ISNUMBER(Q882),COUNTIFS(M_RUTN,V882,M_MES,B882,M_LIQ,"&lt;&gt;")&gt;1),"⚠ Liquidación repetida en el mes",IF(AND(ISNUMBER(O882),ISNUMBER(P882),ISNUMBER(Q882),ABS(O882-P882-Q882)&gt;1),"⚠ Haberes − descuentos no da el líquido","OK"))))))</f>
        <v/>
      </c>
      <c r="V882" s="62" t="str">
        <f aca="false">IF(C882="","",IFERROR(VALUE(LEFT(UPPER(SUBSTITUTE(SUBSTITUTE(SUBSTITUTE(TRIM(C882),".",""),"-","")," ","")),LEN(UPPER(SUBSTITUTE(SUBSTITUTE(SUBSTITUTE(TRIM(C882),".",""),"-","")," ","")))-1))&amp;RIGHT(UPPER(SUBSTITUTE(SUBSTITUTE(SUBSTITUTE(TRIM(C882),".",""),"-","")," ","")),1),UPPER(SUBSTITUTE(SUBSTITUTE(SUBSTITUTE(TRIM(C882),".",""),"-","")," ",""))))</f>
        <v/>
      </c>
    </row>
    <row r="883" customFormat="false" ht="15" hidden="false" customHeight="false" outlineLevel="0" collapsed="false">
      <c r="B883" s="80"/>
      <c r="C883" s="58"/>
      <c r="D883" s="62" t="str">
        <f aca="false">IF(C883="","",IFERROR(INDEX(T_NOMBRE,MATCH(V883,T_RUTN,0)),"⚠ RUT no está en Trabajadores"))</f>
        <v/>
      </c>
      <c r="E883" s="61"/>
      <c r="F883" s="61"/>
      <c r="G883" s="61"/>
      <c r="H883" s="61"/>
      <c r="I883" s="81"/>
      <c r="J883" s="81"/>
      <c r="K883" s="60"/>
      <c r="L883" s="60"/>
      <c r="M883" s="60"/>
      <c r="N883" s="60"/>
      <c r="O883" s="60"/>
      <c r="P883" s="60"/>
      <c r="Q883" s="60"/>
      <c r="R883" s="58"/>
      <c r="S883" s="62" t="str">
        <f aca="false">IF(OR(B883="",V883=""),"",IFERROR(INDEX(C_TIPO,MATCH(V883&amp;"-P"&amp;MAX(1,COUNTIFS(C_RUTN,V883,C_DEF,"Sí",C_INI,"&lt;="&amp;EOMONTH(B883,0))),C_CLAVE,0))&amp;"","Sin contrato"))</f>
        <v/>
      </c>
      <c r="T883" s="63" t="str">
        <f aca="false">IF(OR(B883="",N(O883)=0),"",N(O883)+ROUND(MIN(N(N883),TOPE_UF*UF_MES)*(TASA_EMP+MUTUAL),0)+ROUND(MIN(N(N883),TOPE_AFC_UF*UF_MES)*IF(S883="Indefinido",AFC_INDEF,AFC_PF),0))</f>
        <v/>
      </c>
      <c r="U883" s="62" t="str">
        <f aca="false">IF(C883="","",IF(LEFT(D883,1)="⚠","⚠ RUT no registrado en Trabajadores",IF(B883="","⚠ Falta el mes",IF(OR(ISTEXT(I883),ISTEXT(J883)),"⚠ Atrasos u horas extra como texto: escriba hh:mm (ej. 1:30)",IF(AND(ISNUMBER(Q883),COUNTIFS(M_RUTN,V883,M_MES,B883,M_LIQ,"&lt;&gt;")&gt;1),"⚠ Liquidación repetida en el mes",IF(AND(ISNUMBER(O883),ISNUMBER(P883),ISNUMBER(Q883),ABS(O883-P883-Q883)&gt;1),"⚠ Haberes − descuentos no da el líquido","OK"))))))</f>
        <v/>
      </c>
      <c r="V883" s="62" t="str">
        <f aca="false">IF(C883="","",IFERROR(VALUE(LEFT(UPPER(SUBSTITUTE(SUBSTITUTE(SUBSTITUTE(TRIM(C883),".",""),"-","")," ","")),LEN(UPPER(SUBSTITUTE(SUBSTITUTE(SUBSTITUTE(TRIM(C883),".",""),"-","")," ","")))-1))&amp;RIGHT(UPPER(SUBSTITUTE(SUBSTITUTE(SUBSTITUTE(TRIM(C883),".",""),"-","")," ","")),1),UPPER(SUBSTITUTE(SUBSTITUTE(SUBSTITUTE(TRIM(C883),".",""),"-","")," ",""))))</f>
        <v/>
      </c>
    </row>
    <row r="884" customFormat="false" ht="15" hidden="false" customHeight="false" outlineLevel="0" collapsed="false">
      <c r="B884" s="80"/>
      <c r="C884" s="58"/>
      <c r="D884" s="62" t="str">
        <f aca="false">IF(C884="","",IFERROR(INDEX(T_NOMBRE,MATCH(V884,T_RUTN,0)),"⚠ RUT no está en Trabajadores"))</f>
        <v/>
      </c>
      <c r="E884" s="61"/>
      <c r="F884" s="61"/>
      <c r="G884" s="61"/>
      <c r="H884" s="61"/>
      <c r="I884" s="81"/>
      <c r="J884" s="81"/>
      <c r="K884" s="60"/>
      <c r="L884" s="60"/>
      <c r="M884" s="60"/>
      <c r="N884" s="60"/>
      <c r="O884" s="60"/>
      <c r="P884" s="60"/>
      <c r="Q884" s="60"/>
      <c r="R884" s="58"/>
      <c r="S884" s="62" t="str">
        <f aca="false">IF(OR(B884="",V884=""),"",IFERROR(INDEX(C_TIPO,MATCH(V884&amp;"-P"&amp;MAX(1,COUNTIFS(C_RUTN,V884,C_DEF,"Sí",C_INI,"&lt;="&amp;EOMONTH(B884,0))),C_CLAVE,0))&amp;"","Sin contrato"))</f>
        <v/>
      </c>
      <c r="T884" s="63" t="str">
        <f aca="false">IF(OR(B884="",N(O884)=0),"",N(O884)+ROUND(MIN(N(N884),TOPE_UF*UF_MES)*(TASA_EMP+MUTUAL),0)+ROUND(MIN(N(N884),TOPE_AFC_UF*UF_MES)*IF(S884="Indefinido",AFC_INDEF,AFC_PF),0))</f>
        <v/>
      </c>
      <c r="U884" s="62" t="str">
        <f aca="false">IF(C884="","",IF(LEFT(D884,1)="⚠","⚠ RUT no registrado en Trabajadores",IF(B884="","⚠ Falta el mes",IF(OR(ISTEXT(I884),ISTEXT(J884)),"⚠ Atrasos u horas extra como texto: escriba hh:mm (ej. 1:30)",IF(AND(ISNUMBER(Q884),COUNTIFS(M_RUTN,V884,M_MES,B884,M_LIQ,"&lt;&gt;")&gt;1),"⚠ Liquidación repetida en el mes",IF(AND(ISNUMBER(O884),ISNUMBER(P884),ISNUMBER(Q884),ABS(O884-P884-Q884)&gt;1),"⚠ Haberes − descuentos no da el líquido","OK"))))))</f>
        <v/>
      </c>
      <c r="V884" s="62" t="str">
        <f aca="false">IF(C884="","",IFERROR(VALUE(LEFT(UPPER(SUBSTITUTE(SUBSTITUTE(SUBSTITUTE(TRIM(C884),".",""),"-","")," ","")),LEN(UPPER(SUBSTITUTE(SUBSTITUTE(SUBSTITUTE(TRIM(C884),".",""),"-","")," ","")))-1))&amp;RIGHT(UPPER(SUBSTITUTE(SUBSTITUTE(SUBSTITUTE(TRIM(C884),".",""),"-","")," ","")),1),UPPER(SUBSTITUTE(SUBSTITUTE(SUBSTITUTE(TRIM(C884),".",""),"-","")," ",""))))</f>
        <v/>
      </c>
    </row>
    <row r="885" customFormat="false" ht="15" hidden="false" customHeight="false" outlineLevel="0" collapsed="false">
      <c r="B885" s="80"/>
      <c r="C885" s="58"/>
      <c r="D885" s="62" t="str">
        <f aca="false">IF(C885="","",IFERROR(INDEX(T_NOMBRE,MATCH(V885,T_RUTN,0)),"⚠ RUT no está en Trabajadores"))</f>
        <v/>
      </c>
      <c r="E885" s="61"/>
      <c r="F885" s="61"/>
      <c r="G885" s="61"/>
      <c r="H885" s="61"/>
      <c r="I885" s="81"/>
      <c r="J885" s="81"/>
      <c r="K885" s="60"/>
      <c r="L885" s="60"/>
      <c r="M885" s="60"/>
      <c r="N885" s="60"/>
      <c r="O885" s="60"/>
      <c r="P885" s="60"/>
      <c r="Q885" s="60"/>
      <c r="R885" s="58"/>
      <c r="S885" s="62" t="str">
        <f aca="false">IF(OR(B885="",V885=""),"",IFERROR(INDEX(C_TIPO,MATCH(V885&amp;"-P"&amp;MAX(1,COUNTIFS(C_RUTN,V885,C_DEF,"Sí",C_INI,"&lt;="&amp;EOMONTH(B885,0))),C_CLAVE,0))&amp;"","Sin contrato"))</f>
        <v/>
      </c>
      <c r="T885" s="63" t="str">
        <f aca="false">IF(OR(B885="",N(O885)=0),"",N(O885)+ROUND(MIN(N(N885),TOPE_UF*UF_MES)*(TASA_EMP+MUTUAL),0)+ROUND(MIN(N(N885),TOPE_AFC_UF*UF_MES)*IF(S885="Indefinido",AFC_INDEF,AFC_PF),0))</f>
        <v/>
      </c>
      <c r="U885" s="62" t="str">
        <f aca="false">IF(C885="","",IF(LEFT(D885,1)="⚠","⚠ RUT no registrado en Trabajadores",IF(B885="","⚠ Falta el mes",IF(OR(ISTEXT(I885),ISTEXT(J885)),"⚠ Atrasos u horas extra como texto: escriba hh:mm (ej. 1:30)",IF(AND(ISNUMBER(Q885),COUNTIFS(M_RUTN,V885,M_MES,B885,M_LIQ,"&lt;&gt;")&gt;1),"⚠ Liquidación repetida en el mes",IF(AND(ISNUMBER(O885),ISNUMBER(P885),ISNUMBER(Q885),ABS(O885-P885-Q885)&gt;1),"⚠ Haberes − descuentos no da el líquido","OK"))))))</f>
        <v/>
      </c>
      <c r="V885" s="62" t="str">
        <f aca="false">IF(C885="","",IFERROR(VALUE(LEFT(UPPER(SUBSTITUTE(SUBSTITUTE(SUBSTITUTE(TRIM(C885),".",""),"-","")," ","")),LEN(UPPER(SUBSTITUTE(SUBSTITUTE(SUBSTITUTE(TRIM(C885),".",""),"-","")," ","")))-1))&amp;RIGHT(UPPER(SUBSTITUTE(SUBSTITUTE(SUBSTITUTE(TRIM(C885),".",""),"-","")," ","")),1),UPPER(SUBSTITUTE(SUBSTITUTE(SUBSTITUTE(TRIM(C885),".",""),"-","")," ",""))))</f>
        <v/>
      </c>
    </row>
    <row r="886" customFormat="false" ht="15" hidden="false" customHeight="false" outlineLevel="0" collapsed="false">
      <c r="B886" s="80"/>
      <c r="C886" s="58"/>
      <c r="D886" s="62" t="str">
        <f aca="false">IF(C886="","",IFERROR(INDEX(T_NOMBRE,MATCH(V886,T_RUTN,0)),"⚠ RUT no está en Trabajadores"))</f>
        <v/>
      </c>
      <c r="E886" s="61"/>
      <c r="F886" s="61"/>
      <c r="G886" s="61"/>
      <c r="H886" s="61"/>
      <c r="I886" s="81"/>
      <c r="J886" s="81"/>
      <c r="K886" s="60"/>
      <c r="L886" s="60"/>
      <c r="M886" s="60"/>
      <c r="N886" s="60"/>
      <c r="O886" s="60"/>
      <c r="P886" s="60"/>
      <c r="Q886" s="60"/>
      <c r="R886" s="58"/>
      <c r="S886" s="62" t="str">
        <f aca="false">IF(OR(B886="",V886=""),"",IFERROR(INDEX(C_TIPO,MATCH(V886&amp;"-P"&amp;MAX(1,COUNTIFS(C_RUTN,V886,C_DEF,"Sí",C_INI,"&lt;="&amp;EOMONTH(B886,0))),C_CLAVE,0))&amp;"","Sin contrato"))</f>
        <v/>
      </c>
      <c r="T886" s="63" t="str">
        <f aca="false">IF(OR(B886="",N(O886)=0),"",N(O886)+ROUND(MIN(N(N886),TOPE_UF*UF_MES)*(TASA_EMP+MUTUAL),0)+ROUND(MIN(N(N886),TOPE_AFC_UF*UF_MES)*IF(S886="Indefinido",AFC_INDEF,AFC_PF),0))</f>
        <v/>
      </c>
      <c r="U886" s="62" t="str">
        <f aca="false">IF(C886="","",IF(LEFT(D886,1)="⚠","⚠ RUT no registrado en Trabajadores",IF(B886="","⚠ Falta el mes",IF(OR(ISTEXT(I886),ISTEXT(J886)),"⚠ Atrasos u horas extra como texto: escriba hh:mm (ej. 1:30)",IF(AND(ISNUMBER(Q886),COUNTIFS(M_RUTN,V886,M_MES,B886,M_LIQ,"&lt;&gt;")&gt;1),"⚠ Liquidación repetida en el mes",IF(AND(ISNUMBER(O886),ISNUMBER(P886),ISNUMBER(Q886),ABS(O886-P886-Q886)&gt;1),"⚠ Haberes − descuentos no da el líquido","OK"))))))</f>
        <v/>
      </c>
      <c r="V886" s="62" t="str">
        <f aca="false">IF(C886="","",IFERROR(VALUE(LEFT(UPPER(SUBSTITUTE(SUBSTITUTE(SUBSTITUTE(TRIM(C886),".",""),"-","")," ","")),LEN(UPPER(SUBSTITUTE(SUBSTITUTE(SUBSTITUTE(TRIM(C886),".",""),"-","")," ","")))-1))&amp;RIGHT(UPPER(SUBSTITUTE(SUBSTITUTE(SUBSTITUTE(TRIM(C886),".",""),"-","")," ","")),1),UPPER(SUBSTITUTE(SUBSTITUTE(SUBSTITUTE(TRIM(C886),".",""),"-","")," ",""))))</f>
        <v/>
      </c>
    </row>
    <row r="887" customFormat="false" ht="15" hidden="false" customHeight="false" outlineLevel="0" collapsed="false">
      <c r="B887" s="80"/>
      <c r="C887" s="58"/>
      <c r="D887" s="62" t="str">
        <f aca="false">IF(C887="","",IFERROR(INDEX(T_NOMBRE,MATCH(V887,T_RUTN,0)),"⚠ RUT no está en Trabajadores"))</f>
        <v/>
      </c>
      <c r="E887" s="61"/>
      <c r="F887" s="61"/>
      <c r="G887" s="61"/>
      <c r="H887" s="61"/>
      <c r="I887" s="81"/>
      <c r="J887" s="81"/>
      <c r="K887" s="60"/>
      <c r="L887" s="60"/>
      <c r="M887" s="60"/>
      <c r="N887" s="60"/>
      <c r="O887" s="60"/>
      <c r="P887" s="60"/>
      <c r="Q887" s="60"/>
      <c r="R887" s="58"/>
      <c r="S887" s="62" t="str">
        <f aca="false">IF(OR(B887="",V887=""),"",IFERROR(INDEX(C_TIPO,MATCH(V887&amp;"-P"&amp;MAX(1,COUNTIFS(C_RUTN,V887,C_DEF,"Sí",C_INI,"&lt;="&amp;EOMONTH(B887,0))),C_CLAVE,0))&amp;"","Sin contrato"))</f>
        <v/>
      </c>
      <c r="T887" s="63" t="str">
        <f aca="false">IF(OR(B887="",N(O887)=0),"",N(O887)+ROUND(MIN(N(N887),TOPE_UF*UF_MES)*(TASA_EMP+MUTUAL),0)+ROUND(MIN(N(N887),TOPE_AFC_UF*UF_MES)*IF(S887="Indefinido",AFC_INDEF,AFC_PF),0))</f>
        <v/>
      </c>
      <c r="U887" s="62" t="str">
        <f aca="false">IF(C887="","",IF(LEFT(D887,1)="⚠","⚠ RUT no registrado en Trabajadores",IF(B887="","⚠ Falta el mes",IF(OR(ISTEXT(I887),ISTEXT(J887)),"⚠ Atrasos u horas extra como texto: escriba hh:mm (ej. 1:30)",IF(AND(ISNUMBER(Q887),COUNTIFS(M_RUTN,V887,M_MES,B887,M_LIQ,"&lt;&gt;")&gt;1),"⚠ Liquidación repetida en el mes",IF(AND(ISNUMBER(O887),ISNUMBER(P887),ISNUMBER(Q887),ABS(O887-P887-Q887)&gt;1),"⚠ Haberes − descuentos no da el líquido","OK"))))))</f>
        <v/>
      </c>
      <c r="V887" s="62" t="str">
        <f aca="false">IF(C887="","",IFERROR(VALUE(LEFT(UPPER(SUBSTITUTE(SUBSTITUTE(SUBSTITUTE(TRIM(C887),".",""),"-","")," ","")),LEN(UPPER(SUBSTITUTE(SUBSTITUTE(SUBSTITUTE(TRIM(C887),".",""),"-","")," ","")))-1))&amp;RIGHT(UPPER(SUBSTITUTE(SUBSTITUTE(SUBSTITUTE(TRIM(C887),".",""),"-","")," ","")),1),UPPER(SUBSTITUTE(SUBSTITUTE(SUBSTITUTE(TRIM(C887),".",""),"-","")," ",""))))</f>
        <v/>
      </c>
    </row>
    <row r="888" customFormat="false" ht="15" hidden="false" customHeight="false" outlineLevel="0" collapsed="false">
      <c r="B888" s="80"/>
      <c r="C888" s="58"/>
      <c r="D888" s="62" t="str">
        <f aca="false">IF(C888="","",IFERROR(INDEX(T_NOMBRE,MATCH(V888,T_RUTN,0)),"⚠ RUT no está en Trabajadores"))</f>
        <v/>
      </c>
      <c r="E888" s="61"/>
      <c r="F888" s="61"/>
      <c r="G888" s="61"/>
      <c r="H888" s="61"/>
      <c r="I888" s="81"/>
      <c r="J888" s="81"/>
      <c r="K888" s="60"/>
      <c r="L888" s="60"/>
      <c r="M888" s="60"/>
      <c r="N888" s="60"/>
      <c r="O888" s="60"/>
      <c r="P888" s="60"/>
      <c r="Q888" s="60"/>
      <c r="R888" s="58"/>
      <c r="S888" s="62" t="str">
        <f aca="false">IF(OR(B888="",V888=""),"",IFERROR(INDEX(C_TIPO,MATCH(V888&amp;"-P"&amp;MAX(1,COUNTIFS(C_RUTN,V888,C_DEF,"Sí",C_INI,"&lt;="&amp;EOMONTH(B888,0))),C_CLAVE,0))&amp;"","Sin contrato"))</f>
        <v/>
      </c>
      <c r="T888" s="63" t="str">
        <f aca="false">IF(OR(B888="",N(O888)=0),"",N(O888)+ROUND(MIN(N(N888),TOPE_UF*UF_MES)*(TASA_EMP+MUTUAL),0)+ROUND(MIN(N(N888),TOPE_AFC_UF*UF_MES)*IF(S888="Indefinido",AFC_INDEF,AFC_PF),0))</f>
        <v/>
      </c>
      <c r="U888" s="62" t="str">
        <f aca="false">IF(C888="","",IF(LEFT(D888,1)="⚠","⚠ RUT no registrado en Trabajadores",IF(B888="","⚠ Falta el mes",IF(OR(ISTEXT(I888),ISTEXT(J888)),"⚠ Atrasos u horas extra como texto: escriba hh:mm (ej. 1:30)",IF(AND(ISNUMBER(Q888),COUNTIFS(M_RUTN,V888,M_MES,B888,M_LIQ,"&lt;&gt;")&gt;1),"⚠ Liquidación repetida en el mes",IF(AND(ISNUMBER(O888),ISNUMBER(P888),ISNUMBER(Q888),ABS(O888-P888-Q888)&gt;1),"⚠ Haberes − descuentos no da el líquido","OK"))))))</f>
        <v/>
      </c>
      <c r="V888" s="62" t="str">
        <f aca="false">IF(C888="","",IFERROR(VALUE(LEFT(UPPER(SUBSTITUTE(SUBSTITUTE(SUBSTITUTE(TRIM(C888),".",""),"-","")," ","")),LEN(UPPER(SUBSTITUTE(SUBSTITUTE(SUBSTITUTE(TRIM(C888),".",""),"-","")," ","")))-1))&amp;RIGHT(UPPER(SUBSTITUTE(SUBSTITUTE(SUBSTITUTE(TRIM(C888),".",""),"-","")," ","")),1),UPPER(SUBSTITUTE(SUBSTITUTE(SUBSTITUTE(TRIM(C888),".",""),"-","")," ",""))))</f>
        <v/>
      </c>
    </row>
    <row r="889" customFormat="false" ht="15" hidden="false" customHeight="false" outlineLevel="0" collapsed="false">
      <c r="B889" s="80"/>
      <c r="C889" s="58"/>
      <c r="D889" s="62" t="str">
        <f aca="false">IF(C889="","",IFERROR(INDEX(T_NOMBRE,MATCH(V889,T_RUTN,0)),"⚠ RUT no está en Trabajadores"))</f>
        <v/>
      </c>
      <c r="E889" s="61"/>
      <c r="F889" s="61"/>
      <c r="G889" s="61"/>
      <c r="H889" s="61"/>
      <c r="I889" s="81"/>
      <c r="J889" s="81"/>
      <c r="K889" s="60"/>
      <c r="L889" s="60"/>
      <c r="M889" s="60"/>
      <c r="N889" s="60"/>
      <c r="O889" s="60"/>
      <c r="P889" s="60"/>
      <c r="Q889" s="60"/>
      <c r="R889" s="58"/>
      <c r="S889" s="62" t="str">
        <f aca="false">IF(OR(B889="",V889=""),"",IFERROR(INDEX(C_TIPO,MATCH(V889&amp;"-P"&amp;MAX(1,COUNTIFS(C_RUTN,V889,C_DEF,"Sí",C_INI,"&lt;="&amp;EOMONTH(B889,0))),C_CLAVE,0))&amp;"","Sin contrato"))</f>
        <v/>
      </c>
      <c r="T889" s="63" t="str">
        <f aca="false">IF(OR(B889="",N(O889)=0),"",N(O889)+ROUND(MIN(N(N889),TOPE_UF*UF_MES)*(TASA_EMP+MUTUAL),0)+ROUND(MIN(N(N889),TOPE_AFC_UF*UF_MES)*IF(S889="Indefinido",AFC_INDEF,AFC_PF),0))</f>
        <v/>
      </c>
      <c r="U889" s="62" t="str">
        <f aca="false">IF(C889="","",IF(LEFT(D889,1)="⚠","⚠ RUT no registrado en Trabajadores",IF(B889="","⚠ Falta el mes",IF(OR(ISTEXT(I889),ISTEXT(J889)),"⚠ Atrasos u horas extra como texto: escriba hh:mm (ej. 1:30)",IF(AND(ISNUMBER(Q889),COUNTIFS(M_RUTN,V889,M_MES,B889,M_LIQ,"&lt;&gt;")&gt;1),"⚠ Liquidación repetida en el mes",IF(AND(ISNUMBER(O889),ISNUMBER(P889),ISNUMBER(Q889),ABS(O889-P889-Q889)&gt;1),"⚠ Haberes − descuentos no da el líquido","OK"))))))</f>
        <v/>
      </c>
      <c r="V889" s="62" t="str">
        <f aca="false">IF(C889="","",IFERROR(VALUE(LEFT(UPPER(SUBSTITUTE(SUBSTITUTE(SUBSTITUTE(TRIM(C889),".",""),"-","")," ","")),LEN(UPPER(SUBSTITUTE(SUBSTITUTE(SUBSTITUTE(TRIM(C889),".",""),"-","")," ","")))-1))&amp;RIGHT(UPPER(SUBSTITUTE(SUBSTITUTE(SUBSTITUTE(TRIM(C889),".",""),"-","")," ","")),1),UPPER(SUBSTITUTE(SUBSTITUTE(SUBSTITUTE(TRIM(C889),".",""),"-","")," ",""))))</f>
        <v/>
      </c>
    </row>
    <row r="890" customFormat="false" ht="15" hidden="false" customHeight="false" outlineLevel="0" collapsed="false">
      <c r="B890" s="80"/>
      <c r="C890" s="58"/>
      <c r="D890" s="62" t="str">
        <f aca="false">IF(C890="","",IFERROR(INDEX(T_NOMBRE,MATCH(V890,T_RUTN,0)),"⚠ RUT no está en Trabajadores"))</f>
        <v/>
      </c>
      <c r="E890" s="61"/>
      <c r="F890" s="61"/>
      <c r="G890" s="61"/>
      <c r="H890" s="61"/>
      <c r="I890" s="81"/>
      <c r="J890" s="81"/>
      <c r="K890" s="60"/>
      <c r="L890" s="60"/>
      <c r="M890" s="60"/>
      <c r="N890" s="60"/>
      <c r="O890" s="60"/>
      <c r="P890" s="60"/>
      <c r="Q890" s="60"/>
      <c r="R890" s="58"/>
      <c r="S890" s="62" t="str">
        <f aca="false">IF(OR(B890="",V890=""),"",IFERROR(INDEX(C_TIPO,MATCH(V890&amp;"-P"&amp;MAX(1,COUNTIFS(C_RUTN,V890,C_DEF,"Sí",C_INI,"&lt;="&amp;EOMONTH(B890,0))),C_CLAVE,0))&amp;"","Sin contrato"))</f>
        <v/>
      </c>
      <c r="T890" s="63" t="str">
        <f aca="false">IF(OR(B890="",N(O890)=0),"",N(O890)+ROUND(MIN(N(N890),TOPE_UF*UF_MES)*(TASA_EMP+MUTUAL),0)+ROUND(MIN(N(N890),TOPE_AFC_UF*UF_MES)*IF(S890="Indefinido",AFC_INDEF,AFC_PF),0))</f>
        <v/>
      </c>
      <c r="U890" s="62" t="str">
        <f aca="false">IF(C890="","",IF(LEFT(D890,1)="⚠","⚠ RUT no registrado en Trabajadores",IF(B890="","⚠ Falta el mes",IF(OR(ISTEXT(I890),ISTEXT(J890)),"⚠ Atrasos u horas extra como texto: escriba hh:mm (ej. 1:30)",IF(AND(ISNUMBER(Q890),COUNTIFS(M_RUTN,V890,M_MES,B890,M_LIQ,"&lt;&gt;")&gt;1),"⚠ Liquidación repetida en el mes",IF(AND(ISNUMBER(O890),ISNUMBER(P890),ISNUMBER(Q890),ABS(O890-P890-Q890)&gt;1),"⚠ Haberes − descuentos no da el líquido","OK"))))))</f>
        <v/>
      </c>
      <c r="V890" s="62" t="str">
        <f aca="false">IF(C890="","",IFERROR(VALUE(LEFT(UPPER(SUBSTITUTE(SUBSTITUTE(SUBSTITUTE(TRIM(C890),".",""),"-","")," ","")),LEN(UPPER(SUBSTITUTE(SUBSTITUTE(SUBSTITUTE(TRIM(C890),".",""),"-","")," ","")))-1))&amp;RIGHT(UPPER(SUBSTITUTE(SUBSTITUTE(SUBSTITUTE(TRIM(C890),".",""),"-","")," ","")),1),UPPER(SUBSTITUTE(SUBSTITUTE(SUBSTITUTE(TRIM(C890),".",""),"-","")," ",""))))</f>
        <v/>
      </c>
    </row>
    <row r="891" customFormat="false" ht="15" hidden="false" customHeight="false" outlineLevel="0" collapsed="false">
      <c r="B891" s="80"/>
      <c r="C891" s="58"/>
      <c r="D891" s="62" t="str">
        <f aca="false">IF(C891="","",IFERROR(INDEX(T_NOMBRE,MATCH(V891,T_RUTN,0)),"⚠ RUT no está en Trabajadores"))</f>
        <v/>
      </c>
      <c r="E891" s="61"/>
      <c r="F891" s="61"/>
      <c r="G891" s="61"/>
      <c r="H891" s="61"/>
      <c r="I891" s="81"/>
      <c r="J891" s="81"/>
      <c r="K891" s="60"/>
      <c r="L891" s="60"/>
      <c r="M891" s="60"/>
      <c r="N891" s="60"/>
      <c r="O891" s="60"/>
      <c r="P891" s="60"/>
      <c r="Q891" s="60"/>
      <c r="R891" s="58"/>
      <c r="S891" s="62" t="str">
        <f aca="false">IF(OR(B891="",V891=""),"",IFERROR(INDEX(C_TIPO,MATCH(V891&amp;"-P"&amp;MAX(1,COUNTIFS(C_RUTN,V891,C_DEF,"Sí",C_INI,"&lt;="&amp;EOMONTH(B891,0))),C_CLAVE,0))&amp;"","Sin contrato"))</f>
        <v/>
      </c>
      <c r="T891" s="63" t="str">
        <f aca="false">IF(OR(B891="",N(O891)=0),"",N(O891)+ROUND(MIN(N(N891),TOPE_UF*UF_MES)*(TASA_EMP+MUTUAL),0)+ROUND(MIN(N(N891),TOPE_AFC_UF*UF_MES)*IF(S891="Indefinido",AFC_INDEF,AFC_PF),0))</f>
        <v/>
      </c>
      <c r="U891" s="62" t="str">
        <f aca="false">IF(C891="","",IF(LEFT(D891,1)="⚠","⚠ RUT no registrado en Trabajadores",IF(B891="","⚠ Falta el mes",IF(OR(ISTEXT(I891),ISTEXT(J891)),"⚠ Atrasos u horas extra como texto: escriba hh:mm (ej. 1:30)",IF(AND(ISNUMBER(Q891),COUNTIFS(M_RUTN,V891,M_MES,B891,M_LIQ,"&lt;&gt;")&gt;1),"⚠ Liquidación repetida en el mes",IF(AND(ISNUMBER(O891),ISNUMBER(P891),ISNUMBER(Q891),ABS(O891-P891-Q891)&gt;1),"⚠ Haberes − descuentos no da el líquido","OK"))))))</f>
        <v/>
      </c>
      <c r="V891" s="62" t="str">
        <f aca="false">IF(C891="","",IFERROR(VALUE(LEFT(UPPER(SUBSTITUTE(SUBSTITUTE(SUBSTITUTE(TRIM(C891),".",""),"-","")," ","")),LEN(UPPER(SUBSTITUTE(SUBSTITUTE(SUBSTITUTE(TRIM(C891),".",""),"-","")," ","")))-1))&amp;RIGHT(UPPER(SUBSTITUTE(SUBSTITUTE(SUBSTITUTE(TRIM(C891),".",""),"-","")," ","")),1),UPPER(SUBSTITUTE(SUBSTITUTE(SUBSTITUTE(TRIM(C891),".",""),"-","")," ",""))))</f>
        <v/>
      </c>
    </row>
    <row r="892" customFormat="false" ht="15" hidden="false" customHeight="false" outlineLevel="0" collapsed="false">
      <c r="B892" s="80"/>
      <c r="C892" s="58"/>
      <c r="D892" s="62" t="str">
        <f aca="false">IF(C892="","",IFERROR(INDEX(T_NOMBRE,MATCH(V892,T_RUTN,0)),"⚠ RUT no está en Trabajadores"))</f>
        <v/>
      </c>
      <c r="E892" s="61"/>
      <c r="F892" s="61"/>
      <c r="G892" s="61"/>
      <c r="H892" s="61"/>
      <c r="I892" s="81"/>
      <c r="J892" s="81"/>
      <c r="K892" s="60"/>
      <c r="L892" s="60"/>
      <c r="M892" s="60"/>
      <c r="N892" s="60"/>
      <c r="O892" s="60"/>
      <c r="P892" s="60"/>
      <c r="Q892" s="60"/>
      <c r="R892" s="58"/>
      <c r="S892" s="62" t="str">
        <f aca="false">IF(OR(B892="",V892=""),"",IFERROR(INDEX(C_TIPO,MATCH(V892&amp;"-P"&amp;MAX(1,COUNTIFS(C_RUTN,V892,C_DEF,"Sí",C_INI,"&lt;="&amp;EOMONTH(B892,0))),C_CLAVE,0))&amp;"","Sin contrato"))</f>
        <v/>
      </c>
      <c r="T892" s="63" t="str">
        <f aca="false">IF(OR(B892="",N(O892)=0),"",N(O892)+ROUND(MIN(N(N892),TOPE_UF*UF_MES)*(TASA_EMP+MUTUAL),0)+ROUND(MIN(N(N892),TOPE_AFC_UF*UF_MES)*IF(S892="Indefinido",AFC_INDEF,AFC_PF),0))</f>
        <v/>
      </c>
      <c r="U892" s="62" t="str">
        <f aca="false">IF(C892="","",IF(LEFT(D892,1)="⚠","⚠ RUT no registrado en Trabajadores",IF(B892="","⚠ Falta el mes",IF(OR(ISTEXT(I892),ISTEXT(J892)),"⚠ Atrasos u horas extra como texto: escriba hh:mm (ej. 1:30)",IF(AND(ISNUMBER(Q892),COUNTIFS(M_RUTN,V892,M_MES,B892,M_LIQ,"&lt;&gt;")&gt;1),"⚠ Liquidación repetida en el mes",IF(AND(ISNUMBER(O892),ISNUMBER(P892),ISNUMBER(Q892),ABS(O892-P892-Q892)&gt;1),"⚠ Haberes − descuentos no da el líquido","OK"))))))</f>
        <v/>
      </c>
      <c r="V892" s="62" t="str">
        <f aca="false">IF(C892="","",IFERROR(VALUE(LEFT(UPPER(SUBSTITUTE(SUBSTITUTE(SUBSTITUTE(TRIM(C892),".",""),"-","")," ","")),LEN(UPPER(SUBSTITUTE(SUBSTITUTE(SUBSTITUTE(TRIM(C892),".",""),"-","")," ","")))-1))&amp;RIGHT(UPPER(SUBSTITUTE(SUBSTITUTE(SUBSTITUTE(TRIM(C892),".",""),"-","")," ","")),1),UPPER(SUBSTITUTE(SUBSTITUTE(SUBSTITUTE(TRIM(C892),".",""),"-","")," ",""))))</f>
        <v/>
      </c>
    </row>
    <row r="893" customFormat="false" ht="15" hidden="false" customHeight="false" outlineLevel="0" collapsed="false">
      <c r="B893" s="80"/>
      <c r="C893" s="58"/>
      <c r="D893" s="62" t="str">
        <f aca="false">IF(C893="","",IFERROR(INDEX(T_NOMBRE,MATCH(V893,T_RUTN,0)),"⚠ RUT no está en Trabajadores"))</f>
        <v/>
      </c>
      <c r="E893" s="61"/>
      <c r="F893" s="61"/>
      <c r="G893" s="61"/>
      <c r="H893" s="61"/>
      <c r="I893" s="81"/>
      <c r="J893" s="81"/>
      <c r="K893" s="60"/>
      <c r="L893" s="60"/>
      <c r="M893" s="60"/>
      <c r="N893" s="60"/>
      <c r="O893" s="60"/>
      <c r="P893" s="60"/>
      <c r="Q893" s="60"/>
      <c r="R893" s="58"/>
      <c r="S893" s="62" t="str">
        <f aca="false">IF(OR(B893="",V893=""),"",IFERROR(INDEX(C_TIPO,MATCH(V893&amp;"-P"&amp;MAX(1,COUNTIFS(C_RUTN,V893,C_DEF,"Sí",C_INI,"&lt;="&amp;EOMONTH(B893,0))),C_CLAVE,0))&amp;"","Sin contrato"))</f>
        <v/>
      </c>
      <c r="T893" s="63" t="str">
        <f aca="false">IF(OR(B893="",N(O893)=0),"",N(O893)+ROUND(MIN(N(N893),TOPE_UF*UF_MES)*(TASA_EMP+MUTUAL),0)+ROUND(MIN(N(N893),TOPE_AFC_UF*UF_MES)*IF(S893="Indefinido",AFC_INDEF,AFC_PF),0))</f>
        <v/>
      </c>
      <c r="U893" s="62" t="str">
        <f aca="false">IF(C893="","",IF(LEFT(D893,1)="⚠","⚠ RUT no registrado en Trabajadores",IF(B893="","⚠ Falta el mes",IF(OR(ISTEXT(I893),ISTEXT(J893)),"⚠ Atrasos u horas extra como texto: escriba hh:mm (ej. 1:30)",IF(AND(ISNUMBER(Q893),COUNTIFS(M_RUTN,V893,M_MES,B893,M_LIQ,"&lt;&gt;")&gt;1),"⚠ Liquidación repetida en el mes",IF(AND(ISNUMBER(O893),ISNUMBER(P893),ISNUMBER(Q893),ABS(O893-P893-Q893)&gt;1),"⚠ Haberes − descuentos no da el líquido","OK"))))))</f>
        <v/>
      </c>
      <c r="V893" s="62" t="str">
        <f aca="false">IF(C893="","",IFERROR(VALUE(LEFT(UPPER(SUBSTITUTE(SUBSTITUTE(SUBSTITUTE(TRIM(C893),".",""),"-","")," ","")),LEN(UPPER(SUBSTITUTE(SUBSTITUTE(SUBSTITUTE(TRIM(C893),".",""),"-","")," ","")))-1))&amp;RIGHT(UPPER(SUBSTITUTE(SUBSTITUTE(SUBSTITUTE(TRIM(C893),".",""),"-","")," ","")),1),UPPER(SUBSTITUTE(SUBSTITUTE(SUBSTITUTE(TRIM(C893),".",""),"-","")," ",""))))</f>
        <v/>
      </c>
    </row>
    <row r="894" customFormat="false" ht="15" hidden="false" customHeight="false" outlineLevel="0" collapsed="false">
      <c r="B894" s="80"/>
      <c r="C894" s="58"/>
      <c r="D894" s="62" t="str">
        <f aca="false">IF(C894="","",IFERROR(INDEX(T_NOMBRE,MATCH(V894,T_RUTN,0)),"⚠ RUT no está en Trabajadores"))</f>
        <v/>
      </c>
      <c r="E894" s="61"/>
      <c r="F894" s="61"/>
      <c r="G894" s="61"/>
      <c r="H894" s="61"/>
      <c r="I894" s="81"/>
      <c r="J894" s="81"/>
      <c r="K894" s="60"/>
      <c r="L894" s="60"/>
      <c r="M894" s="60"/>
      <c r="N894" s="60"/>
      <c r="O894" s="60"/>
      <c r="P894" s="60"/>
      <c r="Q894" s="60"/>
      <c r="R894" s="58"/>
      <c r="S894" s="62" t="str">
        <f aca="false">IF(OR(B894="",V894=""),"",IFERROR(INDEX(C_TIPO,MATCH(V894&amp;"-P"&amp;MAX(1,COUNTIFS(C_RUTN,V894,C_DEF,"Sí",C_INI,"&lt;="&amp;EOMONTH(B894,0))),C_CLAVE,0))&amp;"","Sin contrato"))</f>
        <v/>
      </c>
      <c r="T894" s="63" t="str">
        <f aca="false">IF(OR(B894="",N(O894)=0),"",N(O894)+ROUND(MIN(N(N894),TOPE_UF*UF_MES)*(TASA_EMP+MUTUAL),0)+ROUND(MIN(N(N894),TOPE_AFC_UF*UF_MES)*IF(S894="Indefinido",AFC_INDEF,AFC_PF),0))</f>
        <v/>
      </c>
      <c r="U894" s="62" t="str">
        <f aca="false">IF(C894="","",IF(LEFT(D894,1)="⚠","⚠ RUT no registrado en Trabajadores",IF(B894="","⚠ Falta el mes",IF(OR(ISTEXT(I894),ISTEXT(J894)),"⚠ Atrasos u horas extra como texto: escriba hh:mm (ej. 1:30)",IF(AND(ISNUMBER(Q894),COUNTIFS(M_RUTN,V894,M_MES,B894,M_LIQ,"&lt;&gt;")&gt;1),"⚠ Liquidación repetida en el mes",IF(AND(ISNUMBER(O894),ISNUMBER(P894),ISNUMBER(Q894),ABS(O894-P894-Q894)&gt;1),"⚠ Haberes − descuentos no da el líquido","OK"))))))</f>
        <v/>
      </c>
      <c r="V894" s="62" t="str">
        <f aca="false">IF(C894="","",IFERROR(VALUE(LEFT(UPPER(SUBSTITUTE(SUBSTITUTE(SUBSTITUTE(TRIM(C894),".",""),"-","")," ","")),LEN(UPPER(SUBSTITUTE(SUBSTITUTE(SUBSTITUTE(TRIM(C894),".",""),"-","")," ","")))-1))&amp;RIGHT(UPPER(SUBSTITUTE(SUBSTITUTE(SUBSTITUTE(TRIM(C894),".",""),"-","")," ","")),1),UPPER(SUBSTITUTE(SUBSTITUTE(SUBSTITUTE(TRIM(C894),".",""),"-","")," ",""))))</f>
        <v/>
      </c>
    </row>
    <row r="895" customFormat="false" ht="15" hidden="false" customHeight="false" outlineLevel="0" collapsed="false">
      <c r="B895" s="80"/>
      <c r="C895" s="58"/>
      <c r="D895" s="62" t="str">
        <f aca="false">IF(C895="","",IFERROR(INDEX(T_NOMBRE,MATCH(V895,T_RUTN,0)),"⚠ RUT no está en Trabajadores"))</f>
        <v/>
      </c>
      <c r="E895" s="61"/>
      <c r="F895" s="61"/>
      <c r="G895" s="61"/>
      <c r="H895" s="61"/>
      <c r="I895" s="81"/>
      <c r="J895" s="81"/>
      <c r="K895" s="60"/>
      <c r="L895" s="60"/>
      <c r="M895" s="60"/>
      <c r="N895" s="60"/>
      <c r="O895" s="60"/>
      <c r="P895" s="60"/>
      <c r="Q895" s="60"/>
      <c r="R895" s="58"/>
      <c r="S895" s="62" t="str">
        <f aca="false">IF(OR(B895="",V895=""),"",IFERROR(INDEX(C_TIPO,MATCH(V895&amp;"-P"&amp;MAX(1,COUNTIFS(C_RUTN,V895,C_DEF,"Sí",C_INI,"&lt;="&amp;EOMONTH(B895,0))),C_CLAVE,0))&amp;"","Sin contrato"))</f>
        <v/>
      </c>
      <c r="T895" s="63" t="str">
        <f aca="false">IF(OR(B895="",N(O895)=0),"",N(O895)+ROUND(MIN(N(N895),TOPE_UF*UF_MES)*(TASA_EMP+MUTUAL),0)+ROUND(MIN(N(N895),TOPE_AFC_UF*UF_MES)*IF(S895="Indefinido",AFC_INDEF,AFC_PF),0))</f>
        <v/>
      </c>
      <c r="U895" s="62" t="str">
        <f aca="false">IF(C895="","",IF(LEFT(D895,1)="⚠","⚠ RUT no registrado en Trabajadores",IF(B895="","⚠ Falta el mes",IF(OR(ISTEXT(I895),ISTEXT(J895)),"⚠ Atrasos u horas extra como texto: escriba hh:mm (ej. 1:30)",IF(AND(ISNUMBER(Q895),COUNTIFS(M_RUTN,V895,M_MES,B895,M_LIQ,"&lt;&gt;")&gt;1),"⚠ Liquidación repetida en el mes",IF(AND(ISNUMBER(O895),ISNUMBER(P895),ISNUMBER(Q895),ABS(O895-P895-Q895)&gt;1),"⚠ Haberes − descuentos no da el líquido","OK"))))))</f>
        <v/>
      </c>
      <c r="V895" s="62" t="str">
        <f aca="false">IF(C895="","",IFERROR(VALUE(LEFT(UPPER(SUBSTITUTE(SUBSTITUTE(SUBSTITUTE(TRIM(C895),".",""),"-","")," ","")),LEN(UPPER(SUBSTITUTE(SUBSTITUTE(SUBSTITUTE(TRIM(C895),".",""),"-","")," ","")))-1))&amp;RIGHT(UPPER(SUBSTITUTE(SUBSTITUTE(SUBSTITUTE(TRIM(C895),".",""),"-","")," ","")),1),UPPER(SUBSTITUTE(SUBSTITUTE(SUBSTITUTE(TRIM(C895),".",""),"-","")," ",""))))</f>
        <v/>
      </c>
    </row>
    <row r="896" customFormat="false" ht="15" hidden="false" customHeight="false" outlineLevel="0" collapsed="false">
      <c r="B896" s="80"/>
      <c r="C896" s="58"/>
      <c r="D896" s="62" t="str">
        <f aca="false">IF(C896="","",IFERROR(INDEX(T_NOMBRE,MATCH(V896,T_RUTN,0)),"⚠ RUT no está en Trabajadores"))</f>
        <v/>
      </c>
      <c r="E896" s="61"/>
      <c r="F896" s="61"/>
      <c r="G896" s="61"/>
      <c r="H896" s="61"/>
      <c r="I896" s="81"/>
      <c r="J896" s="81"/>
      <c r="K896" s="60"/>
      <c r="L896" s="60"/>
      <c r="M896" s="60"/>
      <c r="N896" s="60"/>
      <c r="O896" s="60"/>
      <c r="P896" s="60"/>
      <c r="Q896" s="60"/>
      <c r="R896" s="58"/>
      <c r="S896" s="62" t="str">
        <f aca="false">IF(OR(B896="",V896=""),"",IFERROR(INDEX(C_TIPO,MATCH(V896&amp;"-P"&amp;MAX(1,COUNTIFS(C_RUTN,V896,C_DEF,"Sí",C_INI,"&lt;="&amp;EOMONTH(B896,0))),C_CLAVE,0))&amp;"","Sin contrato"))</f>
        <v/>
      </c>
      <c r="T896" s="63" t="str">
        <f aca="false">IF(OR(B896="",N(O896)=0),"",N(O896)+ROUND(MIN(N(N896),TOPE_UF*UF_MES)*(TASA_EMP+MUTUAL),0)+ROUND(MIN(N(N896),TOPE_AFC_UF*UF_MES)*IF(S896="Indefinido",AFC_INDEF,AFC_PF),0))</f>
        <v/>
      </c>
      <c r="U896" s="62" t="str">
        <f aca="false">IF(C896="","",IF(LEFT(D896,1)="⚠","⚠ RUT no registrado en Trabajadores",IF(B896="","⚠ Falta el mes",IF(OR(ISTEXT(I896),ISTEXT(J896)),"⚠ Atrasos u horas extra como texto: escriba hh:mm (ej. 1:30)",IF(AND(ISNUMBER(Q896),COUNTIFS(M_RUTN,V896,M_MES,B896,M_LIQ,"&lt;&gt;")&gt;1),"⚠ Liquidación repetida en el mes",IF(AND(ISNUMBER(O896),ISNUMBER(P896),ISNUMBER(Q896),ABS(O896-P896-Q896)&gt;1),"⚠ Haberes − descuentos no da el líquido","OK"))))))</f>
        <v/>
      </c>
      <c r="V896" s="62" t="str">
        <f aca="false">IF(C896="","",IFERROR(VALUE(LEFT(UPPER(SUBSTITUTE(SUBSTITUTE(SUBSTITUTE(TRIM(C896),".",""),"-","")," ","")),LEN(UPPER(SUBSTITUTE(SUBSTITUTE(SUBSTITUTE(TRIM(C896),".",""),"-","")," ","")))-1))&amp;RIGHT(UPPER(SUBSTITUTE(SUBSTITUTE(SUBSTITUTE(TRIM(C896),".",""),"-","")," ","")),1),UPPER(SUBSTITUTE(SUBSTITUTE(SUBSTITUTE(TRIM(C896),".",""),"-","")," ",""))))</f>
        <v/>
      </c>
    </row>
    <row r="897" customFormat="false" ht="15" hidden="false" customHeight="false" outlineLevel="0" collapsed="false">
      <c r="B897" s="80"/>
      <c r="C897" s="58"/>
      <c r="D897" s="62" t="str">
        <f aca="false">IF(C897="","",IFERROR(INDEX(T_NOMBRE,MATCH(V897,T_RUTN,0)),"⚠ RUT no está en Trabajadores"))</f>
        <v/>
      </c>
      <c r="E897" s="61"/>
      <c r="F897" s="61"/>
      <c r="G897" s="61"/>
      <c r="H897" s="61"/>
      <c r="I897" s="81"/>
      <c r="J897" s="81"/>
      <c r="K897" s="60"/>
      <c r="L897" s="60"/>
      <c r="M897" s="60"/>
      <c r="N897" s="60"/>
      <c r="O897" s="60"/>
      <c r="P897" s="60"/>
      <c r="Q897" s="60"/>
      <c r="R897" s="58"/>
      <c r="S897" s="62" t="str">
        <f aca="false">IF(OR(B897="",V897=""),"",IFERROR(INDEX(C_TIPO,MATCH(V897&amp;"-P"&amp;MAX(1,COUNTIFS(C_RUTN,V897,C_DEF,"Sí",C_INI,"&lt;="&amp;EOMONTH(B897,0))),C_CLAVE,0))&amp;"","Sin contrato"))</f>
        <v/>
      </c>
      <c r="T897" s="63" t="str">
        <f aca="false">IF(OR(B897="",N(O897)=0),"",N(O897)+ROUND(MIN(N(N897),TOPE_UF*UF_MES)*(TASA_EMP+MUTUAL),0)+ROUND(MIN(N(N897),TOPE_AFC_UF*UF_MES)*IF(S897="Indefinido",AFC_INDEF,AFC_PF),0))</f>
        <v/>
      </c>
      <c r="U897" s="62" t="str">
        <f aca="false">IF(C897="","",IF(LEFT(D897,1)="⚠","⚠ RUT no registrado en Trabajadores",IF(B897="","⚠ Falta el mes",IF(OR(ISTEXT(I897),ISTEXT(J897)),"⚠ Atrasos u horas extra como texto: escriba hh:mm (ej. 1:30)",IF(AND(ISNUMBER(Q897),COUNTIFS(M_RUTN,V897,M_MES,B897,M_LIQ,"&lt;&gt;")&gt;1),"⚠ Liquidación repetida en el mes",IF(AND(ISNUMBER(O897),ISNUMBER(P897),ISNUMBER(Q897),ABS(O897-P897-Q897)&gt;1),"⚠ Haberes − descuentos no da el líquido","OK"))))))</f>
        <v/>
      </c>
      <c r="V897" s="62" t="str">
        <f aca="false">IF(C897="","",IFERROR(VALUE(LEFT(UPPER(SUBSTITUTE(SUBSTITUTE(SUBSTITUTE(TRIM(C897),".",""),"-","")," ","")),LEN(UPPER(SUBSTITUTE(SUBSTITUTE(SUBSTITUTE(TRIM(C897),".",""),"-","")," ","")))-1))&amp;RIGHT(UPPER(SUBSTITUTE(SUBSTITUTE(SUBSTITUTE(TRIM(C897),".",""),"-","")," ","")),1),UPPER(SUBSTITUTE(SUBSTITUTE(SUBSTITUTE(TRIM(C897),".",""),"-","")," ",""))))</f>
        <v/>
      </c>
    </row>
    <row r="898" customFormat="false" ht="15" hidden="false" customHeight="false" outlineLevel="0" collapsed="false">
      <c r="B898" s="80"/>
      <c r="C898" s="58"/>
      <c r="D898" s="62" t="str">
        <f aca="false">IF(C898="","",IFERROR(INDEX(T_NOMBRE,MATCH(V898,T_RUTN,0)),"⚠ RUT no está en Trabajadores"))</f>
        <v/>
      </c>
      <c r="E898" s="61"/>
      <c r="F898" s="61"/>
      <c r="G898" s="61"/>
      <c r="H898" s="61"/>
      <c r="I898" s="81"/>
      <c r="J898" s="81"/>
      <c r="K898" s="60"/>
      <c r="L898" s="60"/>
      <c r="M898" s="60"/>
      <c r="N898" s="60"/>
      <c r="O898" s="60"/>
      <c r="P898" s="60"/>
      <c r="Q898" s="60"/>
      <c r="R898" s="58"/>
      <c r="S898" s="62" t="str">
        <f aca="false">IF(OR(B898="",V898=""),"",IFERROR(INDEX(C_TIPO,MATCH(V898&amp;"-P"&amp;MAX(1,COUNTIFS(C_RUTN,V898,C_DEF,"Sí",C_INI,"&lt;="&amp;EOMONTH(B898,0))),C_CLAVE,0))&amp;"","Sin contrato"))</f>
        <v/>
      </c>
      <c r="T898" s="63" t="str">
        <f aca="false">IF(OR(B898="",N(O898)=0),"",N(O898)+ROUND(MIN(N(N898),TOPE_UF*UF_MES)*(TASA_EMP+MUTUAL),0)+ROUND(MIN(N(N898),TOPE_AFC_UF*UF_MES)*IF(S898="Indefinido",AFC_INDEF,AFC_PF),0))</f>
        <v/>
      </c>
      <c r="U898" s="62" t="str">
        <f aca="false">IF(C898="","",IF(LEFT(D898,1)="⚠","⚠ RUT no registrado en Trabajadores",IF(B898="","⚠ Falta el mes",IF(OR(ISTEXT(I898),ISTEXT(J898)),"⚠ Atrasos u horas extra como texto: escriba hh:mm (ej. 1:30)",IF(AND(ISNUMBER(Q898),COUNTIFS(M_RUTN,V898,M_MES,B898,M_LIQ,"&lt;&gt;")&gt;1),"⚠ Liquidación repetida en el mes",IF(AND(ISNUMBER(O898),ISNUMBER(P898),ISNUMBER(Q898),ABS(O898-P898-Q898)&gt;1),"⚠ Haberes − descuentos no da el líquido","OK"))))))</f>
        <v/>
      </c>
      <c r="V898" s="62" t="str">
        <f aca="false">IF(C898="","",IFERROR(VALUE(LEFT(UPPER(SUBSTITUTE(SUBSTITUTE(SUBSTITUTE(TRIM(C898),".",""),"-","")," ","")),LEN(UPPER(SUBSTITUTE(SUBSTITUTE(SUBSTITUTE(TRIM(C898),".",""),"-","")," ","")))-1))&amp;RIGHT(UPPER(SUBSTITUTE(SUBSTITUTE(SUBSTITUTE(TRIM(C898),".",""),"-","")," ","")),1),UPPER(SUBSTITUTE(SUBSTITUTE(SUBSTITUTE(TRIM(C898),".",""),"-","")," ",""))))</f>
        <v/>
      </c>
    </row>
    <row r="899" customFormat="false" ht="15" hidden="false" customHeight="false" outlineLevel="0" collapsed="false">
      <c r="B899" s="80"/>
      <c r="C899" s="58"/>
      <c r="D899" s="62" t="str">
        <f aca="false">IF(C899="","",IFERROR(INDEX(T_NOMBRE,MATCH(V899,T_RUTN,0)),"⚠ RUT no está en Trabajadores"))</f>
        <v/>
      </c>
      <c r="E899" s="61"/>
      <c r="F899" s="61"/>
      <c r="G899" s="61"/>
      <c r="H899" s="61"/>
      <c r="I899" s="81"/>
      <c r="J899" s="81"/>
      <c r="K899" s="60"/>
      <c r="L899" s="60"/>
      <c r="M899" s="60"/>
      <c r="N899" s="60"/>
      <c r="O899" s="60"/>
      <c r="P899" s="60"/>
      <c r="Q899" s="60"/>
      <c r="R899" s="58"/>
      <c r="S899" s="62" t="str">
        <f aca="false">IF(OR(B899="",V899=""),"",IFERROR(INDEX(C_TIPO,MATCH(V899&amp;"-P"&amp;MAX(1,COUNTIFS(C_RUTN,V899,C_DEF,"Sí",C_INI,"&lt;="&amp;EOMONTH(B899,0))),C_CLAVE,0))&amp;"","Sin contrato"))</f>
        <v/>
      </c>
      <c r="T899" s="63" t="str">
        <f aca="false">IF(OR(B899="",N(O899)=0),"",N(O899)+ROUND(MIN(N(N899),TOPE_UF*UF_MES)*(TASA_EMP+MUTUAL),0)+ROUND(MIN(N(N899),TOPE_AFC_UF*UF_MES)*IF(S899="Indefinido",AFC_INDEF,AFC_PF),0))</f>
        <v/>
      </c>
      <c r="U899" s="62" t="str">
        <f aca="false">IF(C899="","",IF(LEFT(D899,1)="⚠","⚠ RUT no registrado en Trabajadores",IF(B899="","⚠ Falta el mes",IF(OR(ISTEXT(I899),ISTEXT(J899)),"⚠ Atrasos u horas extra como texto: escriba hh:mm (ej. 1:30)",IF(AND(ISNUMBER(Q899),COUNTIFS(M_RUTN,V899,M_MES,B899,M_LIQ,"&lt;&gt;")&gt;1),"⚠ Liquidación repetida en el mes",IF(AND(ISNUMBER(O899),ISNUMBER(P899),ISNUMBER(Q899),ABS(O899-P899-Q899)&gt;1),"⚠ Haberes − descuentos no da el líquido","OK"))))))</f>
        <v/>
      </c>
      <c r="V899" s="62" t="str">
        <f aca="false">IF(C899="","",IFERROR(VALUE(LEFT(UPPER(SUBSTITUTE(SUBSTITUTE(SUBSTITUTE(TRIM(C899),".",""),"-","")," ","")),LEN(UPPER(SUBSTITUTE(SUBSTITUTE(SUBSTITUTE(TRIM(C899),".",""),"-","")," ","")))-1))&amp;RIGHT(UPPER(SUBSTITUTE(SUBSTITUTE(SUBSTITUTE(TRIM(C899),".",""),"-","")," ","")),1),UPPER(SUBSTITUTE(SUBSTITUTE(SUBSTITUTE(TRIM(C899),".",""),"-","")," ",""))))</f>
        <v/>
      </c>
    </row>
    <row r="900" customFormat="false" ht="15" hidden="false" customHeight="false" outlineLevel="0" collapsed="false">
      <c r="B900" s="80"/>
      <c r="C900" s="58"/>
      <c r="D900" s="62" t="str">
        <f aca="false">IF(C900="","",IFERROR(INDEX(T_NOMBRE,MATCH(V900,T_RUTN,0)),"⚠ RUT no está en Trabajadores"))</f>
        <v/>
      </c>
      <c r="E900" s="61"/>
      <c r="F900" s="61"/>
      <c r="G900" s="61"/>
      <c r="H900" s="61"/>
      <c r="I900" s="81"/>
      <c r="J900" s="81"/>
      <c r="K900" s="60"/>
      <c r="L900" s="60"/>
      <c r="M900" s="60"/>
      <c r="N900" s="60"/>
      <c r="O900" s="60"/>
      <c r="P900" s="60"/>
      <c r="Q900" s="60"/>
      <c r="R900" s="58"/>
      <c r="S900" s="62" t="str">
        <f aca="false">IF(OR(B900="",V900=""),"",IFERROR(INDEX(C_TIPO,MATCH(V900&amp;"-P"&amp;MAX(1,COUNTIFS(C_RUTN,V900,C_DEF,"Sí",C_INI,"&lt;="&amp;EOMONTH(B900,0))),C_CLAVE,0))&amp;"","Sin contrato"))</f>
        <v/>
      </c>
      <c r="T900" s="63" t="str">
        <f aca="false">IF(OR(B900="",N(O900)=0),"",N(O900)+ROUND(MIN(N(N900),TOPE_UF*UF_MES)*(TASA_EMP+MUTUAL),0)+ROUND(MIN(N(N900),TOPE_AFC_UF*UF_MES)*IF(S900="Indefinido",AFC_INDEF,AFC_PF),0))</f>
        <v/>
      </c>
      <c r="U900" s="62" t="str">
        <f aca="false">IF(C900="","",IF(LEFT(D900,1)="⚠","⚠ RUT no registrado en Trabajadores",IF(B900="","⚠ Falta el mes",IF(OR(ISTEXT(I900),ISTEXT(J900)),"⚠ Atrasos u horas extra como texto: escriba hh:mm (ej. 1:30)",IF(AND(ISNUMBER(Q900),COUNTIFS(M_RUTN,V900,M_MES,B900,M_LIQ,"&lt;&gt;")&gt;1),"⚠ Liquidación repetida en el mes",IF(AND(ISNUMBER(O900),ISNUMBER(P900),ISNUMBER(Q900),ABS(O900-P900-Q900)&gt;1),"⚠ Haberes − descuentos no da el líquido","OK"))))))</f>
        <v/>
      </c>
      <c r="V900" s="62" t="str">
        <f aca="false">IF(C900="","",IFERROR(VALUE(LEFT(UPPER(SUBSTITUTE(SUBSTITUTE(SUBSTITUTE(TRIM(C900),".",""),"-","")," ","")),LEN(UPPER(SUBSTITUTE(SUBSTITUTE(SUBSTITUTE(TRIM(C900),".",""),"-","")," ","")))-1))&amp;RIGHT(UPPER(SUBSTITUTE(SUBSTITUTE(SUBSTITUTE(TRIM(C900),".",""),"-","")," ","")),1),UPPER(SUBSTITUTE(SUBSTITUTE(SUBSTITUTE(TRIM(C900),".",""),"-","")," ",""))))</f>
        <v/>
      </c>
    </row>
    <row r="901" customFormat="false" ht="15" hidden="false" customHeight="false" outlineLevel="0" collapsed="false">
      <c r="B901" s="80"/>
      <c r="C901" s="58"/>
      <c r="D901" s="62" t="str">
        <f aca="false">IF(C901="","",IFERROR(INDEX(T_NOMBRE,MATCH(V901,T_RUTN,0)),"⚠ RUT no está en Trabajadores"))</f>
        <v/>
      </c>
      <c r="E901" s="61"/>
      <c r="F901" s="61"/>
      <c r="G901" s="61"/>
      <c r="H901" s="61"/>
      <c r="I901" s="81"/>
      <c r="J901" s="81"/>
      <c r="K901" s="60"/>
      <c r="L901" s="60"/>
      <c r="M901" s="60"/>
      <c r="N901" s="60"/>
      <c r="O901" s="60"/>
      <c r="P901" s="60"/>
      <c r="Q901" s="60"/>
      <c r="R901" s="58"/>
      <c r="S901" s="62" t="str">
        <f aca="false">IF(OR(B901="",V901=""),"",IFERROR(INDEX(C_TIPO,MATCH(V901&amp;"-P"&amp;MAX(1,COUNTIFS(C_RUTN,V901,C_DEF,"Sí",C_INI,"&lt;="&amp;EOMONTH(B901,0))),C_CLAVE,0))&amp;"","Sin contrato"))</f>
        <v/>
      </c>
      <c r="T901" s="63" t="str">
        <f aca="false">IF(OR(B901="",N(O901)=0),"",N(O901)+ROUND(MIN(N(N901),TOPE_UF*UF_MES)*(TASA_EMP+MUTUAL),0)+ROUND(MIN(N(N901),TOPE_AFC_UF*UF_MES)*IF(S901="Indefinido",AFC_INDEF,AFC_PF),0))</f>
        <v/>
      </c>
      <c r="U901" s="62" t="str">
        <f aca="false">IF(C901="","",IF(LEFT(D901,1)="⚠","⚠ RUT no registrado en Trabajadores",IF(B901="","⚠ Falta el mes",IF(OR(ISTEXT(I901),ISTEXT(J901)),"⚠ Atrasos u horas extra como texto: escriba hh:mm (ej. 1:30)",IF(AND(ISNUMBER(Q901),COUNTIFS(M_RUTN,V901,M_MES,B901,M_LIQ,"&lt;&gt;")&gt;1),"⚠ Liquidación repetida en el mes",IF(AND(ISNUMBER(O901),ISNUMBER(P901),ISNUMBER(Q901),ABS(O901-P901-Q901)&gt;1),"⚠ Haberes − descuentos no da el líquido","OK"))))))</f>
        <v/>
      </c>
      <c r="V901" s="62" t="str">
        <f aca="false">IF(C901="","",IFERROR(VALUE(LEFT(UPPER(SUBSTITUTE(SUBSTITUTE(SUBSTITUTE(TRIM(C901),".",""),"-","")," ","")),LEN(UPPER(SUBSTITUTE(SUBSTITUTE(SUBSTITUTE(TRIM(C901),".",""),"-","")," ","")))-1))&amp;RIGHT(UPPER(SUBSTITUTE(SUBSTITUTE(SUBSTITUTE(TRIM(C901),".",""),"-","")," ","")),1),UPPER(SUBSTITUTE(SUBSTITUTE(SUBSTITUTE(TRIM(C901),".",""),"-","")," ",""))))</f>
        <v/>
      </c>
    </row>
    <row r="902" customFormat="false" ht="15" hidden="false" customHeight="false" outlineLevel="0" collapsed="false">
      <c r="B902" s="80"/>
      <c r="C902" s="58"/>
      <c r="D902" s="62" t="str">
        <f aca="false">IF(C902="","",IFERROR(INDEX(T_NOMBRE,MATCH(V902,T_RUTN,0)),"⚠ RUT no está en Trabajadores"))</f>
        <v/>
      </c>
      <c r="E902" s="61"/>
      <c r="F902" s="61"/>
      <c r="G902" s="61"/>
      <c r="H902" s="61"/>
      <c r="I902" s="81"/>
      <c r="J902" s="81"/>
      <c r="K902" s="60"/>
      <c r="L902" s="60"/>
      <c r="M902" s="60"/>
      <c r="N902" s="60"/>
      <c r="O902" s="60"/>
      <c r="P902" s="60"/>
      <c r="Q902" s="60"/>
      <c r="R902" s="58"/>
      <c r="S902" s="62" t="str">
        <f aca="false">IF(OR(B902="",V902=""),"",IFERROR(INDEX(C_TIPO,MATCH(V902&amp;"-P"&amp;MAX(1,COUNTIFS(C_RUTN,V902,C_DEF,"Sí",C_INI,"&lt;="&amp;EOMONTH(B902,0))),C_CLAVE,0))&amp;"","Sin contrato"))</f>
        <v/>
      </c>
      <c r="T902" s="63" t="str">
        <f aca="false">IF(OR(B902="",N(O902)=0),"",N(O902)+ROUND(MIN(N(N902),TOPE_UF*UF_MES)*(TASA_EMP+MUTUAL),0)+ROUND(MIN(N(N902),TOPE_AFC_UF*UF_MES)*IF(S902="Indefinido",AFC_INDEF,AFC_PF),0))</f>
        <v/>
      </c>
      <c r="U902" s="62" t="str">
        <f aca="false">IF(C902="","",IF(LEFT(D902,1)="⚠","⚠ RUT no registrado en Trabajadores",IF(B902="","⚠ Falta el mes",IF(OR(ISTEXT(I902),ISTEXT(J902)),"⚠ Atrasos u horas extra como texto: escriba hh:mm (ej. 1:30)",IF(AND(ISNUMBER(Q902),COUNTIFS(M_RUTN,V902,M_MES,B902,M_LIQ,"&lt;&gt;")&gt;1),"⚠ Liquidación repetida en el mes",IF(AND(ISNUMBER(O902),ISNUMBER(P902),ISNUMBER(Q902),ABS(O902-P902-Q902)&gt;1),"⚠ Haberes − descuentos no da el líquido","OK"))))))</f>
        <v/>
      </c>
      <c r="V902" s="62" t="str">
        <f aca="false">IF(C902="","",IFERROR(VALUE(LEFT(UPPER(SUBSTITUTE(SUBSTITUTE(SUBSTITUTE(TRIM(C902),".",""),"-","")," ","")),LEN(UPPER(SUBSTITUTE(SUBSTITUTE(SUBSTITUTE(TRIM(C902),".",""),"-","")," ","")))-1))&amp;RIGHT(UPPER(SUBSTITUTE(SUBSTITUTE(SUBSTITUTE(TRIM(C902),".",""),"-","")," ","")),1),UPPER(SUBSTITUTE(SUBSTITUTE(SUBSTITUTE(TRIM(C902),".",""),"-","")," ",""))))</f>
        <v/>
      </c>
    </row>
    <row r="903" customFormat="false" ht="15" hidden="false" customHeight="false" outlineLevel="0" collapsed="false">
      <c r="B903" s="80"/>
      <c r="C903" s="58"/>
      <c r="D903" s="62" t="str">
        <f aca="false">IF(C903="","",IFERROR(INDEX(T_NOMBRE,MATCH(V903,T_RUTN,0)),"⚠ RUT no está en Trabajadores"))</f>
        <v/>
      </c>
      <c r="E903" s="61"/>
      <c r="F903" s="61"/>
      <c r="G903" s="61"/>
      <c r="H903" s="61"/>
      <c r="I903" s="81"/>
      <c r="J903" s="81"/>
      <c r="K903" s="60"/>
      <c r="L903" s="60"/>
      <c r="M903" s="60"/>
      <c r="N903" s="60"/>
      <c r="O903" s="60"/>
      <c r="P903" s="60"/>
      <c r="Q903" s="60"/>
      <c r="R903" s="58"/>
      <c r="S903" s="62" t="str">
        <f aca="false">IF(OR(B903="",V903=""),"",IFERROR(INDEX(C_TIPO,MATCH(V903&amp;"-P"&amp;MAX(1,COUNTIFS(C_RUTN,V903,C_DEF,"Sí",C_INI,"&lt;="&amp;EOMONTH(B903,0))),C_CLAVE,0))&amp;"","Sin contrato"))</f>
        <v/>
      </c>
      <c r="T903" s="63" t="str">
        <f aca="false">IF(OR(B903="",N(O903)=0),"",N(O903)+ROUND(MIN(N(N903),TOPE_UF*UF_MES)*(TASA_EMP+MUTUAL),0)+ROUND(MIN(N(N903),TOPE_AFC_UF*UF_MES)*IF(S903="Indefinido",AFC_INDEF,AFC_PF),0))</f>
        <v/>
      </c>
      <c r="U903" s="62" t="str">
        <f aca="false">IF(C903="","",IF(LEFT(D903,1)="⚠","⚠ RUT no registrado en Trabajadores",IF(B903="","⚠ Falta el mes",IF(OR(ISTEXT(I903),ISTEXT(J903)),"⚠ Atrasos u horas extra como texto: escriba hh:mm (ej. 1:30)",IF(AND(ISNUMBER(Q903),COUNTIFS(M_RUTN,V903,M_MES,B903,M_LIQ,"&lt;&gt;")&gt;1),"⚠ Liquidación repetida en el mes",IF(AND(ISNUMBER(O903),ISNUMBER(P903),ISNUMBER(Q903),ABS(O903-P903-Q903)&gt;1),"⚠ Haberes − descuentos no da el líquido","OK"))))))</f>
        <v/>
      </c>
      <c r="V903" s="62" t="str">
        <f aca="false">IF(C903="","",IFERROR(VALUE(LEFT(UPPER(SUBSTITUTE(SUBSTITUTE(SUBSTITUTE(TRIM(C903),".",""),"-","")," ","")),LEN(UPPER(SUBSTITUTE(SUBSTITUTE(SUBSTITUTE(TRIM(C903),".",""),"-","")," ","")))-1))&amp;RIGHT(UPPER(SUBSTITUTE(SUBSTITUTE(SUBSTITUTE(TRIM(C903),".",""),"-","")," ","")),1),UPPER(SUBSTITUTE(SUBSTITUTE(SUBSTITUTE(TRIM(C903),".",""),"-","")," ",""))))</f>
        <v/>
      </c>
    </row>
    <row r="904" customFormat="false" ht="15" hidden="false" customHeight="false" outlineLevel="0" collapsed="false">
      <c r="B904" s="80"/>
      <c r="C904" s="58"/>
      <c r="D904" s="62" t="str">
        <f aca="false">IF(C904="","",IFERROR(INDEX(T_NOMBRE,MATCH(V904,T_RUTN,0)),"⚠ RUT no está en Trabajadores"))</f>
        <v/>
      </c>
      <c r="E904" s="61"/>
      <c r="F904" s="61"/>
      <c r="G904" s="61"/>
      <c r="H904" s="61"/>
      <c r="I904" s="81"/>
      <c r="J904" s="81"/>
      <c r="K904" s="60"/>
      <c r="L904" s="60"/>
      <c r="M904" s="60"/>
      <c r="N904" s="60"/>
      <c r="O904" s="60"/>
      <c r="P904" s="60"/>
      <c r="Q904" s="60"/>
      <c r="R904" s="58"/>
      <c r="S904" s="62" t="str">
        <f aca="false">IF(OR(B904="",V904=""),"",IFERROR(INDEX(C_TIPO,MATCH(V904&amp;"-P"&amp;MAX(1,COUNTIFS(C_RUTN,V904,C_DEF,"Sí",C_INI,"&lt;="&amp;EOMONTH(B904,0))),C_CLAVE,0))&amp;"","Sin contrato"))</f>
        <v/>
      </c>
      <c r="T904" s="63" t="str">
        <f aca="false">IF(OR(B904="",N(O904)=0),"",N(O904)+ROUND(MIN(N(N904),TOPE_UF*UF_MES)*(TASA_EMP+MUTUAL),0)+ROUND(MIN(N(N904),TOPE_AFC_UF*UF_MES)*IF(S904="Indefinido",AFC_INDEF,AFC_PF),0))</f>
        <v/>
      </c>
      <c r="U904" s="62" t="str">
        <f aca="false">IF(C904="","",IF(LEFT(D904,1)="⚠","⚠ RUT no registrado en Trabajadores",IF(B904="","⚠ Falta el mes",IF(OR(ISTEXT(I904),ISTEXT(J904)),"⚠ Atrasos u horas extra como texto: escriba hh:mm (ej. 1:30)",IF(AND(ISNUMBER(Q904),COUNTIFS(M_RUTN,V904,M_MES,B904,M_LIQ,"&lt;&gt;")&gt;1),"⚠ Liquidación repetida en el mes",IF(AND(ISNUMBER(O904),ISNUMBER(P904),ISNUMBER(Q904),ABS(O904-P904-Q904)&gt;1),"⚠ Haberes − descuentos no da el líquido","OK"))))))</f>
        <v/>
      </c>
      <c r="V904" s="62" t="str">
        <f aca="false">IF(C904="","",IFERROR(VALUE(LEFT(UPPER(SUBSTITUTE(SUBSTITUTE(SUBSTITUTE(TRIM(C904),".",""),"-","")," ","")),LEN(UPPER(SUBSTITUTE(SUBSTITUTE(SUBSTITUTE(TRIM(C904),".",""),"-","")," ","")))-1))&amp;RIGHT(UPPER(SUBSTITUTE(SUBSTITUTE(SUBSTITUTE(TRIM(C904),".",""),"-","")," ","")),1),UPPER(SUBSTITUTE(SUBSTITUTE(SUBSTITUTE(TRIM(C904),".",""),"-","")," ",""))))</f>
        <v/>
      </c>
    </row>
    <row r="905" customFormat="false" ht="15" hidden="false" customHeight="false" outlineLevel="0" collapsed="false">
      <c r="B905" s="80"/>
      <c r="C905" s="58"/>
      <c r="D905" s="62" t="str">
        <f aca="false">IF(C905="","",IFERROR(INDEX(T_NOMBRE,MATCH(V905,T_RUTN,0)),"⚠ RUT no está en Trabajadores"))</f>
        <v/>
      </c>
      <c r="E905" s="61"/>
      <c r="F905" s="61"/>
      <c r="G905" s="61"/>
      <c r="H905" s="61"/>
      <c r="I905" s="81"/>
      <c r="J905" s="81"/>
      <c r="K905" s="60"/>
      <c r="L905" s="60"/>
      <c r="M905" s="60"/>
      <c r="N905" s="60"/>
      <c r="O905" s="60"/>
      <c r="P905" s="60"/>
      <c r="Q905" s="60"/>
      <c r="R905" s="58"/>
      <c r="S905" s="62" t="str">
        <f aca="false">IF(OR(B905="",V905=""),"",IFERROR(INDEX(C_TIPO,MATCH(V905&amp;"-P"&amp;MAX(1,COUNTIFS(C_RUTN,V905,C_DEF,"Sí",C_INI,"&lt;="&amp;EOMONTH(B905,0))),C_CLAVE,0))&amp;"","Sin contrato"))</f>
        <v/>
      </c>
      <c r="T905" s="63" t="str">
        <f aca="false">IF(OR(B905="",N(O905)=0),"",N(O905)+ROUND(MIN(N(N905),TOPE_UF*UF_MES)*(TASA_EMP+MUTUAL),0)+ROUND(MIN(N(N905),TOPE_AFC_UF*UF_MES)*IF(S905="Indefinido",AFC_INDEF,AFC_PF),0))</f>
        <v/>
      </c>
      <c r="U905" s="62" t="str">
        <f aca="false">IF(C905="","",IF(LEFT(D905,1)="⚠","⚠ RUT no registrado en Trabajadores",IF(B905="","⚠ Falta el mes",IF(OR(ISTEXT(I905),ISTEXT(J905)),"⚠ Atrasos u horas extra como texto: escriba hh:mm (ej. 1:30)",IF(AND(ISNUMBER(Q905),COUNTIFS(M_RUTN,V905,M_MES,B905,M_LIQ,"&lt;&gt;")&gt;1),"⚠ Liquidación repetida en el mes",IF(AND(ISNUMBER(O905),ISNUMBER(P905),ISNUMBER(Q905),ABS(O905-P905-Q905)&gt;1),"⚠ Haberes − descuentos no da el líquido","OK"))))))</f>
        <v/>
      </c>
      <c r="V905" s="62" t="str">
        <f aca="false">IF(C905="","",IFERROR(VALUE(LEFT(UPPER(SUBSTITUTE(SUBSTITUTE(SUBSTITUTE(TRIM(C905),".",""),"-","")," ","")),LEN(UPPER(SUBSTITUTE(SUBSTITUTE(SUBSTITUTE(TRIM(C905),".",""),"-","")," ","")))-1))&amp;RIGHT(UPPER(SUBSTITUTE(SUBSTITUTE(SUBSTITUTE(TRIM(C905),".",""),"-","")," ","")),1),UPPER(SUBSTITUTE(SUBSTITUTE(SUBSTITUTE(TRIM(C905),".",""),"-","")," ",""))))</f>
        <v/>
      </c>
    </row>
    <row r="906" customFormat="false" ht="15" hidden="false" customHeight="false" outlineLevel="0" collapsed="false">
      <c r="B906" s="80"/>
      <c r="C906" s="58"/>
      <c r="D906" s="62" t="str">
        <f aca="false">IF(C906="","",IFERROR(INDEX(T_NOMBRE,MATCH(V906,T_RUTN,0)),"⚠ RUT no está en Trabajadores"))</f>
        <v/>
      </c>
      <c r="E906" s="61"/>
      <c r="F906" s="61"/>
      <c r="G906" s="61"/>
      <c r="H906" s="61"/>
      <c r="I906" s="81"/>
      <c r="J906" s="81"/>
      <c r="K906" s="60"/>
      <c r="L906" s="60"/>
      <c r="M906" s="60"/>
      <c r="N906" s="60"/>
      <c r="O906" s="60"/>
      <c r="P906" s="60"/>
      <c r="Q906" s="60"/>
      <c r="R906" s="58"/>
      <c r="S906" s="62" t="str">
        <f aca="false">IF(OR(B906="",V906=""),"",IFERROR(INDEX(C_TIPO,MATCH(V906&amp;"-P"&amp;MAX(1,COUNTIFS(C_RUTN,V906,C_DEF,"Sí",C_INI,"&lt;="&amp;EOMONTH(B906,0))),C_CLAVE,0))&amp;"","Sin contrato"))</f>
        <v/>
      </c>
      <c r="T906" s="63" t="str">
        <f aca="false">IF(OR(B906="",N(O906)=0),"",N(O906)+ROUND(MIN(N(N906),TOPE_UF*UF_MES)*(TASA_EMP+MUTUAL),0)+ROUND(MIN(N(N906),TOPE_AFC_UF*UF_MES)*IF(S906="Indefinido",AFC_INDEF,AFC_PF),0))</f>
        <v/>
      </c>
      <c r="U906" s="62" t="str">
        <f aca="false">IF(C906="","",IF(LEFT(D906,1)="⚠","⚠ RUT no registrado en Trabajadores",IF(B906="","⚠ Falta el mes",IF(OR(ISTEXT(I906),ISTEXT(J906)),"⚠ Atrasos u horas extra como texto: escriba hh:mm (ej. 1:30)",IF(AND(ISNUMBER(Q906),COUNTIFS(M_RUTN,V906,M_MES,B906,M_LIQ,"&lt;&gt;")&gt;1),"⚠ Liquidación repetida en el mes",IF(AND(ISNUMBER(O906),ISNUMBER(P906),ISNUMBER(Q906),ABS(O906-P906-Q906)&gt;1),"⚠ Haberes − descuentos no da el líquido","OK"))))))</f>
        <v/>
      </c>
      <c r="V906" s="62" t="str">
        <f aca="false">IF(C906="","",IFERROR(VALUE(LEFT(UPPER(SUBSTITUTE(SUBSTITUTE(SUBSTITUTE(TRIM(C906),".",""),"-","")," ","")),LEN(UPPER(SUBSTITUTE(SUBSTITUTE(SUBSTITUTE(TRIM(C906),".",""),"-","")," ","")))-1))&amp;RIGHT(UPPER(SUBSTITUTE(SUBSTITUTE(SUBSTITUTE(TRIM(C906),".",""),"-","")," ","")),1),UPPER(SUBSTITUTE(SUBSTITUTE(SUBSTITUTE(TRIM(C906),".",""),"-","")," ",""))))</f>
        <v/>
      </c>
    </row>
    <row r="907" customFormat="false" ht="15" hidden="false" customHeight="false" outlineLevel="0" collapsed="false">
      <c r="B907" s="80"/>
      <c r="C907" s="58"/>
      <c r="D907" s="62" t="str">
        <f aca="false">IF(C907="","",IFERROR(INDEX(T_NOMBRE,MATCH(V907,T_RUTN,0)),"⚠ RUT no está en Trabajadores"))</f>
        <v/>
      </c>
      <c r="E907" s="61"/>
      <c r="F907" s="61"/>
      <c r="G907" s="61"/>
      <c r="H907" s="61"/>
      <c r="I907" s="81"/>
      <c r="J907" s="81"/>
      <c r="K907" s="60"/>
      <c r="L907" s="60"/>
      <c r="M907" s="60"/>
      <c r="N907" s="60"/>
      <c r="O907" s="60"/>
      <c r="P907" s="60"/>
      <c r="Q907" s="60"/>
      <c r="R907" s="58"/>
      <c r="S907" s="62" t="str">
        <f aca="false">IF(OR(B907="",V907=""),"",IFERROR(INDEX(C_TIPO,MATCH(V907&amp;"-P"&amp;MAX(1,COUNTIFS(C_RUTN,V907,C_DEF,"Sí",C_INI,"&lt;="&amp;EOMONTH(B907,0))),C_CLAVE,0))&amp;"","Sin contrato"))</f>
        <v/>
      </c>
      <c r="T907" s="63" t="str">
        <f aca="false">IF(OR(B907="",N(O907)=0),"",N(O907)+ROUND(MIN(N(N907),TOPE_UF*UF_MES)*(TASA_EMP+MUTUAL),0)+ROUND(MIN(N(N907),TOPE_AFC_UF*UF_MES)*IF(S907="Indefinido",AFC_INDEF,AFC_PF),0))</f>
        <v/>
      </c>
      <c r="U907" s="62" t="str">
        <f aca="false">IF(C907="","",IF(LEFT(D907,1)="⚠","⚠ RUT no registrado en Trabajadores",IF(B907="","⚠ Falta el mes",IF(OR(ISTEXT(I907),ISTEXT(J907)),"⚠ Atrasos u horas extra como texto: escriba hh:mm (ej. 1:30)",IF(AND(ISNUMBER(Q907),COUNTIFS(M_RUTN,V907,M_MES,B907,M_LIQ,"&lt;&gt;")&gt;1),"⚠ Liquidación repetida en el mes",IF(AND(ISNUMBER(O907),ISNUMBER(P907),ISNUMBER(Q907),ABS(O907-P907-Q907)&gt;1),"⚠ Haberes − descuentos no da el líquido","OK"))))))</f>
        <v/>
      </c>
      <c r="V907" s="62" t="str">
        <f aca="false">IF(C907="","",IFERROR(VALUE(LEFT(UPPER(SUBSTITUTE(SUBSTITUTE(SUBSTITUTE(TRIM(C907),".",""),"-","")," ","")),LEN(UPPER(SUBSTITUTE(SUBSTITUTE(SUBSTITUTE(TRIM(C907),".",""),"-","")," ","")))-1))&amp;RIGHT(UPPER(SUBSTITUTE(SUBSTITUTE(SUBSTITUTE(TRIM(C907),".",""),"-","")," ","")),1),UPPER(SUBSTITUTE(SUBSTITUTE(SUBSTITUTE(TRIM(C907),".",""),"-","")," ",""))))</f>
        <v/>
      </c>
    </row>
    <row r="908" customFormat="false" ht="15" hidden="false" customHeight="false" outlineLevel="0" collapsed="false">
      <c r="B908" s="80"/>
      <c r="C908" s="58"/>
      <c r="D908" s="62" t="str">
        <f aca="false">IF(C908="","",IFERROR(INDEX(T_NOMBRE,MATCH(V908,T_RUTN,0)),"⚠ RUT no está en Trabajadores"))</f>
        <v/>
      </c>
      <c r="E908" s="61"/>
      <c r="F908" s="61"/>
      <c r="G908" s="61"/>
      <c r="H908" s="61"/>
      <c r="I908" s="81"/>
      <c r="J908" s="81"/>
      <c r="K908" s="60"/>
      <c r="L908" s="60"/>
      <c r="M908" s="60"/>
      <c r="N908" s="60"/>
      <c r="O908" s="60"/>
      <c r="P908" s="60"/>
      <c r="Q908" s="60"/>
      <c r="R908" s="58"/>
      <c r="S908" s="62" t="str">
        <f aca="false">IF(OR(B908="",V908=""),"",IFERROR(INDEX(C_TIPO,MATCH(V908&amp;"-P"&amp;MAX(1,COUNTIFS(C_RUTN,V908,C_DEF,"Sí",C_INI,"&lt;="&amp;EOMONTH(B908,0))),C_CLAVE,0))&amp;"","Sin contrato"))</f>
        <v/>
      </c>
      <c r="T908" s="63" t="str">
        <f aca="false">IF(OR(B908="",N(O908)=0),"",N(O908)+ROUND(MIN(N(N908),TOPE_UF*UF_MES)*(TASA_EMP+MUTUAL),0)+ROUND(MIN(N(N908),TOPE_AFC_UF*UF_MES)*IF(S908="Indefinido",AFC_INDEF,AFC_PF),0))</f>
        <v/>
      </c>
      <c r="U908" s="62" t="str">
        <f aca="false">IF(C908="","",IF(LEFT(D908,1)="⚠","⚠ RUT no registrado en Trabajadores",IF(B908="","⚠ Falta el mes",IF(OR(ISTEXT(I908),ISTEXT(J908)),"⚠ Atrasos u horas extra como texto: escriba hh:mm (ej. 1:30)",IF(AND(ISNUMBER(Q908),COUNTIFS(M_RUTN,V908,M_MES,B908,M_LIQ,"&lt;&gt;")&gt;1),"⚠ Liquidación repetida en el mes",IF(AND(ISNUMBER(O908),ISNUMBER(P908),ISNUMBER(Q908),ABS(O908-P908-Q908)&gt;1),"⚠ Haberes − descuentos no da el líquido","OK"))))))</f>
        <v/>
      </c>
      <c r="V908" s="62" t="str">
        <f aca="false">IF(C908="","",IFERROR(VALUE(LEFT(UPPER(SUBSTITUTE(SUBSTITUTE(SUBSTITUTE(TRIM(C908),".",""),"-","")," ","")),LEN(UPPER(SUBSTITUTE(SUBSTITUTE(SUBSTITUTE(TRIM(C908),".",""),"-","")," ","")))-1))&amp;RIGHT(UPPER(SUBSTITUTE(SUBSTITUTE(SUBSTITUTE(TRIM(C908),".",""),"-","")," ","")),1),UPPER(SUBSTITUTE(SUBSTITUTE(SUBSTITUTE(TRIM(C908),".",""),"-","")," ",""))))</f>
        <v/>
      </c>
    </row>
    <row r="909" customFormat="false" ht="15" hidden="false" customHeight="false" outlineLevel="0" collapsed="false">
      <c r="B909" s="80"/>
      <c r="C909" s="58"/>
      <c r="D909" s="62" t="str">
        <f aca="false">IF(C909="","",IFERROR(INDEX(T_NOMBRE,MATCH(V909,T_RUTN,0)),"⚠ RUT no está en Trabajadores"))</f>
        <v/>
      </c>
      <c r="E909" s="61"/>
      <c r="F909" s="61"/>
      <c r="G909" s="61"/>
      <c r="H909" s="61"/>
      <c r="I909" s="81"/>
      <c r="J909" s="81"/>
      <c r="K909" s="60"/>
      <c r="L909" s="60"/>
      <c r="M909" s="60"/>
      <c r="N909" s="60"/>
      <c r="O909" s="60"/>
      <c r="P909" s="60"/>
      <c r="Q909" s="60"/>
      <c r="R909" s="58"/>
      <c r="S909" s="62" t="str">
        <f aca="false">IF(OR(B909="",V909=""),"",IFERROR(INDEX(C_TIPO,MATCH(V909&amp;"-P"&amp;MAX(1,COUNTIFS(C_RUTN,V909,C_DEF,"Sí",C_INI,"&lt;="&amp;EOMONTH(B909,0))),C_CLAVE,0))&amp;"","Sin contrato"))</f>
        <v/>
      </c>
      <c r="T909" s="63" t="str">
        <f aca="false">IF(OR(B909="",N(O909)=0),"",N(O909)+ROUND(MIN(N(N909),TOPE_UF*UF_MES)*(TASA_EMP+MUTUAL),0)+ROUND(MIN(N(N909),TOPE_AFC_UF*UF_MES)*IF(S909="Indefinido",AFC_INDEF,AFC_PF),0))</f>
        <v/>
      </c>
      <c r="U909" s="62" t="str">
        <f aca="false">IF(C909="","",IF(LEFT(D909,1)="⚠","⚠ RUT no registrado en Trabajadores",IF(B909="","⚠ Falta el mes",IF(OR(ISTEXT(I909),ISTEXT(J909)),"⚠ Atrasos u horas extra como texto: escriba hh:mm (ej. 1:30)",IF(AND(ISNUMBER(Q909),COUNTIFS(M_RUTN,V909,M_MES,B909,M_LIQ,"&lt;&gt;")&gt;1),"⚠ Liquidación repetida en el mes",IF(AND(ISNUMBER(O909),ISNUMBER(P909),ISNUMBER(Q909),ABS(O909-P909-Q909)&gt;1),"⚠ Haberes − descuentos no da el líquido","OK"))))))</f>
        <v/>
      </c>
      <c r="V909" s="62" t="str">
        <f aca="false">IF(C909="","",IFERROR(VALUE(LEFT(UPPER(SUBSTITUTE(SUBSTITUTE(SUBSTITUTE(TRIM(C909),".",""),"-","")," ","")),LEN(UPPER(SUBSTITUTE(SUBSTITUTE(SUBSTITUTE(TRIM(C909),".",""),"-","")," ","")))-1))&amp;RIGHT(UPPER(SUBSTITUTE(SUBSTITUTE(SUBSTITUTE(TRIM(C909),".",""),"-","")," ","")),1),UPPER(SUBSTITUTE(SUBSTITUTE(SUBSTITUTE(TRIM(C909),".",""),"-","")," ",""))))</f>
        <v/>
      </c>
    </row>
    <row r="910" customFormat="false" ht="15" hidden="false" customHeight="false" outlineLevel="0" collapsed="false">
      <c r="B910" s="80"/>
      <c r="C910" s="58"/>
      <c r="D910" s="62" t="str">
        <f aca="false">IF(C910="","",IFERROR(INDEX(T_NOMBRE,MATCH(V910,T_RUTN,0)),"⚠ RUT no está en Trabajadores"))</f>
        <v/>
      </c>
      <c r="E910" s="61"/>
      <c r="F910" s="61"/>
      <c r="G910" s="61"/>
      <c r="H910" s="61"/>
      <c r="I910" s="81"/>
      <c r="J910" s="81"/>
      <c r="K910" s="60"/>
      <c r="L910" s="60"/>
      <c r="M910" s="60"/>
      <c r="N910" s="60"/>
      <c r="O910" s="60"/>
      <c r="P910" s="60"/>
      <c r="Q910" s="60"/>
      <c r="R910" s="58"/>
      <c r="S910" s="62" t="str">
        <f aca="false">IF(OR(B910="",V910=""),"",IFERROR(INDEX(C_TIPO,MATCH(V910&amp;"-P"&amp;MAX(1,COUNTIFS(C_RUTN,V910,C_DEF,"Sí",C_INI,"&lt;="&amp;EOMONTH(B910,0))),C_CLAVE,0))&amp;"","Sin contrato"))</f>
        <v/>
      </c>
      <c r="T910" s="63" t="str">
        <f aca="false">IF(OR(B910="",N(O910)=0),"",N(O910)+ROUND(MIN(N(N910),TOPE_UF*UF_MES)*(TASA_EMP+MUTUAL),0)+ROUND(MIN(N(N910),TOPE_AFC_UF*UF_MES)*IF(S910="Indefinido",AFC_INDEF,AFC_PF),0))</f>
        <v/>
      </c>
      <c r="U910" s="62" t="str">
        <f aca="false">IF(C910="","",IF(LEFT(D910,1)="⚠","⚠ RUT no registrado en Trabajadores",IF(B910="","⚠ Falta el mes",IF(OR(ISTEXT(I910),ISTEXT(J910)),"⚠ Atrasos u horas extra como texto: escriba hh:mm (ej. 1:30)",IF(AND(ISNUMBER(Q910),COUNTIFS(M_RUTN,V910,M_MES,B910,M_LIQ,"&lt;&gt;")&gt;1),"⚠ Liquidación repetida en el mes",IF(AND(ISNUMBER(O910),ISNUMBER(P910),ISNUMBER(Q910),ABS(O910-P910-Q910)&gt;1),"⚠ Haberes − descuentos no da el líquido","OK"))))))</f>
        <v/>
      </c>
      <c r="V910" s="62" t="str">
        <f aca="false">IF(C910="","",IFERROR(VALUE(LEFT(UPPER(SUBSTITUTE(SUBSTITUTE(SUBSTITUTE(TRIM(C910),".",""),"-","")," ","")),LEN(UPPER(SUBSTITUTE(SUBSTITUTE(SUBSTITUTE(TRIM(C910),".",""),"-","")," ","")))-1))&amp;RIGHT(UPPER(SUBSTITUTE(SUBSTITUTE(SUBSTITUTE(TRIM(C910),".",""),"-","")," ","")),1),UPPER(SUBSTITUTE(SUBSTITUTE(SUBSTITUTE(TRIM(C910),".",""),"-","")," ",""))))</f>
        <v/>
      </c>
    </row>
    <row r="911" customFormat="false" ht="15" hidden="false" customHeight="false" outlineLevel="0" collapsed="false">
      <c r="B911" s="80"/>
      <c r="C911" s="58"/>
      <c r="D911" s="62" t="str">
        <f aca="false">IF(C911="","",IFERROR(INDEX(T_NOMBRE,MATCH(V911,T_RUTN,0)),"⚠ RUT no está en Trabajadores"))</f>
        <v/>
      </c>
      <c r="E911" s="61"/>
      <c r="F911" s="61"/>
      <c r="G911" s="61"/>
      <c r="H911" s="61"/>
      <c r="I911" s="81"/>
      <c r="J911" s="81"/>
      <c r="K911" s="60"/>
      <c r="L911" s="60"/>
      <c r="M911" s="60"/>
      <c r="N911" s="60"/>
      <c r="O911" s="60"/>
      <c r="P911" s="60"/>
      <c r="Q911" s="60"/>
      <c r="R911" s="58"/>
      <c r="S911" s="62" t="str">
        <f aca="false">IF(OR(B911="",V911=""),"",IFERROR(INDEX(C_TIPO,MATCH(V911&amp;"-P"&amp;MAX(1,COUNTIFS(C_RUTN,V911,C_DEF,"Sí",C_INI,"&lt;="&amp;EOMONTH(B911,0))),C_CLAVE,0))&amp;"","Sin contrato"))</f>
        <v/>
      </c>
      <c r="T911" s="63" t="str">
        <f aca="false">IF(OR(B911="",N(O911)=0),"",N(O911)+ROUND(MIN(N(N911),TOPE_UF*UF_MES)*(TASA_EMP+MUTUAL),0)+ROUND(MIN(N(N911),TOPE_AFC_UF*UF_MES)*IF(S911="Indefinido",AFC_INDEF,AFC_PF),0))</f>
        <v/>
      </c>
      <c r="U911" s="62" t="str">
        <f aca="false">IF(C911="","",IF(LEFT(D911,1)="⚠","⚠ RUT no registrado en Trabajadores",IF(B911="","⚠ Falta el mes",IF(OR(ISTEXT(I911),ISTEXT(J911)),"⚠ Atrasos u horas extra como texto: escriba hh:mm (ej. 1:30)",IF(AND(ISNUMBER(Q911),COUNTIFS(M_RUTN,V911,M_MES,B911,M_LIQ,"&lt;&gt;")&gt;1),"⚠ Liquidación repetida en el mes",IF(AND(ISNUMBER(O911),ISNUMBER(P911),ISNUMBER(Q911),ABS(O911-P911-Q911)&gt;1),"⚠ Haberes − descuentos no da el líquido","OK"))))))</f>
        <v/>
      </c>
      <c r="V911" s="62" t="str">
        <f aca="false">IF(C911="","",IFERROR(VALUE(LEFT(UPPER(SUBSTITUTE(SUBSTITUTE(SUBSTITUTE(TRIM(C911),".",""),"-","")," ","")),LEN(UPPER(SUBSTITUTE(SUBSTITUTE(SUBSTITUTE(TRIM(C911),".",""),"-","")," ","")))-1))&amp;RIGHT(UPPER(SUBSTITUTE(SUBSTITUTE(SUBSTITUTE(TRIM(C911),".",""),"-","")," ","")),1),UPPER(SUBSTITUTE(SUBSTITUTE(SUBSTITUTE(TRIM(C911),".",""),"-","")," ",""))))</f>
        <v/>
      </c>
    </row>
    <row r="912" customFormat="false" ht="15" hidden="false" customHeight="false" outlineLevel="0" collapsed="false">
      <c r="B912" s="80"/>
      <c r="C912" s="58"/>
      <c r="D912" s="62" t="str">
        <f aca="false">IF(C912="","",IFERROR(INDEX(T_NOMBRE,MATCH(V912,T_RUTN,0)),"⚠ RUT no está en Trabajadores"))</f>
        <v/>
      </c>
      <c r="E912" s="61"/>
      <c r="F912" s="61"/>
      <c r="G912" s="61"/>
      <c r="H912" s="61"/>
      <c r="I912" s="81"/>
      <c r="J912" s="81"/>
      <c r="K912" s="60"/>
      <c r="L912" s="60"/>
      <c r="M912" s="60"/>
      <c r="N912" s="60"/>
      <c r="O912" s="60"/>
      <c r="P912" s="60"/>
      <c r="Q912" s="60"/>
      <c r="R912" s="58"/>
      <c r="S912" s="62" t="str">
        <f aca="false">IF(OR(B912="",V912=""),"",IFERROR(INDEX(C_TIPO,MATCH(V912&amp;"-P"&amp;MAX(1,COUNTIFS(C_RUTN,V912,C_DEF,"Sí",C_INI,"&lt;="&amp;EOMONTH(B912,0))),C_CLAVE,0))&amp;"","Sin contrato"))</f>
        <v/>
      </c>
      <c r="T912" s="63" t="str">
        <f aca="false">IF(OR(B912="",N(O912)=0),"",N(O912)+ROUND(MIN(N(N912),TOPE_UF*UF_MES)*(TASA_EMP+MUTUAL),0)+ROUND(MIN(N(N912),TOPE_AFC_UF*UF_MES)*IF(S912="Indefinido",AFC_INDEF,AFC_PF),0))</f>
        <v/>
      </c>
      <c r="U912" s="62" t="str">
        <f aca="false">IF(C912="","",IF(LEFT(D912,1)="⚠","⚠ RUT no registrado en Trabajadores",IF(B912="","⚠ Falta el mes",IF(OR(ISTEXT(I912),ISTEXT(J912)),"⚠ Atrasos u horas extra como texto: escriba hh:mm (ej. 1:30)",IF(AND(ISNUMBER(Q912),COUNTIFS(M_RUTN,V912,M_MES,B912,M_LIQ,"&lt;&gt;")&gt;1),"⚠ Liquidación repetida en el mes",IF(AND(ISNUMBER(O912),ISNUMBER(P912),ISNUMBER(Q912),ABS(O912-P912-Q912)&gt;1),"⚠ Haberes − descuentos no da el líquido","OK"))))))</f>
        <v/>
      </c>
      <c r="V912" s="62" t="str">
        <f aca="false">IF(C912="","",IFERROR(VALUE(LEFT(UPPER(SUBSTITUTE(SUBSTITUTE(SUBSTITUTE(TRIM(C912),".",""),"-","")," ","")),LEN(UPPER(SUBSTITUTE(SUBSTITUTE(SUBSTITUTE(TRIM(C912),".",""),"-","")," ","")))-1))&amp;RIGHT(UPPER(SUBSTITUTE(SUBSTITUTE(SUBSTITUTE(TRIM(C912),".",""),"-","")," ","")),1),UPPER(SUBSTITUTE(SUBSTITUTE(SUBSTITUTE(TRIM(C912),".",""),"-","")," ",""))))</f>
        <v/>
      </c>
    </row>
    <row r="913" customFormat="false" ht="15" hidden="false" customHeight="false" outlineLevel="0" collapsed="false">
      <c r="B913" s="80"/>
      <c r="C913" s="58"/>
      <c r="D913" s="62" t="str">
        <f aca="false">IF(C913="","",IFERROR(INDEX(T_NOMBRE,MATCH(V913,T_RUTN,0)),"⚠ RUT no está en Trabajadores"))</f>
        <v/>
      </c>
      <c r="E913" s="61"/>
      <c r="F913" s="61"/>
      <c r="G913" s="61"/>
      <c r="H913" s="61"/>
      <c r="I913" s="81"/>
      <c r="J913" s="81"/>
      <c r="K913" s="60"/>
      <c r="L913" s="60"/>
      <c r="M913" s="60"/>
      <c r="N913" s="60"/>
      <c r="O913" s="60"/>
      <c r="P913" s="60"/>
      <c r="Q913" s="60"/>
      <c r="R913" s="58"/>
      <c r="S913" s="62" t="str">
        <f aca="false">IF(OR(B913="",V913=""),"",IFERROR(INDEX(C_TIPO,MATCH(V913&amp;"-P"&amp;MAX(1,COUNTIFS(C_RUTN,V913,C_DEF,"Sí",C_INI,"&lt;="&amp;EOMONTH(B913,0))),C_CLAVE,0))&amp;"","Sin contrato"))</f>
        <v/>
      </c>
      <c r="T913" s="63" t="str">
        <f aca="false">IF(OR(B913="",N(O913)=0),"",N(O913)+ROUND(MIN(N(N913),TOPE_UF*UF_MES)*(TASA_EMP+MUTUAL),0)+ROUND(MIN(N(N913),TOPE_AFC_UF*UF_MES)*IF(S913="Indefinido",AFC_INDEF,AFC_PF),0))</f>
        <v/>
      </c>
      <c r="U913" s="62" t="str">
        <f aca="false">IF(C913="","",IF(LEFT(D913,1)="⚠","⚠ RUT no registrado en Trabajadores",IF(B913="","⚠ Falta el mes",IF(OR(ISTEXT(I913),ISTEXT(J913)),"⚠ Atrasos u horas extra como texto: escriba hh:mm (ej. 1:30)",IF(AND(ISNUMBER(Q913),COUNTIFS(M_RUTN,V913,M_MES,B913,M_LIQ,"&lt;&gt;")&gt;1),"⚠ Liquidación repetida en el mes",IF(AND(ISNUMBER(O913),ISNUMBER(P913),ISNUMBER(Q913),ABS(O913-P913-Q913)&gt;1),"⚠ Haberes − descuentos no da el líquido","OK"))))))</f>
        <v/>
      </c>
      <c r="V913" s="62" t="str">
        <f aca="false">IF(C913="","",IFERROR(VALUE(LEFT(UPPER(SUBSTITUTE(SUBSTITUTE(SUBSTITUTE(TRIM(C913),".",""),"-","")," ","")),LEN(UPPER(SUBSTITUTE(SUBSTITUTE(SUBSTITUTE(TRIM(C913),".",""),"-","")," ","")))-1))&amp;RIGHT(UPPER(SUBSTITUTE(SUBSTITUTE(SUBSTITUTE(TRIM(C913),".",""),"-","")," ","")),1),UPPER(SUBSTITUTE(SUBSTITUTE(SUBSTITUTE(TRIM(C913),".",""),"-","")," ",""))))</f>
        <v/>
      </c>
    </row>
    <row r="914" customFormat="false" ht="15" hidden="false" customHeight="false" outlineLevel="0" collapsed="false">
      <c r="B914" s="80"/>
      <c r="C914" s="58"/>
      <c r="D914" s="62" t="str">
        <f aca="false">IF(C914="","",IFERROR(INDEX(T_NOMBRE,MATCH(V914,T_RUTN,0)),"⚠ RUT no está en Trabajadores"))</f>
        <v/>
      </c>
      <c r="E914" s="61"/>
      <c r="F914" s="61"/>
      <c r="G914" s="61"/>
      <c r="H914" s="61"/>
      <c r="I914" s="81"/>
      <c r="J914" s="81"/>
      <c r="K914" s="60"/>
      <c r="L914" s="60"/>
      <c r="M914" s="60"/>
      <c r="N914" s="60"/>
      <c r="O914" s="60"/>
      <c r="P914" s="60"/>
      <c r="Q914" s="60"/>
      <c r="R914" s="58"/>
      <c r="S914" s="62" t="str">
        <f aca="false">IF(OR(B914="",V914=""),"",IFERROR(INDEX(C_TIPO,MATCH(V914&amp;"-P"&amp;MAX(1,COUNTIFS(C_RUTN,V914,C_DEF,"Sí",C_INI,"&lt;="&amp;EOMONTH(B914,0))),C_CLAVE,0))&amp;"","Sin contrato"))</f>
        <v/>
      </c>
      <c r="T914" s="63" t="str">
        <f aca="false">IF(OR(B914="",N(O914)=0),"",N(O914)+ROUND(MIN(N(N914),TOPE_UF*UF_MES)*(TASA_EMP+MUTUAL),0)+ROUND(MIN(N(N914),TOPE_AFC_UF*UF_MES)*IF(S914="Indefinido",AFC_INDEF,AFC_PF),0))</f>
        <v/>
      </c>
      <c r="U914" s="62" t="str">
        <f aca="false">IF(C914="","",IF(LEFT(D914,1)="⚠","⚠ RUT no registrado en Trabajadores",IF(B914="","⚠ Falta el mes",IF(OR(ISTEXT(I914),ISTEXT(J914)),"⚠ Atrasos u horas extra como texto: escriba hh:mm (ej. 1:30)",IF(AND(ISNUMBER(Q914),COUNTIFS(M_RUTN,V914,M_MES,B914,M_LIQ,"&lt;&gt;")&gt;1),"⚠ Liquidación repetida en el mes",IF(AND(ISNUMBER(O914),ISNUMBER(P914),ISNUMBER(Q914),ABS(O914-P914-Q914)&gt;1),"⚠ Haberes − descuentos no da el líquido","OK"))))))</f>
        <v/>
      </c>
      <c r="V914" s="62" t="str">
        <f aca="false">IF(C914="","",IFERROR(VALUE(LEFT(UPPER(SUBSTITUTE(SUBSTITUTE(SUBSTITUTE(TRIM(C914),".",""),"-","")," ","")),LEN(UPPER(SUBSTITUTE(SUBSTITUTE(SUBSTITUTE(TRIM(C914),".",""),"-","")," ","")))-1))&amp;RIGHT(UPPER(SUBSTITUTE(SUBSTITUTE(SUBSTITUTE(TRIM(C914),".",""),"-","")," ","")),1),UPPER(SUBSTITUTE(SUBSTITUTE(SUBSTITUTE(TRIM(C914),".",""),"-","")," ",""))))</f>
        <v/>
      </c>
    </row>
    <row r="915" customFormat="false" ht="15" hidden="false" customHeight="false" outlineLevel="0" collapsed="false">
      <c r="B915" s="80"/>
      <c r="C915" s="58"/>
      <c r="D915" s="62" t="str">
        <f aca="false">IF(C915="","",IFERROR(INDEX(T_NOMBRE,MATCH(V915,T_RUTN,0)),"⚠ RUT no está en Trabajadores"))</f>
        <v/>
      </c>
      <c r="E915" s="61"/>
      <c r="F915" s="61"/>
      <c r="G915" s="61"/>
      <c r="H915" s="61"/>
      <c r="I915" s="81"/>
      <c r="J915" s="81"/>
      <c r="K915" s="60"/>
      <c r="L915" s="60"/>
      <c r="M915" s="60"/>
      <c r="N915" s="60"/>
      <c r="O915" s="60"/>
      <c r="P915" s="60"/>
      <c r="Q915" s="60"/>
      <c r="R915" s="58"/>
      <c r="S915" s="62" t="str">
        <f aca="false">IF(OR(B915="",V915=""),"",IFERROR(INDEX(C_TIPO,MATCH(V915&amp;"-P"&amp;MAX(1,COUNTIFS(C_RUTN,V915,C_DEF,"Sí",C_INI,"&lt;="&amp;EOMONTH(B915,0))),C_CLAVE,0))&amp;"","Sin contrato"))</f>
        <v/>
      </c>
      <c r="T915" s="63" t="str">
        <f aca="false">IF(OR(B915="",N(O915)=0),"",N(O915)+ROUND(MIN(N(N915),TOPE_UF*UF_MES)*(TASA_EMP+MUTUAL),0)+ROUND(MIN(N(N915),TOPE_AFC_UF*UF_MES)*IF(S915="Indefinido",AFC_INDEF,AFC_PF),0))</f>
        <v/>
      </c>
      <c r="U915" s="62" t="str">
        <f aca="false">IF(C915="","",IF(LEFT(D915,1)="⚠","⚠ RUT no registrado en Trabajadores",IF(B915="","⚠ Falta el mes",IF(OR(ISTEXT(I915),ISTEXT(J915)),"⚠ Atrasos u horas extra como texto: escriba hh:mm (ej. 1:30)",IF(AND(ISNUMBER(Q915),COUNTIFS(M_RUTN,V915,M_MES,B915,M_LIQ,"&lt;&gt;")&gt;1),"⚠ Liquidación repetida en el mes",IF(AND(ISNUMBER(O915),ISNUMBER(P915),ISNUMBER(Q915),ABS(O915-P915-Q915)&gt;1),"⚠ Haberes − descuentos no da el líquido","OK"))))))</f>
        <v/>
      </c>
      <c r="V915" s="62" t="str">
        <f aca="false">IF(C915="","",IFERROR(VALUE(LEFT(UPPER(SUBSTITUTE(SUBSTITUTE(SUBSTITUTE(TRIM(C915),".",""),"-","")," ","")),LEN(UPPER(SUBSTITUTE(SUBSTITUTE(SUBSTITUTE(TRIM(C915),".",""),"-","")," ","")))-1))&amp;RIGHT(UPPER(SUBSTITUTE(SUBSTITUTE(SUBSTITUTE(TRIM(C915),".",""),"-","")," ","")),1),UPPER(SUBSTITUTE(SUBSTITUTE(SUBSTITUTE(TRIM(C915),".",""),"-","")," ",""))))</f>
        <v/>
      </c>
    </row>
    <row r="916" customFormat="false" ht="15" hidden="false" customHeight="false" outlineLevel="0" collapsed="false">
      <c r="B916" s="80"/>
      <c r="C916" s="58"/>
      <c r="D916" s="62" t="str">
        <f aca="false">IF(C916="","",IFERROR(INDEX(T_NOMBRE,MATCH(V916,T_RUTN,0)),"⚠ RUT no está en Trabajadores"))</f>
        <v/>
      </c>
      <c r="E916" s="61"/>
      <c r="F916" s="61"/>
      <c r="G916" s="61"/>
      <c r="H916" s="61"/>
      <c r="I916" s="81"/>
      <c r="J916" s="81"/>
      <c r="K916" s="60"/>
      <c r="L916" s="60"/>
      <c r="M916" s="60"/>
      <c r="N916" s="60"/>
      <c r="O916" s="60"/>
      <c r="P916" s="60"/>
      <c r="Q916" s="60"/>
      <c r="R916" s="58"/>
      <c r="S916" s="62" t="str">
        <f aca="false">IF(OR(B916="",V916=""),"",IFERROR(INDEX(C_TIPO,MATCH(V916&amp;"-P"&amp;MAX(1,COUNTIFS(C_RUTN,V916,C_DEF,"Sí",C_INI,"&lt;="&amp;EOMONTH(B916,0))),C_CLAVE,0))&amp;"","Sin contrato"))</f>
        <v/>
      </c>
      <c r="T916" s="63" t="str">
        <f aca="false">IF(OR(B916="",N(O916)=0),"",N(O916)+ROUND(MIN(N(N916),TOPE_UF*UF_MES)*(TASA_EMP+MUTUAL),0)+ROUND(MIN(N(N916),TOPE_AFC_UF*UF_MES)*IF(S916="Indefinido",AFC_INDEF,AFC_PF),0))</f>
        <v/>
      </c>
      <c r="U916" s="62" t="str">
        <f aca="false">IF(C916="","",IF(LEFT(D916,1)="⚠","⚠ RUT no registrado en Trabajadores",IF(B916="","⚠ Falta el mes",IF(OR(ISTEXT(I916),ISTEXT(J916)),"⚠ Atrasos u horas extra como texto: escriba hh:mm (ej. 1:30)",IF(AND(ISNUMBER(Q916),COUNTIFS(M_RUTN,V916,M_MES,B916,M_LIQ,"&lt;&gt;")&gt;1),"⚠ Liquidación repetida en el mes",IF(AND(ISNUMBER(O916),ISNUMBER(P916),ISNUMBER(Q916),ABS(O916-P916-Q916)&gt;1),"⚠ Haberes − descuentos no da el líquido","OK"))))))</f>
        <v/>
      </c>
      <c r="V916" s="62" t="str">
        <f aca="false">IF(C916="","",IFERROR(VALUE(LEFT(UPPER(SUBSTITUTE(SUBSTITUTE(SUBSTITUTE(TRIM(C916),".",""),"-","")," ","")),LEN(UPPER(SUBSTITUTE(SUBSTITUTE(SUBSTITUTE(TRIM(C916),".",""),"-","")," ","")))-1))&amp;RIGHT(UPPER(SUBSTITUTE(SUBSTITUTE(SUBSTITUTE(TRIM(C916),".",""),"-","")," ","")),1),UPPER(SUBSTITUTE(SUBSTITUTE(SUBSTITUTE(TRIM(C916),".",""),"-","")," ",""))))</f>
        <v/>
      </c>
    </row>
    <row r="917" customFormat="false" ht="15" hidden="false" customHeight="false" outlineLevel="0" collapsed="false">
      <c r="B917" s="80"/>
      <c r="C917" s="58"/>
      <c r="D917" s="62" t="str">
        <f aca="false">IF(C917="","",IFERROR(INDEX(T_NOMBRE,MATCH(V917,T_RUTN,0)),"⚠ RUT no está en Trabajadores"))</f>
        <v/>
      </c>
      <c r="E917" s="61"/>
      <c r="F917" s="61"/>
      <c r="G917" s="61"/>
      <c r="H917" s="61"/>
      <c r="I917" s="81"/>
      <c r="J917" s="81"/>
      <c r="K917" s="60"/>
      <c r="L917" s="60"/>
      <c r="M917" s="60"/>
      <c r="N917" s="60"/>
      <c r="O917" s="60"/>
      <c r="P917" s="60"/>
      <c r="Q917" s="60"/>
      <c r="R917" s="58"/>
      <c r="S917" s="62" t="str">
        <f aca="false">IF(OR(B917="",V917=""),"",IFERROR(INDEX(C_TIPO,MATCH(V917&amp;"-P"&amp;MAX(1,COUNTIFS(C_RUTN,V917,C_DEF,"Sí",C_INI,"&lt;="&amp;EOMONTH(B917,0))),C_CLAVE,0))&amp;"","Sin contrato"))</f>
        <v/>
      </c>
      <c r="T917" s="63" t="str">
        <f aca="false">IF(OR(B917="",N(O917)=0),"",N(O917)+ROUND(MIN(N(N917),TOPE_UF*UF_MES)*(TASA_EMP+MUTUAL),0)+ROUND(MIN(N(N917),TOPE_AFC_UF*UF_MES)*IF(S917="Indefinido",AFC_INDEF,AFC_PF),0))</f>
        <v/>
      </c>
      <c r="U917" s="62" t="str">
        <f aca="false">IF(C917="","",IF(LEFT(D917,1)="⚠","⚠ RUT no registrado en Trabajadores",IF(B917="","⚠ Falta el mes",IF(OR(ISTEXT(I917),ISTEXT(J917)),"⚠ Atrasos u horas extra como texto: escriba hh:mm (ej. 1:30)",IF(AND(ISNUMBER(Q917),COUNTIFS(M_RUTN,V917,M_MES,B917,M_LIQ,"&lt;&gt;")&gt;1),"⚠ Liquidación repetida en el mes",IF(AND(ISNUMBER(O917),ISNUMBER(P917),ISNUMBER(Q917),ABS(O917-P917-Q917)&gt;1),"⚠ Haberes − descuentos no da el líquido","OK"))))))</f>
        <v/>
      </c>
      <c r="V917" s="62" t="str">
        <f aca="false">IF(C917="","",IFERROR(VALUE(LEFT(UPPER(SUBSTITUTE(SUBSTITUTE(SUBSTITUTE(TRIM(C917),".",""),"-","")," ","")),LEN(UPPER(SUBSTITUTE(SUBSTITUTE(SUBSTITUTE(TRIM(C917),".",""),"-","")," ","")))-1))&amp;RIGHT(UPPER(SUBSTITUTE(SUBSTITUTE(SUBSTITUTE(TRIM(C917),".",""),"-","")," ","")),1),UPPER(SUBSTITUTE(SUBSTITUTE(SUBSTITUTE(TRIM(C917),".",""),"-","")," ",""))))</f>
        <v/>
      </c>
    </row>
    <row r="918" customFormat="false" ht="15" hidden="false" customHeight="false" outlineLevel="0" collapsed="false">
      <c r="B918" s="80"/>
      <c r="C918" s="58"/>
      <c r="D918" s="62" t="str">
        <f aca="false">IF(C918="","",IFERROR(INDEX(T_NOMBRE,MATCH(V918,T_RUTN,0)),"⚠ RUT no está en Trabajadores"))</f>
        <v/>
      </c>
      <c r="E918" s="61"/>
      <c r="F918" s="61"/>
      <c r="G918" s="61"/>
      <c r="H918" s="61"/>
      <c r="I918" s="81"/>
      <c r="J918" s="81"/>
      <c r="K918" s="60"/>
      <c r="L918" s="60"/>
      <c r="M918" s="60"/>
      <c r="N918" s="60"/>
      <c r="O918" s="60"/>
      <c r="P918" s="60"/>
      <c r="Q918" s="60"/>
      <c r="R918" s="58"/>
      <c r="S918" s="62" t="str">
        <f aca="false">IF(OR(B918="",V918=""),"",IFERROR(INDEX(C_TIPO,MATCH(V918&amp;"-P"&amp;MAX(1,COUNTIFS(C_RUTN,V918,C_DEF,"Sí",C_INI,"&lt;="&amp;EOMONTH(B918,0))),C_CLAVE,0))&amp;"","Sin contrato"))</f>
        <v/>
      </c>
      <c r="T918" s="63" t="str">
        <f aca="false">IF(OR(B918="",N(O918)=0),"",N(O918)+ROUND(MIN(N(N918),TOPE_UF*UF_MES)*(TASA_EMP+MUTUAL),0)+ROUND(MIN(N(N918),TOPE_AFC_UF*UF_MES)*IF(S918="Indefinido",AFC_INDEF,AFC_PF),0))</f>
        <v/>
      </c>
      <c r="U918" s="62" t="str">
        <f aca="false">IF(C918="","",IF(LEFT(D918,1)="⚠","⚠ RUT no registrado en Trabajadores",IF(B918="","⚠ Falta el mes",IF(OR(ISTEXT(I918),ISTEXT(J918)),"⚠ Atrasos u horas extra como texto: escriba hh:mm (ej. 1:30)",IF(AND(ISNUMBER(Q918),COUNTIFS(M_RUTN,V918,M_MES,B918,M_LIQ,"&lt;&gt;")&gt;1),"⚠ Liquidación repetida en el mes",IF(AND(ISNUMBER(O918),ISNUMBER(P918),ISNUMBER(Q918),ABS(O918-P918-Q918)&gt;1),"⚠ Haberes − descuentos no da el líquido","OK"))))))</f>
        <v/>
      </c>
      <c r="V918" s="62" t="str">
        <f aca="false">IF(C918="","",IFERROR(VALUE(LEFT(UPPER(SUBSTITUTE(SUBSTITUTE(SUBSTITUTE(TRIM(C918),".",""),"-","")," ","")),LEN(UPPER(SUBSTITUTE(SUBSTITUTE(SUBSTITUTE(TRIM(C918),".",""),"-","")," ","")))-1))&amp;RIGHT(UPPER(SUBSTITUTE(SUBSTITUTE(SUBSTITUTE(TRIM(C918),".",""),"-","")," ","")),1),UPPER(SUBSTITUTE(SUBSTITUTE(SUBSTITUTE(TRIM(C918),".",""),"-","")," ",""))))</f>
        <v/>
      </c>
    </row>
    <row r="919" customFormat="false" ht="15" hidden="false" customHeight="false" outlineLevel="0" collapsed="false">
      <c r="B919" s="80"/>
      <c r="C919" s="58"/>
      <c r="D919" s="62" t="str">
        <f aca="false">IF(C919="","",IFERROR(INDEX(T_NOMBRE,MATCH(V919,T_RUTN,0)),"⚠ RUT no está en Trabajadores"))</f>
        <v/>
      </c>
      <c r="E919" s="61"/>
      <c r="F919" s="61"/>
      <c r="G919" s="61"/>
      <c r="H919" s="61"/>
      <c r="I919" s="81"/>
      <c r="J919" s="81"/>
      <c r="K919" s="60"/>
      <c r="L919" s="60"/>
      <c r="M919" s="60"/>
      <c r="N919" s="60"/>
      <c r="O919" s="60"/>
      <c r="P919" s="60"/>
      <c r="Q919" s="60"/>
      <c r="R919" s="58"/>
      <c r="S919" s="62" t="str">
        <f aca="false">IF(OR(B919="",V919=""),"",IFERROR(INDEX(C_TIPO,MATCH(V919&amp;"-P"&amp;MAX(1,COUNTIFS(C_RUTN,V919,C_DEF,"Sí",C_INI,"&lt;="&amp;EOMONTH(B919,0))),C_CLAVE,0))&amp;"","Sin contrato"))</f>
        <v/>
      </c>
      <c r="T919" s="63" t="str">
        <f aca="false">IF(OR(B919="",N(O919)=0),"",N(O919)+ROUND(MIN(N(N919),TOPE_UF*UF_MES)*(TASA_EMP+MUTUAL),0)+ROUND(MIN(N(N919),TOPE_AFC_UF*UF_MES)*IF(S919="Indefinido",AFC_INDEF,AFC_PF),0))</f>
        <v/>
      </c>
      <c r="U919" s="62" t="str">
        <f aca="false">IF(C919="","",IF(LEFT(D919,1)="⚠","⚠ RUT no registrado en Trabajadores",IF(B919="","⚠ Falta el mes",IF(OR(ISTEXT(I919),ISTEXT(J919)),"⚠ Atrasos u horas extra como texto: escriba hh:mm (ej. 1:30)",IF(AND(ISNUMBER(Q919),COUNTIFS(M_RUTN,V919,M_MES,B919,M_LIQ,"&lt;&gt;")&gt;1),"⚠ Liquidación repetida en el mes",IF(AND(ISNUMBER(O919),ISNUMBER(P919),ISNUMBER(Q919),ABS(O919-P919-Q919)&gt;1),"⚠ Haberes − descuentos no da el líquido","OK"))))))</f>
        <v/>
      </c>
      <c r="V919" s="62" t="str">
        <f aca="false">IF(C919="","",IFERROR(VALUE(LEFT(UPPER(SUBSTITUTE(SUBSTITUTE(SUBSTITUTE(TRIM(C919),".",""),"-","")," ","")),LEN(UPPER(SUBSTITUTE(SUBSTITUTE(SUBSTITUTE(TRIM(C919),".",""),"-","")," ","")))-1))&amp;RIGHT(UPPER(SUBSTITUTE(SUBSTITUTE(SUBSTITUTE(TRIM(C919),".",""),"-","")," ","")),1),UPPER(SUBSTITUTE(SUBSTITUTE(SUBSTITUTE(TRIM(C919),".",""),"-","")," ",""))))</f>
        <v/>
      </c>
    </row>
    <row r="920" customFormat="false" ht="15" hidden="false" customHeight="false" outlineLevel="0" collapsed="false">
      <c r="B920" s="80"/>
      <c r="C920" s="58"/>
      <c r="D920" s="62" t="str">
        <f aca="false">IF(C920="","",IFERROR(INDEX(T_NOMBRE,MATCH(V920,T_RUTN,0)),"⚠ RUT no está en Trabajadores"))</f>
        <v/>
      </c>
      <c r="E920" s="61"/>
      <c r="F920" s="61"/>
      <c r="G920" s="61"/>
      <c r="H920" s="61"/>
      <c r="I920" s="81"/>
      <c r="J920" s="81"/>
      <c r="K920" s="60"/>
      <c r="L920" s="60"/>
      <c r="M920" s="60"/>
      <c r="N920" s="60"/>
      <c r="O920" s="60"/>
      <c r="P920" s="60"/>
      <c r="Q920" s="60"/>
      <c r="R920" s="58"/>
      <c r="S920" s="62" t="str">
        <f aca="false">IF(OR(B920="",V920=""),"",IFERROR(INDEX(C_TIPO,MATCH(V920&amp;"-P"&amp;MAX(1,COUNTIFS(C_RUTN,V920,C_DEF,"Sí",C_INI,"&lt;="&amp;EOMONTH(B920,0))),C_CLAVE,0))&amp;"","Sin contrato"))</f>
        <v/>
      </c>
      <c r="T920" s="63" t="str">
        <f aca="false">IF(OR(B920="",N(O920)=0),"",N(O920)+ROUND(MIN(N(N920),TOPE_UF*UF_MES)*(TASA_EMP+MUTUAL),0)+ROUND(MIN(N(N920),TOPE_AFC_UF*UF_MES)*IF(S920="Indefinido",AFC_INDEF,AFC_PF),0))</f>
        <v/>
      </c>
      <c r="U920" s="62" t="str">
        <f aca="false">IF(C920="","",IF(LEFT(D920,1)="⚠","⚠ RUT no registrado en Trabajadores",IF(B920="","⚠ Falta el mes",IF(OR(ISTEXT(I920),ISTEXT(J920)),"⚠ Atrasos u horas extra como texto: escriba hh:mm (ej. 1:30)",IF(AND(ISNUMBER(Q920),COUNTIFS(M_RUTN,V920,M_MES,B920,M_LIQ,"&lt;&gt;")&gt;1),"⚠ Liquidación repetida en el mes",IF(AND(ISNUMBER(O920),ISNUMBER(P920),ISNUMBER(Q920),ABS(O920-P920-Q920)&gt;1),"⚠ Haberes − descuentos no da el líquido","OK"))))))</f>
        <v/>
      </c>
      <c r="V920" s="62" t="str">
        <f aca="false">IF(C920="","",IFERROR(VALUE(LEFT(UPPER(SUBSTITUTE(SUBSTITUTE(SUBSTITUTE(TRIM(C920),".",""),"-","")," ","")),LEN(UPPER(SUBSTITUTE(SUBSTITUTE(SUBSTITUTE(TRIM(C920),".",""),"-","")," ","")))-1))&amp;RIGHT(UPPER(SUBSTITUTE(SUBSTITUTE(SUBSTITUTE(TRIM(C920),".",""),"-","")," ","")),1),UPPER(SUBSTITUTE(SUBSTITUTE(SUBSTITUTE(TRIM(C920),".",""),"-","")," ",""))))</f>
        <v/>
      </c>
    </row>
    <row r="921" customFormat="false" ht="15" hidden="false" customHeight="false" outlineLevel="0" collapsed="false">
      <c r="B921" s="80"/>
      <c r="C921" s="58"/>
      <c r="D921" s="62" t="str">
        <f aca="false">IF(C921="","",IFERROR(INDEX(T_NOMBRE,MATCH(V921,T_RUTN,0)),"⚠ RUT no está en Trabajadores"))</f>
        <v/>
      </c>
      <c r="E921" s="61"/>
      <c r="F921" s="61"/>
      <c r="G921" s="61"/>
      <c r="H921" s="61"/>
      <c r="I921" s="81"/>
      <c r="J921" s="81"/>
      <c r="K921" s="60"/>
      <c r="L921" s="60"/>
      <c r="M921" s="60"/>
      <c r="N921" s="60"/>
      <c r="O921" s="60"/>
      <c r="P921" s="60"/>
      <c r="Q921" s="60"/>
      <c r="R921" s="58"/>
      <c r="S921" s="62" t="str">
        <f aca="false">IF(OR(B921="",V921=""),"",IFERROR(INDEX(C_TIPO,MATCH(V921&amp;"-P"&amp;MAX(1,COUNTIFS(C_RUTN,V921,C_DEF,"Sí",C_INI,"&lt;="&amp;EOMONTH(B921,0))),C_CLAVE,0))&amp;"","Sin contrato"))</f>
        <v/>
      </c>
      <c r="T921" s="63" t="str">
        <f aca="false">IF(OR(B921="",N(O921)=0),"",N(O921)+ROUND(MIN(N(N921),TOPE_UF*UF_MES)*(TASA_EMP+MUTUAL),0)+ROUND(MIN(N(N921),TOPE_AFC_UF*UF_MES)*IF(S921="Indefinido",AFC_INDEF,AFC_PF),0))</f>
        <v/>
      </c>
      <c r="U921" s="62" t="str">
        <f aca="false">IF(C921="","",IF(LEFT(D921,1)="⚠","⚠ RUT no registrado en Trabajadores",IF(B921="","⚠ Falta el mes",IF(OR(ISTEXT(I921),ISTEXT(J921)),"⚠ Atrasos u horas extra como texto: escriba hh:mm (ej. 1:30)",IF(AND(ISNUMBER(Q921),COUNTIFS(M_RUTN,V921,M_MES,B921,M_LIQ,"&lt;&gt;")&gt;1),"⚠ Liquidación repetida en el mes",IF(AND(ISNUMBER(O921),ISNUMBER(P921),ISNUMBER(Q921),ABS(O921-P921-Q921)&gt;1),"⚠ Haberes − descuentos no da el líquido","OK"))))))</f>
        <v/>
      </c>
      <c r="V921" s="62" t="str">
        <f aca="false">IF(C921="","",IFERROR(VALUE(LEFT(UPPER(SUBSTITUTE(SUBSTITUTE(SUBSTITUTE(TRIM(C921),".",""),"-","")," ","")),LEN(UPPER(SUBSTITUTE(SUBSTITUTE(SUBSTITUTE(TRIM(C921),".",""),"-","")," ","")))-1))&amp;RIGHT(UPPER(SUBSTITUTE(SUBSTITUTE(SUBSTITUTE(TRIM(C921),".",""),"-","")," ","")),1),UPPER(SUBSTITUTE(SUBSTITUTE(SUBSTITUTE(TRIM(C921),".",""),"-","")," ",""))))</f>
        <v/>
      </c>
    </row>
    <row r="922" customFormat="false" ht="15" hidden="false" customHeight="false" outlineLevel="0" collapsed="false">
      <c r="B922" s="80"/>
      <c r="C922" s="58"/>
      <c r="D922" s="62" t="str">
        <f aca="false">IF(C922="","",IFERROR(INDEX(T_NOMBRE,MATCH(V922,T_RUTN,0)),"⚠ RUT no está en Trabajadores"))</f>
        <v/>
      </c>
      <c r="E922" s="61"/>
      <c r="F922" s="61"/>
      <c r="G922" s="61"/>
      <c r="H922" s="61"/>
      <c r="I922" s="81"/>
      <c r="J922" s="81"/>
      <c r="K922" s="60"/>
      <c r="L922" s="60"/>
      <c r="M922" s="60"/>
      <c r="N922" s="60"/>
      <c r="O922" s="60"/>
      <c r="P922" s="60"/>
      <c r="Q922" s="60"/>
      <c r="R922" s="58"/>
      <c r="S922" s="62" t="str">
        <f aca="false">IF(OR(B922="",V922=""),"",IFERROR(INDEX(C_TIPO,MATCH(V922&amp;"-P"&amp;MAX(1,COUNTIFS(C_RUTN,V922,C_DEF,"Sí",C_INI,"&lt;="&amp;EOMONTH(B922,0))),C_CLAVE,0))&amp;"","Sin contrato"))</f>
        <v/>
      </c>
      <c r="T922" s="63" t="str">
        <f aca="false">IF(OR(B922="",N(O922)=0),"",N(O922)+ROUND(MIN(N(N922),TOPE_UF*UF_MES)*(TASA_EMP+MUTUAL),0)+ROUND(MIN(N(N922),TOPE_AFC_UF*UF_MES)*IF(S922="Indefinido",AFC_INDEF,AFC_PF),0))</f>
        <v/>
      </c>
      <c r="U922" s="62" t="str">
        <f aca="false">IF(C922="","",IF(LEFT(D922,1)="⚠","⚠ RUT no registrado en Trabajadores",IF(B922="","⚠ Falta el mes",IF(OR(ISTEXT(I922),ISTEXT(J922)),"⚠ Atrasos u horas extra como texto: escriba hh:mm (ej. 1:30)",IF(AND(ISNUMBER(Q922),COUNTIFS(M_RUTN,V922,M_MES,B922,M_LIQ,"&lt;&gt;")&gt;1),"⚠ Liquidación repetida en el mes",IF(AND(ISNUMBER(O922),ISNUMBER(P922),ISNUMBER(Q922),ABS(O922-P922-Q922)&gt;1),"⚠ Haberes − descuentos no da el líquido","OK"))))))</f>
        <v/>
      </c>
      <c r="V922" s="62" t="str">
        <f aca="false">IF(C922="","",IFERROR(VALUE(LEFT(UPPER(SUBSTITUTE(SUBSTITUTE(SUBSTITUTE(TRIM(C922),".",""),"-","")," ","")),LEN(UPPER(SUBSTITUTE(SUBSTITUTE(SUBSTITUTE(TRIM(C922),".",""),"-","")," ","")))-1))&amp;RIGHT(UPPER(SUBSTITUTE(SUBSTITUTE(SUBSTITUTE(TRIM(C922),".",""),"-","")," ","")),1),UPPER(SUBSTITUTE(SUBSTITUTE(SUBSTITUTE(TRIM(C922),".",""),"-","")," ",""))))</f>
        <v/>
      </c>
    </row>
    <row r="923" customFormat="false" ht="15" hidden="false" customHeight="false" outlineLevel="0" collapsed="false">
      <c r="B923" s="80"/>
      <c r="C923" s="58"/>
      <c r="D923" s="62" t="str">
        <f aca="false">IF(C923="","",IFERROR(INDEX(T_NOMBRE,MATCH(V923,T_RUTN,0)),"⚠ RUT no está en Trabajadores"))</f>
        <v/>
      </c>
      <c r="E923" s="61"/>
      <c r="F923" s="61"/>
      <c r="G923" s="61"/>
      <c r="H923" s="61"/>
      <c r="I923" s="81"/>
      <c r="J923" s="81"/>
      <c r="K923" s="60"/>
      <c r="L923" s="60"/>
      <c r="M923" s="60"/>
      <c r="N923" s="60"/>
      <c r="O923" s="60"/>
      <c r="P923" s="60"/>
      <c r="Q923" s="60"/>
      <c r="R923" s="58"/>
      <c r="S923" s="62" t="str">
        <f aca="false">IF(OR(B923="",V923=""),"",IFERROR(INDEX(C_TIPO,MATCH(V923&amp;"-P"&amp;MAX(1,COUNTIFS(C_RUTN,V923,C_DEF,"Sí",C_INI,"&lt;="&amp;EOMONTH(B923,0))),C_CLAVE,0))&amp;"","Sin contrato"))</f>
        <v/>
      </c>
      <c r="T923" s="63" t="str">
        <f aca="false">IF(OR(B923="",N(O923)=0),"",N(O923)+ROUND(MIN(N(N923),TOPE_UF*UF_MES)*(TASA_EMP+MUTUAL),0)+ROUND(MIN(N(N923),TOPE_AFC_UF*UF_MES)*IF(S923="Indefinido",AFC_INDEF,AFC_PF),0))</f>
        <v/>
      </c>
      <c r="U923" s="62" t="str">
        <f aca="false">IF(C923="","",IF(LEFT(D923,1)="⚠","⚠ RUT no registrado en Trabajadores",IF(B923="","⚠ Falta el mes",IF(OR(ISTEXT(I923),ISTEXT(J923)),"⚠ Atrasos u horas extra como texto: escriba hh:mm (ej. 1:30)",IF(AND(ISNUMBER(Q923),COUNTIFS(M_RUTN,V923,M_MES,B923,M_LIQ,"&lt;&gt;")&gt;1),"⚠ Liquidación repetida en el mes",IF(AND(ISNUMBER(O923),ISNUMBER(P923),ISNUMBER(Q923),ABS(O923-P923-Q923)&gt;1),"⚠ Haberes − descuentos no da el líquido","OK"))))))</f>
        <v/>
      </c>
      <c r="V923" s="62" t="str">
        <f aca="false">IF(C923="","",IFERROR(VALUE(LEFT(UPPER(SUBSTITUTE(SUBSTITUTE(SUBSTITUTE(TRIM(C923),".",""),"-","")," ","")),LEN(UPPER(SUBSTITUTE(SUBSTITUTE(SUBSTITUTE(TRIM(C923),".",""),"-","")," ","")))-1))&amp;RIGHT(UPPER(SUBSTITUTE(SUBSTITUTE(SUBSTITUTE(TRIM(C923),".",""),"-","")," ","")),1),UPPER(SUBSTITUTE(SUBSTITUTE(SUBSTITUTE(TRIM(C923),".",""),"-","")," ",""))))</f>
        <v/>
      </c>
    </row>
    <row r="924" customFormat="false" ht="15" hidden="false" customHeight="false" outlineLevel="0" collapsed="false">
      <c r="B924" s="80"/>
      <c r="C924" s="58"/>
      <c r="D924" s="62" t="str">
        <f aca="false">IF(C924="","",IFERROR(INDEX(T_NOMBRE,MATCH(V924,T_RUTN,0)),"⚠ RUT no está en Trabajadores"))</f>
        <v/>
      </c>
      <c r="E924" s="61"/>
      <c r="F924" s="61"/>
      <c r="G924" s="61"/>
      <c r="H924" s="61"/>
      <c r="I924" s="81"/>
      <c r="J924" s="81"/>
      <c r="K924" s="60"/>
      <c r="L924" s="60"/>
      <c r="M924" s="60"/>
      <c r="N924" s="60"/>
      <c r="O924" s="60"/>
      <c r="P924" s="60"/>
      <c r="Q924" s="60"/>
      <c r="R924" s="58"/>
      <c r="S924" s="62" t="str">
        <f aca="false">IF(OR(B924="",V924=""),"",IFERROR(INDEX(C_TIPO,MATCH(V924&amp;"-P"&amp;MAX(1,COUNTIFS(C_RUTN,V924,C_DEF,"Sí",C_INI,"&lt;="&amp;EOMONTH(B924,0))),C_CLAVE,0))&amp;"","Sin contrato"))</f>
        <v/>
      </c>
      <c r="T924" s="63" t="str">
        <f aca="false">IF(OR(B924="",N(O924)=0),"",N(O924)+ROUND(MIN(N(N924),TOPE_UF*UF_MES)*(TASA_EMP+MUTUAL),0)+ROUND(MIN(N(N924),TOPE_AFC_UF*UF_MES)*IF(S924="Indefinido",AFC_INDEF,AFC_PF),0))</f>
        <v/>
      </c>
      <c r="U924" s="62" t="str">
        <f aca="false">IF(C924="","",IF(LEFT(D924,1)="⚠","⚠ RUT no registrado en Trabajadores",IF(B924="","⚠ Falta el mes",IF(OR(ISTEXT(I924),ISTEXT(J924)),"⚠ Atrasos u horas extra como texto: escriba hh:mm (ej. 1:30)",IF(AND(ISNUMBER(Q924),COUNTIFS(M_RUTN,V924,M_MES,B924,M_LIQ,"&lt;&gt;")&gt;1),"⚠ Liquidación repetida en el mes",IF(AND(ISNUMBER(O924),ISNUMBER(P924),ISNUMBER(Q924),ABS(O924-P924-Q924)&gt;1),"⚠ Haberes − descuentos no da el líquido","OK"))))))</f>
        <v/>
      </c>
      <c r="V924" s="62" t="str">
        <f aca="false">IF(C924="","",IFERROR(VALUE(LEFT(UPPER(SUBSTITUTE(SUBSTITUTE(SUBSTITUTE(TRIM(C924),".",""),"-","")," ","")),LEN(UPPER(SUBSTITUTE(SUBSTITUTE(SUBSTITUTE(TRIM(C924),".",""),"-","")," ","")))-1))&amp;RIGHT(UPPER(SUBSTITUTE(SUBSTITUTE(SUBSTITUTE(TRIM(C924),".",""),"-","")," ","")),1),UPPER(SUBSTITUTE(SUBSTITUTE(SUBSTITUTE(TRIM(C924),".",""),"-","")," ",""))))</f>
        <v/>
      </c>
    </row>
    <row r="925" customFormat="false" ht="15" hidden="false" customHeight="false" outlineLevel="0" collapsed="false">
      <c r="B925" s="80"/>
      <c r="C925" s="58"/>
      <c r="D925" s="62" t="str">
        <f aca="false">IF(C925="","",IFERROR(INDEX(T_NOMBRE,MATCH(V925,T_RUTN,0)),"⚠ RUT no está en Trabajadores"))</f>
        <v/>
      </c>
      <c r="E925" s="61"/>
      <c r="F925" s="61"/>
      <c r="G925" s="61"/>
      <c r="H925" s="61"/>
      <c r="I925" s="81"/>
      <c r="J925" s="81"/>
      <c r="K925" s="60"/>
      <c r="L925" s="60"/>
      <c r="M925" s="60"/>
      <c r="N925" s="60"/>
      <c r="O925" s="60"/>
      <c r="P925" s="60"/>
      <c r="Q925" s="60"/>
      <c r="R925" s="58"/>
      <c r="S925" s="62" t="str">
        <f aca="false">IF(OR(B925="",V925=""),"",IFERROR(INDEX(C_TIPO,MATCH(V925&amp;"-P"&amp;MAX(1,COUNTIFS(C_RUTN,V925,C_DEF,"Sí",C_INI,"&lt;="&amp;EOMONTH(B925,0))),C_CLAVE,0))&amp;"","Sin contrato"))</f>
        <v/>
      </c>
      <c r="T925" s="63" t="str">
        <f aca="false">IF(OR(B925="",N(O925)=0),"",N(O925)+ROUND(MIN(N(N925),TOPE_UF*UF_MES)*(TASA_EMP+MUTUAL),0)+ROUND(MIN(N(N925),TOPE_AFC_UF*UF_MES)*IF(S925="Indefinido",AFC_INDEF,AFC_PF),0))</f>
        <v/>
      </c>
      <c r="U925" s="62" t="str">
        <f aca="false">IF(C925="","",IF(LEFT(D925,1)="⚠","⚠ RUT no registrado en Trabajadores",IF(B925="","⚠ Falta el mes",IF(OR(ISTEXT(I925),ISTEXT(J925)),"⚠ Atrasos u horas extra como texto: escriba hh:mm (ej. 1:30)",IF(AND(ISNUMBER(Q925),COUNTIFS(M_RUTN,V925,M_MES,B925,M_LIQ,"&lt;&gt;")&gt;1),"⚠ Liquidación repetida en el mes",IF(AND(ISNUMBER(O925),ISNUMBER(P925),ISNUMBER(Q925),ABS(O925-P925-Q925)&gt;1),"⚠ Haberes − descuentos no da el líquido","OK"))))))</f>
        <v/>
      </c>
      <c r="V925" s="62" t="str">
        <f aca="false">IF(C925="","",IFERROR(VALUE(LEFT(UPPER(SUBSTITUTE(SUBSTITUTE(SUBSTITUTE(TRIM(C925),".",""),"-","")," ","")),LEN(UPPER(SUBSTITUTE(SUBSTITUTE(SUBSTITUTE(TRIM(C925),".",""),"-","")," ","")))-1))&amp;RIGHT(UPPER(SUBSTITUTE(SUBSTITUTE(SUBSTITUTE(TRIM(C925),".",""),"-","")," ","")),1),UPPER(SUBSTITUTE(SUBSTITUTE(SUBSTITUTE(TRIM(C925),".",""),"-","")," ",""))))</f>
        <v/>
      </c>
    </row>
    <row r="926" customFormat="false" ht="15" hidden="false" customHeight="false" outlineLevel="0" collapsed="false">
      <c r="B926" s="80"/>
      <c r="C926" s="58"/>
      <c r="D926" s="62" t="str">
        <f aca="false">IF(C926="","",IFERROR(INDEX(T_NOMBRE,MATCH(V926,T_RUTN,0)),"⚠ RUT no está en Trabajadores"))</f>
        <v/>
      </c>
      <c r="E926" s="61"/>
      <c r="F926" s="61"/>
      <c r="G926" s="61"/>
      <c r="H926" s="61"/>
      <c r="I926" s="81"/>
      <c r="J926" s="81"/>
      <c r="K926" s="60"/>
      <c r="L926" s="60"/>
      <c r="M926" s="60"/>
      <c r="N926" s="60"/>
      <c r="O926" s="60"/>
      <c r="P926" s="60"/>
      <c r="Q926" s="60"/>
      <c r="R926" s="58"/>
      <c r="S926" s="62" t="str">
        <f aca="false">IF(OR(B926="",V926=""),"",IFERROR(INDEX(C_TIPO,MATCH(V926&amp;"-P"&amp;MAX(1,COUNTIFS(C_RUTN,V926,C_DEF,"Sí",C_INI,"&lt;="&amp;EOMONTH(B926,0))),C_CLAVE,0))&amp;"","Sin contrato"))</f>
        <v/>
      </c>
      <c r="T926" s="63" t="str">
        <f aca="false">IF(OR(B926="",N(O926)=0),"",N(O926)+ROUND(MIN(N(N926),TOPE_UF*UF_MES)*(TASA_EMP+MUTUAL),0)+ROUND(MIN(N(N926),TOPE_AFC_UF*UF_MES)*IF(S926="Indefinido",AFC_INDEF,AFC_PF),0))</f>
        <v/>
      </c>
      <c r="U926" s="62" t="str">
        <f aca="false">IF(C926="","",IF(LEFT(D926,1)="⚠","⚠ RUT no registrado en Trabajadores",IF(B926="","⚠ Falta el mes",IF(OR(ISTEXT(I926),ISTEXT(J926)),"⚠ Atrasos u horas extra como texto: escriba hh:mm (ej. 1:30)",IF(AND(ISNUMBER(Q926),COUNTIFS(M_RUTN,V926,M_MES,B926,M_LIQ,"&lt;&gt;")&gt;1),"⚠ Liquidación repetida en el mes",IF(AND(ISNUMBER(O926),ISNUMBER(P926),ISNUMBER(Q926),ABS(O926-P926-Q926)&gt;1),"⚠ Haberes − descuentos no da el líquido","OK"))))))</f>
        <v/>
      </c>
      <c r="V926" s="62" t="str">
        <f aca="false">IF(C926="","",IFERROR(VALUE(LEFT(UPPER(SUBSTITUTE(SUBSTITUTE(SUBSTITUTE(TRIM(C926),".",""),"-","")," ","")),LEN(UPPER(SUBSTITUTE(SUBSTITUTE(SUBSTITUTE(TRIM(C926),".",""),"-","")," ","")))-1))&amp;RIGHT(UPPER(SUBSTITUTE(SUBSTITUTE(SUBSTITUTE(TRIM(C926),".",""),"-","")," ","")),1),UPPER(SUBSTITUTE(SUBSTITUTE(SUBSTITUTE(TRIM(C926),".",""),"-","")," ",""))))</f>
        <v/>
      </c>
    </row>
    <row r="927" customFormat="false" ht="15" hidden="false" customHeight="false" outlineLevel="0" collapsed="false">
      <c r="B927" s="80"/>
      <c r="C927" s="58"/>
      <c r="D927" s="62" t="str">
        <f aca="false">IF(C927="","",IFERROR(INDEX(T_NOMBRE,MATCH(V927,T_RUTN,0)),"⚠ RUT no está en Trabajadores"))</f>
        <v/>
      </c>
      <c r="E927" s="61"/>
      <c r="F927" s="61"/>
      <c r="G927" s="61"/>
      <c r="H927" s="61"/>
      <c r="I927" s="81"/>
      <c r="J927" s="81"/>
      <c r="K927" s="60"/>
      <c r="L927" s="60"/>
      <c r="M927" s="60"/>
      <c r="N927" s="60"/>
      <c r="O927" s="60"/>
      <c r="P927" s="60"/>
      <c r="Q927" s="60"/>
      <c r="R927" s="58"/>
      <c r="S927" s="62" t="str">
        <f aca="false">IF(OR(B927="",V927=""),"",IFERROR(INDEX(C_TIPO,MATCH(V927&amp;"-P"&amp;MAX(1,COUNTIFS(C_RUTN,V927,C_DEF,"Sí",C_INI,"&lt;="&amp;EOMONTH(B927,0))),C_CLAVE,0))&amp;"","Sin contrato"))</f>
        <v/>
      </c>
      <c r="T927" s="63" t="str">
        <f aca="false">IF(OR(B927="",N(O927)=0),"",N(O927)+ROUND(MIN(N(N927),TOPE_UF*UF_MES)*(TASA_EMP+MUTUAL),0)+ROUND(MIN(N(N927),TOPE_AFC_UF*UF_MES)*IF(S927="Indefinido",AFC_INDEF,AFC_PF),0))</f>
        <v/>
      </c>
      <c r="U927" s="62" t="str">
        <f aca="false">IF(C927="","",IF(LEFT(D927,1)="⚠","⚠ RUT no registrado en Trabajadores",IF(B927="","⚠ Falta el mes",IF(OR(ISTEXT(I927),ISTEXT(J927)),"⚠ Atrasos u horas extra como texto: escriba hh:mm (ej. 1:30)",IF(AND(ISNUMBER(Q927),COUNTIFS(M_RUTN,V927,M_MES,B927,M_LIQ,"&lt;&gt;")&gt;1),"⚠ Liquidación repetida en el mes",IF(AND(ISNUMBER(O927),ISNUMBER(P927),ISNUMBER(Q927),ABS(O927-P927-Q927)&gt;1),"⚠ Haberes − descuentos no da el líquido","OK"))))))</f>
        <v/>
      </c>
      <c r="V927" s="62" t="str">
        <f aca="false">IF(C927="","",IFERROR(VALUE(LEFT(UPPER(SUBSTITUTE(SUBSTITUTE(SUBSTITUTE(TRIM(C927),".",""),"-","")," ","")),LEN(UPPER(SUBSTITUTE(SUBSTITUTE(SUBSTITUTE(TRIM(C927),".",""),"-","")," ","")))-1))&amp;RIGHT(UPPER(SUBSTITUTE(SUBSTITUTE(SUBSTITUTE(TRIM(C927),".",""),"-","")," ","")),1),UPPER(SUBSTITUTE(SUBSTITUTE(SUBSTITUTE(TRIM(C927),".",""),"-","")," ",""))))</f>
        <v/>
      </c>
    </row>
    <row r="928" customFormat="false" ht="15" hidden="false" customHeight="false" outlineLevel="0" collapsed="false">
      <c r="B928" s="80"/>
      <c r="C928" s="58"/>
      <c r="D928" s="62" t="str">
        <f aca="false">IF(C928="","",IFERROR(INDEX(T_NOMBRE,MATCH(V928,T_RUTN,0)),"⚠ RUT no está en Trabajadores"))</f>
        <v/>
      </c>
      <c r="E928" s="61"/>
      <c r="F928" s="61"/>
      <c r="G928" s="61"/>
      <c r="H928" s="61"/>
      <c r="I928" s="81"/>
      <c r="J928" s="81"/>
      <c r="K928" s="60"/>
      <c r="L928" s="60"/>
      <c r="M928" s="60"/>
      <c r="N928" s="60"/>
      <c r="O928" s="60"/>
      <c r="P928" s="60"/>
      <c r="Q928" s="60"/>
      <c r="R928" s="58"/>
      <c r="S928" s="62" t="str">
        <f aca="false">IF(OR(B928="",V928=""),"",IFERROR(INDEX(C_TIPO,MATCH(V928&amp;"-P"&amp;MAX(1,COUNTIFS(C_RUTN,V928,C_DEF,"Sí",C_INI,"&lt;="&amp;EOMONTH(B928,0))),C_CLAVE,0))&amp;"","Sin contrato"))</f>
        <v/>
      </c>
      <c r="T928" s="63" t="str">
        <f aca="false">IF(OR(B928="",N(O928)=0),"",N(O928)+ROUND(MIN(N(N928),TOPE_UF*UF_MES)*(TASA_EMP+MUTUAL),0)+ROUND(MIN(N(N928),TOPE_AFC_UF*UF_MES)*IF(S928="Indefinido",AFC_INDEF,AFC_PF),0))</f>
        <v/>
      </c>
      <c r="U928" s="62" t="str">
        <f aca="false">IF(C928="","",IF(LEFT(D928,1)="⚠","⚠ RUT no registrado en Trabajadores",IF(B928="","⚠ Falta el mes",IF(OR(ISTEXT(I928),ISTEXT(J928)),"⚠ Atrasos u horas extra como texto: escriba hh:mm (ej. 1:30)",IF(AND(ISNUMBER(Q928),COUNTIFS(M_RUTN,V928,M_MES,B928,M_LIQ,"&lt;&gt;")&gt;1),"⚠ Liquidación repetida en el mes",IF(AND(ISNUMBER(O928),ISNUMBER(P928),ISNUMBER(Q928),ABS(O928-P928-Q928)&gt;1),"⚠ Haberes − descuentos no da el líquido","OK"))))))</f>
        <v/>
      </c>
      <c r="V928" s="62" t="str">
        <f aca="false">IF(C928="","",IFERROR(VALUE(LEFT(UPPER(SUBSTITUTE(SUBSTITUTE(SUBSTITUTE(TRIM(C928),".",""),"-","")," ","")),LEN(UPPER(SUBSTITUTE(SUBSTITUTE(SUBSTITUTE(TRIM(C928),".",""),"-","")," ","")))-1))&amp;RIGHT(UPPER(SUBSTITUTE(SUBSTITUTE(SUBSTITUTE(TRIM(C928),".",""),"-","")," ","")),1),UPPER(SUBSTITUTE(SUBSTITUTE(SUBSTITUTE(TRIM(C928),".",""),"-","")," ",""))))</f>
        <v/>
      </c>
    </row>
    <row r="929" customFormat="false" ht="15" hidden="false" customHeight="false" outlineLevel="0" collapsed="false">
      <c r="B929" s="80"/>
      <c r="C929" s="58"/>
      <c r="D929" s="62" t="str">
        <f aca="false">IF(C929="","",IFERROR(INDEX(T_NOMBRE,MATCH(V929,T_RUTN,0)),"⚠ RUT no está en Trabajadores"))</f>
        <v/>
      </c>
      <c r="E929" s="61"/>
      <c r="F929" s="61"/>
      <c r="G929" s="61"/>
      <c r="H929" s="61"/>
      <c r="I929" s="81"/>
      <c r="J929" s="81"/>
      <c r="K929" s="60"/>
      <c r="L929" s="60"/>
      <c r="M929" s="60"/>
      <c r="N929" s="60"/>
      <c r="O929" s="60"/>
      <c r="P929" s="60"/>
      <c r="Q929" s="60"/>
      <c r="R929" s="58"/>
      <c r="S929" s="62" t="str">
        <f aca="false">IF(OR(B929="",V929=""),"",IFERROR(INDEX(C_TIPO,MATCH(V929&amp;"-P"&amp;MAX(1,COUNTIFS(C_RUTN,V929,C_DEF,"Sí",C_INI,"&lt;="&amp;EOMONTH(B929,0))),C_CLAVE,0))&amp;"","Sin contrato"))</f>
        <v/>
      </c>
      <c r="T929" s="63" t="str">
        <f aca="false">IF(OR(B929="",N(O929)=0),"",N(O929)+ROUND(MIN(N(N929),TOPE_UF*UF_MES)*(TASA_EMP+MUTUAL),0)+ROUND(MIN(N(N929),TOPE_AFC_UF*UF_MES)*IF(S929="Indefinido",AFC_INDEF,AFC_PF),0))</f>
        <v/>
      </c>
      <c r="U929" s="62" t="str">
        <f aca="false">IF(C929="","",IF(LEFT(D929,1)="⚠","⚠ RUT no registrado en Trabajadores",IF(B929="","⚠ Falta el mes",IF(OR(ISTEXT(I929),ISTEXT(J929)),"⚠ Atrasos u horas extra como texto: escriba hh:mm (ej. 1:30)",IF(AND(ISNUMBER(Q929),COUNTIFS(M_RUTN,V929,M_MES,B929,M_LIQ,"&lt;&gt;")&gt;1),"⚠ Liquidación repetida en el mes",IF(AND(ISNUMBER(O929),ISNUMBER(P929),ISNUMBER(Q929),ABS(O929-P929-Q929)&gt;1),"⚠ Haberes − descuentos no da el líquido","OK"))))))</f>
        <v/>
      </c>
      <c r="V929" s="62" t="str">
        <f aca="false">IF(C929="","",IFERROR(VALUE(LEFT(UPPER(SUBSTITUTE(SUBSTITUTE(SUBSTITUTE(TRIM(C929),".",""),"-","")," ","")),LEN(UPPER(SUBSTITUTE(SUBSTITUTE(SUBSTITUTE(TRIM(C929),".",""),"-","")," ","")))-1))&amp;RIGHT(UPPER(SUBSTITUTE(SUBSTITUTE(SUBSTITUTE(TRIM(C929),".",""),"-","")," ","")),1),UPPER(SUBSTITUTE(SUBSTITUTE(SUBSTITUTE(TRIM(C929),".",""),"-","")," ",""))))</f>
        <v/>
      </c>
    </row>
    <row r="930" customFormat="false" ht="15" hidden="false" customHeight="false" outlineLevel="0" collapsed="false">
      <c r="B930" s="80"/>
      <c r="C930" s="58"/>
      <c r="D930" s="62" t="str">
        <f aca="false">IF(C930="","",IFERROR(INDEX(T_NOMBRE,MATCH(V930,T_RUTN,0)),"⚠ RUT no está en Trabajadores"))</f>
        <v/>
      </c>
      <c r="E930" s="61"/>
      <c r="F930" s="61"/>
      <c r="G930" s="61"/>
      <c r="H930" s="61"/>
      <c r="I930" s="81"/>
      <c r="J930" s="81"/>
      <c r="K930" s="60"/>
      <c r="L930" s="60"/>
      <c r="M930" s="60"/>
      <c r="N930" s="60"/>
      <c r="O930" s="60"/>
      <c r="P930" s="60"/>
      <c r="Q930" s="60"/>
      <c r="R930" s="58"/>
      <c r="S930" s="62" t="str">
        <f aca="false">IF(OR(B930="",V930=""),"",IFERROR(INDEX(C_TIPO,MATCH(V930&amp;"-P"&amp;MAX(1,COUNTIFS(C_RUTN,V930,C_DEF,"Sí",C_INI,"&lt;="&amp;EOMONTH(B930,0))),C_CLAVE,0))&amp;"","Sin contrato"))</f>
        <v/>
      </c>
      <c r="T930" s="63" t="str">
        <f aca="false">IF(OR(B930="",N(O930)=0),"",N(O930)+ROUND(MIN(N(N930),TOPE_UF*UF_MES)*(TASA_EMP+MUTUAL),0)+ROUND(MIN(N(N930),TOPE_AFC_UF*UF_MES)*IF(S930="Indefinido",AFC_INDEF,AFC_PF),0))</f>
        <v/>
      </c>
      <c r="U930" s="62" t="str">
        <f aca="false">IF(C930="","",IF(LEFT(D930,1)="⚠","⚠ RUT no registrado en Trabajadores",IF(B930="","⚠ Falta el mes",IF(OR(ISTEXT(I930),ISTEXT(J930)),"⚠ Atrasos u horas extra como texto: escriba hh:mm (ej. 1:30)",IF(AND(ISNUMBER(Q930),COUNTIFS(M_RUTN,V930,M_MES,B930,M_LIQ,"&lt;&gt;")&gt;1),"⚠ Liquidación repetida en el mes",IF(AND(ISNUMBER(O930),ISNUMBER(P930),ISNUMBER(Q930),ABS(O930-P930-Q930)&gt;1),"⚠ Haberes − descuentos no da el líquido","OK"))))))</f>
        <v/>
      </c>
      <c r="V930" s="62" t="str">
        <f aca="false">IF(C930="","",IFERROR(VALUE(LEFT(UPPER(SUBSTITUTE(SUBSTITUTE(SUBSTITUTE(TRIM(C930),".",""),"-","")," ","")),LEN(UPPER(SUBSTITUTE(SUBSTITUTE(SUBSTITUTE(TRIM(C930),".",""),"-","")," ","")))-1))&amp;RIGHT(UPPER(SUBSTITUTE(SUBSTITUTE(SUBSTITUTE(TRIM(C930),".",""),"-","")," ","")),1),UPPER(SUBSTITUTE(SUBSTITUTE(SUBSTITUTE(TRIM(C930),".",""),"-","")," ",""))))</f>
        <v/>
      </c>
    </row>
    <row r="931" customFormat="false" ht="15" hidden="false" customHeight="false" outlineLevel="0" collapsed="false">
      <c r="B931" s="80"/>
      <c r="C931" s="58"/>
      <c r="D931" s="62" t="str">
        <f aca="false">IF(C931="","",IFERROR(INDEX(T_NOMBRE,MATCH(V931,T_RUTN,0)),"⚠ RUT no está en Trabajadores"))</f>
        <v/>
      </c>
      <c r="E931" s="61"/>
      <c r="F931" s="61"/>
      <c r="G931" s="61"/>
      <c r="H931" s="61"/>
      <c r="I931" s="81"/>
      <c r="J931" s="81"/>
      <c r="K931" s="60"/>
      <c r="L931" s="60"/>
      <c r="M931" s="60"/>
      <c r="N931" s="60"/>
      <c r="O931" s="60"/>
      <c r="P931" s="60"/>
      <c r="Q931" s="60"/>
      <c r="R931" s="58"/>
      <c r="S931" s="62" t="str">
        <f aca="false">IF(OR(B931="",V931=""),"",IFERROR(INDEX(C_TIPO,MATCH(V931&amp;"-P"&amp;MAX(1,COUNTIFS(C_RUTN,V931,C_DEF,"Sí",C_INI,"&lt;="&amp;EOMONTH(B931,0))),C_CLAVE,0))&amp;"","Sin contrato"))</f>
        <v/>
      </c>
      <c r="T931" s="63" t="str">
        <f aca="false">IF(OR(B931="",N(O931)=0),"",N(O931)+ROUND(MIN(N(N931),TOPE_UF*UF_MES)*(TASA_EMP+MUTUAL),0)+ROUND(MIN(N(N931),TOPE_AFC_UF*UF_MES)*IF(S931="Indefinido",AFC_INDEF,AFC_PF),0))</f>
        <v/>
      </c>
      <c r="U931" s="62" t="str">
        <f aca="false">IF(C931="","",IF(LEFT(D931,1)="⚠","⚠ RUT no registrado en Trabajadores",IF(B931="","⚠ Falta el mes",IF(OR(ISTEXT(I931),ISTEXT(J931)),"⚠ Atrasos u horas extra como texto: escriba hh:mm (ej. 1:30)",IF(AND(ISNUMBER(Q931),COUNTIFS(M_RUTN,V931,M_MES,B931,M_LIQ,"&lt;&gt;")&gt;1),"⚠ Liquidación repetida en el mes",IF(AND(ISNUMBER(O931),ISNUMBER(P931),ISNUMBER(Q931),ABS(O931-P931-Q931)&gt;1),"⚠ Haberes − descuentos no da el líquido","OK"))))))</f>
        <v/>
      </c>
      <c r="V931" s="62" t="str">
        <f aca="false">IF(C931="","",IFERROR(VALUE(LEFT(UPPER(SUBSTITUTE(SUBSTITUTE(SUBSTITUTE(TRIM(C931),".",""),"-","")," ","")),LEN(UPPER(SUBSTITUTE(SUBSTITUTE(SUBSTITUTE(TRIM(C931),".",""),"-","")," ","")))-1))&amp;RIGHT(UPPER(SUBSTITUTE(SUBSTITUTE(SUBSTITUTE(TRIM(C931),".",""),"-","")," ","")),1),UPPER(SUBSTITUTE(SUBSTITUTE(SUBSTITUTE(TRIM(C931),".",""),"-","")," ",""))))</f>
        <v/>
      </c>
    </row>
    <row r="932" customFormat="false" ht="15" hidden="false" customHeight="false" outlineLevel="0" collapsed="false">
      <c r="B932" s="80"/>
      <c r="C932" s="58"/>
      <c r="D932" s="62" t="str">
        <f aca="false">IF(C932="","",IFERROR(INDEX(T_NOMBRE,MATCH(V932,T_RUTN,0)),"⚠ RUT no está en Trabajadores"))</f>
        <v/>
      </c>
      <c r="E932" s="61"/>
      <c r="F932" s="61"/>
      <c r="G932" s="61"/>
      <c r="H932" s="61"/>
      <c r="I932" s="81"/>
      <c r="J932" s="81"/>
      <c r="K932" s="60"/>
      <c r="L932" s="60"/>
      <c r="M932" s="60"/>
      <c r="N932" s="60"/>
      <c r="O932" s="60"/>
      <c r="P932" s="60"/>
      <c r="Q932" s="60"/>
      <c r="R932" s="58"/>
      <c r="S932" s="62" t="str">
        <f aca="false">IF(OR(B932="",V932=""),"",IFERROR(INDEX(C_TIPO,MATCH(V932&amp;"-P"&amp;MAX(1,COUNTIFS(C_RUTN,V932,C_DEF,"Sí",C_INI,"&lt;="&amp;EOMONTH(B932,0))),C_CLAVE,0))&amp;"","Sin contrato"))</f>
        <v/>
      </c>
      <c r="T932" s="63" t="str">
        <f aca="false">IF(OR(B932="",N(O932)=0),"",N(O932)+ROUND(MIN(N(N932),TOPE_UF*UF_MES)*(TASA_EMP+MUTUAL),0)+ROUND(MIN(N(N932),TOPE_AFC_UF*UF_MES)*IF(S932="Indefinido",AFC_INDEF,AFC_PF),0))</f>
        <v/>
      </c>
      <c r="U932" s="62" t="str">
        <f aca="false">IF(C932="","",IF(LEFT(D932,1)="⚠","⚠ RUT no registrado en Trabajadores",IF(B932="","⚠ Falta el mes",IF(OR(ISTEXT(I932),ISTEXT(J932)),"⚠ Atrasos u horas extra como texto: escriba hh:mm (ej. 1:30)",IF(AND(ISNUMBER(Q932),COUNTIFS(M_RUTN,V932,M_MES,B932,M_LIQ,"&lt;&gt;")&gt;1),"⚠ Liquidación repetida en el mes",IF(AND(ISNUMBER(O932),ISNUMBER(P932),ISNUMBER(Q932),ABS(O932-P932-Q932)&gt;1),"⚠ Haberes − descuentos no da el líquido","OK"))))))</f>
        <v/>
      </c>
      <c r="V932" s="62" t="str">
        <f aca="false">IF(C932="","",IFERROR(VALUE(LEFT(UPPER(SUBSTITUTE(SUBSTITUTE(SUBSTITUTE(TRIM(C932),".",""),"-","")," ","")),LEN(UPPER(SUBSTITUTE(SUBSTITUTE(SUBSTITUTE(TRIM(C932),".",""),"-","")," ","")))-1))&amp;RIGHT(UPPER(SUBSTITUTE(SUBSTITUTE(SUBSTITUTE(TRIM(C932),".",""),"-","")," ","")),1),UPPER(SUBSTITUTE(SUBSTITUTE(SUBSTITUTE(TRIM(C932),".",""),"-","")," ",""))))</f>
        <v/>
      </c>
    </row>
    <row r="933" customFormat="false" ht="15" hidden="false" customHeight="false" outlineLevel="0" collapsed="false">
      <c r="B933" s="80"/>
      <c r="C933" s="58"/>
      <c r="D933" s="62" t="str">
        <f aca="false">IF(C933="","",IFERROR(INDEX(T_NOMBRE,MATCH(V933,T_RUTN,0)),"⚠ RUT no está en Trabajadores"))</f>
        <v/>
      </c>
      <c r="E933" s="61"/>
      <c r="F933" s="61"/>
      <c r="G933" s="61"/>
      <c r="H933" s="61"/>
      <c r="I933" s="81"/>
      <c r="J933" s="81"/>
      <c r="K933" s="60"/>
      <c r="L933" s="60"/>
      <c r="M933" s="60"/>
      <c r="N933" s="60"/>
      <c r="O933" s="60"/>
      <c r="P933" s="60"/>
      <c r="Q933" s="60"/>
      <c r="R933" s="58"/>
      <c r="S933" s="62" t="str">
        <f aca="false">IF(OR(B933="",V933=""),"",IFERROR(INDEX(C_TIPO,MATCH(V933&amp;"-P"&amp;MAX(1,COUNTIFS(C_RUTN,V933,C_DEF,"Sí",C_INI,"&lt;="&amp;EOMONTH(B933,0))),C_CLAVE,0))&amp;"","Sin contrato"))</f>
        <v/>
      </c>
      <c r="T933" s="63" t="str">
        <f aca="false">IF(OR(B933="",N(O933)=0),"",N(O933)+ROUND(MIN(N(N933),TOPE_UF*UF_MES)*(TASA_EMP+MUTUAL),0)+ROUND(MIN(N(N933),TOPE_AFC_UF*UF_MES)*IF(S933="Indefinido",AFC_INDEF,AFC_PF),0))</f>
        <v/>
      </c>
      <c r="U933" s="62" t="str">
        <f aca="false">IF(C933="","",IF(LEFT(D933,1)="⚠","⚠ RUT no registrado en Trabajadores",IF(B933="","⚠ Falta el mes",IF(OR(ISTEXT(I933),ISTEXT(J933)),"⚠ Atrasos u horas extra como texto: escriba hh:mm (ej. 1:30)",IF(AND(ISNUMBER(Q933),COUNTIFS(M_RUTN,V933,M_MES,B933,M_LIQ,"&lt;&gt;")&gt;1),"⚠ Liquidación repetida en el mes",IF(AND(ISNUMBER(O933),ISNUMBER(P933),ISNUMBER(Q933),ABS(O933-P933-Q933)&gt;1),"⚠ Haberes − descuentos no da el líquido","OK"))))))</f>
        <v/>
      </c>
      <c r="V933" s="62" t="str">
        <f aca="false">IF(C933="","",IFERROR(VALUE(LEFT(UPPER(SUBSTITUTE(SUBSTITUTE(SUBSTITUTE(TRIM(C933),".",""),"-","")," ","")),LEN(UPPER(SUBSTITUTE(SUBSTITUTE(SUBSTITUTE(TRIM(C933),".",""),"-","")," ","")))-1))&amp;RIGHT(UPPER(SUBSTITUTE(SUBSTITUTE(SUBSTITUTE(TRIM(C933),".",""),"-","")," ","")),1),UPPER(SUBSTITUTE(SUBSTITUTE(SUBSTITUTE(TRIM(C933),".",""),"-","")," ",""))))</f>
        <v/>
      </c>
    </row>
    <row r="934" customFormat="false" ht="15" hidden="false" customHeight="false" outlineLevel="0" collapsed="false">
      <c r="B934" s="80"/>
      <c r="C934" s="58"/>
      <c r="D934" s="62" t="str">
        <f aca="false">IF(C934="","",IFERROR(INDEX(T_NOMBRE,MATCH(V934,T_RUTN,0)),"⚠ RUT no está en Trabajadores"))</f>
        <v/>
      </c>
      <c r="E934" s="61"/>
      <c r="F934" s="61"/>
      <c r="G934" s="61"/>
      <c r="H934" s="61"/>
      <c r="I934" s="81"/>
      <c r="J934" s="81"/>
      <c r="K934" s="60"/>
      <c r="L934" s="60"/>
      <c r="M934" s="60"/>
      <c r="N934" s="60"/>
      <c r="O934" s="60"/>
      <c r="P934" s="60"/>
      <c r="Q934" s="60"/>
      <c r="R934" s="58"/>
      <c r="S934" s="62" t="str">
        <f aca="false">IF(OR(B934="",V934=""),"",IFERROR(INDEX(C_TIPO,MATCH(V934&amp;"-P"&amp;MAX(1,COUNTIFS(C_RUTN,V934,C_DEF,"Sí",C_INI,"&lt;="&amp;EOMONTH(B934,0))),C_CLAVE,0))&amp;"","Sin contrato"))</f>
        <v/>
      </c>
      <c r="T934" s="63" t="str">
        <f aca="false">IF(OR(B934="",N(O934)=0),"",N(O934)+ROUND(MIN(N(N934),TOPE_UF*UF_MES)*(TASA_EMP+MUTUAL),0)+ROUND(MIN(N(N934),TOPE_AFC_UF*UF_MES)*IF(S934="Indefinido",AFC_INDEF,AFC_PF),0))</f>
        <v/>
      </c>
      <c r="U934" s="62" t="str">
        <f aca="false">IF(C934="","",IF(LEFT(D934,1)="⚠","⚠ RUT no registrado en Trabajadores",IF(B934="","⚠ Falta el mes",IF(OR(ISTEXT(I934),ISTEXT(J934)),"⚠ Atrasos u horas extra como texto: escriba hh:mm (ej. 1:30)",IF(AND(ISNUMBER(Q934),COUNTIFS(M_RUTN,V934,M_MES,B934,M_LIQ,"&lt;&gt;")&gt;1),"⚠ Liquidación repetida en el mes",IF(AND(ISNUMBER(O934),ISNUMBER(P934),ISNUMBER(Q934),ABS(O934-P934-Q934)&gt;1),"⚠ Haberes − descuentos no da el líquido","OK"))))))</f>
        <v/>
      </c>
      <c r="V934" s="62" t="str">
        <f aca="false">IF(C934="","",IFERROR(VALUE(LEFT(UPPER(SUBSTITUTE(SUBSTITUTE(SUBSTITUTE(TRIM(C934),".",""),"-","")," ","")),LEN(UPPER(SUBSTITUTE(SUBSTITUTE(SUBSTITUTE(TRIM(C934),".",""),"-","")," ","")))-1))&amp;RIGHT(UPPER(SUBSTITUTE(SUBSTITUTE(SUBSTITUTE(TRIM(C934),".",""),"-","")," ","")),1),UPPER(SUBSTITUTE(SUBSTITUTE(SUBSTITUTE(TRIM(C934),".",""),"-","")," ",""))))</f>
        <v/>
      </c>
    </row>
    <row r="935" customFormat="false" ht="15" hidden="false" customHeight="false" outlineLevel="0" collapsed="false">
      <c r="B935" s="80"/>
      <c r="C935" s="58"/>
      <c r="D935" s="62" t="str">
        <f aca="false">IF(C935="","",IFERROR(INDEX(T_NOMBRE,MATCH(V935,T_RUTN,0)),"⚠ RUT no está en Trabajadores"))</f>
        <v/>
      </c>
      <c r="E935" s="61"/>
      <c r="F935" s="61"/>
      <c r="G935" s="61"/>
      <c r="H935" s="61"/>
      <c r="I935" s="81"/>
      <c r="J935" s="81"/>
      <c r="K935" s="60"/>
      <c r="L935" s="60"/>
      <c r="M935" s="60"/>
      <c r="N935" s="60"/>
      <c r="O935" s="60"/>
      <c r="P935" s="60"/>
      <c r="Q935" s="60"/>
      <c r="R935" s="58"/>
      <c r="S935" s="62" t="str">
        <f aca="false">IF(OR(B935="",V935=""),"",IFERROR(INDEX(C_TIPO,MATCH(V935&amp;"-P"&amp;MAX(1,COUNTIFS(C_RUTN,V935,C_DEF,"Sí",C_INI,"&lt;="&amp;EOMONTH(B935,0))),C_CLAVE,0))&amp;"","Sin contrato"))</f>
        <v/>
      </c>
      <c r="T935" s="63" t="str">
        <f aca="false">IF(OR(B935="",N(O935)=0),"",N(O935)+ROUND(MIN(N(N935),TOPE_UF*UF_MES)*(TASA_EMP+MUTUAL),0)+ROUND(MIN(N(N935),TOPE_AFC_UF*UF_MES)*IF(S935="Indefinido",AFC_INDEF,AFC_PF),0))</f>
        <v/>
      </c>
      <c r="U935" s="62" t="str">
        <f aca="false">IF(C935="","",IF(LEFT(D935,1)="⚠","⚠ RUT no registrado en Trabajadores",IF(B935="","⚠ Falta el mes",IF(OR(ISTEXT(I935),ISTEXT(J935)),"⚠ Atrasos u horas extra como texto: escriba hh:mm (ej. 1:30)",IF(AND(ISNUMBER(Q935),COUNTIFS(M_RUTN,V935,M_MES,B935,M_LIQ,"&lt;&gt;")&gt;1),"⚠ Liquidación repetida en el mes",IF(AND(ISNUMBER(O935),ISNUMBER(P935),ISNUMBER(Q935),ABS(O935-P935-Q935)&gt;1),"⚠ Haberes − descuentos no da el líquido","OK"))))))</f>
        <v/>
      </c>
      <c r="V935" s="62" t="str">
        <f aca="false">IF(C935="","",IFERROR(VALUE(LEFT(UPPER(SUBSTITUTE(SUBSTITUTE(SUBSTITUTE(TRIM(C935),".",""),"-","")," ","")),LEN(UPPER(SUBSTITUTE(SUBSTITUTE(SUBSTITUTE(TRIM(C935),".",""),"-","")," ","")))-1))&amp;RIGHT(UPPER(SUBSTITUTE(SUBSTITUTE(SUBSTITUTE(TRIM(C935),".",""),"-","")," ","")),1),UPPER(SUBSTITUTE(SUBSTITUTE(SUBSTITUTE(TRIM(C935),".",""),"-","")," ",""))))</f>
        <v/>
      </c>
    </row>
    <row r="936" customFormat="false" ht="15" hidden="false" customHeight="false" outlineLevel="0" collapsed="false">
      <c r="B936" s="80"/>
      <c r="C936" s="58"/>
      <c r="D936" s="62" t="str">
        <f aca="false">IF(C936="","",IFERROR(INDEX(T_NOMBRE,MATCH(V936,T_RUTN,0)),"⚠ RUT no está en Trabajadores"))</f>
        <v/>
      </c>
      <c r="E936" s="61"/>
      <c r="F936" s="61"/>
      <c r="G936" s="61"/>
      <c r="H936" s="61"/>
      <c r="I936" s="81"/>
      <c r="J936" s="81"/>
      <c r="K936" s="60"/>
      <c r="L936" s="60"/>
      <c r="M936" s="60"/>
      <c r="N936" s="60"/>
      <c r="O936" s="60"/>
      <c r="P936" s="60"/>
      <c r="Q936" s="60"/>
      <c r="R936" s="58"/>
      <c r="S936" s="62" t="str">
        <f aca="false">IF(OR(B936="",V936=""),"",IFERROR(INDEX(C_TIPO,MATCH(V936&amp;"-P"&amp;MAX(1,COUNTIFS(C_RUTN,V936,C_DEF,"Sí",C_INI,"&lt;="&amp;EOMONTH(B936,0))),C_CLAVE,0))&amp;"","Sin contrato"))</f>
        <v/>
      </c>
      <c r="T936" s="63" t="str">
        <f aca="false">IF(OR(B936="",N(O936)=0),"",N(O936)+ROUND(MIN(N(N936),TOPE_UF*UF_MES)*(TASA_EMP+MUTUAL),0)+ROUND(MIN(N(N936),TOPE_AFC_UF*UF_MES)*IF(S936="Indefinido",AFC_INDEF,AFC_PF),0))</f>
        <v/>
      </c>
      <c r="U936" s="62" t="str">
        <f aca="false">IF(C936="","",IF(LEFT(D936,1)="⚠","⚠ RUT no registrado en Trabajadores",IF(B936="","⚠ Falta el mes",IF(OR(ISTEXT(I936),ISTEXT(J936)),"⚠ Atrasos u horas extra como texto: escriba hh:mm (ej. 1:30)",IF(AND(ISNUMBER(Q936),COUNTIFS(M_RUTN,V936,M_MES,B936,M_LIQ,"&lt;&gt;")&gt;1),"⚠ Liquidación repetida en el mes",IF(AND(ISNUMBER(O936),ISNUMBER(P936),ISNUMBER(Q936),ABS(O936-P936-Q936)&gt;1),"⚠ Haberes − descuentos no da el líquido","OK"))))))</f>
        <v/>
      </c>
      <c r="V936" s="62" t="str">
        <f aca="false">IF(C936="","",IFERROR(VALUE(LEFT(UPPER(SUBSTITUTE(SUBSTITUTE(SUBSTITUTE(TRIM(C936),".",""),"-","")," ","")),LEN(UPPER(SUBSTITUTE(SUBSTITUTE(SUBSTITUTE(TRIM(C936),".",""),"-","")," ","")))-1))&amp;RIGHT(UPPER(SUBSTITUTE(SUBSTITUTE(SUBSTITUTE(TRIM(C936),".",""),"-","")," ","")),1),UPPER(SUBSTITUTE(SUBSTITUTE(SUBSTITUTE(TRIM(C936),".",""),"-","")," ",""))))</f>
        <v/>
      </c>
    </row>
    <row r="937" customFormat="false" ht="15" hidden="false" customHeight="false" outlineLevel="0" collapsed="false">
      <c r="B937" s="80"/>
      <c r="C937" s="58"/>
      <c r="D937" s="62" t="str">
        <f aca="false">IF(C937="","",IFERROR(INDEX(T_NOMBRE,MATCH(V937,T_RUTN,0)),"⚠ RUT no está en Trabajadores"))</f>
        <v/>
      </c>
      <c r="E937" s="61"/>
      <c r="F937" s="61"/>
      <c r="G937" s="61"/>
      <c r="H937" s="61"/>
      <c r="I937" s="81"/>
      <c r="J937" s="81"/>
      <c r="K937" s="60"/>
      <c r="L937" s="60"/>
      <c r="M937" s="60"/>
      <c r="N937" s="60"/>
      <c r="O937" s="60"/>
      <c r="P937" s="60"/>
      <c r="Q937" s="60"/>
      <c r="R937" s="58"/>
      <c r="S937" s="62" t="str">
        <f aca="false">IF(OR(B937="",V937=""),"",IFERROR(INDEX(C_TIPO,MATCH(V937&amp;"-P"&amp;MAX(1,COUNTIFS(C_RUTN,V937,C_DEF,"Sí",C_INI,"&lt;="&amp;EOMONTH(B937,0))),C_CLAVE,0))&amp;"","Sin contrato"))</f>
        <v/>
      </c>
      <c r="T937" s="63" t="str">
        <f aca="false">IF(OR(B937="",N(O937)=0),"",N(O937)+ROUND(MIN(N(N937),TOPE_UF*UF_MES)*(TASA_EMP+MUTUAL),0)+ROUND(MIN(N(N937),TOPE_AFC_UF*UF_MES)*IF(S937="Indefinido",AFC_INDEF,AFC_PF),0))</f>
        <v/>
      </c>
      <c r="U937" s="62" t="str">
        <f aca="false">IF(C937="","",IF(LEFT(D937,1)="⚠","⚠ RUT no registrado en Trabajadores",IF(B937="","⚠ Falta el mes",IF(OR(ISTEXT(I937),ISTEXT(J937)),"⚠ Atrasos u horas extra como texto: escriba hh:mm (ej. 1:30)",IF(AND(ISNUMBER(Q937),COUNTIFS(M_RUTN,V937,M_MES,B937,M_LIQ,"&lt;&gt;")&gt;1),"⚠ Liquidación repetida en el mes",IF(AND(ISNUMBER(O937),ISNUMBER(P937),ISNUMBER(Q937),ABS(O937-P937-Q937)&gt;1),"⚠ Haberes − descuentos no da el líquido","OK"))))))</f>
        <v/>
      </c>
      <c r="V937" s="62" t="str">
        <f aca="false">IF(C937="","",IFERROR(VALUE(LEFT(UPPER(SUBSTITUTE(SUBSTITUTE(SUBSTITUTE(TRIM(C937),".",""),"-","")," ","")),LEN(UPPER(SUBSTITUTE(SUBSTITUTE(SUBSTITUTE(TRIM(C937),".",""),"-","")," ","")))-1))&amp;RIGHT(UPPER(SUBSTITUTE(SUBSTITUTE(SUBSTITUTE(TRIM(C937),".",""),"-","")," ","")),1),UPPER(SUBSTITUTE(SUBSTITUTE(SUBSTITUTE(TRIM(C937),".",""),"-","")," ",""))))</f>
        <v/>
      </c>
    </row>
    <row r="938" customFormat="false" ht="15" hidden="false" customHeight="false" outlineLevel="0" collapsed="false">
      <c r="B938" s="80"/>
      <c r="C938" s="58"/>
      <c r="D938" s="62" t="str">
        <f aca="false">IF(C938="","",IFERROR(INDEX(T_NOMBRE,MATCH(V938,T_RUTN,0)),"⚠ RUT no está en Trabajadores"))</f>
        <v/>
      </c>
      <c r="E938" s="61"/>
      <c r="F938" s="61"/>
      <c r="G938" s="61"/>
      <c r="H938" s="61"/>
      <c r="I938" s="81"/>
      <c r="J938" s="81"/>
      <c r="K938" s="60"/>
      <c r="L938" s="60"/>
      <c r="M938" s="60"/>
      <c r="N938" s="60"/>
      <c r="O938" s="60"/>
      <c r="P938" s="60"/>
      <c r="Q938" s="60"/>
      <c r="R938" s="58"/>
      <c r="S938" s="62" t="str">
        <f aca="false">IF(OR(B938="",V938=""),"",IFERROR(INDEX(C_TIPO,MATCH(V938&amp;"-P"&amp;MAX(1,COUNTIFS(C_RUTN,V938,C_DEF,"Sí",C_INI,"&lt;="&amp;EOMONTH(B938,0))),C_CLAVE,0))&amp;"","Sin contrato"))</f>
        <v/>
      </c>
      <c r="T938" s="63" t="str">
        <f aca="false">IF(OR(B938="",N(O938)=0),"",N(O938)+ROUND(MIN(N(N938),TOPE_UF*UF_MES)*(TASA_EMP+MUTUAL),0)+ROUND(MIN(N(N938),TOPE_AFC_UF*UF_MES)*IF(S938="Indefinido",AFC_INDEF,AFC_PF),0))</f>
        <v/>
      </c>
      <c r="U938" s="62" t="str">
        <f aca="false">IF(C938="","",IF(LEFT(D938,1)="⚠","⚠ RUT no registrado en Trabajadores",IF(B938="","⚠ Falta el mes",IF(OR(ISTEXT(I938),ISTEXT(J938)),"⚠ Atrasos u horas extra como texto: escriba hh:mm (ej. 1:30)",IF(AND(ISNUMBER(Q938),COUNTIFS(M_RUTN,V938,M_MES,B938,M_LIQ,"&lt;&gt;")&gt;1),"⚠ Liquidación repetida en el mes",IF(AND(ISNUMBER(O938),ISNUMBER(P938),ISNUMBER(Q938),ABS(O938-P938-Q938)&gt;1),"⚠ Haberes − descuentos no da el líquido","OK"))))))</f>
        <v/>
      </c>
      <c r="V938" s="62" t="str">
        <f aca="false">IF(C938="","",IFERROR(VALUE(LEFT(UPPER(SUBSTITUTE(SUBSTITUTE(SUBSTITUTE(TRIM(C938),".",""),"-","")," ","")),LEN(UPPER(SUBSTITUTE(SUBSTITUTE(SUBSTITUTE(TRIM(C938),".",""),"-","")," ","")))-1))&amp;RIGHT(UPPER(SUBSTITUTE(SUBSTITUTE(SUBSTITUTE(TRIM(C938),".",""),"-","")," ","")),1),UPPER(SUBSTITUTE(SUBSTITUTE(SUBSTITUTE(TRIM(C938),".",""),"-","")," ",""))))</f>
        <v/>
      </c>
    </row>
    <row r="939" customFormat="false" ht="15" hidden="false" customHeight="false" outlineLevel="0" collapsed="false">
      <c r="B939" s="80"/>
      <c r="C939" s="58"/>
      <c r="D939" s="62" t="str">
        <f aca="false">IF(C939="","",IFERROR(INDEX(T_NOMBRE,MATCH(V939,T_RUTN,0)),"⚠ RUT no está en Trabajadores"))</f>
        <v/>
      </c>
      <c r="E939" s="61"/>
      <c r="F939" s="61"/>
      <c r="G939" s="61"/>
      <c r="H939" s="61"/>
      <c r="I939" s="81"/>
      <c r="J939" s="81"/>
      <c r="K939" s="60"/>
      <c r="L939" s="60"/>
      <c r="M939" s="60"/>
      <c r="N939" s="60"/>
      <c r="O939" s="60"/>
      <c r="P939" s="60"/>
      <c r="Q939" s="60"/>
      <c r="R939" s="58"/>
      <c r="S939" s="62" t="str">
        <f aca="false">IF(OR(B939="",V939=""),"",IFERROR(INDEX(C_TIPO,MATCH(V939&amp;"-P"&amp;MAX(1,COUNTIFS(C_RUTN,V939,C_DEF,"Sí",C_INI,"&lt;="&amp;EOMONTH(B939,0))),C_CLAVE,0))&amp;"","Sin contrato"))</f>
        <v/>
      </c>
      <c r="T939" s="63" t="str">
        <f aca="false">IF(OR(B939="",N(O939)=0),"",N(O939)+ROUND(MIN(N(N939),TOPE_UF*UF_MES)*(TASA_EMP+MUTUAL),0)+ROUND(MIN(N(N939),TOPE_AFC_UF*UF_MES)*IF(S939="Indefinido",AFC_INDEF,AFC_PF),0))</f>
        <v/>
      </c>
      <c r="U939" s="62" t="str">
        <f aca="false">IF(C939="","",IF(LEFT(D939,1)="⚠","⚠ RUT no registrado en Trabajadores",IF(B939="","⚠ Falta el mes",IF(OR(ISTEXT(I939),ISTEXT(J939)),"⚠ Atrasos u horas extra como texto: escriba hh:mm (ej. 1:30)",IF(AND(ISNUMBER(Q939),COUNTIFS(M_RUTN,V939,M_MES,B939,M_LIQ,"&lt;&gt;")&gt;1),"⚠ Liquidación repetida en el mes",IF(AND(ISNUMBER(O939),ISNUMBER(P939),ISNUMBER(Q939),ABS(O939-P939-Q939)&gt;1),"⚠ Haberes − descuentos no da el líquido","OK"))))))</f>
        <v/>
      </c>
      <c r="V939" s="62" t="str">
        <f aca="false">IF(C939="","",IFERROR(VALUE(LEFT(UPPER(SUBSTITUTE(SUBSTITUTE(SUBSTITUTE(TRIM(C939),".",""),"-","")," ","")),LEN(UPPER(SUBSTITUTE(SUBSTITUTE(SUBSTITUTE(TRIM(C939),".",""),"-","")," ","")))-1))&amp;RIGHT(UPPER(SUBSTITUTE(SUBSTITUTE(SUBSTITUTE(TRIM(C939),".",""),"-","")," ","")),1),UPPER(SUBSTITUTE(SUBSTITUTE(SUBSTITUTE(TRIM(C939),".",""),"-","")," ",""))))</f>
        <v/>
      </c>
    </row>
    <row r="940" customFormat="false" ht="15" hidden="false" customHeight="false" outlineLevel="0" collapsed="false">
      <c r="B940" s="80"/>
      <c r="C940" s="58"/>
      <c r="D940" s="62" t="str">
        <f aca="false">IF(C940="","",IFERROR(INDEX(T_NOMBRE,MATCH(V940,T_RUTN,0)),"⚠ RUT no está en Trabajadores"))</f>
        <v/>
      </c>
      <c r="E940" s="61"/>
      <c r="F940" s="61"/>
      <c r="G940" s="61"/>
      <c r="H940" s="61"/>
      <c r="I940" s="81"/>
      <c r="J940" s="81"/>
      <c r="K940" s="60"/>
      <c r="L940" s="60"/>
      <c r="M940" s="60"/>
      <c r="N940" s="60"/>
      <c r="O940" s="60"/>
      <c r="P940" s="60"/>
      <c r="Q940" s="60"/>
      <c r="R940" s="58"/>
      <c r="S940" s="62" t="str">
        <f aca="false">IF(OR(B940="",V940=""),"",IFERROR(INDEX(C_TIPO,MATCH(V940&amp;"-P"&amp;MAX(1,COUNTIFS(C_RUTN,V940,C_DEF,"Sí",C_INI,"&lt;="&amp;EOMONTH(B940,0))),C_CLAVE,0))&amp;"","Sin contrato"))</f>
        <v/>
      </c>
      <c r="T940" s="63" t="str">
        <f aca="false">IF(OR(B940="",N(O940)=0),"",N(O940)+ROUND(MIN(N(N940),TOPE_UF*UF_MES)*(TASA_EMP+MUTUAL),0)+ROUND(MIN(N(N940),TOPE_AFC_UF*UF_MES)*IF(S940="Indefinido",AFC_INDEF,AFC_PF),0))</f>
        <v/>
      </c>
      <c r="U940" s="62" t="str">
        <f aca="false">IF(C940="","",IF(LEFT(D940,1)="⚠","⚠ RUT no registrado en Trabajadores",IF(B940="","⚠ Falta el mes",IF(OR(ISTEXT(I940),ISTEXT(J940)),"⚠ Atrasos u horas extra como texto: escriba hh:mm (ej. 1:30)",IF(AND(ISNUMBER(Q940),COUNTIFS(M_RUTN,V940,M_MES,B940,M_LIQ,"&lt;&gt;")&gt;1),"⚠ Liquidación repetida en el mes",IF(AND(ISNUMBER(O940),ISNUMBER(P940),ISNUMBER(Q940),ABS(O940-P940-Q940)&gt;1),"⚠ Haberes − descuentos no da el líquido","OK"))))))</f>
        <v/>
      </c>
      <c r="V940" s="62" t="str">
        <f aca="false">IF(C940="","",IFERROR(VALUE(LEFT(UPPER(SUBSTITUTE(SUBSTITUTE(SUBSTITUTE(TRIM(C940),".",""),"-","")," ","")),LEN(UPPER(SUBSTITUTE(SUBSTITUTE(SUBSTITUTE(TRIM(C940),".",""),"-","")," ","")))-1))&amp;RIGHT(UPPER(SUBSTITUTE(SUBSTITUTE(SUBSTITUTE(TRIM(C940),".",""),"-","")," ","")),1),UPPER(SUBSTITUTE(SUBSTITUTE(SUBSTITUTE(TRIM(C940),".",""),"-","")," ",""))))</f>
        <v/>
      </c>
    </row>
    <row r="941" customFormat="false" ht="15" hidden="false" customHeight="false" outlineLevel="0" collapsed="false">
      <c r="B941" s="80"/>
      <c r="C941" s="58"/>
      <c r="D941" s="62" t="str">
        <f aca="false">IF(C941="","",IFERROR(INDEX(T_NOMBRE,MATCH(V941,T_RUTN,0)),"⚠ RUT no está en Trabajadores"))</f>
        <v/>
      </c>
      <c r="E941" s="61"/>
      <c r="F941" s="61"/>
      <c r="G941" s="61"/>
      <c r="H941" s="61"/>
      <c r="I941" s="81"/>
      <c r="J941" s="81"/>
      <c r="K941" s="60"/>
      <c r="L941" s="60"/>
      <c r="M941" s="60"/>
      <c r="N941" s="60"/>
      <c r="O941" s="60"/>
      <c r="P941" s="60"/>
      <c r="Q941" s="60"/>
      <c r="R941" s="58"/>
      <c r="S941" s="62" t="str">
        <f aca="false">IF(OR(B941="",V941=""),"",IFERROR(INDEX(C_TIPO,MATCH(V941&amp;"-P"&amp;MAX(1,COUNTIFS(C_RUTN,V941,C_DEF,"Sí",C_INI,"&lt;="&amp;EOMONTH(B941,0))),C_CLAVE,0))&amp;"","Sin contrato"))</f>
        <v/>
      </c>
      <c r="T941" s="63" t="str">
        <f aca="false">IF(OR(B941="",N(O941)=0),"",N(O941)+ROUND(MIN(N(N941),TOPE_UF*UF_MES)*(TASA_EMP+MUTUAL),0)+ROUND(MIN(N(N941),TOPE_AFC_UF*UF_MES)*IF(S941="Indefinido",AFC_INDEF,AFC_PF),0))</f>
        <v/>
      </c>
      <c r="U941" s="62" t="str">
        <f aca="false">IF(C941="","",IF(LEFT(D941,1)="⚠","⚠ RUT no registrado en Trabajadores",IF(B941="","⚠ Falta el mes",IF(OR(ISTEXT(I941),ISTEXT(J941)),"⚠ Atrasos u horas extra como texto: escriba hh:mm (ej. 1:30)",IF(AND(ISNUMBER(Q941),COUNTIFS(M_RUTN,V941,M_MES,B941,M_LIQ,"&lt;&gt;")&gt;1),"⚠ Liquidación repetida en el mes",IF(AND(ISNUMBER(O941),ISNUMBER(P941),ISNUMBER(Q941),ABS(O941-P941-Q941)&gt;1),"⚠ Haberes − descuentos no da el líquido","OK"))))))</f>
        <v/>
      </c>
      <c r="V941" s="62" t="str">
        <f aca="false">IF(C941="","",IFERROR(VALUE(LEFT(UPPER(SUBSTITUTE(SUBSTITUTE(SUBSTITUTE(TRIM(C941),".",""),"-","")," ","")),LEN(UPPER(SUBSTITUTE(SUBSTITUTE(SUBSTITUTE(TRIM(C941),".",""),"-","")," ","")))-1))&amp;RIGHT(UPPER(SUBSTITUTE(SUBSTITUTE(SUBSTITUTE(TRIM(C941),".",""),"-","")," ","")),1),UPPER(SUBSTITUTE(SUBSTITUTE(SUBSTITUTE(TRIM(C941),".",""),"-","")," ",""))))</f>
        <v/>
      </c>
    </row>
    <row r="942" customFormat="false" ht="15" hidden="false" customHeight="false" outlineLevel="0" collapsed="false">
      <c r="B942" s="80"/>
      <c r="C942" s="58"/>
      <c r="D942" s="62" t="str">
        <f aca="false">IF(C942="","",IFERROR(INDEX(T_NOMBRE,MATCH(V942,T_RUTN,0)),"⚠ RUT no está en Trabajadores"))</f>
        <v/>
      </c>
      <c r="E942" s="61"/>
      <c r="F942" s="61"/>
      <c r="G942" s="61"/>
      <c r="H942" s="61"/>
      <c r="I942" s="81"/>
      <c r="J942" s="81"/>
      <c r="K942" s="60"/>
      <c r="L942" s="60"/>
      <c r="M942" s="60"/>
      <c r="N942" s="60"/>
      <c r="O942" s="60"/>
      <c r="P942" s="60"/>
      <c r="Q942" s="60"/>
      <c r="R942" s="58"/>
      <c r="S942" s="62" t="str">
        <f aca="false">IF(OR(B942="",V942=""),"",IFERROR(INDEX(C_TIPO,MATCH(V942&amp;"-P"&amp;MAX(1,COUNTIFS(C_RUTN,V942,C_DEF,"Sí",C_INI,"&lt;="&amp;EOMONTH(B942,0))),C_CLAVE,0))&amp;"","Sin contrato"))</f>
        <v/>
      </c>
      <c r="T942" s="63" t="str">
        <f aca="false">IF(OR(B942="",N(O942)=0),"",N(O942)+ROUND(MIN(N(N942),TOPE_UF*UF_MES)*(TASA_EMP+MUTUAL),0)+ROUND(MIN(N(N942),TOPE_AFC_UF*UF_MES)*IF(S942="Indefinido",AFC_INDEF,AFC_PF),0))</f>
        <v/>
      </c>
      <c r="U942" s="62" t="str">
        <f aca="false">IF(C942="","",IF(LEFT(D942,1)="⚠","⚠ RUT no registrado en Trabajadores",IF(B942="","⚠ Falta el mes",IF(OR(ISTEXT(I942),ISTEXT(J942)),"⚠ Atrasos u horas extra como texto: escriba hh:mm (ej. 1:30)",IF(AND(ISNUMBER(Q942),COUNTIFS(M_RUTN,V942,M_MES,B942,M_LIQ,"&lt;&gt;")&gt;1),"⚠ Liquidación repetida en el mes",IF(AND(ISNUMBER(O942),ISNUMBER(P942),ISNUMBER(Q942),ABS(O942-P942-Q942)&gt;1),"⚠ Haberes − descuentos no da el líquido","OK"))))))</f>
        <v/>
      </c>
      <c r="V942" s="62" t="str">
        <f aca="false">IF(C942="","",IFERROR(VALUE(LEFT(UPPER(SUBSTITUTE(SUBSTITUTE(SUBSTITUTE(TRIM(C942),".",""),"-","")," ","")),LEN(UPPER(SUBSTITUTE(SUBSTITUTE(SUBSTITUTE(TRIM(C942),".",""),"-","")," ","")))-1))&amp;RIGHT(UPPER(SUBSTITUTE(SUBSTITUTE(SUBSTITUTE(TRIM(C942),".",""),"-","")," ","")),1),UPPER(SUBSTITUTE(SUBSTITUTE(SUBSTITUTE(TRIM(C942),".",""),"-","")," ",""))))</f>
        <v/>
      </c>
    </row>
    <row r="943" customFormat="false" ht="15" hidden="false" customHeight="false" outlineLevel="0" collapsed="false">
      <c r="B943" s="80"/>
      <c r="C943" s="58"/>
      <c r="D943" s="62" t="str">
        <f aca="false">IF(C943="","",IFERROR(INDEX(T_NOMBRE,MATCH(V943,T_RUTN,0)),"⚠ RUT no está en Trabajadores"))</f>
        <v/>
      </c>
      <c r="E943" s="61"/>
      <c r="F943" s="61"/>
      <c r="G943" s="61"/>
      <c r="H943" s="61"/>
      <c r="I943" s="81"/>
      <c r="J943" s="81"/>
      <c r="K943" s="60"/>
      <c r="L943" s="60"/>
      <c r="M943" s="60"/>
      <c r="N943" s="60"/>
      <c r="O943" s="60"/>
      <c r="P943" s="60"/>
      <c r="Q943" s="60"/>
      <c r="R943" s="58"/>
      <c r="S943" s="62" t="str">
        <f aca="false">IF(OR(B943="",V943=""),"",IFERROR(INDEX(C_TIPO,MATCH(V943&amp;"-P"&amp;MAX(1,COUNTIFS(C_RUTN,V943,C_DEF,"Sí",C_INI,"&lt;="&amp;EOMONTH(B943,0))),C_CLAVE,0))&amp;"","Sin contrato"))</f>
        <v/>
      </c>
      <c r="T943" s="63" t="str">
        <f aca="false">IF(OR(B943="",N(O943)=0),"",N(O943)+ROUND(MIN(N(N943),TOPE_UF*UF_MES)*(TASA_EMP+MUTUAL),0)+ROUND(MIN(N(N943),TOPE_AFC_UF*UF_MES)*IF(S943="Indefinido",AFC_INDEF,AFC_PF),0))</f>
        <v/>
      </c>
      <c r="U943" s="62" t="str">
        <f aca="false">IF(C943="","",IF(LEFT(D943,1)="⚠","⚠ RUT no registrado en Trabajadores",IF(B943="","⚠ Falta el mes",IF(OR(ISTEXT(I943),ISTEXT(J943)),"⚠ Atrasos u horas extra como texto: escriba hh:mm (ej. 1:30)",IF(AND(ISNUMBER(Q943),COUNTIFS(M_RUTN,V943,M_MES,B943,M_LIQ,"&lt;&gt;")&gt;1),"⚠ Liquidación repetida en el mes",IF(AND(ISNUMBER(O943),ISNUMBER(P943),ISNUMBER(Q943),ABS(O943-P943-Q943)&gt;1),"⚠ Haberes − descuentos no da el líquido","OK"))))))</f>
        <v/>
      </c>
      <c r="V943" s="62" t="str">
        <f aca="false">IF(C943="","",IFERROR(VALUE(LEFT(UPPER(SUBSTITUTE(SUBSTITUTE(SUBSTITUTE(TRIM(C943),".",""),"-","")," ","")),LEN(UPPER(SUBSTITUTE(SUBSTITUTE(SUBSTITUTE(TRIM(C943),".",""),"-","")," ","")))-1))&amp;RIGHT(UPPER(SUBSTITUTE(SUBSTITUTE(SUBSTITUTE(TRIM(C943),".",""),"-","")," ","")),1),UPPER(SUBSTITUTE(SUBSTITUTE(SUBSTITUTE(TRIM(C943),".",""),"-","")," ",""))))</f>
        <v/>
      </c>
    </row>
    <row r="944" customFormat="false" ht="15" hidden="false" customHeight="false" outlineLevel="0" collapsed="false">
      <c r="B944" s="80"/>
      <c r="C944" s="58"/>
      <c r="D944" s="62" t="str">
        <f aca="false">IF(C944="","",IFERROR(INDEX(T_NOMBRE,MATCH(V944,T_RUTN,0)),"⚠ RUT no está en Trabajadores"))</f>
        <v/>
      </c>
      <c r="E944" s="61"/>
      <c r="F944" s="61"/>
      <c r="G944" s="61"/>
      <c r="H944" s="61"/>
      <c r="I944" s="81"/>
      <c r="J944" s="81"/>
      <c r="K944" s="60"/>
      <c r="L944" s="60"/>
      <c r="M944" s="60"/>
      <c r="N944" s="60"/>
      <c r="O944" s="60"/>
      <c r="P944" s="60"/>
      <c r="Q944" s="60"/>
      <c r="R944" s="58"/>
      <c r="S944" s="62" t="str">
        <f aca="false">IF(OR(B944="",V944=""),"",IFERROR(INDEX(C_TIPO,MATCH(V944&amp;"-P"&amp;MAX(1,COUNTIFS(C_RUTN,V944,C_DEF,"Sí",C_INI,"&lt;="&amp;EOMONTH(B944,0))),C_CLAVE,0))&amp;"","Sin contrato"))</f>
        <v/>
      </c>
      <c r="T944" s="63" t="str">
        <f aca="false">IF(OR(B944="",N(O944)=0),"",N(O944)+ROUND(MIN(N(N944),TOPE_UF*UF_MES)*(TASA_EMP+MUTUAL),0)+ROUND(MIN(N(N944),TOPE_AFC_UF*UF_MES)*IF(S944="Indefinido",AFC_INDEF,AFC_PF),0))</f>
        <v/>
      </c>
      <c r="U944" s="62" t="str">
        <f aca="false">IF(C944="","",IF(LEFT(D944,1)="⚠","⚠ RUT no registrado en Trabajadores",IF(B944="","⚠ Falta el mes",IF(OR(ISTEXT(I944),ISTEXT(J944)),"⚠ Atrasos u horas extra como texto: escriba hh:mm (ej. 1:30)",IF(AND(ISNUMBER(Q944),COUNTIFS(M_RUTN,V944,M_MES,B944,M_LIQ,"&lt;&gt;")&gt;1),"⚠ Liquidación repetida en el mes",IF(AND(ISNUMBER(O944),ISNUMBER(P944),ISNUMBER(Q944),ABS(O944-P944-Q944)&gt;1),"⚠ Haberes − descuentos no da el líquido","OK"))))))</f>
        <v/>
      </c>
      <c r="V944" s="62" t="str">
        <f aca="false">IF(C944="","",IFERROR(VALUE(LEFT(UPPER(SUBSTITUTE(SUBSTITUTE(SUBSTITUTE(TRIM(C944),".",""),"-","")," ","")),LEN(UPPER(SUBSTITUTE(SUBSTITUTE(SUBSTITUTE(TRIM(C944),".",""),"-","")," ","")))-1))&amp;RIGHT(UPPER(SUBSTITUTE(SUBSTITUTE(SUBSTITUTE(TRIM(C944),".",""),"-","")," ","")),1),UPPER(SUBSTITUTE(SUBSTITUTE(SUBSTITUTE(TRIM(C944),".",""),"-","")," ",""))))</f>
        <v/>
      </c>
    </row>
    <row r="945" customFormat="false" ht="15" hidden="false" customHeight="false" outlineLevel="0" collapsed="false">
      <c r="B945" s="80"/>
      <c r="C945" s="58"/>
      <c r="D945" s="62" t="str">
        <f aca="false">IF(C945="","",IFERROR(INDEX(T_NOMBRE,MATCH(V945,T_RUTN,0)),"⚠ RUT no está en Trabajadores"))</f>
        <v/>
      </c>
      <c r="E945" s="61"/>
      <c r="F945" s="61"/>
      <c r="G945" s="61"/>
      <c r="H945" s="61"/>
      <c r="I945" s="81"/>
      <c r="J945" s="81"/>
      <c r="K945" s="60"/>
      <c r="L945" s="60"/>
      <c r="M945" s="60"/>
      <c r="N945" s="60"/>
      <c r="O945" s="60"/>
      <c r="P945" s="60"/>
      <c r="Q945" s="60"/>
      <c r="R945" s="58"/>
      <c r="S945" s="62" t="str">
        <f aca="false">IF(OR(B945="",V945=""),"",IFERROR(INDEX(C_TIPO,MATCH(V945&amp;"-P"&amp;MAX(1,COUNTIFS(C_RUTN,V945,C_DEF,"Sí",C_INI,"&lt;="&amp;EOMONTH(B945,0))),C_CLAVE,0))&amp;"","Sin contrato"))</f>
        <v/>
      </c>
      <c r="T945" s="63" t="str">
        <f aca="false">IF(OR(B945="",N(O945)=0),"",N(O945)+ROUND(MIN(N(N945),TOPE_UF*UF_MES)*(TASA_EMP+MUTUAL),0)+ROUND(MIN(N(N945),TOPE_AFC_UF*UF_MES)*IF(S945="Indefinido",AFC_INDEF,AFC_PF),0))</f>
        <v/>
      </c>
      <c r="U945" s="62" t="str">
        <f aca="false">IF(C945="","",IF(LEFT(D945,1)="⚠","⚠ RUT no registrado en Trabajadores",IF(B945="","⚠ Falta el mes",IF(OR(ISTEXT(I945),ISTEXT(J945)),"⚠ Atrasos u horas extra como texto: escriba hh:mm (ej. 1:30)",IF(AND(ISNUMBER(Q945),COUNTIFS(M_RUTN,V945,M_MES,B945,M_LIQ,"&lt;&gt;")&gt;1),"⚠ Liquidación repetida en el mes",IF(AND(ISNUMBER(O945),ISNUMBER(P945),ISNUMBER(Q945),ABS(O945-P945-Q945)&gt;1),"⚠ Haberes − descuentos no da el líquido","OK"))))))</f>
        <v/>
      </c>
      <c r="V945" s="62" t="str">
        <f aca="false">IF(C945="","",IFERROR(VALUE(LEFT(UPPER(SUBSTITUTE(SUBSTITUTE(SUBSTITUTE(TRIM(C945),".",""),"-","")," ","")),LEN(UPPER(SUBSTITUTE(SUBSTITUTE(SUBSTITUTE(TRIM(C945),".",""),"-","")," ","")))-1))&amp;RIGHT(UPPER(SUBSTITUTE(SUBSTITUTE(SUBSTITUTE(TRIM(C945),".",""),"-","")," ","")),1),UPPER(SUBSTITUTE(SUBSTITUTE(SUBSTITUTE(TRIM(C945),".",""),"-","")," ",""))))</f>
        <v/>
      </c>
    </row>
    <row r="946" customFormat="false" ht="15" hidden="false" customHeight="false" outlineLevel="0" collapsed="false">
      <c r="B946" s="80"/>
      <c r="C946" s="58"/>
      <c r="D946" s="62" t="str">
        <f aca="false">IF(C946="","",IFERROR(INDEX(T_NOMBRE,MATCH(V946,T_RUTN,0)),"⚠ RUT no está en Trabajadores"))</f>
        <v/>
      </c>
      <c r="E946" s="61"/>
      <c r="F946" s="61"/>
      <c r="G946" s="61"/>
      <c r="H946" s="61"/>
      <c r="I946" s="81"/>
      <c r="J946" s="81"/>
      <c r="K946" s="60"/>
      <c r="L946" s="60"/>
      <c r="M946" s="60"/>
      <c r="N946" s="60"/>
      <c r="O946" s="60"/>
      <c r="P946" s="60"/>
      <c r="Q946" s="60"/>
      <c r="R946" s="58"/>
      <c r="S946" s="62" t="str">
        <f aca="false">IF(OR(B946="",V946=""),"",IFERROR(INDEX(C_TIPO,MATCH(V946&amp;"-P"&amp;MAX(1,COUNTIFS(C_RUTN,V946,C_DEF,"Sí",C_INI,"&lt;="&amp;EOMONTH(B946,0))),C_CLAVE,0))&amp;"","Sin contrato"))</f>
        <v/>
      </c>
      <c r="T946" s="63" t="str">
        <f aca="false">IF(OR(B946="",N(O946)=0),"",N(O946)+ROUND(MIN(N(N946),TOPE_UF*UF_MES)*(TASA_EMP+MUTUAL),0)+ROUND(MIN(N(N946),TOPE_AFC_UF*UF_MES)*IF(S946="Indefinido",AFC_INDEF,AFC_PF),0))</f>
        <v/>
      </c>
      <c r="U946" s="62" t="str">
        <f aca="false">IF(C946="","",IF(LEFT(D946,1)="⚠","⚠ RUT no registrado en Trabajadores",IF(B946="","⚠ Falta el mes",IF(OR(ISTEXT(I946),ISTEXT(J946)),"⚠ Atrasos u horas extra como texto: escriba hh:mm (ej. 1:30)",IF(AND(ISNUMBER(Q946),COUNTIFS(M_RUTN,V946,M_MES,B946,M_LIQ,"&lt;&gt;")&gt;1),"⚠ Liquidación repetida en el mes",IF(AND(ISNUMBER(O946),ISNUMBER(P946),ISNUMBER(Q946),ABS(O946-P946-Q946)&gt;1),"⚠ Haberes − descuentos no da el líquido","OK"))))))</f>
        <v/>
      </c>
      <c r="V946" s="62" t="str">
        <f aca="false">IF(C946="","",IFERROR(VALUE(LEFT(UPPER(SUBSTITUTE(SUBSTITUTE(SUBSTITUTE(TRIM(C946),".",""),"-","")," ","")),LEN(UPPER(SUBSTITUTE(SUBSTITUTE(SUBSTITUTE(TRIM(C946),".",""),"-","")," ","")))-1))&amp;RIGHT(UPPER(SUBSTITUTE(SUBSTITUTE(SUBSTITUTE(TRIM(C946),".",""),"-","")," ","")),1),UPPER(SUBSTITUTE(SUBSTITUTE(SUBSTITUTE(TRIM(C946),".",""),"-","")," ",""))))</f>
        <v/>
      </c>
    </row>
    <row r="947" customFormat="false" ht="15" hidden="false" customHeight="false" outlineLevel="0" collapsed="false">
      <c r="B947" s="80"/>
      <c r="C947" s="58"/>
      <c r="D947" s="62" t="str">
        <f aca="false">IF(C947="","",IFERROR(INDEX(T_NOMBRE,MATCH(V947,T_RUTN,0)),"⚠ RUT no está en Trabajadores"))</f>
        <v/>
      </c>
      <c r="E947" s="61"/>
      <c r="F947" s="61"/>
      <c r="G947" s="61"/>
      <c r="H947" s="61"/>
      <c r="I947" s="81"/>
      <c r="J947" s="81"/>
      <c r="K947" s="60"/>
      <c r="L947" s="60"/>
      <c r="M947" s="60"/>
      <c r="N947" s="60"/>
      <c r="O947" s="60"/>
      <c r="P947" s="60"/>
      <c r="Q947" s="60"/>
      <c r="R947" s="58"/>
      <c r="S947" s="62" t="str">
        <f aca="false">IF(OR(B947="",V947=""),"",IFERROR(INDEX(C_TIPO,MATCH(V947&amp;"-P"&amp;MAX(1,COUNTIFS(C_RUTN,V947,C_DEF,"Sí",C_INI,"&lt;="&amp;EOMONTH(B947,0))),C_CLAVE,0))&amp;"","Sin contrato"))</f>
        <v/>
      </c>
      <c r="T947" s="63" t="str">
        <f aca="false">IF(OR(B947="",N(O947)=0),"",N(O947)+ROUND(MIN(N(N947),TOPE_UF*UF_MES)*(TASA_EMP+MUTUAL),0)+ROUND(MIN(N(N947),TOPE_AFC_UF*UF_MES)*IF(S947="Indefinido",AFC_INDEF,AFC_PF),0))</f>
        <v/>
      </c>
      <c r="U947" s="62" t="str">
        <f aca="false">IF(C947="","",IF(LEFT(D947,1)="⚠","⚠ RUT no registrado en Trabajadores",IF(B947="","⚠ Falta el mes",IF(OR(ISTEXT(I947),ISTEXT(J947)),"⚠ Atrasos u horas extra como texto: escriba hh:mm (ej. 1:30)",IF(AND(ISNUMBER(Q947),COUNTIFS(M_RUTN,V947,M_MES,B947,M_LIQ,"&lt;&gt;")&gt;1),"⚠ Liquidación repetida en el mes",IF(AND(ISNUMBER(O947),ISNUMBER(P947),ISNUMBER(Q947),ABS(O947-P947-Q947)&gt;1),"⚠ Haberes − descuentos no da el líquido","OK"))))))</f>
        <v/>
      </c>
      <c r="V947" s="62" t="str">
        <f aca="false">IF(C947="","",IFERROR(VALUE(LEFT(UPPER(SUBSTITUTE(SUBSTITUTE(SUBSTITUTE(TRIM(C947),".",""),"-","")," ","")),LEN(UPPER(SUBSTITUTE(SUBSTITUTE(SUBSTITUTE(TRIM(C947),".",""),"-","")," ","")))-1))&amp;RIGHT(UPPER(SUBSTITUTE(SUBSTITUTE(SUBSTITUTE(TRIM(C947),".",""),"-","")," ","")),1),UPPER(SUBSTITUTE(SUBSTITUTE(SUBSTITUTE(TRIM(C947),".",""),"-","")," ",""))))</f>
        <v/>
      </c>
    </row>
    <row r="948" customFormat="false" ht="15" hidden="false" customHeight="false" outlineLevel="0" collapsed="false">
      <c r="B948" s="80"/>
      <c r="C948" s="58"/>
      <c r="D948" s="62" t="str">
        <f aca="false">IF(C948="","",IFERROR(INDEX(T_NOMBRE,MATCH(V948,T_RUTN,0)),"⚠ RUT no está en Trabajadores"))</f>
        <v/>
      </c>
      <c r="E948" s="61"/>
      <c r="F948" s="61"/>
      <c r="G948" s="61"/>
      <c r="H948" s="61"/>
      <c r="I948" s="81"/>
      <c r="J948" s="81"/>
      <c r="K948" s="60"/>
      <c r="L948" s="60"/>
      <c r="M948" s="60"/>
      <c r="N948" s="60"/>
      <c r="O948" s="60"/>
      <c r="P948" s="60"/>
      <c r="Q948" s="60"/>
      <c r="R948" s="58"/>
      <c r="S948" s="62" t="str">
        <f aca="false">IF(OR(B948="",V948=""),"",IFERROR(INDEX(C_TIPO,MATCH(V948&amp;"-P"&amp;MAX(1,COUNTIFS(C_RUTN,V948,C_DEF,"Sí",C_INI,"&lt;="&amp;EOMONTH(B948,0))),C_CLAVE,0))&amp;"","Sin contrato"))</f>
        <v/>
      </c>
      <c r="T948" s="63" t="str">
        <f aca="false">IF(OR(B948="",N(O948)=0),"",N(O948)+ROUND(MIN(N(N948),TOPE_UF*UF_MES)*(TASA_EMP+MUTUAL),0)+ROUND(MIN(N(N948),TOPE_AFC_UF*UF_MES)*IF(S948="Indefinido",AFC_INDEF,AFC_PF),0))</f>
        <v/>
      </c>
      <c r="U948" s="62" t="str">
        <f aca="false">IF(C948="","",IF(LEFT(D948,1)="⚠","⚠ RUT no registrado en Trabajadores",IF(B948="","⚠ Falta el mes",IF(OR(ISTEXT(I948),ISTEXT(J948)),"⚠ Atrasos u horas extra como texto: escriba hh:mm (ej. 1:30)",IF(AND(ISNUMBER(Q948),COUNTIFS(M_RUTN,V948,M_MES,B948,M_LIQ,"&lt;&gt;")&gt;1),"⚠ Liquidación repetida en el mes",IF(AND(ISNUMBER(O948),ISNUMBER(P948),ISNUMBER(Q948),ABS(O948-P948-Q948)&gt;1),"⚠ Haberes − descuentos no da el líquido","OK"))))))</f>
        <v/>
      </c>
      <c r="V948" s="62" t="str">
        <f aca="false">IF(C948="","",IFERROR(VALUE(LEFT(UPPER(SUBSTITUTE(SUBSTITUTE(SUBSTITUTE(TRIM(C948),".",""),"-","")," ","")),LEN(UPPER(SUBSTITUTE(SUBSTITUTE(SUBSTITUTE(TRIM(C948),".",""),"-","")," ","")))-1))&amp;RIGHT(UPPER(SUBSTITUTE(SUBSTITUTE(SUBSTITUTE(TRIM(C948),".",""),"-","")," ","")),1),UPPER(SUBSTITUTE(SUBSTITUTE(SUBSTITUTE(TRIM(C948),".",""),"-","")," ",""))))</f>
        <v/>
      </c>
    </row>
    <row r="949" customFormat="false" ht="15" hidden="false" customHeight="false" outlineLevel="0" collapsed="false">
      <c r="B949" s="80"/>
      <c r="C949" s="58"/>
      <c r="D949" s="62" t="str">
        <f aca="false">IF(C949="","",IFERROR(INDEX(T_NOMBRE,MATCH(V949,T_RUTN,0)),"⚠ RUT no está en Trabajadores"))</f>
        <v/>
      </c>
      <c r="E949" s="61"/>
      <c r="F949" s="61"/>
      <c r="G949" s="61"/>
      <c r="H949" s="61"/>
      <c r="I949" s="81"/>
      <c r="J949" s="81"/>
      <c r="K949" s="60"/>
      <c r="L949" s="60"/>
      <c r="M949" s="60"/>
      <c r="N949" s="60"/>
      <c r="O949" s="60"/>
      <c r="P949" s="60"/>
      <c r="Q949" s="60"/>
      <c r="R949" s="58"/>
      <c r="S949" s="62" t="str">
        <f aca="false">IF(OR(B949="",V949=""),"",IFERROR(INDEX(C_TIPO,MATCH(V949&amp;"-P"&amp;MAX(1,COUNTIFS(C_RUTN,V949,C_DEF,"Sí",C_INI,"&lt;="&amp;EOMONTH(B949,0))),C_CLAVE,0))&amp;"","Sin contrato"))</f>
        <v/>
      </c>
      <c r="T949" s="63" t="str">
        <f aca="false">IF(OR(B949="",N(O949)=0),"",N(O949)+ROUND(MIN(N(N949),TOPE_UF*UF_MES)*(TASA_EMP+MUTUAL),0)+ROUND(MIN(N(N949),TOPE_AFC_UF*UF_MES)*IF(S949="Indefinido",AFC_INDEF,AFC_PF),0))</f>
        <v/>
      </c>
      <c r="U949" s="62" t="str">
        <f aca="false">IF(C949="","",IF(LEFT(D949,1)="⚠","⚠ RUT no registrado en Trabajadores",IF(B949="","⚠ Falta el mes",IF(OR(ISTEXT(I949),ISTEXT(J949)),"⚠ Atrasos u horas extra como texto: escriba hh:mm (ej. 1:30)",IF(AND(ISNUMBER(Q949),COUNTIFS(M_RUTN,V949,M_MES,B949,M_LIQ,"&lt;&gt;")&gt;1),"⚠ Liquidación repetida en el mes",IF(AND(ISNUMBER(O949),ISNUMBER(P949),ISNUMBER(Q949),ABS(O949-P949-Q949)&gt;1),"⚠ Haberes − descuentos no da el líquido","OK"))))))</f>
        <v/>
      </c>
      <c r="V949" s="62" t="str">
        <f aca="false">IF(C949="","",IFERROR(VALUE(LEFT(UPPER(SUBSTITUTE(SUBSTITUTE(SUBSTITUTE(TRIM(C949),".",""),"-","")," ","")),LEN(UPPER(SUBSTITUTE(SUBSTITUTE(SUBSTITUTE(TRIM(C949),".",""),"-","")," ","")))-1))&amp;RIGHT(UPPER(SUBSTITUTE(SUBSTITUTE(SUBSTITUTE(TRIM(C949),".",""),"-","")," ","")),1),UPPER(SUBSTITUTE(SUBSTITUTE(SUBSTITUTE(TRIM(C949),".",""),"-","")," ",""))))</f>
        <v/>
      </c>
    </row>
    <row r="950" customFormat="false" ht="15" hidden="false" customHeight="false" outlineLevel="0" collapsed="false">
      <c r="B950" s="80"/>
      <c r="C950" s="58"/>
      <c r="D950" s="62" t="str">
        <f aca="false">IF(C950="","",IFERROR(INDEX(T_NOMBRE,MATCH(V950,T_RUTN,0)),"⚠ RUT no está en Trabajadores"))</f>
        <v/>
      </c>
      <c r="E950" s="61"/>
      <c r="F950" s="61"/>
      <c r="G950" s="61"/>
      <c r="H950" s="61"/>
      <c r="I950" s="81"/>
      <c r="J950" s="81"/>
      <c r="K950" s="60"/>
      <c r="L950" s="60"/>
      <c r="M950" s="60"/>
      <c r="N950" s="60"/>
      <c r="O950" s="60"/>
      <c r="P950" s="60"/>
      <c r="Q950" s="60"/>
      <c r="R950" s="58"/>
      <c r="S950" s="62" t="str">
        <f aca="false">IF(OR(B950="",V950=""),"",IFERROR(INDEX(C_TIPO,MATCH(V950&amp;"-P"&amp;MAX(1,COUNTIFS(C_RUTN,V950,C_DEF,"Sí",C_INI,"&lt;="&amp;EOMONTH(B950,0))),C_CLAVE,0))&amp;"","Sin contrato"))</f>
        <v/>
      </c>
      <c r="T950" s="63" t="str">
        <f aca="false">IF(OR(B950="",N(O950)=0),"",N(O950)+ROUND(MIN(N(N950),TOPE_UF*UF_MES)*(TASA_EMP+MUTUAL),0)+ROUND(MIN(N(N950),TOPE_AFC_UF*UF_MES)*IF(S950="Indefinido",AFC_INDEF,AFC_PF),0))</f>
        <v/>
      </c>
      <c r="U950" s="62" t="str">
        <f aca="false">IF(C950="","",IF(LEFT(D950,1)="⚠","⚠ RUT no registrado en Trabajadores",IF(B950="","⚠ Falta el mes",IF(OR(ISTEXT(I950),ISTEXT(J950)),"⚠ Atrasos u horas extra como texto: escriba hh:mm (ej. 1:30)",IF(AND(ISNUMBER(Q950),COUNTIFS(M_RUTN,V950,M_MES,B950,M_LIQ,"&lt;&gt;")&gt;1),"⚠ Liquidación repetida en el mes",IF(AND(ISNUMBER(O950),ISNUMBER(P950),ISNUMBER(Q950),ABS(O950-P950-Q950)&gt;1),"⚠ Haberes − descuentos no da el líquido","OK"))))))</f>
        <v/>
      </c>
      <c r="V950" s="62" t="str">
        <f aca="false">IF(C950="","",IFERROR(VALUE(LEFT(UPPER(SUBSTITUTE(SUBSTITUTE(SUBSTITUTE(TRIM(C950),".",""),"-","")," ","")),LEN(UPPER(SUBSTITUTE(SUBSTITUTE(SUBSTITUTE(TRIM(C950),".",""),"-","")," ","")))-1))&amp;RIGHT(UPPER(SUBSTITUTE(SUBSTITUTE(SUBSTITUTE(TRIM(C950),".",""),"-","")," ","")),1),UPPER(SUBSTITUTE(SUBSTITUTE(SUBSTITUTE(TRIM(C950),".",""),"-","")," ",""))))</f>
        <v/>
      </c>
    </row>
    <row r="951" customFormat="false" ht="15" hidden="false" customHeight="false" outlineLevel="0" collapsed="false">
      <c r="B951" s="80"/>
      <c r="C951" s="58"/>
      <c r="D951" s="62" t="str">
        <f aca="false">IF(C951="","",IFERROR(INDEX(T_NOMBRE,MATCH(V951,T_RUTN,0)),"⚠ RUT no está en Trabajadores"))</f>
        <v/>
      </c>
      <c r="E951" s="61"/>
      <c r="F951" s="61"/>
      <c r="G951" s="61"/>
      <c r="H951" s="61"/>
      <c r="I951" s="81"/>
      <c r="J951" s="81"/>
      <c r="K951" s="60"/>
      <c r="L951" s="60"/>
      <c r="M951" s="60"/>
      <c r="N951" s="60"/>
      <c r="O951" s="60"/>
      <c r="P951" s="60"/>
      <c r="Q951" s="60"/>
      <c r="R951" s="58"/>
      <c r="S951" s="62" t="str">
        <f aca="false">IF(OR(B951="",V951=""),"",IFERROR(INDEX(C_TIPO,MATCH(V951&amp;"-P"&amp;MAX(1,COUNTIFS(C_RUTN,V951,C_DEF,"Sí",C_INI,"&lt;="&amp;EOMONTH(B951,0))),C_CLAVE,0))&amp;"","Sin contrato"))</f>
        <v/>
      </c>
      <c r="T951" s="63" t="str">
        <f aca="false">IF(OR(B951="",N(O951)=0),"",N(O951)+ROUND(MIN(N(N951),TOPE_UF*UF_MES)*(TASA_EMP+MUTUAL),0)+ROUND(MIN(N(N951),TOPE_AFC_UF*UF_MES)*IF(S951="Indefinido",AFC_INDEF,AFC_PF),0))</f>
        <v/>
      </c>
      <c r="U951" s="62" t="str">
        <f aca="false">IF(C951="","",IF(LEFT(D951,1)="⚠","⚠ RUT no registrado en Trabajadores",IF(B951="","⚠ Falta el mes",IF(OR(ISTEXT(I951),ISTEXT(J951)),"⚠ Atrasos u horas extra como texto: escriba hh:mm (ej. 1:30)",IF(AND(ISNUMBER(Q951),COUNTIFS(M_RUTN,V951,M_MES,B951,M_LIQ,"&lt;&gt;")&gt;1),"⚠ Liquidación repetida en el mes",IF(AND(ISNUMBER(O951),ISNUMBER(P951),ISNUMBER(Q951),ABS(O951-P951-Q951)&gt;1),"⚠ Haberes − descuentos no da el líquido","OK"))))))</f>
        <v/>
      </c>
      <c r="V951" s="62" t="str">
        <f aca="false">IF(C951="","",IFERROR(VALUE(LEFT(UPPER(SUBSTITUTE(SUBSTITUTE(SUBSTITUTE(TRIM(C951),".",""),"-","")," ","")),LEN(UPPER(SUBSTITUTE(SUBSTITUTE(SUBSTITUTE(TRIM(C951),".",""),"-","")," ","")))-1))&amp;RIGHT(UPPER(SUBSTITUTE(SUBSTITUTE(SUBSTITUTE(TRIM(C951),".",""),"-","")," ","")),1),UPPER(SUBSTITUTE(SUBSTITUTE(SUBSTITUTE(TRIM(C951),".",""),"-","")," ",""))))</f>
        <v/>
      </c>
    </row>
    <row r="952" customFormat="false" ht="15" hidden="false" customHeight="false" outlineLevel="0" collapsed="false">
      <c r="B952" s="80"/>
      <c r="C952" s="58"/>
      <c r="D952" s="62" t="str">
        <f aca="false">IF(C952="","",IFERROR(INDEX(T_NOMBRE,MATCH(V952,T_RUTN,0)),"⚠ RUT no está en Trabajadores"))</f>
        <v/>
      </c>
      <c r="E952" s="61"/>
      <c r="F952" s="61"/>
      <c r="G952" s="61"/>
      <c r="H952" s="61"/>
      <c r="I952" s="81"/>
      <c r="J952" s="81"/>
      <c r="K952" s="60"/>
      <c r="L952" s="60"/>
      <c r="M952" s="60"/>
      <c r="N952" s="60"/>
      <c r="O952" s="60"/>
      <c r="P952" s="60"/>
      <c r="Q952" s="60"/>
      <c r="R952" s="58"/>
      <c r="S952" s="62" t="str">
        <f aca="false">IF(OR(B952="",V952=""),"",IFERROR(INDEX(C_TIPO,MATCH(V952&amp;"-P"&amp;MAX(1,COUNTIFS(C_RUTN,V952,C_DEF,"Sí",C_INI,"&lt;="&amp;EOMONTH(B952,0))),C_CLAVE,0))&amp;"","Sin contrato"))</f>
        <v/>
      </c>
      <c r="T952" s="63" t="str">
        <f aca="false">IF(OR(B952="",N(O952)=0),"",N(O952)+ROUND(MIN(N(N952),TOPE_UF*UF_MES)*(TASA_EMP+MUTUAL),0)+ROUND(MIN(N(N952),TOPE_AFC_UF*UF_MES)*IF(S952="Indefinido",AFC_INDEF,AFC_PF),0))</f>
        <v/>
      </c>
      <c r="U952" s="62" t="str">
        <f aca="false">IF(C952="","",IF(LEFT(D952,1)="⚠","⚠ RUT no registrado en Trabajadores",IF(B952="","⚠ Falta el mes",IF(OR(ISTEXT(I952),ISTEXT(J952)),"⚠ Atrasos u horas extra como texto: escriba hh:mm (ej. 1:30)",IF(AND(ISNUMBER(Q952),COUNTIFS(M_RUTN,V952,M_MES,B952,M_LIQ,"&lt;&gt;")&gt;1),"⚠ Liquidación repetida en el mes",IF(AND(ISNUMBER(O952),ISNUMBER(P952),ISNUMBER(Q952),ABS(O952-P952-Q952)&gt;1),"⚠ Haberes − descuentos no da el líquido","OK"))))))</f>
        <v/>
      </c>
      <c r="V952" s="62" t="str">
        <f aca="false">IF(C952="","",IFERROR(VALUE(LEFT(UPPER(SUBSTITUTE(SUBSTITUTE(SUBSTITUTE(TRIM(C952),".",""),"-","")," ","")),LEN(UPPER(SUBSTITUTE(SUBSTITUTE(SUBSTITUTE(TRIM(C952),".",""),"-","")," ","")))-1))&amp;RIGHT(UPPER(SUBSTITUTE(SUBSTITUTE(SUBSTITUTE(TRIM(C952),".",""),"-","")," ","")),1),UPPER(SUBSTITUTE(SUBSTITUTE(SUBSTITUTE(TRIM(C952),".",""),"-","")," ",""))))</f>
        <v/>
      </c>
    </row>
    <row r="953" customFormat="false" ht="15" hidden="false" customHeight="false" outlineLevel="0" collapsed="false">
      <c r="B953" s="80"/>
      <c r="C953" s="58"/>
      <c r="D953" s="62" t="str">
        <f aca="false">IF(C953="","",IFERROR(INDEX(T_NOMBRE,MATCH(V953,T_RUTN,0)),"⚠ RUT no está en Trabajadores"))</f>
        <v/>
      </c>
      <c r="E953" s="61"/>
      <c r="F953" s="61"/>
      <c r="G953" s="61"/>
      <c r="H953" s="61"/>
      <c r="I953" s="81"/>
      <c r="J953" s="81"/>
      <c r="K953" s="60"/>
      <c r="L953" s="60"/>
      <c r="M953" s="60"/>
      <c r="N953" s="60"/>
      <c r="O953" s="60"/>
      <c r="P953" s="60"/>
      <c r="Q953" s="60"/>
      <c r="R953" s="58"/>
      <c r="S953" s="62" t="str">
        <f aca="false">IF(OR(B953="",V953=""),"",IFERROR(INDEX(C_TIPO,MATCH(V953&amp;"-P"&amp;MAX(1,COUNTIFS(C_RUTN,V953,C_DEF,"Sí",C_INI,"&lt;="&amp;EOMONTH(B953,0))),C_CLAVE,0))&amp;"","Sin contrato"))</f>
        <v/>
      </c>
      <c r="T953" s="63" t="str">
        <f aca="false">IF(OR(B953="",N(O953)=0),"",N(O953)+ROUND(MIN(N(N953),TOPE_UF*UF_MES)*(TASA_EMP+MUTUAL),0)+ROUND(MIN(N(N953),TOPE_AFC_UF*UF_MES)*IF(S953="Indefinido",AFC_INDEF,AFC_PF),0))</f>
        <v/>
      </c>
      <c r="U953" s="62" t="str">
        <f aca="false">IF(C953="","",IF(LEFT(D953,1)="⚠","⚠ RUT no registrado en Trabajadores",IF(B953="","⚠ Falta el mes",IF(OR(ISTEXT(I953),ISTEXT(J953)),"⚠ Atrasos u horas extra como texto: escriba hh:mm (ej. 1:30)",IF(AND(ISNUMBER(Q953),COUNTIFS(M_RUTN,V953,M_MES,B953,M_LIQ,"&lt;&gt;")&gt;1),"⚠ Liquidación repetida en el mes",IF(AND(ISNUMBER(O953),ISNUMBER(P953),ISNUMBER(Q953),ABS(O953-P953-Q953)&gt;1),"⚠ Haberes − descuentos no da el líquido","OK"))))))</f>
        <v/>
      </c>
      <c r="V953" s="62" t="str">
        <f aca="false">IF(C953="","",IFERROR(VALUE(LEFT(UPPER(SUBSTITUTE(SUBSTITUTE(SUBSTITUTE(TRIM(C953),".",""),"-","")," ","")),LEN(UPPER(SUBSTITUTE(SUBSTITUTE(SUBSTITUTE(TRIM(C953),".",""),"-","")," ","")))-1))&amp;RIGHT(UPPER(SUBSTITUTE(SUBSTITUTE(SUBSTITUTE(TRIM(C953),".",""),"-","")," ","")),1),UPPER(SUBSTITUTE(SUBSTITUTE(SUBSTITUTE(TRIM(C953),".",""),"-","")," ",""))))</f>
        <v/>
      </c>
    </row>
    <row r="954" customFormat="false" ht="15" hidden="false" customHeight="false" outlineLevel="0" collapsed="false">
      <c r="B954" s="80"/>
      <c r="C954" s="58"/>
      <c r="D954" s="62" t="str">
        <f aca="false">IF(C954="","",IFERROR(INDEX(T_NOMBRE,MATCH(V954,T_RUTN,0)),"⚠ RUT no está en Trabajadores"))</f>
        <v/>
      </c>
      <c r="E954" s="61"/>
      <c r="F954" s="61"/>
      <c r="G954" s="61"/>
      <c r="H954" s="61"/>
      <c r="I954" s="81"/>
      <c r="J954" s="81"/>
      <c r="K954" s="60"/>
      <c r="L954" s="60"/>
      <c r="M954" s="60"/>
      <c r="N954" s="60"/>
      <c r="O954" s="60"/>
      <c r="P954" s="60"/>
      <c r="Q954" s="60"/>
      <c r="R954" s="58"/>
      <c r="S954" s="62" t="str">
        <f aca="false">IF(OR(B954="",V954=""),"",IFERROR(INDEX(C_TIPO,MATCH(V954&amp;"-P"&amp;MAX(1,COUNTIFS(C_RUTN,V954,C_DEF,"Sí",C_INI,"&lt;="&amp;EOMONTH(B954,0))),C_CLAVE,0))&amp;"","Sin contrato"))</f>
        <v/>
      </c>
      <c r="T954" s="63" t="str">
        <f aca="false">IF(OR(B954="",N(O954)=0),"",N(O954)+ROUND(MIN(N(N954),TOPE_UF*UF_MES)*(TASA_EMP+MUTUAL),0)+ROUND(MIN(N(N954),TOPE_AFC_UF*UF_MES)*IF(S954="Indefinido",AFC_INDEF,AFC_PF),0))</f>
        <v/>
      </c>
      <c r="U954" s="62" t="str">
        <f aca="false">IF(C954="","",IF(LEFT(D954,1)="⚠","⚠ RUT no registrado en Trabajadores",IF(B954="","⚠ Falta el mes",IF(OR(ISTEXT(I954),ISTEXT(J954)),"⚠ Atrasos u horas extra como texto: escriba hh:mm (ej. 1:30)",IF(AND(ISNUMBER(Q954),COUNTIFS(M_RUTN,V954,M_MES,B954,M_LIQ,"&lt;&gt;")&gt;1),"⚠ Liquidación repetida en el mes",IF(AND(ISNUMBER(O954),ISNUMBER(P954),ISNUMBER(Q954),ABS(O954-P954-Q954)&gt;1),"⚠ Haberes − descuentos no da el líquido","OK"))))))</f>
        <v/>
      </c>
      <c r="V954" s="62" t="str">
        <f aca="false">IF(C954="","",IFERROR(VALUE(LEFT(UPPER(SUBSTITUTE(SUBSTITUTE(SUBSTITUTE(TRIM(C954),".",""),"-","")," ","")),LEN(UPPER(SUBSTITUTE(SUBSTITUTE(SUBSTITUTE(TRIM(C954),".",""),"-","")," ","")))-1))&amp;RIGHT(UPPER(SUBSTITUTE(SUBSTITUTE(SUBSTITUTE(TRIM(C954),".",""),"-","")," ","")),1),UPPER(SUBSTITUTE(SUBSTITUTE(SUBSTITUTE(TRIM(C954),".",""),"-","")," ",""))))</f>
        <v/>
      </c>
    </row>
    <row r="955" customFormat="false" ht="15" hidden="false" customHeight="false" outlineLevel="0" collapsed="false">
      <c r="B955" s="80"/>
      <c r="C955" s="58"/>
      <c r="D955" s="62" t="str">
        <f aca="false">IF(C955="","",IFERROR(INDEX(T_NOMBRE,MATCH(V955,T_RUTN,0)),"⚠ RUT no está en Trabajadores"))</f>
        <v/>
      </c>
      <c r="E955" s="61"/>
      <c r="F955" s="61"/>
      <c r="G955" s="61"/>
      <c r="H955" s="61"/>
      <c r="I955" s="81"/>
      <c r="J955" s="81"/>
      <c r="K955" s="60"/>
      <c r="L955" s="60"/>
      <c r="M955" s="60"/>
      <c r="N955" s="60"/>
      <c r="O955" s="60"/>
      <c r="P955" s="60"/>
      <c r="Q955" s="60"/>
      <c r="R955" s="58"/>
      <c r="S955" s="62" t="str">
        <f aca="false">IF(OR(B955="",V955=""),"",IFERROR(INDEX(C_TIPO,MATCH(V955&amp;"-P"&amp;MAX(1,COUNTIFS(C_RUTN,V955,C_DEF,"Sí",C_INI,"&lt;="&amp;EOMONTH(B955,0))),C_CLAVE,0))&amp;"","Sin contrato"))</f>
        <v/>
      </c>
      <c r="T955" s="63" t="str">
        <f aca="false">IF(OR(B955="",N(O955)=0),"",N(O955)+ROUND(MIN(N(N955),TOPE_UF*UF_MES)*(TASA_EMP+MUTUAL),0)+ROUND(MIN(N(N955),TOPE_AFC_UF*UF_MES)*IF(S955="Indefinido",AFC_INDEF,AFC_PF),0))</f>
        <v/>
      </c>
      <c r="U955" s="62" t="str">
        <f aca="false">IF(C955="","",IF(LEFT(D955,1)="⚠","⚠ RUT no registrado en Trabajadores",IF(B955="","⚠ Falta el mes",IF(OR(ISTEXT(I955),ISTEXT(J955)),"⚠ Atrasos u horas extra como texto: escriba hh:mm (ej. 1:30)",IF(AND(ISNUMBER(Q955),COUNTIFS(M_RUTN,V955,M_MES,B955,M_LIQ,"&lt;&gt;")&gt;1),"⚠ Liquidación repetida en el mes",IF(AND(ISNUMBER(O955),ISNUMBER(P955),ISNUMBER(Q955),ABS(O955-P955-Q955)&gt;1),"⚠ Haberes − descuentos no da el líquido","OK"))))))</f>
        <v/>
      </c>
      <c r="V955" s="62" t="str">
        <f aca="false">IF(C955="","",IFERROR(VALUE(LEFT(UPPER(SUBSTITUTE(SUBSTITUTE(SUBSTITUTE(TRIM(C955),".",""),"-","")," ","")),LEN(UPPER(SUBSTITUTE(SUBSTITUTE(SUBSTITUTE(TRIM(C955),".",""),"-","")," ","")))-1))&amp;RIGHT(UPPER(SUBSTITUTE(SUBSTITUTE(SUBSTITUTE(TRIM(C955),".",""),"-","")," ","")),1),UPPER(SUBSTITUTE(SUBSTITUTE(SUBSTITUTE(TRIM(C955),".",""),"-","")," ",""))))</f>
        <v/>
      </c>
    </row>
    <row r="956" customFormat="false" ht="15" hidden="false" customHeight="false" outlineLevel="0" collapsed="false">
      <c r="B956" s="80"/>
      <c r="C956" s="58"/>
      <c r="D956" s="62" t="str">
        <f aca="false">IF(C956="","",IFERROR(INDEX(T_NOMBRE,MATCH(V956,T_RUTN,0)),"⚠ RUT no está en Trabajadores"))</f>
        <v/>
      </c>
      <c r="E956" s="61"/>
      <c r="F956" s="61"/>
      <c r="G956" s="61"/>
      <c r="H956" s="61"/>
      <c r="I956" s="81"/>
      <c r="J956" s="81"/>
      <c r="K956" s="60"/>
      <c r="L956" s="60"/>
      <c r="M956" s="60"/>
      <c r="N956" s="60"/>
      <c r="O956" s="60"/>
      <c r="P956" s="60"/>
      <c r="Q956" s="60"/>
      <c r="R956" s="58"/>
      <c r="S956" s="62" t="str">
        <f aca="false">IF(OR(B956="",V956=""),"",IFERROR(INDEX(C_TIPO,MATCH(V956&amp;"-P"&amp;MAX(1,COUNTIFS(C_RUTN,V956,C_DEF,"Sí",C_INI,"&lt;="&amp;EOMONTH(B956,0))),C_CLAVE,0))&amp;"","Sin contrato"))</f>
        <v/>
      </c>
      <c r="T956" s="63" t="str">
        <f aca="false">IF(OR(B956="",N(O956)=0),"",N(O956)+ROUND(MIN(N(N956),TOPE_UF*UF_MES)*(TASA_EMP+MUTUAL),0)+ROUND(MIN(N(N956),TOPE_AFC_UF*UF_MES)*IF(S956="Indefinido",AFC_INDEF,AFC_PF),0))</f>
        <v/>
      </c>
      <c r="U956" s="62" t="str">
        <f aca="false">IF(C956="","",IF(LEFT(D956,1)="⚠","⚠ RUT no registrado en Trabajadores",IF(B956="","⚠ Falta el mes",IF(OR(ISTEXT(I956),ISTEXT(J956)),"⚠ Atrasos u horas extra como texto: escriba hh:mm (ej. 1:30)",IF(AND(ISNUMBER(Q956),COUNTIFS(M_RUTN,V956,M_MES,B956,M_LIQ,"&lt;&gt;")&gt;1),"⚠ Liquidación repetida en el mes",IF(AND(ISNUMBER(O956),ISNUMBER(P956),ISNUMBER(Q956),ABS(O956-P956-Q956)&gt;1),"⚠ Haberes − descuentos no da el líquido","OK"))))))</f>
        <v/>
      </c>
      <c r="V956" s="62" t="str">
        <f aca="false">IF(C956="","",IFERROR(VALUE(LEFT(UPPER(SUBSTITUTE(SUBSTITUTE(SUBSTITUTE(TRIM(C956),".",""),"-","")," ","")),LEN(UPPER(SUBSTITUTE(SUBSTITUTE(SUBSTITUTE(TRIM(C956),".",""),"-","")," ","")))-1))&amp;RIGHT(UPPER(SUBSTITUTE(SUBSTITUTE(SUBSTITUTE(TRIM(C956),".",""),"-","")," ","")),1),UPPER(SUBSTITUTE(SUBSTITUTE(SUBSTITUTE(TRIM(C956),".",""),"-","")," ",""))))</f>
        <v/>
      </c>
    </row>
    <row r="957" customFormat="false" ht="15" hidden="false" customHeight="false" outlineLevel="0" collapsed="false">
      <c r="B957" s="80"/>
      <c r="C957" s="58"/>
      <c r="D957" s="62" t="str">
        <f aca="false">IF(C957="","",IFERROR(INDEX(T_NOMBRE,MATCH(V957,T_RUTN,0)),"⚠ RUT no está en Trabajadores"))</f>
        <v/>
      </c>
      <c r="E957" s="61"/>
      <c r="F957" s="61"/>
      <c r="G957" s="61"/>
      <c r="H957" s="61"/>
      <c r="I957" s="81"/>
      <c r="J957" s="81"/>
      <c r="K957" s="60"/>
      <c r="L957" s="60"/>
      <c r="M957" s="60"/>
      <c r="N957" s="60"/>
      <c r="O957" s="60"/>
      <c r="P957" s="60"/>
      <c r="Q957" s="60"/>
      <c r="R957" s="58"/>
      <c r="S957" s="62" t="str">
        <f aca="false">IF(OR(B957="",V957=""),"",IFERROR(INDEX(C_TIPO,MATCH(V957&amp;"-P"&amp;MAX(1,COUNTIFS(C_RUTN,V957,C_DEF,"Sí",C_INI,"&lt;="&amp;EOMONTH(B957,0))),C_CLAVE,0))&amp;"","Sin contrato"))</f>
        <v/>
      </c>
      <c r="T957" s="63" t="str">
        <f aca="false">IF(OR(B957="",N(O957)=0),"",N(O957)+ROUND(MIN(N(N957),TOPE_UF*UF_MES)*(TASA_EMP+MUTUAL),0)+ROUND(MIN(N(N957),TOPE_AFC_UF*UF_MES)*IF(S957="Indefinido",AFC_INDEF,AFC_PF),0))</f>
        <v/>
      </c>
      <c r="U957" s="62" t="str">
        <f aca="false">IF(C957="","",IF(LEFT(D957,1)="⚠","⚠ RUT no registrado en Trabajadores",IF(B957="","⚠ Falta el mes",IF(OR(ISTEXT(I957),ISTEXT(J957)),"⚠ Atrasos u horas extra como texto: escriba hh:mm (ej. 1:30)",IF(AND(ISNUMBER(Q957),COUNTIFS(M_RUTN,V957,M_MES,B957,M_LIQ,"&lt;&gt;")&gt;1),"⚠ Liquidación repetida en el mes",IF(AND(ISNUMBER(O957),ISNUMBER(P957),ISNUMBER(Q957),ABS(O957-P957-Q957)&gt;1),"⚠ Haberes − descuentos no da el líquido","OK"))))))</f>
        <v/>
      </c>
      <c r="V957" s="62" t="str">
        <f aca="false">IF(C957="","",IFERROR(VALUE(LEFT(UPPER(SUBSTITUTE(SUBSTITUTE(SUBSTITUTE(TRIM(C957),".",""),"-","")," ","")),LEN(UPPER(SUBSTITUTE(SUBSTITUTE(SUBSTITUTE(TRIM(C957),".",""),"-","")," ","")))-1))&amp;RIGHT(UPPER(SUBSTITUTE(SUBSTITUTE(SUBSTITUTE(TRIM(C957),".",""),"-","")," ","")),1),UPPER(SUBSTITUTE(SUBSTITUTE(SUBSTITUTE(TRIM(C957),".",""),"-","")," ",""))))</f>
        <v/>
      </c>
    </row>
    <row r="958" customFormat="false" ht="15" hidden="false" customHeight="false" outlineLevel="0" collapsed="false">
      <c r="B958" s="80"/>
      <c r="C958" s="58"/>
      <c r="D958" s="62" t="str">
        <f aca="false">IF(C958="","",IFERROR(INDEX(T_NOMBRE,MATCH(V958,T_RUTN,0)),"⚠ RUT no está en Trabajadores"))</f>
        <v/>
      </c>
      <c r="E958" s="61"/>
      <c r="F958" s="61"/>
      <c r="G958" s="61"/>
      <c r="H958" s="61"/>
      <c r="I958" s="81"/>
      <c r="J958" s="81"/>
      <c r="K958" s="60"/>
      <c r="L958" s="60"/>
      <c r="M958" s="60"/>
      <c r="N958" s="60"/>
      <c r="O958" s="60"/>
      <c r="P958" s="60"/>
      <c r="Q958" s="60"/>
      <c r="R958" s="58"/>
      <c r="S958" s="62" t="str">
        <f aca="false">IF(OR(B958="",V958=""),"",IFERROR(INDEX(C_TIPO,MATCH(V958&amp;"-P"&amp;MAX(1,COUNTIFS(C_RUTN,V958,C_DEF,"Sí",C_INI,"&lt;="&amp;EOMONTH(B958,0))),C_CLAVE,0))&amp;"","Sin contrato"))</f>
        <v/>
      </c>
      <c r="T958" s="63" t="str">
        <f aca="false">IF(OR(B958="",N(O958)=0),"",N(O958)+ROUND(MIN(N(N958),TOPE_UF*UF_MES)*(TASA_EMP+MUTUAL),0)+ROUND(MIN(N(N958),TOPE_AFC_UF*UF_MES)*IF(S958="Indefinido",AFC_INDEF,AFC_PF),0))</f>
        <v/>
      </c>
      <c r="U958" s="62" t="str">
        <f aca="false">IF(C958="","",IF(LEFT(D958,1)="⚠","⚠ RUT no registrado en Trabajadores",IF(B958="","⚠ Falta el mes",IF(OR(ISTEXT(I958),ISTEXT(J958)),"⚠ Atrasos u horas extra como texto: escriba hh:mm (ej. 1:30)",IF(AND(ISNUMBER(Q958),COUNTIFS(M_RUTN,V958,M_MES,B958,M_LIQ,"&lt;&gt;")&gt;1),"⚠ Liquidación repetida en el mes",IF(AND(ISNUMBER(O958),ISNUMBER(P958),ISNUMBER(Q958),ABS(O958-P958-Q958)&gt;1),"⚠ Haberes − descuentos no da el líquido","OK"))))))</f>
        <v/>
      </c>
      <c r="V958" s="62" t="str">
        <f aca="false">IF(C958="","",IFERROR(VALUE(LEFT(UPPER(SUBSTITUTE(SUBSTITUTE(SUBSTITUTE(TRIM(C958),".",""),"-","")," ","")),LEN(UPPER(SUBSTITUTE(SUBSTITUTE(SUBSTITUTE(TRIM(C958),".",""),"-","")," ","")))-1))&amp;RIGHT(UPPER(SUBSTITUTE(SUBSTITUTE(SUBSTITUTE(TRIM(C958),".",""),"-","")," ","")),1),UPPER(SUBSTITUTE(SUBSTITUTE(SUBSTITUTE(TRIM(C958),".",""),"-","")," ",""))))</f>
        <v/>
      </c>
    </row>
    <row r="959" customFormat="false" ht="15" hidden="false" customHeight="false" outlineLevel="0" collapsed="false">
      <c r="B959" s="80"/>
      <c r="C959" s="58"/>
      <c r="D959" s="62" t="str">
        <f aca="false">IF(C959="","",IFERROR(INDEX(T_NOMBRE,MATCH(V959,T_RUTN,0)),"⚠ RUT no está en Trabajadores"))</f>
        <v/>
      </c>
      <c r="E959" s="61"/>
      <c r="F959" s="61"/>
      <c r="G959" s="61"/>
      <c r="H959" s="61"/>
      <c r="I959" s="81"/>
      <c r="J959" s="81"/>
      <c r="K959" s="60"/>
      <c r="L959" s="60"/>
      <c r="M959" s="60"/>
      <c r="N959" s="60"/>
      <c r="O959" s="60"/>
      <c r="P959" s="60"/>
      <c r="Q959" s="60"/>
      <c r="R959" s="58"/>
      <c r="S959" s="62" t="str">
        <f aca="false">IF(OR(B959="",V959=""),"",IFERROR(INDEX(C_TIPO,MATCH(V959&amp;"-P"&amp;MAX(1,COUNTIFS(C_RUTN,V959,C_DEF,"Sí",C_INI,"&lt;="&amp;EOMONTH(B959,0))),C_CLAVE,0))&amp;"","Sin contrato"))</f>
        <v/>
      </c>
      <c r="T959" s="63" t="str">
        <f aca="false">IF(OR(B959="",N(O959)=0),"",N(O959)+ROUND(MIN(N(N959),TOPE_UF*UF_MES)*(TASA_EMP+MUTUAL),0)+ROUND(MIN(N(N959),TOPE_AFC_UF*UF_MES)*IF(S959="Indefinido",AFC_INDEF,AFC_PF),0))</f>
        <v/>
      </c>
      <c r="U959" s="62" t="str">
        <f aca="false">IF(C959="","",IF(LEFT(D959,1)="⚠","⚠ RUT no registrado en Trabajadores",IF(B959="","⚠ Falta el mes",IF(OR(ISTEXT(I959),ISTEXT(J959)),"⚠ Atrasos u horas extra como texto: escriba hh:mm (ej. 1:30)",IF(AND(ISNUMBER(Q959),COUNTIFS(M_RUTN,V959,M_MES,B959,M_LIQ,"&lt;&gt;")&gt;1),"⚠ Liquidación repetida en el mes",IF(AND(ISNUMBER(O959),ISNUMBER(P959),ISNUMBER(Q959),ABS(O959-P959-Q959)&gt;1),"⚠ Haberes − descuentos no da el líquido","OK"))))))</f>
        <v/>
      </c>
      <c r="V959" s="62" t="str">
        <f aca="false">IF(C959="","",IFERROR(VALUE(LEFT(UPPER(SUBSTITUTE(SUBSTITUTE(SUBSTITUTE(TRIM(C959),".",""),"-","")," ","")),LEN(UPPER(SUBSTITUTE(SUBSTITUTE(SUBSTITUTE(TRIM(C959),".",""),"-","")," ","")))-1))&amp;RIGHT(UPPER(SUBSTITUTE(SUBSTITUTE(SUBSTITUTE(TRIM(C959),".",""),"-","")," ","")),1),UPPER(SUBSTITUTE(SUBSTITUTE(SUBSTITUTE(TRIM(C959),".",""),"-","")," ",""))))</f>
        <v/>
      </c>
    </row>
    <row r="960" customFormat="false" ht="15" hidden="false" customHeight="false" outlineLevel="0" collapsed="false">
      <c r="B960" s="80"/>
      <c r="C960" s="58"/>
      <c r="D960" s="62" t="str">
        <f aca="false">IF(C960="","",IFERROR(INDEX(T_NOMBRE,MATCH(V960,T_RUTN,0)),"⚠ RUT no está en Trabajadores"))</f>
        <v/>
      </c>
      <c r="E960" s="61"/>
      <c r="F960" s="61"/>
      <c r="G960" s="61"/>
      <c r="H960" s="61"/>
      <c r="I960" s="81"/>
      <c r="J960" s="81"/>
      <c r="K960" s="60"/>
      <c r="L960" s="60"/>
      <c r="M960" s="60"/>
      <c r="N960" s="60"/>
      <c r="O960" s="60"/>
      <c r="P960" s="60"/>
      <c r="Q960" s="60"/>
      <c r="R960" s="58"/>
      <c r="S960" s="62" t="str">
        <f aca="false">IF(OR(B960="",V960=""),"",IFERROR(INDEX(C_TIPO,MATCH(V960&amp;"-P"&amp;MAX(1,COUNTIFS(C_RUTN,V960,C_DEF,"Sí",C_INI,"&lt;="&amp;EOMONTH(B960,0))),C_CLAVE,0))&amp;"","Sin contrato"))</f>
        <v/>
      </c>
      <c r="T960" s="63" t="str">
        <f aca="false">IF(OR(B960="",N(O960)=0),"",N(O960)+ROUND(MIN(N(N960),TOPE_UF*UF_MES)*(TASA_EMP+MUTUAL),0)+ROUND(MIN(N(N960),TOPE_AFC_UF*UF_MES)*IF(S960="Indefinido",AFC_INDEF,AFC_PF),0))</f>
        <v/>
      </c>
      <c r="U960" s="62" t="str">
        <f aca="false">IF(C960="","",IF(LEFT(D960,1)="⚠","⚠ RUT no registrado en Trabajadores",IF(B960="","⚠ Falta el mes",IF(OR(ISTEXT(I960),ISTEXT(J960)),"⚠ Atrasos u horas extra como texto: escriba hh:mm (ej. 1:30)",IF(AND(ISNUMBER(Q960),COUNTIFS(M_RUTN,V960,M_MES,B960,M_LIQ,"&lt;&gt;")&gt;1),"⚠ Liquidación repetida en el mes",IF(AND(ISNUMBER(O960),ISNUMBER(P960),ISNUMBER(Q960),ABS(O960-P960-Q960)&gt;1),"⚠ Haberes − descuentos no da el líquido","OK"))))))</f>
        <v/>
      </c>
      <c r="V960" s="62" t="str">
        <f aca="false">IF(C960="","",IFERROR(VALUE(LEFT(UPPER(SUBSTITUTE(SUBSTITUTE(SUBSTITUTE(TRIM(C960),".",""),"-","")," ","")),LEN(UPPER(SUBSTITUTE(SUBSTITUTE(SUBSTITUTE(TRIM(C960),".",""),"-","")," ","")))-1))&amp;RIGHT(UPPER(SUBSTITUTE(SUBSTITUTE(SUBSTITUTE(TRIM(C960),".",""),"-","")," ","")),1),UPPER(SUBSTITUTE(SUBSTITUTE(SUBSTITUTE(TRIM(C960),".",""),"-","")," ",""))))</f>
        <v/>
      </c>
    </row>
    <row r="961" customFormat="false" ht="15" hidden="false" customHeight="false" outlineLevel="0" collapsed="false">
      <c r="B961" s="80"/>
      <c r="C961" s="58"/>
      <c r="D961" s="62" t="str">
        <f aca="false">IF(C961="","",IFERROR(INDEX(T_NOMBRE,MATCH(V961,T_RUTN,0)),"⚠ RUT no está en Trabajadores"))</f>
        <v/>
      </c>
      <c r="E961" s="61"/>
      <c r="F961" s="61"/>
      <c r="G961" s="61"/>
      <c r="H961" s="61"/>
      <c r="I961" s="81"/>
      <c r="J961" s="81"/>
      <c r="K961" s="60"/>
      <c r="L961" s="60"/>
      <c r="M961" s="60"/>
      <c r="N961" s="60"/>
      <c r="O961" s="60"/>
      <c r="P961" s="60"/>
      <c r="Q961" s="60"/>
      <c r="R961" s="58"/>
      <c r="S961" s="62" t="str">
        <f aca="false">IF(OR(B961="",V961=""),"",IFERROR(INDEX(C_TIPO,MATCH(V961&amp;"-P"&amp;MAX(1,COUNTIFS(C_RUTN,V961,C_DEF,"Sí",C_INI,"&lt;="&amp;EOMONTH(B961,0))),C_CLAVE,0))&amp;"","Sin contrato"))</f>
        <v/>
      </c>
      <c r="T961" s="63" t="str">
        <f aca="false">IF(OR(B961="",N(O961)=0),"",N(O961)+ROUND(MIN(N(N961),TOPE_UF*UF_MES)*(TASA_EMP+MUTUAL),0)+ROUND(MIN(N(N961),TOPE_AFC_UF*UF_MES)*IF(S961="Indefinido",AFC_INDEF,AFC_PF),0))</f>
        <v/>
      </c>
      <c r="U961" s="62" t="str">
        <f aca="false">IF(C961="","",IF(LEFT(D961,1)="⚠","⚠ RUT no registrado en Trabajadores",IF(B961="","⚠ Falta el mes",IF(OR(ISTEXT(I961),ISTEXT(J961)),"⚠ Atrasos u horas extra como texto: escriba hh:mm (ej. 1:30)",IF(AND(ISNUMBER(Q961),COUNTIFS(M_RUTN,V961,M_MES,B961,M_LIQ,"&lt;&gt;")&gt;1),"⚠ Liquidación repetida en el mes",IF(AND(ISNUMBER(O961),ISNUMBER(P961),ISNUMBER(Q961),ABS(O961-P961-Q961)&gt;1),"⚠ Haberes − descuentos no da el líquido","OK"))))))</f>
        <v/>
      </c>
      <c r="V961" s="62" t="str">
        <f aca="false">IF(C961="","",IFERROR(VALUE(LEFT(UPPER(SUBSTITUTE(SUBSTITUTE(SUBSTITUTE(TRIM(C961),".",""),"-","")," ","")),LEN(UPPER(SUBSTITUTE(SUBSTITUTE(SUBSTITUTE(TRIM(C961),".",""),"-","")," ","")))-1))&amp;RIGHT(UPPER(SUBSTITUTE(SUBSTITUTE(SUBSTITUTE(TRIM(C961),".",""),"-","")," ","")),1),UPPER(SUBSTITUTE(SUBSTITUTE(SUBSTITUTE(TRIM(C961),".",""),"-","")," ",""))))</f>
        <v/>
      </c>
    </row>
    <row r="962" customFormat="false" ht="15" hidden="false" customHeight="false" outlineLevel="0" collapsed="false">
      <c r="B962" s="80"/>
      <c r="C962" s="58"/>
      <c r="D962" s="62" t="str">
        <f aca="false">IF(C962="","",IFERROR(INDEX(T_NOMBRE,MATCH(V962,T_RUTN,0)),"⚠ RUT no está en Trabajadores"))</f>
        <v/>
      </c>
      <c r="E962" s="61"/>
      <c r="F962" s="61"/>
      <c r="G962" s="61"/>
      <c r="H962" s="61"/>
      <c r="I962" s="81"/>
      <c r="J962" s="81"/>
      <c r="K962" s="60"/>
      <c r="L962" s="60"/>
      <c r="M962" s="60"/>
      <c r="N962" s="60"/>
      <c r="O962" s="60"/>
      <c r="P962" s="60"/>
      <c r="Q962" s="60"/>
      <c r="R962" s="58"/>
      <c r="S962" s="62" t="str">
        <f aca="false">IF(OR(B962="",V962=""),"",IFERROR(INDEX(C_TIPO,MATCH(V962&amp;"-P"&amp;MAX(1,COUNTIFS(C_RUTN,V962,C_DEF,"Sí",C_INI,"&lt;="&amp;EOMONTH(B962,0))),C_CLAVE,0))&amp;"","Sin contrato"))</f>
        <v/>
      </c>
      <c r="T962" s="63" t="str">
        <f aca="false">IF(OR(B962="",N(O962)=0),"",N(O962)+ROUND(MIN(N(N962),TOPE_UF*UF_MES)*(TASA_EMP+MUTUAL),0)+ROUND(MIN(N(N962),TOPE_AFC_UF*UF_MES)*IF(S962="Indefinido",AFC_INDEF,AFC_PF),0))</f>
        <v/>
      </c>
      <c r="U962" s="62" t="str">
        <f aca="false">IF(C962="","",IF(LEFT(D962,1)="⚠","⚠ RUT no registrado en Trabajadores",IF(B962="","⚠ Falta el mes",IF(OR(ISTEXT(I962),ISTEXT(J962)),"⚠ Atrasos u horas extra como texto: escriba hh:mm (ej. 1:30)",IF(AND(ISNUMBER(Q962),COUNTIFS(M_RUTN,V962,M_MES,B962,M_LIQ,"&lt;&gt;")&gt;1),"⚠ Liquidación repetida en el mes",IF(AND(ISNUMBER(O962),ISNUMBER(P962),ISNUMBER(Q962),ABS(O962-P962-Q962)&gt;1),"⚠ Haberes − descuentos no da el líquido","OK"))))))</f>
        <v/>
      </c>
      <c r="V962" s="62" t="str">
        <f aca="false">IF(C962="","",IFERROR(VALUE(LEFT(UPPER(SUBSTITUTE(SUBSTITUTE(SUBSTITUTE(TRIM(C962),".",""),"-","")," ","")),LEN(UPPER(SUBSTITUTE(SUBSTITUTE(SUBSTITUTE(TRIM(C962),".",""),"-","")," ","")))-1))&amp;RIGHT(UPPER(SUBSTITUTE(SUBSTITUTE(SUBSTITUTE(TRIM(C962),".",""),"-","")," ","")),1),UPPER(SUBSTITUTE(SUBSTITUTE(SUBSTITUTE(TRIM(C962),".",""),"-","")," ",""))))</f>
        <v/>
      </c>
    </row>
    <row r="963" customFormat="false" ht="15" hidden="false" customHeight="false" outlineLevel="0" collapsed="false">
      <c r="B963" s="80"/>
      <c r="C963" s="58"/>
      <c r="D963" s="62" t="str">
        <f aca="false">IF(C963="","",IFERROR(INDEX(T_NOMBRE,MATCH(V963,T_RUTN,0)),"⚠ RUT no está en Trabajadores"))</f>
        <v/>
      </c>
      <c r="E963" s="61"/>
      <c r="F963" s="61"/>
      <c r="G963" s="61"/>
      <c r="H963" s="61"/>
      <c r="I963" s="81"/>
      <c r="J963" s="81"/>
      <c r="K963" s="60"/>
      <c r="L963" s="60"/>
      <c r="M963" s="60"/>
      <c r="N963" s="60"/>
      <c r="O963" s="60"/>
      <c r="P963" s="60"/>
      <c r="Q963" s="60"/>
      <c r="R963" s="58"/>
      <c r="S963" s="62" t="str">
        <f aca="false">IF(OR(B963="",V963=""),"",IFERROR(INDEX(C_TIPO,MATCH(V963&amp;"-P"&amp;MAX(1,COUNTIFS(C_RUTN,V963,C_DEF,"Sí",C_INI,"&lt;="&amp;EOMONTH(B963,0))),C_CLAVE,0))&amp;"","Sin contrato"))</f>
        <v/>
      </c>
      <c r="T963" s="63" t="str">
        <f aca="false">IF(OR(B963="",N(O963)=0),"",N(O963)+ROUND(MIN(N(N963),TOPE_UF*UF_MES)*(TASA_EMP+MUTUAL),0)+ROUND(MIN(N(N963),TOPE_AFC_UF*UF_MES)*IF(S963="Indefinido",AFC_INDEF,AFC_PF),0))</f>
        <v/>
      </c>
      <c r="U963" s="62" t="str">
        <f aca="false">IF(C963="","",IF(LEFT(D963,1)="⚠","⚠ RUT no registrado en Trabajadores",IF(B963="","⚠ Falta el mes",IF(OR(ISTEXT(I963),ISTEXT(J963)),"⚠ Atrasos u horas extra como texto: escriba hh:mm (ej. 1:30)",IF(AND(ISNUMBER(Q963),COUNTIFS(M_RUTN,V963,M_MES,B963,M_LIQ,"&lt;&gt;")&gt;1),"⚠ Liquidación repetida en el mes",IF(AND(ISNUMBER(O963),ISNUMBER(P963),ISNUMBER(Q963),ABS(O963-P963-Q963)&gt;1),"⚠ Haberes − descuentos no da el líquido","OK"))))))</f>
        <v/>
      </c>
      <c r="V963" s="62" t="str">
        <f aca="false">IF(C963="","",IFERROR(VALUE(LEFT(UPPER(SUBSTITUTE(SUBSTITUTE(SUBSTITUTE(TRIM(C963),".",""),"-","")," ","")),LEN(UPPER(SUBSTITUTE(SUBSTITUTE(SUBSTITUTE(TRIM(C963),".",""),"-","")," ","")))-1))&amp;RIGHT(UPPER(SUBSTITUTE(SUBSTITUTE(SUBSTITUTE(TRIM(C963),".",""),"-","")," ","")),1),UPPER(SUBSTITUTE(SUBSTITUTE(SUBSTITUTE(TRIM(C963),".",""),"-","")," ",""))))</f>
        <v/>
      </c>
    </row>
    <row r="964" customFormat="false" ht="15" hidden="false" customHeight="false" outlineLevel="0" collapsed="false">
      <c r="B964" s="80"/>
      <c r="C964" s="58"/>
      <c r="D964" s="62" t="str">
        <f aca="false">IF(C964="","",IFERROR(INDEX(T_NOMBRE,MATCH(V964,T_RUTN,0)),"⚠ RUT no está en Trabajadores"))</f>
        <v/>
      </c>
      <c r="E964" s="61"/>
      <c r="F964" s="61"/>
      <c r="G964" s="61"/>
      <c r="H964" s="61"/>
      <c r="I964" s="81"/>
      <c r="J964" s="81"/>
      <c r="K964" s="60"/>
      <c r="L964" s="60"/>
      <c r="M964" s="60"/>
      <c r="N964" s="60"/>
      <c r="O964" s="60"/>
      <c r="P964" s="60"/>
      <c r="Q964" s="60"/>
      <c r="R964" s="58"/>
      <c r="S964" s="62" t="str">
        <f aca="false">IF(OR(B964="",V964=""),"",IFERROR(INDEX(C_TIPO,MATCH(V964&amp;"-P"&amp;MAX(1,COUNTIFS(C_RUTN,V964,C_DEF,"Sí",C_INI,"&lt;="&amp;EOMONTH(B964,0))),C_CLAVE,0))&amp;"","Sin contrato"))</f>
        <v/>
      </c>
      <c r="T964" s="63" t="str">
        <f aca="false">IF(OR(B964="",N(O964)=0),"",N(O964)+ROUND(MIN(N(N964),TOPE_UF*UF_MES)*(TASA_EMP+MUTUAL),0)+ROUND(MIN(N(N964),TOPE_AFC_UF*UF_MES)*IF(S964="Indefinido",AFC_INDEF,AFC_PF),0))</f>
        <v/>
      </c>
      <c r="U964" s="62" t="str">
        <f aca="false">IF(C964="","",IF(LEFT(D964,1)="⚠","⚠ RUT no registrado en Trabajadores",IF(B964="","⚠ Falta el mes",IF(OR(ISTEXT(I964),ISTEXT(J964)),"⚠ Atrasos u horas extra como texto: escriba hh:mm (ej. 1:30)",IF(AND(ISNUMBER(Q964),COUNTIFS(M_RUTN,V964,M_MES,B964,M_LIQ,"&lt;&gt;")&gt;1),"⚠ Liquidación repetida en el mes",IF(AND(ISNUMBER(O964),ISNUMBER(P964),ISNUMBER(Q964),ABS(O964-P964-Q964)&gt;1),"⚠ Haberes − descuentos no da el líquido","OK"))))))</f>
        <v/>
      </c>
      <c r="V964" s="62" t="str">
        <f aca="false">IF(C964="","",IFERROR(VALUE(LEFT(UPPER(SUBSTITUTE(SUBSTITUTE(SUBSTITUTE(TRIM(C964),".",""),"-","")," ","")),LEN(UPPER(SUBSTITUTE(SUBSTITUTE(SUBSTITUTE(TRIM(C964),".",""),"-","")," ","")))-1))&amp;RIGHT(UPPER(SUBSTITUTE(SUBSTITUTE(SUBSTITUTE(TRIM(C964),".",""),"-","")," ","")),1),UPPER(SUBSTITUTE(SUBSTITUTE(SUBSTITUTE(TRIM(C964),".",""),"-","")," ",""))))</f>
        <v/>
      </c>
    </row>
    <row r="965" customFormat="false" ht="15" hidden="false" customHeight="false" outlineLevel="0" collapsed="false">
      <c r="B965" s="80"/>
      <c r="C965" s="58"/>
      <c r="D965" s="62" t="str">
        <f aca="false">IF(C965="","",IFERROR(INDEX(T_NOMBRE,MATCH(V965,T_RUTN,0)),"⚠ RUT no está en Trabajadores"))</f>
        <v/>
      </c>
      <c r="E965" s="61"/>
      <c r="F965" s="61"/>
      <c r="G965" s="61"/>
      <c r="H965" s="61"/>
      <c r="I965" s="81"/>
      <c r="J965" s="81"/>
      <c r="K965" s="60"/>
      <c r="L965" s="60"/>
      <c r="M965" s="60"/>
      <c r="N965" s="60"/>
      <c r="O965" s="60"/>
      <c r="P965" s="60"/>
      <c r="Q965" s="60"/>
      <c r="R965" s="58"/>
      <c r="S965" s="62" t="str">
        <f aca="false">IF(OR(B965="",V965=""),"",IFERROR(INDEX(C_TIPO,MATCH(V965&amp;"-P"&amp;MAX(1,COUNTIFS(C_RUTN,V965,C_DEF,"Sí",C_INI,"&lt;="&amp;EOMONTH(B965,0))),C_CLAVE,0))&amp;"","Sin contrato"))</f>
        <v/>
      </c>
      <c r="T965" s="63" t="str">
        <f aca="false">IF(OR(B965="",N(O965)=0),"",N(O965)+ROUND(MIN(N(N965),TOPE_UF*UF_MES)*(TASA_EMP+MUTUAL),0)+ROUND(MIN(N(N965),TOPE_AFC_UF*UF_MES)*IF(S965="Indefinido",AFC_INDEF,AFC_PF),0))</f>
        <v/>
      </c>
      <c r="U965" s="62" t="str">
        <f aca="false">IF(C965="","",IF(LEFT(D965,1)="⚠","⚠ RUT no registrado en Trabajadores",IF(B965="","⚠ Falta el mes",IF(OR(ISTEXT(I965),ISTEXT(J965)),"⚠ Atrasos u horas extra como texto: escriba hh:mm (ej. 1:30)",IF(AND(ISNUMBER(Q965),COUNTIFS(M_RUTN,V965,M_MES,B965,M_LIQ,"&lt;&gt;")&gt;1),"⚠ Liquidación repetida en el mes",IF(AND(ISNUMBER(O965),ISNUMBER(P965),ISNUMBER(Q965),ABS(O965-P965-Q965)&gt;1),"⚠ Haberes − descuentos no da el líquido","OK"))))))</f>
        <v/>
      </c>
      <c r="V965" s="62" t="str">
        <f aca="false">IF(C965="","",IFERROR(VALUE(LEFT(UPPER(SUBSTITUTE(SUBSTITUTE(SUBSTITUTE(TRIM(C965),".",""),"-","")," ","")),LEN(UPPER(SUBSTITUTE(SUBSTITUTE(SUBSTITUTE(TRIM(C965),".",""),"-","")," ","")))-1))&amp;RIGHT(UPPER(SUBSTITUTE(SUBSTITUTE(SUBSTITUTE(TRIM(C965),".",""),"-","")," ","")),1),UPPER(SUBSTITUTE(SUBSTITUTE(SUBSTITUTE(TRIM(C965),".",""),"-","")," ",""))))</f>
        <v/>
      </c>
    </row>
    <row r="966" customFormat="false" ht="15" hidden="false" customHeight="false" outlineLevel="0" collapsed="false">
      <c r="B966" s="80"/>
      <c r="C966" s="58"/>
      <c r="D966" s="62" t="str">
        <f aca="false">IF(C966="","",IFERROR(INDEX(T_NOMBRE,MATCH(V966,T_RUTN,0)),"⚠ RUT no está en Trabajadores"))</f>
        <v/>
      </c>
      <c r="E966" s="61"/>
      <c r="F966" s="61"/>
      <c r="G966" s="61"/>
      <c r="H966" s="61"/>
      <c r="I966" s="81"/>
      <c r="J966" s="81"/>
      <c r="K966" s="60"/>
      <c r="L966" s="60"/>
      <c r="M966" s="60"/>
      <c r="N966" s="60"/>
      <c r="O966" s="60"/>
      <c r="P966" s="60"/>
      <c r="Q966" s="60"/>
      <c r="R966" s="58"/>
      <c r="S966" s="62" t="str">
        <f aca="false">IF(OR(B966="",V966=""),"",IFERROR(INDEX(C_TIPO,MATCH(V966&amp;"-P"&amp;MAX(1,COUNTIFS(C_RUTN,V966,C_DEF,"Sí",C_INI,"&lt;="&amp;EOMONTH(B966,0))),C_CLAVE,0))&amp;"","Sin contrato"))</f>
        <v/>
      </c>
      <c r="T966" s="63" t="str">
        <f aca="false">IF(OR(B966="",N(O966)=0),"",N(O966)+ROUND(MIN(N(N966),TOPE_UF*UF_MES)*(TASA_EMP+MUTUAL),0)+ROUND(MIN(N(N966),TOPE_AFC_UF*UF_MES)*IF(S966="Indefinido",AFC_INDEF,AFC_PF),0))</f>
        <v/>
      </c>
      <c r="U966" s="62" t="str">
        <f aca="false">IF(C966="","",IF(LEFT(D966,1)="⚠","⚠ RUT no registrado en Trabajadores",IF(B966="","⚠ Falta el mes",IF(OR(ISTEXT(I966),ISTEXT(J966)),"⚠ Atrasos u horas extra como texto: escriba hh:mm (ej. 1:30)",IF(AND(ISNUMBER(Q966),COUNTIFS(M_RUTN,V966,M_MES,B966,M_LIQ,"&lt;&gt;")&gt;1),"⚠ Liquidación repetida en el mes",IF(AND(ISNUMBER(O966),ISNUMBER(P966),ISNUMBER(Q966),ABS(O966-P966-Q966)&gt;1),"⚠ Haberes − descuentos no da el líquido","OK"))))))</f>
        <v/>
      </c>
      <c r="V966" s="62" t="str">
        <f aca="false">IF(C966="","",IFERROR(VALUE(LEFT(UPPER(SUBSTITUTE(SUBSTITUTE(SUBSTITUTE(TRIM(C966),".",""),"-","")," ","")),LEN(UPPER(SUBSTITUTE(SUBSTITUTE(SUBSTITUTE(TRIM(C966),".",""),"-","")," ","")))-1))&amp;RIGHT(UPPER(SUBSTITUTE(SUBSTITUTE(SUBSTITUTE(TRIM(C966),".",""),"-","")," ","")),1),UPPER(SUBSTITUTE(SUBSTITUTE(SUBSTITUTE(TRIM(C966),".",""),"-","")," ",""))))</f>
        <v/>
      </c>
    </row>
    <row r="967" customFormat="false" ht="15" hidden="false" customHeight="false" outlineLevel="0" collapsed="false">
      <c r="B967" s="80"/>
      <c r="C967" s="58"/>
      <c r="D967" s="62" t="str">
        <f aca="false">IF(C967="","",IFERROR(INDEX(T_NOMBRE,MATCH(V967,T_RUTN,0)),"⚠ RUT no está en Trabajadores"))</f>
        <v/>
      </c>
      <c r="E967" s="61"/>
      <c r="F967" s="61"/>
      <c r="G967" s="61"/>
      <c r="H967" s="61"/>
      <c r="I967" s="81"/>
      <c r="J967" s="81"/>
      <c r="K967" s="60"/>
      <c r="L967" s="60"/>
      <c r="M967" s="60"/>
      <c r="N967" s="60"/>
      <c r="O967" s="60"/>
      <c r="P967" s="60"/>
      <c r="Q967" s="60"/>
      <c r="R967" s="58"/>
      <c r="S967" s="62" t="str">
        <f aca="false">IF(OR(B967="",V967=""),"",IFERROR(INDEX(C_TIPO,MATCH(V967&amp;"-P"&amp;MAX(1,COUNTIFS(C_RUTN,V967,C_DEF,"Sí",C_INI,"&lt;="&amp;EOMONTH(B967,0))),C_CLAVE,0))&amp;"","Sin contrato"))</f>
        <v/>
      </c>
      <c r="T967" s="63" t="str">
        <f aca="false">IF(OR(B967="",N(O967)=0),"",N(O967)+ROUND(MIN(N(N967),TOPE_UF*UF_MES)*(TASA_EMP+MUTUAL),0)+ROUND(MIN(N(N967),TOPE_AFC_UF*UF_MES)*IF(S967="Indefinido",AFC_INDEF,AFC_PF),0))</f>
        <v/>
      </c>
      <c r="U967" s="62" t="str">
        <f aca="false">IF(C967="","",IF(LEFT(D967,1)="⚠","⚠ RUT no registrado en Trabajadores",IF(B967="","⚠ Falta el mes",IF(OR(ISTEXT(I967),ISTEXT(J967)),"⚠ Atrasos u horas extra como texto: escriba hh:mm (ej. 1:30)",IF(AND(ISNUMBER(Q967),COUNTIFS(M_RUTN,V967,M_MES,B967,M_LIQ,"&lt;&gt;")&gt;1),"⚠ Liquidación repetida en el mes",IF(AND(ISNUMBER(O967),ISNUMBER(P967),ISNUMBER(Q967),ABS(O967-P967-Q967)&gt;1),"⚠ Haberes − descuentos no da el líquido","OK"))))))</f>
        <v/>
      </c>
      <c r="V967" s="62" t="str">
        <f aca="false">IF(C967="","",IFERROR(VALUE(LEFT(UPPER(SUBSTITUTE(SUBSTITUTE(SUBSTITUTE(TRIM(C967),".",""),"-","")," ","")),LEN(UPPER(SUBSTITUTE(SUBSTITUTE(SUBSTITUTE(TRIM(C967),".",""),"-","")," ","")))-1))&amp;RIGHT(UPPER(SUBSTITUTE(SUBSTITUTE(SUBSTITUTE(TRIM(C967),".",""),"-","")," ","")),1),UPPER(SUBSTITUTE(SUBSTITUTE(SUBSTITUTE(TRIM(C967),".",""),"-","")," ",""))))</f>
        <v/>
      </c>
    </row>
    <row r="968" customFormat="false" ht="15" hidden="false" customHeight="false" outlineLevel="0" collapsed="false">
      <c r="B968" s="80"/>
      <c r="C968" s="58"/>
      <c r="D968" s="62" t="str">
        <f aca="false">IF(C968="","",IFERROR(INDEX(T_NOMBRE,MATCH(V968,T_RUTN,0)),"⚠ RUT no está en Trabajadores"))</f>
        <v/>
      </c>
      <c r="E968" s="61"/>
      <c r="F968" s="61"/>
      <c r="G968" s="61"/>
      <c r="H968" s="61"/>
      <c r="I968" s="81"/>
      <c r="J968" s="81"/>
      <c r="K968" s="60"/>
      <c r="L968" s="60"/>
      <c r="M968" s="60"/>
      <c r="N968" s="60"/>
      <c r="O968" s="60"/>
      <c r="P968" s="60"/>
      <c r="Q968" s="60"/>
      <c r="R968" s="58"/>
      <c r="S968" s="62" t="str">
        <f aca="false">IF(OR(B968="",V968=""),"",IFERROR(INDEX(C_TIPO,MATCH(V968&amp;"-P"&amp;MAX(1,COUNTIFS(C_RUTN,V968,C_DEF,"Sí",C_INI,"&lt;="&amp;EOMONTH(B968,0))),C_CLAVE,0))&amp;"","Sin contrato"))</f>
        <v/>
      </c>
      <c r="T968" s="63" t="str">
        <f aca="false">IF(OR(B968="",N(O968)=0),"",N(O968)+ROUND(MIN(N(N968),TOPE_UF*UF_MES)*(TASA_EMP+MUTUAL),0)+ROUND(MIN(N(N968),TOPE_AFC_UF*UF_MES)*IF(S968="Indefinido",AFC_INDEF,AFC_PF),0))</f>
        <v/>
      </c>
      <c r="U968" s="62" t="str">
        <f aca="false">IF(C968="","",IF(LEFT(D968,1)="⚠","⚠ RUT no registrado en Trabajadores",IF(B968="","⚠ Falta el mes",IF(OR(ISTEXT(I968),ISTEXT(J968)),"⚠ Atrasos u horas extra como texto: escriba hh:mm (ej. 1:30)",IF(AND(ISNUMBER(Q968),COUNTIFS(M_RUTN,V968,M_MES,B968,M_LIQ,"&lt;&gt;")&gt;1),"⚠ Liquidación repetida en el mes",IF(AND(ISNUMBER(O968),ISNUMBER(P968),ISNUMBER(Q968),ABS(O968-P968-Q968)&gt;1),"⚠ Haberes − descuentos no da el líquido","OK"))))))</f>
        <v/>
      </c>
      <c r="V968" s="62" t="str">
        <f aca="false">IF(C968="","",IFERROR(VALUE(LEFT(UPPER(SUBSTITUTE(SUBSTITUTE(SUBSTITUTE(TRIM(C968),".",""),"-","")," ","")),LEN(UPPER(SUBSTITUTE(SUBSTITUTE(SUBSTITUTE(TRIM(C968),".",""),"-","")," ","")))-1))&amp;RIGHT(UPPER(SUBSTITUTE(SUBSTITUTE(SUBSTITUTE(TRIM(C968),".",""),"-","")," ","")),1),UPPER(SUBSTITUTE(SUBSTITUTE(SUBSTITUTE(TRIM(C968),".",""),"-","")," ",""))))</f>
        <v/>
      </c>
    </row>
    <row r="969" customFormat="false" ht="15" hidden="false" customHeight="false" outlineLevel="0" collapsed="false">
      <c r="B969" s="80"/>
      <c r="C969" s="58"/>
      <c r="D969" s="62" t="str">
        <f aca="false">IF(C969="","",IFERROR(INDEX(T_NOMBRE,MATCH(V969,T_RUTN,0)),"⚠ RUT no está en Trabajadores"))</f>
        <v/>
      </c>
      <c r="E969" s="61"/>
      <c r="F969" s="61"/>
      <c r="G969" s="61"/>
      <c r="H969" s="61"/>
      <c r="I969" s="81"/>
      <c r="J969" s="81"/>
      <c r="K969" s="60"/>
      <c r="L969" s="60"/>
      <c r="M969" s="60"/>
      <c r="N969" s="60"/>
      <c r="O969" s="60"/>
      <c r="P969" s="60"/>
      <c r="Q969" s="60"/>
      <c r="R969" s="58"/>
      <c r="S969" s="62" t="str">
        <f aca="false">IF(OR(B969="",V969=""),"",IFERROR(INDEX(C_TIPO,MATCH(V969&amp;"-P"&amp;MAX(1,COUNTIFS(C_RUTN,V969,C_DEF,"Sí",C_INI,"&lt;="&amp;EOMONTH(B969,0))),C_CLAVE,0))&amp;"","Sin contrato"))</f>
        <v/>
      </c>
      <c r="T969" s="63" t="str">
        <f aca="false">IF(OR(B969="",N(O969)=0),"",N(O969)+ROUND(MIN(N(N969),TOPE_UF*UF_MES)*(TASA_EMP+MUTUAL),0)+ROUND(MIN(N(N969),TOPE_AFC_UF*UF_MES)*IF(S969="Indefinido",AFC_INDEF,AFC_PF),0))</f>
        <v/>
      </c>
      <c r="U969" s="62" t="str">
        <f aca="false">IF(C969="","",IF(LEFT(D969,1)="⚠","⚠ RUT no registrado en Trabajadores",IF(B969="","⚠ Falta el mes",IF(OR(ISTEXT(I969),ISTEXT(J969)),"⚠ Atrasos u horas extra como texto: escriba hh:mm (ej. 1:30)",IF(AND(ISNUMBER(Q969),COUNTIFS(M_RUTN,V969,M_MES,B969,M_LIQ,"&lt;&gt;")&gt;1),"⚠ Liquidación repetida en el mes",IF(AND(ISNUMBER(O969),ISNUMBER(P969),ISNUMBER(Q969),ABS(O969-P969-Q969)&gt;1),"⚠ Haberes − descuentos no da el líquido","OK"))))))</f>
        <v/>
      </c>
      <c r="V969" s="62" t="str">
        <f aca="false">IF(C969="","",IFERROR(VALUE(LEFT(UPPER(SUBSTITUTE(SUBSTITUTE(SUBSTITUTE(TRIM(C969),".",""),"-","")," ","")),LEN(UPPER(SUBSTITUTE(SUBSTITUTE(SUBSTITUTE(TRIM(C969),".",""),"-","")," ","")))-1))&amp;RIGHT(UPPER(SUBSTITUTE(SUBSTITUTE(SUBSTITUTE(TRIM(C969),".",""),"-","")," ","")),1),UPPER(SUBSTITUTE(SUBSTITUTE(SUBSTITUTE(TRIM(C969),".",""),"-","")," ",""))))</f>
        <v/>
      </c>
    </row>
    <row r="970" customFormat="false" ht="15" hidden="false" customHeight="false" outlineLevel="0" collapsed="false">
      <c r="B970" s="80"/>
      <c r="C970" s="58"/>
      <c r="D970" s="62" t="str">
        <f aca="false">IF(C970="","",IFERROR(INDEX(T_NOMBRE,MATCH(V970,T_RUTN,0)),"⚠ RUT no está en Trabajadores"))</f>
        <v/>
      </c>
      <c r="E970" s="61"/>
      <c r="F970" s="61"/>
      <c r="G970" s="61"/>
      <c r="H970" s="61"/>
      <c r="I970" s="81"/>
      <c r="J970" s="81"/>
      <c r="K970" s="60"/>
      <c r="L970" s="60"/>
      <c r="M970" s="60"/>
      <c r="N970" s="60"/>
      <c r="O970" s="60"/>
      <c r="P970" s="60"/>
      <c r="Q970" s="60"/>
      <c r="R970" s="58"/>
      <c r="S970" s="62" t="str">
        <f aca="false">IF(OR(B970="",V970=""),"",IFERROR(INDEX(C_TIPO,MATCH(V970&amp;"-P"&amp;MAX(1,COUNTIFS(C_RUTN,V970,C_DEF,"Sí",C_INI,"&lt;="&amp;EOMONTH(B970,0))),C_CLAVE,0))&amp;"","Sin contrato"))</f>
        <v/>
      </c>
      <c r="T970" s="63" t="str">
        <f aca="false">IF(OR(B970="",N(O970)=0),"",N(O970)+ROUND(MIN(N(N970),TOPE_UF*UF_MES)*(TASA_EMP+MUTUAL),0)+ROUND(MIN(N(N970),TOPE_AFC_UF*UF_MES)*IF(S970="Indefinido",AFC_INDEF,AFC_PF),0))</f>
        <v/>
      </c>
      <c r="U970" s="62" t="str">
        <f aca="false">IF(C970="","",IF(LEFT(D970,1)="⚠","⚠ RUT no registrado en Trabajadores",IF(B970="","⚠ Falta el mes",IF(OR(ISTEXT(I970),ISTEXT(J970)),"⚠ Atrasos u horas extra como texto: escriba hh:mm (ej. 1:30)",IF(AND(ISNUMBER(Q970),COUNTIFS(M_RUTN,V970,M_MES,B970,M_LIQ,"&lt;&gt;")&gt;1),"⚠ Liquidación repetida en el mes",IF(AND(ISNUMBER(O970),ISNUMBER(P970),ISNUMBER(Q970),ABS(O970-P970-Q970)&gt;1),"⚠ Haberes − descuentos no da el líquido","OK"))))))</f>
        <v/>
      </c>
      <c r="V970" s="62" t="str">
        <f aca="false">IF(C970="","",IFERROR(VALUE(LEFT(UPPER(SUBSTITUTE(SUBSTITUTE(SUBSTITUTE(TRIM(C970),".",""),"-","")," ","")),LEN(UPPER(SUBSTITUTE(SUBSTITUTE(SUBSTITUTE(TRIM(C970),".",""),"-","")," ","")))-1))&amp;RIGHT(UPPER(SUBSTITUTE(SUBSTITUTE(SUBSTITUTE(TRIM(C970),".",""),"-","")," ","")),1),UPPER(SUBSTITUTE(SUBSTITUTE(SUBSTITUTE(TRIM(C970),".",""),"-","")," ",""))))</f>
        <v/>
      </c>
    </row>
    <row r="971" customFormat="false" ht="15" hidden="false" customHeight="false" outlineLevel="0" collapsed="false">
      <c r="B971" s="80"/>
      <c r="C971" s="58"/>
      <c r="D971" s="62" t="str">
        <f aca="false">IF(C971="","",IFERROR(INDEX(T_NOMBRE,MATCH(V971,T_RUTN,0)),"⚠ RUT no está en Trabajadores"))</f>
        <v/>
      </c>
      <c r="E971" s="61"/>
      <c r="F971" s="61"/>
      <c r="G971" s="61"/>
      <c r="H971" s="61"/>
      <c r="I971" s="81"/>
      <c r="J971" s="81"/>
      <c r="K971" s="60"/>
      <c r="L971" s="60"/>
      <c r="M971" s="60"/>
      <c r="N971" s="60"/>
      <c r="O971" s="60"/>
      <c r="P971" s="60"/>
      <c r="Q971" s="60"/>
      <c r="R971" s="58"/>
      <c r="S971" s="62" t="str">
        <f aca="false">IF(OR(B971="",V971=""),"",IFERROR(INDEX(C_TIPO,MATCH(V971&amp;"-P"&amp;MAX(1,COUNTIFS(C_RUTN,V971,C_DEF,"Sí",C_INI,"&lt;="&amp;EOMONTH(B971,0))),C_CLAVE,0))&amp;"","Sin contrato"))</f>
        <v/>
      </c>
      <c r="T971" s="63" t="str">
        <f aca="false">IF(OR(B971="",N(O971)=0),"",N(O971)+ROUND(MIN(N(N971),TOPE_UF*UF_MES)*(TASA_EMP+MUTUAL),0)+ROUND(MIN(N(N971),TOPE_AFC_UF*UF_MES)*IF(S971="Indefinido",AFC_INDEF,AFC_PF),0))</f>
        <v/>
      </c>
      <c r="U971" s="62" t="str">
        <f aca="false">IF(C971="","",IF(LEFT(D971,1)="⚠","⚠ RUT no registrado en Trabajadores",IF(B971="","⚠ Falta el mes",IF(OR(ISTEXT(I971),ISTEXT(J971)),"⚠ Atrasos u horas extra como texto: escriba hh:mm (ej. 1:30)",IF(AND(ISNUMBER(Q971),COUNTIFS(M_RUTN,V971,M_MES,B971,M_LIQ,"&lt;&gt;")&gt;1),"⚠ Liquidación repetida en el mes",IF(AND(ISNUMBER(O971),ISNUMBER(P971),ISNUMBER(Q971),ABS(O971-P971-Q971)&gt;1),"⚠ Haberes − descuentos no da el líquido","OK"))))))</f>
        <v/>
      </c>
      <c r="V971" s="62" t="str">
        <f aca="false">IF(C971="","",IFERROR(VALUE(LEFT(UPPER(SUBSTITUTE(SUBSTITUTE(SUBSTITUTE(TRIM(C971),".",""),"-","")," ","")),LEN(UPPER(SUBSTITUTE(SUBSTITUTE(SUBSTITUTE(TRIM(C971),".",""),"-","")," ","")))-1))&amp;RIGHT(UPPER(SUBSTITUTE(SUBSTITUTE(SUBSTITUTE(TRIM(C971),".",""),"-","")," ","")),1),UPPER(SUBSTITUTE(SUBSTITUTE(SUBSTITUTE(TRIM(C971),".",""),"-","")," ",""))))</f>
        <v/>
      </c>
    </row>
    <row r="972" customFormat="false" ht="15" hidden="false" customHeight="false" outlineLevel="0" collapsed="false">
      <c r="B972" s="80"/>
      <c r="C972" s="58"/>
      <c r="D972" s="62" t="str">
        <f aca="false">IF(C972="","",IFERROR(INDEX(T_NOMBRE,MATCH(V972,T_RUTN,0)),"⚠ RUT no está en Trabajadores"))</f>
        <v/>
      </c>
      <c r="E972" s="61"/>
      <c r="F972" s="61"/>
      <c r="G972" s="61"/>
      <c r="H972" s="61"/>
      <c r="I972" s="81"/>
      <c r="J972" s="81"/>
      <c r="K972" s="60"/>
      <c r="L972" s="60"/>
      <c r="M972" s="60"/>
      <c r="N972" s="60"/>
      <c r="O972" s="60"/>
      <c r="P972" s="60"/>
      <c r="Q972" s="60"/>
      <c r="R972" s="58"/>
      <c r="S972" s="62" t="str">
        <f aca="false">IF(OR(B972="",V972=""),"",IFERROR(INDEX(C_TIPO,MATCH(V972&amp;"-P"&amp;MAX(1,COUNTIFS(C_RUTN,V972,C_DEF,"Sí",C_INI,"&lt;="&amp;EOMONTH(B972,0))),C_CLAVE,0))&amp;"","Sin contrato"))</f>
        <v/>
      </c>
      <c r="T972" s="63" t="str">
        <f aca="false">IF(OR(B972="",N(O972)=0),"",N(O972)+ROUND(MIN(N(N972),TOPE_UF*UF_MES)*(TASA_EMP+MUTUAL),0)+ROUND(MIN(N(N972),TOPE_AFC_UF*UF_MES)*IF(S972="Indefinido",AFC_INDEF,AFC_PF),0))</f>
        <v/>
      </c>
      <c r="U972" s="62" t="str">
        <f aca="false">IF(C972="","",IF(LEFT(D972,1)="⚠","⚠ RUT no registrado en Trabajadores",IF(B972="","⚠ Falta el mes",IF(OR(ISTEXT(I972),ISTEXT(J972)),"⚠ Atrasos u horas extra como texto: escriba hh:mm (ej. 1:30)",IF(AND(ISNUMBER(Q972),COUNTIFS(M_RUTN,V972,M_MES,B972,M_LIQ,"&lt;&gt;")&gt;1),"⚠ Liquidación repetida en el mes",IF(AND(ISNUMBER(O972),ISNUMBER(P972),ISNUMBER(Q972),ABS(O972-P972-Q972)&gt;1),"⚠ Haberes − descuentos no da el líquido","OK"))))))</f>
        <v/>
      </c>
      <c r="V972" s="62" t="str">
        <f aca="false">IF(C972="","",IFERROR(VALUE(LEFT(UPPER(SUBSTITUTE(SUBSTITUTE(SUBSTITUTE(TRIM(C972),".",""),"-","")," ","")),LEN(UPPER(SUBSTITUTE(SUBSTITUTE(SUBSTITUTE(TRIM(C972),".",""),"-","")," ","")))-1))&amp;RIGHT(UPPER(SUBSTITUTE(SUBSTITUTE(SUBSTITUTE(TRIM(C972),".",""),"-","")," ","")),1),UPPER(SUBSTITUTE(SUBSTITUTE(SUBSTITUTE(TRIM(C972),".",""),"-","")," ",""))))</f>
        <v/>
      </c>
    </row>
    <row r="973" customFormat="false" ht="15" hidden="false" customHeight="false" outlineLevel="0" collapsed="false">
      <c r="B973" s="80"/>
      <c r="C973" s="58"/>
      <c r="D973" s="62" t="str">
        <f aca="false">IF(C973="","",IFERROR(INDEX(T_NOMBRE,MATCH(V973,T_RUTN,0)),"⚠ RUT no está en Trabajadores"))</f>
        <v/>
      </c>
      <c r="E973" s="61"/>
      <c r="F973" s="61"/>
      <c r="G973" s="61"/>
      <c r="H973" s="61"/>
      <c r="I973" s="81"/>
      <c r="J973" s="81"/>
      <c r="K973" s="60"/>
      <c r="L973" s="60"/>
      <c r="M973" s="60"/>
      <c r="N973" s="60"/>
      <c r="O973" s="60"/>
      <c r="P973" s="60"/>
      <c r="Q973" s="60"/>
      <c r="R973" s="58"/>
      <c r="S973" s="62" t="str">
        <f aca="false">IF(OR(B973="",V973=""),"",IFERROR(INDEX(C_TIPO,MATCH(V973&amp;"-P"&amp;MAX(1,COUNTIFS(C_RUTN,V973,C_DEF,"Sí",C_INI,"&lt;="&amp;EOMONTH(B973,0))),C_CLAVE,0))&amp;"","Sin contrato"))</f>
        <v/>
      </c>
      <c r="T973" s="63" t="str">
        <f aca="false">IF(OR(B973="",N(O973)=0),"",N(O973)+ROUND(MIN(N(N973),TOPE_UF*UF_MES)*(TASA_EMP+MUTUAL),0)+ROUND(MIN(N(N973),TOPE_AFC_UF*UF_MES)*IF(S973="Indefinido",AFC_INDEF,AFC_PF),0))</f>
        <v/>
      </c>
      <c r="U973" s="62" t="str">
        <f aca="false">IF(C973="","",IF(LEFT(D973,1)="⚠","⚠ RUT no registrado en Trabajadores",IF(B973="","⚠ Falta el mes",IF(OR(ISTEXT(I973),ISTEXT(J973)),"⚠ Atrasos u horas extra como texto: escriba hh:mm (ej. 1:30)",IF(AND(ISNUMBER(Q973),COUNTIFS(M_RUTN,V973,M_MES,B973,M_LIQ,"&lt;&gt;")&gt;1),"⚠ Liquidación repetida en el mes",IF(AND(ISNUMBER(O973),ISNUMBER(P973),ISNUMBER(Q973),ABS(O973-P973-Q973)&gt;1),"⚠ Haberes − descuentos no da el líquido","OK"))))))</f>
        <v/>
      </c>
      <c r="V973" s="62" t="str">
        <f aca="false">IF(C973="","",IFERROR(VALUE(LEFT(UPPER(SUBSTITUTE(SUBSTITUTE(SUBSTITUTE(TRIM(C973),".",""),"-","")," ","")),LEN(UPPER(SUBSTITUTE(SUBSTITUTE(SUBSTITUTE(TRIM(C973),".",""),"-","")," ","")))-1))&amp;RIGHT(UPPER(SUBSTITUTE(SUBSTITUTE(SUBSTITUTE(TRIM(C973),".",""),"-","")," ","")),1),UPPER(SUBSTITUTE(SUBSTITUTE(SUBSTITUTE(TRIM(C973),".",""),"-","")," ",""))))</f>
        <v/>
      </c>
    </row>
    <row r="974" customFormat="false" ht="15" hidden="false" customHeight="false" outlineLevel="0" collapsed="false">
      <c r="B974" s="80"/>
      <c r="C974" s="58"/>
      <c r="D974" s="62" t="str">
        <f aca="false">IF(C974="","",IFERROR(INDEX(T_NOMBRE,MATCH(V974,T_RUTN,0)),"⚠ RUT no está en Trabajadores"))</f>
        <v/>
      </c>
      <c r="E974" s="61"/>
      <c r="F974" s="61"/>
      <c r="G974" s="61"/>
      <c r="H974" s="61"/>
      <c r="I974" s="81"/>
      <c r="J974" s="81"/>
      <c r="K974" s="60"/>
      <c r="L974" s="60"/>
      <c r="M974" s="60"/>
      <c r="N974" s="60"/>
      <c r="O974" s="60"/>
      <c r="P974" s="60"/>
      <c r="Q974" s="60"/>
      <c r="R974" s="58"/>
      <c r="S974" s="62" t="str">
        <f aca="false">IF(OR(B974="",V974=""),"",IFERROR(INDEX(C_TIPO,MATCH(V974&amp;"-P"&amp;MAX(1,COUNTIFS(C_RUTN,V974,C_DEF,"Sí",C_INI,"&lt;="&amp;EOMONTH(B974,0))),C_CLAVE,0))&amp;"","Sin contrato"))</f>
        <v/>
      </c>
      <c r="T974" s="63" t="str">
        <f aca="false">IF(OR(B974="",N(O974)=0),"",N(O974)+ROUND(MIN(N(N974),TOPE_UF*UF_MES)*(TASA_EMP+MUTUAL),0)+ROUND(MIN(N(N974),TOPE_AFC_UF*UF_MES)*IF(S974="Indefinido",AFC_INDEF,AFC_PF),0))</f>
        <v/>
      </c>
      <c r="U974" s="62" t="str">
        <f aca="false">IF(C974="","",IF(LEFT(D974,1)="⚠","⚠ RUT no registrado en Trabajadores",IF(B974="","⚠ Falta el mes",IF(OR(ISTEXT(I974),ISTEXT(J974)),"⚠ Atrasos u horas extra como texto: escriba hh:mm (ej. 1:30)",IF(AND(ISNUMBER(Q974),COUNTIFS(M_RUTN,V974,M_MES,B974,M_LIQ,"&lt;&gt;")&gt;1),"⚠ Liquidación repetida en el mes",IF(AND(ISNUMBER(O974),ISNUMBER(P974),ISNUMBER(Q974),ABS(O974-P974-Q974)&gt;1),"⚠ Haberes − descuentos no da el líquido","OK"))))))</f>
        <v/>
      </c>
      <c r="V974" s="62" t="str">
        <f aca="false">IF(C974="","",IFERROR(VALUE(LEFT(UPPER(SUBSTITUTE(SUBSTITUTE(SUBSTITUTE(TRIM(C974),".",""),"-","")," ","")),LEN(UPPER(SUBSTITUTE(SUBSTITUTE(SUBSTITUTE(TRIM(C974),".",""),"-","")," ","")))-1))&amp;RIGHT(UPPER(SUBSTITUTE(SUBSTITUTE(SUBSTITUTE(TRIM(C974),".",""),"-","")," ","")),1),UPPER(SUBSTITUTE(SUBSTITUTE(SUBSTITUTE(TRIM(C974),".",""),"-","")," ",""))))</f>
        <v/>
      </c>
    </row>
    <row r="975" customFormat="false" ht="15" hidden="false" customHeight="false" outlineLevel="0" collapsed="false">
      <c r="B975" s="80"/>
      <c r="C975" s="58"/>
      <c r="D975" s="62" t="str">
        <f aca="false">IF(C975="","",IFERROR(INDEX(T_NOMBRE,MATCH(V975,T_RUTN,0)),"⚠ RUT no está en Trabajadores"))</f>
        <v/>
      </c>
      <c r="E975" s="61"/>
      <c r="F975" s="61"/>
      <c r="G975" s="61"/>
      <c r="H975" s="61"/>
      <c r="I975" s="81"/>
      <c r="J975" s="81"/>
      <c r="K975" s="60"/>
      <c r="L975" s="60"/>
      <c r="M975" s="60"/>
      <c r="N975" s="60"/>
      <c r="O975" s="60"/>
      <c r="P975" s="60"/>
      <c r="Q975" s="60"/>
      <c r="R975" s="58"/>
      <c r="S975" s="62" t="str">
        <f aca="false">IF(OR(B975="",V975=""),"",IFERROR(INDEX(C_TIPO,MATCH(V975&amp;"-P"&amp;MAX(1,COUNTIFS(C_RUTN,V975,C_DEF,"Sí",C_INI,"&lt;="&amp;EOMONTH(B975,0))),C_CLAVE,0))&amp;"","Sin contrato"))</f>
        <v/>
      </c>
      <c r="T975" s="63" t="str">
        <f aca="false">IF(OR(B975="",N(O975)=0),"",N(O975)+ROUND(MIN(N(N975),TOPE_UF*UF_MES)*(TASA_EMP+MUTUAL),0)+ROUND(MIN(N(N975),TOPE_AFC_UF*UF_MES)*IF(S975="Indefinido",AFC_INDEF,AFC_PF),0))</f>
        <v/>
      </c>
      <c r="U975" s="62" t="str">
        <f aca="false">IF(C975="","",IF(LEFT(D975,1)="⚠","⚠ RUT no registrado en Trabajadores",IF(B975="","⚠ Falta el mes",IF(OR(ISTEXT(I975),ISTEXT(J975)),"⚠ Atrasos u horas extra como texto: escriba hh:mm (ej. 1:30)",IF(AND(ISNUMBER(Q975),COUNTIFS(M_RUTN,V975,M_MES,B975,M_LIQ,"&lt;&gt;")&gt;1),"⚠ Liquidación repetida en el mes",IF(AND(ISNUMBER(O975),ISNUMBER(P975),ISNUMBER(Q975),ABS(O975-P975-Q975)&gt;1),"⚠ Haberes − descuentos no da el líquido","OK"))))))</f>
        <v/>
      </c>
      <c r="V975" s="62" t="str">
        <f aca="false">IF(C975="","",IFERROR(VALUE(LEFT(UPPER(SUBSTITUTE(SUBSTITUTE(SUBSTITUTE(TRIM(C975),".",""),"-","")," ","")),LEN(UPPER(SUBSTITUTE(SUBSTITUTE(SUBSTITUTE(TRIM(C975),".",""),"-","")," ","")))-1))&amp;RIGHT(UPPER(SUBSTITUTE(SUBSTITUTE(SUBSTITUTE(TRIM(C975),".",""),"-","")," ","")),1),UPPER(SUBSTITUTE(SUBSTITUTE(SUBSTITUTE(TRIM(C975),".",""),"-","")," ",""))))</f>
        <v/>
      </c>
    </row>
    <row r="976" customFormat="false" ht="15" hidden="false" customHeight="false" outlineLevel="0" collapsed="false">
      <c r="B976" s="80"/>
      <c r="C976" s="58"/>
      <c r="D976" s="62" t="str">
        <f aca="false">IF(C976="","",IFERROR(INDEX(T_NOMBRE,MATCH(V976,T_RUTN,0)),"⚠ RUT no está en Trabajadores"))</f>
        <v/>
      </c>
      <c r="E976" s="61"/>
      <c r="F976" s="61"/>
      <c r="G976" s="61"/>
      <c r="H976" s="61"/>
      <c r="I976" s="81"/>
      <c r="J976" s="81"/>
      <c r="K976" s="60"/>
      <c r="L976" s="60"/>
      <c r="M976" s="60"/>
      <c r="N976" s="60"/>
      <c r="O976" s="60"/>
      <c r="P976" s="60"/>
      <c r="Q976" s="60"/>
      <c r="R976" s="58"/>
      <c r="S976" s="62" t="str">
        <f aca="false">IF(OR(B976="",V976=""),"",IFERROR(INDEX(C_TIPO,MATCH(V976&amp;"-P"&amp;MAX(1,COUNTIFS(C_RUTN,V976,C_DEF,"Sí",C_INI,"&lt;="&amp;EOMONTH(B976,0))),C_CLAVE,0))&amp;"","Sin contrato"))</f>
        <v/>
      </c>
      <c r="T976" s="63" t="str">
        <f aca="false">IF(OR(B976="",N(O976)=0),"",N(O976)+ROUND(MIN(N(N976),TOPE_UF*UF_MES)*(TASA_EMP+MUTUAL),0)+ROUND(MIN(N(N976),TOPE_AFC_UF*UF_MES)*IF(S976="Indefinido",AFC_INDEF,AFC_PF),0))</f>
        <v/>
      </c>
      <c r="U976" s="62" t="str">
        <f aca="false">IF(C976="","",IF(LEFT(D976,1)="⚠","⚠ RUT no registrado en Trabajadores",IF(B976="","⚠ Falta el mes",IF(OR(ISTEXT(I976),ISTEXT(J976)),"⚠ Atrasos u horas extra como texto: escriba hh:mm (ej. 1:30)",IF(AND(ISNUMBER(Q976),COUNTIFS(M_RUTN,V976,M_MES,B976,M_LIQ,"&lt;&gt;")&gt;1),"⚠ Liquidación repetida en el mes",IF(AND(ISNUMBER(O976),ISNUMBER(P976),ISNUMBER(Q976),ABS(O976-P976-Q976)&gt;1),"⚠ Haberes − descuentos no da el líquido","OK"))))))</f>
        <v/>
      </c>
      <c r="V976" s="62" t="str">
        <f aca="false">IF(C976="","",IFERROR(VALUE(LEFT(UPPER(SUBSTITUTE(SUBSTITUTE(SUBSTITUTE(TRIM(C976),".",""),"-","")," ","")),LEN(UPPER(SUBSTITUTE(SUBSTITUTE(SUBSTITUTE(TRIM(C976),".",""),"-","")," ","")))-1))&amp;RIGHT(UPPER(SUBSTITUTE(SUBSTITUTE(SUBSTITUTE(TRIM(C976),".",""),"-","")," ","")),1),UPPER(SUBSTITUTE(SUBSTITUTE(SUBSTITUTE(TRIM(C976),".",""),"-","")," ",""))))</f>
        <v/>
      </c>
    </row>
    <row r="977" customFormat="false" ht="15" hidden="false" customHeight="false" outlineLevel="0" collapsed="false">
      <c r="B977" s="80"/>
      <c r="C977" s="58"/>
      <c r="D977" s="62" t="str">
        <f aca="false">IF(C977="","",IFERROR(INDEX(T_NOMBRE,MATCH(V977,T_RUTN,0)),"⚠ RUT no está en Trabajadores"))</f>
        <v/>
      </c>
      <c r="E977" s="61"/>
      <c r="F977" s="61"/>
      <c r="G977" s="61"/>
      <c r="H977" s="61"/>
      <c r="I977" s="81"/>
      <c r="J977" s="81"/>
      <c r="K977" s="60"/>
      <c r="L977" s="60"/>
      <c r="M977" s="60"/>
      <c r="N977" s="60"/>
      <c r="O977" s="60"/>
      <c r="P977" s="60"/>
      <c r="Q977" s="60"/>
      <c r="R977" s="58"/>
      <c r="S977" s="62" t="str">
        <f aca="false">IF(OR(B977="",V977=""),"",IFERROR(INDEX(C_TIPO,MATCH(V977&amp;"-P"&amp;MAX(1,COUNTIFS(C_RUTN,V977,C_DEF,"Sí",C_INI,"&lt;="&amp;EOMONTH(B977,0))),C_CLAVE,0))&amp;"","Sin contrato"))</f>
        <v/>
      </c>
      <c r="T977" s="63" t="str">
        <f aca="false">IF(OR(B977="",N(O977)=0),"",N(O977)+ROUND(MIN(N(N977),TOPE_UF*UF_MES)*(TASA_EMP+MUTUAL),0)+ROUND(MIN(N(N977),TOPE_AFC_UF*UF_MES)*IF(S977="Indefinido",AFC_INDEF,AFC_PF),0))</f>
        <v/>
      </c>
      <c r="U977" s="62" t="str">
        <f aca="false">IF(C977="","",IF(LEFT(D977,1)="⚠","⚠ RUT no registrado en Trabajadores",IF(B977="","⚠ Falta el mes",IF(OR(ISTEXT(I977),ISTEXT(J977)),"⚠ Atrasos u horas extra como texto: escriba hh:mm (ej. 1:30)",IF(AND(ISNUMBER(Q977),COUNTIFS(M_RUTN,V977,M_MES,B977,M_LIQ,"&lt;&gt;")&gt;1),"⚠ Liquidación repetida en el mes",IF(AND(ISNUMBER(O977),ISNUMBER(P977),ISNUMBER(Q977),ABS(O977-P977-Q977)&gt;1),"⚠ Haberes − descuentos no da el líquido","OK"))))))</f>
        <v/>
      </c>
      <c r="V977" s="62" t="str">
        <f aca="false">IF(C977="","",IFERROR(VALUE(LEFT(UPPER(SUBSTITUTE(SUBSTITUTE(SUBSTITUTE(TRIM(C977),".",""),"-","")," ","")),LEN(UPPER(SUBSTITUTE(SUBSTITUTE(SUBSTITUTE(TRIM(C977),".",""),"-","")," ","")))-1))&amp;RIGHT(UPPER(SUBSTITUTE(SUBSTITUTE(SUBSTITUTE(TRIM(C977),".",""),"-","")," ","")),1),UPPER(SUBSTITUTE(SUBSTITUTE(SUBSTITUTE(TRIM(C977),".",""),"-","")," ",""))))</f>
        <v/>
      </c>
    </row>
    <row r="978" customFormat="false" ht="15" hidden="false" customHeight="false" outlineLevel="0" collapsed="false">
      <c r="B978" s="80"/>
      <c r="C978" s="58"/>
      <c r="D978" s="62" t="str">
        <f aca="false">IF(C978="","",IFERROR(INDEX(T_NOMBRE,MATCH(V978,T_RUTN,0)),"⚠ RUT no está en Trabajadores"))</f>
        <v/>
      </c>
      <c r="E978" s="61"/>
      <c r="F978" s="61"/>
      <c r="G978" s="61"/>
      <c r="H978" s="61"/>
      <c r="I978" s="81"/>
      <c r="J978" s="81"/>
      <c r="K978" s="60"/>
      <c r="L978" s="60"/>
      <c r="M978" s="60"/>
      <c r="N978" s="60"/>
      <c r="O978" s="60"/>
      <c r="P978" s="60"/>
      <c r="Q978" s="60"/>
      <c r="R978" s="58"/>
      <c r="S978" s="62" t="str">
        <f aca="false">IF(OR(B978="",V978=""),"",IFERROR(INDEX(C_TIPO,MATCH(V978&amp;"-P"&amp;MAX(1,COUNTIFS(C_RUTN,V978,C_DEF,"Sí",C_INI,"&lt;="&amp;EOMONTH(B978,0))),C_CLAVE,0))&amp;"","Sin contrato"))</f>
        <v/>
      </c>
      <c r="T978" s="63" t="str">
        <f aca="false">IF(OR(B978="",N(O978)=0),"",N(O978)+ROUND(MIN(N(N978),TOPE_UF*UF_MES)*(TASA_EMP+MUTUAL),0)+ROUND(MIN(N(N978),TOPE_AFC_UF*UF_MES)*IF(S978="Indefinido",AFC_INDEF,AFC_PF),0))</f>
        <v/>
      </c>
      <c r="U978" s="62" t="str">
        <f aca="false">IF(C978="","",IF(LEFT(D978,1)="⚠","⚠ RUT no registrado en Trabajadores",IF(B978="","⚠ Falta el mes",IF(OR(ISTEXT(I978),ISTEXT(J978)),"⚠ Atrasos u horas extra como texto: escriba hh:mm (ej. 1:30)",IF(AND(ISNUMBER(Q978),COUNTIFS(M_RUTN,V978,M_MES,B978,M_LIQ,"&lt;&gt;")&gt;1),"⚠ Liquidación repetida en el mes",IF(AND(ISNUMBER(O978),ISNUMBER(P978),ISNUMBER(Q978),ABS(O978-P978-Q978)&gt;1),"⚠ Haberes − descuentos no da el líquido","OK"))))))</f>
        <v/>
      </c>
      <c r="V978" s="62" t="str">
        <f aca="false">IF(C978="","",IFERROR(VALUE(LEFT(UPPER(SUBSTITUTE(SUBSTITUTE(SUBSTITUTE(TRIM(C978),".",""),"-","")," ","")),LEN(UPPER(SUBSTITUTE(SUBSTITUTE(SUBSTITUTE(TRIM(C978),".",""),"-","")," ","")))-1))&amp;RIGHT(UPPER(SUBSTITUTE(SUBSTITUTE(SUBSTITUTE(TRIM(C978),".",""),"-","")," ","")),1),UPPER(SUBSTITUTE(SUBSTITUTE(SUBSTITUTE(TRIM(C978),".",""),"-","")," ",""))))</f>
        <v/>
      </c>
    </row>
    <row r="979" customFormat="false" ht="15" hidden="false" customHeight="false" outlineLevel="0" collapsed="false">
      <c r="B979" s="80"/>
      <c r="C979" s="58"/>
      <c r="D979" s="62" t="str">
        <f aca="false">IF(C979="","",IFERROR(INDEX(T_NOMBRE,MATCH(V979,T_RUTN,0)),"⚠ RUT no está en Trabajadores"))</f>
        <v/>
      </c>
      <c r="E979" s="61"/>
      <c r="F979" s="61"/>
      <c r="G979" s="61"/>
      <c r="H979" s="61"/>
      <c r="I979" s="81"/>
      <c r="J979" s="81"/>
      <c r="K979" s="60"/>
      <c r="L979" s="60"/>
      <c r="M979" s="60"/>
      <c r="N979" s="60"/>
      <c r="O979" s="60"/>
      <c r="P979" s="60"/>
      <c r="Q979" s="60"/>
      <c r="R979" s="58"/>
      <c r="S979" s="62" t="str">
        <f aca="false">IF(OR(B979="",V979=""),"",IFERROR(INDEX(C_TIPO,MATCH(V979&amp;"-P"&amp;MAX(1,COUNTIFS(C_RUTN,V979,C_DEF,"Sí",C_INI,"&lt;="&amp;EOMONTH(B979,0))),C_CLAVE,0))&amp;"","Sin contrato"))</f>
        <v/>
      </c>
      <c r="T979" s="63" t="str">
        <f aca="false">IF(OR(B979="",N(O979)=0),"",N(O979)+ROUND(MIN(N(N979),TOPE_UF*UF_MES)*(TASA_EMP+MUTUAL),0)+ROUND(MIN(N(N979),TOPE_AFC_UF*UF_MES)*IF(S979="Indefinido",AFC_INDEF,AFC_PF),0))</f>
        <v/>
      </c>
      <c r="U979" s="62" t="str">
        <f aca="false">IF(C979="","",IF(LEFT(D979,1)="⚠","⚠ RUT no registrado en Trabajadores",IF(B979="","⚠ Falta el mes",IF(OR(ISTEXT(I979),ISTEXT(J979)),"⚠ Atrasos u horas extra como texto: escriba hh:mm (ej. 1:30)",IF(AND(ISNUMBER(Q979),COUNTIFS(M_RUTN,V979,M_MES,B979,M_LIQ,"&lt;&gt;")&gt;1),"⚠ Liquidación repetida en el mes",IF(AND(ISNUMBER(O979),ISNUMBER(P979),ISNUMBER(Q979),ABS(O979-P979-Q979)&gt;1),"⚠ Haberes − descuentos no da el líquido","OK"))))))</f>
        <v/>
      </c>
      <c r="V979" s="62" t="str">
        <f aca="false">IF(C979="","",IFERROR(VALUE(LEFT(UPPER(SUBSTITUTE(SUBSTITUTE(SUBSTITUTE(TRIM(C979),".",""),"-","")," ","")),LEN(UPPER(SUBSTITUTE(SUBSTITUTE(SUBSTITUTE(TRIM(C979),".",""),"-","")," ","")))-1))&amp;RIGHT(UPPER(SUBSTITUTE(SUBSTITUTE(SUBSTITUTE(TRIM(C979),".",""),"-","")," ","")),1),UPPER(SUBSTITUTE(SUBSTITUTE(SUBSTITUTE(TRIM(C979),".",""),"-","")," ",""))))</f>
        <v/>
      </c>
    </row>
    <row r="980" customFormat="false" ht="15" hidden="false" customHeight="false" outlineLevel="0" collapsed="false">
      <c r="B980" s="80"/>
      <c r="C980" s="58"/>
      <c r="D980" s="62" t="str">
        <f aca="false">IF(C980="","",IFERROR(INDEX(T_NOMBRE,MATCH(V980,T_RUTN,0)),"⚠ RUT no está en Trabajadores"))</f>
        <v/>
      </c>
      <c r="E980" s="61"/>
      <c r="F980" s="61"/>
      <c r="G980" s="61"/>
      <c r="H980" s="61"/>
      <c r="I980" s="81"/>
      <c r="J980" s="81"/>
      <c r="K980" s="60"/>
      <c r="L980" s="60"/>
      <c r="M980" s="60"/>
      <c r="N980" s="60"/>
      <c r="O980" s="60"/>
      <c r="P980" s="60"/>
      <c r="Q980" s="60"/>
      <c r="R980" s="58"/>
      <c r="S980" s="62" t="str">
        <f aca="false">IF(OR(B980="",V980=""),"",IFERROR(INDEX(C_TIPO,MATCH(V980&amp;"-P"&amp;MAX(1,COUNTIFS(C_RUTN,V980,C_DEF,"Sí",C_INI,"&lt;="&amp;EOMONTH(B980,0))),C_CLAVE,0))&amp;"","Sin contrato"))</f>
        <v/>
      </c>
      <c r="T980" s="63" t="str">
        <f aca="false">IF(OR(B980="",N(O980)=0),"",N(O980)+ROUND(MIN(N(N980),TOPE_UF*UF_MES)*(TASA_EMP+MUTUAL),0)+ROUND(MIN(N(N980),TOPE_AFC_UF*UF_MES)*IF(S980="Indefinido",AFC_INDEF,AFC_PF),0))</f>
        <v/>
      </c>
      <c r="U980" s="62" t="str">
        <f aca="false">IF(C980="","",IF(LEFT(D980,1)="⚠","⚠ RUT no registrado en Trabajadores",IF(B980="","⚠ Falta el mes",IF(OR(ISTEXT(I980),ISTEXT(J980)),"⚠ Atrasos u horas extra como texto: escriba hh:mm (ej. 1:30)",IF(AND(ISNUMBER(Q980),COUNTIFS(M_RUTN,V980,M_MES,B980,M_LIQ,"&lt;&gt;")&gt;1),"⚠ Liquidación repetida en el mes",IF(AND(ISNUMBER(O980),ISNUMBER(P980),ISNUMBER(Q980),ABS(O980-P980-Q980)&gt;1),"⚠ Haberes − descuentos no da el líquido","OK"))))))</f>
        <v/>
      </c>
      <c r="V980" s="62" t="str">
        <f aca="false">IF(C980="","",IFERROR(VALUE(LEFT(UPPER(SUBSTITUTE(SUBSTITUTE(SUBSTITUTE(TRIM(C980),".",""),"-","")," ","")),LEN(UPPER(SUBSTITUTE(SUBSTITUTE(SUBSTITUTE(TRIM(C980),".",""),"-","")," ","")))-1))&amp;RIGHT(UPPER(SUBSTITUTE(SUBSTITUTE(SUBSTITUTE(TRIM(C980),".",""),"-","")," ","")),1),UPPER(SUBSTITUTE(SUBSTITUTE(SUBSTITUTE(TRIM(C980),".",""),"-","")," ",""))))</f>
        <v/>
      </c>
    </row>
    <row r="981" customFormat="false" ht="15" hidden="false" customHeight="false" outlineLevel="0" collapsed="false">
      <c r="B981" s="80"/>
      <c r="C981" s="58"/>
      <c r="D981" s="62" t="str">
        <f aca="false">IF(C981="","",IFERROR(INDEX(T_NOMBRE,MATCH(V981,T_RUTN,0)),"⚠ RUT no está en Trabajadores"))</f>
        <v/>
      </c>
      <c r="E981" s="61"/>
      <c r="F981" s="61"/>
      <c r="G981" s="61"/>
      <c r="H981" s="61"/>
      <c r="I981" s="81"/>
      <c r="J981" s="81"/>
      <c r="K981" s="60"/>
      <c r="L981" s="60"/>
      <c r="M981" s="60"/>
      <c r="N981" s="60"/>
      <c r="O981" s="60"/>
      <c r="P981" s="60"/>
      <c r="Q981" s="60"/>
      <c r="R981" s="58"/>
      <c r="S981" s="62" t="str">
        <f aca="false">IF(OR(B981="",V981=""),"",IFERROR(INDEX(C_TIPO,MATCH(V981&amp;"-P"&amp;MAX(1,COUNTIFS(C_RUTN,V981,C_DEF,"Sí",C_INI,"&lt;="&amp;EOMONTH(B981,0))),C_CLAVE,0))&amp;"","Sin contrato"))</f>
        <v/>
      </c>
      <c r="T981" s="63" t="str">
        <f aca="false">IF(OR(B981="",N(O981)=0),"",N(O981)+ROUND(MIN(N(N981),TOPE_UF*UF_MES)*(TASA_EMP+MUTUAL),0)+ROUND(MIN(N(N981),TOPE_AFC_UF*UF_MES)*IF(S981="Indefinido",AFC_INDEF,AFC_PF),0))</f>
        <v/>
      </c>
      <c r="U981" s="62" t="str">
        <f aca="false">IF(C981="","",IF(LEFT(D981,1)="⚠","⚠ RUT no registrado en Trabajadores",IF(B981="","⚠ Falta el mes",IF(OR(ISTEXT(I981),ISTEXT(J981)),"⚠ Atrasos u horas extra como texto: escriba hh:mm (ej. 1:30)",IF(AND(ISNUMBER(Q981),COUNTIFS(M_RUTN,V981,M_MES,B981,M_LIQ,"&lt;&gt;")&gt;1),"⚠ Liquidación repetida en el mes",IF(AND(ISNUMBER(O981),ISNUMBER(P981),ISNUMBER(Q981),ABS(O981-P981-Q981)&gt;1),"⚠ Haberes − descuentos no da el líquido","OK"))))))</f>
        <v/>
      </c>
      <c r="V981" s="62" t="str">
        <f aca="false">IF(C981="","",IFERROR(VALUE(LEFT(UPPER(SUBSTITUTE(SUBSTITUTE(SUBSTITUTE(TRIM(C981),".",""),"-","")," ","")),LEN(UPPER(SUBSTITUTE(SUBSTITUTE(SUBSTITUTE(TRIM(C981),".",""),"-","")," ","")))-1))&amp;RIGHT(UPPER(SUBSTITUTE(SUBSTITUTE(SUBSTITUTE(TRIM(C981),".",""),"-","")," ","")),1),UPPER(SUBSTITUTE(SUBSTITUTE(SUBSTITUTE(TRIM(C981),".",""),"-","")," ",""))))</f>
        <v/>
      </c>
    </row>
    <row r="982" customFormat="false" ht="15" hidden="false" customHeight="false" outlineLevel="0" collapsed="false">
      <c r="B982" s="80"/>
      <c r="C982" s="58"/>
      <c r="D982" s="62" t="str">
        <f aca="false">IF(C982="","",IFERROR(INDEX(T_NOMBRE,MATCH(V982,T_RUTN,0)),"⚠ RUT no está en Trabajadores"))</f>
        <v/>
      </c>
      <c r="E982" s="61"/>
      <c r="F982" s="61"/>
      <c r="G982" s="61"/>
      <c r="H982" s="61"/>
      <c r="I982" s="81"/>
      <c r="J982" s="81"/>
      <c r="K982" s="60"/>
      <c r="L982" s="60"/>
      <c r="M982" s="60"/>
      <c r="N982" s="60"/>
      <c r="O982" s="60"/>
      <c r="P982" s="60"/>
      <c r="Q982" s="60"/>
      <c r="R982" s="58"/>
      <c r="S982" s="62" t="str">
        <f aca="false">IF(OR(B982="",V982=""),"",IFERROR(INDEX(C_TIPO,MATCH(V982&amp;"-P"&amp;MAX(1,COUNTIFS(C_RUTN,V982,C_DEF,"Sí",C_INI,"&lt;="&amp;EOMONTH(B982,0))),C_CLAVE,0))&amp;"","Sin contrato"))</f>
        <v/>
      </c>
      <c r="T982" s="63" t="str">
        <f aca="false">IF(OR(B982="",N(O982)=0),"",N(O982)+ROUND(MIN(N(N982),TOPE_UF*UF_MES)*(TASA_EMP+MUTUAL),0)+ROUND(MIN(N(N982),TOPE_AFC_UF*UF_MES)*IF(S982="Indefinido",AFC_INDEF,AFC_PF),0))</f>
        <v/>
      </c>
      <c r="U982" s="62" t="str">
        <f aca="false">IF(C982="","",IF(LEFT(D982,1)="⚠","⚠ RUT no registrado en Trabajadores",IF(B982="","⚠ Falta el mes",IF(OR(ISTEXT(I982),ISTEXT(J982)),"⚠ Atrasos u horas extra como texto: escriba hh:mm (ej. 1:30)",IF(AND(ISNUMBER(Q982),COUNTIFS(M_RUTN,V982,M_MES,B982,M_LIQ,"&lt;&gt;")&gt;1),"⚠ Liquidación repetida en el mes",IF(AND(ISNUMBER(O982),ISNUMBER(P982),ISNUMBER(Q982),ABS(O982-P982-Q982)&gt;1),"⚠ Haberes − descuentos no da el líquido","OK"))))))</f>
        <v/>
      </c>
      <c r="V982" s="62" t="str">
        <f aca="false">IF(C982="","",IFERROR(VALUE(LEFT(UPPER(SUBSTITUTE(SUBSTITUTE(SUBSTITUTE(TRIM(C982),".",""),"-","")," ","")),LEN(UPPER(SUBSTITUTE(SUBSTITUTE(SUBSTITUTE(TRIM(C982),".",""),"-","")," ","")))-1))&amp;RIGHT(UPPER(SUBSTITUTE(SUBSTITUTE(SUBSTITUTE(TRIM(C982),".",""),"-","")," ","")),1),UPPER(SUBSTITUTE(SUBSTITUTE(SUBSTITUTE(TRIM(C982),".",""),"-","")," ",""))))</f>
        <v/>
      </c>
    </row>
    <row r="983" customFormat="false" ht="15" hidden="false" customHeight="false" outlineLevel="0" collapsed="false">
      <c r="B983" s="80"/>
      <c r="C983" s="58"/>
      <c r="D983" s="62" t="str">
        <f aca="false">IF(C983="","",IFERROR(INDEX(T_NOMBRE,MATCH(V983,T_RUTN,0)),"⚠ RUT no está en Trabajadores"))</f>
        <v/>
      </c>
      <c r="E983" s="61"/>
      <c r="F983" s="61"/>
      <c r="G983" s="61"/>
      <c r="H983" s="61"/>
      <c r="I983" s="81"/>
      <c r="J983" s="81"/>
      <c r="K983" s="60"/>
      <c r="L983" s="60"/>
      <c r="M983" s="60"/>
      <c r="N983" s="60"/>
      <c r="O983" s="60"/>
      <c r="P983" s="60"/>
      <c r="Q983" s="60"/>
      <c r="R983" s="58"/>
      <c r="S983" s="62" t="str">
        <f aca="false">IF(OR(B983="",V983=""),"",IFERROR(INDEX(C_TIPO,MATCH(V983&amp;"-P"&amp;MAX(1,COUNTIFS(C_RUTN,V983,C_DEF,"Sí",C_INI,"&lt;="&amp;EOMONTH(B983,0))),C_CLAVE,0))&amp;"","Sin contrato"))</f>
        <v/>
      </c>
      <c r="T983" s="63" t="str">
        <f aca="false">IF(OR(B983="",N(O983)=0),"",N(O983)+ROUND(MIN(N(N983),TOPE_UF*UF_MES)*(TASA_EMP+MUTUAL),0)+ROUND(MIN(N(N983),TOPE_AFC_UF*UF_MES)*IF(S983="Indefinido",AFC_INDEF,AFC_PF),0))</f>
        <v/>
      </c>
      <c r="U983" s="62" t="str">
        <f aca="false">IF(C983="","",IF(LEFT(D983,1)="⚠","⚠ RUT no registrado en Trabajadores",IF(B983="","⚠ Falta el mes",IF(OR(ISTEXT(I983),ISTEXT(J983)),"⚠ Atrasos u horas extra como texto: escriba hh:mm (ej. 1:30)",IF(AND(ISNUMBER(Q983),COUNTIFS(M_RUTN,V983,M_MES,B983,M_LIQ,"&lt;&gt;")&gt;1),"⚠ Liquidación repetida en el mes",IF(AND(ISNUMBER(O983),ISNUMBER(P983),ISNUMBER(Q983),ABS(O983-P983-Q983)&gt;1),"⚠ Haberes − descuentos no da el líquido","OK"))))))</f>
        <v/>
      </c>
      <c r="V983" s="62" t="str">
        <f aca="false">IF(C983="","",IFERROR(VALUE(LEFT(UPPER(SUBSTITUTE(SUBSTITUTE(SUBSTITUTE(TRIM(C983),".",""),"-","")," ","")),LEN(UPPER(SUBSTITUTE(SUBSTITUTE(SUBSTITUTE(TRIM(C983),".",""),"-","")," ","")))-1))&amp;RIGHT(UPPER(SUBSTITUTE(SUBSTITUTE(SUBSTITUTE(TRIM(C983),".",""),"-","")," ","")),1),UPPER(SUBSTITUTE(SUBSTITUTE(SUBSTITUTE(TRIM(C983),".",""),"-","")," ",""))))</f>
        <v/>
      </c>
    </row>
    <row r="984" customFormat="false" ht="15" hidden="false" customHeight="false" outlineLevel="0" collapsed="false">
      <c r="B984" s="80"/>
      <c r="C984" s="58"/>
      <c r="D984" s="62" t="str">
        <f aca="false">IF(C984="","",IFERROR(INDEX(T_NOMBRE,MATCH(V984,T_RUTN,0)),"⚠ RUT no está en Trabajadores"))</f>
        <v/>
      </c>
      <c r="E984" s="61"/>
      <c r="F984" s="61"/>
      <c r="G984" s="61"/>
      <c r="H984" s="61"/>
      <c r="I984" s="81"/>
      <c r="J984" s="81"/>
      <c r="K984" s="60"/>
      <c r="L984" s="60"/>
      <c r="M984" s="60"/>
      <c r="N984" s="60"/>
      <c r="O984" s="60"/>
      <c r="P984" s="60"/>
      <c r="Q984" s="60"/>
      <c r="R984" s="58"/>
      <c r="S984" s="62" t="str">
        <f aca="false">IF(OR(B984="",V984=""),"",IFERROR(INDEX(C_TIPO,MATCH(V984&amp;"-P"&amp;MAX(1,COUNTIFS(C_RUTN,V984,C_DEF,"Sí",C_INI,"&lt;="&amp;EOMONTH(B984,0))),C_CLAVE,0))&amp;"","Sin contrato"))</f>
        <v/>
      </c>
      <c r="T984" s="63" t="str">
        <f aca="false">IF(OR(B984="",N(O984)=0),"",N(O984)+ROUND(MIN(N(N984),TOPE_UF*UF_MES)*(TASA_EMP+MUTUAL),0)+ROUND(MIN(N(N984),TOPE_AFC_UF*UF_MES)*IF(S984="Indefinido",AFC_INDEF,AFC_PF),0))</f>
        <v/>
      </c>
      <c r="U984" s="62" t="str">
        <f aca="false">IF(C984="","",IF(LEFT(D984,1)="⚠","⚠ RUT no registrado en Trabajadores",IF(B984="","⚠ Falta el mes",IF(OR(ISTEXT(I984),ISTEXT(J984)),"⚠ Atrasos u horas extra como texto: escriba hh:mm (ej. 1:30)",IF(AND(ISNUMBER(Q984),COUNTIFS(M_RUTN,V984,M_MES,B984,M_LIQ,"&lt;&gt;")&gt;1),"⚠ Liquidación repetida en el mes",IF(AND(ISNUMBER(O984),ISNUMBER(P984),ISNUMBER(Q984),ABS(O984-P984-Q984)&gt;1),"⚠ Haberes − descuentos no da el líquido","OK"))))))</f>
        <v/>
      </c>
      <c r="V984" s="62" t="str">
        <f aca="false">IF(C984="","",IFERROR(VALUE(LEFT(UPPER(SUBSTITUTE(SUBSTITUTE(SUBSTITUTE(TRIM(C984),".",""),"-","")," ","")),LEN(UPPER(SUBSTITUTE(SUBSTITUTE(SUBSTITUTE(TRIM(C984),".",""),"-","")," ","")))-1))&amp;RIGHT(UPPER(SUBSTITUTE(SUBSTITUTE(SUBSTITUTE(TRIM(C984),".",""),"-","")," ","")),1),UPPER(SUBSTITUTE(SUBSTITUTE(SUBSTITUTE(TRIM(C984),".",""),"-","")," ",""))))</f>
        <v/>
      </c>
    </row>
    <row r="985" customFormat="false" ht="15" hidden="false" customHeight="false" outlineLevel="0" collapsed="false">
      <c r="B985" s="80"/>
      <c r="C985" s="58"/>
      <c r="D985" s="62" t="str">
        <f aca="false">IF(C985="","",IFERROR(INDEX(T_NOMBRE,MATCH(V985,T_RUTN,0)),"⚠ RUT no está en Trabajadores"))</f>
        <v/>
      </c>
      <c r="E985" s="61"/>
      <c r="F985" s="61"/>
      <c r="G985" s="61"/>
      <c r="H985" s="61"/>
      <c r="I985" s="81"/>
      <c r="J985" s="81"/>
      <c r="K985" s="60"/>
      <c r="L985" s="60"/>
      <c r="M985" s="60"/>
      <c r="N985" s="60"/>
      <c r="O985" s="60"/>
      <c r="P985" s="60"/>
      <c r="Q985" s="60"/>
      <c r="R985" s="58"/>
      <c r="S985" s="62" t="str">
        <f aca="false">IF(OR(B985="",V985=""),"",IFERROR(INDEX(C_TIPO,MATCH(V985&amp;"-P"&amp;MAX(1,COUNTIFS(C_RUTN,V985,C_DEF,"Sí",C_INI,"&lt;="&amp;EOMONTH(B985,0))),C_CLAVE,0))&amp;"","Sin contrato"))</f>
        <v/>
      </c>
      <c r="T985" s="63" t="str">
        <f aca="false">IF(OR(B985="",N(O985)=0),"",N(O985)+ROUND(MIN(N(N985),TOPE_UF*UF_MES)*(TASA_EMP+MUTUAL),0)+ROUND(MIN(N(N985),TOPE_AFC_UF*UF_MES)*IF(S985="Indefinido",AFC_INDEF,AFC_PF),0))</f>
        <v/>
      </c>
      <c r="U985" s="62" t="str">
        <f aca="false">IF(C985="","",IF(LEFT(D985,1)="⚠","⚠ RUT no registrado en Trabajadores",IF(B985="","⚠ Falta el mes",IF(OR(ISTEXT(I985),ISTEXT(J985)),"⚠ Atrasos u horas extra como texto: escriba hh:mm (ej. 1:30)",IF(AND(ISNUMBER(Q985),COUNTIFS(M_RUTN,V985,M_MES,B985,M_LIQ,"&lt;&gt;")&gt;1),"⚠ Liquidación repetida en el mes",IF(AND(ISNUMBER(O985),ISNUMBER(P985),ISNUMBER(Q985),ABS(O985-P985-Q985)&gt;1),"⚠ Haberes − descuentos no da el líquido","OK"))))))</f>
        <v/>
      </c>
      <c r="V985" s="62" t="str">
        <f aca="false">IF(C985="","",IFERROR(VALUE(LEFT(UPPER(SUBSTITUTE(SUBSTITUTE(SUBSTITUTE(TRIM(C985),".",""),"-","")," ","")),LEN(UPPER(SUBSTITUTE(SUBSTITUTE(SUBSTITUTE(TRIM(C985),".",""),"-","")," ","")))-1))&amp;RIGHT(UPPER(SUBSTITUTE(SUBSTITUTE(SUBSTITUTE(TRIM(C985),".",""),"-","")," ","")),1),UPPER(SUBSTITUTE(SUBSTITUTE(SUBSTITUTE(TRIM(C985),".",""),"-","")," ",""))))</f>
        <v/>
      </c>
    </row>
    <row r="986" customFormat="false" ht="15" hidden="false" customHeight="false" outlineLevel="0" collapsed="false">
      <c r="B986" s="80"/>
      <c r="C986" s="58"/>
      <c r="D986" s="62" t="str">
        <f aca="false">IF(C986="","",IFERROR(INDEX(T_NOMBRE,MATCH(V986,T_RUTN,0)),"⚠ RUT no está en Trabajadores"))</f>
        <v/>
      </c>
      <c r="E986" s="61"/>
      <c r="F986" s="61"/>
      <c r="G986" s="61"/>
      <c r="H986" s="61"/>
      <c r="I986" s="81"/>
      <c r="J986" s="81"/>
      <c r="K986" s="60"/>
      <c r="L986" s="60"/>
      <c r="M986" s="60"/>
      <c r="N986" s="60"/>
      <c r="O986" s="60"/>
      <c r="P986" s="60"/>
      <c r="Q986" s="60"/>
      <c r="R986" s="58"/>
      <c r="S986" s="62" t="str">
        <f aca="false">IF(OR(B986="",V986=""),"",IFERROR(INDEX(C_TIPO,MATCH(V986&amp;"-P"&amp;MAX(1,COUNTIFS(C_RUTN,V986,C_DEF,"Sí",C_INI,"&lt;="&amp;EOMONTH(B986,0))),C_CLAVE,0))&amp;"","Sin contrato"))</f>
        <v/>
      </c>
      <c r="T986" s="63" t="str">
        <f aca="false">IF(OR(B986="",N(O986)=0),"",N(O986)+ROUND(MIN(N(N986),TOPE_UF*UF_MES)*(TASA_EMP+MUTUAL),0)+ROUND(MIN(N(N986),TOPE_AFC_UF*UF_MES)*IF(S986="Indefinido",AFC_INDEF,AFC_PF),0))</f>
        <v/>
      </c>
      <c r="U986" s="62" t="str">
        <f aca="false">IF(C986="","",IF(LEFT(D986,1)="⚠","⚠ RUT no registrado en Trabajadores",IF(B986="","⚠ Falta el mes",IF(OR(ISTEXT(I986),ISTEXT(J986)),"⚠ Atrasos u horas extra como texto: escriba hh:mm (ej. 1:30)",IF(AND(ISNUMBER(Q986),COUNTIFS(M_RUTN,V986,M_MES,B986,M_LIQ,"&lt;&gt;")&gt;1),"⚠ Liquidación repetida en el mes",IF(AND(ISNUMBER(O986),ISNUMBER(P986),ISNUMBER(Q986),ABS(O986-P986-Q986)&gt;1),"⚠ Haberes − descuentos no da el líquido","OK"))))))</f>
        <v/>
      </c>
      <c r="V986" s="62" t="str">
        <f aca="false">IF(C986="","",IFERROR(VALUE(LEFT(UPPER(SUBSTITUTE(SUBSTITUTE(SUBSTITUTE(TRIM(C986),".",""),"-","")," ","")),LEN(UPPER(SUBSTITUTE(SUBSTITUTE(SUBSTITUTE(TRIM(C986),".",""),"-","")," ","")))-1))&amp;RIGHT(UPPER(SUBSTITUTE(SUBSTITUTE(SUBSTITUTE(TRIM(C986),".",""),"-","")," ","")),1),UPPER(SUBSTITUTE(SUBSTITUTE(SUBSTITUTE(TRIM(C986),".",""),"-","")," ",""))))</f>
        <v/>
      </c>
    </row>
    <row r="987" customFormat="false" ht="15" hidden="false" customHeight="false" outlineLevel="0" collapsed="false">
      <c r="B987" s="80"/>
      <c r="C987" s="58"/>
      <c r="D987" s="62" t="str">
        <f aca="false">IF(C987="","",IFERROR(INDEX(T_NOMBRE,MATCH(V987,T_RUTN,0)),"⚠ RUT no está en Trabajadores"))</f>
        <v/>
      </c>
      <c r="E987" s="61"/>
      <c r="F987" s="61"/>
      <c r="G987" s="61"/>
      <c r="H987" s="61"/>
      <c r="I987" s="81"/>
      <c r="J987" s="81"/>
      <c r="K987" s="60"/>
      <c r="L987" s="60"/>
      <c r="M987" s="60"/>
      <c r="N987" s="60"/>
      <c r="O987" s="60"/>
      <c r="P987" s="60"/>
      <c r="Q987" s="60"/>
      <c r="R987" s="58"/>
      <c r="S987" s="62" t="str">
        <f aca="false">IF(OR(B987="",V987=""),"",IFERROR(INDEX(C_TIPO,MATCH(V987&amp;"-P"&amp;MAX(1,COUNTIFS(C_RUTN,V987,C_DEF,"Sí",C_INI,"&lt;="&amp;EOMONTH(B987,0))),C_CLAVE,0))&amp;"","Sin contrato"))</f>
        <v/>
      </c>
      <c r="T987" s="63" t="str">
        <f aca="false">IF(OR(B987="",N(O987)=0),"",N(O987)+ROUND(MIN(N(N987),TOPE_UF*UF_MES)*(TASA_EMP+MUTUAL),0)+ROUND(MIN(N(N987),TOPE_AFC_UF*UF_MES)*IF(S987="Indefinido",AFC_INDEF,AFC_PF),0))</f>
        <v/>
      </c>
      <c r="U987" s="62" t="str">
        <f aca="false">IF(C987="","",IF(LEFT(D987,1)="⚠","⚠ RUT no registrado en Trabajadores",IF(B987="","⚠ Falta el mes",IF(OR(ISTEXT(I987),ISTEXT(J987)),"⚠ Atrasos u horas extra como texto: escriba hh:mm (ej. 1:30)",IF(AND(ISNUMBER(Q987),COUNTIFS(M_RUTN,V987,M_MES,B987,M_LIQ,"&lt;&gt;")&gt;1),"⚠ Liquidación repetida en el mes",IF(AND(ISNUMBER(O987),ISNUMBER(P987),ISNUMBER(Q987),ABS(O987-P987-Q987)&gt;1),"⚠ Haberes − descuentos no da el líquido","OK"))))))</f>
        <v/>
      </c>
      <c r="V987" s="62" t="str">
        <f aca="false">IF(C987="","",IFERROR(VALUE(LEFT(UPPER(SUBSTITUTE(SUBSTITUTE(SUBSTITUTE(TRIM(C987),".",""),"-","")," ","")),LEN(UPPER(SUBSTITUTE(SUBSTITUTE(SUBSTITUTE(TRIM(C987),".",""),"-","")," ","")))-1))&amp;RIGHT(UPPER(SUBSTITUTE(SUBSTITUTE(SUBSTITUTE(TRIM(C987),".",""),"-","")," ","")),1),UPPER(SUBSTITUTE(SUBSTITUTE(SUBSTITUTE(TRIM(C987),".",""),"-","")," ",""))))</f>
        <v/>
      </c>
    </row>
    <row r="988" customFormat="false" ht="15" hidden="false" customHeight="false" outlineLevel="0" collapsed="false">
      <c r="B988" s="80"/>
      <c r="C988" s="58"/>
      <c r="D988" s="62" t="str">
        <f aca="false">IF(C988="","",IFERROR(INDEX(T_NOMBRE,MATCH(V988,T_RUTN,0)),"⚠ RUT no está en Trabajadores"))</f>
        <v/>
      </c>
      <c r="E988" s="61"/>
      <c r="F988" s="61"/>
      <c r="G988" s="61"/>
      <c r="H988" s="61"/>
      <c r="I988" s="81"/>
      <c r="J988" s="81"/>
      <c r="K988" s="60"/>
      <c r="L988" s="60"/>
      <c r="M988" s="60"/>
      <c r="N988" s="60"/>
      <c r="O988" s="60"/>
      <c r="P988" s="60"/>
      <c r="Q988" s="60"/>
      <c r="R988" s="58"/>
      <c r="S988" s="62" t="str">
        <f aca="false">IF(OR(B988="",V988=""),"",IFERROR(INDEX(C_TIPO,MATCH(V988&amp;"-P"&amp;MAX(1,COUNTIFS(C_RUTN,V988,C_DEF,"Sí",C_INI,"&lt;="&amp;EOMONTH(B988,0))),C_CLAVE,0))&amp;"","Sin contrato"))</f>
        <v/>
      </c>
      <c r="T988" s="63" t="str">
        <f aca="false">IF(OR(B988="",N(O988)=0),"",N(O988)+ROUND(MIN(N(N988),TOPE_UF*UF_MES)*(TASA_EMP+MUTUAL),0)+ROUND(MIN(N(N988),TOPE_AFC_UF*UF_MES)*IF(S988="Indefinido",AFC_INDEF,AFC_PF),0))</f>
        <v/>
      </c>
      <c r="U988" s="62" t="str">
        <f aca="false">IF(C988="","",IF(LEFT(D988,1)="⚠","⚠ RUT no registrado en Trabajadores",IF(B988="","⚠ Falta el mes",IF(OR(ISTEXT(I988),ISTEXT(J988)),"⚠ Atrasos u horas extra como texto: escriba hh:mm (ej. 1:30)",IF(AND(ISNUMBER(Q988),COUNTIFS(M_RUTN,V988,M_MES,B988,M_LIQ,"&lt;&gt;")&gt;1),"⚠ Liquidación repetida en el mes",IF(AND(ISNUMBER(O988),ISNUMBER(P988),ISNUMBER(Q988),ABS(O988-P988-Q988)&gt;1),"⚠ Haberes − descuentos no da el líquido","OK"))))))</f>
        <v/>
      </c>
      <c r="V988" s="62" t="str">
        <f aca="false">IF(C988="","",IFERROR(VALUE(LEFT(UPPER(SUBSTITUTE(SUBSTITUTE(SUBSTITUTE(TRIM(C988),".",""),"-","")," ","")),LEN(UPPER(SUBSTITUTE(SUBSTITUTE(SUBSTITUTE(TRIM(C988),".",""),"-","")," ","")))-1))&amp;RIGHT(UPPER(SUBSTITUTE(SUBSTITUTE(SUBSTITUTE(TRIM(C988),".",""),"-","")," ","")),1),UPPER(SUBSTITUTE(SUBSTITUTE(SUBSTITUTE(TRIM(C988),".",""),"-","")," ",""))))</f>
        <v/>
      </c>
    </row>
    <row r="989" customFormat="false" ht="15" hidden="false" customHeight="false" outlineLevel="0" collapsed="false">
      <c r="B989" s="80"/>
      <c r="C989" s="58"/>
      <c r="D989" s="62" t="str">
        <f aca="false">IF(C989="","",IFERROR(INDEX(T_NOMBRE,MATCH(V989,T_RUTN,0)),"⚠ RUT no está en Trabajadores"))</f>
        <v/>
      </c>
      <c r="E989" s="61"/>
      <c r="F989" s="61"/>
      <c r="G989" s="61"/>
      <c r="H989" s="61"/>
      <c r="I989" s="81"/>
      <c r="J989" s="81"/>
      <c r="K989" s="60"/>
      <c r="L989" s="60"/>
      <c r="M989" s="60"/>
      <c r="N989" s="60"/>
      <c r="O989" s="60"/>
      <c r="P989" s="60"/>
      <c r="Q989" s="60"/>
      <c r="R989" s="58"/>
      <c r="S989" s="62" t="str">
        <f aca="false">IF(OR(B989="",V989=""),"",IFERROR(INDEX(C_TIPO,MATCH(V989&amp;"-P"&amp;MAX(1,COUNTIFS(C_RUTN,V989,C_DEF,"Sí",C_INI,"&lt;="&amp;EOMONTH(B989,0))),C_CLAVE,0))&amp;"","Sin contrato"))</f>
        <v/>
      </c>
      <c r="T989" s="63" t="str">
        <f aca="false">IF(OR(B989="",N(O989)=0),"",N(O989)+ROUND(MIN(N(N989),TOPE_UF*UF_MES)*(TASA_EMP+MUTUAL),0)+ROUND(MIN(N(N989),TOPE_AFC_UF*UF_MES)*IF(S989="Indefinido",AFC_INDEF,AFC_PF),0))</f>
        <v/>
      </c>
      <c r="U989" s="62" t="str">
        <f aca="false">IF(C989="","",IF(LEFT(D989,1)="⚠","⚠ RUT no registrado en Trabajadores",IF(B989="","⚠ Falta el mes",IF(OR(ISTEXT(I989),ISTEXT(J989)),"⚠ Atrasos u horas extra como texto: escriba hh:mm (ej. 1:30)",IF(AND(ISNUMBER(Q989),COUNTIFS(M_RUTN,V989,M_MES,B989,M_LIQ,"&lt;&gt;")&gt;1),"⚠ Liquidación repetida en el mes",IF(AND(ISNUMBER(O989),ISNUMBER(P989),ISNUMBER(Q989),ABS(O989-P989-Q989)&gt;1),"⚠ Haberes − descuentos no da el líquido","OK"))))))</f>
        <v/>
      </c>
      <c r="V989" s="62" t="str">
        <f aca="false">IF(C989="","",IFERROR(VALUE(LEFT(UPPER(SUBSTITUTE(SUBSTITUTE(SUBSTITUTE(TRIM(C989),".",""),"-","")," ","")),LEN(UPPER(SUBSTITUTE(SUBSTITUTE(SUBSTITUTE(TRIM(C989),".",""),"-","")," ","")))-1))&amp;RIGHT(UPPER(SUBSTITUTE(SUBSTITUTE(SUBSTITUTE(TRIM(C989),".",""),"-","")," ","")),1),UPPER(SUBSTITUTE(SUBSTITUTE(SUBSTITUTE(TRIM(C989),".",""),"-","")," ",""))))</f>
        <v/>
      </c>
    </row>
    <row r="990" customFormat="false" ht="15" hidden="false" customHeight="false" outlineLevel="0" collapsed="false">
      <c r="B990" s="80"/>
      <c r="C990" s="58"/>
      <c r="D990" s="62" t="str">
        <f aca="false">IF(C990="","",IFERROR(INDEX(T_NOMBRE,MATCH(V990,T_RUTN,0)),"⚠ RUT no está en Trabajadores"))</f>
        <v/>
      </c>
      <c r="E990" s="61"/>
      <c r="F990" s="61"/>
      <c r="G990" s="61"/>
      <c r="H990" s="61"/>
      <c r="I990" s="81"/>
      <c r="J990" s="81"/>
      <c r="K990" s="60"/>
      <c r="L990" s="60"/>
      <c r="M990" s="60"/>
      <c r="N990" s="60"/>
      <c r="O990" s="60"/>
      <c r="P990" s="60"/>
      <c r="Q990" s="60"/>
      <c r="R990" s="58"/>
      <c r="S990" s="62" t="str">
        <f aca="false">IF(OR(B990="",V990=""),"",IFERROR(INDEX(C_TIPO,MATCH(V990&amp;"-P"&amp;MAX(1,COUNTIFS(C_RUTN,V990,C_DEF,"Sí",C_INI,"&lt;="&amp;EOMONTH(B990,0))),C_CLAVE,0))&amp;"","Sin contrato"))</f>
        <v/>
      </c>
      <c r="T990" s="63" t="str">
        <f aca="false">IF(OR(B990="",N(O990)=0),"",N(O990)+ROUND(MIN(N(N990),TOPE_UF*UF_MES)*(TASA_EMP+MUTUAL),0)+ROUND(MIN(N(N990),TOPE_AFC_UF*UF_MES)*IF(S990="Indefinido",AFC_INDEF,AFC_PF),0))</f>
        <v/>
      </c>
      <c r="U990" s="62" t="str">
        <f aca="false">IF(C990="","",IF(LEFT(D990,1)="⚠","⚠ RUT no registrado en Trabajadores",IF(B990="","⚠ Falta el mes",IF(OR(ISTEXT(I990),ISTEXT(J990)),"⚠ Atrasos u horas extra como texto: escriba hh:mm (ej. 1:30)",IF(AND(ISNUMBER(Q990),COUNTIFS(M_RUTN,V990,M_MES,B990,M_LIQ,"&lt;&gt;")&gt;1),"⚠ Liquidación repetida en el mes",IF(AND(ISNUMBER(O990),ISNUMBER(P990),ISNUMBER(Q990),ABS(O990-P990-Q990)&gt;1),"⚠ Haberes − descuentos no da el líquido","OK"))))))</f>
        <v/>
      </c>
      <c r="V990" s="62" t="str">
        <f aca="false">IF(C990="","",IFERROR(VALUE(LEFT(UPPER(SUBSTITUTE(SUBSTITUTE(SUBSTITUTE(TRIM(C990),".",""),"-","")," ","")),LEN(UPPER(SUBSTITUTE(SUBSTITUTE(SUBSTITUTE(TRIM(C990),".",""),"-","")," ","")))-1))&amp;RIGHT(UPPER(SUBSTITUTE(SUBSTITUTE(SUBSTITUTE(TRIM(C990),".",""),"-","")," ","")),1),UPPER(SUBSTITUTE(SUBSTITUTE(SUBSTITUTE(TRIM(C990),".",""),"-","")," ",""))))</f>
        <v/>
      </c>
    </row>
    <row r="991" customFormat="false" ht="15" hidden="false" customHeight="false" outlineLevel="0" collapsed="false">
      <c r="B991" s="80"/>
      <c r="C991" s="58"/>
      <c r="D991" s="62" t="str">
        <f aca="false">IF(C991="","",IFERROR(INDEX(T_NOMBRE,MATCH(V991,T_RUTN,0)),"⚠ RUT no está en Trabajadores"))</f>
        <v/>
      </c>
      <c r="E991" s="61"/>
      <c r="F991" s="61"/>
      <c r="G991" s="61"/>
      <c r="H991" s="61"/>
      <c r="I991" s="81"/>
      <c r="J991" s="81"/>
      <c r="K991" s="60"/>
      <c r="L991" s="60"/>
      <c r="M991" s="60"/>
      <c r="N991" s="60"/>
      <c r="O991" s="60"/>
      <c r="P991" s="60"/>
      <c r="Q991" s="60"/>
      <c r="R991" s="58"/>
      <c r="S991" s="62" t="str">
        <f aca="false">IF(OR(B991="",V991=""),"",IFERROR(INDEX(C_TIPO,MATCH(V991&amp;"-P"&amp;MAX(1,COUNTIFS(C_RUTN,V991,C_DEF,"Sí",C_INI,"&lt;="&amp;EOMONTH(B991,0))),C_CLAVE,0))&amp;"","Sin contrato"))</f>
        <v/>
      </c>
      <c r="T991" s="63" t="str">
        <f aca="false">IF(OR(B991="",N(O991)=0),"",N(O991)+ROUND(MIN(N(N991),TOPE_UF*UF_MES)*(TASA_EMP+MUTUAL),0)+ROUND(MIN(N(N991),TOPE_AFC_UF*UF_MES)*IF(S991="Indefinido",AFC_INDEF,AFC_PF),0))</f>
        <v/>
      </c>
      <c r="U991" s="62" t="str">
        <f aca="false">IF(C991="","",IF(LEFT(D991,1)="⚠","⚠ RUT no registrado en Trabajadores",IF(B991="","⚠ Falta el mes",IF(OR(ISTEXT(I991),ISTEXT(J991)),"⚠ Atrasos u horas extra como texto: escriba hh:mm (ej. 1:30)",IF(AND(ISNUMBER(Q991),COUNTIFS(M_RUTN,V991,M_MES,B991,M_LIQ,"&lt;&gt;")&gt;1),"⚠ Liquidación repetida en el mes",IF(AND(ISNUMBER(O991),ISNUMBER(P991),ISNUMBER(Q991),ABS(O991-P991-Q991)&gt;1),"⚠ Haberes − descuentos no da el líquido","OK"))))))</f>
        <v/>
      </c>
      <c r="V991" s="62" t="str">
        <f aca="false">IF(C991="","",IFERROR(VALUE(LEFT(UPPER(SUBSTITUTE(SUBSTITUTE(SUBSTITUTE(TRIM(C991),".",""),"-","")," ","")),LEN(UPPER(SUBSTITUTE(SUBSTITUTE(SUBSTITUTE(TRIM(C991),".",""),"-","")," ","")))-1))&amp;RIGHT(UPPER(SUBSTITUTE(SUBSTITUTE(SUBSTITUTE(TRIM(C991),".",""),"-","")," ","")),1),UPPER(SUBSTITUTE(SUBSTITUTE(SUBSTITUTE(TRIM(C991),".",""),"-","")," ",""))))</f>
        <v/>
      </c>
    </row>
    <row r="992" customFormat="false" ht="15" hidden="false" customHeight="false" outlineLevel="0" collapsed="false">
      <c r="B992" s="80"/>
      <c r="C992" s="58"/>
      <c r="D992" s="62" t="str">
        <f aca="false">IF(C992="","",IFERROR(INDEX(T_NOMBRE,MATCH(V992,T_RUTN,0)),"⚠ RUT no está en Trabajadores"))</f>
        <v/>
      </c>
      <c r="E992" s="61"/>
      <c r="F992" s="61"/>
      <c r="G992" s="61"/>
      <c r="H992" s="61"/>
      <c r="I992" s="81"/>
      <c r="J992" s="81"/>
      <c r="K992" s="60"/>
      <c r="L992" s="60"/>
      <c r="M992" s="60"/>
      <c r="N992" s="60"/>
      <c r="O992" s="60"/>
      <c r="P992" s="60"/>
      <c r="Q992" s="60"/>
      <c r="R992" s="58"/>
      <c r="S992" s="62" t="str">
        <f aca="false">IF(OR(B992="",V992=""),"",IFERROR(INDEX(C_TIPO,MATCH(V992&amp;"-P"&amp;MAX(1,COUNTIFS(C_RUTN,V992,C_DEF,"Sí",C_INI,"&lt;="&amp;EOMONTH(B992,0))),C_CLAVE,0))&amp;"","Sin contrato"))</f>
        <v/>
      </c>
      <c r="T992" s="63" t="str">
        <f aca="false">IF(OR(B992="",N(O992)=0),"",N(O992)+ROUND(MIN(N(N992),TOPE_UF*UF_MES)*(TASA_EMP+MUTUAL),0)+ROUND(MIN(N(N992),TOPE_AFC_UF*UF_MES)*IF(S992="Indefinido",AFC_INDEF,AFC_PF),0))</f>
        <v/>
      </c>
      <c r="U992" s="62" t="str">
        <f aca="false">IF(C992="","",IF(LEFT(D992,1)="⚠","⚠ RUT no registrado en Trabajadores",IF(B992="","⚠ Falta el mes",IF(OR(ISTEXT(I992),ISTEXT(J992)),"⚠ Atrasos u horas extra como texto: escriba hh:mm (ej. 1:30)",IF(AND(ISNUMBER(Q992),COUNTIFS(M_RUTN,V992,M_MES,B992,M_LIQ,"&lt;&gt;")&gt;1),"⚠ Liquidación repetida en el mes",IF(AND(ISNUMBER(O992),ISNUMBER(P992),ISNUMBER(Q992),ABS(O992-P992-Q992)&gt;1),"⚠ Haberes − descuentos no da el líquido","OK"))))))</f>
        <v/>
      </c>
      <c r="V992" s="62" t="str">
        <f aca="false">IF(C992="","",IFERROR(VALUE(LEFT(UPPER(SUBSTITUTE(SUBSTITUTE(SUBSTITUTE(TRIM(C992),".",""),"-","")," ","")),LEN(UPPER(SUBSTITUTE(SUBSTITUTE(SUBSTITUTE(TRIM(C992),".",""),"-","")," ","")))-1))&amp;RIGHT(UPPER(SUBSTITUTE(SUBSTITUTE(SUBSTITUTE(TRIM(C992),".",""),"-","")," ","")),1),UPPER(SUBSTITUTE(SUBSTITUTE(SUBSTITUTE(TRIM(C992),".",""),"-","")," ",""))))</f>
        <v/>
      </c>
    </row>
    <row r="993" customFormat="false" ht="15" hidden="false" customHeight="false" outlineLevel="0" collapsed="false">
      <c r="B993" s="80"/>
      <c r="C993" s="58"/>
      <c r="D993" s="62" t="str">
        <f aca="false">IF(C993="","",IFERROR(INDEX(T_NOMBRE,MATCH(V993,T_RUTN,0)),"⚠ RUT no está en Trabajadores"))</f>
        <v/>
      </c>
      <c r="E993" s="61"/>
      <c r="F993" s="61"/>
      <c r="G993" s="61"/>
      <c r="H993" s="61"/>
      <c r="I993" s="81"/>
      <c r="J993" s="81"/>
      <c r="K993" s="60"/>
      <c r="L993" s="60"/>
      <c r="M993" s="60"/>
      <c r="N993" s="60"/>
      <c r="O993" s="60"/>
      <c r="P993" s="60"/>
      <c r="Q993" s="60"/>
      <c r="R993" s="58"/>
      <c r="S993" s="62" t="str">
        <f aca="false">IF(OR(B993="",V993=""),"",IFERROR(INDEX(C_TIPO,MATCH(V993&amp;"-P"&amp;MAX(1,COUNTIFS(C_RUTN,V993,C_DEF,"Sí",C_INI,"&lt;="&amp;EOMONTH(B993,0))),C_CLAVE,0))&amp;"","Sin contrato"))</f>
        <v/>
      </c>
      <c r="T993" s="63" t="str">
        <f aca="false">IF(OR(B993="",N(O993)=0),"",N(O993)+ROUND(MIN(N(N993),TOPE_UF*UF_MES)*(TASA_EMP+MUTUAL),0)+ROUND(MIN(N(N993),TOPE_AFC_UF*UF_MES)*IF(S993="Indefinido",AFC_INDEF,AFC_PF),0))</f>
        <v/>
      </c>
      <c r="U993" s="62" t="str">
        <f aca="false">IF(C993="","",IF(LEFT(D993,1)="⚠","⚠ RUT no registrado en Trabajadores",IF(B993="","⚠ Falta el mes",IF(OR(ISTEXT(I993),ISTEXT(J993)),"⚠ Atrasos u horas extra como texto: escriba hh:mm (ej. 1:30)",IF(AND(ISNUMBER(Q993),COUNTIFS(M_RUTN,V993,M_MES,B993,M_LIQ,"&lt;&gt;")&gt;1),"⚠ Liquidación repetida en el mes",IF(AND(ISNUMBER(O993),ISNUMBER(P993),ISNUMBER(Q993),ABS(O993-P993-Q993)&gt;1),"⚠ Haberes − descuentos no da el líquido","OK"))))))</f>
        <v/>
      </c>
      <c r="V993" s="62" t="str">
        <f aca="false">IF(C993="","",IFERROR(VALUE(LEFT(UPPER(SUBSTITUTE(SUBSTITUTE(SUBSTITUTE(TRIM(C993),".",""),"-","")," ","")),LEN(UPPER(SUBSTITUTE(SUBSTITUTE(SUBSTITUTE(TRIM(C993),".",""),"-","")," ","")))-1))&amp;RIGHT(UPPER(SUBSTITUTE(SUBSTITUTE(SUBSTITUTE(TRIM(C993),".",""),"-","")," ","")),1),UPPER(SUBSTITUTE(SUBSTITUTE(SUBSTITUTE(TRIM(C993),".",""),"-","")," ",""))))</f>
        <v/>
      </c>
    </row>
    <row r="994" customFormat="false" ht="15" hidden="false" customHeight="false" outlineLevel="0" collapsed="false">
      <c r="B994" s="80"/>
      <c r="C994" s="58"/>
      <c r="D994" s="62" t="str">
        <f aca="false">IF(C994="","",IFERROR(INDEX(T_NOMBRE,MATCH(V994,T_RUTN,0)),"⚠ RUT no está en Trabajadores"))</f>
        <v/>
      </c>
      <c r="E994" s="61"/>
      <c r="F994" s="61"/>
      <c r="G994" s="61"/>
      <c r="H994" s="61"/>
      <c r="I994" s="81"/>
      <c r="J994" s="81"/>
      <c r="K994" s="60"/>
      <c r="L994" s="60"/>
      <c r="M994" s="60"/>
      <c r="N994" s="60"/>
      <c r="O994" s="60"/>
      <c r="P994" s="60"/>
      <c r="Q994" s="60"/>
      <c r="R994" s="58"/>
      <c r="S994" s="62" t="str">
        <f aca="false">IF(OR(B994="",V994=""),"",IFERROR(INDEX(C_TIPO,MATCH(V994&amp;"-P"&amp;MAX(1,COUNTIFS(C_RUTN,V994,C_DEF,"Sí",C_INI,"&lt;="&amp;EOMONTH(B994,0))),C_CLAVE,0))&amp;"","Sin contrato"))</f>
        <v/>
      </c>
      <c r="T994" s="63" t="str">
        <f aca="false">IF(OR(B994="",N(O994)=0),"",N(O994)+ROUND(MIN(N(N994),TOPE_UF*UF_MES)*(TASA_EMP+MUTUAL),0)+ROUND(MIN(N(N994),TOPE_AFC_UF*UF_MES)*IF(S994="Indefinido",AFC_INDEF,AFC_PF),0))</f>
        <v/>
      </c>
      <c r="U994" s="62" t="str">
        <f aca="false">IF(C994="","",IF(LEFT(D994,1)="⚠","⚠ RUT no registrado en Trabajadores",IF(B994="","⚠ Falta el mes",IF(OR(ISTEXT(I994),ISTEXT(J994)),"⚠ Atrasos u horas extra como texto: escriba hh:mm (ej. 1:30)",IF(AND(ISNUMBER(Q994),COUNTIFS(M_RUTN,V994,M_MES,B994,M_LIQ,"&lt;&gt;")&gt;1),"⚠ Liquidación repetida en el mes",IF(AND(ISNUMBER(O994),ISNUMBER(P994),ISNUMBER(Q994),ABS(O994-P994-Q994)&gt;1),"⚠ Haberes − descuentos no da el líquido","OK"))))))</f>
        <v/>
      </c>
      <c r="V994" s="62" t="str">
        <f aca="false">IF(C994="","",IFERROR(VALUE(LEFT(UPPER(SUBSTITUTE(SUBSTITUTE(SUBSTITUTE(TRIM(C994),".",""),"-","")," ","")),LEN(UPPER(SUBSTITUTE(SUBSTITUTE(SUBSTITUTE(TRIM(C994),".",""),"-","")," ","")))-1))&amp;RIGHT(UPPER(SUBSTITUTE(SUBSTITUTE(SUBSTITUTE(TRIM(C994),".",""),"-","")," ","")),1),UPPER(SUBSTITUTE(SUBSTITUTE(SUBSTITUTE(TRIM(C994),".",""),"-","")," ",""))))</f>
        <v/>
      </c>
    </row>
    <row r="995" customFormat="false" ht="15" hidden="false" customHeight="false" outlineLevel="0" collapsed="false">
      <c r="B995" s="80"/>
      <c r="C995" s="58"/>
      <c r="D995" s="62" t="str">
        <f aca="false">IF(C995="","",IFERROR(INDEX(T_NOMBRE,MATCH(V995,T_RUTN,0)),"⚠ RUT no está en Trabajadores"))</f>
        <v/>
      </c>
      <c r="E995" s="61"/>
      <c r="F995" s="61"/>
      <c r="G995" s="61"/>
      <c r="H995" s="61"/>
      <c r="I995" s="81"/>
      <c r="J995" s="81"/>
      <c r="K995" s="60"/>
      <c r="L995" s="60"/>
      <c r="M995" s="60"/>
      <c r="N995" s="60"/>
      <c r="O995" s="60"/>
      <c r="P995" s="60"/>
      <c r="Q995" s="60"/>
      <c r="R995" s="58"/>
      <c r="S995" s="62" t="str">
        <f aca="false">IF(OR(B995="",V995=""),"",IFERROR(INDEX(C_TIPO,MATCH(V995&amp;"-P"&amp;MAX(1,COUNTIFS(C_RUTN,V995,C_DEF,"Sí",C_INI,"&lt;="&amp;EOMONTH(B995,0))),C_CLAVE,0))&amp;"","Sin contrato"))</f>
        <v/>
      </c>
      <c r="T995" s="63" t="str">
        <f aca="false">IF(OR(B995="",N(O995)=0),"",N(O995)+ROUND(MIN(N(N995),TOPE_UF*UF_MES)*(TASA_EMP+MUTUAL),0)+ROUND(MIN(N(N995),TOPE_AFC_UF*UF_MES)*IF(S995="Indefinido",AFC_INDEF,AFC_PF),0))</f>
        <v/>
      </c>
      <c r="U995" s="62" t="str">
        <f aca="false">IF(C995="","",IF(LEFT(D995,1)="⚠","⚠ RUT no registrado en Trabajadores",IF(B995="","⚠ Falta el mes",IF(OR(ISTEXT(I995),ISTEXT(J995)),"⚠ Atrasos u horas extra como texto: escriba hh:mm (ej. 1:30)",IF(AND(ISNUMBER(Q995),COUNTIFS(M_RUTN,V995,M_MES,B995,M_LIQ,"&lt;&gt;")&gt;1),"⚠ Liquidación repetida en el mes",IF(AND(ISNUMBER(O995),ISNUMBER(P995),ISNUMBER(Q995),ABS(O995-P995-Q995)&gt;1),"⚠ Haberes − descuentos no da el líquido","OK"))))))</f>
        <v/>
      </c>
      <c r="V995" s="62" t="str">
        <f aca="false">IF(C995="","",IFERROR(VALUE(LEFT(UPPER(SUBSTITUTE(SUBSTITUTE(SUBSTITUTE(TRIM(C995),".",""),"-","")," ","")),LEN(UPPER(SUBSTITUTE(SUBSTITUTE(SUBSTITUTE(TRIM(C995),".",""),"-","")," ","")))-1))&amp;RIGHT(UPPER(SUBSTITUTE(SUBSTITUTE(SUBSTITUTE(TRIM(C995),".",""),"-","")," ","")),1),UPPER(SUBSTITUTE(SUBSTITUTE(SUBSTITUTE(TRIM(C995),".",""),"-","")," ",""))))</f>
        <v/>
      </c>
    </row>
    <row r="996" customFormat="false" ht="15" hidden="false" customHeight="false" outlineLevel="0" collapsed="false">
      <c r="B996" s="80"/>
      <c r="C996" s="58"/>
      <c r="D996" s="62" t="str">
        <f aca="false">IF(C996="","",IFERROR(INDEX(T_NOMBRE,MATCH(V996,T_RUTN,0)),"⚠ RUT no está en Trabajadores"))</f>
        <v/>
      </c>
      <c r="E996" s="61"/>
      <c r="F996" s="61"/>
      <c r="G996" s="61"/>
      <c r="H996" s="61"/>
      <c r="I996" s="81"/>
      <c r="J996" s="81"/>
      <c r="K996" s="60"/>
      <c r="L996" s="60"/>
      <c r="M996" s="60"/>
      <c r="N996" s="60"/>
      <c r="O996" s="60"/>
      <c r="P996" s="60"/>
      <c r="Q996" s="60"/>
      <c r="R996" s="58"/>
      <c r="S996" s="62" t="str">
        <f aca="false">IF(OR(B996="",V996=""),"",IFERROR(INDEX(C_TIPO,MATCH(V996&amp;"-P"&amp;MAX(1,COUNTIFS(C_RUTN,V996,C_DEF,"Sí",C_INI,"&lt;="&amp;EOMONTH(B996,0))),C_CLAVE,0))&amp;"","Sin contrato"))</f>
        <v/>
      </c>
      <c r="T996" s="63" t="str">
        <f aca="false">IF(OR(B996="",N(O996)=0),"",N(O996)+ROUND(MIN(N(N996),TOPE_UF*UF_MES)*(TASA_EMP+MUTUAL),0)+ROUND(MIN(N(N996),TOPE_AFC_UF*UF_MES)*IF(S996="Indefinido",AFC_INDEF,AFC_PF),0))</f>
        <v/>
      </c>
      <c r="U996" s="62" t="str">
        <f aca="false">IF(C996="","",IF(LEFT(D996,1)="⚠","⚠ RUT no registrado en Trabajadores",IF(B996="","⚠ Falta el mes",IF(OR(ISTEXT(I996),ISTEXT(J996)),"⚠ Atrasos u horas extra como texto: escriba hh:mm (ej. 1:30)",IF(AND(ISNUMBER(Q996),COUNTIFS(M_RUTN,V996,M_MES,B996,M_LIQ,"&lt;&gt;")&gt;1),"⚠ Liquidación repetida en el mes",IF(AND(ISNUMBER(O996),ISNUMBER(P996),ISNUMBER(Q996),ABS(O996-P996-Q996)&gt;1),"⚠ Haberes − descuentos no da el líquido","OK"))))))</f>
        <v/>
      </c>
      <c r="V996" s="62" t="str">
        <f aca="false">IF(C996="","",IFERROR(VALUE(LEFT(UPPER(SUBSTITUTE(SUBSTITUTE(SUBSTITUTE(TRIM(C996),".",""),"-","")," ","")),LEN(UPPER(SUBSTITUTE(SUBSTITUTE(SUBSTITUTE(TRIM(C996),".",""),"-","")," ","")))-1))&amp;RIGHT(UPPER(SUBSTITUTE(SUBSTITUTE(SUBSTITUTE(TRIM(C996),".",""),"-","")," ","")),1),UPPER(SUBSTITUTE(SUBSTITUTE(SUBSTITUTE(TRIM(C996),".",""),"-","")," ",""))))</f>
        <v/>
      </c>
    </row>
    <row r="997" customFormat="false" ht="15" hidden="false" customHeight="false" outlineLevel="0" collapsed="false">
      <c r="B997" s="80"/>
      <c r="C997" s="58"/>
      <c r="D997" s="62" t="str">
        <f aca="false">IF(C997="","",IFERROR(INDEX(T_NOMBRE,MATCH(V997,T_RUTN,0)),"⚠ RUT no está en Trabajadores"))</f>
        <v/>
      </c>
      <c r="E997" s="61"/>
      <c r="F997" s="61"/>
      <c r="G997" s="61"/>
      <c r="H997" s="61"/>
      <c r="I997" s="81"/>
      <c r="J997" s="81"/>
      <c r="K997" s="60"/>
      <c r="L997" s="60"/>
      <c r="M997" s="60"/>
      <c r="N997" s="60"/>
      <c r="O997" s="60"/>
      <c r="P997" s="60"/>
      <c r="Q997" s="60"/>
      <c r="R997" s="58"/>
      <c r="S997" s="62" t="str">
        <f aca="false">IF(OR(B997="",V997=""),"",IFERROR(INDEX(C_TIPO,MATCH(V997&amp;"-P"&amp;MAX(1,COUNTIFS(C_RUTN,V997,C_DEF,"Sí",C_INI,"&lt;="&amp;EOMONTH(B997,0))),C_CLAVE,0))&amp;"","Sin contrato"))</f>
        <v/>
      </c>
      <c r="T997" s="63" t="str">
        <f aca="false">IF(OR(B997="",N(O997)=0),"",N(O997)+ROUND(MIN(N(N997),TOPE_UF*UF_MES)*(TASA_EMP+MUTUAL),0)+ROUND(MIN(N(N997),TOPE_AFC_UF*UF_MES)*IF(S997="Indefinido",AFC_INDEF,AFC_PF),0))</f>
        <v/>
      </c>
      <c r="U997" s="62" t="str">
        <f aca="false">IF(C997="","",IF(LEFT(D997,1)="⚠","⚠ RUT no registrado en Trabajadores",IF(B997="","⚠ Falta el mes",IF(OR(ISTEXT(I997),ISTEXT(J997)),"⚠ Atrasos u horas extra como texto: escriba hh:mm (ej. 1:30)",IF(AND(ISNUMBER(Q997),COUNTIFS(M_RUTN,V997,M_MES,B997,M_LIQ,"&lt;&gt;")&gt;1),"⚠ Liquidación repetida en el mes",IF(AND(ISNUMBER(O997),ISNUMBER(P997),ISNUMBER(Q997),ABS(O997-P997-Q997)&gt;1),"⚠ Haberes − descuentos no da el líquido","OK"))))))</f>
        <v/>
      </c>
      <c r="V997" s="62" t="str">
        <f aca="false">IF(C997="","",IFERROR(VALUE(LEFT(UPPER(SUBSTITUTE(SUBSTITUTE(SUBSTITUTE(TRIM(C997),".",""),"-","")," ","")),LEN(UPPER(SUBSTITUTE(SUBSTITUTE(SUBSTITUTE(TRIM(C997),".",""),"-","")," ","")))-1))&amp;RIGHT(UPPER(SUBSTITUTE(SUBSTITUTE(SUBSTITUTE(TRIM(C997),".",""),"-","")," ","")),1),UPPER(SUBSTITUTE(SUBSTITUTE(SUBSTITUTE(TRIM(C997),".",""),"-","")," ",""))))</f>
        <v/>
      </c>
    </row>
    <row r="998" customFormat="false" ht="15" hidden="false" customHeight="false" outlineLevel="0" collapsed="false">
      <c r="B998" s="80"/>
      <c r="C998" s="58"/>
      <c r="D998" s="62" t="str">
        <f aca="false">IF(C998="","",IFERROR(INDEX(T_NOMBRE,MATCH(V998,T_RUTN,0)),"⚠ RUT no está en Trabajadores"))</f>
        <v/>
      </c>
      <c r="E998" s="61"/>
      <c r="F998" s="61"/>
      <c r="G998" s="61"/>
      <c r="H998" s="61"/>
      <c r="I998" s="81"/>
      <c r="J998" s="81"/>
      <c r="K998" s="60"/>
      <c r="L998" s="60"/>
      <c r="M998" s="60"/>
      <c r="N998" s="60"/>
      <c r="O998" s="60"/>
      <c r="P998" s="60"/>
      <c r="Q998" s="60"/>
      <c r="R998" s="58"/>
      <c r="S998" s="62" t="str">
        <f aca="false">IF(OR(B998="",V998=""),"",IFERROR(INDEX(C_TIPO,MATCH(V998&amp;"-P"&amp;MAX(1,COUNTIFS(C_RUTN,V998,C_DEF,"Sí",C_INI,"&lt;="&amp;EOMONTH(B998,0))),C_CLAVE,0))&amp;"","Sin contrato"))</f>
        <v/>
      </c>
      <c r="T998" s="63" t="str">
        <f aca="false">IF(OR(B998="",N(O998)=0),"",N(O998)+ROUND(MIN(N(N998),TOPE_UF*UF_MES)*(TASA_EMP+MUTUAL),0)+ROUND(MIN(N(N998),TOPE_AFC_UF*UF_MES)*IF(S998="Indefinido",AFC_INDEF,AFC_PF),0))</f>
        <v/>
      </c>
      <c r="U998" s="62" t="str">
        <f aca="false">IF(C998="","",IF(LEFT(D998,1)="⚠","⚠ RUT no registrado en Trabajadores",IF(B998="","⚠ Falta el mes",IF(OR(ISTEXT(I998),ISTEXT(J998)),"⚠ Atrasos u horas extra como texto: escriba hh:mm (ej. 1:30)",IF(AND(ISNUMBER(Q998),COUNTIFS(M_RUTN,V998,M_MES,B998,M_LIQ,"&lt;&gt;")&gt;1),"⚠ Liquidación repetida en el mes",IF(AND(ISNUMBER(O998),ISNUMBER(P998),ISNUMBER(Q998),ABS(O998-P998-Q998)&gt;1),"⚠ Haberes − descuentos no da el líquido","OK"))))))</f>
        <v/>
      </c>
      <c r="V998" s="62" t="str">
        <f aca="false">IF(C998="","",IFERROR(VALUE(LEFT(UPPER(SUBSTITUTE(SUBSTITUTE(SUBSTITUTE(TRIM(C998),".",""),"-","")," ","")),LEN(UPPER(SUBSTITUTE(SUBSTITUTE(SUBSTITUTE(TRIM(C998),".",""),"-","")," ","")))-1))&amp;RIGHT(UPPER(SUBSTITUTE(SUBSTITUTE(SUBSTITUTE(TRIM(C998),".",""),"-","")," ","")),1),UPPER(SUBSTITUTE(SUBSTITUTE(SUBSTITUTE(TRIM(C998),".",""),"-","")," ",""))))</f>
        <v/>
      </c>
    </row>
    <row r="999" customFormat="false" ht="15" hidden="false" customHeight="false" outlineLevel="0" collapsed="false">
      <c r="B999" s="80"/>
      <c r="C999" s="58"/>
      <c r="D999" s="62" t="str">
        <f aca="false">IF(C999="","",IFERROR(INDEX(T_NOMBRE,MATCH(V999,T_RUTN,0)),"⚠ RUT no está en Trabajadores"))</f>
        <v/>
      </c>
      <c r="E999" s="61"/>
      <c r="F999" s="61"/>
      <c r="G999" s="61"/>
      <c r="H999" s="61"/>
      <c r="I999" s="81"/>
      <c r="J999" s="81"/>
      <c r="K999" s="60"/>
      <c r="L999" s="60"/>
      <c r="M999" s="60"/>
      <c r="N999" s="60"/>
      <c r="O999" s="60"/>
      <c r="P999" s="60"/>
      <c r="Q999" s="60"/>
      <c r="R999" s="58"/>
      <c r="S999" s="62" t="str">
        <f aca="false">IF(OR(B999="",V999=""),"",IFERROR(INDEX(C_TIPO,MATCH(V999&amp;"-P"&amp;MAX(1,COUNTIFS(C_RUTN,V999,C_DEF,"Sí",C_INI,"&lt;="&amp;EOMONTH(B999,0))),C_CLAVE,0))&amp;"","Sin contrato"))</f>
        <v/>
      </c>
      <c r="T999" s="63" t="str">
        <f aca="false">IF(OR(B999="",N(O999)=0),"",N(O999)+ROUND(MIN(N(N999),TOPE_UF*UF_MES)*(TASA_EMP+MUTUAL),0)+ROUND(MIN(N(N999),TOPE_AFC_UF*UF_MES)*IF(S999="Indefinido",AFC_INDEF,AFC_PF),0))</f>
        <v/>
      </c>
      <c r="U999" s="62" t="str">
        <f aca="false">IF(C999="","",IF(LEFT(D999,1)="⚠","⚠ RUT no registrado en Trabajadores",IF(B999="","⚠ Falta el mes",IF(OR(ISTEXT(I999),ISTEXT(J999)),"⚠ Atrasos u horas extra como texto: escriba hh:mm (ej. 1:30)",IF(AND(ISNUMBER(Q999),COUNTIFS(M_RUTN,V999,M_MES,B999,M_LIQ,"&lt;&gt;")&gt;1),"⚠ Liquidación repetida en el mes",IF(AND(ISNUMBER(O999),ISNUMBER(P999),ISNUMBER(Q999),ABS(O999-P999-Q999)&gt;1),"⚠ Haberes − descuentos no da el líquido","OK"))))))</f>
        <v/>
      </c>
      <c r="V999" s="62" t="str">
        <f aca="false">IF(C999="","",IFERROR(VALUE(LEFT(UPPER(SUBSTITUTE(SUBSTITUTE(SUBSTITUTE(TRIM(C999),".",""),"-","")," ","")),LEN(UPPER(SUBSTITUTE(SUBSTITUTE(SUBSTITUTE(TRIM(C999),".",""),"-","")," ","")))-1))&amp;RIGHT(UPPER(SUBSTITUTE(SUBSTITUTE(SUBSTITUTE(TRIM(C999),".",""),"-","")," ","")),1),UPPER(SUBSTITUTE(SUBSTITUTE(SUBSTITUTE(TRIM(C999),".",""),"-","")," ",""))))</f>
        <v/>
      </c>
    </row>
    <row r="1000" customFormat="false" ht="15" hidden="false" customHeight="false" outlineLevel="0" collapsed="false">
      <c r="B1000" s="80"/>
      <c r="C1000" s="58"/>
      <c r="D1000" s="62" t="str">
        <f aca="false">IF(C1000="","",IFERROR(INDEX(T_NOMBRE,MATCH(V1000,T_RUTN,0)),"⚠ RUT no está en Trabajadores"))</f>
        <v/>
      </c>
      <c r="E1000" s="61"/>
      <c r="F1000" s="61"/>
      <c r="G1000" s="61"/>
      <c r="H1000" s="61"/>
      <c r="I1000" s="81"/>
      <c r="J1000" s="81"/>
      <c r="K1000" s="60"/>
      <c r="L1000" s="60"/>
      <c r="M1000" s="60"/>
      <c r="N1000" s="60"/>
      <c r="O1000" s="60"/>
      <c r="P1000" s="60"/>
      <c r="Q1000" s="60"/>
      <c r="R1000" s="58"/>
      <c r="S1000" s="62" t="str">
        <f aca="false">IF(OR(B1000="",V1000=""),"",IFERROR(INDEX(C_TIPO,MATCH(V1000&amp;"-P"&amp;MAX(1,COUNTIFS(C_RUTN,V1000,C_DEF,"Sí",C_INI,"&lt;="&amp;EOMONTH(B1000,0))),C_CLAVE,0))&amp;"","Sin contrato"))</f>
        <v/>
      </c>
      <c r="T1000" s="63" t="str">
        <f aca="false">IF(OR(B1000="",N(O1000)=0),"",N(O1000)+ROUND(MIN(N(N1000),TOPE_UF*UF_MES)*(TASA_EMP+MUTUAL),0)+ROUND(MIN(N(N1000),TOPE_AFC_UF*UF_MES)*IF(S1000="Indefinido",AFC_INDEF,AFC_PF),0))</f>
        <v/>
      </c>
      <c r="U1000" s="62" t="str">
        <f aca="false">IF(C1000="","",IF(LEFT(D1000,1)="⚠","⚠ RUT no registrado en Trabajadores",IF(B1000="","⚠ Falta el mes",IF(OR(ISTEXT(I1000),ISTEXT(J1000)),"⚠ Atrasos u horas extra como texto: escriba hh:mm (ej. 1:30)",IF(AND(ISNUMBER(Q1000),COUNTIFS(M_RUTN,V1000,M_MES,B1000,M_LIQ,"&lt;&gt;")&gt;1),"⚠ Liquidación repetida en el mes",IF(AND(ISNUMBER(O1000),ISNUMBER(P1000),ISNUMBER(Q1000),ABS(O1000-P1000-Q1000)&gt;1),"⚠ Haberes − descuentos no da el líquido","OK"))))))</f>
        <v/>
      </c>
      <c r="V1000" s="62" t="str">
        <f aca="false">IF(C1000="","",IFERROR(VALUE(LEFT(UPPER(SUBSTITUTE(SUBSTITUTE(SUBSTITUTE(TRIM(C1000),".",""),"-","")," ","")),LEN(UPPER(SUBSTITUTE(SUBSTITUTE(SUBSTITUTE(TRIM(C1000),".",""),"-","")," ","")))-1))&amp;RIGHT(UPPER(SUBSTITUTE(SUBSTITUTE(SUBSTITUTE(TRIM(C1000),".",""),"-","")," ","")),1),UPPER(SUBSTITUTE(SUBSTITUTE(SUBSTITUTE(TRIM(C1000),".",""),"-","")," ",""))))</f>
        <v/>
      </c>
    </row>
    <row r="1001" customFormat="false" ht="15" hidden="false" customHeight="false" outlineLevel="0" collapsed="false">
      <c r="B1001" s="80"/>
      <c r="C1001" s="58"/>
      <c r="D1001" s="62" t="str">
        <f aca="false">IF(C1001="","",IFERROR(INDEX(T_NOMBRE,MATCH(V1001,T_RUTN,0)),"⚠ RUT no está en Trabajadores"))</f>
        <v/>
      </c>
      <c r="E1001" s="61"/>
      <c r="F1001" s="61"/>
      <c r="G1001" s="61"/>
      <c r="H1001" s="61"/>
      <c r="I1001" s="81"/>
      <c r="J1001" s="81"/>
      <c r="K1001" s="60"/>
      <c r="L1001" s="60"/>
      <c r="M1001" s="60"/>
      <c r="N1001" s="60"/>
      <c r="O1001" s="60"/>
      <c r="P1001" s="60"/>
      <c r="Q1001" s="60"/>
      <c r="R1001" s="58"/>
      <c r="S1001" s="62" t="str">
        <f aca="false">IF(OR(B1001="",V1001=""),"",IFERROR(INDEX(C_TIPO,MATCH(V1001&amp;"-P"&amp;MAX(1,COUNTIFS(C_RUTN,V1001,C_DEF,"Sí",C_INI,"&lt;="&amp;EOMONTH(B1001,0))),C_CLAVE,0))&amp;"","Sin contrato"))</f>
        <v/>
      </c>
      <c r="T1001" s="63" t="str">
        <f aca="false">IF(OR(B1001="",N(O1001)=0),"",N(O1001)+ROUND(MIN(N(N1001),TOPE_UF*UF_MES)*(TASA_EMP+MUTUAL),0)+ROUND(MIN(N(N1001),TOPE_AFC_UF*UF_MES)*IF(S1001="Indefinido",AFC_INDEF,AFC_PF),0))</f>
        <v/>
      </c>
      <c r="U1001" s="62" t="str">
        <f aca="false">IF(C1001="","",IF(LEFT(D1001,1)="⚠","⚠ RUT no registrado en Trabajadores",IF(B1001="","⚠ Falta el mes",IF(OR(ISTEXT(I1001),ISTEXT(J1001)),"⚠ Atrasos u horas extra como texto: escriba hh:mm (ej. 1:30)",IF(AND(ISNUMBER(Q1001),COUNTIFS(M_RUTN,V1001,M_MES,B1001,M_LIQ,"&lt;&gt;")&gt;1),"⚠ Liquidación repetida en el mes",IF(AND(ISNUMBER(O1001),ISNUMBER(P1001),ISNUMBER(Q1001),ABS(O1001-P1001-Q1001)&gt;1),"⚠ Haberes − descuentos no da el líquido","OK"))))))</f>
        <v/>
      </c>
      <c r="V1001" s="62" t="str">
        <f aca="false">IF(C1001="","",IFERROR(VALUE(LEFT(UPPER(SUBSTITUTE(SUBSTITUTE(SUBSTITUTE(TRIM(C1001),".",""),"-","")," ","")),LEN(UPPER(SUBSTITUTE(SUBSTITUTE(SUBSTITUTE(TRIM(C1001),".",""),"-","")," ","")))-1))&amp;RIGHT(UPPER(SUBSTITUTE(SUBSTITUTE(SUBSTITUTE(TRIM(C1001),".",""),"-","")," ","")),1),UPPER(SUBSTITUTE(SUBSTITUTE(SUBSTITUTE(TRIM(C1001),".",""),"-","")," ",""))))</f>
        <v/>
      </c>
    </row>
    <row r="1002" customFormat="false" ht="15" hidden="false" customHeight="false" outlineLevel="0" collapsed="false">
      <c r="B1002" s="80"/>
      <c r="C1002" s="58"/>
      <c r="D1002" s="62" t="str">
        <f aca="false">IF(C1002="","",IFERROR(INDEX(T_NOMBRE,MATCH(V1002,T_RUTN,0)),"⚠ RUT no está en Trabajadores"))</f>
        <v/>
      </c>
      <c r="E1002" s="61"/>
      <c r="F1002" s="61"/>
      <c r="G1002" s="61"/>
      <c r="H1002" s="61"/>
      <c r="I1002" s="81"/>
      <c r="J1002" s="81"/>
      <c r="K1002" s="60"/>
      <c r="L1002" s="60"/>
      <c r="M1002" s="60"/>
      <c r="N1002" s="60"/>
      <c r="O1002" s="60"/>
      <c r="P1002" s="60"/>
      <c r="Q1002" s="60"/>
      <c r="R1002" s="58"/>
      <c r="S1002" s="62" t="str">
        <f aca="false">IF(OR(B1002="",V1002=""),"",IFERROR(INDEX(C_TIPO,MATCH(V1002&amp;"-P"&amp;MAX(1,COUNTIFS(C_RUTN,V1002,C_DEF,"Sí",C_INI,"&lt;="&amp;EOMONTH(B1002,0))),C_CLAVE,0))&amp;"","Sin contrato"))</f>
        <v/>
      </c>
      <c r="T1002" s="63" t="str">
        <f aca="false">IF(OR(B1002="",N(O1002)=0),"",N(O1002)+ROUND(MIN(N(N1002),TOPE_UF*UF_MES)*(TASA_EMP+MUTUAL),0)+ROUND(MIN(N(N1002),TOPE_AFC_UF*UF_MES)*IF(S1002="Indefinido",AFC_INDEF,AFC_PF),0))</f>
        <v/>
      </c>
      <c r="U1002" s="62" t="str">
        <f aca="false">IF(C1002="","",IF(LEFT(D1002,1)="⚠","⚠ RUT no registrado en Trabajadores",IF(B1002="","⚠ Falta el mes",IF(OR(ISTEXT(I1002),ISTEXT(J1002)),"⚠ Atrasos u horas extra como texto: escriba hh:mm (ej. 1:30)",IF(AND(ISNUMBER(Q1002),COUNTIFS(M_RUTN,V1002,M_MES,B1002,M_LIQ,"&lt;&gt;")&gt;1),"⚠ Liquidación repetida en el mes",IF(AND(ISNUMBER(O1002),ISNUMBER(P1002),ISNUMBER(Q1002),ABS(O1002-P1002-Q1002)&gt;1),"⚠ Haberes − descuentos no da el líquido","OK"))))))</f>
        <v/>
      </c>
      <c r="V1002" s="62" t="str">
        <f aca="false">IF(C1002="","",IFERROR(VALUE(LEFT(UPPER(SUBSTITUTE(SUBSTITUTE(SUBSTITUTE(TRIM(C1002),".",""),"-","")," ","")),LEN(UPPER(SUBSTITUTE(SUBSTITUTE(SUBSTITUTE(TRIM(C1002),".",""),"-","")," ","")))-1))&amp;RIGHT(UPPER(SUBSTITUTE(SUBSTITUTE(SUBSTITUTE(TRIM(C1002),".",""),"-","")," ","")),1),UPPER(SUBSTITUTE(SUBSTITUTE(SUBSTITUTE(TRIM(C1002),".",""),"-","")," ",""))))</f>
        <v/>
      </c>
    </row>
    <row r="1003" customFormat="false" ht="15" hidden="false" customHeight="false" outlineLevel="0" collapsed="false">
      <c r="B1003" s="80"/>
      <c r="C1003" s="58"/>
      <c r="D1003" s="62" t="str">
        <f aca="false">IF(C1003="","",IFERROR(INDEX(T_NOMBRE,MATCH(V1003,T_RUTN,0)),"⚠ RUT no está en Trabajadores"))</f>
        <v/>
      </c>
      <c r="E1003" s="61"/>
      <c r="F1003" s="61"/>
      <c r="G1003" s="61"/>
      <c r="H1003" s="61"/>
      <c r="I1003" s="81"/>
      <c r="J1003" s="81"/>
      <c r="K1003" s="60"/>
      <c r="L1003" s="60"/>
      <c r="M1003" s="60"/>
      <c r="N1003" s="60"/>
      <c r="O1003" s="60"/>
      <c r="P1003" s="60"/>
      <c r="Q1003" s="60"/>
      <c r="R1003" s="58"/>
      <c r="S1003" s="62" t="str">
        <f aca="false">IF(OR(B1003="",V1003=""),"",IFERROR(INDEX(C_TIPO,MATCH(V1003&amp;"-P"&amp;MAX(1,COUNTIFS(C_RUTN,V1003,C_DEF,"Sí",C_INI,"&lt;="&amp;EOMONTH(B1003,0))),C_CLAVE,0))&amp;"","Sin contrato"))</f>
        <v/>
      </c>
      <c r="T1003" s="63" t="str">
        <f aca="false">IF(OR(B1003="",N(O1003)=0),"",N(O1003)+ROUND(MIN(N(N1003),TOPE_UF*UF_MES)*(TASA_EMP+MUTUAL),0)+ROUND(MIN(N(N1003),TOPE_AFC_UF*UF_MES)*IF(S1003="Indefinido",AFC_INDEF,AFC_PF),0))</f>
        <v/>
      </c>
      <c r="U1003" s="62" t="str">
        <f aca="false">IF(C1003="","",IF(LEFT(D1003,1)="⚠","⚠ RUT no registrado en Trabajadores",IF(B1003="","⚠ Falta el mes",IF(OR(ISTEXT(I1003),ISTEXT(J1003)),"⚠ Atrasos u horas extra como texto: escriba hh:mm (ej. 1:30)",IF(AND(ISNUMBER(Q1003),COUNTIFS(M_RUTN,V1003,M_MES,B1003,M_LIQ,"&lt;&gt;")&gt;1),"⚠ Liquidación repetida en el mes",IF(AND(ISNUMBER(O1003),ISNUMBER(P1003),ISNUMBER(Q1003),ABS(O1003-P1003-Q1003)&gt;1),"⚠ Haberes − descuentos no da el líquido","OK"))))))</f>
        <v/>
      </c>
      <c r="V1003" s="62" t="str">
        <f aca="false">IF(C1003="","",IFERROR(VALUE(LEFT(UPPER(SUBSTITUTE(SUBSTITUTE(SUBSTITUTE(TRIM(C1003),".",""),"-","")," ","")),LEN(UPPER(SUBSTITUTE(SUBSTITUTE(SUBSTITUTE(TRIM(C1003),".",""),"-","")," ","")))-1))&amp;RIGHT(UPPER(SUBSTITUTE(SUBSTITUTE(SUBSTITUTE(TRIM(C1003),".",""),"-","")," ","")),1),UPPER(SUBSTITUTE(SUBSTITUTE(SUBSTITUTE(TRIM(C1003),".",""),"-","")," ",""))))</f>
        <v/>
      </c>
    </row>
    <row r="1004" customFormat="false" ht="15" hidden="false" customHeight="false" outlineLevel="0" collapsed="false">
      <c r="B1004" s="80"/>
      <c r="C1004" s="58"/>
      <c r="D1004" s="62" t="str">
        <f aca="false">IF(C1004="","",IFERROR(INDEX(T_NOMBRE,MATCH(V1004,T_RUTN,0)),"⚠ RUT no está en Trabajadores"))</f>
        <v/>
      </c>
      <c r="E1004" s="61"/>
      <c r="F1004" s="61"/>
      <c r="G1004" s="61"/>
      <c r="H1004" s="61"/>
      <c r="I1004" s="81"/>
      <c r="J1004" s="81"/>
      <c r="K1004" s="60"/>
      <c r="L1004" s="60"/>
      <c r="M1004" s="60"/>
      <c r="N1004" s="60"/>
      <c r="O1004" s="60"/>
      <c r="P1004" s="60"/>
      <c r="Q1004" s="60"/>
      <c r="R1004" s="58"/>
      <c r="S1004" s="62" t="str">
        <f aca="false">IF(OR(B1004="",V1004=""),"",IFERROR(INDEX(C_TIPO,MATCH(V1004&amp;"-P"&amp;MAX(1,COUNTIFS(C_RUTN,V1004,C_DEF,"Sí",C_INI,"&lt;="&amp;EOMONTH(B1004,0))),C_CLAVE,0))&amp;"","Sin contrato"))</f>
        <v/>
      </c>
      <c r="T1004" s="63" t="str">
        <f aca="false">IF(OR(B1004="",N(O1004)=0),"",N(O1004)+ROUND(MIN(N(N1004),TOPE_UF*UF_MES)*(TASA_EMP+MUTUAL),0)+ROUND(MIN(N(N1004),TOPE_AFC_UF*UF_MES)*IF(S1004="Indefinido",AFC_INDEF,AFC_PF),0))</f>
        <v/>
      </c>
      <c r="U1004" s="62" t="str">
        <f aca="false">IF(C1004="","",IF(LEFT(D1004,1)="⚠","⚠ RUT no registrado en Trabajadores",IF(B1004="","⚠ Falta el mes",IF(OR(ISTEXT(I1004),ISTEXT(J1004)),"⚠ Atrasos u horas extra como texto: escriba hh:mm (ej. 1:30)",IF(AND(ISNUMBER(Q1004),COUNTIFS(M_RUTN,V1004,M_MES,B1004,M_LIQ,"&lt;&gt;")&gt;1),"⚠ Liquidación repetida en el mes",IF(AND(ISNUMBER(O1004),ISNUMBER(P1004),ISNUMBER(Q1004),ABS(O1004-P1004-Q1004)&gt;1),"⚠ Haberes − descuentos no da el líquido","OK"))))))</f>
        <v/>
      </c>
      <c r="V1004" s="62" t="str">
        <f aca="false">IF(C1004="","",IFERROR(VALUE(LEFT(UPPER(SUBSTITUTE(SUBSTITUTE(SUBSTITUTE(TRIM(C1004),".",""),"-","")," ","")),LEN(UPPER(SUBSTITUTE(SUBSTITUTE(SUBSTITUTE(TRIM(C1004),".",""),"-","")," ","")))-1))&amp;RIGHT(UPPER(SUBSTITUTE(SUBSTITUTE(SUBSTITUTE(TRIM(C1004),".",""),"-","")," ","")),1),UPPER(SUBSTITUTE(SUBSTITUTE(SUBSTITUTE(TRIM(C1004),".",""),"-","")," ",""))))</f>
        <v/>
      </c>
    </row>
    <row r="1005" customFormat="false" ht="15" hidden="false" customHeight="false" outlineLevel="0" collapsed="false">
      <c r="B1005" s="80"/>
      <c r="C1005" s="58"/>
      <c r="D1005" s="62" t="str">
        <f aca="false">IF(C1005="","",IFERROR(INDEX(T_NOMBRE,MATCH(V1005,T_RUTN,0)),"⚠ RUT no está en Trabajadores"))</f>
        <v/>
      </c>
      <c r="E1005" s="61"/>
      <c r="F1005" s="61"/>
      <c r="G1005" s="61"/>
      <c r="H1005" s="61"/>
      <c r="I1005" s="81"/>
      <c r="J1005" s="81"/>
      <c r="K1005" s="60"/>
      <c r="L1005" s="60"/>
      <c r="M1005" s="60"/>
      <c r="N1005" s="60"/>
      <c r="O1005" s="60"/>
      <c r="P1005" s="60"/>
      <c r="Q1005" s="60"/>
      <c r="R1005" s="58"/>
      <c r="S1005" s="62" t="str">
        <f aca="false">IF(OR(B1005="",V1005=""),"",IFERROR(INDEX(C_TIPO,MATCH(V1005&amp;"-P"&amp;MAX(1,COUNTIFS(C_RUTN,V1005,C_DEF,"Sí",C_INI,"&lt;="&amp;EOMONTH(B1005,0))),C_CLAVE,0))&amp;"","Sin contrato"))</f>
        <v/>
      </c>
      <c r="T1005" s="63" t="str">
        <f aca="false">IF(OR(B1005="",N(O1005)=0),"",N(O1005)+ROUND(MIN(N(N1005),TOPE_UF*UF_MES)*(TASA_EMP+MUTUAL),0)+ROUND(MIN(N(N1005),TOPE_AFC_UF*UF_MES)*IF(S1005="Indefinido",AFC_INDEF,AFC_PF),0))</f>
        <v/>
      </c>
      <c r="U1005" s="62" t="str">
        <f aca="false">IF(C1005="","",IF(LEFT(D1005,1)="⚠","⚠ RUT no registrado en Trabajadores",IF(B1005="","⚠ Falta el mes",IF(OR(ISTEXT(I1005),ISTEXT(J1005)),"⚠ Atrasos u horas extra como texto: escriba hh:mm (ej. 1:30)",IF(AND(ISNUMBER(Q1005),COUNTIFS(M_RUTN,V1005,M_MES,B1005,M_LIQ,"&lt;&gt;")&gt;1),"⚠ Liquidación repetida en el mes",IF(AND(ISNUMBER(O1005),ISNUMBER(P1005),ISNUMBER(Q1005),ABS(O1005-P1005-Q1005)&gt;1),"⚠ Haberes − descuentos no da el líquido","OK"))))))</f>
        <v/>
      </c>
      <c r="V1005" s="62" t="str">
        <f aca="false">IF(C1005="","",IFERROR(VALUE(LEFT(UPPER(SUBSTITUTE(SUBSTITUTE(SUBSTITUTE(TRIM(C1005),".",""),"-","")," ","")),LEN(UPPER(SUBSTITUTE(SUBSTITUTE(SUBSTITUTE(TRIM(C1005),".",""),"-","")," ","")))-1))&amp;RIGHT(UPPER(SUBSTITUTE(SUBSTITUTE(SUBSTITUTE(TRIM(C1005),".",""),"-","")," ","")),1),UPPER(SUBSTITUTE(SUBSTITUTE(SUBSTITUTE(TRIM(C1005),".",""),"-","")," ",""))))</f>
        <v/>
      </c>
    </row>
    <row r="1006" customFormat="false" ht="15" hidden="false" customHeight="false" outlineLevel="0" collapsed="false">
      <c r="B1006" s="80"/>
      <c r="C1006" s="58"/>
      <c r="D1006" s="62" t="str">
        <f aca="false">IF(C1006="","",IFERROR(INDEX(T_NOMBRE,MATCH(V1006,T_RUTN,0)),"⚠ RUT no está en Trabajadores"))</f>
        <v/>
      </c>
      <c r="E1006" s="61"/>
      <c r="F1006" s="61"/>
      <c r="G1006" s="61"/>
      <c r="H1006" s="61"/>
      <c r="I1006" s="81"/>
      <c r="J1006" s="81"/>
      <c r="K1006" s="60"/>
      <c r="L1006" s="60"/>
      <c r="M1006" s="60"/>
      <c r="N1006" s="60"/>
      <c r="O1006" s="60"/>
      <c r="P1006" s="60"/>
      <c r="Q1006" s="60"/>
      <c r="R1006" s="58"/>
      <c r="S1006" s="62" t="str">
        <f aca="false">IF(OR(B1006="",V1006=""),"",IFERROR(INDEX(C_TIPO,MATCH(V1006&amp;"-P"&amp;MAX(1,COUNTIFS(C_RUTN,V1006,C_DEF,"Sí",C_INI,"&lt;="&amp;EOMONTH(B1006,0))),C_CLAVE,0))&amp;"","Sin contrato"))</f>
        <v/>
      </c>
      <c r="T1006" s="63" t="str">
        <f aca="false">IF(OR(B1006="",N(O1006)=0),"",N(O1006)+ROUND(MIN(N(N1006),TOPE_UF*UF_MES)*(TASA_EMP+MUTUAL),0)+ROUND(MIN(N(N1006),TOPE_AFC_UF*UF_MES)*IF(S1006="Indefinido",AFC_INDEF,AFC_PF),0))</f>
        <v/>
      </c>
      <c r="U1006" s="62" t="str">
        <f aca="false">IF(C1006="","",IF(LEFT(D1006,1)="⚠","⚠ RUT no registrado en Trabajadores",IF(B1006="","⚠ Falta el mes",IF(OR(ISTEXT(I1006),ISTEXT(J1006)),"⚠ Atrasos u horas extra como texto: escriba hh:mm (ej. 1:30)",IF(AND(ISNUMBER(Q1006),COUNTIFS(M_RUTN,V1006,M_MES,B1006,M_LIQ,"&lt;&gt;")&gt;1),"⚠ Liquidación repetida en el mes",IF(AND(ISNUMBER(O1006),ISNUMBER(P1006),ISNUMBER(Q1006),ABS(O1006-P1006-Q1006)&gt;1),"⚠ Haberes − descuentos no da el líquido","OK"))))))</f>
        <v/>
      </c>
      <c r="V1006" s="62" t="str">
        <f aca="false">IF(C1006="","",IFERROR(VALUE(LEFT(UPPER(SUBSTITUTE(SUBSTITUTE(SUBSTITUTE(TRIM(C1006),".",""),"-","")," ","")),LEN(UPPER(SUBSTITUTE(SUBSTITUTE(SUBSTITUTE(TRIM(C1006),".",""),"-","")," ","")))-1))&amp;RIGHT(UPPER(SUBSTITUTE(SUBSTITUTE(SUBSTITUTE(TRIM(C1006),".",""),"-","")," ","")),1),UPPER(SUBSTITUTE(SUBSTITUTE(SUBSTITUTE(TRIM(C1006),".",""),"-","")," ",""))))</f>
        <v/>
      </c>
    </row>
    <row r="1007" customFormat="false" ht="15" hidden="false" customHeight="false" outlineLevel="0" collapsed="false">
      <c r="B1007" s="80"/>
      <c r="C1007" s="58"/>
      <c r="D1007" s="62" t="str">
        <f aca="false">IF(C1007="","",IFERROR(INDEX(T_NOMBRE,MATCH(V1007,T_RUTN,0)),"⚠ RUT no está en Trabajadores"))</f>
        <v/>
      </c>
      <c r="E1007" s="61"/>
      <c r="F1007" s="61"/>
      <c r="G1007" s="61"/>
      <c r="H1007" s="61"/>
      <c r="I1007" s="81"/>
      <c r="J1007" s="81"/>
      <c r="K1007" s="60"/>
      <c r="L1007" s="60"/>
      <c r="M1007" s="60"/>
      <c r="N1007" s="60"/>
      <c r="O1007" s="60"/>
      <c r="P1007" s="60"/>
      <c r="Q1007" s="60"/>
      <c r="R1007" s="58"/>
      <c r="S1007" s="62" t="str">
        <f aca="false">IF(OR(B1007="",V1007=""),"",IFERROR(INDEX(C_TIPO,MATCH(V1007&amp;"-P"&amp;MAX(1,COUNTIFS(C_RUTN,V1007,C_DEF,"Sí",C_INI,"&lt;="&amp;EOMONTH(B1007,0))),C_CLAVE,0))&amp;"","Sin contrato"))</f>
        <v/>
      </c>
      <c r="T1007" s="63" t="str">
        <f aca="false">IF(OR(B1007="",N(O1007)=0),"",N(O1007)+ROUND(MIN(N(N1007),TOPE_UF*UF_MES)*(TASA_EMP+MUTUAL),0)+ROUND(MIN(N(N1007),TOPE_AFC_UF*UF_MES)*IF(S1007="Indefinido",AFC_INDEF,AFC_PF),0))</f>
        <v/>
      </c>
      <c r="U1007" s="62" t="str">
        <f aca="false">IF(C1007="","",IF(LEFT(D1007,1)="⚠","⚠ RUT no registrado en Trabajadores",IF(B1007="","⚠ Falta el mes",IF(OR(ISTEXT(I1007),ISTEXT(J1007)),"⚠ Atrasos u horas extra como texto: escriba hh:mm (ej. 1:30)",IF(AND(ISNUMBER(Q1007),COUNTIFS(M_RUTN,V1007,M_MES,B1007,M_LIQ,"&lt;&gt;")&gt;1),"⚠ Liquidación repetida en el mes",IF(AND(ISNUMBER(O1007),ISNUMBER(P1007),ISNUMBER(Q1007),ABS(O1007-P1007-Q1007)&gt;1),"⚠ Haberes − descuentos no da el líquido","OK"))))))</f>
        <v/>
      </c>
      <c r="V1007" s="62" t="str">
        <f aca="false">IF(C1007="","",IFERROR(VALUE(LEFT(UPPER(SUBSTITUTE(SUBSTITUTE(SUBSTITUTE(TRIM(C1007),".",""),"-","")," ","")),LEN(UPPER(SUBSTITUTE(SUBSTITUTE(SUBSTITUTE(TRIM(C1007),".",""),"-","")," ","")))-1))&amp;RIGHT(UPPER(SUBSTITUTE(SUBSTITUTE(SUBSTITUTE(TRIM(C1007),".",""),"-","")," ","")),1),UPPER(SUBSTITUTE(SUBSTITUTE(SUBSTITUTE(TRIM(C1007),".",""),"-","")," ",""))))</f>
        <v/>
      </c>
    </row>
    <row r="1008" customFormat="false" ht="15" hidden="false" customHeight="false" outlineLevel="0" collapsed="false">
      <c r="B1008" s="80"/>
      <c r="C1008" s="58"/>
      <c r="D1008" s="62" t="str">
        <f aca="false">IF(C1008="","",IFERROR(INDEX(T_NOMBRE,MATCH(V1008,T_RUTN,0)),"⚠ RUT no está en Trabajadores"))</f>
        <v/>
      </c>
      <c r="E1008" s="61"/>
      <c r="F1008" s="61"/>
      <c r="G1008" s="61"/>
      <c r="H1008" s="61"/>
      <c r="I1008" s="81"/>
      <c r="J1008" s="81"/>
      <c r="K1008" s="60"/>
      <c r="L1008" s="60"/>
      <c r="M1008" s="60"/>
      <c r="N1008" s="60"/>
      <c r="O1008" s="60"/>
      <c r="P1008" s="60"/>
      <c r="Q1008" s="60"/>
      <c r="R1008" s="58"/>
      <c r="S1008" s="62" t="str">
        <f aca="false">IF(OR(B1008="",V1008=""),"",IFERROR(INDEX(C_TIPO,MATCH(V1008&amp;"-P"&amp;MAX(1,COUNTIFS(C_RUTN,V1008,C_DEF,"Sí",C_INI,"&lt;="&amp;EOMONTH(B1008,0))),C_CLAVE,0))&amp;"","Sin contrato"))</f>
        <v/>
      </c>
      <c r="T1008" s="63" t="str">
        <f aca="false">IF(OR(B1008="",N(O1008)=0),"",N(O1008)+ROUND(MIN(N(N1008),TOPE_UF*UF_MES)*(TASA_EMP+MUTUAL),0)+ROUND(MIN(N(N1008),TOPE_AFC_UF*UF_MES)*IF(S1008="Indefinido",AFC_INDEF,AFC_PF),0))</f>
        <v/>
      </c>
      <c r="U1008" s="62" t="str">
        <f aca="false">IF(C1008="","",IF(LEFT(D1008,1)="⚠","⚠ RUT no registrado en Trabajadores",IF(B1008="","⚠ Falta el mes",IF(OR(ISTEXT(I1008),ISTEXT(J1008)),"⚠ Atrasos u horas extra como texto: escriba hh:mm (ej. 1:30)",IF(AND(ISNUMBER(Q1008),COUNTIFS(M_RUTN,V1008,M_MES,B1008,M_LIQ,"&lt;&gt;")&gt;1),"⚠ Liquidación repetida en el mes",IF(AND(ISNUMBER(O1008),ISNUMBER(P1008),ISNUMBER(Q1008),ABS(O1008-P1008-Q1008)&gt;1),"⚠ Haberes − descuentos no da el líquido","OK"))))))</f>
        <v/>
      </c>
      <c r="V1008" s="62" t="str">
        <f aca="false">IF(C1008="","",IFERROR(VALUE(LEFT(UPPER(SUBSTITUTE(SUBSTITUTE(SUBSTITUTE(TRIM(C1008),".",""),"-","")," ","")),LEN(UPPER(SUBSTITUTE(SUBSTITUTE(SUBSTITUTE(TRIM(C1008),".",""),"-","")," ","")))-1))&amp;RIGHT(UPPER(SUBSTITUTE(SUBSTITUTE(SUBSTITUTE(TRIM(C1008),".",""),"-","")," ","")),1),UPPER(SUBSTITUTE(SUBSTITUTE(SUBSTITUTE(TRIM(C1008),".",""),"-","")," ",""))))</f>
        <v/>
      </c>
    </row>
    <row r="1009" customFormat="false" ht="15" hidden="false" customHeight="false" outlineLevel="0" collapsed="false">
      <c r="B1009" s="80"/>
      <c r="C1009" s="58"/>
      <c r="D1009" s="62" t="str">
        <f aca="false">IF(C1009="","",IFERROR(INDEX(T_NOMBRE,MATCH(V1009,T_RUTN,0)),"⚠ RUT no está en Trabajadores"))</f>
        <v/>
      </c>
      <c r="E1009" s="61"/>
      <c r="F1009" s="61"/>
      <c r="G1009" s="61"/>
      <c r="H1009" s="61"/>
      <c r="I1009" s="81"/>
      <c r="J1009" s="81"/>
      <c r="K1009" s="60"/>
      <c r="L1009" s="60"/>
      <c r="M1009" s="60"/>
      <c r="N1009" s="60"/>
      <c r="O1009" s="60"/>
      <c r="P1009" s="60"/>
      <c r="Q1009" s="60"/>
      <c r="R1009" s="58"/>
      <c r="S1009" s="62" t="str">
        <f aca="false">IF(OR(B1009="",V1009=""),"",IFERROR(INDEX(C_TIPO,MATCH(V1009&amp;"-P"&amp;MAX(1,COUNTIFS(C_RUTN,V1009,C_DEF,"Sí",C_INI,"&lt;="&amp;EOMONTH(B1009,0))),C_CLAVE,0))&amp;"","Sin contrato"))</f>
        <v/>
      </c>
      <c r="T1009" s="63" t="str">
        <f aca="false">IF(OR(B1009="",N(O1009)=0),"",N(O1009)+ROUND(MIN(N(N1009),TOPE_UF*UF_MES)*(TASA_EMP+MUTUAL),0)+ROUND(MIN(N(N1009),TOPE_AFC_UF*UF_MES)*IF(S1009="Indefinido",AFC_INDEF,AFC_PF),0))</f>
        <v/>
      </c>
      <c r="U1009" s="62" t="str">
        <f aca="false">IF(C1009="","",IF(LEFT(D1009,1)="⚠","⚠ RUT no registrado en Trabajadores",IF(B1009="","⚠ Falta el mes",IF(OR(ISTEXT(I1009),ISTEXT(J1009)),"⚠ Atrasos u horas extra como texto: escriba hh:mm (ej. 1:30)",IF(AND(ISNUMBER(Q1009),COUNTIFS(M_RUTN,V1009,M_MES,B1009,M_LIQ,"&lt;&gt;")&gt;1),"⚠ Liquidación repetida en el mes",IF(AND(ISNUMBER(O1009),ISNUMBER(P1009),ISNUMBER(Q1009),ABS(O1009-P1009-Q1009)&gt;1),"⚠ Haberes − descuentos no da el líquido","OK"))))))</f>
        <v/>
      </c>
      <c r="V1009" s="62" t="str">
        <f aca="false">IF(C1009="","",IFERROR(VALUE(LEFT(UPPER(SUBSTITUTE(SUBSTITUTE(SUBSTITUTE(TRIM(C1009),".",""),"-","")," ","")),LEN(UPPER(SUBSTITUTE(SUBSTITUTE(SUBSTITUTE(TRIM(C1009),".",""),"-","")," ","")))-1))&amp;RIGHT(UPPER(SUBSTITUTE(SUBSTITUTE(SUBSTITUTE(TRIM(C1009),".",""),"-","")," ","")),1),UPPER(SUBSTITUTE(SUBSTITUTE(SUBSTITUTE(TRIM(C1009),".",""),"-","")," ",""))))</f>
        <v/>
      </c>
    </row>
    <row r="1010" customFormat="false" ht="15" hidden="false" customHeight="false" outlineLevel="0" collapsed="false">
      <c r="B1010" s="80"/>
      <c r="C1010" s="58"/>
      <c r="D1010" s="62" t="str">
        <f aca="false">IF(C1010="","",IFERROR(INDEX(T_NOMBRE,MATCH(V1010,T_RUTN,0)),"⚠ RUT no está en Trabajadores"))</f>
        <v/>
      </c>
      <c r="E1010" s="61"/>
      <c r="F1010" s="61"/>
      <c r="G1010" s="61"/>
      <c r="H1010" s="61"/>
      <c r="I1010" s="81"/>
      <c r="J1010" s="81"/>
      <c r="K1010" s="60"/>
      <c r="L1010" s="60"/>
      <c r="M1010" s="60"/>
      <c r="N1010" s="60"/>
      <c r="O1010" s="60"/>
      <c r="P1010" s="60"/>
      <c r="Q1010" s="60"/>
      <c r="R1010" s="58"/>
      <c r="S1010" s="62" t="str">
        <f aca="false">IF(OR(B1010="",V1010=""),"",IFERROR(INDEX(C_TIPO,MATCH(V1010&amp;"-P"&amp;MAX(1,COUNTIFS(C_RUTN,V1010,C_DEF,"Sí",C_INI,"&lt;="&amp;EOMONTH(B1010,0))),C_CLAVE,0))&amp;"","Sin contrato"))</f>
        <v/>
      </c>
      <c r="T1010" s="63" t="str">
        <f aca="false">IF(OR(B1010="",N(O1010)=0),"",N(O1010)+ROUND(MIN(N(N1010),TOPE_UF*UF_MES)*(TASA_EMP+MUTUAL),0)+ROUND(MIN(N(N1010),TOPE_AFC_UF*UF_MES)*IF(S1010="Indefinido",AFC_INDEF,AFC_PF),0))</f>
        <v/>
      </c>
      <c r="U1010" s="62" t="str">
        <f aca="false">IF(C1010="","",IF(LEFT(D1010,1)="⚠","⚠ RUT no registrado en Trabajadores",IF(B1010="","⚠ Falta el mes",IF(OR(ISTEXT(I1010),ISTEXT(J1010)),"⚠ Atrasos u horas extra como texto: escriba hh:mm (ej. 1:30)",IF(AND(ISNUMBER(Q1010),COUNTIFS(M_RUTN,V1010,M_MES,B1010,M_LIQ,"&lt;&gt;")&gt;1),"⚠ Liquidación repetida en el mes",IF(AND(ISNUMBER(O1010),ISNUMBER(P1010),ISNUMBER(Q1010),ABS(O1010-P1010-Q1010)&gt;1),"⚠ Haberes − descuentos no da el líquido","OK"))))))</f>
        <v/>
      </c>
      <c r="V1010" s="62" t="str">
        <f aca="false">IF(C1010="","",IFERROR(VALUE(LEFT(UPPER(SUBSTITUTE(SUBSTITUTE(SUBSTITUTE(TRIM(C1010),".",""),"-","")," ","")),LEN(UPPER(SUBSTITUTE(SUBSTITUTE(SUBSTITUTE(TRIM(C1010),".",""),"-","")," ","")))-1))&amp;RIGHT(UPPER(SUBSTITUTE(SUBSTITUTE(SUBSTITUTE(TRIM(C1010),".",""),"-","")," ","")),1),UPPER(SUBSTITUTE(SUBSTITUTE(SUBSTITUTE(TRIM(C1010),".",""),"-","")," ",""))))</f>
        <v/>
      </c>
    </row>
    <row r="1011" customFormat="false" ht="15" hidden="false" customHeight="false" outlineLevel="0" collapsed="false">
      <c r="B1011" s="80"/>
      <c r="C1011" s="58"/>
      <c r="D1011" s="62" t="str">
        <f aca="false">IF(C1011="","",IFERROR(INDEX(T_NOMBRE,MATCH(V1011,T_RUTN,0)),"⚠ RUT no está en Trabajadores"))</f>
        <v/>
      </c>
      <c r="E1011" s="61"/>
      <c r="F1011" s="61"/>
      <c r="G1011" s="61"/>
      <c r="H1011" s="61"/>
      <c r="I1011" s="81"/>
      <c r="J1011" s="81"/>
      <c r="K1011" s="60"/>
      <c r="L1011" s="60"/>
      <c r="M1011" s="60"/>
      <c r="N1011" s="60"/>
      <c r="O1011" s="60"/>
      <c r="P1011" s="60"/>
      <c r="Q1011" s="60"/>
      <c r="R1011" s="58"/>
      <c r="S1011" s="62" t="str">
        <f aca="false">IF(OR(B1011="",V1011=""),"",IFERROR(INDEX(C_TIPO,MATCH(V1011&amp;"-P"&amp;MAX(1,COUNTIFS(C_RUTN,V1011,C_DEF,"Sí",C_INI,"&lt;="&amp;EOMONTH(B1011,0))),C_CLAVE,0))&amp;"","Sin contrato"))</f>
        <v/>
      </c>
      <c r="T1011" s="63" t="str">
        <f aca="false">IF(OR(B1011="",N(O1011)=0),"",N(O1011)+ROUND(MIN(N(N1011),TOPE_UF*UF_MES)*(TASA_EMP+MUTUAL),0)+ROUND(MIN(N(N1011),TOPE_AFC_UF*UF_MES)*IF(S1011="Indefinido",AFC_INDEF,AFC_PF),0))</f>
        <v/>
      </c>
      <c r="U1011" s="62" t="str">
        <f aca="false">IF(C1011="","",IF(LEFT(D1011,1)="⚠","⚠ RUT no registrado en Trabajadores",IF(B1011="","⚠ Falta el mes",IF(OR(ISTEXT(I1011),ISTEXT(J1011)),"⚠ Atrasos u horas extra como texto: escriba hh:mm (ej. 1:30)",IF(AND(ISNUMBER(Q1011),COUNTIFS(M_RUTN,V1011,M_MES,B1011,M_LIQ,"&lt;&gt;")&gt;1),"⚠ Liquidación repetida en el mes",IF(AND(ISNUMBER(O1011),ISNUMBER(P1011),ISNUMBER(Q1011),ABS(O1011-P1011-Q1011)&gt;1),"⚠ Haberes − descuentos no da el líquido","OK"))))))</f>
        <v/>
      </c>
      <c r="V1011" s="62" t="str">
        <f aca="false">IF(C1011="","",IFERROR(VALUE(LEFT(UPPER(SUBSTITUTE(SUBSTITUTE(SUBSTITUTE(TRIM(C1011),".",""),"-","")," ","")),LEN(UPPER(SUBSTITUTE(SUBSTITUTE(SUBSTITUTE(TRIM(C1011),".",""),"-","")," ","")))-1))&amp;RIGHT(UPPER(SUBSTITUTE(SUBSTITUTE(SUBSTITUTE(TRIM(C1011),".",""),"-","")," ","")),1),UPPER(SUBSTITUTE(SUBSTITUTE(SUBSTITUTE(TRIM(C1011),".",""),"-","")," ",""))))</f>
        <v/>
      </c>
    </row>
    <row r="1012" customFormat="false" ht="15" hidden="false" customHeight="false" outlineLevel="0" collapsed="false">
      <c r="B1012" s="80"/>
      <c r="C1012" s="58"/>
      <c r="D1012" s="62" t="str">
        <f aca="false">IF(C1012="","",IFERROR(INDEX(T_NOMBRE,MATCH(V1012,T_RUTN,0)),"⚠ RUT no está en Trabajadores"))</f>
        <v/>
      </c>
      <c r="E1012" s="61"/>
      <c r="F1012" s="61"/>
      <c r="G1012" s="61"/>
      <c r="H1012" s="61"/>
      <c r="I1012" s="81"/>
      <c r="J1012" s="81"/>
      <c r="K1012" s="60"/>
      <c r="L1012" s="60"/>
      <c r="M1012" s="60"/>
      <c r="N1012" s="60"/>
      <c r="O1012" s="60"/>
      <c r="P1012" s="60"/>
      <c r="Q1012" s="60"/>
      <c r="R1012" s="58"/>
      <c r="S1012" s="62" t="str">
        <f aca="false">IF(OR(B1012="",V1012=""),"",IFERROR(INDEX(C_TIPO,MATCH(V1012&amp;"-P"&amp;MAX(1,COUNTIFS(C_RUTN,V1012,C_DEF,"Sí",C_INI,"&lt;="&amp;EOMONTH(B1012,0))),C_CLAVE,0))&amp;"","Sin contrato"))</f>
        <v/>
      </c>
      <c r="T1012" s="63" t="str">
        <f aca="false">IF(OR(B1012="",N(O1012)=0),"",N(O1012)+ROUND(MIN(N(N1012),TOPE_UF*UF_MES)*(TASA_EMP+MUTUAL),0)+ROUND(MIN(N(N1012),TOPE_AFC_UF*UF_MES)*IF(S1012="Indefinido",AFC_INDEF,AFC_PF),0))</f>
        <v/>
      </c>
      <c r="U1012" s="62" t="str">
        <f aca="false">IF(C1012="","",IF(LEFT(D1012,1)="⚠","⚠ RUT no registrado en Trabajadores",IF(B1012="","⚠ Falta el mes",IF(OR(ISTEXT(I1012),ISTEXT(J1012)),"⚠ Atrasos u horas extra como texto: escriba hh:mm (ej. 1:30)",IF(AND(ISNUMBER(Q1012),COUNTIFS(M_RUTN,V1012,M_MES,B1012,M_LIQ,"&lt;&gt;")&gt;1),"⚠ Liquidación repetida en el mes",IF(AND(ISNUMBER(O1012),ISNUMBER(P1012),ISNUMBER(Q1012),ABS(O1012-P1012-Q1012)&gt;1),"⚠ Haberes − descuentos no da el líquido","OK"))))))</f>
        <v/>
      </c>
      <c r="V1012" s="62" t="str">
        <f aca="false">IF(C1012="","",IFERROR(VALUE(LEFT(UPPER(SUBSTITUTE(SUBSTITUTE(SUBSTITUTE(TRIM(C1012),".",""),"-","")," ","")),LEN(UPPER(SUBSTITUTE(SUBSTITUTE(SUBSTITUTE(TRIM(C1012),".",""),"-","")," ","")))-1))&amp;RIGHT(UPPER(SUBSTITUTE(SUBSTITUTE(SUBSTITUTE(TRIM(C1012),".",""),"-","")," ","")),1),UPPER(SUBSTITUTE(SUBSTITUTE(SUBSTITUTE(TRIM(C1012),".",""),"-","")," ",""))))</f>
        <v/>
      </c>
    </row>
    <row r="1013" customFormat="false" ht="15" hidden="false" customHeight="false" outlineLevel="0" collapsed="false">
      <c r="B1013" s="80"/>
      <c r="C1013" s="58"/>
      <c r="D1013" s="62" t="str">
        <f aca="false">IF(C1013="","",IFERROR(INDEX(T_NOMBRE,MATCH(V1013,T_RUTN,0)),"⚠ RUT no está en Trabajadores"))</f>
        <v/>
      </c>
      <c r="E1013" s="61"/>
      <c r="F1013" s="61"/>
      <c r="G1013" s="61"/>
      <c r="H1013" s="61"/>
      <c r="I1013" s="81"/>
      <c r="J1013" s="81"/>
      <c r="K1013" s="60"/>
      <c r="L1013" s="60"/>
      <c r="M1013" s="60"/>
      <c r="N1013" s="60"/>
      <c r="O1013" s="60"/>
      <c r="P1013" s="60"/>
      <c r="Q1013" s="60"/>
      <c r="R1013" s="58"/>
      <c r="S1013" s="62" t="str">
        <f aca="false">IF(OR(B1013="",V1013=""),"",IFERROR(INDEX(C_TIPO,MATCH(V1013&amp;"-P"&amp;MAX(1,COUNTIFS(C_RUTN,V1013,C_DEF,"Sí",C_INI,"&lt;="&amp;EOMONTH(B1013,0))),C_CLAVE,0))&amp;"","Sin contrato"))</f>
        <v/>
      </c>
      <c r="T1013" s="63" t="str">
        <f aca="false">IF(OR(B1013="",N(O1013)=0),"",N(O1013)+ROUND(MIN(N(N1013),TOPE_UF*UF_MES)*(TASA_EMP+MUTUAL),0)+ROUND(MIN(N(N1013),TOPE_AFC_UF*UF_MES)*IF(S1013="Indefinido",AFC_INDEF,AFC_PF),0))</f>
        <v/>
      </c>
      <c r="U1013" s="62" t="str">
        <f aca="false">IF(C1013="","",IF(LEFT(D1013,1)="⚠","⚠ RUT no registrado en Trabajadores",IF(B1013="","⚠ Falta el mes",IF(OR(ISTEXT(I1013),ISTEXT(J1013)),"⚠ Atrasos u horas extra como texto: escriba hh:mm (ej. 1:30)",IF(AND(ISNUMBER(Q1013),COUNTIFS(M_RUTN,V1013,M_MES,B1013,M_LIQ,"&lt;&gt;")&gt;1),"⚠ Liquidación repetida en el mes",IF(AND(ISNUMBER(O1013),ISNUMBER(P1013),ISNUMBER(Q1013),ABS(O1013-P1013-Q1013)&gt;1),"⚠ Haberes − descuentos no da el líquido","OK"))))))</f>
        <v/>
      </c>
      <c r="V1013" s="62" t="str">
        <f aca="false">IF(C1013="","",IFERROR(VALUE(LEFT(UPPER(SUBSTITUTE(SUBSTITUTE(SUBSTITUTE(TRIM(C1013),".",""),"-","")," ","")),LEN(UPPER(SUBSTITUTE(SUBSTITUTE(SUBSTITUTE(TRIM(C1013),".",""),"-","")," ","")))-1))&amp;RIGHT(UPPER(SUBSTITUTE(SUBSTITUTE(SUBSTITUTE(TRIM(C1013),".",""),"-","")," ","")),1),UPPER(SUBSTITUTE(SUBSTITUTE(SUBSTITUTE(TRIM(C1013),".",""),"-","")," ",""))))</f>
        <v/>
      </c>
    </row>
    <row r="1014" customFormat="false" ht="15" hidden="false" customHeight="false" outlineLevel="0" collapsed="false">
      <c r="B1014" s="80"/>
      <c r="C1014" s="58"/>
      <c r="D1014" s="62" t="str">
        <f aca="false">IF(C1014="","",IFERROR(INDEX(T_NOMBRE,MATCH(V1014,T_RUTN,0)),"⚠ RUT no está en Trabajadores"))</f>
        <v/>
      </c>
      <c r="E1014" s="61"/>
      <c r="F1014" s="61"/>
      <c r="G1014" s="61"/>
      <c r="H1014" s="61"/>
      <c r="I1014" s="81"/>
      <c r="J1014" s="81"/>
      <c r="K1014" s="60"/>
      <c r="L1014" s="60"/>
      <c r="M1014" s="60"/>
      <c r="N1014" s="60"/>
      <c r="O1014" s="60"/>
      <c r="P1014" s="60"/>
      <c r="Q1014" s="60"/>
      <c r="R1014" s="58"/>
      <c r="S1014" s="62" t="str">
        <f aca="false">IF(OR(B1014="",V1014=""),"",IFERROR(INDEX(C_TIPO,MATCH(V1014&amp;"-P"&amp;MAX(1,COUNTIFS(C_RUTN,V1014,C_DEF,"Sí",C_INI,"&lt;="&amp;EOMONTH(B1014,0))),C_CLAVE,0))&amp;"","Sin contrato"))</f>
        <v/>
      </c>
      <c r="T1014" s="63" t="str">
        <f aca="false">IF(OR(B1014="",N(O1014)=0),"",N(O1014)+ROUND(MIN(N(N1014),TOPE_UF*UF_MES)*(TASA_EMP+MUTUAL),0)+ROUND(MIN(N(N1014),TOPE_AFC_UF*UF_MES)*IF(S1014="Indefinido",AFC_INDEF,AFC_PF),0))</f>
        <v/>
      </c>
      <c r="U1014" s="62" t="str">
        <f aca="false">IF(C1014="","",IF(LEFT(D1014,1)="⚠","⚠ RUT no registrado en Trabajadores",IF(B1014="","⚠ Falta el mes",IF(OR(ISTEXT(I1014),ISTEXT(J1014)),"⚠ Atrasos u horas extra como texto: escriba hh:mm (ej. 1:30)",IF(AND(ISNUMBER(Q1014),COUNTIFS(M_RUTN,V1014,M_MES,B1014,M_LIQ,"&lt;&gt;")&gt;1),"⚠ Liquidación repetida en el mes",IF(AND(ISNUMBER(O1014),ISNUMBER(P1014),ISNUMBER(Q1014),ABS(O1014-P1014-Q1014)&gt;1),"⚠ Haberes − descuentos no da el líquido","OK"))))))</f>
        <v/>
      </c>
      <c r="V1014" s="62" t="str">
        <f aca="false">IF(C1014="","",IFERROR(VALUE(LEFT(UPPER(SUBSTITUTE(SUBSTITUTE(SUBSTITUTE(TRIM(C1014),".",""),"-","")," ","")),LEN(UPPER(SUBSTITUTE(SUBSTITUTE(SUBSTITUTE(TRIM(C1014),".",""),"-","")," ","")))-1))&amp;RIGHT(UPPER(SUBSTITUTE(SUBSTITUTE(SUBSTITUTE(TRIM(C1014),".",""),"-","")," ","")),1),UPPER(SUBSTITUTE(SUBSTITUTE(SUBSTITUTE(TRIM(C1014),".",""),"-","")," ",""))))</f>
        <v/>
      </c>
    </row>
    <row r="1015" customFormat="false" ht="15" hidden="false" customHeight="false" outlineLevel="0" collapsed="false">
      <c r="B1015" s="80"/>
      <c r="C1015" s="58"/>
      <c r="D1015" s="62" t="str">
        <f aca="false">IF(C1015="","",IFERROR(INDEX(T_NOMBRE,MATCH(V1015,T_RUTN,0)),"⚠ RUT no está en Trabajadores"))</f>
        <v/>
      </c>
      <c r="E1015" s="61"/>
      <c r="F1015" s="61"/>
      <c r="G1015" s="61"/>
      <c r="H1015" s="61"/>
      <c r="I1015" s="81"/>
      <c r="J1015" s="81"/>
      <c r="K1015" s="60"/>
      <c r="L1015" s="60"/>
      <c r="M1015" s="60"/>
      <c r="N1015" s="60"/>
      <c r="O1015" s="60"/>
      <c r="P1015" s="60"/>
      <c r="Q1015" s="60"/>
      <c r="R1015" s="58"/>
      <c r="S1015" s="62" t="str">
        <f aca="false">IF(OR(B1015="",V1015=""),"",IFERROR(INDEX(C_TIPO,MATCH(V1015&amp;"-P"&amp;MAX(1,COUNTIFS(C_RUTN,V1015,C_DEF,"Sí",C_INI,"&lt;="&amp;EOMONTH(B1015,0))),C_CLAVE,0))&amp;"","Sin contrato"))</f>
        <v/>
      </c>
      <c r="T1015" s="63" t="str">
        <f aca="false">IF(OR(B1015="",N(O1015)=0),"",N(O1015)+ROUND(MIN(N(N1015),TOPE_UF*UF_MES)*(TASA_EMP+MUTUAL),0)+ROUND(MIN(N(N1015),TOPE_AFC_UF*UF_MES)*IF(S1015="Indefinido",AFC_INDEF,AFC_PF),0))</f>
        <v/>
      </c>
      <c r="U1015" s="62" t="str">
        <f aca="false">IF(C1015="","",IF(LEFT(D1015,1)="⚠","⚠ RUT no registrado en Trabajadores",IF(B1015="","⚠ Falta el mes",IF(OR(ISTEXT(I1015),ISTEXT(J1015)),"⚠ Atrasos u horas extra como texto: escriba hh:mm (ej. 1:30)",IF(AND(ISNUMBER(Q1015),COUNTIFS(M_RUTN,V1015,M_MES,B1015,M_LIQ,"&lt;&gt;")&gt;1),"⚠ Liquidación repetida en el mes",IF(AND(ISNUMBER(O1015),ISNUMBER(P1015),ISNUMBER(Q1015),ABS(O1015-P1015-Q1015)&gt;1),"⚠ Haberes − descuentos no da el líquido","OK"))))))</f>
        <v/>
      </c>
      <c r="V1015" s="62" t="str">
        <f aca="false">IF(C1015="","",IFERROR(VALUE(LEFT(UPPER(SUBSTITUTE(SUBSTITUTE(SUBSTITUTE(TRIM(C1015),".",""),"-","")," ","")),LEN(UPPER(SUBSTITUTE(SUBSTITUTE(SUBSTITUTE(TRIM(C1015),".",""),"-","")," ","")))-1))&amp;RIGHT(UPPER(SUBSTITUTE(SUBSTITUTE(SUBSTITUTE(TRIM(C1015),".",""),"-","")," ","")),1),UPPER(SUBSTITUTE(SUBSTITUTE(SUBSTITUTE(TRIM(C1015),".",""),"-","")," ",""))))</f>
        <v/>
      </c>
    </row>
    <row r="1016" customFormat="false" ht="15" hidden="false" customHeight="false" outlineLevel="0" collapsed="false">
      <c r="B1016" s="80"/>
      <c r="C1016" s="58"/>
      <c r="D1016" s="62" t="str">
        <f aca="false">IF(C1016="","",IFERROR(INDEX(T_NOMBRE,MATCH(V1016,T_RUTN,0)),"⚠ RUT no está en Trabajadores"))</f>
        <v/>
      </c>
      <c r="E1016" s="61"/>
      <c r="F1016" s="61"/>
      <c r="G1016" s="61"/>
      <c r="H1016" s="61"/>
      <c r="I1016" s="81"/>
      <c r="J1016" s="81"/>
      <c r="K1016" s="60"/>
      <c r="L1016" s="60"/>
      <c r="M1016" s="60"/>
      <c r="N1016" s="60"/>
      <c r="O1016" s="60"/>
      <c r="P1016" s="60"/>
      <c r="Q1016" s="60"/>
      <c r="R1016" s="58"/>
      <c r="S1016" s="62" t="str">
        <f aca="false">IF(OR(B1016="",V1016=""),"",IFERROR(INDEX(C_TIPO,MATCH(V1016&amp;"-P"&amp;MAX(1,COUNTIFS(C_RUTN,V1016,C_DEF,"Sí",C_INI,"&lt;="&amp;EOMONTH(B1016,0))),C_CLAVE,0))&amp;"","Sin contrato"))</f>
        <v/>
      </c>
      <c r="T1016" s="63" t="str">
        <f aca="false">IF(OR(B1016="",N(O1016)=0),"",N(O1016)+ROUND(MIN(N(N1016),TOPE_UF*UF_MES)*(TASA_EMP+MUTUAL),0)+ROUND(MIN(N(N1016),TOPE_AFC_UF*UF_MES)*IF(S1016="Indefinido",AFC_INDEF,AFC_PF),0))</f>
        <v/>
      </c>
      <c r="U1016" s="62" t="str">
        <f aca="false">IF(C1016="","",IF(LEFT(D1016,1)="⚠","⚠ RUT no registrado en Trabajadores",IF(B1016="","⚠ Falta el mes",IF(OR(ISTEXT(I1016),ISTEXT(J1016)),"⚠ Atrasos u horas extra como texto: escriba hh:mm (ej. 1:30)",IF(AND(ISNUMBER(Q1016),COUNTIFS(M_RUTN,V1016,M_MES,B1016,M_LIQ,"&lt;&gt;")&gt;1),"⚠ Liquidación repetida en el mes",IF(AND(ISNUMBER(O1016),ISNUMBER(P1016),ISNUMBER(Q1016),ABS(O1016-P1016-Q1016)&gt;1),"⚠ Haberes − descuentos no da el líquido","OK"))))))</f>
        <v/>
      </c>
      <c r="V1016" s="62" t="str">
        <f aca="false">IF(C1016="","",IFERROR(VALUE(LEFT(UPPER(SUBSTITUTE(SUBSTITUTE(SUBSTITUTE(TRIM(C1016),".",""),"-","")," ","")),LEN(UPPER(SUBSTITUTE(SUBSTITUTE(SUBSTITUTE(TRIM(C1016),".",""),"-","")," ","")))-1))&amp;RIGHT(UPPER(SUBSTITUTE(SUBSTITUTE(SUBSTITUTE(TRIM(C1016),".",""),"-","")," ","")),1),UPPER(SUBSTITUTE(SUBSTITUTE(SUBSTITUTE(TRIM(C1016),".",""),"-","")," ",""))))</f>
        <v/>
      </c>
    </row>
    <row r="1017" customFormat="false" ht="15" hidden="false" customHeight="false" outlineLevel="0" collapsed="false">
      <c r="B1017" s="80"/>
      <c r="C1017" s="58"/>
      <c r="D1017" s="62" t="str">
        <f aca="false">IF(C1017="","",IFERROR(INDEX(T_NOMBRE,MATCH(V1017,T_RUTN,0)),"⚠ RUT no está en Trabajadores"))</f>
        <v/>
      </c>
      <c r="E1017" s="61"/>
      <c r="F1017" s="61"/>
      <c r="G1017" s="61"/>
      <c r="H1017" s="61"/>
      <c r="I1017" s="81"/>
      <c r="J1017" s="81"/>
      <c r="K1017" s="60"/>
      <c r="L1017" s="60"/>
      <c r="M1017" s="60"/>
      <c r="N1017" s="60"/>
      <c r="O1017" s="60"/>
      <c r="P1017" s="60"/>
      <c r="Q1017" s="60"/>
      <c r="R1017" s="58"/>
      <c r="S1017" s="62" t="str">
        <f aca="false">IF(OR(B1017="",V1017=""),"",IFERROR(INDEX(C_TIPO,MATCH(V1017&amp;"-P"&amp;MAX(1,COUNTIFS(C_RUTN,V1017,C_DEF,"Sí",C_INI,"&lt;="&amp;EOMONTH(B1017,0))),C_CLAVE,0))&amp;"","Sin contrato"))</f>
        <v/>
      </c>
      <c r="T1017" s="63" t="str">
        <f aca="false">IF(OR(B1017="",N(O1017)=0),"",N(O1017)+ROUND(MIN(N(N1017),TOPE_UF*UF_MES)*(TASA_EMP+MUTUAL),0)+ROUND(MIN(N(N1017),TOPE_AFC_UF*UF_MES)*IF(S1017="Indefinido",AFC_INDEF,AFC_PF),0))</f>
        <v/>
      </c>
      <c r="U1017" s="62" t="str">
        <f aca="false">IF(C1017="","",IF(LEFT(D1017,1)="⚠","⚠ RUT no registrado en Trabajadores",IF(B1017="","⚠ Falta el mes",IF(OR(ISTEXT(I1017),ISTEXT(J1017)),"⚠ Atrasos u horas extra como texto: escriba hh:mm (ej. 1:30)",IF(AND(ISNUMBER(Q1017),COUNTIFS(M_RUTN,V1017,M_MES,B1017,M_LIQ,"&lt;&gt;")&gt;1),"⚠ Liquidación repetida en el mes",IF(AND(ISNUMBER(O1017),ISNUMBER(P1017),ISNUMBER(Q1017),ABS(O1017-P1017-Q1017)&gt;1),"⚠ Haberes − descuentos no da el líquido","OK"))))))</f>
        <v/>
      </c>
      <c r="V1017" s="62" t="str">
        <f aca="false">IF(C1017="","",IFERROR(VALUE(LEFT(UPPER(SUBSTITUTE(SUBSTITUTE(SUBSTITUTE(TRIM(C1017),".",""),"-","")," ","")),LEN(UPPER(SUBSTITUTE(SUBSTITUTE(SUBSTITUTE(TRIM(C1017),".",""),"-","")," ","")))-1))&amp;RIGHT(UPPER(SUBSTITUTE(SUBSTITUTE(SUBSTITUTE(TRIM(C1017),".",""),"-","")," ","")),1),UPPER(SUBSTITUTE(SUBSTITUTE(SUBSTITUTE(TRIM(C1017),".",""),"-","")," ",""))))</f>
        <v/>
      </c>
    </row>
    <row r="1018" customFormat="false" ht="15" hidden="false" customHeight="false" outlineLevel="0" collapsed="false">
      <c r="B1018" s="80"/>
      <c r="C1018" s="58"/>
      <c r="D1018" s="62" t="str">
        <f aca="false">IF(C1018="","",IFERROR(INDEX(T_NOMBRE,MATCH(V1018,T_RUTN,0)),"⚠ RUT no está en Trabajadores"))</f>
        <v/>
      </c>
      <c r="E1018" s="61"/>
      <c r="F1018" s="61"/>
      <c r="G1018" s="61"/>
      <c r="H1018" s="61"/>
      <c r="I1018" s="81"/>
      <c r="J1018" s="81"/>
      <c r="K1018" s="60"/>
      <c r="L1018" s="60"/>
      <c r="M1018" s="60"/>
      <c r="N1018" s="60"/>
      <c r="O1018" s="60"/>
      <c r="P1018" s="60"/>
      <c r="Q1018" s="60"/>
      <c r="R1018" s="58"/>
      <c r="S1018" s="62" t="str">
        <f aca="false">IF(OR(B1018="",V1018=""),"",IFERROR(INDEX(C_TIPO,MATCH(V1018&amp;"-P"&amp;MAX(1,COUNTIFS(C_RUTN,V1018,C_DEF,"Sí",C_INI,"&lt;="&amp;EOMONTH(B1018,0))),C_CLAVE,0))&amp;"","Sin contrato"))</f>
        <v/>
      </c>
      <c r="T1018" s="63" t="str">
        <f aca="false">IF(OR(B1018="",N(O1018)=0),"",N(O1018)+ROUND(MIN(N(N1018),TOPE_UF*UF_MES)*(TASA_EMP+MUTUAL),0)+ROUND(MIN(N(N1018),TOPE_AFC_UF*UF_MES)*IF(S1018="Indefinido",AFC_INDEF,AFC_PF),0))</f>
        <v/>
      </c>
      <c r="U1018" s="62" t="str">
        <f aca="false">IF(C1018="","",IF(LEFT(D1018,1)="⚠","⚠ RUT no registrado en Trabajadores",IF(B1018="","⚠ Falta el mes",IF(OR(ISTEXT(I1018),ISTEXT(J1018)),"⚠ Atrasos u horas extra como texto: escriba hh:mm (ej. 1:30)",IF(AND(ISNUMBER(Q1018),COUNTIFS(M_RUTN,V1018,M_MES,B1018,M_LIQ,"&lt;&gt;")&gt;1),"⚠ Liquidación repetida en el mes",IF(AND(ISNUMBER(O1018),ISNUMBER(P1018),ISNUMBER(Q1018),ABS(O1018-P1018-Q1018)&gt;1),"⚠ Haberes − descuentos no da el líquido","OK"))))))</f>
        <v/>
      </c>
      <c r="V1018" s="62" t="str">
        <f aca="false">IF(C1018="","",IFERROR(VALUE(LEFT(UPPER(SUBSTITUTE(SUBSTITUTE(SUBSTITUTE(TRIM(C1018),".",""),"-","")," ","")),LEN(UPPER(SUBSTITUTE(SUBSTITUTE(SUBSTITUTE(TRIM(C1018),".",""),"-","")," ","")))-1))&amp;RIGHT(UPPER(SUBSTITUTE(SUBSTITUTE(SUBSTITUTE(TRIM(C1018),".",""),"-","")," ","")),1),UPPER(SUBSTITUTE(SUBSTITUTE(SUBSTITUTE(TRIM(C1018),".",""),"-","")," ",""))))</f>
        <v/>
      </c>
    </row>
    <row r="1019" customFormat="false" ht="15" hidden="false" customHeight="false" outlineLevel="0" collapsed="false">
      <c r="B1019" s="80"/>
      <c r="C1019" s="58"/>
      <c r="D1019" s="62" t="str">
        <f aca="false">IF(C1019="","",IFERROR(INDEX(T_NOMBRE,MATCH(V1019,T_RUTN,0)),"⚠ RUT no está en Trabajadores"))</f>
        <v/>
      </c>
      <c r="E1019" s="61"/>
      <c r="F1019" s="61"/>
      <c r="G1019" s="61"/>
      <c r="H1019" s="61"/>
      <c r="I1019" s="81"/>
      <c r="J1019" s="81"/>
      <c r="K1019" s="60"/>
      <c r="L1019" s="60"/>
      <c r="M1019" s="60"/>
      <c r="N1019" s="60"/>
      <c r="O1019" s="60"/>
      <c r="P1019" s="60"/>
      <c r="Q1019" s="60"/>
      <c r="R1019" s="58"/>
      <c r="S1019" s="62" t="str">
        <f aca="false">IF(OR(B1019="",V1019=""),"",IFERROR(INDEX(C_TIPO,MATCH(V1019&amp;"-P"&amp;MAX(1,COUNTIFS(C_RUTN,V1019,C_DEF,"Sí",C_INI,"&lt;="&amp;EOMONTH(B1019,0))),C_CLAVE,0))&amp;"","Sin contrato"))</f>
        <v/>
      </c>
      <c r="T1019" s="63" t="str">
        <f aca="false">IF(OR(B1019="",N(O1019)=0),"",N(O1019)+ROUND(MIN(N(N1019),TOPE_UF*UF_MES)*(TASA_EMP+MUTUAL),0)+ROUND(MIN(N(N1019),TOPE_AFC_UF*UF_MES)*IF(S1019="Indefinido",AFC_INDEF,AFC_PF),0))</f>
        <v/>
      </c>
      <c r="U1019" s="62" t="str">
        <f aca="false">IF(C1019="","",IF(LEFT(D1019,1)="⚠","⚠ RUT no registrado en Trabajadores",IF(B1019="","⚠ Falta el mes",IF(OR(ISTEXT(I1019),ISTEXT(J1019)),"⚠ Atrasos u horas extra como texto: escriba hh:mm (ej. 1:30)",IF(AND(ISNUMBER(Q1019),COUNTIFS(M_RUTN,V1019,M_MES,B1019,M_LIQ,"&lt;&gt;")&gt;1),"⚠ Liquidación repetida en el mes",IF(AND(ISNUMBER(O1019),ISNUMBER(P1019),ISNUMBER(Q1019),ABS(O1019-P1019-Q1019)&gt;1),"⚠ Haberes − descuentos no da el líquido","OK"))))))</f>
        <v/>
      </c>
      <c r="V1019" s="62" t="str">
        <f aca="false">IF(C1019="","",IFERROR(VALUE(LEFT(UPPER(SUBSTITUTE(SUBSTITUTE(SUBSTITUTE(TRIM(C1019),".",""),"-","")," ","")),LEN(UPPER(SUBSTITUTE(SUBSTITUTE(SUBSTITUTE(TRIM(C1019),".",""),"-","")," ","")))-1))&amp;RIGHT(UPPER(SUBSTITUTE(SUBSTITUTE(SUBSTITUTE(TRIM(C1019),".",""),"-","")," ","")),1),UPPER(SUBSTITUTE(SUBSTITUTE(SUBSTITUTE(TRIM(C1019),".",""),"-","")," ",""))))</f>
        <v/>
      </c>
    </row>
    <row r="1020" customFormat="false" ht="15" hidden="false" customHeight="false" outlineLevel="0" collapsed="false">
      <c r="B1020" s="80"/>
      <c r="C1020" s="58"/>
      <c r="D1020" s="62" t="str">
        <f aca="false">IF(C1020="","",IFERROR(INDEX(T_NOMBRE,MATCH(V1020,T_RUTN,0)),"⚠ RUT no está en Trabajadores"))</f>
        <v/>
      </c>
      <c r="E1020" s="61"/>
      <c r="F1020" s="61"/>
      <c r="G1020" s="61"/>
      <c r="H1020" s="61"/>
      <c r="I1020" s="81"/>
      <c r="J1020" s="81"/>
      <c r="K1020" s="60"/>
      <c r="L1020" s="60"/>
      <c r="M1020" s="60"/>
      <c r="N1020" s="60"/>
      <c r="O1020" s="60"/>
      <c r="P1020" s="60"/>
      <c r="Q1020" s="60"/>
      <c r="R1020" s="58"/>
      <c r="S1020" s="62" t="str">
        <f aca="false">IF(OR(B1020="",V1020=""),"",IFERROR(INDEX(C_TIPO,MATCH(V1020&amp;"-P"&amp;MAX(1,COUNTIFS(C_RUTN,V1020,C_DEF,"Sí",C_INI,"&lt;="&amp;EOMONTH(B1020,0))),C_CLAVE,0))&amp;"","Sin contrato"))</f>
        <v/>
      </c>
      <c r="T1020" s="63" t="str">
        <f aca="false">IF(OR(B1020="",N(O1020)=0),"",N(O1020)+ROUND(MIN(N(N1020),TOPE_UF*UF_MES)*(TASA_EMP+MUTUAL),0)+ROUND(MIN(N(N1020),TOPE_AFC_UF*UF_MES)*IF(S1020="Indefinido",AFC_INDEF,AFC_PF),0))</f>
        <v/>
      </c>
      <c r="U1020" s="62" t="str">
        <f aca="false">IF(C1020="","",IF(LEFT(D1020,1)="⚠","⚠ RUT no registrado en Trabajadores",IF(B1020="","⚠ Falta el mes",IF(OR(ISTEXT(I1020),ISTEXT(J1020)),"⚠ Atrasos u horas extra como texto: escriba hh:mm (ej. 1:30)",IF(AND(ISNUMBER(Q1020),COUNTIFS(M_RUTN,V1020,M_MES,B1020,M_LIQ,"&lt;&gt;")&gt;1),"⚠ Liquidación repetida en el mes",IF(AND(ISNUMBER(O1020),ISNUMBER(P1020),ISNUMBER(Q1020),ABS(O1020-P1020-Q1020)&gt;1),"⚠ Haberes − descuentos no da el líquido","OK"))))))</f>
        <v/>
      </c>
      <c r="V1020" s="62" t="str">
        <f aca="false">IF(C1020="","",IFERROR(VALUE(LEFT(UPPER(SUBSTITUTE(SUBSTITUTE(SUBSTITUTE(TRIM(C1020),".",""),"-","")," ","")),LEN(UPPER(SUBSTITUTE(SUBSTITUTE(SUBSTITUTE(TRIM(C1020),".",""),"-","")," ","")))-1))&amp;RIGHT(UPPER(SUBSTITUTE(SUBSTITUTE(SUBSTITUTE(TRIM(C1020),".",""),"-","")," ","")),1),UPPER(SUBSTITUTE(SUBSTITUTE(SUBSTITUTE(TRIM(C1020),".",""),"-","")," ",""))))</f>
        <v/>
      </c>
    </row>
    <row r="1021" customFormat="false" ht="15" hidden="false" customHeight="false" outlineLevel="0" collapsed="false">
      <c r="B1021" s="80"/>
      <c r="C1021" s="58"/>
      <c r="D1021" s="62" t="str">
        <f aca="false">IF(C1021="","",IFERROR(INDEX(T_NOMBRE,MATCH(V1021,T_RUTN,0)),"⚠ RUT no está en Trabajadores"))</f>
        <v/>
      </c>
      <c r="E1021" s="61"/>
      <c r="F1021" s="61"/>
      <c r="G1021" s="61"/>
      <c r="H1021" s="61"/>
      <c r="I1021" s="81"/>
      <c r="J1021" s="81"/>
      <c r="K1021" s="60"/>
      <c r="L1021" s="60"/>
      <c r="M1021" s="60"/>
      <c r="N1021" s="60"/>
      <c r="O1021" s="60"/>
      <c r="P1021" s="60"/>
      <c r="Q1021" s="60"/>
      <c r="R1021" s="58"/>
      <c r="S1021" s="62" t="str">
        <f aca="false">IF(OR(B1021="",V1021=""),"",IFERROR(INDEX(C_TIPO,MATCH(V1021&amp;"-P"&amp;MAX(1,COUNTIFS(C_RUTN,V1021,C_DEF,"Sí",C_INI,"&lt;="&amp;EOMONTH(B1021,0))),C_CLAVE,0))&amp;"","Sin contrato"))</f>
        <v/>
      </c>
      <c r="T1021" s="63" t="str">
        <f aca="false">IF(OR(B1021="",N(O1021)=0),"",N(O1021)+ROUND(MIN(N(N1021),TOPE_UF*UF_MES)*(TASA_EMP+MUTUAL),0)+ROUND(MIN(N(N1021),TOPE_AFC_UF*UF_MES)*IF(S1021="Indefinido",AFC_INDEF,AFC_PF),0))</f>
        <v/>
      </c>
      <c r="U1021" s="62" t="str">
        <f aca="false">IF(C1021="","",IF(LEFT(D1021,1)="⚠","⚠ RUT no registrado en Trabajadores",IF(B1021="","⚠ Falta el mes",IF(OR(ISTEXT(I1021),ISTEXT(J1021)),"⚠ Atrasos u horas extra como texto: escriba hh:mm (ej. 1:30)",IF(AND(ISNUMBER(Q1021),COUNTIFS(M_RUTN,V1021,M_MES,B1021,M_LIQ,"&lt;&gt;")&gt;1),"⚠ Liquidación repetida en el mes",IF(AND(ISNUMBER(O1021),ISNUMBER(P1021),ISNUMBER(Q1021),ABS(O1021-P1021-Q1021)&gt;1),"⚠ Haberes − descuentos no da el líquido","OK"))))))</f>
        <v/>
      </c>
      <c r="V1021" s="62" t="str">
        <f aca="false">IF(C1021="","",IFERROR(VALUE(LEFT(UPPER(SUBSTITUTE(SUBSTITUTE(SUBSTITUTE(TRIM(C1021),".",""),"-","")," ","")),LEN(UPPER(SUBSTITUTE(SUBSTITUTE(SUBSTITUTE(TRIM(C1021),".",""),"-","")," ","")))-1))&amp;RIGHT(UPPER(SUBSTITUTE(SUBSTITUTE(SUBSTITUTE(TRIM(C1021),".",""),"-","")," ","")),1),UPPER(SUBSTITUTE(SUBSTITUTE(SUBSTITUTE(TRIM(C1021),".",""),"-","")," ",""))))</f>
        <v/>
      </c>
    </row>
    <row r="1022" customFormat="false" ht="15" hidden="false" customHeight="false" outlineLevel="0" collapsed="false">
      <c r="B1022" s="80"/>
      <c r="C1022" s="58"/>
      <c r="D1022" s="62" t="str">
        <f aca="false">IF(C1022="","",IFERROR(INDEX(T_NOMBRE,MATCH(V1022,T_RUTN,0)),"⚠ RUT no está en Trabajadores"))</f>
        <v/>
      </c>
      <c r="E1022" s="61"/>
      <c r="F1022" s="61"/>
      <c r="G1022" s="61"/>
      <c r="H1022" s="61"/>
      <c r="I1022" s="81"/>
      <c r="J1022" s="81"/>
      <c r="K1022" s="60"/>
      <c r="L1022" s="60"/>
      <c r="M1022" s="60"/>
      <c r="N1022" s="60"/>
      <c r="O1022" s="60"/>
      <c r="P1022" s="60"/>
      <c r="Q1022" s="60"/>
      <c r="R1022" s="58"/>
      <c r="S1022" s="62" t="str">
        <f aca="false">IF(OR(B1022="",V1022=""),"",IFERROR(INDEX(C_TIPO,MATCH(V1022&amp;"-P"&amp;MAX(1,COUNTIFS(C_RUTN,V1022,C_DEF,"Sí",C_INI,"&lt;="&amp;EOMONTH(B1022,0))),C_CLAVE,0))&amp;"","Sin contrato"))</f>
        <v/>
      </c>
      <c r="T1022" s="63" t="str">
        <f aca="false">IF(OR(B1022="",N(O1022)=0),"",N(O1022)+ROUND(MIN(N(N1022),TOPE_UF*UF_MES)*(TASA_EMP+MUTUAL),0)+ROUND(MIN(N(N1022),TOPE_AFC_UF*UF_MES)*IF(S1022="Indefinido",AFC_INDEF,AFC_PF),0))</f>
        <v/>
      </c>
      <c r="U1022" s="62" t="str">
        <f aca="false">IF(C1022="","",IF(LEFT(D1022,1)="⚠","⚠ RUT no registrado en Trabajadores",IF(B1022="","⚠ Falta el mes",IF(OR(ISTEXT(I1022),ISTEXT(J1022)),"⚠ Atrasos u horas extra como texto: escriba hh:mm (ej. 1:30)",IF(AND(ISNUMBER(Q1022),COUNTIFS(M_RUTN,V1022,M_MES,B1022,M_LIQ,"&lt;&gt;")&gt;1),"⚠ Liquidación repetida en el mes",IF(AND(ISNUMBER(O1022),ISNUMBER(P1022),ISNUMBER(Q1022),ABS(O1022-P1022-Q1022)&gt;1),"⚠ Haberes − descuentos no da el líquido","OK"))))))</f>
        <v/>
      </c>
      <c r="V1022" s="62" t="str">
        <f aca="false">IF(C1022="","",IFERROR(VALUE(LEFT(UPPER(SUBSTITUTE(SUBSTITUTE(SUBSTITUTE(TRIM(C1022),".",""),"-","")," ","")),LEN(UPPER(SUBSTITUTE(SUBSTITUTE(SUBSTITUTE(TRIM(C1022),".",""),"-","")," ","")))-1))&amp;RIGHT(UPPER(SUBSTITUTE(SUBSTITUTE(SUBSTITUTE(TRIM(C1022),".",""),"-","")," ","")),1),UPPER(SUBSTITUTE(SUBSTITUTE(SUBSTITUTE(TRIM(C1022),".",""),"-","")," ",""))))</f>
        <v/>
      </c>
    </row>
    <row r="1023" customFormat="false" ht="15" hidden="false" customHeight="false" outlineLevel="0" collapsed="false">
      <c r="B1023" s="80"/>
      <c r="C1023" s="58"/>
      <c r="D1023" s="62" t="str">
        <f aca="false">IF(C1023="","",IFERROR(INDEX(T_NOMBRE,MATCH(V1023,T_RUTN,0)),"⚠ RUT no está en Trabajadores"))</f>
        <v/>
      </c>
      <c r="E1023" s="61"/>
      <c r="F1023" s="61"/>
      <c r="G1023" s="61"/>
      <c r="H1023" s="61"/>
      <c r="I1023" s="81"/>
      <c r="J1023" s="81"/>
      <c r="K1023" s="60"/>
      <c r="L1023" s="60"/>
      <c r="M1023" s="60"/>
      <c r="N1023" s="60"/>
      <c r="O1023" s="60"/>
      <c r="P1023" s="60"/>
      <c r="Q1023" s="60"/>
      <c r="R1023" s="58"/>
      <c r="S1023" s="62" t="str">
        <f aca="false">IF(OR(B1023="",V1023=""),"",IFERROR(INDEX(C_TIPO,MATCH(V1023&amp;"-P"&amp;MAX(1,COUNTIFS(C_RUTN,V1023,C_DEF,"Sí",C_INI,"&lt;="&amp;EOMONTH(B1023,0))),C_CLAVE,0))&amp;"","Sin contrato"))</f>
        <v/>
      </c>
      <c r="T1023" s="63" t="str">
        <f aca="false">IF(OR(B1023="",N(O1023)=0),"",N(O1023)+ROUND(MIN(N(N1023),TOPE_UF*UF_MES)*(TASA_EMP+MUTUAL),0)+ROUND(MIN(N(N1023),TOPE_AFC_UF*UF_MES)*IF(S1023="Indefinido",AFC_INDEF,AFC_PF),0))</f>
        <v/>
      </c>
      <c r="U1023" s="62" t="str">
        <f aca="false">IF(C1023="","",IF(LEFT(D1023,1)="⚠","⚠ RUT no registrado en Trabajadores",IF(B1023="","⚠ Falta el mes",IF(OR(ISTEXT(I1023),ISTEXT(J1023)),"⚠ Atrasos u horas extra como texto: escriba hh:mm (ej. 1:30)",IF(AND(ISNUMBER(Q1023),COUNTIFS(M_RUTN,V1023,M_MES,B1023,M_LIQ,"&lt;&gt;")&gt;1),"⚠ Liquidación repetida en el mes",IF(AND(ISNUMBER(O1023),ISNUMBER(P1023),ISNUMBER(Q1023),ABS(O1023-P1023-Q1023)&gt;1),"⚠ Haberes − descuentos no da el líquido","OK"))))))</f>
        <v/>
      </c>
      <c r="V1023" s="62" t="str">
        <f aca="false">IF(C1023="","",IFERROR(VALUE(LEFT(UPPER(SUBSTITUTE(SUBSTITUTE(SUBSTITUTE(TRIM(C1023),".",""),"-","")," ","")),LEN(UPPER(SUBSTITUTE(SUBSTITUTE(SUBSTITUTE(TRIM(C1023),".",""),"-","")," ","")))-1))&amp;RIGHT(UPPER(SUBSTITUTE(SUBSTITUTE(SUBSTITUTE(TRIM(C1023),".",""),"-","")," ","")),1),UPPER(SUBSTITUTE(SUBSTITUTE(SUBSTITUTE(TRIM(C1023),".",""),"-","")," ",""))))</f>
        <v/>
      </c>
    </row>
    <row r="1024" customFormat="false" ht="15" hidden="false" customHeight="false" outlineLevel="0" collapsed="false">
      <c r="B1024" s="80"/>
      <c r="C1024" s="58"/>
      <c r="D1024" s="62" t="str">
        <f aca="false">IF(C1024="","",IFERROR(INDEX(T_NOMBRE,MATCH(V1024,T_RUTN,0)),"⚠ RUT no está en Trabajadores"))</f>
        <v/>
      </c>
      <c r="E1024" s="61"/>
      <c r="F1024" s="61"/>
      <c r="G1024" s="61"/>
      <c r="H1024" s="61"/>
      <c r="I1024" s="81"/>
      <c r="J1024" s="81"/>
      <c r="K1024" s="60"/>
      <c r="L1024" s="60"/>
      <c r="M1024" s="60"/>
      <c r="N1024" s="60"/>
      <c r="O1024" s="60"/>
      <c r="P1024" s="60"/>
      <c r="Q1024" s="60"/>
      <c r="R1024" s="58"/>
      <c r="S1024" s="62" t="str">
        <f aca="false">IF(OR(B1024="",V1024=""),"",IFERROR(INDEX(C_TIPO,MATCH(V1024&amp;"-P"&amp;MAX(1,COUNTIFS(C_RUTN,V1024,C_DEF,"Sí",C_INI,"&lt;="&amp;EOMONTH(B1024,0))),C_CLAVE,0))&amp;"","Sin contrato"))</f>
        <v/>
      </c>
      <c r="T1024" s="63" t="str">
        <f aca="false">IF(OR(B1024="",N(O1024)=0),"",N(O1024)+ROUND(MIN(N(N1024),TOPE_UF*UF_MES)*(TASA_EMP+MUTUAL),0)+ROUND(MIN(N(N1024),TOPE_AFC_UF*UF_MES)*IF(S1024="Indefinido",AFC_INDEF,AFC_PF),0))</f>
        <v/>
      </c>
      <c r="U1024" s="62" t="str">
        <f aca="false">IF(C1024="","",IF(LEFT(D1024,1)="⚠","⚠ RUT no registrado en Trabajadores",IF(B1024="","⚠ Falta el mes",IF(OR(ISTEXT(I1024),ISTEXT(J1024)),"⚠ Atrasos u horas extra como texto: escriba hh:mm (ej. 1:30)",IF(AND(ISNUMBER(Q1024),COUNTIFS(M_RUTN,V1024,M_MES,B1024,M_LIQ,"&lt;&gt;")&gt;1),"⚠ Liquidación repetida en el mes",IF(AND(ISNUMBER(O1024),ISNUMBER(P1024),ISNUMBER(Q1024),ABS(O1024-P1024-Q1024)&gt;1),"⚠ Haberes − descuentos no da el líquido","OK"))))))</f>
        <v/>
      </c>
      <c r="V1024" s="62" t="str">
        <f aca="false">IF(C1024="","",IFERROR(VALUE(LEFT(UPPER(SUBSTITUTE(SUBSTITUTE(SUBSTITUTE(TRIM(C1024),".",""),"-","")," ","")),LEN(UPPER(SUBSTITUTE(SUBSTITUTE(SUBSTITUTE(TRIM(C1024),".",""),"-","")," ","")))-1))&amp;RIGHT(UPPER(SUBSTITUTE(SUBSTITUTE(SUBSTITUTE(TRIM(C1024),".",""),"-","")," ","")),1),UPPER(SUBSTITUTE(SUBSTITUTE(SUBSTITUTE(TRIM(C1024),".",""),"-","")," ",""))))</f>
        <v/>
      </c>
    </row>
    <row r="1025" customFormat="false" ht="15" hidden="false" customHeight="false" outlineLevel="0" collapsed="false">
      <c r="B1025" s="80"/>
      <c r="C1025" s="58"/>
      <c r="D1025" s="62" t="str">
        <f aca="false">IF(C1025="","",IFERROR(INDEX(T_NOMBRE,MATCH(V1025,T_RUTN,0)),"⚠ RUT no está en Trabajadores"))</f>
        <v/>
      </c>
      <c r="E1025" s="61"/>
      <c r="F1025" s="61"/>
      <c r="G1025" s="61"/>
      <c r="H1025" s="61"/>
      <c r="I1025" s="81"/>
      <c r="J1025" s="81"/>
      <c r="K1025" s="60"/>
      <c r="L1025" s="60"/>
      <c r="M1025" s="60"/>
      <c r="N1025" s="60"/>
      <c r="O1025" s="60"/>
      <c r="P1025" s="60"/>
      <c r="Q1025" s="60"/>
      <c r="R1025" s="58"/>
      <c r="S1025" s="62" t="str">
        <f aca="false">IF(OR(B1025="",V1025=""),"",IFERROR(INDEX(C_TIPO,MATCH(V1025&amp;"-P"&amp;MAX(1,COUNTIFS(C_RUTN,V1025,C_DEF,"Sí",C_INI,"&lt;="&amp;EOMONTH(B1025,0))),C_CLAVE,0))&amp;"","Sin contrato"))</f>
        <v/>
      </c>
      <c r="T1025" s="63" t="str">
        <f aca="false">IF(OR(B1025="",N(O1025)=0),"",N(O1025)+ROUND(MIN(N(N1025),TOPE_UF*UF_MES)*(TASA_EMP+MUTUAL),0)+ROUND(MIN(N(N1025),TOPE_AFC_UF*UF_MES)*IF(S1025="Indefinido",AFC_INDEF,AFC_PF),0))</f>
        <v/>
      </c>
      <c r="U1025" s="62" t="str">
        <f aca="false">IF(C1025="","",IF(LEFT(D1025,1)="⚠","⚠ RUT no registrado en Trabajadores",IF(B1025="","⚠ Falta el mes",IF(OR(ISTEXT(I1025),ISTEXT(J1025)),"⚠ Atrasos u horas extra como texto: escriba hh:mm (ej. 1:30)",IF(AND(ISNUMBER(Q1025),COUNTIFS(M_RUTN,V1025,M_MES,B1025,M_LIQ,"&lt;&gt;")&gt;1),"⚠ Liquidación repetida en el mes",IF(AND(ISNUMBER(O1025),ISNUMBER(P1025),ISNUMBER(Q1025),ABS(O1025-P1025-Q1025)&gt;1),"⚠ Haberes − descuentos no da el líquido","OK"))))))</f>
        <v/>
      </c>
      <c r="V1025" s="62" t="str">
        <f aca="false">IF(C1025="","",IFERROR(VALUE(LEFT(UPPER(SUBSTITUTE(SUBSTITUTE(SUBSTITUTE(TRIM(C1025),".",""),"-","")," ","")),LEN(UPPER(SUBSTITUTE(SUBSTITUTE(SUBSTITUTE(TRIM(C1025),".",""),"-","")," ","")))-1))&amp;RIGHT(UPPER(SUBSTITUTE(SUBSTITUTE(SUBSTITUTE(TRIM(C1025),".",""),"-","")," ","")),1),UPPER(SUBSTITUTE(SUBSTITUTE(SUBSTITUTE(TRIM(C1025),".",""),"-","")," ",""))))</f>
        <v/>
      </c>
    </row>
    <row r="1026" customFormat="false" ht="15" hidden="false" customHeight="false" outlineLevel="0" collapsed="false">
      <c r="B1026" s="80"/>
      <c r="C1026" s="58"/>
      <c r="D1026" s="62" t="str">
        <f aca="false">IF(C1026="","",IFERROR(INDEX(T_NOMBRE,MATCH(V1026,T_RUTN,0)),"⚠ RUT no está en Trabajadores"))</f>
        <v/>
      </c>
      <c r="E1026" s="61"/>
      <c r="F1026" s="61"/>
      <c r="G1026" s="61"/>
      <c r="H1026" s="61"/>
      <c r="I1026" s="81"/>
      <c r="J1026" s="81"/>
      <c r="K1026" s="60"/>
      <c r="L1026" s="60"/>
      <c r="M1026" s="60"/>
      <c r="N1026" s="60"/>
      <c r="O1026" s="60"/>
      <c r="P1026" s="60"/>
      <c r="Q1026" s="60"/>
      <c r="R1026" s="58"/>
      <c r="S1026" s="62" t="str">
        <f aca="false">IF(OR(B1026="",V1026=""),"",IFERROR(INDEX(C_TIPO,MATCH(V1026&amp;"-P"&amp;MAX(1,COUNTIFS(C_RUTN,V1026,C_DEF,"Sí",C_INI,"&lt;="&amp;EOMONTH(B1026,0))),C_CLAVE,0))&amp;"","Sin contrato"))</f>
        <v/>
      </c>
      <c r="T1026" s="63" t="str">
        <f aca="false">IF(OR(B1026="",N(O1026)=0),"",N(O1026)+ROUND(MIN(N(N1026),TOPE_UF*UF_MES)*(TASA_EMP+MUTUAL),0)+ROUND(MIN(N(N1026),TOPE_AFC_UF*UF_MES)*IF(S1026="Indefinido",AFC_INDEF,AFC_PF),0))</f>
        <v/>
      </c>
      <c r="U1026" s="62" t="str">
        <f aca="false">IF(C1026="","",IF(LEFT(D1026,1)="⚠","⚠ RUT no registrado en Trabajadores",IF(B1026="","⚠ Falta el mes",IF(OR(ISTEXT(I1026),ISTEXT(J1026)),"⚠ Atrasos u horas extra como texto: escriba hh:mm (ej. 1:30)",IF(AND(ISNUMBER(Q1026),COUNTIFS(M_RUTN,V1026,M_MES,B1026,M_LIQ,"&lt;&gt;")&gt;1),"⚠ Liquidación repetida en el mes",IF(AND(ISNUMBER(O1026),ISNUMBER(P1026),ISNUMBER(Q1026),ABS(O1026-P1026-Q1026)&gt;1),"⚠ Haberes − descuentos no da el líquido","OK"))))))</f>
        <v/>
      </c>
      <c r="V1026" s="62" t="str">
        <f aca="false">IF(C1026="","",IFERROR(VALUE(LEFT(UPPER(SUBSTITUTE(SUBSTITUTE(SUBSTITUTE(TRIM(C1026),".",""),"-","")," ","")),LEN(UPPER(SUBSTITUTE(SUBSTITUTE(SUBSTITUTE(TRIM(C1026),".",""),"-","")," ","")))-1))&amp;RIGHT(UPPER(SUBSTITUTE(SUBSTITUTE(SUBSTITUTE(TRIM(C1026),".",""),"-","")," ","")),1),UPPER(SUBSTITUTE(SUBSTITUTE(SUBSTITUTE(TRIM(C1026),".",""),"-","")," ",""))))</f>
        <v/>
      </c>
    </row>
    <row r="1027" customFormat="false" ht="15" hidden="false" customHeight="false" outlineLevel="0" collapsed="false">
      <c r="B1027" s="80"/>
      <c r="C1027" s="58"/>
      <c r="D1027" s="62" t="str">
        <f aca="false">IF(C1027="","",IFERROR(INDEX(T_NOMBRE,MATCH(V1027,T_RUTN,0)),"⚠ RUT no está en Trabajadores"))</f>
        <v/>
      </c>
      <c r="E1027" s="61"/>
      <c r="F1027" s="61"/>
      <c r="G1027" s="61"/>
      <c r="H1027" s="61"/>
      <c r="I1027" s="81"/>
      <c r="J1027" s="81"/>
      <c r="K1027" s="60"/>
      <c r="L1027" s="60"/>
      <c r="M1027" s="60"/>
      <c r="N1027" s="60"/>
      <c r="O1027" s="60"/>
      <c r="P1027" s="60"/>
      <c r="Q1027" s="60"/>
      <c r="R1027" s="58"/>
      <c r="S1027" s="62" t="str">
        <f aca="false">IF(OR(B1027="",V1027=""),"",IFERROR(INDEX(C_TIPO,MATCH(V1027&amp;"-P"&amp;MAX(1,COUNTIFS(C_RUTN,V1027,C_DEF,"Sí",C_INI,"&lt;="&amp;EOMONTH(B1027,0))),C_CLAVE,0))&amp;"","Sin contrato"))</f>
        <v/>
      </c>
      <c r="T1027" s="63" t="str">
        <f aca="false">IF(OR(B1027="",N(O1027)=0),"",N(O1027)+ROUND(MIN(N(N1027),TOPE_UF*UF_MES)*(TASA_EMP+MUTUAL),0)+ROUND(MIN(N(N1027),TOPE_AFC_UF*UF_MES)*IF(S1027="Indefinido",AFC_INDEF,AFC_PF),0))</f>
        <v/>
      </c>
      <c r="U1027" s="62" t="str">
        <f aca="false">IF(C1027="","",IF(LEFT(D1027,1)="⚠","⚠ RUT no registrado en Trabajadores",IF(B1027="","⚠ Falta el mes",IF(OR(ISTEXT(I1027),ISTEXT(J1027)),"⚠ Atrasos u horas extra como texto: escriba hh:mm (ej. 1:30)",IF(AND(ISNUMBER(Q1027),COUNTIFS(M_RUTN,V1027,M_MES,B1027,M_LIQ,"&lt;&gt;")&gt;1),"⚠ Liquidación repetida en el mes",IF(AND(ISNUMBER(O1027),ISNUMBER(P1027),ISNUMBER(Q1027),ABS(O1027-P1027-Q1027)&gt;1),"⚠ Haberes − descuentos no da el líquido","OK"))))))</f>
        <v/>
      </c>
      <c r="V1027" s="62" t="str">
        <f aca="false">IF(C1027="","",IFERROR(VALUE(LEFT(UPPER(SUBSTITUTE(SUBSTITUTE(SUBSTITUTE(TRIM(C1027),".",""),"-","")," ","")),LEN(UPPER(SUBSTITUTE(SUBSTITUTE(SUBSTITUTE(TRIM(C1027),".",""),"-","")," ","")))-1))&amp;RIGHT(UPPER(SUBSTITUTE(SUBSTITUTE(SUBSTITUTE(TRIM(C1027),".",""),"-","")," ","")),1),UPPER(SUBSTITUTE(SUBSTITUTE(SUBSTITUTE(TRIM(C1027),".",""),"-","")," ",""))))</f>
        <v/>
      </c>
    </row>
    <row r="1028" customFormat="false" ht="15" hidden="false" customHeight="false" outlineLevel="0" collapsed="false">
      <c r="B1028" s="80"/>
      <c r="C1028" s="58"/>
      <c r="D1028" s="62" t="str">
        <f aca="false">IF(C1028="","",IFERROR(INDEX(T_NOMBRE,MATCH(V1028,T_RUTN,0)),"⚠ RUT no está en Trabajadores"))</f>
        <v/>
      </c>
      <c r="E1028" s="61"/>
      <c r="F1028" s="61"/>
      <c r="G1028" s="61"/>
      <c r="H1028" s="61"/>
      <c r="I1028" s="81"/>
      <c r="J1028" s="81"/>
      <c r="K1028" s="60"/>
      <c r="L1028" s="60"/>
      <c r="M1028" s="60"/>
      <c r="N1028" s="60"/>
      <c r="O1028" s="60"/>
      <c r="P1028" s="60"/>
      <c r="Q1028" s="60"/>
      <c r="R1028" s="58"/>
      <c r="S1028" s="62" t="str">
        <f aca="false">IF(OR(B1028="",V1028=""),"",IFERROR(INDEX(C_TIPO,MATCH(V1028&amp;"-P"&amp;MAX(1,COUNTIFS(C_RUTN,V1028,C_DEF,"Sí",C_INI,"&lt;="&amp;EOMONTH(B1028,0))),C_CLAVE,0))&amp;"","Sin contrato"))</f>
        <v/>
      </c>
      <c r="T1028" s="63" t="str">
        <f aca="false">IF(OR(B1028="",N(O1028)=0),"",N(O1028)+ROUND(MIN(N(N1028),TOPE_UF*UF_MES)*(TASA_EMP+MUTUAL),0)+ROUND(MIN(N(N1028),TOPE_AFC_UF*UF_MES)*IF(S1028="Indefinido",AFC_INDEF,AFC_PF),0))</f>
        <v/>
      </c>
      <c r="U1028" s="62" t="str">
        <f aca="false">IF(C1028="","",IF(LEFT(D1028,1)="⚠","⚠ RUT no registrado en Trabajadores",IF(B1028="","⚠ Falta el mes",IF(OR(ISTEXT(I1028),ISTEXT(J1028)),"⚠ Atrasos u horas extra como texto: escriba hh:mm (ej. 1:30)",IF(AND(ISNUMBER(Q1028),COUNTIFS(M_RUTN,V1028,M_MES,B1028,M_LIQ,"&lt;&gt;")&gt;1),"⚠ Liquidación repetida en el mes",IF(AND(ISNUMBER(O1028),ISNUMBER(P1028),ISNUMBER(Q1028),ABS(O1028-P1028-Q1028)&gt;1),"⚠ Haberes − descuentos no da el líquido","OK"))))))</f>
        <v/>
      </c>
      <c r="V1028" s="62" t="str">
        <f aca="false">IF(C1028="","",IFERROR(VALUE(LEFT(UPPER(SUBSTITUTE(SUBSTITUTE(SUBSTITUTE(TRIM(C1028),".",""),"-","")," ","")),LEN(UPPER(SUBSTITUTE(SUBSTITUTE(SUBSTITUTE(TRIM(C1028),".",""),"-","")," ","")))-1))&amp;RIGHT(UPPER(SUBSTITUTE(SUBSTITUTE(SUBSTITUTE(TRIM(C1028),".",""),"-","")," ","")),1),UPPER(SUBSTITUTE(SUBSTITUTE(SUBSTITUTE(TRIM(C1028),".",""),"-","")," ",""))))</f>
        <v/>
      </c>
    </row>
    <row r="1029" customFormat="false" ht="15" hidden="false" customHeight="false" outlineLevel="0" collapsed="false">
      <c r="B1029" s="80"/>
      <c r="C1029" s="58"/>
      <c r="D1029" s="62" t="str">
        <f aca="false">IF(C1029="","",IFERROR(INDEX(T_NOMBRE,MATCH(V1029,T_RUTN,0)),"⚠ RUT no está en Trabajadores"))</f>
        <v/>
      </c>
      <c r="E1029" s="61"/>
      <c r="F1029" s="61"/>
      <c r="G1029" s="61"/>
      <c r="H1029" s="61"/>
      <c r="I1029" s="81"/>
      <c r="J1029" s="81"/>
      <c r="K1029" s="60"/>
      <c r="L1029" s="60"/>
      <c r="M1029" s="60"/>
      <c r="N1029" s="60"/>
      <c r="O1029" s="60"/>
      <c r="P1029" s="60"/>
      <c r="Q1029" s="60"/>
      <c r="R1029" s="58"/>
      <c r="S1029" s="62" t="str">
        <f aca="false">IF(OR(B1029="",V1029=""),"",IFERROR(INDEX(C_TIPO,MATCH(V1029&amp;"-P"&amp;MAX(1,COUNTIFS(C_RUTN,V1029,C_DEF,"Sí",C_INI,"&lt;="&amp;EOMONTH(B1029,0))),C_CLAVE,0))&amp;"","Sin contrato"))</f>
        <v/>
      </c>
      <c r="T1029" s="63" t="str">
        <f aca="false">IF(OR(B1029="",N(O1029)=0),"",N(O1029)+ROUND(MIN(N(N1029),TOPE_UF*UF_MES)*(TASA_EMP+MUTUAL),0)+ROUND(MIN(N(N1029),TOPE_AFC_UF*UF_MES)*IF(S1029="Indefinido",AFC_INDEF,AFC_PF),0))</f>
        <v/>
      </c>
      <c r="U1029" s="62" t="str">
        <f aca="false">IF(C1029="","",IF(LEFT(D1029,1)="⚠","⚠ RUT no registrado en Trabajadores",IF(B1029="","⚠ Falta el mes",IF(OR(ISTEXT(I1029),ISTEXT(J1029)),"⚠ Atrasos u horas extra como texto: escriba hh:mm (ej. 1:30)",IF(AND(ISNUMBER(Q1029),COUNTIFS(M_RUTN,V1029,M_MES,B1029,M_LIQ,"&lt;&gt;")&gt;1),"⚠ Liquidación repetida en el mes",IF(AND(ISNUMBER(O1029),ISNUMBER(P1029),ISNUMBER(Q1029),ABS(O1029-P1029-Q1029)&gt;1),"⚠ Haberes − descuentos no da el líquido","OK"))))))</f>
        <v/>
      </c>
      <c r="V1029" s="62" t="str">
        <f aca="false">IF(C1029="","",IFERROR(VALUE(LEFT(UPPER(SUBSTITUTE(SUBSTITUTE(SUBSTITUTE(TRIM(C1029),".",""),"-","")," ","")),LEN(UPPER(SUBSTITUTE(SUBSTITUTE(SUBSTITUTE(TRIM(C1029),".",""),"-","")," ","")))-1))&amp;RIGHT(UPPER(SUBSTITUTE(SUBSTITUTE(SUBSTITUTE(TRIM(C1029),".",""),"-","")," ","")),1),UPPER(SUBSTITUTE(SUBSTITUTE(SUBSTITUTE(TRIM(C1029),".",""),"-","")," ",""))))</f>
        <v/>
      </c>
    </row>
    <row r="1030" customFormat="false" ht="15" hidden="false" customHeight="false" outlineLevel="0" collapsed="false">
      <c r="B1030" s="80"/>
      <c r="C1030" s="58"/>
      <c r="D1030" s="62" t="str">
        <f aca="false">IF(C1030="","",IFERROR(INDEX(T_NOMBRE,MATCH(V1030,T_RUTN,0)),"⚠ RUT no está en Trabajadores"))</f>
        <v/>
      </c>
      <c r="E1030" s="61"/>
      <c r="F1030" s="61"/>
      <c r="G1030" s="61"/>
      <c r="H1030" s="61"/>
      <c r="I1030" s="81"/>
      <c r="J1030" s="81"/>
      <c r="K1030" s="60"/>
      <c r="L1030" s="60"/>
      <c r="M1030" s="60"/>
      <c r="N1030" s="60"/>
      <c r="O1030" s="60"/>
      <c r="P1030" s="60"/>
      <c r="Q1030" s="60"/>
      <c r="R1030" s="58"/>
      <c r="S1030" s="62" t="str">
        <f aca="false">IF(OR(B1030="",V1030=""),"",IFERROR(INDEX(C_TIPO,MATCH(V1030&amp;"-P"&amp;MAX(1,COUNTIFS(C_RUTN,V1030,C_DEF,"Sí",C_INI,"&lt;="&amp;EOMONTH(B1030,0))),C_CLAVE,0))&amp;"","Sin contrato"))</f>
        <v/>
      </c>
      <c r="T1030" s="63" t="str">
        <f aca="false">IF(OR(B1030="",N(O1030)=0),"",N(O1030)+ROUND(MIN(N(N1030),TOPE_UF*UF_MES)*(TASA_EMP+MUTUAL),0)+ROUND(MIN(N(N1030),TOPE_AFC_UF*UF_MES)*IF(S1030="Indefinido",AFC_INDEF,AFC_PF),0))</f>
        <v/>
      </c>
      <c r="U1030" s="62" t="str">
        <f aca="false">IF(C1030="","",IF(LEFT(D1030,1)="⚠","⚠ RUT no registrado en Trabajadores",IF(B1030="","⚠ Falta el mes",IF(OR(ISTEXT(I1030),ISTEXT(J1030)),"⚠ Atrasos u horas extra como texto: escriba hh:mm (ej. 1:30)",IF(AND(ISNUMBER(Q1030),COUNTIFS(M_RUTN,V1030,M_MES,B1030,M_LIQ,"&lt;&gt;")&gt;1),"⚠ Liquidación repetida en el mes",IF(AND(ISNUMBER(O1030),ISNUMBER(P1030),ISNUMBER(Q1030),ABS(O1030-P1030-Q1030)&gt;1),"⚠ Haberes − descuentos no da el líquido","OK"))))))</f>
        <v/>
      </c>
      <c r="V1030" s="62" t="str">
        <f aca="false">IF(C1030="","",IFERROR(VALUE(LEFT(UPPER(SUBSTITUTE(SUBSTITUTE(SUBSTITUTE(TRIM(C1030),".",""),"-","")," ","")),LEN(UPPER(SUBSTITUTE(SUBSTITUTE(SUBSTITUTE(TRIM(C1030),".",""),"-","")," ","")))-1))&amp;RIGHT(UPPER(SUBSTITUTE(SUBSTITUTE(SUBSTITUTE(TRIM(C1030),".",""),"-","")," ","")),1),UPPER(SUBSTITUTE(SUBSTITUTE(SUBSTITUTE(TRIM(C1030),".",""),"-","")," ",""))))</f>
        <v/>
      </c>
    </row>
    <row r="1031" customFormat="false" ht="15" hidden="false" customHeight="false" outlineLevel="0" collapsed="false">
      <c r="B1031" s="80"/>
      <c r="C1031" s="58"/>
      <c r="D1031" s="62" t="str">
        <f aca="false">IF(C1031="","",IFERROR(INDEX(T_NOMBRE,MATCH(V1031,T_RUTN,0)),"⚠ RUT no está en Trabajadores"))</f>
        <v/>
      </c>
      <c r="E1031" s="61"/>
      <c r="F1031" s="61"/>
      <c r="G1031" s="61"/>
      <c r="H1031" s="61"/>
      <c r="I1031" s="81"/>
      <c r="J1031" s="81"/>
      <c r="K1031" s="60"/>
      <c r="L1031" s="60"/>
      <c r="M1031" s="60"/>
      <c r="N1031" s="60"/>
      <c r="O1031" s="60"/>
      <c r="P1031" s="60"/>
      <c r="Q1031" s="60"/>
      <c r="R1031" s="58"/>
      <c r="S1031" s="62" t="str">
        <f aca="false">IF(OR(B1031="",V1031=""),"",IFERROR(INDEX(C_TIPO,MATCH(V1031&amp;"-P"&amp;MAX(1,COUNTIFS(C_RUTN,V1031,C_DEF,"Sí",C_INI,"&lt;="&amp;EOMONTH(B1031,0))),C_CLAVE,0))&amp;"","Sin contrato"))</f>
        <v/>
      </c>
      <c r="T1031" s="63" t="str">
        <f aca="false">IF(OR(B1031="",N(O1031)=0),"",N(O1031)+ROUND(MIN(N(N1031),TOPE_UF*UF_MES)*(TASA_EMP+MUTUAL),0)+ROUND(MIN(N(N1031),TOPE_AFC_UF*UF_MES)*IF(S1031="Indefinido",AFC_INDEF,AFC_PF),0))</f>
        <v/>
      </c>
      <c r="U1031" s="62" t="str">
        <f aca="false">IF(C1031="","",IF(LEFT(D1031,1)="⚠","⚠ RUT no registrado en Trabajadores",IF(B1031="","⚠ Falta el mes",IF(OR(ISTEXT(I1031),ISTEXT(J1031)),"⚠ Atrasos u horas extra como texto: escriba hh:mm (ej. 1:30)",IF(AND(ISNUMBER(Q1031),COUNTIFS(M_RUTN,V1031,M_MES,B1031,M_LIQ,"&lt;&gt;")&gt;1),"⚠ Liquidación repetida en el mes",IF(AND(ISNUMBER(O1031),ISNUMBER(P1031),ISNUMBER(Q1031),ABS(O1031-P1031-Q1031)&gt;1),"⚠ Haberes − descuentos no da el líquido","OK"))))))</f>
        <v/>
      </c>
      <c r="V1031" s="62" t="str">
        <f aca="false">IF(C1031="","",IFERROR(VALUE(LEFT(UPPER(SUBSTITUTE(SUBSTITUTE(SUBSTITUTE(TRIM(C1031),".",""),"-","")," ","")),LEN(UPPER(SUBSTITUTE(SUBSTITUTE(SUBSTITUTE(TRIM(C1031),".",""),"-","")," ","")))-1))&amp;RIGHT(UPPER(SUBSTITUTE(SUBSTITUTE(SUBSTITUTE(TRIM(C1031),".",""),"-","")," ","")),1),UPPER(SUBSTITUTE(SUBSTITUTE(SUBSTITUTE(TRIM(C1031),".",""),"-","")," ",""))))</f>
        <v/>
      </c>
    </row>
    <row r="1032" customFormat="false" ht="15" hidden="false" customHeight="false" outlineLevel="0" collapsed="false">
      <c r="B1032" s="80"/>
      <c r="C1032" s="58"/>
      <c r="D1032" s="62" t="str">
        <f aca="false">IF(C1032="","",IFERROR(INDEX(T_NOMBRE,MATCH(V1032,T_RUTN,0)),"⚠ RUT no está en Trabajadores"))</f>
        <v/>
      </c>
      <c r="E1032" s="61"/>
      <c r="F1032" s="61"/>
      <c r="G1032" s="61"/>
      <c r="H1032" s="61"/>
      <c r="I1032" s="81"/>
      <c r="J1032" s="81"/>
      <c r="K1032" s="60"/>
      <c r="L1032" s="60"/>
      <c r="M1032" s="60"/>
      <c r="N1032" s="60"/>
      <c r="O1032" s="60"/>
      <c r="P1032" s="60"/>
      <c r="Q1032" s="60"/>
      <c r="R1032" s="58"/>
      <c r="S1032" s="62" t="str">
        <f aca="false">IF(OR(B1032="",V1032=""),"",IFERROR(INDEX(C_TIPO,MATCH(V1032&amp;"-P"&amp;MAX(1,COUNTIFS(C_RUTN,V1032,C_DEF,"Sí",C_INI,"&lt;="&amp;EOMONTH(B1032,0))),C_CLAVE,0))&amp;"","Sin contrato"))</f>
        <v/>
      </c>
      <c r="T1032" s="63" t="str">
        <f aca="false">IF(OR(B1032="",N(O1032)=0),"",N(O1032)+ROUND(MIN(N(N1032),TOPE_UF*UF_MES)*(TASA_EMP+MUTUAL),0)+ROUND(MIN(N(N1032),TOPE_AFC_UF*UF_MES)*IF(S1032="Indefinido",AFC_INDEF,AFC_PF),0))</f>
        <v/>
      </c>
      <c r="U1032" s="62" t="str">
        <f aca="false">IF(C1032="","",IF(LEFT(D1032,1)="⚠","⚠ RUT no registrado en Trabajadores",IF(B1032="","⚠ Falta el mes",IF(OR(ISTEXT(I1032),ISTEXT(J1032)),"⚠ Atrasos u horas extra como texto: escriba hh:mm (ej. 1:30)",IF(AND(ISNUMBER(Q1032),COUNTIFS(M_RUTN,V1032,M_MES,B1032,M_LIQ,"&lt;&gt;")&gt;1),"⚠ Liquidación repetida en el mes",IF(AND(ISNUMBER(O1032),ISNUMBER(P1032),ISNUMBER(Q1032),ABS(O1032-P1032-Q1032)&gt;1),"⚠ Haberes − descuentos no da el líquido","OK"))))))</f>
        <v/>
      </c>
      <c r="V1032" s="62" t="str">
        <f aca="false">IF(C1032="","",IFERROR(VALUE(LEFT(UPPER(SUBSTITUTE(SUBSTITUTE(SUBSTITUTE(TRIM(C1032),".",""),"-","")," ","")),LEN(UPPER(SUBSTITUTE(SUBSTITUTE(SUBSTITUTE(TRIM(C1032),".",""),"-","")," ","")))-1))&amp;RIGHT(UPPER(SUBSTITUTE(SUBSTITUTE(SUBSTITUTE(TRIM(C1032),".",""),"-","")," ","")),1),UPPER(SUBSTITUTE(SUBSTITUTE(SUBSTITUTE(TRIM(C1032),".",""),"-","")," ",""))))</f>
        <v/>
      </c>
    </row>
    <row r="1033" customFormat="false" ht="15" hidden="false" customHeight="false" outlineLevel="0" collapsed="false">
      <c r="B1033" s="80"/>
      <c r="C1033" s="58"/>
      <c r="D1033" s="62" t="str">
        <f aca="false">IF(C1033="","",IFERROR(INDEX(T_NOMBRE,MATCH(V1033,T_RUTN,0)),"⚠ RUT no está en Trabajadores"))</f>
        <v/>
      </c>
      <c r="E1033" s="61"/>
      <c r="F1033" s="61"/>
      <c r="G1033" s="61"/>
      <c r="H1033" s="61"/>
      <c r="I1033" s="81"/>
      <c r="J1033" s="81"/>
      <c r="K1033" s="60"/>
      <c r="L1033" s="60"/>
      <c r="M1033" s="60"/>
      <c r="N1033" s="60"/>
      <c r="O1033" s="60"/>
      <c r="P1033" s="60"/>
      <c r="Q1033" s="60"/>
      <c r="R1033" s="58"/>
      <c r="S1033" s="62" t="str">
        <f aca="false">IF(OR(B1033="",V1033=""),"",IFERROR(INDEX(C_TIPO,MATCH(V1033&amp;"-P"&amp;MAX(1,COUNTIFS(C_RUTN,V1033,C_DEF,"Sí",C_INI,"&lt;="&amp;EOMONTH(B1033,0))),C_CLAVE,0))&amp;"","Sin contrato"))</f>
        <v/>
      </c>
      <c r="T1033" s="63" t="str">
        <f aca="false">IF(OR(B1033="",N(O1033)=0),"",N(O1033)+ROUND(MIN(N(N1033),TOPE_UF*UF_MES)*(TASA_EMP+MUTUAL),0)+ROUND(MIN(N(N1033),TOPE_AFC_UF*UF_MES)*IF(S1033="Indefinido",AFC_INDEF,AFC_PF),0))</f>
        <v/>
      </c>
      <c r="U1033" s="62" t="str">
        <f aca="false">IF(C1033="","",IF(LEFT(D1033,1)="⚠","⚠ RUT no registrado en Trabajadores",IF(B1033="","⚠ Falta el mes",IF(OR(ISTEXT(I1033),ISTEXT(J1033)),"⚠ Atrasos u horas extra como texto: escriba hh:mm (ej. 1:30)",IF(AND(ISNUMBER(Q1033),COUNTIFS(M_RUTN,V1033,M_MES,B1033,M_LIQ,"&lt;&gt;")&gt;1),"⚠ Liquidación repetida en el mes",IF(AND(ISNUMBER(O1033),ISNUMBER(P1033),ISNUMBER(Q1033),ABS(O1033-P1033-Q1033)&gt;1),"⚠ Haberes − descuentos no da el líquido","OK"))))))</f>
        <v/>
      </c>
      <c r="V1033" s="62" t="str">
        <f aca="false">IF(C1033="","",IFERROR(VALUE(LEFT(UPPER(SUBSTITUTE(SUBSTITUTE(SUBSTITUTE(TRIM(C1033),".",""),"-","")," ","")),LEN(UPPER(SUBSTITUTE(SUBSTITUTE(SUBSTITUTE(TRIM(C1033),".",""),"-","")," ","")))-1))&amp;RIGHT(UPPER(SUBSTITUTE(SUBSTITUTE(SUBSTITUTE(TRIM(C1033),".",""),"-","")," ","")),1),UPPER(SUBSTITUTE(SUBSTITUTE(SUBSTITUTE(TRIM(C1033),".",""),"-","")," ",""))))</f>
        <v/>
      </c>
    </row>
    <row r="1034" customFormat="false" ht="15" hidden="false" customHeight="false" outlineLevel="0" collapsed="false">
      <c r="B1034" s="80"/>
      <c r="C1034" s="58"/>
      <c r="D1034" s="62" t="str">
        <f aca="false">IF(C1034="","",IFERROR(INDEX(T_NOMBRE,MATCH(V1034,T_RUTN,0)),"⚠ RUT no está en Trabajadores"))</f>
        <v/>
      </c>
      <c r="E1034" s="61"/>
      <c r="F1034" s="61"/>
      <c r="G1034" s="61"/>
      <c r="H1034" s="61"/>
      <c r="I1034" s="81"/>
      <c r="J1034" s="81"/>
      <c r="K1034" s="60"/>
      <c r="L1034" s="60"/>
      <c r="M1034" s="60"/>
      <c r="N1034" s="60"/>
      <c r="O1034" s="60"/>
      <c r="P1034" s="60"/>
      <c r="Q1034" s="60"/>
      <c r="R1034" s="58"/>
      <c r="S1034" s="62" t="str">
        <f aca="false">IF(OR(B1034="",V1034=""),"",IFERROR(INDEX(C_TIPO,MATCH(V1034&amp;"-P"&amp;MAX(1,COUNTIFS(C_RUTN,V1034,C_DEF,"Sí",C_INI,"&lt;="&amp;EOMONTH(B1034,0))),C_CLAVE,0))&amp;"","Sin contrato"))</f>
        <v/>
      </c>
      <c r="T1034" s="63" t="str">
        <f aca="false">IF(OR(B1034="",N(O1034)=0),"",N(O1034)+ROUND(MIN(N(N1034),TOPE_UF*UF_MES)*(TASA_EMP+MUTUAL),0)+ROUND(MIN(N(N1034),TOPE_AFC_UF*UF_MES)*IF(S1034="Indefinido",AFC_INDEF,AFC_PF),0))</f>
        <v/>
      </c>
      <c r="U1034" s="62" t="str">
        <f aca="false">IF(C1034="","",IF(LEFT(D1034,1)="⚠","⚠ RUT no registrado en Trabajadores",IF(B1034="","⚠ Falta el mes",IF(OR(ISTEXT(I1034),ISTEXT(J1034)),"⚠ Atrasos u horas extra como texto: escriba hh:mm (ej. 1:30)",IF(AND(ISNUMBER(Q1034),COUNTIFS(M_RUTN,V1034,M_MES,B1034,M_LIQ,"&lt;&gt;")&gt;1),"⚠ Liquidación repetida en el mes",IF(AND(ISNUMBER(O1034),ISNUMBER(P1034),ISNUMBER(Q1034),ABS(O1034-P1034-Q1034)&gt;1),"⚠ Haberes − descuentos no da el líquido","OK"))))))</f>
        <v/>
      </c>
      <c r="V1034" s="62" t="str">
        <f aca="false">IF(C1034="","",IFERROR(VALUE(LEFT(UPPER(SUBSTITUTE(SUBSTITUTE(SUBSTITUTE(TRIM(C1034),".",""),"-","")," ","")),LEN(UPPER(SUBSTITUTE(SUBSTITUTE(SUBSTITUTE(TRIM(C1034),".",""),"-","")," ","")))-1))&amp;RIGHT(UPPER(SUBSTITUTE(SUBSTITUTE(SUBSTITUTE(TRIM(C1034),".",""),"-","")," ","")),1),UPPER(SUBSTITUTE(SUBSTITUTE(SUBSTITUTE(TRIM(C1034),".",""),"-","")," ",""))))</f>
        <v/>
      </c>
    </row>
    <row r="1035" customFormat="false" ht="15" hidden="false" customHeight="false" outlineLevel="0" collapsed="false">
      <c r="B1035" s="80"/>
      <c r="C1035" s="58"/>
      <c r="D1035" s="62" t="str">
        <f aca="false">IF(C1035="","",IFERROR(INDEX(T_NOMBRE,MATCH(V1035,T_RUTN,0)),"⚠ RUT no está en Trabajadores"))</f>
        <v/>
      </c>
      <c r="E1035" s="61"/>
      <c r="F1035" s="61"/>
      <c r="G1035" s="61"/>
      <c r="H1035" s="61"/>
      <c r="I1035" s="81"/>
      <c r="J1035" s="81"/>
      <c r="K1035" s="60"/>
      <c r="L1035" s="60"/>
      <c r="M1035" s="60"/>
      <c r="N1035" s="60"/>
      <c r="O1035" s="60"/>
      <c r="P1035" s="60"/>
      <c r="Q1035" s="60"/>
      <c r="R1035" s="58"/>
      <c r="S1035" s="62" t="str">
        <f aca="false">IF(OR(B1035="",V1035=""),"",IFERROR(INDEX(C_TIPO,MATCH(V1035&amp;"-P"&amp;MAX(1,COUNTIFS(C_RUTN,V1035,C_DEF,"Sí",C_INI,"&lt;="&amp;EOMONTH(B1035,0))),C_CLAVE,0))&amp;"","Sin contrato"))</f>
        <v/>
      </c>
      <c r="T1035" s="63" t="str">
        <f aca="false">IF(OR(B1035="",N(O1035)=0),"",N(O1035)+ROUND(MIN(N(N1035),TOPE_UF*UF_MES)*(TASA_EMP+MUTUAL),0)+ROUND(MIN(N(N1035),TOPE_AFC_UF*UF_MES)*IF(S1035="Indefinido",AFC_INDEF,AFC_PF),0))</f>
        <v/>
      </c>
      <c r="U1035" s="62" t="str">
        <f aca="false">IF(C1035="","",IF(LEFT(D1035,1)="⚠","⚠ RUT no registrado en Trabajadores",IF(B1035="","⚠ Falta el mes",IF(OR(ISTEXT(I1035),ISTEXT(J1035)),"⚠ Atrasos u horas extra como texto: escriba hh:mm (ej. 1:30)",IF(AND(ISNUMBER(Q1035),COUNTIFS(M_RUTN,V1035,M_MES,B1035,M_LIQ,"&lt;&gt;")&gt;1),"⚠ Liquidación repetida en el mes",IF(AND(ISNUMBER(O1035),ISNUMBER(P1035),ISNUMBER(Q1035),ABS(O1035-P1035-Q1035)&gt;1),"⚠ Haberes − descuentos no da el líquido","OK"))))))</f>
        <v/>
      </c>
      <c r="V1035" s="62" t="str">
        <f aca="false">IF(C1035="","",IFERROR(VALUE(LEFT(UPPER(SUBSTITUTE(SUBSTITUTE(SUBSTITUTE(TRIM(C1035),".",""),"-","")," ","")),LEN(UPPER(SUBSTITUTE(SUBSTITUTE(SUBSTITUTE(TRIM(C1035),".",""),"-","")," ","")))-1))&amp;RIGHT(UPPER(SUBSTITUTE(SUBSTITUTE(SUBSTITUTE(TRIM(C1035),".",""),"-","")," ","")),1),UPPER(SUBSTITUTE(SUBSTITUTE(SUBSTITUTE(TRIM(C1035),".",""),"-","")," ",""))))</f>
        <v/>
      </c>
    </row>
    <row r="1036" customFormat="false" ht="15" hidden="false" customHeight="false" outlineLevel="0" collapsed="false">
      <c r="B1036" s="80"/>
      <c r="C1036" s="58"/>
      <c r="D1036" s="62" t="str">
        <f aca="false">IF(C1036="","",IFERROR(INDEX(T_NOMBRE,MATCH(V1036,T_RUTN,0)),"⚠ RUT no está en Trabajadores"))</f>
        <v/>
      </c>
      <c r="E1036" s="61"/>
      <c r="F1036" s="61"/>
      <c r="G1036" s="61"/>
      <c r="H1036" s="61"/>
      <c r="I1036" s="81"/>
      <c r="J1036" s="81"/>
      <c r="K1036" s="60"/>
      <c r="L1036" s="60"/>
      <c r="M1036" s="60"/>
      <c r="N1036" s="60"/>
      <c r="O1036" s="60"/>
      <c r="P1036" s="60"/>
      <c r="Q1036" s="60"/>
      <c r="R1036" s="58"/>
      <c r="S1036" s="62" t="str">
        <f aca="false">IF(OR(B1036="",V1036=""),"",IFERROR(INDEX(C_TIPO,MATCH(V1036&amp;"-P"&amp;MAX(1,COUNTIFS(C_RUTN,V1036,C_DEF,"Sí",C_INI,"&lt;="&amp;EOMONTH(B1036,0))),C_CLAVE,0))&amp;"","Sin contrato"))</f>
        <v/>
      </c>
      <c r="T1036" s="63" t="str">
        <f aca="false">IF(OR(B1036="",N(O1036)=0),"",N(O1036)+ROUND(MIN(N(N1036),TOPE_UF*UF_MES)*(TASA_EMP+MUTUAL),0)+ROUND(MIN(N(N1036),TOPE_AFC_UF*UF_MES)*IF(S1036="Indefinido",AFC_INDEF,AFC_PF),0))</f>
        <v/>
      </c>
      <c r="U1036" s="62" t="str">
        <f aca="false">IF(C1036="","",IF(LEFT(D1036,1)="⚠","⚠ RUT no registrado en Trabajadores",IF(B1036="","⚠ Falta el mes",IF(OR(ISTEXT(I1036),ISTEXT(J1036)),"⚠ Atrasos u horas extra como texto: escriba hh:mm (ej. 1:30)",IF(AND(ISNUMBER(Q1036),COUNTIFS(M_RUTN,V1036,M_MES,B1036,M_LIQ,"&lt;&gt;")&gt;1),"⚠ Liquidación repetida en el mes",IF(AND(ISNUMBER(O1036),ISNUMBER(P1036),ISNUMBER(Q1036),ABS(O1036-P1036-Q1036)&gt;1),"⚠ Haberes − descuentos no da el líquido","OK"))))))</f>
        <v/>
      </c>
      <c r="V1036" s="62" t="str">
        <f aca="false">IF(C1036="","",IFERROR(VALUE(LEFT(UPPER(SUBSTITUTE(SUBSTITUTE(SUBSTITUTE(TRIM(C1036),".",""),"-","")," ","")),LEN(UPPER(SUBSTITUTE(SUBSTITUTE(SUBSTITUTE(TRIM(C1036),".",""),"-","")," ","")))-1))&amp;RIGHT(UPPER(SUBSTITUTE(SUBSTITUTE(SUBSTITUTE(TRIM(C1036),".",""),"-","")," ","")),1),UPPER(SUBSTITUTE(SUBSTITUTE(SUBSTITUTE(TRIM(C1036),".",""),"-","")," ",""))))</f>
        <v/>
      </c>
    </row>
    <row r="1037" customFormat="false" ht="15" hidden="false" customHeight="false" outlineLevel="0" collapsed="false">
      <c r="B1037" s="80"/>
      <c r="C1037" s="58"/>
      <c r="D1037" s="62" t="str">
        <f aca="false">IF(C1037="","",IFERROR(INDEX(T_NOMBRE,MATCH(V1037,T_RUTN,0)),"⚠ RUT no está en Trabajadores"))</f>
        <v/>
      </c>
      <c r="E1037" s="61"/>
      <c r="F1037" s="61"/>
      <c r="G1037" s="61"/>
      <c r="H1037" s="61"/>
      <c r="I1037" s="81"/>
      <c r="J1037" s="81"/>
      <c r="K1037" s="60"/>
      <c r="L1037" s="60"/>
      <c r="M1037" s="60"/>
      <c r="N1037" s="60"/>
      <c r="O1037" s="60"/>
      <c r="P1037" s="60"/>
      <c r="Q1037" s="60"/>
      <c r="R1037" s="58"/>
      <c r="S1037" s="62" t="str">
        <f aca="false">IF(OR(B1037="",V1037=""),"",IFERROR(INDEX(C_TIPO,MATCH(V1037&amp;"-P"&amp;MAX(1,COUNTIFS(C_RUTN,V1037,C_DEF,"Sí",C_INI,"&lt;="&amp;EOMONTH(B1037,0))),C_CLAVE,0))&amp;"","Sin contrato"))</f>
        <v/>
      </c>
      <c r="T1037" s="63" t="str">
        <f aca="false">IF(OR(B1037="",N(O1037)=0),"",N(O1037)+ROUND(MIN(N(N1037),TOPE_UF*UF_MES)*(TASA_EMP+MUTUAL),0)+ROUND(MIN(N(N1037),TOPE_AFC_UF*UF_MES)*IF(S1037="Indefinido",AFC_INDEF,AFC_PF),0))</f>
        <v/>
      </c>
      <c r="U1037" s="62" t="str">
        <f aca="false">IF(C1037="","",IF(LEFT(D1037,1)="⚠","⚠ RUT no registrado en Trabajadores",IF(B1037="","⚠ Falta el mes",IF(OR(ISTEXT(I1037),ISTEXT(J1037)),"⚠ Atrasos u horas extra como texto: escriba hh:mm (ej. 1:30)",IF(AND(ISNUMBER(Q1037),COUNTIFS(M_RUTN,V1037,M_MES,B1037,M_LIQ,"&lt;&gt;")&gt;1),"⚠ Liquidación repetida en el mes",IF(AND(ISNUMBER(O1037),ISNUMBER(P1037),ISNUMBER(Q1037),ABS(O1037-P1037-Q1037)&gt;1),"⚠ Haberes − descuentos no da el líquido","OK"))))))</f>
        <v/>
      </c>
      <c r="V1037" s="62" t="str">
        <f aca="false">IF(C1037="","",IFERROR(VALUE(LEFT(UPPER(SUBSTITUTE(SUBSTITUTE(SUBSTITUTE(TRIM(C1037),".",""),"-","")," ","")),LEN(UPPER(SUBSTITUTE(SUBSTITUTE(SUBSTITUTE(TRIM(C1037),".",""),"-","")," ","")))-1))&amp;RIGHT(UPPER(SUBSTITUTE(SUBSTITUTE(SUBSTITUTE(TRIM(C1037),".",""),"-","")," ","")),1),UPPER(SUBSTITUTE(SUBSTITUTE(SUBSTITUTE(TRIM(C1037),".",""),"-","")," ",""))))</f>
        <v/>
      </c>
    </row>
    <row r="1038" customFormat="false" ht="15" hidden="false" customHeight="false" outlineLevel="0" collapsed="false">
      <c r="B1038" s="80"/>
      <c r="C1038" s="58"/>
      <c r="D1038" s="62" t="str">
        <f aca="false">IF(C1038="","",IFERROR(INDEX(T_NOMBRE,MATCH(V1038,T_RUTN,0)),"⚠ RUT no está en Trabajadores"))</f>
        <v/>
      </c>
      <c r="E1038" s="61"/>
      <c r="F1038" s="61"/>
      <c r="G1038" s="61"/>
      <c r="H1038" s="61"/>
      <c r="I1038" s="81"/>
      <c r="J1038" s="81"/>
      <c r="K1038" s="60"/>
      <c r="L1038" s="60"/>
      <c r="M1038" s="60"/>
      <c r="N1038" s="60"/>
      <c r="O1038" s="60"/>
      <c r="P1038" s="60"/>
      <c r="Q1038" s="60"/>
      <c r="R1038" s="58"/>
      <c r="S1038" s="62" t="str">
        <f aca="false">IF(OR(B1038="",V1038=""),"",IFERROR(INDEX(C_TIPO,MATCH(V1038&amp;"-P"&amp;MAX(1,COUNTIFS(C_RUTN,V1038,C_DEF,"Sí",C_INI,"&lt;="&amp;EOMONTH(B1038,0))),C_CLAVE,0))&amp;"","Sin contrato"))</f>
        <v/>
      </c>
      <c r="T1038" s="63" t="str">
        <f aca="false">IF(OR(B1038="",N(O1038)=0),"",N(O1038)+ROUND(MIN(N(N1038),TOPE_UF*UF_MES)*(TASA_EMP+MUTUAL),0)+ROUND(MIN(N(N1038),TOPE_AFC_UF*UF_MES)*IF(S1038="Indefinido",AFC_INDEF,AFC_PF),0))</f>
        <v/>
      </c>
      <c r="U1038" s="62" t="str">
        <f aca="false">IF(C1038="","",IF(LEFT(D1038,1)="⚠","⚠ RUT no registrado en Trabajadores",IF(B1038="","⚠ Falta el mes",IF(OR(ISTEXT(I1038),ISTEXT(J1038)),"⚠ Atrasos u horas extra como texto: escriba hh:mm (ej. 1:30)",IF(AND(ISNUMBER(Q1038),COUNTIFS(M_RUTN,V1038,M_MES,B1038,M_LIQ,"&lt;&gt;")&gt;1),"⚠ Liquidación repetida en el mes",IF(AND(ISNUMBER(O1038),ISNUMBER(P1038),ISNUMBER(Q1038),ABS(O1038-P1038-Q1038)&gt;1),"⚠ Haberes − descuentos no da el líquido","OK"))))))</f>
        <v/>
      </c>
      <c r="V1038" s="62" t="str">
        <f aca="false">IF(C1038="","",IFERROR(VALUE(LEFT(UPPER(SUBSTITUTE(SUBSTITUTE(SUBSTITUTE(TRIM(C1038),".",""),"-","")," ","")),LEN(UPPER(SUBSTITUTE(SUBSTITUTE(SUBSTITUTE(TRIM(C1038),".",""),"-","")," ","")))-1))&amp;RIGHT(UPPER(SUBSTITUTE(SUBSTITUTE(SUBSTITUTE(TRIM(C1038),".",""),"-","")," ","")),1),UPPER(SUBSTITUTE(SUBSTITUTE(SUBSTITUTE(TRIM(C1038),".",""),"-","")," ",""))))</f>
        <v/>
      </c>
    </row>
    <row r="1039" customFormat="false" ht="15" hidden="false" customHeight="false" outlineLevel="0" collapsed="false">
      <c r="B1039" s="80"/>
      <c r="C1039" s="58"/>
      <c r="D1039" s="62" t="str">
        <f aca="false">IF(C1039="","",IFERROR(INDEX(T_NOMBRE,MATCH(V1039,T_RUTN,0)),"⚠ RUT no está en Trabajadores"))</f>
        <v/>
      </c>
      <c r="E1039" s="61"/>
      <c r="F1039" s="61"/>
      <c r="G1039" s="61"/>
      <c r="H1039" s="61"/>
      <c r="I1039" s="81"/>
      <c r="J1039" s="81"/>
      <c r="K1039" s="60"/>
      <c r="L1039" s="60"/>
      <c r="M1039" s="60"/>
      <c r="N1039" s="60"/>
      <c r="O1039" s="60"/>
      <c r="P1039" s="60"/>
      <c r="Q1039" s="60"/>
      <c r="R1039" s="58"/>
      <c r="S1039" s="62" t="str">
        <f aca="false">IF(OR(B1039="",V1039=""),"",IFERROR(INDEX(C_TIPO,MATCH(V1039&amp;"-P"&amp;MAX(1,COUNTIFS(C_RUTN,V1039,C_DEF,"Sí",C_INI,"&lt;="&amp;EOMONTH(B1039,0))),C_CLAVE,0))&amp;"","Sin contrato"))</f>
        <v/>
      </c>
      <c r="T1039" s="63" t="str">
        <f aca="false">IF(OR(B1039="",N(O1039)=0),"",N(O1039)+ROUND(MIN(N(N1039),TOPE_UF*UF_MES)*(TASA_EMP+MUTUAL),0)+ROUND(MIN(N(N1039),TOPE_AFC_UF*UF_MES)*IF(S1039="Indefinido",AFC_INDEF,AFC_PF),0))</f>
        <v/>
      </c>
      <c r="U1039" s="62" t="str">
        <f aca="false">IF(C1039="","",IF(LEFT(D1039,1)="⚠","⚠ RUT no registrado en Trabajadores",IF(B1039="","⚠ Falta el mes",IF(OR(ISTEXT(I1039),ISTEXT(J1039)),"⚠ Atrasos u horas extra como texto: escriba hh:mm (ej. 1:30)",IF(AND(ISNUMBER(Q1039),COUNTIFS(M_RUTN,V1039,M_MES,B1039,M_LIQ,"&lt;&gt;")&gt;1),"⚠ Liquidación repetida en el mes",IF(AND(ISNUMBER(O1039),ISNUMBER(P1039),ISNUMBER(Q1039),ABS(O1039-P1039-Q1039)&gt;1),"⚠ Haberes − descuentos no da el líquido","OK"))))))</f>
        <v/>
      </c>
      <c r="V1039" s="62" t="str">
        <f aca="false">IF(C1039="","",IFERROR(VALUE(LEFT(UPPER(SUBSTITUTE(SUBSTITUTE(SUBSTITUTE(TRIM(C1039),".",""),"-","")," ","")),LEN(UPPER(SUBSTITUTE(SUBSTITUTE(SUBSTITUTE(TRIM(C1039),".",""),"-","")," ","")))-1))&amp;RIGHT(UPPER(SUBSTITUTE(SUBSTITUTE(SUBSTITUTE(TRIM(C1039),".",""),"-","")," ","")),1),UPPER(SUBSTITUTE(SUBSTITUTE(SUBSTITUTE(TRIM(C1039),".",""),"-","")," ",""))))</f>
        <v/>
      </c>
    </row>
    <row r="1040" customFormat="false" ht="15" hidden="false" customHeight="false" outlineLevel="0" collapsed="false">
      <c r="B1040" s="80"/>
      <c r="C1040" s="58"/>
      <c r="D1040" s="62" t="str">
        <f aca="false">IF(C1040="","",IFERROR(INDEX(T_NOMBRE,MATCH(V1040,T_RUTN,0)),"⚠ RUT no está en Trabajadores"))</f>
        <v/>
      </c>
      <c r="E1040" s="61"/>
      <c r="F1040" s="61"/>
      <c r="G1040" s="61"/>
      <c r="H1040" s="61"/>
      <c r="I1040" s="81"/>
      <c r="J1040" s="81"/>
      <c r="K1040" s="60"/>
      <c r="L1040" s="60"/>
      <c r="M1040" s="60"/>
      <c r="N1040" s="60"/>
      <c r="O1040" s="60"/>
      <c r="P1040" s="60"/>
      <c r="Q1040" s="60"/>
      <c r="R1040" s="58"/>
      <c r="S1040" s="62" t="str">
        <f aca="false">IF(OR(B1040="",V1040=""),"",IFERROR(INDEX(C_TIPO,MATCH(V1040&amp;"-P"&amp;MAX(1,COUNTIFS(C_RUTN,V1040,C_DEF,"Sí",C_INI,"&lt;="&amp;EOMONTH(B1040,0))),C_CLAVE,0))&amp;"","Sin contrato"))</f>
        <v/>
      </c>
      <c r="T1040" s="63" t="str">
        <f aca="false">IF(OR(B1040="",N(O1040)=0),"",N(O1040)+ROUND(MIN(N(N1040),TOPE_UF*UF_MES)*(TASA_EMP+MUTUAL),0)+ROUND(MIN(N(N1040),TOPE_AFC_UF*UF_MES)*IF(S1040="Indefinido",AFC_INDEF,AFC_PF),0))</f>
        <v/>
      </c>
      <c r="U1040" s="62" t="str">
        <f aca="false">IF(C1040="","",IF(LEFT(D1040,1)="⚠","⚠ RUT no registrado en Trabajadores",IF(B1040="","⚠ Falta el mes",IF(OR(ISTEXT(I1040),ISTEXT(J1040)),"⚠ Atrasos u horas extra como texto: escriba hh:mm (ej. 1:30)",IF(AND(ISNUMBER(Q1040),COUNTIFS(M_RUTN,V1040,M_MES,B1040,M_LIQ,"&lt;&gt;")&gt;1),"⚠ Liquidación repetida en el mes",IF(AND(ISNUMBER(O1040),ISNUMBER(P1040),ISNUMBER(Q1040),ABS(O1040-P1040-Q1040)&gt;1),"⚠ Haberes − descuentos no da el líquido","OK"))))))</f>
        <v/>
      </c>
      <c r="V1040" s="62" t="str">
        <f aca="false">IF(C1040="","",IFERROR(VALUE(LEFT(UPPER(SUBSTITUTE(SUBSTITUTE(SUBSTITUTE(TRIM(C1040),".",""),"-","")," ","")),LEN(UPPER(SUBSTITUTE(SUBSTITUTE(SUBSTITUTE(TRIM(C1040),".",""),"-","")," ","")))-1))&amp;RIGHT(UPPER(SUBSTITUTE(SUBSTITUTE(SUBSTITUTE(TRIM(C1040),".",""),"-","")," ","")),1),UPPER(SUBSTITUTE(SUBSTITUTE(SUBSTITUTE(TRIM(C1040),".",""),"-","")," ",""))))</f>
        <v/>
      </c>
    </row>
    <row r="1041" customFormat="false" ht="15" hidden="false" customHeight="false" outlineLevel="0" collapsed="false">
      <c r="B1041" s="80"/>
      <c r="C1041" s="58"/>
      <c r="D1041" s="62" t="str">
        <f aca="false">IF(C1041="","",IFERROR(INDEX(T_NOMBRE,MATCH(V1041,T_RUTN,0)),"⚠ RUT no está en Trabajadores"))</f>
        <v/>
      </c>
      <c r="E1041" s="61"/>
      <c r="F1041" s="61"/>
      <c r="G1041" s="61"/>
      <c r="H1041" s="61"/>
      <c r="I1041" s="81"/>
      <c r="J1041" s="81"/>
      <c r="K1041" s="60"/>
      <c r="L1041" s="60"/>
      <c r="M1041" s="60"/>
      <c r="N1041" s="60"/>
      <c r="O1041" s="60"/>
      <c r="P1041" s="60"/>
      <c r="Q1041" s="60"/>
      <c r="R1041" s="58"/>
      <c r="S1041" s="62" t="str">
        <f aca="false">IF(OR(B1041="",V1041=""),"",IFERROR(INDEX(C_TIPO,MATCH(V1041&amp;"-P"&amp;MAX(1,COUNTIFS(C_RUTN,V1041,C_DEF,"Sí",C_INI,"&lt;="&amp;EOMONTH(B1041,0))),C_CLAVE,0))&amp;"","Sin contrato"))</f>
        <v/>
      </c>
      <c r="T1041" s="63" t="str">
        <f aca="false">IF(OR(B1041="",N(O1041)=0),"",N(O1041)+ROUND(MIN(N(N1041),TOPE_UF*UF_MES)*(TASA_EMP+MUTUAL),0)+ROUND(MIN(N(N1041),TOPE_AFC_UF*UF_MES)*IF(S1041="Indefinido",AFC_INDEF,AFC_PF),0))</f>
        <v/>
      </c>
      <c r="U1041" s="62" t="str">
        <f aca="false">IF(C1041="","",IF(LEFT(D1041,1)="⚠","⚠ RUT no registrado en Trabajadores",IF(B1041="","⚠ Falta el mes",IF(OR(ISTEXT(I1041),ISTEXT(J1041)),"⚠ Atrasos u horas extra como texto: escriba hh:mm (ej. 1:30)",IF(AND(ISNUMBER(Q1041),COUNTIFS(M_RUTN,V1041,M_MES,B1041,M_LIQ,"&lt;&gt;")&gt;1),"⚠ Liquidación repetida en el mes",IF(AND(ISNUMBER(O1041),ISNUMBER(P1041),ISNUMBER(Q1041),ABS(O1041-P1041-Q1041)&gt;1),"⚠ Haberes − descuentos no da el líquido","OK"))))))</f>
        <v/>
      </c>
      <c r="V1041" s="62" t="str">
        <f aca="false">IF(C1041="","",IFERROR(VALUE(LEFT(UPPER(SUBSTITUTE(SUBSTITUTE(SUBSTITUTE(TRIM(C1041),".",""),"-","")," ","")),LEN(UPPER(SUBSTITUTE(SUBSTITUTE(SUBSTITUTE(TRIM(C1041),".",""),"-","")," ","")))-1))&amp;RIGHT(UPPER(SUBSTITUTE(SUBSTITUTE(SUBSTITUTE(TRIM(C1041),".",""),"-","")," ","")),1),UPPER(SUBSTITUTE(SUBSTITUTE(SUBSTITUTE(TRIM(C1041),".",""),"-","")," ",""))))</f>
        <v/>
      </c>
    </row>
    <row r="1042" customFormat="false" ht="15" hidden="false" customHeight="false" outlineLevel="0" collapsed="false">
      <c r="B1042" s="80"/>
      <c r="C1042" s="58"/>
      <c r="D1042" s="62" t="str">
        <f aca="false">IF(C1042="","",IFERROR(INDEX(T_NOMBRE,MATCH(V1042,T_RUTN,0)),"⚠ RUT no está en Trabajadores"))</f>
        <v/>
      </c>
      <c r="E1042" s="61"/>
      <c r="F1042" s="61"/>
      <c r="G1042" s="61"/>
      <c r="H1042" s="61"/>
      <c r="I1042" s="81"/>
      <c r="J1042" s="81"/>
      <c r="K1042" s="60"/>
      <c r="L1042" s="60"/>
      <c r="M1042" s="60"/>
      <c r="N1042" s="60"/>
      <c r="O1042" s="60"/>
      <c r="P1042" s="60"/>
      <c r="Q1042" s="60"/>
      <c r="R1042" s="58"/>
      <c r="S1042" s="62" t="str">
        <f aca="false">IF(OR(B1042="",V1042=""),"",IFERROR(INDEX(C_TIPO,MATCH(V1042&amp;"-P"&amp;MAX(1,COUNTIFS(C_RUTN,V1042,C_DEF,"Sí",C_INI,"&lt;="&amp;EOMONTH(B1042,0))),C_CLAVE,0))&amp;"","Sin contrato"))</f>
        <v/>
      </c>
      <c r="T1042" s="63" t="str">
        <f aca="false">IF(OR(B1042="",N(O1042)=0),"",N(O1042)+ROUND(MIN(N(N1042),TOPE_UF*UF_MES)*(TASA_EMP+MUTUAL),0)+ROUND(MIN(N(N1042),TOPE_AFC_UF*UF_MES)*IF(S1042="Indefinido",AFC_INDEF,AFC_PF),0))</f>
        <v/>
      </c>
      <c r="U1042" s="62" t="str">
        <f aca="false">IF(C1042="","",IF(LEFT(D1042,1)="⚠","⚠ RUT no registrado en Trabajadores",IF(B1042="","⚠ Falta el mes",IF(OR(ISTEXT(I1042),ISTEXT(J1042)),"⚠ Atrasos u horas extra como texto: escriba hh:mm (ej. 1:30)",IF(AND(ISNUMBER(Q1042),COUNTIFS(M_RUTN,V1042,M_MES,B1042,M_LIQ,"&lt;&gt;")&gt;1),"⚠ Liquidación repetida en el mes",IF(AND(ISNUMBER(O1042),ISNUMBER(P1042),ISNUMBER(Q1042),ABS(O1042-P1042-Q1042)&gt;1),"⚠ Haberes − descuentos no da el líquido","OK"))))))</f>
        <v/>
      </c>
      <c r="V1042" s="62" t="str">
        <f aca="false">IF(C1042="","",IFERROR(VALUE(LEFT(UPPER(SUBSTITUTE(SUBSTITUTE(SUBSTITUTE(TRIM(C1042),".",""),"-","")," ","")),LEN(UPPER(SUBSTITUTE(SUBSTITUTE(SUBSTITUTE(TRIM(C1042),".",""),"-","")," ","")))-1))&amp;RIGHT(UPPER(SUBSTITUTE(SUBSTITUTE(SUBSTITUTE(TRIM(C1042),".",""),"-","")," ","")),1),UPPER(SUBSTITUTE(SUBSTITUTE(SUBSTITUTE(TRIM(C1042),".",""),"-","")," ",""))))</f>
        <v/>
      </c>
    </row>
    <row r="1043" customFormat="false" ht="15" hidden="false" customHeight="false" outlineLevel="0" collapsed="false">
      <c r="B1043" s="80"/>
      <c r="C1043" s="58"/>
      <c r="D1043" s="62" t="str">
        <f aca="false">IF(C1043="","",IFERROR(INDEX(T_NOMBRE,MATCH(V1043,T_RUTN,0)),"⚠ RUT no está en Trabajadores"))</f>
        <v/>
      </c>
      <c r="E1043" s="61"/>
      <c r="F1043" s="61"/>
      <c r="G1043" s="61"/>
      <c r="H1043" s="61"/>
      <c r="I1043" s="81"/>
      <c r="J1043" s="81"/>
      <c r="K1043" s="60"/>
      <c r="L1043" s="60"/>
      <c r="M1043" s="60"/>
      <c r="N1043" s="60"/>
      <c r="O1043" s="60"/>
      <c r="P1043" s="60"/>
      <c r="Q1043" s="60"/>
      <c r="R1043" s="58"/>
      <c r="S1043" s="62" t="str">
        <f aca="false">IF(OR(B1043="",V1043=""),"",IFERROR(INDEX(C_TIPO,MATCH(V1043&amp;"-P"&amp;MAX(1,COUNTIFS(C_RUTN,V1043,C_DEF,"Sí",C_INI,"&lt;="&amp;EOMONTH(B1043,0))),C_CLAVE,0))&amp;"","Sin contrato"))</f>
        <v/>
      </c>
      <c r="T1043" s="63" t="str">
        <f aca="false">IF(OR(B1043="",N(O1043)=0),"",N(O1043)+ROUND(MIN(N(N1043),TOPE_UF*UF_MES)*(TASA_EMP+MUTUAL),0)+ROUND(MIN(N(N1043),TOPE_AFC_UF*UF_MES)*IF(S1043="Indefinido",AFC_INDEF,AFC_PF),0))</f>
        <v/>
      </c>
      <c r="U1043" s="62" t="str">
        <f aca="false">IF(C1043="","",IF(LEFT(D1043,1)="⚠","⚠ RUT no registrado en Trabajadores",IF(B1043="","⚠ Falta el mes",IF(OR(ISTEXT(I1043),ISTEXT(J1043)),"⚠ Atrasos u horas extra como texto: escriba hh:mm (ej. 1:30)",IF(AND(ISNUMBER(Q1043),COUNTIFS(M_RUTN,V1043,M_MES,B1043,M_LIQ,"&lt;&gt;")&gt;1),"⚠ Liquidación repetida en el mes",IF(AND(ISNUMBER(O1043),ISNUMBER(P1043),ISNUMBER(Q1043),ABS(O1043-P1043-Q1043)&gt;1),"⚠ Haberes − descuentos no da el líquido","OK"))))))</f>
        <v/>
      </c>
      <c r="V1043" s="62" t="str">
        <f aca="false">IF(C1043="","",IFERROR(VALUE(LEFT(UPPER(SUBSTITUTE(SUBSTITUTE(SUBSTITUTE(TRIM(C1043),".",""),"-","")," ","")),LEN(UPPER(SUBSTITUTE(SUBSTITUTE(SUBSTITUTE(TRIM(C1043),".",""),"-","")," ","")))-1))&amp;RIGHT(UPPER(SUBSTITUTE(SUBSTITUTE(SUBSTITUTE(TRIM(C1043),".",""),"-","")," ","")),1),UPPER(SUBSTITUTE(SUBSTITUTE(SUBSTITUTE(TRIM(C1043),".",""),"-","")," ",""))))</f>
        <v/>
      </c>
    </row>
    <row r="1044" customFormat="false" ht="15" hidden="false" customHeight="false" outlineLevel="0" collapsed="false">
      <c r="B1044" s="80"/>
      <c r="C1044" s="58"/>
      <c r="D1044" s="62" t="str">
        <f aca="false">IF(C1044="","",IFERROR(INDEX(T_NOMBRE,MATCH(V1044,T_RUTN,0)),"⚠ RUT no está en Trabajadores"))</f>
        <v/>
      </c>
      <c r="E1044" s="61"/>
      <c r="F1044" s="61"/>
      <c r="G1044" s="61"/>
      <c r="H1044" s="61"/>
      <c r="I1044" s="81"/>
      <c r="J1044" s="81"/>
      <c r="K1044" s="60"/>
      <c r="L1044" s="60"/>
      <c r="M1044" s="60"/>
      <c r="N1044" s="60"/>
      <c r="O1044" s="60"/>
      <c r="P1044" s="60"/>
      <c r="Q1044" s="60"/>
      <c r="R1044" s="58"/>
      <c r="S1044" s="62" t="str">
        <f aca="false">IF(OR(B1044="",V1044=""),"",IFERROR(INDEX(C_TIPO,MATCH(V1044&amp;"-P"&amp;MAX(1,COUNTIFS(C_RUTN,V1044,C_DEF,"Sí",C_INI,"&lt;="&amp;EOMONTH(B1044,0))),C_CLAVE,0))&amp;"","Sin contrato"))</f>
        <v/>
      </c>
      <c r="T1044" s="63" t="str">
        <f aca="false">IF(OR(B1044="",N(O1044)=0),"",N(O1044)+ROUND(MIN(N(N1044),TOPE_UF*UF_MES)*(TASA_EMP+MUTUAL),0)+ROUND(MIN(N(N1044),TOPE_AFC_UF*UF_MES)*IF(S1044="Indefinido",AFC_INDEF,AFC_PF),0))</f>
        <v/>
      </c>
      <c r="U1044" s="62" t="str">
        <f aca="false">IF(C1044="","",IF(LEFT(D1044,1)="⚠","⚠ RUT no registrado en Trabajadores",IF(B1044="","⚠ Falta el mes",IF(OR(ISTEXT(I1044),ISTEXT(J1044)),"⚠ Atrasos u horas extra como texto: escriba hh:mm (ej. 1:30)",IF(AND(ISNUMBER(Q1044),COUNTIFS(M_RUTN,V1044,M_MES,B1044,M_LIQ,"&lt;&gt;")&gt;1),"⚠ Liquidación repetida en el mes",IF(AND(ISNUMBER(O1044),ISNUMBER(P1044),ISNUMBER(Q1044),ABS(O1044-P1044-Q1044)&gt;1),"⚠ Haberes − descuentos no da el líquido","OK"))))))</f>
        <v/>
      </c>
      <c r="V1044" s="62" t="str">
        <f aca="false">IF(C1044="","",IFERROR(VALUE(LEFT(UPPER(SUBSTITUTE(SUBSTITUTE(SUBSTITUTE(TRIM(C1044),".",""),"-","")," ","")),LEN(UPPER(SUBSTITUTE(SUBSTITUTE(SUBSTITUTE(TRIM(C1044),".",""),"-","")," ","")))-1))&amp;RIGHT(UPPER(SUBSTITUTE(SUBSTITUTE(SUBSTITUTE(TRIM(C1044),".",""),"-","")," ","")),1),UPPER(SUBSTITUTE(SUBSTITUTE(SUBSTITUTE(TRIM(C1044),".",""),"-","")," ",""))))</f>
        <v/>
      </c>
    </row>
    <row r="1045" customFormat="false" ht="15" hidden="false" customHeight="false" outlineLevel="0" collapsed="false">
      <c r="B1045" s="80"/>
      <c r="C1045" s="58"/>
      <c r="D1045" s="62" t="str">
        <f aca="false">IF(C1045="","",IFERROR(INDEX(T_NOMBRE,MATCH(V1045,T_RUTN,0)),"⚠ RUT no está en Trabajadores"))</f>
        <v/>
      </c>
      <c r="E1045" s="61"/>
      <c r="F1045" s="61"/>
      <c r="G1045" s="61"/>
      <c r="H1045" s="61"/>
      <c r="I1045" s="81"/>
      <c r="J1045" s="81"/>
      <c r="K1045" s="60"/>
      <c r="L1045" s="60"/>
      <c r="M1045" s="60"/>
      <c r="N1045" s="60"/>
      <c r="O1045" s="60"/>
      <c r="P1045" s="60"/>
      <c r="Q1045" s="60"/>
      <c r="R1045" s="58"/>
      <c r="S1045" s="62" t="str">
        <f aca="false">IF(OR(B1045="",V1045=""),"",IFERROR(INDEX(C_TIPO,MATCH(V1045&amp;"-P"&amp;MAX(1,COUNTIFS(C_RUTN,V1045,C_DEF,"Sí",C_INI,"&lt;="&amp;EOMONTH(B1045,0))),C_CLAVE,0))&amp;"","Sin contrato"))</f>
        <v/>
      </c>
      <c r="T1045" s="63" t="str">
        <f aca="false">IF(OR(B1045="",N(O1045)=0),"",N(O1045)+ROUND(MIN(N(N1045),TOPE_UF*UF_MES)*(TASA_EMP+MUTUAL),0)+ROUND(MIN(N(N1045),TOPE_AFC_UF*UF_MES)*IF(S1045="Indefinido",AFC_INDEF,AFC_PF),0))</f>
        <v/>
      </c>
      <c r="U1045" s="62" t="str">
        <f aca="false">IF(C1045="","",IF(LEFT(D1045,1)="⚠","⚠ RUT no registrado en Trabajadores",IF(B1045="","⚠ Falta el mes",IF(OR(ISTEXT(I1045),ISTEXT(J1045)),"⚠ Atrasos u horas extra como texto: escriba hh:mm (ej. 1:30)",IF(AND(ISNUMBER(Q1045),COUNTIFS(M_RUTN,V1045,M_MES,B1045,M_LIQ,"&lt;&gt;")&gt;1),"⚠ Liquidación repetida en el mes",IF(AND(ISNUMBER(O1045),ISNUMBER(P1045),ISNUMBER(Q1045),ABS(O1045-P1045-Q1045)&gt;1),"⚠ Haberes − descuentos no da el líquido","OK"))))))</f>
        <v/>
      </c>
      <c r="V1045" s="62" t="str">
        <f aca="false">IF(C1045="","",IFERROR(VALUE(LEFT(UPPER(SUBSTITUTE(SUBSTITUTE(SUBSTITUTE(TRIM(C1045),".",""),"-","")," ","")),LEN(UPPER(SUBSTITUTE(SUBSTITUTE(SUBSTITUTE(TRIM(C1045),".",""),"-","")," ","")))-1))&amp;RIGHT(UPPER(SUBSTITUTE(SUBSTITUTE(SUBSTITUTE(TRIM(C1045),".",""),"-","")," ","")),1),UPPER(SUBSTITUTE(SUBSTITUTE(SUBSTITUTE(TRIM(C1045),".",""),"-","")," ",""))))</f>
        <v/>
      </c>
    </row>
    <row r="1046" customFormat="false" ht="15" hidden="false" customHeight="false" outlineLevel="0" collapsed="false">
      <c r="B1046" s="80"/>
      <c r="C1046" s="58"/>
      <c r="D1046" s="62" t="str">
        <f aca="false">IF(C1046="","",IFERROR(INDEX(T_NOMBRE,MATCH(V1046,T_RUTN,0)),"⚠ RUT no está en Trabajadores"))</f>
        <v/>
      </c>
      <c r="E1046" s="61"/>
      <c r="F1046" s="61"/>
      <c r="G1046" s="61"/>
      <c r="H1046" s="61"/>
      <c r="I1046" s="81"/>
      <c r="J1046" s="81"/>
      <c r="K1046" s="60"/>
      <c r="L1046" s="60"/>
      <c r="M1046" s="60"/>
      <c r="N1046" s="60"/>
      <c r="O1046" s="60"/>
      <c r="P1046" s="60"/>
      <c r="Q1046" s="60"/>
      <c r="R1046" s="58"/>
      <c r="S1046" s="62" t="str">
        <f aca="false">IF(OR(B1046="",V1046=""),"",IFERROR(INDEX(C_TIPO,MATCH(V1046&amp;"-P"&amp;MAX(1,COUNTIFS(C_RUTN,V1046,C_DEF,"Sí",C_INI,"&lt;="&amp;EOMONTH(B1046,0))),C_CLAVE,0))&amp;"","Sin contrato"))</f>
        <v/>
      </c>
      <c r="T1046" s="63" t="str">
        <f aca="false">IF(OR(B1046="",N(O1046)=0),"",N(O1046)+ROUND(MIN(N(N1046),TOPE_UF*UF_MES)*(TASA_EMP+MUTUAL),0)+ROUND(MIN(N(N1046),TOPE_AFC_UF*UF_MES)*IF(S1046="Indefinido",AFC_INDEF,AFC_PF),0))</f>
        <v/>
      </c>
      <c r="U1046" s="62" t="str">
        <f aca="false">IF(C1046="","",IF(LEFT(D1046,1)="⚠","⚠ RUT no registrado en Trabajadores",IF(B1046="","⚠ Falta el mes",IF(OR(ISTEXT(I1046),ISTEXT(J1046)),"⚠ Atrasos u horas extra como texto: escriba hh:mm (ej. 1:30)",IF(AND(ISNUMBER(Q1046),COUNTIFS(M_RUTN,V1046,M_MES,B1046,M_LIQ,"&lt;&gt;")&gt;1),"⚠ Liquidación repetida en el mes",IF(AND(ISNUMBER(O1046),ISNUMBER(P1046),ISNUMBER(Q1046),ABS(O1046-P1046-Q1046)&gt;1),"⚠ Haberes − descuentos no da el líquido","OK"))))))</f>
        <v/>
      </c>
      <c r="V1046" s="62" t="str">
        <f aca="false">IF(C1046="","",IFERROR(VALUE(LEFT(UPPER(SUBSTITUTE(SUBSTITUTE(SUBSTITUTE(TRIM(C1046),".",""),"-","")," ","")),LEN(UPPER(SUBSTITUTE(SUBSTITUTE(SUBSTITUTE(TRIM(C1046),".",""),"-","")," ","")))-1))&amp;RIGHT(UPPER(SUBSTITUTE(SUBSTITUTE(SUBSTITUTE(TRIM(C1046),".",""),"-","")," ","")),1),UPPER(SUBSTITUTE(SUBSTITUTE(SUBSTITUTE(TRIM(C1046),".",""),"-","")," ",""))))</f>
        <v/>
      </c>
    </row>
    <row r="1047" customFormat="false" ht="15" hidden="false" customHeight="false" outlineLevel="0" collapsed="false">
      <c r="B1047" s="80"/>
      <c r="C1047" s="58"/>
      <c r="D1047" s="62" t="str">
        <f aca="false">IF(C1047="","",IFERROR(INDEX(T_NOMBRE,MATCH(V1047,T_RUTN,0)),"⚠ RUT no está en Trabajadores"))</f>
        <v/>
      </c>
      <c r="E1047" s="61"/>
      <c r="F1047" s="61"/>
      <c r="G1047" s="61"/>
      <c r="H1047" s="61"/>
      <c r="I1047" s="81"/>
      <c r="J1047" s="81"/>
      <c r="K1047" s="60"/>
      <c r="L1047" s="60"/>
      <c r="M1047" s="60"/>
      <c r="N1047" s="60"/>
      <c r="O1047" s="60"/>
      <c r="P1047" s="60"/>
      <c r="Q1047" s="60"/>
      <c r="R1047" s="58"/>
      <c r="S1047" s="62" t="str">
        <f aca="false">IF(OR(B1047="",V1047=""),"",IFERROR(INDEX(C_TIPO,MATCH(V1047&amp;"-P"&amp;MAX(1,COUNTIFS(C_RUTN,V1047,C_DEF,"Sí",C_INI,"&lt;="&amp;EOMONTH(B1047,0))),C_CLAVE,0))&amp;"","Sin contrato"))</f>
        <v/>
      </c>
      <c r="T1047" s="63" t="str">
        <f aca="false">IF(OR(B1047="",N(O1047)=0),"",N(O1047)+ROUND(MIN(N(N1047),TOPE_UF*UF_MES)*(TASA_EMP+MUTUAL),0)+ROUND(MIN(N(N1047),TOPE_AFC_UF*UF_MES)*IF(S1047="Indefinido",AFC_INDEF,AFC_PF),0))</f>
        <v/>
      </c>
      <c r="U1047" s="62" t="str">
        <f aca="false">IF(C1047="","",IF(LEFT(D1047,1)="⚠","⚠ RUT no registrado en Trabajadores",IF(B1047="","⚠ Falta el mes",IF(OR(ISTEXT(I1047),ISTEXT(J1047)),"⚠ Atrasos u horas extra como texto: escriba hh:mm (ej. 1:30)",IF(AND(ISNUMBER(Q1047),COUNTIFS(M_RUTN,V1047,M_MES,B1047,M_LIQ,"&lt;&gt;")&gt;1),"⚠ Liquidación repetida en el mes",IF(AND(ISNUMBER(O1047),ISNUMBER(P1047),ISNUMBER(Q1047),ABS(O1047-P1047-Q1047)&gt;1),"⚠ Haberes − descuentos no da el líquido","OK"))))))</f>
        <v/>
      </c>
      <c r="V1047" s="62" t="str">
        <f aca="false">IF(C1047="","",IFERROR(VALUE(LEFT(UPPER(SUBSTITUTE(SUBSTITUTE(SUBSTITUTE(TRIM(C1047),".",""),"-","")," ","")),LEN(UPPER(SUBSTITUTE(SUBSTITUTE(SUBSTITUTE(TRIM(C1047),".",""),"-","")," ","")))-1))&amp;RIGHT(UPPER(SUBSTITUTE(SUBSTITUTE(SUBSTITUTE(TRIM(C1047),".",""),"-","")," ","")),1),UPPER(SUBSTITUTE(SUBSTITUTE(SUBSTITUTE(TRIM(C1047),".",""),"-","")," ",""))))</f>
        <v/>
      </c>
    </row>
    <row r="1048" customFormat="false" ht="15" hidden="false" customHeight="false" outlineLevel="0" collapsed="false">
      <c r="B1048" s="80"/>
      <c r="C1048" s="58"/>
      <c r="D1048" s="62" t="str">
        <f aca="false">IF(C1048="","",IFERROR(INDEX(T_NOMBRE,MATCH(V1048,T_RUTN,0)),"⚠ RUT no está en Trabajadores"))</f>
        <v/>
      </c>
      <c r="E1048" s="61"/>
      <c r="F1048" s="61"/>
      <c r="G1048" s="61"/>
      <c r="H1048" s="61"/>
      <c r="I1048" s="81"/>
      <c r="J1048" s="81"/>
      <c r="K1048" s="60"/>
      <c r="L1048" s="60"/>
      <c r="M1048" s="60"/>
      <c r="N1048" s="60"/>
      <c r="O1048" s="60"/>
      <c r="P1048" s="60"/>
      <c r="Q1048" s="60"/>
      <c r="R1048" s="58"/>
      <c r="S1048" s="62" t="str">
        <f aca="false">IF(OR(B1048="",V1048=""),"",IFERROR(INDEX(C_TIPO,MATCH(V1048&amp;"-P"&amp;MAX(1,COUNTIFS(C_RUTN,V1048,C_DEF,"Sí",C_INI,"&lt;="&amp;EOMONTH(B1048,0))),C_CLAVE,0))&amp;"","Sin contrato"))</f>
        <v/>
      </c>
      <c r="T1048" s="63" t="str">
        <f aca="false">IF(OR(B1048="",N(O1048)=0),"",N(O1048)+ROUND(MIN(N(N1048),TOPE_UF*UF_MES)*(TASA_EMP+MUTUAL),0)+ROUND(MIN(N(N1048),TOPE_AFC_UF*UF_MES)*IF(S1048="Indefinido",AFC_INDEF,AFC_PF),0))</f>
        <v/>
      </c>
      <c r="U1048" s="62" t="str">
        <f aca="false">IF(C1048="","",IF(LEFT(D1048,1)="⚠","⚠ RUT no registrado en Trabajadores",IF(B1048="","⚠ Falta el mes",IF(OR(ISTEXT(I1048),ISTEXT(J1048)),"⚠ Atrasos u horas extra como texto: escriba hh:mm (ej. 1:30)",IF(AND(ISNUMBER(Q1048),COUNTIFS(M_RUTN,V1048,M_MES,B1048,M_LIQ,"&lt;&gt;")&gt;1),"⚠ Liquidación repetida en el mes",IF(AND(ISNUMBER(O1048),ISNUMBER(P1048),ISNUMBER(Q1048),ABS(O1048-P1048-Q1048)&gt;1),"⚠ Haberes − descuentos no da el líquido","OK"))))))</f>
        <v/>
      </c>
      <c r="V1048" s="62" t="str">
        <f aca="false">IF(C1048="","",IFERROR(VALUE(LEFT(UPPER(SUBSTITUTE(SUBSTITUTE(SUBSTITUTE(TRIM(C1048),".",""),"-","")," ","")),LEN(UPPER(SUBSTITUTE(SUBSTITUTE(SUBSTITUTE(TRIM(C1048),".",""),"-","")," ","")))-1))&amp;RIGHT(UPPER(SUBSTITUTE(SUBSTITUTE(SUBSTITUTE(TRIM(C1048),".",""),"-","")," ","")),1),UPPER(SUBSTITUTE(SUBSTITUTE(SUBSTITUTE(TRIM(C1048),".",""),"-","")," ",""))))</f>
        <v/>
      </c>
    </row>
    <row r="1049" customFormat="false" ht="15" hidden="false" customHeight="false" outlineLevel="0" collapsed="false">
      <c r="B1049" s="80"/>
      <c r="C1049" s="58"/>
      <c r="D1049" s="62" t="str">
        <f aca="false">IF(C1049="","",IFERROR(INDEX(T_NOMBRE,MATCH(V1049,T_RUTN,0)),"⚠ RUT no está en Trabajadores"))</f>
        <v/>
      </c>
      <c r="E1049" s="61"/>
      <c r="F1049" s="61"/>
      <c r="G1049" s="61"/>
      <c r="H1049" s="61"/>
      <c r="I1049" s="81"/>
      <c r="J1049" s="81"/>
      <c r="K1049" s="60"/>
      <c r="L1049" s="60"/>
      <c r="M1049" s="60"/>
      <c r="N1049" s="60"/>
      <c r="O1049" s="60"/>
      <c r="P1049" s="60"/>
      <c r="Q1049" s="60"/>
      <c r="R1049" s="58"/>
      <c r="S1049" s="62" t="str">
        <f aca="false">IF(OR(B1049="",V1049=""),"",IFERROR(INDEX(C_TIPO,MATCH(V1049&amp;"-P"&amp;MAX(1,COUNTIFS(C_RUTN,V1049,C_DEF,"Sí",C_INI,"&lt;="&amp;EOMONTH(B1049,0))),C_CLAVE,0))&amp;"","Sin contrato"))</f>
        <v/>
      </c>
      <c r="T1049" s="63" t="str">
        <f aca="false">IF(OR(B1049="",N(O1049)=0),"",N(O1049)+ROUND(MIN(N(N1049),TOPE_UF*UF_MES)*(TASA_EMP+MUTUAL),0)+ROUND(MIN(N(N1049),TOPE_AFC_UF*UF_MES)*IF(S1049="Indefinido",AFC_INDEF,AFC_PF),0))</f>
        <v/>
      </c>
      <c r="U1049" s="62" t="str">
        <f aca="false">IF(C1049="","",IF(LEFT(D1049,1)="⚠","⚠ RUT no registrado en Trabajadores",IF(B1049="","⚠ Falta el mes",IF(OR(ISTEXT(I1049),ISTEXT(J1049)),"⚠ Atrasos u horas extra como texto: escriba hh:mm (ej. 1:30)",IF(AND(ISNUMBER(Q1049),COUNTIFS(M_RUTN,V1049,M_MES,B1049,M_LIQ,"&lt;&gt;")&gt;1),"⚠ Liquidación repetida en el mes",IF(AND(ISNUMBER(O1049),ISNUMBER(P1049),ISNUMBER(Q1049),ABS(O1049-P1049-Q1049)&gt;1),"⚠ Haberes − descuentos no da el líquido","OK"))))))</f>
        <v/>
      </c>
      <c r="V1049" s="62" t="str">
        <f aca="false">IF(C1049="","",IFERROR(VALUE(LEFT(UPPER(SUBSTITUTE(SUBSTITUTE(SUBSTITUTE(TRIM(C1049),".",""),"-","")," ","")),LEN(UPPER(SUBSTITUTE(SUBSTITUTE(SUBSTITUTE(TRIM(C1049),".",""),"-","")," ","")))-1))&amp;RIGHT(UPPER(SUBSTITUTE(SUBSTITUTE(SUBSTITUTE(TRIM(C1049),".",""),"-","")," ","")),1),UPPER(SUBSTITUTE(SUBSTITUTE(SUBSTITUTE(TRIM(C1049),".",""),"-","")," ",""))))</f>
        <v/>
      </c>
    </row>
    <row r="1050" customFormat="false" ht="15" hidden="false" customHeight="false" outlineLevel="0" collapsed="false">
      <c r="B1050" s="80"/>
      <c r="C1050" s="58"/>
      <c r="D1050" s="62" t="str">
        <f aca="false">IF(C1050="","",IFERROR(INDEX(T_NOMBRE,MATCH(V1050,T_RUTN,0)),"⚠ RUT no está en Trabajadores"))</f>
        <v/>
      </c>
      <c r="E1050" s="61"/>
      <c r="F1050" s="61"/>
      <c r="G1050" s="61"/>
      <c r="H1050" s="61"/>
      <c r="I1050" s="81"/>
      <c r="J1050" s="81"/>
      <c r="K1050" s="60"/>
      <c r="L1050" s="60"/>
      <c r="M1050" s="60"/>
      <c r="N1050" s="60"/>
      <c r="O1050" s="60"/>
      <c r="P1050" s="60"/>
      <c r="Q1050" s="60"/>
      <c r="R1050" s="58"/>
      <c r="S1050" s="62" t="str">
        <f aca="false">IF(OR(B1050="",V1050=""),"",IFERROR(INDEX(C_TIPO,MATCH(V1050&amp;"-P"&amp;MAX(1,COUNTIFS(C_RUTN,V1050,C_DEF,"Sí",C_INI,"&lt;="&amp;EOMONTH(B1050,0))),C_CLAVE,0))&amp;"","Sin contrato"))</f>
        <v/>
      </c>
      <c r="T1050" s="63" t="str">
        <f aca="false">IF(OR(B1050="",N(O1050)=0),"",N(O1050)+ROUND(MIN(N(N1050),TOPE_UF*UF_MES)*(TASA_EMP+MUTUAL),0)+ROUND(MIN(N(N1050),TOPE_AFC_UF*UF_MES)*IF(S1050="Indefinido",AFC_INDEF,AFC_PF),0))</f>
        <v/>
      </c>
      <c r="U1050" s="62" t="str">
        <f aca="false">IF(C1050="","",IF(LEFT(D1050,1)="⚠","⚠ RUT no registrado en Trabajadores",IF(B1050="","⚠ Falta el mes",IF(OR(ISTEXT(I1050),ISTEXT(J1050)),"⚠ Atrasos u horas extra como texto: escriba hh:mm (ej. 1:30)",IF(AND(ISNUMBER(Q1050),COUNTIFS(M_RUTN,V1050,M_MES,B1050,M_LIQ,"&lt;&gt;")&gt;1),"⚠ Liquidación repetida en el mes",IF(AND(ISNUMBER(O1050),ISNUMBER(P1050),ISNUMBER(Q1050),ABS(O1050-P1050-Q1050)&gt;1),"⚠ Haberes − descuentos no da el líquido","OK"))))))</f>
        <v/>
      </c>
      <c r="V1050" s="62" t="str">
        <f aca="false">IF(C1050="","",IFERROR(VALUE(LEFT(UPPER(SUBSTITUTE(SUBSTITUTE(SUBSTITUTE(TRIM(C1050),".",""),"-","")," ","")),LEN(UPPER(SUBSTITUTE(SUBSTITUTE(SUBSTITUTE(TRIM(C1050),".",""),"-","")," ","")))-1))&amp;RIGHT(UPPER(SUBSTITUTE(SUBSTITUTE(SUBSTITUTE(TRIM(C1050),".",""),"-","")," ","")),1),UPPER(SUBSTITUTE(SUBSTITUTE(SUBSTITUTE(TRIM(C1050),".",""),"-","")," ",""))))</f>
        <v/>
      </c>
    </row>
    <row r="1051" customFormat="false" ht="15" hidden="false" customHeight="false" outlineLevel="0" collapsed="false">
      <c r="B1051" s="80"/>
      <c r="C1051" s="58"/>
      <c r="D1051" s="62" t="str">
        <f aca="false">IF(C1051="","",IFERROR(INDEX(T_NOMBRE,MATCH(V1051,T_RUTN,0)),"⚠ RUT no está en Trabajadores"))</f>
        <v/>
      </c>
      <c r="E1051" s="61"/>
      <c r="F1051" s="61"/>
      <c r="G1051" s="61"/>
      <c r="H1051" s="61"/>
      <c r="I1051" s="81"/>
      <c r="J1051" s="81"/>
      <c r="K1051" s="60"/>
      <c r="L1051" s="60"/>
      <c r="M1051" s="60"/>
      <c r="N1051" s="60"/>
      <c r="O1051" s="60"/>
      <c r="P1051" s="60"/>
      <c r="Q1051" s="60"/>
      <c r="R1051" s="58"/>
      <c r="S1051" s="62" t="str">
        <f aca="false">IF(OR(B1051="",V1051=""),"",IFERROR(INDEX(C_TIPO,MATCH(V1051&amp;"-P"&amp;MAX(1,COUNTIFS(C_RUTN,V1051,C_DEF,"Sí",C_INI,"&lt;="&amp;EOMONTH(B1051,0))),C_CLAVE,0))&amp;"","Sin contrato"))</f>
        <v/>
      </c>
      <c r="T1051" s="63" t="str">
        <f aca="false">IF(OR(B1051="",N(O1051)=0),"",N(O1051)+ROUND(MIN(N(N1051),TOPE_UF*UF_MES)*(TASA_EMP+MUTUAL),0)+ROUND(MIN(N(N1051),TOPE_AFC_UF*UF_MES)*IF(S1051="Indefinido",AFC_INDEF,AFC_PF),0))</f>
        <v/>
      </c>
      <c r="U1051" s="62" t="str">
        <f aca="false">IF(C1051="","",IF(LEFT(D1051,1)="⚠","⚠ RUT no registrado en Trabajadores",IF(B1051="","⚠ Falta el mes",IF(OR(ISTEXT(I1051),ISTEXT(J1051)),"⚠ Atrasos u horas extra como texto: escriba hh:mm (ej. 1:30)",IF(AND(ISNUMBER(Q1051),COUNTIFS(M_RUTN,V1051,M_MES,B1051,M_LIQ,"&lt;&gt;")&gt;1),"⚠ Liquidación repetida en el mes",IF(AND(ISNUMBER(O1051),ISNUMBER(P1051),ISNUMBER(Q1051),ABS(O1051-P1051-Q1051)&gt;1),"⚠ Haberes − descuentos no da el líquido","OK"))))))</f>
        <v/>
      </c>
      <c r="V1051" s="62" t="str">
        <f aca="false">IF(C1051="","",IFERROR(VALUE(LEFT(UPPER(SUBSTITUTE(SUBSTITUTE(SUBSTITUTE(TRIM(C1051),".",""),"-","")," ","")),LEN(UPPER(SUBSTITUTE(SUBSTITUTE(SUBSTITUTE(TRIM(C1051),".",""),"-","")," ","")))-1))&amp;RIGHT(UPPER(SUBSTITUTE(SUBSTITUTE(SUBSTITUTE(TRIM(C1051),".",""),"-","")," ","")),1),UPPER(SUBSTITUTE(SUBSTITUTE(SUBSTITUTE(TRIM(C1051),".",""),"-","")," ",""))))</f>
        <v/>
      </c>
    </row>
    <row r="1052" customFormat="false" ht="15" hidden="false" customHeight="false" outlineLevel="0" collapsed="false">
      <c r="B1052" s="80"/>
      <c r="C1052" s="58"/>
      <c r="D1052" s="62" t="str">
        <f aca="false">IF(C1052="","",IFERROR(INDEX(T_NOMBRE,MATCH(V1052,T_RUTN,0)),"⚠ RUT no está en Trabajadores"))</f>
        <v/>
      </c>
      <c r="E1052" s="61"/>
      <c r="F1052" s="61"/>
      <c r="G1052" s="61"/>
      <c r="H1052" s="61"/>
      <c r="I1052" s="81"/>
      <c r="J1052" s="81"/>
      <c r="K1052" s="60"/>
      <c r="L1052" s="60"/>
      <c r="M1052" s="60"/>
      <c r="N1052" s="60"/>
      <c r="O1052" s="60"/>
      <c r="P1052" s="60"/>
      <c r="Q1052" s="60"/>
      <c r="R1052" s="58"/>
      <c r="S1052" s="62" t="str">
        <f aca="false">IF(OR(B1052="",V1052=""),"",IFERROR(INDEX(C_TIPO,MATCH(V1052&amp;"-P"&amp;MAX(1,COUNTIFS(C_RUTN,V1052,C_DEF,"Sí",C_INI,"&lt;="&amp;EOMONTH(B1052,0))),C_CLAVE,0))&amp;"","Sin contrato"))</f>
        <v/>
      </c>
      <c r="T1052" s="63" t="str">
        <f aca="false">IF(OR(B1052="",N(O1052)=0),"",N(O1052)+ROUND(MIN(N(N1052),TOPE_UF*UF_MES)*(TASA_EMP+MUTUAL),0)+ROUND(MIN(N(N1052),TOPE_AFC_UF*UF_MES)*IF(S1052="Indefinido",AFC_INDEF,AFC_PF),0))</f>
        <v/>
      </c>
      <c r="U1052" s="62" t="str">
        <f aca="false">IF(C1052="","",IF(LEFT(D1052,1)="⚠","⚠ RUT no registrado en Trabajadores",IF(B1052="","⚠ Falta el mes",IF(OR(ISTEXT(I1052),ISTEXT(J1052)),"⚠ Atrasos u horas extra como texto: escriba hh:mm (ej. 1:30)",IF(AND(ISNUMBER(Q1052),COUNTIFS(M_RUTN,V1052,M_MES,B1052,M_LIQ,"&lt;&gt;")&gt;1),"⚠ Liquidación repetida en el mes",IF(AND(ISNUMBER(O1052),ISNUMBER(P1052),ISNUMBER(Q1052),ABS(O1052-P1052-Q1052)&gt;1),"⚠ Haberes − descuentos no da el líquido","OK"))))))</f>
        <v/>
      </c>
      <c r="V1052" s="62" t="str">
        <f aca="false">IF(C1052="","",IFERROR(VALUE(LEFT(UPPER(SUBSTITUTE(SUBSTITUTE(SUBSTITUTE(TRIM(C1052),".",""),"-","")," ","")),LEN(UPPER(SUBSTITUTE(SUBSTITUTE(SUBSTITUTE(TRIM(C1052),".",""),"-","")," ","")))-1))&amp;RIGHT(UPPER(SUBSTITUTE(SUBSTITUTE(SUBSTITUTE(TRIM(C1052),".",""),"-","")," ","")),1),UPPER(SUBSTITUTE(SUBSTITUTE(SUBSTITUTE(TRIM(C1052),".",""),"-","")," ",""))))</f>
        <v/>
      </c>
    </row>
    <row r="1053" customFormat="false" ht="15" hidden="false" customHeight="false" outlineLevel="0" collapsed="false">
      <c r="B1053" s="80"/>
      <c r="C1053" s="58"/>
      <c r="D1053" s="62" t="str">
        <f aca="false">IF(C1053="","",IFERROR(INDEX(T_NOMBRE,MATCH(V1053,T_RUTN,0)),"⚠ RUT no está en Trabajadores"))</f>
        <v/>
      </c>
      <c r="E1053" s="61"/>
      <c r="F1053" s="61"/>
      <c r="G1053" s="61"/>
      <c r="H1053" s="61"/>
      <c r="I1053" s="81"/>
      <c r="J1053" s="81"/>
      <c r="K1053" s="60"/>
      <c r="L1053" s="60"/>
      <c r="M1053" s="60"/>
      <c r="N1053" s="60"/>
      <c r="O1053" s="60"/>
      <c r="P1053" s="60"/>
      <c r="Q1053" s="60"/>
      <c r="R1053" s="58"/>
      <c r="S1053" s="62" t="str">
        <f aca="false">IF(OR(B1053="",V1053=""),"",IFERROR(INDEX(C_TIPO,MATCH(V1053&amp;"-P"&amp;MAX(1,COUNTIFS(C_RUTN,V1053,C_DEF,"Sí",C_INI,"&lt;="&amp;EOMONTH(B1053,0))),C_CLAVE,0))&amp;"","Sin contrato"))</f>
        <v/>
      </c>
      <c r="T1053" s="63" t="str">
        <f aca="false">IF(OR(B1053="",N(O1053)=0),"",N(O1053)+ROUND(MIN(N(N1053),TOPE_UF*UF_MES)*(TASA_EMP+MUTUAL),0)+ROUND(MIN(N(N1053),TOPE_AFC_UF*UF_MES)*IF(S1053="Indefinido",AFC_INDEF,AFC_PF),0))</f>
        <v/>
      </c>
      <c r="U1053" s="62" t="str">
        <f aca="false">IF(C1053="","",IF(LEFT(D1053,1)="⚠","⚠ RUT no registrado en Trabajadores",IF(B1053="","⚠ Falta el mes",IF(OR(ISTEXT(I1053),ISTEXT(J1053)),"⚠ Atrasos u horas extra como texto: escriba hh:mm (ej. 1:30)",IF(AND(ISNUMBER(Q1053),COUNTIFS(M_RUTN,V1053,M_MES,B1053,M_LIQ,"&lt;&gt;")&gt;1),"⚠ Liquidación repetida en el mes",IF(AND(ISNUMBER(O1053),ISNUMBER(P1053),ISNUMBER(Q1053),ABS(O1053-P1053-Q1053)&gt;1),"⚠ Haberes − descuentos no da el líquido","OK"))))))</f>
        <v/>
      </c>
      <c r="V1053" s="62" t="str">
        <f aca="false">IF(C1053="","",IFERROR(VALUE(LEFT(UPPER(SUBSTITUTE(SUBSTITUTE(SUBSTITUTE(TRIM(C1053),".",""),"-","")," ","")),LEN(UPPER(SUBSTITUTE(SUBSTITUTE(SUBSTITUTE(TRIM(C1053),".",""),"-","")," ","")))-1))&amp;RIGHT(UPPER(SUBSTITUTE(SUBSTITUTE(SUBSTITUTE(TRIM(C1053),".",""),"-","")," ","")),1),UPPER(SUBSTITUTE(SUBSTITUTE(SUBSTITUTE(TRIM(C1053),".",""),"-","")," ",""))))</f>
        <v/>
      </c>
    </row>
    <row r="1054" customFormat="false" ht="15" hidden="false" customHeight="false" outlineLevel="0" collapsed="false">
      <c r="B1054" s="80"/>
      <c r="C1054" s="58"/>
      <c r="D1054" s="62" t="str">
        <f aca="false">IF(C1054="","",IFERROR(INDEX(T_NOMBRE,MATCH(V1054,T_RUTN,0)),"⚠ RUT no está en Trabajadores"))</f>
        <v/>
      </c>
      <c r="E1054" s="61"/>
      <c r="F1054" s="61"/>
      <c r="G1054" s="61"/>
      <c r="H1054" s="61"/>
      <c r="I1054" s="81"/>
      <c r="J1054" s="81"/>
      <c r="K1054" s="60"/>
      <c r="L1054" s="60"/>
      <c r="M1054" s="60"/>
      <c r="N1054" s="60"/>
      <c r="O1054" s="60"/>
      <c r="P1054" s="60"/>
      <c r="Q1054" s="60"/>
      <c r="R1054" s="58"/>
      <c r="S1054" s="62" t="str">
        <f aca="false">IF(OR(B1054="",V1054=""),"",IFERROR(INDEX(C_TIPO,MATCH(V1054&amp;"-P"&amp;MAX(1,COUNTIFS(C_RUTN,V1054,C_DEF,"Sí",C_INI,"&lt;="&amp;EOMONTH(B1054,0))),C_CLAVE,0))&amp;"","Sin contrato"))</f>
        <v/>
      </c>
      <c r="T1054" s="63" t="str">
        <f aca="false">IF(OR(B1054="",N(O1054)=0),"",N(O1054)+ROUND(MIN(N(N1054),TOPE_UF*UF_MES)*(TASA_EMP+MUTUAL),0)+ROUND(MIN(N(N1054),TOPE_AFC_UF*UF_MES)*IF(S1054="Indefinido",AFC_INDEF,AFC_PF),0))</f>
        <v/>
      </c>
      <c r="U1054" s="62" t="str">
        <f aca="false">IF(C1054="","",IF(LEFT(D1054,1)="⚠","⚠ RUT no registrado en Trabajadores",IF(B1054="","⚠ Falta el mes",IF(OR(ISTEXT(I1054),ISTEXT(J1054)),"⚠ Atrasos u horas extra como texto: escriba hh:mm (ej. 1:30)",IF(AND(ISNUMBER(Q1054),COUNTIFS(M_RUTN,V1054,M_MES,B1054,M_LIQ,"&lt;&gt;")&gt;1),"⚠ Liquidación repetida en el mes",IF(AND(ISNUMBER(O1054),ISNUMBER(P1054),ISNUMBER(Q1054),ABS(O1054-P1054-Q1054)&gt;1),"⚠ Haberes − descuentos no da el líquido","OK"))))))</f>
        <v/>
      </c>
      <c r="V1054" s="62" t="str">
        <f aca="false">IF(C1054="","",IFERROR(VALUE(LEFT(UPPER(SUBSTITUTE(SUBSTITUTE(SUBSTITUTE(TRIM(C1054),".",""),"-","")," ","")),LEN(UPPER(SUBSTITUTE(SUBSTITUTE(SUBSTITUTE(TRIM(C1054),".",""),"-","")," ","")))-1))&amp;RIGHT(UPPER(SUBSTITUTE(SUBSTITUTE(SUBSTITUTE(TRIM(C1054),".",""),"-","")," ","")),1),UPPER(SUBSTITUTE(SUBSTITUTE(SUBSTITUTE(TRIM(C1054),".",""),"-","")," ",""))))</f>
        <v/>
      </c>
    </row>
    <row r="1055" customFormat="false" ht="15" hidden="false" customHeight="false" outlineLevel="0" collapsed="false">
      <c r="B1055" s="80"/>
      <c r="C1055" s="58"/>
      <c r="D1055" s="62" t="str">
        <f aca="false">IF(C1055="","",IFERROR(INDEX(T_NOMBRE,MATCH(V1055,T_RUTN,0)),"⚠ RUT no está en Trabajadores"))</f>
        <v/>
      </c>
      <c r="E1055" s="61"/>
      <c r="F1055" s="61"/>
      <c r="G1055" s="61"/>
      <c r="H1055" s="61"/>
      <c r="I1055" s="81"/>
      <c r="J1055" s="81"/>
      <c r="K1055" s="60"/>
      <c r="L1055" s="60"/>
      <c r="M1055" s="60"/>
      <c r="N1055" s="60"/>
      <c r="O1055" s="60"/>
      <c r="P1055" s="60"/>
      <c r="Q1055" s="60"/>
      <c r="R1055" s="58"/>
      <c r="S1055" s="62" t="str">
        <f aca="false">IF(OR(B1055="",V1055=""),"",IFERROR(INDEX(C_TIPO,MATCH(V1055&amp;"-P"&amp;MAX(1,COUNTIFS(C_RUTN,V1055,C_DEF,"Sí",C_INI,"&lt;="&amp;EOMONTH(B1055,0))),C_CLAVE,0))&amp;"","Sin contrato"))</f>
        <v/>
      </c>
      <c r="T1055" s="63" t="str">
        <f aca="false">IF(OR(B1055="",N(O1055)=0),"",N(O1055)+ROUND(MIN(N(N1055),TOPE_UF*UF_MES)*(TASA_EMP+MUTUAL),0)+ROUND(MIN(N(N1055),TOPE_AFC_UF*UF_MES)*IF(S1055="Indefinido",AFC_INDEF,AFC_PF),0))</f>
        <v/>
      </c>
      <c r="U1055" s="62" t="str">
        <f aca="false">IF(C1055="","",IF(LEFT(D1055,1)="⚠","⚠ RUT no registrado en Trabajadores",IF(B1055="","⚠ Falta el mes",IF(OR(ISTEXT(I1055),ISTEXT(J1055)),"⚠ Atrasos u horas extra como texto: escriba hh:mm (ej. 1:30)",IF(AND(ISNUMBER(Q1055),COUNTIFS(M_RUTN,V1055,M_MES,B1055,M_LIQ,"&lt;&gt;")&gt;1),"⚠ Liquidación repetida en el mes",IF(AND(ISNUMBER(O1055),ISNUMBER(P1055),ISNUMBER(Q1055),ABS(O1055-P1055-Q1055)&gt;1),"⚠ Haberes − descuentos no da el líquido","OK"))))))</f>
        <v/>
      </c>
      <c r="V1055" s="62" t="str">
        <f aca="false">IF(C1055="","",IFERROR(VALUE(LEFT(UPPER(SUBSTITUTE(SUBSTITUTE(SUBSTITUTE(TRIM(C1055),".",""),"-","")," ","")),LEN(UPPER(SUBSTITUTE(SUBSTITUTE(SUBSTITUTE(TRIM(C1055),".",""),"-","")," ","")))-1))&amp;RIGHT(UPPER(SUBSTITUTE(SUBSTITUTE(SUBSTITUTE(TRIM(C1055),".",""),"-","")," ","")),1),UPPER(SUBSTITUTE(SUBSTITUTE(SUBSTITUTE(TRIM(C1055),".",""),"-","")," ",""))))</f>
        <v/>
      </c>
    </row>
    <row r="1056" customFormat="false" ht="15" hidden="false" customHeight="false" outlineLevel="0" collapsed="false">
      <c r="B1056" s="80"/>
      <c r="C1056" s="58"/>
      <c r="D1056" s="62" t="str">
        <f aca="false">IF(C1056="","",IFERROR(INDEX(T_NOMBRE,MATCH(V1056,T_RUTN,0)),"⚠ RUT no está en Trabajadores"))</f>
        <v/>
      </c>
      <c r="E1056" s="61"/>
      <c r="F1056" s="61"/>
      <c r="G1056" s="61"/>
      <c r="H1056" s="61"/>
      <c r="I1056" s="81"/>
      <c r="J1056" s="81"/>
      <c r="K1056" s="60"/>
      <c r="L1056" s="60"/>
      <c r="M1056" s="60"/>
      <c r="N1056" s="60"/>
      <c r="O1056" s="60"/>
      <c r="P1056" s="60"/>
      <c r="Q1056" s="60"/>
      <c r="R1056" s="58"/>
      <c r="S1056" s="62" t="str">
        <f aca="false">IF(OR(B1056="",V1056=""),"",IFERROR(INDEX(C_TIPO,MATCH(V1056&amp;"-P"&amp;MAX(1,COUNTIFS(C_RUTN,V1056,C_DEF,"Sí",C_INI,"&lt;="&amp;EOMONTH(B1056,0))),C_CLAVE,0))&amp;"","Sin contrato"))</f>
        <v/>
      </c>
      <c r="T1056" s="63" t="str">
        <f aca="false">IF(OR(B1056="",N(O1056)=0),"",N(O1056)+ROUND(MIN(N(N1056),TOPE_UF*UF_MES)*(TASA_EMP+MUTUAL),0)+ROUND(MIN(N(N1056),TOPE_AFC_UF*UF_MES)*IF(S1056="Indefinido",AFC_INDEF,AFC_PF),0))</f>
        <v/>
      </c>
      <c r="U1056" s="62" t="str">
        <f aca="false">IF(C1056="","",IF(LEFT(D1056,1)="⚠","⚠ RUT no registrado en Trabajadores",IF(B1056="","⚠ Falta el mes",IF(OR(ISTEXT(I1056),ISTEXT(J1056)),"⚠ Atrasos u horas extra como texto: escriba hh:mm (ej. 1:30)",IF(AND(ISNUMBER(Q1056),COUNTIFS(M_RUTN,V1056,M_MES,B1056,M_LIQ,"&lt;&gt;")&gt;1),"⚠ Liquidación repetida en el mes",IF(AND(ISNUMBER(O1056),ISNUMBER(P1056),ISNUMBER(Q1056),ABS(O1056-P1056-Q1056)&gt;1),"⚠ Haberes − descuentos no da el líquido","OK"))))))</f>
        <v/>
      </c>
      <c r="V1056" s="62" t="str">
        <f aca="false">IF(C1056="","",IFERROR(VALUE(LEFT(UPPER(SUBSTITUTE(SUBSTITUTE(SUBSTITUTE(TRIM(C1056),".",""),"-","")," ","")),LEN(UPPER(SUBSTITUTE(SUBSTITUTE(SUBSTITUTE(TRIM(C1056),".",""),"-","")," ","")))-1))&amp;RIGHT(UPPER(SUBSTITUTE(SUBSTITUTE(SUBSTITUTE(TRIM(C1056),".",""),"-","")," ","")),1),UPPER(SUBSTITUTE(SUBSTITUTE(SUBSTITUTE(TRIM(C1056),".",""),"-","")," ",""))))</f>
        <v/>
      </c>
    </row>
    <row r="1057" customFormat="false" ht="15" hidden="false" customHeight="false" outlineLevel="0" collapsed="false">
      <c r="B1057" s="80"/>
      <c r="C1057" s="58"/>
      <c r="D1057" s="62" t="str">
        <f aca="false">IF(C1057="","",IFERROR(INDEX(T_NOMBRE,MATCH(V1057,T_RUTN,0)),"⚠ RUT no está en Trabajadores"))</f>
        <v/>
      </c>
      <c r="E1057" s="61"/>
      <c r="F1057" s="61"/>
      <c r="G1057" s="61"/>
      <c r="H1057" s="61"/>
      <c r="I1057" s="81"/>
      <c r="J1057" s="81"/>
      <c r="K1057" s="60"/>
      <c r="L1057" s="60"/>
      <c r="M1057" s="60"/>
      <c r="N1057" s="60"/>
      <c r="O1057" s="60"/>
      <c r="P1057" s="60"/>
      <c r="Q1057" s="60"/>
      <c r="R1057" s="58"/>
      <c r="S1057" s="62" t="str">
        <f aca="false">IF(OR(B1057="",V1057=""),"",IFERROR(INDEX(C_TIPO,MATCH(V1057&amp;"-P"&amp;MAX(1,COUNTIFS(C_RUTN,V1057,C_DEF,"Sí",C_INI,"&lt;="&amp;EOMONTH(B1057,0))),C_CLAVE,0))&amp;"","Sin contrato"))</f>
        <v/>
      </c>
      <c r="T1057" s="63" t="str">
        <f aca="false">IF(OR(B1057="",N(O1057)=0),"",N(O1057)+ROUND(MIN(N(N1057),TOPE_UF*UF_MES)*(TASA_EMP+MUTUAL),0)+ROUND(MIN(N(N1057),TOPE_AFC_UF*UF_MES)*IF(S1057="Indefinido",AFC_INDEF,AFC_PF),0))</f>
        <v/>
      </c>
      <c r="U1057" s="62" t="str">
        <f aca="false">IF(C1057="","",IF(LEFT(D1057,1)="⚠","⚠ RUT no registrado en Trabajadores",IF(B1057="","⚠ Falta el mes",IF(OR(ISTEXT(I1057),ISTEXT(J1057)),"⚠ Atrasos u horas extra como texto: escriba hh:mm (ej. 1:30)",IF(AND(ISNUMBER(Q1057),COUNTIFS(M_RUTN,V1057,M_MES,B1057,M_LIQ,"&lt;&gt;")&gt;1),"⚠ Liquidación repetida en el mes",IF(AND(ISNUMBER(O1057),ISNUMBER(P1057),ISNUMBER(Q1057),ABS(O1057-P1057-Q1057)&gt;1),"⚠ Haberes − descuentos no da el líquido","OK"))))))</f>
        <v/>
      </c>
      <c r="V1057" s="62" t="str">
        <f aca="false">IF(C1057="","",IFERROR(VALUE(LEFT(UPPER(SUBSTITUTE(SUBSTITUTE(SUBSTITUTE(TRIM(C1057),".",""),"-","")," ","")),LEN(UPPER(SUBSTITUTE(SUBSTITUTE(SUBSTITUTE(TRIM(C1057),".",""),"-","")," ","")))-1))&amp;RIGHT(UPPER(SUBSTITUTE(SUBSTITUTE(SUBSTITUTE(TRIM(C1057),".",""),"-","")," ","")),1),UPPER(SUBSTITUTE(SUBSTITUTE(SUBSTITUTE(TRIM(C1057),".",""),"-","")," ",""))))</f>
        <v/>
      </c>
    </row>
    <row r="1058" customFormat="false" ht="15" hidden="false" customHeight="false" outlineLevel="0" collapsed="false">
      <c r="B1058" s="80"/>
      <c r="C1058" s="58"/>
      <c r="D1058" s="62" t="str">
        <f aca="false">IF(C1058="","",IFERROR(INDEX(T_NOMBRE,MATCH(V1058,T_RUTN,0)),"⚠ RUT no está en Trabajadores"))</f>
        <v/>
      </c>
      <c r="E1058" s="61"/>
      <c r="F1058" s="61"/>
      <c r="G1058" s="61"/>
      <c r="H1058" s="61"/>
      <c r="I1058" s="81"/>
      <c r="J1058" s="81"/>
      <c r="K1058" s="60"/>
      <c r="L1058" s="60"/>
      <c r="M1058" s="60"/>
      <c r="N1058" s="60"/>
      <c r="O1058" s="60"/>
      <c r="P1058" s="60"/>
      <c r="Q1058" s="60"/>
      <c r="R1058" s="58"/>
      <c r="S1058" s="62" t="str">
        <f aca="false">IF(OR(B1058="",V1058=""),"",IFERROR(INDEX(C_TIPO,MATCH(V1058&amp;"-P"&amp;MAX(1,COUNTIFS(C_RUTN,V1058,C_DEF,"Sí",C_INI,"&lt;="&amp;EOMONTH(B1058,0))),C_CLAVE,0))&amp;"","Sin contrato"))</f>
        <v/>
      </c>
      <c r="T1058" s="63" t="str">
        <f aca="false">IF(OR(B1058="",N(O1058)=0),"",N(O1058)+ROUND(MIN(N(N1058),TOPE_UF*UF_MES)*(TASA_EMP+MUTUAL),0)+ROUND(MIN(N(N1058),TOPE_AFC_UF*UF_MES)*IF(S1058="Indefinido",AFC_INDEF,AFC_PF),0))</f>
        <v/>
      </c>
      <c r="U1058" s="62" t="str">
        <f aca="false">IF(C1058="","",IF(LEFT(D1058,1)="⚠","⚠ RUT no registrado en Trabajadores",IF(B1058="","⚠ Falta el mes",IF(OR(ISTEXT(I1058),ISTEXT(J1058)),"⚠ Atrasos u horas extra como texto: escriba hh:mm (ej. 1:30)",IF(AND(ISNUMBER(Q1058),COUNTIFS(M_RUTN,V1058,M_MES,B1058,M_LIQ,"&lt;&gt;")&gt;1),"⚠ Liquidación repetida en el mes",IF(AND(ISNUMBER(O1058),ISNUMBER(P1058),ISNUMBER(Q1058),ABS(O1058-P1058-Q1058)&gt;1),"⚠ Haberes − descuentos no da el líquido","OK"))))))</f>
        <v/>
      </c>
      <c r="V1058" s="62" t="str">
        <f aca="false">IF(C1058="","",IFERROR(VALUE(LEFT(UPPER(SUBSTITUTE(SUBSTITUTE(SUBSTITUTE(TRIM(C1058),".",""),"-","")," ","")),LEN(UPPER(SUBSTITUTE(SUBSTITUTE(SUBSTITUTE(TRIM(C1058),".",""),"-","")," ","")))-1))&amp;RIGHT(UPPER(SUBSTITUTE(SUBSTITUTE(SUBSTITUTE(TRIM(C1058),".",""),"-","")," ","")),1),UPPER(SUBSTITUTE(SUBSTITUTE(SUBSTITUTE(TRIM(C1058),".",""),"-","")," ",""))))</f>
        <v/>
      </c>
    </row>
    <row r="1059" customFormat="false" ht="15" hidden="false" customHeight="false" outlineLevel="0" collapsed="false">
      <c r="B1059" s="80"/>
      <c r="C1059" s="58"/>
      <c r="D1059" s="62" t="str">
        <f aca="false">IF(C1059="","",IFERROR(INDEX(T_NOMBRE,MATCH(V1059,T_RUTN,0)),"⚠ RUT no está en Trabajadores"))</f>
        <v/>
      </c>
      <c r="E1059" s="61"/>
      <c r="F1059" s="61"/>
      <c r="G1059" s="61"/>
      <c r="H1059" s="61"/>
      <c r="I1059" s="81"/>
      <c r="J1059" s="81"/>
      <c r="K1059" s="60"/>
      <c r="L1059" s="60"/>
      <c r="M1059" s="60"/>
      <c r="N1059" s="60"/>
      <c r="O1059" s="60"/>
      <c r="P1059" s="60"/>
      <c r="Q1059" s="60"/>
      <c r="R1059" s="58"/>
      <c r="S1059" s="62" t="str">
        <f aca="false">IF(OR(B1059="",V1059=""),"",IFERROR(INDEX(C_TIPO,MATCH(V1059&amp;"-P"&amp;MAX(1,COUNTIFS(C_RUTN,V1059,C_DEF,"Sí",C_INI,"&lt;="&amp;EOMONTH(B1059,0))),C_CLAVE,0))&amp;"","Sin contrato"))</f>
        <v/>
      </c>
      <c r="T1059" s="63" t="str">
        <f aca="false">IF(OR(B1059="",N(O1059)=0),"",N(O1059)+ROUND(MIN(N(N1059),TOPE_UF*UF_MES)*(TASA_EMP+MUTUAL),0)+ROUND(MIN(N(N1059),TOPE_AFC_UF*UF_MES)*IF(S1059="Indefinido",AFC_INDEF,AFC_PF),0))</f>
        <v/>
      </c>
      <c r="U1059" s="62" t="str">
        <f aca="false">IF(C1059="","",IF(LEFT(D1059,1)="⚠","⚠ RUT no registrado en Trabajadores",IF(B1059="","⚠ Falta el mes",IF(OR(ISTEXT(I1059),ISTEXT(J1059)),"⚠ Atrasos u horas extra como texto: escriba hh:mm (ej. 1:30)",IF(AND(ISNUMBER(Q1059),COUNTIFS(M_RUTN,V1059,M_MES,B1059,M_LIQ,"&lt;&gt;")&gt;1),"⚠ Liquidación repetida en el mes",IF(AND(ISNUMBER(O1059),ISNUMBER(P1059),ISNUMBER(Q1059),ABS(O1059-P1059-Q1059)&gt;1),"⚠ Haberes − descuentos no da el líquido","OK"))))))</f>
        <v/>
      </c>
      <c r="V1059" s="62" t="str">
        <f aca="false">IF(C1059="","",IFERROR(VALUE(LEFT(UPPER(SUBSTITUTE(SUBSTITUTE(SUBSTITUTE(TRIM(C1059),".",""),"-","")," ","")),LEN(UPPER(SUBSTITUTE(SUBSTITUTE(SUBSTITUTE(TRIM(C1059),".",""),"-","")," ","")))-1))&amp;RIGHT(UPPER(SUBSTITUTE(SUBSTITUTE(SUBSTITUTE(TRIM(C1059),".",""),"-","")," ","")),1),UPPER(SUBSTITUTE(SUBSTITUTE(SUBSTITUTE(TRIM(C1059),".",""),"-","")," ",""))))</f>
        <v/>
      </c>
    </row>
    <row r="1060" customFormat="false" ht="15" hidden="false" customHeight="false" outlineLevel="0" collapsed="false">
      <c r="B1060" s="80"/>
      <c r="C1060" s="58"/>
      <c r="D1060" s="62" t="str">
        <f aca="false">IF(C1060="","",IFERROR(INDEX(T_NOMBRE,MATCH(V1060,T_RUTN,0)),"⚠ RUT no está en Trabajadores"))</f>
        <v/>
      </c>
      <c r="E1060" s="61"/>
      <c r="F1060" s="61"/>
      <c r="G1060" s="61"/>
      <c r="H1060" s="61"/>
      <c r="I1060" s="81"/>
      <c r="J1060" s="81"/>
      <c r="K1060" s="60"/>
      <c r="L1060" s="60"/>
      <c r="M1060" s="60"/>
      <c r="N1060" s="60"/>
      <c r="O1060" s="60"/>
      <c r="P1060" s="60"/>
      <c r="Q1060" s="60"/>
      <c r="R1060" s="58"/>
      <c r="S1060" s="62" t="str">
        <f aca="false">IF(OR(B1060="",V1060=""),"",IFERROR(INDEX(C_TIPO,MATCH(V1060&amp;"-P"&amp;MAX(1,COUNTIFS(C_RUTN,V1060,C_DEF,"Sí",C_INI,"&lt;="&amp;EOMONTH(B1060,0))),C_CLAVE,0))&amp;"","Sin contrato"))</f>
        <v/>
      </c>
      <c r="T1060" s="63" t="str">
        <f aca="false">IF(OR(B1060="",N(O1060)=0),"",N(O1060)+ROUND(MIN(N(N1060),TOPE_UF*UF_MES)*(TASA_EMP+MUTUAL),0)+ROUND(MIN(N(N1060),TOPE_AFC_UF*UF_MES)*IF(S1060="Indefinido",AFC_INDEF,AFC_PF),0))</f>
        <v/>
      </c>
      <c r="U1060" s="62" t="str">
        <f aca="false">IF(C1060="","",IF(LEFT(D1060,1)="⚠","⚠ RUT no registrado en Trabajadores",IF(B1060="","⚠ Falta el mes",IF(OR(ISTEXT(I1060),ISTEXT(J1060)),"⚠ Atrasos u horas extra como texto: escriba hh:mm (ej. 1:30)",IF(AND(ISNUMBER(Q1060),COUNTIFS(M_RUTN,V1060,M_MES,B1060,M_LIQ,"&lt;&gt;")&gt;1),"⚠ Liquidación repetida en el mes",IF(AND(ISNUMBER(O1060),ISNUMBER(P1060),ISNUMBER(Q1060),ABS(O1060-P1060-Q1060)&gt;1),"⚠ Haberes − descuentos no da el líquido","OK"))))))</f>
        <v/>
      </c>
      <c r="V1060" s="62" t="str">
        <f aca="false">IF(C1060="","",IFERROR(VALUE(LEFT(UPPER(SUBSTITUTE(SUBSTITUTE(SUBSTITUTE(TRIM(C1060),".",""),"-","")," ","")),LEN(UPPER(SUBSTITUTE(SUBSTITUTE(SUBSTITUTE(TRIM(C1060),".",""),"-","")," ","")))-1))&amp;RIGHT(UPPER(SUBSTITUTE(SUBSTITUTE(SUBSTITUTE(TRIM(C1060),".",""),"-","")," ","")),1),UPPER(SUBSTITUTE(SUBSTITUTE(SUBSTITUTE(TRIM(C1060),".",""),"-","")," ",""))))</f>
        <v/>
      </c>
    </row>
    <row r="1061" customFormat="false" ht="15" hidden="false" customHeight="false" outlineLevel="0" collapsed="false">
      <c r="B1061" s="80"/>
      <c r="C1061" s="58"/>
      <c r="D1061" s="62" t="str">
        <f aca="false">IF(C1061="","",IFERROR(INDEX(T_NOMBRE,MATCH(V1061,T_RUTN,0)),"⚠ RUT no está en Trabajadores"))</f>
        <v/>
      </c>
      <c r="E1061" s="61"/>
      <c r="F1061" s="61"/>
      <c r="G1061" s="61"/>
      <c r="H1061" s="61"/>
      <c r="I1061" s="81"/>
      <c r="J1061" s="81"/>
      <c r="K1061" s="60"/>
      <c r="L1061" s="60"/>
      <c r="M1061" s="60"/>
      <c r="N1061" s="60"/>
      <c r="O1061" s="60"/>
      <c r="P1061" s="60"/>
      <c r="Q1061" s="60"/>
      <c r="R1061" s="58"/>
      <c r="S1061" s="62" t="str">
        <f aca="false">IF(OR(B1061="",V1061=""),"",IFERROR(INDEX(C_TIPO,MATCH(V1061&amp;"-P"&amp;MAX(1,COUNTIFS(C_RUTN,V1061,C_DEF,"Sí",C_INI,"&lt;="&amp;EOMONTH(B1061,0))),C_CLAVE,0))&amp;"","Sin contrato"))</f>
        <v/>
      </c>
      <c r="T1061" s="63" t="str">
        <f aca="false">IF(OR(B1061="",N(O1061)=0),"",N(O1061)+ROUND(MIN(N(N1061),TOPE_UF*UF_MES)*(TASA_EMP+MUTUAL),0)+ROUND(MIN(N(N1061),TOPE_AFC_UF*UF_MES)*IF(S1061="Indefinido",AFC_INDEF,AFC_PF),0))</f>
        <v/>
      </c>
      <c r="U1061" s="62" t="str">
        <f aca="false">IF(C1061="","",IF(LEFT(D1061,1)="⚠","⚠ RUT no registrado en Trabajadores",IF(B1061="","⚠ Falta el mes",IF(OR(ISTEXT(I1061),ISTEXT(J1061)),"⚠ Atrasos u horas extra como texto: escriba hh:mm (ej. 1:30)",IF(AND(ISNUMBER(Q1061),COUNTIFS(M_RUTN,V1061,M_MES,B1061,M_LIQ,"&lt;&gt;")&gt;1),"⚠ Liquidación repetida en el mes",IF(AND(ISNUMBER(O1061),ISNUMBER(P1061),ISNUMBER(Q1061),ABS(O1061-P1061-Q1061)&gt;1),"⚠ Haberes − descuentos no da el líquido","OK"))))))</f>
        <v/>
      </c>
      <c r="V1061" s="62" t="str">
        <f aca="false">IF(C1061="","",IFERROR(VALUE(LEFT(UPPER(SUBSTITUTE(SUBSTITUTE(SUBSTITUTE(TRIM(C1061),".",""),"-","")," ","")),LEN(UPPER(SUBSTITUTE(SUBSTITUTE(SUBSTITUTE(TRIM(C1061),".",""),"-","")," ","")))-1))&amp;RIGHT(UPPER(SUBSTITUTE(SUBSTITUTE(SUBSTITUTE(TRIM(C1061),".",""),"-","")," ","")),1),UPPER(SUBSTITUTE(SUBSTITUTE(SUBSTITUTE(TRIM(C1061),".",""),"-","")," ",""))))</f>
        <v/>
      </c>
    </row>
    <row r="1062" customFormat="false" ht="15" hidden="false" customHeight="false" outlineLevel="0" collapsed="false">
      <c r="B1062" s="80"/>
      <c r="C1062" s="58"/>
      <c r="D1062" s="62" t="str">
        <f aca="false">IF(C1062="","",IFERROR(INDEX(T_NOMBRE,MATCH(V1062,T_RUTN,0)),"⚠ RUT no está en Trabajadores"))</f>
        <v/>
      </c>
      <c r="E1062" s="61"/>
      <c r="F1062" s="61"/>
      <c r="G1062" s="61"/>
      <c r="H1062" s="61"/>
      <c r="I1062" s="81"/>
      <c r="J1062" s="81"/>
      <c r="K1062" s="60"/>
      <c r="L1062" s="60"/>
      <c r="M1062" s="60"/>
      <c r="N1062" s="60"/>
      <c r="O1062" s="60"/>
      <c r="P1062" s="60"/>
      <c r="Q1062" s="60"/>
      <c r="R1062" s="58"/>
      <c r="S1062" s="62" t="str">
        <f aca="false">IF(OR(B1062="",V1062=""),"",IFERROR(INDEX(C_TIPO,MATCH(V1062&amp;"-P"&amp;MAX(1,COUNTIFS(C_RUTN,V1062,C_DEF,"Sí",C_INI,"&lt;="&amp;EOMONTH(B1062,0))),C_CLAVE,0))&amp;"","Sin contrato"))</f>
        <v/>
      </c>
      <c r="T1062" s="63" t="str">
        <f aca="false">IF(OR(B1062="",N(O1062)=0),"",N(O1062)+ROUND(MIN(N(N1062),TOPE_UF*UF_MES)*(TASA_EMP+MUTUAL),0)+ROUND(MIN(N(N1062),TOPE_AFC_UF*UF_MES)*IF(S1062="Indefinido",AFC_INDEF,AFC_PF),0))</f>
        <v/>
      </c>
      <c r="U1062" s="62" t="str">
        <f aca="false">IF(C1062="","",IF(LEFT(D1062,1)="⚠","⚠ RUT no registrado en Trabajadores",IF(B1062="","⚠ Falta el mes",IF(OR(ISTEXT(I1062),ISTEXT(J1062)),"⚠ Atrasos u horas extra como texto: escriba hh:mm (ej. 1:30)",IF(AND(ISNUMBER(Q1062),COUNTIFS(M_RUTN,V1062,M_MES,B1062,M_LIQ,"&lt;&gt;")&gt;1),"⚠ Liquidación repetida en el mes",IF(AND(ISNUMBER(O1062),ISNUMBER(P1062),ISNUMBER(Q1062),ABS(O1062-P1062-Q1062)&gt;1),"⚠ Haberes − descuentos no da el líquido","OK"))))))</f>
        <v/>
      </c>
      <c r="V1062" s="62" t="str">
        <f aca="false">IF(C1062="","",IFERROR(VALUE(LEFT(UPPER(SUBSTITUTE(SUBSTITUTE(SUBSTITUTE(TRIM(C1062),".",""),"-","")," ","")),LEN(UPPER(SUBSTITUTE(SUBSTITUTE(SUBSTITUTE(TRIM(C1062),".",""),"-","")," ","")))-1))&amp;RIGHT(UPPER(SUBSTITUTE(SUBSTITUTE(SUBSTITUTE(TRIM(C1062),".",""),"-","")," ","")),1),UPPER(SUBSTITUTE(SUBSTITUTE(SUBSTITUTE(TRIM(C1062),".",""),"-","")," ",""))))</f>
        <v/>
      </c>
    </row>
    <row r="1063" customFormat="false" ht="15" hidden="false" customHeight="false" outlineLevel="0" collapsed="false">
      <c r="B1063" s="80"/>
      <c r="C1063" s="58"/>
      <c r="D1063" s="62" t="str">
        <f aca="false">IF(C1063="","",IFERROR(INDEX(T_NOMBRE,MATCH(V1063,T_RUTN,0)),"⚠ RUT no está en Trabajadores"))</f>
        <v/>
      </c>
      <c r="E1063" s="61"/>
      <c r="F1063" s="61"/>
      <c r="G1063" s="61"/>
      <c r="H1063" s="61"/>
      <c r="I1063" s="81"/>
      <c r="J1063" s="81"/>
      <c r="K1063" s="60"/>
      <c r="L1063" s="60"/>
      <c r="M1063" s="60"/>
      <c r="N1063" s="60"/>
      <c r="O1063" s="60"/>
      <c r="P1063" s="60"/>
      <c r="Q1063" s="60"/>
      <c r="R1063" s="58"/>
      <c r="S1063" s="62" t="str">
        <f aca="false">IF(OR(B1063="",V1063=""),"",IFERROR(INDEX(C_TIPO,MATCH(V1063&amp;"-P"&amp;MAX(1,COUNTIFS(C_RUTN,V1063,C_DEF,"Sí",C_INI,"&lt;="&amp;EOMONTH(B1063,0))),C_CLAVE,0))&amp;"","Sin contrato"))</f>
        <v/>
      </c>
      <c r="T1063" s="63" t="str">
        <f aca="false">IF(OR(B1063="",N(O1063)=0),"",N(O1063)+ROUND(MIN(N(N1063),TOPE_UF*UF_MES)*(TASA_EMP+MUTUAL),0)+ROUND(MIN(N(N1063),TOPE_AFC_UF*UF_MES)*IF(S1063="Indefinido",AFC_INDEF,AFC_PF),0))</f>
        <v/>
      </c>
      <c r="U1063" s="62" t="str">
        <f aca="false">IF(C1063="","",IF(LEFT(D1063,1)="⚠","⚠ RUT no registrado en Trabajadores",IF(B1063="","⚠ Falta el mes",IF(OR(ISTEXT(I1063),ISTEXT(J1063)),"⚠ Atrasos u horas extra como texto: escriba hh:mm (ej. 1:30)",IF(AND(ISNUMBER(Q1063),COUNTIFS(M_RUTN,V1063,M_MES,B1063,M_LIQ,"&lt;&gt;")&gt;1),"⚠ Liquidación repetida en el mes",IF(AND(ISNUMBER(O1063),ISNUMBER(P1063),ISNUMBER(Q1063),ABS(O1063-P1063-Q1063)&gt;1),"⚠ Haberes − descuentos no da el líquido","OK"))))))</f>
        <v/>
      </c>
      <c r="V1063" s="62" t="str">
        <f aca="false">IF(C1063="","",IFERROR(VALUE(LEFT(UPPER(SUBSTITUTE(SUBSTITUTE(SUBSTITUTE(TRIM(C1063),".",""),"-","")," ","")),LEN(UPPER(SUBSTITUTE(SUBSTITUTE(SUBSTITUTE(TRIM(C1063),".",""),"-","")," ","")))-1))&amp;RIGHT(UPPER(SUBSTITUTE(SUBSTITUTE(SUBSTITUTE(TRIM(C1063),".",""),"-","")," ","")),1),UPPER(SUBSTITUTE(SUBSTITUTE(SUBSTITUTE(TRIM(C1063),".",""),"-","")," ",""))))</f>
        <v/>
      </c>
    </row>
    <row r="1064" customFormat="false" ht="15" hidden="false" customHeight="false" outlineLevel="0" collapsed="false">
      <c r="B1064" s="80"/>
      <c r="C1064" s="58"/>
      <c r="D1064" s="62" t="str">
        <f aca="false">IF(C1064="","",IFERROR(INDEX(T_NOMBRE,MATCH(V1064,T_RUTN,0)),"⚠ RUT no está en Trabajadores"))</f>
        <v/>
      </c>
      <c r="E1064" s="61"/>
      <c r="F1064" s="61"/>
      <c r="G1064" s="61"/>
      <c r="H1064" s="61"/>
      <c r="I1064" s="81"/>
      <c r="J1064" s="81"/>
      <c r="K1064" s="60"/>
      <c r="L1064" s="60"/>
      <c r="M1064" s="60"/>
      <c r="N1064" s="60"/>
      <c r="O1064" s="60"/>
      <c r="P1064" s="60"/>
      <c r="Q1064" s="60"/>
      <c r="R1064" s="58"/>
      <c r="S1064" s="62" t="str">
        <f aca="false">IF(OR(B1064="",V1064=""),"",IFERROR(INDEX(C_TIPO,MATCH(V1064&amp;"-P"&amp;MAX(1,COUNTIFS(C_RUTN,V1064,C_DEF,"Sí",C_INI,"&lt;="&amp;EOMONTH(B1064,0))),C_CLAVE,0))&amp;"","Sin contrato"))</f>
        <v/>
      </c>
      <c r="T1064" s="63" t="str">
        <f aca="false">IF(OR(B1064="",N(O1064)=0),"",N(O1064)+ROUND(MIN(N(N1064),TOPE_UF*UF_MES)*(TASA_EMP+MUTUAL),0)+ROUND(MIN(N(N1064),TOPE_AFC_UF*UF_MES)*IF(S1064="Indefinido",AFC_INDEF,AFC_PF),0))</f>
        <v/>
      </c>
      <c r="U1064" s="62" t="str">
        <f aca="false">IF(C1064="","",IF(LEFT(D1064,1)="⚠","⚠ RUT no registrado en Trabajadores",IF(B1064="","⚠ Falta el mes",IF(OR(ISTEXT(I1064),ISTEXT(J1064)),"⚠ Atrasos u horas extra como texto: escriba hh:mm (ej. 1:30)",IF(AND(ISNUMBER(Q1064),COUNTIFS(M_RUTN,V1064,M_MES,B1064,M_LIQ,"&lt;&gt;")&gt;1),"⚠ Liquidación repetida en el mes",IF(AND(ISNUMBER(O1064),ISNUMBER(P1064),ISNUMBER(Q1064),ABS(O1064-P1064-Q1064)&gt;1),"⚠ Haberes − descuentos no da el líquido","OK"))))))</f>
        <v/>
      </c>
      <c r="V1064" s="62" t="str">
        <f aca="false">IF(C1064="","",IFERROR(VALUE(LEFT(UPPER(SUBSTITUTE(SUBSTITUTE(SUBSTITUTE(TRIM(C1064),".",""),"-","")," ","")),LEN(UPPER(SUBSTITUTE(SUBSTITUTE(SUBSTITUTE(TRIM(C1064),".",""),"-","")," ","")))-1))&amp;RIGHT(UPPER(SUBSTITUTE(SUBSTITUTE(SUBSTITUTE(TRIM(C1064),".",""),"-","")," ","")),1),UPPER(SUBSTITUTE(SUBSTITUTE(SUBSTITUTE(TRIM(C1064),".",""),"-","")," ",""))))</f>
        <v/>
      </c>
    </row>
    <row r="1065" customFormat="false" ht="15" hidden="false" customHeight="false" outlineLevel="0" collapsed="false">
      <c r="B1065" s="80"/>
      <c r="C1065" s="58"/>
      <c r="D1065" s="62" t="str">
        <f aca="false">IF(C1065="","",IFERROR(INDEX(T_NOMBRE,MATCH(V1065,T_RUTN,0)),"⚠ RUT no está en Trabajadores"))</f>
        <v/>
      </c>
      <c r="E1065" s="61"/>
      <c r="F1065" s="61"/>
      <c r="G1065" s="61"/>
      <c r="H1065" s="61"/>
      <c r="I1065" s="81"/>
      <c r="J1065" s="81"/>
      <c r="K1065" s="60"/>
      <c r="L1065" s="60"/>
      <c r="M1065" s="60"/>
      <c r="N1065" s="60"/>
      <c r="O1065" s="60"/>
      <c r="P1065" s="60"/>
      <c r="Q1065" s="60"/>
      <c r="R1065" s="58"/>
      <c r="S1065" s="62" t="str">
        <f aca="false">IF(OR(B1065="",V1065=""),"",IFERROR(INDEX(C_TIPO,MATCH(V1065&amp;"-P"&amp;MAX(1,COUNTIFS(C_RUTN,V1065,C_DEF,"Sí",C_INI,"&lt;="&amp;EOMONTH(B1065,0))),C_CLAVE,0))&amp;"","Sin contrato"))</f>
        <v/>
      </c>
      <c r="T1065" s="63" t="str">
        <f aca="false">IF(OR(B1065="",N(O1065)=0),"",N(O1065)+ROUND(MIN(N(N1065),TOPE_UF*UF_MES)*(TASA_EMP+MUTUAL),0)+ROUND(MIN(N(N1065),TOPE_AFC_UF*UF_MES)*IF(S1065="Indefinido",AFC_INDEF,AFC_PF),0))</f>
        <v/>
      </c>
      <c r="U1065" s="62" t="str">
        <f aca="false">IF(C1065="","",IF(LEFT(D1065,1)="⚠","⚠ RUT no registrado en Trabajadores",IF(B1065="","⚠ Falta el mes",IF(OR(ISTEXT(I1065),ISTEXT(J1065)),"⚠ Atrasos u horas extra como texto: escriba hh:mm (ej. 1:30)",IF(AND(ISNUMBER(Q1065),COUNTIFS(M_RUTN,V1065,M_MES,B1065,M_LIQ,"&lt;&gt;")&gt;1),"⚠ Liquidación repetida en el mes",IF(AND(ISNUMBER(O1065),ISNUMBER(P1065),ISNUMBER(Q1065),ABS(O1065-P1065-Q1065)&gt;1),"⚠ Haberes − descuentos no da el líquido","OK"))))))</f>
        <v/>
      </c>
      <c r="V1065" s="62" t="str">
        <f aca="false">IF(C1065="","",IFERROR(VALUE(LEFT(UPPER(SUBSTITUTE(SUBSTITUTE(SUBSTITUTE(TRIM(C1065),".",""),"-","")," ","")),LEN(UPPER(SUBSTITUTE(SUBSTITUTE(SUBSTITUTE(TRIM(C1065),".",""),"-","")," ","")))-1))&amp;RIGHT(UPPER(SUBSTITUTE(SUBSTITUTE(SUBSTITUTE(TRIM(C1065),".",""),"-","")," ","")),1),UPPER(SUBSTITUTE(SUBSTITUTE(SUBSTITUTE(TRIM(C1065),".",""),"-","")," ",""))))</f>
        <v/>
      </c>
    </row>
    <row r="1066" customFormat="false" ht="15" hidden="false" customHeight="false" outlineLevel="0" collapsed="false">
      <c r="B1066" s="80"/>
      <c r="C1066" s="58"/>
      <c r="D1066" s="62" t="str">
        <f aca="false">IF(C1066="","",IFERROR(INDEX(T_NOMBRE,MATCH(V1066,T_RUTN,0)),"⚠ RUT no está en Trabajadores"))</f>
        <v/>
      </c>
      <c r="E1066" s="61"/>
      <c r="F1066" s="61"/>
      <c r="G1066" s="61"/>
      <c r="H1066" s="61"/>
      <c r="I1066" s="81"/>
      <c r="J1066" s="81"/>
      <c r="K1066" s="60"/>
      <c r="L1066" s="60"/>
      <c r="M1066" s="60"/>
      <c r="N1066" s="60"/>
      <c r="O1066" s="60"/>
      <c r="P1066" s="60"/>
      <c r="Q1066" s="60"/>
      <c r="R1066" s="58"/>
      <c r="S1066" s="62" t="str">
        <f aca="false">IF(OR(B1066="",V1066=""),"",IFERROR(INDEX(C_TIPO,MATCH(V1066&amp;"-P"&amp;MAX(1,COUNTIFS(C_RUTN,V1066,C_DEF,"Sí",C_INI,"&lt;="&amp;EOMONTH(B1066,0))),C_CLAVE,0))&amp;"","Sin contrato"))</f>
        <v/>
      </c>
      <c r="T1066" s="63" t="str">
        <f aca="false">IF(OR(B1066="",N(O1066)=0),"",N(O1066)+ROUND(MIN(N(N1066),TOPE_UF*UF_MES)*(TASA_EMP+MUTUAL),0)+ROUND(MIN(N(N1066),TOPE_AFC_UF*UF_MES)*IF(S1066="Indefinido",AFC_INDEF,AFC_PF),0))</f>
        <v/>
      </c>
      <c r="U1066" s="62" t="str">
        <f aca="false">IF(C1066="","",IF(LEFT(D1066,1)="⚠","⚠ RUT no registrado en Trabajadores",IF(B1066="","⚠ Falta el mes",IF(OR(ISTEXT(I1066),ISTEXT(J1066)),"⚠ Atrasos u horas extra como texto: escriba hh:mm (ej. 1:30)",IF(AND(ISNUMBER(Q1066),COUNTIFS(M_RUTN,V1066,M_MES,B1066,M_LIQ,"&lt;&gt;")&gt;1),"⚠ Liquidación repetida en el mes",IF(AND(ISNUMBER(O1066),ISNUMBER(P1066),ISNUMBER(Q1066),ABS(O1066-P1066-Q1066)&gt;1),"⚠ Haberes − descuentos no da el líquido","OK"))))))</f>
        <v/>
      </c>
      <c r="V1066" s="62" t="str">
        <f aca="false">IF(C1066="","",IFERROR(VALUE(LEFT(UPPER(SUBSTITUTE(SUBSTITUTE(SUBSTITUTE(TRIM(C1066),".",""),"-","")," ","")),LEN(UPPER(SUBSTITUTE(SUBSTITUTE(SUBSTITUTE(TRIM(C1066),".",""),"-","")," ","")))-1))&amp;RIGHT(UPPER(SUBSTITUTE(SUBSTITUTE(SUBSTITUTE(TRIM(C1066),".",""),"-","")," ","")),1),UPPER(SUBSTITUTE(SUBSTITUTE(SUBSTITUTE(TRIM(C1066),".",""),"-","")," ",""))))</f>
        <v/>
      </c>
    </row>
    <row r="1067" customFormat="false" ht="15" hidden="false" customHeight="false" outlineLevel="0" collapsed="false">
      <c r="B1067" s="80"/>
      <c r="C1067" s="58"/>
      <c r="D1067" s="62" t="str">
        <f aca="false">IF(C1067="","",IFERROR(INDEX(T_NOMBRE,MATCH(V1067,T_RUTN,0)),"⚠ RUT no está en Trabajadores"))</f>
        <v/>
      </c>
      <c r="E1067" s="61"/>
      <c r="F1067" s="61"/>
      <c r="G1067" s="61"/>
      <c r="H1067" s="61"/>
      <c r="I1067" s="81"/>
      <c r="J1067" s="81"/>
      <c r="K1067" s="60"/>
      <c r="L1067" s="60"/>
      <c r="M1067" s="60"/>
      <c r="N1067" s="60"/>
      <c r="O1067" s="60"/>
      <c r="P1067" s="60"/>
      <c r="Q1067" s="60"/>
      <c r="R1067" s="58"/>
      <c r="S1067" s="62" t="str">
        <f aca="false">IF(OR(B1067="",V1067=""),"",IFERROR(INDEX(C_TIPO,MATCH(V1067&amp;"-P"&amp;MAX(1,COUNTIFS(C_RUTN,V1067,C_DEF,"Sí",C_INI,"&lt;="&amp;EOMONTH(B1067,0))),C_CLAVE,0))&amp;"","Sin contrato"))</f>
        <v/>
      </c>
      <c r="T1067" s="63" t="str">
        <f aca="false">IF(OR(B1067="",N(O1067)=0),"",N(O1067)+ROUND(MIN(N(N1067),TOPE_UF*UF_MES)*(TASA_EMP+MUTUAL),0)+ROUND(MIN(N(N1067),TOPE_AFC_UF*UF_MES)*IF(S1067="Indefinido",AFC_INDEF,AFC_PF),0))</f>
        <v/>
      </c>
      <c r="U1067" s="62" t="str">
        <f aca="false">IF(C1067="","",IF(LEFT(D1067,1)="⚠","⚠ RUT no registrado en Trabajadores",IF(B1067="","⚠ Falta el mes",IF(OR(ISTEXT(I1067),ISTEXT(J1067)),"⚠ Atrasos u horas extra como texto: escriba hh:mm (ej. 1:30)",IF(AND(ISNUMBER(Q1067),COUNTIFS(M_RUTN,V1067,M_MES,B1067,M_LIQ,"&lt;&gt;")&gt;1),"⚠ Liquidación repetida en el mes",IF(AND(ISNUMBER(O1067),ISNUMBER(P1067),ISNUMBER(Q1067),ABS(O1067-P1067-Q1067)&gt;1),"⚠ Haberes − descuentos no da el líquido","OK"))))))</f>
        <v/>
      </c>
      <c r="V1067" s="62" t="str">
        <f aca="false">IF(C1067="","",IFERROR(VALUE(LEFT(UPPER(SUBSTITUTE(SUBSTITUTE(SUBSTITUTE(TRIM(C1067),".",""),"-","")," ","")),LEN(UPPER(SUBSTITUTE(SUBSTITUTE(SUBSTITUTE(TRIM(C1067),".",""),"-","")," ","")))-1))&amp;RIGHT(UPPER(SUBSTITUTE(SUBSTITUTE(SUBSTITUTE(TRIM(C1067),".",""),"-","")," ","")),1),UPPER(SUBSTITUTE(SUBSTITUTE(SUBSTITUTE(TRIM(C1067),".",""),"-","")," ",""))))</f>
        <v/>
      </c>
    </row>
    <row r="1068" customFormat="false" ht="15" hidden="false" customHeight="false" outlineLevel="0" collapsed="false">
      <c r="B1068" s="80"/>
      <c r="C1068" s="58"/>
      <c r="D1068" s="62" t="str">
        <f aca="false">IF(C1068="","",IFERROR(INDEX(T_NOMBRE,MATCH(V1068,T_RUTN,0)),"⚠ RUT no está en Trabajadores"))</f>
        <v/>
      </c>
      <c r="E1068" s="61"/>
      <c r="F1068" s="61"/>
      <c r="G1068" s="61"/>
      <c r="H1068" s="61"/>
      <c r="I1068" s="81"/>
      <c r="J1068" s="81"/>
      <c r="K1068" s="60"/>
      <c r="L1068" s="60"/>
      <c r="M1068" s="60"/>
      <c r="N1068" s="60"/>
      <c r="O1068" s="60"/>
      <c r="P1068" s="60"/>
      <c r="Q1068" s="60"/>
      <c r="R1068" s="58"/>
      <c r="S1068" s="62" t="str">
        <f aca="false">IF(OR(B1068="",V1068=""),"",IFERROR(INDEX(C_TIPO,MATCH(V1068&amp;"-P"&amp;MAX(1,COUNTIFS(C_RUTN,V1068,C_DEF,"Sí",C_INI,"&lt;="&amp;EOMONTH(B1068,0))),C_CLAVE,0))&amp;"","Sin contrato"))</f>
        <v/>
      </c>
      <c r="T1068" s="63" t="str">
        <f aca="false">IF(OR(B1068="",N(O1068)=0),"",N(O1068)+ROUND(MIN(N(N1068),TOPE_UF*UF_MES)*(TASA_EMP+MUTUAL),0)+ROUND(MIN(N(N1068),TOPE_AFC_UF*UF_MES)*IF(S1068="Indefinido",AFC_INDEF,AFC_PF),0))</f>
        <v/>
      </c>
      <c r="U1068" s="62" t="str">
        <f aca="false">IF(C1068="","",IF(LEFT(D1068,1)="⚠","⚠ RUT no registrado en Trabajadores",IF(B1068="","⚠ Falta el mes",IF(OR(ISTEXT(I1068),ISTEXT(J1068)),"⚠ Atrasos u horas extra como texto: escriba hh:mm (ej. 1:30)",IF(AND(ISNUMBER(Q1068),COUNTIFS(M_RUTN,V1068,M_MES,B1068,M_LIQ,"&lt;&gt;")&gt;1),"⚠ Liquidación repetida en el mes",IF(AND(ISNUMBER(O1068),ISNUMBER(P1068),ISNUMBER(Q1068),ABS(O1068-P1068-Q1068)&gt;1),"⚠ Haberes − descuentos no da el líquido","OK"))))))</f>
        <v/>
      </c>
      <c r="V1068" s="62" t="str">
        <f aca="false">IF(C1068="","",IFERROR(VALUE(LEFT(UPPER(SUBSTITUTE(SUBSTITUTE(SUBSTITUTE(TRIM(C1068),".",""),"-","")," ","")),LEN(UPPER(SUBSTITUTE(SUBSTITUTE(SUBSTITUTE(TRIM(C1068),".",""),"-","")," ","")))-1))&amp;RIGHT(UPPER(SUBSTITUTE(SUBSTITUTE(SUBSTITUTE(TRIM(C1068),".",""),"-","")," ","")),1),UPPER(SUBSTITUTE(SUBSTITUTE(SUBSTITUTE(TRIM(C1068),".",""),"-","")," ",""))))</f>
        <v/>
      </c>
    </row>
    <row r="1069" customFormat="false" ht="15" hidden="false" customHeight="false" outlineLevel="0" collapsed="false">
      <c r="B1069" s="80"/>
      <c r="C1069" s="58"/>
      <c r="D1069" s="62" t="str">
        <f aca="false">IF(C1069="","",IFERROR(INDEX(T_NOMBRE,MATCH(V1069,T_RUTN,0)),"⚠ RUT no está en Trabajadores"))</f>
        <v/>
      </c>
      <c r="E1069" s="61"/>
      <c r="F1069" s="61"/>
      <c r="G1069" s="61"/>
      <c r="H1069" s="61"/>
      <c r="I1069" s="81"/>
      <c r="J1069" s="81"/>
      <c r="K1069" s="60"/>
      <c r="L1069" s="60"/>
      <c r="M1069" s="60"/>
      <c r="N1069" s="60"/>
      <c r="O1069" s="60"/>
      <c r="P1069" s="60"/>
      <c r="Q1069" s="60"/>
      <c r="R1069" s="58"/>
      <c r="S1069" s="62" t="str">
        <f aca="false">IF(OR(B1069="",V1069=""),"",IFERROR(INDEX(C_TIPO,MATCH(V1069&amp;"-P"&amp;MAX(1,COUNTIFS(C_RUTN,V1069,C_DEF,"Sí",C_INI,"&lt;="&amp;EOMONTH(B1069,0))),C_CLAVE,0))&amp;"","Sin contrato"))</f>
        <v/>
      </c>
      <c r="T1069" s="63" t="str">
        <f aca="false">IF(OR(B1069="",N(O1069)=0),"",N(O1069)+ROUND(MIN(N(N1069),TOPE_UF*UF_MES)*(TASA_EMP+MUTUAL),0)+ROUND(MIN(N(N1069),TOPE_AFC_UF*UF_MES)*IF(S1069="Indefinido",AFC_INDEF,AFC_PF),0))</f>
        <v/>
      </c>
      <c r="U1069" s="62" t="str">
        <f aca="false">IF(C1069="","",IF(LEFT(D1069,1)="⚠","⚠ RUT no registrado en Trabajadores",IF(B1069="","⚠ Falta el mes",IF(OR(ISTEXT(I1069),ISTEXT(J1069)),"⚠ Atrasos u horas extra como texto: escriba hh:mm (ej. 1:30)",IF(AND(ISNUMBER(Q1069),COUNTIFS(M_RUTN,V1069,M_MES,B1069,M_LIQ,"&lt;&gt;")&gt;1),"⚠ Liquidación repetida en el mes",IF(AND(ISNUMBER(O1069),ISNUMBER(P1069),ISNUMBER(Q1069),ABS(O1069-P1069-Q1069)&gt;1),"⚠ Haberes − descuentos no da el líquido","OK"))))))</f>
        <v/>
      </c>
      <c r="V1069" s="62" t="str">
        <f aca="false">IF(C1069="","",IFERROR(VALUE(LEFT(UPPER(SUBSTITUTE(SUBSTITUTE(SUBSTITUTE(TRIM(C1069),".",""),"-","")," ","")),LEN(UPPER(SUBSTITUTE(SUBSTITUTE(SUBSTITUTE(TRIM(C1069),".",""),"-","")," ","")))-1))&amp;RIGHT(UPPER(SUBSTITUTE(SUBSTITUTE(SUBSTITUTE(TRIM(C1069),".",""),"-","")," ","")),1),UPPER(SUBSTITUTE(SUBSTITUTE(SUBSTITUTE(TRIM(C1069),".",""),"-","")," ",""))))</f>
        <v/>
      </c>
    </row>
    <row r="1070" customFormat="false" ht="15" hidden="false" customHeight="false" outlineLevel="0" collapsed="false">
      <c r="B1070" s="80"/>
      <c r="C1070" s="58"/>
      <c r="D1070" s="62" t="str">
        <f aca="false">IF(C1070="","",IFERROR(INDEX(T_NOMBRE,MATCH(V1070,T_RUTN,0)),"⚠ RUT no está en Trabajadores"))</f>
        <v/>
      </c>
      <c r="E1070" s="61"/>
      <c r="F1070" s="61"/>
      <c r="G1070" s="61"/>
      <c r="H1070" s="61"/>
      <c r="I1070" s="81"/>
      <c r="J1070" s="81"/>
      <c r="K1070" s="60"/>
      <c r="L1070" s="60"/>
      <c r="M1070" s="60"/>
      <c r="N1070" s="60"/>
      <c r="O1070" s="60"/>
      <c r="P1070" s="60"/>
      <c r="Q1070" s="60"/>
      <c r="R1070" s="58"/>
      <c r="S1070" s="62" t="str">
        <f aca="false">IF(OR(B1070="",V1070=""),"",IFERROR(INDEX(C_TIPO,MATCH(V1070&amp;"-P"&amp;MAX(1,COUNTIFS(C_RUTN,V1070,C_DEF,"Sí",C_INI,"&lt;="&amp;EOMONTH(B1070,0))),C_CLAVE,0))&amp;"","Sin contrato"))</f>
        <v/>
      </c>
      <c r="T1070" s="63" t="str">
        <f aca="false">IF(OR(B1070="",N(O1070)=0),"",N(O1070)+ROUND(MIN(N(N1070),TOPE_UF*UF_MES)*(TASA_EMP+MUTUAL),0)+ROUND(MIN(N(N1070),TOPE_AFC_UF*UF_MES)*IF(S1070="Indefinido",AFC_INDEF,AFC_PF),0))</f>
        <v/>
      </c>
      <c r="U1070" s="62" t="str">
        <f aca="false">IF(C1070="","",IF(LEFT(D1070,1)="⚠","⚠ RUT no registrado en Trabajadores",IF(B1070="","⚠ Falta el mes",IF(OR(ISTEXT(I1070),ISTEXT(J1070)),"⚠ Atrasos u horas extra como texto: escriba hh:mm (ej. 1:30)",IF(AND(ISNUMBER(Q1070),COUNTIFS(M_RUTN,V1070,M_MES,B1070,M_LIQ,"&lt;&gt;")&gt;1),"⚠ Liquidación repetida en el mes",IF(AND(ISNUMBER(O1070),ISNUMBER(P1070),ISNUMBER(Q1070),ABS(O1070-P1070-Q1070)&gt;1),"⚠ Haberes − descuentos no da el líquido","OK"))))))</f>
        <v/>
      </c>
      <c r="V1070" s="62" t="str">
        <f aca="false">IF(C1070="","",IFERROR(VALUE(LEFT(UPPER(SUBSTITUTE(SUBSTITUTE(SUBSTITUTE(TRIM(C1070),".",""),"-","")," ","")),LEN(UPPER(SUBSTITUTE(SUBSTITUTE(SUBSTITUTE(TRIM(C1070),".",""),"-","")," ","")))-1))&amp;RIGHT(UPPER(SUBSTITUTE(SUBSTITUTE(SUBSTITUTE(TRIM(C1070),".",""),"-","")," ","")),1),UPPER(SUBSTITUTE(SUBSTITUTE(SUBSTITUTE(TRIM(C1070),".",""),"-","")," ",""))))</f>
        <v/>
      </c>
    </row>
    <row r="1071" customFormat="false" ht="15" hidden="false" customHeight="false" outlineLevel="0" collapsed="false">
      <c r="B1071" s="80"/>
      <c r="C1071" s="58"/>
      <c r="D1071" s="62" t="str">
        <f aca="false">IF(C1071="","",IFERROR(INDEX(T_NOMBRE,MATCH(V1071,T_RUTN,0)),"⚠ RUT no está en Trabajadores"))</f>
        <v/>
      </c>
      <c r="E1071" s="61"/>
      <c r="F1071" s="61"/>
      <c r="G1071" s="61"/>
      <c r="H1071" s="61"/>
      <c r="I1071" s="81"/>
      <c r="J1071" s="81"/>
      <c r="K1071" s="60"/>
      <c r="L1071" s="60"/>
      <c r="M1071" s="60"/>
      <c r="N1071" s="60"/>
      <c r="O1071" s="60"/>
      <c r="P1071" s="60"/>
      <c r="Q1071" s="60"/>
      <c r="R1071" s="58"/>
      <c r="S1071" s="62" t="str">
        <f aca="false">IF(OR(B1071="",V1071=""),"",IFERROR(INDEX(C_TIPO,MATCH(V1071&amp;"-P"&amp;MAX(1,COUNTIFS(C_RUTN,V1071,C_DEF,"Sí",C_INI,"&lt;="&amp;EOMONTH(B1071,0))),C_CLAVE,0))&amp;"","Sin contrato"))</f>
        <v/>
      </c>
      <c r="T1071" s="63" t="str">
        <f aca="false">IF(OR(B1071="",N(O1071)=0),"",N(O1071)+ROUND(MIN(N(N1071),TOPE_UF*UF_MES)*(TASA_EMP+MUTUAL),0)+ROUND(MIN(N(N1071),TOPE_AFC_UF*UF_MES)*IF(S1071="Indefinido",AFC_INDEF,AFC_PF),0))</f>
        <v/>
      </c>
      <c r="U1071" s="62" t="str">
        <f aca="false">IF(C1071="","",IF(LEFT(D1071,1)="⚠","⚠ RUT no registrado en Trabajadores",IF(B1071="","⚠ Falta el mes",IF(OR(ISTEXT(I1071),ISTEXT(J1071)),"⚠ Atrasos u horas extra como texto: escriba hh:mm (ej. 1:30)",IF(AND(ISNUMBER(Q1071),COUNTIFS(M_RUTN,V1071,M_MES,B1071,M_LIQ,"&lt;&gt;")&gt;1),"⚠ Liquidación repetida en el mes",IF(AND(ISNUMBER(O1071),ISNUMBER(P1071),ISNUMBER(Q1071),ABS(O1071-P1071-Q1071)&gt;1),"⚠ Haberes − descuentos no da el líquido","OK"))))))</f>
        <v/>
      </c>
      <c r="V1071" s="62" t="str">
        <f aca="false">IF(C1071="","",IFERROR(VALUE(LEFT(UPPER(SUBSTITUTE(SUBSTITUTE(SUBSTITUTE(TRIM(C1071),".",""),"-","")," ","")),LEN(UPPER(SUBSTITUTE(SUBSTITUTE(SUBSTITUTE(TRIM(C1071),".",""),"-","")," ","")))-1))&amp;RIGHT(UPPER(SUBSTITUTE(SUBSTITUTE(SUBSTITUTE(TRIM(C1071),".",""),"-","")," ","")),1),UPPER(SUBSTITUTE(SUBSTITUTE(SUBSTITUTE(TRIM(C1071),".",""),"-","")," ",""))))</f>
        <v/>
      </c>
    </row>
    <row r="1072" customFormat="false" ht="15" hidden="false" customHeight="false" outlineLevel="0" collapsed="false">
      <c r="B1072" s="80"/>
      <c r="C1072" s="58"/>
      <c r="D1072" s="62" t="str">
        <f aca="false">IF(C1072="","",IFERROR(INDEX(T_NOMBRE,MATCH(V1072,T_RUTN,0)),"⚠ RUT no está en Trabajadores"))</f>
        <v/>
      </c>
      <c r="E1072" s="61"/>
      <c r="F1072" s="61"/>
      <c r="G1072" s="61"/>
      <c r="H1072" s="61"/>
      <c r="I1072" s="81"/>
      <c r="J1072" s="81"/>
      <c r="K1072" s="60"/>
      <c r="L1072" s="60"/>
      <c r="M1072" s="60"/>
      <c r="N1072" s="60"/>
      <c r="O1072" s="60"/>
      <c r="P1072" s="60"/>
      <c r="Q1072" s="60"/>
      <c r="R1072" s="58"/>
      <c r="S1072" s="62" t="str">
        <f aca="false">IF(OR(B1072="",V1072=""),"",IFERROR(INDEX(C_TIPO,MATCH(V1072&amp;"-P"&amp;MAX(1,COUNTIFS(C_RUTN,V1072,C_DEF,"Sí",C_INI,"&lt;="&amp;EOMONTH(B1072,0))),C_CLAVE,0))&amp;"","Sin contrato"))</f>
        <v/>
      </c>
      <c r="T1072" s="63" t="str">
        <f aca="false">IF(OR(B1072="",N(O1072)=0),"",N(O1072)+ROUND(MIN(N(N1072),TOPE_UF*UF_MES)*(TASA_EMP+MUTUAL),0)+ROUND(MIN(N(N1072),TOPE_AFC_UF*UF_MES)*IF(S1072="Indefinido",AFC_INDEF,AFC_PF),0))</f>
        <v/>
      </c>
      <c r="U1072" s="62" t="str">
        <f aca="false">IF(C1072="","",IF(LEFT(D1072,1)="⚠","⚠ RUT no registrado en Trabajadores",IF(B1072="","⚠ Falta el mes",IF(OR(ISTEXT(I1072),ISTEXT(J1072)),"⚠ Atrasos u horas extra como texto: escriba hh:mm (ej. 1:30)",IF(AND(ISNUMBER(Q1072),COUNTIFS(M_RUTN,V1072,M_MES,B1072,M_LIQ,"&lt;&gt;")&gt;1),"⚠ Liquidación repetida en el mes",IF(AND(ISNUMBER(O1072),ISNUMBER(P1072),ISNUMBER(Q1072),ABS(O1072-P1072-Q1072)&gt;1),"⚠ Haberes − descuentos no da el líquido","OK"))))))</f>
        <v/>
      </c>
      <c r="V1072" s="62" t="str">
        <f aca="false">IF(C1072="","",IFERROR(VALUE(LEFT(UPPER(SUBSTITUTE(SUBSTITUTE(SUBSTITUTE(TRIM(C1072),".",""),"-","")," ","")),LEN(UPPER(SUBSTITUTE(SUBSTITUTE(SUBSTITUTE(TRIM(C1072),".",""),"-","")," ","")))-1))&amp;RIGHT(UPPER(SUBSTITUTE(SUBSTITUTE(SUBSTITUTE(TRIM(C1072),".",""),"-","")," ","")),1),UPPER(SUBSTITUTE(SUBSTITUTE(SUBSTITUTE(TRIM(C1072),".",""),"-","")," ",""))))</f>
        <v/>
      </c>
    </row>
    <row r="1073" customFormat="false" ht="15" hidden="false" customHeight="false" outlineLevel="0" collapsed="false">
      <c r="B1073" s="80"/>
      <c r="C1073" s="58"/>
      <c r="D1073" s="62" t="str">
        <f aca="false">IF(C1073="","",IFERROR(INDEX(T_NOMBRE,MATCH(V1073,T_RUTN,0)),"⚠ RUT no está en Trabajadores"))</f>
        <v/>
      </c>
      <c r="E1073" s="61"/>
      <c r="F1073" s="61"/>
      <c r="G1073" s="61"/>
      <c r="H1073" s="61"/>
      <c r="I1073" s="81"/>
      <c r="J1073" s="81"/>
      <c r="K1073" s="60"/>
      <c r="L1073" s="60"/>
      <c r="M1073" s="60"/>
      <c r="N1073" s="60"/>
      <c r="O1073" s="60"/>
      <c r="P1073" s="60"/>
      <c r="Q1073" s="60"/>
      <c r="R1073" s="58"/>
      <c r="S1073" s="62" t="str">
        <f aca="false">IF(OR(B1073="",V1073=""),"",IFERROR(INDEX(C_TIPO,MATCH(V1073&amp;"-P"&amp;MAX(1,COUNTIFS(C_RUTN,V1073,C_DEF,"Sí",C_INI,"&lt;="&amp;EOMONTH(B1073,0))),C_CLAVE,0))&amp;"","Sin contrato"))</f>
        <v/>
      </c>
      <c r="T1073" s="63" t="str">
        <f aca="false">IF(OR(B1073="",N(O1073)=0),"",N(O1073)+ROUND(MIN(N(N1073),TOPE_UF*UF_MES)*(TASA_EMP+MUTUAL),0)+ROUND(MIN(N(N1073),TOPE_AFC_UF*UF_MES)*IF(S1073="Indefinido",AFC_INDEF,AFC_PF),0))</f>
        <v/>
      </c>
      <c r="U1073" s="62" t="str">
        <f aca="false">IF(C1073="","",IF(LEFT(D1073,1)="⚠","⚠ RUT no registrado en Trabajadores",IF(B1073="","⚠ Falta el mes",IF(OR(ISTEXT(I1073),ISTEXT(J1073)),"⚠ Atrasos u horas extra como texto: escriba hh:mm (ej. 1:30)",IF(AND(ISNUMBER(Q1073),COUNTIFS(M_RUTN,V1073,M_MES,B1073,M_LIQ,"&lt;&gt;")&gt;1),"⚠ Liquidación repetida en el mes",IF(AND(ISNUMBER(O1073),ISNUMBER(P1073),ISNUMBER(Q1073),ABS(O1073-P1073-Q1073)&gt;1),"⚠ Haberes − descuentos no da el líquido","OK"))))))</f>
        <v/>
      </c>
      <c r="V1073" s="62" t="str">
        <f aca="false">IF(C1073="","",IFERROR(VALUE(LEFT(UPPER(SUBSTITUTE(SUBSTITUTE(SUBSTITUTE(TRIM(C1073),".",""),"-","")," ","")),LEN(UPPER(SUBSTITUTE(SUBSTITUTE(SUBSTITUTE(TRIM(C1073),".",""),"-","")," ","")))-1))&amp;RIGHT(UPPER(SUBSTITUTE(SUBSTITUTE(SUBSTITUTE(TRIM(C1073),".",""),"-","")," ","")),1),UPPER(SUBSTITUTE(SUBSTITUTE(SUBSTITUTE(TRIM(C1073),".",""),"-","")," ",""))))</f>
        <v/>
      </c>
    </row>
    <row r="1074" customFormat="false" ht="15" hidden="false" customHeight="false" outlineLevel="0" collapsed="false">
      <c r="B1074" s="80"/>
      <c r="C1074" s="58"/>
      <c r="D1074" s="62" t="str">
        <f aca="false">IF(C1074="","",IFERROR(INDEX(T_NOMBRE,MATCH(V1074,T_RUTN,0)),"⚠ RUT no está en Trabajadores"))</f>
        <v/>
      </c>
      <c r="E1074" s="61"/>
      <c r="F1074" s="61"/>
      <c r="G1074" s="61"/>
      <c r="H1074" s="61"/>
      <c r="I1074" s="81"/>
      <c r="J1074" s="81"/>
      <c r="K1074" s="60"/>
      <c r="L1074" s="60"/>
      <c r="M1074" s="60"/>
      <c r="N1074" s="60"/>
      <c r="O1074" s="60"/>
      <c r="P1074" s="60"/>
      <c r="Q1074" s="60"/>
      <c r="R1074" s="58"/>
      <c r="S1074" s="62" t="str">
        <f aca="false">IF(OR(B1074="",V1074=""),"",IFERROR(INDEX(C_TIPO,MATCH(V1074&amp;"-P"&amp;MAX(1,COUNTIFS(C_RUTN,V1074,C_DEF,"Sí",C_INI,"&lt;="&amp;EOMONTH(B1074,0))),C_CLAVE,0))&amp;"","Sin contrato"))</f>
        <v/>
      </c>
      <c r="T1074" s="63" t="str">
        <f aca="false">IF(OR(B1074="",N(O1074)=0),"",N(O1074)+ROUND(MIN(N(N1074),TOPE_UF*UF_MES)*(TASA_EMP+MUTUAL),0)+ROUND(MIN(N(N1074),TOPE_AFC_UF*UF_MES)*IF(S1074="Indefinido",AFC_INDEF,AFC_PF),0))</f>
        <v/>
      </c>
      <c r="U1074" s="62" t="str">
        <f aca="false">IF(C1074="","",IF(LEFT(D1074,1)="⚠","⚠ RUT no registrado en Trabajadores",IF(B1074="","⚠ Falta el mes",IF(OR(ISTEXT(I1074),ISTEXT(J1074)),"⚠ Atrasos u horas extra como texto: escriba hh:mm (ej. 1:30)",IF(AND(ISNUMBER(Q1074),COUNTIFS(M_RUTN,V1074,M_MES,B1074,M_LIQ,"&lt;&gt;")&gt;1),"⚠ Liquidación repetida en el mes",IF(AND(ISNUMBER(O1074),ISNUMBER(P1074),ISNUMBER(Q1074),ABS(O1074-P1074-Q1074)&gt;1),"⚠ Haberes − descuentos no da el líquido","OK"))))))</f>
        <v/>
      </c>
      <c r="V1074" s="62" t="str">
        <f aca="false">IF(C1074="","",IFERROR(VALUE(LEFT(UPPER(SUBSTITUTE(SUBSTITUTE(SUBSTITUTE(TRIM(C1074),".",""),"-","")," ","")),LEN(UPPER(SUBSTITUTE(SUBSTITUTE(SUBSTITUTE(TRIM(C1074),".",""),"-","")," ","")))-1))&amp;RIGHT(UPPER(SUBSTITUTE(SUBSTITUTE(SUBSTITUTE(TRIM(C1074),".",""),"-","")," ","")),1),UPPER(SUBSTITUTE(SUBSTITUTE(SUBSTITUTE(TRIM(C1074),".",""),"-","")," ",""))))</f>
        <v/>
      </c>
    </row>
    <row r="1075" customFormat="false" ht="15" hidden="false" customHeight="false" outlineLevel="0" collapsed="false">
      <c r="B1075" s="80"/>
      <c r="C1075" s="58"/>
      <c r="D1075" s="62" t="str">
        <f aca="false">IF(C1075="","",IFERROR(INDEX(T_NOMBRE,MATCH(V1075,T_RUTN,0)),"⚠ RUT no está en Trabajadores"))</f>
        <v/>
      </c>
      <c r="E1075" s="61"/>
      <c r="F1075" s="61"/>
      <c r="G1075" s="61"/>
      <c r="H1075" s="61"/>
      <c r="I1075" s="81"/>
      <c r="J1075" s="81"/>
      <c r="K1075" s="60"/>
      <c r="L1075" s="60"/>
      <c r="M1075" s="60"/>
      <c r="N1075" s="60"/>
      <c r="O1075" s="60"/>
      <c r="P1075" s="60"/>
      <c r="Q1075" s="60"/>
      <c r="R1075" s="58"/>
      <c r="S1075" s="62" t="str">
        <f aca="false">IF(OR(B1075="",V1075=""),"",IFERROR(INDEX(C_TIPO,MATCH(V1075&amp;"-P"&amp;MAX(1,COUNTIFS(C_RUTN,V1075,C_DEF,"Sí",C_INI,"&lt;="&amp;EOMONTH(B1075,0))),C_CLAVE,0))&amp;"","Sin contrato"))</f>
        <v/>
      </c>
      <c r="T1075" s="63" t="str">
        <f aca="false">IF(OR(B1075="",N(O1075)=0),"",N(O1075)+ROUND(MIN(N(N1075),TOPE_UF*UF_MES)*(TASA_EMP+MUTUAL),0)+ROUND(MIN(N(N1075),TOPE_AFC_UF*UF_MES)*IF(S1075="Indefinido",AFC_INDEF,AFC_PF),0))</f>
        <v/>
      </c>
      <c r="U1075" s="62" t="str">
        <f aca="false">IF(C1075="","",IF(LEFT(D1075,1)="⚠","⚠ RUT no registrado en Trabajadores",IF(B1075="","⚠ Falta el mes",IF(OR(ISTEXT(I1075),ISTEXT(J1075)),"⚠ Atrasos u horas extra como texto: escriba hh:mm (ej. 1:30)",IF(AND(ISNUMBER(Q1075),COUNTIFS(M_RUTN,V1075,M_MES,B1075,M_LIQ,"&lt;&gt;")&gt;1),"⚠ Liquidación repetida en el mes",IF(AND(ISNUMBER(O1075),ISNUMBER(P1075),ISNUMBER(Q1075),ABS(O1075-P1075-Q1075)&gt;1),"⚠ Haberes − descuentos no da el líquido","OK"))))))</f>
        <v/>
      </c>
      <c r="V1075" s="62" t="str">
        <f aca="false">IF(C1075="","",IFERROR(VALUE(LEFT(UPPER(SUBSTITUTE(SUBSTITUTE(SUBSTITUTE(TRIM(C1075),".",""),"-","")," ","")),LEN(UPPER(SUBSTITUTE(SUBSTITUTE(SUBSTITUTE(TRIM(C1075),".",""),"-","")," ","")))-1))&amp;RIGHT(UPPER(SUBSTITUTE(SUBSTITUTE(SUBSTITUTE(TRIM(C1075),".",""),"-","")," ","")),1),UPPER(SUBSTITUTE(SUBSTITUTE(SUBSTITUTE(TRIM(C1075),".",""),"-","")," ",""))))</f>
        <v/>
      </c>
    </row>
    <row r="1076" customFormat="false" ht="15" hidden="false" customHeight="false" outlineLevel="0" collapsed="false">
      <c r="B1076" s="80"/>
      <c r="C1076" s="58"/>
      <c r="D1076" s="62" t="str">
        <f aca="false">IF(C1076="","",IFERROR(INDEX(T_NOMBRE,MATCH(V1076,T_RUTN,0)),"⚠ RUT no está en Trabajadores"))</f>
        <v/>
      </c>
      <c r="E1076" s="61"/>
      <c r="F1076" s="61"/>
      <c r="G1076" s="61"/>
      <c r="H1076" s="61"/>
      <c r="I1076" s="81"/>
      <c r="J1076" s="81"/>
      <c r="K1076" s="60"/>
      <c r="L1076" s="60"/>
      <c r="M1076" s="60"/>
      <c r="N1076" s="60"/>
      <c r="O1076" s="60"/>
      <c r="P1076" s="60"/>
      <c r="Q1076" s="60"/>
      <c r="R1076" s="58"/>
      <c r="S1076" s="62" t="str">
        <f aca="false">IF(OR(B1076="",V1076=""),"",IFERROR(INDEX(C_TIPO,MATCH(V1076&amp;"-P"&amp;MAX(1,COUNTIFS(C_RUTN,V1076,C_DEF,"Sí",C_INI,"&lt;="&amp;EOMONTH(B1076,0))),C_CLAVE,0))&amp;"","Sin contrato"))</f>
        <v/>
      </c>
      <c r="T1076" s="63" t="str">
        <f aca="false">IF(OR(B1076="",N(O1076)=0),"",N(O1076)+ROUND(MIN(N(N1076),TOPE_UF*UF_MES)*(TASA_EMP+MUTUAL),0)+ROUND(MIN(N(N1076),TOPE_AFC_UF*UF_MES)*IF(S1076="Indefinido",AFC_INDEF,AFC_PF),0))</f>
        <v/>
      </c>
      <c r="U1076" s="62" t="str">
        <f aca="false">IF(C1076="","",IF(LEFT(D1076,1)="⚠","⚠ RUT no registrado en Trabajadores",IF(B1076="","⚠ Falta el mes",IF(OR(ISTEXT(I1076),ISTEXT(J1076)),"⚠ Atrasos u horas extra como texto: escriba hh:mm (ej. 1:30)",IF(AND(ISNUMBER(Q1076),COUNTIFS(M_RUTN,V1076,M_MES,B1076,M_LIQ,"&lt;&gt;")&gt;1),"⚠ Liquidación repetida en el mes",IF(AND(ISNUMBER(O1076),ISNUMBER(P1076),ISNUMBER(Q1076),ABS(O1076-P1076-Q1076)&gt;1),"⚠ Haberes − descuentos no da el líquido","OK"))))))</f>
        <v/>
      </c>
      <c r="V1076" s="62" t="str">
        <f aca="false">IF(C1076="","",IFERROR(VALUE(LEFT(UPPER(SUBSTITUTE(SUBSTITUTE(SUBSTITUTE(TRIM(C1076),".",""),"-","")," ","")),LEN(UPPER(SUBSTITUTE(SUBSTITUTE(SUBSTITUTE(TRIM(C1076),".",""),"-","")," ","")))-1))&amp;RIGHT(UPPER(SUBSTITUTE(SUBSTITUTE(SUBSTITUTE(TRIM(C1076),".",""),"-","")," ","")),1),UPPER(SUBSTITUTE(SUBSTITUTE(SUBSTITUTE(TRIM(C1076),".",""),"-","")," ",""))))</f>
        <v/>
      </c>
    </row>
    <row r="1077" customFormat="false" ht="15" hidden="false" customHeight="false" outlineLevel="0" collapsed="false">
      <c r="B1077" s="80"/>
      <c r="C1077" s="58"/>
      <c r="D1077" s="62" t="str">
        <f aca="false">IF(C1077="","",IFERROR(INDEX(T_NOMBRE,MATCH(V1077,T_RUTN,0)),"⚠ RUT no está en Trabajadores"))</f>
        <v/>
      </c>
      <c r="E1077" s="61"/>
      <c r="F1077" s="61"/>
      <c r="G1077" s="61"/>
      <c r="H1077" s="61"/>
      <c r="I1077" s="81"/>
      <c r="J1077" s="81"/>
      <c r="K1077" s="60"/>
      <c r="L1077" s="60"/>
      <c r="M1077" s="60"/>
      <c r="N1077" s="60"/>
      <c r="O1077" s="60"/>
      <c r="P1077" s="60"/>
      <c r="Q1077" s="60"/>
      <c r="R1077" s="58"/>
      <c r="S1077" s="62" t="str">
        <f aca="false">IF(OR(B1077="",V1077=""),"",IFERROR(INDEX(C_TIPO,MATCH(V1077&amp;"-P"&amp;MAX(1,COUNTIFS(C_RUTN,V1077,C_DEF,"Sí",C_INI,"&lt;="&amp;EOMONTH(B1077,0))),C_CLAVE,0))&amp;"","Sin contrato"))</f>
        <v/>
      </c>
      <c r="T1077" s="63" t="str">
        <f aca="false">IF(OR(B1077="",N(O1077)=0),"",N(O1077)+ROUND(MIN(N(N1077),TOPE_UF*UF_MES)*(TASA_EMP+MUTUAL),0)+ROUND(MIN(N(N1077),TOPE_AFC_UF*UF_MES)*IF(S1077="Indefinido",AFC_INDEF,AFC_PF),0))</f>
        <v/>
      </c>
      <c r="U1077" s="62" t="str">
        <f aca="false">IF(C1077="","",IF(LEFT(D1077,1)="⚠","⚠ RUT no registrado en Trabajadores",IF(B1077="","⚠ Falta el mes",IF(OR(ISTEXT(I1077),ISTEXT(J1077)),"⚠ Atrasos u horas extra como texto: escriba hh:mm (ej. 1:30)",IF(AND(ISNUMBER(Q1077),COUNTIFS(M_RUTN,V1077,M_MES,B1077,M_LIQ,"&lt;&gt;")&gt;1),"⚠ Liquidación repetida en el mes",IF(AND(ISNUMBER(O1077),ISNUMBER(P1077),ISNUMBER(Q1077),ABS(O1077-P1077-Q1077)&gt;1),"⚠ Haberes − descuentos no da el líquido","OK"))))))</f>
        <v/>
      </c>
      <c r="V1077" s="62" t="str">
        <f aca="false">IF(C1077="","",IFERROR(VALUE(LEFT(UPPER(SUBSTITUTE(SUBSTITUTE(SUBSTITUTE(TRIM(C1077),".",""),"-","")," ","")),LEN(UPPER(SUBSTITUTE(SUBSTITUTE(SUBSTITUTE(TRIM(C1077),".",""),"-","")," ","")))-1))&amp;RIGHT(UPPER(SUBSTITUTE(SUBSTITUTE(SUBSTITUTE(TRIM(C1077),".",""),"-","")," ","")),1),UPPER(SUBSTITUTE(SUBSTITUTE(SUBSTITUTE(TRIM(C1077),".",""),"-","")," ",""))))</f>
        <v/>
      </c>
    </row>
    <row r="1078" customFormat="false" ht="15" hidden="false" customHeight="false" outlineLevel="0" collapsed="false">
      <c r="B1078" s="80"/>
      <c r="C1078" s="58"/>
      <c r="D1078" s="62" t="str">
        <f aca="false">IF(C1078="","",IFERROR(INDEX(T_NOMBRE,MATCH(V1078,T_RUTN,0)),"⚠ RUT no está en Trabajadores"))</f>
        <v/>
      </c>
      <c r="E1078" s="61"/>
      <c r="F1078" s="61"/>
      <c r="G1078" s="61"/>
      <c r="H1078" s="61"/>
      <c r="I1078" s="81"/>
      <c r="J1078" s="81"/>
      <c r="K1078" s="60"/>
      <c r="L1078" s="60"/>
      <c r="M1078" s="60"/>
      <c r="N1078" s="60"/>
      <c r="O1078" s="60"/>
      <c r="P1078" s="60"/>
      <c r="Q1078" s="60"/>
      <c r="R1078" s="58"/>
      <c r="S1078" s="62" t="str">
        <f aca="false">IF(OR(B1078="",V1078=""),"",IFERROR(INDEX(C_TIPO,MATCH(V1078&amp;"-P"&amp;MAX(1,COUNTIFS(C_RUTN,V1078,C_DEF,"Sí",C_INI,"&lt;="&amp;EOMONTH(B1078,0))),C_CLAVE,0))&amp;"","Sin contrato"))</f>
        <v/>
      </c>
      <c r="T1078" s="63" t="str">
        <f aca="false">IF(OR(B1078="",N(O1078)=0),"",N(O1078)+ROUND(MIN(N(N1078),TOPE_UF*UF_MES)*(TASA_EMP+MUTUAL),0)+ROUND(MIN(N(N1078),TOPE_AFC_UF*UF_MES)*IF(S1078="Indefinido",AFC_INDEF,AFC_PF),0))</f>
        <v/>
      </c>
      <c r="U1078" s="62" t="str">
        <f aca="false">IF(C1078="","",IF(LEFT(D1078,1)="⚠","⚠ RUT no registrado en Trabajadores",IF(B1078="","⚠ Falta el mes",IF(OR(ISTEXT(I1078),ISTEXT(J1078)),"⚠ Atrasos u horas extra como texto: escriba hh:mm (ej. 1:30)",IF(AND(ISNUMBER(Q1078),COUNTIFS(M_RUTN,V1078,M_MES,B1078,M_LIQ,"&lt;&gt;")&gt;1),"⚠ Liquidación repetida en el mes",IF(AND(ISNUMBER(O1078),ISNUMBER(P1078),ISNUMBER(Q1078),ABS(O1078-P1078-Q1078)&gt;1),"⚠ Haberes − descuentos no da el líquido","OK"))))))</f>
        <v/>
      </c>
      <c r="V1078" s="62" t="str">
        <f aca="false">IF(C1078="","",IFERROR(VALUE(LEFT(UPPER(SUBSTITUTE(SUBSTITUTE(SUBSTITUTE(TRIM(C1078),".",""),"-","")," ","")),LEN(UPPER(SUBSTITUTE(SUBSTITUTE(SUBSTITUTE(TRIM(C1078),".",""),"-","")," ","")))-1))&amp;RIGHT(UPPER(SUBSTITUTE(SUBSTITUTE(SUBSTITUTE(TRIM(C1078),".",""),"-","")," ","")),1),UPPER(SUBSTITUTE(SUBSTITUTE(SUBSTITUTE(TRIM(C1078),".",""),"-","")," ",""))))</f>
        <v/>
      </c>
    </row>
    <row r="1079" customFormat="false" ht="15" hidden="false" customHeight="false" outlineLevel="0" collapsed="false">
      <c r="B1079" s="80"/>
      <c r="C1079" s="58"/>
      <c r="D1079" s="62" t="str">
        <f aca="false">IF(C1079="","",IFERROR(INDEX(T_NOMBRE,MATCH(V1079,T_RUTN,0)),"⚠ RUT no está en Trabajadores"))</f>
        <v/>
      </c>
      <c r="E1079" s="61"/>
      <c r="F1079" s="61"/>
      <c r="G1079" s="61"/>
      <c r="H1079" s="61"/>
      <c r="I1079" s="81"/>
      <c r="J1079" s="81"/>
      <c r="K1079" s="60"/>
      <c r="L1079" s="60"/>
      <c r="M1079" s="60"/>
      <c r="N1079" s="60"/>
      <c r="O1079" s="60"/>
      <c r="P1079" s="60"/>
      <c r="Q1079" s="60"/>
      <c r="R1079" s="58"/>
      <c r="S1079" s="62" t="str">
        <f aca="false">IF(OR(B1079="",V1079=""),"",IFERROR(INDEX(C_TIPO,MATCH(V1079&amp;"-P"&amp;MAX(1,COUNTIFS(C_RUTN,V1079,C_DEF,"Sí",C_INI,"&lt;="&amp;EOMONTH(B1079,0))),C_CLAVE,0))&amp;"","Sin contrato"))</f>
        <v/>
      </c>
      <c r="T1079" s="63" t="str">
        <f aca="false">IF(OR(B1079="",N(O1079)=0),"",N(O1079)+ROUND(MIN(N(N1079),TOPE_UF*UF_MES)*(TASA_EMP+MUTUAL),0)+ROUND(MIN(N(N1079),TOPE_AFC_UF*UF_MES)*IF(S1079="Indefinido",AFC_INDEF,AFC_PF),0))</f>
        <v/>
      </c>
      <c r="U1079" s="62" t="str">
        <f aca="false">IF(C1079="","",IF(LEFT(D1079,1)="⚠","⚠ RUT no registrado en Trabajadores",IF(B1079="","⚠ Falta el mes",IF(OR(ISTEXT(I1079),ISTEXT(J1079)),"⚠ Atrasos u horas extra como texto: escriba hh:mm (ej. 1:30)",IF(AND(ISNUMBER(Q1079),COUNTIFS(M_RUTN,V1079,M_MES,B1079,M_LIQ,"&lt;&gt;")&gt;1),"⚠ Liquidación repetida en el mes",IF(AND(ISNUMBER(O1079),ISNUMBER(P1079),ISNUMBER(Q1079),ABS(O1079-P1079-Q1079)&gt;1),"⚠ Haberes − descuentos no da el líquido","OK"))))))</f>
        <v/>
      </c>
      <c r="V1079" s="62" t="str">
        <f aca="false">IF(C1079="","",IFERROR(VALUE(LEFT(UPPER(SUBSTITUTE(SUBSTITUTE(SUBSTITUTE(TRIM(C1079),".",""),"-","")," ","")),LEN(UPPER(SUBSTITUTE(SUBSTITUTE(SUBSTITUTE(TRIM(C1079),".",""),"-","")," ","")))-1))&amp;RIGHT(UPPER(SUBSTITUTE(SUBSTITUTE(SUBSTITUTE(TRIM(C1079),".",""),"-","")," ","")),1),UPPER(SUBSTITUTE(SUBSTITUTE(SUBSTITUTE(TRIM(C1079),".",""),"-","")," ",""))))</f>
        <v/>
      </c>
    </row>
    <row r="1080" customFormat="false" ht="15" hidden="false" customHeight="false" outlineLevel="0" collapsed="false">
      <c r="B1080" s="80"/>
      <c r="C1080" s="58"/>
      <c r="D1080" s="62" t="str">
        <f aca="false">IF(C1080="","",IFERROR(INDEX(T_NOMBRE,MATCH(V1080,T_RUTN,0)),"⚠ RUT no está en Trabajadores"))</f>
        <v/>
      </c>
      <c r="E1080" s="61"/>
      <c r="F1080" s="61"/>
      <c r="G1080" s="61"/>
      <c r="H1080" s="61"/>
      <c r="I1080" s="81"/>
      <c r="J1080" s="81"/>
      <c r="K1080" s="60"/>
      <c r="L1080" s="60"/>
      <c r="M1080" s="60"/>
      <c r="N1080" s="60"/>
      <c r="O1080" s="60"/>
      <c r="P1080" s="60"/>
      <c r="Q1080" s="60"/>
      <c r="R1080" s="58"/>
      <c r="S1080" s="62" t="str">
        <f aca="false">IF(OR(B1080="",V1080=""),"",IFERROR(INDEX(C_TIPO,MATCH(V1080&amp;"-P"&amp;MAX(1,COUNTIFS(C_RUTN,V1080,C_DEF,"Sí",C_INI,"&lt;="&amp;EOMONTH(B1080,0))),C_CLAVE,0))&amp;"","Sin contrato"))</f>
        <v/>
      </c>
      <c r="T1080" s="63" t="str">
        <f aca="false">IF(OR(B1080="",N(O1080)=0),"",N(O1080)+ROUND(MIN(N(N1080),TOPE_UF*UF_MES)*(TASA_EMP+MUTUAL),0)+ROUND(MIN(N(N1080),TOPE_AFC_UF*UF_MES)*IF(S1080="Indefinido",AFC_INDEF,AFC_PF),0))</f>
        <v/>
      </c>
      <c r="U1080" s="62" t="str">
        <f aca="false">IF(C1080="","",IF(LEFT(D1080,1)="⚠","⚠ RUT no registrado en Trabajadores",IF(B1080="","⚠ Falta el mes",IF(OR(ISTEXT(I1080),ISTEXT(J1080)),"⚠ Atrasos u horas extra como texto: escriba hh:mm (ej. 1:30)",IF(AND(ISNUMBER(Q1080),COUNTIFS(M_RUTN,V1080,M_MES,B1080,M_LIQ,"&lt;&gt;")&gt;1),"⚠ Liquidación repetida en el mes",IF(AND(ISNUMBER(O1080),ISNUMBER(P1080),ISNUMBER(Q1080),ABS(O1080-P1080-Q1080)&gt;1),"⚠ Haberes − descuentos no da el líquido","OK"))))))</f>
        <v/>
      </c>
      <c r="V1080" s="62" t="str">
        <f aca="false">IF(C1080="","",IFERROR(VALUE(LEFT(UPPER(SUBSTITUTE(SUBSTITUTE(SUBSTITUTE(TRIM(C1080),".",""),"-","")," ","")),LEN(UPPER(SUBSTITUTE(SUBSTITUTE(SUBSTITUTE(TRIM(C1080),".",""),"-","")," ","")))-1))&amp;RIGHT(UPPER(SUBSTITUTE(SUBSTITUTE(SUBSTITUTE(TRIM(C1080),".",""),"-","")," ","")),1),UPPER(SUBSTITUTE(SUBSTITUTE(SUBSTITUTE(TRIM(C1080),".",""),"-","")," ",""))))</f>
        <v/>
      </c>
    </row>
    <row r="1081" customFormat="false" ht="15" hidden="false" customHeight="false" outlineLevel="0" collapsed="false">
      <c r="B1081" s="80"/>
      <c r="C1081" s="58"/>
      <c r="D1081" s="62" t="str">
        <f aca="false">IF(C1081="","",IFERROR(INDEX(T_NOMBRE,MATCH(V1081,T_RUTN,0)),"⚠ RUT no está en Trabajadores"))</f>
        <v/>
      </c>
      <c r="E1081" s="61"/>
      <c r="F1081" s="61"/>
      <c r="G1081" s="61"/>
      <c r="H1081" s="61"/>
      <c r="I1081" s="81"/>
      <c r="J1081" s="81"/>
      <c r="K1081" s="60"/>
      <c r="L1081" s="60"/>
      <c r="M1081" s="60"/>
      <c r="N1081" s="60"/>
      <c r="O1081" s="60"/>
      <c r="P1081" s="60"/>
      <c r="Q1081" s="60"/>
      <c r="R1081" s="58"/>
      <c r="S1081" s="62" t="str">
        <f aca="false">IF(OR(B1081="",V1081=""),"",IFERROR(INDEX(C_TIPO,MATCH(V1081&amp;"-P"&amp;MAX(1,COUNTIFS(C_RUTN,V1081,C_DEF,"Sí",C_INI,"&lt;="&amp;EOMONTH(B1081,0))),C_CLAVE,0))&amp;"","Sin contrato"))</f>
        <v/>
      </c>
      <c r="T1081" s="63" t="str">
        <f aca="false">IF(OR(B1081="",N(O1081)=0),"",N(O1081)+ROUND(MIN(N(N1081),TOPE_UF*UF_MES)*(TASA_EMP+MUTUAL),0)+ROUND(MIN(N(N1081),TOPE_AFC_UF*UF_MES)*IF(S1081="Indefinido",AFC_INDEF,AFC_PF),0))</f>
        <v/>
      </c>
      <c r="U1081" s="62" t="str">
        <f aca="false">IF(C1081="","",IF(LEFT(D1081,1)="⚠","⚠ RUT no registrado en Trabajadores",IF(B1081="","⚠ Falta el mes",IF(OR(ISTEXT(I1081),ISTEXT(J1081)),"⚠ Atrasos u horas extra como texto: escriba hh:mm (ej. 1:30)",IF(AND(ISNUMBER(Q1081),COUNTIFS(M_RUTN,V1081,M_MES,B1081,M_LIQ,"&lt;&gt;")&gt;1),"⚠ Liquidación repetida en el mes",IF(AND(ISNUMBER(O1081),ISNUMBER(P1081),ISNUMBER(Q1081),ABS(O1081-P1081-Q1081)&gt;1),"⚠ Haberes − descuentos no da el líquido","OK"))))))</f>
        <v/>
      </c>
      <c r="V1081" s="62" t="str">
        <f aca="false">IF(C1081="","",IFERROR(VALUE(LEFT(UPPER(SUBSTITUTE(SUBSTITUTE(SUBSTITUTE(TRIM(C1081),".",""),"-","")," ","")),LEN(UPPER(SUBSTITUTE(SUBSTITUTE(SUBSTITUTE(TRIM(C1081),".",""),"-","")," ","")))-1))&amp;RIGHT(UPPER(SUBSTITUTE(SUBSTITUTE(SUBSTITUTE(TRIM(C1081),".",""),"-","")," ","")),1),UPPER(SUBSTITUTE(SUBSTITUTE(SUBSTITUTE(TRIM(C1081),".",""),"-","")," ",""))))</f>
        <v/>
      </c>
    </row>
    <row r="1082" customFormat="false" ht="15" hidden="false" customHeight="false" outlineLevel="0" collapsed="false">
      <c r="B1082" s="80"/>
      <c r="C1082" s="58"/>
      <c r="D1082" s="62" t="str">
        <f aca="false">IF(C1082="","",IFERROR(INDEX(T_NOMBRE,MATCH(V1082,T_RUTN,0)),"⚠ RUT no está en Trabajadores"))</f>
        <v/>
      </c>
      <c r="E1082" s="61"/>
      <c r="F1082" s="61"/>
      <c r="G1082" s="61"/>
      <c r="H1082" s="61"/>
      <c r="I1082" s="81"/>
      <c r="J1082" s="81"/>
      <c r="K1082" s="60"/>
      <c r="L1082" s="60"/>
      <c r="M1082" s="60"/>
      <c r="N1082" s="60"/>
      <c r="O1082" s="60"/>
      <c r="P1082" s="60"/>
      <c r="Q1082" s="60"/>
      <c r="R1082" s="58"/>
      <c r="S1082" s="62" t="str">
        <f aca="false">IF(OR(B1082="",V1082=""),"",IFERROR(INDEX(C_TIPO,MATCH(V1082&amp;"-P"&amp;MAX(1,COUNTIFS(C_RUTN,V1082,C_DEF,"Sí",C_INI,"&lt;="&amp;EOMONTH(B1082,0))),C_CLAVE,0))&amp;"","Sin contrato"))</f>
        <v/>
      </c>
      <c r="T1082" s="63" t="str">
        <f aca="false">IF(OR(B1082="",N(O1082)=0),"",N(O1082)+ROUND(MIN(N(N1082),TOPE_UF*UF_MES)*(TASA_EMP+MUTUAL),0)+ROUND(MIN(N(N1082),TOPE_AFC_UF*UF_MES)*IF(S1082="Indefinido",AFC_INDEF,AFC_PF),0))</f>
        <v/>
      </c>
      <c r="U1082" s="62" t="str">
        <f aca="false">IF(C1082="","",IF(LEFT(D1082,1)="⚠","⚠ RUT no registrado en Trabajadores",IF(B1082="","⚠ Falta el mes",IF(OR(ISTEXT(I1082),ISTEXT(J1082)),"⚠ Atrasos u horas extra como texto: escriba hh:mm (ej. 1:30)",IF(AND(ISNUMBER(Q1082),COUNTIFS(M_RUTN,V1082,M_MES,B1082,M_LIQ,"&lt;&gt;")&gt;1),"⚠ Liquidación repetida en el mes",IF(AND(ISNUMBER(O1082),ISNUMBER(P1082),ISNUMBER(Q1082),ABS(O1082-P1082-Q1082)&gt;1),"⚠ Haberes − descuentos no da el líquido","OK"))))))</f>
        <v/>
      </c>
      <c r="V1082" s="62" t="str">
        <f aca="false">IF(C1082="","",IFERROR(VALUE(LEFT(UPPER(SUBSTITUTE(SUBSTITUTE(SUBSTITUTE(TRIM(C1082),".",""),"-","")," ","")),LEN(UPPER(SUBSTITUTE(SUBSTITUTE(SUBSTITUTE(TRIM(C1082),".",""),"-","")," ","")))-1))&amp;RIGHT(UPPER(SUBSTITUTE(SUBSTITUTE(SUBSTITUTE(TRIM(C1082),".",""),"-","")," ","")),1),UPPER(SUBSTITUTE(SUBSTITUTE(SUBSTITUTE(TRIM(C1082),".",""),"-","")," ",""))))</f>
        <v/>
      </c>
    </row>
    <row r="1083" customFormat="false" ht="15" hidden="false" customHeight="false" outlineLevel="0" collapsed="false">
      <c r="B1083" s="80"/>
      <c r="C1083" s="58"/>
      <c r="D1083" s="62" t="str">
        <f aca="false">IF(C1083="","",IFERROR(INDEX(T_NOMBRE,MATCH(V1083,T_RUTN,0)),"⚠ RUT no está en Trabajadores"))</f>
        <v/>
      </c>
      <c r="E1083" s="61"/>
      <c r="F1083" s="61"/>
      <c r="G1083" s="61"/>
      <c r="H1083" s="61"/>
      <c r="I1083" s="81"/>
      <c r="J1083" s="81"/>
      <c r="K1083" s="60"/>
      <c r="L1083" s="60"/>
      <c r="M1083" s="60"/>
      <c r="N1083" s="60"/>
      <c r="O1083" s="60"/>
      <c r="P1083" s="60"/>
      <c r="Q1083" s="60"/>
      <c r="R1083" s="58"/>
      <c r="S1083" s="62" t="str">
        <f aca="false">IF(OR(B1083="",V1083=""),"",IFERROR(INDEX(C_TIPO,MATCH(V1083&amp;"-P"&amp;MAX(1,COUNTIFS(C_RUTN,V1083,C_DEF,"Sí",C_INI,"&lt;="&amp;EOMONTH(B1083,0))),C_CLAVE,0))&amp;"","Sin contrato"))</f>
        <v/>
      </c>
      <c r="T1083" s="63" t="str">
        <f aca="false">IF(OR(B1083="",N(O1083)=0),"",N(O1083)+ROUND(MIN(N(N1083),TOPE_UF*UF_MES)*(TASA_EMP+MUTUAL),0)+ROUND(MIN(N(N1083),TOPE_AFC_UF*UF_MES)*IF(S1083="Indefinido",AFC_INDEF,AFC_PF),0))</f>
        <v/>
      </c>
      <c r="U1083" s="62" t="str">
        <f aca="false">IF(C1083="","",IF(LEFT(D1083,1)="⚠","⚠ RUT no registrado en Trabajadores",IF(B1083="","⚠ Falta el mes",IF(OR(ISTEXT(I1083),ISTEXT(J1083)),"⚠ Atrasos u horas extra como texto: escriba hh:mm (ej. 1:30)",IF(AND(ISNUMBER(Q1083),COUNTIFS(M_RUTN,V1083,M_MES,B1083,M_LIQ,"&lt;&gt;")&gt;1),"⚠ Liquidación repetida en el mes",IF(AND(ISNUMBER(O1083),ISNUMBER(P1083),ISNUMBER(Q1083),ABS(O1083-P1083-Q1083)&gt;1),"⚠ Haberes − descuentos no da el líquido","OK"))))))</f>
        <v/>
      </c>
      <c r="V1083" s="62" t="str">
        <f aca="false">IF(C1083="","",IFERROR(VALUE(LEFT(UPPER(SUBSTITUTE(SUBSTITUTE(SUBSTITUTE(TRIM(C1083),".",""),"-","")," ","")),LEN(UPPER(SUBSTITUTE(SUBSTITUTE(SUBSTITUTE(TRIM(C1083),".",""),"-","")," ","")))-1))&amp;RIGHT(UPPER(SUBSTITUTE(SUBSTITUTE(SUBSTITUTE(TRIM(C1083),".",""),"-","")," ","")),1),UPPER(SUBSTITUTE(SUBSTITUTE(SUBSTITUTE(TRIM(C1083),".",""),"-","")," ",""))))</f>
        <v/>
      </c>
    </row>
    <row r="1084" customFormat="false" ht="15" hidden="false" customHeight="false" outlineLevel="0" collapsed="false">
      <c r="B1084" s="80"/>
      <c r="C1084" s="58"/>
      <c r="D1084" s="62" t="str">
        <f aca="false">IF(C1084="","",IFERROR(INDEX(T_NOMBRE,MATCH(V1084,T_RUTN,0)),"⚠ RUT no está en Trabajadores"))</f>
        <v/>
      </c>
      <c r="E1084" s="61"/>
      <c r="F1084" s="61"/>
      <c r="G1084" s="61"/>
      <c r="H1084" s="61"/>
      <c r="I1084" s="81"/>
      <c r="J1084" s="81"/>
      <c r="K1084" s="60"/>
      <c r="L1084" s="60"/>
      <c r="M1084" s="60"/>
      <c r="N1084" s="60"/>
      <c r="O1084" s="60"/>
      <c r="P1084" s="60"/>
      <c r="Q1084" s="60"/>
      <c r="R1084" s="58"/>
      <c r="S1084" s="62" t="str">
        <f aca="false">IF(OR(B1084="",V1084=""),"",IFERROR(INDEX(C_TIPO,MATCH(V1084&amp;"-P"&amp;MAX(1,COUNTIFS(C_RUTN,V1084,C_DEF,"Sí",C_INI,"&lt;="&amp;EOMONTH(B1084,0))),C_CLAVE,0))&amp;"","Sin contrato"))</f>
        <v/>
      </c>
      <c r="T1084" s="63" t="str">
        <f aca="false">IF(OR(B1084="",N(O1084)=0),"",N(O1084)+ROUND(MIN(N(N1084),TOPE_UF*UF_MES)*(TASA_EMP+MUTUAL),0)+ROUND(MIN(N(N1084),TOPE_AFC_UF*UF_MES)*IF(S1084="Indefinido",AFC_INDEF,AFC_PF),0))</f>
        <v/>
      </c>
      <c r="U1084" s="62" t="str">
        <f aca="false">IF(C1084="","",IF(LEFT(D1084,1)="⚠","⚠ RUT no registrado en Trabajadores",IF(B1084="","⚠ Falta el mes",IF(OR(ISTEXT(I1084),ISTEXT(J1084)),"⚠ Atrasos u horas extra como texto: escriba hh:mm (ej. 1:30)",IF(AND(ISNUMBER(Q1084),COUNTIFS(M_RUTN,V1084,M_MES,B1084,M_LIQ,"&lt;&gt;")&gt;1),"⚠ Liquidación repetida en el mes",IF(AND(ISNUMBER(O1084),ISNUMBER(P1084),ISNUMBER(Q1084),ABS(O1084-P1084-Q1084)&gt;1),"⚠ Haberes − descuentos no da el líquido","OK"))))))</f>
        <v/>
      </c>
      <c r="V1084" s="62" t="str">
        <f aca="false">IF(C1084="","",IFERROR(VALUE(LEFT(UPPER(SUBSTITUTE(SUBSTITUTE(SUBSTITUTE(TRIM(C1084),".",""),"-","")," ","")),LEN(UPPER(SUBSTITUTE(SUBSTITUTE(SUBSTITUTE(TRIM(C1084),".",""),"-","")," ","")))-1))&amp;RIGHT(UPPER(SUBSTITUTE(SUBSTITUTE(SUBSTITUTE(TRIM(C1084),".",""),"-","")," ","")),1),UPPER(SUBSTITUTE(SUBSTITUTE(SUBSTITUTE(TRIM(C1084),".",""),"-","")," ",""))))</f>
        <v/>
      </c>
    </row>
    <row r="1085" customFormat="false" ht="15" hidden="false" customHeight="false" outlineLevel="0" collapsed="false">
      <c r="B1085" s="80"/>
      <c r="C1085" s="58"/>
      <c r="D1085" s="62" t="str">
        <f aca="false">IF(C1085="","",IFERROR(INDEX(T_NOMBRE,MATCH(V1085,T_RUTN,0)),"⚠ RUT no está en Trabajadores"))</f>
        <v/>
      </c>
      <c r="E1085" s="61"/>
      <c r="F1085" s="61"/>
      <c r="G1085" s="61"/>
      <c r="H1085" s="61"/>
      <c r="I1085" s="81"/>
      <c r="J1085" s="81"/>
      <c r="K1085" s="60"/>
      <c r="L1085" s="60"/>
      <c r="M1085" s="60"/>
      <c r="N1085" s="60"/>
      <c r="O1085" s="60"/>
      <c r="P1085" s="60"/>
      <c r="Q1085" s="60"/>
      <c r="R1085" s="58"/>
      <c r="S1085" s="62" t="str">
        <f aca="false">IF(OR(B1085="",V1085=""),"",IFERROR(INDEX(C_TIPO,MATCH(V1085&amp;"-P"&amp;MAX(1,COUNTIFS(C_RUTN,V1085,C_DEF,"Sí",C_INI,"&lt;="&amp;EOMONTH(B1085,0))),C_CLAVE,0))&amp;"","Sin contrato"))</f>
        <v/>
      </c>
      <c r="T1085" s="63" t="str">
        <f aca="false">IF(OR(B1085="",N(O1085)=0),"",N(O1085)+ROUND(MIN(N(N1085),TOPE_UF*UF_MES)*(TASA_EMP+MUTUAL),0)+ROUND(MIN(N(N1085),TOPE_AFC_UF*UF_MES)*IF(S1085="Indefinido",AFC_INDEF,AFC_PF),0))</f>
        <v/>
      </c>
      <c r="U1085" s="62" t="str">
        <f aca="false">IF(C1085="","",IF(LEFT(D1085,1)="⚠","⚠ RUT no registrado en Trabajadores",IF(B1085="","⚠ Falta el mes",IF(OR(ISTEXT(I1085),ISTEXT(J1085)),"⚠ Atrasos u horas extra como texto: escriba hh:mm (ej. 1:30)",IF(AND(ISNUMBER(Q1085),COUNTIFS(M_RUTN,V1085,M_MES,B1085,M_LIQ,"&lt;&gt;")&gt;1),"⚠ Liquidación repetida en el mes",IF(AND(ISNUMBER(O1085),ISNUMBER(P1085),ISNUMBER(Q1085),ABS(O1085-P1085-Q1085)&gt;1),"⚠ Haberes − descuentos no da el líquido","OK"))))))</f>
        <v/>
      </c>
      <c r="V1085" s="62" t="str">
        <f aca="false">IF(C1085="","",IFERROR(VALUE(LEFT(UPPER(SUBSTITUTE(SUBSTITUTE(SUBSTITUTE(TRIM(C1085),".",""),"-","")," ","")),LEN(UPPER(SUBSTITUTE(SUBSTITUTE(SUBSTITUTE(TRIM(C1085),".",""),"-","")," ","")))-1))&amp;RIGHT(UPPER(SUBSTITUTE(SUBSTITUTE(SUBSTITUTE(TRIM(C1085),".",""),"-","")," ","")),1),UPPER(SUBSTITUTE(SUBSTITUTE(SUBSTITUTE(TRIM(C1085),".",""),"-","")," ",""))))</f>
        <v/>
      </c>
    </row>
    <row r="1086" customFormat="false" ht="15" hidden="false" customHeight="false" outlineLevel="0" collapsed="false">
      <c r="B1086" s="80"/>
      <c r="C1086" s="58"/>
      <c r="D1086" s="62" t="str">
        <f aca="false">IF(C1086="","",IFERROR(INDEX(T_NOMBRE,MATCH(V1086,T_RUTN,0)),"⚠ RUT no está en Trabajadores"))</f>
        <v/>
      </c>
      <c r="E1086" s="61"/>
      <c r="F1086" s="61"/>
      <c r="G1086" s="61"/>
      <c r="H1086" s="61"/>
      <c r="I1086" s="81"/>
      <c r="J1086" s="81"/>
      <c r="K1086" s="60"/>
      <c r="L1086" s="60"/>
      <c r="M1086" s="60"/>
      <c r="N1086" s="60"/>
      <c r="O1086" s="60"/>
      <c r="P1086" s="60"/>
      <c r="Q1086" s="60"/>
      <c r="R1086" s="58"/>
      <c r="S1086" s="62" t="str">
        <f aca="false">IF(OR(B1086="",V1086=""),"",IFERROR(INDEX(C_TIPO,MATCH(V1086&amp;"-P"&amp;MAX(1,COUNTIFS(C_RUTN,V1086,C_DEF,"Sí",C_INI,"&lt;="&amp;EOMONTH(B1086,0))),C_CLAVE,0))&amp;"","Sin contrato"))</f>
        <v/>
      </c>
      <c r="T1086" s="63" t="str">
        <f aca="false">IF(OR(B1086="",N(O1086)=0),"",N(O1086)+ROUND(MIN(N(N1086),TOPE_UF*UF_MES)*(TASA_EMP+MUTUAL),0)+ROUND(MIN(N(N1086),TOPE_AFC_UF*UF_MES)*IF(S1086="Indefinido",AFC_INDEF,AFC_PF),0))</f>
        <v/>
      </c>
      <c r="U1086" s="62" t="str">
        <f aca="false">IF(C1086="","",IF(LEFT(D1086,1)="⚠","⚠ RUT no registrado en Trabajadores",IF(B1086="","⚠ Falta el mes",IF(OR(ISTEXT(I1086),ISTEXT(J1086)),"⚠ Atrasos u horas extra como texto: escriba hh:mm (ej. 1:30)",IF(AND(ISNUMBER(Q1086),COUNTIFS(M_RUTN,V1086,M_MES,B1086,M_LIQ,"&lt;&gt;")&gt;1),"⚠ Liquidación repetida en el mes",IF(AND(ISNUMBER(O1086),ISNUMBER(P1086),ISNUMBER(Q1086),ABS(O1086-P1086-Q1086)&gt;1),"⚠ Haberes − descuentos no da el líquido","OK"))))))</f>
        <v/>
      </c>
      <c r="V1086" s="62" t="str">
        <f aca="false">IF(C1086="","",IFERROR(VALUE(LEFT(UPPER(SUBSTITUTE(SUBSTITUTE(SUBSTITUTE(TRIM(C1086),".",""),"-","")," ","")),LEN(UPPER(SUBSTITUTE(SUBSTITUTE(SUBSTITUTE(TRIM(C1086),".",""),"-","")," ","")))-1))&amp;RIGHT(UPPER(SUBSTITUTE(SUBSTITUTE(SUBSTITUTE(TRIM(C1086),".",""),"-","")," ","")),1),UPPER(SUBSTITUTE(SUBSTITUTE(SUBSTITUTE(TRIM(C1086),".",""),"-","")," ",""))))</f>
        <v/>
      </c>
    </row>
    <row r="1087" customFormat="false" ht="15" hidden="false" customHeight="false" outlineLevel="0" collapsed="false">
      <c r="B1087" s="80"/>
      <c r="C1087" s="58"/>
      <c r="D1087" s="62" t="str">
        <f aca="false">IF(C1087="","",IFERROR(INDEX(T_NOMBRE,MATCH(V1087,T_RUTN,0)),"⚠ RUT no está en Trabajadores"))</f>
        <v/>
      </c>
      <c r="E1087" s="61"/>
      <c r="F1087" s="61"/>
      <c r="G1087" s="61"/>
      <c r="H1087" s="61"/>
      <c r="I1087" s="81"/>
      <c r="J1087" s="81"/>
      <c r="K1087" s="60"/>
      <c r="L1087" s="60"/>
      <c r="M1087" s="60"/>
      <c r="N1087" s="60"/>
      <c r="O1087" s="60"/>
      <c r="P1087" s="60"/>
      <c r="Q1087" s="60"/>
      <c r="R1087" s="58"/>
      <c r="S1087" s="62" t="str">
        <f aca="false">IF(OR(B1087="",V1087=""),"",IFERROR(INDEX(C_TIPO,MATCH(V1087&amp;"-P"&amp;MAX(1,COUNTIFS(C_RUTN,V1087,C_DEF,"Sí",C_INI,"&lt;="&amp;EOMONTH(B1087,0))),C_CLAVE,0))&amp;"","Sin contrato"))</f>
        <v/>
      </c>
      <c r="T1087" s="63" t="str">
        <f aca="false">IF(OR(B1087="",N(O1087)=0),"",N(O1087)+ROUND(MIN(N(N1087),TOPE_UF*UF_MES)*(TASA_EMP+MUTUAL),0)+ROUND(MIN(N(N1087),TOPE_AFC_UF*UF_MES)*IF(S1087="Indefinido",AFC_INDEF,AFC_PF),0))</f>
        <v/>
      </c>
      <c r="U1087" s="62" t="str">
        <f aca="false">IF(C1087="","",IF(LEFT(D1087,1)="⚠","⚠ RUT no registrado en Trabajadores",IF(B1087="","⚠ Falta el mes",IF(OR(ISTEXT(I1087),ISTEXT(J1087)),"⚠ Atrasos u horas extra como texto: escriba hh:mm (ej. 1:30)",IF(AND(ISNUMBER(Q1087),COUNTIFS(M_RUTN,V1087,M_MES,B1087,M_LIQ,"&lt;&gt;")&gt;1),"⚠ Liquidación repetida en el mes",IF(AND(ISNUMBER(O1087),ISNUMBER(P1087),ISNUMBER(Q1087),ABS(O1087-P1087-Q1087)&gt;1),"⚠ Haberes − descuentos no da el líquido","OK"))))))</f>
        <v/>
      </c>
      <c r="V1087" s="62" t="str">
        <f aca="false">IF(C1087="","",IFERROR(VALUE(LEFT(UPPER(SUBSTITUTE(SUBSTITUTE(SUBSTITUTE(TRIM(C1087),".",""),"-","")," ","")),LEN(UPPER(SUBSTITUTE(SUBSTITUTE(SUBSTITUTE(TRIM(C1087),".",""),"-","")," ","")))-1))&amp;RIGHT(UPPER(SUBSTITUTE(SUBSTITUTE(SUBSTITUTE(TRIM(C1087),".",""),"-","")," ","")),1),UPPER(SUBSTITUTE(SUBSTITUTE(SUBSTITUTE(TRIM(C1087),".",""),"-","")," ",""))))</f>
        <v/>
      </c>
    </row>
    <row r="1088" customFormat="false" ht="15" hidden="false" customHeight="false" outlineLevel="0" collapsed="false">
      <c r="B1088" s="80"/>
      <c r="C1088" s="58"/>
      <c r="D1088" s="62" t="str">
        <f aca="false">IF(C1088="","",IFERROR(INDEX(T_NOMBRE,MATCH(V1088,T_RUTN,0)),"⚠ RUT no está en Trabajadores"))</f>
        <v/>
      </c>
      <c r="E1088" s="61"/>
      <c r="F1088" s="61"/>
      <c r="G1088" s="61"/>
      <c r="H1088" s="61"/>
      <c r="I1088" s="81"/>
      <c r="J1088" s="81"/>
      <c r="K1088" s="60"/>
      <c r="L1088" s="60"/>
      <c r="M1088" s="60"/>
      <c r="N1088" s="60"/>
      <c r="O1088" s="60"/>
      <c r="P1088" s="60"/>
      <c r="Q1088" s="60"/>
      <c r="R1088" s="58"/>
      <c r="S1088" s="62" t="str">
        <f aca="false">IF(OR(B1088="",V1088=""),"",IFERROR(INDEX(C_TIPO,MATCH(V1088&amp;"-P"&amp;MAX(1,COUNTIFS(C_RUTN,V1088,C_DEF,"Sí",C_INI,"&lt;="&amp;EOMONTH(B1088,0))),C_CLAVE,0))&amp;"","Sin contrato"))</f>
        <v/>
      </c>
      <c r="T1088" s="63" t="str">
        <f aca="false">IF(OR(B1088="",N(O1088)=0),"",N(O1088)+ROUND(MIN(N(N1088),TOPE_UF*UF_MES)*(TASA_EMP+MUTUAL),0)+ROUND(MIN(N(N1088),TOPE_AFC_UF*UF_MES)*IF(S1088="Indefinido",AFC_INDEF,AFC_PF),0))</f>
        <v/>
      </c>
      <c r="U1088" s="62" t="str">
        <f aca="false">IF(C1088="","",IF(LEFT(D1088,1)="⚠","⚠ RUT no registrado en Trabajadores",IF(B1088="","⚠ Falta el mes",IF(OR(ISTEXT(I1088),ISTEXT(J1088)),"⚠ Atrasos u horas extra como texto: escriba hh:mm (ej. 1:30)",IF(AND(ISNUMBER(Q1088),COUNTIFS(M_RUTN,V1088,M_MES,B1088,M_LIQ,"&lt;&gt;")&gt;1),"⚠ Liquidación repetida en el mes",IF(AND(ISNUMBER(O1088),ISNUMBER(P1088),ISNUMBER(Q1088),ABS(O1088-P1088-Q1088)&gt;1),"⚠ Haberes − descuentos no da el líquido","OK"))))))</f>
        <v/>
      </c>
      <c r="V1088" s="62" t="str">
        <f aca="false">IF(C1088="","",IFERROR(VALUE(LEFT(UPPER(SUBSTITUTE(SUBSTITUTE(SUBSTITUTE(TRIM(C1088),".",""),"-","")," ","")),LEN(UPPER(SUBSTITUTE(SUBSTITUTE(SUBSTITUTE(TRIM(C1088),".",""),"-","")," ","")))-1))&amp;RIGHT(UPPER(SUBSTITUTE(SUBSTITUTE(SUBSTITUTE(TRIM(C1088),".",""),"-","")," ","")),1),UPPER(SUBSTITUTE(SUBSTITUTE(SUBSTITUTE(TRIM(C1088),".",""),"-","")," ",""))))</f>
        <v/>
      </c>
    </row>
    <row r="1089" customFormat="false" ht="15" hidden="false" customHeight="false" outlineLevel="0" collapsed="false">
      <c r="B1089" s="80"/>
      <c r="C1089" s="58"/>
      <c r="D1089" s="62" t="str">
        <f aca="false">IF(C1089="","",IFERROR(INDEX(T_NOMBRE,MATCH(V1089,T_RUTN,0)),"⚠ RUT no está en Trabajadores"))</f>
        <v/>
      </c>
      <c r="E1089" s="61"/>
      <c r="F1089" s="61"/>
      <c r="G1089" s="61"/>
      <c r="H1089" s="61"/>
      <c r="I1089" s="81"/>
      <c r="J1089" s="81"/>
      <c r="K1089" s="60"/>
      <c r="L1089" s="60"/>
      <c r="M1089" s="60"/>
      <c r="N1089" s="60"/>
      <c r="O1089" s="60"/>
      <c r="P1089" s="60"/>
      <c r="Q1089" s="60"/>
      <c r="R1089" s="58"/>
      <c r="S1089" s="62" t="str">
        <f aca="false">IF(OR(B1089="",V1089=""),"",IFERROR(INDEX(C_TIPO,MATCH(V1089&amp;"-P"&amp;MAX(1,COUNTIFS(C_RUTN,V1089,C_DEF,"Sí",C_INI,"&lt;="&amp;EOMONTH(B1089,0))),C_CLAVE,0))&amp;"","Sin contrato"))</f>
        <v/>
      </c>
      <c r="T1089" s="63" t="str">
        <f aca="false">IF(OR(B1089="",N(O1089)=0),"",N(O1089)+ROUND(MIN(N(N1089),TOPE_UF*UF_MES)*(TASA_EMP+MUTUAL),0)+ROUND(MIN(N(N1089),TOPE_AFC_UF*UF_MES)*IF(S1089="Indefinido",AFC_INDEF,AFC_PF),0))</f>
        <v/>
      </c>
      <c r="U1089" s="62" t="str">
        <f aca="false">IF(C1089="","",IF(LEFT(D1089,1)="⚠","⚠ RUT no registrado en Trabajadores",IF(B1089="","⚠ Falta el mes",IF(OR(ISTEXT(I1089),ISTEXT(J1089)),"⚠ Atrasos u horas extra como texto: escriba hh:mm (ej. 1:30)",IF(AND(ISNUMBER(Q1089),COUNTIFS(M_RUTN,V1089,M_MES,B1089,M_LIQ,"&lt;&gt;")&gt;1),"⚠ Liquidación repetida en el mes",IF(AND(ISNUMBER(O1089),ISNUMBER(P1089),ISNUMBER(Q1089),ABS(O1089-P1089-Q1089)&gt;1),"⚠ Haberes − descuentos no da el líquido","OK"))))))</f>
        <v/>
      </c>
      <c r="V1089" s="62" t="str">
        <f aca="false">IF(C1089="","",IFERROR(VALUE(LEFT(UPPER(SUBSTITUTE(SUBSTITUTE(SUBSTITUTE(TRIM(C1089),".",""),"-","")," ","")),LEN(UPPER(SUBSTITUTE(SUBSTITUTE(SUBSTITUTE(TRIM(C1089),".",""),"-","")," ","")))-1))&amp;RIGHT(UPPER(SUBSTITUTE(SUBSTITUTE(SUBSTITUTE(TRIM(C1089),".",""),"-","")," ","")),1),UPPER(SUBSTITUTE(SUBSTITUTE(SUBSTITUTE(TRIM(C1089),".",""),"-","")," ",""))))</f>
        <v/>
      </c>
    </row>
    <row r="1090" customFormat="false" ht="15" hidden="false" customHeight="false" outlineLevel="0" collapsed="false">
      <c r="B1090" s="80"/>
      <c r="C1090" s="58"/>
      <c r="D1090" s="62" t="str">
        <f aca="false">IF(C1090="","",IFERROR(INDEX(T_NOMBRE,MATCH(V1090,T_RUTN,0)),"⚠ RUT no está en Trabajadores"))</f>
        <v/>
      </c>
      <c r="E1090" s="61"/>
      <c r="F1090" s="61"/>
      <c r="G1090" s="61"/>
      <c r="H1090" s="61"/>
      <c r="I1090" s="81"/>
      <c r="J1090" s="81"/>
      <c r="K1090" s="60"/>
      <c r="L1090" s="60"/>
      <c r="M1090" s="60"/>
      <c r="N1090" s="60"/>
      <c r="O1090" s="60"/>
      <c r="P1090" s="60"/>
      <c r="Q1090" s="60"/>
      <c r="R1090" s="58"/>
      <c r="S1090" s="62" t="str">
        <f aca="false">IF(OR(B1090="",V1090=""),"",IFERROR(INDEX(C_TIPO,MATCH(V1090&amp;"-P"&amp;MAX(1,COUNTIFS(C_RUTN,V1090,C_DEF,"Sí",C_INI,"&lt;="&amp;EOMONTH(B1090,0))),C_CLAVE,0))&amp;"","Sin contrato"))</f>
        <v/>
      </c>
      <c r="T1090" s="63" t="str">
        <f aca="false">IF(OR(B1090="",N(O1090)=0),"",N(O1090)+ROUND(MIN(N(N1090),TOPE_UF*UF_MES)*(TASA_EMP+MUTUAL),0)+ROUND(MIN(N(N1090),TOPE_AFC_UF*UF_MES)*IF(S1090="Indefinido",AFC_INDEF,AFC_PF),0))</f>
        <v/>
      </c>
      <c r="U1090" s="62" t="str">
        <f aca="false">IF(C1090="","",IF(LEFT(D1090,1)="⚠","⚠ RUT no registrado en Trabajadores",IF(B1090="","⚠ Falta el mes",IF(OR(ISTEXT(I1090),ISTEXT(J1090)),"⚠ Atrasos u horas extra como texto: escriba hh:mm (ej. 1:30)",IF(AND(ISNUMBER(Q1090),COUNTIFS(M_RUTN,V1090,M_MES,B1090,M_LIQ,"&lt;&gt;")&gt;1),"⚠ Liquidación repetida en el mes",IF(AND(ISNUMBER(O1090),ISNUMBER(P1090),ISNUMBER(Q1090),ABS(O1090-P1090-Q1090)&gt;1),"⚠ Haberes − descuentos no da el líquido","OK"))))))</f>
        <v/>
      </c>
      <c r="V1090" s="62" t="str">
        <f aca="false">IF(C1090="","",IFERROR(VALUE(LEFT(UPPER(SUBSTITUTE(SUBSTITUTE(SUBSTITUTE(TRIM(C1090),".",""),"-","")," ","")),LEN(UPPER(SUBSTITUTE(SUBSTITUTE(SUBSTITUTE(TRIM(C1090),".",""),"-","")," ","")))-1))&amp;RIGHT(UPPER(SUBSTITUTE(SUBSTITUTE(SUBSTITUTE(TRIM(C1090),".",""),"-","")," ","")),1),UPPER(SUBSTITUTE(SUBSTITUTE(SUBSTITUTE(TRIM(C1090),".",""),"-","")," ",""))))</f>
        <v/>
      </c>
    </row>
    <row r="1091" customFormat="false" ht="15" hidden="false" customHeight="false" outlineLevel="0" collapsed="false">
      <c r="B1091" s="80"/>
      <c r="C1091" s="58"/>
      <c r="D1091" s="62" t="str">
        <f aca="false">IF(C1091="","",IFERROR(INDEX(T_NOMBRE,MATCH(V1091,T_RUTN,0)),"⚠ RUT no está en Trabajadores"))</f>
        <v/>
      </c>
      <c r="E1091" s="61"/>
      <c r="F1091" s="61"/>
      <c r="G1091" s="61"/>
      <c r="H1091" s="61"/>
      <c r="I1091" s="81"/>
      <c r="J1091" s="81"/>
      <c r="K1091" s="60"/>
      <c r="L1091" s="60"/>
      <c r="M1091" s="60"/>
      <c r="N1091" s="60"/>
      <c r="O1091" s="60"/>
      <c r="P1091" s="60"/>
      <c r="Q1091" s="60"/>
      <c r="R1091" s="58"/>
      <c r="S1091" s="62" t="str">
        <f aca="false">IF(OR(B1091="",V1091=""),"",IFERROR(INDEX(C_TIPO,MATCH(V1091&amp;"-P"&amp;MAX(1,COUNTIFS(C_RUTN,V1091,C_DEF,"Sí",C_INI,"&lt;="&amp;EOMONTH(B1091,0))),C_CLAVE,0))&amp;"","Sin contrato"))</f>
        <v/>
      </c>
      <c r="T1091" s="63" t="str">
        <f aca="false">IF(OR(B1091="",N(O1091)=0),"",N(O1091)+ROUND(MIN(N(N1091),TOPE_UF*UF_MES)*(TASA_EMP+MUTUAL),0)+ROUND(MIN(N(N1091),TOPE_AFC_UF*UF_MES)*IF(S1091="Indefinido",AFC_INDEF,AFC_PF),0))</f>
        <v/>
      </c>
      <c r="U1091" s="62" t="str">
        <f aca="false">IF(C1091="","",IF(LEFT(D1091,1)="⚠","⚠ RUT no registrado en Trabajadores",IF(B1091="","⚠ Falta el mes",IF(OR(ISTEXT(I1091),ISTEXT(J1091)),"⚠ Atrasos u horas extra como texto: escriba hh:mm (ej. 1:30)",IF(AND(ISNUMBER(Q1091),COUNTIFS(M_RUTN,V1091,M_MES,B1091,M_LIQ,"&lt;&gt;")&gt;1),"⚠ Liquidación repetida en el mes",IF(AND(ISNUMBER(O1091),ISNUMBER(P1091),ISNUMBER(Q1091),ABS(O1091-P1091-Q1091)&gt;1),"⚠ Haberes − descuentos no da el líquido","OK"))))))</f>
        <v/>
      </c>
      <c r="V1091" s="62" t="str">
        <f aca="false">IF(C1091="","",IFERROR(VALUE(LEFT(UPPER(SUBSTITUTE(SUBSTITUTE(SUBSTITUTE(TRIM(C1091),".",""),"-","")," ","")),LEN(UPPER(SUBSTITUTE(SUBSTITUTE(SUBSTITUTE(TRIM(C1091),".",""),"-","")," ","")))-1))&amp;RIGHT(UPPER(SUBSTITUTE(SUBSTITUTE(SUBSTITUTE(TRIM(C1091),".",""),"-","")," ","")),1),UPPER(SUBSTITUTE(SUBSTITUTE(SUBSTITUTE(TRIM(C1091),".",""),"-","")," ",""))))</f>
        <v/>
      </c>
    </row>
    <row r="1092" customFormat="false" ht="15" hidden="false" customHeight="false" outlineLevel="0" collapsed="false">
      <c r="B1092" s="80"/>
      <c r="C1092" s="58"/>
      <c r="D1092" s="62" t="str">
        <f aca="false">IF(C1092="","",IFERROR(INDEX(T_NOMBRE,MATCH(V1092,T_RUTN,0)),"⚠ RUT no está en Trabajadores"))</f>
        <v/>
      </c>
      <c r="E1092" s="61"/>
      <c r="F1092" s="61"/>
      <c r="G1092" s="61"/>
      <c r="H1092" s="61"/>
      <c r="I1092" s="81"/>
      <c r="J1092" s="81"/>
      <c r="K1092" s="60"/>
      <c r="L1092" s="60"/>
      <c r="M1092" s="60"/>
      <c r="N1092" s="60"/>
      <c r="O1092" s="60"/>
      <c r="P1092" s="60"/>
      <c r="Q1092" s="60"/>
      <c r="R1092" s="58"/>
      <c r="S1092" s="62" t="str">
        <f aca="false">IF(OR(B1092="",V1092=""),"",IFERROR(INDEX(C_TIPO,MATCH(V1092&amp;"-P"&amp;MAX(1,COUNTIFS(C_RUTN,V1092,C_DEF,"Sí",C_INI,"&lt;="&amp;EOMONTH(B1092,0))),C_CLAVE,0))&amp;"","Sin contrato"))</f>
        <v/>
      </c>
      <c r="T1092" s="63" t="str">
        <f aca="false">IF(OR(B1092="",N(O1092)=0),"",N(O1092)+ROUND(MIN(N(N1092),TOPE_UF*UF_MES)*(TASA_EMP+MUTUAL),0)+ROUND(MIN(N(N1092),TOPE_AFC_UF*UF_MES)*IF(S1092="Indefinido",AFC_INDEF,AFC_PF),0))</f>
        <v/>
      </c>
      <c r="U1092" s="62" t="str">
        <f aca="false">IF(C1092="","",IF(LEFT(D1092,1)="⚠","⚠ RUT no registrado en Trabajadores",IF(B1092="","⚠ Falta el mes",IF(OR(ISTEXT(I1092),ISTEXT(J1092)),"⚠ Atrasos u horas extra como texto: escriba hh:mm (ej. 1:30)",IF(AND(ISNUMBER(Q1092),COUNTIFS(M_RUTN,V1092,M_MES,B1092,M_LIQ,"&lt;&gt;")&gt;1),"⚠ Liquidación repetida en el mes",IF(AND(ISNUMBER(O1092),ISNUMBER(P1092),ISNUMBER(Q1092),ABS(O1092-P1092-Q1092)&gt;1),"⚠ Haberes − descuentos no da el líquido","OK"))))))</f>
        <v/>
      </c>
      <c r="V1092" s="62" t="str">
        <f aca="false">IF(C1092="","",IFERROR(VALUE(LEFT(UPPER(SUBSTITUTE(SUBSTITUTE(SUBSTITUTE(TRIM(C1092),".",""),"-","")," ","")),LEN(UPPER(SUBSTITUTE(SUBSTITUTE(SUBSTITUTE(TRIM(C1092),".",""),"-","")," ","")))-1))&amp;RIGHT(UPPER(SUBSTITUTE(SUBSTITUTE(SUBSTITUTE(TRIM(C1092),".",""),"-","")," ","")),1),UPPER(SUBSTITUTE(SUBSTITUTE(SUBSTITUTE(TRIM(C1092),".",""),"-","")," ",""))))</f>
        <v/>
      </c>
    </row>
    <row r="1093" customFormat="false" ht="15" hidden="false" customHeight="false" outlineLevel="0" collapsed="false">
      <c r="B1093" s="80"/>
      <c r="C1093" s="58"/>
      <c r="D1093" s="62" t="str">
        <f aca="false">IF(C1093="","",IFERROR(INDEX(T_NOMBRE,MATCH(V1093,T_RUTN,0)),"⚠ RUT no está en Trabajadores"))</f>
        <v/>
      </c>
      <c r="E1093" s="61"/>
      <c r="F1093" s="61"/>
      <c r="G1093" s="61"/>
      <c r="H1093" s="61"/>
      <c r="I1093" s="81"/>
      <c r="J1093" s="81"/>
      <c r="K1093" s="60"/>
      <c r="L1093" s="60"/>
      <c r="M1093" s="60"/>
      <c r="N1093" s="60"/>
      <c r="O1093" s="60"/>
      <c r="P1093" s="60"/>
      <c r="Q1093" s="60"/>
      <c r="R1093" s="58"/>
      <c r="S1093" s="62" t="str">
        <f aca="false">IF(OR(B1093="",V1093=""),"",IFERROR(INDEX(C_TIPO,MATCH(V1093&amp;"-P"&amp;MAX(1,COUNTIFS(C_RUTN,V1093,C_DEF,"Sí",C_INI,"&lt;="&amp;EOMONTH(B1093,0))),C_CLAVE,0))&amp;"","Sin contrato"))</f>
        <v/>
      </c>
      <c r="T1093" s="63" t="str">
        <f aca="false">IF(OR(B1093="",N(O1093)=0),"",N(O1093)+ROUND(MIN(N(N1093),TOPE_UF*UF_MES)*(TASA_EMP+MUTUAL),0)+ROUND(MIN(N(N1093),TOPE_AFC_UF*UF_MES)*IF(S1093="Indefinido",AFC_INDEF,AFC_PF),0))</f>
        <v/>
      </c>
      <c r="U1093" s="62" t="str">
        <f aca="false">IF(C1093="","",IF(LEFT(D1093,1)="⚠","⚠ RUT no registrado en Trabajadores",IF(B1093="","⚠ Falta el mes",IF(OR(ISTEXT(I1093),ISTEXT(J1093)),"⚠ Atrasos u horas extra como texto: escriba hh:mm (ej. 1:30)",IF(AND(ISNUMBER(Q1093),COUNTIFS(M_RUTN,V1093,M_MES,B1093,M_LIQ,"&lt;&gt;")&gt;1),"⚠ Liquidación repetida en el mes",IF(AND(ISNUMBER(O1093),ISNUMBER(P1093),ISNUMBER(Q1093),ABS(O1093-P1093-Q1093)&gt;1),"⚠ Haberes − descuentos no da el líquido","OK"))))))</f>
        <v/>
      </c>
      <c r="V1093" s="62" t="str">
        <f aca="false">IF(C1093="","",IFERROR(VALUE(LEFT(UPPER(SUBSTITUTE(SUBSTITUTE(SUBSTITUTE(TRIM(C1093),".",""),"-","")," ","")),LEN(UPPER(SUBSTITUTE(SUBSTITUTE(SUBSTITUTE(TRIM(C1093),".",""),"-","")," ","")))-1))&amp;RIGHT(UPPER(SUBSTITUTE(SUBSTITUTE(SUBSTITUTE(TRIM(C1093),".",""),"-","")," ","")),1),UPPER(SUBSTITUTE(SUBSTITUTE(SUBSTITUTE(TRIM(C1093),".",""),"-","")," ",""))))</f>
        <v/>
      </c>
    </row>
    <row r="1094" customFormat="false" ht="15" hidden="false" customHeight="false" outlineLevel="0" collapsed="false">
      <c r="B1094" s="80"/>
      <c r="C1094" s="58"/>
      <c r="D1094" s="62" t="str">
        <f aca="false">IF(C1094="","",IFERROR(INDEX(T_NOMBRE,MATCH(V1094,T_RUTN,0)),"⚠ RUT no está en Trabajadores"))</f>
        <v/>
      </c>
      <c r="E1094" s="61"/>
      <c r="F1094" s="61"/>
      <c r="G1094" s="61"/>
      <c r="H1094" s="61"/>
      <c r="I1094" s="81"/>
      <c r="J1094" s="81"/>
      <c r="K1094" s="60"/>
      <c r="L1094" s="60"/>
      <c r="M1094" s="60"/>
      <c r="N1094" s="60"/>
      <c r="O1094" s="60"/>
      <c r="P1094" s="60"/>
      <c r="Q1094" s="60"/>
      <c r="R1094" s="58"/>
      <c r="S1094" s="62" t="str">
        <f aca="false">IF(OR(B1094="",V1094=""),"",IFERROR(INDEX(C_TIPO,MATCH(V1094&amp;"-P"&amp;MAX(1,COUNTIFS(C_RUTN,V1094,C_DEF,"Sí",C_INI,"&lt;="&amp;EOMONTH(B1094,0))),C_CLAVE,0))&amp;"","Sin contrato"))</f>
        <v/>
      </c>
      <c r="T1094" s="63" t="str">
        <f aca="false">IF(OR(B1094="",N(O1094)=0),"",N(O1094)+ROUND(MIN(N(N1094),TOPE_UF*UF_MES)*(TASA_EMP+MUTUAL),0)+ROUND(MIN(N(N1094),TOPE_AFC_UF*UF_MES)*IF(S1094="Indefinido",AFC_INDEF,AFC_PF),0))</f>
        <v/>
      </c>
      <c r="U1094" s="62" t="str">
        <f aca="false">IF(C1094="","",IF(LEFT(D1094,1)="⚠","⚠ RUT no registrado en Trabajadores",IF(B1094="","⚠ Falta el mes",IF(OR(ISTEXT(I1094),ISTEXT(J1094)),"⚠ Atrasos u horas extra como texto: escriba hh:mm (ej. 1:30)",IF(AND(ISNUMBER(Q1094),COUNTIFS(M_RUTN,V1094,M_MES,B1094,M_LIQ,"&lt;&gt;")&gt;1),"⚠ Liquidación repetida en el mes",IF(AND(ISNUMBER(O1094),ISNUMBER(P1094),ISNUMBER(Q1094),ABS(O1094-P1094-Q1094)&gt;1),"⚠ Haberes − descuentos no da el líquido","OK"))))))</f>
        <v/>
      </c>
      <c r="V1094" s="62" t="str">
        <f aca="false">IF(C1094="","",IFERROR(VALUE(LEFT(UPPER(SUBSTITUTE(SUBSTITUTE(SUBSTITUTE(TRIM(C1094),".",""),"-","")," ","")),LEN(UPPER(SUBSTITUTE(SUBSTITUTE(SUBSTITUTE(TRIM(C1094),".",""),"-","")," ","")))-1))&amp;RIGHT(UPPER(SUBSTITUTE(SUBSTITUTE(SUBSTITUTE(TRIM(C1094),".",""),"-","")," ","")),1),UPPER(SUBSTITUTE(SUBSTITUTE(SUBSTITUTE(TRIM(C1094),".",""),"-","")," ",""))))</f>
        <v/>
      </c>
    </row>
    <row r="1095" customFormat="false" ht="15" hidden="false" customHeight="false" outlineLevel="0" collapsed="false">
      <c r="B1095" s="80"/>
      <c r="C1095" s="58"/>
      <c r="D1095" s="62" t="str">
        <f aca="false">IF(C1095="","",IFERROR(INDEX(T_NOMBRE,MATCH(V1095,T_RUTN,0)),"⚠ RUT no está en Trabajadores"))</f>
        <v/>
      </c>
      <c r="E1095" s="61"/>
      <c r="F1095" s="61"/>
      <c r="G1095" s="61"/>
      <c r="H1095" s="61"/>
      <c r="I1095" s="81"/>
      <c r="J1095" s="81"/>
      <c r="K1095" s="60"/>
      <c r="L1095" s="60"/>
      <c r="M1095" s="60"/>
      <c r="N1095" s="60"/>
      <c r="O1095" s="60"/>
      <c r="P1095" s="60"/>
      <c r="Q1095" s="60"/>
      <c r="R1095" s="58"/>
      <c r="S1095" s="62" t="str">
        <f aca="false">IF(OR(B1095="",V1095=""),"",IFERROR(INDEX(C_TIPO,MATCH(V1095&amp;"-P"&amp;MAX(1,COUNTIFS(C_RUTN,V1095,C_DEF,"Sí",C_INI,"&lt;="&amp;EOMONTH(B1095,0))),C_CLAVE,0))&amp;"","Sin contrato"))</f>
        <v/>
      </c>
      <c r="T1095" s="63" t="str">
        <f aca="false">IF(OR(B1095="",N(O1095)=0),"",N(O1095)+ROUND(MIN(N(N1095),TOPE_UF*UF_MES)*(TASA_EMP+MUTUAL),0)+ROUND(MIN(N(N1095),TOPE_AFC_UF*UF_MES)*IF(S1095="Indefinido",AFC_INDEF,AFC_PF),0))</f>
        <v/>
      </c>
      <c r="U1095" s="62" t="str">
        <f aca="false">IF(C1095="","",IF(LEFT(D1095,1)="⚠","⚠ RUT no registrado en Trabajadores",IF(B1095="","⚠ Falta el mes",IF(OR(ISTEXT(I1095),ISTEXT(J1095)),"⚠ Atrasos u horas extra como texto: escriba hh:mm (ej. 1:30)",IF(AND(ISNUMBER(Q1095),COUNTIFS(M_RUTN,V1095,M_MES,B1095,M_LIQ,"&lt;&gt;")&gt;1),"⚠ Liquidación repetida en el mes",IF(AND(ISNUMBER(O1095),ISNUMBER(P1095),ISNUMBER(Q1095),ABS(O1095-P1095-Q1095)&gt;1),"⚠ Haberes − descuentos no da el líquido","OK"))))))</f>
        <v/>
      </c>
      <c r="V1095" s="62" t="str">
        <f aca="false">IF(C1095="","",IFERROR(VALUE(LEFT(UPPER(SUBSTITUTE(SUBSTITUTE(SUBSTITUTE(TRIM(C1095),".",""),"-","")," ","")),LEN(UPPER(SUBSTITUTE(SUBSTITUTE(SUBSTITUTE(TRIM(C1095),".",""),"-","")," ","")))-1))&amp;RIGHT(UPPER(SUBSTITUTE(SUBSTITUTE(SUBSTITUTE(TRIM(C1095),".",""),"-","")," ","")),1),UPPER(SUBSTITUTE(SUBSTITUTE(SUBSTITUTE(TRIM(C1095),".",""),"-","")," ",""))))</f>
        <v/>
      </c>
    </row>
    <row r="1096" customFormat="false" ht="15" hidden="false" customHeight="false" outlineLevel="0" collapsed="false">
      <c r="B1096" s="80"/>
      <c r="C1096" s="58"/>
      <c r="D1096" s="62" t="str">
        <f aca="false">IF(C1096="","",IFERROR(INDEX(T_NOMBRE,MATCH(V1096,T_RUTN,0)),"⚠ RUT no está en Trabajadores"))</f>
        <v/>
      </c>
      <c r="E1096" s="61"/>
      <c r="F1096" s="61"/>
      <c r="G1096" s="61"/>
      <c r="H1096" s="61"/>
      <c r="I1096" s="81"/>
      <c r="J1096" s="81"/>
      <c r="K1096" s="60"/>
      <c r="L1096" s="60"/>
      <c r="M1096" s="60"/>
      <c r="N1096" s="60"/>
      <c r="O1096" s="60"/>
      <c r="P1096" s="60"/>
      <c r="Q1096" s="60"/>
      <c r="R1096" s="58"/>
      <c r="S1096" s="62" t="str">
        <f aca="false">IF(OR(B1096="",V1096=""),"",IFERROR(INDEX(C_TIPO,MATCH(V1096&amp;"-P"&amp;MAX(1,COUNTIFS(C_RUTN,V1096,C_DEF,"Sí",C_INI,"&lt;="&amp;EOMONTH(B1096,0))),C_CLAVE,0))&amp;"","Sin contrato"))</f>
        <v/>
      </c>
      <c r="T1096" s="63" t="str">
        <f aca="false">IF(OR(B1096="",N(O1096)=0),"",N(O1096)+ROUND(MIN(N(N1096),TOPE_UF*UF_MES)*(TASA_EMP+MUTUAL),0)+ROUND(MIN(N(N1096),TOPE_AFC_UF*UF_MES)*IF(S1096="Indefinido",AFC_INDEF,AFC_PF),0))</f>
        <v/>
      </c>
      <c r="U1096" s="62" t="str">
        <f aca="false">IF(C1096="","",IF(LEFT(D1096,1)="⚠","⚠ RUT no registrado en Trabajadores",IF(B1096="","⚠ Falta el mes",IF(OR(ISTEXT(I1096),ISTEXT(J1096)),"⚠ Atrasos u horas extra como texto: escriba hh:mm (ej. 1:30)",IF(AND(ISNUMBER(Q1096),COUNTIFS(M_RUTN,V1096,M_MES,B1096,M_LIQ,"&lt;&gt;")&gt;1),"⚠ Liquidación repetida en el mes",IF(AND(ISNUMBER(O1096),ISNUMBER(P1096),ISNUMBER(Q1096),ABS(O1096-P1096-Q1096)&gt;1),"⚠ Haberes − descuentos no da el líquido","OK"))))))</f>
        <v/>
      </c>
      <c r="V1096" s="62" t="str">
        <f aca="false">IF(C1096="","",IFERROR(VALUE(LEFT(UPPER(SUBSTITUTE(SUBSTITUTE(SUBSTITUTE(TRIM(C1096),".",""),"-","")," ","")),LEN(UPPER(SUBSTITUTE(SUBSTITUTE(SUBSTITUTE(TRIM(C1096),".",""),"-","")," ","")))-1))&amp;RIGHT(UPPER(SUBSTITUTE(SUBSTITUTE(SUBSTITUTE(TRIM(C1096),".",""),"-","")," ","")),1),UPPER(SUBSTITUTE(SUBSTITUTE(SUBSTITUTE(TRIM(C1096),".",""),"-","")," ",""))))</f>
        <v/>
      </c>
    </row>
    <row r="1097" customFormat="false" ht="15" hidden="false" customHeight="false" outlineLevel="0" collapsed="false">
      <c r="B1097" s="80"/>
      <c r="C1097" s="58"/>
      <c r="D1097" s="62" t="str">
        <f aca="false">IF(C1097="","",IFERROR(INDEX(T_NOMBRE,MATCH(V1097,T_RUTN,0)),"⚠ RUT no está en Trabajadores"))</f>
        <v/>
      </c>
      <c r="E1097" s="61"/>
      <c r="F1097" s="61"/>
      <c r="G1097" s="61"/>
      <c r="H1097" s="61"/>
      <c r="I1097" s="81"/>
      <c r="J1097" s="81"/>
      <c r="K1097" s="60"/>
      <c r="L1097" s="60"/>
      <c r="M1097" s="60"/>
      <c r="N1097" s="60"/>
      <c r="O1097" s="60"/>
      <c r="P1097" s="60"/>
      <c r="Q1097" s="60"/>
      <c r="R1097" s="58"/>
      <c r="S1097" s="62" t="str">
        <f aca="false">IF(OR(B1097="",V1097=""),"",IFERROR(INDEX(C_TIPO,MATCH(V1097&amp;"-P"&amp;MAX(1,COUNTIFS(C_RUTN,V1097,C_DEF,"Sí",C_INI,"&lt;="&amp;EOMONTH(B1097,0))),C_CLAVE,0))&amp;"","Sin contrato"))</f>
        <v/>
      </c>
      <c r="T1097" s="63" t="str">
        <f aca="false">IF(OR(B1097="",N(O1097)=0),"",N(O1097)+ROUND(MIN(N(N1097),TOPE_UF*UF_MES)*(TASA_EMP+MUTUAL),0)+ROUND(MIN(N(N1097),TOPE_AFC_UF*UF_MES)*IF(S1097="Indefinido",AFC_INDEF,AFC_PF),0))</f>
        <v/>
      </c>
      <c r="U1097" s="62" t="str">
        <f aca="false">IF(C1097="","",IF(LEFT(D1097,1)="⚠","⚠ RUT no registrado en Trabajadores",IF(B1097="","⚠ Falta el mes",IF(OR(ISTEXT(I1097),ISTEXT(J1097)),"⚠ Atrasos u horas extra como texto: escriba hh:mm (ej. 1:30)",IF(AND(ISNUMBER(Q1097),COUNTIFS(M_RUTN,V1097,M_MES,B1097,M_LIQ,"&lt;&gt;")&gt;1),"⚠ Liquidación repetida en el mes",IF(AND(ISNUMBER(O1097),ISNUMBER(P1097),ISNUMBER(Q1097),ABS(O1097-P1097-Q1097)&gt;1),"⚠ Haberes − descuentos no da el líquido","OK"))))))</f>
        <v/>
      </c>
      <c r="V1097" s="62" t="str">
        <f aca="false">IF(C1097="","",IFERROR(VALUE(LEFT(UPPER(SUBSTITUTE(SUBSTITUTE(SUBSTITUTE(TRIM(C1097),".",""),"-","")," ","")),LEN(UPPER(SUBSTITUTE(SUBSTITUTE(SUBSTITUTE(TRIM(C1097),".",""),"-","")," ","")))-1))&amp;RIGHT(UPPER(SUBSTITUTE(SUBSTITUTE(SUBSTITUTE(TRIM(C1097),".",""),"-","")," ","")),1),UPPER(SUBSTITUTE(SUBSTITUTE(SUBSTITUTE(TRIM(C1097),".",""),"-","")," ",""))))</f>
        <v/>
      </c>
    </row>
    <row r="1098" customFormat="false" ht="15" hidden="false" customHeight="false" outlineLevel="0" collapsed="false">
      <c r="B1098" s="80"/>
      <c r="C1098" s="58"/>
      <c r="D1098" s="62" t="str">
        <f aca="false">IF(C1098="","",IFERROR(INDEX(T_NOMBRE,MATCH(V1098,T_RUTN,0)),"⚠ RUT no está en Trabajadores"))</f>
        <v/>
      </c>
      <c r="E1098" s="61"/>
      <c r="F1098" s="61"/>
      <c r="G1098" s="61"/>
      <c r="H1098" s="61"/>
      <c r="I1098" s="81"/>
      <c r="J1098" s="81"/>
      <c r="K1098" s="60"/>
      <c r="L1098" s="60"/>
      <c r="M1098" s="60"/>
      <c r="N1098" s="60"/>
      <c r="O1098" s="60"/>
      <c r="P1098" s="60"/>
      <c r="Q1098" s="60"/>
      <c r="R1098" s="58"/>
      <c r="S1098" s="62" t="str">
        <f aca="false">IF(OR(B1098="",V1098=""),"",IFERROR(INDEX(C_TIPO,MATCH(V1098&amp;"-P"&amp;MAX(1,COUNTIFS(C_RUTN,V1098,C_DEF,"Sí",C_INI,"&lt;="&amp;EOMONTH(B1098,0))),C_CLAVE,0))&amp;"","Sin contrato"))</f>
        <v/>
      </c>
      <c r="T1098" s="63" t="str">
        <f aca="false">IF(OR(B1098="",N(O1098)=0),"",N(O1098)+ROUND(MIN(N(N1098),TOPE_UF*UF_MES)*(TASA_EMP+MUTUAL),0)+ROUND(MIN(N(N1098),TOPE_AFC_UF*UF_MES)*IF(S1098="Indefinido",AFC_INDEF,AFC_PF),0))</f>
        <v/>
      </c>
      <c r="U1098" s="62" t="str">
        <f aca="false">IF(C1098="","",IF(LEFT(D1098,1)="⚠","⚠ RUT no registrado en Trabajadores",IF(B1098="","⚠ Falta el mes",IF(OR(ISTEXT(I1098),ISTEXT(J1098)),"⚠ Atrasos u horas extra como texto: escriba hh:mm (ej. 1:30)",IF(AND(ISNUMBER(Q1098),COUNTIFS(M_RUTN,V1098,M_MES,B1098,M_LIQ,"&lt;&gt;")&gt;1),"⚠ Liquidación repetida en el mes",IF(AND(ISNUMBER(O1098),ISNUMBER(P1098),ISNUMBER(Q1098),ABS(O1098-P1098-Q1098)&gt;1),"⚠ Haberes − descuentos no da el líquido","OK"))))))</f>
        <v/>
      </c>
      <c r="V1098" s="62" t="str">
        <f aca="false">IF(C1098="","",IFERROR(VALUE(LEFT(UPPER(SUBSTITUTE(SUBSTITUTE(SUBSTITUTE(TRIM(C1098),".",""),"-","")," ","")),LEN(UPPER(SUBSTITUTE(SUBSTITUTE(SUBSTITUTE(TRIM(C1098),".",""),"-","")," ","")))-1))&amp;RIGHT(UPPER(SUBSTITUTE(SUBSTITUTE(SUBSTITUTE(TRIM(C1098),".",""),"-","")," ","")),1),UPPER(SUBSTITUTE(SUBSTITUTE(SUBSTITUTE(TRIM(C1098),".",""),"-","")," ",""))))</f>
        <v/>
      </c>
    </row>
    <row r="1099" customFormat="false" ht="15" hidden="false" customHeight="false" outlineLevel="0" collapsed="false">
      <c r="B1099" s="80"/>
      <c r="C1099" s="58"/>
      <c r="D1099" s="62" t="str">
        <f aca="false">IF(C1099="","",IFERROR(INDEX(T_NOMBRE,MATCH(V1099,T_RUTN,0)),"⚠ RUT no está en Trabajadores"))</f>
        <v/>
      </c>
      <c r="E1099" s="61"/>
      <c r="F1099" s="61"/>
      <c r="G1099" s="61"/>
      <c r="H1099" s="61"/>
      <c r="I1099" s="81"/>
      <c r="J1099" s="81"/>
      <c r="K1099" s="60"/>
      <c r="L1099" s="60"/>
      <c r="M1099" s="60"/>
      <c r="N1099" s="60"/>
      <c r="O1099" s="60"/>
      <c r="P1099" s="60"/>
      <c r="Q1099" s="60"/>
      <c r="R1099" s="58"/>
      <c r="S1099" s="62" t="str">
        <f aca="false">IF(OR(B1099="",V1099=""),"",IFERROR(INDEX(C_TIPO,MATCH(V1099&amp;"-P"&amp;MAX(1,COUNTIFS(C_RUTN,V1099,C_DEF,"Sí",C_INI,"&lt;="&amp;EOMONTH(B1099,0))),C_CLAVE,0))&amp;"","Sin contrato"))</f>
        <v/>
      </c>
      <c r="T1099" s="63" t="str">
        <f aca="false">IF(OR(B1099="",N(O1099)=0),"",N(O1099)+ROUND(MIN(N(N1099),TOPE_UF*UF_MES)*(TASA_EMP+MUTUAL),0)+ROUND(MIN(N(N1099),TOPE_AFC_UF*UF_MES)*IF(S1099="Indefinido",AFC_INDEF,AFC_PF),0))</f>
        <v/>
      </c>
      <c r="U1099" s="62" t="str">
        <f aca="false">IF(C1099="","",IF(LEFT(D1099,1)="⚠","⚠ RUT no registrado en Trabajadores",IF(B1099="","⚠ Falta el mes",IF(OR(ISTEXT(I1099),ISTEXT(J1099)),"⚠ Atrasos u horas extra como texto: escriba hh:mm (ej. 1:30)",IF(AND(ISNUMBER(Q1099),COUNTIFS(M_RUTN,V1099,M_MES,B1099,M_LIQ,"&lt;&gt;")&gt;1),"⚠ Liquidación repetida en el mes",IF(AND(ISNUMBER(O1099),ISNUMBER(P1099),ISNUMBER(Q1099),ABS(O1099-P1099-Q1099)&gt;1),"⚠ Haberes − descuentos no da el líquido","OK"))))))</f>
        <v/>
      </c>
      <c r="V1099" s="62" t="str">
        <f aca="false">IF(C1099="","",IFERROR(VALUE(LEFT(UPPER(SUBSTITUTE(SUBSTITUTE(SUBSTITUTE(TRIM(C1099),".",""),"-","")," ","")),LEN(UPPER(SUBSTITUTE(SUBSTITUTE(SUBSTITUTE(TRIM(C1099),".",""),"-","")," ","")))-1))&amp;RIGHT(UPPER(SUBSTITUTE(SUBSTITUTE(SUBSTITUTE(TRIM(C1099),".",""),"-","")," ","")),1),UPPER(SUBSTITUTE(SUBSTITUTE(SUBSTITUTE(TRIM(C1099),".",""),"-","")," ",""))))</f>
        <v/>
      </c>
    </row>
    <row r="1100" customFormat="false" ht="15" hidden="false" customHeight="false" outlineLevel="0" collapsed="false">
      <c r="B1100" s="80"/>
      <c r="C1100" s="58"/>
      <c r="D1100" s="62" t="str">
        <f aca="false">IF(C1100="","",IFERROR(INDEX(T_NOMBRE,MATCH(V1100,T_RUTN,0)),"⚠ RUT no está en Trabajadores"))</f>
        <v/>
      </c>
      <c r="E1100" s="61"/>
      <c r="F1100" s="61"/>
      <c r="G1100" s="61"/>
      <c r="H1100" s="61"/>
      <c r="I1100" s="81"/>
      <c r="J1100" s="81"/>
      <c r="K1100" s="60"/>
      <c r="L1100" s="60"/>
      <c r="M1100" s="60"/>
      <c r="N1100" s="60"/>
      <c r="O1100" s="60"/>
      <c r="P1100" s="60"/>
      <c r="Q1100" s="60"/>
      <c r="R1100" s="58"/>
      <c r="S1100" s="62" t="str">
        <f aca="false">IF(OR(B1100="",V1100=""),"",IFERROR(INDEX(C_TIPO,MATCH(V1100&amp;"-P"&amp;MAX(1,COUNTIFS(C_RUTN,V1100,C_DEF,"Sí",C_INI,"&lt;="&amp;EOMONTH(B1100,0))),C_CLAVE,0))&amp;"","Sin contrato"))</f>
        <v/>
      </c>
      <c r="T1100" s="63" t="str">
        <f aca="false">IF(OR(B1100="",N(O1100)=0),"",N(O1100)+ROUND(MIN(N(N1100),TOPE_UF*UF_MES)*(TASA_EMP+MUTUAL),0)+ROUND(MIN(N(N1100),TOPE_AFC_UF*UF_MES)*IF(S1100="Indefinido",AFC_INDEF,AFC_PF),0))</f>
        <v/>
      </c>
      <c r="U1100" s="62" t="str">
        <f aca="false">IF(C1100="","",IF(LEFT(D1100,1)="⚠","⚠ RUT no registrado en Trabajadores",IF(B1100="","⚠ Falta el mes",IF(OR(ISTEXT(I1100),ISTEXT(J1100)),"⚠ Atrasos u horas extra como texto: escriba hh:mm (ej. 1:30)",IF(AND(ISNUMBER(Q1100),COUNTIFS(M_RUTN,V1100,M_MES,B1100,M_LIQ,"&lt;&gt;")&gt;1),"⚠ Liquidación repetida en el mes",IF(AND(ISNUMBER(O1100),ISNUMBER(P1100),ISNUMBER(Q1100),ABS(O1100-P1100-Q1100)&gt;1),"⚠ Haberes − descuentos no da el líquido","OK"))))))</f>
        <v/>
      </c>
      <c r="V1100" s="62" t="str">
        <f aca="false">IF(C1100="","",IFERROR(VALUE(LEFT(UPPER(SUBSTITUTE(SUBSTITUTE(SUBSTITUTE(TRIM(C1100),".",""),"-","")," ","")),LEN(UPPER(SUBSTITUTE(SUBSTITUTE(SUBSTITUTE(TRIM(C1100),".",""),"-","")," ","")))-1))&amp;RIGHT(UPPER(SUBSTITUTE(SUBSTITUTE(SUBSTITUTE(TRIM(C1100),".",""),"-","")," ","")),1),UPPER(SUBSTITUTE(SUBSTITUTE(SUBSTITUTE(TRIM(C1100),".",""),"-","")," ",""))))</f>
        <v/>
      </c>
    </row>
    <row r="1101" customFormat="false" ht="15" hidden="false" customHeight="false" outlineLevel="0" collapsed="false">
      <c r="B1101" s="80"/>
      <c r="C1101" s="58"/>
      <c r="D1101" s="62" t="str">
        <f aca="false">IF(C1101="","",IFERROR(INDEX(T_NOMBRE,MATCH(V1101,T_RUTN,0)),"⚠ RUT no está en Trabajadores"))</f>
        <v/>
      </c>
      <c r="E1101" s="61"/>
      <c r="F1101" s="61"/>
      <c r="G1101" s="61"/>
      <c r="H1101" s="61"/>
      <c r="I1101" s="81"/>
      <c r="J1101" s="81"/>
      <c r="K1101" s="60"/>
      <c r="L1101" s="60"/>
      <c r="M1101" s="60"/>
      <c r="N1101" s="60"/>
      <c r="O1101" s="60"/>
      <c r="P1101" s="60"/>
      <c r="Q1101" s="60"/>
      <c r="R1101" s="58"/>
      <c r="S1101" s="62" t="str">
        <f aca="false">IF(OR(B1101="",V1101=""),"",IFERROR(INDEX(C_TIPO,MATCH(V1101&amp;"-P"&amp;MAX(1,COUNTIFS(C_RUTN,V1101,C_DEF,"Sí",C_INI,"&lt;="&amp;EOMONTH(B1101,0))),C_CLAVE,0))&amp;"","Sin contrato"))</f>
        <v/>
      </c>
      <c r="T1101" s="63" t="str">
        <f aca="false">IF(OR(B1101="",N(O1101)=0),"",N(O1101)+ROUND(MIN(N(N1101),TOPE_UF*UF_MES)*(TASA_EMP+MUTUAL),0)+ROUND(MIN(N(N1101),TOPE_AFC_UF*UF_MES)*IF(S1101="Indefinido",AFC_INDEF,AFC_PF),0))</f>
        <v/>
      </c>
      <c r="U1101" s="62" t="str">
        <f aca="false">IF(C1101="","",IF(LEFT(D1101,1)="⚠","⚠ RUT no registrado en Trabajadores",IF(B1101="","⚠ Falta el mes",IF(OR(ISTEXT(I1101),ISTEXT(J1101)),"⚠ Atrasos u horas extra como texto: escriba hh:mm (ej. 1:30)",IF(AND(ISNUMBER(Q1101),COUNTIFS(M_RUTN,V1101,M_MES,B1101,M_LIQ,"&lt;&gt;")&gt;1),"⚠ Liquidación repetida en el mes",IF(AND(ISNUMBER(O1101),ISNUMBER(P1101),ISNUMBER(Q1101),ABS(O1101-P1101-Q1101)&gt;1),"⚠ Haberes − descuentos no da el líquido","OK"))))))</f>
        <v/>
      </c>
      <c r="V1101" s="62" t="str">
        <f aca="false">IF(C1101="","",IFERROR(VALUE(LEFT(UPPER(SUBSTITUTE(SUBSTITUTE(SUBSTITUTE(TRIM(C1101),".",""),"-","")," ","")),LEN(UPPER(SUBSTITUTE(SUBSTITUTE(SUBSTITUTE(TRIM(C1101),".",""),"-","")," ","")))-1))&amp;RIGHT(UPPER(SUBSTITUTE(SUBSTITUTE(SUBSTITUTE(TRIM(C1101),".",""),"-","")," ","")),1),UPPER(SUBSTITUTE(SUBSTITUTE(SUBSTITUTE(TRIM(C1101),".",""),"-","")," ",""))))</f>
        <v/>
      </c>
    </row>
    <row r="1102" customFormat="false" ht="15" hidden="false" customHeight="false" outlineLevel="0" collapsed="false">
      <c r="B1102" s="80"/>
      <c r="C1102" s="58"/>
      <c r="D1102" s="62" t="str">
        <f aca="false">IF(C1102="","",IFERROR(INDEX(T_NOMBRE,MATCH(V1102,T_RUTN,0)),"⚠ RUT no está en Trabajadores"))</f>
        <v/>
      </c>
      <c r="E1102" s="61"/>
      <c r="F1102" s="61"/>
      <c r="G1102" s="61"/>
      <c r="H1102" s="61"/>
      <c r="I1102" s="81"/>
      <c r="J1102" s="81"/>
      <c r="K1102" s="60"/>
      <c r="L1102" s="60"/>
      <c r="M1102" s="60"/>
      <c r="N1102" s="60"/>
      <c r="O1102" s="60"/>
      <c r="P1102" s="60"/>
      <c r="Q1102" s="60"/>
      <c r="R1102" s="58"/>
      <c r="S1102" s="62" t="str">
        <f aca="false">IF(OR(B1102="",V1102=""),"",IFERROR(INDEX(C_TIPO,MATCH(V1102&amp;"-P"&amp;MAX(1,COUNTIFS(C_RUTN,V1102,C_DEF,"Sí",C_INI,"&lt;="&amp;EOMONTH(B1102,0))),C_CLAVE,0))&amp;"","Sin contrato"))</f>
        <v/>
      </c>
      <c r="T1102" s="63" t="str">
        <f aca="false">IF(OR(B1102="",N(O1102)=0),"",N(O1102)+ROUND(MIN(N(N1102),TOPE_UF*UF_MES)*(TASA_EMP+MUTUAL),0)+ROUND(MIN(N(N1102),TOPE_AFC_UF*UF_MES)*IF(S1102="Indefinido",AFC_INDEF,AFC_PF),0))</f>
        <v/>
      </c>
      <c r="U1102" s="62" t="str">
        <f aca="false">IF(C1102="","",IF(LEFT(D1102,1)="⚠","⚠ RUT no registrado en Trabajadores",IF(B1102="","⚠ Falta el mes",IF(OR(ISTEXT(I1102),ISTEXT(J1102)),"⚠ Atrasos u horas extra como texto: escriba hh:mm (ej. 1:30)",IF(AND(ISNUMBER(Q1102),COUNTIFS(M_RUTN,V1102,M_MES,B1102,M_LIQ,"&lt;&gt;")&gt;1),"⚠ Liquidación repetida en el mes",IF(AND(ISNUMBER(O1102),ISNUMBER(P1102),ISNUMBER(Q1102),ABS(O1102-P1102-Q1102)&gt;1),"⚠ Haberes − descuentos no da el líquido","OK"))))))</f>
        <v/>
      </c>
      <c r="V1102" s="62" t="str">
        <f aca="false">IF(C1102="","",IFERROR(VALUE(LEFT(UPPER(SUBSTITUTE(SUBSTITUTE(SUBSTITUTE(TRIM(C1102),".",""),"-","")," ","")),LEN(UPPER(SUBSTITUTE(SUBSTITUTE(SUBSTITUTE(TRIM(C1102),".",""),"-","")," ","")))-1))&amp;RIGHT(UPPER(SUBSTITUTE(SUBSTITUTE(SUBSTITUTE(TRIM(C1102),".",""),"-","")," ","")),1),UPPER(SUBSTITUTE(SUBSTITUTE(SUBSTITUTE(TRIM(C1102),".",""),"-","")," ",""))))</f>
        <v/>
      </c>
    </row>
    <row r="1103" customFormat="false" ht="15" hidden="false" customHeight="false" outlineLevel="0" collapsed="false">
      <c r="B1103" s="80"/>
      <c r="C1103" s="58"/>
      <c r="D1103" s="62" t="str">
        <f aca="false">IF(C1103="","",IFERROR(INDEX(T_NOMBRE,MATCH(V1103,T_RUTN,0)),"⚠ RUT no está en Trabajadores"))</f>
        <v/>
      </c>
      <c r="E1103" s="61"/>
      <c r="F1103" s="61"/>
      <c r="G1103" s="61"/>
      <c r="H1103" s="61"/>
      <c r="I1103" s="81"/>
      <c r="J1103" s="81"/>
      <c r="K1103" s="60"/>
      <c r="L1103" s="60"/>
      <c r="M1103" s="60"/>
      <c r="N1103" s="60"/>
      <c r="O1103" s="60"/>
      <c r="P1103" s="60"/>
      <c r="Q1103" s="60"/>
      <c r="R1103" s="58"/>
      <c r="S1103" s="62" t="str">
        <f aca="false">IF(OR(B1103="",V1103=""),"",IFERROR(INDEX(C_TIPO,MATCH(V1103&amp;"-P"&amp;MAX(1,COUNTIFS(C_RUTN,V1103,C_DEF,"Sí",C_INI,"&lt;="&amp;EOMONTH(B1103,0))),C_CLAVE,0))&amp;"","Sin contrato"))</f>
        <v/>
      </c>
      <c r="T1103" s="63" t="str">
        <f aca="false">IF(OR(B1103="",N(O1103)=0),"",N(O1103)+ROUND(MIN(N(N1103),TOPE_UF*UF_MES)*(TASA_EMP+MUTUAL),0)+ROUND(MIN(N(N1103),TOPE_AFC_UF*UF_MES)*IF(S1103="Indefinido",AFC_INDEF,AFC_PF),0))</f>
        <v/>
      </c>
      <c r="U1103" s="62" t="str">
        <f aca="false">IF(C1103="","",IF(LEFT(D1103,1)="⚠","⚠ RUT no registrado en Trabajadores",IF(B1103="","⚠ Falta el mes",IF(OR(ISTEXT(I1103),ISTEXT(J1103)),"⚠ Atrasos u horas extra como texto: escriba hh:mm (ej. 1:30)",IF(AND(ISNUMBER(Q1103),COUNTIFS(M_RUTN,V1103,M_MES,B1103,M_LIQ,"&lt;&gt;")&gt;1),"⚠ Liquidación repetida en el mes",IF(AND(ISNUMBER(O1103),ISNUMBER(P1103),ISNUMBER(Q1103),ABS(O1103-P1103-Q1103)&gt;1),"⚠ Haberes − descuentos no da el líquido","OK"))))))</f>
        <v/>
      </c>
      <c r="V1103" s="62" t="str">
        <f aca="false">IF(C1103="","",IFERROR(VALUE(LEFT(UPPER(SUBSTITUTE(SUBSTITUTE(SUBSTITUTE(TRIM(C1103),".",""),"-","")," ","")),LEN(UPPER(SUBSTITUTE(SUBSTITUTE(SUBSTITUTE(TRIM(C1103),".",""),"-","")," ","")))-1))&amp;RIGHT(UPPER(SUBSTITUTE(SUBSTITUTE(SUBSTITUTE(TRIM(C1103),".",""),"-","")," ","")),1),UPPER(SUBSTITUTE(SUBSTITUTE(SUBSTITUTE(TRIM(C1103),".",""),"-","")," ",""))))</f>
        <v/>
      </c>
    </row>
    <row r="1104" customFormat="false" ht="15" hidden="false" customHeight="false" outlineLevel="0" collapsed="false">
      <c r="B1104" s="80"/>
      <c r="C1104" s="58"/>
      <c r="D1104" s="62" t="str">
        <f aca="false">IF(C1104="","",IFERROR(INDEX(T_NOMBRE,MATCH(V1104,T_RUTN,0)),"⚠ RUT no está en Trabajadores"))</f>
        <v/>
      </c>
      <c r="E1104" s="61"/>
      <c r="F1104" s="61"/>
      <c r="G1104" s="61"/>
      <c r="H1104" s="61"/>
      <c r="I1104" s="81"/>
      <c r="J1104" s="81"/>
      <c r="K1104" s="60"/>
      <c r="L1104" s="60"/>
      <c r="M1104" s="60"/>
      <c r="N1104" s="60"/>
      <c r="O1104" s="60"/>
      <c r="P1104" s="60"/>
      <c r="Q1104" s="60"/>
      <c r="R1104" s="58"/>
      <c r="S1104" s="62" t="str">
        <f aca="false">IF(OR(B1104="",V1104=""),"",IFERROR(INDEX(C_TIPO,MATCH(V1104&amp;"-P"&amp;MAX(1,COUNTIFS(C_RUTN,V1104,C_DEF,"Sí",C_INI,"&lt;="&amp;EOMONTH(B1104,0))),C_CLAVE,0))&amp;"","Sin contrato"))</f>
        <v/>
      </c>
      <c r="T1104" s="63" t="str">
        <f aca="false">IF(OR(B1104="",N(O1104)=0),"",N(O1104)+ROUND(MIN(N(N1104),TOPE_UF*UF_MES)*(TASA_EMP+MUTUAL),0)+ROUND(MIN(N(N1104),TOPE_AFC_UF*UF_MES)*IF(S1104="Indefinido",AFC_INDEF,AFC_PF),0))</f>
        <v/>
      </c>
      <c r="U1104" s="62" t="str">
        <f aca="false">IF(C1104="","",IF(LEFT(D1104,1)="⚠","⚠ RUT no registrado en Trabajadores",IF(B1104="","⚠ Falta el mes",IF(OR(ISTEXT(I1104),ISTEXT(J1104)),"⚠ Atrasos u horas extra como texto: escriba hh:mm (ej. 1:30)",IF(AND(ISNUMBER(Q1104),COUNTIFS(M_RUTN,V1104,M_MES,B1104,M_LIQ,"&lt;&gt;")&gt;1),"⚠ Liquidación repetida en el mes",IF(AND(ISNUMBER(O1104),ISNUMBER(P1104),ISNUMBER(Q1104),ABS(O1104-P1104-Q1104)&gt;1),"⚠ Haberes − descuentos no da el líquido","OK"))))))</f>
        <v/>
      </c>
      <c r="V1104" s="62" t="str">
        <f aca="false">IF(C1104="","",IFERROR(VALUE(LEFT(UPPER(SUBSTITUTE(SUBSTITUTE(SUBSTITUTE(TRIM(C1104),".",""),"-","")," ","")),LEN(UPPER(SUBSTITUTE(SUBSTITUTE(SUBSTITUTE(TRIM(C1104),".",""),"-","")," ","")))-1))&amp;RIGHT(UPPER(SUBSTITUTE(SUBSTITUTE(SUBSTITUTE(TRIM(C1104),".",""),"-","")," ","")),1),UPPER(SUBSTITUTE(SUBSTITUTE(SUBSTITUTE(TRIM(C1104),".",""),"-","")," ",""))))</f>
        <v/>
      </c>
    </row>
    <row r="1105" customFormat="false" ht="15" hidden="false" customHeight="false" outlineLevel="0" collapsed="false">
      <c r="B1105" s="80"/>
      <c r="C1105" s="58"/>
      <c r="D1105" s="62" t="str">
        <f aca="false">IF(C1105="","",IFERROR(INDEX(T_NOMBRE,MATCH(V1105,T_RUTN,0)),"⚠ RUT no está en Trabajadores"))</f>
        <v/>
      </c>
      <c r="E1105" s="61"/>
      <c r="F1105" s="61"/>
      <c r="G1105" s="61"/>
      <c r="H1105" s="61"/>
      <c r="I1105" s="81"/>
      <c r="J1105" s="81"/>
      <c r="K1105" s="60"/>
      <c r="L1105" s="60"/>
      <c r="M1105" s="60"/>
      <c r="N1105" s="60"/>
      <c r="O1105" s="60"/>
      <c r="P1105" s="60"/>
      <c r="Q1105" s="60"/>
      <c r="R1105" s="58"/>
      <c r="S1105" s="62" t="str">
        <f aca="false">IF(OR(B1105="",V1105=""),"",IFERROR(INDEX(C_TIPO,MATCH(V1105&amp;"-P"&amp;MAX(1,COUNTIFS(C_RUTN,V1105,C_DEF,"Sí",C_INI,"&lt;="&amp;EOMONTH(B1105,0))),C_CLAVE,0))&amp;"","Sin contrato"))</f>
        <v/>
      </c>
      <c r="T1105" s="63" t="str">
        <f aca="false">IF(OR(B1105="",N(O1105)=0),"",N(O1105)+ROUND(MIN(N(N1105),TOPE_UF*UF_MES)*(TASA_EMP+MUTUAL),0)+ROUND(MIN(N(N1105),TOPE_AFC_UF*UF_MES)*IF(S1105="Indefinido",AFC_INDEF,AFC_PF),0))</f>
        <v/>
      </c>
      <c r="U1105" s="62" t="str">
        <f aca="false">IF(C1105="","",IF(LEFT(D1105,1)="⚠","⚠ RUT no registrado en Trabajadores",IF(B1105="","⚠ Falta el mes",IF(OR(ISTEXT(I1105),ISTEXT(J1105)),"⚠ Atrasos u horas extra como texto: escriba hh:mm (ej. 1:30)",IF(AND(ISNUMBER(Q1105),COUNTIFS(M_RUTN,V1105,M_MES,B1105,M_LIQ,"&lt;&gt;")&gt;1),"⚠ Liquidación repetida en el mes",IF(AND(ISNUMBER(O1105),ISNUMBER(P1105),ISNUMBER(Q1105),ABS(O1105-P1105-Q1105)&gt;1),"⚠ Haberes − descuentos no da el líquido","OK"))))))</f>
        <v/>
      </c>
      <c r="V1105" s="62" t="str">
        <f aca="false">IF(C1105="","",IFERROR(VALUE(LEFT(UPPER(SUBSTITUTE(SUBSTITUTE(SUBSTITUTE(TRIM(C1105),".",""),"-","")," ","")),LEN(UPPER(SUBSTITUTE(SUBSTITUTE(SUBSTITUTE(TRIM(C1105),".",""),"-","")," ","")))-1))&amp;RIGHT(UPPER(SUBSTITUTE(SUBSTITUTE(SUBSTITUTE(TRIM(C1105),".",""),"-","")," ","")),1),UPPER(SUBSTITUTE(SUBSTITUTE(SUBSTITUTE(TRIM(C1105),".",""),"-","")," ",""))))</f>
        <v/>
      </c>
    </row>
    <row r="1106" customFormat="false" ht="15" hidden="false" customHeight="false" outlineLevel="0" collapsed="false">
      <c r="B1106" s="80"/>
      <c r="C1106" s="58"/>
      <c r="D1106" s="62" t="str">
        <f aca="false">IF(C1106="","",IFERROR(INDEX(T_NOMBRE,MATCH(V1106,T_RUTN,0)),"⚠ RUT no está en Trabajadores"))</f>
        <v/>
      </c>
      <c r="E1106" s="61"/>
      <c r="F1106" s="61"/>
      <c r="G1106" s="61"/>
      <c r="H1106" s="61"/>
      <c r="I1106" s="81"/>
      <c r="J1106" s="81"/>
      <c r="K1106" s="60"/>
      <c r="L1106" s="60"/>
      <c r="M1106" s="60"/>
      <c r="N1106" s="60"/>
      <c r="O1106" s="60"/>
      <c r="P1106" s="60"/>
      <c r="Q1106" s="60"/>
      <c r="R1106" s="58"/>
      <c r="S1106" s="62" t="str">
        <f aca="false">IF(OR(B1106="",V1106=""),"",IFERROR(INDEX(C_TIPO,MATCH(V1106&amp;"-P"&amp;MAX(1,COUNTIFS(C_RUTN,V1106,C_DEF,"Sí",C_INI,"&lt;="&amp;EOMONTH(B1106,0))),C_CLAVE,0))&amp;"","Sin contrato"))</f>
        <v/>
      </c>
      <c r="T1106" s="63" t="str">
        <f aca="false">IF(OR(B1106="",N(O1106)=0),"",N(O1106)+ROUND(MIN(N(N1106),TOPE_UF*UF_MES)*(TASA_EMP+MUTUAL),0)+ROUND(MIN(N(N1106),TOPE_AFC_UF*UF_MES)*IF(S1106="Indefinido",AFC_INDEF,AFC_PF),0))</f>
        <v/>
      </c>
      <c r="U1106" s="62" t="str">
        <f aca="false">IF(C1106="","",IF(LEFT(D1106,1)="⚠","⚠ RUT no registrado en Trabajadores",IF(B1106="","⚠ Falta el mes",IF(OR(ISTEXT(I1106),ISTEXT(J1106)),"⚠ Atrasos u horas extra como texto: escriba hh:mm (ej. 1:30)",IF(AND(ISNUMBER(Q1106),COUNTIFS(M_RUTN,V1106,M_MES,B1106,M_LIQ,"&lt;&gt;")&gt;1),"⚠ Liquidación repetida en el mes",IF(AND(ISNUMBER(O1106),ISNUMBER(P1106),ISNUMBER(Q1106),ABS(O1106-P1106-Q1106)&gt;1),"⚠ Haberes − descuentos no da el líquido","OK"))))))</f>
        <v/>
      </c>
      <c r="V1106" s="62" t="str">
        <f aca="false">IF(C1106="","",IFERROR(VALUE(LEFT(UPPER(SUBSTITUTE(SUBSTITUTE(SUBSTITUTE(TRIM(C1106),".",""),"-","")," ","")),LEN(UPPER(SUBSTITUTE(SUBSTITUTE(SUBSTITUTE(TRIM(C1106),".",""),"-","")," ","")))-1))&amp;RIGHT(UPPER(SUBSTITUTE(SUBSTITUTE(SUBSTITUTE(TRIM(C1106),".",""),"-","")," ","")),1),UPPER(SUBSTITUTE(SUBSTITUTE(SUBSTITUTE(TRIM(C1106),".",""),"-","")," ",""))))</f>
        <v/>
      </c>
    </row>
    <row r="1107" customFormat="false" ht="15" hidden="false" customHeight="false" outlineLevel="0" collapsed="false">
      <c r="B1107" s="80"/>
      <c r="C1107" s="58"/>
      <c r="D1107" s="62" t="str">
        <f aca="false">IF(C1107="","",IFERROR(INDEX(T_NOMBRE,MATCH(V1107,T_RUTN,0)),"⚠ RUT no está en Trabajadores"))</f>
        <v/>
      </c>
      <c r="E1107" s="61"/>
      <c r="F1107" s="61"/>
      <c r="G1107" s="61"/>
      <c r="H1107" s="61"/>
      <c r="I1107" s="81"/>
      <c r="J1107" s="81"/>
      <c r="K1107" s="60"/>
      <c r="L1107" s="60"/>
      <c r="M1107" s="60"/>
      <c r="N1107" s="60"/>
      <c r="O1107" s="60"/>
      <c r="P1107" s="60"/>
      <c r="Q1107" s="60"/>
      <c r="R1107" s="58"/>
      <c r="S1107" s="62" t="str">
        <f aca="false">IF(OR(B1107="",V1107=""),"",IFERROR(INDEX(C_TIPO,MATCH(V1107&amp;"-P"&amp;MAX(1,COUNTIFS(C_RUTN,V1107,C_DEF,"Sí",C_INI,"&lt;="&amp;EOMONTH(B1107,0))),C_CLAVE,0))&amp;"","Sin contrato"))</f>
        <v/>
      </c>
      <c r="T1107" s="63" t="str">
        <f aca="false">IF(OR(B1107="",N(O1107)=0),"",N(O1107)+ROUND(MIN(N(N1107),TOPE_UF*UF_MES)*(TASA_EMP+MUTUAL),0)+ROUND(MIN(N(N1107),TOPE_AFC_UF*UF_MES)*IF(S1107="Indefinido",AFC_INDEF,AFC_PF),0))</f>
        <v/>
      </c>
      <c r="U1107" s="62" t="str">
        <f aca="false">IF(C1107="","",IF(LEFT(D1107,1)="⚠","⚠ RUT no registrado en Trabajadores",IF(B1107="","⚠ Falta el mes",IF(OR(ISTEXT(I1107),ISTEXT(J1107)),"⚠ Atrasos u horas extra como texto: escriba hh:mm (ej. 1:30)",IF(AND(ISNUMBER(Q1107),COUNTIFS(M_RUTN,V1107,M_MES,B1107,M_LIQ,"&lt;&gt;")&gt;1),"⚠ Liquidación repetida en el mes",IF(AND(ISNUMBER(O1107),ISNUMBER(P1107),ISNUMBER(Q1107),ABS(O1107-P1107-Q1107)&gt;1),"⚠ Haberes − descuentos no da el líquido","OK"))))))</f>
        <v/>
      </c>
      <c r="V1107" s="62" t="str">
        <f aca="false">IF(C1107="","",IFERROR(VALUE(LEFT(UPPER(SUBSTITUTE(SUBSTITUTE(SUBSTITUTE(TRIM(C1107),".",""),"-","")," ","")),LEN(UPPER(SUBSTITUTE(SUBSTITUTE(SUBSTITUTE(TRIM(C1107),".",""),"-","")," ","")))-1))&amp;RIGHT(UPPER(SUBSTITUTE(SUBSTITUTE(SUBSTITUTE(TRIM(C1107),".",""),"-","")," ","")),1),UPPER(SUBSTITUTE(SUBSTITUTE(SUBSTITUTE(TRIM(C1107),".",""),"-","")," ",""))))</f>
        <v/>
      </c>
    </row>
    <row r="1108" customFormat="false" ht="15" hidden="false" customHeight="false" outlineLevel="0" collapsed="false">
      <c r="B1108" s="80"/>
      <c r="C1108" s="58"/>
      <c r="D1108" s="62" t="str">
        <f aca="false">IF(C1108="","",IFERROR(INDEX(T_NOMBRE,MATCH(V1108,T_RUTN,0)),"⚠ RUT no está en Trabajadores"))</f>
        <v/>
      </c>
      <c r="E1108" s="61"/>
      <c r="F1108" s="61"/>
      <c r="G1108" s="61"/>
      <c r="H1108" s="61"/>
      <c r="I1108" s="81"/>
      <c r="J1108" s="81"/>
      <c r="K1108" s="60"/>
      <c r="L1108" s="60"/>
      <c r="M1108" s="60"/>
      <c r="N1108" s="60"/>
      <c r="O1108" s="60"/>
      <c r="P1108" s="60"/>
      <c r="Q1108" s="60"/>
      <c r="R1108" s="58"/>
      <c r="S1108" s="62" t="str">
        <f aca="false">IF(OR(B1108="",V1108=""),"",IFERROR(INDEX(C_TIPO,MATCH(V1108&amp;"-P"&amp;MAX(1,COUNTIFS(C_RUTN,V1108,C_DEF,"Sí",C_INI,"&lt;="&amp;EOMONTH(B1108,0))),C_CLAVE,0))&amp;"","Sin contrato"))</f>
        <v/>
      </c>
      <c r="T1108" s="63" t="str">
        <f aca="false">IF(OR(B1108="",N(O1108)=0),"",N(O1108)+ROUND(MIN(N(N1108),TOPE_UF*UF_MES)*(TASA_EMP+MUTUAL),0)+ROUND(MIN(N(N1108),TOPE_AFC_UF*UF_MES)*IF(S1108="Indefinido",AFC_INDEF,AFC_PF),0))</f>
        <v/>
      </c>
      <c r="U1108" s="62" t="str">
        <f aca="false">IF(C1108="","",IF(LEFT(D1108,1)="⚠","⚠ RUT no registrado en Trabajadores",IF(B1108="","⚠ Falta el mes",IF(OR(ISTEXT(I1108),ISTEXT(J1108)),"⚠ Atrasos u horas extra como texto: escriba hh:mm (ej. 1:30)",IF(AND(ISNUMBER(Q1108),COUNTIFS(M_RUTN,V1108,M_MES,B1108,M_LIQ,"&lt;&gt;")&gt;1),"⚠ Liquidación repetida en el mes",IF(AND(ISNUMBER(O1108),ISNUMBER(P1108),ISNUMBER(Q1108),ABS(O1108-P1108-Q1108)&gt;1),"⚠ Haberes − descuentos no da el líquido","OK"))))))</f>
        <v/>
      </c>
      <c r="V1108" s="62" t="str">
        <f aca="false">IF(C1108="","",IFERROR(VALUE(LEFT(UPPER(SUBSTITUTE(SUBSTITUTE(SUBSTITUTE(TRIM(C1108),".",""),"-","")," ","")),LEN(UPPER(SUBSTITUTE(SUBSTITUTE(SUBSTITUTE(TRIM(C1108),".",""),"-","")," ","")))-1))&amp;RIGHT(UPPER(SUBSTITUTE(SUBSTITUTE(SUBSTITUTE(TRIM(C1108),".",""),"-","")," ","")),1),UPPER(SUBSTITUTE(SUBSTITUTE(SUBSTITUTE(TRIM(C1108),".",""),"-","")," ",""))))</f>
        <v/>
      </c>
    </row>
    <row r="1109" customFormat="false" ht="15" hidden="false" customHeight="false" outlineLevel="0" collapsed="false">
      <c r="B1109" s="80"/>
      <c r="C1109" s="58"/>
      <c r="D1109" s="62" t="str">
        <f aca="false">IF(C1109="","",IFERROR(INDEX(T_NOMBRE,MATCH(V1109,T_RUTN,0)),"⚠ RUT no está en Trabajadores"))</f>
        <v/>
      </c>
      <c r="E1109" s="61"/>
      <c r="F1109" s="61"/>
      <c r="G1109" s="61"/>
      <c r="H1109" s="61"/>
      <c r="I1109" s="81"/>
      <c r="J1109" s="81"/>
      <c r="K1109" s="60"/>
      <c r="L1109" s="60"/>
      <c r="M1109" s="60"/>
      <c r="N1109" s="60"/>
      <c r="O1109" s="60"/>
      <c r="P1109" s="60"/>
      <c r="Q1109" s="60"/>
      <c r="R1109" s="58"/>
      <c r="S1109" s="62" t="str">
        <f aca="false">IF(OR(B1109="",V1109=""),"",IFERROR(INDEX(C_TIPO,MATCH(V1109&amp;"-P"&amp;MAX(1,COUNTIFS(C_RUTN,V1109,C_DEF,"Sí",C_INI,"&lt;="&amp;EOMONTH(B1109,0))),C_CLAVE,0))&amp;"","Sin contrato"))</f>
        <v/>
      </c>
      <c r="T1109" s="63" t="str">
        <f aca="false">IF(OR(B1109="",N(O1109)=0),"",N(O1109)+ROUND(MIN(N(N1109),TOPE_UF*UF_MES)*(TASA_EMP+MUTUAL),0)+ROUND(MIN(N(N1109),TOPE_AFC_UF*UF_MES)*IF(S1109="Indefinido",AFC_INDEF,AFC_PF),0))</f>
        <v/>
      </c>
      <c r="U1109" s="62" t="str">
        <f aca="false">IF(C1109="","",IF(LEFT(D1109,1)="⚠","⚠ RUT no registrado en Trabajadores",IF(B1109="","⚠ Falta el mes",IF(OR(ISTEXT(I1109),ISTEXT(J1109)),"⚠ Atrasos u horas extra como texto: escriba hh:mm (ej. 1:30)",IF(AND(ISNUMBER(Q1109),COUNTIFS(M_RUTN,V1109,M_MES,B1109,M_LIQ,"&lt;&gt;")&gt;1),"⚠ Liquidación repetida en el mes",IF(AND(ISNUMBER(O1109),ISNUMBER(P1109),ISNUMBER(Q1109),ABS(O1109-P1109-Q1109)&gt;1),"⚠ Haberes − descuentos no da el líquido","OK"))))))</f>
        <v/>
      </c>
      <c r="V1109" s="62" t="str">
        <f aca="false">IF(C1109="","",IFERROR(VALUE(LEFT(UPPER(SUBSTITUTE(SUBSTITUTE(SUBSTITUTE(TRIM(C1109),".",""),"-","")," ","")),LEN(UPPER(SUBSTITUTE(SUBSTITUTE(SUBSTITUTE(TRIM(C1109),".",""),"-","")," ","")))-1))&amp;RIGHT(UPPER(SUBSTITUTE(SUBSTITUTE(SUBSTITUTE(TRIM(C1109),".",""),"-","")," ","")),1),UPPER(SUBSTITUTE(SUBSTITUTE(SUBSTITUTE(TRIM(C1109),".",""),"-","")," ",""))))</f>
        <v/>
      </c>
    </row>
    <row r="1110" customFormat="false" ht="15" hidden="false" customHeight="false" outlineLevel="0" collapsed="false">
      <c r="B1110" s="80"/>
      <c r="C1110" s="58"/>
      <c r="D1110" s="62" t="str">
        <f aca="false">IF(C1110="","",IFERROR(INDEX(T_NOMBRE,MATCH(V1110,T_RUTN,0)),"⚠ RUT no está en Trabajadores"))</f>
        <v/>
      </c>
      <c r="E1110" s="61"/>
      <c r="F1110" s="61"/>
      <c r="G1110" s="61"/>
      <c r="H1110" s="61"/>
      <c r="I1110" s="81"/>
      <c r="J1110" s="81"/>
      <c r="K1110" s="60"/>
      <c r="L1110" s="60"/>
      <c r="M1110" s="60"/>
      <c r="N1110" s="60"/>
      <c r="O1110" s="60"/>
      <c r="P1110" s="60"/>
      <c r="Q1110" s="60"/>
      <c r="R1110" s="58"/>
      <c r="S1110" s="62" t="str">
        <f aca="false">IF(OR(B1110="",V1110=""),"",IFERROR(INDEX(C_TIPO,MATCH(V1110&amp;"-P"&amp;MAX(1,COUNTIFS(C_RUTN,V1110,C_DEF,"Sí",C_INI,"&lt;="&amp;EOMONTH(B1110,0))),C_CLAVE,0))&amp;"","Sin contrato"))</f>
        <v/>
      </c>
      <c r="T1110" s="63" t="str">
        <f aca="false">IF(OR(B1110="",N(O1110)=0),"",N(O1110)+ROUND(MIN(N(N1110),TOPE_UF*UF_MES)*(TASA_EMP+MUTUAL),0)+ROUND(MIN(N(N1110),TOPE_AFC_UF*UF_MES)*IF(S1110="Indefinido",AFC_INDEF,AFC_PF),0))</f>
        <v/>
      </c>
      <c r="U1110" s="62" t="str">
        <f aca="false">IF(C1110="","",IF(LEFT(D1110,1)="⚠","⚠ RUT no registrado en Trabajadores",IF(B1110="","⚠ Falta el mes",IF(OR(ISTEXT(I1110),ISTEXT(J1110)),"⚠ Atrasos u horas extra como texto: escriba hh:mm (ej. 1:30)",IF(AND(ISNUMBER(Q1110),COUNTIFS(M_RUTN,V1110,M_MES,B1110,M_LIQ,"&lt;&gt;")&gt;1),"⚠ Liquidación repetida en el mes",IF(AND(ISNUMBER(O1110),ISNUMBER(P1110),ISNUMBER(Q1110),ABS(O1110-P1110-Q1110)&gt;1),"⚠ Haberes − descuentos no da el líquido","OK"))))))</f>
        <v/>
      </c>
      <c r="V1110" s="62" t="str">
        <f aca="false">IF(C1110="","",IFERROR(VALUE(LEFT(UPPER(SUBSTITUTE(SUBSTITUTE(SUBSTITUTE(TRIM(C1110),".",""),"-","")," ","")),LEN(UPPER(SUBSTITUTE(SUBSTITUTE(SUBSTITUTE(TRIM(C1110),".",""),"-","")," ","")))-1))&amp;RIGHT(UPPER(SUBSTITUTE(SUBSTITUTE(SUBSTITUTE(TRIM(C1110),".",""),"-","")," ","")),1),UPPER(SUBSTITUTE(SUBSTITUTE(SUBSTITUTE(TRIM(C1110),".",""),"-","")," ",""))))</f>
        <v/>
      </c>
    </row>
    <row r="1111" customFormat="false" ht="15" hidden="false" customHeight="false" outlineLevel="0" collapsed="false">
      <c r="B1111" s="80"/>
      <c r="C1111" s="58"/>
      <c r="D1111" s="62" t="str">
        <f aca="false">IF(C1111="","",IFERROR(INDEX(T_NOMBRE,MATCH(V1111,T_RUTN,0)),"⚠ RUT no está en Trabajadores"))</f>
        <v/>
      </c>
      <c r="E1111" s="61"/>
      <c r="F1111" s="61"/>
      <c r="G1111" s="61"/>
      <c r="H1111" s="61"/>
      <c r="I1111" s="81"/>
      <c r="J1111" s="81"/>
      <c r="K1111" s="60"/>
      <c r="L1111" s="60"/>
      <c r="M1111" s="60"/>
      <c r="N1111" s="60"/>
      <c r="O1111" s="60"/>
      <c r="P1111" s="60"/>
      <c r="Q1111" s="60"/>
      <c r="R1111" s="58"/>
      <c r="S1111" s="62" t="str">
        <f aca="false">IF(OR(B1111="",V1111=""),"",IFERROR(INDEX(C_TIPO,MATCH(V1111&amp;"-P"&amp;MAX(1,COUNTIFS(C_RUTN,V1111,C_DEF,"Sí",C_INI,"&lt;="&amp;EOMONTH(B1111,0))),C_CLAVE,0))&amp;"","Sin contrato"))</f>
        <v/>
      </c>
      <c r="T1111" s="63" t="str">
        <f aca="false">IF(OR(B1111="",N(O1111)=0),"",N(O1111)+ROUND(MIN(N(N1111),TOPE_UF*UF_MES)*(TASA_EMP+MUTUAL),0)+ROUND(MIN(N(N1111),TOPE_AFC_UF*UF_MES)*IF(S1111="Indefinido",AFC_INDEF,AFC_PF),0))</f>
        <v/>
      </c>
      <c r="U1111" s="62" t="str">
        <f aca="false">IF(C1111="","",IF(LEFT(D1111,1)="⚠","⚠ RUT no registrado en Trabajadores",IF(B1111="","⚠ Falta el mes",IF(OR(ISTEXT(I1111),ISTEXT(J1111)),"⚠ Atrasos u horas extra como texto: escriba hh:mm (ej. 1:30)",IF(AND(ISNUMBER(Q1111),COUNTIFS(M_RUTN,V1111,M_MES,B1111,M_LIQ,"&lt;&gt;")&gt;1),"⚠ Liquidación repetida en el mes",IF(AND(ISNUMBER(O1111),ISNUMBER(P1111),ISNUMBER(Q1111),ABS(O1111-P1111-Q1111)&gt;1),"⚠ Haberes − descuentos no da el líquido","OK"))))))</f>
        <v/>
      </c>
      <c r="V1111" s="62" t="str">
        <f aca="false">IF(C1111="","",IFERROR(VALUE(LEFT(UPPER(SUBSTITUTE(SUBSTITUTE(SUBSTITUTE(TRIM(C1111),".",""),"-","")," ","")),LEN(UPPER(SUBSTITUTE(SUBSTITUTE(SUBSTITUTE(TRIM(C1111),".",""),"-","")," ","")))-1))&amp;RIGHT(UPPER(SUBSTITUTE(SUBSTITUTE(SUBSTITUTE(TRIM(C1111),".",""),"-","")," ","")),1),UPPER(SUBSTITUTE(SUBSTITUTE(SUBSTITUTE(TRIM(C1111),".",""),"-","")," ",""))))</f>
        <v/>
      </c>
    </row>
    <row r="1112" customFormat="false" ht="15" hidden="false" customHeight="false" outlineLevel="0" collapsed="false">
      <c r="B1112" s="80"/>
      <c r="C1112" s="58"/>
      <c r="D1112" s="62" t="str">
        <f aca="false">IF(C1112="","",IFERROR(INDEX(T_NOMBRE,MATCH(V1112,T_RUTN,0)),"⚠ RUT no está en Trabajadores"))</f>
        <v/>
      </c>
      <c r="E1112" s="61"/>
      <c r="F1112" s="61"/>
      <c r="G1112" s="61"/>
      <c r="H1112" s="61"/>
      <c r="I1112" s="81"/>
      <c r="J1112" s="81"/>
      <c r="K1112" s="60"/>
      <c r="L1112" s="60"/>
      <c r="M1112" s="60"/>
      <c r="N1112" s="60"/>
      <c r="O1112" s="60"/>
      <c r="P1112" s="60"/>
      <c r="Q1112" s="60"/>
      <c r="R1112" s="58"/>
      <c r="S1112" s="62" t="str">
        <f aca="false">IF(OR(B1112="",V1112=""),"",IFERROR(INDEX(C_TIPO,MATCH(V1112&amp;"-P"&amp;MAX(1,COUNTIFS(C_RUTN,V1112,C_DEF,"Sí",C_INI,"&lt;="&amp;EOMONTH(B1112,0))),C_CLAVE,0))&amp;"","Sin contrato"))</f>
        <v/>
      </c>
      <c r="T1112" s="63" t="str">
        <f aca="false">IF(OR(B1112="",N(O1112)=0),"",N(O1112)+ROUND(MIN(N(N1112),TOPE_UF*UF_MES)*(TASA_EMP+MUTUAL),0)+ROUND(MIN(N(N1112),TOPE_AFC_UF*UF_MES)*IF(S1112="Indefinido",AFC_INDEF,AFC_PF),0))</f>
        <v/>
      </c>
      <c r="U1112" s="62" t="str">
        <f aca="false">IF(C1112="","",IF(LEFT(D1112,1)="⚠","⚠ RUT no registrado en Trabajadores",IF(B1112="","⚠ Falta el mes",IF(OR(ISTEXT(I1112),ISTEXT(J1112)),"⚠ Atrasos u horas extra como texto: escriba hh:mm (ej. 1:30)",IF(AND(ISNUMBER(Q1112),COUNTIFS(M_RUTN,V1112,M_MES,B1112,M_LIQ,"&lt;&gt;")&gt;1),"⚠ Liquidación repetida en el mes",IF(AND(ISNUMBER(O1112),ISNUMBER(P1112),ISNUMBER(Q1112),ABS(O1112-P1112-Q1112)&gt;1),"⚠ Haberes − descuentos no da el líquido","OK"))))))</f>
        <v/>
      </c>
      <c r="V1112" s="62" t="str">
        <f aca="false">IF(C1112="","",IFERROR(VALUE(LEFT(UPPER(SUBSTITUTE(SUBSTITUTE(SUBSTITUTE(TRIM(C1112),".",""),"-","")," ","")),LEN(UPPER(SUBSTITUTE(SUBSTITUTE(SUBSTITUTE(TRIM(C1112),".",""),"-","")," ","")))-1))&amp;RIGHT(UPPER(SUBSTITUTE(SUBSTITUTE(SUBSTITUTE(TRIM(C1112),".",""),"-","")," ","")),1),UPPER(SUBSTITUTE(SUBSTITUTE(SUBSTITUTE(TRIM(C1112),".",""),"-","")," ",""))))</f>
        <v/>
      </c>
    </row>
    <row r="1113" customFormat="false" ht="15" hidden="false" customHeight="false" outlineLevel="0" collapsed="false">
      <c r="B1113" s="80"/>
      <c r="C1113" s="58"/>
      <c r="D1113" s="62" t="str">
        <f aca="false">IF(C1113="","",IFERROR(INDEX(T_NOMBRE,MATCH(V1113,T_RUTN,0)),"⚠ RUT no está en Trabajadores"))</f>
        <v/>
      </c>
      <c r="E1113" s="61"/>
      <c r="F1113" s="61"/>
      <c r="G1113" s="61"/>
      <c r="H1113" s="61"/>
      <c r="I1113" s="81"/>
      <c r="J1113" s="81"/>
      <c r="K1113" s="60"/>
      <c r="L1113" s="60"/>
      <c r="M1113" s="60"/>
      <c r="N1113" s="60"/>
      <c r="O1113" s="60"/>
      <c r="P1113" s="60"/>
      <c r="Q1113" s="60"/>
      <c r="R1113" s="58"/>
      <c r="S1113" s="62" t="str">
        <f aca="false">IF(OR(B1113="",V1113=""),"",IFERROR(INDEX(C_TIPO,MATCH(V1113&amp;"-P"&amp;MAX(1,COUNTIFS(C_RUTN,V1113,C_DEF,"Sí",C_INI,"&lt;="&amp;EOMONTH(B1113,0))),C_CLAVE,0))&amp;"","Sin contrato"))</f>
        <v/>
      </c>
      <c r="T1113" s="63" t="str">
        <f aca="false">IF(OR(B1113="",N(O1113)=0),"",N(O1113)+ROUND(MIN(N(N1113),TOPE_UF*UF_MES)*(TASA_EMP+MUTUAL),0)+ROUND(MIN(N(N1113),TOPE_AFC_UF*UF_MES)*IF(S1113="Indefinido",AFC_INDEF,AFC_PF),0))</f>
        <v/>
      </c>
      <c r="U1113" s="62" t="str">
        <f aca="false">IF(C1113="","",IF(LEFT(D1113,1)="⚠","⚠ RUT no registrado en Trabajadores",IF(B1113="","⚠ Falta el mes",IF(OR(ISTEXT(I1113),ISTEXT(J1113)),"⚠ Atrasos u horas extra como texto: escriba hh:mm (ej. 1:30)",IF(AND(ISNUMBER(Q1113),COUNTIFS(M_RUTN,V1113,M_MES,B1113,M_LIQ,"&lt;&gt;")&gt;1),"⚠ Liquidación repetida en el mes",IF(AND(ISNUMBER(O1113),ISNUMBER(P1113),ISNUMBER(Q1113),ABS(O1113-P1113-Q1113)&gt;1),"⚠ Haberes − descuentos no da el líquido","OK"))))))</f>
        <v/>
      </c>
      <c r="V1113" s="62" t="str">
        <f aca="false">IF(C1113="","",IFERROR(VALUE(LEFT(UPPER(SUBSTITUTE(SUBSTITUTE(SUBSTITUTE(TRIM(C1113),".",""),"-","")," ","")),LEN(UPPER(SUBSTITUTE(SUBSTITUTE(SUBSTITUTE(TRIM(C1113),".",""),"-","")," ","")))-1))&amp;RIGHT(UPPER(SUBSTITUTE(SUBSTITUTE(SUBSTITUTE(TRIM(C1113),".",""),"-","")," ","")),1),UPPER(SUBSTITUTE(SUBSTITUTE(SUBSTITUTE(TRIM(C1113),".",""),"-","")," ",""))))</f>
        <v/>
      </c>
    </row>
    <row r="1114" customFormat="false" ht="15" hidden="false" customHeight="false" outlineLevel="0" collapsed="false">
      <c r="B1114" s="80"/>
      <c r="C1114" s="58"/>
      <c r="D1114" s="62" t="str">
        <f aca="false">IF(C1114="","",IFERROR(INDEX(T_NOMBRE,MATCH(V1114,T_RUTN,0)),"⚠ RUT no está en Trabajadores"))</f>
        <v/>
      </c>
      <c r="E1114" s="61"/>
      <c r="F1114" s="61"/>
      <c r="G1114" s="61"/>
      <c r="H1114" s="61"/>
      <c r="I1114" s="81"/>
      <c r="J1114" s="81"/>
      <c r="K1114" s="60"/>
      <c r="L1114" s="60"/>
      <c r="M1114" s="60"/>
      <c r="N1114" s="60"/>
      <c r="O1114" s="60"/>
      <c r="P1114" s="60"/>
      <c r="Q1114" s="60"/>
      <c r="R1114" s="58"/>
      <c r="S1114" s="62" t="str">
        <f aca="false">IF(OR(B1114="",V1114=""),"",IFERROR(INDEX(C_TIPO,MATCH(V1114&amp;"-P"&amp;MAX(1,COUNTIFS(C_RUTN,V1114,C_DEF,"Sí",C_INI,"&lt;="&amp;EOMONTH(B1114,0))),C_CLAVE,0))&amp;"","Sin contrato"))</f>
        <v/>
      </c>
      <c r="T1114" s="63" t="str">
        <f aca="false">IF(OR(B1114="",N(O1114)=0),"",N(O1114)+ROUND(MIN(N(N1114),TOPE_UF*UF_MES)*(TASA_EMP+MUTUAL),0)+ROUND(MIN(N(N1114),TOPE_AFC_UF*UF_MES)*IF(S1114="Indefinido",AFC_INDEF,AFC_PF),0))</f>
        <v/>
      </c>
      <c r="U1114" s="62" t="str">
        <f aca="false">IF(C1114="","",IF(LEFT(D1114,1)="⚠","⚠ RUT no registrado en Trabajadores",IF(B1114="","⚠ Falta el mes",IF(OR(ISTEXT(I1114),ISTEXT(J1114)),"⚠ Atrasos u horas extra como texto: escriba hh:mm (ej. 1:30)",IF(AND(ISNUMBER(Q1114),COUNTIFS(M_RUTN,V1114,M_MES,B1114,M_LIQ,"&lt;&gt;")&gt;1),"⚠ Liquidación repetida en el mes",IF(AND(ISNUMBER(O1114),ISNUMBER(P1114),ISNUMBER(Q1114),ABS(O1114-P1114-Q1114)&gt;1),"⚠ Haberes − descuentos no da el líquido","OK"))))))</f>
        <v/>
      </c>
      <c r="V1114" s="62" t="str">
        <f aca="false">IF(C1114="","",IFERROR(VALUE(LEFT(UPPER(SUBSTITUTE(SUBSTITUTE(SUBSTITUTE(TRIM(C1114),".",""),"-","")," ","")),LEN(UPPER(SUBSTITUTE(SUBSTITUTE(SUBSTITUTE(TRIM(C1114),".",""),"-","")," ","")))-1))&amp;RIGHT(UPPER(SUBSTITUTE(SUBSTITUTE(SUBSTITUTE(TRIM(C1114),".",""),"-","")," ","")),1),UPPER(SUBSTITUTE(SUBSTITUTE(SUBSTITUTE(TRIM(C1114),".",""),"-","")," ",""))))</f>
        <v/>
      </c>
    </row>
    <row r="1115" customFormat="false" ht="15" hidden="false" customHeight="false" outlineLevel="0" collapsed="false">
      <c r="B1115" s="80"/>
      <c r="C1115" s="58"/>
      <c r="D1115" s="62" t="str">
        <f aca="false">IF(C1115="","",IFERROR(INDEX(T_NOMBRE,MATCH(V1115,T_RUTN,0)),"⚠ RUT no está en Trabajadores"))</f>
        <v/>
      </c>
      <c r="E1115" s="61"/>
      <c r="F1115" s="61"/>
      <c r="G1115" s="61"/>
      <c r="H1115" s="61"/>
      <c r="I1115" s="81"/>
      <c r="J1115" s="81"/>
      <c r="K1115" s="60"/>
      <c r="L1115" s="60"/>
      <c r="M1115" s="60"/>
      <c r="N1115" s="60"/>
      <c r="O1115" s="60"/>
      <c r="P1115" s="60"/>
      <c r="Q1115" s="60"/>
      <c r="R1115" s="58"/>
      <c r="S1115" s="62" t="str">
        <f aca="false">IF(OR(B1115="",V1115=""),"",IFERROR(INDEX(C_TIPO,MATCH(V1115&amp;"-P"&amp;MAX(1,COUNTIFS(C_RUTN,V1115,C_DEF,"Sí",C_INI,"&lt;="&amp;EOMONTH(B1115,0))),C_CLAVE,0))&amp;"","Sin contrato"))</f>
        <v/>
      </c>
      <c r="T1115" s="63" t="str">
        <f aca="false">IF(OR(B1115="",N(O1115)=0),"",N(O1115)+ROUND(MIN(N(N1115),TOPE_UF*UF_MES)*(TASA_EMP+MUTUAL),0)+ROUND(MIN(N(N1115),TOPE_AFC_UF*UF_MES)*IF(S1115="Indefinido",AFC_INDEF,AFC_PF),0))</f>
        <v/>
      </c>
      <c r="U1115" s="62" t="str">
        <f aca="false">IF(C1115="","",IF(LEFT(D1115,1)="⚠","⚠ RUT no registrado en Trabajadores",IF(B1115="","⚠ Falta el mes",IF(OR(ISTEXT(I1115),ISTEXT(J1115)),"⚠ Atrasos u horas extra como texto: escriba hh:mm (ej. 1:30)",IF(AND(ISNUMBER(Q1115),COUNTIFS(M_RUTN,V1115,M_MES,B1115,M_LIQ,"&lt;&gt;")&gt;1),"⚠ Liquidación repetida en el mes",IF(AND(ISNUMBER(O1115),ISNUMBER(P1115),ISNUMBER(Q1115),ABS(O1115-P1115-Q1115)&gt;1),"⚠ Haberes − descuentos no da el líquido","OK"))))))</f>
        <v/>
      </c>
      <c r="V1115" s="62" t="str">
        <f aca="false">IF(C1115="","",IFERROR(VALUE(LEFT(UPPER(SUBSTITUTE(SUBSTITUTE(SUBSTITUTE(TRIM(C1115),".",""),"-","")," ","")),LEN(UPPER(SUBSTITUTE(SUBSTITUTE(SUBSTITUTE(TRIM(C1115),".",""),"-","")," ","")))-1))&amp;RIGHT(UPPER(SUBSTITUTE(SUBSTITUTE(SUBSTITUTE(TRIM(C1115),".",""),"-","")," ","")),1),UPPER(SUBSTITUTE(SUBSTITUTE(SUBSTITUTE(TRIM(C1115),".",""),"-","")," ",""))))</f>
        <v/>
      </c>
    </row>
    <row r="1116" customFormat="false" ht="15" hidden="false" customHeight="false" outlineLevel="0" collapsed="false">
      <c r="B1116" s="80"/>
      <c r="C1116" s="58"/>
      <c r="D1116" s="62" t="str">
        <f aca="false">IF(C1116="","",IFERROR(INDEX(T_NOMBRE,MATCH(V1116,T_RUTN,0)),"⚠ RUT no está en Trabajadores"))</f>
        <v/>
      </c>
      <c r="E1116" s="61"/>
      <c r="F1116" s="61"/>
      <c r="G1116" s="61"/>
      <c r="H1116" s="61"/>
      <c r="I1116" s="81"/>
      <c r="J1116" s="81"/>
      <c r="K1116" s="60"/>
      <c r="L1116" s="60"/>
      <c r="M1116" s="60"/>
      <c r="N1116" s="60"/>
      <c r="O1116" s="60"/>
      <c r="P1116" s="60"/>
      <c r="Q1116" s="60"/>
      <c r="R1116" s="58"/>
      <c r="S1116" s="62" t="str">
        <f aca="false">IF(OR(B1116="",V1116=""),"",IFERROR(INDEX(C_TIPO,MATCH(V1116&amp;"-P"&amp;MAX(1,COUNTIFS(C_RUTN,V1116,C_DEF,"Sí",C_INI,"&lt;="&amp;EOMONTH(B1116,0))),C_CLAVE,0))&amp;"","Sin contrato"))</f>
        <v/>
      </c>
      <c r="T1116" s="63" t="str">
        <f aca="false">IF(OR(B1116="",N(O1116)=0),"",N(O1116)+ROUND(MIN(N(N1116),TOPE_UF*UF_MES)*(TASA_EMP+MUTUAL),0)+ROUND(MIN(N(N1116),TOPE_AFC_UF*UF_MES)*IF(S1116="Indefinido",AFC_INDEF,AFC_PF),0))</f>
        <v/>
      </c>
      <c r="U1116" s="62" t="str">
        <f aca="false">IF(C1116="","",IF(LEFT(D1116,1)="⚠","⚠ RUT no registrado en Trabajadores",IF(B1116="","⚠ Falta el mes",IF(OR(ISTEXT(I1116),ISTEXT(J1116)),"⚠ Atrasos u horas extra como texto: escriba hh:mm (ej. 1:30)",IF(AND(ISNUMBER(Q1116),COUNTIFS(M_RUTN,V1116,M_MES,B1116,M_LIQ,"&lt;&gt;")&gt;1),"⚠ Liquidación repetida en el mes",IF(AND(ISNUMBER(O1116),ISNUMBER(P1116),ISNUMBER(Q1116),ABS(O1116-P1116-Q1116)&gt;1),"⚠ Haberes − descuentos no da el líquido","OK"))))))</f>
        <v/>
      </c>
      <c r="V1116" s="62" t="str">
        <f aca="false">IF(C1116="","",IFERROR(VALUE(LEFT(UPPER(SUBSTITUTE(SUBSTITUTE(SUBSTITUTE(TRIM(C1116),".",""),"-","")," ","")),LEN(UPPER(SUBSTITUTE(SUBSTITUTE(SUBSTITUTE(TRIM(C1116),".",""),"-","")," ","")))-1))&amp;RIGHT(UPPER(SUBSTITUTE(SUBSTITUTE(SUBSTITUTE(TRIM(C1116),".",""),"-","")," ","")),1),UPPER(SUBSTITUTE(SUBSTITUTE(SUBSTITUTE(TRIM(C1116),".",""),"-","")," ",""))))</f>
        <v/>
      </c>
    </row>
    <row r="1117" customFormat="false" ht="15" hidden="false" customHeight="false" outlineLevel="0" collapsed="false">
      <c r="B1117" s="80"/>
      <c r="C1117" s="58"/>
      <c r="D1117" s="62" t="str">
        <f aca="false">IF(C1117="","",IFERROR(INDEX(T_NOMBRE,MATCH(V1117,T_RUTN,0)),"⚠ RUT no está en Trabajadores"))</f>
        <v/>
      </c>
      <c r="E1117" s="61"/>
      <c r="F1117" s="61"/>
      <c r="G1117" s="61"/>
      <c r="H1117" s="61"/>
      <c r="I1117" s="81"/>
      <c r="J1117" s="81"/>
      <c r="K1117" s="60"/>
      <c r="L1117" s="60"/>
      <c r="M1117" s="60"/>
      <c r="N1117" s="60"/>
      <c r="O1117" s="60"/>
      <c r="P1117" s="60"/>
      <c r="Q1117" s="60"/>
      <c r="R1117" s="58"/>
      <c r="S1117" s="62" t="str">
        <f aca="false">IF(OR(B1117="",V1117=""),"",IFERROR(INDEX(C_TIPO,MATCH(V1117&amp;"-P"&amp;MAX(1,COUNTIFS(C_RUTN,V1117,C_DEF,"Sí",C_INI,"&lt;="&amp;EOMONTH(B1117,0))),C_CLAVE,0))&amp;"","Sin contrato"))</f>
        <v/>
      </c>
      <c r="T1117" s="63" t="str">
        <f aca="false">IF(OR(B1117="",N(O1117)=0),"",N(O1117)+ROUND(MIN(N(N1117),TOPE_UF*UF_MES)*(TASA_EMP+MUTUAL),0)+ROUND(MIN(N(N1117),TOPE_AFC_UF*UF_MES)*IF(S1117="Indefinido",AFC_INDEF,AFC_PF),0))</f>
        <v/>
      </c>
      <c r="U1117" s="62" t="str">
        <f aca="false">IF(C1117="","",IF(LEFT(D1117,1)="⚠","⚠ RUT no registrado en Trabajadores",IF(B1117="","⚠ Falta el mes",IF(OR(ISTEXT(I1117),ISTEXT(J1117)),"⚠ Atrasos u horas extra como texto: escriba hh:mm (ej. 1:30)",IF(AND(ISNUMBER(Q1117),COUNTIFS(M_RUTN,V1117,M_MES,B1117,M_LIQ,"&lt;&gt;")&gt;1),"⚠ Liquidación repetida en el mes",IF(AND(ISNUMBER(O1117),ISNUMBER(P1117),ISNUMBER(Q1117),ABS(O1117-P1117-Q1117)&gt;1),"⚠ Haberes − descuentos no da el líquido","OK"))))))</f>
        <v/>
      </c>
      <c r="V1117" s="62" t="str">
        <f aca="false">IF(C1117="","",IFERROR(VALUE(LEFT(UPPER(SUBSTITUTE(SUBSTITUTE(SUBSTITUTE(TRIM(C1117),".",""),"-","")," ","")),LEN(UPPER(SUBSTITUTE(SUBSTITUTE(SUBSTITUTE(TRIM(C1117),".",""),"-","")," ","")))-1))&amp;RIGHT(UPPER(SUBSTITUTE(SUBSTITUTE(SUBSTITUTE(TRIM(C1117),".",""),"-","")," ","")),1),UPPER(SUBSTITUTE(SUBSTITUTE(SUBSTITUTE(TRIM(C1117),".",""),"-","")," ",""))))</f>
        <v/>
      </c>
    </row>
    <row r="1118" customFormat="false" ht="15" hidden="false" customHeight="false" outlineLevel="0" collapsed="false">
      <c r="B1118" s="80"/>
      <c r="C1118" s="58"/>
      <c r="D1118" s="62" t="str">
        <f aca="false">IF(C1118="","",IFERROR(INDEX(T_NOMBRE,MATCH(V1118,T_RUTN,0)),"⚠ RUT no está en Trabajadores"))</f>
        <v/>
      </c>
      <c r="E1118" s="61"/>
      <c r="F1118" s="61"/>
      <c r="G1118" s="61"/>
      <c r="H1118" s="61"/>
      <c r="I1118" s="81"/>
      <c r="J1118" s="81"/>
      <c r="K1118" s="60"/>
      <c r="L1118" s="60"/>
      <c r="M1118" s="60"/>
      <c r="N1118" s="60"/>
      <c r="O1118" s="60"/>
      <c r="P1118" s="60"/>
      <c r="Q1118" s="60"/>
      <c r="R1118" s="58"/>
      <c r="S1118" s="62" t="str">
        <f aca="false">IF(OR(B1118="",V1118=""),"",IFERROR(INDEX(C_TIPO,MATCH(V1118&amp;"-P"&amp;MAX(1,COUNTIFS(C_RUTN,V1118,C_DEF,"Sí",C_INI,"&lt;="&amp;EOMONTH(B1118,0))),C_CLAVE,0))&amp;"","Sin contrato"))</f>
        <v/>
      </c>
      <c r="T1118" s="63" t="str">
        <f aca="false">IF(OR(B1118="",N(O1118)=0),"",N(O1118)+ROUND(MIN(N(N1118),TOPE_UF*UF_MES)*(TASA_EMP+MUTUAL),0)+ROUND(MIN(N(N1118),TOPE_AFC_UF*UF_MES)*IF(S1118="Indefinido",AFC_INDEF,AFC_PF),0))</f>
        <v/>
      </c>
      <c r="U1118" s="62" t="str">
        <f aca="false">IF(C1118="","",IF(LEFT(D1118,1)="⚠","⚠ RUT no registrado en Trabajadores",IF(B1118="","⚠ Falta el mes",IF(OR(ISTEXT(I1118),ISTEXT(J1118)),"⚠ Atrasos u horas extra como texto: escriba hh:mm (ej. 1:30)",IF(AND(ISNUMBER(Q1118),COUNTIFS(M_RUTN,V1118,M_MES,B1118,M_LIQ,"&lt;&gt;")&gt;1),"⚠ Liquidación repetida en el mes",IF(AND(ISNUMBER(O1118),ISNUMBER(P1118),ISNUMBER(Q1118),ABS(O1118-P1118-Q1118)&gt;1),"⚠ Haberes − descuentos no da el líquido","OK"))))))</f>
        <v/>
      </c>
      <c r="V1118" s="62" t="str">
        <f aca="false">IF(C1118="","",IFERROR(VALUE(LEFT(UPPER(SUBSTITUTE(SUBSTITUTE(SUBSTITUTE(TRIM(C1118),".",""),"-","")," ","")),LEN(UPPER(SUBSTITUTE(SUBSTITUTE(SUBSTITUTE(TRIM(C1118),".",""),"-","")," ","")))-1))&amp;RIGHT(UPPER(SUBSTITUTE(SUBSTITUTE(SUBSTITUTE(TRIM(C1118),".",""),"-","")," ","")),1),UPPER(SUBSTITUTE(SUBSTITUTE(SUBSTITUTE(TRIM(C1118),".",""),"-","")," ",""))))</f>
        <v/>
      </c>
    </row>
    <row r="1119" customFormat="false" ht="15" hidden="false" customHeight="false" outlineLevel="0" collapsed="false">
      <c r="B1119" s="80"/>
      <c r="C1119" s="58"/>
      <c r="D1119" s="62" t="str">
        <f aca="false">IF(C1119="","",IFERROR(INDEX(T_NOMBRE,MATCH(V1119,T_RUTN,0)),"⚠ RUT no está en Trabajadores"))</f>
        <v/>
      </c>
      <c r="E1119" s="61"/>
      <c r="F1119" s="61"/>
      <c r="G1119" s="61"/>
      <c r="H1119" s="61"/>
      <c r="I1119" s="81"/>
      <c r="J1119" s="81"/>
      <c r="K1119" s="60"/>
      <c r="L1119" s="60"/>
      <c r="M1119" s="60"/>
      <c r="N1119" s="60"/>
      <c r="O1119" s="60"/>
      <c r="P1119" s="60"/>
      <c r="Q1119" s="60"/>
      <c r="R1119" s="58"/>
      <c r="S1119" s="62" t="str">
        <f aca="false">IF(OR(B1119="",V1119=""),"",IFERROR(INDEX(C_TIPO,MATCH(V1119&amp;"-P"&amp;MAX(1,COUNTIFS(C_RUTN,V1119,C_DEF,"Sí",C_INI,"&lt;="&amp;EOMONTH(B1119,0))),C_CLAVE,0))&amp;"","Sin contrato"))</f>
        <v/>
      </c>
      <c r="T1119" s="63" t="str">
        <f aca="false">IF(OR(B1119="",N(O1119)=0),"",N(O1119)+ROUND(MIN(N(N1119),TOPE_UF*UF_MES)*(TASA_EMP+MUTUAL),0)+ROUND(MIN(N(N1119),TOPE_AFC_UF*UF_MES)*IF(S1119="Indefinido",AFC_INDEF,AFC_PF),0))</f>
        <v/>
      </c>
      <c r="U1119" s="62" t="str">
        <f aca="false">IF(C1119="","",IF(LEFT(D1119,1)="⚠","⚠ RUT no registrado en Trabajadores",IF(B1119="","⚠ Falta el mes",IF(OR(ISTEXT(I1119),ISTEXT(J1119)),"⚠ Atrasos u horas extra como texto: escriba hh:mm (ej. 1:30)",IF(AND(ISNUMBER(Q1119),COUNTIFS(M_RUTN,V1119,M_MES,B1119,M_LIQ,"&lt;&gt;")&gt;1),"⚠ Liquidación repetida en el mes",IF(AND(ISNUMBER(O1119),ISNUMBER(P1119),ISNUMBER(Q1119),ABS(O1119-P1119-Q1119)&gt;1),"⚠ Haberes − descuentos no da el líquido","OK"))))))</f>
        <v/>
      </c>
      <c r="V1119" s="62" t="str">
        <f aca="false">IF(C1119="","",IFERROR(VALUE(LEFT(UPPER(SUBSTITUTE(SUBSTITUTE(SUBSTITUTE(TRIM(C1119),".",""),"-","")," ","")),LEN(UPPER(SUBSTITUTE(SUBSTITUTE(SUBSTITUTE(TRIM(C1119),".",""),"-","")," ","")))-1))&amp;RIGHT(UPPER(SUBSTITUTE(SUBSTITUTE(SUBSTITUTE(TRIM(C1119),".",""),"-","")," ","")),1),UPPER(SUBSTITUTE(SUBSTITUTE(SUBSTITUTE(TRIM(C1119),".",""),"-","")," ",""))))</f>
        <v/>
      </c>
    </row>
    <row r="1120" customFormat="false" ht="15" hidden="false" customHeight="false" outlineLevel="0" collapsed="false">
      <c r="B1120" s="80"/>
      <c r="C1120" s="58"/>
      <c r="D1120" s="62" t="str">
        <f aca="false">IF(C1120="","",IFERROR(INDEX(T_NOMBRE,MATCH(V1120,T_RUTN,0)),"⚠ RUT no está en Trabajadores"))</f>
        <v/>
      </c>
      <c r="E1120" s="61"/>
      <c r="F1120" s="61"/>
      <c r="G1120" s="61"/>
      <c r="H1120" s="61"/>
      <c r="I1120" s="81"/>
      <c r="J1120" s="81"/>
      <c r="K1120" s="60"/>
      <c r="L1120" s="60"/>
      <c r="M1120" s="60"/>
      <c r="N1120" s="60"/>
      <c r="O1120" s="60"/>
      <c r="P1120" s="60"/>
      <c r="Q1120" s="60"/>
      <c r="R1120" s="58"/>
      <c r="S1120" s="62" t="str">
        <f aca="false">IF(OR(B1120="",V1120=""),"",IFERROR(INDEX(C_TIPO,MATCH(V1120&amp;"-P"&amp;MAX(1,COUNTIFS(C_RUTN,V1120,C_DEF,"Sí",C_INI,"&lt;="&amp;EOMONTH(B1120,0))),C_CLAVE,0))&amp;"","Sin contrato"))</f>
        <v/>
      </c>
      <c r="T1120" s="63" t="str">
        <f aca="false">IF(OR(B1120="",N(O1120)=0),"",N(O1120)+ROUND(MIN(N(N1120),TOPE_UF*UF_MES)*(TASA_EMP+MUTUAL),0)+ROUND(MIN(N(N1120),TOPE_AFC_UF*UF_MES)*IF(S1120="Indefinido",AFC_INDEF,AFC_PF),0))</f>
        <v/>
      </c>
      <c r="U1120" s="62" t="str">
        <f aca="false">IF(C1120="","",IF(LEFT(D1120,1)="⚠","⚠ RUT no registrado en Trabajadores",IF(B1120="","⚠ Falta el mes",IF(OR(ISTEXT(I1120),ISTEXT(J1120)),"⚠ Atrasos u horas extra como texto: escriba hh:mm (ej. 1:30)",IF(AND(ISNUMBER(Q1120),COUNTIFS(M_RUTN,V1120,M_MES,B1120,M_LIQ,"&lt;&gt;")&gt;1),"⚠ Liquidación repetida en el mes",IF(AND(ISNUMBER(O1120),ISNUMBER(P1120),ISNUMBER(Q1120),ABS(O1120-P1120-Q1120)&gt;1),"⚠ Haberes − descuentos no da el líquido","OK"))))))</f>
        <v/>
      </c>
      <c r="V1120" s="62" t="str">
        <f aca="false">IF(C1120="","",IFERROR(VALUE(LEFT(UPPER(SUBSTITUTE(SUBSTITUTE(SUBSTITUTE(TRIM(C1120),".",""),"-","")," ","")),LEN(UPPER(SUBSTITUTE(SUBSTITUTE(SUBSTITUTE(TRIM(C1120),".",""),"-","")," ","")))-1))&amp;RIGHT(UPPER(SUBSTITUTE(SUBSTITUTE(SUBSTITUTE(TRIM(C1120),".",""),"-","")," ","")),1),UPPER(SUBSTITUTE(SUBSTITUTE(SUBSTITUTE(TRIM(C1120),".",""),"-","")," ",""))))</f>
        <v/>
      </c>
    </row>
    <row r="1121" customFormat="false" ht="15" hidden="false" customHeight="false" outlineLevel="0" collapsed="false">
      <c r="B1121" s="80"/>
      <c r="C1121" s="58"/>
      <c r="D1121" s="62" t="str">
        <f aca="false">IF(C1121="","",IFERROR(INDEX(T_NOMBRE,MATCH(V1121,T_RUTN,0)),"⚠ RUT no está en Trabajadores"))</f>
        <v/>
      </c>
      <c r="E1121" s="61"/>
      <c r="F1121" s="61"/>
      <c r="G1121" s="61"/>
      <c r="H1121" s="61"/>
      <c r="I1121" s="81"/>
      <c r="J1121" s="81"/>
      <c r="K1121" s="60"/>
      <c r="L1121" s="60"/>
      <c r="M1121" s="60"/>
      <c r="N1121" s="60"/>
      <c r="O1121" s="60"/>
      <c r="P1121" s="60"/>
      <c r="Q1121" s="60"/>
      <c r="R1121" s="58"/>
      <c r="S1121" s="62" t="str">
        <f aca="false">IF(OR(B1121="",V1121=""),"",IFERROR(INDEX(C_TIPO,MATCH(V1121&amp;"-P"&amp;MAX(1,COUNTIFS(C_RUTN,V1121,C_DEF,"Sí",C_INI,"&lt;="&amp;EOMONTH(B1121,0))),C_CLAVE,0))&amp;"","Sin contrato"))</f>
        <v/>
      </c>
      <c r="T1121" s="63" t="str">
        <f aca="false">IF(OR(B1121="",N(O1121)=0),"",N(O1121)+ROUND(MIN(N(N1121),TOPE_UF*UF_MES)*(TASA_EMP+MUTUAL),0)+ROUND(MIN(N(N1121),TOPE_AFC_UF*UF_MES)*IF(S1121="Indefinido",AFC_INDEF,AFC_PF),0))</f>
        <v/>
      </c>
      <c r="U1121" s="62" t="str">
        <f aca="false">IF(C1121="","",IF(LEFT(D1121,1)="⚠","⚠ RUT no registrado en Trabajadores",IF(B1121="","⚠ Falta el mes",IF(OR(ISTEXT(I1121),ISTEXT(J1121)),"⚠ Atrasos u horas extra como texto: escriba hh:mm (ej. 1:30)",IF(AND(ISNUMBER(Q1121),COUNTIFS(M_RUTN,V1121,M_MES,B1121,M_LIQ,"&lt;&gt;")&gt;1),"⚠ Liquidación repetida en el mes",IF(AND(ISNUMBER(O1121),ISNUMBER(P1121),ISNUMBER(Q1121),ABS(O1121-P1121-Q1121)&gt;1),"⚠ Haberes − descuentos no da el líquido","OK"))))))</f>
        <v/>
      </c>
      <c r="V1121" s="62" t="str">
        <f aca="false">IF(C1121="","",IFERROR(VALUE(LEFT(UPPER(SUBSTITUTE(SUBSTITUTE(SUBSTITUTE(TRIM(C1121),".",""),"-","")," ","")),LEN(UPPER(SUBSTITUTE(SUBSTITUTE(SUBSTITUTE(TRIM(C1121),".",""),"-","")," ","")))-1))&amp;RIGHT(UPPER(SUBSTITUTE(SUBSTITUTE(SUBSTITUTE(TRIM(C1121),".",""),"-","")," ","")),1),UPPER(SUBSTITUTE(SUBSTITUTE(SUBSTITUTE(TRIM(C1121),".",""),"-","")," ",""))))</f>
        <v/>
      </c>
    </row>
    <row r="1122" customFormat="false" ht="15" hidden="false" customHeight="false" outlineLevel="0" collapsed="false">
      <c r="B1122" s="80"/>
      <c r="C1122" s="58"/>
      <c r="D1122" s="62" t="str">
        <f aca="false">IF(C1122="","",IFERROR(INDEX(T_NOMBRE,MATCH(V1122,T_RUTN,0)),"⚠ RUT no está en Trabajadores"))</f>
        <v/>
      </c>
      <c r="E1122" s="61"/>
      <c r="F1122" s="61"/>
      <c r="G1122" s="61"/>
      <c r="H1122" s="61"/>
      <c r="I1122" s="81"/>
      <c r="J1122" s="81"/>
      <c r="K1122" s="60"/>
      <c r="L1122" s="60"/>
      <c r="M1122" s="60"/>
      <c r="N1122" s="60"/>
      <c r="O1122" s="60"/>
      <c r="P1122" s="60"/>
      <c r="Q1122" s="60"/>
      <c r="R1122" s="58"/>
      <c r="S1122" s="62" t="str">
        <f aca="false">IF(OR(B1122="",V1122=""),"",IFERROR(INDEX(C_TIPO,MATCH(V1122&amp;"-P"&amp;MAX(1,COUNTIFS(C_RUTN,V1122,C_DEF,"Sí",C_INI,"&lt;="&amp;EOMONTH(B1122,0))),C_CLAVE,0))&amp;"","Sin contrato"))</f>
        <v/>
      </c>
      <c r="T1122" s="63" t="str">
        <f aca="false">IF(OR(B1122="",N(O1122)=0),"",N(O1122)+ROUND(MIN(N(N1122),TOPE_UF*UF_MES)*(TASA_EMP+MUTUAL),0)+ROUND(MIN(N(N1122),TOPE_AFC_UF*UF_MES)*IF(S1122="Indefinido",AFC_INDEF,AFC_PF),0))</f>
        <v/>
      </c>
      <c r="U1122" s="62" t="str">
        <f aca="false">IF(C1122="","",IF(LEFT(D1122,1)="⚠","⚠ RUT no registrado en Trabajadores",IF(B1122="","⚠ Falta el mes",IF(OR(ISTEXT(I1122),ISTEXT(J1122)),"⚠ Atrasos u horas extra como texto: escriba hh:mm (ej. 1:30)",IF(AND(ISNUMBER(Q1122),COUNTIFS(M_RUTN,V1122,M_MES,B1122,M_LIQ,"&lt;&gt;")&gt;1),"⚠ Liquidación repetida en el mes",IF(AND(ISNUMBER(O1122),ISNUMBER(P1122),ISNUMBER(Q1122),ABS(O1122-P1122-Q1122)&gt;1),"⚠ Haberes − descuentos no da el líquido","OK"))))))</f>
        <v/>
      </c>
      <c r="V1122" s="62" t="str">
        <f aca="false">IF(C1122="","",IFERROR(VALUE(LEFT(UPPER(SUBSTITUTE(SUBSTITUTE(SUBSTITUTE(TRIM(C1122),".",""),"-","")," ","")),LEN(UPPER(SUBSTITUTE(SUBSTITUTE(SUBSTITUTE(TRIM(C1122),".",""),"-","")," ","")))-1))&amp;RIGHT(UPPER(SUBSTITUTE(SUBSTITUTE(SUBSTITUTE(TRIM(C1122),".",""),"-","")," ","")),1),UPPER(SUBSTITUTE(SUBSTITUTE(SUBSTITUTE(TRIM(C1122),".",""),"-","")," ",""))))</f>
        <v/>
      </c>
    </row>
    <row r="1123" customFormat="false" ht="15" hidden="false" customHeight="false" outlineLevel="0" collapsed="false">
      <c r="B1123" s="80"/>
      <c r="C1123" s="58"/>
      <c r="D1123" s="62" t="str">
        <f aca="false">IF(C1123="","",IFERROR(INDEX(T_NOMBRE,MATCH(V1123,T_RUTN,0)),"⚠ RUT no está en Trabajadores"))</f>
        <v/>
      </c>
      <c r="E1123" s="61"/>
      <c r="F1123" s="61"/>
      <c r="G1123" s="61"/>
      <c r="H1123" s="61"/>
      <c r="I1123" s="81"/>
      <c r="J1123" s="81"/>
      <c r="K1123" s="60"/>
      <c r="L1123" s="60"/>
      <c r="M1123" s="60"/>
      <c r="N1123" s="60"/>
      <c r="O1123" s="60"/>
      <c r="P1123" s="60"/>
      <c r="Q1123" s="60"/>
      <c r="R1123" s="58"/>
      <c r="S1123" s="62" t="str">
        <f aca="false">IF(OR(B1123="",V1123=""),"",IFERROR(INDEX(C_TIPO,MATCH(V1123&amp;"-P"&amp;MAX(1,COUNTIFS(C_RUTN,V1123,C_DEF,"Sí",C_INI,"&lt;="&amp;EOMONTH(B1123,0))),C_CLAVE,0))&amp;"","Sin contrato"))</f>
        <v/>
      </c>
      <c r="T1123" s="63" t="str">
        <f aca="false">IF(OR(B1123="",N(O1123)=0),"",N(O1123)+ROUND(MIN(N(N1123),TOPE_UF*UF_MES)*(TASA_EMP+MUTUAL),0)+ROUND(MIN(N(N1123),TOPE_AFC_UF*UF_MES)*IF(S1123="Indefinido",AFC_INDEF,AFC_PF),0))</f>
        <v/>
      </c>
      <c r="U1123" s="62" t="str">
        <f aca="false">IF(C1123="","",IF(LEFT(D1123,1)="⚠","⚠ RUT no registrado en Trabajadores",IF(B1123="","⚠ Falta el mes",IF(OR(ISTEXT(I1123),ISTEXT(J1123)),"⚠ Atrasos u horas extra como texto: escriba hh:mm (ej. 1:30)",IF(AND(ISNUMBER(Q1123),COUNTIFS(M_RUTN,V1123,M_MES,B1123,M_LIQ,"&lt;&gt;")&gt;1),"⚠ Liquidación repetida en el mes",IF(AND(ISNUMBER(O1123),ISNUMBER(P1123),ISNUMBER(Q1123),ABS(O1123-P1123-Q1123)&gt;1),"⚠ Haberes − descuentos no da el líquido","OK"))))))</f>
        <v/>
      </c>
      <c r="V1123" s="62" t="str">
        <f aca="false">IF(C1123="","",IFERROR(VALUE(LEFT(UPPER(SUBSTITUTE(SUBSTITUTE(SUBSTITUTE(TRIM(C1123),".",""),"-","")," ","")),LEN(UPPER(SUBSTITUTE(SUBSTITUTE(SUBSTITUTE(TRIM(C1123),".",""),"-","")," ","")))-1))&amp;RIGHT(UPPER(SUBSTITUTE(SUBSTITUTE(SUBSTITUTE(TRIM(C1123),".",""),"-","")," ","")),1),UPPER(SUBSTITUTE(SUBSTITUTE(SUBSTITUTE(TRIM(C1123),".",""),"-","")," ",""))))</f>
        <v/>
      </c>
    </row>
    <row r="1124" customFormat="false" ht="15" hidden="false" customHeight="false" outlineLevel="0" collapsed="false">
      <c r="B1124" s="80"/>
      <c r="C1124" s="58"/>
      <c r="D1124" s="62" t="str">
        <f aca="false">IF(C1124="","",IFERROR(INDEX(T_NOMBRE,MATCH(V1124,T_RUTN,0)),"⚠ RUT no está en Trabajadores"))</f>
        <v/>
      </c>
      <c r="E1124" s="61"/>
      <c r="F1124" s="61"/>
      <c r="G1124" s="61"/>
      <c r="H1124" s="61"/>
      <c r="I1124" s="81"/>
      <c r="J1124" s="81"/>
      <c r="K1124" s="60"/>
      <c r="L1124" s="60"/>
      <c r="M1124" s="60"/>
      <c r="N1124" s="60"/>
      <c r="O1124" s="60"/>
      <c r="P1124" s="60"/>
      <c r="Q1124" s="60"/>
      <c r="R1124" s="58"/>
      <c r="S1124" s="62" t="str">
        <f aca="false">IF(OR(B1124="",V1124=""),"",IFERROR(INDEX(C_TIPO,MATCH(V1124&amp;"-P"&amp;MAX(1,COUNTIFS(C_RUTN,V1124,C_DEF,"Sí",C_INI,"&lt;="&amp;EOMONTH(B1124,0))),C_CLAVE,0))&amp;"","Sin contrato"))</f>
        <v/>
      </c>
      <c r="T1124" s="63" t="str">
        <f aca="false">IF(OR(B1124="",N(O1124)=0),"",N(O1124)+ROUND(MIN(N(N1124),TOPE_UF*UF_MES)*(TASA_EMP+MUTUAL),0)+ROUND(MIN(N(N1124),TOPE_AFC_UF*UF_MES)*IF(S1124="Indefinido",AFC_INDEF,AFC_PF),0))</f>
        <v/>
      </c>
      <c r="U1124" s="62" t="str">
        <f aca="false">IF(C1124="","",IF(LEFT(D1124,1)="⚠","⚠ RUT no registrado en Trabajadores",IF(B1124="","⚠ Falta el mes",IF(OR(ISTEXT(I1124),ISTEXT(J1124)),"⚠ Atrasos u horas extra como texto: escriba hh:mm (ej. 1:30)",IF(AND(ISNUMBER(Q1124),COUNTIFS(M_RUTN,V1124,M_MES,B1124,M_LIQ,"&lt;&gt;")&gt;1),"⚠ Liquidación repetida en el mes",IF(AND(ISNUMBER(O1124),ISNUMBER(P1124),ISNUMBER(Q1124),ABS(O1124-P1124-Q1124)&gt;1),"⚠ Haberes − descuentos no da el líquido","OK"))))))</f>
        <v/>
      </c>
      <c r="V1124" s="62" t="str">
        <f aca="false">IF(C1124="","",IFERROR(VALUE(LEFT(UPPER(SUBSTITUTE(SUBSTITUTE(SUBSTITUTE(TRIM(C1124),".",""),"-","")," ","")),LEN(UPPER(SUBSTITUTE(SUBSTITUTE(SUBSTITUTE(TRIM(C1124),".",""),"-","")," ","")))-1))&amp;RIGHT(UPPER(SUBSTITUTE(SUBSTITUTE(SUBSTITUTE(TRIM(C1124),".",""),"-","")," ","")),1),UPPER(SUBSTITUTE(SUBSTITUTE(SUBSTITUTE(TRIM(C1124),".",""),"-","")," ",""))))</f>
        <v/>
      </c>
    </row>
    <row r="1125" customFormat="false" ht="15" hidden="false" customHeight="false" outlineLevel="0" collapsed="false">
      <c r="B1125" s="80"/>
      <c r="C1125" s="58"/>
      <c r="D1125" s="62" t="str">
        <f aca="false">IF(C1125="","",IFERROR(INDEX(T_NOMBRE,MATCH(V1125,T_RUTN,0)),"⚠ RUT no está en Trabajadores"))</f>
        <v/>
      </c>
      <c r="E1125" s="61"/>
      <c r="F1125" s="61"/>
      <c r="G1125" s="61"/>
      <c r="H1125" s="61"/>
      <c r="I1125" s="81"/>
      <c r="J1125" s="81"/>
      <c r="K1125" s="60"/>
      <c r="L1125" s="60"/>
      <c r="M1125" s="60"/>
      <c r="N1125" s="60"/>
      <c r="O1125" s="60"/>
      <c r="P1125" s="60"/>
      <c r="Q1125" s="60"/>
      <c r="R1125" s="58"/>
      <c r="S1125" s="62" t="str">
        <f aca="false">IF(OR(B1125="",V1125=""),"",IFERROR(INDEX(C_TIPO,MATCH(V1125&amp;"-P"&amp;MAX(1,COUNTIFS(C_RUTN,V1125,C_DEF,"Sí",C_INI,"&lt;="&amp;EOMONTH(B1125,0))),C_CLAVE,0))&amp;"","Sin contrato"))</f>
        <v/>
      </c>
      <c r="T1125" s="63" t="str">
        <f aca="false">IF(OR(B1125="",N(O1125)=0),"",N(O1125)+ROUND(MIN(N(N1125),TOPE_UF*UF_MES)*(TASA_EMP+MUTUAL),0)+ROUND(MIN(N(N1125),TOPE_AFC_UF*UF_MES)*IF(S1125="Indefinido",AFC_INDEF,AFC_PF),0))</f>
        <v/>
      </c>
      <c r="U1125" s="62" t="str">
        <f aca="false">IF(C1125="","",IF(LEFT(D1125,1)="⚠","⚠ RUT no registrado en Trabajadores",IF(B1125="","⚠ Falta el mes",IF(OR(ISTEXT(I1125),ISTEXT(J1125)),"⚠ Atrasos u horas extra como texto: escriba hh:mm (ej. 1:30)",IF(AND(ISNUMBER(Q1125),COUNTIFS(M_RUTN,V1125,M_MES,B1125,M_LIQ,"&lt;&gt;")&gt;1),"⚠ Liquidación repetida en el mes",IF(AND(ISNUMBER(O1125),ISNUMBER(P1125),ISNUMBER(Q1125),ABS(O1125-P1125-Q1125)&gt;1),"⚠ Haberes − descuentos no da el líquido","OK"))))))</f>
        <v/>
      </c>
      <c r="V1125" s="62" t="str">
        <f aca="false">IF(C1125="","",IFERROR(VALUE(LEFT(UPPER(SUBSTITUTE(SUBSTITUTE(SUBSTITUTE(TRIM(C1125),".",""),"-","")," ","")),LEN(UPPER(SUBSTITUTE(SUBSTITUTE(SUBSTITUTE(TRIM(C1125),".",""),"-","")," ","")))-1))&amp;RIGHT(UPPER(SUBSTITUTE(SUBSTITUTE(SUBSTITUTE(TRIM(C1125),".",""),"-","")," ","")),1),UPPER(SUBSTITUTE(SUBSTITUTE(SUBSTITUTE(TRIM(C1125),".",""),"-","")," ",""))))</f>
        <v/>
      </c>
    </row>
    <row r="1126" customFormat="false" ht="15" hidden="false" customHeight="false" outlineLevel="0" collapsed="false">
      <c r="B1126" s="80"/>
      <c r="C1126" s="58"/>
      <c r="D1126" s="62" t="str">
        <f aca="false">IF(C1126="","",IFERROR(INDEX(T_NOMBRE,MATCH(V1126,T_RUTN,0)),"⚠ RUT no está en Trabajadores"))</f>
        <v/>
      </c>
      <c r="E1126" s="61"/>
      <c r="F1126" s="61"/>
      <c r="G1126" s="61"/>
      <c r="H1126" s="61"/>
      <c r="I1126" s="81"/>
      <c r="J1126" s="81"/>
      <c r="K1126" s="60"/>
      <c r="L1126" s="60"/>
      <c r="M1126" s="60"/>
      <c r="N1126" s="60"/>
      <c r="O1126" s="60"/>
      <c r="P1126" s="60"/>
      <c r="Q1126" s="60"/>
      <c r="R1126" s="58"/>
      <c r="S1126" s="62" t="str">
        <f aca="false">IF(OR(B1126="",V1126=""),"",IFERROR(INDEX(C_TIPO,MATCH(V1126&amp;"-P"&amp;MAX(1,COUNTIFS(C_RUTN,V1126,C_DEF,"Sí",C_INI,"&lt;="&amp;EOMONTH(B1126,0))),C_CLAVE,0))&amp;"","Sin contrato"))</f>
        <v/>
      </c>
      <c r="T1126" s="63" t="str">
        <f aca="false">IF(OR(B1126="",N(O1126)=0),"",N(O1126)+ROUND(MIN(N(N1126),TOPE_UF*UF_MES)*(TASA_EMP+MUTUAL),0)+ROUND(MIN(N(N1126),TOPE_AFC_UF*UF_MES)*IF(S1126="Indefinido",AFC_INDEF,AFC_PF),0))</f>
        <v/>
      </c>
      <c r="U1126" s="62" t="str">
        <f aca="false">IF(C1126="","",IF(LEFT(D1126,1)="⚠","⚠ RUT no registrado en Trabajadores",IF(B1126="","⚠ Falta el mes",IF(OR(ISTEXT(I1126),ISTEXT(J1126)),"⚠ Atrasos u horas extra como texto: escriba hh:mm (ej. 1:30)",IF(AND(ISNUMBER(Q1126),COUNTIFS(M_RUTN,V1126,M_MES,B1126,M_LIQ,"&lt;&gt;")&gt;1),"⚠ Liquidación repetida en el mes",IF(AND(ISNUMBER(O1126),ISNUMBER(P1126),ISNUMBER(Q1126),ABS(O1126-P1126-Q1126)&gt;1),"⚠ Haberes − descuentos no da el líquido","OK"))))))</f>
        <v/>
      </c>
      <c r="V1126" s="62" t="str">
        <f aca="false">IF(C1126="","",IFERROR(VALUE(LEFT(UPPER(SUBSTITUTE(SUBSTITUTE(SUBSTITUTE(TRIM(C1126),".",""),"-","")," ","")),LEN(UPPER(SUBSTITUTE(SUBSTITUTE(SUBSTITUTE(TRIM(C1126),".",""),"-","")," ","")))-1))&amp;RIGHT(UPPER(SUBSTITUTE(SUBSTITUTE(SUBSTITUTE(TRIM(C1126),".",""),"-","")," ","")),1),UPPER(SUBSTITUTE(SUBSTITUTE(SUBSTITUTE(TRIM(C1126),".",""),"-","")," ",""))))</f>
        <v/>
      </c>
    </row>
    <row r="1127" customFormat="false" ht="15" hidden="false" customHeight="false" outlineLevel="0" collapsed="false">
      <c r="B1127" s="80"/>
      <c r="C1127" s="58"/>
      <c r="D1127" s="62" t="str">
        <f aca="false">IF(C1127="","",IFERROR(INDEX(T_NOMBRE,MATCH(V1127,T_RUTN,0)),"⚠ RUT no está en Trabajadores"))</f>
        <v/>
      </c>
      <c r="E1127" s="61"/>
      <c r="F1127" s="61"/>
      <c r="G1127" s="61"/>
      <c r="H1127" s="61"/>
      <c r="I1127" s="81"/>
      <c r="J1127" s="81"/>
      <c r="K1127" s="60"/>
      <c r="L1127" s="60"/>
      <c r="M1127" s="60"/>
      <c r="N1127" s="60"/>
      <c r="O1127" s="60"/>
      <c r="P1127" s="60"/>
      <c r="Q1127" s="60"/>
      <c r="R1127" s="58"/>
      <c r="S1127" s="62" t="str">
        <f aca="false">IF(OR(B1127="",V1127=""),"",IFERROR(INDEX(C_TIPO,MATCH(V1127&amp;"-P"&amp;MAX(1,COUNTIFS(C_RUTN,V1127,C_DEF,"Sí",C_INI,"&lt;="&amp;EOMONTH(B1127,0))),C_CLAVE,0))&amp;"","Sin contrato"))</f>
        <v/>
      </c>
      <c r="T1127" s="63" t="str">
        <f aca="false">IF(OR(B1127="",N(O1127)=0),"",N(O1127)+ROUND(MIN(N(N1127),TOPE_UF*UF_MES)*(TASA_EMP+MUTUAL),0)+ROUND(MIN(N(N1127),TOPE_AFC_UF*UF_MES)*IF(S1127="Indefinido",AFC_INDEF,AFC_PF),0))</f>
        <v/>
      </c>
      <c r="U1127" s="62" t="str">
        <f aca="false">IF(C1127="","",IF(LEFT(D1127,1)="⚠","⚠ RUT no registrado en Trabajadores",IF(B1127="","⚠ Falta el mes",IF(OR(ISTEXT(I1127),ISTEXT(J1127)),"⚠ Atrasos u horas extra como texto: escriba hh:mm (ej. 1:30)",IF(AND(ISNUMBER(Q1127),COUNTIFS(M_RUTN,V1127,M_MES,B1127,M_LIQ,"&lt;&gt;")&gt;1),"⚠ Liquidación repetida en el mes",IF(AND(ISNUMBER(O1127),ISNUMBER(P1127),ISNUMBER(Q1127),ABS(O1127-P1127-Q1127)&gt;1),"⚠ Haberes − descuentos no da el líquido","OK"))))))</f>
        <v/>
      </c>
      <c r="V1127" s="62" t="str">
        <f aca="false">IF(C1127="","",IFERROR(VALUE(LEFT(UPPER(SUBSTITUTE(SUBSTITUTE(SUBSTITUTE(TRIM(C1127),".",""),"-","")," ","")),LEN(UPPER(SUBSTITUTE(SUBSTITUTE(SUBSTITUTE(TRIM(C1127),".",""),"-","")," ","")))-1))&amp;RIGHT(UPPER(SUBSTITUTE(SUBSTITUTE(SUBSTITUTE(TRIM(C1127),".",""),"-","")," ","")),1),UPPER(SUBSTITUTE(SUBSTITUTE(SUBSTITUTE(TRIM(C1127),".",""),"-","")," ",""))))</f>
        <v/>
      </c>
    </row>
    <row r="1128" customFormat="false" ht="15" hidden="false" customHeight="false" outlineLevel="0" collapsed="false">
      <c r="B1128" s="80"/>
      <c r="C1128" s="58"/>
      <c r="D1128" s="62" t="str">
        <f aca="false">IF(C1128="","",IFERROR(INDEX(T_NOMBRE,MATCH(V1128,T_RUTN,0)),"⚠ RUT no está en Trabajadores"))</f>
        <v/>
      </c>
      <c r="E1128" s="61"/>
      <c r="F1128" s="61"/>
      <c r="G1128" s="61"/>
      <c r="H1128" s="61"/>
      <c r="I1128" s="81"/>
      <c r="J1128" s="81"/>
      <c r="K1128" s="60"/>
      <c r="L1128" s="60"/>
      <c r="M1128" s="60"/>
      <c r="N1128" s="60"/>
      <c r="O1128" s="60"/>
      <c r="P1128" s="60"/>
      <c r="Q1128" s="60"/>
      <c r="R1128" s="58"/>
      <c r="S1128" s="62" t="str">
        <f aca="false">IF(OR(B1128="",V1128=""),"",IFERROR(INDEX(C_TIPO,MATCH(V1128&amp;"-P"&amp;MAX(1,COUNTIFS(C_RUTN,V1128,C_DEF,"Sí",C_INI,"&lt;="&amp;EOMONTH(B1128,0))),C_CLAVE,0))&amp;"","Sin contrato"))</f>
        <v/>
      </c>
      <c r="T1128" s="63" t="str">
        <f aca="false">IF(OR(B1128="",N(O1128)=0),"",N(O1128)+ROUND(MIN(N(N1128),TOPE_UF*UF_MES)*(TASA_EMP+MUTUAL),0)+ROUND(MIN(N(N1128),TOPE_AFC_UF*UF_MES)*IF(S1128="Indefinido",AFC_INDEF,AFC_PF),0))</f>
        <v/>
      </c>
      <c r="U1128" s="62" t="str">
        <f aca="false">IF(C1128="","",IF(LEFT(D1128,1)="⚠","⚠ RUT no registrado en Trabajadores",IF(B1128="","⚠ Falta el mes",IF(OR(ISTEXT(I1128),ISTEXT(J1128)),"⚠ Atrasos u horas extra como texto: escriba hh:mm (ej. 1:30)",IF(AND(ISNUMBER(Q1128),COUNTIFS(M_RUTN,V1128,M_MES,B1128,M_LIQ,"&lt;&gt;")&gt;1),"⚠ Liquidación repetida en el mes",IF(AND(ISNUMBER(O1128),ISNUMBER(P1128),ISNUMBER(Q1128),ABS(O1128-P1128-Q1128)&gt;1),"⚠ Haberes − descuentos no da el líquido","OK"))))))</f>
        <v/>
      </c>
      <c r="V1128" s="62" t="str">
        <f aca="false">IF(C1128="","",IFERROR(VALUE(LEFT(UPPER(SUBSTITUTE(SUBSTITUTE(SUBSTITUTE(TRIM(C1128),".",""),"-","")," ","")),LEN(UPPER(SUBSTITUTE(SUBSTITUTE(SUBSTITUTE(TRIM(C1128),".",""),"-","")," ","")))-1))&amp;RIGHT(UPPER(SUBSTITUTE(SUBSTITUTE(SUBSTITUTE(TRIM(C1128),".",""),"-","")," ","")),1),UPPER(SUBSTITUTE(SUBSTITUTE(SUBSTITUTE(TRIM(C1128),".",""),"-","")," ",""))))</f>
        <v/>
      </c>
    </row>
    <row r="1129" customFormat="false" ht="15" hidden="false" customHeight="false" outlineLevel="0" collapsed="false">
      <c r="B1129" s="80"/>
      <c r="C1129" s="58"/>
      <c r="D1129" s="62" t="str">
        <f aca="false">IF(C1129="","",IFERROR(INDEX(T_NOMBRE,MATCH(V1129,T_RUTN,0)),"⚠ RUT no está en Trabajadores"))</f>
        <v/>
      </c>
      <c r="E1129" s="61"/>
      <c r="F1129" s="61"/>
      <c r="G1129" s="61"/>
      <c r="H1129" s="61"/>
      <c r="I1129" s="81"/>
      <c r="J1129" s="81"/>
      <c r="K1129" s="60"/>
      <c r="L1129" s="60"/>
      <c r="M1129" s="60"/>
      <c r="N1129" s="60"/>
      <c r="O1129" s="60"/>
      <c r="P1129" s="60"/>
      <c r="Q1129" s="60"/>
      <c r="R1129" s="58"/>
      <c r="S1129" s="62" t="str">
        <f aca="false">IF(OR(B1129="",V1129=""),"",IFERROR(INDEX(C_TIPO,MATCH(V1129&amp;"-P"&amp;MAX(1,COUNTIFS(C_RUTN,V1129,C_DEF,"Sí",C_INI,"&lt;="&amp;EOMONTH(B1129,0))),C_CLAVE,0))&amp;"","Sin contrato"))</f>
        <v/>
      </c>
      <c r="T1129" s="63" t="str">
        <f aca="false">IF(OR(B1129="",N(O1129)=0),"",N(O1129)+ROUND(MIN(N(N1129),TOPE_UF*UF_MES)*(TASA_EMP+MUTUAL),0)+ROUND(MIN(N(N1129),TOPE_AFC_UF*UF_MES)*IF(S1129="Indefinido",AFC_INDEF,AFC_PF),0))</f>
        <v/>
      </c>
      <c r="U1129" s="62" t="str">
        <f aca="false">IF(C1129="","",IF(LEFT(D1129,1)="⚠","⚠ RUT no registrado en Trabajadores",IF(B1129="","⚠ Falta el mes",IF(OR(ISTEXT(I1129),ISTEXT(J1129)),"⚠ Atrasos u horas extra como texto: escriba hh:mm (ej. 1:30)",IF(AND(ISNUMBER(Q1129),COUNTIFS(M_RUTN,V1129,M_MES,B1129,M_LIQ,"&lt;&gt;")&gt;1),"⚠ Liquidación repetida en el mes",IF(AND(ISNUMBER(O1129),ISNUMBER(P1129),ISNUMBER(Q1129),ABS(O1129-P1129-Q1129)&gt;1),"⚠ Haberes − descuentos no da el líquido","OK"))))))</f>
        <v/>
      </c>
      <c r="V1129" s="62" t="str">
        <f aca="false">IF(C1129="","",IFERROR(VALUE(LEFT(UPPER(SUBSTITUTE(SUBSTITUTE(SUBSTITUTE(TRIM(C1129),".",""),"-","")," ","")),LEN(UPPER(SUBSTITUTE(SUBSTITUTE(SUBSTITUTE(TRIM(C1129),".",""),"-","")," ","")))-1))&amp;RIGHT(UPPER(SUBSTITUTE(SUBSTITUTE(SUBSTITUTE(TRIM(C1129),".",""),"-","")," ","")),1),UPPER(SUBSTITUTE(SUBSTITUTE(SUBSTITUTE(TRIM(C1129),".",""),"-","")," ",""))))</f>
        <v/>
      </c>
    </row>
    <row r="1130" customFormat="false" ht="15" hidden="false" customHeight="false" outlineLevel="0" collapsed="false">
      <c r="B1130" s="80"/>
      <c r="C1130" s="58"/>
      <c r="D1130" s="62" t="str">
        <f aca="false">IF(C1130="","",IFERROR(INDEX(T_NOMBRE,MATCH(V1130,T_RUTN,0)),"⚠ RUT no está en Trabajadores"))</f>
        <v/>
      </c>
      <c r="E1130" s="61"/>
      <c r="F1130" s="61"/>
      <c r="G1130" s="61"/>
      <c r="H1130" s="61"/>
      <c r="I1130" s="81"/>
      <c r="J1130" s="81"/>
      <c r="K1130" s="60"/>
      <c r="L1130" s="60"/>
      <c r="M1130" s="60"/>
      <c r="N1130" s="60"/>
      <c r="O1130" s="60"/>
      <c r="P1130" s="60"/>
      <c r="Q1130" s="60"/>
      <c r="R1130" s="58"/>
      <c r="S1130" s="62" t="str">
        <f aca="false">IF(OR(B1130="",V1130=""),"",IFERROR(INDEX(C_TIPO,MATCH(V1130&amp;"-P"&amp;MAX(1,COUNTIFS(C_RUTN,V1130,C_DEF,"Sí",C_INI,"&lt;="&amp;EOMONTH(B1130,0))),C_CLAVE,0))&amp;"","Sin contrato"))</f>
        <v/>
      </c>
      <c r="T1130" s="63" t="str">
        <f aca="false">IF(OR(B1130="",N(O1130)=0),"",N(O1130)+ROUND(MIN(N(N1130),TOPE_UF*UF_MES)*(TASA_EMP+MUTUAL),0)+ROUND(MIN(N(N1130),TOPE_AFC_UF*UF_MES)*IF(S1130="Indefinido",AFC_INDEF,AFC_PF),0))</f>
        <v/>
      </c>
      <c r="U1130" s="62" t="str">
        <f aca="false">IF(C1130="","",IF(LEFT(D1130,1)="⚠","⚠ RUT no registrado en Trabajadores",IF(B1130="","⚠ Falta el mes",IF(OR(ISTEXT(I1130),ISTEXT(J1130)),"⚠ Atrasos u horas extra como texto: escriba hh:mm (ej. 1:30)",IF(AND(ISNUMBER(Q1130),COUNTIFS(M_RUTN,V1130,M_MES,B1130,M_LIQ,"&lt;&gt;")&gt;1),"⚠ Liquidación repetida en el mes",IF(AND(ISNUMBER(O1130),ISNUMBER(P1130),ISNUMBER(Q1130),ABS(O1130-P1130-Q1130)&gt;1),"⚠ Haberes − descuentos no da el líquido","OK"))))))</f>
        <v/>
      </c>
      <c r="V1130" s="62" t="str">
        <f aca="false">IF(C1130="","",IFERROR(VALUE(LEFT(UPPER(SUBSTITUTE(SUBSTITUTE(SUBSTITUTE(TRIM(C1130),".",""),"-","")," ","")),LEN(UPPER(SUBSTITUTE(SUBSTITUTE(SUBSTITUTE(TRIM(C1130),".",""),"-","")," ","")))-1))&amp;RIGHT(UPPER(SUBSTITUTE(SUBSTITUTE(SUBSTITUTE(TRIM(C1130),".",""),"-","")," ","")),1),UPPER(SUBSTITUTE(SUBSTITUTE(SUBSTITUTE(TRIM(C1130),".",""),"-","")," ",""))))</f>
        <v/>
      </c>
    </row>
    <row r="1131" customFormat="false" ht="15" hidden="false" customHeight="false" outlineLevel="0" collapsed="false">
      <c r="B1131" s="80"/>
      <c r="C1131" s="58"/>
      <c r="D1131" s="62" t="str">
        <f aca="false">IF(C1131="","",IFERROR(INDEX(T_NOMBRE,MATCH(V1131,T_RUTN,0)),"⚠ RUT no está en Trabajadores"))</f>
        <v/>
      </c>
      <c r="E1131" s="61"/>
      <c r="F1131" s="61"/>
      <c r="G1131" s="61"/>
      <c r="H1131" s="61"/>
      <c r="I1131" s="81"/>
      <c r="J1131" s="81"/>
      <c r="K1131" s="60"/>
      <c r="L1131" s="60"/>
      <c r="M1131" s="60"/>
      <c r="N1131" s="60"/>
      <c r="O1131" s="60"/>
      <c r="P1131" s="60"/>
      <c r="Q1131" s="60"/>
      <c r="R1131" s="58"/>
      <c r="S1131" s="62" t="str">
        <f aca="false">IF(OR(B1131="",V1131=""),"",IFERROR(INDEX(C_TIPO,MATCH(V1131&amp;"-P"&amp;MAX(1,COUNTIFS(C_RUTN,V1131,C_DEF,"Sí",C_INI,"&lt;="&amp;EOMONTH(B1131,0))),C_CLAVE,0))&amp;"","Sin contrato"))</f>
        <v/>
      </c>
      <c r="T1131" s="63" t="str">
        <f aca="false">IF(OR(B1131="",N(O1131)=0),"",N(O1131)+ROUND(MIN(N(N1131),TOPE_UF*UF_MES)*(TASA_EMP+MUTUAL),0)+ROUND(MIN(N(N1131),TOPE_AFC_UF*UF_MES)*IF(S1131="Indefinido",AFC_INDEF,AFC_PF),0))</f>
        <v/>
      </c>
      <c r="U1131" s="62" t="str">
        <f aca="false">IF(C1131="","",IF(LEFT(D1131,1)="⚠","⚠ RUT no registrado en Trabajadores",IF(B1131="","⚠ Falta el mes",IF(OR(ISTEXT(I1131),ISTEXT(J1131)),"⚠ Atrasos u horas extra como texto: escriba hh:mm (ej. 1:30)",IF(AND(ISNUMBER(Q1131),COUNTIFS(M_RUTN,V1131,M_MES,B1131,M_LIQ,"&lt;&gt;")&gt;1),"⚠ Liquidación repetida en el mes",IF(AND(ISNUMBER(O1131),ISNUMBER(P1131),ISNUMBER(Q1131),ABS(O1131-P1131-Q1131)&gt;1),"⚠ Haberes − descuentos no da el líquido","OK"))))))</f>
        <v/>
      </c>
      <c r="V1131" s="62" t="str">
        <f aca="false">IF(C1131="","",IFERROR(VALUE(LEFT(UPPER(SUBSTITUTE(SUBSTITUTE(SUBSTITUTE(TRIM(C1131),".",""),"-","")," ","")),LEN(UPPER(SUBSTITUTE(SUBSTITUTE(SUBSTITUTE(TRIM(C1131),".",""),"-","")," ","")))-1))&amp;RIGHT(UPPER(SUBSTITUTE(SUBSTITUTE(SUBSTITUTE(TRIM(C1131),".",""),"-","")," ","")),1),UPPER(SUBSTITUTE(SUBSTITUTE(SUBSTITUTE(TRIM(C1131),".",""),"-","")," ",""))))</f>
        <v/>
      </c>
    </row>
    <row r="1132" customFormat="false" ht="15" hidden="false" customHeight="false" outlineLevel="0" collapsed="false">
      <c r="B1132" s="80"/>
      <c r="C1132" s="58"/>
      <c r="D1132" s="62" t="str">
        <f aca="false">IF(C1132="","",IFERROR(INDEX(T_NOMBRE,MATCH(V1132,T_RUTN,0)),"⚠ RUT no está en Trabajadores"))</f>
        <v/>
      </c>
      <c r="E1132" s="61"/>
      <c r="F1132" s="61"/>
      <c r="G1132" s="61"/>
      <c r="H1132" s="61"/>
      <c r="I1132" s="81"/>
      <c r="J1132" s="81"/>
      <c r="K1132" s="60"/>
      <c r="L1132" s="60"/>
      <c r="M1132" s="60"/>
      <c r="N1132" s="60"/>
      <c r="O1132" s="60"/>
      <c r="P1132" s="60"/>
      <c r="Q1132" s="60"/>
      <c r="R1132" s="58"/>
      <c r="S1132" s="62" t="str">
        <f aca="false">IF(OR(B1132="",V1132=""),"",IFERROR(INDEX(C_TIPO,MATCH(V1132&amp;"-P"&amp;MAX(1,COUNTIFS(C_RUTN,V1132,C_DEF,"Sí",C_INI,"&lt;="&amp;EOMONTH(B1132,0))),C_CLAVE,0))&amp;"","Sin contrato"))</f>
        <v/>
      </c>
      <c r="T1132" s="63" t="str">
        <f aca="false">IF(OR(B1132="",N(O1132)=0),"",N(O1132)+ROUND(MIN(N(N1132),TOPE_UF*UF_MES)*(TASA_EMP+MUTUAL),0)+ROUND(MIN(N(N1132),TOPE_AFC_UF*UF_MES)*IF(S1132="Indefinido",AFC_INDEF,AFC_PF),0))</f>
        <v/>
      </c>
      <c r="U1132" s="62" t="str">
        <f aca="false">IF(C1132="","",IF(LEFT(D1132,1)="⚠","⚠ RUT no registrado en Trabajadores",IF(B1132="","⚠ Falta el mes",IF(OR(ISTEXT(I1132),ISTEXT(J1132)),"⚠ Atrasos u horas extra como texto: escriba hh:mm (ej. 1:30)",IF(AND(ISNUMBER(Q1132),COUNTIFS(M_RUTN,V1132,M_MES,B1132,M_LIQ,"&lt;&gt;")&gt;1),"⚠ Liquidación repetida en el mes",IF(AND(ISNUMBER(O1132),ISNUMBER(P1132),ISNUMBER(Q1132),ABS(O1132-P1132-Q1132)&gt;1),"⚠ Haberes − descuentos no da el líquido","OK"))))))</f>
        <v/>
      </c>
      <c r="V1132" s="62" t="str">
        <f aca="false">IF(C1132="","",IFERROR(VALUE(LEFT(UPPER(SUBSTITUTE(SUBSTITUTE(SUBSTITUTE(TRIM(C1132),".",""),"-","")," ","")),LEN(UPPER(SUBSTITUTE(SUBSTITUTE(SUBSTITUTE(TRIM(C1132),".",""),"-","")," ","")))-1))&amp;RIGHT(UPPER(SUBSTITUTE(SUBSTITUTE(SUBSTITUTE(TRIM(C1132),".",""),"-","")," ","")),1),UPPER(SUBSTITUTE(SUBSTITUTE(SUBSTITUTE(TRIM(C1132),".",""),"-","")," ",""))))</f>
        <v/>
      </c>
    </row>
    <row r="1133" customFormat="false" ht="15" hidden="false" customHeight="false" outlineLevel="0" collapsed="false">
      <c r="B1133" s="80"/>
      <c r="C1133" s="58"/>
      <c r="D1133" s="62" t="str">
        <f aca="false">IF(C1133="","",IFERROR(INDEX(T_NOMBRE,MATCH(V1133,T_RUTN,0)),"⚠ RUT no está en Trabajadores"))</f>
        <v/>
      </c>
      <c r="E1133" s="61"/>
      <c r="F1133" s="61"/>
      <c r="G1133" s="61"/>
      <c r="H1133" s="61"/>
      <c r="I1133" s="81"/>
      <c r="J1133" s="81"/>
      <c r="K1133" s="60"/>
      <c r="L1133" s="60"/>
      <c r="M1133" s="60"/>
      <c r="N1133" s="60"/>
      <c r="O1133" s="60"/>
      <c r="P1133" s="60"/>
      <c r="Q1133" s="60"/>
      <c r="R1133" s="58"/>
      <c r="S1133" s="62" t="str">
        <f aca="false">IF(OR(B1133="",V1133=""),"",IFERROR(INDEX(C_TIPO,MATCH(V1133&amp;"-P"&amp;MAX(1,COUNTIFS(C_RUTN,V1133,C_DEF,"Sí",C_INI,"&lt;="&amp;EOMONTH(B1133,0))),C_CLAVE,0))&amp;"","Sin contrato"))</f>
        <v/>
      </c>
      <c r="T1133" s="63" t="str">
        <f aca="false">IF(OR(B1133="",N(O1133)=0),"",N(O1133)+ROUND(MIN(N(N1133),TOPE_UF*UF_MES)*(TASA_EMP+MUTUAL),0)+ROUND(MIN(N(N1133),TOPE_AFC_UF*UF_MES)*IF(S1133="Indefinido",AFC_INDEF,AFC_PF),0))</f>
        <v/>
      </c>
      <c r="U1133" s="62" t="str">
        <f aca="false">IF(C1133="","",IF(LEFT(D1133,1)="⚠","⚠ RUT no registrado en Trabajadores",IF(B1133="","⚠ Falta el mes",IF(OR(ISTEXT(I1133),ISTEXT(J1133)),"⚠ Atrasos u horas extra como texto: escriba hh:mm (ej. 1:30)",IF(AND(ISNUMBER(Q1133),COUNTIFS(M_RUTN,V1133,M_MES,B1133,M_LIQ,"&lt;&gt;")&gt;1),"⚠ Liquidación repetida en el mes",IF(AND(ISNUMBER(O1133),ISNUMBER(P1133),ISNUMBER(Q1133),ABS(O1133-P1133-Q1133)&gt;1),"⚠ Haberes − descuentos no da el líquido","OK"))))))</f>
        <v/>
      </c>
      <c r="V1133" s="62" t="str">
        <f aca="false">IF(C1133="","",IFERROR(VALUE(LEFT(UPPER(SUBSTITUTE(SUBSTITUTE(SUBSTITUTE(TRIM(C1133),".",""),"-","")," ","")),LEN(UPPER(SUBSTITUTE(SUBSTITUTE(SUBSTITUTE(TRIM(C1133),".",""),"-","")," ","")))-1))&amp;RIGHT(UPPER(SUBSTITUTE(SUBSTITUTE(SUBSTITUTE(TRIM(C1133),".",""),"-","")," ","")),1),UPPER(SUBSTITUTE(SUBSTITUTE(SUBSTITUTE(TRIM(C1133),".",""),"-","")," ",""))))</f>
        <v/>
      </c>
    </row>
    <row r="1134" customFormat="false" ht="15" hidden="false" customHeight="false" outlineLevel="0" collapsed="false">
      <c r="B1134" s="80"/>
      <c r="C1134" s="58"/>
      <c r="D1134" s="62" t="str">
        <f aca="false">IF(C1134="","",IFERROR(INDEX(T_NOMBRE,MATCH(V1134,T_RUTN,0)),"⚠ RUT no está en Trabajadores"))</f>
        <v/>
      </c>
      <c r="E1134" s="61"/>
      <c r="F1134" s="61"/>
      <c r="G1134" s="61"/>
      <c r="H1134" s="61"/>
      <c r="I1134" s="81"/>
      <c r="J1134" s="81"/>
      <c r="K1134" s="60"/>
      <c r="L1134" s="60"/>
      <c r="M1134" s="60"/>
      <c r="N1134" s="60"/>
      <c r="O1134" s="60"/>
      <c r="P1134" s="60"/>
      <c r="Q1134" s="60"/>
      <c r="R1134" s="58"/>
      <c r="S1134" s="62" t="str">
        <f aca="false">IF(OR(B1134="",V1134=""),"",IFERROR(INDEX(C_TIPO,MATCH(V1134&amp;"-P"&amp;MAX(1,COUNTIFS(C_RUTN,V1134,C_DEF,"Sí",C_INI,"&lt;="&amp;EOMONTH(B1134,0))),C_CLAVE,0))&amp;"","Sin contrato"))</f>
        <v/>
      </c>
      <c r="T1134" s="63" t="str">
        <f aca="false">IF(OR(B1134="",N(O1134)=0),"",N(O1134)+ROUND(MIN(N(N1134),TOPE_UF*UF_MES)*(TASA_EMP+MUTUAL),0)+ROUND(MIN(N(N1134),TOPE_AFC_UF*UF_MES)*IF(S1134="Indefinido",AFC_INDEF,AFC_PF),0))</f>
        <v/>
      </c>
      <c r="U1134" s="62" t="str">
        <f aca="false">IF(C1134="","",IF(LEFT(D1134,1)="⚠","⚠ RUT no registrado en Trabajadores",IF(B1134="","⚠ Falta el mes",IF(OR(ISTEXT(I1134),ISTEXT(J1134)),"⚠ Atrasos u horas extra como texto: escriba hh:mm (ej. 1:30)",IF(AND(ISNUMBER(Q1134),COUNTIFS(M_RUTN,V1134,M_MES,B1134,M_LIQ,"&lt;&gt;")&gt;1),"⚠ Liquidación repetida en el mes",IF(AND(ISNUMBER(O1134),ISNUMBER(P1134),ISNUMBER(Q1134),ABS(O1134-P1134-Q1134)&gt;1),"⚠ Haberes − descuentos no da el líquido","OK"))))))</f>
        <v/>
      </c>
      <c r="V1134" s="62" t="str">
        <f aca="false">IF(C1134="","",IFERROR(VALUE(LEFT(UPPER(SUBSTITUTE(SUBSTITUTE(SUBSTITUTE(TRIM(C1134),".",""),"-","")," ","")),LEN(UPPER(SUBSTITUTE(SUBSTITUTE(SUBSTITUTE(TRIM(C1134),".",""),"-","")," ","")))-1))&amp;RIGHT(UPPER(SUBSTITUTE(SUBSTITUTE(SUBSTITUTE(TRIM(C1134),".",""),"-","")," ","")),1),UPPER(SUBSTITUTE(SUBSTITUTE(SUBSTITUTE(TRIM(C1134),".",""),"-","")," ",""))))</f>
        <v/>
      </c>
    </row>
    <row r="1135" customFormat="false" ht="15" hidden="false" customHeight="false" outlineLevel="0" collapsed="false">
      <c r="B1135" s="80"/>
      <c r="C1135" s="58"/>
      <c r="D1135" s="62" t="str">
        <f aca="false">IF(C1135="","",IFERROR(INDEX(T_NOMBRE,MATCH(V1135,T_RUTN,0)),"⚠ RUT no está en Trabajadores"))</f>
        <v/>
      </c>
      <c r="E1135" s="61"/>
      <c r="F1135" s="61"/>
      <c r="G1135" s="61"/>
      <c r="H1135" s="61"/>
      <c r="I1135" s="81"/>
      <c r="J1135" s="81"/>
      <c r="K1135" s="60"/>
      <c r="L1135" s="60"/>
      <c r="M1135" s="60"/>
      <c r="N1135" s="60"/>
      <c r="O1135" s="60"/>
      <c r="P1135" s="60"/>
      <c r="Q1135" s="60"/>
      <c r="R1135" s="58"/>
      <c r="S1135" s="62" t="str">
        <f aca="false">IF(OR(B1135="",V1135=""),"",IFERROR(INDEX(C_TIPO,MATCH(V1135&amp;"-P"&amp;MAX(1,COUNTIFS(C_RUTN,V1135,C_DEF,"Sí",C_INI,"&lt;="&amp;EOMONTH(B1135,0))),C_CLAVE,0))&amp;"","Sin contrato"))</f>
        <v/>
      </c>
      <c r="T1135" s="63" t="str">
        <f aca="false">IF(OR(B1135="",N(O1135)=0),"",N(O1135)+ROUND(MIN(N(N1135),TOPE_UF*UF_MES)*(TASA_EMP+MUTUAL),0)+ROUND(MIN(N(N1135),TOPE_AFC_UF*UF_MES)*IF(S1135="Indefinido",AFC_INDEF,AFC_PF),0))</f>
        <v/>
      </c>
      <c r="U1135" s="62" t="str">
        <f aca="false">IF(C1135="","",IF(LEFT(D1135,1)="⚠","⚠ RUT no registrado en Trabajadores",IF(B1135="","⚠ Falta el mes",IF(OR(ISTEXT(I1135),ISTEXT(J1135)),"⚠ Atrasos u horas extra como texto: escriba hh:mm (ej. 1:30)",IF(AND(ISNUMBER(Q1135),COUNTIFS(M_RUTN,V1135,M_MES,B1135,M_LIQ,"&lt;&gt;")&gt;1),"⚠ Liquidación repetida en el mes",IF(AND(ISNUMBER(O1135),ISNUMBER(P1135),ISNUMBER(Q1135),ABS(O1135-P1135-Q1135)&gt;1),"⚠ Haberes − descuentos no da el líquido","OK"))))))</f>
        <v/>
      </c>
      <c r="V1135" s="62" t="str">
        <f aca="false">IF(C1135="","",IFERROR(VALUE(LEFT(UPPER(SUBSTITUTE(SUBSTITUTE(SUBSTITUTE(TRIM(C1135),".",""),"-","")," ","")),LEN(UPPER(SUBSTITUTE(SUBSTITUTE(SUBSTITUTE(TRIM(C1135),".",""),"-","")," ","")))-1))&amp;RIGHT(UPPER(SUBSTITUTE(SUBSTITUTE(SUBSTITUTE(TRIM(C1135),".",""),"-","")," ","")),1),UPPER(SUBSTITUTE(SUBSTITUTE(SUBSTITUTE(TRIM(C1135),".",""),"-","")," ",""))))</f>
        <v/>
      </c>
    </row>
    <row r="1136" customFormat="false" ht="15" hidden="false" customHeight="false" outlineLevel="0" collapsed="false">
      <c r="B1136" s="80"/>
      <c r="C1136" s="58"/>
      <c r="D1136" s="62" t="str">
        <f aca="false">IF(C1136="","",IFERROR(INDEX(T_NOMBRE,MATCH(V1136,T_RUTN,0)),"⚠ RUT no está en Trabajadores"))</f>
        <v/>
      </c>
      <c r="E1136" s="61"/>
      <c r="F1136" s="61"/>
      <c r="G1136" s="61"/>
      <c r="H1136" s="61"/>
      <c r="I1136" s="81"/>
      <c r="J1136" s="81"/>
      <c r="K1136" s="60"/>
      <c r="L1136" s="60"/>
      <c r="M1136" s="60"/>
      <c r="N1136" s="60"/>
      <c r="O1136" s="60"/>
      <c r="P1136" s="60"/>
      <c r="Q1136" s="60"/>
      <c r="R1136" s="58"/>
      <c r="S1136" s="62" t="str">
        <f aca="false">IF(OR(B1136="",V1136=""),"",IFERROR(INDEX(C_TIPO,MATCH(V1136&amp;"-P"&amp;MAX(1,COUNTIFS(C_RUTN,V1136,C_DEF,"Sí",C_INI,"&lt;="&amp;EOMONTH(B1136,0))),C_CLAVE,0))&amp;"","Sin contrato"))</f>
        <v/>
      </c>
      <c r="T1136" s="63" t="str">
        <f aca="false">IF(OR(B1136="",N(O1136)=0),"",N(O1136)+ROUND(MIN(N(N1136),TOPE_UF*UF_MES)*(TASA_EMP+MUTUAL),0)+ROUND(MIN(N(N1136),TOPE_AFC_UF*UF_MES)*IF(S1136="Indefinido",AFC_INDEF,AFC_PF),0))</f>
        <v/>
      </c>
      <c r="U1136" s="62" t="str">
        <f aca="false">IF(C1136="","",IF(LEFT(D1136,1)="⚠","⚠ RUT no registrado en Trabajadores",IF(B1136="","⚠ Falta el mes",IF(OR(ISTEXT(I1136),ISTEXT(J1136)),"⚠ Atrasos u horas extra como texto: escriba hh:mm (ej. 1:30)",IF(AND(ISNUMBER(Q1136),COUNTIFS(M_RUTN,V1136,M_MES,B1136,M_LIQ,"&lt;&gt;")&gt;1),"⚠ Liquidación repetida en el mes",IF(AND(ISNUMBER(O1136),ISNUMBER(P1136),ISNUMBER(Q1136),ABS(O1136-P1136-Q1136)&gt;1),"⚠ Haberes − descuentos no da el líquido","OK"))))))</f>
        <v/>
      </c>
      <c r="V1136" s="62" t="str">
        <f aca="false">IF(C1136="","",IFERROR(VALUE(LEFT(UPPER(SUBSTITUTE(SUBSTITUTE(SUBSTITUTE(TRIM(C1136),".",""),"-","")," ","")),LEN(UPPER(SUBSTITUTE(SUBSTITUTE(SUBSTITUTE(TRIM(C1136),".",""),"-","")," ","")))-1))&amp;RIGHT(UPPER(SUBSTITUTE(SUBSTITUTE(SUBSTITUTE(TRIM(C1136),".",""),"-","")," ","")),1),UPPER(SUBSTITUTE(SUBSTITUTE(SUBSTITUTE(TRIM(C1136),".",""),"-","")," ",""))))</f>
        <v/>
      </c>
    </row>
    <row r="1137" customFormat="false" ht="15" hidden="false" customHeight="false" outlineLevel="0" collapsed="false">
      <c r="B1137" s="80"/>
      <c r="C1137" s="58"/>
      <c r="D1137" s="62" t="str">
        <f aca="false">IF(C1137="","",IFERROR(INDEX(T_NOMBRE,MATCH(V1137,T_RUTN,0)),"⚠ RUT no está en Trabajadores"))</f>
        <v/>
      </c>
      <c r="E1137" s="61"/>
      <c r="F1137" s="61"/>
      <c r="G1137" s="61"/>
      <c r="H1137" s="61"/>
      <c r="I1137" s="81"/>
      <c r="J1137" s="81"/>
      <c r="K1137" s="60"/>
      <c r="L1137" s="60"/>
      <c r="M1137" s="60"/>
      <c r="N1137" s="60"/>
      <c r="O1137" s="60"/>
      <c r="P1137" s="60"/>
      <c r="Q1137" s="60"/>
      <c r="R1137" s="58"/>
      <c r="S1137" s="62" t="str">
        <f aca="false">IF(OR(B1137="",V1137=""),"",IFERROR(INDEX(C_TIPO,MATCH(V1137&amp;"-P"&amp;MAX(1,COUNTIFS(C_RUTN,V1137,C_DEF,"Sí",C_INI,"&lt;="&amp;EOMONTH(B1137,0))),C_CLAVE,0))&amp;"","Sin contrato"))</f>
        <v/>
      </c>
      <c r="T1137" s="63" t="str">
        <f aca="false">IF(OR(B1137="",N(O1137)=0),"",N(O1137)+ROUND(MIN(N(N1137),TOPE_UF*UF_MES)*(TASA_EMP+MUTUAL),0)+ROUND(MIN(N(N1137),TOPE_AFC_UF*UF_MES)*IF(S1137="Indefinido",AFC_INDEF,AFC_PF),0))</f>
        <v/>
      </c>
      <c r="U1137" s="62" t="str">
        <f aca="false">IF(C1137="","",IF(LEFT(D1137,1)="⚠","⚠ RUT no registrado en Trabajadores",IF(B1137="","⚠ Falta el mes",IF(OR(ISTEXT(I1137),ISTEXT(J1137)),"⚠ Atrasos u horas extra como texto: escriba hh:mm (ej. 1:30)",IF(AND(ISNUMBER(Q1137),COUNTIFS(M_RUTN,V1137,M_MES,B1137,M_LIQ,"&lt;&gt;")&gt;1),"⚠ Liquidación repetida en el mes",IF(AND(ISNUMBER(O1137),ISNUMBER(P1137),ISNUMBER(Q1137),ABS(O1137-P1137-Q1137)&gt;1),"⚠ Haberes − descuentos no da el líquido","OK"))))))</f>
        <v/>
      </c>
      <c r="V1137" s="62" t="str">
        <f aca="false">IF(C1137="","",IFERROR(VALUE(LEFT(UPPER(SUBSTITUTE(SUBSTITUTE(SUBSTITUTE(TRIM(C1137),".",""),"-","")," ","")),LEN(UPPER(SUBSTITUTE(SUBSTITUTE(SUBSTITUTE(TRIM(C1137),".",""),"-","")," ","")))-1))&amp;RIGHT(UPPER(SUBSTITUTE(SUBSTITUTE(SUBSTITUTE(TRIM(C1137),".",""),"-","")," ","")),1),UPPER(SUBSTITUTE(SUBSTITUTE(SUBSTITUTE(TRIM(C1137),".",""),"-","")," ",""))))</f>
        <v/>
      </c>
    </row>
    <row r="1138" customFormat="false" ht="15" hidden="false" customHeight="false" outlineLevel="0" collapsed="false">
      <c r="B1138" s="80"/>
      <c r="C1138" s="58"/>
      <c r="D1138" s="62" t="str">
        <f aca="false">IF(C1138="","",IFERROR(INDEX(T_NOMBRE,MATCH(V1138,T_RUTN,0)),"⚠ RUT no está en Trabajadores"))</f>
        <v/>
      </c>
      <c r="E1138" s="61"/>
      <c r="F1138" s="61"/>
      <c r="G1138" s="61"/>
      <c r="H1138" s="61"/>
      <c r="I1138" s="81"/>
      <c r="J1138" s="81"/>
      <c r="K1138" s="60"/>
      <c r="L1138" s="60"/>
      <c r="M1138" s="60"/>
      <c r="N1138" s="60"/>
      <c r="O1138" s="60"/>
      <c r="P1138" s="60"/>
      <c r="Q1138" s="60"/>
      <c r="R1138" s="58"/>
      <c r="S1138" s="62" t="str">
        <f aca="false">IF(OR(B1138="",V1138=""),"",IFERROR(INDEX(C_TIPO,MATCH(V1138&amp;"-P"&amp;MAX(1,COUNTIFS(C_RUTN,V1138,C_DEF,"Sí",C_INI,"&lt;="&amp;EOMONTH(B1138,0))),C_CLAVE,0))&amp;"","Sin contrato"))</f>
        <v/>
      </c>
      <c r="T1138" s="63" t="str">
        <f aca="false">IF(OR(B1138="",N(O1138)=0),"",N(O1138)+ROUND(MIN(N(N1138),TOPE_UF*UF_MES)*(TASA_EMP+MUTUAL),0)+ROUND(MIN(N(N1138),TOPE_AFC_UF*UF_MES)*IF(S1138="Indefinido",AFC_INDEF,AFC_PF),0))</f>
        <v/>
      </c>
      <c r="U1138" s="62" t="str">
        <f aca="false">IF(C1138="","",IF(LEFT(D1138,1)="⚠","⚠ RUT no registrado en Trabajadores",IF(B1138="","⚠ Falta el mes",IF(OR(ISTEXT(I1138),ISTEXT(J1138)),"⚠ Atrasos u horas extra como texto: escriba hh:mm (ej. 1:30)",IF(AND(ISNUMBER(Q1138),COUNTIFS(M_RUTN,V1138,M_MES,B1138,M_LIQ,"&lt;&gt;")&gt;1),"⚠ Liquidación repetida en el mes",IF(AND(ISNUMBER(O1138),ISNUMBER(P1138),ISNUMBER(Q1138),ABS(O1138-P1138-Q1138)&gt;1),"⚠ Haberes − descuentos no da el líquido","OK"))))))</f>
        <v/>
      </c>
      <c r="V1138" s="62" t="str">
        <f aca="false">IF(C1138="","",IFERROR(VALUE(LEFT(UPPER(SUBSTITUTE(SUBSTITUTE(SUBSTITUTE(TRIM(C1138),".",""),"-","")," ","")),LEN(UPPER(SUBSTITUTE(SUBSTITUTE(SUBSTITUTE(TRIM(C1138),".",""),"-","")," ","")))-1))&amp;RIGHT(UPPER(SUBSTITUTE(SUBSTITUTE(SUBSTITUTE(TRIM(C1138),".",""),"-","")," ","")),1),UPPER(SUBSTITUTE(SUBSTITUTE(SUBSTITUTE(TRIM(C1138),".",""),"-","")," ",""))))</f>
        <v/>
      </c>
    </row>
    <row r="1139" customFormat="false" ht="15" hidden="false" customHeight="false" outlineLevel="0" collapsed="false">
      <c r="B1139" s="80"/>
      <c r="C1139" s="58"/>
      <c r="D1139" s="62" t="str">
        <f aca="false">IF(C1139="","",IFERROR(INDEX(T_NOMBRE,MATCH(V1139,T_RUTN,0)),"⚠ RUT no está en Trabajadores"))</f>
        <v/>
      </c>
      <c r="E1139" s="61"/>
      <c r="F1139" s="61"/>
      <c r="G1139" s="61"/>
      <c r="H1139" s="61"/>
      <c r="I1139" s="81"/>
      <c r="J1139" s="81"/>
      <c r="K1139" s="60"/>
      <c r="L1139" s="60"/>
      <c r="M1139" s="60"/>
      <c r="N1139" s="60"/>
      <c r="O1139" s="60"/>
      <c r="P1139" s="60"/>
      <c r="Q1139" s="60"/>
      <c r="R1139" s="58"/>
      <c r="S1139" s="62" t="str">
        <f aca="false">IF(OR(B1139="",V1139=""),"",IFERROR(INDEX(C_TIPO,MATCH(V1139&amp;"-P"&amp;MAX(1,COUNTIFS(C_RUTN,V1139,C_DEF,"Sí",C_INI,"&lt;="&amp;EOMONTH(B1139,0))),C_CLAVE,0))&amp;"","Sin contrato"))</f>
        <v/>
      </c>
      <c r="T1139" s="63" t="str">
        <f aca="false">IF(OR(B1139="",N(O1139)=0),"",N(O1139)+ROUND(MIN(N(N1139),TOPE_UF*UF_MES)*(TASA_EMP+MUTUAL),0)+ROUND(MIN(N(N1139),TOPE_AFC_UF*UF_MES)*IF(S1139="Indefinido",AFC_INDEF,AFC_PF),0))</f>
        <v/>
      </c>
      <c r="U1139" s="62" t="str">
        <f aca="false">IF(C1139="","",IF(LEFT(D1139,1)="⚠","⚠ RUT no registrado en Trabajadores",IF(B1139="","⚠ Falta el mes",IF(OR(ISTEXT(I1139),ISTEXT(J1139)),"⚠ Atrasos u horas extra como texto: escriba hh:mm (ej. 1:30)",IF(AND(ISNUMBER(Q1139),COUNTIFS(M_RUTN,V1139,M_MES,B1139,M_LIQ,"&lt;&gt;")&gt;1),"⚠ Liquidación repetida en el mes",IF(AND(ISNUMBER(O1139),ISNUMBER(P1139),ISNUMBER(Q1139),ABS(O1139-P1139-Q1139)&gt;1),"⚠ Haberes − descuentos no da el líquido","OK"))))))</f>
        <v/>
      </c>
      <c r="V1139" s="62" t="str">
        <f aca="false">IF(C1139="","",IFERROR(VALUE(LEFT(UPPER(SUBSTITUTE(SUBSTITUTE(SUBSTITUTE(TRIM(C1139),".",""),"-","")," ","")),LEN(UPPER(SUBSTITUTE(SUBSTITUTE(SUBSTITUTE(TRIM(C1139),".",""),"-","")," ","")))-1))&amp;RIGHT(UPPER(SUBSTITUTE(SUBSTITUTE(SUBSTITUTE(TRIM(C1139),".",""),"-","")," ","")),1),UPPER(SUBSTITUTE(SUBSTITUTE(SUBSTITUTE(TRIM(C1139),".",""),"-","")," ",""))))</f>
        <v/>
      </c>
    </row>
    <row r="1140" customFormat="false" ht="15" hidden="false" customHeight="false" outlineLevel="0" collapsed="false">
      <c r="B1140" s="80"/>
      <c r="C1140" s="58"/>
      <c r="D1140" s="62" t="str">
        <f aca="false">IF(C1140="","",IFERROR(INDEX(T_NOMBRE,MATCH(V1140,T_RUTN,0)),"⚠ RUT no está en Trabajadores"))</f>
        <v/>
      </c>
      <c r="E1140" s="61"/>
      <c r="F1140" s="61"/>
      <c r="G1140" s="61"/>
      <c r="H1140" s="61"/>
      <c r="I1140" s="81"/>
      <c r="J1140" s="81"/>
      <c r="K1140" s="60"/>
      <c r="L1140" s="60"/>
      <c r="M1140" s="60"/>
      <c r="N1140" s="60"/>
      <c r="O1140" s="60"/>
      <c r="P1140" s="60"/>
      <c r="Q1140" s="60"/>
      <c r="R1140" s="58"/>
      <c r="S1140" s="62" t="str">
        <f aca="false">IF(OR(B1140="",V1140=""),"",IFERROR(INDEX(C_TIPO,MATCH(V1140&amp;"-P"&amp;MAX(1,COUNTIFS(C_RUTN,V1140,C_DEF,"Sí",C_INI,"&lt;="&amp;EOMONTH(B1140,0))),C_CLAVE,0))&amp;"","Sin contrato"))</f>
        <v/>
      </c>
      <c r="T1140" s="63" t="str">
        <f aca="false">IF(OR(B1140="",N(O1140)=0),"",N(O1140)+ROUND(MIN(N(N1140),TOPE_UF*UF_MES)*(TASA_EMP+MUTUAL),0)+ROUND(MIN(N(N1140),TOPE_AFC_UF*UF_MES)*IF(S1140="Indefinido",AFC_INDEF,AFC_PF),0))</f>
        <v/>
      </c>
      <c r="U1140" s="62" t="str">
        <f aca="false">IF(C1140="","",IF(LEFT(D1140,1)="⚠","⚠ RUT no registrado en Trabajadores",IF(B1140="","⚠ Falta el mes",IF(OR(ISTEXT(I1140),ISTEXT(J1140)),"⚠ Atrasos u horas extra como texto: escriba hh:mm (ej. 1:30)",IF(AND(ISNUMBER(Q1140),COUNTIFS(M_RUTN,V1140,M_MES,B1140,M_LIQ,"&lt;&gt;")&gt;1),"⚠ Liquidación repetida en el mes",IF(AND(ISNUMBER(O1140),ISNUMBER(P1140),ISNUMBER(Q1140),ABS(O1140-P1140-Q1140)&gt;1),"⚠ Haberes − descuentos no da el líquido","OK"))))))</f>
        <v/>
      </c>
      <c r="V1140" s="62" t="str">
        <f aca="false">IF(C1140="","",IFERROR(VALUE(LEFT(UPPER(SUBSTITUTE(SUBSTITUTE(SUBSTITUTE(TRIM(C1140),".",""),"-","")," ","")),LEN(UPPER(SUBSTITUTE(SUBSTITUTE(SUBSTITUTE(TRIM(C1140),".",""),"-","")," ","")))-1))&amp;RIGHT(UPPER(SUBSTITUTE(SUBSTITUTE(SUBSTITUTE(TRIM(C1140),".",""),"-","")," ","")),1),UPPER(SUBSTITUTE(SUBSTITUTE(SUBSTITUTE(TRIM(C1140),".",""),"-","")," ",""))))</f>
        <v/>
      </c>
    </row>
    <row r="1141" customFormat="false" ht="15" hidden="false" customHeight="false" outlineLevel="0" collapsed="false">
      <c r="B1141" s="80"/>
      <c r="C1141" s="58"/>
      <c r="D1141" s="62" t="str">
        <f aca="false">IF(C1141="","",IFERROR(INDEX(T_NOMBRE,MATCH(V1141,T_RUTN,0)),"⚠ RUT no está en Trabajadores"))</f>
        <v/>
      </c>
      <c r="E1141" s="61"/>
      <c r="F1141" s="61"/>
      <c r="G1141" s="61"/>
      <c r="H1141" s="61"/>
      <c r="I1141" s="81"/>
      <c r="J1141" s="81"/>
      <c r="K1141" s="60"/>
      <c r="L1141" s="60"/>
      <c r="M1141" s="60"/>
      <c r="N1141" s="60"/>
      <c r="O1141" s="60"/>
      <c r="P1141" s="60"/>
      <c r="Q1141" s="60"/>
      <c r="R1141" s="58"/>
      <c r="S1141" s="62" t="str">
        <f aca="false">IF(OR(B1141="",V1141=""),"",IFERROR(INDEX(C_TIPO,MATCH(V1141&amp;"-P"&amp;MAX(1,COUNTIFS(C_RUTN,V1141,C_DEF,"Sí",C_INI,"&lt;="&amp;EOMONTH(B1141,0))),C_CLAVE,0))&amp;"","Sin contrato"))</f>
        <v/>
      </c>
      <c r="T1141" s="63" t="str">
        <f aca="false">IF(OR(B1141="",N(O1141)=0),"",N(O1141)+ROUND(MIN(N(N1141),TOPE_UF*UF_MES)*(TASA_EMP+MUTUAL),0)+ROUND(MIN(N(N1141),TOPE_AFC_UF*UF_MES)*IF(S1141="Indefinido",AFC_INDEF,AFC_PF),0))</f>
        <v/>
      </c>
      <c r="U1141" s="62" t="str">
        <f aca="false">IF(C1141="","",IF(LEFT(D1141,1)="⚠","⚠ RUT no registrado en Trabajadores",IF(B1141="","⚠ Falta el mes",IF(OR(ISTEXT(I1141),ISTEXT(J1141)),"⚠ Atrasos u horas extra como texto: escriba hh:mm (ej. 1:30)",IF(AND(ISNUMBER(Q1141),COUNTIFS(M_RUTN,V1141,M_MES,B1141,M_LIQ,"&lt;&gt;")&gt;1),"⚠ Liquidación repetida en el mes",IF(AND(ISNUMBER(O1141),ISNUMBER(P1141),ISNUMBER(Q1141),ABS(O1141-P1141-Q1141)&gt;1),"⚠ Haberes − descuentos no da el líquido","OK"))))))</f>
        <v/>
      </c>
      <c r="V1141" s="62" t="str">
        <f aca="false">IF(C1141="","",IFERROR(VALUE(LEFT(UPPER(SUBSTITUTE(SUBSTITUTE(SUBSTITUTE(TRIM(C1141),".",""),"-","")," ","")),LEN(UPPER(SUBSTITUTE(SUBSTITUTE(SUBSTITUTE(TRIM(C1141),".",""),"-","")," ","")))-1))&amp;RIGHT(UPPER(SUBSTITUTE(SUBSTITUTE(SUBSTITUTE(TRIM(C1141),".",""),"-","")," ","")),1),UPPER(SUBSTITUTE(SUBSTITUTE(SUBSTITUTE(TRIM(C1141),".",""),"-","")," ",""))))</f>
        <v/>
      </c>
    </row>
    <row r="1142" customFormat="false" ht="15" hidden="false" customHeight="false" outlineLevel="0" collapsed="false">
      <c r="B1142" s="80"/>
      <c r="C1142" s="58"/>
      <c r="D1142" s="62" t="str">
        <f aca="false">IF(C1142="","",IFERROR(INDEX(T_NOMBRE,MATCH(V1142,T_RUTN,0)),"⚠ RUT no está en Trabajadores"))</f>
        <v/>
      </c>
      <c r="E1142" s="61"/>
      <c r="F1142" s="61"/>
      <c r="G1142" s="61"/>
      <c r="H1142" s="61"/>
      <c r="I1142" s="81"/>
      <c r="J1142" s="81"/>
      <c r="K1142" s="60"/>
      <c r="L1142" s="60"/>
      <c r="M1142" s="60"/>
      <c r="N1142" s="60"/>
      <c r="O1142" s="60"/>
      <c r="P1142" s="60"/>
      <c r="Q1142" s="60"/>
      <c r="R1142" s="58"/>
      <c r="S1142" s="62" t="str">
        <f aca="false">IF(OR(B1142="",V1142=""),"",IFERROR(INDEX(C_TIPO,MATCH(V1142&amp;"-P"&amp;MAX(1,COUNTIFS(C_RUTN,V1142,C_DEF,"Sí",C_INI,"&lt;="&amp;EOMONTH(B1142,0))),C_CLAVE,0))&amp;"","Sin contrato"))</f>
        <v/>
      </c>
      <c r="T1142" s="63" t="str">
        <f aca="false">IF(OR(B1142="",N(O1142)=0),"",N(O1142)+ROUND(MIN(N(N1142),TOPE_UF*UF_MES)*(TASA_EMP+MUTUAL),0)+ROUND(MIN(N(N1142),TOPE_AFC_UF*UF_MES)*IF(S1142="Indefinido",AFC_INDEF,AFC_PF),0))</f>
        <v/>
      </c>
      <c r="U1142" s="62" t="str">
        <f aca="false">IF(C1142="","",IF(LEFT(D1142,1)="⚠","⚠ RUT no registrado en Trabajadores",IF(B1142="","⚠ Falta el mes",IF(OR(ISTEXT(I1142),ISTEXT(J1142)),"⚠ Atrasos u horas extra como texto: escriba hh:mm (ej. 1:30)",IF(AND(ISNUMBER(Q1142),COUNTIFS(M_RUTN,V1142,M_MES,B1142,M_LIQ,"&lt;&gt;")&gt;1),"⚠ Liquidación repetida en el mes",IF(AND(ISNUMBER(O1142),ISNUMBER(P1142),ISNUMBER(Q1142),ABS(O1142-P1142-Q1142)&gt;1),"⚠ Haberes − descuentos no da el líquido","OK"))))))</f>
        <v/>
      </c>
      <c r="V1142" s="62" t="str">
        <f aca="false">IF(C1142="","",IFERROR(VALUE(LEFT(UPPER(SUBSTITUTE(SUBSTITUTE(SUBSTITUTE(TRIM(C1142),".",""),"-","")," ","")),LEN(UPPER(SUBSTITUTE(SUBSTITUTE(SUBSTITUTE(TRIM(C1142),".",""),"-","")," ","")))-1))&amp;RIGHT(UPPER(SUBSTITUTE(SUBSTITUTE(SUBSTITUTE(TRIM(C1142),".",""),"-","")," ","")),1),UPPER(SUBSTITUTE(SUBSTITUTE(SUBSTITUTE(TRIM(C1142),".",""),"-","")," ",""))))</f>
        <v/>
      </c>
    </row>
    <row r="1143" customFormat="false" ht="15" hidden="false" customHeight="false" outlineLevel="0" collapsed="false">
      <c r="B1143" s="80"/>
      <c r="C1143" s="58"/>
      <c r="D1143" s="62" t="str">
        <f aca="false">IF(C1143="","",IFERROR(INDEX(T_NOMBRE,MATCH(V1143,T_RUTN,0)),"⚠ RUT no está en Trabajadores"))</f>
        <v/>
      </c>
      <c r="E1143" s="61"/>
      <c r="F1143" s="61"/>
      <c r="G1143" s="61"/>
      <c r="H1143" s="61"/>
      <c r="I1143" s="81"/>
      <c r="J1143" s="81"/>
      <c r="K1143" s="60"/>
      <c r="L1143" s="60"/>
      <c r="M1143" s="60"/>
      <c r="N1143" s="60"/>
      <c r="O1143" s="60"/>
      <c r="P1143" s="60"/>
      <c r="Q1143" s="60"/>
      <c r="R1143" s="58"/>
      <c r="S1143" s="62" t="str">
        <f aca="false">IF(OR(B1143="",V1143=""),"",IFERROR(INDEX(C_TIPO,MATCH(V1143&amp;"-P"&amp;MAX(1,COUNTIFS(C_RUTN,V1143,C_DEF,"Sí",C_INI,"&lt;="&amp;EOMONTH(B1143,0))),C_CLAVE,0))&amp;"","Sin contrato"))</f>
        <v/>
      </c>
      <c r="T1143" s="63" t="str">
        <f aca="false">IF(OR(B1143="",N(O1143)=0),"",N(O1143)+ROUND(MIN(N(N1143),TOPE_UF*UF_MES)*(TASA_EMP+MUTUAL),0)+ROUND(MIN(N(N1143),TOPE_AFC_UF*UF_MES)*IF(S1143="Indefinido",AFC_INDEF,AFC_PF),0))</f>
        <v/>
      </c>
      <c r="U1143" s="62" t="str">
        <f aca="false">IF(C1143="","",IF(LEFT(D1143,1)="⚠","⚠ RUT no registrado en Trabajadores",IF(B1143="","⚠ Falta el mes",IF(OR(ISTEXT(I1143),ISTEXT(J1143)),"⚠ Atrasos u horas extra como texto: escriba hh:mm (ej. 1:30)",IF(AND(ISNUMBER(Q1143),COUNTIFS(M_RUTN,V1143,M_MES,B1143,M_LIQ,"&lt;&gt;")&gt;1),"⚠ Liquidación repetida en el mes",IF(AND(ISNUMBER(O1143),ISNUMBER(P1143),ISNUMBER(Q1143),ABS(O1143-P1143-Q1143)&gt;1),"⚠ Haberes − descuentos no da el líquido","OK"))))))</f>
        <v/>
      </c>
      <c r="V1143" s="62" t="str">
        <f aca="false">IF(C1143="","",IFERROR(VALUE(LEFT(UPPER(SUBSTITUTE(SUBSTITUTE(SUBSTITUTE(TRIM(C1143),".",""),"-","")," ","")),LEN(UPPER(SUBSTITUTE(SUBSTITUTE(SUBSTITUTE(TRIM(C1143),".",""),"-","")," ","")))-1))&amp;RIGHT(UPPER(SUBSTITUTE(SUBSTITUTE(SUBSTITUTE(TRIM(C1143),".",""),"-","")," ","")),1),UPPER(SUBSTITUTE(SUBSTITUTE(SUBSTITUTE(TRIM(C1143),".",""),"-","")," ",""))))</f>
        <v/>
      </c>
    </row>
    <row r="1144" customFormat="false" ht="15" hidden="false" customHeight="false" outlineLevel="0" collapsed="false">
      <c r="B1144" s="80"/>
      <c r="C1144" s="58"/>
      <c r="D1144" s="62" t="str">
        <f aca="false">IF(C1144="","",IFERROR(INDEX(T_NOMBRE,MATCH(V1144,T_RUTN,0)),"⚠ RUT no está en Trabajadores"))</f>
        <v/>
      </c>
      <c r="E1144" s="61"/>
      <c r="F1144" s="61"/>
      <c r="G1144" s="61"/>
      <c r="H1144" s="61"/>
      <c r="I1144" s="81"/>
      <c r="J1144" s="81"/>
      <c r="K1144" s="60"/>
      <c r="L1144" s="60"/>
      <c r="M1144" s="60"/>
      <c r="N1144" s="60"/>
      <c r="O1144" s="60"/>
      <c r="P1144" s="60"/>
      <c r="Q1144" s="60"/>
      <c r="R1144" s="58"/>
      <c r="S1144" s="62" t="str">
        <f aca="false">IF(OR(B1144="",V1144=""),"",IFERROR(INDEX(C_TIPO,MATCH(V1144&amp;"-P"&amp;MAX(1,COUNTIFS(C_RUTN,V1144,C_DEF,"Sí",C_INI,"&lt;="&amp;EOMONTH(B1144,0))),C_CLAVE,0))&amp;"","Sin contrato"))</f>
        <v/>
      </c>
      <c r="T1144" s="63" t="str">
        <f aca="false">IF(OR(B1144="",N(O1144)=0),"",N(O1144)+ROUND(MIN(N(N1144),TOPE_UF*UF_MES)*(TASA_EMP+MUTUAL),0)+ROUND(MIN(N(N1144),TOPE_AFC_UF*UF_MES)*IF(S1144="Indefinido",AFC_INDEF,AFC_PF),0))</f>
        <v/>
      </c>
      <c r="U1144" s="62" t="str">
        <f aca="false">IF(C1144="","",IF(LEFT(D1144,1)="⚠","⚠ RUT no registrado en Trabajadores",IF(B1144="","⚠ Falta el mes",IF(OR(ISTEXT(I1144),ISTEXT(J1144)),"⚠ Atrasos u horas extra como texto: escriba hh:mm (ej. 1:30)",IF(AND(ISNUMBER(Q1144),COUNTIFS(M_RUTN,V1144,M_MES,B1144,M_LIQ,"&lt;&gt;")&gt;1),"⚠ Liquidación repetida en el mes",IF(AND(ISNUMBER(O1144),ISNUMBER(P1144),ISNUMBER(Q1144),ABS(O1144-P1144-Q1144)&gt;1),"⚠ Haberes − descuentos no da el líquido","OK"))))))</f>
        <v/>
      </c>
      <c r="V1144" s="62" t="str">
        <f aca="false">IF(C1144="","",IFERROR(VALUE(LEFT(UPPER(SUBSTITUTE(SUBSTITUTE(SUBSTITUTE(TRIM(C1144),".",""),"-","")," ","")),LEN(UPPER(SUBSTITUTE(SUBSTITUTE(SUBSTITUTE(TRIM(C1144),".",""),"-","")," ","")))-1))&amp;RIGHT(UPPER(SUBSTITUTE(SUBSTITUTE(SUBSTITUTE(TRIM(C1144),".",""),"-","")," ","")),1),UPPER(SUBSTITUTE(SUBSTITUTE(SUBSTITUTE(TRIM(C1144),".",""),"-","")," ",""))))</f>
        <v/>
      </c>
    </row>
    <row r="1145" customFormat="false" ht="15" hidden="false" customHeight="false" outlineLevel="0" collapsed="false">
      <c r="B1145" s="80"/>
      <c r="C1145" s="58"/>
      <c r="D1145" s="62" t="str">
        <f aca="false">IF(C1145="","",IFERROR(INDEX(T_NOMBRE,MATCH(V1145,T_RUTN,0)),"⚠ RUT no está en Trabajadores"))</f>
        <v/>
      </c>
      <c r="E1145" s="61"/>
      <c r="F1145" s="61"/>
      <c r="G1145" s="61"/>
      <c r="H1145" s="61"/>
      <c r="I1145" s="81"/>
      <c r="J1145" s="81"/>
      <c r="K1145" s="60"/>
      <c r="L1145" s="60"/>
      <c r="M1145" s="60"/>
      <c r="N1145" s="60"/>
      <c r="O1145" s="60"/>
      <c r="P1145" s="60"/>
      <c r="Q1145" s="60"/>
      <c r="R1145" s="58"/>
      <c r="S1145" s="62" t="str">
        <f aca="false">IF(OR(B1145="",V1145=""),"",IFERROR(INDEX(C_TIPO,MATCH(V1145&amp;"-P"&amp;MAX(1,COUNTIFS(C_RUTN,V1145,C_DEF,"Sí",C_INI,"&lt;="&amp;EOMONTH(B1145,0))),C_CLAVE,0))&amp;"","Sin contrato"))</f>
        <v/>
      </c>
      <c r="T1145" s="63" t="str">
        <f aca="false">IF(OR(B1145="",N(O1145)=0),"",N(O1145)+ROUND(MIN(N(N1145),TOPE_UF*UF_MES)*(TASA_EMP+MUTUAL),0)+ROUND(MIN(N(N1145),TOPE_AFC_UF*UF_MES)*IF(S1145="Indefinido",AFC_INDEF,AFC_PF),0))</f>
        <v/>
      </c>
      <c r="U1145" s="62" t="str">
        <f aca="false">IF(C1145="","",IF(LEFT(D1145,1)="⚠","⚠ RUT no registrado en Trabajadores",IF(B1145="","⚠ Falta el mes",IF(OR(ISTEXT(I1145),ISTEXT(J1145)),"⚠ Atrasos u horas extra como texto: escriba hh:mm (ej. 1:30)",IF(AND(ISNUMBER(Q1145),COUNTIFS(M_RUTN,V1145,M_MES,B1145,M_LIQ,"&lt;&gt;")&gt;1),"⚠ Liquidación repetida en el mes",IF(AND(ISNUMBER(O1145),ISNUMBER(P1145),ISNUMBER(Q1145),ABS(O1145-P1145-Q1145)&gt;1),"⚠ Haberes − descuentos no da el líquido","OK"))))))</f>
        <v/>
      </c>
      <c r="V1145" s="62" t="str">
        <f aca="false">IF(C1145="","",IFERROR(VALUE(LEFT(UPPER(SUBSTITUTE(SUBSTITUTE(SUBSTITUTE(TRIM(C1145),".",""),"-","")," ","")),LEN(UPPER(SUBSTITUTE(SUBSTITUTE(SUBSTITUTE(TRIM(C1145),".",""),"-","")," ","")))-1))&amp;RIGHT(UPPER(SUBSTITUTE(SUBSTITUTE(SUBSTITUTE(TRIM(C1145),".",""),"-","")," ","")),1),UPPER(SUBSTITUTE(SUBSTITUTE(SUBSTITUTE(TRIM(C1145),".",""),"-","")," ",""))))</f>
        <v/>
      </c>
    </row>
    <row r="1146" customFormat="false" ht="15" hidden="false" customHeight="false" outlineLevel="0" collapsed="false">
      <c r="B1146" s="80"/>
      <c r="C1146" s="58"/>
      <c r="D1146" s="62" t="str">
        <f aca="false">IF(C1146="","",IFERROR(INDEX(T_NOMBRE,MATCH(V1146,T_RUTN,0)),"⚠ RUT no está en Trabajadores"))</f>
        <v/>
      </c>
      <c r="E1146" s="61"/>
      <c r="F1146" s="61"/>
      <c r="G1146" s="61"/>
      <c r="H1146" s="61"/>
      <c r="I1146" s="81"/>
      <c r="J1146" s="81"/>
      <c r="K1146" s="60"/>
      <c r="L1146" s="60"/>
      <c r="M1146" s="60"/>
      <c r="N1146" s="60"/>
      <c r="O1146" s="60"/>
      <c r="P1146" s="60"/>
      <c r="Q1146" s="60"/>
      <c r="R1146" s="58"/>
      <c r="S1146" s="62" t="str">
        <f aca="false">IF(OR(B1146="",V1146=""),"",IFERROR(INDEX(C_TIPO,MATCH(V1146&amp;"-P"&amp;MAX(1,COUNTIFS(C_RUTN,V1146,C_DEF,"Sí",C_INI,"&lt;="&amp;EOMONTH(B1146,0))),C_CLAVE,0))&amp;"","Sin contrato"))</f>
        <v/>
      </c>
      <c r="T1146" s="63" t="str">
        <f aca="false">IF(OR(B1146="",N(O1146)=0),"",N(O1146)+ROUND(MIN(N(N1146),TOPE_UF*UF_MES)*(TASA_EMP+MUTUAL),0)+ROUND(MIN(N(N1146),TOPE_AFC_UF*UF_MES)*IF(S1146="Indefinido",AFC_INDEF,AFC_PF),0))</f>
        <v/>
      </c>
      <c r="U1146" s="62" t="str">
        <f aca="false">IF(C1146="","",IF(LEFT(D1146,1)="⚠","⚠ RUT no registrado en Trabajadores",IF(B1146="","⚠ Falta el mes",IF(OR(ISTEXT(I1146),ISTEXT(J1146)),"⚠ Atrasos u horas extra como texto: escriba hh:mm (ej. 1:30)",IF(AND(ISNUMBER(Q1146),COUNTIFS(M_RUTN,V1146,M_MES,B1146,M_LIQ,"&lt;&gt;")&gt;1),"⚠ Liquidación repetida en el mes",IF(AND(ISNUMBER(O1146),ISNUMBER(P1146),ISNUMBER(Q1146),ABS(O1146-P1146-Q1146)&gt;1),"⚠ Haberes − descuentos no da el líquido","OK"))))))</f>
        <v/>
      </c>
      <c r="V1146" s="62" t="str">
        <f aca="false">IF(C1146="","",IFERROR(VALUE(LEFT(UPPER(SUBSTITUTE(SUBSTITUTE(SUBSTITUTE(TRIM(C1146),".",""),"-","")," ","")),LEN(UPPER(SUBSTITUTE(SUBSTITUTE(SUBSTITUTE(TRIM(C1146),".",""),"-","")," ","")))-1))&amp;RIGHT(UPPER(SUBSTITUTE(SUBSTITUTE(SUBSTITUTE(TRIM(C1146),".",""),"-","")," ","")),1),UPPER(SUBSTITUTE(SUBSTITUTE(SUBSTITUTE(TRIM(C1146),".",""),"-","")," ",""))))</f>
        <v/>
      </c>
    </row>
    <row r="1147" customFormat="false" ht="15" hidden="false" customHeight="false" outlineLevel="0" collapsed="false">
      <c r="B1147" s="80"/>
      <c r="C1147" s="58"/>
      <c r="D1147" s="62" t="str">
        <f aca="false">IF(C1147="","",IFERROR(INDEX(T_NOMBRE,MATCH(V1147,T_RUTN,0)),"⚠ RUT no está en Trabajadores"))</f>
        <v/>
      </c>
      <c r="E1147" s="61"/>
      <c r="F1147" s="61"/>
      <c r="G1147" s="61"/>
      <c r="H1147" s="61"/>
      <c r="I1147" s="81"/>
      <c r="J1147" s="81"/>
      <c r="K1147" s="60"/>
      <c r="L1147" s="60"/>
      <c r="M1147" s="60"/>
      <c r="N1147" s="60"/>
      <c r="O1147" s="60"/>
      <c r="P1147" s="60"/>
      <c r="Q1147" s="60"/>
      <c r="R1147" s="58"/>
      <c r="S1147" s="62" t="str">
        <f aca="false">IF(OR(B1147="",V1147=""),"",IFERROR(INDEX(C_TIPO,MATCH(V1147&amp;"-P"&amp;MAX(1,COUNTIFS(C_RUTN,V1147,C_DEF,"Sí",C_INI,"&lt;="&amp;EOMONTH(B1147,0))),C_CLAVE,0))&amp;"","Sin contrato"))</f>
        <v/>
      </c>
      <c r="T1147" s="63" t="str">
        <f aca="false">IF(OR(B1147="",N(O1147)=0),"",N(O1147)+ROUND(MIN(N(N1147),TOPE_UF*UF_MES)*(TASA_EMP+MUTUAL),0)+ROUND(MIN(N(N1147),TOPE_AFC_UF*UF_MES)*IF(S1147="Indefinido",AFC_INDEF,AFC_PF),0))</f>
        <v/>
      </c>
      <c r="U1147" s="62" t="str">
        <f aca="false">IF(C1147="","",IF(LEFT(D1147,1)="⚠","⚠ RUT no registrado en Trabajadores",IF(B1147="","⚠ Falta el mes",IF(OR(ISTEXT(I1147),ISTEXT(J1147)),"⚠ Atrasos u horas extra como texto: escriba hh:mm (ej. 1:30)",IF(AND(ISNUMBER(Q1147),COUNTIFS(M_RUTN,V1147,M_MES,B1147,M_LIQ,"&lt;&gt;")&gt;1),"⚠ Liquidación repetida en el mes",IF(AND(ISNUMBER(O1147),ISNUMBER(P1147),ISNUMBER(Q1147),ABS(O1147-P1147-Q1147)&gt;1),"⚠ Haberes − descuentos no da el líquido","OK"))))))</f>
        <v/>
      </c>
      <c r="V1147" s="62" t="str">
        <f aca="false">IF(C1147="","",IFERROR(VALUE(LEFT(UPPER(SUBSTITUTE(SUBSTITUTE(SUBSTITUTE(TRIM(C1147),".",""),"-","")," ","")),LEN(UPPER(SUBSTITUTE(SUBSTITUTE(SUBSTITUTE(TRIM(C1147),".",""),"-","")," ","")))-1))&amp;RIGHT(UPPER(SUBSTITUTE(SUBSTITUTE(SUBSTITUTE(TRIM(C1147),".",""),"-","")," ","")),1),UPPER(SUBSTITUTE(SUBSTITUTE(SUBSTITUTE(TRIM(C1147),".",""),"-","")," ",""))))</f>
        <v/>
      </c>
    </row>
    <row r="1148" customFormat="false" ht="15" hidden="false" customHeight="false" outlineLevel="0" collapsed="false">
      <c r="B1148" s="80"/>
      <c r="C1148" s="58"/>
      <c r="D1148" s="62" t="str">
        <f aca="false">IF(C1148="","",IFERROR(INDEX(T_NOMBRE,MATCH(V1148,T_RUTN,0)),"⚠ RUT no está en Trabajadores"))</f>
        <v/>
      </c>
      <c r="E1148" s="61"/>
      <c r="F1148" s="61"/>
      <c r="G1148" s="61"/>
      <c r="H1148" s="61"/>
      <c r="I1148" s="81"/>
      <c r="J1148" s="81"/>
      <c r="K1148" s="60"/>
      <c r="L1148" s="60"/>
      <c r="M1148" s="60"/>
      <c r="N1148" s="60"/>
      <c r="O1148" s="60"/>
      <c r="P1148" s="60"/>
      <c r="Q1148" s="60"/>
      <c r="R1148" s="58"/>
      <c r="S1148" s="62" t="str">
        <f aca="false">IF(OR(B1148="",V1148=""),"",IFERROR(INDEX(C_TIPO,MATCH(V1148&amp;"-P"&amp;MAX(1,COUNTIFS(C_RUTN,V1148,C_DEF,"Sí",C_INI,"&lt;="&amp;EOMONTH(B1148,0))),C_CLAVE,0))&amp;"","Sin contrato"))</f>
        <v/>
      </c>
      <c r="T1148" s="63" t="str">
        <f aca="false">IF(OR(B1148="",N(O1148)=0),"",N(O1148)+ROUND(MIN(N(N1148),TOPE_UF*UF_MES)*(TASA_EMP+MUTUAL),0)+ROUND(MIN(N(N1148),TOPE_AFC_UF*UF_MES)*IF(S1148="Indefinido",AFC_INDEF,AFC_PF),0))</f>
        <v/>
      </c>
      <c r="U1148" s="62" t="str">
        <f aca="false">IF(C1148="","",IF(LEFT(D1148,1)="⚠","⚠ RUT no registrado en Trabajadores",IF(B1148="","⚠ Falta el mes",IF(OR(ISTEXT(I1148),ISTEXT(J1148)),"⚠ Atrasos u horas extra como texto: escriba hh:mm (ej. 1:30)",IF(AND(ISNUMBER(Q1148),COUNTIFS(M_RUTN,V1148,M_MES,B1148,M_LIQ,"&lt;&gt;")&gt;1),"⚠ Liquidación repetida en el mes",IF(AND(ISNUMBER(O1148),ISNUMBER(P1148),ISNUMBER(Q1148),ABS(O1148-P1148-Q1148)&gt;1),"⚠ Haberes − descuentos no da el líquido","OK"))))))</f>
        <v/>
      </c>
      <c r="V1148" s="62" t="str">
        <f aca="false">IF(C1148="","",IFERROR(VALUE(LEFT(UPPER(SUBSTITUTE(SUBSTITUTE(SUBSTITUTE(TRIM(C1148),".",""),"-","")," ","")),LEN(UPPER(SUBSTITUTE(SUBSTITUTE(SUBSTITUTE(TRIM(C1148),".",""),"-","")," ","")))-1))&amp;RIGHT(UPPER(SUBSTITUTE(SUBSTITUTE(SUBSTITUTE(TRIM(C1148),".",""),"-","")," ","")),1),UPPER(SUBSTITUTE(SUBSTITUTE(SUBSTITUTE(TRIM(C1148),".",""),"-","")," ",""))))</f>
        <v/>
      </c>
    </row>
    <row r="1149" customFormat="false" ht="15" hidden="false" customHeight="false" outlineLevel="0" collapsed="false">
      <c r="B1149" s="80"/>
      <c r="C1149" s="58"/>
      <c r="D1149" s="62" t="str">
        <f aca="false">IF(C1149="","",IFERROR(INDEX(T_NOMBRE,MATCH(V1149,T_RUTN,0)),"⚠ RUT no está en Trabajadores"))</f>
        <v/>
      </c>
      <c r="E1149" s="61"/>
      <c r="F1149" s="61"/>
      <c r="G1149" s="61"/>
      <c r="H1149" s="61"/>
      <c r="I1149" s="81"/>
      <c r="J1149" s="81"/>
      <c r="K1149" s="60"/>
      <c r="L1149" s="60"/>
      <c r="M1149" s="60"/>
      <c r="N1149" s="60"/>
      <c r="O1149" s="60"/>
      <c r="P1149" s="60"/>
      <c r="Q1149" s="60"/>
      <c r="R1149" s="58"/>
      <c r="S1149" s="62" t="str">
        <f aca="false">IF(OR(B1149="",V1149=""),"",IFERROR(INDEX(C_TIPO,MATCH(V1149&amp;"-P"&amp;MAX(1,COUNTIFS(C_RUTN,V1149,C_DEF,"Sí",C_INI,"&lt;="&amp;EOMONTH(B1149,0))),C_CLAVE,0))&amp;"","Sin contrato"))</f>
        <v/>
      </c>
      <c r="T1149" s="63" t="str">
        <f aca="false">IF(OR(B1149="",N(O1149)=0),"",N(O1149)+ROUND(MIN(N(N1149),TOPE_UF*UF_MES)*(TASA_EMP+MUTUAL),0)+ROUND(MIN(N(N1149),TOPE_AFC_UF*UF_MES)*IF(S1149="Indefinido",AFC_INDEF,AFC_PF),0))</f>
        <v/>
      </c>
      <c r="U1149" s="62" t="str">
        <f aca="false">IF(C1149="","",IF(LEFT(D1149,1)="⚠","⚠ RUT no registrado en Trabajadores",IF(B1149="","⚠ Falta el mes",IF(OR(ISTEXT(I1149),ISTEXT(J1149)),"⚠ Atrasos u horas extra como texto: escriba hh:mm (ej. 1:30)",IF(AND(ISNUMBER(Q1149),COUNTIFS(M_RUTN,V1149,M_MES,B1149,M_LIQ,"&lt;&gt;")&gt;1),"⚠ Liquidación repetida en el mes",IF(AND(ISNUMBER(O1149),ISNUMBER(P1149),ISNUMBER(Q1149),ABS(O1149-P1149-Q1149)&gt;1),"⚠ Haberes − descuentos no da el líquido","OK"))))))</f>
        <v/>
      </c>
      <c r="V1149" s="62" t="str">
        <f aca="false">IF(C1149="","",IFERROR(VALUE(LEFT(UPPER(SUBSTITUTE(SUBSTITUTE(SUBSTITUTE(TRIM(C1149),".",""),"-","")," ","")),LEN(UPPER(SUBSTITUTE(SUBSTITUTE(SUBSTITUTE(TRIM(C1149),".",""),"-","")," ","")))-1))&amp;RIGHT(UPPER(SUBSTITUTE(SUBSTITUTE(SUBSTITUTE(TRIM(C1149),".",""),"-","")," ","")),1),UPPER(SUBSTITUTE(SUBSTITUTE(SUBSTITUTE(TRIM(C1149),".",""),"-","")," ",""))))</f>
        <v/>
      </c>
    </row>
    <row r="1150" customFormat="false" ht="15" hidden="false" customHeight="false" outlineLevel="0" collapsed="false">
      <c r="B1150" s="80"/>
      <c r="C1150" s="58"/>
      <c r="D1150" s="62" t="str">
        <f aca="false">IF(C1150="","",IFERROR(INDEX(T_NOMBRE,MATCH(V1150,T_RUTN,0)),"⚠ RUT no está en Trabajadores"))</f>
        <v/>
      </c>
      <c r="E1150" s="61"/>
      <c r="F1150" s="61"/>
      <c r="G1150" s="61"/>
      <c r="H1150" s="61"/>
      <c r="I1150" s="81"/>
      <c r="J1150" s="81"/>
      <c r="K1150" s="60"/>
      <c r="L1150" s="60"/>
      <c r="M1150" s="60"/>
      <c r="N1150" s="60"/>
      <c r="O1150" s="60"/>
      <c r="P1150" s="60"/>
      <c r="Q1150" s="60"/>
      <c r="R1150" s="58"/>
      <c r="S1150" s="62" t="str">
        <f aca="false">IF(OR(B1150="",V1150=""),"",IFERROR(INDEX(C_TIPO,MATCH(V1150&amp;"-P"&amp;MAX(1,COUNTIFS(C_RUTN,V1150,C_DEF,"Sí",C_INI,"&lt;="&amp;EOMONTH(B1150,0))),C_CLAVE,0))&amp;"","Sin contrato"))</f>
        <v/>
      </c>
      <c r="T1150" s="63" t="str">
        <f aca="false">IF(OR(B1150="",N(O1150)=0),"",N(O1150)+ROUND(MIN(N(N1150),TOPE_UF*UF_MES)*(TASA_EMP+MUTUAL),0)+ROUND(MIN(N(N1150),TOPE_AFC_UF*UF_MES)*IF(S1150="Indefinido",AFC_INDEF,AFC_PF),0))</f>
        <v/>
      </c>
      <c r="U1150" s="62" t="str">
        <f aca="false">IF(C1150="","",IF(LEFT(D1150,1)="⚠","⚠ RUT no registrado en Trabajadores",IF(B1150="","⚠ Falta el mes",IF(OR(ISTEXT(I1150),ISTEXT(J1150)),"⚠ Atrasos u horas extra como texto: escriba hh:mm (ej. 1:30)",IF(AND(ISNUMBER(Q1150),COUNTIFS(M_RUTN,V1150,M_MES,B1150,M_LIQ,"&lt;&gt;")&gt;1),"⚠ Liquidación repetida en el mes",IF(AND(ISNUMBER(O1150),ISNUMBER(P1150),ISNUMBER(Q1150),ABS(O1150-P1150-Q1150)&gt;1),"⚠ Haberes − descuentos no da el líquido","OK"))))))</f>
        <v/>
      </c>
      <c r="V1150" s="62" t="str">
        <f aca="false">IF(C1150="","",IFERROR(VALUE(LEFT(UPPER(SUBSTITUTE(SUBSTITUTE(SUBSTITUTE(TRIM(C1150),".",""),"-","")," ","")),LEN(UPPER(SUBSTITUTE(SUBSTITUTE(SUBSTITUTE(TRIM(C1150),".",""),"-","")," ","")))-1))&amp;RIGHT(UPPER(SUBSTITUTE(SUBSTITUTE(SUBSTITUTE(TRIM(C1150),".",""),"-","")," ","")),1),UPPER(SUBSTITUTE(SUBSTITUTE(SUBSTITUTE(TRIM(C1150),".",""),"-","")," ",""))))</f>
        <v/>
      </c>
    </row>
    <row r="1151" customFormat="false" ht="15" hidden="false" customHeight="false" outlineLevel="0" collapsed="false">
      <c r="B1151" s="80"/>
      <c r="C1151" s="58"/>
      <c r="D1151" s="62" t="str">
        <f aca="false">IF(C1151="","",IFERROR(INDEX(T_NOMBRE,MATCH(V1151,T_RUTN,0)),"⚠ RUT no está en Trabajadores"))</f>
        <v/>
      </c>
      <c r="E1151" s="61"/>
      <c r="F1151" s="61"/>
      <c r="G1151" s="61"/>
      <c r="H1151" s="61"/>
      <c r="I1151" s="81"/>
      <c r="J1151" s="81"/>
      <c r="K1151" s="60"/>
      <c r="L1151" s="60"/>
      <c r="M1151" s="60"/>
      <c r="N1151" s="60"/>
      <c r="O1151" s="60"/>
      <c r="P1151" s="60"/>
      <c r="Q1151" s="60"/>
      <c r="R1151" s="58"/>
      <c r="S1151" s="62" t="str">
        <f aca="false">IF(OR(B1151="",V1151=""),"",IFERROR(INDEX(C_TIPO,MATCH(V1151&amp;"-P"&amp;MAX(1,COUNTIFS(C_RUTN,V1151,C_DEF,"Sí",C_INI,"&lt;="&amp;EOMONTH(B1151,0))),C_CLAVE,0))&amp;"","Sin contrato"))</f>
        <v/>
      </c>
      <c r="T1151" s="63" t="str">
        <f aca="false">IF(OR(B1151="",N(O1151)=0),"",N(O1151)+ROUND(MIN(N(N1151),TOPE_UF*UF_MES)*(TASA_EMP+MUTUAL),0)+ROUND(MIN(N(N1151),TOPE_AFC_UF*UF_MES)*IF(S1151="Indefinido",AFC_INDEF,AFC_PF),0))</f>
        <v/>
      </c>
      <c r="U1151" s="62" t="str">
        <f aca="false">IF(C1151="","",IF(LEFT(D1151,1)="⚠","⚠ RUT no registrado en Trabajadores",IF(B1151="","⚠ Falta el mes",IF(OR(ISTEXT(I1151),ISTEXT(J1151)),"⚠ Atrasos u horas extra como texto: escriba hh:mm (ej. 1:30)",IF(AND(ISNUMBER(Q1151),COUNTIFS(M_RUTN,V1151,M_MES,B1151,M_LIQ,"&lt;&gt;")&gt;1),"⚠ Liquidación repetida en el mes",IF(AND(ISNUMBER(O1151),ISNUMBER(P1151),ISNUMBER(Q1151),ABS(O1151-P1151-Q1151)&gt;1),"⚠ Haberes − descuentos no da el líquido","OK"))))))</f>
        <v/>
      </c>
      <c r="V1151" s="62" t="str">
        <f aca="false">IF(C1151="","",IFERROR(VALUE(LEFT(UPPER(SUBSTITUTE(SUBSTITUTE(SUBSTITUTE(TRIM(C1151),".",""),"-","")," ","")),LEN(UPPER(SUBSTITUTE(SUBSTITUTE(SUBSTITUTE(TRIM(C1151),".",""),"-","")," ","")))-1))&amp;RIGHT(UPPER(SUBSTITUTE(SUBSTITUTE(SUBSTITUTE(TRIM(C1151),".",""),"-","")," ","")),1),UPPER(SUBSTITUTE(SUBSTITUTE(SUBSTITUTE(TRIM(C1151),".",""),"-","")," ",""))))</f>
        <v/>
      </c>
    </row>
    <row r="1152" customFormat="false" ht="15" hidden="false" customHeight="false" outlineLevel="0" collapsed="false">
      <c r="B1152" s="80"/>
      <c r="C1152" s="58"/>
      <c r="D1152" s="62" t="str">
        <f aca="false">IF(C1152="","",IFERROR(INDEX(T_NOMBRE,MATCH(V1152,T_RUTN,0)),"⚠ RUT no está en Trabajadores"))</f>
        <v/>
      </c>
      <c r="E1152" s="61"/>
      <c r="F1152" s="61"/>
      <c r="G1152" s="61"/>
      <c r="H1152" s="61"/>
      <c r="I1152" s="81"/>
      <c r="J1152" s="81"/>
      <c r="K1152" s="60"/>
      <c r="L1152" s="60"/>
      <c r="M1152" s="60"/>
      <c r="N1152" s="60"/>
      <c r="O1152" s="60"/>
      <c r="P1152" s="60"/>
      <c r="Q1152" s="60"/>
      <c r="R1152" s="58"/>
      <c r="S1152" s="62" t="str">
        <f aca="false">IF(OR(B1152="",V1152=""),"",IFERROR(INDEX(C_TIPO,MATCH(V1152&amp;"-P"&amp;MAX(1,COUNTIFS(C_RUTN,V1152,C_DEF,"Sí",C_INI,"&lt;="&amp;EOMONTH(B1152,0))),C_CLAVE,0))&amp;"","Sin contrato"))</f>
        <v/>
      </c>
      <c r="T1152" s="63" t="str">
        <f aca="false">IF(OR(B1152="",N(O1152)=0),"",N(O1152)+ROUND(MIN(N(N1152),TOPE_UF*UF_MES)*(TASA_EMP+MUTUAL),0)+ROUND(MIN(N(N1152),TOPE_AFC_UF*UF_MES)*IF(S1152="Indefinido",AFC_INDEF,AFC_PF),0))</f>
        <v/>
      </c>
      <c r="U1152" s="62" t="str">
        <f aca="false">IF(C1152="","",IF(LEFT(D1152,1)="⚠","⚠ RUT no registrado en Trabajadores",IF(B1152="","⚠ Falta el mes",IF(OR(ISTEXT(I1152),ISTEXT(J1152)),"⚠ Atrasos u horas extra como texto: escriba hh:mm (ej. 1:30)",IF(AND(ISNUMBER(Q1152),COUNTIFS(M_RUTN,V1152,M_MES,B1152,M_LIQ,"&lt;&gt;")&gt;1),"⚠ Liquidación repetida en el mes",IF(AND(ISNUMBER(O1152),ISNUMBER(P1152),ISNUMBER(Q1152),ABS(O1152-P1152-Q1152)&gt;1),"⚠ Haberes − descuentos no da el líquido","OK"))))))</f>
        <v/>
      </c>
      <c r="V1152" s="62" t="str">
        <f aca="false">IF(C1152="","",IFERROR(VALUE(LEFT(UPPER(SUBSTITUTE(SUBSTITUTE(SUBSTITUTE(TRIM(C1152),".",""),"-","")," ","")),LEN(UPPER(SUBSTITUTE(SUBSTITUTE(SUBSTITUTE(TRIM(C1152),".",""),"-","")," ","")))-1))&amp;RIGHT(UPPER(SUBSTITUTE(SUBSTITUTE(SUBSTITUTE(TRIM(C1152),".",""),"-","")," ","")),1),UPPER(SUBSTITUTE(SUBSTITUTE(SUBSTITUTE(TRIM(C1152),".",""),"-","")," ",""))))</f>
        <v/>
      </c>
    </row>
    <row r="1153" customFormat="false" ht="15" hidden="false" customHeight="false" outlineLevel="0" collapsed="false">
      <c r="B1153" s="80"/>
      <c r="C1153" s="58"/>
      <c r="D1153" s="62" t="str">
        <f aca="false">IF(C1153="","",IFERROR(INDEX(T_NOMBRE,MATCH(V1153,T_RUTN,0)),"⚠ RUT no está en Trabajadores"))</f>
        <v/>
      </c>
      <c r="E1153" s="61"/>
      <c r="F1153" s="61"/>
      <c r="G1153" s="61"/>
      <c r="H1153" s="61"/>
      <c r="I1153" s="81"/>
      <c r="J1153" s="81"/>
      <c r="K1153" s="60"/>
      <c r="L1153" s="60"/>
      <c r="M1153" s="60"/>
      <c r="N1153" s="60"/>
      <c r="O1153" s="60"/>
      <c r="P1153" s="60"/>
      <c r="Q1153" s="60"/>
      <c r="R1153" s="58"/>
      <c r="S1153" s="62" t="str">
        <f aca="false">IF(OR(B1153="",V1153=""),"",IFERROR(INDEX(C_TIPO,MATCH(V1153&amp;"-P"&amp;MAX(1,COUNTIFS(C_RUTN,V1153,C_DEF,"Sí",C_INI,"&lt;="&amp;EOMONTH(B1153,0))),C_CLAVE,0))&amp;"","Sin contrato"))</f>
        <v/>
      </c>
      <c r="T1153" s="63" t="str">
        <f aca="false">IF(OR(B1153="",N(O1153)=0),"",N(O1153)+ROUND(MIN(N(N1153),TOPE_UF*UF_MES)*(TASA_EMP+MUTUAL),0)+ROUND(MIN(N(N1153),TOPE_AFC_UF*UF_MES)*IF(S1153="Indefinido",AFC_INDEF,AFC_PF),0))</f>
        <v/>
      </c>
      <c r="U1153" s="62" t="str">
        <f aca="false">IF(C1153="","",IF(LEFT(D1153,1)="⚠","⚠ RUT no registrado en Trabajadores",IF(B1153="","⚠ Falta el mes",IF(OR(ISTEXT(I1153),ISTEXT(J1153)),"⚠ Atrasos u horas extra como texto: escriba hh:mm (ej. 1:30)",IF(AND(ISNUMBER(Q1153),COUNTIFS(M_RUTN,V1153,M_MES,B1153,M_LIQ,"&lt;&gt;")&gt;1),"⚠ Liquidación repetida en el mes",IF(AND(ISNUMBER(O1153),ISNUMBER(P1153),ISNUMBER(Q1153),ABS(O1153-P1153-Q1153)&gt;1),"⚠ Haberes − descuentos no da el líquido","OK"))))))</f>
        <v/>
      </c>
      <c r="V1153" s="62" t="str">
        <f aca="false">IF(C1153="","",IFERROR(VALUE(LEFT(UPPER(SUBSTITUTE(SUBSTITUTE(SUBSTITUTE(TRIM(C1153),".",""),"-","")," ","")),LEN(UPPER(SUBSTITUTE(SUBSTITUTE(SUBSTITUTE(TRIM(C1153),".",""),"-","")," ","")))-1))&amp;RIGHT(UPPER(SUBSTITUTE(SUBSTITUTE(SUBSTITUTE(TRIM(C1153),".",""),"-","")," ","")),1),UPPER(SUBSTITUTE(SUBSTITUTE(SUBSTITUTE(TRIM(C1153),".",""),"-","")," ",""))))</f>
        <v/>
      </c>
    </row>
    <row r="1154" customFormat="false" ht="15" hidden="false" customHeight="false" outlineLevel="0" collapsed="false">
      <c r="B1154" s="80"/>
      <c r="C1154" s="58"/>
      <c r="D1154" s="62" t="str">
        <f aca="false">IF(C1154="","",IFERROR(INDEX(T_NOMBRE,MATCH(V1154,T_RUTN,0)),"⚠ RUT no está en Trabajadores"))</f>
        <v/>
      </c>
      <c r="E1154" s="61"/>
      <c r="F1154" s="61"/>
      <c r="G1154" s="61"/>
      <c r="H1154" s="61"/>
      <c r="I1154" s="81"/>
      <c r="J1154" s="81"/>
      <c r="K1154" s="60"/>
      <c r="L1154" s="60"/>
      <c r="M1154" s="60"/>
      <c r="N1154" s="60"/>
      <c r="O1154" s="60"/>
      <c r="P1154" s="60"/>
      <c r="Q1154" s="60"/>
      <c r="R1154" s="58"/>
      <c r="S1154" s="62" t="str">
        <f aca="false">IF(OR(B1154="",V1154=""),"",IFERROR(INDEX(C_TIPO,MATCH(V1154&amp;"-P"&amp;MAX(1,COUNTIFS(C_RUTN,V1154,C_DEF,"Sí",C_INI,"&lt;="&amp;EOMONTH(B1154,0))),C_CLAVE,0))&amp;"","Sin contrato"))</f>
        <v/>
      </c>
      <c r="T1154" s="63" t="str">
        <f aca="false">IF(OR(B1154="",N(O1154)=0),"",N(O1154)+ROUND(MIN(N(N1154),TOPE_UF*UF_MES)*(TASA_EMP+MUTUAL),0)+ROUND(MIN(N(N1154),TOPE_AFC_UF*UF_MES)*IF(S1154="Indefinido",AFC_INDEF,AFC_PF),0))</f>
        <v/>
      </c>
      <c r="U1154" s="62" t="str">
        <f aca="false">IF(C1154="","",IF(LEFT(D1154,1)="⚠","⚠ RUT no registrado en Trabajadores",IF(B1154="","⚠ Falta el mes",IF(OR(ISTEXT(I1154),ISTEXT(J1154)),"⚠ Atrasos u horas extra como texto: escriba hh:mm (ej. 1:30)",IF(AND(ISNUMBER(Q1154),COUNTIFS(M_RUTN,V1154,M_MES,B1154,M_LIQ,"&lt;&gt;")&gt;1),"⚠ Liquidación repetida en el mes",IF(AND(ISNUMBER(O1154),ISNUMBER(P1154),ISNUMBER(Q1154),ABS(O1154-P1154-Q1154)&gt;1),"⚠ Haberes − descuentos no da el líquido","OK"))))))</f>
        <v/>
      </c>
      <c r="V1154" s="62" t="str">
        <f aca="false">IF(C1154="","",IFERROR(VALUE(LEFT(UPPER(SUBSTITUTE(SUBSTITUTE(SUBSTITUTE(TRIM(C1154),".",""),"-","")," ","")),LEN(UPPER(SUBSTITUTE(SUBSTITUTE(SUBSTITUTE(TRIM(C1154),".",""),"-","")," ","")))-1))&amp;RIGHT(UPPER(SUBSTITUTE(SUBSTITUTE(SUBSTITUTE(TRIM(C1154),".",""),"-","")," ","")),1),UPPER(SUBSTITUTE(SUBSTITUTE(SUBSTITUTE(TRIM(C1154),".",""),"-","")," ",""))))</f>
        <v/>
      </c>
    </row>
    <row r="1155" customFormat="false" ht="15" hidden="false" customHeight="false" outlineLevel="0" collapsed="false">
      <c r="B1155" s="80"/>
      <c r="C1155" s="58"/>
      <c r="D1155" s="62" t="str">
        <f aca="false">IF(C1155="","",IFERROR(INDEX(T_NOMBRE,MATCH(V1155,T_RUTN,0)),"⚠ RUT no está en Trabajadores"))</f>
        <v/>
      </c>
      <c r="E1155" s="61"/>
      <c r="F1155" s="61"/>
      <c r="G1155" s="61"/>
      <c r="H1155" s="61"/>
      <c r="I1155" s="81"/>
      <c r="J1155" s="81"/>
      <c r="K1155" s="60"/>
      <c r="L1155" s="60"/>
      <c r="M1155" s="60"/>
      <c r="N1155" s="60"/>
      <c r="O1155" s="60"/>
      <c r="P1155" s="60"/>
      <c r="Q1155" s="60"/>
      <c r="R1155" s="58"/>
      <c r="S1155" s="62" t="str">
        <f aca="false">IF(OR(B1155="",V1155=""),"",IFERROR(INDEX(C_TIPO,MATCH(V1155&amp;"-P"&amp;MAX(1,COUNTIFS(C_RUTN,V1155,C_DEF,"Sí",C_INI,"&lt;="&amp;EOMONTH(B1155,0))),C_CLAVE,0))&amp;"","Sin contrato"))</f>
        <v/>
      </c>
      <c r="T1155" s="63" t="str">
        <f aca="false">IF(OR(B1155="",N(O1155)=0),"",N(O1155)+ROUND(MIN(N(N1155),TOPE_UF*UF_MES)*(TASA_EMP+MUTUAL),0)+ROUND(MIN(N(N1155),TOPE_AFC_UF*UF_MES)*IF(S1155="Indefinido",AFC_INDEF,AFC_PF),0))</f>
        <v/>
      </c>
      <c r="U1155" s="62" t="str">
        <f aca="false">IF(C1155="","",IF(LEFT(D1155,1)="⚠","⚠ RUT no registrado en Trabajadores",IF(B1155="","⚠ Falta el mes",IF(OR(ISTEXT(I1155),ISTEXT(J1155)),"⚠ Atrasos u horas extra como texto: escriba hh:mm (ej. 1:30)",IF(AND(ISNUMBER(Q1155),COUNTIFS(M_RUTN,V1155,M_MES,B1155,M_LIQ,"&lt;&gt;")&gt;1),"⚠ Liquidación repetida en el mes",IF(AND(ISNUMBER(O1155),ISNUMBER(P1155),ISNUMBER(Q1155),ABS(O1155-P1155-Q1155)&gt;1),"⚠ Haberes − descuentos no da el líquido","OK"))))))</f>
        <v/>
      </c>
      <c r="V1155" s="62" t="str">
        <f aca="false">IF(C1155="","",IFERROR(VALUE(LEFT(UPPER(SUBSTITUTE(SUBSTITUTE(SUBSTITUTE(TRIM(C1155),".",""),"-","")," ","")),LEN(UPPER(SUBSTITUTE(SUBSTITUTE(SUBSTITUTE(TRIM(C1155),".",""),"-","")," ","")))-1))&amp;RIGHT(UPPER(SUBSTITUTE(SUBSTITUTE(SUBSTITUTE(TRIM(C1155),".",""),"-","")," ","")),1),UPPER(SUBSTITUTE(SUBSTITUTE(SUBSTITUTE(TRIM(C1155),".",""),"-","")," ",""))))</f>
        <v/>
      </c>
    </row>
    <row r="1156" customFormat="false" ht="15" hidden="false" customHeight="false" outlineLevel="0" collapsed="false">
      <c r="B1156" s="80"/>
      <c r="C1156" s="58"/>
      <c r="D1156" s="62" t="str">
        <f aca="false">IF(C1156="","",IFERROR(INDEX(T_NOMBRE,MATCH(V1156,T_RUTN,0)),"⚠ RUT no está en Trabajadores"))</f>
        <v/>
      </c>
      <c r="E1156" s="61"/>
      <c r="F1156" s="61"/>
      <c r="G1156" s="61"/>
      <c r="H1156" s="61"/>
      <c r="I1156" s="81"/>
      <c r="J1156" s="81"/>
      <c r="K1156" s="60"/>
      <c r="L1156" s="60"/>
      <c r="M1156" s="60"/>
      <c r="N1156" s="60"/>
      <c r="O1156" s="60"/>
      <c r="P1156" s="60"/>
      <c r="Q1156" s="60"/>
      <c r="R1156" s="58"/>
      <c r="S1156" s="62" t="str">
        <f aca="false">IF(OR(B1156="",V1156=""),"",IFERROR(INDEX(C_TIPO,MATCH(V1156&amp;"-P"&amp;MAX(1,COUNTIFS(C_RUTN,V1156,C_DEF,"Sí",C_INI,"&lt;="&amp;EOMONTH(B1156,0))),C_CLAVE,0))&amp;"","Sin contrato"))</f>
        <v/>
      </c>
      <c r="T1156" s="63" t="str">
        <f aca="false">IF(OR(B1156="",N(O1156)=0),"",N(O1156)+ROUND(MIN(N(N1156),TOPE_UF*UF_MES)*(TASA_EMP+MUTUAL),0)+ROUND(MIN(N(N1156),TOPE_AFC_UF*UF_MES)*IF(S1156="Indefinido",AFC_INDEF,AFC_PF),0))</f>
        <v/>
      </c>
      <c r="U1156" s="62" t="str">
        <f aca="false">IF(C1156="","",IF(LEFT(D1156,1)="⚠","⚠ RUT no registrado en Trabajadores",IF(B1156="","⚠ Falta el mes",IF(OR(ISTEXT(I1156),ISTEXT(J1156)),"⚠ Atrasos u horas extra como texto: escriba hh:mm (ej. 1:30)",IF(AND(ISNUMBER(Q1156),COUNTIFS(M_RUTN,V1156,M_MES,B1156,M_LIQ,"&lt;&gt;")&gt;1),"⚠ Liquidación repetida en el mes",IF(AND(ISNUMBER(O1156),ISNUMBER(P1156),ISNUMBER(Q1156),ABS(O1156-P1156-Q1156)&gt;1),"⚠ Haberes − descuentos no da el líquido","OK"))))))</f>
        <v/>
      </c>
      <c r="V1156" s="62" t="str">
        <f aca="false">IF(C1156="","",IFERROR(VALUE(LEFT(UPPER(SUBSTITUTE(SUBSTITUTE(SUBSTITUTE(TRIM(C1156),".",""),"-","")," ","")),LEN(UPPER(SUBSTITUTE(SUBSTITUTE(SUBSTITUTE(TRIM(C1156),".",""),"-","")," ","")))-1))&amp;RIGHT(UPPER(SUBSTITUTE(SUBSTITUTE(SUBSTITUTE(TRIM(C1156),".",""),"-","")," ","")),1),UPPER(SUBSTITUTE(SUBSTITUTE(SUBSTITUTE(TRIM(C1156),".",""),"-","")," ",""))))</f>
        <v/>
      </c>
    </row>
    <row r="1157" customFormat="false" ht="15" hidden="false" customHeight="false" outlineLevel="0" collapsed="false">
      <c r="B1157" s="80"/>
      <c r="C1157" s="58"/>
      <c r="D1157" s="62" t="str">
        <f aca="false">IF(C1157="","",IFERROR(INDEX(T_NOMBRE,MATCH(V1157,T_RUTN,0)),"⚠ RUT no está en Trabajadores"))</f>
        <v/>
      </c>
      <c r="E1157" s="61"/>
      <c r="F1157" s="61"/>
      <c r="G1157" s="61"/>
      <c r="H1157" s="61"/>
      <c r="I1157" s="81"/>
      <c r="J1157" s="81"/>
      <c r="K1157" s="60"/>
      <c r="L1157" s="60"/>
      <c r="M1157" s="60"/>
      <c r="N1157" s="60"/>
      <c r="O1157" s="60"/>
      <c r="P1157" s="60"/>
      <c r="Q1157" s="60"/>
      <c r="R1157" s="58"/>
      <c r="S1157" s="62" t="str">
        <f aca="false">IF(OR(B1157="",V1157=""),"",IFERROR(INDEX(C_TIPO,MATCH(V1157&amp;"-P"&amp;MAX(1,COUNTIFS(C_RUTN,V1157,C_DEF,"Sí",C_INI,"&lt;="&amp;EOMONTH(B1157,0))),C_CLAVE,0))&amp;"","Sin contrato"))</f>
        <v/>
      </c>
      <c r="T1157" s="63" t="str">
        <f aca="false">IF(OR(B1157="",N(O1157)=0),"",N(O1157)+ROUND(MIN(N(N1157),TOPE_UF*UF_MES)*(TASA_EMP+MUTUAL),0)+ROUND(MIN(N(N1157),TOPE_AFC_UF*UF_MES)*IF(S1157="Indefinido",AFC_INDEF,AFC_PF),0))</f>
        <v/>
      </c>
      <c r="U1157" s="62" t="str">
        <f aca="false">IF(C1157="","",IF(LEFT(D1157,1)="⚠","⚠ RUT no registrado en Trabajadores",IF(B1157="","⚠ Falta el mes",IF(OR(ISTEXT(I1157),ISTEXT(J1157)),"⚠ Atrasos u horas extra como texto: escriba hh:mm (ej. 1:30)",IF(AND(ISNUMBER(Q1157),COUNTIFS(M_RUTN,V1157,M_MES,B1157,M_LIQ,"&lt;&gt;")&gt;1),"⚠ Liquidación repetida en el mes",IF(AND(ISNUMBER(O1157),ISNUMBER(P1157),ISNUMBER(Q1157),ABS(O1157-P1157-Q1157)&gt;1),"⚠ Haberes − descuentos no da el líquido","OK"))))))</f>
        <v/>
      </c>
      <c r="V1157" s="62" t="str">
        <f aca="false">IF(C1157="","",IFERROR(VALUE(LEFT(UPPER(SUBSTITUTE(SUBSTITUTE(SUBSTITUTE(TRIM(C1157),".",""),"-","")," ","")),LEN(UPPER(SUBSTITUTE(SUBSTITUTE(SUBSTITUTE(TRIM(C1157),".",""),"-","")," ","")))-1))&amp;RIGHT(UPPER(SUBSTITUTE(SUBSTITUTE(SUBSTITUTE(TRIM(C1157),".",""),"-","")," ","")),1),UPPER(SUBSTITUTE(SUBSTITUTE(SUBSTITUTE(TRIM(C1157),".",""),"-","")," ",""))))</f>
        <v/>
      </c>
    </row>
    <row r="1158" customFormat="false" ht="15" hidden="false" customHeight="false" outlineLevel="0" collapsed="false">
      <c r="B1158" s="80"/>
      <c r="C1158" s="58"/>
      <c r="D1158" s="62" t="str">
        <f aca="false">IF(C1158="","",IFERROR(INDEX(T_NOMBRE,MATCH(V1158,T_RUTN,0)),"⚠ RUT no está en Trabajadores"))</f>
        <v/>
      </c>
      <c r="E1158" s="61"/>
      <c r="F1158" s="61"/>
      <c r="G1158" s="61"/>
      <c r="H1158" s="61"/>
      <c r="I1158" s="81"/>
      <c r="J1158" s="81"/>
      <c r="K1158" s="60"/>
      <c r="L1158" s="60"/>
      <c r="M1158" s="60"/>
      <c r="N1158" s="60"/>
      <c r="O1158" s="60"/>
      <c r="P1158" s="60"/>
      <c r="Q1158" s="60"/>
      <c r="R1158" s="58"/>
      <c r="S1158" s="62" t="str">
        <f aca="false">IF(OR(B1158="",V1158=""),"",IFERROR(INDEX(C_TIPO,MATCH(V1158&amp;"-P"&amp;MAX(1,COUNTIFS(C_RUTN,V1158,C_DEF,"Sí",C_INI,"&lt;="&amp;EOMONTH(B1158,0))),C_CLAVE,0))&amp;"","Sin contrato"))</f>
        <v/>
      </c>
      <c r="T1158" s="63" t="str">
        <f aca="false">IF(OR(B1158="",N(O1158)=0),"",N(O1158)+ROUND(MIN(N(N1158),TOPE_UF*UF_MES)*(TASA_EMP+MUTUAL),0)+ROUND(MIN(N(N1158),TOPE_AFC_UF*UF_MES)*IF(S1158="Indefinido",AFC_INDEF,AFC_PF),0))</f>
        <v/>
      </c>
      <c r="U1158" s="62" t="str">
        <f aca="false">IF(C1158="","",IF(LEFT(D1158,1)="⚠","⚠ RUT no registrado en Trabajadores",IF(B1158="","⚠ Falta el mes",IF(OR(ISTEXT(I1158),ISTEXT(J1158)),"⚠ Atrasos u horas extra como texto: escriba hh:mm (ej. 1:30)",IF(AND(ISNUMBER(Q1158),COUNTIFS(M_RUTN,V1158,M_MES,B1158,M_LIQ,"&lt;&gt;")&gt;1),"⚠ Liquidación repetida en el mes",IF(AND(ISNUMBER(O1158),ISNUMBER(P1158),ISNUMBER(Q1158),ABS(O1158-P1158-Q1158)&gt;1),"⚠ Haberes − descuentos no da el líquido","OK"))))))</f>
        <v/>
      </c>
      <c r="V1158" s="62" t="str">
        <f aca="false">IF(C1158="","",IFERROR(VALUE(LEFT(UPPER(SUBSTITUTE(SUBSTITUTE(SUBSTITUTE(TRIM(C1158),".",""),"-","")," ","")),LEN(UPPER(SUBSTITUTE(SUBSTITUTE(SUBSTITUTE(TRIM(C1158),".",""),"-","")," ","")))-1))&amp;RIGHT(UPPER(SUBSTITUTE(SUBSTITUTE(SUBSTITUTE(TRIM(C1158),".",""),"-","")," ","")),1),UPPER(SUBSTITUTE(SUBSTITUTE(SUBSTITUTE(TRIM(C1158),".",""),"-","")," ",""))))</f>
        <v/>
      </c>
    </row>
    <row r="1159" customFormat="false" ht="15" hidden="false" customHeight="false" outlineLevel="0" collapsed="false">
      <c r="B1159" s="80"/>
      <c r="C1159" s="58"/>
      <c r="D1159" s="62" t="str">
        <f aca="false">IF(C1159="","",IFERROR(INDEX(T_NOMBRE,MATCH(V1159,T_RUTN,0)),"⚠ RUT no está en Trabajadores"))</f>
        <v/>
      </c>
      <c r="E1159" s="61"/>
      <c r="F1159" s="61"/>
      <c r="G1159" s="61"/>
      <c r="H1159" s="61"/>
      <c r="I1159" s="81"/>
      <c r="J1159" s="81"/>
      <c r="K1159" s="60"/>
      <c r="L1159" s="60"/>
      <c r="M1159" s="60"/>
      <c r="N1159" s="60"/>
      <c r="O1159" s="60"/>
      <c r="P1159" s="60"/>
      <c r="Q1159" s="60"/>
      <c r="R1159" s="58"/>
      <c r="S1159" s="62" t="str">
        <f aca="false">IF(OR(B1159="",V1159=""),"",IFERROR(INDEX(C_TIPO,MATCH(V1159&amp;"-P"&amp;MAX(1,COUNTIFS(C_RUTN,V1159,C_DEF,"Sí",C_INI,"&lt;="&amp;EOMONTH(B1159,0))),C_CLAVE,0))&amp;"","Sin contrato"))</f>
        <v/>
      </c>
      <c r="T1159" s="63" t="str">
        <f aca="false">IF(OR(B1159="",N(O1159)=0),"",N(O1159)+ROUND(MIN(N(N1159),TOPE_UF*UF_MES)*(TASA_EMP+MUTUAL),0)+ROUND(MIN(N(N1159),TOPE_AFC_UF*UF_MES)*IF(S1159="Indefinido",AFC_INDEF,AFC_PF),0))</f>
        <v/>
      </c>
      <c r="U1159" s="62" t="str">
        <f aca="false">IF(C1159="","",IF(LEFT(D1159,1)="⚠","⚠ RUT no registrado en Trabajadores",IF(B1159="","⚠ Falta el mes",IF(OR(ISTEXT(I1159),ISTEXT(J1159)),"⚠ Atrasos u horas extra como texto: escriba hh:mm (ej. 1:30)",IF(AND(ISNUMBER(Q1159),COUNTIFS(M_RUTN,V1159,M_MES,B1159,M_LIQ,"&lt;&gt;")&gt;1),"⚠ Liquidación repetida en el mes",IF(AND(ISNUMBER(O1159),ISNUMBER(P1159),ISNUMBER(Q1159),ABS(O1159-P1159-Q1159)&gt;1),"⚠ Haberes − descuentos no da el líquido","OK"))))))</f>
        <v/>
      </c>
      <c r="V1159" s="62" t="str">
        <f aca="false">IF(C1159="","",IFERROR(VALUE(LEFT(UPPER(SUBSTITUTE(SUBSTITUTE(SUBSTITUTE(TRIM(C1159),".",""),"-","")," ","")),LEN(UPPER(SUBSTITUTE(SUBSTITUTE(SUBSTITUTE(TRIM(C1159),".",""),"-","")," ","")))-1))&amp;RIGHT(UPPER(SUBSTITUTE(SUBSTITUTE(SUBSTITUTE(TRIM(C1159),".",""),"-","")," ","")),1),UPPER(SUBSTITUTE(SUBSTITUTE(SUBSTITUTE(TRIM(C1159),".",""),"-","")," ",""))))</f>
        <v/>
      </c>
    </row>
    <row r="1160" customFormat="false" ht="15" hidden="false" customHeight="false" outlineLevel="0" collapsed="false">
      <c r="B1160" s="80"/>
      <c r="C1160" s="58"/>
      <c r="D1160" s="62" t="str">
        <f aca="false">IF(C1160="","",IFERROR(INDEX(T_NOMBRE,MATCH(V1160,T_RUTN,0)),"⚠ RUT no está en Trabajadores"))</f>
        <v/>
      </c>
      <c r="E1160" s="61"/>
      <c r="F1160" s="61"/>
      <c r="G1160" s="61"/>
      <c r="H1160" s="61"/>
      <c r="I1160" s="81"/>
      <c r="J1160" s="81"/>
      <c r="K1160" s="60"/>
      <c r="L1160" s="60"/>
      <c r="M1160" s="60"/>
      <c r="N1160" s="60"/>
      <c r="O1160" s="60"/>
      <c r="P1160" s="60"/>
      <c r="Q1160" s="60"/>
      <c r="R1160" s="58"/>
      <c r="S1160" s="62" t="str">
        <f aca="false">IF(OR(B1160="",V1160=""),"",IFERROR(INDEX(C_TIPO,MATCH(V1160&amp;"-P"&amp;MAX(1,COUNTIFS(C_RUTN,V1160,C_DEF,"Sí",C_INI,"&lt;="&amp;EOMONTH(B1160,0))),C_CLAVE,0))&amp;"","Sin contrato"))</f>
        <v/>
      </c>
      <c r="T1160" s="63" t="str">
        <f aca="false">IF(OR(B1160="",N(O1160)=0),"",N(O1160)+ROUND(MIN(N(N1160),TOPE_UF*UF_MES)*(TASA_EMP+MUTUAL),0)+ROUND(MIN(N(N1160),TOPE_AFC_UF*UF_MES)*IF(S1160="Indefinido",AFC_INDEF,AFC_PF),0))</f>
        <v/>
      </c>
      <c r="U1160" s="62" t="str">
        <f aca="false">IF(C1160="","",IF(LEFT(D1160,1)="⚠","⚠ RUT no registrado en Trabajadores",IF(B1160="","⚠ Falta el mes",IF(OR(ISTEXT(I1160),ISTEXT(J1160)),"⚠ Atrasos u horas extra como texto: escriba hh:mm (ej. 1:30)",IF(AND(ISNUMBER(Q1160),COUNTIFS(M_RUTN,V1160,M_MES,B1160,M_LIQ,"&lt;&gt;")&gt;1),"⚠ Liquidación repetida en el mes",IF(AND(ISNUMBER(O1160),ISNUMBER(P1160),ISNUMBER(Q1160),ABS(O1160-P1160-Q1160)&gt;1),"⚠ Haberes − descuentos no da el líquido","OK"))))))</f>
        <v/>
      </c>
      <c r="V1160" s="62" t="str">
        <f aca="false">IF(C1160="","",IFERROR(VALUE(LEFT(UPPER(SUBSTITUTE(SUBSTITUTE(SUBSTITUTE(TRIM(C1160),".",""),"-","")," ","")),LEN(UPPER(SUBSTITUTE(SUBSTITUTE(SUBSTITUTE(TRIM(C1160),".",""),"-","")," ","")))-1))&amp;RIGHT(UPPER(SUBSTITUTE(SUBSTITUTE(SUBSTITUTE(TRIM(C1160),".",""),"-","")," ","")),1),UPPER(SUBSTITUTE(SUBSTITUTE(SUBSTITUTE(TRIM(C1160),".",""),"-","")," ",""))))</f>
        <v/>
      </c>
    </row>
    <row r="1161" customFormat="false" ht="15" hidden="false" customHeight="false" outlineLevel="0" collapsed="false">
      <c r="B1161" s="80"/>
      <c r="C1161" s="58"/>
      <c r="D1161" s="62" t="str">
        <f aca="false">IF(C1161="","",IFERROR(INDEX(T_NOMBRE,MATCH(V1161,T_RUTN,0)),"⚠ RUT no está en Trabajadores"))</f>
        <v/>
      </c>
      <c r="E1161" s="61"/>
      <c r="F1161" s="61"/>
      <c r="G1161" s="61"/>
      <c r="H1161" s="61"/>
      <c r="I1161" s="81"/>
      <c r="J1161" s="81"/>
      <c r="K1161" s="60"/>
      <c r="L1161" s="60"/>
      <c r="M1161" s="60"/>
      <c r="N1161" s="60"/>
      <c r="O1161" s="60"/>
      <c r="P1161" s="60"/>
      <c r="Q1161" s="60"/>
      <c r="R1161" s="58"/>
      <c r="S1161" s="62" t="str">
        <f aca="false">IF(OR(B1161="",V1161=""),"",IFERROR(INDEX(C_TIPO,MATCH(V1161&amp;"-P"&amp;MAX(1,COUNTIFS(C_RUTN,V1161,C_DEF,"Sí",C_INI,"&lt;="&amp;EOMONTH(B1161,0))),C_CLAVE,0))&amp;"","Sin contrato"))</f>
        <v/>
      </c>
      <c r="T1161" s="63" t="str">
        <f aca="false">IF(OR(B1161="",N(O1161)=0),"",N(O1161)+ROUND(MIN(N(N1161),TOPE_UF*UF_MES)*(TASA_EMP+MUTUAL),0)+ROUND(MIN(N(N1161),TOPE_AFC_UF*UF_MES)*IF(S1161="Indefinido",AFC_INDEF,AFC_PF),0))</f>
        <v/>
      </c>
      <c r="U1161" s="62" t="str">
        <f aca="false">IF(C1161="","",IF(LEFT(D1161,1)="⚠","⚠ RUT no registrado en Trabajadores",IF(B1161="","⚠ Falta el mes",IF(OR(ISTEXT(I1161),ISTEXT(J1161)),"⚠ Atrasos u horas extra como texto: escriba hh:mm (ej. 1:30)",IF(AND(ISNUMBER(Q1161),COUNTIFS(M_RUTN,V1161,M_MES,B1161,M_LIQ,"&lt;&gt;")&gt;1),"⚠ Liquidación repetida en el mes",IF(AND(ISNUMBER(O1161),ISNUMBER(P1161),ISNUMBER(Q1161),ABS(O1161-P1161-Q1161)&gt;1),"⚠ Haberes − descuentos no da el líquido","OK"))))))</f>
        <v/>
      </c>
      <c r="V1161" s="62" t="str">
        <f aca="false">IF(C1161="","",IFERROR(VALUE(LEFT(UPPER(SUBSTITUTE(SUBSTITUTE(SUBSTITUTE(TRIM(C1161),".",""),"-","")," ","")),LEN(UPPER(SUBSTITUTE(SUBSTITUTE(SUBSTITUTE(TRIM(C1161),".",""),"-","")," ","")))-1))&amp;RIGHT(UPPER(SUBSTITUTE(SUBSTITUTE(SUBSTITUTE(TRIM(C1161),".",""),"-","")," ","")),1),UPPER(SUBSTITUTE(SUBSTITUTE(SUBSTITUTE(TRIM(C1161),".",""),"-","")," ",""))))</f>
        <v/>
      </c>
    </row>
    <row r="1162" customFormat="false" ht="15" hidden="false" customHeight="false" outlineLevel="0" collapsed="false">
      <c r="B1162" s="80"/>
      <c r="C1162" s="58"/>
      <c r="D1162" s="62" t="str">
        <f aca="false">IF(C1162="","",IFERROR(INDEX(T_NOMBRE,MATCH(V1162,T_RUTN,0)),"⚠ RUT no está en Trabajadores"))</f>
        <v/>
      </c>
      <c r="E1162" s="61"/>
      <c r="F1162" s="61"/>
      <c r="G1162" s="61"/>
      <c r="H1162" s="61"/>
      <c r="I1162" s="81"/>
      <c r="J1162" s="81"/>
      <c r="K1162" s="60"/>
      <c r="L1162" s="60"/>
      <c r="M1162" s="60"/>
      <c r="N1162" s="60"/>
      <c r="O1162" s="60"/>
      <c r="P1162" s="60"/>
      <c r="Q1162" s="60"/>
      <c r="R1162" s="58"/>
      <c r="S1162" s="62" t="str">
        <f aca="false">IF(OR(B1162="",V1162=""),"",IFERROR(INDEX(C_TIPO,MATCH(V1162&amp;"-P"&amp;MAX(1,COUNTIFS(C_RUTN,V1162,C_DEF,"Sí",C_INI,"&lt;="&amp;EOMONTH(B1162,0))),C_CLAVE,0))&amp;"","Sin contrato"))</f>
        <v/>
      </c>
      <c r="T1162" s="63" t="str">
        <f aca="false">IF(OR(B1162="",N(O1162)=0),"",N(O1162)+ROUND(MIN(N(N1162),TOPE_UF*UF_MES)*(TASA_EMP+MUTUAL),0)+ROUND(MIN(N(N1162),TOPE_AFC_UF*UF_MES)*IF(S1162="Indefinido",AFC_INDEF,AFC_PF),0))</f>
        <v/>
      </c>
      <c r="U1162" s="62" t="str">
        <f aca="false">IF(C1162="","",IF(LEFT(D1162,1)="⚠","⚠ RUT no registrado en Trabajadores",IF(B1162="","⚠ Falta el mes",IF(OR(ISTEXT(I1162),ISTEXT(J1162)),"⚠ Atrasos u horas extra como texto: escriba hh:mm (ej. 1:30)",IF(AND(ISNUMBER(Q1162),COUNTIFS(M_RUTN,V1162,M_MES,B1162,M_LIQ,"&lt;&gt;")&gt;1),"⚠ Liquidación repetida en el mes",IF(AND(ISNUMBER(O1162),ISNUMBER(P1162),ISNUMBER(Q1162),ABS(O1162-P1162-Q1162)&gt;1),"⚠ Haberes − descuentos no da el líquido","OK"))))))</f>
        <v/>
      </c>
      <c r="V1162" s="62" t="str">
        <f aca="false">IF(C1162="","",IFERROR(VALUE(LEFT(UPPER(SUBSTITUTE(SUBSTITUTE(SUBSTITUTE(TRIM(C1162),".",""),"-","")," ","")),LEN(UPPER(SUBSTITUTE(SUBSTITUTE(SUBSTITUTE(TRIM(C1162),".",""),"-","")," ","")))-1))&amp;RIGHT(UPPER(SUBSTITUTE(SUBSTITUTE(SUBSTITUTE(TRIM(C1162),".",""),"-","")," ","")),1),UPPER(SUBSTITUTE(SUBSTITUTE(SUBSTITUTE(TRIM(C1162),".",""),"-","")," ",""))))</f>
        <v/>
      </c>
    </row>
    <row r="1163" customFormat="false" ht="15" hidden="false" customHeight="false" outlineLevel="0" collapsed="false">
      <c r="B1163" s="80"/>
      <c r="C1163" s="58"/>
      <c r="D1163" s="62" t="str">
        <f aca="false">IF(C1163="","",IFERROR(INDEX(T_NOMBRE,MATCH(V1163,T_RUTN,0)),"⚠ RUT no está en Trabajadores"))</f>
        <v/>
      </c>
      <c r="E1163" s="61"/>
      <c r="F1163" s="61"/>
      <c r="G1163" s="61"/>
      <c r="H1163" s="61"/>
      <c r="I1163" s="81"/>
      <c r="J1163" s="81"/>
      <c r="K1163" s="60"/>
      <c r="L1163" s="60"/>
      <c r="M1163" s="60"/>
      <c r="N1163" s="60"/>
      <c r="O1163" s="60"/>
      <c r="P1163" s="60"/>
      <c r="Q1163" s="60"/>
      <c r="R1163" s="58"/>
      <c r="S1163" s="62" t="str">
        <f aca="false">IF(OR(B1163="",V1163=""),"",IFERROR(INDEX(C_TIPO,MATCH(V1163&amp;"-P"&amp;MAX(1,COUNTIFS(C_RUTN,V1163,C_DEF,"Sí",C_INI,"&lt;="&amp;EOMONTH(B1163,0))),C_CLAVE,0))&amp;"","Sin contrato"))</f>
        <v/>
      </c>
      <c r="T1163" s="63" t="str">
        <f aca="false">IF(OR(B1163="",N(O1163)=0),"",N(O1163)+ROUND(MIN(N(N1163),TOPE_UF*UF_MES)*(TASA_EMP+MUTUAL),0)+ROUND(MIN(N(N1163),TOPE_AFC_UF*UF_MES)*IF(S1163="Indefinido",AFC_INDEF,AFC_PF),0))</f>
        <v/>
      </c>
      <c r="U1163" s="62" t="str">
        <f aca="false">IF(C1163="","",IF(LEFT(D1163,1)="⚠","⚠ RUT no registrado en Trabajadores",IF(B1163="","⚠ Falta el mes",IF(OR(ISTEXT(I1163),ISTEXT(J1163)),"⚠ Atrasos u horas extra como texto: escriba hh:mm (ej. 1:30)",IF(AND(ISNUMBER(Q1163),COUNTIFS(M_RUTN,V1163,M_MES,B1163,M_LIQ,"&lt;&gt;")&gt;1),"⚠ Liquidación repetida en el mes",IF(AND(ISNUMBER(O1163),ISNUMBER(P1163),ISNUMBER(Q1163),ABS(O1163-P1163-Q1163)&gt;1),"⚠ Haberes − descuentos no da el líquido","OK"))))))</f>
        <v/>
      </c>
      <c r="V1163" s="62" t="str">
        <f aca="false">IF(C1163="","",IFERROR(VALUE(LEFT(UPPER(SUBSTITUTE(SUBSTITUTE(SUBSTITUTE(TRIM(C1163),".",""),"-","")," ","")),LEN(UPPER(SUBSTITUTE(SUBSTITUTE(SUBSTITUTE(TRIM(C1163),".",""),"-","")," ","")))-1))&amp;RIGHT(UPPER(SUBSTITUTE(SUBSTITUTE(SUBSTITUTE(TRIM(C1163),".",""),"-","")," ","")),1),UPPER(SUBSTITUTE(SUBSTITUTE(SUBSTITUTE(TRIM(C1163),".",""),"-","")," ",""))))</f>
        <v/>
      </c>
    </row>
    <row r="1164" customFormat="false" ht="15" hidden="false" customHeight="false" outlineLevel="0" collapsed="false">
      <c r="B1164" s="80"/>
      <c r="C1164" s="58"/>
      <c r="D1164" s="62" t="str">
        <f aca="false">IF(C1164="","",IFERROR(INDEX(T_NOMBRE,MATCH(V1164,T_RUTN,0)),"⚠ RUT no está en Trabajadores"))</f>
        <v/>
      </c>
      <c r="E1164" s="61"/>
      <c r="F1164" s="61"/>
      <c r="G1164" s="61"/>
      <c r="H1164" s="61"/>
      <c r="I1164" s="81"/>
      <c r="J1164" s="81"/>
      <c r="K1164" s="60"/>
      <c r="L1164" s="60"/>
      <c r="M1164" s="60"/>
      <c r="N1164" s="60"/>
      <c r="O1164" s="60"/>
      <c r="P1164" s="60"/>
      <c r="Q1164" s="60"/>
      <c r="R1164" s="58"/>
      <c r="S1164" s="62" t="str">
        <f aca="false">IF(OR(B1164="",V1164=""),"",IFERROR(INDEX(C_TIPO,MATCH(V1164&amp;"-P"&amp;MAX(1,COUNTIFS(C_RUTN,V1164,C_DEF,"Sí",C_INI,"&lt;="&amp;EOMONTH(B1164,0))),C_CLAVE,0))&amp;"","Sin contrato"))</f>
        <v/>
      </c>
      <c r="T1164" s="63" t="str">
        <f aca="false">IF(OR(B1164="",N(O1164)=0),"",N(O1164)+ROUND(MIN(N(N1164),TOPE_UF*UF_MES)*(TASA_EMP+MUTUAL),0)+ROUND(MIN(N(N1164),TOPE_AFC_UF*UF_MES)*IF(S1164="Indefinido",AFC_INDEF,AFC_PF),0))</f>
        <v/>
      </c>
      <c r="U1164" s="62" t="str">
        <f aca="false">IF(C1164="","",IF(LEFT(D1164,1)="⚠","⚠ RUT no registrado en Trabajadores",IF(B1164="","⚠ Falta el mes",IF(OR(ISTEXT(I1164),ISTEXT(J1164)),"⚠ Atrasos u horas extra como texto: escriba hh:mm (ej. 1:30)",IF(AND(ISNUMBER(Q1164),COUNTIFS(M_RUTN,V1164,M_MES,B1164,M_LIQ,"&lt;&gt;")&gt;1),"⚠ Liquidación repetida en el mes",IF(AND(ISNUMBER(O1164),ISNUMBER(P1164),ISNUMBER(Q1164),ABS(O1164-P1164-Q1164)&gt;1),"⚠ Haberes − descuentos no da el líquido","OK"))))))</f>
        <v/>
      </c>
      <c r="V1164" s="62" t="str">
        <f aca="false">IF(C1164="","",IFERROR(VALUE(LEFT(UPPER(SUBSTITUTE(SUBSTITUTE(SUBSTITUTE(TRIM(C1164),".",""),"-","")," ","")),LEN(UPPER(SUBSTITUTE(SUBSTITUTE(SUBSTITUTE(TRIM(C1164),".",""),"-","")," ","")))-1))&amp;RIGHT(UPPER(SUBSTITUTE(SUBSTITUTE(SUBSTITUTE(TRIM(C1164),".",""),"-","")," ","")),1),UPPER(SUBSTITUTE(SUBSTITUTE(SUBSTITUTE(TRIM(C1164),".",""),"-","")," ",""))))</f>
        <v/>
      </c>
    </row>
    <row r="1165" customFormat="false" ht="15" hidden="false" customHeight="false" outlineLevel="0" collapsed="false">
      <c r="B1165" s="80"/>
      <c r="C1165" s="58"/>
      <c r="D1165" s="62" t="str">
        <f aca="false">IF(C1165="","",IFERROR(INDEX(T_NOMBRE,MATCH(V1165,T_RUTN,0)),"⚠ RUT no está en Trabajadores"))</f>
        <v/>
      </c>
      <c r="E1165" s="61"/>
      <c r="F1165" s="61"/>
      <c r="G1165" s="61"/>
      <c r="H1165" s="61"/>
      <c r="I1165" s="81"/>
      <c r="J1165" s="81"/>
      <c r="K1165" s="60"/>
      <c r="L1165" s="60"/>
      <c r="M1165" s="60"/>
      <c r="N1165" s="60"/>
      <c r="O1165" s="60"/>
      <c r="P1165" s="60"/>
      <c r="Q1165" s="60"/>
      <c r="R1165" s="58"/>
      <c r="S1165" s="62" t="str">
        <f aca="false">IF(OR(B1165="",V1165=""),"",IFERROR(INDEX(C_TIPO,MATCH(V1165&amp;"-P"&amp;MAX(1,COUNTIFS(C_RUTN,V1165,C_DEF,"Sí",C_INI,"&lt;="&amp;EOMONTH(B1165,0))),C_CLAVE,0))&amp;"","Sin contrato"))</f>
        <v/>
      </c>
      <c r="T1165" s="63" t="str">
        <f aca="false">IF(OR(B1165="",N(O1165)=0),"",N(O1165)+ROUND(MIN(N(N1165),TOPE_UF*UF_MES)*(TASA_EMP+MUTUAL),0)+ROUND(MIN(N(N1165),TOPE_AFC_UF*UF_MES)*IF(S1165="Indefinido",AFC_INDEF,AFC_PF),0))</f>
        <v/>
      </c>
      <c r="U1165" s="62" t="str">
        <f aca="false">IF(C1165="","",IF(LEFT(D1165,1)="⚠","⚠ RUT no registrado en Trabajadores",IF(B1165="","⚠ Falta el mes",IF(OR(ISTEXT(I1165),ISTEXT(J1165)),"⚠ Atrasos u horas extra como texto: escriba hh:mm (ej. 1:30)",IF(AND(ISNUMBER(Q1165),COUNTIFS(M_RUTN,V1165,M_MES,B1165,M_LIQ,"&lt;&gt;")&gt;1),"⚠ Liquidación repetida en el mes",IF(AND(ISNUMBER(O1165),ISNUMBER(P1165),ISNUMBER(Q1165),ABS(O1165-P1165-Q1165)&gt;1),"⚠ Haberes − descuentos no da el líquido","OK"))))))</f>
        <v/>
      </c>
      <c r="V1165" s="62" t="str">
        <f aca="false">IF(C1165="","",IFERROR(VALUE(LEFT(UPPER(SUBSTITUTE(SUBSTITUTE(SUBSTITUTE(TRIM(C1165),".",""),"-","")," ","")),LEN(UPPER(SUBSTITUTE(SUBSTITUTE(SUBSTITUTE(TRIM(C1165),".",""),"-","")," ","")))-1))&amp;RIGHT(UPPER(SUBSTITUTE(SUBSTITUTE(SUBSTITUTE(TRIM(C1165),".",""),"-","")," ","")),1),UPPER(SUBSTITUTE(SUBSTITUTE(SUBSTITUTE(TRIM(C1165),".",""),"-","")," ",""))))</f>
        <v/>
      </c>
    </row>
    <row r="1166" customFormat="false" ht="15" hidden="false" customHeight="false" outlineLevel="0" collapsed="false">
      <c r="B1166" s="80"/>
      <c r="C1166" s="58"/>
      <c r="D1166" s="62" t="str">
        <f aca="false">IF(C1166="","",IFERROR(INDEX(T_NOMBRE,MATCH(V1166,T_RUTN,0)),"⚠ RUT no está en Trabajadores"))</f>
        <v/>
      </c>
      <c r="E1166" s="61"/>
      <c r="F1166" s="61"/>
      <c r="G1166" s="61"/>
      <c r="H1166" s="61"/>
      <c r="I1166" s="81"/>
      <c r="J1166" s="81"/>
      <c r="K1166" s="60"/>
      <c r="L1166" s="60"/>
      <c r="M1166" s="60"/>
      <c r="N1166" s="60"/>
      <c r="O1166" s="60"/>
      <c r="P1166" s="60"/>
      <c r="Q1166" s="60"/>
      <c r="R1166" s="58"/>
      <c r="S1166" s="62" t="str">
        <f aca="false">IF(OR(B1166="",V1166=""),"",IFERROR(INDEX(C_TIPO,MATCH(V1166&amp;"-P"&amp;MAX(1,COUNTIFS(C_RUTN,V1166,C_DEF,"Sí",C_INI,"&lt;="&amp;EOMONTH(B1166,0))),C_CLAVE,0))&amp;"","Sin contrato"))</f>
        <v/>
      </c>
      <c r="T1166" s="63" t="str">
        <f aca="false">IF(OR(B1166="",N(O1166)=0),"",N(O1166)+ROUND(MIN(N(N1166),TOPE_UF*UF_MES)*(TASA_EMP+MUTUAL),0)+ROUND(MIN(N(N1166),TOPE_AFC_UF*UF_MES)*IF(S1166="Indefinido",AFC_INDEF,AFC_PF),0))</f>
        <v/>
      </c>
      <c r="U1166" s="62" t="str">
        <f aca="false">IF(C1166="","",IF(LEFT(D1166,1)="⚠","⚠ RUT no registrado en Trabajadores",IF(B1166="","⚠ Falta el mes",IF(OR(ISTEXT(I1166),ISTEXT(J1166)),"⚠ Atrasos u horas extra como texto: escriba hh:mm (ej. 1:30)",IF(AND(ISNUMBER(Q1166),COUNTIFS(M_RUTN,V1166,M_MES,B1166,M_LIQ,"&lt;&gt;")&gt;1),"⚠ Liquidación repetida en el mes",IF(AND(ISNUMBER(O1166),ISNUMBER(P1166),ISNUMBER(Q1166),ABS(O1166-P1166-Q1166)&gt;1),"⚠ Haberes − descuentos no da el líquido","OK"))))))</f>
        <v/>
      </c>
      <c r="V1166" s="62" t="str">
        <f aca="false">IF(C1166="","",IFERROR(VALUE(LEFT(UPPER(SUBSTITUTE(SUBSTITUTE(SUBSTITUTE(TRIM(C1166),".",""),"-","")," ","")),LEN(UPPER(SUBSTITUTE(SUBSTITUTE(SUBSTITUTE(TRIM(C1166),".",""),"-","")," ","")))-1))&amp;RIGHT(UPPER(SUBSTITUTE(SUBSTITUTE(SUBSTITUTE(TRIM(C1166),".",""),"-","")," ","")),1),UPPER(SUBSTITUTE(SUBSTITUTE(SUBSTITUTE(TRIM(C1166),".",""),"-","")," ",""))))</f>
        <v/>
      </c>
    </row>
    <row r="1167" customFormat="false" ht="15" hidden="false" customHeight="false" outlineLevel="0" collapsed="false">
      <c r="B1167" s="80"/>
      <c r="C1167" s="58"/>
      <c r="D1167" s="62" t="str">
        <f aca="false">IF(C1167="","",IFERROR(INDEX(T_NOMBRE,MATCH(V1167,T_RUTN,0)),"⚠ RUT no está en Trabajadores"))</f>
        <v/>
      </c>
      <c r="E1167" s="61"/>
      <c r="F1167" s="61"/>
      <c r="G1167" s="61"/>
      <c r="H1167" s="61"/>
      <c r="I1167" s="81"/>
      <c r="J1167" s="81"/>
      <c r="K1167" s="60"/>
      <c r="L1167" s="60"/>
      <c r="M1167" s="60"/>
      <c r="N1167" s="60"/>
      <c r="O1167" s="60"/>
      <c r="P1167" s="60"/>
      <c r="Q1167" s="60"/>
      <c r="R1167" s="58"/>
      <c r="S1167" s="62" t="str">
        <f aca="false">IF(OR(B1167="",V1167=""),"",IFERROR(INDEX(C_TIPO,MATCH(V1167&amp;"-P"&amp;MAX(1,COUNTIFS(C_RUTN,V1167,C_DEF,"Sí",C_INI,"&lt;="&amp;EOMONTH(B1167,0))),C_CLAVE,0))&amp;"","Sin contrato"))</f>
        <v/>
      </c>
      <c r="T1167" s="63" t="str">
        <f aca="false">IF(OR(B1167="",N(O1167)=0),"",N(O1167)+ROUND(MIN(N(N1167),TOPE_UF*UF_MES)*(TASA_EMP+MUTUAL),0)+ROUND(MIN(N(N1167),TOPE_AFC_UF*UF_MES)*IF(S1167="Indefinido",AFC_INDEF,AFC_PF),0))</f>
        <v/>
      </c>
      <c r="U1167" s="62" t="str">
        <f aca="false">IF(C1167="","",IF(LEFT(D1167,1)="⚠","⚠ RUT no registrado en Trabajadores",IF(B1167="","⚠ Falta el mes",IF(OR(ISTEXT(I1167),ISTEXT(J1167)),"⚠ Atrasos u horas extra como texto: escriba hh:mm (ej. 1:30)",IF(AND(ISNUMBER(Q1167),COUNTIFS(M_RUTN,V1167,M_MES,B1167,M_LIQ,"&lt;&gt;")&gt;1),"⚠ Liquidación repetida en el mes",IF(AND(ISNUMBER(O1167),ISNUMBER(P1167),ISNUMBER(Q1167),ABS(O1167-P1167-Q1167)&gt;1),"⚠ Haberes − descuentos no da el líquido","OK"))))))</f>
        <v/>
      </c>
      <c r="V1167" s="62" t="str">
        <f aca="false">IF(C1167="","",IFERROR(VALUE(LEFT(UPPER(SUBSTITUTE(SUBSTITUTE(SUBSTITUTE(TRIM(C1167),".",""),"-","")," ","")),LEN(UPPER(SUBSTITUTE(SUBSTITUTE(SUBSTITUTE(TRIM(C1167),".",""),"-","")," ","")))-1))&amp;RIGHT(UPPER(SUBSTITUTE(SUBSTITUTE(SUBSTITUTE(TRIM(C1167),".",""),"-","")," ","")),1),UPPER(SUBSTITUTE(SUBSTITUTE(SUBSTITUTE(TRIM(C1167),".",""),"-","")," ",""))))</f>
        <v/>
      </c>
    </row>
    <row r="1168" customFormat="false" ht="15" hidden="false" customHeight="false" outlineLevel="0" collapsed="false">
      <c r="B1168" s="80"/>
      <c r="C1168" s="58"/>
      <c r="D1168" s="62" t="str">
        <f aca="false">IF(C1168="","",IFERROR(INDEX(T_NOMBRE,MATCH(V1168,T_RUTN,0)),"⚠ RUT no está en Trabajadores"))</f>
        <v/>
      </c>
      <c r="E1168" s="61"/>
      <c r="F1168" s="61"/>
      <c r="G1168" s="61"/>
      <c r="H1168" s="61"/>
      <c r="I1168" s="81"/>
      <c r="J1168" s="81"/>
      <c r="K1168" s="60"/>
      <c r="L1168" s="60"/>
      <c r="M1168" s="60"/>
      <c r="N1168" s="60"/>
      <c r="O1168" s="60"/>
      <c r="P1168" s="60"/>
      <c r="Q1168" s="60"/>
      <c r="R1168" s="58"/>
      <c r="S1168" s="62" t="str">
        <f aca="false">IF(OR(B1168="",V1168=""),"",IFERROR(INDEX(C_TIPO,MATCH(V1168&amp;"-P"&amp;MAX(1,COUNTIFS(C_RUTN,V1168,C_DEF,"Sí",C_INI,"&lt;="&amp;EOMONTH(B1168,0))),C_CLAVE,0))&amp;"","Sin contrato"))</f>
        <v/>
      </c>
      <c r="T1168" s="63" t="str">
        <f aca="false">IF(OR(B1168="",N(O1168)=0),"",N(O1168)+ROUND(MIN(N(N1168),TOPE_UF*UF_MES)*(TASA_EMP+MUTUAL),0)+ROUND(MIN(N(N1168),TOPE_AFC_UF*UF_MES)*IF(S1168="Indefinido",AFC_INDEF,AFC_PF),0))</f>
        <v/>
      </c>
      <c r="U1168" s="62" t="str">
        <f aca="false">IF(C1168="","",IF(LEFT(D1168,1)="⚠","⚠ RUT no registrado en Trabajadores",IF(B1168="","⚠ Falta el mes",IF(OR(ISTEXT(I1168),ISTEXT(J1168)),"⚠ Atrasos u horas extra como texto: escriba hh:mm (ej. 1:30)",IF(AND(ISNUMBER(Q1168),COUNTIFS(M_RUTN,V1168,M_MES,B1168,M_LIQ,"&lt;&gt;")&gt;1),"⚠ Liquidación repetida en el mes",IF(AND(ISNUMBER(O1168),ISNUMBER(P1168),ISNUMBER(Q1168),ABS(O1168-P1168-Q1168)&gt;1),"⚠ Haberes − descuentos no da el líquido","OK"))))))</f>
        <v/>
      </c>
      <c r="V1168" s="62" t="str">
        <f aca="false">IF(C1168="","",IFERROR(VALUE(LEFT(UPPER(SUBSTITUTE(SUBSTITUTE(SUBSTITUTE(TRIM(C1168),".",""),"-","")," ","")),LEN(UPPER(SUBSTITUTE(SUBSTITUTE(SUBSTITUTE(TRIM(C1168),".",""),"-","")," ","")))-1))&amp;RIGHT(UPPER(SUBSTITUTE(SUBSTITUTE(SUBSTITUTE(TRIM(C1168),".",""),"-","")," ","")),1),UPPER(SUBSTITUTE(SUBSTITUTE(SUBSTITUTE(TRIM(C1168),".",""),"-","")," ",""))))</f>
        <v/>
      </c>
    </row>
    <row r="1169" customFormat="false" ht="15" hidden="false" customHeight="false" outlineLevel="0" collapsed="false">
      <c r="B1169" s="80"/>
      <c r="C1169" s="58"/>
      <c r="D1169" s="62" t="str">
        <f aca="false">IF(C1169="","",IFERROR(INDEX(T_NOMBRE,MATCH(V1169,T_RUTN,0)),"⚠ RUT no está en Trabajadores"))</f>
        <v/>
      </c>
      <c r="E1169" s="61"/>
      <c r="F1169" s="61"/>
      <c r="G1169" s="61"/>
      <c r="H1169" s="61"/>
      <c r="I1169" s="81"/>
      <c r="J1169" s="81"/>
      <c r="K1169" s="60"/>
      <c r="L1169" s="60"/>
      <c r="M1169" s="60"/>
      <c r="N1169" s="60"/>
      <c r="O1169" s="60"/>
      <c r="P1169" s="60"/>
      <c r="Q1169" s="60"/>
      <c r="R1169" s="58"/>
      <c r="S1169" s="62" t="str">
        <f aca="false">IF(OR(B1169="",V1169=""),"",IFERROR(INDEX(C_TIPO,MATCH(V1169&amp;"-P"&amp;MAX(1,COUNTIFS(C_RUTN,V1169,C_DEF,"Sí",C_INI,"&lt;="&amp;EOMONTH(B1169,0))),C_CLAVE,0))&amp;"","Sin contrato"))</f>
        <v/>
      </c>
      <c r="T1169" s="63" t="str">
        <f aca="false">IF(OR(B1169="",N(O1169)=0),"",N(O1169)+ROUND(MIN(N(N1169),TOPE_UF*UF_MES)*(TASA_EMP+MUTUAL),0)+ROUND(MIN(N(N1169),TOPE_AFC_UF*UF_MES)*IF(S1169="Indefinido",AFC_INDEF,AFC_PF),0))</f>
        <v/>
      </c>
      <c r="U1169" s="62" t="str">
        <f aca="false">IF(C1169="","",IF(LEFT(D1169,1)="⚠","⚠ RUT no registrado en Trabajadores",IF(B1169="","⚠ Falta el mes",IF(OR(ISTEXT(I1169),ISTEXT(J1169)),"⚠ Atrasos u horas extra como texto: escriba hh:mm (ej. 1:30)",IF(AND(ISNUMBER(Q1169),COUNTIFS(M_RUTN,V1169,M_MES,B1169,M_LIQ,"&lt;&gt;")&gt;1),"⚠ Liquidación repetida en el mes",IF(AND(ISNUMBER(O1169),ISNUMBER(P1169),ISNUMBER(Q1169),ABS(O1169-P1169-Q1169)&gt;1),"⚠ Haberes − descuentos no da el líquido","OK"))))))</f>
        <v/>
      </c>
      <c r="V1169" s="62" t="str">
        <f aca="false">IF(C1169="","",IFERROR(VALUE(LEFT(UPPER(SUBSTITUTE(SUBSTITUTE(SUBSTITUTE(TRIM(C1169),".",""),"-","")," ","")),LEN(UPPER(SUBSTITUTE(SUBSTITUTE(SUBSTITUTE(TRIM(C1169),".",""),"-","")," ","")))-1))&amp;RIGHT(UPPER(SUBSTITUTE(SUBSTITUTE(SUBSTITUTE(TRIM(C1169),".",""),"-","")," ","")),1),UPPER(SUBSTITUTE(SUBSTITUTE(SUBSTITUTE(TRIM(C1169),".",""),"-","")," ",""))))</f>
        <v/>
      </c>
    </row>
    <row r="1170" customFormat="false" ht="15" hidden="false" customHeight="false" outlineLevel="0" collapsed="false">
      <c r="B1170" s="80"/>
      <c r="C1170" s="58"/>
      <c r="D1170" s="62" t="str">
        <f aca="false">IF(C1170="","",IFERROR(INDEX(T_NOMBRE,MATCH(V1170,T_RUTN,0)),"⚠ RUT no está en Trabajadores"))</f>
        <v/>
      </c>
      <c r="E1170" s="61"/>
      <c r="F1170" s="61"/>
      <c r="G1170" s="61"/>
      <c r="H1170" s="61"/>
      <c r="I1170" s="81"/>
      <c r="J1170" s="81"/>
      <c r="K1170" s="60"/>
      <c r="L1170" s="60"/>
      <c r="M1170" s="60"/>
      <c r="N1170" s="60"/>
      <c r="O1170" s="60"/>
      <c r="P1170" s="60"/>
      <c r="Q1170" s="60"/>
      <c r="R1170" s="58"/>
      <c r="S1170" s="62" t="str">
        <f aca="false">IF(OR(B1170="",V1170=""),"",IFERROR(INDEX(C_TIPO,MATCH(V1170&amp;"-P"&amp;MAX(1,COUNTIFS(C_RUTN,V1170,C_DEF,"Sí",C_INI,"&lt;="&amp;EOMONTH(B1170,0))),C_CLAVE,0))&amp;"","Sin contrato"))</f>
        <v/>
      </c>
      <c r="T1170" s="63" t="str">
        <f aca="false">IF(OR(B1170="",N(O1170)=0),"",N(O1170)+ROUND(MIN(N(N1170),TOPE_UF*UF_MES)*(TASA_EMP+MUTUAL),0)+ROUND(MIN(N(N1170),TOPE_AFC_UF*UF_MES)*IF(S1170="Indefinido",AFC_INDEF,AFC_PF),0))</f>
        <v/>
      </c>
      <c r="U1170" s="62" t="str">
        <f aca="false">IF(C1170="","",IF(LEFT(D1170,1)="⚠","⚠ RUT no registrado en Trabajadores",IF(B1170="","⚠ Falta el mes",IF(OR(ISTEXT(I1170),ISTEXT(J1170)),"⚠ Atrasos u horas extra como texto: escriba hh:mm (ej. 1:30)",IF(AND(ISNUMBER(Q1170),COUNTIFS(M_RUTN,V1170,M_MES,B1170,M_LIQ,"&lt;&gt;")&gt;1),"⚠ Liquidación repetida en el mes",IF(AND(ISNUMBER(O1170),ISNUMBER(P1170),ISNUMBER(Q1170),ABS(O1170-P1170-Q1170)&gt;1),"⚠ Haberes − descuentos no da el líquido","OK"))))))</f>
        <v/>
      </c>
      <c r="V1170" s="62" t="str">
        <f aca="false">IF(C1170="","",IFERROR(VALUE(LEFT(UPPER(SUBSTITUTE(SUBSTITUTE(SUBSTITUTE(TRIM(C1170),".",""),"-","")," ","")),LEN(UPPER(SUBSTITUTE(SUBSTITUTE(SUBSTITUTE(TRIM(C1170),".",""),"-","")," ","")))-1))&amp;RIGHT(UPPER(SUBSTITUTE(SUBSTITUTE(SUBSTITUTE(TRIM(C1170),".",""),"-","")," ","")),1),UPPER(SUBSTITUTE(SUBSTITUTE(SUBSTITUTE(TRIM(C1170),".",""),"-","")," ",""))))</f>
        <v/>
      </c>
    </row>
    <row r="1171" customFormat="false" ht="15" hidden="false" customHeight="false" outlineLevel="0" collapsed="false">
      <c r="B1171" s="80"/>
      <c r="C1171" s="58"/>
      <c r="D1171" s="62" t="str">
        <f aca="false">IF(C1171="","",IFERROR(INDEX(T_NOMBRE,MATCH(V1171,T_RUTN,0)),"⚠ RUT no está en Trabajadores"))</f>
        <v/>
      </c>
      <c r="E1171" s="61"/>
      <c r="F1171" s="61"/>
      <c r="G1171" s="61"/>
      <c r="H1171" s="61"/>
      <c r="I1171" s="81"/>
      <c r="J1171" s="81"/>
      <c r="K1171" s="60"/>
      <c r="L1171" s="60"/>
      <c r="M1171" s="60"/>
      <c r="N1171" s="60"/>
      <c r="O1171" s="60"/>
      <c r="P1171" s="60"/>
      <c r="Q1171" s="60"/>
      <c r="R1171" s="58"/>
      <c r="S1171" s="62" t="str">
        <f aca="false">IF(OR(B1171="",V1171=""),"",IFERROR(INDEX(C_TIPO,MATCH(V1171&amp;"-P"&amp;MAX(1,COUNTIFS(C_RUTN,V1171,C_DEF,"Sí",C_INI,"&lt;="&amp;EOMONTH(B1171,0))),C_CLAVE,0))&amp;"","Sin contrato"))</f>
        <v/>
      </c>
      <c r="T1171" s="63" t="str">
        <f aca="false">IF(OR(B1171="",N(O1171)=0),"",N(O1171)+ROUND(MIN(N(N1171),TOPE_UF*UF_MES)*(TASA_EMP+MUTUAL),0)+ROUND(MIN(N(N1171),TOPE_AFC_UF*UF_MES)*IF(S1171="Indefinido",AFC_INDEF,AFC_PF),0))</f>
        <v/>
      </c>
      <c r="U1171" s="62" t="str">
        <f aca="false">IF(C1171="","",IF(LEFT(D1171,1)="⚠","⚠ RUT no registrado en Trabajadores",IF(B1171="","⚠ Falta el mes",IF(OR(ISTEXT(I1171),ISTEXT(J1171)),"⚠ Atrasos u horas extra como texto: escriba hh:mm (ej. 1:30)",IF(AND(ISNUMBER(Q1171),COUNTIFS(M_RUTN,V1171,M_MES,B1171,M_LIQ,"&lt;&gt;")&gt;1),"⚠ Liquidación repetida en el mes",IF(AND(ISNUMBER(O1171),ISNUMBER(P1171),ISNUMBER(Q1171),ABS(O1171-P1171-Q1171)&gt;1),"⚠ Haberes − descuentos no da el líquido","OK"))))))</f>
        <v/>
      </c>
      <c r="V1171" s="62" t="str">
        <f aca="false">IF(C1171="","",IFERROR(VALUE(LEFT(UPPER(SUBSTITUTE(SUBSTITUTE(SUBSTITUTE(TRIM(C1171),".",""),"-","")," ","")),LEN(UPPER(SUBSTITUTE(SUBSTITUTE(SUBSTITUTE(TRIM(C1171),".",""),"-","")," ","")))-1))&amp;RIGHT(UPPER(SUBSTITUTE(SUBSTITUTE(SUBSTITUTE(TRIM(C1171),".",""),"-","")," ","")),1),UPPER(SUBSTITUTE(SUBSTITUTE(SUBSTITUTE(TRIM(C1171),".",""),"-","")," ",""))))</f>
        <v/>
      </c>
    </row>
    <row r="1172" customFormat="false" ht="15" hidden="false" customHeight="false" outlineLevel="0" collapsed="false">
      <c r="B1172" s="80"/>
      <c r="C1172" s="58"/>
      <c r="D1172" s="62" t="str">
        <f aca="false">IF(C1172="","",IFERROR(INDEX(T_NOMBRE,MATCH(V1172,T_RUTN,0)),"⚠ RUT no está en Trabajadores"))</f>
        <v/>
      </c>
      <c r="E1172" s="61"/>
      <c r="F1172" s="61"/>
      <c r="G1172" s="61"/>
      <c r="H1172" s="61"/>
      <c r="I1172" s="81"/>
      <c r="J1172" s="81"/>
      <c r="K1172" s="60"/>
      <c r="L1172" s="60"/>
      <c r="M1172" s="60"/>
      <c r="N1172" s="60"/>
      <c r="O1172" s="60"/>
      <c r="P1172" s="60"/>
      <c r="Q1172" s="60"/>
      <c r="R1172" s="58"/>
      <c r="S1172" s="62" t="str">
        <f aca="false">IF(OR(B1172="",V1172=""),"",IFERROR(INDEX(C_TIPO,MATCH(V1172&amp;"-P"&amp;MAX(1,COUNTIFS(C_RUTN,V1172,C_DEF,"Sí",C_INI,"&lt;="&amp;EOMONTH(B1172,0))),C_CLAVE,0))&amp;"","Sin contrato"))</f>
        <v/>
      </c>
      <c r="T1172" s="63" t="str">
        <f aca="false">IF(OR(B1172="",N(O1172)=0),"",N(O1172)+ROUND(MIN(N(N1172),TOPE_UF*UF_MES)*(TASA_EMP+MUTUAL),0)+ROUND(MIN(N(N1172),TOPE_AFC_UF*UF_MES)*IF(S1172="Indefinido",AFC_INDEF,AFC_PF),0))</f>
        <v/>
      </c>
      <c r="U1172" s="62" t="str">
        <f aca="false">IF(C1172="","",IF(LEFT(D1172,1)="⚠","⚠ RUT no registrado en Trabajadores",IF(B1172="","⚠ Falta el mes",IF(OR(ISTEXT(I1172),ISTEXT(J1172)),"⚠ Atrasos u horas extra como texto: escriba hh:mm (ej. 1:30)",IF(AND(ISNUMBER(Q1172),COUNTIFS(M_RUTN,V1172,M_MES,B1172,M_LIQ,"&lt;&gt;")&gt;1),"⚠ Liquidación repetida en el mes",IF(AND(ISNUMBER(O1172),ISNUMBER(P1172),ISNUMBER(Q1172),ABS(O1172-P1172-Q1172)&gt;1),"⚠ Haberes − descuentos no da el líquido","OK"))))))</f>
        <v/>
      </c>
      <c r="V1172" s="62" t="str">
        <f aca="false">IF(C1172="","",IFERROR(VALUE(LEFT(UPPER(SUBSTITUTE(SUBSTITUTE(SUBSTITUTE(TRIM(C1172),".",""),"-","")," ","")),LEN(UPPER(SUBSTITUTE(SUBSTITUTE(SUBSTITUTE(TRIM(C1172),".",""),"-","")," ","")))-1))&amp;RIGHT(UPPER(SUBSTITUTE(SUBSTITUTE(SUBSTITUTE(TRIM(C1172),".",""),"-","")," ","")),1),UPPER(SUBSTITUTE(SUBSTITUTE(SUBSTITUTE(TRIM(C1172),".",""),"-","")," ",""))))</f>
        <v/>
      </c>
    </row>
    <row r="1173" customFormat="false" ht="15" hidden="false" customHeight="false" outlineLevel="0" collapsed="false">
      <c r="B1173" s="80"/>
      <c r="C1173" s="58"/>
      <c r="D1173" s="62" t="str">
        <f aca="false">IF(C1173="","",IFERROR(INDEX(T_NOMBRE,MATCH(V1173,T_RUTN,0)),"⚠ RUT no está en Trabajadores"))</f>
        <v/>
      </c>
      <c r="E1173" s="61"/>
      <c r="F1173" s="61"/>
      <c r="G1173" s="61"/>
      <c r="H1173" s="61"/>
      <c r="I1173" s="81"/>
      <c r="J1173" s="81"/>
      <c r="K1173" s="60"/>
      <c r="L1173" s="60"/>
      <c r="M1173" s="60"/>
      <c r="N1173" s="60"/>
      <c r="O1173" s="60"/>
      <c r="P1173" s="60"/>
      <c r="Q1173" s="60"/>
      <c r="R1173" s="58"/>
      <c r="S1173" s="62" t="str">
        <f aca="false">IF(OR(B1173="",V1173=""),"",IFERROR(INDEX(C_TIPO,MATCH(V1173&amp;"-P"&amp;MAX(1,COUNTIFS(C_RUTN,V1173,C_DEF,"Sí",C_INI,"&lt;="&amp;EOMONTH(B1173,0))),C_CLAVE,0))&amp;"","Sin contrato"))</f>
        <v/>
      </c>
      <c r="T1173" s="63" t="str">
        <f aca="false">IF(OR(B1173="",N(O1173)=0),"",N(O1173)+ROUND(MIN(N(N1173),TOPE_UF*UF_MES)*(TASA_EMP+MUTUAL),0)+ROUND(MIN(N(N1173),TOPE_AFC_UF*UF_MES)*IF(S1173="Indefinido",AFC_INDEF,AFC_PF),0))</f>
        <v/>
      </c>
      <c r="U1173" s="62" t="str">
        <f aca="false">IF(C1173="","",IF(LEFT(D1173,1)="⚠","⚠ RUT no registrado en Trabajadores",IF(B1173="","⚠ Falta el mes",IF(OR(ISTEXT(I1173),ISTEXT(J1173)),"⚠ Atrasos u horas extra como texto: escriba hh:mm (ej. 1:30)",IF(AND(ISNUMBER(Q1173),COUNTIFS(M_RUTN,V1173,M_MES,B1173,M_LIQ,"&lt;&gt;")&gt;1),"⚠ Liquidación repetida en el mes",IF(AND(ISNUMBER(O1173),ISNUMBER(P1173),ISNUMBER(Q1173),ABS(O1173-P1173-Q1173)&gt;1),"⚠ Haberes − descuentos no da el líquido","OK"))))))</f>
        <v/>
      </c>
      <c r="V1173" s="62" t="str">
        <f aca="false">IF(C1173="","",IFERROR(VALUE(LEFT(UPPER(SUBSTITUTE(SUBSTITUTE(SUBSTITUTE(TRIM(C1173),".",""),"-","")," ","")),LEN(UPPER(SUBSTITUTE(SUBSTITUTE(SUBSTITUTE(TRIM(C1173),".",""),"-","")," ","")))-1))&amp;RIGHT(UPPER(SUBSTITUTE(SUBSTITUTE(SUBSTITUTE(TRIM(C1173),".",""),"-","")," ","")),1),UPPER(SUBSTITUTE(SUBSTITUTE(SUBSTITUTE(TRIM(C1173),".",""),"-","")," ",""))))</f>
        <v/>
      </c>
    </row>
    <row r="1174" customFormat="false" ht="15" hidden="false" customHeight="false" outlineLevel="0" collapsed="false">
      <c r="B1174" s="80"/>
      <c r="C1174" s="58"/>
      <c r="D1174" s="62" t="str">
        <f aca="false">IF(C1174="","",IFERROR(INDEX(T_NOMBRE,MATCH(V1174,T_RUTN,0)),"⚠ RUT no está en Trabajadores"))</f>
        <v/>
      </c>
      <c r="E1174" s="61"/>
      <c r="F1174" s="61"/>
      <c r="G1174" s="61"/>
      <c r="H1174" s="61"/>
      <c r="I1174" s="81"/>
      <c r="J1174" s="81"/>
      <c r="K1174" s="60"/>
      <c r="L1174" s="60"/>
      <c r="M1174" s="60"/>
      <c r="N1174" s="60"/>
      <c r="O1174" s="60"/>
      <c r="P1174" s="60"/>
      <c r="Q1174" s="60"/>
      <c r="R1174" s="58"/>
      <c r="S1174" s="62" t="str">
        <f aca="false">IF(OR(B1174="",V1174=""),"",IFERROR(INDEX(C_TIPO,MATCH(V1174&amp;"-P"&amp;MAX(1,COUNTIFS(C_RUTN,V1174,C_DEF,"Sí",C_INI,"&lt;="&amp;EOMONTH(B1174,0))),C_CLAVE,0))&amp;"","Sin contrato"))</f>
        <v/>
      </c>
      <c r="T1174" s="63" t="str">
        <f aca="false">IF(OR(B1174="",N(O1174)=0),"",N(O1174)+ROUND(MIN(N(N1174),TOPE_UF*UF_MES)*(TASA_EMP+MUTUAL),0)+ROUND(MIN(N(N1174),TOPE_AFC_UF*UF_MES)*IF(S1174="Indefinido",AFC_INDEF,AFC_PF),0))</f>
        <v/>
      </c>
      <c r="U1174" s="62" t="str">
        <f aca="false">IF(C1174="","",IF(LEFT(D1174,1)="⚠","⚠ RUT no registrado en Trabajadores",IF(B1174="","⚠ Falta el mes",IF(OR(ISTEXT(I1174),ISTEXT(J1174)),"⚠ Atrasos u horas extra como texto: escriba hh:mm (ej. 1:30)",IF(AND(ISNUMBER(Q1174),COUNTIFS(M_RUTN,V1174,M_MES,B1174,M_LIQ,"&lt;&gt;")&gt;1),"⚠ Liquidación repetida en el mes",IF(AND(ISNUMBER(O1174),ISNUMBER(P1174),ISNUMBER(Q1174),ABS(O1174-P1174-Q1174)&gt;1),"⚠ Haberes − descuentos no da el líquido","OK"))))))</f>
        <v/>
      </c>
      <c r="V1174" s="62" t="str">
        <f aca="false">IF(C1174="","",IFERROR(VALUE(LEFT(UPPER(SUBSTITUTE(SUBSTITUTE(SUBSTITUTE(TRIM(C1174),".",""),"-","")," ","")),LEN(UPPER(SUBSTITUTE(SUBSTITUTE(SUBSTITUTE(TRIM(C1174),".",""),"-","")," ","")))-1))&amp;RIGHT(UPPER(SUBSTITUTE(SUBSTITUTE(SUBSTITUTE(TRIM(C1174),".",""),"-","")," ","")),1),UPPER(SUBSTITUTE(SUBSTITUTE(SUBSTITUTE(TRIM(C1174),".",""),"-","")," ",""))))</f>
        <v/>
      </c>
    </row>
    <row r="1175" customFormat="false" ht="15" hidden="false" customHeight="false" outlineLevel="0" collapsed="false">
      <c r="B1175" s="80"/>
      <c r="C1175" s="58"/>
      <c r="D1175" s="62" t="str">
        <f aca="false">IF(C1175="","",IFERROR(INDEX(T_NOMBRE,MATCH(V1175,T_RUTN,0)),"⚠ RUT no está en Trabajadores"))</f>
        <v/>
      </c>
      <c r="E1175" s="61"/>
      <c r="F1175" s="61"/>
      <c r="G1175" s="61"/>
      <c r="H1175" s="61"/>
      <c r="I1175" s="81"/>
      <c r="J1175" s="81"/>
      <c r="K1175" s="60"/>
      <c r="L1175" s="60"/>
      <c r="M1175" s="60"/>
      <c r="N1175" s="60"/>
      <c r="O1175" s="60"/>
      <c r="P1175" s="60"/>
      <c r="Q1175" s="60"/>
      <c r="R1175" s="58"/>
      <c r="S1175" s="62" t="str">
        <f aca="false">IF(OR(B1175="",V1175=""),"",IFERROR(INDEX(C_TIPO,MATCH(V1175&amp;"-P"&amp;MAX(1,COUNTIFS(C_RUTN,V1175,C_DEF,"Sí",C_INI,"&lt;="&amp;EOMONTH(B1175,0))),C_CLAVE,0))&amp;"","Sin contrato"))</f>
        <v/>
      </c>
      <c r="T1175" s="63" t="str">
        <f aca="false">IF(OR(B1175="",N(O1175)=0),"",N(O1175)+ROUND(MIN(N(N1175),TOPE_UF*UF_MES)*(TASA_EMP+MUTUAL),0)+ROUND(MIN(N(N1175),TOPE_AFC_UF*UF_MES)*IF(S1175="Indefinido",AFC_INDEF,AFC_PF),0))</f>
        <v/>
      </c>
      <c r="U1175" s="62" t="str">
        <f aca="false">IF(C1175="","",IF(LEFT(D1175,1)="⚠","⚠ RUT no registrado en Trabajadores",IF(B1175="","⚠ Falta el mes",IF(OR(ISTEXT(I1175),ISTEXT(J1175)),"⚠ Atrasos u horas extra como texto: escriba hh:mm (ej. 1:30)",IF(AND(ISNUMBER(Q1175),COUNTIFS(M_RUTN,V1175,M_MES,B1175,M_LIQ,"&lt;&gt;")&gt;1),"⚠ Liquidación repetida en el mes",IF(AND(ISNUMBER(O1175),ISNUMBER(P1175),ISNUMBER(Q1175),ABS(O1175-P1175-Q1175)&gt;1),"⚠ Haberes − descuentos no da el líquido","OK"))))))</f>
        <v/>
      </c>
      <c r="V1175" s="62" t="str">
        <f aca="false">IF(C1175="","",IFERROR(VALUE(LEFT(UPPER(SUBSTITUTE(SUBSTITUTE(SUBSTITUTE(TRIM(C1175),".",""),"-","")," ","")),LEN(UPPER(SUBSTITUTE(SUBSTITUTE(SUBSTITUTE(TRIM(C1175),".",""),"-","")," ","")))-1))&amp;RIGHT(UPPER(SUBSTITUTE(SUBSTITUTE(SUBSTITUTE(TRIM(C1175),".",""),"-","")," ","")),1),UPPER(SUBSTITUTE(SUBSTITUTE(SUBSTITUTE(TRIM(C1175),".",""),"-","")," ",""))))</f>
        <v/>
      </c>
    </row>
    <row r="1176" customFormat="false" ht="15" hidden="false" customHeight="false" outlineLevel="0" collapsed="false">
      <c r="B1176" s="80"/>
      <c r="C1176" s="58"/>
      <c r="D1176" s="62" t="str">
        <f aca="false">IF(C1176="","",IFERROR(INDEX(T_NOMBRE,MATCH(V1176,T_RUTN,0)),"⚠ RUT no está en Trabajadores"))</f>
        <v/>
      </c>
      <c r="E1176" s="61"/>
      <c r="F1176" s="61"/>
      <c r="G1176" s="61"/>
      <c r="H1176" s="61"/>
      <c r="I1176" s="81"/>
      <c r="J1176" s="81"/>
      <c r="K1176" s="60"/>
      <c r="L1176" s="60"/>
      <c r="M1176" s="60"/>
      <c r="N1176" s="60"/>
      <c r="O1176" s="60"/>
      <c r="P1176" s="60"/>
      <c r="Q1176" s="60"/>
      <c r="R1176" s="58"/>
      <c r="S1176" s="62" t="str">
        <f aca="false">IF(OR(B1176="",V1176=""),"",IFERROR(INDEX(C_TIPO,MATCH(V1176&amp;"-P"&amp;MAX(1,COUNTIFS(C_RUTN,V1176,C_DEF,"Sí",C_INI,"&lt;="&amp;EOMONTH(B1176,0))),C_CLAVE,0))&amp;"","Sin contrato"))</f>
        <v/>
      </c>
      <c r="T1176" s="63" t="str">
        <f aca="false">IF(OR(B1176="",N(O1176)=0),"",N(O1176)+ROUND(MIN(N(N1176),TOPE_UF*UF_MES)*(TASA_EMP+MUTUAL),0)+ROUND(MIN(N(N1176),TOPE_AFC_UF*UF_MES)*IF(S1176="Indefinido",AFC_INDEF,AFC_PF),0))</f>
        <v/>
      </c>
      <c r="U1176" s="62" t="str">
        <f aca="false">IF(C1176="","",IF(LEFT(D1176,1)="⚠","⚠ RUT no registrado en Trabajadores",IF(B1176="","⚠ Falta el mes",IF(OR(ISTEXT(I1176),ISTEXT(J1176)),"⚠ Atrasos u horas extra como texto: escriba hh:mm (ej. 1:30)",IF(AND(ISNUMBER(Q1176),COUNTIFS(M_RUTN,V1176,M_MES,B1176,M_LIQ,"&lt;&gt;")&gt;1),"⚠ Liquidación repetida en el mes",IF(AND(ISNUMBER(O1176),ISNUMBER(P1176),ISNUMBER(Q1176),ABS(O1176-P1176-Q1176)&gt;1),"⚠ Haberes − descuentos no da el líquido","OK"))))))</f>
        <v/>
      </c>
      <c r="V1176" s="62" t="str">
        <f aca="false">IF(C1176="","",IFERROR(VALUE(LEFT(UPPER(SUBSTITUTE(SUBSTITUTE(SUBSTITUTE(TRIM(C1176),".",""),"-","")," ","")),LEN(UPPER(SUBSTITUTE(SUBSTITUTE(SUBSTITUTE(TRIM(C1176),".",""),"-","")," ","")))-1))&amp;RIGHT(UPPER(SUBSTITUTE(SUBSTITUTE(SUBSTITUTE(TRIM(C1176),".",""),"-","")," ","")),1),UPPER(SUBSTITUTE(SUBSTITUTE(SUBSTITUTE(TRIM(C1176),".",""),"-","")," ",""))))</f>
        <v/>
      </c>
    </row>
    <row r="1177" customFormat="false" ht="15" hidden="false" customHeight="false" outlineLevel="0" collapsed="false">
      <c r="B1177" s="80"/>
      <c r="C1177" s="58"/>
      <c r="D1177" s="62" t="str">
        <f aca="false">IF(C1177="","",IFERROR(INDEX(T_NOMBRE,MATCH(V1177,T_RUTN,0)),"⚠ RUT no está en Trabajadores"))</f>
        <v/>
      </c>
      <c r="E1177" s="61"/>
      <c r="F1177" s="61"/>
      <c r="G1177" s="61"/>
      <c r="H1177" s="61"/>
      <c r="I1177" s="81"/>
      <c r="J1177" s="81"/>
      <c r="K1177" s="60"/>
      <c r="L1177" s="60"/>
      <c r="M1177" s="60"/>
      <c r="N1177" s="60"/>
      <c r="O1177" s="60"/>
      <c r="P1177" s="60"/>
      <c r="Q1177" s="60"/>
      <c r="R1177" s="58"/>
      <c r="S1177" s="62" t="str">
        <f aca="false">IF(OR(B1177="",V1177=""),"",IFERROR(INDEX(C_TIPO,MATCH(V1177&amp;"-P"&amp;MAX(1,COUNTIFS(C_RUTN,V1177,C_DEF,"Sí",C_INI,"&lt;="&amp;EOMONTH(B1177,0))),C_CLAVE,0))&amp;"","Sin contrato"))</f>
        <v/>
      </c>
      <c r="T1177" s="63" t="str">
        <f aca="false">IF(OR(B1177="",N(O1177)=0),"",N(O1177)+ROUND(MIN(N(N1177),TOPE_UF*UF_MES)*(TASA_EMP+MUTUAL),0)+ROUND(MIN(N(N1177),TOPE_AFC_UF*UF_MES)*IF(S1177="Indefinido",AFC_INDEF,AFC_PF),0))</f>
        <v/>
      </c>
      <c r="U1177" s="62" t="str">
        <f aca="false">IF(C1177="","",IF(LEFT(D1177,1)="⚠","⚠ RUT no registrado en Trabajadores",IF(B1177="","⚠ Falta el mes",IF(OR(ISTEXT(I1177),ISTEXT(J1177)),"⚠ Atrasos u horas extra como texto: escriba hh:mm (ej. 1:30)",IF(AND(ISNUMBER(Q1177),COUNTIFS(M_RUTN,V1177,M_MES,B1177,M_LIQ,"&lt;&gt;")&gt;1),"⚠ Liquidación repetida en el mes",IF(AND(ISNUMBER(O1177),ISNUMBER(P1177),ISNUMBER(Q1177),ABS(O1177-P1177-Q1177)&gt;1),"⚠ Haberes − descuentos no da el líquido","OK"))))))</f>
        <v/>
      </c>
      <c r="V1177" s="62" t="str">
        <f aca="false">IF(C1177="","",IFERROR(VALUE(LEFT(UPPER(SUBSTITUTE(SUBSTITUTE(SUBSTITUTE(TRIM(C1177),".",""),"-","")," ","")),LEN(UPPER(SUBSTITUTE(SUBSTITUTE(SUBSTITUTE(TRIM(C1177),".",""),"-","")," ","")))-1))&amp;RIGHT(UPPER(SUBSTITUTE(SUBSTITUTE(SUBSTITUTE(TRIM(C1177),".",""),"-","")," ","")),1),UPPER(SUBSTITUTE(SUBSTITUTE(SUBSTITUTE(TRIM(C1177),".",""),"-","")," ",""))))</f>
        <v/>
      </c>
    </row>
    <row r="1178" customFormat="false" ht="15" hidden="false" customHeight="false" outlineLevel="0" collapsed="false">
      <c r="B1178" s="80"/>
      <c r="C1178" s="58"/>
      <c r="D1178" s="62" t="str">
        <f aca="false">IF(C1178="","",IFERROR(INDEX(T_NOMBRE,MATCH(V1178,T_RUTN,0)),"⚠ RUT no está en Trabajadores"))</f>
        <v/>
      </c>
      <c r="E1178" s="61"/>
      <c r="F1178" s="61"/>
      <c r="G1178" s="61"/>
      <c r="H1178" s="61"/>
      <c r="I1178" s="81"/>
      <c r="J1178" s="81"/>
      <c r="K1178" s="60"/>
      <c r="L1178" s="60"/>
      <c r="M1178" s="60"/>
      <c r="N1178" s="60"/>
      <c r="O1178" s="60"/>
      <c r="P1178" s="60"/>
      <c r="Q1178" s="60"/>
      <c r="R1178" s="58"/>
      <c r="S1178" s="62" t="str">
        <f aca="false">IF(OR(B1178="",V1178=""),"",IFERROR(INDEX(C_TIPO,MATCH(V1178&amp;"-P"&amp;MAX(1,COUNTIFS(C_RUTN,V1178,C_DEF,"Sí",C_INI,"&lt;="&amp;EOMONTH(B1178,0))),C_CLAVE,0))&amp;"","Sin contrato"))</f>
        <v/>
      </c>
      <c r="T1178" s="63" t="str">
        <f aca="false">IF(OR(B1178="",N(O1178)=0),"",N(O1178)+ROUND(MIN(N(N1178),TOPE_UF*UF_MES)*(TASA_EMP+MUTUAL),0)+ROUND(MIN(N(N1178),TOPE_AFC_UF*UF_MES)*IF(S1178="Indefinido",AFC_INDEF,AFC_PF),0))</f>
        <v/>
      </c>
      <c r="U1178" s="62" t="str">
        <f aca="false">IF(C1178="","",IF(LEFT(D1178,1)="⚠","⚠ RUT no registrado en Trabajadores",IF(B1178="","⚠ Falta el mes",IF(OR(ISTEXT(I1178),ISTEXT(J1178)),"⚠ Atrasos u horas extra como texto: escriba hh:mm (ej. 1:30)",IF(AND(ISNUMBER(Q1178),COUNTIFS(M_RUTN,V1178,M_MES,B1178,M_LIQ,"&lt;&gt;")&gt;1),"⚠ Liquidación repetida en el mes",IF(AND(ISNUMBER(O1178),ISNUMBER(P1178),ISNUMBER(Q1178),ABS(O1178-P1178-Q1178)&gt;1),"⚠ Haberes − descuentos no da el líquido","OK"))))))</f>
        <v/>
      </c>
      <c r="V1178" s="62" t="str">
        <f aca="false">IF(C1178="","",IFERROR(VALUE(LEFT(UPPER(SUBSTITUTE(SUBSTITUTE(SUBSTITUTE(TRIM(C1178),".",""),"-","")," ","")),LEN(UPPER(SUBSTITUTE(SUBSTITUTE(SUBSTITUTE(TRIM(C1178),".",""),"-","")," ","")))-1))&amp;RIGHT(UPPER(SUBSTITUTE(SUBSTITUTE(SUBSTITUTE(TRIM(C1178),".",""),"-","")," ","")),1),UPPER(SUBSTITUTE(SUBSTITUTE(SUBSTITUTE(TRIM(C1178),".",""),"-","")," ",""))))</f>
        <v/>
      </c>
    </row>
    <row r="1179" customFormat="false" ht="15" hidden="false" customHeight="false" outlineLevel="0" collapsed="false">
      <c r="B1179" s="80"/>
      <c r="C1179" s="58"/>
      <c r="D1179" s="62" t="str">
        <f aca="false">IF(C1179="","",IFERROR(INDEX(T_NOMBRE,MATCH(V1179,T_RUTN,0)),"⚠ RUT no está en Trabajadores"))</f>
        <v/>
      </c>
      <c r="E1179" s="61"/>
      <c r="F1179" s="61"/>
      <c r="G1179" s="61"/>
      <c r="H1179" s="61"/>
      <c r="I1179" s="81"/>
      <c r="J1179" s="81"/>
      <c r="K1179" s="60"/>
      <c r="L1179" s="60"/>
      <c r="M1179" s="60"/>
      <c r="N1179" s="60"/>
      <c r="O1179" s="60"/>
      <c r="P1179" s="60"/>
      <c r="Q1179" s="60"/>
      <c r="R1179" s="58"/>
      <c r="S1179" s="62" t="str">
        <f aca="false">IF(OR(B1179="",V1179=""),"",IFERROR(INDEX(C_TIPO,MATCH(V1179&amp;"-P"&amp;MAX(1,COUNTIFS(C_RUTN,V1179,C_DEF,"Sí",C_INI,"&lt;="&amp;EOMONTH(B1179,0))),C_CLAVE,0))&amp;"","Sin contrato"))</f>
        <v/>
      </c>
      <c r="T1179" s="63" t="str">
        <f aca="false">IF(OR(B1179="",N(O1179)=0),"",N(O1179)+ROUND(MIN(N(N1179),TOPE_UF*UF_MES)*(TASA_EMP+MUTUAL),0)+ROUND(MIN(N(N1179),TOPE_AFC_UF*UF_MES)*IF(S1179="Indefinido",AFC_INDEF,AFC_PF),0))</f>
        <v/>
      </c>
      <c r="U1179" s="62" t="str">
        <f aca="false">IF(C1179="","",IF(LEFT(D1179,1)="⚠","⚠ RUT no registrado en Trabajadores",IF(B1179="","⚠ Falta el mes",IF(OR(ISTEXT(I1179),ISTEXT(J1179)),"⚠ Atrasos u horas extra como texto: escriba hh:mm (ej. 1:30)",IF(AND(ISNUMBER(Q1179),COUNTIFS(M_RUTN,V1179,M_MES,B1179,M_LIQ,"&lt;&gt;")&gt;1),"⚠ Liquidación repetida en el mes",IF(AND(ISNUMBER(O1179),ISNUMBER(P1179),ISNUMBER(Q1179),ABS(O1179-P1179-Q1179)&gt;1),"⚠ Haberes − descuentos no da el líquido","OK"))))))</f>
        <v/>
      </c>
      <c r="V1179" s="62" t="str">
        <f aca="false">IF(C1179="","",IFERROR(VALUE(LEFT(UPPER(SUBSTITUTE(SUBSTITUTE(SUBSTITUTE(TRIM(C1179),".",""),"-","")," ","")),LEN(UPPER(SUBSTITUTE(SUBSTITUTE(SUBSTITUTE(TRIM(C1179),".",""),"-","")," ","")))-1))&amp;RIGHT(UPPER(SUBSTITUTE(SUBSTITUTE(SUBSTITUTE(TRIM(C1179),".",""),"-","")," ","")),1),UPPER(SUBSTITUTE(SUBSTITUTE(SUBSTITUTE(TRIM(C1179),".",""),"-","")," ",""))))</f>
        <v/>
      </c>
    </row>
    <row r="1180" customFormat="false" ht="15" hidden="false" customHeight="false" outlineLevel="0" collapsed="false">
      <c r="B1180" s="80"/>
      <c r="C1180" s="58"/>
      <c r="D1180" s="62" t="str">
        <f aca="false">IF(C1180="","",IFERROR(INDEX(T_NOMBRE,MATCH(V1180,T_RUTN,0)),"⚠ RUT no está en Trabajadores"))</f>
        <v/>
      </c>
      <c r="E1180" s="61"/>
      <c r="F1180" s="61"/>
      <c r="G1180" s="61"/>
      <c r="H1180" s="61"/>
      <c r="I1180" s="81"/>
      <c r="J1180" s="81"/>
      <c r="K1180" s="60"/>
      <c r="L1180" s="60"/>
      <c r="M1180" s="60"/>
      <c r="N1180" s="60"/>
      <c r="O1180" s="60"/>
      <c r="P1180" s="60"/>
      <c r="Q1180" s="60"/>
      <c r="R1180" s="58"/>
      <c r="S1180" s="62" t="str">
        <f aca="false">IF(OR(B1180="",V1180=""),"",IFERROR(INDEX(C_TIPO,MATCH(V1180&amp;"-P"&amp;MAX(1,COUNTIFS(C_RUTN,V1180,C_DEF,"Sí",C_INI,"&lt;="&amp;EOMONTH(B1180,0))),C_CLAVE,0))&amp;"","Sin contrato"))</f>
        <v/>
      </c>
      <c r="T1180" s="63" t="str">
        <f aca="false">IF(OR(B1180="",N(O1180)=0),"",N(O1180)+ROUND(MIN(N(N1180),TOPE_UF*UF_MES)*(TASA_EMP+MUTUAL),0)+ROUND(MIN(N(N1180),TOPE_AFC_UF*UF_MES)*IF(S1180="Indefinido",AFC_INDEF,AFC_PF),0))</f>
        <v/>
      </c>
      <c r="U1180" s="62" t="str">
        <f aca="false">IF(C1180="","",IF(LEFT(D1180,1)="⚠","⚠ RUT no registrado en Trabajadores",IF(B1180="","⚠ Falta el mes",IF(OR(ISTEXT(I1180),ISTEXT(J1180)),"⚠ Atrasos u horas extra como texto: escriba hh:mm (ej. 1:30)",IF(AND(ISNUMBER(Q1180),COUNTIFS(M_RUTN,V1180,M_MES,B1180,M_LIQ,"&lt;&gt;")&gt;1),"⚠ Liquidación repetida en el mes",IF(AND(ISNUMBER(O1180),ISNUMBER(P1180),ISNUMBER(Q1180),ABS(O1180-P1180-Q1180)&gt;1),"⚠ Haberes − descuentos no da el líquido","OK"))))))</f>
        <v/>
      </c>
      <c r="V1180" s="62" t="str">
        <f aca="false">IF(C1180="","",IFERROR(VALUE(LEFT(UPPER(SUBSTITUTE(SUBSTITUTE(SUBSTITUTE(TRIM(C1180),".",""),"-","")," ","")),LEN(UPPER(SUBSTITUTE(SUBSTITUTE(SUBSTITUTE(TRIM(C1180),".",""),"-","")," ","")))-1))&amp;RIGHT(UPPER(SUBSTITUTE(SUBSTITUTE(SUBSTITUTE(TRIM(C1180),".",""),"-","")," ","")),1),UPPER(SUBSTITUTE(SUBSTITUTE(SUBSTITUTE(TRIM(C1180),".",""),"-","")," ",""))))</f>
        <v/>
      </c>
    </row>
    <row r="1181" customFormat="false" ht="15" hidden="false" customHeight="false" outlineLevel="0" collapsed="false">
      <c r="B1181" s="80"/>
      <c r="C1181" s="58"/>
      <c r="D1181" s="62" t="str">
        <f aca="false">IF(C1181="","",IFERROR(INDEX(T_NOMBRE,MATCH(V1181,T_RUTN,0)),"⚠ RUT no está en Trabajadores"))</f>
        <v/>
      </c>
      <c r="E1181" s="61"/>
      <c r="F1181" s="61"/>
      <c r="G1181" s="61"/>
      <c r="H1181" s="61"/>
      <c r="I1181" s="81"/>
      <c r="J1181" s="81"/>
      <c r="K1181" s="60"/>
      <c r="L1181" s="60"/>
      <c r="M1181" s="60"/>
      <c r="N1181" s="60"/>
      <c r="O1181" s="60"/>
      <c r="P1181" s="60"/>
      <c r="Q1181" s="60"/>
      <c r="R1181" s="58"/>
      <c r="S1181" s="62" t="str">
        <f aca="false">IF(OR(B1181="",V1181=""),"",IFERROR(INDEX(C_TIPO,MATCH(V1181&amp;"-P"&amp;MAX(1,COUNTIFS(C_RUTN,V1181,C_DEF,"Sí",C_INI,"&lt;="&amp;EOMONTH(B1181,0))),C_CLAVE,0))&amp;"","Sin contrato"))</f>
        <v/>
      </c>
      <c r="T1181" s="63" t="str">
        <f aca="false">IF(OR(B1181="",N(O1181)=0),"",N(O1181)+ROUND(MIN(N(N1181),TOPE_UF*UF_MES)*(TASA_EMP+MUTUAL),0)+ROUND(MIN(N(N1181),TOPE_AFC_UF*UF_MES)*IF(S1181="Indefinido",AFC_INDEF,AFC_PF),0))</f>
        <v/>
      </c>
      <c r="U1181" s="62" t="str">
        <f aca="false">IF(C1181="","",IF(LEFT(D1181,1)="⚠","⚠ RUT no registrado en Trabajadores",IF(B1181="","⚠ Falta el mes",IF(OR(ISTEXT(I1181),ISTEXT(J1181)),"⚠ Atrasos u horas extra como texto: escriba hh:mm (ej. 1:30)",IF(AND(ISNUMBER(Q1181),COUNTIFS(M_RUTN,V1181,M_MES,B1181,M_LIQ,"&lt;&gt;")&gt;1),"⚠ Liquidación repetida en el mes",IF(AND(ISNUMBER(O1181),ISNUMBER(P1181),ISNUMBER(Q1181),ABS(O1181-P1181-Q1181)&gt;1),"⚠ Haberes − descuentos no da el líquido","OK"))))))</f>
        <v/>
      </c>
      <c r="V1181" s="62" t="str">
        <f aca="false">IF(C1181="","",IFERROR(VALUE(LEFT(UPPER(SUBSTITUTE(SUBSTITUTE(SUBSTITUTE(TRIM(C1181),".",""),"-","")," ","")),LEN(UPPER(SUBSTITUTE(SUBSTITUTE(SUBSTITUTE(TRIM(C1181),".",""),"-","")," ","")))-1))&amp;RIGHT(UPPER(SUBSTITUTE(SUBSTITUTE(SUBSTITUTE(TRIM(C1181),".",""),"-","")," ","")),1),UPPER(SUBSTITUTE(SUBSTITUTE(SUBSTITUTE(TRIM(C1181),".",""),"-","")," ",""))))</f>
        <v/>
      </c>
    </row>
    <row r="1182" customFormat="false" ht="15" hidden="false" customHeight="false" outlineLevel="0" collapsed="false">
      <c r="B1182" s="80"/>
      <c r="C1182" s="58"/>
      <c r="D1182" s="62" t="str">
        <f aca="false">IF(C1182="","",IFERROR(INDEX(T_NOMBRE,MATCH(V1182,T_RUTN,0)),"⚠ RUT no está en Trabajadores"))</f>
        <v/>
      </c>
      <c r="E1182" s="61"/>
      <c r="F1182" s="61"/>
      <c r="G1182" s="61"/>
      <c r="H1182" s="61"/>
      <c r="I1182" s="81"/>
      <c r="J1182" s="81"/>
      <c r="K1182" s="60"/>
      <c r="L1182" s="60"/>
      <c r="M1182" s="60"/>
      <c r="N1182" s="60"/>
      <c r="O1182" s="60"/>
      <c r="P1182" s="60"/>
      <c r="Q1182" s="60"/>
      <c r="R1182" s="58"/>
      <c r="S1182" s="62" t="str">
        <f aca="false">IF(OR(B1182="",V1182=""),"",IFERROR(INDEX(C_TIPO,MATCH(V1182&amp;"-P"&amp;MAX(1,COUNTIFS(C_RUTN,V1182,C_DEF,"Sí",C_INI,"&lt;="&amp;EOMONTH(B1182,0))),C_CLAVE,0))&amp;"","Sin contrato"))</f>
        <v/>
      </c>
      <c r="T1182" s="63" t="str">
        <f aca="false">IF(OR(B1182="",N(O1182)=0),"",N(O1182)+ROUND(MIN(N(N1182),TOPE_UF*UF_MES)*(TASA_EMP+MUTUAL),0)+ROUND(MIN(N(N1182),TOPE_AFC_UF*UF_MES)*IF(S1182="Indefinido",AFC_INDEF,AFC_PF),0))</f>
        <v/>
      </c>
      <c r="U1182" s="62" t="str">
        <f aca="false">IF(C1182="","",IF(LEFT(D1182,1)="⚠","⚠ RUT no registrado en Trabajadores",IF(B1182="","⚠ Falta el mes",IF(OR(ISTEXT(I1182),ISTEXT(J1182)),"⚠ Atrasos u horas extra como texto: escriba hh:mm (ej. 1:30)",IF(AND(ISNUMBER(Q1182),COUNTIFS(M_RUTN,V1182,M_MES,B1182,M_LIQ,"&lt;&gt;")&gt;1),"⚠ Liquidación repetida en el mes",IF(AND(ISNUMBER(O1182),ISNUMBER(P1182),ISNUMBER(Q1182),ABS(O1182-P1182-Q1182)&gt;1),"⚠ Haberes − descuentos no da el líquido","OK"))))))</f>
        <v/>
      </c>
      <c r="V1182" s="62" t="str">
        <f aca="false">IF(C1182="","",IFERROR(VALUE(LEFT(UPPER(SUBSTITUTE(SUBSTITUTE(SUBSTITUTE(TRIM(C1182),".",""),"-","")," ","")),LEN(UPPER(SUBSTITUTE(SUBSTITUTE(SUBSTITUTE(TRIM(C1182),".",""),"-","")," ","")))-1))&amp;RIGHT(UPPER(SUBSTITUTE(SUBSTITUTE(SUBSTITUTE(TRIM(C1182),".",""),"-","")," ","")),1),UPPER(SUBSTITUTE(SUBSTITUTE(SUBSTITUTE(TRIM(C1182),".",""),"-","")," ",""))))</f>
        <v/>
      </c>
    </row>
    <row r="1183" customFormat="false" ht="15" hidden="false" customHeight="false" outlineLevel="0" collapsed="false">
      <c r="B1183" s="80"/>
      <c r="C1183" s="58"/>
      <c r="D1183" s="62" t="str">
        <f aca="false">IF(C1183="","",IFERROR(INDEX(T_NOMBRE,MATCH(V1183,T_RUTN,0)),"⚠ RUT no está en Trabajadores"))</f>
        <v/>
      </c>
      <c r="E1183" s="61"/>
      <c r="F1183" s="61"/>
      <c r="G1183" s="61"/>
      <c r="H1183" s="61"/>
      <c r="I1183" s="81"/>
      <c r="J1183" s="81"/>
      <c r="K1183" s="60"/>
      <c r="L1183" s="60"/>
      <c r="M1183" s="60"/>
      <c r="N1183" s="60"/>
      <c r="O1183" s="60"/>
      <c r="P1183" s="60"/>
      <c r="Q1183" s="60"/>
      <c r="R1183" s="58"/>
      <c r="S1183" s="62" t="str">
        <f aca="false">IF(OR(B1183="",V1183=""),"",IFERROR(INDEX(C_TIPO,MATCH(V1183&amp;"-P"&amp;MAX(1,COUNTIFS(C_RUTN,V1183,C_DEF,"Sí",C_INI,"&lt;="&amp;EOMONTH(B1183,0))),C_CLAVE,0))&amp;"","Sin contrato"))</f>
        <v/>
      </c>
      <c r="T1183" s="63" t="str">
        <f aca="false">IF(OR(B1183="",N(O1183)=0),"",N(O1183)+ROUND(MIN(N(N1183),TOPE_UF*UF_MES)*(TASA_EMP+MUTUAL),0)+ROUND(MIN(N(N1183),TOPE_AFC_UF*UF_MES)*IF(S1183="Indefinido",AFC_INDEF,AFC_PF),0))</f>
        <v/>
      </c>
      <c r="U1183" s="62" t="str">
        <f aca="false">IF(C1183="","",IF(LEFT(D1183,1)="⚠","⚠ RUT no registrado en Trabajadores",IF(B1183="","⚠ Falta el mes",IF(OR(ISTEXT(I1183),ISTEXT(J1183)),"⚠ Atrasos u horas extra como texto: escriba hh:mm (ej. 1:30)",IF(AND(ISNUMBER(Q1183),COUNTIFS(M_RUTN,V1183,M_MES,B1183,M_LIQ,"&lt;&gt;")&gt;1),"⚠ Liquidación repetida en el mes",IF(AND(ISNUMBER(O1183),ISNUMBER(P1183),ISNUMBER(Q1183),ABS(O1183-P1183-Q1183)&gt;1),"⚠ Haberes − descuentos no da el líquido","OK"))))))</f>
        <v/>
      </c>
      <c r="V1183" s="62" t="str">
        <f aca="false">IF(C1183="","",IFERROR(VALUE(LEFT(UPPER(SUBSTITUTE(SUBSTITUTE(SUBSTITUTE(TRIM(C1183),".",""),"-","")," ","")),LEN(UPPER(SUBSTITUTE(SUBSTITUTE(SUBSTITUTE(TRIM(C1183),".",""),"-","")," ","")))-1))&amp;RIGHT(UPPER(SUBSTITUTE(SUBSTITUTE(SUBSTITUTE(TRIM(C1183),".",""),"-","")," ","")),1),UPPER(SUBSTITUTE(SUBSTITUTE(SUBSTITUTE(TRIM(C1183),".",""),"-","")," ",""))))</f>
        <v/>
      </c>
    </row>
    <row r="1184" customFormat="false" ht="15" hidden="false" customHeight="false" outlineLevel="0" collapsed="false">
      <c r="B1184" s="80"/>
      <c r="C1184" s="58"/>
      <c r="D1184" s="62" t="str">
        <f aca="false">IF(C1184="","",IFERROR(INDEX(T_NOMBRE,MATCH(V1184,T_RUTN,0)),"⚠ RUT no está en Trabajadores"))</f>
        <v/>
      </c>
      <c r="E1184" s="61"/>
      <c r="F1184" s="61"/>
      <c r="G1184" s="61"/>
      <c r="H1184" s="61"/>
      <c r="I1184" s="81"/>
      <c r="J1184" s="81"/>
      <c r="K1184" s="60"/>
      <c r="L1184" s="60"/>
      <c r="M1184" s="60"/>
      <c r="N1184" s="60"/>
      <c r="O1184" s="60"/>
      <c r="P1184" s="60"/>
      <c r="Q1184" s="60"/>
      <c r="R1184" s="58"/>
      <c r="S1184" s="62" t="str">
        <f aca="false">IF(OR(B1184="",V1184=""),"",IFERROR(INDEX(C_TIPO,MATCH(V1184&amp;"-P"&amp;MAX(1,COUNTIFS(C_RUTN,V1184,C_DEF,"Sí",C_INI,"&lt;="&amp;EOMONTH(B1184,0))),C_CLAVE,0))&amp;"","Sin contrato"))</f>
        <v/>
      </c>
      <c r="T1184" s="63" t="str">
        <f aca="false">IF(OR(B1184="",N(O1184)=0),"",N(O1184)+ROUND(MIN(N(N1184),TOPE_UF*UF_MES)*(TASA_EMP+MUTUAL),0)+ROUND(MIN(N(N1184),TOPE_AFC_UF*UF_MES)*IF(S1184="Indefinido",AFC_INDEF,AFC_PF),0))</f>
        <v/>
      </c>
      <c r="U1184" s="62" t="str">
        <f aca="false">IF(C1184="","",IF(LEFT(D1184,1)="⚠","⚠ RUT no registrado en Trabajadores",IF(B1184="","⚠ Falta el mes",IF(OR(ISTEXT(I1184),ISTEXT(J1184)),"⚠ Atrasos u horas extra como texto: escriba hh:mm (ej. 1:30)",IF(AND(ISNUMBER(Q1184),COUNTIFS(M_RUTN,V1184,M_MES,B1184,M_LIQ,"&lt;&gt;")&gt;1),"⚠ Liquidación repetida en el mes",IF(AND(ISNUMBER(O1184),ISNUMBER(P1184),ISNUMBER(Q1184),ABS(O1184-P1184-Q1184)&gt;1),"⚠ Haberes − descuentos no da el líquido","OK"))))))</f>
        <v/>
      </c>
      <c r="V1184" s="62" t="str">
        <f aca="false">IF(C1184="","",IFERROR(VALUE(LEFT(UPPER(SUBSTITUTE(SUBSTITUTE(SUBSTITUTE(TRIM(C1184),".",""),"-","")," ","")),LEN(UPPER(SUBSTITUTE(SUBSTITUTE(SUBSTITUTE(TRIM(C1184),".",""),"-","")," ","")))-1))&amp;RIGHT(UPPER(SUBSTITUTE(SUBSTITUTE(SUBSTITUTE(TRIM(C1184),".",""),"-","")," ","")),1),UPPER(SUBSTITUTE(SUBSTITUTE(SUBSTITUTE(TRIM(C1184),".",""),"-","")," ",""))))</f>
        <v/>
      </c>
    </row>
    <row r="1185" customFormat="false" ht="15" hidden="false" customHeight="false" outlineLevel="0" collapsed="false">
      <c r="B1185" s="80"/>
      <c r="C1185" s="58"/>
      <c r="D1185" s="62" t="str">
        <f aca="false">IF(C1185="","",IFERROR(INDEX(T_NOMBRE,MATCH(V1185,T_RUTN,0)),"⚠ RUT no está en Trabajadores"))</f>
        <v/>
      </c>
      <c r="E1185" s="61"/>
      <c r="F1185" s="61"/>
      <c r="G1185" s="61"/>
      <c r="H1185" s="61"/>
      <c r="I1185" s="81"/>
      <c r="J1185" s="81"/>
      <c r="K1185" s="60"/>
      <c r="L1185" s="60"/>
      <c r="M1185" s="60"/>
      <c r="N1185" s="60"/>
      <c r="O1185" s="60"/>
      <c r="P1185" s="60"/>
      <c r="Q1185" s="60"/>
      <c r="R1185" s="58"/>
      <c r="S1185" s="62" t="str">
        <f aca="false">IF(OR(B1185="",V1185=""),"",IFERROR(INDEX(C_TIPO,MATCH(V1185&amp;"-P"&amp;MAX(1,COUNTIFS(C_RUTN,V1185,C_DEF,"Sí",C_INI,"&lt;="&amp;EOMONTH(B1185,0))),C_CLAVE,0))&amp;"","Sin contrato"))</f>
        <v/>
      </c>
      <c r="T1185" s="63" t="str">
        <f aca="false">IF(OR(B1185="",N(O1185)=0),"",N(O1185)+ROUND(MIN(N(N1185),TOPE_UF*UF_MES)*(TASA_EMP+MUTUAL),0)+ROUND(MIN(N(N1185),TOPE_AFC_UF*UF_MES)*IF(S1185="Indefinido",AFC_INDEF,AFC_PF),0))</f>
        <v/>
      </c>
      <c r="U1185" s="62" t="str">
        <f aca="false">IF(C1185="","",IF(LEFT(D1185,1)="⚠","⚠ RUT no registrado en Trabajadores",IF(B1185="","⚠ Falta el mes",IF(OR(ISTEXT(I1185),ISTEXT(J1185)),"⚠ Atrasos u horas extra como texto: escriba hh:mm (ej. 1:30)",IF(AND(ISNUMBER(Q1185),COUNTIFS(M_RUTN,V1185,M_MES,B1185,M_LIQ,"&lt;&gt;")&gt;1),"⚠ Liquidación repetida en el mes",IF(AND(ISNUMBER(O1185),ISNUMBER(P1185),ISNUMBER(Q1185),ABS(O1185-P1185-Q1185)&gt;1),"⚠ Haberes − descuentos no da el líquido","OK"))))))</f>
        <v/>
      </c>
      <c r="V1185" s="62" t="str">
        <f aca="false">IF(C1185="","",IFERROR(VALUE(LEFT(UPPER(SUBSTITUTE(SUBSTITUTE(SUBSTITUTE(TRIM(C1185),".",""),"-","")," ","")),LEN(UPPER(SUBSTITUTE(SUBSTITUTE(SUBSTITUTE(TRIM(C1185),".",""),"-","")," ","")))-1))&amp;RIGHT(UPPER(SUBSTITUTE(SUBSTITUTE(SUBSTITUTE(TRIM(C1185),".",""),"-","")," ","")),1),UPPER(SUBSTITUTE(SUBSTITUTE(SUBSTITUTE(TRIM(C1185),".",""),"-","")," ",""))))</f>
        <v/>
      </c>
    </row>
    <row r="1186" customFormat="false" ht="15" hidden="false" customHeight="false" outlineLevel="0" collapsed="false">
      <c r="B1186" s="80"/>
      <c r="C1186" s="58"/>
      <c r="D1186" s="62" t="str">
        <f aca="false">IF(C1186="","",IFERROR(INDEX(T_NOMBRE,MATCH(V1186,T_RUTN,0)),"⚠ RUT no está en Trabajadores"))</f>
        <v/>
      </c>
      <c r="E1186" s="61"/>
      <c r="F1186" s="61"/>
      <c r="G1186" s="61"/>
      <c r="H1186" s="61"/>
      <c r="I1186" s="81"/>
      <c r="J1186" s="81"/>
      <c r="K1186" s="60"/>
      <c r="L1186" s="60"/>
      <c r="M1186" s="60"/>
      <c r="N1186" s="60"/>
      <c r="O1186" s="60"/>
      <c r="P1186" s="60"/>
      <c r="Q1186" s="60"/>
      <c r="R1186" s="58"/>
      <c r="S1186" s="62" t="str">
        <f aca="false">IF(OR(B1186="",V1186=""),"",IFERROR(INDEX(C_TIPO,MATCH(V1186&amp;"-P"&amp;MAX(1,COUNTIFS(C_RUTN,V1186,C_DEF,"Sí",C_INI,"&lt;="&amp;EOMONTH(B1186,0))),C_CLAVE,0))&amp;"","Sin contrato"))</f>
        <v/>
      </c>
      <c r="T1186" s="63" t="str">
        <f aca="false">IF(OR(B1186="",N(O1186)=0),"",N(O1186)+ROUND(MIN(N(N1186),TOPE_UF*UF_MES)*(TASA_EMP+MUTUAL),0)+ROUND(MIN(N(N1186),TOPE_AFC_UF*UF_MES)*IF(S1186="Indefinido",AFC_INDEF,AFC_PF),0))</f>
        <v/>
      </c>
      <c r="U1186" s="62" t="str">
        <f aca="false">IF(C1186="","",IF(LEFT(D1186,1)="⚠","⚠ RUT no registrado en Trabajadores",IF(B1186="","⚠ Falta el mes",IF(OR(ISTEXT(I1186),ISTEXT(J1186)),"⚠ Atrasos u horas extra como texto: escriba hh:mm (ej. 1:30)",IF(AND(ISNUMBER(Q1186),COUNTIFS(M_RUTN,V1186,M_MES,B1186,M_LIQ,"&lt;&gt;")&gt;1),"⚠ Liquidación repetida en el mes",IF(AND(ISNUMBER(O1186),ISNUMBER(P1186),ISNUMBER(Q1186),ABS(O1186-P1186-Q1186)&gt;1),"⚠ Haberes − descuentos no da el líquido","OK"))))))</f>
        <v/>
      </c>
      <c r="V1186" s="62" t="str">
        <f aca="false">IF(C1186="","",IFERROR(VALUE(LEFT(UPPER(SUBSTITUTE(SUBSTITUTE(SUBSTITUTE(TRIM(C1186),".",""),"-","")," ","")),LEN(UPPER(SUBSTITUTE(SUBSTITUTE(SUBSTITUTE(TRIM(C1186),".",""),"-","")," ","")))-1))&amp;RIGHT(UPPER(SUBSTITUTE(SUBSTITUTE(SUBSTITUTE(TRIM(C1186),".",""),"-","")," ","")),1),UPPER(SUBSTITUTE(SUBSTITUTE(SUBSTITUTE(TRIM(C1186),".",""),"-","")," ",""))))</f>
        <v/>
      </c>
    </row>
    <row r="1187" customFormat="false" ht="15" hidden="false" customHeight="false" outlineLevel="0" collapsed="false">
      <c r="B1187" s="80"/>
      <c r="C1187" s="58"/>
      <c r="D1187" s="62" t="str">
        <f aca="false">IF(C1187="","",IFERROR(INDEX(T_NOMBRE,MATCH(V1187,T_RUTN,0)),"⚠ RUT no está en Trabajadores"))</f>
        <v/>
      </c>
      <c r="E1187" s="61"/>
      <c r="F1187" s="61"/>
      <c r="G1187" s="61"/>
      <c r="H1187" s="61"/>
      <c r="I1187" s="81"/>
      <c r="J1187" s="81"/>
      <c r="K1187" s="60"/>
      <c r="L1187" s="60"/>
      <c r="M1187" s="60"/>
      <c r="N1187" s="60"/>
      <c r="O1187" s="60"/>
      <c r="P1187" s="60"/>
      <c r="Q1187" s="60"/>
      <c r="R1187" s="58"/>
      <c r="S1187" s="62" t="str">
        <f aca="false">IF(OR(B1187="",V1187=""),"",IFERROR(INDEX(C_TIPO,MATCH(V1187&amp;"-P"&amp;MAX(1,COUNTIFS(C_RUTN,V1187,C_DEF,"Sí",C_INI,"&lt;="&amp;EOMONTH(B1187,0))),C_CLAVE,0))&amp;"","Sin contrato"))</f>
        <v/>
      </c>
      <c r="T1187" s="63" t="str">
        <f aca="false">IF(OR(B1187="",N(O1187)=0),"",N(O1187)+ROUND(MIN(N(N1187),TOPE_UF*UF_MES)*(TASA_EMP+MUTUAL),0)+ROUND(MIN(N(N1187),TOPE_AFC_UF*UF_MES)*IF(S1187="Indefinido",AFC_INDEF,AFC_PF),0))</f>
        <v/>
      </c>
      <c r="U1187" s="62" t="str">
        <f aca="false">IF(C1187="","",IF(LEFT(D1187,1)="⚠","⚠ RUT no registrado en Trabajadores",IF(B1187="","⚠ Falta el mes",IF(OR(ISTEXT(I1187),ISTEXT(J1187)),"⚠ Atrasos u horas extra como texto: escriba hh:mm (ej. 1:30)",IF(AND(ISNUMBER(Q1187),COUNTIFS(M_RUTN,V1187,M_MES,B1187,M_LIQ,"&lt;&gt;")&gt;1),"⚠ Liquidación repetida en el mes",IF(AND(ISNUMBER(O1187),ISNUMBER(P1187),ISNUMBER(Q1187),ABS(O1187-P1187-Q1187)&gt;1),"⚠ Haberes − descuentos no da el líquido","OK"))))))</f>
        <v/>
      </c>
      <c r="V1187" s="62" t="str">
        <f aca="false">IF(C1187="","",IFERROR(VALUE(LEFT(UPPER(SUBSTITUTE(SUBSTITUTE(SUBSTITUTE(TRIM(C1187),".",""),"-","")," ","")),LEN(UPPER(SUBSTITUTE(SUBSTITUTE(SUBSTITUTE(TRIM(C1187),".",""),"-","")," ","")))-1))&amp;RIGHT(UPPER(SUBSTITUTE(SUBSTITUTE(SUBSTITUTE(TRIM(C1187),".",""),"-","")," ","")),1),UPPER(SUBSTITUTE(SUBSTITUTE(SUBSTITUTE(TRIM(C1187),".",""),"-","")," ",""))))</f>
        <v/>
      </c>
    </row>
    <row r="1188" customFormat="false" ht="15" hidden="false" customHeight="false" outlineLevel="0" collapsed="false">
      <c r="B1188" s="80"/>
      <c r="C1188" s="58"/>
      <c r="D1188" s="62" t="str">
        <f aca="false">IF(C1188="","",IFERROR(INDEX(T_NOMBRE,MATCH(V1188,T_RUTN,0)),"⚠ RUT no está en Trabajadores"))</f>
        <v/>
      </c>
      <c r="E1188" s="61"/>
      <c r="F1188" s="61"/>
      <c r="G1188" s="61"/>
      <c r="H1188" s="61"/>
      <c r="I1188" s="81"/>
      <c r="J1188" s="81"/>
      <c r="K1188" s="60"/>
      <c r="L1188" s="60"/>
      <c r="M1188" s="60"/>
      <c r="N1188" s="60"/>
      <c r="O1188" s="60"/>
      <c r="P1188" s="60"/>
      <c r="Q1188" s="60"/>
      <c r="R1188" s="58"/>
      <c r="S1188" s="62" t="str">
        <f aca="false">IF(OR(B1188="",V1188=""),"",IFERROR(INDEX(C_TIPO,MATCH(V1188&amp;"-P"&amp;MAX(1,COUNTIFS(C_RUTN,V1188,C_DEF,"Sí",C_INI,"&lt;="&amp;EOMONTH(B1188,0))),C_CLAVE,0))&amp;"","Sin contrato"))</f>
        <v/>
      </c>
      <c r="T1188" s="63" t="str">
        <f aca="false">IF(OR(B1188="",N(O1188)=0),"",N(O1188)+ROUND(MIN(N(N1188),TOPE_UF*UF_MES)*(TASA_EMP+MUTUAL),0)+ROUND(MIN(N(N1188),TOPE_AFC_UF*UF_MES)*IF(S1188="Indefinido",AFC_INDEF,AFC_PF),0))</f>
        <v/>
      </c>
      <c r="U1188" s="62" t="str">
        <f aca="false">IF(C1188="","",IF(LEFT(D1188,1)="⚠","⚠ RUT no registrado en Trabajadores",IF(B1188="","⚠ Falta el mes",IF(OR(ISTEXT(I1188),ISTEXT(J1188)),"⚠ Atrasos u horas extra como texto: escriba hh:mm (ej. 1:30)",IF(AND(ISNUMBER(Q1188),COUNTIFS(M_RUTN,V1188,M_MES,B1188,M_LIQ,"&lt;&gt;")&gt;1),"⚠ Liquidación repetida en el mes",IF(AND(ISNUMBER(O1188),ISNUMBER(P1188),ISNUMBER(Q1188),ABS(O1188-P1188-Q1188)&gt;1),"⚠ Haberes − descuentos no da el líquido","OK"))))))</f>
        <v/>
      </c>
      <c r="V1188" s="62" t="str">
        <f aca="false">IF(C1188="","",IFERROR(VALUE(LEFT(UPPER(SUBSTITUTE(SUBSTITUTE(SUBSTITUTE(TRIM(C1188),".",""),"-","")," ","")),LEN(UPPER(SUBSTITUTE(SUBSTITUTE(SUBSTITUTE(TRIM(C1188),".",""),"-","")," ","")))-1))&amp;RIGHT(UPPER(SUBSTITUTE(SUBSTITUTE(SUBSTITUTE(TRIM(C1188),".",""),"-","")," ","")),1),UPPER(SUBSTITUTE(SUBSTITUTE(SUBSTITUTE(TRIM(C1188),".",""),"-","")," ",""))))</f>
        <v/>
      </c>
    </row>
    <row r="1189" customFormat="false" ht="15" hidden="false" customHeight="false" outlineLevel="0" collapsed="false">
      <c r="B1189" s="80"/>
      <c r="C1189" s="58"/>
      <c r="D1189" s="62" t="str">
        <f aca="false">IF(C1189="","",IFERROR(INDEX(T_NOMBRE,MATCH(V1189,T_RUTN,0)),"⚠ RUT no está en Trabajadores"))</f>
        <v/>
      </c>
      <c r="E1189" s="61"/>
      <c r="F1189" s="61"/>
      <c r="G1189" s="61"/>
      <c r="H1189" s="61"/>
      <c r="I1189" s="81"/>
      <c r="J1189" s="81"/>
      <c r="K1189" s="60"/>
      <c r="L1189" s="60"/>
      <c r="M1189" s="60"/>
      <c r="N1189" s="60"/>
      <c r="O1189" s="60"/>
      <c r="P1189" s="60"/>
      <c r="Q1189" s="60"/>
      <c r="R1189" s="58"/>
      <c r="S1189" s="62" t="str">
        <f aca="false">IF(OR(B1189="",V1189=""),"",IFERROR(INDEX(C_TIPO,MATCH(V1189&amp;"-P"&amp;MAX(1,COUNTIFS(C_RUTN,V1189,C_DEF,"Sí",C_INI,"&lt;="&amp;EOMONTH(B1189,0))),C_CLAVE,0))&amp;"","Sin contrato"))</f>
        <v/>
      </c>
      <c r="T1189" s="63" t="str">
        <f aca="false">IF(OR(B1189="",N(O1189)=0),"",N(O1189)+ROUND(MIN(N(N1189),TOPE_UF*UF_MES)*(TASA_EMP+MUTUAL),0)+ROUND(MIN(N(N1189),TOPE_AFC_UF*UF_MES)*IF(S1189="Indefinido",AFC_INDEF,AFC_PF),0))</f>
        <v/>
      </c>
      <c r="U1189" s="62" t="str">
        <f aca="false">IF(C1189="","",IF(LEFT(D1189,1)="⚠","⚠ RUT no registrado en Trabajadores",IF(B1189="","⚠ Falta el mes",IF(OR(ISTEXT(I1189),ISTEXT(J1189)),"⚠ Atrasos u horas extra como texto: escriba hh:mm (ej. 1:30)",IF(AND(ISNUMBER(Q1189),COUNTIFS(M_RUTN,V1189,M_MES,B1189,M_LIQ,"&lt;&gt;")&gt;1),"⚠ Liquidación repetida en el mes",IF(AND(ISNUMBER(O1189),ISNUMBER(P1189),ISNUMBER(Q1189),ABS(O1189-P1189-Q1189)&gt;1),"⚠ Haberes − descuentos no da el líquido","OK"))))))</f>
        <v/>
      </c>
      <c r="V1189" s="62" t="str">
        <f aca="false">IF(C1189="","",IFERROR(VALUE(LEFT(UPPER(SUBSTITUTE(SUBSTITUTE(SUBSTITUTE(TRIM(C1189),".",""),"-","")," ","")),LEN(UPPER(SUBSTITUTE(SUBSTITUTE(SUBSTITUTE(TRIM(C1189),".",""),"-","")," ","")))-1))&amp;RIGHT(UPPER(SUBSTITUTE(SUBSTITUTE(SUBSTITUTE(TRIM(C1189),".",""),"-","")," ","")),1),UPPER(SUBSTITUTE(SUBSTITUTE(SUBSTITUTE(TRIM(C1189),".",""),"-","")," ",""))))</f>
        <v/>
      </c>
    </row>
    <row r="1190" customFormat="false" ht="15" hidden="false" customHeight="false" outlineLevel="0" collapsed="false">
      <c r="B1190" s="80"/>
      <c r="C1190" s="58"/>
      <c r="D1190" s="62" t="str">
        <f aca="false">IF(C1190="","",IFERROR(INDEX(T_NOMBRE,MATCH(V1190,T_RUTN,0)),"⚠ RUT no está en Trabajadores"))</f>
        <v/>
      </c>
      <c r="E1190" s="61"/>
      <c r="F1190" s="61"/>
      <c r="G1190" s="61"/>
      <c r="H1190" s="61"/>
      <c r="I1190" s="81"/>
      <c r="J1190" s="81"/>
      <c r="K1190" s="60"/>
      <c r="L1190" s="60"/>
      <c r="M1190" s="60"/>
      <c r="N1190" s="60"/>
      <c r="O1190" s="60"/>
      <c r="P1190" s="60"/>
      <c r="Q1190" s="60"/>
      <c r="R1190" s="58"/>
      <c r="S1190" s="62" t="str">
        <f aca="false">IF(OR(B1190="",V1190=""),"",IFERROR(INDEX(C_TIPO,MATCH(V1190&amp;"-P"&amp;MAX(1,COUNTIFS(C_RUTN,V1190,C_DEF,"Sí",C_INI,"&lt;="&amp;EOMONTH(B1190,0))),C_CLAVE,0))&amp;"","Sin contrato"))</f>
        <v/>
      </c>
      <c r="T1190" s="63" t="str">
        <f aca="false">IF(OR(B1190="",N(O1190)=0),"",N(O1190)+ROUND(MIN(N(N1190),TOPE_UF*UF_MES)*(TASA_EMP+MUTUAL),0)+ROUND(MIN(N(N1190),TOPE_AFC_UF*UF_MES)*IF(S1190="Indefinido",AFC_INDEF,AFC_PF),0))</f>
        <v/>
      </c>
      <c r="U1190" s="62" t="str">
        <f aca="false">IF(C1190="","",IF(LEFT(D1190,1)="⚠","⚠ RUT no registrado en Trabajadores",IF(B1190="","⚠ Falta el mes",IF(OR(ISTEXT(I1190),ISTEXT(J1190)),"⚠ Atrasos u horas extra como texto: escriba hh:mm (ej. 1:30)",IF(AND(ISNUMBER(Q1190),COUNTIFS(M_RUTN,V1190,M_MES,B1190,M_LIQ,"&lt;&gt;")&gt;1),"⚠ Liquidación repetida en el mes",IF(AND(ISNUMBER(O1190),ISNUMBER(P1190),ISNUMBER(Q1190),ABS(O1190-P1190-Q1190)&gt;1),"⚠ Haberes − descuentos no da el líquido","OK"))))))</f>
        <v/>
      </c>
      <c r="V1190" s="62" t="str">
        <f aca="false">IF(C1190="","",IFERROR(VALUE(LEFT(UPPER(SUBSTITUTE(SUBSTITUTE(SUBSTITUTE(TRIM(C1190),".",""),"-","")," ","")),LEN(UPPER(SUBSTITUTE(SUBSTITUTE(SUBSTITUTE(TRIM(C1190),".",""),"-","")," ","")))-1))&amp;RIGHT(UPPER(SUBSTITUTE(SUBSTITUTE(SUBSTITUTE(TRIM(C1190),".",""),"-","")," ","")),1),UPPER(SUBSTITUTE(SUBSTITUTE(SUBSTITUTE(TRIM(C1190),".",""),"-","")," ",""))))</f>
        <v/>
      </c>
    </row>
    <row r="1191" customFormat="false" ht="15" hidden="false" customHeight="false" outlineLevel="0" collapsed="false">
      <c r="B1191" s="80"/>
      <c r="C1191" s="58"/>
      <c r="D1191" s="62" t="str">
        <f aca="false">IF(C1191="","",IFERROR(INDEX(T_NOMBRE,MATCH(V1191,T_RUTN,0)),"⚠ RUT no está en Trabajadores"))</f>
        <v/>
      </c>
      <c r="E1191" s="61"/>
      <c r="F1191" s="61"/>
      <c r="G1191" s="61"/>
      <c r="H1191" s="61"/>
      <c r="I1191" s="81"/>
      <c r="J1191" s="81"/>
      <c r="K1191" s="60"/>
      <c r="L1191" s="60"/>
      <c r="M1191" s="60"/>
      <c r="N1191" s="60"/>
      <c r="O1191" s="60"/>
      <c r="P1191" s="60"/>
      <c r="Q1191" s="60"/>
      <c r="R1191" s="58"/>
      <c r="S1191" s="62" t="str">
        <f aca="false">IF(OR(B1191="",V1191=""),"",IFERROR(INDEX(C_TIPO,MATCH(V1191&amp;"-P"&amp;MAX(1,COUNTIFS(C_RUTN,V1191,C_DEF,"Sí",C_INI,"&lt;="&amp;EOMONTH(B1191,0))),C_CLAVE,0))&amp;"","Sin contrato"))</f>
        <v/>
      </c>
      <c r="T1191" s="63" t="str">
        <f aca="false">IF(OR(B1191="",N(O1191)=0),"",N(O1191)+ROUND(MIN(N(N1191),TOPE_UF*UF_MES)*(TASA_EMP+MUTUAL),0)+ROUND(MIN(N(N1191),TOPE_AFC_UF*UF_MES)*IF(S1191="Indefinido",AFC_INDEF,AFC_PF),0))</f>
        <v/>
      </c>
      <c r="U1191" s="62" t="str">
        <f aca="false">IF(C1191="","",IF(LEFT(D1191,1)="⚠","⚠ RUT no registrado en Trabajadores",IF(B1191="","⚠ Falta el mes",IF(OR(ISTEXT(I1191),ISTEXT(J1191)),"⚠ Atrasos u horas extra como texto: escriba hh:mm (ej. 1:30)",IF(AND(ISNUMBER(Q1191),COUNTIFS(M_RUTN,V1191,M_MES,B1191,M_LIQ,"&lt;&gt;")&gt;1),"⚠ Liquidación repetida en el mes",IF(AND(ISNUMBER(O1191),ISNUMBER(P1191),ISNUMBER(Q1191),ABS(O1191-P1191-Q1191)&gt;1),"⚠ Haberes − descuentos no da el líquido","OK"))))))</f>
        <v/>
      </c>
      <c r="V1191" s="62" t="str">
        <f aca="false">IF(C1191="","",IFERROR(VALUE(LEFT(UPPER(SUBSTITUTE(SUBSTITUTE(SUBSTITUTE(TRIM(C1191),".",""),"-","")," ","")),LEN(UPPER(SUBSTITUTE(SUBSTITUTE(SUBSTITUTE(TRIM(C1191),".",""),"-","")," ","")))-1))&amp;RIGHT(UPPER(SUBSTITUTE(SUBSTITUTE(SUBSTITUTE(TRIM(C1191),".",""),"-","")," ","")),1),UPPER(SUBSTITUTE(SUBSTITUTE(SUBSTITUTE(TRIM(C1191),".",""),"-","")," ",""))))</f>
        <v/>
      </c>
    </row>
    <row r="1192" customFormat="false" ht="15" hidden="false" customHeight="false" outlineLevel="0" collapsed="false">
      <c r="B1192" s="80"/>
      <c r="C1192" s="58"/>
      <c r="D1192" s="62" t="str">
        <f aca="false">IF(C1192="","",IFERROR(INDEX(T_NOMBRE,MATCH(V1192,T_RUTN,0)),"⚠ RUT no está en Trabajadores"))</f>
        <v/>
      </c>
      <c r="E1192" s="61"/>
      <c r="F1192" s="61"/>
      <c r="G1192" s="61"/>
      <c r="H1192" s="61"/>
      <c r="I1192" s="81"/>
      <c r="J1192" s="81"/>
      <c r="K1192" s="60"/>
      <c r="L1192" s="60"/>
      <c r="M1192" s="60"/>
      <c r="N1192" s="60"/>
      <c r="O1192" s="60"/>
      <c r="P1192" s="60"/>
      <c r="Q1192" s="60"/>
      <c r="R1192" s="58"/>
      <c r="S1192" s="62" t="str">
        <f aca="false">IF(OR(B1192="",V1192=""),"",IFERROR(INDEX(C_TIPO,MATCH(V1192&amp;"-P"&amp;MAX(1,COUNTIFS(C_RUTN,V1192,C_DEF,"Sí",C_INI,"&lt;="&amp;EOMONTH(B1192,0))),C_CLAVE,0))&amp;"","Sin contrato"))</f>
        <v/>
      </c>
      <c r="T1192" s="63" t="str">
        <f aca="false">IF(OR(B1192="",N(O1192)=0),"",N(O1192)+ROUND(MIN(N(N1192),TOPE_UF*UF_MES)*(TASA_EMP+MUTUAL),0)+ROUND(MIN(N(N1192),TOPE_AFC_UF*UF_MES)*IF(S1192="Indefinido",AFC_INDEF,AFC_PF),0))</f>
        <v/>
      </c>
      <c r="U1192" s="62" t="str">
        <f aca="false">IF(C1192="","",IF(LEFT(D1192,1)="⚠","⚠ RUT no registrado en Trabajadores",IF(B1192="","⚠ Falta el mes",IF(OR(ISTEXT(I1192),ISTEXT(J1192)),"⚠ Atrasos u horas extra como texto: escriba hh:mm (ej. 1:30)",IF(AND(ISNUMBER(Q1192),COUNTIFS(M_RUTN,V1192,M_MES,B1192,M_LIQ,"&lt;&gt;")&gt;1),"⚠ Liquidación repetida en el mes",IF(AND(ISNUMBER(O1192),ISNUMBER(P1192),ISNUMBER(Q1192),ABS(O1192-P1192-Q1192)&gt;1),"⚠ Haberes − descuentos no da el líquido","OK"))))))</f>
        <v/>
      </c>
      <c r="V1192" s="62" t="str">
        <f aca="false">IF(C1192="","",IFERROR(VALUE(LEFT(UPPER(SUBSTITUTE(SUBSTITUTE(SUBSTITUTE(TRIM(C1192),".",""),"-","")," ","")),LEN(UPPER(SUBSTITUTE(SUBSTITUTE(SUBSTITUTE(TRIM(C1192),".",""),"-","")," ","")))-1))&amp;RIGHT(UPPER(SUBSTITUTE(SUBSTITUTE(SUBSTITUTE(TRIM(C1192),".",""),"-","")," ","")),1),UPPER(SUBSTITUTE(SUBSTITUTE(SUBSTITUTE(TRIM(C1192),".",""),"-","")," ",""))))</f>
        <v/>
      </c>
    </row>
    <row r="1193" customFormat="false" ht="15" hidden="false" customHeight="false" outlineLevel="0" collapsed="false">
      <c r="B1193" s="80"/>
      <c r="C1193" s="58"/>
      <c r="D1193" s="62" t="str">
        <f aca="false">IF(C1193="","",IFERROR(INDEX(T_NOMBRE,MATCH(V1193,T_RUTN,0)),"⚠ RUT no está en Trabajadores"))</f>
        <v/>
      </c>
      <c r="E1193" s="61"/>
      <c r="F1193" s="61"/>
      <c r="G1193" s="61"/>
      <c r="H1193" s="61"/>
      <c r="I1193" s="81"/>
      <c r="J1193" s="81"/>
      <c r="K1193" s="60"/>
      <c r="L1193" s="60"/>
      <c r="M1193" s="60"/>
      <c r="N1193" s="60"/>
      <c r="O1193" s="60"/>
      <c r="P1193" s="60"/>
      <c r="Q1193" s="60"/>
      <c r="R1193" s="58"/>
      <c r="S1193" s="62" t="str">
        <f aca="false">IF(OR(B1193="",V1193=""),"",IFERROR(INDEX(C_TIPO,MATCH(V1193&amp;"-P"&amp;MAX(1,COUNTIFS(C_RUTN,V1193,C_DEF,"Sí",C_INI,"&lt;="&amp;EOMONTH(B1193,0))),C_CLAVE,0))&amp;"","Sin contrato"))</f>
        <v/>
      </c>
      <c r="T1193" s="63" t="str">
        <f aca="false">IF(OR(B1193="",N(O1193)=0),"",N(O1193)+ROUND(MIN(N(N1193),TOPE_UF*UF_MES)*(TASA_EMP+MUTUAL),0)+ROUND(MIN(N(N1193),TOPE_AFC_UF*UF_MES)*IF(S1193="Indefinido",AFC_INDEF,AFC_PF),0))</f>
        <v/>
      </c>
      <c r="U1193" s="62" t="str">
        <f aca="false">IF(C1193="","",IF(LEFT(D1193,1)="⚠","⚠ RUT no registrado en Trabajadores",IF(B1193="","⚠ Falta el mes",IF(OR(ISTEXT(I1193),ISTEXT(J1193)),"⚠ Atrasos u horas extra como texto: escriba hh:mm (ej. 1:30)",IF(AND(ISNUMBER(Q1193),COUNTIFS(M_RUTN,V1193,M_MES,B1193,M_LIQ,"&lt;&gt;")&gt;1),"⚠ Liquidación repetida en el mes",IF(AND(ISNUMBER(O1193),ISNUMBER(P1193),ISNUMBER(Q1193),ABS(O1193-P1193-Q1193)&gt;1),"⚠ Haberes − descuentos no da el líquido","OK"))))))</f>
        <v/>
      </c>
      <c r="V1193" s="62" t="str">
        <f aca="false">IF(C1193="","",IFERROR(VALUE(LEFT(UPPER(SUBSTITUTE(SUBSTITUTE(SUBSTITUTE(TRIM(C1193),".",""),"-","")," ","")),LEN(UPPER(SUBSTITUTE(SUBSTITUTE(SUBSTITUTE(TRIM(C1193),".",""),"-","")," ","")))-1))&amp;RIGHT(UPPER(SUBSTITUTE(SUBSTITUTE(SUBSTITUTE(TRIM(C1193),".",""),"-","")," ","")),1),UPPER(SUBSTITUTE(SUBSTITUTE(SUBSTITUTE(TRIM(C1193),".",""),"-","")," ",""))))</f>
        <v/>
      </c>
    </row>
    <row r="1194" customFormat="false" ht="15" hidden="false" customHeight="false" outlineLevel="0" collapsed="false">
      <c r="B1194" s="80"/>
      <c r="C1194" s="58"/>
      <c r="D1194" s="62" t="str">
        <f aca="false">IF(C1194="","",IFERROR(INDEX(T_NOMBRE,MATCH(V1194,T_RUTN,0)),"⚠ RUT no está en Trabajadores"))</f>
        <v/>
      </c>
      <c r="E1194" s="61"/>
      <c r="F1194" s="61"/>
      <c r="G1194" s="61"/>
      <c r="H1194" s="61"/>
      <c r="I1194" s="81"/>
      <c r="J1194" s="81"/>
      <c r="K1194" s="60"/>
      <c r="L1194" s="60"/>
      <c r="M1194" s="60"/>
      <c r="N1194" s="60"/>
      <c r="O1194" s="60"/>
      <c r="P1194" s="60"/>
      <c r="Q1194" s="60"/>
      <c r="R1194" s="58"/>
      <c r="S1194" s="62" t="str">
        <f aca="false">IF(OR(B1194="",V1194=""),"",IFERROR(INDEX(C_TIPO,MATCH(V1194&amp;"-P"&amp;MAX(1,COUNTIFS(C_RUTN,V1194,C_DEF,"Sí",C_INI,"&lt;="&amp;EOMONTH(B1194,0))),C_CLAVE,0))&amp;"","Sin contrato"))</f>
        <v/>
      </c>
      <c r="T1194" s="63" t="str">
        <f aca="false">IF(OR(B1194="",N(O1194)=0),"",N(O1194)+ROUND(MIN(N(N1194),TOPE_UF*UF_MES)*(TASA_EMP+MUTUAL),0)+ROUND(MIN(N(N1194),TOPE_AFC_UF*UF_MES)*IF(S1194="Indefinido",AFC_INDEF,AFC_PF),0))</f>
        <v/>
      </c>
      <c r="U1194" s="62" t="str">
        <f aca="false">IF(C1194="","",IF(LEFT(D1194,1)="⚠","⚠ RUT no registrado en Trabajadores",IF(B1194="","⚠ Falta el mes",IF(OR(ISTEXT(I1194),ISTEXT(J1194)),"⚠ Atrasos u horas extra como texto: escriba hh:mm (ej. 1:30)",IF(AND(ISNUMBER(Q1194),COUNTIFS(M_RUTN,V1194,M_MES,B1194,M_LIQ,"&lt;&gt;")&gt;1),"⚠ Liquidación repetida en el mes",IF(AND(ISNUMBER(O1194),ISNUMBER(P1194),ISNUMBER(Q1194),ABS(O1194-P1194-Q1194)&gt;1),"⚠ Haberes − descuentos no da el líquido","OK"))))))</f>
        <v/>
      </c>
      <c r="V1194" s="62" t="str">
        <f aca="false">IF(C1194="","",IFERROR(VALUE(LEFT(UPPER(SUBSTITUTE(SUBSTITUTE(SUBSTITUTE(TRIM(C1194),".",""),"-","")," ","")),LEN(UPPER(SUBSTITUTE(SUBSTITUTE(SUBSTITUTE(TRIM(C1194),".",""),"-","")," ","")))-1))&amp;RIGHT(UPPER(SUBSTITUTE(SUBSTITUTE(SUBSTITUTE(TRIM(C1194),".",""),"-","")," ","")),1),UPPER(SUBSTITUTE(SUBSTITUTE(SUBSTITUTE(TRIM(C1194),".",""),"-","")," ",""))))</f>
        <v/>
      </c>
    </row>
    <row r="1195" customFormat="false" ht="15" hidden="false" customHeight="false" outlineLevel="0" collapsed="false">
      <c r="B1195" s="80"/>
      <c r="C1195" s="58"/>
      <c r="D1195" s="62" t="str">
        <f aca="false">IF(C1195="","",IFERROR(INDEX(T_NOMBRE,MATCH(V1195,T_RUTN,0)),"⚠ RUT no está en Trabajadores"))</f>
        <v/>
      </c>
      <c r="E1195" s="61"/>
      <c r="F1195" s="61"/>
      <c r="G1195" s="61"/>
      <c r="H1195" s="61"/>
      <c r="I1195" s="81"/>
      <c r="J1195" s="81"/>
      <c r="K1195" s="60"/>
      <c r="L1195" s="60"/>
      <c r="M1195" s="60"/>
      <c r="N1195" s="60"/>
      <c r="O1195" s="60"/>
      <c r="P1195" s="60"/>
      <c r="Q1195" s="60"/>
      <c r="R1195" s="58"/>
      <c r="S1195" s="62" t="str">
        <f aca="false">IF(OR(B1195="",V1195=""),"",IFERROR(INDEX(C_TIPO,MATCH(V1195&amp;"-P"&amp;MAX(1,COUNTIFS(C_RUTN,V1195,C_DEF,"Sí",C_INI,"&lt;="&amp;EOMONTH(B1195,0))),C_CLAVE,0))&amp;"","Sin contrato"))</f>
        <v/>
      </c>
      <c r="T1195" s="63" t="str">
        <f aca="false">IF(OR(B1195="",N(O1195)=0),"",N(O1195)+ROUND(MIN(N(N1195),TOPE_UF*UF_MES)*(TASA_EMP+MUTUAL),0)+ROUND(MIN(N(N1195),TOPE_AFC_UF*UF_MES)*IF(S1195="Indefinido",AFC_INDEF,AFC_PF),0))</f>
        <v/>
      </c>
      <c r="U1195" s="62" t="str">
        <f aca="false">IF(C1195="","",IF(LEFT(D1195,1)="⚠","⚠ RUT no registrado en Trabajadores",IF(B1195="","⚠ Falta el mes",IF(OR(ISTEXT(I1195),ISTEXT(J1195)),"⚠ Atrasos u horas extra como texto: escriba hh:mm (ej. 1:30)",IF(AND(ISNUMBER(Q1195),COUNTIFS(M_RUTN,V1195,M_MES,B1195,M_LIQ,"&lt;&gt;")&gt;1),"⚠ Liquidación repetida en el mes",IF(AND(ISNUMBER(O1195),ISNUMBER(P1195),ISNUMBER(Q1195),ABS(O1195-P1195-Q1195)&gt;1),"⚠ Haberes − descuentos no da el líquido","OK"))))))</f>
        <v/>
      </c>
      <c r="V1195" s="62" t="str">
        <f aca="false">IF(C1195="","",IFERROR(VALUE(LEFT(UPPER(SUBSTITUTE(SUBSTITUTE(SUBSTITUTE(TRIM(C1195),".",""),"-","")," ","")),LEN(UPPER(SUBSTITUTE(SUBSTITUTE(SUBSTITUTE(TRIM(C1195),".",""),"-","")," ","")))-1))&amp;RIGHT(UPPER(SUBSTITUTE(SUBSTITUTE(SUBSTITUTE(TRIM(C1195),".",""),"-","")," ","")),1),UPPER(SUBSTITUTE(SUBSTITUTE(SUBSTITUTE(TRIM(C1195),".",""),"-","")," ",""))))</f>
        <v/>
      </c>
    </row>
    <row r="1196" customFormat="false" ht="15" hidden="false" customHeight="false" outlineLevel="0" collapsed="false">
      <c r="B1196" s="80"/>
      <c r="C1196" s="58"/>
      <c r="D1196" s="62" t="str">
        <f aca="false">IF(C1196="","",IFERROR(INDEX(T_NOMBRE,MATCH(V1196,T_RUTN,0)),"⚠ RUT no está en Trabajadores"))</f>
        <v/>
      </c>
      <c r="E1196" s="61"/>
      <c r="F1196" s="61"/>
      <c r="G1196" s="61"/>
      <c r="H1196" s="61"/>
      <c r="I1196" s="81"/>
      <c r="J1196" s="81"/>
      <c r="K1196" s="60"/>
      <c r="L1196" s="60"/>
      <c r="M1196" s="60"/>
      <c r="N1196" s="60"/>
      <c r="O1196" s="60"/>
      <c r="P1196" s="60"/>
      <c r="Q1196" s="60"/>
      <c r="R1196" s="58"/>
      <c r="S1196" s="62" t="str">
        <f aca="false">IF(OR(B1196="",V1196=""),"",IFERROR(INDEX(C_TIPO,MATCH(V1196&amp;"-P"&amp;MAX(1,COUNTIFS(C_RUTN,V1196,C_DEF,"Sí",C_INI,"&lt;="&amp;EOMONTH(B1196,0))),C_CLAVE,0))&amp;"","Sin contrato"))</f>
        <v/>
      </c>
      <c r="T1196" s="63" t="str">
        <f aca="false">IF(OR(B1196="",N(O1196)=0),"",N(O1196)+ROUND(MIN(N(N1196),TOPE_UF*UF_MES)*(TASA_EMP+MUTUAL),0)+ROUND(MIN(N(N1196),TOPE_AFC_UF*UF_MES)*IF(S1196="Indefinido",AFC_INDEF,AFC_PF),0))</f>
        <v/>
      </c>
      <c r="U1196" s="62" t="str">
        <f aca="false">IF(C1196="","",IF(LEFT(D1196,1)="⚠","⚠ RUT no registrado en Trabajadores",IF(B1196="","⚠ Falta el mes",IF(OR(ISTEXT(I1196),ISTEXT(J1196)),"⚠ Atrasos u horas extra como texto: escriba hh:mm (ej. 1:30)",IF(AND(ISNUMBER(Q1196),COUNTIFS(M_RUTN,V1196,M_MES,B1196,M_LIQ,"&lt;&gt;")&gt;1),"⚠ Liquidación repetida en el mes",IF(AND(ISNUMBER(O1196),ISNUMBER(P1196),ISNUMBER(Q1196),ABS(O1196-P1196-Q1196)&gt;1),"⚠ Haberes − descuentos no da el líquido","OK"))))))</f>
        <v/>
      </c>
      <c r="V1196" s="62" t="str">
        <f aca="false">IF(C1196="","",IFERROR(VALUE(LEFT(UPPER(SUBSTITUTE(SUBSTITUTE(SUBSTITUTE(TRIM(C1196),".",""),"-","")," ","")),LEN(UPPER(SUBSTITUTE(SUBSTITUTE(SUBSTITUTE(TRIM(C1196),".",""),"-","")," ","")))-1))&amp;RIGHT(UPPER(SUBSTITUTE(SUBSTITUTE(SUBSTITUTE(TRIM(C1196),".",""),"-","")," ","")),1),UPPER(SUBSTITUTE(SUBSTITUTE(SUBSTITUTE(TRIM(C1196),".",""),"-","")," ",""))))</f>
        <v/>
      </c>
    </row>
    <row r="1197" customFormat="false" ht="15" hidden="false" customHeight="false" outlineLevel="0" collapsed="false">
      <c r="B1197" s="80"/>
      <c r="C1197" s="58"/>
      <c r="D1197" s="62" t="str">
        <f aca="false">IF(C1197="","",IFERROR(INDEX(T_NOMBRE,MATCH(V1197,T_RUTN,0)),"⚠ RUT no está en Trabajadores"))</f>
        <v/>
      </c>
      <c r="E1197" s="61"/>
      <c r="F1197" s="61"/>
      <c r="G1197" s="61"/>
      <c r="H1197" s="61"/>
      <c r="I1197" s="81"/>
      <c r="J1197" s="81"/>
      <c r="K1197" s="60"/>
      <c r="L1197" s="60"/>
      <c r="M1197" s="60"/>
      <c r="N1197" s="60"/>
      <c r="O1197" s="60"/>
      <c r="P1197" s="60"/>
      <c r="Q1197" s="60"/>
      <c r="R1197" s="58"/>
      <c r="S1197" s="62" t="str">
        <f aca="false">IF(OR(B1197="",V1197=""),"",IFERROR(INDEX(C_TIPO,MATCH(V1197&amp;"-P"&amp;MAX(1,COUNTIFS(C_RUTN,V1197,C_DEF,"Sí",C_INI,"&lt;="&amp;EOMONTH(B1197,0))),C_CLAVE,0))&amp;"","Sin contrato"))</f>
        <v/>
      </c>
      <c r="T1197" s="63" t="str">
        <f aca="false">IF(OR(B1197="",N(O1197)=0),"",N(O1197)+ROUND(MIN(N(N1197),TOPE_UF*UF_MES)*(TASA_EMP+MUTUAL),0)+ROUND(MIN(N(N1197),TOPE_AFC_UF*UF_MES)*IF(S1197="Indefinido",AFC_INDEF,AFC_PF),0))</f>
        <v/>
      </c>
      <c r="U1197" s="62" t="str">
        <f aca="false">IF(C1197="","",IF(LEFT(D1197,1)="⚠","⚠ RUT no registrado en Trabajadores",IF(B1197="","⚠ Falta el mes",IF(OR(ISTEXT(I1197),ISTEXT(J1197)),"⚠ Atrasos u horas extra como texto: escriba hh:mm (ej. 1:30)",IF(AND(ISNUMBER(Q1197),COUNTIFS(M_RUTN,V1197,M_MES,B1197,M_LIQ,"&lt;&gt;")&gt;1),"⚠ Liquidación repetida en el mes",IF(AND(ISNUMBER(O1197),ISNUMBER(P1197),ISNUMBER(Q1197),ABS(O1197-P1197-Q1197)&gt;1),"⚠ Haberes − descuentos no da el líquido","OK"))))))</f>
        <v/>
      </c>
      <c r="V1197" s="62" t="str">
        <f aca="false">IF(C1197="","",IFERROR(VALUE(LEFT(UPPER(SUBSTITUTE(SUBSTITUTE(SUBSTITUTE(TRIM(C1197),".",""),"-","")," ","")),LEN(UPPER(SUBSTITUTE(SUBSTITUTE(SUBSTITUTE(TRIM(C1197),".",""),"-","")," ","")))-1))&amp;RIGHT(UPPER(SUBSTITUTE(SUBSTITUTE(SUBSTITUTE(TRIM(C1197),".",""),"-","")," ","")),1),UPPER(SUBSTITUTE(SUBSTITUTE(SUBSTITUTE(TRIM(C1197),".",""),"-","")," ",""))))</f>
        <v/>
      </c>
    </row>
    <row r="1198" customFormat="false" ht="15" hidden="false" customHeight="false" outlineLevel="0" collapsed="false">
      <c r="B1198" s="80"/>
      <c r="C1198" s="58"/>
      <c r="D1198" s="62" t="str">
        <f aca="false">IF(C1198="","",IFERROR(INDEX(T_NOMBRE,MATCH(V1198,T_RUTN,0)),"⚠ RUT no está en Trabajadores"))</f>
        <v/>
      </c>
      <c r="E1198" s="61"/>
      <c r="F1198" s="61"/>
      <c r="G1198" s="61"/>
      <c r="H1198" s="61"/>
      <c r="I1198" s="81"/>
      <c r="J1198" s="81"/>
      <c r="K1198" s="60"/>
      <c r="L1198" s="60"/>
      <c r="M1198" s="60"/>
      <c r="N1198" s="60"/>
      <c r="O1198" s="60"/>
      <c r="P1198" s="60"/>
      <c r="Q1198" s="60"/>
      <c r="R1198" s="58"/>
      <c r="S1198" s="62" t="str">
        <f aca="false">IF(OR(B1198="",V1198=""),"",IFERROR(INDEX(C_TIPO,MATCH(V1198&amp;"-P"&amp;MAX(1,COUNTIFS(C_RUTN,V1198,C_DEF,"Sí",C_INI,"&lt;="&amp;EOMONTH(B1198,0))),C_CLAVE,0))&amp;"","Sin contrato"))</f>
        <v/>
      </c>
      <c r="T1198" s="63" t="str">
        <f aca="false">IF(OR(B1198="",N(O1198)=0),"",N(O1198)+ROUND(MIN(N(N1198),TOPE_UF*UF_MES)*(TASA_EMP+MUTUAL),0)+ROUND(MIN(N(N1198),TOPE_AFC_UF*UF_MES)*IF(S1198="Indefinido",AFC_INDEF,AFC_PF),0))</f>
        <v/>
      </c>
      <c r="U1198" s="62" t="str">
        <f aca="false">IF(C1198="","",IF(LEFT(D1198,1)="⚠","⚠ RUT no registrado en Trabajadores",IF(B1198="","⚠ Falta el mes",IF(OR(ISTEXT(I1198),ISTEXT(J1198)),"⚠ Atrasos u horas extra como texto: escriba hh:mm (ej. 1:30)",IF(AND(ISNUMBER(Q1198),COUNTIFS(M_RUTN,V1198,M_MES,B1198,M_LIQ,"&lt;&gt;")&gt;1),"⚠ Liquidación repetida en el mes",IF(AND(ISNUMBER(O1198),ISNUMBER(P1198),ISNUMBER(Q1198),ABS(O1198-P1198-Q1198)&gt;1),"⚠ Haberes − descuentos no da el líquido","OK"))))))</f>
        <v/>
      </c>
      <c r="V1198" s="62" t="str">
        <f aca="false">IF(C1198="","",IFERROR(VALUE(LEFT(UPPER(SUBSTITUTE(SUBSTITUTE(SUBSTITUTE(TRIM(C1198),".",""),"-","")," ","")),LEN(UPPER(SUBSTITUTE(SUBSTITUTE(SUBSTITUTE(TRIM(C1198),".",""),"-","")," ","")))-1))&amp;RIGHT(UPPER(SUBSTITUTE(SUBSTITUTE(SUBSTITUTE(TRIM(C1198),".",""),"-","")," ","")),1),UPPER(SUBSTITUTE(SUBSTITUTE(SUBSTITUTE(TRIM(C1198),".",""),"-","")," ",""))))</f>
        <v/>
      </c>
    </row>
    <row r="1199" customFormat="false" ht="15" hidden="false" customHeight="false" outlineLevel="0" collapsed="false">
      <c r="B1199" s="80"/>
      <c r="C1199" s="58"/>
      <c r="D1199" s="62" t="str">
        <f aca="false">IF(C1199="","",IFERROR(INDEX(T_NOMBRE,MATCH(V1199,T_RUTN,0)),"⚠ RUT no está en Trabajadores"))</f>
        <v/>
      </c>
      <c r="E1199" s="61"/>
      <c r="F1199" s="61"/>
      <c r="G1199" s="61"/>
      <c r="H1199" s="61"/>
      <c r="I1199" s="81"/>
      <c r="J1199" s="81"/>
      <c r="K1199" s="60"/>
      <c r="L1199" s="60"/>
      <c r="M1199" s="60"/>
      <c r="N1199" s="60"/>
      <c r="O1199" s="60"/>
      <c r="P1199" s="60"/>
      <c r="Q1199" s="60"/>
      <c r="R1199" s="58"/>
      <c r="S1199" s="62" t="str">
        <f aca="false">IF(OR(B1199="",V1199=""),"",IFERROR(INDEX(C_TIPO,MATCH(V1199&amp;"-P"&amp;MAX(1,COUNTIFS(C_RUTN,V1199,C_DEF,"Sí",C_INI,"&lt;="&amp;EOMONTH(B1199,0))),C_CLAVE,0))&amp;"","Sin contrato"))</f>
        <v/>
      </c>
      <c r="T1199" s="63" t="str">
        <f aca="false">IF(OR(B1199="",N(O1199)=0),"",N(O1199)+ROUND(MIN(N(N1199),TOPE_UF*UF_MES)*(TASA_EMP+MUTUAL),0)+ROUND(MIN(N(N1199),TOPE_AFC_UF*UF_MES)*IF(S1199="Indefinido",AFC_INDEF,AFC_PF),0))</f>
        <v/>
      </c>
      <c r="U1199" s="62" t="str">
        <f aca="false">IF(C1199="","",IF(LEFT(D1199,1)="⚠","⚠ RUT no registrado en Trabajadores",IF(B1199="","⚠ Falta el mes",IF(OR(ISTEXT(I1199),ISTEXT(J1199)),"⚠ Atrasos u horas extra como texto: escriba hh:mm (ej. 1:30)",IF(AND(ISNUMBER(Q1199),COUNTIFS(M_RUTN,V1199,M_MES,B1199,M_LIQ,"&lt;&gt;")&gt;1),"⚠ Liquidación repetida en el mes",IF(AND(ISNUMBER(O1199),ISNUMBER(P1199),ISNUMBER(Q1199),ABS(O1199-P1199-Q1199)&gt;1),"⚠ Haberes − descuentos no da el líquido","OK"))))))</f>
        <v/>
      </c>
      <c r="V1199" s="62" t="str">
        <f aca="false">IF(C1199="","",IFERROR(VALUE(LEFT(UPPER(SUBSTITUTE(SUBSTITUTE(SUBSTITUTE(TRIM(C1199),".",""),"-","")," ","")),LEN(UPPER(SUBSTITUTE(SUBSTITUTE(SUBSTITUTE(TRIM(C1199),".",""),"-","")," ","")))-1))&amp;RIGHT(UPPER(SUBSTITUTE(SUBSTITUTE(SUBSTITUTE(TRIM(C1199),".",""),"-","")," ","")),1),UPPER(SUBSTITUTE(SUBSTITUTE(SUBSTITUTE(TRIM(C1199),".",""),"-","")," ",""))))</f>
        <v/>
      </c>
    </row>
    <row r="1200" customFormat="false" ht="15" hidden="false" customHeight="false" outlineLevel="0" collapsed="false">
      <c r="B1200" s="80"/>
      <c r="C1200" s="58"/>
      <c r="D1200" s="62" t="str">
        <f aca="false">IF(C1200="","",IFERROR(INDEX(T_NOMBRE,MATCH(V1200,T_RUTN,0)),"⚠ RUT no está en Trabajadores"))</f>
        <v/>
      </c>
      <c r="E1200" s="61"/>
      <c r="F1200" s="61"/>
      <c r="G1200" s="61"/>
      <c r="H1200" s="61"/>
      <c r="I1200" s="81"/>
      <c r="J1200" s="81"/>
      <c r="K1200" s="60"/>
      <c r="L1200" s="60"/>
      <c r="M1200" s="60"/>
      <c r="N1200" s="60"/>
      <c r="O1200" s="60"/>
      <c r="P1200" s="60"/>
      <c r="Q1200" s="60"/>
      <c r="R1200" s="58"/>
      <c r="S1200" s="62" t="str">
        <f aca="false">IF(OR(B1200="",V1200=""),"",IFERROR(INDEX(C_TIPO,MATCH(V1200&amp;"-P"&amp;MAX(1,COUNTIFS(C_RUTN,V1200,C_DEF,"Sí",C_INI,"&lt;="&amp;EOMONTH(B1200,0))),C_CLAVE,0))&amp;"","Sin contrato"))</f>
        <v/>
      </c>
      <c r="T1200" s="63" t="str">
        <f aca="false">IF(OR(B1200="",N(O1200)=0),"",N(O1200)+ROUND(MIN(N(N1200),TOPE_UF*UF_MES)*(TASA_EMP+MUTUAL),0)+ROUND(MIN(N(N1200),TOPE_AFC_UF*UF_MES)*IF(S1200="Indefinido",AFC_INDEF,AFC_PF),0))</f>
        <v/>
      </c>
      <c r="U1200" s="62" t="str">
        <f aca="false">IF(C1200="","",IF(LEFT(D1200,1)="⚠","⚠ RUT no registrado en Trabajadores",IF(B1200="","⚠ Falta el mes",IF(OR(ISTEXT(I1200),ISTEXT(J1200)),"⚠ Atrasos u horas extra como texto: escriba hh:mm (ej. 1:30)",IF(AND(ISNUMBER(Q1200),COUNTIFS(M_RUTN,V1200,M_MES,B1200,M_LIQ,"&lt;&gt;")&gt;1),"⚠ Liquidación repetida en el mes",IF(AND(ISNUMBER(O1200),ISNUMBER(P1200),ISNUMBER(Q1200),ABS(O1200-P1200-Q1200)&gt;1),"⚠ Haberes − descuentos no da el líquido","OK"))))))</f>
        <v/>
      </c>
      <c r="V1200" s="62" t="str">
        <f aca="false">IF(C1200="","",IFERROR(VALUE(LEFT(UPPER(SUBSTITUTE(SUBSTITUTE(SUBSTITUTE(TRIM(C1200),".",""),"-","")," ","")),LEN(UPPER(SUBSTITUTE(SUBSTITUTE(SUBSTITUTE(TRIM(C1200),".",""),"-","")," ","")))-1))&amp;RIGHT(UPPER(SUBSTITUTE(SUBSTITUTE(SUBSTITUTE(TRIM(C1200),".",""),"-","")," ","")),1),UPPER(SUBSTITUTE(SUBSTITUTE(SUBSTITUTE(TRIM(C1200),".",""),"-","")," ",""))))</f>
        <v/>
      </c>
    </row>
    <row r="1201" customFormat="false" ht="15" hidden="false" customHeight="false" outlineLevel="0" collapsed="false">
      <c r="B1201" s="80"/>
      <c r="C1201" s="58"/>
      <c r="D1201" s="62" t="str">
        <f aca="false">IF(C1201="","",IFERROR(INDEX(T_NOMBRE,MATCH(V1201,T_RUTN,0)),"⚠ RUT no está en Trabajadores"))</f>
        <v/>
      </c>
      <c r="E1201" s="61"/>
      <c r="F1201" s="61"/>
      <c r="G1201" s="61"/>
      <c r="H1201" s="61"/>
      <c r="I1201" s="81"/>
      <c r="J1201" s="81"/>
      <c r="K1201" s="60"/>
      <c r="L1201" s="60"/>
      <c r="M1201" s="60"/>
      <c r="N1201" s="60"/>
      <c r="O1201" s="60"/>
      <c r="P1201" s="60"/>
      <c r="Q1201" s="60"/>
      <c r="R1201" s="58"/>
      <c r="S1201" s="62" t="str">
        <f aca="false">IF(OR(B1201="",V1201=""),"",IFERROR(INDEX(C_TIPO,MATCH(V1201&amp;"-P"&amp;MAX(1,COUNTIFS(C_RUTN,V1201,C_DEF,"Sí",C_INI,"&lt;="&amp;EOMONTH(B1201,0))),C_CLAVE,0))&amp;"","Sin contrato"))</f>
        <v/>
      </c>
      <c r="T1201" s="63" t="str">
        <f aca="false">IF(OR(B1201="",N(O1201)=0),"",N(O1201)+ROUND(MIN(N(N1201),TOPE_UF*UF_MES)*(TASA_EMP+MUTUAL),0)+ROUND(MIN(N(N1201),TOPE_AFC_UF*UF_MES)*IF(S1201="Indefinido",AFC_INDEF,AFC_PF),0))</f>
        <v/>
      </c>
      <c r="U1201" s="62" t="str">
        <f aca="false">IF(C1201="","",IF(LEFT(D1201,1)="⚠","⚠ RUT no registrado en Trabajadores",IF(B1201="","⚠ Falta el mes",IF(OR(ISTEXT(I1201),ISTEXT(J1201)),"⚠ Atrasos u horas extra como texto: escriba hh:mm (ej. 1:30)",IF(AND(ISNUMBER(Q1201),COUNTIFS(M_RUTN,V1201,M_MES,B1201,M_LIQ,"&lt;&gt;")&gt;1),"⚠ Liquidación repetida en el mes",IF(AND(ISNUMBER(O1201),ISNUMBER(P1201),ISNUMBER(Q1201),ABS(O1201-P1201-Q1201)&gt;1),"⚠ Haberes − descuentos no da el líquido","OK"))))))</f>
        <v/>
      </c>
      <c r="V1201" s="62" t="str">
        <f aca="false">IF(C1201="","",IFERROR(VALUE(LEFT(UPPER(SUBSTITUTE(SUBSTITUTE(SUBSTITUTE(TRIM(C1201),".",""),"-","")," ","")),LEN(UPPER(SUBSTITUTE(SUBSTITUTE(SUBSTITUTE(TRIM(C1201),".",""),"-","")," ","")))-1))&amp;RIGHT(UPPER(SUBSTITUTE(SUBSTITUTE(SUBSTITUTE(TRIM(C1201),".",""),"-","")," ","")),1),UPPER(SUBSTITUTE(SUBSTITUTE(SUBSTITUTE(TRIM(C1201),".",""),"-","")," ",""))))</f>
        <v/>
      </c>
    </row>
    <row r="1202" customFormat="false" ht="15" hidden="false" customHeight="false" outlineLevel="0" collapsed="false">
      <c r="B1202" s="80"/>
      <c r="C1202" s="58"/>
      <c r="D1202" s="62" t="str">
        <f aca="false">IF(C1202="","",IFERROR(INDEX(T_NOMBRE,MATCH(V1202,T_RUTN,0)),"⚠ RUT no está en Trabajadores"))</f>
        <v/>
      </c>
      <c r="E1202" s="61"/>
      <c r="F1202" s="61"/>
      <c r="G1202" s="61"/>
      <c r="H1202" s="61"/>
      <c r="I1202" s="81"/>
      <c r="J1202" s="81"/>
      <c r="K1202" s="60"/>
      <c r="L1202" s="60"/>
      <c r="M1202" s="60"/>
      <c r="N1202" s="60"/>
      <c r="O1202" s="60"/>
      <c r="P1202" s="60"/>
      <c r="Q1202" s="60"/>
      <c r="R1202" s="58"/>
      <c r="S1202" s="62" t="str">
        <f aca="false">IF(OR(B1202="",V1202=""),"",IFERROR(INDEX(C_TIPO,MATCH(V1202&amp;"-P"&amp;MAX(1,COUNTIFS(C_RUTN,V1202,C_DEF,"Sí",C_INI,"&lt;="&amp;EOMONTH(B1202,0))),C_CLAVE,0))&amp;"","Sin contrato"))</f>
        <v/>
      </c>
      <c r="T1202" s="63" t="str">
        <f aca="false">IF(OR(B1202="",N(O1202)=0),"",N(O1202)+ROUND(MIN(N(N1202),TOPE_UF*UF_MES)*(TASA_EMP+MUTUAL),0)+ROUND(MIN(N(N1202),TOPE_AFC_UF*UF_MES)*IF(S1202="Indefinido",AFC_INDEF,AFC_PF),0))</f>
        <v/>
      </c>
      <c r="U1202" s="62" t="str">
        <f aca="false">IF(C1202="","",IF(LEFT(D1202,1)="⚠","⚠ RUT no registrado en Trabajadores",IF(B1202="","⚠ Falta el mes",IF(OR(ISTEXT(I1202),ISTEXT(J1202)),"⚠ Atrasos u horas extra como texto: escriba hh:mm (ej. 1:30)",IF(AND(ISNUMBER(Q1202),COUNTIFS(M_RUTN,V1202,M_MES,B1202,M_LIQ,"&lt;&gt;")&gt;1),"⚠ Liquidación repetida en el mes",IF(AND(ISNUMBER(O1202),ISNUMBER(P1202),ISNUMBER(Q1202),ABS(O1202-P1202-Q1202)&gt;1),"⚠ Haberes − descuentos no da el líquido","OK"))))))</f>
        <v/>
      </c>
      <c r="V1202" s="62" t="str">
        <f aca="false">IF(C1202="","",IFERROR(VALUE(LEFT(UPPER(SUBSTITUTE(SUBSTITUTE(SUBSTITUTE(TRIM(C1202),".",""),"-","")," ","")),LEN(UPPER(SUBSTITUTE(SUBSTITUTE(SUBSTITUTE(TRIM(C1202),".",""),"-","")," ","")))-1))&amp;RIGHT(UPPER(SUBSTITUTE(SUBSTITUTE(SUBSTITUTE(TRIM(C1202),".",""),"-","")," ","")),1),UPPER(SUBSTITUTE(SUBSTITUTE(SUBSTITUTE(TRIM(C1202),".",""),"-","")," ",""))))</f>
        <v/>
      </c>
    </row>
    <row r="1203" customFormat="false" ht="15" hidden="false" customHeight="false" outlineLevel="0" collapsed="false">
      <c r="B1203" s="80"/>
      <c r="C1203" s="58"/>
      <c r="D1203" s="62" t="str">
        <f aca="false">IF(C1203="","",IFERROR(INDEX(T_NOMBRE,MATCH(V1203,T_RUTN,0)),"⚠ RUT no está en Trabajadores"))</f>
        <v/>
      </c>
      <c r="E1203" s="61"/>
      <c r="F1203" s="61"/>
      <c r="G1203" s="61"/>
      <c r="H1203" s="61"/>
      <c r="I1203" s="81"/>
      <c r="J1203" s="81"/>
      <c r="K1203" s="60"/>
      <c r="L1203" s="60"/>
      <c r="M1203" s="60"/>
      <c r="N1203" s="60"/>
      <c r="O1203" s="60"/>
      <c r="P1203" s="60"/>
      <c r="Q1203" s="60"/>
      <c r="R1203" s="58"/>
      <c r="S1203" s="62" t="str">
        <f aca="false">IF(OR(B1203="",V1203=""),"",IFERROR(INDEX(C_TIPO,MATCH(V1203&amp;"-P"&amp;MAX(1,COUNTIFS(C_RUTN,V1203,C_DEF,"Sí",C_INI,"&lt;="&amp;EOMONTH(B1203,0))),C_CLAVE,0))&amp;"","Sin contrato"))</f>
        <v/>
      </c>
      <c r="T1203" s="63" t="str">
        <f aca="false">IF(OR(B1203="",N(O1203)=0),"",N(O1203)+ROUND(MIN(N(N1203),TOPE_UF*UF_MES)*(TASA_EMP+MUTUAL),0)+ROUND(MIN(N(N1203),TOPE_AFC_UF*UF_MES)*IF(S1203="Indefinido",AFC_INDEF,AFC_PF),0))</f>
        <v/>
      </c>
      <c r="U1203" s="62" t="str">
        <f aca="false">IF(C1203="","",IF(LEFT(D1203,1)="⚠","⚠ RUT no registrado en Trabajadores",IF(B1203="","⚠ Falta el mes",IF(OR(ISTEXT(I1203),ISTEXT(J1203)),"⚠ Atrasos u horas extra como texto: escriba hh:mm (ej. 1:30)",IF(AND(ISNUMBER(Q1203),COUNTIFS(M_RUTN,V1203,M_MES,B1203,M_LIQ,"&lt;&gt;")&gt;1),"⚠ Liquidación repetida en el mes",IF(AND(ISNUMBER(O1203),ISNUMBER(P1203),ISNUMBER(Q1203),ABS(O1203-P1203-Q1203)&gt;1),"⚠ Haberes − descuentos no da el líquido","OK"))))))</f>
        <v/>
      </c>
      <c r="V1203" s="62" t="str">
        <f aca="false">IF(C1203="","",IFERROR(VALUE(LEFT(UPPER(SUBSTITUTE(SUBSTITUTE(SUBSTITUTE(TRIM(C1203),".",""),"-","")," ","")),LEN(UPPER(SUBSTITUTE(SUBSTITUTE(SUBSTITUTE(TRIM(C1203),".",""),"-","")," ","")))-1))&amp;RIGHT(UPPER(SUBSTITUTE(SUBSTITUTE(SUBSTITUTE(TRIM(C1203),".",""),"-","")," ","")),1),UPPER(SUBSTITUTE(SUBSTITUTE(SUBSTITUTE(TRIM(C1203),".",""),"-","")," ",""))))</f>
        <v/>
      </c>
    </row>
    <row r="1204" customFormat="false" ht="15" hidden="false" customHeight="false" outlineLevel="0" collapsed="false">
      <c r="B1204" s="80"/>
      <c r="C1204" s="58"/>
      <c r="D1204" s="62" t="str">
        <f aca="false">IF(C1204="","",IFERROR(INDEX(T_NOMBRE,MATCH(V1204,T_RUTN,0)),"⚠ RUT no está en Trabajadores"))</f>
        <v/>
      </c>
      <c r="E1204" s="61"/>
      <c r="F1204" s="61"/>
      <c r="G1204" s="61"/>
      <c r="H1204" s="61"/>
      <c r="I1204" s="81"/>
      <c r="J1204" s="81"/>
      <c r="K1204" s="60"/>
      <c r="L1204" s="60"/>
      <c r="M1204" s="60"/>
      <c r="N1204" s="60"/>
      <c r="O1204" s="60"/>
      <c r="P1204" s="60"/>
      <c r="Q1204" s="60"/>
      <c r="R1204" s="58"/>
      <c r="S1204" s="62" t="str">
        <f aca="false">IF(OR(B1204="",V1204=""),"",IFERROR(INDEX(C_TIPO,MATCH(V1204&amp;"-P"&amp;MAX(1,COUNTIFS(C_RUTN,V1204,C_DEF,"Sí",C_INI,"&lt;="&amp;EOMONTH(B1204,0))),C_CLAVE,0))&amp;"","Sin contrato"))</f>
        <v/>
      </c>
      <c r="T1204" s="63" t="str">
        <f aca="false">IF(OR(B1204="",N(O1204)=0),"",N(O1204)+ROUND(MIN(N(N1204),TOPE_UF*UF_MES)*(TASA_EMP+MUTUAL),0)+ROUND(MIN(N(N1204),TOPE_AFC_UF*UF_MES)*IF(S1204="Indefinido",AFC_INDEF,AFC_PF),0))</f>
        <v/>
      </c>
      <c r="U1204" s="62" t="str">
        <f aca="false">IF(C1204="","",IF(LEFT(D1204,1)="⚠","⚠ RUT no registrado en Trabajadores",IF(B1204="","⚠ Falta el mes",IF(OR(ISTEXT(I1204),ISTEXT(J1204)),"⚠ Atrasos u horas extra como texto: escriba hh:mm (ej. 1:30)",IF(AND(ISNUMBER(Q1204),COUNTIFS(M_RUTN,V1204,M_MES,B1204,M_LIQ,"&lt;&gt;")&gt;1),"⚠ Liquidación repetida en el mes",IF(AND(ISNUMBER(O1204),ISNUMBER(P1204),ISNUMBER(Q1204),ABS(O1204-P1204-Q1204)&gt;1),"⚠ Haberes − descuentos no da el líquido","OK"))))))</f>
        <v/>
      </c>
      <c r="V1204" s="62" t="str">
        <f aca="false">IF(C1204="","",IFERROR(VALUE(LEFT(UPPER(SUBSTITUTE(SUBSTITUTE(SUBSTITUTE(TRIM(C1204),".",""),"-","")," ","")),LEN(UPPER(SUBSTITUTE(SUBSTITUTE(SUBSTITUTE(TRIM(C1204),".",""),"-","")," ","")))-1))&amp;RIGHT(UPPER(SUBSTITUTE(SUBSTITUTE(SUBSTITUTE(TRIM(C1204),".",""),"-","")," ","")),1),UPPER(SUBSTITUTE(SUBSTITUTE(SUBSTITUTE(TRIM(C1204),".",""),"-","")," ",""))))</f>
        <v/>
      </c>
    </row>
    <row r="1205" customFormat="false" ht="15" hidden="false" customHeight="false" outlineLevel="0" collapsed="false">
      <c r="B1205" s="80"/>
      <c r="C1205" s="58"/>
      <c r="D1205" s="62" t="str">
        <f aca="false">IF(C1205="","",IFERROR(INDEX(T_NOMBRE,MATCH(V1205,T_RUTN,0)),"⚠ RUT no está en Trabajadores"))</f>
        <v/>
      </c>
      <c r="E1205" s="61"/>
      <c r="F1205" s="61"/>
      <c r="G1205" s="61"/>
      <c r="H1205" s="61"/>
      <c r="I1205" s="81"/>
      <c r="J1205" s="81"/>
      <c r="K1205" s="60"/>
      <c r="L1205" s="60"/>
      <c r="M1205" s="60"/>
      <c r="N1205" s="60"/>
      <c r="O1205" s="60"/>
      <c r="P1205" s="60"/>
      <c r="Q1205" s="60"/>
      <c r="R1205" s="58"/>
      <c r="S1205" s="62" t="str">
        <f aca="false">IF(OR(B1205="",V1205=""),"",IFERROR(INDEX(C_TIPO,MATCH(V1205&amp;"-P"&amp;MAX(1,COUNTIFS(C_RUTN,V1205,C_DEF,"Sí",C_INI,"&lt;="&amp;EOMONTH(B1205,0))),C_CLAVE,0))&amp;"","Sin contrato"))</f>
        <v/>
      </c>
      <c r="T1205" s="63" t="str">
        <f aca="false">IF(OR(B1205="",N(O1205)=0),"",N(O1205)+ROUND(MIN(N(N1205),TOPE_UF*UF_MES)*(TASA_EMP+MUTUAL),0)+ROUND(MIN(N(N1205),TOPE_AFC_UF*UF_MES)*IF(S1205="Indefinido",AFC_INDEF,AFC_PF),0))</f>
        <v/>
      </c>
      <c r="U1205" s="62" t="str">
        <f aca="false">IF(C1205="","",IF(LEFT(D1205,1)="⚠","⚠ RUT no registrado en Trabajadores",IF(B1205="","⚠ Falta el mes",IF(OR(ISTEXT(I1205),ISTEXT(J1205)),"⚠ Atrasos u horas extra como texto: escriba hh:mm (ej. 1:30)",IF(AND(ISNUMBER(Q1205),COUNTIFS(M_RUTN,V1205,M_MES,B1205,M_LIQ,"&lt;&gt;")&gt;1),"⚠ Liquidación repetida en el mes",IF(AND(ISNUMBER(O1205),ISNUMBER(P1205),ISNUMBER(Q1205),ABS(O1205-P1205-Q1205)&gt;1),"⚠ Haberes − descuentos no da el líquido","OK"))))))</f>
        <v/>
      </c>
      <c r="V1205" s="62" t="str">
        <f aca="false">IF(C1205="","",IFERROR(VALUE(LEFT(UPPER(SUBSTITUTE(SUBSTITUTE(SUBSTITUTE(TRIM(C1205),".",""),"-","")," ","")),LEN(UPPER(SUBSTITUTE(SUBSTITUTE(SUBSTITUTE(TRIM(C1205),".",""),"-","")," ","")))-1))&amp;RIGHT(UPPER(SUBSTITUTE(SUBSTITUTE(SUBSTITUTE(TRIM(C1205),".",""),"-","")," ","")),1),UPPER(SUBSTITUTE(SUBSTITUTE(SUBSTITUTE(TRIM(C1205),".",""),"-","")," ",""))))</f>
        <v/>
      </c>
    </row>
    <row r="1206" customFormat="false" ht="15" hidden="false" customHeight="false" outlineLevel="0" collapsed="false">
      <c r="B1206" s="80"/>
      <c r="C1206" s="58"/>
      <c r="D1206" s="62" t="str">
        <f aca="false">IF(C1206="","",IFERROR(INDEX(T_NOMBRE,MATCH(V1206,T_RUTN,0)),"⚠ RUT no está en Trabajadores"))</f>
        <v/>
      </c>
      <c r="E1206" s="61"/>
      <c r="F1206" s="61"/>
      <c r="G1206" s="61"/>
      <c r="H1206" s="61"/>
      <c r="I1206" s="81"/>
      <c r="J1206" s="81"/>
      <c r="K1206" s="60"/>
      <c r="L1206" s="60"/>
      <c r="M1206" s="60"/>
      <c r="N1206" s="60"/>
      <c r="O1206" s="60"/>
      <c r="P1206" s="60"/>
      <c r="Q1206" s="60"/>
      <c r="R1206" s="58"/>
      <c r="S1206" s="62" t="str">
        <f aca="false">IF(OR(B1206="",V1206=""),"",IFERROR(INDEX(C_TIPO,MATCH(V1206&amp;"-P"&amp;MAX(1,COUNTIFS(C_RUTN,V1206,C_DEF,"Sí",C_INI,"&lt;="&amp;EOMONTH(B1206,0))),C_CLAVE,0))&amp;"","Sin contrato"))</f>
        <v/>
      </c>
      <c r="T1206" s="63" t="str">
        <f aca="false">IF(OR(B1206="",N(O1206)=0),"",N(O1206)+ROUND(MIN(N(N1206),TOPE_UF*UF_MES)*(TASA_EMP+MUTUAL),0)+ROUND(MIN(N(N1206),TOPE_AFC_UF*UF_MES)*IF(S1206="Indefinido",AFC_INDEF,AFC_PF),0))</f>
        <v/>
      </c>
      <c r="U1206" s="62" t="str">
        <f aca="false">IF(C1206="","",IF(LEFT(D1206,1)="⚠","⚠ RUT no registrado en Trabajadores",IF(B1206="","⚠ Falta el mes",IF(OR(ISTEXT(I1206),ISTEXT(J1206)),"⚠ Atrasos u horas extra como texto: escriba hh:mm (ej. 1:30)",IF(AND(ISNUMBER(Q1206),COUNTIFS(M_RUTN,V1206,M_MES,B1206,M_LIQ,"&lt;&gt;")&gt;1),"⚠ Liquidación repetida en el mes",IF(AND(ISNUMBER(O1206),ISNUMBER(P1206),ISNUMBER(Q1206),ABS(O1206-P1206-Q1206)&gt;1),"⚠ Haberes − descuentos no da el líquido","OK"))))))</f>
        <v/>
      </c>
      <c r="V1206" s="62" t="str">
        <f aca="false">IF(C1206="","",IFERROR(VALUE(LEFT(UPPER(SUBSTITUTE(SUBSTITUTE(SUBSTITUTE(TRIM(C1206),".",""),"-","")," ","")),LEN(UPPER(SUBSTITUTE(SUBSTITUTE(SUBSTITUTE(TRIM(C1206),".",""),"-","")," ","")))-1))&amp;RIGHT(UPPER(SUBSTITUTE(SUBSTITUTE(SUBSTITUTE(TRIM(C1206),".",""),"-","")," ","")),1),UPPER(SUBSTITUTE(SUBSTITUTE(SUBSTITUTE(TRIM(C1206),".",""),"-","")," ",""))))</f>
        <v/>
      </c>
    </row>
    <row r="1207" customFormat="false" ht="15" hidden="false" customHeight="false" outlineLevel="0" collapsed="false">
      <c r="B1207" s="80"/>
      <c r="C1207" s="58"/>
      <c r="D1207" s="62" t="str">
        <f aca="false">IF(C1207="","",IFERROR(INDEX(T_NOMBRE,MATCH(V1207,T_RUTN,0)),"⚠ RUT no está en Trabajadores"))</f>
        <v/>
      </c>
      <c r="E1207" s="61"/>
      <c r="F1207" s="61"/>
      <c r="G1207" s="61"/>
      <c r="H1207" s="61"/>
      <c r="I1207" s="81"/>
      <c r="J1207" s="81"/>
      <c r="K1207" s="60"/>
      <c r="L1207" s="60"/>
      <c r="M1207" s="60"/>
      <c r="N1207" s="60"/>
      <c r="O1207" s="60"/>
      <c r="P1207" s="60"/>
      <c r="Q1207" s="60"/>
      <c r="R1207" s="58"/>
      <c r="S1207" s="62" t="str">
        <f aca="false">IF(OR(B1207="",V1207=""),"",IFERROR(INDEX(C_TIPO,MATCH(V1207&amp;"-P"&amp;MAX(1,COUNTIFS(C_RUTN,V1207,C_DEF,"Sí",C_INI,"&lt;="&amp;EOMONTH(B1207,0))),C_CLAVE,0))&amp;"","Sin contrato"))</f>
        <v/>
      </c>
      <c r="T1207" s="63" t="str">
        <f aca="false">IF(OR(B1207="",N(O1207)=0),"",N(O1207)+ROUND(MIN(N(N1207),TOPE_UF*UF_MES)*(TASA_EMP+MUTUAL),0)+ROUND(MIN(N(N1207),TOPE_AFC_UF*UF_MES)*IF(S1207="Indefinido",AFC_INDEF,AFC_PF),0))</f>
        <v/>
      </c>
      <c r="U1207" s="62" t="str">
        <f aca="false">IF(C1207="","",IF(LEFT(D1207,1)="⚠","⚠ RUT no registrado en Trabajadores",IF(B1207="","⚠ Falta el mes",IF(OR(ISTEXT(I1207),ISTEXT(J1207)),"⚠ Atrasos u horas extra como texto: escriba hh:mm (ej. 1:30)",IF(AND(ISNUMBER(Q1207),COUNTIFS(M_RUTN,V1207,M_MES,B1207,M_LIQ,"&lt;&gt;")&gt;1),"⚠ Liquidación repetida en el mes",IF(AND(ISNUMBER(O1207),ISNUMBER(P1207),ISNUMBER(Q1207),ABS(O1207-P1207-Q1207)&gt;1),"⚠ Haberes − descuentos no da el líquido","OK"))))))</f>
        <v/>
      </c>
      <c r="V1207" s="62" t="str">
        <f aca="false">IF(C1207="","",IFERROR(VALUE(LEFT(UPPER(SUBSTITUTE(SUBSTITUTE(SUBSTITUTE(TRIM(C1207),".",""),"-","")," ","")),LEN(UPPER(SUBSTITUTE(SUBSTITUTE(SUBSTITUTE(TRIM(C1207),".",""),"-","")," ","")))-1))&amp;RIGHT(UPPER(SUBSTITUTE(SUBSTITUTE(SUBSTITUTE(TRIM(C1207),".",""),"-","")," ","")),1),UPPER(SUBSTITUTE(SUBSTITUTE(SUBSTITUTE(TRIM(C1207),".",""),"-","")," ",""))))</f>
        <v/>
      </c>
    </row>
    <row r="1208" customFormat="false" ht="15" hidden="false" customHeight="false" outlineLevel="0" collapsed="false">
      <c r="B1208" s="80"/>
      <c r="C1208" s="58"/>
      <c r="D1208" s="62" t="str">
        <f aca="false">IF(C1208="","",IFERROR(INDEX(T_NOMBRE,MATCH(V1208,T_RUTN,0)),"⚠ RUT no está en Trabajadores"))</f>
        <v/>
      </c>
      <c r="E1208" s="61"/>
      <c r="F1208" s="61"/>
      <c r="G1208" s="61"/>
      <c r="H1208" s="61"/>
      <c r="I1208" s="81"/>
      <c r="J1208" s="81"/>
      <c r="K1208" s="60"/>
      <c r="L1208" s="60"/>
      <c r="M1208" s="60"/>
      <c r="N1208" s="60"/>
      <c r="O1208" s="60"/>
      <c r="P1208" s="60"/>
      <c r="Q1208" s="60"/>
      <c r="R1208" s="58"/>
      <c r="S1208" s="62" t="str">
        <f aca="false">IF(OR(B1208="",V1208=""),"",IFERROR(INDEX(C_TIPO,MATCH(V1208&amp;"-P"&amp;MAX(1,COUNTIFS(C_RUTN,V1208,C_DEF,"Sí",C_INI,"&lt;="&amp;EOMONTH(B1208,0))),C_CLAVE,0))&amp;"","Sin contrato"))</f>
        <v/>
      </c>
      <c r="T1208" s="63" t="str">
        <f aca="false">IF(OR(B1208="",N(O1208)=0),"",N(O1208)+ROUND(MIN(N(N1208),TOPE_UF*UF_MES)*(TASA_EMP+MUTUAL),0)+ROUND(MIN(N(N1208),TOPE_AFC_UF*UF_MES)*IF(S1208="Indefinido",AFC_INDEF,AFC_PF),0))</f>
        <v/>
      </c>
      <c r="U1208" s="62" t="str">
        <f aca="false">IF(C1208="","",IF(LEFT(D1208,1)="⚠","⚠ RUT no registrado en Trabajadores",IF(B1208="","⚠ Falta el mes",IF(OR(ISTEXT(I1208),ISTEXT(J1208)),"⚠ Atrasos u horas extra como texto: escriba hh:mm (ej. 1:30)",IF(AND(ISNUMBER(Q1208),COUNTIFS(M_RUTN,V1208,M_MES,B1208,M_LIQ,"&lt;&gt;")&gt;1),"⚠ Liquidación repetida en el mes",IF(AND(ISNUMBER(O1208),ISNUMBER(P1208),ISNUMBER(Q1208),ABS(O1208-P1208-Q1208)&gt;1),"⚠ Haberes − descuentos no da el líquido","OK"))))))</f>
        <v/>
      </c>
      <c r="V1208" s="62" t="str">
        <f aca="false">IF(C1208="","",IFERROR(VALUE(LEFT(UPPER(SUBSTITUTE(SUBSTITUTE(SUBSTITUTE(TRIM(C1208),".",""),"-","")," ","")),LEN(UPPER(SUBSTITUTE(SUBSTITUTE(SUBSTITUTE(TRIM(C1208),".",""),"-","")," ","")))-1))&amp;RIGHT(UPPER(SUBSTITUTE(SUBSTITUTE(SUBSTITUTE(TRIM(C1208),".",""),"-","")," ","")),1),UPPER(SUBSTITUTE(SUBSTITUTE(SUBSTITUTE(TRIM(C1208),".",""),"-","")," ",""))))</f>
        <v/>
      </c>
    </row>
    <row r="1209" customFormat="false" ht="15" hidden="false" customHeight="false" outlineLevel="0" collapsed="false">
      <c r="B1209" s="80"/>
      <c r="C1209" s="58"/>
      <c r="D1209" s="62" t="str">
        <f aca="false">IF(C1209="","",IFERROR(INDEX(T_NOMBRE,MATCH(V1209,T_RUTN,0)),"⚠ RUT no está en Trabajadores"))</f>
        <v/>
      </c>
      <c r="E1209" s="61"/>
      <c r="F1209" s="61"/>
      <c r="G1209" s="61"/>
      <c r="H1209" s="61"/>
      <c r="I1209" s="81"/>
      <c r="J1209" s="81"/>
      <c r="K1209" s="60"/>
      <c r="L1209" s="60"/>
      <c r="M1209" s="60"/>
      <c r="N1209" s="60"/>
      <c r="O1209" s="60"/>
      <c r="P1209" s="60"/>
      <c r="Q1209" s="60"/>
      <c r="R1209" s="58"/>
      <c r="S1209" s="62" t="str">
        <f aca="false">IF(OR(B1209="",V1209=""),"",IFERROR(INDEX(C_TIPO,MATCH(V1209&amp;"-P"&amp;MAX(1,COUNTIFS(C_RUTN,V1209,C_DEF,"Sí",C_INI,"&lt;="&amp;EOMONTH(B1209,0))),C_CLAVE,0))&amp;"","Sin contrato"))</f>
        <v/>
      </c>
      <c r="T1209" s="63" t="str">
        <f aca="false">IF(OR(B1209="",N(O1209)=0),"",N(O1209)+ROUND(MIN(N(N1209),TOPE_UF*UF_MES)*(TASA_EMP+MUTUAL),0)+ROUND(MIN(N(N1209),TOPE_AFC_UF*UF_MES)*IF(S1209="Indefinido",AFC_INDEF,AFC_PF),0))</f>
        <v/>
      </c>
      <c r="U1209" s="62" t="str">
        <f aca="false">IF(C1209="","",IF(LEFT(D1209,1)="⚠","⚠ RUT no registrado en Trabajadores",IF(B1209="","⚠ Falta el mes",IF(OR(ISTEXT(I1209),ISTEXT(J1209)),"⚠ Atrasos u horas extra como texto: escriba hh:mm (ej. 1:30)",IF(AND(ISNUMBER(Q1209),COUNTIFS(M_RUTN,V1209,M_MES,B1209,M_LIQ,"&lt;&gt;")&gt;1),"⚠ Liquidación repetida en el mes",IF(AND(ISNUMBER(O1209),ISNUMBER(P1209),ISNUMBER(Q1209),ABS(O1209-P1209-Q1209)&gt;1),"⚠ Haberes − descuentos no da el líquido","OK"))))))</f>
        <v/>
      </c>
      <c r="V1209" s="62" t="str">
        <f aca="false">IF(C1209="","",IFERROR(VALUE(LEFT(UPPER(SUBSTITUTE(SUBSTITUTE(SUBSTITUTE(TRIM(C1209),".",""),"-","")," ","")),LEN(UPPER(SUBSTITUTE(SUBSTITUTE(SUBSTITUTE(TRIM(C1209),".",""),"-","")," ","")))-1))&amp;RIGHT(UPPER(SUBSTITUTE(SUBSTITUTE(SUBSTITUTE(TRIM(C1209),".",""),"-","")," ","")),1),UPPER(SUBSTITUTE(SUBSTITUTE(SUBSTITUTE(TRIM(C1209),".",""),"-","")," ",""))))</f>
        <v/>
      </c>
    </row>
    <row r="1210" customFormat="false" ht="15" hidden="false" customHeight="false" outlineLevel="0" collapsed="false">
      <c r="B1210" s="80"/>
      <c r="C1210" s="58"/>
      <c r="D1210" s="62" t="str">
        <f aca="false">IF(C1210="","",IFERROR(INDEX(T_NOMBRE,MATCH(V1210,T_RUTN,0)),"⚠ RUT no está en Trabajadores"))</f>
        <v/>
      </c>
      <c r="E1210" s="61"/>
      <c r="F1210" s="61"/>
      <c r="G1210" s="61"/>
      <c r="H1210" s="61"/>
      <c r="I1210" s="81"/>
      <c r="J1210" s="81"/>
      <c r="K1210" s="60"/>
      <c r="L1210" s="60"/>
      <c r="M1210" s="60"/>
      <c r="N1210" s="60"/>
      <c r="O1210" s="60"/>
      <c r="P1210" s="60"/>
      <c r="Q1210" s="60"/>
      <c r="R1210" s="58"/>
      <c r="S1210" s="62" t="str">
        <f aca="false">IF(OR(B1210="",V1210=""),"",IFERROR(INDEX(C_TIPO,MATCH(V1210&amp;"-P"&amp;MAX(1,COUNTIFS(C_RUTN,V1210,C_DEF,"Sí",C_INI,"&lt;="&amp;EOMONTH(B1210,0))),C_CLAVE,0))&amp;"","Sin contrato"))</f>
        <v/>
      </c>
      <c r="T1210" s="63" t="str">
        <f aca="false">IF(OR(B1210="",N(O1210)=0),"",N(O1210)+ROUND(MIN(N(N1210),TOPE_UF*UF_MES)*(TASA_EMP+MUTUAL),0)+ROUND(MIN(N(N1210),TOPE_AFC_UF*UF_MES)*IF(S1210="Indefinido",AFC_INDEF,AFC_PF),0))</f>
        <v/>
      </c>
      <c r="U1210" s="62" t="str">
        <f aca="false">IF(C1210="","",IF(LEFT(D1210,1)="⚠","⚠ RUT no registrado en Trabajadores",IF(B1210="","⚠ Falta el mes",IF(OR(ISTEXT(I1210),ISTEXT(J1210)),"⚠ Atrasos u horas extra como texto: escriba hh:mm (ej. 1:30)",IF(AND(ISNUMBER(Q1210),COUNTIFS(M_RUTN,V1210,M_MES,B1210,M_LIQ,"&lt;&gt;")&gt;1),"⚠ Liquidación repetida en el mes",IF(AND(ISNUMBER(O1210),ISNUMBER(P1210),ISNUMBER(Q1210),ABS(O1210-P1210-Q1210)&gt;1),"⚠ Haberes − descuentos no da el líquido","OK"))))))</f>
        <v/>
      </c>
      <c r="V1210" s="62" t="str">
        <f aca="false">IF(C1210="","",IFERROR(VALUE(LEFT(UPPER(SUBSTITUTE(SUBSTITUTE(SUBSTITUTE(TRIM(C1210),".",""),"-","")," ","")),LEN(UPPER(SUBSTITUTE(SUBSTITUTE(SUBSTITUTE(TRIM(C1210),".",""),"-","")," ","")))-1))&amp;RIGHT(UPPER(SUBSTITUTE(SUBSTITUTE(SUBSTITUTE(TRIM(C1210),".",""),"-","")," ","")),1),UPPER(SUBSTITUTE(SUBSTITUTE(SUBSTITUTE(TRIM(C1210),".",""),"-","")," ",""))))</f>
        <v/>
      </c>
    </row>
    <row r="1211" customFormat="false" ht="15" hidden="false" customHeight="false" outlineLevel="0" collapsed="false">
      <c r="B1211" s="80"/>
      <c r="C1211" s="58"/>
      <c r="D1211" s="62" t="str">
        <f aca="false">IF(C1211="","",IFERROR(INDEX(T_NOMBRE,MATCH(V1211,T_RUTN,0)),"⚠ RUT no está en Trabajadores"))</f>
        <v/>
      </c>
      <c r="E1211" s="61"/>
      <c r="F1211" s="61"/>
      <c r="G1211" s="61"/>
      <c r="H1211" s="61"/>
      <c r="I1211" s="81"/>
      <c r="J1211" s="81"/>
      <c r="K1211" s="60"/>
      <c r="L1211" s="60"/>
      <c r="M1211" s="60"/>
      <c r="N1211" s="60"/>
      <c r="O1211" s="60"/>
      <c r="P1211" s="60"/>
      <c r="Q1211" s="60"/>
      <c r="R1211" s="58"/>
      <c r="S1211" s="62" t="str">
        <f aca="false">IF(OR(B1211="",V1211=""),"",IFERROR(INDEX(C_TIPO,MATCH(V1211&amp;"-P"&amp;MAX(1,COUNTIFS(C_RUTN,V1211,C_DEF,"Sí",C_INI,"&lt;="&amp;EOMONTH(B1211,0))),C_CLAVE,0))&amp;"","Sin contrato"))</f>
        <v/>
      </c>
      <c r="T1211" s="63" t="str">
        <f aca="false">IF(OR(B1211="",N(O1211)=0),"",N(O1211)+ROUND(MIN(N(N1211),TOPE_UF*UF_MES)*(TASA_EMP+MUTUAL),0)+ROUND(MIN(N(N1211),TOPE_AFC_UF*UF_MES)*IF(S1211="Indefinido",AFC_INDEF,AFC_PF),0))</f>
        <v/>
      </c>
      <c r="U1211" s="62" t="str">
        <f aca="false">IF(C1211="","",IF(LEFT(D1211,1)="⚠","⚠ RUT no registrado en Trabajadores",IF(B1211="","⚠ Falta el mes",IF(OR(ISTEXT(I1211),ISTEXT(J1211)),"⚠ Atrasos u horas extra como texto: escriba hh:mm (ej. 1:30)",IF(AND(ISNUMBER(Q1211),COUNTIFS(M_RUTN,V1211,M_MES,B1211,M_LIQ,"&lt;&gt;")&gt;1),"⚠ Liquidación repetida en el mes",IF(AND(ISNUMBER(O1211),ISNUMBER(P1211),ISNUMBER(Q1211),ABS(O1211-P1211-Q1211)&gt;1),"⚠ Haberes − descuentos no da el líquido","OK"))))))</f>
        <v/>
      </c>
      <c r="V1211" s="62" t="str">
        <f aca="false">IF(C1211="","",IFERROR(VALUE(LEFT(UPPER(SUBSTITUTE(SUBSTITUTE(SUBSTITUTE(TRIM(C1211),".",""),"-","")," ","")),LEN(UPPER(SUBSTITUTE(SUBSTITUTE(SUBSTITUTE(TRIM(C1211),".",""),"-","")," ","")))-1))&amp;RIGHT(UPPER(SUBSTITUTE(SUBSTITUTE(SUBSTITUTE(TRIM(C1211),".",""),"-","")," ","")),1),UPPER(SUBSTITUTE(SUBSTITUTE(SUBSTITUTE(TRIM(C1211),".",""),"-","")," ",""))))</f>
        <v/>
      </c>
    </row>
    <row r="1212" customFormat="false" ht="15" hidden="false" customHeight="false" outlineLevel="0" collapsed="false">
      <c r="B1212" s="80"/>
      <c r="C1212" s="58"/>
      <c r="D1212" s="62" t="str">
        <f aca="false">IF(C1212="","",IFERROR(INDEX(T_NOMBRE,MATCH(V1212,T_RUTN,0)),"⚠ RUT no está en Trabajadores"))</f>
        <v/>
      </c>
      <c r="E1212" s="61"/>
      <c r="F1212" s="61"/>
      <c r="G1212" s="61"/>
      <c r="H1212" s="61"/>
      <c r="I1212" s="81"/>
      <c r="J1212" s="81"/>
      <c r="K1212" s="60"/>
      <c r="L1212" s="60"/>
      <c r="M1212" s="60"/>
      <c r="N1212" s="60"/>
      <c r="O1212" s="60"/>
      <c r="P1212" s="60"/>
      <c r="Q1212" s="60"/>
      <c r="R1212" s="58"/>
      <c r="S1212" s="62" t="str">
        <f aca="false">IF(OR(B1212="",V1212=""),"",IFERROR(INDEX(C_TIPO,MATCH(V1212&amp;"-P"&amp;MAX(1,COUNTIFS(C_RUTN,V1212,C_DEF,"Sí",C_INI,"&lt;="&amp;EOMONTH(B1212,0))),C_CLAVE,0))&amp;"","Sin contrato"))</f>
        <v/>
      </c>
      <c r="T1212" s="63" t="str">
        <f aca="false">IF(OR(B1212="",N(O1212)=0),"",N(O1212)+ROUND(MIN(N(N1212),TOPE_UF*UF_MES)*(TASA_EMP+MUTUAL),0)+ROUND(MIN(N(N1212),TOPE_AFC_UF*UF_MES)*IF(S1212="Indefinido",AFC_INDEF,AFC_PF),0))</f>
        <v/>
      </c>
      <c r="U1212" s="62" t="str">
        <f aca="false">IF(C1212="","",IF(LEFT(D1212,1)="⚠","⚠ RUT no registrado en Trabajadores",IF(B1212="","⚠ Falta el mes",IF(OR(ISTEXT(I1212),ISTEXT(J1212)),"⚠ Atrasos u horas extra como texto: escriba hh:mm (ej. 1:30)",IF(AND(ISNUMBER(Q1212),COUNTIFS(M_RUTN,V1212,M_MES,B1212,M_LIQ,"&lt;&gt;")&gt;1),"⚠ Liquidación repetida en el mes",IF(AND(ISNUMBER(O1212),ISNUMBER(P1212),ISNUMBER(Q1212),ABS(O1212-P1212-Q1212)&gt;1),"⚠ Haberes − descuentos no da el líquido","OK"))))))</f>
        <v/>
      </c>
      <c r="V1212" s="62" t="str">
        <f aca="false">IF(C1212="","",IFERROR(VALUE(LEFT(UPPER(SUBSTITUTE(SUBSTITUTE(SUBSTITUTE(TRIM(C1212),".",""),"-","")," ","")),LEN(UPPER(SUBSTITUTE(SUBSTITUTE(SUBSTITUTE(TRIM(C1212),".",""),"-","")," ","")))-1))&amp;RIGHT(UPPER(SUBSTITUTE(SUBSTITUTE(SUBSTITUTE(TRIM(C1212),".",""),"-","")," ","")),1),UPPER(SUBSTITUTE(SUBSTITUTE(SUBSTITUTE(TRIM(C1212),".",""),"-","")," ",""))))</f>
        <v/>
      </c>
    </row>
    <row r="1213" customFormat="false" ht="15" hidden="false" customHeight="false" outlineLevel="0" collapsed="false">
      <c r="B1213" s="80"/>
      <c r="C1213" s="58"/>
      <c r="D1213" s="62" t="str">
        <f aca="false">IF(C1213="","",IFERROR(INDEX(T_NOMBRE,MATCH(V1213,T_RUTN,0)),"⚠ RUT no está en Trabajadores"))</f>
        <v/>
      </c>
      <c r="E1213" s="61"/>
      <c r="F1213" s="61"/>
      <c r="G1213" s="61"/>
      <c r="H1213" s="61"/>
      <c r="I1213" s="81"/>
      <c r="J1213" s="81"/>
      <c r="K1213" s="60"/>
      <c r="L1213" s="60"/>
      <c r="M1213" s="60"/>
      <c r="N1213" s="60"/>
      <c r="O1213" s="60"/>
      <c r="P1213" s="60"/>
      <c r="Q1213" s="60"/>
      <c r="R1213" s="58"/>
      <c r="S1213" s="62" t="str">
        <f aca="false">IF(OR(B1213="",V1213=""),"",IFERROR(INDEX(C_TIPO,MATCH(V1213&amp;"-P"&amp;MAX(1,COUNTIFS(C_RUTN,V1213,C_DEF,"Sí",C_INI,"&lt;="&amp;EOMONTH(B1213,0))),C_CLAVE,0))&amp;"","Sin contrato"))</f>
        <v/>
      </c>
      <c r="T1213" s="63" t="str">
        <f aca="false">IF(OR(B1213="",N(O1213)=0),"",N(O1213)+ROUND(MIN(N(N1213),TOPE_UF*UF_MES)*(TASA_EMP+MUTUAL),0)+ROUND(MIN(N(N1213),TOPE_AFC_UF*UF_MES)*IF(S1213="Indefinido",AFC_INDEF,AFC_PF),0))</f>
        <v/>
      </c>
      <c r="U1213" s="62" t="str">
        <f aca="false">IF(C1213="","",IF(LEFT(D1213,1)="⚠","⚠ RUT no registrado en Trabajadores",IF(B1213="","⚠ Falta el mes",IF(OR(ISTEXT(I1213),ISTEXT(J1213)),"⚠ Atrasos u horas extra como texto: escriba hh:mm (ej. 1:30)",IF(AND(ISNUMBER(Q1213),COUNTIFS(M_RUTN,V1213,M_MES,B1213,M_LIQ,"&lt;&gt;")&gt;1),"⚠ Liquidación repetida en el mes",IF(AND(ISNUMBER(O1213),ISNUMBER(P1213),ISNUMBER(Q1213),ABS(O1213-P1213-Q1213)&gt;1),"⚠ Haberes − descuentos no da el líquido","OK"))))))</f>
        <v/>
      </c>
      <c r="V1213" s="62" t="str">
        <f aca="false">IF(C1213="","",IFERROR(VALUE(LEFT(UPPER(SUBSTITUTE(SUBSTITUTE(SUBSTITUTE(TRIM(C1213),".",""),"-","")," ","")),LEN(UPPER(SUBSTITUTE(SUBSTITUTE(SUBSTITUTE(TRIM(C1213),".",""),"-","")," ","")))-1))&amp;RIGHT(UPPER(SUBSTITUTE(SUBSTITUTE(SUBSTITUTE(TRIM(C1213),".",""),"-","")," ","")),1),UPPER(SUBSTITUTE(SUBSTITUTE(SUBSTITUTE(TRIM(C1213),".",""),"-","")," ",""))))</f>
        <v/>
      </c>
    </row>
    <row r="1214" customFormat="false" ht="15" hidden="false" customHeight="false" outlineLevel="0" collapsed="false">
      <c r="B1214" s="80"/>
      <c r="C1214" s="58"/>
      <c r="D1214" s="62" t="str">
        <f aca="false">IF(C1214="","",IFERROR(INDEX(T_NOMBRE,MATCH(V1214,T_RUTN,0)),"⚠ RUT no está en Trabajadores"))</f>
        <v/>
      </c>
      <c r="E1214" s="61"/>
      <c r="F1214" s="61"/>
      <c r="G1214" s="61"/>
      <c r="H1214" s="61"/>
      <c r="I1214" s="81"/>
      <c r="J1214" s="81"/>
      <c r="K1214" s="60"/>
      <c r="L1214" s="60"/>
      <c r="M1214" s="60"/>
      <c r="N1214" s="60"/>
      <c r="O1214" s="60"/>
      <c r="P1214" s="60"/>
      <c r="Q1214" s="60"/>
      <c r="R1214" s="58"/>
      <c r="S1214" s="62" t="str">
        <f aca="false">IF(OR(B1214="",V1214=""),"",IFERROR(INDEX(C_TIPO,MATCH(V1214&amp;"-P"&amp;MAX(1,COUNTIFS(C_RUTN,V1214,C_DEF,"Sí",C_INI,"&lt;="&amp;EOMONTH(B1214,0))),C_CLAVE,0))&amp;"","Sin contrato"))</f>
        <v/>
      </c>
      <c r="T1214" s="63" t="str">
        <f aca="false">IF(OR(B1214="",N(O1214)=0),"",N(O1214)+ROUND(MIN(N(N1214),TOPE_UF*UF_MES)*(TASA_EMP+MUTUAL),0)+ROUND(MIN(N(N1214),TOPE_AFC_UF*UF_MES)*IF(S1214="Indefinido",AFC_INDEF,AFC_PF),0))</f>
        <v/>
      </c>
      <c r="U1214" s="62" t="str">
        <f aca="false">IF(C1214="","",IF(LEFT(D1214,1)="⚠","⚠ RUT no registrado en Trabajadores",IF(B1214="","⚠ Falta el mes",IF(OR(ISTEXT(I1214),ISTEXT(J1214)),"⚠ Atrasos u horas extra como texto: escriba hh:mm (ej. 1:30)",IF(AND(ISNUMBER(Q1214),COUNTIFS(M_RUTN,V1214,M_MES,B1214,M_LIQ,"&lt;&gt;")&gt;1),"⚠ Liquidación repetida en el mes",IF(AND(ISNUMBER(O1214),ISNUMBER(P1214),ISNUMBER(Q1214),ABS(O1214-P1214-Q1214)&gt;1),"⚠ Haberes − descuentos no da el líquido","OK"))))))</f>
        <v/>
      </c>
      <c r="V1214" s="62" t="str">
        <f aca="false">IF(C1214="","",IFERROR(VALUE(LEFT(UPPER(SUBSTITUTE(SUBSTITUTE(SUBSTITUTE(TRIM(C1214),".",""),"-","")," ","")),LEN(UPPER(SUBSTITUTE(SUBSTITUTE(SUBSTITUTE(TRIM(C1214),".",""),"-","")," ","")))-1))&amp;RIGHT(UPPER(SUBSTITUTE(SUBSTITUTE(SUBSTITUTE(TRIM(C1214),".",""),"-","")," ","")),1),UPPER(SUBSTITUTE(SUBSTITUTE(SUBSTITUTE(TRIM(C1214),".",""),"-","")," ",""))))</f>
        <v/>
      </c>
    </row>
    <row r="1215" customFormat="false" ht="15" hidden="false" customHeight="false" outlineLevel="0" collapsed="false">
      <c r="B1215" s="80"/>
      <c r="C1215" s="58"/>
      <c r="D1215" s="62" t="str">
        <f aca="false">IF(C1215="","",IFERROR(INDEX(T_NOMBRE,MATCH(V1215,T_RUTN,0)),"⚠ RUT no está en Trabajadores"))</f>
        <v/>
      </c>
      <c r="E1215" s="61"/>
      <c r="F1215" s="61"/>
      <c r="G1215" s="61"/>
      <c r="H1215" s="61"/>
      <c r="I1215" s="81"/>
      <c r="J1215" s="81"/>
      <c r="K1215" s="60"/>
      <c r="L1215" s="60"/>
      <c r="M1215" s="60"/>
      <c r="N1215" s="60"/>
      <c r="O1215" s="60"/>
      <c r="P1215" s="60"/>
      <c r="Q1215" s="60"/>
      <c r="R1215" s="58"/>
      <c r="S1215" s="62" t="str">
        <f aca="false">IF(OR(B1215="",V1215=""),"",IFERROR(INDEX(C_TIPO,MATCH(V1215&amp;"-P"&amp;MAX(1,COUNTIFS(C_RUTN,V1215,C_DEF,"Sí",C_INI,"&lt;="&amp;EOMONTH(B1215,0))),C_CLAVE,0))&amp;"","Sin contrato"))</f>
        <v/>
      </c>
      <c r="T1215" s="63" t="str">
        <f aca="false">IF(OR(B1215="",N(O1215)=0),"",N(O1215)+ROUND(MIN(N(N1215),TOPE_UF*UF_MES)*(TASA_EMP+MUTUAL),0)+ROUND(MIN(N(N1215),TOPE_AFC_UF*UF_MES)*IF(S1215="Indefinido",AFC_INDEF,AFC_PF),0))</f>
        <v/>
      </c>
      <c r="U1215" s="62" t="str">
        <f aca="false">IF(C1215="","",IF(LEFT(D1215,1)="⚠","⚠ RUT no registrado en Trabajadores",IF(B1215="","⚠ Falta el mes",IF(OR(ISTEXT(I1215),ISTEXT(J1215)),"⚠ Atrasos u horas extra como texto: escriba hh:mm (ej. 1:30)",IF(AND(ISNUMBER(Q1215),COUNTIFS(M_RUTN,V1215,M_MES,B1215,M_LIQ,"&lt;&gt;")&gt;1),"⚠ Liquidación repetida en el mes",IF(AND(ISNUMBER(O1215),ISNUMBER(P1215),ISNUMBER(Q1215),ABS(O1215-P1215-Q1215)&gt;1),"⚠ Haberes − descuentos no da el líquido","OK"))))))</f>
        <v/>
      </c>
      <c r="V1215" s="62" t="str">
        <f aca="false">IF(C1215="","",IFERROR(VALUE(LEFT(UPPER(SUBSTITUTE(SUBSTITUTE(SUBSTITUTE(TRIM(C1215),".",""),"-","")," ","")),LEN(UPPER(SUBSTITUTE(SUBSTITUTE(SUBSTITUTE(TRIM(C1215),".",""),"-","")," ","")))-1))&amp;RIGHT(UPPER(SUBSTITUTE(SUBSTITUTE(SUBSTITUTE(TRIM(C1215),".",""),"-","")," ","")),1),UPPER(SUBSTITUTE(SUBSTITUTE(SUBSTITUTE(TRIM(C1215),".",""),"-","")," ",""))))</f>
        <v/>
      </c>
    </row>
    <row r="1216" customFormat="false" ht="15" hidden="false" customHeight="false" outlineLevel="0" collapsed="false">
      <c r="B1216" s="80"/>
      <c r="C1216" s="58"/>
      <c r="D1216" s="62" t="str">
        <f aca="false">IF(C1216="","",IFERROR(INDEX(T_NOMBRE,MATCH(V1216,T_RUTN,0)),"⚠ RUT no está en Trabajadores"))</f>
        <v/>
      </c>
      <c r="E1216" s="61"/>
      <c r="F1216" s="61"/>
      <c r="G1216" s="61"/>
      <c r="H1216" s="61"/>
      <c r="I1216" s="81"/>
      <c r="J1216" s="81"/>
      <c r="K1216" s="60"/>
      <c r="L1216" s="60"/>
      <c r="M1216" s="60"/>
      <c r="N1216" s="60"/>
      <c r="O1216" s="60"/>
      <c r="P1216" s="60"/>
      <c r="Q1216" s="60"/>
      <c r="R1216" s="58"/>
      <c r="S1216" s="62" t="str">
        <f aca="false">IF(OR(B1216="",V1216=""),"",IFERROR(INDEX(C_TIPO,MATCH(V1216&amp;"-P"&amp;MAX(1,COUNTIFS(C_RUTN,V1216,C_DEF,"Sí",C_INI,"&lt;="&amp;EOMONTH(B1216,0))),C_CLAVE,0))&amp;"","Sin contrato"))</f>
        <v/>
      </c>
      <c r="T1216" s="63" t="str">
        <f aca="false">IF(OR(B1216="",N(O1216)=0),"",N(O1216)+ROUND(MIN(N(N1216),TOPE_UF*UF_MES)*(TASA_EMP+MUTUAL),0)+ROUND(MIN(N(N1216),TOPE_AFC_UF*UF_MES)*IF(S1216="Indefinido",AFC_INDEF,AFC_PF),0))</f>
        <v/>
      </c>
      <c r="U1216" s="62" t="str">
        <f aca="false">IF(C1216="","",IF(LEFT(D1216,1)="⚠","⚠ RUT no registrado en Trabajadores",IF(B1216="","⚠ Falta el mes",IF(OR(ISTEXT(I1216),ISTEXT(J1216)),"⚠ Atrasos u horas extra como texto: escriba hh:mm (ej. 1:30)",IF(AND(ISNUMBER(Q1216),COUNTIFS(M_RUTN,V1216,M_MES,B1216,M_LIQ,"&lt;&gt;")&gt;1),"⚠ Liquidación repetida en el mes",IF(AND(ISNUMBER(O1216),ISNUMBER(P1216),ISNUMBER(Q1216),ABS(O1216-P1216-Q1216)&gt;1),"⚠ Haberes − descuentos no da el líquido","OK"))))))</f>
        <v/>
      </c>
      <c r="V1216" s="62" t="str">
        <f aca="false">IF(C1216="","",IFERROR(VALUE(LEFT(UPPER(SUBSTITUTE(SUBSTITUTE(SUBSTITUTE(TRIM(C1216),".",""),"-","")," ","")),LEN(UPPER(SUBSTITUTE(SUBSTITUTE(SUBSTITUTE(TRIM(C1216),".",""),"-","")," ","")))-1))&amp;RIGHT(UPPER(SUBSTITUTE(SUBSTITUTE(SUBSTITUTE(TRIM(C1216),".",""),"-","")," ","")),1),UPPER(SUBSTITUTE(SUBSTITUTE(SUBSTITUTE(TRIM(C1216),".",""),"-","")," ",""))))</f>
        <v/>
      </c>
    </row>
    <row r="1217" customFormat="false" ht="15" hidden="false" customHeight="false" outlineLevel="0" collapsed="false">
      <c r="B1217" s="80"/>
      <c r="C1217" s="58"/>
      <c r="D1217" s="62" t="str">
        <f aca="false">IF(C1217="","",IFERROR(INDEX(T_NOMBRE,MATCH(V1217,T_RUTN,0)),"⚠ RUT no está en Trabajadores"))</f>
        <v/>
      </c>
      <c r="E1217" s="61"/>
      <c r="F1217" s="61"/>
      <c r="G1217" s="61"/>
      <c r="H1217" s="61"/>
      <c r="I1217" s="81"/>
      <c r="J1217" s="81"/>
      <c r="K1217" s="60"/>
      <c r="L1217" s="60"/>
      <c r="M1217" s="60"/>
      <c r="N1217" s="60"/>
      <c r="O1217" s="60"/>
      <c r="P1217" s="60"/>
      <c r="Q1217" s="60"/>
      <c r="R1217" s="58"/>
      <c r="S1217" s="62" t="str">
        <f aca="false">IF(OR(B1217="",V1217=""),"",IFERROR(INDEX(C_TIPO,MATCH(V1217&amp;"-P"&amp;MAX(1,COUNTIFS(C_RUTN,V1217,C_DEF,"Sí",C_INI,"&lt;="&amp;EOMONTH(B1217,0))),C_CLAVE,0))&amp;"","Sin contrato"))</f>
        <v/>
      </c>
      <c r="T1217" s="63" t="str">
        <f aca="false">IF(OR(B1217="",N(O1217)=0),"",N(O1217)+ROUND(MIN(N(N1217),TOPE_UF*UF_MES)*(TASA_EMP+MUTUAL),0)+ROUND(MIN(N(N1217),TOPE_AFC_UF*UF_MES)*IF(S1217="Indefinido",AFC_INDEF,AFC_PF),0))</f>
        <v/>
      </c>
      <c r="U1217" s="62" t="str">
        <f aca="false">IF(C1217="","",IF(LEFT(D1217,1)="⚠","⚠ RUT no registrado en Trabajadores",IF(B1217="","⚠ Falta el mes",IF(OR(ISTEXT(I1217),ISTEXT(J1217)),"⚠ Atrasos u horas extra como texto: escriba hh:mm (ej. 1:30)",IF(AND(ISNUMBER(Q1217),COUNTIFS(M_RUTN,V1217,M_MES,B1217,M_LIQ,"&lt;&gt;")&gt;1),"⚠ Liquidación repetida en el mes",IF(AND(ISNUMBER(O1217),ISNUMBER(P1217),ISNUMBER(Q1217),ABS(O1217-P1217-Q1217)&gt;1),"⚠ Haberes − descuentos no da el líquido","OK"))))))</f>
        <v/>
      </c>
      <c r="V1217" s="62" t="str">
        <f aca="false">IF(C1217="","",IFERROR(VALUE(LEFT(UPPER(SUBSTITUTE(SUBSTITUTE(SUBSTITUTE(TRIM(C1217),".",""),"-","")," ","")),LEN(UPPER(SUBSTITUTE(SUBSTITUTE(SUBSTITUTE(TRIM(C1217),".",""),"-","")," ","")))-1))&amp;RIGHT(UPPER(SUBSTITUTE(SUBSTITUTE(SUBSTITUTE(TRIM(C1217),".",""),"-","")," ","")),1),UPPER(SUBSTITUTE(SUBSTITUTE(SUBSTITUTE(TRIM(C1217),".",""),"-","")," ",""))))</f>
        <v/>
      </c>
    </row>
    <row r="1218" customFormat="false" ht="15" hidden="false" customHeight="false" outlineLevel="0" collapsed="false">
      <c r="B1218" s="80"/>
      <c r="C1218" s="58"/>
      <c r="D1218" s="62" t="str">
        <f aca="false">IF(C1218="","",IFERROR(INDEX(T_NOMBRE,MATCH(V1218,T_RUTN,0)),"⚠ RUT no está en Trabajadores"))</f>
        <v/>
      </c>
      <c r="E1218" s="61"/>
      <c r="F1218" s="61"/>
      <c r="G1218" s="61"/>
      <c r="H1218" s="61"/>
      <c r="I1218" s="81"/>
      <c r="J1218" s="81"/>
      <c r="K1218" s="60"/>
      <c r="L1218" s="60"/>
      <c r="M1218" s="60"/>
      <c r="N1218" s="60"/>
      <c r="O1218" s="60"/>
      <c r="P1218" s="60"/>
      <c r="Q1218" s="60"/>
      <c r="R1218" s="58"/>
      <c r="S1218" s="62" t="str">
        <f aca="false">IF(OR(B1218="",V1218=""),"",IFERROR(INDEX(C_TIPO,MATCH(V1218&amp;"-P"&amp;MAX(1,COUNTIFS(C_RUTN,V1218,C_DEF,"Sí",C_INI,"&lt;="&amp;EOMONTH(B1218,0))),C_CLAVE,0))&amp;"","Sin contrato"))</f>
        <v/>
      </c>
      <c r="T1218" s="63" t="str">
        <f aca="false">IF(OR(B1218="",N(O1218)=0),"",N(O1218)+ROUND(MIN(N(N1218),TOPE_UF*UF_MES)*(TASA_EMP+MUTUAL),0)+ROUND(MIN(N(N1218),TOPE_AFC_UF*UF_MES)*IF(S1218="Indefinido",AFC_INDEF,AFC_PF),0))</f>
        <v/>
      </c>
      <c r="U1218" s="62" t="str">
        <f aca="false">IF(C1218="","",IF(LEFT(D1218,1)="⚠","⚠ RUT no registrado en Trabajadores",IF(B1218="","⚠ Falta el mes",IF(OR(ISTEXT(I1218),ISTEXT(J1218)),"⚠ Atrasos u horas extra como texto: escriba hh:mm (ej. 1:30)",IF(AND(ISNUMBER(Q1218),COUNTIFS(M_RUTN,V1218,M_MES,B1218,M_LIQ,"&lt;&gt;")&gt;1),"⚠ Liquidación repetida en el mes",IF(AND(ISNUMBER(O1218),ISNUMBER(P1218),ISNUMBER(Q1218),ABS(O1218-P1218-Q1218)&gt;1),"⚠ Haberes − descuentos no da el líquido","OK"))))))</f>
        <v/>
      </c>
      <c r="V1218" s="62" t="str">
        <f aca="false">IF(C1218="","",IFERROR(VALUE(LEFT(UPPER(SUBSTITUTE(SUBSTITUTE(SUBSTITUTE(TRIM(C1218),".",""),"-","")," ","")),LEN(UPPER(SUBSTITUTE(SUBSTITUTE(SUBSTITUTE(TRIM(C1218),".",""),"-","")," ","")))-1))&amp;RIGHT(UPPER(SUBSTITUTE(SUBSTITUTE(SUBSTITUTE(TRIM(C1218),".",""),"-","")," ","")),1),UPPER(SUBSTITUTE(SUBSTITUTE(SUBSTITUTE(TRIM(C1218),".",""),"-","")," ",""))))</f>
        <v/>
      </c>
    </row>
    <row r="1219" customFormat="false" ht="15" hidden="false" customHeight="false" outlineLevel="0" collapsed="false">
      <c r="B1219" s="80"/>
      <c r="C1219" s="58"/>
      <c r="D1219" s="62" t="str">
        <f aca="false">IF(C1219="","",IFERROR(INDEX(T_NOMBRE,MATCH(V1219,T_RUTN,0)),"⚠ RUT no está en Trabajadores"))</f>
        <v/>
      </c>
      <c r="E1219" s="61"/>
      <c r="F1219" s="61"/>
      <c r="G1219" s="61"/>
      <c r="H1219" s="61"/>
      <c r="I1219" s="81"/>
      <c r="J1219" s="81"/>
      <c r="K1219" s="60"/>
      <c r="L1219" s="60"/>
      <c r="M1219" s="60"/>
      <c r="N1219" s="60"/>
      <c r="O1219" s="60"/>
      <c r="P1219" s="60"/>
      <c r="Q1219" s="60"/>
      <c r="R1219" s="58"/>
      <c r="S1219" s="62" t="str">
        <f aca="false">IF(OR(B1219="",V1219=""),"",IFERROR(INDEX(C_TIPO,MATCH(V1219&amp;"-P"&amp;MAX(1,COUNTIFS(C_RUTN,V1219,C_DEF,"Sí",C_INI,"&lt;="&amp;EOMONTH(B1219,0))),C_CLAVE,0))&amp;"","Sin contrato"))</f>
        <v/>
      </c>
      <c r="T1219" s="63" t="str">
        <f aca="false">IF(OR(B1219="",N(O1219)=0),"",N(O1219)+ROUND(MIN(N(N1219),TOPE_UF*UF_MES)*(TASA_EMP+MUTUAL),0)+ROUND(MIN(N(N1219),TOPE_AFC_UF*UF_MES)*IF(S1219="Indefinido",AFC_INDEF,AFC_PF),0))</f>
        <v/>
      </c>
      <c r="U1219" s="62" t="str">
        <f aca="false">IF(C1219="","",IF(LEFT(D1219,1)="⚠","⚠ RUT no registrado en Trabajadores",IF(B1219="","⚠ Falta el mes",IF(OR(ISTEXT(I1219),ISTEXT(J1219)),"⚠ Atrasos u horas extra como texto: escriba hh:mm (ej. 1:30)",IF(AND(ISNUMBER(Q1219),COUNTIFS(M_RUTN,V1219,M_MES,B1219,M_LIQ,"&lt;&gt;")&gt;1),"⚠ Liquidación repetida en el mes",IF(AND(ISNUMBER(O1219),ISNUMBER(P1219),ISNUMBER(Q1219),ABS(O1219-P1219-Q1219)&gt;1),"⚠ Haberes − descuentos no da el líquido","OK"))))))</f>
        <v/>
      </c>
      <c r="V1219" s="62" t="str">
        <f aca="false">IF(C1219="","",IFERROR(VALUE(LEFT(UPPER(SUBSTITUTE(SUBSTITUTE(SUBSTITUTE(TRIM(C1219),".",""),"-","")," ","")),LEN(UPPER(SUBSTITUTE(SUBSTITUTE(SUBSTITUTE(TRIM(C1219),".",""),"-","")," ","")))-1))&amp;RIGHT(UPPER(SUBSTITUTE(SUBSTITUTE(SUBSTITUTE(TRIM(C1219),".",""),"-","")," ","")),1),UPPER(SUBSTITUTE(SUBSTITUTE(SUBSTITUTE(TRIM(C1219),".",""),"-","")," ",""))))</f>
        <v/>
      </c>
    </row>
    <row r="1220" customFormat="false" ht="15" hidden="false" customHeight="false" outlineLevel="0" collapsed="false">
      <c r="B1220" s="80"/>
      <c r="C1220" s="58"/>
      <c r="D1220" s="62" t="str">
        <f aca="false">IF(C1220="","",IFERROR(INDEX(T_NOMBRE,MATCH(V1220,T_RUTN,0)),"⚠ RUT no está en Trabajadores"))</f>
        <v/>
      </c>
      <c r="E1220" s="61"/>
      <c r="F1220" s="61"/>
      <c r="G1220" s="61"/>
      <c r="H1220" s="61"/>
      <c r="I1220" s="81"/>
      <c r="J1220" s="81"/>
      <c r="K1220" s="60"/>
      <c r="L1220" s="60"/>
      <c r="M1220" s="60"/>
      <c r="N1220" s="60"/>
      <c r="O1220" s="60"/>
      <c r="P1220" s="60"/>
      <c r="Q1220" s="60"/>
      <c r="R1220" s="58"/>
      <c r="S1220" s="62" t="str">
        <f aca="false">IF(OR(B1220="",V1220=""),"",IFERROR(INDEX(C_TIPO,MATCH(V1220&amp;"-P"&amp;MAX(1,COUNTIFS(C_RUTN,V1220,C_DEF,"Sí",C_INI,"&lt;="&amp;EOMONTH(B1220,0))),C_CLAVE,0))&amp;"","Sin contrato"))</f>
        <v/>
      </c>
      <c r="T1220" s="63" t="str">
        <f aca="false">IF(OR(B1220="",N(O1220)=0),"",N(O1220)+ROUND(MIN(N(N1220),TOPE_UF*UF_MES)*(TASA_EMP+MUTUAL),0)+ROUND(MIN(N(N1220),TOPE_AFC_UF*UF_MES)*IF(S1220="Indefinido",AFC_INDEF,AFC_PF),0))</f>
        <v/>
      </c>
      <c r="U1220" s="62" t="str">
        <f aca="false">IF(C1220="","",IF(LEFT(D1220,1)="⚠","⚠ RUT no registrado en Trabajadores",IF(B1220="","⚠ Falta el mes",IF(OR(ISTEXT(I1220),ISTEXT(J1220)),"⚠ Atrasos u horas extra como texto: escriba hh:mm (ej. 1:30)",IF(AND(ISNUMBER(Q1220),COUNTIFS(M_RUTN,V1220,M_MES,B1220,M_LIQ,"&lt;&gt;")&gt;1),"⚠ Liquidación repetida en el mes",IF(AND(ISNUMBER(O1220),ISNUMBER(P1220),ISNUMBER(Q1220),ABS(O1220-P1220-Q1220)&gt;1),"⚠ Haberes − descuentos no da el líquido","OK"))))))</f>
        <v/>
      </c>
      <c r="V1220" s="62" t="str">
        <f aca="false">IF(C1220="","",IFERROR(VALUE(LEFT(UPPER(SUBSTITUTE(SUBSTITUTE(SUBSTITUTE(TRIM(C1220),".",""),"-","")," ","")),LEN(UPPER(SUBSTITUTE(SUBSTITUTE(SUBSTITUTE(TRIM(C1220),".",""),"-","")," ","")))-1))&amp;RIGHT(UPPER(SUBSTITUTE(SUBSTITUTE(SUBSTITUTE(TRIM(C1220),".",""),"-","")," ","")),1),UPPER(SUBSTITUTE(SUBSTITUTE(SUBSTITUTE(TRIM(C1220),".",""),"-","")," ",""))))</f>
        <v/>
      </c>
    </row>
    <row r="1221" customFormat="false" ht="15" hidden="false" customHeight="false" outlineLevel="0" collapsed="false">
      <c r="B1221" s="80"/>
      <c r="C1221" s="58"/>
      <c r="D1221" s="62" t="str">
        <f aca="false">IF(C1221="","",IFERROR(INDEX(T_NOMBRE,MATCH(V1221,T_RUTN,0)),"⚠ RUT no está en Trabajadores"))</f>
        <v/>
      </c>
      <c r="E1221" s="61"/>
      <c r="F1221" s="61"/>
      <c r="G1221" s="61"/>
      <c r="H1221" s="61"/>
      <c r="I1221" s="81"/>
      <c r="J1221" s="81"/>
      <c r="K1221" s="60"/>
      <c r="L1221" s="60"/>
      <c r="M1221" s="60"/>
      <c r="N1221" s="60"/>
      <c r="O1221" s="60"/>
      <c r="P1221" s="60"/>
      <c r="Q1221" s="60"/>
      <c r="R1221" s="58"/>
      <c r="S1221" s="62" t="str">
        <f aca="false">IF(OR(B1221="",V1221=""),"",IFERROR(INDEX(C_TIPO,MATCH(V1221&amp;"-P"&amp;MAX(1,COUNTIFS(C_RUTN,V1221,C_DEF,"Sí",C_INI,"&lt;="&amp;EOMONTH(B1221,0))),C_CLAVE,0))&amp;"","Sin contrato"))</f>
        <v/>
      </c>
      <c r="T1221" s="63" t="str">
        <f aca="false">IF(OR(B1221="",N(O1221)=0),"",N(O1221)+ROUND(MIN(N(N1221),TOPE_UF*UF_MES)*(TASA_EMP+MUTUAL),0)+ROUND(MIN(N(N1221),TOPE_AFC_UF*UF_MES)*IF(S1221="Indefinido",AFC_INDEF,AFC_PF),0))</f>
        <v/>
      </c>
      <c r="U1221" s="62" t="str">
        <f aca="false">IF(C1221="","",IF(LEFT(D1221,1)="⚠","⚠ RUT no registrado en Trabajadores",IF(B1221="","⚠ Falta el mes",IF(OR(ISTEXT(I1221),ISTEXT(J1221)),"⚠ Atrasos u horas extra como texto: escriba hh:mm (ej. 1:30)",IF(AND(ISNUMBER(Q1221),COUNTIFS(M_RUTN,V1221,M_MES,B1221,M_LIQ,"&lt;&gt;")&gt;1),"⚠ Liquidación repetida en el mes",IF(AND(ISNUMBER(O1221),ISNUMBER(P1221),ISNUMBER(Q1221),ABS(O1221-P1221-Q1221)&gt;1),"⚠ Haberes − descuentos no da el líquido","OK"))))))</f>
        <v/>
      </c>
      <c r="V1221" s="62" t="str">
        <f aca="false">IF(C1221="","",IFERROR(VALUE(LEFT(UPPER(SUBSTITUTE(SUBSTITUTE(SUBSTITUTE(TRIM(C1221),".",""),"-","")," ","")),LEN(UPPER(SUBSTITUTE(SUBSTITUTE(SUBSTITUTE(TRIM(C1221),".",""),"-","")," ","")))-1))&amp;RIGHT(UPPER(SUBSTITUTE(SUBSTITUTE(SUBSTITUTE(TRIM(C1221),".",""),"-","")," ","")),1),UPPER(SUBSTITUTE(SUBSTITUTE(SUBSTITUTE(TRIM(C1221),".",""),"-","")," ",""))))</f>
        <v/>
      </c>
    </row>
    <row r="1222" customFormat="false" ht="15" hidden="false" customHeight="false" outlineLevel="0" collapsed="false">
      <c r="B1222" s="80"/>
      <c r="C1222" s="58"/>
      <c r="D1222" s="62" t="str">
        <f aca="false">IF(C1222="","",IFERROR(INDEX(T_NOMBRE,MATCH(V1222,T_RUTN,0)),"⚠ RUT no está en Trabajadores"))</f>
        <v/>
      </c>
      <c r="E1222" s="61"/>
      <c r="F1222" s="61"/>
      <c r="G1222" s="61"/>
      <c r="H1222" s="61"/>
      <c r="I1222" s="81"/>
      <c r="J1222" s="81"/>
      <c r="K1222" s="60"/>
      <c r="L1222" s="60"/>
      <c r="M1222" s="60"/>
      <c r="N1222" s="60"/>
      <c r="O1222" s="60"/>
      <c r="P1222" s="60"/>
      <c r="Q1222" s="60"/>
      <c r="R1222" s="58"/>
      <c r="S1222" s="62" t="str">
        <f aca="false">IF(OR(B1222="",V1222=""),"",IFERROR(INDEX(C_TIPO,MATCH(V1222&amp;"-P"&amp;MAX(1,COUNTIFS(C_RUTN,V1222,C_DEF,"Sí",C_INI,"&lt;="&amp;EOMONTH(B1222,0))),C_CLAVE,0))&amp;"","Sin contrato"))</f>
        <v/>
      </c>
      <c r="T1222" s="63" t="str">
        <f aca="false">IF(OR(B1222="",N(O1222)=0),"",N(O1222)+ROUND(MIN(N(N1222),TOPE_UF*UF_MES)*(TASA_EMP+MUTUAL),0)+ROUND(MIN(N(N1222),TOPE_AFC_UF*UF_MES)*IF(S1222="Indefinido",AFC_INDEF,AFC_PF),0))</f>
        <v/>
      </c>
      <c r="U1222" s="62" t="str">
        <f aca="false">IF(C1222="","",IF(LEFT(D1222,1)="⚠","⚠ RUT no registrado en Trabajadores",IF(B1222="","⚠ Falta el mes",IF(OR(ISTEXT(I1222),ISTEXT(J1222)),"⚠ Atrasos u horas extra como texto: escriba hh:mm (ej. 1:30)",IF(AND(ISNUMBER(Q1222),COUNTIFS(M_RUTN,V1222,M_MES,B1222,M_LIQ,"&lt;&gt;")&gt;1),"⚠ Liquidación repetida en el mes",IF(AND(ISNUMBER(O1222),ISNUMBER(P1222),ISNUMBER(Q1222),ABS(O1222-P1222-Q1222)&gt;1),"⚠ Haberes − descuentos no da el líquido","OK"))))))</f>
        <v/>
      </c>
      <c r="V1222" s="62" t="str">
        <f aca="false">IF(C1222="","",IFERROR(VALUE(LEFT(UPPER(SUBSTITUTE(SUBSTITUTE(SUBSTITUTE(TRIM(C1222),".",""),"-","")," ","")),LEN(UPPER(SUBSTITUTE(SUBSTITUTE(SUBSTITUTE(TRIM(C1222),".",""),"-","")," ","")))-1))&amp;RIGHT(UPPER(SUBSTITUTE(SUBSTITUTE(SUBSTITUTE(TRIM(C1222),".",""),"-","")," ","")),1),UPPER(SUBSTITUTE(SUBSTITUTE(SUBSTITUTE(TRIM(C1222),".",""),"-","")," ",""))))</f>
        <v/>
      </c>
    </row>
    <row r="1223" customFormat="false" ht="15" hidden="false" customHeight="false" outlineLevel="0" collapsed="false">
      <c r="B1223" s="80"/>
      <c r="C1223" s="58"/>
      <c r="D1223" s="62" t="str">
        <f aca="false">IF(C1223="","",IFERROR(INDEX(T_NOMBRE,MATCH(V1223,T_RUTN,0)),"⚠ RUT no está en Trabajadores"))</f>
        <v/>
      </c>
      <c r="E1223" s="61"/>
      <c r="F1223" s="61"/>
      <c r="G1223" s="61"/>
      <c r="H1223" s="61"/>
      <c r="I1223" s="81"/>
      <c r="J1223" s="81"/>
      <c r="K1223" s="60"/>
      <c r="L1223" s="60"/>
      <c r="M1223" s="60"/>
      <c r="N1223" s="60"/>
      <c r="O1223" s="60"/>
      <c r="P1223" s="60"/>
      <c r="Q1223" s="60"/>
      <c r="R1223" s="58"/>
      <c r="S1223" s="62" t="str">
        <f aca="false">IF(OR(B1223="",V1223=""),"",IFERROR(INDEX(C_TIPO,MATCH(V1223&amp;"-P"&amp;MAX(1,COUNTIFS(C_RUTN,V1223,C_DEF,"Sí",C_INI,"&lt;="&amp;EOMONTH(B1223,0))),C_CLAVE,0))&amp;"","Sin contrato"))</f>
        <v/>
      </c>
      <c r="T1223" s="63" t="str">
        <f aca="false">IF(OR(B1223="",N(O1223)=0),"",N(O1223)+ROUND(MIN(N(N1223),TOPE_UF*UF_MES)*(TASA_EMP+MUTUAL),0)+ROUND(MIN(N(N1223),TOPE_AFC_UF*UF_MES)*IF(S1223="Indefinido",AFC_INDEF,AFC_PF),0))</f>
        <v/>
      </c>
      <c r="U1223" s="62" t="str">
        <f aca="false">IF(C1223="","",IF(LEFT(D1223,1)="⚠","⚠ RUT no registrado en Trabajadores",IF(B1223="","⚠ Falta el mes",IF(OR(ISTEXT(I1223),ISTEXT(J1223)),"⚠ Atrasos u horas extra como texto: escriba hh:mm (ej. 1:30)",IF(AND(ISNUMBER(Q1223),COUNTIFS(M_RUTN,V1223,M_MES,B1223,M_LIQ,"&lt;&gt;")&gt;1),"⚠ Liquidación repetida en el mes",IF(AND(ISNUMBER(O1223),ISNUMBER(P1223),ISNUMBER(Q1223),ABS(O1223-P1223-Q1223)&gt;1),"⚠ Haberes − descuentos no da el líquido","OK"))))))</f>
        <v/>
      </c>
      <c r="V1223" s="62" t="str">
        <f aca="false">IF(C1223="","",IFERROR(VALUE(LEFT(UPPER(SUBSTITUTE(SUBSTITUTE(SUBSTITUTE(TRIM(C1223),".",""),"-","")," ","")),LEN(UPPER(SUBSTITUTE(SUBSTITUTE(SUBSTITUTE(TRIM(C1223),".",""),"-","")," ","")))-1))&amp;RIGHT(UPPER(SUBSTITUTE(SUBSTITUTE(SUBSTITUTE(TRIM(C1223),".",""),"-","")," ","")),1),UPPER(SUBSTITUTE(SUBSTITUTE(SUBSTITUTE(TRIM(C1223),".",""),"-","")," ",""))))</f>
        <v/>
      </c>
    </row>
    <row r="1224" customFormat="false" ht="15" hidden="false" customHeight="false" outlineLevel="0" collapsed="false">
      <c r="B1224" s="80"/>
      <c r="C1224" s="58"/>
      <c r="D1224" s="62" t="str">
        <f aca="false">IF(C1224="","",IFERROR(INDEX(T_NOMBRE,MATCH(V1224,T_RUTN,0)),"⚠ RUT no está en Trabajadores"))</f>
        <v/>
      </c>
      <c r="E1224" s="61"/>
      <c r="F1224" s="61"/>
      <c r="G1224" s="61"/>
      <c r="H1224" s="61"/>
      <c r="I1224" s="81"/>
      <c r="J1224" s="81"/>
      <c r="K1224" s="60"/>
      <c r="L1224" s="60"/>
      <c r="M1224" s="60"/>
      <c r="N1224" s="60"/>
      <c r="O1224" s="60"/>
      <c r="P1224" s="60"/>
      <c r="Q1224" s="60"/>
      <c r="R1224" s="58"/>
      <c r="S1224" s="62" t="str">
        <f aca="false">IF(OR(B1224="",V1224=""),"",IFERROR(INDEX(C_TIPO,MATCH(V1224&amp;"-P"&amp;MAX(1,COUNTIFS(C_RUTN,V1224,C_DEF,"Sí",C_INI,"&lt;="&amp;EOMONTH(B1224,0))),C_CLAVE,0))&amp;"","Sin contrato"))</f>
        <v/>
      </c>
      <c r="T1224" s="63" t="str">
        <f aca="false">IF(OR(B1224="",N(O1224)=0),"",N(O1224)+ROUND(MIN(N(N1224),TOPE_UF*UF_MES)*(TASA_EMP+MUTUAL),0)+ROUND(MIN(N(N1224),TOPE_AFC_UF*UF_MES)*IF(S1224="Indefinido",AFC_INDEF,AFC_PF),0))</f>
        <v/>
      </c>
      <c r="U1224" s="62" t="str">
        <f aca="false">IF(C1224="","",IF(LEFT(D1224,1)="⚠","⚠ RUT no registrado en Trabajadores",IF(B1224="","⚠ Falta el mes",IF(OR(ISTEXT(I1224),ISTEXT(J1224)),"⚠ Atrasos u horas extra como texto: escriba hh:mm (ej. 1:30)",IF(AND(ISNUMBER(Q1224),COUNTIFS(M_RUTN,V1224,M_MES,B1224,M_LIQ,"&lt;&gt;")&gt;1),"⚠ Liquidación repetida en el mes",IF(AND(ISNUMBER(O1224),ISNUMBER(P1224),ISNUMBER(Q1224),ABS(O1224-P1224-Q1224)&gt;1),"⚠ Haberes − descuentos no da el líquido","OK"))))))</f>
        <v/>
      </c>
      <c r="V1224" s="62" t="str">
        <f aca="false">IF(C1224="","",IFERROR(VALUE(LEFT(UPPER(SUBSTITUTE(SUBSTITUTE(SUBSTITUTE(TRIM(C1224),".",""),"-","")," ","")),LEN(UPPER(SUBSTITUTE(SUBSTITUTE(SUBSTITUTE(TRIM(C1224),".",""),"-","")," ","")))-1))&amp;RIGHT(UPPER(SUBSTITUTE(SUBSTITUTE(SUBSTITUTE(TRIM(C1224),".",""),"-","")," ","")),1),UPPER(SUBSTITUTE(SUBSTITUTE(SUBSTITUTE(TRIM(C1224),".",""),"-","")," ",""))))</f>
        <v/>
      </c>
    </row>
    <row r="1225" customFormat="false" ht="15" hidden="false" customHeight="false" outlineLevel="0" collapsed="false">
      <c r="B1225" s="80"/>
      <c r="C1225" s="58"/>
      <c r="D1225" s="62" t="str">
        <f aca="false">IF(C1225="","",IFERROR(INDEX(T_NOMBRE,MATCH(V1225,T_RUTN,0)),"⚠ RUT no está en Trabajadores"))</f>
        <v/>
      </c>
      <c r="E1225" s="61"/>
      <c r="F1225" s="61"/>
      <c r="G1225" s="61"/>
      <c r="H1225" s="61"/>
      <c r="I1225" s="81"/>
      <c r="J1225" s="81"/>
      <c r="K1225" s="60"/>
      <c r="L1225" s="60"/>
      <c r="M1225" s="60"/>
      <c r="N1225" s="60"/>
      <c r="O1225" s="60"/>
      <c r="P1225" s="60"/>
      <c r="Q1225" s="60"/>
      <c r="R1225" s="58"/>
      <c r="S1225" s="62" t="str">
        <f aca="false">IF(OR(B1225="",V1225=""),"",IFERROR(INDEX(C_TIPO,MATCH(V1225&amp;"-P"&amp;MAX(1,COUNTIFS(C_RUTN,V1225,C_DEF,"Sí",C_INI,"&lt;="&amp;EOMONTH(B1225,0))),C_CLAVE,0))&amp;"","Sin contrato"))</f>
        <v/>
      </c>
      <c r="T1225" s="63" t="str">
        <f aca="false">IF(OR(B1225="",N(O1225)=0),"",N(O1225)+ROUND(MIN(N(N1225),TOPE_UF*UF_MES)*(TASA_EMP+MUTUAL),0)+ROUND(MIN(N(N1225),TOPE_AFC_UF*UF_MES)*IF(S1225="Indefinido",AFC_INDEF,AFC_PF),0))</f>
        <v/>
      </c>
      <c r="U1225" s="62" t="str">
        <f aca="false">IF(C1225="","",IF(LEFT(D1225,1)="⚠","⚠ RUT no registrado en Trabajadores",IF(B1225="","⚠ Falta el mes",IF(OR(ISTEXT(I1225),ISTEXT(J1225)),"⚠ Atrasos u horas extra como texto: escriba hh:mm (ej. 1:30)",IF(AND(ISNUMBER(Q1225),COUNTIFS(M_RUTN,V1225,M_MES,B1225,M_LIQ,"&lt;&gt;")&gt;1),"⚠ Liquidación repetida en el mes",IF(AND(ISNUMBER(O1225),ISNUMBER(P1225),ISNUMBER(Q1225),ABS(O1225-P1225-Q1225)&gt;1),"⚠ Haberes − descuentos no da el líquido","OK"))))))</f>
        <v/>
      </c>
      <c r="V1225" s="62" t="str">
        <f aca="false">IF(C1225="","",IFERROR(VALUE(LEFT(UPPER(SUBSTITUTE(SUBSTITUTE(SUBSTITUTE(TRIM(C1225),".",""),"-","")," ","")),LEN(UPPER(SUBSTITUTE(SUBSTITUTE(SUBSTITUTE(TRIM(C1225),".",""),"-","")," ","")))-1))&amp;RIGHT(UPPER(SUBSTITUTE(SUBSTITUTE(SUBSTITUTE(TRIM(C1225),".",""),"-","")," ","")),1),UPPER(SUBSTITUTE(SUBSTITUTE(SUBSTITUTE(TRIM(C1225),".",""),"-","")," ",""))))</f>
        <v/>
      </c>
    </row>
    <row r="1226" customFormat="false" ht="15" hidden="false" customHeight="false" outlineLevel="0" collapsed="false">
      <c r="B1226" s="80"/>
      <c r="C1226" s="58"/>
      <c r="D1226" s="62" t="str">
        <f aca="false">IF(C1226="","",IFERROR(INDEX(T_NOMBRE,MATCH(V1226,T_RUTN,0)),"⚠ RUT no está en Trabajadores"))</f>
        <v/>
      </c>
      <c r="E1226" s="61"/>
      <c r="F1226" s="61"/>
      <c r="G1226" s="61"/>
      <c r="H1226" s="61"/>
      <c r="I1226" s="81"/>
      <c r="J1226" s="81"/>
      <c r="K1226" s="60"/>
      <c r="L1226" s="60"/>
      <c r="M1226" s="60"/>
      <c r="N1226" s="60"/>
      <c r="O1226" s="60"/>
      <c r="P1226" s="60"/>
      <c r="Q1226" s="60"/>
      <c r="R1226" s="58"/>
      <c r="S1226" s="62" t="str">
        <f aca="false">IF(OR(B1226="",V1226=""),"",IFERROR(INDEX(C_TIPO,MATCH(V1226&amp;"-P"&amp;MAX(1,COUNTIFS(C_RUTN,V1226,C_DEF,"Sí",C_INI,"&lt;="&amp;EOMONTH(B1226,0))),C_CLAVE,0))&amp;"","Sin contrato"))</f>
        <v/>
      </c>
      <c r="T1226" s="63" t="str">
        <f aca="false">IF(OR(B1226="",N(O1226)=0),"",N(O1226)+ROUND(MIN(N(N1226),TOPE_UF*UF_MES)*(TASA_EMP+MUTUAL),0)+ROUND(MIN(N(N1226),TOPE_AFC_UF*UF_MES)*IF(S1226="Indefinido",AFC_INDEF,AFC_PF),0))</f>
        <v/>
      </c>
      <c r="U1226" s="62" t="str">
        <f aca="false">IF(C1226="","",IF(LEFT(D1226,1)="⚠","⚠ RUT no registrado en Trabajadores",IF(B1226="","⚠ Falta el mes",IF(OR(ISTEXT(I1226),ISTEXT(J1226)),"⚠ Atrasos u horas extra como texto: escriba hh:mm (ej. 1:30)",IF(AND(ISNUMBER(Q1226),COUNTIFS(M_RUTN,V1226,M_MES,B1226,M_LIQ,"&lt;&gt;")&gt;1),"⚠ Liquidación repetida en el mes",IF(AND(ISNUMBER(O1226),ISNUMBER(P1226),ISNUMBER(Q1226),ABS(O1226-P1226-Q1226)&gt;1),"⚠ Haberes − descuentos no da el líquido","OK"))))))</f>
        <v/>
      </c>
      <c r="V1226" s="62" t="str">
        <f aca="false">IF(C1226="","",IFERROR(VALUE(LEFT(UPPER(SUBSTITUTE(SUBSTITUTE(SUBSTITUTE(TRIM(C1226),".",""),"-","")," ","")),LEN(UPPER(SUBSTITUTE(SUBSTITUTE(SUBSTITUTE(TRIM(C1226),".",""),"-","")," ","")))-1))&amp;RIGHT(UPPER(SUBSTITUTE(SUBSTITUTE(SUBSTITUTE(TRIM(C1226),".",""),"-","")," ","")),1),UPPER(SUBSTITUTE(SUBSTITUTE(SUBSTITUTE(TRIM(C1226),".",""),"-","")," ",""))))</f>
        <v/>
      </c>
    </row>
    <row r="1227" customFormat="false" ht="15" hidden="false" customHeight="false" outlineLevel="0" collapsed="false">
      <c r="B1227" s="80"/>
      <c r="C1227" s="58"/>
      <c r="D1227" s="62" t="str">
        <f aca="false">IF(C1227="","",IFERROR(INDEX(T_NOMBRE,MATCH(V1227,T_RUTN,0)),"⚠ RUT no está en Trabajadores"))</f>
        <v/>
      </c>
      <c r="E1227" s="61"/>
      <c r="F1227" s="61"/>
      <c r="G1227" s="61"/>
      <c r="H1227" s="61"/>
      <c r="I1227" s="81"/>
      <c r="J1227" s="81"/>
      <c r="K1227" s="60"/>
      <c r="L1227" s="60"/>
      <c r="M1227" s="60"/>
      <c r="N1227" s="60"/>
      <c r="O1227" s="60"/>
      <c r="P1227" s="60"/>
      <c r="Q1227" s="60"/>
      <c r="R1227" s="58"/>
      <c r="S1227" s="62" t="str">
        <f aca="false">IF(OR(B1227="",V1227=""),"",IFERROR(INDEX(C_TIPO,MATCH(V1227&amp;"-P"&amp;MAX(1,COUNTIFS(C_RUTN,V1227,C_DEF,"Sí",C_INI,"&lt;="&amp;EOMONTH(B1227,0))),C_CLAVE,0))&amp;"","Sin contrato"))</f>
        <v/>
      </c>
      <c r="T1227" s="63" t="str">
        <f aca="false">IF(OR(B1227="",N(O1227)=0),"",N(O1227)+ROUND(MIN(N(N1227),TOPE_UF*UF_MES)*(TASA_EMP+MUTUAL),0)+ROUND(MIN(N(N1227),TOPE_AFC_UF*UF_MES)*IF(S1227="Indefinido",AFC_INDEF,AFC_PF),0))</f>
        <v/>
      </c>
      <c r="U1227" s="62" t="str">
        <f aca="false">IF(C1227="","",IF(LEFT(D1227,1)="⚠","⚠ RUT no registrado en Trabajadores",IF(B1227="","⚠ Falta el mes",IF(OR(ISTEXT(I1227),ISTEXT(J1227)),"⚠ Atrasos u horas extra como texto: escriba hh:mm (ej. 1:30)",IF(AND(ISNUMBER(Q1227),COUNTIFS(M_RUTN,V1227,M_MES,B1227,M_LIQ,"&lt;&gt;")&gt;1),"⚠ Liquidación repetida en el mes",IF(AND(ISNUMBER(O1227),ISNUMBER(P1227),ISNUMBER(Q1227),ABS(O1227-P1227-Q1227)&gt;1),"⚠ Haberes − descuentos no da el líquido","OK"))))))</f>
        <v/>
      </c>
      <c r="V1227" s="62" t="str">
        <f aca="false">IF(C1227="","",IFERROR(VALUE(LEFT(UPPER(SUBSTITUTE(SUBSTITUTE(SUBSTITUTE(TRIM(C1227),".",""),"-","")," ","")),LEN(UPPER(SUBSTITUTE(SUBSTITUTE(SUBSTITUTE(TRIM(C1227),".",""),"-","")," ","")))-1))&amp;RIGHT(UPPER(SUBSTITUTE(SUBSTITUTE(SUBSTITUTE(TRIM(C1227),".",""),"-","")," ","")),1),UPPER(SUBSTITUTE(SUBSTITUTE(SUBSTITUTE(TRIM(C1227),".",""),"-","")," ",""))))</f>
        <v/>
      </c>
    </row>
    <row r="1228" customFormat="false" ht="15" hidden="false" customHeight="false" outlineLevel="0" collapsed="false">
      <c r="B1228" s="80"/>
      <c r="C1228" s="58"/>
      <c r="D1228" s="62" t="str">
        <f aca="false">IF(C1228="","",IFERROR(INDEX(T_NOMBRE,MATCH(V1228,T_RUTN,0)),"⚠ RUT no está en Trabajadores"))</f>
        <v/>
      </c>
      <c r="E1228" s="61"/>
      <c r="F1228" s="61"/>
      <c r="G1228" s="61"/>
      <c r="H1228" s="61"/>
      <c r="I1228" s="81"/>
      <c r="J1228" s="81"/>
      <c r="K1228" s="60"/>
      <c r="L1228" s="60"/>
      <c r="M1228" s="60"/>
      <c r="N1228" s="60"/>
      <c r="O1228" s="60"/>
      <c r="P1228" s="60"/>
      <c r="Q1228" s="60"/>
      <c r="R1228" s="58"/>
      <c r="S1228" s="62" t="str">
        <f aca="false">IF(OR(B1228="",V1228=""),"",IFERROR(INDEX(C_TIPO,MATCH(V1228&amp;"-P"&amp;MAX(1,COUNTIFS(C_RUTN,V1228,C_DEF,"Sí",C_INI,"&lt;="&amp;EOMONTH(B1228,0))),C_CLAVE,0))&amp;"","Sin contrato"))</f>
        <v/>
      </c>
      <c r="T1228" s="63" t="str">
        <f aca="false">IF(OR(B1228="",N(O1228)=0),"",N(O1228)+ROUND(MIN(N(N1228),TOPE_UF*UF_MES)*(TASA_EMP+MUTUAL),0)+ROUND(MIN(N(N1228),TOPE_AFC_UF*UF_MES)*IF(S1228="Indefinido",AFC_INDEF,AFC_PF),0))</f>
        <v/>
      </c>
      <c r="U1228" s="62" t="str">
        <f aca="false">IF(C1228="","",IF(LEFT(D1228,1)="⚠","⚠ RUT no registrado en Trabajadores",IF(B1228="","⚠ Falta el mes",IF(OR(ISTEXT(I1228),ISTEXT(J1228)),"⚠ Atrasos u horas extra como texto: escriba hh:mm (ej. 1:30)",IF(AND(ISNUMBER(Q1228),COUNTIFS(M_RUTN,V1228,M_MES,B1228,M_LIQ,"&lt;&gt;")&gt;1),"⚠ Liquidación repetida en el mes",IF(AND(ISNUMBER(O1228),ISNUMBER(P1228),ISNUMBER(Q1228),ABS(O1228-P1228-Q1228)&gt;1),"⚠ Haberes − descuentos no da el líquido","OK"))))))</f>
        <v/>
      </c>
      <c r="V1228" s="62" t="str">
        <f aca="false">IF(C1228="","",IFERROR(VALUE(LEFT(UPPER(SUBSTITUTE(SUBSTITUTE(SUBSTITUTE(TRIM(C1228),".",""),"-","")," ","")),LEN(UPPER(SUBSTITUTE(SUBSTITUTE(SUBSTITUTE(TRIM(C1228),".",""),"-","")," ","")))-1))&amp;RIGHT(UPPER(SUBSTITUTE(SUBSTITUTE(SUBSTITUTE(TRIM(C1228),".",""),"-","")," ","")),1),UPPER(SUBSTITUTE(SUBSTITUTE(SUBSTITUTE(TRIM(C1228),".",""),"-","")," ",""))))</f>
        <v/>
      </c>
    </row>
    <row r="1229" customFormat="false" ht="15" hidden="false" customHeight="false" outlineLevel="0" collapsed="false">
      <c r="B1229" s="80"/>
      <c r="C1229" s="58"/>
      <c r="D1229" s="62" t="str">
        <f aca="false">IF(C1229="","",IFERROR(INDEX(T_NOMBRE,MATCH(V1229,T_RUTN,0)),"⚠ RUT no está en Trabajadores"))</f>
        <v/>
      </c>
      <c r="E1229" s="61"/>
      <c r="F1229" s="61"/>
      <c r="G1229" s="61"/>
      <c r="H1229" s="61"/>
      <c r="I1229" s="81"/>
      <c r="J1229" s="81"/>
      <c r="K1229" s="60"/>
      <c r="L1229" s="60"/>
      <c r="M1229" s="60"/>
      <c r="N1229" s="60"/>
      <c r="O1229" s="60"/>
      <c r="P1229" s="60"/>
      <c r="Q1229" s="60"/>
      <c r="R1229" s="58"/>
      <c r="S1229" s="62" t="str">
        <f aca="false">IF(OR(B1229="",V1229=""),"",IFERROR(INDEX(C_TIPO,MATCH(V1229&amp;"-P"&amp;MAX(1,COUNTIFS(C_RUTN,V1229,C_DEF,"Sí",C_INI,"&lt;="&amp;EOMONTH(B1229,0))),C_CLAVE,0))&amp;"","Sin contrato"))</f>
        <v/>
      </c>
      <c r="T1229" s="63" t="str">
        <f aca="false">IF(OR(B1229="",N(O1229)=0),"",N(O1229)+ROUND(MIN(N(N1229),TOPE_UF*UF_MES)*(TASA_EMP+MUTUAL),0)+ROUND(MIN(N(N1229),TOPE_AFC_UF*UF_MES)*IF(S1229="Indefinido",AFC_INDEF,AFC_PF),0))</f>
        <v/>
      </c>
      <c r="U1229" s="62" t="str">
        <f aca="false">IF(C1229="","",IF(LEFT(D1229,1)="⚠","⚠ RUT no registrado en Trabajadores",IF(B1229="","⚠ Falta el mes",IF(OR(ISTEXT(I1229),ISTEXT(J1229)),"⚠ Atrasos u horas extra como texto: escriba hh:mm (ej. 1:30)",IF(AND(ISNUMBER(Q1229),COUNTIFS(M_RUTN,V1229,M_MES,B1229,M_LIQ,"&lt;&gt;")&gt;1),"⚠ Liquidación repetida en el mes",IF(AND(ISNUMBER(O1229),ISNUMBER(P1229),ISNUMBER(Q1229),ABS(O1229-P1229-Q1229)&gt;1),"⚠ Haberes − descuentos no da el líquido","OK"))))))</f>
        <v/>
      </c>
      <c r="V1229" s="62" t="str">
        <f aca="false">IF(C1229="","",IFERROR(VALUE(LEFT(UPPER(SUBSTITUTE(SUBSTITUTE(SUBSTITUTE(TRIM(C1229),".",""),"-","")," ","")),LEN(UPPER(SUBSTITUTE(SUBSTITUTE(SUBSTITUTE(TRIM(C1229),".",""),"-","")," ","")))-1))&amp;RIGHT(UPPER(SUBSTITUTE(SUBSTITUTE(SUBSTITUTE(TRIM(C1229),".",""),"-","")," ","")),1),UPPER(SUBSTITUTE(SUBSTITUTE(SUBSTITUTE(TRIM(C1229),".",""),"-","")," ",""))))</f>
        <v/>
      </c>
    </row>
    <row r="1230" customFormat="false" ht="15" hidden="false" customHeight="false" outlineLevel="0" collapsed="false">
      <c r="B1230" s="80"/>
      <c r="C1230" s="58"/>
      <c r="D1230" s="62" t="str">
        <f aca="false">IF(C1230="","",IFERROR(INDEX(T_NOMBRE,MATCH(V1230,T_RUTN,0)),"⚠ RUT no está en Trabajadores"))</f>
        <v/>
      </c>
      <c r="E1230" s="61"/>
      <c r="F1230" s="61"/>
      <c r="G1230" s="61"/>
      <c r="H1230" s="61"/>
      <c r="I1230" s="81"/>
      <c r="J1230" s="81"/>
      <c r="K1230" s="60"/>
      <c r="L1230" s="60"/>
      <c r="M1230" s="60"/>
      <c r="N1230" s="60"/>
      <c r="O1230" s="60"/>
      <c r="P1230" s="60"/>
      <c r="Q1230" s="60"/>
      <c r="R1230" s="58"/>
      <c r="S1230" s="62" t="str">
        <f aca="false">IF(OR(B1230="",V1230=""),"",IFERROR(INDEX(C_TIPO,MATCH(V1230&amp;"-P"&amp;MAX(1,COUNTIFS(C_RUTN,V1230,C_DEF,"Sí",C_INI,"&lt;="&amp;EOMONTH(B1230,0))),C_CLAVE,0))&amp;"","Sin contrato"))</f>
        <v/>
      </c>
      <c r="T1230" s="63" t="str">
        <f aca="false">IF(OR(B1230="",N(O1230)=0),"",N(O1230)+ROUND(MIN(N(N1230),TOPE_UF*UF_MES)*(TASA_EMP+MUTUAL),0)+ROUND(MIN(N(N1230),TOPE_AFC_UF*UF_MES)*IF(S1230="Indefinido",AFC_INDEF,AFC_PF),0))</f>
        <v/>
      </c>
      <c r="U1230" s="62" t="str">
        <f aca="false">IF(C1230="","",IF(LEFT(D1230,1)="⚠","⚠ RUT no registrado en Trabajadores",IF(B1230="","⚠ Falta el mes",IF(OR(ISTEXT(I1230),ISTEXT(J1230)),"⚠ Atrasos u horas extra como texto: escriba hh:mm (ej. 1:30)",IF(AND(ISNUMBER(Q1230),COUNTIFS(M_RUTN,V1230,M_MES,B1230,M_LIQ,"&lt;&gt;")&gt;1),"⚠ Liquidación repetida en el mes",IF(AND(ISNUMBER(O1230),ISNUMBER(P1230),ISNUMBER(Q1230),ABS(O1230-P1230-Q1230)&gt;1),"⚠ Haberes − descuentos no da el líquido","OK"))))))</f>
        <v/>
      </c>
      <c r="V1230" s="62" t="str">
        <f aca="false">IF(C1230="","",IFERROR(VALUE(LEFT(UPPER(SUBSTITUTE(SUBSTITUTE(SUBSTITUTE(TRIM(C1230),".",""),"-","")," ","")),LEN(UPPER(SUBSTITUTE(SUBSTITUTE(SUBSTITUTE(TRIM(C1230),".",""),"-","")," ","")))-1))&amp;RIGHT(UPPER(SUBSTITUTE(SUBSTITUTE(SUBSTITUTE(TRIM(C1230),".",""),"-","")," ","")),1),UPPER(SUBSTITUTE(SUBSTITUTE(SUBSTITUTE(TRIM(C1230),".",""),"-","")," ",""))))</f>
        <v/>
      </c>
    </row>
    <row r="1231" customFormat="false" ht="15" hidden="false" customHeight="false" outlineLevel="0" collapsed="false">
      <c r="B1231" s="80"/>
      <c r="C1231" s="58"/>
      <c r="D1231" s="62" t="str">
        <f aca="false">IF(C1231="","",IFERROR(INDEX(T_NOMBRE,MATCH(V1231,T_RUTN,0)),"⚠ RUT no está en Trabajadores"))</f>
        <v/>
      </c>
      <c r="E1231" s="61"/>
      <c r="F1231" s="61"/>
      <c r="G1231" s="61"/>
      <c r="H1231" s="61"/>
      <c r="I1231" s="81"/>
      <c r="J1231" s="81"/>
      <c r="K1231" s="60"/>
      <c r="L1231" s="60"/>
      <c r="M1231" s="60"/>
      <c r="N1231" s="60"/>
      <c r="O1231" s="60"/>
      <c r="P1231" s="60"/>
      <c r="Q1231" s="60"/>
      <c r="R1231" s="58"/>
      <c r="S1231" s="62" t="str">
        <f aca="false">IF(OR(B1231="",V1231=""),"",IFERROR(INDEX(C_TIPO,MATCH(V1231&amp;"-P"&amp;MAX(1,COUNTIFS(C_RUTN,V1231,C_DEF,"Sí",C_INI,"&lt;="&amp;EOMONTH(B1231,0))),C_CLAVE,0))&amp;"","Sin contrato"))</f>
        <v/>
      </c>
      <c r="T1231" s="63" t="str">
        <f aca="false">IF(OR(B1231="",N(O1231)=0),"",N(O1231)+ROUND(MIN(N(N1231),TOPE_UF*UF_MES)*(TASA_EMP+MUTUAL),0)+ROUND(MIN(N(N1231),TOPE_AFC_UF*UF_MES)*IF(S1231="Indefinido",AFC_INDEF,AFC_PF),0))</f>
        <v/>
      </c>
      <c r="U1231" s="62" t="str">
        <f aca="false">IF(C1231="","",IF(LEFT(D1231,1)="⚠","⚠ RUT no registrado en Trabajadores",IF(B1231="","⚠ Falta el mes",IF(OR(ISTEXT(I1231),ISTEXT(J1231)),"⚠ Atrasos u horas extra como texto: escriba hh:mm (ej. 1:30)",IF(AND(ISNUMBER(Q1231),COUNTIFS(M_RUTN,V1231,M_MES,B1231,M_LIQ,"&lt;&gt;")&gt;1),"⚠ Liquidación repetida en el mes",IF(AND(ISNUMBER(O1231),ISNUMBER(P1231),ISNUMBER(Q1231),ABS(O1231-P1231-Q1231)&gt;1),"⚠ Haberes − descuentos no da el líquido","OK"))))))</f>
        <v/>
      </c>
      <c r="V1231" s="62" t="str">
        <f aca="false">IF(C1231="","",IFERROR(VALUE(LEFT(UPPER(SUBSTITUTE(SUBSTITUTE(SUBSTITUTE(TRIM(C1231),".",""),"-","")," ","")),LEN(UPPER(SUBSTITUTE(SUBSTITUTE(SUBSTITUTE(TRIM(C1231),".",""),"-","")," ","")))-1))&amp;RIGHT(UPPER(SUBSTITUTE(SUBSTITUTE(SUBSTITUTE(TRIM(C1231),".",""),"-","")," ","")),1),UPPER(SUBSTITUTE(SUBSTITUTE(SUBSTITUTE(TRIM(C1231),".",""),"-","")," ",""))))</f>
        <v/>
      </c>
    </row>
    <row r="1232" customFormat="false" ht="15" hidden="false" customHeight="false" outlineLevel="0" collapsed="false">
      <c r="B1232" s="80"/>
      <c r="C1232" s="58"/>
      <c r="D1232" s="62" t="str">
        <f aca="false">IF(C1232="","",IFERROR(INDEX(T_NOMBRE,MATCH(V1232,T_RUTN,0)),"⚠ RUT no está en Trabajadores"))</f>
        <v/>
      </c>
      <c r="E1232" s="61"/>
      <c r="F1232" s="61"/>
      <c r="G1232" s="61"/>
      <c r="H1232" s="61"/>
      <c r="I1232" s="81"/>
      <c r="J1232" s="81"/>
      <c r="K1232" s="60"/>
      <c r="L1232" s="60"/>
      <c r="M1232" s="60"/>
      <c r="N1232" s="60"/>
      <c r="O1232" s="60"/>
      <c r="P1232" s="60"/>
      <c r="Q1232" s="60"/>
      <c r="R1232" s="58"/>
      <c r="S1232" s="62" t="str">
        <f aca="false">IF(OR(B1232="",V1232=""),"",IFERROR(INDEX(C_TIPO,MATCH(V1232&amp;"-P"&amp;MAX(1,COUNTIFS(C_RUTN,V1232,C_DEF,"Sí",C_INI,"&lt;="&amp;EOMONTH(B1232,0))),C_CLAVE,0))&amp;"","Sin contrato"))</f>
        <v/>
      </c>
      <c r="T1232" s="63" t="str">
        <f aca="false">IF(OR(B1232="",N(O1232)=0),"",N(O1232)+ROUND(MIN(N(N1232),TOPE_UF*UF_MES)*(TASA_EMP+MUTUAL),0)+ROUND(MIN(N(N1232),TOPE_AFC_UF*UF_MES)*IF(S1232="Indefinido",AFC_INDEF,AFC_PF),0))</f>
        <v/>
      </c>
      <c r="U1232" s="62" t="str">
        <f aca="false">IF(C1232="","",IF(LEFT(D1232,1)="⚠","⚠ RUT no registrado en Trabajadores",IF(B1232="","⚠ Falta el mes",IF(OR(ISTEXT(I1232),ISTEXT(J1232)),"⚠ Atrasos u horas extra como texto: escriba hh:mm (ej. 1:30)",IF(AND(ISNUMBER(Q1232),COUNTIFS(M_RUTN,V1232,M_MES,B1232,M_LIQ,"&lt;&gt;")&gt;1),"⚠ Liquidación repetida en el mes",IF(AND(ISNUMBER(O1232),ISNUMBER(P1232),ISNUMBER(Q1232),ABS(O1232-P1232-Q1232)&gt;1),"⚠ Haberes − descuentos no da el líquido","OK"))))))</f>
        <v/>
      </c>
      <c r="V1232" s="62" t="str">
        <f aca="false">IF(C1232="","",IFERROR(VALUE(LEFT(UPPER(SUBSTITUTE(SUBSTITUTE(SUBSTITUTE(TRIM(C1232),".",""),"-","")," ","")),LEN(UPPER(SUBSTITUTE(SUBSTITUTE(SUBSTITUTE(TRIM(C1232),".",""),"-","")," ","")))-1))&amp;RIGHT(UPPER(SUBSTITUTE(SUBSTITUTE(SUBSTITUTE(TRIM(C1232),".",""),"-","")," ","")),1),UPPER(SUBSTITUTE(SUBSTITUTE(SUBSTITUTE(TRIM(C1232),".",""),"-","")," ",""))))</f>
        <v/>
      </c>
    </row>
    <row r="1233" customFormat="false" ht="15" hidden="false" customHeight="false" outlineLevel="0" collapsed="false">
      <c r="B1233" s="80"/>
      <c r="C1233" s="58"/>
      <c r="D1233" s="62" t="str">
        <f aca="false">IF(C1233="","",IFERROR(INDEX(T_NOMBRE,MATCH(V1233,T_RUTN,0)),"⚠ RUT no está en Trabajadores"))</f>
        <v/>
      </c>
      <c r="E1233" s="61"/>
      <c r="F1233" s="61"/>
      <c r="G1233" s="61"/>
      <c r="H1233" s="61"/>
      <c r="I1233" s="81"/>
      <c r="J1233" s="81"/>
      <c r="K1233" s="60"/>
      <c r="L1233" s="60"/>
      <c r="M1233" s="60"/>
      <c r="N1233" s="60"/>
      <c r="O1233" s="60"/>
      <c r="P1233" s="60"/>
      <c r="Q1233" s="60"/>
      <c r="R1233" s="58"/>
      <c r="S1233" s="62" t="str">
        <f aca="false">IF(OR(B1233="",V1233=""),"",IFERROR(INDEX(C_TIPO,MATCH(V1233&amp;"-P"&amp;MAX(1,COUNTIFS(C_RUTN,V1233,C_DEF,"Sí",C_INI,"&lt;="&amp;EOMONTH(B1233,0))),C_CLAVE,0))&amp;"","Sin contrato"))</f>
        <v/>
      </c>
      <c r="T1233" s="63" t="str">
        <f aca="false">IF(OR(B1233="",N(O1233)=0),"",N(O1233)+ROUND(MIN(N(N1233),TOPE_UF*UF_MES)*(TASA_EMP+MUTUAL),0)+ROUND(MIN(N(N1233),TOPE_AFC_UF*UF_MES)*IF(S1233="Indefinido",AFC_INDEF,AFC_PF),0))</f>
        <v/>
      </c>
      <c r="U1233" s="62" t="str">
        <f aca="false">IF(C1233="","",IF(LEFT(D1233,1)="⚠","⚠ RUT no registrado en Trabajadores",IF(B1233="","⚠ Falta el mes",IF(OR(ISTEXT(I1233),ISTEXT(J1233)),"⚠ Atrasos u horas extra como texto: escriba hh:mm (ej. 1:30)",IF(AND(ISNUMBER(Q1233),COUNTIFS(M_RUTN,V1233,M_MES,B1233,M_LIQ,"&lt;&gt;")&gt;1),"⚠ Liquidación repetida en el mes",IF(AND(ISNUMBER(O1233),ISNUMBER(P1233),ISNUMBER(Q1233),ABS(O1233-P1233-Q1233)&gt;1),"⚠ Haberes − descuentos no da el líquido","OK"))))))</f>
        <v/>
      </c>
      <c r="V1233" s="62" t="str">
        <f aca="false">IF(C1233="","",IFERROR(VALUE(LEFT(UPPER(SUBSTITUTE(SUBSTITUTE(SUBSTITUTE(TRIM(C1233),".",""),"-","")," ","")),LEN(UPPER(SUBSTITUTE(SUBSTITUTE(SUBSTITUTE(TRIM(C1233),".",""),"-","")," ","")))-1))&amp;RIGHT(UPPER(SUBSTITUTE(SUBSTITUTE(SUBSTITUTE(TRIM(C1233),".",""),"-","")," ","")),1),UPPER(SUBSTITUTE(SUBSTITUTE(SUBSTITUTE(TRIM(C1233),".",""),"-","")," ",""))))</f>
        <v/>
      </c>
    </row>
    <row r="1234" customFormat="false" ht="15" hidden="false" customHeight="false" outlineLevel="0" collapsed="false">
      <c r="B1234" s="80"/>
      <c r="C1234" s="58"/>
      <c r="D1234" s="62" t="str">
        <f aca="false">IF(C1234="","",IFERROR(INDEX(T_NOMBRE,MATCH(V1234,T_RUTN,0)),"⚠ RUT no está en Trabajadores"))</f>
        <v/>
      </c>
      <c r="E1234" s="61"/>
      <c r="F1234" s="61"/>
      <c r="G1234" s="61"/>
      <c r="H1234" s="61"/>
      <c r="I1234" s="81"/>
      <c r="J1234" s="81"/>
      <c r="K1234" s="60"/>
      <c r="L1234" s="60"/>
      <c r="M1234" s="60"/>
      <c r="N1234" s="60"/>
      <c r="O1234" s="60"/>
      <c r="P1234" s="60"/>
      <c r="Q1234" s="60"/>
      <c r="R1234" s="58"/>
      <c r="S1234" s="62" t="str">
        <f aca="false">IF(OR(B1234="",V1234=""),"",IFERROR(INDEX(C_TIPO,MATCH(V1234&amp;"-P"&amp;MAX(1,COUNTIFS(C_RUTN,V1234,C_DEF,"Sí",C_INI,"&lt;="&amp;EOMONTH(B1234,0))),C_CLAVE,0))&amp;"","Sin contrato"))</f>
        <v/>
      </c>
      <c r="T1234" s="63" t="str">
        <f aca="false">IF(OR(B1234="",N(O1234)=0),"",N(O1234)+ROUND(MIN(N(N1234),TOPE_UF*UF_MES)*(TASA_EMP+MUTUAL),0)+ROUND(MIN(N(N1234),TOPE_AFC_UF*UF_MES)*IF(S1234="Indefinido",AFC_INDEF,AFC_PF),0))</f>
        <v/>
      </c>
      <c r="U1234" s="62" t="str">
        <f aca="false">IF(C1234="","",IF(LEFT(D1234,1)="⚠","⚠ RUT no registrado en Trabajadores",IF(B1234="","⚠ Falta el mes",IF(OR(ISTEXT(I1234),ISTEXT(J1234)),"⚠ Atrasos u horas extra como texto: escriba hh:mm (ej. 1:30)",IF(AND(ISNUMBER(Q1234),COUNTIFS(M_RUTN,V1234,M_MES,B1234,M_LIQ,"&lt;&gt;")&gt;1),"⚠ Liquidación repetida en el mes",IF(AND(ISNUMBER(O1234),ISNUMBER(P1234),ISNUMBER(Q1234),ABS(O1234-P1234-Q1234)&gt;1),"⚠ Haberes − descuentos no da el líquido","OK"))))))</f>
        <v/>
      </c>
      <c r="V1234" s="62" t="str">
        <f aca="false">IF(C1234="","",IFERROR(VALUE(LEFT(UPPER(SUBSTITUTE(SUBSTITUTE(SUBSTITUTE(TRIM(C1234),".",""),"-","")," ","")),LEN(UPPER(SUBSTITUTE(SUBSTITUTE(SUBSTITUTE(TRIM(C1234),".",""),"-","")," ","")))-1))&amp;RIGHT(UPPER(SUBSTITUTE(SUBSTITUTE(SUBSTITUTE(TRIM(C1234),".",""),"-","")," ","")),1),UPPER(SUBSTITUTE(SUBSTITUTE(SUBSTITUTE(TRIM(C1234),".",""),"-","")," ",""))))</f>
        <v/>
      </c>
    </row>
    <row r="1235" customFormat="false" ht="15" hidden="false" customHeight="false" outlineLevel="0" collapsed="false">
      <c r="B1235" s="80"/>
      <c r="C1235" s="58"/>
      <c r="D1235" s="62" t="str">
        <f aca="false">IF(C1235="","",IFERROR(INDEX(T_NOMBRE,MATCH(V1235,T_RUTN,0)),"⚠ RUT no está en Trabajadores"))</f>
        <v/>
      </c>
      <c r="E1235" s="61"/>
      <c r="F1235" s="61"/>
      <c r="G1235" s="61"/>
      <c r="H1235" s="61"/>
      <c r="I1235" s="81"/>
      <c r="J1235" s="81"/>
      <c r="K1235" s="60"/>
      <c r="L1235" s="60"/>
      <c r="M1235" s="60"/>
      <c r="N1235" s="60"/>
      <c r="O1235" s="60"/>
      <c r="P1235" s="60"/>
      <c r="Q1235" s="60"/>
      <c r="R1235" s="58"/>
      <c r="S1235" s="62" t="str">
        <f aca="false">IF(OR(B1235="",V1235=""),"",IFERROR(INDEX(C_TIPO,MATCH(V1235&amp;"-P"&amp;MAX(1,COUNTIFS(C_RUTN,V1235,C_DEF,"Sí",C_INI,"&lt;="&amp;EOMONTH(B1235,0))),C_CLAVE,0))&amp;"","Sin contrato"))</f>
        <v/>
      </c>
      <c r="T1235" s="63" t="str">
        <f aca="false">IF(OR(B1235="",N(O1235)=0),"",N(O1235)+ROUND(MIN(N(N1235),TOPE_UF*UF_MES)*(TASA_EMP+MUTUAL),0)+ROUND(MIN(N(N1235),TOPE_AFC_UF*UF_MES)*IF(S1235="Indefinido",AFC_INDEF,AFC_PF),0))</f>
        <v/>
      </c>
      <c r="U1235" s="62" t="str">
        <f aca="false">IF(C1235="","",IF(LEFT(D1235,1)="⚠","⚠ RUT no registrado en Trabajadores",IF(B1235="","⚠ Falta el mes",IF(OR(ISTEXT(I1235),ISTEXT(J1235)),"⚠ Atrasos u horas extra como texto: escriba hh:mm (ej. 1:30)",IF(AND(ISNUMBER(Q1235),COUNTIFS(M_RUTN,V1235,M_MES,B1235,M_LIQ,"&lt;&gt;")&gt;1),"⚠ Liquidación repetida en el mes",IF(AND(ISNUMBER(O1235),ISNUMBER(P1235),ISNUMBER(Q1235),ABS(O1235-P1235-Q1235)&gt;1),"⚠ Haberes − descuentos no da el líquido","OK"))))))</f>
        <v/>
      </c>
      <c r="V1235" s="62" t="str">
        <f aca="false">IF(C1235="","",IFERROR(VALUE(LEFT(UPPER(SUBSTITUTE(SUBSTITUTE(SUBSTITUTE(TRIM(C1235),".",""),"-","")," ","")),LEN(UPPER(SUBSTITUTE(SUBSTITUTE(SUBSTITUTE(TRIM(C1235),".",""),"-","")," ","")))-1))&amp;RIGHT(UPPER(SUBSTITUTE(SUBSTITUTE(SUBSTITUTE(TRIM(C1235),".",""),"-","")," ","")),1),UPPER(SUBSTITUTE(SUBSTITUTE(SUBSTITUTE(TRIM(C1235),".",""),"-","")," ",""))))</f>
        <v/>
      </c>
    </row>
    <row r="1236" customFormat="false" ht="15" hidden="false" customHeight="false" outlineLevel="0" collapsed="false">
      <c r="B1236" s="80"/>
      <c r="C1236" s="58"/>
      <c r="D1236" s="62" t="str">
        <f aca="false">IF(C1236="","",IFERROR(INDEX(T_NOMBRE,MATCH(V1236,T_RUTN,0)),"⚠ RUT no está en Trabajadores"))</f>
        <v/>
      </c>
      <c r="E1236" s="61"/>
      <c r="F1236" s="61"/>
      <c r="G1236" s="61"/>
      <c r="H1236" s="61"/>
      <c r="I1236" s="81"/>
      <c r="J1236" s="81"/>
      <c r="K1236" s="60"/>
      <c r="L1236" s="60"/>
      <c r="M1236" s="60"/>
      <c r="N1236" s="60"/>
      <c r="O1236" s="60"/>
      <c r="P1236" s="60"/>
      <c r="Q1236" s="60"/>
      <c r="R1236" s="58"/>
      <c r="S1236" s="62" t="str">
        <f aca="false">IF(OR(B1236="",V1236=""),"",IFERROR(INDEX(C_TIPO,MATCH(V1236&amp;"-P"&amp;MAX(1,COUNTIFS(C_RUTN,V1236,C_DEF,"Sí",C_INI,"&lt;="&amp;EOMONTH(B1236,0))),C_CLAVE,0))&amp;"","Sin contrato"))</f>
        <v/>
      </c>
      <c r="T1236" s="63" t="str">
        <f aca="false">IF(OR(B1236="",N(O1236)=0),"",N(O1236)+ROUND(MIN(N(N1236),TOPE_UF*UF_MES)*(TASA_EMP+MUTUAL),0)+ROUND(MIN(N(N1236),TOPE_AFC_UF*UF_MES)*IF(S1236="Indefinido",AFC_INDEF,AFC_PF),0))</f>
        <v/>
      </c>
      <c r="U1236" s="62" t="str">
        <f aca="false">IF(C1236="","",IF(LEFT(D1236,1)="⚠","⚠ RUT no registrado en Trabajadores",IF(B1236="","⚠ Falta el mes",IF(OR(ISTEXT(I1236),ISTEXT(J1236)),"⚠ Atrasos u horas extra como texto: escriba hh:mm (ej. 1:30)",IF(AND(ISNUMBER(Q1236),COUNTIFS(M_RUTN,V1236,M_MES,B1236,M_LIQ,"&lt;&gt;")&gt;1),"⚠ Liquidación repetida en el mes",IF(AND(ISNUMBER(O1236),ISNUMBER(P1236),ISNUMBER(Q1236),ABS(O1236-P1236-Q1236)&gt;1),"⚠ Haberes − descuentos no da el líquido","OK"))))))</f>
        <v/>
      </c>
      <c r="V1236" s="62" t="str">
        <f aca="false">IF(C1236="","",IFERROR(VALUE(LEFT(UPPER(SUBSTITUTE(SUBSTITUTE(SUBSTITUTE(TRIM(C1236),".",""),"-","")," ","")),LEN(UPPER(SUBSTITUTE(SUBSTITUTE(SUBSTITUTE(TRIM(C1236),".",""),"-","")," ","")))-1))&amp;RIGHT(UPPER(SUBSTITUTE(SUBSTITUTE(SUBSTITUTE(TRIM(C1236),".",""),"-","")," ","")),1),UPPER(SUBSTITUTE(SUBSTITUTE(SUBSTITUTE(TRIM(C1236),".",""),"-","")," ",""))))</f>
        <v/>
      </c>
    </row>
    <row r="1237" customFormat="false" ht="15" hidden="false" customHeight="false" outlineLevel="0" collapsed="false">
      <c r="B1237" s="80"/>
      <c r="C1237" s="58"/>
      <c r="D1237" s="62" t="str">
        <f aca="false">IF(C1237="","",IFERROR(INDEX(T_NOMBRE,MATCH(V1237,T_RUTN,0)),"⚠ RUT no está en Trabajadores"))</f>
        <v/>
      </c>
      <c r="E1237" s="61"/>
      <c r="F1237" s="61"/>
      <c r="G1237" s="61"/>
      <c r="H1237" s="61"/>
      <c r="I1237" s="81"/>
      <c r="J1237" s="81"/>
      <c r="K1237" s="60"/>
      <c r="L1237" s="60"/>
      <c r="M1237" s="60"/>
      <c r="N1237" s="60"/>
      <c r="O1237" s="60"/>
      <c r="P1237" s="60"/>
      <c r="Q1237" s="60"/>
      <c r="R1237" s="58"/>
      <c r="S1237" s="62" t="str">
        <f aca="false">IF(OR(B1237="",V1237=""),"",IFERROR(INDEX(C_TIPO,MATCH(V1237&amp;"-P"&amp;MAX(1,COUNTIFS(C_RUTN,V1237,C_DEF,"Sí",C_INI,"&lt;="&amp;EOMONTH(B1237,0))),C_CLAVE,0))&amp;"","Sin contrato"))</f>
        <v/>
      </c>
      <c r="T1237" s="63" t="str">
        <f aca="false">IF(OR(B1237="",N(O1237)=0),"",N(O1237)+ROUND(MIN(N(N1237),TOPE_UF*UF_MES)*(TASA_EMP+MUTUAL),0)+ROUND(MIN(N(N1237),TOPE_AFC_UF*UF_MES)*IF(S1237="Indefinido",AFC_INDEF,AFC_PF),0))</f>
        <v/>
      </c>
      <c r="U1237" s="62" t="str">
        <f aca="false">IF(C1237="","",IF(LEFT(D1237,1)="⚠","⚠ RUT no registrado en Trabajadores",IF(B1237="","⚠ Falta el mes",IF(OR(ISTEXT(I1237),ISTEXT(J1237)),"⚠ Atrasos u horas extra como texto: escriba hh:mm (ej. 1:30)",IF(AND(ISNUMBER(Q1237),COUNTIFS(M_RUTN,V1237,M_MES,B1237,M_LIQ,"&lt;&gt;")&gt;1),"⚠ Liquidación repetida en el mes",IF(AND(ISNUMBER(O1237),ISNUMBER(P1237),ISNUMBER(Q1237),ABS(O1237-P1237-Q1237)&gt;1),"⚠ Haberes − descuentos no da el líquido","OK"))))))</f>
        <v/>
      </c>
      <c r="V1237" s="62" t="str">
        <f aca="false">IF(C1237="","",IFERROR(VALUE(LEFT(UPPER(SUBSTITUTE(SUBSTITUTE(SUBSTITUTE(TRIM(C1237),".",""),"-","")," ","")),LEN(UPPER(SUBSTITUTE(SUBSTITUTE(SUBSTITUTE(TRIM(C1237),".",""),"-","")," ","")))-1))&amp;RIGHT(UPPER(SUBSTITUTE(SUBSTITUTE(SUBSTITUTE(TRIM(C1237),".",""),"-","")," ","")),1),UPPER(SUBSTITUTE(SUBSTITUTE(SUBSTITUTE(TRIM(C1237),".",""),"-","")," ",""))))</f>
        <v/>
      </c>
    </row>
    <row r="1238" customFormat="false" ht="15" hidden="false" customHeight="false" outlineLevel="0" collapsed="false">
      <c r="B1238" s="80"/>
      <c r="C1238" s="58"/>
      <c r="D1238" s="62" t="str">
        <f aca="false">IF(C1238="","",IFERROR(INDEX(T_NOMBRE,MATCH(V1238,T_RUTN,0)),"⚠ RUT no está en Trabajadores"))</f>
        <v/>
      </c>
      <c r="E1238" s="61"/>
      <c r="F1238" s="61"/>
      <c r="G1238" s="61"/>
      <c r="H1238" s="61"/>
      <c r="I1238" s="81"/>
      <c r="J1238" s="81"/>
      <c r="K1238" s="60"/>
      <c r="L1238" s="60"/>
      <c r="M1238" s="60"/>
      <c r="N1238" s="60"/>
      <c r="O1238" s="60"/>
      <c r="P1238" s="60"/>
      <c r="Q1238" s="60"/>
      <c r="R1238" s="58"/>
      <c r="S1238" s="62" t="str">
        <f aca="false">IF(OR(B1238="",V1238=""),"",IFERROR(INDEX(C_TIPO,MATCH(V1238&amp;"-P"&amp;MAX(1,COUNTIFS(C_RUTN,V1238,C_DEF,"Sí",C_INI,"&lt;="&amp;EOMONTH(B1238,0))),C_CLAVE,0))&amp;"","Sin contrato"))</f>
        <v/>
      </c>
      <c r="T1238" s="63" t="str">
        <f aca="false">IF(OR(B1238="",N(O1238)=0),"",N(O1238)+ROUND(MIN(N(N1238),TOPE_UF*UF_MES)*(TASA_EMP+MUTUAL),0)+ROUND(MIN(N(N1238),TOPE_AFC_UF*UF_MES)*IF(S1238="Indefinido",AFC_INDEF,AFC_PF),0))</f>
        <v/>
      </c>
      <c r="U1238" s="62" t="str">
        <f aca="false">IF(C1238="","",IF(LEFT(D1238,1)="⚠","⚠ RUT no registrado en Trabajadores",IF(B1238="","⚠ Falta el mes",IF(OR(ISTEXT(I1238),ISTEXT(J1238)),"⚠ Atrasos u horas extra como texto: escriba hh:mm (ej. 1:30)",IF(AND(ISNUMBER(Q1238),COUNTIFS(M_RUTN,V1238,M_MES,B1238,M_LIQ,"&lt;&gt;")&gt;1),"⚠ Liquidación repetida en el mes",IF(AND(ISNUMBER(O1238),ISNUMBER(P1238),ISNUMBER(Q1238),ABS(O1238-P1238-Q1238)&gt;1),"⚠ Haberes − descuentos no da el líquido","OK"))))))</f>
        <v/>
      </c>
      <c r="V1238" s="62" t="str">
        <f aca="false">IF(C1238="","",IFERROR(VALUE(LEFT(UPPER(SUBSTITUTE(SUBSTITUTE(SUBSTITUTE(TRIM(C1238),".",""),"-","")," ","")),LEN(UPPER(SUBSTITUTE(SUBSTITUTE(SUBSTITUTE(TRIM(C1238),".",""),"-","")," ","")))-1))&amp;RIGHT(UPPER(SUBSTITUTE(SUBSTITUTE(SUBSTITUTE(TRIM(C1238),".",""),"-","")," ","")),1),UPPER(SUBSTITUTE(SUBSTITUTE(SUBSTITUTE(TRIM(C1238),".",""),"-","")," ",""))))</f>
        <v/>
      </c>
    </row>
    <row r="1239" customFormat="false" ht="15" hidden="false" customHeight="false" outlineLevel="0" collapsed="false">
      <c r="B1239" s="80"/>
      <c r="C1239" s="58"/>
      <c r="D1239" s="62" t="str">
        <f aca="false">IF(C1239="","",IFERROR(INDEX(T_NOMBRE,MATCH(V1239,T_RUTN,0)),"⚠ RUT no está en Trabajadores"))</f>
        <v/>
      </c>
      <c r="E1239" s="61"/>
      <c r="F1239" s="61"/>
      <c r="G1239" s="61"/>
      <c r="H1239" s="61"/>
      <c r="I1239" s="81"/>
      <c r="J1239" s="81"/>
      <c r="K1239" s="60"/>
      <c r="L1239" s="60"/>
      <c r="M1239" s="60"/>
      <c r="N1239" s="60"/>
      <c r="O1239" s="60"/>
      <c r="P1239" s="60"/>
      <c r="Q1239" s="60"/>
      <c r="R1239" s="58"/>
      <c r="S1239" s="62" t="str">
        <f aca="false">IF(OR(B1239="",V1239=""),"",IFERROR(INDEX(C_TIPO,MATCH(V1239&amp;"-P"&amp;MAX(1,COUNTIFS(C_RUTN,V1239,C_DEF,"Sí",C_INI,"&lt;="&amp;EOMONTH(B1239,0))),C_CLAVE,0))&amp;"","Sin contrato"))</f>
        <v/>
      </c>
      <c r="T1239" s="63" t="str">
        <f aca="false">IF(OR(B1239="",N(O1239)=0),"",N(O1239)+ROUND(MIN(N(N1239),TOPE_UF*UF_MES)*(TASA_EMP+MUTUAL),0)+ROUND(MIN(N(N1239),TOPE_AFC_UF*UF_MES)*IF(S1239="Indefinido",AFC_INDEF,AFC_PF),0))</f>
        <v/>
      </c>
      <c r="U1239" s="62" t="str">
        <f aca="false">IF(C1239="","",IF(LEFT(D1239,1)="⚠","⚠ RUT no registrado en Trabajadores",IF(B1239="","⚠ Falta el mes",IF(OR(ISTEXT(I1239),ISTEXT(J1239)),"⚠ Atrasos u horas extra como texto: escriba hh:mm (ej. 1:30)",IF(AND(ISNUMBER(Q1239),COUNTIFS(M_RUTN,V1239,M_MES,B1239,M_LIQ,"&lt;&gt;")&gt;1),"⚠ Liquidación repetida en el mes",IF(AND(ISNUMBER(O1239),ISNUMBER(P1239),ISNUMBER(Q1239),ABS(O1239-P1239-Q1239)&gt;1),"⚠ Haberes − descuentos no da el líquido","OK"))))))</f>
        <v/>
      </c>
      <c r="V1239" s="62" t="str">
        <f aca="false">IF(C1239="","",IFERROR(VALUE(LEFT(UPPER(SUBSTITUTE(SUBSTITUTE(SUBSTITUTE(TRIM(C1239),".",""),"-","")," ","")),LEN(UPPER(SUBSTITUTE(SUBSTITUTE(SUBSTITUTE(TRIM(C1239),".",""),"-","")," ","")))-1))&amp;RIGHT(UPPER(SUBSTITUTE(SUBSTITUTE(SUBSTITUTE(TRIM(C1239),".",""),"-","")," ","")),1),UPPER(SUBSTITUTE(SUBSTITUTE(SUBSTITUTE(TRIM(C1239),".",""),"-","")," ",""))))</f>
        <v/>
      </c>
    </row>
    <row r="1240" customFormat="false" ht="15" hidden="false" customHeight="false" outlineLevel="0" collapsed="false">
      <c r="B1240" s="80"/>
      <c r="C1240" s="58"/>
      <c r="D1240" s="62" t="str">
        <f aca="false">IF(C1240="","",IFERROR(INDEX(T_NOMBRE,MATCH(V1240,T_RUTN,0)),"⚠ RUT no está en Trabajadores"))</f>
        <v/>
      </c>
      <c r="E1240" s="61"/>
      <c r="F1240" s="61"/>
      <c r="G1240" s="61"/>
      <c r="H1240" s="61"/>
      <c r="I1240" s="81"/>
      <c r="J1240" s="81"/>
      <c r="K1240" s="60"/>
      <c r="L1240" s="60"/>
      <c r="M1240" s="60"/>
      <c r="N1240" s="60"/>
      <c r="O1240" s="60"/>
      <c r="P1240" s="60"/>
      <c r="Q1240" s="60"/>
      <c r="R1240" s="58"/>
      <c r="S1240" s="62" t="str">
        <f aca="false">IF(OR(B1240="",V1240=""),"",IFERROR(INDEX(C_TIPO,MATCH(V1240&amp;"-P"&amp;MAX(1,COUNTIFS(C_RUTN,V1240,C_DEF,"Sí",C_INI,"&lt;="&amp;EOMONTH(B1240,0))),C_CLAVE,0))&amp;"","Sin contrato"))</f>
        <v/>
      </c>
      <c r="T1240" s="63" t="str">
        <f aca="false">IF(OR(B1240="",N(O1240)=0),"",N(O1240)+ROUND(MIN(N(N1240),TOPE_UF*UF_MES)*(TASA_EMP+MUTUAL),0)+ROUND(MIN(N(N1240),TOPE_AFC_UF*UF_MES)*IF(S1240="Indefinido",AFC_INDEF,AFC_PF),0))</f>
        <v/>
      </c>
      <c r="U1240" s="62" t="str">
        <f aca="false">IF(C1240="","",IF(LEFT(D1240,1)="⚠","⚠ RUT no registrado en Trabajadores",IF(B1240="","⚠ Falta el mes",IF(OR(ISTEXT(I1240),ISTEXT(J1240)),"⚠ Atrasos u horas extra como texto: escriba hh:mm (ej. 1:30)",IF(AND(ISNUMBER(Q1240),COUNTIFS(M_RUTN,V1240,M_MES,B1240,M_LIQ,"&lt;&gt;")&gt;1),"⚠ Liquidación repetida en el mes",IF(AND(ISNUMBER(O1240),ISNUMBER(P1240),ISNUMBER(Q1240),ABS(O1240-P1240-Q1240)&gt;1),"⚠ Haberes − descuentos no da el líquido","OK"))))))</f>
        <v/>
      </c>
      <c r="V1240" s="62" t="str">
        <f aca="false">IF(C1240="","",IFERROR(VALUE(LEFT(UPPER(SUBSTITUTE(SUBSTITUTE(SUBSTITUTE(TRIM(C1240),".",""),"-","")," ","")),LEN(UPPER(SUBSTITUTE(SUBSTITUTE(SUBSTITUTE(TRIM(C1240),".",""),"-","")," ","")))-1))&amp;RIGHT(UPPER(SUBSTITUTE(SUBSTITUTE(SUBSTITUTE(TRIM(C1240),".",""),"-","")," ","")),1),UPPER(SUBSTITUTE(SUBSTITUTE(SUBSTITUTE(TRIM(C1240),".",""),"-","")," ",""))))</f>
        <v/>
      </c>
    </row>
    <row r="1241" customFormat="false" ht="15" hidden="false" customHeight="false" outlineLevel="0" collapsed="false">
      <c r="B1241" s="80"/>
      <c r="C1241" s="58"/>
      <c r="D1241" s="62" t="str">
        <f aca="false">IF(C1241="","",IFERROR(INDEX(T_NOMBRE,MATCH(V1241,T_RUTN,0)),"⚠ RUT no está en Trabajadores"))</f>
        <v/>
      </c>
      <c r="E1241" s="61"/>
      <c r="F1241" s="61"/>
      <c r="G1241" s="61"/>
      <c r="H1241" s="61"/>
      <c r="I1241" s="81"/>
      <c r="J1241" s="81"/>
      <c r="K1241" s="60"/>
      <c r="L1241" s="60"/>
      <c r="M1241" s="60"/>
      <c r="N1241" s="60"/>
      <c r="O1241" s="60"/>
      <c r="P1241" s="60"/>
      <c r="Q1241" s="60"/>
      <c r="R1241" s="58"/>
      <c r="S1241" s="62" t="str">
        <f aca="false">IF(OR(B1241="",V1241=""),"",IFERROR(INDEX(C_TIPO,MATCH(V1241&amp;"-P"&amp;MAX(1,COUNTIFS(C_RUTN,V1241,C_DEF,"Sí",C_INI,"&lt;="&amp;EOMONTH(B1241,0))),C_CLAVE,0))&amp;"","Sin contrato"))</f>
        <v/>
      </c>
      <c r="T1241" s="63" t="str">
        <f aca="false">IF(OR(B1241="",N(O1241)=0),"",N(O1241)+ROUND(MIN(N(N1241),TOPE_UF*UF_MES)*(TASA_EMP+MUTUAL),0)+ROUND(MIN(N(N1241),TOPE_AFC_UF*UF_MES)*IF(S1241="Indefinido",AFC_INDEF,AFC_PF),0))</f>
        <v/>
      </c>
      <c r="U1241" s="62" t="str">
        <f aca="false">IF(C1241="","",IF(LEFT(D1241,1)="⚠","⚠ RUT no registrado en Trabajadores",IF(B1241="","⚠ Falta el mes",IF(OR(ISTEXT(I1241),ISTEXT(J1241)),"⚠ Atrasos u horas extra como texto: escriba hh:mm (ej. 1:30)",IF(AND(ISNUMBER(Q1241),COUNTIFS(M_RUTN,V1241,M_MES,B1241,M_LIQ,"&lt;&gt;")&gt;1),"⚠ Liquidación repetida en el mes",IF(AND(ISNUMBER(O1241),ISNUMBER(P1241),ISNUMBER(Q1241),ABS(O1241-P1241-Q1241)&gt;1),"⚠ Haberes − descuentos no da el líquido","OK"))))))</f>
        <v/>
      </c>
      <c r="V1241" s="62" t="str">
        <f aca="false">IF(C1241="","",IFERROR(VALUE(LEFT(UPPER(SUBSTITUTE(SUBSTITUTE(SUBSTITUTE(TRIM(C1241),".",""),"-","")," ","")),LEN(UPPER(SUBSTITUTE(SUBSTITUTE(SUBSTITUTE(TRIM(C1241),".",""),"-","")," ","")))-1))&amp;RIGHT(UPPER(SUBSTITUTE(SUBSTITUTE(SUBSTITUTE(TRIM(C1241),".",""),"-","")," ","")),1),UPPER(SUBSTITUTE(SUBSTITUTE(SUBSTITUTE(TRIM(C1241),".",""),"-","")," ",""))))</f>
        <v/>
      </c>
    </row>
    <row r="1242" customFormat="false" ht="15" hidden="false" customHeight="false" outlineLevel="0" collapsed="false">
      <c r="B1242" s="80"/>
      <c r="C1242" s="58"/>
      <c r="D1242" s="62" t="str">
        <f aca="false">IF(C1242="","",IFERROR(INDEX(T_NOMBRE,MATCH(V1242,T_RUTN,0)),"⚠ RUT no está en Trabajadores"))</f>
        <v/>
      </c>
      <c r="E1242" s="61"/>
      <c r="F1242" s="61"/>
      <c r="G1242" s="61"/>
      <c r="H1242" s="61"/>
      <c r="I1242" s="81"/>
      <c r="J1242" s="81"/>
      <c r="K1242" s="60"/>
      <c r="L1242" s="60"/>
      <c r="M1242" s="60"/>
      <c r="N1242" s="60"/>
      <c r="O1242" s="60"/>
      <c r="P1242" s="60"/>
      <c r="Q1242" s="60"/>
      <c r="R1242" s="58"/>
      <c r="S1242" s="62" t="str">
        <f aca="false">IF(OR(B1242="",V1242=""),"",IFERROR(INDEX(C_TIPO,MATCH(V1242&amp;"-P"&amp;MAX(1,COUNTIFS(C_RUTN,V1242,C_DEF,"Sí",C_INI,"&lt;="&amp;EOMONTH(B1242,0))),C_CLAVE,0))&amp;"","Sin contrato"))</f>
        <v/>
      </c>
      <c r="T1242" s="63" t="str">
        <f aca="false">IF(OR(B1242="",N(O1242)=0),"",N(O1242)+ROUND(MIN(N(N1242),TOPE_UF*UF_MES)*(TASA_EMP+MUTUAL),0)+ROUND(MIN(N(N1242),TOPE_AFC_UF*UF_MES)*IF(S1242="Indefinido",AFC_INDEF,AFC_PF),0))</f>
        <v/>
      </c>
      <c r="U1242" s="62" t="str">
        <f aca="false">IF(C1242="","",IF(LEFT(D1242,1)="⚠","⚠ RUT no registrado en Trabajadores",IF(B1242="","⚠ Falta el mes",IF(OR(ISTEXT(I1242),ISTEXT(J1242)),"⚠ Atrasos u horas extra como texto: escriba hh:mm (ej. 1:30)",IF(AND(ISNUMBER(Q1242),COUNTIFS(M_RUTN,V1242,M_MES,B1242,M_LIQ,"&lt;&gt;")&gt;1),"⚠ Liquidación repetida en el mes",IF(AND(ISNUMBER(O1242),ISNUMBER(P1242),ISNUMBER(Q1242),ABS(O1242-P1242-Q1242)&gt;1),"⚠ Haberes − descuentos no da el líquido","OK"))))))</f>
        <v/>
      </c>
      <c r="V1242" s="62" t="str">
        <f aca="false">IF(C1242="","",IFERROR(VALUE(LEFT(UPPER(SUBSTITUTE(SUBSTITUTE(SUBSTITUTE(TRIM(C1242),".",""),"-","")," ","")),LEN(UPPER(SUBSTITUTE(SUBSTITUTE(SUBSTITUTE(TRIM(C1242),".",""),"-","")," ","")))-1))&amp;RIGHT(UPPER(SUBSTITUTE(SUBSTITUTE(SUBSTITUTE(TRIM(C1242),".",""),"-","")," ","")),1),UPPER(SUBSTITUTE(SUBSTITUTE(SUBSTITUTE(TRIM(C1242),".",""),"-","")," ",""))))</f>
        <v/>
      </c>
    </row>
    <row r="1243" customFormat="false" ht="15" hidden="false" customHeight="false" outlineLevel="0" collapsed="false">
      <c r="B1243" s="80"/>
      <c r="C1243" s="58"/>
      <c r="D1243" s="62" t="str">
        <f aca="false">IF(C1243="","",IFERROR(INDEX(T_NOMBRE,MATCH(V1243,T_RUTN,0)),"⚠ RUT no está en Trabajadores"))</f>
        <v/>
      </c>
      <c r="E1243" s="61"/>
      <c r="F1243" s="61"/>
      <c r="G1243" s="61"/>
      <c r="H1243" s="61"/>
      <c r="I1243" s="81"/>
      <c r="J1243" s="81"/>
      <c r="K1243" s="60"/>
      <c r="L1243" s="60"/>
      <c r="M1243" s="60"/>
      <c r="N1243" s="60"/>
      <c r="O1243" s="60"/>
      <c r="P1243" s="60"/>
      <c r="Q1243" s="60"/>
      <c r="R1243" s="58"/>
      <c r="S1243" s="62" t="str">
        <f aca="false">IF(OR(B1243="",V1243=""),"",IFERROR(INDEX(C_TIPO,MATCH(V1243&amp;"-P"&amp;MAX(1,COUNTIFS(C_RUTN,V1243,C_DEF,"Sí",C_INI,"&lt;="&amp;EOMONTH(B1243,0))),C_CLAVE,0))&amp;"","Sin contrato"))</f>
        <v/>
      </c>
      <c r="T1243" s="63" t="str">
        <f aca="false">IF(OR(B1243="",N(O1243)=0),"",N(O1243)+ROUND(MIN(N(N1243),TOPE_UF*UF_MES)*(TASA_EMP+MUTUAL),0)+ROUND(MIN(N(N1243),TOPE_AFC_UF*UF_MES)*IF(S1243="Indefinido",AFC_INDEF,AFC_PF),0))</f>
        <v/>
      </c>
      <c r="U1243" s="62" t="str">
        <f aca="false">IF(C1243="","",IF(LEFT(D1243,1)="⚠","⚠ RUT no registrado en Trabajadores",IF(B1243="","⚠ Falta el mes",IF(OR(ISTEXT(I1243),ISTEXT(J1243)),"⚠ Atrasos u horas extra como texto: escriba hh:mm (ej. 1:30)",IF(AND(ISNUMBER(Q1243),COUNTIFS(M_RUTN,V1243,M_MES,B1243,M_LIQ,"&lt;&gt;")&gt;1),"⚠ Liquidación repetida en el mes",IF(AND(ISNUMBER(O1243),ISNUMBER(P1243),ISNUMBER(Q1243),ABS(O1243-P1243-Q1243)&gt;1),"⚠ Haberes − descuentos no da el líquido","OK"))))))</f>
        <v/>
      </c>
      <c r="V1243" s="62" t="str">
        <f aca="false">IF(C1243="","",IFERROR(VALUE(LEFT(UPPER(SUBSTITUTE(SUBSTITUTE(SUBSTITUTE(TRIM(C1243),".",""),"-","")," ","")),LEN(UPPER(SUBSTITUTE(SUBSTITUTE(SUBSTITUTE(TRIM(C1243),".",""),"-","")," ","")))-1))&amp;RIGHT(UPPER(SUBSTITUTE(SUBSTITUTE(SUBSTITUTE(TRIM(C1243),".",""),"-","")," ","")),1),UPPER(SUBSTITUTE(SUBSTITUTE(SUBSTITUTE(TRIM(C1243),".",""),"-","")," ",""))))</f>
        <v/>
      </c>
    </row>
    <row r="1244" customFormat="false" ht="15" hidden="false" customHeight="false" outlineLevel="0" collapsed="false">
      <c r="B1244" s="80"/>
      <c r="C1244" s="58"/>
      <c r="D1244" s="62" t="str">
        <f aca="false">IF(C1244="","",IFERROR(INDEX(T_NOMBRE,MATCH(V1244,T_RUTN,0)),"⚠ RUT no está en Trabajadores"))</f>
        <v/>
      </c>
      <c r="E1244" s="61"/>
      <c r="F1244" s="61"/>
      <c r="G1244" s="61"/>
      <c r="H1244" s="61"/>
      <c r="I1244" s="81"/>
      <c r="J1244" s="81"/>
      <c r="K1244" s="60"/>
      <c r="L1244" s="60"/>
      <c r="M1244" s="60"/>
      <c r="N1244" s="60"/>
      <c r="O1244" s="60"/>
      <c r="P1244" s="60"/>
      <c r="Q1244" s="60"/>
      <c r="R1244" s="58"/>
      <c r="S1244" s="62" t="str">
        <f aca="false">IF(OR(B1244="",V1244=""),"",IFERROR(INDEX(C_TIPO,MATCH(V1244&amp;"-P"&amp;MAX(1,COUNTIFS(C_RUTN,V1244,C_DEF,"Sí",C_INI,"&lt;="&amp;EOMONTH(B1244,0))),C_CLAVE,0))&amp;"","Sin contrato"))</f>
        <v/>
      </c>
      <c r="T1244" s="63" t="str">
        <f aca="false">IF(OR(B1244="",N(O1244)=0),"",N(O1244)+ROUND(MIN(N(N1244),TOPE_UF*UF_MES)*(TASA_EMP+MUTUAL),0)+ROUND(MIN(N(N1244),TOPE_AFC_UF*UF_MES)*IF(S1244="Indefinido",AFC_INDEF,AFC_PF),0))</f>
        <v/>
      </c>
      <c r="U1244" s="62" t="str">
        <f aca="false">IF(C1244="","",IF(LEFT(D1244,1)="⚠","⚠ RUT no registrado en Trabajadores",IF(B1244="","⚠ Falta el mes",IF(OR(ISTEXT(I1244),ISTEXT(J1244)),"⚠ Atrasos u horas extra como texto: escriba hh:mm (ej. 1:30)",IF(AND(ISNUMBER(Q1244),COUNTIFS(M_RUTN,V1244,M_MES,B1244,M_LIQ,"&lt;&gt;")&gt;1),"⚠ Liquidación repetida en el mes",IF(AND(ISNUMBER(O1244),ISNUMBER(P1244),ISNUMBER(Q1244),ABS(O1244-P1244-Q1244)&gt;1),"⚠ Haberes − descuentos no da el líquido","OK"))))))</f>
        <v/>
      </c>
      <c r="V1244" s="62" t="str">
        <f aca="false">IF(C1244="","",IFERROR(VALUE(LEFT(UPPER(SUBSTITUTE(SUBSTITUTE(SUBSTITUTE(TRIM(C1244),".",""),"-","")," ","")),LEN(UPPER(SUBSTITUTE(SUBSTITUTE(SUBSTITUTE(TRIM(C1244),".",""),"-","")," ","")))-1))&amp;RIGHT(UPPER(SUBSTITUTE(SUBSTITUTE(SUBSTITUTE(TRIM(C1244),".",""),"-","")," ","")),1),UPPER(SUBSTITUTE(SUBSTITUTE(SUBSTITUTE(TRIM(C1244),".",""),"-","")," ",""))))</f>
        <v/>
      </c>
    </row>
    <row r="1245" customFormat="false" ht="15" hidden="false" customHeight="false" outlineLevel="0" collapsed="false">
      <c r="B1245" s="80"/>
      <c r="C1245" s="58"/>
      <c r="D1245" s="62" t="str">
        <f aca="false">IF(C1245="","",IFERROR(INDEX(T_NOMBRE,MATCH(V1245,T_RUTN,0)),"⚠ RUT no está en Trabajadores"))</f>
        <v/>
      </c>
      <c r="E1245" s="61"/>
      <c r="F1245" s="61"/>
      <c r="G1245" s="61"/>
      <c r="H1245" s="61"/>
      <c r="I1245" s="81"/>
      <c r="J1245" s="81"/>
      <c r="K1245" s="60"/>
      <c r="L1245" s="60"/>
      <c r="M1245" s="60"/>
      <c r="N1245" s="60"/>
      <c r="O1245" s="60"/>
      <c r="P1245" s="60"/>
      <c r="Q1245" s="60"/>
      <c r="R1245" s="58"/>
      <c r="S1245" s="62" t="str">
        <f aca="false">IF(OR(B1245="",V1245=""),"",IFERROR(INDEX(C_TIPO,MATCH(V1245&amp;"-P"&amp;MAX(1,COUNTIFS(C_RUTN,V1245,C_DEF,"Sí",C_INI,"&lt;="&amp;EOMONTH(B1245,0))),C_CLAVE,0))&amp;"","Sin contrato"))</f>
        <v/>
      </c>
      <c r="T1245" s="63" t="str">
        <f aca="false">IF(OR(B1245="",N(O1245)=0),"",N(O1245)+ROUND(MIN(N(N1245),TOPE_UF*UF_MES)*(TASA_EMP+MUTUAL),0)+ROUND(MIN(N(N1245),TOPE_AFC_UF*UF_MES)*IF(S1245="Indefinido",AFC_INDEF,AFC_PF),0))</f>
        <v/>
      </c>
      <c r="U1245" s="62" t="str">
        <f aca="false">IF(C1245="","",IF(LEFT(D1245,1)="⚠","⚠ RUT no registrado en Trabajadores",IF(B1245="","⚠ Falta el mes",IF(OR(ISTEXT(I1245),ISTEXT(J1245)),"⚠ Atrasos u horas extra como texto: escriba hh:mm (ej. 1:30)",IF(AND(ISNUMBER(Q1245),COUNTIFS(M_RUTN,V1245,M_MES,B1245,M_LIQ,"&lt;&gt;")&gt;1),"⚠ Liquidación repetida en el mes",IF(AND(ISNUMBER(O1245),ISNUMBER(P1245),ISNUMBER(Q1245),ABS(O1245-P1245-Q1245)&gt;1),"⚠ Haberes − descuentos no da el líquido","OK"))))))</f>
        <v/>
      </c>
      <c r="V1245" s="62" t="str">
        <f aca="false">IF(C1245="","",IFERROR(VALUE(LEFT(UPPER(SUBSTITUTE(SUBSTITUTE(SUBSTITUTE(TRIM(C1245),".",""),"-","")," ","")),LEN(UPPER(SUBSTITUTE(SUBSTITUTE(SUBSTITUTE(TRIM(C1245),".",""),"-","")," ","")))-1))&amp;RIGHT(UPPER(SUBSTITUTE(SUBSTITUTE(SUBSTITUTE(TRIM(C1245),".",""),"-","")," ","")),1),UPPER(SUBSTITUTE(SUBSTITUTE(SUBSTITUTE(TRIM(C1245),".",""),"-","")," ",""))))</f>
        <v/>
      </c>
    </row>
    <row r="1246" customFormat="false" ht="15" hidden="false" customHeight="false" outlineLevel="0" collapsed="false">
      <c r="B1246" s="80"/>
      <c r="C1246" s="58"/>
      <c r="D1246" s="62" t="str">
        <f aca="false">IF(C1246="","",IFERROR(INDEX(T_NOMBRE,MATCH(V1246,T_RUTN,0)),"⚠ RUT no está en Trabajadores"))</f>
        <v/>
      </c>
      <c r="E1246" s="61"/>
      <c r="F1246" s="61"/>
      <c r="G1246" s="61"/>
      <c r="H1246" s="61"/>
      <c r="I1246" s="81"/>
      <c r="J1246" s="81"/>
      <c r="K1246" s="60"/>
      <c r="L1246" s="60"/>
      <c r="M1246" s="60"/>
      <c r="N1246" s="60"/>
      <c r="O1246" s="60"/>
      <c r="P1246" s="60"/>
      <c r="Q1246" s="60"/>
      <c r="R1246" s="58"/>
      <c r="S1246" s="62" t="str">
        <f aca="false">IF(OR(B1246="",V1246=""),"",IFERROR(INDEX(C_TIPO,MATCH(V1246&amp;"-P"&amp;MAX(1,COUNTIFS(C_RUTN,V1246,C_DEF,"Sí",C_INI,"&lt;="&amp;EOMONTH(B1246,0))),C_CLAVE,0))&amp;"","Sin contrato"))</f>
        <v/>
      </c>
      <c r="T1246" s="63" t="str">
        <f aca="false">IF(OR(B1246="",N(O1246)=0),"",N(O1246)+ROUND(MIN(N(N1246),TOPE_UF*UF_MES)*(TASA_EMP+MUTUAL),0)+ROUND(MIN(N(N1246),TOPE_AFC_UF*UF_MES)*IF(S1246="Indefinido",AFC_INDEF,AFC_PF),0))</f>
        <v/>
      </c>
      <c r="U1246" s="62" t="str">
        <f aca="false">IF(C1246="","",IF(LEFT(D1246,1)="⚠","⚠ RUT no registrado en Trabajadores",IF(B1246="","⚠ Falta el mes",IF(OR(ISTEXT(I1246),ISTEXT(J1246)),"⚠ Atrasos u horas extra como texto: escriba hh:mm (ej. 1:30)",IF(AND(ISNUMBER(Q1246),COUNTIFS(M_RUTN,V1246,M_MES,B1246,M_LIQ,"&lt;&gt;")&gt;1),"⚠ Liquidación repetida en el mes",IF(AND(ISNUMBER(O1246),ISNUMBER(P1246),ISNUMBER(Q1246),ABS(O1246-P1246-Q1246)&gt;1),"⚠ Haberes − descuentos no da el líquido","OK"))))))</f>
        <v/>
      </c>
      <c r="V1246" s="62" t="str">
        <f aca="false">IF(C1246="","",IFERROR(VALUE(LEFT(UPPER(SUBSTITUTE(SUBSTITUTE(SUBSTITUTE(TRIM(C1246),".",""),"-","")," ","")),LEN(UPPER(SUBSTITUTE(SUBSTITUTE(SUBSTITUTE(TRIM(C1246),".",""),"-","")," ","")))-1))&amp;RIGHT(UPPER(SUBSTITUTE(SUBSTITUTE(SUBSTITUTE(TRIM(C1246),".",""),"-","")," ","")),1),UPPER(SUBSTITUTE(SUBSTITUTE(SUBSTITUTE(TRIM(C1246),".",""),"-","")," ",""))))</f>
        <v/>
      </c>
    </row>
    <row r="1247" customFormat="false" ht="15" hidden="false" customHeight="false" outlineLevel="0" collapsed="false">
      <c r="B1247" s="80"/>
      <c r="C1247" s="58"/>
      <c r="D1247" s="62" t="str">
        <f aca="false">IF(C1247="","",IFERROR(INDEX(T_NOMBRE,MATCH(V1247,T_RUTN,0)),"⚠ RUT no está en Trabajadores"))</f>
        <v/>
      </c>
      <c r="E1247" s="61"/>
      <c r="F1247" s="61"/>
      <c r="G1247" s="61"/>
      <c r="H1247" s="61"/>
      <c r="I1247" s="81"/>
      <c r="J1247" s="81"/>
      <c r="K1247" s="60"/>
      <c r="L1247" s="60"/>
      <c r="M1247" s="60"/>
      <c r="N1247" s="60"/>
      <c r="O1247" s="60"/>
      <c r="P1247" s="60"/>
      <c r="Q1247" s="60"/>
      <c r="R1247" s="58"/>
      <c r="S1247" s="62" t="str">
        <f aca="false">IF(OR(B1247="",V1247=""),"",IFERROR(INDEX(C_TIPO,MATCH(V1247&amp;"-P"&amp;MAX(1,COUNTIFS(C_RUTN,V1247,C_DEF,"Sí",C_INI,"&lt;="&amp;EOMONTH(B1247,0))),C_CLAVE,0))&amp;"","Sin contrato"))</f>
        <v/>
      </c>
      <c r="T1247" s="63" t="str">
        <f aca="false">IF(OR(B1247="",N(O1247)=0),"",N(O1247)+ROUND(MIN(N(N1247),TOPE_UF*UF_MES)*(TASA_EMP+MUTUAL),0)+ROUND(MIN(N(N1247),TOPE_AFC_UF*UF_MES)*IF(S1247="Indefinido",AFC_INDEF,AFC_PF),0))</f>
        <v/>
      </c>
      <c r="U1247" s="62" t="str">
        <f aca="false">IF(C1247="","",IF(LEFT(D1247,1)="⚠","⚠ RUT no registrado en Trabajadores",IF(B1247="","⚠ Falta el mes",IF(OR(ISTEXT(I1247),ISTEXT(J1247)),"⚠ Atrasos u horas extra como texto: escriba hh:mm (ej. 1:30)",IF(AND(ISNUMBER(Q1247),COUNTIFS(M_RUTN,V1247,M_MES,B1247,M_LIQ,"&lt;&gt;")&gt;1),"⚠ Liquidación repetida en el mes",IF(AND(ISNUMBER(O1247),ISNUMBER(P1247),ISNUMBER(Q1247),ABS(O1247-P1247-Q1247)&gt;1),"⚠ Haberes − descuentos no da el líquido","OK"))))))</f>
        <v/>
      </c>
      <c r="V1247" s="62" t="str">
        <f aca="false">IF(C1247="","",IFERROR(VALUE(LEFT(UPPER(SUBSTITUTE(SUBSTITUTE(SUBSTITUTE(TRIM(C1247),".",""),"-","")," ","")),LEN(UPPER(SUBSTITUTE(SUBSTITUTE(SUBSTITUTE(TRIM(C1247),".",""),"-","")," ","")))-1))&amp;RIGHT(UPPER(SUBSTITUTE(SUBSTITUTE(SUBSTITUTE(TRIM(C1247),".",""),"-","")," ","")),1),UPPER(SUBSTITUTE(SUBSTITUTE(SUBSTITUTE(TRIM(C1247),".",""),"-","")," ",""))))</f>
        <v/>
      </c>
    </row>
    <row r="1248" customFormat="false" ht="15" hidden="false" customHeight="false" outlineLevel="0" collapsed="false">
      <c r="B1248" s="80"/>
      <c r="C1248" s="58"/>
      <c r="D1248" s="62" t="str">
        <f aca="false">IF(C1248="","",IFERROR(INDEX(T_NOMBRE,MATCH(V1248,T_RUTN,0)),"⚠ RUT no está en Trabajadores"))</f>
        <v/>
      </c>
      <c r="E1248" s="61"/>
      <c r="F1248" s="61"/>
      <c r="G1248" s="61"/>
      <c r="H1248" s="61"/>
      <c r="I1248" s="81"/>
      <c r="J1248" s="81"/>
      <c r="K1248" s="60"/>
      <c r="L1248" s="60"/>
      <c r="M1248" s="60"/>
      <c r="N1248" s="60"/>
      <c r="O1248" s="60"/>
      <c r="P1248" s="60"/>
      <c r="Q1248" s="60"/>
      <c r="R1248" s="58"/>
      <c r="S1248" s="62" t="str">
        <f aca="false">IF(OR(B1248="",V1248=""),"",IFERROR(INDEX(C_TIPO,MATCH(V1248&amp;"-P"&amp;MAX(1,COUNTIFS(C_RUTN,V1248,C_DEF,"Sí",C_INI,"&lt;="&amp;EOMONTH(B1248,0))),C_CLAVE,0))&amp;"","Sin contrato"))</f>
        <v/>
      </c>
      <c r="T1248" s="63" t="str">
        <f aca="false">IF(OR(B1248="",N(O1248)=0),"",N(O1248)+ROUND(MIN(N(N1248),TOPE_UF*UF_MES)*(TASA_EMP+MUTUAL),0)+ROUND(MIN(N(N1248),TOPE_AFC_UF*UF_MES)*IF(S1248="Indefinido",AFC_INDEF,AFC_PF),0))</f>
        <v/>
      </c>
      <c r="U1248" s="62" t="str">
        <f aca="false">IF(C1248="","",IF(LEFT(D1248,1)="⚠","⚠ RUT no registrado en Trabajadores",IF(B1248="","⚠ Falta el mes",IF(OR(ISTEXT(I1248),ISTEXT(J1248)),"⚠ Atrasos u horas extra como texto: escriba hh:mm (ej. 1:30)",IF(AND(ISNUMBER(Q1248),COUNTIFS(M_RUTN,V1248,M_MES,B1248,M_LIQ,"&lt;&gt;")&gt;1),"⚠ Liquidación repetida en el mes",IF(AND(ISNUMBER(O1248),ISNUMBER(P1248),ISNUMBER(Q1248),ABS(O1248-P1248-Q1248)&gt;1),"⚠ Haberes − descuentos no da el líquido","OK"))))))</f>
        <v/>
      </c>
      <c r="V1248" s="62" t="str">
        <f aca="false">IF(C1248="","",IFERROR(VALUE(LEFT(UPPER(SUBSTITUTE(SUBSTITUTE(SUBSTITUTE(TRIM(C1248),".",""),"-","")," ","")),LEN(UPPER(SUBSTITUTE(SUBSTITUTE(SUBSTITUTE(TRIM(C1248),".",""),"-","")," ","")))-1))&amp;RIGHT(UPPER(SUBSTITUTE(SUBSTITUTE(SUBSTITUTE(TRIM(C1248),".",""),"-","")," ","")),1),UPPER(SUBSTITUTE(SUBSTITUTE(SUBSTITUTE(TRIM(C1248),".",""),"-","")," ",""))))</f>
        <v/>
      </c>
    </row>
    <row r="1249" customFormat="false" ht="15" hidden="false" customHeight="false" outlineLevel="0" collapsed="false">
      <c r="B1249" s="80"/>
      <c r="C1249" s="58"/>
      <c r="D1249" s="62" t="str">
        <f aca="false">IF(C1249="","",IFERROR(INDEX(T_NOMBRE,MATCH(V1249,T_RUTN,0)),"⚠ RUT no está en Trabajadores"))</f>
        <v/>
      </c>
      <c r="E1249" s="61"/>
      <c r="F1249" s="61"/>
      <c r="G1249" s="61"/>
      <c r="H1249" s="61"/>
      <c r="I1249" s="81"/>
      <c r="J1249" s="81"/>
      <c r="K1249" s="60"/>
      <c r="L1249" s="60"/>
      <c r="M1249" s="60"/>
      <c r="N1249" s="60"/>
      <c r="O1249" s="60"/>
      <c r="P1249" s="60"/>
      <c r="Q1249" s="60"/>
      <c r="R1249" s="58"/>
      <c r="S1249" s="62" t="str">
        <f aca="false">IF(OR(B1249="",V1249=""),"",IFERROR(INDEX(C_TIPO,MATCH(V1249&amp;"-P"&amp;MAX(1,COUNTIFS(C_RUTN,V1249,C_DEF,"Sí",C_INI,"&lt;="&amp;EOMONTH(B1249,0))),C_CLAVE,0))&amp;"","Sin contrato"))</f>
        <v/>
      </c>
      <c r="T1249" s="63" t="str">
        <f aca="false">IF(OR(B1249="",N(O1249)=0),"",N(O1249)+ROUND(MIN(N(N1249),TOPE_UF*UF_MES)*(TASA_EMP+MUTUAL),0)+ROUND(MIN(N(N1249),TOPE_AFC_UF*UF_MES)*IF(S1249="Indefinido",AFC_INDEF,AFC_PF),0))</f>
        <v/>
      </c>
      <c r="U1249" s="62" t="str">
        <f aca="false">IF(C1249="","",IF(LEFT(D1249,1)="⚠","⚠ RUT no registrado en Trabajadores",IF(B1249="","⚠ Falta el mes",IF(OR(ISTEXT(I1249),ISTEXT(J1249)),"⚠ Atrasos u horas extra como texto: escriba hh:mm (ej. 1:30)",IF(AND(ISNUMBER(Q1249),COUNTIFS(M_RUTN,V1249,M_MES,B1249,M_LIQ,"&lt;&gt;")&gt;1),"⚠ Liquidación repetida en el mes",IF(AND(ISNUMBER(O1249),ISNUMBER(P1249),ISNUMBER(Q1249),ABS(O1249-P1249-Q1249)&gt;1),"⚠ Haberes − descuentos no da el líquido","OK"))))))</f>
        <v/>
      </c>
      <c r="V1249" s="62" t="str">
        <f aca="false">IF(C1249="","",IFERROR(VALUE(LEFT(UPPER(SUBSTITUTE(SUBSTITUTE(SUBSTITUTE(TRIM(C1249),".",""),"-","")," ","")),LEN(UPPER(SUBSTITUTE(SUBSTITUTE(SUBSTITUTE(TRIM(C1249),".",""),"-","")," ","")))-1))&amp;RIGHT(UPPER(SUBSTITUTE(SUBSTITUTE(SUBSTITUTE(TRIM(C1249),".",""),"-","")," ","")),1),UPPER(SUBSTITUTE(SUBSTITUTE(SUBSTITUTE(TRIM(C1249),".",""),"-","")," ",""))))</f>
        <v/>
      </c>
    </row>
    <row r="1250" customFormat="false" ht="15" hidden="false" customHeight="false" outlineLevel="0" collapsed="false">
      <c r="B1250" s="80"/>
      <c r="C1250" s="58"/>
      <c r="D1250" s="62" t="str">
        <f aca="false">IF(C1250="","",IFERROR(INDEX(T_NOMBRE,MATCH(V1250,T_RUTN,0)),"⚠ RUT no está en Trabajadores"))</f>
        <v/>
      </c>
      <c r="E1250" s="61"/>
      <c r="F1250" s="61"/>
      <c r="G1250" s="61"/>
      <c r="H1250" s="61"/>
      <c r="I1250" s="81"/>
      <c r="J1250" s="81"/>
      <c r="K1250" s="60"/>
      <c r="L1250" s="60"/>
      <c r="M1250" s="60"/>
      <c r="N1250" s="60"/>
      <c r="O1250" s="60"/>
      <c r="P1250" s="60"/>
      <c r="Q1250" s="60"/>
      <c r="R1250" s="58"/>
      <c r="S1250" s="62" t="str">
        <f aca="false">IF(OR(B1250="",V1250=""),"",IFERROR(INDEX(C_TIPO,MATCH(V1250&amp;"-P"&amp;MAX(1,COUNTIFS(C_RUTN,V1250,C_DEF,"Sí",C_INI,"&lt;="&amp;EOMONTH(B1250,0))),C_CLAVE,0))&amp;"","Sin contrato"))</f>
        <v/>
      </c>
      <c r="T1250" s="63" t="str">
        <f aca="false">IF(OR(B1250="",N(O1250)=0),"",N(O1250)+ROUND(MIN(N(N1250),TOPE_UF*UF_MES)*(TASA_EMP+MUTUAL),0)+ROUND(MIN(N(N1250),TOPE_AFC_UF*UF_MES)*IF(S1250="Indefinido",AFC_INDEF,AFC_PF),0))</f>
        <v/>
      </c>
      <c r="U1250" s="62" t="str">
        <f aca="false">IF(C1250="","",IF(LEFT(D1250,1)="⚠","⚠ RUT no registrado en Trabajadores",IF(B1250="","⚠ Falta el mes",IF(OR(ISTEXT(I1250),ISTEXT(J1250)),"⚠ Atrasos u horas extra como texto: escriba hh:mm (ej. 1:30)",IF(AND(ISNUMBER(Q1250),COUNTIFS(M_RUTN,V1250,M_MES,B1250,M_LIQ,"&lt;&gt;")&gt;1),"⚠ Liquidación repetida en el mes",IF(AND(ISNUMBER(O1250),ISNUMBER(P1250),ISNUMBER(Q1250),ABS(O1250-P1250-Q1250)&gt;1),"⚠ Haberes − descuentos no da el líquido","OK"))))))</f>
        <v/>
      </c>
      <c r="V1250" s="62" t="str">
        <f aca="false">IF(C1250="","",IFERROR(VALUE(LEFT(UPPER(SUBSTITUTE(SUBSTITUTE(SUBSTITUTE(TRIM(C1250),".",""),"-","")," ","")),LEN(UPPER(SUBSTITUTE(SUBSTITUTE(SUBSTITUTE(TRIM(C1250),".",""),"-","")," ","")))-1))&amp;RIGHT(UPPER(SUBSTITUTE(SUBSTITUTE(SUBSTITUTE(TRIM(C1250),".",""),"-","")," ","")),1),UPPER(SUBSTITUTE(SUBSTITUTE(SUBSTITUTE(TRIM(C1250),".",""),"-","")," ",""))))</f>
        <v/>
      </c>
    </row>
    <row r="1251" customFormat="false" ht="15" hidden="false" customHeight="false" outlineLevel="0" collapsed="false">
      <c r="B1251" s="80"/>
      <c r="C1251" s="58"/>
      <c r="D1251" s="62" t="str">
        <f aca="false">IF(C1251="","",IFERROR(INDEX(T_NOMBRE,MATCH(V1251,T_RUTN,0)),"⚠ RUT no está en Trabajadores"))</f>
        <v/>
      </c>
      <c r="E1251" s="61"/>
      <c r="F1251" s="61"/>
      <c r="G1251" s="61"/>
      <c r="H1251" s="61"/>
      <c r="I1251" s="81"/>
      <c r="J1251" s="81"/>
      <c r="K1251" s="60"/>
      <c r="L1251" s="60"/>
      <c r="M1251" s="60"/>
      <c r="N1251" s="60"/>
      <c r="O1251" s="60"/>
      <c r="P1251" s="60"/>
      <c r="Q1251" s="60"/>
      <c r="R1251" s="58"/>
      <c r="S1251" s="62" t="str">
        <f aca="false">IF(OR(B1251="",V1251=""),"",IFERROR(INDEX(C_TIPO,MATCH(V1251&amp;"-P"&amp;MAX(1,COUNTIFS(C_RUTN,V1251,C_DEF,"Sí",C_INI,"&lt;="&amp;EOMONTH(B1251,0))),C_CLAVE,0))&amp;"","Sin contrato"))</f>
        <v/>
      </c>
      <c r="T1251" s="63" t="str">
        <f aca="false">IF(OR(B1251="",N(O1251)=0),"",N(O1251)+ROUND(MIN(N(N1251),TOPE_UF*UF_MES)*(TASA_EMP+MUTUAL),0)+ROUND(MIN(N(N1251),TOPE_AFC_UF*UF_MES)*IF(S1251="Indefinido",AFC_INDEF,AFC_PF),0))</f>
        <v/>
      </c>
      <c r="U1251" s="62" t="str">
        <f aca="false">IF(C1251="","",IF(LEFT(D1251,1)="⚠","⚠ RUT no registrado en Trabajadores",IF(B1251="","⚠ Falta el mes",IF(OR(ISTEXT(I1251),ISTEXT(J1251)),"⚠ Atrasos u horas extra como texto: escriba hh:mm (ej. 1:30)",IF(AND(ISNUMBER(Q1251),COUNTIFS(M_RUTN,V1251,M_MES,B1251,M_LIQ,"&lt;&gt;")&gt;1),"⚠ Liquidación repetida en el mes",IF(AND(ISNUMBER(O1251),ISNUMBER(P1251),ISNUMBER(Q1251),ABS(O1251-P1251-Q1251)&gt;1),"⚠ Haberes − descuentos no da el líquido","OK"))))))</f>
        <v/>
      </c>
      <c r="V1251" s="62" t="str">
        <f aca="false">IF(C1251="","",IFERROR(VALUE(LEFT(UPPER(SUBSTITUTE(SUBSTITUTE(SUBSTITUTE(TRIM(C1251),".",""),"-","")," ","")),LEN(UPPER(SUBSTITUTE(SUBSTITUTE(SUBSTITUTE(TRIM(C1251),".",""),"-","")," ","")))-1))&amp;RIGHT(UPPER(SUBSTITUTE(SUBSTITUTE(SUBSTITUTE(TRIM(C1251),".",""),"-","")," ","")),1),UPPER(SUBSTITUTE(SUBSTITUTE(SUBSTITUTE(TRIM(C1251),".",""),"-","")," ",""))))</f>
        <v/>
      </c>
    </row>
    <row r="1252" customFormat="false" ht="15" hidden="false" customHeight="false" outlineLevel="0" collapsed="false">
      <c r="B1252" s="80"/>
      <c r="C1252" s="58"/>
      <c r="D1252" s="62" t="str">
        <f aca="false">IF(C1252="","",IFERROR(INDEX(T_NOMBRE,MATCH(V1252,T_RUTN,0)),"⚠ RUT no está en Trabajadores"))</f>
        <v/>
      </c>
      <c r="E1252" s="61"/>
      <c r="F1252" s="61"/>
      <c r="G1252" s="61"/>
      <c r="H1252" s="61"/>
      <c r="I1252" s="81"/>
      <c r="J1252" s="81"/>
      <c r="K1252" s="60"/>
      <c r="L1252" s="60"/>
      <c r="M1252" s="60"/>
      <c r="N1252" s="60"/>
      <c r="O1252" s="60"/>
      <c r="P1252" s="60"/>
      <c r="Q1252" s="60"/>
      <c r="R1252" s="58"/>
      <c r="S1252" s="62" t="str">
        <f aca="false">IF(OR(B1252="",V1252=""),"",IFERROR(INDEX(C_TIPO,MATCH(V1252&amp;"-P"&amp;MAX(1,COUNTIFS(C_RUTN,V1252,C_DEF,"Sí",C_INI,"&lt;="&amp;EOMONTH(B1252,0))),C_CLAVE,0))&amp;"","Sin contrato"))</f>
        <v/>
      </c>
      <c r="T1252" s="63" t="str">
        <f aca="false">IF(OR(B1252="",N(O1252)=0),"",N(O1252)+ROUND(MIN(N(N1252),TOPE_UF*UF_MES)*(TASA_EMP+MUTUAL),0)+ROUND(MIN(N(N1252),TOPE_AFC_UF*UF_MES)*IF(S1252="Indefinido",AFC_INDEF,AFC_PF),0))</f>
        <v/>
      </c>
      <c r="U1252" s="62" t="str">
        <f aca="false">IF(C1252="","",IF(LEFT(D1252,1)="⚠","⚠ RUT no registrado en Trabajadores",IF(B1252="","⚠ Falta el mes",IF(OR(ISTEXT(I1252),ISTEXT(J1252)),"⚠ Atrasos u horas extra como texto: escriba hh:mm (ej. 1:30)",IF(AND(ISNUMBER(Q1252),COUNTIFS(M_RUTN,V1252,M_MES,B1252,M_LIQ,"&lt;&gt;")&gt;1),"⚠ Liquidación repetida en el mes",IF(AND(ISNUMBER(O1252),ISNUMBER(P1252),ISNUMBER(Q1252),ABS(O1252-P1252-Q1252)&gt;1),"⚠ Haberes − descuentos no da el líquido","OK"))))))</f>
        <v/>
      </c>
      <c r="V1252" s="62" t="str">
        <f aca="false">IF(C1252="","",IFERROR(VALUE(LEFT(UPPER(SUBSTITUTE(SUBSTITUTE(SUBSTITUTE(TRIM(C1252),".",""),"-","")," ","")),LEN(UPPER(SUBSTITUTE(SUBSTITUTE(SUBSTITUTE(TRIM(C1252),".",""),"-","")," ","")))-1))&amp;RIGHT(UPPER(SUBSTITUTE(SUBSTITUTE(SUBSTITUTE(TRIM(C1252),".",""),"-","")," ","")),1),UPPER(SUBSTITUTE(SUBSTITUTE(SUBSTITUTE(TRIM(C1252),".",""),"-","")," ",""))))</f>
        <v/>
      </c>
    </row>
    <row r="1253" customFormat="false" ht="15" hidden="false" customHeight="false" outlineLevel="0" collapsed="false">
      <c r="B1253" s="80"/>
      <c r="C1253" s="58"/>
      <c r="D1253" s="62" t="str">
        <f aca="false">IF(C1253="","",IFERROR(INDEX(T_NOMBRE,MATCH(V1253,T_RUTN,0)),"⚠ RUT no está en Trabajadores"))</f>
        <v/>
      </c>
      <c r="E1253" s="61"/>
      <c r="F1253" s="61"/>
      <c r="G1253" s="61"/>
      <c r="H1253" s="61"/>
      <c r="I1253" s="81"/>
      <c r="J1253" s="81"/>
      <c r="K1253" s="60"/>
      <c r="L1253" s="60"/>
      <c r="M1253" s="60"/>
      <c r="N1253" s="60"/>
      <c r="O1253" s="60"/>
      <c r="P1253" s="60"/>
      <c r="Q1253" s="60"/>
      <c r="R1253" s="58"/>
      <c r="S1253" s="62" t="str">
        <f aca="false">IF(OR(B1253="",V1253=""),"",IFERROR(INDEX(C_TIPO,MATCH(V1253&amp;"-P"&amp;MAX(1,COUNTIFS(C_RUTN,V1253,C_DEF,"Sí",C_INI,"&lt;="&amp;EOMONTH(B1253,0))),C_CLAVE,0))&amp;"","Sin contrato"))</f>
        <v/>
      </c>
      <c r="T1253" s="63" t="str">
        <f aca="false">IF(OR(B1253="",N(O1253)=0),"",N(O1253)+ROUND(MIN(N(N1253),TOPE_UF*UF_MES)*(TASA_EMP+MUTUAL),0)+ROUND(MIN(N(N1253),TOPE_AFC_UF*UF_MES)*IF(S1253="Indefinido",AFC_INDEF,AFC_PF),0))</f>
        <v/>
      </c>
      <c r="U1253" s="62" t="str">
        <f aca="false">IF(C1253="","",IF(LEFT(D1253,1)="⚠","⚠ RUT no registrado en Trabajadores",IF(B1253="","⚠ Falta el mes",IF(OR(ISTEXT(I1253),ISTEXT(J1253)),"⚠ Atrasos u horas extra como texto: escriba hh:mm (ej. 1:30)",IF(AND(ISNUMBER(Q1253),COUNTIFS(M_RUTN,V1253,M_MES,B1253,M_LIQ,"&lt;&gt;")&gt;1),"⚠ Liquidación repetida en el mes",IF(AND(ISNUMBER(O1253),ISNUMBER(P1253),ISNUMBER(Q1253),ABS(O1253-P1253-Q1253)&gt;1),"⚠ Haberes − descuentos no da el líquido","OK"))))))</f>
        <v/>
      </c>
      <c r="V1253" s="62" t="str">
        <f aca="false">IF(C1253="","",IFERROR(VALUE(LEFT(UPPER(SUBSTITUTE(SUBSTITUTE(SUBSTITUTE(TRIM(C1253),".",""),"-","")," ","")),LEN(UPPER(SUBSTITUTE(SUBSTITUTE(SUBSTITUTE(TRIM(C1253),".",""),"-","")," ","")))-1))&amp;RIGHT(UPPER(SUBSTITUTE(SUBSTITUTE(SUBSTITUTE(TRIM(C1253),".",""),"-","")," ","")),1),UPPER(SUBSTITUTE(SUBSTITUTE(SUBSTITUTE(TRIM(C1253),".",""),"-","")," ",""))))</f>
        <v/>
      </c>
    </row>
    <row r="1254" customFormat="false" ht="15" hidden="false" customHeight="false" outlineLevel="0" collapsed="false">
      <c r="B1254" s="80"/>
      <c r="C1254" s="58"/>
      <c r="D1254" s="62" t="str">
        <f aca="false">IF(C1254="","",IFERROR(INDEX(T_NOMBRE,MATCH(V1254,T_RUTN,0)),"⚠ RUT no está en Trabajadores"))</f>
        <v/>
      </c>
      <c r="E1254" s="61"/>
      <c r="F1254" s="61"/>
      <c r="G1254" s="61"/>
      <c r="H1254" s="61"/>
      <c r="I1254" s="81"/>
      <c r="J1254" s="81"/>
      <c r="K1254" s="60"/>
      <c r="L1254" s="60"/>
      <c r="M1254" s="60"/>
      <c r="N1254" s="60"/>
      <c r="O1254" s="60"/>
      <c r="P1254" s="60"/>
      <c r="Q1254" s="60"/>
      <c r="R1254" s="58"/>
      <c r="S1254" s="62" t="str">
        <f aca="false">IF(OR(B1254="",V1254=""),"",IFERROR(INDEX(C_TIPO,MATCH(V1254&amp;"-P"&amp;MAX(1,COUNTIFS(C_RUTN,V1254,C_DEF,"Sí",C_INI,"&lt;="&amp;EOMONTH(B1254,0))),C_CLAVE,0))&amp;"","Sin contrato"))</f>
        <v/>
      </c>
      <c r="T1254" s="63" t="str">
        <f aca="false">IF(OR(B1254="",N(O1254)=0),"",N(O1254)+ROUND(MIN(N(N1254),TOPE_UF*UF_MES)*(TASA_EMP+MUTUAL),0)+ROUND(MIN(N(N1254),TOPE_AFC_UF*UF_MES)*IF(S1254="Indefinido",AFC_INDEF,AFC_PF),0))</f>
        <v/>
      </c>
      <c r="U1254" s="62" t="str">
        <f aca="false">IF(C1254="","",IF(LEFT(D1254,1)="⚠","⚠ RUT no registrado en Trabajadores",IF(B1254="","⚠ Falta el mes",IF(OR(ISTEXT(I1254),ISTEXT(J1254)),"⚠ Atrasos u horas extra como texto: escriba hh:mm (ej. 1:30)",IF(AND(ISNUMBER(Q1254),COUNTIFS(M_RUTN,V1254,M_MES,B1254,M_LIQ,"&lt;&gt;")&gt;1),"⚠ Liquidación repetida en el mes",IF(AND(ISNUMBER(O1254),ISNUMBER(P1254),ISNUMBER(Q1254),ABS(O1254-P1254-Q1254)&gt;1),"⚠ Haberes − descuentos no da el líquido","OK"))))))</f>
        <v/>
      </c>
      <c r="V1254" s="62" t="str">
        <f aca="false">IF(C1254="","",IFERROR(VALUE(LEFT(UPPER(SUBSTITUTE(SUBSTITUTE(SUBSTITUTE(TRIM(C1254),".",""),"-","")," ","")),LEN(UPPER(SUBSTITUTE(SUBSTITUTE(SUBSTITUTE(TRIM(C1254),".",""),"-","")," ","")))-1))&amp;RIGHT(UPPER(SUBSTITUTE(SUBSTITUTE(SUBSTITUTE(TRIM(C1254),".",""),"-","")," ","")),1),UPPER(SUBSTITUTE(SUBSTITUTE(SUBSTITUTE(TRIM(C1254),".",""),"-","")," ",""))))</f>
        <v/>
      </c>
    </row>
    <row r="1255" customFormat="false" ht="15" hidden="false" customHeight="false" outlineLevel="0" collapsed="false">
      <c r="B1255" s="80"/>
      <c r="C1255" s="58"/>
      <c r="D1255" s="62" t="str">
        <f aca="false">IF(C1255="","",IFERROR(INDEX(T_NOMBRE,MATCH(V1255,T_RUTN,0)),"⚠ RUT no está en Trabajadores"))</f>
        <v/>
      </c>
      <c r="E1255" s="61"/>
      <c r="F1255" s="61"/>
      <c r="G1255" s="61"/>
      <c r="H1255" s="61"/>
      <c r="I1255" s="81"/>
      <c r="J1255" s="81"/>
      <c r="K1255" s="60"/>
      <c r="L1255" s="60"/>
      <c r="M1255" s="60"/>
      <c r="N1255" s="60"/>
      <c r="O1255" s="60"/>
      <c r="P1255" s="60"/>
      <c r="Q1255" s="60"/>
      <c r="R1255" s="58"/>
      <c r="S1255" s="62" t="str">
        <f aca="false">IF(OR(B1255="",V1255=""),"",IFERROR(INDEX(C_TIPO,MATCH(V1255&amp;"-P"&amp;MAX(1,COUNTIFS(C_RUTN,V1255,C_DEF,"Sí",C_INI,"&lt;="&amp;EOMONTH(B1255,0))),C_CLAVE,0))&amp;"","Sin contrato"))</f>
        <v/>
      </c>
      <c r="T1255" s="63" t="str">
        <f aca="false">IF(OR(B1255="",N(O1255)=0),"",N(O1255)+ROUND(MIN(N(N1255),TOPE_UF*UF_MES)*(TASA_EMP+MUTUAL),0)+ROUND(MIN(N(N1255),TOPE_AFC_UF*UF_MES)*IF(S1255="Indefinido",AFC_INDEF,AFC_PF),0))</f>
        <v/>
      </c>
      <c r="U1255" s="62" t="str">
        <f aca="false">IF(C1255="","",IF(LEFT(D1255,1)="⚠","⚠ RUT no registrado en Trabajadores",IF(B1255="","⚠ Falta el mes",IF(OR(ISTEXT(I1255),ISTEXT(J1255)),"⚠ Atrasos u horas extra como texto: escriba hh:mm (ej. 1:30)",IF(AND(ISNUMBER(Q1255),COUNTIFS(M_RUTN,V1255,M_MES,B1255,M_LIQ,"&lt;&gt;")&gt;1),"⚠ Liquidación repetida en el mes",IF(AND(ISNUMBER(O1255),ISNUMBER(P1255),ISNUMBER(Q1255),ABS(O1255-P1255-Q1255)&gt;1),"⚠ Haberes − descuentos no da el líquido","OK"))))))</f>
        <v/>
      </c>
      <c r="V1255" s="62" t="str">
        <f aca="false">IF(C1255="","",IFERROR(VALUE(LEFT(UPPER(SUBSTITUTE(SUBSTITUTE(SUBSTITUTE(TRIM(C1255),".",""),"-","")," ","")),LEN(UPPER(SUBSTITUTE(SUBSTITUTE(SUBSTITUTE(TRIM(C1255),".",""),"-","")," ","")))-1))&amp;RIGHT(UPPER(SUBSTITUTE(SUBSTITUTE(SUBSTITUTE(TRIM(C1255),".",""),"-","")," ","")),1),UPPER(SUBSTITUTE(SUBSTITUTE(SUBSTITUTE(TRIM(C1255),".",""),"-","")," ",""))))</f>
        <v/>
      </c>
    </row>
    <row r="1256" customFormat="false" ht="15" hidden="false" customHeight="false" outlineLevel="0" collapsed="false">
      <c r="B1256" s="80"/>
      <c r="C1256" s="58"/>
      <c r="D1256" s="62" t="str">
        <f aca="false">IF(C1256="","",IFERROR(INDEX(T_NOMBRE,MATCH(V1256,T_RUTN,0)),"⚠ RUT no está en Trabajadores"))</f>
        <v/>
      </c>
      <c r="E1256" s="61"/>
      <c r="F1256" s="61"/>
      <c r="G1256" s="61"/>
      <c r="H1256" s="61"/>
      <c r="I1256" s="81"/>
      <c r="J1256" s="81"/>
      <c r="K1256" s="60"/>
      <c r="L1256" s="60"/>
      <c r="M1256" s="60"/>
      <c r="N1256" s="60"/>
      <c r="O1256" s="60"/>
      <c r="P1256" s="60"/>
      <c r="Q1256" s="60"/>
      <c r="R1256" s="58"/>
      <c r="S1256" s="62" t="str">
        <f aca="false">IF(OR(B1256="",V1256=""),"",IFERROR(INDEX(C_TIPO,MATCH(V1256&amp;"-P"&amp;MAX(1,COUNTIFS(C_RUTN,V1256,C_DEF,"Sí",C_INI,"&lt;="&amp;EOMONTH(B1256,0))),C_CLAVE,0))&amp;"","Sin contrato"))</f>
        <v/>
      </c>
      <c r="T1256" s="63" t="str">
        <f aca="false">IF(OR(B1256="",N(O1256)=0),"",N(O1256)+ROUND(MIN(N(N1256),TOPE_UF*UF_MES)*(TASA_EMP+MUTUAL),0)+ROUND(MIN(N(N1256),TOPE_AFC_UF*UF_MES)*IF(S1256="Indefinido",AFC_INDEF,AFC_PF),0))</f>
        <v/>
      </c>
      <c r="U1256" s="62" t="str">
        <f aca="false">IF(C1256="","",IF(LEFT(D1256,1)="⚠","⚠ RUT no registrado en Trabajadores",IF(B1256="","⚠ Falta el mes",IF(OR(ISTEXT(I1256),ISTEXT(J1256)),"⚠ Atrasos u horas extra como texto: escriba hh:mm (ej. 1:30)",IF(AND(ISNUMBER(Q1256),COUNTIFS(M_RUTN,V1256,M_MES,B1256,M_LIQ,"&lt;&gt;")&gt;1),"⚠ Liquidación repetida en el mes",IF(AND(ISNUMBER(O1256),ISNUMBER(P1256),ISNUMBER(Q1256),ABS(O1256-P1256-Q1256)&gt;1),"⚠ Haberes − descuentos no da el líquido","OK"))))))</f>
        <v/>
      </c>
      <c r="V1256" s="62" t="str">
        <f aca="false">IF(C1256="","",IFERROR(VALUE(LEFT(UPPER(SUBSTITUTE(SUBSTITUTE(SUBSTITUTE(TRIM(C1256),".",""),"-","")," ","")),LEN(UPPER(SUBSTITUTE(SUBSTITUTE(SUBSTITUTE(TRIM(C1256),".",""),"-","")," ","")))-1))&amp;RIGHT(UPPER(SUBSTITUTE(SUBSTITUTE(SUBSTITUTE(TRIM(C1256),".",""),"-","")," ","")),1),UPPER(SUBSTITUTE(SUBSTITUTE(SUBSTITUTE(TRIM(C1256),".",""),"-","")," ",""))))</f>
        <v/>
      </c>
    </row>
    <row r="1257" customFormat="false" ht="15" hidden="false" customHeight="false" outlineLevel="0" collapsed="false">
      <c r="B1257" s="80"/>
      <c r="C1257" s="58"/>
      <c r="D1257" s="62" t="str">
        <f aca="false">IF(C1257="","",IFERROR(INDEX(T_NOMBRE,MATCH(V1257,T_RUTN,0)),"⚠ RUT no está en Trabajadores"))</f>
        <v/>
      </c>
      <c r="E1257" s="61"/>
      <c r="F1257" s="61"/>
      <c r="G1257" s="61"/>
      <c r="H1257" s="61"/>
      <c r="I1257" s="81"/>
      <c r="J1257" s="81"/>
      <c r="K1257" s="60"/>
      <c r="L1257" s="60"/>
      <c r="M1257" s="60"/>
      <c r="N1257" s="60"/>
      <c r="O1257" s="60"/>
      <c r="P1257" s="60"/>
      <c r="Q1257" s="60"/>
      <c r="R1257" s="58"/>
      <c r="S1257" s="62" t="str">
        <f aca="false">IF(OR(B1257="",V1257=""),"",IFERROR(INDEX(C_TIPO,MATCH(V1257&amp;"-P"&amp;MAX(1,COUNTIFS(C_RUTN,V1257,C_DEF,"Sí",C_INI,"&lt;="&amp;EOMONTH(B1257,0))),C_CLAVE,0))&amp;"","Sin contrato"))</f>
        <v/>
      </c>
      <c r="T1257" s="63" t="str">
        <f aca="false">IF(OR(B1257="",N(O1257)=0),"",N(O1257)+ROUND(MIN(N(N1257),TOPE_UF*UF_MES)*(TASA_EMP+MUTUAL),0)+ROUND(MIN(N(N1257),TOPE_AFC_UF*UF_MES)*IF(S1257="Indefinido",AFC_INDEF,AFC_PF),0))</f>
        <v/>
      </c>
      <c r="U1257" s="62" t="str">
        <f aca="false">IF(C1257="","",IF(LEFT(D1257,1)="⚠","⚠ RUT no registrado en Trabajadores",IF(B1257="","⚠ Falta el mes",IF(OR(ISTEXT(I1257),ISTEXT(J1257)),"⚠ Atrasos u horas extra como texto: escriba hh:mm (ej. 1:30)",IF(AND(ISNUMBER(Q1257),COUNTIFS(M_RUTN,V1257,M_MES,B1257,M_LIQ,"&lt;&gt;")&gt;1),"⚠ Liquidación repetida en el mes",IF(AND(ISNUMBER(O1257),ISNUMBER(P1257),ISNUMBER(Q1257),ABS(O1257-P1257-Q1257)&gt;1),"⚠ Haberes − descuentos no da el líquido","OK"))))))</f>
        <v/>
      </c>
      <c r="V1257" s="62" t="str">
        <f aca="false">IF(C1257="","",IFERROR(VALUE(LEFT(UPPER(SUBSTITUTE(SUBSTITUTE(SUBSTITUTE(TRIM(C1257),".",""),"-","")," ","")),LEN(UPPER(SUBSTITUTE(SUBSTITUTE(SUBSTITUTE(TRIM(C1257),".",""),"-","")," ","")))-1))&amp;RIGHT(UPPER(SUBSTITUTE(SUBSTITUTE(SUBSTITUTE(TRIM(C1257),".",""),"-","")," ","")),1),UPPER(SUBSTITUTE(SUBSTITUTE(SUBSTITUTE(TRIM(C1257),".",""),"-","")," ",""))))</f>
        <v/>
      </c>
    </row>
    <row r="1258" customFormat="false" ht="15" hidden="false" customHeight="false" outlineLevel="0" collapsed="false">
      <c r="B1258" s="80"/>
      <c r="C1258" s="58"/>
      <c r="D1258" s="62" t="str">
        <f aca="false">IF(C1258="","",IFERROR(INDEX(T_NOMBRE,MATCH(V1258,T_RUTN,0)),"⚠ RUT no está en Trabajadores"))</f>
        <v/>
      </c>
      <c r="E1258" s="61"/>
      <c r="F1258" s="61"/>
      <c r="G1258" s="61"/>
      <c r="H1258" s="61"/>
      <c r="I1258" s="81"/>
      <c r="J1258" s="81"/>
      <c r="K1258" s="60"/>
      <c r="L1258" s="60"/>
      <c r="M1258" s="60"/>
      <c r="N1258" s="60"/>
      <c r="O1258" s="60"/>
      <c r="P1258" s="60"/>
      <c r="Q1258" s="60"/>
      <c r="R1258" s="58"/>
      <c r="S1258" s="62" t="str">
        <f aca="false">IF(OR(B1258="",V1258=""),"",IFERROR(INDEX(C_TIPO,MATCH(V1258&amp;"-P"&amp;MAX(1,COUNTIFS(C_RUTN,V1258,C_DEF,"Sí",C_INI,"&lt;="&amp;EOMONTH(B1258,0))),C_CLAVE,0))&amp;"","Sin contrato"))</f>
        <v/>
      </c>
      <c r="T1258" s="63" t="str">
        <f aca="false">IF(OR(B1258="",N(O1258)=0),"",N(O1258)+ROUND(MIN(N(N1258),TOPE_UF*UF_MES)*(TASA_EMP+MUTUAL),0)+ROUND(MIN(N(N1258),TOPE_AFC_UF*UF_MES)*IF(S1258="Indefinido",AFC_INDEF,AFC_PF),0))</f>
        <v/>
      </c>
      <c r="U1258" s="62" t="str">
        <f aca="false">IF(C1258="","",IF(LEFT(D1258,1)="⚠","⚠ RUT no registrado en Trabajadores",IF(B1258="","⚠ Falta el mes",IF(OR(ISTEXT(I1258),ISTEXT(J1258)),"⚠ Atrasos u horas extra como texto: escriba hh:mm (ej. 1:30)",IF(AND(ISNUMBER(Q1258),COUNTIFS(M_RUTN,V1258,M_MES,B1258,M_LIQ,"&lt;&gt;")&gt;1),"⚠ Liquidación repetida en el mes",IF(AND(ISNUMBER(O1258),ISNUMBER(P1258),ISNUMBER(Q1258),ABS(O1258-P1258-Q1258)&gt;1),"⚠ Haberes − descuentos no da el líquido","OK"))))))</f>
        <v/>
      </c>
      <c r="V1258" s="62" t="str">
        <f aca="false">IF(C1258="","",IFERROR(VALUE(LEFT(UPPER(SUBSTITUTE(SUBSTITUTE(SUBSTITUTE(TRIM(C1258),".",""),"-","")," ","")),LEN(UPPER(SUBSTITUTE(SUBSTITUTE(SUBSTITUTE(TRIM(C1258),".",""),"-","")," ","")))-1))&amp;RIGHT(UPPER(SUBSTITUTE(SUBSTITUTE(SUBSTITUTE(TRIM(C1258),".",""),"-","")," ","")),1),UPPER(SUBSTITUTE(SUBSTITUTE(SUBSTITUTE(TRIM(C1258),".",""),"-","")," ",""))))</f>
        <v/>
      </c>
    </row>
    <row r="1259" customFormat="false" ht="15" hidden="false" customHeight="false" outlineLevel="0" collapsed="false">
      <c r="B1259" s="80"/>
      <c r="C1259" s="58"/>
      <c r="D1259" s="62" t="str">
        <f aca="false">IF(C1259="","",IFERROR(INDEX(T_NOMBRE,MATCH(V1259,T_RUTN,0)),"⚠ RUT no está en Trabajadores"))</f>
        <v/>
      </c>
      <c r="E1259" s="61"/>
      <c r="F1259" s="61"/>
      <c r="G1259" s="61"/>
      <c r="H1259" s="61"/>
      <c r="I1259" s="81"/>
      <c r="J1259" s="81"/>
      <c r="K1259" s="60"/>
      <c r="L1259" s="60"/>
      <c r="M1259" s="60"/>
      <c r="N1259" s="60"/>
      <c r="O1259" s="60"/>
      <c r="P1259" s="60"/>
      <c r="Q1259" s="60"/>
      <c r="R1259" s="58"/>
      <c r="S1259" s="62" t="str">
        <f aca="false">IF(OR(B1259="",V1259=""),"",IFERROR(INDEX(C_TIPO,MATCH(V1259&amp;"-P"&amp;MAX(1,COUNTIFS(C_RUTN,V1259,C_DEF,"Sí",C_INI,"&lt;="&amp;EOMONTH(B1259,0))),C_CLAVE,0))&amp;"","Sin contrato"))</f>
        <v/>
      </c>
      <c r="T1259" s="63" t="str">
        <f aca="false">IF(OR(B1259="",N(O1259)=0),"",N(O1259)+ROUND(MIN(N(N1259),TOPE_UF*UF_MES)*(TASA_EMP+MUTUAL),0)+ROUND(MIN(N(N1259),TOPE_AFC_UF*UF_MES)*IF(S1259="Indefinido",AFC_INDEF,AFC_PF),0))</f>
        <v/>
      </c>
      <c r="U1259" s="62" t="str">
        <f aca="false">IF(C1259="","",IF(LEFT(D1259,1)="⚠","⚠ RUT no registrado en Trabajadores",IF(B1259="","⚠ Falta el mes",IF(OR(ISTEXT(I1259),ISTEXT(J1259)),"⚠ Atrasos u horas extra como texto: escriba hh:mm (ej. 1:30)",IF(AND(ISNUMBER(Q1259),COUNTIFS(M_RUTN,V1259,M_MES,B1259,M_LIQ,"&lt;&gt;")&gt;1),"⚠ Liquidación repetida en el mes",IF(AND(ISNUMBER(O1259),ISNUMBER(P1259),ISNUMBER(Q1259),ABS(O1259-P1259-Q1259)&gt;1),"⚠ Haberes − descuentos no da el líquido","OK"))))))</f>
        <v/>
      </c>
      <c r="V1259" s="62" t="str">
        <f aca="false">IF(C1259="","",IFERROR(VALUE(LEFT(UPPER(SUBSTITUTE(SUBSTITUTE(SUBSTITUTE(TRIM(C1259),".",""),"-","")," ","")),LEN(UPPER(SUBSTITUTE(SUBSTITUTE(SUBSTITUTE(TRIM(C1259),".",""),"-","")," ","")))-1))&amp;RIGHT(UPPER(SUBSTITUTE(SUBSTITUTE(SUBSTITUTE(TRIM(C1259),".",""),"-","")," ","")),1),UPPER(SUBSTITUTE(SUBSTITUTE(SUBSTITUTE(TRIM(C1259),".",""),"-","")," ",""))))</f>
        <v/>
      </c>
    </row>
    <row r="1260" customFormat="false" ht="15" hidden="false" customHeight="false" outlineLevel="0" collapsed="false">
      <c r="B1260" s="80"/>
      <c r="C1260" s="58"/>
      <c r="D1260" s="62" t="str">
        <f aca="false">IF(C1260="","",IFERROR(INDEX(T_NOMBRE,MATCH(V1260,T_RUTN,0)),"⚠ RUT no está en Trabajadores"))</f>
        <v/>
      </c>
      <c r="E1260" s="61"/>
      <c r="F1260" s="61"/>
      <c r="G1260" s="61"/>
      <c r="H1260" s="61"/>
      <c r="I1260" s="81"/>
      <c r="J1260" s="81"/>
      <c r="K1260" s="60"/>
      <c r="L1260" s="60"/>
      <c r="M1260" s="60"/>
      <c r="N1260" s="60"/>
      <c r="O1260" s="60"/>
      <c r="P1260" s="60"/>
      <c r="Q1260" s="60"/>
      <c r="R1260" s="58"/>
      <c r="S1260" s="62" t="str">
        <f aca="false">IF(OR(B1260="",V1260=""),"",IFERROR(INDEX(C_TIPO,MATCH(V1260&amp;"-P"&amp;MAX(1,COUNTIFS(C_RUTN,V1260,C_DEF,"Sí",C_INI,"&lt;="&amp;EOMONTH(B1260,0))),C_CLAVE,0))&amp;"","Sin contrato"))</f>
        <v/>
      </c>
      <c r="T1260" s="63" t="str">
        <f aca="false">IF(OR(B1260="",N(O1260)=0),"",N(O1260)+ROUND(MIN(N(N1260),TOPE_UF*UF_MES)*(TASA_EMP+MUTUAL),0)+ROUND(MIN(N(N1260),TOPE_AFC_UF*UF_MES)*IF(S1260="Indefinido",AFC_INDEF,AFC_PF),0))</f>
        <v/>
      </c>
      <c r="U1260" s="62" t="str">
        <f aca="false">IF(C1260="","",IF(LEFT(D1260,1)="⚠","⚠ RUT no registrado en Trabajadores",IF(B1260="","⚠ Falta el mes",IF(OR(ISTEXT(I1260),ISTEXT(J1260)),"⚠ Atrasos u horas extra como texto: escriba hh:mm (ej. 1:30)",IF(AND(ISNUMBER(Q1260),COUNTIFS(M_RUTN,V1260,M_MES,B1260,M_LIQ,"&lt;&gt;")&gt;1),"⚠ Liquidación repetida en el mes",IF(AND(ISNUMBER(O1260),ISNUMBER(P1260),ISNUMBER(Q1260),ABS(O1260-P1260-Q1260)&gt;1),"⚠ Haberes − descuentos no da el líquido","OK"))))))</f>
        <v/>
      </c>
      <c r="V1260" s="62" t="str">
        <f aca="false">IF(C1260="","",IFERROR(VALUE(LEFT(UPPER(SUBSTITUTE(SUBSTITUTE(SUBSTITUTE(TRIM(C1260),".",""),"-","")," ","")),LEN(UPPER(SUBSTITUTE(SUBSTITUTE(SUBSTITUTE(TRIM(C1260),".",""),"-","")," ","")))-1))&amp;RIGHT(UPPER(SUBSTITUTE(SUBSTITUTE(SUBSTITUTE(TRIM(C1260),".",""),"-","")," ","")),1),UPPER(SUBSTITUTE(SUBSTITUTE(SUBSTITUTE(TRIM(C1260),".",""),"-","")," ",""))))</f>
        <v/>
      </c>
    </row>
    <row r="1261" customFormat="false" ht="15" hidden="false" customHeight="false" outlineLevel="0" collapsed="false">
      <c r="B1261" s="80"/>
      <c r="C1261" s="58"/>
      <c r="D1261" s="62" t="str">
        <f aca="false">IF(C1261="","",IFERROR(INDEX(T_NOMBRE,MATCH(V1261,T_RUTN,0)),"⚠ RUT no está en Trabajadores"))</f>
        <v/>
      </c>
      <c r="E1261" s="61"/>
      <c r="F1261" s="61"/>
      <c r="G1261" s="61"/>
      <c r="H1261" s="61"/>
      <c r="I1261" s="81"/>
      <c r="J1261" s="81"/>
      <c r="K1261" s="60"/>
      <c r="L1261" s="60"/>
      <c r="M1261" s="60"/>
      <c r="N1261" s="60"/>
      <c r="O1261" s="60"/>
      <c r="P1261" s="60"/>
      <c r="Q1261" s="60"/>
      <c r="R1261" s="58"/>
      <c r="S1261" s="62" t="str">
        <f aca="false">IF(OR(B1261="",V1261=""),"",IFERROR(INDEX(C_TIPO,MATCH(V1261&amp;"-P"&amp;MAX(1,COUNTIFS(C_RUTN,V1261,C_DEF,"Sí",C_INI,"&lt;="&amp;EOMONTH(B1261,0))),C_CLAVE,0))&amp;"","Sin contrato"))</f>
        <v/>
      </c>
      <c r="T1261" s="63" t="str">
        <f aca="false">IF(OR(B1261="",N(O1261)=0),"",N(O1261)+ROUND(MIN(N(N1261),TOPE_UF*UF_MES)*(TASA_EMP+MUTUAL),0)+ROUND(MIN(N(N1261),TOPE_AFC_UF*UF_MES)*IF(S1261="Indefinido",AFC_INDEF,AFC_PF),0))</f>
        <v/>
      </c>
      <c r="U1261" s="62" t="str">
        <f aca="false">IF(C1261="","",IF(LEFT(D1261,1)="⚠","⚠ RUT no registrado en Trabajadores",IF(B1261="","⚠ Falta el mes",IF(OR(ISTEXT(I1261),ISTEXT(J1261)),"⚠ Atrasos u horas extra como texto: escriba hh:mm (ej. 1:30)",IF(AND(ISNUMBER(Q1261),COUNTIFS(M_RUTN,V1261,M_MES,B1261,M_LIQ,"&lt;&gt;")&gt;1),"⚠ Liquidación repetida en el mes",IF(AND(ISNUMBER(O1261),ISNUMBER(P1261),ISNUMBER(Q1261),ABS(O1261-P1261-Q1261)&gt;1),"⚠ Haberes − descuentos no da el líquido","OK"))))))</f>
        <v/>
      </c>
      <c r="V1261" s="62" t="str">
        <f aca="false">IF(C1261="","",IFERROR(VALUE(LEFT(UPPER(SUBSTITUTE(SUBSTITUTE(SUBSTITUTE(TRIM(C1261),".",""),"-","")," ","")),LEN(UPPER(SUBSTITUTE(SUBSTITUTE(SUBSTITUTE(TRIM(C1261),".",""),"-","")," ","")))-1))&amp;RIGHT(UPPER(SUBSTITUTE(SUBSTITUTE(SUBSTITUTE(TRIM(C1261),".",""),"-","")," ","")),1),UPPER(SUBSTITUTE(SUBSTITUTE(SUBSTITUTE(TRIM(C1261),".",""),"-","")," ",""))))</f>
        <v/>
      </c>
    </row>
    <row r="1262" customFormat="false" ht="15" hidden="false" customHeight="false" outlineLevel="0" collapsed="false">
      <c r="B1262" s="80"/>
      <c r="C1262" s="58"/>
      <c r="D1262" s="62" t="str">
        <f aca="false">IF(C1262="","",IFERROR(INDEX(T_NOMBRE,MATCH(V1262,T_RUTN,0)),"⚠ RUT no está en Trabajadores"))</f>
        <v/>
      </c>
      <c r="E1262" s="61"/>
      <c r="F1262" s="61"/>
      <c r="G1262" s="61"/>
      <c r="H1262" s="61"/>
      <c r="I1262" s="81"/>
      <c r="J1262" s="81"/>
      <c r="K1262" s="60"/>
      <c r="L1262" s="60"/>
      <c r="M1262" s="60"/>
      <c r="N1262" s="60"/>
      <c r="O1262" s="60"/>
      <c r="P1262" s="60"/>
      <c r="Q1262" s="60"/>
      <c r="R1262" s="58"/>
      <c r="S1262" s="62" t="str">
        <f aca="false">IF(OR(B1262="",V1262=""),"",IFERROR(INDEX(C_TIPO,MATCH(V1262&amp;"-P"&amp;MAX(1,COUNTIFS(C_RUTN,V1262,C_DEF,"Sí",C_INI,"&lt;="&amp;EOMONTH(B1262,0))),C_CLAVE,0))&amp;"","Sin contrato"))</f>
        <v/>
      </c>
      <c r="T1262" s="63" t="str">
        <f aca="false">IF(OR(B1262="",N(O1262)=0),"",N(O1262)+ROUND(MIN(N(N1262),TOPE_UF*UF_MES)*(TASA_EMP+MUTUAL),0)+ROUND(MIN(N(N1262),TOPE_AFC_UF*UF_MES)*IF(S1262="Indefinido",AFC_INDEF,AFC_PF),0))</f>
        <v/>
      </c>
      <c r="U1262" s="62" t="str">
        <f aca="false">IF(C1262="","",IF(LEFT(D1262,1)="⚠","⚠ RUT no registrado en Trabajadores",IF(B1262="","⚠ Falta el mes",IF(OR(ISTEXT(I1262),ISTEXT(J1262)),"⚠ Atrasos u horas extra como texto: escriba hh:mm (ej. 1:30)",IF(AND(ISNUMBER(Q1262),COUNTIFS(M_RUTN,V1262,M_MES,B1262,M_LIQ,"&lt;&gt;")&gt;1),"⚠ Liquidación repetida en el mes",IF(AND(ISNUMBER(O1262),ISNUMBER(P1262),ISNUMBER(Q1262),ABS(O1262-P1262-Q1262)&gt;1),"⚠ Haberes − descuentos no da el líquido","OK"))))))</f>
        <v/>
      </c>
      <c r="V1262" s="62" t="str">
        <f aca="false">IF(C1262="","",IFERROR(VALUE(LEFT(UPPER(SUBSTITUTE(SUBSTITUTE(SUBSTITUTE(TRIM(C1262),".",""),"-","")," ","")),LEN(UPPER(SUBSTITUTE(SUBSTITUTE(SUBSTITUTE(TRIM(C1262),".",""),"-","")," ","")))-1))&amp;RIGHT(UPPER(SUBSTITUTE(SUBSTITUTE(SUBSTITUTE(TRIM(C1262),".",""),"-","")," ","")),1),UPPER(SUBSTITUTE(SUBSTITUTE(SUBSTITUTE(TRIM(C1262),".",""),"-","")," ",""))))</f>
        <v/>
      </c>
    </row>
    <row r="1263" customFormat="false" ht="15" hidden="false" customHeight="false" outlineLevel="0" collapsed="false">
      <c r="B1263" s="80"/>
      <c r="C1263" s="58"/>
      <c r="D1263" s="62" t="str">
        <f aca="false">IF(C1263="","",IFERROR(INDEX(T_NOMBRE,MATCH(V1263,T_RUTN,0)),"⚠ RUT no está en Trabajadores"))</f>
        <v/>
      </c>
      <c r="E1263" s="61"/>
      <c r="F1263" s="61"/>
      <c r="G1263" s="61"/>
      <c r="H1263" s="61"/>
      <c r="I1263" s="81"/>
      <c r="J1263" s="81"/>
      <c r="K1263" s="60"/>
      <c r="L1263" s="60"/>
      <c r="M1263" s="60"/>
      <c r="N1263" s="60"/>
      <c r="O1263" s="60"/>
      <c r="P1263" s="60"/>
      <c r="Q1263" s="60"/>
      <c r="R1263" s="58"/>
      <c r="S1263" s="62" t="str">
        <f aca="false">IF(OR(B1263="",V1263=""),"",IFERROR(INDEX(C_TIPO,MATCH(V1263&amp;"-P"&amp;MAX(1,COUNTIFS(C_RUTN,V1263,C_DEF,"Sí",C_INI,"&lt;="&amp;EOMONTH(B1263,0))),C_CLAVE,0))&amp;"","Sin contrato"))</f>
        <v/>
      </c>
      <c r="T1263" s="63" t="str">
        <f aca="false">IF(OR(B1263="",N(O1263)=0),"",N(O1263)+ROUND(MIN(N(N1263),TOPE_UF*UF_MES)*(TASA_EMP+MUTUAL),0)+ROUND(MIN(N(N1263),TOPE_AFC_UF*UF_MES)*IF(S1263="Indefinido",AFC_INDEF,AFC_PF),0))</f>
        <v/>
      </c>
      <c r="U1263" s="62" t="str">
        <f aca="false">IF(C1263="","",IF(LEFT(D1263,1)="⚠","⚠ RUT no registrado en Trabajadores",IF(B1263="","⚠ Falta el mes",IF(OR(ISTEXT(I1263),ISTEXT(J1263)),"⚠ Atrasos u horas extra como texto: escriba hh:mm (ej. 1:30)",IF(AND(ISNUMBER(Q1263),COUNTIFS(M_RUTN,V1263,M_MES,B1263,M_LIQ,"&lt;&gt;")&gt;1),"⚠ Liquidación repetida en el mes",IF(AND(ISNUMBER(O1263),ISNUMBER(P1263),ISNUMBER(Q1263),ABS(O1263-P1263-Q1263)&gt;1),"⚠ Haberes − descuentos no da el líquido","OK"))))))</f>
        <v/>
      </c>
      <c r="V1263" s="62" t="str">
        <f aca="false">IF(C1263="","",IFERROR(VALUE(LEFT(UPPER(SUBSTITUTE(SUBSTITUTE(SUBSTITUTE(TRIM(C1263),".",""),"-","")," ","")),LEN(UPPER(SUBSTITUTE(SUBSTITUTE(SUBSTITUTE(TRIM(C1263),".",""),"-","")," ","")))-1))&amp;RIGHT(UPPER(SUBSTITUTE(SUBSTITUTE(SUBSTITUTE(TRIM(C1263),".",""),"-","")," ","")),1),UPPER(SUBSTITUTE(SUBSTITUTE(SUBSTITUTE(TRIM(C1263),".",""),"-","")," ",""))))</f>
        <v/>
      </c>
    </row>
    <row r="1264" customFormat="false" ht="15" hidden="false" customHeight="false" outlineLevel="0" collapsed="false">
      <c r="B1264" s="80"/>
      <c r="C1264" s="58"/>
      <c r="D1264" s="62" t="str">
        <f aca="false">IF(C1264="","",IFERROR(INDEX(T_NOMBRE,MATCH(V1264,T_RUTN,0)),"⚠ RUT no está en Trabajadores"))</f>
        <v/>
      </c>
      <c r="E1264" s="61"/>
      <c r="F1264" s="61"/>
      <c r="G1264" s="61"/>
      <c r="H1264" s="61"/>
      <c r="I1264" s="81"/>
      <c r="J1264" s="81"/>
      <c r="K1264" s="60"/>
      <c r="L1264" s="60"/>
      <c r="M1264" s="60"/>
      <c r="N1264" s="60"/>
      <c r="O1264" s="60"/>
      <c r="P1264" s="60"/>
      <c r="Q1264" s="60"/>
      <c r="R1264" s="58"/>
      <c r="S1264" s="62" t="str">
        <f aca="false">IF(OR(B1264="",V1264=""),"",IFERROR(INDEX(C_TIPO,MATCH(V1264&amp;"-P"&amp;MAX(1,COUNTIFS(C_RUTN,V1264,C_DEF,"Sí",C_INI,"&lt;="&amp;EOMONTH(B1264,0))),C_CLAVE,0))&amp;"","Sin contrato"))</f>
        <v/>
      </c>
      <c r="T1264" s="63" t="str">
        <f aca="false">IF(OR(B1264="",N(O1264)=0),"",N(O1264)+ROUND(MIN(N(N1264),TOPE_UF*UF_MES)*(TASA_EMP+MUTUAL),0)+ROUND(MIN(N(N1264),TOPE_AFC_UF*UF_MES)*IF(S1264="Indefinido",AFC_INDEF,AFC_PF),0))</f>
        <v/>
      </c>
      <c r="U1264" s="62" t="str">
        <f aca="false">IF(C1264="","",IF(LEFT(D1264,1)="⚠","⚠ RUT no registrado en Trabajadores",IF(B1264="","⚠ Falta el mes",IF(OR(ISTEXT(I1264),ISTEXT(J1264)),"⚠ Atrasos u horas extra como texto: escriba hh:mm (ej. 1:30)",IF(AND(ISNUMBER(Q1264),COUNTIFS(M_RUTN,V1264,M_MES,B1264,M_LIQ,"&lt;&gt;")&gt;1),"⚠ Liquidación repetida en el mes",IF(AND(ISNUMBER(O1264),ISNUMBER(P1264),ISNUMBER(Q1264),ABS(O1264-P1264-Q1264)&gt;1),"⚠ Haberes − descuentos no da el líquido","OK"))))))</f>
        <v/>
      </c>
      <c r="V1264" s="62" t="str">
        <f aca="false">IF(C1264="","",IFERROR(VALUE(LEFT(UPPER(SUBSTITUTE(SUBSTITUTE(SUBSTITUTE(TRIM(C1264),".",""),"-","")," ","")),LEN(UPPER(SUBSTITUTE(SUBSTITUTE(SUBSTITUTE(TRIM(C1264),".",""),"-","")," ","")))-1))&amp;RIGHT(UPPER(SUBSTITUTE(SUBSTITUTE(SUBSTITUTE(TRIM(C1264),".",""),"-","")," ","")),1),UPPER(SUBSTITUTE(SUBSTITUTE(SUBSTITUTE(TRIM(C1264),".",""),"-","")," ",""))))</f>
        <v/>
      </c>
    </row>
    <row r="1265" customFormat="false" ht="15" hidden="false" customHeight="false" outlineLevel="0" collapsed="false">
      <c r="B1265" s="80"/>
      <c r="C1265" s="58"/>
      <c r="D1265" s="62" t="str">
        <f aca="false">IF(C1265="","",IFERROR(INDEX(T_NOMBRE,MATCH(V1265,T_RUTN,0)),"⚠ RUT no está en Trabajadores"))</f>
        <v/>
      </c>
      <c r="E1265" s="61"/>
      <c r="F1265" s="61"/>
      <c r="G1265" s="61"/>
      <c r="H1265" s="61"/>
      <c r="I1265" s="81"/>
      <c r="J1265" s="81"/>
      <c r="K1265" s="60"/>
      <c r="L1265" s="60"/>
      <c r="M1265" s="60"/>
      <c r="N1265" s="60"/>
      <c r="O1265" s="60"/>
      <c r="P1265" s="60"/>
      <c r="Q1265" s="60"/>
      <c r="R1265" s="58"/>
      <c r="S1265" s="62" t="str">
        <f aca="false">IF(OR(B1265="",V1265=""),"",IFERROR(INDEX(C_TIPO,MATCH(V1265&amp;"-P"&amp;MAX(1,COUNTIFS(C_RUTN,V1265,C_DEF,"Sí",C_INI,"&lt;="&amp;EOMONTH(B1265,0))),C_CLAVE,0))&amp;"","Sin contrato"))</f>
        <v/>
      </c>
      <c r="T1265" s="63" t="str">
        <f aca="false">IF(OR(B1265="",N(O1265)=0),"",N(O1265)+ROUND(MIN(N(N1265),TOPE_UF*UF_MES)*(TASA_EMP+MUTUAL),0)+ROUND(MIN(N(N1265),TOPE_AFC_UF*UF_MES)*IF(S1265="Indefinido",AFC_INDEF,AFC_PF),0))</f>
        <v/>
      </c>
      <c r="U1265" s="62" t="str">
        <f aca="false">IF(C1265="","",IF(LEFT(D1265,1)="⚠","⚠ RUT no registrado en Trabajadores",IF(B1265="","⚠ Falta el mes",IF(OR(ISTEXT(I1265),ISTEXT(J1265)),"⚠ Atrasos u horas extra como texto: escriba hh:mm (ej. 1:30)",IF(AND(ISNUMBER(Q1265),COUNTIFS(M_RUTN,V1265,M_MES,B1265,M_LIQ,"&lt;&gt;")&gt;1),"⚠ Liquidación repetida en el mes",IF(AND(ISNUMBER(O1265),ISNUMBER(P1265),ISNUMBER(Q1265),ABS(O1265-P1265-Q1265)&gt;1),"⚠ Haberes − descuentos no da el líquido","OK"))))))</f>
        <v/>
      </c>
      <c r="V1265" s="62" t="str">
        <f aca="false">IF(C1265="","",IFERROR(VALUE(LEFT(UPPER(SUBSTITUTE(SUBSTITUTE(SUBSTITUTE(TRIM(C1265),".",""),"-","")," ","")),LEN(UPPER(SUBSTITUTE(SUBSTITUTE(SUBSTITUTE(TRIM(C1265),".",""),"-","")," ","")))-1))&amp;RIGHT(UPPER(SUBSTITUTE(SUBSTITUTE(SUBSTITUTE(TRIM(C1265),".",""),"-","")," ","")),1),UPPER(SUBSTITUTE(SUBSTITUTE(SUBSTITUTE(TRIM(C1265),".",""),"-","")," ",""))))</f>
        <v/>
      </c>
    </row>
    <row r="1266" customFormat="false" ht="15" hidden="false" customHeight="false" outlineLevel="0" collapsed="false">
      <c r="B1266" s="80"/>
      <c r="C1266" s="58"/>
      <c r="D1266" s="62" t="str">
        <f aca="false">IF(C1266="","",IFERROR(INDEX(T_NOMBRE,MATCH(V1266,T_RUTN,0)),"⚠ RUT no está en Trabajadores"))</f>
        <v/>
      </c>
      <c r="E1266" s="61"/>
      <c r="F1266" s="61"/>
      <c r="G1266" s="61"/>
      <c r="H1266" s="61"/>
      <c r="I1266" s="81"/>
      <c r="J1266" s="81"/>
      <c r="K1266" s="60"/>
      <c r="L1266" s="60"/>
      <c r="M1266" s="60"/>
      <c r="N1266" s="60"/>
      <c r="O1266" s="60"/>
      <c r="P1266" s="60"/>
      <c r="Q1266" s="60"/>
      <c r="R1266" s="58"/>
      <c r="S1266" s="62" t="str">
        <f aca="false">IF(OR(B1266="",V1266=""),"",IFERROR(INDEX(C_TIPO,MATCH(V1266&amp;"-P"&amp;MAX(1,COUNTIFS(C_RUTN,V1266,C_DEF,"Sí",C_INI,"&lt;="&amp;EOMONTH(B1266,0))),C_CLAVE,0))&amp;"","Sin contrato"))</f>
        <v/>
      </c>
      <c r="T1266" s="63" t="str">
        <f aca="false">IF(OR(B1266="",N(O1266)=0),"",N(O1266)+ROUND(MIN(N(N1266),TOPE_UF*UF_MES)*(TASA_EMP+MUTUAL),0)+ROUND(MIN(N(N1266),TOPE_AFC_UF*UF_MES)*IF(S1266="Indefinido",AFC_INDEF,AFC_PF),0))</f>
        <v/>
      </c>
      <c r="U1266" s="62" t="str">
        <f aca="false">IF(C1266="","",IF(LEFT(D1266,1)="⚠","⚠ RUT no registrado en Trabajadores",IF(B1266="","⚠ Falta el mes",IF(OR(ISTEXT(I1266),ISTEXT(J1266)),"⚠ Atrasos u horas extra como texto: escriba hh:mm (ej. 1:30)",IF(AND(ISNUMBER(Q1266),COUNTIFS(M_RUTN,V1266,M_MES,B1266,M_LIQ,"&lt;&gt;")&gt;1),"⚠ Liquidación repetida en el mes",IF(AND(ISNUMBER(O1266),ISNUMBER(P1266),ISNUMBER(Q1266),ABS(O1266-P1266-Q1266)&gt;1),"⚠ Haberes − descuentos no da el líquido","OK"))))))</f>
        <v/>
      </c>
      <c r="V1266" s="62" t="str">
        <f aca="false">IF(C1266="","",IFERROR(VALUE(LEFT(UPPER(SUBSTITUTE(SUBSTITUTE(SUBSTITUTE(TRIM(C1266),".",""),"-","")," ","")),LEN(UPPER(SUBSTITUTE(SUBSTITUTE(SUBSTITUTE(TRIM(C1266),".",""),"-","")," ","")))-1))&amp;RIGHT(UPPER(SUBSTITUTE(SUBSTITUTE(SUBSTITUTE(TRIM(C1266),".",""),"-","")," ","")),1),UPPER(SUBSTITUTE(SUBSTITUTE(SUBSTITUTE(TRIM(C1266),".",""),"-","")," ",""))))</f>
        <v/>
      </c>
    </row>
    <row r="1267" customFormat="false" ht="15" hidden="false" customHeight="false" outlineLevel="0" collapsed="false">
      <c r="B1267" s="80"/>
      <c r="C1267" s="58"/>
      <c r="D1267" s="62" t="str">
        <f aca="false">IF(C1267="","",IFERROR(INDEX(T_NOMBRE,MATCH(V1267,T_RUTN,0)),"⚠ RUT no está en Trabajadores"))</f>
        <v/>
      </c>
      <c r="E1267" s="61"/>
      <c r="F1267" s="61"/>
      <c r="G1267" s="61"/>
      <c r="H1267" s="61"/>
      <c r="I1267" s="81"/>
      <c r="J1267" s="81"/>
      <c r="K1267" s="60"/>
      <c r="L1267" s="60"/>
      <c r="M1267" s="60"/>
      <c r="N1267" s="60"/>
      <c r="O1267" s="60"/>
      <c r="P1267" s="60"/>
      <c r="Q1267" s="60"/>
      <c r="R1267" s="58"/>
      <c r="S1267" s="62" t="str">
        <f aca="false">IF(OR(B1267="",V1267=""),"",IFERROR(INDEX(C_TIPO,MATCH(V1267&amp;"-P"&amp;MAX(1,COUNTIFS(C_RUTN,V1267,C_DEF,"Sí",C_INI,"&lt;="&amp;EOMONTH(B1267,0))),C_CLAVE,0))&amp;"","Sin contrato"))</f>
        <v/>
      </c>
      <c r="T1267" s="63" t="str">
        <f aca="false">IF(OR(B1267="",N(O1267)=0),"",N(O1267)+ROUND(MIN(N(N1267),TOPE_UF*UF_MES)*(TASA_EMP+MUTUAL),0)+ROUND(MIN(N(N1267),TOPE_AFC_UF*UF_MES)*IF(S1267="Indefinido",AFC_INDEF,AFC_PF),0))</f>
        <v/>
      </c>
      <c r="U1267" s="62" t="str">
        <f aca="false">IF(C1267="","",IF(LEFT(D1267,1)="⚠","⚠ RUT no registrado en Trabajadores",IF(B1267="","⚠ Falta el mes",IF(OR(ISTEXT(I1267),ISTEXT(J1267)),"⚠ Atrasos u horas extra como texto: escriba hh:mm (ej. 1:30)",IF(AND(ISNUMBER(Q1267),COUNTIFS(M_RUTN,V1267,M_MES,B1267,M_LIQ,"&lt;&gt;")&gt;1),"⚠ Liquidación repetida en el mes",IF(AND(ISNUMBER(O1267),ISNUMBER(P1267),ISNUMBER(Q1267),ABS(O1267-P1267-Q1267)&gt;1),"⚠ Haberes − descuentos no da el líquido","OK"))))))</f>
        <v/>
      </c>
      <c r="V1267" s="62" t="str">
        <f aca="false">IF(C1267="","",IFERROR(VALUE(LEFT(UPPER(SUBSTITUTE(SUBSTITUTE(SUBSTITUTE(TRIM(C1267),".",""),"-","")," ","")),LEN(UPPER(SUBSTITUTE(SUBSTITUTE(SUBSTITUTE(TRIM(C1267),".",""),"-","")," ","")))-1))&amp;RIGHT(UPPER(SUBSTITUTE(SUBSTITUTE(SUBSTITUTE(TRIM(C1267),".",""),"-","")," ","")),1),UPPER(SUBSTITUTE(SUBSTITUTE(SUBSTITUTE(TRIM(C1267),".",""),"-","")," ",""))))</f>
        <v/>
      </c>
    </row>
    <row r="1268" customFormat="false" ht="15" hidden="false" customHeight="false" outlineLevel="0" collapsed="false">
      <c r="B1268" s="80"/>
      <c r="C1268" s="58"/>
      <c r="D1268" s="62" t="str">
        <f aca="false">IF(C1268="","",IFERROR(INDEX(T_NOMBRE,MATCH(V1268,T_RUTN,0)),"⚠ RUT no está en Trabajadores"))</f>
        <v/>
      </c>
      <c r="E1268" s="61"/>
      <c r="F1268" s="61"/>
      <c r="G1268" s="61"/>
      <c r="H1268" s="61"/>
      <c r="I1268" s="81"/>
      <c r="J1268" s="81"/>
      <c r="K1268" s="60"/>
      <c r="L1268" s="60"/>
      <c r="M1268" s="60"/>
      <c r="N1268" s="60"/>
      <c r="O1268" s="60"/>
      <c r="P1268" s="60"/>
      <c r="Q1268" s="60"/>
      <c r="R1268" s="58"/>
      <c r="S1268" s="62" t="str">
        <f aca="false">IF(OR(B1268="",V1268=""),"",IFERROR(INDEX(C_TIPO,MATCH(V1268&amp;"-P"&amp;MAX(1,COUNTIFS(C_RUTN,V1268,C_DEF,"Sí",C_INI,"&lt;="&amp;EOMONTH(B1268,0))),C_CLAVE,0))&amp;"","Sin contrato"))</f>
        <v/>
      </c>
      <c r="T1268" s="63" t="str">
        <f aca="false">IF(OR(B1268="",N(O1268)=0),"",N(O1268)+ROUND(MIN(N(N1268),TOPE_UF*UF_MES)*(TASA_EMP+MUTUAL),0)+ROUND(MIN(N(N1268),TOPE_AFC_UF*UF_MES)*IF(S1268="Indefinido",AFC_INDEF,AFC_PF),0))</f>
        <v/>
      </c>
      <c r="U1268" s="62" t="str">
        <f aca="false">IF(C1268="","",IF(LEFT(D1268,1)="⚠","⚠ RUT no registrado en Trabajadores",IF(B1268="","⚠ Falta el mes",IF(OR(ISTEXT(I1268),ISTEXT(J1268)),"⚠ Atrasos u horas extra como texto: escriba hh:mm (ej. 1:30)",IF(AND(ISNUMBER(Q1268),COUNTIFS(M_RUTN,V1268,M_MES,B1268,M_LIQ,"&lt;&gt;")&gt;1),"⚠ Liquidación repetida en el mes",IF(AND(ISNUMBER(O1268),ISNUMBER(P1268),ISNUMBER(Q1268),ABS(O1268-P1268-Q1268)&gt;1),"⚠ Haberes − descuentos no da el líquido","OK"))))))</f>
        <v/>
      </c>
      <c r="V1268" s="62" t="str">
        <f aca="false">IF(C1268="","",IFERROR(VALUE(LEFT(UPPER(SUBSTITUTE(SUBSTITUTE(SUBSTITUTE(TRIM(C1268),".",""),"-","")," ","")),LEN(UPPER(SUBSTITUTE(SUBSTITUTE(SUBSTITUTE(TRIM(C1268),".",""),"-","")," ","")))-1))&amp;RIGHT(UPPER(SUBSTITUTE(SUBSTITUTE(SUBSTITUTE(TRIM(C1268),".",""),"-","")," ","")),1),UPPER(SUBSTITUTE(SUBSTITUTE(SUBSTITUTE(TRIM(C1268),".",""),"-","")," ",""))))</f>
        <v/>
      </c>
    </row>
    <row r="1269" customFormat="false" ht="15" hidden="false" customHeight="false" outlineLevel="0" collapsed="false">
      <c r="B1269" s="80"/>
      <c r="C1269" s="58"/>
      <c r="D1269" s="62" t="str">
        <f aca="false">IF(C1269="","",IFERROR(INDEX(T_NOMBRE,MATCH(V1269,T_RUTN,0)),"⚠ RUT no está en Trabajadores"))</f>
        <v/>
      </c>
      <c r="E1269" s="61"/>
      <c r="F1269" s="61"/>
      <c r="G1269" s="61"/>
      <c r="H1269" s="61"/>
      <c r="I1269" s="81"/>
      <c r="J1269" s="81"/>
      <c r="K1269" s="60"/>
      <c r="L1269" s="60"/>
      <c r="M1269" s="60"/>
      <c r="N1269" s="60"/>
      <c r="O1269" s="60"/>
      <c r="P1269" s="60"/>
      <c r="Q1269" s="60"/>
      <c r="R1269" s="58"/>
      <c r="S1269" s="62" t="str">
        <f aca="false">IF(OR(B1269="",V1269=""),"",IFERROR(INDEX(C_TIPO,MATCH(V1269&amp;"-P"&amp;MAX(1,COUNTIFS(C_RUTN,V1269,C_DEF,"Sí",C_INI,"&lt;="&amp;EOMONTH(B1269,0))),C_CLAVE,0))&amp;"","Sin contrato"))</f>
        <v/>
      </c>
      <c r="T1269" s="63" t="str">
        <f aca="false">IF(OR(B1269="",N(O1269)=0),"",N(O1269)+ROUND(MIN(N(N1269),TOPE_UF*UF_MES)*(TASA_EMP+MUTUAL),0)+ROUND(MIN(N(N1269),TOPE_AFC_UF*UF_MES)*IF(S1269="Indefinido",AFC_INDEF,AFC_PF),0))</f>
        <v/>
      </c>
      <c r="U1269" s="62" t="str">
        <f aca="false">IF(C1269="","",IF(LEFT(D1269,1)="⚠","⚠ RUT no registrado en Trabajadores",IF(B1269="","⚠ Falta el mes",IF(OR(ISTEXT(I1269),ISTEXT(J1269)),"⚠ Atrasos u horas extra como texto: escriba hh:mm (ej. 1:30)",IF(AND(ISNUMBER(Q1269),COUNTIFS(M_RUTN,V1269,M_MES,B1269,M_LIQ,"&lt;&gt;")&gt;1),"⚠ Liquidación repetida en el mes",IF(AND(ISNUMBER(O1269),ISNUMBER(P1269),ISNUMBER(Q1269),ABS(O1269-P1269-Q1269)&gt;1),"⚠ Haberes − descuentos no da el líquido","OK"))))))</f>
        <v/>
      </c>
      <c r="V1269" s="62" t="str">
        <f aca="false">IF(C1269="","",IFERROR(VALUE(LEFT(UPPER(SUBSTITUTE(SUBSTITUTE(SUBSTITUTE(TRIM(C1269),".",""),"-","")," ","")),LEN(UPPER(SUBSTITUTE(SUBSTITUTE(SUBSTITUTE(TRIM(C1269),".",""),"-","")," ","")))-1))&amp;RIGHT(UPPER(SUBSTITUTE(SUBSTITUTE(SUBSTITUTE(TRIM(C1269),".",""),"-","")," ","")),1),UPPER(SUBSTITUTE(SUBSTITUTE(SUBSTITUTE(TRIM(C1269),".",""),"-","")," ",""))))</f>
        <v/>
      </c>
    </row>
    <row r="1270" customFormat="false" ht="15" hidden="false" customHeight="false" outlineLevel="0" collapsed="false">
      <c r="B1270" s="80"/>
      <c r="C1270" s="58"/>
      <c r="D1270" s="62" t="str">
        <f aca="false">IF(C1270="","",IFERROR(INDEX(T_NOMBRE,MATCH(V1270,T_RUTN,0)),"⚠ RUT no está en Trabajadores"))</f>
        <v/>
      </c>
      <c r="E1270" s="61"/>
      <c r="F1270" s="61"/>
      <c r="G1270" s="61"/>
      <c r="H1270" s="61"/>
      <c r="I1270" s="81"/>
      <c r="J1270" s="81"/>
      <c r="K1270" s="60"/>
      <c r="L1270" s="60"/>
      <c r="M1270" s="60"/>
      <c r="N1270" s="60"/>
      <c r="O1270" s="60"/>
      <c r="P1270" s="60"/>
      <c r="Q1270" s="60"/>
      <c r="R1270" s="58"/>
      <c r="S1270" s="62" t="str">
        <f aca="false">IF(OR(B1270="",V1270=""),"",IFERROR(INDEX(C_TIPO,MATCH(V1270&amp;"-P"&amp;MAX(1,COUNTIFS(C_RUTN,V1270,C_DEF,"Sí",C_INI,"&lt;="&amp;EOMONTH(B1270,0))),C_CLAVE,0))&amp;"","Sin contrato"))</f>
        <v/>
      </c>
      <c r="T1270" s="63" t="str">
        <f aca="false">IF(OR(B1270="",N(O1270)=0),"",N(O1270)+ROUND(MIN(N(N1270),TOPE_UF*UF_MES)*(TASA_EMP+MUTUAL),0)+ROUND(MIN(N(N1270),TOPE_AFC_UF*UF_MES)*IF(S1270="Indefinido",AFC_INDEF,AFC_PF),0))</f>
        <v/>
      </c>
      <c r="U1270" s="62" t="str">
        <f aca="false">IF(C1270="","",IF(LEFT(D1270,1)="⚠","⚠ RUT no registrado en Trabajadores",IF(B1270="","⚠ Falta el mes",IF(OR(ISTEXT(I1270),ISTEXT(J1270)),"⚠ Atrasos u horas extra como texto: escriba hh:mm (ej. 1:30)",IF(AND(ISNUMBER(Q1270),COUNTIFS(M_RUTN,V1270,M_MES,B1270,M_LIQ,"&lt;&gt;")&gt;1),"⚠ Liquidación repetida en el mes",IF(AND(ISNUMBER(O1270),ISNUMBER(P1270),ISNUMBER(Q1270),ABS(O1270-P1270-Q1270)&gt;1),"⚠ Haberes − descuentos no da el líquido","OK"))))))</f>
        <v/>
      </c>
      <c r="V1270" s="62" t="str">
        <f aca="false">IF(C1270="","",IFERROR(VALUE(LEFT(UPPER(SUBSTITUTE(SUBSTITUTE(SUBSTITUTE(TRIM(C1270),".",""),"-","")," ","")),LEN(UPPER(SUBSTITUTE(SUBSTITUTE(SUBSTITUTE(TRIM(C1270),".",""),"-","")," ","")))-1))&amp;RIGHT(UPPER(SUBSTITUTE(SUBSTITUTE(SUBSTITUTE(TRIM(C1270),".",""),"-","")," ","")),1),UPPER(SUBSTITUTE(SUBSTITUTE(SUBSTITUTE(TRIM(C1270),".",""),"-","")," ",""))))</f>
        <v/>
      </c>
    </row>
    <row r="1271" customFormat="false" ht="15" hidden="false" customHeight="false" outlineLevel="0" collapsed="false">
      <c r="B1271" s="80"/>
      <c r="C1271" s="58"/>
      <c r="D1271" s="62" t="str">
        <f aca="false">IF(C1271="","",IFERROR(INDEX(T_NOMBRE,MATCH(V1271,T_RUTN,0)),"⚠ RUT no está en Trabajadores"))</f>
        <v/>
      </c>
      <c r="E1271" s="61"/>
      <c r="F1271" s="61"/>
      <c r="G1271" s="61"/>
      <c r="H1271" s="61"/>
      <c r="I1271" s="81"/>
      <c r="J1271" s="81"/>
      <c r="K1271" s="60"/>
      <c r="L1271" s="60"/>
      <c r="M1271" s="60"/>
      <c r="N1271" s="60"/>
      <c r="O1271" s="60"/>
      <c r="P1271" s="60"/>
      <c r="Q1271" s="60"/>
      <c r="R1271" s="58"/>
      <c r="S1271" s="62" t="str">
        <f aca="false">IF(OR(B1271="",V1271=""),"",IFERROR(INDEX(C_TIPO,MATCH(V1271&amp;"-P"&amp;MAX(1,COUNTIFS(C_RUTN,V1271,C_DEF,"Sí",C_INI,"&lt;="&amp;EOMONTH(B1271,0))),C_CLAVE,0))&amp;"","Sin contrato"))</f>
        <v/>
      </c>
      <c r="T1271" s="63" t="str">
        <f aca="false">IF(OR(B1271="",N(O1271)=0),"",N(O1271)+ROUND(MIN(N(N1271),TOPE_UF*UF_MES)*(TASA_EMP+MUTUAL),0)+ROUND(MIN(N(N1271),TOPE_AFC_UF*UF_MES)*IF(S1271="Indefinido",AFC_INDEF,AFC_PF),0))</f>
        <v/>
      </c>
      <c r="U1271" s="62" t="str">
        <f aca="false">IF(C1271="","",IF(LEFT(D1271,1)="⚠","⚠ RUT no registrado en Trabajadores",IF(B1271="","⚠ Falta el mes",IF(OR(ISTEXT(I1271),ISTEXT(J1271)),"⚠ Atrasos u horas extra como texto: escriba hh:mm (ej. 1:30)",IF(AND(ISNUMBER(Q1271),COUNTIFS(M_RUTN,V1271,M_MES,B1271,M_LIQ,"&lt;&gt;")&gt;1),"⚠ Liquidación repetida en el mes",IF(AND(ISNUMBER(O1271),ISNUMBER(P1271),ISNUMBER(Q1271),ABS(O1271-P1271-Q1271)&gt;1),"⚠ Haberes − descuentos no da el líquido","OK"))))))</f>
        <v/>
      </c>
      <c r="V1271" s="62" t="str">
        <f aca="false">IF(C1271="","",IFERROR(VALUE(LEFT(UPPER(SUBSTITUTE(SUBSTITUTE(SUBSTITUTE(TRIM(C1271),".",""),"-","")," ","")),LEN(UPPER(SUBSTITUTE(SUBSTITUTE(SUBSTITUTE(TRIM(C1271),".",""),"-","")," ","")))-1))&amp;RIGHT(UPPER(SUBSTITUTE(SUBSTITUTE(SUBSTITUTE(TRIM(C1271),".",""),"-","")," ","")),1),UPPER(SUBSTITUTE(SUBSTITUTE(SUBSTITUTE(TRIM(C1271),".",""),"-","")," ",""))))</f>
        <v/>
      </c>
    </row>
    <row r="1272" customFormat="false" ht="15" hidden="false" customHeight="false" outlineLevel="0" collapsed="false">
      <c r="B1272" s="80"/>
      <c r="C1272" s="58"/>
      <c r="D1272" s="62" t="str">
        <f aca="false">IF(C1272="","",IFERROR(INDEX(T_NOMBRE,MATCH(V1272,T_RUTN,0)),"⚠ RUT no está en Trabajadores"))</f>
        <v/>
      </c>
      <c r="E1272" s="61"/>
      <c r="F1272" s="61"/>
      <c r="G1272" s="61"/>
      <c r="H1272" s="61"/>
      <c r="I1272" s="81"/>
      <c r="J1272" s="81"/>
      <c r="K1272" s="60"/>
      <c r="L1272" s="60"/>
      <c r="M1272" s="60"/>
      <c r="N1272" s="60"/>
      <c r="O1272" s="60"/>
      <c r="P1272" s="60"/>
      <c r="Q1272" s="60"/>
      <c r="R1272" s="58"/>
      <c r="S1272" s="62" t="str">
        <f aca="false">IF(OR(B1272="",V1272=""),"",IFERROR(INDEX(C_TIPO,MATCH(V1272&amp;"-P"&amp;MAX(1,COUNTIFS(C_RUTN,V1272,C_DEF,"Sí",C_INI,"&lt;="&amp;EOMONTH(B1272,0))),C_CLAVE,0))&amp;"","Sin contrato"))</f>
        <v/>
      </c>
      <c r="T1272" s="63" t="str">
        <f aca="false">IF(OR(B1272="",N(O1272)=0),"",N(O1272)+ROUND(MIN(N(N1272),TOPE_UF*UF_MES)*(TASA_EMP+MUTUAL),0)+ROUND(MIN(N(N1272),TOPE_AFC_UF*UF_MES)*IF(S1272="Indefinido",AFC_INDEF,AFC_PF),0))</f>
        <v/>
      </c>
      <c r="U1272" s="62" t="str">
        <f aca="false">IF(C1272="","",IF(LEFT(D1272,1)="⚠","⚠ RUT no registrado en Trabajadores",IF(B1272="","⚠ Falta el mes",IF(OR(ISTEXT(I1272),ISTEXT(J1272)),"⚠ Atrasos u horas extra como texto: escriba hh:mm (ej. 1:30)",IF(AND(ISNUMBER(Q1272),COUNTIFS(M_RUTN,V1272,M_MES,B1272,M_LIQ,"&lt;&gt;")&gt;1),"⚠ Liquidación repetida en el mes",IF(AND(ISNUMBER(O1272),ISNUMBER(P1272),ISNUMBER(Q1272),ABS(O1272-P1272-Q1272)&gt;1),"⚠ Haberes − descuentos no da el líquido","OK"))))))</f>
        <v/>
      </c>
      <c r="V1272" s="62" t="str">
        <f aca="false">IF(C1272="","",IFERROR(VALUE(LEFT(UPPER(SUBSTITUTE(SUBSTITUTE(SUBSTITUTE(TRIM(C1272),".",""),"-","")," ","")),LEN(UPPER(SUBSTITUTE(SUBSTITUTE(SUBSTITUTE(TRIM(C1272),".",""),"-","")," ","")))-1))&amp;RIGHT(UPPER(SUBSTITUTE(SUBSTITUTE(SUBSTITUTE(TRIM(C1272),".",""),"-","")," ","")),1),UPPER(SUBSTITUTE(SUBSTITUTE(SUBSTITUTE(TRIM(C1272),".",""),"-","")," ",""))))</f>
        <v/>
      </c>
    </row>
    <row r="1273" customFormat="false" ht="15" hidden="false" customHeight="false" outlineLevel="0" collapsed="false">
      <c r="B1273" s="80"/>
      <c r="C1273" s="58"/>
      <c r="D1273" s="62" t="str">
        <f aca="false">IF(C1273="","",IFERROR(INDEX(T_NOMBRE,MATCH(V1273,T_RUTN,0)),"⚠ RUT no está en Trabajadores"))</f>
        <v/>
      </c>
      <c r="E1273" s="61"/>
      <c r="F1273" s="61"/>
      <c r="G1273" s="61"/>
      <c r="H1273" s="61"/>
      <c r="I1273" s="81"/>
      <c r="J1273" s="81"/>
      <c r="K1273" s="60"/>
      <c r="L1273" s="60"/>
      <c r="M1273" s="60"/>
      <c r="N1273" s="60"/>
      <c r="O1273" s="60"/>
      <c r="P1273" s="60"/>
      <c r="Q1273" s="60"/>
      <c r="R1273" s="58"/>
      <c r="S1273" s="62" t="str">
        <f aca="false">IF(OR(B1273="",V1273=""),"",IFERROR(INDEX(C_TIPO,MATCH(V1273&amp;"-P"&amp;MAX(1,COUNTIFS(C_RUTN,V1273,C_DEF,"Sí",C_INI,"&lt;="&amp;EOMONTH(B1273,0))),C_CLAVE,0))&amp;"","Sin contrato"))</f>
        <v/>
      </c>
      <c r="T1273" s="63" t="str">
        <f aca="false">IF(OR(B1273="",N(O1273)=0),"",N(O1273)+ROUND(MIN(N(N1273),TOPE_UF*UF_MES)*(TASA_EMP+MUTUAL),0)+ROUND(MIN(N(N1273),TOPE_AFC_UF*UF_MES)*IF(S1273="Indefinido",AFC_INDEF,AFC_PF),0))</f>
        <v/>
      </c>
      <c r="U1273" s="62" t="str">
        <f aca="false">IF(C1273="","",IF(LEFT(D1273,1)="⚠","⚠ RUT no registrado en Trabajadores",IF(B1273="","⚠ Falta el mes",IF(OR(ISTEXT(I1273),ISTEXT(J1273)),"⚠ Atrasos u horas extra como texto: escriba hh:mm (ej. 1:30)",IF(AND(ISNUMBER(Q1273),COUNTIFS(M_RUTN,V1273,M_MES,B1273,M_LIQ,"&lt;&gt;")&gt;1),"⚠ Liquidación repetida en el mes",IF(AND(ISNUMBER(O1273),ISNUMBER(P1273),ISNUMBER(Q1273),ABS(O1273-P1273-Q1273)&gt;1),"⚠ Haberes − descuentos no da el líquido","OK"))))))</f>
        <v/>
      </c>
      <c r="V1273" s="62" t="str">
        <f aca="false">IF(C1273="","",IFERROR(VALUE(LEFT(UPPER(SUBSTITUTE(SUBSTITUTE(SUBSTITUTE(TRIM(C1273),".",""),"-","")," ","")),LEN(UPPER(SUBSTITUTE(SUBSTITUTE(SUBSTITUTE(TRIM(C1273),".",""),"-","")," ","")))-1))&amp;RIGHT(UPPER(SUBSTITUTE(SUBSTITUTE(SUBSTITUTE(TRIM(C1273),".",""),"-","")," ","")),1),UPPER(SUBSTITUTE(SUBSTITUTE(SUBSTITUTE(TRIM(C1273),".",""),"-","")," ",""))))</f>
        <v/>
      </c>
    </row>
    <row r="1274" customFormat="false" ht="15" hidden="false" customHeight="false" outlineLevel="0" collapsed="false">
      <c r="B1274" s="80"/>
      <c r="C1274" s="58"/>
      <c r="D1274" s="62" t="str">
        <f aca="false">IF(C1274="","",IFERROR(INDEX(T_NOMBRE,MATCH(V1274,T_RUTN,0)),"⚠ RUT no está en Trabajadores"))</f>
        <v/>
      </c>
      <c r="E1274" s="61"/>
      <c r="F1274" s="61"/>
      <c r="G1274" s="61"/>
      <c r="H1274" s="61"/>
      <c r="I1274" s="81"/>
      <c r="J1274" s="81"/>
      <c r="K1274" s="60"/>
      <c r="L1274" s="60"/>
      <c r="M1274" s="60"/>
      <c r="N1274" s="60"/>
      <c r="O1274" s="60"/>
      <c r="P1274" s="60"/>
      <c r="Q1274" s="60"/>
      <c r="R1274" s="58"/>
      <c r="S1274" s="62" t="str">
        <f aca="false">IF(OR(B1274="",V1274=""),"",IFERROR(INDEX(C_TIPO,MATCH(V1274&amp;"-P"&amp;MAX(1,COUNTIFS(C_RUTN,V1274,C_DEF,"Sí",C_INI,"&lt;="&amp;EOMONTH(B1274,0))),C_CLAVE,0))&amp;"","Sin contrato"))</f>
        <v/>
      </c>
      <c r="T1274" s="63" t="str">
        <f aca="false">IF(OR(B1274="",N(O1274)=0),"",N(O1274)+ROUND(MIN(N(N1274),TOPE_UF*UF_MES)*(TASA_EMP+MUTUAL),0)+ROUND(MIN(N(N1274),TOPE_AFC_UF*UF_MES)*IF(S1274="Indefinido",AFC_INDEF,AFC_PF),0))</f>
        <v/>
      </c>
      <c r="U1274" s="62" t="str">
        <f aca="false">IF(C1274="","",IF(LEFT(D1274,1)="⚠","⚠ RUT no registrado en Trabajadores",IF(B1274="","⚠ Falta el mes",IF(OR(ISTEXT(I1274),ISTEXT(J1274)),"⚠ Atrasos u horas extra como texto: escriba hh:mm (ej. 1:30)",IF(AND(ISNUMBER(Q1274),COUNTIFS(M_RUTN,V1274,M_MES,B1274,M_LIQ,"&lt;&gt;")&gt;1),"⚠ Liquidación repetida en el mes",IF(AND(ISNUMBER(O1274),ISNUMBER(P1274),ISNUMBER(Q1274),ABS(O1274-P1274-Q1274)&gt;1),"⚠ Haberes − descuentos no da el líquido","OK"))))))</f>
        <v/>
      </c>
      <c r="V1274" s="62" t="str">
        <f aca="false">IF(C1274="","",IFERROR(VALUE(LEFT(UPPER(SUBSTITUTE(SUBSTITUTE(SUBSTITUTE(TRIM(C1274),".",""),"-","")," ","")),LEN(UPPER(SUBSTITUTE(SUBSTITUTE(SUBSTITUTE(TRIM(C1274),".",""),"-","")," ","")))-1))&amp;RIGHT(UPPER(SUBSTITUTE(SUBSTITUTE(SUBSTITUTE(TRIM(C1274),".",""),"-","")," ","")),1),UPPER(SUBSTITUTE(SUBSTITUTE(SUBSTITUTE(TRIM(C1274),".",""),"-","")," ",""))))</f>
        <v/>
      </c>
    </row>
    <row r="1275" customFormat="false" ht="15" hidden="false" customHeight="false" outlineLevel="0" collapsed="false">
      <c r="B1275" s="80"/>
      <c r="C1275" s="58"/>
      <c r="D1275" s="62" t="str">
        <f aca="false">IF(C1275="","",IFERROR(INDEX(T_NOMBRE,MATCH(V1275,T_RUTN,0)),"⚠ RUT no está en Trabajadores"))</f>
        <v/>
      </c>
      <c r="E1275" s="61"/>
      <c r="F1275" s="61"/>
      <c r="G1275" s="61"/>
      <c r="H1275" s="61"/>
      <c r="I1275" s="81"/>
      <c r="J1275" s="81"/>
      <c r="K1275" s="60"/>
      <c r="L1275" s="60"/>
      <c r="M1275" s="60"/>
      <c r="N1275" s="60"/>
      <c r="O1275" s="60"/>
      <c r="P1275" s="60"/>
      <c r="Q1275" s="60"/>
      <c r="R1275" s="58"/>
      <c r="S1275" s="62" t="str">
        <f aca="false">IF(OR(B1275="",V1275=""),"",IFERROR(INDEX(C_TIPO,MATCH(V1275&amp;"-P"&amp;MAX(1,COUNTIFS(C_RUTN,V1275,C_DEF,"Sí",C_INI,"&lt;="&amp;EOMONTH(B1275,0))),C_CLAVE,0))&amp;"","Sin contrato"))</f>
        <v/>
      </c>
      <c r="T1275" s="63" t="str">
        <f aca="false">IF(OR(B1275="",N(O1275)=0),"",N(O1275)+ROUND(MIN(N(N1275),TOPE_UF*UF_MES)*(TASA_EMP+MUTUAL),0)+ROUND(MIN(N(N1275),TOPE_AFC_UF*UF_MES)*IF(S1275="Indefinido",AFC_INDEF,AFC_PF),0))</f>
        <v/>
      </c>
      <c r="U1275" s="62" t="str">
        <f aca="false">IF(C1275="","",IF(LEFT(D1275,1)="⚠","⚠ RUT no registrado en Trabajadores",IF(B1275="","⚠ Falta el mes",IF(OR(ISTEXT(I1275),ISTEXT(J1275)),"⚠ Atrasos u horas extra como texto: escriba hh:mm (ej. 1:30)",IF(AND(ISNUMBER(Q1275),COUNTIFS(M_RUTN,V1275,M_MES,B1275,M_LIQ,"&lt;&gt;")&gt;1),"⚠ Liquidación repetida en el mes",IF(AND(ISNUMBER(O1275),ISNUMBER(P1275),ISNUMBER(Q1275),ABS(O1275-P1275-Q1275)&gt;1),"⚠ Haberes − descuentos no da el líquido","OK"))))))</f>
        <v/>
      </c>
      <c r="V1275" s="62" t="str">
        <f aca="false">IF(C1275="","",IFERROR(VALUE(LEFT(UPPER(SUBSTITUTE(SUBSTITUTE(SUBSTITUTE(TRIM(C1275),".",""),"-","")," ","")),LEN(UPPER(SUBSTITUTE(SUBSTITUTE(SUBSTITUTE(TRIM(C1275),".",""),"-","")," ","")))-1))&amp;RIGHT(UPPER(SUBSTITUTE(SUBSTITUTE(SUBSTITUTE(TRIM(C1275),".",""),"-","")," ","")),1),UPPER(SUBSTITUTE(SUBSTITUTE(SUBSTITUTE(TRIM(C1275),".",""),"-","")," ",""))))</f>
        <v/>
      </c>
    </row>
    <row r="1276" customFormat="false" ht="15" hidden="false" customHeight="false" outlineLevel="0" collapsed="false">
      <c r="B1276" s="80"/>
      <c r="C1276" s="58"/>
      <c r="D1276" s="62" t="str">
        <f aca="false">IF(C1276="","",IFERROR(INDEX(T_NOMBRE,MATCH(V1276,T_RUTN,0)),"⚠ RUT no está en Trabajadores"))</f>
        <v/>
      </c>
      <c r="E1276" s="61"/>
      <c r="F1276" s="61"/>
      <c r="G1276" s="61"/>
      <c r="H1276" s="61"/>
      <c r="I1276" s="81"/>
      <c r="J1276" s="81"/>
      <c r="K1276" s="60"/>
      <c r="L1276" s="60"/>
      <c r="M1276" s="60"/>
      <c r="N1276" s="60"/>
      <c r="O1276" s="60"/>
      <c r="P1276" s="60"/>
      <c r="Q1276" s="60"/>
      <c r="R1276" s="58"/>
      <c r="S1276" s="62" t="str">
        <f aca="false">IF(OR(B1276="",V1276=""),"",IFERROR(INDEX(C_TIPO,MATCH(V1276&amp;"-P"&amp;MAX(1,COUNTIFS(C_RUTN,V1276,C_DEF,"Sí",C_INI,"&lt;="&amp;EOMONTH(B1276,0))),C_CLAVE,0))&amp;"","Sin contrato"))</f>
        <v/>
      </c>
      <c r="T1276" s="63" t="str">
        <f aca="false">IF(OR(B1276="",N(O1276)=0),"",N(O1276)+ROUND(MIN(N(N1276),TOPE_UF*UF_MES)*(TASA_EMP+MUTUAL),0)+ROUND(MIN(N(N1276),TOPE_AFC_UF*UF_MES)*IF(S1276="Indefinido",AFC_INDEF,AFC_PF),0))</f>
        <v/>
      </c>
      <c r="U1276" s="62" t="str">
        <f aca="false">IF(C1276="","",IF(LEFT(D1276,1)="⚠","⚠ RUT no registrado en Trabajadores",IF(B1276="","⚠ Falta el mes",IF(OR(ISTEXT(I1276),ISTEXT(J1276)),"⚠ Atrasos u horas extra como texto: escriba hh:mm (ej. 1:30)",IF(AND(ISNUMBER(Q1276),COUNTIFS(M_RUTN,V1276,M_MES,B1276,M_LIQ,"&lt;&gt;")&gt;1),"⚠ Liquidación repetida en el mes",IF(AND(ISNUMBER(O1276),ISNUMBER(P1276),ISNUMBER(Q1276),ABS(O1276-P1276-Q1276)&gt;1),"⚠ Haberes − descuentos no da el líquido","OK"))))))</f>
        <v/>
      </c>
      <c r="V1276" s="62" t="str">
        <f aca="false">IF(C1276="","",IFERROR(VALUE(LEFT(UPPER(SUBSTITUTE(SUBSTITUTE(SUBSTITUTE(TRIM(C1276),".",""),"-","")," ","")),LEN(UPPER(SUBSTITUTE(SUBSTITUTE(SUBSTITUTE(TRIM(C1276),".",""),"-","")," ","")))-1))&amp;RIGHT(UPPER(SUBSTITUTE(SUBSTITUTE(SUBSTITUTE(TRIM(C1276),".",""),"-","")," ","")),1),UPPER(SUBSTITUTE(SUBSTITUTE(SUBSTITUTE(TRIM(C1276),".",""),"-","")," ",""))))</f>
        <v/>
      </c>
    </row>
    <row r="1277" customFormat="false" ht="15" hidden="false" customHeight="false" outlineLevel="0" collapsed="false">
      <c r="B1277" s="80"/>
      <c r="C1277" s="58"/>
      <c r="D1277" s="62" t="str">
        <f aca="false">IF(C1277="","",IFERROR(INDEX(T_NOMBRE,MATCH(V1277,T_RUTN,0)),"⚠ RUT no está en Trabajadores"))</f>
        <v/>
      </c>
      <c r="E1277" s="61"/>
      <c r="F1277" s="61"/>
      <c r="G1277" s="61"/>
      <c r="H1277" s="61"/>
      <c r="I1277" s="81"/>
      <c r="J1277" s="81"/>
      <c r="K1277" s="60"/>
      <c r="L1277" s="60"/>
      <c r="M1277" s="60"/>
      <c r="N1277" s="60"/>
      <c r="O1277" s="60"/>
      <c r="P1277" s="60"/>
      <c r="Q1277" s="60"/>
      <c r="R1277" s="58"/>
      <c r="S1277" s="62" t="str">
        <f aca="false">IF(OR(B1277="",V1277=""),"",IFERROR(INDEX(C_TIPO,MATCH(V1277&amp;"-P"&amp;MAX(1,COUNTIFS(C_RUTN,V1277,C_DEF,"Sí",C_INI,"&lt;="&amp;EOMONTH(B1277,0))),C_CLAVE,0))&amp;"","Sin contrato"))</f>
        <v/>
      </c>
      <c r="T1277" s="63" t="str">
        <f aca="false">IF(OR(B1277="",N(O1277)=0),"",N(O1277)+ROUND(MIN(N(N1277),TOPE_UF*UF_MES)*(TASA_EMP+MUTUAL),0)+ROUND(MIN(N(N1277),TOPE_AFC_UF*UF_MES)*IF(S1277="Indefinido",AFC_INDEF,AFC_PF),0))</f>
        <v/>
      </c>
      <c r="U1277" s="62" t="str">
        <f aca="false">IF(C1277="","",IF(LEFT(D1277,1)="⚠","⚠ RUT no registrado en Trabajadores",IF(B1277="","⚠ Falta el mes",IF(OR(ISTEXT(I1277),ISTEXT(J1277)),"⚠ Atrasos u horas extra como texto: escriba hh:mm (ej. 1:30)",IF(AND(ISNUMBER(Q1277),COUNTIFS(M_RUTN,V1277,M_MES,B1277,M_LIQ,"&lt;&gt;")&gt;1),"⚠ Liquidación repetida en el mes",IF(AND(ISNUMBER(O1277),ISNUMBER(P1277),ISNUMBER(Q1277),ABS(O1277-P1277-Q1277)&gt;1),"⚠ Haberes − descuentos no da el líquido","OK"))))))</f>
        <v/>
      </c>
      <c r="V1277" s="62" t="str">
        <f aca="false">IF(C1277="","",IFERROR(VALUE(LEFT(UPPER(SUBSTITUTE(SUBSTITUTE(SUBSTITUTE(TRIM(C1277),".",""),"-","")," ","")),LEN(UPPER(SUBSTITUTE(SUBSTITUTE(SUBSTITUTE(TRIM(C1277),".",""),"-","")," ","")))-1))&amp;RIGHT(UPPER(SUBSTITUTE(SUBSTITUTE(SUBSTITUTE(TRIM(C1277),".",""),"-","")," ","")),1),UPPER(SUBSTITUTE(SUBSTITUTE(SUBSTITUTE(TRIM(C1277),".",""),"-","")," ",""))))</f>
        <v/>
      </c>
    </row>
    <row r="1278" customFormat="false" ht="15" hidden="false" customHeight="false" outlineLevel="0" collapsed="false">
      <c r="B1278" s="80"/>
      <c r="C1278" s="58"/>
      <c r="D1278" s="62" t="str">
        <f aca="false">IF(C1278="","",IFERROR(INDEX(T_NOMBRE,MATCH(V1278,T_RUTN,0)),"⚠ RUT no está en Trabajadores"))</f>
        <v/>
      </c>
      <c r="E1278" s="61"/>
      <c r="F1278" s="61"/>
      <c r="G1278" s="61"/>
      <c r="H1278" s="61"/>
      <c r="I1278" s="81"/>
      <c r="J1278" s="81"/>
      <c r="K1278" s="60"/>
      <c r="L1278" s="60"/>
      <c r="M1278" s="60"/>
      <c r="N1278" s="60"/>
      <c r="O1278" s="60"/>
      <c r="P1278" s="60"/>
      <c r="Q1278" s="60"/>
      <c r="R1278" s="58"/>
      <c r="S1278" s="62" t="str">
        <f aca="false">IF(OR(B1278="",V1278=""),"",IFERROR(INDEX(C_TIPO,MATCH(V1278&amp;"-P"&amp;MAX(1,COUNTIFS(C_RUTN,V1278,C_DEF,"Sí",C_INI,"&lt;="&amp;EOMONTH(B1278,0))),C_CLAVE,0))&amp;"","Sin contrato"))</f>
        <v/>
      </c>
      <c r="T1278" s="63" t="str">
        <f aca="false">IF(OR(B1278="",N(O1278)=0),"",N(O1278)+ROUND(MIN(N(N1278),TOPE_UF*UF_MES)*(TASA_EMP+MUTUAL),0)+ROUND(MIN(N(N1278),TOPE_AFC_UF*UF_MES)*IF(S1278="Indefinido",AFC_INDEF,AFC_PF),0))</f>
        <v/>
      </c>
      <c r="U1278" s="62" t="str">
        <f aca="false">IF(C1278="","",IF(LEFT(D1278,1)="⚠","⚠ RUT no registrado en Trabajadores",IF(B1278="","⚠ Falta el mes",IF(OR(ISTEXT(I1278),ISTEXT(J1278)),"⚠ Atrasos u horas extra como texto: escriba hh:mm (ej. 1:30)",IF(AND(ISNUMBER(Q1278),COUNTIFS(M_RUTN,V1278,M_MES,B1278,M_LIQ,"&lt;&gt;")&gt;1),"⚠ Liquidación repetida en el mes",IF(AND(ISNUMBER(O1278),ISNUMBER(P1278),ISNUMBER(Q1278),ABS(O1278-P1278-Q1278)&gt;1),"⚠ Haberes − descuentos no da el líquido","OK"))))))</f>
        <v/>
      </c>
      <c r="V1278" s="62" t="str">
        <f aca="false">IF(C1278="","",IFERROR(VALUE(LEFT(UPPER(SUBSTITUTE(SUBSTITUTE(SUBSTITUTE(TRIM(C1278),".",""),"-","")," ","")),LEN(UPPER(SUBSTITUTE(SUBSTITUTE(SUBSTITUTE(TRIM(C1278),".",""),"-","")," ","")))-1))&amp;RIGHT(UPPER(SUBSTITUTE(SUBSTITUTE(SUBSTITUTE(TRIM(C1278),".",""),"-","")," ","")),1),UPPER(SUBSTITUTE(SUBSTITUTE(SUBSTITUTE(TRIM(C1278),".",""),"-","")," ",""))))</f>
        <v/>
      </c>
    </row>
    <row r="1279" customFormat="false" ht="15" hidden="false" customHeight="false" outlineLevel="0" collapsed="false">
      <c r="B1279" s="80"/>
      <c r="C1279" s="58"/>
      <c r="D1279" s="62" t="str">
        <f aca="false">IF(C1279="","",IFERROR(INDEX(T_NOMBRE,MATCH(V1279,T_RUTN,0)),"⚠ RUT no está en Trabajadores"))</f>
        <v/>
      </c>
      <c r="E1279" s="61"/>
      <c r="F1279" s="61"/>
      <c r="G1279" s="61"/>
      <c r="H1279" s="61"/>
      <c r="I1279" s="81"/>
      <c r="J1279" s="81"/>
      <c r="K1279" s="60"/>
      <c r="L1279" s="60"/>
      <c r="M1279" s="60"/>
      <c r="N1279" s="60"/>
      <c r="O1279" s="60"/>
      <c r="P1279" s="60"/>
      <c r="Q1279" s="60"/>
      <c r="R1279" s="58"/>
      <c r="S1279" s="62" t="str">
        <f aca="false">IF(OR(B1279="",V1279=""),"",IFERROR(INDEX(C_TIPO,MATCH(V1279&amp;"-P"&amp;MAX(1,COUNTIFS(C_RUTN,V1279,C_DEF,"Sí",C_INI,"&lt;="&amp;EOMONTH(B1279,0))),C_CLAVE,0))&amp;"","Sin contrato"))</f>
        <v/>
      </c>
      <c r="T1279" s="63" t="str">
        <f aca="false">IF(OR(B1279="",N(O1279)=0),"",N(O1279)+ROUND(MIN(N(N1279),TOPE_UF*UF_MES)*(TASA_EMP+MUTUAL),0)+ROUND(MIN(N(N1279),TOPE_AFC_UF*UF_MES)*IF(S1279="Indefinido",AFC_INDEF,AFC_PF),0))</f>
        <v/>
      </c>
      <c r="U1279" s="62" t="str">
        <f aca="false">IF(C1279="","",IF(LEFT(D1279,1)="⚠","⚠ RUT no registrado en Trabajadores",IF(B1279="","⚠ Falta el mes",IF(OR(ISTEXT(I1279),ISTEXT(J1279)),"⚠ Atrasos u horas extra como texto: escriba hh:mm (ej. 1:30)",IF(AND(ISNUMBER(Q1279),COUNTIFS(M_RUTN,V1279,M_MES,B1279,M_LIQ,"&lt;&gt;")&gt;1),"⚠ Liquidación repetida en el mes",IF(AND(ISNUMBER(O1279),ISNUMBER(P1279),ISNUMBER(Q1279),ABS(O1279-P1279-Q1279)&gt;1),"⚠ Haberes − descuentos no da el líquido","OK"))))))</f>
        <v/>
      </c>
      <c r="V1279" s="62" t="str">
        <f aca="false">IF(C1279="","",IFERROR(VALUE(LEFT(UPPER(SUBSTITUTE(SUBSTITUTE(SUBSTITUTE(TRIM(C1279),".",""),"-","")," ","")),LEN(UPPER(SUBSTITUTE(SUBSTITUTE(SUBSTITUTE(TRIM(C1279),".",""),"-","")," ","")))-1))&amp;RIGHT(UPPER(SUBSTITUTE(SUBSTITUTE(SUBSTITUTE(TRIM(C1279),".",""),"-","")," ","")),1),UPPER(SUBSTITUTE(SUBSTITUTE(SUBSTITUTE(TRIM(C1279),".",""),"-","")," ",""))))</f>
        <v/>
      </c>
    </row>
    <row r="1280" customFormat="false" ht="15" hidden="false" customHeight="false" outlineLevel="0" collapsed="false">
      <c r="B1280" s="80"/>
      <c r="C1280" s="58"/>
      <c r="D1280" s="62" t="str">
        <f aca="false">IF(C1280="","",IFERROR(INDEX(T_NOMBRE,MATCH(V1280,T_RUTN,0)),"⚠ RUT no está en Trabajadores"))</f>
        <v/>
      </c>
      <c r="E1280" s="61"/>
      <c r="F1280" s="61"/>
      <c r="G1280" s="61"/>
      <c r="H1280" s="61"/>
      <c r="I1280" s="81"/>
      <c r="J1280" s="81"/>
      <c r="K1280" s="60"/>
      <c r="L1280" s="60"/>
      <c r="M1280" s="60"/>
      <c r="N1280" s="60"/>
      <c r="O1280" s="60"/>
      <c r="P1280" s="60"/>
      <c r="Q1280" s="60"/>
      <c r="R1280" s="58"/>
      <c r="S1280" s="62" t="str">
        <f aca="false">IF(OR(B1280="",V1280=""),"",IFERROR(INDEX(C_TIPO,MATCH(V1280&amp;"-P"&amp;MAX(1,COUNTIFS(C_RUTN,V1280,C_DEF,"Sí",C_INI,"&lt;="&amp;EOMONTH(B1280,0))),C_CLAVE,0))&amp;"","Sin contrato"))</f>
        <v/>
      </c>
      <c r="T1280" s="63" t="str">
        <f aca="false">IF(OR(B1280="",N(O1280)=0),"",N(O1280)+ROUND(MIN(N(N1280),TOPE_UF*UF_MES)*(TASA_EMP+MUTUAL),0)+ROUND(MIN(N(N1280),TOPE_AFC_UF*UF_MES)*IF(S1280="Indefinido",AFC_INDEF,AFC_PF),0))</f>
        <v/>
      </c>
      <c r="U1280" s="62" t="str">
        <f aca="false">IF(C1280="","",IF(LEFT(D1280,1)="⚠","⚠ RUT no registrado en Trabajadores",IF(B1280="","⚠ Falta el mes",IF(OR(ISTEXT(I1280),ISTEXT(J1280)),"⚠ Atrasos u horas extra como texto: escriba hh:mm (ej. 1:30)",IF(AND(ISNUMBER(Q1280),COUNTIFS(M_RUTN,V1280,M_MES,B1280,M_LIQ,"&lt;&gt;")&gt;1),"⚠ Liquidación repetida en el mes",IF(AND(ISNUMBER(O1280),ISNUMBER(P1280),ISNUMBER(Q1280),ABS(O1280-P1280-Q1280)&gt;1),"⚠ Haberes − descuentos no da el líquido","OK"))))))</f>
        <v/>
      </c>
      <c r="V1280" s="62" t="str">
        <f aca="false">IF(C1280="","",IFERROR(VALUE(LEFT(UPPER(SUBSTITUTE(SUBSTITUTE(SUBSTITUTE(TRIM(C1280),".",""),"-","")," ","")),LEN(UPPER(SUBSTITUTE(SUBSTITUTE(SUBSTITUTE(TRIM(C1280),".",""),"-","")," ","")))-1))&amp;RIGHT(UPPER(SUBSTITUTE(SUBSTITUTE(SUBSTITUTE(TRIM(C1280),".",""),"-","")," ","")),1),UPPER(SUBSTITUTE(SUBSTITUTE(SUBSTITUTE(TRIM(C1280),".",""),"-","")," ",""))))</f>
        <v/>
      </c>
    </row>
    <row r="1281" customFormat="false" ht="15" hidden="false" customHeight="false" outlineLevel="0" collapsed="false">
      <c r="B1281" s="80"/>
      <c r="C1281" s="58"/>
      <c r="D1281" s="62" t="str">
        <f aca="false">IF(C1281="","",IFERROR(INDEX(T_NOMBRE,MATCH(V1281,T_RUTN,0)),"⚠ RUT no está en Trabajadores"))</f>
        <v/>
      </c>
      <c r="E1281" s="61"/>
      <c r="F1281" s="61"/>
      <c r="G1281" s="61"/>
      <c r="H1281" s="61"/>
      <c r="I1281" s="81"/>
      <c r="J1281" s="81"/>
      <c r="K1281" s="60"/>
      <c r="L1281" s="60"/>
      <c r="M1281" s="60"/>
      <c r="N1281" s="60"/>
      <c r="O1281" s="60"/>
      <c r="P1281" s="60"/>
      <c r="Q1281" s="60"/>
      <c r="R1281" s="58"/>
      <c r="S1281" s="62" t="str">
        <f aca="false">IF(OR(B1281="",V1281=""),"",IFERROR(INDEX(C_TIPO,MATCH(V1281&amp;"-P"&amp;MAX(1,COUNTIFS(C_RUTN,V1281,C_DEF,"Sí",C_INI,"&lt;="&amp;EOMONTH(B1281,0))),C_CLAVE,0))&amp;"","Sin contrato"))</f>
        <v/>
      </c>
      <c r="T1281" s="63" t="str">
        <f aca="false">IF(OR(B1281="",N(O1281)=0),"",N(O1281)+ROUND(MIN(N(N1281),TOPE_UF*UF_MES)*(TASA_EMP+MUTUAL),0)+ROUND(MIN(N(N1281),TOPE_AFC_UF*UF_MES)*IF(S1281="Indefinido",AFC_INDEF,AFC_PF),0))</f>
        <v/>
      </c>
      <c r="U1281" s="62" t="str">
        <f aca="false">IF(C1281="","",IF(LEFT(D1281,1)="⚠","⚠ RUT no registrado en Trabajadores",IF(B1281="","⚠ Falta el mes",IF(OR(ISTEXT(I1281),ISTEXT(J1281)),"⚠ Atrasos u horas extra como texto: escriba hh:mm (ej. 1:30)",IF(AND(ISNUMBER(Q1281),COUNTIFS(M_RUTN,V1281,M_MES,B1281,M_LIQ,"&lt;&gt;")&gt;1),"⚠ Liquidación repetida en el mes",IF(AND(ISNUMBER(O1281),ISNUMBER(P1281),ISNUMBER(Q1281),ABS(O1281-P1281-Q1281)&gt;1),"⚠ Haberes − descuentos no da el líquido","OK"))))))</f>
        <v/>
      </c>
      <c r="V1281" s="62" t="str">
        <f aca="false">IF(C1281="","",IFERROR(VALUE(LEFT(UPPER(SUBSTITUTE(SUBSTITUTE(SUBSTITUTE(TRIM(C1281),".",""),"-","")," ","")),LEN(UPPER(SUBSTITUTE(SUBSTITUTE(SUBSTITUTE(TRIM(C1281),".",""),"-","")," ","")))-1))&amp;RIGHT(UPPER(SUBSTITUTE(SUBSTITUTE(SUBSTITUTE(TRIM(C1281),".",""),"-","")," ","")),1),UPPER(SUBSTITUTE(SUBSTITUTE(SUBSTITUTE(TRIM(C1281),".",""),"-","")," ",""))))</f>
        <v/>
      </c>
    </row>
    <row r="1282" customFormat="false" ht="15" hidden="false" customHeight="false" outlineLevel="0" collapsed="false">
      <c r="B1282" s="80"/>
      <c r="C1282" s="58"/>
      <c r="D1282" s="62" t="str">
        <f aca="false">IF(C1282="","",IFERROR(INDEX(T_NOMBRE,MATCH(V1282,T_RUTN,0)),"⚠ RUT no está en Trabajadores"))</f>
        <v/>
      </c>
      <c r="E1282" s="61"/>
      <c r="F1282" s="61"/>
      <c r="G1282" s="61"/>
      <c r="H1282" s="61"/>
      <c r="I1282" s="81"/>
      <c r="J1282" s="81"/>
      <c r="K1282" s="60"/>
      <c r="L1282" s="60"/>
      <c r="M1282" s="60"/>
      <c r="N1282" s="60"/>
      <c r="O1282" s="60"/>
      <c r="P1282" s="60"/>
      <c r="Q1282" s="60"/>
      <c r="R1282" s="58"/>
      <c r="S1282" s="62" t="str">
        <f aca="false">IF(OR(B1282="",V1282=""),"",IFERROR(INDEX(C_TIPO,MATCH(V1282&amp;"-P"&amp;MAX(1,COUNTIFS(C_RUTN,V1282,C_DEF,"Sí",C_INI,"&lt;="&amp;EOMONTH(B1282,0))),C_CLAVE,0))&amp;"","Sin contrato"))</f>
        <v/>
      </c>
      <c r="T1282" s="63" t="str">
        <f aca="false">IF(OR(B1282="",N(O1282)=0),"",N(O1282)+ROUND(MIN(N(N1282),TOPE_UF*UF_MES)*(TASA_EMP+MUTUAL),0)+ROUND(MIN(N(N1282),TOPE_AFC_UF*UF_MES)*IF(S1282="Indefinido",AFC_INDEF,AFC_PF),0))</f>
        <v/>
      </c>
      <c r="U1282" s="62" t="str">
        <f aca="false">IF(C1282="","",IF(LEFT(D1282,1)="⚠","⚠ RUT no registrado en Trabajadores",IF(B1282="","⚠ Falta el mes",IF(OR(ISTEXT(I1282),ISTEXT(J1282)),"⚠ Atrasos u horas extra como texto: escriba hh:mm (ej. 1:30)",IF(AND(ISNUMBER(Q1282),COUNTIFS(M_RUTN,V1282,M_MES,B1282,M_LIQ,"&lt;&gt;")&gt;1),"⚠ Liquidación repetida en el mes",IF(AND(ISNUMBER(O1282),ISNUMBER(P1282),ISNUMBER(Q1282),ABS(O1282-P1282-Q1282)&gt;1),"⚠ Haberes − descuentos no da el líquido","OK"))))))</f>
        <v/>
      </c>
      <c r="V1282" s="62" t="str">
        <f aca="false">IF(C1282="","",IFERROR(VALUE(LEFT(UPPER(SUBSTITUTE(SUBSTITUTE(SUBSTITUTE(TRIM(C1282),".",""),"-","")," ","")),LEN(UPPER(SUBSTITUTE(SUBSTITUTE(SUBSTITUTE(TRIM(C1282),".",""),"-","")," ","")))-1))&amp;RIGHT(UPPER(SUBSTITUTE(SUBSTITUTE(SUBSTITUTE(TRIM(C1282),".",""),"-","")," ","")),1),UPPER(SUBSTITUTE(SUBSTITUTE(SUBSTITUTE(TRIM(C1282),".",""),"-","")," ",""))))</f>
        <v/>
      </c>
    </row>
    <row r="1283" customFormat="false" ht="15" hidden="false" customHeight="false" outlineLevel="0" collapsed="false">
      <c r="B1283" s="80"/>
      <c r="C1283" s="58"/>
      <c r="D1283" s="62" t="str">
        <f aca="false">IF(C1283="","",IFERROR(INDEX(T_NOMBRE,MATCH(V1283,T_RUTN,0)),"⚠ RUT no está en Trabajadores"))</f>
        <v/>
      </c>
      <c r="E1283" s="61"/>
      <c r="F1283" s="61"/>
      <c r="G1283" s="61"/>
      <c r="H1283" s="61"/>
      <c r="I1283" s="81"/>
      <c r="J1283" s="81"/>
      <c r="K1283" s="60"/>
      <c r="L1283" s="60"/>
      <c r="M1283" s="60"/>
      <c r="N1283" s="60"/>
      <c r="O1283" s="60"/>
      <c r="P1283" s="60"/>
      <c r="Q1283" s="60"/>
      <c r="R1283" s="58"/>
      <c r="S1283" s="62" t="str">
        <f aca="false">IF(OR(B1283="",V1283=""),"",IFERROR(INDEX(C_TIPO,MATCH(V1283&amp;"-P"&amp;MAX(1,COUNTIFS(C_RUTN,V1283,C_DEF,"Sí",C_INI,"&lt;="&amp;EOMONTH(B1283,0))),C_CLAVE,0))&amp;"","Sin contrato"))</f>
        <v/>
      </c>
      <c r="T1283" s="63" t="str">
        <f aca="false">IF(OR(B1283="",N(O1283)=0),"",N(O1283)+ROUND(MIN(N(N1283),TOPE_UF*UF_MES)*(TASA_EMP+MUTUAL),0)+ROUND(MIN(N(N1283),TOPE_AFC_UF*UF_MES)*IF(S1283="Indefinido",AFC_INDEF,AFC_PF),0))</f>
        <v/>
      </c>
      <c r="U1283" s="62" t="str">
        <f aca="false">IF(C1283="","",IF(LEFT(D1283,1)="⚠","⚠ RUT no registrado en Trabajadores",IF(B1283="","⚠ Falta el mes",IF(OR(ISTEXT(I1283),ISTEXT(J1283)),"⚠ Atrasos u horas extra como texto: escriba hh:mm (ej. 1:30)",IF(AND(ISNUMBER(Q1283),COUNTIFS(M_RUTN,V1283,M_MES,B1283,M_LIQ,"&lt;&gt;")&gt;1),"⚠ Liquidación repetida en el mes",IF(AND(ISNUMBER(O1283),ISNUMBER(P1283),ISNUMBER(Q1283),ABS(O1283-P1283-Q1283)&gt;1),"⚠ Haberes − descuentos no da el líquido","OK"))))))</f>
        <v/>
      </c>
      <c r="V1283" s="62" t="str">
        <f aca="false">IF(C1283="","",IFERROR(VALUE(LEFT(UPPER(SUBSTITUTE(SUBSTITUTE(SUBSTITUTE(TRIM(C1283),".",""),"-","")," ","")),LEN(UPPER(SUBSTITUTE(SUBSTITUTE(SUBSTITUTE(TRIM(C1283),".",""),"-","")," ","")))-1))&amp;RIGHT(UPPER(SUBSTITUTE(SUBSTITUTE(SUBSTITUTE(TRIM(C1283),".",""),"-","")," ","")),1),UPPER(SUBSTITUTE(SUBSTITUTE(SUBSTITUTE(TRIM(C1283),".",""),"-","")," ",""))))</f>
        <v/>
      </c>
    </row>
    <row r="1284" customFormat="false" ht="15" hidden="false" customHeight="false" outlineLevel="0" collapsed="false">
      <c r="B1284" s="80"/>
      <c r="C1284" s="58"/>
      <c r="D1284" s="62" t="str">
        <f aca="false">IF(C1284="","",IFERROR(INDEX(T_NOMBRE,MATCH(V1284,T_RUTN,0)),"⚠ RUT no está en Trabajadores"))</f>
        <v/>
      </c>
      <c r="E1284" s="61"/>
      <c r="F1284" s="61"/>
      <c r="G1284" s="61"/>
      <c r="H1284" s="61"/>
      <c r="I1284" s="81"/>
      <c r="J1284" s="81"/>
      <c r="K1284" s="60"/>
      <c r="L1284" s="60"/>
      <c r="M1284" s="60"/>
      <c r="N1284" s="60"/>
      <c r="O1284" s="60"/>
      <c r="P1284" s="60"/>
      <c r="Q1284" s="60"/>
      <c r="R1284" s="58"/>
      <c r="S1284" s="62" t="str">
        <f aca="false">IF(OR(B1284="",V1284=""),"",IFERROR(INDEX(C_TIPO,MATCH(V1284&amp;"-P"&amp;MAX(1,COUNTIFS(C_RUTN,V1284,C_DEF,"Sí",C_INI,"&lt;="&amp;EOMONTH(B1284,0))),C_CLAVE,0))&amp;"","Sin contrato"))</f>
        <v/>
      </c>
      <c r="T1284" s="63" t="str">
        <f aca="false">IF(OR(B1284="",N(O1284)=0),"",N(O1284)+ROUND(MIN(N(N1284),TOPE_UF*UF_MES)*(TASA_EMP+MUTUAL),0)+ROUND(MIN(N(N1284),TOPE_AFC_UF*UF_MES)*IF(S1284="Indefinido",AFC_INDEF,AFC_PF),0))</f>
        <v/>
      </c>
      <c r="U1284" s="62" t="str">
        <f aca="false">IF(C1284="","",IF(LEFT(D1284,1)="⚠","⚠ RUT no registrado en Trabajadores",IF(B1284="","⚠ Falta el mes",IF(OR(ISTEXT(I1284),ISTEXT(J1284)),"⚠ Atrasos u horas extra como texto: escriba hh:mm (ej. 1:30)",IF(AND(ISNUMBER(Q1284),COUNTIFS(M_RUTN,V1284,M_MES,B1284,M_LIQ,"&lt;&gt;")&gt;1),"⚠ Liquidación repetida en el mes",IF(AND(ISNUMBER(O1284),ISNUMBER(P1284),ISNUMBER(Q1284),ABS(O1284-P1284-Q1284)&gt;1),"⚠ Haberes − descuentos no da el líquido","OK"))))))</f>
        <v/>
      </c>
      <c r="V1284" s="62" t="str">
        <f aca="false">IF(C1284="","",IFERROR(VALUE(LEFT(UPPER(SUBSTITUTE(SUBSTITUTE(SUBSTITUTE(TRIM(C1284),".",""),"-","")," ","")),LEN(UPPER(SUBSTITUTE(SUBSTITUTE(SUBSTITUTE(TRIM(C1284),".",""),"-","")," ","")))-1))&amp;RIGHT(UPPER(SUBSTITUTE(SUBSTITUTE(SUBSTITUTE(TRIM(C1284),".",""),"-","")," ","")),1),UPPER(SUBSTITUTE(SUBSTITUTE(SUBSTITUTE(TRIM(C1284),".",""),"-","")," ",""))))</f>
        <v/>
      </c>
    </row>
    <row r="1285" customFormat="false" ht="15" hidden="false" customHeight="false" outlineLevel="0" collapsed="false">
      <c r="B1285" s="80"/>
      <c r="C1285" s="58"/>
      <c r="D1285" s="62" t="str">
        <f aca="false">IF(C1285="","",IFERROR(INDEX(T_NOMBRE,MATCH(V1285,T_RUTN,0)),"⚠ RUT no está en Trabajadores"))</f>
        <v/>
      </c>
      <c r="E1285" s="61"/>
      <c r="F1285" s="61"/>
      <c r="G1285" s="61"/>
      <c r="H1285" s="61"/>
      <c r="I1285" s="81"/>
      <c r="J1285" s="81"/>
      <c r="K1285" s="60"/>
      <c r="L1285" s="60"/>
      <c r="M1285" s="60"/>
      <c r="N1285" s="60"/>
      <c r="O1285" s="60"/>
      <c r="P1285" s="60"/>
      <c r="Q1285" s="60"/>
      <c r="R1285" s="58"/>
      <c r="S1285" s="62" t="str">
        <f aca="false">IF(OR(B1285="",V1285=""),"",IFERROR(INDEX(C_TIPO,MATCH(V1285&amp;"-P"&amp;MAX(1,COUNTIFS(C_RUTN,V1285,C_DEF,"Sí",C_INI,"&lt;="&amp;EOMONTH(B1285,0))),C_CLAVE,0))&amp;"","Sin contrato"))</f>
        <v/>
      </c>
      <c r="T1285" s="63" t="str">
        <f aca="false">IF(OR(B1285="",N(O1285)=0),"",N(O1285)+ROUND(MIN(N(N1285),TOPE_UF*UF_MES)*(TASA_EMP+MUTUAL),0)+ROUND(MIN(N(N1285),TOPE_AFC_UF*UF_MES)*IF(S1285="Indefinido",AFC_INDEF,AFC_PF),0))</f>
        <v/>
      </c>
      <c r="U1285" s="62" t="str">
        <f aca="false">IF(C1285="","",IF(LEFT(D1285,1)="⚠","⚠ RUT no registrado en Trabajadores",IF(B1285="","⚠ Falta el mes",IF(OR(ISTEXT(I1285),ISTEXT(J1285)),"⚠ Atrasos u horas extra como texto: escriba hh:mm (ej. 1:30)",IF(AND(ISNUMBER(Q1285),COUNTIFS(M_RUTN,V1285,M_MES,B1285,M_LIQ,"&lt;&gt;")&gt;1),"⚠ Liquidación repetida en el mes",IF(AND(ISNUMBER(O1285),ISNUMBER(P1285),ISNUMBER(Q1285),ABS(O1285-P1285-Q1285)&gt;1),"⚠ Haberes − descuentos no da el líquido","OK"))))))</f>
        <v/>
      </c>
      <c r="V1285" s="62" t="str">
        <f aca="false">IF(C1285="","",IFERROR(VALUE(LEFT(UPPER(SUBSTITUTE(SUBSTITUTE(SUBSTITUTE(TRIM(C1285),".",""),"-","")," ","")),LEN(UPPER(SUBSTITUTE(SUBSTITUTE(SUBSTITUTE(TRIM(C1285),".",""),"-","")," ","")))-1))&amp;RIGHT(UPPER(SUBSTITUTE(SUBSTITUTE(SUBSTITUTE(TRIM(C1285),".",""),"-","")," ","")),1),UPPER(SUBSTITUTE(SUBSTITUTE(SUBSTITUTE(TRIM(C1285),".",""),"-","")," ",""))))</f>
        <v/>
      </c>
    </row>
    <row r="1286" customFormat="false" ht="15" hidden="false" customHeight="false" outlineLevel="0" collapsed="false">
      <c r="B1286" s="80"/>
      <c r="C1286" s="58"/>
      <c r="D1286" s="62" t="str">
        <f aca="false">IF(C1286="","",IFERROR(INDEX(T_NOMBRE,MATCH(V1286,T_RUTN,0)),"⚠ RUT no está en Trabajadores"))</f>
        <v/>
      </c>
      <c r="E1286" s="61"/>
      <c r="F1286" s="61"/>
      <c r="G1286" s="61"/>
      <c r="H1286" s="61"/>
      <c r="I1286" s="81"/>
      <c r="J1286" s="81"/>
      <c r="K1286" s="60"/>
      <c r="L1286" s="60"/>
      <c r="M1286" s="60"/>
      <c r="N1286" s="60"/>
      <c r="O1286" s="60"/>
      <c r="P1286" s="60"/>
      <c r="Q1286" s="60"/>
      <c r="R1286" s="58"/>
      <c r="S1286" s="62" t="str">
        <f aca="false">IF(OR(B1286="",V1286=""),"",IFERROR(INDEX(C_TIPO,MATCH(V1286&amp;"-P"&amp;MAX(1,COUNTIFS(C_RUTN,V1286,C_DEF,"Sí",C_INI,"&lt;="&amp;EOMONTH(B1286,0))),C_CLAVE,0))&amp;"","Sin contrato"))</f>
        <v/>
      </c>
      <c r="T1286" s="63" t="str">
        <f aca="false">IF(OR(B1286="",N(O1286)=0),"",N(O1286)+ROUND(MIN(N(N1286),TOPE_UF*UF_MES)*(TASA_EMP+MUTUAL),0)+ROUND(MIN(N(N1286),TOPE_AFC_UF*UF_MES)*IF(S1286="Indefinido",AFC_INDEF,AFC_PF),0))</f>
        <v/>
      </c>
      <c r="U1286" s="62" t="str">
        <f aca="false">IF(C1286="","",IF(LEFT(D1286,1)="⚠","⚠ RUT no registrado en Trabajadores",IF(B1286="","⚠ Falta el mes",IF(OR(ISTEXT(I1286),ISTEXT(J1286)),"⚠ Atrasos u horas extra como texto: escriba hh:mm (ej. 1:30)",IF(AND(ISNUMBER(Q1286),COUNTIFS(M_RUTN,V1286,M_MES,B1286,M_LIQ,"&lt;&gt;")&gt;1),"⚠ Liquidación repetida en el mes",IF(AND(ISNUMBER(O1286),ISNUMBER(P1286),ISNUMBER(Q1286),ABS(O1286-P1286-Q1286)&gt;1),"⚠ Haberes − descuentos no da el líquido","OK"))))))</f>
        <v/>
      </c>
      <c r="V1286" s="62" t="str">
        <f aca="false">IF(C1286="","",IFERROR(VALUE(LEFT(UPPER(SUBSTITUTE(SUBSTITUTE(SUBSTITUTE(TRIM(C1286),".",""),"-","")," ","")),LEN(UPPER(SUBSTITUTE(SUBSTITUTE(SUBSTITUTE(TRIM(C1286),".",""),"-","")," ","")))-1))&amp;RIGHT(UPPER(SUBSTITUTE(SUBSTITUTE(SUBSTITUTE(TRIM(C1286),".",""),"-","")," ","")),1),UPPER(SUBSTITUTE(SUBSTITUTE(SUBSTITUTE(TRIM(C1286),".",""),"-","")," ",""))))</f>
        <v/>
      </c>
    </row>
    <row r="1287" customFormat="false" ht="15" hidden="false" customHeight="false" outlineLevel="0" collapsed="false">
      <c r="B1287" s="80"/>
      <c r="C1287" s="58"/>
      <c r="D1287" s="62" t="str">
        <f aca="false">IF(C1287="","",IFERROR(INDEX(T_NOMBRE,MATCH(V1287,T_RUTN,0)),"⚠ RUT no está en Trabajadores"))</f>
        <v/>
      </c>
      <c r="E1287" s="61"/>
      <c r="F1287" s="61"/>
      <c r="G1287" s="61"/>
      <c r="H1287" s="61"/>
      <c r="I1287" s="81"/>
      <c r="J1287" s="81"/>
      <c r="K1287" s="60"/>
      <c r="L1287" s="60"/>
      <c r="M1287" s="60"/>
      <c r="N1287" s="60"/>
      <c r="O1287" s="60"/>
      <c r="P1287" s="60"/>
      <c r="Q1287" s="60"/>
      <c r="R1287" s="58"/>
      <c r="S1287" s="62" t="str">
        <f aca="false">IF(OR(B1287="",V1287=""),"",IFERROR(INDEX(C_TIPO,MATCH(V1287&amp;"-P"&amp;MAX(1,COUNTIFS(C_RUTN,V1287,C_DEF,"Sí",C_INI,"&lt;="&amp;EOMONTH(B1287,0))),C_CLAVE,0))&amp;"","Sin contrato"))</f>
        <v/>
      </c>
      <c r="T1287" s="63" t="str">
        <f aca="false">IF(OR(B1287="",N(O1287)=0),"",N(O1287)+ROUND(MIN(N(N1287),TOPE_UF*UF_MES)*(TASA_EMP+MUTUAL),0)+ROUND(MIN(N(N1287),TOPE_AFC_UF*UF_MES)*IF(S1287="Indefinido",AFC_INDEF,AFC_PF),0))</f>
        <v/>
      </c>
      <c r="U1287" s="62" t="str">
        <f aca="false">IF(C1287="","",IF(LEFT(D1287,1)="⚠","⚠ RUT no registrado en Trabajadores",IF(B1287="","⚠ Falta el mes",IF(OR(ISTEXT(I1287),ISTEXT(J1287)),"⚠ Atrasos u horas extra como texto: escriba hh:mm (ej. 1:30)",IF(AND(ISNUMBER(Q1287),COUNTIFS(M_RUTN,V1287,M_MES,B1287,M_LIQ,"&lt;&gt;")&gt;1),"⚠ Liquidación repetida en el mes",IF(AND(ISNUMBER(O1287),ISNUMBER(P1287),ISNUMBER(Q1287),ABS(O1287-P1287-Q1287)&gt;1),"⚠ Haberes − descuentos no da el líquido","OK"))))))</f>
        <v/>
      </c>
      <c r="V1287" s="62" t="str">
        <f aca="false">IF(C1287="","",IFERROR(VALUE(LEFT(UPPER(SUBSTITUTE(SUBSTITUTE(SUBSTITUTE(TRIM(C1287),".",""),"-","")," ","")),LEN(UPPER(SUBSTITUTE(SUBSTITUTE(SUBSTITUTE(TRIM(C1287),".",""),"-","")," ","")))-1))&amp;RIGHT(UPPER(SUBSTITUTE(SUBSTITUTE(SUBSTITUTE(TRIM(C1287),".",""),"-","")," ","")),1),UPPER(SUBSTITUTE(SUBSTITUTE(SUBSTITUTE(TRIM(C1287),".",""),"-","")," ",""))))</f>
        <v/>
      </c>
    </row>
    <row r="1288" customFormat="false" ht="15" hidden="false" customHeight="false" outlineLevel="0" collapsed="false">
      <c r="B1288" s="80"/>
      <c r="C1288" s="58"/>
      <c r="D1288" s="62" t="str">
        <f aca="false">IF(C1288="","",IFERROR(INDEX(T_NOMBRE,MATCH(V1288,T_RUTN,0)),"⚠ RUT no está en Trabajadores"))</f>
        <v/>
      </c>
      <c r="E1288" s="61"/>
      <c r="F1288" s="61"/>
      <c r="G1288" s="61"/>
      <c r="H1288" s="61"/>
      <c r="I1288" s="81"/>
      <c r="J1288" s="81"/>
      <c r="K1288" s="60"/>
      <c r="L1288" s="60"/>
      <c r="M1288" s="60"/>
      <c r="N1288" s="60"/>
      <c r="O1288" s="60"/>
      <c r="P1288" s="60"/>
      <c r="Q1288" s="60"/>
      <c r="R1288" s="58"/>
      <c r="S1288" s="62" t="str">
        <f aca="false">IF(OR(B1288="",V1288=""),"",IFERROR(INDEX(C_TIPO,MATCH(V1288&amp;"-P"&amp;MAX(1,COUNTIFS(C_RUTN,V1288,C_DEF,"Sí",C_INI,"&lt;="&amp;EOMONTH(B1288,0))),C_CLAVE,0))&amp;"","Sin contrato"))</f>
        <v/>
      </c>
      <c r="T1288" s="63" t="str">
        <f aca="false">IF(OR(B1288="",N(O1288)=0),"",N(O1288)+ROUND(MIN(N(N1288),TOPE_UF*UF_MES)*(TASA_EMP+MUTUAL),0)+ROUND(MIN(N(N1288),TOPE_AFC_UF*UF_MES)*IF(S1288="Indefinido",AFC_INDEF,AFC_PF),0))</f>
        <v/>
      </c>
      <c r="U1288" s="62" t="str">
        <f aca="false">IF(C1288="","",IF(LEFT(D1288,1)="⚠","⚠ RUT no registrado en Trabajadores",IF(B1288="","⚠ Falta el mes",IF(OR(ISTEXT(I1288),ISTEXT(J1288)),"⚠ Atrasos u horas extra como texto: escriba hh:mm (ej. 1:30)",IF(AND(ISNUMBER(Q1288),COUNTIFS(M_RUTN,V1288,M_MES,B1288,M_LIQ,"&lt;&gt;")&gt;1),"⚠ Liquidación repetida en el mes",IF(AND(ISNUMBER(O1288),ISNUMBER(P1288),ISNUMBER(Q1288),ABS(O1288-P1288-Q1288)&gt;1),"⚠ Haberes − descuentos no da el líquido","OK"))))))</f>
        <v/>
      </c>
      <c r="V1288" s="62" t="str">
        <f aca="false">IF(C1288="","",IFERROR(VALUE(LEFT(UPPER(SUBSTITUTE(SUBSTITUTE(SUBSTITUTE(TRIM(C1288),".",""),"-","")," ","")),LEN(UPPER(SUBSTITUTE(SUBSTITUTE(SUBSTITUTE(TRIM(C1288),".",""),"-","")," ","")))-1))&amp;RIGHT(UPPER(SUBSTITUTE(SUBSTITUTE(SUBSTITUTE(TRIM(C1288),".",""),"-","")," ","")),1),UPPER(SUBSTITUTE(SUBSTITUTE(SUBSTITUTE(TRIM(C1288),".",""),"-","")," ",""))))</f>
        <v/>
      </c>
    </row>
    <row r="1289" customFormat="false" ht="15" hidden="false" customHeight="false" outlineLevel="0" collapsed="false">
      <c r="B1289" s="80"/>
      <c r="C1289" s="58"/>
      <c r="D1289" s="62" t="str">
        <f aca="false">IF(C1289="","",IFERROR(INDEX(T_NOMBRE,MATCH(V1289,T_RUTN,0)),"⚠ RUT no está en Trabajadores"))</f>
        <v/>
      </c>
      <c r="E1289" s="61"/>
      <c r="F1289" s="61"/>
      <c r="G1289" s="61"/>
      <c r="H1289" s="61"/>
      <c r="I1289" s="81"/>
      <c r="J1289" s="81"/>
      <c r="K1289" s="60"/>
      <c r="L1289" s="60"/>
      <c r="M1289" s="60"/>
      <c r="N1289" s="60"/>
      <c r="O1289" s="60"/>
      <c r="P1289" s="60"/>
      <c r="Q1289" s="60"/>
      <c r="R1289" s="58"/>
      <c r="S1289" s="62" t="str">
        <f aca="false">IF(OR(B1289="",V1289=""),"",IFERROR(INDEX(C_TIPO,MATCH(V1289&amp;"-P"&amp;MAX(1,COUNTIFS(C_RUTN,V1289,C_DEF,"Sí",C_INI,"&lt;="&amp;EOMONTH(B1289,0))),C_CLAVE,0))&amp;"","Sin contrato"))</f>
        <v/>
      </c>
      <c r="T1289" s="63" t="str">
        <f aca="false">IF(OR(B1289="",N(O1289)=0),"",N(O1289)+ROUND(MIN(N(N1289),TOPE_UF*UF_MES)*(TASA_EMP+MUTUAL),0)+ROUND(MIN(N(N1289),TOPE_AFC_UF*UF_MES)*IF(S1289="Indefinido",AFC_INDEF,AFC_PF),0))</f>
        <v/>
      </c>
      <c r="U1289" s="62" t="str">
        <f aca="false">IF(C1289="","",IF(LEFT(D1289,1)="⚠","⚠ RUT no registrado en Trabajadores",IF(B1289="","⚠ Falta el mes",IF(OR(ISTEXT(I1289),ISTEXT(J1289)),"⚠ Atrasos u horas extra como texto: escriba hh:mm (ej. 1:30)",IF(AND(ISNUMBER(Q1289),COUNTIFS(M_RUTN,V1289,M_MES,B1289,M_LIQ,"&lt;&gt;")&gt;1),"⚠ Liquidación repetida en el mes",IF(AND(ISNUMBER(O1289),ISNUMBER(P1289),ISNUMBER(Q1289),ABS(O1289-P1289-Q1289)&gt;1),"⚠ Haberes − descuentos no da el líquido","OK"))))))</f>
        <v/>
      </c>
      <c r="V1289" s="62" t="str">
        <f aca="false">IF(C1289="","",IFERROR(VALUE(LEFT(UPPER(SUBSTITUTE(SUBSTITUTE(SUBSTITUTE(TRIM(C1289),".",""),"-","")," ","")),LEN(UPPER(SUBSTITUTE(SUBSTITUTE(SUBSTITUTE(TRIM(C1289),".",""),"-","")," ","")))-1))&amp;RIGHT(UPPER(SUBSTITUTE(SUBSTITUTE(SUBSTITUTE(TRIM(C1289),".",""),"-","")," ","")),1),UPPER(SUBSTITUTE(SUBSTITUTE(SUBSTITUTE(TRIM(C1289),".",""),"-","")," ",""))))</f>
        <v/>
      </c>
    </row>
    <row r="1290" customFormat="false" ht="15" hidden="false" customHeight="false" outlineLevel="0" collapsed="false">
      <c r="B1290" s="80"/>
      <c r="C1290" s="58"/>
      <c r="D1290" s="62" t="str">
        <f aca="false">IF(C1290="","",IFERROR(INDEX(T_NOMBRE,MATCH(V1290,T_RUTN,0)),"⚠ RUT no está en Trabajadores"))</f>
        <v/>
      </c>
      <c r="E1290" s="61"/>
      <c r="F1290" s="61"/>
      <c r="G1290" s="61"/>
      <c r="H1290" s="61"/>
      <c r="I1290" s="81"/>
      <c r="J1290" s="81"/>
      <c r="K1290" s="60"/>
      <c r="L1290" s="60"/>
      <c r="M1290" s="60"/>
      <c r="N1290" s="60"/>
      <c r="O1290" s="60"/>
      <c r="P1290" s="60"/>
      <c r="Q1290" s="60"/>
      <c r="R1290" s="58"/>
      <c r="S1290" s="62" t="str">
        <f aca="false">IF(OR(B1290="",V1290=""),"",IFERROR(INDEX(C_TIPO,MATCH(V1290&amp;"-P"&amp;MAX(1,COUNTIFS(C_RUTN,V1290,C_DEF,"Sí",C_INI,"&lt;="&amp;EOMONTH(B1290,0))),C_CLAVE,0))&amp;"","Sin contrato"))</f>
        <v/>
      </c>
      <c r="T1290" s="63" t="str">
        <f aca="false">IF(OR(B1290="",N(O1290)=0),"",N(O1290)+ROUND(MIN(N(N1290),TOPE_UF*UF_MES)*(TASA_EMP+MUTUAL),0)+ROUND(MIN(N(N1290),TOPE_AFC_UF*UF_MES)*IF(S1290="Indefinido",AFC_INDEF,AFC_PF),0))</f>
        <v/>
      </c>
      <c r="U1290" s="62" t="str">
        <f aca="false">IF(C1290="","",IF(LEFT(D1290,1)="⚠","⚠ RUT no registrado en Trabajadores",IF(B1290="","⚠ Falta el mes",IF(OR(ISTEXT(I1290),ISTEXT(J1290)),"⚠ Atrasos u horas extra como texto: escriba hh:mm (ej. 1:30)",IF(AND(ISNUMBER(Q1290),COUNTIFS(M_RUTN,V1290,M_MES,B1290,M_LIQ,"&lt;&gt;")&gt;1),"⚠ Liquidación repetida en el mes",IF(AND(ISNUMBER(O1290),ISNUMBER(P1290),ISNUMBER(Q1290),ABS(O1290-P1290-Q1290)&gt;1),"⚠ Haberes − descuentos no da el líquido","OK"))))))</f>
        <v/>
      </c>
      <c r="V1290" s="62" t="str">
        <f aca="false">IF(C1290="","",IFERROR(VALUE(LEFT(UPPER(SUBSTITUTE(SUBSTITUTE(SUBSTITUTE(TRIM(C1290),".",""),"-","")," ","")),LEN(UPPER(SUBSTITUTE(SUBSTITUTE(SUBSTITUTE(TRIM(C1290),".",""),"-","")," ","")))-1))&amp;RIGHT(UPPER(SUBSTITUTE(SUBSTITUTE(SUBSTITUTE(TRIM(C1290),".",""),"-","")," ","")),1),UPPER(SUBSTITUTE(SUBSTITUTE(SUBSTITUTE(TRIM(C1290),".",""),"-","")," ",""))))</f>
        <v/>
      </c>
    </row>
    <row r="1291" customFormat="false" ht="15" hidden="false" customHeight="false" outlineLevel="0" collapsed="false">
      <c r="B1291" s="80"/>
      <c r="C1291" s="58"/>
      <c r="D1291" s="62" t="str">
        <f aca="false">IF(C1291="","",IFERROR(INDEX(T_NOMBRE,MATCH(V1291,T_RUTN,0)),"⚠ RUT no está en Trabajadores"))</f>
        <v/>
      </c>
      <c r="E1291" s="61"/>
      <c r="F1291" s="61"/>
      <c r="G1291" s="61"/>
      <c r="H1291" s="61"/>
      <c r="I1291" s="81"/>
      <c r="J1291" s="81"/>
      <c r="K1291" s="60"/>
      <c r="L1291" s="60"/>
      <c r="M1291" s="60"/>
      <c r="N1291" s="60"/>
      <c r="O1291" s="60"/>
      <c r="P1291" s="60"/>
      <c r="Q1291" s="60"/>
      <c r="R1291" s="58"/>
      <c r="S1291" s="62" t="str">
        <f aca="false">IF(OR(B1291="",V1291=""),"",IFERROR(INDEX(C_TIPO,MATCH(V1291&amp;"-P"&amp;MAX(1,COUNTIFS(C_RUTN,V1291,C_DEF,"Sí",C_INI,"&lt;="&amp;EOMONTH(B1291,0))),C_CLAVE,0))&amp;"","Sin contrato"))</f>
        <v/>
      </c>
      <c r="T1291" s="63" t="str">
        <f aca="false">IF(OR(B1291="",N(O1291)=0),"",N(O1291)+ROUND(MIN(N(N1291),TOPE_UF*UF_MES)*(TASA_EMP+MUTUAL),0)+ROUND(MIN(N(N1291),TOPE_AFC_UF*UF_MES)*IF(S1291="Indefinido",AFC_INDEF,AFC_PF),0))</f>
        <v/>
      </c>
      <c r="U1291" s="62" t="str">
        <f aca="false">IF(C1291="","",IF(LEFT(D1291,1)="⚠","⚠ RUT no registrado en Trabajadores",IF(B1291="","⚠ Falta el mes",IF(OR(ISTEXT(I1291),ISTEXT(J1291)),"⚠ Atrasos u horas extra como texto: escriba hh:mm (ej. 1:30)",IF(AND(ISNUMBER(Q1291),COUNTIFS(M_RUTN,V1291,M_MES,B1291,M_LIQ,"&lt;&gt;")&gt;1),"⚠ Liquidación repetida en el mes",IF(AND(ISNUMBER(O1291),ISNUMBER(P1291),ISNUMBER(Q1291),ABS(O1291-P1291-Q1291)&gt;1),"⚠ Haberes − descuentos no da el líquido","OK"))))))</f>
        <v/>
      </c>
      <c r="V1291" s="62" t="str">
        <f aca="false">IF(C1291="","",IFERROR(VALUE(LEFT(UPPER(SUBSTITUTE(SUBSTITUTE(SUBSTITUTE(TRIM(C1291),".",""),"-","")," ","")),LEN(UPPER(SUBSTITUTE(SUBSTITUTE(SUBSTITUTE(TRIM(C1291),".",""),"-","")," ","")))-1))&amp;RIGHT(UPPER(SUBSTITUTE(SUBSTITUTE(SUBSTITUTE(TRIM(C1291),".",""),"-","")," ","")),1),UPPER(SUBSTITUTE(SUBSTITUTE(SUBSTITUTE(TRIM(C1291),".",""),"-","")," ",""))))</f>
        <v/>
      </c>
    </row>
    <row r="1292" customFormat="false" ht="15" hidden="false" customHeight="false" outlineLevel="0" collapsed="false">
      <c r="B1292" s="80"/>
      <c r="C1292" s="58"/>
      <c r="D1292" s="62" t="str">
        <f aca="false">IF(C1292="","",IFERROR(INDEX(T_NOMBRE,MATCH(V1292,T_RUTN,0)),"⚠ RUT no está en Trabajadores"))</f>
        <v/>
      </c>
      <c r="E1292" s="61"/>
      <c r="F1292" s="61"/>
      <c r="G1292" s="61"/>
      <c r="H1292" s="61"/>
      <c r="I1292" s="81"/>
      <c r="J1292" s="81"/>
      <c r="K1292" s="60"/>
      <c r="L1292" s="60"/>
      <c r="M1292" s="60"/>
      <c r="N1292" s="60"/>
      <c r="O1292" s="60"/>
      <c r="P1292" s="60"/>
      <c r="Q1292" s="60"/>
      <c r="R1292" s="58"/>
      <c r="S1292" s="62" t="str">
        <f aca="false">IF(OR(B1292="",V1292=""),"",IFERROR(INDEX(C_TIPO,MATCH(V1292&amp;"-P"&amp;MAX(1,COUNTIFS(C_RUTN,V1292,C_DEF,"Sí",C_INI,"&lt;="&amp;EOMONTH(B1292,0))),C_CLAVE,0))&amp;"","Sin contrato"))</f>
        <v/>
      </c>
      <c r="T1292" s="63" t="str">
        <f aca="false">IF(OR(B1292="",N(O1292)=0),"",N(O1292)+ROUND(MIN(N(N1292),TOPE_UF*UF_MES)*(TASA_EMP+MUTUAL),0)+ROUND(MIN(N(N1292),TOPE_AFC_UF*UF_MES)*IF(S1292="Indefinido",AFC_INDEF,AFC_PF),0))</f>
        <v/>
      </c>
      <c r="U1292" s="62" t="str">
        <f aca="false">IF(C1292="","",IF(LEFT(D1292,1)="⚠","⚠ RUT no registrado en Trabajadores",IF(B1292="","⚠ Falta el mes",IF(OR(ISTEXT(I1292),ISTEXT(J1292)),"⚠ Atrasos u horas extra como texto: escriba hh:mm (ej. 1:30)",IF(AND(ISNUMBER(Q1292),COUNTIFS(M_RUTN,V1292,M_MES,B1292,M_LIQ,"&lt;&gt;")&gt;1),"⚠ Liquidación repetida en el mes",IF(AND(ISNUMBER(O1292),ISNUMBER(P1292),ISNUMBER(Q1292),ABS(O1292-P1292-Q1292)&gt;1),"⚠ Haberes − descuentos no da el líquido","OK"))))))</f>
        <v/>
      </c>
      <c r="V1292" s="62" t="str">
        <f aca="false">IF(C1292="","",IFERROR(VALUE(LEFT(UPPER(SUBSTITUTE(SUBSTITUTE(SUBSTITUTE(TRIM(C1292),".",""),"-","")," ","")),LEN(UPPER(SUBSTITUTE(SUBSTITUTE(SUBSTITUTE(TRIM(C1292),".",""),"-","")," ","")))-1))&amp;RIGHT(UPPER(SUBSTITUTE(SUBSTITUTE(SUBSTITUTE(TRIM(C1292),".",""),"-","")," ","")),1),UPPER(SUBSTITUTE(SUBSTITUTE(SUBSTITUTE(TRIM(C1292),".",""),"-","")," ",""))))</f>
        <v/>
      </c>
    </row>
    <row r="1293" customFormat="false" ht="15" hidden="false" customHeight="false" outlineLevel="0" collapsed="false">
      <c r="B1293" s="80"/>
      <c r="C1293" s="58"/>
      <c r="D1293" s="62" t="str">
        <f aca="false">IF(C1293="","",IFERROR(INDEX(T_NOMBRE,MATCH(V1293,T_RUTN,0)),"⚠ RUT no está en Trabajadores"))</f>
        <v/>
      </c>
      <c r="E1293" s="61"/>
      <c r="F1293" s="61"/>
      <c r="G1293" s="61"/>
      <c r="H1293" s="61"/>
      <c r="I1293" s="81"/>
      <c r="J1293" s="81"/>
      <c r="K1293" s="60"/>
      <c r="L1293" s="60"/>
      <c r="M1293" s="60"/>
      <c r="N1293" s="60"/>
      <c r="O1293" s="60"/>
      <c r="P1293" s="60"/>
      <c r="Q1293" s="60"/>
      <c r="R1293" s="58"/>
      <c r="S1293" s="62" t="str">
        <f aca="false">IF(OR(B1293="",V1293=""),"",IFERROR(INDEX(C_TIPO,MATCH(V1293&amp;"-P"&amp;MAX(1,COUNTIFS(C_RUTN,V1293,C_DEF,"Sí",C_INI,"&lt;="&amp;EOMONTH(B1293,0))),C_CLAVE,0))&amp;"","Sin contrato"))</f>
        <v/>
      </c>
      <c r="T1293" s="63" t="str">
        <f aca="false">IF(OR(B1293="",N(O1293)=0),"",N(O1293)+ROUND(MIN(N(N1293),TOPE_UF*UF_MES)*(TASA_EMP+MUTUAL),0)+ROUND(MIN(N(N1293),TOPE_AFC_UF*UF_MES)*IF(S1293="Indefinido",AFC_INDEF,AFC_PF),0))</f>
        <v/>
      </c>
      <c r="U1293" s="62" t="str">
        <f aca="false">IF(C1293="","",IF(LEFT(D1293,1)="⚠","⚠ RUT no registrado en Trabajadores",IF(B1293="","⚠ Falta el mes",IF(OR(ISTEXT(I1293),ISTEXT(J1293)),"⚠ Atrasos u horas extra como texto: escriba hh:mm (ej. 1:30)",IF(AND(ISNUMBER(Q1293),COUNTIFS(M_RUTN,V1293,M_MES,B1293,M_LIQ,"&lt;&gt;")&gt;1),"⚠ Liquidación repetida en el mes",IF(AND(ISNUMBER(O1293),ISNUMBER(P1293),ISNUMBER(Q1293),ABS(O1293-P1293-Q1293)&gt;1),"⚠ Haberes − descuentos no da el líquido","OK"))))))</f>
        <v/>
      </c>
      <c r="V1293" s="62" t="str">
        <f aca="false">IF(C1293="","",IFERROR(VALUE(LEFT(UPPER(SUBSTITUTE(SUBSTITUTE(SUBSTITUTE(TRIM(C1293),".",""),"-","")," ","")),LEN(UPPER(SUBSTITUTE(SUBSTITUTE(SUBSTITUTE(TRIM(C1293),".",""),"-","")," ","")))-1))&amp;RIGHT(UPPER(SUBSTITUTE(SUBSTITUTE(SUBSTITUTE(TRIM(C1293),".",""),"-","")," ","")),1),UPPER(SUBSTITUTE(SUBSTITUTE(SUBSTITUTE(TRIM(C1293),".",""),"-","")," ",""))))</f>
        <v/>
      </c>
    </row>
    <row r="1294" customFormat="false" ht="15" hidden="false" customHeight="false" outlineLevel="0" collapsed="false">
      <c r="B1294" s="80"/>
      <c r="C1294" s="58"/>
      <c r="D1294" s="62" t="str">
        <f aca="false">IF(C1294="","",IFERROR(INDEX(T_NOMBRE,MATCH(V1294,T_RUTN,0)),"⚠ RUT no está en Trabajadores"))</f>
        <v/>
      </c>
      <c r="E1294" s="61"/>
      <c r="F1294" s="61"/>
      <c r="G1294" s="61"/>
      <c r="H1294" s="61"/>
      <c r="I1294" s="81"/>
      <c r="J1294" s="81"/>
      <c r="K1294" s="60"/>
      <c r="L1294" s="60"/>
      <c r="M1294" s="60"/>
      <c r="N1294" s="60"/>
      <c r="O1294" s="60"/>
      <c r="P1294" s="60"/>
      <c r="Q1294" s="60"/>
      <c r="R1294" s="58"/>
      <c r="S1294" s="62" t="str">
        <f aca="false">IF(OR(B1294="",V1294=""),"",IFERROR(INDEX(C_TIPO,MATCH(V1294&amp;"-P"&amp;MAX(1,COUNTIFS(C_RUTN,V1294,C_DEF,"Sí",C_INI,"&lt;="&amp;EOMONTH(B1294,0))),C_CLAVE,0))&amp;"","Sin contrato"))</f>
        <v/>
      </c>
      <c r="T1294" s="63" t="str">
        <f aca="false">IF(OR(B1294="",N(O1294)=0),"",N(O1294)+ROUND(MIN(N(N1294),TOPE_UF*UF_MES)*(TASA_EMP+MUTUAL),0)+ROUND(MIN(N(N1294),TOPE_AFC_UF*UF_MES)*IF(S1294="Indefinido",AFC_INDEF,AFC_PF),0))</f>
        <v/>
      </c>
      <c r="U1294" s="62" t="str">
        <f aca="false">IF(C1294="","",IF(LEFT(D1294,1)="⚠","⚠ RUT no registrado en Trabajadores",IF(B1294="","⚠ Falta el mes",IF(OR(ISTEXT(I1294),ISTEXT(J1294)),"⚠ Atrasos u horas extra como texto: escriba hh:mm (ej. 1:30)",IF(AND(ISNUMBER(Q1294),COUNTIFS(M_RUTN,V1294,M_MES,B1294,M_LIQ,"&lt;&gt;")&gt;1),"⚠ Liquidación repetida en el mes",IF(AND(ISNUMBER(O1294),ISNUMBER(P1294),ISNUMBER(Q1294),ABS(O1294-P1294-Q1294)&gt;1),"⚠ Haberes − descuentos no da el líquido","OK"))))))</f>
        <v/>
      </c>
      <c r="V1294" s="62" t="str">
        <f aca="false">IF(C1294="","",IFERROR(VALUE(LEFT(UPPER(SUBSTITUTE(SUBSTITUTE(SUBSTITUTE(TRIM(C1294),".",""),"-","")," ","")),LEN(UPPER(SUBSTITUTE(SUBSTITUTE(SUBSTITUTE(TRIM(C1294),".",""),"-","")," ","")))-1))&amp;RIGHT(UPPER(SUBSTITUTE(SUBSTITUTE(SUBSTITUTE(TRIM(C1294),".",""),"-","")," ","")),1),UPPER(SUBSTITUTE(SUBSTITUTE(SUBSTITUTE(TRIM(C1294),".",""),"-","")," ",""))))</f>
        <v/>
      </c>
    </row>
    <row r="1295" customFormat="false" ht="15" hidden="false" customHeight="false" outlineLevel="0" collapsed="false">
      <c r="B1295" s="80"/>
      <c r="C1295" s="58"/>
      <c r="D1295" s="62" t="str">
        <f aca="false">IF(C1295="","",IFERROR(INDEX(T_NOMBRE,MATCH(V1295,T_RUTN,0)),"⚠ RUT no está en Trabajadores"))</f>
        <v/>
      </c>
      <c r="E1295" s="61"/>
      <c r="F1295" s="61"/>
      <c r="G1295" s="61"/>
      <c r="H1295" s="61"/>
      <c r="I1295" s="81"/>
      <c r="J1295" s="81"/>
      <c r="K1295" s="60"/>
      <c r="L1295" s="60"/>
      <c r="M1295" s="60"/>
      <c r="N1295" s="60"/>
      <c r="O1295" s="60"/>
      <c r="P1295" s="60"/>
      <c r="Q1295" s="60"/>
      <c r="R1295" s="58"/>
      <c r="S1295" s="62" t="str">
        <f aca="false">IF(OR(B1295="",V1295=""),"",IFERROR(INDEX(C_TIPO,MATCH(V1295&amp;"-P"&amp;MAX(1,COUNTIFS(C_RUTN,V1295,C_DEF,"Sí",C_INI,"&lt;="&amp;EOMONTH(B1295,0))),C_CLAVE,0))&amp;"","Sin contrato"))</f>
        <v/>
      </c>
      <c r="T1295" s="63" t="str">
        <f aca="false">IF(OR(B1295="",N(O1295)=0),"",N(O1295)+ROUND(MIN(N(N1295),TOPE_UF*UF_MES)*(TASA_EMP+MUTUAL),0)+ROUND(MIN(N(N1295),TOPE_AFC_UF*UF_MES)*IF(S1295="Indefinido",AFC_INDEF,AFC_PF),0))</f>
        <v/>
      </c>
      <c r="U1295" s="62" t="str">
        <f aca="false">IF(C1295="","",IF(LEFT(D1295,1)="⚠","⚠ RUT no registrado en Trabajadores",IF(B1295="","⚠ Falta el mes",IF(OR(ISTEXT(I1295),ISTEXT(J1295)),"⚠ Atrasos u horas extra como texto: escriba hh:mm (ej. 1:30)",IF(AND(ISNUMBER(Q1295),COUNTIFS(M_RUTN,V1295,M_MES,B1295,M_LIQ,"&lt;&gt;")&gt;1),"⚠ Liquidación repetida en el mes",IF(AND(ISNUMBER(O1295),ISNUMBER(P1295),ISNUMBER(Q1295),ABS(O1295-P1295-Q1295)&gt;1),"⚠ Haberes − descuentos no da el líquido","OK"))))))</f>
        <v/>
      </c>
      <c r="V1295" s="62" t="str">
        <f aca="false">IF(C1295="","",IFERROR(VALUE(LEFT(UPPER(SUBSTITUTE(SUBSTITUTE(SUBSTITUTE(TRIM(C1295),".",""),"-","")," ","")),LEN(UPPER(SUBSTITUTE(SUBSTITUTE(SUBSTITUTE(TRIM(C1295),".",""),"-","")," ","")))-1))&amp;RIGHT(UPPER(SUBSTITUTE(SUBSTITUTE(SUBSTITUTE(TRIM(C1295),".",""),"-","")," ","")),1),UPPER(SUBSTITUTE(SUBSTITUTE(SUBSTITUTE(TRIM(C1295),".",""),"-","")," ",""))))</f>
        <v/>
      </c>
    </row>
    <row r="1296" customFormat="false" ht="15" hidden="false" customHeight="false" outlineLevel="0" collapsed="false">
      <c r="B1296" s="80"/>
      <c r="C1296" s="58"/>
      <c r="D1296" s="62" t="str">
        <f aca="false">IF(C1296="","",IFERROR(INDEX(T_NOMBRE,MATCH(V1296,T_RUTN,0)),"⚠ RUT no está en Trabajadores"))</f>
        <v/>
      </c>
      <c r="E1296" s="61"/>
      <c r="F1296" s="61"/>
      <c r="G1296" s="61"/>
      <c r="H1296" s="61"/>
      <c r="I1296" s="81"/>
      <c r="J1296" s="81"/>
      <c r="K1296" s="60"/>
      <c r="L1296" s="60"/>
      <c r="M1296" s="60"/>
      <c r="N1296" s="60"/>
      <c r="O1296" s="60"/>
      <c r="P1296" s="60"/>
      <c r="Q1296" s="60"/>
      <c r="R1296" s="58"/>
      <c r="S1296" s="62" t="str">
        <f aca="false">IF(OR(B1296="",V1296=""),"",IFERROR(INDEX(C_TIPO,MATCH(V1296&amp;"-P"&amp;MAX(1,COUNTIFS(C_RUTN,V1296,C_DEF,"Sí",C_INI,"&lt;="&amp;EOMONTH(B1296,0))),C_CLAVE,0))&amp;"","Sin contrato"))</f>
        <v/>
      </c>
      <c r="T1296" s="63" t="str">
        <f aca="false">IF(OR(B1296="",N(O1296)=0),"",N(O1296)+ROUND(MIN(N(N1296),TOPE_UF*UF_MES)*(TASA_EMP+MUTUAL),0)+ROUND(MIN(N(N1296),TOPE_AFC_UF*UF_MES)*IF(S1296="Indefinido",AFC_INDEF,AFC_PF),0))</f>
        <v/>
      </c>
      <c r="U1296" s="62" t="str">
        <f aca="false">IF(C1296="","",IF(LEFT(D1296,1)="⚠","⚠ RUT no registrado en Trabajadores",IF(B1296="","⚠ Falta el mes",IF(OR(ISTEXT(I1296),ISTEXT(J1296)),"⚠ Atrasos u horas extra como texto: escriba hh:mm (ej. 1:30)",IF(AND(ISNUMBER(Q1296),COUNTIFS(M_RUTN,V1296,M_MES,B1296,M_LIQ,"&lt;&gt;")&gt;1),"⚠ Liquidación repetida en el mes",IF(AND(ISNUMBER(O1296),ISNUMBER(P1296),ISNUMBER(Q1296),ABS(O1296-P1296-Q1296)&gt;1),"⚠ Haberes − descuentos no da el líquido","OK"))))))</f>
        <v/>
      </c>
      <c r="V1296" s="62" t="str">
        <f aca="false">IF(C1296="","",IFERROR(VALUE(LEFT(UPPER(SUBSTITUTE(SUBSTITUTE(SUBSTITUTE(TRIM(C1296),".",""),"-","")," ","")),LEN(UPPER(SUBSTITUTE(SUBSTITUTE(SUBSTITUTE(TRIM(C1296),".",""),"-","")," ","")))-1))&amp;RIGHT(UPPER(SUBSTITUTE(SUBSTITUTE(SUBSTITUTE(TRIM(C1296),".",""),"-","")," ","")),1),UPPER(SUBSTITUTE(SUBSTITUTE(SUBSTITUTE(TRIM(C1296),".",""),"-","")," ",""))))</f>
        <v/>
      </c>
    </row>
    <row r="1297" customFormat="false" ht="15" hidden="false" customHeight="false" outlineLevel="0" collapsed="false">
      <c r="B1297" s="80"/>
      <c r="C1297" s="58"/>
      <c r="D1297" s="62" t="str">
        <f aca="false">IF(C1297="","",IFERROR(INDEX(T_NOMBRE,MATCH(V1297,T_RUTN,0)),"⚠ RUT no está en Trabajadores"))</f>
        <v/>
      </c>
      <c r="E1297" s="61"/>
      <c r="F1297" s="61"/>
      <c r="G1297" s="61"/>
      <c r="H1297" s="61"/>
      <c r="I1297" s="81"/>
      <c r="J1297" s="81"/>
      <c r="K1297" s="60"/>
      <c r="L1297" s="60"/>
      <c r="M1297" s="60"/>
      <c r="N1297" s="60"/>
      <c r="O1297" s="60"/>
      <c r="P1297" s="60"/>
      <c r="Q1297" s="60"/>
      <c r="R1297" s="58"/>
      <c r="S1297" s="62" t="str">
        <f aca="false">IF(OR(B1297="",V1297=""),"",IFERROR(INDEX(C_TIPO,MATCH(V1297&amp;"-P"&amp;MAX(1,COUNTIFS(C_RUTN,V1297,C_DEF,"Sí",C_INI,"&lt;="&amp;EOMONTH(B1297,0))),C_CLAVE,0))&amp;"","Sin contrato"))</f>
        <v/>
      </c>
      <c r="T1297" s="63" t="str">
        <f aca="false">IF(OR(B1297="",N(O1297)=0),"",N(O1297)+ROUND(MIN(N(N1297),TOPE_UF*UF_MES)*(TASA_EMP+MUTUAL),0)+ROUND(MIN(N(N1297),TOPE_AFC_UF*UF_MES)*IF(S1297="Indefinido",AFC_INDEF,AFC_PF),0))</f>
        <v/>
      </c>
      <c r="U1297" s="62" t="str">
        <f aca="false">IF(C1297="","",IF(LEFT(D1297,1)="⚠","⚠ RUT no registrado en Trabajadores",IF(B1297="","⚠ Falta el mes",IF(OR(ISTEXT(I1297),ISTEXT(J1297)),"⚠ Atrasos u horas extra como texto: escriba hh:mm (ej. 1:30)",IF(AND(ISNUMBER(Q1297),COUNTIFS(M_RUTN,V1297,M_MES,B1297,M_LIQ,"&lt;&gt;")&gt;1),"⚠ Liquidación repetida en el mes",IF(AND(ISNUMBER(O1297),ISNUMBER(P1297),ISNUMBER(Q1297),ABS(O1297-P1297-Q1297)&gt;1),"⚠ Haberes − descuentos no da el líquido","OK"))))))</f>
        <v/>
      </c>
      <c r="V1297" s="62" t="str">
        <f aca="false">IF(C1297="","",IFERROR(VALUE(LEFT(UPPER(SUBSTITUTE(SUBSTITUTE(SUBSTITUTE(TRIM(C1297),".",""),"-","")," ","")),LEN(UPPER(SUBSTITUTE(SUBSTITUTE(SUBSTITUTE(TRIM(C1297),".",""),"-","")," ","")))-1))&amp;RIGHT(UPPER(SUBSTITUTE(SUBSTITUTE(SUBSTITUTE(TRIM(C1297),".",""),"-","")," ","")),1),UPPER(SUBSTITUTE(SUBSTITUTE(SUBSTITUTE(TRIM(C1297),".",""),"-","")," ",""))))</f>
        <v/>
      </c>
    </row>
    <row r="1298" customFormat="false" ht="15" hidden="false" customHeight="false" outlineLevel="0" collapsed="false">
      <c r="B1298" s="80"/>
      <c r="C1298" s="58"/>
      <c r="D1298" s="62" t="str">
        <f aca="false">IF(C1298="","",IFERROR(INDEX(T_NOMBRE,MATCH(V1298,T_RUTN,0)),"⚠ RUT no está en Trabajadores"))</f>
        <v/>
      </c>
      <c r="E1298" s="61"/>
      <c r="F1298" s="61"/>
      <c r="G1298" s="61"/>
      <c r="H1298" s="61"/>
      <c r="I1298" s="81"/>
      <c r="J1298" s="81"/>
      <c r="K1298" s="60"/>
      <c r="L1298" s="60"/>
      <c r="M1298" s="60"/>
      <c r="N1298" s="60"/>
      <c r="O1298" s="60"/>
      <c r="P1298" s="60"/>
      <c r="Q1298" s="60"/>
      <c r="R1298" s="58"/>
      <c r="S1298" s="62" t="str">
        <f aca="false">IF(OR(B1298="",V1298=""),"",IFERROR(INDEX(C_TIPO,MATCH(V1298&amp;"-P"&amp;MAX(1,COUNTIFS(C_RUTN,V1298,C_DEF,"Sí",C_INI,"&lt;="&amp;EOMONTH(B1298,0))),C_CLAVE,0))&amp;"","Sin contrato"))</f>
        <v/>
      </c>
      <c r="T1298" s="63" t="str">
        <f aca="false">IF(OR(B1298="",N(O1298)=0),"",N(O1298)+ROUND(MIN(N(N1298),TOPE_UF*UF_MES)*(TASA_EMP+MUTUAL),0)+ROUND(MIN(N(N1298),TOPE_AFC_UF*UF_MES)*IF(S1298="Indefinido",AFC_INDEF,AFC_PF),0))</f>
        <v/>
      </c>
      <c r="U1298" s="62" t="str">
        <f aca="false">IF(C1298="","",IF(LEFT(D1298,1)="⚠","⚠ RUT no registrado en Trabajadores",IF(B1298="","⚠ Falta el mes",IF(OR(ISTEXT(I1298),ISTEXT(J1298)),"⚠ Atrasos u horas extra como texto: escriba hh:mm (ej. 1:30)",IF(AND(ISNUMBER(Q1298),COUNTIFS(M_RUTN,V1298,M_MES,B1298,M_LIQ,"&lt;&gt;")&gt;1),"⚠ Liquidación repetida en el mes",IF(AND(ISNUMBER(O1298),ISNUMBER(P1298),ISNUMBER(Q1298),ABS(O1298-P1298-Q1298)&gt;1),"⚠ Haberes − descuentos no da el líquido","OK"))))))</f>
        <v/>
      </c>
      <c r="V1298" s="62" t="str">
        <f aca="false">IF(C1298="","",IFERROR(VALUE(LEFT(UPPER(SUBSTITUTE(SUBSTITUTE(SUBSTITUTE(TRIM(C1298),".",""),"-","")," ","")),LEN(UPPER(SUBSTITUTE(SUBSTITUTE(SUBSTITUTE(TRIM(C1298),".",""),"-","")," ","")))-1))&amp;RIGHT(UPPER(SUBSTITUTE(SUBSTITUTE(SUBSTITUTE(TRIM(C1298),".",""),"-","")," ","")),1),UPPER(SUBSTITUTE(SUBSTITUTE(SUBSTITUTE(TRIM(C1298),".",""),"-","")," ",""))))</f>
        <v/>
      </c>
    </row>
    <row r="1299" customFormat="false" ht="15" hidden="false" customHeight="false" outlineLevel="0" collapsed="false">
      <c r="B1299" s="80"/>
      <c r="C1299" s="58"/>
      <c r="D1299" s="62" t="str">
        <f aca="false">IF(C1299="","",IFERROR(INDEX(T_NOMBRE,MATCH(V1299,T_RUTN,0)),"⚠ RUT no está en Trabajadores"))</f>
        <v/>
      </c>
      <c r="E1299" s="61"/>
      <c r="F1299" s="61"/>
      <c r="G1299" s="61"/>
      <c r="H1299" s="61"/>
      <c r="I1299" s="81"/>
      <c r="J1299" s="81"/>
      <c r="K1299" s="60"/>
      <c r="L1299" s="60"/>
      <c r="M1299" s="60"/>
      <c r="N1299" s="60"/>
      <c r="O1299" s="60"/>
      <c r="P1299" s="60"/>
      <c r="Q1299" s="60"/>
      <c r="R1299" s="58"/>
      <c r="S1299" s="62" t="str">
        <f aca="false">IF(OR(B1299="",V1299=""),"",IFERROR(INDEX(C_TIPO,MATCH(V1299&amp;"-P"&amp;MAX(1,COUNTIFS(C_RUTN,V1299,C_DEF,"Sí",C_INI,"&lt;="&amp;EOMONTH(B1299,0))),C_CLAVE,0))&amp;"","Sin contrato"))</f>
        <v/>
      </c>
      <c r="T1299" s="63" t="str">
        <f aca="false">IF(OR(B1299="",N(O1299)=0),"",N(O1299)+ROUND(MIN(N(N1299),TOPE_UF*UF_MES)*(TASA_EMP+MUTUAL),0)+ROUND(MIN(N(N1299),TOPE_AFC_UF*UF_MES)*IF(S1299="Indefinido",AFC_INDEF,AFC_PF),0))</f>
        <v/>
      </c>
      <c r="U1299" s="62" t="str">
        <f aca="false">IF(C1299="","",IF(LEFT(D1299,1)="⚠","⚠ RUT no registrado en Trabajadores",IF(B1299="","⚠ Falta el mes",IF(OR(ISTEXT(I1299),ISTEXT(J1299)),"⚠ Atrasos u horas extra como texto: escriba hh:mm (ej. 1:30)",IF(AND(ISNUMBER(Q1299),COUNTIFS(M_RUTN,V1299,M_MES,B1299,M_LIQ,"&lt;&gt;")&gt;1),"⚠ Liquidación repetida en el mes",IF(AND(ISNUMBER(O1299),ISNUMBER(P1299),ISNUMBER(Q1299),ABS(O1299-P1299-Q1299)&gt;1),"⚠ Haberes − descuentos no da el líquido","OK"))))))</f>
        <v/>
      </c>
      <c r="V1299" s="62" t="str">
        <f aca="false">IF(C1299="","",IFERROR(VALUE(LEFT(UPPER(SUBSTITUTE(SUBSTITUTE(SUBSTITUTE(TRIM(C1299),".",""),"-","")," ","")),LEN(UPPER(SUBSTITUTE(SUBSTITUTE(SUBSTITUTE(TRIM(C1299),".",""),"-","")," ","")))-1))&amp;RIGHT(UPPER(SUBSTITUTE(SUBSTITUTE(SUBSTITUTE(TRIM(C1299),".",""),"-","")," ","")),1),UPPER(SUBSTITUTE(SUBSTITUTE(SUBSTITUTE(TRIM(C1299),".",""),"-","")," ",""))))</f>
        <v/>
      </c>
    </row>
    <row r="1300" customFormat="false" ht="15" hidden="false" customHeight="false" outlineLevel="0" collapsed="false">
      <c r="B1300" s="80"/>
      <c r="C1300" s="58"/>
      <c r="D1300" s="62" t="str">
        <f aca="false">IF(C1300="","",IFERROR(INDEX(T_NOMBRE,MATCH(V1300,T_RUTN,0)),"⚠ RUT no está en Trabajadores"))</f>
        <v/>
      </c>
      <c r="E1300" s="61"/>
      <c r="F1300" s="61"/>
      <c r="G1300" s="61"/>
      <c r="H1300" s="61"/>
      <c r="I1300" s="81"/>
      <c r="J1300" s="81"/>
      <c r="K1300" s="60"/>
      <c r="L1300" s="60"/>
      <c r="M1300" s="60"/>
      <c r="N1300" s="60"/>
      <c r="O1300" s="60"/>
      <c r="P1300" s="60"/>
      <c r="Q1300" s="60"/>
      <c r="R1300" s="58"/>
      <c r="S1300" s="62" t="str">
        <f aca="false">IF(OR(B1300="",V1300=""),"",IFERROR(INDEX(C_TIPO,MATCH(V1300&amp;"-P"&amp;MAX(1,COUNTIFS(C_RUTN,V1300,C_DEF,"Sí",C_INI,"&lt;="&amp;EOMONTH(B1300,0))),C_CLAVE,0))&amp;"","Sin contrato"))</f>
        <v/>
      </c>
      <c r="T1300" s="63" t="str">
        <f aca="false">IF(OR(B1300="",N(O1300)=0),"",N(O1300)+ROUND(MIN(N(N1300),TOPE_UF*UF_MES)*(TASA_EMP+MUTUAL),0)+ROUND(MIN(N(N1300),TOPE_AFC_UF*UF_MES)*IF(S1300="Indefinido",AFC_INDEF,AFC_PF),0))</f>
        <v/>
      </c>
      <c r="U1300" s="62" t="str">
        <f aca="false">IF(C1300="","",IF(LEFT(D1300,1)="⚠","⚠ RUT no registrado en Trabajadores",IF(B1300="","⚠ Falta el mes",IF(OR(ISTEXT(I1300),ISTEXT(J1300)),"⚠ Atrasos u horas extra como texto: escriba hh:mm (ej. 1:30)",IF(AND(ISNUMBER(Q1300),COUNTIFS(M_RUTN,V1300,M_MES,B1300,M_LIQ,"&lt;&gt;")&gt;1),"⚠ Liquidación repetida en el mes",IF(AND(ISNUMBER(O1300),ISNUMBER(P1300),ISNUMBER(Q1300),ABS(O1300-P1300-Q1300)&gt;1),"⚠ Haberes − descuentos no da el líquido","OK"))))))</f>
        <v/>
      </c>
      <c r="V1300" s="62" t="str">
        <f aca="false">IF(C1300="","",IFERROR(VALUE(LEFT(UPPER(SUBSTITUTE(SUBSTITUTE(SUBSTITUTE(TRIM(C1300),".",""),"-","")," ","")),LEN(UPPER(SUBSTITUTE(SUBSTITUTE(SUBSTITUTE(TRIM(C1300),".",""),"-","")," ","")))-1))&amp;RIGHT(UPPER(SUBSTITUTE(SUBSTITUTE(SUBSTITUTE(TRIM(C1300),".",""),"-","")," ","")),1),UPPER(SUBSTITUTE(SUBSTITUTE(SUBSTITUTE(TRIM(C1300),".",""),"-","")," ",""))))</f>
        <v/>
      </c>
    </row>
    <row r="1301" customFormat="false" ht="15" hidden="false" customHeight="false" outlineLevel="0" collapsed="false">
      <c r="B1301" s="80"/>
      <c r="C1301" s="58"/>
      <c r="D1301" s="62" t="str">
        <f aca="false">IF(C1301="","",IFERROR(INDEX(T_NOMBRE,MATCH(V1301,T_RUTN,0)),"⚠ RUT no está en Trabajadores"))</f>
        <v/>
      </c>
      <c r="E1301" s="61"/>
      <c r="F1301" s="61"/>
      <c r="G1301" s="61"/>
      <c r="H1301" s="61"/>
      <c r="I1301" s="81"/>
      <c r="J1301" s="81"/>
      <c r="K1301" s="60"/>
      <c r="L1301" s="60"/>
      <c r="M1301" s="60"/>
      <c r="N1301" s="60"/>
      <c r="O1301" s="60"/>
      <c r="P1301" s="60"/>
      <c r="Q1301" s="60"/>
      <c r="R1301" s="58"/>
      <c r="S1301" s="62" t="str">
        <f aca="false">IF(OR(B1301="",V1301=""),"",IFERROR(INDEX(C_TIPO,MATCH(V1301&amp;"-P"&amp;MAX(1,COUNTIFS(C_RUTN,V1301,C_DEF,"Sí",C_INI,"&lt;="&amp;EOMONTH(B1301,0))),C_CLAVE,0))&amp;"","Sin contrato"))</f>
        <v/>
      </c>
      <c r="T1301" s="63" t="str">
        <f aca="false">IF(OR(B1301="",N(O1301)=0),"",N(O1301)+ROUND(MIN(N(N1301),TOPE_UF*UF_MES)*(TASA_EMP+MUTUAL),0)+ROUND(MIN(N(N1301),TOPE_AFC_UF*UF_MES)*IF(S1301="Indefinido",AFC_INDEF,AFC_PF),0))</f>
        <v/>
      </c>
      <c r="U1301" s="62" t="str">
        <f aca="false">IF(C1301="","",IF(LEFT(D1301,1)="⚠","⚠ RUT no registrado en Trabajadores",IF(B1301="","⚠ Falta el mes",IF(OR(ISTEXT(I1301),ISTEXT(J1301)),"⚠ Atrasos u horas extra como texto: escriba hh:mm (ej. 1:30)",IF(AND(ISNUMBER(Q1301),COUNTIFS(M_RUTN,V1301,M_MES,B1301,M_LIQ,"&lt;&gt;")&gt;1),"⚠ Liquidación repetida en el mes",IF(AND(ISNUMBER(O1301),ISNUMBER(P1301),ISNUMBER(Q1301),ABS(O1301-P1301-Q1301)&gt;1),"⚠ Haberes − descuentos no da el líquido","OK"))))))</f>
        <v/>
      </c>
      <c r="V1301" s="62" t="str">
        <f aca="false">IF(C1301="","",IFERROR(VALUE(LEFT(UPPER(SUBSTITUTE(SUBSTITUTE(SUBSTITUTE(TRIM(C1301),".",""),"-","")," ","")),LEN(UPPER(SUBSTITUTE(SUBSTITUTE(SUBSTITUTE(TRIM(C1301),".",""),"-","")," ","")))-1))&amp;RIGHT(UPPER(SUBSTITUTE(SUBSTITUTE(SUBSTITUTE(TRIM(C1301),".",""),"-","")," ","")),1),UPPER(SUBSTITUTE(SUBSTITUTE(SUBSTITUTE(TRIM(C1301),".",""),"-","")," ",""))))</f>
        <v/>
      </c>
    </row>
    <row r="1302" customFormat="false" ht="15" hidden="false" customHeight="false" outlineLevel="0" collapsed="false">
      <c r="B1302" s="80"/>
      <c r="C1302" s="58"/>
      <c r="D1302" s="62" t="str">
        <f aca="false">IF(C1302="","",IFERROR(INDEX(T_NOMBRE,MATCH(V1302,T_RUTN,0)),"⚠ RUT no está en Trabajadores"))</f>
        <v/>
      </c>
      <c r="E1302" s="61"/>
      <c r="F1302" s="61"/>
      <c r="G1302" s="61"/>
      <c r="H1302" s="61"/>
      <c r="I1302" s="81"/>
      <c r="J1302" s="81"/>
      <c r="K1302" s="60"/>
      <c r="L1302" s="60"/>
      <c r="M1302" s="60"/>
      <c r="N1302" s="60"/>
      <c r="O1302" s="60"/>
      <c r="P1302" s="60"/>
      <c r="Q1302" s="60"/>
      <c r="R1302" s="58"/>
      <c r="S1302" s="62" t="str">
        <f aca="false">IF(OR(B1302="",V1302=""),"",IFERROR(INDEX(C_TIPO,MATCH(V1302&amp;"-P"&amp;MAX(1,COUNTIFS(C_RUTN,V1302,C_DEF,"Sí",C_INI,"&lt;="&amp;EOMONTH(B1302,0))),C_CLAVE,0))&amp;"","Sin contrato"))</f>
        <v/>
      </c>
      <c r="T1302" s="63" t="str">
        <f aca="false">IF(OR(B1302="",N(O1302)=0),"",N(O1302)+ROUND(MIN(N(N1302),TOPE_UF*UF_MES)*(TASA_EMP+MUTUAL),0)+ROUND(MIN(N(N1302),TOPE_AFC_UF*UF_MES)*IF(S1302="Indefinido",AFC_INDEF,AFC_PF),0))</f>
        <v/>
      </c>
      <c r="U1302" s="62" t="str">
        <f aca="false">IF(C1302="","",IF(LEFT(D1302,1)="⚠","⚠ RUT no registrado en Trabajadores",IF(B1302="","⚠ Falta el mes",IF(OR(ISTEXT(I1302),ISTEXT(J1302)),"⚠ Atrasos u horas extra como texto: escriba hh:mm (ej. 1:30)",IF(AND(ISNUMBER(Q1302),COUNTIFS(M_RUTN,V1302,M_MES,B1302,M_LIQ,"&lt;&gt;")&gt;1),"⚠ Liquidación repetida en el mes",IF(AND(ISNUMBER(O1302),ISNUMBER(P1302),ISNUMBER(Q1302),ABS(O1302-P1302-Q1302)&gt;1),"⚠ Haberes − descuentos no da el líquido","OK"))))))</f>
        <v/>
      </c>
      <c r="V1302" s="62" t="str">
        <f aca="false">IF(C1302="","",IFERROR(VALUE(LEFT(UPPER(SUBSTITUTE(SUBSTITUTE(SUBSTITUTE(TRIM(C1302),".",""),"-","")," ","")),LEN(UPPER(SUBSTITUTE(SUBSTITUTE(SUBSTITUTE(TRIM(C1302),".",""),"-","")," ","")))-1))&amp;RIGHT(UPPER(SUBSTITUTE(SUBSTITUTE(SUBSTITUTE(TRIM(C1302),".",""),"-","")," ","")),1),UPPER(SUBSTITUTE(SUBSTITUTE(SUBSTITUTE(TRIM(C1302),".",""),"-","")," ",""))))</f>
        <v/>
      </c>
    </row>
    <row r="1303" customFormat="false" ht="15" hidden="false" customHeight="false" outlineLevel="0" collapsed="false">
      <c r="B1303" s="80"/>
      <c r="C1303" s="58"/>
      <c r="D1303" s="62" t="str">
        <f aca="false">IF(C1303="","",IFERROR(INDEX(T_NOMBRE,MATCH(V1303,T_RUTN,0)),"⚠ RUT no está en Trabajadores"))</f>
        <v/>
      </c>
      <c r="E1303" s="61"/>
      <c r="F1303" s="61"/>
      <c r="G1303" s="61"/>
      <c r="H1303" s="61"/>
      <c r="I1303" s="81"/>
      <c r="J1303" s="81"/>
      <c r="K1303" s="60"/>
      <c r="L1303" s="60"/>
      <c r="M1303" s="60"/>
      <c r="N1303" s="60"/>
      <c r="O1303" s="60"/>
      <c r="P1303" s="60"/>
      <c r="Q1303" s="60"/>
      <c r="R1303" s="58"/>
      <c r="S1303" s="62" t="str">
        <f aca="false">IF(OR(B1303="",V1303=""),"",IFERROR(INDEX(C_TIPO,MATCH(V1303&amp;"-P"&amp;MAX(1,COUNTIFS(C_RUTN,V1303,C_DEF,"Sí",C_INI,"&lt;="&amp;EOMONTH(B1303,0))),C_CLAVE,0))&amp;"","Sin contrato"))</f>
        <v/>
      </c>
      <c r="T1303" s="63" t="str">
        <f aca="false">IF(OR(B1303="",N(O1303)=0),"",N(O1303)+ROUND(MIN(N(N1303),TOPE_UF*UF_MES)*(TASA_EMP+MUTUAL),0)+ROUND(MIN(N(N1303),TOPE_AFC_UF*UF_MES)*IF(S1303="Indefinido",AFC_INDEF,AFC_PF),0))</f>
        <v/>
      </c>
      <c r="U1303" s="62" t="str">
        <f aca="false">IF(C1303="","",IF(LEFT(D1303,1)="⚠","⚠ RUT no registrado en Trabajadores",IF(B1303="","⚠ Falta el mes",IF(OR(ISTEXT(I1303),ISTEXT(J1303)),"⚠ Atrasos u horas extra como texto: escriba hh:mm (ej. 1:30)",IF(AND(ISNUMBER(Q1303),COUNTIFS(M_RUTN,V1303,M_MES,B1303,M_LIQ,"&lt;&gt;")&gt;1),"⚠ Liquidación repetida en el mes",IF(AND(ISNUMBER(O1303),ISNUMBER(P1303),ISNUMBER(Q1303),ABS(O1303-P1303-Q1303)&gt;1),"⚠ Haberes − descuentos no da el líquido","OK"))))))</f>
        <v/>
      </c>
      <c r="V1303" s="62" t="str">
        <f aca="false">IF(C1303="","",IFERROR(VALUE(LEFT(UPPER(SUBSTITUTE(SUBSTITUTE(SUBSTITUTE(TRIM(C1303),".",""),"-","")," ","")),LEN(UPPER(SUBSTITUTE(SUBSTITUTE(SUBSTITUTE(TRIM(C1303),".",""),"-","")," ","")))-1))&amp;RIGHT(UPPER(SUBSTITUTE(SUBSTITUTE(SUBSTITUTE(TRIM(C1303),".",""),"-","")," ","")),1),UPPER(SUBSTITUTE(SUBSTITUTE(SUBSTITUTE(TRIM(C1303),".",""),"-","")," ",""))))</f>
        <v/>
      </c>
    </row>
    <row r="1304" customFormat="false" ht="15" hidden="false" customHeight="false" outlineLevel="0" collapsed="false">
      <c r="B1304" s="80"/>
      <c r="C1304" s="58"/>
      <c r="D1304" s="62" t="str">
        <f aca="false">IF(C1304="","",IFERROR(INDEX(T_NOMBRE,MATCH(V1304,T_RUTN,0)),"⚠ RUT no está en Trabajadores"))</f>
        <v/>
      </c>
      <c r="E1304" s="61"/>
      <c r="F1304" s="61"/>
      <c r="G1304" s="61"/>
      <c r="H1304" s="61"/>
      <c r="I1304" s="81"/>
      <c r="J1304" s="81"/>
      <c r="K1304" s="60"/>
      <c r="L1304" s="60"/>
      <c r="M1304" s="60"/>
      <c r="N1304" s="60"/>
      <c r="O1304" s="60"/>
      <c r="P1304" s="60"/>
      <c r="Q1304" s="60"/>
      <c r="R1304" s="58"/>
      <c r="S1304" s="62" t="str">
        <f aca="false">IF(OR(B1304="",V1304=""),"",IFERROR(INDEX(C_TIPO,MATCH(V1304&amp;"-P"&amp;MAX(1,COUNTIFS(C_RUTN,V1304,C_DEF,"Sí",C_INI,"&lt;="&amp;EOMONTH(B1304,0))),C_CLAVE,0))&amp;"","Sin contrato"))</f>
        <v/>
      </c>
      <c r="T1304" s="63" t="str">
        <f aca="false">IF(OR(B1304="",N(O1304)=0),"",N(O1304)+ROUND(MIN(N(N1304),TOPE_UF*UF_MES)*(TASA_EMP+MUTUAL),0)+ROUND(MIN(N(N1304),TOPE_AFC_UF*UF_MES)*IF(S1304="Indefinido",AFC_INDEF,AFC_PF),0))</f>
        <v/>
      </c>
      <c r="U1304" s="62" t="str">
        <f aca="false">IF(C1304="","",IF(LEFT(D1304,1)="⚠","⚠ RUT no registrado en Trabajadores",IF(B1304="","⚠ Falta el mes",IF(OR(ISTEXT(I1304),ISTEXT(J1304)),"⚠ Atrasos u horas extra como texto: escriba hh:mm (ej. 1:30)",IF(AND(ISNUMBER(Q1304),COUNTIFS(M_RUTN,V1304,M_MES,B1304,M_LIQ,"&lt;&gt;")&gt;1),"⚠ Liquidación repetida en el mes",IF(AND(ISNUMBER(O1304),ISNUMBER(P1304),ISNUMBER(Q1304),ABS(O1304-P1304-Q1304)&gt;1),"⚠ Haberes − descuentos no da el líquido","OK"))))))</f>
        <v/>
      </c>
      <c r="V1304" s="62" t="str">
        <f aca="false">IF(C1304="","",IFERROR(VALUE(LEFT(UPPER(SUBSTITUTE(SUBSTITUTE(SUBSTITUTE(TRIM(C1304),".",""),"-","")," ","")),LEN(UPPER(SUBSTITUTE(SUBSTITUTE(SUBSTITUTE(TRIM(C1304),".",""),"-","")," ","")))-1))&amp;RIGHT(UPPER(SUBSTITUTE(SUBSTITUTE(SUBSTITUTE(TRIM(C1304),".",""),"-","")," ","")),1),UPPER(SUBSTITUTE(SUBSTITUTE(SUBSTITUTE(TRIM(C1304),".",""),"-","")," ",""))))</f>
        <v/>
      </c>
    </row>
    <row r="1305" customFormat="false" ht="15" hidden="false" customHeight="false" outlineLevel="0" collapsed="false">
      <c r="B1305" s="80"/>
      <c r="C1305" s="58"/>
      <c r="D1305" s="62" t="str">
        <f aca="false">IF(C1305="","",IFERROR(INDEX(T_NOMBRE,MATCH(V1305,T_RUTN,0)),"⚠ RUT no está en Trabajadores"))</f>
        <v/>
      </c>
      <c r="E1305" s="61"/>
      <c r="F1305" s="61"/>
      <c r="G1305" s="61"/>
      <c r="H1305" s="61"/>
      <c r="I1305" s="81"/>
      <c r="J1305" s="81"/>
      <c r="K1305" s="60"/>
      <c r="L1305" s="60"/>
      <c r="M1305" s="60"/>
      <c r="N1305" s="60"/>
      <c r="O1305" s="60"/>
      <c r="P1305" s="60"/>
      <c r="Q1305" s="60"/>
      <c r="R1305" s="58"/>
      <c r="S1305" s="62" t="str">
        <f aca="false">IF(OR(B1305="",V1305=""),"",IFERROR(INDEX(C_TIPO,MATCH(V1305&amp;"-P"&amp;MAX(1,COUNTIFS(C_RUTN,V1305,C_DEF,"Sí",C_INI,"&lt;="&amp;EOMONTH(B1305,0))),C_CLAVE,0))&amp;"","Sin contrato"))</f>
        <v/>
      </c>
      <c r="T1305" s="63" t="str">
        <f aca="false">IF(OR(B1305="",N(O1305)=0),"",N(O1305)+ROUND(MIN(N(N1305),TOPE_UF*UF_MES)*(TASA_EMP+MUTUAL),0)+ROUND(MIN(N(N1305),TOPE_AFC_UF*UF_MES)*IF(S1305="Indefinido",AFC_INDEF,AFC_PF),0))</f>
        <v/>
      </c>
      <c r="U1305" s="62" t="str">
        <f aca="false">IF(C1305="","",IF(LEFT(D1305,1)="⚠","⚠ RUT no registrado en Trabajadores",IF(B1305="","⚠ Falta el mes",IF(OR(ISTEXT(I1305),ISTEXT(J1305)),"⚠ Atrasos u horas extra como texto: escriba hh:mm (ej. 1:30)",IF(AND(ISNUMBER(Q1305),COUNTIFS(M_RUTN,V1305,M_MES,B1305,M_LIQ,"&lt;&gt;")&gt;1),"⚠ Liquidación repetida en el mes",IF(AND(ISNUMBER(O1305),ISNUMBER(P1305),ISNUMBER(Q1305),ABS(O1305-P1305-Q1305)&gt;1),"⚠ Haberes − descuentos no da el líquido","OK"))))))</f>
        <v/>
      </c>
      <c r="V1305" s="62" t="str">
        <f aca="false">IF(C1305="","",IFERROR(VALUE(LEFT(UPPER(SUBSTITUTE(SUBSTITUTE(SUBSTITUTE(TRIM(C1305),".",""),"-","")," ","")),LEN(UPPER(SUBSTITUTE(SUBSTITUTE(SUBSTITUTE(TRIM(C1305),".",""),"-","")," ","")))-1))&amp;RIGHT(UPPER(SUBSTITUTE(SUBSTITUTE(SUBSTITUTE(TRIM(C1305),".",""),"-","")," ","")),1),UPPER(SUBSTITUTE(SUBSTITUTE(SUBSTITUTE(TRIM(C1305),".",""),"-","")," ",""))))</f>
        <v/>
      </c>
    </row>
    <row r="1306" customFormat="false" ht="15" hidden="false" customHeight="false" outlineLevel="0" collapsed="false">
      <c r="B1306" s="80"/>
      <c r="C1306" s="58"/>
      <c r="D1306" s="62" t="str">
        <f aca="false">IF(C1306="","",IFERROR(INDEX(T_NOMBRE,MATCH(V1306,T_RUTN,0)),"⚠ RUT no está en Trabajadores"))</f>
        <v/>
      </c>
      <c r="E1306" s="61"/>
      <c r="F1306" s="61"/>
      <c r="G1306" s="61"/>
      <c r="H1306" s="61"/>
      <c r="I1306" s="81"/>
      <c r="J1306" s="81"/>
      <c r="K1306" s="60"/>
      <c r="L1306" s="60"/>
      <c r="M1306" s="60"/>
      <c r="N1306" s="60"/>
      <c r="O1306" s="60"/>
      <c r="P1306" s="60"/>
      <c r="Q1306" s="60"/>
      <c r="R1306" s="58"/>
      <c r="S1306" s="62" t="str">
        <f aca="false">IF(OR(B1306="",V1306=""),"",IFERROR(INDEX(C_TIPO,MATCH(V1306&amp;"-P"&amp;MAX(1,COUNTIFS(C_RUTN,V1306,C_DEF,"Sí",C_INI,"&lt;="&amp;EOMONTH(B1306,0))),C_CLAVE,0))&amp;"","Sin contrato"))</f>
        <v/>
      </c>
      <c r="T1306" s="63" t="str">
        <f aca="false">IF(OR(B1306="",N(O1306)=0),"",N(O1306)+ROUND(MIN(N(N1306),TOPE_UF*UF_MES)*(TASA_EMP+MUTUAL),0)+ROUND(MIN(N(N1306),TOPE_AFC_UF*UF_MES)*IF(S1306="Indefinido",AFC_INDEF,AFC_PF),0))</f>
        <v/>
      </c>
      <c r="U1306" s="62" t="str">
        <f aca="false">IF(C1306="","",IF(LEFT(D1306,1)="⚠","⚠ RUT no registrado en Trabajadores",IF(B1306="","⚠ Falta el mes",IF(OR(ISTEXT(I1306),ISTEXT(J1306)),"⚠ Atrasos u horas extra como texto: escriba hh:mm (ej. 1:30)",IF(AND(ISNUMBER(Q1306),COUNTIFS(M_RUTN,V1306,M_MES,B1306,M_LIQ,"&lt;&gt;")&gt;1),"⚠ Liquidación repetida en el mes",IF(AND(ISNUMBER(O1306),ISNUMBER(P1306),ISNUMBER(Q1306),ABS(O1306-P1306-Q1306)&gt;1),"⚠ Haberes − descuentos no da el líquido","OK"))))))</f>
        <v/>
      </c>
      <c r="V1306" s="62" t="str">
        <f aca="false">IF(C1306="","",IFERROR(VALUE(LEFT(UPPER(SUBSTITUTE(SUBSTITUTE(SUBSTITUTE(TRIM(C1306),".",""),"-","")," ","")),LEN(UPPER(SUBSTITUTE(SUBSTITUTE(SUBSTITUTE(TRIM(C1306),".",""),"-","")," ","")))-1))&amp;RIGHT(UPPER(SUBSTITUTE(SUBSTITUTE(SUBSTITUTE(TRIM(C1306),".",""),"-","")," ","")),1),UPPER(SUBSTITUTE(SUBSTITUTE(SUBSTITUTE(TRIM(C1306),".",""),"-","")," ",""))))</f>
        <v/>
      </c>
    </row>
    <row r="1307" customFormat="false" ht="15" hidden="false" customHeight="false" outlineLevel="0" collapsed="false">
      <c r="B1307" s="80"/>
      <c r="C1307" s="58"/>
      <c r="D1307" s="62" t="str">
        <f aca="false">IF(C1307="","",IFERROR(INDEX(T_NOMBRE,MATCH(V1307,T_RUTN,0)),"⚠ RUT no está en Trabajadores"))</f>
        <v/>
      </c>
      <c r="E1307" s="61"/>
      <c r="F1307" s="61"/>
      <c r="G1307" s="61"/>
      <c r="H1307" s="61"/>
      <c r="I1307" s="81"/>
      <c r="J1307" s="81"/>
      <c r="K1307" s="60"/>
      <c r="L1307" s="60"/>
      <c r="M1307" s="60"/>
      <c r="N1307" s="60"/>
      <c r="O1307" s="60"/>
      <c r="P1307" s="60"/>
      <c r="Q1307" s="60"/>
      <c r="R1307" s="58"/>
      <c r="S1307" s="62" t="str">
        <f aca="false">IF(OR(B1307="",V1307=""),"",IFERROR(INDEX(C_TIPO,MATCH(V1307&amp;"-P"&amp;MAX(1,COUNTIFS(C_RUTN,V1307,C_DEF,"Sí",C_INI,"&lt;="&amp;EOMONTH(B1307,0))),C_CLAVE,0))&amp;"","Sin contrato"))</f>
        <v/>
      </c>
      <c r="T1307" s="63" t="str">
        <f aca="false">IF(OR(B1307="",N(O1307)=0),"",N(O1307)+ROUND(MIN(N(N1307),TOPE_UF*UF_MES)*(TASA_EMP+MUTUAL),0)+ROUND(MIN(N(N1307),TOPE_AFC_UF*UF_MES)*IF(S1307="Indefinido",AFC_INDEF,AFC_PF),0))</f>
        <v/>
      </c>
      <c r="U1307" s="62" t="str">
        <f aca="false">IF(C1307="","",IF(LEFT(D1307,1)="⚠","⚠ RUT no registrado en Trabajadores",IF(B1307="","⚠ Falta el mes",IF(OR(ISTEXT(I1307),ISTEXT(J1307)),"⚠ Atrasos u horas extra como texto: escriba hh:mm (ej. 1:30)",IF(AND(ISNUMBER(Q1307),COUNTIFS(M_RUTN,V1307,M_MES,B1307,M_LIQ,"&lt;&gt;")&gt;1),"⚠ Liquidación repetida en el mes",IF(AND(ISNUMBER(O1307),ISNUMBER(P1307),ISNUMBER(Q1307),ABS(O1307-P1307-Q1307)&gt;1),"⚠ Haberes − descuentos no da el líquido","OK"))))))</f>
        <v/>
      </c>
      <c r="V1307" s="62" t="str">
        <f aca="false">IF(C1307="","",IFERROR(VALUE(LEFT(UPPER(SUBSTITUTE(SUBSTITUTE(SUBSTITUTE(TRIM(C1307),".",""),"-","")," ","")),LEN(UPPER(SUBSTITUTE(SUBSTITUTE(SUBSTITUTE(TRIM(C1307),".",""),"-","")," ","")))-1))&amp;RIGHT(UPPER(SUBSTITUTE(SUBSTITUTE(SUBSTITUTE(TRIM(C1307),".",""),"-","")," ","")),1),UPPER(SUBSTITUTE(SUBSTITUTE(SUBSTITUTE(TRIM(C1307),".",""),"-","")," ",""))))</f>
        <v/>
      </c>
    </row>
    <row r="1308" customFormat="false" ht="15" hidden="false" customHeight="false" outlineLevel="0" collapsed="false">
      <c r="B1308" s="80"/>
      <c r="C1308" s="58"/>
      <c r="D1308" s="62" t="str">
        <f aca="false">IF(C1308="","",IFERROR(INDEX(T_NOMBRE,MATCH(V1308,T_RUTN,0)),"⚠ RUT no está en Trabajadores"))</f>
        <v/>
      </c>
      <c r="E1308" s="61"/>
      <c r="F1308" s="61"/>
      <c r="G1308" s="61"/>
      <c r="H1308" s="61"/>
      <c r="I1308" s="81"/>
      <c r="J1308" s="81"/>
      <c r="K1308" s="60"/>
      <c r="L1308" s="60"/>
      <c r="M1308" s="60"/>
      <c r="N1308" s="60"/>
      <c r="O1308" s="60"/>
      <c r="P1308" s="60"/>
      <c r="Q1308" s="60"/>
      <c r="R1308" s="58"/>
      <c r="S1308" s="62" t="str">
        <f aca="false">IF(OR(B1308="",V1308=""),"",IFERROR(INDEX(C_TIPO,MATCH(V1308&amp;"-P"&amp;MAX(1,COUNTIFS(C_RUTN,V1308,C_DEF,"Sí",C_INI,"&lt;="&amp;EOMONTH(B1308,0))),C_CLAVE,0))&amp;"","Sin contrato"))</f>
        <v/>
      </c>
      <c r="T1308" s="63" t="str">
        <f aca="false">IF(OR(B1308="",N(O1308)=0),"",N(O1308)+ROUND(MIN(N(N1308),TOPE_UF*UF_MES)*(TASA_EMP+MUTUAL),0)+ROUND(MIN(N(N1308),TOPE_AFC_UF*UF_MES)*IF(S1308="Indefinido",AFC_INDEF,AFC_PF),0))</f>
        <v/>
      </c>
      <c r="U1308" s="62" t="str">
        <f aca="false">IF(C1308="","",IF(LEFT(D1308,1)="⚠","⚠ RUT no registrado en Trabajadores",IF(B1308="","⚠ Falta el mes",IF(OR(ISTEXT(I1308),ISTEXT(J1308)),"⚠ Atrasos u horas extra como texto: escriba hh:mm (ej. 1:30)",IF(AND(ISNUMBER(Q1308),COUNTIFS(M_RUTN,V1308,M_MES,B1308,M_LIQ,"&lt;&gt;")&gt;1),"⚠ Liquidación repetida en el mes",IF(AND(ISNUMBER(O1308),ISNUMBER(P1308),ISNUMBER(Q1308),ABS(O1308-P1308-Q1308)&gt;1),"⚠ Haberes − descuentos no da el líquido","OK"))))))</f>
        <v/>
      </c>
      <c r="V1308" s="62" t="str">
        <f aca="false">IF(C1308="","",IFERROR(VALUE(LEFT(UPPER(SUBSTITUTE(SUBSTITUTE(SUBSTITUTE(TRIM(C1308),".",""),"-","")," ","")),LEN(UPPER(SUBSTITUTE(SUBSTITUTE(SUBSTITUTE(TRIM(C1308),".",""),"-","")," ","")))-1))&amp;RIGHT(UPPER(SUBSTITUTE(SUBSTITUTE(SUBSTITUTE(TRIM(C1308),".",""),"-","")," ","")),1),UPPER(SUBSTITUTE(SUBSTITUTE(SUBSTITUTE(TRIM(C1308),".",""),"-","")," ",""))))</f>
        <v/>
      </c>
    </row>
    <row r="1309" customFormat="false" ht="15" hidden="false" customHeight="false" outlineLevel="0" collapsed="false">
      <c r="B1309" s="80"/>
      <c r="C1309" s="58"/>
      <c r="D1309" s="62" t="str">
        <f aca="false">IF(C1309="","",IFERROR(INDEX(T_NOMBRE,MATCH(V1309,T_RUTN,0)),"⚠ RUT no está en Trabajadores"))</f>
        <v/>
      </c>
      <c r="E1309" s="61"/>
      <c r="F1309" s="61"/>
      <c r="G1309" s="61"/>
      <c r="H1309" s="61"/>
      <c r="I1309" s="81"/>
      <c r="J1309" s="81"/>
      <c r="K1309" s="60"/>
      <c r="L1309" s="60"/>
      <c r="M1309" s="60"/>
      <c r="N1309" s="60"/>
      <c r="O1309" s="60"/>
      <c r="P1309" s="60"/>
      <c r="Q1309" s="60"/>
      <c r="R1309" s="58"/>
      <c r="S1309" s="62" t="str">
        <f aca="false">IF(OR(B1309="",V1309=""),"",IFERROR(INDEX(C_TIPO,MATCH(V1309&amp;"-P"&amp;MAX(1,COUNTIFS(C_RUTN,V1309,C_DEF,"Sí",C_INI,"&lt;="&amp;EOMONTH(B1309,0))),C_CLAVE,0))&amp;"","Sin contrato"))</f>
        <v/>
      </c>
      <c r="T1309" s="63" t="str">
        <f aca="false">IF(OR(B1309="",N(O1309)=0),"",N(O1309)+ROUND(MIN(N(N1309),TOPE_UF*UF_MES)*(TASA_EMP+MUTUAL),0)+ROUND(MIN(N(N1309),TOPE_AFC_UF*UF_MES)*IF(S1309="Indefinido",AFC_INDEF,AFC_PF),0))</f>
        <v/>
      </c>
      <c r="U1309" s="62" t="str">
        <f aca="false">IF(C1309="","",IF(LEFT(D1309,1)="⚠","⚠ RUT no registrado en Trabajadores",IF(B1309="","⚠ Falta el mes",IF(OR(ISTEXT(I1309),ISTEXT(J1309)),"⚠ Atrasos u horas extra como texto: escriba hh:mm (ej. 1:30)",IF(AND(ISNUMBER(Q1309),COUNTIFS(M_RUTN,V1309,M_MES,B1309,M_LIQ,"&lt;&gt;")&gt;1),"⚠ Liquidación repetida en el mes",IF(AND(ISNUMBER(O1309),ISNUMBER(P1309),ISNUMBER(Q1309),ABS(O1309-P1309-Q1309)&gt;1),"⚠ Haberes − descuentos no da el líquido","OK"))))))</f>
        <v/>
      </c>
      <c r="V1309" s="62" t="str">
        <f aca="false">IF(C1309="","",IFERROR(VALUE(LEFT(UPPER(SUBSTITUTE(SUBSTITUTE(SUBSTITUTE(TRIM(C1309),".",""),"-","")," ","")),LEN(UPPER(SUBSTITUTE(SUBSTITUTE(SUBSTITUTE(TRIM(C1309),".",""),"-","")," ","")))-1))&amp;RIGHT(UPPER(SUBSTITUTE(SUBSTITUTE(SUBSTITUTE(TRIM(C1309),".",""),"-","")," ","")),1),UPPER(SUBSTITUTE(SUBSTITUTE(SUBSTITUTE(TRIM(C1309),".",""),"-","")," ",""))))</f>
        <v/>
      </c>
    </row>
    <row r="1310" customFormat="false" ht="15" hidden="false" customHeight="false" outlineLevel="0" collapsed="false">
      <c r="B1310" s="80"/>
      <c r="C1310" s="58"/>
      <c r="D1310" s="62" t="str">
        <f aca="false">IF(C1310="","",IFERROR(INDEX(T_NOMBRE,MATCH(V1310,T_RUTN,0)),"⚠ RUT no está en Trabajadores"))</f>
        <v/>
      </c>
      <c r="E1310" s="61"/>
      <c r="F1310" s="61"/>
      <c r="G1310" s="61"/>
      <c r="H1310" s="61"/>
      <c r="I1310" s="81"/>
      <c r="J1310" s="81"/>
      <c r="K1310" s="60"/>
      <c r="L1310" s="60"/>
      <c r="M1310" s="60"/>
      <c r="N1310" s="60"/>
      <c r="O1310" s="60"/>
      <c r="P1310" s="60"/>
      <c r="Q1310" s="60"/>
      <c r="R1310" s="58"/>
      <c r="S1310" s="62" t="str">
        <f aca="false">IF(OR(B1310="",V1310=""),"",IFERROR(INDEX(C_TIPO,MATCH(V1310&amp;"-P"&amp;MAX(1,COUNTIFS(C_RUTN,V1310,C_DEF,"Sí",C_INI,"&lt;="&amp;EOMONTH(B1310,0))),C_CLAVE,0))&amp;"","Sin contrato"))</f>
        <v/>
      </c>
      <c r="T1310" s="63" t="str">
        <f aca="false">IF(OR(B1310="",N(O1310)=0),"",N(O1310)+ROUND(MIN(N(N1310),TOPE_UF*UF_MES)*(TASA_EMP+MUTUAL),0)+ROUND(MIN(N(N1310),TOPE_AFC_UF*UF_MES)*IF(S1310="Indefinido",AFC_INDEF,AFC_PF),0))</f>
        <v/>
      </c>
      <c r="U1310" s="62" t="str">
        <f aca="false">IF(C1310="","",IF(LEFT(D1310,1)="⚠","⚠ RUT no registrado en Trabajadores",IF(B1310="","⚠ Falta el mes",IF(OR(ISTEXT(I1310),ISTEXT(J1310)),"⚠ Atrasos u horas extra como texto: escriba hh:mm (ej. 1:30)",IF(AND(ISNUMBER(Q1310),COUNTIFS(M_RUTN,V1310,M_MES,B1310,M_LIQ,"&lt;&gt;")&gt;1),"⚠ Liquidación repetida en el mes",IF(AND(ISNUMBER(O1310),ISNUMBER(P1310),ISNUMBER(Q1310),ABS(O1310-P1310-Q1310)&gt;1),"⚠ Haberes − descuentos no da el líquido","OK"))))))</f>
        <v/>
      </c>
      <c r="V1310" s="62" t="str">
        <f aca="false">IF(C1310="","",IFERROR(VALUE(LEFT(UPPER(SUBSTITUTE(SUBSTITUTE(SUBSTITUTE(TRIM(C1310),".",""),"-","")," ","")),LEN(UPPER(SUBSTITUTE(SUBSTITUTE(SUBSTITUTE(TRIM(C1310),".",""),"-","")," ","")))-1))&amp;RIGHT(UPPER(SUBSTITUTE(SUBSTITUTE(SUBSTITUTE(TRIM(C1310),".",""),"-","")," ","")),1),UPPER(SUBSTITUTE(SUBSTITUTE(SUBSTITUTE(TRIM(C1310),".",""),"-","")," ",""))))</f>
        <v/>
      </c>
    </row>
    <row r="1311" customFormat="false" ht="15" hidden="false" customHeight="false" outlineLevel="0" collapsed="false">
      <c r="B1311" s="80"/>
      <c r="C1311" s="58"/>
      <c r="D1311" s="62" t="str">
        <f aca="false">IF(C1311="","",IFERROR(INDEX(T_NOMBRE,MATCH(V1311,T_RUTN,0)),"⚠ RUT no está en Trabajadores"))</f>
        <v/>
      </c>
      <c r="E1311" s="61"/>
      <c r="F1311" s="61"/>
      <c r="G1311" s="61"/>
      <c r="H1311" s="61"/>
      <c r="I1311" s="81"/>
      <c r="J1311" s="81"/>
      <c r="K1311" s="60"/>
      <c r="L1311" s="60"/>
      <c r="M1311" s="60"/>
      <c r="N1311" s="60"/>
      <c r="O1311" s="60"/>
      <c r="P1311" s="60"/>
      <c r="Q1311" s="60"/>
      <c r="R1311" s="58"/>
      <c r="S1311" s="62" t="str">
        <f aca="false">IF(OR(B1311="",V1311=""),"",IFERROR(INDEX(C_TIPO,MATCH(V1311&amp;"-P"&amp;MAX(1,COUNTIFS(C_RUTN,V1311,C_DEF,"Sí",C_INI,"&lt;="&amp;EOMONTH(B1311,0))),C_CLAVE,0))&amp;"","Sin contrato"))</f>
        <v/>
      </c>
      <c r="T1311" s="63" t="str">
        <f aca="false">IF(OR(B1311="",N(O1311)=0),"",N(O1311)+ROUND(MIN(N(N1311),TOPE_UF*UF_MES)*(TASA_EMP+MUTUAL),0)+ROUND(MIN(N(N1311),TOPE_AFC_UF*UF_MES)*IF(S1311="Indefinido",AFC_INDEF,AFC_PF),0))</f>
        <v/>
      </c>
      <c r="U1311" s="62" t="str">
        <f aca="false">IF(C1311="","",IF(LEFT(D1311,1)="⚠","⚠ RUT no registrado en Trabajadores",IF(B1311="","⚠ Falta el mes",IF(OR(ISTEXT(I1311),ISTEXT(J1311)),"⚠ Atrasos u horas extra como texto: escriba hh:mm (ej. 1:30)",IF(AND(ISNUMBER(Q1311),COUNTIFS(M_RUTN,V1311,M_MES,B1311,M_LIQ,"&lt;&gt;")&gt;1),"⚠ Liquidación repetida en el mes",IF(AND(ISNUMBER(O1311),ISNUMBER(P1311),ISNUMBER(Q1311),ABS(O1311-P1311-Q1311)&gt;1),"⚠ Haberes − descuentos no da el líquido","OK"))))))</f>
        <v/>
      </c>
      <c r="V1311" s="62" t="str">
        <f aca="false">IF(C1311="","",IFERROR(VALUE(LEFT(UPPER(SUBSTITUTE(SUBSTITUTE(SUBSTITUTE(TRIM(C1311),".",""),"-","")," ","")),LEN(UPPER(SUBSTITUTE(SUBSTITUTE(SUBSTITUTE(TRIM(C1311),".",""),"-","")," ","")))-1))&amp;RIGHT(UPPER(SUBSTITUTE(SUBSTITUTE(SUBSTITUTE(TRIM(C1311),".",""),"-","")," ","")),1),UPPER(SUBSTITUTE(SUBSTITUTE(SUBSTITUTE(TRIM(C1311),".",""),"-","")," ",""))))</f>
        <v/>
      </c>
    </row>
    <row r="1312" customFormat="false" ht="15" hidden="false" customHeight="false" outlineLevel="0" collapsed="false">
      <c r="B1312" s="80"/>
      <c r="C1312" s="58"/>
      <c r="D1312" s="62" t="str">
        <f aca="false">IF(C1312="","",IFERROR(INDEX(T_NOMBRE,MATCH(V1312,T_RUTN,0)),"⚠ RUT no está en Trabajadores"))</f>
        <v/>
      </c>
      <c r="E1312" s="61"/>
      <c r="F1312" s="61"/>
      <c r="G1312" s="61"/>
      <c r="H1312" s="61"/>
      <c r="I1312" s="81"/>
      <c r="J1312" s="81"/>
      <c r="K1312" s="60"/>
      <c r="L1312" s="60"/>
      <c r="M1312" s="60"/>
      <c r="N1312" s="60"/>
      <c r="O1312" s="60"/>
      <c r="P1312" s="60"/>
      <c r="Q1312" s="60"/>
      <c r="R1312" s="58"/>
      <c r="S1312" s="62" t="str">
        <f aca="false">IF(OR(B1312="",V1312=""),"",IFERROR(INDEX(C_TIPO,MATCH(V1312&amp;"-P"&amp;MAX(1,COUNTIFS(C_RUTN,V1312,C_DEF,"Sí",C_INI,"&lt;="&amp;EOMONTH(B1312,0))),C_CLAVE,0))&amp;"","Sin contrato"))</f>
        <v/>
      </c>
      <c r="T1312" s="63" t="str">
        <f aca="false">IF(OR(B1312="",N(O1312)=0),"",N(O1312)+ROUND(MIN(N(N1312),TOPE_UF*UF_MES)*(TASA_EMP+MUTUAL),0)+ROUND(MIN(N(N1312),TOPE_AFC_UF*UF_MES)*IF(S1312="Indefinido",AFC_INDEF,AFC_PF),0))</f>
        <v/>
      </c>
      <c r="U1312" s="62" t="str">
        <f aca="false">IF(C1312="","",IF(LEFT(D1312,1)="⚠","⚠ RUT no registrado en Trabajadores",IF(B1312="","⚠ Falta el mes",IF(OR(ISTEXT(I1312),ISTEXT(J1312)),"⚠ Atrasos u horas extra como texto: escriba hh:mm (ej. 1:30)",IF(AND(ISNUMBER(Q1312),COUNTIFS(M_RUTN,V1312,M_MES,B1312,M_LIQ,"&lt;&gt;")&gt;1),"⚠ Liquidación repetida en el mes",IF(AND(ISNUMBER(O1312),ISNUMBER(P1312),ISNUMBER(Q1312),ABS(O1312-P1312-Q1312)&gt;1),"⚠ Haberes − descuentos no da el líquido","OK"))))))</f>
        <v/>
      </c>
      <c r="V1312" s="62" t="str">
        <f aca="false">IF(C1312="","",IFERROR(VALUE(LEFT(UPPER(SUBSTITUTE(SUBSTITUTE(SUBSTITUTE(TRIM(C1312),".",""),"-","")," ","")),LEN(UPPER(SUBSTITUTE(SUBSTITUTE(SUBSTITUTE(TRIM(C1312),".",""),"-","")," ","")))-1))&amp;RIGHT(UPPER(SUBSTITUTE(SUBSTITUTE(SUBSTITUTE(TRIM(C1312),".",""),"-","")," ","")),1),UPPER(SUBSTITUTE(SUBSTITUTE(SUBSTITUTE(TRIM(C1312),".",""),"-","")," ",""))))</f>
        <v/>
      </c>
    </row>
    <row r="1313" customFormat="false" ht="15" hidden="false" customHeight="false" outlineLevel="0" collapsed="false">
      <c r="B1313" s="80"/>
      <c r="C1313" s="58"/>
      <c r="D1313" s="62" t="str">
        <f aca="false">IF(C1313="","",IFERROR(INDEX(T_NOMBRE,MATCH(V1313,T_RUTN,0)),"⚠ RUT no está en Trabajadores"))</f>
        <v/>
      </c>
      <c r="E1313" s="61"/>
      <c r="F1313" s="61"/>
      <c r="G1313" s="61"/>
      <c r="H1313" s="61"/>
      <c r="I1313" s="81"/>
      <c r="J1313" s="81"/>
      <c r="K1313" s="60"/>
      <c r="L1313" s="60"/>
      <c r="M1313" s="60"/>
      <c r="N1313" s="60"/>
      <c r="O1313" s="60"/>
      <c r="P1313" s="60"/>
      <c r="Q1313" s="60"/>
      <c r="R1313" s="58"/>
      <c r="S1313" s="62" t="str">
        <f aca="false">IF(OR(B1313="",V1313=""),"",IFERROR(INDEX(C_TIPO,MATCH(V1313&amp;"-P"&amp;MAX(1,COUNTIFS(C_RUTN,V1313,C_DEF,"Sí",C_INI,"&lt;="&amp;EOMONTH(B1313,0))),C_CLAVE,0))&amp;"","Sin contrato"))</f>
        <v/>
      </c>
      <c r="T1313" s="63" t="str">
        <f aca="false">IF(OR(B1313="",N(O1313)=0),"",N(O1313)+ROUND(MIN(N(N1313),TOPE_UF*UF_MES)*(TASA_EMP+MUTUAL),0)+ROUND(MIN(N(N1313),TOPE_AFC_UF*UF_MES)*IF(S1313="Indefinido",AFC_INDEF,AFC_PF),0))</f>
        <v/>
      </c>
      <c r="U1313" s="62" t="str">
        <f aca="false">IF(C1313="","",IF(LEFT(D1313,1)="⚠","⚠ RUT no registrado en Trabajadores",IF(B1313="","⚠ Falta el mes",IF(OR(ISTEXT(I1313),ISTEXT(J1313)),"⚠ Atrasos u horas extra como texto: escriba hh:mm (ej. 1:30)",IF(AND(ISNUMBER(Q1313),COUNTIFS(M_RUTN,V1313,M_MES,B1313,M_LIQ,"&lt;&gt;")&gt;1),"⚠ Liquidación repetida en el mes",IF(AND(ISNUMBER(O1313),ISNUMBER(P1313),ISNUMBER(Q1313),ABS(O1313-P1313-Q1313)&gt;1),"⚠ Haberes − descuentos no da el líquido","OK"))))))</f>
        <v/>
      </c>
      <c r="V1313" s="62" t="str">
        <f aca="false">IF(C1313="","",IFERROR(VALUE(LEFT(UPPER(SUBSTITUTE(SUBSTITUTE(SUBSTITUTE(TRIM(C1313),".",""),"-","")," ","")),LEN(UPPER(SUBSTITUTE(SUBSTITUTE(SUBSTITUTE(TRIM(C1313),".",""),"-","")," ","")))-1))&amp;RIGHT(UPPER(SUBSTITUTE(SUBSTITUTE(SUBSTITUTE(TRIM(C1313),".",""),"-","")," ","")),1),UPPER(SUBSTITUTE(SUBSTITUTE(SUBSTITUTE(TRIM(C1313),".",""),"-","")," ",""))))</f>
        <v/>
      </c>
    </row>
    <row r="1314" customFormat="false" ht="15" hidden="false" customHeight="false" outlineLevel="0" collapsed="false">
      <c r="B1314" s="80"/>
      <c r="C1314" s="58"/>
      <c r="D1314" s="62" t="str">
        <f aca="false">IF(C1314="","",IFERROR(INDEX(T_NOMBRE,MATCH(V1314,T_RUTN,0)),"⚠ RUT no está en Trabajadores"))</f>
        <v/>
      </c>
      <c r="E1314" s="61"/>
      <c r="F1314" s="61"/>
      <c r="G1314" s="61"/>
      <c r="H1314" s="61"/>
      <c r="I1314" s="81"/>
      <c r="J1314" s="81"/>
      <c r="K1314" s="60"/>
      <c r="L1314" s="60"/>
      <c r="M1314" s="60"/>
      <c r="N1314" s="60"/>
      <c r="O1314" s="60"/>
      <c r="P1314" s="60"/>
      <c r="Q1314" s="60"/>
      <c r="R1314" s="58"/>
      <c r="S1314" s="62" t="str">
        <f aca="false">IF(OR(B1314="",V1314=""),"",IFERROR(INDEX(C_TIPO,MATCH(V1314&amp;"-P"&amp;MAX(1,COUNTIFS(C_RUTN,V1314,C_DEF,"Sí",C_INI,"&lt;="&amp;EOMONTH(B1314,0))),C_CLAVE,0))&amp;"","Sin contrato"))</f>
        <v/>
      </c>
      <c r="T1314" s="63" t="str">
        <f aca="false">IF(OR(B1314="",N(O1314)=0),"",N(O1314)+ROUND(MIN(N(N1314),TOPE_UF*UF_MES)*(TASA_EMP+MUTUAL),0)+ROUND(MIN(N(N1314),TOPE_AFC_UF*UF_MES)*IF(S1314="Indefinido",AFC_INDEF,AFC_PF),0))</f>
        <v/>
      </c>
      <c r="U1314" s="62" t="str">
        <f aca="false">IF(C1314="","",IF(LEFT(D1314,1)="⚠","⚠ RUT no registrado en Trabajadores",IF(B1314="","⚠ Falta el mes",IF(OR(ISTEXT(I1314),ISTEXT(J1314)),"⚠ Atrasos u horas extra como texto: escriba hh:mm (ej. 1:30)",IF(AND(ISNUMBER(Q1314),COUNTIFS(M_RUTN,V1314,M_MES,B1314,M_LIQ,"&lt;&gt;")&gt;1),"⚠ Liquidación repetida en el mes",IF(AND(ISNUMBER(O1314),ISNUMBER(P1314),ISNUMBER(Q1314),ABS(O1314-P1314-Q1314)&gt;1),"⚠ Haberes − descuentos no da el líquido","OK"))))))</f>
        <v/>
      </c>
      <c r="V1314" s="62" t="str">
        <f aca="false">IF(C1314="","",IFERROR(VALUE(LEFT(UPPER(SUBSTITUTE(SUBSTITUTE(SUBSTITUTE(TRIM(C1314),".",""),"-","")," ","")),LEN(UPPER(SUBSTITUTE(SUBSTITUTE(SUBSTITUTE(TRIM(C1314),".",""),"-","")," ","")))-1))&amp;RIGHT(UPPER(SUBSTITUTE(SUBSTITUTE(SUBSTITUTE(TRIM(C1314),".",""),"-","")," ","")),1),UPPER(SUBSTITUTE(SUBSTITUTE(SUBSTITUTE(TRIM(C1314),".",""),"-","")," ",""))))</f>
        <v/>
      </c>
    </row>
    <row r="1315" customFormat="false" ht="15" hidden="false" customHeight="false" outlineLevel="0" collapsed="false">
      <c r="B1315" s="80"/>
      <c r="C1315" s="58"/>
      <c r="D1315" s="62" t="str">
        <f aca="false">IF(C1315="","",IFERROR(INDEX(T_NOMBRE,MATCH(V1315,T_RUTN,0)),"⚠ RUT no está en Trabajadores"))</f>
        <v/>
      </c>
      <c r="E1315" s="61"/>
      <c r="F1315" s="61"/>
      <c r="G1315" s="61"/>
      <c r="H1315" s="61"/>
      <c r="I1315" s="81"/>
      <c r="J1315" s="81"/>
      <c r="K1315" s="60"/>
      <c r="L1315" s="60"/>
      <c r="M1315" s="60"/>
      <c r="N1315" s="60"/>
      <c r="O1315" s="60"/>
      <c r="P1315" s="60"/>
      <c r="Q1315" s="60"/>
      <c r="R1315" s="58"/>
      <c r="S1315" s="62" t="str">
        <f aca="false">IF(OR(B1315="",V1315=""),"",IFERROR(INDEX(C_TIPO,MATCH(V1315&amp;"-P"&amp;MAX(1,COUNTIFS(C_RUTN,V1315,C_DEF,"Sí",C_INI,"&lt;="&amp;EOMONTH(B1315,0))),C_CLAVE,0))&amp;"","Sin contrato"))</f>
        <v/>
      </c>
      <c r="T1315" s="63" t="str">
        <f aca="false">IF(OR(B1315="",N(O1315)=0),"",N(O1315)+ROUND(MIN(N(N1315),TOPE_UF*UF_MES)*(TASA_EMP+MUTUAL),0)+ROUND(MIN(N(N1315),TOPE_AFC_UF*UF_MES)*IF(S1315="Indefinido",AFC_INDEF,AFC_PF),0))</f>
        <v/>
      </c>
      <c r="U1315" s="62" t="str">
        <f aca="false">IF(C1315="","",IF(LEFT(D1315,1)="⚠","⚠ RUT no registrado en Trabajadores",IF(B1315="","⚠ Falta el mes",IF(OR(ISTEXT(I1315),ISTEXT(J1315)),"⚠ Atrasos u horas extra como texto: escriba hh:mm (ej. 1:30)",IF(AND(ISNUMBER(Q1315),COUNTIFS(M_RUTN,V1315,M_MES,B1315,M_LIQ,"&lt;&gt;")&gt;1),"⚠ Liquidación repetida en el mes",IF(AND(ISNUMBER(O1315),ISNUMBER(P1315),ISNUMBER(Q1315),ABS(O1315-P1315-Q1315)&gt;1),"⚠ Haberes − descuentos no da el líquido","OK"))))))</f>
        <v/>
      </c>
      <c r="V1315" s="62" t="str">
        <f aca="false">IF(C1315="","",IFERROR(VALUE(LEFT(UPPER(SUBSTITUTE(SUBSTITUTE(SUBSTITUTE(TRIM(C1315),".",""),"-","")," ","")),LEN(UPPER(SUBSTITUTE(SUBSTITUTE(SUBSTITUTE(TRIM(C1315),".",""),"-","")," ","")))-1))&amp;RIGHT(UPPER(SUBSTITUTE(SUBSTITUTE(SUBSTITUTE(TRIM(C1315),".",""),"-","")," ","")),1),UPPER(SUBSTITUTE(SUBSTITUTE(SUBSTITUTE(TRIM(C1315),".",""),"-","")," ",""))))</f>
        <v/>
      </c>
    </row>
    <row r="1316" customFormat="false" ht="15" hidden="false" customHeight="false" outlineLevel="0" collapsed="false">
      <c r="B1316" s="80"/>
      <c r="C1316" s="58"/>
      <c r="D1316" s="62" t="str">
        <f aca="false">IF(C1316="","",IFERROR(INDEX(T_NOMBRE,MATCH(V1316,T_RUTN,0)),"⚠ RUT no está en Trabajadores"))</f>
        <v/>
      </c>
      <c r="E1316" s="61"/>
      <c r="F1316" s="61"/>
      <c r="G1316" s="61"/>
      <c r="H1316" s="61"/>
      <c r="I1316" s="81"/>
      <c r="J1316" s="81"/>
      <c r="K1316" s="60"/>
      <c r="L1316" s="60"/>
      <c r="M1316" s="60"/>
      <c r="N1316" s="60"/>
      <c r="O1316" s="60"/>
      <c r="P1316" s="60"/>
      <c r="Q1316" s="60"/>
      <c r="R1316" s="58"/>
      <c r="S1316" s="62" t="str">
        <f aca="false">IF(OR(B1316="",V1316=""),"",IFERROR(INDEX(C_TIPO,MATCH(V1316&amp;"-P"&amp;MAX(1,COUNTIFS(C_RUTN,V1316,C_DEF,"Sí",C_INI,"&lt;="&amp;EOMONTH(B1316,0))),C_CLAVE,0))&amp;"","Sin contrato"))</f>
        <v/>
      </c>
      <c r="T1316" s="63" t="str">
        <f aca="false">IF(OR(B1316="",N(O1316)=0),"",N(O1316)+ROUND(MIN(N(N1316),TOPE_UF*UF_MES)*(TASA_EMP+MUTUAL),0)+ROUND(MIN(N(N1316),TOPE_AFC_UF*UF_MES)*IF(S1316="Indefinido",AFC_INDEF,AFC_PF),0))</f>
        <v/>
      </c>
      <c r="U1316" s="62" t="str">
        <f aca="false">IF(C1316="","",IF(LEFT(D1316,1)="⚠","⚠ RUT no registrado en Trabajadores",IF(B1316="","⚠ Falta el mes",IF(OR(ISTEXT(I1316),ISTEXT(J1316)),"⚠ Atrasos u horas extra como texto: escriba hh:mm (ej. 1:30)",IF(AND(ISNUMBER(Q1316),COUNTIFS(M_RUTN,V1316,M_MES,B1316,M_LIQ,"&lt;&gt;")&gt;1),"⚠ Liquidación repetida en el mes",IF(AND(ISNUMBER(O1316),ISNUMBER(P1316),ISNUMBER(Q1316),ABS(O1316-P1316-Q1316)&gt;1),"⚠ Haberes − descuentos no da el líquido","OK"))))))</f>
        <v/>
      </c>
      <c r="V1316" s="62" t="str">
        <f aca="false">IF(C1316="","",IFERROR(VALUE(LEFT(UPPER(SUBSTITUTE(SUBSTITUTE(SUBSTITUTE(TRIM(C1316),".",""),"-","")," ","")),LEN(UPPER(SUBSTITUTE(SUBSTITUTE(SUBSTITUTE(TRIM(C1316),".",""),"-","")," ","")))-1))&amp;RIGHT(UPPER(SUBSTITUTE(SUBSTITUTE(SUBSTITUTE(TRIM(C1316),".",""),"-","")," ","")),1),UPPER(SUBSTITUTE(SUBSTITUTE(SUBSTITUTE(TRIM(C1316),".",""),"-","")," ",""))))</f>
        <v/>
      </c>
    </row>
    <row r="1317" customFormat="false" ht="15" hidden="false" customHeight="false" outlineLevel="0" collapsed="false">
      <c r="B1317" s="80"/>
      <c r="C1317" s="58"/>
      <c r="D1317" s="62" t="str">
        <f aca="false">IF(C1317="","",IFERROR(INDEX(T_NOMBRE,MATCH(V1317,T_RUTN,0)),"⚠ RUT no está en Trabajadores"))</f>
        <v/>
      </c>
      <c r="E1317" s="61"/>
      <c r="F1317" s="61"/>
      <c r="G1317" s="61"/>
      <c r="H1317" s="61"/>
      <c r="I1317" s="81"/>
      <c r="J1317" s="81"/>
      <c r="K1317" s="60"/>
      <c r="L1317" s="60"/>
      <c r="M1317" s="60"/>
      <c r="N1317" s="60"/>
      <c r="O1317" s="60"/>
      <c r="P1317" s="60"/>
      <c r="Q1317" s="60"/>
      <c r="R1317" s="58"/>
      <c r="S1317" s="62" t="str">
        <f aca="false">IF(OR(B1317="",V1317=""),"",IFERROR(INDEX(C_TIPO,MATCH(V1317&amp;"-P"&amp;MAX(1,COUNTIFS(C_RUTN,V1317,C_DEF,"Sí",C_INI,"&lt;="&amp;EOMONTH(B1317,0))),C_CLAVE,0))&amp;"","Sin contrato"))</f>
        <v/>
      </c>
      <c r="T1317" s="63" t="str">
        <f aca="false">IF(OR(B1317="",N(O1317)=0),"",N(O1317)+ROUND(MIN(N(N1317),TOPE_UF*UF_MES)*(TASA_EMP+MUTUAL),0)+ROUND(MIN(N(N1317),TOPE_AFC_UF*UF_MES)*IF(S1317="Indefinido",AFC_INDEF,AFC_PF),0))</f>
        <v/>
      </c>
      <c r="U1317" s="62" t="str">
        <f aca="false">IF(C1317="","",IF(LEFT(D1317,1)="⚠","⚠ RUT no registrado en Trabajadores",IF(B1317="","⚠ Falta el mes",IF(OR(ISTEXT(I1317),ISTEXT(J1317)),"⚠ Atrasos u horas extra como texto: escriba hh:mm (ej. 1:30)",IF(AND(ISNUMBER(Q1317),COUNTIFS(M_RUTN,V1317,M_MES,B1317,M_LIQ,"&lt;&gt;")&gt;1),"⚠ Liquidación repetida en el mes",IF(AND(ISNUMBER(O1317),ISNUMBER(P1317),ISNUMBER(Q1317),ABS(O1317-P1317-Q1317)&gt;1),"⚠ Haberes − descuentos no da el líquido","OK"))))))</f>
        <v/>
      </c>
      <c r="V1317" s="62" t="str">
        <f aca="false">IF(C1317="","",IFERROR(VALUE(LEFT(UPPER(SUBSTITUTE(SUBSTITUTE(SUBSTITUTE(TRIM(C1317),".",""),"-","")," ","")),LEN(UPPER(SUBSTITUTE(SUBSTITUTE(SUBSTITUTE(TRIM(C1317),".",""),"-","")," ","")))-1))&amp;RIGHT(UPPER(SUBSTITUTE(SUBSTITUTE(SUBSTITUTE(TRIM(C1317),".",""),"-","")," ","")),1),UPPER(SUBSTITUTE(SUBSTITUTE(SUBSTITUTE(TRIM(C1317),".",""),"-","")," ",""))))</f>
        <v/>
      </c>
    </row>
    <row r="1318" customFormat="false" ht="15" hidden="false" customHeight="false" outlineLevel="0" collapsed="false">
      <c r="B1318" s="80"/>
      <c r="C1318" s="58"/>
      <c r="D1318" s="62" t="str">
        <f aca="false">IF(C1318="","",IFERROR(INDEX(T_NOMBRE,MATCH(V1318,T_RUTN,0)),"⚠ RUT no está en Trabajadores"))</f>
        <v/>
      </c>
      <c r="E1318" s="61"/>
      <c r="F1318" s="61"/>
      <c r="G1318" s="61"/>
      <c r="H1318" s="61"/>
      <c r="I1318" s="81"/>
      <c r="J1318" s="81"/>
      <c r="K1318" s="60"/>
      <c r="L1318" s="60"/>
      <c r="M1318" s="60"/>
      <c r="N1318" s="60"/>
      <c r="O1318" s="60"/>
      <c r="P1318" s="60"/>
      <c r="Q1318" s="60"/>
      <c r="R1318" s="58"/>
      <c r="S1318" s="62" t="str">
        <f aca="false">IF(OR(B1318="",V1318=""),"",IFERROR(INDEX(C_TIPO,MATCH(V1318&amp;"-P"&amp;MAX(1,COUNTIFS(C_RUTN,V1318,C_DEF,"Sí",C_INI,"&lt;="&amp;EOMONTH(B1318,0))),C_CLAVE,0))&amp;"","Sin contrato"))</f>
        <v/>
      </c>
      <c r="T1318" s="63" t="str">
        <f aca="false">IF(OR(B1318="",N(O1318)=0),"",N(O1318)+ROUND(MIN(N(N1318),TOPE_UF*UF_MES)*(TASA_EMP+MUTUAL),0)+ROUND(MIN(N(N1318),TOPE_AFC_UF*UF_MES)*IF(S1318="Indefinido",AFC_INDEF,AFC_PF),0))</f>
        <v/>
      </c>
      <c r="U1318" s="62" t="str">
        <f aca="false">IF(C1318="","",IF(LEFT(D1318,1)="⚠","⚠ RUT no registrado en Trabajadores",IF(B1318="","⚠ Falta el mes",IF(OR(ISTEXT(I1318),ISTEXT(J1318)),"⚠ Atrasos u horas extra como texto: escriba hh:mm (ej. 1:30)",IF(AND(ISNUMBER(Q1318),COUNTIFS(M_RUTN,V1318,M_MES,B1318,M_LIQ,"&lt;&gt;")&gt;1),"⚠ Liquidación repetida en el mes",IF(AND(ISNUMBER(O1318),ISNUMBER(P1318),ISNUMBER(Q1318),ABS(O1318-P1318-Q1318)&gt;1),"⚠ Haberes − descuentos no da el líquido","OK"))))))</f>
        <v/>
      </c>
      <c r="V1318" s="62" t="str">
        <f aca="false">IF(C1318="","",IFERROR(VALUE(LEFT(UPPER(SUBSTITUTE(SUBSTITUTE(SUBSTITUTE(TRIM(C1318),".",""),"-","")," ","")),LEN(UPPER(SUBSTITUTE(SUBSTITUTE(SUBSTITUTE(TRIM(C1318),".",""),"-","")," ","")))-1))&amp;RIGHT(UPPER(SUBSTITUTE(SUBSTITUTE(SUBSTITUTE(TRIM(C1318),".",""),"-","")," ","")),1),UPPER(SUBSTITUTE(SUBSTITUTE(SUBSTITUTE(TRIM(C1318),".",""),"-","")," ",""))))</f>
        <v/>
      </c>
    </row>
    <row r="1319" customFormat="false" ht="15" hidden="false" customHeight="false" outlineLevel="0" collapsed="false">
      <c r="B1319" s="80"/>
      <c r="C1319" s="58"/>
      <c r="D1319" s="62" t="str">
        <f aca="false">IF(C1319="","",IFERROR(INDEX(T_NOMBRE,MATCH(V1319,T_RUTN,0)),"⚠ RUT no está en Trabajadores"))</f>
        <v/>
      </c>
      <c r="E1319" s="61"/>
      <c r="F1319" s="61"/>
      <c r="G1319" s="61"/>
      <c r="H1319" s="61"/>
      <c r="I1319" s="81"/>
      <c r="J1319" s="81"/>
      <c r="K1319" s="60"/>
      <c r="L1319" s="60"/>
      <c r="M1319" s="60"/>
      <c r="N1319" s="60"/>
      <c r="O1319" s="60"/>
      <c r="P1319" s="60"/>
      <c r="Q1319" s="60"/>
      <c r="R1319" s="58"/>
      <c r="S1319" s="62" t="str">
        <f aca="false">IF(OR(B1319="",V1319=""),"",IFERROR(INDEX(C_TIPO,MATCH(V1319&amp;"-P"&amp;MAX(1,COUNTIFS(C_RUTN,V1319,C_DEF,"Sí",C_INI,"&lt;="&amp;EOMONTH(B1319,0))),C_CLAVE,0))&amp;"","Sin contrato"))</f>
        <v/>
      </c>
      <c r="T1319" s="63" t="str">
        <f aca="false">IF(OR(B1319="",N(O1319)=0),"",N(O1319)+ROUND(MIN(N(N1319),TOPE_UF*UF_MES)*(TASA_EMP+MUTUAL),0)+ROUND(MIN(N(N1319),TOPE_AFC_UF*UF_MES)*IF(S1319="Indefinido",AFC_INDEF,AFC_PF),0))</f>
        <v/>
      </c>
      <c r="U1319" s="62" t="str">
        <f aca="false">IF(C1319="","",IF(LEFT(D1319,1)="⚠","⚠ RUT no registrado en Trabajadores",IF(B1319="","⚠ Falta el mes",IF(OR(ISTEXT(I1319),ISTEXT(J1319)),"⚠ Atrasos u horas extra como texto: escriba hh:mm (ej. 1:30)",IF(AND(ISNUMBER(Q1319),COUNTIFS(M_RUTN,V1319,M_MES,B1319,M_LIQ,"&lt;&gt;")&gt;1),"⚠ Liquidación repetida en el mes",IF(AND(ISNUMBER(O1319),ISNUMBER(P1319),ISNUMBER(Q1319),ABS(O1319-P1319-Q1319)&gt;1),"⚠ Haberes − descuentos no da el líquido","OK"))))))</f>
        <v/>
      </c>
      <c r="V1319" s="62" t="str">
        <f aca="false">IF(C1319="","",IFERROR(VALUE(LEFT(UPPER(SUBSTITUTE(SUBSTITUTE(SUBSTITUTE(TRIM(C1319),".",""),"-","")," ","")),LEN(UPPER(SUBSTITUTE(SUBSTITUTE(SUBSTITUTE(TRIM(C1319),".",""),"-","")," ","")))-1))&amp;RIGHT(UPPER(SUBSTITUTE(SUBSTITUTE(SUBSTITUTE(TRIM(C1319),".",""),"-","")," ","")),1),UPPER(SUBSTITUTE(SUBSTITUTE(SUBSTITUTE(TRIM(C1319),".",""),"-","")," ",""))))</f>
        <v/>
      </c>
    </row>
    <row r="1320" customFormat="false" ht="15" hidden="false" customHeight="false" outlineLevel="0" collapsed="false">
      <c r="B1320" s="80"/>
      <c r="C1320" s="58"/>
      <c r="D1320" s="62" t="str">
        <f aca="false">IF(C1320="","",IFERROR(INDEX(T_NOMBRE,MATCH(V1320,T_RUTN,0)),"⚠ RUT no está en Trabajadores"))</f>
        <v/>
      </c>
      <c r="E1320" s="61"/>
      <c r="F1320" s="61"/>
      <c r="G1320" s="61"/>
      <c r="H1320" s="61"/>
      <c r="I1320" s="81"/>
      <c r="J1320" s="81"/>
      <c r="K1320" s="60"/>
      <c r="L1320" s="60"/>
      <c r="M1320" s="60"/>
      <c r="N1320" s="60"/>
      <c r="O1320" s="60"/>
      <c r="P1320" s="60"/>
      <c r="Q1320" s="60"/>
      <c r="R1320" s="58"/>
      <c r="S1320" s="62" t="str">
        <f aca="false">IF(OR(B1320="",V1320=""),"",IFERROR(INDEX(C_TIPO,MATCH(V1320&amp;"-P"&amp;MAX(1,COUNTIFS(C_RUTN,V1320,C_DEF,"Sí",C_INI,"&lt;="&amp;EOMONTH(B1320,0))),C_CLAVE,0))&amp;"","Sin contrato"))</f>
        <v/>
      </c>
      <c r="T1320" s="63" t="str">
        <f aca="false">IF(OR(B1320="",N(O1320)=0),"",N(O1320)+ROUND(MIN(N(N1320),TOPE_UF*UF_MES)*(TASA_EMP+MUTUAL),0)+ROUND(MIN(N(N1320),TOPE_AFC_UF*UF_MES)*IF(S1320="Indefinido",AFC_INDEF,AFC_PF),0))</f>
        <v/>
      </c>
      <c r="U1320" s="62" t="str">
        <f aca="false">IF(C1320="","",IF(LEFT(D1320,1)="⚠","⚠ RUT no registrado en Trabajadores",IF(B1320="","⚠ Falta el mes",IF(OR(ISTEXT(I1320),ISTEXT(J1320)),"⚠ Atrasos u horas extra como texto: escriba hh:mm (ej. 1:30)",IF(AND(ISNUMBER(Q1320),COUNTIFS(M_RUTN,V1320,M_MES,B1320,M_LIQ,"&lt;&gt;")&gt;1),"⚠ Liquidación repetida en el mes",IF(AND(ISNUMBER(O1320),ISNUMBER(P1320),ISNUMBER(Q1320),ABS(O1320-P1320-Q1320)&gt;1),"⚠ Haberes − descuentos no da el líquido","OK"))))))</f>
        <v/>
      </c>
      <c r="V1320" s="62" t="str">
        <f aca="false">IF(C1320="","",IFERROR(VALUE(LEFT(UPPER(SUBSTITUTE(SUBSTITUTE(SUBSTITUTE(TRIM(C1320),".",""),"-","")," ","")),LEN(UPPER(SUBSTITUTE(SUBSTITUTE(SUBSTITUTE(TRIM(C1320),".",""),"-","")," ","")))-1))&amp;RIGHT(UPPER(SUBSTITUTE(SUBSTITUTE(SUBSTITUTE(TRIM(C1320),".",""),"-","")," ","")),1),UPPER(SUBSTITUTE(SUBSTITUTE(SUBSTITUTE(TRIM(C1320),".",""),"-","")," ",""))))</f>
        <v/>
      </c>
    </row>
    <row r="1321" customFormat="false" ht="15" hidden="false" customHeight="false" outlineLevel="0" collapsed="false">
      <c r="B1321" s="80"/>
      <c r="C1321" s="58"/>
      <c r="D1321" s="62" t="str">
        <f aca="false">IF(C1321="","",IFERROR(INDEX(T_NOMBRE,MATCH(V1321,T_RUTN,0)),"⚠ RUT no está en Trabajadores"))</f>
        <v/>
      </c>
      <c r="E1321" s="61"/>
      <c r="F1321" s="61"/>
      <c r="G1321" s="61"/>
      <c r="H1321" s="61"/>
      <c r="I1321" s="81"/>
      <c r="J1321" s="81"/>
      <c r="K1321" s="60"/>
      <c r="L1321" s="60"/>
      <c r="M1321" s="60"/>
      <c r="N1321" s="60"/>
      <c r="O1321" s="60"/>
      <c r="P1321" s="60"/>
      <c r="Q1321" s="60"/>
      <c r="R1321" s="58"/>
      <c r="S1321" s="62" t="str">
        <f aca="false">IF(OR(B1321="",V1321=""),"",IFERROR(INDEX(C_TIPO,MATCH(V1321&amp;"-P"&amp;MAX(1,COUNTIFS(C_RUTN,V1321,C_DEF,"Sí",C_INI,"&lt;="&amp;EOMONTH(B1321,0))),C_CLAVE,0))&amp;"","Sin contrato"))</f>
        <v/>
      </c>
      <c r="T1321" s="63" t="str">
        <f aca="false">IF(OR(B1321="",N(O1321)=0),"",N(O1321)+ROUND(MIN(N(N1321),TOPE_UF*UF_MES)*(TASA_EMP+MUTUAL),0)+ROUND(MIN(N(N1321),TOPE_AFC_UF*UF_MES)*IF(S1321="Indefinido",AFC_INDEF,AFC_PF),0))</f>
        <v/>
      </c>
      <c r="U1321" s="62" t="str">
        <f aca="false">IF(C1321="","",IF(LEFT(D1321,1)="⚠","⚠ RUT no registrado en Trabajadores",IF(B1321="","⚠ Falta el mes",IF(OR(ISTEXT(I1321),ISTEXT(J1321)),"⚠ Atrasos u horas extra como texto: escriba hh:mm (ej. 1:30)",IF(AND(ISNUMBER(Q1321),COUNTIFS(M_RUTN,V1321,M_MES,B1321,M_LIQ,"&lt;&gt;")&gt;1),"⚠ Liquidación repetida en el mes",IF(AND(ISNUMBER(O1321),ISNUMBER(P1321),ISNUMBER(Q1321),ABS(O1321-P1321-Q1321)&gt;1),"⚠ Haberes − descuentos no da el líquido","OK"))))))</f>
        <v/>
      </c>
      <c r="V1321" s="62" t="str">
        <f aca="false">IF(C1321="","",IFERROR(VALUE(LEFT(UPPER(SUBSTITUTE(SUBSTITUTE(SUBSTITUTE(TRIM(C1321),".",""),"-","")," ","")),LEN(UPPER(SUBSTITUTE(SUBSTITUTE(SUBSTITUTE(TRIM(C1321),".",""),"-","")," ","")))-1))&amp;RIGHT(UPPER(SUBSTITUTE(SUBSTITUTE(SUBSTITUTE(TRIM(C1321),".",""),"-","")," ","")),1),UPPER(SUBSTITUTE(SUBSTITUTE(SUBSTITUTE(TRIM(C1321),".",""),"-","")," ",""))))</f>
        <v/>
      </c>
    </row>
    <row r="1322" customFormat="false" ht="15" hidden="false" customHeight="false" outlineLevel="0" collapsed="false">
      <c r="B1322" s="80"/>
      <c r="C1322" s="58"/>
      <c r="D1322" s="62" t="str">
        <f aca="false">IF(C1322="","",IFERROR(INDEX(T_NOMBRE,MATCH(V1322,T_RUTN,0)),"⚠ RUT no está en Trabajadores"))</f>
        <v/>
      </c>
      <c r="E1322" s="61"/>
      <c r="F1322" s="61"/>
      <c r="G1322" s="61"/>
      <c r="H1322" s="61"/>
      <c r="I1322" s="81"/>
      <c r="J1322" s="81"/>
      <c r="K1322" s="60"/>
      <c r="L1322" s="60"/>
      <c r="M1322" s="60"/>
      <c r="N1322" s="60"/>
      <c r="O1322" s="60"/>
      <c r="P1322" s="60"/>
      <c r="Q1322" s="60"/>
      <c r="R1322" s="58"/>
      <c r="S1322" s="62" t="str">
        <f aca="false">IF(OR(B1322="",V1322=""),"",IFERROR(INDEX(C_TIPO,MATCH(V1322&amp;"-P"&amp;MAX(1,COUNTIFS(C_RUTN,V1322,C_DEF,"Sí",C_INI,"&lt;="&amp;EOMONTH(B1322,0))),C_CLAVE,0))&amp;"","Sin contrato"))</f>
        <v/>
      </c>
      <c r="T1322" s="63" t="str">
        <f aca="false">IF(OR(B1322="",N(O1322)=0),"",N(O1322)+ROUND(MIN(N(N1322),TOPE_UF*UF_MES)*(TASA_EMP+MUTUAL),0)+ROUND(MIN(N(N1322),TOPE_AFC_UF*UF_MES)*IF(S1322="Indefinido",AFC_INDEF,AFC_PF),0))</f>
        <v/>
      </c>
      <c r="U1322" s="62" t="str">
        <f aca="false">IF(C1322="","",IF(LEFT(D1322,1)="⚠","⚠ RUT no registrado en Trabajadores",IF(B1322="","⚠ Falta el mes",IF(OR(ISTEXT(I1322),ISTEXT(J1322)),"⚠ Atrasos u horas extra como texto: escriba hh:mm (ej. 1:30)",IF(AND(ISNUMBER(Q1322),COUNTIFS(M_RUTN,V1322,M_MES,B1322,M_LIQ,"&lt;&gt;")&gt;1),"⚠ Liquidación repetida en el mes",IF(AND(ISNUMBER(O1322),ISNUMBER(P1322),ISNUMBER(Q1322),ABS(O1322-P1322-Q1322)&gt;1),"⚠ Haberes − descuentos no da el líquido","OK"))))))</f>
        <v/>
      </c>
      <c r="V1322" s="62" t="str">
        <f aca="false">IF(C1322="","",IFERROR(VALUE(LEFT(UPPER(SUBSTITUTE(SUBSTITUTE(SUBSTITUTE(TRIM(C1322),".",""),"-","")," ","")),LEN(UPPER(SUBSTITUTE(SUBSTITUTE(SUBSTITUTE(TRIM(C1322),".",""),"-","")," ","")))-1))&amp;RIGHT(UPPER(SUBSTITUTE(SUBSTITUTE(SUBSTITUTE(TRIM(C1322),".",""),"-","")," ","")),1),UPPER(SUBSTITUTE(SUBSTITUTE(SUBSTITUTE(TRIM(C1322),".",""),"-","")," ",""))))</f>
        <v/>
      </c>
    </row>
    <row r="1323" customFormat="false" ht="15" hidden="false" customHeight="false" outlineLevel="0" collapsed="false">
      <c r="B1323" s="80"/>
      <c r="C1323" s="58"/>
      <c r="D1323" s="62" t="str">
        <f aca="false">IF(C1323="","",IFERROR(INDEX(T_NOMBRE,MATCH(V1323,T_RUTN,0)),"⚠ RUT no está en Trabajadores"))</f>
        <v/>
      </c>
      <c r="E1323" s="61"/>
      <c r="F1323" s="61"/>
      <c r="G1323" s="61"/>
      <c r="H1323" s="61"/>
      <c r="I1323" s="81"/>
      <c r="J1323" s="81"/>
      <c r="K1323" s="60"/>
      <c r="L1323" s="60"/>
      <c r="M1323" s="60"/>
      <c r="N1323" s="60"/>
      <c r="O1323" s="60"/>
      <c r="P1323" s="60"/>
      <c r="Q1323" s="60"/>
      <c r="R1323" s="58"/>
      <c r="S1323" s="62" t="str">
        <f aca="false">IF(OR(B1323="",V1323=""),"",IFERROR(INDEX(C_TIPO,MATCH(V1323&amp;"-P"&amp;MAX(1,COUNTIFS(C_RUTN,V1323,C_DEF,"Sí",C_INI,"&lt;="&amp;EOMONTH(B1323,0))),C_CLAVE,0))&amp;"","Sin contrato"))</f>
        <v/>
      </c>
      <c r="T1323" s="63" t="str">
        <f aca="false">IF(OR(B1323="",N(O1323)=0),"",N(O1323)+ROUND(MIN(N(N1323),TOPE_UF*UF_MES)*(TASA_EMP+MUTUAL),0)+ROUND(MIN(N(N1323),TOPE_AFC_UF*UF_MES)*IF(S1323="Indefinido",AFC_INDEF,AFC_PF),0))</f>
        <v/>
      </c>
      <c r="U1323" s="62" t="str">
        <f aca="false">IF(C1323="","",IF(LEFT(D1323,1)="⚠","⚠ RUT no registrado en Trabajadores",IF(B1323="","⚠ Falta el mes",IF(OR(ISTEXT(I1323),ISTEXT(J1323)),"⚠ Atrasos u horas extra como texto: escriba hh:mm (ej. 1:30)",IF(AND(ISNUMBER(Q1323),COUNTIFS(M_RUTN,V1323,M_MES,B1323,M_LIQ,"&lt;&gt;")&gt;1),"⚠ Liquidación repetida en el mes",IF(AND(ISNUMBER(O1323),ISNUMBER(P1323),ISNUMBER(Q1323),ABS(O1323-P1323-Q1323)&gt;1),"⚠ Haberes − descuentos no da el líquido","OK"))))))</f>
        <v/>
      </c>
      <c r="V1323" s="62" t="str">
        <f aca="false">IF(C1323="","",IFERROR(VALUE(LEFT(UPPER(SUBSTITUTE(SUBSTITUTE(SUBSTITUTE(TRIM(C1323),".",""),"-","")," ","")),LEN(UPPER(SUBSTITUTE(SUBSTITUTE(SUBSTITUTE(TRIM(C1323),".",""),"-","")," ","")))-1))&amp;RIGHT(UPPER(SUBSTITUTE(SUBSTITUTE(SUBSTITUTE(TRIM(C1323),".",""),"-","")," ","")),1),UPPER(SUBSTITUTE(SUBSTITUTE(SUBSTITUTE(TRIM(C1323),".",""),"-","")," ",""))))</f>
        <v/>
      </c>
    </row>
    <row r="1324" customFormat="false" ht="15" hidden="false" customHeight="false" outlineLevel="0" collapsed="false">
      <c r="B1324" s="80"/>
      <c r="C1324" s="58"/>
      <c r="D1324" s="62" t="str">
        <f aca="false">IF(C1324="","",IFERROR(INDEX(T_NOMBRE,MATCH(V1324,T_RUTN,0)),"⚠ RUT no está en Trabajadores"))</f>
        <v/>
      </c>
      <c r="E1324" s="61"/>
      <c r="F1324" s="61"/>
      <c r="G1324" s="61"/>
      <c r="H1324" s="61"/>
      <c r="I1324" s="81"/>
      <c r="J1324" s="81"/>
      <c r="K1324" s="60"/>
      <c r="L1324" s="60"/>
      <c r="M1324" s="60"/>
      <c r="N1324" s="60"/>
      <c r="O1324" s="60"/>
      <c r="P1324" s="60"/>
      <c r="Q1324" s="60"/>
      <c r="R1324" s="58"/>
      <c r="S1324" s="62" t="str">
        <f aca="false">IF(OR(B1324="",V1324=""),"",IFERROR(INDEX(C_TIPO,MATCH(V1324&amp;"-P"&amp;MAX(1,COUNTIFS(C_RUTN,V1324,C_DEF,"Sí",C_INI,"&lt;="&amp;EOMONTH(B1324,0))),C_CLAVE,0))&amp;"","Sin contrato"))</f>
        <v/>
      </c>
      <c r="T1324" s="63" t="str">
        <f aca="false">IF(OR(B1324="",N(O1324)=0),"",N(O1324)+ROUND(MIN(N(N1324),TOPE_UF*UF_MES)*(TASA_EMP+MUTUAL),0)+ROUND(MIN(N(N1324),TOPE_AFC_UF*UF_MES)*IF(S1324="Indefinido",AFC_INDEF,AFC_PF),0))</f>
        <v/>
      </c>
      <c r="U1324" s="62" t="str">
        <f aca="false">IF(C1324="","",IF(LEFT(D1324,1)="⚠","⚠ RUT no registrado en Trabajadores",IF(B1324="","⚠ Falta el mes",IF(OR(ISTEXT(I1324),ISTEXT(J1324)),"⚠ Atrasos u horas extra como texto: escriba hh:mm (ej. 1:30)",IF(AND(ISNUMBER(Q1324),COUNTIFS(M_RUTN,V1324,M_MES,B1324,M_LIQ,"&lt;&gt;")&gt;1),"⚠ Liquidación repetida en el mes",IF(AND(ISNUMBER(O1324),ISNUMBER(P1324),ISNUMBER(Q1324),ABS(O1324-P1324-Q1324)&gt;1),"⚠ Haberes − descuentos no da el líquido","OK"))))))</f>
        <v/>
      </c>
      <c r="V1324" s="62" t="str">
        <f aca="false">IF(C1324="","",IFERROR(VALUE(LEFT(UPPER(SUBSTITUTE(SUBSTITUTE(SUBSTITUTE(TRIM(C1324),".",""),"-","")," ","")),LEN(UPPER(SUBSTITUTE(SUBSTITUTE(SUBSTITUTE(TRIM(C1324),".",""),"-","")," ","")))-1))&amp;RIGHT(UPPER(SUBSTITUTE(SUBSTITUTE(SUBSTITUTE(TRIM(C1324),".",""),"-","")," ","")),1),UPPER(SUBSTITUTE(SUBSTITUTE(SUBSTITUTE(TRIM(C1324),".",""),"-","")," ",""))))</f>
        <v/>
      </c>
    </row>
    <row r="1325" customFormat="false" ht="15" hidden="false" customHeight="false" outlineLevel="0" collapsed="false">
      <c r="B1325" s="80"/>
      <c r="C1325" s="58"/>
      <c r="D1325" s="62" t="str">
        <f aca="false">IF(C1325="","",IFERROR(INDEX(T_NOMBRE,MATCH(V1325,T_RUTN,0)),"⚠ RUT no está en Trabajadores"))</f>
        <v/>
      </c>
      <c r="E1325" s="61"/>
      <c r="F1325" s="61"/>
      <c r="G1325" s="61"/>
      <c r="H1325" s="61"/>
      <c r="I1325" s="81"/>
      <c r="J1325" s="81"/>
      <c r="K1325" s="60"/>
      <c r="L1325" s="60"/>
      <c r="M1325" s="60"/>
      <c r="N1325" s="60"/>
      <c r="O1325" s="60"/>
      <c r="P1325" s="60"/>
      <c r="Q1325" s="60"/>
      <c r="R1325" s="58"/>
      <c r="S1325" s="62" t="str">
        <f aca="false">IF(OR(B1325="",V1325=""),"",IFERROR(INDEX(C_TIPO,MATCH(V1325&amp;"-P"&amp;MAX(1,COUNTIFS(C_RUTN,V1325,C_DEF,"Sí",C_INI,"&lt;="&amp;EOMONTH(B1325,0))),C_CLAVE,0))&amp;"","Sin contrato"))</f>
        <v/>
      </c>
      <c r="T1325" s="63" t="str">
        <f aca="false">IF(OR(B1325="",N(O1325)=0),"",N(O1325)+ROUND(MIN(N(N1325),TOPE_UF*UF_MES)*(TASA_EMP+MUTUAL),0)+ROUND(MIN(N(N1325),TOPE_AFC_UF*UF_MES)*IF(S1325="Indefinido",AFC_INDEF,AFC_PF),0))</f>
        <v/>
      </c>
      <c r="U1325" s="62" t="str">
        <f aca="false">IF(C1325="","",IF(LEFT(D1325,1)="⚠","⚠ RUT no registrado en Trabajadores",IF(B1325="","⚠ Falta el mes",IF(OR(ISTEXT(I1325),ISTEXT(J1325)),"⚠ Atrasos u horas extra como texto: escriba hh:mm (ej. 1:30)",IF(AND(ISNUMBER(Q1325),COUNTIFS(M_RUTN,V1325,M_MES,B1325,M_LIQ,"&lt;&gt;")&gt;1),"⚠ Liquidación repetida en el mes",IF(AND(ISNUMBER(O1325),ISNUMBER(P1325),ISNUMBER(Q1325),ABS(O1325-P1325-Q1325)&gt;1),"⚠ Haberes − descuentos no da el líquido","OK"))))))</f>
        <v/>
      </c>
      <c r="V1325" s="62" t="str">
        <f aca="false">IF(C1325="","",IFERROR(VALUE(LEFT(UPPER(SUBSTITUTE(SUBSTITUTE(SUBSTITUTE(TRIM(C1325),".",""),"-","")," ","")),LEN(UPPER(SUBSTITUTE(SUBSTITUTE(SUBSTITUTE(TRIM(C1325),".",""),"-","")," ","")))-1))&amp;RIGHT(UPPER(SUBSTITUTE(SUBSTITUTE(SUBSTITUTE(TRIM(C1325),".",""),"-","")," ","")),1),UPPER(SUBSTITUTE(SUBSTITUTE(SUBSTITUTE(TRIM(C1325),".",""),"-","")," ",""))))</f>
        <v/>
      </c>
    </row>
    <row r="1326" customFormat="false" ht="15" hidden="false" customHeight="false" outlineLevel="0" collapsed="false">
      <c r="B1326" s="80"/>
      <c r="C1326" s="58"/>
      <c r="D1326" s="62" t="str">
        <f aca="false">IF(C1326="","",IFERROR(INDEX(T_NOMBRE,MATCH(V1326,T_RUTN,0)),"⚠ RUT no está en Trabajadores"))</f>
        <v/>
      </c>
      <c r="E1326" s="61"/>
      <c r="F1326" s="61"/>
      <c r="G1326" s="61"/>
      <c r="H1326" s="61"/>
      <c r="I1326" s="81"/>
      <c r="J1326" s="81"/>
      <c r="K1326" s="60"/>
      <c r="L1326" s="60"/>
      <c r="M1326" s="60"/>
      <c r="N1326" s="60"/>
      <c r="O1326" s="60"/>
      <c r="P1326" s="60"/>
      <c r="Q1326" s="60"/>
      <c r="R1326" s="58"/>
      <c r="S1326" s="62" t="str">
        <f aca="false">IF(OR(B1326="",V1326=""),"",IFERROR(INDEX(C_TIPO,MATCH(V1326&amp;"-P"&amp;MAX(1,COUNTIFS(C_RUTN,V1326,C_DEF,"Sí",C_INI,"&lt;="&amp;EOMONTH(B1326,0))),C_CLAVE,0))&amp;"","Sin contrato"))</f>
        <v/>
      </c>
      <c r="T1326" s="63" t="str">
        <f aca="false">IF(OR(B1326="",N(O1326)=0),"",N(O1326)+ROUND(MIN(N(N1326),TOPE_UF*UF_MES)*(TASA_EMP+MUTUAL),0)+ROUND(MIN(N(N1326),TOPE_AFC_UF*UF_MES)*IF(S1326="Indefinido",AFC_INDEF,AFC_PF),0))</f>
        <v/>
      </c>
      <c r="U1326" s="62" t="str">
        <f aca="false">IF(C1326="","",IF(LEFT(D1326,1)="⚠","⚠ RUT no registrado en Trabajadores",IF(B1326="","⚠ Falta el mes",IF(OR(ISTEXT(I1326),ISTEXT(J1326)),"⚠ Atrasos u horas extra como texto: escriba hh:mm (ej. 1:30)",IF(AND(ISNUMBER(Q1326),COUNTIFS(M_RUTN,V1326,M_MES,B1326,M_LIQ,"&lt;&gt;")&gt;1),"⚠ Liquidación repetida en el mes",IF(AND(ISNUMBER(O1326),ISNUMBER(P1326),ISNUMBER(Q1326),ABS(O1326-P1326-Q1326)&gt;1),"⚠ Haberes − descuentos no da el líquido","OK"))))))</f>
        <v/>
      </c>
      <c r="V1326" s="62" t="str">
        <f aca="false">IF(C1326="","",IFERROR(VALUE(LEFT(UPPER(SUBSTITUTE(SUBSTITUTE(SUBSTITUTE(TRIM(C1326),".",""),"-","")," ","")),LEN(UPPER(SUBSTITUTE(SUBSTITUTE(SUBSTITUTE(TRIM(C1326),".",""),"-","")," ","")))-1))&amp;RIGHT(UPPER(SUBSTITUTE(SUBSTITUTE(SUBSTITUTE(TRIM(C1326),".",""),"-","")," ","")),1),UPPER(SUBSTITUTE(SUBSTITUTE(SUBSTITUTE(TRIM(C1326),".",""),"-","")," ",""))))</f>
        <v/>
      </c>
    </row>
    <row r="1327" customFormat="false" ht="15" hidden="false" customHeight="false" outlineLevel="0" collapsed="false">
      <c r="B1327" s="80"/>
      <c r="C1327" s="58"/>
      <c r="D1327" s="62" t="str">
        <f aca="false">IF(C1327="","",IFERROR(INDEX(T_NOMBRE,MATCH(V1327,T_RUTN,0)),"⚠ RUT no está en Trabajadores"))</f>
        <v/>
      </c>
      <c r="E1327" s="61"/>
      <c r="F1327" s="61"/>
      <c r="G1327" s="61"/>
      <c r="H1327" s="61"/>
      <c r="I1327" s="81"/>
      <c r="J1327" s="81"/>
      <c r="K1327" s="60"/>
      <c r="L1327" s="60"/>
      <c r="M1327" s="60"/>
      <c r="N1327" s="60"/>
      <c r="O1327" s="60"/>
      <c r="P1327" s="60"/>
      <c r="Q1327" s="60"/>
      <c r="R1327" s="58"/>
      <c r="S1327" s="62" t="str">
        <f aca="false">IF(OR(B1327="",V1327=""),"",IFERROR(INDEX(C_TIPO,MATCH(V1327&amp;"-P"&amp;MAX(1,COUNTIFS(C_RUTN,V1327,C_DEF,"Sí",C_INI,"&lt;="&amp;EOMONTH(B1327,0))),C_CLAVE,0))&amp;"","Sin contrato"))</f>
        <v/>
      </c>
      <c r="T1327" s="63" t="str">
        <f aca="false">IF(OR(B1327="",N(O1327)=0),"",N(O1327)+ROUND(MIN(N(N1327),TOPE_UF*UF_MES)*(TASA_EMP+MUTUAL),0)+ROUND(MIN(N(N1327),TOPE_AFC_UF*UF_MES)*IF(S1327="Indefinido",AFC_INDEF,AFC_PF),0))</f>
        <v/>
      </c>
      <c r="U1327" s="62" t="str">
        <f aca="false">IF(C1327="","",IF(LEFT(D1327,1)="⚠","⚠ RUT no registrado en Trabajadores",IF(B1327="","⚠ Falta el mes",IF(OR(ISTEXT(I1327),ISTEXT(J1327)),"⚠ Atrasos u horas extra como texto: escriba hh:mm (ej. 1:30)",IF(AND(ISNUMBER(Q1327),COUNTIFS(M_RUTN,V1327,M_MES,B1327,M_LIQ,"&lt;&gt;")&gt;1),"⚠ Liquidación repetida en el mes",IF(AND(ISNUMBER(O1327),ISNUMBER(P1327),ISNUMBER(Q1327),ABS(O1327-P1327-Q1327)&gt;1),"⚠ Haberes − descuentos no da el líquido","OK"))))))</f>
        <v/>
      </c>
      <c r="V1327" s="62" t="str">
        <f aca="false">IF(C1327="","",IFERROR(VALUE(LEFT(UPPER(SUBSTITUTE(SUBSTITUTE(SUBSTITUTE(TRIM(C1327),".",""),"-","")," ","")),LEN(UPPER(SUBSTITUTE(SUBSTITUTE(SUBSTITUTE(TRIM(C1327),".",""),"-","")," ","")))-1))&amp;RIGHT(UPPER(SUBSTITUTE(SUBSTITUTE(SUBSTITUTE(TRIM(C1327),".",""),"-","")," ","")),1),UPPER(SUBSTITUTE(SUBSTITUTE(SUBSTITUTE(TRIM(C1327),".",""),"-","")," ",""))))</f>
        <v/>
      </c>
    </row>
    <row r="1328" customFormat="false" ht="15" hidden="false" customHeight="false" outlineLevel="0" collapsed="false">
      <c r="B1328" s="80"/>
      <c r="C1328" s="58"/>
      <c r="D1328" s="62" t="str">
        <f aca="false">IF(C1328="","",IFERROR(INDEX(T_NOMBRE,MATCH(V1328,T_RUTN,0)),"⚠ RUT no está en Trabajadores"))</f>
        <v/>
      </c>
      <c r="E1328" s="61"/>
      <c r="F1328" s="61"/>
      <c r="G1328" s="61"/>
      <c r="H1328" s="61"/>
      <c r="I1328" s="81"/>
      <c r="J1328" s="81"/>
      <c r="K1328" s="60"/>
      <c r="L1328" s="60"/>
      <c r="M1328" s="60"/>
      <c r="N1328" s="60"/>
      <c r="O1328" s="60"/>
      <c r="P1328" s="60"/>
      <c r="Q1328" s="60"/>
      <c r="R1328" s="58"/>
      <c r="S1328" s="62" t="str">
        <f aca="false">IF(OR(B1328="",V1328=""),"",IFERROR(INDEX(C_TIPO,MATCH(V1328&amp;"-P"&amp;MAX(1,COUNTIFS(C_RUTN,V1328,C_DEF,"Sí",C_INI,"&lt;="&amp;EOMONTH(B1328,0))),C_CLAVE,0))&amp;"","Sin contrato"))</f>
        <v/>
      </c>
      <c r="T1328" s="63" t="str">
        <f aca="false">IF(OR(B1328="",N(O1328)=0),"",N(O1328)+ROUND(MIN(N(N1328),TOPE_UF*UF_MES)*(TASA_EMP+MUTUAL),0)+ROUND(MIN(N(N1328),TOPE_AFC_UF*UF_MES)*IF(S1328="Indefinido",AFC_INDEF,AFC_PF),0))</f>
        <v/>
      </c>
      <c r="U1328" s="62" t="str">
        <f aca="false">IF(C1328="","",IF(LEFT(D1328,1)="⚠","⚠ RUT no registrado en Trabajadores",IF(B1328="","⚠ Falta el mes",IF(OR(ISTEXT(I1328),ISTEXT(J1328)),"⚠ Atrasos u horas extra como texto: escriba hh:mm (ej. 1:30)",IF(AND(ISNUMBER(Q1328),COUNTIFS(M_RUTN,V1328,M_MES,B1328,M_LIQ,"&lt;&gt;")&gt;1),"⚠ Liquidación repetida en el mes",IF(AND(ISNUMBER(O1328),ISNUMBER(P1328),ISNUMBER(Q1328),ABS(O1328-P1328-Q1328)&gt;1),"⚠ Haberes − descuentos no da el líquido","OK"))))))</f>
        <v/>
      </c>
      <c r="V1328" s="62" t="str">
        <f aca="false">IF(C1328="","",IFERROR(VALUE(LEFT(UPPER(SUBSTITUTE(SUBSTITUTE(SUBSTITUTE(TRIM(C1328),".",""),"-","")," ","")),LEN(UPPER(SUBSTITUTE(SUBSTITUTE(SUBSTITUTE(TRIM(C1328),".",""),"-","")," ","")))-1))&amp;RIGHT(UPPER(SUBSTITUTE(SUBSTITUTE(SUBSTITUTE(TRIM(C1328),".",""),"-","")," ","")),1),UPPER(SUBSTITUTE(SUBSTITUTE(SUBSTITUTE(TRIM(C1328),".",""),"-","")," ",""))))</f>
        <v/>
      </c>
    </row>
    <row r="1329" customFormat="false" ht="15" hidden="false" customHeight="false" outlineLevel="0" collapsed="false">
      <c r="B1329" s="80"/>
      <c r="C1329" s="58"/>
      <c r="D1329" s="62" t="str">
        <f aca="false">IF(C1329="","",IFERROR(INDEX(T_NOMBRE,MATCH(V1329,T_RUTN,0)),"⚠ RUT no está en Trabajadores"))</f>
        <v/>
      </c>
      <c r="E1329" s="61"/>
      <c r="F1329" s="61"/>
      <c r="G1329" s="61"/>
      <c r="H1329" s="61"/>
      <c r="I1329" s="81"/>
      <c r="J1329" s="81"/>
      <c r="K1329" s="60"/>
      <c r="L1329" s="60"/>
      <c r="M1329" s="60"/>
      <c r="N1329" s="60"/>
      <c r="O1329" s="60"/>
      <c r="P1329" s="60"/>
      <c r="Q1329" s="60"/>
      <c r="R1329" s="58"/>
      <c r="S1329" s="62" t="str">
        <f aca="false">IF(OR(B1329="",V1329=""),"",IFERROR(INDEX(C_TIPO,MATCH(V1329&amp;"-P"&amp;MAX(1,COUNTIFS(C_RUTN,V1329,C_DEF,"Sí",C_INI,"&lt;="&amp;EOMONTH(B1329,0))),C_CLAVE,0))&amp;"","Sin contrato"))</f>
        <v/>
      </c>
      <c r="T1329" s="63" t="str">
        <f aca="false">IF(OR(B1329="",N(O1329)=0),"",N(O1329)+ROUND(MIN(N(N1329),TOPE_UF*UF_MES)*(TASA_EMP+MUTUAL),0)+ROUND(MIN(N(N1329),TOPE_AFC_UF*UF_MES)*IF(S1329="Indefinido",AFC_INDEF,AFC_PF),0))</f>
        <v/>
      </c>
      <c r="U1329" s="62" t="str">
        <f aca="false">IF(C1329="","",IF(LEFT(D1329,1)="⚠","⚠ RUT no registrado en Trabajadores",IF(B1329="","⚠ Falta el mes",IF(OR(ISTEXT(I1329),ISTEXT(J1329)),"⚠ Atrasos u horas extra como texto: escriba hh:mm (ej. 1:30)",IF(AND(ISNUMBER(Q1329),COUNTIFS(M_RUTN,V1329,M_MES,B1329,M_LIQ,"&lt;&gt;")&gt;1),"⚠ Liquidación repetida en el mes",IF(AND(ISNUMBER(O1329),ISNUMBER(P1329),ISNUMBER(Q1329),ABS(O1329-P1329-Q1329)&gt;1),"⚠ Haberes − descuentos no da el líquido","OK"))))))</f>
        <v/>
      </c>
      <c r="V1329" s="62" t="str">
        <f aca="false">IF(C1329="","",IFERROR(VALUE(LEFT(UPPER(SUBSTITUTE(SUBSTITUTE(SUBSTITUTE(TRIM(C1329),".",""),"-","")," ","")),LEN(UPPER(SUBSTITUTE(SUBSTITUTE(SUBSTITUTE(TRIM(C1329),".",""),"-","")," ","")))-1))&amp;RIGHT(UPPER(SUBSTITUTE(SUBSTITUTE(SUBSTITUTE(TRIM(C1329),".",""),"-","")," ","")),1),UPPER(SUBSTITUTE(SUBSTITUTE(SUBSTITUTE(TRIM(C1329),".",""),"-","")," ",""))))</f>
        <v/>
      </c>
    </row>
    <row r="1330" customFormat="false" ht="15" hidden="false" customHeight="false" outlineLevel="0" collapsed="false">
      <c r="B1330" s="80"/>
      <c r="C1330" s="58"/>
      <c r="D1330" s="62" t="str">
        <f aca="false">IF(C1330="","",IFERROR(INDEX(T_NOMBRE,MATCH(V1330,T_RUTN,0)),"⚠ RUT no está en Trabajadores"))</f>
        <v/>
      </c>
      <c r="E1330" s="61"/>
      <c r="F1330" s="61"/>
      <c r="G1330" s="61"/>
      <c r="H1330" s="61"/>
      <c r="I1330" s="81"/>
      <c r="J1330" s="81"/>
      <c r="K1330" s="60"/>
      <c r="L1330" s="60"/>
      <c r="M1330" s="60"/>
      <c r="N1330" s="60"/>
      <c r="O1330" s="60"/>
      <c r="P1330" s="60"/>
      <c r="Q1330" s="60"/>
      <c r="R1330" s="58"/>
      <c r="S1330" s="62" t="str">
        <f aca="false">IF(OR(B1330="",V1330=""),"",IFERROR(INDEX(C_TIPO,MATCH(V1330&amp;"-P"&amp;MAX(1,COUNTIFS(C_RUTN,V1330,C_DEF,"Sí",C_INI,"&lt;="&amp;EOMONTH(B1330,0))),C_CLAVE,0))&amp;"","Sin contrato"))</f>
        <v/>
      </c>
      <c r="T1330" s="63" t="str">
        <f aca="false">IF(OR(B1330="",N(O1330)=0),"",N(O1330)+ROUND(MIN(N(N1330),TOPE_UF*UF_MES)*(TASA_EMP+MUTUAL),0)+ROUND(MIN(N(N1330),TOPE_AFC_UF*UF_MES)*IF(S1330="Indefinido",AFC_INDEF,AFC_PF),0))</f>
        <v/>
      </c>
      <c r="U1330" s="62" t="str">
        <f aca="false">IF(C1330="","",IF(LEFT(D1330,1)="⚠","⚠ RUT no registrado en Trabajadores",IF(B1330="","⚠ Falta el mes",IF(OR(ISTEXT(I1330),ISTEXT(J1330)),"⚠ Atrasos u horas extra como texto: escriba hh:mm (ej. 1:30)",IF(AND(ISNUMBER(Q1330),COUNTIFS(M_RUTN,V1330,M_MES,B1330,M_LIQ,"&lt;&gt;")&gt;1),"⚠ Liquidación repetida en el mes",IF(AND(ISNUMBER(O1330),ISNUMBER(P1330),ISNUMBER(Q1330),ABS(O1330-P1330-Q1330)&gt;1),"⚠ Haberes − descuentos no da el líquido","OK"))))))</f>
        <v/>
      </c>
      <c r="V1330" s="62" t="str">
        <f aca="false">IF(C1330="","",IFERROR(VALUE(LEFT(UPPER(SUBSTITUTE(SUBSTITUTE(SUBSTITUTE(TRIM(C1330),".",""),"-","")," ","")),LEN(UPPER(SUBSTITUTE(SUBSTITUTE(SUBSTITUTE(TRIM(C1330),".",""),"-","")," ","")))-1))&amp;RIGHT(UPPER(SUBSTITUTE(SUBSTITUTE(SUBSTITUTE(TRIM(C1330),".",""),"-","")," ","")),1),UPPER(SUBSTITUTE(SUBSTITUTE(SUBSTITUTE(TRIM(C1330),".",""),"-","")," ",""))))</f>
        <v/>
      </c>
    </row>
    <row r="1331" customFormat="false" ht="15" hidden="false" customHeight="false" outlineLevel="0" collapsed="false">
      <c r="B1331" s="80"/>
      <c r="C1331" s="58"/>
      <c r="D1331" s="62" t="str">
        <f aca="false">IF(C1331="","",IFERROR(INDEX(T_NOMBRE,MATCH(V1331,T_RUTN,0)),"⚠ RUT no está en Trabajadores"))</f>
        <v/>
      </c>
      <c r="E1331" s="61"/>
      <c r="F1331" s="61"/>
      <c r="G1331" s="61"/>
      <c r="H1331" s="61"/>
      <c r="I1331" s="81"/>
      <c r="J1331" s="81"/>
      <c r="K1331" s="60"/>
      <c r="L1331" s="60"/>
      <c r="M1331" s="60"/>
      <c r="N1331" s="60"/>
      <c r="O1331" s="60"/>
      <c r="P1331" s="60"/>
      <c r="Q1331" s="60"/>
      <c r="R1331" s="58"/>
      <c r="S1331" s="62" t="str">
        <f aca="false">IF(OR(B1331="",V1331=""),"",IFERROR(INDEX(C_TIPO,MATCH(V1331&amp;"-P"&amp;MAX(1,COUNTIFS(C_RUTN,V1331,C_DEF,"Sí",C_INI,"&lt;="&amp;EOMONTH(B1331,0))),C_CLAVE,0))&amp;"","Sin contrato"))</f>
        <v/>
      </c>
      <c r="T1331" s="63" t="str">
        <f aca="false">IF(OR(B1331="",N(O1331)=0),"",N(O1331)+ROUND(MIN(N(N1331),TOPE_UF*UF_MES)*(TASA_EMP+MUTUAL),0)+ROUND(MIN(N(N1331),TOPE_AFC_UF*UF_MES)*IF(S1331="Indefinido",AFC_INDEF,AFC_PF),0))</f>
        <v/>
      </c>
      <c r="U1331" s="62" t="str">
        <f aca="false">IF(C1331="","",IF(LEFT(D1331,1)="⚠","⚠ RUT no registrado en Trabajadores",IF(B1331="","⚠ Falta el mes",IF(OR(ISTEXT(I1331),ISTEXT(J1331)),"⚠ Atrasos u horas extra como texto: escriba hh:mm (ej. 1:30)",IF(AND(ISNUMBER(Q1331),COUNTIFS(M_RUTN,V1331,M_MES,B1331,M_LIQ,"&lt;&gt;")&gt;1),"⚠ Liquidación repetida en el mes",IF(AND(ISNUMBER(O1331),ISNUMBER(P1331),ISNUMBER(Q1331),ABS(O1331-P1331-Q1331)&gt;1),"⚠ Haberes − descuentos no da el líquido","OK"))))))</f>
        <v/>
      </c>
      <c r="V1331" s="62" t="str">
        <f aca="false">IF(C1331="","",IFERROR(VALUE(LEFT(UPPER(SUBSTITUTE(SUBSTITUTE(SUBSTITUTE(TRIM(C1331),".",""),"-","")," ","")),LEN(UPPER(SUBSTITUTE(SUBSTITUTE(SUBSTITUTE(TRIM(C1331),".",""),"-","")," ","")))-1))&amp;RIGHT(UPPER(SUBSTITUTE(SUBSTITUTE(SUBSTITUTE(TRIM(C1331),".",""),"-","")," ","")),1),UPPER(SUBSTITUTE(SUBSTITUTE(SUBSTITUTE(TRIM(C1331),".",""),"-","")," ",""))))</f>
        <v/>
      </c>
    </row>
    <row r="1332" customFormat="false" ht="15" hidden="false" customHeight="false" outlineLevel="0" collapsed="false">
      <c r="B1332" s="80"/>
      <c r="C1332" s="58"/>
      <c r="D1332" s="62" t="str">
        <f aca="false">IF(C1332="","",IFERROR(INDEX(T_NOMBRE,MATCH(V1332,T_RUTN,0)),"⚠ RUT no está en Trabajadores"))</f>
        <v/>
      </c>
      <c r="E1332" s="61"/>
      <c r="F1332" s="61"/>
      <c r="G1332" s="61"/>
      <c r="H1332" s="61"/>
      <c r="I1332" s="81"/>
      <c r="J1332" s="81"/>
      <c r="K1332" s="60"/>
      <c r="L1332" s="60"/>
      <c r="M1332" s="60"/>
      <c r="N1332" s="60"/>
      <c r="O1332" s="60"/>
      <c r="P1332" s="60"/>
      <c r="Q1332" s="60"/>
      <c r="R1332" s="58"/>
      <c r="S1332" s="62" t="str">
        <f aca="false">IF(OR(B1332="",V1332=""),"",IFERROR(INDEX(C_TIPO,MATCH(V1332&amp;"-P"&amp;MAX(1,COUNTIFS(C_RUTN,V1332,C_DEF,"Sí",C_INI,"&lt;="&amp;EOMONTH(B1332,0))),C_CLAVE,0))&amp;"","Sin contrato"))</f>
        <v/>
      </c>
      <c r="T1332" s="63" t="str">
        <f aca="false">IF(OR(B1332="",N(O1332)=0),"",N(O1332)+ROUND(MIN(N(N1332),TOPE_UF*UF_MES)*(TASA_EMP+MUTUAL),0)+ROUND(MIN(N(N1332),TOPE_AFC_UF*UF_MES)*IF(S1332="Indefinido",AFC_INDEF,AFC_PF),0))</f>
        <v/>
      </c>
      <c r="U1332" s="62" t="str">
        <f aca="false">IF(C1332="","",IF(LEFT(D1332,1)="⚠","⚠ RUT no registrado en Trabajadores",IF(B1332="","⚠ Falta el mes",IF(OR(ISTEXT(I1332),ISTEXT(J1332)),"⚠ Atrasos u horas extra como texto: escriba hh:mm (ej. 1:30)",IF(AND(ISNUMBER(Q1332),COUNTIFS(M_RUTN,V1332,M_MES,B1332,M_LIQ,"&lt;&gt;")&gt;1),"⚠ Liquidación repetida en el mes",IF(AND(ISNUMBER(O1332),ISNUMBER(P1332),ISNUMBER(Q1332),ABS(O1332-P1332-Q1332)&gt;1),"⚠ Haberes − descuentos no da el líquido","OK"))))))</f>
        <v/>
      </c>
      <c r="V1332" s="62" t="str">
        <f aca="false">IF(C1332="","",IFERROR(VALUE(LEFT(UPPER(SUBSTITUTE(SUBSTITUTE(SUBSTITUTE(TRIM(C1332),".",""),"-","")," ","")),LEN(UPPER(SUBSTITUTE(SUBSTITUTE(SUBSTITUTE(TRIM(C1332),".",""),"-","")," ","")))-1))&amp;RIGHT(UPPER(SUBSTITUTE(SUBSTITUTE(SUBSTITUTE(TRIM(C1332),".",""),"-","")," ","")),1),UPPER(SUBSTITUTE(SUBSTITUTE(SUBSTITUTE(TRIM(C1332),".",""),"-","")," ",""))))</f>
        <v/>
      </c>
    </row>
    <row r="1333" customFormat="false" ht="15" hidden="false" customHeight="false" outlineLevel="0" collapsed="false">
      <c r="B1333" s="80"/>
      <c r="C1333" s="58"/>
      <c r="D1333" s="62" t="str">
        <f aca="false">IF(C1333="","",IFERROR(INDEX(T_NOMBRE,MATCH(V1333,T_RUTN,0)),"⚠ RUT no está en Trabajadores"))</f>
        <v/>
      </c>
      <c r="E1333" s="61"/>
      <c r="F1333" s="61"/>
      <c r="G1333" s="61"/>
      <c r="H1333" s="61"/>
      <c r="I1333" s="81"/>
      <c r="J1333" s="81"/>
      <c r="K1333" s="60"/>
      <c r="L1333" s="60"/>
      <c r="M1333" s="60"/>
      <c r="N1333" s="60"/>
      <c r="O1333" s="60"/>
      <c r="P1333" s="60"/>
      <c r="Q1333" s="60"/>
      <c r="R1333" s="58"/>
      <c r="S1333" s="62" t="str">
        <f aca="false">IF(OR(B1333="",V1333=""),"",IFERROR(INDEX(C_TIPO,MATCH(V1333&amp;"-P"&amp;MAX(1,COUNTIFS(C_RUTN,V1333,C_DEF,"Sí",C_INI,"&lt;="&amp;EOMONTH(B1333,0))),C_CLAVE,0))&amp;"","Sin contrato"))</f>
        <v/>
      </c>
      <c r="T1333" s="63" t="str">
        <f aca="false">IF(OR(B1333="",N(O1333)=0),"",N(O1333)+ROUND(MIN(N(N1333),TOPE_UF*UF_MES)*(TASA_EMP+MUTUAL),0)+ROUND(MIN(N(N1333),TOPE_AFC_UF*UF_MES)*IF(S1333="Indefinido",AFC_INDEF,AFC_PF),0))</f>
        <v/>
      </c>
      <c r="U1333" s="62" t="str">
        <f aca="false">IF(C1333="","",IF(LEFT(D1333,1)="⚠","⚠ RUT no registrado en Trabajadores",IF(B1333="","⚠ Falta el mes",IF(OR(ISTEXT(I1333),ISTEXT(J1333)),"⚠ Atrasos u horas extra como texto: escriba hh:mm (ej. 1:30)",IF(AND(ISNUMBER(Q1333),COUNTIFS(M_RUTN,V1333,M_MES,B1333,M_LIQ,"&lt;&gt;")&gt;1),"⚠ Liquidación repetida en el mes",IF(AND(ISNUMBER(O1333),ISNUMBER(P1333),ISNUMBER(Q1333),ABS(O1333-P1333-Q1333)&gt;1),"⚠ Haberes − descuentos no da el líquido","OK"))))))</f>
        <v/>
      </c>
      <c r="V1333" s="62" t="str">
        <f aca="false">IF(C1333="","",IFERROR(VALUE(LEFT(UPPER(SUBSTITUTE(SUBSTITUTE(SUBSTITUTE(TRIM(C1333),".",""),"-","")," ","")),LEN(UPPER(SUBSTITUTE(SUBSTITUTE(SUBSTITUTE(TRIM(C1333),".",""),"-","")," ","")))-1))&amp;RIGHT(UPPER(SUBSTITUTE(SUBSTITUTE(SUBSTITUTE(TRIM(C1333),".",""),"-","")," ","")),1),UPPER(SUBSTITUTE(SUBSTITUTE(SUBSTITUTE(TRIM(C1333),".",""),"-","")," ",""))))</f>
        <v/>
      </c>
    </row>
    <row r="1334" customFormat="false" ht="15" hidden="false" customHeight="false" outlineLevel="0" collapsed="false">
      <c r="B1334" s="80"/>
      <c r="C1334" s="58"/>
      <c r="D1334" s="62" t="str">
        <f aca="false">IF(C1334="","",IFERROR(INDEX(T_NOMBRE,MATCH(V1334,T_RUTN,0)),"⚠ RUT no está en Trabajadores"))</f>
        <v/>
      </c>
      <c r="E1334" s="61"/>
      <c r="F1334" s="61"/>
      <c r="G1334" s="61"/>
      <c r="H1334" s="61"/>
      <c r="I1334" s="81"/>
      <c r="J1334" s="81"/>
      <c r="K1334" s="60"/>
      <c r="L1334" s="60"/>
      <c r="M1334" s="60"/>
      <c r="N1334" s="60"/>
      <c r="O1334" s="60"/>
      <c r="P1334" s="60"/>
      <c r="Q1334" s="60"/>
      <c r="R1334" s="58"/>
      <c r="S1334" s="62" t="str">
        <f aca="false">IF(OR(B1334="",V1334=""),"",IFERROR(INDEX(C_TIPO,MATCH(V1334&amp;"-P"&amp;MAX(1,COUNTIFS(C_RUTN,V1334,C_DEF,"Sí",C_INI,"&lt;="&amp;EOMONTH(B1334,0))),C_CLAVE,0))&amp;"","Sin contrato"))</f>
        <v/>
      </c>
      <c r="T1334" s="63" t="str">
        <f aca="false">IF(OR(B1334="",N(O1334)=0),"",N(O1334)+ROUND(MIN(N(N1334),TOPE_UF*UF_MES)*(TASA_EMP+MUTUAL),0)+ROUND(MIN(N(N1334),TOPE_AFC_UF*UF_MES)*IF(S1334="Indefinido",AFC_INDEF,AFC_PF),0))</f>
        <v/>
      </c>
      <c r="U1334" s="62" t="str">
        <f aca="false">IF(C1334="","",IF(LEFT(D1334,1)="⚠","⚠ RUT no registrado en Trabajadores",IF(B1334="","⚠ Falta el mes",IF(OR(ISTEXT(I1334),ISTEXT(J1334)),"⚠ Atrasos u horas extra como texto: escriba hh:mm (ej. 1:30)",IF(AND(ISNUMBER(Q1334),COUNTIFS(M_RUTN,V1334,M_MES,B1334,M_LIQ,"&lt;&gt;")&gt;1),"⚠ Liquidación repetida en el mes",IF(AND(ISNUMBER(O1334),ISNUMBER(P1334),ISNUMBER(Q1334),ABS(O1334-P1334-Q1334)&gt;1),"⚠ Haberes − descuentos no da el líquido","OK"))))))</f>
        <v/>
      </c>
      <c r="V1334" s="62" t="str">
        <f aca="false">IF(C1334="","",IFERROR(VALUE(LEFT(UPPER(SUBSTITUTE(SUBSTITUTE(SUBSTITUTE(TRIM(C1334),".",""),"-","")," ","")),LEN(UPPER(SUBSTITUTE(SUBSTITUTE(SUBSTITUTE(TRIM(C1334),".",""),"-","")," ","")))-1))&amp;RIGHT(UPPER(SUBSTITUTE(SUBSTITUTE(SUBSTITUTE(TRIM(C1334),".",""),"-","")," ","")),1),UPPER(SUBSTITUTE(SUBSTITUTE(SUBSTITUTE(TRIM(C1334),".",""),"-","")," ",""))))</f>
        <v/>
      </c>
    </row>
    <row r="1335" customFormat="false" ht="15" hidden="false" customHeight="false" outlineLevel="0" collapsed="false">
      <c r="B1335" s="80"/>
      <c r="C1335" s="58"/>
      <c r="D1335" s="62" t="str">
        <f aca="false">IF(C1335="","",IFERROR(INDEX(T_NOMBRE,MATCH(V1335,T_RUTN,0)),"⚠ RUT no está en Trabajadores"))</f>
        <v/>
      </c>
      <c r="E1335" s="61"/>
      <c r="F1335" s="61"/>
      <c r="G1335" s="61"/>
      <c r="H1335" s="61"/>
      <c r="I1335" s="81"/>
      <c r="J1335" s="81"/>
      <c r="K1335" s="60"/>
      <c r="L1335" s="60"/>
      <c r="M1335" s="60"/>
      <c r="N1335" s="60"/>
      <c r="O1335" s="60"/>
      <c r="P1335" s="60"/>
      <c r="Q1335" s="60"/>
      <c r="R1335" s="58"/>
      <c r="S1335" s="62" t="str">
        <f aca="false">IF(OR(B1335="",V1335=""),"",IFERROR(INDEX(C_TIPO,MATCH(V1335&amp;"-P"&amp;MAX(1,COUNTIFS(C_RUTN,V1335,C_DEF,"Sí",C_INI,"&lt;="&amp;EOMONTH(B1335,0))),C_CLAVE,0))&amp;"","Sin contrato"))</f>
        <v/>
      </c>
      <c r="T1335" s="63" t="str">
        <f aca="false">IF(OR(B1335="",N(O1335)=0),"",N(O1335)+ROUND(MIN(N(N1335),TOPE_UF*UF_MES)*(TASA_EMP+MUTUAL),0)+ROUND(MIN(N(N1335),TOPE_AFC_UF*UF_MES)*IF(S1335="Indefinido",AFC_INDEF,AFC_PF),0))</f>
        <v/>
      </c>
      <c r="U1335" s="62" t="str">
        <f aca="false">IF(C1335="","",IF(LEFT(D1335,1)="⚠","⚠ RUT no registrado en Trabajadores",IF(B1335="","⚠ Falta el mes",IF(OR(ISTEXT(I1335),ISTEXT(J1335)),"⚠ Atrasos u horas extra como texto: escriba hh:mm (ej. 1:30)",IF(AND(ISNUMBER(Q1335),COUNTIFS(M_RUTN,V1335,M_MES,B1335,M_LIQ,"&lt;&gt;")&gt;1),"⚠ Liquidación repetida en el mes",IF(AND(ISNUMBER(O1335),ISNUMBER(P1335),ISNUMBER(Q1335),ABS(O1335-P1335-Q1335)&gt;1),"⚠ Haberes − descuentos no da el líquido","OK"))))))</f>
        <v/>
      </c>
      <c r="V1335" s="62" t="str">
        <f aca="false">IF(C1335="","",IFERROR(VALUE(LEFT(UPPER(SUBSTITUTE(SUBSTITUTE(SUBSTITUTE(TRIM(C1335),".",""),"-","")," ","")),LEN(UPPER(SUBSTITUTE(SUBSTITUTE(SUBSTITUTE(TRIM(C1335),".",""),"-","")," ","")))-1))&amp;RIGHT(UPPER(SUBSTITUTE(SUBSTITUTE(SUBSTITUTE(TRIM(C1335),".",""),"-","")," ","")),1),UPPER(SUBSTITUTE(SUBSTITUTE(SUBSTITUTE(TRIM(C1335),".",""),"-","")," ",""))))</f>
        <v/>
      </c>
    </row>
    <row r="1336" customFormat="false" ht="15" hidden="false" customHeight="false" outlineLevel="0" collapsed="false">
      <c r="B1336" s="80"/>
      <c r="C1336" s="58"/>
      <c r="D1336" s="62" t="str">
        <f aca="false">IF(C1336="","",IFERROR(INDEX(T_NOMBRE,MATCH(V1336,T_RUTN,0)),"⚠ RUT no está en Trabajadores"))</f>
        <v/>
      </c>
      <c r="E1336" s="61"/>
      <c r="F1336" s="61"/>
      <c r="G1336" s="61"/>
      <c r="H1336" s="61"/>
      <c r="I1336" s="81"/>
      <c r="J1336" s="81"/>
      <c r="K1336" s="60"/>
      <c r="L1336" s="60"/>
      <c r="M1336" s="60"/>
      <c r="N1336" s="60"/>
      <c r="O1336" s="60"/>
      <c r="P1336" s="60"/>
      <c r="Q1336" s="60"/>
      <c r="R1336" s="58"/>
      <c r="S1336" s="62" t="str">
        <f aca="false">IF(OR(B1336="",V1336=""),"",IFERROR(INDEX(C_TIPO,MATCH(V1336&amp;"-P"&amp;MAX(1,COUNTIFS(C_RUTN,V1336,C_DEF,"Sí",C_INI,"&lt;="&amp;EOMONTH(B1336,0))),C_CLAVE,0))&amp;"","Sin contrato"))</f>
        <v/>
      </c>
      <c r="T1336" s="63" t="str">
        <f aca="false">IF(OR(B1336="",N(O1336)=0),"",N(O1336)+ROUND(MIN(N(N1336),TOPE_UF*UF_MES)*(TASA_EMP+MUTUAL),0)+ROUND(MIN(N(N1336),TOPE_AFC_UF*UF_MES)*IF(S1336="Indefinido",AFC_INDEF,AFC_PF),0))</f>
        <v/>
      </c>
      <c r="U1336" s="62" t="str">
        <f aca="false">IF(C1336="","",IF(LEFT(D1336,1)="⚠","⚠ RUT no registrado en Trabajadores",IF(B1336="","⚠ Falta el mes",IF(OR(ISTEXT(I1336),ISTEXT(J1336)),"⚠ Atrasos u horas extra como texto: escriba hh:mm (ej. 1:30)",IF(AND(ISNUMBER(Q1336),COUNTIFS(M_RUTN,V1336,M_MES,B1336,M_LIQ,"&lt;&gt;")&gt;1),"⚠ Liquidación repetida en el mes",IF(AND(ISNUMBER(O1336),ISNUMBER(P1336),ISNUMBER(Q1336),ABS(O1336-P1336-Q1336)&gt;1),"⚠ Haberes − descuentos no da el líquido","OK"))))))</f>
        <v/>
      </c>
      <c r="V1336" s="62" t="str">
        <f aca="false">IF(C1336="","",IFERROR(VALUE(LEFT(UPPER(SUBSTITUTE(SUBSTITUTE(SUBSTITUTE(TRIM(C1336),".",""),"-","")," ","")),LEN(UPPER(SUBSTITUTE(SUBSTITUTE(SUBSTITUTE(TRIM(C1336),".",""),"-","")," ","")))-1))&amp;RIGHT(UPPER(SUBSTITUTE(SUBSTITUTE(SUBSTITUTE(TRIM(C1336),".",""),"-","")," ","")),1),UPPER(SUBSTITUTE(SUBSTITUTE(SUBSTITUTE(TRIM(C1336),".",""),"-","")," ",""))))</f>
        <v/>
      </c>
    </row>
    <row r="1337" customFormat="false" ht="15" hidden="false" customHeight="false" outlineLevel="0" collapsed="false">
      <c r="B1337" s="80"/>
      <c r="C1337" s="58"/>
      <c r="D1337" s="62" t="str">
        <f aca="false">IF(C1337="","",IFERROR(INDEX(T_NOMBRE,MATCH(V1337,T_RUTN,0)),"⚠ RUT no está en Trabajadores"))</f>
        <v/>
      </c>
      <c r="E1337" s="61"/>
      <c r="F1337" s="61"/>
      <c r="G1337" s="61"/>
      <c r="H1337" s="61"/>
      <c r="I1337" s="81"/>
      <c r="J1337" s="81"/>
      <c r="K1337" s="60"/>
      <c r="L1337" s="60"/>
      <c r="M1337" s="60"/>
      <c r="N1337" s="60"/>
      <c r="O1337" s="60"/>
      <c r="P1337" s="60"/>
      <c r="Q1337" s="60"/>
      <c r="R1337" s="58"/>
      <c r="S1337" s="62" t="str">
        <f aca="false">IF(OR(B1337="",V1337=""),"",IFERROR(INDEX(C_TIPO,MATCH(V1337&amp;"-P"&amp;MAX(1,COUNTIFS(C_RUTN,V1337,C_DEF,"Sí",C_INI,"&lt;="&amp;EOMONTH(B1337,0))),C_CLAVE,0))&amp;"","Sin contrato"))</f>
        <v/>
      </c>
      <c r="T1337" s="63" t="str">
        <f aca="false">IF(OR(B1337="",N(O1337)=0),"",N(O1337)+ROUND(MIN(N(N1337),TOPE_UF*UF_MES)*(TASA_EMP+MUTUAL),0)+ROUND(MIN(N(N1337),TOPE_AFC_UF*UF_MES)*IF(S1337="Indefinido",AFC_INDEF,AFC_PF),0))</f>
        <v/>
      </c>
      <c r="U1337" s="62" t="str">
        <f aca="false">IF(C1337="","",IF(LEFT(D1337,1)="⚠","⚠ RUT no registrado en Trabajadores",IF(B1337="","⚠ Falta el mes",IF(OR(ISTEXT(I1337),ISTEXT(J1337)),"⚠ Atrasos u horas extra como texto: escriba hh:mm (ej. 1:30)",IF(AND(ISNUMBER(Q1337),COUNTIFS(M_RUTN,V1337,M_MES,B1337,M_LIQ,"&lt;&gt;")&gt;1),"⚠ Liquidación repetida en el mes",IF(AND(ISNUMBER(O1337),ISNUMBER(P1337),ISNUMBER(Q1337),ABS(O1337-P1337-Q1337)&gt;1),"⚠ Haberes − descuentos no da el líquido","OK"))))))</f>
        <v/>
      </c>
      <c r="V1337" s="62" t="str">
        <f aca="false">IF(C1337="","",IFERROR(VALUE(LEFT(UPPER(SUBSTITUTE(SUBSTITUTE(SUBSTITUTE(TRIM(C1337),".",""),"-","")," ","")),LEN(UPPER(SUBSTITUTE(SUBSTITUTE(SUBSTITUTE(TRIM(C1337),".",""),"-","")," ","")))-1))&amp;RIGHT(UPPER(SUBSTITUTE(SUBSTITUTE(SUBSTITUTE(TRIM(C1337),".",""),"-","")," ","")),1),UPPER(SUBSTITUTE(SUBSTITUTE(SUBSTITUTE(TRIM(C1337),".",""),"-","")," ",""))))</f>
        <v/>
      </c>
    </row>
    <row r="1338" customFormat="false" ht="15" hidden="false" customHeight="false" outlineLevel="0" collapsed="false">
      <c r="B1338" s="80"/>
      <c r="C1338" s="58"/>
      <c r="D1338" s="62" t="str">
        <f aca="false">IF(C1338="","",IFERROR(INDEX(T_NOMBRE,MATCH(V1338,T_RUTN,0)),"⚠ RUT no está en Trabajadores"))</f>
        <v/>
      </c>
      <c r="E1338" s="61"/>
      <c r="F1338" s="61"/>
      <c r="G1338" s="61"/>
      <c r="H1338" s="61"/>
      <c r="I1338" s="81"/>
      <c r="J1338" s="81"/>
      <c r="K1338" s="60"/>
      <c r="L1338" s="60"/>
      <c r="M1338" s="60"/>
      <c r="N1338" s="60"/>
      <c r="O1338" s="60"/>
      <c r="P1338" s="60"/>
      <c r="Q1338" s="60"/>
      <c r="R1338" s="58"/>
      <c r="S1338" s="62" t="str">
        <f aca="false">IF(OR(B1338="",V1338=""),"",IFERROR(INDEX(C_TIPO,MATCH(V1338&amp;"-P"&amp;MAX(1,COUNTIFS(C_RUTN,V1338,C_DEF,"Sí",C_INI,"&lt;="&amp;EOMONTH(B1338,0))),C_CLAVE,0))&amp;"","Sin contrato"))</f>
        <v/>
      </c>
      <c r="T1338" s="63" t="str">
        <f aca="false">IF(OR(B1338="",N(O1338)=0),"",N(O1338)+ROUND(MIN(N(N1338),TOPE_UF*UF_MES)*(TASA_EMP+MUTUAL),0)+ROUND(MIN(N(N1338),TOPE_AFC_UF*UF_MES)*IF(S1338="Indefinido",AFC_INDEF,AFC_PF),0))</f>
        <v/>
      </c>
      <c r="U1338" s="62" t="str">
        <f aca="false">IF(C1338="","",IF(LEFT(D1338,1)="⚠","⚠ RUT no registrado en Trabajadores",IF(B1338="","⚠ Falta el mes",IF(OR(ISTEXT(I1338),ISTEXT(J1338)),"⚠ Atrasos u horas extra como texto: escriba hh:mm (ej. 1:30)",IF(AND(ISNUMBER(Q1338),COUNTIFS(M_RUTN,V1338,M_MES,B1338,M_LIQ,"&lt;&gt;")&gt;1),"⚠ Liquidación repetida en el mes",IF(AND(ISNUMBER(O1338),ISNUMBER(P1338),ISNUMBER(Q1338),ABS(O1338-P1338-Q1338)&gt;1),"⚠ Haberes − descuentos no da el líquido","OK"))))))</f>
        <v/>
      </c>
      <c r="V1338" s="62" t="str">
        <f aca="false">IF(C1338="","",IFERROR(VALUE(LEFT(UPPER(SUBSTITUTE(SUBSTITUTE(SUBSTITUTE(TRIM(C1338),".",""),"-","")," ","")),LEN(UPPER(SUBSTITUTE(SUBSTITUTE(SUBSTITUTE(TRIM(C1338),".",""),"-","")," ","")))-1))&amp;RIGHT(UPPER(SUBSTITUTE(SUBSTITUTE(SUBSTITUTE(TRIM(C1338),".",""),"-","")," ","")),1),UPPER(SUBSTITUTE(SUBSTITUTE(SUBSTITUTE(TRIM(C1338),".",""),"-","")," ",""))))</f>
        <v/>
      </c>
    </row>
    <row r="1339" customFormat="false" ht="15" hidden="false" customHeight="false" outlineLevel="0" collapsed="false">
      <c r="B1339" s="80"/>
      <c r="C1339" s="58"/>
      <c r="D1339" s="62" t="str">
        <f aca="false">IF(C1339="","",IFERROR(INDEX(T_NOMBRE,MATCH(V1339,T_RUTN,0)),"⚠ RUT no está en Trabajadores"))</f>
        <v/>
      </c>
      <c r="E1339" s="61"/>
      <c r="F1339" s="61"/>
      <c r="G1339" s="61"/>
      <c r="H1339" s="61"/>
      <c r="I1339" s="81"/>
      <c r="J1339" s="81"/>
      <c r="K1339" s="60"/>
      <c r="L1339" s="60"/>
      <c r="M1339" s="60"/>
      <c r="N1339" s="60"/>
      <c r="O1339" s="60"/>
      <c r="P1339" s="60"/>
      <c r="Q1339" s="60"/>
      <c r="R1339" s="58"/>
      <c r="S1339" s="62" t="str">
        <f aca="false">IF(OR(B1339="",V1339=""),"",IFERROR(INDEX(C_TIPO,MATCH(V1339&amp;"-P"&amp;MAX(1,COUNTIFS(C_RUTN,V1339,C_DEF,"Sí",C_INI,"&lt;="&amp;EOMONTH(B1339,0))),C_CLAVE,0))&amp;"","Sin contrato"))</f>
        <v/>
      </c>
      <c r="T1339" s="63" t="str">
        <f aca="false">IF(OR(B1339="",N(O1339)=0),"",N(O1339)+ROUND(MIN(N(N1339),TOPE_UF*UF_MES)*(TASA_EMP+MUTUAL),0)+ROUND(MIN(N(N1339),TOPE_AFC_UF*UF_MES)*IF(S1339="Indefinido",AFC_INDEF,AFC_PF),0))</f>
        <v/>
      </c>
      <c r="U1339" s="62" t="str">
        <f aca="false">IF(C1339="","",IF(LEFT(D1339,1)="⚠","⚠ RUT no registrado en Trabajadores",IF(B1339="","⚠ Falta el mes",IF(OR(ISTEXT(I1339),ISTEXT(J1339)),"⚠ Atrasos u horas extra como texto: escriba hh:mm (ej. 1:30)",IF(AND(ISNUMBER(Q1339),COUNTIFS(M_RUTN,V1339,M_MES,B1339,M_LIQ,"&lt;&gt;")&gt;1),"⚠ Liquidación repetida en el mes",IF(AND(ISNUMBER(O1339),ISNUMBER(P1339),ISNUMBER(Q1339),ABS(O1339-P1339-Q1339)&gt;1),"⚠ Haberes − descuentos no da el líquido","OK"))))))</f>
        <v/>
      </c>
      <c r="V1339" s="62" t="str">
        <f aca="false">IF(C1339="","",IFERROR(VALUE(LEFT(UPPER(SUBSTITUTE(SUBSTITUTE(SUBSTITUTE(TRIM(C1339),".",""),"-","")," ","")),LEN(UPPER(SUBSTITUTE(SUBSTITUTE(SUBSTITUTE(TRIM(C1339),".",""),"-","")," ","")))-1))&amp;RIGHT(UPPER(SUBSTITUTE(SUBSTITUTE(SUBSTITUTE(TRIM(C1339),".",""),"-","")," ","")),1),UPPER(SUBSTITUTE(SUBSTITUTE(SUBSTITUTE(TRIM(C1339),".",""),"-","")," ",""))))</f>
        <v/>
      </c>
    </row>
    <row r="1340" customFormat="false" ht="15" hidden="false" customHeight="false" outlineLevel="0" collapsed="false">
      <c r="B1340" s="80"/>
      <c r="C1340" s="58"/>
      <c r="D1340" s="62" t="str">
        <f aca="false">IF(C1340="","",IFERROR(INDEX(T_NOMBRE,MATCH(V1340,T_RUTN,0)),"⚠ RUT no está en Trabajadores"))</f>
        <v/>
      </c>
      <c r="E1340" s="61"/>
      <c r="F1340" s="61"/>
      <c r="G1340" s="61"/>
      <c r="H1340" s="61"/>
      <c r="I1340" s="81"/>
      <c r="J1340" s="81"/>
      <c r="K1340" s="60"/>
      <c r="L1340" s="60"/>
      <c r="M1340" s="60"/>
      <c r="N1340" s="60"/>
      <c r="O1340" s="60"/>
      <c r="P1340" s="60"/>
      <c r="Q1340" s="60"/>
      <c r="R1340" s="58"/>
      <c r="S1340" s="62" t="str">
        <f aca="false">IF(OR(B1340="",V1340=""),"",IFERROR(INDEX(C_TIPO,MATCH(V1340&amp;"-P"&amp;MAX(1,COUNTIFS(C_RUTN,V1340,C_DEF,"Sí",C_INI,"&lt;="&amp;EOMONTH(B1340,0))),C_CLAVE,0))&amp;"","Sin contrato"))</f>
        <v/>
      </c>
      <c r="T1340" s="63" t="str">
        <f aca="false">IF(OR(B1340="",N(O1340)=0),"",N(O1340)+ROUND(MIN(N(N1340),TOPE_UF*UF_MES)*(TASA_EMP+MUTUAL),0)+ROUND(MIN(N(N1340),TOPE_AFC_UF*UF_MES)*IF(S1340="Indefinido",AFC_INDEF,AFC_PF),0))</f>
        <v/>
      </c>
      <c r="U1340" s="62" t="str">
        <f aca="false">IF(C1340="","",IF(LEFT(D1340,1)="⚠","⚠ RUT no registrado en Trabajadores",IF(B1340="","⚠ Falta el mes",IF(OR(ISTEXT(I1340),ISTEXT(J1340)),"⚠ Atrasos u horas extra como texto: escriba hh:mm (ej. 1:30)",IF(AND(ISNUMBER(Q1340),COUNTIFS(M_RUTN,V1340,M_MES,B1340,M_LIQ,"&lt;&gt;")&gt;1),"⚠ Liquidación repetida en el mes",IF(AND(ISNUMBER(O1340),ISNUMBER(P1340),ISNUMBER(Q1340),ABS(O1340-P1340-Q1340)&gt;1),"⚠ Haberes − descuentos no da el líquido","OK"))))))</f>
        <v/>
      </c>
      <c r="V1340" s="62" t="str">
        <f aca="false">IF(C1340="","",IFERROR(VALUE(LEFT(UPPER(SUBSTITUTE(SUBSTITUTE(SUBSTITUTE(TRIM(C1340),".",""),"-","")," ","")),LEN(UPPER(SUBSTITUTE(SUBSTITUTE(SUBSTITUTE(TRIM(C1340),".",""),"-","")," ","")))-1))&amp;RIGHT(UPPER(SUBSTITUTE(SUBSTITUTE(SUBSTITUTE(TRIM(C1340),".",""),"-","")," ","")),1),UPPER(SUBSTITUTE(SUBSTITUTE(SUBSTITUTE(TRIM(C1340),".",""),"-","")," ",""))))</f>
        <v/>
      </c>
    </row>
    <row r="1341" customFormat="false" ht="15" hidden="false" customHeight="false" outlineLevel="0" collapsed="false">
      <c r="B1341" s="80"/>
      <c r="C1341" s="58"/>
      <c r="D1341" s="62" t="str">
        <f aca="false">IF(C1341="","",IFERROR(INDEX(T_NOMBRE,MATCH(V1341,T_RUTN,0)),"⚠ RUT no está en Trabajadores"))</f>
        <v/>
      </c>
      <c r="E1341" s="61"/>
      <c r="F1341" s="61"/>
      <c r="G1341" s="61"/>
      <c r="H1341" s="61"/>
      <c r="I1341" s="81"/>
      <c r="J1341" s="81"/>
      <c r="K1341" s="60"/>
      <c r="L1341" s="60"/>
      <c r="M1341" s="60"/>
      <c r="N1341" s="60"/>
      <c r="O1341" s="60"/>
      <c r="P1341" s="60"/>
      <c r="Q1341" s="60"/>
      <c r="R1341" s="58"/>
      <c r="S1341" s="62" t="str">
        <f aca="false">IF(OR(B1341="",V1341=""),"",IFERROR(INDEX(C_TIPO,MATCH(V1341&amp;"-P"&amp;MAX(1,COUNTIFS(C_RUTN,V1341,C_DEF,"Sí",C_INI,"&lt;="&amp;EOMONTH(B1341,0))),C_CLAVE,0))&amp;"","Sin contrato"))</f>
        <v/>
      </c>
      <c r="T1341" s="63" t="str">
        <f aca="false">IF(OR(B1341="",N(O1341)=0),"",N(O1341)+ROUND(MIN(N(N1341),TOPE_UF*UF_MES)*(TASA_EMP+MUTUAL),0)+ROUND(MIN(N(N1341),TOPE_AFC_UF*UF_MES)*IF(S1341="Indefinido",AFC_INDEF,AFC_PF),0))</f>
        <v/>
      </c>
      <c r="U1341" s="62" t="str">
        <f aca="false">IF(C1341="","",IF(LEFT(D1341,1)="⚠","⚠ RUT no registrado en Trabajadores",IF(B1341="","⚠ Falta el mes",IF(OR(ISTEXT(I1341),ISTEXT(J1341)),"⚠ Atrasos u horas extra como texto: escriba hh:mm (ej. 1:30)",IF(AND(ISNUMBER(Q1341),COUNTIFS(M_RUTN,V1341,M_MES,B1341,M_LIQ,"&lt;&gt;")&gt;1),"⚠ Liquidación repetida en el mes",IF(AND(ISNUMBER(O1341),ISNUMBER(P1341),ISNUMBER(Q1341),ABS(O1341-P1341-Q1341)&gt;1),"⚠ Haberes − descuentos no da el líquido","OK"))))))</f>
        <v/>
      </c>
      <c r="V1341" s="62" t="str">
        <f aca="false">IF(C1341="","",IFERROR(VALUE(LEFT(UPPER(SUBSTITUTE(SUBSTITUTE(SUBSTITUTE(TRIM(C1341),".",""),"-","")," ","")),LEN(UPPER(SUBSTITUTE(SUBSTITUTE(SUBSTITUTE(TRIM(C1341),".",""),"-","")," ","")))-1))&amp;RIGHT(UPPER(SUBSTITUTE(SUBSTITUTE(SUBSTITUTE(TRIM(C1341),".",""),"-","")," ","")),1),UPPER(SUBSTITUTE(SUBSTITUTE(SUBSTITUTE(TRIM(C1341),".",""),"-","")," ",""))))</f>
        <v/>
      </c>
    </row>
    <row r="1342" customFormat="false" ht="15" hidden="false" customHeight="false" outlineLevel="0" collapsed="false">
      <c r="B1342" s="80"/>
      <c r="C1342" s="58"/>
      <c r="D1342" s="62" t="str">
        <f aca="false">IF(C1342="","",IFERROR(INDEX(T_NOMBRE,MATCH(V1342,T_RUTN,0)),"⚠ RUT no está en Trabajadores"))</f>
        <v/>
      </c>
      <c r="E1342" s="61"/>
      <c r="F1342" s="61"/>
      <c r="G1342" s="61"/>
      <c r="H1342" s="61"/>
      <c r="I1342" s="81"/>
      <c r="J1342" s="81"/>
      <c r="K1342" s="60"/>
      <c r="L1342" s="60"/>
      <c r="M1342" s="60"/>
      <c r="N1342" s="60"/>
      <c r="O1342" s="60"/>
      <c r="P1342" s="60"/>
      <c r="Q1342" s="60"/>
      <c r="R1342" s="58"/>
      <c r="S1342" s="62" t="str">
        <f aca="false">IF(OR(B1342="",V1342=""),"",IFERROR(INDEX(C_TIPO,MATCH(V1342&amp;"-P"&amp;MAX(1,COUNTIFS(C_RUTN,V1342,C_DEF,"Sí",C_INI,"&lt;="&amp;EOMONTH(B1342,0))),C_CLAVE,0))&amp;"","Sin contrato"))</f>
        <v/>
      </c>
      <c r="T1342" s="63" t="str">
        <f aca="false">IF(OR(B1342="",N(O1342)=0),"",N(O1342)+ROUND(MIN(N(N1342),TOPE_UF*UF_MES)*(TASA_EMP+MUTUAL),0)+ROUND(MIN(N(N1342),TOPE_AFC_UF*UF_MES)*IF(S1342="Indefinido",AFC_INDEF,AFC_PF),0))</f>
        <v/>
      </c>
      <c r="U1342" s="62" t="str">
        <f aca="false">IF(C1342="","",IF(LEFT(D1342,1)="⚠","⚠ RUT no registrado en Trabajadores",IF(B1342="","⚠ Falta el mes",IF(OR(ISTEXT(I1342),ISTEXT(J1342)),"⚠ Atrasos u horas extra como texto: escriba hh:mm (ej. 1:30)",IF(AND(ISNUMBER(Q1342),COUNTIFS(M_RUTN,V1342,M_MES,B1342,M_LIQ,"&lt;&gt;")&gt;1),"⚠ Liquidación repetida en el mes",IF(AND(ISNUMBER(O1342),ISNUMBER(P1342),ISNUMBER(Q1342),ABS(O1342-P1342-Q1342)&gt;1),"⚠ Haberes − descuentos no da el líquido","OK"))))))</f>
        <v/>
      </c>
      <c r="V1342" s="62" t="str">
        <f aca="false">IF(C1342="","",IFERROR(VALUE(LEFT(UPPER(SUBSTITUTE(SUBSTITUTE(SUBSTITUTE(TRIM(C1342),".",""),"-","")," ","")),LEN(UPPER(SUBSTITUTE(SUBSTITUTE(SUBSTITUTE(TRIM(C1342),".",""),"-","")," ","")))-1))&amp;RIGHT(UPPER(SUBSTITUTE(SUBSTITUTE(SUBSTITUTE(TRIM(C1342),".",""),"-","")," ","")),1),UPPER(SUBSTITUTE(SUBSTITUTE(SUBSTITUTE(TRIM(C1342),".",""),"-","")," ",""))))</f>
        <v/>
      </c>
    </row>
    <row r="1343" customFormat="false" ht="15" hidden="false" customHeight="false" outlineLevel="0" collapsed="false">
      <c r="B1343" s="80"/>
      <c r="C1343" s="58"/>
      <c r="D1343" s="62" t="str">
        <f aca="false">IF(C1343="","",IFERROR(INDEX(T_NOMBRE,MATCH(V1343,T_RUTN,0)),"⚠ RUT no está en Trabajadores"))</f>
        <v/>
      </c>
      <c r="E1343" s="61"/>
      <c r="F1343" s="61"/>
      <c r="G1343" s="61"/>
      <c r="H1343" s="61"/>
      <c r="I1343" s="81"/>
      <c r="J1343" s="81"/>
      <c r="K1343" s="60"/>
      <c r="L1343" s="60"/>
      <c r="M1343" s="60"/>
      <c r="N1343" s="60"/>
      <c r="O1343" s="60"/>
      <c r="P1343" s="60"/>
      <c r="Q1343" s="60"/>
      <c r="R1343" s="58"/>
      <c r="S1343" s="62" t="str">
        <f aca="false">IF(OR(B1343="",V1343=""),"",IFERROR(INDEX(C_TIPO,MATCH(V1343&amp;"-P"&amp;MAX(1,COUNTIFS(C_RUTN,V1343,C_DEF,"Sí",C_INI,"&lt;="&amp;EOMONTH(B1343,0))),C_CLAVE,0))&amp;"","Sin contrato"))</f>
        <v/>
      </c>
      <c r="T1343" s="63" t="str">
        <f aca="false">IF(OR(B1343="",N(O1343)=0),"",N(O1343)+ROUND(MIN(N(N1343),TOPE_UF*UF_MES)*(TASA_EMP+MUTUAL),0)+ROUND(MIN(N(N1343),TOPE_AFC_UF*UF_MES)*IF(S1343="Indefinido",AFC_INDEF,AFC_PF),0))</f>
        <v/>
      </c>
      <c r="U1343" s="62" t="str">
        <f aca="false">IF(C1343="","",IF(LEFT(D1343,1)="⚠","⚠ RUT no registrado en Trabajadores",IF(B1343="","⚠ Falta el mes",IF(OR(ISTEXT(I1343),ISTEXT(J1343)),"⚠ Atrasos u horas extra como texto: escriba hh:mm (ej. 1:30)",IF(AND(ISNUMBER(Q1343),COUNTIFS(M_RUTN,V1343,M_MES,B1343,M_LIQ,"&lt;&gt;")&gt;1),"⚠ Liquidación repetida en el mes",IF(AND(ISNUMBER(O1343),ISNUMBER(P1343),ISNUMBER(Q1343),ABS(O1343-P1343-Q1343)&gt;1),"⚠ Haberes − descuentos no da el líquido","OK"))))))</f>
        <v/>
      </c>
      <c r="V1343" s="62" t="str">
        <f aca="false">IF(C1343="","",IFERROR(VALUE(LEFT(UPPER(SUBSTITUTE(SUBSTITUTE(SUBSTITUTE(TRIM(C1343),".",""),"-","")," ","")),LEN(UPPER(SUBSTITUTE(SUBSTITUTE(SUBSTITUTE(TRIM(C1343),".",""),"-","")," ","")))-1))&amp;RIGHT(UPPER(SUBSTITUTE(SUBSTITUTE(SUBSTITUTE(TRIM(C1343),".",""),"-","")," ","")),1),UPPER(SUBSTITUTE(SUBSTITUTE(SUBSTITUTE(TRIM(C1343),".",""),"-","")," ",""))))</f>
        <v/>
      </c>
    </row>
    <row r="1344" customFormat="false" ht="15" hidden="false" customHeight="false" outlineLevel="0" collapsed="false">
      <c r="B1344" s="80"/>
      <c r="C1344" s="58"/>
      <c r="D1344" s="62" t="str">
        <f aca="false">IF(C1344="","",IFERROR(INDEX(T_NOMBRE,MATCH(V1344,T_RUTN,0)),"⚠ RUT no está en Trabajadores"))</f>
        <v/>
      </c>
      <c r="E1344" s="61"/>
      <c r="F1344" s="61"/>
      <c r="G1344" s="61"/>
      <c r="H1344" s="61"/>
      <c r="I1344" s="81"/>
      <c r="J1344" s="81"/>
      <c r="K1344" s="60"/>
      <c r="L1344" s="60"/>
      <c r="M1344" s="60"/>
      <c r="N1344" s="60"/>
      <c r="O1344" s="60"/>
      <c r="P1344" s="60"/>
      <c r="Q1344" s="60"/>
      <c r="R1344" s="58"/>
      <c r="S1344" s="62" t="str">
        <f aca="false">IF(OR(B1344="",V1344=""),"",IFERROR(INDEX(C_TIPO,MATCH(V1344&amp;"-P"&amp;MAX(1,COUNTIFS(C_RUTN,V1344,C_DEF,"Sí",C_INI,"&lt;="&amp;EOMONTH(B1344,0))),C_CLAVE,0))&amp;"","Sin contrato"))</f>
        <v/>
      </c>
      <c r="T1344" s="63" t="str">
        <f aca="false">IF(OR(B1344="",N(O1344)=0),"",N(O1344)+ROUND(MIN(N(N1344),TOPE_UF*UF_MES)*(TASA_EMP+MUTUAL),0)+ROUND(MIN(N(N1344),TOPE_AFC_UF*UF_MES)*IF(S1344="Indefinido",AFC_INDEF,AFC_PF),0))</f>
        <v/>
      </c>
      <c r="U1344" s="62" t="str">
        <f aca="false">IF(C1344="","",IF(LEFT(D1344,1)="⚠","⚠ RUT no registrado en Trabajadores",IF(B1344="","⚠ Falta el mes",IF(OR(ISTEXT(I1344),ISTEXT(J1344)),"⚠ Atrasos u horas extra como texto: escriba hh:mm (ej. 1:30)",IF(AND(ISNUMBER(Q1344),COUNTIFS(M_RUTN,V1344,M_MES,B1344,M_LIQ,"&lt;&gt;")&gt;1),"⚠ Liquidación repetida en el mes",IF(AND(ISNUMBER(O1344),ISNUMBER(P1344),ISNUMBER(Q1344),ABS(O1344-P1344-Q1344)&gt;1),"⚠ Haberes − descuentos no da el líquido","OK"))))))</f>
        <v/>
      </c>
      <c r="V1344" s="62" t="str">
        <f aca="false">IF(C1344="","",IFERROR(VALUE(LEFT(UPPER(SUBSTITUTE(SUBSTITUTE(SUBSTITUTE(TRIM(C1344),".",""),"-","")," ","")),LEN(UPPER(SUBSTITUTE(SUBSTITUTE(SUBSTITUTE(TRIM(C1344),".",""),"-","")," ","")))-1))&amp;RIGHT(UPPER(SUBSTITUTE(SUBSTITUTE(SUBSTITUTE(TRIM(C1344),".",""),"-","")," ","")),1),UPPER(SUBSTITUTE(SUBSTITUTE(SUBSTITUTE(TRIM(C1344),".",""),"-","")," ",""))))</f>
        <v/>
      </c>
    </row>
    <row r="1345" customFormat="false" ht="15" hidden="false" customHeight="false" outlineLevel="0" collapsed="false">
      <c r="B1345" s="80"/>
      <c r="C1345" s="58"/>
      <c r="D1345" s="62" t="str">
        <f aca="false">IF(C1345="","",IFERROR(INDEX(T_NOMBRE,MATCH(V1345,T_RUTN,0)),"⚠ RUT no está en Trabajadores"))</f>
        <v/>
      </c>
      <c r="E1345" s="61"/>
      <c r="F1345" s="61"/>
      <c r="G1345" s="61"/>
      <c r="H1345" s="61"/>
      <c r="I1345" s="81"/>
      <c r="J1345" s="81"/>
      <c r="K1345" s="60"/>
      <c r="L1345" s="60"/>
      <c r="M1345" s="60"/>
      <c r="N1345" s="60"/>
      <c r="O1345" s="60"/>
      <c r="P1345" s="60"/>
      <c r="Q1345" s="60"/>
      <c r="R1345" s="58"/>
      <c r="S1345" s="62" t="str">
        <f aca="false">IF(OR(B1345="",V1345=""),"",IFERROR(INDEX(C_TIPO,MATCH(V1345&amp;"-P"&amp;MAX(1,COUNTIFS(C_RUTN,V1345,C_DEF,"Sí",C_INI,"&lt;="&amp;EOMONTH(B1345,0))),C_CLAVE,0))&amp;"","Sin contrato"))</f>
        <v/>
      </c>
      <c r="T1345" s="63" t="str">
        <f aca="false">IF(OR(B1345="",N(O1345)=0),"",N(O1345)+ROUND(MIN(N(N1345),TOPE_UF*UF_MES)*(TASA_EMP+MUTUAL),0)+ROUND(MIN(N(N1345),TOPE_AFC_UF*UF_MES)*IF(S1345="Indefinido",AFC_INDEF,AFC_PF),0))</f>
        <v/>
      </c>
      <c r="U1345" s="62" t="str">
        <f aca="false">IF(C1345="","",IF(LEFT(D1345,1)="⚠","⚠ RUT no registrado en Trabajadores",IF(B1345="","⚠ Falta el mes",IF(OR(ISTEXT(I1345),ISTEXT(J1345)),"⚠ Atrasos u horas extra como texto: escriba hh:mm (ej. 1:30)",IF(AND(ISNUMBER(Q1345),COUNTIFS(M_RUTN,V1345,M_MES,B1345,M_LIQ,"&lt;&gt;")&gt;1),"⚠ Liquidación repetida en el mes",IF(AND(ISNUMBER(O1345),ISNUMBER(P1345),ISNUMBER(Q1345),ABS(O1345-P1345-Q1345)&gt;1),"⚠ Haberes − descuentos no da el líquido","OK"))))))</f>
        <v/>
      </c>
      <c r="V1345" s="62" t="str">
        <f aca="false">IF(C1345="","",IFERROR(VALUE(LEFT(UPPER(SUBSTITUTE(SUBSTITUTE(SUBSTITUTE(TRIM(C1345),".",""),"-","")," ","")),LEN(UPPER(SUBSTITUTE(SUBSTITUTE(SUBSTITUTE(TRIM(C1345),".",""),"-","")," ","")))-1))&amp;RIGHT(UPPER(SUBSTITUTE(SUBSTITUTE(SUBSTITUTE(TRIM(C1345),".",""),"-","")," ","")),1),UPPER(SUBSTITUTE(SUBSTITUTE(SUBSTITUTE(TRIM(C1345),".",""),"-","")," ",""))))</f>
        <v/>
      </c>
    </row>
    <row r="1346" customFormat="false" ht="15" hidden="false" customHeight="false" outlineLevel="0" collapsed="false">
      <c r="B1346" s="80"/>
      <c r="C1346" s="58"/>
      <c r="D1346" s="62" t="str">
        <f aca="false">IF(C1346="","",IFERROR(INDEX(T_NOMBRE,MATCH(V1346,T_RUTN,0)),"⚠ RUT no está en Trabajadores"))</f>
        <v/>
      </c>
      <c r="E1346" s="61"/>
      <c r="F1346" s="61"/>
      <c r="G1346" s="61"/>
      <c r="H1346" s="61"/>
      <c r="I1346" s="81"/>
      <c r="J1346" s="81"/>
      <c r="K1346" s="60"/>
      <c r="L1346" s="60"/>
      <c r="M1346" s="60"/>
      <c r="N1346" s="60"/>
      <c r="O1346" s="60"/>
      <c r="P1346" s="60"/>
      <c r="Q1346" s="60"/>
      <c r="R1346" s="58"/>
      <c r="S1346" s="62" t="str">
        <f aca="false">IF(OR(B1346="",V1346=""),"",IFERROR(INDEX(C_TIPO,MATCH(V1346&amp;"-P"&amp;MAX(1,COUNTIFS(C_RUTN,V1346,C_DEF,"Sí",C_INI,"&lt;="&amp;EOMONTH(B1346,0))),C_CLAVE,0))&amp;"","Sin contrato"))</f>
        <v/>
      </c>
      <c r="T1346" s="63" t="str">
        <f aca="false">IF(OR(B1346="",N(O1346)=0),"",N(O1346)+ROUND(MIN(N(N1346),TOPE_UF*UF_MES)*(TASA_EMP+MUTUAL),0)+ROUND(MIN(N(N1346),TOPE_AFC_UF*UF_MES)*IF(S1346="Indefinido",AFC_INDEF,AFC_PF),0))</f>
        <v/>
      </c>
      <c r="U1346" s="62" t="str">
        <f aca="false">IF(C1346="","",IF(LEFT(D1346,1)="⚠","⚠ RUT no registrado en Trabajadores",IF(B1346="","⚠ Falta el mes",IF(OR(ISTEXT(I1346),ISTEXT(J1346)),"⚠ Atrasos u horas extra como texto: escriba hh:mm (ej. 1:30)",IF(AND(ISNUMBER(Q1346),COUNTIFS(M_RUTN,V1346,M_MES,B1346,M_LIQ,"&lt;&gt;")&gt;1),"⚠ Liquidación repetida en el mes",IF(AND(ISNUMBER(O1346),ISNUMBER(P1346),ISNUMBER(Q1346),ABS(O1346-P1346-Q1346)&gt;1),"⚠ Haberes − descuentos no da el líquido","OK"))))))</f>
        <v/>
      </c>
      <c r="V1346" s="62" t="str">
        <f aca="false">IF(C1346="","",IFERROR(VALUE(LEFT(UPPER(SUBSTITUTE(SUBSTITUTE(SUBSTITUTE(TRIM(C1346),".",""),"-","")," ","")),LEN(UPPER(SUBSTITUTE(SUBSTITUTE(SUBSTITUTE(TRIM(C1346),".",""),"-","")," ","")))-1))&amp;RIGHT(UPPER(SUBSTITUTE(SUBSTITUTE(SUBSTITUTE(TRIM(C1346),".",""),"-","")," ","")),1),UPPER(SUBSTITUTE(SUBSTITUTE(SUBSTITUTE(TRIM(C1346),".",""),"-","")," ",""))))</f>
        <v/>
      </c>
    </row>
    <row r="1347" customFormat="false" ht="15" hidden="false" customHeight="false" outlineLevel="0" collapsed="false">
      <c r="B1347" s="80"/>
      <c r="C1347" s="58"/>
      <c r="D1347" s="62" t="str">
        <f aca="false">IF(C1347="","",IFERROR(INDEX(T_NOMBRE,MATCH(V1347,T_RUTN,0)),"⚠ RUT no está en Trabajadores"))</f>
        <v/>
      </c>
      <c r="E1347" s="61"/>
      <c r="F1347" s="61"/>
      <c r="G1347" s="61"/>
      <c r="H1347" s="61"/>
      <c r="I1347" s="81"/>
      <c r="J1347" s="81"/>
      <c r="K1347" s="60"/>
      <c r="L1347" s="60"/>
      <c r="M1347" s="60"/>
      <c r="N1347" s="60"/>
      <c r="O1347" s="60"/>
      <c r="P1347" s="60"/>
      <c r="Q1347" s="60"/>
      <c r="R1347" s="58"/>
      <c r="S1347" s="62" t="str">
        <f aca="false">IF(OR(B1347="",V1347=""),"",IFERROR(INDEX(C_TIPO,MATCH(V1347&amp;"-P"&amp;MAX(1,COUNTIFS(C_RUTN,V1347,C_DEF,"Sí",C_INI,"&lt;="&amp;EOMONTH(B1347,0))),C_CLAVE,0))&amp;"","Sin contrato"))</f>
        <v/>
      </c>
      <c r="T1347" s="63" t="str">
        <f aca="false">IF(OR(B1347="",N(O1347)=0),"",N(O1347)+ROUND(MIN(N(N1347),TOPE_UF*UF_MES)*(TASA_EMP+MUTUAL),0)+ROUND(MIN(N(N1347),TOPE_AFC_UF*UF_MES)*IF(S1347="Indefinido",AFC_INDEF,AFC_PF),0))</f>
        <v/>
      </c>
      <c r="U1347" s="62" t="str">
        <f aca="false">IF(C1347="","",IF(LEFT(D1347,1)="⚠","⚠ RUT no registrado en Trabajadores",IF(B1347="","⚠ Falta el mes",IF(OR(ISTEXT(I1347),ISTEXT(J1347)),"⚠ Atrasos u horas extra como texto: escriba hh:mm (ej. 1:30)",IF(AND(ISNUMBER(Q1347),COUNTIFS(M_RUTN,V1347,M_MES,B1347,M_LIQ,"&lt;&gt;")&gt;1),"⚠ Liquidación repetida en el mes",IF(AND(ISNUMBER(O1347),ISNUMBER(P1347),ISNUMBER(Q1347),ABS(O1347-P1347-Q1347)&gt;1),"⚠ Haberes − descuentos no da el líquido","OK"))))))</f>
        <v/>
      </c>
      <c r="V1347" s="62" t="str">
        <f aca="false">IF(C1347="","",IFERROR(VALUE(LEFT(UPPER(SUBSTITUTE(SUBSTITUTE(SUBSTITUTE(TRIM(C1347),".",""),"-","")," ","")),LEN(UPPER(SUBSTITUTE(SUBSTITUTE(SUBSTITUTE(TRIM(C1347),".",""),"-","")," ","")))-1))&amp;RIGHT(UPPER(SUBSTITUTE(SUBSTITUTE(SUBSTITUTE(TRIM(C1347),".",""),"-","")," ","")),1),UPPER(SUBSTITUTE(SUBSTITUTE(SUBSTITUTE(TRIM(C1347),".",""),"-","")," ",""))))</f>
        <v/>
      </c>
    </row>
    <row r="1348" customFormat="false" ht="15" hidden="false" customHeight="false" outlineLevel="0" collapsed="false">
      <c r="B1348" s="80"/>
      <c r="C1348" s="58"/>
      <c r="D1348" s="62" t="str">
        <f aca="false">IF(C1348="","",IFERROR(INDEX(T_NOMBRE,MATCH(V1348,T_RUTN,0)),"⚠ RUT no está en Trabajadores"))</f>
        <v/>
      </c>
      <c r="E1348" s="61"/>
      <c r="F1348" s="61"/>
      <c r="G1348" s="61"/>
      <c r="H1348" s="61"/>
      <c r="I1348" s="81"/>
      <c r="J1348" s="81"/>
      <c r="K1348" s="60"/>
      <c r="L1348" s="60"/>
      <c r="M1348" s="60"/>
      <c r="N1348" s="60"/>
      <c r="O1348" s="60"/>
      <c r="P1348" s="60"/>
      <c r="Q1348" s="60"/>
      <c r="R1348" s="58"/>
      <c r="S1348" s="62" t="str">
        <f aca="false">IF(OR(B1348="",V1348=""),"",IFERROR(INDEX(C_TIPO,MATCH(V1348&amp;"-P"&amp;MAX(1,COUNTIFS(C_RUTN,V1348,C_DEF,"Sí",C_INI,"&lt;="&amp;EOMONTH(B1348,0))),C_CLAVE,0))&amp;"","Sin contrato"))</f>
        <v/>
      </c>
      <c r="T1348" s="63" t="str">
        <f aca="false">IF(OR(B1348="",N(O1348)=0),"",N(O1348)+ROUND(MIN(N(N1348),TOPE_UF*UF_MES)*(TASA_EMP+MUTUAL),0)+ROUND(MIN(N(N1348),TOPE_AFC_UF*UF_MES)*IF(S1348="Indefinido",AFC_INDEF,AFC_PF),0))</f>
        <v/>
      </c>
      <c r="U1348" s="62" t="str">
        <f aca="false">IF(C1348="","",IF(LEFT(D1348,1)="⚠","⚠ RUT no registrado en Trabajadores",IF(B1348="","⚠ Falta el mes",IF(OR(ISTEXT(I1348),ISTEXT(J1348)),"⚠ Atrasos u horas extra como texto: escriba hh:mm (ej. 1:30)",IF(AND(ISNUMBER(Q1348),COUNTIFS(M_RUTN,V1348,M_MES,B1348,M_LIQ,"&lt;&gt;")&gt;1),"⚠ Liquidación repetida en el mes",IF(AND(ISNUMBER(O1348),ISNUMBER(P1348),ISNUMBER(Q1348),ABS(O1348-P1348-Q1348)&gt;1),"⚠ Haberes − descuentos no da el líquido","OK"))))))</f>
        <v/>
      </c>
      <c r="V1348" s="62" t="str">
        <f aca="false">IF(C1348="","",IFERROR(VALUE(LEFT(UPPER(SUBSTITUTE(SUBSTITUTE(SUBSTITUTE(TRIM(C1348),".",""),"-","")," ","")),LEN(UPPER(SUBSTITUTE(SUBSTITUTE(SUBSTITUTE(TRIM(C1348),".",""),"-","")," ","")))-1))&amp;RIGHT(UPPER(SUBSTITUTE(SUBSTITUTE(SUBSTITUTE(TRIM(C1348),".",""),"-","")," ","")),1),UPPER(SUBSTITUTE(SUBSTITUTE(SUBSTITUTE(TRIM(C1348),".",""),"-","")," ",""))))</f>
        <v/>
      </c>
    </row>
    <row r="1349" customFormat="false" ht="15" hidden="false" customHeight="false" outlineLevel="0" collapsed="false">
      <c r="B1349" s="80"/>
      <c r="C1349" s="58"/>
      <c r="D1349" s="62" t="str">
        <f aca="false">IF(C1349="","",IFERROR(INDEX(T_NOMBRE,MATCH(V1349,T_RUTN,0)),"⚠ RUT no está en Trabajadores"))</f>
        <v/>
      </c>
      <c r="E1349" s="61"/>
      <c r="F1349" s="61"/>
      <c r="G1349" s="61"/>
      <c r="H1349" s="61"/>
      <c r="I1349" s="81"/>
      <c r="J1349" s="81"/>
      <c r="K1349" s="60"/>
      <c r="L1349" s="60"/>
      <c r="M1349" s="60"/>
      <c r="N1349" s="60"/>
      <c r="O1349" s="60"/>
      <c r="P1349" s="60"/>
      <c r="Q1349" s="60"/>
      <c r="R1349" s="58"/>
      <c r="S1349" s="62" t="str">
        <f aca="false">IF(OR(B1349="",V1349=""),"",IFERROR(INDEX(C_TIPO,MATCH(V1349&amp;"-P"&amp;MAX(1,COUNTIFS(C_RUTN,V1349,C_DEF,"Sí",C_INI,"&lt;="&amp;EOMONTH(B1349,0))),C_CLAVE,0))&amp;"","Sin contrato"))</f>
        <v/>
      </c>
      <c r="T1349" s="63" t="str">
        <f aca="false">IF(OR(B1349="",N(O1349)=0),"",N(O1349)+ROUND(MIN(N(N1349),TOPE_UF*UF_MES)*(TASA_EMP+MUTUAL),0)+ROUND(MIN(N(N1349),TOPE_AFC_UF*UF_MES)*IF(S1349="Indefinido",AFC_INDEF,AFC_PF),0))</f>
        <v/>
      </c>
      <c r="U1349" s="62" t="str">
        <f aca="false">IF(C1349="","",IF(LEFT(D1349,1)="⚠","⚠ RUT no registrado en Trabajadores",IF(B1349="","⚠ Falta el mes",IF(OR(ISTEXT(I1349),ISTEXT(J1349)),"⚠ Atrasos u horas extra como texto: escriba hh:mm (ej. 1:30)",IF(AND(ISNUMBER(Q1349),COUNTIFS(M_RUTN,V1349,M_MES,B1349,M_LIQ,"&lt;&gt;")&gt;1),"⚠ Liquidación repetida en el mes",IF(AND(ISNUMBER(O1349),ISNUMBER(P1349),ISNUMBER(Q1349),ABS(O1349-P1349-Q1349)&gt;1),"⚠ Haberes − descuentos no da el líquido","OK"))))))</f>
        <v/>
      </c>
      <c r="V1349" s="62" t="str">
        <f aca="false">IF(C1349="","",IFERROR(VALUE(LEFT(UPPER(SUBSTITUTE(SUBSTITUTE(SUBSTITUTE(TRIM(C1349),".",""),"-","")," ","")),LEN(UPPER(SUBSTITUTE(SUBSTITUTE(SUBSTITUTE(TRIM(C1349),".",""),"-","")," ","")))-1))&amp;RIGHT(UPPER(SUBSTITUTE(SUBSTITUTE(SUBSTITUTE(TRIM(C1349),".",""),"-","")," ","")),1),UPPER(SUBSTITUTE(SUBSTITUTE(SUBSTITUTE(TRIM(C1349),".",""),"-","")," ",""))))</f>
        <v/>
      </c>
    </row>
    <row r="1350" customFormat="false" ht="15" hidden="false" customHeight="false" outlineLevel="0" collapsed="false">
      <c r="B1350" s="80"/>
      <c r="C1350" s="58"/>
      <c r="D1350" s="62" t="str">
        <f aca="false">IF(C1350="","",IFERROR(INDEX(T_NOMBRE,MATCH(V1350,T_RUTN,0)),"⚠ RUT no está en Trabajadores"))</f>
        <v/>
      </c>
      <c r="E1350" s="61"/>
      <c r="F1350" s="61"/>
      <c r="G1350" s="61"/>
      <c r="H1350" s="61"/>
      <c r="I1350" s="81"/>
      <c r="J1350" s="81"/>
      <c r="K1350" s="60"/>
      <c r="L1350" s="60"/>
      <c r="M1350" s="60"/>
      <c r="N1350" s="60"/>
      <c r="O1350" s="60"/>
      <c r="P1350" s="60"/>
      <c r="Q1350" s="60"/>
      <c r="R1350" s="58"/>
      <c r="S1350" s="62" t="str">
        <f aca="false">IF(OR(B1350="",V1350=""),"",IFERROR(INDEX(C_TIPO,MATCH(V1350&amp;"-P"&amp;MAX(1,COUNTIFS(C_RUTN,V1350,C_DEF,"Sí",C_INI,"&lt;="&amp;EOMONTH(B1350,0))),C_CLAVE,0))&amp;"","Sin contrato"))</f>
        <v/>
      </c>
      <c r="T1350" s="63" t="str">
        <f aca="false">IF(OR(B1350="",N(O1350)=0),"",N(O1350)+ROUND(MIN(N(N1350),TOPE_UF*UF_MES)*(TASA_EMP+MUTUAL),0)+ROUND(MIN(N(N1350),TOPE_AFC_UF*UF_MES)*IF(S1350="Indefinido",AFC_INDEF,AFC_PF),0))</f>
        <v/>
      </c>
      <c r="U1350" s="62" t="str">
        <f aca="false">IF(C1350="","",IF(LEFT(D1350,1)="⚠","⚠ RUT no registrado en Trabajadores",IF(B1350="","⚠ Falta el mes",IF(OR(ISTEXT(I1350),ISTEXT(J1350)),"⚠ Atrasos u horas extra como texto: escriba hh:mm (ej. 1:30)",IF(AND(ISNUMBER(Q1350),COUNTIFS(M_RUTN,V1350,M_MES,B1350,M_LIQ,"&lt;&gt;")&gt;1),"⚠ Liquidación repetida en el mes",IF(AND(ISNUMBER(O1350),ISNUMBER(P1350),ISNUMBER(Q1350),ABS(O1350-P1350-Q1350)&gt;1),"⚠ Haberes − descuentos no da el líquido","OK"))))))</f>
        <v/>
      </c>
      <c r="V1350" s="62" t="str">
        <f aca="false">IF(C1350="","",IFERROR(VALUE(LEFT(UPPER(SUBSTITUTE(SUBSTITUTE(SUBSTITUTE(TRIM(C1350),".",""),"-","")," ","")),LEN(UPPER(SUBSTITUTE(SUBSTITUTE(SUBSTITUTE(TRIM(C1350),".",""),"-","")," ","")))-1))&amp;RIGHT(UPPER(SUBSTITUTE(SUBSTITUTE(SUBSTITUTE(TRIM(C1350),".",""),"-","")," ","")),1),UPPER(SUBSTITUTE(SUBSTITUTE(SUBSTITUTE(TRIM(C1350),".",""),"-","")," ",""))))</f>
        <v/>
      </c>
    </row>
    <row r="1351" customFormat="false" ht="15" hidden="false" customHeight="false" outlineLevel="0" collapsed="false">
      <c r="B1351" s="80"/>
      <c r="C1351" s="58"/>
      <c r="D1351" s="62" t="str">
        <f aca="false">IF(C1351="","",IFERROR(INDEX(T_NOMBRE,MATCH(V1351,T_RUTN,0)),"⚠ RUT no está en Trabajadores"))</f>
        <v/>
      </c>
      <c r="E1351" s="61"/>
      <c r="F1351" s="61"/>
      <c r="G1351" s="61"/>
      <c r="H1351" s="61"/>
      <c r="I1351" s="81"/>
      <c r="J1351" s="81"/>
      <c r="K1351" s="60"/>
      <c r="L1351" s="60"/>
      <c r="M1351" s="60"/>
      <c r="N1351" s="60"/>
      <c r="O1351" s="60"/>
      <c r="P1351" s="60"/>
      <c r="Q1351" s="60"/>
      <c r="R1351" s="58"/>
      <c r="S1351" s="62" t="str">
        <f aca="false">IF(OR(B1351="",V1351=""),"",IFERROR(INDEX(C_TIPO,MATCH(V1351&amp;"-P"&amp;MAX(1,COUNTIFS(C_RUTN,V1351,C_DEF,"Sí",C_INI,"&lt;="&amp;EOMONTH(B1351,0))),C_CLAVE,0))&amp;"","Sin contrato"))</f>
        <v/>
      </c>
      <c r="T1351" s="63" t="str">
        <f aca="false">IF(OR(B1351="",N(O1351)=0),"",N(O1351)+ROUND(MIN(N(N1351),TOPE_UF*UF_MES)*(TASA_EMP+MUTUAL),0)+ROUND(MIN(N(N1351),TOPE_AFC_UF*UF_MES)*IF(S1351="Indefinido",AFC_INDEF,AFC_PF),0))</f>
        <v/>
      </c>
      <c r="U1351" s="62" t="str">
        <f aca="false">IF(C1351="","",IF(LEFT(D1351,1)="⚠","⚠ RUT no registrado en Trabajadores",IF(B1351="","⚠ Falta el mes",IF(OR(ISTEXT(I1351),ISTEXT(J1351)),"⚠ Atrasos u horas extra como texto: escriba hh:mm (ej. 1:30)",IF(AND(ISNUMBER(Q1351),COUNTIFS(M_RUTN,V1351,M_MES,B1351,M_LIQ,"&lt;&gt;")&gt;1),"⚠ Liquidación repetida en el mes",IF(AND(ISNUMBER(O1351),ISNUMBER(P1351),ISNUMBER(Q1351),ABS(O1351-P1351-Q1351)&gt;1),"⚠ Haberes − descuentos no da el líquido","OK"))))))</f>
        <v/>
      </c>
      <c r="V1351" s="62" t="str">
        <f aca="false">IF(C1351="","",IFERROR(VALUE(LEFT(UPPER(SUBSTITUTE(SUBSTITUTE(SUBSTITUTE(TRIM(C1351),".",""),"-","")," ","")),LEN(UPPER(SUBSTITUTE(SUBSTITUTE(SUBSTITUTE(TRIM(C1351),".",""),"-","")," ","")))-1))&amp;RIGHT(UPPER(SUBSTITUTE(SUBSTITUTE(SUBSTITUTE(TRIM(C1351),".",""),"-","")," ","")),1),UPPER(SUBSTITUTE(SUBSTITUTE(SUBSTITUTE(TRIM(C1351),".",""),"-","")," ",""))))</f>
        <v/>
      </c>
    </row>
    <row r="1352" customFormat="false" ht="15" hidden="false" customHeight="false" outlineLevel="0" collapsed="false">
      <c r="B1352" s="80"/>
      <c r="C1352" s="58"/>
      <c r="D1352" s="62" t="str">
        <f aca="false">IF(C1352="","",IFERROR(INDEX(T_NOMBRE,MATCH(V1352,T_RUTN,0)),"⚠ RUT no está en Trabajadores"))</f>
        <v/>
      </c>
      <c r="E1352" s="61"/>
      <c r="F1352" s="61"/>
      <c r="G1352" s="61"/>
      <c r="H1352" s="61"/>
      <c r="I1352" s="81"/>
      <c r="J1352" s="81"/>
      <c r="K1352" s="60"/>
      <c r="L1352" s="60"/>
      <c r="M1352" s="60"/>
      <c r="N1352" s="60"/>
      <c r="O1352" s="60"/>
      <c r="P1352" s="60"/>
      <c r="Q1352" s="60"/>
      <c r="R1352" s="58"/>
      <c r="S1352" s="62" t="str">
        <f aca="false">IF(OR(B1352="",V1352=""),"",IFERROR(INDEX(C_TIPO,MATCH(V1352&amp;"-P"&amp;MAX(1,COUNTIFS(C_RUTN,V1352,C_DEF,"Sí",C_INI,"&lt;="&amp;EOMONTH(B1352,0))),C_CLAVE,0))&amp;"","Sin contrato"))</f>
        <v/>
      </c>
      <c r="T1352" s="63" t="str">
        <f aca="false">IF(OR(B1352="",N(O1352)=0),"",N(O1352)+ROUND(MIN(N(N1352),TOPE_UF*UF_MES)*(TASA_EMP+MUTUAL),0)+ROUND(MIN(N(N1352),TOPE_AFC_UF*UF_MES)*IF(S1352="Indefinido",AFC_INDEF,AFC_PF),0))</f>
        <v/>
      </c>
      <c r="U1352" s="62" t="str">
        <f aca="false">IF(C1352="","",IF(LEFT(D1352,1)="⚠","⚠ RUT no registrado en Trabajadores",IF(B1352="","⚠ Falta el mes",IF(OR(ISTEXT(I1352),ISTEXT(J1352)),"⚠ Atrasos u horas extra como texto: escriba hh:mm (ej. 1:30)",IF(AND(ISNUMBER(Q1352),COUNTIFS(M_RUTN,V1352,M_MES,B1352,M_LIQ,"&lt;&gt;")&gt;1),"⚠ Liquidación repetida en el mes",IF(AND(ISNUMBER(O1352),ISNUMBER(P1352),ISNUMBER(Q1352),ABS(O1352-P1352-Q1352)&gt;1),"⚠ Haberes − descuentos no da el líquido","OK"))))))</f>
        <v/>
      </c>
      <c r="V1352" s="62" t="str">
        <f aca="false">IF(C1352="","",IFERROR(VALUE(LEFT(UPPER(SUBSTITUTE(SUBSTITUTE(SUBSTITUTE(TRIM(C1352),".",""),"-","")," ","")),LEN(UPPER(SUBSTITUTE(SUBSTITUTE(SUBSTITUTE(TRIM(C1352),".",""),"-","")," ","")))-1))&amp;RIGHT(UPPER(SUBSTITUTE(SUBSTITUTE(SUBSTITUTE(TRIM(C1352),".",""),"-","")," ","")),1),UPPER(SUBSTITUTE(SUBSTITUTE(SUBSTITUTE(TRIM(C1352),".",""),"-","")," ",""))))</f>
        <v/>
      </c>
    </row>
    <row r="1353" customFormat="false" ht="15" hidden="false" customHeight="false" outlineLevel="0" collapsed="false">
      <c r="B1353" s="80"/>
      <c r="C1353" s="58"/>
      <c r="D1353" s="62" t="str">
        <f aca="false">IF(C1353="","",IFERROR(INDEX(T_NOMBRE,MATCH(V1353,T_RUTN,0)),"⚠ RUT no está en Trabajadores"))</f>
        <v/>
      </c>
      <c r="E1353" s="61"/>
      <c r="F1353" s="61"/>
      <c r="G1353" s="61"/>
      <c r="H1353" s="61"/>
      <c r="I1353" s="81"/>
      <c r="J1353" s="81"/>
      <c r="K1353" s="60"/>
      <c r="L1353" s="60"/>
      <c r="M1353" s="60"/>
      <c r="N1353" s="60"/>
      <c r="O1353" s="60"/>
      <c r="P1353" s="60"/>
      <c r="Q1353" s="60"/>
      <c r="R1353" s="58"/>
      <c r="S1353" s="62" t="str">
        <f aca="false">IF(OR(B1353="",V1353=""),"",IFERROR(INDEX(C_TIPO,MATCH(V1353&amp;"-P"&amp;MAX(1,COUNTIFS(C_RUTN,V1353,C_DEF,"Sí",C_INI,"&lt;="&amp;EOMONTH(B1353,0))),C_CLAVE,0))&amp;"","Sin contrato"))</f>
        <v/>
      </c>
      <c r="T1353" s="63" t="str">
        <f aca="false">IF(OR(B1353="",N(O1353)=0),"",N(O1353)+ROUND(MIN(N(N1353),TOPE_UF*UF_MES)*(TASA_EMP+MUTUAL),0)+ROUND(MIN(N(N1353),TOPE_AFC_UF*UF_MES)*IF(S1353="Indefinido",AFC_INDEF,AFC_PF),0))</f>
        <v/>
      </c>
      <c r="U1353" s="62" t="str">
        <f aca="false">IF(C1353="","",IF(LEFT(D1353,1)="⚠","⚠ RUT no registrado en Trabajadores",IF(B1353="","⚠ Falta el mes",IF(OR(ISTEXT(I1353),ISTEXT(J1353)),"⚠ Atrasos u horas extra como texto: escriba hh:mm (ej. 1:30)",IF(AND(ISNUMBER(Q1353),COUNTIFS(M_RUTN,V1353,M_MES,B1353,M_LIQ,"&lt;&gt;")&gt;1),"⚠ Liquidación repetida en el mes",IF(AND(ISNUMBER(O1353),ISNUMBER(P1353),ISNUMBER(Q1353),ABS(O1353-P1353-Q1353)&gt;1),"⚠ Haberes − descuentos no da el líquido","OK"))))))</f>
        <v/>
      </c>
      <c r="V1353" s="62" t="str">
        <f aca="false">IF(C1353="","",IFERROR(VALUE(LEFT(UPPER(SUBSTITUTE(SUBSTITUTE(SUBSTITUTE(TRIM(C1353),".",""),"-","")," ","")),LEN(UPPER(SUBSTITUTE(SUBSTITUTE(SUBSTITUTE(TRIM(C1353),".",""),"-","")," ","")))-1))&amp;RIGHT(UPPER(SUBSTITUTE(SUBSTITUTE(SUBSTITUTE(TRIM(C1353),".",""),"-","")," ","")),1),UPPER(SUBSTITUTE(SUBSTITUTE(SUBSTITUTE(TRIM(C1353),".",""),"-","")," ",""))))</f>
        <v/>
      </c>
    </row>
    <row r="1354" customFormat="false" ht="15" hidden="false" customHeight="false" outlineLevel="0" collapsed="false">
      <c r="B1354" s="80"/>
      <c r="C1354" s="58"/>
      <c r="D1354" s="62" t="str">
        <f aca="false">IF(C1354="","",IFERROR(INDEX(T_NOMBRE,MATCH(V1354,T_RUTN,0)),"⚠ RUT no está en Trabajadores"))</f>
        <v/>
      </c>
      <c r="E1354" s="61"/>
      <c r="F1354" s="61"/>
      <c r="G1354" s="61"/>
      <c r="H1354" s="61"/>
      <c r="I1354" s="81"/>
      <c r="J1354" s="81"/>
      <c r="K1354" s="60"/>
      <c r="L1354" s="60"/>
      <c r="M1354" s="60"/>
      <c r="N1354" s="60"/>
      <c r="O1354" s="60"/>
      <c r="P1354" s="60"/>
      <c r="Q1354" s="60"/>
      <c r="R1354" s="58"/>
      <c r="S1354" s="62" t="str">
        <f aca="false">IF(OR(B1354="",V1354=""),"",IFERROR(INDEX(C_TIPO,MATCH(V1354&amp;"-P"&amp;MAX(1,COUNTIFS(C_RUTN,V1354,C_DEF,"Sí",C_INI,"&lt;="&amp;EOMONTH(B1354,0))),C_CLAVE,0))&amp;"","Sin contrato"))</f>
        <v/>
      </c>
      <c r="T1354" s="63" t="str">
        <f aca="false">IF(OR(B1354="",N(O1354)=0),"",N(O1354)+ROUND(MIN(N(N1354),TOPE_UF*UF_MES)*(TASA_EMP+MUTUAL),0)+ROUND(MIN(N(N1354),TOPE_AFC_UF*UF_MES)*IF(S1354="Indefinido",AFC_INDEF,AFC_PF),0))</f>
        <v/>
      </c>
      <c r="U1354" s="62" t="str">
        <f aca="false">IF(C1354="","",IF(LEFT(D1354,1)="⚠","⚠ RUT no registrado en Trabajadores",IF(B1354="","⚠ Falta el mes",IF(OR(ISTEXT(I1354),ISTEXT(J1354)),"⚠ Atrasos u horas extra como texto: escriba hh:mm (ej. 1:30)",IF(AND(ISNUMBER(Q1354),COUNTIFS(M_RUTN,V1354,M_MES,B1354,M_LIQ,"&lt;&gt;")&gt;1),"⚠ Liquidación repetida en el mes",IF(AND(ISNUMBER(O1354),ISNUMBER(P1354),ISNUMBER(Q1354),ABS(O1354-P1354-Q1354)&gt;1),"⚠ Haberes − descuentos no da el líquido","OK"))))))</f>
        <v/>
      </c>
      <c r="V1354" s="62" t="str">
        <f aca="false">IF(C1354="","",IFERROR(VALUE(LEFT(UPPER(SUBSTITUTE(SUBSTITUTE(SUBSTITUTE(TRIM(C1354),".",""),"-","")," ","")),LEN(UPPER(SUBSTITUTE(SUBSTITUTE(SUBSTITUTE(TRIM(C1354),".",""),"-","")," ","")))-1))&amp;RIGHT(UPPER(SUBSTITUTE(SUBSTITUTE(SUBSTITUTE(TRIM(C1354),".",""),"-","")," ","")),1),UPPER(SUBSTITUTE(SUBSTITUTE(SUBSTITUTE(TRIM(C1354),".",""),"-","")," ",""))))</f>
        <v/>
      </c>
    </row>
    <row r="1355" customFormat="false" ht="15" hidden="false" customHeight="false" outlineLevel="0" collapsed="false">
      <c r="B1355" s="80"/>
      <c r="C1355" s="58"/>
      <c r="D1355" s="62" t="str">
        <f aca="false">IF(C1355="","",IFERROR(INDEX(T_NOMBRE,MATCH(V1355,T_RUTN,0)),"⚠ RUT no está en Trabajadores"))</f>
        <v/>
      </c>
      <c r="E1355" s="61"/>
      <c r="F1355" s="61"/>
      <c r="G1355" s="61"/>
      <c r="H1355" s="61"/>
      <c r="I1355" s="81"/>
      <c r="J1355" s="81"/>
      <c r="K1355" s="60"/>
      <c r="L1355" s="60"/>
      <c r="M1355" s="60"/>
      <c r="N1355" s="60"/>
      <c r="O1355" s="60"/>
      <c r="P1355" s="60"/>
      <c r="Q1355" s="60"/>
      <c r="R1355" s="58"/>
      <c r="S1355" s="62" t="str">
        <f aca="false">IF(OR(B1355="",V1355=""),"",IFERROR(INDEX(C_TIPO,MATCH(V1355&amp;"-P"&amp;MAX(1,COUNTIFS(C_RUTN,V1355,C_DEF,"Sí",C_INI,"&lt;="&amp;EOMONTH(B1355,0))),C_CLAVE,0))&amp;"","Sin contrato"))</f>
        <v/>
      </c>
      <c r="T1355" s="63" t="str">
        <f aca="false">IF(OR(B1355="",N(O1355)=0),"",N(O1355)+ROUND(MIN(N(N1355),TOPE_UF*UF_MES)*(TASA_EMP+MUTUAL),0)+ROUND(MIN(N(N1355),TOPE_AFC_UF*UF_MES)*IF(S1355="Indefinido",AFC_INDEF,AFC_PF),0))</f>
        <v/>
      </c>
      <c r="U1355" s="62" t="str">
        <f aca="false">IF(C1355="","",IF(LEFT(D1355,1)="⚠","⚠ RUT no registrado en Trabajadores",IF(B1355="","⚠ Falta el mes",IF(OR(ISTEXT(I1355),ISTEXT(J1355)),"⚠ Atrasos u horas extra como texto: escriba hh:mm (ej. 1:30)",IF(AND(ISNUMBER(Q1355),COUNTIFS(M_RUTN,V1355,M_MES,B1355,M_LIQ,"&lt;&gt;")&gt;1),"⚠ Liquidación repetida en el mes",IF(AND(ISNUMBER(O1355),ISNUMBER(P1355),ISNUMBER(Q1355),ABS(O1355-P1355-Q1355)&gt;1),"⚠ Haberes − descuentos no da el líquido","OK"))))))</f>
        <v/>
      </c>
      <c r="V1355" s="62" t="str">
        <f aca="false">IF(C1355="","",IFERROR(VALUE(LEFT(UPPER(SUBSTITUTE(SUBSTITUTE(SUBSTITUTE(TRIM(C1355),".",""),"-","")," ","")),LEN(UPPER(SUBSTITUTE(SUBSTITUTE(SUBSTITUTE(TRIM(C1355),".",""),"-","")," ","")))-1))&amp;RIGHT(UPPER(SUBSTITUTE(SUBSTITUTE(SUBSTITUTE(TRIM(C1355),".",""),"-","")," ","")),1),UPPER(SUBSTITUTE(SUBSTITUTE(SUBSTITUTE(TRIM(C1355),".",""),"-","")," ",""))))</f>
        <v/>
      </c>
    </row>
    <row r="1356" customFormat="false" ht="15" hidden="false" customHeight="false" outlineLevel="0" collapsed="false">
      <c r="B1356" s="80"/>
      <c r="C1356" s="58"/>
      <c r="D1356" s="62" t="str">
        <f aca="false">IF(C1356="","",IFERROR(INDEX(T_NOMBRE,MATCH(V1356,T_RUTN,0)),"⚠ RUT no está en Trabajadores"))</f>
        <v/>
      </c>
      <c r="E1356" s="61"/>
      <c r="F1356" s="61"/>
      <c r="G1356" s="61"/>
      <c r="H1356" s="61"/>
      <c r="I1356" s="81"/>
      <c r="J1356" s="81"/>
      <c r="K1356" s="60"/>
      <c r="L1356" s="60"/>
      <c r="M1356" s="60"/>
      <c r="N1356" s="60"/>
      <c r="O1356" s="60"/>
      <c r="P1356" s="60"/>
      <c r="Q1356" s="60"/>
      <c r="R1356" s="58"/>
      <c r="S1356" s="62" t="str">
        <f aca="false">IF(OR(B1356="",V1356=""),"",IFERROR(INDEX(C_TIPO,MATCH(V1356&amp;"-P"&amp;MAX(1,COUNTIFS(C_RUTN,V1356,C_DEF,"Sí",C_INI,"&lt;="&amp;EOMONTH(B1356,0))),C_CLAVE,0))&amp;"","Sin contrato"))</f>
        <v/>
      </c>
      <c r="T1356" s="63" t="str">
        <f aca="false">IF(OR(B1356="",N(O1356)=0),"",N(O1356)+ROUND(MIN(N(N1356),TOPE_UF*UF_MES)*(TASA_EMP+MUTUAL),0)+ROUND(MIN(N(N1356),TOPE_AFC_UF*UF_MES)*IF(S1356="Indefinido",AFC_INDEF,AFC_PF),0))</f>
        <v/>
      </c>
      <c r="U1356" s="62" t="str">
        <f aca="false">IF(C1356="","",IF(LEFT(D1356,1)="⚠","⚠ RUT no registrado en Trabajadores",IF(B1356="","⚠ Falta el mes",IF(OR(ISTEXT(I1356),ISTEXT(J1356)),"⚠ Atrasos u horas extra como texto: escriba hh:mm (ej. 1:30)",IF(AND(ISNUMBER(Q1356),COUNTIFS(M_RUTN,V1356,M_MES,B1356,M_LIQ,"&lt;&gt;")&gt;1),"⚠ Liquidación repetida en el mes",IF(AND(ISNUMBER(O1356),ISNUMBER(P1356),ISNUMBER(Q1356),ABS(O1356-P1356-Q1356)&gt;1),"⚠ Haberes − descuentos no da el líquido","OK"))))))</f>
        <v/>
      </c>
      <c r="V1356" s="62" t="str">
        <f aca="false">IF(C1356="","",IFERROR(VALUE(LEFT(UPPER(SUBSTITUTE(SUBSTITUTE(SUBSTITUTE(TRIM(C1356),".",""),"-","")," ","")),LEN(UPPER(SUBSTITUTE(SUBSTITUTE(SUBSTITUTE(TRIM(C1356),".",""),"-","")," ","")))-1))&amp;RIGHT(UPPER(SUBSTITUTE(SUBSTITUTE(SUBSTITUTE(TRIM(C1356),".",""),"-","")," ","")),1),UPPER(SUBSTITUTE(SUBSTITUTE(SUBSTITUTE(TRIM(C1356),".",""),"-","")," ",""))))</f>
        <v/>
      </c>
    </row>
    <row r="1357" customFormat="false" ht="15" hidden="false" customHeight="false" outlineLevel="0" collapsed="false">
      <c r="B1357" s="80"/>
      <c r="C1357" s="58"/>
      <c r="D1357" s="62" t="str">
        <f aca="false">IF(C1357="","",IFERROR(INDEX(T_NOMBRE,MATCH(V1357,T_RUTN,0)),"⚠ RUT no está en Trabajadores"))</f>
        <v/>
      </c>
      <c r="E1357" s="61"/>
      <c r="F1357" s="61"/>
      <c r="G1357" s="61"/>
      <c r="H1357" s="61"/>
      <c r="I1357" s="81"/>
      <c r="J1357" s="81"/>
      <c r="K1357" s="60"/>
      <c r="L1357" s="60"/>
      <c r="M1357" s="60"/>
      <c r="N1357" s="60"/>
      <c r="O1357" s="60"/>
      <c r="P1357" s="60"/>
      <c r="Q1357" s="60"/>
      <c r="R1357" s="58"/>
      <c r="S1357" s="62" t="str">
        <f aca="false">IF(OR(B1357="",V1357=""),"",IFERROR(INDEX(C_TIPO,MATCH(V1357&amp;"-P"&amp;MAX(1,COUNTIFS(C_RUTN,V1357,C_DEF,"Sí",C_INI,"&lt;="&amp;EOMONTH(B1357,0))),C_CLAVE,0))&amp;"","Sin contrato"))</f>
        <v/>
      </c>
      <c r="T1357" s="63" t="str">
        <f aca="false">IF(OR(B1357="",N(O1357)=0),"",N(O1357)+ROUND(MIN(N(N1357),TOPE_UF*UF_MES)*(TASA_EMP+MUTUAL),0)+ROUND(MIN(N(N1357),TOPE_AFC_UF*UF_MES)*IF(S1357="Indefinido",AFC_INDEF,AFC_PF),0))</f>
        <v/>
      </c>
      <c r="U1357" s="62" t="str">
        <f aca="false">IF(C1357="","",IF(LEFT(D1357,1)="⚠","⚠ RUT no registrado en Trabajadores",IF(B1357="","⚠ Falta el mes",IF(OR(ISTEXT(I1357),ISTEXT(J1357)),"⚠ Atrasos u horas extra como texto: escriba hh:mm (ej. 1:30)",IF(AND(ISNUMBER(Q1357),COUNTIFS(M_RUTN,V1357,M_MES,B1357,M_LIQ,"&lt;&gt;")&gt;1),"⚠ Liquidación repetida en el mes",IF(AND(ISNUMBER(O1357),ISNUMBER(P1357),ISNUMBER(Q1357),ABS(O1357-P1357-Q1357)&gt;1),"⚠ Haberes − descuentos no da el líquido","OK"))))))</f>
        <v/>
      </c>
      <c r="V1357" s="62" t="str">
        <f aca="false">IF(C1357="","",IFERROR(VALUE(LEFT(UPPER(SUBSTITUTE(SUBSTITUTE(SUBSTITUTE(TRIM(C1357),".",""),"-","")," ","")),LEN(UPPER(SUBSTITUTE(SUBSTITUTE(SUBSTITUTE(TRIM(C1357),".",""),"-","")," ","")))-1))&amp;RIGHT(UPPER(SUBSTITUTE(SUBSTITUTE(SUBSTITUTE(TRIM(C1357),".",""),"-","")," ","")),1),UPPER(SUBSTITUTE(SUBSTITUTE(SUBSTITUTE(TRIM(C1357),".",""),"-","")," ",""))))</f>
        <v/>
      </c>
    </row>
    <row r="1358" customFormat="false" ht="15" hidden="false" customHeight="false" outlineLevel="0" collapsed="false">
      <c r="B1358" s="80"/>
      <c r="C1358" s="58"/>
      <c r="D1358" s="62" t="str">
        <f aca="false">IF(C1358="","",IFERROR(INDEX(T_NOMBRE,MATCH(V1358,T_RUTN,0)),"⚠ RUT no está en Trabajadores"))</f>
        <v/>
      </c>
      <c r="E1358" s="61"/>
      <c r="F1358" s="61"/>
      <c r="G1358" s="61"/>
      <c r="H1358" s="61"/>
      <c r="I1358" s="81"/>
      <c r="J1358" s="81"/>
      <c r="K1358" s="60"/>
      <c r="L1358" s="60"/>
      <c r="M1358" s="60"/>
      <c r="N1358" s="60"/>
      <c r="O1358" s="60"/>
      <c r="P1358" s="60"/>
      <c r="Q1358" s="60"/>
      <c r="R1358" s="58"/>
      <c r="S1358" s="62" t="str">
        <f aca="false">IF(OR(B1358="",V1358=""),"",IFERROR(INDEX(C_TIPO,MATCH(V1358&amp;"-P"&amp;MAX(1,COUNTIFS(C_RUTN,V1358,C_DEF,"Sí",C_INI,"&lt;="&amp;EOMONTH(B1358,0))),C_CLAVE,0))&amp;"","Sin contrato"))</f>
        <v/>
      </c>
      <c r="T1358" s="63" t="str">
        <f aca="false">IF(OR(B1358="",N(O1358)=0),"",N(O1358)+ROUND(MIN(N(N1358),TOPE_UF*UF_MES)*(TASA_EMP+MUTUAL),0)+ROUND(MIN(N(N1358),TOPE_AFC_UF*UF_MES)*IF(S1358="Indefinido",AFC_INDEF,AFC_PF),0))</f>
        <v/>
      </c>
      <c r="U1358" s="62" t="str">
        <f aca="false">IF(C1358="","",IF(LEFT(D1358,1)="⚠","⚠ RUT no registrado en Trabajadores",IF(B1358="","⚠ Falta el mes",IF(OR(ISTEXT(I1358),ISTEXT(J1358)),"⚠ Atrasos u horas extra como texto: escriba hh:mm (ej. 1:30)",IF(AND(ISNUMBER(Q1358),COUNTIFS(M_RUTN,V1358,M_MES,B1358,M_LIQ,"&lt;&gt;")&gt;1),"⚠ Liquidación repetida en el mes",IF(AND(ISNUMBER(O1358),ISNUMBER(P1358),ISNUMBER(Q1358),ABS(O1358-P1358-Q1358)&gt;1),"⚠ Haberes − descuentos no da el líquido","OK"))))))</f>
        <v/>
      </c>
      <c r="V1358" s="62" t="str">
        <f aca="false">IF(C1358="","",IFERROR(VALUE(LEFT(UPPER(SUBSTITUTE(SUBSTITUTE(SUBSTITUTE(TRIM(C1358),".",""),"-","")," ","")),LEN(UPPER(SUBSTITUTE(SUBSTITUTE(SUBSTITUTE(TRIM(C1358),".",""),"-","")," ","")))-1))&amp;RIGHT(UPPER(SUBSTITUTE(SUBSTITUTE(SUBSTITUTE(TRIM(C1358),".",""),"-","")," ","")),1),UPPER(SUBSTITUTE(SUBSTITUTE(SUBSTITUTE(TRIM(C1358),".",""),"-","")," ",""))))</f>
        <v/>
      </c>
    </row>
    <row r="1359" customFormat="false" ht="15" hidden="false" customHeight="false" outlineLevel="0" collapsed="false">
      <c r="B1359" s="80"/>
      <c r="C1359" s="58"/>
      <c r="D1359" s="62" t="str">
        <f aca="false">IF(C1359="","",IFERROR(INDEX(T_NOMBRE,MATCH(V1359,T_RUTN,0)),"⚠ RUT no está en Trabajadores"))</f>
        <v/>
      </c>
      <c r="E1359" s="61"/>
      <c r="F1359" s="61"/>
      <c r="G1359" s="61"/>
      <c r="H1359" s="61"/>
      <c r="I1359" s="81"/>
      <c r="J1359" s="81"/>
      <c r="K1359" s="60"/>
      <c r="L1359" s="60"/>
      <c r="M1359" s="60"/>
      <c r="N1359" s="60"/>
      <c r="O1359" s="60"/>
      <c r="P1359" s="60"/>
      <c r="Q1359" s="60"/>
      <c r="R1359" s="58"/>
      <c r="S1359" s="62" t="str">
        <f aca="false">IF(OR(B1359="",V1359=""),"",IFERROR(INDEX(C_TIPO,MATCH(V1359&amp;"-P"&amp;MAX(1,COUNTIFS(C_RUTN,V1359,C_DEF,"Sí",C_INI,"&lt;="&amp;EOMONTH(B1359,0))),C_CLAVE,0))&amp;"","Sin contrato"))</f>
        <v/>
      </c>
      <c r="T1359" s="63" t="str">
        <f aca="false">IF(OR(B1359="",N(O1359)=0),"",N(O1359)+ROUND(MIN(N(N1359),TOPE_UF*UF_MES)*(TASA_EMP+MUTUAL),0)+ROUND(MIN(N(N1359),TOPE_AFC_UF*UF_MES)*IF(S1359="Indefinido",AFC_INDEF,AFC_PF),0))</f>
        <v/>
      </c>
      <c r="U1359" s="62" t="str">
        <f aca="false">IF(C1359="","",IF(LEFT(D1359,1)="⚠","⚠ RUT no registrado en Trabajadores",IF(B1359="","⚠ Falta el mes",IF(OR(ISTEXT(I1359),ISTEXT(J1359)),"⚠ Atrasos u horas extra como texto: escriba hh:mm (ej. 1:30)",IF(AND(ISNUMBER(Q1359),COUNTIFS(M_RUTN,V1359,M_MES,B1359,M_LIQ,"&lt;&gt;")&gt;1),"⚠ Liquidación repetida en el mes",IF(AND(ISNUMBER(O1359),ISNUMBER(P1359),ISNUMBER(Q1359),ABS(O1359-P1359-Q1359)&gt;1),"⚠ Haberes − descuentos no da el líquido","OK"))))))</f>
        <v/>
      </c>
      <c r="V1359" s="62" t="str">
        <f aca="false">IF(C1359="","",IFERROR(VALUE(LEFT(UPPER(SUBSTITUTE(SUBSTITUTE(SUBSTITUTE(TRIM(C1359),".",""),"-","")," ","")),LEN(UPPER(SUBSTITUTE(SUBSTITUTE(SUBSTITUTE(TRIM(C1359),".",""),"-","")," ","")))-1))&amp;RIGHT(UPPER(SUBSTITUTE(SUBSTITUTE(SUBSTITUTE(TRIM(C1359),".",""),"-","")," ","")),1),UPPER(SUBSTITUTE(SUBSTITUTE(SUBSTITUTE(TRIM(C1359),".",""),"-","")," ",""))))</f>
        <v/>
      </c>
    </row>
    <row r="1360" customFormat="false" ht="15" hidden="false" customHeight="false" outlineLevel="0" collapsed="false">
      <c r="B1360" s="80"/>
      <c r="C1360" s="58"/>
      <c r="D1360" s="62" t="str">
        <f aca="false">IF(C1360="","",IFERROR(INDEX(T_NOMBRE,MATCH(V1360,T_RUTN,0)),"⚠ RUT no está en Trabajadores"))</f>
        <v/>
      </c>
      <c r="E1360" s="61"/>
      <c r="F1360" s="61"/>
      <c r="G1360" s="61"/>
      <c r="H1360" s="61"/>
      <c r="I1360" s="81"/>
      <c r="J1360" s="81"/>
      <c r="K1360" s="60"/>
      <c r="L1360" s="60"/>
      <c r="M1360" s="60"/>
      <c r="N1360" s="60"/>
      <c r="O1360" s="60"/>
      <c r="P1360" s="60"/>
      <c r="Q1360" s="60"/>
      <c r="R1360" s="58"/>
      <c r="S1360" s="62" t="str">
        <f aca="false">IF(OR(B1360="",V1360=""),"",IFERROR(INDEX(C_TIPO,MATCH(V1360&amp;"-P"&amp;MAX(1,COUNTIFS(C_RUTN,V1360,C_DEF,"Sí",C_INI,"&lt;="&amp;EOMONTH(B1360,0))),C_CLAVE,0))&amp;"","Sin contrato"))</f>
        <v/>
      </c>
      <c r="T1360" s="63" t="str">
        <f aca="false">IF(OR(B1360="",N(O1360)=0),"",N(O1360)+ROUND(MIN(N(N1360),TOPE_UF*UF_MES)*(TASA_EMP+MUTUAL),0)+ROUND(MIN(N(N1360),TOPE_AFC_UF*UF_MES)*IF(S1360="Indefinido",AFC_INDEF,AFC_PF),0))</f>
        <v/>
      </c>
      <c r="U1360" s="62" t="str">
        <f aca="false">IF(C1360="","",IF(LEFT(D1360,1)="⚠","⚠ RUT no registrado en Trabajadores",IF(B1360="","⚠ Falta el mes",IF(OR(ISTEXT(I1360),ISTEXT(J1360)),"⚠ Atrasos u horas extra como texto: escriba hh:mm (ej. 1:30)",IF(AND(ISNUMBER(Q1360),COUNTIFS(M_RUTN,V1360,M_MES,B1360,M_LIQ,"&lt;&gt;")&gt;1),"⚠ Liquidación repetida en el mes",IF(AND(ISNUMBER(O1360),ISNUMBER(P1360),ISNUMBER(Q1360),ABS(O1360-P1360-Q1360)&gt;1),"⚠ Haberes − descuentos no da el líquido","OK"))))))</f>
        <v/>
      </c>
      <c r="V1360" s="62" t="str">
        <f aca="false">IF(C1360="","",IFERROR(VALUE(LEFT(UPPER(SUBSTITUTE(SUBSTITUTE(SUBSTITUTE(TRIM(C1360),".",""),"-","")," ","")),LEN(UPPER(SUBSTITUTE(SUBSTITUTE(SUBSTITUTE(TRIM(C1360),".",""),"-","")," ","")))-1))&amp;RIGHT(UPPER(SUBSTITUTE(SUBSTITUTE(SUBSTITUTE(TRIM(C1360),".",""),"-","")," ","")),1),UPPER(SUBSTITUTE(SUBSTITUTE(SUBSTITUTE(TRIM(C1360),".",""),"-","")," ",""))))</f>
        <v/>
      </c>
    </row>
    <row r="1361" customFormat="false" ht="15" hidden="false" customHeight="false" outlineLevel="0" collapsed="false">
      <c r="B1361" s="80"/>
      <c r="C1361" s="58"/>
      <c r="D1361" s="62" t="str">
        <f aca="false">IF(C1361="","",IFERROR(INDEX(T_NOMBRE,MATCH(V1361,T_RUTN,0)),"⚠ RUT no está en Trabajadores"))</f>
        <v/>
      </c>
      <c r="E1361" s="61"/>
      <c r="F1361" s="61"/>
      <c r="G1361" s="61"/>
      <c r="H1361" s="61"/>
      <c r="I1361" s="81"/>
      <c r="J1361" s="81"/>
      <c r="K1361" s="60"/>
      <c r="L1361" s="60"/>
      <c r="M1361" s="60"/>
      <c r="N1361" s="60"/>
      <c r="O1361" s="60"/>
      <c r="P1361" s="60"/>
      <c r="Q1361" s="60"/>
      <c r="R1361" s="58"/>
      <c r="S1361" s="62" t="str">
        <f aca="false">IF(OR(B1361="",V1361=""),"",IFERROR(INDEX(C_TIPO,MATCH(V1361&amp;"-P"&amp;MAX(1,COUNTIFS(C_RUTN,V1361,C_DEF,"Sí",C_INI,"&lt;="&amp;EOMONTH(B1361,0))),C_CLAVE,0))&amp;"","Sin contrato"))</f>
        <v/>
      </c>
      <c r="T1361" s="63" t="str">
        <f aca="false">IF(OR(B1361="",N(O1361)=0),"",N(O1361)+ROUND(MIN(N(N1361),TOPE_UF*UF_MES)*(TASA_EMP+MUTUAL),0)+ROUND(MIN(N(N1361),TOPE_AFC_UF*UF_MES)*IF(S1361="Indefinido",AFC_INDEF,AFC_PF),0))</f>
        <v/>
      </c>
      <c r="U1361" s="62" t="str">
        <f aca="false">IF(C1361="","",IF(LEFT(D1361,1)="⚠","⚠ RUT no registrado en Trabajadores",IF(B1361="","⚠ Falta el mes",IF(OR(ISTEXT(I1361),ISTEXT(J1361)),"⚠ Atrasos u horas extra como texto: escriba hh:mm (ej. 1:30)",IF(AND(ISNUMBER(Q1361),COUNTIFS(M_RUTN,V1361,M_MES,B1361,M_LIQ,"&lt;&gt;")&gt;1),"⚠ Liquidación repetida en el mes",IF(AND(ISNUMBER(O1361),ISNUMBER(P1361),ISNUMBER(Q1361),ABS(O1361-P1361-Q1361)&gt;1),"⚠ Haberes − descuentos no da el líquido","OK"))))))</f>
        <v/>
      </c>
      <c r="V1361" s="62" t="str">
        <f aca="false">IF(C1361="","",IFERROR(VALUE(LEFT(UPPER(SUBSTITUTE(SUBSTITUTE(SUBSTITUTE(TRIM(C1361),".",""),"-","")," ","")),LEN(UPPER(SUBSTITUTE(SUBSTITUTE(SUBSTITUTE(TRIM(C1361),".",""),"-","")," ","")))-1))&amp;RIGHT(UPPER(SUBSTITUTE(SUBSTITUTE(SUBSTITUTE(TRIM(C1361),".",""),"-","")," ","")),1),UPPER(SUBSTITUTE(SUBSTITUTE(SUBSTITUTE(TRIM(C1361),".",""),"-","")," ",""))))</f>
        <v/>
      </c>
    </row>
    <row r="1362" customFormat="false" ht="15" hidden="false" customHeight="false" outlineLevel="0" collapsed="false">
      <c r="B1362" s="80"/>
      <c r="C1362" s="58"/>
      <c r="D1362" s="62" t="str">
        <f aca="false">IF(C1362="","",IFERROR(INDEX(T_NOMBRE,MATCH(V1362,T_RUTN,0)),"⚠ RUT no está en Trabajadores"))</f>
        <v/>
      </c>
      <c r="E1362" s="61"/>
      <c r="F1362" s="61"/>
      <c r="G1362" s="61"/>
      <c r="H1362" s="61"/>
      <c r="I1362" s="81"/>
      <c r="J1362" s="81"/>
      <c r="K1362" s="60"/>
      <c r="L1362" s="60"/>
      <c r="M1362" s="60"/>
      <c r="N1362" s="60"/>
      <c r="O1362" s="60"/>
      <c r="P1362" s="60"/>
      <c r="Q1362" s="60"/>
      <c r="R1362" s="58"/>
      <c r="S1362" s="62" t="str">
        <f aca="false">IF(OR(B1362="",V1362=""),"",IFERROR(INDEX(C_TIPO,MATCH(V1362&amp;"-P"&amp;MAX(1,COUNTIFS(C_RUTN,V1362,C_DEF,"Sí",C_INI,"&lt;="&amp;EOMONTH(B1362,0))),C_CLAVE,0))&amp;"","Sin contrato"))</f>
        <v/>
      </c>
      <c r="T1362" s="63" t="str">
        <f aca="false">IF(OR(B1362="",N(O1362)=0),"",N(O1362)+ROUND(MIN(N(N1362),TOPE_UF*UF_MES)*(TASA_EMP+MUTUAL),0)+ROUND(MIN(N(N1362),TOPE_AFC_UF*UF_MES)*IF(S1362="Indefinido",AFC_INDEF,AFC_PF),0))</f>
        <v/>
      </c>
      <c r="U1362" s="62" t="str">
        <f aca="false">IF(C1362="","",IF(LEFT(D1362,1)="⚠","⚠ RUT no registrado en Trabajadores",IF(B1362="","⚠ Falta el mes",IF(OR(ISTEXT(I1362),ISTEXT(J1362)),"⚠ Atrasos u horas extra como texto: escriba hh:mm (ej. 1:30)",IF(AND(ISNUMBER(Q1362),COUNTIFS(M_RUTN,V1362,M_MES,B1362,M_LIQ,"&lt;&gt;")&gt;1),"⚠ Liquidación repetida en el mes",IF(AND(ISNUMBER(O1362),ISNUMBER(P1362),ISNUMBER(Q1362),ABS(O1362-P1362-Q1362)&gt;1),"⚠ Haberes − descuentos no da el líquido","OK"))))))</f>
        <v/>
      </c>
      <c r="V1362" s="62" t="str">
        <f aca="false">IF(C1362="","",IFERROR(VALUE(LEFT(UPPER(SUBSTITUTE(SUBSTITUTE(SUBSTITUTE(TRIM(C1362),".",""),"-","")," ","")),LEN(UPPER(SUBSTITUTE(SUBSTITUTE(SUBSTITUTE(TRIM(C1362),".",""),"-","")," ","")))-1))&amp;RIGHT(UPPER(SUBSTITUTE(SUBSTITUTE(SUBSTITUTE(TRIM(C1362),".",""),"-","")," ","")),1),UPPER(SUBSTITUTE(SUBSTITUTE(SUBSTITUTE(TRIM(C1362),".",""),"-","")," ",""))))</f>
        <v/>
      </c>
    </row>
    <row r="1363" customFormat="false" ht="15" hidden="false" customHeight="false" outlineLevel="0" collapsed="false">
      <c r="B1363" s="80"/>
      <c r="C1363" s="58"/>
      <c r="D1363" s="62" t="str">
        <f aca="false">IF(C1363="","",IFERROR(INDEX(T_NOMBRE,MATCH(V1363,T_RUTN,0)),"⚠ RUT no está en Trabajadores"))</f>
        <v/>
      </c>
      <c r="E1363" s="61"/>
      <c r="F1363" s="61"/>
      <c r="G1363" s="61"/>
      <c r="H1363" s="61"/>
      <c r="I1363" s="81"/>
      <c r="J1363" s="81"/>
      <c r="K1363" s="60"/>
      <c r="L1363" s="60"/>
      <c r="M1363" s="60"/>
      <c r="N1363" s="60"/>
      <c r="O1363" s="60"/>
      <c r="P1363" s="60"/>
      <c r="Q1363" s="60"/>
      <c r="R1363" s="58"/>
      <c r="S1363" s="62" t="str">
        <f aca="false">IF(OR(B1363="",V1363=""),"",IFERROR(INDEX(C_TIPO,MATCH(V1363&amp;"-P"&amp;MAX(1,COUNTIFS(C_RUTN,V1363,C_DEF,"Sí",C_INI,"&lt;="&amp;EOMONTH(B1363,0))),C_CLAVE,0))&amp;"","Sin contrato"))</f>
        <v/>
      </c>
      <c r="T1363" s="63" t="str">
        <f aca="false">IF(OR(B1363="",N(O1363)=0),"",N(O1363)+ROUND(MIN(N(N1363),TOPE_UF*UF_MES)*(TASA_EMP+MUTUAL),0)+ROUND(MIN(N(N1363),TOPE_AFC_UF*UF_MES)*IF(S1363="Indefinido",AFC_INDEF,AFC_PF),0))</f>
        <v/>
      </c>
      <c r="U1363" s="62" t="str">
        <f aca="false">IF(C1363="","",IF(LEFT(D1363,1)="⚠","⚠ RUT no registrado en Trabajadores",IF(B1363="","⚠ Falta el mes",IF(OR(ISTEXT(I1363),ISTEXT(J1363)),"⚠ Atrasos u horas extra como texto: escriba hh:mm (ej. 1:30)",IF(AND(ISNUMBER(Q1363),COUNTIFS(M_RUTN,V1363,M_MES,B1363,M_LIQ,"&lt;&gt;")&gt;1),"⚠ Liquidación repetida en el mes",IF(AND(ISNUMBER(O1363),ISNUMBER(P1363),ISNUMBER(Q1363),ABS(O1363-P1363-Q1363)&gt;1),"⚠ Haberes − descuentos no da el líquido","OK"))))))</f>
        <v/>
      </c>
      <c r="V1363" s="62" t="str">
        <f aca="false">IF(C1363="","",IFERROR(VALUE(LEFT(UPPER(SUBSTITUTE(SUBSTITUTE(SUBSTITUTE(TRIM(C1363),".",""),"-","")," ","")),LEN(UPPER(SUBSTITUTE(SUBSTITUTE(SUBSTITUTE(TRIM(C1363),".",""),"-","")," ","")))-1))&amp;RIGHT(UPPER(SUBSTITUTE(SUBSTITUTE(SUBSTITUTE(TRIM(C1363),".",""),"-","")," ","")),1),UPPER(SUBSTITUTE(SUBSTITUTE(SUBSTITUTE(TRIM(C1363),".",""),"-","")," ",""))))</f>
        <v/>
      </c>
    </row>
    <row r="1364" customFormat="false" ht="15" hidden="false" customHeight="false" outlineLevel="0" collapsed="false">
      <c r="B1364" s="80"/>
      <c r="C1364" s="58"/>
      <c r="D1364" s="62" t="str">
        <f aca="false">IF(C1364="","",IFERROR(INDEX(T_NOMBRE,MATCH(V1364,T_RUTN,0)),"⚠ RUT no está en Trabajadores"))</f>
        <v/>
      </c>
      <c r="E1364" s="61"/>
      <c r="F1364" s="61"/>
      <c r="G1364" s="61"/>
      <c r="H1364" s="61"/>
      <c r="I1364" s="81"/>
      <c r="J1364" s="81"/>
      <c r="K1364" s="60"/>
      <c r="L1364" s="60"/>
      <c r="M1364" s="60"/>
      <c r="N1364" s="60"/>
      <c r="O1364" s="60"/>
      <c r="P1364" s="60"/>
      <c r="Q1364" s="60"/>
      <c r="R1364" s="58"/>
      <c r="S1364" s="62" t="str">
        <f aca="false">IF(OR(B1364="",V1364=""),"",IFERROR(INDEX(C_TIPO,MATCH(V1364&amp;"-P"&amp;MAX(1,COUNTIFS(C_RUTN,V1364,C_DEF,"Sí",C_INI,"&lt;="&amp;EOMONTH(B1364,0))),C_CLAVE,0))&amp;"","Sin contrato"))</f>
        <v/>
      </c>
      <c r="T1364" s="63" t="str">
        <f aca="false">IF(OR(B1364="",N(O1364)=0),"",N(O1364)+ROUND(MIN(N(N1364),TOPE_UF*UF_MES)*(TASA_EMP+MUTUAL),0)+ROUND(MIN(N(N1364),TOPE_AFC_UF*UF_MES)*IF(S1364="Indefinido",AFC_INDEF,AFC_PF),0))</f>
        <v/>
      </c>
      <c r="U1364" s="62" t="str">
        <f aca="false">IF(C1364="","",IF(LEFT(D1364,1)="⚠","⚠ RUT no registrado en Trabajadores",IF(B1364="","⚠ Falta el mes",IF(OR(ISTEXT(I1364),ISTEXT(J1364)),"⚠ Atrasos u horas extra como texto: escriba hh:mm (ej. 1:30)",IF(AND(ISNUMBER(Q1364),COUNTIFS(M_RUTN,V1364,M_MES,B1364,M_LIQ,"&lt;&gt;")&gt;1),"⚠ Liquidación repetida en el mes",IF(AND(ISNUMBER(O1364),ISNUMBER(P1364),ISNUMBER(Q1364),ABS(O1364-P1364-Q1364)&gt;1),"⚠ Haberes − descuentos no da el líquido","OK"))))))</f>
        <v/>
      </c>
      <c r="V1364" s="62" t="str">
        <f aca="false">IF(C1364="","",IFERROR(VALUE(LEFT(UPPER(SUBSTITUTE(SUBSTITUTE(SUBSTITUTE(TRIM(C1364),".",""),"-","")," ","")),LEN(UPPER(SUBSTITUTE(SUBSTITUTE(SUBSTITUTE(TRIM(C1364),".",""),"-","")," ","")))-1))&amp;RIGHT(UPPER(SUBSTITUTE(SUBSTITUTE(SUBSTITUTE(TRIM(C1364),".",""),"-","")," ","")),1),UPPER(SUBSTITUTE(SUBSTITUTE(SUBSTITUTE(TRIM(C1364),".",""),"-","")," ",""))))</f>
        <v/>
      </c>
    </row>
    <row r="1365" customFormat="false" ht="15" hidden="false" customHeight="false" outlineLevel="0" collapsed="false">
      <c r="B1365" s="80"/>
      <c r="C1365" s="58"/>
      <c r="D1365" s="62" t="str">
        <f aca="false">IF(C1365="","",IFERROR(INDEX(T_NOMBRE,MATCH(V1365,T_RUTN,0)),"⚠ RUT no está en Trabajadores"))</f>
        <v/>
      </c>
      <c r="E1365" s="61"/>
      <c r="F1365" s="61"/>
      <c r="G1365" s="61"/>
      <c r="H1365" s="61"/>
      <c r="I1365" s="81"/>
      <c r="J1365" s="81"/>
      <c r="K1365" s="60"/>
      <c r="L1365" s="60"/>
      <c r="M1365" s="60"/>
      <c r="N1365" s="60"/>
      <c r="O1365" s="60"/>
      <c r="P1365" s="60"/>
      <c r="Q1365" s="60"/>
      <c r="R1365" s="58"/>
      <c r="S1365" s="62" t="str">
        <f aca="false">IF(OR(B1365="",V1365=""),"",IFERROR(INDEX(C_TIPO,MATCH(V1365&amp;"-P"&amp;MAX(1,COUNTIFS(C_RUTN,V1365,C_DEF,"Sí",C_INI,"&lt;="&amp;EOMONTH(B1365,0))),C_CLAVE,0))&amp;"","Sin contrato"))</f>
        <v/>
      </c>
      <c r="T1365" s="63" t="str">
        <f aca="false">IF(OR(B1365="",N(O1365)=0),"",N(O1365)+ROUND(MIN(N(N1365),TOPE_UF*UF_MES)*(TASA_EMP+MUTUAL),0)+ROUND(MIN(N(N1365),TOPE_AFC_UF*UF_MES)*IF(S1365="Indefinido",AFC_INDEF,AFC_PF),0))</f>
        <v/>
      </c>
      <c r="U1365" s="62" t="str">
        <f aca="false">IF(C1365="","",IF(LEFT(D1365,1)="⚠","⚠ RUT no registrado en Trabajadores",IF(B1365="","⚠ Falta el mes",IF(OR(ISTEXT(I1365),ISTEXT(J1365)),"⚠ Atrasos u horas extra como texto: escriba hh:mm (ej. 1:30)",IF(AND(ISNUMBER(Q1365),COUNTIFS(M_RUTN,V1365,M_MES,B1365,M_LIQ,"&lt;&gt;")&gt;1),"⚠ Liquidación repetida en el mes",IF(AND(ISNUMBER(O1365),ISNUMBER(P1365),ISNUMBER(Q1365),ABS(O1365-P1365-Q1365)&gt;1),"⚠ Haberes − descuentos no da el líquido","OK"))))))</f>
        <v/>
      </c>
      <c r="V1365" s="62" t="str">
        <f aca="false">IF(C1365="","",IFERROR(VALUE(LEFT(UPPER(SUBSTITUTE(SUBSTITUTE(SUBSTITUTE(TRIM(C1365),".",""),"-","")," ","")),LEN(UPPER(SUBSTITUTE(SUBSTITUTE(SUBSTITUTE(TRIM(C1365),".",""),"-","")," ","")))-1))&amp;RIGHT(UPPER(SUBSTITUTE(SUBSTITUTE(SUBSTITUTE(TRIM(C1365),".",""),"-","")," ","")),1),UPPER(SUBSTITUTE(SUBSTITUTE(SUBSTITUTE(TRIM(C1365),".",""),"-","")," ",""))))</f>
        <v/>
      </c>
    </row>
    <row r="1366" customFormat="false" ht="15" hidden="false" customHeight="false" outlineLevel="0" collapsed="false">
      <c r="B1366" s="80"/>
      <c r="C1366" s="58"/>
      <c r="D1366" s="62" t="str">
        <f aca="false">IF(C1366="","",IFERROR(INDEX(T_NOMBRE,MATCH(V1366,T_RUTN,0)),"⚠ RUT no está en Trabajadores"))</f>
        <v/>
      </c>
      <c r="E1366" s="61"/>
      <c r="F1366" s="61"/>
      <c r="G1366" s="61"/>
      <c r="H1366" s="61"/>
      <c r="I1366" s="81"/>
      <c r="J1366" s="81"/>
      <c r="K1366" s="60"/>
      <c r="L1366" s="60"/>
      <c r="M1366" s="60"/>
      <c r="N1366" s="60"/>
      <c r="O1366" s="60"/>
      <c r="P1366" s="60"/>
      <c r="Q1366" s="60"/>
      <c r="R1366" s="58"/>
      <c r="S1366" s="62" t="str">
        <f aca="false">IF(OR(B1366="",V1366=""),"",IFERROR(INDEX(C_TIPO,MATCH(V1366&amp;"-P"&amp;MAX(1,COUNTIFS(C_RUTN,V1366,C_DEF,"Sí",C_INI,"&lt;="&amp;EOMONTH(B1366,0))),C_CLAVE,0))&amp;"","Sin contrato"))</f>
        <v/>
      </c>
      <c r="T1366" s="63" t="str">
        <f aca="false">IF(OR(B1366="",N(O1366)=0),"",N(O1366)+ROUND(MIN(N(N1366),TOPE_UF*UF_MES)*(TASA_EMP+MUTUAL),0)+ROUND(MIN(N(N1366),TOPE_AFC_UF*UF_MES)*IF(S1366="Indefinido",AFC_INDEF,AFC_PF),0))</f>
        <v/>
      </c>
      <c r="U1366" s="62" t="str">
        <f aca="false">IF(C1366="","",IF(LEFT(D1366,1)="⚠","⚠ RUT no registrado en Trabajadores",IF(B1366="","⚠ Falta el mes",IF(OR(ISTEXT(I1366),ISTEXT(J1366)),"⚠ Atrasos u horas extra como texto: escriba hh:mm (ej. 1:30)",IF(AND(ISNUMBER(Q1366),COUNTIFS(M_RUTN,V1366,M_MES,B1366,M_LIQ,"&lt;&gt;")&gt;1),"⚠ Liquidación repetida en el mes",IF(AND(ISNUMBER(O1366),ISNUMBER(P1366),ISNUMBER(Q1366),ABS(O1366-P1366-Q1366)&gt;1),"⚠ Haberes − descuentos no da el líquido","OK"))))))</f>
        <v/>
      </c>
      <c r="V1366" s="62" t="str">
        <f aca="false">IF(C1366="","",IFERROR(VALUE(LEFT(UPPER(SUBSTITUTE(SUBSTITUTE(SUBSTITUTE(TRIM(C1366),".",""),"-","")," ","")),LEN(UPPER(SUBSTITUTE(SUBSTITUTE(SUBSTITUTE(TRIM(C1366),".",""),"-","")," ","")))-1))&amp;RIGHT(UPPER(SUBSTITUTE(SUBSTITUTE(SUBSTITUTE(TRIM(C1366),".",""),"-","")," ","")),1),UPPER(SUBSTITUTE(SUBSTITUTE(SUBSTITUTE(TRIM(C1366),".",""),"-","")," ",""))))</f>
        <v/>
      </c>
    </row>
    <row r="1367" customFormat="false" ht="15" hidden="false" customHeight="false" outlineLevel="0" collapsed="false">
      <c r="B1367" s="80"/>
      <c r="C1367" s="58"/>
      <c r="D1367" s="62" t="str">
        <f aca="false">IF(C1367="","",IFERROR(INDEX(T_NOMBRE,MATCH(V1367,T_RUTN,0)),"⚠ RUT no está en Trabajadores"))</f>
        <v/>
      </c>
      <c r="E1367" s="61"/>
      <c r="F1367" s="61"/>
      <c r="G1367" s="61"/>
      <c r="H1367" s="61"/>
      <c r="I1367" s="81"/>
      <c r="J1367" s="81"/>
      <c r="K1367" s="60"/>
      <c r="L1367" s="60"/>
      <c r="M1367" s="60"/>
      <c r="N1367" s="60"/>
      <c r="O1367" s="60"/>
      <c r="P1367" s="60"/>
      <c r="Q1367" s="60"/>
      <c r="R1367" s="58"/>
      <c r="S1367" s="62" t="str">
        <f aca="false">IF(OR(B1367="",V1367=""),"",IFERROR(INDEX(C_TIPO,MATCH(V1367&amp;"-P"&amp;MAX(1,COUNTIFS(C_RUTN,V1367,C_DEF,"Sí",C_INI,"&lt;="&amp;EOMONTH(B1367,0))),C_CLAVE,0))&amp;"","Sin contrato"))</f>
        <v/>
      </c>
      <c r="T1367" s="63" t="str">
        <f aca="false">IF(OR(B1367="",N(O1367)=0),"",N(O1367)+ROUND(MIN(N(N1367),TOPE_UF*UF_MES)*(TASA_EMP+MUTUAL),0)+ROUND(MIN(N(N1367),TOPE_AFC_UF*UF_MES)*IF(S1367="Indefinido",AFC_INDEF,AFC_PF),0))</f>
        <v/>
      </c>
      <c r="U1367" s="62" t="str">
        <f aca="false">IF(C1367="","",IF(LEFT(D1367,1)="⚠","⚠ RUT no registrado en Trabajadores",IF(B1367="","⚠ Falta el mes",IF(OR(ISTEXT(I1367),ISTEXT(J1367)),"⚠ Atrasos u horas extra como texto: escriba hh:mm (ej. 1:30)",IF(AND(ISNUMBER(Q1367),COUNTIFS(M_RUTN,V1367,M_MES,B1367,M_LIQ,"&lt;&gt;")&gt;1),"⚠ Liquidación repetida en el mes",IF(AND(ISNUMBER(O1367),ISNUMBER(P1367),ISNUMBER(Q1367),ABS(O1367-P1367-Q1367)&gt;1),"⚠ Haberes − descuentos no da el líquido","OK"))))))</f>
        <v/>
      </c>
      <c r="V1367" s="62" t="str">
        <f aca="false">IF(C1367="","",IFERROR(VALUE(LEFT(UPPER(SUBSTITUTE(SUBSTITUTE(SUBSTITUTE(TRIM(C1367),".",""),"-","")," ","")),LEN(UPPER(SUBSTITUTE(SUBSTITUTE(SUBSTITUTE(TRIM(C1367),".",""),"-","")," ","")))-1))&amp;RIGHT(UPPER(SUBSTITUTE(SUBSTITUTE(SUBSTITUTE(TRIM(C1367),".",""),"-","")," ","")),1),UPPER(SUBSTITUTE(SUBSTITUTE(SUBSTITUTE(TRIM(C1367),".",""),"-","")," ",""))))</f>
        <v/>
      </c>
    </row>
    <row r="1368" customFormat="false" ht="15" hidden="false" customHeight="false" outlineLevel="0" collapsed="false">
      <c r="B1368" s="80"/>
      <c r="C1368" s="58"/>
      <c r="D1368" s="62" t="str">
        <f aca="false">IF(C1368="","",IFERROR(INDEX(T_NOMBRE,MATCH(V1368,T_RUTN,0)),"⚠ RUT no está en Trabajadores"))</f>
        <v/>
      </c>
      <c r="E1368" s="61"/>
      <c r="F1368" s="61"/>
      <c r="G1368" s="61"/>
      <c r="H1368" s="61"/>
      <c r="I1368" s="81"/>
      <c r="J1368" s="81"/>
      <c r="K1368" s="60"/>
      <c r="L1368" s="60"/>
      <c r="M1368" s="60"/>
      <c r="N1368" s="60"/>
      <c r="O1368" s="60"/>
      <c r="P1368" s="60"/>
      <c r="Q1368" s="60"/>
      <c r="R1368" s="58"/>
      <c r="S1368" s="62" t="str">
        <f aca="false">IF(OR(B1368="",V1368=""),"",IFERROR(INDEX(C_TIPO,MATCH(V1368&amp;"-P"&amp;MAX(1,COUNTIFS(C_RUTN,V1368,C_DEF,"Sí",C_INI,"&lt;="&amp;EOMONTH(B1368,0))),C_CLAVE,0))&amp;"","Sin contrato"))</f>
        <v/>
      </c>
      <c r="T1368" s="63" t="str">
        <f aca="false">IF(OR(B1368="",N(O1368)=0),"",N(O1368)+ROUND(MIN(N(N1368),TOPE_UF*UF_MES)*(TASA_EMP+MUTUAL),0)+ROUND(MIN(N(N1368),TOPE_AFC_UF*UF_MES)*IF(S1368="Indefinido",AFC_INDEF,AFC_PF),0))</f>
        <v/>
      </c>
      <c r="U1368" s="62" t="str">
        <f aca="false">IF(C1368="","",IF(LEFT(D1368,1)="⚠","⚠ RUT no registrado en Trabajadores",IF(B1368="","⚠ Falta el mes",IF(OR(ISTEXT(I1368),ISTEXT(J1368)),"⚠ Atrasos u horas extra como texto: escriba hh:mm (ej. 1:30)",IF(AND(ISNUMBER(Q1368),COUNTIFS(M_RUTN,V1368,M_MES,B1368,M_LIQ,"&lt;&gt;")&gt;1),"⚠ Liquidación repetida en el mes",IF(AND(ISNUMBER(O1368),ISNUMBER(P1368),ISNUMBER(Q1368),ABS(O1368-P1368-Q1368)&gt;1),"⚠ Haberes − descuentos no da el líquido","OK"))))))</f>
        <v/>
      </c>
      <c r="V1368" s="62" t="str">
        <f aca="false">IF(C1368="","",IFERROR(VALUE(LEFT(UPPER(SUBSTITUTE(SUBSTITUTE(SUBSTITUTE(TRIM(C1368),".",""),"-","")," ","")),LEN(UPPER(SUBSTITUTE(SUBSTITUTE(SUBSTITUTE(TRIM(C1368),".",""),"-","")," ","")))-1))&amp;RIGHT(UPPER(SUBSTITUTE(SUBSTITUTE(SUBSTITUTE(TRIM(C1368),".",""),"-","")," ","")),1),UPPER(SUBSTITUTE(SUBSTITUTE(SUBSTITUTE(TRIM(C1368),".",""),"-","")," ",""))))</f>
        <v/>
      </c>
    </row>
    <row r="1369" customFormat="false" ht="15" hidden="false" customHeight="false" outlineLevel="0" collapsed="false">
      <c r="B1369" s="80"/>
      <c r="C1369" s="58"/>
      <c r="D1369" s="62" t="str">
        <f aca="false">IF(C1369="","",IFERROR(INDEX(T_NOMBRE,MATCH(V1369,T_RUTN,0)),"⚠ RUT no está en Trabajadores"))</f>
        <v/>
      </c>
      <c r="E1369" s="61"/>
      <c r="F1369" s="61"/>
      <c r="G1369" s="61"/>
      <c r="H1369" s="61"/>
      <c r="I1369" s="81"/>
      <c r="J1369" s="81"/>
      <c r="K1369" s="60"/>
      <c r="L1369" s="60"/>
      <c r="M1369" s="60"/>
      <c r="N1369" s="60"/>
      <c r="O1369" s="60"/>
      <c r="P1369" s="60"/>
      <c r="Q1369" s="60"/>
      <c r="R1369" s="58"/>
      <c r="S1369" s="62" t="str">
        <f aca="false">IF(OR(B1369="",V1369=""),"",IFERROR(INDEX(C_TIPO,MATCH(V1369&amp;"-P"&amp;MAX(1,COUNTIFS(C_RUTN,V1369,C_DEF,"Sí",C_INI,"&lt;="&amp;EOMONTH(B1369,0))),C_CLAVE,0))&amp;"","Sin contrato"))</f>
        <v/>
      </c>
      <c r="T1369" s="63" t="str">
        <f aca="false">IF(OR(B1369="",N(O1369)=0),"",N(O1369)+ROUND(MIN(N(N1369),TOPE_UF*UF_MES)*(TASA_EMP+MUTUAL),0)+ROUND(MIN(N(N1369),TOPE_AFC_UF*UF_MES)*IF(S1369="Indefinido",AFC_INDEF,AFC_PF),0))</f>
        <v/>
      </c>
      <c r="U1369" s="62" t="str">
        <f aca="false">IF(C1369="","",IF(LEFT(D1369,1)="⚠","⚠ RUT no registrado en Trabajadores",IF(B1369="","⚠ Falta el mes",IF(OR(ISTEXT(I1369),ISTEXT(J1369)),"⚠ Atrasos u horas extra como texto: escriba hh:mm (ej. 1:30)",IF(AND(ISNUMBER(Q1369),COUNTIFS(M_RUTN,V1369,M_MES,B1369,M_LIQ,"&lt;&gt;")&gt;1),"⚠ Liquidación repetida en el mes",IF(AND(ISNUMBER(O1369),ISNUMBER(P1369),ISNUMBER(Q1369),ABS(O1369-P1369-Q1369)&gt;1),"⚠ Haberes − descuentos no da el líquido","OK"))))))</f>
        <v/>
      </c>
      <c r="V1369" s="62" t="str">
        <f aca="false">IF(C1369="","",IFERROR(VALUE(LEFT(UPPER(SUBSTITUTE(SUBSTITUTE(SUBSTITUTE(TRIM(C1369),".",""),"-","")," ","")),LEN(UPPER(SUBSTITUTE(SUBSTITUTE(SUBSTITUTE(TRIM(C1369),".",""),"-","")," ","")))-1))&amp;RIGHT(UPPER(SUBSTITUTE(SUBSTITUTE(SUBSTITUTE(TRIM(C1369),".",""),"-","")," ","")),1),UPPER(SUBSTITUTE(SUBSTITUTE(SUBSTITUTE(TRIM(C1369),".",""),"-","")," ",""))))</f>
        <v/>
      </c>
    </row>
    <row r="1370" customFormat="false" ht="15" hidden="false" customHeight="false" outlineLevel="0" collapsed="false">
      <c r="B1370" s="80"/>
      <c r="C1370" s="58"/>
      <c r="D1370" s="62" t="str">
        <f aca="false">IF(C1370="","",IFERROR(INDEX(T_NOMBRE,MATCH(V1370,T_RUTN,0)),"⚠ RUT no está en Trabajadores"))</f>
        <v/>
      </c>
      <c r="E1370" s="61"/>
      <c r="F1370" s="61"/>
      <c r="G1370" s="61"/>
      <c r="H1370" s="61"/>
      <c r="I1370" s="81"/>
      <c r="J1370" s="81"/>
      <c r="K1370" s="60"/>
      <c r="L1370" s="60"/>
      <c r="M1370" s="60"/>
      <c r="N1370" s="60"/>
      <c r="O1370" s="60"/>
      <c r="P1370" s="60"/>
      <c r="Q1370" s="60"/>
      <c r="R1370" s="58"/>
      <c r="S1370" s="62" t="str">
        <f aca="false">IF(OR(B1370="",V1370=""),"",IFERROR(INDEX(C_TIPO,MATCH(V1370&amp;"-P"&amp;MAX(1,COUNTIFS(C_RUTN,V1370,C_DEF,"Sí",C_INI,"&lt;="&amp;EOMONTH(B1370,0))),C_CLAVE,0))&amp;"","Sin contrato"))</f>
        <v/>
      </c>
      <c r="T1370" s="63" t="str">
        <f aca="false">IF(OR(B1370="",N(O1370)=0),"",N(O1370)+ROUND(MIN(N(N1370),TOPE_UF*UF_MES)*(TASA_EMP+MUTUAL),0)+ROUND(MIN(N(N1370),TOPE_AFC_UF*UF_MES)*IF(S1370="Indefinido",AFC_INDEF,AFC_PF),0))</f>
        <v/>
      </c>
      <c r="U1370" s="62" t="str">
        <f aca="false">IF(C1370="","",IF(LEFT(D1370,1)="⚠","⚠ RUT no registrado en Trabajadores",IF(B1370="","⚠ Falta el mes",IF(OR(ISTEXT(I1370),ISTEXT(J1370)),"⚠ Atrasos u horas extra como texto: escriba hh:mm (ej. 1:30)",IF(AND(ISNUMBER(Q1370),COUNTIFS(M_RUTN,V1370,M_MES,B1370,M_LIQ,"&lt;&gt;")&gt;1),"⚠ Liquidación repetida en el mes",IF(AND(ISNUMBER(O1370),ISNUMBER(P1370),ISNUMBER(Q1370),ABS(O1370-P1370-Q1370)&gt;1),"⚠ Haberes − descuentos no da el líquido","OK"))))))</f>
        <v/>
      </c>
      <c r="V1370" s="62" t="str">
        <f aca="false">IF(C1370="","",IFERROR(VALUE(LEFT(UPPER(SUBSTITUTE(SUBSTITUTE(SUBSTITUTE(TRIM(C1370),".",""),"-","")," ","")),LEN(UPPER(SUBSTITUTE(SUBSTITUTE(SUBSTITUTE(TRIM(C1370),".",""),"-","")," ","")))-1))&amp;RIGHT(UPPER(SUBSTITUTE(SUBSTITUTE(SUBSTITUTE(TRIM(C1370),".",""),"-","")," ","")),1),UPPER(SUBSTITUTE(SUBSTITUTE(SUBSTITUTE(TRIM(C1370),".",""),"-","")," ",""))))</f>
        <v/>
      </c>
    </row>
    <row r="1371" customFormat="false" ht="15" hidden="false" customHeight="false" outlineLevel="0" collapsed="false">
      <c r="B1371" s="80"/>
      <c r="C1371" s="58"/>
      <c r="D1371" s="62" t="str">
        <f aca="false">IF(C1371="","",IFERROR(INDEX(T_NOMBRE,MATCH(V1371,T_RUTN,0)),"⚠ RUT no está en Trabajadores"))</f>
        <v/>
      </c>
      <c r="E1371" s="61"/>
      <c r="F1371" s="61"/>
      <c r="G1371" s="61"/>
      <c r="H1371" s="61"/>
      <c r="I1371" s="81"/>
      <c r="J1371" s="81"/>
      <c r="K1371" s="60"/>
      <c r="L1371" s="60"/>
      <c r="M1371" s="60"/>
      <c r="N1371" s="60"/>
      <c r="O1371" s="60"/>
      <c r="P1371" s="60"/>
      <c r="Q1371" s="60"/>
      <c r="R1371" s="58"/>
      <c r="S1371" s="62" t="str">
        <f aca="false">IF(OR(B1371="",V1371=""),"",IFERROR(INDEX(C_TIPO,MATCH(V1371&amp;"-P"&amp;MAX(1,COUNTIFS(C_RUTN,V1371,C_DEF,"Sí",C_INI,"&lt;="&amp;EOMONTH(B1371,0))),C_CLAVE,0))&amp;"","Sin contrato"))</f>
        <v/>
      </c>
      <c r="T1371" s="63" t="str">
        <f aca="false">IF(OR(B1371="",N(O1371)=0),"",N(O1371)+ROUND(MIN(N(N1371),TOPE_UF*UF_MES)*(TASA_EMP+MUTUAL),0)+ROUND(MIN(N(N1371),TOPE_AFC_UF*UF_MES)*IF(S1371="Indefinido",AFC_INDEF,AFC_PF),0))</f>
        <v/>
      </c>
      <c r="U1371" s="62" t="str">
        <f aca="false">IF(C1371="","",IF(LEFT(D1371,1)="⚠","⚠ RUT no registrado en Trabajadores",IF(B1371="","⚠ Falta el mes",IF(OR(ISTEXT(I1371),ISTEXT(J1371)),"⚠ Atrasos u horas extra como texto: escriba hh:mm (ej. 1:30)",IF(AND(ISNUMBER(Q1371),COUNTIFS(M_RUTN,V1371,M_MES,B1371,M_LIQ,"&lt;&gt;")&gt;1),"⚠ Liquidación repetida en el mes",IF(AND(ISNUMBER(O1371),ISNUMBER(P1371),ISNUMBER(Q1371),ABS(O1371-P1371-Q1371)&gt;1),"⚠ Haberes − descuentos no da el líquido","OK"))))))</f>
        <v/>
      </c>
      <c r="V1371" s="62" t="str">
        <f aca="false">IF(C1371="","",IFERROR(VALUE(LEFT(UPPER(SUBSTITUTE(SUBSTITUTE(SUBSTITUTE(TRIM(C1371),".",""),"-","")," ","")),LEN(UPPER(SUBSTITUTE(SUBSTITUTE(SUBSTITUTE(TRIM(C1371),".",""),"-","")," ","")))-1))&amp;RIGHT(UPPER(SUBSTITUTE(SUBSTITUTE(SUBSTITUTE(TRIM(C1371),".",""),"-","")," ","")),1),UPPER(SUBSTITUTE(SUBSTITUTE(SUBSTITUTE(TRIM(C1371),".",""),"-","")," ",""))))</f>
        <v/>
      </c>
    </row>
    <row r="1372" customFormat="false" ht="15" hidden="false" customHeight="false" outlineLevel="0" collapsed="false">
      <c r="B1372" s="80"/>
      <c r="C1372" s="58"/>
      <c r="D1372" s="62" t="str">
        <f aca="false">IF(C1372="","",IFERROR(INDEX(T_NOMBRE,MATCH(V1372,T_RUTN,0)),"⚠ RUT no está en Trabajadores"))</f>
        <v/>
      </c>
      <c r="E1372" s="61"/>
      <c r="F1372" s="61"/>
      <c r="G1372" s="61"/>
      <c r="H1372" s="61"/>
      <c r="I1372" s="81"/>
      <c r="J1372" s="81"/>
      <c r="K1372" s="60"/>
      <c r="L1372" s="60"/>
      <c r="M1372" s="60"/>
      <c r="N1372" s="60"/>
      <c r="O1372" s="60"/>
      <c r="P1372" s="60"/>
      <c r="Q1372" s="60"/>
      <c r="R1372" s="58"/>
      <c r="S1372" s="62" t="str">
        <f aca="false">IF(OR(B1372="",V1372=""),"",IFERROR(INDEX(C_TIPO,MATCH(V1372&amp;"-P"&amp;MAX(1,COUNTIFS(C_RUTN,V1372,C_DEF,"Sí",C_INI,"&lt;="&amp;EOMONTH(B1372,0))),C_CLAVE,0))&amp;"","Sin contrato"))</f>
        <v/>
      </c>
      <c r="T1372" s="63" t="str">
        <f aca="false">IF(OR(B1372="",N(O1372)=0),"",N(O1372)+ROUND(MIN(N(N1372),TOPE_UF*UF_MES)*(TASA_EMP+MUTUAL),0)+ROUND(MIN(N(N1372),TOPE_AFC_UF*UF_MES)*IF(S1372="Indefinido",AFC_INDEF,AFC_PF),0))</f>
        <v/>
      </c>
      <c r="U1372" s="62" t="str">
        <f aca="false">IF(C1372="","",IF(LEFT(D1372,1)="⚠","⚠ RUT no registrado en Trabajadores",IF(B1372="","⚠ Falta el mes",IF(OR(ISTEXT(I1372),ISTEXT(J1372)),"⚠ Atrasos u horas extra como texto: escriba hh:mm (ej. 1:30)",IF(AND(ISNUMBER(Q1372),COUNTIFS(M_RUTN,V1372,M_MES,B1372,M_LIQ,"&lt;&gt;")&gt;1),"⚠ Liquidación repetida en el mes",IF(AND(ISNUMBER(O1372),ISNUMBER(P1372),ISNUMBER(Q1372),ABS(O1372-P1372-Q1372)&gt;1),"⚠ Haberes − descuentos no da el líquido","OK"))))))</f>
        <v/>
      </c>
      <c r="V1372" s="62" t="str">
        <f aca="false">IF(C1372="","",IFERROR(VALUE(LEFT(UPPER(SUBSTITUTE(SUBSTITUTE(SUBSTITUTE(TRIM(C1372),".",""),"-","")," ","")),LEN(UPPER(SUBSTITUTE(SUBSTITUTE(SUBSTITUTE(TRIM(C1372),".",""),"-","")," ","")))-1))&amp;RIGHT(UPPER(SUBSTITUTE(SUBSTITUTE(SUBSTITUTE(TRIM(C1372),".",""),"-","")," ","")),1),UPPER(SUBSTITUTE(SUBSTITUTE(SUBSTITUTE(TRIM(C1372),".",""),"-","")," ",""))))</f>
        <v/>
      </c>
    </row>
    <row r="1373" customFormat="false" ht="15" hidden="false" customHeight="false" outlineLevel="0" collapsed="false">
      <c r="B1373" s="80"/>
      <c r="C1373" s="58"/>
      <c r="D1373" s="62" t="str">
        <f aca="false">IF(C1373="","",IFERROR(INDEX(T_NOMBRE,MATCH(V1373,T_RUTN,0)),"⚠ RUT no está en Trabajadores"))</f>
        <v/>
      </c>
      <c r="E1373" s="61"/>
      <c r="F1373" s="61"/>
      <c r="G1373" s="61"/>
      <c r="H1373" s="61"/>
      <c r="I1373" s="81"/>
      <c r="J1373" s="81"/>
      <c r="K1373" s="60"/>
      <c r="L1373" s="60"/>
      <c r="M1373" s="60"/>
      <c r="N1373" s="60"/>
      <c r="O1373" s="60"/>
      <c r="P1373" s="60"/>
      <c r="Q1373" s="60"/>
      <c r="R1373" s="58"/>
      <c r="S1373" s="62" t="str">
        <f aca="false">IF(OR(B1373="",V1373=""),"",IFERROR(INDEX(C_TIPO,MATCH(V1373&amp;"-P"&amp;MAX(1,COUNTIFS(C_RUTN,V1373,C_DEF,"Sí",C_INI,"&lt;="&amp;EOMONTH(B1373,0))),C_CLAVE,0))&amp;"","Sin contrato"))</f>
        <v/>
      </c>
      <c r="T1373" s="63" t="str">
        <f aca="false">IF(OR(B1373="",N(O1373)=0),"",N(O1373)+ROUND(MIN(N(N1373),TOPE_UF*UF_MES)*(TASA_EMP+MUTUAL),0)+ROUND(MIN(N(N1373),TOPE_AFC_UF*UF_MES)*IF(S1373="Indefinido",AFC_INDEF,AFC_PF),0))</f>
        <v/>
      </c>
      <c r="U1373" s="62" t="str">
        <f aca="false">IF(C1373="","",IF(LEFT(D1373,1)="⚠","⚠ RUT no registrado en Trabajadores",IF(B1373="","⚠ Falta el mes",IF(OR(ISTEXT(I1373),ISTEXT(J1373)),"⚠ Atrasos u horas extra como texto: escriba hh:mm (ej. 1:30)",IF(AND(ISNUMBER(Q1373),COUNTIFS(M_RUTN,V1373,M_MES,B1373,M_LIQ,"&lt;&gt;")&gt;1),"⚠ Liquidación repetida en el mes",IF(AND(ISNUMBER(O1373),ISNUMBER(P1373),ISNUMBER(Q1373),ABS(O1373-P1373-Q1373)&gt;1),"⚠ Haberes − descuentos no da el líquido","OK"))))))</f>
        <v/>
      </c>
      <c r="V1373" s="62" t="str">
        <f aca="false">IF(C1373="","",IFERROR(VALUE(LEFT(UPPER(SUBSTITUTE(SUBSTITUTE(SUBSTITUTE(TRIM(C1373),".",""),"-","")," ","")),LEN(UPPER(SUBSTITUTE(SUBSTITUTE(SUBSTITUTE(TRIM(C1373),".",""),"-","")," ","")))-1))&amp;RIGHT(UPPER(SUBSTITUTE(SUBSTITUTE(SUBSTITUTE(TRIM(C1373),".",""),"-","")," ","")),1),UPPER(SUBSTITUTE(SUBSTITUTE(SUBSTITUTE(TRIM(C1373),".",""),"-","")," ",""))))</f>
        <v/>
      </c>
    </row>
    <row r="1374" customFormat="false" ht="15" hidden="false" customHeight="false" outlineLevel="0" collapsed="false">
      <c r="B1374" s="80"/>
      <c r="C1374" s="58"/>
      <c r="D1374" s="62" t="str">
        <f aca="false">IF(C1374="","",IFERROR(INDEX(T_NOMBRE,MATCH(V1374,T_RUTN,0)),"⚠ RUT no está en Trabajadores"))</f>
        <v/>
      </c>
      <c r="E1374" s="61"/>
      <c r="F1374" s="61"/>
      <c r="G1374" s="61"/>
      <c r="H1374" s="61"/>
      <c r="I1374" s="81"/>
      <c r="J1374" s="81"/>
      <c r="K1374" s="60"/>
      <c r="L1374" s="60"/>
      <c r="M1374" s="60"/>
      <c r="N1374" s="60"/>
      <c r="O1374" s="60"/>
      <c r="P1374" s="60"/>
      <c r="Q1374" s="60"/>
      <c r="R1374" s="58"/>
      <c r="S1374" s="62" t="str">
        <f aca="false">IF(OR(B1374="",V1374=""),"",IFERROR(INDEX(C_TIPO,MATCH(V1374&amp;"-P"&amp;MAX(1,COUNTIFS(C_RUTN,V1374,C_DEF,"Sí",C_INI,"&lt;="&amp;EOMONTH(B1374,0))),C_CLAVE,0))&amp;"","Sin contrato"))</f>
        <v/>
      </c>
      <c r="T1374" s="63" t="str">
        <f aca="false">IF(OR(B1374="",N(O1374)=0),"",N(O1374)+ROUND(MIN(N(N1374),TOPE_UF*UF_MES)*(TASA_EMP+MUTUAL),0)+ROUND(MIN(N(N1374),TOPE_AFC_UF*UF_MES)*IF(S1374="Indefinido",AFC_INDEF,AFC_PF),0))</f>
        <v/>
      </c>
      <c r="U1374" s="62" t="str">
        <f aca="false">IF(C1374="","",IF(LEFT(D1374,1)="⚠","⚠ RUT no registrado en Trabajadores",IF(B1374="","⚠ Falta el mes",IF(OR(ISTEXT(I1374),ISTEXT(J1374)),"⚠ Atrasos u horas extra como texto: escriba hh:mm (ej. 1:30)",IF(AND(ISNUMBER(Q1374),COUNTIFS(M_RUTN,V1374,M_MES,B1374,M_LIQ,"&lt;&gt;")&gt;1),"⚠ Liquidación repetida en el mes",IF(AND(ISNUMBER(O1374),ISNUMBER(P1374),ISNUMBER(Q1374),ABS(O1374-P1374-Q1374)&gt;1),"⚠ Haberes − descuentos no da el líquido","OK"))))))</f>
        <v/>
      </c>
      <c r="V1374" s="62" t="str">
        <f aca="false">IF(C1374="","",IFERROR(VALUE(LEFT(UPPER(SUBSTITUTE(SUBSTITUTE(SUBSTITUTE(TRIM(C1374),".",""),"-","")," ","")),LEN(UPPER(SUBSTITUTE(SUBSTITUTE(SUBSTITUTE(TRIM(C1374),".",""),"-","")," ","")))-1))&amp;RIGHT(UPPER(SUBSTITUTE(SUBSTITUTE(SUBSTITUTE(TRIM(C1374),".",""),"-","")," ","")),1),UPPER(SUBSTITUTE(SUBSTITUTE(SUBSTITUTE(TRIM(C1374),".",""),"-","")," ",""))))</f>
        <v/>
      </c>
    </row>
    <row r="1375" customFormat="false" ht="15" hidden="false" customHeight="false" outlineLevel="0" collapsed="false">
      <c r="B1375" s="80"/>
      <c r="C1375" s="58"/>
      <c r="D1375" s="62" t="str">
        <f aca="false">IF(C1375="","",IFERROR(INDEX(T_NOMBRE,MATCH(V1375,T_RUTN,0)),"⚠ RUT no está en Trabajadores"))</f>
        <v/>
      </c>
      <c r="E1375" s="61"/>
      <c r="F1375" s="61"/>
      <c r="G1375" s="61"/>
      <c r="H1375" s="61"/>
      <c r="I1375" s="81"/>
      <c r="J1375" s="81"/>
      <c r="K1375" s="60"/>
      <c r="L1375" s="60"/>
      <c r="M1375" s="60"/>
      <c r="N1375" s="60"/>
      <c r="O1375" s="60"/>
      <c r="P1375" s="60"/>
      <c r="Q1375" s="60"/>
      <c r="R1375" s="58"/>
      <c r="S1375" s="62" t="str">
        <f aca="false">IF(OR(B1375="",V1375=""),"",IFERROR(INDEX(C_TIPO,MATCH(V1375&amp;"-P"&amp;MAX(1,COUNTIFS(C_RUTN,V1375,C_DEF,"Sí",C_INI,"&lt;="&amp;EOMONTH(B1375,0))),C_CLAVE,0))&amp;"","Sin contrato"))</f>
        <v/>
      </c>
      <c r="T1375" s="63" t="str">
        <f aca="false">IF(OR(B1375="",N(O1375)=0),"",N(O1375)+ROUND(MIN(N(N1375),TOPE_UF*UF_MES)*(TASA_EMP+MUTUAL),0)+ROUND(MIN(N(N1375),TOPE_AFC_UF*UF_MES)*IF(S1375="Indefinido",AFC_INDEF,AFC_PF),0))</f>
        <v/>
      </c>
      <c r="U1375" s="62" t="str">
        <f aca="false">IF(C1375="","",IF(LEFT(D1375,1)="⚠","⚠ RUT no registrado en Trabajadores",IF(B1375="","⚠ Falta el mes",IF(OR(ISTEXT(I1375),ISTEXT(J1375)),"⚠ Atrasos u horas extra como texto: escriba hh:mm (ej. 1:30)",IF(AND(ISNUMBER(Q1375),COUNTIFS(M_RUTN,V1375,M_MES,B1375,M_LIQ,"&lt;&gt;")&gt;1),"⚠ Liquidación repetida en el mes",IF(AND(ISNUMBER(O1375),ISNUMBER(P1375),ISNUMBER(Q1375),ABS(O1375-P1375-Q1375)&gt;1),"⚠ Haberes − descuentos no da el líquido","OK"))))))</f>
        <v/>
      </c>
      <c r="V1375" s="62" t="str">
        <f aca="false">IF(C1375="","",IFERROR(VALUE(LEFT(UPPER(SUBSTITUTE(SUBSTITUTE(SUBSTITUTE(TRIM(C1375),".",""),"-","")," ","")),LEN(UPPER(SUBSTITUTE(SUBSTITUTE(SUBSTITUTE(TRIM(C1375),".",""),"-","")," ","")))-1))&amp;RIGHT(UPPER(SUBSTITUTE(SUBSTITUTE(SUBSTITUTE(TRIM(C1375),".",""),"-","")," ","")),1),UPPER(SUBSTITUTE(SUBSTITUTE(SUBSTITUTE(TRIM(C1375),".",""),"-","")," ",""))))</f>
        <v/>
      </c>
    </row>
    <row r="1376" customFormat="false" ht="15" hidden="false" customHeight="false" outlineLevel="0" collapsed="false">
      <c r="B1376" s="80"/>
      <c r="C1376" s="58"/>
      <c r="D1376" s="62" t="str">
        <f aca="false">IF(C1376="","",IFERROR(INDEX(T_NOMBRE,MATCH(V1376,T_RUTN,0)),"⚠ RUT no está en Trabajadores"))</f>
        <v/>
      </c>
      <c r="E1376" s="61"/>
      <c r="F1376" s="61"/>
      <c r="G1376" s="61"/>
      <c r="H1376" s="61"/>
      <c r="I1376" s="81"/>
      <c r="J1376" s="81"/>
      <c r="K1376" s="60"/>
      <c r="L1376" s="60"/>
      <c r="M1376" s="60"/>
      <c r="N1376" s="60"/>
      <c r="O1376" s="60"/>
      <c r="P1376" s="60"/>
      <c r="Q1376" s="60"/>
      <c r="R1376" s="58"/>
      <c r="S1376" s="62" t="str">
        <f aca="false">IF(OR(B1376="",V1376=""),"",IFERROR(INDEX(C_TIPO,MATCH(V1376&amp;"-P"&amp;MAX(1,COUNTIFS(C_RUTN,V1376,C_DEF,"Sí",C_INI,"&lt;="&amp;EOMONTH(B1376,0))),C_CLAVE,0))&amp;"","Sin contrato"))</f>
        <v/>
      </c>
      <c r="T1376" s="63" t="str">
        <f aca="false">IF(OR(B1376="",N(O1376)=0),"",N(O1376)+ROUND(MIN(N(N1376),TOPE_UF*UF_MES)*(TASA_EMP+MUTUAL),0)+ROUND(MIN(N(N1376),TOPE_AFC_UF*UF_MES)*IF(S1376="Indefinido",AFC_INDEF,AFC_PF),0))</f>
        <v/>
      </c>
      <c r="U1376" s="62" t="str">
        <f aca="false">IF(C1376="","",IF(LEFT(D1376,1)="⚠","⚠ RUT no registrado en Trabajadores",IF(B1376="","⚠ Falta el mes",IF(OR(ISTEXT(I1376),ISTEXT(J1376)),"⚠ Atrasos u horas extra como texto: escriba hh:mm (ej. 1:30)",IF(AND(ISNUMBER(Q1376),COUNTIFS(M_RUTN,V1376,M_MES,B1376,M_LIQ,"&lt;&gt;")&gt;1),"⚠ Liquidación repetida en el mes",IF(AND(ISNUMBER(O1376),ISNUMBER(P1376),ISNUMBER(Q1376),ABS(O1376-P1376-Q1376)&gt;1),"⚠ Haberes − descuentos no da el líquido","OK"))))))</f>
        <v/>
      </c>
      <c r="V1376" s="62" t="str">
        <f aca="false">IF(C1376="","",IFERROR(VALUE(LEFT(UPPER(SUBSTITUTE(SUBSTITUTE(SUBSTITUTE(TRIM(C1376),".",""),"-","")," ","")),LEN(UPPER(SUBSTITUTE(SUBSTITUTE(SUBSTITUTE(TRIM(C1376),".",""),"-","")," ","")))-1))&amp;RIGHT(UPPER(SUBSTITUTE(SUBSTITUTE(SUBSTITUTE(TRIM(C1376),".",""),"-","")," ","")),1),UPPER(SUBSTITUTE(SUBSTITUTE(SUBSTITUTE(TRIM(C1376),".",""),"-","")," ",""))))</f>
        <v/>
      </c>
    </row>
    <row r="1377" customFormat="false" ht="15" hidden="false" customHeight="false" outlineLevel="0" collapsed="false">
      <c r="B1377" s="80"/>
      <c r="C1377" s="58"/>
      <c r="D1377" s="62" t="str">
        <f aca="false">IF(C1377="","",IFERROR(INDEX(T_NOMBRE,MATCH(V1377,T_RUTN,0)),"⚠ RUT no está en Trabajadores"))</f>
        <v/>
      </c>
      <c r="E1377" s="61"/>
      <c r="F1377" s="61"/>
      <c r="G1377" s="61"/>
      <c r="H1377" s="61"/>
      <c r="I1377" s="81"/>
      <c r="J1377" s="81"/>
      <c r="K1377" s="60"/>
      <c r="L1377" s="60"/>
      <c r="M1377" s="60"/>
      <c r="N1377" s="60"/>
      <c r="O1377" s="60"/>
      <c r="P1377" s="60"/>
      <c r="Q1377" s="60"/>
      <c r="R1377" s="58"/>
      <c r="S1377" s="62" t="str">
        <f aca="false">IF(OR(B1377="",V1377=""),"",IFERROR(INDEX(C_TIPO,MATCH(V1377&amp;"-P"&amp;MAX(1,COUNTIFS(C_RUTN,V1377,C_DEF,"Sí",C_INI,"&lt;="&amp;EOMONTH(B1377,0))),C_CLAVE,0))&amp;"","Sin contrato"))</f>
        <v/>
      </c>
      <c r="T1377" s="63" t="str">
        <f aca="false">IF(OR(B1377="",N(O1377)=0),"",N(O1377)+ROUND(MIN(N(N1377),TOPE_UF*UF_MES)*(TASA_EMP+MUTUAL),0)+ROUND(MIN(N(N1377),TOPE_AFC_UF*UF_MES)*IF(S1377="Indefinido",AFC_INDEF,AFC_PF),0))</f>
        <v/>
      </c>
      <c r="U1377" s="62" t="str">
        <f aca="false">IF(C1377="","",IF(LEFT(D1377,1)="⚠","⚠ RUT no registrado en Trabajadores",IF(B1377="","⚠ Falta el mes",IF(OR(ISTEXT(I1377),ISTEXT(J1377)),"⚠ Atrasos u horas extra como texto: escriba hh:mm (ej. 1:30)",IF(AND(ISNUMBER(Q1377),COUNTIFS(M_RUTN,V1377,M_MES,B1377,M_LIQ,"&lt;&gt;")&gt;1),"⚠ Liquidación repetida en el mes",IF(AND(ISNUMBER(O1377),ISNUMBER(P1377),ISNUMBER(Q1377),ABS(O1377-P1377-Q1377)&gt;1),"⚠ Haberes − descuentos no da el líquido","OK"))))))</f>
        <v/>
      </c>
      <c r="V1377" s="62" t="str">
        <f aca="false">IF(C1377="","",IFERROR(VALUE(LEFT(UPPER(SUBSTITUTE(SUBSTITUTE(SUBSTITUTE(TRIM(C1377),".",""),"-","")," ","")),LEN(UPPER(SUBSTITUTE(SUBSTITUTE(SUBSTITUTE(TRIM(C1377),".",""),"-","")," ","")))-1))&amp;RIGHT(UPPER(SUBSTITUTE(SUBSTITUTE(SUBSTITUTE(TRIM(C1377),".",""),"-","")," ","")),1),UPPER(SUBSTITUTE(SUBSTITUTE(SUBSTITUTE(TRIM(C1377),".",""),"-","")," ",""))))</f>
        <v/>
      </c>
    </row>
    <row r="1378" customFormat="false" ht="15" hidden="false" customHeight="false" outlineLevel="0" collapsed="false">
      <c r="B1378" s="80"/>
      <c r="C1378" s="58"/>
      <c r="D1378" s="62" t="str">
        <f aca="false">IF(C1378="","",IFERROR(INDEX(T_NOMBRE,MATCH(V1378,T_RUTN,0)),"⚠ RUT no está en Trabajadores"))</f>
        <v/>
      </c>
      <c r="E1378" s="61"/>
      <c r="F1378" s="61"/>
      <c r="G1378" s="61"/>
      <c r="H1378" s="61"/>
      <c r="I1378" s="81"/>
      <c r="J1378" s="81"/>
      <c r="K1378" s="60"/>
      <c r="L1378" s="60"/>
      <c r="M1378" s="60"/>
      <c r="N1378" s="60"/>
      <c r="O1378" s="60"/>
      <c r="P1378" s="60"/>
      <c r="Q1378" s="60"/>
      <c r="R1378" s="58"/>
      <c r="S1378" s="62" t="str">
        <f aca="false">IF(OR(B1378="",V1378=""),"",IFERROR(INDEX(C_TIPO,MATCH(V1378&amp;"-P"&amp;MAX(1,COUNTIFS(C_RUTN,V1378,C_DEF,"Sí",C_INI,"&lt;="&amp;EOMONTH(B1378,0))),C_CLAVE,0))&amp;"","Sin contrato"))</f>
        <v/>
      </c>
      <c r="T1378" s="63" t="str">
        <f aca="false">IF(OR(B1378="",N(O1378)=0),"",N(O1378)+ROUND(MIN(N(N1378),TOPE_UF*UF_MES)*(TASA_EMP+MUTUAL),0)+ROUND(MIN(N(N1378),TOPE_AFC_UF*UF_MES)*IF(S1378="Indefinido",AFC_INDEF,AFC_PF),0))</f>
        <v/>
      </c>
      <c r="U1378" s="62" t="str">
        <f aca="false">IF(C1378="","",IF(LEFT(D1378,1)="⚠","⚠ RUT no registrado en Trabajadores",IF(B1378="","⚠ Falta el mes",IF(OR(ISTEXT(I1378),ISTEXT(J1378)),"⚠ Atrasos u horas extra como texto: escriba hh:mm (ej. 1:30)",IF(AND(ISNUMBER(Q1378),COUNTIFS(M_RUTN,V1378,M_MES,B1378,M_LIQ,"&lt;&gt;")&gt;1),"⚠ Liquidación repetida en el mes",IF(AND(ISNUMBER(O1378),ISNUMBER(P1378),ISNUMBER(Q1378),ABS(O1378-P1378-Q1378)&gt;1),"⚠ Haberes − descuentos no da el líquido","OK"))))))</f>
        <v/>
      </c>
      <c r="V1378" s="62" t="str">
        <f aca="false">IF(C1378="","",IFERROR(VALUE(LEFT(UPPER(SUBSTITUTE(SUBSTITUTE(SUBSTITUTE(TRIM(C1378),".",""),"-","")," ","")),LEN(UPPER(SUBSTITUTE(SUBSTITUTE(SUBSTITUTE(TRIM(C1378),".",""),"-","")," ","")))-1))&amp;RIGHT(UPPER(SUBSTITUTE(SUBSTITUTE(SUBSTITUTE(TRIM(C1378),".",""),"-","")," ","")),1),UPPER(SUBSTITUTE(SUBSTITUTE(SUBSTITUTE(TRIM(C1378),".",""),"-","")," ",""))))</f>
        <v/>
      </c>
    </row>
    <row r="1379" customFormat="false" ht="15" hidden="false" customHeight="false" outlineLevel="0" collapsed="false">
      <c r="B1379" s="80"/>
      <c r="C1379" s="58"/>
      <c r="D1379" s="62" t="str">
        <f aca="false">IF(C1379="","",IFERROR(INDEX(T_NOMBRE,MATCH(V1379,T_RUTN,0)),"⚠ RUT no está en Trabajadores"))</f>
        <v/>
      </c>
      <c r="E1379" s="61"/>
      <c r="F1379" s="61"/>
      <c r="G1379" s="61"/>
      <c r="H1379" s="61"/>
      <c r="I1379" s="81"/>
      <c r="J1379" s="81"/>
      <c r="K1379" s="60"/>
      <c r="L1379" s="60"/>
      <c r="M1379" s="60"/>
      <c r="N1379" s="60"/>
      <c r="O1379" s="60"/>
      <c r="P1379" s="60"/>
      <c r="Q1379" s="60"/>
      <c r="R1379" s="58"/>
      <c r="S1379" s="62" t="str">
        <f aca="false">IF(OR(B1379="",V1379=""),"",IFERROR(INDEX(C_TIPO,MATCH(V1379&amp;"-P"&amp;MAX(1,COUNTIFS(C_RUTN,V1379,C_DEF,"Sí",C_INI,"&lt;="&amp;EOMONTH(B1379,0))),C_CLAVE,0))&amp;"","Sin contrato"))</f>
        <v/>
      </c>
      <c r="T1379" s="63" t="str">
        <f aca="false">IF(OR(B1379="",N(O1379)=0),"",N(O1379)+ROUND(MIN(N(N1379),TOPE_UF*UF_MES)*(TASA_EMP+MUTUAL),0)+ROUND(MIN(N(N1379),TOPE_AFC_UF*UF_MES)*IF(S1379="Indefinido",AFC_INDEF,AFC_PF),0))</f>
        <v/>
      </c>
      <c r="U1379" s="62" t="str">
        <f aca="false">IF(C1379="","",IF(LEFT(D1379,1)="⚠","⚠ RUT no registrado en Trabajadores",IF(B1379="","⚠ Falta el mes",IF(OR(ISTEXT(I1379),ISTEXT(J1379)),"⚠ Atrasos u horas extra como texto: escriba hh:mm (ej. 1:30)",IF(AND(ISNUMBER(Q1379),COUNTIFS(M_RUTN,V1379,M_MES,B1379,M_LIQ,"&lt;&gt;")&gt;1),"⚠ Liquidación repetida en el mes",IF(AND(ISNUMBER(O1379),ISNUMBER(P1379),ISNUMBER(Q1379),ABS(O1379-P1379-Q1379)&gt;1),"⚠ Haberes − descuentos no da el líquido","OK"))))))</f>
        <v/>
      </c>
      <c r="V1379" s="62" t="str">
        <f aca="false">IF(C1379="","",IFERROR(VALUE(LEFT(UPPER(SUBSTITUTE(SUBSTITUTE(SUBSTITUTE(TRIM(C1379),".",""),"-","")," ","")),LEN(UPPER(SUBSTITUTE(SUBSTITUTE(SUBSTITUTE(TRIM(C1379),".",""),"-","")," ","")))-1))&amp;RIGHT(UPPER(SUBSTITUTE(SUBSTITUTE(SUBSTITUTE(TRIM(C1379),".",""),"-","")," ","")),1),UPPER(SUBSTITUTE(SUBSTITUTE(SUBSTITUTE(TRIM(C1379),".",""),"-","")," ",""))))</f>
        <v/>
      </c>
    </row>
    <row r="1380" customFormat="false" ht="15" hidden="false" customHeight="false" outlineLevel="0" collapsed="false">
      <c r="B1380" s="80"/>
      <c r="C1380" s="58"/>
      <c r="D1380" s="62" t="str">
        <f aca="false">IF(C1380="","",IFERROR(INDEX(T_NOMBRE,MATCH(V1380,T_RUTN,0)),"⚠ RUT no está en Trabajadores"))</f>
        <v/>
      </c>
      <c r="E1380" s="61"/>
      <c r="F1380" s="61"/>
      <c r="G1380" s="61"/>
      <c r="H1380" s="61"/>
      <c r="I1380" s="81"/>
      <c r="J1380" s="81"/>
      <c r="K1380" s="60"/>
      <c r="L1380" s="60"/>
      <c r="M1380" s="60"/>
      <c r="N1380" s="60"/>
      <c r="O1380" s="60"/>
      <c r="P1380" s="60"/>
      <c r="Q1380" s="60"/>
      <c r="R1380" s="58"/>
      <c r="S1380" s="62" t="str">
        <f aca="false">IF(OR(B1380="",V1380=""),"",IFERROR(INDEX(C_TIPO,MATCH(V1380&amp;"-P"&amp;MAX(1,COUNTIFS(C_RUTN,V1380,C_DEF,"Sí",C_INI,"&lt;="&amp;EOMONTH(B1380,0))),C_CLAVE,0))&amp;"","Sin contrato"))</f>
        <v/>
      </c>
      <c r="T1380" s="63" t="str">
        <f aca="false">IF(OR(B1380="",N(O1380)=0),"",N(O1380)+ROUND(MIN(N(N1380),TOPE_UF*UF_MES)*(TASA_EMP+MUTUAL),0)+ROUND(MIN(N(N1380),TOPE_AFC_UF*UF_MES)*IF(S1380="Indefinido",AFC_INDEF,AFC_PF),0))</f>
        <v/>
      </c>
      <c r="U1380" s="62" t="str">
        <f aca="false">IF(C1380="","",IF(LEFT(D1380,1)="⚠","⚠ RUT no registrado en Trabajadores",IF(B1380="","⚠ Falta el mes",IF(OR(ISTEXT(I1380),ISTEXT(J1380)),"⚠ Atrasos u horas extra como texto: escriba hh:mm (ej. 1:30)",IF(AND(ISNUMBER(Q1380),COUNTIFS(M_RUTN,V1380,M_MES,B1380,M_LIQ,"&lt;&gt;")&gt;1),"⚠ Liquidación repetida en el mes",IF(AND(ISNUMBER(O1380),ISNUMBER(P1380),ISNUMBER(Q1380),ABS(O1380-P1380-Q1380)&gt;1),"⚠ Haberes − descuentos no da el líquido","OK"))))))</f>
        <v/>
      </c>
      <c r="V1380" s="62" t="str">
        <f aca="false">IF(C1380="","",IFERROR(VALUE(LEFT(UPPER(SUBSTITUTE(SUBSTITUTE(SUBSTITUTE(TRIM(C1380),".",""),"-","")," ","")),LEN(UPPER(SUBSTITUTE(SUBSTITUTE(SUBSTITUTE(TRIM(C1380),".",""),"-","")," ","")))-1))&amp;RIGHT(UPPER(SUBSTITUTE(SUBSTITUTE(SUBSTITUTE(TRIM(C1380),".",""),"-","")," ","")),1),UPPER(SUBSTITUTE(SUBSTITUTE(SUBSTITUTE(TRIM(C1380),".",""),"-","")," ",""))))</f>
        <v/>
      </c>
    </row>
    <row r="1381" customFormat="false" ht="15" hidden="false" customHeight="false" outlineLevel="0" collapsed="false">
      <c r="B1381" s="80"/>
      <c r="C1381" s="58"/>
      <c r="D1381" s="62" t="str">
        <f aca="false">IF(C1381="","",IFERROR(INDEX(T_NOMBRE,MATCH(V1381,T_RUTN,0)),"⚠ RUT no está en Trabajadores"))</f>
        <v/>
      </c>
      <c r="E1381" s="61"/>
      <c r="F1381" s="61"/>
      <c r="G1381" s="61"/>
      <c r="H1381" s="61"/>
      <c r="I1381" s="81"/>
      <c r="J1381" s="81"/>
      <c r="K1381" s="60"/>
      <c r="L1381" s="60"/>
      <c r="M1381" s="60"/>
      <c r="N1381" s="60"/>
      <c r="O1381" s="60"/>
      <c r="P1381" s="60"/>
      <c r="Q1381" s="60"/>
      <c r="R1381" s="58"/>
      <c r="S1381" s="62" t="str">
        <f aca="false">IF(OR(B1381="",V1381=""),"",IFERROR(INDEX(C_TIPO,MATCH(V1381&amp;"-P"&amp;MAX(1,COUNTIFS(C_RUTN,V1381,C_DEF,"Sí",C_INI,"&lt;="&amp;EOMONTH(B1381,0))),C_CLAVE,0))&amp;"","Sin contrato"))</f>
        <v/>
      </c>
      <c r="T1381" s="63" t="str">
        <f aca="false">IF(OR(B1381="",N(O1381)=0),"",N(O1381)+ROUND(MIN(N(N1381),TOPE_UF*UF_MES)*(TASA_EMP+MUTUAL),0)+ROUND(MIN(N(N1381),TOPE_AFC_UF*UF_MES)*IF(S1381="Indefinido",AFC_INDEF,AFC_PF),0))</f>
        <v/>
      </c>
      <c r="U1381" s="62" t="str">
        <f aca="false">IF(C1381="","",IF(LEFT(D1381,1)="⚠","⚠ RUT no registrado en Trabajadores",IF(B1381="","⚠ Falta el mes",IF(OR(ISTEXT(I1381),ISTEXT(J1381)),"⚠ Atrasos u horas extra como texto: escriba hh:mm (ej. 1:30)",IF(AND(ISNUMBER(Q1381),COUNTIFS(M_RUTN,V1381,M_MES,B1381,M_LIQ,"&lt;&gt;")&gt;1),"⚠ Liquidación repetida en el mes",IF(AND(ISNUMBER(O1381),ISNUMBER(P1381),ISNUMBER(Q1381),ABS(O1381-P1381-Q1381)&gt;1),"⚠ Haberes − descuentos no da el líquido","OK"))))))</f>
        <v/>
      </c>
      <c r="V1381" s="62" t="str">
        <f aca="false">IF(C1381="","",IFERROR(VALUE(LEFT(UPPER(SUBSTITUTE(SUBSTITUTE(SUBSTITUTE(TRIM(C1381),".",""),"-","")," ","")),LEN(UPPER(SUBSTITUTE(SUBSTITUTE(SUBSTITUTE(TRIM(C1381),".",""),"-","")," ","")))-1))&amp;RIGHT(UPPER(SUBSTITUTE(SUBSTITUTE(SUBSTITUTE(TRIM(C1381),".",""),"-","")," ","")),1),UPPER(SUBSTITUTE(SUBSTITUTE(SUBSTITUTE(TRIM(C1381),".",""),"-","")," ",""))))</f>
        <v/>
      </c>
    </row>
    <row r="1382" customFormat="false" ht="15" hidden="false" customHeight="false" outlineLevel="0" collapsed="false">
      <c r="B1382" s="80"/>
      <c r="C1382" s="58"/>
      <c r="D1382" s="62" t="str">
        <f aca="false">IF(C1382="","",IFERROR(INDEX(T_NOMBRE,MATCH(V1382,T_RUTN,0)),"⚠ RUT no está en Trabajadores"))</f>
        <v/>
      </c>
      <c r="E1382" s="61"/>
      <c r="F1382" s="61"/>
      <c r="G1382" s="61"/>
      <c r="H1382" s="61"/>
      <c r="I1382" s="81"/>
      <c r="J1382" s="81"/>
      <c r="K1382" s="60"/>
      <c r="L1382" s="60"/>
      <c r="M1382" s="60"/>
      <c r="N1382" s="60"/>
      <c r="O1382" s="60"/>
      <c r="P1382" s="60"/>
      <c r="Q1382" s="60"/>
      <c r="R1382" s="58"/>
      <c r="S1382" s="62" t="str">
        <f aca="false">IF(OR(B1382="",V1382=""),"",IFERROR(INDEX(C_TIPO,MATCH(V1382&amp;"-P"&amp;MAX(1,COUNTIFS(C_RUTN,V1382,C_DEF,"Sí",C_INI,"&lt;="&amp;EOMONTH(B1382,0))),C_CLAVE,0))&amp;"","Sin contrato"))</f>
        <v/>
      </c>
      <c r="T1382" s="63" t="str">
        <f aca="false">IF(OR(B1382="",N(O1382)=0),"",N(O1382)+ROUND(MIN(N(N1382),TOPE_UF*UF_MES)*(TASA_EMP+MUTUAL),0)+ROUND(MIN(N(N1382),TOPE_AFC_UF*UF_MES)*IF(S1382="Indefinido",AFC_INDEF,AFC_PF),0))</f>
        <v/>
      </c>
      <c r="U1382" s="62" t="str">
        <f aca="false">IF(C1382="","",IF(LEFT(D1382,1)="⚠","⚠ RUT no registrado en Trabajadores",IF(B1382="","⚠ Falta el mes",IF(OR(ISTEXT(I1382),ISTEXT(J1382)),"⚠ Atrasos u horas extra como texto: escriba hh:mm (ej. 1:30)",IF(AND(ISNUMBER(Q1382),COUNTIFS(M_RUTN,V1382,M_MES,B1382,M_LIQ,"&lt;&gt;")&gt;1),"⚠ Liquidación repetida en el mes",IF(AND(ISNUMBER(O1382),ISNUMBER(P1382),ISNUMBER(Q1382),ABS(O1382-P1382-Q1382)&gt;1),"⚠ Haberes − descuentos no da el líquido","OK"))))))</f>
        <v/>
      </c>
      <c r="V1382" s="62" t="str">
        <f aca="false">IF(C1382="","",IFERROR(VALUE(LEFT(UPPER(SUBSTITUTE(SUBSTITUTE(SUBSTITUTE(TRIM(C1382),".",""),"-","")," ","")),LEN(UPPER(SUBSTITUTE(SUBSTITUTE(SUBSTITUTE(TRIM(C1382),".",""),"-","")," ","")))-1))&amp;RIGHT(UPPER(SUBSTITUTE(SUBSTITUTE(SUBSTITUTE(TRIM(C1382),".",""),"-","")," ","")),1),UPPER(SUBSTITUTE(SUBSTITUTE(SUBSTITUTE(TRIM(C1382),".",""),"-","")," ",""))))</f>
        <v/>
      </c>
    </row>
    <row r="1383" customFormat="false" ht="15" hidden="false" customHeight="false" outlineLevel="0" collapsed="false">
      <c r="B1383" s="80"/>
      <c r="C1383" s="58"/>
      <c r="D1383" s="62" t="str">
        <f aca="false">IF(C1383="","",IFERROR(INDEX(T_NOMBRE,MATCH(V1383,T_RUTN,0)),"⚠ RUT no está en Trabajadores"))</f>
        <v/>
      </c>
      <c r="E1383" s="61"/>
      <c r="F1383" s="61"/>
      <c r="G1383" s="61"/>
      <c r="H1383" s="61"/>
      <c r="I1383" s="81"/>
      <c r="J1383" s="81"/>
      <c r="K1383" s="60"/>
      <c r="L1383" s="60"/>
      <c r="M1383" s="60"/>
      <c r="N1383" s="60"/>
      <c r="O1383" s="60"/>
      <c r="P1383" s="60"/>
      <c r="Q1383" s="60"/>
      <c r="R1383" s="58"/>
      <c r="S1383" s="62" t="str">
        <f aca="false">IF(OR(B1383="",V1383=""),"",IFERROR(INDEX(C_TIPO,MATCH(V1383&amp;"-P"&amp;MAX(1,COUNTIFS(C_RUTN,V1383,C_DEF,"Sí",C_INI,"&lt;="&amp;EOMONTH(B1383,0))),C_CLAVE,0))&amp;"","Sin contrato"))</f>
        <v/>
      </c>
      <c r="T1383" s="63" t="str">
        <f aca="false">IF(OR(B1383="",N(O1383)=0),"",N(O1383)+ROUND(MIN(N(N1383),TOPE_UF*UF_MES)*(TASA_EMP+MUTUAL),0)+ROUND(MIN(N(N1383),TOPE_AFC_UF*UF_MES)*IF(S1383="Indefinido",AFC_INDEF,AFC_PF),0))</f>
        <v/>
      </c>
      <c r="U1383" s="62" t="str">
        <f aca="false">IF(C1383="","",IF(LEFT(D1383,1)="⚠","⚠ RUT no registrado en Trabajadores",IF(B1383="","⚠ Falta el mes",IF(OR(ISTEXT(I1383),ISTEXT(J1383)),"⚠ Atrasos u horas extra como texto: escriba hh:mm (ej. 1:30)",IF(AND(ISNUMBER(Q1383),COUNTIFS(M_RUTN,V1383,M_MES,B1383,M_LIQ,"&lt;&gt;")&gt;1),"⚠ Liquidación repetida en el mes",IF(AND(ISNUMBER(O1383),ISNUMBER(P1383),ISNUMBER(Q1383),ABS(O1383-P1383-Q1383)&gt;1),"⚠ Haberes − descuentos no da el líquido","OK"))))))</f>
        <v/>
      </c>
      <c r="V1383" s="62" t="str">
        <f aca="false">IF(C1383="","",IFERROR(VALUE(LEFT(UPPER(SUBSTITUTE(SUBSTITUTE(SUBSTITUTE(TRIM(C1383),".",""),"-","")," ","")),LEN(UPPER(SUBSTITUTE(SUBSTITUTE(SUBSTITUTE(TRIM(C1383),".",""),"-","")," ","")))-1))&amp;RIGHT(UPPER(SUBSTITUTE(SUBSTITUTE(SUBSTITUTE(TRIM(C1383),".",""),"-","")," ","")),1),UPPER(SUBSTITUTE(SUBSTITUTE(SUBSTITUTE(TRIM(C1383),".",""),"-","")," ",""))))</f>
        <v/>
      </c>
    </row>
    <row r="1384" customFormat="false" ht="15" hidden="false" customHeight="false" outlineLevel="0" collapsed="false">
      <c r="B1384" s="80"/>
      <c r="C1384" s="58"/>
      <c r="D1384" s="62" t="str">
        <f aca="false">IF(C1384="","",IFERROR(INDEX(T_NOMBRE,MATCH(V1384,T_RUTN,0)),"⚠ RUT no está en Trabajadores"))</f>
        <v/>
      </c>
      <c r="E1384" s="61"/>
      <c r="F1384" s="61"/>
      <c r="G1384" s="61"/>
      <c r="H1384" s="61"/>
      <c r="I1384" s="81"/>
      <c r="J1384" s="81"/>
      <c r="K1384" s="60"/>
      <c r="L1384" s="60"/>
      <c r="M1384" s="60"/>
      <c r="N1384" s="60"/>
      <c r="O1384" s="60"/>
      <c r="P1384" s="60"/>
      <c r="Q1384" s="60"/>
      <c r="R1384" s="58"/>
      <c r="S1384" s="62" t="str">
        <f aca="false">IF(OR(B1384="",V1384=""),"",IFERROR(INDEX(C_TIPO,MATCH(V1384&amp;"-P"&amp;MAX(1,COUNTIFS(C_RUTN,V1384,C_DEF,"Sí",C_INI,"&lt;="&amp;EOMONTH(B1384,0))),C_CLAVE,0))&amp;"","Sin contrato"))</f>
        <v/>
      </c>
      <c r="T1384" s="63" t="str">
        <f aca="false">IF(OR(B1384="",N(O1384)=0),"",N(O1384)+ROUND(MIN(N(N1384),TOPE_UF*UF_MES)*(TASA_EMP+MUTUAL),0)+ROUND(MIN(N(N1384),TOPE_AFC_UF*UF_MES)*IF(S1384="Indefinido",AFC_INDEF,AFC_PF),0))</f>
        <v/>
      </c>
      <c r="U1384" s="62" t="str">
        <f aca="false">IF(C1384="","",IF(LEFT(D1384,1)="⚠","⚠ RUT no registrado en Trabajadores",IF(B1384="","⚠ Falta el mes",IF(OR(ISTEXT(I1384),ISTEXT(J1384)),"⚠ Atrasos u horas extra como texto: escriba hh:mm (ej. 1:30)",IF(AND(ISNUMBER(Q1384),COUNTIFS(M_RUTN,V1384,M_MES,B1384,M_LIQ,"&lt;&gt;")&gt;1),"⚠ Liquidación repetida en el mes",IF(AND(ISNUMBER(O1384),ISNUMBER(P1384),ISNUMBER(Q1384),ABS(O1384-P1384-Q1384)&gt;1),"⚠ Haberes − descuentos no da el líquido","OK"))))))</f>
        <v/>
      </c>
      <c r="V1384" s="62" t="str">
        <f aca="false">IF(C1384="","",IFERROR(VALUE(LEFT(UPPER(SUBSTITUTE(SUBSTITUTE(SUBSTITUTE(TRIM(C1384),".",""),"-","")," ","")),LEN(UPPER(SUBSTITUTE(SUBSTITUTE(SUBSTITUTE(TRIM(C1384),".",""),"-","")," ","")))-1))&amp;RIGHT(UPPER(SUBSTITUTE(SUBSTITUTE(SUBSTITUTE(TRIM(C1384),".",""),"-","")," ","")),1),UPPER(SUBSTITUTE(SUBSTITUTE(SUBSTITUTE(TRIM(C1384),".",""),"-","")," ",""))))</f>
        <v/>
      </c>
    </row>
    <row r="1385" customFormat="false" ht="15" hidden="false" customHeight="false" outlineLevel="0" collapsed="false">
      <c r="B1385" s="80"/>
      <c r="C1385" s="58"/>
      <c r="D1385" s="62" t="str">
        <f aca="false">IF(C1385="","",IFERROR(INDEX(T_NOMBRE,MATCH(V1385,T_RUTN,0)),"⚠ RUT no está en Trabajadores"))</f>
        <v/>
      </c>
      <c r="E1385" s="61"/>
      <c r="F1385" s="61"/>
      <c r="G1385" s="61"/>
      <c r="H1385" s="61"/>
      <c r="I1385" s="81"/>
      <c r="J1385" s="81"/>
      <c r="K1385" s="60"/>
      <c r="L1385" s="60"/>
      <c r="M1385" s="60"/>
      <c r="N1385" s="60"/>
      <c r="O1385" s="60"/>
      <c r="P1385" s="60"/>
      <c r="Q1385" s="60"/>
      <c r="R1385" s="58"/>
      <c r="S1385" s="62" t="str">
        <f aca="false">IF(OR(B1385="",V1385=""),"",IFERROR(INDEX(C_TIPO,MATCH(V1385&amp;"-P"&amp;MAX(1,COUNTIFS(C_RUTN,V1385,C_DEF,"Sí",C_INI,"&lt;="&amp;EOMONTH(B1385,0))),C_CLAVE,0))&amp;"","Sin contrato"))</f>
        <v/>
      </c>
      <c r="T1385" s="63" t="str">
        <f aca="false">IF(OR(B1385="",N(O1385)=0),"",N(O1385)+ROUND(MIN(N(N1385),TOPE_UF*UF_MES)*(TASA_EMP+MUTUAL),0)+ROUND(MIN(N(N1385),TOPE_AFC_UF*UF_MES)*IF(S1385="Indefinido",AFC_INDEF,AFC_PF),0))</f>
        <v/>
      </c>
      <c r="U1385" s="62" t="str">
        <f aca="false">IF(C1385="","",IF(LEFT(D1385,1)="⚠","⚠ RUT no registrado en Trabajadores",IF(B1385="","⚠ Falta el mes",IF(OR(ISTEXT(I1385),ISTEXT(J1385)),"⚠ Atrasos u horas extra como texto: escriba hh:mm (ej. 1:30)",IF(AND(ISNUMBER(Q1385),COUNTIFS(M_RUTN,V1385,M_MES,B1385,M_LIQ,"&lt;&gt;")&gt;1),"⚠ Liquidación repetida en el mes",IF(AND(ISNUMBER(O1385),ISNUMBER(P1385),ISNUMBER(Q1385),ABS(O1385-P1385-Q1385)&gt;1),"⚠ Haberes − descuentos no da el líquido","OK"))))))</f>
        <v/>
      </c>
      <c r="V1385" s="62" t="str">
        <f aca="false">IF(C1385="","",IFERROR(VALUE(LEFT(UPPER(SUBSTITUTE(SUBSTITUTE(SUBSTITUTE(TRIM(C1385),".",""),"-","")," ","")),LEN(UPPER(SUBSTITUTE(SUBSTITUTE(SUBSTITUTE(TRIM(C1385),".",""),"-","")," ","")))-1))&amp;RIGHT(UPPER(SUBSTITUTE(SUBSTITUTE(SUBSTITUTE(TRIM(C1385),".",""),"-","")," ","")),1),UPPER(SUBSTITUTE(SUBSTITUTE(SUBSTITUTE(TRIM(C1385),".",""),"-","")," ",""))))</f>
        <v/>
      </c>
    </row>
    <row r="1386" customFormat="false" ht="15" hidden="false" customHeight="false" outlineLevel="0" collapsed="false">
      <c r="B1386" s="80"/>
      <c r="C1386" s="58"/>
      <c r="D1386" s="62" t="str">
        <f aca="false">IF(C1386="","",IFERROR(INDEX(T_NOMBRE,MATCH(V1386,T_RUTN,0)),"⚠ RUT no está en Trabajadores"))</f>
        <v/>
      </c>
      <c r="E1386" s="61"/>
      <c r="F1386" s="61"/>
      <c r="G1386" s="61"/>
      <c r="H1386" s="61"/>
      <c r="I1386" s="81"/>
      <c r="J1386" s="81"/>
      <c r="K1386" s="60"/>
      <c r="L1386" s="60"/>
      <c r="M1386" s="60"/>
      <c r="N1386" s="60"/>
      <c r="O1386" s="60"/>
      <c r="P1386" s="60"/>
      <c r="Q1386" s="60"/>
      <c r="R1386" s="58"/>
      <c r="S1386" s="62" t="str">
        <f aca="false">IF(OR(B1386="",V1386=""),"",IFERROR(INDEX(C_TIPO,MATCH(V1386&amp;"-P"&amp;MAX(1,COUNTIFS(C_RUTN,V1386,C_DEF,"Sí",C_INI,"&lt;="&amp;EOMONTH(B1386,0))),C_CLAVE,0))&amp;"","Sin contrato"))</f>
        <v/>
      </c>
      <c r="T1386" s="63" t="str">
        <f aca="false">IF(OR(B1386="",N(O1386)=0),"",N(O1386)+ROUND(MIN(N(N1386),TOPE_UF*UF_MES)*(TASA_EMP+MUTUAL),0)+ROUND(MIN(N(N1386),TOPE_AFC_UF*UF_MES)*IF(S1386="Indefinido",AFC_INDEF,AFC_PF),0))</f>
        <v/>
      </c>
      <c r="U1386" s="62" t="str">
        <f aca="false">IF(C1386="","",IF(LEFT(D1386,1)="⚠","⚠ RUT no registrado en Trabajadores",IF(B1386="","⚠ Falta el mes",IF(OR(ISTEXT(I1386),ISTEXT(J1386)),"⚠ Atrasos u horas extra como texto: escriba hh:mm (ej. 1:30)",IF(AND(ISNUMBER(Q1386),COUNTIFS(M_RUTN,V1386,M_MES,B1386,M_LIQ,"&lt;&gt;")&gt;1),"⚠ Liquidación repetida en el mes",IF(AND(ISNUMBER(O1386),ISNUMBER(P1386),ISNUMBER(Q1386),ABS(O1386-P1386-Q1386)&gt;1),"⚠ Haberes − descuentos no da el líquido","OK"))))))</f>
        <v/>
      </c>
      <c r="V1386" s="62" t="str">
        <f aca="false">IF(C1386="","",IFERROR(VALUE(LEFT(UPPER(SUBSTITUTE(SUBSTITUTE(SUBSTITUTE(TRIM(C1386),".",""),"-","")," ","")),LEN(UPPER(SUBSTITUTE(SUBSTITUTE(SUBSTITUTE(TRIM(C1386),".",""),"-","")," ","")))-1))&amp;RIGHT(UPPER(SUBSTITUTE(SUBSTITUTE(SUBSTITUTE(TRIM(C1386),".",""),"-","")," ","")),1),UPPER(SUBSTITUTE(SUBSTITUTE(SUBSTITUTE(TRIM(C1386),".",""),"-","")," ",""))))</f>
        <v/>
      </c>
    </row>
    <row r="1387" customFormat="false" ht="15" hidden="false" customHeight="false" outlineLevel="0" collapsed="false">
      <c r="B1387" s="80"/>
      <c r="C1387" s="58"/>
      <c r="D1387" s="62" t="str">
        <f aca="false">IF(C1387="","",IFERROR(INDEX(T_NOMBRE,MATCH(V1387,T_RUTN,0)),"⚠ RUT no está en Trabajadores"))</f>
        <v/>
      </c>
      <c r="E1387" s="61"/>
      <c r="F1387" s="61"/>
      <c r="G1387" s="61"/>
      <c r="H1387" s="61"/>
      <c r="I1387" s="81"/>
      <c r="J1387" s="81"/>
      <c r="K1387" s="60"/>
      <c r="L1387" s="60"/>
      <c r="M1387" s="60"/>
      <c r="N1387" s="60"/>
      <c r="O1387" s="60"/>
      <c r="P1387" s="60"/>
      <c r="Q1387" s="60"/>
      <c r="R1387" s="58"/>
      <c r="S1387" s="62" t="str">
        <f aca="false">IF(OR(B1387="",V1387=""),"",IFERROR(INDEX(C_TIPO,MATCH(V1387&amp;"-P"&amp;MAX(1,COUNTIFS(C_RUTN,V1387,C_DEF,"Sí",C_INI,"&lt;="&amp;EOMONTH(B1387,0))),C_CLAVE,0))&amp;"","Sin contrato"))</f>
        <v/>
      </c>
      <c r="T1387" s="63" t="str">
        <f aca="false">IF(OR(B1387="",N(O1387)=0),"",N(O1387)+ROUND(MIN(N(N1387),TOPE_UF*UF_MES)*(TASA_EMP+MUTUAL),0)+ROUND(MIN(N(N1387),TOPE_AFC_UF*UF_MES)*IF(S1387="Indefinido",AFC_INDEF,AFC_PF),0))</f>
        <v/>
      </c>
      <c r="U1387" s="62" t="str">
        <f aca="false">IF(C1387="","",IF(LEFT(D1387,1)="⚠","⚠ RUT no registrado en Trabajadores",IF(B1387="","⚠ Falta el mes",IF(OR(ISTEXT(I1387),ISTEXT(J1387)),"⚠ Atrasos u horas extra como texto: escriba hh:mm (ej. 1:30)",IF(AND(ISNUMBER(Q1387),COUNTIFS(M_RUTN,V1387,M_MES,B1387,M_LIQ,"&lt;&gt;")&gt;1),"⚠ Liquidación repetida en el mes",IF(AND(ISNUMBER(O1387),ISNUMBER(P1387),ISNUMBER(Q1387),ABS(O1387-P1387-Q1387)&gt;1),"⚠ Haberes − descuentos no da el líquido","OK"))))))</f>
        <v/>
      </c>
      <c r="V1387" s="62" t="str">
        <f aca="false">IF(C1387="","",IFERROR(VALUE(LEFT(UPPER(SUBSTITUTE(SUBSTITUTE(SUBSTITUTE(TRIM(C1387),".",""),"-","")," ","")),LEN(UPPER(SUBSTITUTE(SUBSTITUTE(SUBSTITUTE(TRIM(C1387),".",""),"-","")," ","")))-1))&amp;RIGHT(UPPER(SUBSTITUTE(SUBSTITUTE(SUBSTITUTE(TRIM(C1387),".",""),"-","")," ","")),1),UPPER(SUBSTITUTE(SUBSTITUTE(SUBSTITUTE(TRIM(C1387),".",""),"-","")," ",""))))</f>
        <v/>
      </c>
    </row>
    <row r="1388" customFormat="false" ht="15" hidden="false" customHeight="false" outlineLevel="0" collapsed="false">
      <c r="B1388" s="80"/>
      <c r="C1388" s="58"/>
      <c r="D1388" s="62" t="str">
        <f aca="false">IF(C1388="","",IFERROR(INDEX(T_NOMBRE,MATCH(V1388,T_RUTN,0)),"⚠ RUT no está en Trabajadores"))</f>
        <v/>
      </c>
      <c r="E1388" s="61"/>
      <c r="F1388" s="61"/>
      <c r="G1388" s="61"/>
      <c r="H1388" s="61"/>
      <c r="I1388" s="81"/>
      <c r="J1388" s="81"/>
      <c r="K1388" s="60"/>
      <c r="L1388" s="60"/>
      <c r="M1388" s="60"/>
      <c r="N1388" s="60"/>
      <c r="O1388" s="60"/>
      <c r="P1388" s="60"/>
      <c r="Q1388" s="60"/>
      <c r="R1388" s="58"/>
      <c r="S1388" s="62" t="str">
        <f aca="false">IF(OR(B1388="",V1388=""),"",IFERROR(INDEX(C_TIPO,MATCH(V1388&amp;"-P"&amp;MAX(1,COUNTIFS(C_RUTN,V1388,C_DEF,"Sí",C_INI,"&lt;="&amp;EOMONTH(B1388,0))),C_CLAVE,0))&amp;"","Sin contrato"))</f>
        <v/>
      </c>
      <c r="T1388" s="63" t="str">
        <f aca="false">IF(OR(B1388="",N(O1388)=0),"",N(O1388)+ROUND(MIN(N(N1388),TOPE_UF*UF_MES)*(TASA_EMP+MUTUAL),0)+ROUND(MIN(N(N1388),TOPE_AFC_UF*UF_MES)*IF(S1388="Indefinido",AFC_INDEF,AFC_PF),0))</f>
        <v/>
      </c>
      <c r="U1388" s="62" t="str">
        <f aca="false">IF(C1388="","",IF(LEFT(D1388,1)="⚠","⚠ RUT no registrado en Trabajadores",IF(B1388="","⚠ Falta el mes",IF(OR(ISTEXT(I1388),ISTEXT(J1388)),"⚠ Atrasos u horas extra como texto: escriba hh:mm (ej. 1:30)",IF(AND(ISNUMBER(Q1388),COUNTIFS(M_RUTN,V1388,M_MES,B1388,M_LIQ,"&lt;&gt;")&gt;1),"⚠ Liquidación repetida en el mes",IF(AND(ISNUMBER(O1388),ISNUMBER(P1388),ISNUMBER(Q1388),ABS(O1388-P1388-Q1388)&gt;1),"⚠ Haberes − descuentos no da el líquido","OK"))))))</f>
        <v/>
      </c>
      <c r="V1388" s="62" t="str">
        <f aca="false">IF(C1388="","",IFERROR(VALUE(LEFT(UPPER(SUBSTITUTE(SUBSTITUTE(SUBSTITUTE(TRIM(C1388),".",""),"-","")," ","")),LEN(UPPER(SUBSTITUTE(SUBSTITUTE(SUBSTITUTE(TRIM(C1388),".",""),"-","")," ","")))-1))&amp;RIGHT(UPPER(SUBSTITUTE(SUBSTITUTE(SUBSTITUTE(TRIM(C1388),".",""),"-","")," ","")),1),UPPER(SUBSTITUTE(SUBSTITUTE(SUBSTITUTE(TRIM(C1388),".",""),"-","")," ",""))))</f>
        <v/>
      </c>
    </row>
    <row r="1389" customFormat="false" ht="15" hidden="false" customHeight="false" outlineLevel="0" collapsed="false">
      <c r="B1389" s="80"/>
      <c r="C1389" s="58"/>
      <c r="D1389" s="62" t="str">
        <f aca="false">IF(C1389="","",IFERROR(INDEX(T_NOMBRE,MATCH(V1389,T_RUTN,0)),"⚠ RUT no está en Trabajadores"))</f>
        <v/>
      </c>
      <c r="E1389" s="61"/>
      <c r="F1389" s="61"/>
      <c r="G1389" s="61"/>
      <c r="H1389" s="61"/>
      <c r="I1389" s="81"/>
      <c r="J1389" s="81"/>
      <c r="K1389" s="60"/>
      <c r="L1389" s="60"/>
      <c r="M1389" s="60"/>
      <c r="N1389" s="60"/>
      <c r="O1389" s="60"/>
      <c r="P1389" s="60"/>
      <c r="Q1389" s="60"/>
      <c r="R1389" s="58"/>
      <c r="S1389" s="62" t="str">
        <f aca="false">IF(OR(B1389="",V1389=""),"",IFERROR(INDEX(C_TIPO,MATCH(V1389&amp;"-P"&amp;MAX(1,COUNTIFS(C_RUTN,V1389,C_DEF,"Sí",C_INI,"&lt;="&amp;EOMONTH(B1389,0))),C_CLAVE,0))&amp;"","Sin contrato"))</f>
        <v/>
      </c>
      <c r="T1389" s="63" t="str">
        <f aca="false">IF(OR(B1389="",N(O1389)=0),"",N(O1389)+ROUND(MIN(N(N1389),TOPE_UF*UF_MES)*(TASA_EMP+MUTUAL),0)+ROUND(MIN(N(N1389),TOPE_AFC_UF*UF_MES)*IF(S1389="Indefinido",AFC_INDEF,AFC_PF),0))</f>
        <v/>
      </c>
      <c r="U1389" s="62" t="str">
        <f aca="false">IF(C1389="","",IF(LEFT(D1389,1)="⚠","⚠ RUT no registrado en Trabajadores",IF(B1389="","⚠ Falta el mes",IF(OR(ISTEXT(I1389),ISTEXT(J1389)),"⚠ Atrasos u horas extra como texto: escriba hh:mm (ej. 1:30)",IF(AND(ISNUMBER(Q1389),COUNTIFS(M_RUTN,V1389,M_MES,B1389,M_LIQ,"&lt;&gt;")&gt;1),"⚠ Liquidación repetida en el mes",IF(AND(ISNUMBER(O1389),ISNUMBER(P1389),ISNUMBER(Q1389),ABS(O1389-P1389-Q1389)&gt;1),"⚠ Haberes − descuentos no da el líquido","OK"))))))</f>
        <v/>
      </c>
      <c r="V1389" s="62" t="str">
        <f aca="false">IF(C1389="","",IFERROR(VALUE(LEFT(UPPER(SUBSTITUTE(SUBSTITUTE(SUBSTITUTE(TRIM(C1389),".",""),"-","")," ","")),LEN(UPPER(SUBSTITUTE(SUBSTITUTE(SUBSTITUTE(TRIM(C1389),".",""),"-","")," ","")))-1))&amp;RIGHT(UPPER(SUBSTITUTE(SUBSTITUTE(SUBSTITUTE(TRIM(C1389),".",""),"-","")," ","")),1),UPPER(SUBSTITUTE(SUBSTITUTE(SUBSTITUTE(TRIM(C1389),".",""),"-","")," ",""))))</f>
        <v/>
      </c>
    </row>
    <row r="1390" customFormat="false" ht="15" hidden="false" customHeight="false" outlineLevel="0" collapsed="false">
      <c r="B1390" s="80"/>
      <c r="C1390" s="58"/>
      <c r="D1390" s="62" t="str">
        <f aca="false">IF(C1390="","",IFERROR(INDEX(T_NOMBRE,MATCH(V1390,T_RUTN,0)),"⚠ RUT no está en Trabajadores"))</f>
        <v/>
      </c>
      <c r="E1390" s="61"/>
      <c r="F1390" s="61"/>
      <c r="G1390" s="61"/>
      <c r="H1390" s="61"/>
      <c r="I1390" s="81"/>
      <c r="J1390" s="81"/>
      <c r="K1390" s="60"/>
      <c r="L1390" s="60"/>
      <c r="M1390" s="60"/>
      <c r="N1390" s="60"/>
      <c r="O1390" s="60"/>
      <c r="P1390" s="60"/>
      <c r="Q1390" s="60"/>
      <c r="R1390" s="58"/>
      <c r="S1390" s="62" t="str">
        <f aca="false">IF(OR(B1390="",V1390=""),"",IFERROR(INDEX(C_TIPO,MATCH(V1390&amp;"-P"&amp;MAX(1,COUNTIFS(C_RUTN,V1390,C_DEF,"Sí",C_INI,"&lt;="&amp;EOMONTH(B1390,0))),C_CLAVE,0))&amp;"","Sin contrato"))</f>
        <v/>
      </c>
      <c r="T1390" s="63" t="str">
        <f aca="false">IF(OR(B1390="",N(O1390)=0),"",N(O1390)+ROUND(MIN(N(N1390),TOPE_UF*UF_MES)*(TASA_EMP+MUTUAL),0)+ROUND(MIN(N(N1390),TOPE_AFC_UF*UF_MES)*IF(S1390="Indefinido",AFC_INDEF,AFC_PF),0))</f>
        <v/>
      </c>
      <c r="U1390" s="62" t="str">
        <f aca="false">IF(C1390="","",IF(LEFT(D1390,1)="⚠","⚠ RUT no registrado en Trabajadores",IF(B1390="","⚠ Falta el mes",IF(OR(ISTEXT(I1390),ISTEXT(J1390)),"⚠ Atrasos u horas extra como texto: escriba hh:mm (ej. 1:30)",IF(AND(ISNUMBER(Q1390),COUNTIFS(M_RUTN,V1390,M_MES,B1390,M_LIQ,"&lt;&gt;")&gt;1),"⚠ Liquidación repetida en el mes",IF(AND(ISNUMBER(O1390),ISNUMBER(P1390),ISNUMBER(Q1390),ABS(O1390-P1390-Q1390)&gt;1),"⚠ Haberes − descuentos no da el líquido","OK"))))))</f>
        <v/>
      </c>
      <c r="V1390" s="62" t="str">
        <f aca="false">IF(C1390="","",IFERROR(VALUE(LEFT(UPPER(SUBSTITUTE(SUBSTITUTE(SUBSTITUTE(TRIM(C1390),".",""),"-","")," ","")),LEN(UPPER(SUBSTITUTE(SUBSTITUTE(SUBSTITUTE(TRIM(C1390),".",""),"-","")," ","")))-1))&amp;RIGHT(UPPER(SUBSTITUTE(SUBSTITUTE(SUBSTITUTE(TRIM(C1390),".",""),"-","")," ","")),1),UPPER(SUBSTITUTE(SUBSTITUTE(SUBSTITUTE(TRIM(C1390),".",""),"-","")," ",""))))</f>
        <v/>
      </c>
    </row>
    <row r="1391" customFormat="false" ht="15" hidden="false" customHeight="false" outlineLevel="0" collapsed="false">
      <c r="B1391" s="80"/>
      <c r="C1391" s="58"/>
      <c r="D1391" s="62" t="str">
        <f aca="false">IF(C1391="","",IFERROR(INDEX(T_NOMBRE,MATCH(V1391,T_RUTN,0)),"⚠ RUT no está en Trabajadores"))</f>
        <v/>
      </c>
      <c r="E1391" s="61"/>
      <c r="F1391" s="61"/>
      <c r="G1391" s="61"/>
      <c r="H1391" s="61"/>
      <c r="I1391" s="81"/>
      <c r="J1391" s="81"/>
      <c r="K1391" s="60"/>
      <c r="L1391" s="60"/>
      <c r="M1391" s="60"/>
      <c r="N1391" s="60"/>
      <c r="O1391" s="60"/>
      <c r="P1391" s="60"/>
      <c r="Q1391" s="60"/>
      <c r="R1391" s="58"/>
      <c r="S1391" s="62" t="str">
        <f aca="false">IF(OR(B1391="",V1391=""),"",IFERROR(INDEX(C_TIPO,MATCH(V1391&amp;"-P"&amp;MAX(1,COUNTIFS(C_RUTN,V1391,C_DEF,"Sí",C_INI,"&lt;="&amp;EOMONTH(B1391,0))),C_CLAVE,0))&amp;"","Sin contrato"))</f>
        <v/>
      </c>
      <c r="T1391" s="63" t="str">
        <f aca="false">IF(OR(B1391="",N(O1391)=0),"",N(O1391)+ROUND(MIN(N(N1391),TOPE_UF*UF_MES)*(TASA_EMP+MUTUAL),0)+ROUND(MIN(N(N1391),TOPE_AFC_UF*UF_MES)*IF(S1391="Indefinido",AFC_INDEF,AFC_PF),0))</f>
        <v/>
      </c>
      <c r="U1391" s="62" t="str">
        <f aca="false">IF(C1391="","",IF(LEFT(D1391,1)="⚠","⚠ RUT no registrado en Trabajadores",IF(B1391="","⚠ Falta el mes",IF(OR(ISTEXT(I1391),ISTEXT(J1391)),"⚠ Atrasos u horas extra como texto: escriba hh:mm (ej. 1:30)",IF(AND(ISNUMBER(Q1391),COUNTIFS(M_RUTN,V1391,M_MES,B1391,M_LIQ,"&lt;&gt;")&gt;1),"⚠ Liquidación repetida en el mes",IF(AND(ISNUMBER(O1391),ISNUMBER(P1391),ISNUMBER(Q1391),ABS(O1391-P1391-Q1391)&gt;1),"⚠ Haberes − descuentos no da el líquido","OK"))))))</f>
        <v/>
      </c>
      <c r="V1391" s="62" t="str">
        <f aca="false">IF(C1391="","",IFERROR(VALUE(LEFT(UPPER(SUBSTITUTE(SUBSTITUTE(SUBSTITUTE(TRIM(C1391),".",""),"-","")," ","")),LEN(UPPER(SUBSTITUTE(SUBSTITUTE(SUBSTITUTE(TRIM(C1391),".",""),"-","")," ","")))-1))&amp;RIGHT(UPPER(SUBSTITUTE(SUBSTITUTE(SUBSTITUTE(TRIM(C1391),".",""),"-","")," ","")),1),UPPER(SUBSTITUTE(SUBSTITUTE(SUBSTITUTE(TRIM(C1391),".",""),"-","")," ",""))))</f>
        <v/>
      </c>
    </row>
    <row r="1392" customFormat="false" ht="15" hidden="false" customHeight="false" outlineLevel="0" collapsed="false">
      <c r="B1392" s="80"/>
      <c r="C1392" s="58"/>
      <c r="D1392" s="62" t="str">
        <f aca="false">IF(C1392="","",IFERROR(INDEX(T_NOMBRE,MATCH(V1392,T_RUTN,0)),"⚠ RUT no está en Trabajadores"))</f>
        <v/>
      </c>
      <c r="E1392" s="61"/>
      <c r="F1392" s="61"/>
      <c r="G1392" s="61"/>
      <c r="H1392" s="61"/>
      <c r="I1392" s="81"/>
      <c r="J1392" s="81"/>
      <c r="K1392" s="60"/>
      <c r="L1392" s="60"/>
      <c r="M1392" s="60"/>
      <c r="N1392" s="60"/>
      <c r="O1392" s="60"/>
      <c r="P1392" s="60"/>
      <c r="Q1392" s="60"/>
      <c r="R1392" s="58"/>
      <c r="S1392" s="62" t="str">
        <f aca="false">IF(OR(B1392="",V1392=""),"",IFERROR(INDEX(C_TIPO,MATCH(V1392&amp;"-P"&amp;MAX(1,COUNTIFS(C_RUTN,V1392,C_DEF,"Sí",C_INI,"&lt;="&amp;EOMONTH(B1392,0))),C_CLAVE,0))&amp;"","Sin contrato"))</f>
        <v/>
      </c>
      <c r="T1392" s="63" t="str">
        <f aca="false">IF(OR(B1392="",N(O1392)=0),"",N(O1392)+ROUND(MIN(N(N1392),TOPE_UF*UF_MES)*(TASA_EMP+MUTUAL),0)+ROUND(MIN(N(N1392),TOPE_AFC_UF*UF_MES)*IF(S1392="Indefinido",AFC_INDEF,AFC_PF),0))</f>
        <v/>
      </c>
      <c r="U1392" s="62" t="str">
        <f aca="false">IF(C1392="","",IF(LEFT(D1392,1)="⚠","⚠ RUT no registrado en Trabajadores",IF(B1392="","⚠ Falta el mes",IF(OR(ISTEXT(I1392),ISTEXT(J1392)),"⚠ Atrasos u horas extra como texto: escriba hh:mm (ej. 1:30)",IF(AND(ISNUMBER(Q1392),COUNTIFS(M_RUTN,V1392,M_MES,B1392,M_LIQ,"&lt;&gt;")&gt;1),"⚠ Liquidación repetida en el mes",IF(AND(ISNUMBER(O1392),ISNUMBER(P1392),ISNUMBER(Q1392),ABS(O1392-P1392-Q1392)&gt;1),"⚠ Haberes − descuentos no da el líquido","OK"))))))</f>
        <v/>
      </c>
      <c r="V1392" s="62" t="str">
        <f aca="false">IF(C1392="","",IFERROR(VALUE(LEFT(UPPER(SUBSTITUTE(SUBSTITUTE(SUBSTITUTE(TRIM(C1392),".",""),"-","")," ","")),LEN(UPPER(SUBSTITUTE(SUBSTITUTE(SUBSTITUTE(TRIM(C1392),".",""),"-","")," ","")))-1))&amp;RIGHT(UPPER(SUBSTITUTE(SUBSTITUTE(SUBSTITUTE(TRIM(C1392),".",""),"-","")," ","")),1),UPPER(SUBSTITUTE(SUBSTITUTE(SUBSTITUTE(TRIM(C1392),".",""),"-","")," ",""))))</f>
        <v/>
      </c>
    </row>
    <row r="1393" customFormat="false" ht="15" hidden="false" customHeight="false" outlineLevel="0" collapsed="false">
      <c r="B1393" s="80"/>
      <c r="C1393" s="58"/>
      <c r="D1393" s="62" t="str">
        <f aca="false">IF(C1393="","",IFERROR(INDEX(T_NOMBRE,MATCH(V1393,T_RUTN,0)),"⚠ RUT no está en Trabajadores"))</f>
        <v/>
      </c>
      <c r="E1393" s="61"/>
      <c r="F1393" s="61"/>
      <c r="G1393" s="61"/>
      <c r="H1393" s="61"/>
      <c r="I1393" s="81"/>
      <c r="J1393" s="81"/>
      <c r="K1393" s="60"/>
      <c r="L1393" s="60"/>
      <c r="M1393" s="60"/>
      <c r="N1393" s="60"/>
      <c r="O1393" s="60"/>
      <c r="P1393" s="60"/>
      <c r="Q1393" s="60"/>
      <c r="R1393" s="58"/>
      <c r="S1393" s="62" t="str">
        <f aca="false">IF(OR(B1393="",V1393=""),"",IFERROR(INDEX(C_TIPO,MATCH(V1393&amp;"-P"&amp;MAX(1,COUNTIFS(C_RUTN,V1393,C_DEF,"Sí",C_INI,"&lt;="&amp;EOMONTH(B1393,0))),C_CLAVE,0))&amp;"","Sin contrato"))</f>
        <v/>
      </c>
      <c r="T1393" s="63" t="str">
        <f aca="false">IF(OR(B1393="",N(O1393)=0),"",N(O1393)+ROUND(MIN(N(N1393),TOPE_UF*UF_MES)*(TASA_EMP+MUTUAL),0)+ROUND(MIN(N(N1393),TOPE_AFC_UF*UF_MES)*IF(S1393="Indefinido",AFC_INDEF,AFC_PF),0))</f>
        <v/>
      </c>
      <c r="U1393" s="62" t="str">
        <f aca="false">IF(C1393="","",IF(LEFT(D1393,1)="⚠","⚠ RUT no registrado en Trabajadores",IF(B1393="","⚠ Falta el mes",IF(OR(ISTEXT(I1393),ISTEXT(J1393)),"⚠ Atrasos u horas extra como texto: escriba hh:mm (ej. 1:30)",IF(AND(ISNUMBER(Q1393),COUNTIFS(M_RUTN,V1393,M_MES,B1393,M_LIQ,"&lt;&gt;")&gt;1),"⚠ Liquidación repetida en el mes",IF(AND(ISNUMBER(O1393),ISNUMBER(P1393),ISNUMBER(Q1393),ABS(O1393-P1393-Q1393)&gt;1),"⚠ Haberes − descuentos no da el líquido","OK"))))))</f>
        <v/>
      </c>
      <c r="V1393" s="62" t="str">
        <f aca="false">IF(C1393="","",IFERROR(VALUE(LEFT(UPPER(SUBSTITUTE(SUBSTITUTE(SUBSTITUTE(TRIM(C1393),".",""),"-","")," ","")),LEN(UPPER(SUBSTITUTE(SUBSTITUTE(SUBSTITUTE(TRIM(C1393),".",""),"-","")," ","")))-1))&amp;RIGHT(UPPER(SUBSTITUTE(SUBSTITUTE(SUBSTITUTE(TRIM(C1393),".",""),"-","")," ","")),1),UPPER(SUBSTITUTE(SUBSTITUTE(SUBSTITUTE(TRIM(C1393),".",""),"-","")," ",""))))</f>
        <v/>
      </c>
    </row>
    <row r="1394" customFormat="false" ht="15" hidden="false" customHeight="false" outlineLevel="0" collapsed="false">
      <c r="B1394" s="80"/>
      <c r="C1394" s="58"/>
      <c r="D1394" s="62" t="str">
        <f aca="false">IF(C1394="","",IFERROR(INDEX(T_NOMBRE,MATCH(V1394,T_RUTN,0)),"⚠ RUT no está en Trabajadores"))</f>
        <v/>
      </c>
      <c r="E1394" s="61"/>
      <c r="F1394" s="61"/>
      <c r="G1394" s="61"/>
      <c r="H1394" s="61"/>
      <c r="I1394" s="81"/>
      <c r="J1394" s="81"/>
      <c r="K1394" s="60"/>
      <c r="L1394" s="60"/>
      <c r="M1394" s="60"/>
      <c r="N1394" s="60"/>
      <c r="O1394" s="60"/>
      <c r="P1394" s="60"/>
      <c r="Q1394" s="60"/>
      <c r="R1394" s="58"/>
      <c r="S1394" s="62" t="str">
        <f aca="false">IF(OR(B1394="",V1394=""),"",IFERROR(INDEX(C_TIPO,MATCH(V1394&amp;"-P"&amp;MAX(1,COUNTIFS(C_RUTN,V1394,C_DEF,"Sí",C_INI,"&lt;="&amp;EOMONTH(B1394,0))),C_CLAVE,0))&amp;"","Sin contrato"))</f>
        <v/>
      </c>
      <c r="T1394" s="63" t="str">
        <f aca="false">IF(OR(B1394="",N(O1394)=0),"",N(O1394)+ROUND(MIN(N(N1394),TOPE_UF*UF_MES)*(TASA_EMP+MUTUAL),0)+ROUND(MIN(N(N1394),TOPE_AFC_UF*UF_MES)*IF(S1394="Indefinido",AFC_INDEF,AFC_PF),0))</f>
        <v/>
      </c>
      <c r="U1394" s="62" t="str">
        <f aca="false">IF(C1394="","",IF(LEFT(D1394,1)="⚠","⚠ RUT no registrado en Trabajadores",IF(B1394="","⚠ Falta el mes",IF(OR(ISTEXT(I1394),ISTEXT(J1394)),"⚠ Atrasos u horas extra como texto: escriba hh:mm (ej. 1:30)",IF(AND(ISNUMBER(Q1394),COUNTIFS(M_RUTN,V1394,M_MES,B1394,M_LIQ,"&lt;&gt;")&gt;1),"⚠ Liquidación repetida en el mes",IF(AND(ISNUMBER(O1394),ISNUMBER(P1394),ISNUMBER(Q1394),ABS(O1394-P1394-Q1394)&gt;1),"⚠ Haberes − descuentos no da el líquido","OK"))))))</f>
        <v/>
      </c>
      <c r="V1394" s="62" t="str">
        <f aca="false">IF(C1394="","",IFERROR(VALUE(LEFT(UPPER(SUBSTITUTE(SUBSTITUTE(SUBSTITUTE(TRIM(C1394),".",""),"-","")," ","")),LEN(UPPER(SUBSTITUTE(SUBSTITUTE(SUBSTITUTE(TRIM(C1394),".",""),"-","")," ","")))-1))&amp;RIGHT(UPPER(SUBSTITUTE(SUBSTITUTE(SUBSTITUTE(TRIM(C1394),".",""),"-","")," ","")),1),UPPER(SUBSTITUTE(SUBSTITUTE(SUBSTITUTE(TRIM(C1394),".",""),"-","")," ",""))))</f>
        <v/>
      </c>
    </row>
    <row r="1395" customFormat="false" ht="15" hidden="false" customHeight="false" outlineLevel="0" collapsed="false">
      <c r="B1395" s="80"/>
      <c r="C1395" s="58"/>
      <c r="D1395" s="62" t="str">
        <f aca="false">IF(C1395="","",IFERROR(INDEX(T_NOMBRE,MATCH(V1395,T_RUTN,0)),"⚠ RUT no está en Trabajadores"))</f>
        <v/>
      </c>
      <c r="E1395" s="61"/>
      <c r="F1395" s="61"/>
      <c r="G1395" s="61"/>
      <c r="H1395" s="61"/>
      <c r="I1395" s="81"/>
      <c r="J1395" s="81"/>
      <c r="K1395" s="60"/>
      <c r="L1395" s="60"/>
      <c r="M1395" s="60"/>
      <c r="N1395" s="60"/>
      <c r="O1395" s="60"/>
      <c r="P1395" s="60"/>
      <c r="Q1395" s="60"/>
      <c r="R1395" s="58"/>
      <c r="S1395" s="62" t="str">
        <f aca="false">IF(OR(B1395="",V1395=""),"",IFERROR(INDEX(C_TIPO,MATCH(V1395&amp;"-P"&amp;MAX(1,COUNTIFS(C_RUTN,V1395,C_DEF,"Sí",C_INI,"&lt;="&amp;EOMONTH(B1395,0))),C_CLAVE,0))&amp;"","Sin contrato"))</f>
        <v/>
      </c>
      <c r="T1395" s="63" t="str">
        <f aca="false">IF(OR(B1395="",N(O1395)=0),"",N(O1395)+ROUND(MIN(N(N1395),TOPE_UF*UF_MES)*(TASA_EMP+MUTUAL),0)+ROUND(MIN(N(N1395),TOPE_AFC_UF*UF_MES)*IF(S1395="Indefinido",AFC_INDEF,AFC_PF),0))</f>
        <v/>
      </c>
      <c r="U1395" s="62" t="str">
        <f aca="false">IF(C1395="","",IF(LEFT(D1395,1)="⚠","⚠ RUT no registrado en Trabajadores",IF(B1395="","⚠ Falta el mes",IF(OR(ISTEXT(I1395),ISTEXT(J1395)),"⚠ Atrasos u horas extra como texto: escriba hh:mm (ej. 1:30)",IF(AND(ISNUMBER(Q1395),COUNTIFS(M_RUTN,V1395,M_MES,B1395,M_LIQ,"&lt;&gt;")&gt;1),"⚠ Liquidación repetida en el mes",IF(AND(ISNUMBER(O1395),ISNUMBER(P1395),ISNUMBER(Q1395),ABS(O1395-P1395-Q1395)&gt;1),"⚠ Haberes − descuentos no da el líquido","OK"))))))</f>
        <v/>
      </c>
      <c r="V1395" s="62" t="str">
        <f aca="false">IF(C1395="","",IFERROR(VALUE(LEFT(UPPER(SUBSTITUTE(SUBSTITUTE(SUBSTITUTE(TRIM(C1395),".",""),"-","")," ","")),LEN(UPPER(SUBSTITUTE(SUBSTITUTE(SUBSTITUTE(TRIM(C1395),".",""),"-","")," ","")))-1))&amp;RIGHT(UPPER(SUBSTITUTE(SUBSTITUTE(SUBSTITUTE(TRIM(C1395),".",""),"-","")," ","")),1),UPPER(SUBSTITUTE(SUBSTITUTE(SUBSTITUTE(TRIM(C1395),".",""),"-","")," ",""))))</f>
        <v/>
      </c>
    </row>
    <row r="1396" customFormat="false" ht="15" hidden="false" customHeight="false" outlineLevel="0" collapsed="false">
      <c r="B1396" s="80"/>
      <c r="C1396" s="58"/>
      <c r="D1396" s="62" t="str">
        <f aca="false">IF(C1396="","",IFERROR(INDEX(T_NOMBRE,MATCH(V1396,T_RUTN,0)),"⚠ RUT no está en Trabajadores"))</f>
        <v/>
      </c>
      <c r="E1396" s="61"/>
      <c r="F1396" s="61"/>
      <c r="G1396" s="61"/>
      <c r="H1396" s="61"/>
      <c r="I1396" s="81"/>
      <c r="J1396" s="81"/>
      <c r="K1396" s="60"/>
      <c r="L1396" s="60"/>
      <c r="M1396" s="60"/>
      <c r="N1396" s="60"/>
      <c r="O1396" s="60"/>
      <c r="P1396" s="60"/>
      <c r="Q1396" s="60"/>
      <c r="R1396" s="58"/>
      <c r="S1396" s="62" t="str">
        <f aca="false">IF(OR(B1396="",V1396=""),"",IFERROR(INDEX(C_TIPO,MATCH(V1396&amp;"-P"&amp;MAX(1,COUNTIFS(C_RUTN,V1396,C_DEF,"Sí",C_INI,"&lt;="&amp;EOMONTH(B1396,0))),C_CLAVE,0))&amp;"","Sin contrato"))</f>
        <v/>
      </c>
      <c r="T1396" s="63" t="str">
        <f aca="false">IF(OR(B1396="",N(O1396)=0),"",N(O1396)+ROUND(MIN(N(N1396),TOPE_UF*UF_MES)*(TASA_EMP+MUTUAL),0)+ROUND(MIN(N(N1396),TOPE_AFC_UF*UF_MES)*IF(S1396="Indefinido",AFC_INDEF,AFC_PF),0))</f>
        <v/>
      </c>
      <c r="U1396" s="62" t="str">
        <f aca="false">IF(C1396="","",IF(LEFT(D1396,1)="⚠","⚠ RUT no registrado en Trabajadores",IF(B1396="","⚠ Falta el mes",IF(OR(ISTEXT(I1396),ISTEXT(J1396)),"⚠ Atrasos u horas extra como texto: escriba hh:mm (ej. 1:30)",IF(AND(ISNUMBER(Q1396),COUNTIFS(M_RUTN,V1396,M_MES,B1396,M_LIQ,"&lt;&gt;")&gt;1),"⚠ Liquidación repetida en el mes",IF(AND(ISNUMBER(O1396),ISNUMBER(P1396),ISNUMBER(Q1396),ABS(O1396-P1396-Q1396)&gt;1),"⚠ Haberes − descuentos no da el líquido","OK"))))))</f>
        <v/>
      </c>
      <c r="V1396" s="62" t="str">
        <f aca="false">IF(C1396="","",IFERROR(VALUE(LEFT(UPPER(SUBSTITUTE(SUBSTITUTE(SUBSTITUTE(TRIM(C1396),".",""),"-","")," ","")),LEN(UPPER(SUBSTITUTE(SUBSTITUTE(SUBSTITUTE(TRIM(C1396),".",""),"-","")," ","")))-1))&amp;RIGHT(UPPER(SUBSTITUTE(SUBSTITUTE(SUBSTITUTE(TRIM(C1396),".",""),"-","")," ","")),1),UPPER(SUBSTITUTE(SUBSTITUTE(SUBSTITUTE(TRIM(C1396),".",""),"-","")," ",""))))</f>
        <v/>
      </c>
    </row>
    <row r="1397" customFormat="false" ht="15" hidden="false" customHeight="false" outlineLevel="0" collapsed="false">
      <c r="B1397" s="80"/>
      <c r="C1397" s="58"/>
      <c r="D1397" s="62" t="str">
        <f aca="false">IF(C1397="","",IFERROR(INDEX(T_NOMBRE,MATCH(V1397,T_RUTN,0)),"⚠ RUT no está en Trabajadores"))</f>
        <v/>
      </c>
      <c r="E1397" s="61"/>
      <c r="F1397" s="61"/>
      <c r="G1397" s="61"/>
      <c r="H1397" s="61"/>
      <c r="I1397" s="81"/>
      <c r="J1397" s="81"/>
      <c r="K1397" s="60"/>
      <c r="L1397" s="60"/>
      <c r="M1397" s="60"/>
      <c r="N1397" s="60"/>
      <c r="O1397" s="60"/>
      <c r="P1397" s="60"/>
      <c r="Q1397" s="60"/>
      <c r="R1397" s="58"/>
      <c r="S1397" s="62" t="str">
        <f aca="false">IF(OR(B1397="",V1397=""),"",IFERROR(INDEX(C_TIPO,MATCH(V1397&amp;"-P"&amp;MAX(1,COUNTIFS(C_RUTN,V1397,C_DEF,"Sí",C_INI,"&lt;="&amp;EOMONTH(B1397,0))),C_CLAVE,0))&amp;"","Sin contrato"))</f>
        <v/>
      </c>
      <c r="T1397" s="63" t="str">
        <f aca="false">IF(OR(B1397="",N(O1397)=0),"",N(O1397)+ROUND(MIN(N(N1397),TOPE_UF*UF_MES)*(TASA_EMP+MUTUAL),0)+ROUND(MIN(N(N1397),TOPE_AFC_UF*UF_MES)*IF(S1397="Indefinido",AFC_INDEF,AFC_PF),0))</f>
        <v/>
      </c>
      <c r="U1397" s="62" t="str">
        <f aca="false">IF(C1397="","",IF(LEFT(D1397,1)="⚠","⚠ RUT no registrado en Trabajadores",IF(B1397="","⚠ Falta el mes",IF(OR(ISTEXT(I1397),ISTEXT(J1397)),"⚠ Atrasos u horas extra como texto: escriba hh:mm (ej. 1:30)",IF(AND(ISNUMBER(Q1397),COUNTIFS(M_RUTN,V1397,M_MES,B1397,M_LIQ,"&lt;&gt;")&gt;1),"⚠ Liquidación repetida en el mes",IF(AND(ISNUMBER(O1397),ISNUMBER(P1397),ISNUMBER(Q1397),ABS(O1397-P1397-Q1397)&gt;1),"⚠ Haberes − descuentos no da el líquido","OK"))))))</f>
        <v/>
      </c>
      <c r="V1397" s="62" t="str">
        <f aca="false">IF(C1397="","",IFERROR(VALUE(LEFT(UPPER(SUBSTITUTE(SUBSTITUTE(SUBSTITUTE(TRIM(C1397),".",""),"-","")," ","")),LEN(UPPER(SUBSTITUTE(SUBSTITUTE(SUBSTITUTE(TRIM(C1397),".",""),"-","")," ","")))-1))&amp;RIGHT(UPPER(SUBSTITUTE(SUBSTITUTE(SUBSTITUTE(TRIM(C1397),".",""),"-","")," ","")),1),UPPER(SUBSTITUTE(SUBSTITUTE(SUBSTITUTE(TRIM(C1397),".",""),"-","")," ",""))))</f>
        <v/>
      </c>
    </row>
    <row r="1398" customFormat="false" ht="15" hidden="false" customHeight="false" outlineLevel="0" collapsed="false">
      <c r="B1398" s="80"/>
      <c r="C1398" s="58"/>
      <c r="D1398" s="62" t="str">
        <f aca="false">IF(C1398="","",IFERROR(INDEX(T_NOMBRE,MATCH(V1398,T_RUTN,0)),"⚠ RUT no está en Trabajadores"))</f>
        <v/>
      </c>
      <c r="E1398" s="61"/>
      <c r="F1398" s="61"/>
      <c r="G1398" s="61"/>
      <c r="H1398" s="61"/>
      <c r="I1398" s="81"/>
      <c r="J1398" s="81"/>
      <c r="K1398" s="60"/>
      <c r="L1398" s="60"/>
      <c r="M1398" s="60"/>
      <c r="N1398" s="60"/>
      <c r="O1398" s="60"/>
      <c r="P1398" s="60"/>
      <c r="Q1398" s="60"/>
      <c r="R1398" s="58"/>
      <c r="S1398" s="62" t="str">
        <f aca="false">IF(OR(B1398="",V1398=""),"",IFERROR(INDEX(C_TIPO,MATCH(V1398&amp;"-P"&amp;MAX(1,COUNTIFS(C_RUTN,V1398,C_DEF,"Sí",C_INI,"&lt;="&amp;EOMONTH(B1398,0))),C_CLAVE,0))&amp;"","Sin contrato"))</f>
        <v/>
      </c>
      <c r="T1398" s="63" t="str">
        <f aca="false">IF(OR(B1398="",N(O1398)=0),"",N(O1398)+ROUND(MIN(N(N1398),TOPE_UF*UF_MES)*(TASA_EMP+MUTUAL),0)+ROUND(MIN(N(N1398),TOPE_AFC_UF*UF_MES)*IF(S1398="Indefinido",AFC_INDEF,AFC_PF),0))</f>
        <v/>
      </c>
      <c r="U1398" s="62" t="str">
        <f aca="false">IF(C1398="","",IF(LEFT(D1398,1)="⚠","⚠ RUT no registrado en Trabajadores",IF(B1398="","⚠ Falta el mes",IF(OR(ISTEXT(I1398),ISTEXT(J1398)),"⚠ Atrasos u horas extra como texto: escriba hh:mm (ej. 1:30)",IF(AND(ISNUMBER(Q1398),COUNTIFS(M_RUTN,V1398,M_MES,B1398,M_LIQ,"&lt;&gt;")&gt;1),"⚠ Liquidación repetida en el mes",IF(AND(ISNUMBER(O1398),ISNUMBER(P1398),ISNUMBER(Q1398),ABS(O1398-P1398-Q1398)&gt;1),"⚠ Haberes − descuentos no da el líquido","OK"))))))</f>
        <v/>
      </c>
      <c r="V1398" s="62" t="str">
        <f aca="false">IF(C1398="","",IFERROR(VALUE(LEFT(UPPER(SUBSTITUTE(SUBSTITUTE(SUBSTITUTE(TRIM(C1398),".",""),"-","")," ","")),LEN(UPPER(SUBSTITUTE(SUBSTITUTE(SUBSTITUTE(TRIM(C1398),".",""),"-","")," ","")))-1))&amp;RIGHT(UPPER(SUBSTITUTE(SUBSTITUTE(SUBSTITUTE(TRIM(C1398),".",""),"-","")," ","")),1),UPPER(SUBSTITUTE(SUBSTITUTE(SUBSTITUTE(TRIM(C1398),".",""),"-","")," ",""))))</f>
        <v/>
      </c>
    </row>
    <row r="1399" customFormat="false" ht="15" hidden="false" customHeight="false" outlineLevel="0" collapsed="false">
      <c r="B1399" s="80"/>
      <c r="C1399" s="58"/>
      <c r="D1399" s="62" t="str">
        <f aca="false">IF(C1399="","",IFERROR(INDEX(T_NOMBRE,MATCH(V1399,T_RUTN,0)),"⚠ RUT no está en Trabajadores"))</f>
        <v/>
      </c>
      <c r="E1399" s="61"/>
      <c r="F1399" s="61"/>
      <c r="G1399" s="61"/>
      <c r="H1399" s="61"/>
      <c r="I1399" s="81"/>
      <c r="J1399" s="81"/>
      <c r="K1399" s="60"/>
      <c r="L1399" s="60"/>
      <c r="M1399" s="60"/>
      <c r="N1399" s="60"/>
      <c r="O1399" s="60"/>
      <c r="P1399" s="60"/>
      <c r="Q1399" s="60"/>
      <c r="R1399" s="58"/>
      <c r="S1399" s="62" t="str">
        <f aca="false">IF(OR(B1399="",V1399=""),"",IFERROR(INDEX(C_TIPO,MATCH(V1399&amp;"-P"&amp;MAX(1,COUNTIFS(C_RUTN,V1399,C_DEF,"Sí",C_INI,"&lt;="&amp;EOMONTH(B1399,0))),C_CLAVE,0))&amp;"","Sin contrato"))</f>
        <v/>
      </c>
      <c r="T1399" s="63" t="str">
        <f aca="false">IF(OR(B1399="",N(O1399)=0),"",N(O1399)+ROUND(MIN(N(N1399),TOPE_UF*UF_MES)*(TASA_EMP+MUTUAL),0)+ROUND(MIN(N(N1399),TOPE_AFC_UF*UF_MES)*IF(S1399="Indefinido",AFC_INDEF,AFC_PF),0))</f>
        <v/>
      </c>
      <c r="U1399" s="62" t="str">
        <f aca="false">IF(C1399="","",IF(LEFT(D1399,1)="⚠","⚠ RUT no registrado en Trabajadores",IF(B1399="","⚠ Falta el mes",IF(OR(ISTEXT(I1399),ISTEXT(J1399)),"⚠ Atrasos u horas extra como texto: escriba hh:mm (ej. 1:30)",IF(AND(ISNUMBER(Q1399),COUNTIFS(M_RUTN,V1399,M_MES,B1399,M_LIQ,"&lt;&gt;")&gt;1),"⚠ Liquidación repetida en el mes",IF(AND(ISNUMBER(O1399),ISNUMBER(P1399),ISNUMBER(Q1399),ABS(O1399-P1399-Q1399)&gt;1),"⚠ Haberes − descuentos no da el líquido","OK"))))))</f>
        <v/>
      </c>
      <c r="V1399" s="62" t="str">
        <f aca="false">IF(C1399="","",IFERROR(VALUE(LEFT(UPPER(SUBSTITUTE(SUBSTITUTE(SUBSTITUTE(TRIM(C1399),".",""),"-","")," ","")),LEN(UPPER(SUBSTITUTE(SUBSTITUTE(SUBSTITUTE(TRIM(C1399),".",""),"-","")," ","")))-1))&amp;RIGHT(UPPER(SUBSTITUTE(SUBSTITUTE(SUBSTITUTE(TRIM(C1399),".",""),"-","")," ","")),1),UPPER(SUBSTITUTE(SUBSTITUTE(SUBSTITUTE(TRIM(C1399),".",""),"-","")," ",""))))</f>
        <v/>
      </c>
    </row>
    <row r="1400" customFormat="false" ht="15" hidden="false" customHeight="false" outlineLevel="0" collapsed="false">
      <c r="B1400" s="80"/>
      <c r="C1400" s="58"/>
      <c r="D1400" s="62" t="str">
        <f aca="false">IF(C1400="","",IFERROR(INDEX(T_NOMBRE,MATCH(V1400,T_RUTN,0)),"⚠ RUT no está en Trabajadores"))</f>
        <v/>
      </c>
      <c r="E1400" s="61"/>
      <c r="F1400" s="61"/>
      <c r="G1400" s="61"/>
      <c r="H1400" s="61"/>
      <c r="I1400" s="81"/>
      <c r="J1400" s="81"/>
      <c r="K1400" s="60"/>
      <c r="L1400" s="60"/>
      <c r="M1400" s="60"/>
      <c r="N1400" s="60"/>
      <c r="O1400" s="60"/>
      <c r="P1400" s="60"/>
      <c r="Q1400" s="60"/>
      <c r="R1400" s="58"/>
      <c r="S1400" s="62" t="str">
        <f aca="false">IF(OR(B1400="",V1400=""),"",IFERROR(INDEX(C_TIPO,MATCH(V1400&amp;"-P"&amp;MAX(1,COUNTIFS(C_RUTN,V1400,C_DEF,"Sí",C_INI,"&lt;="&amp;EOMONTH(B1400,0))),C_CLAVE,0))&amp;"","Sin contrato"))</f>
        <v/>
      </c>
      <c r="T1400" s="63" t="str">
        <f aca="false">IF(OR(B1400="",N(O1400)=0),"",N(O1400)+ROUND(MIN(N(N1400),TOPE_UF*UF_MES)*(TASA_EMP+MUTUAL),0)+ROUND(MIN(N(N1400),TOPE_AFC_UF*UF_MES)*IF(S1400="Indefinido",AFC_INDEF,AFC_PF),0))</f>
        <v/>
      </c>
      <c r="U1400" s="62" t="str">
        <f aca="false">IF(C1400="","",IF(LEFT(D1400,1)="⚠","⚠ RUT no registrado en Trabajadores",IF(B1400="","⚠ Falta el mes",IF(OR(ISTEXT(I1400),ISTEXT(J1400)),"⚠ Atrasos u horas extra como texto: escriba hh:mm (ej. 1:30)",IF(AND(ISNUMBER(Q1400),COUNTIFS(M_RUTN,V1400,M_MES,B1400,M_LIQ,"&lt;&gt;")&gt;1),"⚠ Liquidación repetida en el mes",IF(AND(ISNUMBER(O1400),ISNUMBER(P1400),ISNUMBER(Q1400),ABS(O1400-P1400-Q1400)&gt;1),"⚠ Haberes − descuentos no da el líquido","OK"))))))</f>
        <v/>
      </c>
      <c r="V1400" s="62" t="str">
        <f aca="false">IF(C1400="","",IFERROR(VALUE(LEFT(UPPER(SUBSTITUTE(SUBSTITUTE(SUBSTITUTE(TRIM(C1400),".",""),"-","")," ","")),LEN(UPPER(SUBSTITUTE(SUBSTITUTE(SUBSTITUTE(TRIM(C1400),".",""),"-","")," ","")))-1))&amp;RIGHT(UPPER(SUBSTITUTE(SUBSTITUTE(SUBSTITUTE(TRIM(C1400),".",""),"-","")," ","")),1),UPPER(SUBSTITUTE(SUBSTITUTE(SUBSTITUTE(TRIM(C1400),".",""),"-","")," ",""))))</f>
        <v/>
      </c>
    </row>
    <row r="1401" customFormat="false" ht="15" hidden="false" customHeight="false" outlineLevel="0" collapsed="false">
      <c r="B1401" s="80"/>
      <c r="C1401" s="58"/>
      <c r="D1401" s="62" t="str">
        <f aca="false">IF(C1401="","",IFERROR(INDEX(T_NOMBRE,MATCH(V1401,T_RUTN,0)),"⚠ RUT no está en Trabajadores"))</f>
        <v/>
      </c>
      <c r="E1401" s="61"/>
      <c r="F1401" s="61"/>
      <c r="G1401" s="61"/>
      <c r="H1401" s="61"/>
      <c r="I1401" s="81"/>
      <c r="J1401" s="81"/>
      <c r="K1401" s="60"/>
      <c r="L1401" s="60"/>
      <c r="M1401" s="60"/>
      <c r="N1401" s="60"/>
      <c r="O1401" s="60"/>
      <c r="P1401" s="60"/>
      <c r="Q1401" s="60"/>
      <c r="R1401" s="58"/>
      <c r="S1401" s="62" t="str">
        <f aca="false">IF(OR(B1401="",V1401=""),"",IFERROR(INDEX(C_TIPO,MATCH(V1401&amp;"-P"&amp;MAX(1,COUNTIFS(C_RUTN,V1401,C_DEF,"Sí",C_INI,"&lt;="&amp;EOMONTH(B1401,0))),C_CLAVE,0))&amp;"","Sin contrato"))</f>
        <v/>
      </c>
      <c r="T1401" s="63" t="str">
        <f aca="false">IF(OR(B1401="",N(O1401)=0),"",N(O1401)+ROUND(MIN(N(N1401),TOPE_UF*UF_MES)*(TASA_EMP+MUTUAL),0)+ROUND(MIN(N(N1401),TOPE_AFC_UF*UF_MES)*IF(S1401="Indefinido",AFC_INDEF,AFC_PF),0))</f>
        <v/>
      </c>
      <c r="U1401" s="62" t="str">
        <f aca="false">IF(C1401="","",IF(LEFT(D1401,1)="⚠","⚠ RUT no registrado en Trabajadores",IF(B1401="","⚠ Falta el mes",IF(OR(ISTEXT(I1401),ISTEXT(J1401)),"⚠ Atrasos u horas extra como texto: escriba hh:mm (ej. 1:30)",IF(AND(ISNUMBER(Q1401),COUNTIFS(M_RUTN,V1401,M_MES,B1401,M_LIQ,"&lt;&gt;")&gt;1),"⚠ Liquidación repetida en el mes",IF(AND(ISNUMBER(O1401),ISNUMBER(P1401),ISNUMBER(Q1401),ABS(O1401-P1401-Q1401)&gt;1),"⚠ Haberes − descuentos no da el líquido","OK"))))))</f>
        <v/>
      </c>
      <c r="V1401" s="62" t="str">
        <f aca="false">IF(C1401="","",IFERROR(VALUE(LEFT(UPPER(SUBSTITUTE(SUBSTITUTE(SUBSTITUTE(TRIM(C1401),".",""),"-","")," ","")),LEN(UPPER(SUBSTITUTE(SUBSTITUTE(SUBSTITUTE(TRIM(C1401),".",""),"-","")," ","")))-1))&amp;RIGHT(UPPER(SUBSTITUTE(SUBSTITUTE(SUBSTITUTE(TRIM(C1401),".",""),"-","")," ","")),1),UPPER(SUBSTITUTE(SUBSTITUTE(SUBSTITUTE(TRIM(C1401),".",""),"-","")," ",""))))</f>
        <v/>
      </c>
    </row>
    <row r="1402" customFormat="false" ht="15" hidden="false" customHeight="false" outlineLevel="0" collapsed="false">
      <c r="B1402" s="80"/>
      <c r="C1402" s="58"/>
      <c r="D1402" s="62" t="str">
        <f aca="false">IF(C1402="","",IFERROR(INDEX(T_NOMBRE,MATCH(V1402,T_RUTN,0)),"⚠ RUT no está en Trabajadores"))</f>
        <v/>
      </c>
      <c r="E1402" s="61"/>
      <c r="F1402" s="61"/>
      <c r="G1402" s="61"/>
      <c r="H1402" s="61"/>
      <c r="I1402" s="81"/>
      <c r="J1402" s="81"/>
      <c r="K1402" s="60"/>
      <c r="L1402" s="60"/>
      <c r="M1402" s="60"/>
      <c r="N1402" s="60"/>
      <c r="O1402" s="60"/>
      <c r="P1402" s="60"/>
      <c r="Q1402" s="60"/>
      <c r="R1402" s="58"/>
      <c r="S1402" s="62" t="str">
        <f aca="false">IF(OR(B1402="",V1402=""),"",IFERROR(INDEX(C_TIPO,MATCH(V1402&amp;"-P"&amp;MAX(1,COUNTIFS(C_RUTN,V1402,C_DEF,"Sí",C_INI,"&lt;="&amp;EOMONTH(B1402,0))),C_CLAVE,0))&amp;"","Sin contrato"))</f>
        <v/>
      </c>
      <c r="T1402" s="63" t="str">
        <f aca="false">IF(OR(B1402="",N(O1402)=0),"",N(O1402)+ROUND(MIN(N(N1402),TOPE_UF*UF_MES)*(TASA_EMP+MUTUAL),0)+ROUND(MIN(N(N1402),TOPE_AFC_UF*UF_MES)*IF(S1402="Indefinido",AFC_INDEF,AFC_PF),0))</f>
        <v/>
      </c>
      <c r="U1402" s="62" t="str">
        <f aca="false">IF(C1402="","",IF(LEFT(D1402,1)="⚠","⚠ RUT no registrado en Trabajadores",IF(B1402="","⚠ Falta el mes",IF(OR(ISTEXT(I1402),ISTEXT(J1402)),"⚠ Atrasos u horas extra como texto: escriba hh:mm (ej. 1:30)",IF(AND(ISNUMBER(Q1402),COUNTIFS(M_RUTN,V1402,M_MES,B1402,M_LIQ,"&lt;&gt;")&gt;1),"⚠ Liquidación repetida en el mes",IF(AND(ISNUMBER(O1402),ISNUMBER(P1402),ISNUMBER(Q1402),ABS(O1402-P1402-Q1402)&gt;1),"⚠ Haberes − descuentos no da el líquido","OK"))))))</f>
        <v/>
      </c>
      <c r="V1402" s="62" t="str">
        <f aca="false">IF(C1402="","",IFERROR(VALUE(LEFT(UPPER(SUBSTITUTE(SUBSTITUTE(SUBSTITUTE(TRIM(C1402),".",""),"-","")," ","")),LEN(UPPER(SUBSTITUTE(SUBSTITUTE(SUBSTITUTE(TRIM(C1402),".",""),"-","")," ","")))-1))&amp;RIGHT(UPPER(SUBSTITUTE(SUBSTITUTE(SUBSTITUTE(TRIM(C1402),".",""),"-","")," ","")),1),UPPER(SUBSTITUTE(SUBSTITUTE(SUBSTITUTE(TRIM(C1402),".",""),"-","")," ",""))))</f>
        <v/>
      </c>
    </row>
    <row r="1403" customFormat="false" ht="15" hidden="false" customHeight="false" outlineLevel="0" collapsed="false">
      <c r="B1403" s="80"/>
      <c r="C1403" s="58"/>
      <c r="D1403" s="62" t="str">
        <f aca="false">IF(C1403="","",IFERROR(INDEX(T_NOMBRE,MATCH(V1403,T_RUTN,0)),"⚠ RUT no está en Trabajadores"))</f>
        <v/>
      </c>
      <c r="E1403" s="61"/>
      <c r="F1403" s="61"/>
      <c r="G1403" s="61"/>
      <c r="H1403" s="61"/>
      <c r="I1403" s="81"/>
      <c r="J1403" s="81"/>
      <c r="K1403" s="60"/>
      <c r="L1403" s="60"/>
      <c r="M1403" s="60"/>
      <c r="N1403" s="60"/>
      <c r="O1403" s="60"/>
      <c r="P1403" s="60"/>
      <c r="Q1403" s="60"/>
      <c r="R1403" s="58"/>
      <c r="S1403" s="62" t="str">
        <f aca="false">IF(OR(B1403="",V1403=""),"",IFERROR(INDEX(C_TIPO,MATCH(V1403&amp;"-P"&amp;MAX(1,COUNTIFS(C_RUTN,V1403,C_DEF,"Sí",C_INI,"&lt;="&amp;EOMONTH(B1403,0))),C_CLAVE,0))&amp;"","Sin contrato"))</f>
        <v/>
      </c>
      <c r="T1403" s="63" t="str">
        <f aca="false">IF(OR(B1403="",N(O1403)=0),"",N(O1403)+ROUND(MIN(N(N1403),TOPE_UF*UF_MES)*(TASA_EMP+MUTUAL),0)+ROUND(MIN(N(N1403),TOPE_AFC_UF*UF_MES)*IF(S1403="Indefinido",AFC_INDEF,AFC_PF),0))</f>
        <v/>
      </c>
      <c r="U1403" s="62" t="str">
        <f aca="false">IF(C1403="","",IF(LEFT(D1403,1)="⚠","⚠ RUT no registrado en Trabajadores",IF(B1403="","⚠ Falta el mes",IF(OR(ISTEXT(I1403),ISTEXT(J1403)),"⚠ Atrasos u horas extra como texto: escriba hh:mm (ej. 1:30)",IF(AND(ISNUMBER(Q1403),COUNTIFS(M_RUTN,V1403,M_MES,B1403,M_LIQ,"&lt;&gt;")&gt;1),"⚠ Liquidación repetida en el mes",IF(AND(ISNUMBER(O1403),ISNUMBER(P1403),ISNUMBER(Q1403),ABS(O1403-P1403-Q1403)&gt;1),"⚠ Haberes − descuentos no da el líquido","OK"))))))</f>
        <v/>
      </c>
      <c r="V1403" s="62" t="str">
        <f aca="false">IF(C1403="","",IFERROR(VALUE(LEFT(UPPER(SUBSTITUTE(SUBSTITUTE(SUBSTITUTE(TRIM(C1403),".",""),"-","")," ","")),LEN(UPPER(SUBSTITUTE(SUBSTITUTE(SUBSTITUTE(TRIM(C1403),".",""),"-","")," ","")))-1))&amp;RIGHT(UPPER(SUBSTITUTE(SUBSTITUTE(SUBSTITUTE(TRIM(C1403),".",""),"-","")," ","")),1),UPPER(SUBSTITUTE(SUBSTITUTE(SUBSTITUTE(TRIM(C1403),".",""),"-","")," ",""))))</f>
        <v/>
      </c>
    </row>
    <row r="1404" customFormat="false" ht="15" hidden="false" customHeight="false" outlineLevel="0" collapsed="false">
      <c r="B1404" s="80"/>
      <c r="C1404" s="58"/>
      <c r="D1404" s="62" t="str">
        <f aca="false">IF(C1404="","",IFERROR(INDEX(T_NOMBRE,MATCH(V1404,T_RUTN,0)),"⚠ RUT no está en Trabajadores"))</f>
        <v/>
      </c>
      <c r="E1404" s="61"/>
      <c r="F1404" s="61"/>
      <c r="G1404" s="61"/>
      <c r="H1404" s="61"/>
      <c r="I1404" s="81"/>
      <c r="J1404" s="81"/>
      <c r="K1404" s="60"/>
      <c r="L1404" s="60"/>
      <c r="M1404" s="60"/>
      <c r="N1404" s="60"/>
      <c r="O1404" s="60"/>
      <c r="P1404" s="60"/>
      <c r="Q1404" s="60"/>
      <c r="R1404" s="58"/>
      <c r="S1404" s="62" t="str">
        <f aca="false">IF(OR(B1404="",V1404=""),"",IFERROR(INDEX(C_TIPO,MATCH(V1404&amp;"-P"&amp;MAX(1,COUNTIFS(C_RUTN,V1404,C_DEF,"Sí",C_INI,"&lt;="&amp;EOMONTH(B1404,0))),C_CLAVE,0))&amp;"","Sin contrato"))</f>
        <v/>
      </c>
      <c r="T1404" s="63" t="str">
        <f aca="false">IF(OR(B1404="",N(O1404)=0),"",N(O1404)+ROUND(MIN(N(N1404),TOPE_UF*UF_MES)*(TASA_EMP+MUTUAL),0)+ROUND(MIN(N(N1404),TOPE_AFC_UF*UF_MES)*IF(S1404="Indefinido",AFC_INDEF,AFC_PF),0))</f>
        <v/>
      </c>
      <c r="U1404" s="62" t="str">
        <f aca="false">IF(C1404="","",IF(LEFT(D1404,1)="⚠","⚠ RUT no registrado en Trabajadores",IF(B1404="","⚠ Falta el mes",IF(OR(ISTEXT(I1404),ISTEXT(J1404)),"⚠ Atrasos u horas extra como texto: escriba hh:mm (ej. 1:30)",IF(AND(ISNUMBER(Q1404),COUNTIFS(M_RUTN,V1404,M_MES,B1404,M_LIQ,"&lt;&gt;")&gt;1),"⚠ Liquidación repetida en el mes",IF(AND(ISNUMBER(O1404),ISNUMBER(P1404),ISNUMBER(Q1404),ABS(O1404-P1404-Q1404)&gt;1),"⚠ Haberes − descuentos no da el líquido","OK"))))))</f>
        <v/>
      </c>
      <c r="V1404" s="62" t="str">
        <f aca="false">IF(C1404="","",IFERROR(VALUE(LEFT(UPPER(SUBSTITUTE(SUBSTITUTE(SUBSTITUTE(TRIM(C1404),".",""),"-","")," ","")),LEN(UPPER(SUBSTITUTE(SUBSTITUTE(SUBSTITUTE(TRIM(C1404),".",""),"-","")," ","")))-1))&amp;RIGHT(UPPER(SUBSTITUTE(SUBSTITUTE(SUBSTITUTE(TRIM(C1404),".",""),"-","")," ","")),1),UPPER(SUBSTITUTE(SUBSTITUTE(SUBSTITUTE(TRIM(C1404),".",""),"-","")," ",""))))</f>
        <v/>
      </c>
    </row>
    <row r="1405" customFormat="false" ht="15" hidden="false" customHeight="false" outlineLevel="0" collapsed="false">
      <c r="B1405" s="80"/>
      <c r="C1405" s="58"/>
      <c r="D1405" s="62" t="str">
        <f aca="false">IF(C1405="","",IFERROR(INDEX(T_NOMBRE,MATCH(V1405,T_RUTN,0)),"⚠ RUT no está en Trabajadores"))</f>
        <v/>
      </c>
      <c r="E1405" s="61"/>
      <c r="F1405" s="61"/>
      <c r="G1405" s="61"/>
      <c r="H1405" s="61"/>
      <c r="I1405" s="81"/>
      <c r="J1405" s="81"/>
      <c r="K1405" s="60"/>
      <c r="L1405" s="60"/>
      <c r="M1405" s="60"/>
      <c r="N1405" s="60"/>
      <c r="O1405" s="60"/>
      <c r="P1405" s="60"/>
      <c r="Q1405" s="60"/>
      <c r="R1405" s="58"/>
      <c r="S1405" s="62" t="str">
        <f aca="false">IF(OR(B1405="",V1405=""),"",IFERROR(INDEX(C_TIPO,MATCH(V1405&amp;"-P"&amp;MAX(1,COUNTIFS(C_RUTN,V1405,C_DEF,"Sí",C_INI,"&lt;="&amp;EOMONTH(B1405,0))),C_CLAVE,0))&amp;"","Sin contrato"))</f>
        <v/>
      </c>
      <c r="T1405" s="63" t="str">
        <f aca="false">IF(OR(B1405="",N(O1405)=0),"",N(O1405)+ROUND(MIN(N(N1405),TOPE_UF*UF_MES)*(TASA_EMP+MUTUAL),0)+ROUND(MIN(N(N1405),TOPE_AFC_UF*UF_MES)*IF(S1405="Indefinido",AFC_INDEF,AFC_PF),0))</f>
        <v/>
      </c>
      <c r="U1405" s="62" t="str">
        <f aca="false">IF(C1405="","",IF(LEFT(D1405,1)="⚠","⚠ RUT no registrado en Trabajadores",IF(B1405="","⚠ Falta el mes",IF(OR(ISTEXT(I1405),ISTEXT(J1405)),"⚠ Atrasos u horas extra como texto: escriba hh:mm (ej. 1:30)",IF(AND(ISNUMBER(Q1405),COUNTIFS(M_RUTN,V1405,M_MES,B1405,M_LIQ,"&lt;&gt;")&gt;1),"⚠ Liquidación repetida en el mes",IF(AND(ISNUMBER(O1405),ISNUMBER(P1405),ISNUMBER(Q1405),ABS(O1405-P1405-Q1405)&gt;1),"⚠ Haberes − descuentos no da el líquido","OK"))))))</f>
        <v/>
      </c>
      <c r="V1405" s="62" t="str">
        <f aca="false">IF(C1405="","",IFERROR(VALUE(LEFT(UPPER(SUBSTITUTE(SUBSTITUTE(SUBSTITUTE(TRIM(C1405),".",""),"-","")," ","")),LEN(UPPER(SUBSTITUTE(SUBSTITUTE(SUBSTITUTE(TRIM(C1405),".",""),"-","")," ","")))-1))&amp;RIGHT(UPPER(SUBSTITUTE(SUBSTITUTE(SUBSTITUTE(TRIM(C1405),".",""),"-","")," ","")),1),UPPER(SUBSTITUTE(SUBSTITUTE(SUBSTITUTE(TRIM(C1405),".",""),"-","")," ",""))))</f>
        <v/>
      </c>
    </row>
    <row r="1406" customFormat="false" ht="15" hidden="false" customHeight="false" outlineLevel="0" collapsed="false">
      <c r="B1406" s="80"/>
      <c r="C1406" s="58"/>
      <c r="D1406" s="62" t="str">
        <f aca="false">IF(C1406="","",IFERROR(INDEX(T_NOMBRE,MATCH(V1406,T_RUTN,0)),"⚠ RUT no está en Trabajadores"))</f>
        <v/>
      </c>
      <c r="E1406" s="61"/>
      <c r="F1406" s="61"/>
      <c r="G1406" s="61"/>
      <c r="H1406" s="61"/>
      <c r="I1406" s="81"/>
      <c r="J1406" s="81"/>
      <c r="K1406" s="60"/>
      <c r="L1406" s="60"/>
      <c r="M1406" s="60"/>
      <c r="N1406" s="60"/>
      <c r="O1406" s="60"/>
      <c r="P1406" s="60"/>
      <c r="Q1406" s="60"/>
      <c r="R1406" s="58"/>
      <c r="S1406" s="62" t="str">
        <f aca="false">IF(OR(B1406="",V1406=""),"",IFERROR(INDEX(C_TIPO,MATCH(V1406&amp;"-P"&amp;MAX(1,COUNTIFS(C_RUTN,V1406,C_DEF,"Sí",C_INI,"&lt;="&amp;EOMONTH(B1406,0))),C_CLAVE,0))&amp;"","Sin contrato"))</f>
        <v/>
      </c>
      <c r="T1406" s="63" t="str">
        <f aca="false">IF(OR(B1406="",N(O1406)=0),"",N(O1406)+ROUND(MIN(N(N1406),TOPE_UF*UF_MES)*(TASA_EMP+MUTUAL),0)+ROUND(MIN(N(N1406),TOPE_AFC_UF*UF_MES)*IF(S1406="Indefinido",AFC_INDEF,AFC_PF),0))</f>
        <v/>
      </c>
      <c r="U1406" s="62" t="str">
        <f aca="false">IF(C1406="","",IF(LEFT(D1406,1)="⚠","⚠ RUT no registrado en Trabajadores",IF(B1406="","⚠ Falta el mes",IF(OR(ISTEXT(I1406),ISTEXT(J1406)),"⚠ Atrasos u horas extra como texto: escriba hh:mm (ej. 1:30)",IF(AND(ISNUMBER(Q1406),COUNTIFS(M_RUTN,V1406,M_MES,B1406,M_LIQ,"&lt;&gt;")&gt;1),"⚠ Liquidación repetida en el mes",IF(AND(ISNUMBER(O1406),ISNUMBER(P1406),ISNUMBER(Q1406),ABS(O1406-P1406-Q1406)&gt;1),"⚠ Haberes − descuentos no da el líquido","OK"))))))</f>
        <v/>
      </c>
      <c r="V1406" s="62" t="str">
        <f aca="false">IF(C1406="","",IFERROR(VALUE(LEFT(UPPER(SUBSTITUTE(SUBSTITUTE(SUBSTITUTE(TRIM(C1406),".",""),"-","")," ","")),LEN(UPPER(SUBSTITUTE(SUBSTITUTE(SUBSTITUTE(TRIM(C1406),".",""),"-","")," ","")))-1))&amp;RIGHT(UPPER(SUBSTITUTE(SUBSTITUTE(SUBSTITUTE(TRIM(C1406),".",""),"-","")," ","")),1),UPPER(SUBSTITUTE(SUBSTITUTE(SUBSTITUTE(TRIM(C1406),".",""),"-","")," ",""))))</f>
        <v/>
      </c>
    </row>
    <row r="1407" customFormat="false" ht="15" hidden="false" customHeight="false" outlineLevel="0" collapsed="false">
      <c r="B1407" s="80"/>
      <c r="C1407" s="58"/>
      <c r="D1407" s="62" t="str">
        <f aca="false">IF(C1407="","",IFERROR(INDEX(T_NOMBRE,MATCH(V1407,T_RUTN,0)),"⚠ RUT no está en Trabajadores"))</f>
        <v/>
      </c>
      <c r="E1407" s="61"/>
      <c r="F1407" s="61"/>
      <c r="G1407" s="61"/>
      <c r="H1407" s="61"/>
      <c r="I1407" s="81"/>
      <c r="J1407" s="81"/>
      <c r="K1407" s="60"/>
      <c r="L1407" s="60"/>
      <c r="M1407" s="60"/>
      <c r="N1407" s="60"/>
      <c r="O1407" s="60"/>
      <c r="P1407" s="60"/>
      <c r="Q1407" s="60"/>
      <c r="R1407" s="58"/>
      <c r="S1407" s="62" t="str">
        <f aca="false">IF(OR(B1407="",V1407=""),"",IFERROR(INDEX(C_TIPO,MATCH(V1407&amp;"-P"&amp;MAX(1,COUNTIFS(C_RUTN,V1407,C_DEF,"Sí",C_INI,"&lt;="&amp;EOMONTH(B1407,0))),C_CLAVE,0))&amp;"","Sin contrato"))</f>
        <v/>
      </c>
      <c r="T1407" s="63" t="str">
        <f aca="false">IF(OR(B1407="",N(O1407)=0),"",N(O1407)+ROUND(MIN(N(N1407),TOPE_UF*UF_MES)*(TASA_EMP+MUTUAL),0)+ROUND(MIN(N(N1407),TOPE_AFC_UF*UF_MES)*IF(S1407="Indefinido",AFC_INDEF,AFC_PF),0))</f>
        <v/>
      </c>
      <c r="U1407" s="62" t="str">
        <f aca="false">IF(C1407="","",IF(LEFT(D1407,1)="⚠","⚠ RUT no registrado en Trabajadores",IF(B1407="","⚠ Falta el mes",IF(OR(ISTEXT(I1407),ISTEXT(J1407)),"⚠ Atrasos u horas extra como texto: escriba hh:mm (ej. 1:30)",IF(AND(ISNUMBER(Q1407),COUNTIFS(M_RUTN,V1407,M_MES,B1407,M_LIQ,"&lt;&gt;")&gt;1),"⚠ Liquidación repetida en el mes",IF(AND(ISNUMBER(O1407),ISNUMBER(P1407),ISNUMBER(Q1407),ABS(O1407-P1407-Q1407)&gt;1),"⚠ Haberes − descuentos no da el líquido","OK"))))))</f>
        <v/>
      </c>
      <c r="V1407" s="62" t="str">
        <f aca="false">IF(C1407="","",IFERROR(VALUE(LEFT(UPPER(SUBSTITUTE(SUBSTITUTE(SUBSTITUTE(TRIM(C1407),".",""),"-","")," ","")),LEN(UPPER(SUBSTITUTE(SUBSTITUTE(SUBSTITUTE(TRIM(C1407),".",""),"-","")," ","")))-1))&amp;RIGHT(UPPER(SUBSTITUTE(SUBSTITUTE(SUBSTITUTE(TRIM(C1407),".",""),"-","")," ","")),1),UPPER(SUBSTITUTE(SUBSTITUTE(SUBSTITUTE(TRIM(C1407),".",""),"-","")," ",""))))</f>
        <v/>
      </c>
    </row>
    <row r="1408" customFormat="false" ht="15" hidden="false" customHeight="false" outlineLevel="0" collapsed="false">
      <c r="B1408" s="80"/>
      <c r="C1408" s="58"/>
      <c r="D1408" s="62" t="str">
        <f aca="false">IF(C1408="","",IFERROR(INDEX(T_NOMBRE,MATCH(V1408,T_RUTN,0)),"⚠ RUT no está en Trabajadores"))</f>
        <v/>
      </c>
      <c r="E1408" s="61"/>
      <c r="F1408" s="61"/>
      <c r="G1408" s="61"/>
      <c r="H1408" s="61"/>
      <c r="I1408" s="81"/>
      <c r="J1408" s="81"/>
      <c r="K1408" s="60"/>
      <c r="L1408" s="60"/>
      <c r="M1408" s="60"/>
      <c r="N1408" s="60"/>
      <c r="O1408" s="60"/>
      <c r="P1408" s="60"/>
      <c r="Q1408" s="60"/>
      <c r="R1408" s="58"/>
      <c r="S1408" s="62" t="str">
        <f aca="false">IF(OR(B1408="",V1408=""),"",IFERROR(INDEX(C_TIPO,MATCH(V1408&amp;"-P"&amp;MAX(1,COUNTIFS(C_RUTN,V1408,C_DEF,"Sí",C_INI,"&lt;="&amp;EOMONTH(B1408,0))),C_CLAVE,0))&amp;"","Sin contrato"))</f>
        <v/>
      </c>
      <c r="T1408" s="63" t="str">
        <f aca="false">IF(OR(B1408="",N(O1408)=0),"",N(O1408)+ROUND(MIN(N(N1408),TOPE_UF*UF_MES)*(TASA_EMP+MUTUAL),0)+ROUND(MIN(N(N1408),TOPE_AFC_UF*UF_MES)*IF(S1408="Indefinido",AFC_INDEF,AFC_PF),0))</f>
        <v/>
      </c>
      <c r="U1408" s="62" t="str">
        <f aca="false">IF(C1408="","",IF(LEFT(D1408,1)="⚠","⚠ RUT no registrado en Trabajadores",IF(B1408="","⚠ Falta el mes",IF(OR(ISTEXT(I1408),ISTEXT(J1408)),"⚠ Atrasos u horas extra como texto: escriba hh:mm (ej. 1:30)",IF(AND(ISNUMBER(Q1408),COUNTIFS(M_RUTN,V1408,M_MES,B1408,M_LIQ,"&lt;&gt;")&gt;1),"⚠ Liquidación repetida en el mes",IF(AND(ISNUMBER(O1408),ISNUMBER(P1408),ISNUMBER(Q1408),ABS(O1408-P1408-Q1408)&gt;1),"⚠ Haberes − descuentos no da el líquido","OK"))))))</f>
        <v/>
      </c>
      <c r="V1408" s="62" t="str">
        <f aca="false">IF(C1408="","",IFERROR(VALUE(LEFT(UPPER(SUBSTITUTE(SUBSTITUTE(SUBSTITUTE(TRIM(C1408),".",""),"-","")," ","")),LEN(UPPER(SUBSTITUTE(SUBSTITUTE(SUBSTITUTE(TRIM(C1408),".",""),"-","")," ","")))-1))&amp;RIGHT(UPPER(SUBSTITUTE(SUBSTITUTE(SUBSTITUTE(TRIM(C1408),".",""),"-","")," ","")),1),UPPER(SUBSTITUTE(SUBSTITUTE(SUBSTITUTE(TRIM(C1408),".",""),"-","")," ",""))))</f>
        <v/>
      </c>
    </row>
    <row r="1409" customFormat="false" ht="15" hidden="false" customHeight="false" outlineLevel="0" collapsed="false">
      <c r="B1409" s="80"/>
      <c r="C1409" s="58"/>
      <c r="D1409" s="62" t="str">
        <f aca="false">IF(C1409="","",IFERROR(INDEX(T_NOMBRE,MATCH(V1409,T_RUTN,0)),"⚠ RUT no está en Trabajadores"))</f>
        <v/>
      </c>
      <c r="E1409" s="61"/>
      <c r="F1409" s="61"/>
      <c r="G1409" s="61"/>
      <c r="H1409" s="61"/>
      <c r="I1409" s="81"/>
      <c r="J1409" s="81"/>
      <c r="K1409" s="60"/>
      <c r="L1409" s="60"/>
      <c r="M1409" s="60"/>
      <c r="N1409" s="60"/>
      <c r="O1409" s="60"/>
      <c r="P1409" s="60"/>
      <c r="Q1409" s="60"/>
      <c r="R1409" s="58"/>
      <c r="S1409" s="62" t="str">
        <f aca="false">IF(OR(B1409="",V1409=""),"",IFERROR(INDEX(C_TIPO,MATCH(V1409&amp;"-P"&amp;MAX(1,COUNTIFS(C_RUTN,V1409,C_DEF,"Sí",C_INI,"&lt;="&amp;EOMONTH(B1409,0))),C_CLAVE,0))&amp;"","Sin contrato"))</f>
        <v/>
      </c>
      <c r="T1409" s="63" t="str">
        <f aca="false">IF(OR(B1409="",N(O1409)=0),"",N(O1409)+ROUND(MIN(N(N1409),TOPE_UF*UF_MES)*(TASA_EMP+MUTUAL),0)+ROUND(MIN(N(N1409),TOPE_AFC_UF*UF_MES)*IF(S1409="Indefinido",AFC_INDEF,AFC_PF),0))</f>
        <v/>
      </c>
      <c r="U1409" s="62" t="str">
        <f aca="false">IF(C1409="","",IF(LEFT(D1409,1)="⚠","⚠ RUT no registrado en Trabajadores",IF(B1409="","⚠ Falta el mes",IF(OR(ISTEXT(I1409),ISTEXT(J1409)),"⚠ Atrasos u horas extra como texto: escriba hh:mm (ej. 1:30)",IF(AND(ISNUMBER(Q1409),COUNTIFS(M_RUTN,V1409,M_MES,B1409,M_LIQ,"&lt;&gt;")&gt;1),"⚠ Liquidación repetida en el mes",IF(AND(ISNUMBER(O1409),ISNUMBER(P1409),ISNUMBER(Q1409),ABS(O1409-P1409-Q1409)&gt;1),"⚠ Haberes − descuentos no da el líquido","OK"))))))</f>
        <v/>
      </c>
      <c r="V1409" s="62" t="str">
        <f aca="false">IF(C1409="","",IFERROR(VALUE(LEFT(UPPER(SUBSTITUTE(SUBSTITUTE(SUBSTITUTE(TRIM(C1409),".",""),"-","")," ","")),LEN(UPPER(SUBSTITUTE(SUBSTITUTE(SUBSTITUTE(TRIM(C1409),".",""),"-","")," ","")))-1))&amp;RIGHT(UPPER(SUBSTITUTE(SUBSTITUTE(SUBSTITUTE(TRIM(C1409),".",""),"-","")," ","")),1),UPPER(SUBSTITUTE(SUBSTITUTE(SUBSTITUTE(TRIM(C1409),".",""),"-","")," ",""))))</f>
        <v/>
      </c>
    </row>
    <row r="1410" customFormat="false" ht="15" hidden="false" customHeight="false" outlineLevel="0" collapsed="false">
      <c r="B1410" s="80"/>
      <c r="C1410" s="58"/>
      <c r="D1410" s="62" t="str">
        <f aca="false">IF(C1410="","",IFERROR(INDEX(T_NOMBRE,MATCH(V1410,T_RUTN,0)),"⚠ RUT no está en Trabajadores"))</f>
        <v/>
      </c>
      <c r="E1410" s="61"/>
      <c r="F1410" s="61"/>
      <c r="G1410" s="61"/>
      <c r="H1410" s="61"/>
      <c r="I1410" s="81"/>
      <c r="J1410" s="81"/>
      <c r="K1410" s="60"/>
      <c r="L1410" s="60"/>
      <c r="M1410" s="60"/>
      <c r="N1410" s="60"/>
      <c r="O1410" s="60"/>
      <c r="P1410" s="60"/>
      <c r="Q1410" s="60"/>
      <c r="R1410" s="58"/>
      <c r="S1410" s="62" t="str">
        <f aca="false">IF(OR(B1410="",V1410=""),"",IFERROR(INDEX(C_TIPO,MATCH(V1410&amp;"-P"&amp;MAX(1,COUNTIFS(C_RUTN,V1410,C_DEF,"Sí",C_INI,"&lt;="&amp;EOMONTH(B1410,0))),C_CLAVE,0))&amp;"","Sin contrato"))</f>
        <v/>
      </c>
      <c r="T1410" s="63" t="str">
        <f aca="false">IF(OR(B1410="",N(O1410)=0),"",N(O1410)+ROUND(MIN(N(N1410),TOPE_UF*UF_MES)*(TASA_EMP+MUTUAL),0)+ROUND(MIN(N(N1410),TOPE_AFC_UF*UF_MES)*IF(S1410="Indefinido",AFC_INDEF,AFC_PF),0))</f>
        <v/>
      </c>
      <c r="U1410" s="62" t="str">
        <f aca="false">IF(C1410="","",IF(LEFT(D1410,1)="⚠","⚠ RUT no registrado en Trabajadores",IF(B1410="","⚠ Falta el mes",IF(OR(ISTEXT(I1410),ISTEXT(J1410)),"⚠ Atrasos u horas extra como texto: escriba hh:mm (ej. 1:30)",IF(AND(ISNUMBER(Q1410),COUNTIFS(M_RUTN,V1410,M_MES,B1410,M_LIQ,"&lt;&gt;")&gt;1),"⚠ Liquidación repetida en el mes",IF(AND(ISNUMBER(O1410),ISNUMBER(P1410),ISNUMBER(Q1410),ABS(O1410-P1410-Q1410)&gt;1),"⚠ Haberes − descuentos no da el líquido","OK"))))))</f>
        <v/>
      </c>
      <c r="V1410" s="62" t="str">
        <f aca="false">IF(C1410="","",IFERROR(VALUE(LEFT(UPPER(SUBSTITUTE(SUBSTITUTE(SUBSTITUTE(TRIM(C1410),".",""),"-","")," ","")),LEN(UPPER(SUBSTITUTE(SUBSTITUTE(SUBSTITUTE(TRIM(C1410),".",""),"-","")," ","")))-1))&amp;RIGHT(UPPER(SUBSTITUTE(SUBSTITUTE(SUBSTITUTE(TRIM(C1410),".",""),"-","")," ","")),1),UPPER(SUBSTITUTE(SUBSTITUTE(SUBSTITUTE(TRIM(C1410),".",""),"-","")," ",""))))</f>
        <v/>
      </c>
    </row>
    <row r="1411" customFormat="false" ht="15" hidden="false" customHeight="false" outlineLevel="0" collapsed="false">
      <c r="B1411" s="80"/>
      <c r="C1411" s="58"/>
      <c r="D1411" s="62" t="str">
        <f aca="false">IF(C1411="","",IFERROR(INDEX(T_NOMBRE,MATCH(V1411,T_RUTN,0)),"⚠ RUT no está en Trabajadores"))</f>
        <v/>
      </c>
      <c r="E1411" s="61"/>
      <c r="F1411" s="61"/>
      <c r="G1411" s="61"/>
      <c r="H1411" s="61"/>
      <c r="I1411" s="81"/>
      <c r="J1411" s="81"/>
      <c r="K1411" s="60"/>
      <c r="L1411" s="60"/>
      <c r="M1411" s="60"/>
      <c r="N1411" s="60"/>
      <c r="O1411" s="60"/>
      <c r="P1411" s="60"/>
      <c r="Q1411" s="60"/>
      <c r="R1411" s="58"/>
      <c r="S1411" s="62" t="str">
        <f aca="false">IF(OR(B1411="",V1411=""),"",IFERROR(INDEX(C_TIPO,MATCH(V1411&amp;"-P"&amp;MAX(1,COUNTIFS(C_RUTN,V1411,C_DEF,"Sí",C_INI,"&lt;="&amp;EOMONTH(B1411,0))),C_CLAVE,0))&amp;"","Sin contrato"))</f>
        <v/>
      </c>
      <c r="T1411" s="63" t="str">
        <f aca="false">IF(OR(B1411="",N(O1411)=0),"",N(O1411)+ROUND(MIN(N(N1411),TOPE_UF*UF_MES)*(TASA_EMP+MUTUAL),0)+ROUND(MIN(N(N1411),TOPE_AFC_UF*UF_MES)*IF(S1411="Indefinido",AFC_INDEF,AFC_PF),0))</f>
        <v/>
      </c>
      <c r="U1411" s="62" t="str">
        <f aca="false">IF(C1411="","",IF(LEFT(D1411,1)="⚠","⚠ RUT no registrado en Trabajadores",IF(B1411="","⚠ Falta el mes",IF(OR(ISTEXT(I1411),ISTEXT(J1411)),"⚠ Atrasos u horas extra como texto: escriba hh:mm (ej. 1:30)",IF(AND(ISNUMBER(Q1411),COUNTIFS(M_RUTN,V1411,M_MES,B1411,M_LIQ,"&lt;&gt;")&gt;1),"⚠ Liquidación repetida en el mes",IF(AND(ISNUMBER(O1411),ISNUMBER(P1411),ISNUMBER(Q1411),ABS(O1411-P1411-Q1411)&gt;1),"⚠ Haberes − descuentos no da el líquido","OK"))))))</f>
        <v/>
      </c>
      <c r="V1411" s="62" t="str">
        <f aca="false">IF(C1411="","",IFERROR(VALUE(LEFT(UPPER(SUBSTITUTE(SUBSTITUTE(SUBSTITUTE(TRIM(C1411),".",""),"-","")," ","")),LEN(UPPER(SUBSTITUTE(SUBSTITUTE(SUBSTITUTE(TRIM(C1411),".",""),"-","")," ","")))-1))&amp;RIGHT(UPPER(SUBSTITUTE(SUBSTITUTE(SUBSTITUTE(TRIM(C1411),".",""),"-","")," ","")),1),UPPER(SUBSTITUTE(SUBSTITUTE(SUBSTITUTE(TRIM(C1411),".",""),"-","")," ",""))))</f>
        <v/>
      </c>
    </row>
    <row r="1412" customFormat="false" ht="15" hidden="false" customHeight="false" outlineLevel="0" collapsed="false">
      <c r="B1412" s="80"/>
      <c r="C1412" s="58"/>
      <c r="D1412" s="62" t="str">
        <f aca="false">IF(C1412="","",IFERROR(INDEX(T_NOMBRE,MATCH(V1412,T_RUTN,0)),"⚠ RUT no está en Trabajadores"))</f>
        <v/>
      </c>
      <c r="E1412" s="61"/>
      <c r="F1412" s="61"/>
      <c r="G1412" s="61"/>
      <c r="H1412" s="61"/>
      <c r="I1412" s="81"/>
      <c r="J1412" s="81"/>
      <c r="K1412" s="60"/>
      <c r="L1412" s="60"/>
      <c r="M1412" s="60"/>
      <c r="N1412" s="60"/>
      <c r="O1412" s="60"/>
      <c r="P1412" s="60"/>
      <c r="Q1412" s="60"/>
      <c r="R1412" s="58"/>
      <c r="S1412" s="62" t="str">
        <f aca="false">IF(OR(B1412="",V1412=""),"",IFERROR(INDEX(C_TIPO,MATCH(V1412&amp;"-P"&amp;MAX(1,COUNTIFS(C_RUTN,V1412,C_DEF,"Sí",C_INI,"&lt;="&amp;EOMONTH(B1412,0))),C_CLAVE,0))&amp;"","Sin contrato"))</f>
        <v/>
      </c>
      <c r="T1412" s="63" t="str">
        <f aca="false">IF(OR(B1412="",N(O1412)=0),"",N(O1412)+ROUND(MIN(N(N1412),TOPE_UF*UF_MES)*(TASA_EMP+MUTUAL),0)+ROUND(MIN(N(N1412),TOPE_AFC_UF*UF_MES)*IF(S1412="Indefinido",AFC_INDEF,AFC_PF),0))</f>
        <v/>
      </c>
      <c r="U1412" s="62" t="str">
        <f aca="false">IF(C1412="","",IF(LEFT(D1412,1)="⚠","⚠ RUT no registrado en Trabajadores",IF(B1412="","⚠ Falta el mes",IF(OR(ISTEXT(I1412),ISTEXT(J1412)),"⚠ Atrasos u horas extra como texto: escriba hh:mm (ej. 1:30)",IF(AND(ISNUMBER(Q1412),COUNTIFS(M_RUTN,V1412,M_MES,B1412,M_LIQ,"&lt;&gt;")&gt;1),"⚠ Liquidación repetida en el mes",IF(AND(ISNUMBER(O1412),ISNUMBER(P1412),ISNUMBER(Q1412),ABS(O1412-P1412-Q1412)&gt;1),"⚠ Haberes − descuentos no da el líquido","OK"))))))</f>
        <v/>
      </c>
      <c r="V1412" s="62" t="str">
        <f aca="false">IF(C1412="","",IFERROR(VALUE(LEFT(UPPER(SUBSTITUTE(SUBSTITUTE(SUBSTITUTE(TRIM(C1412),".",""),"-","")," ","")),LEN(UPPER(SUBSTITUTE(SUBSTITUTE(SUBSTITUTE(TRIM(C1412),".",""),"-","")," ","")))-1))&amp;RIGHT(UPPER(SUBSTITUTE(SUBSTITUTE(SUBSTITUTE(TRIM(C1412),".",""),"-","")," ","")),1),UPPER(SUBSTITUTE(SUBSTITUTE(SUBSTITUTE(TRIM(C1412),".",""),"-","")," ",""))))</f>
        <v/>
      </c>
    </row>
    <row r="1413" customFormat="false" ht="15" hidden="false" customHeight="false" outlineLevel="0" collapsed="false">
      <c r="B1413" s="80"/>
      <c r="C1413" s="58"/>
      <c r="D1413" s="62" t="str">
        <f aca="false">IF(C1413="","",IFERROR(INDEX(T_NOMBRE,MATCH(V1413,T_RUTN,0)),"⚠ RUT no está en Trabajadores"))</f>
        <v/>
      </c>
      <c r="E1413" s="61"/>
      <c r="F1413" s="61"/>
      <c r="G1413" s="61"/>
      <c r="H1413" s="61"/>
      <c r="I1413" s="81"/>
      <c r="J1413" s="81"/>
      <c r="K1413" s="60"/>
      <c r="L1413" s="60"/>
      <c r="M1413" s="60"/>
      <c r="N1413" s="60"/>
      <c r="O1413" s="60"/>
      <c r="P1413" s="60"/>
      <c r="Q1413" s="60"/>
      <c r="R1413" s="58"/>
      <c r="S1413" s="62" t="str">
        <f aca="false">IF(OR(B1413="",V1413=""),"",IFERROR(INDEX(C_TIPO,MATCH(V1413&amp;"-P"&amp;MAX(1,COUNTIFS(C_RUTN,V1413,C_DEF,"Sí",C_INI,"&lt;="&amp;EOMONTH(B1413,0))),C_CLAVE,0))&amp;"","Sin contrato"))</f>
        <v/>
      </c>
      <c r="T1413" s="63" t="str">
        <f aca="false">IF(OR(B1413="",N(O1413)=0),"",N(O1413)+ROUND(MIN(N(N1413),TOPE_UF*UF_MES)*(TASA_EMP+MUTUAL),0)+ROUND(MIN(N(N1413),TOPE_AFC_UF*UF_MES)*IF(S1413="Indefinido",AFC_INDEF,AFC_PF),0))</f>
        <v/>
      </c>
      <c r="U1413" s="62" t="str">
        <f aca="false">IF(C1413="","",IF(LEFT(D1413,1)="⚠","⚠ RUT no registrado en Trabajadores",IF(B1413="","⚠ Falta el mes",IF(OR(ISTEXT(I1413),ISTEXT(J1413)),"⚠ Atrasos u horas extra como texto: escriba hh:mm (ej. 1:30)",IF(AND(ISNUMBER(Q1413),COUNTIFS(M_RUTN,V1413,M_MES,B1413,M_LIQ,"&lt;&gt;")&gt;1),"⚠ Liquidación repetida en el mes",IF(AND(ISNUMBER(O1413),ISNUMBER(P1413),ISNUMBER(Q1413),ABS(O1413-P1413-Q1413)&gt;1),"⚠ Haberes − descuentos no da el líquido","OK"))))))</f>
        <v/>
      </c>
      <c r="V1413" s="62" t="str">
        <f aca="false">IF(C1413="","",IFERROR(VALUE(LEFT(UPPER(SUBSTITUTE(SUBSTITUTE(SUBSTITUTE(TRIM(C1413),".",""),"-","")," ","")),LEN(UPPER(SUBSTITUTE(SUBSTITUTE(SUBSTITUTE(TRIM(C1413),".",""),"-","")," ","")))-1))&amp;RIGHT(UPPER(SUBSTITUTE(SUBSTITUTE(SUBSTITUTE(TRIM(C1413),".",""),"-","")," ","")),1),UPPER(SUBSTITUTE(SUBSTITUTE(SUBSTITUTE(TRIM(C1413),".",""),"-","")," ",""))))</f>
        <v/>
      </c>
    </row>
    <row r="1414" customFormat="false" ht="15" hidden="false" customHeight="false" outlineLevel="0" collapsed="false">
      <c r="B1414" s="80"/>
      <c r="C1414" s="58"/>
      <c r="D1414" s="62" t="str">
        <f aca="false">IF(C1414="","",IFERROR(INDEX(T_NOMBRE,MATCH(V1414,T_RUTN,0)),"⚠ RUT no está en Trabajadores"))</f>
        <v/>
      </c>
      <c r="E1414" s="61"/>
      <c r="F1414" s="61"/>
      <c r="G1414" s="61"/>
      <c r="H1414" s="61"/>
      <c r="I1414" s="81"/>
      <c r="J1414" s="81"/>
      <c r="K1414" s="60"/>
      <c r="L1414" s="60"/>
      <c r="M1414" s="60"/>
      <c r="N1414" s="60"/>
      <c r="O1414" s="60"/>
      <c r="P1414" s="60"/>
      <c r="Q1414" s="60"/>
      <c r="R1414" s="58"/>
      <c r="S1414" s="62" t="str">
        <f aca="false">IF(OR(B1414="",V1414=""),"",IFERROR(INDEX(C_TIPO,MATCH(V1414&amp;"-P"&amp;MAX(1,COUNTIFS(C_RUTN,V1414,C_DEF,"Sí",C_INI,"&lt;="&amp;EOMONTH(B1414,0))),C_CLAVE,0))&amp;"","Sin contrato"))</f>
        <v/>
      </c>
      <c r="T1414" s="63" t="str">
        <f aca="false">IF(OR(B1414="",N(O1414)=0),"",N(O1414)+ROUND(MIN(N(N1414),TOPE_UF*UF_MES)*(TASA_EMP+MUTUAL),0)+ROUND(MIN(N(N1414),TOPE_AFC_UF*UF_MES)*IF(S1414="Indefinido",AFC_INDEF,AFC_PF),0))</f>
        <v/>
      </c>
      <c r="U1414" s="62" t="str">
        <f aca="false">IF(C1414="","",IF(LEFT(D1414,1)="⚠","⚠ RUT no registrado en Trabajadores",IF(B1414="","⚠ Falta el mes",IF(OR(ISTEXT(I1414),ISTEXT(J1414)),"⚠ Atrasos u horas extra como texto: escriba hh:mm (ej. 1:30)",IF(AND(ISNUMBER(Q1414),COUNTIFS(M_RUTN,V1414,M_MES,B1414,M_LIQ,"&lt;&gt;")&gt;1),"⚠ Liquidación repetida en el mes",IF(AND(ISNUMBER(O1414),ISNUMBER(P1414),ISNUMBER(Q1414),ABS(O1414-P1414-Q1414)&gt;1),"⚠ Haberes − descuentos no da el líquido","OK"))))))</f>
        <v/>
      </c>
      <c r="V1414" s="62" t="str">
        <f aca="false">IF(C1414="","",IFERROR(VALUE(LEFT(UPPER(SUBSTITUTE(SUBSTITUTE(SUBSTITUTE(TRIM(C1414),".",""),"-","")," ","")),LEN(UPPER(SUBSTITUTE(SUBSTITUTE(SUBSTITUTE(TRIM(C1414),".",""),"-","")," ","")))-1))&amp;RIGHT(UPPER(SUBSTITUTE(SUBSTITUTE(SUBSTITUTE(TRIM(C1414),".",""),"-","")," ","")),1),UPPER(SUBSTITUTE(SUBSTITUTE(SUBSTITUTE(TRIM(C1414),".",""),"-","")," ",""))))</f>
        <v/>
      </c>
    </row>
    <row r="1415" customFormat="false" ht="15" hidden="false" customHeight="false" outlineLevel="0" collapsed="false">
      <c r="B1415" s="80"/>
      <c r="C1415" s="58"/>
      <c r="D1415" s="62" t="str">
        <f aca="false">IF(C1415="","",IFERROR(INDEX(T_NOMBRE,MATCH(V1415,T_RUTN,0)),"⚠ RUT no está en Trabajadores"))</f>
        <v/>
      </c>
      <c r="E1415" s="61"/>
      <c r="F1415" s="61"/>
      <c r="G1415" s="61"/>
      <c r="H1415" s="61"/>
      <c r="I1415" s="81"/>
      <c r="J1415" s="81"/>
      <c r="K1415" s="60"/>
      <c r="L1415" s="60"/>
      <c r="M1415" s="60"/>
      <c r="N1415" s="60"/>
      <c r="O1415" s="60"/>
      <c r="P1415" s="60"/>
      <c r="Q1415" s="60"/>
      <c r="R1415" s="58"/>
      <c r="S1415" s="62" t="str">
        <f aca="false">IF(OR(B1415="",V1415=""),"",IFERROR(INDEX(C_TIPO,MATCH(V1415&amp;"-P"&amp;MAX(1,COUNTIFS(C_RUTN,V1415,C_DEF,"Sí",C_INI,"&lt;="&amp;EOMONTH(B1415,0))),C_CLAVE,0))&amp;"","Sin contrato"))</f>
        <v/>
      </c>
      <c r="T1415" s="63" t="str">
        <f aca="false">IF(OR(B1415="",N(O1415)=0),"",N(O1415)+ROUND(MIN(N(N1415),TOPE_UF*UF_MES)*(TASA_EMP+MUTUAL),0)+ROUND(MIN(N(N1415),TOPE_AFC_UF*UF_MES)*IF(S1415="Indefinido",AFC_INDEF,AFC_PF),0))</f>
        <v/>
      </c>
      <c r="U1415" s="62" t="str">
        <f aca="false">IF(C1415="","",IF(LEFT(D1415,1)="⚠","⚠ RUT no registrado en Trabajadores",IF(B1415="","⚠ Falta el mes",IF(OR(ISTEXT(I1415),ISTEXT(J1415)),"⚠ Atrasos u horas extra como texto: escriba hh:mm (ej. 1:30)",IF(AND(ISNUMBER(Q1415),COUNTIFS(M_RUTN,V1415,M_MES,B1415,M_LIQ,"&lt;&gt;")&gt;1),"⚠ Liquidación repetida en el mes",IF(AND(ISNUMBER(O1415),ISNUMBER(P1415),ISNUMBER(Q1415),ABS(O1415-P1415-Q1415)&gt;1),"⚠ Haberes − descuentos no da el líquido","OK"))))))</f>
        <v/>
      </c>
      <c r="V1415" s="62" t="str">
        <f aca="false">IF(C1415="","",IFERROR(VALUE(LEFT(UPPER(SUBSTITUTE(SUBSTITUTE(SUBSTITUTE(TRIM(C1415),".",""),"-","")," ","")),LEN(UPPER(SUBSTITUTE(SUBSTITUTE(SUBSTITUTE(TRIM(C1415),".",""),"-","")," ","")))-1))&amp;RIGHT(UPPER(SUBSTITUTE(SUBSTITUTE(SUBSTITUTE(TRIM(C1415),".",""),"-","")," ","")),1),UPPER(SUBSTITUTE(SUBSTITUTE(SUBSTITUTE(TRIM(C1415),".",""),"-","")," ",""))))</f>
        <v/>
      </c>
    </row>
    <row r="1416" customFormat="false" ht="15" hidden="false" customHeight="false" outlineLevel="0" collapsed="false">
      <c r="B1416" s="80"/>
      <c r="C1416" s="58"/>
      <c r="D1416" s="62" t="str">
        <f aca="false">IF(C1416="","",IFERROR(INDEX(T_NOMBRE,MATCH(V1416,T_RUTN,0)),"⚠ RUT no está en Trabajadores"))</f>
        <v/>
      </c>
      <c r="E1416" s="61"/>
      <c r="F1416" s="61"/>
      <c r="G1416" s="61"/>
      <c r="H1416" s="61"/>
      <c r="I1416" s="81"/>
      <c r="J1416" s="81"/>
      <c r="K1416" s="60"/>
      <c r="L1416" s="60"/>
      <c r="M1416" s="60"/>
      <c r="N1416" s="60"/>
      <c r="O1416" s="60"/>
      <c r="P1416" s="60"/>
      <c r="Q1416" s="60"/>
      <c r="R1416" s="58"/>
      <c r="S1416" s="62" t="str">
        <f aca="false">IF(OR(B1416="",V1416=""),"",IFERROR(INDEX(C_TIPO,MATCH(V1416&amp;"-P"&amp;MAX(1,COUNTIFS(C_RUTN,V1416,C_DEF,"Sí",C_INI,"&lt;="&amp;EOMONTH(B1416,0))),C_CLAVE,0))&amp;"","Sin contrato"))</f>
        <v/>
      </c>
      <c r="T1416" s="63" t="str">
        <f aca="false">IF(OR(B1416="",N(O1416)=0),"",N(O1416)+ROUND(MIN(N(N1416),TOPE_UF*UF_MES)*(TASA_EMP+MUTUAL),0)+ROUND(MIN(N(N1416),TOPE_AFC_UF*UF_MES)*IF(S1416="Indefinido",AFC_INDEF,AFC_PF),0))</f>
        <v/>
      </c>
      <c r="U1416" s="62" t="str">
        <f aca="false">IF(C1416="","",IF(LEFT(D1416,1)="⚠","⚠ RUT no registrado en Trabajadores",IF(B1416="","⚠ Falta el mes",IF(OR(ISTEXT(I1416),ISTEXT(J1416)),"⚠ Atrasos u horas extra como texto: escriba hh:mm (ej. 1:30)",IF(AND(ISNUMBER(Q1416),COUNTIFS(M_RUTN,V1416,M_MES,B1416,M_LIQ,"&lt;&gt;")&gt;1),"⚠ Liquidación repetida en el mes",IF(AND(ISNUMBER(O1416),ISNUMBER(P1416),ISNUMBER(Q1416),ABS(O1416-P1416-Q1416)&gt;1),"⚠ Haberes − descuentos no da el líquido","OK"))))))</f>
        <v/>
      </c>
      <c r="V1416" s="62" t="str">
        <f aca="false">IF(C1416="","",IFERROR(VALUE(LEFT(UPPER(SUBSTITUTE(SUBSTITUTE(SUBSTITUTE(TRIM(C1416),".",""),"-","")," ","")),LEN(UPPER(SUBSTITUTE(SUBSTITUTE(SUBSTITUTE(TRIM(C1416),".",""),"-","")," ","")))-1))&amp;RIGHT(UPPER(SUBSTITUTE(SUBSTITUTE(SUBSTITUTE(TRIM(C1416),".",""),"-","")," ","")),1),UPPER(SUBSTITUTE(SUBSTITUTE(SUBSTITUTE(TRIM(C1416),".",""),"-","")," ",""))))</f>
        <v/>
      </c>
    </row>
    <row r="1417" customFormat="false" ht="15" hidden="false" customHeight="false" outlineLevel="0" collapsed="false">
      <c r="B1417" s="80"/>
      <c r="C1417" s="58"/>
      <c r="D1417" s="62" t="str">
        <f aca="false">IF(C1417="","",IFERROR(INDEX(T_NOMBRE,MATCH(V1417,T_RUTN,0)),"⚠ RUT no está en Trabajadores"))</f>
        <v/>
      </c>
      <c r="E1417" s="61"/>
      <c r="F1417" s="61"/>
      <c r="G1417" s="61"/>
      <c r="H1417" s="61"/>
      <c r="I1417" s="81"/>
      <c r="J1417" s="81"/>
      <c r="K1417" s="60"/>
      <c r="L1417" s="60"/>
      <c r="M1417" s="60"/>
      <c r="N1417" s="60"/>
      <c r="O1417" s="60"/>
      <c r="P1417" s="60"/>
      <c r="Q1417" s="60"/>
      <c r="R1417" s="58"/>
      <c r="S1417" s="62" t="str">
        <f aca="false">IF(OR(B1417="",V1417=""),"",IFERROR(INDEX(C_TIPO,MATCH(V1417&amp;"-P"&amp;MAX(1,COUNTIFS(C_RUTN,V1417,C_DEF,"Sí",C_INI,"&lt;="&amp;EOMONTH(B1417,0))),C_CLAVE,0))&amp;"","Sin contrato"))</f>
        <v/>
      </c>
      <c r="T1417" s="63" t="str">
        <f aca="false">IF(OR(B1417="",N(O1417)=0),"",N(O1417)+ROUND(MIN(N(N1417),TOPE_UF*UF_MES)*(TASA_EMP+MUTUAL),0)+ROUND(MIN(N(N1417),TOPE_AFC_UF*UF_MES)*IF(S1417="Indefinido",AFC_INDEF,AFC_PF),0))</f>
        <v/>
      </c>
      <c r="U1417" s="62" t="str">
        <f aca="false">IF(C1417="","",IF(LEFT(D1417,1)="⚠","⚠ RUT no registrado en Trabajadores",IF(B1417="","⚠ Falta el mes",IF(OR(ISTEXT(I1417),ISTEXT(J1417)),"⚠ Atrasos u horas extra como texto: escriba hh:mm (ej. 1:30)",IF(AND(ISNUMBER(Q1417),COUNTIFS(M_RUTN,V1417,M_MES,B1417,M_LIQ,"&lt;&gt;")&gt;1),"⚠ Liquidación repetida en el mes",IF(AND(ISNUMBER(O1417),ISNUMBER(P1417),ISNUMBER(Q1417),ABS(O1417-P1417-Q1417)&gt;1),"⚠ Haberes − descuentos no da el líquido","OK"))))))</f>
        <v/>
      </c>
      <c r="V1417" s="62" t="str">
        <f aca="false">IF(C1417="","",IFERROR(VALUE(LEFT(UPPER(SUBSTITUTE(SUBSTITUTE(SUBSTITUTE(TRIM(C1417),".",""),"-","")," ","")),LEN(UPPER(SUBSTITUTE(SUBSTITUTE(SUBSTITUTE(TRIM(C1417),".",""),"-","")," ","")))-1))&amp;RIGHT(UPPER(SUBSTITUTE(SUBSTITUTE(SUBSTITUTE(TRIM(C1417),".",""),"-","")," ","")),1),UPPER(SUBSTITUTE(SUBSTITUTE(SUBSTITUTE(TRIM(C1417),".",""),"-","")," ",""))))</f>
        <v/>
      </c>
    </row>
    <row r="1418" customFormat="false" ht="15" hidden="false" customHeight="false" outlineLevel="0" collapsed="false">
      <c r="B1418" s="80"/>
      <c r="C1418" s="58"/>
      <c r="D1418" s="62" t="str">
        <f aca="false">IF(C1418="","",IFERROR(INDEX(T_NOMBRE,MATCH(V1418,T_RUTN,0)),"⚠ RUT no está en Trabajadores"))</f>
        <v/>
      </c>
      <c r="E1418" s="61"/>
      <c r="F1418" s="61"/>
      <c r="G1418" s="61"/>
      <c r="H1418" s="61"/>
      <c r="I1418" s="81"/>
      <c r="J1418" s="81"/>
      <c r="K1418" s="60"/>
      <c r="L1418" s="60"/>
      <c r="M1418" s="60"/>
      <c r="N1418" s="60"/>
      <c r="O1418" s="60"/>
      <c r="P1418" s="60"/>
      <c r="Q1418" s="60"/>
      <c r="R1418" s="58"/>
      <c r="S1418" s="62" t="str">
        <f aca="false">IF(OR(B1418="",V1418=""),"",IFERROR(INDEX(C_TIPO,MATCH(V1418&amp;"-P"&amp;MAX(1,COUNTIFS(C_RUTN,V1418,C_DEF,"Sí",C_INI,"&lt;="&amp;EOMONTH(B1418,0))),C_CLAVE,0))&amp;"","Sin contrato"))</f>
        <v/>
      </c>
      <c r="T1418" s="63" t="str">
        <f aca="false">IF(OR(B1418="",N(O1418)=0),"",N(O1418)+ROUND(MIN(N(N1418),TOPE_UF*UF_MES)*(TASA_EMP+MUTUAL),0)+ROUND(MIN(N(N1418),TOPE_AFC_UF*UF_MES)*IF(S1418="Indefinido",AFC_INDEF,AFC_PF),0))</f>
        <v/>
      </c>
      <c r="U1418" s="62" t="str">
        <f aca="false">IF(C1418="","",IF(LEFT(D1418,1)="⚠","⚠ RUT no registrado en Trabajadores",IF(B1418="","⚠ Falta el mes",IF(OR(ISTEXT(I1418),ISTEXT(J1418)),"⚠ Atrasos u horas extra como texto: escriba hh:mm (ej. 1:30)",IF(AND(ISNUMBER(Q1418),COUNTIFS(M_RUTN,V1418,M_MES,B1418,M_LIQ,"&lt;&gt;")&gt;1),"⚠ Liquidación repetida en el mes",IF(AND(ISNUMBER(O1418),ISNUMBER(P1418),ISNUMBER(Q1418),ABS(O1418-P1418-Q1418)&gt;1),"⚠ Haberes − descuentos no da el líquido","OK"))))))</f>
        <v/>
      </c>
      <c r="V1418" s="62" t="str">
        <f aca="false">IF(C1418="","",IFERROR(VALUE(LEFT(UPPER(SUBSTITUTE(SUBSTITUTE(SUBSTITUTE(TRIM(C1418),".",""),"-","")," ","")),LEN(UPPER(SUBSTITUTE(SUBSTITUTE(SUBSTITUTE(TRIM(C1418),".",""),"-","")," ","")))-1))&amp;RIGHT(UPPER(SUBSTITUTE(SUBSTITUTE(SUBSTITUTE(TRIM(C1418),".",""),"-","")," ","")),1),UPPER(SUBSTITUTE(SUBSTITUTE(SUBSTITUTE(TRIM(C1418),".",""),"-","")," ",""))))</f>
        <v/>
      </c>
    </row>
    <row r="1419" customFormat="false" ht="15" hidden="false" customHeight="false" outlineLevel="0" collapsed="false">
      <c r="B1419" s="80"/>
      <c r="C1419" s="58"/>
      <c r="D1419" s="62" t="str">
        <f aca="false">IF(C1419="","",IFERROR(INDEX(T_NOMBRE,MATCH(V1419,T_RUTN,0)),"⚠ RUT no está en Trabajadores"))</f>
        <v/>
      </c>
      <c r="E1419" s="61"/>
      <c r="F1419" s="61"/>
      <c r="G1419" s="61"/>
      <c r="H1419" s="61"/>
      <c r="I1419" s="81"/>
      <c r="J1419" s="81"/>
      <c r="K1419" s="60"/>
      <c r="L1419" s="60"/>
      <c r="M1419" s="60"/>
      <c r="N1419" s="60"/>
      <c r="O1419" s="60"/>
      <c r="P1419" s="60"/>
      <c r="Q1419" s="60"/>
      <c r="R1419" s="58"/>
      <c r="S1419" s="62" t="str">
        <f aca="false">IF(OR(B1419="",V1419=""),"",IFERROR(INDEX(C_TIPO,MATCH(V1419&amp;"-P"&amp;MAX(1,COUNTIFS(C_RUTN,V1419,C_DEF,"Sí",C_INI,"&lt;="&amp;EOMONTH(B1419,0))),C_CLAVE,0))&amp;"","Sin contrato"))</f>
        <v/>
      </c>
      <c r="T1419" s="63" t="str">
        <f aca="false">IF(OR(B1419="",N(O1419)=0),"",N(O1419)+ROUND(MIN(N(N1419),TOPE_UF*UF_MES)*(TASA_EMP+MUTUAL),0)+ROUND(MIN(N(N1419),TOPE_AFC_UF*UF_MES)*IF(S1419="Indefinido",AFC_INDEF,AFC_PF),0))</f>
        <v/>
      </c>
      <c r="U1419" s="62" t="str">
        <f aca="false">IF(C1419="","",IF(LEFT(D1419,1)="⚠","⚠ RUT no registrado en Trabajadores",IF(B1419="","⚠ Falta el mes",IF(OR(ISTEXT(I1419),ISTEXT(J1419)),"⚠ Atrasos u horas extra como texto: escriba hh:mm (ej. 1:30)",IF(AND(ISNUMBER(Q1419),COUNTIFS(M_RUTN,V1419,M_MES,B1419,M_LIQ,"&lt;&gt;")&gt;1),"⚠ Liquidación repetida en el mes",IF(AND(ISNUMBER(O1419),ISNUMBER(P1419),ISNUMBER(Q1419),ABS(O1419-P1419-Q1419)&gt;1),"⚠ Haberes − descuentos no da el líquido","OK"))))))</f>
        <v/>
      </c>
      <c r="V1419" s="62" t="str">
        <f aca="false">IF(C1419="","",IFERROR(VALUE(LEFT(UPPER(SUBSTITUTE(SUBSTITUTE(SUBSTITUTE(TRIM(C1419),".",""),"-","")," ","")),LEN(UPPER(SUBSTITUTE(SUBSTITUTE(SUBSTITUTE(TRIM(C1419),".",""),"-","")," ","")))-1))&amp;RIGHT(UPPER(SUBSTITUTE(SUBSTITUTE(SUBSTITUTE(TRIM(C1419),".",""),"-","")," ","")),1),UPPER(SUBSTITUTE(SUBSTITUTE(SUBSTITUTE(TRIM(C1419),".",""),"-","")," ",""))))</f>
        <v/>
      </c>
    </row>
    <row r="1420" customFormat="false" ht="15" hidden="false" customHeight="false" outlineLevel="0" collapsed="false">
      <c r="B1420" s="80"/>
      <c r="C1420" s="58"/>
      <c r="D1420" s="62" t="str">
        <f aca="false">IF(C1420="","",IFERROR(INDEX(T_NOMBRE,MATCH(V1420,T_RUTN,0)),"⚠ RUT no está en Trabajadores"))</f>
        <v/>
      </c>
      <c r="E1420" s="61"/>
      <c r="F1420" s="61"/>
      <c r="G1420" s="61"/>
      <c r="H1420" s="61"/>
      <c r="I1420" s="81"/>
      <c r="J1420" s="81"/>
      <c r="K1420" s="60"/>
      <c r="L1420" s="60"/>
      <c r="M1420" s="60"/>
      <c r="N1420" s="60"/>
      <c r="O1420" s="60"/>
      <c r="P1420" s="60"/>
      <c r="Q1420" s="60"/>
      <c r="R1420" s="58"/>
      <c r="S1420" s="62" t="str">
        <f aca="false">IF(OR(B1420="",V1420=""),"",IFERROR(INDEX(C_TIPO,MATCH(V1420&amp;"-P"&amp;MAX(1,COUNTIFS(C_RUTN,V1420,C_DEF,"Sí",C_INI,"&lt;="&amp;EOMONTH(B1420,0))),C_CLAVE,0))&amp;"","Sin contrato"))</f>
        <v/>
      </c>
      <c r="T1420" s="63" t="str">
        <f aca="false">IF(OR(B1420="",N(O1420)=0),"",N(O1420)+ROUND(MIN(N(N1420),TOPE_UF*UF_MES)*(TASA_EMP+MUTUAL),0)+ROUND(MIN(N(N1420),TOPE_AFC_UF*UF_MES)*IF(S1420="Indefinido",AFC_INDEF,AFC_PF),0))</f>
        <v/>
      </c>
      <c r="U1420" s="62" t="str">
        <f aca="false">IF(C1420="","",IF(LEFT(D1420,1)="⚠","⚠ RUT no registrado en Trabajadores",IF(B1420="","⚠ Falta el mes",IF(OR(ISTEXT(I1420),ISTEXT(J1420)),"⚠ Atrasos u horas extra como texto: escriba hh:mm (ej. 1:30)",IF(AND(ISNUMBER(Q1420),COUNTIFS(M_RUTN,V1420,M_MES,B1420,M_LIQ,"&lt;&gt;")&gt;1),"⚠ Liquidación repetida en el mes",IF(AND(ISNUMBER(O1420),ISNUMBER(P1420),ISNUMBER(Q1420),ABS(O1420-P1420-Q1420)&gt;1),"⚠ Haberes − descuentos no da el líquido","OK"))))))</f>
        <v/>
      </c>
      <c r="V1420" s="62" t="str">
        <f aca="false">IF(C1420="","",IFERROR(VALUE(LEFT(UPPER(SUBSTITUTE(SUBSTITUTE(SUBSTITUTE(TRIM(C1420),".",""),"-","")," ","")),LEN(UPPER(SUBSTITUTE(SUBSTITUTE(SUBSTITUTE(TRIM(C1420),".",""),"-","")," ","")))-1))&amp;RIGHT(UPPER(SUBSTITUTE(SUBSTITUTE(SUBSTITUTE(TRIM(C1420),".",""),"-","")," ","")),1),UPPER(SUBSTITUTE(SUBSTITUTE(SUBSTITUTE(TRIM(C1420),".",""),"-","")," ",""))))</f>
        <v/>
      </c>
    </row>
    <row r="1421" customFormat="false" ht="15" hidden="false" customHeight="false" outlineLevel="0" collapsed="false">
      <c r="B1421" s="80"/>
      <c r="C1421" s="58"/>
      <c r="D1421" s="62" t="str">
        <f aca="false">IF(C1421="","",IFERROR(INDEX(T_NOMBRE,MATCH(V1421,T_RUTN,0)),"⚠ RUT no está en Trabajadores"))</f>
        <v/>
      </c>
      <c r="E1421" s="61"/>
      <c r="F1421" s="61"/>
      <c r="G1421" s="61"/>
      <c r="H1421" s="61"/>
      <c r="I1421" s="81"/>
      <c r="J1421" s="81"/>
      <c r="K1421" s="60"/>
      <c r="L1421" s="60"/>
      <c r="M1421" s="60"/>
      <c r="N1421" s="60"/>
      <c r="O1421" s="60"/>
      <c r="P1421" s="60"/>
      <c r="Q1421" s="60"/>
      <c r="R1421" s="58"/>
      <c r="S1421" s="62" t="str">
        <f aca="false">IF(OR(B1421="",V1421=""),"",IFERROR(INDEX(C_TIPO,MATCH(V1421&amp;"-P"&amp;MAX(1,COUNTIFS(C_RUTN,V1421,C_DEF,"Sí",C_INI,"&lt;="&amp;EOMONTH(B1421,0))),C_CLAVE,0))&amp;"","Sin contrato"))</f>
        <v/>
      </c>
      <c r="T1421" s="63" t="str">
        <f aca="false">IF(OR(B1421="",N(O1421)=0),"",N(O1421)+ROUND(MIN(N(N1421),TOPE_UF*UF_MES)*(TASA_EMP+MUTUAL),0)+ROUND(MIN(N(N1421),TOPE_AFC_UF*UF_MES)*IF(S1421="Indefinido",AFC_INDEF,AFC_PF),0))</f>
        <v/>
      </c>
      <c r="U1421" s="62" t="str">
        <f aca="false">IF(C1421="","",IF(LEFT(D1421,1)="⚠","⚠ RUT no registrado en Trabajadores",IF(B1421="","⚠ Falta el mes",IF(OR(ISTEXT(I1421),ISTEXT(J1421)),"⚠ Atrasos u horas extra como texto: escriba hh:mm (ej. 1:30)",IF(AND(ISNUMBER(Q1421),COUNTIFS(M_RUTN,V1421,M_MES,B1421,M_LIQ,"&lt;&gt;")&gt;1),"⚠ Liquidación repetida en el mes",IF(AND(ISNUMBER(O1421),ISNUMBER(P1421),ISNUMBER(Q1421),ABS(O1421-P1421-Q1421)&gt;1),"⚠ Haberes − descuentos no da el líquido","OK"))))))</f>
        <v/>
      </c>
      <c r="V1421" s="62" t="str">
        <f aca="false">IF(C1421="","",IFERROR(VALUE(LEFT(UPPER(SUBSTITUTE(SUBSTITUTE(SUBSTITUTE(TRIM(C1421),".",""),"-","")," ","")),LEN(UPPER(SUBSTITUTE(SUBSTITUTE(SUBSTITUTE(TRIM(C1421),".",""),"-","")," ","")))-1))&amp;RIGHT(UPPER(SUBSTITUTE(SUBSTITUTE(SUBSTITUTE(TRIM(C1421),".",""),"-","")," ","")),1),UPPER(SUBSTITUTE(SUBSTITUTE(SUBSTITUTE(TRIM(C1421),".",""),"-","")," ",""))))</f>
        <v/>
      </c>
    </row>
    <row r="1422" customFormat="false" ht="15" hidden="false" customHeight="false" outlineLevel="0" collapsed="false">
      <c r="B1422" s="80"/>
      <c r="C1422" s="58"/>
      <c r="D1422" s="62" t="str">
        <f aca="false">IF(C1422="","",IFERROR(INDEX(T_NOMBRE,MATCH(V1422,T_RUTN,0)),"⚠ RUT no está en Trabajadores"))</f>
        <v/>
      </c>
      <c r="E1422" s="61"/>
      <c r="F1422" s="61"/>
      <c r="G1422" s="61"/>
      <c r="H1422" s="61"/>
      <c r="I1422" s="81"/>
      <c r="J1422" s="81"/>
      <c r="K1422" s="60"/>
      <c r="L1422" s="60"/>
      <c r="M1422" s="60"/>
      <c r="N1422" s="60"/>
      <c r="O1422" s="60"/>
      <c r="P1422" s="60"/>
      <c r="Q1422" s="60"/>
      <c r="R1422" s="58"/>
      <c r="S1422" s="62" t="str">
        <f aca="false">IF(OR(B1422="",V1422=""),"",IFERROR(INDEX(C_TIPO,MATCH(V1422&amp;"-P"&amp;MAX(1,COUNTIFS(C_RUTN,V1422,C_DEF,"Sí",C_INI,"&lt;="&amp;EOMONTH(B1422,0))),C_CLAVE,0))&amp;"","Sin contrato"))</f>
        <v/>
      </c>
      <c r="T1422" s="63" t="str">
        <f aca="false">IF(OR(B1422="",N(O1422)=0),"",N(O1422)+ROUND(MIN(N(N1422),TOPE_UF*UF_MES)*(TASA_EMP+MUTUAL),0)+ROUND(MIN(N(N1422),TOPE_AFC_UF*UF_MES)*IF(S1422="Indefinido",AFC_INDEF,AFC_PF),0))</f>
        <v/>
      </c>
      <c r="U1422" s="62" t="str">
        <f aca="false">IF(C1422="","",IF(LEFT(D1422,1)="⚠","⚠ RUT no registrado en Trabajadores",IF(B1422="","⚠ Falta el mes",IF(OR(ISTEXT(I1422),ISTEXT(J1422)),"⚠ Atrasos u horas extra como texto: escriba hh:mm (ej. 1:30)",IF(AND(ISNUMBER(Q1422),COUNTIFS(M_RUTN,V1422,M_MES,B1422,M_LIQ,"&lt;&gt;")&gt;1),"⚠ Liquidación repetida en el mes",IF(AND(ISNUMBER(O1422),ISNUMBER(P1422),ISNUMBER(Q1422),ABS(O1422-P1422-Q1422)&gt;1),"⚠ Haberes − descuentos no da el líquido","OK"))))))</f>
        <v/>
      </c>
      <c r="V1422" s="62" t="str">
        <f aca="false">IF(C1422="","",IFERROR(VALUE(LEFT(UPPER(SUBSTITUTE(SUBSTITUTE(SUBSTITUTE(TRIM(C1422),".",""),"-","")," ","")),LEN(UPPER(SUBSTITUTE(SUBSTITUTE(SUBSTITUTE(TRIM(C1422),".",""),"-","")," ","")))-1))&amp;RIGHT(UPPER(SUBSTITUTE(SUBSTITUTE(SUBSTITUTE(TRIM(C1422),".",""),"-","")," ","")),1),UPPER(SUBSTITUTE(SUBSTITUTE(SUBSTITUTE(TRIM(C1422),".",""),"-","")," ",""))))</f>
        <v/>
      </c>
    </row>
    <row r="1423" customFormat="false" ht="15" hidden="false" customHeight="false" outlineLevel="0" collapsed="false">
      <c r="B1423" s="80"/>
      <c r="C1423" s="58"/>
      <c r="D1423" s="62" t="str">
        <f aca="false">IF(C1423="","",IFERROR(INDEX(T_NOMBRE,MATCH(V1423,T_RUTN,0)),"⚠ RUT no está en Trabajadores"))</f>
        <v/>
      </c>
      <c r="E1423" s="61"/>
      <c r="F1423" s="61"/>
      <c r="G1423" s="61"/>
      <c r="H1423" s="61"/>
      <c r="I1423" s="81"/>
      <c r="J1423" s="81"/>
      <c r="K1423" s="60"/>
      <c r="L1423" s="60"/>
      <c r="M1423" s="60"/>
      <c r="N1423" s="60"/>
      <c r="O1423" s="60"/>
      <c r="P1423" s="60"/>
      <c r="Q1423" s="60"/>
      <c r="R1423" s="58"/>
      <c r="S1423" s="62" t="str">
        <f aca="false">IF(OR(B1423="",V1423=""),"",IFERROR(INDEX(C_TIPO,MATCH(V1423&amp;"-P"&amp;MAX(1,COUNTIFS(C_RUTN,V1423,C_DEF,"Sí",C_INI,"&lt;="&amp;EOMONTH(B1423,0))),C_CLAVE,0))&amp;"","Sin contrato"))</f>
        <v/>
      </c>
      <c r="T1423" s="63" t="str">
        <f aca="false">IF(OR(B1423="",N(O1423)=0),"",N(O1423)+ROUND(MIN(N(N1423),TOPE_UF*UF_MES)*(TASA_EMP+MUTUAL),0)+ROUND(MIN(N(N1423),TOPE_AFC_UF*UF_MES)*IF(S1423="Indefinido",AFC_INDEF,AFC_PF),0))</f>
        <v/>
      </c>
      <c r="U1423" s="62" t="str">
        <f aca="false">IF(C1423="","",IF(LEFT(D1423,1)="⚠","⚠ RUT no registrado en Trabajadores",IF(B1423="","⚠ Falta el mes",IF(OR(ISTEXT(I1423),ISTEXT(J1423)),"⚠ Atrasos u horas extra como texto: escriba hh:mm (ej. 1:30)",IF(AND(ISNUMBER(Q1423),COUNTIFS(M_RUTN,V1423,M_MES,B1423,M_LIQ,"&lt;&gt;")&gt;1),"⚠ Liquidación repetida en el mes",IF(AND(ISNUMBER(O1423),ISNUMBER(P1423),ISNUMBER(Q1423),ABS(O1423-P1423-Q1423)&gt;1),"⚠ Haberes − descuentos no da el líquido","OK"))))))</f>
        <v/>
      </c>
      <c r="V1423" s="62" t="str">
        <f aca="false">IF(C1423="","",IFERROR(VALUE(LEFT(UPPER(SUBSTITUTE(SUBSTITUTE(SUBSTITUTE(TRIM(C1423),".",""),"-","")," ","")),LEN(UPPER(SUBSTITUTE(SUBSTITUTE(SUBSTITUTE(TRIM(C1423),".",""),"-","")," ","")))-1))&amp;RIGHT(UPPER(SUBSTITUTE(SUBSTITUTE(SUBSTITUTE(TRIM(C1423),".",""),"-","")," ","")),1),UPPER(SUBSTITUTE(SUBSTITUTE(SUBSTITUTE(TRIM(C1423),".",""),"-","")," ",""))))</f>
        <v/>
      </c>
    </row>
    <row r="1424" customFormat="false" ht="15" hidden="false" customHeight="false" outlineLevel="0" collapsed="false">
      <c r="B1424" s="80"/>
      <c r="C1424" s="58"/>
      <c r="D1424" s="62" t="str">
        <f aca="false">IF(C1424="","",IFERROR(INDEX(T_NOMBRE,MATCH(V1424,T_RUTN,0)),"⚠ RUT no está en Trabajadores"))</f>
        <v/>
      </c>
      <c r="E1424" s="61"/>
      <c r="F1424" s="61"/>
      <c r="G1424" s="61"/>
      <c r="H1424" s="61"/>
      <c r="I1424" s="81"/>
      <c r="J1424" s="81"/>
      <c r="K1424" s="60"/>
      <c r="L1424" s="60"/>
      <c r="M1424" s="60"/>
      <c r="N1424" s="60"/>
      <c r="O1424" s="60"/>
      <c r="P1424" s="60"/>
      <c r="Q1424" s="60"/>
      <c r="R1424" s="58"/>
      <c r="S1424" s="62" t="str">
        <f aca="false">IF(OR(B1424="",V1424=""),"",IFERROR(INDEX(C_TIPO,MATCH(V1424&amp;"-P"&amp;MAX(1,COUNTIFS(C_RUTN,V1424,C_DEF,"Sí",C_INI,"&lt;="&amp;EOMONTH(B1424,0))),C_CLAVE,0))&amp;"","Sin contrato"))</f>
        <v/>
      </c>
      <c r="T1424" s="63" t="str">
        <f aca="false">IF(OR(B1424="",N(O1424)=0),"",N(O1424)+ROUND(MIN(N(N1424),TOPE_UF*UF_MES)*(TASA_EMP+MUTUAL),0)+ROUND(MIN(N(N1424),TOPE_AFC_UF*UF_MES)*IF(S1424="Indefinido",AFC_INDEF,AFC_PF),0))</f>
        <v/>
      </c>
      <c r="U1424" s="62" t="str">
        <f aca="false">IF(C1424="","",IF(LEFT(D1424,1)="⚠","⚠ RUT no registrado en Trabajadores",IF(B1424="","⚠ Falta el mes",IF(OR(ISTEXT(I1424),ISTEXT(J1424)),"⚠ Atrasos u horas extra como texto: escriba hh:mm (ej. 1:30)",IF(AND(ISNUMBER(Q1424),COUNTIFS(M_RUTN,V1424,M_MES,B1424,M_LIQ,"&lt;&gt;")&gt;1),"⚠ Liquidación repetida en el mes",IF(AND(ISNUMBER(O1424),ISNUMBER(P1424),ISNUMBER(Q1424),ABS(O1424-P1424-Q1424)&gt;1),"⚠ Haberes − descuentos no da el líquido","OK"))))))</f>
        <v/>
      </c>
      <c r="V1424" s="62" t="str">
        <f aca="false">IF(C1424="","",IFERROR(VALUE(LEFT(UPPER(SUBSTITUTE(SUBSTITUTE(SUBSTITUTE(TRIM(C1424),".",""),"-","")," ","")),LEN(UPPER(SUBSTITUTE(SUBSTITUTE(SUBSTITUTE(TRIM(C1424),".",""),"-","")," ","")))-1))&amp;RIGHT(UPPER(SUBSTITUTE(SUBSTITUTE(SUBSTITUTE(TRIM(C1424),".",""),"-","")," ","")),1),UPPER(SUBSTITUTE(SUBSTITUTE(SUBSTITUTE(TRIM(C1424),".",""),"-","")," ",""))))</f>
        <v/>
      </c>
    </row>
    <row r="1425" customFormat="false" ht="15" hidden="false" customHeight="false" outlineLevel="0" collapsed="false">
      <c r="B1425" s="80"/>
      <c r="C1425" s="58"/>
      <c r="D1425" s="62" t="str">
        <f aca="false">IF(C1425="","",IFERROR(INDEX(T_NOMBRE,MATCH(V1425,T_RUTN,0)),"⚠ RUT no está en Trabajadores"))</f>
        <v/>
      </c>
      <c r="E1425" s="61"/>
      <c r="F1425" s="61"/>
      <c r="G1425" s="61"/>
      <c r="H1425" s="61"/>
      <c r="I1425" s="81"/>
      <c r="J1425" s="81"/>
      <c r="K1425" s="60"/>
      <c r="L1425" s="60"/>
      <c r="M1425" s="60"/>
      <c r="N1425" s="60"/>
      <c r="O1425" s="60"/>
      <c r="P1425" s="60"/>
      <c r="Q1425" s="60"/>
      <c r="R1425" s="58"/>
      <c r="S1425" s="62" t="str">
        <f aca="false">IF(OR(B1425="",V1425=""),"",IFERROR(INDEX(C_TIPO,MATCH(V1425&amp;"-P"&amp;MAX(1,COUNTIFS(C_RUTN,V1425,C_DEF,"Sí",C_INI,"&lt;="&amp;EOMONTH(B1425,0))),C_CLAVE,0))&amp;"","Sin contrato"))</f>
        <v/>
      </c>
      <c r="T1425" s="63" t="str">
        <f aca="false">IF(OR(B1425="",N(O1425)=0),"",N(O1425)+ROUND(MIN(N(N1425),TOPE_UF*UF_MES)*(TASA_EMP+MUTUAL),0)+ROUND(MIN(N(N1425),TOPE_AFC_UF*UF_MES)*IF(S1425="Indefinido",AFC_INDEF,AFC_PF),0))</f>
        <v/>
      </c>
      <c r="U1425" s="62" t="str">
        <f aca="false">IF(C1425="","",IF(LEFT(D1425,1)="⚠","⚠ RUT no registrado en Trabajadores",IF(B1425="","⚠ Falta el mes",IF(OR(ISTEXT(I1425),ISTEXT(J1425)),"⚠ Atrasos u horas extra como texto: escriba hh:mm (ej. 1:30)",IF(AND(ISNUMBER(Q1425),COUNTIFS(M_RUTN,V1425,M_MES,B1425,M_LIQ,"&lt;&gt;")&gt;1),"⚠ Liquidación repetida en el mes",IF(AND(ISNUMBER(O1425),ISNUMBER(P1425),ISNUMBER(Q1425),ABS(O1425-P1425-Q1425)&gt;1),"⚠ Haberes − descuentos no da el líquido","OK"))))))</f>
        <v/>
      </c>
      <c r="V1425" s="62" t="str">
        <f aca="false">IF(C1425="","",IFERROR(VALUE(LEFT(UPPER(SUBSTITUTE(SUBSTITUTE(SUBSTITUTE(TRIM(C1425),".",""),"-","")," ","")),LEN(UPPER(SUBSTITUTE(SUBSTITUTE(SUBSTITUTE(TRIM(C1425),".",""),"-","")," ","")))-1))&amp;RIGHT(UPPER(SUBSTITUTE(SUBSTITUTE(SUBSTITUTE(TRIM(C1425),".",""),"-","")," ","")),1),UPPER(SUBSTITUTE(SUBSTITUTE(SUBSTITUTE(TRIM(C1425),".",""),"-","")," ",""))))</f>
        <v/>
      </c>
    </row>
    <row r="1426" customFormat="false" ht="15" hidden="false" customHeight="false" outlineLevel="0" collapsed="false">
      <c r="B1426" s="80"/>
      <c r="C1426" s="58"/>
      <c r="D1426" s="62" t="str">
        <f aca="false">IF(C1426="","",IFERROR(INDEX(T_NOMBRE,MATCH(V1426,T_RUTN,0)),"⚠ RUT no está en Trabajadores"))</f>
        <v/>
      </c>
      <c r="E1426" s="61"/>
      <c r="F1426" s="61"/>
      <c r="G1426" s="61"/>
      <c r="H1426" s="61"/>
      <c r="I1426" s="81"/>
      <c r="J1426" s="81"/>
      <c r="K1426" s="60"/>
      <c r="L1426" s="60"/>
      <c r="M1426" s="60"/>
      <c r="N1426" s="60"/>
      <c r="O1426" s="60"/>
      <c r="P1426" s="60"/>
      <c r="Q1426" s="60"/>
      <c r="R1426" s="58"/>
      <c r="S1426" s="62" t="str">
        <f aca="false">IF(OR(B1426="",V1426=""),"",IFERROR(INDEX(C_TIPO,MATCH(V1426&amp;"-P"&amp;MAX(1,COUNTIFS(C_RUTN,V1426,C_DEF,"Sí",C_INI,"&lt;="&amp;EOMONTH(B1426,0))),C_CLAVE,0))&amp;"","Sin contrato"))</f>
        <v/>
      </c>
      <c r="T1426" s="63" t="str">
        <f aca="false">IF(OR(B1426="",N(O1426)=0),"",N(O1426)+ROUND(MIN(N(N1426),TOPE_UF*UF_MES)*(TASA_EMP+MUTUAL),0)+ROUND(MIN(N(N1426),TOPE_AFC_UF*UF_MES)*IF(S1426="Indefinido",AFC_INDEF,AFC_PF),0))</f>
        <v/>
      </c>
      <c r="U1426" s="62" t="str">
        <f aca="false">IF(C1426="","",IF(LEFT(D1426,1)="⚠","⚠ RUT no registrado en Trabajadores",IF(B1426="","⚠ Falta el mes",IF(OR(ISTEXT(I1426),ISTEXT(J1426)),"⚠ Atrasos u horas extra como texto: escriba hh:mm (ej. 1:30)",IF(AND(ISNUMBER(Q1426),COUNTIFS(M_RUTN,V1426,M_MES,B1426,M_LIQ,"&lt;&gt;")&gt;1),"⚠ Liquidación repetida en el mes",IF(AND(ISNUMBER(O1426),ISNUMBER(P1426),ISNUMBER(Q1426),ABS(O1426-P1426-Q1426)&gt;1),"⚠ Haberes − descuentos no da el líquido","OK"))))))</f>
        <v/>
      </c>
      <c r="V1426" s="62" t="str">
        <f aca="false">IF(C1426="","",IFERROR(VALUE(LEFT(UPPER(SUBSTITUTE(SUBSTITUTE(SUBSTITUTE(TRIM(C1426),".",""),"-","")," ","")),LEN(UPPER(SUBSTITUTE(SUBSTITUTE(SUBSTITUTE(TRIM(C1426),".",""),"-","")," ","")))-1))&amp;RIGHT(UPPER(SUBSTITUTE(SUBSTITUTE(SUBSTITUTE(TRIM(C1426),".",""),"-","")," ","")),1),UPPER(SUBSTITUTE(SUBSTITUTE(SUBSTITUTE(TRIM(C1426),".",""),"-","")," ",""))))</f>
        <v/>
      </c>
    </row>
    <row r="1427" customFormat="false" ht="15" hidden="false" customHeight="false" outlineLevel="0" collapsed="false">
      <c r="B1427" s="80"/>
      <c r="C1427" s="58"/>
      <c r="D1427" s="62" t="str">
        <f aca="false">IF(C1427="","",IFERROR(INDEX(T_NOMBRE,MATCH(V1427,T_RUTN,0)),"⚠ RUT no está en Trabajadores"))</f>
        <v/>
      </c>
      <c r="E1427" s="61"/>
      <c r="F1427" s="61"/>
      <c r="G1427" s="61"/>
      <c r="H1427" s="61"/>
      <c r="I1427" s="81"/>
      <c r="J1427" s="81"/>
      <c r="K1427" s="60"/>
      <c r="L1427" s="60"/>
      <c r="M1427" s="60"/>
      <c r="N1427" s="60"/>
      <c r="O1427" s="60"/>
      <c r="P1427" s="60"/>
      <c r="Q1427" s="60"/>
      <c r="R1427" s="58"/>
      <c r="S1427" s="62" t="str">
        <f aca="false">IF(OR(B1427="",V1427=""),"",IFERROR(INDEX(C_TIPO,MATCH(V1427&amp;"-P"&amp;MAX(1,COUNTIFS(C_RUTN,V1427,C_DEF,"Sí",C_INI,"&lt;="&amp;EOMONTH(B1427,0))),C_CLAVE,0))&amp;"","Sin contrato"))</f>
        <v/>
      </c>
      <c r="T1427" s="63" t="str">
        <f aca="false">IF(OR(B1427="",N(O1427)=0),"",N(O1427)+ROUND(MIN(N(N1427),TOPE_UF*UF_MES)*(TASA_EMP+MUTUAL),0)+ROUND(MIN(N(N1427),TOPE_AFC_UF*UF_MES)*IF(S1427="Indefinido",AFC_INDEF,AFC_PF),0))</f>
        <v/>
      </c>
      <c r="U1427" s="62" t="str">
        <f aca="false">IF(C1427="","",IF(LEFT(D1427,1)="⚠","⚠ RUT no registrado en Trabajadores",IF(B1427="","⚠ Falta el mes",IF(OR(ISTEXT(I1427),ISTEXT(J1427)),"⚠ Atrasos u horas extra como texto: escriba hh:mm (ej. 1:30)",IF(AND(ISNUMBER(Q1427),COUNTIFS(M_RUTN,V1427,M_MES,B1427,M_LIQ,"&lt;&gt;")&gt;1),"⚠ Liquidación repetida en el mes",IF(AND(ISNUMBER(O1427),ISNUMBER(P1427),ISNUMBER(Q1427),ABS(O1427-P1427-Q1427)&gt;1),"⚠ Haberes − descuentos no da el líquido","OK"))))))</f>
        <v/>
      </c>
      <c r="V1427" s="62" t="str">
        <f aca="false">IF(C1427="","",IFERROR(VALUE(LEFT(UPPER(SUBSTITUTE(SUBSTITUTE(SUBSTITUTE(TRIM(C1427),".",""),"-","")," ","")),LEN(UPPER(SUBSTITUTE(SUBSTITUTE(SUBSTITUTE(TRIM(C1427),".",""),"-","")," ","")))-1))&amp;RIGHT(UPPER(SUBSTITUTE(SUBSTITUTE(SUBSTITUTE(TRIM(C1427),".",""),"-","")," ","")),1),UPPER(SUBSTITUTE(SUBSTITUTE(SUBSTITUTE(TRIM(C1427),".",""),"-","")," ",""))))</f>
        <v/>
      </c>
    </row>
    <row r="1428" customFormat="false" ht="15" hidden="false" customHeight="false" outlineLevel="0" collapsed="false">
      <c r="B1428" s="80"/>
      <c r="C1428" s="58"/>
      <c r="D1428" s="62" t="str">
        <f aca="false">IF(C1428="","",IFERROR(INDEX(T_NOMBRE,MATCH(V1428,T_RUTN,0)),"⚠ RUT no está en Trabajadores"))</f>
        <v/>
      </c>
      <c r="E1428" s="61"/>
      <c r="F1428" s="61"/>
      <c r="G1428" s="61"/>
      <c r="H1428" s="61"/>
      <c r="I1428" s="81"/>
      <c r="J1428" s="81"/>
      <c r="K1428" s="60"/>
      <c r="L1428" s="60"/>
      <c r="M1428" s="60"/>
      <c r="N1428" s="60"/>
      <c r="O1428" s="60"/>
      <c r="P1428" s="60"/>
      <c r="Q1428" s="60"/>
      <c r="R1428" s="58"/>
      <c r="S1428" s="62" t="str">
        <f aca="false">IF(OR(B1428="",V1428=""),"",IFERROR(INDEX(C_TIPO,MATCH(V1428&amp;"-P"&amp;MAX(1,COUNTIFS(C_RUTN,V1428,C_DEF,"Sí",C_INI,"&lt;="&amp;EOMONTH(B1428,0))),C_CLAVE,0))&amp;"","Sin contrato"))</f>
        <v/>
      </c>
      <c r="T1428" s="63" t="str">
        <f aca="false">IF(OR(B1428="",N(O1428)=0),"",N(O1428)+ROUND(MIN(N(N1428),TOPE_UF*UF_MES)*(TASA_EMP+MUTUAL),0)+ROUND(MIN(N(N1428),TOPE_AFC_UF*UF_MES)*IF(S1428="Indefinido",AFC_INDEF,AFC_PF),0))</f>
        <v/>
      </c>
      <c r="U1428" s="62" t="str">
        <f aca="false">IF(C1428="","",IF(LEFT(D1428,1)="⚠","⚠ RUT no registrado en Trabajadores",IF(B1428="","⚠ Falta el mes",IF(OR(ISTEXT(I1428),ISTEXT(J1428)),"⚠ Atrasos u horas extra como texto: escriba hh:mm (ej. 1:30)",IF(AND(ISNUMBER(Q1428),COUNTIFS(M_RUTN,V1428,M_MES,B1428,M_LIQ,"&lt;&gt;")&gt;1),"⚠ Liquidación repetida en el mes",IF(AND(ISNUMBER(O1428),ISNUMBER(P1428),ISNUMBER(Q1428),ABS(O1428-P1428-Q1428)&gt;1),"⚠ Haberes − descuentos no da el líquido","OK"))))))</f>
        <v/>
      </c>
      <c r="V1428" s="62" t="str">
        <f aca="false">IF(C1428="","",IFERROR(VALUE(LEFT(UPPER(SUBSTITUTE(SUBSTITUTE(SUBSTITUTE(TRIM(C1428),".",""),"-","")," ","")),LEN(UPPER(SUBSTITUTE(SUBSTITUTE(SUBSTITUTE(TRIM(C1428),".",""),"-","")," ","")))-1))&amp;RIGHT(UPPER(SUBSTITUTE(SUBSTITUTE(SUBSTITUTE(TRIM(C1428),".",""),"-","")," ","")),1),UPPER(SUBSTITUTE(SUBSTITUTE(SUBSTITUTE(TRIM(C1428),".",""),"-","")," ",""))))</f>
        <v/>
      </c>
    </row>
    <row r="1429" customFormat="false" ht="15" hidden="false" customHeight="false" outlineLevel="0" collapsed="false">
      <c r="B1429" s="80"/>
      <c r="C1429" s="58"/>
      <c r="D1429" s="62" t="str">
        <f aca="false">IF(C1429="","",IFERROR(INDEX(T_NOMBRE,MATCH(V1429,T_RUTN,0)),"⚠ RUT no está en Trabajadores"))</f>
        <v/>
      </c>
      <c r="E1429" s="61"/>
      <c r="F1429" s="61"/>
      <c r="G1429" s="61"/>
      <c r="H1429" s="61"/>
      <c r="I1429" s="81"/>
      <c r="J1429" s="81"/>
      <c r="K1429" s="60"/>
      <c r="L1429" s="60"/>
      <c r="M1429" s="60"/>
      <c r="N1429" s="60"/>
      <c r="O1429" s="60"/>
      <c r="P1429" s="60"/>
      <c r="Q1429" s="60"/>
      <c r="R1429" s="58"/>
      <c r="S1429" s="62" t="str">
        <f aca="false">IF(OR(B1429="",V1429=""),"",IFERROR(INDEX(C_TIPO,MATCH(V1429&amp;"-P"&amp;MAX(1,COUNTIFS(C_RUTN,V1429,C_DEF,"Sí",C_INI,"&lt;="&amp;EOMONTH(B1429,0))),C_CLAVE,0))&amp;"","Sin contrato"))</f>
        <v/>
      </c>
      <c r="T1429" s="63" t="str">
        <f aca="false">IF(OR(B1429="",N(O1429)=0),"",N(O1429)+ROUND(MIN(N(N1429),TOPE_UF*UF_MES)*(TASA_EMP+MUTUAL),0)+ROUND(MIN(N(N1429),TOPE_AFC_UF*UF_MES)*IF(S1429="Indefinido",AFC_INDEF,AFC_PF),0))</f>
        <v/>
      </c>
      <c r="U1429" s="62" t="str">
        <f aca="false">IF(C1429="","",IF(LEFT(D1429,1)="⚠","⚠ RUT no registrado en Trabajadores",IF(B1429="","⚠ Falta el mes",IF(OR(ISTEXT(I1429),ISTEXT(J1429)),"⚠ Atrasos u horas extra como texto: escriba hh:mm (ej. 1:30)",IF(AND(ISNUMBER(Q1429),COUNTIFS(M_RUTN,V1429,M_MES,B1429,M_LIQ,"&lt;&gt;")&gt;1),"⚠ Liquidación repetida en el mes",IF(AND(ISNUMBER(O1429),ISNUMBER(P1429),ISNUMBER(Q1429),ABS(O1429-P1429-Q1429)&gt;1),"⚠ Haberes − descuentos no da el líquido","OK"))))))</f>
        <v/>
      </c>
      <c r="V1429" s="62" t="str">
        <f aca="false">IF(C1429="","",IFERROR(VALUE(LEFT(UPPER(SUBSTITUTE(SUBSTITUTE(SUBSTITUTE(TRIM(C1429),".",""),"-","")," ","")),LEN(UPPER(SUBSTITUTE(SUBSTITUTE(SUBSTITUTE(TRIM(C1429),".",""),"-","")," ","")))-1))&amp;RIGHT(UPPER(SUBSTITUTE(SUBSTITUTE(SUBSTITUTE(TRIM(C1429),".",""),"-","")," ","")),1),UPPER(SUBSTITUTE(SUBSTITUTE(SUBSTITUTE(TRIM(C1429),".",""),"-","")," ",""))))</f>
        <v/>
      </c>
    </row>
    <row r="1430" customFormat="false" ht="15" hidden="false" customHeight="false" outlineLevel="0" collapsed="false">
      <c r="B1430" s="80"/>
      <c r="C1430" s="58"/>
      <c r="D1430" s="62" t="str">
        <f aca="false">IF(C1430="","",IFERROR(INDEX(T_NOMBRE,MATCH(V1430,T_RUTN,0)),"⚠ RUT no está en Trabajadores"))</f>
        <v/>
      </c>
      <c r="E1430" s="61"/>
      <c r="F1430" s="61"/>
      <c r="G1430" s="61"/>
      <c r="H1430" s="61"/>
      <c r="I1430" s="81"/>
      <c r="J1430" s="81"/>
      <c r="K1430" s="60"/>
      <c r="L1430" s="60"/>
      <c r="M1430" s="60"/>
      <c r="N1430" s="60"/>
      <c r="O1430" s="60"/>
      <c r="P1430" s="60"/>
      <c r="Q1430" s="60"/>
      <c r="R1430" s="58"/>
      <c r="S1430" s="62" t="str">
        <f aca="false">IF(OR(B1430="",V1430=""),"",IFERROR(INDEX(C_TIPO,MATCH(V1430&amp;"-P"&amp;MAX(1,COUNTIFS(C_RUTN,V1430,C_DEF,"Sí",C_INI,"&lt;="&amp;EOMONTH(B1430,0))),C_CLAVE,0))&amp;"","Sin contrato"))</f>
        <v/>
      </c>
      <c r="T1430" s="63" t="str">
        <f aca="false">IF(OR(B1430="",N(O1430)=0),"",N(O1430)+ROUND(MIN(N(N1430),TOPE_UF*UF_MES)*(TASA_EMP+MUTUAL),0)+ROUND(MIN(N(N1430),TOPE_AFC_UF*UF_MES)*IF(S1430="Indefinido",AFC_INDEF,AFC_PF),0))</f>
        <v/>
      </c>
      <c r="U1430" s="62" t="str">
        <f aca="false">IF(C1430="","",IF(LEFT(D1430,1)="⚠","⚠ RUT no registrado en Trabajadores",IF(B1430="","⚠ Falta el mes",IF(OR(ISTEXT(I1430),ISTEXT(J1430)),"⚠ Atrasos u horas extra como texto: escriba hh:mm (ej. 1:30)",IF(AND(ISNUMBER(Q1430),COUNTIFS(M_RUTN,V1430,M_MES,B1430,M_LIQ,"&lt;&gt;")&gt;1),"⚠ Liquidación repetida en el mes",IF(AND(ISNUMBER(O1430),ISNUMBER(P1430),ISNUMBER(Q1430),ABS(O1430-P1430-Q1430)&gt;1),"⚠ Haberes − descuentos no da el líquido","OK"))))))</f>
        <v/>
      </c>
      <c r="V1430" s="62" t="str">
        <f aca="false">IF(C1430="","",IFERROR(VALUE(LEFT(UPPER(SUBSTITUTE(SUBSTITUTE(SUBSTITUTE(TRIM(C1430),".",""),"-","")," ","")),LEN(UPPER(SUBSTITUTE(SUBSTITUTE(SUBSTITUTE(TRIM(C1430),".",""),"-","")," ","")))-1))&amp;RIGHT(UPPER(SUBSTITUTE(SUBSTITUTE(SUBSTITUTE(TRIM(C1430),".",""),"-","")," ","")),1),UPPER(SUBSTITUTE(SUBSTITUTE(SUBSTITUTE(TRIM(C1430),".",""),"-","")," ",""))))</f>
        <v/>
      </c>
    </row>
    <row r="1431" customFormat="false" ht="15" hidden="false" customHeight="false" outlineLevel="0" collapsed="false">
      <c r="B1431" s="80"/>
      <c r="C1431" s="58"/>
      <c r="D1431" s="62" t="str">
        <f aca="false">IF(C1431="","",IFERROR(INDEX(T_NOMBRE,MATCH(V1431,T_RUTN,0)),"⚠ RUT no está en Trabajadores"))</f>
        <v/>
      </c>
      <c r="E1431" s="61"/>
      <c r="F1431" s="61"/>
      <c r="G1431" s="61"/>
      <c r="H1431" s="61"/>
      <c r="I1431" s="81"/>
      <c r="J1431" s="81"/>
      <c r="K1431" s="60"/>
      <c r="L1431" s="60"/>
      <c r="M1431" s="60"/>
      <c r="N1431" s="60"/>
      <c r="O1431" s="60"/>
      <c r="P1431" s="60"/>
      <c r="Q1431" s="60"/>
      <c r="R1431" s="58"/>
      <c r="S1431" s="62" t="str">
        <f aca="false">IF(OR(B1431="",V1431=""),"",IFERROR(INDEX(C_TIPO,MATCH(V1431&amp;"-P"&amp;MAX(1,COUNTIFS(C_RUTN,V1431,C_DEF,"Sí",C_INI,"&lt;="&amp;EOMONTH(B1431,0))),C_CLAVE,0))&amp;"","Sin contrato"))</f>
        <v/>
      </c>
      <c r="T1431" s="63" t="str">
        <f aca="false">IF(OR(B1431="",N(O1431)=0),"",N(O1431)+ROUND(MIN(N(N1431),TOPE_UF*UF_MES)*(TASA_EMP+MUTUAL),0)+ROUND(MIN(N(N1431),TOPE_AFC_UF*UF_MES)*IF(S1431="Indefinido",AFC_INDEF,AFC_PF),0))</f>
        <v/>
      </c>
      <c r="U1431" s="62" t="str">
        <f aca="false">IF(C1431="","",IF(LEFT(D1431,1)="⚠","⚠ RUT no registrado en Trabajadores",IF(B1431="","⚠ Falta el mes",IF(OR(ISTEXT(I1431),ISTEXT(J1431)),"⚠ Atrasos u horas extra como texto: escriba hh:mm (ej. 1:30)",IF(AND(ISNUMBER(Q1431),COUNTIFS(M_RUTN,V1431,M_MES,B1431,M_LIQ,"&lt;&gt;")&gt;1),"⚠ Liquidación repetida en el mes",IF(AND(ISNUMBER(O1431),ISNUMBER(P1431),ISNUMBER(Q1431),ABS(O1431-P1431-Q1431)&gt;1),"⚠ Haberes − descuentos no da el líquido","OK"))))))</f>
        <v/>
      </c>
      <c r="V1431" s="62" t="str">
        <f aca="false">IF(C1431="","",IFERROR(VALUE(LEFT(UPPER(SUBSTITUTE(SUBSTITUTE(SUBSTITUTE(TRIM(C1431),".",""),"-","")," ","")),LEN(UPPER(SUBSTITUTE(SUBSTITUTE(SUBSTITUTE(TRIM(C1431),".",""),"-","")," ","")))-1))&amp;RIGHT(UPPER(SUBSTITUTE(SUBSTITUTE(SUBSTITUTE(TRIM(C1431),".",""),"-","")," ","")),1),UPPER(SUBSTITUTE(SUBSTITUTE(SUBSTITUTE(TRIM(C1431),".",""),"-","")," ",""))))</f>
        <v/>
      </c>
    </row>
    <row r="1432" customFormat="false" ht="15" hidden="false" customHeight="false" outlineLevel="0" collapsed="false">
      <c r="B1432" s="80"/>
      <c r="C1432" s="58"/>
      <c r="D1432" s="62" t="str">
        <f aca="false">IF(C1432="","",IFERROR(INDEX(T_NOMBRE,MATCH(V1432,T_RUTN,0)),"⚠ RUT no está en Trabajadores"))</f>
        <v/>
      </c>
      <c r="E1432" s="61"/>
      <c r="F1432" s="61"/>
      <c r="G1432" s="61"/>
      <c r="H1432" s="61"/>
      <c r="I1432" s="81"/>
      <c r="J1432" s="81"/>
      <c r="K1432" s="60"/>
      <c r="L1432" s="60"/>
      <c r="M1432" s="60"/>
      <c r="N1432" s="60"/>
      <c r="O1432" s="60"/>
      <c r="P1432" s="60"/>
      <c r="Q1432" s="60"/>
      <c r="R1432" s="58"/>
      <c r="S1432" s="62" t="str">
        <f aca="false">IF(OR(B1432="",V1432=""),"",IFERROR(INDEX(C_TIPO,MATCH(V1432&amp;"-P"&amp;MAX(1,COUNTIFS(C_RUTN,V1432,C_DEF,"Sí",C_INI,"&lt;="&amp;EOMONTH(B1432,0))),C_CLAVE,0))&amp;"","Sin contrato"))</f>
        <v/>
      </c>
      <c r="T1432" s="63" t="str">
        <f aca="false">IF(OR(B1432="",N(O1432)=0),"",N(O1432)+ROUND(MIN(N(N1432),TOPE_UF*UF_MES)*(TASA_EMP+MUTUAL),0)+ROUND(MIN(N(N1432),TOPE_AFC_UF*UF_MES)*IF(S1432="Indefinido",AFC_INDEF,AFC_PF),0))</f>
        <v/>
      </c>
      <c r="U1432" s="62" t="str">
        <f aca="false">IF(C1432="","",IF(LEFT(D1432,1)="⚠","⚠ RUT no registrado en Trabajadores",IF(B1432="","⚠ Falta el mes",IF(OR(ISTEXT(I1432),ISTEXT(J1432)),"⚠ Atrasos u horas extra como texto: escriba hh:mm (ej. 1:30)",IF(AND(ISNUMBER(Q1432),COUNTIFS(M_RUTN,V1432,M_MES,B1432,M_LIQ,"&lt;&gt;")&gt;1),"⚠ Liquidación repetida en el mes",IF(AND(ISNUMBER(O1432),ISNUMBER(P1432),ISNUMBER(Q1432),ABS(O1432-P1432-Q1432)&gt;1),"⚠ Haberes − descuentos no da el líquido","OK"))))))</f>
        <v/>
      </c>
      <c r="V1432" s="62" t="str">
        <f aca="false">IF(C1432="","",IFERROR(VALUE(LEFT(UPPER(SUBSTITUTE(SUBSTITUTE(SUBSTITUTE(TRIM(C1432),".",""),"-","")," ","")),LEN(UPPER(SUBSTITUTE(SUBSTITUTE(SUBSTITUTE(TRIM(C1432),".",""),"-","")," ","")))-1))&amp;RIGHT(UPPER(SUBSTITUTE(SUBSTITUTE(SUBSTITUTE(TRIM(C1432),".",""),"-","")," ","")),1),UPPER(SUBSTITUTE(SUBSTITUTE(SUBSTITUTE(TRIM(C1432),".",""),"-","")," ",""))))</f>
        <v/>
      </c>
    </row>
    <row r="1433" customFormat="false" ht="15" hidden="false" customHeight="false" outlineLevel="0" collapsed="false">
      <c r="B1433" s="80"/>
      <c r="C1433" s="58"/>
      <c r="D1433" s="62" t="str">
        <f aca="false">IF(C1433="","",IFERROR(INDEX(T_NOMBRE,MATCH(V1433,T_RUTN,0)),"⚠ RUT no está en Trabajadores"))</f>
        <v/>
      </c>
      <c r="E1433" s="61"/>
      <c r="F1433" s="61"/>
      <c r="G1433" s="61"/>
      <c r="H1433" s="61"/>
      <c r="I1433" s="81"/>
      <c r="J1433" s="81"/>
      <c r="K1433" s="60"/>
      <c r="L1433" s="60"/>
      <c r="M1433" s="60"/>
      <c r="N1433" s="60"/>
      <c r="O1433" s="60"/>
      <c r="P1433" s="60"/>
      <c r="Q1433" s="60"/>
      <c r="R1433" s="58"/>
      <c r="S1433" s="62" t="str">
        <f aca="false">IF(OR(B1433="",V1433=""),"",IFERROR(INDEX(C_TIPO,MATCH(V1433&amp;"-P"&amp;MAX(1,COUNTIFS(C_RUTN,V1433,C_DEF,"Sí",C_INI,"&lt;="&amp;EOMONTH(B1433,0))),C_CLAVE,0))&amp;"","Sin contrato"))</f>
        <v/>
      </c>
      <c r="T1433" s="63" t="str">
        <f aca="false">IF(OR(B1433="",N(O1433)=0),"",N(O1433)+ROUND(MIN(N(N1433),TOPE_UF*UF_MES)*(TASA_EMP+MUTUAL),0)+ROUND(MIN(N(N1433),TOPE_AFC_UF*UF_MES)*IF(S1433="Indefinido",AFC_INDEF,AFC_PF),0))</f>
        <v/>
      </c>
      <c r="U1433" s="62" t="str">
        <f aca="false">IF(C1433="","",IF(LEFT(D1433,1)="⚠","⚠ RUT no registrado en Trabajadores",IF(B1433="","⚠ Falta el mes",IF(OR(ISTEXT(I1433),ISTEXT(J1433)),"⚠ Atrasos u horas extra como texto: escriba hh:mm (ej. 1:30)",IF(AND(ISNUMBER(Q1433),COUNTIFS(M_RUTN,V1433,M_MES,B1433,M_LIQ,"&lt;&gt;")&gt;1),"⚠ Liquidación repetida en el mes",IF(AND(ISNUMBER(O1433),ISNUMBER(P1433),ISNUMBER(Q1433),ABS(O1433-P1433-Q1433)&gt;1),"⚠ Haberes − descuentos no da el líquido","OK"))))))</f>
        <v/>
      </c>
      <c r="V1433" s="62" t="str">
        <f aca="false">IF(C1433="","",IFERROR(VALUE(LEFT(UPPER(SUBSTITUTE(SUBSTITUTE(SUBSTITUTE(TRIM(C1433),".",""),"-","")," ","")),LEN(UPPER(SUBSTITUTE(SUBSTITUTE(SUBSTITUTE(TRIM(C1433),".",""),"-","")," ","")))-1))&amp;RIGHT(UPPER(SUBSTITUTE(SUBSTITUTE(SUBSTITUTE(TRIM(C1433),".",""),"-","")," ","")),1),UPPER(SUBSTITUTE(SUBSTITUTE(SUBSTITUTE(TRIM(C1433),".",""),"-","")," ",""))))</f>
        <v/>
      </c>
    </row>
    <row r="1434" customFormat="false" ht="15" hidden="false" customHeight="false" outlineLevel="0" collapsed="false">
      <c r="B1434" s="80"/>
      <c r="C1434" s="58"/>
      <c r="D1434" s="62" t="str">
        <f aca="false">IF(C1434="","",IFERROR(INDEX(T_NOMBRE,MATCH(V1434,T_RUTN,0)),"⚠ RUT no está en Trabajadores"))</f>
        <v/>
      </c>
      <c r="E1434" s="61"/>
      <c r="F1434" s="61"/>
      <c r="G1434" s="61"/>
      <c r="H1434" s="61"/>
      <c r="I1434" s="81"/>
      <c r="J1434" s="81"/>
      <c r="K1434" s="60"/>
      <c r="L1434" s="60"/>
      <c r="M1434" s="60"/>
      <c r="N1434" s="60"/>
      <c r="O1434" s="60"/>
      <c r="P1434" s="60"/>
      <c r="Q1434" s="60"/>
      <c r="R1434" s="58"/>
      <c r="S1434" s="62" t="str">
        <f aca="false">IF(OR(B1434="",V1434=""),"",IFERROR(INDEX(C_TIPO,MATCH(V1434&amp;"-P"&amp;MAX(1,COUNTIFS(C_RUTN,V1434,C_DEF,"Sí",C_INI,"&lt;="&amp;EOMONTH(B1434,0))),C_CLAVE,0))&amp;"","Sin contrato"))</f>
        <v/>
      </c>
      <c r="T1434" s="63" t="str">
        <f aca="false">IF(OR(B1434="",N(O1434)=0),"",N(O1434)+ROUND(MIN(N(N1434),TOPE_UF*UF_MES)*(TASA_EMP+MUTUAL),0)+ROUND(MIN(N(N1434),TOPE_AFC_UF*UF_MES)*IF(S1434="Indefinido",AFC_INDEF,AFC_PF),0))</f>
        <v/>
      </c>
      <c r="U1434" s="62" t="str">
        <f aca="false">IF(C1434="","",IF(LEFT(D1434,1)="⚠","⚠ RUT no registrado en Trabajadores",IF(B1434="","⚠ Falta el mes",IF(OR(ISTEXT(I1434),ISTEXT(J1434)),"⚠ Atrasos u horas extra como texto: escriba hh:mm (ej. 1:30)",IF(AND(ISNUMBER(Q1434),COUNTIFS(M_RUTN,V1434,M_MES,B1434,M_LIQ,"&lt;&gt;")&gt;1),"⚠ Liquidación repetida en el mes",IF(AND(ISNUMBER(O1434),ISNUMBER(P1434),ISNUMBER(Q1434),ABS(O1434-P1434-Q1434)&gt;1),"⚠ Haberes − descuentos no da el líquido","OK"))))))</f>
        <v/>
      </c>
      <c r="V1434" s="62" t="str">
        <f aca="false">IF(C1434="","",IFERROR(VALUE(LEFT(UPPER(SUBSTITUTE(SUBSTITUTE(SUBSTITUTE(TRIM(C1434),".",""),"-","")," ","")),LEN(UPPER(SUBSTITUTE(SUBSTITUTE(SUBSTITUTE(TRIM(C1434),".",""),"-","")," ","")))-1))&amp;RIGHT(UPPER(SUBSTITUTE(SUBSTITUTE(SUBSTITUTE(TRIM(C1434),".",""),"-","")," ","")),1),UPPER(SUBSTITUTE(SUBSTITUTE(SUBSTITUTE(TRIM(C1434),".",""),"-","")," ",""))))</f>
        <v/>
      </c>
    </row>
    <row r="1435" customFormat="false" ht="15" hidden="false" customHeight="false" outlineLevel="0" collapsed="false">
      <c r="B1435" s="80"/>
      <c r="C1435" s="58"/>
      <c r="D1435" s="62" t="str">
        <f aca="false">IF(C1435="","",IFERROR(INDEX(T_NOMBRE,MATCH(V1435,T_RUTN,0)),"⚠ RUT no está en Trabajadores"))</f>
        <v/>
      </c>
      <c r="E1435" s="61"/>
      <c r="F1435" s="61"/>
      <c r="G1435" s="61"/>
      <c r="H1435" s="61"/>
      <c r="I1435" s="81"/>
      <c r="J1435" s="81"/>
      <c r="K1435" s="60"/>
      <c r="L1435" s="60"/>
      <c r="M1435" s="60"/>
      <c r="N1435" s="60"/>
      <c r="O1435" s="60"/>
      <c r="P1435" s="60"/>
      <c r="Q1435" s="60"/>
      <c r="R1435" s="58"/>
      <c r="S1435" s="62" t="str">
        <f aca="false">IF(OR(B1435="",V1435=""),"",IFERROR(INDEX(C_TIPO,MATCH(V1435&amp;"-P"&amp;MAX(1,COUNTIFS(C_RUTN,V1435,C_DEF,"Sí",C_INI,"&lt;="&amp;EOMONTH(B1435,0))),C_CLAVE,0))&amp;"","Sin contrato"))</f>
        <v/>
      </c>
      <c r="T1435" s="63" t="str">
        <f aca="false">IF(OR(B1435="",N(O1435)=0),"",N(O1435)+ROUND(MIN(N(N1435),TOPE_UF*UF_MES)*(TASA_EMP+MUTUAL),0)+ROUND(MIN(N(N1435),TOPE_AFC_UF*UF_MES)*IF(S1435="Indefinido",AFC_INDEF,AFC_PF),0))</f>
        <v/>
      </c>
      <c r="U1435" s="62" t="str">
        <f aca="false">IF(C1435="","",IF(LEFT(D1435,1)="⚠","⚠ RUT no registrado en Trabajadores",IF(B1435="","⚠ Falta el mes",IF(OR(ISTEXT(I1435),ISTEXT(J1435)),"⚠ Atrasos u horas extra como texto: escriba hh:mm (ej. 1:30)",IF(AND(ISNUMBER(Q1435),COUNTIFS(M_RUTN,V1435,M_MES,B1435,M_LIQ,"&lt;&gt;")&gt;1),"⚠ Liquidación repetida en el mes",IF(AND(ISNUMBER(O1435),ISNUMBER(P1435),ISNUMBER(Q1435),ABS(O1435-P1435-Q1435)&gt;1),"⚠ Haberes − descuentos no da el líquido","OK"))))))</f>
        <v/>
      </c>
      <c r="V1435" s="62" t="str">
        <f aca="false">IF(C1435="","",IFERROR(VALUE(LEFT(UPPER(SUBSTITUTE(SUBSTITUTE(SUBSTITUTE(TRIM(C1435),".",""),"-","")," ","")),LEN(UPPER(SUBSTITUTE(SUBSTITUTE(SUBSTITUTE(TRIM(C1435),".",""),"-","")," ","")))-1))&amp;RIGHT(UPPER(SUBSTITUTE(SUBSTITUTE(SUBSTITUTE(TRIM(C1435),".",""),"-","")," ","")),1),UPPER(SUBSTITUTE(SUBSTITUTE(SUBSTITUTE(TRIM(C1435),".",""),"-","")," ",""))))</f>
        <v/>
      </c>
    </row>
    <row r="1436" customFormat="false" ht="15" hidden="false" customHeight="false" outlineLevel="0" collapsed="false">
      <c r="B1436" s="80"/>
      <c r="C1436" s="58"/>
      <c r="D1436" s="62" t="str">
        <f aca="false">IF(C1436="","",IFERROR(INDEX(T_NOMBRE,MATCH(V1436,T_RUTN,0)),"⚠ RUT no está en Trabajadores"))</f>
        <v/>
      </c>
      <c r="E1436" s="61"/>
      <c r="F1436" s="61"/>
      <c r="G1436" s="61"/>
      <c r="H1436" s="61"/>
      <c r="I1436" s="81"/>
      <c r="J1436" s="81"/>
      <c r="K1436" s="60"/>
      <c r="L1436" s="60"/>
      <c r="M1436" s="60"/>
      <c r="N1436" s="60"/>
      <c r="O1436" s="60"/>
      <c r="P1436" s="60"/>
      <c r="Q1436" s="60"/>
      <c r="R1436" s="58"/>
      <c r="S1436" s="62" t="str">
        <f aca="false">IF(OR(B1436="",V1436=""),"",IFERROR(INDEX(C_TIPO,MATCH(V1436&amp;"-P"&amp;MAX(1,COUNTIFS(C_RUTN,V1436,C_DEF,"Sí",C_INI,"&lt;="&amp;EOMONTH(B1436,0))),C_CLAVE,0))&amp;"","Sin contrato"))</f>
        <v/>
      </c>
      <c r="T1436" s="63" t="str">
        <f aca="false">IF(OR(B1436="",N(O1436)=0),"",N(O1436)+ROUND(MIN(N(N1436),TOPE_UF*UF_MES)*(TASA_EMP+MUTUAL),0)+ROUND(MIN(N(N1436),TOPE_AFC_UF*UF_MES)*IF(S1436="Indefinido",AFC_INDEF,AFC_PF),0))</f>
        <v/>
      </c>
      <c r="U1436" s="62" t="str">
        <f aca="false">IF(C1436="","",IF(LEFT(D1436,1)="⚠","⚠ RUT no registrado en Trabajadores",IF(B1436="","⚠ Falta el mes",IF(OR(ISTEXT(I1436),ISTEXT(J1436)),"⚠ Atrasos u horas extra como texto: escriba hh:mm (ej. 1:30)",IF(AND(ISNUMBER(Q1436),COUNTIFS(M_RUTN,V1436,M_MES,B1436,M_LIQ,"&lt;&gt;")&gt;1),"⚠ Liquidación repetida en el mes",IF(AND(ISNUMBER(O1436),ISNUMBER(P1436),ISNUMBER(Q1436),ABS(O1436-P1436-Q1436)&gt;1),"⚠ Haberes − descuentos no da el líquido","OK"))))))</f>
        <v/>
      </c>
      <c r="V1436" s="62" t="str">
        <f aca="false">IF(C1436="","",IFERROR(VALUE(LEFT(UPPER(SUBSTITUTE(SUBSTITUTE(SUBSTITUTE(TRIM(C1436),".",""),"-","")," ","")),LEN(UPPER(SUBSTITUTE(SUBSTITUTE(SUBSTITUTE(TRIM(C1436),".",""),"-","")," ","")))-1))&amp;RIGHT(UPPER(SUBSTITUTE(SUBSTITUTE(SUBSTITUTE(TRIM(C1436),".",""),"-","")," ","")),1),UPPER(SUBSTITUTE(SUBSTITUTE(SUBSTITUTE(TRIM(C1436),".",""),"-","")," ",""))))</f>
        <v/>
      </c>
    </row>
    <row r="1437" customFormat="false" ht="15" hidden="false" customHeight="false" outlineLevel="0" collapsed="false">
      <c r="B1437" s="80"/>
      <c r="C1437" s="58"/>
      <c r="D1437" s="62" t="str">
        <f aca="false">IF(C1437="","",IFERROR(INDEX(T_NOMBRE,MATCH(V1437,T_RUTN,0)),"⚠ RUT no está en Trabajadores"))</f>
        <v/>
      </c>
      <c r="E1437" s="61"/>
      <c r="F1437" s="61"/>
      <c r="G1437" s="61"/>
      <c r="H1437" s="61"/>
      <c r="I1437" s="81"/>
      <c r="J1437" s="81"/>
      <c r="K1437" s="60"/>
      <c r="L1437" s="60"/>
      <c r="M1437" s="60"/>
      <c r="N1437" s="60"/>
      <c r="O1437" s="60"/>
      <c r="P1437" s="60"/>
      <c r="Q1437" s="60"/>
      <c r="R1437" s="58"/>
      <c r="S1437" s="62" t="str">
        <f aca="false">IF(OR(B1437="",V1437=""),"",IFERROR(INDEX(C_TIPO,MATCH(V1437&amp;"-P"&amp;MAX(1,COUNTIFS(C_RUTN,V1437,C_DEF,"Sí",C_INI,"&lt;="&amp;EOMONTH(B1437,0))),C_CLAVE,0))&amp;"","Sin contrato"))</f>
        <v/>
      </c>
      <c r="T1437" s="63" t="str">
        <f aca="false">IF(OR(B1437="",N(O1437)=0),"",N(O1437)+ROUND(MIN(N(N1437),TOPE_UF*UF_MES)*(TASA_EMP+MUTUAL),0)+ROUND(MIN(N(N1437),TOPE_AFC_UF*UF_MES)*IF(S1437="Indefinido",AFC_INDEF,AFC_PF),0))</f>
        <v/>
      </c>
      <c r="U1437" s="62" t="str">
        <f aca="false">IF(C1437="","",IF(LEFT(D1437,1)="⚠","⚠ RUT no registrado en Trabajadores",IF(B1437="","⚠ Falta el mes",IF(OR(ISTEXT(I1437),ISTEXT(J1437)),"⚠ Atrasos u horas extra como texto: escriba hh:mm (ej. 1:30)",IF(AND(ISNUMBER(Q1437),COUNTIFS(M_RUTN,V1437,M_MES,B1437,M_LIQ,"&lt;&gt;")&gt;1),"⚠ Liquidación repetida en el mes",IF(AND(ISNUMBER(O1437),ISNUMBER(P1437),ISNUMBER(Q1437),ABS(O1437-P1437-Q1437)&gt;1),"⚠ Haberes − descuentos no da el líquido","OK"))))))</f>
        <v/>
      </c>
      <c r="V1437" s="62" t="str">
        <f aca="false">IF(C1437="","",IFERROR(VALUE(LEFT(UPPER(SUBSTITUTE(SUBSTITUTE(SUBSTITUTE(TRIM(C1437),".",""),"-","")," ","")),LEN(UPPER(SUBSTITUTE(SUBSTITUTE(SUBSTITUTE(TRIM(C1437),".",""),"-","")," ","")))-1))&amp;RIGHT(UPPER(SUBSTITUTE(SUBSTITUTE(SUBSTITUTE(TRIM(C1437),".",""),"-","")," ","")),1),UPPER(SUBSTITUTE(SUBSTITUTE(SUBSTITUTE(TRIM(C1437),".",""),"-","")," ",""))))</f>
        <v/>
      </c>
    </row>
    <row r="1438" customFormat="false" ht="15" hidden="false" customHeight="false" outlineLevel="0" collapsed="false">
      <c r="B1438" s="80"/>
      <c r="C1438" s="58"/>
      <c r="D1438" s="62" t="str">
        <f aca="false">IF(C1438="","",IFERROR(INDEX(T_NOMBRE,MATCH(V1438,T_RUTN,0)),"⚠ RUT no está en Trabajadores"))</f>
        <v/>
      </c>
      <c r="E1438" s="61"/>
      <c r="F1438" s="61"/>
      <c r="G1438" s="61"/>
      <c r="H1438" s="61"/>
      <c r="I1438" s="81"/>
      <c r="J1438" s="81"/>
      <c r="K1438" s="60"/>
      <c r="L1438" s="60"/>
      <c r="M1438" s="60"/>
      <c r="N1438" s="60"/>
      <c r="O1438" s="60"/>
      <c r="P1438" s="60"/>
      <c r="Q1438" s="60"/>
      <c r="R1438" s="58"/>
      <c r="S1438" s="62" t="str">
        <f aca="false">IF(OR(B1438="",V1438=""),"",IFERROR(INDEX(C_TIPO,MATCH(V1438&amp;"-P"&amp;MAX(1,COUNTIFS(C_RUTN,V1438,C_DEF,"Sí",C_INI,"&lt;="&amp;EOMONTH(B1438,0))),C_CLAVE,0))&amp;"","Sin contrato"))</f>
        <v/>
      </c>
      <c r="T1438" s="63" t="str">
        <f aca="false">IF(OR(B1438="",N(O1438)=0),"",N(O1438)+ROUND(MIN(N(N1438),TOPE_UF*UF_MES)*(TASA_EMP+MUTUAL),0)+ROUND(MIN(N(N1438),TOPE_AFC_UF*UF_MES)*IF(S1438="Indefinido",AFC_INDEF,AFC_PF),0))</f>
        <v/>
      </c>
      <c r="U1438" s="62" t="str">
        <f aca="false">IF(C1438="","",IF(LEFT(D1438,1)="⚠","⚠ RUT no registrado en Trabajadores",IF(B1438="","⚠ Falta el mes",IF(OR(ISTEXT(I1438),ISTEXT(J1438)),"⚠ Atrasos u horas extra como texto: escriba hh:mm (ej. 1:30)",IF(AND(ISNUMBER(Q1438),COUNTIFS(M_RUTN,V1438,M_MES,B1438,M_LIQ,"&lt;&gt;")&gt;1),"⚠ Liquidación repetida en el mes",IF(AND(ISNUMBER(O1438),ISNUMBER(P1438),ISNUMBER(Q1438),ABS(O1438-P1438-Q1438)&gt;1),"⚠ Haberes − descuentos no da el líquido","OK"))))))</f>
        <v/>
      </c>
      <c r="V1438" s="62" t="str">
        <f aca="false">IF(C1438="","",IFERROR(VALUE(LEFT(UPPER(SUBSTITUTE(SUBSTITUTE(SUBSTITUTE(TRIM(C1438),".",""),"-","")," ","")),LEN(UPPER(SUBSTITUTE(SUBSTITUTE(SUBSTITUTE(TRIM(C1438),".",""),"-","")," ","")))-1))&amp;RIGHT(UPPER(SUBSTITUTE(SUBSTITUTE(SUBSTITUTE(TRIM(C1438),".",""),"-","")," ","")),1),UPPER(SUBSTITUTE(SUBSTITUTE(SUBSTITUTE(TRIM(C1438),".",""),"-","")," ",""))))</f>
        <v/>
      </c>
    </row>
    <row r="1439" customFormat="false" ht="15" hidden="false" customHeight="false" outlineLevel="0" collapsed="false">
      <c r="B1439" s="80"/>
      <c r="C1439" s="58"/>
      <c r="D1439" s="62" t="str">
        <f aca="false">IF(C1439="","",IFERROR(INDEX(T_NOMBRE,MATCH(V1439,T_RUTN,0)),"⚠ RUT no está en Trabajadores"))</f>
        <v/>
      </c>
      <c r="E1439" s="61"/>
      <c r="F1439" s="61"/>
      <c r="G1439" s="61"/>
      <c r="H1439" s="61"/>
      <c r="I1439" s="81"/>
      <c r="J1439" s="81"/>
      <c r="K1439" s="60"/>
      <c r="L1439" s="60"/>
      <c r="M1439" s="60"/>
      <c r="N1439" s="60"/>
      <c r="O1439" s="60"/>
      <c r="P1439" s="60"/>
      <c r="Q1439" s="60"/>
      <c r="R1439" s="58"/>
      <c r="S1439" s="62" t="str">
        <f aca="false">IF(OR(B1439="",V1439=""),"",IFERROR(INDEX(C_TIPO,MATCH(V1439&amp;"-P"&amp;MAX(1,COUNTIFS(C_RUTN,V1439,C_DEF,"Sí",C_INI,"&lt;="&amp;EOMONTH(B1439,0))),C_CLAVE,0))&amp;"","Sin contrato"))</f>
        <v/>
      </c>
      <c r="T1439" s="63" t="str">
        <f aca="false">IF(OR(B1439="",N(O1439)=0),"",N(O1439)+ROUND(MIN(N(N1439),TOPE_UF*UF_MES)*(TASA_EMP+MUTUAL),0)+ROUND(MIN(N(N1439),TOPE_AFC_UF*UF_MES)*IF(S1439="Indefinido",AFC_INDEF,AFC_PF),0))</f>
        <v/>
      </c>
      <c r="U1439" s="62" t="str">
        <f aca="false">IF(C1439="","",IF(LEFT(D1439,1)="⚠","⚠ RUT no registrado en Trabajadores",IF(B1439="","⚠ Falta el mes",IF(OR(ISTEXT(I1439),ISTEXT(J1439)),"⚠ Atrasos u horas extra como texto: escriba hh:mm (ej. 1:30)",IF(AND(ISNUMBER(Q1439),COUNTIFS(M_RUTN,V1439,M_MES,B1439,M_LIQ,"&lt;&gt;")&gt;1),"⚠ Liquidación repetida en el mes",IF(AND(ISNUMBER(O1439),ISNUMBER(P1439),ISNUMBER(Q1439),ABS(O1439-P1439-Q1439)&gt;1),"⚠ Haberes − descuentos no da el líquido","OK"))))))</f>
        <v/>
      </c>
      <c r="V1439" s="62" t="str">
        <f aca="false">IF(C1439="","",IFERROR(VALUE(LEFT(UPPER(SUBSTITUTE(SUBSTITUTE(SUBSTITUTE(TRIM(C1439),".",""),"-","")," ","")),LEN(UPPER(SUBSTITUTE(SUBSTITUTE(SUBSTITUTE(TRIM(C1439),".",""),"-","")," ","")))-1))&amp;RIGHT(UPPER(SUBSTITUTE(SUBSTITUTE(SUBSTITUTE(TRIM(C1439),".",""),"-","")," ","")),1),UPPER(SUBSTITUTE(SUBSTITUTE(SUBSTITUTE(TRIM(C1439),".",""),"-","")," ",""))))</f>
        <v/>
      </c>
    </row>
    <row r="1440" customFormat="false" ht="15" hidden="false" customHeight="false" outlineLevel="0" collapsed="false">
      <c r="B1440" s="80"/>
      <c r="C1440" s="58"/>
      <c r="D1440" s="62" t="str">
        <f aca="false">IF(C1440="","",IFERROR(INDEX(T_NOMBRE,MATCH(V1440,T_RUTN,0)),"⚠ RUT no está en Trabajadores"))</f>
        <v/>
      </c>
      <c r="E1440" s="61"/>
      <c r="F1440" s="61"/>
      <c r="G1440" s="61"/>
      <c r="H1440" s="61"/>
      <c r="I1440" s="81"/>
      <c r="J1440" s="81"/>
      <c r="K1440" s="60"/>
      <c r="L1440" s="60"/>
      <c r="M1440" s="60"/>
      <c r="N1440" s="60"/>
      <c r="O1440" s="60"/>
      <c r="P1440" s="60"/>
      <c r="Q1440" s="60"/>
      <c r="R1440" s="58"/>
      <c r="S1440" s="62" t="str">
        <f aca="false">IF(OR(B1440="",V1440=""),"",IFERROR(INDEX(C_TIPO,MATCH(V1440&amp;"-P"&amp;MAX(1,COUNTIFS(C_RUTN,V1440,C_DEF,"Sí",C_INI,"&lt;="&amp;EOMONTH(B1440,0))),C_CLAVE,0))&amp;"","Sin contrato"))</f>
        <v/>
      </c>
      <c r="T1440" s="63" t="str">
        <f aca="false">IF(OR(B1440="",N(O1440)=0),"",N(O1440)+ROUND(MIN(N(N1440),TOPE_UF*UF_MES)*(TASA_EMP+MUTUAL),0)+ROUND(MIN(N(N1440),TOPE_AFC_UF*UF_MES)*IF(S1440="Indefinido",AFC_INDEF,AFC_PF),0))</f>
        <v/>
      </c>
      <c r="U1440" s="62" t="str">
        <f aca="false">IF(C1440="","",IF(LEFT(D1440,1)="⚠","⚠ RUT no registrado en Trabajadores",IF(B1440="","⚠ Falta el mes",IF(OR(ISTEXT(I1440),ISTEXT(J1440)),"⚠ Atrasos u horas extra como texto: escriba hh:mm (ej. 1:30)",IF(AND(ISNUMBER(Q1440),COUNTIFS(M_RUTN,V1440,M_MES,B1440,M_LIQ,"&lt;&gt;")&gt;1),"⚠ Liquidación repetida en el mes",IF(AND(ISNUMBER(O1440),ISNUMBER(P1440),ISNUMBER(Q1440),ABS(O1440-P1440-Q1440)&gt;1),"⚠ Haberes − descuentos no da el líquido","OK"))))))</f>
        <v/>
      </c>
      <c r="V1440" s="62" t="str">
        <f aca="false">IF(C1440="","",IFERROR(VALUE(LEFT(UPPER(SUBSTITUTE(SUBSTITUTE(SUBSTITUTE(TRIM(C1440),".",""),"-","")," ","")),LEN(UPPER(SUBSTITUTE(SUBSTITUTE(SUBSTITUTE(TRIM(C1440),".",""),"-","")," ","")))-1))&amp;RIGHT(UPPER(SUBSTITUTE(SUBSTITUTE(SUBSTITUTE(TRIM(C1440),".",""),"-","")," ","")),1),UPPER(SUBSTITUTE(SUBSTITUTE(SUBSTITUTE(TRIM(C1440),".",""),"-","")," ",""))))</f>
        <v/>
      </c>
    </row>
    <row r="1441" customFormat="false" ht="15" hidden="false" customHeight="false" outlineLevel="0" collapsed="false">
      <c r="B1441" s="80"/>
      <c r="C1441" s="58"/>
      <c r="D1441" s="62" t="str">
        <f aca="false">IF(C1441="","",IFERROR(INDEX(T_NOMBRE,MATCH(V1441,T_RUTN,0)),"⚠ RUT no está en Trabajadores"))</f>
        <v/>
      </c>
      <c r="E1441" s="61"/>
      <c r="F1441" s="61"/>
      <c r="G1441" s="61"/>
      <c r="H1441" s="61"/>
      <c r="I1441" s="81"/>
      <c r="J1441" s="81"/>
      <c r="K1441" s="60"/>
      <c r="L1441" s="60"/>
      <c r="M1441" s="60"/>
      <c r="N1441" s="60"/>
      <c r="O1441" s="60"/>
      <c r="P1441" s="60"/>
      <c r="Q1441" s="60"/>
      <c r="R1441" s="58"/>
      <c r="S1441" s="62" t="str">
        <f aca="false">IF(OR(B1441="",V1441=""),"",IFERROR(INDEX(C_TIPO,MATCH(V1441&amp;"-P"&amp;MAX(1,COUNTIFS(C_RUTN,V1441,C_DEF,"Sí",C_INI,"&lt;="&amp;EOMONTH(B1441,0))),C_CLAVE,0))&amp;"","Sin contrato"))</f>
        <v/>
      </c>
      <c r="T1441" s="63" t="str">
        <f aca="false">IF(OR(B1441="",N(O1441)=0),"",N(O1441)+ROUND(MIN(N(N1441),TOPE_UF*UF_MES)*(TASA_EMP+MUTUAL),0)+ROUND(MIN(N(N1441),TOPE_AFC_UF*UF_MES)*IF(S1441="Indefinido",AFC_INDEF,AFC_PF),0))</f>
        <v/>
      </c>
      <c r="U1441" s="62" t="str">
        <f aca="false">IF(C1441="","",IF(LEFT(D1441,1)="⚠","⚠ RUT no registrado en Trabajadores",IF(B1441="","⚠ Falta el mes",IF(OR(ISTEXT(I1441),ISTEXT(J1441)),"⚠ Atrasos u horas extra como texto: escriba hh:mm (ej. 1:30)",IF(AND(ISNUMBER(Q1441),COUNTIFS(M_RUTN,V1441,M_MES,B1441,M_LIQ,"&lt;&gt;")&gt;1),"⚠ Liquidación repetida en el mes",IF(AND(ISNUMBER(O1441),ISNUMBER(P1441),ISNUMBER(Q1441),ABS(O1441-P1441-Q1441)&gt;1),"⚠ Haberes − descuentos no da el líquido","OK"))))))</f>
        <v/>
      </c>
      <c r="V1441" s="62" t="str">
        <f aca="false">IF(C1441="","",IFERROR(VALUE(LEFT(UPPER(SUBSTITUTE(SUBSTITUTE(SUBSTITUTE(TRIM(C1441),".",""),"-","")," ","")),LEN(UPPER(SUBSTITUTE(SUBSTITUTE(SUBSTITUTE(TRIM(C1441),".",""),"-","")," ","")))-1))&amp;RIGHT(UPPER(SUBSTITUTE(SUBSTITUTE(SUBSTITUTE(TRIM(C1441),".",""),"-","")," ","")),1),UPPER(SUBSTITUTE(SUBSTITUTE(SUBSTITUTE(TRIM(C1441),".",""),"-","")," ",""))))</f>
        <v/>
      </c>
    </row>
    <row r="1442" customFormat="false" ht="15" hidden="false" customHeight="false" outlineLevel="0" collapsed="false">
      <c r="B1442" s="80"/>
      <c r="C1442" s="58"/>
      <c r="D1442" s="62" t="str">
        <f aca="false">IF(C1442="","",IFERROR(INDEX(T_NOMBRE,MATCH(V1442,T_RUTN,0)),"⚠ RUT no está en Trabajadores"))</f>
        <v/>
      </c>
      <c r="E1442" s="61"/>
      <c r="F1442" s="61"/>
      <c r="G1442" s="61"/>
      <c r="H1442" s="61"/>
      <c r="I1442" s="81"/>
      <c r="J1442" s="81"/>
      <c r="K1442" s="60"/>
      <c r="L1442" s="60"/>
      <c r="M1442" s="60"/>
      <c r="N1442" s="60"/>
      <c r="O1442" s="60"/>
      <c r="P1442" s="60"/>
      <c r="Q1442" s="60"/>
      <c r="R1442" s="58"/>
      <c r="S1442" s="62" t="str">
        <f aca="false">IF(OR(B1442="",V1442=""),"",IFERROR(INDEX(C_TIPO,MATCH(V1442&amp;"-P"&amp;MAX(1,COUNTIFS(C_RUTN,V1442,C_DEF,"Sí",C_INI,"&lt;="&amp;EOMONTH(B1442,0))),C_CLAVE,0))&amp;"","Sin contrato"))</f>
        <v/>
      </c>
      <c r="T1442" s="63" t="str">
        <f aca="false">IF(OR(B1442="",N(O1442)=0),"",N(O1442)+ROUND(MIN(N(N1442),TOPE_UF*UF_MES)*(TASA_EMP+MUTUAL),0)+ROUND(MIN(N(N1442),TOPE_AFC_UF*UF_MES)*IF(S1442="Indefinido",AFC_INDEF,AFC_PF),0))</f>
        <v/>
      </c>
      <c r="U1442" s="62" t="str">
        <f aca="false">IF(C1442="","",IF(LEFT(D1442,1)="⚠","⚠ RUT no registrado en Trabajadores",IF(B1442="","⚠ Falta el mes",IF(OR(ISTEXT(I1442),ISTEXT(J1442)),"⚠ Atrasos u horas extra como texto: escriba hh:mm (ej. 1:30)",IF(AND(ISNUMBER(Q1442),COUNTIFS(M_RUTN,V1442,M_MES,B1442,M_LIQ,"&lt;&gt;")&gt;1),"⚠ Liquidación repetida en el mes",IF(AND(ISNUMBER(O1442),ISNUMBER(P1442),ISNUMBER(Q1442),ABS(O1442-P1442-Q1442)&gt;1),"⚠ Haberes − descuentos no da el líquido","OK"))))))</f>
        <v/>
      </c>
      <c r="V1442" s="62" t="str">
        <f aca="false">IF(C1442="","",IFERROR(VALUE(LEFT(UPPER(SUBSTITUTE(SUBSTITUTE(SUBSTITUTE(TRIM(C1442),".",""),"-","")," ","")),LEN(UPPER(SUBSTITUTE(SUBSTITUTE(SUBSTITUTE(TRIM(C1442),".",""),"-","")," ","")))-1))&amp;RIGHT(UPPER(SUBSTITUTE(SUBSTITUTE(SUBSTITUTE(TRIM(C1442),".",""),"-","")," ","")),1),UPPER(SUBSTITUTE(SUBSTITUTE(SUBSTITUTE(TRIM(C1442),".",""),"-","")," ",""))))</f>
        <v/>
      </c>
    </row>
    <row r="1443" customFormat="false" ht="15" hidden="false" customHeight="false" outlineLevel="0" collapsed="false">
      <c r="B1443" s="80"/>
      <c r="C1443" s="58"/>
      <c r="D1443" s="62" t="str">
        <f aca="false">IF(C1443="","",IFERROR(INDEX(T_NOMBRE,MATCH(V1443,T_RUTN,0)),"⚠ RUT no está en Trabajadores"))</f>
        <v/>
      </c>
      <c r="E1443" s="61"/>
      <c r="F1443" s="61"/>
      <c r="G1443" s="61"/>
      <c r="H1443" s="61"/>
      <c r="I1443" s="81"/>
      <c r="J1443" s="81"/>
      <c r="K1443" s="60"/>
      <c r="L1443" s="60"/>
      <c r="M1443" s="60"/>
      <c r="N1443" s="60"/>
      <c r="O1443" s="60"/>
      <c r="P1443" s="60"/>
      <c r="Q1443" s="60"/>
      <c r="R1443" s="58"/>
      <c r="S1443" s="62" t="str">
        <f aca="false">IF(OR(B1443="",V1443=""),"",IFERROR(INDEX(C_TIPO,MATCH(V1443&amp;"-P"&amp;MAX(1,COUNTIFS(C_RUTN,V1443,C_DEF,"Sí",C_INI,"&lt;="&amp;EOMONTH(B1443,0))),C_CLAVE,0))&amp;"","Sin contrato"))</f>
        <v/>
      </c>
      <c r="T1443" s="63" t="str">
        <f aca="false">IF(OR(B1443="",N(O1443)=0),"",N(O1443)+ROUND(MIN(N(N1443),TOPE_UF*UF_MES)*(TASA_EMP+MUTUAL),0)+ROUND(MIN(N(N1443),TOPE_AFC_UF*UF_MES)*IF(S1443="Indefinido",AFC_INDEF,AFC_PF),0))</f>
        <v/>
      </c>
      <c r="U1443" s="62" t="str">
        <f aca="false">IF(C1443="","",IF(LEFT(D1443,1)="⚠","⚠ RUT no registrado en Trabajadores",IF(B1443="","⚠ Falta el mes",IF(OR(ISTEXT(I1443),ISTEXT(J1443)),"⚠ Atrasos u horas extra como texto: escriba hh:mm (ej. 1:30)",IF(AND(ISNUMBER(Q1443),COUNTIFS(M_RUTN,V1443,M_MES,B1443,M_LIQ,"&lt;&gt;")&gt;1),"⚠ Liquidación repetida en el mes",IF(AND(ISNUMBER(O1443),ISNUMBER(P1443),ISNUMBER(Q1443),ABS(O1443-P1443-Q1443)&gt;1),"⚠ Haberes − descuentos no da el líquido","OK"))))))</f>
        <v/>
      </c>
      <c r="V1443" s="62" t="str">
        <f aca="false">IF(C1443="","",IFERROR(VALUE(LEFT(UPPER(SUBSTITUTE(SUBSTITUTE(SUBSTITUTE(TRIM(C1443),".",""),"-","")," ","")),LEN(UPPER(SUBSTITUTE(SUBSTITUTE(SUBSTITUTE(TRIM(C1443),".",""),"-","")," ","")))-1))&amp;RIGHT(UPPER(SUBSTITUTE(SUBSTITUTE(SUBSTITUTE(TRIM(C1443),".",""),"-","")," ","")),1),UPPER(SUBSTITUTE(SUBSTITUTE(SUBSTITUTE(TRIM(C1443),".",""),"-","")," ",""))))</f>
        <v/>
      </c>
    </row>
    <row r="1444" customFormat="false" ht="15" hidden="false" customHeight="false" outlineLevel="0" collapsed="false">
      <c r="B1444" s="80"/>
      <c r="C1444" s="58"/>
      <c r="D1444" s="62" t="str">
        <f aca="false">IF(C1444="","",IFERROR(INDEX(T_NOMBRE,MATCH(V1444,T_RUTN,0)),"⚠ RUT no está en Trabajadores"))</f>
        <v/>
      </c>
      <c r="E1444" s="61"/>
      <c r="F1444" s="61"/>
      <c r="G1444" s="61"/>
      <c r="H1444" s="61"/>
      <c r="I1444" s="81"/>
      <c r="J1444" s="81"/>
      <c r="K1444" s="60"/>
      <c r="L1444" s="60"/>
      <c r="M1444" s="60"/>
      <c r="N1444" s="60"/>
      <c r="O1444" s="60"/>
      <c r="P1444" s="60"/>
      <c r="Q1444" s="60"/>
      <c r="R1444" s="58"/>
      <c r="S1444" s="62" t="str">
        <f aca="false">IF(OR(B1444="",V1444=""),"",IFERROR(INDEX(C_TIPO,MATCH(V1444&amp;"-P"&amp;MAX(1,COUNTIFS(C_RUTN,V1444,C_DEF,"Sí",C_INI,"&lt;="&amp;EOMONTH(B1444,0))),C_CLAVE,0))&amp;"","Sin contrato"))</f>
        <v/>
      </c>
      <c r="T1444" s="63" t="str">
        <f aca="false">IF(OR(B1444="",N(O1444)=0),"",N(O1444)+ROUND(MIN(N(N1444),TOPE_UF*UF_MES)*(TASA_EMP+MUTUAL),0)+ROUND(MIN(N(N1444),TOPE_AFC_UF*UF_MES)*IF(S1444="Indefinido",AFC_INDEF,AFC_PF),0))</f>
        <v/>
      </c>
      <c r="U1444" s="62" t="str">
        <f aca="false">IF(C1444="","",IF(LEFT(D1444,1)="⚠","⚠ RUT no registrado en Trabajadores",IF(B1444="","⚠ Falta el mes",IF(OR(ISTEXT(I1444),ISTEXT(J1444)),"⚠ Atrasos u horas extra como texto: escriba hh:mm (ej. 1:30)",IF(AND(ISNUMBER(Q1444),COUNTIFS(M_RUTN,V1444,M_MES,B1444,M_LIQ,"&lt;&gt;")&gt;1),"⚠ Liquidación repetida en el mes",IF(AND(ISNUMBER(O1444),ISNUMBER(P1444),ISNUMBER(Q1444),ABS(O1444-P1444-Q1444)&gt;1),"⚠ Haberes − descuentos no da el líquido","OK"))))))</f>
        <v/>
      </c>
      <c r="V1444" s="62" t="str">
        <f aca="false">IF(C1444="","",IFERROR(VALUE(LEFT(UPPER(SUBSTITUTE(SUBSTITUTE(SUBSTITUTE(TRIM(C1444),".",""),"-","")," ","")),LEN(UPPER(SUBSTITUTE(SUBSTITUTE(SUBSTITUTE(TRIM(C1444),".",""),"-","")," ","")))-1))&amp;RIGHT(UPPER(SUBSTITUTE(SUBSTITUTE(SUBSTITUTE(TRIM(C1444),".",""),"-","")," ","")),1),UPPER(SUBSTITUTE(SUBSTITUTE(SUBSTITUTE(TRIM(C1444),".",""),"-","")," ",""))))</f>
        <v/>
      </c>
    </row>
    <row r="1445" customFormat="false" ht="15" hidden="false" customHeight="false" outlineLevel="0" collapsed="false">
      <c r="B1445" s="80"/>
      <c r="C1445" s="58"/>
      <c r="D1445" s="62" t="str">
        <f aca="false">IF(C1445="","",IFERROR(INDEX(T_NOMBRE,MATCH(V1445,T_RUTN,0)),"⚠ RUT no está en Trabajadores"))</f>
        <v/>
      </c>
      <c r="E1445" s="61"/>
      <c r="F1445" s="61"/>
      <c r="G1445" s="61"/>
      <c r="H1445" s="61"/>
      <c r="I1445" s="81"/>
      <c r="J1445" s="81"/>
      <c r="K1445" s="60"/>
      <c r="L1445" s="60"/>
      <c r="M1445" s="60"/>
      <c r="N1445" s="60"/>
      <c r="O1445" s="60"/>
      <c r="P1445" s="60"/>
      <c r="Q1445" s="60"/>
      <c r="R1445" s="58"/>
      <c r="S1445" s="62" t="str">
        <f aca="false">IF(OR(B1445="",V1445=""),"",IFERROR(INDEX(C_TIPO,MATCH(V1445&amp;"-P"&amp;MAX(1,COUNTIFS(C_RUTN,V1445,C_DEF,"Sí",C_INI,"&lt;="&amp;EOMONTH(B1445,0))),C_CLAVE,0))&amp;"","Sin contrato"))</f>
        <v/>
      </c>
      <c r="T1445" s="63" t="str">
        <f aca="false">IF(OR(B1445="",N(O1445)=0),"",N(O1445)+ROUND(MIN(N(N1445),TOPE_UF*UF_MES)*(TASA_EMP+MUTUAL),0)+ROUND(MIN(N(N1445),TOPE_AFC_UF*UF_MES)*IF(S1445="Indefinido",AFC_INDEF,AFC_PF),0))</f>
        <v/>
      </c>
      <c r="U1445" s="62" t="str">
        <f aca="false">IF(C1445="","",IF(LEFT(D1445,1)="⚠","⚠ RUT no registrado en Trabajadores",IF(B1445="","⚠ Falta el mes",IF(OR(ISTEXT(I1445),ISTEXT(J1445)),"⚠ Atrasos u horas extra como texto: escriba hh:mm (ej. 1:30)",IF(AND(ISNUMBER(Q1445),COUNTIFS(M_RUTN,V1445,M_MES,B1445,M_LIQ,"&lt;&gt;")&gt;1),"⚠ Liquidación repetida en el mes",IF(AND(ISNUMBER(O1445),ISNUMBER(P1445),ISNUMBER(Q1445),ABS(O1445-P1445-Q1445)&gt;1),"⚠ Haberes − descuentos no da el líquido","OK"))))))</f>
        <v/>
      </c>
      <c r="V1445" s="62" t="str">
        <f aca="false">IF(C1445="","",IFERROR(VALUE(LEFT(UPPER(SUBSTITUTE(SUBSTITUTE(SUBSTITUTE(TRIM(C1445),".",""),"-","")," ","")),LEN(UPPER(SUBSTITUTE(SUBSTITUTE(SUBSTITUTE(TRIM(C1445),".",""),"-","")," ","")))-1))&amp;RIGHT(UPPER(SUBSTITUTE(SUBSTITUTE(SUBSTITUTE(TRIM(C1445),".",""),"-","")," ","")),1),UPPER(SUBSTITUTE(SUBSTITUTE(SUBSTITUTE(TRIM(C1445),".",""),"-","")," ",""))))</f>
        <v/>
      </c>
    </row>
    <row r="1446" customFormat="false" ht="15" hidden="false" customHeight="false" outlineLevel="0" collapsed="false">
      <c r="B1446" s="80"/>
      <c r="C1446" s="58"/>
      <c r="D1446" s="62" t="str">
        <f aca="false">IF(C1446="","",IFERROR(INDEX(T_NOMBRE,MATCH(V1446,T_RUTN,0)),"⚠ RUT no está en Trabajadores"))</f>
        <v/>
      </c>
      <c r="E1446" s="61"/>
      <c r="F1446" s="61"/>
      <c r="G1446" s="61"/>
      <c r="H1446" s="61"/>
      <c r="I1446" s="81"/>
      <c r="J1446" s="81"/>
      <c r="K1446" s="60"/>
      <c r="L1446" s="60"/>
      <c r="M1446" s="60"/>
      <c r="N1446" s="60"/>
      <c r="O1446" s="60"/>
      <c r="P1446" s="60"/>
      <c r="Q1446" s="60"/>
      <c r="R1446" s="58"/>
      <c r="S1446" s="62" t="str">
        <f aca="false">IF(OR(B1446="",V1446=""),"",IFERROR(INDEX(C_TIPO,MATCH(V1446&amp;"-P"&amp;MAX(1,COUNTIFS(C_RUTN,V1446,C_DEF,"Sí",C_INI,"&lt;="&amp;EOMONTH(B1446,0))),C_CLAVE,0))&amp;"","Sin contrato"))</f>
        <v/>
      </c>
      <c r="T1446" s="63" t="str">
        <f aca="false">IF(OR(B1446="",N(O1446)=0),"",N(O1446)+ROUND(MIN(N(N1446),TOPE_UF*UF_MES)*(TASA_EMP+MUTUAL),0)+ROUND(MIN(N(N1446),TOPE_AFC_UF*UF_MES)*IF(S1446="Indefinido",AFC_INDEF,AFC_PF),0))</f>
        <v/>
      </c>
      <c r="U1446" s="62" t="str">
        <f aca="false">IF(C1446="","",IF(LEFT(D1446,1)="⚠","⚠ RUT no registrado en Trabajadores",IF(B1446="","⚠ Falta el mes",IF(OR(ISTEXT(I1446),ISTEXT(J1446)),"⚠ Atrasos u horas extra como texto: escriba hh:mm (ej. 1:30)",IF(AND(ISNUMBER(Q1446),COUNTIFS(M_RUTN,V1446,M_MES,B1446,M_LIQ,"&lt;&gt;")&gt;1),"⚠ Liquidación repetida en el mes",IF(AND(ISNUMBER(O1446),ISNUMBER(P1446),ISNUMBER(Q1446),ABS(O1446-P1446-Q1446)&gt;1),"⚠ Haberes − descuentos no da el líquido","OK"))))))</f>
        <v/>
      </c>
      <c r="V1446" s="62" t="str">
        <f aca="false">IF(C1446="","",IFERROR(VALUE(LEFT(UPPER(SUBSTITUTE(SUBSTITUTE(SUBSTITUTE(TRIM(C1446),".",""),"-","")," ","")),LEN(UPPER(SUBSTITUTE(SUBSTITUTE(SUBSTITUTE(TRIM(C1446),".",""),"-","")," ","")))-1))&amp;RIGHT(UPPER(SUBSTITUTE(SUBSTITUTE(SUBSTITUTE(TRIM(C1446),".",""),"-","")," ","")),1),UPPER(SUBSTITUTE(SUBSTITUTE(SUBSTITUTE(TRIM(C1446),".",""),"-","")," ",""))))</f>
        <v/>
      </c>
    </row>
    <row r="1447" customFormat="false" ht="15" hidden="false" customHeight="false" outlineLevel="0" collapsed="false">
      <c r="B1447" s="80"/>
      <c r="C1447" s="58"/>
      <c r="D1447" s="62" t="str">
        <f aca="false">IF(C1447="","",IFERROR(INDEX(T_NOMBRE,MATCH(V1447,T_RUTN,0)),"⚠ RUT no está en Trabajadores"))</f>
        <v/>
      </c>
      <c r="E1447" s="61"/>
      <c r="F1447" s="61"/>
      <c r="G1447" s="61"/>
      <c r="H1447" s="61"/>
      <c r="I1447" s="81"/>
      <c r="J1447" s="81"/>
      <c r="K1447" s="60"/>
      <c r="L1447" s="60"/>
      <c r="M1447" s="60"/>
      <c r="N1447" s="60"/>
      <c r="O1447" s="60"/>
      <c r="P1447" s="60"/>
      <c r="Q1447" s="60"/>
      <c r="R1447" s="58"/>
      <c r="S1447" s="62" t="str">
        <f aca="false">IF(OR(B1447="",V1447=""),"",IFERROR(INDEX(C_TIPO,MATCH(V1447&amp;"-P"&amp;MAX(1,COUNTIFS(C_RUTN,V1447,C_DEF,"Sí",C_INI,"&lt;="&amp;EOMONTH(B1447,0))),C_CLAVE,0))&amp;"","Sin contrato"))</f>
        <v/>
      </c>
      <c r="T1447" s="63" t="str">
        <f aca="false">IF(OR(B1447="",N(O1447)=0),"",N(O1447)+ROUND(MIN(N(N1447),TOPE_UF*UF_MES)*(TASA_EMP+MUTUAL),0)+ROUND(MIN(N(N1447),TOPE_AFC_UF*UF_MES)*IF(S1447="Indefinido",AFC_INDEF,AFC_PF),0))</f>
        <v/>
      </c>
      <c r="U1447" s="62" t="str">
        <f aca="false">IF(C1447="","",IF(LEFT(D1447,1)="⚠","⚠ RUT no registrado en Trabajadores",IF(B1447="","⚠ Falta el mes",IF(OR(ISTEXT(I1447),ISTEXT(J1447)),"⚠ Atrasos u horas extra como texto: escriba hh:mm (ej. 1:30)",IF(AND(ISNUMBER(Q1447),COUNTIFS(M_RUTN,V1447,M_MES,B1447,M_LIQ,"&lt;&gt;")&gt;1),"⚠ Liquidación repetida en el mes",IF(AND(ISNUMBER(O1447),ISNUMBER(P1447),ISNUMBER(Q1447),ABS(O1447-P1447-Q1447)&gt;1),"⚠ Haberes − descuentos no da el líquido","OK"))))))</f>
        <v/>
      </c>
      <c r="V1447" s="62" t="str">
        <f aca="false">IF(C1447="","",IFERROR(VALUE(LEFT(UPPER(SUBSTITUTE(SUBSTITUTE(SUBSTITUTE(TRIM(C1447),".",""),"-","")," ","")),LEN(UPPER(SUBSTITUTE(SUBSTITUTE(SUBSTITUTE(TRIM(C1447),".",""),"-","")," ","")))-1))&amp;RIGHT(UPPER(SUBSTITUTE(SUBSTITUTE(SUBSTITUTE(TRIM(C1447),".",""),"-","")," ","")),1),UPPER(SUBSTITUTE(SUBSTITUTE(SUBSTITUTE(TRIM(C1447),".",""),"-","")," ",""))))</f>
        <v/>
      </c>
    </row>
    <row r="1448" customFormat="false" ht="15" hidden="false" customHeight="false" outlineLevel="0" collapsed="false">
      <c r="B1448" s="80"/>
      <c r="C1448" s="58"/>
      <c r="D1448" s="62" t="str">
        <f aca="false">IF(C1448="","",IFERROR(INDEX(T_NOMBRE,MATCH(V1448,T_RUTN,0)),"⚠ RUT no está en Trabajadores"))</f>
        <v/>
      </c>
      <c r="E1448" s="61"/>
      <c r="F1448" s="61"/>
      <c r="G1448" s="61"/>
      <c r="H1448" s="61"/>
      <c r="I1448" s="81"/>
      <c r="J1448" s="81"/>
      <c r="K1448" s="60"/>
      <c r="L1448" s="60"/>
      <c r="M1448" s="60"/>
      <c r="N1448" s="60"/>
      <c r="O1448" s="60"/>
      <c r="P1448" s="60"/>
      <c r="Q1448" s="60"/>
      <c r="R1448" s="58"/>
      <c r="S1448" s="62" t="str">
        <f aca="false">IF(OR(B1448="",V1448=""),"",IFERROR(INDEX(C_TIPO,MATCH(V1448&amp;"-P"&amp;MAX(1,COUNTIFS(C_RUTN,V1448,C_DEF,"Sí",C_INI,"&lt;="&amp;EOMONTH(B1448,0))),C_CLAVE,0))&amp;"","Sin contrato"))</f>
        <v/>
      </c>
      <c r="T1448" s="63" t="str">
        <f aca="false">IF(OR(B1448="",N(O1448)=0),"",N(O1448)+ROUND(MIN(N(N1448),TOPE_UF*UF_MES)*(TASA_EMP+MUTUAL),0)+ROUND(MIN(N(N1448),TOPE_AFC_UF*UF_MES)*IF(S1448="Indefinido",AFC_INDEF,AFC_PF),0))</f>
        <v/>
      </c>
      <c r="U1448" s="62" t="str">
        <f aca="false">IF(C1448="","",IF(LEFT(D1448,1)="⚠","⚠ RUT no registrado en Trabajadores",IF(B1448="","⚠ Falta el mes",IF(OR(ISTEXT(I1448),ISTEXT(J1448)),"⚠ Atrasos u horas extra como texto: escriba hh:mm (ej. 1:30)",IF(AND(ISNUMBER(Q1448),COUNTIFS(M_RUTN,V1448,M_MES,B1448,M_LIQ,"&lt;&gt;")&gt;1),"⚠ Liquidación repetida en el mes",IF(AND(ISNUMBER(O1448),ISNUMBER(P1448),ISNUMBER(Q1448),ABS(O1448-P1448-Q1448)&gt;1),"⚠ Haberes − descuentos no da el líquido","OK"))))))</f>
        <v/>
      </c>
      <c r="V1448" s="62" t="str">
        <f aca="false">IF(C1448="","",IFERROR(VALUE(LEFT(UPPER(SUBSTITUTE(SUBSTITUTE(SUBSTITUTE(TRIM(C1448),".",""),"-","")," ","")),LEN(UPPER(SUBSTITUTE(SUBSTITUTE(SUBSTITUTE(TRIM(C1448),".",""),"-","")," ","")))-1))&amp;RIGHT(UPPER(SUBSTITUTE(SUBSTITUTE(SUBSTITUTE(TRIM(C1448),".",""),"-","")," ","")),1),UPPER(SUBSTITUTE(SUBSTITUTE(SUBSTITUTE(TRIM(C1448),".",""),"-","")," ",""))))</f>
        <v/>
      </c>
    </row>
    <row r="1449" customFormat="false" ht="15" hidden="false" customHeight="false" outlineLevel="0" collapsed="false">
      <c r="B1449" s="80"/>
      <c r="C1449" s="58"/>
      <c r="D1449" s="62" t="str">
        <f aca="false">IF(C1449="","",IFERROR(INDEX(T_NOMBRE,MATCH(V1449,T_RUTN,0)),"⚠ RUT no está en Trabajadores"))</f>
        <v/>
      </c>
      <c r="E1449" s="61"/>
      <c r="F1449" s="61"/>
      <c r="G1449" s="61"/>
      <c r="H1449" s="61"/>
      <c r="I1449" s="81"/>
      <c r="J1449" s="81"/>
      <c r="K1449" s="60"/>
      <c r="L1449" s="60"/>
      <c r="M1449" s="60"/>
      <c r="N1449" s="60"/>
      <c r="O1449" s="60"/>
      <c r="P1449" s="60"/>
      <c r="Q1449" s="60"/>
      <c r="R1449" s="58"/>
      <c r="S1449" s="62" t="str">
        <f aca="false">IF(OR(B1449="",V1449=""),"",IFERROR(INDEX(C_TIPO,MATCH(V1449&amp;"-P"&amp;MAX(1,COUNTIFS(C_RUTN,V1449,C_DEF,"Sí",C_INI,"&lt;="&amp;EOMONTH(B1449,0))),C_CLAVE,0))&amp;"","Sin contrato"))</f>
        <v/>
      </c>
      <c r="T1449" s="63" t="str">
        <f aca="false">IF(OR(B1449="",N(O1449)=0),"",N(O1449)+ROUND(MIN(N(N1449),TOPE_UF*UF_MES)*(TASA_EMP+MUTUAL),0)+ROUND(MIN(N(N1449),TOPE_AFC_UF*UF_MES)*IF(S1449="Indefinido",AFC_INDEF,AFC_PF),0))</f>
        <v/>
      </c>
      <c r="U1449" s="62" t="str">
        <f aca="false">IF(C1449="","",IF(LEFT(D1449,1)="⚠","⚠ RUT no registrado en Trabajadores",IF(B1449="","⚠ Falta el mes",IF(OR(ISTEXT(I1449),ISTEXT(J1449)),"⚠ Atrasos u horas extra como texto: escriba hh:mm (ej. 1:30)",IF(AND(ISNUMBER(Q1449),COUNTIFS(M_RUTN,V1449,M_MES,B1449,M_LIQ,"&lt;&gt;")&gt;1),"⚠ Liquidación repetida en el mes",IF(AND(ISNUMBER(O1449),ISNUMBER(P1449),ISNUMBER(Q1449),ABS(O1449-P1449-Q1449)&gt;1),"⚠ Haberes − descuentos no da el líquido","OK"))))))</f>
        <v/>
      </c>
      <c r="V1449" s="62" t="str">
        <f aca="false">IF(C1449="","",IFERROR(VALUE(LEFT(UPPER(SUBSTITUTE(SUBSTITUTE(SUBSTITUTE(TRIM(C1449),".",""),"-","")," ","")),LEN(UPPER(SUBSTITUTE(SUBSTITUTE(SUBSTITUTE(TRIM(C1449),".",""),"-","")," ","")))-1))&amp;RIGHT(UPPER(SUBSTITUTE(SUBSTITUTE(SUBSTITUTE(TRIM(C1449),".",""),"-","")," ","")),1),UPPER(SUBSTITUTE(SUBSTITUTE(SUBSTITUTE(TRIM(C1449),".",""),"-","")," ",""))))</f>
        <v/>
      </c>
    </row>
    <row r="1450" customFormat="false" ht="15" hidden="false" customHeight="false" outlineLevel="0" collapsed="false">
      <c r="B1450" s="80"/>
      <c r="C1450" s="58"/>
      <c r="D1450" s="62" t="str">
        <f aca="false">IF(C1450="","",IFERROR(INDEX(T_NOMBRE,MATCH(V1450,T_RUTN,0)),"⚠ RUT no está en Trabajadores"))</f>
        <v/>
      </c>
      <c r="E1450" s="61"/>
      <c r="F1450" s="61"/>
      <c r="G1450" s="61"/>
      <c r="H1450" s="61"/>
      <c r="I1450" s="81"/>
      <c r="J1450" s="81"/>
      <c r="K1450" s="60"/>
      <c r="L1450" s="60"/>
      <c r="M1450" s="60"/>
      <c r="N1450" s="60"/>
      <c r="O1450" s="60"/>
      <c r="P1450" s="60"/>
      <c r="Q1450" s="60"/>
      <c r="R1450" s="58"/>
      <c r="S1450" s="62" t="str">
        <f aca="false">IF(OR(B1450="",V1450=""),"",IFERROR(INDEX(C_TIPO,MATCH(V1450&amp;"-P"&amp;MAX(1,COUNTIFS(C_RUTN,V1450,C_DEF,"Sí",C_INI,"&lt;="&amp;EOMONTH(B1450,0))),C_CLAVE,0))&amp;"","Sin contrato"))</f>
        <v/>
      </c>
      <c r="T1450" s="63" t="str">
        <f aca="false">IF(OR(B1450="",N(O1450)=0),"",N(O1450)+ROUND(MIN(N(N1450),TOPE_UF*UF_MES)*(TASA_EMP+MUTUAL),0)+ROUND(MIN(N(N1450),TOPE_AFC_UF*UF_MES)*IF(S1450="Indefinido",AFC_INDEF,AFC_PF),0))</f>
        <v/>
      </c>
      <c r="U1450" s="62" t="str">
        <f aca="false">IF(C1450="","",IF(LEFT(D1450,1)="⚠","⚠ RUT no registrado en Trabajadores",IF(B1450="","⚠ Falta el mes",IF(OR(ISTEXT(I1450),ISTEXT(J1450)),"⚠ Atrasos u horas extra como texto: escriba hh:mm (ej. 1:30)",IF(AND(ISNUMBER(Q1450),COUNTIFS(M_RUTN,V1450,M_MES,B1450,M_LIQ,"&lt;&gt;")&gt;1),"⚠ Liquidación repetida en el mes",IF(AND(ISNUMBER(O1450),ISNUMBER(P1450),ISNUMBER(Q1450),ABS(O1450-P1450-Q1450)&gt;1),"⚠ Haberes − descuentos no da el líquido","OK"))))))</f>
        <v/>
      </c>
      <c r="V1450" s="62" t="str">
        <f aca="false">IF(C1450="","",IFERROR(VALUE(LEFT(UPPER(SUBSTITUTE(SUBSTITUTE(SUBSTITUTE(TRIM(C1450),".",""),"-","")," ","")),LEN(UPPER(SUBSTITUTE(SUBSTITUTE(SUBSTITUTE(TRIM(C1450),".",""),"-","")," ","")))-1))&amp;RIGHT(UPPER(SUBSTITUTE(SUBSTITUTE(SUBSTITUTE(TRIM(C1450),".",""),"-","")," ","")),1),UPPER(SUBSTITUTE(SUBSTITUTE(SUBSTITUTE(TRIM(C1450),".",""),"-","")," ",""))))</f>
        <v/>
      </c>
    </row>
    <row r="1451" customFormat="false" ht="15" hidden="false" customHeight="false" outlineLevel="0" collapsed="false">
      <c r="B1451" s="80"/>
      <c r="C1451" s="58"/>
      <c r="D1451" s="62" t="str">
        <f aca="false">IF(C1451="","",IFERROR(INDEX(T_NOMBRE,MATCH(V1451,T_RUTN,0)),"⚠ RUT no está en Trabajadores"))</f>
        <v/>
      </c>
      <c r="E1451" s="61"/>
      <c r="F1451" s="61"/>
      <c r="G1451" s="61"/>
      <c r="H1451" s="61"/>
      <c r="I1451" s="81"/>
      <c r="J1451" s="81"/>
      <c r="K1451" s="60"/>
      <c r="L1451" s="60"/>
      <c r="M1451" s="60"/>
      <c r="N1451" s="60"/>
      <c r="O1451" s="60"/>
      <c r="P1451" s="60"/>
      <c r="Q1451" s="60"/>
      <c r="R1451" s="58"/>
      <c r="S1451" s="62" t="str">
        <f aca="false">IF(OR(B1451="",V1451=""),"",IFERROR(INDEX(C_TIPO,MATCH(V1451&amp;"-P"&amp;MAX(1,COUNTIFS(C_RUTN,V1451,C_DEF,"Sí",C_INI,"&lt;="&amp;EOMONTH(B1451,0))),C_CLAVE,0))&amp;"","Sin contrato"))</f>
        <v/>
      </c>
      <c r="T1451" s="63" t="str">
        <f aca="false">IF(OR(B1451="",N(O1451)=0),"",N(O1451)+ROUND(MIN(N(N1451),TOPE_UF*UF_MES)*(TASA_EMP+MUTUAL),0)+ROUND(MIN(N(N1451),TOPE_AFC_UF*UF_MES)*IF(S1451="Indefinido",AFC_INDEF,AFC_PF),0))</f>
        <v/>
      </c>
      <c r="U1451" s="62" t="str">
        <f aca="false">IF(C1451="","",IF(LEFT(D1451,1)="⚠","⚠ RUT no registrado en Trabajadores",IF(B1451="","⚠ Falta el mes",IF(OR(ISTEXT(I1451),ISTEXT(J1451)),"⚠ Atrasos u horas extra como texto: escriba hh:mm (ej. 1:30)",IF(AND(ISNUMBER(Q1451),COUNTIFS(M_RUTN,V1451,M_MES,B1451,M_LIQ,"&lt;&gt;")&gt;1),"⚠ Liquidación repetida en el mes",IF(AND(ISNUMBER(O1451),ISNUMBER(P1451),ISNUMBER(Q1451),ABS(O1451-P1451-Q1451)&gt;1),"⚠ Haberes − descuentos no da el líquido","OK"))))))</f>
        <v/>
      </c>
      <c r="V1451" s="62" t="str">
        <f aca="false">IF(C1451="","",IFERROR(VALUE(LEFT(UPPER(SUBSTITUTE(SUBSTITUTE(SUBSTITUTE(TRIM(C1451),".",""),"-","")," ","")),LEN(UPPER(SUBSTITUTE(SUBSTITUTE(SUBSTITUTE(TRIM(C1451),".",""),"-","")," ","")))-1))&amp;RIGHT(UPPER(SUBSTITUTE(SUBSTITUTE(SUBSTITUTE(TRIM(C1451),".",""),"-","")," ","")),1),UPPER(SUBSTITUTE(SUBSTITUTE(SUBSTITUTE(TRIM(C1451),".",""),"-","")," ",""))))</f>
        <v/>
      </c>
    </row>
    <row r="1452" customFormat="false" ht="15" hidden="false" customHeight="false" outlineLevel="0" collapsed="false">
      <c r="B1452" s="80"/>
      <c r="C1452" s="58"/>
      <c r="D1452" s="62" t="str">
        <f aca="false">IF(C1452="","",IFERROR(INDEX(T_NOMBRE,MATCH(V1452,T_RUTN,0)),"⚠ RUT no está en Trabajadores"))</f>
        <v/>
      </c>
      <c r="E1452" s="61"/>
      <c r="F1452" s="61"/>
      <c r="G1452" s="61"/>
      <c r="H1452" s="61"/>
      <c r="I1452" s="81"/>
      <c r="J1452" s="81"/>
      <c r="K1452" s="60"/>
      <c r="L1452" s="60"/>
      <c r="M1452" s="60"/>
      <c r="N1452" s="60"/>
      <c r="O1452" s="60"/>
      <c r="P1452" s="60"/>
      <c r="Q1452" s="60"/>
      <c r="R1452" s="58"/>
      <c r="S1452" s="62" t="str">
        <f aca="false">IF(OR(B1452="",V1452=""),"",IFERROR(INDEX(C_TIPO,MATCH(V1452&amp;"-P"&amp;MAX(1,COUNTIFS(C_RUTN,V1452,C_DEF,"Sí",C_INI,"&lt;="&amp;EOMONTH(B1452,0))),C_CLAVE,0))&amp;"","Sin contrato"))</f>
        <v/>
      </c>
      <c r="T1452" s="63" t="str">
        <f aca="false">IF(OR(B1452="",N(O1452)=0),"",N(O1452)+ROUND(MIN(N(N1452),TOPE_UF*UF_MES)*(TASA_EMP+MUTUAL),0)+ROUND(MIN(N(N1452),TOPE_AFC_UF*UF_MES)*IF(S1452="Indefinido",AFC_INDEF,AFC_PF),0))</f>
        <v/>
      </c>
      <c r="U1452" s="62" t="str">
        <f aca="false">IF(C1452="","",IF(LEFT(D1452,1)="⚠","⚠ RUT no registrado en Trabajadores",IF(B1452="","⚠ Falta el mes",IF(OR(ISTEXT(I1452),ISTEXT(J1452)),"⚠ Atrasos u horas extra como texto: escriba hh:mm (ej. 1:30)",IF(AND(ISNUMBER(Q1452),COUNTIFS(M_RUTN,V1452,M_MES,B1452,M_LIQ,"&lt;&gt;")&gt;1),"⚠ Liquidación repetida en el mes",IF(AND(ISNUMBER(O1452),ISNUMBER(P1452),ISNUMBER(Q1452),ABS(O1452-P1452-Q1452)&gt;1),"⚠ Haberes − descuentos no da el líquido","OK"))))))</f>
        <v/>
      </c>
      <c r="V1452" s="62" t="str">
        <f aca="false">IF(C1452="","",IFERROR(VALUE(LEFT(UPPER(SUBSTITUTE(SUBSTITUTE(SUBSTITUTE(TRIM(C1452),".",""),"-","")," ","")),LEN(UPPER(SUBSTITUTE(SUBSTITUTE(SUBSTITUTE(TRIM(C1452),".",""),"-","")," ","")))-1))&amp;RIGHT(UPPER(SUBSTITUTE(SUBSTITUTE(SUBSTITUTE(TRIM(C1452),".",""),"-","")," ","")),1),UPPER(SUBSTITUTE(SUBSTITUTE(SUBSTITUTE(TRIM(C1452),".",""),"-","")," ",""))))</f>
        <v/>
      </c>
    </row>
    <row r="1453" customFormat="false" ht="15" hidden="false" customHeight="false" outlineLevel="0" collapsed="false">
      <c r="B1453" s="80"/>
      <c r="C1453" s="58"/>
      <c r="D1453" s="62" t="str">
        <f aca="false">IF(C1453="","",IFERROR(INDEX(T_NOMBRE,MATCH(V1453,T_RUTN,0)),"⚠ RUT no está en Trabajadores"))</f>
        <v/>
      </c>
      <c r="E1453" s="61"/>
      <c r="F1453" s="61"/>
      <c r="G1453" s="61"/>
      <c r="H1453" s="61"/>
      <c r="I1453" s="81"/>
      <c r="J1453" s="81"/>
      <c r="K1453" s="60"/>
      <c r="L1453" s="60"/>
      <c r="M1453" s="60"/>
      <c r="N1453" s="60"/>
      <c r="O1453" s="60"/>
      <c r="P1453" s="60"/>
      <c r="Q1453" s="60"/>
      <c r="R1453" s="58"/>
      <c r="S1453" s="62" t="str">
        <f aca="false">IF(OR(B1453="",V1453=""),"",IFERROR(INDEX(C_TIPO,MATCH(V1453&amp;"-P"&amp;MAX(1,COUNTIFS(C_RUTN,V1453,C_DEF,"Sí",C_INI,"&lt;="&amp;EOMONTH(B1453,0))),C_CLAVE,0))&amp;"","Sin contrato"))</f>
        <v/>
      </c>
      <c r="T1453" s="63" t="str">
        <f aca="false">IF(OR(B1453="",N(O1453)=0),"",N(O1453)+ROUND(MIN(N(N1453),TOPE_UF*UF_MES)*(TASA_EMP+MUTUAL),0)+ROUND(MIN(N(N1453),TOPE_AFC_UF*UF_MES)*IF(S1453="Indefinido",AFC_INDEF,AFC_PF),0))</f>
        <v/>
      </c>
      <c r="U1453" s="62" t="str">
        <f aca="false">IF(C1453="","",IF(LEFT(D1453,1)="⚠","⚠ RUT no registrado en Trabajadores",IF(B1453="","⚠ Falta el mes",IF(OR(ISTEXT(I1453),ISTEXT(J1453)),"⚠ Atrasos u horas extra como texto: escriba hh:mm (ej. 1:30)",IF(AND(ISNUMBER(Q1453),COUNTIFS(M_RUTN,V1453,M_MES,B1453,M_LIQ,"&lt;&gt;")&gt;1),"⚠ Liquidación repetida en el mes",IF(AND(ISNUMBER(O1453),ISNUMBER(P1453),ISNUMBER(Q1453),ABS(O1453-P1453-Q1453)&gt;1),"⚠ Haberes − descuentos no da el líquido","OK"))))))</f>
        <v/>
      </c>
      <c r="V1453" s="62" t="str">
        <f aca="false">IF(C1453="","",IFERROR(VALUE(LEFT(UPPER(SUBSTITUTE(SUBSTITUTE(SUBSTITUTE(TRIM(C1453),".",""),"-","")," ","")),LEN(UPPER(SUBSTITUTE(SUBSTITUTE(SUBSTITUTE(TRIM(C1453),".",""),"-","")," ","")))-1))&amp;RIGHT(UPPER(SUBSTITUTE(SUBSTITUTE(SUBSTITUTE(TRIM(C1453),".",""),"-","")," ","")),1),UPPER(SUBSTITUTE(SUBSTITUTE(SUBSTITUTE(TRIM(C1453),".",""),"-","")," ",""))))</f>
        <v/>
      </c>
    </row>
    <row r="1454" customFormat="false" ht="15" hidden="false" customHeight="false" outlineLevel="0" collapsed="false">
      <c r="B1454" s="80"/>
      <c r="C1454" s="58"/>
      <c r="D1454" s="62" t="str">
        <f aca="false">IF(C1454="","",IFERROR(INDEX(T_NOMBRE,MATCH(V1454,T_RUTN,0)),"⚠ RUT no está en Trabajadores"))</f>
        <v/>
      </c>
      <c r="E1454" s="61"/>
      <c r="F1454" s="61"/>
      <c r="G1454" s="61"/>
      <c r="H1454" s="61"/>
      <c r="I1454" s="81"/>
      <c r="J1454" s="81"/>
      <c r="K1454" s="60"/>
      <c r="L1454" s="60"/>
      <c r="M1454" s="60"/>
      <c r="N1454" s="60"/>
      <c r="O1454" s="60"/>
      <c r="P1454" s="60"/>
      <c r="Q1454" s="60"/>
      <c r="R1454" s="58"/>
      <c r="S1454" s="62" t="str">
        <f aca="false">IF(OR(B1454="",V1454=""),"",IFERROR(INDEX(C_TIPO,MATCH(V1454&amp;"-P"&amp;MAX(1,COUNTIFS(C_RUTN,V1454,C_DEF,"Sí",C_INI,"&lt;="&amp;EOMONTH(B1454,0))),C_CLAVE,0))&amp;"","Sin contrato"))</f>
        <v/>
      </c>
      <c r="T1454" s="63" t="str">
        <f aca="false">IF(OR(B1454="",N(O1454)=0),"",N(O1454)+ROUND(MIN(N(N1454),TOPE_UF*UF_MES)*(TASA_EMP+MUTUAL),0)+ROUND(MIN(N(N1454),TOPE_AFC_UF*UF_MES)*IF(S1454="Indefinido",AFC_INDEF,AFC_PF),0))</f>
        <v/>
      </c>
      <c r="U1454" s="62" t="str">
        <f aca="false">IF(C1454="","",IF(LEFT(D1454,1)="⚠","⚠ RUT no registrado en Trabajadores",IF(B1454="","⚠ Falta el mes",IF(OR(ISTEXT(I1454),ISTEXT(J1454)),"⚠ Atrasos u horas extra como texto: escriba hh:mm (ej. 1:30)",IF(AND(ISNUMBER(Q1454),COUNTIFS(M_RUTN,V1454,M_MES,B1454,M_LIQ,"&lt;&gt;")&gt;1),"⚠ Liquidación repetida en el mes",IF(AND(ISNUMBER(O1454),ISNUMBER(P1454),ISNUMBER(Q1454),ABS(O1454-P1454-Q1454)&gt;1),"⚠ Haberes − descuentos no da el líquido","OK"))))))</f>
        <v/>
      </c>
      <c r="V1454" s="62" t="str">
        <f aca="false">IF(C1454="","",IFERROR(VALUE(LEFT(UPPER(SUBSTITUTE(SUBSTITUTE(SUBSTITUTE(TRIM(C1454),".",""),"-","")," ","")),LEN(UPPER(SUBSTITUTE(SUBSTITUTE(SUBSTITUTE(TRIM(C1454),".",""),"-","")," ","")))-1))&amp;RIGHT(UPPER(SUBSTITUTE(SUBSTITUTE(SUBSTITUTE(TRIM(C1454),".",""),"-","")," ","")),1),UPPER(SUBSTITUTE(SUBSTITUTE(SUBSTITUTE(TRIM(C1454),".",""),"-","")," ",""))))</f>
        <v/>
      </c>
    </row>
    <row r="1455" customFormat="false" ht="15" hidden="false" customHeight="false" outlineLevel="0" collapsed="false">
      <c r="B1455" s="80"/>
      <c r="C1455" s="58"/>
      <c r="D1455" s="62" t="str">
        <f aca="false">IF(C1455="","",IFERROR(INDEX(T_NOMBRE,MATCH(V1455,T_RUTN,0)),"⚠ RUT no está en Trabajadores"))</f>
        <v/>
      </c>
      <c r="E1455" s="61"/>
      <c r="F1455" s="61"/>
      <c r="G1455" s="61"/>
      <c r="H1455" s="61"/>
      <c r="I1455" s="81"/>
      <c r="J1455" s="81"/>
      <c r="K1455" s="60"/>
      <c r="L1455" s="60"/>
      <c r="M1455" s="60"/>
      <c r="N1455" s="60"/>
      <c r="O1455" s="60"/>
      <c r="P1455" s="60"/>
      <c r="Q1455" s="60"/>
      <c r="R1455" s="58"/>
      <c r="S1455" s="62" t="str">
        <f aca="false">IF(OR(B1455="",V1455=""),"",IFERROR(INDEX(C_TIPO,MATCH(V1455&amp;"-P"&amp;MAX(1,COUNTIFS(C_RUTN,V1455,C_DEF,"Sí",C_INI,"&lt;="&amp;EOMONTH(B1455,0))),C_CLAVE,0))&amp;"","Sin contrato"))</f>
        <v/>
      </c>
      <c r="T1455" s="63" t="str">
        <f aca="false">IF(OR(B1455="",N(O1455)=0),"",N(O1455)+ROUND(MIN(N(N1455),TOPE_UF*UF_MES)*(TASA_EMP+MUTUAL),0)+ROUND(MIN(N(N1455),TOPE_AFC_UF*UF_MES)*IF(S1455="Indefinido",AFC_INDEF,AFC_PF),0))</f>
        <v/>
      </c>
      <c r="U1455" s="62" t="str">
        <f aca="false">IF(C1455="","",IF(LEFT(D1455,1)="⚠","⚠ RUT no registrado en Trabajadores",IF(B1455="","⚠ Falta el mes",IF(OR(ISTEXT(I1455),ISTEXT(J1455)),"⚠ Atrasos u horas extra como texto: escriba hh:mm (ej. 1:30)",IF(AND(ISNUMBER(Q1455),COUNTIFS(M_RUTN,V1455,M_MES,B1455,M_LIQ,"&lt;&gt;")&gt;1),"⚠ Liquidación repetida en el mes",IF(AND(ISNUMBER(O1455),ISNUMBER(P1455),ISNUMBER(Q1455),ABS(O1455-P1455-Q1455)&gt;1),"⚠ Haberes − descuentos no da el líquido","OK"))))))</f>
        <v/>
      </c>
      <c r="V1455" s="62" t="str">
        <f aca="false">IF(C1455="","",IFERROR(VALUE(LEFT(UPPER(SUBSTITUTE(SUBSTITUTE(SUBSTITUTE(TRIM(C1455),".",""),"-","")," ","")),LEN(UPPER(SUBSTITUTE(SUBSTITUTE(SUBSTITUTE(TRIM(C1455),".",""),"-","")," ","")))-1))&amp;RIGHT(UPPER(SUBSTITUTE(SUBSTITUTE(SUBSTITUTE(TRIM(C1455),".",""),"-","")," ","")),1),UPPER(SUBSTITUTE(SUBSTITUTE(SUBSTITUTE(TRIM(C1455),".",""),"-","")," ",""))))</f>
        <v/>
      </c>
    </row>
    <row r="1456" customFormat="false" ht="15" hidden="false" customHeight="false" outlineLevel="0" collapsed="false">
      <c r="B1456" s="80"/>
      <c r="C1456" s="58"/>
      <c r="D1456" s="62" t="str">
        <f aca="false">IF(C1456="","",IFERROR(INDEX(T_NOMBRE,MATCH(V1456,T_RUTN,0)),"⚠ RUT no está en Trabajadores"))</f>
        <v/>
      </c>
      <c r="E1456" s="61"/>
      <c r="F1456" s="61"/>
      <c r="G1456" s="61"/>
      <c r="H1456" s="61"/>
      <c r="I1456" s="81"/>
      <c r="J1456" s="81"/>
      <c r="K1456" s="60"/>
      <c r="L1456" s="60"/>
      <c r="M1456" s="60"/>
      <c r="N1456" s="60"/>
      <c r="O1456" s="60"/>
      <c r="P1456" s="60"/>
      <c r="Q1456" s="60"/>
      <c r="R1456" s="58"/>
      <c r="S1456" s="62" t="str">
        <f aca="false">IF(OR(B1456="",V1456=""),"",IFERROR(INDEX(C_TIPO,MATCH(V1456&amp;"-P"&amp;MAX(1,COUNTIFS(C_RUTN,V1456,C_DEF,"Sí",C_INI,"&lt;="&amp;EOMONTH(B1456,0))),C_CLAVE,0))&amp;"","Sin contrato"))</f>
        <v/>
      </c>
      <c r="T1456" s="63" t="str">
        <f aca="false">IF(OR(B1456="",N(O1456)=0),"",N(O1456)+ROUND(MIN(N(N1456),TOPE_UF*UF_MES)*(TASA_EMP+MUTUAL),0)+ROUND(MIN(N(N1456),TOPE_AFC_UF*UF_MES)*IF(S1456="Indefinido",AFC_INDEF,AFC_PF),0))</f>
        <v/>
      </c>
      <c r="U1456" s="62" t="str">
        <f aca="false">IF(C1456="","",IF(LEFT(D1456,1)="⚠","⚠ RUT no registrado en Trabajadores",IF(B1456="","⚠ Falta el mes",IF(OR(ISTEXT(I1456),ISTEXT(J1456)),"⚠ Atrasos u horas extra como texto: escriba hh:mm (ej. 1:30)",IF(AND(ISNUMBER(Q1456),COUNTIFS(M_RUTN,V1456,M_MES,B1456,M_LIQ,"&lt;&gt;")&gt;1),"⚠ Liquidación repetida en el mes",IF(AND(ISNUMBER(O1456),ISNUMBER(P1456),ISNUMBER(Q1456),ABS(O1456-P1456-Q1456)&gt;1),"⚠ Haberes − descuentos no da el líquido","OK"))))))</f>
        <v/>
      </c>
      <c r="V1456" s="62" t="str">
        <f aca="false">IF(C1456="","",IFERROR(VALUE(LEFT(UPPER(SUBSTITUTE(SUBSTITUTE(SUBSTITUTE(TRIM(C1456),".",""),"-","")," ","")),LEN(UPPER(SUBSTITUTE(SUBSTITUTE(SUBSTITUTE(TRIM(C1456),".",""),"-","")," ","")))-1))&amp;RIGHT(UPPER(SUBSTITUTE(SUBSTITUTE(SUBSTITUTE(TRIM(C1456),".",""),"-","")," ","")),1),UPPER(SUBSTITUTE(SUBSTITUTE(SUBSTITUTE(TRIM(C1456),".",""),"-","")," ",""))))</f>
        <v/>
      </c>
    </row>
    <row r="1457" customFormat="false" ht="15" hidden="false" customHeight="false" outlineLevel="0" collapsed="false">
      <c r="B1457" s="80"/>
      <c r="C1457" s="58"/>
      <c r="D1457" s="62" t="str">
        <f aca="false">IF(C1457="","",IFERROR(INDEX(T_NOMBRE,MATCH(V1457,T_RUTN,0)),"⚠ RUT no está en Trabajadores"))</f>
        <v/>
      </c>
      <c r="E1457" s="61"/>
      <c r="F1457" s="61"/>
      <c r="G1457" s="61"/>
      <c r="H1457" s="61"/>
      <c r="I1457" s="81"/>
      <c r="J1457" s="81"/>
      <c r="K1457" s="60"/>
      <c r="L1457" s="60"/>
      <c r="M1457" s="60"/>
      <c r="N1457" s="60"/>
      <c r="O1457" s="60"/>
      <c r="P1457" s="60"/>
      <c r="Q1457" s="60"/>
      <c r="R1457" s="58"/>
      <c r="S1457" s="62" t="str">
        <f aca="false">IF(OR(B1457="",V1457=""),"",IFERROR(INDEX(C_TIPO,MATCH(V1457&amp;"-P"&amp;MAX(1,COUNTIFS(C_RUTN,V1457,C_DEF,"Sí",C_INI,"&lt;="&amp;EOMONTH(B1457,0))),C_CLAVE,0))&amp;"","Sin contrato"))</f>
        <v/>
      </c>
      <c r="T1457" s="63" t="str">
        <f aca="false">IF(OR(B1457="",N(O1457)=0),"",N(O1457)+ROUND(MIN(N(N1457),TOPE_UF*UF_MES)*(TASA_EMP+MUTUAL),0)+ROUND(MIN(N(N1457),TOPE_AFC_UF*UF_MES)*IF(S1457="Indefinido",AFC_INDEF,AFC_PF),0))</f>
        <v/>
      </c>
      <c r="U1457" s="62" t="str">
        <f aca="false">IF(C1457="","",IF(LEFT(D1457,1)="⚠","⚠ RUT no registrado en Trabajadores",IF(B1457="","⚠ Falta el mes",IF(OR(ISTEXT(I1457),ISTEXT(J1457)),"⚠ Atrasos u horas extra como texto: escriba hh:mm (ej. 1:30)",IF(AND(ISNUMBER(Q1457),COUNTIFS(M_RUTN,V1457,M_MES,B1457,M_LIQ,"&lt;&gt;")&gt;1),"⚠ Liquidación repetida en el mes",IF(AND(ISNUMBER(O1457),ISNUMBER(P1457),ISNUMBER(Q1457),ABS(O1457-P1457-Q1457)&gt;1),"⚠ Haberes − descuentos no da el líquido","OK"))))))</f>
        <v/>
      </c>
      <c r="V1457" s="62" t="str">
        <f aca="false">IF(C1457="","",IFERROR(VALUE(LEFT(UPPER(SUBSTITUTE(SUBSTITUTE(SUBSTITUTE(TRIM(C1457),".",""),"-","")," ","")),LEN(UPPER(SUBSTITUTE(SUBSTITUTE(SUBSTITUTE(TRIM(C1457),".",""),"-","")," ","")))-1))&amp;RIGHT(UPPER(SUBSTITUTE(SUBSTITUTE(SUBSTITUTE(TRIM(C1457),".",""),"-","")," ","")),1),UPPER(SUBSTITUTE(SUBSTITUTE(SUBSTITUTE(TRIM(C1457),".",""),"-","")," ",""))))</f>
        <v/>
      </c>
    </row>
    <row r="1458" customFormat="false" ht="15" hidden="false" customHeight="false" outlineLevel="0" collapsed="false">
      <c r="B1458" s="80"/>
      <c r="C1458" s="58"/>
      <c r="D1458" s="62" t="str">
        <f aca="false">IF(C1458="","",IFERROR(INDEX(T_NOMBRE,MATCH(V1458,T_RUTN,0)),"⚠ RUT no está en Trabajadores"))</f>
        <v/>
      </c>
      <c r="E1458" s="61"/>
      <c r="F1458" s="61"/>
      <c r="G1458" s="61"/>
      <c r="H1458" s="61"/>
      <c r="I1458" s="81"/>
      <c r="J1458" s="81"/>
      <c r="K1458" s="60"/>
      <c r="L1458" s="60"/>
      <c r="M1458" s="60"/>
      <c r="N1458" s="60"/>
      <c r="O1458" s="60"/>
      <c r="P1458" s="60"/>
      <c r="Q1458" s="60"/>
      <c r="R1458" s="58"/>
      <c r="S1458" s="62" t="str">
        <f aca="false">IF(OR(B1458="",V1458=""),"",IFERROR(INDEX(C_TIPO,MATCH(V1458&amp;"-P"&amp;MAX(1,COUNTIFS(C_RUTN,V1458,C_DEF,"Sí",C_INI,"&lt;="&amp;EOMONTH(B1458,0))),C_CLAVE,0))&amp;"","Sin contrato"))</f>
        <v/>
      </c>
      <c r="T1458" s="63" t="str">
        <f aca="false">IF(OR(B1458="",N(O1458)=0),"",N(O1458)+ROUND(MIN(N(N1458),TOPE_UF*UF_MES)*(TASA_EMP+MUTUAL),0)+ROUND(MIN(N(N1458),TOPE_AFC_UF*UF_MES)*IF(S1458="Indefinido",AFC_INDEF,AFC_PF),0))</f>
        <v/>
      </c>
      <c r="U1458" s="62" t="str">
        <f aca="false">IF(C1458="","",IF(LEFT(D1458,1)="⚠","⚠ RUT no registrado en Trabajadores",IF(B1458="","⚠ Falta el mes",IF(OR(ISTEXT(I1458),ISTEXT(J1458)),"⚠ Atrasos u horas extra como texto: escriba hh:mm (ej. 1:30)",IF(AND(ISNUMBER(Q1458),COUNTIFS(M_RUTN,V1458,M_MES,B1458,M_LIQ,"&lt;&gt;")&gt;1),"⚠ Liquidación repetida en el mes",IF(AND(ISNUMBER(O1458),ISNUMBER(P1458),ISNUMBER(Q1458),ABS(O1458-P1458-Q1458)&gt;1),"⚠ Haberes − descuentos no da el líquido","OK"))))))</f>
        <v/>
      </c>
      <c r="V1458" s="62" t="str">
        <f aca="false">IF(C1458="","",IFERROR(VALUE(LEFT(UPPER(SUBSTITUTE(SUBSTITUTE(SUBSTITUTE(TRIM(C1458),".",""),"-","")," ","")),LEN(UPPER(SUBSTITUTE(SUBSTITUTE(SUBSTITUTE(TRIM(C1458),".",""),"-","")," ","")))-1))&amp;RIGHT(UPPER(SUBSTITUTE(SUBSTITUTE(SUBSTITUTE(TRIM(C1458),".",""),"-","")," ","")),1),UPPER(SUBSTITUTE(SUBSTITUTE(SUBSTITUTE(TRIM(C1458),".",""),"-","")," ",""))))</f>
        <v/>
      </c>
    </row>
    <row r="1459" customFormat="false" ht="15" hidden="false" customHeight="false" outlineLevel="0" collapsed="false">
      <c r="B1459" s="80"/>
      <c r="C1459" s="58"/>
      <c r="D1459" s="62" t="str">
        <f aca="false">IF(C1459="","",IFERROR(INDEX(T_NOMBRE,MATCH(V1459,T_RUTN,0)),"⚠ RUT no está en Trabajadores"))</f>
        <v/>
      </c>
      <c r="E1459" s="61"/>
      <c r="F1459" s="61"/>
      <c r="G1459" s="61"/>
      <c r="H1459" s="61"/>
      <c r="I1459" s="81"/>
      <c r="J1459" s="81"/>
      <c r="K1459" s="60"/>
      <c r="L1459" s="60"/>
      <c r="M1459" s="60"/>
      <c r="N1459" s="60"/>
      <c r="O1459" s="60"/>
      <c r="P1459" s="60"/>
      <c r="Q1459" s="60"/>
      <c r="R1459" s="58"/>
      <c r="S1459" s="62" t="str">
        <f aca="false">IF(OR(B1459="",V1459=""),"",IFERROR(INDEX(C_TIPO,MATCH(V1459&amp;"-P"&amp;MAX(1,COUNTIFS(C_RUTN,V1459,C_DEF,"Sí",C_INI,"&lt;="&amp;EOMONTH(B1459,0))),C_CLAVE,0))&amp;"","Sin contrato"))</f>
        <v/>
      </c>
      <c r="T1459" s="63" t="str">
        <f aca="false">IF(OR(B1459="",N(O1459)=0),"",N(O1459)+ROUND(MIN(N(N1459),TOPE_UF*UF_MES)*(TASA_EMP+MUTUAL),0)+ROUND(MIN(N(N1459),TOPE_AFC_UF*UF_MES)*IF(S1459="Indefinido",AFC_INDEF,AFC_PF),0))</f>
        <v/>
      </c>
      <c r="U1459" s="62" t="str">
        <f aca="false">IF(C1459="","",IF(LEFT(D1459,1)="⚠","⚠ RUT no registrado en Trabajadores",IF(B1459="","⚠ Falta el mes",IF(OR(ISTEXT(I1459),ISTEXT(J1459)),"⚠ Atrasos u horas extra como texto: escriba hh:mm (ej. 1:30)",IF(AND(ISNUMBER(Q1459),COUNTIFS(M_RUTN,V1459,M_MES,B1459,M_LIQ,"&lt;&gt;")&gt;1),"⚠ Liquidación repetida en el mes",IF(AND(ISNUMBER(O1459),ISNUMBER(P1459),ISNUMBER(Q1459),ABS(O1459-P1459-Q1459)&gt;1),"⚠ Haberes − descuentos no da el líquido","OK"))))))</f>
        <v/>
      </c>
      <c r="V1459" s="62" t="str">
        <f aca="false">IF(C1459="","",IFERROR(VALUE(LEFT(UPPER(SUBSTITUTE(SUBSTITUTE(SUBSTITUTE(TRIM(C1459),".",""),"-","")," ","")),LEN(UPPER(SUBSTITUTE(SUBSTITUTE(SUBSTITUTE(TRIM(C1459),".",""),"-","")," ","")))-1))&amp;RIGHT(UPPER(SUBSTITUTE(SUBSTITUTE(SUBSTITUTE(TRIM(C1459),".",""),"-","")," ","")),1),UPPER(SUBSTITUTE(SUBSTITUTE(SUBSTITUTE(TRIM(C1459),".",""),"-","")," ",""))))</f>
        <v/>
      </c>
    </row>
    <row r="1460" customFormat="false" ht="15" hidden="false" customHeight="false" outlineLevel="0" collapsed="false">
      <c r="B1460" s="80"/>
      <c r="C1460" s="58"/>
      <c r="D1460" s="62" t="str">
        <f aca="false">IF(C1460="","",IFERROR(INDEX(T_NOMBRE,MATCH(V1460,T_RUTN,0)),"⚠ RUT no está en Trabajadores"))</f>
        <v/>
      </c>
      <c r="E1460" s="61"/>
      <c r="F1460" s="61"/>
      <c r="G1460" s="61"/>
      <c r="H1460" s="61"/>
      <c r="I1460" s="81"/>
      <c r="J1460" s="81"/>
      <c r="K1460" s="60"/>
      <c r="L1460" s="60"/>
      <c r="M1460" s="60"/>
      <c r="N1460" s="60"/>
      <c r="O1460" s="60"/>
      <c r="P1460" s="60"/>
      <c r="Q1460" s="60"/>
      <c r="R1460" s="58"/>
      <c r="S1460" s="62" t="str">
        <f aca="false">IF(OR(B1460="",V1460=""),"",IFERROR(INDEX(C_TIPO,MATCH(V1460&amp;"-P"&amp;MAX(1,COUNTIFS(C_RUTN,V1460,C_DEF,"Sí",C_INI,"&lt;="&amp;EOMONTH(B1460,0))),C_CLAVE,0))&amp;"","Sin contrato"))</f>
        <v/>
      </c>
      <c r="T1460" s="63" t="str">
        <f aca="false">IF(OR(B1460="",N(O1460)=0),"",N(O1460)+ROUND(MIN(N(N1460),TOPE_UF*UF_MES)*(TASA_EMP+MUTUAL),0)+ROUND(MIN(N(N1460),TOPE_AFC_UF*UF_MES)*IF(S1460="Indefinido",AFC_INDEF,AFC_PF),0))</f>
        <v/>
      </c>
      <c r="U1460" s="62" t="str">
        <f aca="false">IF(C1460="","",IF(LEFT(D1460,1)="⚠","⚠ RUT no registrado en Trabajadores",IF(B1460="","⚠ Falta el mes",IF(OR(ISTEXT(I1460),ISTEXT(J1460)),"⚠ Atrasos u horas extra como texto: escriba hh:mm (ej. 1:30)",IF(AND(ISNUMBER(Q1460),COUNTIFS(M_RUTN,V1460,M_MES,B1460,M_LIQ,"&lt;&gt;")&gt;1),"⚠ Liquidación repetida en el mes",IF(AND(ISNUMBER(O1460),ISNUMBER(P1460),ISNUMBER(Q1460),ABS(O1460-P1460-Q1460)&gt;1),"⚠ Haberes − descuentos no da el líquido","OK"))))))</f>
        <v/>
      </c>
      <c r="V1460" s="62" t="str">
        <f aca="false">IF(C1460="","",IFERROR(VALUE(LEFT(UPPER(SUBSTITUTE(SUBSTITUTE(SUBSTITUTE(TRIM(C1460),".",""),"-","")," ","")),LEN(UPPER(SUBSTITUTE(SUBSTITUTE(SUBSTITUTE(TRIM(C1460),".",""),"-","")," ","")))-1))&amp;RIGHT(UPPER(SUBSTITUTE(SUBSTITUTE(SUBSTITUTE(TRIM(C1460),".",""),"-","")," ","")),1),UPPER(SUBSTITUTE(SUBSTITUTE(SUBSTITUTE(TRIM(C1460),".",""),"-","")," ",""))))</f>
        <v/>
      </c>
    </row>
    <row r="1461" customFormat="false" ht="15" hidden="false" customHeight="false" outlineLevel="0" collapsed="false">
      <c r="B1461" s="80"/>
      <c r="C1461" s="58"/>
      <c r="D1461" s="62" t="str">
        <f aca="false">IF(C1461="","",IFERROR(INDEX(T_NOMBRE,MATCH(V1461,T_RUTN,0)),"⚠ RUT no está en Trabajadores"))</f>
        <v/>
      </c>
      <c r="E1461" s="61"/>
      <c r="F1461" s="61"/>
      <c r="G1461" s="61"/>
      <c r="H1461" s="61"/>
      <c r="I1461" s="81"/>
      <c r="J1461" s="81"/>
      <c r="K1461" s="60"/>
      <c r="L1461" s="60"/>
      <c r="M1461" s="60"/>
      <c r="N1461" s="60"/>
      <c r="O1461" s="60"/>
      <c r="P1461" s="60"/>
      <c r="Q1461" s="60"/>
      <c r="R1461" s="58"/>
      <c r="S1461" s="62" t="str">
        <f aca="false">IF(OR(B1461="",V1461=""),"",IFERROR(INDEX(C_TIPO,MATCH(V1461&amp;"-P"&amp;MAX(1,COUNTIFS(C_RUTN,V1461,C_DEF,"Sí",C_INI,"&lt;="&amp;EOMONTH(B1461,0))),C_CLAVE,0))&amp;"","Sin contrato"))</f>
        <v/>
      </c>
      <c r="T1461" s="63" t="str">
        <f aca="false">IF(OR(B1461="",N(O1461)=0),"",N(O1461)+ROUND(MIN(N(N1461),TOPE_UF*UF_MES)*(TASA_EMP+MUTUAL),0)+ROUND(MIN(N(N1461),TOPE_AFC_UF*UF_MES)*IF(S1461="Indefinido",AFC_INDEF,AFC_PF),0))</f>
        <v/>
      </c>
      <c r="U1461" s="62" t="str">
        <f aca="false">IF(C1461="","",IF(LEFT(D1461,1)="⚠","⚠ RUT no registrado en Trabajadores",IF(B1461="","⚠ Falta el mes",IF(OR(ISTEXT(I1461),ISTEXT(J1461)),"⚠ Atrasos u horas extra como texto: escriba hh:mm (ej. 1:30)",IF(AND(ISNUMBER(Q1461),COUNTIFS(M_RUTN,V1461,M_MES,B1461,M_LIQ,"&lt;&gt;")&gt;1),"⚠ Liquidación repetida en el mes",IF(AND(ISNUMBER(O1461),ISNUMBER(P1461),ISNUMBER(Q1461),ABS(O1461-P1461-Q1461)&gt;1),"⚠ Haberes − descuentos no da el líquido","OK"))))))</f>
        <v/>
      </c>
      <c r="V1461" s="62" t="str">
        <f aca="false">IF(C1461="","",IFERROR(VALUE(LEFT(UPPER(SUBSTITUTE(SUBSTITUTE(SUBSTITUTE(TRIM(C1461),".",""),"-","")," ","")),LEN(UPPER(SUBSTITUTE(SUBSTITUTE(SUBSTITUTE(TRIM(C1461),".",""),"-","")," ","")))-1))&amp;RIGHT(UPPER(SUBSTITUTE(SUBSTITUTE(SUBSTITUTE(TRIM(C1461),".",""),"-","")," ","")),1),UPPER(SUBSTITUTE(SUBSTITUTE(SUBSTITUTE(TRIM(C1461),".",""),"-","")," ",""))))</f>
        <v/>
      </c>
    </row>
    <row r="1462" customFormat="false" ht="15" hidden="false" customHeight="false" outlineLevel="0" collapsed="false">
      <c r="B1462" s="80"/>
      <c r="C1462" s="58"/>
      <c r="D1462" s="62" t="str">
        <f aca="false">IF(C1462="","",IFERROR(INDEX(T_NOMBRE,MATCH(V1462,T_RUTN,0)),"⚠ RUT no está en Trabajadores"))</f>
        <v/>
      </c>
      <c r="E1462" s="61"/>
      <c r="F1462" s="61"/>
      <c r="G1462" s="61"/>
      <c r="H1462" s="61"/>
      <c r="I1462" s="81"/>
      <c r="J1462" s="81"/>
      <c r="K1462" s="60"/>
      <c r="L1462" s="60"/>
      <c r="M1462" s="60"/>
      <c r="N1462" s="60"/>
      <c r="O1462" s="60"/>
      <c r="P1462" s="60"/>
      <c r="Q1462" s="60"/>
      <c r="R1462" s="58"/>
      <c r="S1462" s="62" t="str">
        <f aca="false">IF(OR(B1462="",V1462=""),"",IFERROR(INDEX(C_TIPO,MATCH(V1462&amp;"-P"&amp;MAX(1,COUNTIFS(C_RUTN,V1462,C_DEF,"Sí",C_INI,"&lt;="&amp;EOMONTH(B1462,0))),C_CLAVE,0))&amp;"","Sin contrato"))</f>
        <v/>
      </c>
      <c r="T1462" s="63" t="str">
        <f aca="false">IF(OR(B1462="",N(O1462)=0),"",N(O1462)+ROUND(MIN(N(N1462),TOPE_UF*UF_MES)*(TASA_EMP+MUTUAL),0)+ROUND(MIN(N(N1462),TOPE_AFC_UF*UF_MES)*IF(S1462="Indefinido",AFC_INDEF,AFC_PF),0))</f>
        <v/>
      </c>
      <c r="U1462" s="62" t="str">
        <f aca="false">IF(C1462="","",IF(LEFT(D1462,1)="⚠","⚠ RUT no registrado en Trabajadores",IF(B1462="","⚠ Falta el mes",IF(OR(ISTEXT(I1462),ISTEXT(J1462)),"⚠ Atrasos u horas extra como texto: escriba hh:mm (ej. 1:30)",IF(AND(ISNUMBER(Q1462),COUNTIFS(M_RUTN,V1462,M_MES,B1462,M_LIQ,"&lt;&gt;")&gt;1),"⚠ Liquidación repetida en el mes",IF(AND(ISNUMBER(O1462),ISNUMBER(P1462),ISNUMBER(Q1462),ABS(O1462-P1462-Q1462)&gt;1),"⚠ Haberes − descuentos no da el líquido","OK"))))))</f>
        <v/>
      </c>
      <c r="V1462" s="62" t="str">
        <f aca="false">IF(C1462="","",IFERROR(VALUE(LEFT(UPPER(SUBSTITUTE(SUBSTITUTE(SUBSTITUTE(TRIM(C1462),".",""),"-","")," ","")),LEN(UPPER(SUBSTITUTE(SUBSTITUTE(SUBSTITUTE(TRIM(C1462),".",""),"-","")," ","")))-1))&amp;RIGHT(UPPER(SUBSTITUTE(SUBSTITUTE(SUBSTITUTE(TRIM(C1462),".",""),"-","")," ","")),1),UPPER(SUBSTITUTE(SUBSTITUTE(SUBSTITUTE(TRIM(C1462),".",""),"-","")," ",""))))</f>
        <v/>
      </c>
    </row>
    <row r="1463" customFormat="false" ht="15" hidden="false" customHeight="false" outlineLevel="0" collapsed="false">
      <c r="B1463" s="80"/>
      <c r="C1463" s="58"/>
      <c r="D1463" s="62" t="str">
        <f aca="false">IF(C1463="","",IFERROR(INDEX(T_NOMBRE,MATCH(V1463,T_RUTN,0)),"⚠ RUT no está en Trabajadores"))</f>
        <v/>
      </c>
      <c r="E1463" s="61"/>
      <c r="F1463" s="61"/>
      <c r="G1463" s="61"/>
      <c r="H1463" s="61"/>
      <c r="I1463" s="81"/>
      <c r="J1463" s="81"/>
      <c r="K1463" s="60"/>
      <c r="L1463" s="60"/>
      <c r="M1463" s="60"/>
      <c r="N1463" s="60"/>
      <c r="O1463" s="60"/>
      <c r="P1463" s="60"/>
      <c r="Q1463" s="60"/>
      <c r="R1463" s="58"/>
      <c r="S1463" s="62" t="str">
        <f aca="false">IF(OR(B1463="",V1463=""),"",IFERROR(INDEX(C_TIPO,MATCH(V1463&amp;"-P"&amp;MAX(1,COUNTIFS(C_RUTN,V1463,C_DEF,"Sí",C_INI,"&lt;="&amp;EOMONTH(B1463,0))),C_CLAVE,0))&amp;"","Sin contrato"))</f>
        <v/>
      </c>
      <c r="T1463" s="63" t="str">
        <f aca="false">IF(OR(B1463="",N(O1463)=0),"",N(O1463)+ROUND(MIN(N(N1463),TOPE_UF*UF_MES)*(TASA_EMP+MUTUAL),0)+ROUND(MIN(N(N1463),TOPE_AFC_UF*UF_MES)*IF(S1463="Indefinido",AFC_INDEF,AFC_PF),0))</f>
        <v/>
      </c>
      <c r="U1463" s="62" t="str">
        <f aca="false">IF(C1463="","",IF(LEFT(D1463,1)="⚠","⚠ RUT no registrado en Trabajadores",IF(B1463="","⚠ Falta el mes",IF(OR(ISTEXT(I1463),ISTEXT(J1463)),"⚠ Atrasos u horas extra como texto: escriba hh:mm (ej. 1:30)",IF(AND(ISNUMBER(Q1463),COUNTIFS(M_RUTN,V1463,M_MES,B1463,M_LIQ,"&lt;&gt;")&gt;1),"⚠ Liquidación repetida en el mes",IF(AND(ISNUMBER(O1463),ISNUMBER(P1463),ISNUMBER(Q1463),ABS(O1463-P1463-Q1463)&gt;1),"⚠ Haberes − descuentos no da el líquido","OK"))))))</f>
        <v/>
      </c>
      <c r="V1463" s="62" t="str">
        <f aca="false">IF(C1463="","",IFERROR(VALUE(LEFT(UPPER(SUBSTITUTE(SUBSTITUTE(SUBSTITUTE(TRIM(C1463),".",""),"-","")," ","")),LEN(UPPER(SUBSTITUTE(SUBSTITUTE(SUBSTITUTE(TRIM(C1463),".",""),"-","")," ","")))-1))&amp;RIGHT(UPPER(SUBSTITUTE(SUBSTITUTE(SUBSTITUTE(TRIM(C1463),".",""),"-","")," ","")),1),UPPER(SUBSTITUTE(SUBSTITUTE(SUBSTITUTE(TRIM(C1463),".",""),"-","")," ",""))))</f>
        <v/>
      </c>
    </row>
    <row r="1464" customFormat="false" ht="15" hidden="false" customHeight="false" outlineLevel="0" collapsed="false">
      <c r="B1464" s="80"/>
      <c r="C1464" s="58"/>
      <c r="D1464" s="62" t="str">
        <f aca="false">IF(C1464="","",IFERROR(INDEX(T_NOMBRE,MATCH(V1464,T_RUTN,0)),"⚠ RUT no está en Trabajadores"))</f>
        <v/>
      </c>
      <c r="E1464" s="61"/>
      <c r="F1464" s="61"/>
      <c r="G1464" s="61"/>
      <c r="H1464" s="61"/>
      <c r="I1464" s="81"/>
      <c r="J1464" s="81"/>
      <c r="K1464" s="60"/>
      <c r="L1464" s="60"/>
      <c r="M1464" s="60"/>
      <c r="N1464" s="60"/>
      <c r="O1464" s="60"/>
      <c r="P1464" s="60"/>
      <c r="Q1464" s="60"/>
      <c r="R1464" s="58"/>
      <c r="S1464" s="62" t="str">
        <f aca="false">IF(OR(B1464="",V1464=""),"",IFERROR(INDEX(C_TIPO,MATCH(V1464&amp;"-P"&amp;MAX(1,COUNTIFS(C_RUTN,V1464,C_DEF,"Sí",C_INI,"&lt;="&amp;EOMONTH(B1464,0))),C_CLAVE,0))&amp;"","Sin contrato"))</f>
        <v/>
      </c>
      <c r="T1464" s="63" t="str">
        <f aca="false">IF(OR(B1464="",N(O1464)=0),"",N(O1464)+ROUND(MIN(N(N1464),TOPE_UF*UF_MES)*(TASA_EMP+MUTUAL),0)+ROUND(MIN(N(N1464),TOPE_AFC_UF*UF_MES)*IF(S1464="Indefinido",AFC_INDEF,AFC_PF),0))</f>
        <v/>
      </c>
      <c r="U1464" s="62" t="str">
        <f aca="false">IF(C1464="","",IF(LEFT(D1464,1)="⚠","⚠ RUT no registrado en Trabajadores",IF(B1464="","⚠ Falta el mes",IF(OR(ISTEXT(I1464),ISTEXT(J1464)),"⚠ Atrasos u horas extra como texto: escriba hh:mm (ej. 1:30)",IF(AND(ISNUMBER(Q1464),COUNTIFS(M_RUTN,V1464,M_MES,B1464,M_LIQ,"&lt;&gt;")&gt;1),"⚠ Liquidación repetida en el mes",IF(AND(ISNUMBER(O1464),ISNUMBER(P1464),ISNUMBER(Q1464),ABS(O1464-P1464-Q1464)&gt;1),"⚠ Haberes − descuentos no da el líquido","OK"))))))</f>
        <v/>
      </c>
      <c r="V1464" s="62" t="str">
        <f aca="false">IF(C1464="","",IFERROR(VALUE(LEFT(UPPER(SUBSTITUTE(SUBSTITUTE(SUBSTITUTE(TRIM(C1464),".",""),"-","")," ","")),LEN(UPPER(SUBSTITUTE(SUBSTITUTE(SUBSTITUTE(TRIM(C1464),".",""),"-","")," ","")))-1))&amp;RIGHT(UPPER(SUBSTITUTE(SUBSTITUTE(SUBSTITUTE(TRIM(C1464),".",""),"-","")," ","")),1),UPPER(SUBSTITUTE(SUBSTITUTE(SUBSTITUTE(TRIM(C1464),".",""),"-","")," ",""))))</f>
        <v/>
      </c>
    </row>
    <row r="1465" customFormat="false" ht="15" hidden="false" customHeight="false" outlineLevel="0" collapsed="false">
      <c r="B1465" s="80"/>
      <c r="C1465" s="58"/>
      <c r="D1465" s="62" t="str">
        <f aca="false">IF(C1465="","",IFERROR(INDEX(T_NOMBRE,MATCH(V1465,T_RUTN,0)),"⚠ RUT no está en Trabajadores"))</f>
        <v/>
      </c>
      <c r="E1465" s="61"/>
      <c r="F1465" s="61"/>
      <c r="G1465" s="61"/>
      <c r="H1465" s="61"/>
      <c r="I1465" s="81"/>
      <c r="J1465" s="81"/>
      <c r="K1465" s="60"/>
      <c r="L1465" s="60"/>
      <c r="M1465" s="60"/>
      <c r="N1465" s="60"/>
      <c r="O1465" s="60"/>
      <c r="P1465" s="60"/>
      <c r="Q1465" s="60"/>
      <c r="R1465" s="58"/>
      <c r="S1465" s="62" t="str">
        <f aca="false">IF(OR(B1465="",V1465=""),"",IFERROR(INDEX(C_TIPO,MATCH(V1465&amp;"-P"&amp;MAX(1,COUNTIFS(C_RUTN,V1465,C_DEF,"Sí",C_INI,"&lt;="&amp;EOMONTH(B1465,0))),C_CLAVE,0))&amp;"","Sin contrato"))</f>
        <v/>
      </c>
      <c r="T1465" s="63" t="str">
        <f aca="false">IF(OR(B1465="",N(O1465)=0),"",N(O1465)+ROUND(MIN(N(N1465),TOPE_UF*UF_MES)*(TASA_EMP+MUTUAL),0)+ROUND(MIN(N(N1465),TOPE_AFC_UF*UF_MES)*IF(S1465="Indefinido",AFC_INDEF,AFC_PF),0))</f>
        <v/>
      </c>
      <c r="U1465" s="62" t="str">
        <f aca="false">IF(C1465="","",IF(LEFT(D1465,1)="⚠","⚠ RUT no registrado en Trabajadores",IF(B1465="","⚠ Falta el mes",IF(OR(ISTEXT(I1465),ISTEXT(J1465)),"⚠ Atrasos u horas extra como texto: escriba hh:mm (ej. 1:30)",IF(AND(ISNUMBER(Q1465),COUNTIFS(M_RUTN,V1465,M_MES,B1465,M_LIQ,"&lt;&gt;")&gt;1),"⚠ Liquidación repetida en el mes",IF(AND(ISNUMBER(O1465),ISNUMBER(P1465),ISNUMBER(Q1465),ABS(O1465-P1465-Q1465)&gt;1),"⚠ Haberes − descuentos no da el líquido","OK"))))))</f>
        <v/>
      </c>
      <c r="V1465" s="62" t="str">
        <f aca="false">IF(C1465="","",IFERROR(VALUE(LEFT(UPPER(SUBSTITUTE(SUBSTITUTE(SUBSTITUTE(TRIM(C1465),".",""),"-","")," ","")),LEN(UPPER(SUBSTITUTE(SUBSTITUTE(SUBSTITUTE(TRIM(C1465),".",""),"-","")," ","")))-1))&amp;RIGHT(UPPER(SUBSTITUTE(SUBSTITUTE(SUBSTITUTE(TRIM(C1465),".",""),"-","")," ","")),1),UPPER(SUBSTITUTE(SUBSTITUTE(SUBSTITUTE(TRIM(C1465),".",""),"-","")," ",""))))</f>
        <v/>
      </c>
    </row>
    <row r="1466" customFormat="false" ht="15" hidden="false" customHeight="false" outlineLevel="0" collapsed="false">
      <c r="B1466" s="80"/>
      <c r="C1466" s="58"/>
      <c r="D1466" s="62" t="str">
        <f aca="false">IF(C1466="","",IFERROR(INDEX(T_NOMBRE,MATCH(V1466,T_RUTN,0)),"⚠ RUT no está en Trabajadores"))</f>
        <v/>
      </c>
      <c r="E1466" s="61"/>
      <c r="F1466" s="61"/>
      <c r="G1466" s="61"/>
      <c r="H1466" s="61"/>
      <c r="I1466" s="81"/>
      <c r="J1466" s="81"/>
      <c r="K1466" s="60"/>
      <c r="L1466" s="60"/>
      <c r="M1466" s="60"/>
      <c r="N1466" s="60"/>
      <c r="O1466" s="60"/>
      <c r="P1466" s="60"/>
      <c r="Q1466" s="60"/>
      <c r="R1466" s="58"/>
      <c r="S1466" s="62" t="str">
        <f aca="false">IF(OR(B1466="",V1466=""),"",IFERROR(INDEX(C_TIPO,MATCH(V1466&amp;"-P"&amp;MAX(1,COUNTIFS(C_RUTN,V1466,C_DEF,"Sí",C_INI,"&lt;="&amp;EOMONTH(B1466,0))),C_CLAVE,0))&amp;"","Sin contrato"))</f>
        <v/>
      </c>
      <c r="T1466" s="63" t="str">
        <f aca="false">IF(OR(B1466="",N(O1466)=0),"",N(O1466)+ROUND(MIN(N(N1466),TOPE_UF*UF_MES)*(TASA_EMP+MUTUAL),0)+ROUND(MIN(N(N1466),TOPE_AFC_UF*UF_MES)*IF(S1466="Indefinido",AFC_INDEF,AFC_PF),0))</f>
        <v/>
      </c>
      <c r="U1466" s="62" t="str">
        <f aca="false">IF(C1466="","",IF(LEFT(D1466,1)="⚠","⚠ RUT no registrado en Trabajadores",IF(B1466="","⚠ Falta el mes",IF(OR(ISTEXT(I1466),ISTEXT(J1466)),"⚠ Atrasos u horas extra como texto: escriba hh:mm (ej. 1:30)",IF(AND(ISNUMBER(Q1466),COUNTIFS(M_RUTN,V1466,M_MES,B1466,M_LIQ,"&lt;&gt;")&gt;1),"⚠ Liquidación repetida en el mes",IF(AND(ISNUMBER(O1466),ISNUMBER(P1466),ISNUMBER(Q1466),ABS(O1466-P1466-Q1466)&gt;1),"⚠ Haberes − descuentos no da el líquido","OK"))))))</f>
        <v/>
      </c>
      <c r="V1466" s="62" t="str">
        <f aca="false">IF(C1466="","",IFERROR(VALUE(LEFT(UPPER(SUBSTITUTE(SUBSTITUTE(SUBSTITUTE(TRIM(C1466),".",""),"-","")," ","")),LEN(UPPER(SUBSTITUTE(SUBSTITUTE(SUBSTITUTE(TRIM(C1466),".",""),"-","")," ","")))-1))&amp;RIGHT(UPPER(SUBSTITUTE(SUBSTITUTE(SUBSTITUTE(TRIM(C1466),".",""),"-","")," ","")),1),UPPER(SUBSTITUTE(SUBSTITUTE(SUBSTITUTE(TRIM(C1466),".",""),"-","")," ",""))))</f>
        <v/>
      </c>
    </row>
    <row r="1467" customFormat="false" ht="15" hidden="false" customHeight="false" outlineLevel="0" collapsed="false">
      <c r="B1467" s="80"/>
      <c r="C1467" s="58"/>
      <c r="D1467" s="62" t="str">
        <f aca="false">IF(C1467="","",IFERROR(INDEX(T_NOMBRE,MATCH(V1467,T_RUTN,0)),"⚠ RUT no está en Trabajadores"))</f>
        <v/>
      </c>
      <c r="E1467" s="61"/>
      <c r="F1467" s="61"/>
      <c r="G1467" s="61"/>
      <c r="H1467" s="61"/>
      <c r="I1467" s="81"/>
      <c r="J1467" s="81"/>
      <c r="K1467" s="60"/>
      <c r="L1467" s="60"/>
      <c r="M1467" s="60"/>
      <c r="N1467" s="60"/>
      <c r="O1467" s="60"/>
      <c r="P1467" s="60"/>
      <c r="Q1467" s="60"/>
      <c r="R1467" s="58"/>
      <c r="S1467" s="62" t="str">
        <f aca="false">IF(OR(B1467="",V1467=""),"",IFERROR(INDEX(C_TIPO,MATCH(V1467&amp;"-P"&amp;MAX(1,COUNTIFS(C_RUTN,V1467,C_DEF,"Sí",C_INI,"&lt;="&amp;EOMONTH(B1467,0))),C_CLAVE,0))&amp;"","Sin contrato"))</f>
        <v/>
      </c>
      <c r="T1467" s="63" t="str">
        <f aca="false">IF(OR(B1467="",N(O1467)=0),"",N(O1467)+ROUND(MIN(N(N1467),TOPE_UF*UF_MES)*(TASA_EMP+MUTUAL),0)+ROUND(MIN(N(N1467),TOPE_AFC_UF*UF_MES)*IF(S1467="Indefinido",AFC_INDEF,AFC_PF),0))</f>
        <v/>
      </c>
      <c r="U1467" s="62" t="str">
        <f aca="false">IF(C1467="","",IF(LEFT(D1467,1)="⚠","⚠ RUT no registrado en Trabajadores",IF(B1467="","⚠ Falta el mes",IF(OR(ISTEXT(I1467),ISTEXT(J1467)),"⚠ Atrasos u horas extra como texto: escriba hh:mm (ej. 1:30)",IF(AND(ISNUMBER(Q1467),COUNTIFS(M_RUTN,V1467,M_MES,B1467,M_LIQ,"&lt;&gt;")&gt;1),"⚠ Liquidación repetida en el mes",IF(AND(ISNUMBER(O1467),ISNUMBER(P1467),ISNUMBER(Q1467),ABS(O1467-P1467-Q1467)&gt;1),"⚠ Haberes − descuentos no da el líquido","OK"))))))</f>
        <v/>
      </c>
      <c r="V1467" s="62" t="str">
        <f aca="false">IF(C1467="","",IFERROR(VALUE(LEFT(UPPER(SUBSTITUTE(SUBSTITUTE(SUBSTITUTE(TRIM(C1467),".",""),"-","")," ","")),LEN(UPPER(SUBSTITUTE(SUBSTITUTE(SUBSTITUTE(TRIM(C1467),".",""),"-","")," ","")))-1))&amp;RIGHT(UPPER(SUBSTITUTE(SUBSTITUTE(SUBSTITUTE(TRIM(C1467),".",""),"-","")," ","")),1),UPPER(SUBSTITUTE(SUBSTITUTE(SUBSTITUTE(TRIM(C1467),".",""),"-","")," ",""))))</f>
        <v/>
      </c>
    </row>
    <row r="1468" customFormat="false" ht="15" hidden="false" customHeight="false" outlineLevel="0" collapsed="false">
      <c r="B1468" s="80"/>
      <c r="C1468" s="58"/>
      <c r="D1468" s="62" t="str">
        <f aca="false">IF(C1468="","",IFERROR(INDEX(T_NOMBRE,MATCH(V1468,T_RUTN,0)),"⚠ RUT no está en Trabajadores"))</f>
        <v/>
      </c>
      <c r="E1468" s="61"/>
      <c r="F1468" s="61"/>
      <c r="G1468" s="61"/>
      <c r="H1468" s="61"/>
      <c r="I1468" s="81"/>
      <c r="J1468" s="81"/>
      <c r="K1468" s="60"/>
      <c r="L1468" s="60"/>
      <c r="M1468" s="60"/>
      <c r="N1468" s="60"/>
      <c r="O1468" s="60"/>
      <c r="P1468" s="60"/>
      <c r="Q1468" s="60"/>
      <c r="R1468" s="58"/>
      <c r="S1468" s="62" t="str">
        <f aca="false">IF(OR(B1468="",V1468=""),"",IFERROR(INDEX(C_TIPO,MATCH(V1468&amp;"-P"&amp;MAX(1,COUNTIFS(C_RUTN,V1468,C_DEF,"Sí",C_INI,"&lt;="&amp;EOMONTH(B1468,0))),C_CLAVE,0))&amp;"","Sin contrato"))</f>
        <v/>
      </c>
      <c r="T1468" s="63" t="str">
        <f aca="false">IF(OR(B1468="",N(O1468)=0),"",N(O1468)+ROUND(MIN(N(N1468),TOPE_UF*UF_MES)*(TASA_EMP+MUTUAL),0)+ROUND(MIN(N(N1468),TOPE_AFC_UF*UF_MES)*IF(S1468="Indefinido",AFC_INDEF,AFC_PF),0))</f>
        <v/>
      </c>
      <c r="U1468" s="62" t="str">
        <f aca="false">IF(C1468="","",IF(LEFT(D1468,1)="⚠","⚠ RUT no registrado en Trabajadores",IF(B1468="","⚠ Falta el mes",IF(OR(ISTEXT(I1468),ISTEXT(J1468)),"⚠ Atrasos u horas extra como texto: escriba hh:mm (ej. 1:30)",IF(AND(ISNUMBER(Q1468),COUNTIFS(M_RUTN,V1468,M_MES,B1468,M_LIQ,"&lt;&gt;")&gt;1),"⚠ Liquidación repetida en el mes",IF(AND(ISNUMBER(O1468),ISNUMBER(P1468),ISNUMBER(Q1468),ABS(O1468-P1468-Q1468)&gt;1),"⚠ Haberes − descuentos no da el líquido","OK"))))))</f>
        <v/>
      </c>
      <c r="V1468" s="62" t="str">
        <f aca="false">IF(C1468="","",IFERROR(VALUE(LEFT(UPPER(SUBSTITUTE(SUBSTITUTE(SUBSTITUTE(TRIM(C1468),".",""),"-","")," ","")),LEN(UPPER(SUBSTITUTE(SUBSTITUTE(SUBSTITUTE(TRIM(C1468),".",""),"-","")," ","")))-1))&amp;RIGHT(UPPER(SUBSTITUTE(SUBSTITUTE(SUBSTITUTE(TRIM(C1468),".",""),"-","")," ","")),1),UPPER(SUBSTITUTE(SUBSTITUTE(SUBSTITUTE(TRIM(C1468),".",""),"-","")," ",""))))</f>
        <v/>
      </c>
    </row>
    <row r="1469" customFormat="false" ht="15" hidden="false" customHeight="false" outlineLevel="0" collapsed="false">
      <c r="B1469" s="80"/>
      <c r="C1469" s="58"/>
      <c r="D1469" s="62" t="str">
        <f aca="false">IF(C1469="","",IFERROR(INDEX(T_NOMBRE,MATCH(V1469,T_RUTN,0)),"⚠ RUT no está en Trabajadores"))</f>
        <v/>
      </c>
      <c r="E1469" s="61"/>
      <c r="F1469" s="61"/>
      <c r="G1469" s="61"/>
      <c r="H1469" s="61"/>
      <c r="I1469" s="81"/>
      <c r="J1469" s="81"/>
      <c r="K1469" s="60"/>
      <c r="L1469" s="60"/>
      <c r="M1469" s="60"/>
      <c r="N1469" s="60"/>
      <c r="O1469" s="60"/>
      <c r="P1469" s="60"/>
      <c r="Q1469" s="60"/>
      <c r="R1469" s="58"/>
      <c r="S1469" s="62" t="str">
        <f aca="false">IF(OR(B1469="",V1469=""),"",IFERROR(INDEX(C_TIPO,MATCH(V1469&amp;"-P"&amp;MAX(1,COUNTIFS(C_RUTN,V1469,C_DEF,"Sí",C_INI,"&lt;="&amp;EOMONTH(B1469,0))),C_CLAVE,0))&amp;"","Sin contrato"))</f>
        <v/>
      </c>
      <c r="T1469" s="63" t="str">
        <f aca="false">IF(OR(B1469="",N(O1469)=0),"",N(O1469)+ROUND(MIN(N(N1469),TOPE_UF*UF_MES)*(TASA_EMP+MUTUAL),0)+ROUND(MIN(N(N1469),TOPE_AFC_UF*UF_MES)*IF(S1469="Indefinido",AFC_INDEF,AFC_PF),0))</f>
        <v/>
      </c>
      <c r="U1469" s="62" t="str">
        <f aca="false">IF(C1469="","",IF(LEFT(D1469,1)="⚠","⚠ RUT no registrado en Trabajadores",IF(B1469="","⚠ Falta el mes",IF(OR(ISTEXT(I1469),ISTEXT(J1469)),"⚠ Atrasos u horas extra como texto: escriba hh:mm (ej. 1:30)",IF(AND(ISNUMBER(Q1469),COUNTIFS(M_RUTN,V1469,M_MES,B1469,M_LIQ,"&lt;&gt;")&gt;1),"⚠ Liquidación repetida en el mes",IF(AND(ISNUMBER(O1469),ISNUMBER(P1469),ISNUMBER(Q1469),ABS(O1469-P1469-Q1469)&gt;1),"⚠ Haberes − descuentos no da el líquido","OK"))))))</f>
        <v/>
      </c>
      <c r="V1469" s="62" t="str">
        <f aca="false">IF(C1469="","",IFERROR(VALUE(LEFT(UPPER(SUBSTITUTE(SUBSTITUTE(SUBSTITUTE(TRIM(C1469),".",""),"-","")," ","")),LEN(UPPER(SUBSTITUTE(SUBSTITUTE(SUBSTITUTE(TRIM(C1469),".",""),"-","")," ","")))-1))&amp;RIGHT(UPPER(SUBSTITUTE(SUBSTITUTE(SUBSTITUTE(TRIM(C1469),".",""),"-","")," ","")),1),UPPER(SUBSTITUTE(SUBSTITUTE(SUBSTITUTE(TRIM(C1469),".",""),"-","")," ",""))))</f>
        <v/>
      </c>
    </row>
    <row r="1470" customFormat="false" ht="15" hidden="false" customHeight="false" outlineLevel="0" collapsed="false">
      <c r="B1470" s="80"/>
      <c r="C1470" s="58"/>
      <c r="D1470" s="62" t="str">
        <f aca="false">IF(C1470="","",IFERROR(INDEX(T_NOMBRE,MATCH(V1470,T_RUTN,0)),"⚠ RUT no está en Trabajadores"))</f>
        <v/>
      </c>
      <c r="E1470" s="61"/>
      <c r="F1470" s="61"/>
      <c r="G1470" s="61"/>
      <c r="H1470" s="61"/>
      <c r="I1470" s="81"/>
      <c r="J1470" s="81"/>
      <c r="K1470" s="60"/>
      <c r="L1470" s="60"/>
      <c r="M1470" s="60"/>
      <c r="N1470" s="60"/>
      <c r="O1470" s="60"/>
      <c r="P1470" s="60"/>
      <c r="Q1470" s="60"/>
      <c r="R1470" s="58"/>
      <c r="S1470" s="62" t="str">
        <f aca="false">IF(OR(B1470="",V1470=""),"",IFERROR(INDEX(C_TIPO,MATCH(V1470&amp;"-P"&amp;MAX(1,COUNTIFS(C_RUTN,V1470,C_DEF,"Sí",C_INI,"&lt;="&amp;EOMONTH(B1470,0))),C_CLAVE,0))&amp;"","Sin contrato"))</f>
        <v/>
      </c>
      <c r="T1470" s="63" t="str">
        <f aca="false">IF(OR(B1470="",N(O1470)=0),"",N(O1470)+ROUND(MIN(N(N1470),TOPE_UF*UF_MES)*(TASA_EMP+MUTUAL),0)+ROUND(MIN(N(N1470),TOPE_AFC_UF*UF_MES)*IF(S1470="Indefinido",AFC_INDEF,AFC_PF),0))</f>
        <v/>
      </c>
      <c r="U1470" s="62" t="str">
        <f aca="false">IF(C1470="","",IF(LEFT(D1470,1)="⚠","⚠ RUT no registrado en Trabajadores",IF(B1470="","⚠ Falta el mes",IF(OR(ISTEXT(I1470),ISTEXT(J1470)),"⚠ Atrasos u horas extra como texto: escriba hh:mm (ej. 1:30)",IF(AND(ISNUMBER(Q1470),COUNTIFS(M_RUTN,V1470,M_MES,B1470,M_LIQ,"&lt;&gt;")&gt;1),"⚠ Liquidación repetida en el mes",IF(AND(ISNUMBER(O1470),ISNUMBER(P1470),ISNUMBER(Q1470),ABS(O1470-P1470-Q1470)&gt;1),"⚠ Haberes − descuentos no da el líquido","OK"))))))</f>
        <v/>
      </c>
      <c r="V1470" s="62" t="str">
        <f aca="false">IF(C1470="","",IFERROR(VALUE(LEFT(UPPER(SUBSTITUTE(SUBSTITUTE(SUBSTITUTE(TRIM(C1470),".",""),"-","")," ","")),LEN(UPPER(SUBSTITUTE(SUBSTITUTE(SUBSTITUTE(TRIM(C1470),".",""),"-","")," ","")))-1))&amp;RIGHT(UPPER(SUBSTITUTE(SUBSTITUTE(SUBSTITUTE(TRIM(C1470),".",""),"-","")," ","")),1),UPPER(SUBSTITUTE(SUBSTITUTE(SUBSTITUTE(TRIM(C1470),".",""),"-","")," ",""))))</f>
        <v/>
      </c>
    </row>
    <row r="1471" customFormat="false" ht="15" hidden="false" customHeight="false" outlineLevel="0" collapsed="false">
      <c r="B1471" s="80"/>
      <c r="C1471" s="58"/>
      <c r="D1471" s="62" t="str">
        <f aca="false">IF(C1471="","",IFERROR(INDEX(T_NOMBRE,MATCH(V1471,T_RUTN,0)),"⚠ RUT no está en Trabajadores"))</f>
        <v/>
      </c>
      <c r="E1471" s="61"/>
      <c r="F1471" s="61"/>
      <c r="G1471" s="61"/>
      <c r="H1471" s="61"/>
      <c r="I1471" s="81"/>
      <c r="J1471" s="81"/>
      <c r="K1471" s="60"/>
      <c r="L1471" s="60"/>
      <c r="M1471" s="60"/>
      <c r="N1471" s="60"/>
      <c r="O1471" s="60"/>
      <c r="P1471" s="60"/>
      <c r="Q1471" s="60"/>
      <c r="R1471" s="58"/>
      <c r="S1471" s="62" t="str">
        <f aca="false">IF(OR(B1471="",V1471=""),"",IFERROR(INDEX(C_TIPO,MATCH(V1471&amp;"-P"&amp;MAX(1,COUNTIFS(C_RUTN,V1471,C_DEF,"Sí",C_INI,"&lt;="&amp;EOMONTH(B1471,0))),C_CLAVE,0))&amp;"","Sin contrato"))</f>
        <v/>
      </c>
      <c r="T1471" s="63" t="str">
        <f aca="false">IF(OR(B1471="",N(O1471)=0),"",N(O1471)+ROUND(MIN(N(N1471),TOPE_UF*UF_MES)*(TASA_EMP+MUTUAL),0)+ROUND(MIN(N(N1471),TOPE_AFC_UF*UF_MES)*IF(S1471="Indefinido",AFC_INDEF,AFC_PF),0))</f>
        <v/>
      </c>
      <c r="U1471" s="62" t="str">
        <f aca="false">IF(C1471="","",IF(LEFT(D1471,1)="⚠","⚠ RUT no registrado en Trabajadores",IF(B1471="","⚠ Falta el mes",IF(OR(ISTEXT(I1471),ISTEXT(J1471)),"⚠ Atrasos u horas extra como texto: escriba hh:mm (ej. 1:30)",IF(AND(ISNUMBER(Q1471),COUNTIFS(M_RUTN,V1471,M_MES,B1471,M_LIQ,"&lt;&gt;")&gt;1),"⚠ Liquidación repetida en el mes",IF(AND(ISNUMBER(O1471),ISNUMBER(P1471),ISNUMBER(Q1471),ABS(O1471-P1471-Q1471)&gt;1),"⚠ Haberes − descuentos no da el líquido","OK"))))))</f>
        <v/>
      </c>
      <c r="V1471" s="62" t="str">
        <f aca="false">IF(C1471="","",IFERROR(VALUE(LEFT(UPPER(SUBSTITUTE(SUBSTITUTE(SUBSTITUTE(TRIM(C1471),".",""),"-","")," ","")),LEN(UPPER(SUBSTITUTE(SUBSTITUTE(SUBSTITUTE(TRIM(C1471),".",""),"-","")," ","")))-1))&amp;RIGHT(UPPER(SUBSTITUTE(SUBSTITUTE(SUBSTITUTE(TRIM(C1471),".",""),"-","")," ","")),1),UPPER(SUBSTITUTE(SUBSTITUTE(SUBSTITUTE(TRIM(C1471),".",""),"-","")," ",""))))</f>
        <v/>
      </c>
    </row>
    <row r="1472" customFormat="false" ht="15" hidden="false" customHeight="false" outlineLevel="0" collapsed="false">
      <c r="B1472" s="80"/>
      <c r="C1472" s="58"/>
      <c r="D1472" s="62" t="str">
        <f aca="false">IF(C1472="","",IFERROR(INDEX(T_NOMBRE,MATCH(V1472,T_RUTN,0)),"⚠ RUT no está en Trabajadores"))</f>
        <v/>
      </c>
      <c r="E1472" s="61"/>
      <c r="F1472" s="61"/>
      <c r="G1472" s="61"/>
      <c r="H1472" s="61"/>
      <c r="I1472" s="81"/>
      <c r="J1472" s="81"/>
      <c r="K1472" s="60"/>
      <c r="L1472" s="60"/>
      <c r="M1472" s="60"/>
      <c r="N1472" s="60"/>
      <c r="O1472" s="60"/>
      <c r="P1472" s="60"/>
      <c r="Q1472" s="60"/>
      <c r="R1472" s="58"/>
      <c r="S1472" s="62" t="str">
        <f aca="false">IF(OR(B1472="",V1472=""),"",IFERROR(INDEX(C_TIPO,MATCH(V1472&amp;"-P"&amp;MAX(1,COUNTIFS(C_RUTN,V1472,C_DEF,"Sí",C_INI,"&lt;="&amp;EOMONTH(B1472,0))),C_CLAVE,0))&amp;"","Sin contrato"))</f>
        <v/>
      </c>
      <c r="T1472" s="63" t="str">
        <f aca="false">IF(OR(B1472="",N(O1472)=0),"",N(O1472)+ROUND(MIN(N(N1472),TOPE_UF*UF_MES)*(TASA_EMP+MUTUAL),0)+ROUND(MIN(N(N1472),TOPE_AFC_UF*UF_MES)*IF(S1472="Indefinido",AFC_INDEF,AFC_PF),0))</f>
        <v/>
      </c>
      <c r="U1472" s="62" t="str">
        <f aca="false">IF(C1472="","",IF(LEFT(D1472,1)="⚠","⚠ RUT no registrado en Trabajadores",IF(B1472="","⚠ Falta el mes",IF(OR(ISTEXT(I1472),ISTEXT(J1472)),"⚠ Atrasos u horas extra como texto: escriba hh:mm (ej. 1:30)",IF(AND(ISNUMBER(Q1472),COUNTIFS(M_RUTN,V1472,M_MES,B1472,M_LIQ,"&lt;&gt;")&gt;1),"⚠ Liquidación repetida en el mes",IF(AND(ISNUMBER(O1472),ISNUMBER(P1472),ISNUMBER(Q1472),ABS(O1472-P1472-Q1472)&gt;1),"⚠ Haberes − descuentos no da el líquido","OK"))))))</f>
        <v/>
      </c>
      <c r="V1472" s="62" t="str">
        <f aca="false">IF(C1472="","",IFERROR(VALUE(LEFT(UPPER(SUBSTITUTE(SUBSTITUTE(SUBSTITUTE(TRIM(C1472),".",""),"-","")," ","")),LEN(UPPER(SUBSTITUTE(SUBSTITUTE(SUBSTITUTE(TRIM(C1472),".",""),"-","")," ","")))-1))&amp;RIGHT(UPPER(SUBSTITUTE(SUBSTITUTE(SUBSTITUTE(TRIM(C1472),".",""),"-","")," ","")),1),UPPER(SUBSTITUTE(SUBSTITUTE(SUBSTITUTE(TRIM(C1472),".",""),"-","")," ",""))))</f>
        <v/>
      </c>
    </row>
    <row r="1473" customFormat="false" ht="15" hidden="false" customHeight="false" outlineLevel="0" collapsed="false">
      <c r="B1473" s="80"/>
      <c r="C1473" s="58"/>
      <c r="D1473" s="62" t="str">
        <f aca="false">IF(C1473="","",IFERROR(INDEX(T_NOMBRE,MATCH(V1473,T_RUTN,0)),"⚠ RUT no está en Trabajadores"))</f>
        <v/>
      </c>
      <c r="E1473" s="61"/>
      <c r="F1473" s="61"/>
      <c r="G1473" s="61"/>
      <c r="H1473" s="61"/>
      <c r="I1473" s="81"/>
      <c r="J1473" s="81"/>
      <c r="K1473" s="60"/>
      <c r="L1473" s="60"/>
      <c r="M1473" s="60"/>
      <c r="N1473" s="60"/>
      <c r="O1473" s="60"/>
      <c r="P1473" s="60"/>
      <c r="Q1473" s="60"/>
      <c r="R1473" s="58"/>
      <c r="S1473" s="62" t="str">
        <f aca="false">IF(OR(B1473="",V1473=""),"",IFERROR(INDEX(C_TIPO,MATCH(V1473&amp;"-P"&amp;MAX(1,COUNTIFS(C_RUTN,V1473,C_DEF,"Sí",C_INI,"&lt;="&amp;EOMONTH(B1473,0))),C_CLAVE,0))&amp;"","Sin contrato"))</f>
        <v/>
      </c>
      <c r="T1473" s="63" t="str">
        <f aca="false">IF(OR(B1473="",N(O1473)=0),"",N(O1473)+ROUND(MIN(N(N1473),TOPE_UF*UF_MES)*(TASA_EMP+MUTUAL),0)+ROUND(MIN(N(N1473),TOPE_AFC_UF*UF_MES)*IF(S1473="Indefinido",AFC_INDEF,AFC_PF),0))</f>
        <v/>
      </c>
      <c r="U1473" s="62" t="str">
        <f aca="false">IF(C1473="","",IF(LEFT(D1473,1)="⚠","⚠ RUT no registrado en Trabajadores",IF(B1473="","⚠ Falta el mes",IF(OR(ISTEXT(I1473),ISTEXT(J1473)),"⚠ Atrasos u horas extra como texto: escriba hh:mm (ej. 1:30)",IF(AND(ISNUMBER(Q1473),COUNTIFS(M_RUTN,V1473,M_MES,B1473,M_LIQ,"&lt;&gt;")&gt;1),"⚠ Liquidación repetida en el mes",IF(AND(ISNUMBER(O1473),ISNUMBER(P1473),ISNUMBER(Q1473),ABS(O1473-P1473-Q1473)&gt;1),"⚠ Haberes − descuentos no da el líquido","OK"))))))</f>
        <v/>
      </c>
      <c r="V1473" s="62" t="str">
        <f aca="false">IF(C1473="","",IFERROR(VALUE(LEFT(UPPER(SUBSTITUTE(SUBSTITUTE(SUBSTITUTE(TRIM(C1473),".",""),"-","")," ","")),LEN(UPPER(SUBSTITUTE(SUBSTITUTE(SUBSTITUTE(TRIM(C1473),".",""),"-","")," ","")))-1))&amp;RIGHT(UPPER(SUBSTITUTE(SUBSTITUTE(SUBSTITUTE(TRIM(C1473),".",""),"-","")," ","")),1),UPPER(SUBSTITUTE(SUBSTITUTE(SUBSTITUTE(TRIM(C1473),".",""),"-","")," ",""))))</f>
        <v/>
      </c>
    </row>
    <row r="1474" customFormat="false" ht="15" hidden="false" customHeight="false" outlineLevel="0" collapsed="false">
      <c r="B1474" s="80"/>
      <c r="C1474" s="58"/>
      <c r="D1474" s="62" t="str">
        <f aca="false">IF(C1474="","",IFERROR(INDEX(T_NOMBRE,MATCH(V1474,T_RUTN,0)),"⚠ RUT no está en Trabajadores"))</f>
        <v/>
      </c>
      <c r="E1474" s="61"/>
      <c r="F1474" s="61"/>
      <c r="G1474" s="61"/>
      <c r="H1474" s="61"/>
      <c r="I1474" s="81"/>
      <c r="J1474" s="81"/>
      <c r="K1474" s="60"/>
      <c r="L1474" s="60"/>
      <c r="M1474" s="60"/>
      <c r="N1474" s="60"/>
      <c r="O1474" s="60"/>
      <c r="P1474" s="60"/>
      <c r="Q1474" s="60"/>
      <c r="R1474" s="58"/>
      <c r="S1474" s="62" t="str">
        <f aca="false">IF(OR(B1474="",V1474=""),"",IFERROR(INDEX(C_TIPO,MATCH(V1474&amp;"-P"&amp;MAX(1,COUNTIFS(C_RUTN,V1474,C_DEF,"Sí",C_INI,"&lt;="&amp;EOMONTH(B1474,0))),C_CLAVE,0))&amp;"","Sin contrato"))</f>
        <v/>
      </c>
      <c r="T1474" s="63" t="str">
        <f aca="false">IF(OR(B1474="",N(O1474)=0),"",N(O1474)+ROUND(MIN(N(N1474),TOPE_UF*UF_MES)*(TASA_EMP+MUTUAL),0)+ROUND(MIN(N(N1474),TOPE_AFC_UF*UF_MES)*IF(S1474="Indefinido",AFC_INDEF,AFC_PF),0))</f>
        <v/>
      </c>
      <c r="U1474" s="62" t="str">
        <f aca="false">IF(C1474="","",IF(LEFT(D1474,1)="⚠","⚠ RUT no registrado en Trabajadores",IF(B1474="","⚠ Falta el mes",IF(OR(ISTEXT(I1474),ISTEXT(J1474)),"⚠ Atrasos u horas extra como texto: escriba hh:mm (ej. 1:30)",IF(AND(ISNUMBER(Q1474),COUNTIFS(M_RUTN,V1474,M_MES,B1474,M_LIQ,"&lt;&gt;")&gt;1),"⚠ Liquidación repetida en el mes",IF(AND(ISNUMBER(O1474),ISNUMBER(P1474),ISNUMBER(Q1474),ABS(O1474-P1474-Q1474)&gt;1),"⚠ Haberes − descuentos no da el líquido","OK"))))))</f>
        <v/>
      </c>
      <c r="V1474" s="62" t="str">
        <f aca="false">IF(C1474="","",IFERROR(VALUE(LEFT(UPPER(SUBSTITUTE(SUBSTITUTE(SUBSTITUTE(TRIM(C1474),".",""),"-","")," ","")),LEN(UPPER(SUBSTITUTE(SUBSTITUTE(SUBSTITUTE(TRIM(C1474),".",""),"-","")," ","")))-1))&amp;RIGHT(UPPER(SUBSTITUTE(SUBSTITUTE(SUBSTITUTE(TRIM(C1474),".",""),"-","")," ","")),1),UPPER(SUBSTITUTE(SUBSTITUTE(SUBSTITUTE(TRIM(C1474),".",""),"-","")," ",""))))</f>
        <v/>
      </c>
    </row>
    <row r="1475" customFormat="false" ht="15" hidden="false" customHeight="false" outlineLevel="0" collapsed="false">
      <c r="B1475" s="80"/>
      <c r="C1475" s="58"/>
      <c r="D1475" s="62" t="str">
        <f aca="false">IF(C1475="","",IFERROR(INDEX(T_NOMBRE,MATCH(V1475,T_RUTN,0)),"⚠ RUT no está en Trabajadores"))</f>
        <v/>
      </c>
      <c r="E1475" s="61"/>
      <c r="F1475" s="61"/>
      <c r="G1475" s="61"/>
      <c r="H1475" s="61"/>
      <c r="I1475" s="81"/>
      <c r="J1475" s="81"/>
      <c r="K1475" s="60"/>
      <c r="L1475" s="60"/>
      <c r="M1475" s="60"/>
      <c r="N1475" s="60"/>
      <c r="O1475" s="60"/>
      <c r="P1475" s="60"/>
      <c r="Q1475" s="60"/>
      <c r="R1475" s="58"/>
      <c r="S1475" s="62" t="str">
        <f aca="false">IF(OR(B1475="",V1475=""),"",IFERROR(INDEX(C_TIPO,MATCH(V1475&amp;"-P"&amp;MAX(1,COUNTIFS(C_RUTN,V1475,C_DEF,"Sí",C_INI,"&lt;="&amp;EOMONTH(B1475,0))),C_CLAVE,0))&amp;"","Sin contrato"))</f>
        <v/>
      </c>
      <c r="T1475" s="63" t="str">
        <f aca="false">IF(OR(B1475="",N(O1475)=0),"",N(O1475)+ROUND(MIN(N(N1475),TOPE_UF*UF_MES)*(TASA_EMP+MUTUAL),0)+ROUND(MIN(N(N1475),TOPE_AFC_UF*UF_MES)*IF(S1475="Indefinido",AFC_INDEF,AFC_PF),0))</f>
        <v/>
      </c>
      <c r="U1475" s="62" t="str">
        <f aca="false">IF(C1475="","",IF(LEFT(D1475,1)="⚠","⚠ RUT no registrado en Trabajadores",IF(B1475="","⚠ Falta el mes",IF(OR(ISTEXT(I1475),ISTEXT(J1475)),"⚠ Atrasos u horas extra como texto: escriba hh:mm (ej. 1:30)",IF(AND(ISNUMBER(Q1475),COUNTIFS(M_RUTN,V1475,M_MES,B1475,M_LIQ,"&lt;&gt;")&gt;1),"⚠ Liquidación repetida en el mes",IF(AND(ISNUMBER(O1475),ISNUMBER(P1475),ISNUMBER(Q1475),ABS(O1475-P1475-Q1475)&gt;1),"⚠ Haberes − descuentos no da el líquido","OK"))))))</f>
        <v/>
      </c>
      <c r="V1475" s="62" t="str">
        <f aca="false">IF(C1475="","",IFERROR(VALUE(LEFT(UPPER(SUBSTITUTE(SUBSTITUTE(SUBSTITUTE(TRIM(C1475),".",""),"-","")," ","")),LEN(UPPER(SUBSTITUTE(SUBSTITUTE(SUBSTITUTE(TRIM(C1475),".",""),"-","")," ","")))-1))&amp;RIGHT(UPPER(SUBSTITUTE(SUBSTITUTE(SUBSTITUTE(TRIM(C1475),".",""),"-","")," ","")),1),UPPER(SUBSTITUTE(SUBSTITUTE(SUBSTITUTE(TRIM(C1475),".",""),"-","")," ",""))))</f>
        <v/>
      </c>
    </row>
    <row r="1476" customFormat="false" ht="15" hidden="false" customHeight="false" outlineLevel="0" collapsed="false">
      <c r="B1476" s="80"/>
      <c r="C1476" s="58"/>
      <c r="D1476" s="62" t="str">
        <f aca="false">IF(C1476="","",IFERROR(INDEX(T_NOMBRE,MATCH(V1476,T_RUTN,0)),"⚠ RUT no está en Trabajadores"))</f>
        <v/>
      </c>
      <c r="E1476" s="61"/>
      <c r="F1476" s="61"/>
      <c r="G1476" s="61"/>
      <c r="H1476" s="61"/>
      <c r="I1476" s="81"/>
      <c r="J1476" s="81"/>
      <c r="K1476" s="60"/>
      <c r="L1476" s="60"/>
      <c r="M1476" s="60"/>
      <c r="N1476" s="60"/>
      <c r="O1476" s="60"/>
      <c r="P1476" s="60"/>
      <c r="Q1476" s="60"/>
      <c r="R1476" s="58"/>
      <c r="S1476" s="62" t="str">
        <f aca="false">IF(OR(B1476="",V1476=""),"",IFERROR(INDEX(C_TIPO,MATCH(V1476&amp;"-P"&amp;MAX(1,COUNTIFS(C_RUTN,V1476,C_DEF,"Sí",C_INI,"&lt;="&amp;EOMONTH(B1476,0))),C_CLAVE,0))&amp;"","Sin contrato"))</f>
        <v/>
      </c>
      <c r="T1476" s="63" t="str">
        <f aca="false">IF(OR(B1476="",N(O1476)=0),"",N(O1476)+ROUND(MIN(N(N1476),TOPE_UF*UF_MES)*(TASA_EMP+MUTUAL),0)+ROUND(MIN(N(N1476),TOPE_AFC_UF*UF_MES)*IF(S1476="Indefinido",AFC_INDEF,AFC_PF),0))</f>
        <v/>
      </c>
      <c r="U1476" s="62" t="str">
        <f aca="false">IF(C1476="","",IF(LEFT(D1476,1)="⚠","⚠ RUT no registrado en Trabajadores",IF(B1476="","⚠ Falta el mes",IF(OR(ISTEXT(I1476),ISTEXT(J1476)),"⚠ Atrasos u horas extra como texto: escriba hh:mm (ej. 1:30)",IF(AND(ISNUMBER(Q1476),COUNTIFS(M_RUTN,V1476,M_MES,B1476,M_LIQ,"&lt;&gt;")&gt;1),"⚠ Liquidación repetida en el mes",IF(AND(ISNUMBER(O1476),ISNUMBER(P1476),ISNUMBER(Q1476),ABS(O1476-P1476-Q1476)&gt;1),"⚠ Haberes − descuentos no da el líquido","OK"))))))</f>
        <v/>
      </c>
      <c r="V1476" s="62" t="str">
        <f aca="false">IF(C1476="","",IFERROR(VALUE(LEFT(UPPER(SUBSTITUTE(SUBSTITUTE(SUBSTITUTE(TRIM(C1476),".",""),"-","")," ","")),LEN(UPPER(SUBSTITUTE(SUBSTITUTE(SUBSTITUTE(TRIM(C1476),".",""),"-","")," ","")))-1))&amp;RIGHT(UPPER(SUBSTITUTE(SUBSTITUTE(SUBSTITUTE(TRIM(C1476),".",""),"-","")," ","")),1),UPPER(SUBSTITUTE(SUBSTITUTE(SUBSTITUTE(TRIM(C1476),".",""),"-","")," ",""))))</f>
        <v/>
      </c>
    </row>
    <row r="1477" customFormat="false" ht="15" hidden="false" customHeight="false" outlineLevel="0" collapsed="false">
      <c r="B1477" s="80"/>
      <c r="C1477" s="58"/>
      <c r="D1477" s="62" t="str">
        <f aca="false">IF(C1477="","",IFERROR(INDEX(T_NOMBRE,MATCH(V1477,T_RUTN,0)),"⚠ RUT no está en Trabajadores"))</f>
        <v/>
      </c>
      <c r="E1477" s="61"/>
      <c r="F1477" s="61"/>
      <c r="G1477" s="61"/>
      <c r="H1477" s="61"/>
      <c r="I1477" s="81"/>
      <c r="J1477" s="81"/>
      <c r="K1477" s="60"/>
      <c r="L1477" s="60"/>
      <c r="M1477" s="60"/>
      <c r="N1477" s="60"/>
      <c r="O1477" s="60"/>
      <c r="P1477" s="60"/>
      <c r="Q1477" s="60"/>
      <c r="R1477" s="58"/>
      <c r="S1477" s="62" t="str">
        <f aca="false">IF(OR(B1477="",V1477=""),"",IFERROR(INDEX(C_TIPO,MATCH(V1477&amp;"-P"&amp;MAX(1,COUNTIFS(C_RUTN,V1477,C_DEF,"Sí",C_INI,"&lt;="&amp;EOMONTH(B1477,0))),C_CLAVE,0))&amp;"","Sin contrato"))</f>
        <v/>
      </c>
      <c r="T1477" s="63" t="str">
        <f aca="false">IF(OR(B1477="",N(O1477)=0),"",N(O1477)+ROUND(MIN(N(N1477),TOPE_UF*UF_MES)*(TASA_EMP+MUTUAL),0)+ROUND(MIN(N(N1477),TOPE_AFC_UF*UF_MES)*IF(S1477="Indefinido",AFC_INDEF,AFC_PF),0))</f>
        <v/>
      </c>
      <c r="U1477" s="62" t="str">
        <f aca="false">IF(C1477="","",IF(LEFT(D1477,1)="⚠","⚠ RUT no registrado en Trabajadores",IF(B1477="","⚠ Falta el mes",IF(OR(ISTEXT(I1477),ISTEXT(J1477)),"⚠ Atrasos u horas extra como texto: escriba hh:mm (ej. 1:30)",IF(AND(ISNUMBER(Q1477),COUNTIFS(M_RUTN,V1477,M_MES,B1477,M_LIQ,"&lt;&gt;")&gt;1),"⚠ Liquidación repetida en el mes",IF(AND(ISNUMBER(O1477),ISNUMBER(P1477),ISNUMBER(Q1477),ABS(O1477-P1477-Q1477)&gt;1),"⚠ Haberes − descuentos no da el líquido","OK"))))))</f>
        <v/>
      </c>
      <c r="V1477" s="62" t="str">
        <f aca="false">IF(C1477="","",IFERROR(VALUE(LEFT(UPPER(SUBSTITUTE(SUBSTITUTE(SUBSTITUTE(TRIM(C1477),".",""),"-","")," ","")),LEN(UPPER(SUBSTITUTE(SUBSTITUTE(SUBSTITUTE(TRIM(C1477),".",""),"-","")," ","")))-1))&amp;RIGHT(UPPER(SUBSTITUTE(SUBSTITUTE(SUBSTITUTE(TRIM(C1477),".",""),"-","")," ","")),1),UPPER(SUBSTITUTE(SUBSTITUTE(SUBSTITUTE(TRIM(C1477),".",""),"-","")," ",""))))</f>
        <v/>
      </c>
    </row>
    <row r="1478" customFormat="false" ht="15" hidden="false" customHeight="false" outlineLevel="0" collapsed="false">
      <c r="B1478" s="80"/>
      <c r="C1478" s="58"/>
      <c r="D1478" s="62" t="str">
        <f aca="false">IF(C1478="","",IFERROR(INDEX(T_NOMBRE,MATCH(V1478,T_RUTN,0)),"⚠ RUT no está en Trabajadores"))</f>
        <v/>
      </c>
      <c r="E1478" s="61"/>
      <c r="F1478" s="61"/>
      <c r="G1478" s="61"/>
      <c r="H1478" s="61"/>
      <c r="I1478" s="81"/>
      <c r="J1478" s="81"/>
      <c r="K1478" s="60"/>
      <c r="L1478" s="60"/>
      <c r="M1478" s="60"/>
      <c r="N1478" s="60"/>
      <c r="O1478" s="60"/>
      <c r="P1478" s="60"/>
      <c r="Q1478" s="60"/>
      <c r="R1478" s="58"/>
      <c r="S1478" s="62" t="str">
        <f aca="false">IF(OR(B1478="",V1478=""),"",IFERROR(INDEX(C_TIPO,MATCH(V1478&amp;"-P"&amp;MAX(1,COUNTIFS(C_RUTN,V1478,C_DEF,"Sí",C_INI,"&lt;="&amp;EOMONTH(B1478,0))),C_CLAVE,0))&amp;"","Sin contrato"))</f>
        <v/>
      </c>
      <c r="T1478" s="63" t="str">
        <f aca="false">IF(OR(B1478="",N(O1478)=0),"",N(O1478)+ROUND(MIN(N(N1478),TOPE_UF*UF_MES)*(TASA_EMP+MUTUAL),0)+ROUND(MIN(N(N1478),TOPE_AFC_UF*UF_MES)*IF(S1478="Indefinido",AFC_INDEF,AFC_PF),0))</f>
        <v/>
      </c>
      <c r="U1478" s="62" t="str">
        <f aca="false">IF(C1478="","",IF(LEFT(D1478,1)="⚠","⚠ RUT no registrado en Trabajadores",IF(B1478="","⚠ Falta el mes",IF(OR(ISTEXT(I1478),ISTEXT(J1478)),"⚠ Atrasos u horas extra como texto: escriba hh:mm (ej. 1:30)",IF(AND(ISNUMBER(Q1478),COUNTIFS(M_RUTN,V1478,M_MES,B1478,M_LIQ,"&lt;&gt;")&gt;1),"⚠ Liquidación repetida en el mes",IF(AND(ISNUMBER(O1478),ISNUMBER(P1478),ISNUMBER(Q1478),ABS(O1478-P1478-Q1478)&gt;1),"⚠ Haberes − descuentos no da el líquido","OK"))))))</f>
        <v/>
      </c>
      <c r="V1478" s="62" t="str">
        <f aca="false">IF(C1478="","",IFERROR(VALUE(LEFT(UPPER(SUBSTITUTE(SUBSTITUTE(SUBSTITUTE(TRIM(C1478),".",""),"-","")," ","")),LEN(UPPER(SUBSTITUTE(SUBSTITUTE(SUBSTITUTE(TRIM(C1478),".",""),"-","")," ","")))-1))&amp;RIGHT(UPPER(SUBSTITUTE(SUBSTITUTE(SUBSTITUTE(TRIM(C1478),".",""),"-","")," ","")),1),UPPER(SUBSTITUTE(SUBSTITUTE(SUBSTITUTE(TRIM(C1478),".",""),"-","")," ",""))))</f>
        <v/>
      </c>
    </row>
    <row r="1479" customFormat="false" ht="15" hidden="false" customHeight="false" outlineLevel="0" collapsed="false">
      <c r="B1479" s="80"/>
      <c r="C1479" s="58"/>
      <c r="D1479" s="62" t="str">
        <f aca="false">IF(C1479="","",IFERROR(INDEX(T_NOMBRE,MATCH(V1479,T_RUTN,0)),"⚠ RUT no está en Trabajadores"))</f>
        <v/>
      </c>
      <c r="E1479" s="61"/>
      <c r="F1479" s="61"/>
      <c r="G1479" s="61"/>
      <c r="H1479" s="61"/>
      <c r="I1479" s="81"/>
      <c r="J1479" s="81"/>
      <c r="K1479" s="60"/>
      <c r="L1479" s="60"/>
      <c r="M1479" s="60"/>
      <c r="N1479" s="60"/>
      <c r="O1479" s="60"/>
      <c r="P1479" s="60"/>
      <c r="Q1479" s="60"/>
      <c r="R1479" s="58"/>
      <c r="S1479" s="62" t="str">
        <f aca="false">IF(OR(B1479="",V1479=""),"",IFERROR(INDEX(C_TIPO,MATCH(V1479&amp;"-P"&amp;MAX(1,COUNTIFS(C_RUTN,V1479,C_DEF,"Sí",C_INI,"&lt;="&amp;EOMONTH(B1479,0))),C_CLAVE,0))&amp;"","Sin contrato"))</f>
        <v/>
      </c>
      <c r="T1479" s="63" t="str">
        <f aca="false">IF(OR(B1479="",N(O1479)=0),"",N(O1479)+ROUND(MIN(N(N1479),TOPE_UF*UF_MES)*(TASA_EMP+MUTUAL),0)+ROUND(MIN(N(N1479),TOPE_AFC_UF*UF_MES)*IF(S1479="Indefinido",AFC_INDEF,AFC_PF),0))</f>
        <v/>
      </c>
      <c r="U1479" s="62" t="str">
        <f aca="false">IF(C1479="","",IF(LEFT(D1479,1)="⚠","⚠ RUT no registrado en Trabajadores",IF(B1479="","⚠ Falta el mes",IF(OR(ISTEXT(I1479),ISTEXT(J1479)),"⚠ Atrasos u horas extra como texto: escriba hh:mm (ej. 1:30)",IF(AND(ISNUMBER(Q1479),COUNTIFS(M_RUTN,V1479,M_MES,B1479,M_LIQ,"&lt;&gt;")&gt;1),"⚠ Liquidación repetida en el mes",IF(AND(ISNUMBER(O1479),ISNUMBER(P1479),ISNUMBER(Q1479),ABS(O1479-P1479-Q1479)&gt;1),"⚠ Haberes − descuentos no da el líquido","OK"))))))</f>
        <v/>
      </c>
      <c r="V1479" s="62" t="str">
        <f aca="false">IF(C1479="","",IFERROR(VALUE(LEFT(UPPER(SUBSTITUTE(SUBSTITUTE(SUBSTITUTE(TRIM(C1479),".",""),"-","")," ","")),LEN(UPPER(SUBSTITUTE(SUBSTITUTE(SUBSTITUTE(TRIM(C1479),".",""),"-","")," ","")))-1))&amp;RIGHT(UPPER(SUBSTITUTE(SUBSTITUTE(SUBSTITUTE(TRIM(C1479),".",""),"-","")," ","")),1),UPPER(SUBSTITUTE(SUBSTITUTE(SUBSTITUTE(TRIM(C1479),".",""),"-","")," ",""))))</f>
        <v/>
      </c>
    </row>
    <row r="1480" customFormat="false" ht="15" hidden="false" customHeight="false" outlineLevel="0" collapsed="false">
      <c r="B1480" s="80"/>
      <c r="C1480" s="58"/>
      <c r="D1480" s="62" t="str">
        <f aca="false">IF(C1480="","",IFERROR(INDEX(T_NOMBRE,MATCH(V1480,T_RUTN,0)),"⚠ RUT no está en Trabajadores"))</f>
        <v/>
      </c>
      <c r="E1480" s="61"/>
      <c r="F1480" s="61"/>
      <c r="G1480" s="61"/>
      <c r="H1480" s="61"/>
      <c r="I1480" s="81"/>
      <c r="J1480" s="81"/>
      <c r="K1480" s="60"/>
      <c r="L1480" s="60"/>
      <c r="M1480" s="60"/>
      <c r="N1480" s="60"/>
      <c r="O1480" s="60"/>
      <c r="P1480" s="60"/>
      <c r="Q1480" s="60"/>
      <c r="R1480" s="58"/>
      <c r="S1480" s="62" t="str">
        <f aca="false">IF(OR(B1480="",V1480=""),"",IFERROR(INDEX(C_TIPO,MATCH(V1480&amp;"-P"&amp;MAX(1,COUNTIFS(C_RUTN,V1480,C_DEF,"Sí",C_INI,"&lt;="&amp;EOMONTH(B1480,0))),C_CLAVE,0))&amp;"","Sin contrato"))</f>
        <v/>
      </c>
      <c r="T1480" s="63" t="str">
        <f aca="false">IF(OR(B1480="",N(O1480)=0),"",N(O1480)+ROUND(MIN(N(N1480),TOPE_UF*UF_MES)*(TASA_EMP+MUTUAL),0)+ROUND(MIN(N(N1480),TOPE_AFC_UF*UF_MES)*IF(S1480="Indefinido",AFC_INDEF,AFC_PF),0))</f>
        <v/>
      </c>
      <c r="U1480" s="62" t="str">
        <f aca="false">IF(C1480="","",IF(LEFT(D1480,1)="⚠","⚠ RUT no registrado en Trabajadores",IF(B1480="","⚠ Falta el mes",IF(OR(ISTEXT(I1480),ISTEXT(J1480)),"⚠ Atrasos u horas extra como texto: escriba hh:mm (ej. 1:30)",IF(AND(ISNUMBER(Q1480),COUNTIFS(M_RUTN,V1480,M_MES,B1480,M_LIQ,"&lt;&gt;")&gt;1),"⚠ Liquidación repetida en el mes",IF(AND(ISNUMBER(O1480),ISNUMBER(P1480),ISNUMBER(Q1480),ABS(O1480-P1480-Q1480)&gt;1),"⚠ Haberes − descuentos no da el líquido","OK"))))))</f>
        <v/>
      </c>
      <c r="V1480" s="62" t="str">
        <f aca="false">IF(C1480="","",IFERROR(VALUE(LEFT(UPPER(SUBSTITUTE(SUBSTITUTE(SUBSTITUTE(TRIM(C1480),".",""),"-","")," ","")),LEN(UPPER(SUBSTITUTE(SUBSTITUTE(SUBSTITUTE(TRIM(C1480),".",""),"-","")," ","")))-1))&amp;RIGHT(UPPER(SUBSTITUTE(SUBSTITUTE(SUBSTITUTE(TRIM(C1480),".",""),"-","")," ","")),1),UPPER(SUBSTITUTE(SUBSTITUTE(SUBSTITUTE(TRIM(C1480),".",""),"-","")," ",""))))</f>
        <v/>
      </c>
    </row>
    <row r="1481" customFormat="false" ht="15" hidden="false" customHeight="false" outlineLevel="0" collapsed="false">
      <c r="B1481" s="80"/>
      <c r="C1481" s="58"/>
      <c r="D1481" s="62" t="str">
        <f aca="false">IF(C1481="","",IFERROR(INDEX(T_NOMBRE,MATCH(V1481,T_RUTN,0)),"⚠ RUT no está en Trabajadores"))</f>
        <v/>
      </c>
      <c r="E1481" s="61"/>
      <c r="F1481" s="61"/>
      <c r="G1481" s="61"/>
      <c r="H1481" s="61"/>
      <c r="I1481" s="81"/>
      <c r="J1481" s="81"/>
      <c r="K1481" s="60"/>
      <c r="L1481" s="60"/>
      <c r="M1481" s="60"/>
      <c r="N1481" s="60"/>
      <c r="O1481" s="60"/>
      <c r="P1481" s="60"/>
      <c r="Q1481" s="60"/>
      <c r="R1481" s="58"/>
      <c r="S1481" s="62" t="str">
        <f aca="false">IF(OR(B1481="",V1481=""),"",IFERROR(INDEX(C_TIPO,MATCH(V1481&amp;"-P"&amp;MAX(1,COUNTIFS(C_RUTN,V1481,C_DEF,"Sí",C_INI,"&lt;="&amp;EOMONTH(B1481,0))),C_CLAVE,0))&amp;"","Sin contrato"))</f>
        <v/>
      </c>
      <c r="T1481" s="63" t="str">
        <f aca="false">IF(OR(B1481="",N(O1481)=0),"",N(O1481)+ROUND(MIN(N(N1481),TOPE_UF*UF_MES)*(TASA_EMP+MUTUAL),0)+ROUND(MIN(N(N1481),TOPE_AFC_UF*UF_MES)*IF(S1481="Indefinido",AFC_INDEF,AFC_PF),0))</f>
        <v/>
      </c>
      <c r="U1481" s="62" t="str">
        <f aca="false">IF(C1481="","",IF(LEFT(D1481,1)="⚠","⚠ RUT no registrado en Trabajadores",IF(B1481="","⚠ Falta el mes",IF(OR(ISTEXT(I1481),ISTEXT(J1481)),"⚠ Atrasos u horas extra como texto: escriba hh:mm (ej. 1:30)",IF(AND(ISNUMBER(Q1481),COUNTIFS(M_RUTN,V1481,M_MES,B1481,M_LIQ,"&lt;&gt;")&gt;1),"⚠ Liquidación repetida en el mes",IF(AND(ISNUMBER(O1481),ISNUMBER(P1481),ISNUMBER(Q1481),ABS(O1481-P1481-Q1481)&gt;1),"⚠ Haberes − descuentos no da el líquido","OK"))))))</f>
        <v/>
      </c>
      <c r="V1481" s="62" t="str">
        <f aca="false">IF(C1481="","",IFERROR(VALUE(LEFT(UPPER(SUBSTITUTE(SUBSTITUTE(SUBSTITUTE(TRIM(C1481),".",""),"-","")," ","")),LEN(UPPER(SUBSTITUTE(SUBSTITUTE(SUBSTITUTE(TRIM(C1481),".",""),"-","")," ","")))-1))&amp;RIGHT(UPPER(SUBSTITUTE(SUBSTITUTE(SUBSTITUTE(TRIM(C1481),".",""),"-","")," ","")),1),UPPER(SUBSTITUTE(SUBSTITUTE(SUBSTITUTE(TRIM(C1481),".",""),"-","")," ",""))))</f>
        <v/>
      </c>
    </row>
    <row r="1482" customFormat="false" ht="15" hidden="false" customHeight="false" outlineLevel="0" collapsed="false">
      <c r="B1482" s="80"/>
      <c r="C1482" s="58"/>
      <c r="D1482" s="62" t="str">
        <f aca="false">IF(C1482="","",IFERROR(INDEX(T_NOMBRE,MATCH(V1482,T_RUTN,0)),"⚠ RUT no está en Trabajadores"))</f>
        <v/>
      </c>
      <c r="E1482" s="61"/>
      <c r="F1482" s="61"/>
      <c r="G1482" s="61"/>
      <c r="H1482" s="61"/>
      <c r="I1482" s="81"/>
      <c r="J1482" s="81"/>
      <c r="K1482" s="60"/>
      <c r="L1482" s="60"/>
      <c r="M1482" s="60"/>
      <c r="N1482" s="60"/>
      <c r="O1482" s="60"/>
      <c r="P1482" s="60"/>
      <c r="Q1482" s="60"/>
      <c r="R1482" s="58"/>
      <c r="S1482" s="62" t="str">
        <f aca="false">IF(OR(B1482="",V1482=""),"",IFERROR(INDEX(C_TIPO,MATCH(V1482&amp;"-P"&amp;MAX(1,COUNTIFS(C_RUTN,V1482,C_DEF,"Sí",C_INI,"&lt;="&amp;EOMONTH(B1482,0))),C_CLAVE,0))&amp;"","Sin contrato"))</f>
        <v/>
      </c>
      <c r="T1482" s="63" t="str">
        <f aca="false">IF(OR(B1482="",N(O1482)=0),"",N(O1482)+ROUND(MIN(N(N1482),TOPE_UF*UF_MES)*(TASA_EMP+MUTUAL),0)+ROUND(MIN(N(N1482),TOPE_AFC_UF*UF_MES)*IF(S1482="Indefinido",AFC_INDEF,AFC_PF),0))</f>
        <v/>
      </c>
      <c r="U1482" s="62" t="str">
        <f aca="false">IF(C1482="","",IF(LEFT(D1482,1)="⚠","⚠ RUT no registrado en Trabajadores",IF(B1482="","⚠ Falta el mes",IF(OR(ISTEXT(I1482),ISTEXT(J1482)),"⚠ Atrasos u horas extra como texto: escriba hh:mm (ej. 1:30)",IF(AND(ISNUMBER(Q1482),COUNTIFS(M_RUTN,V1482,M_MES,B1482,M_LIQ,"&lt;&gt;")&gt;1),"⚠ Liquidación repetida en el mes",IF(AND(ISNUMBER(O1482),ISNUMBER(P1482),ISNUMBER(Q1482),ABS(O1482-P1482-Q1482)&gt;1),"⚠ Haberes − descuentos no da el líquido","OK"))))))</f>
        <v/>
      </c>
      <c r="V1482" s="62" t="str">
        <f aca="false">IF(C1482="","",IFERROR(VALUE(LEFT(UPPER(SUBSTITUTE(SUBSTITUTE(SUBSTITUTE(TRIM(C1482),".",""),"-","")," ","")),LEN(UPPER(SUBSTITUTE(SUBSTITUTE(SUBSTITUTE(TRIM(C1482),".",""),"-","")," ","")))-1))&amp;RIGHT(UPPER(SUBSTITUTE(SUBSTITUTE(SUBSTITUTE(TRIM(C1482),".",""),"-","")," ","")),1),UPPER(SUBSTITUTE(SUBSTITUTE(SUBSTITUTE(TRIM(C1482),".",""),"-","")," ",""))))</f>
        <v/>
      </c>
    </row>
    <row r="1483" customFormat="false" ht="15" hidden="false" customHeight="false" outlineLevel="0" collapsed="false">
      <c r="B1483" s="80"/>
      <c r="C1483" s="58"/>
      <c r="D1483" s="62" t="str">
        <f aca="false">IF(C1483="","",IFERROR(INDEX(T_NOMBRE,MATCH(V1483,T_RUTN,0)),"⚠ RUT no está en Trabajadores"))</f>
        <v/>
      </c>
      <c r="E1483" s="61"/>
      <c r="F1483" s="61"/>
      <c r="G1483" s="61"/>
      <c r="H1483" s="61"/>
      <c r="I1483" s="81"/>
      <c r="J1483" s="81"/>
      <c r="K1483" s="60"/>
      <c r="L1483" s="60"/>
      <c r="M1483" s="60"/>
      <c r="N1483" s="60"/>
      <c r="O1483" s="60"/>
      <c r="P1483" s="60"/>
      <c r="Q1483" s="60"/>
      <c r="R1483" s="58"/>
      <c r="S1483" s="62" t="str">
        <f aca="false">IF(OR(B1483="",V1483=""),"",IFERROR(INDEX(C_TIPO,MATCH(V1483&amp;"-P"&amp;MAX(1,COUNTIFS(C_RUTN,V1483,C_DEF,"Sí",C_INI,"&lt;="&amp;EOMONTH(B1483,0))),C_CLAVE,0))&amp;"","Sin contrato"))</f>
        <v/>
      </c>
      <c r="T1483" s="63" t="str">
        <f aca="false">IF(OR(B1483="",N(O1483)=0),"",N(O1483)+ROUND(MIN(N(N1483),TOPE_UF*UF_MES)*(TASA_EMP+MUTUAL),0)+ROUND(MIN(N(N1483),TOPE_AFC_UF*UF_MES)*IF(S1483="Indefinido",AFC_INDEF,AFC_PF),0))</f>
        <v/>
      </c>
      <c r="U1483" s="62" t="str">
        <f aca="false">IF(C1483="","",IF(LEFT(D1483,1)="⚠","⚠ RUT no registrado en Trabajadores",IF(B1483="","⚠ Falta el mes",IF(OR(ISTEXT(I1483),ISTEXT(J1483)),"⚠ Atrasos u horas extra como texto: escriba hh:mm (ej. 1:30)",IF(AND(ISNUMBER(Q1483),COUNTIFS(M_RUTN,V1483,M_MES,B1483,M_LIQ,"&lt;&gt;")&gt;1),"⚠ Liquidación repetida en el mes",IF(AND(ISNUMBER(O1483),ISNUMBER(P1483),ISNUMBER(Q1483),ABS(O1483-P1483-Q1483)&gt;1),"⚠ Haberes − descuentos no da el líquido","OK"))))))</f>
        <v/>
      </c>
      <c r="V1483" s="62" t="str">
        <f aca="false">IF(C1483="","",IFERROR(VALUE(LEFT(UPPER(SUBSTITUTE(SUBSTITUTE(SUBSTITUTE(TRIM(C1483),".",""),"-","")," ","")),LEN(UPPER(SUBSTITUTE(SUBSTITUTE(SUBSTITUTE(TRIM(C1483),".",""),"-","")," ","")))-1))&amp;RIGHT(UPPER(SUBSTITUTE(SUBSTITUTE(SUBSTITUTE(TRIM(C1483),".",""),"-","")," ","")),1),UPPER(SUBSTITUTE(SUBSTITUTE(SUBSTITUTE(TRIM(C1483),".",""),"-","")," ",""))))</f>
        <v/>
      </c>
    </row>
    <row r="1484" customFormat="false" ht="15" hidden="false" customHeight="false" outlineLevel="0" collapsed="false">
      <c r="B1484" s="80"/>
      <c r="C1484" s="58"/>
      <c r="D1484" s="62" t="str">
        <f aca="false">IF(C1484="","",IFERROR(INDEX(T_NOMBRE,MATCH(V1484,T_RUTN,0)),"⚠ RUT no está en Trabajadores"))</f>
        <v/>
      </c>
      <c r="E1484" s="61"/>
      <c r="F1484" s="61"/>
      <c r="G1484" s="61"/>
      <c r="H1484" s="61"/>
      <c r="I1484" s="81"/>
      <c r="J1484" s="81"/>
      <c r="K1484" s="60"/>
      <c r="L1484" s="60"/>
      <c r="M1484" s="60"/>
      <c r="N1484" s="60"/>
      <c r="O1484" s="60"/>
      <c r="P1484" s="60"/>
      <c r="Q1484" s="60"/>
      <c r="R1484" s="58"/>
      <c r="S1484" s="62" t="str">
        <f aca="false">IF(OR(B1484="",V1484=""),"",IFERROR(INDEX(C_TIPO,MATCH(V1484&amp;"-P"&amp;MAX(1,COUNTIFS(C_RUTN,V1484,C_DEF,"Sí",C_INI,"&lt;="&amp;EOMONTH(B1484,0))),C_CLAVE,0))&amp;"","Sin contrato"))</f>
        <v/>
      </c>
      <c r="T1484" s="63" t="str">
        <f aca="false">IF(OR(B1484="",N(O1484)=0),"",N(O1484)+ROUND(MIN(N(N1484),TOPE_UF*UF_MES)*(TASA_EMP+MUTUAL),0)+ROUND(MIN(N(N1484),TOPE_AFC_UF*UF_MES)*IF(S1484="Indefinido",AFC_INDEF,AFC_PF),0))</f>
        <v/>
      </c>
      <c r="U1484" s="62" t="str">
        <f aca="false">IF(C1484="","",IF(LEFT(D1484,1)="⚠","⚠ RUT no registrado en Trabajadores",IF(B1484="","⚠ Falta el mes",IF(OR(ISTEXT(I1484),ISTEXT(J1484)),"⚠ Atrasos u horas extra como texto: escriba hh:mm (ej. 1:30)",IF(AND(ISNUMBER(Q1484),COUNTIFS(M_RUTN,V1484,M_MES,B1484,M_LIQ,"&lt;&gt;")&gt;1),"⚠ Liquidación repetida en el mes",IF(AND(ISNUMBER(O1484),ISNUMBER(P1484),ISNUMBER(Q1484),ABS(O1484-P1484-Q1484)&gt;1),"⚠ Haberes − descuentos no da el líquido","OK"))))))</f>
        <v/>
      </c>
      <c r="V1484" s="62" t="str">
        <f aca="false">IF(C1484="","",IFERROR(VALUE(LEFT(UPPER(SUBSTITUTE(SUBSTITUTE(SUBSTITUTE(TRIM(C1484),".",""),"-","")," ","")),LEN(UPPER(SUBSTITUTE(SUBSTITUTE(SUBSTITUTE(TRIM(C1484),".",""),"-","")," ","")))-1))&amp;RIGHT(UPPER(SUBSTITUTE(SUBSTITUTE(SUBSTITUTE(TRIM(C1484),".",""),"-","")," ","")),1),UPPER(SUBSTITUTE(SUBSTITUTE(SUBSTITUTE(TRIM(C1484),".",""),"-","")," ",""))))</f>
        <v/>
      </c>
    </row>
    <row r="1485" customFormat="false" ht="15" hidden="false" customHeight="false" outlineLevel="0" collapsed="false">
      <c r="B1485" s="80"/>
      <c r="C1485" s="58"/>
      <c r="D1485" s="62" t="str">
        <f aca="false">IF(C1485="","",IFERROR(INDEX(T_NOMBRE,MATCH(V1485,T_RUTN,0)),"⚠ RUT no está en Trabajadores"))</f>
        <v/>
      </c>
      <c r="E1485" s="61"/>
      <c r="F1485" s="61"/>
      <c r="G1485" s="61"/>
      <c r="H1485" s="61"/>
      <c r="I1485" s="81"/>
      <c r="J1485" s="81"/>
      <c r="K1485" s="60"/>
      <c r="L1485" s="60"/>
      <c r="M1485" s="60"/>
      <c r="N1485" s="60"/>
      <c r="O1485" s="60"/>
      <c r="P1485" s="60"/>
      <c r="Q1485" s="60"/>
      <c r="R1485" s="58"/>
      <c r="S1485" s="62" t="str">
        <f aca="false">IF(OR(B1485="",V1485=""),"",IFERROR(INDEX(C_TIPO,MATCH(V1485&amp;"-P"&amp;MAX(1,COUNTIFS(C_RUTN,V1485,C_DEF,"Sí",C_INI,"&lt;="&amp;EOMONTH(B1485,0))),C_CLAVE,0))&amp;"","Sin contrato"))</f>
        <v/>
      </c>
      <c r="T1485" s="63" t="str">
        <f aca="false">IF(OR(B1485="",N(O1485)=0),"",N(O1485)+ROUND(MIN(N(N1485),TOPE_UF*UF_MES)*(TASA_EMP+MUTUAL),0)+ROUND(MIN(N(N1485),TOPE_AFC_UF*UF_MES)*IF(S1485="Indefinido",AFC_INDEF,AFC_PF),0))</f>
        <v/>
      </c>
      <c r="U1485" s="62" t="str">
        <f aca="false">IF(C1485="","",IF(LEFT(D1485,1)="⚠","⚠ RUT no registrado en Trabajadores",IF(B1485="","⚠ Falta el mes",IF(OR(ISTEXT(I1485),ISTEXT(J1485)),"⚠ Atrasos u horas extra como texto: escriba hh:mm (ej. 1:30)",IF(AND(ISNUMBER(Q1485),COUNTIFS(M_RUTN,V1485,M_MES,B1485,M_LIQ,"&lt;&gt;")&gt;1),"⚠ Liquidación repetida en el mes",IF(AND(ISNUMBER(O1485),ISNUMBER(P1485),ISNUMBER(Q1485),ABS(O1485-P1485-Q1485)&gt;1),"⚠ Haberes − descuentos no da el líquido","OK"))))))</f>
        <v/>
      </c>
      <c r="V1485" s="62" t="str">
        <f aca="false">IF(C1485="","",IFERROR(VALUE(LEFT(UPPER(SUBSTITUTE(SUBSTITUTE(SUBSTITUTE(TRIM(C1485),".",""),"-","")," ","")),LEN(UPPER(SUBSTITUTE(SUBSTITUTE(SUBSTITUTE(TRIM(C1485),".",""),"-","")," ","")))-1))&amp;RIGHT(UPPER(SUBSTITUTE(SUBSTITUTE(SUBSTITUTE(TRIM(C1485),".",""),"-","")," ","")),1),UPPER(SUBSTITUTE(SUBSTITUTE(SUBSTITUTE(TRIM(C1485),".",""),"-","")," ",""))))</f>
        <v/>
      </c>
    </row>
    <row r="1486" customFormat="false" ht="15" hidden="false" customHeight="false" outlineLevel="0" collapsed="false">
      <c r="B1486" s="80"/>
      <c r="C1486" s="58"/>
      <c r="D1486" s="62" t="str">
        <f aca="false">IF(C1486="","",IFERROR(INDEX(T_NOMBRE,MATCH(V1486,T_RUTN,0)),"⚠ RUT no está en Trabajadores"))</f>
        <v/>
      </c>
      <c r="E1486" s="61"/>
      <c r="F1486" s="61"/>
      <c r="G1486" s="61"/>
      <c r="H1486" s="61"/>
      <c r="I1486" s="81"/>
      <c r="J1486" s="81"/>
      <c r="K1486" s="60"/>
      <c r="L1486" s="60"/>
      <c r="M1486" s="60"/>
      <c r="N1486" s="60"/>
      <c r="O1486" s="60"/>
      <c r="P1486" s="60"/>
      <c r="Q1486" s="60"/>
      <c r="R1486" s="58"/>
      <c r="S1486" s="62" t="str">
        <f aca="false">IF(OR(B1486="",V1486=""),"",IFERROR(INDEX(C_TIPO,MATCH(V1486&amp;"-P"&amp;MAX(1,COUNTIFS(C_RUTN,V1486,C_DEF,"Sí",C_INI,"&lt;="&amp;EOMONTH(B1486,0))),C_CLAVE,0))&amp;"","Sin contrato"))</f>
        <v/>
      </c>
      <c r="T1486" s="63" t="str">
        <f aca="false">IF(OR(B1486="",N(O1486)=0),"",N(O1486)+ROUND(MIN(N(N1486),TOPE_UF*UF_MES)*(TASA_EMP+MUTUAL),0)+ROUND(MIN(N(N1486),TOPE_AFC_UF*UF_MES)*IF(S1486="Indefinido",AFC_INDEF,AFC_PF),0))</f>
        <v/>
      </c>
      <c r="U1486" s="62" t="str">
        <f aca="false">IF(C1486="","",IF(LEFT(D1486,1)="⚠","⚠ RUT no registrado en Trabajadores",IF(B1486="","⚠ Falta el mes",IF(OR(ISTEXT(I1486),ISTEXT(J1486)),"⚠ Atrasos u horas extra como texto: escriba hh:mm (ej. 1:30)",IF(AND(ISNUMBER(Q1486),COUNTIFS(M_RUTN,V1486,M_MES,B1486,M_LIQ,"&lt;&gt;")&gt;1),"⚠ Liquidación repetida en el mes",IF(AND(ISNUMBER(O1486),ISNUMBER(P1486),ISNUMBER(Q1486),ABS(O1486-P1486-Q1486)&gt;1),"⚠ Haberes − descuentos no da el líquido","OK"))))))</f>
        <v/>
      </c>
      <c r="V1486" s="62" t="str">
        <f aca="false">IF(C1486="","",IFERROR(VALUE(LEFT(UPPER(SUBSTITUTE(SUBSTITUTE(SUBSTITUTE(TRIM(C1486),".",""),"-","")," ","")),LEN(UPPER(SUBSTITUTE(SUBSTITUTE(SUBSTITUTE(TRIM(C1486),".",""),"-","")," ","")))-1))&amp;RIGHT(UPPER(SUBSTITUTE(SUBSTITUTE(SUBSTITUTE(TRIM(C1486),".",""),"-","")," ","")),1),UPPER(SUBSTITUTE(SUBSTITUTE(SUBSTITUTE(TRIM(C1486),".",""),"-","")," ",""))))</f>
        <v/>
      </c>
    </row>
    <row r="1487" customFormat="false" ht="15" hidden="false" customHeight="false" outlineLevel="0" collapsed="false">
      <c r="B1487" s="80"/>
      <c r="C1487" s="58"/>
      <c r="D1487" s="62" t="str">
        <f aca="false">IF(C1487="","",IFERROR(INDEX(T_NOMBRE,MATCH(V1487,T_RUTN,0)),"⚠ RUT no está en Trabajadores"))</f>
        <v/>
      </c>
      <c r="E1487" s="61"/>
      <c r="F1487" s="61"/>
      <c r="G1487" s="61"/>
      <c r="H1487" s="61"/>
      <c r="I1487" s="81"/>
      <c r="J1487" s="81"/>
      <c r="K1487" s="60"/>
      <c r="L1487" s="60"/>
      <c r="M1487" s="60"/>
      <c r="N1487" s="60"/>
      <c r="O1487" s="60"/>
      <c r="P1487" s="60"/>
      <c r="Q1487" s="60"/>
      <c r="R1487" s="58"/>
      <c r="S1487" s="62" t="str">
        <f aca="false">IF(OR(B1487="",V1487=""),"",IFERROR(INDEX(C_TIPO,MATCH(V1487&amp;"-P"&amp;MAX(1,COUNTIFS(C_RUTN,V1487,C_DEF,"Sí",C_INI,"&lt;="&amp;EOMONTH(B1487,0))),C_CLAVE,0))&amp;"","Sin contrato"))</f>
        <v/>
      </c>
      <c r="T1487" s="63" t="str">
        <f aca="false">IF(OR(B1487="",N(O1487)=0),"",N(O1487)+ROUND(MIN(N(N1487),TOPE_UF*UF_MES)*(TASA_EMP+MUTUAL),0)+ROUND(MIN(N(N1487),TOPE_AFC_UF*UF_MES)*IF(S1487="Indefinido",AFC_INDEF,AFC_PF),0))</f>
        <v/>
      </c>
      <c r="U1487" s="62" t="str">
        <f aca="false">IF(C1487="","",IF(LEFT(D1487,1)="⚠","⚠ RUT no registrado en Trabajadores",IF(B1487="","⚠ Falta el mes",IF(OR(ISTEXT(I1487),ISTEXT(J1487)),"⚠ Atrasos u horas extra como texto: escriba hh:mm (ej. 1:30)",IF(AND(ISNUMBER(Q1487),COUNTIFS(M_RUTN,V1487,M_MES,B1487,M_LIQ,"&lt;&gt;")&gt;1),"⚠ Liquidación repetida en el mes",IF(AND(ISNUMBER(O1487),ISNUMBER(P1487),ISNUMBER(Q1487),ABS(O1487-P1487-Q1487)&gt;1),"⚠ Haberes − descuentos no da el líquido","OK"))))))</f>
        <v/>
      </c>
      <c r="V1487" s="62" t="str">
        <f aca="false">IF(C1487="","",IFERROR(VALUE(LEFT(UPPER(SUBSTITUTE(SUBSTITUTE(SUBSTITUTE(TRIM(C1487),".",""),"-","")," ","")),LEN(UPPER(SUBSTITUTE(SUBSTITUTE(SUBSTITUTE(TRIM(C1487),".",""),"-","")," ","")))-1))&amp;RIGHT(UPPER(SUBSTITUTE(SUBSTITUTE(SUBSTITUTE(TRIM(C1487),".",""),"-","")," ","")),1),UPPER(SUBSTITUTE(SUBSTITUTE(SUBSTITUTE(TRIM(C1487),".",""),"-","")," ",""))))</f>
        <v/>
      </c>
    </row>
    <row r="1488" customFormat="false" ht="15" hidden="false" customHeight="false" outlineLevel="0" collapsed="false">
      <c r="B1488" s="80"/>
      <c r="C1488" s="58"/>
      <c r="D1488" s="62" t="str">
        <f aca="false">IF(C1488="","",IFERROR(INDEX(T_NOMBRE,MATCH(V1488,T_RUTN,0)),"⚠ RUT no está en Trabajadores"))</f>
        <v/>
      </c>
      <c r="E1488" s="61"/>
      <c r="F1488" s="61"/>
      <c r="G1488" s="61"/>
      <c r="H1488" s="61"/>
      <c r="I1488" s="81"/>
      <c r="J1488" s="81"/>
      <c r="K1488" s="60"/>
      <c r="L1488" s="60"/>
      <c r="M1488" s="60"/>
      <c r="N1488" s="60"/>
      <c r="O1488" s="60"/>
      <c r="P1488" s="60"/>
      <c r="Q1488" s="60"/>
      <c r="R1488" s="58"/>
      <c r="S1488" s="62" t="str">
        <f aca="false">IF(OR(B1488="",V1488=""),"",IFERROR(INDEX(C_TIPO,MATCH(V1488&amp;"-P"&amp;MAX(1,COUNTIFS(C_RUTN,V1488,C_DEF,"Sí",C_INI,"&lt;="&amp;EOMONTH(B1488,0))),C_CLAVE,0))&amp;"","Sin contrato"))</f>
        <v/>
      </c>
      <c r="T1488" s="63" t="str">
        <f aca="false">IF(OR(B1488="",N(O1488)=0),"",N(O1488)+ROUND(MIN(N(N1488),TOPE_UF*UF_MES)*(TASA_EMP+MUTUAL),0)+ROUND(MIN(N(N1488),TOPE_AFC_UF*UF_MES)*IF(S1488="Indefinido",AFC_INDEF,AFC_PF),0))</f>
        <v/>
      </c>
      <c r="U1488" s="62" t="str">
        <f aca="false">IF(C1488="","",IF(LEFT(D1488,1)="⚠","⚠ RUT no registrado en Trabajadores",IF(B1488="","⚠ Falta el mes",IF(OR(ISTEXT(I1488),ISTEXT(J1488)),"⚠ Atrasos u horas extra como texto: escriba hh:mm (ej. 1:30)",IF(AND(ISNUMBER(Q1488),COUNTIFS(M_RUTN,V1488,M_MES,B1488,M_LIQ,"&lt;&gt;")&gt;1),"⚠ Liquidación repetida en el mes",IF(AND(ISNUMBER(O1488),ISNUMBER(P1488),ISNUMBER(Q1488),ABS(O1488-P1488-Q1488)&gt;1),"⚠ Haberes − descuentos no da el líquido","OK"))))))</f>
        <v/>
      </c>
      <c r="V1488" s="62" t="str">
        <f aca="false">IF(C1488="","",IFERROR(VALUE(LEFT(UPPER(SUBSTITUTE(SUBSTITUTE(SUBSTITUTE(TRIM(C1488),".",""),"-","")," ","")),LEN(UPPER(SUBSTITUTE(SUBSTITUTE(SUBSTITUTE(TRIM(C1488),".",""),"-","")," ","")))-1))&amp;RIGHT(UPPER(SUBSTITUTE(SUBSTITUTE(SUBSTITUTE(TRIM(C1488),".",""),"-","")," ","")),1),UPPER(SUBSTITUTE(SUBSTITUTE(SUBSTITUTE(TRIM(C1488),".",""),"-","")," ",""))))</f>
        <v/>
      </c>
    </row>
    <row r="1489" customFormat="false" ht="15" hidden="false" customHeight="false" outlineLevel="0" collapsed="false">
      <c r="B1489" s="80"/>
      <c r="C1489" s="58"/>
      <c r="D1489" s="62" t="str">
        <f aca="false">IF(C1489="","",IFERROR(INDEX(T_NOMBRE,MATCH(V1489,T_RUTN,0)),"⚠ RUT no está en Trabajadores"))</f>
        <v/>
      </c>
      <c r="E1489" s="61"/>
      <c r="F1489" s="61"/>
      <c r="G1489" s="61"/>
      <c r="H1489" s="61"/>
      <c r="I1489" s="81"/>
      <c r="J1489" s="81"/>
      <c r="K1489" s="60"/>
      <c r="L1489" s="60"/>
      <c r="M1489" s="60"/>
      <c r="N1489" s="60"/>
      <c r="O1489" s="60"/>
      <c r="P1489" s="60"/>
      <c r="Q1489" s="60"/>
      <c r="R1489" s="58"/>
      <c r="S1489" s="62" t="str">
        <f aca="false">IF(OR(B1489="",V1489=""),"",IFERROR(INDEX(C_TIPO,MATCH(V1489&amp;"-P"&amp;MAX(1,COUNTIFS(C_RUTN,V1489,C_DEF,"Sí",C_INI,"&lt;="&amp;EOMONTH(B1489,0))),C_CLAVE,0))&amp;"","Sin contrato"))</f>
        <v/>
      </c>
      <c r="T1489" s="63" t="str">
        <f aca="false">IF(OR(B1489="",N(O1489)=0),"",N(O1489)+ROUND(MIN(N(N1489),TOPE_UF*UF_MES)*(TASA_EMP+MUTUAL),0)+ROUND(MIN(N(N1489),TOPE_AFC_UF*UF_MES)*IF(S1489="Indefinido",AFC_INDEF,AFC_PF),0))</f>
        <v/>
      </c>
      <c r="U1489" s="62" t="str">
        <f aca="false">IF(C1489="","",IF(LEFT(D1489,1)="⚠","⚠ RUT no registrado en Trabajadores",IF(B1489="","⚠ Falta el mes",IF(OR(ISTEXT(I1489),ISTEXT(J1489)),"⚠ Atrasos u horas extra como texto: escriba hh:mm (ej. 1:30)",IF(AND(ISNUMBER(Q1489),COUNTIFS(M_RUTN,V1489,M_MES,B1489,M_LIQ,"&lt;&gt;")&gt;1),"⚠ Liquidación repetida en el mes",IF(AND(ISNUMBER(O1489),ISNUMBER(P1489),ISNUMBER(Q1489),ABS(O1489-P1489-Q1489)&gt;1),"⚠ Haberes − descuentos no da el líquido","OK"))))))</f>
        <v/>
      </c>
      <c r="V1489" s="62" t="str">
        <f aca="false">IF(C1489="","",IFERROR(VALUE(LEFT(UPPER(SUBSTITUTE(SUBSTITUTE(SUBSTITUTE(TRIM(C1489),".",""),"-","")," ","")),LEN(UPPER(SUBSTITUTE(SUBSTITUTE(SUBSTITUTE(TRIM(C1489),".",""),"-","")," ","")))-1))&amp;RIGHT(UPPER(SUBSTITUTE(SUBSTITUTE(SUBSTITUTE(TRIM(C1489),".",""),"-","")," ","")),1),UPPER(SUBSTITUTE(SUBSTITUTE(SUBSTITUTE(TRIM(C1489),".",""),"-","")," ",""))))</f>
        <v/>
      </c>
    </row>
    <row r="1490" customFormat="false" ht="15" hidden="false" customHeight="false" outlineLevel="0" collapsed="false">
      <c r="B1490" s="80"/>
      <c r="C1490" s="58"/>
      <c r="D1490" s="62" t="str">
        <f aca="false">IF(C1490="","",IFERROR(INDEX(T_NOMBRE,MATCH(V1490,T_RUTN,0)),"⚠ RUT no está en Trabajadores"))</f>
        <v/>
      </c>
      <c r="E1490" s="61"/>
      <c r="F1490" s="61"/>
      <c r="G1490" s="61"/>
      <c r="H1490" s="61"/>
      <c r="I1490" s="81"/>
      <c r="J1490" s="81"/>
      <c r="K1490" s="60"/>
      <c r="L1490" s="60"/>
      <c r="M1490" s="60"/>
      <c r="N1490" s="60"/>
      <c r="O1490" s="60"/>
      <c r="P1490" s="60"/>
      <c r="Q1490" s="60"/>
      <c r="R1490" s="58"/>
      <c r="S1490" s="62" t="str">
        <f aca="false">IF(OR(B1490="",V1490=""),"",IFERROR(INDEX(C_TIPO,MATCH(V1490&amp;"-P"&amp;MAX(1,COUNTIFS(C_RUTN,V1490,C_DEF,"Sí",C_INI,"&lt;="&amp;EOMONTH(B1490,0))),C_CLAVE,0))&amp;"","Sin contrato"))</f>
        <v/>
      </c>
      <c r="T1490" s="63" t="str">
        <f aca="false">IF(OR(B1490="",N(O1490)=0),"",N(O1490)+ROUND(MIN(N(N1490),TOPE_UF*UF_MES)*(TASA_EMP+MUTUAL),0)+ROUND(MIN(N(N1490),TOPE_AFC_UF*UF_MES)*IF(S1490="Indefinido",AFC_INDEF,AFC_PF),0))</f>
        <v/>
      </c>
      <c r="U1490" s="62" t="str">
        <f aca="false">IF(C1490="","",IF(LEFT(D1490,1)="⚠","⚠ RUT no registrado en Trabajadores",IF(B1490="","⚠ Falta el mes",IF(OR(ISTEXT(I1490),ISTEXT(J1490)),"⚠ Atrasos u horas extra como texto: escriba hh:mm (ej. 1:30)",IF(AND(ISNUMBER(Q1490),COUNTIFS(M_RUTN,V1490,M_MES,B1490,M_LIQ,"&lt;&gt;")&gt;1),"⚠ Liquidación repetida en el mes",IF(AND(ISNUMBER(O1490),ISNUMBER(P1490),ISNUMBER(Q1490),ABS(O1490-P1490-Q1490)&gt;1),"⚠ Haberes − descuentos no da el líquido","OK"))))))</f>
        <v/>
      </c>
      <c r="V1490" s="62" t="str">
        <f aca="false">IF(C1490="","",IFERROR(VALUE(LEFT(UPPER(SUBSTITUTE(SUBSTITUTE(SUBSTITUTE(TRIM(C1490),".",""),"-","")," ","")),LEN(UPPER(SUBSTITUTE(SUBSTITUTE(SUBSTITUTE(TRIM(C1490),".",""),"-","")," ","")))-1))&amp;RIGHT(UPPER(SUBSTITUTE(SUBSTITUTE(SUBSTITUTE(TRIM(C1490),".",""),"-","")," ","")),1),UPPER(SUBSTITUTE(SUBSTITUTE(SUBSTITUTE(TRIM(C1490),".",""),"-","")," ",""))))</f>
        <v/>
      </c>
    </row>
    <row r="1491" customFormat="false" ht="15" hidden="false" customHeight="false" outlineLevel="0" collapsed="false">
      <c r="B1491" s="80"/>
      <c r="C1491" s="58"/>
      <c r="D1491" s="62" t="str">
        <f aca="false">IF(C1491="","",IFERROR(INDEX(T_NOMBRE,MATCH(V1491,T_RUTN,0)),"⚠ RUT no está en Trabajadores"))</f>
        <v/>
      </c>
      <c r="E1491" s="61"/>
      <c r="F1491" s="61"/>
      <c r="G1491" s="61"/>
      <c r="H1491" s="61"/>
      <c r="I1491" s="81"/>
      <c r="J1491" s="81"/>
      <c r="K1491" s="60"/>
      <c r="L1491" s="60"/>
      <c r="M1491" s="60"/>
      <c r="N1491" s="60"/>
      <c r="O1491" s="60"/>
      <c r="P1491" s="60"/>
      <c r="Q1491" s="60"/>
      <c r="R1491" s="58"/>
      <c r="S1491" s="62" t="str">
        <f aca="false">IF(OR(B1491="",V1491=""),"",IFERROR(INDEX(C_TIPO,MATCH(V1491&amp;"-P"&amp;MAX(1,COUNTIFS(C_RUTN,V1491,C_DEF,"Sí",C_INI,"&lt;="&amp;EOMONTH(B1491,0))),C_CLAVE,0))&amp;"","Sin contrato"))</f>
        <v/>
      </c>
      <c r="T1491" s="63" t="str">
        <f aca="false">IF(OR(B1491="",N(O1491)=0),"",N(O1491)+ROUND(MIN(N(N1491),TOPE_UF*UF_MES)*(TASA_EMP+MUTUAL),0)+ROUND(MIN(N(N1491),TOPE_AFC_UF*UF_MES)*IF(S1491="Indefinido",AFC_INDEF,AFC_PF),0))</f>
        <v/>
      </c>
      <c r="U1491" s="62" t="str">
        <f aca="false">IF(C1491="","",IF(LEFT(D1491,1)="⚠","⚠ RUT no registrado en Trabajadores",IF(B1491="","⚠ Falta el mes",IF(OR(ISTEXT(I1491),ISTEXT(J1491)),"⚠ Atrasos u horas extra como texto: escriba hh:mm (ej. 1:30)",IF(AND(ISNUMBER(Q1491),COUNTIFS(M_RUTN,V1491,M_MES,B1491,M_LIQ,"&lt;&gt;")&gt;1),"⚠ Liquidación repetida en el mes",IF(AND(ISNUMBER(O1491),ISNUMBER(P1491),ISNUMBER(Q1491),ABS(O1491-P1491-Q1491)&gt;1),"⚠ Haberes − descuentos no da el líquido","OK"))))))</f>
        <v/>
      </c>
      <c r="V1491" s="62" t="str">
        <f aca="false">IF(C1491="","",IFERROR(VALUE(LEFT(UPPER(SUBSTITUTE(SUBSTITUTE(SUBSTITUTE(TRIM(C1491),".",""),"-","")," ","")),LEN(UPPER(SUBSTITUTE(SUBSTITUTE(SUBSTITUTE(TRIM(C1491),".",""),"-","")," ","")))-1))&amp;RIGHT(UPPER(SUBSTITUTE(SUBSTITUTE(SUBSTITUTE(TRIM(C1491),".",""),"-","")," ","")),1),UPPER(SUBSTITUTE(SUBSTITUTE(SUBSTITUTE(TRIM(C1491),".",""),"-","")," ",""))))</f>
        <v/>
      </c>
    </row>
    <row r="1492" customFormat="false" ht="15" hidden="false" customHeight="false" outlineLevel="0" collapsed="false">
      <c r="B1492" s="80"/>
      <c r="C1492" s="58"/>
      <c r="D1492" s="62" t="str">
        <f aca="false">IF(C1492="","",IFERROR(INDEX(T_NOMBRE,MATCH(V1492,T_RUTN,0)),"⚠ RUT no está en Trabajadores"))</f>
        <v/>
      </c>
      <c r="E1492" s="61"/>
      <c r="F1492" s="61"/>
      <c r="G1492" s="61"/>
      <c r="H1492" s="61"/>
      <c r="I1492" s="81"/>
      <c r="J1492" s="81"/>
      <c r="K1492" s="60"/>
      <c r="L1492" s="60"/>
      <c r="M1492" s="60"/>
      <c r="N1492" s="60"/>
      <c r="O1492" s="60"/>
      <c r="P1492" s="60"/>
      <c r="Q1492" s="60"/>
      <c r="R1492" s="58"/>
      <c r="S1492" s="62" t="str">
        <f aca="false">IF(OR(B1492="",V1492=""),"",IFERROR(INDEX(C_TIPO,MATCH(V1492&amp;"-P"&amp;MAX(1,COUNTIFS(C_RUTN,V1492,C_DEF,"Sí",C_INI,"&lt;="&amp;EOMONTH(B1492,0))),C_CLAVE,0))&amp;"","Sin contrato"))</f>
        <v/>
      </c>
      <c r="T1492" s="63" t="str">
        <f aca="false">IF(OR(B1492="",N(O1492)=0),"",N(O1492)+ROUND(MIN(N(N1492),TOPE_UF*UF_MES)*(TASA_EMP+MUTUAL),0)+ROUND(MIN(N(N1492),TOPE_AFC_UF*UF_MES)*IF(S1492="Indefinido",AFC_INDEF,AFC_PF),0))</f>
        <v/>
      </c>
      <c r="U1492" s="62" t="str">
        <f aca="false">IF(C1492="","",IF(LEFT(D1492,1)="⚠","⚠ RUT no registrado en Trabajadores",IF(B1492="","⚠ Falta el mes",IF(OR(ISTEXT(I1492),ISTEXT(J1492)),"⚠ Atrasos u horas extra como texto: escriba hh:mm (ej. 1:30)",IF(AND(ISNUMBER(Q1492),COUNTIFS(M_RUTN,V1492,M_MES,B1492,M_LIQ,"&lt;&gt;")&gt;1),"⚠ Liquidación repetida en el mes",IF(AND(ISNUMBER(O1492),ISNUMBER(P1492),ISNUMBER(Q1492),ABS(O1492-P1492-Q1492)&gt;1),"⚠ Haberes − descuentos no da el líquido","OK"))))))</f>
        <v/>
      </c>
      <c r="V1492" s="62" t="str">
        <f aca="false">IF(C1492="","",IFERROR(VALUE(LEFT(UPPER(SUBSTITUTE(SUBSTITUTE(SUBSTITUTE(TRIM(C1492),".",""),"-","")," ","")),LEN(UPPER(SUBSTITUTE(SUBSTITUTE(SUBSTITUTE(TRIM(C1492),".",""),"-","")," ","")))-1))&amp;RIGHT(UPPER(SUBSTITUTE(SUBSTITUTE(SUBSTITUTE(TRIM(C1492),".",""),"-","")," ","")),1),UPPER(SUBSTITUTE(SUBSTITUTE(SUBSTITUTE(TRIM(C1492),".",""),"-","")," ",""))))</f>
        <v/>
      </c>
    </row>
    <row r="1493" customFormat="false" ht="15" hidden="false" customHeight="false" outlineLevel="0" collapsed="false">
      <c r="B1493" s="80"/>
      <c r="C1493" s="58"/>
      <c r="D1493" s="62" t="str">
        <f aca="false">IF(C1493="","",IFERROR(INDEX(T_NOMBRE,MATCH(V1493,T_RUTN,0)),"⚠ RUT no está en Trabajadores"))</f>
        <v/>
      </c>
      <c r="E1493" s="61"/>
      <c r="F1493" s="61"/>
      <c r="G1493" s="61"/>
      <c r="H1493" s="61"/>
      <c r="I1493" s="81"/>
      <c r="J1493" s="81"/>
      <c r="K1493" s="60"/>
      <c r="L1493" s="60"/>
      <c r="M1493" s="60"/>
      <c r="N1493" s="60"/>
      <c r="O1493" s="60"/>
      <c r="P1493" s="60"/>
      <c r="Q1493" s="60"/>
      <c r="R1493" s="58"/>
      <c r="S1493" s="62" t="str">
        <f aca="false">IF(OR(B1493="",V1493=""),"",IFERROR(INDEX(C_TIPO,MATCH(V1493&amp;"-P"&amp;MAX(1,COUNTIFS(C_RUTN,V1493,C_DEF,"Sí",C_INI,"&lt;="&amp;EOMONTH(B1493,0))),C_CLAVE,0))&amp;"","Sin contrato"))</f>
        <v/>
      </c>
      <c r="T1493" s="63" t="str">
        <f aca="false">IF(OR(B1493="",N(O1493)=0),"",N(O1493)+ROUND(MIN(N(N1493),TOPE_UF*UF_MES)*(TASA_EMP+MUTUAL),0)+ROUND(MIN(N(N1493),TOPE_AFC_UF*UF_MES)*IF(S1493="Indefinido",AFC_INDEF,AFC_PF),0))</f>
        <v/>
      </c>
      <c r="U1493" s="62" t="str">
        <f aca="false">IF(C1493="","",IF(LEFT(D1493,1)="⚠","⚠ RUT no registrado en Trabajadores",IF(B1493="","⚠ Falta el mes",IF(OR(ISTEXT(I1493),ISTEXT(J1493)),"⚠ Atrasos u horas extra como texto: escriba hh:mm (ej. 1:30)",IF(AND(ISNUMBER(Q1493),COUNTIFS(M_RUTN,V1493,M_MES,B1493,M_LIQ,"&lt;&gt;")&gt;1),"⚠ Liquidación repetida en el mes",IF(AND(ISNUMBER(O1493),ISNUMBER(P1493),ISNUMBER(Q1493),ABS(O1493-P1493-Q1493)&gt;1),"⚠ Haberes − descuentos no da el líquido","OK"))))))</f>
        <v/>
      </c>
      <c r="V1493" s="62" t="str">
        <f aca="false">IF(C1493="","",IFERROR(VALUE(LEFT(UPPER(SUBSTITUTE(SUBSTITUTE(SUBSTITUTE(TRIM(C1493),".",""),"-","")," ","")),LEN(UPPER(SUBSTITUTE(SUBSTITUTE(SUBSTITUTE(TRIM(C1493),".",""),"-","")," ","")))-1))&amp;RIGHT(UPPER(SUBSTITUTE(SUBSTITUTE(SUBSTITUTE(TRIM(C1493),".",""),"-","")," ","")),1),UPPER(SUBSTITUTE(SUBSTITUTE(SUBSTITUTE(TRIM(C1493),".",""),"-","")," ",""))))</f>
        <v/>
      </c>
    </row>
    <row r="1494" customFormat="false" ht="15" hidden="false" customHeight="false" outlineLevel="0" collapsed="false">
      <c r="B1494" s="80"/>
      <c r="C1494" s="58"/>
      <c r="D1494" s="62" t="str">
        <f aca="false">IF(C1494="","",IFERROR(INDEX(T_NOMBRE,MATCH(V1494,T_RUTN,0)),"⚠ RUT no está en Trabajadores"))</f>
        <v/>
      </c>
      <c r="E1494" s="61"/>
      <c r="F1494" s="61"/>
      <c r="G1494" s="61"/>
      <c r="H1494" s="61"/>
      <c r="I1494" s="81"/>
      <c r="J1494" s="81"/>
      <c r="K1494" s="60"/>
      <c r="L1494" s="60"/>
      <c r="M1494" s="60"/>
      <c r="N1494" s="60"/>
      <c r="O1494" s="60"/>
      <c r="P1494" s="60"/>
      <c r="Q1494" s="60"/>
      <c r="R1494" s="58"/>
      <c r="S1494" s="62" t="str">
        <f aca="false">IF(OR(B1494="",V1494=""),"",IFERROR(INDEX(C_TIPO,MATCH(V1494&amp;"-P"&amp;MAX(1,COUNTIFS(C_RUTN,V1494,C_DEF,"Sí",C_INI,"&lt;="&amp;EOMONTH(B1494,0))),C_CLAVE,0))&amp;"","Sin contrato"))</f>
        <v/>
      </c>
      <c r="T1494" s="63" t="str">
        <f aca="false">IF(OR(B1494="",N(O1494)=0),"",N(O1494)+ROUND(MIN(N(N1494),TOPE_UF*UF_MES)*(TASA_EMP+MUTUAL),0)+ROUND(MIN(N(N1494),TOPE_AFC_UF*UF_MES)*IF(S1494="Indefinido",AFC_INDEF,AFC_PF),0))</f>
        <v/>
      </c>
      <c r="U1494" s="62" t="str">
        <f aca="false">IF(C1494="","",IF(LEFT(D1494,1)="⚠","⚠ RUT no registrado en Trabajadores",IF(B1494="","⚠ Falta el mes",IF(OR(ISTEXT(I1494),ISTEXT(J1494)),"⚠ Atrasos u horas extra como texto: escriba hh:mm (ej. 1:30)",IF(AND(ISNUMBER(Q1494),COUNTIFS(M_RUTN,V1494,M_MES,B1494,M_LIQ,"&lt;&gt;")&gt;1),"⚠ Liquidación repetida en el mes",IF(AND(ISNUMBER(O1494),ISNUMBER(P1494),ISNUMBER(Q1494),ABS(O1494-P1494-Q1494)&gt;1),"⚠ Haberes − descuentos no da el líquido","OK"))))))</f>
        <v/>
      </c>
      <c r="V1494" s="62" t="str">
        <f aca="false">IF(C1494="","",IFERROR(VALUE(LEFT(UPPER(SUBSTITUTE(SUBSTITUTE(SUBSTITUTE(TRIM(C1494),".",""),"-","")," ","")),LEN(UPPER(SUBSTITUTE(SUBSTITUTE(SUBSTITUTE(TRIM(C1494),".",""),"-","")," ","")))-1))&amp;RIGHT(UPPER(SUBSTITUTE(SUBSTITUTE(SUBSTITUTE(TRIM(C1494),".",""),"-","")," ","")),1),UPPER(SUBSTITUTE(SUBSTITUTE(SUBSTITUTE(TRIM(C1494),".",""),"-","")," ",""))))</f>
        <v/>
      </c>
    </row>
    <row r="1495" customFormat="false" ht="15" hidden="false" customHeight="false" outlineLevel="0" collapsed="false">
      <c r="B1495" s="80"/>
      <c r="C1495" s="58"/>
      <c r="D1495" s="62" t="str">
        <f aca="false">IF(C1495="","",IFERROR(INDEX(T_NOMBRE,MATCH(V1495,T_RUTN,0)),"⚠ RUT no está en Trabajadores"))</f>
        <v/>
      </c>
      <c r="E1495" s="61"/>
      <c r="F1495" s="61"/>
      <c r="G1495" s="61"/>
      <c r="H1495" s="61"/>
      <c r="I1495" s="81"/>
      <c r="J1495" s="81"/>
      <c r="K1495" s="60"/>
      <c r="L1495" s="60"/>
      <c r="M1495" s="60"/>
      <c r="N1495" s="60"/>
      <c r="O1495" s="60"/>
      <c r="P1495" s="60"/>
      <c r="Q1495" s="60"/>
      <c r="R1495" s="58"/>
      <c r="S1495" s="62" t="str">
        <f aca="false">IF(OR(B1495="",V1495=""),"",IFERROR(INDEX(C_TIPO,MATCH(V1495&amp;"-P"&amp;MAX(1,COUNTIFS(C_RUTN,V1495,C_DEF,"Sí",C_INI,"&lt;="&amp;EOMONTH(B1495,0))),C_CLAVE,0))&amp;"","Sin contrato"))</f>
        <v/>
      </c>
      <c r="T1495" s="63" t="str">
        <f aca="false">IF(OR(B1495="",N(O1495)=0),"",N(O1495)+ROUND(MIN(N(N1495),TOPE_UF*UF_MES)*(TASA_EMP+MUTUAL),0)+ROUND(MIN(N(N1495),TOPE_AFC_UF*UF_MES)*IF(S1495="Indefinido",AFC_INDEF,AFC_PF),0))</f>
        <v/>
      </c>
      <c r="U1495" s="62" t="str">
        <f aca="false">IF(C1495="","",IF(LEFT(D1495,1)="⚠","⚠ RUT no registrado en Trabajadores",IF(B1495="","⚠ Falta el mes",IF(OR(ISTEXT(I1495),ISTEXT(J1495)),"⚠ Atrasos u horas extra como texto: escriba hh:mm (ej. 1:30)",IF(AND(ISNUMBER(Q1495),COUNTIFS(M_RUTN,V1495,M_MES,B1495,M_LIQ,"&lt;&gt;")&gt;1),"⚠ Liquidación repetida en el mes",IF(AND(ISNUMBER(O1495),ISNUMBER(P1495),ISNUMBER(Q1495),ABS(O1495-P1495-Q1495)&gt;1),"⚠ Haberes − descuentos no da el líquido","OK"))))))</f>
        <v/>
      </c>
      <c r="V1495" s="62" t="str">
        <f aca="false">IF(C1495="","",IFERROR(VALUE(LEFT(UPPER(SUBSTITUTE(SUBSTITUTE(SUBSTITUTE(TRIM(C1495),".",""),"-","")," ","")),LEN(UPPER(SUBSTITUTE(SUBSTITUTE(SUBSTITUTE(TRIM(C1495),".",""),"-","")," ","")))-1))&amp;RIGHT(UPPER(SUBSTITUTE(SUBSTITUTE(SUBSTITUTE(TRIM(C1495),".",""),"-","")," ","")),1),UPPER(SUBSTITUTE(SUBSTITUTE(SUBSTITUTE(TRIM(C1495),".",""),"-","")," ",""))))</f>
        <v/>
      </c>
    </row>
    <row r="1496" customFormat="false" ht="15" hidden="false" customHeight="false" outlineLevel="0" collapsed="false">
      <c r="B1496" s="80"/>
      <c r="C1496" s="58"/>
      <c r="D1496" s="62" t="str">
        <f aca="false">IF(C1496="","",IFERROR(INDEX(T_NOMBRE,MATCH(V1496,T_RUTN,0)),"⚠ RUT no está en Trabajadores"))</f>
        <v/>
      </c>
      <c r="E1496" s="61"/>
      <c r="F1496" s="61"/>
      <c r="G1496" s="61"/>
      <c r="H1496" s="61"/>
      <c r="I1496" s="81"/>
      <c r="J1496" s="81"/>
      <c r="K1496" s="60"/>
      <c r="L1496" s="60"/>
      <c r="M1496" s="60"/>
      <c r="N1496" s="60"/>
      <c r="O1496" s="60"/>
      <c r="P1496" s="60"/>
      <c r="Q1496" s="60"/>
      <c r="R1496" s="58"/>
      <c r="S1496" s="62" t="str">
        <f aca="false">IF(OR(B1496="",V1496=""),"",IFERROR(INDEX(C_TIPO,MATCH(V1496&amp;"-P"&amp;MAX(1,COUNTIFS(C_RUTN,V1496,C_DEF,"Sí",C_INI,"&lt;="&amp;EOMONTH(B1496,0))),C_CLAVE,0))&amp;"","Sin contrato"))</f>
        <v/>
      </c>
      <c r="T1496" s="63" t="str">
        <f aca="false">IF(OR(B1496="",N(O1496)=0),"",N(O1496)+ROUND(MIN(N(N1496),TOPE_UF*UF_MES)*(TASA_EMP+MUTUAL),0)+ROUND(MIN(N(N1496),TOPE_AFC_UF*UF_MES)*IF(S1496="Indefinido",AFC_INDEF,AFC_PF),0))</f>
        <v/>
      </c>
      <c r="U1496" s="62" t="str">
        <f aca="false">IF(C1496="","",IF(LEFT(D1496,1)="⚠","⚠ RUT no registrado en Trabajadores",IF(B1496="","⚠ Falta el mes",IF(OR(ISTEXT(I1496),ISTEXT(J1496)),"⚠ Atrasos u horas extra como texto: escriba hh:mm (ej. 1:30)",IF(AND(ISNUMBER(Q1496),COUNTIFS(M_RUTN,V1496,M_MES,B1496,M_LIQ,"&lt;&gt;")&gt;1),"⚠ Liquidación repetida en el mes",IF(AND(ISNUMBER(O1496),ISNUMBER(P1496),ISNUMBER(Q1496),ABS(O1496-P1496-Q1496)&gt;1),"⚠ Haberes − descuentos no da el líquido","OK"))))))</f>
        <v/>
      </c>
      <c r="V1496" s="62" t="str">
        <f aca="false">IF(C1496="","",IFERROR(VALUE(LEFT(UPPER(SUBSTITUTE(SUBSTITUTE(SUBSTITUTE(TRIM(C1496),".",""),"-","")," ","")),LEN(UPPER(SUBSTITUTE(SUBSTITUTE(SUBSTITUTE(TRIM(C1496),".",""),"-","")," ","")))-1))&amp;RIGHT(UPPER(SUBSTITUTE(SUBSTITUTE(SUBSTITUTE(TRIM(C1496),".",""),"-","")," ","")),1),UPPER(SUBSTITUTE(SUBSTITUTE(SUBSTITUTE(TRIM(C1496),".",""),"-","")," ",""))))</f>
        <v/>
      </c>
    </row>
    <row r="1497" customFormat="false" ht="15" hidden="false" customHeight="false" outlineLevel="0" collapsed="false">
      <c r="B1497" s="80"/>
      <c r="C1497" s="58"/>
      <c r="D1497" s="62" t="str">
        <f aca="false">IF(C1497="","",IFERROR(INDEX(T_NOMBRE,MATCH(V1497,T_RUTN,0)),"⚠ RUT no está en Trabajadores"))</f>
        <v/>
      </c>
      <c r="E1497" s="61"/>
      <c r="F1497" s="61"/>
      <c r="G1497" s="61"/>
      <c r="H1497" s="61"/>
      <c r="I1497" s="81"/>
      <c r="J1497" s="81"/>
      <c r="K1497" s="60"/>
      <c r="L1497" s="60"/>
      <c r="M1497" s="60"/>
      <c r="N1497" s="60"/>
      <c r="O1497" s="60"/>
      <c r="P1497" s="60"/>
      <c r="Q1497" s="60"/>
      <c r="R1497" s="58"/>
      <c r="S1497" s="62" t="str">
        <f aca="false">IF(OR(B1497="",V1497=""),"",IFERROR(INDEX(C_TIPO,MATCH(V1497&amp;"-P"&amp;MAX(1,COUNTIFS(C_RUTN,V1497,C_DEF,"Sí",C_INI,"&lt;="&amp;EOMONTH(B1497,0))),C_CLAVE,0))&amp;"","Sin contrato"))</f>
        <v/>
      </c>
      <c r="T1497" s="63" t="str">
        <f aca="false">IF(OR(B1497="",N(O1497)=0),"",N(O1497)+ROUND(MIN(N(N1497),TOPE_UF*UF_MES)*(TASA_EMP+MUTUAL),0)+ROUND(MIN(N(N1497),TOPE_AFC_UF*UF_MES)*IF(S1497="Indefinido",AFC_INDEF,AFC_PF),0))</f>
        <v/>
      </c>
      <c r="U1497" s="62" t="str">
        <f aca="false">IF(C1497="","",IF(LEFT(D1497,1)="⚠","⚠ RUT no registrado en Trabajadores",IF(B1497="","⚠ Falta el mes",IF(OR(ISTEXT(I1497),ISTEXT(J1497)),"⚠ Atrasos u horas extra como texto: escriba hh:mm (ej. 1:30)",IF(AND(ISNUMBER(Q1497),COUNTIFS(M_RUTN,V1497,M_MES,B1497,M_LIQ,"&lt;&gt;")&gt;1),"⚠ Liquidación repetida en el mes",IF(AND(ISNUMBER(O1497),ISNUMBER(P1497),ISNUMBER(Q1497),ABS(O1497-P1497-Q1497)&gt;1),"⚠ Haberes − descuentos no da el líquido","OK"))))))</f>
        <v/>
      </c>
      <c r="V1497" s="62" t="str">
        <f aca="false">IF(C1497="","",IFERROR(VALUE(LEFT(UPPER(SUBSTITUTE(SUBSTITUTE(SUBSTITUTE(TRIM(C1497),".",""),"-","")," ","")),LEN(UPPER(SUBSTITUTE(SUBSTITUTE(SUBSTITUTE(TRIM(C1497),".",""),"-","")," ","")))-1))&amp;RIGHT(UPPER(SUBSTITUTE(SUBSTITUTE(SUBSTITUTE(TRIM(C1497),".",""),"-","")," ","")),1),UPPER(SUBSTITUTE(SUBSTITUTE(SUBSTITUTE(TRIM(C1497),".",""),"-","")," ",""))))</f>
        <v/>
      </c>
    </row>
    <row r="1498" customFormat="false" ht="15" hidden="false" customHeight="false" outlineLevel="0" collapsed="false">
      <c r="B1498" s="80"/>
      <c r="C1498" s="58"/>
      <c r="D1498" s="62" t="str">
        <f aca="false">IF(C1498="","",IFERROR(INDEX(T_NOMBRE,MATCH(V1498,T_RUTN,0)),"⚠ RUT no está en Trabajadores"))</f>
        <v/>
      </c>
      <c r="E1498" s="61"/>
      <c r="F1498" s="61"/>
      <c r="G1498" s="61"/>
      <c r="H1498" s="61"/>
      <c r="I1498" s="81"/>
      <c r="J1498" s="81"/>
      <c r="K1498" s="60"/>
      <c r="L1498" s="60"/>
      <c r="M1498" s="60"/>
      <c r="N1498" s="60"/>
      <c r="O1498" s="60"/>
      <c r="P1498" s="60"/>
      <c r="Q1498" s="60"/>
      <c r="R1498" s="58"/>
      <c r="S1498" s="62" t="str">
        <f aca="false">IF(OR(B1498="",V1498=""),"",IFERROR(INDEX(C_TIPO,MATCH(V1498&amp;"-P"&amp;MAX(1,COUNTIFS(C_RUTN,V1498,C_DEF,"Sí",C_INI,"&lt;="&amp;EOMONTH(B1498,0))),C_CLAVE,0))&amp;"","Sin contrato"))</f>
        <v/>
      </c>
      <c r="T1498" s="63" t="str">
        <f aca="false">IF(OR(B1498="",N(O1498)=0),"",N(O1498)+ROUND(MIN(N(N1498),TOPE_UF*UF_MES)*(TASA_EMP+MUTUAL),0)+ROUND(MIN(N(N1498),TOPE_AFC_UF*UF_MES)*IF(S1498="Indefinido",AFC_INDEF,AFC_PF),0))</f>
        <v/>
      </c>
      <c r="U1498" s="62" t="str">
        <f aca="false">IF(C1498="","",IF(LEFT(D1498,1)="⚠","⚠ RUT no registrado en Trabajadores",IF(B1498="","⚠ Falta el mes",IF(OR(ISTEXT(I1498),ISTEXT(J1498)),"⚠ Atrasos u horas extra como texto: escriba hh:mm (ej. 1:30)",IF(AND(ISNUMBER(Q1498),COUNTIFS(M_RUTN,V1498,M_MES,B1498,M_LIQ,"&lt;&gt;")&gt;1),"⚠ Liquidación repetida en el mes",IF(AND(ISNUMBER(O1498),ISNUMBER(P1498),ISNUMBER(Q1498),ABS(O1498-P1498-Q1498)&gt;1),"⚠ Haberes − descuentos no da el líquido","OK"))))))</f>
        <v/>
      </c>
      <c r="V1498" s="62" t="str">
        <f aca="false">IF(C1498="","",IFERROR(VALUE(LEFT(UPPER(SUBSTITUTE(SUBSTITUTE(SUBSTITUTE(TRIM(C1498),".",""),"-","")," ","")),LEN(UPPER(SUBSTITUTE(SUBSTITUTE(SUBSTITUTE(TRIM(C1498),".",""),"-","")," ","")))-1))&amp;RIGHT(UPPER(SUBSTITUTE(SUBSTITUTE(SUBSTITUTE(TRIM(C1498),".",""),"-","")," ","")),1),UPPER(SUBSTITUTE(SUBSTITUTE(SUBSTITUTE(TRIM(C1498),".",""),"-","")," ",""))))</f>
        <v/>
      </c>
    </row>
    <row r="1499" customFormat="false" ht="15" hidden="false" customHeight="false" outlineLevel="0" collapsed="false">
      <c r="B1499" s="80"/>
      <c r="C1499" s="58"/>
      <c r="D1499" s="62" t="str">
        <f aca="false">IF(C1499="","",IFERROR(INDEX(T_NOMBRE,MATCH(V1499,T_RUTN,0)),"⚠ RUT no está en Trabajadores"))</f>
        <v/>
      </c>
      <c r="E1499" s="61"/>
      <c r="F1499" s="61"/>
      <c r="G1499" s="61"/>
      <c r="H1499" s="61"/>
      <c r="I1499" s="81"/>
      <c r="J1499" s="81"/>
      <c r="K1499" s="60"/>
      <c r="L1499" s="60"/>
      <c r="M1499" s="60"/>
      <c r="N1499" s="60"/>
      <c r="O1499" s="60"/>
      <c r="P1499" s="60"/>
      <c r="Q1499" s="60"/>
      <c r="R1499" s="58"/>
      <c r="S1499" s="62" t="str">
        <f aca="false">IF(OR(B1499="",V1499=""),"",IFERROR(INDEX(C_TIPO,MATCH(V1499&amp;"-P"&amp;MAX(1,COUNTIFS(C_RUTN,V1499,C_DEF,"Sí",C_INI,"&lt;="&amp;EOMONTH(B1499,0))),C_CLAVE,0))&amp;"","Sin contrato"))</f>
        <v/>
      </c>
      <c r="T1499" s="63" t="str">
        <f aca="false">IF(OR(B1499="",N(O1499)=0),"",N(O1499)+ROUND(MIN(N(N1499),TOPE_UF*UF_MES)*(TASA_EMP+MUTUAL),0)+ROUND(MIN(N(N1499),TOPE_AFC_UF*UF_MES)*IF(S1499="Indefinido",AFC_INDEF,AFC_PF),0))</f>
        <v/>
      </c>
      <c r="U1499" s="62" t="str">
        <f aca="false">IF(C1499="","",IF(LEFT(D1499,1)="⚠","⚠ RUT no registrado en Trabajadores",IF(B1499="","⚠ Falta el mes",IF(OR(ISTEXT(I1499),ISTEXT(J1499)),"⚠ Atrasos u horas extra como texto: escriba hh:mm (ej. 1:30)",IF(AND(ISNUMBER(Q1499),COUNTIFS(M_RUTN,V1499,M_MES,B1499,M_LIQ,"&lt;&gt;")&gt;1),"⚠ Liquidación repetida en el mes",IF(AND(ISNUMBER(O1499),ISNUMBER(P1499),ISNUMBER(Q1499),ABS(O1499-P1499-Q1499)&gt;1),"⚠ Haberes − descuentos no da el líquido","OK"))))))</f>
        <v/>
      </c>
      <c r="V1499" s="62" t="str">
        <f aca="false">IF(C1499="","",IFERROR(VALUE(LEFT(UPPER(SUBSTITUTE(SUBSTITUTE(SUBSTITUTE(TRIM(C1499),".",""),"-","")," ","")),LEN(UPPER(SUBSTITUTE(SUBSTITUTE(SUBSTITUTE(TRIM(C1499),".",""),"-","")," ","")))-1))&amp;RIGHT(UPPER(SUBSTITUTE(SUBSTITUTE(SUBSTITUTE(TRIM(C1499),".",""),"-","")," ","")),1),UPPER(SUBSTITUTE(SUBSTITUTE(SUBSTITUTE(TRIM(C1499),".",""),"-","")," ",""))))</f>
        <v/>
      </c>
    </row>
    <row r="1500" customFormat="false" ht="15" hidden="false" customHeight="false" outlineLevel="0" collapsed="false">
      <c r="B1500" s="80"/>
      <c r="C1500" s="58"/>
      <c r="D1500" s="62" t="str">
        <f aca="false">IF(C1500="","",IFERROR(INDEX(T_NOMBRE,MATCH(V1500,T_RUTN,0)),"⚠ RUT no está en Trabajadores"))</f>
        <v/>
      </c>
      <c r="E1500" s="61"/>
      <c r="F1500" s="61"/>
      <c r="G1500" s="61"/>
      <c r="H1500" s="61"/>
      <c r="I1500" s="81"/>
      <c r="J1500" s="81"/>
      <c r="K1500" s="60"/>
      <c r="L1500" s="60"/>
      <c r="M1500" s="60"/>
      <c r="N1500" s="60"/>
      <c r="O1500" s="60"/>
      <c r="P1500" s="60"/>
      <c r="Q1500" s="60"/>
      <c r="R1500" s="58"/>
      <c r="S1500" s="62" t="str">
        <f aca="false">IF(OR(B1500="",V1500=""),"",IFERROR(INDEX(C_TIPO,MATCH(V1500&amp;"-P"&amp;MAX(1,COUNTIFS(C_RUTN,V1500,C_DEF,"Sí",C_INI,"&lt;="&amp;EOMONTH(B1500,0))),C_CLAVE,0))&amp;"","Sin contrato"))</f>
        <v/>
      </c>
      <c r="T1500" s="63" t="str">
        <f aca="false">IF(OR(B1500="",N(O1500)=0),"",N(O1500)+ROUND(MIN(N(N1500),TOPE_UF*UF_MES)*(TASA_EMP+MUTUAL),0)+ROUND(MIN(N(N1500),TOPE_AFC_UF*UF_MES)*IF(S1500="Indefinido",AFC_INDEF,AFC_PF),0))</f>
        <v/>
      </c>
      <c r="U1500" s="62" t="str">
        <f aca="false">IF(C1500="","",IF(LEFT(D1500,1)="⚠","⚠ RUT no registrado en Trabajadores",IF(B1500="","⚠ Falta el mes",IF(OR(ISTEXT(I1500),ISTEXT(J1500)),"⚠ Atrasos u horas extra como texto: escriba hh:mm (ej. 1:30)",IF(AND(ISNUMBER(Q1500),COUNTIFS(M_RUTN,V1500,M_MES,B1500,M_LIQ,"&lt;&gt;")&gt;1),"⚠ Liquidación repetida en el mes",IF(AND(ISNUMBER(O1500),ISNUMBER(P1500),ISNUMBER(Q1500),ABS(O1500-P1500-Q1500)&gt;1),"⚠ Haberes − descuentos no da el líquido","OK"))))))</f>
        <v/>
      </c>
      <c r="V1500" s="62" t="str">
        <f aca="false">IF(C1500="","",IFERROR(VALUE(LEFT(UPPER(SUBSTITUTE(SUBSTITUTE(SUBSTITUTE(TRIM(C1500),".",""),"-","")," ","")),LEN(UPPER(SUBSTITUTE(SUBSTITUTE(SUBSTITUTE(TRIM(C1500),".",""),"-","")," ","")))-1))&amp;RIGHT(UPPER(SUBSTITUTE(SUBSTITUTE(SUBSTITUTE(TRIM(C1500),".",""),"-","")," ","")),1),UPPER(SUBSTITUTE(SUBSTITUTE(SUBSTITUTE(TRIM(C1500),".",""),"-","")," ",""))))</f>
        <v/>
      </c>
    </row>
    <row r="1501" customFormat="false" ht="15" hidden="false" customHeight="false" outlineLevel="0" collapsed="false">
      <c r="B1501" s="80"/>
      <c r="C1501" s="58"/>
      <c r="D1501" s="62" t="str">
        <f aca="false">IF(C1501="","",IFERROR(INDEX(T_NOMBRE,MATCH(V1501,T_RUTN,0)),"⚠ RUT no está en Trabajadores"))</f>
        <v/>
      </c>
      <c r="E1501" s="61"/>
      <c r="F1501" s="61"/>
      <c r="G1501" s="61"/>
      <c r="H1501" s="61"/>
      <c r="I1501" s="81"/>
      <c r="J1501" s="81"/>
      <c r="K1501" s="60"/>
      <c r="L1501" s="60"/>
      <c r="M1501" s="60"/>
      <c r="N1501" s="60"/>
      <c r="O1501" s="60"/>
      <c r="P1501" s="60"/>
      <c r="Q1501" s="60"/>
      <c r="R1501" s="58"/>
      <c r="S1501" s="62" t="str">
        <f aca="false">IF(OR(B1501="",V1501=""),"",IFERROR(INDEX(C_TIPO,MATCH(V1501&amp;"-P"&amp;MAX(1,COUNTIFS(C_RUTN,V1501,C_DEF,"Sí",C_INI,"&lt;="&amp;EOMONTH(B1501,0))),C_CLAVE,0))&amp;"","Sin contrato"))</f>
        <v/>
      </c>
      <c r="T1501" s="63" t="str">
        <f aca="false">IF(OR(B1501="",N(O1501)=0),"",N(O1501)+ROUND(MIN(N(N1501),TOPE_UF*UF_MES)*(TASA_EMP+MUTUAL),0)+ROUND(MIN(N(N1501),TOPE_AFC_UF*UF_MES)*IF(S1501="Indefinido",AFC_INDEF,AFC_PF),0))</f>
        <v/>
      </c>
      <c r="U1501" s="62" t="str">
        <f aca="false">IF(C1501="","",IF(LEFT(D1501,1)="⚠","⚠ RUT no registrado en Trabajadores",IF(B1501="","⚠ Falta el mes",IF(OR(ISTEXT(I1501),ISTEXT(J1501)),"⚠ Atrasos u horas extra como texto: escriba hh:mm (ej. 1:30)",IF(AND(ISNUMBER(Q1501),COUNTIFS(M_RUTN,V1501,M_MES,B1501,M_LIQ,"&lt;&gt;")&gt;1),"⚠ Liquidación repetida en el mes",IF(AND(ISNUMBER(O1501),ISNUMBER(P1501),ISNUMBER(Q1501),ABS(O1501-P1501-Q1501)&gt;1),"⚠ Haberes − descuentos no da el líquido","OK"))))))</f>
        <v/>
      </c>
      <c r="V1501" s="62" t="str">
        <f aca="false">IF(C1501="","",IFERROR(VALUE(LEFT(UPPER(SUBSTITUTE(SUBSTITUTE(SUBSTITUTE(TRIM(C1501),".",""),"-","")," ","")),LEN(UPPER(SUBSTITUTE(SUBSTITUTE(SUBSTITUTE(TRIM(C1501),".",""),"-","")," ","")))-1))&amp;RIGHT(UPPER(SUBSTITUTE(SUBSTITUTE(SUBSTITUTE(TRIM(C1501),".",""),"-","")," ","")),1),UPPER(SUBSTITUTE(SUBSTITUTE(SUBSTITUTE(TRIM(C1501),".",""),"-","")," ",""))))</f>
        <v/>
      </c>
    </row>
    <row r="1502" customFormat="false" ht="15" hidden="false" customHeight="false" outlineLevel="0" collapsed="false">
      <c r="B1502" s="80"/>
      <c r="C1502" s="58"/>
      <c r="D1502" s="62" t="str">
        <f aca="false">IF(C1502="","",IFERROR(INDEX(T_NOMBRE,MATCH(V1502,T_RUTN,0)),"⚠ RUT no está en Trabajadores"))</f>
        <v/>
      </c>
      <c r="E1502" s="61"/>
      <c r="F1502" s="61"/>
      <c r="G1502" s="61"/>
      <c r="H1502" s="61"/>
      <c r="I1502" s="81"/>
      <c r="J1502" s="81"/>
      <c r="K1502" s="60"/>
      <c r="L1502" s="60"/>
      <c r="M1502" s="60"/>
      <c r="N1502" s="60"/>
      <c r="O1502" s="60"/>
      <c r="P1502" s="60"/>
      <c r="Q1502" s="60"/>
      <c r="R1502" s="58"/>
      <c r="S1502" s="62" t="str">
        <f aca="false">IF(OR(B1502="",V1502=""),"",IFERROR(INDEX(C_TIPO,MATCH(V1502&amp;"-P"&amp;MAX(1,COUNTIFS(C_RUTN,V1502,C_DEF,"Sí",C_INI,"&lt;="&amp;EOMONTH(B1502,0))),C_CLAVE,0))&amp;"","Sin contrato"))</f>
        <v/>
      </c>
      <c r="T1502" s="63" t="str">
        <f aca="false">IF(OR(B1502="",N(O1502)=0),"",N(O1502)+ROUND(MIN(N(N1502),TOPE_UF*UF_MES)*(TASA_EMP+MUTUAL),0)+ROUND(MIN(N(N1502),TOPE_AFC_UF*UF_MES)*IF(S1502="Indefinido",AFC_INDEF,AFC_PF),0))</f>
        <v/>
      </c>
      <c r="U1502" s="62" t="str">
        <f aca="false">IF(C1502="","",IF(LEFT(D1502,1)="⚠","⚠ RUT no registrado en Trabajadores",IF(B1502="","⚠ Falta el mes",IF(OR(ISTEXT(I1502),ISTEXT(J1502)),"⚠ Atrasos u horas extra como texto: escriba hh:mm (ej. 1:30)",IF(AND(ISNUMBER(Q1502),COUNTIFS(M_RUTN,V1502,M_MES,B1502,M_LIQ,"&lt;&gt;")&gt;1),"⚠ Liquidación repetida en el mes",IF(AND(ISNUMBER(O1502),ISNUMBER(P1502),ISNUMBER(Q1502),ABS(O1502-P1502-Q1502)&gt;1),"⚠ Haberes − descuentos no da el líquido","OK"))))))</f>
        <v/>
      </c>
      <c r="V1502" s="62" t="str">
        <f aca="false">IF(C1502="","",IFERROR(VALUE(LEFT(UPPER(SUBSTITUTE(SUBSTITUTE(SUBSTITUTE(TRIM(C1502),".",""),"-","")," ","")),LEN(UPPER(SUBSTITUTE(SUBSTITUTE(SUBSTITUTE(TRIM(C1502),".",""),"-","")," ","")))-1))&amp;RIGHT(UPPER(SUBSTITUTE(SUBSTITUTE(SUBSTITUTE(TRIM(C1502),".",""),"-","")," ","")),1),UPPER(SUBSTITUTE(SUBSTITUTE(SUBSTITUTE(TRIM(C1502),".",""),"-","")," ",""))))</f>
        <v/>
      </c>
    </row>
    <row r="1503" customFormat="false" ht="15" hidden="false" customHeight="false" outlineLevel="0" collapsed="false">
      <c r="B1503" s="80"/>
      <c r="C1503" s="58"/>
      <c r="D1503" s="62" t="str">
        <f aca="false">IF(C1503="","",IFERROR(INDEX(T_NOMBRE,MATCH(V1503,T_RUTN,0)),"⚠ RUT no está en Trabajadores"))</f>
        <v/>
      </c>
      <c r="E1503" s="61"/>
      <c r="F1503" s="61"/>
      <c r="G1503" s="61"/>
      <c r="H1503" s="61"/>
      <c r="I1503" s="81"/>
      <c r="J1503" s="81"/>
      <c r="K1503" s="60"/>
      <c r="L1503" s="60"/>
      <c r="M1503" s="60"/>
      <c r="N1503" s="60"/>
      <c r="O1503" s="60"/>
      <c r="P1503" s="60"/>
      <c r="Q1503" s="60"/>
      <c r="R1503" s="58"/>
      <c r="S1503" s="62" t="str">
        <f aca="false">IF(OR(B1503="",V1503=""),"",IFERROR(INDEX(C_TIPO,MATCH(V1503&amp;"-P"&amp;MAX(1,COUNTIFS(C_RUTN,V1503,C_DEF,"Sí",C_INI,"&lt;="&amp;EOMONTH(B1503,0))),C_CLAVE,0))&amp;"","Sin contrato"))</f>
        <v/>
      </c>
      <c r="T1503" s="63" t="str">
        <f aca="false">IF(OR(B1503="",N(O1503)=0),"",N(O1503)+ROUND(MIN(N(N1503),TOPE_UF*UF_MES)*(TASA_EMP+MUTUAL),0)+ROUND(MIN(N(N1503),TOPE_AFC_UF*UF_MES)*IF(S1503="Indefinido",AFC_INDEF,AFC_PF),0))</f>
        <v/>
      </c>
      <c r="U1503" s="62" t="str">
        <f aca="false">IF(C1503="","",IF(LEFT(D1503,1)="⚠","⚠ RUT no registrado en Trabajadores",IF(B1503="","⚠ Falta el mes",IF(OR(ISTEXT(I1503),ISTEXT(J1503)),"⚠ Atrasos u horas extra como texto: escriba hh:mm (ej. 1:30)",IF(AND(ISNUMBER(Q1503),COUNTIFS(M_RUTN,V1503,M_MES,B1503,M_LIQ,"&lt;&gt;")&gt;1),"⚠ Liquidación repetida en el mes",IF(AND(ISNUMBER(O1503),ISNUMBER(P1503),ISNUMBER(Q1503),ABS(O1503-P1503-Q1503)&gt;1),"⚠ Haberes − descuentos no da el líquido","OK"))))))</f>
        <v/>
      </c>
      <c r="V1503" s="62" t="str">
        <f aca="false">IF(C1503="","",IFERROR(VALUE(LEFT(UPPER(SUBSTITUTE(SUBSTITUTE(SUBSTITUTE(TRIM(C1503),".",""),"-","")," ","")),LEN(UPPER(SUBSTITUTE(SUBSTITUTE(SUBSTITUTE(TRIM(C1503),".",""),"-","")," ","")))-1))&amp;RIGHT(UPPER(SUBSTITUTE(SUBSTITUTE(SUBSTITUTE(TRIM(C1503),".",""),"-","")," ","")),1),UPPER(SUBSTITUTE(SUBSTITUTE(SUBSTITUTE(TRIM(C1503),".",""),"-","")," ",""))))</f>
        <v/>
      </c>
    </row>
    <row r="1504" customFormat="false" ht="15" hidden="false" customHeight="false" outlineLevel="0" collapsed="false">
      <c r="B1504" s="80"/>
      <c r="C1504" s="58"/>
      <c r="D1504" s="62" t="str">
        <f aca="false">IF(C1504="","",IFERROR(INDEX(T_NOMBRE,MATCH(V1504,T_RUTN,0)),"⚠ RUT no está en Trabajadores"))</f>
        <v/>
      </c>
      <c r="E1504" s="61"/>
      <c r="F1504" s="61"/>
      <c r="G1504" s="61"/>
      <c r="H1504" s="61"/>
      <c r="I1504" s="81"/>
      <c r="J1504" s="81"/>
      <c r="K1504" s="60"/>
      <c r="L1504" s="60"/>
      <c r="M1504" s="60"/>
      <c r="N1504" s="60"/>
      <c r="O1504" s="60"/>
      <c r="P1504" s="60"/>
      <c r="Q1504" s="60"/>
      <c r="R1504" s="58"/>
      <c r="S1504" s="62" t="str">
        <f aca="false">IF(OR(B1504="",V1504=""),"",IFERROR(INDEX(C_TIPO,MATCH(V1504&amp;"-P"&amp;MAX(1,COUNTIFS(C_RUTN,V1504,C_DEF,"Sí",C_INI,"&lt;="&amp;EOMONTH(B1504,0))),C_CLAVE,0))&amp;"","Sin contrato"))</f>
        <v/>
      </c>
      <c r="T1504" s="63" t="str">
        <f aca="false">IF(OR(B1504="",N(O1504)=0),"",N(O1504)+ROUND(MIN(N(N1504),TOPE_UF*UF_MES)*(TASA_EMP+MUTUAL),0)+ROUND(MIN(N(N1504),TOPE_AFC_UF*UF_MES)*IF(S1504="Indefinido",AFC_INDEF,AFC_PF),0))</f>
        <v/>
      </c>
      <c r="U1504" s="62" t="str">
        <f aca="false">IF(C1504="","",IF(LEFT(D1504,1)="⚠","⚠ RUT no registrado en Trabajadores",IF(B1504="","⚠ Falta el mes",IF(OR(ISTEXT(I1504),ISTEXT(J1504)),"⚠ Atrasos u horas extra como texto: escriba hh:mm (ej. 1:30)",IF(AND(ISNUMBER(Q1504),COUNTIFS(M_RUTN,V1504,M_MES,B1504,M_LIQ,"&lt;&gt;")&gt;1),"⚠ Liquidación repetida en el mes",IF(AND(ISNUMBER(O1504),ISNUMBER(P1504),ISNUMBER(Q1504),ABS(O1504-P1504-Q1504)&gt;1),"⚠ Haberes − descuentos no da el líquido","OK"))))))</f>
        <v/>
      </c>
      <c r="V1504" s="62" t="str">
        <f aca="false">IF(C1504="","",IFERROR(VALUE(LEFT(UPPER(SUBSTITUTE(SUBSTITUTE(SUBSTITUTE(TRIM(C1504),".",""),"-","")," ","")),LEN(UPPER(SUBSTITUTE(SUBSTITUTE(SUBSTITUTE(TRIM(C1504),".",""),"-","")," ","")))-1))&amp;RIGHT(UPPER(SUBSTITUTE(SUBSTITUTE(SUBSTITUTE(TRIM(C1504),".",""),"-","")," ","")),1),UPPER(SUBSTITUTE(SUBSTITUTE(SUBSTITUTE(TRIM(C1504),".",""),"-","")," ",""))))</f>
        <v/>
      </c>
    </row>
    <row r="1505" customFormat="false" ht="15" hidden="false" customHeight="false" outlineLevel="0" collapsed="false">
      <c r="B1505" s="80"/>
      <c r="C1505" s="58"/>
      <c r="D1505" s="62" t="str">
        <f aca="false">IF(C1505="","",IFERROR(INDEX(T_NOMBRE,MATCH(V1505,T_RUTN,0)),"⚠ RUT no está en Trabajadores"))</f>
        <v/>
      </c>
      <c r="E1505" s="61"/>
      <c r="F1505" s="61"/>
      <c r="G1505" s="61"/>
      <c r="H1505" s="61"/>
      <c r="I1505" s="81"/>
      <c r="J1505" s="81"/>
      <c r="K1505" s="60"/>
      <c r="L1505" s="60"/>
      <c r="M1505" s="60"/>
      <c r="N1505" s="60"/>
      <c r="O1505" s="60"/>
      <c r="P1505" s="60"/>
      <c r="Q1505" s="60"/>
      <c r="R1505" s="58"/>
      <c r="S1505" s="62" t="str">
        <f aca="false">IF(OR(B1505="",V1505=""),"",IFERROR(INDEX(C_TIPO,MATCH(V1505&amp;"-P"&amp;MAX(1,COUNTIFS(C_RUTN,V1505,C_DEF,"Sí",C_INI,"&lt;="&amp;EOMONTH(B1505,0))),C_CLAVE,0))&amp;"","Sin contrato"))</f>
        <v/>
      </c>
      <c r="T1505" s="63" t="str">
        <f aca="false">IF(OR(B1505="",N(O1505)=0),"",N(O1505)+ROUND(MIN(N(N1505),TOPE_UF*UF_MES)*(TASA_EMP+MUTUAL),0)+ROUND(MIN(N(N1505),TOPE_AFC_UF*UF_MES)*IF(S1505="Indefinido",AFC_INDEF,AFC_PF),0))</f>
        <v/>
      </c>
      <c r="U1505" s="62" t="str">
        <f aca="false">IF(C1505="","",IF(LEFT(D1505,1)="⚠","⚠ RUT no registrado en Trabajadores",IF(B1505="","⚠ Falta el mes",IF(OR(ISTEXT(I1505),ISTEXT(J1505)),"⚠ Atrasos u horas extra como texto: escriba hh:mm (ej. 1:30)",IF(AND(ISNUMBER(Q1505),COUNTIFS(M_RUTN,V1505,M_MES,B1505,M_LIQ,"&lt;&gt;")&gt;1),"⚠ Liquidación repetida en el mes",IF(AND(ISNUMBER(O1505),ISNUMBER(P1505),ISNUMBER(Q1505),ABS(O1505-P1505-Q1505)&gt;1),"⚠ Haberes − descuentos no da el líquido","OK"))))))</f>
        <v/>
      </c>
      <c r="V1505" s="62" t="str">
        <f aca="false">IF(C1505="","",IFERROR(VALUE(LEFT(UPPER(SUBSTITUTE(SUBSTITUTE(SUBSTITUTE(TRIM(C1505),".",""),"-","")," ","")),LEN(UPPER(SUBSTITUTE(SUBSTITUTE(SUBSTITUTE(TRIM(C1505),".",""),"-","")," ","")))-1))&amp;RIGHT(UPPER(SUBSTITUTE(SUBSTITUTE(SUBSTITUTE(TRIM(C1505),".",""),"-","")," ","")),1),UPPER(SUBSTITUTE(SUBSTITUTE(SUBSTITUTE(TRIM(C1505),".",""),"-","")," ",""))))</f>
        <v/>
      </c>
    </row>
    <row r="1506" customFormat="false" ht="15" hidden="false" customHeight="false" outlineLevel="0" collapsed="false">
      <c r="B1506" s="80"/>
      <c r="C1506" s="58"/>
      <c r="D1506" s="62" t="str">
        <f aca="false">IF(C1506="","",IFERROR(INDEX(T_NOMBRE,MATCH(V1506,T_RUTN,0)),"⚠ RUT no está en Trabajadores"))</f>
        <v/>
      </c>
      <c r="E1506" s="61"/>
      <c r="F1506" s="61"/>
      <c r="G1506" s="61"/>
      <c r="H1506" s="61"/>
      <c r="I1506" s="81"/>
      <c r="J1506" s="81"/>
      <c r="K1506" s="60"/>
      <c r="L1506" s="60"/>
      <c r="M1506" s="60"/>
      <c r="N1506" s="60"/>
      <c r="O1506" s="60"/>
      <c r="P1506" s="60"/>
      <c r="Q1506" s="60"/>
      <c r="R1506" s="58"/>
      <c r="S1506" s="62" t="str">
        <f aca="false">IF(OR(B1506="",V1506=""),"",IFERROR(INDEX(C_TIPO,MATCH(V1506&amp;"-P"&amp;MAX(1,COUNTIFS(C_RUTN,V1506,C_DEF,"Sí",C_INI,"&lt;="&amp;EOMONTH(B1506,0))),C_CLAVE,0))&amp;"","Sin contrato"))</f>
        <v/>
      </c>
      <c r="T1506" s="63" t="str">
        <f aca="false">IF(OR(B1506="",N(O1506)=0),"",N(O1506)+ROUND(MIN(N(N1506),TOPE_UF*UF_MES)*(TASA_EMP+MUTUAL),0)+ROUND(MIN(N(N1506),TOPE_AFC_UF*UF_MES)*IF(S1506="Indefinido",AFC_INDEF,AFC_PF),0))</f>
        <v/>
      </c>
      <c r="U1506" s="62" t="str">
        <f aca="false">IF(C1506="","",IF(LEFT(D1506,1)="⚠","⚠ RUT no registrado en Trabajadores",IF(B1506="","⚠ Falta el mes",IF(OR(ISTEXT(I1506),ISTEXT(J1506)),"⚠ Atrasos u horas extra como texto: escriba hh:mm (ej. 1:30)",IF(AND(ISNUMBER(Q1506),COUNTIFS(M_RUTN,V1506,M_MES,B1506,M_LIQ,"&lt;&gt;")&gt;1),"⚠ Liquidación repetida en el mes",IF(AND(ISNUMBER(O1506),ISNUMBER(P1506),ISNUMBER(Q1506),ABS(O1506-P1506-Q1506)&gt;1),"⚠ Haberes − descuentos no da el líquido","OK"))))))</f>
        <v/>
      </c>
      <c r="V1506" s="62" t="str">
        <f aca="false">IF(C1506="","",IFERROR(VALUE(LEFT(UPPER(SUBSTITUTE(SUBSTITUTE(SUBSTITUTE(TRIM(C1506),".",""),"-","")," ","")),LEN(UPPER(SUBSTITUTE(SUBSTITUTE(SUBSTITUTE(TRIM(C1506),".",""),"-","")," ","")))-1))&amp;RIGHT(UPPER(SUBSTITUTE(SUBSTITUTE(SUBSTITUTE(TRIM(C1506),".",""),"-","")," ","")),1),UPPER(SUBSTITUTE(SUBSTITUTE(SUBSTITUTE(TRIM(C1506),".",""),"-","")," ",""))))</f>
        <v/>
      </c>
    </row>
    <row r="1507" customFormat="false" ht="15" hidden="false" customHeight="false" outlineLevel="0" collapsed="false">
      <c r="B1507" s="80"/>
      <c r="C1507" s="58"/>
      <c r="D1507" s="62" t="str">
        <f aca="false">IF(C1507="","",IFERROR(INDEX(T_NOMBRE,MATCH(V1507,T_RUTN,0)),"⚠ RUT no está en Trabajadores"))</f>
        <v/>
      </c>
      <c r="E1507" s="61"/>
      <c r="F1507" s="61"/>
      <c r="G1507" s="61"/>
      <c r="H1507" s="61"/>
      <c r="I1507" s="81"/>
      <c r="J1507" s="81"/>
      <c r="K1507" s="60"/>
      <c r="L1507" s="60"/>
      <c r="M1507" s="60"/>
      <c r="N1507" s="60"/>
      <c r="O1507" s="60"/>
      <c r="P1507" s="60"/>
      <c r="Q1507" s="60"/>
      <c r="R1507" s="58"/>
      <c r="S1507" s="62" t="str">
        <f aca="false">IF(OR(B1507="",V1507=""),"",IFERROR(INDEX(C_TIPO,MATCH(V1507&amp;"-P"&amp;MAX(1,COUNTIFS(C_RUTN,V1507,C_DEF,"Sí",C_INI,"&lt;="&amp;EOMONTH(B1507,0))),C_CLAVE,0))&amp;"","Sin contrato"))</f>
        <v/>
      </c>
      <c r="T1507" s="63" t="str">
        <f aca="false">IF(OR(B1507="",N(O1507)=0),"",N(O1507)+ROUND(MIN(N(N1507),TOPE_UF*UF_MES)*(TASA_EMP+MUTUAL),0)+ROUND(MIN(N(N1507),TOPE_AFC_UF*UF_MES)*IF(S1507="Indefinido",AFC_INDEF,AFC_PF),0))</f>
        <v/>
      </c>
      <c r="U1507" s="62" t="str">
        <f aca="false">IF(C1507="","",IF(LEFT(D1507,1)="⚠","⚠ RUT no registrado en Trabajadores",IF(B1507="","⚠ Falta el mes",IF(OR(ISTEXT(I1507),ISTEXT(J1507)),"⚠ Atrasos u horas extra como texto: escriba hh:mm (ej. 1:30)",IF(AND(ISNUMBER(Q1507),COUNTIFS(M_RUTN,V1507,M_MES,B1507,M_LIQ,"&lt;&gt;")&gt;1),"⚠ Liquidación repetida en el mes",IF(AND(ISNUMBER(O1507),ISNUMBER(P1507),ISNUMBER(Q1507),ABS(O1507-P1507-Q1507)&gt;1),"⚠ Haberes − descuentos no da el líquido","OK"))))))</f>
        <v/>
      </c>
      <c r="V1507" s="62" t="str">
        <f aca="false">IF(C1507="","",IFERROR(VALUE(LEFT(UPPER(SUBSTITUTE(SUBSTITUTE(SUBSTITUTE(TRIM(C1507),".",""),"-","")," ","")),LEN(UPPER(SUBSTITUTE(SUBSTITUTE(SUBSTITUTE(TRIM(C1507),".",""),"-","")," ","")))-1))&amp;RIGHT(UPPER(SUBSTITUTE(SUBSTITUTE(SUBSTITUTE(TRIM(C1507),".",""),"-","")," ","")),1),UPPER(SUBSTITUTE(SUBSTITUTE(SUBSTITUTE(TRIM(C1507),".",""),"-","")," ",""))))</f>
        <v/>
      </c>
    </row>
    <row r="1508" customFormat="false" ht="15" hidden="false" customHeight="false" outlineLevel="0" collapsed="false">
      <c r="B1508" s="80"/>
      <c r="C1508" s="58"/>
      <c r="D1508" s="62" t="str">
        <f aca="false">IF(C1508="","",IFERROR(INDEX(T_NOMBRE,MATCH(V1508,T_RUTN,0)),"⚠ RUT no está en Trabajadores"))</f>
        <v/>
      </c>
      <c r="E1508" s="61"/>
      <c r="F1508" s="61"/>
      <c r="G1508" s="61"/>
      <c r="H1508" s="61"/>
      <c r="I1508" s="81"/>
      <c r="J1508" s="81"/>
      <c r="K1508" s="60"/>
      <c r="L1508" s="60"/>
      <c r="M1508" s="60"/>
      <c r="N1508" s="60"/>
      <c r="O1508" s="60"/>
      <c r="P1508" s="60"/>
      <c r="Q1508" s="60"/>
      <c r="R1508" s="58"/>
      <c r="S1508" s="62" t="str">
        <f aca="false">IF(OR(B1508="",V1508=""),"",IFERROR(INDEX(C_TIPO,MATCH(V1508&amp;"-P"&amp;MAX(1,COUNTIFS(C_RUTN,V1508,C_DEF,"Sí",C_INI,"&lt;="&amp;EOMONTH(B1508,0))),C_CLAVE,0))&amp;"","Sin contrato"))</f>
        <v/>
      </c>
      <c r="T1508" s="63" t="str">
        <f aca="false">IF(OR(B1508="",N(O1508)=0),"",N(O1508)+ROUND(MIN(N(N1508),TOPE_UF*UF_MES)*(TASA_EMP+MUTUAL),0)+ROUND(MIN(N(N1508),TOPE_AFC_UF*UF_MES)*IF(S1508="Indefinido",AFC_INDEF,AFC_PF),0))</f>
        <v/>
      </c>
      <c r="U1508" s="62" t="str">
        <f aca="false">IF(C1508="","",IF(LEFT(D1508,1)="⚠","⚠ RUT no registrado en Trabajadores",IF(B1508="","⚠ Falta el mes",IF(OR(ISTEXT(I1508),ISTEXT(J1508)),"⚠ Atrasos u horas extra como texto: escriba hh:mm (ej. 1:30)",IF(AND(ISNUMBER(Q1508),COUNTIFS(M_RUTN,V1508,M_MES,B1508,M_LIQ,"&lt;&gt;")&gt;1),"⚠ Liquidación repetida en el mes",IF(AND(ISNUMBER(O1508),ISNUMBER(P1508),ISNUMBER(Q1508),ABS(O1508-P1508-Q1508)&gt;1),"⚠ Haberes − descuentos no da el líquido","OK"))))))</f>
        <v/>
      </c>
      <c r="V1508" s="62" t="str">
        <f aca="false">IF(C1508="","",IFERROR(VALUE(LEFT(UPPER(SUBSTITUTE(SUBSTITUTE(SUBSTITUTE(TRIM(C1508),".",""),"-","")," ","")),LEN(UPPER(SUBSTITUTE(SUBSTITUTE(SUBSTITUTE(TRIM(C1508),".",""),"-","")," ","")))-1))&amp;RIGHT(UPPER(SUBSTITUTE(SUBSTITUTE(SUBSTITUTE(TRIM(C1508),".",""),"-","")," ","")),1),UPPER(SUBSTITUTE(SUBSTITUTE(SUBSTITUTE(TRIM(C1508),".",""),"-","")," ",""))))</f>
        <v/>
      </c>
    </row>
    <row r="1509" customFormat="false" ht="15" hidden="false" customHeight="false" outlineLevel="0" collapsed="false">
      <c r="B1509" s="80"/>
      <c r="C1509" s="58"/>
      <c r="D1509" s="62" t="str">
        <f aca="false">IF(C1509="","",IFERROR(INDEX(T_NOMBRE,MATCH(V1509,T_RUTN,0)),"⚠ RUT no está en Trabajadores"))</f>
        <v/>
      </c>
      <c r="E1509" s="61"/>
      <c r="F1509" s="61"/>
      <c r="G1509" s="61"/>
      <c r="H1509" s="61"/>
      <c r="I1509" s="81"/>
      <c r="J1509" s="81"/>
      <c r="K1509" s="60"/>
      <c r="L1509" s="60"/>
      <c r="M1509" s="60"/>
      <c r="N1509" s="60"/>
      <c r="O1509" s="60"/>
      <c r="P1509" s="60"/>
      <c r="Q1509" s="60"/>
      <c r="R1509" s="58"/>
      <c r="S1509" s="62" t="str">
        <f aca="false">IF(OR(B1509="",V1509=""),"",IFERROR(INDEX(C_TIPO,MATCH(V1509&amp;"-P"&amp;MAX(1,COUNTIFS(C_RUTN,V1509,C_DEF,"Sí",C_INI,"&lt;="&amp;EOMONTH(B1509,0))),C_CLAVE,0))&amp;"","Sin contrato"))</f>
        <v/>
      </c>
      <c r="T1509" s="63" t="str">
        <f aca="false">IF(OR(B1509="",N(O1509)=0),"",N(O1509)+ROUND(MIN(N(N1509),TOPE_UF*UF_MES)*(TASA_EMP+MUTUAL),0)+ROUND(MIN(N(N1509),TOPE_AFC_UF*UF_MES)*IF(S1509="Indefinido",AFC_INDEF,AFC_PF),0))</f>
        <v/>
      </c>
      <c r="U1509" s="62" t="str">
        <f aca="false">IF(C1509="","",IF(LEFT(D1509,1)="⚠","⚠ RUT no registrado en Trabajadores",IF(B1509="","⚠ Falta el mes",IF(OR(ISTEXT(I1509),ISTEXT(J1509)),"⚠ Atrasos u horas extra como texto: escriba hh:mm (ej. 1:30)",IF(AND(ISNUMBER(Q1509),COUNTIFS(M_RUTN,V1509,M_MES,B1509,M_LIQ,"&lt;&gt;")&gt;1),"⚠ Liquidación repetida en el mes",IF(AND(ISNUMBER(O1509),ISNUMBER(P1509),ISNUMBER(Q1509),ABS(O1509-P1509-Q1509)&gt;1),"⚠ Haberes − descuentos no da el líquido","OK"))))))</f>
        <v/>
      </c>
      <c r="V1509" s="62" t="str">
        <f aca="false">IF(C1509="","",IFERROR(VALUE(LEFT(UPPER(SUBSTITUTE(SUBSTITUTE(SUBSTITUTE(TRIM(C1509),".",""),"-","")," ","")),LEN(UPPER(SUBSTITUTE(SUBSTITUTE(SUBSTITUTE(TRIM(C1509),".",""),"-","")," ","")))-1))&amp;RIGHT(UPPER(SUBSTITUTE(SUBSTITUTE(SUBSTITUTE(TRIM(C1509),".",""),"-","")," ","")),1),UPPER(SUBSTITUTE(SUBSTITUTE(SUBSTITUTE(TRIM(C1509),".",""),"-","")," ",""))))</f>
        <v/>
      </c>
    </row>
    <row r="1510" customFormat="false" ht="15" hidden="false" customHeight="false" outlineLevel="0" collapsed="false">
      <c r="B1510" s="80"/>
      <c r="C1510" s="58"/>
      <c r="D1510" s="62" t="str">
        <f aca="false">IF(C1510="","",IFERROR(INDEX(T_NOMBRE,MATCH(V1510,T_RUTN,0)),"⚠ RUT no está en Trabajadores"))</f>
        <v/>
      </c>
      <c r="E1510" s="61"/>
      <c r="F1510" s="61"/>
      <c r="G1510" s="61"/>
      <c r="H1510" s="61"/>
      <c r="I1510" s="81"/>
      <c r="J1510" s="81"/>
      <c r="K1510" s="60"/>
      <c r="L1510" s="60"/>
      <c r="M1510" s="60"/>
      <c r="N1510" s="60"/>
      <c r="O1510" s="60"/>
      <c r="P1510" s="60"/>
      <c r="Q1510" s="60"/>
      <c r="R1510" s="58"/>
      <c r="S1510" s="62" t="str">
        <f aca="false">IF(OR(B1510="",V1510=""),"",IFERROR(INDEX(C_TIPO,MATCH(V1510&amp;"-P"&amp;MAX(1,COUNTIFS(C_RUTN,V1510,C_DEF,"Sí",C_INI,"&lt;="&amp;EOMONTH(B1510,0))),C_CLAVE,0))&amp;"","Sin contrato"))</f>
        <v/>
      </c>
      <c r="T1510" s="63" t="str">
        <f aca="false">IF(OR(B1510="",N(O1510)=0),"",N(O1510)+ROUND(MIN(N(N1510),TOPE_UF*UF_MES)*(TASA_EMP+MUTUAL),0)+ROUND(MIN(N(N1510),TOPE_AFC_UF*UF_MES)*IF(S1510="Indefinido",AFC_INDEF,AFC_PF),0))</f>
        <v/>
      </c>
      <c r="U1510" s="62" t="str">
        <f aca="false">IF(C1510="","",IF(LEFT(D1510,1)="⚠","⚠ RUT no registrado en Trabajadores",IF(B1510="","⚠ Falta el mes",IF(OR(ISTEXT(I1510),ISTEXT(J1510)),"⚠ Atrasos u horas extra como texto: escriba hh:mm (ej. 1:30)",IF(AND(ISNUMBER(Q1510),COUNTIFS(M_RUTN,V1510,M_MES,B1510,M_LIQ,"&lt;&gt;")&gt;1),"⚠ Liquidación repetida en el mes",IF(AND(ISNUMBER(O1510),ISNUMBER(P1510),ISNUMBER(Q1510),ABS(O1510-P1510-Q1510)&gt;1),"⚠ Haberes − descuentos no da el líquido","OK"))))))</f>
        <v/>
      </c>
      <c r="V1510" s="62" t="str">
        <f aca="false">IF(C1510="","",IFERROR(VALUE(LEFT(UPPER(SUBSTITUTE(SUBSTITUTE(SUBSTITUTE(TRIM(C1510),".",""),"-","")," ","")),LEN(UPPER(SUBSTITUTE(SUBSTITUTE(SUBSTITUTE(TRIM(C1510),".",""),"-","")," ","")))-1))&amp;RIGHT(UPPER(SUBSTITUTE(SUBSTITUTE(SUBSTITUTE(TRIM(C1510),".",""),"-","")," ","")),1),UPPER(SUBSTITUTE(SUBSTITUTE(SUBSTITUTE(TRIM(C1510),".",""),"-","")," ",""))))</f>
        <v/>
      </c>
    </row>
    <row r="1511" customFormat="false" ht="15" hidden="false" customHeight="false" outlineLevel="0" collapsed="false">
      <c r="B1511" s="80"/>
      <c r="C1511" s="58"/>
      <c r="D1511" s="62" t="str">
        <f aca="false">IF(C1511="","",IFERROR(INDEX(T_NOMBRE,MATCH(V1511,T_RUTN,0)),"⚠ RUT no está en Trabajadores"))</f>
        <v/>
      </c>
      <c r="E1511" s="61"/>
      <c r="F1511" s="61"/>
      <c r="G1511" s="61"/>
      <c r="H1511" s="61"/>
      <c r="I1511" s="81"/>
      <c r="J1511" s="81"/>
      <c r="K1511" s="60"/>
      <c r="L1511" s="60"/>
      <c r="M1511" s="60"/>
      <c r="N1511" s="60"/>
      <c r="O1511" s="60"/>
      <c r="P1511" s="60"/>
      <c r="Q1511" s="60"/>
      <c r="R1511" s="58"/>
      <c r="S1511" s="62" t="str">
        <f aca="false">IF(OR(B1511="",V1511=""),"",IFERROR(INDEX(C_TIPO,MATCH(V1511&amp;"-P"&amp;MAX(1,COUNTIFS(C_RUTN,V1511,C_DEF,"Sí",C_INI,"&lt;="&amp;EOMONTH(B1511,0))),C_CLAVE,0))&amp;"","Sin contrato"))</f>
        <v/>
      </c>
      <c r="T1511" s="63" t="str">
        <f aca="false">IF(OR(B1511="",N(O1511)=0),"",N(O1511)+ROUND(MIN(N(N1511),TOPE_UF*UF_MES)*(TASA_EMP+MUTUAL),0)+ROUND(MIN(N(N1511),TOPE_AFC_UF*UF_MES)*IF(S1511="Indefinido",AFC_INDEF,AFC_PF),0))</f>
        <v/>
      </c>
      <c r="U1511" s="62" t="str">
        <f aca="false">IF(C1511="","",IF(LEFT(D1511,1)="⚠","⚠ RUT no registrado en Trabajadores",IF(B1511="","⚠ Falta el mes",IF(OR(ISTEXT(I1511),ISTEXT(J1511)),"⚠ Atrasos u horas extra como texto: escriba hh:mm (ej. 1:30)",IF(AND(ISNUMBER(Q1511),COUNTIFS(M_RUTN,V1511,M_MES,B1511,M_LIQ,"&lt;&gt;")&gt;1),"⚠ Liquidación repetida en el mes",IF(AND(ISNUMBER(O1511),ISNUMBER(P1511),ISNUMBER(Q1511),ABS(O1511-P1511-Q1511)&gt;1),"⚠ Haberes − descuentos no da el líquido","OK"))))))</f>
        <v/>
      </c>
      <c r="V1511" s="62" t="str">
        <f aca="false">IF(C1511="","",IFERROR(VALUE(LEFT(UPPER(SUBSTITUTE(SUBSTITUTE(SUBSTITUTE(TRIM(C1511),".",""),"-","")," ","")),LEN(UPPER(SUBSTITUTE(SUBSTITUTE(SUBSTITUTE(TRIM(C1511),".",""),"-","")," ","")))-1))&amp;RIGHT(UPPER(SUBSTITUTE(SUBSTITUTE(SUBSTITUTE(TRIM(C1511),".",""),"-","")," ","")),1),UPPER(SUBSTITUTE(SUBSTITUTE(SUBSTITUTE(TRIM(C1511),".",""),"-","")," ",""))))</f>
        <v/>
      </c>
    </row>
    <row r="1512" customFormat="false" ht="15" hidden="false" customHeight="false" outlineLevel="0" collapsed="false">
      <c r="B1512" s="80"/>
      <c r="C1512" s="58"/>
      <c r="D1512" s="62" t="str">
        <f aca="false">IF(C1512="","",IFERROR(INDEX(T_NOMBRE,MATCH(V1512,T_RUTN,0)),"⚠ RUT no está en Trabajadores"))</f>
        <v/>
      </c>
      <c r="E1512" s="61"/>
      <c r="F1512" s="61"/>
      <c r="G1512" s="61"/>
      <c r="H1512" s="61"/>
      <c r="I1512" s="81"/>
      <c r="J1512" s="81"/>
      <c r="K1512" s="60"/>
      <c r="L1512" s="60"/>
      <c r="M1512" s="60"/>
      <c r="N1512" s="60"/>
      <c r="O1512" s="60"/>
      <c r="P1512" s="60"/>
      <c r="Q1512" s="60"/>
      <c r="R1512" s="58"/>
      <c r="S1512" s="62" t="str">
        <f aca="false">IF(OR(B1512="",V1512=""),"",IFERROR(INDEX(C_TIPO,MATCH(V1512&amp;"-P"&amp;MAX(1,COUNTIFS(C_RUTN,V1512,C_DEF,"Sí",C_INI,"&lt;="&amp;EOMONTH(B1512,0))),C_CLAVE,0))&amp;"","Sin contrato"))</f>
        <v/>
      </c>
      <c r="T1512" s="63" t="str">
        <f aca="false">IF(OR(B1512="",N(O1512)=0),"",N(O1512)+ROUND(MIN(N(N1512),TOPE_UF*UF_MES)*(TASA_EMP+MUTUAL),0)+ROUND(MIN(N(N1512),TOPE_AFC_UF*UF_MES)*IF(S1512="Indefinido",AFC_INDEF,AFC_PF),0))</f>
        <v/>
      </c>
      <c r="U1512" s="62" t="str">
        <f aca="false">IF(C1512="","",IF(LEFT(D1512,1)="⚠","⚠ RUT no registrado en Trabajadores",IF(B1512="","⚠ Falta el mes",IF(OR(ISTEXT(I1512),ISTEXT(J1512)),"⚠ Atrasos u horas extra como texto: escriba hh:mm (ej. 1:30)",IF(AND(ISNUMBER(Q1512),COUNTIFS(M_RUTN,V1512,M_MES,B1512,M_LIQ,"&lt;&gt;")&gt;1),"⚠ Liquidación repetida en el mes",IF(AND(ISNUMBER(O1512),ISNUMBER(P1512),ISNUMBER(Q1512),ABS(O1512-P1512-Q1512)&gt;1),"⚠ Haberes − descuentos no da el líquido","OK"))))))</f>
        <v/>
      </c>
      <c r="V1512" s="62" t="str">
        <f aca="false">IF(C1512="","",IFERROR(VALUE(LEFT(UPPER(SUBSTITUTE(SUBSTITUTE(SUBSTITUTE(TRIM(C1512),".",""),"-","")," ","")),LEN(UPPER(SUBSTITUTE(SUBSTITUTE(SUBSTITUTE(TRIM(C1512),".",""),"-","")," ","")))-1))&amp;RIGHT(UPPER(SUBSTITUTE(SUBSTITUTE(SUBSTITUTE(TRIM(C1512),".",""),"-","")," ","")),1),UPPER(SUBSTITUTE(SUBSTITUTE(SUBSTITUTE(TRIM(C1512),".",""),"-","")," ",""))))</f>
        <v/>
      </c>
    </row>
    <row r="1513" customFormat="false" ht="15" hidden="false" customHeight="false" outlineLevel="0" collapsed="false">
      <c r="B1513" s="80"/>
      <c r="C1513" s="58"/>
      <c r="D1513" s="62" t="str">
        <f aca="false">IF(C1513="","",IFERROR(INDEX(T_NOMBRE,MATCH(V1513,T_RUTN,0)),"⚠ RUT no está en Trabajadores"))</f>
        <v/>
      </c>
      <c r="E1513" s="61"/>
      <c r="F1513" s="61"/>
      <c r="G1513" s="61"/>
      <c r="H1513" s="61"/>
      <c r="I1513" s="81"/>
      <c r="J1513" s="81"/>
      <c r="K1513" s="60"/>
      <c r="L1513" s="60"/>
      <c r="M1513" s="60"/>
      <c r="N1513" s="60"/>
      <c r="O1513" s="60"/>
      <c r="P1513" s="60"/>
      <c r="Q1513" s="60"/>
      <c r="R1513" s="58"/>
      <c r="S1513" s="62" t="str">
        <f aca="false">IF(OR(B1513="",V1513=""),"",IFERROR(INDEX(C_TIPO,MATCH(V1513&amp;"-P"&amp;MAX(1,COUNTIFS(C_RUTN,V1513,C_DEF,"Sí",C_INI,"&lt;="&amp;EOMONTH(B1513,0))),C_CLAVE,0))&amp;"","Sin contrato"))</f>
        <v/>
      </c>
      <c r="T1513" s="63" t="str">
        <f aca="false">IF(OR(B1513="",N(O1513)=0),"",N(O1513)+ROUND(MIN(N(N1513),TOPE_UF*UF_MES)*(TASA_EMP+MUTUAL),0)+ROUND(MIN(N(N1513),TOPE_AFC_UF*UF_MES)*IF(S1513="Indefinido",AFC_INDEF,AFC_PF),0))</f>
        <v/>
      </c>
      <c r="U1513" s="62" t="str">
        <f aca="false">IF(C1513="","",IF(LEFT(D1513,1)="⚠","⚠ RUT no registrado en Trabajadores",IF(B1513="","⚠ Falta el mes",IF(OR(ISTEXT(I1513),ISTEXT(J1513)),"⚠ Atrasos u horas extra como texto: escriba hh:mm (ej. 1:30)",IF(AND(ISNUMBER(Q1513),COUNTIFS(M_RUTN,V1513,M_MES,B1513,M_LIQ,"&lt;&gt;")&gt;1),"⚠ Liquidación repetida en el mes",IF(AND(ISNUMBER(O1513),ISNUMBER(P1513),ISNUMBER(Q1513),ABS(O1513-P1513-Q1513)&gt;1),"⚠ Haberes − descuentos no da el líquido","OK"))))))</f>
        <v/>
      </c>
      <c r="V1513" s="62" t="str">
        <f aca="false">IF(C1513="","",IFERROR(VALUE(LEFT(UPPER(SUBSTITUTE(SUBSTITUTE(SUBSTITUTE(TRIM(C1513),".",""),"-","")," ","")),LEN(UPPER(SUBSTITUTE(SUBSTITUTE(SUBSTITUTE(TRIM(C1513),".",""),"-","")," ","")))-1))&amp;RIGHT(UPPER(SUBSTITUTE(SUBSTITUTE(SUBSTITUTE(TRIM(C1513),".",""),"-","")," ","")),1),UPPER(SUBSTITUTE(SUBSTITUTE(SUBSTITUTE(TRIM(C1513),".",""),"-","")," ",""))))</f>
        <v/>
      </c>
    </row>
    <row r="1514" customFormat="false" ht="15" hidden="false" customHeight="false" outlineLevel="0" collapsed="false">
      <c r="B1514" s="80"/>
      <c r="C1514" s="58"/>
      <c r="D1514" s="62" t="str">
        <f aca="false">IF(C1514="","",IFERROR(INDEX(T_NOMBRE,MATCH(V1514,T_RUTN,0)),"⚠ RUT no está en Trabajadores"))</f>
        <v/>
      </c>
      <c r="E1514" s="61"/>
      <c r="F1514" s="61"/>
      <c r="G1514" s="61"/>
      <c r="H1514" s="61"/>
      <c r="I1514" s="81"/>
      <c r="J1514" s="81"/>
      <c r="K1514" s="60"/>
      <c r="L1514" s="60"/>
      <c r="M1514" s="60"/>
      <c r="N1514" s="60"/>
      <c r="O1514" s="60"/>
      <c r="P1514" s="60"/>
      <c r="Q1514" s="60"/>
      <c r="R1514" s="58"/>
      <c r="S1514" s="62" t="str">
        <f aca="false">IF(OR(B1514="",V1514=""),"",IFERROR(INDEX(C_TIPO,MATCH(V1514&amp;"-P"&amp;MAX(1,COUNTIFS(C_RUTN,V1514,C_DEF,"Sí",C_INI,"&lt;="&amp;EOMONTH(B1514,0))),C_CLAVE,0))&amp;"","Sin contrato"))</f>
        <v/>
      </c>
      <c r="T1514" s="63" t="str">
        <f aca="false">IF(OR(B1514="",N(O1514)=0),"",N(O1514)+ROUND(MIN(N(N1514),TOPE_UF*UF_MES)*(TASA_EMP+MUTUAL),0)+ROUND(MIN(N(N1514),TOPE_AFC_UF*UF_MES)*IF(S1514="Indefinido",AFC_INDEF,AFC_PF),0))</f>
        <v/>
      </c>
      <c r="U1514" s="62" t="str">
        <f aca="false">IF(C1514="","",IF(LEFT(D1514,1)="⚠","⚠ RUT no registrado en Trabajadores",IF(B1514="","⚠ Falta el mes",IF(OR(ISTEXT(I1514),ISTEXT(J1514)),"⚠ Atrasos u horas extra como texto: escriba hh:mm (ej. 1:30)",IF(AND(ISNUMBER(Q1514),COUNTIFS(M_RUTN,V1514,M_MES,B1514,M_LIQ,"&lt;&gt;")&gt;1),"⚠ Liquidación repetida en el mes",IF(AND(ISNUMBER(O1514),ISNUMBER(P1514),ISNUMBER(Q1514),ABS(O1514-P1514-Q1514)&gt;1),"⚠ Haberes − descuentos no da el líquido","OK"))))))</f>
        <v/>
      </c>
      <c r="V1514" s="62" t="str">
        <f aca="false">IF(C1514="","",IFERROR(VALUE(LEFT(UPPER(SUBSTITUTE(SUBSTITUTE(SUBSTITUTE(TRIM(C1514),".",""),"-","")," ","")),LEN(UPPER(SUBSTITUTE(SUBSTITUTE(SUBSTITUTE(TRIM(C1514),".",""),"-","")," ","")))-1))&amp;RIGHT(UPPER(SUBSTITUTE(SUBSTITUTE(SUBSTITUTE(TRIM(C1514),".",""),"-","")," ","")),1),UPPER(SUBSTITUTE(SUBSTITUTE(SUBSTITUTE(TRIM(C1514),".",""),"-","")," ",""))))</f>
        <v/>
      </c>
    </row>
    <row r="1515" customFormat="false" ht="15" hidden="false" customHeight="false" outlineLevel="0" collapsed="false">
      <c r="B1515" s="80"/>
      <c r="C1515" s="58"/>
      <c r="D1515" s="62" t="str">
        <f aca="false">IF(C1515="","",IFERROR(INDEX(T_NOMBRE,MATCH(V1515,T_RUTN,0)),"⚠ RUT no está en Trabajadores"))</f>
        <v/>
      </c>
      <c r="E1515" s="61"/>
      <c r="F1515" s="61"/>
      <c r="G1515" s="61"/>
      <c r="H1515" s="61"/>
      <c r="I1515" s="81"/>
      <c r="J1515" s="81"/>
      <c r="K1515" s="60"/>
      <c r="L1515" s="60"/>
      <c r="M1515" s="60"/>
      <c r="N1515" s="60"/>
      <c r="O1515" s="60"/>
      <c r="P1515" s="60"/>
      <c r="Q1515" s="60"/>
      <c r="R1515" s="58"/>
      <c r="S1515" s="62" t="str">
        <f aca="false">IF(OR(B1515="",V1515=""),"",IFERROR(INDEX(C_TIPO,MATCH(V1515&amp;"-P"&amp;MAX(1,COUNTIFS(C_RUTN,V1515,C_DEF,"Sí",C_INI,"&lt;="&amp;EOMONTH(B1515,0))),C_CLAVE,0))&amp;"","Sin contrato"))</f>
        <v/>
      </c>
      <c r="T1515" s="63" t="str">
        <f aca="false">IF(OR(B1515="",N(O1515)=0),"",N(O1515)+ROUND(MIN(N(N1515),TOPE_UF*UF_MES)*(TASA_EMP+MUTUAL),0)+ROUND(MIN(N(N1515),TOPE_AFC_UF*UF_MES)*IF(S1515="Indefinido",AFC_INDEF,AFC_PF),0))</f>
        <v/>
      </c>
      <c r="U1515" s="62" t="str">
        <f aca="false">IF(C1515="","",IF(LEFT(D1515,1)="⚠","⚠ RUT no registrado en Trabajadores",IF(B1515="","⚠ Falta el mes",IF(OR(ISTEXT(I1515),ISTEXT(J1515)),"⚠ Atrasos u horas extra como texto: escriba hh:mm (ej. 1:30)",IF(AND(ISNUMBER(Q1515),COUNTIFS(M_RUTN,V1515,M_MES,B1515,M_LIQ,"&lt;&gt;")&gt;1),"⚠ Liquidación repetida en el mes",IF(AND(ISNUMBER(O1515),ISNUMBER(P1515),ISNUMBER(Q1515),ABS(O1515-P1515-Q1515)&gt;1),"⚠ Haberes − descuentos no da el líquido","OK"))))))</f>
        <v/>
      </c>
      <c r="V1515" s="62" t="str">
        <f aca="false">IF(C1515="","",IFERROR(VALUE(LEFT(UPPER(SUBSTITUTE(SUBSTITUTE(SUBSTITUTE(TRIM(C1515),".",""),"-","")," ","")),LEN(UPPER(SUBSTITUTE(SUBSTITUTE(SUBSTITUTE(TRIM(C1515),".",""),"-","")," ","")))-1))&amp;RIGHT(UPPER(SUBSTITUTE(SUBSTITUTE(SUBSTITUTE(TRIM(C1515),".",""),"-","")," ","")),1),UPPER(SUBSTITUTE(SUBSTITUTE(SUBSTITUTE(TRIM(C1515),".",""),"-","")," ",""))))</f>
        <v/>
      </c>
    </row>
    <row r="1516" customFormat="false" ht="15" hidden="false" customHeight="false" outlineLevel="0" collapsed="false">
      <c r="B1516" s="80"/>
      <c r="C1516" s="58"/>
      <c r="D1516" s="62" t="str">
        <f aca="false">IF(C1516="","",IFERROR(INDEX(T_NOMBRE,MATCH(V1516,T_RUTN,0)),"⚠ RUT no está en Trabajadores"))</f>
        <v/>
      </c>
      <c r="E1516" s="61"/>
      <c r="F1516" s="61"/>
      <c r="G1516" s="61"/>
      <c r="H1516" s="61"/>
      <c r="I1516" s="81"/>
      <c r="J1516" s="81"/>
      <c r="K1516" s="60"/>
      <c r="L1516" s="60"/>
      <c r="M1516" s="60"/>
      <c r="N1516" s="60"/>
      <c r="O1516" s="60"/>
      <c r="P1516" s="60"/>
      <c r="Q1516" s="60"/>
      <c r="R1516" s="58"/>
      <c r="S1516" s="62" t="str">
        <f aca="false">IF(OR(B1516="",V1516=""),"",IFERROR(INDEX(C_TIPO,MATCH(V1516&amp;"-P"&amp;MAX(1,COUNTIFS(C_RUTN,V1516,C_DEF,"Sí",C_INI,"&lt;="&amp;EOMONTH(B1516,0))),C_CLAVE,0))&amp;"","Sin contrato"))</f>
        <v/>
      </c>
      <c r="T1516" s="63" t="str">
        <f aca="false">IF(OR(B1516="",N(O1516)=0),"",N(O1516)+ROUND(MIN(N(N1516),TOPE_UF*UF_MES)*(TASA_EMP+MUTUAL),0)+ROUND(MIN(N(N1516),TOPE_AFC_UF*UF_MES)*IF(S1516="Indefinido",AFC_INDEF,AFC_PF),0))</f>
        <v/>
      </c>
      <c r="U1516" s="62" t="str">
        <f aca="false">IF(C1516="","",IF(LEFT(D1516,1)="⚠","⚠ RUT no registrado en Trabajadores",IF(B1516="","⚠ Falta el mes",IF(OR(ISTEXT(I1516),ISTEXT(J1516)),"⚠ Atrasos u horas extra como texto: escriba hh:mm (ej. 1:30)",IF(AND(ISNUMBER(Q1516),COUNTIFS(M_RUTN,V1516,M_MES,B1516,M_LIQ,"&lt;&gt;")&gt;1),"⚠ Liquidación repetida en el mes",IF(AND(ISNUMBER(O1516),ISNUMBER(P1516),ISNUMBER(Q1516),ABS(O1516-P1516-Q1516)&gt;1),"⚠ Haberes − descuentos no da el líquido","OK"))))))</f>
        <v/>
      </c>
      <c r="V1516" s="62" t="str">
        <f aca="false">IF(C1516="","",IFERROR(VALUE(LEFT(UPPER(SUBSTITUTE(SUBSTITUTE(SUBSTITUTE(TRIM(C1516),".",""),"-","")," ","")),LEN(UPPER(SUBSTITUTE(SUBSTITUTE(SUBSTITUTE(TRIM(C1516),".",""),"-","")," ","")))-1))&amp;RIGHT(UPPER(SUBSTITUTE(SUBSTITUTE(SUBSTITUTE(TRIM(C1516),".",""),"-","")," ","")),1),UPPER(SUBSTITUTE(SUBSTITUTE(SUBSTITUTE(TRIM(C1516),".",""),"-","")," ",""))))</f>
        <v/>
      </c>
    </row>
    <row r="1517" customFormat="false" ht="15" hidden="false" customHeight="false" outlineLevel="0" collapsed="false">
      <c r="B1517" s="80"/>
      <c r="C1517" s="58"/>
      <c r="D1517" s="62" t="str">
        <f aca="false">IF(C1517="","",IFERROR(INDEX(T_NOMBRE,MATCH(V1517,T_RUTN,0)),"⚠ RUT no está en Trabajadores"))</f>
        <v/>
      </c>
      <c r="E1517" s="61"/>
      <c r="F1517" s="61"/>
      <c r="G1517" s="61"/>
      <c r="H1517" s="61"/>
      <c r="I1517" s="81"/>
      <c r="J1517" s="81"/>
      <c r="K1517" s="60"/>
      <c r="L1517" s="60"/>
      <c r="M1517" s="60"/>
      <c r="N1517" s="60"/>
      <c r="O1517" s="60"/>
      <c r="P1517" s="60"/>
      <c r="Q1517" s="60"/>
      <c r="R1517" s="58"/>
      <c r="S1517" s="62" t="str">
        <f aca="false">IF(OR(B1517="",V1517=""),"",IFERROR(INDEX(C_TIPO,MATCH(V1517&amp;"-P"&amp;MAX(1,COUNTIFS(C_RUTN,V1517,C_DEF,"Sí",C_INI,"&lt;="&amp;EOMONTH(B1517,0))),C_CLAVE,0))&amp;"","Sin contrato"))</f>
        <v/>
      </c>
      <c r="T1517" s="63" t="str">
        <f aca="false">IF(OR(B1517="",N(O1517)=0),"",N(O1517)+ROUND(MIN(N(N1517),TOPE_UF*UF_MES)*(TASA_EMP+MUTUAL),0)+ROUND(MIN(N(N1517),TOPE_AFC_UF*UF_MES)*IF(S1517="Indefinido",AFC_INDEF,AFC_PF),0))</f>
        <v/>
      </c>
      <c r="U1517" s="62" t="str">
        <f aca="false">IF(C1517="","",IF(LEFT(D1517,1)="⚠","⚠ RUT no registrado en Trabajadores",IF(B1517="","⚠ Falta el mes",IF(OR(ISTEXT(I1517),ISTEXT(J1517)),"⚠ Atrasos u horas extra como texto: escriba hh:mm (ej. 1:30)",IF(AND(ISNUMBER(Q1517),COUNTIFS(M_RUTN,V1517,M_MES,B1517,M_LIQ,"&lt;&gt;")&gt;1),"⚠ Liquidación repetida en el mes",IF(AND(ISNUMBER(O1517),ISNUMBER(P1517),ISNUMBER(Q1517),ABS(O1517-P1517-Q1517)&gt;1),"⚠ Haberes − descuentos no da el líquido","OK"))))))</f>
        <v/>
      </c>
      <c r="V1517" s="62" t="str">
        <f aca="false">IF(C1517="","",IFERROR(VALUE(LEFT(UPPER(SUBSTITUTE(SUBSTITUTE(SUBSTITUTE(TRIM(C1517),".",""),"-","")," ","")),LEN(UPPER(SUBSTITUTE(SUBSTITUTE(SUBSTITUTE(TRIM(C1517),".",""),"-","")," ","")))-1))&amp;RIGHT(UPPER(SUBSTITUTE(SUBSTITUTE(SUBSTITUTE(TRIM(C1517),".",""),"-","")," ","")),1),UPPER(SUBSTITUTE(SUBSTITUTE(SUBSTITUTE(TRIM(C1517),".",""),"-","")," ",""))))</f>
        <v/>
      </c>
    </row>
    <row r="1518" customFormat="false" ht="15" hidden="false" customHeight="false" outlineLevel="0" collapsed="false">
      <c r="B1518" s="80"/>
      <c r="C1518" s="58"/>
      <c r="D1518" s="62" t="str">
        <f aca="false">IF(C1518="","",IFERROR(INDEX(T_NOMBRE,MATCH(V1518,T_RUTN,0)),"⚠ RUT no está en Trabajadores"))</f>
        <v/>
      </c>
      <c r="E1518" s="61"/>
      <c r="F1518" s="61"/>
      <c r="G1518" s="61"/>
      <c r="H1518" s="61"/>
      <c r="I1518" s="81"/>
      <c r="J1518" s="81"/>
      <c r="K1518" s="60"/>
      <c r="L1518" s="60"/>
      <c r="M1518" s="60"/>
      <c r="N1518" s="60"/>
      <c r="O1518" s="60"/>
      <c r="P1518" s="60"/>
      <c r="Q1518" s="60"/>
      <c r="R1518" s="58"/>
      <c r="S1518" s="62" t="str">
        <f aca="false">IF(OR(B1518="",V1518=""),"",IFERROR(INDEX(C_TIPO,MATCH(V1518&amp;"-P"&amp;MAX(1,COUNTIFS(C_RUTN,V1518,C_DEF,"Sí",C_INI,"&lt;="&amp;EOMONTH(B1518,0))),C_CLAVE,0))&amp;"","Sin contrato"))</f>
        <v/>
      </c>
      <c r="T1518" s="63" t="str">
        <f aca="false">IF(OR(B1518="",N(O1518)=0),"",N(O1518)+ROUND(MIN(N(N1518),TOPE_UF*UF_MES)*(TASA_EMP+MUTUAL),0)+ROUND(MIN(N(N1518),TOPE_AFC_UF*UF_MES)*IF(S1518="Indefinido",AFC_INDEF,AFC_PF),0))</f>
        <v/>
      </c>
      <c r="U1518" s="62" t="str">
        <f aca="false">IF(C1518="","",IF(LEFT(D1518,1)="⚠","⚠ RUT no registrado en Trabajadores",IF(B1518="","⚠ Falta el mes",IF(OR(ISTEXT(I1518),ISTEXT(J1518)),"⚠ Atrasos u horas extra como texto: escriba hh:mm (ej. 1:30)",IF(AND(ISNUMBER(Q1518),COUNTIFS(M_RUTN,V1518,M_MES,B1518,M_LIQ,"&lt;&gt;")&gt;1),"⚠ Liquidación repetida en el mes",IF(AND(ISNUMBER(O1518),ISNUMBER(P1518),ISNUMBER(Q1518),ABS(O1518-P1518-Q1518)&gt;1),"⚠ Haberes − descuentos no da el líquido","OK"))))))</f>
        <v/>
      </c>
      <c r="V1518" s="62" t="str">
        <f aca="false">IF(C1518="","",IFERROR(VALUE(LEFT(UPPER(SUBSTITUTE(SUBSTITUTE(SUBSTITUTE(TRIM(C1518),".",""),"-","")," ","")),LEN(UPPER(SUBSTITUTE(SUBSTITUTE(SUBSTITUTE(TRIM(C1518),".",""),"-","")," ","")))-1))&amp;RIGHT(UPPER(SUBSTITUTE(SUBSTITUTE(SUBSTITUTE(TRIM(C1518),".",""),"-","")," ","")),1),UPPER(SUBSTITUTE(SUBSTITUTE(SUBSTITUTE(TRIM(C1518),".",""),"-","")," ",""))))</f>
        <v/>
      </c>
    </row>
    <row r="1519" customFormat="false" ht="15" hidden="false" customHeight="false" outlineLevel="0" collapsed="false">
      <c r="B1519" s="80"/>
      <c r="C1519" s="58"/>
      <c r="D1519" s="62" t="str">
        <f aca="false">IF(C1519="","",IFERROR(INDEX(T_NOMBRE,MATCH(V1519,T_RUTN,0)),"⚠ RUT no está en Trabajadores"))</f>
        <v/>
      </c>
      <c r="E1519" s="61"/>
      <c r="F1519" s="61"/>
      <c r="G1519" s="61"/>
      <c r="H1519" s="61"/>
      <c r="I1519" s="81"/>
      <c r="J1519" s="81"/>
      <c r="K1519" s="60"/>
      <c r="L1519" s="60"/>
      <c r="M1519" s="60"/>
      <c r="N1519" s="60"/>
      <c r="O1519" s="60"/>
      <c r="P1519" s="60"/>
      <c r="Q1519" s="60"/>
      <c r="R1519" s="58"/>
      <c r="S1519" s="62" t="str">
        <f aca="false">IF(OR(B1519="",V1519=""),"",IFERROR(INDEX(C_TIPO,MATCH(V1519&amp;"-P"&amp;MAX(1,COUNTIFS(C_RUTN,V1519,C_DEF,"Sí",C_INI,"&lt;="&amp;EOMONTH(B1519,0))),C_CLAVE,0))&amp;"","Sin contrato"))</f>
        <v/>
      </c>
      <c r="T1519" s="63" t="str">
        <f aca="false">IF(OR(B1519="",N(O1519)=0),"",N(O1519)+ROUND(MIN(N(N1519),TOPE_UF*UF_MES)*(TASA_EMP+MUTUAL),0)+ROUND(MIN(N(N1519),TOPE_AFC_UF*UF_MES)*IF(S1519="Indefinido",AFC_INDEF,AFC_PF),0))</f>
        <v/>
      </c>
      <c r="U1519" s="62" t="str">
        <f aca="false">IF(C1519="","",IF(LEFT(D1519,1)="⚠","⚠ RUT no registrado en Trabajadores",IF(B1519="","⚠ Falta el mes",IF(OR(ISTEXT(I1519),ISTEXT(J1519)),"⚠ Atrasos u horas extra como texto: escriba hh:mm (ej. 1:30)",IF(AND(ISNUMBER(Q1519),COUNTIFS(M_RUTN,V1519,M_MES,B1519,M_LIQ,"&lt;&gt;")&gt;1),"⚠ Liquidación repetida en el mes",IF(AND(ISNUMBER(O1519),ISNUMBER(P1519),ISNUMBER(Q1519),ABS(O1519-P1519-Q1519)&gt;1),"⚠ Haberes − descuentos no da el líquido","OK"))))))</f>
        <v/>
      </c>
      <c r="V1519" s="62" t="str">
        <f aca="false">IF(C1519="","",IFERROR(VALUE(LEFT(UPPER(SUBSTITUTE(SUBSTITUTE(SUBSTITUTE(TRIM(C1519),".",""),"-","")," ","")),LEN(UPPER(SUBSTITUTE(SUBSTITUTE(SUBSTITUTE(TRIM(C1519),".",""),"-","")," ","")))-1))&amp;RIGHT(UPPER(SUBSTITUTE(SUBSTITUTE(SUBSTITUTE(TRIM(C1519),".",""),"-","")," ","")),1),UPPER(SUBSTITUTE(SUBSTITUTE(SUBSTITUTE(TRIM(C1519),".",""),"-","")," ",""))))</f>
        <v/>
      </c>
    </row>
    <row r="1520" customFormat="false" ht="15" hidden="false" customHeight="false" outlineLevel="0" collapsed="false">
      <c r="B1520" s="80"/>
      <c r="C1520" s="58"/>
      <c r="D1520" s="62" t="str">
        <f aca="false">IF(C1520="","",IFERROR(INDEX(T_NOMBRE,MATCH(V1520,T_RUTN,0)),"⚠ RUT no está en Trabajadores"))</f>
        <v/>
      </c>
      <c r="E1520" s="61"/>
      <c r="F1520" s="61"/>
      <c r="G1520" s="61"/>
      <c r="H1520" s="61"/>
      <c r="I1520" s="81"/>
      <c r="J1520" s="81"/>
      <c r="K1520" s="60"/>
      <c r="L1520" s="60"/>
      <c r="M1520" s="60"/>
      <c r="N1520" s="60"/>
      <c r="O1520" s="60"/>
      <c r="P1520" s="60"/>
      <c r="Q1520" s="60"/>
      <c r="R1520" s="58"/>
      <c r="S1520" s="62" t="str">
        <f aca="false">IF(OR(B1520="",V1520=""),"",IFERROR(INDEX(C_TIPO,MATCH(V1520&amp;"-P"&amp;MAX(1,COUNTIFS(C_RUTN,V1520,C_DEF,"Sí",C_INI,"&lt;="&amp;EOMONTH(B1520,0))),C_CLAVE,0))&amp;"","Sin contrato"))</f>
        <v/>
      </c>
      <c r="T1520" s="63" t="str">
        <f aca="false">IF(OR(B1520="",N(O1520)=0),"",N(O1520)+ROUND(MIN(N(N1520),TOPE_UF*UF_MES)*(TASA_EMP+MUTUAL),0)+ROUND(MIN(N(N1520),TOPE_AFC_UF*UF_MES)*IF(S1520="Indefinido",AFC_INDEF,AFC_PF),0))</f>
        <v/>
      </c>
      <c r="U1520" s="62" t="str">
        <f aca="false">IF(C1520="","",IF(LEFT(D1520,1)="⚠","⚠ RUT no registrado en Trabajadores",IF(B1520="","⚠ Falta el mes",IF(OR(ISTEXT(I1520),ISTEXT(J1520)),"⚠ Atrasos u horas extra como texto: escriba hh:mm (ej. 1:30)",IF(AND(ISNUMBER(Q1520),COUNTIFS(M_RUTN,V1520,M_MES,B1520,M_LIQ,"&lt;&gt;")&gt;1),"⚠ Liquidación repetida en el mes",IF(AND(ISNUMBER(O1520),ISNUMBER(P1520),ISNUMBER(Q1520),ABS(O1520-P1520-Q1520)&gt;1),"⚠ Haberes − descuentos no da el líquido","OK"))))))</f>
        <v/>
      </c>
      <c r="V1520" s="62" t="str">
        <f aca="false">IF(C1520="","",IFERROR(VALUE(LEFT(UPPER(SUBSTITUTE(SUBSTITUTE(SUBSTITUTE(TRIM(C1520),".",""),"-","")," ","")),LEN(UPPER(SUBSTITUTE(SUBSTITUTE(SUBSTITUTE(TRIM(C1520),".",""),"-","")," ","")))-1))&amp;RIGHT(UPPER(SUBSTITUTE(SUBSTITUTE(SUBSTITUTE(TRIM(C1520),".",""),"-","")," ","")),1),UPPER(SUBSTITUTE(SUBSTITUTE(SUBSTITUTE(TRIM(C1520),".",""),"-","")," ",""))))</f>
        <v/>
      </c>
    </row>
    <row r="1521" customFormat="false" ht="15" hidden="false" customHeight="false" outlineLevel="0" collapsed="false">
      <c r="B1521" s="80"/>
      <c r="C1521" s="58"/>
      <c r="D1521" s="62" t="str">
        <f aca="false">IF(C1521="","",IFERROR(INDEX(T_NOMBRE,MATCH(V1521,T_RUTN,0)),"⚠ RUT no está en Trabajadores"))</f>
        <v/>
      </c>
      <c r="E1521" s="61"/>
      <c r="F1521" s="61"/>
      <c r="G1521" s="61"/>
      <c r="H1521" s="61"/>
      <c r="I1521" s="81"/>
      <c r="J1521" s="81"/>
      <c r="K1521" s="60"/>
      <c r="L1521" s="60"/>
      <c r="M1521" s="60"/>
      <c r="N1521" s="60"/>
      <c r="O1521" s="60"/>
      <c r="P1521" s="60"/>
      <c r="Q1521" s="60"/>
      <c r="R1521" s="58"/>
      <c r="S1521" s="62" t="str">
        <f aca="false">IF(OR(B1521="",V1521=""),"",IFERROR(INDEX(C_TIPO,MATCH(V1521&amp;"-P"&amp;MAX(1,COUNTIFS(C_RUTN,V1521,C_DEF,"Sí",C_INI,"&lt;="&amp;EOMONTH(B1521,0))),C_CLAVE,0))&amp;"","Sin contrato"))</f>
        <v/>
      </c>
      <c r="T1521" s="63" t="str">
        <f aca="false">IF(OR(B1521="",N(O1521)=0),"",N(O1521)+ROUND(MIN(N(N1521),TOPE_UF*UF_MES)*(TASA_EMP+MUTUAL),0)+ROUND(MIN(N(N1521),TOPE_AFC_UF*UF_MES)*IF(S1521="Indefinido",AFC_INDEF,AFC_PF),0))</f>
        <v/>
      </c>
      <c r="U1521" s="62" t="str">
        <f aca="false">IF(C1521="","",IF(LEFT(D1521,1)="⚠","⚠ RUT no registrado en Trabajadores",IF(B1521="","⚠ Falta el mes",IF(OR(ISTEXT(I1521),ISTEXT(J1521)),"⚠ Atrasos u horas extra como texto: escriba hh:mm (ej. 1:30)",IF(AND(ISNUMBER(Q1521),COUNTIFS(M_RUTN,V1521,M_MES,B1521,M_LIQ,"&lt;&gt;")&gt;1),"⚠ Liquidación repetida en el mes",IF(AND(ISNUMBER(O1521),ISNUMBER(P1521),ISNUMBER(Q1521),ABS(O1521-P1521-Q1521)&gt;1),"⚠ Haberes − descuentos no da el líquido","OK"))))))</f>
        <v/>
      </c>
      <c r="V1521" s="62" t="str">
        <f aca="false">IF(C1521="","",IFERROR(VALUE(LEFT(UPPER(SUBSTITUTE(SUBSTITUTE(SUBSTITUTE(TRIM(C1521),".",""),"-","")," ","")),LEN(UPPER(SUBSTITUTE(SUBSTITUTE(SUBSTITUTE(TRIM(C1521),".",""),"-","")," ","")))-1))&amp;RIGHT(UPPER(SUBSTITUTE(SUBSTITUTE(SUBSTITUTE(TRIM(C1521),".",""),"-","")," ","")),1),UPPER(SUBSTITUTE(SUBSTITUTE(SUBSTITUTE(TRIM(C1521),".",""),"-","")," ",""))))</f>
        <v/>
      </c>
    </row>
    <row r="1522" customFormat="false" ht="15" hidden="false" customHeight="false" outlineLevel="0" collapsed="false">
      <c r="B1522" s="80"/>
      <c r="C1522" s="58"/>
      <c r="D1522" s="62" t="str">
        <f aca="false">IF(C1522="","",IFERROR(INDEX(T_NOMBRE,MATCH(V1522,T_RUTN,0)),"⚠ RUT no está en Trabajadores"))</f>
        <v/>
      </c>
      <c r="E1522" s="61"/>
      <c r="F1522" s="61"/>
      <c r="G1522" s="61"/>
      <c r="H1522" s="61"/>
      <c r="I1522" s="81"/>
      <c r="J1522" s="81"/>
      <c r="K1522" s="60"/>
      <c r="L1522" s="60"/>
      <c r="M1522" s="60"/>
      <c r="N1522" s="60"/>
      <c r="O1522" s="60"/>
      <c r="P1522" s="60"/>
      <c r="Q1522" s="60"/>
      <c r="R1522" s="58"/>
      <c r="S1522" s="62" t="str">
        <f aca="false">IF(OR(B1522="",V1522=""),"",IFERROR(INDEX(C_TIPO,MATCH(V1522&amp;"-P"&amp;MAX(1,COUNTIFS(C_RUTN,V1522,C_DEF,"Sí",C_INI,"&lt;="&amp;EOMONTH(B1522,0))),C_CLAVE,0))&amp;"","Sin contrato"))</f>
        <v/>
      </c>
      <c r="T1522" s="63" t="str">
        <f aca="false">IF(OR(B1522="",N(O1522)=0),"",N(O1522)+ROUND(MIN(N(N1522),TOPE_UF*UF_MES)*(TASA_EMP+MUTUAL),0)+ROUND(MIN(N(N1522),TOPE_AFC_UF*UF_MES)*IF(S1522="Indefinido",AFC_INDEF,AFC_PF),0))</f>
        <v/>
      </c>
      <c r="U1522" s="62" t="str">
        <f aca="false">IF(C1522="","",IF(LEFT(D1522,1)="⚠","⚠ RUT no registrado en Trabajadores",IF(B1522="","⚠ Falta el mes",IF(OR(ISTEXT(I1522),ISTEXT(J1522)),"⚠ Atrasos u horas extra como texto: escriba hh:mm (ej. 1:30)",IF(AND(ISNUMBER(Q1522),COUNTIFS(M_RUTN,V1522,M_MES,B1522,M_LIQ,"&lt;&gt;")&gt;1),"⚠ Liquidación repetida en el mes",IF(AND(ISNUMBER(O1522),ISNUMBER(P1522),ISNUMBER(Q1522),ABS(O1522-P1522-Q1522)&gt;1),"⚠ Haberes − descuentos no da el líquido","OK"))))))</f>
        <v/>
      </c>
      <c r="V1522" s="62" t="str">
        <f aca="false">IF(C1522="","",IFERROR(VALUE(LEFT(UPPER(SUBSTITUTE(SUBSTITUTE(SUBSTITUTE(TRIM(C1522),".",""),"-","")," ","")),LEN(UPPER(SUBSTITUTE(SUBSTITUTE(SUBSTITUTE(TRIM(C1522),".",""),"-","")," ","")))-1))&amp;RIGHT(UPPER(SUBSTITUTE(SUBSTITUTE(SUBSTITUTE(TRIM(C1522),".",""),"-","")," ","")),1),UPPER(SUBSTITUTE(SUBSTITUTE(SUBSTITUTE(TRIM(C1522),".",""),"-","")," ",""))))</f>
        <v/>
      </c>
    </row>
    <row r="1523" customFormat="false" ht="15" hidden="false" customHeight="false" outlineLevel="0" collapsed="false">
      <c r="B1523" s="80"/>
      <c r="C1523" s="58"/>
      <c r="D1523" s="62" t="str">
        <f aca="false">IF(C1523="","",IFERROR(INDEX(T_NOMBRE,MATCH(V1523,T_RUTN,0)),"⚠ RUT no está en Trabajadores"))</f>
        <v/>
      </c>
      <c r="E1523" s="61"/>
      <c r="F1523" s="61"/>
      <c r="G1523" s="61"/>
      <c r="H1523" s="61"/>
      <c r="I1523" s="81"/>
      <c r="J1523" s="81"/>
      <c r="K1523" s="60"/>
      <c r="L1523" s="60"/>
      <c r="M1523" s="60"/>
      <c r="N1523" s="60"/>
      <c r="O1523" s="60"/>
      <c r="P1523" s="60"/>
      <c r="Q1523" s="60"/>
      <c r="R1523" s="58"/>
      <c r="S1523" s="62" t="str">
        <f aca="false">IF(OR(B1523="",V1523=""),"",IFERROR(INDEX(C_TIPO,MATCH(V1523&amp;"-P"&amp;MAX(1,COUNTIFS(C_RUTN,V1523,C_DEF,"Sí",C_INI,"&lt;="&amp;EOMONTH(B1523,0))),C_CLAVE,0))&amp;"","Sin contrato"))</f>
        <v/>
      </c>
      <c r="T1523" s="63" t="str">
        <f aca="false">IF(OR(B1523="",N(O1523)=0),"",N(O1523)+ROUND(MIN(N(N1523),TOPE_UF*UF_MES)*(TASA_EMP+MUTUAL),0)+ROUND(MIN(N(N1523),TOPE_AFC_UF*UF_MES)*IF(S1523="Indefinido",AFC_INDEF,AFC_PF),0))</f>
        <v/>
      </c>
      <c r="U1523" s="62" t="str">
        <f aca="false">IF(C1523="","",IF(LEFT(D1523,1)="⚠","⚠ RUT no registrado en Trabajadores",IF(B1523="","⚠ Falta el mes",IF(OR(ISTEXT(I1523),ISTEXT(J1523)),"⚠ Atrasos u horas extra como texto: escriba hh:mm (ej. 1:30)",IF(AND(ISNUMBER(Q1523),COUNTIFS(M_RUTN,V1523,M_MES,B1523,M_LIQ,"&lt;&gt;")&gt;1),"⚠ Liquidación repetida en el mes",IF(AND(ISNUMBER(O1523),ISNUMBER(P1523),ISNUMBER(Q1523),ABS(O1523-P1523-Q1523)&gt;1),"⚠ Haberes − descuentos no da el líquido","OK"))))))</f>
        <v/>
      </c>
      <c r="V1523" s="62" t="str">
        <f aca="false">IF(C1523="","",IFERROR(VALUE(LEFT(UPPER(SUBSTITUTE(SUBSTITUTE(SUBSTITUTE(TRIM(C1523),".",""),"-","")," ","")),LEN(UPPER(SUBSTITUTE(SUBSTITUTE(SUBSTITUTE(TRIM(C1523),".",""),"-","")," ","")))-1))&amp;RIGHT(UPPER(SUBSTITUTE(SUBSTITUTE(SUBSTITUTE(TRIM(C1523),".",""),"-","")," ","")),1),UPPER(SUBSTITUTE(SUBSTITUTE(SUBSTITUTE(TRIM(C1523),".",""),"-","")," ",""))))</f>
        <v/>
      </c>
    </row>
    <row r="1524" customFormat="false" ht="15" hidden="false" customHeight="false" outlineLevel="0" collapsed="false">
      <c r="B1524" s="80"/>
      <c r="C1524" s="58"/>
      <c r="D1524" s="62" t="str">
        <f aca="false">IF(C1524="","",IFERROR(INDEX(T_NOMBRE,MATCH(V1524,T_RUTN,0)),"⚠ RUT no está en Trabajadores"))</f>
        <v/>
      </c>
      <c r="E1524" s="61"/>
      <c r="F1524" s="61"/>
      <c r="G1524" s="61"/>
      <c r="H1524" s="61"/>
      <c r="I1524" s="81"/>
      <c r="J1524" s="81"/>
      <c r="K1524" s="60"/>
      <c r="L1524" s="60"/>
      <c r="M1524" s="60"/>
      <c r="N1524" s="60"/>
      <c r="O1524" s="60"/>
      <c r="P1524" s="60"/>
      <c r="Q1524" s="60"/>
      <c r="R1524" s="58"/>
      <c r="S1524" s="62" t="str">
        <f aca="false">IF(OR(B1524="",V1524=""),"",IFERROR(INDEX(C_TIPO,MATCH(V1524&amp;"-P"&amp;MAX(1,COUNTIFS(C_RUTN,V1524,C_DEF,"Sí",C_INI,"&lt;="&amp;EOMONTH(B1524,0))),C_CLAVE,0))&amp;"","Sin contrato"))</f>
        <v/>
      </c>
      <c r="T1524" s="63" t="str">
        <f aca="false">IF(OR(B1524="",N(O1524)=0),"",N(O1524)+ROUND(MIN(N(N1524),TOPE_UF*UF_MES)*(TASA_EMP+MUTUAL),0)+ROUND(MIN(N(N1524),TOPE_AFC_UF*UF_MES)*IF(S1524="Indefinido",AFC_INDEF,AFC_PF),0))</f>
        <v/>
      </c>
      <c r="U1524" s="62" t="str">
        <f aca="false">IF(C1524="","",IF(LEFT(D1524,1)="⚠","⚠ RUT no registrado en Trabajadores",IF(B1524="","⚠ Falta el mes",IF(OR(ISTEXT(I1524),ISTEXT(J1524)),"⚠ Atrasos u horas extra como texto: escriba hh:mm (ej. 1:30)",IF(AND(ISNUMBER(Q1524),COUNTIFS(M_RUTN,V1524,M_MES,B1524,M_LIQ,"&lt;&gt;")&gt;1),"⚠ Liquidación repetida en el mes",IF(AND(ISNUMBER(O1524),ISNUMBER(P1524),ISNUMBER(Q1524),ABS(O1524-P1524-Q1524)&gt;1),"⚠ Haberes − descuentos no da el líquido","OK"))))))</f>
        <v/>
      </c>
      <c r="V1524" s="62" t="str">
        <f aca="false">IF(C1524="","",IFERROR(VALUE(LEFT(UPPER(SUBSTITUTE(SUBSTITUTE(SUBSTITUTE(TRIM(C1524),".",""),"-","")," ","")),LEN(UPPER(SUBSTITUTE(SUBSTITUTE(SUBSTITUTE(TRIM(C1524),".",""),"-","")," ","")))-1))&amp;RIGHT(UPPER(SUBSTITUTE(SUBSTITUTE(SUBSTITUTE(TRIM(C1524),".",""),"-","")," ","")),1),UPPER(SUBSTITUTE(SUBSTITUTE(SUBSTITUTE(TRIM(C1524),".",""),"-","")," ",""))))</f>
        <v/>
      </c>
    </row>
    <row r="1525" customFormat="false" ht="15" hidden="false" customHeight="false" outlineLevel="0" collapsed="false">
      <c r="B1525" s="80"/>
      <c r="C1525" s="58"/>
      <c r="D1525" s="62" t="str">
        <f aca="false">IF(C1525="","",IFERROR(INDEX(T_NOMBRE,MATCH(V1525,T_RUTN,0)),"⚠ RUT no está en Trabajadores"))</f>
        <v/>
      </c>
      <c r="E1525" s="61"/>
      <c r="F1525" s="61"/>
      <c r="G1525" s="61"/>
      <c r="H1525" s="61"/>
      <c r="I1525" s="81"/>
      <c r="J1525" s="81"/>
      <c r="K1525" s="60"/>
      <c r="L1525" s="60"/>
      <c r="M1525" s="60"/>
      <c r="N1525" s="60"/>
      <c r="O1525" s="60"/>
      <c r="P1525" s="60"/>
      <c r="Q1525" s="60"/>
      <c r="R1525" s="58"/>
      <c r="S1525" s="62" t="str">
        <f aca="false">IF(OR(B1525="",V1525=""),"",IFERROR(INDEX(C_TIPO,MATCH(V1525&amp;"-P"&amp;MAX(1,COUNTIFS(C_RUTN,V1525,C_DEF,"Sí",C_INI,"&lt;="&amp;EOMONTH(B1525,0))),C_CLAVE,0))&amp;"","Sin contrato"))</f>
        <v/>
      </c>
      <c r="T1525" s="63" t="str">
        <f aca="false">IF(OR(B1525="",N(O1525)=0),"",N(O1525)+ROUND(MIN(N(N1525),TOPE_UF*UF_MES)*(TASA_EMP+MUTUAL),0)+ROUND(MIN(N(N1525),TOPE_AFC_UF*UF_MES)*IF(S1525="Indefinido",AFC_INDEF,AFC_PF),0))</f>
        <v/>
      </c>
      <c r="U1525" s="62" t="str">
        <f aca="false">IF(C1525="","",IF(LEFT(D1525,1)="⚠","⚠ RUT no registrado en Trabajadores",IF(B1525="","⚠ Falta el mes",IF(OR(ISTEXT(I1525),ISTEXT(J1525)),"⚠ Atrasos u horas extra como texto: escriba hh:mm (ej. 1:30)",IF(AND(ISNUMBER(Q1525),COUNTIFS(M_RUTN,V1525,M_MES,B1525,M_LIQ,"&lt;&gt;")&gt;1),"⚠ Liquidación repetida en el mes",IF(AND(ISNUMBER(O1525),ISNUMBER(P1525),ISNUMBER(Q1525),ABS(O1525-P1525-Q1525)&gt;1),"⚠ Haberes − descuentos no da el líquido","OK"))))))</f>
        <v/>
      </c>
      <c r="V1525" s="62" t="str">
        <f aca="false">IF(C1525="","",IFERROR(VALUE(LEFT(UPPER(SUBSTITUTE(SUBSTITUTE(SUBSTITUTE(TRIM(C1525),".",""),"-","")," ","")),LEN(UPPER(SUBSTITUTE(SUBSTITUTE(SUBSTITUTE(TRIM(C1525),".",""),"-","")," ","")))-1))&amp;RIGHT(UPPER(SUBSTITUTE(SUBSTITUTE(SUBSTITUTE(TRIM(C1525),".",""),"-","")," ","")),1),UPPER(SUBSTITUTE(SUBSTITUTE(SUBSTITUTE(TRIM(C1525),".",""),"-","")," ",""))))</f>
        <v/>
      </c>
    </row>
    <row r="1526" customFormat="false" ht="15" hidden="false" customHeight="false" outlineLevel="0" collapsed="false">
      <c r="B1526" s="80"/>
      <c r="C1526" s="58"/>
      <c r="D1526" s="62" t="str">
        <f aca="false">IF(C1526="","",IFERROR(INDEX(T_NOMBRE,MATCH(V1526,T_RUTN,0)),"⚠ RUT no está en Trabajadores"))</f>
        <v/>
      </c>
      <c r="E1526" s="61"/>
      <c r="F1526" s="61"/>
      <c r="G1526" s="61"/>
      <c r="H1526" s="61"/>
      <c r="I1526" s="81"/>
      <c r="J1526" s="81"/>
      <c r="K1526" s="60"/>
      <c r="L1526" s="60"/>
      <c r="M1526" s="60"/>
      <c r="N1526" s="60"/>
      <c r="O1526" s="60"/>
      <c r="P1526" s="60"/>
      <c r="Q1526" s="60"/>
      <c r="R1526" s="58"/>
      <c r="S1526" s="62" t="str">
        <f aca="false">IF(OR(B1526="",V1526=""),"",IFERROR(INDEX(C_TIPO,MATCH(V1526&amp;"-P"&amp;MAX(1,COUNTIFS(C_RUTN,V1526,C_DEF,"Sí",C_INI,"&lt;="&amp;EOMONTH(B1526,0))),C_CLAVE,0))&amp;"","Sin contrato"))</f>
        <v/>
      </c>
      <c r="T1526" s="63" t="str">
        <f aca="false">IF(OR(B1526="",N(O1526)=0),"",N(O1526)+ROUND(MIN(N(N1526),TOPE_UF*UF_MES)*(TASA_EMP+MUTUAL),0)+ROUND(MIN(N(N1526),TOPE_AFC_UF*UF_MES)*IF(S1526="Indefinido",AFC_INDEF,AFC_PF),0))</f>
        <v/>
      </c>
      <c r="U1526" s="62" t="str">
        <f aca="false">IF(C1526="","",IF(LEFT(D1526,1)="⚠","⚠ RUT no registrado en Trabajadores",IF(B1526="","⚠ Falta el mes",IF(OR(ISTEXT(I1526),ISTEXT(J1526)),"⚠ Atrasos u horas extra como texto: escriba hh:mm (ej. 1:30)",IF(AND(ISNUMBER(Q1526),COUNTIFS(M_RUTN,V1526,M_MES,B1526,M_LIQ,"&lt;&gt;")&gt;1),"⚠ Liquidación repetida en el mes",IF(AND(ISNUMBER(O1526),ISNUMBER(P1526),ISNUMBER(Q1526),ABS(O1526-P1526-Q1526)&gt;1),"⚠ Haberes − descuentos no da el líquido","OK"))))))</f>
        <v/>
      </c>
      <c r="V1526" s="62" t="str">
        <f aca="false">IF(C1526="","",IFERROR(VALUE(LEFT(UPPER(SUBSTITUTE(SUBSTITUTE(SUBSTITUTE(TRIM(C1526),".",""),"-","")," ","")),LEN(UPPER(SUBSTITUTE(SUBSTITUTE(SUBSTITUTE(TRIM(C1526),".",""),"-","")," ","")))-1))&amp;RIGHT(UPPER(SUBSTITUTE(SUBSTITUTE(SUBSTITUTE(TRIM(C1526),".",""),"-","")," ","")),1),UPPER(SUBSTITUTE(SUBSTITUTE(SUBSTITUTE(TRIM(C1526),".",""),"-","")," ",""))))</f>
        <v/>
      </c>
    </row>
    <row r="1527" customFormat="false" ht="15" hidden="false" customHeight="false" outlineLevel="0" collapsed="false">
      <c r="B1527" s="80"/>
      <c r="C1527" s="58"/>
      <c r="D1527" s="62" t="str">
        <f aca="false">IF(C1527="","",IFERROR(INDEX(T_NOMBRE,MATCH(V1527,T_RUTN,0)),"⚠ RUT no está en Trabajadores"))</f>
        <v/>
      </c>
      <c r="E1527" s="61"/>
      <c r="F1527" s="61"/>
      <c r="G1527" s="61"/>
      <c r="H1527" s="61"/>
      <c r="I1527" s="81"/>
      <c r="J1527" s="81"/>
      <c r="K1527" s="60"/>
      <c r="L1527" s="60"/>
      <c r="M1527" s="60"/>
      <c r="N1527" s="60"/>
      <c r="O1527" s="60"/>
      <c r="P1527" s="60"/>
      <c r="Q1527" s="60"/>
      <c r="R1527" s="58"/>
      <c r="S1527" s="62" t="str">
        <f aca="false">IF(OR(B1527="",V1527=""),"",IFERROR(INDEX(C_TIPO,MATCH(V1527&amp;"-P"&amp;MAX(1,COUNTIFS(C_RUTN,V1527,C_DEF,"Sí",C_INI,"&lt;="&amp;EOMONTH(B1527,0))),C_CLAVE,0))&amp;"","Sin contrato"))</f>
        <v/>
      </c>
      <c r="T1527" s="63" t="str">
        <f aca="false">IF(OR(B1527="",N(O1527)=0),"",N(O1527)+ROUND(MIN(N(N1527),TOPE_UF*UF_MES)*(TASA_EMP+MUTUAL),0)+ROUND(MIN(N(N1527),TOPE_AFC_UF*UF_MES)*IF(S1527="Indefinido",AFC_INDEF,AFC_PF),0))</f>
        <v/>
      </c>
      <c r="U1527" s="62" t="str">
        <f aca="false">IF(C1527="","",IF(LEFT(D1527,1)="⚠","⚠ RUT no registrado en Trabajadores",IF(B1527="","⚠ Falta el mes",IF(OR(ISTEXT(I1527),ISTEXT(J1527)),"⚠ Atrasos u horas extra como texto: escriba hh:mm (ej. 1:30)",IF(AND(ISNUMBER(Q1527),COUNTIFS(M_RUTN,V1527,M_MES,B1527,M_LIQ,"&lt;&gt;")&gt;1),"⚠ Liquidación repetida en el mes",IF(AND(ISNUMBER(O1527),ISNUMBER(P1527),ISNUMBER(Q1527),ABS(O1527-P1527-Q1527)&gt;1),"⚠ Haberes − descuentos no da el líquido","OK"))))))</f>
        <v/>
      </c>
      <c r="V1527" s="62" t="str">
        <f aca="false">IF(C1527="","",IFERROR(VALUE(LEFT(UPPER(SUBSTITUTE(SUBSTITUTE(SUBSTITUTE(TRIM(C1527),".",""),"-","")," ","")),LEN(UPPER(SUBSTITUTE(SUBSTITUTE(SUBSTITUTE(TRIM(C1527),".",""),"-","")," ","")))-1))&amp;RIGHT(UPPER(SUBSTITUTE(SUBSTITUTE(SUBSTITUTE(TRIM(C1527),".",""),"-","")," ","")),1),UPPER(SUBSTITUTE(SUBSTITUTE(SUBSTITUTE(TRIM(C1527),".",""),"-","")," ",""))))</f>
        <v/>
      </c>
    </row>
    <row r="1528" customFormat="false" ht="15" hidden="false" customHeight="false" outlineLevel="0" collapsed="false">
      <c r="B1528" s="80"/>
      <c r="C1528" s="58"/>
      <c r="D1528" s="62" t="str">
        <f aca="false">IF(C1528="","",IFERROR(INDEX(T_NOMBRE,MATCH(V1528,T_RUTN,0)),"⚠ RUT no está en Trabajadores"))</f>
        <v/>
      </c>
      <c r="E1528" s="61"/>
      <c r="F1528" s="61"/>
      <c r="G1528" s="61"/>
      <c r="H1528" s="61"/>
      <c r="I1528" s="81"/>
      <c r="J1528" s="81"/>
      <c r="K1528" s="60"/>
      <c r="L1528" s="60"/>
      <c r="M1528" s="60"/>
      <c r="N1528" s="60"/>
      <c r="O1528" s="60"/>
      <c r="P1528" s="60"/>
      <c r="Q1528" s="60"/>
      <c r="R1528" s="58"/>
      <c r="S1528" s="62" t="str">
        <f aca="false">IF(OR(B1528="",V1528=""),"",IFERROR(INDEX(C_TIPO,MATCH(V1528&amp;"-P"&amp;MAX(1,COUNTIFS(C_RUTN,V1528,C_DEF,"Sí",C_INI,"&lt;="&amp;EOMONTH(B1528,0))),C_CLAVE,0))&amp;"","Sin contrato"))</f>
        <v/>
      </c>
      <c r="T1528" s="63" t="str">
        <f aca="false">IF(OR(B1528="",N(O1528)=0),"",N(O1528)+ROUND(MIN(N(N1528),TOPE_UF*UF_MES)*(TASA_EMP+MUTUAL),0)+ROUND(MIN(N(N1528),TOPE_AFC_UF*UF_MES)*IF(S1528="Indefinido",AFC_INDEF,AFC_PF),0))</f>
        <v/>
      </c>
      <c r="U1528" s="62" t="str">
        <f aca="false">IF(C1528="","",IF(LEFT(D1528,1)="⚠","⚠ RUT no registrado en Trabajadores",IF(B1528="","⚠ Falta el mes",IF(OR(ISTEXT(I1528),ISTEXT(J1528)),"⚠ Atrasos u horas extra como texto: escriba hh:mm (ej. 1:30)",IF(AND(ISNUMBER(Q1528),COUNTIFS(M_RUTN,V1528,M_MES,B1528,M_LIQ,"&lt;&gt;")&gt;1),"⚠ Liquidación repetida en el mes",IF(AND(ISNUMBER(O1528),ISNUMBER(P1528),ISNUMBER(Q1528),ABS(O1528-P1528-Q1528)&gt;1),"⚠ Haberes − descuentos no da el líquido","OK"))))))</f>
        <v/>
      </c>
      <c r="V1528" s="62" t="str">
        <f aca="false">IF(C1528="","",IFERROR(VALUE(LEFT(UPPER(SUBSTITUTE(SUBSTITUTE(SUBSTITUTE(TRIM(C1528),".",""),"-","")," ","")),LEN(UPPER(SUBSTITUTE(SUBSTITUTE(SUBSTITUTE(TRIM(C1528),".",""),"-","")," ","")))-1))&amp;RIGHT(UPPER(SUBSTITUTE(SUBSTITUTE(SUBSTITUTE(TRIM(C1528),".",""),"-","")," ","")),1),UPPER(SUBSTITUTE(SUBSTITUTE(SUBSTITUTE(TRIM(C1528),".",""),"-","")," ",""))))</f>
        <v/>
      </c>
    </row>
    <row r="1529" customFormat="false" ht="15" hidden="false" customHeight="false" outlineLevel="0" collapsed="false">
      <c r="B1529" s="80"/>
      <c r="C1529" s="58"/>
      <c r="D1529" s="62" t="str">
        <f aca="false">IF(C1529="","",IFERROR(INDEX(T_NOMBRE,MATCH(V1529,T_RUTN,0)),"⚠ RUT no está en Trabajadores"))</f>
        <v/>
      </c>
      <c r="E1529" s="61"/>
      <c r="F1529" s="61"/>
      <c r="G1529" s="61"/>
      <c r="H1529" s="61"/>
      <c r="I1529" s="81"/>
      <c r="J1529" s="81"/>
      <c r="K1529" s="60"/>
      <c r="L1529" s="60"/>
      <c r="M1529" s="60"/>
      <c r="N1529" s="60"/>
      <c r="O1529" s="60"/>
      <c r="P1529" s="60"/>
      <c r="Q1529" s="60"/>
      <c r="R1529" s="58"/>
      <c r="S1529" s="62" t="str">
        <f aca="false">IF(OR(B1529="",V1529=""),"",IFERROR(INDEX(C_TIPO,MATCH(V1529&amp;"-P"&amp;MAX(1,COUNTIFS(C_RUTN,V1529,C_DEF,"Sí",C_INI,"&lt;="&amp;EOMONTH(B1529,0))),C_CLAVE,0))&amp;"","Sin contrato"))</f>
        <v/>
      </c>
      <c r="T1529" s="63" t="str">
        <f aca="false">IF(OR(B1529="",N(O1529)=0),"",N(O1529)+ROUND(MIN(N(N1529),TOPE_UF*UF_MES)*(TASA_EMP+MUTUAL),0)+ROUND(MIN(N(N1529),TOPE_AFC_UF*UF_MES)*IF(S1529="Indefinido",AFC_INDEF,AFC_PF),0))</f>
        <v/>
      </c>
      <c r="U1529" s="62" t="str">
        <f aca="false">IF(C1529="","",IF(LEFT(D1529,1)="⚠","⚠ RUT no registrado en Trabajadores",IF(B1529="","⚠ Falta el mes",IF(OR(ISTEXT(I1529),ISTEXT(J1529)),"⚠ Atrasos u horas extra como texto: escriba hh:mm (ej. 1:30)",IF(AND(ISNUMBER(Q1529),COUNTIFS(M_RUTN,V1529,M_MES,B1529,M_LIQ,"&lt;&gt;")&gt;1),"⚠ Liquidación repetida en el mes",IF(AND(ISNUMBER(O1529),ISNUMBER(P1529),ISNUMBER(Q1529),ABS(O1529-P1529-Q1529)&gt;1),"⚠ Haberes − descuentos no da el líquido","OK"))))))</f>
        <v/>
      </c>
      <c r="V1529" s="62" t="str">
        <f aca="false">IF(C1529="","",IFERROR(VALUE(LEFT(UPPER(SUBSTITUTE(SUBSTITUTE(SUBSTITUTE(TRIM(C1529),".",""),"-","")," ","")),LEN(UPPER(SUBSTITUTE(SUBSTITUTE(SUBSTITUTE(TRIM(C1529),".",""),"-","")," ","")))-1))&amp;RIGHT(UPPER(SUBSTITUTE(SUBSTITUTE(SUBSTITUTE(TRIM(C1529),".",""),"-","")," ","")),1),UPPER(SUBSTITUTE(SUBSTITUTE(SUBSTITUTE(TRIM(C1529),".",""),"-","")," ",""))))</f>
        <v/>
      </c>
    </row>
    <row r="1530" customFormat="false" ht="15" hidden="false" customHeight="false" outlineLevel="0" collapsed="false">
      <c r="B1530" s="80"/>
      <c r="C1530" s="58"/>
      <c r="D1530" s="62" t="str">
        <f aca="false">IF(C1530="","",IFERROR(INDEX(T_NOMBRE,MATCH(V1530,T_RUTN,0)),"⚠ RUT no está en Trabajadores"))</f>
        <v/>
      </c>
      <c r="E1530" s="61"/>
      <c r="F1530" s="61"/>
      <c r="G1530" s="61"/>
      <c r="H1530" s="61"/>
      <c r="I1530" s="81"/>
      <c r="J1530" s="81"/>
      <c r="K1530" s="60"/>
      <c r="L1530" s="60"/>
      <c r="M1530" s="60"/>
      <c r="N1530" s="60"/>
      <c r="O1530" s="60"/>
      <c r="P1530" s="60"/>
      <c r="Q1530" s="60"/>
      <c r="R1530" s="58"/>
      <c r="S1530" s="62" t="str">
        <f aca="false">IF(OR(B1530="",V1530=""),"",IFERROR(INDEX(C_TIPO,MATCH(V1530&amp;"-P"&amp;MAX(1,COUNTIFS(C_RUTN,V1530,C_DEF,"Sí",C_INI,"&lt;="&amp;EOMONTH(B1530,0))),C_CLAVE,0))&amp;"","Sin contrato"))</f>
        <v/>
      </c>
      <c r="T1530" s="63" t="str">
        <f aca="false">IF(OR(B1530="",N(O1530)=0),"",N(O1530)+ROUND(MIN(N(N1530),TOPE_UF*UF_MES)*(TASA_EMP+MUTUAL),0)+ROUND(MIN(N(N1530),TOPE_AFC_UF*UF_MES)*IF(S1530="Indefinido",AFC_INDEF,AFC_PF),0))</f>
        <v/>
      </c>
      <c r="U1530" s="62" t="str">
        <f aca="false">IF(C1530="","",IF(LEFT(D1530,1)="⚠","⚠ RUT no registrado en Trabajadores",IF(B1530="","⚠ Falta el mes",IF(OR(ISTEXT(I1530),ISTEXT(J1530)),"⚠ Atrasos u horas extra como texto: escriba hh:mm (ej. 1:30)",IF(AND(ISNUMBER(Q1530),COUNTIFS(M_RUTN,V1530,M_MES,B1530,M_LIQ,"&lt;&gt;")&gt;1),"⚠ Liquidación repetida en el mes",IF(AND(ISNUMBER(O1530),ISNUMBER(P1530),ISNUMBER(Q1530),ABS(O1530-P1530-Q1530)&gt;1),"⚠ Haberes − descuentos no da el líquido","OK"))))))</f>
        <v/>
      </c>
      <c r="V1530" s="62" t="str">
        <f aca="false">IF(C1530="","",IFERROR(VALUE(LEFT(UPPER(SUBSTITUTE(SUBSTITUTE(SUBSTITUTE(TRIM(C1530),".",""),"-","")," ","")),LEN(UPPER(SUBSTITUTE(SUBSTITUTE(SUBSTITUTE(TRIM(C1530),".",""),"-","")," ","")))-1))&amp;RIGHT(UPPER(SUBSTITUTE(SUBSTITUTE(SUBSTITUTE(TRIM(C1530),".",""),"-","")," ","")),1),UPPER(SUBSTITUTE(SUBSTITUTE(SUBSTITUTE(TRIM(C1530),".",""),"-","")," ",""))))</f>
        <v/>
      </c>
    </row>
    <row r="1531" customFormat="false" ht="15" hidden="false" customHeight="false" outlineLevel="0" collapsed="false">
      <c r="B1531" s="80"/>
      <c r="C1531" s="58"/>
      <c r="D1531" s="62" t="str">
        <f aca="false">IF(C1531="","",IFERROR(INDEX(T_NOMBRE,MATCH(V1531,T_RUTN,0)),"⚠ RUT no está en Trabajadores"))</f>
        <v/>
      </c>
      <c r="E1531" s="61"/>
      <c r="F1531" s="61"/>
      <c r="G1531" s="61"/>
      <c r="H1531" s="61"/>
      <c r="I1531" s="81"/>
      <c r="J1531" s="81"/>
      <c r="K1531" s="60"/>
      <c r="L1531" s="60"/>
      <c r="M1531" s="60"/>
      <c r="N1531" s="60"/>
      <c r="O1531" s="60"/>
      <c r="P1531" s="60"/>
      <c r="Q1531" s="60"/>
      <c r="R1531" s="58"/>
      <c r="S1531" s="62" t="str">
        <f aca="false">IF(OR(B1531="",V1531=""),"",IFERROR(INDEX(C_TIPO,MATCH(V1531&amp;"-P"&amp;MAX(1,COUNTIFS(C_RUTN,V1531,C_DEF,"Sí",C_INI,"&lt;="&amp;EOMONTH(B1531,0))),C_CLAVE,0))&amp;"","Sin contrato"))</f>
        <v/>
      </c>
      <c r="T1531" s="63" t="str">
        <f aca="false">IF(OR(B1531="",N(O1531)=0),"",N(O1531)+ROUND(MIN(N(N1531),TOPE_UF*UF_MES)*(TASA_EMP+MUTUAL),0)+ROUND(MIN(N(N1531),TOPE_AFC_UF*UF_MES)*IF(S1531="Indefinido",AFC_INDEF,AFC_PF),0))</f>
        <v/>
      </c>
      <c r="U1531" s="62" t="str">
        <f aca="false">IF(C1531="","",IF(LEFT(D1531,1)="⚠","⚠ RUT no registrado en Trabajadores",IF(B1531="","⚠ Falta el mes",IF(OR(ISTEXT(I1531),ISTEXT(J1531)),"⚠ Atrasos u horas extra como texto: escriba hh:mm (ej. 1:30)",IF(AND(ISNUMBER(Q1531),COUNTIFS(M_RUTN,V1531,M_MES,B1531,M_LIQ,"&lt;&gt;")&gt;1),"⚠ Liquidación repetida en el mes",IF(AND(ISNUMBER(O1531),ISNUMBER(P1531),ISNUMBER(Q1531),ABS(O1531-P1531-Q1531)&gt;1),"⚠ Haberes − descuentos no da el líquido","OK"))))))</f>
        <v/>
      </c>
      <c r="V1531" s="62" t="str">
        <f aca="false">IF(C1531="","",IFERROR(VALUE(LEFT(UPPER(SUBSTITUTE(SUBSTITUTE(SUBSTITUTE(TRIM(C1531),".",""),"-","")," ","")),LEN(UPPER(SUBSTITUTE(SUBSTITUTE(SUBSTITUTE(TRIM(C1531),".",""),"-","")," ","")))-1))&amp;RIGHT(UPPER(SUBSTITUTE(SUBSTITUTE(SUBSTITUTE(TRIM(C1531),".",""),"-","")," ","")),1),UPPER(SUBSTITUTE(SUBSTITUTE(SUBSTITUTE(TRIM(C1531),".",""),"-","")," ",""))))</f>
        <v/>
      </c>
    </row>
    <row r="1532" customFormat="false" ht="15" hidden="false" customHeight="false" outlineLevel="0" collapsed="false">
      <c r="B1532" s="80"/>
      <c r="C1532" s="58"/>
      <c r="D1532" s="62" t="str">
        <f aca="false">IF(C1532="","",IFERROR(INDEX(T_NOMBRE,MATCH(V1532,T_RUTN,0)),"⚠ RUT no está en Trabajadores"))</f>
        <v/>
      </c>
      <c r="E1532" s="61"/>
      <c r="F1532" s="61"/>
      <c r="G1532" s="61"/>
      <c r="H1532" s="61"/>
      <c r="I1532" s="81"/>
      <c r="J1532" s="81"/>
      <c r="K1532" s="60"/>
      <c r="L1532" s="60"/>
      <c r="M1532" s="60"/>
      <c r="N1532" s="60"/>
      <c r="O1532" s="60"/>
      <c r="P1532" s="60"/>
      <c r="Q1532" s="60"/>
      <c r="R1532" s="58"/>
      <c r="S1532" s="62" t="str">
        <f aca="false">IF(OR(B1532="",V1532=""),"",IFERROR(INDEX(C_TIPO,MATCH(V1532&amp;"-P"&amp;MAX(1,COUNTIFS(C_RUTN,V1532,C_DEF,"Sí",C_INI,"&lt;="&amp;EOMONTH(B1532,0))),C_CLAVE,0))&amp;"","Sin contrato"))</f>
        <v/>
      </c>
      <c r="T1532" s="63" t="str">
        <f aca="false">IF(OR(B1532="",N(O1532)=0),"",N(O1532)+ROUND(MIN(N(N1532),TOPE_UF*UF_MES)*(TASA_EMP+MUTUAL),0)+ROUND(MIN(N(N1532),TOPE_AFC_UF*UF_MES)*IF(S1532="Indefinido",AFC_INDEF,AFC_PF),0))</f>
        <v/>
      </c>
      <c r="U1532" s="62" t="str">
        <f aca="false">IF(C1532="","",IF(LEFT(D1532,1)="⚠","⚠ RUT no registrado en Trabajadores",IF(B1532="","⚠ Falta el mes",IF(OR(ISTEXT(I1532),ISTEXT(J1532)),"⚠ Atrasos u horas extra como texto: escriba hh:mm (ej. 1:30)",IF(AND(ISNUMBER(Q1532),COUNTIFS(M_RUTN,V1532,M_MES,B1532,M_LIQ,"&lt;&gt;")&gt;1),"⚠ Liquidación repetida en el mes",IF(AND(ISNUMBER(O1532),ISNUMBER(P1532),ISNUMBER(Q1532),ABS(O1532-P1532-Q1532)&gt;1),"⚠ Haberes − descuentos no da el líquido","OK"))))))</f>
        <v/>
      </c>
      <c r="V1532" s="62" t="str">
        <f aca="false">IF(C1532="","",IFERROR(VALUE(LEFT(UPPER(SUBSTITUTE(SUBSTITUTE(SUBSTITUTE(TRIM(C1532),".",""),"-","")," ","")),LEN(UPPER(SUBSTITUTE(SUBSTITUTE(SUBSTITUTE(TRIM(C1532),".",""),"-","")," ","")))-1))&amp;RIGHT(UPPER(SUBSTITUTE(SUBSTITUTE(SUBSTITUTE(TRIM(C1532),".",""),"-","")," ","")),1),UPPER(SUBSTITUTE(SUBSTITUTE(SUBSTITUTE(TRIM(C1532),".",""),"-","")," ",""))))</f>
        <v/>
      </c>
    </row>
    <row r="1533" customFormat="false" ht="15" hidden="false" customHeight="false" outlineLevel="0" collapsed="false">
      <c r="B1533" s="80"/>
      <c r="C1533" s="58"/>
      <c r="D1533" s="62" t="str">
        <f aca="false">IF(C1533="","",IFERROR(INDEX(T_NOMBRE,MATCH(V1533,T_RUTN,0)),"⚠ RUT no está en Trabajadores"))</f>
        <v/>
      </c>
      <c r="E1533" s="61"/>
      <c r="F1533" s="61"/>
      <c r="G1533" s="61"/>
      <c r="H1533" s="61"/>
      <c r="I1533" s="81"/>
      <c r="J1533" s="81"/>
      <c r="K1533" s="60"/>
      <c r="L1533" s="60"/>
      <c r="M1533" s="60"/>
      <c r="N1533" s="60"/>
      <c r="O1533" s="60"/>
      <c r="P1533" s="60"/>
      <c r="Q1533" s="60"/>
      <c r="R1533" s="58"/>
      <c r="S1533" s="62" t="str">
        <f aca="false">IF(OR(B1533="",V1533=""),"",IFERROR(INDEX(C_TIPO,MATCH(V1533&amp;"-P"&amp;MAX(1,COUNTIFS(C_RUTN,V1533,C_DEF,"Sí",C_INI,"&lt;="&amp;EOMONTH(B1533,0))),C_CLAVE,0))&amp;"","Sin contrato"))</f>
        <v/>
      </c>
      <c r="T1533" s="63" t="str">
        <f aca="false">IF(OR(B1533="",N(O1533)=0),"",N(O1533)+ROUND(MIN(N(N1533),TOPE_UF*UF_MES)*(TASA_EMP+MUTUAL),0)+ROUND(MIN(N(N1533),TOPE_AFC_UF*UF_MES)*IF(S1533="Indefinido",AFC_INDEF,AFC_PF),0))</f>
        <v/>
      </c>
      <c r="U1533" s="62" t="str">
        <f aca="false">IF(C1533="","",IF(LEFT(D1533,1)="⚠","⚠ RUT no registrado en Trabajadores",IF(B1533="","⚠ Falta el mes",IF(OR(ISTEXT(I1533),ISTEXT(J1533)),"⚠ Atrasos u horas extra como texto: escriba hh:mm (ej. 1:30)",IF(AND(ISNUMBER(Q1533),COUNTIFS(M_RUTN,V1533,M_MES,B1533,M_LIQ,"&lt;&gt;")&gt;1),"⚠ Liquidación repetida en el mes",IF(AND(ISNUMBER(O1533),ISNUMBER(P1533),ISNUMBER(Q1533),ABS(O1533-P1533-Q1533)&gt;1),"⚠ Haberes − descuentos no da el líquido","OK"))))))</f>
        <v/>
      </c>
      <c r="V1533" s="62" t="str">
        <f aca="false">IF(C1533="","",IFERROR(VALUE(LEFT(UPPER(SUBSTITUTE(SUBSTITUTE(SUBSTITUTE(TRIM(C1533),".",""),"-","")," ","")),LEN(UPPER(SUBSTITUTE(SUBSTITUTE(SUBSTITUTE(TRIM(C1533),".",""),"-","")," ","")))-1))&amp;RIGHT(UPPER(SUBSTITUTE(SUBSTITUTE(SUBSTITUTE(TRIM(C1533),".",""),"-","")," ","")),1),UPPER(SUBSTITUTE(SUBSTITUTE(SUBSTITUTE(TRIM(C1533),".",""),"-","")," ",""))))</f>
        <v/>
      </c>
    </row>
    <row r="1534" customFormat="false" ht="15" hidden="false" customHeight="false" outlineLevel="0" collapsed="false">
      <c r="B1534" s="80"/>
      <c r="C1534" s="58"/>
      <c r="D1534" s="62" t="str">
        <f aca="false">IF(C1534="","",IFERROR(INDEX(T_NOMBRE,MATCH(V1534,T_RUTN,0)),"⚠ RUT no está en Trabajadores"))</f>
        <v/>
      </c>
      <c r="E1534" s="61"/>
      <c r="F1534" s="61"/>
      <c r="G1534" s="61"/>
      <c r="H1534" s="61"/>
      <c r="I1534" s="81"/>
      <c r="J1534" s="81"/>
      <c r="K1534" s="60"/>
      <c r="L1534" s="60"/>
      <c r="M1534" s="60"/>
      <c r="N1534" s="60"/>
      <c r="O1534" s="60"/>
      <c r="P1534" s="60"/>
      <c r="Q1534" s="60"/>
      <c r="R1534" s="58"/>
      <c r="S1534" s="62" t="str">
        <f aca="false">IF(OR(B1534="",V1534=""),"",IFERROR(INDEX(C_TIPO,MATCH(V1534&amp;"-P"&amp;MAX(1,COUNTIFS(C_RUTN,V1534,C_DEF,"Sí",C_INI,"&lt;="&amp;EOMONTH(B1534,0))),C_CLAVE,0))&amp;"","Sin contrato"))</f>
        <v/>
      </c>
      <c r="T1534" s="63" t="str">
        <f aca="false">IF(OR(B1534="",N(O1534)=0),"",N(O1534)+ROUND(MIN(N(N1534),TOPE_UF*UF_MES)*(TASA_EMP+MUTUAL),0)+ROUND(MIN(N(N1534),TOPE_AFC_UF*UF_MES)*IF(S1534="Indefinido",AFC_INDEF,AFC_PF),0))</f>
        <v/>
      </c>
      <c r="U1534" s="62" t="str">
        <f aca="false">IF(C1534="","",IF(LEFT(D1534,1)="⚠","⚠ RUT no registrado en Trabajadores",IF(B1534="","⚠ Falta el mes",IF(OR(ISTEXT(I1534),ISTEXT(J1534)),"⚠ Atrasos u horas extra como texto: escriba hh:mm (ej. 1:30)",IF(AND(ISNUMBER(Q1534),COUNTIFS(M_RUTN,V1534,M_MES,B1534,M_LIQ,"&lt;&gt;")&gt;1),"⚠ Liquidación repetida en el mes",IF(AND(ISNUMBER(O1534),ISNUMBER(P1534),ISNUMBER(Q1534),ABS(O1534-P1534-Q1534)&gt;1),"⚠ Haberes − descuentos no da el líquido","OK"))))))</f>
        <v/>
      </c>
      <c r="V1534" s="62" t="str">
        <f aca="false">IF(C1534="","",IFERROR(VALUE(LEFT(UPPER(SUBSTITUTE(SUBSTITUTE(SUBSTITUTE(TRIM(C1534),".",""),"-","")," ","")),LEN(UPPER(SUBSTITUTE(SUBSTITUTE(SUBSTITUTE(TRIM(C1534),".",""),"-","")," ","")))-1))&amp;RIGHT(UPPER(SUBSTITUTE(SUBSTITUTE(SUBSTITUTE(TRIM(C1534),".",""),"-","")," ","")),1),UPPER(SUBSTITUTE(SUBSTITUTE(SUBSTITUTE(TRIM(C1534),".",""),"-","")," ",""))))</f>
        <v/>
      </c>
    </row>
    <row r="1535" customFormat="false" ht="15" hidden="false" customHeight="false" outlineLevel="0" collapsed="false">
      <c r="B1535" s="80"/>
      <c r="C1535" s="58"/>
      <c r="D1535" s="62" t="str">
        <f aca="false">IF(C1535="","",IFERROR(INDEX(T_NOMBRE,MATCH(V1535,T_RUTN,0)),"⚠ RUT no está en Trabajadores"))</f>
        <v/>
      </c>
      <c r="E1535" s="61"/>
      <c r="F1535" s="61"/>
      <c r="G1535" s="61"/>
      <c r="H1535" s="61"/>
      <c r="I1535" s="81"/>
      <c r="J1535" s="81"/>
      <c r="K1535" s="60"/>
      <c r="L1535" s="60"/>
      <c r="M1535" s="60"/>
      <c r="N1535" s="60"/>
      <c r="O1535" s="60"/>
      <c r="P1535" s="60"/>
      <c r="Q1535" s="60"/>
      <c r="R1535" s="58"/>
      <c r="S1535" s="62" t="str">
        <f aca="false">IF(OR(B1535="",V1535=""),"",IFERROR(INDEX(C_TIPO,MATCH(V1535&amp;"-P"&amp;MAX(1,COUNTIFS(C_RUTN,V1535,C_DEF,"Sí",C_INI,"&lt;="&amp;EOMONTH(B1535,0))),C_CLAVE,0))&amp;"","Sin contrato"))</f>
        <v/>
      </c>
      <c r="T1535" s="63" t="str">
        <f aca="false">IF(OR(B1535="",N(O1535)=0),"",N(O1535)+ROUND(MIN(N(N1535),TOPE_UF*UF_MES)*(TASA_EMP+MUTUAL),0)+ROUND(MIN(N(N1535),TOPE_AFC_UF*UF_MES)*IF(S1535="Indefinido",AFC_INDEF,AFC_PF),0))</f>
        <v/>
      </c>
      <c r="U1535" s="62" t="str">
        <f aca="false">IF(C1535="","",IF(LEFT(D1535,1)="⚠","⚠ RUT no registrado en Trabajadores",IF(B1535="","⚠ Falta el mes",IF(OR(ISTEXT(I1535),ISTEXT(J1535)),"⚠ Atrasos u horas extra como texto: escriba hh:mm (ej. 1:30)",IF(AND(ISNUMBER(Q1535),COUNTIFS(M_RUTN,V1535,M_MES,B1535,M_LIQ,"&lt;&gt;")&gt;1),"⚠ Liquidación repetida en el mes",IF(AND(ISNUMBER(O1535),ISNUMBER(P1535),ISNUMBER(Q1535),ABS(O1535-P1535-Q1535)&gt;1),"⚠ Haberes − descuentos no da el líquido","OK"))))))</f>
        <v/>
      </c>
      <c r="V1535" s="62" t="str">
        <f aca="false">IF(C1535="","",IFERROR(VALUE(LEFT(UPPER(SUBSTITUTE(SUBSTITUTE(SUBSTITUTE(TRIM(C1535),".",""),"-","")," ","")),LEN(UPPER(SUBSTITUTE(SUBSTITUTE(SUBSTITUTE(TRIM(C1535),".",""),"-","")," ","")))-1))&amp;RIGHT(UPPER(SUBSTITUTE(SUBSTITUTE(SUBSTITUTE(TRIM(C1535),".",""),"-","")," ","")),1),UPPER(SUBSTITUTE(SUBSTITUTE(SUBSTITUTE(TRIM(C1535),".",""),"-","")," ",""))))</f>
        <v/>
      </c>
    </row>
    <row r="1536" customFormat="false" ht="15" hidden="false" customHeight="false" outlineLevel="0" collapsed="false">
      <c r="B1536" s="80"/>
      <c r="C1536" s="58"/>
      <c r="D1536" s="62" t="str">
        <f aca="false">IF(C1536="","",IFERROR(INDEX(T_NOMBRE,MATCH(V1536,T_RUTN,0)),"⚠ RUT no está en Trabajadores"))</f>
        <v/>
      </c>
      <c r="E1536" s="61"/>
      <c r="F1536" s="61"/>
      <c r="G1536" s="61"/>
      <c r="H1536" s="61"/>
      <c r="I1536" s="81"/>
      <c r="J1536" s="81"/>
      <c r="K1536" s="60"/>
      <c r="L1536" s="60"/>
      <c r="M1536" s="60"/>
      <c r="N1536" s="60"/>
      <c r="O1536" s="60"/>
      <c r="P1536" s="60"/>
      <c r="Q1536" s="60"/>
      <c r="R1536" s="58"/>
      <c r="S1536" s="62" t="str">
        <f aca="false">IF(OR(B1536="",V1536=""),"",IFERROR(INDEX(C_TIPO,MATCH(V1536&amp;"-P"&amp;MAX(1,COUNTIFS(C_RUTN,V1536,C_DEF,"Sí",C_INI,"&lt;="&amp;EOMONTH(B1536,0))),C_CLAVE,0))&amp;"","Sin contrato"))</f>
        <v/>
      </c>
      <c r="T1536" s="63" t="str">
        <f aca="false">IF(OR(B1536="",N(O1536)=0),"",N(O1536)+ROUND(MIN(N(N1536),TOPE_UF*UF_MES)*(TASA_EMP+MUTUAL),0)+ROUND(MIN(N(N1536),TOPE_AFC_UF*UF_MES)*IF(S1536="Indefinido",AFC_INDEF,AFC_PF),0))</f>
        <v/>
      </c>
      <c r="U1536" s="62" t="str">
        <f aca="false">IF(C1536="","",IF(LEFT(D1536,1)="⚠","⚠ RUT no registrado en Trabajadores",IF(B1536="","⚠ Falta el mes",IF(OR(ISTEXT(I1536),ISTEXT(J1536)),"⚠ Atrasos u horas extra como texto: escriba hh:mm (ej. 1:30)",IF(AND(ISNUMBER(Q1536),COUNTIFS(M_RUTN,V1536,M_MES,B1536,M_LIQ,"&lt;&gt;")&gt;1),"⚠ Liquidación repetida en el mes",IF(AND(ISNUMBER(O1536),ISNUMBER(P1536),ISNUMBER(Q1536),ABS(O1536-P1536-Q1536)&gt;1),"⚠ Haberes − descuentos no da el líquido","OK"))))))</f>
        <v/>
      </c>
      <c r="V1536" s="62" t="str">
        <f aca="false">IF(C1536="","",IFERROR(VALUE(LEFT(UPPER(SUBSTITUTE(SUBSTITUTE(SUBSTITUTE(TRIM(C1536),".",""),"-","")," ","")),LEN(UPPER(SUBSTITUTE(SUBSTITUTE(SUBSTITUTE(TRIM(C1536),".",""),"-","")," ","")))-1))&amp;RIGHT(UPPER(SUBSTITUTE(SUBSTITUTE(SUBSTITUTE(TRIM(C1536),".",""),"-","")," ","")),1),UPPER(SUBSTITUTE(SUBSTITUTE(SUBSTITUTE(TRIM(C1536),".",""),"-","")," ",""))))</f>
        <v/>
      </c>
    </row>
    <row r="1537" customFormat="false" ht="15" hidden="false" customHeight="false" outlineLevel="0" collapsed="false">
      <c r="B1537" s="80"/>
      <c r="C1537" s="58"/>
      <c r="D1537" s="62" t="str">
        <f aca="false">IF(C1537="","",IFERROR(INDEX(T_NOMBRE,MATCH(V1537,T_RUTN,0)),"⚠ RUT no está en Trabajadores"))</f>
        <v/>
      </c>
      <c r="E1537" s="61"/>
      <c r="F1537" s="61"/>
      <c r="G1537" s="61"/>
      <c r="H1537" s="61"/>
      <c r="I1537" s="81"/>
      <c r="J1537" s="81"/>
      <c r="K1537" s="60"/>
      <c r="L1537" s="60"/>
      <c r="M1537" s="60"/>
      <c r="N1537" s="60"/>
      <c r="O1537" s="60"/>
      <c r="P1537" s="60"/>
      <c r="Q1537" s="60"/>
      <c r="R1537" s="58"/>
      <c r="S1537" s="62" t="str">
        <f aca="false">IF(OR(B1537="",V1537=""),"",IFERROR(INDEX(C_TIPO,MATCH(V1537&amp;"-P"&amp;MAX(1,COUNTIFS(C_RUTN,V1537,C_DEF,"Sí",C_INI,"&lt;="&amp;EOMONTH(B1537,0))),C_CLAVE,0))&amp;"","Sin contrato"))</f>
        <v/>
      </c>
      <c r="T1537" s="63" t="str">
        <f aca="false">IF(OR(B1537="",N(O1537)=0),"",N(O1537)+ROUND(MIN(N(N1537),TOPE_UF*UF_MES)*(TASA_EMP+MUTUAL),0)+ROUND(MIN(N(N1537),TOPE_AFC_UF*UF_MES)*IF(S1537="Indefinido",AFC_INDEF,AFC_PF),0))</f>
        <v/>
      </c>
      <c r="U1537" s="62" t="str">
        <f aca="false">IF(C1537="","",IF(LEFT(D1537,1)="⚠","⚠ RUT no registrado en Trabajadores",IF(B1537="","⚠ Falta el mes",IF(OR(ISTEXT(I1537),ISTEXT(J1537)),"⚠ Atrasos u horas extra como texto: escriba hh:mm (ej. 1:30)",IF(AND(ISNUMBER(Q1537),COUNTIFS(M_RUTN,V1537,M_MES,B1537,M_LIQ,"&lt;&gt;")&gt;1),"⚠ Liquidación repetida en el mes",IF(AND(ISNUMBER(O1537),ISNUMBER(P1537),ISNUMBER(Q1537),ABS(O1537-P1537-Q1537)&gt;1),"⚠ Haberes − descuentos no da el líquido","OK"))))))</f>
        <v/>
      </c>
      <c r="V1537" s="62" t="str">
        <f aca="false">IF(C1537="","",IFERROR(VALUE(LEFT(UPPER(SUBSTITUTE(SUBSTITUTE(SUBSTITUTE(TRIM(C1537),".",""),"-","")," ","")),LEN(UPPER(SUBSTITUTE(SUBSTITUTE(SUBSTITUTE(TRIM(C1537),".",""),"-","")," ","")))-1))&amp;RIGHT(UPPER(SUBSTITUTE(SUBSTITUTE(SUBSTITUTE(TRIM(C1537),".",""),"-","")," ","")),1),UPPER(SUBSTITUTE(SUBSTITUTE(SUBSTITUTE(TRIM(C1537),".",""),"-","")," ",""))))</f>
        <v/>
      </c>
    </row>
    <row r="1538" customFormat="false" ht="15" hidden="false" customHeight="false" outlineLevel="0" collapsed="false">
      <c r="B1538" s="80"/>
      <c r="C1538" s="58"/>
      <c r="D1538" s="62" t="str">
        <f aca="false">IF(C1538="","",IFERROR(INDEX(T_NOMBRE,MATCH(V1538,T_RUTN,0)),"⚠ RUT no está en Trabajadores"))</f>
        <v/>
      </c>
      <c r="E1538" s="61"/>
      <c r="F1538" s="61"/>
      <c r="G1538" s="61"/>
      <c r="H1538" s="61"/>
      <c r="I1538" s="81"/>
      <c r="J1538" s="81"/>
      <c r="K1538" s="60"/>
      <c r="L1538" s="60"/>
      <c r="M1538" s="60"/>
      <c r="N1538" s="60"/>
      <c r="O1538" s="60"/>
      <c r="P1538" s="60"/>
      <c r="Q1538" s="60"/>
      <c r="R1538" s="58"/>
      <c r="S1538" s="62" t="str">
        <f aca="false">IF(OR(B1538="",V1538=""),"",IFERROR(INDEX(C_TIPO,MATCH(V1538&amp;"-P"&amp;MAX(1,COUNTIFS(C_RUTN,V1538,C_DEF,"Sí",C_INI,"&lt;="&amp;EOMONTH(B1538,0))),C_CLAVE,0))&amp;"","Sin contrato"))</f>
        <v/>
      </c>
      <c r="T1538" s="63" t="str">
        <f aca="false">IF(OR(B1538="",N(O1538)=0),"",N(O1538)+ROUND(MIN(N(N1538),TOPE_UF*UF_MES)*(TASA_EMP+MUTUAL),0)+ROUND(MIN(N(N1538),TOPE_AFC_UF*UF_MES)*IF(S1538="Indefinido",AFC_INDEF,AFC_PF),0))</f>
        <v/>
      </c>
      <c r="U1538" s="62" t="str">
        <f aca="false">IF(C1538="","",IF(LEFT(D1538,1)="⚠","⚠ RUT no registrado en Trabajadores",IF(B1538="","⚠ Falta el mes",IF(OR(ISTEXT(I1538),ISTEXT(J1538)),"⚠ Atrasos u horas extra como texto: escriba hh:mm (ej. 1:30)",IF(AND(ISNUMBER(Q1538),COUNTIFS(M_RUTN,V1538,M_MES,B1538,M_LIQ,"&lt;&gt;")&gt;1),"⚠ Liquidación repetida en el mes",IF(AND(ISNUMBER(O1538),ISNUMBER(P1538),ISNUMBER(Q1538),ABS(O1538-P1538-Q1538)&gt;1),"⚠ Haberes − descuentos no da el líquido","OK"))))))</f>
        <v/>
      </c>
      <c r="V1538" s="62" t="str">
        <f aca="false">IF(C1538="","",IFERROR(VALUE(LEFT(UPPER(SUBSTITUTE(SUBSTITUTE(SUBSTITUTE(TRIM(C1538),".",""),"-","")," ","")),LEN(UPPER(SUBSTITUTE(SUBSTITUTE(SUBSTITUTE(TRIM(C1538),".",""),"-","")," ","")))-1))&amp;RIGHT(UPPER(SUBSTITUTE(SUBSTITUTE(SUBSTITUTE(TRIM(C1538),".",""),"-","")," ","")),1),UPPER(SUBSTITUTE(SUBSTITUTE(SUBSTITUTE(TRIM(C1538),".",""),"-","")," ",""))))</f>
        <v/>
      </c>
    </row>
    <row r="1539" customFormat="false" ht="15" hidden="false" customHeight="false" outlineLevel="0" collapsed="false">
      <c r="B1539" s="80"/>
      <c r="C1539" s="58"/>
      <c r="D1539" s="62" t="str">
        <f aca="false">IF(C1539="","",IFERROR(INDEX(T_NOMBRE,MATCH(V1539,T_RUTN,0)),"⚠ RUT no está en Trabajadores"))</f>
        <v/>
      </c>
      <c r="E1539" s="61"/>
      <c r="F1539" s="61"/>
      <c r="G1539" s="61"/>
      <c r="H1539" s="61"/>
      <c r="I1539" s="81"/>
      <c r="J1539" s="81"/>
      <c r="K1539" s="60"/>
      <c r="L1539" s="60"/>
      <c r="M1539" s="60"/>
      <c r="N1539" s="60"/>
      <c r="O1539" s="60"/>
      <c r="P1539" s="60"/>
      <c r="Q1539" s="60"/>
      <c r="R1539" s="58"/>
      <c r="S1539" s="62" t="str">
        <f aca="false">IF(OR(B1539="",V1539=""),"",IFERROR(INDEX(C_TIPO,MATCH(V1539&amp;"-P"&amp;MAX(1,COUNTIFS(C_RUTN,V1539,C_DEF,"Sí",C_INI,"&lt;="&amp;EOMONTH(B1539,0))),C_CLAVE,0))&amp;"","Sin contrato"))</f>
        <v/>
      </c>
      <c r="T1539" s="63" t="str">
        <f aca="false">IF(OR(B1539="",N(O1539)=0),"",N(O1539)+ROUND(MIN(N(N1539),TOPE_UF*UF_MES)*(TASA_EMP+MUTUAL),0)+ROUND(MIN(N(N1539),TOPE_AFC_UF*UF_MES)*IF(S1539="Indefinido",AFC_INDEF,AFC_PF),0))</f>
        <v/>
      </c>
      <c r="U1539" s="62" t="str">
        <f aca="false">IF(C1539="","",IF(LEFT(D1539,1)="⚠","⚠ RUT no registrado en Trabajadores",IF(B1539="","⚠ Falta el mes",IF(OR(ISTEXT(I1539),ISTEXT(J1539)),"⚠ Atrasos u horas extra como texto: escriba hh:mm (ej. 1:30)",IF(AND(ISNUMBER(Q1539),COUNTIFS(M_RUTN,V1539,M_MES,B1539,M_LIQ,"&lt;&gt;")&gt;1),"⚠ Liquidación repetida en el mes",IF(AND(ISNUMBER(O1539),ISNUMBER(P1539),ISNUMBER(Q1539),ABS(O1539-P1539-Q1539)&gt;1),"⚠ Haberes − descuentos no da el líquido","OK"))))))</f>
        <v/>
      </c>
      <c r="V1539" s="62" t="str">
        <f aca="false">IF(C1539="","",IFERROR(VALUE(LEFT(UPPER(SUBSTITUTE(SUBSTITUTE(SUBSTITUTE(TRIM(C1539),".",""),"-","")," ","")),LEN(UPPER(SUBSTITUTE(SUBSTITUTE(SUBSTITUTE(TRIM(C1539),".",""),"-","")," ","")))-1))&amp;RIGHT(UPPER(SUBSTITUTE(SUBSTITUTE(SUBSTITUTE(TRIM(C1539),".",""),"-","")," ","")),1),UPPER(SUBSTITUTE(SUBSTITUTE(SUBSTITUTE(TRIM(C1539),".",""),"-","")," ",""))))</f>
        <v/>
      </c>
    </row>
    <row r="1540" customFormat="false" ht="15" hidden="false" customHeight="false" outlineLevel="0" collapsed="false">
      <c r="B1540" s="80"/>
      <c r="C1540" s="58"/>
      <c r="D1540" s="62" t="str">
        <f aca="false">IF(C1540="","",IFERROR(INDEX(T_NOMBRE,MATCH(V1540,T_RUTN,0)),"⚠ RUT no está en Trabajadores"))</f>
        <v/>
      </c>
      <c r="E1540" s="61"/>
      <c r="F1540" s="61"/>
      <c r="G1540" s="61"/>
      <c r="H1540" s="61"/>
      <c r="I1540" s="81"/>
      <c r="J1540" s="81"/>
      <c r="K1540" s="60"/>
      <c r="L1540" s="60"/>
      <c r="M1540" s="60"/>
      <c r="N1540" s="60"/>
      <c r="O1540" s="60"/>
      <c r="P1540" s="60"/>
      <c r="Q1540" s="60"/>
      <c r="R1540" s="58"/>
      <c r="S1540" s="62" t="str">
        <f aca="false">IF(OR(B1540="",V1540=""),"",IFERROR(INDEX(C_TIPO,MATCH(V1540&amp;"-P"&amp;MAX(1,COUNTIFS(C_RUTN,V1540,C_DEF,"Sí",C_INI,"&lt;="&amp;EOMONTH(B1540,0))),C_CLAVE,0))&amp;"","Sin contrato"))</f>
        <v/>
      </c>
      <c r="T1540" s="63" t="str">
        <f aca="false">IF(OR(B1540="",N(O1540)=0),"",N(O1540)+ROUND(MIN(N(N1540),TOPE_UF*UF_MES)*(TASA_EMP+MUTUAL),0)+ROUND(MIN(N(N1540),TOPE_AFC_UF*UF_MES)*IF(S1540="Indefinido",AFC_INDEF,AFC_PF),0))</f>
        <v/>
      </c>
      <c r="U1540" s="62" t="str">
        <f aca="false">IF(C1540="","",IF(LEFT(D1540,1)="⚠","⚠ RUT no registrado en Trabajadores",IF(B1540="","⚠ Falta el mes",IF(OR(ISTEXT(I1540),ISTEXT(J1540)),"⚠ Atrasos u horas extra como texto: escriba hh:mm (ej. 1:30)",IF(AND(ISNUMBER(Q1540),COUNTIFS(M_RUTN,V1540,M_MES,B1540,M_LIQ,"&lt;&gt;")&gt;1),"⚠ Liquidación repetida en el mes",IF(AND(ISNUMBER(O1540),ISNUMBER(P1540),ISNUMBER(Q1540),ABS(O1540-P1540-Q1540)&gt;1),"⚠ Haberes − descuentos no da el líquido","OK"))))))</f>
        <v/>
      </c>
      <c r="V1540" s="62" t="str">
        <f aca="false">IF(C1540="","",IFERROR(VALUE(LEFT(UPPER(SUBSTITUTE(SUBSTITUTE(SUBSTITUTE(TRIM(C1540),".",""),"-","")," ","")),LEN(UPPER(SUBSTITUTE(SUBSTITUTE(SUBSTITUTE(TRIM(C1540),".",""),"-","")," ","")))-1))&amp;RIGHT(UPPER(SUBSTITUTE(SUBSTITUTE(SUBSTITUTE(TRIM(C1540),".",""),"-","")," ","")),1),UPPER(SUBSTITUTE(SUBSTITUTE(SUBSTITUTE(TRIM(C1540),".",""),"-","")," ",""))))</f>
        <v/>
      </c>
    </row>
    <row r="1541" customFormat="false" ht="15" hidden="false" customHeight="false" outlineLevel="0" collapsed="false">
      <c r="B1541" s="80"/>
      <c r="C1541" s="58"/>
      <c r="D1541" s="62" t="str">
        <f aca="false">IF(C1541="","",IFERROR(INDEX(T_NOMBRE,MATCH(V1541,T_RUTN,0)),"⚠ RUT no está en Trabajadores"))</f>
        <v/>
      </c>
      <c r="E1541" s="61"/>
      <c r="F1541" s="61"/>
      <c r="G1541" s="61"/>
      <c r="H1541" s="61"/>
      <c r="I1541" s="81"/>
      <c r="J1541" s="81"/>
      <c r="K1541" s="60"/>
      <c r="L1541" s="60"/>
      <c r="M1541" s="60"/>
      <c r="N1541" s="60"/>
      <c r="O1541" s="60"/>
      <c r="P1541" s="60"/>
      <c r="Q1541" s="60"/>
      <c r="R1541" s="58"/>
      <c r="S1541" s="62" t="str">
        <f aca="false">IF(OR(B1541="",V1541=""),"",IFERROR(INDEX(C_TIPO,MATCH(V1541&amp;"-P"&amp;MAX(1,COUNTIFS(C_RUTN,V1541,C_DEF,"Sí",C_INI,"&lt;="&amp;EOMONTH(B1541,0))),C_CLAVE,0))&amp;"","Sin contrato"))</f>
        <v/>
      </c>
      <c r="T1541" s="63" t="str">
        <f aca="false">IF(OR(B1541="",N(O1541)=0),"",N(O1541)+ROUND(MIN(N(N1541),TOPE_UF*UF_MES)*(TASA_EMP+MUTUAL),0)+ROUND(MIN(N(N1541),TOPE_AFC_UF*UF_MES)*IF(S1541="Indefinido",AFC_INDEF,AFC_PF),0))</f>
        <v/>
      </c>
      <c r="U1541" s="62" t="str">
        <f aca="false">IF(C1541="","",IF(LEFT(D1541,1)="⚠","⚠ RUT no registrado en Trabajadores",IF(B1541="","⚠ Falta el mes",IF(OR(ISTEXT(I1541),ISTEXT(J1541)),"⚠ Atrasos u horas extra como texto: escriba hh:mm (ej. 1:30)",IF(AND(ISNUMBER(Q1541),COUNTIFS(M_RUTN,V1541,M_MES,B1541,M_LIQ,"&lt;&gt;")&gt;1),"⚠ Liquidación repetida en el mes",IF(AND(ISNUMBER(O1541),ISNUMBER(P1541),ISNUMBER(Q1541),ABS(O1541-P1541-Q1541)&gt;1),"⚠ Haberes − descuentos no da el líquido","OK"))))))</f>
        <v/>
      </c>
      <c r="V1541" s="62" t="str">
        <f aca="false">IF(C1541="","",IFERROR(VALUE(LEFT(UPPER(SUBSTITUTE(SUBSTITUTE(SUBSTITUTE(TRIM(C1541),".",""),"-","")," ","")),LEN(UPPER(SUBSTITUTE(SUBSTITUTE(SUBSTITUTE(TRIM(C1541),".",""),"-","")," ","")))-1))&amp;RIGHT(UPPER(SUBSTITUTE(SUBSTITUTE(SUBSTITUTE(TRIM(C1541),".",""),"-","")," ","")),1),UPPER(SUBSTITUTE(SUBSTITUTE(SUBSTITUTE(TRIM(C1541),".",""),"-","")," ",""))))</f>
        <v/>
      </c>
    </row>
    <row r="1542" customFormat="false" ht="15" hidden="false" customHeight="false" outlineLevel="0" collapsed="false">
      <c r="B1542" s="80"/>
      <c r="C1542" s="58"/>
      <c r="D1542" s="62" t="str">
        <f aca="false">IF(C1542="","",IFERROR(INDEX(T_NOMBRE,MATCH(V1542,T_RUTN,0)),"⚠ RUT no está en Trabajadores"))</f>
        <v/>
      </c>
      <c r="E1542" s="61"/>
      <c r="F1542" s="61"/>
      <c r="G1542" s="61"/>
      <c r="H1542" s="61"/>
      <c r="I1542" s="81"/>
      <c r="J1542" s="81"/>
      <c r="K1542" s="60"/>
      <c r="L1542" s="60"/>
      <c r="M1542" s="60"/>
      <c r="N1542" s="60"/>
      <c r="O1542" s="60"/>
      <c r="P1542" s="60"/>
      <c r="Q1542" s="60"/>
      <c r="R1542" s="58"/>
      <c r="S1542" s="62" t="str">
        <f aca="false">IF(OR(B1542="",V1542=""),"",IFERROR(INDEX(C_TIPO,MATCH(V1542&amp;"-P"&amp;MAX(1,COUNTIFS(C_RUTN,V1542,C_DEF,"Sí",C_INI,"&lt;="&amp;EOMONTH(B1542,0))),C_CLAVE,0))&amp;"","Sin contrato"))</f>
        <v/>
      </c>
      <c r="T1542" s="63" t="str">
        <f aca="false">IF(OR(B1542="",N(O1542)=0),"",N(O1542)+ROUND(MIN(N(N1542),TOPE_UF*UF_MES)*(TASA_EMP+MUTUAL),0)+ROUND(MIN(N(N1542),TOPE_AFC_UF*UF_MES)*IF(S1542="Indefinido",AFC_INDEF,AFC_PF),0))</f>
        <v/>
      </c>
      <c r="U1542" s="62" t="str">
        <f aca="false">IF(C1542="","",IF(LEFT(D1542,1)="⚠","⚠ RUT no registrado en Trabajadores",IF(B1542="","⚠ Falta el mes",IF(OR(ISTEXT(I1542),ISTEXT(J1542)),"⚠ Atrasos u horas extra como texto: escriba hh:mm (ej. 1:30)",IF(AND(ISNUMBER(Q1542),COUNTIFS(M_RUTN,V1542,M_MES,B1542,M_LIQ,"&lt;&gt;")&gt;1),"⚠ Liquidación repetida en el mes",IF(AND(ISNUMBER(O1542),ISNUMBER(P1542),ISNUMBER(Q1542),ABS(O1542-P1542-Q1542)&gt;1),"⚠ Haberes − descuentos no da el líquido","OK"))))))</f>
        <v/>
      </c>
      <c r="V1542" s="62" t="str">
        <f aca="false">IF(C1542="","",IFERROR(VALUE(LEFT(UPPER(SUBSTITUTE(SUBSTITUTE(SUBSTITUTE(TRIM(C1542),".",""),"-","")," ","")),LEN(UPPER(SUBSTITUTE(SUBSTITUTE(SUBSTITUTE(TRIM(C1542),".",""),"-","")," ","")))-1))&amp;RIGHT(UPPER(SUBSTITUTE(SUBSTITUTE(SUBSTITUTE(TRIM(C1542),".",""),"-","")," ","")),1),UPPER(SUBSTITUTE(SUBSTITUTE(SUBSTITUTE(TRIM(C1542),".",""),"-","")," ",""))))</f>
        <v/>
      </c>
    </row>
    <row r="1543" customFormat="false" ht="15" hidden="false" customHeight="false" outlineLevel="0" collapsed="false">
      <c r="B1543" s="80"/>
      <c r="C1543" s="58"/>
      <c r="D1543" s="62" t="str">
        <f aca="false">IF(C1543="","",IFERROR(INDEX(T_NOMBRE,MATCH(V1543,T_RUTN,0)),"⚠ RUT no está en Trabajadores"))</f>
        <v/>
      </c>
      <c r="E1543" s="61"/>
      <c r="F1543" s="61"/>
      <c r="G1543" s="61"/>
      <c r="H1543" s="61"/>
      <c r="I1543" s="81"/>
      <c r="J1543" s="81"/>
      <c r="K1543" s="60"/>
      <c r="L1543" s="60"/>
      <c r="M1543" s="60"/>
      <c r="N1543" s="60"/>
      <c r="O1543" s="60"/>
      <c r="P1543" s="60"/>
      <c r="Q1543" s="60"/>
      <c r="R1543" s="58"/>
      <c r="S1543" s="62" t="str">
        <f aca="false">IF(OR(B1543="",V1543=""),"",IFERROR(INDEX(C_TIPO,MATCH(V1543&amp;"-P"&amp;MAX(1,COUNTIFS(C_RUTN,V1543,C_DEF,"Sí",C_INI,"&lt;="&amp;EOMONTH(B1543,0))),C_CLAVE,0))&amp;"","Sin contrato"))</f>
        <v/>
      </c>
      <c r="T1543" s="63" t="str">
        <f aca="false">IF(OR(B1543="",N(O1543)=0),"",N(O1543)+ROUND(MIN(N(N1543),TOPE_UF*UF_MES)*(TASA_EMP+MUTUAL),0)+ROUND(MIN(N(N1543),TOPE_AFC_UF*UF_MES)*IF(S1543="Indefinido",AFC_INDEF,AFC_PF),0))</f>
        <v/>
      </c>
      <c r="U1543" s="62" t="str">
        <f aca="false">IF(C1543="","",IF(LEFT(D1543,1)="⚠","⚠ RUT no registrado en Trabajadores",IF(B1543="","⚠ Falta el mes",IF(OR(ISTEXT(I1543),ISTEXT(J1543)),"⚠ Atrasos u horas extra como texto: escriba hh:mm (ej. 1:30)",IF(AND(ISNUMBER(Q1543),COUNTIFS(M_RUTN,V1543,M_MES,B1543,M_LIQ,"&lt;&gt;")&gt;1),"⚠ Liquidación repetida en el mes",IF(AND(ISNUMBER(O1543),ISNUMBER(P1543),ISNUMBER(Q1543),ABS(O1543-P1543-Q1543)&gt;1),"⚠ Haberes − descuentos no da el líquido","OK"))))))</f>
        <v/>
      </c>
      <c r="V1543" s="62" t="str">
        <f aca="false">IF(C1543="","",IFERROR(VALUE(LEFT(UPPER(SUBSTITUTE(SUBSTITUTE(SUBSTITUTE(TRIM(C1543),".",""),"-","")," ","")),LEN(UPPER(SUBSTITUTE(SUBSTITUTE(SUBSTITUTE(TRIM(C1543),".",""),"-","")," ","")))-1))&amp;RIGHT(UPPER(SUBSTITUTE(SUBSTITUTE(SUBSTITUTE(TRIM(C1543),".",""),"-","")," ","")),1),UPPER(SUBSTITUTE(SUBSTITUTE(SUBSTITUTE(TRIM(C1543),".",""),"-","")," ",""))))</f>
        <v/>
      </c>
    </row>
    <row r="1544" customFormat="false" ht="15" hidden="false" customHeight="false" outlineLevel="0" collapsed="false">
      <c r="B1544" s="80"/>
      <c r="C1544" s="58"/>
      <c r="D1544" s="62" t="str">
        <f aca="false">IF(C1544="","",IFERROR(INDEX(T_NOMBRE,MATCH(V1544,T_RUTN,0)),"⚠ RUT no está en Trabajadores"))</f>
        <v/>
      </c>
      <c r="E1544" s="61"/>
      <c r="F1544" s="61"/>
      <c r="G1544" s="61"/>
      <c r="H1544" s="61"/>
      <c r="I1544" s="81"/>
      <c r="J1544" s="81"/>
      <c r="K1544" s="60"/>
      <c r="L1544" s="60"/>
      <c r="M1544" s="60"/>
      <c r="N1544" s="60"/>
      <c r="O1544" s="60"/>
      <c r="P1544" s="60"/>
      <c r="Q1544" s="60"/>
      <c r="R1544" s="58"/>
      <c r="S1544" s="62" t="str">
        <f aca="false">IF(OR(B1544="",V1544=""),"",IFERROR(INDEX(C_TIPO,MATCH(V1544&amp;"-P"&amp;MAX(1,COUNTIFS(C_RUTN,V1544,C_DEF,"Sí",C_INI,"&lt;="&amp;EOMONTH(B1544,0))),C_CLAVE,0))&amp;"","Sin contrato"))</f>
        <v/>
      </c>
      <c r="T1544" s="63" t="str">
        <f aca="false">IF(OR(B1544="",N(O1544)=0),"",N(O1544)+ROUND(MIN(N(N1544),TOPE_UF*UF_MES)*(TASA_EMP+MUTUAL),0)+ROUND(MIN(N(N1544),TOPE_AFC_UF*UF_MES)*IF(S1544="Indefinido",AFC_INDEF,AFC_PF),0))</f>
        <v/>
      </c>
      <c r="U1544" s="62" t="str">
        <f aca="false">IF(C1544="","",IF(LEFT(D1544,1)="⚠","⚠ RUT no registrado en Trabajadores",IF(B1544="","⚠ Falta el mes",IF(OR(ISTEXT(I1544),ISTEXT(J1544)),"⚠ Atrasos u horas extra como texto: escriba hh:mm (ej. 1:30)",IF(AND(ISNUMBER(Q1544),COUNTIFS(M_RUTN,V1544,M_MES,B1544,M_LIQ,"&lt;&gt;")&gt;1),"⚠ Liquidación repetida en el mes",IF(AND(ISNUMBER(O1544),ISNUMBER(P1544),ISNUMBER(Q1544),ABS(O1544-P1544-Q1544)&gt;1),"⚠ Haberes − descuentos no da el líquido","OK"))))))</f>
        <v/>
      </c>
      <c r="V1544" s="62" t="str">
        <f aca="false">IF(C1544="","",IFERROR(VALUE(LEFT(UPPER(SUBSTITUTE(SUBSTITUTE(SUBSTITUTE(TRIM(C1544),".",""),"-","")," ","")),LEN(UPPER(SUBSTITUTE(SUBSTITUTE(SUBSTITUTE(TRIM(C1544),".",""),"-","")," ","")))-1))&amp;RIGHT(UPPER(SUBSTITUTE(SUBSTITUTE(SUBSTITUTE(TRIM(C1544),".",""),"-","")," ","")),1),UPPER(SUBSTITUTE(SUBSTITUTE(SUBSTITUTE(TRIM(C1544),".",""),"-","")," ",""))))</f>
        <v/>
      </c>
    </row>
    <row r="1545" customFormat="false" ht="15" hidden="false" customHeight="false" outlineLevel="0" collapsed="false">
      <c r="B1545" s="80"/>
      <c r="C1545" s="58"/>
      <c r="D1545" s="62" t="str">
        <f aca="false">IF(C1545="","",IFERROR(INDEX(T_NOMBRE,MATCH(V1545,T_RUTN,0)),"⚠ RUT no está en Trabajadores"))</f>
        <v/>
      </c>
      <c r="E1545" s="61"/>
      <c r="F1545" s="61"/>
      <c r="G1545" s="61"/>
      <c r="H1545" s="61"/>
      <c r="I1545" s="81"/>
      <c r="J1545" s="81"/>
      <c r="K1545" s="60"/>
      <c r="L1545" s="60"/>
      <c r="M1545" s="60"/>
      <c r="N1545" s="60"/>
      <c r="O1545" s="60"/>
      <c r="P1545" s="60"/>
      <c r="Q1545" s="60"/>
      <c r="R1545" s="58"/>
      <c r="S1545" s="62" t="str">
        <f aca="false">IF(OR(B1545="",V1545=""),"",IFERROR(INDEX(C_TIPO,MATCH(V1545&amp;"-P"&amp;MAX(1,COUNTIFS(C_RUTN,V1545,C_DEF,"Sí",C_INI,"&lt;="&amp;EOMONTH(B1545,0))),C_CLAVE,0))&amp;"","Sin contrato"))</f>
        <v/>
      </c>
      <c r="T1545" s="63" t="str">
        <f aca="false">IF(OR(B1545="",N(O1545)=0),"",N(O1545)+ROUND(MIN(N(N1545),TOPE_UF*UF_MES)*(TASA_EMP+MUTUAL),0)+ROUND(MIN(N(N1545),TOPE_AFC_UF*UF_MES)*IF(S1545="Indefinido",AFC_INDEF,AFC_PF),0))</f>
        <v/>
      </c>
      <c r="U1545" s="62" t="str">
        <f aca="false">IF(C1545="","",IF(LEFT(D1545,1)="⚠","⚠ RUT no registrado en Trabajadores",IF(B1545="","⚠ Falta el mes",IF(OR(ISTEXT(I1545),ISTEXT(J1545)),"⚠ Atrasos u horas extra como texto: escriba hh:mm (ej. 1:30)",IF(AND(ISNUMBER(Q1545),COUNTIFS(M_RUTN,V1545,M_MES,B1545,M_LIQ,"&lt;&gt;")&gt;1),"⚠ Liquidación repetida en el mes",IF(AND(ISNUMBER(O1545),ISNUMBER(P1545),ISNUMBER(Q1545),ABS(O1545-P1545-Q1545)&gt;1),"⚠ Haberes − descuentos no da el líquido","OK"))))))</f>
        <v/>
      </c>
      <c r="V1545" s="62" t="str">
        <f aca="false">IF(C1545="","",IFERROR(VALUE(LEFT(UPPER(SUBSTITUTE(SUBSTITUTE(SUBSTITUTE(TRIM(C1545),".",""),"-","")," ","")),LEN(UPPER(SUBSTITUTE(SUBSTITUTE(SUBSTITUTE(TRIM(C1545),".",""),"-","")," ","")))-1))&amp;RIGHT(UPPER(SUBSTITUTE(SUBSTITUTE(SUBSTITUTE(TRIM(C1545),".",""),"-","")," ","")),1),UPPER(SUBSTITUTE(SUBSTITUTE(SUBSTITUTE(TRIM(C1545),".",""),"-","")," ",""))))</f>
        <v/>
      </c>
    </row>
    <row r="1546" customFormat="false" ht="15" hidden="false" customHeight="false" outlineLevel="0" collapsed="false">
      <c r="B1546" s="80"/>
      <c r="C1546" s="58"/>
      <c r="D1546" s="62" t="str">
        <f aca="false">IF(C1546="","",IFERROR(INDEX(T_NOMBRE,MATCH(V1546,T_RUTN,0)),"⚠ RUT no está en Trabajadores"))</f>
        <v/>
      </c>
      <c r="E1546" s="61"/>
      <c r="F1546" s="61"/>
      <c r="G1546" s="61"/>
      <c r="H1546" s="61"/>
      <c r="I1546" s="81"/>
      <c r="J1546" s="81"/>
      <c r="K1546" s="60"/>
      <c r="L1546" s="60"/>
      <c r="M1546" s="60"/>
      <c r="N1546" s="60"/>
      <c r="O1546" s="60"/>
      <c r="P1546" s="60"/>
      <c r="Q1546" s="60"/>
      <c r="R1546" s="58"/>
      <c r="S1546" s="62" t="str">
        <f aca="false">IF(OR(B1546="",V1546=""),"",IFERROR(INDEX(C_TIPO,MATCH(V1546&amp;"-P"&amp;MAX(1,COUNTIFS(C_RUTN,V1546,C_DEF,"Sí",C_INI,"&lt;="&amp;EOMONTH(B1546,0))),C_CLAVE,0))&amp;"","Sin contrato"))</f>
        <v/>
      </c>
      <c r="T1546" s="63" t="str">
        <f aca="false">IF(OR(B1546="",N(O1546)=0),"",N(O1546)+ROUND(MIN(N(N1546),TOPE_UF*UF_MES)*(TASA_EMP+MUTUAL),0)+ROUND(MIN(N(N1546),TOPE_AFC_UF*UF_MES)*IF(S1546="Indefinido",AFC_INDEF,AFC_PF),0))</f>
        <v/>
      </c>
      <c r="U1546" s="62" t="str">
        <f aca="false">IF(C1546="","",IF(LEFT(D1546,1)="⚠","⚠ RUT no registrado en Trabajadores",IF(B1546="","⚠ Falta el mes",IF(OR(ISTEXT(I1546),ISTEXT(J1546)),"⚠ Atrasos u horas extra como texto: escriba hh:mm (ej. 1:30)",IF(AND(ISNUMBER(Q1546),COUNTIFS(M_RUTN,V1546,M_MES,B1546,M_LIQ,"&lt;&gt;")&gt;1),"⚠ Liquidación repetida en el mes",IF(AND(ISNUMBER(O1546),ISNUMBER(P1546),ISNUMBER(Q1546),ABS(O1546-P1546-Q1546)&gt;1),"⚠ Haberes − descuentos no da el líquido","OK"))))))</f>
        <v/>
      </c>
      <c r="V1546" s="62" t="str">
        <f aca="false">IF(C1546="","",IFERROR(VALUE(LEFT(UPPER(SUBSTITUTE(SUBSTITUTE(SUBSTITUTE(TRIM(C1546),".",""),"-","")," ","")),LEN(UPPER(SUBSTITUTE(SUBSTITUTE(SUBSTITUTE(TRIM(C1546),".",""),"-","")," ","")))-1))&amp;RIGHT(UPPER(SUBSTITUTE(SUBSTITUTE(SUBSTITUTE(TRIM(C1546),".",""),"-","")," ","")),1),UPPER(SUBSTITUTE(SUBSTITUTE(SUBSTITUTE(TRIM(C1546),".",""),"-","")," ",""))))</f>
        <v/>
      </c>
    </row>
    <row r="1547" customFormat="false" ht="15" hidden="false" customHeight="false" outlineLevel="0" collapsed="false">
      <c r="B1547" s="80"/>
      <c r="C1547" s="58"/>
      <c r="D1547" s="62" t="str">
        <f aca="false">IF(C1547="","",IFERROR(INDEX(T_NOMBRE,MATCH(V1547,T_RUTN,0)),"⚠ RUT no está en Trabajadores"))</f>
        <v/>
      </c>
      <c r="E1547" s="61"/>
      <c r="F1547" s="61"/>
      <c r="G1547" s="61"/>
      <c r="H1547" s="61"/>
      <c r="I1547" s="81"/>
      <c r="J1547" s="81"/>
      <c r="K1547" s="60"/>
      <c r="L1547" s="60"/>
      <c r="M1547" s="60"/>
      <c r="N1547" s="60"/>
      <c r="O1547" s="60"/>
      <c r="P1547" s="60"/>
      <c r="Q1547" s="60"/>
      <c r="R1547" s="58"/>
      <c r="S1547" s="62" t="str">
        <f aca="false">IF(OR(B1547="",V1547=""),"",IFERROR(INDEX(C_TIPO,MATCH(V1547&amp;"-P"&amp;MAX(1,COUNTIFS(C_RUTN,V1547,C_DEF,"Sí",C_INI,"&lt;="&amp;EOMONTH(B1547,0))),C_CLAVE,0))&amp;"","Sin contrato"))</f>
        <v/>
      </c>
      <c r="T1547" s="63" t="str">
        <f aca="false">IF(OR(B1547="",N(O1547)=0),"",N(O1547)+ROUND(MIN(N(N1547),TOPE_UF*UF_MES)*(TASA_EMP+MUTUAL),0)+ROUND(MIN(N(N1547),TOPE_AFC_UF*UF_MES)*IF(S1547="Indefinido",AFC_INDEF,AFC_PF),0))</f>
        <v/>
      </c>
      <c r="U1547" s="62" t="str">
        <f aca="false">IF(C1547="","",IF(LEFT(D1547,1)="⚠","⚠ RUT no registrado en Trabajadores",IF(B1547="","⚠ Falta el mes",IF(OR(ISTEXT(I1547),ISTEXT(J1547)),"⚠ Atrasos u horas extra como texto: escriba hh:mm (ej. 1:30)",IF(AND(ISNUMBER(Q1547),COUNTIFS(M_RUTN,V1547,M_MES,B1547,M_LIQ,"&lt;&gt;")&gt;1),"⚠ Liquidación repetida en el mes",IF(AND(ISNUMBER(O1547),ISNUMBER(P1547),ISNUMBER(Q1547),ABS(O1547-P1547-Q1547)&gt;1),"⚠ Haberes − descuentos no da el líquido","OK"))))))</f>
        <v/>
      </c>
      <c r="V1547" s="62" t="str">
        <f aca="false">IF(C1547="","",IFERROR(VALUE(LEFT(UPPER(SUBSTITUTE(SUBSTITUTE(SUBSTITUTE(TRIM(C1547),".",""),"-","")," ","")),LEN(UPPER(SUBSTITUTE(SUBSTITUTE(SUBSTITUTE(TRIM(C1547),".",""),"-","")," ","")))-1))&amp;RIGHT(UPPER(SUBSTITUTE(SUBSTITUTE(SUBSTITUTE(TRIM(C1547),".",""),"-","")," ","")),1),UPPER(SUBSTITUTE(SUBSTITUTE(SUBSTITUTE(TRIM(C1547),".",""),"-","")," ",""))))</f>
        <v/>
      </c>
    </row>
    <row r="1548" customFormat="false" ht="15" hidden="false" customHeight="false" outlineLevel="0" collapsed="false">
      <c r="B1548" s="80"/>
      <c r="C1548" s="58"/>
      <c r="D1548" s="62" t="str">
        <f aca="false">IF(C1548="","",IFERROR(INDEX(T_NOMBRE,MATCH(V1548,T_RUTN,0)),"⚠ RUT no está en Trabajadores"))</f>
        <v/>
      </c>
      <c r="E1548" s="61"/>
      <c r="F1548" s="61"/>
      <c r="G1548" s="61"/>
      <c r="H1548" s="61"/>
      <c r="I1548" s="81"/>
      <c r="J1548" s="81"/>
      <c r="K1548" s="60"/>
      <c r="L1548" s="60"/>
      <c r="M1548" s="60"/>
      <c r="N1548" s="60"/>
      <c r="O1548" s="60"/>
      <c r="P1548" s="60"/>
      <c r="Q1548" s="60"/>
      <c r="R1548" s="58"/>
      <c r="S1548" s="62" t="str">
        <f aca="false">IF(OR(B1548="",V1548=""),"",IFERROR(INDEX(C_TIPO,MATCH(V1548&amp;"-P"&amp;MAX(1,COUNTIFS(C_RUTN,V1548,C_DEF,"Sí",C_INI,"&lt;="&amp;EOMONTH(B1548,0))),C_CLAVE,0))&amp;"","Sin contrato"))</f>
        <v/>
      </c>
      <c r="T1548" s="63" t="str">
        <f aca="false">IF(OR(B1548="",N(O1548)=0),"",N(O1548)+ROUND(MIN(N(N1548),TOPE_UF*UF_MES)*(TASA_EMP+MUTUAL),0)+ROUND(MIN(N(N1548),TOPE_AFC_UF*UF_MES)*IF(S1548="Indefinido",AFC_INDEF,AFC_PF),0))</f>
        <v/>
      </c>
      <c r="U1548" s="62" t="str">
        <f aca="false">IF(C1548="","",IF(LEFT(D1548,1)="⚠","⚠ RUT no registrado en Trabajadores",IF(B1548="","⚠ Falta el mes",IF(OR(ISTEXT(I1548),ISTEXT(J1548)),"⚠ Atrasos u horas extra como texto: escriba hh:mm (ej. 1:30)",IF(AND(ISNUMBER(Q1548),COUNTIFS(M_RUTN,V1548,M_MES,B1548,M_LIQ,"&lt;&gt;")&gt;1),"⚠ Liquidación repetida en el mes",IF(AND(ISNUMBER(O1548),ISNUMBER(P1548),ISNUMBER(Q1548),ABS(O1548-P1548-Q1548)&gt;1),"⚠ Haberes − descuentos no da el líquido","OK"))))))</f>
        <v/>
      </c>
      <c r="V1548" s="62" t="str">
        <f aca="false">IF(C1548="","",IFERROR(VALUE(LEFT(UPPER(SUBSTITUTE(SUBSTITUTE(SUBSTITUTE(TRIM(C1548),".",""),"-","")," ","")),LEN(UPPER(SUBSTITUTE(SUBSTITUTE(SUBSTITUTE(TRIM(C1548),".",""),"-","")," ","")))-1))&amp;RIGHT(UPPER(SUBSTITUTE(SUBSTITUTE(SUBSTITUTE(TRIM(C1548),".",""),"-","")," ","")),1),UPPER(SUBSTITUTE(SUBSTITUTE(SUBSTITUTE(TRIM(C1548),".",""),"-","")," ",""))))</f>
        <v/>
      </c>
    </row>
    <row r="1549" customFormat="false" ht="15" hidden="false" customHeight="false" outlineLevel="0" collapsed="false">
      <c r="B1549" s="80"/>
      <c r="C1549" s="58"/>
      <c r="D1549" s="62" t="str">
        <f aca="false">IF(C1549="","",IFERROR(INDEX(T_NOMBRE,MATCH(V1549,T_RUTN,0)),"⚠ RUT no está en Trabajadores"))</f>
        <v/>
      </c>
      <c r="E1549" s="61"/>
      <c r="F1549" s="61"/>
      <c r="G1549" s="61"/>
      <c r="H1549" s="61"/>
      <c r="I1549" s="81"/>
      <c r="J1549" s="81"/>
      <c r="K1549" s="60"/>
      <c r="L1549" s="60"/>
      <c r="M1549" s="60"/>
      <c r="N1549" s="60"/>
      <c r="O1549" s="60"/>
      <c r="P1549" s="60"/>
      <c r="Q1549" s="60"/>
      <c r="R1549" s="58"/>
      <c r="S1549" s="62" t="str">
        <f aca="false">IF(OR(B1549="",V1549=""),"",IFERROR(INDEX(C_TIPO,MATCH(V1549&amp;"-P"&amp;MAX(1,COUNTIFS(C_RUTN,V1549,C_DEF,"Sí",C_INI,"&lt;="&amp;EOMONTH(B1549,0))),C_CLAVE,0))&amp;"","Sin contrato"))</f>
        <v/>
      </c>
      <c r="T1549" s="63" t="str">
        <f aca="false">IF(OR(B1549="",N(O1549)=0),"",N(O1549)+ROUND(MIN(N(N1549),TOPE_UF*UF_MES)*(TASA_EMP+MUTUAL),0)+ROUND(MIN(N(N1549),TOPE_AFC_UF*UF_MES)*IF(S1549="Indefinido",AFC_INDEF,AFC_PF),0))</f>
        <v/>
      </c>
      <c r="U1549" s="62" t="str">
        <f aca="false">IF(C1549="","",IF(LEFT(D1549,1)="⚠","⚠ RUT no registrado en Trabajadores",IF(B1549="","⚠ Falta el mes",IF(OR(ISTEXT(I1549),ISTEXT(J1549)),"⚠ Atrasos u horas extra como texto: escriba hh:mm (ej. 1:30)",IF(AND(ISNUMBER(Q1549),COUNTIFS(M_RUTN,V1549,M_MES,B1549,M_LIQ,"&lt;&gt;")&gt;1),"⚠ Liquidación repetida en el mes",IF(AND(ISNUMBER(O1549),ISNUMBER(P1549),ISNUMBER(Q1549),ABS(O1549-P1549-Q1549)&gt;1),"⚠ Haberes − descuentos no da el líquido","OK"))))))</f>
        <v/>
      </c>
      <c r="V1549" s="62" t="str">
        <f aca="false">IF(C1549="","",IFERROR(VALUE(LEFT(UPPER(SUBSTITUTE(SUBSTITUTE(SUBSTITUTE(TRIM(C1549),".",""),"-","")," ","")),LEN(UPPER(SUBSTITUTE(SUBSTITUTE(SUBSTITUTE(TRIM(C1549),".",""),"-","")," ","")))-1))&amp;RIGHT(UPPER(SUBSTITUTE(SUBSTITUTE(SUBSTITUTE(TRIM(C1549),".",""),"-","")," ","")),1),UPPER(SUBSTITUTE(SUBSTITUTE(SUBSTITUTE(TRIM(C1549),".",""),"-","")," ",""))))</f>
        <v/>
      </c>
    </row>
    <row r="1550" customFormat="false" ht="15" hidden="false" customHeight="false" outlineLevel="0" collapsed="false">
      <c r="B1550" s="80"/>
      <c r="C1550" s="58"/>
      <c r="D1550" s="62" t="str">
        <f aca="false">IF(C1550="","",IFERROR(INDEX(T_NOMBRE,MATCH(V1550,T_RUTN,0)),"⚠ RUT no está en Trabajadores"))</f>
        <v/>
      </c>
      <c r="E1550" s="61"/>
      <c r="F1550" s="61"/>
      <c r="G1550" s="61"/>
      <c r="H1550" s="61"/>
      <c r="I1550" s="81"/>
      <c r="J1550" s="81"/>
      <c r="K1550" s="60"/>
      <c r="L1550" s="60"/>
      <c r="M1550" s="60"/>
      <c r="N1550" s="60"/>
      <c r="O1550" s="60"/>
      <c r="P1550" s="60"/>
      <c r="Q1550" s="60"/>
      <c r="R1550" s="58"/>
      <c r="S1550" s="62" t="str">
        <f aca="false">IF(OR(B1550="",V1550=""),"",IFERROR(INDEX(C_TIPO,MATCH(V1550&amp;"-P"&amp;MAX(1,COUNTIFS(C_RUTN,V1550,C_DEF,"Sí",C_INI,"&lt;="&amp;EOMONTH(B1550,0))),C_CLAVE,0))&amp;"","Sin contrato"))</f>
        <v/>
      </c>
      <c r="T1550" s="63" t="str">
        <f aca="false">IF(OR(B1550="",N(O1550)=0),"",N(O1550)+ROUND(MIN(N(N1550),TOPE_UF*UF_MES)*(TASA_EMP+MUTUAL),0)+ROUND(MIN(N(N1550),TOPE_AFC_UF*UF_MES)*IF(S1550="Indefinido",AFC_INDEF,AFC_PF),0))</f>
        <v/>
      </c>
      <c r="U1550" s="62" t="str">
        <f aca="false">IF(C1550="","",IF(LEFT(D1550,1)="⚠","⚠ RUT no registrado en Trabajadores",IF(B1550="","⚠ Falta el mes",IF(OR(ISTEXT(I1550),ISTEXT(J1550)),"⚠ Atrasos u horas extra como texto: escriba hh:mm (ej. 1:30)",IF(AND(ISNUMBER(Q1550),COUNTIFS(M_RUTN,V1550,M_MES,B1550,M_LIQ,"&lt;&gt;")&gt;1),"⚠ Liquidación repetida en el mes",IF(AND(ISNUMBER(O1550),ISNUMBER(P1550),ISNUMBER(Q1550),ABS(O1550-P1550-Q1550)&gt;1),"⚠ Haberes − descuentos no da el líquido","OK"))))))</f>
        <v/>
      </c>
      <c r="V1550" s="62" t="str">
        <f aca="false">IF(C1550="","",IFERROR(VALUE(LEFT(UPPER(SUBSTITUTE(SUBSTITUTE(SUBSTITUTE(TRIM(C1550),".",""),"-","")," ","")),LEN(UPPER(SUBSTITUTE(SUBSTITUTE(SUBSTITUTE(TRIM(C1550),".",""),"-","")," ","")))-1))&amp;RIGHT(UPPER(SUBSTITUTE(SUBSTITUTE(SUBSTITUTE(TRIM(C1550),".",""),"-","")," ","")),1),UPPER(SUBSTITUTE(SUBSTITUTE(SUBSTITUTE(TRIM(C1550),".",""),"-","")," ",""))))</f>
        <v/>
      </c>
    </row>
    <row r="1551" customFormat="false" ht="15" hidden="false" customHeight="false" outlineLevel="0" collapsed="false">
      <c r="B1551" s="80"/>
      <c r="C1551" s="58"/>
      <c r="D1551" s="62" t="str">
        <f aca="false">IF(C1551="","",IFERROR(INDEX(T_NOMBRE,MATCH(V1551,T_RUTN,0)),"⚠ RUT no está en Trabajadores"))</f>
        <v/>
      </c>
      <c r="E1551" s="61"/>
      <c r="F1551" s="61"/>
      <c r="G1551" s="61"/>
      <c r="H1551" s="61"/>
      <c r="I1551" s="81"/>
      <c r="J1551" s="81"/>
      <c r="K1551" s="60"/>
      <c r="L1551" s="60"/>
      <c r="M1551" s="60"/>
      <c r="N1551" s="60"/>
      <c r="O1551" s="60"/>
      <c r="P1551" s="60"/>
      <c r="Q1551" s="60"/>
      <c r="R1551" s="58"/>
      <c r="S1551" s="62" t="str">
        <f aca="false">IF(OR(B1551="",V1551=""),"",IFERROR(INDEX(C_TIPO,MATCH(V1551&amp;"-P"&amp;MAX(1,COUNTIFS(C_RUTN,V1551,C_DEF,"Sí",C_INI,"&lt;="&amp;EOMONTH(B1551,0))),C_CLAVE,0))&amp;"","Sin contrato"))</f>
        <v/>
      </c>
      <c r="T1551" s="63" t="str">
        <f aca="false">IF(OR(B1551="",N(O1551)=0),"",N(O1551)+ROUND(MIN(N(N1551),TOPE_UF*UF_MES)*(TASA_EMP+MUTUAL),0)+ROUND(MIN(N(N1551),TOPE_AFC_UF*UF_MES)*IF(S1551="Indefinido",AFC_INDEF,AFC_PF),0))</f>
        <v/>
      </c>
      <c r="U1551" s="62" t="str">
        <f aca="false">IF(C1551="","",IF(LEFT(D1551,1)="⚠","⚠ RUT no registrado en Trabajadores",IF(B1551="","⚠ Falta el mes",IF(OR(ISTEXT(I1551),ISTEXT(J1551)),"⚠ Atrasos u horas extra como texto: escriba hh:mm (ej. 1:30)",IF(AND(ISNUMBER(Q1551),COUNTIFS(M_RUTN,V1551,M_MES,B1551,M_LIQ,"&lt;&gt;")&gt;1),"⚠ Liquidación repetida en el mes",IF(AND(ISNUMBER(O1551),ISNUMBER(P1551),ISNUMBER(Q1551),ABS(O1551-P1551-Q1551)&gt;1),"⚠ Haberes − descuentos no da el líquido","OK"))))))</f>
        <v/>
      </c>
      <c r="V1551" s="62" t="str">
        <f aca="false">IF(C1551="","",IFERROR(VALUE(LEFT(UPPER(SUBSTITUTE(SUBSTITUTE(SUBSTITUTE(TRIM(C1551),".",""),"-","")," ","")),LEN(UPPER(SUBSTITUTE(SUBSTITUTE(SUBSTITUTE(TRIM(C1551),".",""),"-","")," ","")))-1))&amp;RIGHT(UPPER(SUBSTITUTE(SUBSTITUTE(SUBSTITUTE(TRIM(C1551),".",""),"-","")," ","")),1),UPPER(SUBSTITUTE(SUBSTITUTE(SUBSTITUTE(TRIM(C1551),".",""),"-","")," ",""))))</f>
        <v/>
      </c>
    </row>
    <row r="1552" customFormat="false" ht="15" hidden="false" customHeight="false" outlineLevel="0" collapsed="false">
      <c r="B1552" s="80"/>
      <c r="C1552" s="58"/>
      <c r="D1552" s="62" t="str">
        <f aca="false">IF(C1552="","",IFERROR(INDEX(T_NOMBRE,MATCH(V1552,T_RUTN,0)),"⚠ RUT no está en Trabajadores"))</f>
        <v/>
      </c>
      <c r="E1552" s="61"/>
      <c r="F1552" s="61"/>
      <c r="G1552" s="61"/>
      <c r="H1552" s="61"/>
      <c r="I1552" s="81"/>
      <c r="J1552" s="81"/>
      <c r="K1552" s="60"/>
      <c r="L1552" s="60"/>
      <c r="M1552" s="60"/>
      <c r="N1552" s="60"/>
      <c r="O1552" s="60"/>
      <c r="P1552" s="60"/>
      <c r="Q1552" s="60"/>
      <c r="R1552" s="58"/>
      <c r="S1552" s="62" t="str">
        <f aca="false">IF(OR(B1552="",V1552=""),"",IFERROR(INDEX(C_TIPO,MATCH(V1552&amp;"-P"&amp;MAX(1,COUNTIFS(C_RUTN,V1552,C_DEF,"Sí",C_INI,"&lt;="&amp;EOMONTH(B1552,0))),C_CLAVE,0))&amp;"","Sin contrato"))</f>
        <v/>
      </c>
      <c r="T1552" s="63" t="str">
        <f aca="false">IF(OR(B1552="",N(O1552)=0),"",N(O1552)+ROUND(MIN(N(N1552),TOPE_UF*UF_MES)*(TASA_EMP+MUTUAL),0)+ROUND(MIN(N(N1552),TOPE_AFC_UF*UF_MES)*IF(S1552="Indefinido",AFC_INDEF,AFC_PF),0))</f>
        <v/>
      </c>
      <c r="U1552" s="62" t="str">
        <f aca="false">IF(C1552="","",IF(LEFT(D1552,1)="⚠","⚠ RUT no registrado en Trabajadores",IF(B1552="","⚠ Falta el mes",IF(OR(ISTEXT(I1552),ISTEXT(J1552)),"⚠ Atrasos u horas extra como texto: escriba hh:mm (ej. 1:30)",IF(AND(ISNUMBER(Q1552),COUNTIFS(M_RUTN,V1552,M_MES,B1552,M_LIQ,"&lt;&gt;")&gt;1),"⚠ Liquidación repetida en el mes",IF(AND(ISNUMBER(O1552),ISNUMBER(P1552),ISNUMBER(Q1552),ABS(O1552-P1552-Q1552)&gt;1),"⚠ Haberes − descuentos no da el líquido","OK"))))))</f>
        <v/>
      </c>
      <c r="V1552" s="62" t="str">
        <f aca="false">IF(C1552="","",IFERROR(VALUE(LEFT(UPPER(SUBSTITUTE(SUBSTITUTE(SUBSTITUTE(TRIM(C1552),".",""),"-","")," ","")),LEN(UPPER(SUBSTITUTE(SUBSTITUTE(SUBSTITUTE(TRIM(C1552),".",""),"-","")," ","")))-1))&amp;RIGHT(UPPER(SUBSTITUTE(SUBSTITUTE(SUBSTITUTE(TRIM(C1552),".",""),"-","")," ","")),1),UPPER(SUBSTITUTE(SUBSTITUTE(SUBSTITUTE(TRIM(C1552),".",""),"-","")," ",""))))</f>
        <v/>
      </c>
    </row>
    <row r="1553" customFormat="false" ht="15" hidden="false" customHeight="false" outlineLevel="0" collapsed="false">
      <c r="B1553" s="80"/>
      <c r="C1553" s="58"/>
      <c r="D1553" s="62" t="str">
        <f aca="false">IF(C1553="","",IFERROR(INDEX(T_NOMBRE,MATCH(V1553,T_RUTN,0)),"⚠ RUT no está en Trabajadores"))</f>
        <v/>
      </c>
      <c r="E1553" s="61"/>
      <c r="F1553" s="61"/>
      <c r="G1553" s="61"/>
      <c r="H1553" s="61"/>
      <c r="I1553" s="81"/>
      <c r="J1553" s="81"/>
      <c r="K1553" s="60"/>
      <c r="L1553" s="60"/>
      <c r="M1553" s="60"/>
      <c r="N1553" s="60"/>
      <c r="O1553" s="60"/>
      <c r="P1553" s="60"/>
      <c r="Q1553" s="60"/>
      <c r="R1553" s="58"/>
      <c r="S1553" s="62" t="str">
        <f aca="false">IF(OR(B1553="",V1553=""),"",IFERROR(INDEX(C_TIPO,MATCH(V1553&amp;"-P"&amp;MAX(1,COUNTIFS(C_RUTN,V1553,C_DEF,"Sí",C_INI,"&lt;="&amp;EOMONTH(B1553,0))),C_CLAVE,0))&amp;"","Sin contrato"))</f>
        <v/>
      </c>
      <c r="T1553" s="63" t="str">
        <f aca="false">IF(OR(B1553="",N(O1553)=0),"",N(O1553)+ROUND(MIN(N(N1553),TOPE_UF*UF_MES)*(TASA_EMP+MUTUAL),0)+ROUND(MIN(N(N1553),TOPE_AFC_UF*UF_MES)*IF(S1553="Indefinido",AFC_INDEF,AFC_PF),0))</f>
        <v/>
      </c>
      <c r="U1553" s="62" t="str">
        <f aca="false">IF(C1553="","",IF(LEFT(D1553,1)="⚠","⚠ RUT no registrado en Trabajadores",IF(B1553="","⚠ Falta el mes",IF(OR(ISTEXT(I1553),ISTEXT(J1553)),"⚠ Atrasos u horas extra como texto: escriba hh:mm (ej. 1:30)",IF(AND(ISNUMBER(Q1553),COUNTIFS(M_RUTN,V1553,M_MES,B1553,M_LIQ,"&lt;&gt;")&gt;1),"⚠ Liquidación repetida en el mes",IF(AND(ISNUMBER(O1553),ISNUMBER(P1553),ISNUMBER(Q1553),ABS(O1553-P1553-Q1553)&gt;1),"⚠ Haberes − descuentos no da el líquido","OK"))))))</f>
        <v/>
      </c>
      <c r="V1553" s="62" t="str">
        <f aca="false">IF(C1553="","",IFERROR(VALUE(LEFT(UPPER(SUBSTITUTE(SUBSTITUTE(SUBSTITUTE(TRIM(C1553),".",""),"-","")," ","")),LEN(UPPER(SUBSTITUTE(SUBSTITUTE(SUBSTITUTE(TRIM(C1553),".",""),"-","")," ","")))-1))&amp;RIGHT(UPPER(SUBSTITUTE(SUBSTITUTE(SUBSTITUTE(TRIM(C1553),".",""),"-","")," ","")),1),UPPER(SUBSTITUTE(SUBSTITUTE(SUBSTITUTE(TRIM(C1553),".",""),"-","")," ",""))))</f>
        <v/>
      </c>
    </row>
    <row r="1554" customFormat="false" ht="15" hidden="false" customHeight="false" outlineLevel="0" collapsed="false">
      <c r="B1554" s="80"/>
      <c r="C1554" s="58"/>
      <c r="D1554" s="62" t="str">
        <f aca="false">IF(C1554="","",IFERROR(INDEX(T_NOMBRE,MATCH(V1554,T_RUTN,0)),"⚠ RUT no está en Trabajadores"))</f>
        <v/>
      </c>
      <c r="E1554" s="61"/>
      <c r="F1554" s="61"/>
      <c r="G1554" s="61"/>
      <c r="H1554" s="61"/>
      <c r="I1554" s="81"/>
      <c r="J1554" s="81"/>
      <c r="K1554" s="60"/>
      <c r="L1554" s="60"/>
      <c r="M1554" s="60"/>
      <c r="N1554" s="60"/>
      <c r="O1554" s="60"/>
      <c r="P1554" s="60"/>
      <c r="Q1554" s="60"/>
      <c r="R1554" s="58"/>
      <c r="S1554" s="62" t="str">
        <f aca="false">IF(OR(B1554="",V1554=""),"",IFERROR(INDEX(C_TIPO,MATCH(V1554&amp;"-P"&amp;MAX(1,COUNTIFS(C_RUTN,V1554,C_DEF,"Sí",C_INI,"&lt;="&amp;EOMONTH(B1554,0))),C_CLAVE,0))&amp;"","Sin contrato"))</f>
        <v/>
      </c>
      <c r="T1554" s="63" t="str">
        <f aca="false">IF(OR(B1554="",N(O1554)=0),"",N(O1554)+ROUND(MIN(N(N1554),TOPE_UF*UF_MES)*(TASA_EMP+MUTUAL),0)+ROUND(MIN(N(N1554),TOPE_AFC_UF*UF_MES)*IF(S1554="Indefinido",AFC_INDEF,AFC_PF),0))</f>
        <v/>
      </c>
      <c r="U1554" s="62" t="str">
        <f aca="false">IF(C1554="","",IF(LEFT(D1554,1)="⚠","⚠ RUT no registrado en Trabajadores",IF(B1554="","⚠ Falta el mes",IF(OR(ISTEXT(I1554),ISTEXT(J1554)),"⚠ Atrasos u horas extra como texto: escriba hh:mm (ej. 1:30)",IF(AND(ISNUMBER(Q1554),COUNTIFS(M_RUTN,V1554,M_MES,B1554,M_LIQ,"&lt;&gt;")&gt;1),"⚠ Liquidación repetida en el mes",IF(AND(ISNUMBER(O1554),ISNUMBER(P1554),ISNUMBER(Q1554),ABS(O1554-P1554-Q1554)&gt;1),"⚠ Haberes − descuentos no da el líquido","OK"))))))</f>
        <v/>
      </c>
      <c r="V1554" s="62" t="str">
        <f aca="false">IF(C1554="","",IFERROR(VALUE(LEFT(UPPER(SUBSTITUTE(SUBSTITUTE(SUBSTITUTE(TRIM(C1554),".",""),"-","")," ","")),LEN(UPPER(SUBSTITUTE(SUBSTITUTE(SUBSTITUTE(TRIM(C1554),".",""),"-","")," ","")))-1))&amp;RIGHT(UPPER(SUBSTITUTE(SUBSTITUTE(SUBSTITUTE(TRIM(C1554),".",""),"-","")," ","")),1),UPPER(SUBSTITUTE(SUBSTITUTE(SUBSTITUTE(TRIM(C1554),".",""),"-","")," ",""))))</f>
        <v/>
      </c>
    </row>
    <row r="1555" customFormat="false" ht="15" hidden="false" customHeight="false" outlineLevel="0" collapsed="false">
      <c r="B1555" s="80"/>
      <c r="C1555" s="58"/>
      <c r="D1555" s="62" t="str">
        <f aca="false">IF(C1555="","",IFERROR(INDEX(T_NOMBRE,MATCH(V1555,T_RUTN,0)),"⚠ RUT no está en Trabajadores"))</f>
        <v/>
      </c>
      <c r="E1555" s="61"/>
      <c r="F1555" s="61"/>
      <c r="G1555" s="61"/>
      <c r="H1555" s="61"/>
      <c r="I1555" s="81"/>
      <c r="J1555" s="81"/>
      <c r="K1555" s="60"/>
      <c r="L1555" s="60"/>
      <c r="M1555" s="60"/>
      <c r="N1555" s="60"/>
      <c r="O1555" s="60"/>
      <c r="P1555" s="60"/>
      <c r="Q1555" s="60"/>
      <c r="R1555" s="58"/>
      <c r="S1555" s="62" t="str">
        <f aca="false">IF(OR(B1555="",V1555=""),"",IFERROR(INDEX(C_TIPO,MATCH(V1555&amp;"-P"&amp;MAX(1,COUNTIFS(C_RUTN,V1555,C_DEF,"Sí",C_INI,"&lt;="&amp;EOMONTH(B1555,0))),C_CLAVE,0))&amp;"","Sin contrato"))</f>
        <v/>
      </c>
      <c r="T1555" s="63" t="str">
        <f aca="false">IF(OR(B1555="",N(O1555)=0),"",N(O1555)+ROUND(MIN(N(N1555),TOPE_UF*UF_MES)*(TASA_EMP+MUTUAL),0)+ROUND(MIN(N(N1555),TOPE_AFC_UF*UF_MES)*IF(S1555="Indefinido",AFC_INDEF,AFC_PF),0))</f>
        <v/>
      </c>
      <c r="U1555" s="62" t="str">
        <f aca="false">IF(C1555="","",IF(LEFT(D1555,1)="⚠","⚠ RUT no registrado en Trabajadores",IF(B1555="","⚠ Falta el mes",IF(OR(ISTEXT(I1555),ISTEXT(J1555)),"⚠ Atrasos u horas extra como texto: escriba hh:mm (ej. 1:30)",IF(AND(ISNUMBER(Q1555),COUNTIFS(M_RUTN,V1555,M_MES,B1555,M_LIQ,"&lt;&gt;")&gt;1),"⚠ Liquidación repetida en el mes",IF(AND(ISNUMBER(O1555),ISNUMBER(P1555),ISNUMBER(Q1555),ABS(O1555-P1555-Q1555)&gt;1),"⚠ Haberes − descuentos no da el líquido","OK"))))))</f>
        <v/>
      </c>
      <c r="V1555" s="62" t="str">
        <f aca="false">IF(C1555="","",IFERROR(VALUE(LEFT(UPPER(SUBSTITUTE(SUBSTITUTE(SUBSTITUTE(TRIM(C1555),".",""),"-","")," ","")),LEN(UPPER(SUBSTITUTE(SUBSTITUTE(SUBSTITUTE(TRIM(C1555),".",""),"-","")," ","")))-1))&amp;RIGHT(UPPER(SUBSTITUTE(SUBSTITUTE(SUBSTITUTE(TRIM(C1555),".",""),"-","")," ","")),1),UPPER(SUBSTITUTE(SUBSTITUTE(SUBSTITUTE(TRIM(C1555),".",""),"-","")," ",""))))</f>
        <v/>
      </c>
    </row>
    <row r="1556" customFormat="false" ht="15" hidden="false" customHeight="false" outlineLevel="0" collapsed="false">
      <c r="B1556" s="80"/>
      <c r="C1556" s="58"/>
      <c r="D1556" s="62" t="str">
        <f aca="false">IF(C1556="","",IFERROR(INDEX(T_NOMBRE,MATCH(V1556,T_RUTN,0)),"⚠ RUT no está en Trabajadores"))</f>
        <v/>
      </c>
      <c r="E1556" s="61"/>
      <c r="F1556" s="61"/>
      <c r="G1556" s="61"/>
      <c r="H1556" s="61"/>
      <c r="I1556" s="81"/>
      <c r="J1556" s="81"/>
      <c r="K1556" s="60"/>
      <c r="L1556" s="60"/>
      <c r="M1556" s="60"/>
      <c r="N1556" s="60"/>
      <c r="O1556" s="60"/>
      <c r="P1556" s="60"/>
      <c r="Q1556" s="60"/>
      <c r="R1556" s="58"/>
      <c r="S1556" s="62" t="str">
        <f aca="false">IF(OR(B1556="",V1556=""),"",IFERROR(INDEX(C_TIPO,MATCH(V1556&amp;"-P"&amp;MAX(1,COUNTIFS(C_RUTN,V1556,C_DEF,"Sí",C_INI,"&lt;="&amp;EOMONTH(B1556,0))),C_CLAVE,0))&amp;"","Sin contrato"))</f>
        <v/>
      </c>
      <c r="T1556" s="63" t="str">
        <f aca="false">IF(OR(B1556="",N(O1556)=0),"",N(O1556)+ROUND(MIN(N(N1556),TOPE_UF*UF_MES)*(TASA_EMP+MUTUAL),0)+ROUND(MIN(N(N1556),TOPE_AFC_UF*UF_MES)*IF(S1556="Indefinido",AFC_INDEF,AFC_PF),0))</f>
        <v/>
      </c>
      <c r="U1556" s="62" t="str">
        <f aca="false">IF(C1556="","",IF(LEFT(D1556,1)="⚠","⚠ RUT no registrado en Trabajadores",IF(B1556="","⚠ Falta el mes",IF(OR(ISTEXT(I1556),ISTEXT(J1556)),"⚠ Atrasos u horas extra como texto: escriba hh:mm (ej. 1:30)",IF(AND(ISNUMBER(Q1556),COUNTIFS(M_RUTN,V1556,M_MES,B1556,M_LIQ,"&lt;&gt;")&gt;1),"⚠ Liquidación repetida en el mes",IF(AND(ISNUMBER(O1556),ISNUMBER(P1556),ISNUMBER(Q1556),ABS(O1556-P1556-Q1556)&gt;1),"⚠ Haberes − descuentos no da el líquido","OK"))))))</f>
        <v/>
      </c>
      <c r="V1556" s="62" t="str">
        <f aca="false">IF(C1556="","",IFERROR(VALUE(LEFT(UPPER(SUBSTITUTE(SUBSTITUTE(SUBSTITUTE(TRIM(C1556),".",""),"-","")," ","")),LEN(UPPER(SUBSTITUTE(SUBSTITUTE(SUBSTITUTE(TRIM(C1556),".",""),"-","")," ","")))-1))&amp;RIGHT(UPPER(SUBSTITUTE(SUBSTITUTE(SUBSTITUTE(TRIM(C1556),".",""),"-","")," ","")),1),UPPER(SUBSTITUTE(SUBSTITUTE(SUBSTITUTE(TRIM(C1556),".",""),"-","")," ",""))))</f>
        <v/>
      </c>
    </row>
    <row r="1557" customFormat="false" ht="15" hidden="false" customHeight="false" outlineLevel="0" collapsed="false">
      <c r="B1557" s="80"/>
      <c r="C1557" s="58"/>
      <c r="D1557" s="62" t="str">
        <f aca="false">IF(C1557="","",IFERROR(INDEX(T_NOMBRE,MATCH(V1557,T_RUTN,0)),"⚠ RUT no está en Trabajadores"))</f>
        <v/>
      </c>
      <c r="E1557" s="61"/>
      <c r="F1557" s="61"/>
      <c r="G1557" s="61"/>
      <c r="H1557" s="61"/>
      <c r="I1557" s="81"/>
      <c r="J1557" s="81"/>
      <c r="K1557" s="60"/>
      <c r="L1557" s="60"/>
      <c r="M1557" s="60"/>
      <c r="N1557" s="60"/>
      <c r="O1557" s="60"/>
      <c r="P1557" s="60"/>
      <c r="Q1557" s="60"/>
      <c r="R1557" s="58"/>
      <c r="S1557" s="62" t="str">
        <f aca="false">IF(OR(B1557="",V1557=""),"",IFERROR(INDEX(C_TIPO,MATCH(V1557&amp;"-P"&amp;MAX(1,COUNTIFS(C_RUTN,V1557,C_DEF,"Sí",C_INI,"&lt;="&amp;EOMONTH(B1557,0))),C_CLAVE,0))&amp;"","Sin contrato"))</f>
        <v/>
      </c>
      <c r="T1557" s="63" t="str">
        <f aca="false">IF(OR(B1557="",N(O1557)=0),"",N(O1557)+ROUND(MIN(N(N1557),TOPE_UF*UF_MES)*(TASA_EMP+MUTUAL),0)+ROUND(MIN(N(N1557),TOPE_AFC_UF*UF_MES)*IF(S1557="Indefinido",AFC_INDEF,AFC_PF),0))</f>
        <v/>
      </c>
      <c r="U1557" s="62" t="str">
        <f aca="false">IF(C1557="","",IF(LEFT(D1557,1)="⚠","⚠ RUT no registrado en Trabajadores",IF(B1557="","⚠ Falta el mes",IF(OR(ISTEXT(I1557),ISTEXT(J1557)),"⚠ Atrasos u horas extra como texto: escriba hh:mm (ej. 1:30)",IF(AND(ISNUMBER(Q1557),COUNTIFS(M_RUTN,V1557,M_MES,B1557,M_LIQ,"&lt;&gt;")&gt;1),"⚠ Liquidación repetida en el mes",IF(AND(ISNUMBER(O1557),ISNUMBER(P1557),ISNUMBER(Q1557),ABS(O1557-P1557-Q1557)&gt;1),"⚠ Haberes − descuentos no da el líquido","OK"))))))</f>
        <v/>
      </c>
      <c r="V1557" s="62" t="str">
        <f aca="false">IF(C1557="","",IFERROR(VALUE(LEFT(UPPER(SUBSTITUTE(SUBSTITUTE(SUBSTITUTE(TRIM(C1557),".",""),"-","")," ","")),LEN(UPPER(SUBSTITUTE(SUBSTITUTE(SUBSTITUTE(TRIM(C1557),".",""),"-","")," ","")))-1))&amp;RIGHT(UPPER(SUBSTITUTE(SUBSTITUTE(SUBSTITUTE(TRIM(C1557),".",""),"-","")," ","")),1),UPPER(SUBSTITUTE(SUBSTITUTE(SUBSTITUTE(TRIM(C1557),".",""),"-","")," ",""))))</f>
        <v/>
      </c>
    </row>
    <row r="1558" customFormat="false" ht="15" hidden="false" customHeight="false" outlineLevel="0" collapsed="false">
      <c r="B1558" s="80"/>
      <c r="C1558" s="58"/>
      <c r="D1558" s="62" t="str">
        <f aca="false">IF(C1558="","",IFERROR(INDEX(T_NOMBRE,MATCH(V1558,T_RUTN,0)),"⚠ RUT no está en Trabajadores"))</f>
        <v/>
      </c>
      <c r="E1558" s="61"/>
      <c r="F1558" s="61"/>
      <c r="G1558" s="61"/>
      <c r="H1558" s="61"/>
      <c r="I1558" s="81"/>
      <c r="J1558" s="81"/>
      <c r="K1558" s="60"/>
      <c r="L1558" s="60"/>
      <c r="M1558" s="60"/>
      <c r="N1558" s="60"/>
      <c r="O1558" s="60"/>
      <c r="P1558" s="60"/>
      <c r="Q1558" s="60"/>
      <c r="R1558" s="58"/>
      <c r="S1558" s="62" t="str">
        <f aca="false">IF(OR(B1558="",V1558=""),"",IFERROR(INDEX(C_TIPO,MATCH(V1558&amp;"-P"&amp;MAX(1,COUNTIFS(C_RUTN,V1558,C_DEF,"Sí",C_INI,"&lt;="&amp;EOMONTH(B1558,0))),C_CLAVE,0))&amp;"","Sin contrato"))</f>
        <v/>
      </c>
      <c r="T1558" s="63" t="str">
        <f aca="false">IF(OR(B1558="",N(O1558)=0),"",N(O1558)+ROUND(MIN(N(N1558),TOPE_UF*UF_MES)*(TASA_EMP+MUTUAL),0)+ROUND(MIN(N(N1558),TOPE_AFC_UF*UF_MES)*IF(S1558="Indefinido",AFC_INDEF,AFC_PF),0))</f>
        <v/>
      </c>
      <c r="U1558" s="62" t="str">
        <f aca="false">IF(C1558="","",IF(LEFT(D1558,1)="⚠","⚠ RUT no registrado en Trabajadores",IF(B1558="","⚠ Falta el mes",IF(OR(ISTEXT(I1558),ISTEXT(J1558)),"⚠ Atrasos u horas extra como texto: escriba hh:mm (ej. 1:30)",IF(AND(ISNUMBER(Q1558),COUNTIFS(M_RUTN,V1558,M_MES,B1558,M_LIQ,"&lt;&gt;")&gt;1),"⚠ Liquidación repetida en el mes",IF(AND(ISNUMBER(O1558),ISNUMBER(P1558),ISNUMBER(Q1558),ABS(O1558-P1558-Q1558)&gt;1),"⚠ Haberes − descuentos no da el líquido","OK"))))))</f>
        <v/>
      </c>
      <c r="V1558" s="62" t="str">
        <f aca="false">IF(C1558="","",IFERROR(VALUE(LEFT(UPPER(SUBSTITUTE(SUBSTITUTE(SUBSTITUTE(TRIM(C1558),".",""),"-","")," ","")),LEN(UPPER(SUBSTITUTE(SUBSTITUTE(SUBSTITUTE(TRIM(C1558),".",""),"-","")," ","")))-1))&amp;RIGHT(UPPER(SUBSTITUTE(SUBSTITUTE(SUBSTITUTE(TRIM(C1558),".",""),"-","")," ","")),1),UPPER(SUBSTITUTE(SUBSTITUTE(SUBSTITUTE(TRIM(C1558),".",""),"-","")," ",""))))</f>
        <v/>
      </c>
    </row>
    <row r="1559" customFormat="false" ht="15" hidden="false" customHeight="false" outlineLevel="0" collapsed="false">
      <c r="B1559" s="80"/>
      <c r="C1559" s="58"/>
      <c r="D1559" s="62" t="str">
        <f aca="false">IF(C1559="","",IFERROR(INDEX(T_NOMBRE,MATCH(V1559,T_RUTN,0)),"⚠ RUT no está en Trabajadores"))</f>
        <v/>
      </c>
      <c r="E1559" s="61"/>
      <c r="F1559" s="61"/>
      <c r="G1559" s="61"/>
      <c r="H1559" s="61"/>
      <c r="I1559" s="81"/>
      <c r="J1559" s="81"/>
      <c r="K1559" s="60"/>
      <c r="L1559" s="60"/>
      <c r="M1559" s="60"/>
      <c r="N1559" s="60"/>
      <c r="O1559" s="60"/>
      <c r="P1559" s="60"/>
      <c r="Q1559" s="60"/>
      <c r="R1559" s="58"/>
      <c r="S1559" s="62" t="str">
        <f aca="false">IF(OR(B1559="",V1559=""),"",IFERROR(INDEX(C_TIPO,MATCH(V1559&amp;"-P"&amp;MAX(1,COUNTIFS(C_RUTN,V1559,C_DEF,"Sí",C_INI,"&lt;="&amp;EOMONTH(B1559,0))),C_CLAVE,0))&amp;"","Sin contrato"))</f>
        <v/>
      </c>
      <c r="T1559" s="63" t="str">
        <f aca="false">IF(OR(B1559="",N(O1559)=0),"",N(O1559)+ROUND(MIN(N(N1559),TOPE_UF*UF_MES)*(TASA_EMP+MUTUAL),0)+ROUND(MIN(N(N1559),TOPE_AFC_UF*UF_MES)*IF(S1559="Indefinido",AFC_INDEF,AFC_PF),0))</f>
        <v/>
      </c>
      <c r="U1559" s="62" t="str">
        <f aca="false">IF(C1559="","",IF(LEFT(D1559,1)="⚠","⚠ RUT no registrado en Trabajadores",IF(B1559="","⚠ Falta el mes",IF(OR(ISTEXT(I1559),ISTEXT(J1559)),"⚠ Atrasos u horas extra como texto: escriba hh:mm (ej. 1:30)",IF(AND(ISNUMBER(Q1559),COUNTIFS(M_RUTN,V1559,M_MES,B1559,M_LIQ,"&lt;&gt;")&gt;1),"⚠ Liquidación repetida en el mes",IF(AND(ISNUMBER(O1559),ISNUMBER(P1559),ISNUMBER(Q1559),ABS(O1559-P1559-Q1559)&gt;1),"⚠ Haberes − descuentos no da el líquido","OK"))))))</f>
        <v/>
      </c>
      <c r="V1559" s="62" t="str">
        <f aca="false">IF(C1559="","",IFERROR(VALUE(LEFT(UPPER(SUBSTITUTE(SUBSTITUTE(SUBSTITUTE(TRIM(C1559),".",""),"-","")," ","")),LEN(UPPER(SUBSTITUTE(SUBSTITUTE(SUBSTITUTE(TRIM(C1559),".",""),"-","")," ","")))-1))&amp;RIGHT(UPPER(SUBSTITUTE(SUBSTITUTE(SUBSTITUTE(TRIM(C1559),".",""),"-","")," ","")),1),UPPER(SUBSTITUTE(SUBSTITUTE(SUBSTITUTE(TRIM(C1559),".",""),"-","")," ",""))))</f>
        <v/>
      </c>
    </row>
    <row r="1560" customFormat="false" ht="15" hidden="false" customHeight="false" outlineLevel="0" collapsed="false">
      <c r="B1560" s="80"/>
      <c r="C1560" s="58"/>
      <c r="D1560" s="62" t="str">
        <f aca="false">IF(C1560="","",IFERROR(INDEX(T_NOMBRE,MATCH(V1560,T_RUTN,0)),"⚠ RUT no está en Trabajadores"))</f>
        <v/>
      </c>
      <c r="E1560" s="61"/>
      <c r="F1560" s="61"/>
      <c r="G1560" s="61"/>
      <c r="H1560" s="61"/>
      <c r="I1560" s="81"/>
      <c r="J1560" s="81"/>
      <c r="K1560" s="60"/>
      <c r="L1560" s="60"/>
      <c r="M1560" s="60"/>
      <c r="N1560" s="60"/>
      <c r="O1560" s="60"/>
      <c r="P1560" s="60"/>
      <c r="Q1560" s="60"/>
      <c r="R1560" s="58"/>
      <c r="S1560" s="62" t="str">
        <f aca="false">IF(OR(B1560="",V1560=""),"",IFERROR(INDEX(C_TIPO,MATCH(V1560&amp;"-P"&amp;MAX(1,COUNTIFS(C_RUTN,V1560,C_DEF,"Sí",C_INI,"&lt;="&amp;EOMONTH(B1560,0))),C_CLAVE,0))&amp;"","Sin contrato"))</f>
        <v/>
      </c>
      <c r="T1560" s="63" t="str">
        <f aca="false">IF(OR(B1560="",N(O1560)=0),"",N(O1560)+ROUND(MIN(N(N1560),TOPE_UF*UF_MES)*(TASA_EMP+MUTUAL),0)+ROUND(MIN(N(N1560),TOPE_AFC_UF*UF_MES)*IF(S1560="Indefinido",AFC_INDEF,AFC_PF),0))</f>
        <v/>
      </c>
      <c r="U1560" s="62" t="str">
        <f aca="false">IF(C1560="","",IF(LEFT(D1560,1)="⚠","⚠ RUT no registrado en Trabajadores",IF(B1560="","⚠ Falta el mes",IF(OR(ISTEXT(I1560),ISTEXT(J1560)),"⚠ Atrasos u horas extra como texto: escriba hh:mm (ej. 1:30)",IF(AND(ISNUMBER(Q1560),COUNTIFS(M_RUTN,V1560,M_MES,B1560,M_LIQ,"&lt;&gt;")&gt;1),"⚠ Liquidación repetida en el mes",IF(AND(ISNUMBER(O1560),ISNUMBER(P1560),ISNUMBER(Q1560),ABS(O1560-P1560-Q1560)&gt;1),"⚠ Haberes − descuentos no da el líquido","OK"))))))</f>
        <v/>
      </c>
      <c r="V1560" s="62" t="str">
        <f aca="false">IF(C1560="","",IFERROR(VALUE(LEFT(UPPER(SUBSTITUTE(SUBSTITUTE(SUBSTITUTE(TRIM(C1560),".",""),"-","")," ","")),LEN(UPPER(SUBSTITUTE(SUBSTITUTE(SUBSTITUTE(TRIM(C1560),".",""),"-","")," ","")))-1))&amp;RIGHT(UPPER(SUBSTITUTE(SUBSTITUTE(SUBSTITUTE(TRIM(C1560),".",""),"-","")," ","")),1),UPPER(SUBSTITUTE(SUBSTITUTE(SUBSTITUTE(TRIM(C1560),".",""),"-","")," ",""))))</f>
        <v/>
      </c>
    </row>
    <row r="1561" customFormat="false" ht="15" hidden="false" customHeight="false" outlineLevel="0" collapsed="false">
      <c r="B1561" s="80"/>
      <c r="C1561" s="58"/>
      <c r="D1561" s="62" t="str">
        <f aca="false">IF(C1561="","",IFERROR(INDEX(T_NOMBRE,MATCH(V1561,T_RUTN,0)),"⚠ RUT no está en Trabajadores"))</f>
        <v/>
      </c>
      <c r="E1561" s="61"/>
      <c r="F1561" s="61"/>
      <c r="G1561" s="61"/>
      <c r="H1561" s="61"/>
      <c r="I1561" s="81"/>
      <c r="J1561" s="81"/>
      <c r="K1561" s="60"/>
      <c r="L1561" s="60"/>
      <c r="M1561" s="60"/>
      <c r="N1561" s="60"/>
      <c r="O1561" s="60"/>
      <c r="P1561" s="60"/>
      <c r="Q1561" s="60"/>
      <c r="R1561" s="58"/>
      <c r="S1561" s="62" t="str">
        <f aca="false">IF(OR(B1561="",V1561=""),"",IFERROR(INDEX(C_TIPO,MATCH(V1561&amp;"-P"&amp;MAX(1,COUNTIFS(C_RUTN,V1561,C_DEF,"Sí",C_INI,"&lt;="&amp;EOMONTH(B1561,0))),C_CLAVE,0))&amp;"","Sin contrato"))</f>
        <v/>
      </c>
      <c r="T1561" s="63" t="str">
        <f aca="false">IF(OR(B1561="",N(O1561)=0),"",N(O1561)+ROUND(MIN(N(N1561),TOPE_UF*UF_MES)*(TASA_EMP+MUTUAL),0)+ROUND(MIN(N(N1561),TOPE_AFC_UF*UF_MES)*IF(S1561="Indefinido",AFC_INDEF,AFC_PF),0))</f>
        <v/>
      </c>
      <c r="U1561" s="62" t="str">
        <f aca="false">IF(C1561="","",IF(LEFT(D1561,1)="⚠","⚠ RUT no registrado en Trabajadores",IF(B1561="","⚠ Falta el mes",IF(OR(ISTEXT(I1561),ISTEXT(J1561)),"⚠ Atrasos u horas extra como texto: escriba hh:mm (ej. 1:30)",IF(AND(ISNUMBER(Q1561),COUNTIFS(M_RUTN,V1561,M_MES,B1561,M_LIQ,"&lt;&gt;")&gt;1),"⚠ Liquidación repetida en el mes",IF(AND(ISNUMBER(O1561),ISNUMBER(P1561),ISNUMBER(Q1561),ABS(O1561-P1561-Q1561)&gt;1),"⚠ Haberes − descuentos no da el líquido","OK"))))))</f>
        <v/>
      </c>
      <c r="V1561" s="62" t="str">
        <f aca="false">IF(C1561="","",IFERROR(VALUE(LEFT(UPPER(SUBSTITUTE(SUBSTITUTE(SUBSTITUTE(TRIM(C1561),".",""),"-","")," ","")),LEN(UPPER(SUBSTITUTE(SUBSTITUTE(SUBSTITUTE(TRIM(C1561),".",""),"-","")," ","")))-1))&amp;RIGHT(UPPER(SUBSTITUTE(SUBSTITUTE(SUBSTITUTE(TRIM(C1561),".",""),"-","")," ","")),1),UPPER(SUBSTITUTE(SUBSTITUTE(SUBSTITUTE(TRIM(C1561),".",""),"-","")," ",""))))</f>
        <v/>
      </c>
    </row>
    <row r="1562" customFormat="false" ht="15" hidden="false" customHeight="false" outlineLevel="0" collapsed="false">
      <c r="B1562" s="80"/>
      <c r="C1562" s="58"/>
      <c r="D1562" s="62" t="str">
        <f aca="false">IF(C1562="","",IFERROR(INDEX(T_NOMBRE,MATCH(V1562,T_RUTN,0)),"⚠ RUT no está en Trabajadores"))</f>
        <v/>
      </c>
      <c r="E1562" s="61"/>
      <c r="F1562" s="61"/>
      <c r="G1562" s="61"/>
      <c r="H1562" s="61"/>
      <c r="I1562" s="81"/>
      <c r="J1562" s="81"/>
      <c r="K1562" s="60"/>
      <c r="L1562" s="60"/>
      <c r="M1562" s="60"/>
      <c r="N1562" s="60"/>
      <c r="O1562" s="60"/>
      <c r="P1562" s="60"/>
      <c r="Q1562" s="60"/>
      <c r="R1562" s="58"/>
      <c r="S1562" s="62" t="str">
        <f aca="false">IF(OR(B1562="",V1562=""),"",IFERROR(INDEX(C_TIPO,MATCH(V1562&amp;"-P"&amp;MAX(1,COUNTIFS(C_RUTN,V1562,C_DEF,"Sí",C_INI,"&lt;="&amp;EOMONTH(B1562,0))),C_CLAVE,0))&amp;"","Sin contrato"))</f>
        <v/>
      </c>
      <c r="T1562" s="63" t="str">
        <f aca="false">IF(OR(B1562="",N(O1562)=0),"",N(O1562)+ROUND(MIN(N(N1562),TOPE_UF*UF_MES)*(TASA_EMP+MUTUAL),0)+ROUND(MIN(N(N1562),TOPE_AFC_UF*UF_MES)*IF(S1562="Indefinido",AFC_INDEF,AFC_PF),0))</f>
        <v/>
      </c>
      <c r="U1562" s="62" t="str">
        <f aca="false">IF(C1562="","",IF(LEFT(D1562,1)="⚠","⚠ RUT no registrado en Trabajadores",IF(B1562="","⚠ Falta el mes",IF(OR(ISTEXT(I1562),ISTEXT(J1562)),"⚠ Atrasos u horas extra como texto: escriba hh:mm (ej. 1:30)",IF(AND(ISNUMBER(Q1562),COUNTIFS(M_RUTN,V1562,M_MES,B1562,M_LIQ,"&lt;&gt;")&gt;1),"⚠ Liquidación repetida en el mes",IF(AND(ISNUMBER(O1562),ISNUMBER(P1562),ISNUMBER(Q1562),ABS(O1562-P1562-Q1562)&gt;1),"⚠ Haberes − descuentos no da el líquido","OK"))))))</f>
        <v/>
      </c>
      <c r="V1562" s="62" t="str">
        <f aca="false">IF(C1562="","",IFERROR(VALUE(LEFT(UPPER(SUBSTITUTE(SUBSTITUTE(SUBSTITUTE(TRIM(C1562),".",""),"-","")," ","")),LEN(UPPER(SUBSTITUTE(SUBSTITUTE(SUBSTITUTE(TRIM(C1562),".",""),"-","")," ","")))-1))&amp;RIGHT(UPPER(SUBSTITUTE(SUBSTITUTE(SUBSTITUTE(TRIM(C1562),".",""),"-","")," ","")),1),UPPER(SUBSTITUTE(SUBSTITUTE(SUBSTITUTE(TRIM(C1562),".",""),"-","")," ",""))))</f>
        <v/>
      </c>
    </row>
    <row r="1563" customFormat="false" ht="15" hidden="false" customHeight="false" outlineLevel="0" collapsed="false">
      <c r="B1563" s="80"/>
      <c r="C1563" s="58"/>
      <c r="D1563" s="62" t="str">
        <f aca="false">IF(C1563="","",IFERROR(INDEX(T_NOMBRE,MATCH(V1563,T_RUTN,0)),"⚠ RUT no está en Trabajadores"))</f>
        <v/>
      </c>
      <c r="E1563" s="61"/>
      <c r="F1563" s="61"/>
      <c r="G1563" s="61"/>
      <c r="H1563" s="61"/>
      <c r="I1563" s="81"/>
      <c r="J1563" s="81"/>
      <c r="K1563" s="60"/>
      <c r="L1563" s="60"/>
      <c r="M1563" s="60"/>
      <c r="N1563" s="60"/>
      <c r="O1563" s="60"/>
      <c r="P1563" s="60"/>
      <c r="Q1563" s="60"/>
      <c r="R1563" s="58"/>
      <c r="S1563" s="62" t="str">
        <f aca="false">IF(OR(B1563="",V1563=""),"",IFERROR(INDEX(C_TIPO,MATCH(V1563&amp;"-P"&amp;MAX(1,COUNTIFS(C_RUTN,V1563,C_DEF,"Sí",C_INI,"&lt;="&amp;EOMONTH(B1563,0))),C_CLAVE,0))&amp;"","Sin contrato"))</f>
        <v/>
      </c>
      <c r="T1563" s="63" t="str">
        <f aca="false">IF(OR(B1563="",N(O1563)=0),"",N(O1563)+ROUND(MIN(N(N1563),TOPE_UF*UF_MES)*(TASA_EMP+MUTUAL),0)+ROUND(MIN(N(N1563),TOPE_AFC_UF*UF_MES)*IF(S1563="Indefinido",AFC_INDEF,AFC_PF),0))</f>
        <v/>
      </c>
      <c r="U1563" s="62" t="str">
        <f aca="false">IF(C1563="","",IF(LEFT(D1563,1)="⚠","⚠ RUT no registrado en Trabajadores",IF(B1563="","⚠ Falta el mes",IF(OR(ISTEXT(I1563),ISTEXT(J1563)),"⚠ Atrasos u horas extra como texto: escriba hh:mm (ej. 1:30)",IF(AND(ISNUMBER(Q1563),COUNTIFS(M_RUTN,V1563,M_MES,B1563,M_LIQ,"&lt;&gt;")&gt;1),"⚠ Liquidación repetida en el mes",IF(AND(ISNUMBER(O1563),ISNUMBER(P1563),ISNUMBER(Q1563),ABS(O1563-P1563-Q1563)&gt;1),"⚠ Haberes − descuentos no da el líquido","OK"))))))</f>
        <v/>
      </c>
      <c r="V1563" s="62" t="str">
        <f aca="false">IF(C1563="","",IFERROR(VALUE(LEFT(UPPER(SUBSTITUTE(SUBSTITUTE(SUBSTITUTE(TRIM(C1563),".",""),"-","")," ","")),LEN(UPPER(SUBSTITUTE(SUBSTITUTE(SUBSTITUTE(TRIM(C1563),".",""),"-","")," ","")))-1))&amp;RIGHT(UPPER(SUBSTITUTE(SUBSTITUTE(SUBSTITUTE(TRIM(C1563),".",""),"-","")," ","")),1),UPPER(SUBSTITUTE(SUBSTITUTE(SUBSTITUTE(TRIM(C1563),".",""),"-","")," ",""))))</f>
        <v/>
      </c>
    </row>
    <row r="1564" customFormat="false" ht="15" hidden="false" customHeight="false" outlineLevel="0" collapsed="false">
      <c r="B1564" s="80"/>
      <c r="C1564" s="58"/>
      <c r="D1564" s="62" t="str">
        <f aca="false">IF(C1564="","",IFERROR(INDEX(T_NOMBRE,MATCH(V1564,T_RUTN,0)),"⚠ RUT no está en Trabajadores"))</f>
        <v/>
      </c>
      <c r="E1564" s="61"/>
      <c r="F1564" s="61"/>
      <c r="G1564" s="61"/>
      <c r="H1564" s="61"/>
      <c r="I1564" s="81"/>
      <c r="J1564" s="81"/>
      <c r="K1564" s="60"/>
      <c r="L1564" s="60"/>
      <c r="M1564" s="60"/>
      <c r="N1564" s="60"/>
      <c r="O1564" s="60"/>
      <c r="P1564" s="60"/>
      <c r="Q1564" s="60"/>
      <c r="R1564" s="58"/>
      <c r="S1564" s="62" t="str">
        <f aca="false">IF(OR(B1564="",V1564=""),"",IFERROR(INDEX(C_TIPO,MATCH(V1564&amp;"-P"&amp;MAX(1,COUNTIFS(C_RUTN,V1564,C_DEF,"Sí",C_INI,"&lt;="&amp;EOMONTH(B1564,0))),C_CLAVE,0))&amp;"","Sin contrato"))</f>
        <v/>
      </c>
      <c r="T1564" s="63" t="str">
        <f aca="false">IF(OR(B1564="",N(O1564)=0),"",N(O1564)+ROUND(MIN(N(N1564),TOPE_UF*UF_MES)*(TASA_EMP+MUTUAL),0)+ROUND(MIN(N(N1564),TOPE_AFC_UF*UF_MES)*IF(S1564="Indefinido",AFC_INDEF,AFC_PF),0))</f>
        <v/>
      </c>
      <c r="U1564" s="62" t="str">
        <f aca="false">IF(C1564="","",IF(LEFT(D1564,1)="⚠","⚠ RUT no registrado en Trabajadores",IF(B1564="","⚠ Falta el mes",IF(OR(ISTEXT(I1564),ISTEXT(J1564)),"⚠ Atrasos u horas extra como texto: escriba hh:mm (ej. 1:30)",IF(AND(ISNUMBER(Q1564),COUNTIFS(M_RUTN,V1564,M_MES,B1564,M_LIQ,"&lt;&gt;")&gt;1),"⚠ Liquidación repetida en el mes",IF(AND(ISNUMBER(O1564),ISNUMBER(P1564),ISNUMBER(Q1564),ABS(O1564-P1564-Q1564)&gt;1),"⚠ Haberes − descuentos no da el líquido","OK"))))))</f>
        <v/>
      </c>
      <c r="V1564" s="62" t="str">
        <f aca="false">IF(C1564="","",IFERROR(VALUE(LEFT(UPPER(SUBSTITUTE(SUBSTITUTE(SUBSTITUTE(TRIM(C1564),".",""),"-","")," ","")),LEN(UPPER(SUBSTITUTE(SUBSTITUTE(SUBSTITUTE(TRIM(C1564),".",""),"-","")," ","")))-1))&amp;RIGHT(UPPER(SUBSTITUTE(SUBSTITUTE(SUBSTITUTE(TRIM(C1564),".",""),"-","")," ","")),1),UPPER(SUBSTITUTE(SUBSTITUTE(SUBSTITUTE(TRIM(C1564),".",""),"-","")," ",""))))</f>
        <v/>
      </c>
    </row>
    <row r="1565" customFormat="false" ht="15" hidden="false" customHeight="false" outlineLevel="0" collapsed="false">
      <c r="B1565" s="80"/>
      <c r="C1565" s="58"/>
      <c r="D1565" s="62" t="str">
        <f aca="false">IF(C1565="","",IFERROR(INDEX(T_NOMBRE,MATCH(V1565,T_RUTN,0)),"⚠ RUT no está en Trabajadores"))</f>
        <v/>
      </c>
      <c r="E1565" s="61"/>
      <c r="F1565" s="61"/>
      <c r="G1565" s="61"/>
      <c r="H1565" s="61"/>
      <c r="I1565" s="81"/>
      <c r="J1565" s="81"/>
      <c r="K1565" s="60"/>
      <c r="L1565" s="60"/>
      <c r="M1565" s="60"/>
      <c r="N1565" s="60"/>
      <c r="O1565" s="60"/>
      <c r="P1565" s="60"/>
      <c r="Q1565" s="60"/>
      <c r="R1565" s="58"/>
      <c r="S1565" s="62" t="str">
        <f aca="false">IF(OR(B1565="",V1565=""),"",IFERROR(INDEX(C_TIPO,MATCH(V1565&amp;"-P"&amp;MAX(1,COUNTIFS(C_RUTN,V1565,C_DEF,"Sí",C_INI,"&lt;="&amp;EOMONTH(B1565,0))),C_CLAVE,0))&amp;"","Sin contrato"))</f>
        <v/>
      </c>
      <c r="T1565" s="63" t="str">
        <f aca="false">IF(OR(B1565="",N(O1565)=0),"",N(O1565)+ROUND(MIN(N(N1565),TOPE_UF*UF_MES)*(TASA_EMP+MUTUAL),0)+ROUND(MIN(N(N1565),TOPE_AFC_UF*UF_MES)*IF(S1565="Indefinido",AFC_INDEF,AFC_PF),0))</f>
        <v/>
      </c>
      <c r="U1565" s="62" t="str">
        <f aca="false">IF(C1565="","",IF(LEFT(D1565,1)="⚠","⚠ RUT no registrado en Trabajadores",IF(B1565="","⚠ Falta el mes",IF(OR(ISTEXT(I1565),ISTEXT(J1565)),"⚠ Atrasos u horas extra como texto: escriba hh:mm (ej. 1:30)",IF(AND(ISNUMBER(Q1565),COUNTIFS(M_RUTN,V1565,M_MES,B1565,M_LIQ,"&lt;&gt;")&gt;1),"⚠ Liquidación repetida en el mes",IF(AND(ISNUMBER(O1565),ISNUMBER(P1565),ISNUMBER(Q1565),ABS(O1565-P1565-Q1565)&gt;1),"⚠ Haberes − descuentos no da el líquido","OK"))))))</f>
        <v/>
      </c>
      <c r="V1565" s="62" t="str">
        <f aca="false">IF(C1565="","",IFERROR(VALUE(LEFT(UPPER(SUBSTITUTE(SUBSTITUTE(SUBSTITUTE(TRIM(C1565),".",""),"-","")," ","")),LEN(UPPER(SUBSTITUTE(SUBSTITUTE(SUBSTITUTE(TRIM(C1565),".",""),"-","")," ","")))-1))&amp;RIGHT(UPPER(SUBSTITUTE(SUBSTITUTE(SUBSTITUTE(TRIM(C1565),".",""),"-","")," ","")),1),UPPER(SUBSTITUTE(SUBSTITUTE(SUBSTITUTE(TRIM(C1565),".",""),"-","")," ",""))))</f>
        <v/>
      </c>
    </row>
    <row r="1566" customFormat="false" ht="15" hidden="false" customHeight="false" outlineLevel="0" collapsed="false">
      <c r="B1566" s="80"/>
      <c r="C1566" s="58"/>
      <c r="D1566" s="62" t="str">
        <f aca="false">IF(C1566="","",IFERROR(INDEX(T_NOMBRE,MATCH(V1566,T_RUTN,0)),"⚠ RUT no está en Trabajadores"))</f>
        <v/>
      </c>
      <c r="E1566" s="61"/>
      <c r="F1566" s="61"/>
      <c r="G1566" s="61"/>
      <c r="H1566" s="61"/>
      <c r="I1566" s="81"/>
      <c r="J1566" s="81"/>
      <c r="K1566" s="60"/>
      <c r="L1566" s="60"/>
      <c r="M1566" s="60"/>
      <c r="N1566" s="60"/>
      <c r="O1566" s="60"/>
      <c r="P1566" s="60"/>
      <c r="Q1566" s="60"/>
      <c r="R1566" s="58"/>
      <c r="S1566" s="62" t="str">
        <f aca="false">IF(OR(B1566="",V1566=""),"",IFERROR(INDEX(C_TIPO,MATCH(V1566&amp;"-P"&amp;MAX(1,COUNTIFS(C_RUTN,V1566,C_DEF,"Sí",C_INI,"&lt;="&amp;EOMONTH(B1566,0))),C_CLAVE,0))&amp;"","Sin contrato"))</f>
        <v/>
      </c>
      <c r="T1566" s="63" t="str">
        <f aca="false">IF(OR(B1566="",N(O1566)=0),"",N(O1566)+ROUND(MIN(N(N1566),TOPE_UF*UF_MES)*(TASA_EMP+MUTUAL),0)+ROUND(MIN(N(N1566),TOPE_AFC_UF*UF_MES)*IF(S1566="Indefinido",AFC_INDEF,AFC_PF),0))</f>
        <v/>
      </c>
      <c r="U1566" s="62" t="str">
        <f aca="false">IF(C1566="","",IF(LEFT(D1566,1)="⚠","⚠ RUT no registrado en Trabajadores",IF(B1566="","⚠ Falta el mes",IF(OR(ISTEXT(I1566),ISTEXT(J1566)),"⚠ Atrasos u horas extra como texto: escriba hh:mm (ej. 1:30)",IF(AND(ISNUMBER(Q1566),COUNTIFS(M_RUTN,V1566,M_MES,B1566,M_LIQ,"&lt;&gt;")&gt;1),"⚠ Liquidación repetida en el mes",IF(AND(ISNUMBER(O1566),ISNUMBER(P1566),ISNUMBER(Q1566),ABS(O1566-P1566-Q1566)&gt;1),"⚠ Haberes − descuentos no da el líquido","OK"))))))</f>
        <v/>
      </c>
      <c r="V1566" s="62" t="str">
        <f aca="false">IF(C1566="","",IFERROR(VALUE(LEFT(UPPER(SUBSTITUTE(SUBSTITUTE(SUBSTITUTE(TRIM(C1566),".",""),"-","")," ","")),LEN(UPPER(SUBSTITUTE(SUBSTITUTE(SUBSTITUTE(TRIM(C1566),".",""),"-","")," ","")))-1))&amp;RIGHT(UPPER(SUBSTITUTE(SUBSTITUTE(SUBSTITUTE(TRIM(C1566),".",""),"-","")," ","")),1),UPPER(SUBSTITUTE(SUBSTITUTE(SUBSTITUTE(TRIM(C1566),".",""),"-","")," ",""))))</f>
        <v/>
      </c>
    </row>
    <row r="1567" customFormat="false" ht="15" hidden="false" customHeight="false" outlineLevel="0" collapsed="false">
      <c r="B1567" s="80"/>
      <c r="C1567" s="58"/>
      <c r="D1567" s="62" t="str">
        <f aca="false">IF(C1567="","",IFERROR(INDEX(T_NOMBRE,MATCH(V1567,T_RUTN,0)),"⚠ RUT no está en Trabajadores"))</f>
        <v/>
      </c>
      <c r="E1567" s="61"/>
      <c r="F1567" s="61"/>
      <c r="G1567" s="61"/>
      <c r="H1567" s="61"/>
      <c r="I1567" s="81"/>
      <c r="J1567" s="81"/>
      <c r="K1567" s="60"/>
      <c r="L1567" s="60"/>
      <c r="M1567" s="60"/>
      <c r="N1567" s="60"/>
      <c r="O1567" s="60"/>
      <c r="P1567" s="60"/>
      <c r="Q1567" s="60"/>
      <c r="R1567" s="58"/>
      <c r="S1567" s="62" t="str">
        <f aca="false">IF(OR(B1567="",V1567=""),"",IFERROR(INDEX(C_TIPO,MATCH(V1567&amp;"-P"&amp;MAX(1,COUNTIFS(C_RUTN,V1567,C_DEF,"Sí",C_INI,"&lt;="&amp;EOMONTH(B1567,0))),C_CLAVE,0))&amp;"","Sin contrato"))</f>
        <v/>
      </c>
      <c r="T1567" s="63" t="str">
        <f aca="false">IF(OR(B1567="",N(O1567)=0),"",N(O1567)+ROUND(MIN(N(N1567),TOPE_UF*UF_MES)*(TASA_EMP+MUTUAL),0)+ROUND(MIN(N(N1567),TOPE_AFC_UF*UF_MES)*IF(S1567="Indefinido",AFC_INDEF,AFC_PF),0))</f>
        <v/>
      </c>
      <c r="U1567" s="62" t="str">
        <f aca="false">IF(C1567="","",IF(LEFT(D1567,1)="⚠","⚠ RUT no registrado en Trabajadores",IF(B1567="","⚠ Falta el mes",IF(OR(ISTEXT(I1567),ISTEXT(J1567)),"⚠ Atrasos u horas extra como texto: escriba hh:mm (ej. 1:30)",IF(AND(ISNUMBER(Q1567),COUNTIFS(M_RUTN,V1567,M_MES,B1567,M_LIQ,"&lt;&gt;")&gt;1),"⚠ Liquidación repetida en el mes",IF(AND(ISNUMBER(O1567),ISNUMBER(P1567),ISNUMBER(Q1567),ABS(O1567-P1567-Q1567)&gt;1),"⚠ Haberes − descuentos no da el líquido","OK"))))))</f>
        <v/>
      </c>
      <c r="V1567" s="62" t="str">
        <f aca="false">IF(C1567="","",IFERROR(VALUE(LEFT(UPPER(SUBSTITUTE(SUBSTITUTE(SUBSTITUTE(TRIM(C1567),".",""),"-","")," ","")),LEN(UPPER(SUBSTITUTE(SUBSTITUTE(SUBSTITUTE(TRIM(C1567),".",""),"-","")," ","")))-1))&amp;RIGHT(UPPER(SUBSTITUTE(SUBSTITUTE(SUBSTITUTE(TRIM(C1567),".",""),"-","")," ","")),1),UPPER(SUBSTITUTE(SUBSTITUTE(SUBSTITUTE(TRIM(C1567),".",""),"-","")," ",""))))</f>
        <v/>
      </c>
    </row>
    <row r="1568" customFormat="false" ht="15" hidden="false" customHeight="false" outlineLevel="0" collapsed="false">
      <c r="B1568" s="80"/>
      <c r="C1568" s="58"/>
      <c r="D1568" s="62" t="str">
        <f aca="false">IF(C1568="","",IFERROR(INDEX(T_NOMBRE,MATCH(V1568,T_RUTN,0)),"⚠ RUT no está en Trabajadores"))</f>
        <v/>
      </c>
      <c r="E1568" s="61"/>
      <c r="F1568" s="61"/>
      <c r="G1568" s="61"/>
      <c r="H1568" s="61"/>
      <c r="I1568" s="81"/>
      <c r="J1568" s="81"/>
      <c r="K1568" s="60"/>
      <c r="L1568" s="60"/>
      <c r="M1568" s="60"/>
      <c r="N1568" s="60"/>
      <c r="O1568" s="60"/>
      <c r="P1568" s="60"/>
      <c r="Q1568" s="60"/>
      <c r="R1568" s="58"/>
      <c r="S1568" s="62" t="str">
        <f aca="false">IF(OR(B1568="",V1568=""),"",IFERROR(INDEX(C_TIPO,MATCH(V1568&amp;"-P"&amp;MAX(1,COUNTIFS(C_RUTN,V1568,C_DEF,"Sí",C_INI,"&lt;="&amp;EOMONTH(B1568,0))),C_CLAVE,0))&amp;"","Sin contrato"))</f>
        <v/>
      </c>
      <c r="T1568" s="63" t="str">
        <f aca="false">IF(OR(B1568="",N(O1568)=0),"",N(O1568)+ROUND(MIN(N(N1568),TOPE_UF*UF_MES)*(TASA_EMP+MUTUAL),0)+ROUND(MIN(N(N1568),TOPE_AFC_UF*UF_MES)*IF(S1568="Indefinido",AFC_INDEF,AFC_PF),0))</f>
        <v/>
      </c>
      <c r="U1568" s="62" t="str">
        <f aca="false">IF(C1568="","",IF(LEFT(D1568,1)="⚠","⚠ RUT no registrado en Trabajadores",IF(B1568="","⚠ Falta el mes",IF(OR(ISTEXT(I1568),ISTEXT(J1568)),"⚠ Atrasos u horas extra como texto: escriba hh:mm (ej. 1:30)",IF(AND(ISNUMBER(Q1568),COUNTIFS(M_RUTN,V1568,M_MES,B1568,M_LIQ,"&lt;&gt;")&gt;1),"⚠ Liquidación repetida en el mes",IF(AND(ISNUMBER(O1568),ISNUMBER(P1568),ISNUMBER(Q1568),ABS(O1568-P1568-Q1568)&gt;1),"⚠ Haberes − descuentos no da el líquido","OK"))))))</f>
        <v/>
      </c>
      <c r="V1568" s="62" t="str">
        <f aca="false">IF(C1568="","",IFERROR(VALUE(LEFT(UPPER(SUBSTITUTE(SUBSTITUTE(SUBSTITUTE(TRIM(C1568),".",""),"-","")," ","")),LEN(UPPER(SUBSTITUTE(SUBSTITUTE(SUBSTITUTE(TRIM(C1568),".",""),"-","")," ","")))-1))&amp;RIGHT(UPPER(SUBSTITUTE(SUBSTITUTE(SUBSTITUTE(TRIM(C1568),".",""),"-","")," ","")),1),UPPER(SUBSTITUTE(SUBSTITUTE(SUBSTITUTE(TRIM(C1568),".",""),"-","")," ",""))))</f>
        <v/>
      </c>
    </row>
    <row r="1569" customFormat="false" ht="15" hidden="false" customHeight="false" outlineLevel="0" collapsed="false">
      <c r="B1569" s="80"/>
      <c r="C1569" s="58"/>
      <c r="D1569" s="62" t="str">
        <f aca="false">IF(C1569="","",IFERROR(INDEX(T_NOMBRE,MATCH(V1569,T_RUTN,0)),"⚠ RUT no está en Trabajadores"))</f>
        <v/>
      </c>
      <c r="E1569" s="61"/>
      <c r="F1569" s="61"/>
      <c r="G1569" s="61"/>
      <c r="H1569" s="61"/>
      <c r="I1569" s="81"/>
      <c r="J1569" s="81"/>
      <c r="K1569" s="60"/>
      <c r="L1569" s="60"/>
      <c r="M1569" s="60"/>
      <c r="N1569" s="60"/>
      <c r="O1569" s="60"/>
      <c r="P1569" s="60"/>
      <c r="Q1569" s="60"/>
      <c r="R1569" s="58"/>
      <c r="S1569" s="62" t="str">
        <f aca="false">IF(OR(B1569="",V1569=""),"",IFERROR(INDEX(C_TIPO,MATCH(V1569&amp;"-P"&amp;MAX(1,COUNTIFS(C_RUTN,V1569,C_DEF,"Sí",C_INI,"&lt;="&amp;EOMONTH(B1569,0))),C_CLAVE,0))&amp;"","Sin contrato"))</f>
        <v/>
      </c>
      <c r="T1569" s="63" t="str">
        <f aca="false">IF(OR(B1569="",N(O1569)=0),"",N(O1569)+ROUND(MIN(N(N1569),TOPE_UF*UF_MES)*(TASA_EMP+MUTUAL),0)+ROUND(MIN(N(N1569),TOPE_AFC_UF*UF_MES)*IF(S1569="Indefinido",AFC_INDEF,AFC_PF),0))</f>
        <v/>
      </c>
      <c r="U1569" s="62" t="str">
        <f aca="false">IF(C1569="","",IF(LEFT(D1569,1)="⚠","⚠ RUT no registrado en Trabajadores",IF(B1569="","⚠ Falta el mes",IF(OR(ISTEXT(I1569),ISTEXT(J1569)),"⚠ Atrasos u horas extra como texto: escriba hh:mm (ej. 1:30)",IF(AND(ISNUMBER(Q1569),COUNTIFS(M_RUTN,V1569,M_MES,B1569,M_LIQ,"&lt;&gt;")&gt;1),"⚠ Liquidación repetida en el mes",IF(AND(ISNUMBER(O1569),ISNUMBER(P1569),ISNUMBER(Q1569),ABS(O1569-P1569-Q1569)&gt;1),"⚠ Haberes − descuentos no da el líquido","OK"))))))</f>
        <v/>
      </c>
      <c r="V1569" s="62" t="str">
        <f aca="false">IF(C1569="","",IFERROR(VALUE(LEFT(UPPER(SUBSTITUTE(SUBSTITUTE(SUBSTITUTE(TRIM(C1569),".",""),"-","")," ","")),LEN(UPPER(SUBSTITUTE(SUBSTITUTE(SUBSTITUTE(TRIM(C1569),".",""),"-","")," ","")))-1))&amp;RIGHT(UPPER(SUBSTITUTE(SUBSTITUTE(SUBSTITUTE(TRIM(C1569),".",""),"-","")," ","")),1),UPPER(SUBSTITUTE(SUBSTITUTE(SUBSTITUTE(TRIM(C1569),".",""),"-","")," ",""))))</f>
        <v/>
      </c>
    </row>
    <row r="1570" customFormat="false" ht="15" hidden="false" customHeight="false" outlineLevel="0" collapsed="false">
      <c r="B1570" s="80"/>
      <c r="C1570" s="58"/>
      <c r="D1570" s="62" t="str">
        <f aca="false">IF(C1570="","",IFERROR(INDEX(T_NOMBRE,MATCH(V1570,T_RUTN,0)),"⚠ RUT no está en Trabajadores"))</f>
        <v/>
      </c>
      <c r="E1570" s="61"/>
      <c r="F1570" s="61"/>
      <c r="G1570" s="61"/>
      <c r="H1570" s="61"/>
      <c r="I1570" s="81"/>
      <c r="J1570" s="81"/>
      <c r="K1570" s="60"/>
      <c r="L1570" s="60"/>
      <c r="M1570" s="60"/>
      <c r="N1570" s="60"/>
      <c r="O1570" s="60"/>
      <c r="P1570" s="60"/>
      <c r="Q1570" s="60"/>
      <c r="R1570" s="58"/>
      <c r="S1570" s="62" t="str">
        <f aca="false">IF(OR(B1570="",V1570=""),"",IFERROR(INDEX(C_TIPO,MATCH(V1570&amp;"-P"&amp;MAX(1,COUNTIFS(C_RUTN,V1570,C_DEF,"Sí",C_INI,"&lt;="&amp;EOMONTH(B1570,0))),C_CLAVE,0))&amp;"","Sin contrato"))</f>
        <v/>
      </c>
      <c r="T1570" s="63" t="str">
        <f aca="false">IF(OR(B1570="",N(O1570)=0),"",N(O1570)+ROUND(MIN(N(N1570),TOPE_UF*UF_MES)*(TASA_EMP+MUTUAL),0)+ROUND(MIN(N(N1570),TOPE_AFC_UF*UF_MES)*IF(S1570="Indefinido",AFC_INDEF,AFC_PF),0))</f>
        <v/>
      </c>
      <c r="U1570" s="62" t="str">
        <f aca="false">IF(C1570="","",IF(LEFT(D1570,1)="⚠","⚠ RUT no registrado en Trabajadores",IF(B1570="","⚠ Falta el mes",IF(OR(ISTEXT(I1570),ISTEXT(J1570)),"⚠ Atrasos u horas extra como texto: escriba hh:mm (ej. 1:30)",IF(AND(ISNUMBER(Q1570),COUNTIFS(M_RUTN,V1570,M_MES,B1570,M_LIQ,"&lt;&gt;")&gt;1),"⚠ Liquidación repetida en el mes",IF(AND(ISNUMBER(O1570),ISNUMBER(P1570),ISNUMBER(Q1570),ABS(O1570-P1570-Q1570)&gt;1),"⚠ Haberes − descuentos no da el líquido","OK"))))))</f>
        <v/>
      </c>
      <c r="V1570" s="62" t="str">
        <f aca="false">IF(C1570="","",IFERROR(VALUE(LEFT(UPPER(SUBSTITUTE(SUBSTITUTE(SUBSTITUTE(TRIM(C1570),".",""),"-","")," ","")),LEN(UPPER(SUBSTITUTE(SUBSTITUTE(SUBSTITUTE(TRIM(C1570),".",""),"-","")," ","")))-1))&amp;RIGHT(UPPER(SUBSTITUTE(SUBSTITUTE(SUBSTITUTE(TRIM(C1570),".",""),"-","")," ","")),1),UPPER(SUBSTITUTE(SUBSTITUTE(SUBSTITUTE(TRIM(C1570),".",""),"-","")," ",""))))</f>
        <v/>
      </c>
    </row>
    <row r="1571" customFormat="false" ht="15" hidden="false" customHeight="false" outlineLevel="0" collapsed="false">
      <c r="B1571" s="80"/>
      <c r="C1571" s="58"/>
      <c r="D1571" s="62" t="str">
        <f aca="false">IF(C1571="","",IFERROR(INDEX(T_NOMBRE,MATCH(V1571,T_RUTN,0)),"⚠ RUT no está en Trabajadores"))</f>
        <v/>
      </c>
      <c r="E1571" s="61"/>
      <c r="F1571" s="61"/>
      <c r="G1571" s="61"/>
      <c r="H1571" s="61"/>
      <c r="I1571" s="81"/>
      <c r="J1571" s="81"/>
      <c r="K1571" s="60"/>
      <c r="L1571" s="60"/>
      <c r="M1571" s="60"/>
      <c r="N1571" s="60"/>
      <c r="O1571" s="60"/>
      <c r="P1571" s="60"/>
      <c r="Q1571" s="60"/>
      <c r="R1571" s="58"/>
      <c r="S1571" s="62" t="str">
        <f aca="false">IF(OR(B1571="",V1571=""),"",IFERROR(INDEX(C_TIPO,MATCH(V1571&amp;"-P"&amp;MAX(1,COUNTIFS(C_RUTN,V1571,C_DEF,"Sí",C_INI,"&lt;="&amp;EOMONTH(B1571,0))),C_CLAVE,0))&amp;"","Sin contrato"))</f>
        <v/>
      </c>
      <c r="T1571" s="63" t="str">
        <f aca="false">IF(OR(B1571="",N(O1571)=0),"",N(O1571)+ROUND(MIN(N(N1571),TOPE_UF*UF_MES)*(TASA_EMP+MUTUAL),0)+ROUND(MIN(N(N1571),TOPE_AFC_UF*UF_MES)*IF(S1571="Indefinido",AFC_INDEF,AFC_PF),0))</f>
        <v/>
      </c>
      <c r="U1571" s="62" t="str">
        <f aca="false">IF(C1571="","",IF(LEFT(D1571,1)="⚠","⚠ RUT no registrado en Trabajadores",IF(B1571="","⚠ Falta el mes",IF(OR(ISTEXT(I1571),ISTEXT(J1571)),"⚠ Atrasos u horas extra como texto: escriba hh:mm (ej. 1:30)",IF(AND(ISNUMBER(Q1571),COUNTIFS(M_RUTN,V1571,M_MES,B1571,M_LIQ,"&lt;&gt;")&gt;1),"⚠ Liquidación repetida en el mes",IF(AND(ISNUMBER(O1571),ISNUMBER(P1571),ISNUMBER(Q1571),ABS(O1571-P1571-Q1571)&gt;1),"⚠ Haberes − descuentos no da el líquido","OK"))))))</f>
        <v/>
      </c>
      <c r="V1571" s="62" t="str">
        <f aca="false">IF(C1571="","",IFERROR(VALUE(LEFT(UPPER(SUBSTITUTE(SUBSTITUTE(SUBSTITUTE(TRIM(C1571),".",""),"-","")," ","")),LEN(UPPER(SUBSTITUTE(SUBSTITUTE(SUBSTITUTE(TRIM(C1571),".",""),"-","")," ","")))-1))&amp;RIGHT(UPPER(SUBSTITUTE(SUBSTITUTE(SUBSTITUTE(TRIM(C1571),".",""),"-","")," ","")),1),UPPER(SUBSTITUTE(SUBSTITUTE(SUBSTITUTE(TRIM(C1571),".",""),"-","")," ",""))))</f>
        <v/>
      </c>
    </row>
    <row r="1572" customFormat="false" ht="15" hidden="false" customHeight="false" outlineLevel="0" collapsed="false">
      <c r="B1572" s="80"/>
      <c r="C1572" s="58"/>
      <c r="D1572" s="62" t="str">
        <f aca="false">IF(C1572="","",IFERROR(INDEX(T_NOMBRE,MATCH(V1572,T_RUTN,0)),"⚠ RUT no está en Trabajadores"))</f>
        <v/>
      </c>
      <c r="E1572" s="61"/>
      <c r="F1572" s="61"/>
      <c r="G1572" s="61"/>
      <c r="H1572" s="61"/>
      <c r="I1572" s="81"/>
      <c r="J1572" s="81"/>
      <c r="K1572" s="60"/>
      <c r="L1572" s="60"/>
      <c r="M1572" s="60"/>
      <c r="N1572" s="60"/>
      <c r="O1572" s="60"/>
      <c r="P1572" s="60"/>
      <c r="Q1572" s="60"/>
      <c r="R1572" s="58"/>
      <c r="S1572" s="62" t="str">
        <f aca="false">IF(OR(B1572="",V1572=""),"",IFERROR(INDEX(C_TIPO,MATCH(V1572&amp;"-P"&amp;MAX(1,COUNTIFS(C_RUTN,V1572,C_DEF,"Sí",C_INI,"&lt;="&amp;EOMONTH(B1572,0))),C_CLAVE,0))&amp;"","Sin contrato"))</f>
        <v/>
      </c>
      <c r="T1572" s="63" t="str">
        <f aca="false">IF(OR(B1572="",N(O1572)=0),"",N(O1572)+ROUND(MIN(N(N1572),TOPE_UF*UF_MES)*(TASA_EMP+MUTUAL),0)+ROUND(MIN(N(N1572),TOPE_AFC_UF*UF_MES)*IF(S1572="Indefinido",AFC_INDEF,AFC_PF),0))</f>
        <v/>
      </c>
      <c r="U1572" s="62" t="str">
        <f aca="false">IF(C1572="","",IF(LEFT(D1572,1)="⚠","⚠ RUT no registrado en Trabajadores",IF(B1572="","⚠ Falta el mes",IF(OR(ISTEXT(I1572),ISTEXT(J1572)),"⚠ Atrasos u horas extra como texto: escriba hh:mm (ej. 1:30)",IF(AND(ISNUMBER(Q1572),COUNTIFS(M_RUTN,V1572,M_MES,B1572,M_LIQ,"&lt;&gt;")&gt;1),"⚠ Liquidación repetida en el mes",IF(AND(ISNUMBER(O1572),ISNUMBER(P1572),ISNUMBER(Q1572),ABS(O1572-P1572-Q1572)&gt;1),"⚠ Haberes − descuentos no da el líquido","OK"))))))</f>
        <v/>
      </c>
      <c r="V1572" s="62" t="str">
        <f aca="false">IF(C1572="","",IFERROR(VALUE(LEFT(UPPER(SUBSTITUTE(SUBSTITUTE(SUBSTITUTE(TRIM(C1572),".",""),"-","")," ","")),LEN(UPPER(SUBSTITUTE(SUBSTITUTE(SUBSTITUTE(TRIM(C1572),".",""),"-","")," ","")))-1))&amp;RIGHT(UPPER(SUBSTITUTE(SUBSTITUTE(SUBSTITUTE(TRIM(C1572),".",""),"-","")," ","")),1),UPPER(SUBSTITUTE(SUBSTITUTE(SUBSTITUTE(TRIM(C1572),".",""),"-","")," ",""))))</f>
        <v/>
      </c>
    </row>
    <row r="1573" customFormat="false" ht="15" hidden="false" customHeight="false" outlineLevel="0" collapsed="false">
      <c r="B1573" s="80"/>
      <c r="C1573" s="58"/>
      <c r="D1573" s="62" t="str">
        <f aca="false">IF(C1573="","",IFERROR(INDEX(T_NOMBRE,MATCH(V1573,T_RUTN,0)),"⚠ RUT no está en Trabajadores"))</f>
        <v/>
      </c>
      <c r="E1573" s="61"/>
      <c r="F1573" s="61"/>
      <c r="G1573" s="61"/>
      <c r="H1573" s="61"/>
      <c r="I1573" s="81"/>
      <c r="J1573" s="81"/>
      <c r="K1573" s="60"/>
      <c r="L1573" s="60"/>
      <c r="M1573" s="60"/>
      <c r="N1573" s="60"/>
      <c r="O1573" s="60"/>
      <c r="P1573" s="60"/>
      <c r="Q1573" s="60"/>
      <c r="R1573" s="58"/>
      <c r="S1573" s="62" t="str">
        <f aca="false">IF(OR(B1573="",V1573=""),"",IFERROR(INDEX(C_TIPO,MATCH(V1573&amp;"-P"&amp;MAX(1,COUNTIFS(C_RUTN,V1573,C_DEF,"Sí",C_INI,"&lt;="&amp;EOMONTH(B1573,0))),C_CLAVE,0))&amp;"","Sin contrato"))</f>
        <v/>
      </c>
      <c r="T1573" s="63" t="str">
        <f aca="false">IF(OR(B1573="",N(O1573)=0),"",N(O1573)+ROUND(MIN(N(N1573),TOPE_UF*UF_MES)*(TASA_EMP+MUTUAL),0)+ROUND(MIN(N(N1573),TOPE_AFC_UF*UF_MES)*IF(S1573="Indefinido",AFC_INDEF,AFC_PF),0))</f>
        <v/>
      </c>
      <c r="U1573" s="62" t="str">
        <f aca="false">IF(C1573="","",IF(LEFT(D1573,1)="⚠","⚠ RUT no registrado en Trabajadores",IF(B1573="","⚠ Falta el mes",IF(OR(ISTEXT(I1573),ISTEXT(J1573)),"⚠ Atrasos u horas extra como texto: escriba hh:mm (ej. 1:30)",IF(AND(ISNUMBER(Q1573),COUNTIFS(M_RUTN,V1573,M_MES,B1573,M_LIQ,"&lt;&gt;")&gt;1),"⚠ Liquidación repetida en el mes",IF(AND(ISNUMBER(O1573),ISNUMBER(P1573),ISNUMBER(Q1573),ABS(O1573-P1573-Q1573)&gt;1),"⚠ Haberes − descuentos no da el líquido","OK"))))))</f>
        <v/>
      </c>
      <c r="V1573" s="62" t="str">
        <f aca="false">IF(C1573="","",IFERROR(VALUE(LEFT(UPPER(SUBSTITUTE(SUBSTITUTE(SUBSTITUTE(TRIM(C1573),".",""),"-","")," ","")),LEN(UPPER(SUBSTITUTE(SUBSTITUTE(SUBSTITUTE(TRIM(C1573),".",""),"-","")," ","")))-1))&amp;RIGHT(UPPER(SUBSTITUTE(SUBSTITUTE(SUBSTITUTE(TRIM(C1573),".",""),"-","")," ","")),1),UPPER(SUBSTITUTE(SUBSTITUTE(SUBSTITUTE(TRIM(C1573),".",""),"-","")," ",""))))</f>
        <v/>
      </c>
    </row>
    <row r="1574" customFormat="false" ht="15" hidden="false" customHeight="false" outlineLevel="0" collapsed="false">
      <c r="B1574" s="80"/>
      <c r="C1574" s="58"/>
      <c r="D1574" s="62" t="str">
        <f aca="false">IF(C1574="","",IFERROR(INDEX(T_NOMBRE,MATCH(V1574,T_RUTN,0)),"⚠ RUT no está en Trabajadores"))</f>
        <v/>
      </c>
      <c r="E1574" s="61"/>
      <c r="F1574" s="61"/>
      <c r="G1574" s="61"/>
      <c r="H1574" s="61"/>
      <c r="I1574" s="81"/>
      <c r="J1574" s="81"/>
      <c r="K1574" s="60"/>
      <c r="L1574" s="60"/>
      <c r="M1574" s="60"/>
      <c r="N1574" s="60"/>
      <c r="O1574" s="60"/>
      <c r="P1574" s="60"/>
      <c r="Q1574" s="60"/>
      <c r="R1574" s="58"/>
      <c r="S1574" s="62" t="str">
        <f aca="false">IF(OR(B1574="",V1574=""),"",IFERROR(INDEX(C_TIPO,MATCH(V1574&amp;"-P"&amp;MAX(1,COUNTIFS(C_RUTN,V1574,C_DEF,"Sí",C_INI,"&lt;="&amp;EOMONTH(B1574,0))),C_CLAVE,0))&amp;"","Sin contrato"))</f>
        <v/>
      </c>
      <c r="T1574" s="63" t="str">
        <f aca="false">IF(OR(B1574="",N(O1574)=0),"",N(O1574)+ROUND(MIN(N(N1574),TOPE_UF*UF_MES)*(TASA_EMP+MUTUAL),0)+ROUND(MIN(N(N1574),TOPE_AFC_UF*UF_MES)*IF(S1574="Indefinido",AFC_INDEF,AFC_PF),0))</f>
        <v/>
      </c>
      <c r="U1574" s="62" t="str">
        <f aca="false">IF(C1574="","",IF(LEFT(D1574,1)="⚠","⚠ RUT no registrado en Trabajadores",IF(B1574="","⚠ Falta el mes",IF(OR(ISTEXT(I1574),ISTEXT(J1574)),"⚠ Atrasos u horas extra como texto: escriba hh:mm (ej. 1:30)",IF(AND(ISNUMBER(Q1574),COUNTIFS(M_RUTN,V1574,M_MES,B1574,M_LIQ,"&lt;&gt;")&gt;1),"⚠ Liquidación repetida en el mes",IF(AND(ISNUMBER(O1574),ISNUMBER(P1574),ISNUMBER(Q1574),ABS(O1574-P1574-Q1574)&gt;1),"⚠ Haberes − descuentos no da el líquido","OK"))))))</f>
        <v/>
      </c>
      <c r="V1574" s="62" t="str">
        <f aca="false">IF(C1574="","",IFERROR(VALUE(LEFT(UPPER(SUBSTITUTE(SUBSTITUTE(SUBSTITUTE(TRIM(C1574),".",""),"-","")," ","")),LEN(UPPER(SUBSTITUTE(SUBSTITUTE(SUBSTITUTE(TRIM(C1574),".",""),"-","")," ","")))-1))&amp;RIGHT(UPPER(SUBSTITUTE(SUBSTITUTE(SUBSTITUTE(TRIM(C1574),".",""),"-","")," ","")),1),UPPER(SUBSTITUTE(SUBSTITUTE(SUBSTITUTE(TRIM(C1574),".",""),"-","")," ",""))))</f>
        <v/>
      </c>
    </row>
    <row r="1575" customFormat="false" ht="15" hidden="false" customHeight="false" outlineLevel="0" collapsed="false">
      <c r="B1575" s="80"/>
      <c r="C1575" s="58"/>
      <c r="D1575" s="62" t="str">
        <f aca="false">IF(C1575="","",IFERROR(INDEX(T_NOMBRE,MATCH(V1575,T_RUTN,0)),"⚠ RUT no está en Trabajadores"))</f>
        <v/>
      </c>
      <c r="E1575" s="61"/>
      <c r="F1575" s="61"/>
      <c r="G1575" s="61"/>
      <c r="H1575" s="61"/>
      <c r="I1575" s="81"/>
      <c r="J1575" s="81"/>
      <c r="K1575" s="60"/>
      <c r="L1575" s="60"/>
      <c r="M1575" s="60"/>
      <c r="N1575" s="60"/>
      <c r="O1575" s="60"/>
      <c r="P1575" s="60"/>
      <c r="Q1575" s="60"/>
      <c r="R1575" s="58"/>
      <c r="S1575" s="62" t="str">
        <f aca="false">IF(OR(B1575="",V1575=""),"",IFERROR(INDEX(C_TIPO,MATCH(V1575&amp;"-P"&amp;MAX(1,COUNTIFS(C_RUTN,V1575,C_DEF,"Sí",C_INI,"&lt;="&amp;EOMONTH(B1575,0))),C_CLAVE,0))&amp;"","Sin contrato"))</f>
        <v/>
      </c>
      <c r="T1575" s="63" t="str">
        <f aca="false">IF(OR(B1575="",N(O1575)=0),"",N(O1575)+ROUND(MIN(N(N1575),TOPE_UF*UF_MES)*(TASA_EMP+MUTUAL),0)+ROUND(MIN(N(N1575),TOPE_AFC_UF*UF_MES)*IF(S1575="Indefinido",AFC_INDEF,AFC_PF),0))</f>
        <v/>
      </c>
      <c r="U1575" s="62" t="str">
        <f aca="false">IF(C1575="","",IF(LEFT(D1575,1)="⚠","⚠ RUT no registrado en Trabajadores",IF(B1575="","⚠ Falta el mes",IF(OR(ISTEXT(I1575),ISTEXT(J1575)),"⚠ Atrasos u horas extra como texto: escriba hh:mm (ej. 1:30)",IF(AND(ISNUMBER(Q1575),COUNTIFS(M_RUTN,V1575,M_MES,B1575,M_LIQ,"&lt;&gt;")&gt;1),"⚠ Liquidación repetida en el mes",IF(AND(ISNUMBER(O1575),ISNUMBER(P1575),ISNUMBER(Q1575),ABS(O1575-P1575-Q1575)&gt;1),"⚠ Haberes − descuentos no da el líquido","OK"))))))</f>
        <v/>
      </c>
      <c r="V1575" s="62" t="str">
        <f aca="false">IF(C1575="","",IFERROR(VALUE(LEFT(UPPER(SUBSTITUTE(SUBSTITUTE(SUBSTITUTE(TRIM(C1575),".",""),"-","")," ","")),LEN(UPPER(SUBSTITUTE(SUBSTITUTE(SUBSTITUTE(TRIM(C1575),".",""),"-","")," ","")))-1))&amp;RIGHT(UPPER(SUBSTITUTE(SUBSTITUTE(SUBSTITUTE(TRIM(C1575),".",""),"-","")," ","")),1),UPPER(SUBSTITUTE(SUBSTITUTE(SUBSTITUTE(TRIM(C1575),".",""),"-","")," ",""))))</f>
        <v/>
      </c>
    </row>
    <row r="1576" customFormat="false" ht="15" hidden="false" customHeight="false" outlineLevel="0" collapsed="false">
      <c r="B1576" s="80"/>
      <c r="C1576" s="58"/>
      <c r="D1576" s="62" t="str">
        <f aca="false">IF(C1576="","",IFERROR(INDEX(T_NOMBRE,MATCH(V1576,T_RUTN,0)),"⚠ RUT no está en Trabajadores"))</f>
        <v/>
      </c>
      <c r="E1576" s="61"/>
      <c r="F1576" s="61"/>
      <c r="G1576" s="61"/>
      <c r="H1576" s="61"/>
      <c r="I1576" s="81"/>
      <c r="J1576" s="81"/>
      <c r="K1576" s="60"/>
      <c r="L1576" s="60"/>
      <c r="M1576" s="60"/>
      <c r="N1576" s="60"/>
      <c r="O1576" s="60"/>
      <c r="P1576" s="60"/>
      <c r="Q1576" s="60"/>
      <c r="R1576" s="58"/>
      <c r="S1576" s="62" t="str">
        <f aca="false">IF(OR(B1576="",V1576=""),"",IFERROR(INDEX(C_TIPO,MATCH(V1576&amp;"-P"&amp;MAX(1,COUNTIFS(C_RUTN,V1576,C_DEF,"Sí",C_INI,"&lt;="&amp;EOMONTH(B1576,0))),C_CLAVE,0))&amp;"","Sin contrato"))</f>
        <v/>
      </c>
      <c r="T1576" s="63" t="str">
        <f aca="false">IF(OR(B1576="",N(O1576)=0),"",N(O1576)+ROUND(MIN(N(N1576),TOPE_UF*UF_MES)*(TASA_EMP+MUTUAL),0)+ROUND(MIN(N(N1576),TOPE_AFC_UF*UF_MES)*IF(S1576="Indefinido",AFC_INDEF,AFC_PF),0))</f>
        <v/>
      </c>
      <c r="U1576" s="62" t="str">
        <f aca="false">IF(C1576="","",IF(LEFT(D1576,1)="⚠","⚠ RUT no registrado en Trabajadores",IF(B1576="","⚠ Falta el mes",IF(OR(ISTEXT(I1576),ISTEXT(J1576)),"⚠ Atrasos u horas extra como texto: escriba hh:mm (ej. 1:30)",IF(AND(ISNUMBER(Q1576),COUNTIFS(M_RUTN,V1576,M_MES,B1576,M_LIQ,"&lt;&gt;")&gt;1),"⚠ Liquidación repetida en el mes",IF(AND(ISNUMBER(O1576),ISNUMBER(P1576),ISNUMBER(Q1576),ABS(O1576-P1576-Q1576)&gt;1),"⚠ Haberes − descuentos no da el líquido","OK"))))))</f>
        <v/>
      </c>
      <c r="V1576" s="62" t="str">
        <f aca="false">IF(C1576="","",IFERROR(VALUE(LEFT(UPPER(SUBSTITUTE(SUBSTITUTE(SUBSTITUTE(TRIM(C1576),".",""),"-","")," ","")),LEN(UPPER(SUBSTITUTE(SUBSTITUTE(SUBSTITUTE(TRIM(C1576),".",""),"-","")," ","")))-1))&amp;RIGHT(UPPER(SUBSTITUTE(SUBSTITUTE(SUBSTITUTE(TRIM(C1576),".",""),"-","")," ","")),1),UPPER(SUBSTITUTE(SUBSTITUTE(SUBSTITUTE(TRIM(C1576),".",""),"-","")," ",""))))</f>
        <v/>
      </c>
    </row>
    <row r="1577" customFormat="false" ht="15" hidden="false" customHeight="false" outlineLevel="0" collapsed="false">
      <c r="B1577" s="80"/>
      <c r="C1577" s="58"/>
      <c r="D1577" s="62" t="str">
        <f aca="false">IF(C1577="","",IFERROR(INDEX(T_NOMBRE,MATCH(V1577,T_RUTN,0)),"⚠ RUT no está en Trabajadores"))</f>
        <v/>
      </c>
      <c r="E1577" s="61"/>
      <c r="F1577" s="61"/>
      <c r="G1577" s="61"/>
      <c r="H1577" s="61"/>
      <c r="I1577" s="81"/>
      <c r="J1577" s="81"/>
      <c r="K1577" s="60"/>
      <c r="L1577" s="60"/>
      <c r="M1577" s="60"/>
      <c r="N1577" s="60"/>
      <c r="O1577" s="60"/>
      <c r="P1577" s="60"/>
      <c r="Q1577" s="60"/>
      <c r="R1577" s="58"/>
      <c r="S1577" s="62" t="str">
        <f aca="false">IF(OR(B1577="",V1577=""),"",IFERROR(INDEX(C_TIPO,MATCH(V1577&amp;"-P"&amp;MAX(1,COUNTIFS(C_RUTN,V1577,C_DEF,"Sí",C_INI,"&lt;="&amp;EOMONTH(B1577,0))),C_CLAVE,0))&amp;"","Sin contrato"))</f>
        <v/>
      </c>
      <c r="T1577" s="63" t="str">
        <f aca="false">IF(OR(B1577="",N(O1577)=0),"",N(O1577)+ROUND(MIN(N(N1577),TOPE_UF*UF_MES)*(TASA_EMP+MUTUAL),0)+ROUND(MIN(N(N1577),TOPE_AFC_UF*UF_MES)*IF(S1577="Indefinido",AFC_INDEF,AFC_PF),0))</f>
        <v/>
      </c>
      <c r="U1577" s="62" t="str">
        <f aca="false">IF(C1577="","",IF(LEFT(D1577,1)="⚠","⚠ RUT no registrado en Trabajadores",IF(B1577="","⚠ Falta el mes",IF(OR(ISTEXT(I1577),ISTEXT(J1577)),"⚠ Atrasos u horas extra como texto: escriba hh:mm (ej. 1:30)",IF(AND(ISNUMBER(Q1577),COUNTIFS(M_RUTN,V1577,M_MES,B1577,M_LIQ,"&lt;&gt;")&gt;1),"⚠ Liquidación repetida en el mes",IF(AND(ISNUMBER(O1577),ISNUMBER(P1577),ISNUMBER(Q1577),ABS(O1577-P1577-Q1577)&gt;1),"⚠ Haberes − descuentos no da el líquido","OK"))))))</f>
        <v/>
      </c>
      <c r="V1577" s="62" t="str">
        <f aca="false">IF(C1577="","",IFERROR(VALUE(LEFT(UPPER(SUBSTITUTE(SUBSTITUTE(SUBSTITUTE(TRIM(C1577),".",""),"-","")," ","")),LEN(UPPER(SUBSTITUTE(SUBSTITUTE(SUBSTITUTE(TRIM(C1577),".",""),"-","")," ","")))-1))&amp;RIGHT(UPPER(SUBSTITUTE(SUBSTITUTE(SUBSTITUTE(TRIM(C1577),".",""),"-","")," ","")),1),UPPER(SUBSTITUTE(SUBSTITUTE(SUBSTITUTE(TRIM(C1577),".",""),"-","")," ",""))))</f>
        <v/>
      </c>
    </row>
    <row r="1578" customFormat="false" ht="15" hidden="false" customHeight="false" outlineLevel="0" collapsed="false">
      <c r="B1578" s="80"/>
      <c r="C1578" s="58"/>
      <c r="D1578" s="62" t="str">
        <f aca="false">IF(C1578="","",IFERROR(INDEX(T_NOMBRE,MATCH(V1578,T_RUTN,0)),"⚠ RUT no está en Trabajadores"))</f>
        <v/>
      </c>
      <c r="E1578" s="61"/>
      <c r="F1578" s="61"/>
      <c r="G1578" s="61"/>
      <c r="H1578" s="61"/>
      <c r="I1578" s="81"/>
      <c r="J1578" s="81"/>
      <c r="K1578" s="60"/>
      <c r="L1578" s="60"/>
      <c r="M1578" s="60"/>
      <c r="N1578" s="60"/>
      <c r="O1578" s="60"/>
      <c r="P1578" s="60"/>
      <c r="Q1578" s="60"/>
      <c r="R1578" s="58"/>
      <c r="S1578" s="62" t="str">
        <f aca="false">IF(OR(B1578="",V1578=""),"",IFERROR(INDEX(C_TIPO,MATCH(V1578&amp;"-P"&amp;MAX(1,COUNTIFS(C_RUTN,V1578,C_DEF,"Sí",C_INI,"&lt;="&amp;EOMONTH(B1578,0))),C_CLAVE,0))&amp;"","Sin contrato"))</f>
        <v/>
      </c>
      <c r="T1578" s="63" t="str">
        <f aca="false">IF(OR(B1578="",N(O1578)=0),"",N(O1578)+ROUND(MIN(N(N1578),TOPE_UF*UF_MES)*(TASA_EMP+MUTUAL),0)+ROUND(MIN(N(N1578),TOPE_AFC_UF*UF_MES)*IF(S1578="Indefinido",AFC_INDEF,AFC_PF),0))</f>
        <v/>
      </c>
      <c r="U1578" s="62" t="str">
        <f aca="false">IF(C1578="","",IF(LEFT(D1578,1)="⚠","⚠ RUT no registrado en Trabajadores",IF(B1578="","⚠ Falta el mes",IF(OR(ISTEXT(I1578),ISTEXT(J1578)),"⚠ Atrasos u horas extra como texto: escriba hh:mm (ej. 1:30)",IF(AND(ISNUMBER(Q1578),COUNTIFS(M_RUTN,V1578,M_MES,B1578,M_LIQ,"&lt;&gt;")&gt;1),"⚠ Liquidación repetida en el mes",IF(AND(ISNUMBER(O1578),ISNUMBER(P1578),ISNUMBER(Q1578),ABS(O1578-P1578-Q1578)&gt;1),"⚠ Haberes − descuentos no da el líquido","OK"))))))</f>
        <v/>
      </c>
      <c r="V1578" s="62" t="str">
        <f aca="false">IF(C1578="","",IFERROR(VALUE(LEFT(UPPER(SUBSTITUTE(SUBSTITUTE(SUBSTITUTE(TRIM(C1578),".",""),"-","")," ","")),LEN(UPPER(SUBSTITUTE(SUBSTITUTE(SUBSTITUTE(TRIM(C1578),".",""),"-","")," ","")))-1))&amp;RIGHT(UPPER(SUBSTITUTE(SUBSTITUTE(SUBSTITUTE(TRIM(C1578),".",""),"-","")," ","")),1),UPPER(SUBSTITUTE(SUBSTITUTE(SUBSTITUTE(TRIM(C1578),".",""),"-","")," ",""))))</f>
        <v/>
      </c>
    </row>
    <row r="1579" customFormat="false" ht="15" hidden="false" customHeight="false" outlineLevel="0" collapsed="false">
      <c r="B1579" s="80"/>
      <c r="C1579" s="58"/>
      <c r="D1579" s="62" t="str">
        <f aca="false">IF(C1579="","",IFERROR(INDEX(T_NOMBRE,MATCH(V1579,T_RUTN,0)),"⚠ RUT no está en Trabajadores"))</f>
        <v/>
      </c>
      <c r="E1579" s="61"/>
      <c r="F1579" s="61"/>
      <c r="G1579" s="61"/>
      <c r="H1579" s="61"/>
      <c r="I1579" s="81"/>
      <c r="J1579" s="81"/>
      <c r="K1579" s="60"/>
      <c r="L1579" s="60"/>
      <c r="M1579" s="60"/>
      <c r="N1579" s="60"/>
      <c r="O1579" s="60"/>
      <c r="P1579" s="60"/>
      <c r="Q1579" s="60"/>
      <c r="R1579" s="58"/>
      <c r="S1579" s="62" t="str">
        <f aca="false">IF(OR(B1579="",V1579=""),"",IFERROR(INDEX(C_TIPO,MATCH(V1579&amp;"-P"&amp;MAX(1,COUNTIFS(C_RUTN,V1579,C_DEF,"Sí",C_INI,"&lt;="&amp;EOMONTH(B1579,0))),C_CLAVE,0))&amp;"","Sin contrato"))</f>
        <v/>
      </c>
      <c r="T1579" s="63" t="str">
        <f aca="false">IF(OR(B1579="",N(O1579)=0),"",N(O1579)+ROUND(MIN(N(N1579),TOPE_UF*UF_MES)*(TASA_EMP+MUTUAL),0)+ROUND(MIN(N(N1579),TOPE_AFC_UF*UF_MES)*IF(S1579="Indefinido",AFC_INDEF,AFC_PF),0))</f>
        <v/>
      </c>
      <c r="U1579" s="62" t="str">
        <f aca="false">IF(C1579="","",IF(LEFT(D1579,1)="⚠","⚠ RUT no registrado en Trabajadores",IF(B1579="","⚠ Falta el mes",IF(OR(ISTEXT(I1579),ISTEXT(J1579)),"⚠ Atrasos u horas extra como texto: escriba hh:mm (ej. 1:30)",IF(AND(ISNUMBER(Q1579),COUNTIFS(M_RUTN,V1579,M_MES,B1579,M_LIQ,"&lt;&gt;")&gt;1),"⚠ Liquidación repetida en el mes",IF(AND(ISNUMBER(O1579),ISNUMBER(P1579),ISNUMBER(Q1579),ABS(O1579-P1579-Q1579)&gt;1),"⚠ Haberes − descuentos no da el líquido","OK"))))))</f>
        <v/>
      </c>
      <c r="V1579" s="62" t="str">
        <f aca="false">IF(C1579="","",IFERROR(VALUE(LEFT(UPPER(SUBSTITUTE(SUBSTITUTE(SUBSTITUTE(TRIM(C1579),".",""),"-","")," ","")),LEN(UPPER(SUBSTITUTE(SUBSTITUTE(SUBSTITUTE(TRIM(C1579),".",""),"-","")," ","")))-1))&amp;RIGHT(UPPER(SUBSTITUTE(SUBSTITUTE(SUBSTITUTE(TRIM(C1579),".",""),"-","")," ","")),1),UPPER(SUBSTITUTE(SUBSTITUTE(SUBSTITUTE(TRIM(C1579),".",""),"-","")," ",""))))</f>
        <v/>
      </c>
    </row>
    <row r="1580" customFormat="false" ht="15" hidden="false" customHeight="false" outlineLevel="0" collapsed="false">
      <c r="B1580" s="80"/>
      <c r="C1580" s="58"/>
      <c r="D1580" s="62" t="str">
        <f aca="false">IF(C1580="","",IFERROR(INDEX(T_NOMBRE,MATCH(V1580,T_RUTN,0)),"⚠ RUT no está en Trabajadores"))</f>
        <v/>
      </c>
      <c r="E1580" s="61"/>
      <c r="F1580" s="61"/>
      <c r="G1580" s="61"/>
      <c r="H1580" s="61"/>
      <c r="I1580" s="81"/>
      <c r="J1580" s="81"/>
      <c r="K1580" s="60"/>
      <c r="L1580" s="60"/>
      <c r="M1580" s="60"/>
      <c r="N1580" s="60"/>
      <c r="O1580" s="60"/>
      <c r="P1580" s="60"/>
      <c r="Q1580" s="60"/>
      <c r="R1580" s="58"/>
      <c r="S1580" s="62" t="str">
        <f aca="false">IF(OR(B1580="",V1580=""),"",IFERROR(INDEX(C_TIPO,MATCH(V1580&amp;"-P"&amp;MAX(1,COUNTIFS(C_RUTN,V1580,C_DEF,"Sí",C_INI,"&lt;="&amp;EOMONTH(B1580,0))),C_CLAVE,0))&amp;"","Sin contrato"))</f>
        <v/>
      </c>
      <c r="T1580" s="63" t="str">
        <f aca="false">IF(OR(B1580="",N(O1580)=0),"",N(O1580)+ROUND(MIN(N(N1580),TOPE_UF*UF_MES)*(TASA_EMP+MUTUAL),0)+ROUND(MIN(N(N1580),TOPE_AFC_UF*UF_MES)*IF(S1580="Indefinido",AFC_INDEF,AFC_PF),0))</f>
        <v/>
      </c>
      <c r="U1580" s="62" t="str">
        <f aca="false">IF(C1580="","",IF(LEFT(D1580,1)="⚠","⚠ RUT no registrado en Trabajadores",IF(B1580="","⚠ Falta el mes",IF(OR(ISTEXT(I1580),ISTEXT(J1580)),"⚠ Atrasos u horas extra como texto: escriba hh:mm (ej. 1:30)",IF(AND(ISNUMBER(Q1580),COUNTIFS(M_RUTN,V1580,M_MES,B1580,M_LIQ,"&lt;&gt;")&gt;1),"⚠ Liquidación repetida en el mes",IF(AND(ISNUMBER(O1580),ISNUMBER(P1580),ISNUMBER(Q1580),ABS(O1580-P1580-Q1580)&gt;1),"⚠ Haberes − descuentos no da el líquido","OK"))))))</f>
        <v/>
      </c>
      <c r="V1580" s="62" t="str">
        <f aca="false">IF(C1580="","",IFERROR(VALUE(LEFT(UPPER(SUBSTITUTE(SUBSTITUTE(SUBSTITUTE(TRIM(C1580),".",""),"-","")," ","")),LEN(UPPER(SUBSTITUTE(SUBSTITUTE(SUBSTITUTE(TRIM(C1580),".",""),"-","")," ","")))-1))&amp;RIGHT(UPPER(SUBSTITUTE(SUBSTITUTE(SUBSTITUTE(TRIM(C1580),".",""),"-","")," ","")),1),UPPER(SUBSTITUTE(SUBSTITUTE(SUBSTITUTE(TRIM(C1580),".",""),"-","")," ",""))))</f>
        <v/>
      </c>
    </row>
    <row r="1581" customFormat="false" ht="15" hidden="false" customHeight="false" outlineLevel="0" collapsed="false">
      <c r="B1581" s="80"/>
      <c r="C1581" s="58"/>
      <c r="D1581" s="62" t="str">
        <f aca="false">IF(C1581="","",IFERROR(INDEX(T_NOMBRE,MATCH(V1581,T_RUTN,0)),"⚠ RUT no está en Trabajadores"))</f>
        <v/>
      </c>
      <c r="E1581" s="61"/>
      <c r="F1581" s="61"/>
      <c r="G1581" s="61"/>
      <c r="H1581" s="61"/>
      <c r="I1581" s="81"/>
      <c r="J1581" s="81"/>
      <c r="K1581" s="60"/>
      <c r="L1581" s="60"/>
      <c r="M1581" s="60"/>
      <c r="N1581" s="60"/>
      <c r="O1581" s="60"/>
      <c r="P1581" s="60"/>
      <c r="Q1581" s="60"/>
      <c r="R1581" s="58"/>
      <c r="S1581" s="62" t="str">
        <f aca="false">IF(OR(B1581="",V1581=""),"",IFERROR(INDEX(C_TIPO,MATCH(V1581&amp;"-P"&amp;MAX(1,COUNTIFS(C_RUTN,V1581,C_DEF,"Sí",C_INI,"&lt;="&amp;EOMONTH(B1581,0))),C_CLAVE,0))&amp;"","Sin contrato"))</f>
        <v/>
      </c>
      <c r="T1581" s="63" t="str">
        <f aca="false">IF(OR(B1581="",N(O1581)=0),"",N(O1581)+ROUND(MIN(N(N1581),TOPE_UF*UF_MES)*(TASA_EMP+MUTUAL),0)+ROUND(MIN(N(N1581),TOPE_AFC_UF*UF_MES)*IF(S1581="Indefinido",AFC_INDEF,AFC_PF),0))</f>
        <v/>
      </c>
      <c r="U1581" s="62" t="str">
        <f aca="false">IF(C1581="","",IF(LEFT(D1581,1)="⚠","⚠ RUT no registrado en Trabajadores",IF(B1581="","⚠ Falta el mes",IF(OR(ISTEXT(I1581),ISTEXT(J1581)),"⚠ Atrasos u horas extra como texto: escriba hh:mm (ej. 1:30)",IF(AND(ISNUMBER(Q1581),COUNTIFS(M_RUTN,V1581,M_MES,B1581,M_LIQ,"&lt;&gt;")&gt;1),"⚠ Liquidación repetida en el mes",IF(AND(ISNUMBER(O1581),ISNUMBER(P1581),ISNUMBER(Q1581),ABS(O1581-P1581-Q1581)&gt;1),"⚠ Haberes − descuentos no da el líquido","OK"))))))</f>
        <v/>
      </c>
      <c r="V1581" s="62" t="str">
        <f aca="false">IF(C1581="","",IFERROR(VALUE(LEFT(UPPER(SUBSTITUTE(SUBSTITUTE(SUBSTITUTE(TRIM(C1581),".",""),"-","")," ","")),LEN(UPPER(SUBSTITUTE(SUBSTITUTE(SUBSTITUTE(TRIM(C1581),".",""),"-","")," ","")))-1))&amp;RIGHT(UPPER(SUBSTITUTE(SUBSTITUTE(SUBSTITUTE(TRIM(C1581),".",""),"-","")," ","")),1),UPPER(SUBSTITUTE(SUBSTITUTE(SUBSTITUTE(TRIM(C1581),".",""),"-","")," ",""))))</f>
        <v/>
      </c>
    </row>
    <row r="1582" customFormat="false" ht="15" hidden="false" customHeight="false" outlineLevel="0" collapsed="false">
      <c r="B1582" s="80"/>
      <c r="C1582" s="58"/>
      <c r="D1582" s="62" t="str">
        <f aca="false">IF(C1582="","",IFERROR(INDEX(T_NOMBRE,MATCH(V1582,T_RUTN,0)),"⚠ RUT no está en Trabajadores"))</f>
        <v/>
      </c>
      <c r="E1582" s="61"/>
      <c r="F1582" s="61"/>
      <c r="G1582" s="61"/>
      <c r="H1582" s="61"/>
      <c r="I1582" s="81"/>
      <c r="J1582" s="81"/>
      <c r="K1582" s="60"/>
      <c r="L1582" s="60"/>
      <c r="M1582" s="60"/>
      <c r="N1582" s="60"/>
      <c r="O1582" s="60"/>
      <c r="P1582" s="60"/>
      <c r="Q1582" s="60"/>
      <c r="R1582" s="58"/>
      <c r="S1582" s="62" t="str">
        <f aca="false">IF(OR(B1582="",V1582=""),"",IFERROR(INDEX(C_TIPO,MATCH(V1582&amp;"-P"&amp;MAX(1,COUNTIFS(C_RUTN,V1582,C_DEF,"Sí",C_INI,"&lt;="&amp;EOMONTH(B1582,0))),C_CLAVE,0))&amp;"","Sin contrato"))</f>
        <v/>
      </c>
      <c r="T1582" s="63" t="str">
        <f aca="false">IF(OR(B1582="",N(O1582)=0),"",N(O1582)+ROUND(MIN(N(N1582),TOPE_UF*UF_MES)*(TASA_EMP+MUTUAL),0)+ROUND(MIN(N(N1582),TOPE_AFC_UF*UF_MES)*IF(S1582="Indefinido",AFC_INDEF,AFC_PF),0))</f>
        <v/>
      </c>
      <c r="U1582" s="62" t="str">
        <f aca="false">IF(C1582="","",IF(LEFT(D1582,1)="⚠","⚠ RUT no registrado en Trabajadores",IF(B1582="","⚠ Falta el mes",IF(OR(ISTEXT(I1582),ISTEXT(J1582)),"⚠ Atrasos u horas extra como texto: escriba hh:mm (ej. 1:30)",IF(AND(ISNUMBER(Q1582),COUNTIFS(M_RUTN,V1582,M_MES,B1582,M_LIQ,"&lt;&gt;")&gt;1),"⚠ Liquidación repetida en el mes",IF(AND(ISNUMBER(O1582),ISNUMBER(P1582),ISNUMBER(Q1582),ABS(O1582-P1582-Q1582)&gt;1),"⚠ Haberes − descuentos no da el líquido","OK"))))))</f>
        <v/>
      </c>
      <c r="V1582" s="62" t="str">
        <f aca="false">IF(C1582="","",IFERROR(VALUE(LEFT(UPPER(SUBSTITUTE(SUBSTITUTE(SUBSTITUTE(TRIM(C1582),".",""),"-","")," ","")),LEN(UPPER(SUBSTITUTE(SUBSTITUTE(SUBSTITUTE(TRIM(C1582),".",""),"-","")," ","")))-1))&amp;RIGHT(UPPER(SUBSTITUTE(SUBSTITUTE(SUBSTITUTE(TRIM(C1582),".",""),"-","")," ","")),1),UPPER(SUBSTITUTE(SUBSTITUTE(SUBSTITUTE(TRIM(C1582),".",""),"-","")," ",""))))</f>
        <v/>
      </c>
    </row>
    <row r="1583" customFormat="false" ht="15" hidden="false" customHeight="false" outlineLevel="0" collapsed="false">
      <c r="B1583" s="80"/>
      <c r="C1583" s="58"/>
      <c r="D1583" s="62" t="str">
        <f aca="false">IF(C1583="","",IFERROR(INDEX(T_NOMBRE,MATCH(V1583,T_RUTN,0)),"⚠ RUT no está en Trabajadores"))</f>
        <v/>
      </c>
      <c r="E1583" s="61"/>
      <c r="F1583" s="61"/>
      <c r="G1583" s="61"/>
      <c r="H1583" s="61"/>
      <c r="I1583" s="81"/>
      <c r="J1583" s="81"/>
      <c r="K1583" s="60"/>
      <c r="L1583" s="60"/>
      <c r="M1583" s="60"/>
      <c r="N1583" s="60"/>
      <c r="O1583" s="60"/>
      <c r="P1583" s="60"/>
      <c r="Q1583" s="60"/>
      <c r="R1583" s="58"/>
      <c r="S1583" s="62" t="str">
        <f aca="false">IF(OR(B1583="",V1583=""),"",IFERROR(INDEX(C_TIPO,MATCH(V1583&amp;"-P"&amp;MAX(1,COUNTIFS(C_RUTN,V1583,C_DEF,"Sí",C_INI,"&lt;="&amp;EOMONTH(B1583,0))),C_CLAVE,0))&amp;"","Sin contrato"))</f>
        <v/>
      </c>
      <c r="T1583" s="63" t="str">
        <f aca="false">IF(OR(B1583="",N(O1583)=0),"",N(O1583)+ROUND(MIN(N(N1583),TOPE_UF*UF_MES)*(TASA_EMP+MUTUAL),0)+ROUND(MIN(N(N1583),TOPE_AFC_UF*UF_MES)*IF(S1583="Indefinido",AFC_INDEF,AFC_PF),0))</f>
        <v/>
      </c>
      <c r="U1583" s="62" t="str">
        <f aca="false">IF(C1583="","",IF(LEFT(D1583,1)="⚠","⚠ RUT no registrado en Trabajadores",IF(B1583="","⚠ Falta el mes",IF(OR(ISTEXT(I1583),ISTEXT(J1583)),"⚠ Atrasos u horas extra como texto: escriba hh:mm (ej. 1:30)",IF(AND(ISNUMBER(Q1583),COUNTIFS(M_RUTN,V1583,M_MES,B1583,M_LIQ,"&lt;&gt;")&gt;1),"⚠ Liquidación repetida en el mes",IF(AND(ISNUMBER(O1583),ISNUMBER(P1583),ISNUMBER(Q1583),ABS(O1583-P1583-Q1583)&gt;1),"⚠ Haberes − descuentos no da el líquido","OK"))))))</f>
        <v/>
      </c>
      <c r="V1583" s="62" t="str">
        <f aca="false">IF(C1583="","",IFERROR(VALUE(LEFT(UPPER(SUBSTITUTE(SUBSTITUTE(SUBSTITUTE(TRIM(C1583),".",""),"-","")," ","")),LEN(UPPER(SUBSTITUTE(SUBSTITUTE(SUBSTITUTE(TRIM(C1583),".",""),"-","")," ","")))-1))&amp;RIGHT(UPPER(SUBSTITUTE(SUBSTITUTE(SUBSTITUTE(TRIM(C1583),".",""),"-","")," ","")),1),UPPER(SUBSTITUTE(SUBSTITUTE(SUBSTITUTE(TRIM(C1583),".",""),"-","")," ",""))))</f>
        <v/>
      </c>
    </row>
    <row r="1584" customFormat="false" ht="15" hidden="false" customHeight="false" outlineLevel="0" collapsed="false">
      <c r="B1584" s="80"/>
      <c r="C1584" s="58"/>
      <c r="D1584" s="62" t="str">
        <f aca="false">IF(C1584="","",IFERROR(INDEX(T_NOMBRE,MATCH(V1584,T_RUTN,0)),"⚠ RUT no está en Trabajadores"))</f>
        <v/>
      </c>
      <c r="E1584" s="61"/>
      <c r="F1584" s="61"/>
      <c r="G1584" s="61"/>
      <c r="H1584" s="61"/>
      <c r="I1584" s="81"/>
      <c r="J1584" s="81"/>
      <c r="K1584" s="60"/>
      <c r="L1584" s="60"/>
      <c r="M1584" s="60"/>
      <c r="N1584" s="60"/>
      <c r="O1584" s="60"/>
      <c r="P1584" s="60"/>
      <c r="Q1584" s="60"/>
      <c r="R1584" s="58"/>
      <c r="S1584" s="62" t="str">
        <f aca="false">IF(OR(B1584="",V1584=""),"",IFERROR(INDEX(C_TIPO,MATCH(V1584&amp;"-P"&amp;MAX(1,COUNTIFS(C_RUTN,V1584,C_DEF,"Sí",C_INI,"&lt;="&amp;EOMONTH(B1584,0))),C_CLAVE,0))&amp;"","Sin contrato"))</f>
        <v/>
      </c>
      <c r="T1584" s="63" t="str">
        <f aca="false">IF(OR(B1584="",N(O1584)=0),"",N(O1584)+ROUND(MIN(N(N1584),TOPE_UF*UF_MES)*(TASA_EMP+MUTUAL),0)+ROUND(MIN(N(N1584),TOPE_AFC_UF*UF_MES)*IF(S1584="Indefinido",AFC_INDEF,AFC_PF),0))</f>
        <v/>
      </c>
      <c r="U1584" s="62" t="str">
        <f aca="false">IF(C1584="","",IF(LEFT(D1584,1)="⚠","⚠ RUT no registrado en Trabajadores",IF(B1584="","⚠ Falta el mes",IF(OR(ISTEXT(I1584),ISTEXT(J1584)),"⚠ Atrasos u horas extra como texto: escriba hh:mm (ej. 1:30)",IF(AND(ISNUMBER(Q1584),COUNTIFS(M_RUTN,V1584,M_MES,B1584,M_LIQ,"&lt;&gt;")&gt;1),"⚠ Liquidación repetida en el mes",IF(AND(ISNUMBER(O1584),ISNUMBER(P1584),ISNUMBER(Q1584),ABS(O1584-P1584-Q1584)&gt;1),"⚠ Haberes − descuentos no da el líquido","OK"))))))</f>
        <v/>
      </c>
      <c r="V1584" s="62" t="str">
        <f aca="false">IF(C1584="","",IFERROR(VALUE(LEFT(UPPER(SUBSTITUTE(SUBSTITUTE(SUBSTITUTE(TRIM(C1584),".",""),"-","")," ","")),LEN(UPPER(SUBSTITUTE(SUBSTITUTE(SUBSTITUTE(TRIM(C1584),".",""),"-","")," ","")))-1))&amp;RIGHT(UPPER(SUBSTITUTE(SUBSTITUTE(SUBSTITUTE(TRIM(C1584),".",""),"-","")," ","")),1),UPPER(SUBSTITUTE(SUBSTITUTE(SUBSTITUTE(TRIM(C1584),".",""),"-","")," ",""))))</f>
        <v/>
      </c>
    </row>
    <row r="1585" customFormat="false" ht="15" hidden="false" customHeight="false" outlineLevel="0" collapsed="false">
      <c r="B1585" s="80"/>
      <c r="C1585" s="58"/>
      <c r="D1585" s="62" t="str">
        <f aca="false">IF(C1585="","",IFERROR(INDEX(T_NOMBRE,MATCH(V1585,T_RUTN,0)),"⚠ RUT no está en Trabajadores"))</f>
        <v/>
      </c>
      <c r="E1585" s="61"/>
      <c r="F1585" s="61"/>
      <c r="G1585" s="61"/>
      <c r="H1585" s="61"/>
      <c r="I1585" s="81"/>
      <c r="J1585" s="81"/>
      <c r="K1585" s="60"/>
      <c r="L1585" s="60"/>
      <c r="M1585" s="60"/>
      <c r="N1585" s="60"/>
      <c r="O1585" s="60"/>
      <c r="P1585" s="60"/>
      <c r="Q1585" s="60"/>
      <c r="R1585" s="58"/>
      <c r="S1585" s="62" t="str">
        <f aca="false">IF(OR(B1585="",V1585=""),"",IFERROR(INDEX(C_TIPO,MATCH(V1585&amp;"-P"&amp;MAX(1,COUNTIFS(C_RUTN,V1585,C_DEF,"Sí",C_INI,"&lt;="&amp;EOMONTH(B1585,0))),C_CLAVE,0))&amp;"","Sin contrato"))</f>
        <v/>
      </c>
      <c r="T1585" s="63" t="str">
        <f aca="false">IF(OR(B1585="",N(O1585)=0),"",N(O1585)+ROUND(MIN(N(N1585),TOPE_UF*UF_MES)*(TASA_EMP+MUTUAL),0)+ROUND(MIN(N(N1585),TOPE_AFC_UF*UF_MES)*IF(S1585="Indefinido",AFC_INDEF,AFC_PF),0))</f>
        <v/>
      </c>
      <c r="U1585" s="62" t="str">
        <f aca="false">IF(C1585="","",IF(LEFT(D1585,1)="⚠","⚠ RUT no registrado en Trabajadores",IF(B1585="","⚠ Falta el mes",IF(OR(ISTEXT(I1585),ISTEXT(J1585)),"⚠ Atrasos u horas extra como texto: escriba hh:mm (ej. 1:30)",IF(AND(ISNUMBER(Q1585),COUNTIFS(M_RUTN,V1585,M_MES,B1585,M_LIQ,"&lt;&gt;")&gt;1),"⚠ Liquidación repetida en el mes",IF(AND(ISNUMBER(O1585),ISNUMBER(P1585),ISNUMBER(Q1585),ABS(O1585-P1585-Q1585)&gt;1),"⚠ Haberes − descuentos no da el líquido","OK"))))))</f>
        <v/>
      </c>
      <c r="V1585" s="62" t="str">
        <f aca="false">IF(C1585="","",IFERROR(VALUE(LEFT(UPPER(SUBSTITUTE(SUBSTITUTE(SUBSTITUTE(TRIM(C1585),".",""),"-","")," ","")),LEN(UPPER(SUBSTITUTE(SUBSTITUTE(SUBSTITUTE(TRIM(C1585),".",""),"-","")," ","")))-1))&amp;RIGHT(UPPER(SUBSTITUTE(SUBSTITUTE(SUBSTITUTE(TRIM(C1585),".",""),"-","")," ","")),1),UPPER(SUBSTITUTE(SUBSTITUTE(SUBSTITUTE(TRIM(C1585),".",""),"-","")," ",""))))</f>
        <v/>
      </c>
    </row>
    <row r="1586" customFormat="false" ht="15" hidden="false" customHeight="false" outlineLevel="0" collapsed="false">
      <c r="B1586" s="80"/>
      <c r="C1586" s="58"/>
      <c r="D1586" s="62" t="str">
        <f aca="false">IF(C1586="","",IFERROR(INDEX(T_NOMBRE,MATCH(V1586,T_RUTN,0)),"⚠ RUT no está en Trabajadores"))</f>
        <v/>
      </c>
      <c r="E1586" s="61"/>
      <c r="F1586" s="61"/>
      <c r="G1586" s="61"/>
      <c r="H1586" s="61"/>
      <c r="I1586" s="81"/>
      <c r="J1586" s="81"/>
      <c r="K1586" s="60"/>
      <c r="L1586" s="60"/>
      <c r="M1586" s="60"/>
      <c r="N1586" s="60"/>
      <c r="O1586" s="60"/>
      <c r="P1586" s="60"/>
      <c r="Q1586" s="60"/>
      <c r="R1586" s="58"/>
      <c r="S1586" s="62" t="str">
        <f aca="false">IF(OR(B1586="",V1586=""),"",IFERROR(INDEX(C_TIPO,MATCH(V1586&amp;"-P"&amp;MAX(1,COUNTIFS(C_RUTN,V1586,C_DEF,"Sí",C_INI,"&lt;="&amp;EOMONTH(B1586,0))),C_CLAVE,0))&amp;"","Sin contrato"))</f>
        <v/>
      </c>
      <c r="T1586" s="63" t="str">
        <f aca="false">IF(OR(B1586="",N(O1586)=0),"",N(O1586)+ROUND(MIN(N(N1586),TOPE_UF*UF_MES)*(TASA_EMP+MUTUAL),0)+ROUND(MIN(N(N1586),TOPE_AFC_UF*UF_MES)*IF(S1586="Indefinido",AFC_INDEF,AFC_PF),0))</f>
        <v/>
      </c>
      <c r="U1586" s="62" t="str">
        <f aca="false">IF(C1586="","",IF(LEFT(D1586,1)="⚠","⚠ RUT no registrado en Trabajadores",IF(B1586="","⚠ Falta el mes",IF(OR(ISTEXT(I1586),ISTEXT(J1586)),"⚠ Atrasos u horas extra como texto: escriba hh:mm (ej. 1:30)",IF(AND(ISNUMBER(Q1586),COUNTIFS(M_RUTN,V1586,M_MES,B1586,M_LIQ,"&lt;&gt;")&gt;1),"⚠ Liquidación repetida en el mes",IF(AND(ISNUMBER(O1586),ISNUMBER(P1586),ISNUMBER(Q1586),ABS(O1586-P1586-Q1586)&gt;1),"⚠ Haberes − descuentos no da el líquido","OK"))))))</f>
        <v/>
      </c>
      <c r="V1586" s="62" t="str">
        <f aca="false">IF(C1586="","",IFERROR(VALUE(LEFT(UPPER(SUBSTITUTE(SUBSTITUTE(SUBSTITUTE(TRIM(C1586),".",""),"-","")," ","")),LEN(UPPER(SUBSTITUTE(SUBSTITUTE(SUBSTITUTE(TRIM(C1586),".",""),"-","")," ","")))-1))&amp;RIGHT(UPPER(SUBSTITUTE(SUBSTITUTE(SUBSTITUTE(TRIM(C1586),".",""),"-","")," ","")),1),UPPER(SUBSTITUTE(SUBSTITUTE(SUBSTITUTE(TRIM(C1586),".",""),"-","")," ",""))))</f>
        <v/>
      </c>
    </row>
    <row r="1587" customFormat="false" ht="15" hidden="false" customHeight="false" outlineLevel="0" collapsed="false">
      <c r="B1587" s="80"/>
      <c r="C1587" s="58"/>
      <c r="D1587" s="62" t="str">
        <f aca="false">IF(C1587="","",IFERROR(INDEX(T_NOMBRE,MATCH(V1587,T_RUTN,0)),"⚠ RUT no está en Trabajadores"))</f>
        <v/>
      </c>
      <c r="E1587" s="61"/>
      <c r="F1587" s="61"/>
      <c r="G1587" s="61"/>
      <c r="H1587" s="61"/>
      <c r="I1587" s="81"/>
      <c r="J1587" s="81"/>
      <c r="K1587" s="60"/>
      <c r="L1587" s="60"/>
      <c r="M1587" s="60"/>
      <c r="N1587" s="60"/>
      <c r="O1587" s="60"/>
      <c r="P1587" s="60"/>
      <c r="Q1587" s="60"/>
      <c r="R1587" s="58"/>
      <c r="S1587" s="62" t="str">
        <f aca="false">IF(OR(B1587="",V1587=""),"",IFERROR(INDEX(C_TIPO,MATCH(V1587&amp;"-P"&amp;MAX(1,COUNTIFS(C_RUTN,V1587,C_DEF,"Sí",C_INI,"&lt;="&amp;EOMONTH(B1587,0))),C_CLAVE,0))&amp;"","Sin contrato"))</f>
        <v/>
      </c>
      <c r="T1587" s="63" t="str">
        <f aca="false">IF(OR(B1587="",N(O1587)=0),"",N(O1587)+ROUND(MIN(N(N1587),TOPE_UF*UF_MES)*(TASA_EMP+MUTUAL),0)+ROUND(MIN(N(N1587),TOPE_AFC_UF*UF_MES)*IF(S1587="Indefinido",AFC_INDEF,AFC_PF),0))</f>
        <v/>
      </c>
      <c r="U1587" s="62" t="str">
        <f aca="false">IF(C1587="","",IF(LEFT(D1587,1)="⚠","⚠ RUT no registrado en Trabajadores",IF(B1587="","⚠ Falta el mes",IF(OR(ISTEXT(I1587),ISTEXT(J1587)),"⚠ Atrasos u horas extra como texto: escriba hh:mm (ej. 1:30)",IF(AND(ISNUMBER(Q1587),COUNTIFS(M_RUTN,V1587,M_MES,B1587,M_LIQ,"&lt;&gt;")&gt;1),"⚠ Liquidación repetida en el mes",IF(AND(ISNUMBER(O1587),ISNUMBER(P1587),ISNUMBER(Q1587),ABS(O1587-P1587-Q1587)&gt;1),"⚠ Haberes − descuentos no da el líquido","OK"))))))</f>
        <v/>
      </c>
      <c r="V1587" s="62" t="str">
        <f aca="false">IF(C1587="","",IFERROR(VALUE(LEFT(UPPER(SUBSTITUTE(SUBSTITUTE(SUBSTITUTE(TRIM(C1587),".",""),"-","")," ","")),LEN(UPPER(SUBSTITUTE(SUBSTITUTE(SUBSTITUTE(TRIM(C1587),".",""),"-","")," ","")))-1))&amp;RIGHT(UPPER(SUBSTITUTE(SUBSTITUTE(SUBSTITUTE(TRIM(C1587),".",""),"-","")," ","")),1),UPPER(SUBSTITUTE(SUBSTITUTE(SUBSTITUTE(TRIM(C1587),".",""),"-","")," ",""))))</f>
        <v/>
      </c>
    </row>
    <row r="1588" customFormat="false" ht="15" hidden="false" customHeight="false" outlineLevel="0" collapsed="false">
      <c r="B1588" s="80"/>
      <c r="C1588" s="58"/>
      <c r="D1588" s="62" t="str">
        <f aca="false">IF(C1588="","",IFERROR(INDEX(T_NOMBRE,MATCH(V1588,T_RUTN,0)),"⚠ RUT no está en Trabajadores"))</f>
        <v/>
      </c>
      <c r="E1588" s="61"/>
      <c r="F1588" s="61"/>
      <c r="G1588" s="61"/>
      <c r="H1588" s="61"/>
      <c r="I1588" s="81"/>
      <c r="J1588" s="81"/>
      <c r="K1588" s="60"/>
      <c r="L1588" s="60"/>
      <c r="M1588" s="60"/>
      <c r="N1588" s="60"/>
      <c r="O1588" s="60"/>
      <c r="P1588" s="60"/>
      <c r="Q1588" s="60"/>
      <c r="R1588" s="58"/>
      <c r="S1588" s="62" t="str">
        <f aca="false">IF(OR(B1588="",V1588=""),"",IFERROR(INDEX(C_TIPO,MATCH(V1588&amp;"-P"&amp;MAX(1,COUNTIFS(C_RUTN,V1588,C_DEF,"Sí",C_INI,"&lt;="&amp;EOMONTH(B1588,0))),C_CLAVE,0))&amp;"","Sin contrato"))</f>
        <v/>
      </c>
      <c r="T1588" s="63" t="str">
        <f aca="false">IF(OR(B1588="",N(O1588)=0),"",N(O1588)+ROUND(MIN(N(N1588),TOPE_UF*UF_MES)*(TASA_EMP+MUTUAL),0)+ROUND(MIN(N(N1588),TOPE_AFC_UF*UF_MES)*IF(S1588="Indefinido",AFC_INDEF,AFC_PF),0))</f>
        <v/>
      </c>
      <c r="U1588" s="62" t="str">
        <f aca="false">IF(C1588="","",IF(LEFT(D1588,1)="⚠","⚠ RUT no registrado en Trabajadores",IF(B1588="","⚠ Falta el mes",IF(OR(ISTEXT(I1588),ISTEXT(J1588)),"⚠ Atrasos u horas extra como texto: escriba hh:mm (ej. 1:30)",IF(AND(ISNUMBER(Q1588),COUNTIFS(M_RUTN,V1588,M_MES,B1588,M_LIQ,"&lt;&gt;")&gt;1),"⚠ Liquidación repetida en el mes",IF(AND(ISNUMBER(O1588),ISNUMBER(P1588),ISNUMBER(Q1588),ABS(O1588-P1588-Q1588)&gt;1),"⚠ Haberes − descuentos no da el líquido","OK"))))))</f>
        <v/>
      </c>
      <c r="V1588" s="62" t="str">
        <f aca="false">IF(C1588="","",IFERROR(VALUE(LEFT(UPPER(SUBSTITUTE(SUBSTITUTE(SUBSTITUTE(TRIM(C1588),".",""),"-","")," ","")),LEN(UPPER(SUBSTITUTE(SUBSTITUTE(SUBSTITUTE(TRIM(C1588),".",""),"-","")," ","")))-1))&amp;RIGHT(UPPER(SUBSTITUTE(SUBSTITUTE(SUBSTITUTE(TRIM(C1588),".",""),"-","")," ","")),1),UPPER(SUBSTITUTE(SUBSTITUTE(SUBSTITUTE(TRIM(C1588),".",""),"-","")," ",""))))</f>
        <v/>
      </c>
    </row>
    <row r="1589" customFormat="false" ht="15" hidden="false" customHeight="false" outlineLevel="0" collapsed="false">
      <c r="B1589" s="80"/>
      <c r="C1589" s="58"/>
      <c r="D1589" s="62" t="str">
        <f aca="false">IF(C1589="","",IFERROR(INDEX(T_NOMBRE,MATCH(V1589,T_RUTN,0)),"⚠ RUT no está en Trabajadores"))</f>
        <v/>
      </c>
      <c r="E1589" s="61"/>
      <c r="F1589" s="61"/>
      <c r="G1589" s="61"/>
      <c r="H1589" s="61"/>
      <c r="I1589" s="81"/>
      <c r="J1589" s="81"/>
      <c r="K1589" s="60"/>
      <c r="L1589" s="60"/>
      <c r="M1589" s="60"/>
      <c r="N1589" s="60"/>
      <c r="O1589" s="60"/>
      <c r="P1589" s="60"/>
      <c r="Q1589" s="60"/>
      <c r="R1589" s="58"/>
      <c r="S1589" s="62" t="str">
        <f aca="false">IF(OR(B1589="",V1589=""),"",IFERROR(INDEX(C_TIPO,MATCH(V1589&amp;"-P"&amp;MAX(1,COUNTIFS(C_RUTN,V1589,C_DEF,"Sí",C_INI,"&lt;="&amp;EOMONTH(B1589,0))),C_CLAVE,0))&amp;"","Sin contrato"))</f>
        <v/>
      </c>
      <c r="T1589" s="63" t="str">
        <f aca="false">IF(OR(B1589="",N(O1589)=0),"",N(O1589)+ROUND(MIN(N(N1589),TOPE_UF*UF_MES)*(TASA_EMP+MUTUAL),0)+ROUND(MIN(N(N1589),TOPE_AFC_UF*UF_MES)*IF(S1589="Indefinido",AFC_INDEF,AFC_PF),0))</f>
        <v/>
      </c>
      <c r="U1589" s="62" t="str">
        <f aca="false">IF(C1589="","",IF(LEFT(D1589,1)="⚠","⚠ RUT no registrado en Trabajadores",IF(B1589="","⚠ Falta el mes",IF(OR(ISTEXT(I1589),ISTEXT(J1589)),"⚠ Atrasos u horas extra como texto: escriba hh:mm (ej. 1:30)",IF(AND(ISNUMBER(Q1589),COUNTIFS(M_RUTN,V1589,M_MES,B1589,M_LIQ,"&lt;&gt;")&gt;1),"⚠ Liquidación repetida en el mes",IF(AND(ISNUMBER(O1589),ISNUMBER(P1589),ISNUMBER(Q1589),ABS(O1589-P1589-Q1589)&gt;1),"⚠ Haberes − descuentos no da el líquido","OK"))))))</f>
        <v/>
      </c>
      <c r="V1589" s="62" t="str">
        <f aca="false">IF(C1589="","",IFERROR(VALUE(LEFT(UPPER(SUBSTITUTE(SUBSTITUTE(SUBSTITUTE(TRIM(C1589),".",""),"-","")," ","")),LEN(UPPER(SUBSTITUTE(SUBSTITUTE(SUBSTITUTE(TRIM(C1589),".",""),"-","")," ","")))-1))&amp;RIGHT(UPPER(SUBSTITUTE(SUBSTITUTE(SUBSTITUTE(TRIM(C1589),".",""),"-","")," ","")),1),UPPER(SUBSTITUTE(SUBSTITUTE(SUBSTITUTE(TRIM(C1589),".",""),"-","")," ",""))))</f>
        <v/>
      </c>
    </row>
    <row r="1590" customFormat="false" ht="15" hidden="false" customHeight="false" outlineLevel="0" collapsed="false">
      <c r="B1590" s="80"/>
      <c r="C1590" s="58"/>
      <c r="D1590" s="62" t="str">
        <f aca="false">IF(C1590="","",IFERROR(INDEX(T_NOMBRE,MATCH(V1590,T_RUTN,0)),"⚠ RUT no está en Trabajadores"))</f>
        <v/>
      </c>
      <c r="E1590" s="61"/>
      <c r="F1590" s="61"/>
      <c r="G1590" s="61"/>
      <c r="H1590" s="61"/>
      <c r="I1590" s="81"/>
      <c r="J1590" s="81"/>
      <c r="K1590" s="60"/>
      <c r="L1590" s="60"/>
      <c r="M1590" s="60"/>
      <c r="N1590" s="60"/>
      <c r="O1590" s="60"/>
      <c r="P1590" s="60"/>
      <c r="Q1590" s="60"/>
      <c r="R1590" s="58"/>
      <c r="S1590" s="62" t="str">
        <f aca="false">IF(OR(B1590="",V1590=""),"",IFERROR(INDEX(C_TIPO,MATCH(V1590&amp;"-P"&amp;MAX(1,COUNTIFS(C_RUTN,V1590,C_DEF,"Sí",C_INI,"&lt;="&amp;EOMONTH(B1590,0))),C_CLAVE,0))&amp;"","Sin contrato"))</f>
        <v/>
      </c>
      <c r="T1590" s="63" t="str">
        <f aca="false">IF(OR(B1590="",N(O1590)=0),"",N(O1590)+ROUND(MIN(N(N1590),TOPE_UF*UF_MES)*(TASA_EMP+MUTUAL),0)+ROUND(MIN(N(N1590),TOPE_AFC_UF*UF_MES)*IF(S1590="Indefinido",AFC_INDEF,AFC_PF),0))</f>
        <v/>
      </c>
      <c r="U1590" s="62" t="str">
        <f aca="false">IF(C1590="","",IF(LEFT(D1590,1)="⚠","⚠ RUT no registrado en Trabajadores",IF(B1590="","⚠ Falta el mes",IF(OR(ISTEXT(I1590),ISTEXT(J1590)),"⚠ Atrasos u horas extra como texto: escriba hh:mm (ej. 1:30)",IF(AND(ISNUMBER(Q1590),COUNTIFS(M_RUTN,V1590,M_MES,B1590,M_LIQ,"&lt;&gt;")&gt;1),"⚠ Liquidación repetida en el mes",IF(AND(ISNUMBER(O1590),ISNUMBER(P1590),ISNUMBER(Q1590),ABS(O1590-P1590-Q1590)&gt;1),"⚠ Haberes − descuentos no da el líquido","OK"))))))</f>
        <v/>
      </c>
      <c r="V1590" s="62" t="str">
        <f aca="false">IF(C1590="","",IFERROR(VALUE(LEFT(UPPER(SUBSTITUTE(SUBSTITUTE(SUBSTITUTE(TRIM(C1590),".",""),"-","")," ","")),LEN(UPPER(SUBSTITUTE(SUBSTITUTE(SUBSTITUTE(TRIM(C1590),".",""),"-","")," ","")))-1))&amp;RIGHT(UPPER(SUBSTITUTE(SUBSTITUTE(SUBSTITUTE(TRIM(C1590),".",""),"-","")," ","")),1),UPPER(SUBSTITUTE(SUBSTITUTE(SUBSTITUTE(TRIM(C1590),".",""),"-","")," ",""))))</f>
        <v/>
      </c>
    </row>
    <row r="1591" customFormat="false" ht="15" hidden="false" customHeight="false" outlineLevel="0" collapsed="false">
      <c r="B1591" s="80"/>
      <c r="C1591" s="58"/>
      <c r="D1591" s="62" t="str">
        <f aca="false">IF(C1591="","",IFERROR(INDEX(T_NOMBRE,MATCH(V1591,T_RUTN,0)),"⚠ RUT no está en Trabajadores"))</f>
        <v/>
      </c>
      <c r="E1591" s="61"/>
      <c r="F1591" s="61"/>
      <c r="G1591" s="61"/>
      <c r="H1591" s="61"/>
      <c r="I1591" s="81"/>
      <c r="J1591" s="81"/>
      <c r="K1591" s="60"/>
      <c r="L1591" s="60"/>
      <c r="M1591" s="60"/>
      <c r="N1591" s="60"/>
      <c r="O1591" s="60"/>
      <c r="P1591" s="60"/>
      <c r="Q1591" s="60"/>
      <c r="R1591" s="58"/>
      <c r="S1591" s="62" t="str">
        <f aca="false">IF(OR(B1591="",V1591=""),"",IFERROR(INDEX(C_TIPO,MATCH(V1591&amp;"-P"&amp;MAX(1,COUNTIFS(C_RUTN,V1591,C_DEF,"Sí",C_INI,"&lt;="&amp;EOMONTH(B1591,0))),C_CLAVE,0))&amp;"","Sin contrato"))</f>
        <v/>
      </c>
      <c r="T1591" s="63" t="str">
        <f aca="false">IF(OR(B1591="",N(O1591)=0),"",N(O1591)+ROUND(MIN(N(N1591),TOPE_UF*UF_MES)*(TASA_EMP+MUTUAL),0)+ROUND(MIN(N(N1591),TOPE_AFC_UF*UF_MES)*IF(S1591="Indefinido",AFC_INDEF,AFC_PF),0))</f>
        <v/>
      </c>
      <c r="U1591" s="62" t="str">
        <f aca="false">IF(C1591="","",IF(LEFT(D1591,1)="⚠","⚠ RUT no registrado en Trabajadores",IF(B1591="","⚠ Falta el mes",IF(OR(ISTEXT(I1591),ISTEXT(J1591)),"⚠ Atrasos u horas extra como texto: escriba hh:mm (ej. 1:30)",IF(AND(ISNUMBER(Q1591),COUNTIFS(M_RUTN,V1591,M_MES,B1591,M_LIQ,"&lt;&gt;")&gt;1),"⚠ Liquidación repetida en el mes",IF(AND(ISNUMBER(O1591),ISNUMBER(P1591),ISNUMBER(Q1591),ABS(O1591-P1591-Q1591)&gt;1),"⚠ Haberes − descuentos no da el líquido","OK"))))))</f>
        <v/>
      </c>
      <c r="V1591" s="62" t="str">
        <f aca="false">IF(C1591="","",IFERROR(VALUE(LEFT(UPPER(SUBSTITUTE(SUBSTITUTE(SUBSTITUTE(TRIM(C1591),".",""),"-","")," ","")),LEN(UPPER(SUBSTITUTE(SUBSTITUTE(SUBSTITUTE(TRIM(C1591),".",""),"-","")," ","")))-1))&amp;RIGHT(UPPER(SUBSTITUTE(SUBSTITUTE(SUBSTITUTE(TRIM(C1591),".",""),"-","")," ","")),1),UPPER(SUBSTITUTE(SUBSTITUTE(SUBSTITUTE(TRIM(C1591),".",""),"-","")," ",""))))</f>
        <v/>
      </c>
    </row>
    <row r="1592" customFormat="false" ht="15" hidden="false" customHeight="false" outlineLevel="0" collapsed="false">
      <c r="B1592" s="80"/>
      <c r="C1592" s="58"/>
      <c r="D1592" s="62" t="str">
        <f aca="false">IF(C1592="","",IFERROR(INDEX(T_NOMBRE,MATCH(V1592,T_RUTN,0)),"⚠ RUT no está en Trabajadores"))</f>
        <v/>
      </c>
      <c r="E1592" s="61"/>
      <c r="F1592" s="61"/>
      <c r="G1592" s="61"/>
      <c r="H1592" s="61"/>
      <c r="I1592" s="81"/>
      <c r="J1592" s="81"/>
      <c r="K1592" s="60"/>
      <c r="L1592" s="60"/>
      <c r="M1592" s="60"/>
      <c r="N1592" s="60"/>
      <c r="O1592" s="60"/>
      <c r="P1592" s="60"/>
      <c r="Q1592" s="60"/>
      <c r="R1592" s="58"/>
      <c r="S1592" s="62" t="str">
        <f aca="false">IF(OR(B1592="",V1592=""),"",IFERROR(INDEX(C_TIPO,MATCH(V1592&amp;"-P"&amp;MAX(1,COUNTIFS(C_RUTN,V1592,C_DEF,"Sí",C_INI,"&lt;="&amp;EOMONTH(B1592,0))),C_CLAVE,0))&amp;"","Sin contrato"))</f>
        <v/>
      </c>
      <c r="T1592" s="63" t="str">
        <f aca="false">IF(OR(B1592="",N(O1592)=0),"",N(O1592)+ROUND(MIN(N(N1592),TOPE_UF*UF_MES)*(TASA_EMP+MUTUAL),0)+ROUND(MIN(N(N1592),TOPE_AFC_UF*UF_MES)*IF(S1592="Indefinido",AFC_INDEF,AFC_PF),0))</f>
        <v/>
      </c>
      <c r="U1592" s="62" t="str">
        <f aca="false">IF(C1592="","",IF(LEFT(D1592,1)="⚠","⚠ RUT no registrado en Trabajadores",IF(B1592="","⚠ Falta el mes",IF(OR(ISTEXT(I1592),ISTEXT(J1592)),"⚠ Atrasos u horas extra como texto: escriba hh:mm (ej. 1:30)",IF(AND(ISNUMBER(Q1592),COUNTIFS(M_RUTN,V1592,M_MES,B1592,M_LIQ,"&lt;&gt;")&gt;1),"⚠ Liquidación repetida en el mes",IF(AND(ISNUMBER(O1592),ISNUMBER(P1592),ISNUMBER(Q1592),ABS(O1592-P1592-Q1592)&gt;1),"⚠ Haberes − descuentos no da el líquido","OK"))))))</f>
        <v/>
      </c>
      <c r="V1592" s="62" t="str">
        <f aca="false">IF(C1592="","",IFERROR(VALUE(LEFT(UPPER(SUBSTITUTE(SUBSTITUTE(SUBSTITUTE(TRIM(C1592),".",""),"-","")," ","")),LEN(UPPER(SUBSTITUTE(SUBSTITUTE(SUBSTITUTE(TRIM(C1592),".",""),"-","")," ","")))-1))&amp;RIGHT(UPPER(SUBSTITUTE(SUBSTITUTE(SUBSTITUTE(TRIM(C1592),".",""),"-","")," ","")),1),UPPER(SUBSTITUTE(SUBSTITUTE(SUBSTITUTE(TRIM(C1592),".",""),"-","")," ",""))))</f>
        <v/>
      </c>
    </row>
    <row r="1593" customFormat="false" ht="15" hidden="false" customHeight="false" outlineLevel="0" collapsed="false">
      <c r="B1593" s="80"/>
      <c r="C1593" s="58"/>
      <c r="D1593" s="62" t="str">
        <f aca="false">IF(C1593="","",IFERROR(INDEX(T_NOMBRE,MATCH(V1593,T_RUTN,0)),"⚠ RUT no está en Trabajadores"))</f>
        <v/>
      </c>
      <c r="E1593" s="61"/>
      <c r="F1593" s="61"/>
      <c r="G1593" s="61"/>
      <c r="H1593" s="61"/>
      <c r="I1593" s="81"/>
      <c r="J1593" s="81"/>
      <c r="K1593" s="60"/>
      <c r="L1593" s="60"/>
      <c r="M1593" s="60"/>
      <c r="N1593" s="60"/>
      <c r="O1593" s="60"/>
      <c r="P1593" s="60"/>
      <c r="Q1593" s="60"/>
      <c r="R1593" s="58"/>
      <c r="S1593" s="62" t="str">
        <f aca="false">IF(OR(B1593="",V1593=""),"",IFERROR(INDEX(C_TIPO,MATCH(V1593&amp;"-P"&amp;MAX(1,COUNTIFS(C_RUTN,V1593,C_DEF,"Sí",C_INI,"&lt;="&amp;EOMONTH(B1593,0))),C_CLAVE,0))&amp;"","Sin contrato"))</f>
        <v/>
      </c>
      <c r="T1593" s="63" t="str">
        <f aca="false">IF(OR(B1593="",N(O1593)=0),"",N(O1593)+ROUND(MIN(N(N1593),TOPE_UF*UF_MES)*(TASA_EMP+MUTUAL),0)+ROUND(MIN(N(N1593),TOPE_AFC_UF*UF_MES)*IF(S1593="Indefinido",AFC_INDEF,AFC_PF),0))</f>
        <v/>
      </c>
      <c r="U1593" s="62" t="str">
        <f aca="false">IF(C1593="","",IF(LEFT(D1593,1)="⚠","⚠ RUT no registrado en Trabajadores",IF(B1593="","⚠ Falta el mes",IF(OR(ISTEXT(I1593),ISTEXT(J1593)),"⚠ Atrasos u horas extra como texto: escriba hh:mm (ej. 1:30)",IF(AND(ISNUMBER(Q1593),COUNTIFS(M_RUTN,V1593,M_MES,B1593,M_LIQ,"&lt;&gt;")&gt;1),"⚠ Liquidación repetida en el mes",IF(AND(ISNUMBER(O1593),ISNUMBER(P1593),ISNUMBER(Q1593),ABS(O1593-P1593-Q1593)&gt;1),"⚠ Haberes − descuentos no da el líquido","OK"))))))</f>
        <v/>
      </c>
      <c r="V1593" s="62" t="str">
        <f aca="false">IF(C1593="","",IFERROR(VALUE(LEFT(UPPER(SUBSTITUTE(SUBSTITUTE(SUBSTITUTE(TRIM(C1593),".",""),"-","")," ","")),LEN(UPPER(SUBSTITUTE(SUBSTITUTE(SUBSTITUTE(TRIM(C1593),".",""),"-","")," ","")))-1))&amp;RIGHT(UPPER(SUBSTITUTE(SUBSTITUTE(SUBSTITUTE(TRIM(C1593),".",""),"-","")," ","")),1),UPPER(SUBSTITUTE(SUBSTITUTE(SUBSTITUTE(TRIM(C1593),".",""),"-","")," ",""))))</f>
        <v/>
      </c>
    </row>
    <row r="1594" customFormat="false" ht="15" hidden="false" customHeight="false" outlineLevel="0" collapsed="false">
      <c r="B1594" s="80"/>
      <c r="C1594" s="58"/>
      <c r="D1594" s="62" t="str">
        <f aca="false">IF(C1594="","",IFERROR(INDEX(T_NOMBRE,MATCH(V1594,T_RUTN,0)),"⚠ RUT no está en Trabajadores"))</f>
        <v/>
      </c>
      <c r="E1594" s="61"/>
      <c r="F1594" s="61"/>
      <c r="G1594" s="61"/>
      <c r="H1594" s="61"/>
      <c r="I1594" s="81"/>
      <c r="J1594" s="81"/>
      <c r="K1594" s="60"/>
      <c r="L1594" s="60"/>
      <c r="M1594" s="60"/>
      <c r="N1594" s="60"/>
      <c r="O1594" s="60"/>
      <c r="P1594" s="60"/>
      <c r="Q1594" s="60"/>
      <c r="R1594" s="58"/>
      <c r="S1594" s="62" t="str">
        <f aca="false">IF(OR(B1594="",V1594=""),"",IFERROR(INDEX(C_TIPO,MATCH(V1594&amp;"-P"&amp;MAX(1,COUNTIFS(C_RUTN,V1594,C_DEF,"Sí",C_INI,"&lt;="&amp;EOMONTH(B1594,0))),C_CLAVE,0))&amp;"","Sin contrato"))</f>
        <v/>
      </c>
      <c r="T1594" s="63" t="str">
        <f aca="false">IF(OR(B1594="",N(O1594)=0),"",N(O1594)+ROUND(MIN(N(N1594),TOPE_UF*UF_MES)*(TASA_EMP+MUTUAL),0)+ROUND(MIN(N(N1594),TOPE_AFC_UF*UF_MES)*IF(S1594="Indefinido",AFC_INDEF,AFC_PF),0))</f>
        <v/>
      </c>
      <c r="U1594" s="62" t="str">
        <f aca="false">IF(C1594="","",IF(LEFT(D1594,1)="⚠","⚠ RUT no registrado en Trabajadores",IF(B1594="","⚠ Falta el mes",IF(OR(ISTEXT(I1594),ISTEXT(J1594)),"⚠ Atrasos u horas extra como texto: escriba hh:mm (ej. 1:30)",IF(AND(ISNUMBER(Q1594),COUNTIFS(M_RUTN,V1594,M_MES,B1594,M_LIQ,"&lt;&gt;")&gt;1),"⚠ Liquidación repetida en el mes",IF(AND(ISNUMBER(O1594),ISNUMBER(P1594),ISNUMBER(Q1594),ABS(O1594-P1594-Q1594)&gt;1),"⚠ Haberes − descuentos no da el líquido","OK"))))))</f>
        <v/>
      </c>
      <c r="V1594" s="62" t="str">
        <f aca="false">IF(C1594="","",IFERROR(VALUE(LEFT(UPPER(SUBSTITUTE(SUBSTITUTE(SUBSTITUTE(TRIM(C1594),".",""),"-","")," ","")),LEN(UPPER(SUBSTITUTE(SUBSTITUTE(SUBSTITUTE(TRIM(C1594),".",""),"-","")," ","")))-1))&amp;RIGHT(UPPER(SUBSTITUTE(SUBSTITUTE(SUBSTITUTE(TRIM(C1594),".",""),"-","")," ","")),1),UPPER(SUBSTITUTE(SUBSTITUTE(SUBSTITUTE(TRIM(C1594),".",""),"-","")," ",""))))</f>
        <v/>
      </c>
    </row>
    <row r="1595" customFormat="false" ht="15" hidden="false" customHeight="false" outlineLevel="0" collapsed="false">
      <c r="B1595" s="80"/>
      <c r="C1595" s="58"/>
      <c r="D1595" s="62" t="str">
        <f aca="false">IF(C1595="","",IFERROR(INDEX(T_NOMBRE,MATCH(V1595,T_RUTN,0)),"⚠ RUT no está en Trabajadores"))</f>
        <v/>
      </c>
      <c r="E1595" s="61"/>
      <c r="F1595" s="61"/>
      <c r="G1595" s="61"/>
      <c r="H1595" s="61"/>
      <c r="I1595" s="81"/>
      <c r="J1595" s="81"/>
      <c r="K1595" s="60"/>
      <c r="L1595" s="60"/>
      <c r="M1595" s="60"/>
      <c r="N1595" s="60"/>
      <c r="O1595" s="60"/>
      <c r="P1595" s="60"/>
      <c r="Q1595" s="60"/>
      <c r="R1595" s="58"/>
      <c r="S1595" s="62" t="str">
        <f aca="false">IF(OR(B1595="",V1595=""),"",IFERROR(INDEX(C_TIPO,MATCH(V1595&amp;"-P"&amp;MAX(1,COUNTIFS(C_RUTN,V1595,C_DEF,"Sí",C_INI,"&lt;="&amp;EOMONTH(B1595,0))),C_CLAVE,0))&amp;"","Sin contrato"))</f>
        <v/>
      </c>
      <c r="T1595" s="63" t="str">
        <f aca="false">IF(OR(B1595="",N(O1595)=0),"",N(O1595)+ROUND(MIN(N(N1595),TOPE_UF*UF_MES)*(TASA_EMP+MUTUAL),0)+ROUND(MIN(N(N1595),TOPE_AFC_UF*UF_MES)*IF(S1595="Indefinido",AFC_INDEF,AFC_PF),0))</f>
        <v/>
      </c>
      <c r="U1595" s="62" t="str">
        <f aca="false">IF(C1595="","",IF(LEFT(D1595,1)="⚠","⚠ RUT no registrado en Trabajadores",IF(B1595="","⚠ Falta el mes",IF(OR(ISTEXT(I1595),ISTEXT(J1595)),"⚠ Atrasos u horas extra como texto: escriba hh:mm (ej. 1:30)",IF(AND(ISNUMBER(Q1595),COUNTIFS(M_RUTN,V1595,M_MES,B1595,M_LIQ,"&lt;&gt;")&gt;1),"⚠ Liquidación repetida en el mes",IF(AND(ISNUMBER(O1595),ISNUMBER(P1595),ISNUMBER(Q1595),ABS(O1595-P1595-Q1595)&gt;1),"⚠ Haberes − descuentos no da el líquido","OK"))))))</f>
        <v/>
      </c>
      <c r="V1595" s="62" t="str">
        <f aca="false">IF(C1595="","",IFERROR(VALUE(LEFT(UPPER(SUBSTITUTE(SUBSTITUTE(SUBSTITUTE(TRIM(C1595),".",""),"-","")," ","")),LEN(UPPER(SUBSTITUTE(SUBSTITUTE(SUBSTITUTE(TRIM(C1595),".",""),"-","")," ","")))-1))&amp;RIGHT(UPPER(SUBSTITUTE(SUBSTITUTE(SUBSTITUTE(TRIM(C1595),".",""),"-","")," ","")),1),UPPER(SUBSTITUTE(SUBSTITUTE(SUBSTITUTE(TRIM(C1595),".",""),"-","")," ",""))))</f>
        <v/>
      </c>
    </row>
    <row r="1596" customFormat="false" ht="15" hidden="false" customHeight="false" outlineLevel="0" collapsed="false">
      <c r="B1596" s="80"/>
      <c r="C1596" s="58"/>
      <c r="D1596" s="62" t="str">
        <f aca="false">IF(C1596="","",IFERROR(INDEX(T_NOMBRE,MATCH(V1596,T_RUTN,0)),"⚠ RUT no está en Trabajadores"))</f>
        <v/>
      </c>
      <c r="E1596" s="61"/>
      <c r="F1596" s="61"/>
      <c r="G1596" s="61"/>
      <c r="H1596" s="61"/>
      <c r="I1596" s="81"/>
      <c r="J1596" s="81"/>
      <c r="K1596" s="60"/>
      <c r="L1596" s="60"/>
      <c r="M1596" s="60"/>
      <c r="N1596" s="60"/>
      <c r="O1596" s="60"/>
      <c r="P1596" s="60"/>
      <c r="Q1596" s="60"/>
      <c r="R1596" s="58"/>
      <c r="S1596" s="62" t="str">
        <f aca="false">IF(OR(B1596="",V1596=""),"",IFERROR(INDEX(C_TIPO,MATCH(V1596&amp;"-P"&amp;MAX(1,COUNTIFS(C_RUTN,V1596,C_DEF,"Sí",C_INI,"&lt;="&amp;EOMONTH(B1596,0))),C_CLAVE,0))&amp;"","Sin contrato"))</f>
        <v/>
      </c>
      <c r="T1596" s="63" t="str">
        <f aca="false">IF(OR(B1596="",N(O1596)=0),"",N(O1596)+ROUND(MIN(N(N1596),TOPE_UF*UF_MES)*(TASA_EMP+MUTUAL),0)+ROUND(MIN(N(N1596),TOPE_AFC_UF*UF_MES)*IF(S1596="Indefinido",AFC_INDEF,AFC_PF),0))</f>
        <v/>
      </c>
      <c r="U1596" s="62" t="str">
        <f aca="false">IF(C1596="","",IF(LEFT(D1596,1)="⚠","⚠ RUT no registrado en Trabajadores",IF(B1596="","⚠ Falta el mes",IF(OR(ISTEXT(I1596),ISTEXT(J1596)),"⚠ Atrasos u horas extra como texto: escriba hh:mm (ej. 1:30)",IF(AND(ISNUMBER(Q1596),COUNTIFS(M_RUTN,V1596,M_MES,B1596,M_LIQ,"&lt;&gt;")&gt;1),"⚠ Liquidación repetida en el mes",IF(AND(ISNUMBER(O1596),ISNUMBER(P1596),ISNUMBER(Q1596),ABS(O1596-P1596-Q1596)&gt;1),"⚠ Haberes − descuentos no da el líquido","OK"))))))</f>
        <v/>
      </c>
      <c r="V1596" s="62" t="str">
        <f aca="false">IF(C1596="","",IFERROR(VALUE(LEFT(UPPER(SUBSTITUTE(SUBSTITUTE(SUBSTITUTE(TRIM(C1596),".",""),"-","")," ","")),LEN(UPPER(SUBSTITUTE(SUBSTITUTE(SUBSTITUTE(TRIM(C1596),".",""),"-","")," ","")))-1))&amp;RIGHT(UPPER(SUBSTITUTE(SUBSTITUTE(SUBSTITUTE(TRIM(C1596),".",""),"-","")," ","")),1),UPPER(SUBSTITUTE(SUBSTITUTE(SUBSTITUTE(TRIM(C1596),".",""),"-","")," ",""))))</f>
        <v/>
      </c>
    </row>
    <row r="1597" customFormat="false" ht="15" hidden="false" customHeight="false" outlineLevel="0" collapsed="false">
      <c r="B1597" s="80"/>
      <c r="C1597" s="58"/>
      <c r="D1597" s="62" t="str">
        <f aca="false">IF(C1597="","",IFERROR(INDEX(T_NOMBRE,MATCH(V1597,T_RUTN,0)),"⚠ RUT no está en Trabajadores"))</f>
        <v/>
      </c>
      <c r="E1597" s="61"/>
      <c r="F1597" s="61"/>
      <c r="G1597" s="61"/>
      <c r="H1597" s="61"/>
      <c r="I1597" s="81"/>
      <c r="J1597" s="81"/>
      <c r="K1597" s="60"/>
      <c r="L1597" s="60"/>
      <c r="M1597" s="60"/>
      <c r="N1597" s="60"/>
      <c r="O1597" s="60"/>
      <c r="P1597" s="60"/>
      <c r="Q1597" s="60"/>
      <c r="R1597" s="58"/>
      <c r="S1597" s="62" t="str">
        <f aca="false">IF(OR(B1597="",V1597=""),"",IFERROR(INDEX(C_TIPO,MATCH(V1597&amp;"-P"&amp;MAX(1,COUNTIFS(C_RUTN,V1597,C_DEF,"Sí",C_INI,"&lt;="&amp;EOMONTH(B1597,0))),C_CLAVE,0))&amp;"","Sin contrato"))</f>
        <v/>
      </c>
      <c r="T1597" s="63" t="str">
        <f aca="false">IF(OR(B1597="",N(O1597)=0),"",N(O1597)+ROUND(MIN(N(N1597),TOPE_UF*UF_MES)*(TASA_EMP+MUTUAL),0)+ROUND(MIN(N(N1597),TOPE_AFC_UF*UF_MES)*IF(S1597="Indefinido",AFC_INDEF,AFC_PF),0))</f>
        <v/>
      </c>
      <c r="U1597" s="62" t="str">
        <f aca="false">IF(C1597="","",IF(LEFT(D1597,1)="⚠","⚠ RUT no registrado en Trabajadores",IF(B1597="","⚠ Falta el mes",IF(OR(ISTEXT(I1597),ISTEXT(J1597)),"⚠ Atrasos u horas extra como texto: escriba hh:mm (ej. 1:30)",IF(AND(ISNUMBER(Q1597),COUNTIFS(M_RUTN,V1597,M_MES,B1597,M_LIQ,"&lt;&gt;")&gt;1),"⚠ Liquidación repetida en el mes",IF(AND(ISNUMBER(O1597),ISNUMBER(P1597),ISNUMBER(Q1597),ABS(O1597-P1597-Q1597)&gt;1),"⚠ Haberes − descuentos no da el líquido","OK"))))))</f>
        <v/>
      </c>
      <c r="V1597" s="62" t="str">
        <f aca="false">IF(C1597="","",IFERROR(VALUE(LEFT(UPPER(SUBSTITUTE(SUBSTITUTE(SUBSTITUTE(TRIM(C1597),".",""),"-","")," ","")),LEN(UPPER(SUBSTITUTE(SUBSTITUTE(SUBSTITUTE(TRIM(C1597),".",""),"-","")," ","")))-1))&amp;RIGHT(UPPER(SUBSTITUTE(SUBSTITUTE(SUBSTITUTE(TRIM(C1597),".",""),"-","")," ","")),1),UPPER(SUBSTITUTE(SUBSTITUTE(SUBSTITUTE(TRIM(C1597),".",""),"-","")," ",""))))</f>
        <v/>
      </c>
    </row>
    <row r="1598" customFormat="false" ht="15" hidden="false" customHeight="false" outlineLevel="0" collapsed="false">
      <c r="B1598" s="80"/>
      <c r="C1598" s="58"/>
      <c r="D1598" s="62" t="str">
        <f aca="false">IF(C1598="","",IFERROR(INDEX(T_NOMBRE,MATCH(V1598,T_RUTN,0)),"⚠ RUT no está en Trabajadores"))</f>
        <v/>
      </c>
      <c r="E1598" s="61"/>
      <c r="F1598" s="61"/>
      <c r="G1598" s="61"/>
      <c r="H1598" s="61"/>
      <c r="I1598" s="81"/>
      <c r="J1598" s="81"/>
      <c r="K1598" s="60"/>
      <c r="L1598" s="60"/>
      <c r="M1598" s="60"/>
      <c r="N1598" s="60"/>
      <c r="O1598" s="60"/>
      <c r="P1598" s="60"/>
      <c r="Q1598" s="60"/>
      <c r="R1598" s="58"/>
      <c r="S1598" s="62" t="str">
        <f aca="false">IF(OR(B1598="",V1598=""),"",IFERROR(INDEX(C_TIPO,MATCH(V1598&amp;"-P"&amp;MAX(1,COUNTIFS(C_RUTN,V1598,C_DEF,"Sí",C_INI,"&lt;="&amp;EOMONTH(B1598,0))),C_CLAVE,0))&amp;"","Sin contrato"))</f>
        <v/>
      </c>
      <c r="T1598" s="63" t="str">
        <f aca="false">IF(OR(B1598="",N(O1598)=0),"",N(O1598)+ROUND(MIN(N(N1598),TOPE_UF*UF_MES)*(TASA_EMP+MUTUAL),0)+ROUND(MIN(N(N1598),TOPE_AFC_UF*UF_MES)*IF(S1598="Indefinido",AFC_INDEF,AFC_PF),0))</f>
        <v/>
      </c>
      <c r="U1598" s="62" t="str">
        <f aca="false">IF(C1598="","",IF(LEFT(D1598,1)="⚠","⚠ RUT no registrado en Trabajadores",IF(B1598="","⚠ Falta el mes",IF(OR(ISTEXT(I1598),ISTEXT(J1598)),"⚠ Atrasos u horas extra como texto: escriba hh:mm (ej. 1:30)",IF(AND(ISNUMBER(Q1598),COUNTIFS(M_RUTN,V1598,M_MES,B1598,M_LIQ,"&lt;&gt;")&gt;1),"⚠ Liquidación repetida en el mes",IF(AND(ISNUMBER(O1598),ISNUMBER(P1598),ISNUMBER(Q1598),ABS(O1598-P1598-Q1598)&gt;1),"⚠ Haberes − descuentos no da el líquido","OK"))))))</f>
        <v/>
      </c>
      <c r="V1598" s="62" t="str">
        <f aca="false">IF(C1598="","",IFERROR(VALUE(LEFT(UPPER(SUBSTITUTE(SUBSTITUTE(SUBSTITUTE(TRIM(C1598),".",""),"-","")," ","")),LEN(UPPER(SUBSTITUTE(SUBSTITUTE(SUBSTITUTE(TRIM(C1598),".",""),"-","")," ","")))-1))&amp;RIGHT(UPPER(SUBSTITUTE(SUBSTITUTE(SUBSTITUTE(TRIM(C1598),".",""),"-","")," ","")),1),UPPER(SUBSTITUTE(SUBSTITUTE(SUBSTITUTE(TRIM(C1598),".",""),"-","")," ",""))))</f>
        <v/>
      </c>
    </row>
    <row r="1599" customFormat="false" ht="15" hidden="false" customHeight="false" outlineLevel="0" collapsed="false">
      <c r="B1599" s="80"/>
      <c r="C1599" s="58"/>
      <c r="D1599" s="62" t="str">
        <f aca="false">IF(C1599="","",IFERROR(INDEX(T_NOMBRE,MATCH(V1599,T_RUTN,0)),"⚠ RUT no está en Trabajadores"))</f>
        <v/>
      </c>
      <c r="E1599" s="61"/>
      <c r="F1599" s="61"/>
      <c r="G1599" s="61"/>
      <c r="H1599" s="61"/>
      <c r="I1599" s="81"/>
      <c r="J1599" s="81"/>
      <c r="K1599" s="60"/>
      <c r="L1599" s="60"/>
      <c r="M1599" s="60"/>
      <c r="N1599" s="60"/>
      <c r="O1599" s="60"/>
      <c r="P1599" s="60"/>
      <c r="Q1599" s="60"/>
      <c r="R1599" s="58"/>
      <c r="S1599" s="62" t="str">
        <f aca="false">IF(OR(B1599="",V1599=""),"",IFERROR(INDEX(C_TIPO,MATCH(V1599&amp;"-P"&amp;MAX(1,COUNTIFS(C_RUTN,V1599,C_DEF,"Sí",C_INI,"&lt;="&amp;EOMONTH(B1599,0))),C_CLAVE,0))&amp;"","Sin contrato"))</f>
        <v/>
      </c>
      <c r="T1599" s="63" t="str">
        <f aca="false">IF(OR(B1599="",N(O1599)=0),"",N(O1599)+ROUND(MIN(N(N1599),TOPE_UF*UF_MES)*(TASA_EMP+MUTUAL),0)+ROUND(MIN(N(N1599),TOPE_AFC_UF*UF_MES)*IF(S1599="Indefinido",AFC_INDEF,AFC_PF),0))</f>
        <v/>
      </c>
      <c r="U1599" s="62" t="str">
        <f aca="false">IF(C1599="","",IF(LEFT(D1599,1)="⚠","⚠ RUT no registrado en Trabajadores",IF(B1599="","⚠ Falta el mes",IF(OR(ISTEXT(I1599),ISTEXT(J1599)),"⚠ Atrasos u horas extra como texto: escriba hh:mm (ej. 1:30)",IF(AND(ISNUMBER(Q1599),COUNTIFS(M_RUTN,V1599,M_MES,B1599,M_LIQ,"&lt;&gt;")&gt;1),"⚠ Liquidación repetida en el mes",IF(AND(ISNUMBER(O1599),ISNUMBER(P1599),ISNUMBER(Q1599),ABS(O1599-P1599-Q1599)&gt;1),"⚠ Haberes − descuentos no da el líquido","OK"))))))</f>
        <v/>
      </c>
      <c r="V1599" s="62" t="str">
        <f aca="false">IF(C1599="","",IFERROR(VALUE(LEFT(UPPER(SUBSTITUTE(SUBSTITUTE(SUBSTITUTE(TRIM(C1599),".",""),"-","")," ","")),LEN(UPPER(SUBSTITUTE(SUBSTITUTE(SUBSTITUTE(TRIM(C1599),".",""),"-","")," ","")))-1))&amp;RIGHT(UPPER(SUBSTITUTE(SUBSTITUTE(SUBSTITUTE(TRIM(C1599),".",""),"-","")," ","")),1),UPPER(SUBSTITUTE(SUBSTITUTE(SUBSTITUTE(TRIM(C1599),".",""),"-","")," ",""))))</f>
        <v/>
      </c>
    </row>
    <row r="1600" customFormat="false" ht="15" hidden="false" customHeight="false" outlineLevel="0" collapsed="false">
      <c r="B1600" s="80"/>
      <c r="C1600" s="58"/>
      <c r="D1600" s="62" t="str">
        <f aca="false">IF(C1600="","",IFERROR(INDEX(T_NOMBRE,MATCH(V1600,T_RUTN,0)),"⚠ RUT no está en Trabajadores"))</f>
        <v/>
      </c>
      <c r="E1600" s="61"/>
      <c r="F1600" s="61"/>
      <c r="G1600" s="61"/>
      <c r="H1600" s="61"/>
      <c r="I1600" s="81"/>
      <c r="J1600" s="81"/>
      <c r="K1600" s="60"/>
      <c r="L1600" s="60"/>
      <c r="M1600" s="60"/>
      <c r="N1600" s="60"/>
      <c r="O1600" s="60"/>
      <c r="P1600" s="60"/>
      <c r="Q1600" s="60"/>
      <c r="R1600" s="58"/>
      <c r="S1600" s="62" t="str">
        <f aca="false">IF(OR(B1600="",V1600=""),"",IFERROR(INDEX(C_TIPO,MATCH(V1600&amp;"-P"&amp;MAX(1,COUNTIFS(C_RUTN,V1600,C_DEF,"Sí",C_INI,"&lt;="&amp;EOMONTH(B1600,0))),C_CLAVE,0))&amp;"","Sin contrato"))</f>
        <v/>
      </c>
      <c r="T1600" s="63" t="str">
        <f aca="false">IF(OR(B1600="",N(O1600)=0),"",N(O1600)+ROUND(MIN(N(N1600),TOPE_UF*UF_MES)*(TASA_EMP+MUTUAL),0)+ROUND(MIN(N(N1600),TOPE_AFC_UF*UF_MES)*IF(S1600="Indefinido",AFC_INDEF,AFC_PF),0))</f>
        <v/>
      </c>
      <c r="U1600" s="62" t="str">
        <f aca="false">IF(C1600="","",IF(LEFT(D1600,1)="⚠","⚠ RUT no registrado en Trabajadores",IF(B1600="","⚠ Falta el mes",IF(OR(ISTEXT(I1600),ISTEXT(J1600)),"⚠ Atrasos u horas extra como texto: escriba hh:mm (ej. 1:30)",IF(AND(ISNUMBER(Q1600),COUNTIFS(M_RUTN,V1600,M_MES,B1600,M_LIQ,"&lt;&gt;")&gt;1),"⚠ Liquidación repetida en el mes",IF(AND(ISNUMBER(O1600),ISNUMBER(P1600),ISNUMBER(Q1600),ABS(O1600-P1600-Q1600)&gt;1),"⚠ Haberes − descuentos no da el líquido","OK"))))))</f>
        <v/>
      </c>
      <c r="V1600" s="62" t="str">
        <f aca="false">IF(C1600="","",IFERROR(VALUE(LEFT(UPPER(SUBSTITUTE(SUBSTITUTE(SUBSTITUTE(TRIM(C1600),".",""),"-","")," ","")),LEN(UPPER(SUBSTITUTE(SUBSTITUTE(SUBSTITUTE(TRIM(C1600),".",""),"-","")," ","")))-1))&amp;RIGHT(UPPER(SUBSTITUTE(SUBSTITUTE(SUBSTITUTE(TRIM(C1600),".",""),"-","")," ","")),1),UPPER(SUBSTITUTE(SUBSTITUTE(SUBSTITUTE(TRIM(C1600),".",""),"-","")," ",""))))</f>
        <v/>
      </c>
    </row>
    <row r="1601" customFormat="false" ht="15" hidden="false" customHeight="false" outlineLevel="0" collapsed="false">
      <c r="B1601" s="80"/>
      <c r="C1601" s="58"/>
      <c r="D1601" s="62" t="str">
        <f aca="false">IF(C1601="","",IFERROR(INDEX(T_NOMBRE,MATCH(V1601,T_RUTN,0)),"⚠ RUT no está en Trabajadores"))</f>
        <v/>
      </c>
      <c r="E1601" s="61"/>
      <c r="F1601" s="61"/>
      <c r="G1601" s="61"/>
      <c r="H1601" s="61"/>
      <c r="I1601" s="81"/>
      <c r="J1601" s="81"/>
      <c r="K1601" s="60"/>
      <c r="L1601" s="60"/>
      <c r="M1601" s="60"/>
      <c r="N1601" s="60"/>
      <c r="O1601" s="60"/>
      <c r="P1601" s="60"/>
      <c r="Q1601" s="60"/>
      <c r="R1601" s="58"/>
      <c r="S1601" s="62" t="str">
        <f aca="false">IF(OR(B1601="",V1601=""),"",IFERROR(INDEX(C_TIPO,MATCH(V1601&amp;"-P"&amp;MAX(1,COUNTIFS(C_RUTN,V1601,C_DEF,"Sí",C_INI,"&lt;="&amp;EOMONTH(B1601,0))),C_CLAVE,0))&amp;"","Sin contrato"))</f>
        <v/>
      </c>
      <c r="T1601" s="63" t="str">
        <f aca="false">IF(OR(B1601="",N(O1601)=0),"",N(O1601)+ROUND(MIN(N(N1601),TOPE_UF*UF_MES)*(TASA_EMP+MUTUAL),0)+ROUND(MIN(N(N1601),TOPE_AFC_UF*UF_MES)*IF(S1601="Indefinido",AFC_INDEF,AFC_PF),0))</f>
        <v/>
      </c>
      <c r="U1601" s="62" t="str">
        <f aca="false">IF(C1601="","",IF(LEFT(D1601,1)="⚠","⚠ RUT no registrado en Trabajadores",IF(B1601="","⚠ Falta el mes",IF(OR(ISTEXT(I1601),ISTEXT(J1601)),"⚠ Atrasos u horas extra como texto: escriba hh:mm (ej. 1:30)",IF(AND(ISNUMBER(Q1601),COUNTIFS(M_RUTN,V1601,M_MES,B1601,M_LIQ,"&lt;&gt;")&gt;1),"⚠ Liquidación repetida en el mes",IF(AND(ISNUMBER(O1601),ISNUMBER(P1601),ISNUMBER(Q1601),ABS(O1601-P1601-Q1601)&gt;1),"⚠ Haberes − descuentos no da el líquido","OK"))))))</f>
        <v/>
      </c>
      <c r="V1601" s="62" t="str">
        <f aca="false">IF(C1601="","",IFERROR(VALUE(LEFT(UPPER(SUBSTITUTE(SUBSTITUTE(SUBSTITUTE(TRIM(C1601),".",""),"-","")," ","")),LEN(UPPER(SUBSTITUTE(SUBSTITUTE(SUBSTITUTE(TRIM(C1601),".",""),"-","")," ","")))-1))&amp;RIGHT(UPPER(SUBSTITUTE(SUBSTITUTE(SUBSTITUTE(TRIM(C1601),".",""),"-","")," ","")),1),UPPER(SUBSTITUTE(SUBSTITUTE(SUBSTITUTE(TRIM(C1601),".",""),"-","")," ",""))))</f>
        <v/>
      </c>
    </row>
    <row r="1602" customFormat="false" ht="15" hidden="false" customHeight="false" outlineLevel="0" collapsed="false">
      <c r="B1602" s="80"/>
      <c r="C1602" s="58"/>
      <c r="D1602" s="62" t="str">
        <f aca="false">IF(C1602="","",IFERROR(INDEX(T_NOMBRE,MATCH(V1602,T_RUTN,0)),"⚠ RUT no está en Trabajadores"))</f>
        <v/>
      </c>
      <c r="E1602" s="61"/>
      <c r="F1602" s="61"/>
      <c r="G1602" s="61"/>
      <c r="H1602" s="61"/>
      <c r="I1602" s="81"/>
      <c r="J1602" s="81"/>
      <c r="K1602" s="60"/>
      <c r="L1602" s="60"/>
      <c r="M1602" s="60"/>
      <c r="N1602" s="60"/>
      <c r="O1602" s="60"/>
      <c r="P1602" s="60"/>
      <c r="Q1602" s="60"/>
      <c r="R1602" s="58"/>
      <c r="S1602" s="62" t="str">
        <f aca="false">IF(OR(B1602="",V1602=""),"",IFERROR(INDEX(C_TIPO,MATCH(V1602&amp;"-P"&amp;MAX(1,COUNTIFS(C_RUTN,V1602,C_DEF,"Sí",C_INI,"&lt;="&amp;EOMONTH(B1602,0))),C_CLAVE,0))&amp;"","Sin contrato"))</f>
        <v/>
      </c>
      <c r="T1602" s="63" t="str">
        <f aca="false">IF(OR(B1602="",N(O1602)=0),"",N(O1602)+ROUND(MIN(N(N1602),TOPE_UF*UF_MES)*(TASA_EMP+MUTUAL),0)+ROUND(MIN(N(N1602),TOPE_AFC_UF*UF_MES)*IF(S1602="Indefinido",AFC_INDEF,AFC_PF),0))</f>
        <v/>
      </c>
      <c r="U1602" s="62" t="str">
        <f aca="false">IF(C1602="","",IF(LEFT(D1602,1)="⚠","⚠ RUT no registrado en Trabajadores",IF(B1602="","⚠ Falta el mes",IF(OR(ISTEXT(I1602),ISTEXT(J1602)),"⚠ Atrasos u horas extra como texto: escriba hh:mm (ej. 1:30)",IF(AND(ISNUMBER(Q1602),COUNTIFS(M_RUTN,V1602,M_MES,B1602,M_LIQ,"&lt;&gt;")&gt;1),"⚠ Liquidación repetida en el mes",IF(AND(ISNUMBER(O1602),ISNUMBER(P1602),ISNUMBER(Q1602),ABS(O1602-P1602-Q1602)&gt;1),"⚠ Haberes − descuentos no da el líquido","OK"))))))</f>
        <v/>
      </c>
      <c r="V1602" s="62" t="str">
        <f aca="false">IF(C1602="","",IFERROR(VALUE(LEFT(UPPER(SUBSTITUTE(SUBSTITUTE(SUBSTITUTE(TRIM(C1602),".",""),"-","")," ","")),LEN(UPPER(SUBSTITUTE(SUBSTITUTE(SUBSTITUTE(TRIM(C1602),".",""),"-","")," ","")))-1))&amp;RIGHT(UPPER(SUBSTITUTE(SUBSTITUTE(SUBSTITUTE(TRIM(C1602),".",""),"-","")," ","")),1),UPPER(SUBSTITUTE(SUBSTITUTE(SUBSTITUTE(TRIM(C1602),".",""),"-","")," ",""))))</f>
        <v/>
      </c>
    </row>
    <row r="1603" customFormat="false" ht="15" hidden="false" customHeight="false" outlineLevel="0" collapsed="false">
      <c r="B1603" s="80"/>
      <c r="C1603" s="58"/>
      <c r="D1603" s="62" t="str">
        <f aca="false">IF(C1603="","",IFERROR(INDEX(T_NOMBRE,MATCH(V1603,T_RUTN,0)),"⚠ RUT no está en Trabajadores"))</f>
        <v/>
      </c>
      <c r="E1603" s="61"/>
      <c r="F1603" s="61"/>
      <c r="G1603" s="61"/>
      <c r="H1603" s="61"/>
      <c r="I1603" s="81"/>
      <c r="J1603" s="81"/>
      <c r="K1603" s="60"/>
      <c r="L1603" s="60"/>
      <c r="M1603" s="60"/>
      <c r="N1603" s="60"/>
      <c r="O1603" s="60"/>
      <c r="P1603" s="60"/>
      <c r="Q1603" s="60"/>
      <c r="R1603" s="58"/>
      <c r="S1603" s="62" t="str">
        <f aca="false">IF(OR(B1603="",V1603=""),"",IFERROR(INDEX(C_TIPO,MATCH(V1603&amp;"-P"&amp;MAX(1,COUNTIFS(C_RUTN,V1603,C_DEF,"Sí",C_INI,"&lt;="&amp;EOMONTH(B1603,0))),C_CLAVE,0))&amp;"","Sin contrato"))</f>
        <v/>
      </c>
      <c r="T1603" s="63" t="str">
        <f aca="false">IF(OR(B1603="",N(O1603)=0),"",N(O1603)+ROUND(MIN(N(N1603),TOPE_UF*UF_MES)*(TASA_EMP+MUTUAL),0)+ROUND(MIN(N(N1603),TOPE_AFC_UF*UF_MES)*IF(S1603="Indefinido",AFC_INDEF,AFC_PF),0))</f>
        <v/>
      </c>
      <c r="U1603" s="62" t="str">
        <f aca="false">IF(C1603="","",IF(LEFT(D1603,1)="⚠","⚠ RUT no registrado en Trabajadores",IF(B1603="","⚠ Falta el mes",IF(OR(ISTEXT(I1603),ISTEXT(J1603)),"⚠ Atrasos u horas extra como texto: escriba hh:mm (ej. 1:30)",IF(AND(ISNUMBER(Q1603),COUNTIFS(M_RUTN,V1603,M_MES,B1603,M_LIQ,"&lt;&gt;")&gt;1),"⚠ Liquidación repetida en el mes",IF(AND(ISNUMBER(O1603),ISNUMBER(P1603),ISNUMBER(Q1603),ABS(O1603-P1603-Q1603)&gt;1),"⚠ Haberes − descuentos no da el líquido","OK"))))))</f>
        <v/>
      </c>
      <c r="V1603" s="62" t="str">
        <f aca="false">IF(C1603="","",IFERROR(VALUE(LEFT(UPPER(SUBSTITUTE(SUBSTITUTE(SUBSTITUTE(TRIM(C1603),".",""),"-","")," ","")),LEN(UPPER(SUBSTITUTE(SUBSTITUTE(SUBSTITUTE(TRIM(C1603),".",""),"-","")," ","")))-1))&amp;RIGHT(UPPER(SUBSTITUTE(SUBSTITUTE(SUBSTITUTE(TRIM(C1603),".",""),"-","")," ","")),1),UPPER(SUBSTITUTE(SUBSTITUTE(SUBSTITUTE(TRIM(C1603),".",""),"-","")," ",""))))</f>
        <v/>
      </c>
    </row>
    <row r="1604" customFormat="false" ht="15" hidden="false" customHeight="false" outlineLevel="0" collapsed="false">
      <c r="B1604" s="80"/>
      <c r="C1604" s="58"/>
      <c r="D1604" s="62" t="str">
        <f aca="false">IF(C1604="","",IFERROR(INDEX(T_NOMBRE,MATCH(V1604,T_RUTN,0)),"⚠ RUT no está en Trabajadores"))</f>
        <v/>
      </c>
      <c r="E1604" s="61"/>
      <c r="F1604" s="61"/>
      <c r="G1604" s="61"/>
      <c r="H1604" s="61"/>
      <c r="I1604" s="81"/>
      <c r="J1604" s="81"/>
      <c r="K1604" s="60"/>
      <c r="L1604" s="60"/>
      <c r="M1604" s="60"/>
      <c r="N1604" s="60"/>
      <c r="O1604" s="60"/>
      <c r="P1604" s="60"/>
      <c r="Q1604" s="60"/>
      <c r="R1604" s="58"/>
      <c r="S1604" s="62" t="str">
        <f aca="false">IF(OR(B1604="",V1604=""),"",IFERROR(INDEX(C_TIPO,MATCH(V1604&amp;"-P"&amp;MAX(1,COUNTIFS(C_RUTN,V1604,C_DEF,"Sí",C_INI,"&lt;="&amp;EOMONTH(B1604,0))),C_CLAVE,0))&amp;"","Sin contrato"))</f>
        <v/>
      </c>
      <c r="T1604" s="63" t="str">
        <f aca="false">IF(OR(B1604="",N(O1604)=0),"",N(O1604)+ROUND(MIN(N(N1604),TOPE_UF*UF_MES)*(TASA_EMP+MUTUAL),0)+ROUND(MIN(N(N1604),TOPE_AFC_UF*UF_MES)*IF(S1604="Indefinido",AFC_INDEF,AFC_PF),0))</f>
        <v/>
      </c>
      <c r="U1604" s="62" t="str">
        <f aca="false">IF(C1604="","",IF(LEFT(D1604,1)="⚠","⚠ RUT no registrado en Trabajadores",IF(B1604="","⚠ Falta el mes",IF(OR(ISTEXT(I1604),ISTEXT(J1604)),"⚠ Atrasos u horas extra como texto: escriba hh:mm (ej. 1:30)",IF(AND(ISNUMBER(Q1604),COUNTIFS(M_RUTN,V1604,M_MES,B1604,M_LIQ,"&lt;&gt;")&gt;1),"⚠ Liquidación repetida en el mes",IF(AND(ISNUMBER(O1604),ISNUMBER(P1604),ISNUMBER(Q1604),ABS(O1604-P1604-Q1604)&gt;1),"⚠ Haberes − descuentos no da el líquido","OK"))))))</f>
        <v/>
      </c>
      <c r="V1604" s="62" t="str">
        <f aca="false">IF(C1604="","",IFERROR(VALUE(LEFT(UPPER(SUBSTITUTE(SUBSTITUTE(SUBSTITUTE(TRIM(C1604),".",""),"-","")," ","")),LEN(UPPER(SUBSTITUTE(SUBSTITUTE(SUBSTITUTE(TRIM(C1604),".",""),"-","")," ","")))-1))&amp;RIGHT(UPPER(SUBSTITUTE(SUBSTITUTE(SUBSTITUTE(TRIM(C1604),".",""),"-","")," ","")),1),UPPER(SUBSTITUTE(SUBSTITUTE(SUBSTITUTE(TRIM(C1604),".",""),"-","")," ",""))))</f>
        <v/>
      </c>
    </row>
    <row r="1605" customFormat="false" ht="15" hidden="false" customHeight="false" outlineLevel="0" collapsed="false">
      <c r="B1605" s="80"/>
      <c r="C1605" s="58"/>
      <c r="D1605" s="62" t="str">
        <f aca="false">IF(C1605="","",IFERROR(INDEX(T_NOMBRE,MATCH(V1605,T_RUTN,0)),"⚠ RUT no está en Trabajadores"))</f>
        <v/>
      </c>
      <c r="E1605" s="61"/>
      <c r="F1605" s="61"/>
      <c r="G1605" s="61"/>
      <c r="H1605" s="61"/>
      <c r="I1605" s="81"/>
      <c r="J1605" s="81"/>
      <c r="K1605" s="60"/>
      <c r="L1605" s="60"/>
      <c r="M1605" s="60"/>
      <c r="N1605" s="60"/>
      <c r="O1605" s="60"/>
      <c r="P1605" s="60"/>
      <c r="Q1605" s="60"/>
      <c r="R1605" s="58"/>
      <c r="S1605" s="62" t="str">
        <f aca="false">IF(OR(B1605="",V1605=""),"",IFERROR(INDEX(C_TIPO,MATCH(V1605&amp;"-P"&amp;MAX(1,COUNTIFS(C_RUTN,V1605,C_DEF,"Sí",C_INI,"&lt;="&amp;EOMONTH(B1605,0))),C_CLAVE,0))&amp;"","Sin contrato"))</f>
        <v/>
      </c>
      <c r="T1605" s="63" t="str">
        <f aca="false">IF(OR(B1605="",N(O1605)=0),"",N(O1605)+ROUND(MIN(N(N1605),TOPE_UF*UF_MES)*(TASA_EMP+MUTUAL),0)+ROUND(MIN(N(N1605),TOPE_AFC_UF*UF_MES)*IF(S1605="Indefinido",AFC_INDEF,AFC_PF),0))</f>
        <v/>
      </c>
      <c r="U1605" s="62" t="str">
        <f aca="false">IF(C1605="","",IF(LEFT(D1605,1)="⚠","⚠ RUT no registrado en Trabajadores",IF(B1605="","⚠ Falta el mes",IF(OR(ISTEXT(I1605),ISTEXT(J1605)),"⚠ Atrasos u horas extra como texto: escriba hh:mm (ej. 1:30)",IF(AND(ISNUMBER(Q1605),COUNTIFS(M_RUTN,V1605,M_MES,B1605,M_LIQ,"&lt;&gt;")&gt;1),"⚠ Liquidación repetida en el mes",IF(AND(ISNUMBER(O1605),ISNUMBER(P1605),ISNUMBER(Q1605),ABS(O1605-P1605-Q1605)&gt;1),"⚠ Haberes − descuentos no da el líquido","OK"))))))</f>
        <v/>
      </c>
      <c r="V1605" s="62" t="str">
        <f aca="false">IF(C1605="","",IFERROR(VALUE(LEFT(UPPER(SUBSTITUTE(SUBSTITUTE(SUBSTITUTE(TRIM(C1605),".",""),"-","")," ","")),LEN(UPPER(SUBSTITUTE(SUBSTITUTE(SUBSTITUTE(TRIM(C1605),".",""),"-","")," ","")))-1))&amp;RIGHT(UPPER(SUBSTITUTE(SUBSTITUTE(SUBSTITUTE(TRIM(C1605),".",""),"-","")," ","")),1),UPPER(SUBSTITUTE(SUBSTITUTE(SUBSTITUTE(TRIM(C1605),".",""),"-","")," ",""))))</f>
        <v/>
      </c>
    </row>
    <row r="1606" customFormat="false" ht="15" hidden="false" customHeight="false" outlineLevel="0" collapsed="false">
      <c r="B1606" s="80"/>
      <c r="C1606" s="58"/>
      <c r="D1606" s="62" t="str">
        <f aca="false">IF(C1606="","",IFERROR(INDEX(T_NOMBRE,MATCH(V1606,T_RUTN,0)),"⚠ RUT no está en Trabajadores"))</f>
        <v/>
      </c>
      <c r="E1606" s="61"/>
      <c r="F1606" s="61"/>
      <c r="G1606" s="61"/>
      <c r="H1606" s="61"/>
      <c r="I1606" s="81"/>
      <c r="J1606" s="81"/>
      <c r="K1606" s="60"/>
      <c r="L1606" s="60"/>
      <c r="M1606" s="60"/>
      <c r="N1606" s="60"/>
      <c r="O1606" s="60"/>
      <c r="P1606" s="60"/>
      <c r="Q1606" s="60"/>
      <c r="R1606" s="58"/>
      <c r="S1606" s="62" t="str">
        <f aca="false">IF(OR(B1606="",V1606=""),"",IFERROR(INDEX(C_TIPO,MATCH(V1606&amp;"-P"&amp;MAX(1,COUNTIFS(C_RUTN,V1606,C_DEF,"Sí",C_INI,"&lt;="&amp;EOMONTH(B1606,0))),C_CLAVE,0))&amp;"","Sin contrato"))</f>
        <v/>
      </c>
      <c r="T1606" s="63" t="str">
        <f aca="false">IF(OR(B1606="",N(O1606)=0),"",N(O1606)+ROUND(MIN(N(N1606),TOPE_UF*UF_MES)*(TASA_EMP+MUTUAL),0)+ROUND(MIN(N(N1606),TOPE_AFC_UF*UF_MES)*IF(S1606="Indefinido",AFC_INDEF,AFC_PF),0))</f>
        <v/>
      </c>
      <c r="U1606" s="62" t="str">
        <f aca="false">IF(C1606="","",IF(LEFT(D1606,1)="⚠","⚠ RUT no registrado en Trabajadores",IF(B1606="","⚠ Falta el mes",IF(OR(ISTEXT(I1606),ISTEXT(J1606)),"⚠ Atrasos u horas extra como texto: escriba hh:mm (ej. 1:30)",IF(AND(ISNUMBER(Q1606),COUNTIFS(M_RUTN,V1606,M_MES,B1606,M_LIQ,"&lt;&gt;")&gt;1),"⚠ Liquidación repetida en el mes",IF(AND(ISNUMBER(O1606),ISNUMBER(P1606),ISNUMBER(Q1606),ABS(O1606-P1606-Q1606)&gt;1),"⚠ Haberes − descuentos no da el líquido","OK"))))))</f>
        <v/>
      </c>
      <c r="V1606" s="62" t="str">
        <f aca="false">IF(C1606="","",IFERROR(VALUE(LEFT(UPPER(SUBSTITUTE(SUBSTITUTE(SUBSTITUTE(TRIM(C1606),".",""),"-","")," ","")),LEN(UPPER(SUBSTITUTE(SUBSTITUTE(SUBSTITUTE(TRIM(C1606),".",""),"-","")," ","")))-1))&amp;RIGHT(UPPER(SUBSTITUTE(SUBSTITUTE(SUBSTITUTE(TRIM(C1606),".",""),"-","")," ","")),1),UPPER(SUBSTITUTE(SUBSTITUTE(SUBSTITUTE(TRIM(C1606),".",""),"-","")," ",""))))</f>
        <v/>
      </c>
    </row>
    <row r="1607" customFormat="false" ht="15" hidden="false" customHeight="false" outlineLevel="0" collapsed="false">
      <c r="B1607" s="80"/>
      <c r="C1607" s="58"/>
      <c r="D1607" s="62" t="str">
        <f aca="false">IF(C1607="","",IFERROR(INDEX(T_NOMBRE,MATCH(V1607,T_RUTN,0)),"⚠ RUT no está en Trabajadores"))</f>
        <v/>
      </c>
      <c r="E1607" s="61"/>
      <c r="F1607" s="61"/>
      <c r="G1607" s="61"/>
      <c r="H1607" s="61"/>
      <c r="I1607" s="81"/>
      <c r="J1607" s="81"/>
      <c r="K1607" s="60"/>
      <c r="L1607" s="60"/>
      <c r="M1607" s="60"/>
      <c r="N1607" s="60"/>
      <c r="O1607" s="60"/>
      <c r="P1607" s="60"/>
      <c r="Q1607" s="60"/>
      <c r="R1607" s="58"/>
      <c r="S1607" s="62" t="str">
        <f aca="false">IF(OR(B1607="",V1607=""),"",IFERROR(INDEX(C_TIPO,MATCH(V1607&amp;"-P"&amp;MAX(1,COUNTIFS(C_RUTN,V1607,C_DEF,"Sí",C_INI,"&lt;="&amp;EOMONTH(B1607,0))),C_CLAVE,0))&amp;"","Sin contrato"))</f>
        <v/>
      </c>
      <c r="T1607" s="63" t="str">
        <f aca="false">IF(OR(B1607="",N(O1607)=0),"",N(O1607)+ROUND(MIN(N(N1607),TOPE_UF*UF_MES)*(TASA_EMP+MUTUAL),0)+ROUND(MIN(N(N1607),TOPE_AFC_UF*UF_MES)*IF(S1607="Indefinido",AFC_INDEF,AFC_PF),0))</f>
        <v/>
      </c>
      <c r="U1607" s="62" t="str">
        <f aca="false">IF(C1607="","",IF(LEFT(D1607,1)="⚠","⚠ RUT no registrado en Trabajadores",IF(B1607="","⚠ Falta el mes",IF(OR(ISTEXT(I1607),ISTEXT(J1607)),"⚠ Atrasos u horas extra como texto: escriba hh:mm (ej. 1:30)",IF(AND(ISNUMBER(Q1607),COUNTIFS(M_RUTN,V1607,M_MES,B1607,M_LIQ,"&lt;&gt;")&gt;1),"⚠ Liquidación repetida en el mes",IF(AND(ISNUMBER(O1607),ISNUMBER(P1607),ISNUMBER(Q1607),ABS(O1607-P1607-Q1607)&gt;1),"⚠ Haberes − descuentos no da el líquido","OK"))))))</f>
        <v/>
      </c>
      <c r="V1607" s="62" t="str">
        <f aca="false">IF(C1607="","",IFERROR(VALUE(LEFT(UPPER(SUBSTITUTE(SUBSTITUTE(SUBSTITUTE(TRIM(C1607),".",""),"-","")," ","")),LEN(UPPER(SUBSTITUTE(SUBSTITUTE(SUBSTITUTE(TRIM(C1607),".",""),"-","")," ","")))-1))&amp;RIGHT(UPPER(SUBSTITUTE(SUBSTITUTE(SUBSTITUTE(TRIM(C1607),".",""),"-","")," ","")),1),UPPER(SUBSTITUTE(SUBSTITUTE(SUBSTITUTE(TRIM(C1607),".",""),"-","")," ",""))))</f>
        <v/>
      </c>
    </row>
    <row r="1608" customFormat="false" ht="15" hidden="false" customHeight="false" outlineLevel="0" collapsed="false">
      <c r="B1608" s="80"/>
      <c r="C1608" s="58"/>
      <c r="D1608" s="62" t="str">
        <f aca="false">IF(C1608="","",IFERROR(INDEX(T_NOMBRE,MATCH(V1608,T_RUTN,0)),"⚠ RUT no está en Trabajadores"))</f>
        <v/>
      </c>
      <c r="E1608" s="61"/>
      <c r="F1608" s="61"/>
      <c r="G1608" s="61"/>
      <c r="H1608" s="61"/>
      <c r="I1608" s="81"/>
      <c r="J1608" s="81"/>
      <c r="K1608" s="60"/>
      <c r="L1608" s="60"/>
      <c r="M1608" s="60"/>
      <c r="N1608" s="60"/>
      <c r="O1608" s="60"/>
      <c r="P1608" s="60"/>
      <c r="Q1608" s="60"/>
      <c r="R1608" s="58"/>
      <c r="S1608" s="62" t="str">
        <f aca="false">IF(OR(B1608="",V1608=""),"",IFERROR(INDEX(C_TIPO,MATCH(V1608&amp;"-P"&amp;MAX(1,COUNTIFS(C_RUTN,V1608,C_DEF,"Sí",C_INI,"&lt;="&amp;EOMONTH(B1608,0))),C_CLAVE,0))&amp;"","Sin contrato"))</f>
        <v/>
      </c>
      <c r="T1608" s="63" t="str">
        <f aca="false">IF(OR(B1608="",N(O1608)=0),"",N(O1608)+ROUND(MIN(N(N1608),TOPE_UF*UF_MES)*(TASA_EMP+MUTUAL),0)+ROUND(MIN(N(N1608),TOPE_AFC_UF*UF_MES)*IF(S1608="Indefinido",AFC_INDEF,AFC_PF),0))</f>
        <v/>
      </c>
      <c r="U1608" s="62" t="str">
        <f aca="false">IF(C1608="","",IF(LEFT(D1608,1)="⚠","⚠ RUT no registrado en Trabajadores",IF(B1608="","⚠ Falta el mes",IF(OR(ISTEXT(I1608),ISTEXT(J1608)),"⚠ Atrasos u horas extra como texto: escriba hh:mm (ej. 1:30)",IF(AND(ISNUMBER(Q1608),COUNTIFS(M_RUTN,V1608,M_MES,B1608,M_LIQ,"&lt;&gt;")&gt;1),"⚠ Liquidación repetida en el mes",IF(AND(ISNUMBER(O1608),ISNUMBER(P1608),ISNUMBER(Q1608),ABS(O1608-P1608-Q1608)&gt;1),"⚠ Haberes − descuentos no da el líquido","OK"))))))</f>
        <v/>
      </c>
      <c r="V1608" s="62" t="str">
        <f aca="false">IF(C1608="","",IFERROR(VALUE(LEFT(UPPER(SUBSTITUTE(SUBSTITUTE(SUBSTITUTE(TRIM(C1608),".",""),"-","")," ","")),LEN(UPPER(SUBSTITUTE(SUBSTITUTE(SUBSTITUTE(TRIM(C1608),".",""),"-","")," ","")))-1))&amp;RIGHT(UPPER(SUBSTITUTE(SUBSTITUTE(SUBSTITUTE(TRIM(C1608),".",""),"-","")," ","")),1),UPPER(SUBSTITUTE(SUBSTITUTE(SUBSTITUTE(TRIM(C1608),".",""),"-","")," ",""))))</f>
        <v/>
      </c>
    </row>
    <row r="1609" customFormat="false" ht="15" hidden="false" customHeight="false" outlineLevel="0" collapsed="false">
      <c r="B1609" s="80"/>
      <c r="C1609" s="58"/>
      <c r="D1609" s="62" t="str">
        <f aca="false">IF(C1609="","",IFERROR(INDEX(T_NOMBRE,MATCH(V1609,T_RUTN,0)),"⚠ RUT no está en Trabajadores"))</f>
        <v/>
      </c>
      <c r="E1609" s="61"/>
      <c r="F1609" s="61"/>
      <c r="G1609" s="61"/>
      <c r="H1609" s="61"/>
      <c r="I1609" s="81"/>
      <c r="J1609" s="81"/>
      <c r="K1609" s="60"/>
      <c r="L1609" s="60"/>
      <c r="M1609" s="60"/>
      <c r="N1609" s="60"/>
      <c r="O1609" s="60"/>
      <c r="P1609" s="60"/>
      <c r="Q1609" s="60"/>
      <c r="R1609" s="58"/>
      <c r="S1609" s="62" t="str">
        <f aca="false">IF(OR(B1609="",V1609=""),"",IFERROR(INDEX(C_TIPO,MATCH(V1609&amp;"-P"&amp;MAX(1,COUNTIFS(C_RUTN,V1609,C_DEF,"Sí",C_INI,"&lt;="&amp;EOMONTH(B1609,0))),C_CLAVE,0))&amp;"","Sin contrato"))</f>
        <v/>
      </c>
      <c r="T1609" s="63" t="str">
        <f aca="false">IF(OR(B1609="",N(O1609)=0),"",N(O1609)+ROUND(MIN(N(N1609),TOPE_UF*UF_MES)*(TASA_EMP+MUTUAL),0)+ROUND(MIN(N(N1609),TOPE_AFC_UF*UF_MES)*IF(S1609="Indefinido",AFC_INDEF,AFC_PF),0))</f>
        <v/>
      </c>
      <c r="U1609" s="62" t="str">
        <f aca="false">IF(C1609="","",IF(LEFT(D1609,1)="⚠","⚠ RUT no registrado en Trabajadores",IF(B1609="","⚠ Falta el mes",IF(OR(ISTEXT(I1609),ISTEXT(J1609)),"⚠ Atrasos u horas extra como texto: escriba hh:mm (ej. 1:30)",IF(AND(ISNUMBER(Q1609),COUNTIFS(M_RUTN,V1609,M_MES,B1609,M_LIQ,"&lt;&gt;")&gt;1),"⚠ Liquidación repetida en el mes",IF(AND(ISNUMBER(O1609),ISNUMBER(P1609),ISNUMBER(Q1609),ABS(O1609-P1609-Q1609)&gt;1),"⚠ Haberes − descuentos no da el líquido","OK"))))))</f>
        <v/>
      </c>
      <c r="V1609" s="62" t="str">
        <f aca="false">IF(C1609="","",IFERROR(VALUE(LEFT(UPPER(SUBSTITUTE(SUBSTITUTE(SUBSTITUTE(TRIM(C1609),".",""),"-","")," ","")),LEN(UPPER(SUBSTITUTE(SUBSTITUTE(SUBSTITUTE(TRIM(C1609),".",""),"-","")," ","")))-1))&amp;RIGHT(UPPER(SUBSTITUTE(SUBSTITUTE(SUBSTITUTE(TRIM(C1609),".",""),"-","")," ","")),1),UPPER(SUBSTITUTE(SUBSTITUTE(SUBSTITUTE(TRIM(C1609),".",""),"-","")," ",""))))</f>
        <v/>
      </c>
    </row>
    <row r="1610" customFormat="false" ht="15" hidden="false" customHeight="false" outlineLevel="0" collapsed="false">
      <c r="B1610" s="80"/>
      <c r="C1610" s="58"/>
      <c r="D1610" s="62" t="str">
        <f aca="false">IF(C1610="","",IFERROR(INDEX(T_NOMBRE,MATCH(V1610,T_RUTN,0)),"⚠ RUT no está en Trabajadores"))</f>
        <v/>
      </c>
      <c r="E1610" s="61"/>
      <c r="F1610" s="61"/>
      <c r="G1610" s="61"/>
      <c r="H1610" s="61"/>
      <c r="I1610" s="81"/>
      <c r="J1610" s="81"/>
      <c r="K1610" s="60"/>
      <c r="L1610" s="60"/>
      <c r="M1610" s="60"/>
      <c r="N1610" s="60"/>
      <c r="O1610" s="60"/>
      <c r="P1610" s="60"/>
      <c r="Q1610" s="60"/>
      <c r="R1610" s="58"/>
      <c r="S1610" s="62" t="str">
        <f aca="false">IF(OR(B1610="",V1610=""),"",IFERROR(INDEX(C_TIPO,MATCH(V1610&amp;"-P"&amp;MAX(1,COUNTIFS(C_RUTN,V1610,C_DEF,"Sí",C_INI,"&lt;="&amp;EOMONTH(B1610,0))),C_CLAVE,0))&amp;"","Sin contrato"))</f>
        <v/>
      </c>
      <c r="T1610" s="63" t="str">
        <f aca="false">IF(OR(B1610="",N(O1610)=0),"",N(O1610)+ROUND(MIN(N(N1610),TOPE_UF*UF_MES)*(TASA_EMP+MUTUAL),0)+ROUND(MIN(N(N1610),TOPE_AFC_UF*UF_MES)*IF(S1610="Indefinido",AFC_INDEF,AFC_PF),0))</f>
        <v/>
      </c>
      <c r="U1610" s="62" t="str">
        <f aca="false">IF(C1610="","",IF(LEFT(D1610,1)="⚠","⚠ RUT no registrado en Trabajadores",IF(B1610="","⚠ Falta el mes",IF(OR(ISTEXT(I1610),ISTEXT(J1610)),"⚠ Atrasos u horas extra como texto: escriba hh:mm (ej. 1:30)",IF(AND(ISNUMBER(Q1610),COUNTIFS(M_RUTN,V1610,M_MES,B1610,M_LIQ,"&lt;&gt;")&gt;1),"⚠ Liquidación repetida en el mes",IF(AND(ISNUMBER(O1610),ISNUMBER(P1610),ISNUMBER(Q1610),ABS(O1610-P1610-Q1610)&gt;1),"⚠ Haberes − descuentos no da el líquido","OK"))))))</f>
        <v/>
      </c>
      <c r="V1610" s="62" t="str">
        <f aca="false">IF(C1610="","",IFERROR(VALUE(LEFT(UPPER(SUBSTITUTE(SUBSTITUTE(SUBSTITUTE(TRIM(C1610),".",""),"-","")," ","")),LEN(UPPER(SUBSTITUTE(SUBSTITUTE(SUBSTITUTE(TRIM(C1610),".",""),"-","")," ","")))-1))&amp;RIGHT(UPPER(SUBSTITUTE(SUBSTITUTE(SUBSTITUTE(TRIM(C1610),".",""),"-","")," ","")),1),UPPER(SUBSTITUTE(SUBSTITUTE(SUBSTITUTE(TRIM(C1610),".",""),"-","")," ",""))))</f>
        <v/>
      </c>
    </row>
    <row r="1611" customFormat="false" ht="15" hidden="false" customHeight="false" outlineLevel="0" collapsed="false">
      <c r="B1611" s="80"/>
      <c r="C1611" s="58"/>
      <c r="D1611" s="62" t="str">
        <f aca="false">IF(C1611="","",IFERROR(INDEX(T_NOMBRE,MATCH(V1611,T_RUTN,0)),"⚠ RUT no está en Trabajadores"))</f>
        <v/>
      </c>
      <c r="E1611" s="61"/>
      <c r="F1611" s="61"/>
      <c r="G1611" s="61"/>
      <c r="H1611" s="61"/>
      <c r="I1611" s="81"/>
      <c r="J1611" s="81"/>
      <c r="K1611" s="60"/>
      <c r="L1611" s="60"/>
      <c r="M1611" s="60"/>
      <c r="N1611" s="60"/>
      <c r="O1611" s="60"/>
      <c r="P1611" s="60"/>
      <c r="Q1611" s="60"/>
      <c r="R1611" s="58"/>
      <c r="S1611" s="62" t="str">
        <f aca="false">IF(OR(B1611="",V1611=""),"",IFERROR(INDEX(C_TIPO,MATCH(V1611&amp;"-P"&amp;MAX(1,COUNTIFS(C_RUTN,V1611,C_DEF,"Sí",C_INI,"&lt;="&amp;EOMONTH(B1611,0))),C_CLAVE,0))&amp;"","Sin contrato"))</f>
        <v/>
      </c>
      <c r="T1611" s="63" t="str">
        <f aca="false">IF(OR(B1611="",N(O1611)=0),"",N(O1611)+ROUND(MIN(N(N1611),TOPE_UF*UF_MES)*(TASA_EMP+MUTUAL),0)+ROUND(MIN(N(N1611),TOPE_AFC_UF*UF_MES)*IF(S1611="Indefinido",AFC_INDEF,AFC_PF),0))</f>
        <v/>
      </c>
      <c r="U1611" s="62" t="str">
        <f aca="false">IF(C1611="","",IF(LEFT(D1611,1)="⚠","⚠ RUT no registrado en Trabajadores",IF(B1611="","⚠ Falta el mes",IF(OR(ISTEXT(I1611),ISTEXT(J1611)),"⚠ Atrasos u horas extra como texto: escriba hh:mm (ej. 1:30)",IF(AND(ISNUMBER(Q1611),COUNTIFS(M_RUTN,V1611,M_MES,B1611,M_LIQ,"&lt;&gt;")&gt;1),"⚠ Liquidación repetida en el mes",IF(AND(ISNUMBER(O1611),ISNUMBER(P1611),ISNUMBER(Q1611),ABS(O1611-P1611-Q1611)&gt;1),"⚠ Haberes − descuentos no da el líquido","OK"))))))</f>
        <v/>
      </c>
      <c r="V1611" s="62" t="str">
        <f aca="false">IF(C1611="","",IFERROR(VALUE(LEFT(UPPER(SUBSTITUTE(SUBSTITUTE(SUBSTITUTE(TRIM(C1611),".",""),"-","")," ","")),LEN(UPPER(SUBSTITUTE(SUBSTITUTE(SUBSTITUTE(TRIM(C1611),".",""),"-","")," ","")))-1))&amp;RIGHT(UPPER(SUBSTITUTE(SUBSTITUTE(SUBSTITUTE(TRIM(C1611),".",""),"-","")," ","")),1),UPPER(SUBSTITUTE(SUBSTITUTE(SUBSTITUTE(TRIM(C1611),".",""),"-","")," ",""))))</f>
        <v/>
      </c>
    </row>
    <row r="1612" customFormat="false" ht="15" hidden="false" customHeight="false" outlineLevel="0" collapsed="false">
      <c r="B1612" s="80"/>
      <c r="C1612" s="58"/>
      <c r="D1612" s="62" t="str">
        <f aca="false">IF(C1612="","",IFERROR(INDEX(T_NOMBRE,MATCH(V1612,T_RUTN,0)),"⚠ RUT no está en Trabajadores"))</f>
        <v/>
      </c>
      <c r="E1612" s="61"/>
      <c r="F1612" s="61"/>
      <c r="G1612" s="61"/>
      <c r="H1612" s="61"/>
      <c r="I1612" s="81"/>
      <c r="J1612" s="81"/>
      <c r="K1612" s="60"/>
      <c r="L1612" s="60"/>
      <c r="M1612" s="60"/>
      <c r="N1612" s="60"/>
      <c r="O1612" s="60"/>
      <c r="P1612" s="60"/>
      <c r="Q1612" s="60"/>
      <c r="R1612" s="58"/>
      <c r="S1612" s="62" t="str">
        <f aca="false">IF(OR(B1612="",V1612=""),"",IFERROR(INDEX(C_TIPO,MATCH(V1612&amp;"-P"&amp;MAX(1,COUNTIFS(C_RUTN,V1612,C_DEF,"Sí",C_INI,"&lt;="&amp;EOMONTH(B1612,0))),C_CLAVE,0))&amp;"","Sin contrato"))</f>
        <v/>
      </c>
      <c r="T1612" s="63" t="str">
        <f aca="false">IF(OR(B1612="",N(O1612)=0),"",N(O1612)+ROUND(MIN(N(N1612),TOPE_UF*UF_MES)*(TASA_EMP+MUTUAL),0)+ROUND(MIN(N(N1612),TOPE_AFC_UF*UF_MES)*IF(S1612="Indefinido",AFC_INDEF,AFC_PF),0))</f>
        <v/>
      </c>
      <c r="U1612" s="62" t="str">
        <f aca="false">IF(C1612="","",IF(LEFT(D1612,1)="⚠","⚠ RUT no registrado en Trabajadores",IF(B1612="","⚠ Falta el mes",IF(OR(ISTEXT(I1612),ISTEXT(J1612)),"⚠ Atrasos u horas extra como texto: escriba hh:mm (ej. 1:30)",IF(AND(ISNUMBER(Q1612),COUNTIFS(M_RUTN,V1612,M_MES,B1612,M_LIQ,"&lt;&gt;")&gt;1),"⚠ Liquidación repetida en el mes",IF(AND(ISNUMBER(O1612),ISNUMBER(P1612),ISNUMBER(Q1612),ABS(O1612-P1612-Q1612)&gt;1),"⚠ Haberes − descuentos no da el líquido","OK"))))))</f>
        <v/>
      </c>
      <c r="V1612" s="62" t="str">
        <f aca="false">IF(C1612="","",IFERROR(VALUE(LEFT(UPPER(SUBSTITUTE(SUBSTITUTE(SUBSTITUTE(TRIM(C1612),".",""),"-","")," ","")),LEN(UPPER(SUBSTITUTE(SUBSTITUTE(SUBSTITUTE(TRIM(C1612),".",""),"-","")," ","")))-1))&amp;RIGHT(UPPER(SUBSTITUTE(SUBSTITUTE(SUBSTITUTE(TRIM(C1612),".",""),"-","")," ","")),1),UPPER(SUBSTITUTE(SUBSTITUTE(SUBSTITUTE(TRIM(C1612),".",""),"-","")," ",""))))</f>
        <v/>
      </c>
    </row>
    <row r="1613" customFormat="false" ht="15" hidden="false" customHeight="false" outlineLevel="0" collapsed="false">
      <c r="B1613" s="80"/>
      <c r="C1613" s="58"/>
      <c r="D1613" s="62" t="str">
        <f aca="false">IF(C1613="","",IFERROR(INDEX(T_NOMBRE,MATCH(V1613,T_RUTN,0)),"⚠ RUT no está en Trabajadores"))</f>
        <v/>
      </c>
      <c r="E1613" s="61"/>
      <c r="F1613" s="61"/>
      <c r="G1613" s="61"/>
      <c r="H1613" s="61"/>
      <c r="I1613" s="81"/>
      <c r="J1613" s="81"/>
      <c r="K1613" s="60"/>
      <c r="L1613" s="60"/>
      <c r="M1613" s="60"/>
      <c r="N1613" s="60"/>
      <c r="O1613" s="60"/>
      <c r="P1613" s="60"/>
      <c r="Q1613" s="60"/>
      <c r="R1613" s="58"/>
      <c r="S1613" s="62" t="str">
        <f aca="false">IF(OR(B1613="",V1613=""),"",IFERROR(INDEX(C_TIPO,MATCH(V1613&amp;"-P"&amp;MAX(1,COUNTIFS(C_RUTN,V1613,C_DEF,"Sí",C_INI,"&lt;="&amp;EOMONTH(B1613,0))),C_CLAVE,0))&amp;"","Sin contrato"))</f>
        <v/>
      </c>
      <c r="T1613" s="63" t="str">
        <f aca="false">IF(OR(B1613="",N(O1613)=0),"",N(O1613)+ROUND(MIN(N(N1613),TOPE_UF*UF_MES)*(TASA_EMP+MUTUAL),0)+ROUND(MIN(N(N1613),TOPE_AFC_UF*UF_MES)*IF(S1613="Indefinido",AFC_INDEF,AFC_PF),0))</f>
        <v/>
      </c>
      <c r="U1613" s="62" t="str">
        <f aca="false">IF(C1613="","",IF(LEFT(D1613,1)="⚠","⚠ RUT no registrado en Trabajadores",IF(B1613="","⚠ Falta el mes",IF(OR(ISTEXT(I1613),ISTEXT(J1613)),"⚠ Atrasos u horas extra como texto: escriba hh:mm (ej. 1:30)",IF(AND(ISNUMBER(Q1613),COUNTIFS(M_RUTN,V1613,M_MES,B1613,M_LIQ,"&lt;&gt;")&gt;1),"⚠ Liquidación repetida en el mes",IF(AND(ISNUMBER(O1613),ISNUMBER(P1613),ISNUMBER(Q1613),ABS(O1613-P1613-Q1613)&gt;1),"⚠ Haberes − descuentos no da el líquido","OK"))))))</f>
        <v/>
      </c>
      <c r="V1613" s="62" t="str">
        <f aca="false">IF(C1613="","",IFERROR(VALUE(LEFT(UPPER(SUBSTITUTE(SUBSTITUTE(SUBSTITUTE(TRIM(C1613),".",""),"-","")," ","")),LEN(UPPER(SUBSTITUTE(SUBSTITUTE(SUBSTITUTE(TRIM(C1613),".",""),"-","")," ","")))-1))&amp;RIGHT(UPPER(SUBSTITUTE(SUBSTITUTE(SUBSTITUTE(TRIM(C1613),".",""),"-","")," ","")),1),UPPER(SUBSTITUTE(SUBSTITUTE(SUBSTITUTE(TRIM(C1613),".",""),"-","")," ",""))))</f>
        <v/>
      </c>
    </row>
    <row r="1614" customFormat="false" ht="15" hidden="false" customHeight="false" outlineLevel="0" collapsed="false">
      <c r="B1614" s="80"/>
      <c r="C1614" s="58"/>
      <c r="D1614" s="62" t="str">
        <f aca="false">IF(C1614="","",IFERROR(INDEX(T_NOMBRE,MATCH(V1614,T_RUTN,0)),"⚠ RUT no está en Trabajadores"))</f>
        <v/>
      </c>
      <c r="E1614" s="61"/>
      <c r="F1614" s="61"/>
      <c r="G1614" s="61"/>
      <c r="H1614" s="61"/>
      <c r="I1614" s="81"/>
      <c r="J1614" s="81"/>
      <c r="K1614" s="60"/>
      <c r="L1614" s="60"/>
      <c r="M1614" s="60"/>
      <c r="N1614" s="60"/>
      <c r="O1614" s="60"/>
      <c r="P1614" s="60"/>
      <c r="Q1614" s="60"/>
      <c r="R1614" s="58"/>
      <c r="S1614" s="62" t="str">
        <f aca="false">IF(OR(B1614="",V1614=""),"",IFERROR(INDEX(C_TIPO,MATCH(V1614&amp;"-P"&amp;MAX(1,COUNTIFS(C_RUTN,V1614,C_DEF,"Sí",C_INI,"&lt;="&amp;EOMONTH(B1614,0))),C_CLAVE,0))&amp;"","Sin contrato"))</f>
        <v/>
      </c>
      <c r="T1614" s="63" t="str">
        <f aca="false">IF(OR(B1614="",N(O1614)=0),"",N(O1614)+ROUND(MIN(N(N1614),TOPE_UF*UF_MES)*(TASA_EMP+MUTUAL),0)+ROUND(MIN(N(N1614),TOPE_AFC_UF*UF_MES)*IF(S1614="Indefinido",AFC_INDEF,AFC_PF),0))</f>
        <v/>
      </c>
      <c r="U1614" s="62" t="str">
        <f aca="false">IF(C1614="","",IF(LEFT(D1614,1)="⚠","⚠ RUT no registrado en Trabajadores",IF(B1614="","⚠ Falta el mes",IF(OR(ISTEXT(I1614),ISTEXT(J1614)),"⚠ Atrasos u horas extra como texto: escriba hh:mm (ej. 1:30)",IF(AND(ISNUMBER(Q1614),COUNTIFS(M_RUTN,V1614,M_MES,B1614,M_LIQ,"&lt;&gt;")&gt;1),"⚠ Liquidación repetida en el mes",IF(AND(ISNUMBER(O1614),ISNUMBER(P1614),ISNUMBER(Q1614),ABS(O1614-P1614-Q1614)&gt;1),"⚠ Haberes − descuentos no da el líquido","OK"))))))</f>
        <v/>
      </c>
      <c r="V1614" s="62" t="str">
        <f aca="false">IF(C1614="","",IFERROR(VALUE(LEFT(UPPER(SUBSTITUTE(SUBSTITUTE(SUBSTITUTE(TRIM(C1614),".",""),"-","")," ","")),LEN(UPPER(SUBSTITUTE(SUBSTITUTE(SUBSTITUTE(TRIM(C1614),".",""),"-","")," ","")))-1))&amp;RIGHT(UPPER(SUBSTITUTE(SUBSTITUTE(SUBSTITUTE(TRIM(C1614),".",""),"-","")," ","")),1),UPPER(SUBSTITUTE(SUBSTITUTE(SUBSTITUTE(TRIM(C1614),".",""),"-","")," ",""))))</f>
        <v/>
      </c>
    </row>
    <row r="1615" customFormat="false" ht="15" hidden="false" customHeight="false" outlineLevel="0" collapsed="false">
      <c r="B1615" s="80"/>
      <c r="C1615" s="58"/>
      <c r="D1615" s="62" t="str">
        <f aca="false">IF(C1615="","",IFERROR(INDEX(T_NOMBRE,MATCH(V1615,T_RUTN,0)),"⚠ RUT no está en Trabajadores"))</f>
        <v/>
      </c>
      <c r="E1615" s="61"/>
      <c r="F1615" s="61"/>
      <c r="G1615" s="61"/>
      <c r="H1615" s="61"/>
      <c r="I1615" s="81"/>
      <c r="J1615" s="81"/>
      <c r="K1615" s="60"/>
      <c r="L1615" s="60"/>
      <c r="M1615" s="60"/>
      <c r="N1615" s="60"/>
      <c r="O1615" s="60"/>
      <c r="P1615" s="60"/>
      <c r="Q1615" s="60"/>
      <c r="R1615" s="58"/>
      <c r="S1615" s="62" t="str">
        <f aca="false">IF(OR(B1615="",V1615=""),"",IFERROR(INDEX(C_TIPO,MATCH(V1615&amp;"-P"&amp;MAX(1,COUNTIFS(C_RUTN,V1615,C_DEF,"Sí",C_INI,"&lt;="&amp;EOMONTH(B1615,0))),C_CLAVE,0))&amp;"","Sin contrato"))</f>
        <v/>
      </c>
      <c r="T1615" s="63" t="str">
        <f aca="false">IF(OR(B1615="",N(O1615)=0),"",N(O1615)+ROUND(MIN(N(N1615),TOPE_UF*UF_MES)*(TASA_EMP+MUTUAL),0)+ROUND(MIN(N(N1615),TOPE_AFC_UF*UF_MES)*IF(S1615="Indefinido",AFC_INDEF,AFC_PF),0))</f>
        <v/>
      </c>
      <c r="U1615" s="62" t="str">
        <f aca="false">IF(C1615="","",IF(LEFT(D1615,1)="⚠","⚠ RUT no registrado en Trabajadores",IF(B1615="","⚠ Falta el mes",IF(OR(ISTEXT(I1615),ISTEXT(J1615)),"⚠ Atrasos u horas extra como texto: escriba hh:mm (ej. 1:30)",IF(AND(ISNUMBER(Q1615),COUNTIFS(M_RUTN,V1615,M_MES,B1615,M_LIQ,"&lt;&gt;")&gt;1),"⚠ Liquidación repetida en el mes",IF(AND(ISNUMBER(O1615),ISNUMBER(P1615),ISNUMBER(Q1615),ABS(O1615-P1615-Q1615)&gt;1),"⚠ Haberes − descuentos no da el líquido","OK"))))))</f>
        <v/>
      </c>
      <c r="V1615" s="62" t="str">
        <f aca="false">IF(C1615="","",IFERROR(VALUE(LEFT(UPPER(SUBSTITUTE(SUBSTITUTE(SUBSTITUTE(TRIM(C1615),".",""),"-","")," ","")),LEN(UPPER(SUBSTITUTE(SUBSTITUTE(SUBSTITUTE(TRIM(C1615),".",""),"-","")," ","")))-1))&amp;RIGHT(UPPER(SUBSTITUTE(SUBSTITUTE(SUBSTITUTE(TRIM(C1615),".",""),"-","")," ","")),1),UPPER(SUBSTITUTE(SUBSTITUTE(SUBSTITUTE(TRIM(C1615),".",""),"-","")," ",""))))</f>
        <v/>
      </c>
    </row>
    <row r="1616" customFormat="false" ht="15" hidden="false" customHeight="false" outlineLevel="0" collapsed="false">
      <c r="B1616" s="80"/>
      <c r="C1616" s="58"/>
      <c r="D1616" s="62" t="str">
        <f aca="false">IF(C1616="","",IFERROR(INDEX(T_NOMBRE,MATCH(V1616,T_RUTN,0)),"⚠ RUT no está en Trabajadores"))</f>
        <v/>
      </c>
      <c r="E1616" s="61"/>
      <c r="F1616" s="61"/>
      <c r="G1616" s="61"/>
      <c r="H1616" s="61"/>
      <c r="I1616" s="81"/>
      <c r="J1616" s="81"/>
      <c r="K1616" s="60"/>
      <c r="L1616" s="60"/>
      <c r="M1616" s="60"/>
      <c r="N1616" s="60"/>
      <c r="O1616" s="60"/>
      <c r="P1616" s="60"/>
      <c r="Q1616" s="60"/>
      <c r="R1616" s="58"/>
      <c r="S1616" s="62" t="str">
        <f aca="false">IF(OR(B1616="",V1616=""),"",IFERROR(INDEX(C_TIPO,MATCH(V1616&amp;"-P"&amp;MAX(1,COUNTIFS(C_RUTN,V1616,C_DEF,"Sí",C_INI,"&lt;="&amp;EOMONTH(B1616,0))),C_CLAVE,0))&amp;"","Sin contrato"))</f>
        <v/>
      </c>
      <c r="T1616" s="63" t="str">
        <f aca="false">IF(OR(B1616="",N(O1616)=0),"",N(O1616)+ROUND(MIN(N(N1616),TOPE_UF*UF_MES)*(TASA_EMP+MUTUAL),0)+ROUND(MIN(N(N1616),TOPE_AFC_UF*UF_MES)*IF(S1616="Indefinido",AFC_INDEF,AFC_PF),0))</f>
        <v/>
      </c>
      <c r="U1616" s="62" t="str">
        <f aca="false">IF(C1616="","",IF(LEFT(D1616,1)="⚠","⚠ RUT no registrado en Trabajadores",IF(B1616="","⚠ Falta el mes",IF(OR(ISTEXT(I1616),ISTEXT(J1616)),"⚠ Atrasos u horas extra como texto: escriba hh:mm (ej. 1:30)",IF(AND(ISNUMBER(Q1616),COUNTIFS(M_RUTN,V1616,M_MES,B1616,M_LIQ,"&lt;&gt;")&gt;1),"⚠ Liquidación repetida en el mes",IF(AND(ISNUMBER(O1616),ISNUMBER(P1616),ISNUMBER(Q1616),ABS(O1616-P1616-Q1616)&gt;1),"⚠ Haberes − descuentos no da el líquido","OK"))))))</f>
        <v/>
      </c>
      <c r="V1616" s="62" t="str">
        <f aca="false">IF(C1616="","",IFERROR(VALUE(LEFT(UPPER(SUBSTITUTE(SUBSTITUTE(SUBSTITUTE(TRIM(C1616),".",""),"-","")," ","")),LEN(UPPER(SUBSTITUTE(SUBSTITUTE(SUBSTITUTE(TRIM(C1616),".",""),"-","")," ","")))-1))&amp;RIGHT(UPPER(SUBSTITUTE(SUBSTITUTE(SUBSTITUTE(TRIM(C1616),".",""),"-","")," ","")),1),UPPER(SUBSTITUTE(SUBSTITUTE(SUBSTITUTE(TRIM(C1616),".",""),"-","")," ",""))))</f>
        <v/>
      </c>
    </row>
    <row r="1617" customFormat="false" ht="15" hidden="false" customHeight="false" outlineLevel="0" collapsed="false">
      <c r="B1617" s="80"/>
      <c r="C1617" s="58"/>
      <c r="D1617" s="62" t="str">
        <f aca="false">IF(C1617="","",IFERROR(INDEX(T_NOMBRE,MATCH(V1617,T_RUTN,0)),"⚠ RUT no está en Trabajadores"))</f>
        <v/>
      </c>
      <c r="E1617" s="61"/>
      <c r="F1617" s="61"/>
      <c r="G1617" s="61"/>
      <c r="H1617" s="61"/>
      <c r="I1617" s="81"/>
      <c r="J1617" s="81"/>
      <c r="K1617" s="60"/>
      <c r="L1617" s="60"/>
      <c r="M1617" s="60"/>
      <c r="N1617" s="60"/>
      <c r="O1617" s="60"/>
      <c r="P1617" s="60"/>
      <c r="Q1617" s="60"/>
      <c r="R1617" s="58"/>
      <c r="S1617" s="62" t="str">
        <f aca="false">IF(OR(B1617="",V1617=""),"",IFERROR(INDEX(C_TIPO,MATCH(V1617&amp;"-P"&amp;MAX(1,COUNTIFS(C_RUTN,V1617,C_DEF,"Sí",C_INI,"&lt;="&amp;EOMONTH(B1617,0))),C_CLAVE,0))&amp;"","Sin contrato"))</f>
        <v/>
      </c>
      <c r="T1617" s="63" t="str">
        <f aca="false">IF(OR(B1617="",N(O1617)=0),"",N(O1617)+ROUND(MIN(N(N1617),TOPE_UF*UF_MES)*(TASA_EMP+MUTUAL),0)+ROUND(MIN(N(N1617),TOPE_AFC_UF*UF_MES)*IF(S1617="Indefinido",AFC_INDEF,AFC_PF),0))</f>
        <v/>
      </c>
      <c r="U1617" s="62" t="str">
        <f aca="false">IF(C1617="","",IF(LEFT(D1617,1)="⚠","⚠ RUT no registrado en Trabajadores",IF(B1617="","⚠ Falta el mes",IF(OR(ISTEXT(I1617),ISTEXT(J1617)),"⚠ Atrasos u horas extra como texto: escriba hh:mm (ej. 1:30)",IF(AND(ISNUMBER(Q1617),COUNTIFS(M_RUTN,V1617,M_MES,B1617,M_LIQ,"&lt;&gt;")&gt;1),"⚠ Liquidación repetida en el mes",IF(AND(ISNUMBER(O1617),ISNUMBER(P1617),ISNUMBER(Q1617),ABS(O1617-P1617-Q1617)&gt;1),"⚠ Haberes − descuentos no da el líquido","OK"))))))</f>
        <v/>
      </c>
      <c r="V1617" s="62" t="str">
        <f aca="false">IF(C1617="","",IFERROR(VALUE(LEFT(UPPER(SUBSTITUTE(SUBSTITUTE(SUBSTITUTE(TRIM(C1617),".",""),"-","")," ","")),LEN(UPPER(SUBSTITUTE(SUBSTITUTE(SUBSTITUTE(TRIM(C1617),".",""),"-","")," ","")))-1))&amp;RIGHT(UPPER(SUBSTITUTE(SUBSTITUTE(SUBSTITUTE(TRIM(C1617),".",""),"-","")," ","")),1),UPPER(SUBSTITUTE(SUBSTITUTE(SUBSTITUTE(TRIM(C1617),".",""),"-","")," ",""))))</f>
        <v/>
      </c>
    </row>
    <row r="1618" customFormat="false" ht="15" hidden="false" customHeight="false" outlineLevel="0" collapsed="false">
      <c r="B1618" s="80"/>
      <c r="C1618" s="58"/>
      <c r="D1618" s="62" t="str">
        <f aca="false">IF(C1618="","",IFERROR(INDEX(T_NOMBRE,MATCH(V1618,T_RUTN,0)),"⚠ RUT no está en Trabajadores"))</f>
        <v/>
      </c>
      <c r="E1618" s="61"/>
      <c r="F1618" s="61"/>
      <c r="G1618" s="61"/>
      <c r="H1618" s="61"/>
      <c r="I1618" s="81"/>
      <c r="J1618" s="81"/>
      <c r="K1618" s="60"/>
      <c r="L1618" s="60"/>
      <c r="M1618" s="60"/>
      <c r="N1618" s="60"/>
      <c r="O1618" s="60"/>
      <c r="P1618" s="60"/>
      <c r="Q1618" s="60"/>
      <c r="R1618" s="58"/>
      <c r="S1618" s="62" t="str">
        <f aca="false">IF(OR(B1618="",V1618=""),"",IFERROR(INDEX(C_TIPO,MATCH(V1618&amp;"-P"&amp;MAX(1,COUNTIFS(C_RUTN,V1618,C_DEF,"Sí",C_INI,"&lt;="&amp;EOMONTH(B1618,0))),C_CLAVE,0))&amp;"","Sin contrato"))</f>
        <v/>
      </c>
      <c r="T1618" s="63" t="str">
        <f aca="false">IF(OR(B1618="",N(O1618)=0),"",N(O1618)+ROUND(MIN(N(N1618),TOPE_UF*UF_MES)*(TASA_EMP+MUTUAL),0)+ROUND(MIN(N(N1618),TOPE_AFC_UF*UF_MES)*IF(S1618="Indefinido",AFC_INDEF,AFC_PF),0))</f>
        <v/>
      </c>
      <c r="U1618" s="62" t="str">
        <f aca="false">IF(C1618="","",IF(LEFT(D1618,1)="⚠","⚠ RUT no registrado en Trabajadores",IF(B1618="","⚠ Falta el mes",IF(OR(ISTEXT(I1618),ISTEXT(J1618)),"⚠ Atrasos u horas extra como texto: escriba hh:mm (ej. 1:30)",IF(AND(ISNUMBER(Q1618),COUNTIFS(M_RUTN,V1618,M_MES,B1618,M_LIQ,"&lt;&gt;")&gt;1),"⚠ Liquidación repetida en el mes",IF(AND(ISNUMBER(O1618),ISNUMBER(P1618),ISNUMBER(Q1618),ABS(O1618-P1618-Q1618)&gt;1),"⚠ Haberes − descuentos no da el líquido","OK"))))))</f>
        <v/>
      </c>
      <c r="V1618" s="62" t="str">
        <f aca="false">IF(C1618="","",IFERROR(VALUE(LEFT(UPPER(SUBSTITUTE(SUBSTITUTE(SUBSTITUTE(TRIM(C1618),".",""),"-","")," ","")),LEN(UPPER(SUBSTITUTE(SUBSTITUTE(SUBSTITUTE(TRIM(C1618),".",""),"-","")," ","")))-1))&amp;RIGHT(UPPER(SUBSTITUTE(SUBSTITUTE(SUBSTITUTE(TRIM(C1618),".",""),"-","")," ","")),1),UPPER(SUBSTITUTE(SUBSTITUTE(SUBSTITUTE(TRIM(C1618),".",""),"-","")," ",""))))</f>
        <v/>
      </c>
    </row>
    <row r="1619" customFormat="false" ht="15" hidden="false" customHeight="false" outlineLevel="0" collapsed="false">
      <c r="B1619" s="80"/>
      <c r="C1619" s="58"/>
      <c r="D1619" s="62" t="str">
        <f aca="false">IF(C1619="","",IFERROR(INDEX(T_NOMBRE,MATCH(V1619,T_RUTN,0)),"⚠ RUT no está en Trabajadores"))</f>
        <v/>
      </c>
      <c r="E1619" s="61"/>
      <c r="F1619" s="61"/>
      <c r="G1619" s="61"/>
      <c r="H1619" s="61"/>
      <c r="I1619" s="81"/>
      <c r="J1619" s="81"/>
      <c r="K1619" s="60"/>
      <c r="L1619" s="60"/>
      <c r="M1619" s="60"/>
      <c r="N1619" s="60"/>
      <c r="O1619" s="60"/>
      <c r="P1619" s="60"/>
      <c r="Q1619" s="60"/>
      <c r="R1619" s="58"/>
      <c r="S1619" s="62" t="str">
        <f aca="false">IF(OR(B1619="",V1619=""),"",IFERROR(INDEX(C_TIPO,MATCH(V1619&amp;"-P"&amp;MAX(1,COUNTIFS(C_RUTN,V1619,C_DEF,"Sí",C_INI,"&lt;="&amp;EOMONTH(B1619,0))),C_CLAVE,0))&amp;"","Sin contrato"))</f>
        <v/>
      </c>
      <c r="T1619" s="63" t="str">
        <f aca="false">IF(OR(B1619="",N(O1619)=0),"",N(O1619)+ROUND(MIN(N(N1619),TOPE_UF*UF_MES)*(TASA_EMP+MUTUAL),0)+ROUND(MIN(N(N1619),TOPE_AFC_UF*UF_MES)*IF(S1619="Indefinido",AFC_INDEF,AFC_PF),0))</f>
        <v/>
      </c>
      <c r="U1619" s="62" t="str">
        <f aca="false">IF(C1619="","",IF(LEFT(D1619,1)="⚠","⚠ RUT no registrado en Trabajadores",IF(B1619="","⚠ Falta el mes",IF(OR(ISTEXT(I1619),ISTEXT(J1619)),"⚠ Atrasos u horas extra como texto: escriba hh:mm (ej. 1:30)",IF(AND(ISNUMBER(Q1619),COUNTIFS(M_RUTN,V1619,M_MES,B1619,M_LIQ,"&lt;&gt;")&gt;1),"⚠ Liquidación repetida en el mes",IF(AND(ISNUMBER(O1619),ISNUMBER(P1619),ISNUMBER(Q1619),ABS(O1619-P1619-Q1619)&gt;1),"⚠ Haberes − descuentos no da el líquido","OK"))))))</f>
        <v/>
      </c>
      <c r="V1619" s="62" t="str">
        <f aca="false">IF(C1619="","",IFERROR(VALUE(LEFT(UPPER(SUBSTITUTE(SUBSTITUTE(SUBSTITUTE(TRIM(C1619),".",""),"-","")," ","")),LEN(UPPER(SUBSTITUTE(SUBSTITUTE(SUBSTITUTE(TRIM(C1619),".",""),"-","")," ","")))-1))&amp;RIGHT(UPPER(SUBSTITUTE(SUBSTITUTE(SUBSTITUTE(TRIM(C1619),".",""),"-","")," ","")),1),UPPER(SUBSTITUTE(SUBSTITUTE(SUBSTITUTE(TRIM(C1619),".",""),"-","")," ",""))))</f>
        <v/>
      </c>
    </row>
    <row r="1620" customFormat="false" ht="15" hidden="false" customHeight="false" outlineLevel="0" collapsed="false">
      <c r="B1620" s="80"/>
      <c r="C1620" s="58"/>
      <c r="D1620" s="62" t="str">
        <f aca="false">IF(C1620="","",IFERROR(INDEX(T_NOMBRE,MATCH(V1620,T_RUTN,0)),"⚠ RUT no está en Trabajadores"))</f>
        <v/>
      </c>
      <c r="E1620" s="61"/>
      <c r="F1620" s="61"/>
      <c r="G1620" s="61"/>
      <c r="H1620" s="61"/>
      <c r="I1620" s="81"/>
      <c r="J1620" s="81"/>
      <c r="K1620" s="60"/>
      <c r="L1620" s="60"/>
      <c r="M1620" s="60"/>
      <c r="N1620" s="60"/>
      <c r="O1620" s="60"/>
      <c r="P1620" s="60"/>
      <c r="Q1620" s="60"/>
      <c r="R1620" s="58"/>
      <c r="S1620" s="62" t="str">
        <f aca="false">IF(OR(B1620="",V1620=""),"",IFERROR(INDEX(C_TIPO,MATCH(V1620&amp;"-P"&amp;MAX(1,COUNTIFS(C_RUTN,V1620,C_DEF,"Sí",C_INI,"&lt;="&amp;EOMONTH(B1620,0))),C_CLAVE,0))&amp;"","Sin contrato"))</f>
        <v/>
      </c>
      <c r="T1620" s="63" t="str">
        <f aca="false">IF(OR(B1620="",N(O1620)=0),"",N(O1620)+ROUND(MIN(N(N1620),TOPE_UF*UF_MES)*(TASA_EMP+MUTUAL),0)+ROUND(MIN(N(N1620),TOPE_AFC_UF*UF_MES)*IF(S1620="Indefinido",AFC_INDEF,AFC_PF),0))</f>
        <v/>
      </c>
      <c r="U1620" s="62" t="str">
        <f aca="false">IF(C1620="","",IF(LEFT(D1620,1)="⚠","⚠ RUT no registrado en Trabajadores",IF(B1620="","⚠ Falta el mes",IF(OR(ISTEXT(I1620),ISTEXT(J1620)),"⚠ Atrasos u horas extra como texto: escriba hh:mm (ej. 1:30)",IF(AND(ISNUMBER(Q1620),COUNTIFS(M_RUTN,V1620,M_MES,B1620,M_LIQ,"&lt;&gt;")&gt;1),"⚠ Liquidación repetida en el mes",IF(AND(ISNUMBER(O1620),ISNUMBER(P1620),ISNUMBER(Q1620),ABS(O1620-P1620-Q1620)&gt;1),"⚠ Haberes − descuentos no da el líquido","OK"))))))</f>
        <v/>
      </c>
      <c r="V1620" s="62" t="str">
        <f aca="false">IF(C1620="","",IFERROR(VALUE(LEFT(UPPER(SUBSTITUTE(SUBSTITUTE(SUBSTITUTE(TRIM(C1620),".",""),"-","")," ","")),LEN(UPPER(SUBSTITUTE(SUBSTITUTE(SUBSTITUTE(TRIM(C1620),".",""),"-","")," ","")))-1))&amp;RIGHT(UPPER(SUBSTITUTE(SUBSTITUTE(SUBSTITUTE(TRIM(C1620),".",""),"-","")," ","")),1),UPPER(SUBSTITUTE(SUBSTITUTE(SUBSTITUTE(TRIM(C1620),".",""),"-","")," ",""))))</f>
        <v/>
      </c>
    </row>
    <row r="1621" customFormat="false" ht="15" hidden="false" customHeight="false" outlineLevel="0" collapsed="false">
      <c r="B1621" s="80"/>
      <c r="C1621" s="58"/>
      <c r="D1621" s="62" t="str">
        <f aca="false">IF(C1621="","",IFERROR(INDEX(T_NOMBRE,MATCH(V1621,T_RUTN,0)),"⚠ RUT no está en Trabajadores"))</f>
        <v/>
      </c>
      <c r="E1621" s="61"/>
      <c r="F1621" s="61"/>
      <c r="G1621" s="61"/>
      <c r="H1621" s="61"/>
      <c r="I1621" s="81"/>
      <c r="J1621" s="81"/>
      <c r="K1621" s="60"/>
      <c r="L1621" s="60"/>
      <c r="M1621" s="60"/>
      <c r="N1621" s="60"/>
      <c r="O1621" s="60"/>
      <c r="P1621" s="60"/>
      <c r="Q1621" s="60"/>
      <c r="R1621" s="58"/>
      <c r="S1621" s="62" t="str">
        <f aca="false">IF(OR(B1621="",V1621=""),"",IFERROR(INDEX(C_TIPO,MATCH(V1621&amp;"-P"&amp;MAX(1,COUNTIFS(C_RUTN,V1621,C_DEF,"Sí",C_INI,"&lt;="&amp;EOMONTH(B1621,0))),C_CLAVE,0))&amp;"","Sin contrato"))</f>
        <v/>
      </c>
      <c r="T1621" s="63" t="str">
        <f aca="false">IF(OR(B1621="",N(O1621)=0),"",N(O1621)+ROUND(MIN(N(N1621),TOPE_UF*UF_MES)*(TASA_EMP+MUTUAL),0)+ROUND(MIN(N(N1621),TOPE_AFC_UF*UF_MES)*IF(S1621="Indefinido",AFC_INDEF,AFC_PF),0))</f>
        <v/>
      </c>
      <c r="U1621" s="62" t="str">
        <f aca="false">IF(C1621="","",IF(LEFT(D1621,1)="⚠","⚠ RUT no registrado en Trabajadores",IF(B1621="","⚠ Falta el mes",IF(OR(ISTEXT(I1621),ISTEXT(J1621)),"⚠ Atrasos u horas extra como texto: escriba hh:mm (ej. 1:30)",IF(AND(ISNUMBER(Q1621),COUNTIFS(M_RUTN,V1621,M_MES,B1621,M_LIQ,"&lt;&gt;")&gt;1),"⚠ Liquidación repetida en el mes",IF(AND(ISNUMBER(O1621),ISNUMBER(P1621),ISNUMBER(Q1621),ABS(O1621-P1621-Q1621)&gt;1),"⚠ Haberes − descuentos no da el líquido","OK"))))))</f>
        <v/>
      </c>
      <c r="V1621" s="62" t="str">
        <f aca="false">IF(C1621="","",IFERROR(VALUE(LEFT(UPPER(SUBSTITUTE(SUBSTITUTE(SUBSTITUTE(TRIM(C1621),".",""),"-","")," ","")),LEN(UPPER(SUBSTITUTE(SUBSTITUTE(SUBSTITUTE(TRIM(C1621),".",""),"-","")," ","")))-1))&amp;RIGHT(UPPER(SUBSTITUTE(SUBSTITUTE(SUBSTITUTE(TRIM(C1621),".",""),"-","")," ","")),1),UPPER(SUBSTITUTE(SUBSTITUTE(SUBSTITUTE(TRIM(C1621),".",""),"-","")," ",""))))</f>
        <v/>
      </c>
    </row>
    <row r="1622" customFormat="false" ht="15" hidden="false" customHeight="false" outlineLevel="0" collapsed="false">
      <c r="B1622" s="80"/>
      <c r="C1622" s="58"/>
      <c r="D1622" s="62" t="str">
        <f aca="false">IF(C1622="","",IFERROR(INDEX(T_NOMBRE,MATCH(V1622,T_RUTN,0)),"⚠ RUT no está en Trabajadores"))</f>
        <v/>
      </c>
      <c r="E1622" s="61"/>
      <c r="F1622" s="61"/>
      <c r="G1622" s="61"/>
      <c r="H1622" s="61"/>
      <c r="I1622" s="81"/>
      <c r="J1622" s="81"/>
      <c r="K1622" s="60"/>
      <c r="L1622" s="60"/>
      <c r="M1622" s="60"/>
      <c r="N1622" s="60"/>
      <c r="O1622" s="60"/>
      <c r="P1622" s="60"/>
      <c r="Q1622" s="60"/>
      <c r="R1622" s="58"/>
      <c r="S1622" s="62" t="str">
        <f aca="false">IF(OR(B1622="",V1622=""),"",IFERROR(INDEX(C_TIPO,MATCH(V1622&amp;"-P"&amp;MAX(1,COUNTIFS(C_RUTN,V1622,C_DEF,"Sí",C_INI,"&lt;="&amp;EOMONTH(B1622,0))),C_CLAVE,0))&amp;"","Sin contrato"))</f>
        <v/>
      </c>
      <c r="T1622" s="63" t="str">
        <f aca="false">IF(OR(B1622="",N(O1622)=0),"",N(O1622)+ROUND(MIN(N(N1622),TOPE_UF*UF_MES)*(TASA_EMP+MUTUAL),0)+ROUND(MIN(N(N1622),TOPE_AFC_UF*UF_MES)*IF(S1622="Indefinido",AFC_INDEF,AFC_PF),0))</f>
        <v/>
      </c>
      <c r="U1622" s="62" t="str">
        <f aca="false">IF(C1622="","",IF(LEFT(D1622,1)="⚠","⚠ RUT no registrado en Trabajadores",IF(B1622="","⚠ Falta el mes",IF(OR(ISTEXT(I1622),ISTEXT(J1622)),"⚠ Atrasos u horas extra como texto: escriba hh:mm (ej. 1:30)",IF(AND(ISNUMBER(Q1622),COUNTIFS(M_RUTN,V1622,M_MES,B1622,M_LIQ,"&lt;&gt;")&gt;1),"⚠ Liquidación repetida en el mes",IF(AND(ISNUMBER(O1622),ISNUMBER(P1622),ISNUMBER(Q1622),ABS(O1622-P1622-Q1622)&gt;1),"⚠ Haberes − descuentos no da el líquido","OK"))))))</f>
        <v/>
      </c>
      <c r="V1622" s="62" t="str">
        <f aca="false">IF(C1622="","",IFERROR(VALUE(LEFT(UPPER(SUBSTITUTE(SUBSTITUTE(SUBSTITUTE(TRIM(C1622),".",""),"-","")," ","")),LEN(UPPER(SUBSTITUTE(SUBSTITUTE(SUBSTITUTE(TRIM(C1622),".",""),"-","")," ","")))-1))&amp;RIGHT(UPPER(SUBSTITUTE(SUBSTITUTE(SUBSTITUTE(TRIM(C1622),".",""),"-","")," ","")),1),UPPER(SUBSTITUTE(SUBSTITUTE(SUBSTITUTE(TRIM(C1622),".",""),"-","")," ",""))))</f>
        <v/>
      </c>
    </row>
    <row r="1623" customFormat="false" ht="15" hidden="false" customHeight="false" outlineLevel="0" collapsed="false">
      <c r="B1623" s="80"/>
      <c r="C1623" s="58"/>
      <c r="D1623" s="62" t="str">
        <f aca="false">IF(C1623="","",IFERROR(INDEX(T_NOMBRE,MATCH(V1623,T_RUTN,0)),"⚠ RUT no está en Trabajadores"))</f>
        <v/>
      </c>
      <c r="E1623" s="61"/>
      <c r="F1623" s="61"/>
      <c r="G1623" s="61"/>
      <c r="H1623" s="61"/>
      <c r="I1623" s="81"/>
      <c r="J1623" s="81"/>
      <c r="K1623" s="60"/>
      <c r="L1623" s="60"/>
      <c r="M1623" s="60"/>
      <c r="N1623" s="60"/>
      <c r="O1623" s="60"/>
      <c r="P1623" s="60"/>
      <c r="Q1623" s="60"/>
      <c r="R1623" s="58"/>
      <c r="S1623" s="62" t="str">
        <f aca="false">IF(OR(B1623="",V1623=""),"",IFERROR(INDEX(C_TIPO,MATCH(V1623&amp;"-P"&amp;MAX(1,COUNTIFS(C_RUTN,V1623,C_DEF,"Sí",C_INI,"&lt;="&amp;EOMONTH(B1623,0))),C_CLAVE,0))&amp;"","Sin contrato"))</f>
        <v/>
      </c>
      <c r="T1623" s="63" t="str">
        <f aca="false">IF(OR(B1623="",N(O1623)=0),"",N(O1623)+ROUND(MIN(N(N1623),TOPE_UF*UF_MES)*(TASA_EMP+MUTUAL),0)+ROUND(MIN(N(N1623),TOPE_AFC_UF*UF_MES)*IF(S1623="Indefinido",AFC_INDEF,AFC_PF),0))</f>
        <v/>
      </c>
      <c r="U1623" s="62" t="str">
        <f aca="false">IF(C1623="","",IF(LEFT(D1623,1)="⚠","⚠ RUT no registrado en Trabajadores",IF(B1623="","⚠ Falta el mes",IF(OR(ISTEXT(I1623),ISTEXT(J1623)),"⚠ Atrasos u horas extra como texto: escriba hh:mm (ej. 1:30)",IF(AND(ISNUMBER(Q1623),COUNTIFS(M_RUTN,V1623,M_MES,B1623,M_LIQ,"&lt;&gt;")&gt;1),"⚠ Liquidación repetida en el mes",IF(AND(ISNUMBER(O1623),ISNUMBER(P1623),ISNUMBER(Q1623),ABS(O1623-P1623-Q1623)&gt;1),"⚠ Haberes − descuentos no da el líquido","OK"))))))</f>
        <v/>
      </c>
      <c r="V1623" s="62" t="str">
        <f aca="false">IF(C1623="","",IFERROR(VALUE(LEFT(UPPER(SUBSTITUTE(SUBSTITUTE(SUBSTITUTE(TRIM(C1623),".",""),"-","")," ","")),LEN(UPPER(SUBSTITUTE(SUBSTITUTE(SUBSTITUTE(TRIM(C1623),".",""),"-","")," ","")))-1))&amp;RIGHT(UPPER(SUBSTITUTE(SUBSTITUTE(SUBSTITUTE(TRIM(C1623),".",""),"-","")," ","")),1),UPPER(SUBSTITUTE(SUBSTITUTE(SUBSTITUTE(TRIM(C1623),".",""),"-","")," ",""))))</f>
        <v/>
      </c>
    </row>
    <row r="1624" customFormat="false" ht="15" hidden="false" customHeight="false" outlineLevel="0" collapsed="false">
      <c r="B1624" s="80"/>
      <c r="C1624" s="58"/>
      <c r="D1624" s="62" t="str">
        <f aca="false">IF(C1624="","",IFERROR(INDEX(T_NOMBRE,MATCH(V1624,T_RUTN,0)),"⚠ RUT no está en Trabajadores"))</f>
        <v/>
      </c>
      <c r="E1624" s="61"/>
      <c r="F1624" s="61"/>
      <c r="G1624" s="61"/>
      <c r="H1624" s="61"/>
      <c r="I1624" s="81"/>
      <c r="J1624" s="81"/>
      <c r="K1624" s="60"/>
      <c r="L1624" s="60"/>
      <c r="M1624" s="60"/>
      <c r="N1624" s="60"/>
      <c r="O1624" s="60"/>
      <c r="P1624" s="60"/>
      <c r="Q1624" s="60"/>
      <c r="R1624" s="58"/>
      <c r="S1624" s="62" t="str">
        <f aca="false">IF(OR(B1624="",V1624=""),"",IFERROR(INDEX(C_TIPO,MATCH(V1624&amp;"-P"&amp;MAX(1,COUNTIFS(C_RUTN,V1624,C_DEF,"Sí",C_INI,"&lt;="&amp;EOMONTH(B1624,0))),C_CLAVE,0))&amp;"","Sin contrato"))</f>
        <v/>
      </c>
      <c r="T1624" s="63" t="str">
        <f aca="false">IF(OR(B1624="",N(O1624)=0),"",N(O1624)+ROUND(MIN(N(N1624),TOPE_UF*UF_MES)*(TASA_EMP+MUTUAL),0)+ROUND(MIN(N(N1624),TOPE_AFC_UF*UF_MES)*IF(S1624="Indefinido",AFC_INDEF,AFC_PF),0))</f>
        <v/>
      </c>
      <c r="U1624" s="62" t="str">
        <f aca="false">IF(C1624="","",IF(LEFT(D1624,1)="⚠","⚠ RUT no registrado en Trabajadores",IF(B1624="","⚠ Falta el mes",IF(OR(ISTEXT(I1624),ISTEXT(J1624)),"⚠ Atrasos u horas extra como texto: escriba hh:mm (ej. 1:30)",IF(AND(ISNUMBER(Q1624),COUNTIFS(M_RUTN,V1624,M_MES,B1624,M_LIQ,"&lt;&gt;")&gt;1),"⚠ Liquidación repetida en el mes",IF(AND(ISNUMBER(O1624),ISNUMBER(P1624),ISNUMBER(Q1624),ABS(O1624-P1624-Q1624)&gt;1),"⚠ Haberes − descuentos no da el líquido","OK"))))))</f>
        <v/>
      </c>
      <c r="V1624" s="62" t="str">
        <f aca="false">IF(C1624="","",IFERROR(VALUE(LEFT(UPPER(SUBSTITUTE(SUBSTITUTE(SUBSTITUTE(TRIM(C1624),".",""),"-","")," ","")),LEN(UPPER(SUBSTITUTE(SUBSTITUTE(SUBSTITUTE(TRIM(C1624),".",""),"-","")," ","")))-1))&amp;RIGHT(UPPER(SUBSTITUTE(SUBSTITUTE(SUBSTITUTE(TRIM(C1624),".",""),"-","")," ","")),1),UPPER(SUBSTITUTE(SUBSTITUTE(SUBSTITUTE(TRIM(C1624),".",""),"-","")," ",""))))</f>
        <v/>
      </c>
    </row>
    <row r="1625" customFormat="false" ht="15" hidden="false" customHeight="false" outlineLevel="0" collapsed="false">
      <c r="B1625" s="80"/>
      <c r="C1625" s="58"/>
      <c r="D1625" s="62" t="str">
        <f aca="false">IF(C1625="","",IFERROR(INDEX(T_NOMBRE,MATCH(V1625,T_RUTN,0)),"⚠ RUT no está en Trabajadores"))</f>
        <v/>
      </c>
      <c r="E1625" s="61"/>
      <c r="F1625" s="61"/>
      <c r="G1625" s="61"/>
      <c r="H1625" s="61"/>
      <c r="I1625" s="81"/>
      <c r="J1625" s="81"/>
      <c r="K1625" s="60"/>
      <c r="L1625" s="60"/>
      <c r="M1625" s="60"/>
      <c r="N1625" s="60"/>
      <c r="O1625" s="60"/>
      <c r="P1625" s="60"/>
      <c r="Q1625" s="60"/>
      <c r="R1625" s="58"/>
      <c r="S1625" s="62" t="str">
        <f aca="false">IF(OR(B1625="",V1625=""),"",IFERROR(INDEX(C_TIPO,MATCH(V1625&amp;"-P"&amp;MAX(1,COUNTIFS(C_RUTN,V1625,C_DEF,"Sí",C_INI,"&lt;="&amp;EOMONTH(B1625,0))),C_CLAVE,0))&amp;"","Sin contrato"))</f>
        <v/>
      </c>
      <c r="T1625" s="63" t="str">
        <f aca="false">IF(OR(B1625="",N(O1625)=0),"",N(O1625)+ROUND(MIN(N(N1625),TOPE_UF*UF_MES)*(TASA_EMP+MUTUAL),0)+ROUND(MIN(N(N1625),TOPE_AFC_UF*UF_MES)*IF(S1625="Indefinido",AFC_INDEF,AFC_PF),0))</f>
        <v/>
      </c>
      <c r="U1625" s="62" t="str">
        <f aca="false">IF(C1625="","",IF(LEFT(D1625,1)="⚠","⚠ RUT no registrado en Trabajadores",IF(B1625="","⚠ Falta el mes",IF(OR(ISTEXT(I1625),ISTEXT(J1625)),"⚠ Atrasos u horas extra como texto: escriba hh:mm (ej. 1:30)",IF(AND(ISNUMBER(Q1625),COUNTIFS(M_RUTN,V1625,M_MES,B1625,M_LIQ,"&lt;&gt;")&gt;1),"⚠ Liquidación repetida en el mes",IF(AND(ISNUMBER(O1625),ISNUMBER(P1625),ISNUMBER(Q1625),ABS(O1625-P1625-Q1625)&gt;1),"⚠ Haberes − descuentos no da el líquido","OK"))))))</f>
        <v/>
      </c>
      <c r="V1625" s="62" t="str">
        <f aca="false">IF(C1625="","",IFERROR(VALUE(LEFT(UPPER(SUBSTITUTE(SUBSTITUTE(SUBSTITUTE(TRIM(C1625),".",""),"-","")," ","")),LEN(UPPER(SUBSTITUTE(SUBSTITUTE(SUBSTITUTE(TRIM(C1625),".",""),"-","")," ","")))-1))&amp;RIGHT(UPPER(SUBSTITUTE(SUBSTITUTE(SUBSTITUTE(TRIM(C1625),".",""),"-","")," ","")),1),UPPER(SUBSTITUTE(SUBSTITUTE(SUBSTITUTE(TRIM(C1625),".",""),"-","")," ",""))))</f>
        <v/>
      </c>
    </row>
    <row r="1626" customFormat="false" ht="15" hidden="false" customHeight="false" outlineLevel="0" collapsed="false">
      <c r="B1626" s="80"/>
      <c r="C1626" s="58"/>
      <c r="D1626" s="62" t="str">
        <f aca="false">IF(C1626="","",IFERROR(INDEX(T_NOMBRE,MATCH(V1626,T_RUTN,0)),"⚠ RUT no está en Trabajadores"))</f>
        <v/>
      </c>
      <c r="E1626" s="61"/>
      <c r="F1626" s="61"/>
      <c r="G1626" s="61"/>
      <c r="H1626" s="61"/>
      <c r="I1626" s="81"/>
      <c r="J1626" s="81"/>
      <c r="K1626" s="60"/>
      <c r="L1626" s="60"/>
      <c r="M1626" s="60"/>
      <c r="N1626" s="60"/>
      <c r="O1626" s="60"/>
      <c r="P1626" s="60"/>
      <c r="Q1626" s="60"/>
      <c r="R1626" s="58"/>
      <c r="S1626" s="62" t="str">
        <f aca="false">IF(OR(B1626="",V1626=""),"",IFERROR(INDEX(C_TIPO,MATCH(V1626&amp;"-P"&amp;MAX(1,COUNTIFS(C_RUTN,V1626,C_DEF,"Sí",C_INI,"&lt;="&amp;EOMONTH(B1626,0))),C_CLAVE,0))&amp;"","Sin contrato"))</f>
        <v/>
      </c>
      <c r="T1626" s="63" t="str">
        <f aca="false">IF(OR(B1626="",N(O1626)=0),"",N(O1626)+ROUND(MIN(N(N1626),TOPE_UF*UF_MES)*(TASA_EMP+MUTUAL),0)+ROUND(MIN(N(N1626),TOPE_AFC_UF*UF_MES)*IF(S1626="Indefinido",AFC_INDEF,AFC_PF),0))</f>
        <v/>
      </c>
      <c r="U1626" s="62" t="str">
        <f aca="false">IF(C1626="","",IF(LEFT(D1626,1)="⚠","⚠ RUT no registrado en Trabajadores",IF(B1626="","⚠ Falta el mes",IF(OR(ISTEXT(I1626),ISTEXT(J1626)),"⚠ Atrasos u horas extra como texto: escriba hh:mm (ej. 1:30)",IF(AND(ISNUMBER(Q1626),COUNTIFS(M_RUTN,V1626,M_MES,B1626,M_LIQ,"&lt;&gt;")&gt;1),"⚠ Liquidación repetida en el mes",IF(AND(ISNUMBER(O1626),ISNUMBER(P1626),ISNUMBER(Q1626),ABS(O1626-P1626-Q1626)&gt;1),"⚠ Haberes − descuentos no da el líquido","OK"))))))</f>
        <v/>
      </c>
      <c r="V1626" s="62" t="str">
        <f aca="false">IF(C1626="","",IFERROR(VALUE(LEFT(UPPER(SUBSTITUTE(SUBSTITUTE(SUBSTITUTE(TRIM(C1626),".",""),"-","")," ","")),LEN(UPPER(SUBSTITUTE(SUBSTITUTE(SUBSTITUTE(TRIM(C1626),".",""),"-","")," ","")))-1))&amp;RIGHT(UPPER(SUBSTITUTE(SUBSTITUTE(SUBSTITUTE(TRIM(C1626),".",""),"-","")," ","")),1),UPPER(SUBSTITUTE(SUBSTITUTE(SUBSTITUTE(TRIM(C1626),".",""),"-","")," ",""))))</f>
        <v/>
      </c>
    </row>
    <row r="1627" customFormat="false" ht="15" hidden="false" customHeight="false" outlineLevel="0" collapsed="false">
      <c r="B1627" s="80"/>
      <c r="C1627" s="58"/>
      <c r="D1627" s="62" t="str">
        <f aca="false">IF(C1627="","",IFERROR(INDEX(T_NOMBRE,MATCH(V1627,T_RUTN,0)),"⚠ RUT no está en Trabajadores"))</f>
        <v/>
      </c>
      <c r="E1627" s="61"/>
      <c r="F1627" s="61"/>
      <c r="G1627" s="61"/>
      <c r="H1627" s="61"/>
      <c r="I1627" s="81"/>
      <c r="J1627" s="81"/>
      <c r="K1627" s="60"/>
      <c r="L1627" s="60"/>
      <c r="M1627" s="60"/>
      <c r="N1627" s="60"/>
      <c r="O1627" s="60"/>
      <c r="P1627" s="60"/>
      <c r="Q1627" s="60"/>
      <c r="R1627" s="58"/>
      <c r="S1627" s="62" t="str">
        <f aca="false">IF(OR(B1627="",V1627=""),"",IFERROR(INDEX(C_TIPO,MATCH(V1627&amp;"-P"&amp;MAX(1,COUNTIFS(C_RUTN,V1627,C_DEF,"Sí",C_INI,"&lt;="&amp;EOMONTH(B1627,0))),C_CLAVE,0))&amp;"","Sin contrato"))</f>
        <v/>
      </c>
      <c r="T1627" s="63" t="str">
        <f aca="false">IF(OR(B1627="",N(O1627)=0),"",N(O1627)+ROUND(MIN(N(N1627),TOPE_UF*UF_MES)*(TASA_EMP+MUTUAL),0)+ROUND(MIN(N(N1627),TOPE_AFC_UF*UF_MES)*IF(S1627="Indefinido",AFC_INDEF,AFC_PF),0))</f>
        <v/>
      </c>
      <c r="U1627" s="62" t="str">
        <f aca="false">IF(C1627="","",IF(LEFT(D1627,1)="⚠","⚠ RUT no registrado en Trabajadores",IF(B1627="","⚠ Falta el mes",IF(OR(ISTEXT(I1627),ISTEXT(J1627)),"⚠ Atrasos u horas extra como texto: escriba hh:mm (ej. 1:30)",IF(AND(ISNUMBER(Q1627),COUNTIFS(M_RUTN,V1627,M_MES,B1627,M_LIQ,"&lt;&gt;")&gt;1),"⚠ Liquidación repetida en el mes",IF(AND(ISNUMBER(O1627),ISNUMBER(P1627),ISNUMBER(Q1627),ABS(O1627-P1627-Q1627)&gt;1),"⚠ Haberes − descuentos no da el líquido","OK"))))))</f>
        <v/>
      </c>
      <c r="V1627" s="62" t="str">
        <f aca="false">IF(C1627="","",IFERROR(VALUE(LEFT(UPPER(SUBSTITUTE(SUBSTITUTE(SUBSTITUTE(TRIM(C1627),".",""),"-","")," ","")),LEN(UPPER(SUBSTITUTE(SUBSTITUTE(SUBSTITUTE(TRIM(C1627),".",""),"-","")," ","")))-1))&amp;RIGHT(UPPER(SUBSTITUTE(SUBSTITUTE(SUBSTITUTE(TRIM(C1627),".",""),"-","")," ","")),1),UPPER(SUBSTITUTE(SUBSTITUTE(SUBSTITUTE(TRIM(C1627),".",""),"-","")," ",""))))</f>
        <v/>
      </c>
    </row>
    <row r="1628" customFormat="false" ht="15" hidden="false" customHeight="false" outlineLevel="0" collapsed="false">
      <c r="B1628" s="80"/>
      <c r="C1628" s="58"/>
      <c r="D1628" s="62" t="str">
        <f aca="false">IF(C1628="","",IFERROR(INDEX(T_NOMBRE,MATCH(V1628,T_RUTN,0)),"⚠ RUT no está en Trabajadores"))</f>
        <v/>
      </c>
      <c r="E1628" s="61"/>
      <c r="F1628" s="61"/>
      <c r="G1628" s="61"/>
      <c r="H1628" s="61"/>
      <c r="I1628" s="81"/>
      <c r="J1628" s="81"/>
      <c r="K1628" s="60"/>
      <c r="L1628" s="60"/>
      <c r="M1628" s="60"/>
      <c r="N1628" s="60"/>
      <c r="O1628" s="60"/>
      <c r="P1628" s="60"/>
      <c r="Q1628" s="60"/>
      <c r="R1628" s="58"/>
      <c r="S1628" s="62" t="str">
        <f aca="false">IF(OR(B1628="",V1628=""),"",IFERROR(INDEX(C_TIPO,MATCH(V1628&amp;"-P"&amp;MAX(1,COUNTIFS(C_RUTN,V1628,C_DEF,"Sí",C_INI,"&lt;="&amp;EOMONTH(B1628,0))),C_CLAVE,0))&amp;"","Sin contrato"))</f>
        <v/>
      </c>
      <c r="T1628" s="63" t="str">
        <f aca="false">IF(OR(B1628="",N(O1628)=0),"",N(O1628)+ROUND(MIN(N(N1628),TOPE_UF*UF_MES)*(TASA_EMP+MUTUAL),0)+ROUND(MIN(N(N1628),TOPE_AFC_UF*UF_MES)*IF(S1628="Indefinido",AFC_INDEF,AFC_PF),0))</f>
        <v/>
      </c>
      <c r="U1628" s="62" t="str">
        <f aca="false">IF(C1628="","",IF(LEFT(D1628,1)="⚠","⚠ RUT no registrado en Trabajadores",IF(B1628="","⚠ Falta el mes",IF(OR(ISTEXT(I1628),ISTEXT(J1628)),"⚠ Atrasos u horas extra como texto: escriba hh:mm (ej. 1:30)",IF(AND(ISNUMBER(Q1628),COUNTIFS(M_RUTN,V1628,M_MES,B1628,M_LIQ,"&lt;&gt;")&gt;1),"⚠ Liquidación repetida en el mes",IF(AND(ISNUMBER(O1628),ISNUMBER(P1628),ISNUMBER(Q1628),ABS(O1628-P1628-Q1628)&gt;1),"⚠ Haberes − descuentos no da el líquido","OK"))))))</f>
        <v/>
      </c>
      <c r="V1628" s="62" t="str">
        <f aca="false">IF(C1628="","",IFERROR(VALUE(LEFT(UPPER(SUBSTITUTE(SUBSTITUTE(SUBSTITUTE(TRIM(C1628),".",""),"-","")," ","")),LEN(UPPER(SUBSTITUTE(SUBSTITUTE(SUBSTITUTE(TRIM(C1628),".",""),"-","")," ","")))-1))&amp;RIGHT(UPPER(SUBSTITUTE(SUBSTITUTE(SUBSTITUTE(TRIM(C1628),".",""),"-","")," ","")),1),UPPER(SUBSTITUTE(SUBSTITUTE(SUBSTITUTE(TRIM(C1628),".",""),"-","")," ",""))))</f>
        <v/>
      </c>
    </row>
    <row r="1629" customFormat="false" ht="15" hidden="false" customHeight="false" outlineLevel="0" collapsed="false">
      <c r="B1629" s="80"/>
      <c r="C1629" s="58"/>
      <c r="D1629" s="62" t="str">
        <f aca="false">IF(C1629="","",IFERROR(INDEX(T_NOMBRE,MATCH(V1629,T_RUTN,0)),"⚠ RUT no está en Trabajadores"))</f>
        <v/>
      </c>
      <c r="E1629" s="61"/>
      <c r="F1629" s="61"/>
      <c r="G1629" s="61"/>
      <c r="H1629" s="61"/>
      <c r="I1629" s="81"/>
      <c r="J1629" s="81"/>
      <c r="K1629" s="60"/>
      <c r="L1629" s="60"/>
      <c r="M1629" s="60"/>
      <c r="N1629" s="60"/>
      <c r="O1629" s="60"/>
      <c r="P1629" s="60"/>
      <c r="Q1629" s="60"/>
      <c r="R1629" s="58"/>
      <c r="S1629" s="62" t="str">
        <f aca="false">IF(OR(B1629="",V1629=""),"",IFERROR(INDEX(C_TIPO,MATCH(V1629&amp;"-P"&amp;MAX(1,COUNTIFS(C_RUTN,V1629,C_DEF,"Sí",C_INI,"&lt;="&amp;EOMONTH(B1629,0))),C_CLAVE,0))&amp;"","Sin contrato"))</f>
        <v/>
      </c>
      <c r="T1629" s="63" t="str">
        <f aca="false">IF(OR(B1629="",N(O1629)=0),"",N(O1629)+ROUND(MIN(N(N1629),TOPE_UF*UF_MES)*(TASA_EMP+MUTUAL),0)+ROUND(MIN(N(N1629),TOPE_AFC_UF*UF_MES)*IF(S1629="Indefinido",AFC_INDEF,AFC_PF),0))</f>
        <v/>
      </c>
      <c r="U1629" s="62" t="str">
        <f aca="false">IF(C1629="","",IF(LEFT(D1629,1)="⚠","⚠ RUT no registrado en Trabajadores",IF(B1629="","⚠ Falta el mes",IF(OR(ISTEXT(I1629),ISTEXT(J1629)),"⚠ Atrasos u horas extra como texto: escriba hh:mm (ej. 1:30)",IF(AND(ISNUMBER(Q1629),COUNTIFS(M_RUTN,V1629,M_MES,B1629,M_LIQ,"&lt;&gt;")&gt;1),"⚠ Liquidación repetida en el mes",IF(AND(ISNUMBER(O1629),ISNUMBER(P1629),ISNUMBER(Q1629),ABS(O1629-P1629-Q1629)&gt;1),"⚠ Haberes − descuentos no da el líquido","OK"))))))</f>
        <v/>
      </c>
      <c r="V1629" s="62" t="str">
        <f aca="false">IF(C1629="","",IFERROR(VALUE(LEFT(UPPER(SUBSTITUTE(SUBSTITUTE(SUBSTITUTE(TRIM(C1629),".",""),"-","")," ","")),LEN(UPPER(SUBSTITUTE(SUBSTITUTE(SUBSTITUTE(TRIM(C1629),".",""),"-","")," ","")))-1))&amp;RIGHT(UPPER(SUBSTITUTE(SUBSTITUTE(SUBSTITUTE(TRIM(C1629),".",""),"-","")," ","")),1),UPPER(SUBSTITUTE(SUBSTITUTE(SUBSTITUTE(TRIM(C1629),".",""),"-","")," ",""))))</f>
        <v/>
      </c>
    </row>
    <row r="1630" customFormat="false" ht="15" hidden="false" customHeight="false" outlineLevel="0" collapsed="false">
      <c r="B1630" s="80"/>
      <c r="C1630" s="58"/>
      <c r="D1630" s="62" t="str">
        <f aca="false">IF(C1630="","",IFERROR(INDEX(T_NOMBRE,MATCH(V1630,T_RUTN,0)),"⚠ RUT no está en Trabajadores"))</f>
        <v/>
      </c>
      <c r="E1630" s="61"/>
      <c r="F1630" s="61"/>
      <c r="G1630" s="61"/>
      <c r="H1630" s="61"/>
      <c r="I1630" s="81"/>
      <c r="J1630" s="81"/>
      <c r="K1630" s="60"/>
      <c r="L1630" s="60"/>
      <c r="M1630" s="60"/>
      <c r="N1630" s="60"/>
      <c r="O1630" s="60"/>
      <c r="P1630" s="60"/>
      <c r="Q1630" s="60"/>
      <c r="R1630" s="58"/>
      <c r="S1630" s="62" t="str">
        <f aca="false">IF(OR(B1630="",V1630=""),"",IFERROR(INDEX(C_TIPO,MATCH(V1630&amp;"-P"&amp;MAX(1,COUNTIFS(C_RUTN,V1630,C_DEF,"Sí",C_INI,"&lt;="&amp;EOMONTH(B1630,0))),C_CLAVE,0))&amp;"","Sin contrato"))</f>
        <v/>
      </c>
      <c r="T1630" s="63" t="str">
        <f aca="false">IF(OR(B1630="",N(O1630)=0),"",N(O1630)+ROUND(MIN(N(N1630),TOPE_UF*UF_MES)*(TASA_EMP+MUTUAL),0)+ROUND(MIN(N(N1630),TOPE_AFC_UF*UF_MES)*IF(S1630="Indefinido",AFC_INDEF,AFC_PF),0))</f>
        <v/>
      </c>
      <c r="U1630" s="62" t="str">
        <f aca="false">IF(C1630="","",IF(LEFT(D1630,1)="⚠","⚠ RUT no registrado en Trabajadores",IF(B1630="","⚠ Falta el mes",IF(OR(ISTEXT(I1630),ISTEXT(J1630)),"⚠ Atrasos u horas extra como texto: escriba hh:mm (ej. 1:30)",IF(AND(ISNUMBER(Q1630),COUNTIFS(M_RUTN,V1630,M_MES,B1630,M_LIQ,"&lt;&gt;")&gt;1),"⚠ Liquidación repetida en el mes",IF(AND(ISNUMBER(O1630),ISNUMBER(P1630),ISNUMBER(Q1630),ABS(O1630-P1630-Q1630)&gt;1),"⚠ Haberes − descuentos no da el líquido","OK"))))))</f>
        <v/>
      </c>
      <c r="V1630" s="62" t="str">
        <f aca="false">IF(C1630="","",IFERROR(VALUE(LEFT(UPPER(SUBSTITUTE(SUBSTITUTE(SUBSTITUTE(TRIM(C1630),".",""),"-","")," ","")),LEN(UPPER(SUBSTITUTE(SUBSTITUTE(SUBSTITUTE(TRIM(C1630),".",""),"-","")," ","")))-1))&amp;RIGHT(UPPER(SUBSTITUTE(SUBSTITUTE(SUBSTITUTE(TRIM(C1630),".",""),"-","")," ","")),1),UPPER(SUBSTITUTE(SUBSTITUTE(SUBSTITUTE(TRIM(C1630),".",""),"-","")," ",""))))</f>
        <v/>
      </c>
    </row>
    <row r="1631" customFormat="false" ht="15" hidden="false" customHeight="false" outlineLevel="0" collapsed="false">
      <c r="B1631" s="80"/>
      <c r="C1631" s="58"/>
      <c r="D1631" s="62" t="str">
        <f aca="false">IF(C1631="","",IFERROR(INDEX(T_NOMBRE,MATCH(V1631,T_RUTN,0)),"⚠ RUT no está en Trabajadores"))</f>
        <v/>
      </c>
      <c r="E1631" s="61"/>
      <c r="F1631" s="61"/>
      <c r="G1631" s="61"/>
      <c r="H1631" s="61"/>
      <c r="I1631" s="81"/>
      <c r="J1631" s="81"/>
      <c r="K1631" s="60"/>
      <c r="L1631" s="60"/>
      <c r="M1631" s="60"/>
      <c r="N1631" s="60"/>
      <c r="O1631" s="60"/>
      <c r="P1631" s="60"/>
      <c r="Q1631" s="60"/>
      <c r="R1631" s="58"/>
      <c r="S1631" s="62" t="str">
        <f aca="false">IF(OR(B1631="",V1631=""),"",IFERROR(INDEX(C_TIPO,MATCH(V1631&amp;"-P"&amp;MAX(1,COUNTIFS(C_RUTN,V1631,C_DEF,"Sí",C_INI,"&lt;="&amp;EOMONTH(B1631,0))),C_CLAVE,0))&amp;"","Sin contrato"))</f>
        <v/>
      </c>
      <c r="T1631" s="63" t="str">
        <f aca="false">IF(OR(B1631="",N(O1631)=0),"",N(O1631)+ROUND(MIN(N(N1631),TOPE_UF*UF_MES)*(TASA_EMP+MUTUAL),0)+ROUND(MIN(N(N1631),TOPE_AFC_UF*UF_MES)*IF(S1631="Indefinido",AFC_INDEF,AFC_PF),0))</f>
        <v/>
      </c>
      <c r="U1631" s="62" t="str">
        <f aca="false">IF(C1631="","",IF(LEFT(D1631,1)="⚠","⚠ RUT no registrado en Trabajadores",IF(B1631="","⚠ Falta el mes",IF(OR(ISTEXT(I1631),ISTEXT(J1631)),"⚠ Atrasos u horas extra como texto: escriba hh:mm (ej. 1:30)",IF(AND(ISNUMBER(Q1631),COUNTIFS(M_RUTN,V1631,M_MES,B1631,M_LIQ,"&lt;&gt;")&gt;1),"⚠ Liquidación repetida en el mes",IF(AND(ISNUMBER(O1631),ISNUMBER(P1631),ISNUMBER(Q1631),ABS(O1631-P1631-Q1631)&gt;1),"⚠ Haberes − descuentos no da el líquido","OK"))))))</f>
        <v/>
      </c>
      <c r="V1631" s="62" t="str">
        <f aca="false">IF(C1631="","",IFERROR(VALUE(LEFT(UPPER(SUBSTITUTE(SUBSTITUTE(SUBSTITUTE(TRIM(C1631),".",""),"-","")," ","")),LEN(UPPER(SUBSTITUTE(SUBSTITUTE(SUBSTITUTE(TRIM(C1631),".",""),"-","")," ","")))-1))&amp;RIGHT(UPPER(SUBSTITUTE(SUBSTITUTE(SUBSTITUTE(TRIM(C1631),".",""),"-","")," ","")),1),UPPER(SUBSTITUTE(SUBSTITUTE(SUBSTITUTE(TRIM(C1631),".",""),"-","")," ",""))))</f>
        <v/>
      </c>
    </row>
    <row r="1632" customFormat="false" ht="15" hidden="false" customHeight="false" outlineLevel="0" collapsed="false">
      <c r="B1632" s="80"/>
      <c r="C1632" s="58"/>
      <c r="D1632" s="62" t="str">
        <f aca="false">IF(C1632="","",IFERROR(INDEX(T_NOMBRE,MATCH(V1632,T_RUTN,0)),"⚠ RUT no está en Trabajadores"))</f>
        <v/>
      </c>
      <c r="E1632" s="61"/>
      <c r="F1632" s="61"/>
      <c r="G1632" s="61"/>
      <c r="H1632" s="61"/>
      <c r="I1632" s="81"/>
      <c r="J1632" s="81"/>
      <c r="K1632" s="60"/>
      <c r="L1632" s="60"/>
      <c r="M1632" s="60"/>
      <c r="N1632" s="60"/>
      <c r="O1632" s="60"/>
      <c r="P1632" s="60"/>
      <c r="Q1632" s="60"/>
      <c r="R1632" s="58"/>
      <c r="S1632" s="62" t="str">
        <f aca="false">IF(OR(B1632="",V1632=""),"",IFERROR(INDEX(C_TIPO,MATCH(V1632&amp;"-P"&amp;MAX(1,COUNTIFS(C_RUTN,V1632,C_DEF,"Sí",C_INI,"&lt;="&amp;EOMONTH(B1632,0))),C_CLAVE,0))&amp;"","Sin contrato"))</f>
        <v/>
      </c>
      <c r="T1632" s="63" t="str">
        <f aca="false">IF(OR(B1632="",N(O1632)=0),"",N(O1632)+ROUND(MIN(N(N1632),TOPE_UF*UF_MES)*(TASA_EMP+MUTUAL),0)+ROUND(MIN(N(N1632),TOPE_AFC_UF*UF_MES)*IF(S1632="Indefinido",AFC_INDEF,AFC_PF),0))</f>
        <v/>
      </c>
      <c r="U1632" s="62" t="str">
        <f aca="false">IF(C1632="","",IF(LEFT(D1632,1)="⚠","⚠ RUT no registrado en Trabajadores",IF(B1632="","⚠ Falta el mes",IF(OR(ISTEXT(I1632),ISTEXT(J1632)),"⚠ Atrasos u horas extra como texto: escriba hh:mm (ej. 1:30)",IF(AND(ISNUMBER(Q1632),COUNTIFS(M_RUTN,V1632,M_MES,B1632,M_LIQ,"&lt;&gt;")&gt;1),"⚠ Liquidación repetida en el mes",IF(AND(ISNUMBER(O1632),ISNUMBER(P1632),ISNUMBER(Q1632),ABS(O1632-P1632-Q1632)&gt;1),"⚠ Haberes − descuentos no da el líquido","OK"))))))</f>
        <v/>
      </c>
      <c r="V1632" s="62" t="str">
        <f aca="false">IF(C1632="","",IFERROR(VALUE(LEFT(UPPER(SUBSTITUTE(SUBSTITUTE(SUBSTITUTE(TRIM(C1632),".",""),"-","")," ","")),LEN(UPPER(SUBSTITUTE(SUBSTITUTE(SUBSTITUTE(TRIM(C1632),".",""),"-","")," ","")))-1))&amp;RIGHT(UPPER(SUBSTITUTE(SUBSTITUTE(SUBSTITUTE(TRIM(C1632),".",""),"-","")," ","")),1),UPPER(SUBSTITUTE(SUBSTITUTE(SUBSTITUTE(TRIM(C1632),".",""),"-","")," ",""))))</f>
        <v/>
      </c>
    </row>
    <row r="1633" customFormat="false" ht="15" hidden="false" customHeight="false" outlineLevel="0" collapsed="false">
      <c r="B1633" s="80"/>
      <c r="C1633" s="58"/>
      <c r="D1633" s="62" t="str">
        <f aca="false">IF(C1633="","",IFERROR(INDEX(T_NOMBRE,MATCH(V1633,T_RUTN,0)),"⚠ RUT no está en Trabajadores"))</f>
        <v/>
      </c>
      <c r="E1633" s="61"/>
      <c r="F1633" s="61"/>
      <c r="G1633" s="61"/>
      <c r="H1633" s="61"/>
      <c r="I1633" s="81"/>
      <c r="J1633" s="81"/>
      <c r="K1633" s="60"/>
      <c r="L1633" s="60"/>
      <c r="M1633" s="60"/>
      <c r="N1633" s="60"/>
      <c r="O1633" s="60"/>
      <c r="P1633" s="60"/>
      <c r="Q1633" s="60"/>
      <c r="R1633" s="58"/>
      <c r="S1633" s="62" t="str">
        <f aca="false">IF(OR(B1633="",V1633=""),"",IFERROR(INDEX(C_TIPO,MATCH(V1633&amp;"-P"&amp;MAX(1,COUNTIFS(C_RUTN,V1633,C_DEF,"Sí",C_INI,"&lt;="&amp;EOMONTH(B1633,0))),C_CLAVE,0))&amp;"","Sin contrato"))</f>
        <v/>
      </c>
      <c r="T1633" s="63" t="str">
        <f aca="false">IF(OR(B1633="",N(O1633)=0),"",N(O1633)+ROUND(MIN(N(N1633),TOPE_UF*UF_MES)*(TASA_EMP+MUTUAL),0)+ROUND(MIN(N(N1633),TOPE_AFC_UF*UF_MES)*IF(S1633="Indefinido",AFC_INDEF,AFC_PF),0))</f>
        <v/>
      </c>
      <c r="U1633" s="62" t="str">
        <f aca="false">IF(C1633="","",IF(LEFT(D1633,1)="⚠","⚠ RUT no registrado en Trabajadores",IF(B1633="","⚠ Falta el mes",IF(OR(ISTEXT(I1633),ISTEXT(J1633)),"⚠ Atrasos u horas extra como texto: escriba hh:mm (ej. 1:30)",IF(AND(ISNUMBER(Q1633),COUNTIFS(M_RUTN,V1633,M_MES,B1633,M_LIQ,"&lt;&gt;")&gt;1),"⚠ Liquidación repetida en el mes",IF(AND(ISNUMBER(O1633),ISNUMBER(P1633),ISNUMBER(Q1633),ABS(O1633-P1633-Q1633)&gt;1),"⚠ Haberes − descuentos no da el líquido","OK"))))))</f>
        <v/>
      </c>
      <c r="V1633" s="62" t="str">
        <f aca="false">IF(C1633="","",IFERROR(VALUE(LEFT(UPPER(SUBSTITUTE(SUBSTITUTE(SUBSTITUTE(TRIM(C1633),".",""),"-","")," ","")),LEN(UPPER(SUBSTITUTE(SUBSTITUTE(SUBSTITUTE(TRIM(C1633),".",""),"-","")," ","")))-1))&amp;RIGHT(UPPER(SUBSTITUTE(SUBSTITUTE(SUBSTITUTE(TRIM(C1633),".",""),"-","")," ","")),1),UPPER(SUBSTITUTE(SUBSTITUTE(SUBSTITUTE(TRIM(C1633),".",""),"-","")," ",""))))</f>
        <v/>
      </c>
    </row>
    <row r="1634" customFormat="false" ht="15" hidden="false" customHeight="false" outlineLevel="0" collapsed="false">
      <c r="B1634" s="80"/>
      <c r="C1634" s="58"/>
      <c r="D1634" s="62" t="str">
        <f aca="false">IF(C1634="","",IFERROR(INDEX(T_NOMBRE,MATCH(V1634,T_RUTN,0)),"⚠ RUT no está en Trabajadores"))</f>
        <v/>
      </c>
      <c r="E1634" s="61"/>
      <c r="F1634" s="61"/>
      <c r="G1634" s="61"/>
      <c r="H1634" s="61"/>
      <c r="I1634" s="81"/>
      <c r="J1634" s="81"/>
      <c r="K1634" s="60"/>
      <c r="L1634" s="60"/>
      <c r="M1634" s="60"/>
      <c r="N1634" s="60"/>
      <c r="O1634" s="60"/>
      <c r="P1634" s="60"/>
      <c r="Q1634" s="60"/>
      <c r="R1634" s="58"/>
      <c r="S1634" s="62" t="str">
        <f aca="false">IF(OR(B1634="",V1634=""),"",IFERROR(INDEX(C_TIPO,MATCH(V1634&amp;"-P"&amp;MAX(1,COUNTIFS(C_RUTN,V1634,C_DEF,"Sí",C_INI,"&lt;="&amp;EOMONTH(B1634,0))),C_CLAVE,0))&amp;"","Sin contrato"))</f>
        <v/>
      </c>
      <c r="T1634" s="63" t="str">
        <f aca="false">IF(OR(B1634="",N(O1634)=0),"",N(O1634)+ROUND(MIN(N(N1634),TOPE_UF*UF_MES)*(TASA_EMP+MUTUAL),0)+ROUND(MIN(N(N1634),TOPE_AFC_UF*UF_MES)*IF(S1634="Indefinido",AFC_INDEF,AFC_PF),0))</f>
        <v/>
      </c>
      <c r="U1634" s="62" t="str">
        <f aca="false">IF(C1634="","",IF(LEFT(D1634,1)="⚠","⚠ RUT no registrado en Trabajadores",IF(B1634="","⚠ Falta el mes",IF(OR(ISTEXT(I1634),ISTEXT(J1634)),"⚠ Atrasos u horas extra como texto: escriba hh:mm (ej. 1:30)",IF(AND(ISNUMBER(Q1634),COUNTIFS(M_RUTN,V1634,M_MES,B1634,M_LIQ,"&lt;&gt;")&gt;1),"⚠ Liquidación repetida en el mes",IF(AND(ISNUMBER(O1634),ISNUMBER(P1634),ISNUMBER(Q1634),ABS(O1634-P1634-Q1634)&gt;1),"⚠ Haberes − descuentos no da el líquido","OK"))))))</f>
        <v/>
      </c>
      <c r="V1634" s="62" t="str">
        <f aca="false">IF(C1634="","",IFERROR(VALUE(LEFT(UPPER(SUBSTITUTE(SUBSTITUTE(SUBSTITUTE(TRIM(C1634),".",""),"-","")," ","")),LEN(UPPER(SUBSTITUTE(SUBSTITUTE(SUBSTITUTE(TRIM(C1634),".",""),"-","")," ","")))-1))&amp;RIGHT(UPPER(SUBSTITUTE(SUBSTITUTE(SUBSTITUTE(TRIM(C1634),".",""),"-","")," ","")),1),UPPER(SUBSTITUTE(SUBSTITUTE(SUBSTITUTE(TRIM(C1634),".",""),"-","")," ",""))))</f>
        <v/>
      </c>
    </row>
    <row r="1635" customFormat="false" ht="15" hidden="false" customHeight="false" outlineLevel="0" collapsed="false">
      <c r="B1635" s="80"/>
      <c r="C1635" s="58"/>
      <c r="D1635" s="62" t="str">
        <f aca="false">IF(C1635="","",IFERROR(INDEX(T_NOMBRE,MATCH(V1635,T_RUTN,0)),"⚠ RUT no está en Trabajadores"))</f>
        <v/>
      </c>
      <c r="E1635" s="61"/>
      <c r="F1635" s="61"/>
      <c r="G1635" s="61"/>
      <c r="H1635" s="61"/>
      <c r="I1635" s="81"/>
      <c r="J1635" s="81"/>
      <c r="K1635" s="60"/>
      <c r="L1635" s="60"/>
      <c r="M1635" s="60"/>
      <c r="N1635" s="60"/>
      <c r="O1635" s="60"/>
      <c r="P1635" s="60"/>
      <c r="Q1635" s="60"/>
      <c r="R1635" s="58"/>
      <c r="S1635" s="62" t="str">
        <f aca="false">IF(OR(B1635="",V1635=""),"",IFERROR(INDEX(C_TIPO,MATCH(V1635&amp;"-P"&amp;MAX(1,COUNTIFS(C_RUTN,V1635,C_DEF,"Sí",C_INI,"&lt;="&amp;EOMONTH(B1635,0))),C_CLAVE,0))&amp;"","Sin contrato"))</f>
        <v/>
      </c>
      <c r="T1635" s="63" t="str">
        <f aca="false">IF(OR(B1635="",N(O1635)=0),"",N(O1635)+ROUND(MIN(N(N1635),TOPE_UF*UF_MES)*(TASA_EMP+MUTUAL),0)+ROUND(MIN(N(N1635),TOPE_AFC_UF*UF_MES)*IF(S1635="Indefinido",AFC_INDEF,AFC_PF),0))</f>
        <v/>
      </c>
      <c r="U1635" s="62" t="str">
        <f aca="false">IF(C1635="","",IF(LEFT(D1635,1)="⚠","⚠ RUT no registrado en Trabajadores",IF(B1635="","⚠ Falta el mes",IF(OR(ISTEXT(I1635),ISTEXT(J1635)),"⚠ Atrasos u horas extra como texto: escriba hh:mm (ej. 1:30)",IF(AND(ISNUMBER(Q1635),COUNTIFS(M_RUTN,V1635,M_MES,B1635,M_LIQ,"&lt;&gt;")&gt;1),"⚠ Liquidación repetida en el mes",IF(AND(ISNUMBER(O1635),ISNUMBER(P1635),ISNUMBER(Q1635),ABS(O1635-P1635-Q1635)&gt;1),"⚠ Haberes − descuentos no da el líquido","OK"))))))</f>
        <v/>
      </c>
      <c r="V1635" s="62" t="str">
        <f aca="false">IF(C1635="","",IFERROR(VALUE(LEFT(UPPER(SUBSTITUTE(SUBSTITUTE(SUBSTITUTE(TRIM(C1635),".",""),"-","")," ","")),LEN(UPPER(SUBSTITUTE(SUBSTITUTE(SUBSTITUTE(TRIM(C1635),".",""),"-","")," ","")))-1))&amp;RIGHT(UPPER(SUBSTITUTE(SUBSTITUTE(SUBSTITUTE(TRIM(C1635),".",""),"-","")," ","")),1),UPPER(SUBSTITUTE(SUBSTITUTE(SUBSTITUTE(TRIM(C1635),".",""),"-","")," ",""))))</f>
        <v/>
      </c>
    </row>
    <row r="1636" customFormat="false" ht="15" hidden="false" customHeight="false" outlineLevel="0" collapsed="false">
      <c r="B1636" s="80"/>
      <c r="C1636" s="58"/>
      <c r="D1636" s="62" t="str">
        <f aca="false">IF(C1636="","",IFERROR(INDEX(T_NOMBRE,MATCH(V1636,T_RUTN,0)),"⚠ RUT no está en Trabajadores"))</f>
        <v/>
      </c>
      <c r="E1636" s="61"/>
      <c r="F1636" s="61"/>
      <c r="G1636" s="61"/>
      <c r="H1636" s="61"/>
      <c r="I1636" s="81"/>
      <c r="J1636" s="81"/>
      <c r="K1636" s="60"/>
      <c r="L1636" s="60"/>
      <c r="M1636" s="60"/>
      <c r="N1636" s="60"/>
      <c r="O1636" s="60"/>
      <c r="P1636" s="60"/>
      <c r="Q1636" s="60"/>
      <c r="R1636" s="58"/>
      <c r="S1636" s="62" t="str">
        <f aca="false">IF(OR(B1636="",V1636=""),"",IFERROR(INDEX(C_TIPO,MATCH(V1636&amp;"-P"&amp;MAX(1,COUNTIFS(C_RUTN,V1636,C_DEF,"Sí",C_INI,"&lt;="&amp;EOMONTH(B1636,0))),C_CLAVE,0))&amp;"","Sin contrato"))</f>
        <v/>
      </c>
      <c r="T1636" s="63" t="str">
        <f aca="false">IF(OR(B1636="",N(O1636)=0),"",N(O1636)+ROUND(MIN(N(N1636),TOPE_UF*UF_MES)*(TASA_EMP+MUTUAL),0)+ROUND(MIN(N(N1636),TOPE_AFC_UF*UF_MES)*IF(S1636="Indefinido",AFC_INDEF,AFC_PF),0))</f>
        <v/>
      </c>
      <c r="U1636" s="62" t="str">
        <f aca="false">IF(C1636="","",IF(LEFT(D1636,1)="⚠","⚠ RUT no registrado en Trabajadores",IF(B1636="","⚠ Falta el mes",IF(OR(ISTEXT(I1636),ISTEXT(J1636)),"⚠ Atrasos u horas extra como texto: escriba hh:mm (ej. 1:30)",IF(AND(ISNUMBER(Q1636),COUNTIFS(M_RUTN,V1636,M_MES,B1636,M_LIQ,"&lt;&gt;")&gt;1),"⚠ Liquidación repetida en el mes",IF(AND(ISNUMBER(O1636),ISNUMBER(P1636),ISNUMBER(Q1636),ABS(O1636-P1636-Q1636)&gt;1),"⚠ Haberes − descuentos no da el líquido","OK"))))))</f>
        <v/>
      </c>
      <c r="V1636" s="62" t="str">
        <f aca="false">IF(C1636="","",IFERROR(VALUE(LEFT(UPPER(SUBSTITUTE(SUBSTITUTE(SUBSTITUTE(TRIM(C1636),".",""),"-","")," ","")),LEN(UPPER(SUBSTITUTE(SUBSTITUTE(SUBSTITUTE(TRIM(C1636),".",""),"-","")," ","")))-1))&amp;RIGHT(UPPER(SUBSTITUTE(SUBSTITUTE(SUBSTITUTE(TRIM(C1636),".",""),"-","")," ","")),1),UPPER(SUBSTITUTE(SUBSTITUTE(SUBSTITUTE(TRIM(C1636),".",""),"-","")," ",""))))</f>
        <v/>
      </c>
    </row>
    <row r="1637" customFormat="false" ht="15" hidden="false" customHeight="false" outlineLevel="0" collapsed="false">
      <c r="B1637" s="80"/>
      <c r="C1637" s="58"/>
      <c r="D1637" s="62" t="str">
        <f aca="false">IF(C1637="","",IFERROR(INDEX(T_NOMBRE,MATCH(V1637,T_RUTN,0)),"⚠ RUT no está en Trabajadores"))</f>
        <v/>
      </c>
      <c r="E1637" s="61"/>
      <c r="F1637" s="61"/>
      <c r="G1637" s="61"/>
      <c r="H1637" s="61"/>
      <c r="I1637" s="81"/>
      <c r="J1637" s="81"/>
      <c r="K1637" s="60"/>
      <c r="L1637" s="60"/>
      <c r="M1637" s="60"/>
      <c r="N1637" s="60"/>
      <c r="O1637" s="60"/>
      <c r="P1637" s="60"/>
      <c r="Q1637" s="60"/>
      <c r="R1637" s="58"/>
      <c r="S1637" s="62" t="str">
        <f aca="false">IF(OR(B1637="",V1637=""),"",IFERROR(INDEX(C_TIPO,MATCH(V1637&amp;"-P"&amp;MAX(1,COUNTIFS(C_RUTN,V1637,C_DEF,"Sí",C_INI,"&lt;="&amp;EOMONTH(B1637,0))),C_CLAVE,0))&amp;"","Sin contrato"))</f>
        <v/>
      </c>
      <c r="T1637" s="63" t="str">
        <f aca="false">IF(OR(B1637="",N(O1637)=0),"",N(O1637)+ROUND(MIN(N(N1637),TOPE_UF*UF_MES)*(TASA_EMP+MUTUAL),0)+ROUND(MIN(N(N1637),TOPE_AFC_UF*UF_MES)*IF(S1637="Indefinido",AFC_INDEF,AFC_PF),0))</f>
        <v/>
      </c>
      <c r="U1637" s="62" t="str">
        <f aca="false">IF(C1637="","",IF(LEFT(D1637,1)="⚠","⚠ RUT no registrado en Trabajadores",IF(B1637="","⚠ Falta el mes",IF(OR(ISTEXT(I1637),ISTEXT(J1637)),"⚠ Atrasos u horas extra como texto: escriba hh:mm (ej. 1:30)",IF(AND(ISNUMBER(Q1637),COUNTIFS(M_RUTN,V1637,M_MES,B1637,M_LIQ,"&lt;&gt;")&gt;1),"⚠ Liquidación repetida en el mes",IF(AND(ISNUMBER(O1637),ISNUMBER(P1637),ISNUMBER(Q1637),ABS(O1637-P1637-Q1637)&gt;1),"⚠ Haberes − descuentos no da el líquido","OK"))))))</f>
        <v/>
      </c>
      <c r="V1637" s="62" t="str">
        <f aca="false">IF(C1637="","",IFERROR(VALUE(LEFT(UPPER(SUBSTITUTE(SUBSTITUTE(SUBSTITUTE(TRIM(C1637),".",""),"-","")," ","")),LEN(UPPER(SUBSTITUTE(SUBSTITUTE(SUBSTITUTE(TRIM(C1637),".",""),"-","")," ","")))-1))&amp;RIGHT(UPPER(SUBSTITUTE(SUBSTITUTE(SUBSTITUTE(TRIM(C1637),".",""),"-","")," ","")),1),UPPER(SUBSTITUTE(SUBSTITUTE(SUBSTITUTE(TRIM(C1637),".",""),"-","")," ",""))))</f>
        <v/>
      </c>
    </row>
    <row r="1638" customFormat="false" ht="15" hidden="false" customHeight="false" outlineLevel="0" collapsed="false">
      <c r="B1638" s="80"/>
      <c r="C1638" s="58"/>
      <c r="D1638" s="62" t="str">
        <f aca="false">IF(C1638="","",IFERROR(INDEX(T_NOMBRE,MATCH(V1638,T_RUTN,0)),"⚠ RUT no está en Trabajadores"))</f>
        <v/>
      </c>
      <c r="E1638" s="61"/>
      <c r="F1638" s="61"/>
      <c r="G1638" s="61"/>
      <c r="H1638" s="61"/>
      <c r="I1638" s="81"/>
      <c r="J1638" s="81"/>
      <c r="K1638" s="60"/>
      <c r="L1638" s="60"/>
      <c r="M1638" s="60"/>
      <c r="N1638" s="60"/>
      <c r="O1638" s="60"/>
      <c r="P1638" s="60"/>
      <c r="Q1638" s="60"/>
      <c r="R1638" s="58"/>
      <c r="S1638" s="62" t="str">
        <f aca="false">IF(OR(B1638="",V1638=""),"",IFERROR(INDEX(C_TIPO,MATCH(V1638&amp;"-P"&amp;MAX(1,COUNTIFS(C_RUTN,V1638,C_DEF,"Sí",C_INI,"&lt;="&amp;EOMONTH(B1638,0))),C_CLAVE,0))&amp;"","Sin contrato"))</f>
        <v/>
      </c>
      <c r="T1638" s="63" t="str">
        <f aca="false">IF(OR(B1638="",N(O1638)=0),"",N(O1638)+ROUND(MIN(N(N1638),TOPE_UF*UF_MES)*(TASA_EMP+MUTUAL),0)+ROUND(MIN(N(N1638),TOPE_AFC_UF*UF_MES)*IF(S1638="Indefinido",AFC_INDEF,AFC_PF),0))</f>
        <v/>
      </c>
      <c r="U1638" s="62" t="str">
        <f aca="false">IF(C1638="","",IF(LEFT(D1638,1)="⚠","⚠ RUT no registrado en Trabajadores",IF(B1638="","⚠ Falta el mes",IF(OR(ISTEXT(I1638),ISTEXT(J1638)),"⚠ Atrasos u horas extra como texto: escriba hh:mm (ej. 1:30)",IF(AND(ISNUMBER(Q1638),COUNTIFS(M_RUTN,V1638,M_MES,B1638,M_LIQ,"&lt;&gt;")&gt;1),"⚠ Liquidación repetida en el mes",IF(AND(ISNUMBER(O1638),ISNUMBER(P1638),ISNUMBER(Q1638),ABS(O1638-P1638-Q1638)&gt;1),"⚠ Haberes − descuentos no da el líquido","OK"))))))</f>
        <v/>
      </c>
      <c r="V1638" s="62" t="str">
        <f aca="false">IF(C1638="","",IFERROR(VALUE(LEFT(UPPER(SUBSTITUTE(SUBSTITUTE(SUBSTITUTE(TRIM(C1638),".",""),"-","")," ","")),LEN(UPPER(SUBSTITUTE(SUBSTITUTE(SUBSTITUTE(TRIM(C1638),".",""),"-","")," ","")))-1))&amp;RIGHT(UPPER(SUBSTITUTE(SUBSTITUTE(SUBSTITUTE(TRIM(C1638),".",""),"-","")," ","")),1),UPPER(SUBSTITUTE(SUBSTITUTE(SUBSTITUTE(TRIM(C1638),".",""),"-","")," ",""))))</f>
        <v/>
      </c>
    </row>
    <row r="1639" customFormat="false" ht="15" hidden="false" customHeight="false" outlineLevel="0" collapsed="false">
      <c r="B1639" s="80"/>
      <c r="C1639" s="58"/>
      <c r="D1639" s="62" t="str">
        <f aca="false">IF(C1639="","",IFERROR(INDEX(T_NOMBRE,MATCH(V1639,T_RUTN,0)),"⚠ RUT no está en Trabajadores"))</f>
        <v/>
      </c>
      <c r="E1639" s="61"/>
      <c r="F1639" s="61"/>
      <c r="G1639" s="61"/>
      <c r="H1639" s="61"/>
      <c r="I1639" s="81"/>
      <c r="J1639" s="81"/>
      <c r="K1639" s="60"/>
      <c r="L1639" s="60"/>
      <c r="M1639" s="60"/>
      <c r="N1639" s="60"/>
      <c r="O1639" s="60"/>
      <c r="P1639" s="60"/>
      <c r="Q1639" s="60"/>
      <c r="R1639" s="58"/>
      <c r="S1639" s="62" t="str">
        <f aca="false">IF(OR(B1639="",V1639=""),"",IFERROR(INDEX(C_TIPO,MATCH(V1639&amp;"-P"&amp;MAX(1,COUNTIFS(C_RUTN,V1639,C_DEF,"Sí",C_INI,"&lt;="&amp;EOMONTH(B1639,0))),C_CLAVE,0))&amp;"","Sin contrato"))</f>
        <v/>
      </c>
      <c r="T1639" s="63" t="str">
        <f aca="false">IF(OR(B1639="",N(O1639)=0),"",N(O1639)+ROUND(MIN(N(N1639),TOPE_UF*UF_MES)*(TASA_EMP+MUTUAL),0)+ROUND(MIN(N(N1639),TOPE_AFC_UF*UF_MES)*IF(S1639="Indefinido",AFC_INDEF,AFC_PF),0))</f>
        <v/>
      </c>
      <c r="U1639" s="62" t="str">
        <f aca="false">IF(C1639="","",IF(LEFT(D1639,1)="⚠","⚠ RUT no registrado en Trabajadores",IF(B1639="","⚠ Falta el mes",IF(OR(ISTEXT(I1639),ISTEXT(J1639)),"⚠ Atrasos u horas extra como texto: escriba hh:mm (ej. 1:30)",IF(AND(ISNUMBER(Q1639),COUNTIFS(M_RUTN,V1639,M_MES,B1639,M_LIQ,"&lt;&gt;")&gt;1),"⚠ Liquidación repetida en el mes",IF(AND(ISNUMBER(O1639),ISNUMBER(P1639),ISNUMBER(Q1639),ABS(O1639-P1639-Q1639)&gt;1),"⚠ Haberes − descuentos no da el líquido","OK"))))))</f>
        <v/>
      </c>
      <c r="V1639" s="62" t="str">
        <f aca="false">IF(C1639="","",IFERROR(VALUE(LEFT(UPPER(SUBSTITUTE(SUBSTITUTE(SUBSTITUTE(TRIM(C1639),".",""),"-","")," ","")),LEN(UPPER(SUBSTITUTE(SUBSTITUTE(SUBSTITUTE(TRIM(C1639),".",""),"-","")," ","")))-1))&amp;RIGHT(UPPER(SUBSTITUTE(SUBSTITUTE(SUBSTITUTE(TRIM(C1639),".",""),"-","")," ","")),1),UPPER(SUBSTITUTE(SUBSTITUTE(SUBSTITUTE(TRIM(C1639),".",""),"-","")," ",""))))</f>
        <v/>
      </c>
    </row>
    <row r="1640" customFormat="false" ht="15" hidden="false" customHeight="false" outlineLevel="0" collapsed="false">
      <c r="B1640" s="80"/>
      <c r="C1640" s="58"/>
      <c r="D1640" s="62" t="str">
        <f aca="false">IF(C1640="","",IFERROR(INDEX(T_NOMBRE,MATCH(V1640,T_RUTN,0)),"⚠ RUT no está en Trabajadores"))</f>
        <v/>
      </c>
      <c r="E1640" s="61"/>
      <c r="F1640" s="61"/>
      <c r="G1640" s="61"/>
      <c r="H1640" s="61"/>
      <c r="I1640" s="81"/>
      <c r="J1640" s="81"/>
      <c r="K1640" s="60"/>
      <c r="L1640" s="60"/>
      <c r="M1640" s="60"/>
      <c r="N1640" s="60"/>
      <c r="O1640" s="60"/>
      <c r="P1640" s="60"/>
      <c r="Q1640" s="60"/>
      <c r="R1640" s="58"/>
      <c r="S1640" s="62" t="str">
        <f aca="false">IF(OR(B1640="",V1640=""),"",IFERROR(INDEX(C_TIPO,MATCH(V1640&amp;"-P"&amp;MAX(1,COUNTIFS(C_RUTN,V1640,C_DEF,"Sí",C_INI,"&lt;="&amp;EOMONTH(B1640,0))),C_CLAVE,0))&amp;"","Sin contrato"))</f>
        <v/>
      </c>
      <c r="T1640" s="63" t="str">
        <f aca="false">IF(OR(B1640="",N(O1640)=0),"",N(O1640)+ROUND(MIN(N(N1640),TOPE_UF*UF_MES)*(TASA_EMP+MUTUAL),0)+ROUND(MIN(N(N1640),TOPE_AFC_UF*UF_MES)*IF(S1640="Indefinido",AFC_INDEF,AFC_PF),0))</f>
        <v/>
      </c>
      <c r="U1640" s="62" t="str">
        <f aca="false">IF(C1640="","",IF(LEFT(D1640,1)="⚠","⚠ RUT no registrado en Trabajadores",IF(B1640="","⚠ Falta el mes",IF(OR(ISTEXT(I1640),ISTEXT(J1640)),"⚠ Atrasos u horas extra como texto: escriba hh:mm (ej. 1:30)",IF(AND(ISNUMBER(Q1640),COUNTIFS(M_RUTN,V1640,M_MES,B1640,M_LIQ,"&lt;&gt;")&gt;1),"⚠ Liquidación repetida en el mes",IF(AND(ISNUMBER(O1640),ISNUMBER(P1640),ISNUMBER(Q1640),ABS(O1640-P1640-Q1640)&gt;1),"⚠ Haberes − descuentos no da el líquido","OK"))))))</f>
        <v/>
      </c>
      <c r="V1640" s="62" t="str">
        <f aca="false">IF(C1640="","",IFERROR(VALUE(LEFT(UPPER(SUBSTITUTE(SUBSTITUTE(SUBSTITUTE(TRIM(C1640),".",""),"-","")," ","")),LEN(UPPER(SUBSTITUTE(SUBSTITUTE(SUBSTITUTE(TRIM(C1640),".",""),"-","")," ","")))-1))&amp;RIGHT(UPPER(SUBSTITUTE(SUBSTITUTE(SUBSTITUTE(TRIM(C1640),".",""),"-","")," ","")),1),UPPER(SUBSTITUTE(SUBSTITUTE(SUBSTITUTE(TRIM(C1640),".",""),"-","")," ",""))))</f>
        <v/>
      </c>
    </row>
    <row r="1641" customFormat="false" ht="15" hidden="false" customHeight="false" outlineLevel="0" collapsed="false">
      <c r="B1641" s="80"/>
      <c r="C1641" s="58"/>
      <c r="D1641" s="62" t="str">
        <f aca="false">IF(C1641="","",IFERROR(INDEX(T_NOMBRE,MATCH(V1641,T_RUTN,0)),"⚠ RUT no está en Trabajadores"))</f>
        <v/>
      </c>
      <c r="E1641" s="61"/>
      <c r="F1641" s="61"/>
      <c r="G1641" s="61"/>
      <c r="H1641" s="61"/>
      <c r="I1641" s="81"/>
      <c r="J1641" s="81"/>
      <c r="K1641" s="60"/>
      <c r="L1641" s="60"/>
      <c r="M1641" s="60"/>
      <c r="N1641" s="60"/>
      <c r="O1641" s="60"/>
      <c r="P1641" s="60"/>
      <c r="Q1641" s="60"/>
      <c r="R1641" s="58"/>
      <c r="S1641" s="62" t="str">
        <f aca="false">IF(OR(B1641="",V1641=""),"",IFERROR(INDEX(C_TIPO,MATCH(V1641&amp;"-P"&amp;MAX(1,COUNTIFS(C_RUTN,V1641,C_DEF,"Sí",C_INI,"&lt;="&amp;EOMONTH(B1641,0))),C_CLAVE,0))&amp;"","Sin contrato"))</f>
        <v/>
      </c>
      <c r="T1641" s="63" t="str">
        <f aca="false">IF(OR(B1641="",N(O1641)=0),"",N(O1641)+ROUND(MIN(N(N1641),TOPE_UF*UF_MES)*(TASA_EMP+MUTUAL),0)+ROUND(MIN(N(N1641),TOPE_AFC_UF*UF_MES)*IF(S1641="Indefinido",AFC_INDEF,AFC_PF),0))</f>
        <v/>
      </c>
      <c r="U1641" s="62" t="str">
        <f aca="false">IF(C1641="","",IF(LEFT(D1641,1)="⚠","⚠ RUT no registrado en Trabajadores",IF(B1641="","⚠ Falta el mes",IF(OR(ISTEXT(I1641),ISTEXT(J1641)),"⚠ Atrasos u horas extra como texto: escriba hh:mm (ej. 1:30)",IF(AND(ISNUMBER(Q1641),COUNTIFS(M_RUTN,V1641,M_MES,B1641,M_LIQ,"&lt;&gt;")&gt;1),"⚠ Liquidación repetida en el mes",IF(AND(ISNUMBER(O1641),ISNUMBER(P1641),ISNUMBER(Q1641),ABS(O1641-P1641-Q1641)&gt;1),"⚠ Haberes − descuentos no da el líquido","OK"))))))</f>
        <v/>
      </c>
      <c r="V1641" s="62" t="str">
        <f aca="false">IF(C1641="","",IFERROR(VALUE(LEFT(UPPER(SUBSTITUTE(SUBSTITUTE(SUBSTITUTE(TRIM(C1641),".",""),"-","")," ","")),LEN(UPPER(SUBSTITUTE(SUBSTITUTE(SUBSTITUTE(TRIM(C1641),".",""),"-","")," ","")))-1))&amp;RIGHT(UPPER(SUBSTITUTE(SUBSTITUTE(SUBSTITUTE(TRIM(C1641),".",""),"-","")," ","")),1),UPPER(SUBSTITUTE(SUBSTITUTE(SUBSTITUTE(TRIM(C1641),".",""),"-","")," ",""))))</f>
        <v/>
      </c>
    </row>
    <row r="1642" customFormat="false" ht="15" hidden="false" customHeight="false" outlineLevel="0" collapsed="false">
      <c r="B1642" s="80"/>
      <c r="C1642" s="58"/>
      <c r="D1642" s="62" t="str">
        <f aca="false">IF(C1642="","",IFERROR(INDEX(T_NOMBRE,MATCH(V1642,T_RUTN,0)),"⚠ RUT no está en Trabajadores"))</f>
        <v/>
      </c>
      <c r="E1642" s="61"/>
      <c r="F1642" s="61"/>
      <c r="G1642" s="61"/>
      <c r="H1642" s="61"/>
      <c r="I1642" s="81"/>
      <c r="J1642" s="81"/>
      <c r="K1642" s="60"/>
      <c r="L1642" s="60"/>
      <c r="M1642" s="60"/>
      <c r="N1642" s="60"/>
      <c r="O1642" s="60"/>
      <c r="P1642" s="60"/>
      <c r="Q1642" s="60"/>
      <c r="R1642" s="58"/>
      <c r="S1642" s="62" t="str">
        <f aca="false">IF(OR(B1642="",V1642=""),"",IFERROR(INDEX(C_TIPO,MATCH(V1642&amp;"-P"&amp;MAX(1,COUNTIFS(C_RUTN,V1642,C_DEF,"Sí",C_INI,"&lt;="&amp;EOMONTH(B1642,0))),C_CLAVE,0))&amp;"","Sin contrato"))</f>
        <v/>
      </c>
      <c r="T1642" s="63" t="str">
        <f aca="false">IF(OR(B1642="",N(O1642)=0),"",N(O1642)+ROUND(MIN(N(N1642),TOPE_UF*UF_MES)*(TASA_EMP+MUTUAL),0)+ROUND(MIN(N(N1642),TOPE_AFC_UF*UF_MES)*IF(S1642="Indefinido",AFC_INDEF,AFC_PF),0))</f>
        <v/>
      </c>
      <c r="U1642" s="62" t="str">
        <f aca="false">IF(C1642="","",IF(LEFT(D1642,1)="⚠","⚠ RUT no registrado en Trabajadores",IF(B1642="","⚠ Falta el mes",IF(OR(ISTEXT(I1642),ISTEXT(J1642)),"⚠ Atrasos u horas extra como texto: escriba hh:mm (ej. 1:30)",IF(AND(ISNUMBER(Q1642),COUNTIFS(M_RUTN,V1642,M_MES,B1642,M_LIQ,"&lt;&gt;")&gt;1),"⚠ Liquidación repetida en el mes",IF(AND(ISNUMBER(O1642),ISNUMBER(P1642),ISNUMBER(Q1642),ABS(O1642-P1642-Q1642)&gt;1),"⚠ Haberes − descuentos no da el líquido","OK"))))))</f>
        <v/>
      </c>
      <c r="V1642" s="62" t="str">
        <f aca="false">IF(C1642="","",IFERROR(VALUE(LEFT(UPPER(SUBSTITUTE(SUBSTITUTE(SUBSTITUTE(TRIM(C1642),".",""),"-","")," ","")),LEN(UPPER(SUBSTITUTE(SUBSTITUTE(SUBSTITUTE(TRIM(C1642),".",""),"-","")," ","")))-1))&amp;RIGHT(UPPER(SUBSTITUTE(SUBSTITUTE(SUBSTITUTE(TRIM(C1642),".",""),"-","")," ","")),1),UPPER(SUBSTITUTE(SUBSTITUTE(SUBSTITUTE(TRIM(C1642),".",""),"-","")," ",""))))</f>
        <v/>
      </c>
    </row>
    <row r="1643" customFormat="false" ht="15" hidden="false" customHeight="false" outlineLevel="0" collapsed="false">
      <c r="B1643" s="80"/>
      <c r="C1643" s="58"/>
      <c r="D1643" s="62" t="str">
        <f aca="false">IF(C1643="","",IFERROR(INDEX(T_NOMBRE,MATCH(V1643,T_RUTN,0)),"⚠ RUT no está en Trabajadores"))</f>
        <v/>
      </c>
      <c r="E1643" s="61"/>
      <c r="F1643" s="61"/>
      <c r="G1643" s="61"/>
      <c r="H1643" s="61"/>
      <c r="I1643" s="81"/>
      <c r="J1643" s="81"/>
      <c r="K1643" s="60"/>
      <c r="L1643" s="60"/>
      <c r="M1643" s="60"/>
      <c r="N1643" s="60"/>
      <c r="O1643" s="60"/>
      <c r="P1643" s="60"/>
      <c r="Q1643" s="60"/>
      <c r="R1643" s="58"/>
      <c r="S1643" s="62" t="str">
        <f aca="false">IF(OR(B1643="",V1643=""),"",IFERROR(INDEX(C_TIPO,MATCH(V1643&amp;"-P"&amp;MAX(1,COUNTIFS(C_RUTN,V1643,C_DEF,"Sí",C_INI,"&lt;="&amp;EOMONTH(B1643,0))),C_CLAVE,0))&amp;"","Sin contrato"))</f>
        <v/>
      </c>
      <c r="T1643" s="63" t="str">
        <f aca="false">IF(OR(B1643="",N(O1643)=0),"",N(O1643)+ROUND(MIN(N(N1643),TOPE_UF*UF_MES)*(TASA_EMP+MUTUAL),0)+ROUND(MIN(N(N1643),TOPE_AFC_UF*UF_MES)*IF(S1643="Indefinido",AFC_INDEF,AFC_PF),0))</f>
        <v/>
      </c>
      <c r="U1643" s="62" t="str">
        <f aca="false">IF(C1643="","",IF(LEFT(D1643,1)="⚠","⚠ RUT no registrado en Trabajadores",IF(B1643="","⚠ Falta el mes",IF(OR(ISTEXT(I1643),ISTEXT(J1643)),"⚠ Atrasos u horas extra como texto: escriba hh:mm (ej. 1:30)",IF(AND(ISNUMBER(Q1643),COUNTIFS(M_RUTN,V1643,M_MES,B1643,M_LIQ,"&lt;&gt;")&gt;1),"⚠ Liquidación repetida en el mes",IF(AND(ISNUMBER(O1643),ISNUMBER(P1643),ISNUMBER(Q1643),ABS(O1643-P1643-Q1643)&gt;1),"⚠ Haberes − descuentos no da el líquido","OK"))))))</f>
        <v/>
      </c>
      <c r="V1643" s="62" t="str">
        <f aca="false">IF(C1643="","",IFERROR(VALUE(LEFT(UPPER(SUBSTITUTE(SUBSTITUTE(SUBSTITUTE(TRIM(C1643),".",""),"-","")," ","")),LEN(UPPER(SUBSTITUTE(SUBSTITUTE(SUBSTITUTE(TRIM(C1643),".",""),"-","")," ","")))-1))&amp;RIGHT(UPPER(SUBSTITUTE(SUBSTITUTE(SUBSTITUTE(TRIM(C1643),".",""),"-","")," ","")),1),UPPER(SUBSTITUTE(SUBSTITUTE(SUBSTITUTE(TRIM(C1643),".",""),"-","")," ",""))))</f>
        <v/>
      </c>
    </row>
    <row r="1644" customFormat="false" ht="15" hidden="false" customHeight="false" outlineLevel="0" collapsed="false">
      <c r="B1644" s="80"/>
      <c r="C1644" s="58"/>
      <c r="D1644" s="62" t="str">
        <f aca="false">IF(C1644="","",IFERROR(INDEX(T_NOMBRE,MATCH(V1644,T_RUTN,0)),"⚠ RUT no está en Trabajadores"))</f>
        <v/>
      </c>
      <c r="E1644" s="61"/>
      <c r="F1644" s="61"/>
      <c r="G1644" s="61"/>
      <c r="H1644" s="61"/>
      <c r="I1644" s="81"/>
      <c r="J1644" s="81"/>
      <c r="K1644" s="60"/>
      <c r="L1644" s="60"/>
      <c r="M1644" s="60"/>
      <c r="N1644" s="60"/>
      <c r="O1644" s="60"/>
      <c r="P1644" s="60"/>
      <c r="Q1644" s="60"/>
      <c r="R1644" s="58"/>
      <c r="S1644" s="62" t="str">
        <f aca="false">IF(OR(B1644="",V1644=""),"",IFERROR(INDEX(C_TIPO,MATCH(V1644&amp;"-P"&amp;MAX(1,COUNTIFS(C_RUTN,V1644,C_DEF,"Sí",C_INI,"&lt;="&amp;EOMONTH(B1644,0))),C_CLAVE,0))&amp;"","Sin contrato"))</f>
        <v/>
      </c>
      <c r="T1644" s="63" t="str">
        <f aca="false">IF(OR(B1644="",N(O1644)=0),"",N(O1644)+ROUND(MIN(N(N1644),TOPE_UF*UF_MES)*(TASA_EMP+MUTUAL),0)+ROUND(MIN(N(N1644),TOPE_AFC_UF*UF_MES)*IF(S1644="Indefinido",AFC_INDEF,AFC_PF),0))</f>
        <v/>
      </c>
      <c r="U1644" s="62" t="str">
        <f aca="false">IF(C1644="","",IF(LEFT(D1644,1)="⚠","⚠ RUT no registrado en Trabajadores",IF(B1644="","⚠ Falta el mes",IF(OR(ISTEXT(I1644),ISTEXT(J1644)),"⚠ Atrasos u horas extra como texto: escriba hh:mm (ej. 1:30)",IF(AND(ISNUMBER(Q1644),COUNTIFS(M_RUTN,V1644,M_MES,B1644,M_LIQ,"&lt;&gt;")&gt;1),"⚠ Liquidación repetida en el mes",IF(AND(ISNUMBER(O1644),ISNUMBER(P1644),ISNUMBER(Q1644),ABS(O1644-P1644-Q1644)&gt;1),"⚠ Haberes − descuentos no da el líquido","OK"))))))</f>
        <v/>
      </c>
      <c r="V1644" s="62" t="str">
        <f aca="false">IF(C1644="","",IFERROR(VALUE(LEFT(UPPER(SUBSTITUTE(SUBSTITUTE(SUBSTITUTE(TRIM(C1644),".",""),"-","")," ","")),LEN(UPPER(SUBSTITUTE(SUBSTITUTE(SUBSTITUTE(TRIM(C1644),".",""),"-","")," ","")))-1))&amp;RIGHT(UPPER(SUBSTITUTE(SUBSTITUTE(SUBSTITUTE(TRIM(C1644),".",""),"-","")," ","")),1),UPPER(SUBSTITUTE(SUBSTITUTE(SUBSTITUTE(TRIM(C1644),".",""),"-","")," ",""))))</f>
        <v/>
      </c>
    </row>
    <row r="1645" customFormat="false" ht="15" hidden="false" customHeight="false" outlineLevel="0" collapsed="false">
      <c r="B1645" s="80"/>
      <c r="C1645" s="58"/>
      <c r="D1645" s="62" t="str">
        <f aca="false">IF(C1645="","",IFERROR(INDEX(T_NOMBRE,MATCH(V1645,T_RUTN,0)),"⚠ RUT no está en Trabajadores"))</f>
        <v/>
      </c>
      <c r="E1645" s="61"/>
      <c r="F1645" s="61"/>
      <c r="G1645" s="61"/>
      <c r="H1645" s="61"/>
      <c r="I1645" s="81"/>
      <c r="J1645" s="81"/>
      <c r="K1645" s="60"/>
      <c r="L1645" s="60"/>
      <c r="M1645" s="60"/>
      <c r="N1645" s="60"/>
      <c r="O1645" s="60"/>
      <c r="P1645" s="60"/>
      <c r="Q1645" s="60"/>
      <c r="R1645" s="58"/>
      <c r="S1645" s="62" t="str">
        <f aca="false">IF(OR(B1645="",V1645=""),"",IFERROR(INDEX(C_TIPO,MATCH(V1645&amp;"-P"&amp;MAX(1,COUNTIFS(C_RUTN,V1645,C_DEF,"Sí",C_INI,"&lt;="&amp;EOMONTH(B1645,0))),C_CLAVE,0))&amp;"","Sin contrato"))</f>
        <v/>
      </c>
      <c r="T1645" s="63" t="str">
        <f aca="false">IF(OR(B1645="",N(O1645)=0),"",N(O1645)+ROUND(MIN(N(N1645),TOPE_UF*UF_MES)*(TASA_EMP+MUTUAL),0)+ROUND(MIN(N(N1645),TOPE_AFC_UF*UF_MES)*IF(S1645="Indefinido",AFC_INDEF,AFC_PF),0))</f>
        <v/>
      </c>
      <c r="U1645" s="62" t="str">
        <f aca="false">IF(C1645="","",IF(LEFT(D1645,1)="⚠","⚠ RUT no registrado en Trabajadores",IF(B1645="","⚠ Falta el mes",IF(OR(ISTEXT(I1645),ISTEXT(J1645)),"⚠ Atrasos u horas extra como texto: escriba hh:mm (ej. 1:30)",IF(AND(ISNUMBER(Q1645),COUNTIFS(M_RUTN,V1645,M_MES,B1645,M_LIQ,"&lt;&gt;")&gt;1),"⚠ Liquidación repetida en el mes",IF(AND(ISNUMBER(O1645),ISNUMBER(P1645),ISNUMBER(Q1645),ABS(O1645-P1645-Q1645)&gt;1),"⚠ Haberes − descuentos no da el líquido","OK"))))))</f>
        <v/>
      </c>
      <c r="V1645" s="62" t="str">
        <f aca="false">IF(C1645="","",IFERROR(VALUE(LEFT(UPPER(SUBSTITUTE(SUBSTITUTE(SUBSTITUTE(TRIM(C1645),".",""),"-","")," ","")),LEN(UPPER(SUBSTITUTE(SUBSTITUTE(SUBSTITUTE(TRIM(C1645),".",""),"-","")," ","")))-1))&amp;RIGHT(UPPER(SUBSTITUTE(SUBSTITUTE(SUBSTITUTE(TRIM(C1645),".",""),"-","")," ","")),1),UPPER(SUBSTITUTE(SUBSTITUTE(SUBSTITUTE(TRIM(C1645),".",""),"-","")," ",""))))</f>
        <v/>
      </c>
    </row>
    <row r="1646" customFormat="false" ht="15" hidden="false" customHeight="false" outlineLevel="0" collapsed="false">
      <c r="B1646" s="80"/>
      <c r="C1646" s="58"/>
      <c r="D1646" s="62" t="str">
        <f aca="false">IF(C1646="","",IFERROR(INDEX(T_NOMBRE,MATCH(V1646,T_RUTN,0)),"⚠ RUT no está en Trabajadores"))</f>
        <v/>
      </c>
      <c r="E1646" s="61"/>
      <c r="F1646" s="61"/>
      <c r="G1646" s="61"/>
      <c r="H1646" s="61"/>
      <c r="I1646" s="81"/>
      <c r="J1646" s="81"/>
      <c r="K1646" s="60"/>
      <c r="L1646" s="60"/>
      <c r="M1646" s="60"/>
      <c r="N1646" s="60"/>
      <c r="O1646" s="60"/>
      <c r="P1646" s="60"/>
      <c r="Q1646" s="60"/>
      <c r="R1646" s="58"/>
      <c r="S1646" s="62" t="str">
        <f aca="false">IF(OR(B1646="",V1646=""),"",IFERROR(INDEX(C_TIPO,MATCH(V1646&amp;"-P"&amp;MAX(1,COUNTIFS(C_RUTN,V1646,C_DEF,"Sí",C_INI,"&lt;="&amp;EOMONTH(B1646,0))),C_CLAVE,0))&amp;"","Sin contrato"))</f>
        <v/>
      </c>
      <c r="T1646" s="63" t="str">
        <f aca="false">IF(OR(B1646="",N(O1646)=0),"",N(O1646)+ROUND(MIN(N(N1646),TOPE_UF*UF_MES)*(TASA_EMP+MUTUAL),0)+ROUND(MIN(N(N1646),TOPE_AFC_UF*UF_MES)*IF(S1646="Indefinido",AFC_INDEF,AFC_PF),0))</f>
        <v/>
      </c>
      <c r="U1646" s="62" t="str">
        <f aca="false">IF(C1646="","",IF(LEFT(D1646,1)="⚠","⚠ RUT no registrado en Trabajadores",IF(B1646="","⚠ Falta el mes",IF(OR(ISTEXT(I1646),ISTEXT(J1646)),"⚠ Atrasos u horas extra como texto: escriba hh:mm (ej. 1:30)",IF(AND(ISNUMBER(Q1646),COUNTIFS(M_RUTN,V1646,M_MES,B1646,M_LIQ,"&lt;&gt;")&gt;1),"⚠ Liquidación repetida en el mes",IF(AND(ISNUMBER(O1646),ISNUMBER(P1646),ISNUMBER(Q1646),ABS(O1646-P1646-Q1646)&gt;1),"⚠ Haberes − descuentos no da el líquido","OK"))))))</f>
        <v/>
      </c>
      <c r="V1646" s="62" t="str">
        <f aca="false">IF(C1646="","",IFERROR(VALUE(LEFT(UPPER(SUBSTITUTE(SUBSTITUTE(SUBSTITUTE(TRIM(C1646),".",""),"-","")," ","")),LEN(UPPER(SUBSTITUTE(SUBSTITUTE(SUBSTITUTE(TRIM(C1646),".",""),"-","")," ","")))-1))&amp;RIGHT(UPPER(SUBSTITUTE(SUBSTITUTE(SUBSTITUTE(TRIM(C1646),".",""),"-","")," ","")),1),UPPER(SUBSTITUTE(SUBSTITUTE(SUBSTITUTE(TRIM(C1646),".",""),"-","")," ",""))))</f>
        <v/>
      </c>
    </row>
    <row r="1647" customFormat="false" ht="15" hidden="false" customHeight="false" outlineLevel="0" collapsed="false">
      <c r="B1647" s="80"/>
      <c r="C1647" s="58"/>
      <c r="D1647" s="62" t="str">
        <f aca="false">IF(C1647="","",IFERROR(INDEX(T_NOMBRE,MATCH(V1647,T_RUTN,0)),"⚠ RUT no está en Trabajadores"))</f>
        <v/>
      </c>
      <c r="E1647" s="61"/>
      <c r="F1647" s="61"/>
      <c r="G1647" s="61"/>
      <c r="H1647" s="61"/>
      <c r="I1647" s="81"/>
      <c r="J1647" s="81"/>
      <c r="K1647" s="60"/>
      <c r="L1647" s="60"/>
      <c r="M1647" s="60"/>
      <c r="N1647" s="60"/>
      <c r="O1647" s="60"/>
      <c r="P1647" s="60"/>
      <c r="Q1647" s="60"/>
      <c r="R1647" s="58"/>
      <c r="S1647" s="62" t="str">
        <f aca="false">IF(OR(B1647="",V1647=""),"",IFERROR(INDEX(C_TIPO,MATCH(V1647&amp;"-P"&amp;MAX(1,COUNTIFS(C_RUTN,V1647,C_DEF,"Sí",C_INI,"&lt;="&amp;EOMONTH(B1647,0))),C_CLAVE,0))&amp;"","Sin contrato"))</f>
        <v/>
      </c>
      <c r="T1647" s="63" t="str">
        <f aca="false">IF(OR(B1647="",N(O1647)=0),"",N(O1647)+ROUND(MIN(N(N1647),TOPE_UF*UF_MES)*(TASA_EMP+MUTUAL),0)+ROUND(MIN(N(N1647),TOPE_AFC_UF*UF_MES)*IF(S1647="Indefinido",AFC_INDEF,AFC_PF),0))</f>
        <v/>
      </c>
      <c r="U1647" s="62" t="str">
        <f aca="false">IF(C1647="","",IF(LEFT(D1647,1)="⚠","⚠ RUT no registrado en Trabajadores",IF(B1647="","⚠ Falta el mes",IF(OR(ISTEXT(I1647),ISTEXT(J1647)),"⚠ Atrasos u horas extra como texto: escriba hh:mm (ej. 1:30)",IF(AND(ISNUMBER(Q1647),COUNTIFS(M_RUTN,V1647,M_MES,B1647,M_LIQ,"&lt;&gt;")&gt;1),"⚠ Liquidación repetida en el mes",IF(AND(ISNUMBER(O1647),ISNUMBER(P1647),ISNUMBER(Q1647),ABS(O1647-P1647-Q1647)&gt;1),"⚠ Haberes − descuentos no da el líquido","OK"))))))</f>
        <v/>
      </c>
      <c r="V1647" s="62" t="str">
        <f aca="false">IF(C1647="","",IFERROR(VALUE(LEFT(UPPER(SUBSTITUTE(SUBSTITUTE(SUBSTITUTE(TRIM(C1647),".",""),"-","")," ","")),LEN(UPPER(SUBSTITUTE(SUBSTITUTE(SUBSTITUTE(TRIM(C1647),".",""),"-","")," ","")))-1))&amp;RIGHT(UPPER(SUBSTITUTE(SUBSTITUTE(SUBSTITUTE(TRIM(C1647),".",""),"-","")," ","")),1),UPPER(SUBSTITUTE(SUBSTITUTE(SUBSTITUTE(TRIM(C1647),".",""),"-","")," ",""))))</f>
        <v/>
      </c>
    </row>
    <row r="1648" customFormat="false" ht="15" hidden="false" customHeight="false" outlineLevel="0" collapsed="false">
      <c r="B1648" s="80"/>
      <c r="C1648" s="58"/>
      <c r="D1648" s="62" t="str">
        <f aca="false">IF(C1648="","",IFERROR(INDEX(T_NOMBRE,MATCH(V1648,T_RUTN,0)),"⚠ RUT no está en Trabajadores"))</f>
        <v/>
      </c>
      <c r="E1648" s="61"/>
      <c r="F1648" s="61"/>
      <c r="G1648" s="61"/>
      <c r="H1648" s="61"/>
      <c r="I1648" s="81"/>
      <c r="J1648" s="81"/>
      <c r="K1648" s="60"/>
      <c r="L1648" s="60"/>
      <c r="M1648" s="60"/>
      <c r="N1648" s="60"/>
      <c r="O1648" s="60"/>
      <c r="P1648" s="60"/>
      <c r="Q1648" s="60"/>
      <c r="R1648" s="58"/>
      <c r="S1648" s="62" t="str">
        <f aca="false">IF(OR(B1648="",V1648=""),"",IFERROR(INDEX(C_TIPO,MATCH(V1648&amp;"-P"&amp;MAX(1,COUNTIFS(C_RUTN,V1648,C_DEF,"Sí",C_INI,"&lt;="&amp;EOMONTH(B1648,0))),C_CLAVE,0))&amp;"","Sin contrato"))</f>
        <v/>
      </c>
      <c r="T1648" s="63" t="str">
        <f aca="false">IF(OR(B1648="",N(O1648)=0),"",N(O1648)+ROUND(MIN(N(N1648),TOPE_UF*UF_MES)*(TASA_EMP+MUTUAL),0)+ROUND(MIN(N(N1648),TOPE_AFC_UF*UF_MES)*IF(S1648="Indefinido",AFC_INDEF,AFC_PF),0))</f>
        <v/>
      </c>
      <c r="U1648" s="62" t="str">
        <f aca="false">IF(C1648="","",IF(LEFT(D1648,1)="⚠","⚠ RUT no registrado en Trabajadores",IF(B1648="","⚠ Falta el mes",IF(OR(ISTEXT(I1648),ISTEXT(J1648)),"⚠ Atrasos u horas extra como texto: escriba hh:mm (ej. 1:30)",IF(AND(ISNUMBER(Q1648),COUNTIFS(M_RUTN,V1648,M_MES,B1648,M_LIQ,"&lt;&gt;")&gt;1),"⚠ Liquidación repetida en el mes",IF(AND(ISNUMBER(O1648),ISNUMBER(P1648),ISNUMBER(Q1648),ABS(O1648-P1648-Q1648)&gt;1),"⚠ Haberes − descuentos no da el líquido","OK"))))))</f>
        <v/>
      </c>
      <c r="V1648" s="62" t="str">
        <f aca="false">IF(C1648="","",IFERROR(VALUE(LEFT(UPPER(SUBSTITUTE(SUBSTITUTE(SUBSTITUTE(TRIM(C1648),".",""),"-","")," ","")),LEN(UPPER(SUBSTITUTE(SUBSTITUTE(SUBSTITUTE(TRIM(C1648),".",""),"-","")," ","")))-1))&amp;RIGHT(UPPER(SUBSTITUTE(SUBSTITUTE(SUBSTITUTE(TRIM(C1648),".",""),"-","")," ","")),1),UPPER(SUBSTITUTE(SUBSTITUTE(SUBSTITUTE(TRIM(C1648),".",""),"-","")," ",""))))</f>
        <v/>
      </c>
    </row>
    <row r="1649" customFormat="false" ht="15" hidden="false" customHeight="false" outlineLevel="0" collapsed="false">
      <c r="B1649" s="80"/>
      <c r="C1649" s="58"/>
      <c r="D1649" s="62" t="str">
        <f aca="false">IF(C1649="","",IFERROR(INDEX(T_NOMBRE,MATCH(V1649,T_RUTN,0)),"⚠ RUT no está en Trabajadores"))</f>
        <v/>
      </c>
      <c r="E1649" s="61"/>
      <c r="F1649" s="61"/>
      <c r="G1649" s="61"/>
      <c r="H1649" s="61"/>
      <c r="I1649" s="81"/>
      <c r="J1649" s="81"/>
      <c r="K1649" s="60"/>
      <c r="L1649" s="60"/>
      <c r="M1649" s="60"/>
      <c r="N1649" s="60"/>
      <c r="O1649" s="60"/>
      <c r="P1649" s="60"/>
      <c r="Q1649" s="60"/>
      <c r="R1649" s="58"/>
      <c r="S1649" s="62" t="str">
        <f aca="false">IF(OR(B1649="",V1649=""),"",IFERROR(INDEX(C_TIPO,MATCH(V1649&amp;"-P"&amp;MAX(1,COUNTIFS(C_RUTN,V1649,C_DEF,"Sí",C_INI,"&lt;="&amp;EOMONTH(B1649,0))),C_CLAVE,0))&amp;"","Sin contrato"))</f>
        <v/>
      </c>
      <c r="T1649" s="63" t="str">
        <f aca="false">IF(OR(B1649="",N(O1649)=0),"",N(O1649)+ROUND(MIN(N(N1649),TOPE_UF*UF_MES)*(TASA_EMP+MUTUAL),0)+ROUND(MIN(N(N1649),TOPE_AFC_UF*UF_MES)*IF(S1649="Indefinido",AFC_INDEF,AFC_PF),0))</f>
        <v/>
      </c>
      <c r="U1649" s="62" t="str">
        <f aca="false">IF(C1649="","",IF(LEFT(D1649,1)="⚠","⚠ RUT no registrado en Trabajadores",IF(B1649="","⚠ Falta el mes",IF(OR(ISTEXT(I1649),ISTEXT(J1649)),"⚠ Atrasos u horas extra como texto: escriba hh:mm (ej. 1:30)",IF(AND(ISNUMBER(Q1649),COUNTIFS(M_RUTN,V1649,M_MES,B1649,M_LIQ,"&lt;&gt;")&gt;1),"⚠ Liquidación repetida en el mes",IF(AND(ISNUMBER(O1649),ISNUMBER(P1649),ISNUMBER(Q1649),ABS(O1649-P1649-Q1649)&gt;1),"⚠ Haberes − descuentos no da el líquido","OK"))))))</f>
        <v/>
      </c>
      <c r="V1649" s="62" t="str">
        <f aca="false">IF(C1649="","",IFERROR(VALUE(LEFT(UPPER(SUBSTITUTE(SUBSTITUTE(SUBSTITUTE(TRIM(C1649),".",""),"-","")," ","")),LEN(UPPER(SUBSTITUTE(SUBSTITUTE(SUBSTITUTE(TRIM(C1649),".",""),"-","")," ","")))-1))&amp;RIGHT(UPPER(SUBSTITUTE(SUBSTITUTE(SUBSTITUTE(TRIM(C1649),".",""),"-","")," ","")),1),UPPER(SUBSTITUTE(SUBSTITUTE(SUBSTITUTE(TRIM(C1649),".",""),"-","")," ",""))))</f>
        <v/>
      </c>
    </row>
    <row r="1650" customFormat="false" ht="15" hidden="false" customHeight="false" outlineLevel="0" collapsed="false">
      <c r="B1650" s="80"/>
      <c r="C1650" s="58"/>
      <c r="D1650" s="62" t="str">
        <f aca="false">IF(C1650="","",IFERROR(INDEX(T_NOMBRE,MATCH(V1650,T_RUTN,0)),"⚠ RUT no está en Trabajadores"))</f>
        <v/>
      </c>
      <c r="E1650" s="61"/>
      <c r="F1650" s="61"/>
      <c r="G1650" s="61"/>
      <c r="H1650" s="61"/>
      <c r="I1650" s="81"/>
      <c r="J1650" s="81"/>
      <c r="K1650" s="60"/>
      <c r="L1650" s="60"/>
      <c r="M1650" s="60"/>
      <c r="N1650" s="60"/>
      <c r="O1650" s="60"/>
      <c r="P1650" s="60"/>
      <c r="Q1650" s="60"/>
      <c r="R1650" s="58"/>
      <c r="S1650" s="62" t="str">
        <f aca="false">IF(OR(B1650="",V1650=""),"",IFERROR(INDEX(C_TIPO,MATCH(V1650&amp;"-P"&amp;MAX(1,COUNTIFS(C_RUTN,V1650,C_DEF,"Sí",C_INI,"&lt;="&amp;EOMONTH(B1650,0))),C_CLAVE,0))&amp;"","Sin contrato"))</f>
        <v/>
      </c>
      <c r="T1650" s="63" t="str">
        <f aca="false">IF(OR(B1650="",N(O1650)=0),"",N(O1650)+ROUND(MIN(N(N1650),TOPE_UF*UF_MES)*(TASA_EMP+MUTUAL),0)+ROUND(MIN(N(N1650),TOPE_AFC_UF*UF_MES)*IF(S1650="Indefinido",AFC_INDEF,AFC_PF),0))</f>
        <v/>
      </c>
      <c r="U1650" s="62" t="str">
        <f aca="false">IF(C1650="","",IF(LEFT(D1650,1)="⚠","⚠ RUT no registrado en Trabajadores",IF(B1650="","⚠ Falta el mes",IF(OR(ISTEXT(I1650),ISTEXT(J1650)),"⚠ Atrasos u horas extra como texto: escriba hh:mm (ej. 1:30)",IF(AND(ISNUMBER(Q1650),COUNTIFS(M_RUTN,V1650,M_MES,B1650,M_LIQ,"&lt;&gt;")&gt;1),"⚠ Liquidación repetida en el mes",IF(AND(ISNUMBER(O1650),ISNUMBER(P1650),ISNUMBER(Q1650),ABS(O1650-P1650-Q1650)&gt;1),"⚠ Haberes − descuentos no da el líquido","OK"))))))</f>
        <v/>
      </c>
      <c r="V1650" s="62" t="str">
        <f aca="false">IF(C1650="","",IFERROR(VALUE(LEFT(UPPER(SUBSTITUTE(SUBSTITUTE(SUBSTITUTE(TRIM(C1650),".",""),"-","")," ","")),LEN(UPPER(SUBSTITUTE(SUBSTITUTE(SUBSTITUTE(TRIM(C1650),".",""),"-","")," ","")))-1))&amp;RIGHT(UPPER(SUBSTITUTE(SUBSTITUTE(SUBSTITUTE(TRIM(C1650),".",""),"-","")," ","")),1),UPPER(SUBSTITUTE(SUBSTITUTE(SUBSTITUTE(TRIM(C1650),".",""),"-","")," ",""))))</f>
        <v/>
      </c>
    </row>
    <row r="1651" customFormat="false" ht="15" hidden="false" customHeight="false" outlineLevel="0" collapsed="false">
      <c r="B1651" s="80"/>
      <c r="C1651" s="58"/>
      <c r="D1651" s="62" t="str">
        <f aca="false">IF(C1651="","",IFERROR(INDEX(T_NOMBRE,MATCH(V1651,T_RUTN,0)),"⚠ RUT no está en Trabajadores"))</f>
        <v/>
      </c>
      <c r="E1651" s="61"/>
      <c r="F1651" s="61"/>
      <c r="G1651" s="61"/>
      <c r="H1651" s="61"/>
      <c r="I1651" s="81"/>
      <c r="J1651" s="81"/>
      <c r="K1651" s="60"/>
      <c r="L1651" s="60"/>
      <c r="M1651" s="60"/>
      <c r="N1651" s="60"/>
      <c r="O1651" s="60"/>
      <c r="P1651" s="60"/>
      <c r="Q1651" s="60"/>
      <c r="R1651" s="58"/>
      <c r="S1651" s="62" t="str">
        <f aca="false">IF(OR(B1651="",V1651=""),"",IFERROR(INDEX(C_TIPO,MATCH(V1651&amp;"-P"&amp;MAX(1,COUNTIFS(C_RUTN,V1651,C_DEF,"Sí",C_INI,"&lt;="&amp;EOMONTH(B1651,0))),C_CLAVE,0))&amp;"","Sin contrato"))</f>
        <v/>
      </c>
      <c r="T1651" s="63" t="str">
        <f aca="false">IF(OR(B1651="",N(O1651)=0),"",N(O1651)+ROUND(MIN(N(N1651),TOPE_UF*UF_MES)*(TASA_EMP+MUTUAL),0)+ROUND(MIN(N(N1651),TOPE_AFC_UF*UF_MES)*IF(S1651="Indefinido",AFC_INDEF,AFC_PF),0))</f>
        <v/>
      </c>
      <c r="U1651" s="62" t="str">
        <f aca="false">IF(C1651="","",IF(LEFT(D1651,1)="⚠","⚠ RUT no registrado en Trabajadores",IF(B1651="","⚠ Falta el mes",IF(OR(ISTEXT(I1651),ISTEXT(J1651)),"⚠ Atrasos u horas extra como texto: escriba hh:mm (ej. 1:30)",IF(AND(ISNUMBER(Q1651),COUNTIFS(M_RUTN,V1651,M_MES,B1651,M_LIQ,"&lt;&gt;")&gt;1),"⚠ Liquidación repetida en el mes",IF(AND(ISNUMBER(O1651),ISNUMBER(P1651),ISNUMBER(Q1651),ABS(O1651-P1651-Q1651)&gt;1),"⚠ Haberes − descuentos no da el líquido","OK"))))))</f>
        <v/>
      </c>
      <c r="V1651" s="62" t="str">
        <f aca="false">IF(C1651="","",IFERROR(VALUE(LEFT(UPPER(SUBSTITUTE(SUBSTITUTE(SUBSTITUTE(TRIM(C1651),".",""),"-","")," ","")),LEN(UPPER(SUBSTITUTE(SUBSTITUTE(SUBSTITUTE(TRIM(C1651),".",""),"-","")," ","")))-1))&amp;RIGHT(UPPER(SUBSTITUTE(SUBSTITUTE(SUBSTITUTE(TRIM(C1651),".",""),"-","")," ","")),1),UPPER(SUBSTITUTE(SUBSTITUTE(SUBSTITUTE(TRIM(C1651),".",""),"-","")," ",""))))</f>
        <v/>
      </c>
    </row>
    <row r="1652" customFormat="false" ht="15" hidden="false" customHeight="false" outlineLevel="0" collapsed="false">
      <c r="B1652" s="80"/>
      <c r="C1652" s="58"/>
      <c r="D1652" s="62" t="str">
        <f aca="false">IF(C1652="","",IFERROR(INDEX(T_NOMBRE,MATCH(V1652,T_RUTN,0)),"⚠ RUT no está en Trabajadores"))</f>
        <v/>
      </c>
      <c r="E1652" s="61"/>
      <c r="F1652" s="61"/>
      <c r="G1652" s="61"/>
      <c r="H1652" s="61"/>
      <c r="I1652" s="81"/>
      <c r="J1652" s="81"/>
      <c r="K1652" s="60"/>
      <c r="L1652" s="60"/>
      <c r="M1652" s="60"/>
      <c r="N1652" s="60"/>
      <c r="O1652" s="60"/>
      <c r="P1652" s="60"/>
      <c r="Q1652" s="60"/>
      <c r="R1652" s="58"/>
      <c r="S1652" s="62" t="str">
        <f aca="false">IF(OR(B1652="",V1652=""),"",IFERROR(INDEX(C_TIPO,MATCH(V1652&amp;"-P"&amp;MAX(1,COUNTIFS(C_RUTN,V1652,C_DEF,"Sí",C_INI,"&lt;="&amp;EOMONTH(B1652,0))),C_CLAVE,0))&amp;"","Sin contrato"))</f>
        <v/>
      </c>
      <c r="T1652" s="63" t="str">
        <f aca="false">IF(OR(B1652="",N(O1652)=0),"",N(O1652)+ROUND(MIN(N(N1652),TOPE_UF*UF_MES)*(TASA_EMP+MUTUAL),0)+ROUND(MIN(N(N1652),TOPE_AFC_UF*UF_MES)*IF(S1652="Indefinido",AFC_INDEF,AFC_PF),0))</f>
        <v/>
      </c>
      <c r="U1652" s="62" t="str">
        <f aca="false">IF(C1652="","",IF(LEFT(D1652,1)="⚠","⚠ RUT no registrado en Trabajadores",IF(B1652="","⚠ Falta el mes",IF(OR(ISTEXT(I1652),ISTEXT(J1652)),"⚠ Atrasos u horas extra como texto: escriba hh:mm (ej. 1:30)",IF(AND(ISNUMBER(Q1652),COUNTIFS(M_RUTN,V1652,M_MES,B1652,M_LIQ,"&lt;&gt;")&gt;1),"⚠ Liquidación repetida en el mes",IF(AND(ISNUMBER(O1652),ISNUMBER(P1652),ISNUMBER(Q1652),ABS(O1652-P1652-Q1652)&gt;1),"⚠ Haberes − descuentos no da el líquido","OK"))))))</f>
        <v/>
      </c>
      <c r="V1652" s="62" t="str">
        <f aca="false">IF(C1652="","",IFERROR(VALUE(LEFT(UPPER(SUBSTITUTE(SUBSTITUTE(SUBSTITUTE(TRIM(C1652),".",""),"-","")," ","")),LEN(UPPER(SUBSTITUTE(SUBSTITUTE(SUBSTITUTE(TRIM(C1652),".",""),"-","")," ","")))-1))&amp;RIGHT(UPPER(SUBSTITUTE(SUBSTITUTE(SUBSTITUTE(TRIM(C1652),".",""),"-","")," ","")),1),UPPER(SUBSTITUTE(SUBSTITUTE(SUBSTITUTE(TRIM(C1652),".",""),"-","")," ",""))))</f>
        <v/>
      </c>
    </row>
    <row r="1653" customFormat="false" ht="15" hidden="false" customHeight="false" outlineLevel="0" collapsed="false">
      <c r="B1653" s="80"/>
      <c r="C1653" s="58"/>
      <c r="D1653" s="62" t="str">
        <f aca="false">IF(C1653="","",IFERROR(INDEX(T_NOMBRE,MATCH(V1653,T_RUTN,0)),"⚠ RUT no está en Trabajadores"))</f>
        <v/>
      </c>
      <c r="E1653" s="61"/>
      <c r="F1653" s="61"/>
      <c r="G1653" s="61"/>
      <c r="H1653" s="61"/>
      <c r="I1653" s="81"/>
      <c r="J1653" s="81"/>
      <c r="K1653" s="60"/>
      <c r="L1653" s="60"/>
      <c r="M1653" s="60"/>
      <c r="N1653" s="60"/>
      <c r="O1653" s="60"/>
      <c r="P1653" s="60"/>
      <c r="Q1653" s="60"/>
      <c r="R1653" s="58"/>
      <c r="S1653" s="62" t="str">
        <f aca="false">IF(OR(B1653="",V1653=""),"",IFERROR(INDEX(C_TIPO,MATCH(V1653&amp;"-P"&amp;MAX(1,COUNTIFS(C_RUTN,V1653,C_DEF,"Sí",C_INI,"&lt;="&amp;EOMONTH(B1653,0))),C_CLAVE,0))&amp;"","Sin contrato"))</f>
        <v/>
      </c>
      <c r="T1653" s="63" t="str">
        <f aca="false">IF(OR(B1653="",N(O1653)=0),"",N(O1653)+ROUND(MIN(N(N1653),TOPE_UF*UF_MES)*(TASA_EMP+MUTUAL),0)+ROUND(MIN(N(N1653),TOPE_AFC_UF*UF_MES)*IF(S1653="Indefinido",AFC_INDEF,AFC_PF),0))</f>
        <v/>
      </c>
      <c r="U1653" s="62" t="str">
        <f aca="false">IF(C1653="","",IF(LEFT(D1653,1)="⚠","⚠ RUT no registrado en Trabajadores",IF(B1653="","⚠ Falta el mes",IF(OR(ISTEXT(I1653),ISTEXT(J1653)),"⚠ Atrasos u horas extra como texto: escriba hh:mm (ej. 1:30)",IF(AND(ISNUMBER(Q1653),COUNTIFS(M_RUTN,V1653,M_MES,B1653,M_LIQ,"&lt;&gt;")&gt;1),"⚠ Liquidación repetida en el mes",IF(AND(ISNUMBER(O1653),ISNUMBER(P1653),ISNUMBER(Q1653),ABS(O1653-P1653-Q1653)&gt;1),"⚠ Haberes − descuentos no da el líquido","OK"))))))</f>
        <v/>
      </c>
      <c r="V1653" s="62" t="str">
        <f aca="false">IF(C1653="","",IFERROR(VALUE(LEFT(UPPER(SUBSTITUTE(SUBSTITUTE(SUBSTITUTE(TRIM(C1653),".",""),"-","")," ","")),LEN(UPPER(SUBSTITUTE(SUBSTITUTE(SUBSTITUTE(TRIM(C1653),".",""),"-","")," ","")))-1))&amp;RIGHT(UPPER(SUBSTITUTE(SUBSTITUTE(SUBSTITUTE(TRIM(C1653),".",""),"-","")," ","")),1),UPPER(SUBSTITUTE(SUBSTITUTE(SUBSTITUTE(TRIM(C1653),".",""),"-","")," ",""))))</f>
        <v/>
      </c>
    </row>
    <row r="1654" customFormat="false" ht="15" hidden="false" customHeight="false" outlineLevel="0" collapsed="false">
      <c r="B1654" s="80"/>
      <c r="C1654" s="58"/>
      <c r="D1654" s="62" t="str">
        <f aca="false">IF(C1654="","",IFERROR(INDEX(T_NOMBRE,MATCH(V1654,T_RUTN,0)),"⚠ RUT no está en Trabajadores"))</f>
        <v/>
      </c>
      <c r="E1654" s="61"/>
      <c r="F1654" s="61"/>
      <c r="G1654" s="61"/>
      <c r="H1654" s="61"/>
      <c r="I1654" s="81"/>
      <c r="J1654" s="81"/>
      <c r="K1654" s="60"/>
      <c r="L1654" s="60"/>
      <c r="M1654" s="60"/>
      <c r="N1654" s="60"/>
      <c r="O1654" s="60"/>
      <c r="P1654" s="60"/>
      <c r="Q1654" s="60"/>
      <c r="R1654" s="58"/>
      <c r="S1654" s="62" t="str">
        <f aca="false">IF(OR(B1654="",V1654=""),"",IFERROR(INDEX(C_TIPO,MATCH(V1654&amp;"-P"&amp;MAX(1,COUNTIFS(C_RUTN,V1654,C_DEF,"Sí",C_INI,"&lt;="&amp;EOMONTH(B1654,0))),C_CLAVE,0))&amp;"","Sin contrato"))</f>
        <v/>
      </c>
      <c r="T1654" s="63" t="str">
        <f aca="false">IF(OR(B1654="",N(O1654)=0),"",N(O1654)+ROUND(MIN(N(N1654),TOPE_UF*UF_MES)*(TASA_EMP+MUTUAL),0)+ROUND(MIN(N(N1654),TOPE_AFC_UF*UF_MES)*IF(S1654="Indefinido",AFC_INDEF,AFC_PF),0))</f>
        <v/>
      </c>
      <c r="U1654" s="62" t="str">
        <f aca="false">IF(C1654="","",IF(LEFT(D1654,1)="⚠","⚠ RUT no registrado en Trabajadores",IF(B1654="","⚠ Falta el mes",IF(OR(ISTEXT(I1654),ISTEXT(J1654)),"⚠ Atrasos u horas extra como texto: escriba hh:mm (ej. 1:30)",IF(AND(ISNUMBER(Q1654),COUNTIFS(M_RUTN,V1654,M_MES,B1654,M_LIQ,"&lt;&gt;")&gt;1),"⚠ Liquidación repetida en el mes",IF(AND(ISNUMBER(O1654),ISNUMBER(P1654),ISNUMBER(Q1654),ABS(O1654-P1654-Q1654)&gt;1),"⚠ Haberes − descuentos no da el líquido","OK"))))))</f>
        <v/>
      </c>
      <c r="V1654" s="62" t="str">
        <f aca="false">IF(C1654="","",IFERROR(VALUE(LEFT(UPPER(SUBSTITUTE(SUBSTITUTE(SUBSTITUTE(TRIM(C1654),".",""),"-","")," ","")),LEN(UPPER(SUBSTITUTE(SUBSTITUTE(SUBSTITUTE(TRIM(C1654),".",""),"-","")," ","")))-1))&amp;RIGHT(UPPER(SUBSTITUTE(SUBSTITUTE(SUBSTITUTE(TRIM(C1654),".",""),"-","")," ","")),1),UPPER(SUBSTITUTE(SUBSTITUTE(SUBSTITUTE(TRIM(C1654),".",""),"-","")," ",""))))</f>
        <v/>
      </c>
    </row>
    <row r="1655" customFormat="false" ht="15" hidden="false" customHeight="false" outlineLevel="0" collapsed="false">
      <c r="B1655" s="80"/>
      <c r="C1655" s="58"/>
      <c r="D1655" s="62" t="str">
        <f aca="false">IF(C1655="","",IFERROR(INDEX(T_NOMBRE,MATCH(V1655,T_RUTN,0)),"⚠ RUT no está en Trabajadores"))</f>
        <v/>
      </c>
      <c r="E1655" s="61"/>
      <c r="F1655" s="61"/>
      <c r="G1655" s="61"/>
      <c r="H1655" s="61"/>
      <c r="I1655" s="81"/>
      <c r="J1655" s="81"/>
      <c r="K1655" s="60"/>
      <c r="L1655" s="60"/>
      <c r="M1655" s="60"/>
      <c r="N1655" s="60"/>
      <c r="O1655" s="60"/>
      <c r="P1655" s="60"/>
      <c r="Q1655" s="60"/>
      <c r="R1655" s="58"/>
      <c r="S1655" s="62" t="str">
        <f aca="false">IF(OR(B1655="",V1655=""),"",IFERROR(INDEX(C_TIPO,MATCH(V1655&amp;"-P"&amp;MAX(1,COUNTIFS(C_RUTN,V1655,C_DEF,"Sí",C_INI,"&lt;="&amp;EOMONTH(B1655,0))),C_CLAVE,0))&amp;"","Sin contrato"))</f>
        <v/>
      </c>
      <c r="T1655" s="63" t="str">
        <f aca="false">IF(OR(B1655="",N(O1655)=0),"",N(O1655)+ROUND(MIN(N(N1655),TOPE_UF*UF_MES)*(TASA_EMP+MUTUAL),0)+ROUND(MIN(N(N1655),TOPE_AFC_UF*UF_MES)*IF(S1655="Indefinido",AFC_INDEF,AFC_PF),0))</f>
        <v/>
      </c>
      <c r="U1655" s="62" t="str">
        <f aca="false">IF(C1655="","",IF(LEFT(D1655,1)="⚠","⚠ RUT no registrado en Trabajadores",IF(B1655="","⚠ Falta el mes",IF(OR(ISTEXT(I1655),ISTEXT(J1655)),"⚠ Atrasos u horas extra como texto: escriba hh:mm (ej. 1:30)",IF(AND(ISNUMBER(Q1655),COUNTIFS(M_RUTN,V1655,M_MES,B1655,M_LIQ,"&lt;&gt;")&gt;1),"⚠ Liquidación repetida en el mes",IF(AND(ISNUMBER(O1655),ISNUMBER(P1655),ISNUMBER(Q1655),ABS(O1655-P1655-Q1655)&gt;1),"⚠ Haberes − descuentos no da el líquido","OK"))))))</f>
        <v/>
      </c>
      <c r="V1655" s="62" t="str">
        <f aca="false">IF(C1655="","",IFERROR(VALUE(LEFT(UPPER(SUBSTITUTE(SUBSTITUTE(SUBSTITUTE(TRIM(C1655),".",""),"-","")," ","")),LEN(UPPER(SUBSTITUTE(SUBSTITUTE(SUBSTITUTE(TRIM(C1655),".",""),"-","")," ","")))-1))&amp;RIGHT(UPPER(SUBSTITUTE(SUBSTITUTE(SUBSTITUTE(TRIM(C1655),".",""),"-","")," ","")),1),UPPER(SUBSTITUTE(SUBSTITUTE(SUBSTITUTE(TRIM(C1655),".",""),"-","")," ",""))))</f>
        <v/>
      </c>
    </row>
    <row r="1656" customFormat="false" ht="15" hidden="false" customHeight="false" outlineLevel="0" collapsed="false">
      <c r="B1656" s="80"/>
      <c r="C1656" s="58"/>
      <c r="D1656" s="62" t="str">
        <f aca="false">IF(C1656="","",IFERROR(INDEX(T_NOMBRE,MATCH(V1656,T_RUTN,0)),"⚠ RUT no está en Trabajadores"))</f>
        <v/>
      </c>
      <c r="E1656" s="61"/>
      <c r="F1656" s="61"/>
      <c r="G1656" s="61"/>
      <c r="H1656" s="61"/>
      <c r="I1656" s="81"/>
      <c r="J1656" s="81"/>
      <c r="K1656" s="60"/>
      <c r="L1656" s="60"/>
      <c r="M1656" s="60"/>
      <c r="N1656" s="60"/>
      <c r="O1656" s="60"/>
      <c r="P1656" s="60"/>
      <c r="Q1656" s="60"/>
      <c r="R1656" s="58"/>
      <c r="S1656" s="62" t="str">
        <f aca="false">IF(OR(B1656="",V1656=""),"",IFERROR(INDEX(C_TIPO,MATCH(V1656&amp;"-P"&amp;MAX(1,COUNTIFS(C_RUTN,V1656,C_DEF,"Sí",C_INI,"&lt;="&amp;EOMONTH(B1656,0))),C_CLAVE,0))&amp;"","Sin contrato"))</f>
        <v/>
      </c>
      <c r="T1656" s="63" t="str">
        <f aca="false">IF(OR(B1656="",N(O1656)=0),"",N(O1656)+ROUND(MIN(N(N1656),TOPE_UF*UF_MES)*(TASA_EMP+MUTUAL),0)+ROUND(MIN(N(N1656),TOPE_AFC_UF*UF_MES)*IF(S1656="Indefinido",AFC_INDEF,AFC_PF),0))</f>
        <v/>
      </c>
      <c r="U1656" s="62" t="str">
        <f aca="false">IF(C1656="","",IF(LEFT(D1656,1)="⚠","⚠ RUT no registrado en Trabajadores",IF(B1656="","⚠ Falta el mes",IF(OR(ISTEXT(I1656),ISTEXT(J1656)),"⚠ Atrasos u horas extra como texto: escriba hh:mm (ej. 1:30)",IF(AND(ISNUMBER(Q1656),COUNTIFS(M_RUTN,V1656,M_MES,B1656,M_LIQ,"&lt;&gt;")&gt;1),"⚠ Liquidación repetida en el mes",IF(AND(ISNUMBER(O1656),ISNUMBER(P1656),ISNUMBER(Q1656),ABS(O1656-P1656-Q1656)&gt;1),"⚠ Haberes − descuentos no da el líquido","OK"))))))</f>
        <v/>
      </c>
      <c r="V1656" s="62" t="str">
        <f aca="false">IF(C1656="","",IFERROR(VALUE(LEFT(UPPER(SUBSTITUTE(SUBSTITUTE(SUBSTITUTE(TRIM(C1656),".",""),"-","")," ","")),LEN(UPPER(SUBSTITUTE(SUBSTITUTE(SUBSTITUTE(TRIM(C1656),".",""),"-","")," ","")))-1))&amp;RIGHT(UPPER(SUBSTITUTE(SUBSTITUTE(SUBSTITUTE(TRIM(C1656),".",""),"-","")," ","")),1),UPPER(SUBSTITUTE(SUBSTITUTE(SUBSTITUTE(TRIM(C1656),".",""),"-","")," ",""))))</f>
        <v/>
      </c>
    </row>
    <row r="1657" customFormat="false" ht="15" hidden="false" customHeight="false" outlineLevel="0" collapsed="false">
      <c r="B1657" s="80"/>
      <c r="C1657" s="58"/>
      <c r="D1657" s="62" t="str">
        <f aca="false">IF(C1657="","",IFERROR(INDEX(T_NOMBRE,MATCH(V1657,T_RUTN,0)),"⚠ RUT no está en Trabajadores"))</f>
        <v/>
      </c>
      <c r="E1657" s="61"/>
      <c r="F1657" s="61"/>
      <c r="G1657" s="61"/>
      <c r="H1657" s="61"/>
      <c r="I1657" s="81"/>
      <c r="J1657" s="81"/>
      <c r="K1657" s="60"/>
      <c r="L1657" s="60"/>
      <c r="M1657" s="60"/>
      <c r="N1657" s="60"/>
      <c r="O1657" s="60"/>
      <c r="P1657" s="60"/>
      <c r="Q1657" s="60"/>
      <c r="R1657" s="58"/>
      <c r="S1657" s="62" t="str">
        <f aca="false">IF(OR(B1657="",V1657=""),"",IFERROR(INDEX(C_TIPO,MATCH(V1657&amp;"-P"&amp;MAX(1,COUNTIFS(C_RUTN,V1657,C_DEF,"Sí",C_INI,"&lt;="&amp;EOMONTH(B1657,0))),C_CLAVE,0))&amp;"","Sin contrato"))</f>
        <v/>
      </c>
      <c r="T1657" s="63" t="str">
        <f aca="false">IF(OR(B1657="",N(O1657)=0),"",N(O1657)+ROUND(MIN(N(N1657),TOPE_UF*UF_MES)*(TASA_EMP+MUTUAL),0)+ROUND(MIN(N(N1657),TOPE_AFC_UF*UF_MES)*IF(S1657="Indefinido",AFC_INDEF,AFC_PF),0))</f>
        <v/>
      </c>
      <c r="U1657" s="62" t="str">
        <f aca="false">IF(C1657="","",IF(LEFT(D1657,1)="⚠","⚠ RUT no registrado en Trabajadores",IF(B1657="","⚠ Falta el mes",IF(OR(ISTEXT(I1657),ISTEXT(J1657)),"⚠ Atrasos u horas extra como texto: escriba hh:mm (ej. 1:30)",IF(AND(ISNUMBER(Q1657),COUNTIFS(M_RUTN,V1657,M_MES,B1657,M_LIQ,"&lt;&gt;")&gt;1),"⚠ Liquidación repetida en el mes",IF(AND(ISNUMBER(O1657),ISNUMBER(P1657),ISNUMBER(Q1657),ABS(O1657-P1657-Q1657)&gt;1),"⚠ Haberes − descuentos no da el líquido","OK"))))))</f>
        <v/>
      </c>
      <c r="V1657" s="62" t="str">
        <f aca="false">IF(C1657="","",IFERROR(VALUE(LEFT(UPPER(SUBSTITUTE(SUBSTITUTE(SUBSTITUTE(TRIM(C1657),".",""),"-","")," ","")),LEN(UPPER(SUBSTITUTE(SUBSTITUTE(SUBSTITUTE(TRIM(C1657),".",""),"-","")," ","")))-1))&amp;RIGHT(UPPER(SUBSTITUTE(SUBSTITUTE(SUBSTITUTE(TRIM(C1657),".",""),"-","")," ","")),1),UPPER(SUBSTITUTE(SUBSTITUTE(SUBSTITUTE(TRIM(C1657),".",""),"-","")," ",""))))</f>
        <v/>
      </c>
    </row>
    <row r="1658" customFormat="false" ht="15" hidden="false" customHeight="false" outlineLevel="0" collapsed="false">
      <c r="B1658" s="80"/>
      <c r="C1658" s="58"/>
      <c r="D1658" s="62" t="str">
        <f aca="false">IF(C1658="","",IFERROR(INDEX(T_NOMBRE,MATCH(V1658,T_RUTN,0)),"⚠ RUT no está en Trabajadores"))</f>
        <v/>
      </c>
      <c r="E1658" s="61"/>
      <c r="F1658" s="61"/>
      <c r="G1658" s="61"/>
      <c r="H1658" s="61"/>
      <c r="I1658" s="81"/>
      <c r="J1658" s="81"/>
      <c r="K1658" s="60"/>
      <c r="L1658" s="60"/>
      <c r="M1658" s="60"/>
      <c r="N1658" s="60"/>
      <c r="O1658" s="60"/>
      <c r="P1658" s="60"/>
      <c r="Q1658" s="60"/>
      <c r="R1658" s="58"/>
      <c r="S1658" s="62" t="str">
        <f aca="false">IF(OR(B1658="",V1658=""),"",IFERROR(INDEX(C_TIPO,MATCH(V1658&amp;"-P"&amp;MAX(1,COUNTIFS(C_RUTN,V1658,C_DEF,"Sí",C_INI,"&lt;="&amp;EOMONTH(B1658,0))),C_CLAVE,0))&amp;"","Sin contrato"))</f>
        <v/>
      </c>
      <c r="T1658" s="63" t="str">
        <f aca="false">IF(OR(B1658="",N(O1658)=0),"",N(O1658)+ROUND(MIN(N(N1658),TOPE_UF*UF_MES)*(TASA_EMP+MUTUAL),0)+ROUND(MIN(N(N1658),TOPE_AFC_UF*UF_MES)*IF(S1658="Indefinido",AFC_INDEF,AFC_PF),0))</f>
        <v/>
      </c>
      <c r="U1658" s="62" t="str">
        <f aca="false">IF(C1658="","",IF(LEFT(D1658,1)="⚠","⚠ RUT no registrado en Trabajadores",IF(B1658="","⚠ Falta el mes",IF(OR(ISTEXT(I1658),ISTEXT(J1658)),"⚠ Atrasos u horas extra como texto: escriba hh:mm (ej. 1:30)",IF(AND(ISNUMBER(Q1658),COUNTIFS(M_RUTN,V1658,M_MES,B1658,M_LIQ,"&lt;&gt;")&gt;1),"⚠ Liquidación repetida en el mes",IF(AND(ISNUMBER(O1658),ISNUMBER(P1658),ISNUMBER(Q1658),ABS(O1658-P1658-Q1658)&gt;1),"⚠ Haberes − descuentos no da el líquido","OK"))))))</f>
        <v/>
      </c>
      <c r="V1658" s="62" t="str">
        <f aca="false">IF(C1658="","",IFERROR(VALUE(LEFT(UPPER(SUBSTITUTE(SUBSTITUTE(SUBSTITUTE(TRIM(C1658),".",""),"-","")," ","")),LEN(UPPER(SUBSTITUTE(SUBSTITUTE(SUBSTITUTE(TRIM(C1658),".",""),"-","")," ","")))-1))&amp;RIGHT(UPPER(SUBSTITUTE(SUBSTITUTE(SUBSTITUTE(TRIM(C1658),".",""),"-","")," ","")),1),UPPER(SUBSTITUTE(SUBSTITUTE(SUBSTITUTE(TRIM(C1658),".",""),"-","")," ",""))))</f>
        <v/>
      </c>
    </row>
    <row r="1659" customFormat="false" ht="15" hidden="false" customHeight="false" outlineLevel="0" collapsed="false">
      <c r="B1659" s="80"/>
      <c r="C1659" s="58"/>
      <c r="D1659" s="62" t="str">
        <f aca="false">IF(C1659="","",IFERROR(INDEX(T_NOMBRE,MATCH(V1659,T_RUTN,0)),"⚠ RUT no está en Trabajadores"))</f>
        <v/>
      </c>
      <c r="E1659" s="61"/>
      <c r="F1659" s="61"/>
      <c r="G1659" s="61"/>
      <c r="H1659" s="61"/>
      <c r="I1659" s="81"/>
      <c r="J1659" s="81"/>
      <c r="K1659" s="60"/>
      <c r="L1659" s="60"/>
      <c r="M1659" s="60"/>
      <c r="N1659" s="60"/>
      <c r="O1659" s="60"/>
      <c r="P1659" s="60"/>
      <c r="Q1659" s="60"/>
      <c r="R1659" s="58"/>
      <c r="S1659" s="62" t="str">
        <f aca="false">IF(OR(B1659="",V1659=""),"",IFERROR(INDEX(C_TIPO,MATCH(V1659&amp;"-P"&amp;MAX(1,COUNTIFS(C_RUTN,V1659,C_DEF,"Sí",C_INI,"&lt;="&amp;EOMONTH(B1659,0))),C_CLAVE,0))&amp;"","Sin contrato"))</f>
        <v/>
      </c>
      <c r="T1659" s="63" t="str">
        <f aca="false">IF(OR(B1659="",N(O1659)=0),"",N(O1659)+ROUND(MIN(N(N1659),TOPE_UF*UF_MES)*(TASA_EMP+MUTUAL),0)+ROUND(MIN(N(N1659),TOPE_AFC_UF*UF_MES)*IF(S1659="Indefinido",AFC_INDEF,AFC_PF),0))</f>
        <v/>
      </c>
      <c r="U1659" s="62" t="str">
        <f aca="false">IF(C1659="","",IF(LEFT(D1659,1)="⚠","⚠ RUT no registrado en Trabajadores",IF(B1659="","⚠ Falta el mes",IF(OR(ISTEXT(I1659),ISTEXT(J1659)),"⚠ Atrasos u horas extra como texto: escriba hh:mm (ej. 1:30)",IF(AND(ISNUMBER(Q1659),COUNTIFS(M_RUTN,V1659,M_MES,B1659,M_LIQ,"&lt;&gt;")&gt;1),"⚠ Liquidación repetida en el mes",IF(AND(ISNUMBER(O1659),ISNUMBER(P1659),ISNUMBER(Q1659),ABS(O1659-P1659-Q1659)&gt;1),"⚠ Haberes − descuentos no da el líquido","OK"))))))</f>
        <v/>
      </c>
      <c r="V1659" s="62" t="str">
        <f aca="false">IF(C1659="","",IFERROR(VALUE(LEFT(UPPER(SUBSTITUTE(SUBSTITUTE(SUBSTITUTE(TRIM(C1659),".",""),"-","")," ","")),LEN(UPPER(SUBSTITUTE(SUBSTITUTE(SUBSTITUTE(TRIM(C1659),".",""),"-","")," ","")))-1))&amp;RIGHT(UPPER(SUBSTITUTE(SUBSTITUTE(SUBSTITUTE(TRIM(C1659),".",""),"-","")," ","")),1),UPPER(SUBSTITUTE(SUBSTITUTE(SUBSTITUTE(TRIM(C1659),".",""),"-","")," ",""))))</f>
        <v/>
      </c>
    </row>
    <row r="1660" customFormat="false" ht="15" hidden="false" customHeight="false" outlineLevel="0" collapsed="false">
      <c r="B1660" s="80"/>
      <c r="C1660" s="58"/>
      <c r="D1660" s="62" t="str">
        <f aca="false">IF(C1660="","",IFERROR(INDEX(T_NOMBRE,MATCH(V1660,T_RUTN,0)),"⚠ RUT no está en Trabajadores"))</f>
        <v/>
      </c>
      <c r="E1660" s="61"/>
      <c r="F1660" s="61"/>
      <c r="G1660" s="61"/>
      <c r="H1660" s="61"/>
      <c r="I1660" s="81"/>
      <c r="J1660" s="81"/>
      <c r="K1660" s="60"/>
      <c r="L1660" s="60"/>
      <c r="M1660" s="60"/>
      <c r="N1660" s="60"/>
      <c r="O1660" s="60"/>
      <c r="P1660" s="60"/>
      <c r="Q1660" s="60"/>
      <c r="R1660" s="58"/>
      <c r="S1660" s="62" t="str">
        <f aca="false">IF(OR(B1660="",V1660=""),"",IFERROR(INDEX(C_TIPO,MATCH(V1660&amp;"-P"&amp;MAX(1,COUNTIFS(C_RUTN,V1660,C_DEF,"Sí",C_INI,"&lt;="&amp;EOMONTH(B1660,0))),C_CLAVE,0))&amp;"","Sin contrato"))</f>
        <v/>
      </c>
      <c r="T1660" s="63" t="str">
        <f aca="false">IF(OR(B1660="",N(O1660)=0),"",N(O1660)+ROUND(MIN(N(N1660),TOPE_UF*UF_MES)*(TASA_EMP+MUTUAL),0)+ROUND(MIN(N(N1660),TOPE_AFC_UF*UF_MES)*IF(S1660="Indefinido",AFC_INDEF,AFC_PF),0))</f>
        <v/>
      </c>
      <c r="U1660" s="62" t="str">
        <f aca="false">IF(C1660="","",IF(LEFT(D1660,1)="⚠","⚠ RUT no registrado en Trabajadores",IF(B1660="","⚠ Falta el mes",IF(OR(ISTEXT(I1660),ISTEXT(J1660)),"⚠ Atrasos u horas extra como texto: escriba hh:mm (ej. 1:30)",IF(AND(ISNUMBER(Q1660),COUNTIFS(M_RUTN,V1660,M_MES,B1660,M_LIQ,"&lt;&gt;")&gt;1),"⚠ Liquidación repetida en el mes",IF(AND(ISNUMBER(O1660),ISNUMBER(P1660),ISNUMBER(Q1660),ABS(O1660-P1660-Q1660)&gt;1),"⚠ Haberes − descuentos no da el líquido","OK"))))))</f>
        <v/>
      </c>
      <c r="V1660" s="62" t="str">
        <f aca="false">IF(C1660="","",IFERROR(VALUE(LEFT(UPPER(SUBSTITUTE(SUBSTITUTE(SUBSTITUTE(TRIM(C1660),".",""),"-","")," ","")),LEN(UPPER(SUBSTITUTE(SUBSTITUTE(SUBSTITUTE(TRIM(C1660),".",""),"-","")," ","")))-1))&amp;RIGHT(UPPER(SUBSTITUTE(SUBSTITUTE(SUBSTITUTE(TRIM(C1660),".",""),"-","")," ","")),1),UPPER(SUBSTITUTE(SUBSTITUTE(SUBSTITUTE(TRIM(C1660),".",""),"-","")," ",""))))</f>
        <v/>
      </c>
    </row>
    <row r="1661" customFormat="false" ht="15" hidden="false" customHeight="false" outlineLevel="0" collapsed="false">
      <c r="B1661" s="80"/>
      <c r="C1661" s="58"/>
      <c r="D1661" s="62" t="str">
        <f aca="false">IF(C1661="","",IFERROR(INDEX(T_NOMBRE,MATCH(V1661,T_RUTN,0)),"⚠ RUT no está en Trabajadores"))</f>
        <v/>
      </c>
      <c r="E1661" s="61"/>
      <c r="F1661" s="61"/>
      <c r="G1661" s="61"/>
      <c r="H1661" s="61"/>
      <c r="I1661" s="81"/>
      <c r="J1661" s="81"/>
      <c r="K1661" s="60"/>
      <c r="L1661" s="60"/>
      <c r="M1661" s="60"/>
      <c r="N1661" s="60"/>
      <c r="O1661" s="60"/>
      <c r="P1661" s="60"/>
      <c r="Q1661" s="60"/>
      <c r="R1661" s="58"/>
      <c r="S1661" s="62" t="str">
        <f aca="false">IF(OR(B1661="",V1661=""),"",IFERROR(INDEX(C_TIPO,MATCH(V1661&amp;"-P"&amp;MAX(1,COUNTIFS(C_RUTN,V1661,C_DEF,"Sí",C_INI,"&lt;="&amp;EOMONTH(B1661,0))),C_CLAVE,0))&amp;"","Sin contrato"))</f>
        <v/>
      </c>
      <c r="T1661" s="63" t="str">
        <f aca="false">IF(OR(B1661="",N(O1661)=0),"",N(O1661)+ROUND(MIN(N(N1661),TOPE_UF*UF_MES)*(TASA_EMP+MUTUAL),0)+ROUND(MIN(N(N1661),TOPE_AFC_UF*UF_MES)*IF(S1661="Indefinido",AFC_INDEF,AFC_PF),0))</f>
        <v/>
      </c>
      <c r="U1661" s="62" t="str">
        <f aca="false">IF(C1661="","",IF(LEFT(D1661,1)="⚠","⚠ RUT no registrado en Trabajadores",IF(B1661="","⚠ Falta el mes",IF(OR(ISTEXT(I1661),ISTEXT(J1661)),"⚠ Atrasos u horas extra como texto: escriba hh:mm (ej. 1:30)",IF(AND(ISNUMBER(Q1661),COUNTIFS(M_RUTN,V1661,M_MES,B1661,M_LIQ,"&lt;&gt;")&gt;1),"⚠ Liquidación repetida en el mes",IF(AND(ISNUMBER(O1661),ISNUMBER(P1661),ISNUMBER(Q1661),ABS(O1661-P1661-Q1661)&gt;1),"⚠ Haberes − descuentos no da el líquido","OK"))))))</f>
        <v/>
      </c>
      <c r="V1661" s="62" t="str">
        <f aca="false">IF(C1661="","",IFERROR(VALUE(LEFT(UPPER(SUBSTITUTE(SUBSTITUTE(SUBSTITUTE(TRIM(C1661),".",""),"-","")," ","")),LEN(UPPER(SUBSTITUTE(SUBSTITUTE(SUBSTITUTE(TRIM(C1661),".",""),"-","")," ","")))-1))&amp;RIGHT(UPPER(SUBSTITUTE(SUBSTITUTE(SUBSTITUTE(TRIM(C1661),".",""),"-","")," ","")),1),UPPER(SUBSTITUTE(SUBSTITUTE(SUBSTITUTE(TRIM(C1661),".",""),"-","")," ",""))))</f>
        <v/>
      </c>
    </row>
    <row r="1662" customFormat="false" ht="15" hidden="false" customHeight="false" outlineLevel="0" collapsed="false">
      <c r="B1662" s="80"/>
      <c r="C1662" s="58"/>
      <c r="D1662" s="62" t="str">
        <f aca="false">IF(C1662="","",IFERROR(INDEX(T_NOMBRE,MATCH(V1662,T_RUTN,0)),"⚠ RUT no está en Trabajadores"))</f>
        <v/>
      </c>
      <c r="E1662" s="61"/>
      <c r="F1662" s="61"/>
      <c r="G1662" s="61"/>
      <c r="H1662" s="61"/>
      <c r="I1662" s="81"/>
      <c r="J1662" s="81"/>
      <c r="K1662" s="60"/>
      <c r="L1662" s="60"/>
      <c r="M1662" s="60"/>
      <c r="N1662" s="60"/>
      <c r="O1662" s="60"/>
      <c r="P1662" s="60"/>
      <c r="Q1662" s="60"/>
      <c r="R1662" s="58"/>
      <c r="S1662" s="62" t="str">
        <f aca="false">IF(OR(B1662="",V1662=""),"",IFERROR(INDEX(C_TIPO,MATCH(V1662&amp;"-P"&amp;MAX(1,COUNTIFS(C_RUTN,V1662,C_DEF,"Sí",C_INI,"&lt;="&amp;EOMONTH(B1662,0))),C_CLAVE,0))&amp;"","Sin contrato"))</f>
        <v/>
      </c>
      <c r="T1662" s="63" t="str">
        <f aca="false">IF(OR(B1662="",N(O1662)=0),"",N(O1662)+ROUND(MIN(N(N1662),TOPE_UF*UF_MES)*(TASA_EMP+MUTUAL),0)+ROUND(MIN(N(N1662),TOPE_AFC_UF*UF_MES)*IF(S1662="Indefinido",AFC_INDEF,AFC_PF),0))</f>
        <v/>
      </c>
      <c r="U1662" s="62" t="str">
        <f aca="false">IF(C1662="","",IF(LEFT(D1662,1)="⚠","⚠ RUT no registrado en Trabajadores",IF(B1662="","⚠ Falta el mes",IF(OR(ISTEXT(I1662),ISTEXT(J1662)),"⚠ Atrasos u horas extra como texto: escriba hh:mm (ej. 1:30)",IF(AND(ISNUMBER(Q1662),COUNTIFS(M_RUTN,V1662,M_MES,B1662,M_LIQ,"&lt;&gt;")&gt;1),"⚠ Liquidación repetida en el mes",IF(AND(ISNUMBER(O1662),ISNUMBER(P1662),ISNUMBER(Q1662),ABS(O1662-P1662-Q1662)&gt;1),"⚠ Haberes − descuentos no da el líquido","OK"))))))</f>
        <v/>
      </c>
      <c r="V1662" s="62" t="str">
        <f aca="false">IF(C1662="","",IFERROR(VALUE(LEFT(UPPER(SUBSTITUTE(SUBSTITUTE(SUBSTITUTE(TRIM(C1662),".",""),"-","")," ","")),LEN(UPPER(SUBSTITUTE(SUBSTITUTE(SUBSTITUTE(TRIM(C1662),".",""),"-","")," ","")))-1))&amp;RIGHT(UPPER(SUBSTITUTE(SUBSTITUTE(SUBSTITUTE(TRIM(C1662),".",""),"-","")," ","")),1),UPPER(SUBSTITUTE(SUBSTITUTE(SUBSTITUTE(TRIM(C1662),".",""),"-","")," ",""))))</f>
        <v/>
      </c>
    </row>
    <row r="1663" customFormat="false" ht="15" hidden="false" customHeight="false" outlineLevel="0" collapsed="false">
      <c r="B1663" s="80"/>
      <c r="C1663" s="58"/>
      <c r="D1663" s="62" t="str">
        <f aca="false">IF(C1663="","",IFERROR(INDEX(T_NOMBRE,MATCH(V1663,T_RUTN,0)),"⚠ RUT no está en Trabajadores"))</f>
        <v/>
      </c>
      <c r="E1663" s="61"/>
      <c r="F1663" s="61"/>
      <c r="G1663" s="61"/>
      <c r="H1663" s="61"/>
      <c r="I1663" s="81"/>
      <c r="J1663" s="81"/>
      <c r="K1663" s="60"/>
      <c r="L1663" s="60"/>
      <c r="M1663" s="60"/>
      <c r="N1663" s="60"/>
      <c r="O1663" s="60"/>
      <c r="P1663" s="60"/>
      <c r="Q1663" s="60"/>
      <c r="R1663" s="58"/>
      <c r="S1663" s="62" t="str">
        <f aca="false">IF(OR(B1663="",V1663=""),"",IFERROR(INDEX(C_TIPO,MATCH(V1663&amp;"-P"&amp;MAX(1,COUNTIFS(C_RUTN,V1663,C_DEF,"Sí",C_INI,"&lt;="&amp;EOMONTH(B1663,0))),C_CLAVE,0))&amp;"","Sin contrato"))</f>
        <v/>
      </c>
      <c r="T1663" s="63" t="str">
        <f aca="false">IF(OR(B1663="",N(O1663)=0),"",N(O1663)+ROUND(MIN(N(N1663),TOPE_UF*UF_MES)*(TASA_EMP+MUTUAL),0)+ROUND(MIN(N(N1663),TOPE_AFC_UF*UF_MES)*IF(S1663="Indefinido",AFC_INDEF,AFC_PF),0))</f>
        <v/>
      </c>
      <c r="U1663" s="62" t="str">
        <f aca="false">IF(C1663="","",IF(LEFT(D1663,1)="⚠","⚠ RUT no registrado en Trabajadores",IF(B1663="","⚠ Falta el mes",IF(OR(ISTEXT(I1663),ISTEXT(J1663)),"⚠ Atrasos u horas extra como texto: escriba hh:mm (ej. 1:30)",IF(AND(ISNUMBER(Q1663),COUNTIFS(M_RUTN,V1663,M_MES,B1663,M_LIQ,"&lt;&gt;")&gt;1),"⚠ Liquidación repetida en el mes",IF(AND(ISNUMBER(O1663),ISNUMBER(P1663),ISNUMBER(Q1663),ABS(O1663-P1663-Q1663)&gt;1),"⚠ Haberes − descuentos no da el líquido","OK"))))))</f>
        <v/>
      </c>
      <c r="V1663" s="62" t="str">
        <f aca="false">IF(C1663="","",IFERROR(VALUE(LEFT(UPPER(SUBSTITUTE(SUBSTITUTE(SUBSTITUTE(TRIM(C1663),".",""),"-","")," ","")),LEN(UPPER(SUBSTITUTE(SUBSTITUTE(SUBSTITUTE(TRIM(C1663),".",""),"-","")," ","")))-1))&amp;RIGHT(UPPER(SUBSTITUTE(SUBSTITUTE(SUBSTITUTE(TRIM(C1663),".",""),"-","")," ","")),1),UPPER(SUBSTITUTE(SUBSTITUTE(SUBSTITUTE(TRIM(C1663),".",""),"-","")," ",""))))</f>
        <v/>
      </c>
    </row>
    <row r="1664" customFormat="false" ht="15" hidden="false" customHeight="false" outlineLevel="0" collapsed="false">
      <c r="B1664" s="80"/>
      <c r="C1664" s="58"/>
      <c r="D1664" s="62" t="str">
        <f aca="false">IF(C1664="","",IFERROR(INDEX(T_NOMBRE,MATCH(V1664,T_RUTN,0)),"⚠ RUT no está en Trabajadores"))</f>
        <v/>
      </c>
      <c r="E1664" s="61"/>
      <c r="F1664" s="61"/>
      <c r="G1664" s="61"/>
      <c r="H1664" s="61"/>
      <c r="I1664" s="81"/>
      <c r="J1664" s="81"/>
      <c r="K1664" s="60"/>
      <c r="L1664" s="60"/>
      <c r="M1664" s="60"/>
      <c r="N1664" s="60"/>
      <c r="O1664" s="60"/>
      <c r="P1664" s="60"/>
      <c r="Q1664" s="60"/>
      <c r="R1664" s="58"/>
      <c r="S1664" s="62" t="str">
        <f aca="false">IF(OR(B1664="",V1664=""),"",IFERROR(INDEX(C_TIPO,MATCH(V1664&amp;"-P"&amp;MAX(1,COUNTIFS(C_RUTN,V1664,C_DEF,"Sí",C_INI,"&lt;="&amp;EOMONTH(B1664,0))),C_CLAVE,0))&amp;"","Sin contrato"))</f>
        <v/>
      </c>
      <c r="T1664" s="63" t="str">
        <f aca="false">IF(OR(B1664="",N(O1664)=0),"",N(O1664)+ROUND(MIN(N(N1664),TOPE_UF*UF_MES)*(TASA_EMP+MUTUAL),0)+ROUND(MIN(N(N1664),TOPE_AFC_UF*UF_MES)*IF(S1664="Indefinido",AFC_INDEF,AFC_PF),0))</f>
        <v/>
      </c>
      <c r="U1664" s="62" t="str">
        <f aca="false">IF(C1664="","",IF(LEFT(D1664,1)="⚠","⚠ RUT no registrado en Trabajadores",IF(B1664="","⚠ Falta el mes",IF(OR(ISTEXT(I1664),ISTEXT(J1664)),"⚠ Atrasos u horas extra como texto: escriba hh:mm (ej. 1:30)",IF(AND(ISNUMBER(Q1664),COUNTIFS(M_RUTN,V1664,M_MES,B1664,M_LIQ,"&lt;&gt;")&gt;1),"⚠ Liquidación repetida en el mes",IF(AND(ISNUMBER(O1664),ISNUMBER(P1664),ISNUMBER(Q1664),ABS(O1664-P1664-Q1664)&gt;1),"⚠ Haberes − descuentos no da el líquido","OK"))))))</f>
        <v/>
      </c>
      <c r="V1664" s="62" t="str">
        <f aca="false">IF(C1664="","",IFERROR(VALUE(LEFT(UPPER(SUBSTITUTE(SUBSTITUTE(SUBSTITUTE(TRIM(C1664),".",""),"-","")," ","")),LEN(UPPER(SUBSTITUTE(SUBSTITUTE(SUBSTITUTE(TRIM(C1664),".",""),"-","")," ","")))-1))&amp;RIGHT(UPPER(SUBSTITUTE(SUBSTITUTE(SUBSTITUTE(TRIM(C1664),".",""),"-","")," ","")),1),UPPER(SUBSTITUTE(SUBSTITUTE(SUBSTITUTE(TRIM(C1664),".",""),"-","")," ",""))))</f>
        <v/>
      </c>
    </row>
    <row r="1665" customFormat="false" ht="15" hidden="false" customHeight="false" outlineLevel="0" collapsed="false">
      <c r="B1665" s="80"/>
      <c r="C1665" s="58"/>
      <c r="D1665" s="62" t="str">
        <f aca="false">IF(C1665="","",IFERROR(INDEX(T_NOMBRE,MATCH(V1665,T_RUTN,0)),"⚠ RUT no está en Trabajadores"))</f>
        <v/>
      </c>
      <c r="E1665" s="61"/>
      <c r="F1665" s="61"/>
      <c r="G1665" s="61"/>
      <c r="H1665" s="61"/>
      <c r="I1665" s="81"/>
      <c r="J1665" s="81"/>
      <c r="K1665" s="60"/>
      <c r="L1665" s="60"/>
      <c r="M1665" s="60"/>
      <c r="N1665" s="60"/>
      <c r="O1665" s="60"/>
      <c r="P1665" s="60"/>
      <c r="Q1665" s="60"/>
      <c r="R1665" s="58"/>
      <c r="S1665" s="62" t="str">
        <f aca="false">IF(OR(B1665="",V1665=""),"",IFERROR(INDEX(C_TIPO,MATCH(V1665&amp;"-P"&amp;MAX(1,COUNTIFS(C_RUTN,V1665,C_DEF,"Sí",C_INI,"&lt;="&amp;EOMONTH(B1665,0))),C_CLAVE,0))&amp;"","Sin contrato"))</f>
        <v/>
      </c>
      <c r="T1665" s="63" t="str">
        <f aca="false">IF(OR(B1665="",N(O1665)=0),"",N(O1665)+ROUND(MIN(N(N1665),TOPE_UF*UF_MES)*(TASA_EMP+MUTUAL),0)+ROUND(MIN(N(N1665),TOPE_AFC_UF*UF_MES)*IF(S1665="Indefinido",AFC_INDEF,AFC_PF),0))</f>
        <v/>
      </c>
      <c r="U1665" s="62" t="str">
        <f aca="false">IF(C1665="","",IF(LEFT(D1665,1)="⚠","⚠ RUT no registrado en Trabajadores",IF(B1665="","⚠ Falta el mes",IF(OR(ISTEXT(I1665),ISTEXT(J1665)),"⚠ Atrasos u horas extra como texto: escriba hh:mm (ej. 1:30)",IF(AND(ISNUMBER(Q1665),COUNTIFS(M_RUTN,V1665,M_MES,B1665,M_LIQ,"&lt;&gt;")&gt;1),"⚠ Liquidación repetida en el mes",IF(AND(ISNUMBER(O1665),ISNUMBER(P1665),ISNUMBER(Q1665),ABS(O1665-P1665-Q1665)&gt;1),"⚠ Haberes − descuentos no da el líquido","OK"))))))</f>
        <v/>
      </c>
      <c r="V1665" s="62" t="str">
        <f aca="false">IF(C1665="","",IFERROR(VALUE(LEFT(UPPER(SUBSTITUTE(SUBSTITUTE(SUBSTITUTE(TRIM(C1665),".",""),"-","")," ","")),LEN(UPPER(SUBSTITUTE(SUBSTITUTE(SUBSTITUTE(TRIM(C1665),".",""),"-","")," ","")))-1))&amp;RIGHT(UPPER(SUBSTITUTE(SUBSTITUTE(SUBSTITUTE(TRIM(C1665),".",""),"-","")," ","")),1),UPPER(SUBSTITUTE(SUBSTITUTE(SUBSTITUTE(TRIM(C1665),".",""),"-","")," ",""))))</f>
        <v/>
      </c>
    </row>
    <row r="1666" customFormat="false" ht="15" hidden="false" customHeight="false" outlineLevel="0" collapsed="false">
      <c r="B1666" s="80"/>
      <c r="C1666" s="58"/>
      <c r="D1666" s="62" t="str">
        <f aca="false">IF(C1666="","",IFERROR(INDEX(T_NOMBRE,MATCH(V1666,T_RUTN,0)),"⚠ RUT no está en Trabajadores"))</f>
        <v/>
      </c>
      <c r="E1666" s="61"/>
      <c r="F1666" s="61"/>
      <c r="G1666" s="61"/>
      <c r="H1666" s="61"/>
      <c r="I1666" s="81"/>
      <c r="J1666" s="81"/>
      <c r="K1666" s="60"/>
      <c r="L1666" s="60"/>
      <c r="M1666" s="60"/>
      <c r="N1666" s="60"/>
      <c r="O1666" s="60"/>
      <c r="P1666" s="60"/>
      <c r="Q1666" s="60"/>
      <c r="R1666" s="58"/>
      <c r="S1666" s="62" t="str">
        <f aca="false">IF(OR(B1666="",V1666=""),"",IFERROR(INDEX(C_TIPO,MATCH(V1666&amp;"-P"&amp;MAX(1,COUNTIFS(C_RUTN,V1666,C_DEF,"Sí",C_INI,"&lt;="&amp;EOMONTH(B1666,0))),C_CLAVE,0))&amp;"","Sin contrato"))</f>
        <v/>
      </c>
      <c r="T1666" s="63" t="str">
        <f aca="false">IF(OR(B1666="",N(O1666)=0),"",N(O1666)+ROUND(MIN(N(N1666),TOPE_UF*UF_MES)*(TASA_EMP+MUTUAL),0)+ROUND(MIN(N(N1666),TOPE_AFC_UF*UF_MES)*IF(S1666="Indefinido",AFC_INDEF,AFC_PF),0))</f>
        <v/>
      </c>
      <c r="U1666" s="62" t="str">
        <f aca="false">IF(C1666="","",IF(LEFT(D1666,1)="⚠","⚠ RUT no registrado en Trabajadores",IF(B1666="","⚠ Falta el mes",IF(OR(ISTEXT(I1666),ISTEXT(J1666)),"⚠ Atrasos u horas extra como texto: escriba hh:mm (ej. 1:30)",IF(AND(ISNUMBER(Q1666),COUNTIFS(M_RUTN,V1666,M_MES,B1666,M_LIQ,"&lt;&gt;")&gt;1),"⚠ Liquidación repetida en el mes",IF(AND(ISNUMBER(O1666),ISNUMBER(P1666),ISNUMBER(Q1666),ABS(O1666-P1666-Q1666)&gt;1),"⚠ Haberes − descuentos no da el líquido","OK"))))))</f>
        <v/>
      </c>
      <c r="V1666" s="62" t="str">
        <f aca="false">IF(C1666="","",IFERROR(VALUE(LEFT(UPPER(SUBSTITUTE(SUBSTITUTE(SUBSTITUTE(TRIM(C1666),".",""),"-","")," ","")),LEN(UPPER(SUBSTITUTE(SUBSTITUTE(SUBSTITUTE(TRIM(C1666),".",""),"-","")," ","")))-1))&amp;RIGHT(UPPER(SUBSTITUTE(SUBSTITUTE(SUBSTITUTE(TRIM(C1666),".",""),"-","")," ","")),1),UPPER(SUBSTITUTE(SUBSTITUTE(SUBSTITUTE(TRIM(C1666),".",""),"-","")," ",""))))</f>
        <v/>
      </c>
    </row>
    <row r="1667" customFormat="false" ht="15" hidden="false" customHeight="false" outlineLevel="0" collapsed="false">
      <c r="B1667" s="80"/>
      <c r="C1667" s="58"/>
      <c r="D1667" s="62" t="str">
        <f aca="false">IF(C1667="","",IFERROR(INDEX(T_NOMBRE,MATCH(V1667,T_RUTN,0)),"⚠ RUT no está en Trabajadores"))</f>
        <v/>
      </c>
      <c r="E1667" s="61"/>
      <c r="F1667" s="61"/>
      <c r="G1667" s="61"/>
      <c r="H1667" s="61"/>
      <c r="I1667" s="81"/>
      <c r="J1667" s="81"/>
      <c r="K1667" s="60"/>
      <c r="L1667" s="60"/>
      <c r="M1667" s="60"/>
      <c r="N1667" s="60"/>
      <c r="O1667" s="60"/>
      <c r="P1667" s="60"/>
      <c r="Q1667" s="60"/>
      <c r="R1667" s="58"/>
      <c r="S1667" s="62" t="str">
        <f aca="false">IF(OR(B1667="",V1667=""),"",IFERROR(INDEX(C_TIPO,MATCH(V1667&amp;"-P"&amp;MAX(1,COUNTIFS(C_RUTN,V1667,C_DEF,"Sí",C_INI,"&lt;="&amp;EOMONTH(B1667,0))),C_CLAVE,0))&amp;"","Sin contrato"))</f>
        <v/>
      </c>
      <c r="T1667" s="63" t="str">
        <f aca="false">IF(OR(B1667="",N(O1667)=0),"",N(O1667)+ROUND(MIN(N(N1667),TOPE_UF*UF_MES)*(TASA_EMP+MUTUAL),0)+ROUND(MIN(N(N1667),TOPE_AFC_UF*UF_MES)*IF(S1667="Indefinido",AFC_INDEF,AFC_PF),0))</f>
        <v/>
      </c>
      <c r="U1667" s="62" t="str">
        <f aca="false">IF(C1667="","",IF(LEFT(D1667,1)="⚠","⚠ RUT no registrado en Trabajadores",IF(B1667="","⚠ Falta el mes",IF(OR(ISTEXT(I1667),ISTEXT(J1667)),"⚠ Atrasos u horas extra como texto: escriba hh:mm (ej. 1:30)",IF(AND(ISNUMBER(Q1667),COUNTIFS(M_RUTN,V1667,M_MES,B1667,M_LIQ,"&lt;&gt;")&gt;1),"⚠ Liquidación repetida en el mes",IF(AND(ISNUMBER(O1667),ISNUMBER(P1667),ISNUMBER(Q1667),ABS(O1667-P1667-Q1667)&gt;1),"⚠ Haberes − descuentos no da el líquido","OK"))))))</f>
        <v/>
      </c>
      <c r="V1667" s="62" t="str">
        <f aca="false">IF(C1667="","",IFERROR(VALUE(LEFT(UPPER(SUBSTITUTE(SUBSTITUTE(SUBSTITUTE(TRIM(C1667),".",""),"-","")," ","")),LEN(UPPER(SUBSTITUTE(SUBSTITUTE(SUBSTITUTE(TRIM(C1667),".",""),"-","")," ","")))-1))&amp;RIGHT(UPPER(SUBSTITUTE(SUBSTITUTE(SUBSTITUTE(TRIM(C1667),".",""),"-","")," ","")),1),UPPER(SUBSTITUTE(SUBSTITUTE(SUBSTITUTE(TRIM(C1667),".",""),"-","")," ",""))))</f>
        <v/>
      </c>
    </row>
    <row r="1668" customFormat="false" ht="15" hidden="false" customHeight="false" outlineLevel="0" collapsed="false">
      <c r="B1668" s="80"/>
      <c r="C1668" s="58"/>
      <c r="D1668" s="62" t="str">
        <f aca="false">IF(C1668="","",IFERROR(INDEX(T_NOMBRE,MATCH(V1668,T_RUTN,0)),"⚠ RUT no está en Trabajadores"))</f>
        <v/>
      </c>
      <c r="E1668" s="61"/>
      <c r="F1668" s="61"/>
      <c r="G1668" s="61"/>
      <c r="H1668" s="61"/>
      <c r="I1668" s="81"/>
      <c r="J1668" s="81"/>
      <c r="K1668" s="60"/>
      <c r="L1668" s="60"/>
      <c r="M1668" s="60"/>
      <c r="N1668" s="60"/>
      <c r="O1668" s="60"/>
      <c r="P1668" s="60"/>
      <c r="Q1668" s="60"/>
      <c r="R1668" s="58"/>
      <c r="S1668" s="62" t="str">
        <f aca="false">IF(OR(B1668="",V1668=""),"",IFERROR(INDEX(C_TIPO,MATCH(V1668&amp;"-P"&amp;MAX(1,COUNTIFS(C_RUTN,V1668,C_DEF,"Sí",C_INI,"&lt;="&amp;EOMONTH(B1668,0))),C_CLAVE,0))&amp;"","Sin contrato"))</f>
        <v/>
      </c>
      <c r="T1668" s="63" t="str">
        <f aca="false">IF(OR(B1668="",N(O1668)=0),"",N(O1668)+ROUND(MIN(N(N1668),TOPE_UF*UF_MES)*(TASA_EMP+MUTUAL),0)+ROUND(MIN(N(N1668),TOPE_AFC_UF*UF_MES)*IF(S1668="Indefinido",AFC_INDEF,AFC_PF),0))</f>
        <v/>
      </c>
      <c r="U1668" s="62" t="str">
        <f aca="false">IF(C1668="","",IF(LEFT(D1668,1)="⚠","⚠ RUT no registrado en Trabajadores",IF(B1668="","⚠ Falta el mes",IF(OR(ISTEXT(I1668),ISTEXT(J1668)),"⚠ Atrasos u horas extra como texto: escriba hh:mm (ej. 1:30)",IF(AND(ISNUMBER(Q1668),COUNTIFS(M_RUTN,V1668,M_MES,B1668,M_LIQ,"&lt;&gt;")&gt;1),"⚠ Liquidación repetida en el mes",IF(AND(ISNUMBER(O1668),ISNUMBER(P1668),ISNUMBER(Q1668),ABS(O1668-P1668-Q1668)&gt;1),"⚠ Haberes − descuentos no da el líquido","OK"))))))</f>
        <v/>
      </c>
      <c r="V1668" s="62" t="str">
        <f aca="false">IF(C1668="","",IFERROR(VALUE(LEFT(UPPER(SUBSTITUTE(SUBSTITUTE(SUBSTITUTE(TRIM(C1668),".",""),"-","")," ","")),LEN(UPPER(SUBSTITUTE(SUBSTITUTE(SUBSTITUTE(TRIM(C1668),".",""),"-","")," ","")))-1))&amp;RIGHT(UPPER(SUBSTITUTE(SUBSTITUTE(SUBSTITUTE(TRIM(C1668),".",""),"-","")," ","")),1),UPPER(SUBSTITUTE(SUBSTITUTE(SUBSTITUTE(TRIM(C1668),".",""),"-","")," ",""))))</f>
        <v/>
      </c>
    </row>
    <row r="1669" customFormat="false" ht="15" hidden="false" customHeight="false" outlineLevel="0" collapsed="false">
      <c r="B1669" s="80"/>
      <c r="C1669" s="58"/>
      <c r="D1669" s="62" t="str">
        <f aca="false">IF(C1669="","",IFERROR(INDEX(T_NOMBRE,MATCH(V1669,T_RUTN,0)),"⚠ RUT no está en Trabajadores"))</f>
        <v/>
      </c>
      <c r="E1669" s="61"/>
      <c r="F1669" s="61"/>
      <c r="G1669" s="61"/>
      <c r="H1669" s="61"/>
      <c r="I1669" s="81"/>
      <c r="J1669" s="81"/>
      <c r="K1669" s="60"/>
      <c r="L1669" s="60"/>
      <c r="M1669" s="60"/>
      <c r="N1669" s="60"/>
      <c r="O1669" s="60"/>
      <c r="P1669" s="60"/>
      <c r="Q1669" s="60"/>
      <c r="R1669" s="58"/>
      <c r="S1669" s="62" t="str">
        <f aca="false">IF(OR(B1669="",V1669=""),"",IFERROR(INDEX(C_TIPO,MATCH(V1669&amp;"-P"&amp;MAX(1,COUNTIFS(C_RUTN,V1669,C_DEF,"Sí",C_INI,"&lt;="&amp;EOMONTH(B1669,0))),C_CLAVE,0))&amp;"","Sin contrato"))</f>
        <v/>
      </c>
      <c r="T1669" s="63" t="str">
        <f aca="false">IF(OR(B1669="",N(O1669)=0),"",N(O1669)+ROUND(MIN(N(N1669),TOPE_UF*UF_MES)*(TASA_EMP+MUTUAL),0)+ROUND(MIN(N(N1669),TOPE_AFC_UF*UF_MES)*IF(S1669="Indefinido",AFC_INDEF,AFC_PF),0))</f>
        <v/>
      </c>
      <c r="U1669" s="62" t="str">
        <f aca="false">IF(C1669="","",IF(LEFT(D1669,1)="⚠","⚠ RUT no registrado en Trabajadores",IF(B1669="","⚠ Falta el mes",IF(OR(ISTEXT(I1669),ISTEXT(J1669)),"⚠ Atrasos u horas extra como texto: escriba hh:mm (ej. 1:30)",IF(AND(ISNUMBER(Q1669),COUNTIFS(M_RUTN,V1669,M_MES,B1669,M_LIQ,"&lt;&gt;")&gt;1),"⚠ Liquidación repetida en el mes",IF(AND(ISNUMBER(O1669),ISNUMBER(P1669),ISNUMBER(Q1669),ABS(O1669-P1669-Q1669)&gt;1),"⚠ Haberes − descuentos no da el líquido","OK"))))))</f>
        <v/>
      </c>
      <c r="V1669" s="62" t="str">
        <f aca="false">IF(C1669="","",IFERROR(VALUE(LEFT(UPPER(SUBSTITUTE(SUBSTITUTE(SUBSTITUTE(TRIM(C1669),".",""),"-","")," ","")),LEN(UPPER(SUBSTITUTE(SUBSTITUTE(SUBSTITUTE(TRIM(C1669),".",""),"-","")," ","")))-1))&amp;RIGHT(UPPER(SUBSTITUTE(SUBSTITUTE(SUBSTITUTE(TRIM(C1669),".",""),"-","")," ","")),1),UPPER(SUBSTITUTE(SUBSTITUTE(SUBSTITUTE(TRIM(C1669),".",""),"-","")," ",""))))</f>
        <v/>
      </c>
    </row>
    <row r="1670" customFormat="false" ht="15" hidden="false" customHeight="false" outlineLevel="0" collapsed="false">
      <c r="B1670" s="80"/>
      <c r="C1670" s="58"/>
      <c r="D1670" s="62" t="str">
        <f aca="false">IF(C1670="","",IFERROR(INDEX(T_NOMBRE,MATCH(V1670,T_RUTN,0)),"⚠ RUT no está en Trabajadores"))</f>
        <v/>
      </c>
      <c r="E1670" s="61"/>
      <c r="F1670" s="61"/>
      <c r="G1670" s="61"/>
      <c r="H1670" s="61"/>
      <c r="I1670" s="81"/>
      <c r="J1670" s="81"/>
      <c r="K1670" s="60"/>
      <c r="L1670" s="60"/>
      <c r="M1670" s="60"/>
      <c r="N1670" s="60"/>
      <c r="O1670" s="60"/>
      <c r="P1670" s="60"/>
      <c r="Q1670" s="60"/>
      <c r="R1670" s="58"/>
      <c r="S1670" s="62" t="str">
        <f aca="false">IF(OR(B1670="",V1670=""),"",IFERROR(INDEX(C_TIPO,MATCH(V1670&amp;"-P"&amp;MAX(1,COUNTIFS(C_RUTN,V1670,C_DEF,"Sí",C_INI,"&lt;="&amp;EOMONTH(B1670,0))),C_CLAVE,0))&amp;"","Sin contrato"))</f>
        <v/>
      </c>
      <c r="T1670" s="63" t="str">
        <f aca="false">IF(OR(B1670="",N(O1670)=0),"",N(O1670)+ROUND(MIN(N(N1670),TOPE_UF*UF_MES)*(TASA_EMP+MUTUAL),0)+ROUND(MIN(N(N1670),TOPE_AFC_UF*UF_MES)*IF(S1670="Indefinido",AFC_INDEF,AFC_PF),0))</f>
        <v/>
      </c>
      <c r="U1670" s="62" t="str">
        <f aca="false">IF(C1670="","",IF(LEFT(D1670,1)="⚠","⚠ RUT no registrado en Trabajadores",IF(B1670="","⚠ Falta el mes",IF(OR(ISTEXT(I1670),ISTEXT(J1670)),"⚠ Atrasos u horas extra como texto: escriba hh:mm (ej. 1:30)",IF(AND(ISNUMBER(Q1670),COUNTIFS(M_RUTN,V1670,M_MES,B1670,M_LIQ,"&lt;&gt;")&gt;1),"⚠ Liquidación repetida en el mes",IF(AND(ISNUMBER(O1670),ISNUMBER(P1670),ISNUMBER(Q1670),ABS(O1670-P1670-Q1670)&gt;1),"⚠ Haberes − descuentos no da el líquido","OK"))))))</f>
        <v/>
      </c>
      <c r="V1670" s="62" t="str">
        <f aca="false">IF(C1670="","",IFERROR(VALUE(LEFT(UPPER(SUBSTITUTE(SUBSTITUTE(SUBSTITUTE(TRIM(C1670),".",""),"-","")," ","")),LEN(UPPER(SUBSTITUTE(SUBSTITUTE(SUBSTITUTE(TRIM(C1670),".",""),"-","")," ","")))-1))&amp;RIGHT(UPPER(SUBSTITUTE(SUBSTITUTE(SUBSTITUTE(TRIM(C1670),".",""),"-","")," ","")),1),UPPER(SUBSTITUTE(SUBSTITUTE(SUBSTITUTE(TRIM(C1670),".",""),"-","")," ",""))))</f>
        <v/>
      </c>
    </row>
    <row r="1671" customFormat="false" ht="15" hidden="false" customHeight="false" outlineLevel="0" collapsed="false">
      <c r="B1671" s="80"/>
      <c r="C1671" s="58"/>
      <c r="D1671" s="62" t="str">
        <f aca="false">IF(C1671="","",IFERROR(INDEX(T_NOMBRE,MATCH(V1671,T_RUTN,0)),"⚠ RUT no está en Trabajadores"))</f>
        <v/>
      </c>
      <c r="E1671" s="61"/>
      <c r="F1671" s="61"/>
      <c r="G1671" s="61"/>
      <c r="H1671" s="61"/>
      <c r="I1671" s="81"/>
      <c r="J1671" s="81"/>
      <c r="K1671" s="60"/>
      <c r="L1671" s="60"/>
      <c r="M1671" s="60"/>
      <c r="N1671" s="60"/>
      <c r="O1671" s="60"/>
      <c r="P1671" s="60"/>
      <c r="Q1671" s="60"/>
      <c r="R1671" s="58"/>
      <c r="S1671" s="62" t="str">
        <f aca="false">IF(OR(B1671="",V1671=""),"",IFERROR(INDEX(C_TIPO,MATCH(V1671&amp;"-P"&amp;MAX(1,COUNTIFS(C_RUTN,V1671,C_DEF,"Sí",C_INI,"&lt;="&amp;EOMONTH(B1671,0))),C_CLAVE,0))&amp;"","Sin contrato"))</f>
        <v/>
      </c>
      <c r="T1671" s="63" t="str">
        <f aca="false">IF(OR(B1671="",N(O1671)=0),"",N(O1671)+ROUND(MIN(N(N1671),TOPE_UF*UF_MES)*(TASA_EMP+MUTUAL),0)+ROUND(MIN(N(N1671),TOPE_AFC_UF*UF_MES)*IF(S1671="Indefinido",AFC_INDEF,AFC_PF),0))</f>
        <v/>
      </c>
      <c r="U1671" s="62" t="str">
        <f aca="false">IF(C1671="","",IF(LEFT(D1671,1)="⚠","⚠ RUT no registrado en Trabajadores",IF(B1671="","⚠ Falta el mes",IF(OR(ISTEXT(I1671),ISTEXT(J1671)),"⚠ Atrasos u horas extra como texto: escriba hh:mm (ej. 1:30)",IF(AND(ISNUMBER(Q1671),COUNTIFS(M_RUTN,V1671,M_MES,B1671,M_LIQ,"&lt;&gt;")&gt;1),"⚠ Liquidación repetida en el mes",IF(AND(ISNUMBER(O1671),ISNUMBER(P1671),ISNUMBER(Q1671),ABS(O1671-P1671-Q1671)&gt;1),"⚠ Haberes − descuentos no da el líquido","OK"))))))</f>
        <v/>
      </c>
      <c r="V1671" s="62" t="str">
        <f aca="false">IF(C1671="","",IFERROR(VALUE(LEFT(UPPER(SUBSTITUTE(SUBSTITUTE(SUBSTITUTE(TRIM(C1671),".",""),"-","")," ","")),LEN(UPPER(SUBSTITUTE(SUBSTITUTE(SUBSTITUTE(TRIM(C1671),".",""),"-","")," ","")))-1))&amp;RIGHT(UPPER(SUBSTITUTE(SUBSTITUTE(SUBSTITUTE(TRIM(C1671),".",""),"-","")," ","")),1),UPPER(SUBSTITUTE(SUBSTITUTE(SUBSTITUTE(TRIM(C1671),".",""),"-","")," ",""))))</f>
        <v/>
      </c>
    </row>
    <row r="1672" customFormat="false" ht="15" hidden="false" customHeight="false" outlineLevel="0" collapsed="false">
      <c r="B1672" s="80"/>
      <c r="C1672" s="58"/>
      <c r="D1672" s="62" t="str">
        <f aca="false">IF(C1672="","",IFERROR(INDEX(T_NOMBRE,MATCH(V1672,T_RUTN,0)),"⚠ RUT no está en Trabajadores"))</f>
        <v/>
      </c>
      <c r="E1672" s="61"/>
      <c r="F1672" s="61"/>
      <c r="G1672" s="61"/>
      <c r="H1672" s="61"/>
      <c r="I1672" s="81"/>
      <c r="J1672" s="81"/>
      <c r="K1672" s="60"/>
      <c r="L1672" s="60"/>
      <c r="M1672" s="60"/>
      <c r="N1672" s="60"/>
      <c r="O1672" s="60"/>
      <c r="P1672" s="60"/>
      <c r="Q1672" s="60"/>
      <c r="R1672" s="58"/>
      <c r="S1672" s="62" t="str">
        <f aca="false">IF(OR(B1672="",V1672=""),"",IFERROR(INDEX(C_TIPO,MATCH(V1672&amp;"-P"&amp;MAX(1,COUNTIFS(C_RUTN,V1672,C_DEF,"Sí",C_INI,"&lt;="&amp;EOMONTH(B1672,0))),C_CLAVE,0))&amp;"","Sin contrato"))</f>
        <v/>
      </c>
      <c r="T1672" s="63" t="str">
        <f aca="false">IF(OR(B1672="",N(O1672)=0),"",N(O1672)+ROUND(MIN(N(N1672),TOPE_UF*UF_MES)*(TASA_EMP+MUTUAL),0)+ROUND(MIN(N(N1672),TOPE_AFC_UF*UF_MES)*IF(S1672="Indefinido",AFC_INDEF,AFC_PF),0))</f>
        <v/>
      </c>
      <c r="U1672" s="62" t="str">
        <f aca="false">IF(C1672="","",IF(LEFT(D1672,1)="⚠","⚠ RUT no registrado en Trabajadores",IF(B1672="","⚠ Falta el mes",IF(OR(ISTEXT(I1672),ISTEXT(J1672)),"⚠ Atrasos u horas extra como texto: escriba hh:mm (ej. 1:30)",IF(AND(ISNUMBER(Q1672),COUNTIFS(M_RUTN,V1672,M_MES,B1672,M_LIQ,"&lt;&gt;")&gt;1),"⚠ Liquidación repetida en el mes",IF(AND(ISNUMBER(O1672),ISNUMBER(P1672),ISNUMBER(Q1672),ABS(O1672-P1672-Q1672)&gt;1),"⚠ Haberes − descuentos no da el líquido","OK"))))))</f>
        <v/>
      </c>
      <c r="V1672" s="62" t="str">
        <f aca="false">IF(C1672="","",IFERROR(VALUE(LEFT(UPPER(SUBSTITUTE(SUBSTITUTE(SUBSTITUTE(TRIM(C1672),".",""),"-","")," ","")),LEN(UPPER(SUBSTITUTE(SUBSTITUTE(SUBSTITUTE(TRIM(C1672),".",""),"-","")," ","")))-1))&amp;RIGHT(UPPER(SUBSTITUTE(SUBSTITUTE(SUBSTITUTE(TRIM(C1672),".",""),"-","")," ","")),1),UPPER(SUBSTITUTE(SUBSTITUTE(SUBSTITUTE(TRIM(C1672),".",""),"-","")," ",""))))</f>
        <v/>
      </c>
    </row>
    <row r="1673" customFormat="false" ht="15" hidden="false" customHeight="false" outlineLevel="0" collapsed="false">
      <c r="B1673" s="80"/>
      <c r="C1673" s="58"/>
      <c r="D1673" s="62" t="str">
        <f aca="false">IF(C1673="","",IFERROR(INDEX(T_NOMBRE,MATCH(V1673,T_RUTN,0)),"⚠ RUT no está en Trabajadores"))</f>
        <v/>
      </c>
      <c r="E1673" s="61"/>
      <c r="F1673" s="61"/>
      <c r="G1673" s="61"/>
      <c r="H1673" s="61"/>
      <c r="I1673" s="81"/>
      <c r="J1673" s="81"/>
      <c r="K1673" s="60"/>
      <c r="L1673" s="60"/>
      <c r="M1673" s="60"/>
      <c r="N1673" s="60"/>
      <c r="O1673" s="60"/>
      <c r="P1673" s="60"/>
      <c r="Q1673" s="60"/>
      <c r="R1673" s="58"/>
      <c r="S1673" s="62" t="str">
        <f aca="false">IF(OR(B1673="",V1673=""),"",IFERROR(INDEX(C_TIPO,MATCH(V1673&amp;"-P"&amp;MAX(1,COUNTIFS(C_RUTN,V1673,C_DEF,"Sí",C_INI,"&lt;="&amp;EOMONTH(B1673,0))),C_CLAVE,0))&amp;"","Sin contrato"))</f>
        <v/>
      </c>
      <c r="T1673" s="63" t="str">
        <f aca="false">IF(OR(B1673="",N(O1673)=0),"",N(O1673)+ROUND(MIN(N(N1673),TOPE_UF*UF_MES)*(TASA_EMP+MUTUAL),0)+ROUND(MIN(N(N1673),TOPE_AFC_UF*UF_MES)*IF(S1673="Indefinido",AFC_INDEF,AFC_PF),0))</f>
        <v/>
      </c>
      <c r="U1673" s="62" t="str">
        <f aca="false">IF(C1673="","",IF(LEFT(D1673,1)="⚠","⚠ RUT no registrado en Trabajadores",IF(B1673="","⚠ Falta el mes",IF(OR(ISTEXT(I1673),ISTEXT(J1673)),"⚠ Atrasos u horas extra como texto: escriba hh:mm (ej. 1:30)",IF(AND(ISNUMBER(Q1673),COUNTIFS(M_RUTN,V1673,M_MES,B1673,M_LIQ,"&lt;&gt;")&gt;1),"⚠ Liquidación repetida en el mes",IF(AND(ISNUMBER(O1673),ISNUMBER(P1673),ISNUMBER(Q1673),ABS(O1673-P1673-Q1673)&gt;1),"⚠ Haberes − descuentos no da el líquido","OK"))))))</f>
        <v/>
      </c>
      <c r="V1673" s="62" t="str">
        <f aca="false">IF(C1673="","",IFERROR(VALUE(LEFT(UPPER(SUBSTITUTE(SUBSTITUTE(SUBSTITUTE(TRIM(C1673),".",""),"-","")," ","")),LEN(UPPER(SUBSTITUTE(SUBSTITUTE(SUBSTITUTE(TRIM(C1673),".",""),"-","")," ","")))-1))&amp;RIGHT(UPPER(SUBSTITUTE(SUBSTITUTE(SUBSTITUTE(TRIM(C1673),".",""),"-","")," ","")),1),UPPER(SUBSTITUTE(SUBSTITUTE(SUBSTITUTE(TRIM(C1673),".",""),"-","")," ",""))))</f>
        <v/>
      </c>
    </row>
    <row r="1674" customFormat="false" ht="15" hidden="false" customHeight="false" outlineLevel="0" collapsed="false">
      <c r="B1674" s="80"/>
      <c r="C1674" s="58"/>
      <c r="D1674" s="62" t="str">
        <f aca="false">IF(C1674="","",IFERROR(INDEX(T_NOMBRE,MATCH(V1674,T_RUTN,0)),"⚠ RUT no está en Trabajadores"))</f>
        <v/>
      </c>
      <c r="E1674" s="61"/>
      <c r="F1674" s="61"/>
      <c r="G1674" s="61"/>
      <c r="H1674" s="61"/>
      <c r="I1674" s="81"/>
      <c r="J1674" s="81"/>
      <c r="K1674" s="60"/>
      <c r="L1674" s="60"/>
      <c r="M1674" s="60"/>
      <c r="N1674" s="60"/>
      <c r="O1674" s="60"/>
      <c r="P1674" s="60"/>
      <c r="Q1674" s="60"/>
      <c r="R1674" s="58"/>
      <c r="S1674" s="62" t="str">
        <f aca="false">IF(OR(B1674="",V1674=""),"",IFERROR(INDEX(C_TIPO,MATCH(V1674&amp;"-P"&amp;MAX(1,COUNTIFS(C_RUTN,V1674,C_DEF,"Sí",C_INI,"&lt;="&amp;EOMONTH(B1674,0))),C_CLAVE,0))&amp;"","Sin contrato"))</f>
        <v/>
      </c>
      <c r="T1674" s="63" t="str">
        <f aca="false">IF(OR(B1674="",N(O1674)=0),"",N(O1674)+ROUND(MIN(N(N1674),TOPE_UF*UF_MES)*(TASA_EMP+MUTUAL),0)+ROUND(MIN(N(N1674),TOPE_AFC_UF*UF_MES)*IF(S1674="Indefinido",AFC_INDEF,AFC_PF),0))</f>
        <v/>
      </c>
      <c r="U1674" s="62" t="str">
        <f aca="false">IF(C1674="","",IF(LEFT(D1674,1)="⚠","⚠ RUT no registrado en Trabajadores",IF(B1674="","⚠ Falta el mes",IF(OR(ISTEXT(I1674),ISTEXT(J1674)),"⚠ Atrasos u horas extra como texto: escriba hh:mm (ej. 1:30)",IF(AND(ISNUMBER(Q1674),COUNTIFS(M_RUTN,V1674,M_MES,B1674,M_LIQ,"&lt;&gt;")&gt;1),"⚠ Liquidación repetida en el mes",IF(AND(ISNUMBER(O1674),ISNUMBER(P1674),ISNUMBER(Q1674),ABS(O1674-P1674-Q1674)&gt;1),"⚠ Haberes − descuentos no da el líquido","OK"))))))</f>
        <v/>
      </c>
      <c r="V1674" s="62" t="str">
        <f aca="false">IF(C1674="","",IFERROR(VALUE(LEFT(UPPER(SUBSTITUTE(SUBSTITUTE(SUBSTITUTE(TRIM(C1674),".",""),"-","")," ","")),LEN(UPPER(SUBSTITUTE(SUBSTITUTE(SUBSTITUTE(TRIM(C1674),".",""),"-","")," ","")))-1))&amp;RIGHT(UPPER(SUBSTITUTE(SUBSTITUTE(SUBSTITUTE(TRIM(C1674),".",""),"-","")," ","")),1),UPPER(SUBSTITUTE(SUBSTITUTE(SUBSTITUTE(TRIM(C1674),".",""),"-","")," ",""))))</f>
        <v/>
      </c>
    </row>
    <row r="1675" customFormat="false" ht="15" hidden="false" customHeight="false" outlineLevel="0" collapsed="false">
      <c r="B1675" s="80"/>
      <c r="C1675" s="58"/>
      <c r="D1675" s="62" t="str">
        <f aca="false">IF(C1675="","",IFERROR(INDEX(T_NOMBRE,MATCH(V1675,T_RUTN,0)),"⚠ RUT no está en Trabajadores"))</f>
        <v/>
      </c>
      <c r="E1675" s="61"/>
      <c r="F1675" s="61"/>
      <c r="G1675" s="61"/>
      <c r="H1675" s="61"/>
      <c r="I1675" s="81"/>
      <c r="J1675" s="81"/>
      <c r="K1675" s="60"/>
      <c r="L1675" s="60"/>
      <c r="M1675" s="60"/>
      <c r="N1675" s="60"/>
      <c r="O1675" s="60"/>
      <c r="P1675" s="60"/>
      <c r="Q1675" s="60"/>
      <c r="R1675" s="58"/>
      <c r="S1675" s="62" t="str">
        <f aca="false">IF(OR(B1675="",V1675=""),"",IFERROR(INDEX(C_TIPO,MATCH(V1675&amp;"-P"&amp;MAX(1,COUNTIFS(C_RUTN,V1675,C_DEF,"Sí",C_INI,"&lt;="&amp;EOMONTH(B1675,0))),C_CLAVE,0))&amp;"","Sin contrato"))</f>
        <v/>
      </c>
      <c r="T1675" s="63" t="str">
        <f aca="false">IF(OR(B1675="",N(O1675)=0),"",N(O1675)+ROUND(MIN(N(N1675),TOPE_UF*UF_MES)*(TASA_EMP+MUTUAL),0)+ROUND(MIN(N(N1675),TOPE_AFC_UF*UF_MES)*IF(S1675="Indefinido",AFC_INDEF,AFC_PF),0))</f>
        <v/>
      </c>
      <c r="U1675" s="62" t="str">
        <f aca="false">IF(C1675="","",IF(LEFT(D1675,1)="⚠","⚠ RUT no registrado en Trabajadores",IF(B1675="","⚠ Falta el mes",IF(OR(ISTEXT(I1675),ISTEXT(J1675)),"⚠ Atrasos u horas extra como texto: escriba hh:mm (ej. 1:30)",IF(AND(ISNUMBER(Q1675),COUNTIFS(M_RUTN,V1675,M_MES,B1675,M_LIQ,"&lt;&gt;")&gt;1),"⚠ Liquidación repetida en el mes",IF(AND(ISNUMBER(O1675),ISNUMBER(P1675),ISNUMBER(Q1675),ABS(O1675-P1675-Q1675)&gt;1),"⚠ Haberes − descuentos no da el líquido","OK"))))))</f>
        <v/>
      </c>
      <c r="V1675" s="62" t="str">
        <f aca="false">IF(C1675="","",IFERROR(VALUE(LEFT(UPPER(SUBSTITUTE(SUBSTITUTE(SUBSTITUTE(TRIM(C1675),".",""),"-","")," ","")),LEN(UPPER(SUBSTITUTE(SUBSTITUTE(SUBSTITUTE(TRIM(C1675),".",""),"-","")," ","")))-1))&amp;RIGHT(UPPER(SUBSTITUTE(SUBSTITUTE(SUBSTITUTE(TRIM(C1675),".",""),"-","")," ","")),1),UPPER(SUBSTITUTE(SUBSTITUTE(SUBSTITUTE(TRIM(C1675),".",""),"-","")," ",""))))</f>
        <v/>
      </c>
    </row>
    <row r="1676" customFormat="false" ht="15" hidden="false" customHeight="false" outlineLevel="0" collapsed="false">
      <c r="B1676" s="80"/>
      <c r="C1676" s="58"/>
      <c r="D1676" s="62" t="str">
        <f aca="false">IF(C1676="","",IFERROR(INDEX(T_NOMBRE,MATCH(V1676,T_RUTN,0)),"⚠ RUT no está en Trabajadores"))</f>
        <v/>
      </c>
      <c r="E1676" s="61"/>
      <c r="F1676" s="61"/>
      <c r="G1676" s="61"/>
      <c r="H1676" s="61"/>
      <c r="I1676" s="81"/>
      <c r="J1676" s="81"/>
      <c r="K1676" s="60"/>
      <c r="L1676" s="60"/>
      <c r="M1676" s="60"/>
      <c r="N1676" s="60"/>
      <c r="O1676" s="60"/>
      <c r="P1676" s="60"/>
      <c r="Q1676" s="60"/>
      <c r="R1676" s="58"/>
      <c r="S1676" s="62" t="str">
        <f aca="false">IF(OR(B1676="",V1676=""),"",IFERROR(INDEX(C_TIPO,MATCH(V1676&amp;"-P"&amp;MAX(1,COUNTIFS(C_RUTN,V1676,C_DEF,"Sí",C_INI,"&lt;="&amp;EOMONTH(B1676,0))),C_CLAVE,0))&amp;"","Sin contrato"))</f>
        <v/>
      </c>
      <c r="T1676" s="63" t="str">
        <f aca="false">IF(OR(B1676="",N(O1676)=0),"",N(O1676)+ROUND(MIN(N(N1676),TOPE_UF*UF_MES)*(TASA_EMP+MUTUAL),0)+ROUND(MIN(N(N1676),TOPE_AFC_UF*UF_MES)*IF(S1676="Indefinido",AFC_INDEF,AFC_PF),0))</f>
        <v/>
      </c>
      <c r="U1676" s="62" t="str">
        <f aca="false">IF(C1676="","",IF(LEFT(D1676,1)="⚠","⚠ RUT no registrado en Trabajadores",IF(B1676="","⚠ Falta el mes",IF(OR(ISTEXT(I1676),ISTEXT(J1676)),"⚠ Atrasos u horas extra como texto: escriba hh:mm (ej. 1:30)",IF(AND(ISNUMBER(Q1676),COUNTIFS(M_RUTN,V1676,M_MES,B1676,M_LIQ,"&lt;&gt;")&gt;1),"⚠ Liquidación repetida en el mes",IF(AND(ISNUMBER(O1676),ISNUMBER(P1676),ISNUMBER(Q1676),ABS(O1676-P1676-Q1676)&gt;1),"⚠ Haberes − descuentos no da el líquido","OK"))))))</f>
        <v/>
      </c>
      <c r="V1676" s="62" t="str">
        <f aca="false">IF(C1676="","",IFERROR(VALUE(LEFT(UPPER(SUBSTITUTE(SUBSTITUTE(SUBSTITUTE(TRIM(C1676),".",""),"-","")," ","")),LEN(UPPER(SUBSTITUTE(SUBSTITUTE(SUBSTITUTE(TRIM(C1676),".",""),"-","")," ","")))-1))&amp;RIGHT(UPPER(SUBSTITUTE(SUBSTITUTE(SUBSTITUTE(TRIM(C1676),".",""),"-","")," ","")),1),UPPER(SUBSTITUTE(SUBSTITUTE(SUBSTITUTE(TRIM(C1676),".",""),"-","")," ",""))))</f>
        <v/>
      </c>
    </row>
    <row r="1677" customFormat="false" ht="15" hidden="false" customHeight="false" outlineLevel="0" collapsed="false">
      <c r="B1677" s="80"/>
      <c r="C1677" s="58"/>
      <c r="D1677" s="62" t="str">
        <f aca="false">IF(C1677="","",IFERROR(INDEX(T_NOMBRE,MATCH(V1677,T_RUTN,0)),"⚠ RUT no está en Trabajadores"))</f>
        <v/>
      </c>
      <c r="E1677" s="61"/>
      <c r="F1677" s="61"/>
      <c r="G1677" s="61"/>
      <c r="H1677" s="61"/>
      <c r="I1677" s="81"/>
      <c r="J1677" s="81"/>
      <c r="K1677" s="60"/>
      <c r="L1677" s="60"/>
      <c r="M1677" s="60"/>
      <c r="N1677" s="60"/>
      <c r="O1677" s="60"/>
      <c r="P1677" s="60"/>
      <c r="Q1677" s="60"/>
      <c r="R1677" s="58"/>
      <c r="S1677" s="62" t="str">
        <f aca="false">IF(OR(B1677="",V1677=""),"",IFERROR(INDEX(C_TIPO,MATCH(V1677&amp;"-P"&amp;MAX(1,COUNTIFS(C_RUTN,V1677,C_DEF,"Sí",C_INI,"&lt;="&amp;EOMONTH(B1677,0))),C_CLAVE,0))&amp;"","Sin contrato"))</f>
        <v/>
      </c>
      <c r="T1677" s="63" t="str">
        <f aca="false">IF(OR(B1677="",N(O1677)=0),"",N(O1677)+ROUND(MIN(N(N1677),TOPE_UF*UF_MES)*(TASA_EMP+MUTUAL),0)+ROUND(MIN(N(N1677),TOPE_AFC_UF*UF_MES)*IF(S1677="Indefinido",AFC_INDEF,AFC_PF),0))</f>
        <v/>
      </c>
      <c r="U1677" s="62" t="str">
        <f aca="false">IF(C1677="","",IF(LEFT(D1677,1)="⚠","⚠ RUT no registrado en Trabajadores",IF(B1677="","⚠ Falta el mes",IF(OR(ISTEXT(I1677),ISTEXT(J1677)),"⚠ Atrasos u horas extra como texto: escriba hh:mm (ej. 1:30)",IF(AND(ISNUMBER(Q1677),COUNTIFS(M_RUTN,V1677,M_MES,B1677,M_LIQ,"&lt;&gt;")&gt;1),"⚠ Liquidación repetida en el mes",IF(AND(ISNUMBER(O1677),ISNUMBER(P1677),ISNUMBER(Q1677),ABS(O1677-P1677-Q1677)&gt;1),"⚠ Haberes − descuentos no da el líquido","OK"))))))</f>
        <v/>
      </c>
      <c r="V1677" s="62" t="str">
        <f aca="false">IF(C1677="","",IFERROR(VALUE(LEFT(UPPER(SUBSTITUTE(SUBSTITUTE(SUBSTITUTE(TRIM(C1677),".",""),"-","")," ","")),LEN(UPPER(SUBSTITUTE(SUBSTITUTE(SUBSTITUTE(TRIM(C1677),".",""),"-","")," ","")))-1))&amp;RIGHT(UPPER(SUBSTITUTE(SUBSTITUTE(SUBSTITUTE(TRIM(C1677),".",""),"-","")," ","")),1),UPPER(SUBSTITUTE(SUBSTITUTE(SUBSTITUTE(TRIM(C1677),".",""),"-","")," ",""))))</f>
        <v/>
      </c>
    </row>
    <row r="1678" customFormat="false" ht="15" hidden="false" customHeight="false" outlineLevel="0" collapsed="false">
      <c r="B1678" s="80"/>
      <c r="C1678" s="58"/>
      <c r="D1678" s="62" t="str">
        <f aca="false">IF(C1678="","",IFERROR(INDEX(T_NOMBRE,MATCH(V1678,T_RUTN,0)),"⚠ RUT no está en Trabajadores"))</f>
        <v/>
      </c>
      <c r="E1678" s="61"/>
      <c r="F1678" s="61"/>
      <c r="G1678" s="61"/>
      <c r="H1678" s="61"/>
      <c r="I1678" s="81"/>
      <c r="J1678" s="81"/>
      <c r="K1678" s="60"/>
      <c r="L1678" s="60"/>
      <c r="M1678" s="60"/>
      <c r="N1678" s="60"/>
      <c r="O1678" s="60"/>
      <c r="P1678" s="60"/>
      <c r="Q1678" s="60"/>
      <c r="R1678" s="58"/>
      <c r="S1678" s="62" t="str">
        <f aca="false">IF(OR(B1678="",V1678=""),"",IFERROR(INDEX(C_TIPO,MATCH(V1678&amp;"-P"&amp;MAX(1,COUNTIFS(C_RUTN,V1678,C_DEF,"Sí",C_INI,"&lt;="&amp;EOMONTH(B1678,0))),C_CLAVE,0))&amp;"","Sin contrato"))</f>
        <v/>
      </c>
      <c r="T1678" s="63" t="str">
        <f aca="false">IF(OR(B1678="",N(O1678)=0),"",N(O1678)+ROUND(MIN(N(N1678),TOPE_UF*UF_MES)*(TASA_EMP+MUTUAL),0)+ROUND(MIN(N(N1678),TOPE_AFC_UF*UF_MES)*IF(S1678="Indefinido",AFC_INDEF,AFC_PF),0))</f>
        <v/>
      </c>
      <c r="U1678" s="62" t="str">
        <f aca="false">IF(C1678="","",IF(LEFT(D1678,1)="⚠","⚠ RUT no registrado en Trabajadores",IF(B1678="","⚠ Falta el mes",IF(OR(ISTEXT(I1678),ISTEXT(J1678)),"⚠ Atrasos u horas extra como texto: escriba hh:mm (ej. 1:30)",IF(AND(ISNUMBER(Q1678),COUNTIFS(M_RUTN,V1678,M_MES,B1678,M_LIQ,"&lt;&gt;")&gt;1),"⚠ Liquidación repetida en el mes",IF(AND(ISNUMBER(O1678),ISNUMBER(P1678),ISNUMBER(Q1678),ABS(O1678-P1678-Q1678)&gt;1),"⚠ Haberes − descuentos no da el líquido","OK"))))))</f>
        <v/>
      </c>
      <c r="V1678" s="62" t="str">
        <f aca="false">IF(C1678="","",IFERROR(VALUE(LEFT(UPPER(SUBSTITUTE(SUBSTITUTE(SUBSTITUTE(TRIM(C1678),".",""),"-","")," ","")),LEN(UPPER(SUBSTITUTE(SUBSTITUTE(SUBSTITUTE(TRIM(C1678),".",""),"-","")," ","")))-1))&amp;RIGHT(UPPER(SUBSTITUTE(SUBSTITUTE(SUBSTITUTE(TRIM(C1678),".",""),"-","")," ","")),1),UPPER(SUBSTITUTE(SUBSTITUTE(SUBSTITUTE(TRIM(C1678),".",""),"-","")," ",""))))</f>
        <v/>
      </c>
    </row>
    <row r="1679" customFormat="false" ht="15" hidden="false" customHeight="false" outlineLevel="0" collapsed="false">
      <c r="B1679" s="80"/>
      <c r="C1679" s="58"/>
      <c r="D1679" s="62" t="str">
        <f aca="false">IF(C1679="","",IFERROR(INDEX(T_NOMBRE,MATCH(V1679,T_RUTN,0)),"⚠ RUT no está en Trabajadores"))</f>
        <v/>
      </c>
      <c r="E1679" s="61"/>
      <c r="F1679" s="61"/>
      <c r="G1679" s="61"/>
      <c r="H1679" s="61"/>
      <c r="I1679" s="81"/>
      <c r="J1679" s="81"/>
      <c r="K1679" s="60"/>
      <c r="L1679" s="60"/>
      <c r="M1679" s="60"/>
      <c r="N1679" s="60"/>
      <c r="O1679" s="60"/>
      <c r="P1679" s="60"/>
      <c r="Q1679" s="60"/>
      <c r="R1679" s="58"/>
      <c r="S1679" s="62" t="str">
        <f aca="false">IF(OR(B1679="",V1679=""),"",IFERROR(INDEX(C_TIPO,MATCH(V1679&amp;"-P"&amp;MAX(1,COUNTIFS(C_RUTN,V1679,C_DEF,"Sí",C_INI,"&lt;="&amp;EOMONTH(B1679,0))),C_CLAVE,0))&amp;"","Sin contrato"))</f>
        <v/>
      </c>
      <c r="T1679" s="63" t="str">
        <f aca="false">IF(OR(B1679="",N(O1679)=0),"",N(O1679)+ROUND(MIN(N(N1679),TOPE_UF*UF_MES)*(TASA_EMP+MUTUAL),0)+ROUND(MIN(N(N1679),TOPE_AFC_UF*UF_MES)*IF(S1679="Indefinido",AFC_INDEF,AFC_PF),0))</f>
        <v/>
      </c>
      <c r="U1679" s="62" t="str">
        <f aca="false">IF(C1679="","",IF(LEFT(D1679,1)="⚠","⚠ RUT no registrado en Trabajadores",IF(B1679="","⚠ Falta el mes",IF(OR(ISTEXT(I1679),ISTEXT(J1679)),"⚠ Atrasos u horas extra como texto: escriba hh:mm (ej. 1:30)",IF(AND(ISNUMBER(Q1679),COUNTIFS(M_RUTN,V1679,M_MES,B1679,M_LIQ,"&lt;&gt;")&gt;1),"⚠ Liquidación repetida en el mes",IF(AND(ISNUMBER(O1679),ISNUMBER(P1679),ISNUMBER(Q1679),ABS(O1679-P1679-Q1679)&gt;1),"⚠ Haberes − descuentos no da el líquido","OK"))))))</f>
        <v/>
      </c>
      <c r="V1679" s="62" t="str">
        <f aca="false">IF(C1679="","",IFERROR(VALUE(LEFT(UPPER(SUBSTITUTE(SUBSTITUTE(SUBSTITUTE(TRIM(C1679),".",""),"-","")," ","")),LEN(UPPER(SUBSTITUTE(SUBSTITUTE(SUBSTITUTE(TRIM(C1679),".",""),"-","")," ","")))-1))&amp;RIGHT(UPPER(SUBSTITUTE(SUBSTITUTE(SUBSTITUTE(TRIM(C1679),".",""),"-","")," ","")),1),UPPER(SUBSTITUTE(SUBSTITUTE(SUBSTITUTE(TRIM(C1679),".",""),"-","")," ",""))))</f>
        <v/>
      </c>
    </row>
    <row r="1680" customFormat="false" ht="15" hidden="false" customHeight="false" outlineLevel="0" collapsed="false">
      <c r="B1680" s="80"/>
      <c r="C1680" s="58"/>
      <c r="D1680" s="62" t="str">
        <f aca="false">IF(C1680="","",IFERROR(INDEX(T_NOMBRE,MATCH(V1680,T_RUTN,0)),"⚠ RUT no está en Trabajadores"))</f>
        <v/>
      </c>
      <c r="E1680" s="61"/>
      <c r="F1680" s="61"/>
      <c r="G1680" s="61"/>
      <c r="H1680" s="61"/>
      <c r="I1680" s="81"/>
      <c r="J1680" s="81"/>
      <c r="K1680" s="60"/>
      <c r="L1680" s="60"/>
      <c r="M1680" s="60"/>
      <c r="N1680" s="60"/>
      <c r="O1680" s="60"/>
      <c r="P1680" s="60"/>
      <c r="Q1680" s="60"/>
      <c r="R1680" s="58"/>
      <c r="S1680" s="62" t="str">
        <f aca="false">IF(OR(B1680="",V1680=""),"",IFERROR(INDEX(C_TIPO,MATCH(V1680&amp;"-P"&amp;MAX(1,COUNTIFS(C_RUTN,V1680,C_DEF,"Sí",C_INI,"&lt;="&amp;EOMONTH(B1680,0))),C_CLAVE,0))&amp;"","Sin contrato"))</f>
        <v/>
      </c>
      <c r="T1680" s="63" t="str">
        <f aca="false">IF(OR(B1680="",N(O1680)=0),"",N(O1680)+ROUND(MIN(N(N1680),TOPE_UF*UF_MES)*(TASA_EMP+MUTUAL),0)+ROUND(MIN(N(N1680),TOPE_AFC_UF*UF_MES)*IF(S1680="Indefinido",AFC_INDEF,AFC_PF),0))</f>
        <v/>
      </c>
      <c r="U1680" s="62" t="str">
        <f aca="false">IF(C1680="","",IF(LEFT(D1680,1)="⚠","⚠ RUT no registrado en Trabajadores",IF(B1680="","⚠ Falta el mes",IF(OR(ISTEXT(I1680),ISTEXT(J1680)),"⚠ Atrasos u horas extra como texto: escriba hh:mm (ej. 1:30)",IF(AND(ISNUMBER(Q1680),COUNTIFS(M_RUTN,V1680,M_MES,B1680,M_LIQ,"&lt;&gt;")&gt;1),"⚠ Liquidación repetida en el mes",IF(AND(ISNUMBER(O1680),ISNUMBER(P1680),ISNUMBER(Q1680),ABS(O1680-P1680-Q1680)&gt;1),"⚠ Haberes − descuentos no da el líquido","OK"))))))</f>
        <v/>
      </c>
      <c r="V1680" s="62" t="str">
        <f aca="false">IF(C1680="","",IFERROR(VALUE(LEFT(UPPER(SUBSTITUTE(SUBSTITUTE(SUBSTITUTE(TRIM(C1680),".",""),"-","")," ","")),LEN(UPPER(SUBSTITUTE(SUBSTITUTE(SUBSTITUTE(TRIM(C1680),".",""),"-","")," ","")))-1))&amp;RIGHT(UPPER(SUBSTITUTE(SUBSTITUTE(SUBSTITUTE(TRIM(C1680),".",""),"-","")," ","")),1),UPPER(SUBSTITUTE(SUBSTITUTE(SUBSTITUTE(TRIM(C1680),".",""),"-","")," ",""))))</f>
        <v/>
      </c>
    </row>
    <row r="1681" customFormat="false" ht="15" hidden="false" customHeight="false" outlineLevel="0" collapsed="false">
      <c r="B1681" s="80"/>
      <c r="C1681" s="58"/>
      <c r="D1681" s="62" t="str">
        <f aca="false">IF(C1681="","",IFERROR(INDEX(T_NOMBRE,MATCH(V1681,T_RUTN,0)),"⚠ RUT no está en Trabajadores"))</f>
        <v/>
      </c>
      <c r="E1681" s="61"/>
      <c r="F1681" s="61"/>
      <c r="G1681" s="61"/>
      <c r="H1681" s="61"/>
      <c r="I1681" s="81"/>
      <c r="J1681" s="81"/>
      <c r="K1681" s="60"/>
      <c r="L1681" s="60"/>
      <c r="M1681" s="60"/>
      <c r="N1681" s="60"/>
      <c r="O1681" s="60"/>
      <c r="P1681" s="60"/>
      <c r="Q1681" s="60"/>
      <c r="R1681" s="58"/>
      <c r="S1681" s="62" t="str">
        <f aca="false">IF(OR(B1681="",V1681=""),"",IFERROR(INDEX(C_TIPO,MATCH(V1681&amp;"-P"&amp;MAX(1,COUNTIFS(C_RUTN,V1681,C_DEF,"Sí",C_INI,"&lt;="&amp;EOMONTH(B1681,0))),C_CLAVE,0))&amp;"","Sin contrato"))</f>
        <v/>
      </c>
      <c r="T1681" s="63" t="str">
        <f aca="false">IF(OR(B1681="",N(O1681)=0),"",N(O1681)+ROUND(MIN(N(N1681),TOPE_UF*UF_MES)*(TASA_EMP+MUTUAL),0)+ROUND(MIN(N(N1681),TOPE_AFC_UF*UF_MES)*IF(S1681="Indefinido",AFC_INDEF,AFC_PF),0))</f>
        <v/>
      </c>
      <c r="U1681" s="62" t="str">
        <f aca="false">IF(C1681="","",IF(LEFT(D1681,1)="⚠","⚠ RUT no registrado en Trabajadores",IF(B1681="","⚠ Falta el mes",IF(OR(ISTEXT(I1681),ISTEXT(J1681)),"⚠ Atrasos u horas extra como texto: escriba hh:mm (ej. 1:30)",IF(AND(ISNUMBER(Q1681),COUNTIFS(M_RUTN,V1681,M_MES,B1681,M_LIQ,"&lt;&gt;")&gt;1),"⚠ Liquidación repetida en el mes",IF(AND(ISNUMBER(O1681),ISNUMBER(P1681),ISNUMBER(Q1681),ABS(O1681-P1681-Q1681)&gt;1),"⚠ Haberes − descuentos no da el líquido","OK"))))))</f>
        <v/>
      </c>
      <c r="V1681" s="62" t="str">
        <f aca="false">IF(C1681="","",IFERROR(VALUE(LEFT(UPPER(SUBSTITUTE(SUBSTITUTE(SUBSTITUTE(TRIM(C1681),".",""),"-","")," ","")),LEN(UPPER(SUBSTITUTE(SUBSTITUTE(SUBSTITUTE(TRIM(C1681),".",""),"-","")," ","")))-1))&amp;RIGHT(UPPER(SUBSTITUTE(SUBSTITUTE(SUBSTITUTE(TRIM(C1681),".",""),"-","")," ","")),1),UPPER(SUBSTITUTE(SUBSTITUTE(SUBSTITUTE(TRIM(C1681),".",""),"-","")," ",""))))</f>
        <v/>
      </c>
    </row>
    <row r="1682" customFormat="false" ht="15" hidden="false" customHeight="false" outlineLevel="0" collapsed="false">
      <c r="B1682" s="80"/>
      <c r="C1682" s="58"/>
      <c r="D1682" s="62" t="str">
        <f aca="false">IF(C1682="","",IFERROR(INDEX(T_NOMBRE,MATCH(V1682,T_RUTN,0)),"⚠ RUT no está en Trabajadores"))</f>
        <v/>
      </c>
      <c r="E1682" s="61"/>
      <c r="F1682" s="61"/>
      <c r="G1682" s="61"/>
      <c r="H1682" s="61"/>
      <c r="I1682" s="81"/>
      <c r="J1682" s="81"/>
      <c r="K1682" s="60"/>
      <c r="L1682" s="60"/>
      <c r="M1682" s="60"/>
      <c r="N1682" s="60"/>
      <c r="O1682" s="60"/>
      <c r="P1682" s="60"/>
      <c r="Q1682" s="60"/>
      <c r="R1682" s="58"/>
      <c r="S1682" s="62" t="str">
        <f aca="false">IF(OR(B1682="",V1682=""),"",IFERROR(INDEX(C_TIPO,MATCH(V1682&amp;"-P"&amp;MAX(1,COUNTIFS(C_RUTN,V1682,C_DEF,"Sí",C_INI,"&lt;="&amp;EOMONTH(B1682,0))),C_CLAVE,0))&amp;"","Sin contrato"))</f>
        <v/>
      </c>
      <c r="T1682" s="63" t="str">
        <f aca="false">IF(OR(B1682="",N(O1682)=0),"",N(O1682)+ROUND(MIN(N(N1682),TOPE_UF*UF_MES)*(TASA_EMP+MUTUAL),0)+ROUND(MIN(N(N1682),TOPE_AFC_UF*UF_MES)*IF(S1682="Indefinido",AFC_INDEF,AFC_PF),0))</f>
        <v/>
      </c>
      <c r="U1682" s="62" t="str">
        <f aca="false">IF(C1682="","",IF(LEFT(D1682,1)="⚠","⚠ RUT no registrado en Trabajadores",IF(B1682="","⚠ Falta el mes",IF(OR(ISTEXT(I1682),ISTEXT(J1682)),"⚠ Atrasos u horas extra como texto: escriba hh:mm (ej. 1:30)",IF(AND(ISNUMBER(Q1682),COUNTIFS(M_RUTN,V1682,M_MES,B1682,M_LIQ,"&lt;&gt;")&gt;1),"⚠ Liquidación repetida en el mes",IF(AND(ISNUMBER(O1682),ISNUMBER(P1682),ISNUMBER(Q1682),ABS(O1682-P1682-Q1682)&gt;1),"⚠ Haberes − descuentos no da el líquido","OK"))))))</f>
        <v/>
      </c>
      <c r="V1682" s="62" t="str">
        <f aca="false">IF(C1682="","",IFERROR(VALUE(LEFT(UPPER(SUBSTITUTE(SUBSTITUTE(SUBSTITUTE(TRIM(C1682),".",""),"-","")," ","")),LEN(UPPER(SUBSTITUTE(SUBSTITUTE(SUBSTITUTE(TRIM(C1682),".",""),"-","")," ","")))-1))&amp;RIGHT(UPPER(SUBSTITUTE(SUBSTITUTE(SUBSTITUTE(TRIM(C1682),".",""),"-","")," ","")),1),UPPER(SUBSTITUTE(SUBSTITUTE(SUBSTITUTE(TRIM(C1682),".",""),"-","")," ",""))))</f>
        <v/>
      </c>
    </row>
    <row r="1683" customFormat="false" ht="15" hidden="false" customHeight="false" outlineLevel="0" collapsed="false">
      <c r="B1683" s="80"/>
      <c r="C1683" s="58"/>
      <c r="D1683" s="62" t="str">
        <f aca="false">IF(C1683="","",IFERROR(INDEX(T_NOMBRE,MATCH(V1683,T_RUTN,0)),"⚠ RUT no está en Trabajadores"))</f>
        <v/>
      </c>
      <c r="E1683" s="61"/>
      <c r="F1683" s="61"/>
      <c r="G1683" s="61"/>
      <c r="H1683" s="61"/>
      <c r="I1683" s="81"/>
      <c r="J1683" s="81"/>
      <c r="K1683" s="60"/>
      <c r="L1683" s="60"/>
      <c r="M1683" s="60"/>
      <c r="N1683" s="60"/>
      <c r="O1683" s="60"/>
      <c r="P1683" s="60"/>
      <c r="Q1683" s="60"/>
      <c r="R1683" s="58"/>
      <c r="S1683" s="62" t="str">
        <f aca="false">IF(OR(B1683="",V1683=""),"",IFERROR(INDEX(C_TIPO,MATCH(V1683&amp;"-P"&amp;MAX(1,COUNTIFS(C_RUTN,V1683,C_DEF,"Sí",C_INI,"&lt;="&amp;EOMONTH(B1683,0))),C_CLAVE,0))&amp;"","Sin contrato"))</f>
        <v/>
      </c>
      <c r="T1683" s="63" t="str">
        <f aca="false">IF(OR(B1683="",N(O1683)=0),"",N(O1683)+ROUND(MIN(N(N1683),TOPE_UF*UF_MES)*(TASA_EMP+MUTUAL),0)+ROUND(MIN(N(N1683),TOPE_AFC_UF*UF_MES)*IF(S1683="Indefinido",AFC_INDEF,AFC_PF),0))</f>
        <v/>
      </c>
      <c r="U1683" s="62" t="str">
        <f aca="false">IF(C1683="","",IF(LEFT(D1683,1)="⚠","⚠ RUT no registrado en Trabajadores",IF(B1683="","⚠ Falta el mes",IF(OR(ISTEXT(I1683),ISTEXT(J1683)),"⚠ Atrasos u horas extra como texto: escriba hh:mm (ej. 1:30)",IF(AND(ISNUMBER(Q1683),COUNTIFS(M_RUTN,V1683,M_MES,B1683,M_LIQ,"&lt;&gt;")&gt;1),"⚠ Liquidación repetida en el mes",IF(AND(ISNUMBER(O1683),ISNUMBER(P1683),ISNUMBER(Q1683),ABS(O1683-P1683-Q1683)&gt;1),"⚠ Haberes − descuentos no da el líquido","OK"))))))</f>
        <v/>
      </c>
      <c r="V1683" s="62" t="str">
        <f aca="false">IF(C1683="","",IFERROR(VALUE(LEFT(UPPER(SUBSTITUTE(SUBSTITUTE(SUBSTITUTE(TRIM(C1683),".",""),"-","")," ","")),LEN(UPPER(SUBSTITUTE(SUBSTITUTE(SUBSTITUTE(TRIM(C1683),".",""),"-","")," ","")))-1))&amp;RIGHT(UPPER(SUBSTITUTE(SUBSTITUTE(SUBSTITUTE(TRIM(C1683),".",""),"-","")," ","")),1),UPPER(SUBSTITUTE(SUBSTITUTE(SUBSTITUTE(TRIM(C1683),".",""),"-","")," ",""))))</f>
        <v/>
      </c>
    </row>
    <row r="1684" customFormat="false" ht="15" hidden="false" customHeight="false" outlineLevel="0" collapsed="false">
      <c r="B1684" s="80"/>
      <c r="C1684" s="58"/>
      <c r="D1684" s="62" t="str">
        <f aca="false">IF(C1684="","",IFERROR(INDEX(T_NOMBRE,MATCH(V1684,T_RUTN,0)),"⚠ RUT no está en Trabajadores"))</f>
        <v/>
      </c>
      <c r="E1684" s="61"/>
      <c r="F1684" s="61"/>
      <c r="G1684" s="61"/>
      <c r="H1684" s="61"/>
      <c r="I1684" s="81"/>
      <c r="J1684" s="81"/>
      <c r="K1684" s="60"/>
      <c r="L1684" s="60"/>
      <c r="M1684" s="60"/>
      <c r="N1684" s="60"/>
      <c r="O1684" s="60"/>
      <c r="P1684" s="60"/>
      <c r="Q1684" s="60"/>
      <c r="R1684" s="58"/>
      <c r="S1684" s="62" t="str">
        <f aca="false">IF(OR(B1684="",V1684=""),"",IFERROR(INDEX(C_TIPO,MATCH(V1684&amp;"-P"&amp;MAX(1,COUNTIFS(C_RUTN,V1684,C_DEF,"Sí",C_INI,"&lt;="&amp;EOMONTH(B1684,0))),C_CLAVE,0))&amp;"","Sin contrato"))</f>
        <v/>
      </c>
      <c r="T1684" s="63" t="str">
        <f aca="false">IF(OR(B1684="",N(O1684)=0),"",N(O1684)+ROUND(MIN(N(N1684),TOPE_UF*UF_MES)*(TASA_EMP+MUTUAL),0)+ROUND(MIN(N(N1684),TOPE_AFC_UF*UF_MES)*IF(S1684="Indefinido",AFC_INDEF,AFC_PF),0))</f>
        <v/>
      </c>
      <c r="U1684" s="62" t="str">
        <f aca="false">IF(C1684="","",IF(LEFT(D1684,1)="⚠","⚠ RUT no registrado en Trabajadores",IF(B1684="","⚠ Falta el mes",IF(OR(ISTEXT(I1684),ISTEXT(J1684)),"⚠ Atrasos u horas extra como texto: escriba hh:mm (ej. 1:30)",IF(AND(ISNUMBER(Q1684),COUNTIFS(M_RUTN,V1684,M_MES,B1684,M_LIQ,"&lt;&gt;")&gt;1),"⚠ Liquidación repetida en el mes",IF(AND(ISNUMBER(O1684),ISNUMBER(P1684),ISNUMBER(Q1684),ABS(O1684-P1684-Q1684)&gt;1),"⚠ Haberes − descuentos no da el líquido","OK"))))))</f>
        <v/>
      </c>
      <c r="V1684" s="62" t="str">
        <f aca="false">IF(C1684="","",IFERROR(VALUE(LEFT(UPPER(SUBSTITUTE(SUBSTITUTE(SUBSTITUTE(TRIM(C1684),".",""),"-","")," ","")),LEN(UPPER(SUBSTITUTE(SUBSTITUTE(SUBSTITUTE(TRIM(C1684),".",""),"-","")," ","")))-1))&amp;RIGHT(UPPER(SUBSTITUTE(SUBSTITUTE(SUBSTITUTE(TRIM(C1684),".",""),"-","")," ","")),1),UPPER(SUBSTITUTE(SUBSTITUTE(SUBSTITUTE(TRIM(C1684),".",""),"-","")," ",""))))</f>
        <v/>
      </c>
    </row>
    <row r="1685" customFormat="false" ht="15" hidden="false" customHeight="false" outlineLevel="0" collapsed="false">
      <c r="B1685" s="80"/>
      <c r="C1685" s="58"/>
      <c r="D1685" s="62" t="str">
        <f aca="false">IF(C1685="","",IFERROR(INDEX(T_NOMBRE,MATCH(V1685,T_RUTN,0)),"⚠ RUT no está en Trabajadores"))</f>
        <v/>
      </c>
      <c r="E1685" s="61"/>
      <c r="F1685" s="61"/>
      <c r="G1685" s="61"/>
      <c r="H1685" s="61"/>
      <c r="I1685" s="81"/>
      <c r="J1685" s="81"/>
      <c r="K1685" s="60"/>
      <c r="L1685" s="60"/>
      <c r="M1685" s="60"/>
      <c r="N1685" s="60"/>
      <c r="O1685" s="60"/>
      <c r="P1685" s="60"/>
      <c r="Q1685" s="60"/>
      <c r="R1685" s="58"/>
      <c r="S1685" s="62" t="str">
        <f aca="false">IF(OR(B1685="",V1685=""),"",IFERROR(INDEX(C_TIPO,MATCH(V1685&amp;"-P"&amp;MAX(1,COUNTIFS(C_RUTN,V1685,C_DEF,"Sí",C_INI,"&lt;="&amp;EOMONTH(B1685,0))),C_CLAVE,0))&amp;"","Sin contrato"))</f>
        <v/>
      </c>
      <c r="T1685" s="63" t="str">
        <f aca="false">IF(OR(B1685="",N(O1685)=0),"",N(O1685)+ROUND(MIN(N(N1685),TOPE_UF*UF_MES)*(TASA_EMP+MUTUAL),0)+ROUND(MIN(N(N1685),TOPE_AFC_UF*UF_MES)*IF(S1685="Indefinido",AFC_INDEF,AFC_PF),0))</f>
        <v/>
      </c>
      <c r="U1685" s="62" t="str">
        <f aca="false">IF(C1685="","",IF(LEFT(D1685,1)="⚠","⚠ RUT no registrado en Trabajadores",IF(B1685="","⚠ Falta el mes",IF(OR(ISTEXT(I1685),ISTEXT(J1685)),"⚠ Atrasos u horas extra como texto: escriba hh:mm (ej. 1:30)",IF(AND(ISNUMBER(Q1685),COUNTIFS(M_RUTN,V1685,M_MES,B1685,M_LIQ,"&lt;&gt;")&gt;1),"⚠ Liquidación repetida en el mes",IF(AND(ISNUMBER(O1685),ISNUMBER(P1685),ISNUMBER(Q1685),ABS(O1685-P1685-Q1685)&gt;1),"⚠ Haberes − descuentos no da el líquido","OK"))))))</f>
        <v/>
      </c>
      <c r="V1685" s="62" t="str">
        <f aca="false">IF(C1685="","",IFERROR(VALUE(LEFT(UPPER(SUBSTITUTE(SUBSTITUTE(SUBSTITUTE(TRIM(C1685),".",""),"-","")," ","")),LEN(UPPER(SUBSTITUTE(SUBSTITUTE(SUBSTITUTE(TRIM(C1685),".",""),"-","")," ","")))-1))&amp;RIGHT(UPPER(SUBSTITUTE(SUBSTITUTE(SUBSTITUTE(TRIM(C1685),".",""),"-","")," ","")),1),UPPER(SUBSTITUTE(SUBSTITUTE(SUBSTITUTE(TRIM(C1685),".",""),"-","")," ",""))))</f>
        <v/>
      </c>
    </row>
    <row r="1686" customFormat="false" ht="15" hidden="false" customHeight="false" outlineLevel="0" collapsed="false">
      <c r="B1686" s="80"/>
      <c r="C1686" s="58"/>
      <c r="D1686" s="62" t="str">
        <f aca="false">IF(C1686="","",IFERROR(INDEX(T_NOMBRE,MATCH(V1686,T_RUTN,0)),"⚠ RUT no está en Trabajadores"))</f>
        <v/>
      </c>
      <c r="E1686" s="61"/>
      <c r="F1686" s="61"/>
      <c r="G1686" s="61"/>
      <c r="H1686" s="61"/>
      <c r="I1686" s="81"/>
      <c r="J1686" s="81"/>
      <c r="K1686" s="60"/>
      <c r="L1686" s="60"/>
      <c r="M1686" s="60"/>
      <c r="N1686" s="60"/>
      <c r="O1686" s="60"/>
      <c r="P1686" s="60"/>
      <c r="Q1686" s="60"/>
      <c r="R1686" s="58"/>
      <c r="S1686" s="62" t="str">
        <f aca="false">IF(OR(B1686="",V1686=""),"",IFERROR(INDEX(C_TIPO,MATCH(V1686&amp;"-P"&amp;MAX(1,COUNTIFS(C_RUTN,V1686,C_DEF,"Sí",C_INI,"&lt;="&amp;EOMONTH(B1686,0))),C_CLAVE,0))&amp;"","Sin contrato"))</f>
        <v/>
      </c>
      <c r="T1686" s="63" t="str">
        <f aca="false">IF(OR(B1686="",N(O1686)=0),"",N(O1686)+ROUND(MIN(N(N1686),TOPE_UF*UF_MES)*(TASA_EMP+MUTUAL),0)+ROUND(MIN(N(N1686),TOPE_AFC_UF*UF_MES)*IF(S1686="Indefinido",AFC_INDEF,AFC_PF),0))</f>
        <v/>
      </c>
      <c r="U1686" s="62" t="str">
        <f aca="false">IF(C1686="","",IF(LEFT(D1686,1)="⚠","⚠ RUT no registrado en Trabajadores",IF(B1686="","⚠ Falta el mes",IF(OR(ISTEXT(I1686),ISTEXT(J1686)),"⚠ Atrasos u horas extra como texto: escriba hh:mm (ej. 1:30)",IF(AND(ISNUMBER(Q1686),COUNTIFS(M_RUTN,V1686,M_MES,B1686,M_LIQ,"&lt;&gt;")&gt;1),"⚠ Liquidación repetida en el mes",IF(AND(ISNUMBER(O1686),ISNUMBER(P1686),ISNUMBER(Q1686),ABS(O1686-P1686-Q1686)&gt;1),"⚠ Haberes − descuentos no da el líquido","OK"))))))</f>
        <v/>
      </c>
      <c r="V1686" s="62" t="str">
        <f aca="false">IF(C1686="","",IFERROR(VALUE(LEFT(UPPER(SUBSTITUTE(SUBSTITUTE(SUBSTITUTE(TRIM(C1686),".",""),"-","")," ","")),LEN(UPPER(SUBSTITUTE(SUBSTITUTE(SUBSTITUTE(TRIM(C1686),".",""),"-","")," ","")))-1))&amp;RIGHT(UPPER(SUBSTITUTE(SUBSTITUTE(SUBSTITUTE(TRIM(C1686),".",""),"-","")," ","")),1),UPPER(SUBSTITUTE(SUBSTITUTE(SUBSTITUTE(TRIM(C1686),".",""),"-","")," ",""))))</f>
        <v/>
      </c>
    </row>
    <row r="1687" customFormat="false" ht="15" hidden="false" customHeight="false" outlineLevel="0" collapsed="false">
      <c r="B1687" s="80"/>
      <c r="C1687" s="58"/>
      <c r="D1687" s="62" t="str">
        <f aca="false">IF(C1687="","",IFERROR(INDEX(T_NOMBRE,MATCH(V1687,T_RUTN,0)),"⚠ RUT no está en Trabajadores"))</f>
        <v/>
      </c>
      <c r="E1687" s="61"/>
      <c r="F1687" s="61"/>
      <c r="G1687" s="61"/>
      <c r="H1687" s="61"/>
      <c r="I1687" s="81"/>
      <c r="J1687" s="81"/>
      <c r="K1687" s="60"/>
      <c r="L1687" s="60"/>
      <c r="M1687" s="60"/>
      <c r="N1687" s="60"/>
      <c r="O1687" s="60"/>
      <c r="P1687" s="60"/>
      <c r="Q1687" s="60"/>
      <c r="R1687" s="58"/>
      <c r="S1687" s="62" t="str">
        <f aca="false">IF(OR(B1687="",V1687=""),"",IFERROR(INDEX(C_TIPO,MATCH(V1687&amp;"-P"&amp;MAX(1,COUNTIFS(C_RUTN,V1687,C_DEF,"Sí",C_INI,"&lt;="&amp;EOMONTH(B1687,0))),C_CLAVE,0))&amp;"","Sin contrato"))</f>
        <v/>
      </c>
      <c r="T1687" s="63" t="str">
        <f aca="false">IF(OR(B1687="",N(O1687)=0),"",N(O1687)+ROUND(MIN(N(N1687),TOPE_UF*UF_MES)*(TASA_EMP+MUTUAL),0)+ROUND(MIN(N(N1687),TOPE_AFC_UF*UF_MES)*IF(S1687="Indefinido",AFC_INDEF,AFC_PF),0))</f>
        <v/>
      </c>
      <c r="U1687" s="62" t="str">
        <f aca="false">IF(C1687="","",IF(LEFT(D1687,1)="⚠","⚠ RUT no registrado en Trabajadores",IF(B1687="","⚠ Falta el mes",IF(OR(ISTEXT(I1687),ISTEXT(J1687)),"⚠ Atrasos u horas extra como texto: escriba hh:mm (ej. 1:30)",IF(AND(ISNUMBER(Q1687),COUNTIFS(M_RUTN,V1687,M_MES,B1687,M_LIQ,"&lt;&gt;")&gt;1),"⚠ Liquidación repetida en el mes",IF(AND(ISNUMBER(O1687),ISNUMBER(P1687),ISNUMBER(Q1687),ABS(O1687-P1687-Q1687)&gt;1),"⚠ Haberes − descuentos no da el líquido","OK"))))))</f>
        <v/>
      </c>
      <c r="V1687" s="62" t="str">
        <f aca="false">IF(C1687="","",IFERROR(VALUE(LEFT(UPPER(SUBSTITUTE(SUBSTITUTE(SUBSTITUTE(TRIM(C1687),".",""),"-","")," ","")),LEN(UPPER(SUBSTITUTE(SUBSTITUTE(SUBSTITUTE(TRIM(C1687),".",""),"-","")," ","")))-1))&amp;RIGHT(UPPER(SUBSTITUTE(SUBSTITUTE(SUBSTITUTE(TRIM(C1687),".",""),"-","")," ","")),1),UPPER(SUBSTITUTE(SUBSTITUTE(SUBSTITUTE(TRIM(C1687),".",""),"-","")," ",""))))</f>
        <v/>
      </c>
    </row>
    <row r="1688" customFormat="false" ht="15" hidden="false" customHeight="false" outlineLevel="0" collapsed="false">
      <c r="B1688" s="80"/>
      <c r="C1688" s="58"/>
      <c r="D1688" s="62" t="str">
        <f aca="false">IF(C1688="","",IFERROR(INDEX(T_NOMBRE,MATCH(V1688,T_RUTN,0)),"⚠ RUT no está en Trabajadores"))</f>
        <v/>
      </c>
      <c r="E1688" s="61"/>
      <c r="F1688" s="61"/>
      <c r="G1688" s="61"/>
      <c r="H1688" s="61"/>
      <c r="I1688" s="81"/>
      <c r="J1688" s="81"/>
      <c r="K1688" s="60"/>
      <c r="L1688" s="60"/>
      <c r="M1688" s="60"/>
      <c r="N1688" s="60"/>
      <c r="O1688" s="60"/>
      <c r="P1688" s="60"/>
      <c r="Q1688" s="60"/>
      <c r="R1688" s="58"/>
      <c r="S1688" s="62" t="str">
        <f aca="false">IF(OR(B1688="",V1688=""),"",IFERROR(INDEX(C_TIPO,MATCH(V1688&amp;"-P"&amp;MAX(1,COUNTIFS(C_RUTN,V1688,C_DEF,"Sí",C_INI,"&lt;="&amp;EOMONTH(B1688,0))),C_CLAVE,0))&amp;"","Sin contrato"))</f>
        <v/>
      </c>
      <c r="T1688" s="63" t="str">
        <f aca="false">IF(OR(B1688="",N(O1688)=0),"",N(O1688)+ROUND(MIN(N(N1688),TOPE_UF*UF_MES)*(TASA_EMP+MUTUAL),0)+ROUND(MIN(N(N1688),TOPE_AFC_UF*UF_MES)*IF(S1688="Indefinido",AFC_INDEF,AFC_PF),0))</f>
        <v/>
      </c>
      <c r="U1688" s="62" t="str">
        <f aca="false">IF(C1688="","",IF(LEFT(D1688,1)="⚠","⚠ RUT no registrado en Trabajadores",IF(B1688="","⚠ Falta el mes",IF(OR(ISTEXT(I1688),ISTEXT(J1688)),"⚠ Atrasos u horas extra como texto: escriba hh:mm (ej. 1:30)",IF(AND(ISNUMBER(Q1688),COUNTIFS(M_RUTN,V1688,M_MES,B1688,M_LIQ,"&lt;&gt;")&gt;1),"⚠ Liquidación repetida en el mes",IF(AND(ISNUMBER(O1688),ISNUMBER(P1688),ISNUMBER(Q1688),ABS(O1688-P1688-Q1688)&gt;1),"⚠ Haberes − descuentos no da el líquido","OK"))))))</f>
        <v/>
      </c>
      <c r="V1688" s="62" t="str">
        <f aca="false">IF(C1688="","",IFERROR(VALUE(LEFT(UPPER(SUBSTITUTE(SUBSTITUTE(SUBSTITUTE(TRIM(C1688),".",""),"-","")," ","")),LEN(UPPER(SUBSTITUTE(SUBSTITUTE(SUBSTITUTE(TRIM(C1688),".",""),"-","")," ","")))-1))&amp;RIGHT(UPPER(SUBSTITUTE(SUBSTITUTE(SUBSTITUTE(TRIM(C1688),".",""),"-","")," ","")),1),UPPER(SUBSTITUTE(SUBSTITUTE(SUBSTITUTE(TRIM(C1688),".",""),"-","")," ",""))))</f>
        <v/>
      </c>
    </row>
    <row r="1689" customFormat="false" ht="15" hidden="false" customHeight="false" outlineLevel="0" collapsed="false">
      <c r="B1689" s="80"/>
      <c r="C1689" s="58"/>
      <c r="D1689" s="62" t="str">
        <f aca="false">IF(C1689="","",IFERROR(INDEX(T_NOMBRE,MATCH(V1689,T_RUTN,0)),"⚠ RUT no está en Trabajadores"))</f>
        <v/>
      </c>
      <c r="E1689" s="61"/>
      <c r="F1689" s="61"/>
      <c r="G1689" s="61"/>
      <c r="H1689" s="61"/>
      <c r="I1689" s="81"/>
      <c r="J1689" s="81"/>
      <c r="K1689" s="60"/>
      <c r="L1689" s="60"/>
      <c r="M1689" s="60"/>
      <c r="N1689" s="60"/>
      <c r="O1689" s="60"/>
      <c r="P1689" s="60"/>
      <c r="Q1689" s="60"/>
      <c r="R1689" s="58"/>
      <c r="S1689" s="62" t="str">
        <f aca="false">IF(OR(B1689="",V1689=""),"",IFERROR(INDEX(C_TIPO,MATCH(V1689&amp;"-P"&amp;MAX(1,COUNTIFS(C_RUTN,V1689,C_DEF,"Sí",C_INI,"&lt;="&amp;EOMONTH(B1689,0))),C_CLAVE,0))&amp;"","Sin contrato"))</f>
        <v/>
      </c>
      <c r="T1689" s="63" t="str">
        <f aca="false">IF(OR(B1689="",N(O1689)=0),"",N(O1689)+ROUND(MIN(N(N1689),TOPE_UF*UF_MES)*(TASA_EMP+MUTUAL),0)+ROUND(MIN(N(N1689),TOPE_AFC_UF*UF_MES)*IF(S1689="Indefinido",AFC_INDEF,AFC_PF),0))</f>
        <v/>
      </c>
      <c r="U1689" s="62" t="str">
        <f aca="false">IF(C1689="","",IF(LEFT(D1689,1)="⚠","⚠ RUT no registrado en Trabajadores",IF(B1689="","⚠ Falta el mes",IF(OR(ISTEXT(I1689),ISTEXT(J1689)),"⚠ Atrasos u horas extra como texto: escriba hh:mm (ej. 1:30)",IF(AND(ISNUMBER(Q1689),COUNTIFS(M_RUTN,V1689,M_MES,B1689,M_LIQ,"&lt;&gt;")&gt;1),"⚠ Liquidación repetida en el mes",IF(AND(ISNUMBER(O1689),ISNUMBER(P1689),ISNUMBER(Q1689),ABS(O1689-P1689-Q1689)&gt;1),"⚠ Haberes − descuentos no da el líquido","OK"))))))</f>
        <v/>
      </c>
      <c r="V1689" s="62" t="str">
        <f aca="false">IF(C1689="","",IFERROR(VALUE(LEFT(UPPER(SUBSTITUTE(SUBSTITUTE(SUBSTITUTE(TRIM(C1689),".",""),"-","")," ","")),LEN(UPPER(SUBSTITUTE(SUBSTITUTE(SUBSTITUTE(TRIM(C1689),".",""),"-","")," ","")))-1))&amp;RIGHT(UPPER(SUBSTITUTE(SUBSTITUTE(SUBSTITUTE(TRIM(C1689),".",""),"-","")," ","")),1),UPPER(SUBSTITUTE(SUBSTITUTE(SUBSTITUTE(TRIM(C1689),".",""),"-","")," ",""))))</f>
        <v/>
      </c>
    </row>
    <row r="1690" customFormat="false" ht="15" hidden="false" customHeight="false" outlineLevel="0" collapsed="false">
      <c r="B1690" s="80"/>
      <c r="C1690" s="58"/>
      <c r="D1690" s="62" t="str">
        <f aca="false">IF(C1690="","",IFERROR(INDEX(T_NOMBRE,MATCH(V1690,T_RUTN,0)),"⚠ RUT no está en Trabajadores"))</f>
        <v/>
      </c>
      <c r="E1690" s="61"/>
      <c r="F1690" s="61"/>
      <c r="G1690" s="61"/>
      <c r="H1690" s="61"/>
      <c r="I1690" s="81"/>
      <c r="J1690" s="81"/>
      <c r="K1690" s="60"/>
      <c r="L1690" s="60"/>
      <c r="M1690" s="60"/>
      <c r="N1690" s="60"/>
      <c r="O1690" s="60"/>
      <c r="P1690" s="60"/>
      <c r="Q1690" s="60"/>
      <c r="R1690" s="58"/>
      <c r="S1690" s="62" t="str">
        <f aca="false">IF(OR(B1690="",V1690=""),"",IFERROR(INDEX(C_TIPO,MATCH(V1690&amp;"-P"&amp;MAX(1,COUNTIFS(C_RUTN,V1690,C_DEF,"Sí",C_INI,"&lt;="&amp;EOMONTH(B1690,0))),C_CLAVE,0))&amp;"","Sin contrato"))</f>
        <v/>
      </c>
      <c r="T1690" s="63" t="str">
        <f aca="false">IF(OR(B1690="",N(O1690)=0),"",N(O1690)+ROUND(MIN(N(N1690),TOPE_UF*UF_MES)*(TASA_EMP+MUTUAL),0)+ROUND(MIN(N(N1690),TOPE_AFC_UF*UF_MES)*IF(S1690="Indefinido",AFC_INDEF,AFC_PF),0))</f>
        <v/>
      </c>
      <c r="U1690" s="62" t="str">
        <f aca="false">IF(C1690="","",IF(LEFT(D1690,1)="⚠","⚠ RUT no registrado en Trabajadores",IF(B1690="","⚠ Falta el mes",IF(OR(ISTEXT(I1690),ISTEXT(J1690)),"⚠ Atrasos u horas extra como texto: escriba hh:mm (ej. 1:30)",IF(AND(ISNUMBER(Q1690),COUNTIFS(M_RUTN,V1690,M_MES,B1690,M_LIQ,"&lt;&gt;")&gt;1),"⚠ Liquidación repetida en el mes",IF(AND(ISNUMBER(O1690),ISNUMBER(P1690),ISNUMBER(Q1690),ABS(O1690-P1690-Q1690)&gt;1),"⚠ Haberes − descuentos no da el líquido","OK"))))))</f>
        <v/>
      </c>
      <c r="V1690" s="62" t="str">
        <f aca="false">IF(C1690="","",IFERROR(VALUE(LEFT(UPPER(SUBSTITUTE(SUBSTITUTE(SUBSTITUTE(TRIM(C1690),".",""),"-","")," ","")),LEN(UPPER(SUBSTITUTE(SUBSTITUTE(SUBSTITUTE(TRIM(C1690),".",""),"-","")," ","")))-1))&amp;RIGHT(UPPER(SUBSTITUTE(SUBSTITUTE(SUBSTITUTE(TRIM(C1690),".",""),"-","")," ","")),1),UPPER(SUBSTITUTE(SUBSTITUTE(SUBSTITUTE(TRIM(C1690),".",""),"-","")," ",""))))</f>
        <v/>
      </c>
    </row>
    <row r="1691" customFormat="false" ht="15" hidden="false" customHeight="false" outlineLevel="0" collapsed="false">
      <c r="B1691" s="80"/>
      <c r="C1691" s="58"/>
      <c r="D1691" s="62" t="str">
        <f aca="false">IF(C1691="","",IFERROR(INDEX(T_NOMBRE,MATCH(V1691,T_RUTN,0)),"⚠ RUT no está en Trabajadores"))</f>
        <v/>
      </c>
      <c r="E1691" s="61"/>
      <c r="F1691" s="61"/>
      <c r="G1691" s="61"/>
      <c r="H1691" s="61"/>
      <c r="I1691" s="81"/>
      <c r="J1691" s="81"/>
      <c r="K1691" s="60"/>
      <c r="L1691" s="60"/>
      <c r="M1691" s="60"/>
      <c r="N1691" s="60"/>
      <c r="O1691" s="60"/>
      <c r="P1691" s="60"/>
      <c r="Q1691" s="60"/>
      <c r="R1691" s="58"/>
      <c r="S1691" s="62" t="str">
        <f aca="false">IF(OR(B1691="",V1691=""),"",IFERROR(INDEX(C_TIPO,MATCH(V1691&amp;"-P"&amp;MAX(1,COUNTIFS(C_RUTN,V1691,C_DEF,"Sí",C_INI,"&lt;="&amp;EOMONTH(B1691,0))),C_CLAVE,0))&amp;"","Sin contrato"))</f>
        <v/>
      </c>
      <c r="T1691" s="63" t="str">
        <f aca="false">IF(OR(B1691="",N(O1691)=0),"",N(O1691)+ROUND(MIN(N(N1691),TOPE_UF*UF_MES)*(TASA_EMP+MUTUAL),0)+ROUND(MIN(N(N1691),TOPE_AFC_UF*UF_MES)*IF(S1691="Indefinido",AFC_INDEF,AFC_PF),0))</f>
        <v/>
      </c>
      <c r="U1691" s="62" t="str">
        <f aca="false">IF(C1691="","",IF(LEFT(D1691,1)="⚠","⚠ RUT no registrado en Trabajadores",IF(B1691="","⚠ Falta el mes",IF(OR(ISTEXT(I1691),ISTEXT(J1691)),"⚠ Atrasos u horas extra como texto: escriba hh:mm (ej. 1:30)",IF(AND(ISNUMBER(Q1691),COUNTIFS(M_RUTN,V1691,M_MES,B1691,M_LIQ,"&lt;&gt;")&gt;1),"⚠ Liquidación repetida en el mes",IF(AND(ISNUMBER(O1691),ISNUMBER(P1691),ISNUMBER(Q1691),ABS(O1691-P1691-Q1691)&gt;1),"⚠ Haberes − descuentos no da el líquido","OK"))))))</f>
        <v/>
      </c>
      <c r="V1691" s="62" t="str">
        <f aca="false">IF(C1691="","",IFERROR(VALUE(LEFT(UPPER(SUBSTITUTE(SUBSTITUTE(SUBSTITUTE(TRIM(C1691),".",""),"-","")," ","")),LEN(UPPER(SUBSTITUTE(SUBSTITUTE(SUBSTITUTE(TRIM(C1691),".",""),"-","")," ","")))-1))&amp;RIGHT(UPPER(SUBSTITUTE(SUBSTITUTE(SUBSTITUTE(TRIM(C1691),".",""),"-","")," ","")),1),UPPER(SUBSTITUTE(SUBSTITUTE(SUBSTITUTE(TRIM(C1691),".",""),"-","")," ",""))))</f>
        <v/>
      </c>
    </row>
    <row r="1692" customFormat="false" ht="15" hidden="false" customHeight="false" outlineLevel="0" collapsed="false">
      <c r="B1692" s="80"/>
      <c r="C1692" s="58"/>
      <c r="D1692" s="62" t="str">
        <f aca="false">IF(C1692="","",IFERROR(INDEX(T_NOMBRE,MATCH(V1692,T_RUTN,0)),"⚠ RUT no está en Trabajadores"))</f>
        <v/>
      </c>
      <c r="E1692" s="61"/>
      <c r="F1692" s="61"/>
      <c r="G1692" s="61"/>
      <c r="H1692" s="61"/>
      <c r="I1692" s="81"/>
      <c r="J1692" s="81"/>
      <c r="K1692" s="60"/>
      <c r="L1692" s="60"/>
      <c r="M1692" s="60"/>
      <c r="N1692" s="60"/>
      <c r="O1692" s="60"/>
      <c r="P1692" s="60"/>
      <c r="Q1692" s="60"/>
      <c r="R1692" s="58"/>
      <c r="S1692" s="62" t="str">
        <f aca="false">IF(OR(B1692="",V1692=""),"",IFERROR(INDEX(C_TIPO,MATCH(V1692&amp;"-P"&amp;MAX(1,COUNTIFS(C_RUTN,V1692,C_DEF,"Sí",C_INI,"&lt;="&amp;EOMONTH(B1692,0))),C_CLAVE,0))&amp;"","Sin contrato"))</f>
        <v/>
      </c>
      <c r="T1692" s="63" t="str">
        <f aca="false">IF(OR(B1692="",N(O1692)=0),"",N(O1692)+ROUND(MIN(N(N1692),TOPE_UF*UF_MES)*(TASA_EMP+MUTUAL),0)+ROUND(MIN(N(N1692),TOPE_AFC_UF*UF_MES)*IF(S1692="Indefinido",AFC_INDEF,AFC_PF),0))</f>
        <v/>
      </c>
      <c r="U1692" s="62" t="str">
        <f aca="false">IF(C1692="","",IF(LEFT(D1692,1)="⚠","⚠ RUT no registrado en Trabajadores",IF(B1692="","⚠ Falta el mes",IF(OR(ISTEXT(I1692),ISTEXT(J1692)),"⚠ Atrasos u horas extra como texto: escriba hh:mm (ej. 1:30)",IF(AND(ISNUMBER(Q1692),COUNTIFS(M_RUTN,V1692,M_MES,B1692,M_LIQ,"&lt;&gt;")&gt;1),"⚠ Liquidación repetida en el mes",IF(AND(ISNUMBER(O1692),ISNUMBER(P1692),ISNUMBER(Q1692),ABS(O1692-P1692-Q1692)&gt;1),"⚠ Haberes − descuentos no da el líquido","OK"))))))</f>
        <v/>
      </c>
      <c r="V1692" s="62" t="str">
        <f aca="false">IF(C1692="","",IFERROR(VALUE(LEFT(UPPER(SUBSTITUTE(SUBSTITUTE(SUBSTITUTE(TRIM(C1692),".",""),"-","")," ","")),LEN(UPPER(SUBSTITUTE(SUBSTITUTE(SUBSTITUTE(TRIM(C1692),".",""),"-","")," ","")))-1))&amp;RIGHT(UPPER(SUBSTITUTE(SUBSTITUTE(SUBSTITUTE(TRIM(C1692),".",""),"-","")," ","")),1),UPPER(SUBSTITUTE(SUBSTITUTE(SUBSTITUTE(TRIM(C1692),".",""),"-","")," ",""))))</f>
        <v/>
      </c>
    </row>
    <row r="1693" customFormat="false" ht="15" hidden="false" customHeight="false" outlineLevel="0" collapsed="false">
      <c r="B1693" s="80"/>
      <c r="C1693" s="58"/>
      <c r="D1693" s="62" t="str">
        <f aca="false">IF(C1693="","",IFERROR(INDEX(T_NOMBRE,MATCH(V1693,T_RUTN,0)),"⚠ RUT no está en Trabajadores"))</f>
        <v/>
      </c>
      <c r="E1693" s="61"/>
      <c r="F1693" s="61"/>
      <c r="G1693" s="61"/>
      <c r="H1693" s="61"/>
      <c r="I1693" s="81"/>
      <c r="J1693" s="81"/>
      <c r="K1693" s="60"/>
      <c r="L1693" s="60"/>
      <c r="M1693" s="60"/>
      <c r="N1693" s="60"/>
      <c r="O1693" s="60"/>
      <c r="P1693" s="60"/>
      <c r="Q1693" s="60"/>
      <c r="R1693" s="58"/>
      <c r="S1693" s="62" t="str">
        <f aca="false">IF(OR(B1693="",V1693=""),"",IFERROR(INDEX(C_TIPO,MATCH(V1693&amp;"-P"&amp;MAX(1,COUNTIFS(C_RUTN,V1693,C_DEF,"Sí",C_INI,"&lt;="&amp;EOMONTH(B1693,0))),C_CLAVE,0))&amp;"","Sin contrato"))</f>
        <v/>
      </c>
      <c r="T1693" s="63" t="str">
        <f aca="false">IF(OR(B1693="",N(O1693)=0),"",N(O1693)+ROUND(MIN(N(N1693),TOPE_UF*UF_MES)*(TASA_EMP+MUTUAL),0)+ROUND(MIN(N(N1693),TOPE_AFC_UF*UF_MES)*IF(S1693="Indefinido",AFC_INDEF,AFC_PF),0))</f>
        <v/>
      </c>
      <c r="U1693" s="62" t="str">
        <f aca="false">IF(C1693="","",IF(LEFT(D1693,1)="⚠","⚠ RUT no registrado en Trabajadores",IF(B1693="","⚠ Falta el mes",IF(OR(ISTEXT(I1693),ISTEXT(J1693)),"⚠ Atrasos u horas extra como texto: escriba hh:mm (ej. 1:30)",IF(AND(ISNUMBER(Q1693),COUNTIFS(M_RUTN,V1693,M_MES,B1693,M_LIQ,"&lt;&gt;")&gt;1),"⚠ Liquidación repetida en el mes",IF(AND(ISNUMBER(O1693),ISNUMBER(P1693),ISNUMBER(Q1693),ABS(O1693-P1693-Q1693)&gt;1),"⚠ Haberes − descuentos no da el líquido","OK"))))))</f>
        <v/>
      </c>
      <c r="V1693" s="62" t="str">
        <f aca="false">IF(C1693="","",IFERROR(VALUE(LEFT(UPPER(SUBSTITUTE(SUBSTITUTE(SUBSTITUTE(TRIM(C1693),".",""),"-","")," ","")),LEN(UPPER(SUBSTITUTE(SUBSTITUTE(SUBSTITUTE(TRIM(C1693),".",""),"-","")," ","")))-1))&amp;RIGHT(UPPER(SUBSTITUTE(SUBSTITUTE(SUBSTITUTE(TRIM(C1693),".",""),"-","")," ","")),1),UPPER(SUBSTITUTE(SUBSTITUTE(SUBSTITUTE(TRIM(C1693),".",""),"-","")," ",""))))</f>
        <v/>
      </c>
    </row>
    <row r="1694" customFormat="false" ht="15" hidden="false" customHeight="false" outlineLevel="0" collapsed="false">
      <c r="B1694" s="80"/>
      <c r="C1694" s="58"/>
      <c r="D1694" s="62" t="str">
        <f aca="false">IF(C1694="","",IFERROR(INDEX(T_NOMBRE,MATCH(V1694,T_RUTN,0)),"⚠ RUT no está en Trabajadores"))</f>
        <v/>
      </c>
      <c r="E1694" s="61"/>
      <c r="F1694" s="61"/>
      <c r="G1694" s="61"/>
      <c r="H1694" s="61"/>
      <c r="I1694" s="81"/>
      <c r="J1694" s="81"/>
      <c r="K1694" s="60"/>
      <c r="L1694" s="60"/>
      <c r="M1694" s="60"/>
      <c r="N1694" s="60"/>
      <c r="O1694" s="60"/>
      <c r="P1694" s="60"/>
      <c r="Q1694" s="60"/>
      <c r="R1694" s="58"/>
      <c r="S1694" s="62" t="str">
        <f aca="false">IF(OR(B1694="",V1694=""),"",IFERROR(INDEX(C_TIPO,MATCH(V1694&amp;"-P"&amp;MAX(1,COUNTIFS(C_RUTN,V1694,C_DEF,"Sí",C_INI,"&lt;="&amp;EOMONTH(B1694,0))),C_CLAVE,0))&amp;"","Sin contrato"))</f>
        <v/>
      </c>
      <c r="T1694" s="63" t="str">
        <f aca="false">IF(OR(B1694="",N(O1694)=0),"",N(O1694)+ROUND(MIN(N(N1694),TOPE_UF*UF_MES)*(TASA_EMP+MUTUAL),0)+ROUND(MIN(N(N1694),TOPE_AFC_UF*UF_MES)*IF(S1694="Indefinido",AFC_INDEF,AFC_PF),0))</f>
        <v/>
      </c>
      <c r="U1694" s="62" t="str">
        <f aca="false">IF(C1694="","",IF(LEFT(D1694,1)="⚠","⚠ RUT no registrado en Trabajadores",IF(B1694="","⚠ Falta el mes",IF(OR(ISTEXT(I1694),ISTEXT(J1694)),"⚠ Atrasos u horas extra como texto: escriba hh:mm (ej. 1:30)",IF(AND(ISNUMBER(Q1694),COUNTIFS(M_RUTN,V1694,M_MES,B1694,M_LIQ,"&lt;&gt;")&gt;1),"⚠ Liquidación repetida en el mes",IF(AND(ISNUMBER(O1694),ISNUMBER(P1694),ISNUMBER(Q1694),ABS(O1694-P1694-Q1694)&gt;1),"⚠ Haberes − descuentos no da el líquido","OK"))))))</f>
        <v/>
      </c>
      <c r="V1694" s="62" t="str">
        <f aca="false">IF(C1694="","",IFERROR(VALUE(LEFT(UPPER(SUBSTITUTE(SUBSTITUTE(SUBSTITUTE(TRIM(C1694),".",""),"-","")," ","")),LEN(UPPER(SUBSTITUTE(SUBSTITUTE(SUBSTITUTE(TRIM(C1694),".",""),"-","")," ","")))-1))&amp;RIGHT(UPPER(SUBSTITUTE(SUBSTITUTE(SUBSTITUTE(TRIM(C1694),".",""),"-","")," ","")),1),UPPER(SUBSTITUTE(SUBSTITUTE(SUBSTITUTE(TRIM(C1694),".",""),"-","")," ",""))))</f>
        <v/>
      </c>
    </row>
    <row r="1695" customFormat="false" ht="15" hidden="false" customHeight="false" outlineLevel="0" collapsed="false">
      <c r="B1695" s="80"/>
      <c r="C1695" s="58"/>
      <c r="D1695" s="62" t="str">
        <f aca="false">IF(C1695="","",IFERROR(INDEX(T_NOMBRE,MATCH(V1695,T_RUTN,0)),"⚠ RUT no está en Trabajadores"))</f>
        <v/>
      </c>
      <c r="E1695" s="61"/>
      <c r="F1695" s="61"/>
      <c r="G1695" s="61"/>
      <c r="H1695" s="61"/>
      <c r="I1695" s="81"/>
      <c r="J1695" s="81"/>
      <c r="K1695" s="60"/>
      <c r="L1695" s="60"/>
      <c r="M1695" s="60"/>
      <c r="N1695" s="60"/>
      <c r="O1695" s="60"/>
      <c r="P1695" s="60"/>
      <c r="Q1695" s="60"/>
      <c r="R1695" s="58"/>
      <c r="S1695" s="62" t="str">
        <f aca="false">IF(OR(B1695="",V1695=""),"",IFERROR(INDEX(C_TIPO,MATCH(V1695&amp;"-P"&amp;MAX(1,COUNTIFS(C_RUTN,V1695,C_DEF,"Sí",C_INI,"&lt;="&amp;EOMONTH(B1695,0))),C_CLAVE,0))&amp;"","Sin contrato"))</f>
        <v/>
      </c>
      <c r="T1695" s="63" t="str">
        <f aca="false">IF(OR(B1695="",N(O1695)=0),"",N(O1695)+ROUND(MIN(N(N1695),TOPE_UF*UF_MES)*(TASA_EMP+MUTUAL),0)+ROUND(MIN(N(N1695),TOPE_AFC_UF*UF_MES)*IF(S1695="Indefinido",AFC_INDEF,AFC_PF),0))</f>
        <v/>
      </c>
      <c r="U1695" s="62" t="str">
        <f aca="false">IF(C1695="","",IF(LEFT(D1695,1)="⚠","⚠ RUT no registrado en Trabajadores",IF(B1695="","⚠ Falta el mes",IF(OR(ISTEXT(I1695),ISTEXT(J1695)),"⚠ Atrasos u horas extra como texto: escriba hh:mm (ej. 1:30)",IF(AND(ISNUMBER(Q1695),COUNTIFS(M_RUTN,V1695,M_MES,B1695,M_LIQ,"&lt;&gt;")&gt;1),"⚠ Liquidación repetida en el mes",IF(AND(ISNUMBER(O1695),ISNUMBER(P1695),ISNUMBER(Q1695),ABS(O1695-P1695-Q1695)&gt;1),"⚠ Haberes − descuentos no da el líquido","OK"))))))</f>
        <v/>
      </c>
      <c r="V1695" s="62" t="str">
        <f aca="false">IF(C1695="","",IFERROR(VALUE(LEFT(UPPER(SUBSTITUTE(SUBSTITUTE(SUBSTITUTE(TRIM(C1695),".",""),"-","")," ","")),LEN(UPPER(SUBSTITUTE(SUBSTITUTE(SUBSTITUTE(TRIM(C1695),".",""),"-","")," ","")))-1))&amp;RIGHT(UPPER(SUBSTITUTE(SUBSTITUTE(SUBSTITUTE(TRIM(C1695),".",""),"-","")," ","")),1),UPPER(SUBSTITUTE(SUBSTITUTE(SUBSTITUTE(TRIM(C1695),".",""),"-","")," ",""))))</f>
        <v/>
      </c>
    </row>
    <row r="1696" customFormat="false" ht="15" hidden="false" customHeight="false" outlineLevel="0" collapsed="false">
      <c r="B1696" s="80"/>
      <c r="C1696" s="58"/>
      <c r="D1696" s="62" t="str">
        <f aca="false">IF(C1696="","",IFERROR(INDEX(T_NOMBRE,MATCH(V1696,T_RUTN,0)),"⚠ RUT no está en Trabajadores"))</f>
        <v/>
      </c>
      <c r="E1696" s="61"/>
      <c r="F1696" s="61"/>
      <c r="G1696" s="61"/>
      <c r="H1696" s="61"/>
      <c r="I1696" s="81"/>
      <c r="J1696" s="81"/>
      <c r="K1696" s="60"/>
      <c r="L1696" s="60"/>
      <c r="M1696" s="60"/>
      <c r="N1696" s="60"/>
      <c r="O1696" s="60"/>
      <c r="P1696" s="60"/>
      <c r="Q1696" s="60"/>
      <c r="R1696" s="58"/>
      <c r="S1696" s="62" t="str">
        <f aca="false">IF(OR(B1696="",V1696=""),"",IFERROR(INDEX(C_TIPO,MATCH(V1696&amp;"-P"&amp;MAX(1,COUNTIFS(C_RUTN,V1696,C_DEF,"Sí",C_INI,"&lt;="&amp;EOMONTH(B1696,0))),C_CLAVE,0))&amp;"","Sin contrato"))</f>
        <v/>
      </c>
      <c r="T1696" s="63" t="str">
        <f aca="false">IF(OR(B1696="",N(O1696)=0),"",N(O1696)+ROUND(MIN(N(N1696),TOPE_UF*UF_MES)*(TASA_EMP+MUTUAL),0)+ROUND(MIN(N(N1696),TOPE_AFC_UF*UF_MES)*IF(S1696="Indefinido",AFC_INDEF,AFC_PF),0))</f>
        <v/>
      </c>
      <c r="U1696" s="62" t="str">
        <f aca="false">IF(C1696="","",IF(LEFT(D1696,1)="⚠","⚠ RUT no registrado en Trabajadores",IF(B1696="","⚠ Falta el mes",IF(OR(ISTEXT(I1696),ISTEXT(J1696)),"⚠ Atrasos u horas extra como texto: escriba hh:mm (ej. 1:30)",IF(AND(ISNUMBER(Q1696),COUNTIFS(M_RUTN,V1696,M_MES,B1696,M_LIQ,"&lt;&gt;")&gt;1),"⚠ Liquidación repetida en el mes",IF(AND(ISNUMBER(O1696),ISNUMBER(P1696),ISNUMBER(Q1696),ABS(O1696-P1696-Q1696)&gt;1),"⚠ Haberes − descuentos no da el líquido","OK"))))))</f>
        <v/>
      </c>
      <c r="V1696" s="62" t="str">
        <f aca="false">IF(C1696="","",IFERROR(VALUE(LEFT(UPPER(SUBSTITUTE(SUBSTITUTE(SUBSTITUTE(TRIM(C1696),".",""),"-","")," ","")),LEN(UPPER(SUBSTITUTE(SUBSTITUTE(SUBSTITUTE(TRIM(C1696),".",""),"-","")," ","")))-1))&amp;RIGHT(UPPER(SUBSTITUTE(SUBSTITUTE(SUBSTITUTE(TRIM(C1696),".",""),"-","")," ","")),1),UPPER(SUBSTITUTE(SUBSTITUTE(SUBSTITUTE(TRIM(C1696),".",""),"-","")," ",""))))</f>
        <v/>
      </c>
    </row>
    <row r="1697" customFormat="false" ht="15" hidden="false" customHeight="false" outlineLevel="0" collapsed="false">
      <c r="B1697" s="80"/>
      <c r="C1697" s="58"/>
      <c r="D1697" s="62" t="str">
        <f aca="false">IF(C1697="","",IFERROR(INDEX(T_NOMBRE,MATCH(V1697,T_RUTN,0)),"⚠ RUT no está en Trabajadores"))</f>
        <v/>
      </c>
      <c r="E1697" s="61"/>
      <c r="F1697" s="61"/>
      <c r="G1697" s="61"/>
      <c r="H1697" s="61"/>
      <c r="I1697" s="81"/>
      <c r="J1697" s="81"/>
      <c r="K1697" s="60"/>
      <c r="L1697" s="60"/>
      <c r="M1697" s="60"/>
      <c r="N1697" s="60"/>
      <c r="O1697" s="60"/>
      <c r="P1697" s="60"/>
      <c r="Q1697" s="60"/>
      <c r="R1697" s="58"/>
      <c r="S1697" s="62" t="str">
        <f aca="false">IF(OR(B1697="",V1697=""),"",IFERROR(INDEX(C_TIPO,MATCH(V1697&amp;"-P"&amp;MAX(1,COUNTIFS(C_RUTN,V1697,C_DEF,"Sí",C_INI,"&lt;="&amp;EOMONTH(B1697,0))),C_CLAVE,0))&amp;"","Sin contrato"))</f>
        <v/>
      </c>
      <c r="T1697" s="63" t="str">
        <f aca="false">IF(OR(B1697="",N(O1697)=0),"",N(O1697)+ROUND(MIN(N(N1697),TOPE_UF*UF_MES)*(TASA_EMP+MUTUAL),0)+ROUND(MIN(N(N1697),TOPE_AFC_UF*UF_MES)*IF(S1697="Indefinido",AFC_INDEF,AFC_PF),0))</f>
        <v/>
      </c>
      <c r="U1697" s="62" t="str">
        <f aca="false">IF(C1697="","",IF(LEFT(D1697,1)="⚠","⚠ RUT no registrado en Trabajadores",IF(B1697="","⚠ Falta el mes",IF(OR(ISTEXT(I1697),ISTEXT(J1697)),"⚠ Atrasos u horas extra como texto: escriba hh:mm (ej. 1:30)",IF(AND(ISNUMBER(Q1697),COUNTIFS(M_RUTN,V1697,M_MES,B1697,M_LIQ,"&lt;&gt;")&gt;1),"⚠ Liquidación repetida en el mes",IF(AND(ISNUMBER(O1697),ISNUMBER(P1697),ISNUMBER(Q1697),ABS(O1697-P1697-Q1697)&gt;1),"⚠ Haberes − descuentos no da el líquido","OK"))))))</f>
        <v/>
      </c>
      <c r="V1697" s="62" t="str">
        <f aca="false">IF(C1697="","",IFERROR(VALUE(LEFT(UPPER(SUBSTITUTE(SUBSTITUTE(SUBSTITUTE(TRIM(C1697),".",""),"-","")," ","")),LEN(UPPER(SUBSTITUTE(SUBSTITUTE(SUBSTITUTE(TRIM(C1697),".",""),"-","")," ","")))-1))&amp;RIGHT(UPPER(SUBSTITUTE(SUBSTITUTE(SUBSTITUTE(TRIM(C1697),".",""),"-","")," ","")),1),UPPER(SUBSTITUTE(SUBSTITUTE(SUBSTITUTE(TRIM(C1697),".",""),"-","")," ",""))))</f>
        <v/>
      </c>
    </row>
    <row r="1698" customFormat="false" ht="15" hidden="false" customHeight="false" outlineLevel="0" collapsed="false">
      <c r="B1698" s="80"/>
      <c r="C1698" s="58"/>
      <c r="D1698" s="62" t="str">
        <f aca="false">IF(C1698="","",IFERROR(INDEX(T_NOMBRE,MATCH(V1698,T_RUTN,0)),"⚠ RUT no está en Trabajadores"))</f>
        <v/>
      </c>
      <c r="E1698" s="61"/>
      <c r="F1698" s="61"/>
      <c r="G1698" s="61"/>
      <c r="H1698" s="61"/>
      <c r="I1698" s="81"/>
      <c r="J1698" s="81"/>
      <c r="K1698" s="60"/>
      <c r="L1698" s="60"/>
      <c r="M1698" s="60"/>
      <c r="N1698" s="60"/>
      <c r="O1698" s="60"/>
      <c r="P1698" s="60"/>
      <c r="Q1698" s="60"/>
      <c r="R1698" s="58"/>
      <c r="S1698" s="62" t="str">
        <f aca="false">IF(OR(B1698="",V1698=""),"",IFERROR(INDEX(C_TIPO,MATCH(V1698&amp;"-P"&amp;MAX(1,COUNTIFS(C_RUTN,V1698,C_DEF,"Sí",C_INI,"&lt;="&amp;EOMONTH(B1698,0))),C_CLAVE,0))&amp;"","Sin contrato"))</f>
        <v/>
      </c>
      <c r="T1698" s="63" t="str">
        <f aca="false">IF(OR(B1698="",N(O1698)=0),"",N(O1698)+ROUND(MIN(N(N1698),TOPE_UF*UF_MES)*(TASA_EMP+MUTUAL),0)+ROUND(MIN(N(N1698),TOPE_AFC_UF*UF_MES)*IF(S1698="Indefinido",AFC_INDEF,AFC_PF),0))</f>
        <v/>
      </c>
      <c r="U1698" s="62" t="str">
        <f aca="false">IF(C1698="","",IF(LEFT(D1698,1)="⚠","⚠ RUT no registrado en Trabajadores",IF(B1698="","⚠ Falta el mes",IF(OR(ISTEXT(I1698),ISTEXT(J1698)),"⚠ Atrasos u horas extra como texto: escriba hh:mm (ej. 1:30)",IF(AND(ISNUMBER(Q1698),COUNTIFS(M_RUTN,V1698,M_MES,B1698,M_LIQ,"&lt;&gt;")&gt;1),"⚠ Liquidación repetida en el mes",IF(AND(ISNUMBER(O1698),ISNUMBER(P1698),ISNUMBER(Q1698),ABS(O1698-P1698-Q1698)&gt;1),"⚠ Haberes − descuentos no da el líquido","OK"))))))</f>
        <v/>
      </c>
      <c r="V1698" s="62" t="str">
        <f aca="false">IF(C1698="","",IFERROR(VALUE(LEFT(UPPER(SUBSTITUTE(SUBSTITUTE(SUBSTITUTE(TRIM(C1698),".",""),"-","")," ","")),LEN(UPPER(SUBSTITUTE(SUBSTITUTE(SUBSTITUTE(TRIM(C1698),".",""),"-","")," ","")))-1))&amp;RIGHT(UPPER(SUBSTITUTE(SUBSTITUTE(SUBSTITUTE(TRIM(C1698),".",""),"-","")," ","")),1),UPPER(SUBSTITUTE(SUBSTITUTE(SUBSTITUTE(TRIM(C1698),".",""),"-","")," ",""))))</f>
        <v/>
      </c>
    </row>
    <row r="1699" customFormat="false" ht="15" hidden="false" customHeight="false" outlineLevel="0" collapsed="false">
      <c r="B1699" s="80"/>
      <c r="C1699" s="58"/>
      <c r="D1699" s="62" t="str">
        <f aca="false">IF(C1699="","",IFERROR(INDEX(T_NOMBRE,MATCH(V1699,T_RUTN,0)),"⚠ RUT no está en Trabajadores"))</f>
        <v/>
      </c>
      <c r="E1699" s="61"/>
      <c r="F1699" s="61"/>
      <c r="G1699" s="61"/>
      <c r="H1699" s="61"/>
      <c r="I1699" s="81"/>
      <c r="J1699" s="81"/>
      <c r="K1699" s="60"/>
      <c r="L1699" s="60"/>
      <c r="M1699" s="60"/>
      <c r="N1699" s="60"/>
      <c r="O1699" s="60"/>
      <c r="P1699" s="60"/>
      <c r="Q1699" s="60"/>
      <c r="R1699" s="58"/>
      <c r="S1699" s="62" t="str">
        <f aca="false">IF(OR(B1699="",V1699=""),"",IFERROR(INDEX(C_TIPO,MATCH(V1699&amp;"-P"&amp;MAX(1,COUNTIFS(C_RUTN,V1699,C_DEF,"Sí",C_INI,"&lt;="&amp;EOMONTH(B1699,0))),C_CLAVE,0))&amp;"","Sin contrato"))</f>
        <v/>
      </c>
      <c r="T1699" s="63" t="str">
        <f aca="false">IF(OR(B1699="",N(O1699)=0),"",N(O1699)+ROUND(MIN(N(N1699),TOPE_UF*UF_MES)*(TASA_EMP+MUTUAL),0)+ROUND(MIN(N(N1699),TOPE_AFC_UF*UF_MES)*IF(S1699="Indefinido",AFC_INDEF,AFC_PF),0))</f>
        <v/>
      </c>
      <c r="U1699" s="62" t="str">
        <f aca="false">IF(C1699="","",IF(LEFT(D1699,1)="⚠","⚠ RUT no registrado en Trabajadores",IF(B1699="","⚠ Falta el mes",IF(OR(ISTEXT(I1699),ISTEXT(J1699)),"⚠ Atrasos u horas extra como texto: escriba hh:mm (ej. 1:30)",IF(AND(ISNUMBER(Q1699),COUNTIFS(M_RUTN,V1699,M_MES,B1699,M_LIQ,"&lt;&gt;")&gt;1),"⚠ Liquidación repetida en el mes",IF(AND(ISNUMBER(O1699),ISNUMBER(P1699),ISNUMBER(Q1699),ABS(O1699-P1699-Q1699)&gt;1),"⚠ Haberes − descuentos no da el líquido","OK"))))))</f>
        <v/>
      </c>
      <c r="V1699" s="62" t="str">
        <f aca="false">IF(C1699="","",IFERROR(VALUE(LEFT(UPPER(SUBSTITUTE(SUBSTITUTE(SUBSTITUTE(TRIM(C1699),".",""),"-","")," ","")),LEN(UPPER(SUBSTITUTE(SUBSTITUTE(SUBSTITUTE(TRIM(C1699),".",""),"-","")," ","")))-1))&amp;RIGHT(UPPER(SUBSTITUTE(SUBSTITUTE(SUBSTITUTE(TRIM(C1699),".",""),"-","")," ","")),1),UPPER(SUBSTITUTE(SUBSTITUTE(SUBSTITUTE(TRIM(C1699),".",""),"-","")," ",""))))</f>
        <v/>
      </c>
    </row>
    <row r="1700" customFormat="false" ht="15" hidden="false" customHeight="false" outlineLevel="0" collapsed="false">
      <c r="B1700" s="80"/>
      <c r="C1700" s="58"/>
      <c r="D1700" s="62" t="str">
        <f aca="false">IF(C1700="","",IFERROR(INDEX(T_NOMBRE,MATCH(V1700,T_RUTN,0)),"⚠ RUT no está en Trabajadores"))</f>
        <v/>
      </c>
      <c r="E1700" s="61"/>
      <c r="F1700" s="61"/>
      <c r="G1700" s="61"/>
      <c r="H1700" s="61"/>
      <c r="I1700" s="81"/>
      <c r="J1700" s="81"/>
      <c r="K1700" s="60"/>
      <c r="L1700" s="60"/>
      <c r="M1700" s="60"/>
      <c r="N1700" s="60"/>
      <c r="O1700" s="60"/>
      <c r="P1700" s="60"/>
      <c r="Q1700" s="60"/>
      <c r="R1700" s="58"/>
      <c r="S1700" s="62" t="str">
        <f aca="false">IF(OR(B1700="",V1700=""),"",IFERROR(INDEX(C_TIPO,MATCH(V1700&amp;"-P"&amp;MAX(1,COUNTIFS(C_RUTN,V1700,C_DEF,"Sí",C_INI,"&lt;="&amp;EOMONTH(B1700,0))),C_CLAVE,0))&amp;"","Sin contrato"))</f>
        <v/>
      </c>
      <c r="T1700" s="63" t="str">
        <f aca="false">IF(OR(B1700="",N(O1700)=0),"",N(O1700)+ROUND(MIN(N(N1700),TOPE_UF*UF_MES)*(TASA_EMP+MUTUAL),0)+ROUND(MIN(N(N1700),TOPE_AFC_UF*UF_MES)*IF(S1700="Indefinido",AFC_INDEF,AFC_PF),0))</f>
        <v/>
      </c>
      <c r="U1700" s="62" t="str">
        <f aca="false">IF(C1700="","",IF(LEFT(D1700,1)="⚠","⚠ RUT no registrado en Trabajadores",IF(B1700="","⚠ Falta el mes",IF(OR(ISTEXT(I1700),ISTEXT(J1700)),"⚠ Atrasos u horas extra como texto: escriba hh:mm (ej. 1:30)",IF(AND(ISNUMBER(Q1700),COUNTIFS(M_RUTN,V1700,M_MES,B1700,M_LIQ,"&lt;&gt;")&gt;1),"⚠ Liquidación repetida en el mes",IF(AND(ISNUMBER(O1700),ISNUMBER(P1700),ISNUMBER(Q1700),ABS(O1700-P1700-Q1700)&gt;1),"⚠ Haberes − descuentos no da el líquido","OK"))))))</f>
        <v/>
      </c>
      <c r="V1700" s="62" t="str">
        <f aca="false">IF(C1700="","",IFERROR(VALUE(LEFT(UPPER(SUBSTITUTE(SUBSTITUTE(SUBSTITUTE(TRIM(C1700),".",""),"-","")," ","")),LEN(UPPER(SUBSTITUTE(SUBSTITUTE(SUBSTITUTE(TRIM(C1700),".",""),"-","")," ","")))-1))&amp;RIGHT(UPPER(SUBSTITUTE(SUBSTITUTE(SUBSTITUTE(TRIM(C1700),".",""),"-","")," ","")),1),UPPER(SUBSTITUTE(SUBSTITUTE(SUBSTITUTE(TRIM(C1700),".",""),"-","")," ",""))))</f>
        <v/>
      </c>
    </row>
    <row r="1701" customFormat="false" ht="15" hidden="false" customHeight="false" outlineLevel="0" collapsed="false">
      <c r="B1701" s="80"/>
      <c r="C1701" s="58"/>
      <c r="D1701" s="62" t="str">
        <f aca="false">IF(C1701="","",IFERROR(INDEX(T_NOMBRE,MATCH(V1701,T_RUTN,0)),"⚠ RUT no está en Trabajadores"))</f>
        <v/>
      </c>
      <c r="E1701" s="61"/>
      <c r="F1701" s="61"/>
      <c r="G1701" s="61"/>
      <c r="H1701" s="61"/>
      <c r="I1701" s="81"/>
      <c r="J1701" s="81"/>
      <c r="K1701" s="60"/>
      <c r="L1701" s="60"/>
      <c r="M1701" s="60"/>
      <c r="N1701" s="60"/>
      <c r="O1701" s="60"/>
      <c r="P1701" s="60"/>
      <c r="Q1701" s="60"/>
      <c r="R1701" s="58"/>
      <c r="S1701" s="62" t="str">
        <f aca="false">IF(OR(B1701="",V1701=""),"",IFERROR(INDEX(C_TIPO,MATCH(V1701&amp;"-P"&amp;MAX(1,COUNTIFS(C_RUTN,V1701,C_DEF,"Sí",C_INI,"&lt;="&amp;EOMONTH(B1701,0))),C_CLAVE,0))&amp;"","Sin contrato"))</f>
        <v/>
      </c>
      <c r="T1701" s="63" t="str">
        <f aca="false">IF(OR(B1701="",N(O1701)=0),"",N(O1701)+ROUND(MIN(N(N1701),TOPE_UF*UF_MES)*(TASA_EMP+MUTUAL),0)+ROUND(MIN(N(N1701),TOPE_AFC_UF*UF_MES)*IF(S1701="Indefinido",AFC_INDEF,AFC_PF),0))</f>
        <v/>
      </c>
      <c r="U1701" s="62" t="str">
        <f aca="false">IF(C1701="","",IF(LEFT(D1701,1)="⚠","⚠ RUT no registrado en Trabajadores",IF(B1701="","⚠ Falta el mes",IF(OR(ISTEXT(I1701),ISTEXT(J1701)),"⚠ Atrasos u horas extra como texto: escriba hh:mm (ej. 1:30)",IF(AND(ISNUMBER(Q1701),COUNTIFS(M_RUTN,V1701,M_MES,B1701,M_LIQ,"&lt;&gt;")&gt;1),"⚠ Liquidación repetida en el mes",IF(AND(ISNUMBER(O1701),ISNUMBER(P1701),ISNUMBER(Q1701),ABS(O1701-P1701-Q1701)&gt;1),"⚠ Haberes − descuentos no da el líquido","OK"))))))</f>
        <v/>
      </c>
      <c r="V1701" s="62" t="str">
        <f aca="false">IF(C1701="","",IFERROR(VALUE(LEFT(UPPER(SUBSTITUTE(SUBSTITUTE(SUBSTITUTE(TRIM(C1701),".",""),"-","")," ","")),LEN(UPPER(SUBSTITUTE(SUBSTITUTE(SUBSTITUTE(TRIM(C1701),".",""),"-","")," ","")))-1))&amp;RIGHT(UPPER(SUBSTITUTE(SUBSTITUTE(SUBSTITUTE(TRIM(C1701),".",""),"-","")," ","")),1),UPPER(SUBSTITUTE(SUBSTITUTE(SUBSTITUTE(TRIM(C1701),".",""),"-","")," ",""))))</f>
        <v/>
      </c>
    </row>
    <row r="1702" customFormat="false" ht="15" hidden="false" customHeight="false" outlineLevel="0" collapsed="false">
      <c r="B1702" s="80"/>
      <c r="C1702" s="58"/>
      <c r="D1702" s="62" t="str">
        <f aca="false">IF(C1702="","",IFERROR(INDEX(T_NOMBRE,MATCH(V1702,T_RUTN,0)),"⚠ RUT no está en Trabajadores"))</f>
        <v/>
      </c>
      <c r="E1702" s="61"/>
      <c r="F1702" s="61"/>
      <c r="G1702" s="61"/>
      <c r="H1702" s="61"/>
      <c r="I1702" s="81"/>
      <c r="J1702" s="81"/>
      <c r="K1702" s="60"/>
      <c r="L1702" s="60"/>
      <c r="M1702" s="60"/>
      <c r="N1702" s="60"/>
      <c r="O1702" s="60"/>
      <c r="P1702" s="60"/>
      <c r="Q1702" s="60"/>
      <c r="R1702" s="58"/>
      <c r="S1702" s="62" t="str">
        <f aca="false">IF(OR(B1702="",V1702=""),"",IFERROR(INDEX(C_TIPO,MATCH(V1702&amp;"-P"&amp;MAX(1,COUNTIFS(C_RUTN,V1702,C_DEF,"Sí",C_INI,"&lt;="&amp;EOMONTH(B1702,0))),C_CLAVE,0))&amp;"","Sin contrato"))</f>
        <v/>
      </c>
      <c r="T1702" s="63" t="str">
        <f aca="false">IF(OR(B1702="",N(O1702)=0),"",N(O1702)+ROUND(MIN(N(N1702),TOPE_UF*UF_MES)*(TASA_EMP+MUTUAL),0)+ROUND(MIN(N(N1702),TOPE_AFC_UF*UF_MES)*IF(S1702="Indefinido",AFC_INDEF,AFC_PF),0))</f>
        <v/>
      </c>
      <c r="U1702" s="62" t="str">
        <f aca="false">IF(C1702="","",IF(LEFT(D1702,1)="⚠","⚠ RUT no registrado en Trabajadores",IF(B1702="","⚠ Falta el mes",IF(OR(ISTEXT(I1702),ISTEXT(J1702)),"⚠ Atrasos u horas extra como texto: escriba hh:mm (ej. 1:30)",IF(AND(ISNUMBER(Q1702),COUNTIFS(M_RUTN,V1702,M_MES,B1702,M_LIQ,"&lt;&gt;")&gt;1),"⚠ Liquidación repetida en el mes",IF(AND(ISNUMBER(O1702),ISNUMBER(P1702),ISNUMBER(Q1702),ABS(O1702-P1702-Q1702)&gt;1),"⚠ Haberes − descuentos no da el líquido","OK"))))))</f>
        <v/>
      </c>
      <c r="V1702" s="62" t="str">
        <f aca="false">IF(C1702="","",IFERROR(VALUE(LEFT(UPPER(SUBSTITUTE(SUBSTITUTE(SUBSTITUTE(TRIM(C1702),".",""),"-","")," ","")),LEN(UPPER(SUBSTITUTE(SUBSTITUTE(SUBSTITUTE(TRIM(C1702),".",""),"-","")," ","")))-1))&amp;RIGHT(UPPER(SUBSTITUTE(SUBSTITUTE(SUBSTITUTE(TRIM(C1702),".",""),"-","")," ","")),1),UPPER(SUBSTITUTE(SUBSTITUTE(SUBSTITUTE(TRIM(C1702),".",""),"-","")," ",""))))</f>
        <v/>
      </c>
    </row>
    <row r="1703" customFormat="false" ht="15" hidden="false" customHeight="false" outlineLevel="0" collapsed="false">
      <c r="B1703" s="80"/>
      <c r="C1703" s="58"/>
      <c r="D1703" s="62" t="str">
        <f aca="false">IF(C1703="","",IFERROR(INDEX(T_NOMBRE,MATCH(V1703,T_RUTN,0)),"⚠ RUT no está en Trabajadores"))</f>
        <v/>
      </c>
      <c r="E1703" s="61"/>
      <c r="F1703" s="61"/>
      <c r="G1703" s="61"/>
      <c r="H1703" s="61"/>
      <c r="I1703" s="81"/>
      <c r="J1703" s="81"/>
      <c r="K1703" s="60"/>
      <c r="L1703" s="60"/>
      <c r="M1703" s="60"/>
      <c r="N1703" s="60"/>
      <c r="O1703" s="60"/>
      <c r="P1703" s="60"/>
      <c r="Q1703" s="60"/>
      <c r="R1703" s="58"/>
      <c r="S1703" s="62" t="str">
        <f aca="false">IF(OR(B1703="",V1703=""),"",IFERROR(INDEX(C_TIPO,MATCH(V1703&amp;"-P"&amp;MAX(1,COUNTIFS(C_RUTN,V1703,C_DEF,"Sí",C_INI,"&lt;="&amp;EOMONTH(B1703,0))),C_CLAVE,0))&amp;"","Sin contrato"))</f>
        <v/>
      </c>
      <c r="T1703" s="63" t="str">
        <f aca="false">IF(OR(B1703="",N(O1703)=0),"",N(O1703)+ROUND(MIN(N(N1703),TOPE_UF*UF_MES)*(TASA_EMP+MUTUAL),0)+ROUND(MIN(N(N1703),TOPE_AFC_UF*UF_MES)*IF(S1703="Indefinido",AFC_INDEF,AFC_PF),0))</f>
        <v/>
      </c>
      <c r="U1703" s="62" t="str">
        <f aca="false">IF(C1703="","",IF(LEFT(D1703,1)="⚠","⚠ RUT no registrado en Trabajadores",IF(B1703="","⚠ Falta el mes",IF(OR(ISTEXT(I1703),ISTEXT(J1703)),"⚠ Atrasos u horas extra como texto: escriba hh:mm (ej. 1:30)",IF(AND(ISNUMBER(Q1703),COUNTIFS(M_RUTN,V1703,M_MES,B1703,M_LIQ,"&lt;&gt;")&gt;1),"⚠ Liquidación repetida en el mes",IF(AND(ISNUMBER(O1703),ISNUMBER(P1703),ISNUMBER(Q1703),ABS(O1703-P1703-Q1703)&gt;1),"⚠ Haberes − descuentos no da el líquido","OK"))))))</f>
        <v/>
      </c>
      <c r="V1703" s="62" t="str">
        <f aca="false">IF(C1703="","",IFERROR(VALUE(LEFT(UPPER(SUBSTITUTE(SUBSTITUTE(SUBSTITUTE(TRIM(C1703),".",""),"-","")," ","")),LEN(UPPER(SUBSTITUTE(SUBSTITUTE(SUBSTITUTE(TRIM(C1703),".",""),"-","")," ","")))-1))&amp;RIGHT(UPPER(SUBSTITUTE(SUBSTITUTE(SUBSTITUTE(TRIM(C1703),".",""),"-","")," ","")),1),UPPER(SUBSTITUTE(SUBSTITUTE(SUBSTITUTE(TRIM(C1703),".",""),"-","")," ",""))))</f>
        <v/>
      </c>
    </row>
    <row r="1704" customFormat="false" ht="15" hidden="false" customHeight="false" outlineLevel="0" collapsed="false">
      <c r="B1704" s="80"/>
      <c r="C1704" s="58"/>
      <c r="D1704" s="62" t="str">
        <f aca="false">IF(C1704="","",IFERROR(INDEX(T_NOMBRE,MATCH(V1704,T_RUTN,0)),"⚠ RUT no está en Trabajadores"))</f>
        <v/>
      </c>
      <c r="E1704" s="61"/>
      <c r="F1704" s="61"/>
      <c r="G1704" s="61"/>
      <c r="H1704" s="61"/>
      <c r="I1704" s="81"/>
      <c r="J1704" s="81"/>
      <c r="K1704" s="60"/>
      <c r="L1704" s="60"/>
      <c r="M1704" s="60"/>
      <c r="N1704" s="60"/>
      <c r="O1704" s="60"/>
      <c r="P1704" s="60"/>
      <c r="Q1704" s="60"/>
      <c r="R1704" s="58"/>
      <c r="S1704" s="62" t="str">
        <f aca="false">IF(OR(B1704="",V1704=""),"",IFERROR(INDEX(C_TIPO,MATCH(V1704&amp;"-P"&amp;MAX(1,COUNTIFS(C_RUTN,V1704,C_DEF,"Sí",C_INI,"&lt;="&amp;EOMONTH(B1704,0))),C_CLAVE,0))&amp;"","Sin contrato"))</f>
        <v/>
      </c>
      <c r="T1704" s="63" t="str">
        <f aca="false">IF(OR(B1704="",N(O1704)=0),"",N(O1704)+ROUND(MIN(N(N1704),TOPE_UF*UF_MES)*(TASA_EMP+MUTUAL),0)+ROUND(MIN(N(N1704),TOPE_AFC_UF*UF_MES)*IF(S1704="Indefinido",AFC_INDEF,AFC_PF),0))</f>
        <v/>
      </c>
      <c r="U1704" s="62" t="str">
        <f aca="false">IF(C1704="","",IF(LEFT(D1704,1)="⚠","⚠ RUT no registrado en Trabajadores",IF(B1704="","⚠ Falta el mes",IF(OR(ISTEXT(I1704),ISTEXT(J1704)),"⚠ Atrasos u horas extra como texto: escriba hh:mm (ej. 1:30)",IF(AND(ISNUMBER(Q1704),COUNTIFS(M_RUTN,V1704,M_MES,B1704,M_LIQ,"&lt;&gt;")&gt;1),"⚠ Liquidación repetida en el mes",IF(AND(ISNUMBER(O1704),ISNUMBER(P1704),ISNUMBER(Q1704),ABS(O1704-P1704-Q1704)&gt;1),"⚠ Haberes − descuentos no da el líquido","OK"))))))</f>
        <v/>
      </c>
      <c r="V1704" s="62" t="str">
        <f aca="false">IF(C1704="","",IFERROR(VALUE(LEFT(UPPER(SUBSTITUTE(SUBSTITUTE(SUBSTITUTE(TRIM(C1704),".",""),"-","")," ","")),LEN(UPPER(SUBSTITUTE(SUBSTITUTE(SUBSTITUTE(TRIM(C1704),".",""),"-","")," ","")))-1))&amp;RIGHT(UPPER(SUBSTITUTE(SUBSTITUTE(SUBSTITUTE(TRIM(C1704),".",""),"-","")," ","")),1),UPPER(SUBSTITUTE(SUBSTITUTE(SUBSTITUTE(TRIM(C1704),".",""),"-","")," ",""))))</f>
        <v/>
      </c>
    </row>
    <row r="1705" customFormat="false" ht="15" hidden="false" customHeight="false" outlineLevel="0" collapsed="false">
      <c r="B1705" s="80"/>
      <c r="C1705" s="58"/>
      <c r="D1705" s="62" t="str">
        <f aca="false">IF(C1705="","",IFERROR(INDEX(T_NOMBRE,MATCH(V1705,T_RUTN,0)),"⚠ RUT no está en Trabajadores"))</f>
        <v/>
      </c>
      <c r="E1705" s="61"/>
      <c r="F1705" s="61"/>
      <c r="G1705" s="61"/>
      <c r="H1705" s="61"/>
      <c r="I1705" s="81"/>
      <c r="J1705" s="81"/>
      <c r="K1705" s="60"/>
      <c r="L1705" s="60"/>
      <c r="M1705" s="60"/>
      <c r="N1705" s="60"/>
      <c r="O1705" s="60"/>
      <c r="P1705" s="60"/>
      <c r="Q1705" s="60"/>
      <c r="R1705" s="58"/>
      <c r="S1705" s="62" t="str">
        <f aca="false">IF(OR(B1705="",V1705=""),"",IFERROR(INDEX(C_TIPO,MATCH(V1705&amp;"-P"&amp;MAX(1,COUNTIFS(C_RUTN,V1705,C_DEF,"Sí",C_INI,"&lt;="&amp;EOMONTH(B1705,0))),C_CLAVE,0))&amp;"","Sin contrato"))</f>
        <v/>
      </c>
      <c r="T1705" s="63" t="str">
        <f aca="false">IF(OR(B1705="",N(O1705)=0),"",N(O1705)+ROUND(MIN(N(N1705),TOPE_UF*UF_MES)*(TASA_EMP+MUTUAL),0)+ROUND(MIN(N(N1705),TOPE_AFC_UF*UF_MES)*IF(S1705="Indefinido",AFC_INDEF,AFC_PF),0))</f>
        <v/>
      </c>
      <c r="U1705" s="62" t="str">
        <f aca="false">IF(C1705="","",IF(LEFT(D1705,1)="⚠","⚠ RUT no registrado en Trabajadores",IF(B1705="","⚠ Falta el mes",IF(OR(ISTEXT(I1705),ISTEXT(J1705)),"⚠ Atrasos u horas extra como texto: escriba hh:mm (ej. 1:30)",IF(AND(ISNUMBER(Q1705),COUNTIFS(M_RUTN,V1705,M_MES,B1705,M_LIQ,"&lt;&gt;")&gt;1),"⚠ Liquidación repetida en el mes",IF(AND(ISNUMBER(O1705),ISNUMBER(P1705),ISNUMBER(Q1705),ABS(O1705-P1705-Q1705)&gt;1),"⚠ Haberes − descuentos no da el líquido","OK"))))))</f>
        <v/>
      </c>
      <c r="V1705" s="62" t="str">
        <f aca="false">IF(C1705="","",IFERROR(VALUE(LEFT(UPPER(SUBSTITUTE(SUBSTITUTE(SUBSTITUTE(TRIM(C1705),".",""),"-","")," ","")),LEN(UPPER(SUBSTITUTE(SUBSTITUTE(SUBSTITUTE(TRIM(C1705),".",""),"-","")," ","")))-1))&amp;RIGHT(UPPER(SUBSTITUTE(SUBSTITUTE(SUBSTITUTE(TRIM(C1705),".",""),"-","")," ","")),1),UPPER(SUBSTITUTE(SUBSTITUTE(SUBSTITUTE(TRIM(C1705),".",""),"-","")," ",""))))</f>
        <v/>
      </c>
    </row>
    <row r="1706" customFormat="false" ht="15" hidden="false" customHeight="false" outlineLevel="0" collapsed="false">
      <c r="B1706" s="80"/>
      <c r="C1706" s="58"/>
      <c r="D1706" s="62" t="str">
        <f aca="false">IF(C1706="","",IFERROR(INDEX(T_NOMBRE,MATCH(V1706,T_RUTN,0)),"⚠ RUT no está en Trabajadores"))</f>
        <v/>
      </c>
      <c r="E1706" s="61"/>
      <c r="F1706" s="61"/>
      <c r="G1706" s="61"/>
      <c r="H1706" s="61"/>
      <c r="I1706" s="81"/>
      <c r="J1706" s="81"/>
      <c r="K1706" s="60"/>
      <c r="L1706" s="60"/>
      <c r="M1706" s="60"/>
      <c r="N1706" s="60"/>
      <c r="O1706" s="60"/>
      <c r="P1706" s="60"/>
      <c r="Q1706" s="60"/>
      <c r="R1706" s="58"/>
      <c r="S1706" s="62" t="str">
        <f aca="false">IF(OR(B1706="",V1706=""),"",IFERROR(INDEX(C_TIPO,MATCH(V1706&amp;"-P"&amp;MAX(1,COUNTIFS(C_RUTN,V1706,C_DEF,"Sí",C_INI,"&lt;="&amp;EOMONTH(B1706,0))),C_CLAVE,0))&amp;"","Sin contrato"))</f>
        <v/>
      </c>
      <c r="T1706" s="63" t="str">
        <f aca="false">IF(OR(B1706="",N(O1706)=0),"",N(O1706)+ROUND(MIN(N(N1706),TOPE_UF*UF_MES)*(TASA_EMP+MUTUAL),0)+ROUND(MIN(N(N1706),TOPE_AFC_UF*UF_MES)*IF(S1706="Indefinido",AFC_INDEF,AFC_PF),0))</f>
        <v/>
      </c>
      <c r="U1706" s="62" t="str">
        <f aca="false">IF(C1706="","",IF(LEFT(D1706,1)="⚠","⚠ RUT no registrado en Trabajadores",IF(B1706="","⚠ Falta el mes",IF(OR(ISTEXT(I1706),ISTEXT(J1706)),"⚠ Atrasos u horas extra como texto: escriba hh:mm (ej. 1:30)",IF(AND(ISNUMBER(Q1706),COUNTIFS(M_RUTN,V1706,M_MES,B1706,M_LIQ,"&lt;&gt;")&gt;1),"⚠ Liquidación repetida en el mes",IF(AND(ISNUMBER(O1706),ISNUMBER(P1706),ISNUMBER(Q1706),ABS(O1706-P1706-Q1706)&gt;1),"⚠ Haberes − descuentos no da el líquido","OK"))))))</f>
        <v/>
      </c>
      <c r="V1706" s="62" t="str">
        <f aca="false">IF(C1706="","",IFERROR(VALUE(LEFT(UPPER(SUBSTITUTE(SUBSTITUTE(SUBSTITUTE(TRIM(C1706),".",""),"-","")," ","")),LEN(UPPER(SUBSTITUTE(SUBSTITUTE(SUBSTITUTE(TRIM(C1706),".",""),"-","")," ","")))-1))&amp;RIGHT(UPPER(SUBSTITUTE(SUBSTITUTE(SUBSTITUTE(TRIM(C1706),".",""),"-","")," ","")),1),UPPER(SUBSTITUTE(SUBSTITUTE(SUBSTITUTE(TRIM(C1706),".",""),"-","")," ",""))))</f>
        <v/>
      </c>
    </row>
    <row r="1707" customFormat="false" ht="15" hidden="false" customHeight="false" outlineLevel="0" collapsed="false">
      <c r="B1707" s="80"/>
      <c r="C1707" s="58"/>
      <c r="D1707" s="62" t="str">
        <f aca="false">IF(C1707="","",IFERROR(INDEX(T_NOMBRE,MATCH(V1707,T_RUTN,0)),"⚠ RUT no está en Trabajadores"))</f>
        <v/>
      </c>
      <c r="E1707" s="61"/>
      <c r="F1707" s="61"/>
      <c r="G1707" s="61"/>
      <c r="H1707" s="61"/>
      <c r="I1707" s="81"/>
      <c r="J1707" s="81"/>
      <c r="K1707" s="60"/>
      <c r="L1707" s="60"/>
      <c r="M1707" s="60"/>
      <c r="N1707" s="60"/>
      <c r="O1707" s="60"/>
      <c r="P1707" s="60"/>
      <c r="Q1707" s="60"/>
      <c r="R1707" s="58"/>
      <c r="S1707" s="62" t="str">
        <f aca="false">IF(OR(B1707="",V1707=""),"",IFERROR(INDEX(C_TIPO,MATCH(V1707&amp;"-P"&amp;MAX(1,COUNTIFS(C_RUTN,V1707,C_DEF,"Sí",C_INI,"&lt;="&amp;EOMONTH(B1707,0))),C_CLAVE,0))&amp;"","Sin contrato"))</f>
        <v/>
      </c>
      <c r="T1707" s="63" t="str">
        <f aca="false">IF(OR(B1707="",N(O1707)=0),"",N(O1707)+ROUND(MIN(N(N1707),TOPE_UF*UF_MES)*(TASA_EMP+MUTUAL),0)+ROUND(MIN(N(N1707),TOPE_AFC_UF*UF_MES)*IF(S1707="Indefinido",AFC_INDEF,AFC_PF),0))</f>
        <v/>
      </c>
      <c r="U1707" s="62" t="str">
        <f aca="false">IF(C1707="","",IF(LEFT(D1707,1)="⚠","⚠ RUT no registrado en Trabajadores",IF(B1707="","⚠ Falta el mes",IF(OR(ISTEXT(I1707),ISTEXT(J1707)),"⚠ Atrasos u horas extra como texto: escriba hh:mm (ej. 1:30)",IF(AND(ISNUMBER(Q1707),COUNTIFS(M_RUTN,V1707,M_MES,B1707,M_LIQ,"&lt;&gt;")&gt;1),"⚠ Liquidación repetida en el mes",IF(AND(ISNUMBER(O1707),ISNUMBER(P1707),ISNUMBER(Q1707),ABS(O1707-P1707-Q1707)&gt;1),"⚠ Haberes − descuentos no da el líquido","OK"))))))</f>
        <v/>
      </c>
      <c r="V1707" s="62" t="str">
        <f aca="false">IF(C1707="","",IFERROR(VALUE(LEFT(UPPER(SUBSTITUTE(SUBSTITUTE(SUBSTITUTE(TRIM(C1707),".",""),"-","")," ","")),LEN(UPPER(SUBSTITUTE(SUBSTITUTE(SUBSTITUTE(TRIM(C1707),".",""),"-","")," ","")))-1))&amp;RIGHT(UPPER(SUBSTITUTE(SUBSTITUTE(SUBSTITUTE(TRIM(C1707),".",""),"-","")," ","")),1),UPPER(SUBSTITUTE(SUBSTITUTE(SUBSTITUTE(TRIM(C1707),".",""),"-","")," ",""))))</f>
        <v/>
      </c>
    </row>
    <row r="1708" customFormat="false" ht="15" hidden="false" customHeight="false" outlineLevel="0" collapsed="false">
      <c r="B1708" s="80"/>
      <c r="C1708" s="58"/>
      <c r="D1708" s="62" t="str">
        <f aca="false">IF(C1708="","",IFERROR(INDEX(T_NOMBRE,MATCH(V1708,T_RUTN,0)),"⚠ RUT no está en Trabajadores"))</f>
        <v/>
      </c>
      <c r="E1708" s="61"/>
      <c r="F1708" s="61"/>
      <c r="G1708" s="61"/>
      <c r="H1708" s="61"/>
      <c r="I1708" s="81"/>
      <c r="J1708" s="81"/>
      <c r="K1708" s="60"/>
      <c r="L1708" s="60"/>
      <c r="M1708" s="60"/>
      <c r="N1708" s="60"/>
      <c r="O1708" s="60"/>
      <c r="P1708" s="60"/>
      <c r="Q1708" s="60"/>
      <c r="R1708" s="58"/>
      <c r="S1708" s="62" t="str">
        <f aca="false">IF(OR(B1708="",V1708=""),"",IFERROR(INDEX(C_TIPO,MATCH(V1708&amp;"-P"&amp;MAX(1,COUNTIFS(C_RUTN,V1708,C_DEF,"Sí",C_INI,"&lt;="&amp;EOMONTH(B1708,0))),C_CLAVE,0))&amp;"","Sin contrato"))</f>
        <v/>
      </c>
      <c r="T1708" s="63" t="str">
        <f aca="false">IF(OR(B1708="",N(O1708)=0),"",N(O1708)+ROUND(MIN(N(N1708),TOPE_UF*UF_MES)*(TASA_EMP+MUTUAL),0)+ROUND(MIN(N(N1708),TOPE_AFC_UF*UF_MES)*IF(S1708="Indefinido",AFC_INDEF,AFC_PF),0))</f>
        <v/>
      </c>
      <c r="U1708" s="62" t="str">
        <f aca="false">IF(C1708="","",IF(LEFT(D1708,1)="⚠","⚠ RUT no registrado en Trabajadores",IF(B1708="","⚠ Falta el mes",IF(OR(ISTEXT(I1708),ISTEXT(J1708)),"⚠ Atrasos u horas extra como texto: escriba hh:mm (ej. 1:30)",IF(AND(ISNUMBER(Q1708),COUNTIFS(M_RUTN,V1708,M_MES,B1708,M_LIQ,"&lt;&gt;")&gt;1),"⚠ Liquidación repetida en el mes",IF(AND(ISNUMBER(O1708),ISNUMBER(P1708),ISNUMBER(Q1708),ABS(O1708-P1708-Q1708)&gt;1),"⚠ Haberes − descuentos no da el líquido","OK"))))))</f>
        <v/>
      </c>
      <c r="V1708" s="62" t="str">
        <f aca="false">IF(C1708="","",IFERROR(VALUE(LEFT(UPPER(SUBSTITUTE(SUBSTITUTE(SUBSTITUTE(TRIM(C1708),".",""),"-","")," ","")),LEN(UPPER(SUBSTITUTE(SUBSTITUTE(SUBSTITUTE(TRIM(C1708),".",""),"-","")," ","")))-1))&amp;RIGHT(UPPER(SUBSTITUTE(SUBSTITUTE(SUBSTITUTE(TRIM(C1708),".",""),"-","")," ","")),1),UPPER(SUBSTITUTE(SUBSTITUTE(SUBSTITUTE(TRIM(C1708),".",""),"-","")," ",""))))</f>
        <v/>
      </c>
    </row>
    <row r="1709" customFormat="false" ht="15" hidden="false" customHeight="false" outlineLevel="0" collapsed="false">
      <c r="B1709" s="80"/>
      <c r="C1709" s="58"/>
      <c r="D1709" s="62" t="str">
        <f aca="false">IF(C1709="","",IFERROR(INDEX(T_NOMBRE,MATCH(V1709,T_RUTN,0)),"⚠ RUT no está en Trabajadores"))</f>
        <v/>
      </c>
      <c r="E1709" s="61"/>
      <c r="F1709" s="61"/>
      <c r="G1709" s="61"/>
      <c r="H1709" s="61"/>
      <c r="I1709" s="81"/>
      <c r="J1709" s="81"/>
      <c r="K1709" s="60"/>
      <c r="L1709" s="60"/>
      <c r="M1709" s="60"/>
      <c r="N1709" s="60"/>
      <c r="O1709" s="60"/>
      <c r="P1709" s="60"/>
      <c r="Q1709" s="60"/>
      <c r="R1709" s="58"/>
      <c r="S1709" s="62" t="str">
        <f aca="false">IF(OR(B1709="",V1709=""),"",IFERROR(INDEX(C_TIPO,MATCH(V1709&amp;"-P"&amp;MAX(1,COUNTIFS(C_RUTN,V1709,C_DEF,"Sí",C_INI,"&lt;="&amp;EOMONTH(B1709,0))),C_CLAVE,0))&amp;"","Sin contrato"))</f>
        <v/>
      </c>
      <c r="T1709" s="63" t="str">
        <f aca="false">IF(OR(B1709="",N(O1709)=0),"",N(O1709)+ROUND(MIN(N(N1709),TOPE_UF*UF_MES)*(TASA_EMP+MUTUAL),0)+ROUND(MIN(N(N1709),TOPE_AFC_UF*UF_MES)*IF(S1709="Indefinido",AFC_INDEF,AFC_PF),0))</f>
        <v/>
      </c>
      <c r="U1709" s="62" t="str">
        <f aca="false">IF(C1709="","",IF(LEFT(D1709,1)="⚠","⚠ RUT no registrado en Trabajadores",IF(B1709="","⚠ Falta el mes",IF(OR(ISTEXT(I1709),ISTEXT(J1709)),"⚠ Atrasos u horas extra como texto: escriba hh:mm (ej. 1:30)",IF(AND(ISNUMBER(Q1709),COUNTIFS(M_RUTN,V1709,M_MES,B1709,M_LIQ,"&lt;&gt;")&gt;1),"⚠ Liquidación repetida en el mes",IF(AND(ISNUMBER(O1709),ISNUMBER(P1709),ISNUMBER(Q1709),ABS(O1709-P1709-Q1709)&gt;1),"⚠ Haberes − descuentos no da el líquido","OK"))))))</f>
        <v/>
      </c>
      <c r="V1709" s="62" t="str">
        <f aca="false">IF(C1709="","",IFERROR(VALUE(LEFT(UPPER(SUBSTITUTE(SUBSTITUTE(SUBSTITUTE(TRIM(C1709),".",""),"-","")," ","")),LEN(UPPER(SUBSTITUTE(SUBSTITUTE(SUBSTITUTE(TRIM(C1709),".",""),"-","")," ","")))-1))&amp;RIGHT(UPPER(SUBSTITUTE(SUBSTITUTE(SUBSTITUTE(TRIM(C1709),".",""),"-","")," ","")),1),UPPER(SUBSTITUTE(SUBSTITUTE(SUBSTITUTE(TRIM(C1709),".",""),"-","")," ",""))))</f>
        <v/>
      </c>
    </row>
    <row r="1710" customFormat="false" ht="15" hidden="false" customHeight="false" outlineLevel="0" collapsed="false">
      <c r="B1710" s="80"/>
      <c r="C1710" s="58"/>
      <c r="D1710" s="62" t="str">
        <f aca="false">IF(C1710="","",IFERROR(INDEX(T_NOMBRE,MATCH(V1710,T_RUTN,0)),"⚠ RUT no está en Trabajadores"))</f>
        <v/>
      </c>
      <c r="E1710" s="61"/>
      <c r="F1710" s="61"/>
      <c r="G1710" s="61"/>
      <c r="H1710" s="61"/>
      <c r="I1710" s="81"/>
      <c r="J1710" s="81"/>
      <c r="K1710" s="60"/>
      <c r="L1710" s="60"/>
      <c r="M1710" s="60"/>
      <c r="N1710" s="60"/>
      <c r="O1710" s="60"/>
      <c r="P1710" s="60"/>
      <c r="Q1710" s="60"/>
      <c r="R1710" s="58"/>
      <c r="S1710" s="62" t="str">
        <f aca="false">IF(OR(B1710="",V1710=""),"",IFERROR(INDEX(C_TIPO,MATCH(V1710&amp;"-P"&amp;MAX(1,COUNTIFS(C_RUTN,V1710,C_DEF,"Sí",C_INI,"&lt;="&amp;EOMONTH(B1710,0))),C_CLAVE,0))&amp;"","Sin contrato"))</f>
        <v/>
      </c>
      <c r="T1710" s="63" t="str">
        <f aca="false">IF(OR(B1710="",N(O1710)=0),"",N(O1710)+ROUND(MIN(N(N1710),TOPE_UF*UF_MES)*(TASA_EMP+MUTUAL),0)+ROUND(MIN(N(N1710),TOPE_AFC_UF*UF_MES)*IF(S1710="Indefinido",AFC_INDEF,AFC_PF),0))</f>
        <v/>
      </c>
      <c r="U1710" s="62" t="str">
        <f aca="false">IF(C1710="","",IF(LEFT(D1710,1)="⚠","⚠ RUT no registrado en Trabajadores",IF(B1710="","⚠ Falta el mes",IF(OR(ISTEXT(I1710),ISTEXT(J1710)),"⚠ Atrasos u horas extra como texto: escriba hh:mm (ej. 1:30)",IF(AND(ISNUMBER(Q1710),COUNTIFS(M_RUTN,V1710,M_MES,B1710,M_LIQ,"&lt;&gt;")&gt;1),"⚠ Liquidación repetida en el mes",IF(AND(ISNUMBER(O1710),ISNUMBER(P1710),ISNUMBER(Q1710),ABS(O1710-P1710-Q1710)&gt;1),"⚠ Haberes − descuentos no da el líquido","OK"))))))</f>
        <v/>
      </c>
      <c r="V1710" s="62" t="str">
        <f aca="false">IF(C1710="","",IFERROR(VALUE(LEFT(UPPER(SUBSTITUTE(SUBSTITUTE(SUBSTITUTE(TRIM(C1710),".",""),"-","")," ","")),LEN(UPPER(SUBSTITUTE(SUBSTITUTE(SUBSTITUTE(TRIM(C1710),".",""),"-","")," ","")))-1))&amp;RIGHT(UPPER(SUBSTITUTE(SUBSTITUTE(SUBSTITUTE(TRIM(C1710),".",""),"-","")," ","")),1),UPPER(SUBSTITUTE(SUBSTITUTE(SUBSTITUTE(TRIM(C1710),".",""),"-","")," ",""))))</f>
        <v/>
      </c>
    </row>
    <row r="1711" customFormat="false" ht="15" hidden="false" customHeight="false" outlineLevel="0" collapsed="false">
      <c r="B1711" s="80"/>
      <c r="C1711" s="58"/>
      <c r="D1711" s="62" t="str">
        <f aca="false">IF(C1711="","",IFERROR(INDEX(T_NOMBRE,MATCH(V1711,T_RUTN,0)),"⚠ RUT no está en Trabajadores"))</f>
        <v/>
      </c>
      <c r="E1711" s="61"/>
      <c r="F1711" s="61"/>
      <c r="G1711" s="61"/>
      <c r="H1711" s="61"/>
      <c r="I1711" s="81"/>
      <c r="J1711" s="81"/>
      <c r="K1711" s="60"/>
      <c r="L1711" s="60"/>
      <c r="M1711" s="60"/>
      <c r="N1711" s="60"/>
      <c r="O1711" s="60"/>
      <c r="P1711" s="60"/>
      <c r="Q1711" s="60"/>
      <c r="R1711" s="58"/>
      <c r="S1711" s="62" t="str">
        <f aca="false">IF(OR(B1711="",V1711=""),"",IFERROR(INDEX(C_TIPO,MATCH(V1711&amp;"-P"&amp;MAX(1,COUNTIFS(C_RUTN,V1711,C_DEF,"Sí",C_INI,"&lt;="&amp;EOMONTH(B1711,0))),C_CLAVE,0))&amp;"","Sin contrato"))</f>
        <v/>
      </c>
      <c r="T1711" s="63" t="str">
        <f aca="false">IF(OR(B1711="",N(O1711)=0),"",N(O1711)+ROUND(MIN(N(N1711),TOPE_UF*UF_MES)*(TASA_EMP+MUTUAL),0)+ROUND(MIN(N(N1711),TOPE_AFC_UF*UF_MES)*IF(S1711="Indefinido",AFC_INDEF,AFC_PF),0))</f>
        <v/>
      </c>
      <c r="U1711" s="62" t="str">
        <f aca="false">IF(C1711="","",IF(LEFT(D1711,1)="⚠","⚠ RUT no registrado en Trabajadores",IF(B1711="","⚠ Falta el mes",IF(OR(ISTEXT(I1711),ISTEXT(J1711)),"⚠ Atrasos u horas extra como texto: escriba hh:mm (ej. 1:30)",IF(AND(ISNUMBER(Q1711),COUNTIFS(M_RUTN,V1711,M_MES,B1711,M_LIQ,"&lt;&gt;")&gt;1),"⚠ Liquidación repetida en el mes",IF(AND(ISNUMBER(O1711),ISNUMBER(P1711),ISNUMBER(Q1711),ABS(O1711-P1711-Q1711)&gt;1),"⚠ Haberes − descuentos no da el líquido","OK"))))))</f>
        <v/>
      </c>
      <c r="V1711" s="62" t="str">
        <f aca="false">IF(C1711="","",IFERROR(VALUE(LEFT(UPPER(SUBSTITUTE(SUBSTITUTE(SUBSTITUTE(TRIM(C1711),".",""),"-","")," ","")),LEN(UPPER(SUBSTITUTE(SUBSTITUTE(SUBSTITUTE(TRIM(C1711),".",""),"-","")," ","")))-1))&amp;RIGHT(UPPER(SUBSTITUTE(SUBSTITUTE(SUBSTITUTE(TRIM(C1711),".",""),"-","")," ","")),1),UPPER(SUBSTITUTE(SUBSTITUTE(SUBSTITUTE(TRIM(C1711),".",""),"-","")," ",""))))</f>
        <v/>
      </c>
    </row>
    <row r="1712" customFormat="false" ht="15" hidden="false" customHeight="false" outlineLevel="0" collapsed="false">
      <c r="B1712" s="80"/>
      <c r="C1712" s="58"/>
      <c r="D1712" s="62" t="str">
        <f aca="false">IF(C1712="","",IFERROR(INDEX(T_NOMBRE,MATCH(V1712,T_RUTN,0)),"⚠ RUT no está en Trabajadores"))</f>
        <v/>
      </c>
      <c r="E1712" s="61"/>
      <c r="F1712" s="61"/>
      <c r="G1712" s="61"/>
      <c r="H1712" s="61"/>
      <c r="I1712" s="81"/>
      <c r="J1712" s="81"/>
      <c r="K1712" s="60"/>
      <c r="L1712" s="60"/>
      <c r="M1712" s="60"/>
      <c r="N1712" s="60"/>
      <c r="O1712" s="60"/>
      <c r="P1712" s="60"/>
      <c r="Q1712" s="60"/>
      <c r="R1712" s="58"/>
      <c r="S1712" s="62" t="str">
        <f aca="false">IF(OR(B1712="",V1712=""),"",IFERROR(INDEX(C_TIPO,MATCH(V1712&amp;"-P"&amp;MAX(1,COUNTIFS(C_RUTN,V1712,C_DEF,"Sí",C_INI,"&lt;="&amp;EOMONTH(B1712,0))),C_CLAVE,0))&amp;"","Sin contrato"))</f>
        <v/>
      </c>
      <c r="T1712" s="63" t="str">
        <f aca="false">IF(OR(B1712="",N(O1712)=0),"",N(O1712)+ROUND(MIN(N(N1712),TOPE_UF*UF_MES)*(TASA_EMP+MUTUAL),0)+ROUND(MIN(N(N1712),TOPE_AFC_UF*UF_MES)*IF(S1712="Indefinido",AFC_INDEF,AFC_PF),0))</f>
        <v/>
      </c>
      <c r="U1712" s="62" t="str">
        <f aca="false">IF(C1712="","",IF(LEFT(D1712,1)="⚠","⚠ RUT no registrado en Trabajadores",IF(B1712="","⚠ Falta el mes",IF(OR(ISTEXT(I1712),ISTEXT(J1712)),"⚠ Atrasos u horas extra como texto: escriba hh:mm (ej. 1:30)",IF(AND(ISNUMBER(Q1712),COUNTIFS(M_RUTN,V1712,M_MES,B1712,M_LIQ,"&lt;&gt;")&gt;1),"⚠ Liquidación repetida en el mes",IF(AND(ISNUMBER(O1712),ISNUMBER(P1712),ISNUMBER(Q1712),ABS(O1712-P1712-Q1712)&gt;1),"⚠ Haberes − descuentos no da el líquido","OK"))))))</f>
        <v/>
      </c>
      <c r="V1712" s="62" t="str">
        <f aca="false">IF(C1712="","",IFERROR(VALUE(LEFT(UPPER(SUBSTITUTE(SUBSTITUTE(SUBSTITUTE(TRIM(C1712),".",""),"-","")," ","")),LEN(UPPER(SUBSTITUTE(SUBSTITUTE(SUBSTITUTE(TRIM(C1712),".",""),"-","")," ","")))-1))&amp;RIGHT(UPPER(SUBSTITUTE(SUBSTITUTE(SUBSTITUTE(TRIM(C1712),".",""),"-","")," ","")),1),UPPER(SUBSTITUTE(SUBSTITUTE(SUBSTITUTE(TRIM(C1712),".",""),"-","")," ",""))))</f>
        <v/>
      </c>
    </row>
    <row r="1713" customFormat="false" ht="15" hidden="false" customHeight="false" outlineLevel="0" collapsed="false">
      <c r="B1713" s="80"/>
      <c r="C1713" s="58"/>
      <c r="D1713" s="62" t="str">
        <f aca="false">IF(C1713="","",IFERROR(INDEX(T_NOMBRE,MATCH(V1713,T_RUTN,0)),"⚠ RUT no está en Trabajadores"))</f>
        <v/>
      </c>
      <c r="E1713" s="61"/>
      <c r="F1713" s="61"/>
      <c r="G1713" s="61"/>
      <c r="H1713" s="61"/>
      <c r="I1713" s="81"/>
      <c r="J1713" s="81"/>
      <c r="K1713" s="60"/>
      <c r="L1713" s="60"/>
      <c r="M1713" s="60"/>
      <c r="N1713" s="60"/>
      <c r="O1713" s="60"/>
      <c r="P1713" s="60"/>
      <c r="Q1713" s="60"/>
      <c r="R1713" s="58"/>
      <c r="S1713" s="62" t="str">
        <f aca="false">IF(OR(B1713="",V1713=""),"",IFERROR(INDEX(C_TIPO,MATCH(V1713&amp;"-P"&amp;MAX(1,COUNTIFS(C_RUTN,V1713,C_DEF,"Sí",C_INI,"&lt;="&amp;EOMONTH(B1713,0))),C_CLAVE,0))&amp;"","Sin contrato"))</f>
        <v/>
      </c>
      <c r="T1713" s="63" t="str">
        <f aca="false">IF(OR(B1713="",N(O1713)=0),"",N(O1713)+ROUND(MIN(N(N1713),TOPE_UF*UF_MES)*(TASA_EMP+MUTUAL),0)+ROUND(MIN(N(N1713),TOPE_AFC_UF*UF_MES)*IF(S1713="Indefinido",AFC_INDEF,AFC_PF),0))</f>
        <v/>
      </c>
      <c r="U1713" s="62" t="str">
        <f aca="false">IF(C1713="","",IF(LEFT(D1713,1)="⚠","⚠ RUT no registrado en Trabajadores",IF(B1713="","⚠ Falta el mes",IF(OR(ISTEXT(I1713),ISTEXT(J1713)),"⚠ Atrasos u horas extra como texto: escriba hh:mm (ej. 1:30)",IF(AND(ISNUMBER(Q1713),COUNTIFS(M_RUTN,V1713,M_MES,B1713,M_LIQ,"&lt;&gt;")&gt;1),"⚠ Liquidación repetida en el mes",IF(AND(ISNUMBER(O1713),ISNUMBER(P1713),ISNUMBER(Q1713),ABS(O1713-P1713-Q1713)&gt;1),"⚠ Haberes − descuentos no da el líquido","OK"))))))</f>
        <v/>
      </c>
      <c r="V1713" s="62" t="str">
        <f aca="false">IF(C1713="","",IFERROR(VALUE(LEFT(UPPER(SUBSTITUTE(SUBSTITUTE(SUBSTITUTE(TRIM(C1713),".",""),"-","")," ","")),LEN(UPPER(SUBSTITUTE(SUBSTITUTE(SUBSTITUTE(TRIM(C1713),".",""),"-","")," ","")))-1))&amp;RIGHT(UPPER(SUBSTITUTE(SUBSTITUTE(SUBSTITUTE(TRIM(C1713),".",""),"-","")," ","")),1),UPPER(SUBSTITUTE(SUBSTITUTE(SUBSTITUTE(TRIM(C1713),".",""),"-","")," ",""))))</f>
        <v/>
      </c>
    </row>
    <row r="1714" customFormat="false" ht="15" hidden="false" customHeight="false" outlineLevel="0" collapsed="false">
      <c r="B1714" s="80"/>
      <c r="C1714" s="58"/>
      <c r="D1714" s="62" t="str">
        <f aca="false">IF(C1714="","",IFERROR(INDEX(T_NOMBRE,MATCH(V1714,T_RUTN,0)),"⚠ RUT no está en Trabajadores"))</f>
        <v/>
      </c>
      <c r="E1714" s="61"/>
      <c r="F1714" s="61"/>
      <c r="G1714" s="61"/>
      <c r="H1714" s="61"/>
      <c r="I1714" s="81"/>
      <c r="J1714" s="81"/>
      <c r="K1714" s="60"/>
      <c r="L1714" s="60"/>
      <c r="M1714" s="60"/>
      <c r="N1714" s="60"/>
      <c r="O1714" s="60"/>
      <c r="P1714" s="60"/>
      <c r="Q1714" s="60"/>
      <c r="R1714" s="58"/>
      <c r="S1714" s="62" t="str">
        <f aca="false">IF(OR(B1714="",V1714=""),"",IFERROR(INDEX(C_TIPO,MATCH(V1714&amp;"-P"&amp;MAX(1,COUNTIFS(C_RUTN,V1714,C_DEF,"Sí",C_INI,"&lt;="&amp;EOMONTH(B1714,0))),C_CLAVE,0))&amp;"","Sin contrato"))</f>
        <v/>
      </c>
      <c r="T1714" s="63" t="str">
        <f aca="false">IF(OR(B1714="",N(O1714)=0),"",N(O1714)+ROUND(MIN(N(N1714),TOPE_UF*UF_MES)*(TASA_EMP+MUTUAL),0)+ROUND(MIN(N(N1714),TOPE_AFC_UF*UF_MES)*IF(S1714="Indefinido",AFC_INDEF,AFC_PF),0))</f>
        <v/>
      </c>
      <c r="U1714" s="62" t="str">
        <f aca="false">IF(C1714="","",IF(LEFT(D1714,1)="⚠","⚠ RUT no registrado en Trabajadores",IF(B1714="","⚠ Falta el mes",IF(OR(ISTEXT(I1714),ISTEXT(J1714)),"⚠ Atrasos u horas extra como texto: escriba hh:mm (ej. 1:30)",IF(AND(ISNUMBER(Q1714),COUNTIFS(M_RUTN,V1714,M_MES,B1714,M_LIQ,"&lt;&gt;")&gt;1),"⚠ Liquidación repetida en el mes",IF(AND(ISNUMBER(O1714),ISNUMBER(P1714),ISNUMBER(Q1714),ABS(O1714-P1714-Q1714)&gt;1),"⚠ Haberes − descuentos no da el líquido","OK"))))))</f>
        <v/>
      </c>
      <c r="V1714" s="62" t="str">
        <f aca="false">IF(C1714="","",IFERROR(VALUE(LEFT(UPPER(SUBSTITUTE(SUBSTITUTE(SUBSTITUTE(TRIM(C1714),".",""),"-","")," ","")),LEN(UPPER(SUBSTITUTE(SUBSTITUTE(SUBSTITUTE(TRIM(C1714),".",""),"-","")," ","")))-1))&amp;RIGHT(UPPER(SUBSTITUTE(SUBSTITUTE(SUBSTITUTE(TRIM(C1714),".",""),"-","")," ","")),1),UPPER(SUBSTITUTE(SUBSTITUTE(SUBSTITUTE(TRIM(C1714),".",""),"-","")," ",""))))</f>
        <v/>
      </c>
    </row>
    <row r="1715" customFormat="false" ht="15" hidden="false" customHeight="false" outlineLevel="0" collapsed="false">
      <c r="B1715" s="80"/>
      <c r="C1715" s="58"/>
      <c r="D1715" s="62" t="str">
        <f aca="false">IF(C1715="","",IFERROR(INDEX(T_NOMBRE,MATCH(V1715,T_RUTN,0)),"⚠ RUT no está en Trabajadores"))</f>
        <v/>
      </c>
      <c r="E1715" s="61"/>
      <c r="F1715" s="61"/>
      <c r="G1715" s="61"/>
      <c r="H1715" s="61"/>
      <c r="I1715" s="81"/>
      <c r="J1715" s="81"/>
      <c r="K1715" s="60"/>
      <c r="L1715" s="60"/>
      <c r="M1715" s="60"/>
      <c r="N1715" s="60"/>
      <c r="O1715" s="60"/>
      <c r="P1715" s="60"/>
      <c r="Q1715" s="60"/>
      <c r="R1715" s="58"/>
      <c r="S1715" s="62" t="str">
        <f aca="false">IF(OR(B1715="",V1715=""),"",IFERROR(INDEX(C_TIPO,MATCH(V1715&amp;"-P"&amp;MAX(1,COUNTIFS(C_RUTN,V1715,C_DEF,"Sí",C_INI,"&lt;="&amp;EOMONTH(B1715,0))),C_CLAVE,0))&amp;"","Sin contrato"))</f>
        <v/>
      </c>
      <c r="T1715" s="63" t="str">
        <f aca="false">IF(OR(B1715="",N(O1715)=0),"",N(O1715)+ROUND(MIN(N(N1715),TOPE_UF*UF_MES)*(TASA_EMP+MUTUAL),0)+ROUND(MIN(N(N1715),TOPE_AFC_UF*UF_MES)*IF(S1715="Indefinido",AFC_INDEF,AFC_PF),0))</f>
        <v/>
      </c>
      <c r="U1715" s="62" t="str">
        <f aca="false">IF(C1715="","",IF(LEFT(D1715,1)="⚠","⚠ RUT no registrado en Trabajadores",IF(B1715="","⚠ Falta el mes",IF(OR(ISTEXT(I1715),ISTEXT(J1715)),"⚠ Atrasos u horas extra como texto: escriba hh:mm (ej. 1:30)",IF(AND(ISNUMBER(Q1715),COUNTIFS(M_RUTN,V1715,M_MES,B1715,M_LIQ,"&lt;&gt;")&gt;1),"⚠ Liquidación repetida en el mes",IF(AND(ISNUMBER(O1715),ISNUMBER(P1715),ISNUMBER(Q1715),ABS(O1715-P1715-Q1715)&gt;1),"⚠ Haberes − descuentos no da el líquido","OK"))))))</f>
        <v/>
      </c>
      <c r="V1715" s="62" t="str">
        <f aca="false">IF(C1715="","",IFERROR(VALUE(LEFT(UPPER(SUBSTITUTE(SUBSTITUTE(SUBSTITUTE(TRIM(C1715),".",""),"-","")," ","")),LEN(UPPER(SUBSTITUTE(SUBSTITUTE(SUBSTITUTE(TRIM(C1715),".",""),"-","")," ","")))-1))&amp;RIGHT(UPPER(SUBSTITUTE(SUBSTITUTE(SUBSTITUTE(TRIM(C1715),".",""),"-","")," ","")),1),UPPER(SUBSTITUTE(SUBSTITUTE(SUBSTITUTE(TRIM(C1715),".",""),"-","")," ",""))))</f>
        <v/>
      </c>
    </row>
    <row r="1716" customFormat="false" ht="15" hidden="false" customHeight="false" outlineLevel="0" collapsed="false">
      <c r="B1716" s="80"/>
      <c r="C1716" s="58"/>
      <c r="D1716" s="62" t="str">
        <f aca="false">IF(C1716="","",IFERROR(INDEX(T_NOMBRE,MATCH(V1716,T_RUTN,0)),"⚠ RUT no está en Trabajadores"))</f>
        <v/>
      </c>
      <c r="E1716" s="61"/>
      <c r="F1716" s="61"/>
      <c r="G1716" s="61"/>
      <c r="H1716" s="61"/>
      <c r="I1716" s="81"/>
      <c r="J1716" s="81"/>
      <c r="K1716" s="60"/>
      <c r="L1716" s="60"/>
      <c r="M1716" s="60"/>
      <c r="N1716" s="60"/>
      <c r="O1716" s="60"/>
      <c r="P1716" s="60"/>
      <c r="Q1716" s="60"/>
      <c r="R1716" s="58"/>
      <c r="S1716" s="62" t="str">
        <f aca="false">IF(OR(B1716="",V1716=""),"",IFERROR(INDEX(C_TIPO,MATCH(V1716&amp;"-P"&amp;MAX(1,COUNTIFS(C_RUTN,V1716,C_DEF,"Sí",C_INI,"&lt;="&amp;EOMONTH(B1716,0))),C_CLAVE,0))&amp;"","Sin contrato"))</f>
        <v/>
      </c>
      <c r="T1716" s="63" t="str">
        <f aca="false">IF(OR(B1716="",N(O1716)=0),"",N(O1716)+ROUND(MIN(N(N1716),TOPE_UF*UF_MES)*(TASA_EMP+MUTUAL),0)+ROUND(MIN(N(N1716),TOPE_AFC_UF*UF_MES)*IF(S1716="Indefinido",AFC_INDEF,AFC_PF),0))</f>
        <v/>
      </c>
      <c r="U1716" s="62" t="str">
        <f aca="false">IF(C1716="","",IF(LEFT(D1716,1)="⚠","⚠ RUT no registrado en Trabajadores",IF(B1716="","⚠ Falta el mes",IF(OR(ISTEXT(I1716),ISTEXT(J1716)),"⚠ Atrasos u horas extra como texto: escriba hh:mm (ej. 1:30)",IF(AND(ISNUMBER(Q1716),COUNTIFS(M_RUTN,V1716,M_MES,B1716,M_LIQ,"&lt;&gt;")&gt;1),"⚠ Liquidación repetida en el mes",IF(AND(ISNUMBER(O1716),ISNUMBER(P1716),ISNUMBER(Q1716),ABS(O1716-P1716-Q1716)&gt;1),"⚠ Haberes − descuentos no da el líquido","OK"))))))</f>
        <v/>
      </c>
      <c r="V1716" s="62" t="str">
        <f aca="false">IF(C1716="","",IFERROR(VALUE(LEFT(UPPER(SUBSTITUTE(SUBSTITUTE(SUBSTITUTE(TRIM(C1716),".",""),"-","")," ","")),LEN(UPPER(SUBSTITUTE(SUBSTITUTE(SUBSTITUTE(TRIM(C1716),".",""),"-","")," ","")))-1))&amp;RIGHT(UPPER(SUBSTITUTE(SUBSTITUTE(SUBSTITUTE(TRIM(C1716),".",""),"-","")," ","")),1),UPPER(SUBSTITUTE(SUBSTITUTE(SUBSTITUTE(TRIM(C1716),".",""),"-","")," ",""))))</f>
        <v/>
      </c>
    </row>
    <row r="1717" customFormat="false" ht="15" hidden="false" customHeight="false" outlineLevel="0" collapsed="false">
      <c r="B1717" s="80"/>
      <c r="C1717" s="58"/>
      <c r="D1717" s="62" t="str">
        <f aca="false">IF(C1717="","",IFERROR(INDEX(T_NOMBRE,MATCH(V1717,T_RUTN,0)),"⚠ RUT no está en Trabajadores"))</f>
        <v/>
      </c>
      <c r="E1717" s="61"/>
      <c r="F1717" s="61"/>
      <c r="G1717" s="61"/>
      <c r="H1717" s="61"/>
      <c r="I1717" s="81"/>
      <c r="J1717" s="81"/>
      <c r="K1717" s="60"/>
      <c r="L1717" s="60"/>
      <c r="M1717" s="60"/>
      <c r="N1717" s="60"/>
      <c r="O1717" s="60"/>
      <c r="P1717" s="60"/>
      <c r="Q1717" s="60"/>
      <c r="R1717" s="58"/>
      <c r="S1717" s="62" t="str">
        <f aca="false">IF(OR(B1717="",V1717=""),"",IFERROR(INDEX(C_TIPO,MATCH(V1717&amp;"-P"&amp;MAX(1,COUNTIFS(C_RUTN,V1717,C_DEF,"Sí",C_INI,"&lt;="&amp;EOMONTH(B1717,0))),C_CLAVE,0))&amp;"","Sin contrato"))</f>
        <v/>
      </c>
      <c r="T1717" s="63" t="str">
        <f aca="false">IF(OR(B1717="",N(O1717)=0),"",N(O1717)+ROUND(MIN(N(N1717),TOPE_UF*UF_MES)*(TASA_EMP+MUTUAL),0)+ROUND(MIN(N(N1717),TOPE_AFC_UF*UF_MES)*IF(S1717="Indefinido",AFC_INDEF,AFC_PF),0))</f>
        <v/>
      </c>
      <c r="U1717" s="62" t="str">
        <f aca="false">IF(C1717="","",IF(LEFT(D1717,1)="⚠","⚠ RUT no registrado en Trabajadores",IF(B1717="","⚠ Falta el mes",IF(OR(ISTEXT(I1717),ISTEXT(J1717)),"⚠ Atrasos u horas extra como texto: escriba hh:mm (ej. 1:30)",IF(AND(ISNUMBER(Q1717),COUNTIFS(M_RUTN,V1717,M_MES,B1717,M_LIQ,"&lt;&gt;")&gt;1),"⚠ Liquidación repetida en el mes",IF(AND(ISNUMBER(O1717),ISNUMBER(P1717),ISNUMBER(Q1717),ABS(O1717-P1717-Q1717)&gt;1),"⚠ Haberes − descuentos no da el líquido","OK"))))))</f>
        <v/>
      </c>
      <c r="V1717" s="62" t="str">
        <f aca="false">IF(C1717="","",IFERROR(VALUE(LEFT(UPPER(SUBSTITUTE(SUBSTITUTE(SUBSTITUTE(TRIM(C1717),".",""),"-","")," ","")),LEN(UPPER(SUBSTITUTE(SUBSTITUTE(SUBSTITUTE(TRIM(C1717),".",""),"-","")," ","")))-1))&amp;RIGHT(UPPER(SUBSTITUTE(SUBSTITUTE(SUBSTITUTE(TRIM(C1717),".",""),"-","")," ","")),1),UPPER(SUBSTITUTE(SUBSTITUTE(SUBSTITUTE(TRIM(C1717),".",""),"-","")," ",""))))</f>
        <v/>
      </c>
    </row>
    <row r="1718" customFormat="false" ht="15" hidden="false" customHeight="false" outlineLevel="0" collapsed="false">
      <c r="B1718" s="80"/>
      <c r="C1718" s="58"/>
      <c r="D1718" s="62" t="str">
        <f aca="false">IF(C1718="","",IFERROR(INDEX(T_NOMBRE,MATCH(V1718,T_RUTN,0)),"⚠ RUT no está en Trabajadores"))</f>
        <v/>
      </c>
      <c r="E1718" s="61"/>
      <c r="F1718" s="61"/>
      <c r="G1718" s="61"/>
      <c r="H1718" s="61"/>
      <c r="I1718" s="81"/>
      <c r="J1718" s="81"/>
      <c r="K1718" s="60"/>
      <c r="L1718" s="60"/>
      <c r="M1718" s="60"/>
      <c r="N1718" s="60"/>
      <c r="O1718" s="60"/>
      <c r="P1718" s="60"/>
      <c r="Q1718" s="60"/>
      <c r="R1718" s="58"/>
      <c r="S1718" s="62" t="str">
        <f aca="false">IF(OR(B1718="",V1718=""),"",IFERROR(INDEX(C_TIPO,MATCH(V1718&amp;"-P"&amp;MAX(1,COUNTIFS(C_RUTN,V1718,C_DEF,"Sí",C_INI,"&lt;="&amp;EOMONTH(B1718,0))),C_CLAVE,0))&amp;"","Sin contrato"))</f>
        <v/>
      </c>
      <c r="T1718" s="63" t="str">
        <f aca="false">IF(OR(B1718="",N(O1718)=0),"",N(O1718)+ROUND(MIN(N(N1718),TOPE_UF*UF_MES)*(TASA_EMP+MUTUAL),0)+ROUND(MIN(N(N1718),TOPE_AFC_UF*UF_MES)*IF(S1718="Indefinido",AFC_INDEF,AFC_PF),0))</f>
        <v/>
      </c>
      <c r="U1718" s="62" t="str">
        <f aca="false">IF(C1718="","",IF(LEFT(D1718,1)="⚠","⚠ RUT no registrado en Trabajadores",IF(B1718="","⚠ Falta el mes",IF(OR(ISTEXT(I1718),ISTEXT(J1718)),"⚠ Atrasos u horas extra como texto: escriba hh:mm (ej. 1:30)",IF(AND(ISNUMBER(Q1718),COUNTIFS(M_RUTN,V1718,M_MES,B1718,M_LIQ,"&lt;&gt;")&gt;1),"⚠ Liquidación repetida en el mes",IF(AND(ISNUMBER(O1718),ISNUMBER(P1718),ISNUMBER(Q1718),ABS(O1718-P1718-Q1718)&gt;1),"⚠ Haberes − descuentos no da el líquido","OK"))))))</f>
        <v/>
      </c>
      <c r="V1718" s="62" t="str">
        <f aca="false">IF(C1718="","",IFERROR(VALUE(LEFT(UPPER(SUBSTITUTE(SUBSTITUTE(SUBSTITUTE(TRIM(C1718),".",""),"-","")," ","")),LEN(UPPER(SUBSTITUTE(SUBSTITUTE(SUBSTITUTE(TRIM(C1718),".",""),"-","")," ","")))-1))&amp;RIGHT(UPPER(SUBSTITUTE(SUBSTITUTE(SUBSTITUTE(TRIM(C1718),".",""),"-","")," ","")),1),UPPER(SUBSTITUTE(SUBSTITUTE(SUBSTITUTE(TRIM(C1718),".",""),"-","")," ",""))))</f>
        <v/>
      </c>
    </row>
    <row r="1719" customFormat="false" ht="15" hidden="false" customHeight="false" outlineLevel="0" collapsed="false">
      <c r="B1719" s="80"/>
      <c r="C1719" s="58"/>
      <c r="D1719" s="62" t="str">
        <f aca="false">IF(C1719="","",IFERROR(INDEX(T_NOMBRE,MATCH(V1719,T_RUTN,0)),"⚠ RUT no está en Trabajadores"))</f>
        <v/>
      </c>
      <c r="E1719" s="61"/>
      <c r="F1719" s="61"/>
      <c r="G1719" s="61"/>
      <c r="H1719" s="61"/>
      <c r="I1719" s="81"/>
      <c r="J1719" s="81"/>
      <c r="K1719" s="60"/>
      <c r="L1719" s="60"/>
      <c r="M1719" s="60"/>
      <c r="N1719" s="60"/>
      <c r="O1719" s="60"/>
      <c r="P1719" s="60"/>
      <c r="Q1719" s="60"/>
      <c r="R1719" s="58"/>
      <c r="S1719" s="62" t="str">
        <f aca="false">IF(OR(B1719="",V1719=""),"",IFERROR(INDEX(C_TIPO,MATCH(V1719&amp;"-P"&amp;MAX(1,COUNTIFS(C_RUTN,V1719,C_DEF,"Sí",C_INI,"&lt;="&amp;EOMONTH(B1719,0))),C_CLAVE,0))&amp;"","Sin contrato"))</f>
        <v/>
      </c>
      <c r="T1719" s="63" t="str">
        <f aca="false">IF(OR(B1719="",N(O1719)=0),"",N(O1719)+ROUND(MIN(N(N1719),TOPE_UF*UF_MES)*(TASA_EMP+MUTUAL),0)+ROUND(MIN(N(N1719),TOPE_AFC_UF*UF_MES)*IF(S1719="Indefinido",AFC_INDEF,AFC_PF),0))</f>
        <v/>
      </c>
      <c r="U1719" s="62" t="str">
        <f aca="false">IF(C1719="","",IF(LEFT(D1719,1)="⚠","⚠ RUT no registrado en Trabajadores",IF(B1719="","⚠ Falta el mes",IF(OR(ISTEXT(I1719),ISTEXT(J1719)),"⚠ Atrasos u horas extra como texto: escriba hh:mm (ej. 1:30)",IF(AND(ISNUMBER(Q1719),COUNTIFS(M_RUTN,V1719,M_MES,B1719,M_LIQ,"&lt;&gt;")&gt;1),"⚠ Liquidación repetida en el mes",IF(AND(ISNUMBER(O1719),ISNUMBER(P1719),ISNUMBER(Q1719),ABS(O1719-P1719-Q1719)&gt;1),"⚠ Haberes − descuentos no da el líquido","OK"))))))</f>
        <v/>
      </c>
      <c r="V1719" s="62" t="str">
        <f aca="false">IF(C1719="","",IFERROR(VALUE(LEFT(UPPER(SUBSTITUTE(SUBSTITUTE(SUBSTITUTE(TRIM(C1719),".",""),"-","")," ","")),LEN(UPPER(SUBSTITUTE(SUBSTITUTE(SUBSTITUTE(TRIM(C1719),".",""),"-","")," ","")))-1))&amp;RIGHT(UPPER(SUBSTITUTE(SUBSTITUTE(SUBSTITUTE(TRIM(C1719),".",""),"-","")," ","")),1),UPPER(SUBSTITUTE(SUBSTITUTE(SUBSTITUTE(TRIM(C1719),".",""),"-","")," ",""))))</f>
        <v/>
      </c>
    </row>
    <row r="1720" customFormat="false" ht="15" hidden="false" customHeight="false" outlineLevel="0" collapsed="false">
      <c r="B1720" s="80"/>
      <c r="C1720" s="58"/>
      <c r="D1720" s="62" t="str">
        <f aca="false">IF(C1720="","",IFERROR(INDEX(T_NOMBRE,MATCH(V1720,T_RUTN,0)),"⚠ RUT no está en Trabajadores"))</f>
        <v/>
      </c>
      <c r="E1720" s="61"/>
      <c r="F1720" s="61"/>
      <c r="G1720" s="61"/>
      <c r="H1720" s="61"/>
      <c r="I1720" s="81"/>
      <c r="J1720" s="81"/>
      <c r="K1720" s="60"/>
      <c r="L1720" s="60"/>
      <c r="M1720" s="60"/>
      <c r="N1720" s="60"/>
      <c r="O1720" s="60"/>
      <c r="P1720" s="60"/>
      <c r="Q1720" s="60"/>
      <c r="R1720" s="58"/>
      <c r="S1720" s="62" t="str">
        <f aca="false">IF(OR(B1720="",V1720=""),"",IFERROR(INDEX(C_TIPO,MATCH(V1720&amp;"-P"&amp;MAX(1,COUNTIFS(C_RUTN,V1720,C_DEF,"Sí",C_INI,"&lt;="&amp;EOMONTH(B1720,0))),C_CLAVE,0))&amp;"","Sin contrato"))</f>
        <v/>
      </c>
      <c r="T1720" s="63" t="str">
        <f aca="false">IF(OR(B1720="",N(O1720)=0),"",N(O1720)+ROUND(MIN(N(N1720),TOPE_UF*UF_MES)*(TASA_EMP+MUTUAL),0)+ROUND(MIN(N(N1720),TOPE_AFC_UF*UF_MES)*IF(S1720="Indefinido",AFC_INDEF,AFC_PF),0))</f>
        <v/>
      </c>
      <c r="U1720" s="62" t="str">
        <f aca="false">IF(C1720="","",IF(LEFT(D1720,1)="⚠","⚠ RUT no registrado en Trabajadores",IF(B1720="","⚠ Falta el mes",IF(OR(ISTEXT(I1720),ISTEXT(J1720)),"⚠ Atrasos u horas extra como texto: escriba hh:mm (ej. 1:30)",IF(AND(ISNUMBER(Q1720),COUNTIFS(M_RUTN,V1720,M_MES,B1720,M_LIQ,"&lt;&gt;")&gt;1),"⚠ Liquidación repetida en el mes",IF(AND(ISNUMBER(O1720),ISNUMBER(P1720),ISNUMBER(Q1720),ABS(O1720-P1720-Q1720)&gt;1),"⚠ Haberes − descuentos no da el líquido","OK"))))))</f>
        <v/>
      </c>
      <c r="V1720" s="62" t="str">
        <f aca="false">IF(C1720="","",IFERROR(VALUE(LEFT(UPPER(SUBSTITUTE(SUBSTITUTE(SUBSTITUTE(TRIM(C1720),".",""),"-","")," ","")),LEN(UPPER(SUBSTITUTE(SUBSTITUTE(SUBSTITUTE(TRIM(C1720),".",""),"-","")," ","")))-1))&amp;RIGHT(UPPER(SUBSTITUTE(SUBSTITUTE(SUBSTITUTE(TRIM(C1720),".",""),"-","")," ","")),1),UPPER(SUBSTITUTE(SUBSTITUTE(SUBSTITUTE(TRIM(C1720),".",""),"-","")," ",""))))</f>
        <v/>
      </c>
    </row>
    <row r="1721" customFormat="false" ht="15" hidden="false" customHeight="false" outlineLevel="0" collapsed="false">
      <c r="B1721" s="80"/>
      <c r="C1721" s="58"/>
      <c r="D1721" s="62" t="str">
        <f aca="false">IF(C1721="","",IFERROR(INDEX(T_NOMBRE,MATCH(V1721,T_RUTN,0)),"⚠ RUT no está en Trabajadores"))</f>
        <v/>
      </c>
      <c r="E1721" s="61"/>
      <c r="F1721" s="61"/>
      <c r="G1721" s="61"/>
      <c r="H1721" s="61"/>
      <c r="I1721" s="81"/>
      <c r="J1721" s="81"/>
      <c r="K1721" s="60"/>
      <c r="L1721" s="60"/>
      <c r="M1721" s="60"/>
      <c r="N1721" s="60"/>
      <c r="O1721" s="60"/>
      <c r="P1721" s="60"/>
      <c r="Q1721" s="60"/>
      <c r="R1721" s="58"/>
      <c r="S1721" s="62" t="str">
        <f aca="false">IF(OR(B1721="",V1721=""),"",IFERROR(INDEX(C_TIPO,MATCH(V1721&amp;"-P"&amp;MAX(1,COUNTIFS(C_RUTN,V1721,C_DEF,"Sí",C_INI,"&lt;="&amp;EOMONTH(B1721,0))),C_CLAVE,0))&amp;"","Sin contrato"))</f>
        <v/>
      </c>
      <c r="T1721" s="63" t="str">
        <f aca="false">IF(OR(B1721="",N(O1721)=0),"",N(O1721)+ROUND(MIN(N(N1721),TOPE_UF*UF_MES)*(TASA_EMP+MUTUAL),0)+ROUND(MIN(N(N1721),TOPE_AFC_UF*UF_MES)*IF(S1721="Indefinido",AFC_INDEF,AFC_PF),0))</f>
        <v/>
      </c>
      <c r="U1721" s="62" t="str">
        <f aca="false">IF(C1721="","",IF(LEFT(D1721,1)="⚠","⚠ RUT no registrado en Trabajadores",IF(B1721="","⚠ Falta el mes",IF(OR(ISTEXT(I1721),ISTEXT(J1721)),"⚠ Atrasos u horas extra como texto: escriba hh:mm (ej. 1:30)",IF(AND(ISNUMBER(Q1721),COUNTIFS(M_RUTN,V1721,M_MES,B1721,M_LIQ,"&lt;&gt;")&gt;1),"⚠ Liquidación repetida en el mes",IF(AND(ISNUMBER(O1721),ISNUMBER(P1721),ISNUMBER(Q1721),ABS(O1721-P1721-Q1721)&gt;1),"⚠ Haberes − descuentos no da el líquido","OK"))))))</f>
        <v/>
      </c>
      <c r="V1721" s="62" t="str">
        <f aca="false">IF(C1721="","",IFERROR(VALUE(LEFT(UPPER(SUBSTITUTE(SUBSTITUTE(SUBSTITUTE(TRIM(C1721),".",""),"-","")," ","")),LEN(UPPER(SUBSTITUTE(SUBSTITUTE(SUBSTITUTE(TRIM(C1721),".",""),"-","")," ","")))-1))&amp;RIGHT(UPPER(SUBSTITUTE(SUBSTITUTE(SUBSTITUTE(TRIM(C1721),".",""),"-","")," ","")),1),UPPER(SUBSTITUTE(SUBSTITUTE(SUBSTITUTE(TRIM(C1721),".",""),"-","")," ",""))))</f>
        <v/>
      </c>
    </row>
    <row r="1722" customFormat="false" ht="15" hidden="false" customHeight="false" outlineLevel="0" collapsed="false">
      <c r="B1722" s="80"/>
      <c r="C1722" s="58"/>
      <c r="D1722" s="62" t="str">
        <f aca="false">IF(C1722="","",IFERROR(INDEX(T_NOMBRE,MATCH(V1722,T_RUTN,0)),"⚠ RUT no está en Trabajadores"))</f>
        <v/>
      </c>
      <c r="E1722" s="61"/>
      <c r="F1722" s="61"/>
      <c r="G1722" s="61"/>
      <c r="H1722" s="61"/>
      <c r="I1722" s="81"/>
      <c r="J1722" s="81"/>
      <c r="K1722" s="60"/>
      <c r="L1722" s="60"/>
      <c r="M1722" s="60"/>
      <c r="N1722" s="60"/>
      <c r="O1722" s="60"/>
      <c r="P1722" s="60"/>
      <c r="Q1722" s="60"/>
      <c r="R1722" s="58"/>
      <c r="S1722" s="62" t="str">
        <f aca="false">IF(OR(B1722="",V1722=""),"",IFERROR(INDEX(C_TIPO,MATCH(V1722&amp;"-P"&amp;MAX(1,COUNTIFS(C_RUTN,V1722,C_DEF,"Sí",C_INI,"&lt;="&amp;EOMONTH(B1722,0))),C_CLAVE,0))&amp;"","Sin contrato"))</f>
        <v/>
      </c>
      <c r="T1722" s="63" t="str">
        <f aca="false">IF(OR(B1722="",N(O1722)=0),"",N(O1722)+ROUND(MIN(N(N1722),TOPE_UF*UF_MES)*(TASA_EMP+MUTUAL),0)+ROUND(MIN(N(N1722),TOPE_AFC_UF*UF_MES)*IF(S1722="Indefinido",AFC_INDEF,AFC_PF),0))</f>
        <v/>
      </c>
      <c r="U1722" s="62" t="str">
        <f aca="false">IF(C1722="","",IF(LEFT(D1722,1)="⚠","⚠ RUT no registrado en Trabajadores",IF(B1722="","⚠ Falta el mes",IF(OR(ISTEXT(I1722),ISTEXT(J1722)),"⚠ Atrasos u horas extra como texto: escriba hh:mm (ej. 1:30)",IF(AND(ISNUMBER(Q1722),COUNTIFS(M_RUTN,V1722,M_MES,B1722,M_LIQ,"&lt;&gt;")&gt;1),"⚠ Liquidación repetida en el mes",IF(AND(ISNUMBER(O1722),ISNUMBER(P1722),ISNUMBER(Q1722),ABS(O1722-P1722-Q1722)&gt;1),"⚠ Haberes − descuentos no da el líquido","OK"))))))</f>
        <v/>
      </c>
      <c r="V1722" s="62" t="str">
        <f aca="false">IF(C1722="","",IFERROR(VALUE(LEFT(UPPER(SUBSTITUTE(SUBSTITUTE(SUBSTITUTE(TRIM(C1722),".",""),"-","")," ","")),LEN(UPPER(SUBSTITUTE(SUBSTITUTE(SUBSTITUTE(TRIM(C1722),".",""),"-","")," ","")))-1))&amp;RIGHT(UPPER(SUBSTITUTE(SUBSTITUTE(SUBSTITUTE(TRIM(C1722),".",""),"-","")," ","")),1),UPPER(SUBSTITUTE(SUBSTITUTE(SUBSTITUTE(TRIM(C1722),".",""),"-","")," ",""))))</f>
        <v/>
      </c>
    </row>
    <row r="1723" customFormat="false" ht="15" hidden="false" customHeight="false" outlineLevel="0" collapsed="false">
      <c r="B1723" s="80"/>
      <c r="C1723" s="58"/>
      <c r="D1723" s="62" t="str">
        <f aca="false">IF(C1723="","",IFERROR(INDEX(T_NOMBRE,MATCH(V1723,T_RUTN,0)),"⚠ RUT no está en Trabajadores"))</f>
        <v/>
      </c>
      <c r="E1723" s="61"/>
      <c r="F1723" s="61"/>
      <c r="G1723" s="61"/>
      <c r="H1723" s="61"/>
      <c r="I1723" s="81"/>
      <c r="J1723" s="81"/>
      <c r="K1723" s="60"/>
      <c r="L1723" s="60"/>
      <c r="M1723" s="60"/>
      <c r="N1723" s="60"/>
      <c r="O1723" s="60"/>
      <c r="P1723" s="60"/>
      <c r="Q1723" s="60"/>
      <c r="R1723" s="58"/>
      <c r="S1723" s="62" t="str">
        <f aca="false">IF(OR(B1723="",V1723=""),"",IFERROR(INDEX(C_TIPO,MATCH(V1723&amp;"-P"&amp;MAX(1,COUNTIFS(C_RUTN,V1723,C_DEF,"Sí",C_INI,"&lt;="&amp;EOMONTH(B1723,0))),C_CLAVE,0))&amp;"","Sin contrato"))</f>
        <v/>
      </c>
      <c r="T1723" s="63" t="str">
        <f aca="false">IF(OR(B1723="",N(O1723)=0),"",N(O1723)+ROUND(MIN(N(N1723),TOPE_UF*UF_MES)*(TASA_EMP+MUTUAL),0)+ROUND(MIN(N(N1723),TOPE_AFC_UF*UF_MES)*IF(S1723="Indefinido",AFC_INDEF,AFC_PF),0))</f>
        <v/>
      </c>
      <c r="U1723" s="62" t="str">
        <f aca="false">IF(C1723="","",IF(LEFT(D1723,1)="⚠","⚠ RUT no registrado en Trabajadores",IF(B1723="","⚠ Falta el mes",IF(OR(ISTEXT(I1723),ISTEXT(J1723)),"⚠ Atrasos u horas extra como texto: escriba hh:mm (ej. 1:30)",IF(AND(ISNUMBER(Q1723),COUNTIFS(M_RUTN,V1723,M_MES,B1723,M_LIQ,"&lt;&gt;")&gt;1),"⚠ Liquidación repetida en el mes",IF(AND(ISNUMBER(O1723),ISNUMBER(P1723),ISNUMBER(Q1723),ABS(O1723-P1723-Q1723)&gt;1),"⚠ Haberes − descuentos no da el líquido","OK"))))))</f>
        <v/>
      </c>
      <c r="V1723" s="62" t="str">
        <f aca="false">IF(C1723="","",IFERROR(VALUE(LEFT(UPPER(SUBSTITUTE(SUBSTITUTE(SUBSTITUTE(TRIM(C1723),".",""),"-","")," ","")),LEN(UPPER(SUBSTITUTE(SUBSTITUTE(SUBSTITUTE(TRIM(C1723),".",""),"-","")," ","")))-1))&amp;RIGHT(UPPER(SUBSTITUTE(SUBSTITUTE(SUBSTITUTE(TRIM(C1723),".",""),"-","")," ","")),1),UPPER(SUBSTITUTE(SUBSTITUTE(SUBSTITUTE(TRIM(C1723),".",""),"-","")," ",""))))</f>
        <v/>
      </c>
    </row>
    <row r="1724" customFormat="false" ht="15" hidden="false" customHeight="false" outlineLevel="0" collapsed="false">
      <c r="B1724" s="80"/>
      <c r="C1724" s="58"/>
      <c r="D1724" s="62" t="str">
        <f aca="false">IF(C1724="","",IFERROR(INDEX(T_NOMBRE,MATCH(V1724,T_RUTN,0)),"⚠ RUT no está en Trabajadores"))</f>
        <v/>
      </c>
      <c r="E1724" s="61"/>
      <c r="F1724" s="61"/>
      <c r="G1724" s="61"/>
      <c r="H1724" s="61"/>
      <c r="I1724" s="81"/>
      <c r="J1724" s="81"/>
      <c r="K1724" s="60"/>
      <c r="L1724" s="60"/>
      <c r="M1724" s="60"/>
      <c r="N1724" s="60"/>
      <c r="O1724" s="60"/>
      <c r="P1724" s="60"/>
      <c r="Q1724" s="60"/>
      <c r="R1724" s="58"/>
      <c r="S1724" s="62" t="str">
        <f aca="false">IF(OR(B1724="",V1724=""),"",IFERROR(INDEX(C_TIPO,MATCH(V1724&amp;"-P"&amp;MAX(1,COUNTIFS(C_RUTN,V1724,C_DEF,"Sí",C_INI,"&lt;="&amp;EOMONTH(B1724,0))),C_CLAVE,0))&amp;"","Sin contrato"))</f>
        <v/>
      </c>
      <c r="T1724" s="63" t="str">
        <f aca="false">IF(OR(B1724="",N(O1724)=0),"",N(O1724)+ROUND(MIN(N(N1724),TOPE_UF*UF_MES)*(TASA_EMP+MUTUAL),0)+ROUND(MIN(N(N1724),TOPE_AFC_UF*UF_MES)*IF(S1724="Indefinido",AFC_INDEF,AFC_PF),0))</f>
        <v/>
      </c>
      <c r="U1724" s="62" t="str">
        <f aca="false">IF(C1724="","",IF(LEFT(D1724,1)="⚠","⚠ RUT no registrado en Trabajadores",IF(B1724="","⚠ Falta el mes",IF(OR(ISTEXT(I1724),ISTEXT(J1724)),"⚠ Atrasos u horas extra como texto: escriba hh:mm (ej. 1:30)",IF(AND(ISNUMBER(Q1724),COUNTIFS(M_RUTN,V1724,M_MES,B1724,M_LIQ,"&lt;&gt;")&gt;1),"⚠ Liquidación repetida en el mes",IF(AND(ISNUMBER(O1724),ISNUMBER(P1724),ISNUMBER(Q1724),ABS(O1724-P1724-Q1724)&gt;1),"⚠ Haberes − descuentos no da el líquido","OK"))))))</f>
        <v/>
      </c>
      <c r="V1724" s="62" t="str">
        <f aca="false">IF(C1724="","",IFERROR(VALUE(LEFT(UPPER(SUBSTITUTE(SUBSTITUTE(SUBSTITUTE(TRIM(C1724),".",""),"-","")," ","")),LEN(UPPER(SUBSTITUTE(SUBSTITUTE(SUBSTITUTE(TRIM(C1724),".",""),"-","")," ","")))-1))&amp;RIGHT(UPPER(SUBSTITUTE(SUBSTITUTE(SUBSTITUTE(TRIM(C1724),".",""),"-","")," ","")),1),UPPER(SUBSTITUTE(SUBSTITUTE(SUBSTITUTE(TRIM(C1724),".",""),"-","")," ",""))))</f>
        <v/>
      </c>
    </row>
    <row r="1725" customFormat="false" ht="15" hidden="false" customHeight="false" outlineLevel="0" collapsed="false">
      <c r="B1725" s="80"/>
      <c r="C1725" s="58"/>
      <c r="D1725" s="62" t="str">
        <f aca="false">IF(C1725="","",IFERROR(INDEX(T_NOMBRE,MATCH(V1725,T_RUTN,0)),"⚠ RUT no está en Trabajadores"))</f>
        <v/>
      </c>
      <c r="E1725" s="61"/>
      <c r="F1725" s="61"/>
      <c r="G1725" s="61"/>
      <c r="H1725" s="61"/>
      <c r="I1725" s="81"/>
      <c r="J1725" s="81"/>
      <c r="K1725" s="60"/>
      <c r="L1725" s="60"/>
      <c r="M1725" s="60"/>
      <c r="N1725" s="60"/>
      <c r="O1725" s="60"/>
      <c r="P1725" s="60"/>
      <c r="Q1725" s="60"/>
      <c r="R1725" s="58"/>
      <c r="S1725" s="62" t="str">
        <f aca="false">IF(OR(B1725="",V1725=""),"",IFERROR(INDEX(C_TIPO,MATCH(V1725&amp;"-P"&amp;MAX(1,COUNTIFS(C_RUTN,V1725,C_DEF,"Sí",C_INI,"&lt;="&amp;EOMONTH(B1725,0))),C_CLAVE,0))&amp;"","Sin contrato"))</f>
        <v/>
      </c>
      <c r="T1725" s="63" t="str">
        <f aca="false">IF(OR(B1725="",N(O1725)=0),"",N(O1725)+ROUND(MIN(N(N1725),TOPE_UF*UF_MES)*(TASA_EMP+MUTUAL),0)+ROUND(MIN(N(N1725),TOPE_AFC_UF*UF_MES)*IF(S1725="Indefinido",AFC_INDEF,AFC_PF),0))</f>
        <v/>
      </c>
      <c r="U1725" s="62" t="str">
        <f aca="false">IF(C1725="","",IF(LEFT(D1725,1)="⚠","⚠ RUT no registrado en Trabajadores",IF(B1725="","⚠ Falta el mes",IF(OR(ISTEXT(I1725),ISTEXT(J1725)),"⚠ Atrasos u horas extra como texto: escriba hh:mm (ej. 1:30)",IF(AND(ISNUMBER(Q1725),COUNTIFS(M_RUTN,V1725,M_MES,B1725,M_LIQ,"&lt;&gt;")&gt;1),"⚠ Liquidación repetida en el mes",IF(AND(ISNUMBER(O1725),ISNUMBER(P1725),ISNUMBER(Q1725),ABS(O1725-P1725-Q1725)&gt;1),"⚠ Haberes − descuentos no da el líquido","OK"))))))</f>
        <v/>
      </c>
      <c r="V1725" s="62" t="str">
        <f aca="false">IF(C1725="","",IFERROR(VALUE(LEFT(UPPER(SUBSTITUTE(SUBSTITUTE(SUBSTITUTE(TRIM(C1725),".",""),"-","")," ","")),LEN(UPPER(SUBSTITUTE(SUBSTITUTE(SUBSTITUTE(TRIM(C1725),".",""),"-","")," ","")))-1))&amp;RIGHT(UPPER(SUBSTITUTE(SUBSTITUTE(SUBSTITUTE(TRIM(C1725),".",""),"-","")," ","")),1),UPPER(SUBSTITUTE(SUBSTITUTE(SUBSTITUTE(TRIM(C1725),".",""),"-","")," ",""))))</f>
        <v/>
      </c>
    </row>
    <row r="1726" customFormat="false" ht="15" hidden="false" customHeight="false" outlineLevel="0" collapsed="false">
      <c r="B1726" s="80"/>
      <c r="C1726" s="58"/>
      <c r="D1726" s="62" t="str">
        <f aca="false">IF(C1726="","",IFERROR(INDEX(T_NOMBRE,MATCH(V1726,T_RUTN,0)),"⚠ RUT no está en Trabajadores"))</f>
        <v/>
      </c>
      <c r="E1726" s="61"/>
      <c r="F1726" s="61"/>
      <c r="G1726" s="61"/>
      <c r="H1726" s="61"/>
      <c r="I1726" s="81"/>
      <c r="J1726" s="81"/>
      <c r="K1726" s="60"/>
      <c r="L1726" s="60"/>
      <c r="M1726" s="60"/>
      <c r="N1726" s="60"/>
      <c r="O1726" s="60"/>
      <c r="P1726" s="60"/>
      <c r="Q1726" s="60"/>
      <c r="R1726" s="58"/>
      <c r="S1726" s="62" t="str">
        <f aca="false">IF(OR(B1726="",V1726=""),"",IFERROR(INDEX(C_TIPO,MATCH(V1726&amp;"-P"&amp;MAX(1,COUNTIFS(C_RUTN,V1726,C_DEF,"Sí",C_INI,"&lt;="&amp;EOMONTH(B1726,0))),C_CLAVE,0))&amp;"","Sin contrato"))</f>
        <v/>
      </c>
      <c r="T1726" s="63" t="str">
        <f aca="false">IF(OR(B1726="",N(O1726)=0),"",N(O1726)+ROUND(MIN(N(N1726),TOPE_UF*UF_MES)*(TASA_EMP+MUTUAL),0)+ROUND(MIN(N(N1726),TOPE_AFC_UF*UF_MES)*IF(S1726="Indefinido",AFC_INDEF,AFC_PF),0))</f>
        <v/>
      </c>
      <c r="U1726" s="62" t="str">
        <f aca="false">IF(C1726="","",IF(LEFT(D1726,1)="⚠","⚠ RUT no registrado en Trabajadores",IF(B1726="","⚠ Falta el mes",IF(OR(ISTEXT(I1726),ISTEXT(J1726)),"⚠ Atrasos u horas extra como texto: escriba hh:mm (ej. 1:30)",IF(AND(ISNUMBER(Q1726),COUNTIFS(M_RUTN,V1726,M_MES,B1726,M_LIQ,"&lt;&gt;")&gt;1),"⚠ Liquidación repetida en el mes",IF(AND(ISNUMBER(O1726),ISNUMBER(P1726),ISNUMBER(Q1726),ABS(O1726-P1726-Q1726)&gt;1),"⚠ Haberes − descuentos no da el líquido","OK"))))))</f>
        <v/>
      </c>
      <c r="V1726" s="62" t="str">
        <f aca="false">IF(C1726="","",IFERROR(VALUE(LEFT(UPPER(SUBSTITUTE(SUBSTITUTE(SUBSTITUTE(TRIM(C1726),".",""),"-","")," ","")),LEN(UPPER(SUBSTITUTE(SUBSTITUTE(SUBSTITUTE(TRIM(C1726),".",""),"-","")," ","")))-1))&amp;RIGHT(UPPER(SUBSTITUTE(SUBSTITUTE(SUBSTITUTE(TRIM(C1726),".",""),"-","")," ","")),1),UPPER(SUBSTITUTE(SUBSTITUTE(SUBSTITUTE(TRIM(C1726),".",""),"-","")," ",""))))</f>
        <v/>
      </c>
    </row>
    <row r="1727" customFormat="false" ht="15" hidden="false" customHeight="false" outlineLevel="0" collapsed="false">
      <c r="B1727" s="80"/>
      <c r="C1727" s="58"/>
      <c r="D1727" s="62" t="str">
        <f aca="false">IF(C1727="","",IFERROR(INDEX(T_NOMBRE,MATCH(V1727,T_RUTN,0)),"⚠ RUT no está en Trabajadores"))</f>
        <v/>
      </c>
      <c r="E1727" s="61"/>
      <c r="F1727" s="61"/>
      <c r="G1727" s="61"/>
      <c r="H1727" s="61"/>
      <c r="I1727" s="81"/>
      <c r="J1727" s="81"/>
      <c r="K1727" s="60"/>
      <c r="L1727" s="60"/>
      <c r="M1727" s="60"/>
      <c r="N1727" s="60"/>
      <c r="O1727" s="60"/>
      <c r="P1727" s="60"/>
      <c r="Q1727" s="60"/>
      <c r="R1727" s="58"/>
      <c r="S1727" s="62" t="str">
        <f aca="false">IF(OR(B1727="",V1727=""),"",IFERROR(INDEX(C_TIPO,MATCH(V1727&amp;"-P"&amp;MAX(1,COUNTIFS(C_RUTN,V1727,C_DEF,"Sí",C_INI,"&lt;="&amp;EOMONTH(B1727,0))),C_CLAVE,0))&amp;"","Sin contrato"))</f>
        <v/>
      </c>
      <c r="T1727" s="63" t="str">
        <f aca="false">IF(OR(B1727="",N(O1727)=0),"",N(O1727)+ROUND(MIN(N(N1727),TOPE_UF*UF_MES)*(TASA_EMP+MUTUAL),0)+ROUND(MIN(N(N1727),TOPE_AFC_UF*UF_MES)*IF(S1727="Indefinido",AFC_INDEF,AFC_PF),0))</f>
        <v/>
      </c>
      <c r="U1727" s="62" t="str">
        <f aca="false">IF(C1727="","",IF(LEFT(D1727,1)="⚠","⚠ RUT no registrado en Trabajadores",IF(B1727="","⚠ Falta el mes",IF(OR(ISTEXT(I1727),ISTEXT(J1727)),"⚠ Atrasos u horas extra como texto: escriba hh:mm (ej. 1:30)",IF(AND(ISNUMBER(Q1727),COUNTIFS(M_RUTN,V1727,M_MES,B1727,M_LIQ,"&lt;&gt;")&gt;1),"⚠ Liquidación repetida en el mes",IF(AND(ISNUMBER(O1727),ISNUMBER(P1727),ISNUMBER(Q1727),ABS(O1727-P1727-Q1727)&gt;1),"⚠ Haberes − descuentos no da el líquido","OK"))))))</f>
        <v/>
      </c>
      <c r="V1727" s="62" t="str">
        <f aca="false">IF(C1727="","",IFERROR(VALUE(LEFT(UPPER(SUBSTITUTE(SUBSTITUTE(SUBSTITUTE(TRIM(C1727),".",""),"-","")," ","")),LEN(UPPER(SUBSTITUTE(SUBSTITUTE(SUBSTITUTE(TRIM(C1727),".",""),"-","")," ","")))-1))&amp;RIGHT(UPPER(SUBSTITUTE(SUBSTITUTE(SUBSTITUTE(TRIM(C1727),".",""),"-","")," ","")),1),UPPER(SUBSTITUTE(SUBSTITUTE(SUBSTITUTE(TRIM(C1727),".",""),"-","")," ",""))))</f>
        <v/>
      </c>
    </row>
    <row r="1728" customFormat="false" ht="15" hidden="false" customHeight="false" outlineLevel="0" collapsed="false">
      <c r="B1728" s="80"/>
      <c r="C1728" s="58"/>
      <c r="D1728" s="62" t="str">
        <f aca="false">IF(C1728="","",IFERROR(INDEX(T_NOMBRE,MATCH(V1728,T_RUTN,0)),"⚠ RUT no está en Trabajadores"))</f>
        <v/>
      </c>
      <c r="E1728" s="61"/>
      <c r="F1728" s="61"/>
      <c r="G1728" s="61"/>
      <c r="H1728" s="61"/>
      <c r="I1728" s="81"/>
      <c r="J1728" s="81"/>
      <c r="K1728" s="60"/>
      <c r="L1728" s="60"/>
      <c r="M1728" s="60"/>
      <c r="N1728" s="60"/>
      <c r="O1728" s="60"/>
      <c r="P1728" s="60"/>
      <c r="Q1728" s="60"/>
      <c r="R1728" s="58"/>
      <c r="S1728" s="62" t="str">
        <f aca="false">IF(OR(B1728="",V1728=""),"",IFERROR(INDEX(C_TIPO,MATCH(V1728&amp;"-P"&amp;MAX(1,COUNTIFS(C_RUTN,V1728,C_DEF,"Sí",C_INI,"&lt;="&amp;EOMONTH(B1728,0))),C_CLAVE,0))&amp;"","Sin contrato"))</f>
        <v/>
      </c>
      <c r="T1728" s="63" t="str">
        <f aca="false">IF(OR(B1728="",N(O1728)=0),"",N(O1728)+ROUND(MIN(N(N1728),TOPE_UF*UF_MES)*(TASA_EMP+MUTUAL),0)+ROUND(MIN(N(N1728),TOPE_AFC_UF*UF_MES)*IF(S1728="Indefinido",AFC_INDEF,AFC_PF),0))</f>
        <v/>
      </c>
      <c r="U1728" s="62" t="str">
        <f aca="false">IF(C1728="","",IF(LEFT(D1728,1)="⚠","⚠ RUT no registrado en Trabajadores",IF(B1728="","⚠ Falta el mes",IF(OR(ISTEXT(I1728),ISTEXT(J1728)),"⚠ Atrasos u horas extra como texto: escriba hh:mm (ej. 1:30)",IF(AND(ISNUMBER(Q1728),COUNTIFS(M_RUTN,V1728,M_MES,B1728,M_LIQ,"&lt;&gt;")&gt;1),"⚠ Liquidación repetida en el mes",IF(AND(ISNUMBER(O1728),ISNUMBER(P1728),ISNUMBER(Q1728),ABS(O1728-P1728-Q1728)&gt;1),"⚠ Haberes − descuentos no da el líquido","OK"))))))</f>
        <v/>
      </c>
      <c r="V1728" s="62" t="str">
        <f aca="false">IF(C1728="","",IFERROR(VALUE(LEFT(UPPER(SUBSTITUTE(SUBSTITUTE(SUBSTITUTE(TRIM(C1728),".",""),"-","")," ","")),LEN(UPPER(SUBSTITUTE(SUBSTITUTE(SUBSTITUTE(TRIM(C1728),".",""),"-","")," ","")))-1))&amp;RIGHT(UPPER(SUBSTITUTE(SUBSTITUTE(SUBSTITUTE(TRIM(C1728),".",""),"-","")," ","")),1),UPPER(SUBSTITUTE(SUBSTITUTE(SUBSTITUTE(TRIM(C1728),".",""),"-","")," ",""))))</f>
        <v/>
      </c>
    </row>
    <row r="1729" customFormat="false" ht="15" hidden="false" customHeight="false" outlineLevel="0" collapsed="false">
      <c r="B1729" s="80"/>
      <c r="C1729" s="58"/>
      <c r="D1729" s="62" t="str">
        <f aca="false">IF(C1729="","",IFERROR(INDEX(T_NOMBRE,MATCH(V1729,T_RUTN,0)),"⚠ RUT no está en Trabajadores"))</f>
        <v/>
      </c>
      <c r="E1729" s="61"/>
      <c r="F1729" s="61"/>
      <c r="G1729" s="61"/>
      <c r="H1729" s="61"/>
      <c r="I1729" s="81"/>
      <c r="J1729" s="81"/>
      <c r="K1729" s="60"/>
      <c r="L1729" s="60"/>
      <c r="M1729" s="60"/>
      <c r="N1729" s="60"/>
      <c r="O1729" s="60"/>
      <c r="P1729" s="60"/>
      <c r="Q1729" s="60"/>
      <c r="R1729" s="58"/>
      <c r="S1729" s="62" t="str">
        <f aca="false">IF(OR(B1729="",V1729=""),"",IFERROR(INDEX(C_TIPO,MATCH(V1729&amp;"-P"&amp;MAX(1,COUNTIFS(C_RUTN,V1729,C_DEF,"Sí",C_INI,"&lt;="&amp;EOMONTH(B1729,0))),C_CLAVE,0))&amp;"","Sin contrato"))</f>
        <v/>
      </c>
      <c r="T1729" s="63" t="str">
        <f aca="false">IF(OR(B1729="",N(O1729)=0),"",N(O1729)+ROUND(MIN(N(N1729),TOPE_UF*UF_MES)*(TASA_EMP+MUTUAL),0)+ROUND(MIN(N(N1729),TOPE_AFC_UF*UF_MES)*IF(S1729="Indefinido",AFC_INDEF,AFC_PF),0))</f>
        <v/>
      </c>
      <c r="U1729" s="62" t="str">
        <f aca="false">IF(C1729="","",IF(LEFT(D1729,1)="⚠","⚠ RUT no registrado en Trabajadores",IF(B1729="","⚠ Falta el mes",IF(OR(ISTEXT(I1729),ISTEXT(J1729)),"⚠ Atrasos u horas extra como texto: escriba hh:mm (ej. 1:30)",IF(AND(ISNUMBER(Q1729),COUNTIFS(M_RUTN,V1729,M_MES,B1729,M_LIQ,"&lt;&gt;")&gt;1),"⚠ Liquidación repetida en el mes",IF(AND(ISNUMBER(O1729),ISNUMBER(P1729),ISNUMBER(Q1729),ABS(O1729-P1729-Q1729)&gt;1),"⚠ Haberes − descuentos no da el líquido","OK"))))))</f>
        <v/>
      </c>
      <c r="V1729" s="62" t="str">
        <f aca="false">IF(C1729="","",IFERROR(VALUE(LEFT(UPPER(SUBSTITUTE(SUBSTITUTE(SUBSTITUTE(TRIM(C1729),".",""),"-","")," ","")),LEN(UPPER(SUBSTITUTE(SUBSTITUTE(SUBSTITUTE(TRIM(C1729),".",""),"-","")," ","")))-1))&amp;RIGHT(UPPER(SUBSTITUTE(SUBSTITUTE(SUBSTITUTE(TRIM(C1729),".",""),"-","")," ","")),1),UPPER(SUBSTITUTE(SUBSTITUTE(SUBSTITUTE(TRIM(C1729),".",""),"-","")," ",""))))</f>
        <v/>
      </c>
    </row>
    <row r="1730" customFormat="false" ht="15" hidden="false" customHeight="false" outlineLevel="0" collapsed="false">
      <c r="B1730" s="80"/>
      <c r="C1730" s="58"/>
      <c r="D1730" s="62" t="str">
        <f aca="false">IF(C1730="","",IFERROR(INDEX(T_NOMBRE,MATCH(V1730,T_RUTN,0)),"⚠ RUT no está en Trabajadores"))</f>
        <v/>
      </c>
      <c r="E1730" s="61"/>
      <c r="F1730" s="61"/>
      <c r="G1730" s="61"/>
      <c r="H1730" s="61"/>
      <c r="I1730" s="81"/>
      <c r="J1730" s="81"/>
      <c r="K1730" s="60"/>
      <c r="L1730" s="60"/>
      <c r="M1730" s="60"/>
      <c r="N1730" s="60"/>
      <c r="O1730" s="60"/>
      <c r="P1730" s="60"/>
      <c r="Q1730" s="60"/>
      <c r="R1730" s="58"/>
      <c r="S1730" s="62" t="str">
        <f aca="false">IF(OR(B1730="",V1730=""),"",IFERROR(INDEX(C_TIPO,MATCH(V1730&amp;"-P"&amp;MAX(1,COUNTIFS(C_RUTN,V1730,C_DEF,"Sí",C_INI,"&lt;="&amp;EOMONTH(B1730,0))),C_CLAVE,0))&amp;"","Sin contrato"))</f>
        <v/>
      </c>
      <c r="T1730" s="63" t="str">
        <f aca="false">IF(OR(B1730="",N(O1730)=0),"",N(O1730)+ROUND(MIN(N(N1730),TOPE_UF*UF_MES)*(TASA_EMP+MUTUAL),0)+ROUND(MIN(N(N1730),TOPE_AFC_UF*UF_MES)*IF(S1730="Indefinido",AFC_INDEF,AFC_PF),0))</f>
        <v/>
      </c>
      <c r="U1730" s="62" t="str">
        <f aca="false">IF(C1730="","",IF(LEFT(D1730,1)="⚠","⚠ RUT no registrado en Trabajadores",IF(B1730="","⚠ Falta el mes",IF(OR(ISTEXT(I1730),ISTEXT(J1730)),"⚠ Atrasos u horas extra como texto: escriba hh:mm (ej. 1:30)",IF(AND(ISNUMBER(Q1730),COUNTIFS(M_RUTN,V1730,M_MES,B1730,M_LIQ,"&lt;&gt;")&gt;1),"⚠ Liquidación repetida en el mes",IF(AND(ISNUMBER(O1730),ISNUMBER(P1730),ISNUMBER(Q1730),ABS(O1730-P1730-Q1730)&gt;1),"⚠ Haberes − descuentos no da el líquido","OK"))))))</f>
        <v/>
      </c>
      <c r="V1730" s="62" t="str">
        <f aca="false">IF(C1730="","",IFERROR(VALUE(LEFT(UPPER(SUBSTITUTE(SUBSTITUTE(SUBSTITUTE(TRIM(C1730),".",""),"-","")," ","")),LEN(UPPER(SUBSTITUTE(SUBSTITUTE(SUBSTITUTE(TRIM(C1730),".",""),"-","")," ","")))-1))&amp;RIGHT(UPPER(SUBSTITUTE(SUBSTITUTE(SUBSTITUTE(TRIM(C1730),".",""),"-","")," ","")),1),UPPER(SUBSTITUTE(SUBSTITUTE(SUBSTITUTE(TRIM(C1730),".",""),"-","")," ",""))))</f>
        <v/>
      </c>
    </row>
    <row r="1731" customFormat="false" ht="15" hidden="false" customHeight="false" outlineLevel="0" collapsed="false">
      <c r="B1731" s="80"/>
      <c r="C1731" s="58"/>
      <c r="D1731" s="62" t="str">
        <f aca="false">IF(C1731="","",IFERROR(INDEX(T_NOMBRE,MATCH(V1731,T_RUTN,0)),"⚠ RUT no está en Trabajadores"))</f>
        <v/>
      </c>
      <c r="E1731" s="61"/>
      <c r="F1731" s="61"/>
      <c r="G1731" s="61"/>
      <c r="H1731" s="61"/>
      <c r="I1731" s="81"/>
      <c r="J1731" s="81"/>
      <c r="K1731" s="60"/>
      <c r="L1731" s="60"/>
      <c r="M1731" s="60"/>
      <c r="N1731" s="60"/>
      <c r="O1731" s="60"/>
      <c r="P1731" s="60"/>
      <c r="Q1731" s="60"/>
      <c r="R1731" s="58"/>
      <c r="S1731" s="62" t="str">
        <f aca="false">IF(OR(B1731="",V1731=""),"",IFERROR(INDEX(C_TIPO,MATCH(V1731&amp;"-P"&amp;MAX(1,COUNTIFS(C_RUTN,V1731,C_DEF,"Sí",C_INI,"&lt;="&amp;EOMONTH(B1731,0))),C_CLAVE,0))&amp;"","Sin contrato"))</f>
        <v/>
      </c>
      <c r="T1731" s="63" t="str">
        <f aca="false">IF(OR(B1731="",N(O1731)=0),"",N(O1731)+ROUND(MIN(N(N1731),TOPE_UF*UF_MES)*(TASA_EMP+MUTUAL),0)+ROUND(MIN(N(N1731),TOPE_AFC_UF*UF_MES)*IF(S1731="Indefinido",AFC_INDEF,AFC_PF),0))</f>
        <v/>
      </c>
      <c r="U1731" s="62" t="str">
        <f aca="false">IF(C1731="","",IF(LEFT(D1731,1)="⚠","⚠ RUT no registrado en Trabajadores",IF(B1731="","⚠ Falta el mes",IF(OR(ISTEXT(I1731),ISTEXT(J1731)),"⚠ Atrasos u horas extra como texto: escriba hh:mm (ej. 1:30)",IF(AND(ISNUMBER(Q1731),COUNTIFS(M_RUTN,V1731,M_MES,B1731,M_LIQ,"&lt;&gt;")&gt;1),"⚠ Liquidación repetida en el mes",IF(AND(ISNUMBER(O1731),ISNUMBER(P1731),ISNUMBER(Q1731),ABS(O1731-P1731-Q1731)&gt;1),"⚠ Haberes − descuentos no da el líquido","OK"))))))</f>
        <v/>
      </c>
      <c r="V1731" s="62" t="str">
        <f aca="false">IF(C1731="","",IFERROR(VALUE(LEFT(UPPER(SUBSTITUTE(SUBSTITUTE(SUBSTITUTE(TRIM(C1731),".",""),"-","")," ","")),LEN(UPPER(SUBSTITUTE(SUBSTITUTE(SUBSTITUTE(TRIM(C1731),".",""),"-","")," ","")))-1))&amp;RIGHT(UPPER(SUBSTITUTE(SUBSTITUTE(SUBSTITUTE(TRIM(C1731),".",""),"-","")," ","")),1),UPPER(SUBSTITUTE(SUBSTITUTE(SUBSTITUTE(TRIM(C1731),".",""),"-","")," ",""))))</f>
        <v/>
      </c>
    </row>
    <row r="1732" customFormat="false" ht="15" hidden="false" customHeight="false" outlineLevel="0" collapsed="false">
      <c r="B1732" s="80"/>
      <c r="C1732" s="58"/>
      <c r="D1732" s="62" t="str">
        <f aca="false">IF(C1732="","",IFERROR(INDEX(T_NOMBRE,MATCH(V1732,T_RUTN,0)),"⚠ RUT no está en Trabajadores"))</f>
        <v/>
      </c>
      <c r="E1732" s="61"/>
      <c r="F1732" s="61"/>
      <c r="G1732" s="61"/>
      <c r="H1732" s="61"/>
      <c r="I1732" s="81"/>
      <c r="J1732" s="81"/>
      <c r="K1732" s="60"/>
      <c r="L1732" s="60"/>
      <c r="M1732" s="60"/>
      <c r="N1732" s="60"/>
      <c r="O1732" s="60"/>
      <c r="P1732" s="60"/>
      <c r="Q1732" s="60"/>
      <c r="R1732" s="58"/>
      <c r="S1732" s="62" t="str">
        <f aca="false">IF(OR(B1732="",V1732=""),"",IFERROR(INDEX(C_TIPO,MATCH(V1732&amp;"-P"&amp;MAX(1,COUNTIFS(C_RUTN,V1732,C_DEF,"Sí",C_INI,"&lt;="&amp;EOMONTH(B1732,0))),C_CLAVE,0))&amp;"","Sin contrato"))</f>
        <v/>
      </c>
      <c r="T1732" s="63" t="str">
        <f aca="false">IF(OR(B1732="",N(O1732)=0),"",N(O1732)+ROUND(MIN(N(N1732),TOPE_UF*UF_MES)*(TASA_EMP+MUTUAL),0)+ROUND(MIN(N(N1732),TOPE_AFC_UF*UF_MES)*IF(S1732="Indefinido",AFC_INDEF,AFC_PF),0))</f>
        <v/>
      </c>
      <c r="U1732" s="62" t="str">
        <f aca="false">IF(C1732="","",IF(LEFT(D1732,1)="⚠","⚠ RUT no registrado en Trabajadores",IF(B1732="","⚠ Falta el mes",IF(OR(ISTEXT(I1732),ISTEXT(J1732)),"⚠ Atrasos u horas extra como texto: escriba hh:mm (ej. 1:30)",IF(AND(ISNUMBER(Q1732),COUNTIFS(M_RUTN,V1732,M_MES,B1732,M_LIQ,"&lt;&gt;")&gt;1),"⚠ Liquidación repetida en el mes",IF(AND(ISNUMBER(O1732),ISNUMBER(P1732),ISNUMBER(Q1732),ABS(O1732-P1732-Q1732)&gt;1),"⚠ Haberes − descuentos no da el líquido","OK"))))))</f>
        <v/>
      </c>
      <c r="V1732" s="62" t="str">
        <f aca="false">IF(C1732="","",IFERROR(VALUE(LEFT(UPPER(SUBSTITUTE(SUBSTITUTE(SUBSTITUTE(TRIM(C1732),".",""),"-","")," ","")),LEN(UPPER(SUBSTITUTE(SUBSTITUTE(SUBSTITUTE(TRIM(C1732),".",""),"-","")," ","")))-1))&amp;RIGHT(UPPER(SUBSTITUTE(SUBSTITUTE(SUBSTITUTE(TRIM(C1732),".",""),"-","")," ","")),1),UPPER(SUBSTITUTE(SUBSTITUTE(SUBSTITUTE(TRIM(C1732),".",""),"-","")," ",""))))</f>
        <v/>
      </c>
    </row>
    <row r="1733" customFormat="false" ht="15" hidden="false" customHeight="false" outlineLevel="0" collapsed="false">
      <c r="B1733" s="80"/>
      <c r="C1733" s="58"/>
      <c r="D1733" s="62" t="str">
        <f aca="false">IF(C1733="","",IFERROR(INDEX(T_NOMBRE,MATCH(V1733,T_RUTN,0)),"⚠ RUT no está en Trabajadores"))</f>
        <v/>
      </c>
      <c r="E1733" s="61"/>
      <c r="F1733" s="61"/>
      <c r="G1733" s="61"/>
      <c r="H1733" s="61"/>
      <c r="I1733" s="81"/>
      <c r="J1733" s="81"/>
      <c r="K1733" s="60"/>
      <c r="L1733" s="60"/>
      <c r="M1733" s="60"/>
      <c r="N1733" s="60"/>
      <c r="O1733" s="60"/>
      <c r="P1733" s="60"/>
      <c r="Q1733" s="60"/>
      <c r="R1733" s="58"/>
      <c r="S1733" s="62" t="str">
        <f aca="false">IF(OR(B1733="",V1733=""),"",IFERROR(INDEX(C_TIPO,MATCH(V1733&amp;"-P"&amp;MAX(1,COUNTIFS(C_RUTN,V1733,C_DEF,"Sí",C_INI,"&lt;="&amp;EOMONTH(B1733,0))),C_CLAVE,0))&amp;"","Sin contrato"))</f>
        <v/>
      </c>
      <c r="T1733" s="63" t="str">
        <f aca="false">IF(OR(B1733="",N(O1733)=0),"",N(O1733)+ROUND(MIN(N(N1733),TOPE_UF*UF_MES)*(TASA_EMP+MUTUAL),0)+ROUND(MIN(N(N1733),TOPE_AFC_UF*UF_MES)*IF(S1733="Indefinido",AFC_INDEF,AFC_PF),0))</f>
        <v/>
      </c>
      <c r="U1733" s="62" t="str">
        <f aca="false">IF(C1733="","",IF(LEFT(D1733,1)="⚠","⚠ RUT no registrado en Trabajadores",IF(B1733="","⚠ Falta el mes",IF(OR(ISTEXT(I1733),ISTEXT(J1733)),"⚠ Atrasos u horas extra como texto: escriba hh:mm (ej. 1:30)",IF(AND(ISNUMBER(Q1733),COUNTIFS(M_RUTN,V1733,M_MES,B1733,M_LIQ,"&lt;&gt;")&gt;1),"⚠ Liquidación repetida en el mes",IF(AND(ISNUMBER(O1733),ISNUMBER(P1733),ISNUMBER(Q1733),ABS(O1733-P1733-Q1733)&gt;1),"⚠ Haberes − descuentos no da el líquido","OK"))))))</f>
        <v/>
      </c>
      <c r="V1733" s="62" t="str">
        <f aca="false">IF(C1733="","",IFERROR(VALUE(LEFT(UPPER(SUBSTITUTE(SUBSTITUTE(SUBSTITUTE(TRIM(C1733),".",""),"-","")," ","")),LEN(UPPER(SUBSTITUTE(SUBSTITUTE(SUBSTITUTE(TRIM(C1733),".",""),"-","")," ","")))-1))&amp;RIGHT(UPPER(SUBSTITUTE(SUBSTITUTE(SUBSTITUTE(TRIM(C1733),".",""),"-","")," ","")),1),UPPER(SUBSTITUTE(SUBSTITUTE(SUBSTITUTE(TRIM(C1733),".",""),"-","")," ",""))))</f>
        <v/>
      </c>
    </row>
    <row r="1734" customFormat="false" ht="15" hidden="false" customHeight="false" outlineLevel="0" collapsed="false">
      <c r="B1734" s="80"/>
      <c r="C1734" s="58"/>
      <c r="D1734" s="62" t="str">
        <f aca="false">IF(C1734="","",IFERROR(INDEX(T_NOMBRE,MATCH(V1734,T_RUTN,0)),"⚠ RUT no está en Trabajadores"))</f>
        <v/>
      </c>
      <c r="E1734" s="61"/>
      <c r="F1734" s="61"/>
      <c r="G1734" s="61"/>
      <c r="H1734" s="61"/>
      <c r="I1734" s="81"/>
      <c r="J1734" s="81"/>
      <c r="K1734" s="60"/>
      <c r="L1734" s="60"/>
      <c r="M1734" s="60"/>
      <c r="N1734" s="60"/>
      <c r="O1734" s="60"/>
      <c r="P1734" s="60"/>
      <c r="Q1734" s="60"/>
      <c r="R1734" s="58"/>
      <c r="S1734" s="62" t="str">
        <f aca="false">IF(OR(B1734="",V1734=""),"",IFERROR(INDEX(C_TIPO,MATCH(V1734&amp;"-P"&amp;MAX(1,COUNTIFS(C_RUTN,V1734,C_DEF,"Sí",C_INI,"&lt;="&amp;EOMONTH(B1734,0))),C_CLAVE,0))&amp;"","Sin contrato"))</f>
        <v/>
      </c>
      <c r="T1734" s="63" t="str">
        <f aca="false">IF(OR(B1734="",N(O1734)=0),"",N(O1734)+ROUND(MIN(N(N1734),TOPE_UF*UF_MES)*(TASA_EMP+MUTUAL),0)+ROUND(MIN(N(N1734),TOPE_AFC_UF*UF_MES)*IF(S1734="Indefinido",AFC_INDEF,AFC_PF),0))</f>
        <v/>
      </c>
      <c r="U1734" s="62" t="str">
        <f aca="false">IF(C1734="","",IF(LEFT(D1734,1)="⚠","⚠ RUT no registrado en Trabajadores",IF(B1734="","⚠ Falta el mes",IF(OR(ISTEXT(I1734),ISTEXT(J1734)),"⚠ Atrasos u horas extra como texto: escriba hh:mm (ej. 1:30)",IF(AND(ISNUMBER(Q1734),COUNTIFS(M_RUTN,V1734,M_MES,B1734,M_LIQ,"&lt;&gt;")&gt;1),"⚠ Liquidación repetida en el mes",IF(AND(ISNUMBER(O1734),ISNUMBER(P1734),ISNUMBER(Q1734),ABS(O1734-P1734-Q1734)&gt;1),"⚠ Haberes − descuentos no da el líquido","OK"))))))</f>
        <v/>
      </c>
      <c r="V1734" s="62" t="str">
        <f aca="false">IF(C1734="","",IFERROR(VALUE(LEFT(UPPER(SUBSTITUTE(SUBSTITUTE(SUBSTITUTE(TRIM(C1734),".",""),"-","")," ","")),LEN(UPPER(SUBSTITUTE(SUBSTITUTE(SUBSTITUTE(TRIM(C1734),".",""),"-","")," ","")))-1))&amp;RIGHT(UPPER(SUBSTITUTE(SUBSTITUTE(SUBSTITUTE(TRIM(C1734),".",""),"-","")," ","")),1),UPPER(SUBSTITUTE(SUBSTITUTE(SUBSTITUTE(TRIM(C1734),".",""),"-","")," ",""))))</f>
        <v/>
      </c>
    </row>
    <row r="1735" customFormat="false" ht="15" hidden="false" customHeight="false" outlineLevel="0" collapsed="false">
      <c r="B1735" s="80"/>
      <c r="C1735" s="58"/>
      <c r="D1735" s="62" t="str">
        <f aca="false">IF(C1735="","",IFERROR(INDEX(T_NOMBRE,MATCH(V1735,T_RUTN,0)),"⚠ RUT no está en Trabajadores"))</f>
        <v/>
      </c>
      <c r="E1735" s="61"/>
      <c r="F1735" s="61"/>
      <c r="G1735" s="61"/>
      <c r="H1735" s="61"/>
      <c r="I1735" s="81"/>
      <c r="J1735" s="81"/>
      <c r="K1735" s="60"/>
      <c r="L1735" s="60"/>
      <c r="M1735" s="60"/>
      <c r="N1735" s="60"/>
      <c r="O1735" s="60"/>
      <c r="P1735" s="60"/>
      <c r="Q1735" s="60"/>
      <c r="R1735" s="58"/>
      <c r="S1735" s="62" t="str">
        <f aca="false">IF(OR(B1735="",V1735=""),"",IFERROR(INDEX(C_TIPO,MATCH(V1735&amp;"-P"&amp;MAX(1,COUNTIFS(C_RUTN,V1735,C_DEF,"Sí",C_INI,"&lt;="&amp;EOMONTH(B1735,0))),C_CLAVE,0))&amp;"","Sin contrato"))</f>
        <v/>
      </c>
      <c r="T1735" s="63" t="str">
        <f aca="false">IF(OR(B1735="",N(O1735)=0),"",N(O1735)+ROUND(MIN(N(N1735),TOPE_UF*UF_MES)*(TASA_EMP+MUTUAL),0)+ROUND(MIN(N(N1735),TOPE_AFC_UF*UF_MES)*IF(S1735="Indefinido",AFC_INDEF,AFC_PF),0))</f>
        <v/>
      </c>
      <c r="U1735" s="62" t="str">
        <f aca="false">IF(C1735="","",IF(LEFT(D1735,1)="⚠","⚠ RUT no registrado en Trabajadores",IF(B1735="","⚠ Falta el mes",IF(OR(ISTEXT(I1735),ISTEXT(J1735)),"⚠ Atrasos u horas extra como texto: escriba hh:mm (ej. 1:30)",IF(AND(ISNUMBER(Q1735),COUNTIFS(M_RUTN,V1735,M_MES,B1735,M_LIQ,"&lt;&gt;")&gt;1),"⚠ Liquidación repetida en el mes",IF(AND(ISNUMBER(O1735),ISNUMBER(P1735),ISNUMBER(Q1735),ABS(O1735-P1735-Q1735)&gt;1),"⚠ Haberes − descuentos no da el líquido","OK"))))))</f>
        <v/>
      </c>
      <c r="V1735" s="62" t="str">
        <f aca="false">IF(C1735="","",IFERROR(VALUE(LEFT(UPPER(SUBSTITUTE(SUBSTITUTE(SUBSTITUTE(TRIM(C1735),".",""),"-","")," ","")),LEN(UPPER(SUBSTITUTE(SUBSTITUTE(SUBSTITUTE(TRIM(C1735),".",""),"-","")," ","")))-1))&amp;RIGHT(UPPER(SUBSTITUTE(SUBSTITUTE(SUBSTITUTE(TRIM(C1735),".",""),"-","")," ","")),1),UPPER(SUBSTITUTE(SUBSTITUTE(SUBSTITUTE(TRIM(C1735),".",""),"-","")," ",""))))</f>
        <v/>
      </c>
    </row>
    <row r="1736" customFormat="false" ht="15" hidden="false" customHeight="false" outlineLevel="0" collapsed="false">
      <c r="B1736" s="80"/>
      <c r="C1736" s="58"/>
      <c r="D1736" s="62" t="str">
        <f aca="false">IF(C1736="","",IFERROR(INDEX(T_NOMBRE,MATCH(V1736,T_RUTN,0)),"⚠ RUT no está en Trabajadores"))</f>
        <v/>
      </c>
      <c r="E1736" s="61"/>
      <c r="F1736" s="61"/>
      <c r="G1736" s="61"/>
      <c r="H1736" s="61"/>
      <c r="I1736" s="81"/>
      <c r="J1736" s="81"/>
      <c r="K1736" s="60"/>
      <c r="L1736" s="60"/>
      <c r="M1736" s="60"/>
      <c r="N1736" s="60"/>
      <c r="O1736" s="60"/>
      <c r="P1736" s="60"/>
      <c r="Q1736" s="60"/>
      <c r="R1736" s="58"/>
      <c r="S1736" s="62" t="str">
        <f aca="false">IF(OR(B1736="",V1736=""),"",IFERROR(INDEX(C_TIPO,MATCH(V1736&amp;"-P"&amp;MAX(1,COUNTIFS(C_RUTN,V1736,C_DEF,"Sí",C_INI,"&lt;="&amp;EOMONTH(B1736,0))),C_CLAVE,0))&amp;"","Sin contrato"))</f>
        <v/>
      </c>
      <c r="T1736" s="63" t="str">
        <f aca="false">IF(OR(B1736="",N(O1736)=0),"",N(O1736)+ROUND(MIN(N(N1736),TOPE_UF*UF_MES)*(TASA_EMP+MUTUAL),0)+ROUND(MIN(N(N1736),TOPE_AFC_UF*UF_MES)*IF(S1736="Indefinido",AFC_INDEF,AFC_PF),0))</f>
        <v/>
      </c>
      <c r="U1736" s="62" t="str">
        <f aca="false">IF(C1736="","",IF(LEFT(D1736,1)="⚠","⚠ RUT no registrado en Trabajadores",IF(B1736="","⚠ Falta el mes",IF(OR(ISTEXT(I1736),ISTEXT(J1736)),"⚠ Atrasos u horas extra como texto: escriba hh:mm (ej. 1:30)",IF(AND(ISNUMBER(Q1736),COUNTIFS(M_RUTN,V1736,M_MES,B1736,M_LIQ,"&lt;&gt;")&gt;1),"⚠ Liquidación repetida en el mes",IF(AND(ISNUMBER(O1736),ISNUMBER(P1736),ISNUMBER(Q1736),ABS(O1736-P1736-Q1736)&gt;1),"⚠ Haberes − descuentos no da el líquido","OK"))))))</f>
        <v/>
      </c>
      <c r="V1736" s="62" t="str">
        <f aca="false">IF(C1736="","",IFERROR(VALUE(LEFT(UPPER(SUBSTITUTE(SUBSTITUTE(SUBSTITUTE(TRIM(C1736),".",""),"-","")," ","")),LEN(UPPER(SUBSTITUTE(SUBSTITUTE(SUBSTITUTE(TRIM(C1736),".",""),"-","")," ","")))-1))&amp;RIGHT(UPPER(SUBSTITUTE(SUBSTITUTE(SUBSTITUTE(TRIM(C1736),".",""),"-","")," ","")),1),UPPER(SUBSTITUTE(SUBSTITUTE(SUBSTITUTE(TRIM(C1736),".",""),"-","")," ",""))))</f>
        <v/>
      </c>
    </row>
    <row r="1737" customFormat="false" ht="15" hidden="false" customHeight="false" outlineLevel="0" collapsed="false">
      <c r="B1737" s="80"/>
      <c r="C1737" s="58"/>
      <c r="D1737" s="62" t="str">
        <f aca="false">IF(C1737="","",IFERROR(INDEX(T_NOMBRE,MATCH(V1737,T_RUTN,0)),"⚠ RUT no está en Trabajadores"))</f>
        <v/>
      </c>
      <c r="E1737" s="61"/>
      <c r="F1737" s="61"/>
      <c r="G1737" s="61"/>
      <c r="H1737" s="61"/>
      <c r="I1737" s="81"/>
      <c r="J1737" s="81"/>
      <c r="K1737" s="60"/>
      <c r="L1737" s="60"/>
      <c r="M1737" s="60"/>
      <c r="N1737" s="60"/>
      <c r="O1737" s="60"/>
      <c r="P1737" s="60"/>
      <c r="Q1737" s="60"/>
      <c r="R1737" s="58"/>
      <c r="S1737" s="62" t="str">
        <f aca="false">IF(OR(B1737="",V1737=""),"",IFERROR(INDEX(C_TIPO,MATCH(V1737&amp;"-P"&amp;MAX(1,COUNTIFS(C_RUTN,V1737,C_DEF,"Sí",C_INI,"&lt;="&amp;EOMONTH(B1737,0))),C_CLAVE,0))&amp;"","Sin contrato"))</f>
        <v/>
      </c>
      <c r="T1737" s="63" t="str">
        <f aca="false">IF(OR(B1737="",N(O1737)=0),"",N(O1737)+ROUND(MIN(N(N1737),TOPE_UF*UF_MES)*(TASA_EMP+MUTUAL),0)+ROUND(MIN(N(N1737),TOPE_AFC_UF*UF_MES)*IF(S1737="Indefinido",AFC_INDEF,AFC_PF),0))</f>
        <v/>
      </c>
      <c r="U1737" s="62" t="str">
        <f aca="false">IF(C1737="","",IF(LEFT(D1737,1)="⚠","⚠ RUT no registrado en Trabajadores",IF(B1737="","⚠ Falta el mes",IF(OR(ISTEXT(I1737),ISTEXT(J1737)),"⚠ Atrasos u horas extra como texto: escriba hh:mm (ej. 1:30)",IF(AND(ISNUMBER(Q1737),COUNTIFS(M_RUTN,V1737,M_MES,B1737,M_LIQ,"&lt;&gt;")&gt;1),"⚠ Liquidación repetida en el mes",IF(AND(ISNUMBER(O1737),ISNUMBER(P1737),ISNUMBER(Q1737),ABS(O1737-P1737-Q1737)&gt;1),"⚠ Haberes − descuentos no da el líquido","OK"))))))</f>
        <v/>
      </c>
      <c r="V1737" s="62" t="str">
        <f aca="false">IF(C1737="","",IFERROR(VALUE(LEFT(UPPER(SUBSTITUTE(SUBSTITUTE(SUBSTITUTE(TRIM(C1737),".",""),"-","")," ","")),LEN(UPPER(SUBSTITUTE(SUBSTITUTE(SUBSTITUTE(TRIM(C1737),".",""),"-","")," ","")))-1))&amp;RIGHT(UPPER(SUBSTITUTE(SUBSTITUTE(SUBSTITUTE(TRIM(C1737),".",""),"-","")," ","")),1),UPPER(SUBSTITUTE(SUBSTITUTE(SUBSTITUTE(TRIM(C1737),".",""),"-","")," ",""))))</f>
        <v/>
      </c>
    </row>
    <row r="1738" customFormat="false" ht="15" hidden="false" customHeight="false" outlineLevel="0" collapsed="false">
      <c r="B1738" s="80"/>
      <c r="C1738" s="58"/>
      <c r="D1738" s="62" t="str">
        <f aca="false">IF(C1738="","",IFERROR(INDEX(T_NOMBRE,MATCH(V1738,T_RUTN,0)),"⚠ RUT no está en Trabajadores"))</f>
        <v/>
      </c>
      <c r="E1738" s="61"/>
      <c r="F1738" s="61"/>
      <c r="G1738" s="61"/>
      <c r="H1738" s="61"/>
      <c r="I1738" s="81"/>
      <c r="J1738" s="81"/>
      <c r="K1738" s="60"/>
      <c r="L1738" s="60"/>
      <c r="M1738" s="60"/>
      <c r="N1738" s="60"/>
      <c r="O1738" s="60"/>
      <c r="P1738" s="60"/>
      <c r="Q1738" s="60"/>
      <c r="R1738" s="58"/>
      <c r="S1738" s="62" t="str">
        <f aca="false">IF(OR(B1738="",V1738=""),"",IFERROR(INDEX(C_TIPO,MATCH(V1738&amp;"-P"&amp;MAX(1,COUNTIFS(C_RUTN,V1738,C_DEF,"Sí",C_INI,"&lt;="&amp;EOMONTH(B1738,0))),C_CLAVE,0))&amp;"","Sin contrato"))</f>
        <v/>
      </c>
      <c r="T1738" s="63" t="str">
        <f aca="false">IF(OR(B1738="",N(O1738)=0),"",N(O1738)+ROUND(MIN(N(N1738),TOPE_UF*UF_MES)*(TASA_EMP+MUTUAL),0)+ROUND(MIN(N(N1738),TOPE_AFC_UF*UF_MES)*IF(S1738="Indefinido",AFC_INDEF,AFC_PF),0))</f>
        <v/>
      </c>
      <c r="U1738" s="62" t="str">
        <f aca="false">IF(C1738="","",IF(LEFT(D1738,1)="⚠","⚠ RUT no registrado en Trabajadores",IF(B1738="","⚠ Falta el mes",IF(OR(ISTEXT(I1738),ISTEXT(J1738)),"⚠ Atrasos u horas extra como texto: escriba hh:mm (ej. 1:30)",IF(AND(ISNUMBER(Q1738),COUNTIFS(M_RUTN,V1738,M_MES,B1738,M_LIQ,"&lt;&gt;")&gt;1),"⚠ Liquidación repetida en el mes",IF(AND(ISNUMBER(O1738),ISNUMBER(P1738),ISNUMBER(Q1738),ABS(O1738-P1738-Q1738)&gt;1),"⚠ Haberes − descuentos no da el líquido","OK"))))))</f>
        <v/>
      </c>
      <c r="V1738" s="62" t="str">
        <f aca="false">IF(C1738="","",IFERROR(VALUE(LEFT(UPPER(SUBSTITUTE(SUBSTITUTE(SUBSTITUTE(TRIM(C1738),".",""),"-","")," ","")),LEN(UPPER(SUBSTITUTE(SUBSTITUTE(SUBSTITUTE(TRIM(C1738),".",""),"-","")," ","")))-1))&amp;RIGHT(UPPER(SUBSTITUTE(SUBSTITUTE(SUBSTITUTE(TRIM(C1738),".",""),"-","")," ","")),1),UPPER(SUBSTITUTE(SUBSTITUTE(SUBSTITUTE(TRIM(C1738),".",""),"-","")," ",""))))</f>
        <v/>
      </c>
    </row>
    <row r="1739" customFormat="false" ht="15" hidden="false" customHeight="false" outlineLevel="0" collapsed="false">
      <c r="B1739" s="80"/>
      <c r="C1739" s="58"/>
      <c r="D1739" s="62" t="str">
        <f aca="false">IF(C1739="","",IFERROR(INDEX(T_NOMBRE,MATCH(V1739,T_RUTN,0)),"⚠ RUT no está en Trabajadores"))</f>
        <v/>
      </c>
      <c r="E1739" s="61"/>
      <c r="F1739" s="61"/>
      <c r="G1739" s="61"/>
      <c r="H1739" s="61"/>
      <c r="I1739" s="81"/>
      <c r="J1739" s="81"/>
      <c r="K1739" s="60"/>
      <c r="L1739" s="60"/>
      <c r="M1739" s="60"/>
      <c r="N1739" s="60"/>
      <c r="O1739" s="60"/>
      <c r="P1739" s="60"/>
      <c r="Q1739" s="60"/>
      <c r="R1739" s="58"/>
      <c r="S1739" s="62" t="str">
        <f aca="false">IF(OR(B1739="",V1739=""),"",IFERROR(INDEX(C_TIPO,MATCH(V1739&amp;"-P"&amp;MAX(1,COUNTIFS(C_RUTN,V1739,C_DEF,"Sí",C_INI,"&lt;="&amp;EOMONTH(B1739,0))),C_CLAVE,0))&amp;"","Sin contrato"))</f>
        <v/>
      </c>
      <c r="T1739" s="63" t="str">
        <f aca="false">IF(OR(B1739="",N(O1739)=0),"",N(O1739)+ROUND(MIN(N(N1739),TOPE_UF*UF_MES)*(TASA_EMP+MUTUAL),0)+ROUND(MIN(N(N1739),TOPE_AFC_UF*UF_MES)*IF(S1739="Indefinido",AFC_INDEF,AFC_PF),0))</f>
        <v/>
      </c>
      <c r="U1739" s="62" t="str">
        <f aca="false">IF(C1739="","",IF(LEFT(D1739,1)="⚠","⚠ RUT no registrado en Trabajadores",IF(B1739="","⚠ Falta el mes",IF(OR(ISTEXT(I1739),ISTEXT(J1739)),"⚠ Atrasos u horas extra como texto: escriba hh:mm (ej. 1:30)",IF(AND(ISNUMBER(Q1739),COUNTIFS(M_RUTN,V1739,M_MES,B1739,M_LIQ,"&lt;&gt;")&gt;1),"⚠ Liquidación repetida en el mes",IF(AND(ISNUMBER(O1739),ISNUMBER(P1739),ISNUMBER(Q1739),ABS(O1739-P1739-Q1739)&gt;1),"⚠ Haberes − descuentos no da el líquido","OK"))))))</f>
        <v/>
      </c>
      <c r="V1739" s="62" t="str">
        <f aca="false">IF(C1739="","",IFERROR(VALUE(LEFT(UPPER(SUBSTITUTE(SUBSTITUTE(SUBSTITUTE(TRIM(C1739),".",""),"-","")," ","")),LEN(UPPER(SUBSTITUTE(SUBSTITUTE(SUBSTITUTE(TRIM(C1739),".",""),"-","")," ","")))-1))&amp;RIGHT(UPPER(SUBSTITUTE(SUBSTITUTE(SUBSTITUTE(TRIM(C1739),".",""),"-","")," ","")),1),UPPER(SUBSTITUTE(SUBSTITUTE(SUBSTITUTE(TRIM(C1739),".",""),"-","")," ",""))))</f>
        <v/>
      </c>
    </row>
    <row r="1740" customFormat="false" ht="15" hidden="false" customHeight="false" outlineLevel="0" collapsed="false">
      <c r="B1740" s="80"/>
      <c r="C1740" s="58"/>
      <c r="D1740" s="62" t="str">
        <f aca="false">IF(C1740="","",IFERROR(INDEX(T_NOMBRE,MATCH(V1740,T_RUTN,0)),"⚠ RUT no está en Trabajadores"))</f>
        <v/>
      </c>
      <c r="E1740" s="61"/>
      <c r="F1740" s="61"/>
      <c r="G1740" s="61"/>
      <c r="H1740" s="61"/>
      <c r="I1740" s="81"/>
      <c r="J1740" s="81"/>
      <c r="K1740" s="60"/>
      <c r="L1740" s="60"/>
      <c r="M1740" s="60"/>
      <c r="N1740" s="60"/>
      <c r="O1740" s="60"/>
      <c r="P1740" s="60"/>
      <c r="Q1740" s="60"/>
      <c r="R1740" s="58"/>
      <c r="S1740" s="62" t="str">
        <f aca="false">IF(OR(B1740="",V1740=""),"",IFERROR(INDEX(C_TIPO,MATCH(V1740&amp;"-P"&amp;MAX(1,COUNTIFS(C_RUTN,V1740,C_DEF,"Sí",C_INI,"&lt;="&amp;EOMONTH(B1740,0))),C_CLAVE,0))&amp;"","Sin contrato"))</f>
        <v/>
      </c>
      <c r="T1740" s="63" t="str">
        <f aca="false">IF(OR(B1740="",N(O1740)=0),"",N(O1740)+ROUND(MIN(N(N1740),TOPE_UF*UF_MES)*(TASA_EMP+MUTUAL),0)+ROUND(MIN(N(N1740),TOPE_AFC_UF*UF_MES)*IF(S1740="Indefinido",AFC_INDEF,AFC_PF),0))</f>
        <v/>
      </c>
      <c r="U1740" s="62" t="str">
        <f aca="false">IF(C1740="","",IF(LEFT(D1740,1)="⚠","⚠ RUT no registrado en Trabajadores",IF(B1740="","⚠ Falta el mes",IF(OR(ISTEXT(I1740),ISTEXT(J1740)),"⚠ Atrasos u horas extra como texto: escriba hh:mm (ej. 1:30)",IF(AND(ISNUMBER(Q1740),COUNTIFS(M_RUTN,V1740,M_MES,B1740,M_LIQ,"&lt;&gt;")&gt;1),"⚠ Liquidación repetida en el mes",IF(AND(ISNUMBER(O1740),ISNUMBER(P1740),ISNUMBER(Q1740),ABS(O1740-P1740-Q1740)&gt;1),"⚠ Haberes − descuentos no da el líquido","OK"))))))</f>
        <v/>
      </c>
      <c r="V1740" s="62" t="str">
        <f aca="false">IF(C1740="","",IFERROR(VALUE(LEFT(UPPER(SUBSTITUTE(SUBSTITUTE(SUBSTITUTE(TRIM(C1740),".",""),"-","")," ","")),LEN(UPPER(SUBSTITUTE(SUBSTITUTE(SUBSTITUTE(TRIM(C1740),".",""),"-","")," ","")))-1))&amp;RIGHT(UPPER(SUBSTITUTE(SUBSTITUTE(SUBSTITUTE(TRIM(C1740),".",""),"-","")," ","")),1),UPPER(SUBSTITUTE(SUBSTITUTE(SUBSTITUTE(TRIM(C1740),".",""),"-","")," ",""))))</f>
        <v/>
      </c>
    </row>
    <row r="1741" customFormat="false" ht="15" hidden="false" customHeight="false" outlineLevel="0" collapsed="false">
      <c r="B1741" s="80"/>
      <c r="C1741" s="58"/>
      <c r="D1741" s="62" t="str">
        <f aca="false">IF(C1741="","",IFERROR(INDEX(T_NOMBRE,MATCH(V1741,T_RUTN,0)),"⚠ RUT no está en Trabajadores"))</f>
        <v/>
      </c>
      <c r="E1741" s="61"/>
      <c r="F1741" s="61"/>
      <c r="G1741" s="61"/>
      <c r="H1741" s="61"/>
      <c r="I1741" s="81"/>
      <c r="J1741" s="81"/>
      <c r="K1741" s="60"/>
      <c r="L1741" s="60"/>
      <c r="M1741" s="60"/>
      <c r="N1741" s="60"/>
      <c r="O1741" s="60"/>
      <c r="P1741" s="60"/>
      <c r="Q1741" s="60"/>
      <c r="R1741" s="58"/>
      <c r="S1741" s="62" t="str">
        <f aca="false">IF(OR(B1741="",V1741=""),"",IFERROR(INDEX(C_TIPO,MATCH(V1741&amp;"-P"&amp;MAX(1,COUNTIFS(C_RUTN,V1741,C_DEF,"Sí",C_INI,"&lt;="&amp;EOMONTH(B1741,0))),C_CLAVE,0))&amp;"","Sin contrato"))</f>
        <v/>
      </c>
      <c r="T1741" s="63" t="str">
        <f aca="false">IF(OR(B1741="",N(O1741)=0),"",N(O1741)+ROUND(MIN(N(N1741),TOPE_UF*UF_MES)*(TASA_EMP+MUTUAL),0)+ROUND(MIN(N(N1741),TOPE_AFC_UF*UF_MES)*IF(S1741="Indefinido",AFC_INDEF,AFC_PF),0))</f>
        <v/>
      </c>
      <c r="U1741" s="62" t="str">
        <f aca="false">IF(C1741="","",IF(LEFT(D1741,1)="⚠","⚠ RUT no registrado en Trabajadores",IF(B1741="","⚠ Falta el mes",IF(OR(ISTEXT(I1741),ISTEXT(J1741)),"⚠ Atrasos u horas extra como texto: escriba hh:mm (ej. 1:30)",IF(AND(ISNUMBER(Q1741),COUNTIFS(M_RUTN,V1741,M_MES,B1741,M_LIQ,"&lt;&gt;")&gt;1),"⚠ Liquidación repetida en el mes",IF(AND(ISNUMBER(O1741),ISNUMBER(P1741),ISNUMBER(Q1741),ABS(O1741-P1741-Q1741)&gt;1),"⚠ Haberes − descuentos no da el líquido","OK"))))))</f>
        <v/>
      </c>
      <c r="V1741" s="62" t="str">
        <f aca="false">IF(C1741="","",IFERROR(VALUE(LEFT(UPPER(SUBSTITUTE(SUBSTITUTE(SUBSTITUTE(TRIM(C1741),".",""),"-","")," ","")),LEN(UPPER(SUBSTITUTE(SUBSTITUTE(SUBSTITUTE(TRIM(C1741),".",""),"-","")," ","")))-1))&amp;RIGHT(UPPER(SUBSTITUTE(SUBSTITUTE(SUBSTITUTE(TRIM(C1741),".",""),"-","")," ","")),1),UPPER(SUBSTITUTE(SUBSTITUTE(SUBSTITUTE(TRIM(C1741),".",""),"-","")," ",""))))</f>
        <v/>
      </c>
    </row>
    <row r="1742" customFormat="false" ht="15" hidden="false" customHeight="false" outlineLevel="0" collapsed="false">
      <c r="B1742" s="80"/>
      <c r="C1742" s="58"/>
      <c r="D1742" s="62" t="str">
        <f aca="false">IF(C1742="","",IFERROR(INDEX(T_NOMBRE,MATCH(V1742,T_RUTN,0)),"⚠ RUT no está en Trabajadores"))</f>
        <v/>
      </c>
      <c r="E1742" s="61"/>
      <c r="F1742" s="61"/>
      <c r="G1742" s="61"/>
      <c r="H1742" s="61"/>
      <c r="I1742" s="81"/>
      <c r="J1742" s="81"/>
      <c r="K1742" s="60"/>
      <c r="L1742" s="60"/>
      <c r="M1742" s="60"/>
      <c r="N1742" s="60"/>
      <c r="O1742" s="60"/>
      <c r="P1742" s="60"/>
      <c r="Q1742" s="60"/>
      <c r="R1742" s="58"/>
      <c r="S1742" s="62" t="str">
        <f aca="false">IF(OR(B1742="",V1742=""),"",IFERROR(INDEX(C_TIPO,MATCH(V1742&amp;"-P"&amp;MAX(1,COUNTIFS(C_RUTN,V1742,C_DEF,"Sí",C_INI,"&lt;="&amp;EOMONTH(B1742,0))),C_CLAVE,0))&amp;"","Sin contrato"))</f>
        <v/>
      </c>
      <c r="T1742" s="63" t="str">
        <f aca="false">IF(OR(B1742="",N(O1742)=0),"",N(O1742)+ROUND(MIN(N(N1742),TOPE_UF*UF_MES)*(TASA_EMP+MUTUAL),0)+ROUND(MIN(N(N1742),TOPE_AFC_UF*UF_MES)*IF(S1742="Indefinido",AFC_INDEF,AFC_PF),0))</f>
        <v/>
      </c>
      <c r="U1742" s="62" t="str">
        <f aca="false">IF(C1742="","",IF(LEFT(D1742,1)="⚠","⚠ RUT no registrado en Trabajadores",IF(B1742="","⚠ Falta el mes",IF(OR(ISTEXT(I1742),ISTEXT(J1742)),"⚠ Atrasos u horas extra como texto: escriba hh:mm (ej. 1:30)",IF(AND(ISNUMBER(Q1742),COUNTIFS(M_RUTN,V1742,M_MES,B1742,M_LIQ,"&lt;&gt;")&gt;1),"⚠ Liquidación repetida en el mes",IF(AND(ISNUMBER(O1742),ISNUMBER(P1742),ISNUMBER(Q1742),ABS(O1742-P1742-Q1742)&gt;1),"⚠ Haberes − descuentos no da el líquido","OK"))))))</f>
        <v/>
      </c>
      <c r="V1742" s="62" t="str">
        <f aca="false">IF(C1742="","",IFERROR(VALUE(LEFT(UPPER(SUBSTITUTE(SUBSTITUTE(SUBSTITUTE(TRIM(C1742),".",""),"-","")," ","")),LEN(UPPER(SUBSTITUTE(SUBSTITUTE(SUBSTITUTE(TRIM(C1742),".",""),"-","")," ","")))-1))&amp;RIGHT(UPPER(SUBSTITUTE(SUBSTITUTE(SUBSTITUTE(TRIM(C1742),".",""),"-","")," ","")),1),UPPER(SUBSTITUTE(SUBSTITUTE(SUBSTITUTE(TRIM(C1742),".",""),"-","")," ",""))))</f>
        <v/>
      </c>
    </row>
    <row r="1743" customFormat="false" ht="15" hidden="false" customHeight="false" outlineLevel="0" collapsed="false">
      <c r="B1743" s="80"/>
      <c r="C1743" s="58"/>
      <c r="D1743" s="62" t="str">
        <f aca="false">IF(C1743="","",IFERROR(INDEX(T_NOMBRE,MATCH(V1743,T_RUTN,0)),"⚠ RUT no está en Trabajadores"))</f>
        <v/>
      </c>
      <c r="E1743" s="61"/>
      <c r="F1743" s="61"/>
      <c r="G1743" s="61"/>
      <c r="H1743" s="61"/>
      <c r="I1743" s="81"/>
      <c r="J1743" s="81"/>
      <c r="K1743" s="60"/>
      <c r="L1743" s="60"/>
      <c r="M1743" s="60"/>
      <c r="N1743" s="60"/>
      <c r="O1743" s="60"/>
      <c r="P1743" s="60"/>
      <c r="Q1743" s="60"/>
      <c r="R1743" s="58"/>
      <c r="S1743" s="62" t="str">
        <f aca="false">IF(OR(B1743="",V1743=""),"",IFERROR(INDEX(C_TIPO,MATCH(V1743&amp;"-P"&amp;MAX(1,COUNTIFS(C_RUTN,V1743,C_DEF,"Sí",C_INI,"&lt;="&amp;EOMONTH(B1743,0))),C_CLAVE,0))&amp;"","Sin contrato"))</f>
        <v/>
      </c>
      <c r="T1743" s="63" t="str">
        <f aca="false">IF(OR(B1743="",N(O1743)=0),"",N(O1743)+ROUND(MIN(N(N1743),TOPE_UF*UF_MES)*(TASA_EMP+MUTUAL),0)+ROUND(MIN(N(N1743),TOPE_AFC_UF*UF_MES)*IF(S1743="Indefinido",AFC_INDEF,AFC_PF),0))</f>
        <v/>
      </c>
      <c r="U1743" s="62" t="str">
        <f aca="false">IF(C1743="","",IF(LEFT(D1743,1)="⚠","⚠ RUT no registrado en Trabajadores",IF(B1743="","⚠ Falta el mes",IF(OR(ISTEXT(I1743),ISTEXT(J1743)),"⚠ Atrasos u horas extra como texto: escriba hh:mm (ej. 1:30)",IF(AND(ISNUMBER(Q1743),COUNTIFS(M_RUTN,V1743,M_MES,B1743,M_LIQ,"&lt;&gt;")&gt;1),"⚠ Liquidación repetida en el mes",IF(AND(ISNUMBER(O1743),ISNUMBER(P1743),ISNUMBER(Q1743),ABS(O1743-P1743-Q1743)&gt;1),"⚠ Haberes − descuentos no da el líquido","OK"))))))</f>
        <v/>
      </c>
      <c r="V1743" s="62" t="str">
        <f aca="false">IF(C1743="","",IFERROR(VALUE(LEFT(UPPER(SUBSTITUTE(SUBSTITUTE(SUBSTITUTE(TRIM(C1743),".",""),"-","")," ","")),LEN(UPPER(SUBSTITUTE(SUBSTITUTE(SUBSTITUTE(TRIM(C1743),".",""),"-","")," ","")))-1))&amp;RIGHT(UPPER(SUBSTITUTE(SUBSTITUTE(SUBSTITUTE(TRIM(C1743),".",""),"-","")," ","")),1),UPPER(SUBSTITUTE(SUBSTITUTE(SUBSTITUTE(TRIM(C1743),".",""),"-","")," ",""))))</f>
        <v/>
      </c>
    </row>
    <row r="1744" customFormat="false" ht="15" hidden="false" customHeight="false" outlineLevel="0" collapsed="false">
      <c r="B1744" s="80"/>
      <c r="C1744" s="58"/>
      <c r="D1744" s="62" t="str">
        <f aca="false">IF(C1744="","",IFERROR(INDEX(T_NOMBRE,MATCH(V1744,T_RUTN,0)),"⚠ RUT no está en Trabajadores"))</f>
        <v/>
      </c>
      <c r="E1744" s="61"/>
      <c r="F1744" s="61"/>
      <c r="G1744" s="61"/>
      <c r="H1744" s="61"/>
      <c r="I1744" s="81"/>
      <c r="J1744" s="81"/>
      <c r="K1744" s="60"/>
      <c r="L1744" s="60"/>
      <c r="M1744" s="60"/>
      <c r="N1744" s="60"/>
      <c r="O1744" s="60"/>
      <c r="P1744" s="60"/>
      <c r="Q1744" s="60"/>
      <c r="R1744" s="58"/>
      <c r="S1744" s="62" t="str">
        <f aca="false">IF(OR(B1744="",V1744=""),"",IFERROR(INDEX(C_TIPO,MATCH(V1744&amp;"-P"&amp;MAX(1,COUNTIFS(C_RUTN,V1744,C_DEF,"Sí",C_INI,"&lt;="&amp;EOMONTH(B1744,0))),C_CLAVE,0))&amp;"","Sin contrato"))</f>
        <v/>
      </c>
      <c r="T1744" s="63" t="str">
        <f aca="false">IF(OR(B1744="",N(O1744)=0),"",N(O1744)+ROUND(MIN(N(N1744),TOPE_UF*UF_MES)*(TASA_EMP+MUTUAL),0)+ROUND(MIN(N(N1744),TOPE_AFC_UF*UF_MES)*IF(S1744="Indefinido",AFC_INDEF,AFC_PF),0))</f>
        <v/>
      </c>
      <c r="U1744" s="62" t="str">
        <f aca="false">IF(C1744="","",IF(LEFT(D1744,1)="⚠","⚠ RUT no registrado en Trabajadores",IF(B1744="","⚠ Falta el mes",IF(OR(ISTEXT(I1744),ISTEXT(J1744)),"⚠ Atrasos u horas extra como texto: escriba hh:mm (ej. 1:30)",IF(AND(ISNUMBER(Q1744),COUNTIFS(M_RUTN,V1744,M_MES,B1744,M_LIQ,"&lt;&gt;")&gt;1),"⚠ Liquidación repetida en el mes",IF(AND(ISNUMBER(O1744),ISNUMBER(P1744),ISNUMBER(Q1744),ABS(O1744-P1744-Q1744)&gt;1),"⚠ Haberes − descuentos no da el líquido","OK"))))))</f>
        <v/>
      </c>
      <c r="V1744" s="62" t="str">
        <f aca="false">IF(C1744="","",IFERROR(VALUE(LEFT(UPPER(SUBSTITUTE(SUBSTITUTE(SUBSTITUTE(TRIM(C1744),".",""),"-","")," ","")),LEN(UPPER(SUBSTITUTE(SUBSTITUTE(SUBSTITUTE(TRIM(C1744),".",""),"-","")," ","")))-1))&amp;RIGHT(UPPER(SUBSTITUTE(SUBSTITUTE(SUBSTITUTE(TRIM(C1744),".",""),"-","")," ","")),1),UPPER(SUBSTITUTE(SUBSTITUTE(SUBSTITUTE(TRIM(C1744),".",""),"-","")," ",""))))</f>
        <v/>
      </c>
    </row>
    <row r="1745" customFormat="false" ht="15" hidden="false" customHeight="false" outlineLevel="0" collapsed="false">
      <c r="B1745" s="80"/>
      <c r="C1745" s="58"/>
      <c r="D1745" s="62" t="str">
        <f aca="false">IF(C1745="","",IFERROR(INDEX(T_NOMBRE,MATCH(V1745,T_RUTN,0)),"⚠ RUT no está en Trabajadores"))</f>
        <v/>
      </c>
      <c r="E1745" s="61"/>
      <c r="F1745" s="61"/>
      <c r="G1745" s="61"/>
      <c r="H1745" s="61"/>
      <c r="I1745" s="81"/>
      <c r="J1745" s="81"/>
      <c r="K1745" s="60"/>
      <c r="L1745" s="60"/>
      <c r="M1745" s="60"/>
      <c r="N1745" s="60"/>
      <c r="O1745" s="60"/>
      <c r="P1745" s="60"/>
      <c r="Q1745" s="60"/>
      <c r="R1745" s="58"/>
      <c r="S1745" s="62" t="str">
        <f aca="false">IF(OR(B1745="",V1745=""),"",IFERROR(INDEX(C_TIPO,MATCH(V1745&amp;"-P"&amp;MAX(1,COUNTIFS(C_RUTN,V1745,C_DEF,"Sí",C_INI,"&lt;="&amp;EOMONTH(B1745,0))),C_CLAVE,0))&amp;"","Sin contrato"))</f>
        <v/>
      </c>
      <c r="T1745" s="63" t="str">
        <f aca="false">IF(OR(B1745="",N(O1745)=0),"",N(O1745)+ROUND(MIN(N(N1745),TOPE_UF*UF_MES)*(TASA_EMP+MUTUAL),0)+ROUND(MIN(N(N1745),TOPE_AFC_UF*UF_MES)*IF(S1745="Indefinido",AFC_INDEF,AFC_PF),0))</f>
        <v/>
      </c>
      <c r="U1745" s="62" t="str">
        <f aca="false">IF(C1745="","",IF(LEFT(D1745,1)="⚠","⚠ RUT no registrado en Trabajadores",IF(B1745="","⚠ Falta el mes",IF(OR(ISTEXT(I1745),ISTEXT(J1745)),"⚠ Atrasos u horas extra como texto: escriba hh:mm (ej. 1:30)",IF(AND(ISNUMBER(Q1745),COUNTIFS(M_RUTN,V1745,M_MES,B1745,M_LIQ,"&lt;&gt;")&gt;1),"⚠ Liquidación repetida en el mes",IF(AND(ISNUMBER(O1745),ISNUMBER(P1745),ISNUMBER(Q1745),ABS(O1745-P1745-Q1745)&gt;1),"⚠ Haberes − descuentos no da el líquido","OK"))))))</f>
        <v/>
      </c>
      <c r="V1745" s="62" t="str">
        <f aca="false">IF(C1745="","",IFERROR(VALUE(LEFT(UPPER(SUBSTITUTE(SUBSTITUTE(SUBSTITUTE(TRIM(C1745),".",""),"-","")," ","")),LEN(UPPER(SUBSTITUTE(SUBSTITUTE(SUBSTITUTE(TRIM(C1745),".",""),"-","")," ","")))-1))&amp;RIGHT(UPPER(SUBSTITUTE(SUBSTITUTE(SUBSTITUTE(TRIM(C1745),".",""),"-","")," ","")),1),UPPER(SUBSTITUTE(SUBSTITUTE(SUBSTITUTE(TRIM(C1745),".",""),"-","")," ",""))))</f>
        <v/>
      </c>
    </row>
    <row r="1746" customFormat="false" ht="15" hidden="false" customHeight="false" outlineLevel="0" collapsed="false">
      <c r="B1746" s="80"/>
      <c r="C1746" s="58"/>
      <c r="D1746" s="62" t="str">
        <f aca="false">IF(C1746="","",IFERROR(INDEX(T_NOMBRE,MATCH(V1746,T_RUTN,0)),"⚠ RUT no está en Trabajadores"))</f>
        <v/>
      </c>
      <c r="E1746" s="61"/>
      <c r="F1746" s="61"/>
      <c r="G1746" s="61"/>
      <c r="H1746" s="61"/>
      <c r="I1746" s="81"/>
      <c r="J1746" s="81"/>
      <c r="K1746" s="60"/>
      <c r="L1746" s="60"/>
      <c r="M1746" s="60"/>
      <c r="N1746" s="60"/>
      <c r="O1746" s="60"/>
      <c r="P1746" s="60"/>
      <c r="Q1746" s="60"/>
      <c r="R1746" s="58"/>
      <c r="S1746" s="62" t="str">
        <f aca="false">IF(OR(B1746="",V1746=""),"",IFERROR(INDEX(C_TIPO,MATCH(V1746&amp;"-P"&amp;MAX(1,COUNTIFS(C_RUTN,V1746,C_DEF,"Sí",C_INI,"&lt;="&amp;EOMONTH(B1746,0))),C_CLAVE,0))&amp;"","Sin contrato"))</f>
        <v/>
      </c>
      <c r="T1746" s="63" t="str">
        <f aca="false">IF(OR(B1746="",N(O1746)=0),"",N(O1746)+ROUND(MIN(N(N1746),TOPE_UF*UF_MES)*(TASA_EMP+MUTUAL),0)+ROUND(MIN(N(N1746),TOPE_AFC_UF*UF_MES)*IF(S1746="Indefinido",AFC_INDEF,AFC_PF),0))</f>
        <v/>
      </c>
      <c r="U1746" s="62" t="str">
        <f aca="false">IF(C1746="","",IF(LEFT(D1746,1)="⚠","⚠ RUT no registrado en Trabajadores",IF(B1746="","⚠ Falta el mes",IF(OR(ISTEXT(I1746),ISTEXT(J1746)),"⚠ Atrasos u horas extra como texto: escriba hh:mm (ej. 1:30)",IF(AND(ISNUMBER(Q1746),COUNTIFS(M_RUTN,V1746,M_MES,B1746,M_LIQ,"&lt;&gt;")&gt;1),"⚠ Liquidación repetida en el mes",IF(AND(ISNUMBER(O1746),ISNUMBER(P1746),ISNUMBER(Q1746),ABS(O1746-P1746-Q1746)&gt;1),"⚠ Haberes − descuentos no da el líquido","OK"))))))</f>
        <v/>
      </c>
      <c r="V1746" s="62" t="str">
        <f aca="false">IF(C1746="","",IFERROR(VALUE(LEFT(UPPER(SUBSTITUTE(SUBSTITUTE(SUBSTITUTE(TRIM(C1746),".",""),"-","")," ","")),LEN(UPPER(SUBSTITUTE(SUBSTITUTE(SUBSTITUTE(TRIM(C1746),".",""),"-","")," ","")))-1))&amp;RIGHT(UPPER(SUBSTITUTE(SUBSTITUTE(SUBSTITUTE(TRIM(C1746),".",""),"-","")," ","")),1),UPPER(SUBSTITUTE(SUBSTITUTE(SUBSTITUTE(TRIM(C1746),".",""),"-","")," ",""))))</f>
        <v/>
      </c>
    </row>
    <row r="1747" customFormat="false" ht="15" hidden="false" customHeight="false" outlineLevel="0" collapsed="false">
      <c r="B1747" s="80"/>
      <c r="C1747" s="58"/>
      <c r="D1747" s="62" t="str">
        <f aca="false">IF(C1747="","",IFERROR(INDEX(T_NOMBRE,MATCH(V1747,T_RUTN,0)),"⚠ RUT no está en Trabajadores"))</f>
        <v/>
      </c>
      <c r="E1747" s="61"/>
      <c r="F1747" s="61"/>
      <c r="G1747" s="61"/>
      <c r="H1747" s="61"/>
      <c r="I1747" s="81"/>
      <c r="J1747" s="81"/>
      <c r="K1747" s="60"/>
      <c r="L1747" s="60"/>
      <c r="M1747" s="60"/>
      <c r="N1747" s="60"/>
      <c r="O1747" s="60"/>
      <c r="P1747" s="60"/>
      <c r="Q1747" s="60"/>
      <c r="R1747" s="58"/>
      <c r="S1747" s="62" t="str">
        <f aca="false">IF(OR(B1747="",V1747=""),"",IFERROR(INDEX(C_TIPO,MATCH(V1747&amp;"-P"&amp;MAX(1,COUNTIFS(C_RUTN,V1747,C_DEF,"Sí",C_INI,"&lt;="&amp;EOMONTH(B1747,0))),C_CLAVE,0))&amp;"","Sin contrato"))</f>
        <v/>
      </c>
      <c r="T1747" s="63" t="str">
        <f aca="false">IF(OR(B1747="",N(O1747)=0),"",N(O1747)+ROUND(MIN(N(N1747),TOPE_UF*UF_MES)*(TASA_EMP+MUTUAL),0)+ROUND(MIN(N(N1747),TOPE_AFC_UF*UF_MES)*IF(S1747="Indefinido",AFC_INDEF,AFC_PF),0))</f>
        <v/>
      </c>
      <c r="U1747" s="62" t="str">
        <f aca="false">IF(C1747="","",IF(LEFT(D1747,1)="⚠","⚠ RUT no registrado en Trabajadores",IF(B1747="","⚠ Falta el mes",IF(OR(ISTEXT(I1747),ISTEXT(J1747)),"⚠ Atrasos u horas extra como texto: escriba hh:mm (ej. 1:30)",IF(AND(ISNUMBER(Q1747),COUNTIFS(M_RUTN,V1747,M_MES,B1747,M_LIQ,"&lt;&gt;")&gt;1),"⚠ Liquidación repetida en el mes",IF(AND(ISNUMBER(O1747),ISNUMBER(P1747),ISNUMBER(Q1747),ABS(O1747-P1747-Q1747)&gt;1),"⚠ Haberes − descuentos no da el líquido","OK"))))))</f>
        <v/>
      </c>
      <c r="V1747" s="62" t="str">
        <f aca="false">IF(C1747="","",IFERROR(VALUE(LEFT(UPPER(SUBSTITUTE(SUBSTITUTE(SUBSTITUTE(TRIM(C1747),".",""),"-","")," ","")),LEN(UPPER(SUBSTITUTE(SUBSTITUTE(SUBSTITUTE(TRIM(C1747),".",""),"-","")," ","")))-1))&amp;RIGHT(UPPER(SUBSTITUTE(SUBSTITUTE(SUBSTITUTE(TRIM(C1747),".",""),"-","")," ","")),1),UPPER(SUBSTITUTE(SUBSTITUTE(SUBSTITUTE(TRIM(C1747),".",""),"-","")," ",""))))</f>
        <v/>
      </c>
    </row>
    <row r="1748" customFormat="false" ht="15" hidden="false" customHeight="false" outlineLevel="0" collapsed="false">
      <c r="B1748" s="80"/>
      <c r="C1748" s="58"/>
      <c r="D1748" s="62" t="str">
        <f aca="false">IF(C1748="","",IFERROR(INDEX(T_NOMBRE,MATCH(V1748,T_RUTN,0)),"⚠ RUT no está en Trabajadores"))</f>
        <v/>
      </c>
      <c r="E1748" s="61"/>
      <c r="F1748" s="61"/>
      <c r="G1748" s="61"/>
      <c r="H1748" s="61"/>
      <c r="I1748" s="81"/>
      <c r="J1748" s="81"/>
      <c r="K1748" s="60"/>
      <c r="L1748" s="60"/>
      <c r="M1748" s="60"/>
      <c r="N1748" s="60"/>
      <c r="O1748" s="60"/>
      <c r="P1748" s="60"/>
      <c r="Q1748" s="60"/>
      <c r="R1748" s="58"/>
      <c r="S1748" s="62" t="str">
        <f aca="false">IF(OR(B1748="",V1748=""),"",IFERROR(INDEX(C_TIPO,MATCH(V1748&amp;"-P"&amp;MAX(1,COUNTIFS(C_RUTN,V1748,C_DEF,"Sí",C_INI,"&lt;="&amp;EOMONTH(B1748,0))),C_CLAVE,0))&amp;"","Sin contrato"))</f>
        <v/>
      </c>
      <c r="T1748" s="63" t="str">
        <f aca="false">IF(OR(B1748="",N(O1748)=0),"",N(O1748)+ROUND(MIN(N(N1748),TOPE_UF*UF_MES)*(TASA_EMP+MUTUAL),0)+ROUND(MIN(N(N1748),TOPE_AFC_UF*UF_MES)*IF(S1748="Indefinido",AFC_INDEF,AFC_PF),0))</f>
        <v/>
      </c>
      <c r="U1748" s="62" t="str">
        <f aca="false">IF(C1748="","",IF(LEFT(D1748,1)="⚠","⚠ RUT no registrado en Trabajadores",IF(B1748="","⚠ Falta el mes",IF(OR(ISTEXT(I1748),ISTEXT(J1748)),"⚠ Atrasos u horas extra como texto: escriba hh:mm (ej. 1:30)",IF(AND(ISNUMBER(Q1748),COUNTIFS(M_RUTN,V1748,M_MES,B1748,M_LIQ,"&lt;&gt;")&gt;1),"⚠ Liquidación repetida en el mes",IF(AND(ISNUMBER(O1748),ISNUMBER(P1748),ISNUMBER(Q1748),ABS(O1748-P1748-Q1748)&gt;1),"⚠ Haberes − descuentos no da el líquido","OK"))))))</f>
        <v/>
      </c>
      <c r="V1748" s="62" t="str">
        <f aca="false">IF(C1748="","",IFERROR(VALUE(LEFT(UPPER(SUBSTITUTE(SUBSTITUTE(SUBSTITUTE(TRIM(C1748),".",""),"-","")," ","")),LEN(UPPER(SUBSTITUTE(SUBSTITUTE(SUBSTITUTE(TRIM(C1748),".",""),"-","")," ","")))-1))&amp;RIGHT(UPPER(SUBSTITUTE(SUBSTITUTE(SUBSTITUTE(TRIM(C1748),".",""),"-","")," ","")),1),UPPER(SUBSTITUTE(SUBSTITUTE(SUBSTITUTE(TRIM(C1748),".",""),"-","")," ",""))))</f>
        <v/>
      </c>
    </row>
    <row r="1749" customFormat="false" ht="15" hidden="false" customHeight="false" outlineLevel="0" collapsed="false">
      <c r="B1749" s="80"/>
      <c r="C1749" s="58"/>
      <c r="D1749" s="62" t="str">
        <f aca="false">IF(C1749="","",IFERROR(INDEX(T_NOMBRE,MATCH(V1749,T_RUTN,0)),"⚠ RUT no está en Trabajadores"))</f>
        <v/>
      </c>
      <c r="E1749" s="61"/>
      <c r="F1749" s="61"/>
      <c r="G1749" s="61"/>
      <c r="H1749" s="61"/>
      <c r="I1749" s="81"/>
      <c r="J1749" s="81"/>
      <c r="K1749" s="60"/>
      <c r="L1749" s="60"/>
      <c r="M1749" s="60"/>
      <c r="N1749" s="60"/>
      <c r="O1749" s="60"/>
      <c r="P1749" s="60"/>
      <c r="Q1749" s="60"/>
      <c r="R1749" s="58"/>
      <c r="S1749" s="62" t="str">
        <f aca="false">IF(OR(B1749="",V1749=""),"",IFERROR(INDEX(C_TIPO,MATCH(V1749&amp;"-P"&amp;MAX(1,COUNTIFS(C_RUTN,V1749,C_DEF,"Sí",C_INI,"&lt;="&amp;EOMONTH(B1749,0))),C_CLAVE,0))&amp;"","Sin contrato"))</f>
        <v/>
      </c>
      <c r="T1749" s="63" t="str">
        <f aca="false">IF(OR(B1749="",N(O1749)=0),"",N(O1749)+ROUND(MIN(N(N1749),TOPE_UF*UF_MES)*(TASA_EMP+MUTUAL),0)+ROUND(MIN(N(N1749),TOPE_AFC_UF*UF_MES)*IF(S1749="Indefinido",AFC_INDEF,AFC_PF),0))</f>
        <v/>
      </c>
      <c r="U1749" s="62" t="str">
        <f aca="false">IF(C1749="","",IF(LEFT(D1749,1)="⚠","⚠ RUT no registrado en Trabajadores",IF(B1749="","⚠ Falta el mes",IF(OR(ISTEXT(I1749),ISTEXT(J1749)),"⚠ Atrasos u horas extra como texto: escriba hh:mm (ej. 1:30)",IF(AND(ISNUMBER(Q1749),COUNTIFS(M_RUTN,V1749,M_MES,B1749,M_LIQ,"&lt;&gt;")&gt;1),"⚠ Liquidación repetida en el mes",IF(AND(ISNUMBER(O1749),ISNUMBER(P1749),ISNUMBER(Q1749),ABS(O1749-P1749-Q1749)&gt;1),"⚠ Haberes − descuentos no da el líquido","OK"))))))</f>
        <v/>
      </c>
      <c r="V1749" s="62" t="str">
        <f aca="false">IF(C1749="","",IFERROR(VALUE(LEFT(UPPER(SUBSTITUTE(SUBSTITUTE(SUBSTITUTE(TRIM(C1749),".",""),"-","")," ","")),LEN(UPPER(SUBSTITUTE(SUBSTITUTE(SUBSTITUTE(TRIM(C1749),".",""),"-","")," ","")))-1))&amp;RIGHT(UPPER(SUBSTITUTE(SUBSTITUTE(SUBSTITUTE(TRIM(C1749),".",""),"-","")," ","")),1),UPPER(SUBSTITUTE(SUBSTITUTE(SUBSTITUTE(TRIM(C1749),".",""),"-","")," ",""))))</f>
        <v/>
      </c>
    </row>
    <row r="1750" customFormat="false" ht="15" hidden="false" customHeight="false" outlineLevel="0" collapsed="false">
      <c r="B1750" s="80"/>
      <c r="C1750" s="58"/>
      <c r="D1750" s="62" t="str">
        <f aca="false">IF(C1750="","",IFERROR(INDEX(T_NOMBRE,MATCH(V1750,T_RUTN,0)),"⚠ RUT no está en Trabajadores"))</f>
        <v/>
      </c>
      <c r="E1750" s="61"/>
      <c r="F1750" s="61"/>
      <c r="G1750" s="61"/>
      <c r="H1750" s="61"/>
      <c r="I1750" s="81"/>
      <c r="J1750" s="81"/>
      <c r="K1750" s="60"/>
      <c r="L1750" s="60"/>
      <c r="M1750" s="60"/>
      <c r="N1750" s="60"/>
      <c r="O1750" s="60"/>
      <c r="P1750" s="60"/>
      <c r="Q1750" s="60"/>
      <c r="R1750" s="58"/>
      <c r="S1750" s="62" t="str">
        <f aca="false">IF(OR(B1750="",V1750=""),"",IFERROR(INDEX(C_TIPO,MATCH(V1750&amp;"-P"&amp;MAX(1,COUNTIFS(C_RUTN,V1750,C_DEF,"Sí",C_INI,"&lt;="&amp;EOMONTH(B1750,0))),C_CLAVE,0))&amp;"","Sin contrato"))</f>
        <v/>
      </c>
      <c r="T1750" s="63" t="str">
        <f aca="false">IF(OR(B1750="",N(O1750)=0),"",N(O1750)+ROUND(MIN(N(N1750),TOPE_UF*UF_MES)*(TASA_EMP+MUTUAL),0)+ROUND(MIN(N(N1750),TOPE_AFC_UF*UF_MES)*IF(S1750="Indefinido",AFC_INDEF,AFC_PF),0))</f>
        <v/>
      </c>
      <c r="U1750" s="62" t="str">
        <f aca="false">IF(C1750="","",IF(LEFT(D1750,1)="⚠","⚠ RUT no registrado en Trabajadores",IF(B1750="","⚠ Falta el mes",IF(OR(ISTEXT(I1750),ISTEXT(J1750)),"⚠ Atrasos u horas extra como texto: escriba hh:mm (ej. 1:30)",IF(AND(ISNUMBER(Q1750),COUNTIFS(M_RUTN,V1750,M_MES,B1750,M_LIQ,"&lt;&gt;")&gt;1),"⚠ Liquidación repetida en el mes",IF(AND(ISNUMBER(O1750),ISNUMBER(P1750),ISNUMBER(Q1750),ABS(O1750-P1750-Q1750)&gt;1),"⚠ Haberes − descuentos no da el líquido","OK"))))))</f>
        <v/>
      </c>
      <c r="V1750" s="62" t="str">
        <f aca="false">IF(C1750="","",IFERROR(VALUE(LEFT(UPPER(SUBSTITUTE(SUBSTITUTE(SUBSTITUTE(TRIM(C1750),".",""),"-","")," ","")),LEN(UPPER(SUBSTITUTE(SUBSTITUTE(SUBSTITUTE(TRIM(C1750),".",""),"-","")," ","")))-1))&amp;RIGHT(UPPER(SUBSTITUTE(SUBSTITUTE(SUBSTITUTE(TRIM(C1750),".",""),"-","")," ","")),1),UPPER(SUBSTITUTE(SUBSTITUTE(SUBSTITUTE(TRIM(C1750),".",""),"-","")," ",""))))</f>
        <v/>
      </c>
    </row>
    <row r="1751" customFormat="false" ht="15" hidden="false" customHeight="false" outlineLevel="0" collapsed="false">
      <c r="B1751" s="80"/>
      <c r="C1751" s="58"/>
      <c r="D1751" s="62" t="str">
        <f aca="false">IF(C1751="","",IFERROR(INDEX(T_NOMBRE,MATCH(V1751,T_RUTN,0)),"⚠ RUT no está en Trabajadores"))</f>
        <v/>
      </c>
      <c r="E1751" s="61"/>
      <c r="F1751" s="61"/>
      <c r="G1751" s="61"/>
      <c r="H1751" s="61"/>
      <c r="I1751" s="81"/>
      <c r="J1751" s="81"/>
      <c r="K1751" s="60"/>
      <c r="L1751" s="60"/>
      <c r="M1751" s="60"/>
      <c r="N1751" s="60"/>
      <c r="O1751" s="60"/>
      <c r="P1751" s="60"/>
      <c r="Q1751" s="60"/>
      <c r="R1751" s="58"/>
      <c r="S1751" s="62" t="str">
        <f aca="false">IF(OR(B1751="",V1751=""),"",IFERROR(INDEX(C_TIPO,MATCH(V1751&amp;"-P"&amp;MAX(1,COUNTIFS(C_RUTN,V1751,C_DEF,"Sí",C_INI,"&lt;="&amp;EOMONTH(B1751,0))),C_CLAVE,0))&amp;"","Sin contrato"))</f>
        <v/>
      </c>
      <c r="T1751" s="63" t="str">
        <f aca="false">IF(OR(B1751="",N(O1751)=0),"",N(O1751)+ROUND(MIN(N(N1751),TOPE_UF*UF_MES)*(TASA_EMP+MUTUAL),0)+ROUND(MIN(N(N1751),TOPE_AFC_UF*UF_MES)*IF(S1751="Indefinido",AFC_INDEF,AFC_PF),0))</f>
        <v/>
      </c>
      <c r="U1751" s="62" t="str">
        <f aca="false">IF(C1751="","",IF(LEFT(D1751,1)="⚠","⚠ RUT no registrado en Trabajadores",IF(B1751="","⚠ Falta el mes",IF(OR(ISTEXT(I1751),ISTEXT(J1751)),"⚠ Atrasos u horas extra como texto: escriba hh:mm (ej. 1:30)",IF(AND(ISNUMBER(Q1751),COUNTIFS(M_RUTN,V1751,M_MES,B1751,M_LIQ,"&lt;&gt;")&gt;1),"⚠ Liquidación repetida en el mes",IF(AND(ISNUMBER(O1751),ISNUMBER(P1751),ISNUMBER(Q1751),ABS(O1751-P1751-Q1751)&gt;1),"⚠ Haberes − descuentos no da el líquido","OK"))))))</f>
        <v/>
      </c>
      <c r="V1751" s="62" t="str">
        <f aca="false">IF(C1751="","",IFERROR(VALUE(LEFT(UPPER(SUBSTITUTE(SUBSTITUTE(SUBSTITUTE(TRIM(C1751),".",""),"-","")," ","")),LEN(UPPER(SUBSTITUTE(SUBSTITUTE(SUBSTITUTE(TRIM(C1751),".",""),"-","")," ","")))-1))&amp;RIGHT(UPPER(SUBSTITUTE(SUBSTITUTE(SUBSTITUTE(TRIM(C1751),".",""),"-","")," ","")),1),UPPER(SUBSTITUTE(SUBSTITUTE(SUBSTITUTE(TRIM(C1751),".",""),"-","")," ",""))))</f>
        <v/>
      </c>
    </row>
    <row r="1752" customFormat="false" ht="15" hidden="false" customHeight="false" outlineLevel="0" collapsed="false">
      <c r="B1752" s="80"/>
      <c r="C1752" s="58"/>
      <c r="D1752" s="62" t="str">
        <f aca="false">IF(C1752="","",IFERROR(INDEX(T_NOMBRE,MATCH(V1752,T_RUTN,0)),"⚠ RUT no está en Trabajadores"))</f>
        <v/>
      </c>
      <c r="E1752" s="61"/>
      <c r="F1752" s="61"/>
      <c r="G1752" s="61"/>
      <c r="H1752" s="61"/>
      <c r="I1752" s="81"/>
      <c r="J1752" s="81"/>
      <c r="K1752" s="60"/>
      <c r="L1752" s="60"/>
      <c r="M1752" s="60"/>
      <c r="N1752" s="60"/>
      <c r="O1752" s="60"/>
      <c r="P1752" s="60"/>
      <c r="Q1752" s="60"/>
      <c r="R1752" s="58"/>
      <c r="S1752" s="62" t="str">
        <f aca="false">IF(OR(B1752="",V1752=""),"",IFERROR(INDEX(C_TIPO,MATCH(V1752&amp;"-P"&amp;MAX(1,COUNTIFS(C_RUTN,V1752,C_DEF,"Sí",C_INI,"&lt;="&amp;EOMONTH(B1752,0))),C_CLAVE,0))&amp;"","Sin contrato"))</f>
        <v/>
      </c>
      <c r="T1752" s="63" t="str">
        <f aca="false">IF(OR(B1752="",N(O1752)=0),"",N(O1752)+ROUND(MIN(N(N1752),TOPE_UF*UF_MES)*(TASA_EMP+MUTUAL),0)+ROUND(MIN(N(N1752),TOPE_AFC_UF*UF_MES)*IF(S1752="Indefinido",AFC_INDEF,AFC_PF),0))</f>
        <v/>
      </c>
      <c r="U1752" s="62" t="str">
        <f aca="false">IF(C1752="","",IF(LEFT(D1752,1)="⚠","⚠ RUT no registrado en Trabajadores",IF(B1752="","⚠ Falta el mes",IF(OR(ISTEXT(I1752),ISTEXT(J1752)),"⚠ Atrasos u horas extra como texto: escriba hh:mm (ej. 1:30)",IF(AND(ISNUMBER(Q1752),COUNTIFS(M_RUTN,V1752,M_MES,B1752,M_LIQ,"&lt;&gt;")&gt;1),"⚠ Liquidación repetida en el mes",IF(AND(ISNUMBER(O1752),ISNUMBER(P1752),ISNUMBER(Q1752),ABS(O1752-P1752-Q1752)&gt;1),"⚠ Haberes − descuentos no da el líquido","OK"))))))</f>
        <v/>
      </c>
      <c r="V1752" s="62" t="str">
        <f aca="false">IF(C1752="","",IFERROR(VALUE(LEFT(UPPER(SUBSTITUTE(SUBSTITUTE(SUBSTITUTE(TRIM(C1752),".",""),"-","")," ","")),LEN(UPPER(SUBSTITUTE(SUBSTITUTE(SUBSTITUTE(TRIM(C1752),".",""),"-","")," ","")))-1))&amp;RIGHT(UPPER(SUBSTITUTE(SUBSTITUTE(SUBSTITUTE(TRIM(C1752),".",""),"-","")," ","")),1),UPPER(SUBSTITUTE(SUBSTITUTE(SUBSTITUTE(TRIM(C1752),".",""),"-","")," ",""))))</f>
        <v/>
      </c>
    </row>
    <row r="1753" customFormat="false" ht="15" hidden="false" customHeight="false" outlineLevel="0" collapsed="false">
      <c r="B1753" s="80"/>
      <c r="C1753" s="58"/>
      <c r="D1753" s="62" t="str">
        <f aca="false">IF(C1753="","",IFERROR(INDEX(T_NOMBRE,MATCH(V1753,T_RUTN,0)),"⚠ RUT no está en Trabajadores"))</f>
        <v/>
      </c>
      <c r="E1753" s="61"/>
      <c r="F1753" s="61"/>
      <c r="G1753" s="61"/>
      <c r="H1753" s="61"/>
      <c r="I1753" s="81"/>
      <c r="J1753" s="81"/>
      <c r="K1753" s="60"/>
      <c r="L1753" s="60"/>
      <c r="M1753" s="60"/>
      <c r="N1753" s="60"/>
      <c r="O1753" s="60"/>
      <c r="P1753" s="60"/>
      <c r="Q1753" s="60"/>
      <c r="R1753" s="58"/>
      <c r="S1753" s="62" t="str">
        <f aca="false">IF(OR(B1753="",V1753=""),"",IFERROR(INDEX(C_TIPO,MATCH(V1753&amp;"-P"&amp;MAX(1,COUNTIFS(C_RUTN,V1753,C_DEF,"Sí",C_INI,"&lt;="&amp;EOMONTH(B1753,0))),C_CLAVE,0))&amp;"","Sin contrato"))</f>
        <v/>
      </c>
      <c r="T1753" s="63" t="str">
        <f aca="false">IF(OR(B1753="",N(O1753)=0),"",N(O1753)+ROUND(MIN(N(N1753),TOPE_UF*UF_MES)*(TASA_EMP+MUTUAL),0)+ROUND(MIN(N(N1753),TOPE_AFC_UF*UF_MES)*IF(S1753="Indefinido",AFC_INDEF,AFC_PF),0))</f>
        <v/>
      </c>
      <c r="U1753" s="62" t="str">
        <f aca="false">IF(C1753="","",IF(LEFT(D1753,1)="⚠","⚠ RUT no registrado en Trabajadores",IF(B1753="","⚠ Falta el mes",IF(OR(ISTEXT(I1753),ISTEXT(J1753)),"⚠ Atrasos u horas extra como texto: escriba hh:mm (ej. 1:30)",IF(AND(ISNUMBER(Q1753),COUNTIFS(M_RUTN,V1753,M_MES,B1753,M_LIQ,"&lt;&gt;")&gt;1),"⚠ Liquidación repetida en el mes",IF(AND(ISNUMBER(O1753),ISNUMBER(P1753),ISNUMBER(Q1753),ABS(O1753-P1753-Q1753)&gt;1),"⚠ Haberes − descuentos no da el líquido","OK"))))))</f>
        <v/>
      </c>
      <c r="V1753" s="62" t="str">
        <f aca="false">IF(C1753="","",IFERROR(VALUE(LEFT(UPPER(SUBSTITUTE(SUBSTITUTE(SUBSTITUTE(TRIM(C1753),".",""),"-","")," ","")),LEN(UPPER(SUBSTITUTE(SUBSTITUTE(SUBSTITUTE(TRIM(C1753),".",""),"-","")," ","")))-1))&amp;RIGHT(UPPER(SUBSTITUTE(SUBSTITUTE(SUBSTITUTE(TRIM(C1753),".",""),"-","")," ","")),1),UPPER(SUBSTITUTE(SUBSTITUTE(SUBSTITUTE(TRIM(C1753),".",""),"-","")," ",""))))</f>
        <v/>
      </c>
    </row>
    <row r="1754" customFormat="false" ht="15" hidden="false" customHeight="false" outlineLevel="0" collapsed="false">
      <c r="B1754" s="80"/>
      <c r="C1754" s="58"/>
      <c r="D1754" s="62" t="str">
        <f aca="false">IF(C1754="","",IFERROR(INDEX(T_NOMBRE,MATCH(V1754,T_RUTN,0)),"⚠ RUT no está en Trabajadores"))</f>
        <v/>
      </c>
      <c r="E1754" s="61"/>
      <c r="F1754" s="61"/>
      <c r="G1754" s="61"/>
      <c r="H1754" s="61"/>
      <c r="I1754" s="81"/>
      <c r="J1754" s="81"/>
      <c r="K1754" s="60"/>
      <c r="L1754" s="60"/>
      <c r="M1754" s="60"/>
      <c r="N1754" s="60"/>
      <c r="O1754" s="60"/>
      <c r="P1754" s="60"/>
      <c r="Q1754" s="60"/>
      <c r="R1754" s="58"/>
      <c r="S1754" s="62" t="str">
        <f aca="false">IF(OR(B1754="",V1754=""),"",IFERROR(INDEX(C_TIPO,MATCH(V1754&amp;"-P"&amp;MAX(1,COUNTIFS(C_RUTN,V1754,C_DEF,"Sí",C_INI,"&lt;="&amp;EOMONTH(B1754,0))),C_CLAVE,0))&amp;"","Sin contrato"))</f>
        <v/>
      </c>
      <c r="T1754" s="63" t="str">
        <f aca="false">IF(OR(B1754="",N(O1754)=0),"",N(O1754)+ROUND(MIN(N(N1754),TOPE_UF*UF_MES)*(TASA_EMP+MUTUAL),0)+ROUND(MIN(N(N1754),TOPE_AFC_UF*UF_MES)*IF(S1754="Indefinido",AFC_INDEF,AFC_PF),0))</f>
        <v/>
      </c>
      <c r="U1754" s="62" t="str">
        <f aca="false">IF(C1754="","",IF(LEFT(D1754,1)="⚠","⚠ RUT no registrado en Trabajadores",IF(B1754="","⚠ Falta el mes",IF(OR(ISTEXT(I1754),ISTEXT(J1754)),"⚠ Atrasos u horas extra como texto: escriba hh:mm (ej. 1:30)",IF(AND(ISNUMBER(Q1754),COUNTIFS(M_RUTN,V1754,M_MES,B1754,M_LIQ,"&lt;&gt;")&gt;1),"⚠ Liquidación repetida en el mes",IF(AND(ISNUMBER(O1754),ISNUMBER(P1754),ISNUMBER(Q1754),ABS(O1754-P1754-Q1754)&gt;1),"⚠ Haberes − descuentos no da el líquido","OK"))))))</f>
        <v/>
      </c>
      <c r="V1754" s="62" t="str">
        <f aca="false">IF(C1754="","",IFERROR(VALUE(LEFT(UPPER(SUBSTITUTE(SUBSTITUTE(SUBSTITUTE(TRIM(C1754),".",""),"-","")," ","")),LEN(UPPER(SUBSTITUTE(SUBSTITUTE(SUBSTITUTE(TRIM(C1754),".",""),"-","")," ","")))-1))&amp;RIGHT(UPPER(SUBSTITUTE(SUBSTITUTE(SUBSTITUTE(TRIM(C1754),".",""),"-","")," ","")),1),UPPER(SUBSTITUTE(SUBSTITUTE(SUBSTITUTE(TRIM(C1754),".",""),"-","")," ",""))))</f>
        <v/>
      </c>
    </row>
    <row r="1755" customFormat="false" ht="15" hidden="false" customHeight="false" outlineLevel="0" collapsed="false">
      <c r="B1755" s="80"/>
      <c r="C1755" s="58"/>
      <c r="D1755" s="62" t="str">
        <f aca="false">IF(C1755="","",IFERROR(INDEX(T_NOMBRE,MATCH(V1755,T_RUTN,0)),"⚠ RUT no está en Trabajadores"))</f>
        <v/>
      </c>
      <c r="E1755" s="61"/>
      <c r="F1755" s="61"/>
      <c r="G1755" s="61"/>
      <c r="H1755" s="61"/>
      <c r="I1755" s="81"/>
      <c r="J1755" s="81"/>
      <c r="K1755" s="60"/>
      <c r="L1755" s="60"/>
      <c r="M1755" s="60"/>
      <c r="N1755" s="60"/>
      <c r="O1755" s="60"/>
      <c r="P1755" s="60"/>
      <c r="Q1755" s="60"/>
      <c r="R1755" s="58"/>
      <c r="S1755" s="62" t="str">
        <f aca="false">IF(OR(B1755="",V1755=""),"",IFERROR(INDEX(C_TIPO,MATCH(V1755&amp;"-P"&amp;MAX(1,COUNTIFS(C_RUTN,V1755,C_DEF,"Sí",C_INI,"&lt;="&amp;EOMONTH(B1755,0))),C_CLAVE,0))&amp;"","Sin contrato"))</f>
        <v/>
      </c>
      <c r="T1755" s="63" t="str">
        <f aca="false">IF(OR(B1755="",N(O1755)=0),"",N(O1755)+ROUND(MIN(N(N1755),TOPE_UF*UF_MES)*(TASA_EMP+MUTUAL),0)+ROUND(MIN(N(N1755),TOPE_AFC_UF*UF_MES)*IF(S1755="Indefinido",AFC_INDEF,AFC_PF),0))</f>
        <v/>
      </c>
      <c r="U1755" s="62" t="str">
        <f aca="false">IF(C1755="","",IF(LEFT(D1755,1)="⚠","⚠ RUT no registrado en Trabajadores",IF(B1755="","⚠ Falta el mes",IF(OR(ISTEXT(I1755),ISTEXT(J1755)),"⚠ Atrasos u horas extra como texto: escriba hh:mm (ej. 1:30)",IF(AND(ISNUMBER(Q1755),COUNTIFS(M_RUTN,V1755,M_MES,B1755,M_LIQ,"&lt;&gt;")&gt;1),"⚠ Liquidación repetida en el mes",IF(AND(ISNUMBER(O1755),ISNUMBER(P1755),ISNUMBER(Q1755),ABS(O1755-P1755-Q1755)&gt;1),"⚠ Haberes − descuentos no da el líquido","OK"))))))</f>
        <v/>
      </c>
      <c r="V1755" s="62" t="str">
        <f aca="false">IF(C1755="","",IFERROR(VALUE(LEFT(UPPER(SUBSTITUTE(SUBSTITUTE(SUBSTITUTE(TRIM(C1755),".",""),"-","")," ","")),LEN(UPPER(SUBSTITUTE(SUBSTITUTE(SUBSTITUTE(TRIM(C1755),".",""),"-","")," ","")))-1))&amp;RIGHT(UPPER(SUBSTITUTE(SUBSTITUTE(SUBSTITUTE(TRIM(C1755),".",""),"-","")," ","")),1),UPPER(SUBSTITUTE(SUBSTITUTE(SUBSTITUTE(TRIM(C1755),".",""),"-","")," ",""))))</f>
        <v/>
      </c>
    </row>
    <row r="1756" customFormat="false" ht="15" hidden="false" customHeight="false" outlineLevel="0" collapsed="false">
      <c r="B1756" s="80"/>
      <c r="C1756" s="58"/>
      <c r="D1756" s="62" t="str">
        <f aca="false">IF(C1756="","",IFERROR(INDEX(T_NOMBRE,MATCH(V1756,T_RUTN,0)),"⚠ RUT no está en Trabajadores"))</f>
        <v/>
      </c>
      <c r="E1756" s="61"/>
      <c r="F1756" s="61"/>
      <c r="G1756" s="61"/>
      <c r="H1756" s="61"/>
      <c r="I1756" s="81"/>
      <c r="J1756" s="81"/>
      <c r="K1756" s="60"/>
      <c r="L1756" s="60"/>
      <c r="M1756" s="60"/>
      <c r="N1756" s="60"/>
      <c r="O1756" s="60"/>
      <c r="P1756" s="60"/>
      <c r="Q1756" s="60"/>
      <c r="R1756" s="58"/>
      <c r="S1756" s="62" t="str">
        <f aca="false">IF(OR(B1756="",V1756=""),"",IFERROR(INDEX(C_TIPO,MATCH(V1756&amp;"-P"&amp;MAX(1,COUNTIFS(C_RUTN,V1756,C_DEF,"Sí",C_INI,"&lt;="&amp;EOMONTH(B1756,0))),C_CLAVE,0))&amp;"","Sin contrato"))</f>
        <v/>
      </c>
      <c r="T1756" s="63" t="str">
        <f aca="false">IF(OR(B1756="",N(O1756)=0),"",N(O1756)+ROUND(MIN(N(N1756),TOPE_UF*UF_MES)*(TASA_EMP+MUTUAL),0)+ROUND(MIN(N(N1756),TOPE_AFC_UF*UF_MES)*IF(S1756="Indefinido",AFC_INDEF,AFC_PF),0))</f>
        <v/>
      </c>
      <c r="U1756" s="62" t="str">
        <f aca="false">IF(C1756="","",IF(LEFT(D1756,1)="⚠","⚠ RUT no registrado en Trabajadores",IF(B1756="","⚠ Falta el mes",IF(OR(ISTEXT(I1756),ISTEXT(J1756)),"⚠ Atrasos u horas extra como texto: escriba hh:mm (ej. 1:30)",IF(AND(ISNUMBER(Q1756),COUNTIFS(M_RUTN,V1756,M_MES,B1756,M_LIQ,"&lt;&gt;")&gt;1),"⚠ Liquidación repetida en el mes",IF(AND(ISNUMBER(O1756),ISNUMBER(P1756),ISNUMBER(Q1756),ABS(O1756-P1756-Q1756)&gt;1),"⚠ Haberes − descuentos no da el líquido","OK"))))))</f>
        <v/>
      </c>
      <c r="V1756" s="62" t="str">
        <f aca="false">IF(C1756="","",IFERROR(VALUE(LEFT(UPPER(SUBSTITUTE(SUBSTITUTE(SUBSTITUTE(TRIM(C1756),".",""),"-","")," ","")),LEN(UPPER(SUBSTITUTE(SUBSTITUTE(SUBSTITUTE(TRIM(C1756),".",""),"-","")," ","")))-1))&amp;RIGHT(UPPER(SUBSTITUTE(SUBSTITUTE(SUBSTITUTE(TRIM(C1756),".",""),"-","")," ","")),1),UPPER(SUBSTITUTE(SUBSTITUTE(SUBSTITUTE(TRIM(C1756),".",""),"-","")," ",""))))</f>
        <v/>
      </c>
    </row>
    <row r="1757" customFormat="false" ht="15" hidden="false" customHeight="false" outlineLevel="0" collapsed="false">
      <c r="B1757" s="80"/>
      <c r="C1757" s="58"/>
      <c r="D1757" s="62" t="str">
        <f aca="false">IF(C1757="","",IFERROR(INDEX(T_NOMBRE,MATCH(V1757,T_RUTN,0)),"⚠ RUT no está en Trabajadores"))</f>
        <v/>
      </c>
      <c r="E1757" s="61"/>
      <c r="F1757" s="61"/>
      <c r="G1757" s="61"/>
      <c r="H1757" s="61"/>
      <c r="I1757" s="81"/>
      <c r="J1757" s="81"/>
      <c r="K1757" s="60"/>
      <c r="L1757" s="60"/>
      <c r="M1757" s="60"/>
      <c r="N1757" s="60"/>
      <c r="O1757" s="60"/>
      <c r="P1757" s="60"/>
      <c r="Q1757" s="60"/>
      <c r="R1757" s="58"/>
      <c r="S1757" s="62" t="str">
        <f aca="false">IF(OR(B1757="",V1757=""),"",IFERROR(INDEX(C_TIPO,MATCH(V1757&amp;"-P"&amp;MAX(1,COUNTIFS(C_RUTN,V1757,C_DEF,"Sí",C_INI,"&lt;="&amp;EOMONTH(B1757,0))),C_CLAVE,0))&amp;"","Sin contrato"))</f>
        <v/>
      </c>
      <c r="T1757" s="63" t="str">
        <f aca="false">IF(OR(B1757="",N(O1757)=0),"",N(O1757)+ROUND(MIN(N(N1757),TOPE_UF*UF_MES)*(TASA_EMP+MUTUAL),0)+ROUND(MIN(N(N1757),TOPE_AFC_UF*UF_MES)*IF(S1757="Indefinido",AFC_INDEF,AFC_PF),0))</f>
        <v/>
      </c>
      <c r="U1757" s="62" t="str">
        <f aca="false">IF(C1757="","",IF(LEFT(D1757,1)="⚠","⚠ RUT no registrado en Trabajadores",IF(B1757="","⚠ Falta el mes",IF(OR(ISTEXT(I1757),ISTEXT(J1757)),"⚠ Atrasos u horas extra como texto: escriba hh:mm (ej. 1:30)",IF(AND(ISNUMBER(Q1757),COUNTIFS(M_RUTN,V1757,M_MES,B1757,M_LIQ,"&lt;&gt;")&gt;1),"⚠ Liquidación repetida en el mes",IF(AND(ISNUMBER(O1757),ISNUMBER(P1757),ISNUMBER(Q1757),ABS(O1757-P1757-Q1757)&gt;1),"⚠ Haberes − descuentos no da el líquido","OK"))))))</f>
        <v/>
      </c>
      <c r="V1757" s="62" t="str">
        <f aca="false">IF(C1757="","",IFERROR(VALUE(LEFT(UPPER(SUBSTITUTE(SUBSTITUTE(SUBSTITUTE(TRIM(C1757),".",""),"-","")," ","")),LEN(UPPER(SUBSTITUTE(SUBSTITUTE(SUBSTITUTE(TRIM(C1757),".",""),"-","")," ","")))-1))&amp;RIGHT(UPPER(SUBSTITUTE(SUBSTITUTE(SUBSTITUTE(TRIM(C1757),".",""),"-","")," ","")),1),UPPER(SUBSTITUTE(SUBSTITUTE(SUBSTITUTE(TRIM(C1757),".",""),"-","")," ",""))))</f>
        <v/>
      </c>
    </row>
    <row r="1758" customFormat="false" ht="15" hidden="false" customHeight="false" outlineLevel="0" collapsed="false">
      <c r="B1758" s="80"/>
      <c r="C1758" s="58"/>
      <c r="D1758" s="62" t="str">
        <f aca="false">IF(C1758="","",IFERROR(INDEX(T_NOMBRE,MATCH(V1758,T_RUTN,0)),"⚠ RUT no está en Trabajadores"))</f>
        <v/>
      </c>
      <c r="E1758" s="61"/>
      <c r="F1758" s="61"/>
      <c r="G1758" s="61"/>
      <c r="H1758" s="61"/>
      <c r="I1758" s="81"/>
      <c r="J1758" s="81"/>
      <c r="K1758" s="60"/>
      <c r="L1758" s="60"/>
      <c r="M1758" s="60"/>
      <c r="N1758" s="60"/>
      <c r="O1758" s="60"/>
      <c r="P1758" s="60"/>
      <c r="Q1758" s="60"/>
      <c r="R1758" s="58"/>
      <c r="S1758" s="62" t="str">
        <f aca="false">IF(OR(B1758="",V1758=""),"",IFERROR(INDEX(C_TIPO,MATCH(V1758&amp;"-P"&amp;MAX(1,COUNTIFS(C_RUTN,V1758,C_DEF,"Sí",C_INI,"&lt;="&amp;EOMONTH(B1758,0))),C_CLAVE,0))&amp;"","Sin contrato"))</f>
        <v/>
      </c>
      <c r="T1758" s="63" t="str">
        <f aca="false">IF(OR(B1758="",N(O1758)=0),"",N(O1758)+ROUND(MIN(N(N1758),TOPE_UF*UF_MES)*(TASA_EMP+MUTUAL),0)+ROUND(MIN(N(N1758),TOPE_AFC_UF*UF_MES)*IF(S1758="Indefinido",AFC_INDEF,AFC_PF),0))</f>
        <v/>
      </c>
      <c r="U1758" s="62" t="str">
        <f aca="false">IF(C1758="","",IF(LEFT(D1758,1)="⚠","⚠ RUT no registrado en Trabajadores",IF(B1758="","⚠ Falta el mes",IF(OR(ISTEXT(I1758),ISTEXT(J1758)),"⚠ Atrasos u horas extra como texto: escriba hh:mm (ej. 1:30)",IF(AND(ISNUMBER(Q1758),COUNTIFS(M_RUTN,V1758,M_MES,B1758,M_LIQ,"&lt;&gt;")&gt;1),"⚠ Liquidación repetida en el mes",IF(AND(ISNUMBER(O1758),ISNUMBER(P1758),ISNUMBER(Q1758),ABS(O1758-P1758-Q1758)&gt;1),"⚠ Haberes − descuentos no da el líquido","OK"))))))</f>
        <v/>
      </c>
      <c r="V1758" s="62" t="str">
        <f aca="false">IF(C1758="","",IFERROR(VALUE(LEFT(UPPER(SUBSTITUTE(SUBSTITUTE(SUBSTITUTE(TRIM(C1758),".",""),"-","")," ","")),LEN(UPPER(SUBSTITUTE(SUBSTITUTE(SUBSTITUTE(TRIM(C1758),".",""),"-","")," ","")))-1))&amp;RIGHT(UPPER(SUBSTITUTE(SUBSTITUTE(SUBSTITUTE(TRIM(C1758),".",""),"-","")," ","")),1),UPPER(SUBSTITUTE(SUBSTITUTE(SUBSTITUTE(TRIM(C1758),".",""),"-","")," ",""))))</f>
        <v/>
      </c>
    </row>
    <row r="1759" customFormat="false" ht="15" hidden="false" customHeight="false" outlineLevel="0" collapsed="false">
      <c r="B1759" s="80"/>
      <c r="C1759" s="58"/>
      <c r="D1759" s="62" t="str">
        <f aca="false">IF(C1759="","",IFERROR(INDEX(T_NOMBRE,MATCH(V1759,T_RUTN,0)),"⚠ RUT no está en Trabajadores"))</f>
        <v/>
      </c>
      <c r="E1759" s="61"/>
      <c r="F1759" s="61"/>
      <c r="G1759" s="61"/>
      <c r="H1759" s="61"/>
      <c r="I1759" s="81"/>
      <c r="J1759" s="81"/>
      <c r="K1759" s="60"/>
      <c r="L1759" s="60"/>
      <c r="M1759" s="60"/>
      <c r="N1759" s="60"/>
      <c r="O1759" s="60"/>
      <c r="P1759" s="60"/>
      <c r="Q1759" s="60"/>
      <c r="R1759" s="58"/>
      <c r="S1759" s="62" t="str">
        <f aca="false">IF(OR(B1759="",V1759=""),"",IFERROR(INDEX(C_TIPO,MATCH(V1759&amp;"-P"&amp;MAX(1,COUNTIFS(C_RUTN,V1759,C_DEF,"Sí",C_INI,"&lt;="&amp;EOMONTH(B1759,0))),C_CLAVE,0))&amp;"","Sin contrato"))</f>
        <v/>
      </c>
      <c r="T1759" s="63" t="str">
        <f aca="false">IF(OR(B1759="",N(O1759)=0),"",N(O1759)+ROUND(MIN(N(N1759),TOPE_UF*UF_MES)*(TASA_EMP+MUTUAL),0)+ROUND(MIN(N(N1759),TOPE_AFC_UF*UF_MES)*IF(S1759="Indefinido",AFC_INDEF,AFC_PF),0))</f>
        <v/>
      </c>
      <c r="U1759" s="62" t="str">
        <f aca="false">IF(C1759="","",IF(LEFT(D1759,1)="⚠","⚠ RUT no registrado en Trabajadores",IF(B1759="","⚠ Falta el mes",IF(OR(ISTEXT(I1759),ISTEXT(J1759)),"⚠ Atrasos u horas extra como texto: escriba hh:mm (ej. 1:30)",IF(AND(ISNUMBER(Q1759),COUNTIFS(M_RUTN,V1759,M_MES,B1759,M_LIQ,"&lt;&gt;")&gt;1),"⚠ Liquidación repetida en el mes",IF(AND(ISNUMBER(O1759),ISNUMBER(P1759),ISNUMBER(Q1759),ABS(O1759-P1759-Q1759)&gt;1),"⚠ Haberes − descuentos no da el líquido","OK"))))))</f>
        <v/>
      </c>
      <c r="V1759" s="62" t="str">
        <f aca="false">IF(C1759="","",IFERROR(VALUE(LEFT(UPPER(SUBSTITUTE(SUBSTITUTE(SUBSTITUTE(TRIM(C1759),".",""),"-","")," ","")),LEN(UPPER(SUBSTITUTE(SUBSTITUTE(SUBSTITUTE(TRIM(C1759),".",""),"-","")," ","")))-1))&amp;RIGHT(UPPER(SUBSTITUTE(SUBSTITUTE(SUBSTITUTE(TRIM(C1759),".",""),"-","")," ","")),1),UPPER(SUBSTITUTE(SUBSTITUTE(SUBSTITUTE(TRIM(C1759),".",""),"-","")," ",""))))</f>
        <v/>
      </c>
    </row>
    <row r="1760" customFormat="false" ht="15" hidden="false" customHeight="false" outlineLevel="0" collapsed="false">
      <c r="B1760" s="80"/>
      <c r="C1760" s="58"/>
      <c r="D1760" s="62" t="str">
        <f aca="false">IF(C1760="","",IFERROR(INDEX(T_NOMBRE,MATCH(V1760,T_RUTN,0)),"⚠ RUT no está en Trabajadores"))</f>
        <v/>
      </c>
      <c r="E1760" s="61"/>
      <c r="F1760" s="61"/>
      <c r="G1760" s="61"/>
      <c r="H1760" s="61"/>
      <c r="I1760" s="81"/>
      <c r="J1760" s="81"/>
      <c r="K1760" s="60"/>
      <c r="L1760" s="60"/>
      <c r="M1760" s="60"/>
      <c r="N1760" s="60"/>
      <c r="O1760" s="60"/>
      <c r="P1760" s="60"/>
      <c r="Q1760" s="60"/>
      <c r="R1760" s="58"/>
      <c r="S1760" s="62" t="str">
        <f aca="false">IF(OR(B1760="",V1760=""),"",IFERROR(INDEX(C_TIPO,MATCH(V1760&amp;"-P"&amp;MAX(1,COUNTIFS(C_RUTN,V1760,C_DEF,"Sí",C_INI,"&lt;="&amp;EOMONTH(B1760,0))),C_CLAVE,0))&amp;"","Sin contrato"))</f>
        <v/>
      </c>
      <c r="T1760" s="63" t="str">
        <f aca="false">IF(OR(B1760="",N(O1760)=0),"",N(O1760)+ROUND(MIN(N(N1760),TOPE_UF*UF_MES)*(TASA_EMP+MUTUAL),0)+ROUND(MIN(N(N1760),TOPE_AFC_UF*UF_MES)*IF(S1760="Indefinido",AFC_INDEF,AFC_PF),0))</f>
        <v/>
      </c>
      <c r="U1760" s="62" t="str">
        <f aca="false">IF(C1760="","",IF(LEFT(D1760,1)="⚠","⚠ RUT no registrado en Trabajadores",IF(B1760="","⚠ Falta el mes",IF(OR(ISTEXT(I1760),ISTEXT(J1760)),"⚠ Atrasos u horas extra como texto: escriba hh:mm (ej. 1:30)",IF(AND(ISNUMBER(Q1760),COUNTIFS(M_RUTN,V1760,M_MES,B1760,M_LIQ,"&lt;&gt;")&gt;1),"⚠ Liquidación repetida en el mes",IF(AND(ISNUMBER(O1760),ISNUMBER(P1760),ISNUMBER(Q1760),ABS(O1760-P1760-Q1760)&gt;1),"⚠ Haberes − descuentos no da el líquido","OK"))))))</f>
        <v/>
      </c>
      <c r="V1760" s="62" t="str">
        <f aca="false">IF(C1760="","",IFERROR(VALUE(LEFT(UPPER(SUBSTITUTE(SUBSTITUTE(SUBSTITUTE(TRIM(C1760),".",""),"-","")," ","")),LEN(UPPER(SUBSTITUTE(SUBSTITUTE(SUBSTITUTE(TRIM(C1760),".",""),"-","")," ","")))-1))&amp;RIGHT(UPPER(SUBSTITUTE(SUBSTITUTE(SUBSTITUTE(TRIM(C1760),".",""),"-","")," ","")),1),UPPER(SUBSTITUTE(SUBSTITUTE(SUBSTITUTE(TRIM(C1760),".",""),"-","")," ",""))))</f>
        <v/>
      </c>
    </row>
    <row r="1761" customFormat="false" ht="15" hidden="false" customHeight="false" outlineLevel="0" collapsed="false">
      <c r="B1761" s="80"/>
      <c r="C1761" s="58"/>
      <c r="D1761" s="62" t="str">
        <f aca="false">IF(C1761="","",IFERROR(INDEX(T_NOMBRE,MATCH(V1761,T_RUTN,0)),"⚠ RUT no está en Trabajadores"))</f>
        <v/>
      </c>
      <c r="E1761" s="61"/>
      <c r="F1761" s="61"/>
      <c r="G1761" s="61"/>
      <c r="H1761" s="61"/>
      <c r="I1761" s="81"/>
      <c r="J1761" s="81"/>
      <c r="K1761" s="60"/>
      <c r="L1761" s="60"/>
      <c r="M1761" s="60"/>
      <c r="N1761" s="60"/>
      <c r="O1761" s="60"/>
      <c r="P1761" s="60"/>
      <c r="Q1761" s="60"/>
      <c r="R1761" s="58"/>
      <c r="S1761" s="62" t="str">
        <f aca="false">IF(OR(B1761="",V1761=""),"",IFERROR(INDEX(C_TIPO,MATCH(V1761&amp;"-P"&amp;MAX(1,COUNTIFS(C_RUTN,V1761,C_DEF,"Sí",C_INI,"&lt;="&amp;EOMONTH(B1761,0))),C_CLAVE,0))&amp;"","Sin contrato"))</f>
        <v/>
      </c>
      <c r="T1761" s="63" t="str">
        <f aca="false">IF(OR(B1761="",N(O1761)=0),"",N(O1761)+ROUND(MIN(N(N1761),TOPE_UF*UF_MES)*(TASA_EMP+MUTUAL),0)+ROUND(MIN(N(N1761),TOPE_AFC_UF*UF_MES)*IF(S1761="Indefinido",AFC_INDEF,AFC_PF),0))</f>
        <v/>
      </c>
      <c r="U1761" s="62" t="str">
        <f aca="false">IF(C1761="","",IF(LEFT(D1761,1)="⚠","⚠ RUT no registrado en Trabajadores",IF(B1761="","⚠ Falta el mes",IF(OR(ISTEXT(I1761),ISTEXT(J1761)),"⚠ Atrasos u horas extra como texto: escriba hh:mm (ej. 1:30)",IF(AND(ISNUMBER(Q1761),COUNTIFS(M_RUTN,V1761,M_MES,B1761,M_LIQ,"&lt;&gt;")&gt;1),"⚠ Liquidación repetida en el mes",IF(AND(ISNUMBER(O1761),ISNUMBER(P1761),ISNUMBER(Q1761),ABS(O1761-P1761-Q1761)&gt;1),"⚠ Haberes − descuentos no da el líquido","OK"))))))</f>
        <v/>
      </c>
      <c r="V1761" s="62" t="str">
        <f aca="false">IF(C1761="","",IFERROR(VALUE(LEFT(UPPER(SUBSTITUTE(SUBSTITUTE(SUBSTITUTE(TRIM(C1761),".",""),"-","")," ","")),LEN(UPPER(SUBSTITUTE(SUBSTITUTE(SUBSTITUTE(TRIM(C1761),".",""),"-","")," ","")))-1))&amp;RIGHT(UPPER(SUBSTITUTE(SUBSTITUTE(SUBSTITUTE(TRIM(C1761),".",""),"-","")," ","")),1),UPPER(SUBSTITUTE(SUBSTITUTE(SUBSTITUTE(TRIM(C1761),".",""),"-","")," ",""))))</f>
        <v/>
      </c>
    </row>
    <row r="1762" customFormat="false" ht="15" hidden="false" customHeight="false" outlineLevel="0" collapsed="false">
      <c r="B1762" s="80"/>
      <c r="C1762" s="58"/>
      <c r="D1762" s="62" t="str">
        <f aca="false">IF(C1762="","",IFERROR(INDEX(T_NOMBRE,MATCH(V1762,T_RUTN,0)),"⚠ RUT no está en Trabajadores"))</f>
        <v/>
      </c>
      <c r="E1762" s="61"/>
      <c r="F1762" s="61"/>
      <c r="G1762" s="61"/>
      <c r="H1762" s="61"/>
      <c r="I1762" s="81"/>
      <c r="J1762" s="81"/>
      <c r="K1762" s="60"/>
      <c r="L1762" s="60"/>
      <c r="M1762" s="60"/>
      <c r="N1762" s="60"/>
      <c r="O1762" s="60"/>
      <c r="P1762" s="60"/>
      <c r="Q1762" s="60"/>
      <c r="R1762" s="58"/>
      <c r="S1762" s="62" t="str">
        <f aca="false">IF(OR(B1762="",V1762=""),"",IFERROR(INDEX(C_TIPO,MATCH(V1762&amp;"-P"&amp;MAX(1,COUNTIFS(C_RUTN,V1762,C_DEF,"Sí",C_INI,"&lt;="&amp;EOMONTH(B1762,0))),C_CLAVE,0))&amp;"","Sin contrato"))</f>
        <v/>
      </c>
      <c r="T1762" s="63" t="str">
        <f aca="false">IF(OR(B1762="",N(O1762)=0),"",N(O1762)+ROUND(MIN(N(N1762),TOPE_UF*UF_MES)*(TASA_EMP+MUTUAL),0)+ROUND(MIN(N(N1762),TOPE_AFC_UF*UF_MES)*IF(S1762="Indefinido",AFC_INDEF,AFC_PF),0))</f>
        <v/>
      </c>
      <c r="U1762" s="62" t="str">
        <f aca="false">IF(C1762="","",IF(LEFT(D1762,1)="⚠","⚠ RUT no registrado en Trabajadores",IF(B1762="","⚠ Falta el mes",IF(OR(ISTEXT(I1762),ISTEXT(J1762)),"⚠ Atrasos u horas extra como texto: escriba hh:mm (ej. 1:30)",IF(AND(ISNUMBER(Q1762),COUNTIFS(M_RUTN,V1762,M_MES,B1762,M_LIQ,"&lt;&gt;")&gt;1),"⚠ Liquidación repetida en el mes",IF(AND(ISNUMBER(O1762),ISNUMBER(P1762),ISNUMBER(Q1762),ABS(O1762-P1762-Q1762)&gt;1),"⚠ Haberes − descuentos no da el líquido","OK"))))))</f>
        <v/>
      </c>
      <c r="V1762" s="62" t="str">
        <f aca="false">IF(C1762="","",IFERROR(VALUE(LEFT(UPPER(SUBSTITUTE(SUBSTITUTE(SUBSTITUTE(TRIM(C1762),".",""),"-","")," ","")),LEN(UPPER(SUBSTITUTE(SUBSTITUTE(SUBSTITUTE(TRIM(C1762),".",""),"-","")," ","")))-1))&amp;RIGHT(UPPER(SUBSTITUTE(SUBSTITUTE(SUBSTITUTE(TRIM(C1762),".",""),"-","")," ","")),1),UPPER(SUBSTITUTE(SUBSTITUTE(SUBSTITUTE(TRIM(C1762),".",""),"-","")," ",""))))</f>
        <v/>
      </c>
    </row>
    <row r="1763" customFormat="false" ht="15" hidden="false" customHeight="false" outlineLevel="0" collapsed="false">
      <c r="B1763" s="80"/>
      <c r="C1763" s="58"/>
      <c r="D1763" s="62" t="str">
        <f aca="false">IF(C1763="","",IFERROR(INDEX(T_NOMBRE,MATCH(V1763,T_RUTN,0)),"⚠ RUT no está en Trabajadores"))</f>
        <v/>
      </c>
      <c r="E1763" s="61"/>
      <c r="F1763" s="61"/>
      <c r="G1763" s="61"/>
      <c r="H1763" s="61"/>
      <c r="I1763" s="81"/>
      <c r="J1763" s="81"/>
      <c r="K1763" s="60"/>
      <c r="L1763" s="60"/>
      <c r="M1763" s="60"/>
      <c r="N1763" s="60"/>
      <c r="O1763" s="60"/>
      <c r="P1763" s="60"/>
      <c r="Q1763" s="60"/>
      <c r="R1763" s="58"/>
      <c r="S1763" s="62" t="str">
        <f aca="false">IF(OR(B1763="",V1763=""),"",IFERROR(INDEX(C_TIPO,MATCH(V1763&amp;"-P"&amp;MAX(1,COUNTIFS(C_RUTN,V1763,C_DEF,"Sí",C_INI,"&lt;="&amp;EOMONTH(B1763,0))),C_CLAVE,0))&amp;"","Sin contrato"))</f>
        <v/>
      </c>
      <c r="T1763" s="63" t="str">
        <f aca="false">IF(OR(B1763="",N(O1763)=0),"",N(O1763)+ROUND(MIN(N(N1763),TOPE_UF*UF_MES)*(TASA_EMP+MUTUAL),0)+ROUND(MIN(N(N1763),TOPE_AFC_UF*UF_MES)*IF(S1763="Indefinido",AFC_INDEF,AFC_PF),0))</f>
        <v/>
      </c>
      <c r="U1763" s="62" t="str">
        <f aca="false">IF(C1763="","",IF(LEFT(D1763,1)="⚠","⚠ RUT no registrado en Trabajadores",IF(B1763="","⚠ Falta el mes",IF(OR(ISTEXT(I1763),ISTEXT(J1763)),"⚠ Atrasos u horas extra como texto: escriba hh:mm (ej. 1:30)",IF(AND(ISNUMBER(Q1763),COUNTIFS(M_RUTN,V1763,M_MES,B1763,M_LIQ,"&lt;&gt;")&gt;1),"⚠ Liquidación repetida en el mes",IF(AND(ISNUMBER(O1763),ISNUMBER(P1763),ISNUMBER(Q1763),ABS(O1763-P1763-Q1763)&gt;1),"⚠ Haberes − descuentos no da el líquido","OK"))))))</f>
        <v/>
      </c>
      <c r="V1763" s="62" t="str">
        <f aca="false">IF(C1763="","",IFERROR(VALUE(LEFT(UPPER(SUBSTITUTE(SUBSTITUTE(SUBSTITUTE(TRIM(C1763),".",""),"-","")," ","")),LEN(UPPER(SUBSTITUTE(SUBSTITUTE(SUBSTITUTE(TRIM(C1763),".",""),"-","")," ","")))-1))&amp;RIGHT(UPPER(SUBSTITUTE(SUBSTITUTE(SUBSTITUTE(TRIM(C1763),".",""),"-","")," ","")),1),UPPER(SUBSTITUTE(SUBSTITUTE(SUBSTITUTE(TRIM(C1763),".",""),"-","")," ",""))))</f>
        <v/>
      </c>
    </row>
    <row r="1764" customFormat="false" ht="15" hidden="false" customHeight="false" outlineLevel="0" collapsed="false">
      <c r="B1764" s="80"/>
      <c r="C1764" s="58"/>
      <c r="D1764" s="62" t="str">
        <f aca="false">IF(C1764="","",IFERROR(INDEX(T_NOMBRE,MATCH(V1764,T_RUTN,0)),"⚠ RUT no está en Trabajadores"))</f>
        <v/>
      </c>
      <c r="E1764" s="61"/>
      <c r="F1764" s="61"/>
      <c r="G1764" s="61"/>
      <c r="H1764" s="61"/>
      <c r="I1764" s="81"/>
      <c r="J1764" s="81"/>
      <c r="K1764" s="60"/>
      <c r="L1764" s="60"/>
      <c r="M1764" s="60"/>
      <c r="N1764" s="60"/>
      <c r="O1764" s="60"/>
      <c r="P1764" s="60"/>
      <c r="Q1764" s="60"/>
      <c r="R1764" s="58"/>
      <c r="S1764" s="62" t="str">
        <f aca="false">IF(OR(B1764="",V1764=""),"",IFERROR(INDEX(C_TIPO,MATCH(V1764&amp;"-P"&amp;MAX(1,COUNTIFS(C_RUTN,V1764,C_DEF,"Sí",C_INI,"&lt;="&amp;EOMONTH(B1764,0))),C_CLAVE,0))&amp;"","Sin contrato"))</f>
        <v/>
      </c>
      <c r="T1764" s="63" t="str">
        <f aca="false">IF(OR(B1764="",N(O1764)=0),"",N(O1764)+ROUND(MIN(N(N1764),TOPE_UF*UF_MES)*(TASA_EMP+MUTUAL),0)+ROUND(MIN(N(N1764),TOPE_AFC_UF*UF_MES)*IF(S1764="Indefinido",AFC_INDEF,AFC_PF),0))</f>
        <v/>
      </c>
      <c r="U1764" s="62" t="str">
        <f aca="false">IF(C1764="","",IF(LEFT(D1764,1)="⚠","⚠ RUT no registrado en Trabajadores",IF(B1764="","⚠ Falta el mes",IF(OR(ISTEXT(I1764),ISTEXT(J1764)),"⚠ Atrasos u horas extra como texto: escriba hh:mm (ej. 1:30)",IF(AND(ISNUMBER(Q1764),COUNTIFS(M_RUTN,V1764,M_MES,B1764,M_LIQ,"&lt;&gt;")&gt;1),"⚠ Liquidación repetida en el mes",IF(AND(ISNUMBER(O1764),ISNUMBER(P1764),ISNUMBER(Q1764),ABS(O1764-P1764-Q1764)&gt;1),"⚠ Haberes − descuentos no da el líquido","OK"))))))</f>
        <v/>
      </c>
      <c r="V1764" s="62" t="str">
        <f aca="false">IF(C1764="","",IFERROR(VALUE(LEFT(UPPER(SUBSTITUTE(SUBSTITUTE(SUBSTITUTE(TRIM(C1764),".",""),"-","")," ","")),LEN(UPPER(SUBSTITUTE(SUBSTITUTE(SUBSTITUTE(TRIM(C1764),".",""),"-","")," ","")))-1))&amp;RIGHT(UPPER(SUBSTITUTE(SUBSTITUTE(SUBSTITUTE(TRIM(C1764),".",""),"-","")," ","")),1),UPPER(SUBSTITUTE(SUBSTITUTE(SUBSTITUTE(TRIM(C1764),".",""),"-","")," ",""))))</f>
        <v/>
      </c>
    </row>
    <row r="1765" customFormat="false" ht="15" hidden="false" customHeight="false" outlineLevel="0" collapsed="false">
      <c r="B1765" s="80"/>
      <c r="C1765" s="58"/>
      <c r="D1765" s="62" t="str">
        <f aca="false">IF(C1765="","",IFERROR(INDEX(T_NOMBRE,MATCH(V1765,T_RUTN,0)),"⚠ RUT no está en Trabajadores"))</f>
        <v/>
      </c>
      <c r="E1765" s="61"/>
      <c r="F1765" s="61"/>
      <c r="G1765" s="61"/>
      <c r="H1765" s="61"/>
      <c r="I1765" s="81"/>
      <c r="J1765" s="81"/>
      <c r="K1765" s="60"/>
      <c r="L1765" s="60"/>
      <c r="M1765" s="60"/>
      <c r="N1765" s="60"/>
      <c r="O1765" s="60"/>
      <c r="P1765" s="60"/>
      <c r="Q1765" s="60"/>
      <c r="R1765" s="58"/>
      <c r="S1765" s="62" t="str">
        <f aca="false">IF(OR(B1765="",V1765=""),"",IFERROR(INDEX(C_TIPO,MATCH(V1765&amp;"-P"&amp;MAX(1,COUNTIFS(C_RUTN,V1765,C_DEF,"Sí",C_INI,"&lt;="&amp;EOMONTH(B1765,0))),C_CLAVE,0))&amp;"","Sin contrato"))</f>
        <v/>
      </c>
      <c r="T1765" s="63" t="str">
        <f aca="false">IF(OR(B1765="",N(O1765)=0),"",N(O1765)+ROUND(MIN(N(N1765),TOPE_UF*UF_MES)*(TASA_EMP+MUTUAL),0)+ROUND(MIN(N(N1765),TOPE_AFC_UF*UF_MES)*IF(S1765="Indefinido",AFC_INDEF,AFC_PF),0))</f>
        <v/>
      </c>
      <c r="U1765" s="62" t="str">
        <f aca="false">IF(C1765="","",IF(LEFT(D1765,1)="⚠","⚠ RUT no registrado en Trabajadores",IF(B1765="","⚠ Falta el mes",IF(OR(ISTEXT(I1765),ISTEXT(J1765)),"⚠ Atrasos u horas extra como texto: escriba hh:mm (ej. 1:30)",IF(AND(ISNUMBER(Q1765),COUNTIFS(M_RUTN,V1765,M_MES,B1765,M_LIQ,"&lt;&gt;")&gt;1),"⚠ Liquidación repetida en el mes",IF(AND(ISNUMBER(O1765),ISNUMBER(P1765),ISNUMBER(Q1765),ABS(O1765-P1765-Q1765)&gt;1),"⚠ Haberes − descuentos no da el líquido","OK"))))))</f>
        <v/>
      </c>
      <c r="V1765" s="62" t="str">
        <f aca="false">IF(C1765="","",IFERROR(VALUE(LEFT(UPPER(SUBSTITUTE(SUBSTITUTE(SUBSTITUTE(TRIM(C1765),".",""),"-","")," ","")),LEN(UPPER(SUBSTITUTE(SUBSTITUTE(SUBSTITUTE(TRIM(C1765),".",""),"-","")," ","")))-1))&amp;RIGHT(UPPER(SUBSTITUTE(SUBSTITUTE(SUBSTITUTE(TRIM(C1765),".",""),"-","")," ","")),1),UPPER(SUBSTITUTE(SUBSTITUTE(SUBSTITUTE(TRIM(C1765),".",""),"-","")," ",""))))</f>
        <v/>
      </c>
    </row>
    <row r="1766" customFormat="false" ht="15" hidden="false" customHeight="false" outlineLevel="0" collapsed="false">
      <c r="B1766" s="80"/>
      <c r="C1766" s="58"/>
      <c r="D1766" s="62" t="str">
        <f aca="false">IF(C1766="","",IFERROR(INDEX(T_NOMBRE,MATCH(V1766,T_RUTN,0)),"⚠ RUT no está en Trabajadores"))</f>
        <v/>
      </c>
      <c r="E1766" s="61"/>
      <c r="F1766" s="61"/>
      <c r="G1766" s="61"/>
      <c r="H1766" s="61"/>
      <c r="I1766" s="81"/>
      <c r="J1766" s="81"/>
      <c r="K1766" s="60"/>
      <c r="L1766" s="60"/>
      <c r="M1766" s="60"/>
      <c r="N1766" s="60"/>
      <c r="O1766" s="60"/>
      <c r="P1766" s="60"/>
      <c r="Q1766" s="60"/>
      <c r="R1766" s="58"/>
      <c r="S1766" s="62" t="str">
        <f aca="false">IF(OR(B1766="",V1766=""),"",IFERROR(INDEX(C_TIPO,MATCH(V1766&amp;"-P"&amp;MAX(1,COUNTIFS(C_RUTN,V1766,C_DEF,"Sí",C_INI,"&lt;="&amp;EOMONTH(B1766,0))),C_CLAVE,0))&amp;"","Sin contrato"))</f>
        <v/>
      </c>
      <c r="T1766" s="63" t="str">
        <f aca="false">IF(OR(B1766="",N(O1766)=0),"",N(O1766)+ROUND(MIN(N(N1766),TOPE_UF*UF_MES)*(TASA_EMP+MUTUAL),0)+ROUND(MIN(N(N1766),TOPE_AFC_UF*UF_MES)*IF(S1766="Indefinido",AFC_INDEF,AFC_PF),0))</f>
        <v/>
      </c>
      <c r="U1766" s="62" t="str">
        <f aca="false">IF(C1766="","",IF(LEFT(D1766,1)="⚠","⚠ RUT no registrado en Trabajadores",IF(B1766="","⚠ Falta el mes",IF(OR(ISTEXT(I1766),ISTEXT(J1766)),"⚠ Atrasos u horas extra como texto: escriba hh:mm (ej. 1:30)",IF(AND(ISNUMBER(Q1766),COUNTIFS(M_RUTN,V1766,M_MES,B1766,M_LIQ,"&lt;&gt;")&gt;1),"⚠ Liquidación repetida en el mes",IF(AND(ISNUMBER(O1766),ISNUMBER(P1766),ISNUMBER(Q1766),ABS(O1766-P1766-Q1766)&gt;1),"⚠ Haberes − descuentos no da el líquido","OK"))))))</f>
        <v/>
      </c>
      <c r="V1766" s="62" t="str">
        <f aca="false">IF(C1766="","",IFERROR(VALUE(LEFT(UPPER(SUBSTITUTE(SUBSTITUTE(SUBSTITUTE(TRIM(C1766),".",""),"-","")," ","")),LEN(UPPER(SUBSTITUTE(SUBSTITUTE(SUBSTITUTE(TRIM(C1766),".",""),"-","")," ","")))-1))&amp;RIGHT(UPPER(SUBSTITUTE(SUBSTITUTE(SUBSTITUTE(TRIM(C1766),".",""),"-","")," ","")),1),UPPER(SUBSTITUTE(SUBSTITUTE(SUBSTITUTE(TRIM(C1766),".",""),"-","")," ",""))))</f>
        <v/>
      </c>
    </row>
    <row r="1767" customFormat="false" ht="15" hidden="false" customHeight="false" outlineLevel="0" collapsed="false">
      <c r="B1767" s="80"/>
      <c r="C1767" s="58"/>
      <c r="D1767" s="62" t="str">
        <f aca="false">IF(C1767="","",IFERROR(INDEX(T_NOMBRE,MATCH(V1767,T_RUTN,0)),"⚠ RUT no está en Trabajadores"))</f>
        <v/>
      </c>
      <c r="E1767" s="61"/>
      <c r="F1767" s="61"/>
      <c r="G1767" s="61"/>
      <c r="H1767" s="61"/>
      <c r="I1767" s="81"/>
      <c r="J1767" s="81"/>
      <c r="K1767" s="60"/>
      <c r="L1767" s="60"/>
      <c r="M1767" s="60"/>
      <c r="N1767" s="60"/>
      <c r="O1767" s="60"/>
      <c r="P1767" s="60"/>
      <c r="Q1767" s="60"/>
      <c r="R1767" s="58"/>
      <c r="S1767" s="62" t="str">
        <f aca="false">IF(OR(B1767="",V1767=""),"",IFERROR(INDEX(C_TIPO,MATCH(V1767&amp;"-P"&amp;MAX(1,COUNTIFS(C_RUTN,V1767,C_DEF,"Sí",C_INI,"&lt;="&amp;EOMONTH(B1767,0))),C_CLAVE,0))&amp;"","Sin contrato"))</f>
        <v/>
      </c>
      <c r="T1767" s="63" t="str">
        <f aca="false">IF(OR(B1767="",N(O1767)=0),"",N(O1767)+ROUND(MIN(N(N1767),TOPE_UF*UF_MES)*(TASA_EMP+MUTUAL),0)+ROUND(MIN(N(N1767),TOPE_AFC_UF*UF_MES)*IF(S1767="Indefinido",AFC_INDEF,AFC_PF),0))</f>
        <v/>
      </c>
      <c r="U1767" s="62" t="str">
        <f aca="false">IF(C1767="","",IF(LEFT(D1767,1)="⚠","⚠ RUT no registrado en Trabajadores",IF(B1767="","⚠ Falta el mes",IF(OR(ISTEXT(I1767),ISTEXT(J1767)),"⚠ Atrasos u horas extra como texto: escriba hh:mm (ej. 1:30)",IF(AND(ISNUMBER(Q1767),COUNTIFS(M_RUTN,V1767,M_MES,B1767,M_LIQ,"&lt;&gt;")&gt;1),"⚠ Liquidación repetida en el mes",IF(AND(ISNUMBER(O1767),ISNUMBER(P1767),ISNUMBER(Q1767),ABS(O1767-P1767-Q1767)&gt;1),"⚠ Haberes − descuentos no da el líquido","OK"))))))</f>
        <v/>
      </c>
      <c r="V1767" s="62" t="str">
        <f aca="false">IF(C1767="","",IFERROR(VALUE(LEFT(UPPER(SUBSTITUTE(SUBSTITUTE(SUBSTITUTE(TRIM(C1767),".",""),"-","")," ","")),LEN(UPPER(SUBSTITUTE(SUBSTITUTE(SUBSTITUTE(TRIM(C1767),".",""),"-","")," ","")))-1))&amp;RIGHT(UPPER(SUBSTITUTE(SUBSTITUTE(SUBSTITUTE(TRIM(C1767),".",""),"-","")," ","")),1),UPPER(SUBSTITUTE(SUBSTITUTE(SUBSTITUTE(TRIM(C1767),".",""),"-","")," ",""))))</f>
        <v/>
      </c>
    </row>
    <row r="1768" customFormat="false" ht="15" hidden="false" customHeight="false" outlineLevel="0" collapsed="false">
      <c r="B1768" s="80"/>
      <c r="C1768" s="58"/>
      <c r="D1768" s="62" t="str">
        <f aca="false">IF(C1768="","",IFERROR(INDEX(T_NOMBRE,MATCH(V1768,T_RUTN,0)),"⚠ RUT no está en Trabajadores"))</f>
        <v/>
      </c>
      <c r="E1768" s="61"/>
      <c r="F1768" s="61"/>
      <c r="G1768" s="61"/>
      <c r="H1768" s="61"/>
      <c r="I1768" s="81"/>
      <c r="J1768" s="81"/>
      <c r="K1768" s="60"/>
      <c r="L1768" s="60"/>
      <c r="M1768" s="60"/>
      <c r="N1768" s="60"/>
      <c r="O1768" s="60"/>
      <c r="P1768" s="60"/>
      <c r="Q1768" s="60"/>
      <c r="R1768" s="58"/>
      <c r="S1768" s="62" t="str">
        <f aca="false">IF(OR(B1768="",V1768=""),"",IFERROR(INDEX(C_TIPO,MATCH(V1768&amp;"-P"&amp;MAX(1,COUNTIFS(C_RUTN,V1768,C_DEF,"Sí",C_INI,"&lt;="&amp;EOMONTH(B1768,0))),C_CLAVE,0))&amp;"","Sin contrato"))</f>
        <v/>
      </c>
      <c r="T1768" s="63" t="str">
        <f aca="false">IF(OR(B1768="",N(O1768)=0),"",N(O1768)+ROUND(MIN(N(N1768),TOPE_UF*UF_MES)*(TASA_EMP+MUTUAL),0)+ROUND(MIN(N(N1768),TOPE_AFC_UF*UF_MES)*IF(S1768="Indefinido",AFC_INDEF,AFC_PF),0))</f>
        <v/>
      </c>
      <c r="U1768" s="62" t="str">
        <f aca="false">IF(C1768="","",IF(LEFT(D1768,1)="⚠","⚠ RUT no registrado en Trabajadores",IF(B1768="","⚠ Falta el mes",IF(OR(ISTEXT(I1768),ISTEXT(J1768)),"⚠ Atrasos u horas extra como texto: escriba hh:mm (ej. 1:30)",IF(AND(ISNUMBER(Q1768),COUNTIFS(M_RUTN,V1768,M_MES,B1768,M_LIQ,"&lt;&gt;")&gt;1),"⚠ Liquidación repetida en el mes",IF(AND(ISNUMBER(O1768),ISNUMBER(P1768),ISNUMBER(Q1768),ABS(O1768-P1768-Q1768)&gt;1),"⚠ Haberes − descuentos no da el líquido","OK"))))))</f>
        <v/>
      </c>
      <c r="V1768" s="62" t="str">
        <f aca="false">IF(C1768="","",IFERROR(VALUE(LEFT(UPPER(SUBSTITUTE(SUBSTITUTE(SUBSTITUTE(TRIM(C1768),".",""),"-","")," ","")),LEN(UPPER(SUBSTITUTE(SUBSTITUTE(SUBSTITUTE(TRIM(C1768),".",""),"-","")," ","")))-1))&amp;RIGHT(UPPER(SUBSTITUTE(SUBSTITUTE(SUBSTITUTE(TRIM(C1768),".",""),"-","")," ","")),1),UPPER(SUBSTITUTE(SUBSTITUTE(SUBSTITUTE(TRIM(C1768),".",""),"-","")," ",""))))</f>
        <v/>
      </c>
    </row>
    <row r="1769" customFormat="false" ht="15" hidden="false" customHeight="false" outlineLevel="0" collapsed="false">
      <c r="B1769" s="80"/>
      <c r="C1769" s="58"/>
      <c r="D1769" s="62" t="str">
        <f aca="false">IF(C1769="","",IFERROR(INDEX(T_NOMBRE,MATCH(V1769,T_RUTN,0)),"⚠ RUT no está en Trabajadores"))</f>
        <v/>
      </c>
      <c r="E1769" s="61"/>
      <c r="F1769" s="61"/>
      <c r="G1769" s="61"/>
      <c r="H1769" s="61"/>
      <c r="I1769" s="81"/>
      <c r="J1769" s="81"/>
      <c r="K1769" s="60"/>
      <c r="L1769" s="60"/>
      <c r="M1769" s="60"/>
      <c r="N1769" s="60"/>
      <c r="O1769" s="60"/>
      <c r="P1769" s="60"/>
      <c r="Q1769" s="60"/>
      <c r="R1769" s="58"/>
      <c r="S1769" s="62" t="str">
        <f aca="false">IF(OR(B1769="",V1769=""),"",IFERROR(INDEX(C_TIPO,MATCH(V1769&amp;"-P"&amp;MAX(1,COUNTIFS(C_RUTN,V1769,C_DEF,"Sí",C_INI,"&lt;="&amp;EOMONTH(B1769,0))),C_CLAVE,0))&amp;"","Sin contrato"))</f>
        <v/>
      </c>
      <c r="T1769" s="63" t="str">
        <f aca="false">IF(OR(B1769="",N(O1769)=0),"",N(O1769)+ROUND(MIN(N(N1769),TOPE_UF*UF_MES)*(TASA_EMP+MUTUAL),0)+ROUND(MIN(N(N1769),TOPE_AFC_UF*UF_MES)*IF(S1769="Indefinido",AFC_INDEF,AFC_PF),0))</f>
        <v/>
      </c>
      <c r="U1769" s="62" t="str">
        <f aca="false">IF(C1769="","",IF(LEFT(D1769,1)="⚠","⚠ RUT no registrado en Trabajadores",IF(B1769="","⚠ Falta el mes",IF(OR(ISTEXT(I1769),ISTEXT(J1769)),"⚠ Atrasos u horas extra como texto: escriba hh:mm (ej. 1:30)",IF(AND(ISNUMBER(Q1769),COUNTIFS(M_RUTN,V1769,M_MES,B1769,M_LIQ,"&lt;&gt;")&gt;1),"⚠ Liquidación repetida en el mes",IF(AND(ISNUMBER(O1769),ISNUMBER(P1769),ISNUMBER(Q1769),ABS(O1769-P1769-Q1769)&gt;1),"⚠ Haberes − descuentos no da el líquido","OK"))))))</f>
        <v/>
      </c>
      <c r="V1769" s="62" t="str">
        <f aca="false">IF(C1769="","",IFERROR(VALUE(LEFT(UPPER(SUBSTITUTE(SUBSTITUTE(SUBSTITUTE(TRIM(C1769),".",""),"-","")," ","")),LEN(UPPER(SUBSTITUTE(SUBSTITUTE(SUBSTITUTE(TRIM(C1769),".",""),"-","")," ","")))-1))&amp;RIGHT(UPPER(SUBSTITUTE(SUBSTITUTE(SUBSTITUTE(TRIM(C1769),".",""),"-","")," ","")),1),UPPER(SUBSTITUTE(SUBSTITUTE(SUBSTITUTE(TRIM(C1769),".",""),"-","")," ",""))))</f>
        <v/>
      </c>
    </row>
    <row r="1770" customFormat="false" ht="15" hidden="false" customHeight="false" outlineLevel="0" collapsed="false">
      <c r="B1770" s="80"/>
      <c r="C1770" s="58"/>
      <c r="D1770" s="62" t="str">
        <f aca="false">IF(C1770="","",IFERROR(INDEX(T_NOMBRE,MATCH(V1770,T_RUTN,0)),"⚠ RUT no está en Trabajadores"))</f>
        <v/>
      </c>
      <c r="E1770" s="61"/>
      <c r="F1770" s="61"/>
      <c r="G1770" s="61"/>
      <c r="H1770" s="61"/>
      <c r="I1770" s="81"/>
      <c r="J1770" s="81"/>
      <c r="K1770" s="60"/>
      <c r="L1770" s="60"/>
      <c r="M1770" s="60"/>
      <c r="N1770" s="60"/>
      <c r="O1770" s="60"/>
      <c r="P1770" s="60"/>
      <c r="Q1770" s="60"/>
      <c r="R1770" s="58"/>
      <c r="S1770" s="62" t="str">
        <f aca="false">IF(OR(B1770="",V1770=""),"",IFERROR(INDEX(C_TIPO,MATCH(V1770&amp;"-P"&amp;MAX(1,COUNTIFS(C_RUTN,V1770,C_DEF,"Sí",C_INI,"&lt;="&amp;EOMONTH(B1770,0))),C_CLAVE,0))&amp;"","Sin contrato"))</f>
        <v/>
      </c>
      <c r="T1770" s="63" t="str">
        <f aca="false">IF(OR(B1770="",N(O1770)=0),"",N(O1770)+ROUND(MIN(N(N1770),TOPE_UF*UF_MES)*(TASA_EMP+MUTUAL),0)+ROUND(MIN(N(N1770),TOPE_AFC_UF*UF_MES)*IF(S1770="Indefinido",AFC_INDEF,AFC_PF),0))</f>
        <v/>
      </c>
      <c r="U1770" s="62" t="str">
        <f aca="false">IF(C1770="","",IF(LEFT(D1770,1)="⚠","⚠ RUT no registrado en Trabajadores",IF(B1770="","⚠ Falta el mes",IF(OR(ISTEXT(I1770),ISTEXT(J1770)),"⚠ Atrasos u horas extra como texto: escriba hh:mm (ej. 1:30)",IF(AND(ISNUMBER(Q1770),COUNTIFS(M_RUTN,V1770,M_MES,B1770,M_LIQ,"&lt;&gt;")&gt;1),"⚠ Liquidación repetida en el mes",IF(AND(ISNUMBER(O1770),ISNUMBER(P1770),ISNUMBER(Q1770),ABS(O1770-P1770-Q1770)&gt;1),"⚠ Haberes − descuentos no da el líquido","OK"))))))</f>
        <v/>
      </c>
      <c r="V1770" s="62" t="str">
        <f aca="false">IF(C1770="","",IFERROR(VALUE(LEFT(UPPER(SUBSTITUTE(SUBSTITUTE(SUBSTITUTE(TRIM(C1770),".",""),"-","")," ","")),LEN(UPPER(SUBSTITUTE(SUBSTITUTE(SUBSTITUTE(TRIM(C1770),".",""),"-","")," ","")))-1))&amp;RIGHT(UPPER(SUBSTITUTE(SUBSTITUTE(SUBSTITUTE(TRIM(C1770),".",""),"-","")," ","")),1),UPPER(SUBSTITUTE(SUBSTITUTE(SUBSTITUTE(TRIM(C1770),".",""),"-","")," ",""))))</f>
        <v/>
      </c>
    </row>
    <row r="1771" customFormat="false" ht="15" hidden="false" customHeight="false" outlineLevel="0" collapsed="false">
      <c r="B1771" s="80"/>
      <c r="C1771" s="58"/>
      <c r="D1771" s="62" t="str">
        <f aca="false">IF(C1771="","",IFERROR(INDEX(T_NOMBRE,MATCH(V1771,T_RUTN,0)),"⚠ RUT no está en Trabajadores"))</f>
        <v/>
      </c>
      <c r="E1771" s="61"/>
      <c r="F1771" s="61"/>
      <c r="G1771" s="61"/>
      <c r="H1771" s="61"/>
      <c r="I1771" s="81"/>
      <c r="J1771" s="81"/>
      <c r="K1771" s="60"/>
      <c r="L1771" s="60"/>
      <c r="M1771" s="60"/>
      <c r="N1771" s="60"/>
      <c r="O1771" s="60"/>
      <c r="P1771" s="60"/>
      <c r="Q1771" s="60"/>
      <c r="R1771" s="58"/>
      <c r="S1771" s="62" t="str">
        <f aca="false">IF(OR(B1771="",V1771=""),"",IFERROR(INDEX(C_TIPO,MATCH(V1771&amp;"-P"&amp;MAX(1,COUNTIFS(C_RUTN,V1771,C_DEF,"Sí",C_INI,"&lt;="&amp;EOMONTH(B1771,0))),C_CLAVE,0))&amp;"","Sin contrato"))</f>
        <v/>
      </c>
      <c r="T1771" s="63" t="str">
        <f aca="false">IF(OR(B1771="",N(O1771)=0),"",N(O1771)+ROUND(MIN(N(N1771),TOPE_UF*UF_MES)*(TASA_EMP+MUTUAL),0)+ROUND(MIN(N(N1771),TOPE_AFC_UF*UF_MES)*IF(S1771="Indefinido",AFC_INDEF,AFC_PF),0))</f>
        <v/>
      </c>
      <c r="U1771" s="62" t="str">
        <f aca="false">IF(C1771="","",IF(LEFT(D1771,1)="⚠","⚠ RUT no registrado en Trabajadores",IF(B1771="","⚠ Falta el mes",IF(OR(ISTEXT(I1771),ISTEXT(J1771)),"⚠ Atrasos u horas extra como texto: escriba hh:mm (ej. 1:30)",IF(AND(ISNUMBER(Q1771),COUNTIFS(M_RUTN,V1771,M_MES,B1771,M_LIQ,"&lt;&gt;")&gt;1),"⚠ Liquidación repetida en el mes",IF(AND(ISNUMBER(O1771),ISNUMBER(P1771),ISNUMBER(Q1771),ABS(O1771-P1771-Q1771)&gt;1),"⚠ Haberes − descuentos no da el líquido","OK"))))))</f>
        <v/>
      </c>
      <c r="V1771" s="62" t="str">
        <f aca="false">IF(C1771="","",IFERROR(VALUE(LEFT(UPPER(SUBSTITUTE(SUBSTITUTE(SUBSTITUTE(TRIM(C1771),".",""),"-","")," ","")),LEN(UPPER(SUBSTITUTE(SUBSTITUTE(SUBSTITUTE(TRIM(C1771),".",""),"-","")," ","")))-1))&amp;RIGHT(UPPER(SUBSTITUTE(SUBSTITUTE(SUBSTITUTE(TRIM(C1771),".",""),"-","")," ","")),1),UPPER(SUBSTITUTE(SUBSTITUTE(SUBSTITUTE(TRIM(C1771),".",""),"-","")," ",""))))</f>
        <v/>
      </c>
    </row>
    <row r="1772" customFormat="false" ht="15" hidden="false" customHeight="false" outlineLevel="0" collapsed="false">
      <c r="B1772" s="80"/>
      <c r="C1772" s="58"/>
      <c r="D1772" s="62" t="str">
        <f aca="false">IF(C1772="","",IFERROR(INDEX(T_NOMBRE,MATCH(V1772,T_RUTN,0)),"⚠ RUT no está en Trabajadores"))</f>
        <v/>
      </c>
      <c r="E1772" s="61"/>
      <c r="F1772" s="61"/>
      <c r="G1772" s="61"/>
      <c r="H1772" s="61"/>
      <c r="I1772" s="81"/>
      <c r="J1772" s="81"/>
      <c r="K1772" s="60"/>
      <c r="L1772" s="60"/>
      <c r="M1772" s="60"/>
      <c r="N1772" s="60"/>
      <c r="O1772" s="60"/>
      <c r="P1772" s="60"/>
      <c r="Q1772" s="60"/>
      <c r="R1772" s="58"/>
      <c r="S1772" s="62" t="str">
        <f aca="false">IF(OR(B1772="",V1772=""),"",IFERROR(INDEX(C_TIPO,MATCH(V1772&amp;"-P"&amp;MAX(1,COUNTIFS(C_RUTN,V1772,C_DEF,"Sí",C_INI,"&lt;="&amp;EOMONTH(B1772,0))),C_CLAVE,0))&amp;"","Sin contrato"))</f>
        <v/>
      </c>
      <c r="T1772" s="63" t="str">
        <f aca="false">IF(OR(B1772="",N(O1772)=0),"",N(O1772)+ROUND(MIN(N(N1772),TOPE_UF*UF_MES)*(TASA_EMP+MUTUAL),0)+ROUND(MIN(N(N1772),TOPE_AFC_UF*UF_MES)*IF(S1772="Indefinido",AFC_INDEF,AFC_PF),0))</f>
        <v/>
      </c>
      <c r="U1772" s="62" t="str">
        <f aca="false">IF(C1772="","",IF(LEFT(D1772,1)="⚠","⚠ RUT no registrado en Trabajadores",IF(B1772="","⚠ Falta el mes",IF(OR(ISTEXT(I1772),ISTEXT(J1772)),"⚠ Atrasos u horas extra como texto: escriba hh:mm (ej. 1:30)",IF(AND(ISNUMBER(Q1772),COUNTIFS(M_RUTN,V1772,M_MES,B1772,M_LIQ,"&lt;&gt;")&gt;1),"⚠ Liquidación repetida en el mes",IF(AND(ISNUMBER(O1772),ISNUMBER(P1772),ISNUMBER(Q1772),ABS(O1772-P1772-Q1772)&gt;1),"⚠ Haberes − descuentos no da el líquido","OK"))))))</f>
        <v/>
      </c>
      <c r="V1772" s="62" t="str">
        <f aca="false">IF(C1772="","",IFERROR(VALUE(LEFT(UPPER(SUBSTITUTE(SUBSTITUTE(SUBSTITUTE(TRIM(C1772),".",""),"-","")," ","")),LEN(UPPER(SUBSTITUTE(SUBSTITUTE(SUBSTITUTE(TRIM(C1772),".",""),"-","")," ","")))-1))&amp;RIGHT(UPPER(SUBSTITUTE(SUBSTITUTE(SUBSTITUTE(TRIM(C1772),".",""),"-","")," ","")),1),UPPER(SUBSTITUTE(SUBSTITUTE(SUBSTITUTE(TRIM(C1772),".",""),"-","")," ",""))))</f>
        <v/>
      </c>
    </row>
    <row r="1773" customFormat="false" ht="15" hidden="false" customHeight="false" outlineLevel="0" collapsed="false">
      <c r="B1773" s="80"/>
      <c r="C1773" s="58"/>
      <c r="D1773" s="62" t="str">
        <f aca="false">IF(C1773="","",IFERROR(INDEX(T_NOMBRE,MATCH(V1773,T_RUTN,0)),"⚠ RUT no está en Trabajadores"))</f>
        <v/>
      </c>
      <c r="E1773" s="61"/>
      <c r="F1773" s="61"/>
      <c r="G1773" s="61"/>
      <c r="H1773" s="61"/>
      <c r="I1773" s="81"/>
      <c r="J1773" s="81"/>
      <c r="K1773" s="60"/>
      <c r="L1773" s="60"/>
      <c r="M1773" s="60"/>
      <c r="N1773" s="60"/>
      <c r="O1773" s="60"/>
      <c r="P1773" s="60"/>
      <c r="Q1773" s="60"/>
      <c r="R1773" s="58"/>
      <c r="S1773" s="62" t="str">
        <f aca="false">IF(OR(B1773="",V1773=""),"",IFERROR(INDEX(C_TIPO,MATCH(V1773&amp;"-P"&amp;MAX(1,COUNTIFS(C_RUTN,V1773,C_DEF,"Sí",C_INI,"&lt;="&amp;EOMONTH(B1773,0))),C_CLAVE,0))&amp;"","Sin contrato"))</f>
        <v/>
      </c>
      <c r="T1773" s="63" t="str">
        <f aca="false">IF(OR(B1773="",N(O1773)=0),"",N(O1773)+ROUND(MIN(N(N1773),TOPE_UF*UF_MES)*(TASA_EMP+MUTUAL),0)+ROUND(MIN(N(N1773),TOPE_AFC_UF*UF_MES)*IF(S1773="Indefinido",AFC_INDEF,AFC_PF),0))</f>
        <v/>
      </c>
      <c r="U1773" s="62" t="str">
        <f aca="false">IF(C1773="","",IF(LEFT(D1773,1)="⚠","⚠ RUT no registrado en Trabajadores",IF(B1773="","⚠ Falta el mes",IF(OR(ISTEXT(I1773),ISTEXT(J1773)),"⚠ Atrasos u horas extra como texto: escriba hh:mm (ej. 1:30)",IF(AND(ISNUMBER(Q1773),COUNTIFS(M_RUTN,V1773,M_MES,B1773,M_LIQ,"&lt;&gt;")&gt;1),"⚠ Liquidación repetida en el mes",IF(AND(ISNUMBER(O1773),ISNUMBER(P1773),ISNUMBER(Q1773),ABS(O1773-P1773-Q1773)&gt;1),"⚠ Haberes − descuentos no da el líquido","OK"))))))</f>
        <v/>
      </c>
      <c r="V1773" s="62" t="str">
        <f aca="false">IF(C1773="","",IFERROR(VALUE(LEFT(UPPER(SUBSTITUTE(SUBSTITUTE(SUBSTITUTE(TRIM(C1773),".",""),"-","")," ","")),LEN(UPPER(SUBSTITUTE(SUBSTITUTE(SUBSTITUTE(TRIM(C1773),".",""),"-","")," ","")))-1))&amp;RIGHT(UPPER(SUBSTITUTE(SUBSTITUTE(SUBSTITUTE(TRIM(C1773),".",""),"-","")," ","")),1),UPPER(SUBSTITUTE(SUBSTITUTE(SUBSTITUTE(TRIM(C1773),".",""),"-","")," ",""))))</f>
        <v/>
      </c>
    </row>
    <row r="1774" customFormat="false" ht="15" hidden="false" customHeight="false" outlineLevel="0" collapsed="false">
      <c r="B1774" s="80"/>
      <c r="C1774" s="58"/>
      <c r="D1774" s="62" t="str">
        <f aca="false">IF(C1774="","",IFERROR(INDEX(T_NOMBRE,MATCH(V1774,T_RUTN,0)),"⚠ RUT no está en Trabajadores"))</f>
        <v/>
      </c>
      <c r="E1774" s="61"/>
      <c r="F1774" s="61"/>
      <c r="G1774" s="61"/>
      <c r="H1774" s="61"/>
      <c r="I1774" s="81"/>
      <c r="J1774" s="81"/>
      <c r="K1774" s="60"/>
      <c r="L1774" s="60"/>
      <c r="M1774" s="60"/>
      <c r="N1774" s="60"/>
      <c r="O1774" s="60"/>
      <c r="P1774" s="60"/>
      <c r="Q1774" s="60"/>
      <c r="R1774" s="58"/>
      <c r="S1774" s="62" t="str">
        <f aca="false">IF(OR(B1774="",V1774=""),"",IFERROR(INDEX(C_TIPO,MATCH(V1774&amp;"-P"&amp;MAX(1,COUNTIFS(C_RUTN,V1774,C_DEF,"Sí",C_INI,"&lt;="&amp;EOMONTH(B1774,0))),C_CLAVE,0))&amp;"","Sin contrato"))</f>
        <v/>
      </c>
      <c r="T1774" s="63" t="str">
        <f aca="false">IF(OR(B1774="",N(O1774)=0),"",N(O1774)+ROUND(MIN(N(N1774),TOPE_UF*UF_MES)*(TASA_EMP+MUTUAL),0)+ROUND(MIN(N(N1774),TOPE_AFC_UF*UF_MES)*IF(S1774="Indefinido",AFC_INDEF,AFC_PF),0))</f>
        <v/>
      </c>
      <c r="U1774" s="62" t="str">
        <f aca="false">IF(C1774="","",IF(LEFT(D1774,1)="⚠","⚠ RUT no registrado en Trabajadores",IF(B1774="","⚠ Falta el mes",IF(OR(ISTEXT(I1774),ISTEXT(J1774)),"⚠ Atrasos u horas extra como texto: escriba hh:mm (ej. 1:30)",IF(AND(ISNUMBER(Q1774),COUNTIFS(M_RUTN,V1774,M_MES,B1774,M_LIQ,"&lt;&gt;")&gt;1),"⚠ Liquidación repetida en el mes",IF(AND(ISNUMBER(O1774),ISNUMBER(P1774),ISNUMBER(Q1774),ABS(O1774-P1774-Q1774)&gt;1),"⚠ Haberes − descuentos no da el líquido","OK"))))))</f>
        <v/>
      </c>
      <c r="V1774" s="62" t="str">
        <f aca="false">IF(C1774="","",IFERROR(VALUE(LEFT(UPPER(SUBSTITUTE(SUBSTITUTE(SUBSTITUTE(TRIM(C1774),".",""),"-","")," ","")),LEN(UPPER(SUBSTITUTE(SUBSTITUTE(SUBSTITUTE(TRIM(C1774),".",""),"-","")," ","")))-1))&amp;RIGHT(UPPER(SUBSTITUTE(SUBSTITUTE(SUBSTITUTE(TRIM(C1774),".",""),"-","")," ","")),1),UPPER(SUBSTITUTE(SUBSTITUTE(SUBSTITUTE(TRIM(C1774),".",""),"-","")," ",""))))</f>
        <v/>
      </c>
    </row>
    <row r="1775" customFormat="false" ht="15" hidden="false" customHeight="false" outlineLevel="0" collapsed="false">
      <c r="B1775" s="80"/>
      <c r="C1775" s="58"/>
      <c r="D1775" s="62" t="str">
        <f aca="false">IF(C1775="","",IFERROR(INDEX(T_NOMBRE,MATCH(V1775,T_RUTN,0)),"⚠ RUT no está en Trabajadores"))</f>
        <v/>
      </c>
      <c r="E1775" s="61"/>
      <c r="F1775" s="61"/>
      <c r="G1775" s="61"/>
      <c r="H1775" s="61"/>
      <c r="I1775" s="81"/>
      <c r="J1775" s="81"/>
      <c r="K1775" s="60"/>
      <c r="L1775" s="60"/>
      <c r="M1775" s="60"/>
      <c r="N1775" s="60"/>
      <c r="O1775" s="60"/>
      <c r="P1775" s="60"/>
      <c r="Q1775" s="60"/>
      <c r="R1775" s="58"/>
      <c r="S1775" s="62" t="str">
        <f aca="false">IF(OR(B1775="",V1775=""),"",IFERROR(INDEX(C_TIPO,MATCH(V1775&amp;"-P"&amp;MAX(1,COUNTIFS(C_RUTN,V1775,C_DEF,"Sí",C_INI,"&lt;="&amp;EOMONTH(B1775,0))),C_CLAVE,0))&amp;"","Sin contrato"))</f>
        <v/>
      </c>
      <c r="T1775" s="63" t="str">
        <f aca="false">IF(OR(B1775="",N(O1775)=0),"",N(O1775)+ROUND(MIN(N(N1775),TOPE_UF*UF_MES)*(TASA_EMP+MUTUAL),0)+ROUND(MIN(N(N1775),TOPE_AFC_UF*UF_MES)*IF(S1775="Indefinido",AFC_INDEF,AFC_PF),0))</f>
        <v/>
      </c>
      <c r="U1775" s="62" t="str">
        <f aca="false">IF(C1775="","",IF(LEFT(D1775,1)="⚠","⚠ RUT no registrado en Trabajadores",IF(B1775="","⚠ Falta el mes",IF(OR(ISTEXT(I1775),ISTEXT(J1775)),"⚠ Atrasos u horas extra como texto: escriba hh:mm (ej. 1:30)",IF(AND(ISNUMBER(Q1775),COUNTIFS(M_RUTN,V1775,M_MES,B1775,M_LIQ,"&lt;&gt;")&gt;1),"⚠ Liquidación repetida en el mes",IF(AND(ISNUMBER(O1775),ISNUMBER(P1775),ISNUMBER(Q1775),ABS(O1775-P1775-Q1775)&gt;1),"⚠ Haberes − descuentos no da el líquido","OK"))))))</f>
        <v/>
      </c>
      <c r="V1775" s="62" t="str">
        <f aca="false">IF(C1775="","",IFERROR(VALUE(LEFT(UPPER(SUBSTITUTE(SUBSTITUTE(SUBSTITUTE(TRIM(C1775),".",""),"-","")," ","")),LEN(UPPER(SUBSTITUTE(SUBSTITUTE(SUBSTITUTE(TRIM(C1775),".",""),"-","")," ","")))-1))&amp;RIGHT(UPPER(SUBSTITUTE(SUBSTITUTE(SUBSTITUTE(TRIM(C1775),".",""),"-","")," ","")),1),UPPER(SUBSTITUTE(SUBSTITUTE(SUBSTITUTE(TRIM(C1775),".",""),"-","")," ",""))))</f>
        <v/>
      </c>
    </row>
    <row r="1776" customFormat="false" ht="15" hidden="false" customHeight="false" outlineLevel="0" collapsed="false">
      <c r="B1776" s="80"/>
      <c r="C1776" s="58"/>
      <c r="D1776" s="62" t="str">
        <f aca="false">IF(C1776="","",IFERROR(INDEX(T_NOMBRE,MATCH(V1776,T_RUTN,0)),"⚠ RUT no está en Trabajadores"))</f>
        <v/>
      </c>
      <c r="E1776" s="61"/>
      <c r="F1776" s="61"/>
      <c r="G1776" s="61"/>
      <c r="H1776" s="61"/>
      <c r="I1776" s="81"/>
      <c r="J1776" s="81"/>
      <c r="K1776" s="60"/>
      <c r="L1776" s="60"/>
      <c r="M1776" s="60"/>
      <c r="N1776" s="60"/>
      <c r="O1776" s="60"/>
      <c r="P1776" s="60"/>
      <c r="Q1776" s="60"/>
      <c r="R1776" s="58"/>
      <c r="S1776" s="62" t="str">
        <f aca="false">IF(OR(B1776="",V1776=""),"",IFERROR(INDEX(C_TIPO,MATCH(V1776&amp;"-P"&amp;MAX(1,COUNTIFS(C_RUTN,V1776,C_DEF,"Sí",C_INI,"&lt;="&amp;EOMONTH(B1776,0))),C_CLAVE,0))&amp;"","Sin contrato"))</f>
        <v/>
      </c>
      <c r="T1776" s="63" t="str">
        <f aca="false">IF(OR(B1776="",N(O1776)=0),"",N(O1776)+ROUND(MIN(N(N1776),TOPE_UF*UF_MES)*(TASA_EMP+MUTUAL),0)+ROUND(MIN(N(N1776),TOPE_AFC_UF*UF_MES)*IF(S1776="Indefinido",AFC_INDEF,AFC_PF),0))</f>
        <v/>
      </c>
      <c r="U1776" s="62" t="str">
        <f aca="false">IF(C1776="","",IF(LEFT(D1776,1)="⚠","⚠ RUT no registrado en Trabajadores",IF(B1776="","⚠ Falta el mes",IF(OR(ISTEXT(I1776),ISTEXT(J1776)),"⚠ Atrasos u horas extra como texto: escriba hh:mm (ej. 1:30)",IF(AND(ISNUMBER(Q1776),COUNTIFS(M_RUTN,V1776,M_MES,B1776,M_LIQ,"&lt;&gt;")&gt;1),"⚠ Liquidación repetida en el mes",IF(AND(ISNUMBER(O1776),ISNUMBER(P1776),ISNUMBER(Q1776),ABS(O1776-P1776-Q1776)&gt;1),"⚠ Haberes − descuentos no da el líquido","OK"))))))</f>
        <v/>
      </c>
      <c r="V1776" s="62" t="str">
        <f aca="false">IF(C1776="","",IFERROR(VALUE(LEFT(UPPER(SUBSTITUTE(SUBSTITUTE(SUBSTITUTE(TRIM(C1776),".",""),"-","")," ","")),LEN(UPPER(SUBSTITUTE(SUBSTITUTE(SUBSTITUTE(TRIM(C1776),".",""),"-","")," ","")))-1))&amp;RIGHT(UPPER(SUBSTITUTE(SUBSTITUTE(SUBSTITUTE(TRIM(C1776),".",""),"-","")," ","")),1),UPPER(SUBSTITUTE(SUBSTITUTE(SUBSTITUTE(TRIM(C1776),".",""),"-","")," ",""))))</f>
        <v/>
      </c>
    </row>
    <row r="1777" customFormat="false" ht="15" hidden="false" customHeight="false" outlineLevel="0" collapsed="false">
      <c r="B1777" s="80"/>
      <c r="C1777" s="58"/>
      <c r="D1777" s="62" t="str">
        <f aca="false">IF(C1777="","",IFERROR(INDEX(T_NOMBRE,MATCH(V1777,T_RUTN,0)),"⚠ RUT no está en Trabajadores"))</f>
        <v/>
      </c>
      <c r="E1777" s="61"/>
      <c r="F1777" s="61"/>
      <c r="G1777" s="61"/>
      <c r="H1777" s="61"/>
      <c r="I1777" s="81"/>
      <c r="J1777" s="81"/>
      <c r="K1777" s="60"/>
      <c r="L1777" s="60"/>
      <c r="M1777" s="60"/>
      <c r="N1777" s="60"/>
      <c r="O1777" s="60"/>
      <c r="P1777" s="60"/>
      <c r="Q1777" s="60"/>
      <c r="R1777" s="58"/>
      <c r="S1777" s="62" t="str">
        <f aca="false">IF(OR(B1777="",V1777=""),"",IFERROR(INDEX(C_TIPO,MATCH(V1777&amp;"-P"&amp;MAX(1,COUNTIFS(C_RUTN,V1777,C_DEF,"Sí",C_INI,"&lt;="&amp;EOMONTH(B1777,0))),C_CLAVE,0))&amp;"","Sin contrato"))</f>
        <v/>
      </c>
      <c r="T1777" s="63" t="str">
        <f aca="false">IF(OR(B1777="",N(O1777)=0),"",N(O1777)+ROUND(MIN(N(N1777),TOPE_UF*UF_MES)*(TASA_EMP+MUTUAL),0)+ROUND(MIN(N(N1777),TOPE_AFC_UF*UF_MES)*IF(S1777="Indefinido",AFC_INDEF,AFC_PF),0))</f>
        <v/>
      </c>
      <c r="U1777" s="62" t="str">
        <f aca="false">IF(C1777="","",IF(LEFT(D1777,1)="⚠","⚠ RUT no registrado en Trabajadores",IF(B1777="","⚠ Falta el mes",IF(OR(ISTEXT(I1777),ISTEXT(J1777)),"⚠ Atrasos u horas extra como texto: escriba hh:mm (ej. 1:30)",IF(AND(ISNUMBER(Q1777),COUNTIFS(M_RUTN,V1777,M_MES,B1777,M_LIQ,"&lt;&gt;")&gt;1),"⚠ Liquidación repetida en el mes",IF(AND(ISNUMBER(O1777),ISNUMBER(P1777),ISNUMBER(Q1777),ABS(O1777-P1777-Q1777)&gt;1),"⚠ Haberes − descuentos no da el líquido","OK"))))))</f>
        <v/>
      </c>
      <c r="V1777" s="62" t="str">
        <f aca="false">IF(C1777="","",IFERROR(VALUE(LEFT(UPPER(SUBSTITUTE(SUBSTITUTE(SUBSTITUTE(TRIM(C1777),".",""),"-","")," ","")),LEN(UPPER(SUBSTITUTE(SUBSTITUTE(SUBSTITUTE(TRIM(C1777),".",""),"-","")," ","")))-1))&amp;RIGHT(UPPER(SUBSTITUTE(SUBSTITUTE(SUBSTITUTE(TRIM(C1777),".",""),"-","")," ","")),1),UPPER(SUBSTITUTE(SUBSTITUTE(SUBSTITUTE(TRIM(C1777),".",""),"-","")," ",""))))</f>
        <v/>
      </c>
    </row>
    <row r="1778" customFormat="false" ht="15" hidden="false" customHeight="false" outlineLevel="0" collapsed="false">
      <c r="B1778" s="80"/>
      <c r="C1778" s="58"/>
      <c r="D1778" s="62" t="str">
        <f aca="false">IF(C1778="","",IFERROR(INDEX(T_NOMBRE,MATCH(V1778,T_RUTN,0)),"⚠ RUT no está en Trabajadores"))</f>
        <v/>
      </c>
      <c r="E1778" s="61"/>
      <c r="F1778" s="61"/>
      <c r="G1778" s="61"/>
      <c r="H1778" s="61"/>
      <c r="I1778" s="81"/>
      <c r="J1778" s="81"/>
      <c r="K1778" s="60"/>
      <c r="L1778" s="60"/>
      <c r="M1778" s="60"/>
      <c r="N1778" s="60"/>
      <c r="O1778" s="60"/>
      <c r="P1778" s="60"/>
      <c r="Q1778" s="60"/>
      <c r="R1778" s="58"/>
      <c r="S1778" s="62" t="str">
        <f aca="false">IF(OR(B1778="",V1778=""),"",IFERROR(INDEX(C_TIPO,MATCH(V1778&amp;"-P"&amp;MAX(1,COUNTIFS(C_RUTN,V1778,C_DEF,"Sí",C_INI,"&lt;="&amp;EOMONTH(B1778,0))),C_CLAVE,0))&amp;"","Sin contrato"))</f>
        <v/>
      </c>
      <c r="T1778" s="63" t="str">
        <f aca="false">IF(OR(B1778="",N(O1778)=0),"",N(O1778)+ROUND(MIN(N(N1778),TOPE_UF*UF_MES)*(TASA_EMP+MUTUAL),0)+ROUND(MIN(N(N1778),TOPE_AFC_UF*UF_MES)*IF(S1778="Indefinido",AFC_INDEF,AFC_PF),0))</f>
        <v/>
      </c>
      <c r="U1778" s="62" t="str">
        <f aca="false">IF(C1778="","",IF(LEFT(D1778,1)="⚠","⚠ RUT no registrado en Trabajadores",IF(B1778="","⚠ Falta el mes",IF(OR(ISTEXT(I1778),ISTEXT(J1778)),"⚠ Atrasos u horas extra como texto: escriba hh:mm (ej. 1:30)",IF(AND(ISNUMBER(Q1778),COUNTIFS(M_RUTN,V1778,M_MES,B1778,M_LIQ,"&lt;&gt;")&gt;1),"⚠ Liquidación repetida en el mes",IF(AND(ISNUMBER(O1778),ISNUMBER(P1778),ISNUMBER(Q1778),ABS(O1778-P1778-Q1778)&gt;1),"⚠ Haberes − descuentos no da el líquido","OK"))))))</f>
        <v/>
      </c>
      <c r="V1778" s="62" t="str">
        <f aca="false">IF(C1778="","",IFERROR(VALUE(LEFT(UPPER(SUBSTITUTE(SUBSTITUTE(SUBSTITUTE(TRIM(C1778),".",""),"-","")," ","")),LEN(UPPER(SUBSTITUTE(SUBSTITUTE(SUBSTITUTE(TRIM(C1778),".",""),"-","")," ","")))-1))&amp;RIGHT(UPPER(SUBSTITUTE(SUBSTITUTE(SUBSTITUTE(TRIM(C1778),".",""),"-","")," ","")),1),UPPER(SUBSTITUTE(SUBSTITUTE(SUBSTITUTE(TRIM(C1778),".",""),"-","")," ",""))))</f>
        <v/>
      </c>
    </row>
    <row r="1779" customFormat="false" ht="15" hidden="false" customHeight="false" outlineLevel="0" collapsed="false">
      <c r="B1779" s="80"/>
      <c r="C1779" s="58"/>
      <c r="D1779" s="62" t="str">
        <f aca="false">IF(C1779="","",IFERROR(INDEX(T_NOMBRE,MATCH(V1779,T_RUTN,0)),"⚠ RUT no está en Trabajadores"))</f>
        <v/>
      </c>
      <c r="E1779" s="61"/>
      <c r="F1779" s="61"/>
      <c r="G1779" s="61"/>
      <c r="H1779" s="61"/>
      <c r="I1779" s="81"/>
      <c r="J1779" s="81"/>
      <c r="K1779" s="60"/>
      <c r="L1779" s="60"/>
      <c r="M1779" s="60"/>
      <c r="N1779" s="60"/>
      <c r="O1779" s="60"/>
      <c r="P1779" s="60"/>
      <c r="Q1779" s="60"/>
      <c r="R1779" s="58"/>
      <c r="S1779" s="62" t="str">
        <f aca="false">IF(OR(B1779="",V1779=""),"",IFERROR(INDEX(C_TIPO,MATCH(V1779&amp;"-P"&amp;MAX(1,COUNTIFS(C_RUTN,V1779,C_DEF,"Sí",C_INI,"&lt;="&amp;EOMONTH(B1779,0))),C_CLAVE,0))&amp;"","Sin contrato"))</f>
        <v/>
      </c>
      <c r="T1779" s="63" t="str">
        <f aca="false">IF(OR(B1779="",N(O1779)=0),"",N(O1779)+ROUND(MIN(N(N1779),TOPE_UF*UF_MES)*(TASA_EMP+MUTUAL),0)+ROUND(MIN(N(N1779),TOPE_AFC_UF*UF_MES)*IF(S1779="Indefinido",AFC_INDEF,AFC_PF),0))</f>
        <v/>
      </c>
      <c r="U1779" s="62" t="str">
        <f aca="false">IF(C1779="","",IF(LEFT(D1779,1)="⚠","⚠ RUT no registrado en Trabajadores",IF(B1779="","⚠ Falta el mes",IF(OR(ISTEXT(I1779),ISTEXT(J1779)),"⚠ Atrasos u horas extra como texto: escriba hh:mm (ej. 1:30)",IF(AND(ISNUMBER(Q1779),COUNTIFS(M_RUTN,V1779,M_MES,B1779,M_LIQ,"&lt;&gt;")&gt;1),"⚠ Liquidación repetida en el mes",IF(AND(ISNUMBER(O1779),ISNUMBER(P1779),ISNUMBER(Q1779),ABS(O1779-P1779-Q1779)&gt;1),"⚠ Haberes − descuentos no da el líquido","OK"))))))</f>
        <v/>
      </c>
      <c r="V1779" s="62" t="str">
        <f aca="false">IF(C1779="","",IFERROR(VALUE(LEFT(UPPER(SUBSTITUTE(SUBSTITUTE(SUBSTITUTE(TRIM(C1779),".",""),"-","")," ","")),LEN(UPPER(SUBSTITUTE(SUBSTITUTE(SUBSTITUTE(TRIM(C1779),".",""),"-","")," ","")))-1))&amp;RIGHT(UPPER(SUBSTITUTE(SUBSTITUTE(SUBSTITUTE(TRIM(C1779),".",""),"-","")," ","")),1),UPPER(SUBSTITUTE(SUBSTITUTE(SUBSTITUTE(TRIM(C1779),".",""),"-","")," ",""))))</f>
        <v/>
      </c>
    </row>
    <row r="1780" customFormat="false" ht="15" hidden="false" customHeight="false" outlineLevel="0" collapsed="false">
      <c r="B1780" s="80"/>
      <c r="C1780" s="58"/>
      <c r="D1780" s="62" t="str">
        <f aca="false">IF(C1780="","",IFERROR(INDEX(T_NOMBRE,MATCH(V1780,T_RUTN,0)),"⚠ RUT no está en Trabajadores"))</f>
        <v/>
      </c>
      <c r="E1780" s="61"/>
      <c r="F1780" s="61"/>
      <c r="G1780" s="61"/>
      <c r="H1780" s="61"/>
      <c r="I1780" s="81"/>
      <c r="J1780" s="81"/>
      <c r="K1780" s="60"/>
      <c r="L1780" s="60"/>
      <c r="M1780" s="60"/>
      <c r="N1780" s="60"/>
      <c r="O1780" s="60"/>
      <c r="P1780" s="60"/>
      <c r="Q1780" s="60"/>
      <c r="R1780" s="58"/>
      <c r="S1780" s="62" t="str">
        <f aca="false">IF(OR(B1780="",V1780=""),"",IFERROR(INDEX(C_TIPO,MATCH(V1780&amp;"-P"&amp;MAX(1,COUNTIFS(C_RUTN,V1780,C_DEF,"Sí",C_INI,"&lt;="&amp;EOMONTH(B1780,0))),C_CLAVE,0))&amp;"","Sin contrato"))</f>
        <v/>
      </c>
      <c r="T1780" s="63" t="str">
        <f aca="false">IF(OR(B1780="",N(O1780)=0),"",N(O1780)+ROUND(MIN(N(N1780),TOPE_UF*UF_MES)*(TASA_EMP+MUTUAL),0)+ROUND(MIN(N(N1780),TOPE_AFC_UF*UF_MES)*IF(S1780="Indefinido",AFC_INDEF,AFC_PF),0))</f>
        <v/>
      </c>
      <c r="U1780" s="62" t="str">
        <f aca="false">IF(C1780="","",IF(LEFT(D1780,1)="⚠","⚠ RUT no registrado en Trabajadores",IF(B1780="","⚠ Falta el mes",IF(OR(ISTEXT(I1780),ISTEXT(J1780)),"⚠ Atrasos u horas extra como texto: escriba hh:mm (ej. 1:30)",IF(AND(ISNUMBER(Q1780),COUNTIFS(M_RUTN,V1780,M_MES,B1780,M_LIQ,"&lt;&gt;")&gt;1),"⚠ Liquidación repetida en el mes",IF(AND(ISNUMBER(O1780),ISNUMBER(P1780),ISNUMBER(Q1780),ABS(O1780-P1780-Q1780)&gt;1),"⚠ Haberes − descuentos no da el líquido","OK"))))))</f>
        <v/>
      </c>
      <c r="V1780" s="62" t="str">
        <f aca="false">IF(C1780="","",IFERROR(VALUE(LEFT(UPPER(SUBSTITUTE(SUBSTITUTE(SUBSTITUTE(TRIM(C1780),".",""),"-","")," ","")),LEN(UPPER(SUBSTITUTE(SUBSTITUTE(SUBSTITUTE(TRIM(C1780),".",""),"-","")," ","")))-1))&amp;RIGHT(UPPER(SUBSTITUTE(SUBSTITUTE(SUBSTITUTE(TRIM(C1780),".",""),"-","")," ","")),1),UPPER(SUBSTITUTE(SUBSTITUTE(SUBSTITUTE(TRIM(C1780),".",""),"-","")," ",""))))</f>
        <v/>
      </c>
    </row>
    <row r="1781" customFormat="false" ht="15" hidden="false" customHeight="false" outlineLevel="0" collapsed="false">
      <c r="B1781" s="80"/>
      <c r="C1781" s="58"/>
      <c r="D1781" s="62" t="str">
        <f aca="false">IF(C1781="","",IFERROR(INDEX(T_NOMBRE,MATCH(V1781,T_RUTN,0)),"⚠ RUT no está en Trabajadores"))</f>
        <v/>
      </c>
      <c r="E1781" s="61"/>
      <c r="F1781" s="61"/>
      <c r="G1781" s="61"/>
      <c r="H1781" s="61"/>
      <c r="I1781" s="81"/>
      <c r="J1781" s="81"/>
      <c r="K1781" s="60"/>
      <c r="L1781" s="60"/>
      <c r="M1781" s="60"/>
      <c r="N1781" s="60"/>
      <c r="O1781" s="60"/>
      <c r="P1781" s="60"/>
      <c r="Q1781" s="60"/>
      <c r="R1781" s="58"/>
      <c r="S1781" s="62" t="str">
        <f aca="false">IF(OR(B1781="",V1781=""),"",IFERROR(INDEX(C_TIPO,MATCH(V1781&amp;"-P"&amp;MAX(1,COUNTIFS(C_RUTN,V1781,C_DEF,"Sí",C_INI,"&lt;="&amp;EOMONTH(B1781,0))),C_CLAVE,0))&amp;"","Sin contrato"))</f>
        <v/>
      </c>
      <c r="T1781" s="63" t="str">
        <f aca="false">IF(OR(B1781="",N(O1781)=0),"",N(O1781)+ROUND(MIN(N(N1781),TOPE_UF*UF_MES)*(TASA_EMP+MUTUAL),0)+ROUND(MIN(N(N1781),TOPE_AFC_UF*UF_MES)*IF(S1781="Indefinido",AFC_INDEF,AFC_PF),0))</f>
        <v/>
      </c>
      <c r="U1781" s="62" t="str">
        <f aca="false">IF(C1781="","",IF(LEFT(D1781,1)="⚠","⚠ RUT no registrado en Trabajadores",IF(B1781="","⚠ Falta el mes",IF(OR(ISTEXT(I1781),ISTEXT(J1781)),"⚠ Atrasos u horas extra como texto: escriba hh:mm (ej. 1:30)",IF(AND(ISNUMBER(Q1781),COUNTIFS(M_RUTN,V1781,M_MES,B1781,M_LIQ,"&lt;&gt;")&gt;1),"⚠ Liquidación repetida en el mes",IF(AND(ISNUMBER(O1781),ISNUMBER(P1781),ISNUMBER(Q1781),ABS(O1781-P1781-Q1781)&gt;1),"⚠ Haberes − descuentos no da el líquido","OK"))))))</f>
        <v/>
      </c>
      <c r="V1781" s="62" t="str">
        <f aca="false">IF(C1781="","",IFERROR(VALUE(LEFT(UPPER(SUBSTITUTE(SUBSTITUTE(SUBSTITUTE(TRIM(C1781),".",""),"-","")," ","")),LEN(UPPER(SUBSTITUTE(SUBSTITUTE(SUBSTITUTE(TRIM(C1781),".",""),"-","")," ","")))-1))&amp;RIGHT(UPPER(SUBSTITUTE(SUBSTITUTE(SUBSTITUTE(TRIM(C1781),".",""),"-","")," ","")),1),UPPER(SUBSTITUTE(SUBSTITUTE(SUBSTITUTE(TRIM(C1781),".",""),"-","")," ",""))))</f>
        <v/>
      </c>
    </row>
    <row r="1782" customFormat="false" ht="15" hidden="false" customHeight="false" outlineLevel="0" collapsed="false">
      <c r="B1782" s="80"/>
      <c r="C1782" s="58"/>
      <c r="D1782" s="62" t="str">
        <f aca="false">IF(C1782="","",IFERROR(INDEX(T_NOMBRE,MATCH(V1782,T_RUTN,0)),"⚠ RUT no está en Trabajadores"))</f>
        <v/>
      </c>
      <c r="E1782" s="61"/>
      <c r="F1782" s="61"/>
      <c r="G1782" s="61"/>
      <c r="H1782" s="61"/>
      <c r="I1782" s="81"/>
      <c r="J1782" s="81"/>
      <c r="K1782" s="60"/>
      <c r="L1782" s="60"/>
      <c r="M1782" s="60"/>
      <c r="N1782" s="60"/>
      <c r="O1782" s="60"/>
      <c r="P1782" s="60"/>
      <c r="Q1782" s="60"/>
      <c r="R1782" s="58"/>
      <c r="S1782" s="62" t="str">
        <f aca="false">IF(OR(B1782="",V1782=""),"",IFERROR(INDEX(C_TIPO,MATCH(V1782&amp;"-P"&amp;MAX(1,COUNTIFS(C_RUTN,V1782,C_DEF,"Sí",C_INI,"&lt;="&amp;EOMONTH(B1782,0))),C_CLAVE,0))&amp;"","Sin contrato"))</f>
        <v/>
      </c>
      <c r="T1782" s="63" t="str">
        <f aca="false">IF(OR(B1782="",N(O1782)=0),"",N(O1782)+ROUND(MIN(N(N1782),TOPE_UF*UF_MES)*(TASA_EMP+MUTUAL),0)+ROUND(MIN(N(N1782),TOPE_AFC_UF*UF_MES)*IF(S1782="Indefinido",AFC_INDEF,AFC_PF),0))</f>
        <v/>
      </c>
      <c r="U1782" s="62" t="str">
        <f aca="false">IF(C1782="","",IF(LEFT(D1782,1)="⚠","⚠ RUT no registrado en Trabajadores",IF(B1782="","⚠ Falta el mes",IF(OR(ISTEXT(I1782),ISTEXT(J1782)),"⚠ Atrasos u horas extra como texto: escriba hh:mm (ej. 1:30)",IF(AND(ISNUMBER(Q1782),COUNTIFS(M_RUTN,V1782,M_MES,B1782,M_LIQ,"&lt;&gt;")&gt;1),"⚠ Liquidación repetida en el mes",IF(AND(ISNUMBER(O1782),ISNUMBER(P1782),ISNUMBER(Q1782),ABS(O1782-P1782-Q1782)&gt;1),"⚠ Haberes − descuentos no da el líquido","OK"))))))</f>
        <v/>
      </c>
      <c r="V1782" s="62" t="str">
        <f aca="false">IF(C1782="","",IFERROR(VALUE(LEFT(UPPER(SUBSTITUTE(SUBSTITUTE(SUBSTITUTE(TRIM(C1782),".",""),"-","")," ","")),LEN(UPPER(SUBSTITUTE(SUBSTITUTE(SUBSTITUTE(TRIM(C1782),".",""),"-","")," ","")))-1))&amp;RIGHT(UPPER(SUBSTITUTE(SUBSTITUTE(SUBSTITUTE(TRIM(C1782),".",""),"-","")," ","")),1),UPPER(SUBSTITUTE(SUBSTITUTE(SUBSTITUTE(TRIM(C1782),".",""),"-","")," ",""))))</f>
        <v/>
      </c>
    </row>
    <row r="1783" customFormat="false" ht="15" hidden="false" customHeight="false" outlineLevel="0" collapsed="false">
      <c r="B1783" s="80"/>
      <c r="C1783" s="58"/>
      <c r="D1783" s="62" t="str">
        <f aca="false">IF(C1783="","",IFERROR(INDEX(T_NOMBRE,MATCH(V1783,T_RUTN,0)),"⚠ RUT no está en Trabajadores"))</f>
        <v/>
      </c>
      <c r="E1783" s="61"/>
      <c r="F1783" s="61"/>
      <c r="G1783" s="61"/>
      <c r="H1783" s="61"/>
      <c r="I1783" s="81"/>
      <c r="J1783" s="81"/>
      <c r="K1783" s="60"/>
      <c r="L1783" s="60"/>
      <c r="M1783" s="60"/>
      <c r="N1783" s="60"/>
      <c r="O1783" s="60"/>
      <c r="P1783" s="60"/>
      <c r="Q1783" s="60"/>
      <c r="R1783" s="58"/>
      <c r="S1783" s="62" t="str">
        <f aca="false">IF(OR(B1783="",V1783=""),"",IFERROR(INDEX(C_TIPO,MATCH(V1783&amp;"-P"&amp;MAX(1,COUNTIFS(C_RUTN,V1783,C_DEF,"Sí",C_INI,"&lt;="&amp;EOMONTH(B1783,0))),C_CLAVE,0))&amp;"","Sin contrato"))</f>
        <v/>
      </c>
      <c r="T1783" s="63" t="str">
        <f aca="false">IF(OR(B1783="",N(O1783)=0),"",N(O1783)+ROUND(MIN(N(N1783),TOPE_UF*UF_MES)*(TASA_EMP+MUTUAL),0)+ROUND(MIN(N(N1783),TOPE_AFC_UF*UF_MES)*IF(S1783="Indefinido",AFC_INDEF,AFC_PF),0))</f>
        <v/>
      </c>
      <c r="U1783" s="62" t="str">
        <f aca="false">IF(C1783="","",IF(LEFT(D1783,1)="⚠","⚠ RUT no registrado en Trabajadores",IF(B1783="","⚠ Falta el mes",IF(OR(ISTEXT(I1783),ISTEXT(J1783)),"⚠ Atrasos u horas extra como texto: escriba hh:mm (ej. 1:30)",IF(AND(ISNUMBER(Q1783),COUNTIFS(M_RUTN,V1783,M_MES,B1783,M_LIQ,"&lt;&gt;")&gt;1),"⚠ Liquidación repetida en el mes",IF(AND(ISNUMBER(O1783),ISNUMBER(P1783),ISNUMBER(Q1783),ABS(O1783-P1783-Q1783)&gt;1),"⚠ Haberes − descuentos no da el líquido","OK"))))))</f>
        <v/>
      </c>
      <c r="V1783" s="62" t="str">
        <f aca="false">IF(C1783="","",IFERROR(VALUE(LEFT(UPPER(SUBSTITUTE(SUBSTITUTE(SUBSTITUTE(TRIM(C1783),".",""),"-","")," ","")),LEN(UPPER(SUBSTITUTE(SUBSTITUTE(SUBSTITUTE(TRIM(C1783),".",""),"-","")," ","")))-1))&amp;RIGHT(UPPER(SUBSTITUTE(SUBSTITUTE(SUBSTITUTE(TRIM(C1783),".",""),"-","")," ","")),1),UPPER(SUBSTITUTE(SUBSTITUTE(SUBSTITUTE(TRIM(C1783),".",""),"-","")," ",""))))</f>
        <v/>
      </c>
    </row>
    <row r="1784" customFormat="false" ht="15" hidden="false" customHeight="false" outlineLevel="0" collapsed="false">
      <c r="B1784" s="80"/>
      <c r="C1784" s="58"/>
      <c r="D1784" s="62" t="str">
        <f aca="false">IF(C1784="","",IFERROR(INDEX(T_NOMBRE,MATCH(V1784,T_RUTN,0)),"⚠ RUT no está en Trabajadores"))</f>
        <v/>
      </c>
      <c r="E1784" s="61"/>
      <c r="F1784" s="61"/>
      <c r="G1784" s="61"/>
      <c r="H1784" s="61"/>
      <c r="I1784" s="81"/>
      <c r="J1784" s="81"/>
      <c r="K1784" s="60"/>
      <c r="L1784" s="60"/>
      <c r="M1784" s="60"/>
      <c r="N1784" s="60"/>
      <c r="O1784" s="60"/>
      <c r="P1784" s="60"/>
      <c r="Q1784" s="60"/>
      <c r="R1784" s="58"/>
      <c r="S1784" s="62" t="str">
        <f aca="false">IF(OR(B1784="",V1784=""),"",IFERROR(INDEX(C_TIPO,MATCH(V1784&amp;"-P"&amp;MAX(1,COUNTIFS(C_RUTN,V1784,C_DEF,"Sí",C_INI,"&lt;="&amp;EOMONTH(B1784,0))),C_CLAVE,0))&amp;"","Sin contrato"))</f>
        <v/>
      </c>
      <c r="T1784" s="63" t="str">
        <f aca="false">IF(OR(B1784="",N(O1784)=0),"",N(O1784)+ROUND(MIN(N(N1784),TOPE_UF*UF_MES)*(TASA_EMP+MUTUAL),0)+ROUND(MIN(N(N1784),TOPE_AFC_UF*UF_MES)*IF(S1784="Indefinido",AFC_INDEF,AFC_PF),0))</f>
        <v/>
      </c>
      <c r="U1784" s="62" t="str">
        <f aca="false">IF(C1784="","",IF(LEFT(D1784,1)="⚠","⚠ RUT no registrado en Trabajadores",IF(B1784="","⚠ Falta el mes",IF(OR(ISTEXT(I1784),ISTEXT(J1784)),"⚠ Atrasos u horas extra como texto: escriba hh:mm (ej. 1:30)",IF(AND(ISNUMBER(Q1784),COUNTIFS(M_RUTN,V1784,M_MES,B1784,M_LIQ,"&lt;&gt;")&gt;1),"⚠ Liquidación repetida en el mes",IF(AND(ISNUMBER(O1784),ISNUMBER(P1784),ISNUMBER(Q1784),ABS(O1784-P1784-Q1784)&gt;1),"⚠ Haberes − descuentos no da el líquido","OK"))))))</f>
        <v/>
      </c>
      <c r="V1784" s="62" t="str">
        <f aca="false">IF(C1784="","",IFERROR(VALUE(LEFT(UPPER(SUBSTITUTE(SUBSTITUTE(SUBSTITUTE(TRIM(C1784),".",""),"-","")," ","")),LEN(UPPER(SUBSTITUTE(SUBSTITUTE(SUBSTITUTE(TRIM(C1784),".",""),"-","")," ","")))-1))&amp;RIGHT(UPPER(SUBSTITUTE(SUBSTITUTE(SUBSTITUTE(TRIM(C1784),".",""),"-","")," ","")),1),UPPER(SUBSTITUTE(SUBSTITUTE(SUBSTITUTE(TRIM(C1784),".",""),"-","")," ",""))))</f>
        <v/>
      </c>
    </row>
    <row r="1785" customFormat="false" ht="15" hidden="false" customHeight="false" outlineLevel="0" collapsed="false">
      <c r="B1785" s="80"/>
      <c r="C1785" s="58"/>
      <c r="D1785" s="62" t="str">
        <f aca="false">IF(C1785="","",IFERROR(INDEX(T_NOMBRE,MATCH(V1785,T_RUTN,0)),"⚠ RUT no está en Trabajadores"))</f>
        <v/>
      </c>
      <c r="E1785" s="61"/>
      <c r="F1785" s="61"/>
      <c r="G1785" s="61"/>
      <c r="H1785" s="61"/>
      <c r="I1785" s="81"/>
      <c r="J1785" s="81"/>
      <c r="K1785" s="60"/>
      <c r="L1785" s="60"/>
      <c r="M1785" s="60"/>
      <c r="N1785" s="60"/>
      <c r="O1785" s="60"/>
      <c r="P1785" s="60"/>
      <c r="Q1785" s="60"/>
      <c r="R1785" s="58"/>
      <c r="S1785" s="62" t="str">
        <f aca="false">IF(OR(B1785="",V1785=""),"",IFERROR(INDEX(C_TIPO,MATCH(V1785&amp;"-P"&amp;MAX(1,COUNTIFS(C_RUTN,V1785,C_DEF,"Sí",C_INI,"&lt;="&amp;EOMONTH(B1785,0))),C_CLAVE,0))&amp;"","Sin contrato"))</f>
        <v/>
      </c>
      <c r="T1785" s="63" t="str">
        <f aca="false">IF(OR(B1785="",N(O1785)=0),"",N(O1785)+ROUND(MIN(N(N1785),TOPE_UF*UF_MES)*(TASA_EMP+MUTUAL),0)+ROUND(MIN(N(N1785),TOPE_AFC_UF*UF_MES)*IF(S1785="Indefinido",AFC_INDEF,AFC_PF),0))</f>
        <v/>
      </c>
      <c r="U1785" s="62" t="str">
        <f aca="false">IF(C1785="","",IF(LEFT(D1785,1)="⚠","⚠ RUT no registrado en Trabajadores",IF(B1785="","⚠ Falta el mes",IF(OR(ISTEXT(I1785),ISTEXT(J1785)),"⚠ Atrasos u horas extra como texto: escriba hh:mm (ej. 1:30)",IF(AND(ISNUMBER(Q1785),COUNTIFS(M_RUTN,V1785,M_MES,B1785,M_LIQ,"&lt;&gt;")&gt;1),"⚠ Liquidación repetida en el mes",IF(AND(ISNUMBER(O1785),ISNUMBER(P1785),ISNUMBER(Q1785),ABS(O1785-P1785-Q1785)&gt;1),"⚠ Haberes − descuentos no da el líquido","OK"))))))</f>
        <v/>
      </c>
      <c r="V1785" s="62" t="str">
        <f aca="false">IF(C1785="","",IFERROR(VALUE(LEFT(UPPER(SUBSTITUTE(SUBSTITUTE(SUBSTITUTE(TRIM(C1785),".",""),"-","")," ","")),LEN(UPPER(SUBSTITUTE(SUBSTITUTE(SUBSTITUTE(TRIM(C1785),".",""),"-","")," ","")))-1))&amp;RIGHT(UPPER(SUBSTITUTE(SUBSTITUTE(SUBSTITUTE(TRIM(C1785),".",""),"-","")," ","")),1),UPPER(SUBSTITUTE(SUBSTITUTE(SUBSTITUTE(TRIM(C1785),".",""),"-","")," ",""))))</f>
        <v/>
      </c>
    </row>
    <row r="1786" customFormat="false" ht="15" hidden="false" customHeight="false" outlineLevel="0" collapsed="false">
      <c r="B1786" s="80"/>
      <c r="C1786" s="58"/>
      <c r="D1786" s="62" t="str">
        <f aca="false">IF(C1786="","",IFERROR(INDEX(T_NOMBRE,MATCH(V1786,T_RUTN,0)),"⚠ RUT no está en Trabajadores"))</f>
        <v/>
      </c>
      <c r="E1786" s="61"/>
      <c r="F1786" s="61"/>
      <c r="G1786" s="61"/>
      <c r="H1786" s="61"/>
      <c r="I1786" s="81"/>
      <c r="J1786" s="81"/>
      <c r="K1786" s="60"/>
      <c r="L1786" s="60"/>
      <c r="M1786" s="60"/>
      <c r="N1786" s="60"/>
      <c r="O1786" s="60"/>
      <c r="P1786" s="60"/>
      <c r="Q1786" s="60"/>
      <c r="R1786" s="58"/>
      <c r="S1786" s="62" t="str">
        <f aca="false">IF(OR(B1786="",V1786=""),"",IFERROR(INDEX(C_TIPO,MATCH(V1786&amp;"-P"&amp;MAX(1,COUNTIFS(C_RUTN,V1786,C_DEF,"Sí",C_INI,"&lt;="&amp;EOMONTH(B1786,0))),C_CLAVE,0))&amp;"","Sin contrato"))</f>
        <v/>
      </c>
      <c r="T1786" s="63" t="str">
        <f aca="false">IF(OR(B1786="",N(O1786)=0),"",N(O1786)+ROUND(MIN(N(N1786),TOPE_UF*UF_MES)*(TASA_EMP+MUTUAL),0)+ROUND(MIN(N(N1786),TOPE_AFC_UF*UF_MES)*IF(S1786="Indefinido",AFC_INDEF,AFC_PF),0))</f>
        <v/>
      </c>
      <c r="U1786" s="62" t="str">
        <f aca="false">IF(C1786="","",IF(LEFT(D1786,1)="⚠","⚠ RUT no registrado en Trabajadores",IF(B1786="","⚠ Falta el mes",IF(OR(ISTEXT(I1786),ISTEXT(J1786)),"⚠ Atrasos u horas extra como texto: escriba hh:mm (ej. 1:30)",IF(AND(ISNUMBER(Q1786),COUNTIFS(M_RUTN,V1786,M_MES,B1786,M_LIQ,"&lt;&gt;")&gt;1),"⚠ Liquidación repetida en el mes",IF(AND(ISNUMBER(O1786),ISNUMBER(P1786),ISNUMBER(Q1786),ABS(O1786-P1786-Q1786)&gt;1),"⚠ Haberes − descuentos no da el líquido","OK"))))))</f>
        <v/>
      </c>
      <c r="V1786" s="62" t="str">
        <f aca="false">IF(C1786="","",IFERROR(VALUE(LEFT(UPPER(SUBSTITUTE(SUBSTITUTE(SUBSTITUTE(TRIM(C1786),".",""),"-","")," ","")),LEN(UPPER(SUBSTITUTE(SUBSTITUTE(SUBSTITUTE(TRIM(C1786),".",""),"-","")," ","")))-1))&amp;RIGHT(UPPER(SUBSTITUTE(SUBSTITUTE(SUBSTITUTE(TRIM(C1786),".",""),"-","")," ","")),1),UPPER(SUBSTITUTE(SUBSTITUTE(SUBSTITUTE(TRIM(C1786),".",""),"-","")," ",""))))</f>
        <v/>
      </c>
    </row>
    <row r="1787" customFormat="false" ht="15" hidden="false" customHeight="false" outlineLevel="0" collapsed="false">
      <c r="B1787" s="80"/>
      <c r="C1787" s="58"/>
      <c r="D1787" s="62" t="str">
        <f aca="false">IF(C1787="","",IFERROR(INDEX(T_NOMBRE,MATCH(V1787,T_RUTN,0)),"⚠ RUT no está en Trabajadores"))</f>
        <v/>
      </c>
      <c r="E1787" s="61"/>
      <c r="F1787" s="61"/>
      <c r="G1787" s="61"/>
      <c r="H1787" s="61"/>
      <c r="I1787" s="81"/>
      <c r="J1787" s="81"/>
      <c r="K1787" s="60"/>
      <c r="L1787" s="60"/>
      <c r="M1787" s="60"/>
      <c r="N1787" s="60"/>
      <c r="O1787" s="60"/>
      <c r="P1787" s="60"/>
      <c r="Q1787" s="60"/>
      <c r="R1787" s="58"/>
      <c r="S1787" s="62" t="str">
        <f aca="false">IF(OR(B1787="",V1787=""),"",IFERROR(INDEX(C_TIPO,MATCH(V1787&amp;"-P"&amp;MAX(1,COUNTIFS(C_RUTN,V1787,C_DEF,"Sí",C_INI,"&lt;="&amp;EOMONTH(B1787,0))),C_CLAVE,0))&amp;"","Sin contrato"))</f>
        <v/>
      </c>
      <c r="T1787" s="63" t="str">
        <f aca="false">IF(OR(B1787="",N(O1787)=0),"",N(O1787)+ROUND(MIN(N(N1787),TOPE_UF*UF_MES)*(TASA_EMP+MUTUAL),0)+ROUND(MIN(N(N1787),TOPE_AFC_UF*UF_MES)*IF(S1787="Indefinido",AFC_INDEF,AFC_PF),0))</f>
        <v/>
      </c>
      <c r="U1787" s="62" t="str">
        <f aca="false">IF(C1787="","",IF(LEFT(D1787,1)="⚠","⚠ RUT no registrado en Trabajadores",IF(B1787="","⚠ Falta el mes",IF(OR(ISTEXT(I1787),ISTEXT(J1787)),"⚠ Atrasos u horas extra como texto: escriba hh:mm (ej. 1:30)",IF(AND(ISNUMBER(Q1787),COUNTIFS(M_RUTN,V1787,M_MES,B1787,M_LIQ,"&lt;&gt;")&gt;1),"⚠ Liquidación repetida en el mes",IF(AND(ISNUMBER(O1787),ISNUMBER(P1787),ISNUMBER(Q1787),ABS(O1787-P1787-Q1787)&gt;1),"⚠ Haberes − descuentos no da el líquido","OK"))))))</f>
        <v/>
      </c>
      <c r="V1787" s="62" t="str">
        <f aca="false">IF(C1787="","",IFERROR(VALUE(LEFT(UPPER(SUBSTITUTE(SUBSTITUTE(SUBSTITUTE(TRIM(C1787),".",""),"-","")," ","")),LEN(UPPER(SUBSTITUTE(SUBSTITUTE(SUBSTITUTE(TRIM(C1787),".",""),"-","")," ","")))-1))&amp;RIGHT(UPPER(SUBSTITUTE(SUBSTITUTE(SUBSTITUTE(TRIM(C1787),".",""),"-","")," ","")),1),UPPER(SUBSTITUTE(SUBSTITUTE(SUBSTITUTE(TRIM(C1787),".",""),"-","")," ",""))))</f>
        <v/>
      </c>
    </row>
    <row r="1788" customFormat="false" ht="15" hidden="false" customHeight="false" outlineLevel="0" collapsed="false">
      <c r="B1788" s="80"/>
      <c r="C1788" s="58"/>
      <c r="D1788" s="62" t="str">
        <f aca="false">IF(C1788="","",IFERROR(INDEX(T_NOMBRE,MATCH(V1788,T_RUTN,0)),"⚠ RUT no está en Trabajadores"))</f>
        <v/>
      </c>
      <c r="E1788" s="61"/>
      <c r="F1788" s="61"/>
      <c r="G1788" s="61"/>
      <c r="H1788" s="61"/>
      <c r="I1788" s="81"/>
      <c r="J1788" s="81"/>
      <c r="K1788" s="60"/>
      <c r="L1788" s="60"/>
      <c r="M1788" s="60"/>
      <c r="N1788" s="60"/>
      <c r="O1788" s="60"/>
      <c r="P1788" s="60"/>
      <c r="Q1788" s="60"/>
      <c r="R1788" s="58"/>
      <c r="S1788" s="62" t="str">
        <f aca="false">IF(OR(B1788="",V1788=""),"",IFERROR(INDEX(C_TIPO,MATCH(V1788&amp;"-P"&amp;MAX(1,COUNTIFS(C_RUTN,V1788,C_DEF,"Sí",C_INI,"&lt;="&amp;EOMONTH(B1788,0))),C_CLAVE,0))&amp;"","Sin contrato"))</f>
        <v/>
      </c>
      <c r="T1788" s="63" t="str">
        <f aca="false">IF(OR(B1788="",N(O1788)=0),"",N(O1788)+ROUND(MIN(N(N1788),TOPE_UF*UF_MES)*(TASA_EMP+MUTUAL),0)+ROUND(MIN(N(N1788),TOPE_AFC_UF*UF_MES)*IF(S1788="Indefinido",AFC_INDEF,AFC_PF),0))</f>
        <v/>
      </c>
      <c r="U1788" s="62" t="str">
        <f aca="false">IF(C1788="","",IF(LEFT(D1788,1)="⚠","⚠ RUT no registrado en Trabajadores",IF(B1788="","⚠ Falta el mes",IF(OR(ISTEXT(I1788),ISTEXT(J1788)),"⚠ Atrasos u horas extra como texto: escriba hh:mm (ej. 1:30)",IF(AND(ISNUMBER(Q1788),COUNTIFS(M_RUTN,V1788,M_MES,B1788,M_LIQ,"&lt;&gt;")&gt;1),"⚠ Liquidación repetida en el mes",IF(AND(ISNUMBER(O1788),ISNUMBER(P1788),ISNUMBER(Q1788),ABS(O1788-P1788-Q1788)&gt;1),"⚠ Haberes − descuentos no da el líquido","OK"))))))</f>
        <v/>
      </c>
      <c r="V1788" s="62" t="str">
        <f aca="false">IF(C1788="","",IFERROR(VALUE(LEFT(UPPER(SUBSTITUTE(SUBSTITUTE(SUBSTITUTE(TRIM(C1788),".",""),"-","")," ","")),LEN(UPPER(SUBSTITUTE(SUBSTITUTE(SUBSTITUTE(TRIM(C1788),".",""),"-","")," ","")))-1))&amp;RIGHT(UPPER(SUBSTITUTE(SUBSTITUTE(SUBSTITUTE(TRIM(C1788),".",""),"-","")," ","")),1),UPPER(SUBSTITUTE(SUBSTITUTE(SUBSTITUTE(TRIM(C1788),".",""),"-","")," ",""))))</f>
        <v/>
      </c>
    </row>
    <row r="1789" customFormat="false" ht="15" hidden="false" customHeight="false" outlineLevel="0" collapsed="false">
      <c r="B1789" s="80"/>
      <c r="C1789" s="58"/>
      <c r="D1789" s="62" t="str">
        <f aca="false">IF(C1789="","",IFERROR(INDEX(T_NOMBRE,MATCH(V1789,T_RUTN,0)),"⚠ RUT no está en Trabajadores"))</f>
        <v/>
      </c>
      <c r="E1789" s="61"/>
      <c r="F1789" s="61"/>
      <c r="G1789" s="61"/>
      <c r="H1789" s="61"/>
      <c r="I1789" s="81"/>
      <c r="J1789" s="81"/>
      <c r="K1789" s="60"/>
      <c r="L1789" s="60"/>
      <c r="M1789" s="60"/>
      <c r="N1789" s="60"/>
      <c r="O1789" s="60"/>
      <c r="P1789" s="60"/>
      <c r="Q1789" s="60"/>
      <c r="R1789" s="58"/>
      <c r="S1789" s="62" t="str">
        <f aca="false">IF(OR(B1789="",V1789=""),"",IFERROR(INDEX(C_TIPO,MATCH(V1789&amp;"-P"&amp;MAX(1,COUNTIFS(C_RUTN,V1789,C_DEF,"Sí",C_INI,"&lt;="&amp;EOMONTH(B1789,0))),C_CLAVE,0))&amp;"","Sin contrato"))</f>
        <v/>
      </c>
      <c r="T1789" s="63" t="str">
        <f aca="false">IF(OR(B1789="",N(O1789)=0),"",N(O1789)+ROUND(MIN(N(N1789),TOPE_UF*UF_MES)*(TASA_EMP+MUTUAL),0)+ROUND(MIN(N(N1789),TOPE_AFC_UF*UF_MES)*IF(S1789="Indefinido",AFC_INDEF,AFC_PF),0))</f>
        <v/>
      </c>
      <c r="U1789" s="62" t="str">
        <f aca="false">IF(C1789="","",IF(LEFT(D1789,1)="⚠","⚠ RUT no registrado en Trabajadores",IF(B1789="","⚠ Falta el mes",IF(OR(ISTEXT(I1789),ISTEXT(J1789)),"⚠ Atrasos u horas extra como texto: escriba hh:mm (ej. 1:30)",IF(AND(ISNUMBER(Q1789),COUNTIFS(M_RUTN,V1789,M_MES,B1789,M_LIQ,"&lt;&gt;")&gt;1),"⚠ Liquidación repetida en el mes",IF(AND(ISNUMBER(O1789),ISNUMBER(P1789),ISNUMBER(Q1789),ABS(O1789-P1789-Q1789)&gt;1),"⚠ Haberes − descuentos no da el líquido","OK"))))))</f>
        <v/>
      </c>
      <c r="V1789" s="62" t="str">
        <f aca="false">IF(C1789="","",IFERROR(VALUE(LEFT(UPPER(SUBSTITUTE(SUBSTITUTE(SUBSTITUTE(TRIM(C1789),".",""),"-","")," ","")),LEN(UPPER(SUBSTITUTE(SUBSTITUTE(SUBSTITUTE(TRIM(C1789),".",""),"-","")," ","")))-1))&amp;RIGHT(UPPER(SUBSTITUTE(SUBSTITUTE(SUBSTITUTE(TRIM(C1789),".",""),"-","")," ","")),1),UPPER(SUBSTITUTE(SUBSTITUTE(SUBSTITUTE(TRIM(C1789),".",""),"-","")," ",""))))</f>
        <v/>
      </c>
    </row>
    <row r="1790" customFormat="false" ht="15" hidden="false" customHeight="false" outlineLevel="0" collapsed="false">
      <c r="B1790" s="80"/>
      <c r="C1790" s="58"/>
      <c r="D1790" s="62" t="str">
        <f aca="false">IF(C1790="","",IFERROR(INDEX(T_NOMBRE,MATCH(V1790,T_RUTN,0)),"⚠ RUT no está en Trabajadores"))</f>
        <v/>
      </c>
      <c r="E1790" s="61"/>
      <c r="F1790" s="61"/>
      <c r="G1790" s="61"/>
      <c r="H1790" s="61"/>
      <c r="I1790" s="81"/>
      <c r="J1790" s="81"/>
      <c r="K1790" s="60"/>
      <c r="L1790" s="60"/>
      <c r="M1790" s="60"/>
      <c r="N1790" s="60"/>
      <c r="O1790" s="60"/>
      <c r="P1790" s="60"/>
      <c r="Q1790" s="60"/>
      <c r="R1790" s="58"/>
      <c r="S1790" s="62" t="str">
        <f aca="false">IF(OR(B1790="",V1790=""),"",IFERROR(INDEX(C_TIPO,MATCH(V1790&amp;"-P"&amp;MAX(1,COUNTIFS(C_RUTN,V1790,C_DEF,"Sí",C_INI,"&lt;="&amp;EOMONTH(B1790,0))),C_CLAVE,0))&amp;"","Sin contrato"))</f>
        <v/>
      </c>
      <c r="T1790" s="63" t="str">
        <f aca="false">IF(OR(B1790="",N(O1790)=0),"",N(O1790)+ROUND(MIN(N(N1790),TOPE_UF*UF_MES)*(TASA_EMP+MUTUAL),0)+ROUND(MIN(N(N1790),TOPE_AFC_UF*UF_MES)*IF(S1790="Indefinido",AFC_INDEF,AFC_PF),0))</f>
        <v/>
      </c>
      <c r="U1790" s="62" t="str">
        <f aca="false">IF(C1790="","",IF(LEFT(D1790,1)="⚠","⚠ RUT no registrado en Trabajadores",IF(B1790="","⚠ Falta el mes",IF(OR(ISTEXT(I1790),ISTEXT(J1790)),"⚠ Atrasos u horas extra como texto: escriba hh:mm (ej. 1:30)",IF(AND(ISNUMBER(Q1790),COUNTIFS(M_RUTN,V1790,M_MES,B1790,M_LIQ,"&lt;&gt;")&gt;1),"⚠ Liquidación repetida en el mes",IF(AND(ISNUMBER(O1790),ISNUMBER(P1790),ISNUMBER(Q1790),ABS(O1790-P1790-Q1790)&gt;1),"⚠ Haberes − descuentos no da el líquido","OK"))))))</f>
        <v/>
      </c>
      <c r="V1790" s="62" t="str">
        <f aca="false">IF(C1790="","",IFERROR(VALUE(LEFT(UPPER(SUBSTITUTE(SUBSTITUTE(SUBSTITUTE(TRIM(C1790),".",""),"-","")," ","")),LEN(UPPER(SUBSTITUTE(SUBSTITUTE(SUBSTITUTE(TRIM(C1790),".",""),"-","")," ","")))-1))&amp;RIGHT(UPPER(SUBSTITUTE(SUBSTITUTE(SUBSTITUTE(TRIM(C1790),".",""),"-","")," ","")),1),UPPER(SUBSTITUTE(SUBSTITUTE(SUBSTITUTE(TRIM(C1790),".",""),"-","")," ",""))))</f>
        <v/>
      </c>
    </row>
    <row r="1791" customFormat="false" ht="15" hidden="false" customHeight="false" outlineLevel="0" collapsed="false">
      <c r="B1791" s="80"/>
      <c r="C1791" s="58"/>
      <c r="D1791" s="62" t="str">
        <f aca="false">IF(C1791="","",IFERROR(INDEX(T_NOMBRE,MATCH(V1791,T_RUTN,0)),"⚠ RUT no está en Trabajadores"))</f>
        <v/>
      </c>
      <c r="E1791" s="61"/>
      <c r="F1791" s="61"/>
      <c r="G1791" s="61"/>
      <c r="H1791" s="61"/>
      <c r="I1791" s="81"/>
      <c r="J1791" s="81"/>
      <c r="K1791" s="60"/>
      <c r="L1791" s="60"/>
      <c r="M1791" s="60"/>
      <c r="N1791" s="60"/>
      <c r="O1791" s="60"/>
      <c r="P1791" s="60"/>
      <c r="Q1791" s="60"/>
      <c r="R1791" s="58"/>
      <c r="S1791" s="62" t="str">
        <f aca="false">IF(OR(B1791="",V1791=""),"",IFERROR(INDEX(C_TIPO,MATCH(V1791&amp;"-P"&amp;MAX(1,COUNTIFS(C_RUTN,V1791,C_DEF,"Sí",C_INI,"&lt;="&amp;EOMONTH(B1791,0))),C_CLAVE,0))&amp;"","Sin contrato"))</f>
        <v/>
      </c>
      <c r="T1791" s="63" t="str">
        <f aca="false">IF(OR(B1791="",N(O1791)=0),"",N(O1791)+ROUND(MIN(N(N1791),TOPE_UF*UF_MES)*(TASA_EMP+MUTUAL),0)+ROUND(MIN(N(N1791),TOPE_AFC_UF*UF_MES)*IF(S1791="Indefinido",AFC_INDEF,AFC_PF),0))</f>
        <v/>
      </c>
      <c r="U1791" s="62" t="str">
        <f aca="false">IF(C1791="","",IF(LEFT(D1791,1)="⚠","⚠ RUT no registrado en Trabajadores",IF(B1791="","⚠ Falta el mes",IF(OR(ISTEXT(I1791),ISTEXT(J1791)),"⚠ Atrasos u horas extra como texto: escriba hh:mm (ej. 1:30)",IF(AND(ISNUMBER(Q1791),COUNTIFS(M_RUTN,V1791,M_MES,B1791,M_LIQ,"&lt;&gt;")&gt;1),"⚠ Liquidación repetida en el mes",IF(AND(ISNUMBER(O1791),ISNUMBER(P1791),ISNUMBER(Q1791),ABS(O1791-P1791-Q1791)&gt;1),"⚠ Haberes − descuentos no da el líquido","OK"))))))</f>
        <v/>
      </c>
      <c r="V1791" s="62" t="str">
        <f aca="false">IF(C1791="","",IFERROR(VALUE(LEFT(UPPER(SUBSTITUTE(SUBSTITUTE(SUBSTITUTE(TRIM(C1791),".",""),"-","")," ","")),LEN(UPPER(SUBSTITUTE(SUBSTITUTE(SUBSTITUTE(TRIM(C1791),".",""),"-","")," ","")))-1))&amp;RIGHT(UPPER(SUBSTITUTE(SUBSTITUTE(SUBSTITUTE(TRIM(C1791),".",""),"-","")," ","")),1),UPPER(SUBSTITUTE(SUBSTITUTE(SUBSTITUTE(TRIM(C1791),".",""),"-","")," ",""))))</f>
        <v/>
      </c>
    </row>
    <row r="1792" customFormat="false" ht="15" hidden="false" customHeight="false" outlineLevel="0" collapsed="false">
      <c r="B1792" s="80"/>
      <c r="C1792" s="58"/>
      <c r="D1792" s="62" t="str">
        <f aca="false">IF(C1792="","",IFERROR(INDEX(T_NOMBRE,MATCH(V1792,T_RUTN,0)),"⚠ RUT no está en Trabajadores"))</f>
        <v/>
      </c>
      <c r="E1792" s="61"/>
      <c r="F1792" s="61"/>
      <c r="G1792" s="61"/>
      <c r="H1792" s="61"/>
      <c r="I1792" s="81"/>
      <c r="J1792" s="81"/>
      <c r="K1792" s="60"/>
      <c r="L1792" s="60"/>
      <c r="M1792" s="60"/>
      <c r="N1792" s="60"/>
      <c r="O1792" s="60"/>
      <c r="P1792" s="60"/>
      <c r="Q1792" s="60"/>
      <c r="R1792" s="58"/>
      <c r="S1792" s="62" t="str">
        <f aca="false">IF(OR(B1792="",V1792=""),"",IFERROR(INDEX(C_TIPO,MATCH(V1792&amp;"-P"&amp;MAX(1,COUNTIFS(C_RUTN,V1792,C_DEF,"Sí",C_INI,"&lt;="&amp;EOMONTH(B1792,0))),C_CLAVE,0))&amp;"","Sin contrato"))</f>
        <v/>
      </c>
      <c r="T1792" s="63" t="str">
        <f aca="false">IF(OR(B1792="",N(O1792)=0),"",N(O1792)+ROUND(MIN(N(N1792),TOPE_UF*UF_MES)*(TASA_EMP+MUTUAL),0)+ROUND(MIN(N(N1792),TOPE_AFC_UF*UF_MES)*IF(S1792="Indefinido",AFC_INDEF,AFC_PF),0))</f>
        <v/>
      </c>
      <c r="U1792" s="62" t="str">
        <f aca="false">IF(C1792="","",IF(LEFT(D1792,1)="⚠","⚠ RUT no registrado en Trabajadores",IF(B1792="","⚠ Falta el mes",IF(OR(ISTEXT(I1792),ISTEXT(J1792)),"⚠ Atrasos u horas extra como texto: escriba hh:mm (ej. 1:30)",IF(AND(ISNUMBER(Q1792),COUNTIFS(M_RUTN,V1792,M_MES,B1792,M_LIQ,"&lt;&gt;")&gt;1),"⚠ Liquidación repetida en el mes",IF(AND(ISNUMBER(O1792),ISNUMBER(P1792),ISNUMBER(Q1792),ABS(O1792-P1792-Q1792)&gt;1),"⚠ Haberes − descuentos no da el líquido","OK"))))))</f>
        <v/>
      </c>
      <c r="V1792" s="62" t="str">
        <f aca="false">IF(C1792="","",IFERROR(VALUE(LEFT(UPPER(SUBSTITUTE(SUBSTITUTE(SUBSTITUTE(TRIM(C1792),".",""),"-","")," ","")),LEN(UPPER(SUBSTITUTE(SUBSTITUTE(SUBSTITUTE(TRIM(C1792),".",""),"-","")," ","")))-1))&amp;RIGHT(UPPER(SUBSTITUTE(SUBSTITUTE(SUBSTITUTE(TRIM(C1792),".",""),"-","")," ","")),1),UPPER(SUBSTITUTE(SUBSTITUTE(SUBSTITUTE(TRIM(C1792),".",""),"-","")," ",""))))</f>
        <v/>
      </c>
    </row>
    <row r="1793" customFormat="false" ht="15" hidden="false" customHeight="false" outlineLevel="0" collapsed="false">
      <c r="B1793" s="80"/>
      <c r="C1793" s="58"/>
      <c r="D1793" s="62" t="str">
        <f aca="false">IF(C1793="","",IFERROR(INDEX(T_NOMBRE,MATCH(V1793,T_RUTN,0)),"⚠ RUT no está en Trabajadores"))</f>
        <v/>
      </c>
      <c r="E1793" s="61"/>
      <c r="F1793" s="61"/>
      <c r="G1793" s="61"/>
      <c r="H1793" s="61"/>
      <c r="I1793" s="81"/>
      <c r="J1793" s="81"/>
      <c r="K1793" s="60"/>
      <c r="L1793" s="60"/>
      <c r="M1793" s="60"/>
      <c r="N1793" s="60"/>
      <c r="O1793" s="60"/>
      <c r="P1793" s="60"/>
      <c r="Q1793" s="60"/>
      <c r="R1793" s="58"/>
      <c r="S1793" s="62" t="str">
        <f aca="false">IF(OR(B1793="",V1793=""),"",IFERROR(INDEX(C_TIPO,MATCH(V1793&amp;"-P"&amp;MAX(1,COUNTIFS(C_RUTN,V1793,C_DEF,"Sí",C_INI,"&lt;="&amp;EOMONTH(B1793,0))),C_CLAVE,0))&amp;"","Sin contrato"))</f>
        <v/>
      </c>
      <c r="T1793" s="63" t="str">
        <f aca="false">IF(OR(B1793="",N(O1793)=0),"",N(O1793)+ROUND(MIN(N(N1793),TOPE_UF*UF_MES)*(TASA_EMP+MUTUAL),0)+ROUND(MIN(N(N1793),TOPE_AFC_UF*UF_MES)*IF(S1793="Indefinido",AFC_INDEF,AFC_PF),0))</f>
        <v/>
      </c>
      <c r="U1793" s="62" t="str">
        <f aca="false">IF(C1793="","",IF(LEFT(D1793,1)="⚠","⚠ RUT no registrado en Trabajadores",IF(B1793="","⚠ Falta el mes",IF(OR(ISTEXT(I1793),ISTEXT(J1793)),"⚠ Atrasos u horas extra como texto: escriba hh:mm (ej. 1:30)",IF(AND(ISNUMBER(Q1793),COUNTIFS(M_RUTN,V1793,M_MES,B1793,M_LIQ,"&lt;&gt;")&gt;1),"⚠ Liquidación repetida en el mes",IF(AND(ISNUMBER(O1793),ISNUMBER(P1793),ISNUMBER(Q1793),ABS(O1793-P1793-Q1793)&gt;1),"⚠ Haberes − descuentos no da el líquido","OK"))))))</f>
        <v/>
      </c>
      <c r="V1793" s="62" t="str">
        <f aca="false">IF(C1793="","",IFERROR(VALUE(LEFT(UPPER(SUBSTITUTE(SUBSTITUTE(SUBSTITUTE(TRIM(C1793),".",""),"-","")," ","")),LEN(UPPER(SUBSTITUTE(SUBSTITUTE(SUBSTITUTE(TRIM(C1793),".",""),"-","")," ","")))-1))&amp;RIGHT(UPPER(SUBSTITUTE(SUBSTITUTE(SUBSTITUTE(TRIM(C1793),".",""),"-","")," ","")),1),UPPER(SUBSTITUTE(SUBSTITUTE(SUBSTITUTE(TRIM(C1793),".",""),"-","")," ",""))))</f>
        <v/>
      </c>
    </row>
    <row r="1794" customFormat="false" ht="15" hidden="false" customHeight="false" outlineLevel="0" collapsed="false">
      <c r="B1794" s="80"/>
      <c r="C1794" s="58"/>
      <c r="D1794" s="62" t="str">
        <f aca="false">IF(C1794="","",IFERROR(INDEX(T_NOMBRE,MATCH(V1794,T_RUTN,0)),"⚠ RUT no está en Trabajadores"))</f>
        <v/>
      </c>
      <c r="E1794" s="61"/>
      <c r="F1794" s="61"/>
      <c r="G1794" s="61"/>
      <c r="H1794" s="61"/>
      <c r="I1794" s="81"/>
      <c r="J1794" s="81"/>
      <c r="K1794" s="60"/>
      <c r="L1794" s="60"/>
      <c r="M1794" s="60"/>
      <c r="N1794" s="60"/>
      <c r="O1794" s="60"/>
      <c r="P1794" s="60"/>
      <c r="Q1794" s="60"/>
      <c r="R1794" s="58"/>
      <c r="S1794" s="62" t="str">
        <f aca="false">IF(OR(B1794="",V1794=""),"",IFERROR(INDEX(C_TIPO,MATCH(V1794&amp;"-P"&amp;MAX(1,COUNTIFS(C_RUTN,V1794,C_DEF,"Sí",C_INI,"&lt;="&amp;EOMONTH(B1794,0))),C_CLAVE,0))&amp;"","Sin contrato"))</f>
        <v/>
      </c>
      <c r="T1794" s="63" t="str">
        <f aca="false">IF(OR(B1794="",N(O1794)=0),"",N(O1794)+ROUND(MIN(N(N1794),TOPE_UF*UF_MES)*(TASA_EMP+MUTUAL),0)+ROUND(MIN(N(N1794),TOPE_AFC_UF*UF_MES)*IF(S1794="Indefinido",AFC_INDEF,AFC_PF),0))</f>
        <v/>
      </c>
      <c r="U1794" s="62" t="str">
        <f aca="false">IF(C1794="","",IF(LEFT(D1794,1)="⚠","⚠ RUT no registrado en Trabajadores",IF(B1794="","⚠ Falta el mes",IF(OR(ISTEXT(I1794),ISTEXT(J1794)),"⚠ Atrasos u horas extra como texto: escriba hh:mm (ej. 1:30)",IF(AND(ISNUMBER(Q1794),COUNTIFS(M_RUTN,V1794,M_MES,B1794,M_LIQ,"&lt;&gt;")&gt;1),"⚠ Liquidación repetida en el mes",IF(AND(ISNUMBER(O1794),ISNUMBER(P1794),ISNUMBER(Q1794),ABS(O1794-P1794-Q1794)&gt;1),"⚠ Haberes − descuentos no da el líquido","OK"))))))</f>
        <v/>
      </c>
      <c r="V1794" s="62" t="str">
        <f aca="false">IF(C1794="","",IFERROR(VALUE(LEFT(UPPER(SUBSTITUTE(SUBSTITUTE(SUBSTITUTE(TRIM(C1794),".",""),"-","")," ","")),LEN(UPPER(SUBSTITUTE(SUBSTITUTE(SUBSTITUTE(TRIM(C1794),".",""),"-","")," ","")))-1))&amp;RIGHT(UPPER(SUBSTITUTE(SUBSTITUTE(SUBSTITUTE(TRIM(C1794),".",""),"-","")," ","")),1),UPPER(SUBSTITUTE(SUBSTITUTE(SUBSTITUTE(TRIM(C1794),".",""),"-","")," ",""))))</f>
        <v/>
      </c>
    </row>
    <row r="1795" customFormat="false" ht="15" hidden="false" customHeight="false" outlineLevel="0" collapsed="false">
      <c r="B1795" s="80"/>
      <c r="C1795" s="58"/>
      <c r="D1795" s="62" t="str">
        <f aca="false">IF(C1795="","",IFERROR(INDEX(T_NOMBRE,MATCH(V1795,T_RUTN,0)),"⚠ RUT no está en Trabajadores"))</f>
        <v/>
      </c>
      <c r="E1795" s="61"/>
      <c r="F1795" s="61"/>
      <c r="G1795" s="61"/>
      <c r="H1795" s="61"/>
      <c r="I1795" s="81"/>
      <c r="J1795" s="81"/>
      <c r="K1795" s="60"/>
      <c r="L1795" s="60"/>
      <c r="M1795" s="60"/>
      <c r="N1795" s="60"/>
      <c r="O1795" s="60"/>
      <c r="P1795" s="60"/>
      <c r="Q1795" s="60"/>
      <c r="R1795" s="58"/>
      <c r="S1795" s="62" t="str">
        <f aca="false">IF(OR(B1795="",V1795=""),"",IFERROR(INDEX(C_TIPO,MATCH(V1795&amp;"-P"&amp;MAX(1,COUNTIFS(C_RUTN,V1795,C_DEF,"Sí",C_INI,"&lt;="&amp;EOMONTH(B1795,0))),C_CLAVE,0))&amp;"","Sin contrato"))</f>
        <v/>
      </c>
      <c r="T1795" s="63" t="str">
        <f aca="false">IF(OR(B1795="",N(O1795)=0),"",N(O1795)+ROUND(MIN(N(N1795),TOPE_UF*UF_MES)*(TASA_EMP+MUTUAL),0)+ROUND(MIN(N(N1795),TOPE_AFC_UF*UF_MES)*IF(S1795="Indefinido",AFC_INDEF,AFC_PF),0))</f>
        <v/>
      </c>
      <c r="U1795" s="62" t="str">
        <f aca="false">IF(C1795="","",IF(LEFT(D1795,1)="⚠","⚠ RUT no registrado en Trabajadores",IF(B1795="","⚠ Falta el mes",IF(OR(ISTEXT(I1795),ISTEXT(J1795)),"⚠ Atrasos u horas extra como texto: escriba hh:mm (ej. 1:30)",IF(AND(ISNUMBER(Q1795),COUNTIFS(M_RUTN,V1795,M_MES,B1795,M_LIQ,"&lt;&gt;")&gt;1),"⚠ Liquidación repetida en el mes",IF(AND(ISNUMBER(O1795),ISNUMBER(P1795),ISNUMBER(Q1795),ABS(O1795-P1795-Q1795)&gt;1),"⚠ Haberes − descuentos no da el líquido","OK"))))))</f>
        <v/>
      </c>
      <c r="V1795" s="62" t="str">
        <f aca="false">IF(C1795="","",IFERROR(VALUE(LEFT(UPPER(SUBSTITUTE(SUBSTITUTE(SUBSTITUTE(TRIM(C1795),".",""),"-","")," ","")),LEN(UPPER(SUBSTITUTE(SUBSTITUTE(SUBSTITUTE(TRIM(C1795),".",""),"-","")," ","")))-1))&amp;RIGHT(UPPER(SUBSTITUTE(SUBSTITUTE(SUBSTITUTE(TRIM(C1795),".",""),"-","")," ","")),1),UPPER(SUBSTITUTE(SUBSTITUTE(SUBSTITUTE(TRIM(C1795),".",""),"-","")," ",""))))</f>
        <v/>
      </c>
    </row>
    <row r="1796" customFormat="false" ht="15" hidden="false" customHeight="false" outlineLevel="0" collapsed="false">
      <c r="B1796" s="80"/>
      <c r="C1796" s="58"/>
      <c r="D1796" s="62" t="str">
        <f aca="false">IF(C1796="","",IFERROR(INDEX(T_NOMBRE,MATCH(V1796,T_RUTN,0)),"⚠ RUT no está en Trabajadores"))</f>
        <v/>
      </c>
      <c r="E1796" s="61"/>
      <c r="F1796" s="61"/>
      <c r="G1796" s="61"/>
      <c r="H1796" s="61"/>
      <c r="I1796" s="81"/>
      <c r="J1796" s="81"/>
      <c r="K1796" s="60"/>
      <c r="L1796" s="60"/>
      <c r="M1796" s="60"/>
      <c r="N1796" s="60"/>
      <c r="O1796" s="60"/>
      <c r="P1796" s="60"/>
      <c r="Q1796" s="60"/>
      <c r="R1796" s="58"/>
      <c r="S1796" s="62" t="str">
        <f aca="false">IF(OR(B1796="",V1796=""),"",IFERROR(INDEX(C_TIPO,MATCH(V1796&amp;"-P"&amp;MAX(1,COUNTIFS(C_RUTN,V1796,C_DEF,"Sí",C_INI,"&lt;="&amp;EOMONTH(B1796,0))),C_CLAVE,0))&amp;"","Sin contrato"))</f>
        <v/>
      </c>
      <c r="T1796" s="63" t="str">
        <f aca="false">IF(OR(B1796="",N(O1796)=0),"",N(O1796)+ROUND(MIN(N(N1796),TOPE_UF*UF_MES)*(TASA_EMP+MUTUAL),0)+ROUND(MIN(N(N1796),TOPE_AFC_UF*UF_MES)*IF(S1796="Indefinido",AFC_INDEF,AFC_PF),0))</f>
        <v/>
      </c>
      <c r="U1796" s="62" t="str">
        <f aca="false">IF(C1796="","",IF(LEFT(D1796,1)="⚠","⚠ RUT no registrado en Trabajadores",IF(B1796="","⚠ Falta el mes",IF(OR(ISTEXT(I1796),ISTEXT(J1796)),"⚠ Atrasos u horas extra como texto: escriba hh:mm (ej. 1:30)",IF(AND(ISNUMBER(Q1796),COUNTIFS(M_RUTN,V1796,M_MES,B1796,M_LIQ,"&lt;&gt;")&gt;1),"⚠ Liquidación repetida en el mes",IF(AND(ISNUMBER(O1796),ISNUMBER(P1796),ISNUMBER(Q1796),ABS(O1796-P1796-Q1796)&gt;1),"⚠ Haberes − descuentos no da el líquido","OK"))))))</f>
        <v/>
      </c>
      <c r="V1796" s="62" t="str">
        <f aca="false">IF(C1796="","",IFERROR(VALUE(LEFT(UPPER(SUBSTITUTE(SUBSTITUTE(SUBSTITUTE(TRIM(C1796),".",""),"-","")," ","")),LEN(UPPER(SUBSTITUTE(SUBSTITUTE(SUBSTITUTE(TRIM(C1796),".",""),"-","")," ","")))-1))&amp;RIGHT(UPPER(SUBSTITUTE(SUBSTITUTE(SUBSTITUTE(TRIM(C1796),".",""),"-","")," ","")),1),UPPER(SUBSTITUTE(SUBSTITUTE(SUBSTITUTE(TRIM(C1796),".",""),"-","")," ",""))))</f>
        <v/>
      </c>
    </row>
    <row r="1797" customFormat="false" ht="15" hidden="false" customHeight="false" outlineLevel="0" collapsed="false">
      <c r="B1797" s="80"/>
      <c r="C1797" s="58"/>
      <c r="D1797" s="62" t="str">
        <f aca="false">IF(C1797="","",IFERROR(INDEX(T_NOMBRE,MATCH(V1797,T_RUTN,0)),"⚠ RUT no está en Trabajadores"))</f>
        <v/>
      </c>
      <c r="E1797" s="61"/>
      <c r="F1797" s="61"/>
      <c r="G1797" s="61"/>
      <c r="H1797" s="61"/>
      <c r="I1797" s="81"/>
      <c r="J1797" s="81"/>
      <c r="K1797" s="60"/>
      <c r="L1797" s="60"/>
      <c r="M1797" s="60"/>
      <c r="N1797" s="60"/>
      <c r="O1797" s="60"/>
      <c r="P1797" s="60"/>
      <c r="Q1797" s="60"/>
      <c r="R1797" s="58"/>
      <c r="S1797" s="62" t="str">
        <f aca="false">IF(OR(B1797="",V1797=""),"",IFERROR(INDEX(C_TIPO,MATCH(V1797&amp;"-P"&amp;MAX(1,COUNTIFS(C_RUTN,V1797,C_DEF,"Sí",C_INI,"&lt;="&amp;EOMONTH(B1797,0))),C_CLAVE,0))&amp;"","Sin contrato"))</f>
        <v/>
      </c>
      <c r="T1797" s="63" t="str">
        <f aca="false">IF(OR(B1797="",N(O1797)=0),"",N(O1797)+ROUND(MIN(N(N1797),TOPE_UF*UF_MES)*(TASA_EMP+MUTUAL),0)+ROUND(MIN(N(N1797),TOPE_AFC_UF*UF_MES)*IF(S1797="Indefinido",AFC_INDEF,AFC_PF),0))</f>
        <v/>
      </c>
      <c r="U1797" s="62" t="str">
        <f aca="false">IF(C1797="","",IF(LEFT(D1797,1)="⚠","⚠ RUT no registrado en Trabajadores",IF(B1797="","⚠ Falta el mes",IF(OR(ISTEXT(I1797),ISTEXT(J1797)),"⚠ Atrasos u horas extra como texto: escriba hh:mm (ej. 1:30)",IF(AND(ISNUMBER(Q1797),COUNTIFS(M_RUTN,V1797,M_MES,B1797,M_LIQ,"&lt;&gt;")&gt;1),"⚠ Liquidación repetida en el mes",IF(AND(ISNUMBER(O1797),ISNUMBER(P1797),ISNUMBER(Q1797),ABS(O1797-P1797-Q1797)&gt;1),"⚠ Haberes − descuentos no da el líquido","OK"))))))</f>
        <v/>
      </c>
      <c r="V1797" s="62" t="str">
        <f aca="false">IF(C1797="","",IFERROR(VALUE(LEFT(UPPER(SUBSTITUTE(SUBSTITUTE(SUBSTITUTE(TRIM(C1797),".",""),"-","")," ","")),LEN(UPPER(SUBSTITUTE(SUBSTITUTE(SUBSTITUTE(TRIM(C1797),".",""),"-","")," ","")))-1))&amp;RIGHT(UPPER(SUBSTITUTE(SUBSTITUTE(SUBSTITUTE(TRIM(C1797),".",""),"-","")," ","")),1),UPPER(SUBSTITUTE(SUBSTITUTE(SUBSTITUTE(TRIM(C1797),".",""),"-","")," ",""))))</f>
        <v/>
      </c>
    </row>
    <row r="1798" customFormat="false" ht="15" hidden="false" customHeight="false" outlineLevel="0" collapsed="false">
      <c r="B1798" s="80"/>
      <c r="C1798" s="58"/>
      <c r="D1798" s="62" t="str">
        <f aca="false">IF(C1798="","",IFERROR(INDEX(T_NOMBRE,MATCH(V1798,T_RUTN,0)),"⚠ RUT no está en Trabajadores"))</f>
        <v/>
      </c>
      <c r="E1798" s="61"/>
      <c r="F1798" s="61"/>
      <c r="G1798" s="61"/>
      <c r="H1798" s="61"/>
      <c r="I1798" s="81"/>
      <c r="J1798" s="81"/>
      <c r="K1798" s="60"/>
      <c r="L1798" s="60"/>
      <c r="M1798" s="60"/>
      <c r="N1798" s="60"/>
      <c r="O1798" s="60"/>
      <c r="P1798" s="60"/>
      <c r="Q1798" s="60"/>
      <c r="R1798" s="58"/>
      <c r="S1798" s="62" t="str">
        <f aca="false">IF(OR(B1798="",V1798=""),"",IFERROR(INDEX(C_TIPO,MATCH(V1798&amp;"-P"&amp;MAX(1,COUNTIFS(C_RUTN,V1798,C_DEF,"Sí",C_INI,"&lt;="&amp;EOMONTH(B1798,0))),C_CLAVE,0))&amp;"","Sin contrato"))</f>
        <v/>
      </c>
      <c r="T1798" s="63" t="str">
        <f aca="false">IF(OR(B1798="",N(O1798)=0),"",N(O1798)+ROUND(MIN(N(N1798),TOPE_UF*UF_MES)*(TASA_EMP+MUTUAL),0)+ROUND(MIN(N(N1798),TOPE_AFC_UF*UF_MES)*IF(S1798="Indefinido",AFC_INDEF,AFC_PF),0))</f>
        <v/>
      </c>
      <c r="U1798" s="62" t="str">
        <f aca="false">IF(C1798="","",IF(LEFT(D1798,1)="⚠","⚠ RUT no registrado en Trabajadores",IF(B1798="","⚠ Falta el mes",IF(OR(ISTEXT(I1798),ISTEXT(J1798)),"⚠ Atrasos u horas extra como texto: escriba hh:mm (ej. 1:30)",IF(AND(ISNUMBER(Q1798),COUNTIFS(M_RUTN,V1798,M_MES,B1798,M_LIQ,"&lt;&gt;")&gt;1),"⚠ Liquidación repetida en el mes",IF(AND(ISNUMBER(O1798),ISNUMBER(P1798),ISNUMBER(Q1798),ABS(O1798-P1798-Q1798)&gt;1),"⚠ Haberes − descuentos no da el líquido","OK"))))))</f>
        <v/>
      </c>
      <c r="V1798" s="62" t="str">
        <f aca="false">IF(C1798="","",IFERROR(VALUE(LEFT(UPPER(SUBSTITUTE(SUBSTITUTE(SUBSTITUTE(TRIM(C1798),".",""),"-","")," ","")),LEN(UPPER(SUBSTITUTE(SUBSTITUTE(SUBSTITUTE(TRIM(C1798),".",""),"-","")," ","")))-1))&amp;RIGHT(UPPER(SUBSTITUTE(SUBSTITUTE(SUBSTITUTE(TRIM(C1798),".",""),"-","")," ","")),1),UPPER(SUBSTITUTE(SUBSTITUTE(SUBSTITUTE(TRIM(C1798),".",""),"-","")," ",""))))</f>
        <v/>
      </c>
    </row>
    <row r="1799" customFormat="false" ht="15" hidden="false" customHeight="false" outlineLevel="0" collapsed="false">
      <c r="B1799" s="80"/>
      <c r="C1799" s="58"/>
      <c r="D1799" s="62" t="str">
        <f aca="false">IF(C1799="","",IFERROR(INDEX(T_NOMBRE,MATCH(V1799,T_RUTN,0)),"⚠ RUT no está en Trabajadores"))</f>
        <v/>
      </c>
      <c r="E1799" s="61"/>
      <c r="F1799" s="61"/>
      <c r="G1799" s="61"/>
      <c r="H1799" s="61"/>
      <c r="I1799" s="81"/>
      <c r="J1799" s="81"/>
      <c r="K1799" s="60"/>
      <c r="L1799" s="60"/>
      <c r="M1799" s="60"/>
      <c r="N1799" s="60"/>
      <c r="O1799" s="60"/>
      <c r="P1799" s="60"/>
      <c r="Q1799" s="60"/>
      <c r="R1799" s="58"/>
      <c r="S1799" s="62" t="str">
        <f aca="false">IF(OR(B1799="",V1799=""),"",IFERROR(INDEX(C_TIPO,MATCH(V1799&amp;"-P"&amp;MAX(1,COUNTIFS(C_RUTN,V1799,C_DEF,"Sí",C_INI,"&lt;="&amp;EOMONTH(B1799,0))),C_CLAVE,0))&amp;"","Sin contrato"))</f>
        <v/>
      </c>
      <c r="T1799" s="63" t="str">
        <f aca="false">IF(OR(B1799="",N(O1799)=0),"",N(O1799)+ROUND(MIN(N(N1799),TOPE_UF*UF_MES)*(TASA_EMP+MUTUAL),0)+ROUND(MIN(N(N1799),TOPE_AFC_UF*UF_MES)*IF(S1799="Indefinido",AFC_INDEF,AFC_PF),0))</f>
        <v/>
      </c>
      <c r="U1799" s="62" t="str">
        <f aca="false">IF(C1799="","",IF(LEFT(D1799,1)="⚠","⚠ RUT no registrado en Trabajadores",IF(B1799="","⚠ Falta el mes",IF(OR(ISTEXT(I1799),ISTEXT(J1799)),"⚠ Atrasos u horas extra como texto: escriba hh:mm (ej. 1:30)",IF(AND(ISNUMBER(Q1799),COUNTIFS(M_RUTN,V1799,M_MES,B1799,M_LIQ,"&lt;&gt;")&gt;1),"⚠ Liquidación repetida en el mes",IF(AND(ISNUMBER(O1799),ISNUMBER(P1799),ISNUMBER(Q1799),ABS(O1799-P1799-Q1799)&gt;1),"⚠ Haberes − descuentos no da el líquido","OK"))))))</f>
        <v/>
      </c>
      <c r="V1799" s="62" t="str">
        <f aca="false">IF(C1799="","",IFERROR(VALUE(LEFT(UPPER(SUBSTITUTE(SUBSTITUTE(SUBSTITUTE(TRIM(C1799),".",""),"-","")," ","")),LEN(UPPER(SUBSTITUTE(SUBSTITUTE(SUBSTITUTE(TRIM(C1799),".",""),"-","")," ","")))-1))&amp;RIGHT(UPPER(SUBSTITUTE(SUBSTITUTE(SUBSTITUTE(TRIM(C1799),".",""),"-","")," ","")),1),UPPER(SUBSTITUTE(SUBSTITUTE(SUBSTITUTE(TRIM(C1799),".",""),"-","")," ",""))))</f>
        <v/>
      </c>
    </row>
    <row r="1800" customFormat="false" ht="15" hidden="false" customHeight="false" outlineLevel="0" collapsed="false">
      <c r="B1800" s="80"/>
      <c r="C1800" s="58"/>
      <c r="D1800" s="62" t="str">
        <f aca="false">IF(C1800="","",IFERROR(INDEX(T_NOMBRE,MATCH(V1800,T_RUTN,0)),"⚠ RUT no está en Trabajadores"))</f>
        <v/>
      </c>
      <c r="E1800" s="61"/>
      <c r="F1800" s="61"/>
      <c r="G1800" s="61"/>
      <c r="H1800" s="61"/>
      <c r="I1800" s="81"/>
      <c r="J1800" s="81"/>
      <c r="K1800" s="60"/>
      <c r="L1800" s="60"/>
      <c r="M1800" s="60"/>
      <c r="N1800" s="60"/>
      <c r="O1800" s="60"/>
      <c r="P1800" s="60"/>
      <c r="Q1800" s="60"/>
      <c r="R1800" s="58"/>
      <c r="S1800" s="62" t="str">
        <f aca="false">IF(OR(B1800="",V1800=""),"",IFERROR(INDEX(C_TIPO,MATCH(V1800&amp;"-P"&amp;MAX(1,COUNTIFS(C_RUTN,V1800,C_DEF,"Sí",C_INI,"&lt;="&amp;EOMONTH(B1800,0))),C_CLAVE,0))&amp;"","Sin contrato"))</f>
        <v/>
      </c>
      <c r="T1800" s="63" t="str">
        <f aca="false">IF(OR(B1800="",N(O1800)=0),"",N(O1800)+ROUND(MIN(N(N1800),TOPE_UF*UF_MES)*(TASA_EMP+MUTUAL),0)+ROUND(MIN(N(N1800),TOPE_AFC_UF*UF_MES)*IF(S1800="Indefinido",AFC_INDEF,AFC_PF),0))</f>
        <v/>
      </c>
      <c r="U1800" s="62" t="str">
        <f aca="false">IF(C1800="","",IF(LEFT(D1800,1)="⚠","⚠ RUT no registrado en Trabajadores",IF(B1800="","⚠ Falta el mes",IF(OR(ISTEXT(I1800),ISTEXT(J1800)),"⚠ Atrasos u horas extra como texto: escriba hh:mm (ej. 1:30)",IF(AND(ISNUMBER(Q1800),COUNTIFS(M_RUTN,V1800,M_MES,B1800,M_LIQ,"&lt;&gt;")&gt;1),"⚠ Liquidación repetida en el mes",IF(AND(ISNUMBER(O1800),ISNUMBER(P1800),ISNUMBER(Q1800),ABS(O1800-P1800-Q1800)&gt;1),"⚠ Haberes − descuentos no da el líquido","OK"))))))</f>
        <v/>
      </c>
      <c r="V1800" s="62" t="str">
        <f aca="false">IF(C1800="","",IFERROR(VALUE(LEFT(UPPER(SUBSTITUTE(SUBSTITUTE(SUBSTITUTE(TRIM(C1800),".",""),"-","")," ","")),LEN(UPPER(SUBSTITUTE(SUBSTITUTE(SUBSTITUTE(TRIM(C1800),".",""),"-","")," ","")))-1))&amp;RIGHT(UPPER(SUBSTITUTE(SUBSTITUTE(SUBSTITUTE(TRIM(C1800),".",""),"-","")," ","")),1),UPPER(SUBSTITUTE(SUBSTITUTE(SUBSTITUTE(TRIM(C1800),".",""),"-","")," ",""))))</f>
        <v/>
      </c>
    </row>
    <row r="1801" customFormat="false" ht="15" hidden="false" customHeight="false" outlineLevel="0" collapsed="false">
      <c r="B1801" s="80"/>
      <c r="C1801" s="58"/>
      <c r="D1801" s="62" t="str">
        <f aca="false">IF(C1801="","",IFERROR(INDEX(T_NOMBRE,MATCH(V1801,T_RUTN,0)),"⚠ RUT no está en Trabajadores"))</f>
        <v/>
      </c>
      <c r="E1801" s="61"/>
      <c r="F1801" s="61"/>
      <c r="G1801" s="61"/>
      <c r="H1801" s="61"/>
      <c r="I1801" s="81"/>
      <c r="J1801" s="81"/>
      <c r="K1801" s="60"/>
      <c r="L1801" s="60"/>
      <c r="M1801" s="60"/>
      <c r="N1801" s="60"/>
      <c r="O1801" s="60"/>
      <c r="P1801" s="60"/>
      <c r="Q1801" s="60"/>
      <c r="R1801" s="58"/>
      <c r="S1801" s="62" t="str">
        <f aca="false">IF(OR(B1801="",V1801=""),"",IFERROR(INDEX(C_TIPO,MATCH(V1801&amp;"-P"&amp;MAX(1,COUNTIFS(C_RUTN,V1801,C_DEF,"Sí",C_INI,"&lt;="&amp;EOMONTH(B1801,0))),C_CLAVE,0))&amp;"","Sin contrato"))</f>
        <v/>
      </c>
      <c r="T1801" s="63" t="str">
        <f aca="false">IF(OR(B1801="",N(O1801)=0),"",N(O1801)+ROUND(MIN(N(N1801),TOPE_UF*UF_MES)*(TASA_EMP+MUTUAL),0)+ROUND(MIN(N(N1801),TOPE_AFC_UF*UF_MES)*IF(S1801="Indefinido",AFC_INDEF,AFC_PF),0))</f>
        <v/>
      </c>
      <c r="U1801" s="62" t="str">
        <f aca="false">IF(C1801="","",IF(LEFT(D1801,1)="⚠","⚠ RUT no registrado en Trabajadores",IF(B1801="","⚠ Falta el mes",IF(OR(ISTEXT(I1801),ISTEXT(J1801)),"⚠ Atrasos u horas extra como texto: escriba hh:mm (ej. 1:30)",IF(AND(ISNUMBER(Q1801),COUNTIFS(M_RUTN,V1801,M_MES,B1801,M_LIQ,"&lt;&gt;")&gt;1),"⚠ Liquidación repetida en el mes",IF(AND(ISNUMBER(O1801),ISNUMBER(P1801),ISNUMBER(Q1801),ABS(O1801-P1801-Q1801)&gt;1),"⚠ Haberes − descuentos no da el líquido","OK"))))))</f>
        <v/>
      </c>
      <c r="V1801" s="62" t="str">
        <f aca="false">IF(C1801="","",IFERROR(VALUE(LEFT(UPPER(SUBSTITUTE(SUBSTITUTE(SUBSTITUTE(TRIM(C1801),".",""),"-","")," ","")),LEN(UPPER(SUBSTITUTE(SUBSTITUTE(SUBSTITUTE(TRIM(C1801),".",""),"-","")," ","")))-1))&amp;RIGHT(UPPER(SUBSTITUTE(SUBSTITUTE(SUBSTITUTE(TRIM(C1801),".",""),"-","")," ","")),1),UPPER(SUBSTITUTE(SUBSTITUTE(SUBSTITUTE(TRIM(C1801),".",""),"-","")," ",""))))</f>
        <v/>
      </c>
    </row>
    <row r="1802" customFormat="false" ht="15" hidden="false" customHeight="false" outlineLevel="0" collapsed="false">
      <c r="B1802" s="80"/>
      <c r="C1802" s="58"/>
      <c r="D1802" s="62" t="str">
        <f aca="false">IF(C1802="","",IFERROR(INDEX(T_NOMBRE,MATCH(V1802,T_RUTN,0)),"⚠ RUT no está en Trabajadores"))</f>
        <v/>
      </c>
      <c r="E1802" s="61"/>
      <c r="F1802" s="61"/>
      <c r="G1802" s="61"/>
      <c r="H1802" s="61"/>
      <c r="I1802" s="81"/>
      <c r="J1802" s="81"/>
      <c r="K1802" s="60"/>
      <c r="L1802" s="60"/>
      <c r="M1802" s="60"/>
      <c r="N1802" s="60"/>
      <c r="O1802" s="60"/>
      <c r="P1802" s="60"/>
      <c r="Q1802" s="60"/>
      <c r="R1802" s="58"/>
      <c r="S1802" s="62" t="str">
        <f aca="false">IF(OR(B1802="",V1802=""),"",IFERROR(INDEX(C_TIPO,MATCH(V1802&amp;"-P"&amp;MAX(1,COUNTIFS(C_RUTN,V1802,C_DEF,"Sí",C_INI,"&lt;="&amp;EOMONTH(B1802,0))),C_CLAVE,0))&amp;"","Sin contrato"))</f>
        <v/>
      </c>
      <c r="T1802" s="63" t="str">
        <f aca="false">IF(OR(B1802="",N(O1802)=0),"",N(O1802)+ROUND(MIN(N(N1802),TOPE_UF*UF_MES)*(TASA_EMP+MUTUAL),0)+ROUND(MIN(N(N1802),TOPE_AFC_UF*UF_MES)*IF(S1802="Indefinido",AFC_INDEF,AFC_PF),0))</f>
        <v/>
      </c>
      <c r="U1802" s="62" t="str">
        <f aca="false">IF(C1802="","",IF(LEFT(D1802,1)="⚠","⚠ RUT no registrado en Trabajadores",IF(B1802="","⚠ Falta el mes",IF(OR(ISTEXT(I1802),ISTEXT(J1802)),"⚠ Atrasos u horas extra como texto: escriba hh:mm (ej. 1:30)",IF(AND(ISNUMBER(Q1802),COUNTIFS(M_RUTN,V1802,M_MES,B1802,M_LIQ,"&lt;&gt;")&gt;1),"⚠ Liquidación repetida en el mes",IF(AND(ISNUMBER(O1802),ISNUMBER(P1802),ISNUMBER(Q1802),ABS(O1802-P1802-Q1802)&gt;1),"⚠ Haberes − descuentos no da el líquido","OK"))))))</f>
        <v/>
      </c>
      <c r="V1802" s="62" t="str">
        <f aca="false">IF(C1802="","",IFERROR(VALUE(LEFT(UPPER(SUBSTITUTE(SUBSTITUTE(SUBSTITUTE(TRIM(C1802),".",""),"-","")," ","")),LEN(UPPER(SUBSTITUTE(SUBSTITUTE(SUBSTITUTE(TRIM(C1802),".",""),"-","")," ","")))-1))&amp;RIGHT(UPPER(SUBSTITUTE(SUBSTITUTE(SUBSTITUTE(TRIM(C1802),".",""),"-","")," ","")),1),UPPER(SUBSTITUTE(SUBSTITUTE(SUBSTITUTE(TRIM(C1802),".",""),"-","")," ",""))))</f>
        <v/>
      </c>
    </row>
    <row r="1803" customFormat="false" ht="15" hidden="false" customHeight="false" outlineLevel="0" collapsed="false">
      <c r="B1803" s="80"/>
      <c r="C1803" s="58"/>
      <c r="D1803" s="62" t="str">
        <f aca="false">IF(C1803="","",IFERROR(INDEX(T_NOMBRE,MATCH(V1803,T_RUTN,0)),"⚠ RUT no está en Trabajadores"))</f>
        <v/>
      </c>
      <c r="E1803" s="61"/>
      <c r="F1803" s="61"/>
      <c r="G1803" s="61"/>
      <c r="H1803" s="61"/>
      <c r="I1803" s="81"/>
      <c r="J1803" s="81"/>
      <c r="K1803" s="60"/>
      <c r="L1803" s="60"/>
      <c r="M1803" s="60"/>
      <c r="N1803" s="60"/>
      <c r="O1803" s="60"/>
      <c r="P1803" s="60"/>
      <c r="Q1803" s="60"/>
      <c r="R1803" s="58"/>
      <c r="S1803" s="62" t="str">
        <f aca="false">IF(OR(B1803="",V1803=""),"",IFERROR(INDEX(C_TIPO,MATCH(V1803&amp;"-P"&amp;MAX(1,COUNTIFS(C_RUTN,V1803,C_DEF,"Sí",C_INI,"&lt;="&amp;EOMONTH(B1803,0))),C_CLAVE,0))&amp;"","Sin contrato"))</f>
        <v/>
      </c>
      <c r="T1803" s="63" t="str">
        <f aca="false">IF(OR(B1803="",N(O1803)=0),"",N(O1803)+ROUND(MIN(N(N1803),TOPE_UF*UF_MES)*(TASA_EMP+MUTUAL),0)+ROUND(MIN(N(N1803),TOPE_AFC_UF*UF_MES)*IF(S1803="Indefinido",AFC_INDEF,AFC_PF),0))</f>
        <v/>
      </c>
      <c r="U1803" s="62" t="str">
        <f aca="false">IF(C1803="","",IF(LEFT(D1803,1)="⚠","⚠ RUT no registrado en Trabajadores",IF(B1803="","⚠ Falta el mes",IF(OR(ISTEXT(I1803),ISTEXT(J1803)),"⚠ Atrasos u horas extra como texto: escriba hh:mm (ej. 1:30)",IF(AND(ISNUMBER(Q1803),COUNTIFS(M_RUTN,V1803,M_MES,B1803,M_LIQ,"&lt;&gt;")&gt;1),"⚠ Liquidación repetida en el mes",IF(AND(ISNUMBER(O1803),ISNUMBER(P1803),ISNUMBER(Q1803),ABS(O1803-P1803-Q1803)&gt;1),"⚠ Haberes − descuentos no da el líquido","OK"))))))</f>
        <v/>
      </c>
      <c r="V1803" s="62" t="str">
        <f aca="false">IF(C1803="","",IFERROR(VALUE(LEFT(UPPER(SUBSTITUTE(SUBSTITUTE(SUBSTITUTE(TRIM(C1803),".",""),"-","")," ","")),LEN(UPPER(SUBSTITUTE(SUBSTITUTE(SUBSTITUTE(TRIM(C1803),".",""),"-","")," ","")))-1))&amp;RIGHT(UPPER(SUBSTITUTE(SUBSTITUTE(SUBSTITUTE(TRIM(C1803),".",""),"-","")," ","")),1),UPPER(SUBSTITUTE(SUBSTITUTE(SUBSTITUTE(TRIM(C1803),".",""),"-","")," ",""))))</f>
        <v/>
      </c>
    </row>
    <row r="1804" customFormat="false" ht="15" hidden="false" customHeight="false" outlineLevel="0" collapsed="false">
      <c r="B1804" s="80"/>
      <c r="C1804" s="58"/>
      <c r="D1804" s="62" t="str">
        <f aca="false">IF(C1804="","",IFERROR(INDEX(T_NOMBRE,MATCH(V1804,T_RUTN,0)),"⚠ RUT no está en Trabajadores"))</f>
        <v/>
      </c>
      <c r="E1804" s="61"/>
      <c r="F1804" s="61"/>
      <c r="G1804" s="61"/>
      <c r="H1804" s="61"/>
      <c r="I1804" s="81"/>
      <c r="J1804" s="81"/>
      <c r="K1804" s="60"/>
      <c r="L1804" s="60"/>
      <c r="M1804" s="60"/>
      <c r="N1804" s="60"/>
      <c r="O1804" s="60"/>
      <c r="P1804" s="60"/>
      <c r="Q1804" s="60"/>
      <c r="R1804" s="58"/>
      <c r="S1804" s="62" t="str">
        <f aca="false">IF(OR(B1804="",V1804=""),"",IFERROR(INDEX(C_TIPO,MATCH(V1804&amp;"-P"&amp;MAX(1,COUNTIFS(C_RUTN,V1804,C_DEF,"Sí",C_INI,"&lt;="&amp;EOMONTH(B1804,0))),C_CLAVE,0))&amp;"","Sin contrato"))</f>
        <v/>
      </c>
      <c r="T1804" s="63" t="str">
        <f aca="false">IF(OR(B1804="",N(O1804)=0),"",N(O1804)+ROUND(MIN(N(N1804),TOPE_UF*UF_MES)*(TASA_EMP+MUTUAL),0)+ROUND(MIN(N(N1804),TOPE_AFC_UF*UF_MES)*IF(S1804="Indefinido",AFC_INDEF,AFC_PF),0))</f>
        <v/>
      </c>
      <c r="U1804" s="62" t="str">
        <f aca="false">IF(C1804="","",IF(LEFT(D1804,1)="⚠","⚠ RUT no registrado en Trabajadores",IF(B1804="","⚠ Falta el mes",IF(OR(ISTEXT(I1804),ISTEXT(J1804)),"⚠ Atrasos u horas extra como texto: escriba hh:mm (ej. 1:30)",IF(AND(ISNUMBER(Q1804),COUNTIFS(M_RUTN,V1804,M_MES,B1804,M_LIQ,"&lt;&gt;")&gt;1),"⚠ Liquidación repetida en el mes",IF(AND(ISNUMBER(O1804),ISNUMBER(P1804),ISNUMBER(Q1804),ABS(O1804-P1804-Q1804)&gt;1),"⚠ Haberes − descuentos no da el líquido","OK"))))))</f>
        <v/>
      </c>
      <c r="V1804" s="62" t="str">
        <f aca="false">IF(C1804="","",IFERROR(VALUE(LEFT(UPPER(SUBSTITUTE(SUBSTITUTE(SUBSTITUTE(TRIM(C1804),".",""),"-","")," ","")),LEN(UPPER(SUBSTITUTE(SUBSTITUTE(SUBSTITUTE(TRIM(C1804),".",""),"-","")," ","")))-1))&amp;RIGHT(UPPER(SUBSTITUTE(SUBSTITUTE(SUBSTITUTE(TRIM(C1804),".",""),"-","")," ","")),1),UPPER(SUBSTITUTE(SUBSTITUTE(SUBSTITUTE(TRIM(C1804),".",""),"-","")," ",""))))</f>
        <v/>
      </c>
    </row>
    <row r="1805" customFormat="false" ht="15" hidden="false" customHeight="false" outlineLevel="0" collapsed="false">
      <c r="B1805" s="80"/>
      <c r="C1805" s="58"/>
      <c r="D1805" s="62" t="str">
        <f aca="false">IF(C1805="","",IFERROR(INDEX(T_NOMBRE,MATCH(V1805,T_RUTN,0)),"⚠ RUT no está en Trabajadores"))</f>
        <v/>
      </c>
      <c r="E1805" s="61"/>
      <c r="F1805" s="61"/>
      <c r="G1805" s="61"/>
      <c r="H1805" s="61"/>
      <c r="I1805" s="81"/>
      <c r="J1805" s="81"/>
      <c r="K1805" s="60"/>
      <c r="L1805" s="60"/>
      <c r="M1805" s="60"/>
      <c r="N1805" s="60"/>
      <c r="O1805" s="60"/>
      <c r="P1805" s="60"/>
      <c r="Q1805" s="60"/>
      <c r="R1805" s="58"/>
      <c r="S1805" s="62" t="str">
        <f aca="false">IF(OR(B1805="",V1805=""),"",IFERROR(INDEX(C_TIPO,MATCH(V1805&amp;"-P"&amp;MAX(1,COUNTIFS(C_RUTN,V1805,C_DEF,"Sí",C_INI,"&lt;="&amp;EOMONTH(B1805,0))),C_CLAVE,0))&amp;"","Sin contrato"))</f>
        <v/>
      </c>
      <c r="T1805" s="63" t="str">
        <f aca="false">IF(OR(B1805="",N(O1805)=0),"",N(O1805)+ROUND(MIN(N(N1805),TOPE_UF*UF_MES)*(TASA_EMP+MUTUAL),0)+ROUND(MIN(N(N1805),TOPE_AFC_UF*UF_MES)*IF(S1805="Indefinido",AFC_INDEF,AFC_PF),0))</f>
        <v/>
      </c>
      <c r="U1805" s="62" t="str">
        <f aca="false">IF(C1805="","",IF(LEFT(D1805,1)="⚠","⚠ RUT no registrado en Trabajadores",IF(B1805="","⚠ Falta el mes",IF(OR(ISTEXT(I1805),ISTEXT(J1805)),"⚠ Atrasos u horas extra como texto: escriba hh:mm (ej. 1:30)",IF(AND(ISNUMBER(Q1805),COUNTIFS(M_RUTN,V1805,M_MES,B1805,M_LIQ,"&lt;&gt;")&gt;1),"⚠ Liquidación repetida en el mes",IF(AND(ISNUMBER(O1805),ISNUMBER(P1805),ISNUMBER(Q1805),ABS(O1805-P1805-Q1805)&gt;1),"⚠ Haberes − descuentos no da el líquido","OK"))))))</f>
        <v/>
      </c>
      <c r="V1805" s="62" t="str">
        <f aca="false">IF(C1805="","",IFERROR(VALUE(LEFT(UPPER(SUBSTITUTE(SUBSTITUTE(SUBSTITUTE(TRIM(C1805),".",""),"-","")," ","")),LEN(UPPER(SUBSTITUTE(SUBSTITUTE(SUBSTITUTE(TRIM(C1805),".",""),"-","")," ","")))-1))&amp;RIGHT(UPPER(SUBSTITUTE(SUBSTITUTE(SUBSTITUTE(TRIM(C1805),".",""),"-","")," ","")),1),UPPER(SUBSTITUTE(SUBSTITUTE(SUBSTITUTE(TRIM(C1805),".",""),"-","")," ",""))))</f>
        <v/>
      </c>
    </row>
    <row r="1806" customFormat="false" ht="15" hidden="false" customHeight="false" outlineLevel="0" collapsed="false">
      <c r="B1806" s="80"/>
      <c r="C1806" s="58"/>
      <c r="D1806" s="62" t="str">
        <f aca="false">IF(C1806="","",IFERROR(INDEX(T_NOMBRE,MATCH(V1806,T_RUTN,0)),"⚠ RUT no está en Trabajadores"))</f>
        <v/>
      </c>
      <c r="E1806" s="61"/>
      <c r="F1806" s="61"/>
      <c r="G1806" s="61"/>
      <c r="H1806" s="61"/>
      <c r="I1806" s="81"/>
      <c r="J1806" s="81"/>
      <c r="K1806" s="60"/>
      <c r="L1806" s="60"/>
      <c r="M1806" s="60"/>
      <c r="N1806" s="60"/>
      <c r="O1806" s="60"/>
      <c r="P1806" s="60"/>
      <c r="Q1806" s="60"/>
      <c r="R1806" s="58"/>
      <c r="S1806" s="62" t="str">
        <f aca="false">IF(OR(B1806="",V1806=""),"",IFERROR(INDEX(C_TIPO,MATCH(V1806&amp;"-P"&amp;MAX(1,COUNTIFS(C_RUTN,V1806,C_DEF,"Sí",C_INI,"&lt;="&amp;EOMONTH(B1806,0))),C_CLAVE,0))&amp;"","Sin contrato"))</f>
        <v/>
      </c>
      <c r="T1806" s="63" t="str">
        <f aca="false">IF(OR(B1806="",N(O1806)=0),"",N(O1806)+ROUND(MIN(N(N1806),TOPE_UF*UF_MES)*(TASA_EMP+MUTUAL),0)+ROUND(MIN(N(N1806),TOPE_AFC_UF*UF_MES)*IF(S1806="Indefinido",AFC_INDEF,AFC_PF),0))</f>
        <v/>
      </c>
      <c r="U1806" s="62" t="str">
        <f aca="false">IF(C1806="","",IF(LEFT(D1806,1)="⚠","⚠ RUT no registrado en Trabajadores",IF(B1806="","⚠ Falta el mes",IF(OR(ISTEXT(I1806),ISTEXT(J1806)),"⚠ Atrasos u horas extra como texto: escriba hh:mm (ej. 1:30)",IF(AND(ISNUMBER(Q1806),COUNTIFS(M_RUTN,V1806,M_MES,B1806,M_LIQ,"&lt;&gt;")&gt;1),"⚠ Liquidación repetida en el mes",IF(AND(ISNUMBER(O1806),ISNUMBER(P1806),ISNUMBER(Q1806),ABS(O1806-P1806-Q1806)&gt;1),"⚠ Haberes − descuentos no da el líquido","OK"))))))</f>
        <v/>
      </c>
      <c r="V1806" s="62" t="str">
        <f aca="false">IF(C1806="","",IFERROR(VALUE(LEFT(UPPER(SUBSTITUTE(SUBSTITUTE(SUBSTITUTE(TRIM(C1806),".",""),"-","")," ","")),LEN(UPPER(SUBSTITUTE(SUBSTITUTE(SUBSTITUTE(TRIM(C1806),".",""),"-","")," ","")))-1))&amp;RIGHT(UPPER(SUBSTITUTE(SUBSTITUTE(SUBSTITUTE(TRIM(C1806),".",""),"-","")," ","")),1),UPPER(SUBSTITUTE(SUBSTITUTE(SUBSTITUTE(TRIM(C1806),".",""),"-","")," ",""))))</f>
        <v/>
      </c>
    </row>
    <row r="1807" customFormat="false" ht="15" hidden="false" customHeight="false" outlineLevel="0" collapsed="false">
      <c r="B1807" s="80"/>
      <c r="C1807" s="58"/>
      <c r="D1807" s="62" t="str">
        <f aca="false">IF(C1807="","",IFERROR(INDEX(T_NOMBRE,MATCH(V1807,T_RUTN,0)),"⚠ RUT no está en Trabajadores"))</f>
        <v/>
      </c>
      <c r="E1807" s="61"/>
      <c r="F1807" s="61"/>
      <c r="G1807" s="61"/>
      <c r="H1807" s="61"/>
      <c r="I1807" s="81"/>
      <c r="J1807" s="81"/>
      <c r="K1807" s="60"/>
      <c r="L1807" s="60"/>
      <c r="M1807" s="60"/>
      <c r="N1807" s="60"/>
      <c r="O1807" s="60"/>
      <c r="P1807" s="60"/>
      <c r="Q1807" s="60"/>
      <c r="R1807" s="58"/>
      <c r="S1807" s="62" t="str">
        <f aca="false">IF(OR(B1807="",V1807=""),"",IFERROR(INDEX(C_TIPO,MATCH(V1807&amp;"-P"&amp;MAX(1,COUNTIFS(C_RUTN,V1807,C_DEF,"Sí",C_INI,"&lt;="&amp;EOMONTH(B1807,0))),C_CLAVE,0))&amp;"","Sin contrato"))</f>
        <v/>
      </c>
      <c r="T1807" s="63" t="str">
        <f aca="false">IF(OR(B1807="",N(O1807)=0),"",N(O1807)+ROUND(MIN(N(N1807),TOPE_UF*UF_MES)*(TASA_EMP+MUTUAL),0)+ROUND(MIN(N(N1807),TOPE_AFC_UF*UF_MES)*IF(S1807="Indefinido",AFC_INDEF,AFC_PF),0))</f>
        <v/>
      </c>
      <c r="U1807" s="62" t="str">
        <f aca="false">IF(C1807="","",IF(LEFT(D1807,1)="⚠","⚠ RUT no registrado en Trabajadores",IF(B1807="","⚠ Falta el mes",IF(OR(ISTEXT(I1807),ISTEXT(J1807)),"⚠ Atrasos u horas extra como texto: escriba hh:mm (ej. 1:30)",IF(AND(ISNUMBER(Q1807),COUNTIFS(M_RUTN,V1807,M_MES,B1807,M_LIQ,"&lt;&gt;")&gt;1),"⚠ Liquidación repetida en el mes",IF(AND(ISNUMBER(O1807),ISNUMBER(P1807),ISNUMBER(Q1807),ABS(O1807-P1807-Q1807)&gt;1),"⚠ Haberes − descuentos no da el líquido","OK"))))))</f>
        <v/>
      </c>
      <c r="V1807" s="62" t="str">
        <f aca="false">IF(C1807="","",IFERROR(VALUE(LEFT(UPPER(SUBSTITUTE(SUBSTITUTE(SUBSTITUTE(TRIM(C1807),".",""),"-","")," ","")),LEN(UPPER(SUBSTITUTE(SUBSTITUTE(SUBSTITUTE(TRIM(C1807),".",""),"-","")," ","")))-1))&amp;RIGHT(UPPER(SUBSTITUTE(SUBSTITUTE(SUBSTITUTE(TRIM(C1807),".",""),"-","")," ","")),1),UPPER(SUBSTITUTE(SUBSTITUTE(SUBSTITUTE(TRIM(C1807),".",""),"-","")," ",""))))</f>
        <v/>
      </c>
    </row>
    <row r="1808" customFormat="false" ht="15" hidden="false" customHeight="false" outlineLevel="0" collapsed="false">
      <c r="B1808" s="80"/>
      <c r="C1808" s="58"/>
      <c r="D1808" s="62" t="str">
        <f aca="false">IF(C1808="","",IFERROR(INDEX(T_NOMBRE,MATCH(V1808,T_RUTN,0)),"⚠ RUT no está en Trabajadores"))</f>
        <v/>
      </c>
      <c r="E1808" s="61"/>
      <c r="F1808" s="61"/>
      <c r="G1808" s="61"/>
      <c r="H1808" s="61"/>
      <c r="I1808" s="81"/>
      <c r="J1808" s="81"/>
      <c r="K1808" s="60"/>
      <c r="L1808" s="60"/>
      <c r="M1808" s="60"/>
      <c r="N1808" s="60"/>
      <c r="O1808" s="60"/>
      <c r="P1808" s="60"/>
      <c r="Q1808" s="60"/>
      <c r="R1808" s="58"/>
      <c r="S1808" s="62" t="str">
        <f aca="false">IF(OR(B1808="",V1808=""),"",IFERROR(INDEX(C_TIPO,MATCH(V1808&amp;"-P"&amp;MAX(1,COUNTIFS(C_RUTN,V1808,C_DEF,"Sí",C_INI,"&lt;="&amp;EOMONTH(B1808,0))),C_CLAVE,0))&amp;"","Sin contrato"))</f>
        <v/>
      </c>
      <c r="T1808" s="63" t="str">
        <f aca="false">IF(OR(B1808="",N(O1808)=0),"",N(O1808)+ROUND(MIN(N(N1808),TOPE_UF*UF_MES)*(TASA_EMP+MUTUAL),0)+ROUND(MIN(N(N1808),TOPE_AFC_UF*UF_MES)*IF(S1808="Indefinido",AFC_INDEF,AFC_PF),0))</f>
        <v/>
      </c>
      <c r="U1808" s="62" t="str">
        <f aca="false">IF(C1808="","",IF(LEFT(D1808,1)="⚠","⚠ RUT no registrado en Trabajadores",IF(B1808="","⚠ Falta el mes",IF(OR(ISTEXT(I1808),ISTEXT(J1808)),"⚠ Atrasos u horas extra como texto: escriba hh:mm (ej. 1:30)",IF(AND(ISNUMBER(Q1808),COUNTIFS(M_RUTN,V1808,M_MES,B1808,M_LIQ,"&lt;&gt;")&gt;1),"⚠ Liquidación repetida en el mes",IF(AND(ISNUMBER(O1808),ISNUMBER(P1808),ISNUMBER(Q1808),ABS(O1808-P1808-Q1808)&gt;1),"⚠ Haberes − descuentos no da el líquido","OK"))))))</f>
        <v/>
      </c>
      <c r="V1808" s="62" t="str">
        <f aca="false">IF(C1808="","",IFERROR(VALUE(LEFT(UPPER(SUBSTITUTE(SUBSTITUTE(SUBSTITUTE(TRIM(C1808),".",""),"-","")," ","")),LEN(UPPER(SUBSTITUTE(SUBSTITUTE(SUBSTITUTE(TRIM(C1808),".",""),"-","")," ","")))-1))&amp;RIGHT(UPPER(SUBSTITUTE(SUBSTITUTE(SUBSTITUTE(TRIM(C1808),".",""),"-","")," ","")),1),UPPER(SUBSTITUTE(SUBSTITUTE(SUBSTITUTE(TRIM(C1808),".",""),"-","")," ",""))))</f>
        <v/>
      </c>
    </row>
    <row r="1809" customFormat="false" ht="15" hidden="false" customHeight="false" outlineLevel="0" collapsed="false">
      <c r="B1809" s="80"/>
      <c r="C1809" s="58"/>
      <c r="D1809" s="62" t="str">
        <f aca="false">IF(C1809="","",IFERROR(INDEX(T_NOMBRE,MATCH(V1809,T_RUTN,0)),"⚠ RUT no está en Trabajadores"))</f>
        <v/>
      </c>
      <c r="E1809" s="61"/>
      <c r="F1809" s="61"/>
      <c r="G1809" s="61"/>
      <c r="H1809" s="61"/>
      <c r="I1809" s="81"/>
      <c r="J1809" s="81"/>
      <c r="K1809" s="60"/>
      <c r="L1809" s="60"/>
      <c r="M1809" s="60"/>
      <c r="N1809" s="60"/>
      <c r="O1809" s="60"/>
      <c r="P1809" s="60"/>
      <c r="Q1809" s="60"/>
      <c r="R1809" s="58"/>
      <c r="S1809" s="62" t="str">
        <f aca="false">IF(OR(B1809="",V1809=""),"",IFERROR(INDEX(C_TIPO,MATCH(V1809&amp;"-P"&amp;MAX(1,COUNTIFS(C_RUTN,V1809,C_DEF,"Sí",C_INI,"&lt;="&amp;EOMONTH(B1809,0))),C_CLAVE,0))&amp;"","Sin contrato"))</f>
        <v/>
      </c>
      <c r="T1809" s="63" t="str">
        <f aca="false">IF(OR(B1809="",N(O1809)=0),"",N(O1809)+ROUND(MIN(N(N1809),TOPE_UF*UF_MES)*(TASA_EMP+MUTUAL),0)+ROUND(MIN(N(N1809),TOPE_AFC_UF*UF_MES)*IF(S1809="Indefinido",AFC_INDEF,AFC_PF),0))</f>
        <v/>
      </c>
      <c r="U1809" s="62" t="str">
        <f aca="false">IF(C1809="","",IF(LEFT(D1809,1)="⚠","⚠ RUT no registrado en Trabajadores",IF(B1809="","⚠ Falta el mes",IF(OR(ISTEXT(I1809),ISTEXT(J1809)),"⚠ Atrasos u horas extra como texto: escriba hh:mm (ej. 1:30)",IF(AND(ISNUMBER(Q1809),COUNTIFS(M_RUTN,V1809,M_MES,B1809,M_LIQ,"&lt;&gt;")&gt;1),"⚠ Liquidación repetida en el mes",IF(AND(ISNUMBER(O1809),ISNUMBER(P1809),ISNUMBER(Q1809),ABS(O1809-P1809-Q1809)&gt;1),"⚠ Haberes − descuentos no da el líquido","OK"))))))</f>
        <v/>
      </c>
      <c r="V1809" s="62" t="str">
        <f aca="false">IF(C1809="","",IFERROR(VALUE(LEFT(UPPER(SUBSTITUTE(SUBSTITUTE(SUBSTITUTE(TRIM(C1809),".",""),"-","")," ","")),LEN(UPPER(SUBSTITUTE(SUBSTITUTE(SUBSTITUTE(TRIM(C1809),".",""),"-","")," ","")))-1))&amp;RIGHT(UPPER(SUBSTITUTE(SUBSTITUTE(SUBSTITUTE(TRIM(C1809),".",""),"-","")," ","")),1),UPPER(SUBSTITUTE(SUBSTITUTE(SUBSTITUTE(TRIM(C1809),".",""),"-","")," ",""))))</f>
        <v/>
      </c>
    </row>
    <row r="1810" customFormat="false" ht="15" hidden="false" customHeight="false" outlineLevel="0" collapsed="false">
      <c r="B1810" s="80"/>
      <c r="C1810" s="58"/>
      <c r="D1810" s="62" t="str">
        <f aca="false">IF(C1810="","",IFERROR(INDEX(T_NOMBRE,MATCH(V1810,T_RUTN,0)),"⚠ RUT no está en Trabajadores"))</f>
        <v/>
      </c>
      <c r="E1810" s="61"/>
      <c r="F1810" s="61"/>
      <c r="G1810" s="61"/>
      <c r="H1810" s="61"/>
      <c r="I1810" s="81"/>
      <c r="J1810" s="81"/>
      <c r="K1810" s="60"/>
      <c r="L1810" s="60"/>
      <c r="M1810" s="60"/>
      <c r="N1810" s="60"/>
      <c r="O1810" s="60"/>
      <c r="P1810" s="60"/>
      <c r="Q1810" s="60"/>
      <c r="R1810" s="58"/>
      <c r="S1810" s="62" t="str">
        <f aca="false">IF(OR(B1810="",V1810=""),"",IFERROR(INDEX(C_TIPO,MATCH(V1810&amp;"-P"&amp;MAX(1,COUNTIFS(C_RUTN,V1810,C_DEF,"Sí",C_INI,"&lt;="&amp;EOMONTH(B1810,0))),C_CLAVE,0))&amp;"","Sin contrato"))</f>
        <v/>
      </c>
      <c r="T1810" s="63" t="str">
        <f aca="false">IF(OR(B1810="",N(O1810)=0),"",N(O1810)+ROUND(MIN(N(N1810),TOPE_UF*UF_MES)*(TASA_EMP+MUTUAL),0)+ROUND(MIN(N(N1810),TOPE_AFC_UF*UF_MES)*IF(S1810="Indefinido",AFC_INDEF,AFC_PF),0))</f>
        <v/>
      </c>
      <c r="U1810" s="62" t="str">
        <f aca="false">IF(C1810="","",IF(LEFT(D1810,1)="⚠","⚠ RUT no registrado en Trabajadores",IF(B1810="","⚠ Falta el mes",IF(OR(ISTEXT(I1810),ISTEXT(J1810)),"⚠ Atrasos u horas extra como texto: escriba hh:mm (ej. 1:30)",IF(AND(ISNUMBER(Q1810),COUNTIFS(M_RUTN,V1810,M_MES,B1810,M_LIQ,"&lt;&gt;")&gt;1),"⚠ Liquidación repetida en el mes",IF(AND(ISNUMBER(O1810),ISNUMBER(P1810),ISNUMBER(Q1810),ABS(O1810-P1810-Q1810)&gt;1),"⚠ Haberes − descuentos no da el líquido","OK"))))))</f>
        <v/>
      </c>
      <c r="V1810" s="62" t="str">
        <f aca="false">IF(C1810="","",IFERROR(VALUE(LEFT(UPPER(SUBSTITUTE(SUBSTITUTE(SUBSTITUTE(TRIM(C1810),".",""),"-","")," ","")),LEN(UPPER(SUBSTITUTE(SUBSTITUTE(SUBSTITUTE(TRIM(C1810),".",""),"-","")," ","")))-1))&amp;RIGHT(UPPER(SUBSTITUTE(SUBSTITUTE(SUBSTITUTE(TRIM(C1810),".",""),"-","")," ","")),1),UPPER(SUBSTITUTE(SUBSTITUTE(SUBSTITUTE(TRIM(C1810),".",""),"-","")," ",""))))</f>
        <v/>
      </c>
    </row>
    <row r="1811" customFormat="false" ht="15" hidden="false" customHeight="false" outlineLevel="0" collapsed="false">
      <c r="B1811" s="80"/>
      <c r="C1811" s="58"/>
      <c r="D1811" s="62" t="str">
        <f aca="false">IF(C1811="","",IFERROR(INDEX(T_NOMBRE,MATCH(V1811,T_RUTN,0)),"⚠ RUT no está en Trabajadores"))</f>
        <v/>
      </c>
      <c r="E1811" s="61"/>
      <c r="F1811" s="61"/>
      <c r="G1811" s="61"/>
      <c r="H1811" s="61"/>
      <c r="I1811" s="81"/>
      <c r="J1811" s="81"/>
      <c r="K1811" s="60"/>
      <c r="L1811" s="60"/>
      <c r="M1811" s="60"/>
      <c r="N1811" s="60"/>
      <c r="O1811" s="60"/>
      <c r="P1811" s="60"/>
      <c r="Q1811" s="60"/>
      <c r="R1811" s="58"/>
      <c r="S1811" s="62" t="str">
        <f aca="false">IF(OR(B1811="",V1811=""),"",IFERROR(INDEX(C_TIPO,MATCH(V1811&amp;"-P"&amp;MAX(1,COUNTIFS(C_RUTN,V1811,C_DEF,"Sí",C_INI,"&lt;="&amp;EOMONTH(B1811,0))),C_CLAVE,0))&amp;"","Sin contrato"))</f>
        <v/>
      </c>
      <c r="T1811" s="63" t="str">
        <f aca="false">IF(OR(B1811="",N(O1811)=0),"",N(O1811)+ROUND(MIN(N(N1811),TOPE_UF*UF_MES)*(TASA_EMP+MUTUAL),0)+ROUND(MIN(N(N1811),TOPE_AFC_UF*UF_MES)*IF(S1811="Indefinido",AFC_INDEF,AFC_PF),0))</f>
        <v/>
      </c>
      <c r="U1811" s="62" t="str">
        <f aca="false">IF(C1811="","",IF(LEFT(D1811,1)="⚠","⚠ RUT no registrado en Trabajadores",IF(B1811="","⚠ Falta el mes",IF(OR(ISTEXT(I1811),ISTEXT(J1811)),"⚠ Atrasos u horas extra como texto: escriba hh:mm (ej. 1:30)",IF(AND(ISNUMBER(Q1811),COUNTIFS(M_RUTN,V1811,M_MES,B1811,M_LIQ,"&lt;&gt;")&gt;1),"⚠ Liquidación repetida en el mes",IF(AND(ISNUMBER(O1811),ISNUMBER(P1811),ISNUMBER(Q1811),ABS(O1811-P1811-Q1811)&gt;1),"⚠ Haberes − descuentos no da el líquido","OK"))))))</f>
        <v/>
      </c>
      <c r="V1811" s="62" t="str">
        <f aca="false">IF(C1811="","",IFERROR(VALUE(LEFT(UPPER(SUBSTITUTE(SUBSTITUTE(SUBSTITUTE(TRIM(C1811),".",""),"-","")," ","")),LEN(UPPER(SUBSTITUTE(SUBSTITUTE(SUBSTITUTE(TRIM(C1811),".",""),"-","")," ","")))-1))&amp;RIGHT(UPPER(SUBSTITUTE(SUBSTITUTE(SUBSTITUTE(TRIM(C1811),".",""),"-","")," ","")),1),UPPER(SUBSTITUTE(SUBSTITUTE(SUBSTITUTE(TRIM(C1811),".",""),"-","")," ",""))))</f>
        <v/>
      </c>
    </row>
    <row r="1812" customFormat="false" ht="15" hidden="false" customHeight="false" outlineLevel="0" collapsed="false">
      <c r="B1812" s="80"/>
      <c r="C1812" s="58"/>
      <c r="D1812" s="62" t="str">
        <f aca="false">IF(C1812="","",IFERROR(INDEX(T_NOMBRE,MATCH(V1812,T_RUTN,0)),"⚠ RUT no está en Trabajadores"))</f>
        <v/>
      </c>
      <c r="E1812" s="61"/>
      <c r="F1812" s="61"/>
      <c r="G1812" s="61"/>
      <c r="H1812" s="61"/>
      <c r="I1812" s="81"/>
      <c r="J1812" s="81"/>
      <c r="K1812" s="60"/>
      <c r="L1812" s="60"/>
      <c r="M1812" s="60"/>
      <c r="N1812" s="60"/>
      <c r="O1812" s="60"/>
      <c r="P1812" s="60"/>
      <c r="Q1812" s="60"/>
      <c r="R1812" s="58"/>
      <c r="S1812" s="62" t="str">
        <f aca="false">IF(OR(B1812="",V1812=""),"",IFERROR(INDEX(C_TIPO,MATCH(V1812&amp;"-P"&amp;MAX(1,COUNTIFS(C_RUTN,V1812,C_DEF,"Sí",C_INI,"&lt;="&amp;EOMONTH(B1812,0))),C_CLAVE,0))&amp;"","Sin contrato"))</f>
        <v/>
      </c>
      <c r="T1812" s="63" t="str">
        <f aca="false">IF(OR(B1812="",N(O1812)=0),"",N(O1812)+ROUND(MIN(N(N1812),TOPE_UF*UF_MES)*(TASA_EMP+MUTUAL),0)+ROUND(MIN(N(N1812),TOPE_AFC_UF*UF_MES)*IF(S1812="Indefinido",AFC_INDEF,AFC_PF),0))</f>
        <v/>
      </c>
      <c r="U1812" s="62" t="str">
        <f aca="false">IF(C1812="","",IF(LEFT(D1812,1)="⚠","⚠ RUT no registrado en Trabajadores",IF(B1812="","⚠ Falta el mes",IF(OR(ISTEXT(I1812),ISTEXT(J1812)),"⚠ Atrasos u horas extra como texto: escriba hh:mm (ej. 1:30)",IF(AND(ISNUMBER(Q1812),COUNTIFS(M_RUTN,V1812,M_MES,B1812,M_LIQ,"&lt;&gt;")&gt;1),"⚠ Liquidación repetida en el mes",IF(AND(ISNUMBER(O1812),ISNUMBER(P1812),ISNUMBER(Q1812),ABS(O1812-P1812-Q1812)&gt;1),"⚠ Haberes − descuentos no da el líquido","OK"))))))</f>
        <v/>
      </c>
      <c r="V1812" s="62" t="str">
        <f aca="false">IF(C1812="","",IFERROR(VALUE(LEFT(UPPER(SUBSTITUTE(SUBSTITUTE(SUBSTITUTE(TRIM(C1812),".",""),"-","")," ","")),LEN(UPPER(SUBSTITUTE(SUBSTITUTE(SUBSTITUTE(TRIM(C1812),".",""),"-","")," ","")))-1))&amp;RIGHT(UPPER(SUBSTITUTE(SUBSTITUTE(SUBSTITUTE(TRIM(C1812),".",""),"-","")," ","")),1),UPPER(SUBSTITUTE(SUBSTITUTE(SUBSTITUTE(TRIM(C1812),".",""),"-","")," ",""))))</f>
        <v/>
      </c>
    </row>
    <row r="1813" customFormat="false" ht="15" hidden="false" customHeight="false" outlineLevel="0" collapsed="false">
      <c r="B1813" s="80"/>
      <c r="C1813" s="58"/>
      <c r="D1813" s="62" t="str">
        <f aca="false">IF(C1813="","",IFERROR(INDEX(T_NOMBRE,MATCH(V1813,T_RUTN,0)),"⚠ RUT no está en Trabajadores"))</f>
        <v/>
      </c>
      <c r="E1813" s="61"/>
      <c r="F1813" s="61"/>
      <c r="G1813" s="61"/>
      <c r="H1813" s="61"/>
      <c r="I1813" s="81"/>
      <c r="J1813" s="81"/>
      <c r="K1813" s="60"/>
      <c r="L1813" s="60"/>
      <c r="M1813" s="60"/>
      <c r="N1813" s="60"/>
      <c r="O1813" s="60"/>
      <c r="P1813" s="60"/>
      <c r="Q1813" s="60"/>
      <c r="R1813" s="58"/>
      <c r="S1813" s="62" t="str">
        <f aca="false">IF(OR(B1813="",V1813=""),"",IFERROR(INDEX(C_TIPO,MATCH(V1813&amp;"-P"&amp;MAX(1,COUNTIFS(C_RUTN,V1813,C_DEF,"Sí",C_INI,"&lt;="&amp;EOMONTH(B1813,0))),C_CLAVE,0))&amp;"","Sin contrato"))</f>
        <v/>
      </c>
      <c r="T1813" s="63" t="str">
        <f aca="false">IF(OR(B1813="",N(O1813)=0),"",N(O1813)+ROUND(MIN(N(N1813),TOPE_UF*UF_MES)*(TASA_EMP+MUTUAL),0)+ROUND(MIN(N(N1813),TOPE_AFC_UF*UF_MES)*IF(S1813="Indefinido",AFC_INDEF,AFC_PF),0))</f>
        <v/>
      </c>
      <c r="U1813" s="62" t="str">
        <f aca="false">IF(C1813="","",IF(LEFT(D1813,1)="⚠","⚠ RUT no registrado en Trabajadores",IF(B1813="","⚠ Falta el mes",IF(OR(ISTEXT(I1813),ISTEXT(J1813)),"⚠ Atrasos u horas extra como texto: escriba hh:mm (ej. 1:30)",IF(AND(ISNUMBER(Q1813),COUNTIFS(M_RUTN,V1813,M_MES,B1813,M_LIQ,"&lt;&gt;")&gt;1),"⚠ Liquidación repetida en el mes",IF(AND(ISNUMBER(O1813),ISNUMBER(P1813),ISNUMBER(Q1813),ABS(O1813-P1813-Q1813)&gt;1),"⚠ Haberes − descuentos no da el líquido","OK"))))))</f>
        <v/>
      </c>
      <c r="V1813" s="62" t="str">
        <f aca="false">IF(C1813="","",IFERROR(VALUE(LEFT(UPPER(SUBSTITUTE(SUBSTITUTE(SUBSTITUTE(TRIM(C1813),".",""),"-","")," ","")),LEN(UPPER(SUBSTITUTE(SUBSTITUTE(SUBSTITUTE(TRIM(C1813),".",""),"-","")," ","")))-1))&amp;RIGHT(UPPER(SUBSTITUTE(SUBSTITUTE(SUBSTITUTE(TRIM(C1813),".",""),"-","")," ","")),1),UPPER(SUBSTITUTE(SUBSTITUTE(SUBSTITUTE(TRIM(C1813),".",""),"-","")," ",""))))</f>
        <v/>
      </c>
    </row>
    <row r="1814" customFormat="false" ht="15" hidden="false" customHeight="false" outlineLevel="0" collapsed="false">
      <c r="B1814" s="80"/>
      <c r="C1814" s="58"/>
      <c r="D1814" s="62" t="str">
        <f aca="false">IF(C1814="","",IFERROR(INDEX(T_NOMBRE,MATCH(V1814,T_RUTN,0)),"⚠ RUT no está en Trabajadores"))</f>
        <v/>
      </c>
      <c r="E1814" s="61"/>
      <c r="F1814" s="61"/>
      <c r="G1814" s="61"/>
      <c r="H1814" s="61"/>
      <c r="I1814" s="81"/>
      <c r="J1814" s="81"/>
      <c r="K1814" s="60"/>
      <c r="L1814" s="60"/>
      <c r="M1814" s="60"/>
      <c r="N1814" s="60"/>
      <c r="O1814" s="60"/>
      <c r="P1814" s="60"/>
      <c r="Q1814" s="60"/>
      <c r="R1814" s="58"/>
      <c r="S1814" s="62" t="str">
        <f aca="false">IF(OR(B1814="",V1814=""),"",IFERROR(INDEX(C_TIPO,MATCH(V1814&amp;"-P"&amp;MAX(1,COUNTIFS(C_RUTN,V1814,C_DEF,"Sí",C_INI,"&lt;="&amp;EOMONTH(B1814,0))),C_CLAVE,0))&amp;"","Sin contrato"))</f>
        <v/>
      </c>
      <c r="T1814" s="63" t="str">
        <f aca="false">IF(OR(B1814="",N(O1814)=0),"",N(O1814)+ROUND(MIN(N(N1814),TOPE_UF*UF_MES)*(TASA_EMP+MUTUAL),0)+ROUND(MIN(N(N1814),TOPE_AFC_UF*UF_MES)*IF(S1814="Indefinido",AFC_INDEF,AFC_PF),0))</f>
        <v/>
      </c>
      <c r="U1814" s="62" t="str">
        <f aca="false">IF(C1814="","",IF(LEFT(D1814,1)="⚠","⚠ RUT no registrado en Trabajadores",IF(B1814="","⚠ Falta el mes",IF(OR(ISTEXT(I1814),ISTEXT(J1814)),"⚠ Atrasos u horas extra como texto: escriba hh:mm (ej. 1:30)",IF(AND(ISNUMBER(Q1814),COUNTIFS(M_RUTN,V1814,M_MES,B1814,M_LIQ,"&lt;&gt;")&gt;1),"⚠ Liquidación repetida en el mes",IF(AND(ISNUMBER(O1814),ISNUMBER(P1814),ISNUMBER(Q1814),ABS(O1814-P1814-Q1814)&gt;1),"⚠ Haberes − descuentos no da el líquido","OK"))))))</f>
        <v/>
      </c>
      <c r="V1814" s="62" t="str">
        <f aca="false">IF(C1814="","",IFERROR(VALUE(LEFT(UPPER(SUBSTITUTE(SUBSTITUTE(SUBSTITUTE(TRIM(C1814),".",""),"-","")," ","")),LEN(UPPER(SUBSTITUTE(SUBSTITUTE(SUBSTITUTE(TRIM(C1814),".",""),"-","")," ","")))-1))&amp;RIGHT(UPPER(SUBSTITUTE(SUBSTITUTE(SUBSTITUTE(TRIM(C1814),".",""),"-","")," ","")),1),UPPER(SUBSTITUTE(SUBSTITUTE(SUBSTITUTE(TRIM(C1814),".",""),"-","")," ",""))))</f>
        <v/>
      </c>
    </row>
    <row r="1815" customFormat="false" ht="15" hidden="false" customHeight="false" outlineLevel="0" collapsed="false">
      <c r="B1815" s="80"/>
      <c r="C1815" s="58"/>
      <c r="D1815" s="62" t="str">
        <f aca="false">IF(C1815="","",IFERROR(INDEX(T_NOMBRE,MATCH(V1815,T_RUTN,0)),"⚠ RUT no está en Trabajadores"))</f>
        <v/>
      </c>
      <c r="E1815" s="61"/>
      <c r="F1815" s="61"/>
      <c r="G1815" s="61"/>
      <c r="H1815" s="61"/>
      <c r="I1815" s="81"/>
      <c r="J1815" s="81"/>
      <c r="K1815" s="60"/>
      <c r="L1815" s="60"/>
      <c r="M1815" s="60"/>
      <c r="N1815" s="60"/>
      <c r="O1815" s="60"/>
      <c r="P1815" s="60"/>
      <c r="Q1815" s="60"/>
      <c r="R1815" s="58"/>
      <c r="S1815" s="62" t="str">
        <f aca="false">IF(OR(B1815="",V1815=""),"",IFERROR(INDEX(C_TIPO,MATCH(V1815&amp;"-P"&amp;MAX(1,COUNTIFS(C_RUTN,V1815,C_DEF,"Sí",C_INI,"&lt;="&amp;EOMONTH(B1815,0))),C_CLAVE,0))&amp;"","Sin contrato"))</f>
        <v/>
      </c>
      <c r="T1815" s="63" t="str">
        <f aca="false">IF(OR(B1815="",N(O1815)=0),"",N(O1815)+ROUND(MIN(N(N1815),TOPE_UF*UF_MES)*(TASA_EMP+MUTUAL),0)+ROUND(MIN(N(N1815),TOPE_AFC_UF*UF_MES)*IF(S1815="Indefinido",AFC_INDEF,AFC_PF),0))</f>
        <v/>
      </c>
      <c r="U1815" s="62" t="str">
        <f aca="false">IF(C1815="","",IF(LEFT(D1815,1)="⚠","⚠ RUT no registrado en Trabajadores",IF(B1815="","⚠ Falta el mes",IF(OR(ISTEXT(I1815),ISTEXT(J1815)),"⚠ Atrasos u horas extra como texto: escriba hh:mm (ej. 1:30)",IF(AND(ISNUMBER(Q1815),COUNTIFS(M_RUTN,V1815,M_MES,B1815,M_LIQ,"&lt;&gt;")&gt;1),"⚠ Liquidación repetida en el mes",IF(AND(ISNUMBER(O1815),ISNUMBER(P1815),ISNUMBER(Q1815),ABS(O1815-P1815-Q1815)&gt;1),"⚠ Haberes − descuentos no da el líquido","OK"))))))</f>
        <v/>
      </c>
      <c r="V1815" s="62" t="str">
        <f aca="false">IF(C1815="","",IFERROR(VALUE(LEFT(UPPER(SUBSTITUTE(SUBSTITUTE(SUBSTITUTE(TRIM(C1815),".",""),"-","")," ","")),LEN(UPPER(SUBSTITUTE(SUBSTITUTE(SUBSTITUTE(TRIM(C1815),".",""),"-","")," ","")))-1))&amp;RIGHT(UPPER(SUBSTITUTE(SUBSTITUTE(SUBSTITUTE(TRIM(C1815),".",""),"-","")," ","")),1),UPPER(SUBSTITUTE(SUBSTITUTE(SUBSTITUTE(TRIM(C1815),".",""),"-","")," ",""))))</f>
        <v/>
      </c>
    </row>
    <row r="1816" customFormat="false" ht="15" hidden="false" customHeight="false" outlineLevel="0" collapsed="false">
      <c r="B1816" s="80"/>
      <c r="C1816" s="58"/>
      <c r="D1816" s="62" t="str">
        <f aca="false">IF(C1816="","",IFERROR(INDEX(T_NOMBRE,MATCH(V1816,T_RUTN,0)),"⚠ RUT no está en Trabajadores"))</f>
        <v/>
      </c>
      <c r="E1816" s="61"/>
      <c r="F1816" s="61"/>
      <c r="G1816" s="61"/>
      <c r="H1816" s="61"/>
      <c r="I1816" s="81"/>
      <c r="J1816" s="81"/>
      <c r="K1816" s="60"/>
      <c r="L1816" s="60"/>
      <c r="M1816" s="60"/>
      <c r="N1816" s="60"/>
      <c r="O1816" s="60"/>
      <c r="P1816" s="60"/>
      <c r="Q1816" s="60"/>
      <c r="R1816" s="58"/>
      <c r="S1816" s="62" t="str">
        <f aca="false">IF(OR(B1816="",V1816=""),"",IFERROR(INDEX(C_TIPO,MATCH(V1816&amp;"-P"&amp;MAX(1,COUNTIFS(C_RUTN,V1816,C_DEF,"Sí",C_INI,"&lt;="&amp;EOMONTH(B1816,0))),C_CLAVE,0))&amp;"","Sin contrato"))</f>
        <v/>
      </c>
      <c r="T1816" s="63" t="str">
        <f aca="false">IF(OR(B1816="",N(O1816)=0),"",N(O1816)+ROUND(MIN(N(N1816),TOPE_UF*UF_MES)*(TASA_EMP+MUTUAL),0)+ROUND(MIN(N(N1816),TOPE_AFC_UF*UF_MES)*IF(S1816="Indefinido",AFC_INDEF,AFC_PF),0))</f>
        <v/>
      </c>
      <c r="U1816" s="62" t="str">
        <f aca="false">IF(C1816="","",IF(LEFT(D1816,1)="⚠","⚠ RUT no registrado en Trabajadores",IF(B1816="","⚠ Falta el mes",IF(OR(ISTEXT(I1816),ISTEXT(J1816)),"⚠ Atrasos u horas extra como texto: escriba hh:mm (ej. 1:30)",IF(AND(ISNUMBER(Q1816),COUNTIFS(M_RUTN,V1816,M_MES,B1816,M_LIQ,"&lt;&gt;")&gt;1),"⚠ Liquidación repetida en el mes",IF(AND(ISNUMBER(O1816),ISNUMBER(P1816),ISNUMBER(Q1816),ABS(O1816-P1816-Q1816)&gt;1),"⚠ Haberes − descuentos no da el líquido","OK"))))))</f>
        <v/>
      </c>
      <c r="V1816" s="62" t="str">
        <f aca="false">IF(C1816="","",IFERROR(VALUE(LEFT(UPPER(SUBSTITUTE(SUBSTITUTE(SUBSTITUTE(TRIM(C1816),".",""),"-","")," ","")),LEN(UPPER(SUBSTITUTE(SUBSTITUTE(SUBSTITUTE(TRIM(C1816),".",""),"-","")," ","")))-1))&amp;RIGHT(UPPER(SUBSTITUTE(SUBSTITUTE(SUBSTITUTE(TRIM(C1816),".",""),"-","")," ","")),1),UPPER(SUBSTITUTE(SUBSTITUTE(SUBSTITUTE(TRIM(C1816),".",""),"-","")," ",""))))</f>
        <v/>
      </c>
    </row>
    <row r="1817" customFormat="false" ht="15" hidden="false" customHeight="false" outlineLevel="0" collapsed="false">
      <c r="B1817" s="80"/>
      <c r="C1817" s="58"/>
      <c r="D1817" s="62" t="str">
        <f aca="false">IF(C1817="","",IFERROR(INDEX(T_NOMBRE,MATCH(V1817,T_RUTN,0)),"⚠ RUT no está en Trabajadores"))</f>
        <v/>
      </c>
      <c r="E1817" s="61"/>
      <c r="F1817" s="61"/>
      <c r="G1817" s="61"/>
      <c r="H1817" s="61"/>
      <c r="I1817" s="81"/>
      <c r="J1817" s="81"/>
      <c r="K1817" s="60"/>
      <c r="L1817" s="60"/>
      <c r="M1817" s="60"/>
      <c r="N1817" s="60"/>
      <c r="O1817" s="60"/>
      <c r="P1817" s="60"/>
      <c r="Q1817" s="60"/>
      <c r="R1817" s="58"/>
      <c r="S1817" s="62" t="str">
        <f aca="false">IF(OR(B1817="",V1817=""),"",IFERROR(INDEX(C_TIPO,MATCH(V1817&amp;"-P"&amp;MAX(1,COUNTIFS(C_RUTN,V1817,C_DEF,"Sí",C_INI,"&lt;="&amp;EOMONTH(B1817,0))),C_CLAVE,0))&amp;"","Sin contrato"))</f>
        <v/>
      </c>
      <c r="T1817" s="63" t="str">
        <f aca="false">IF(OR(B1817="",N(O1817)=0),"",N(O1817)+ROUND(MIN(N(N1817),TOPE_UF*UF_MES)*(TASA_EMP+MUTUAL),0)+ROUND(MIN(N(N1817),TOPE_AFC_UF*UF_MES)*IF(S1817="Indefinido",AFC_INDEF,AFC_PF),0))</f>
        <v/>
      </c>
      <c r="U1817" s="62" t="str">
        <f aca="false">IF(C1817="","",IF(LEFT(D1817,1)="⚠","⚠ RUT no registrado en Trabajadores",IF(B1817="","⚠ Falta el mes",IF(OR(ISTEXT(I1817),ISTEXT(J1817)),"⚠ Atrasos u horas extra como texto: escriba hh:mm (ej. 1:30)",IF(AND(ISNUMBER(Q1817),COUNTIFS(M_RUTN,V1817,M_MES,B1817,M_LIQ,"&lt;&gt;")&gt;1),"⚠ Liquidación repetida en el mes",IF(AND(ISNUMBER(O1817),ISNUMBER(P1817),ISNUMBER(Q1817),ABS(O1817-P1817-Q1817)&gt;1),"⚠ Haberes − descuentos no da el líquido","OK"))))))</f>
        <v/>
      </c>
      <c r="V1817" s="62" t="str">
        <f aca="false">IF(C1817="","",IFERROR(VALUE(LEFT(UPPER(SUBSTITUTE(SUBSTITUTE(SUBSTITUTE(TRIM(C1817),".",""),"-","")," ","")),LEN(UPPER(SUBSTITUTE(SUBSTITUTE(SUBSTITUTE(TRIM(C1817),".",""),"-","")," ","")))-1))&amp;RIGHT(UPPER(SUBSTITUTE(SUBSTITUTE(SUBSTITUTE(TRIM(C1817),".",""),"-","")," ","")),1),UPPER(SUBSTITUTE(SUBSTITUTE(SUBSTITUTE(TRIM(C1817),".",""),"-","")," ",""))))</f>
        <v/>
      </c>
    </row>
    <row r="1818" customFormat="false" ht="15" hidden="false" customHeight="false" outlineLevel="0" collapsed="false">
      <c r="B1818" s="80"/>
      <c r="C1818" s="58"/>
      <c r="D1818" s="62" t="str">
        <f aca="false">IF(C1818="","",IFERROR(INDEX(T_NOMBRE,MATCH(V1818,T_RUTN,0)),"⚠ RUT no está en Trabajadores"))</f>
        <v/>
      </c>
      <c r="E1818" s="61"/>
      <c r="F1818" s="61"/>
      <c r="G1818" s="61"/>
      <c r="H1818" s="61"/>
      <c r="I1818" s="81"/>
      <c r="J1818" s="81"/>
      <c r="K1818" s="60"/>
      <c r="L1818" s="60"/>
      <c r="M1818" s="60"/>
      <c r="N1818" s="60"/>
      <c r="O1818" s="60"/>
      <c r="P1818" s="60"/>
      <c r="Q1818" s="60"/>
      <c r="R1818" s="58"/>
      <c r="S1818" s="62" t="str">
        <f aca="false">IF(OR(B1818="",V1818=""),"",IFERROR(INDEX(C_TIPO,MATCH(V1818&amp;"-P"&amp;MAX(1,COUNTIFS(C_RUTN,V1818,C_DEF,"Sí",C_INI,"&lt;="&amp;EOMONTH(B1818,0))),C_CLAVE,0))&amp;"","Sin contrato"))</f>
        <v/>
      </c>
      <c r="T1818" s="63" t="str">
        <f aca="false">IF(OR(B1818="",N(O1818)=0),"",N(O1818)+ROUND(MIN(N(N1818),TOPE_UF*UF_MES)*(TASA_EMP+MUTUAL),0)+ROUND(MIN(N(N1818),TOPE_AFC_UF*UF_MES)*IF(S1818="Indefinido",AFC_INDEF,AFC_PF),0))</f>
        <v/>
      </c>
      <c r="U1818" s="62" t="str">
        <f aca="false">IF(C1818="","",IF(LEFT(D1818,1)="⚠","⚠ RUT no registrado en Trabajadores",IF(B1818="","⚠ Falta el mes",IF(OR(ISTEXT(I1818),ISTEXT(J1818)),"⚠ Atrasos u horas extra como texto: escriba hh:mm (ej. 1:30)",IF(AND(ISNUMBER(Q1818),COUNTIFS(M_RUTN,V1818,M_MES,B1818,M_LIQ,"&lt;&gt;")&gt;1),"⚠ Liquidación repetida en el mes",IF(AND(ISNUMBER(O1818),ISNUMBER(P1818),ISNUMBER(Q1818),ABS(O1818-P1818-Q1818)&gt;1),"⚠ Haberes − descuentos no da el líquido","OK"))))))</f>
        <v/>
      </c>
      <c r="V1818" s="62" t="str">
        <f aca="false">IF(C1818="","",IFERROR(VALUE(LEFT(UPPER(SUBSTITUTE(SUBSTITUTE(SUBSTITUTE(TRIM(C1818),".",""),"-","")," ","")),LEN(UPPER(SUBSTITUTE(SUBSTITUTE(SUBSTITUTE(TRIM(C1818),".",""),"-","")," ","")))-1))&amp;RIGHT(UPPER(SUBSTITUTE(SUBSTITUTE(SUBSTITUTE(TRIM(C1818),".",""),"-","")," ","")),1),UPPER(SUBSTITUTE(SUBSTITUTE(SUBSTITUTE(TRIM(C1818),".",""),"-","")," ",""))))</f>
        <v/>
      </c>
    </row>
    <row r="1819" customFormat="false" ht="15" hidden="false" customHeight="false" outlineLevel="0" collapsed="false">
      <c r="B1819" s="80"/>
      <c r="C1819" s="58"/>
      <c r="D1819" s="62" t="str">
        <f aca="false">IF(C1819="","",IFERROR(INDEX(T_NOMBRE,MATCH(V1819,T_RUTN,0)),"⚠ RUT no está en Trabajadores"))</f>
        <v/>
      </c>
      <c r="E1819" s="61"/>
      <c r="F1819" s="61"/>
      <c r="G1819" s="61"/>
      <c r="H1819" s="61"/>
      <c r="I1819" s="81"/>
      <c r="J1819" s="81"/>
      <c r="K1819" s="60"/>
      <c r="L1819" s="60"/>
      <c r="M1819" s="60"/>
      <c r="N1819" s="60"/>
      <c r="O1819" s="60"/>
      <c r="P1819" s="60"/>
      <c r="Q1819" s="60"/>
      <c r="R1819" s="58"/>
      <c r="S1819" s="62" t="str">
        <f aca="false">IF(OR(B1819="",V1819=""),"",IFERROR(INDEX(C_TIPO,MATCH(V1819&amp;"-P"&amp;MAX(1,COUNTIFS(C_RUTN,V1819,C_DEF,"Sí",C_INI,"&lt;="&amp;EOMONTH(B1819,0))),C_CLAVE,0))&amp;"","Sin contrato"))</f>
        <v/>
      </c>
      <c r="T1819" s="63" t="str">
        <f aca="false">IF(OR(B1819="",N(O1819)=0),"",N(O1819)+ROUND(MIN(N(N1819),TOPE_UF*UF_MES)*(TASA_EMP+MUTUAL),0)+ROUND(MIN(N(N1819),TOPE_AFC_UF*UF_MES)*IF(S1819="Indefinido",AFC_INDEF,AFC_PF),0))</f>
        <v/>
      </c>
      <c r="U1819" s="62" t="str">
        <f aca="false">IF(C1819="","",IF(LEFT(D1819,1)="⚠","⚠ RUT no registrado en Trabajadores",IF(B1819="","⚠ Falta el mes",IF(OR(ISTEXT(I1819),ISTEXT(J1819)),"⚠ Atrasos u horas extra como texto: escriba hh:mm (ej. 1:30)",IF(AND(ISNUMBER(Q1819),COUNTIFS(M_RUTN,V1819,M_MES,B1819,M_LIQ,"&lt;&gt;")&gt;1),"⚠ Liquidación repetida en el mes",IF(AND(ISNUMBER(O1819),ISNUMBER(P1819),ISNUMBER(Q1819),ABS(O1819-P1819-Q1819)&gt;1),"⚠ Haberes − descuentos no da el líquido","OK"))))))</f>
        <v/>
      </c>
      <c r="V1819" s="62" t="str">
        <f aca="false">IF(C1819="","",IFERROR(VALUE(LEFT(UPPER(SUBSTITUTE(SUBSTITUTE(SUBSTITUTE(TRIM(C1819),".",""),"-","")," ","")),LEN(UPPER(SUBSTITUTE(SUBSTITUTE(SUBSTITUTE(TRIM(C1819),".",""),"-","")," ","")))-1))&amp;RIGHT(UPPER(SUBSTITUTE(SUBSTITUTE(SUBSTITUTE(TRIM(C1819),".",""),"-","")," ","")),1),UPPER(SUBSTITUTE(SUBSTITUTE(SUBSTITUTE(TRIM(C1819),".",""),"-","")," ",""))))</f>
        <v/>
      </c>
    </row>
    <row r="1820" customFormat="false" ht="15" hidden="false" customHeight="false" outlineLevel="0" collapsed="false">
      <c r="B1820" s="80"/>
      <c r="C1820" s="58"/>
      <c r="D1820" s="62" t="str">
        <f aca="false">IF(C1820="","",IFERROR(INDEX(T_NOMBRE,MATCH(V1820,T_RUTN,0)),"⚠ RUT no está en Trabajadores"))</f>
        <v/>
      </c>
      <c r="E1820" s="61"/>
      <c r="F1820" s="61"/>
      <c r="G1820" s="61"/>
      <c r="H1820" s="61"/>
      <c r="I1820" s="81"/>
      <c r="J1820" s="81"/>
      <c r="K1820" s="60"/>
      <c r="L1820" s="60"/>
      <c r="M1820" s="60"/>
      <c r="N1820" s="60"/>
      <c r="O1820" s="60"/>
      <c r="P1820" s="60"/>
      <c r="Q1820" s="60"/>
      <c r="R1820" s="58"/>
      <c r="S1820" s="62" t="str">
        <f aca="false">IF(OR(B1820="",V1820=""),"",IFERROR(INDEX(C_TIPO,MATCH(V1820&amp;"-P"&amp;MAX(1,COUNTIFS(C_RUTN,V1820,C_DEF,"Sí",C_INI,"&lt;="&amp;EOMONTH(B1820,0))),C_CLAVE,0))&amp;"","Sin contrato"))</f>
        <v/>
      </c>
      <c r="T1820" s="63" t="str">
        <f aca="false">IF(OR(B1820="",N(O1820)=0),"",N(O1820)+ROUND(MIN(N(N1820),TOPE_UF*UF_MES)*(TASA_EMP+MUTUAL),0)+ROUND(MIN(N(N1820),TOPE_AFC_UF*UF_MES)*IF(S1820="Indefinido",AFC_INDEF,AFC_PF),0))</f>
        <v/>
      </c>
      <c r="U1820" s="62" t="str">
        <f aca="false">IF(C1820="","",IF(LEFT(D1820,1)="⚠","⚠ RUT no registrado en Trabajadores",IF(B1820="","⚠ Falta el mes",IF(OR(ISTEXT(I1820),ISTEXT(J1820)),"⚠ Atrasos u horas extra como texto: escriba hh:mm (ej. 1:30)",IF(AND(ISNUMBER(Q1820),COUNTIFS(M_RUTN,V1820,M_MES,B1820,M_LIQ,"&lt;&gt;")&gt;1),"⚠ Liquidación repetida en el mes",IF(AND(ISNUMBER(O1820),ISNUMBER(P1820),ISNUMBER(Q1820),ABS(O1820-P1820-Q1820)&gt;1),"⚠ Haberes − descuentos no da el líquido","OK"))))))</f>
        <v/>
      </c>
      <c r="V1820" s="62" t="str">
        <f aca="false">IF(C1820="","",IFERROR(VALUE(LEFT(UPPER(SUBSTITUTE(SUBSTITUTE(SUBSTITUTE(TRIM(C1820),".",""),"-","")," ","")),LEN(UPPER(SUBSTITUTE(SUBSTITUTE(SUBSTITUTE(TRIM(C1820),".",""),"-","")," ","")))-1))&amp;RIGHT(UPPER(SUBSTITUTE(SUBSTITUTE(SUBSTITUTE(TRIM(C1820),".",""),"-","")," ","")),1),UPPER(SUBSTITUTE(SUBSTITUTE(SUBSTITUTE(TRIM(C1820),".",""),"-","")," ",""))))</f>
        <v/>
      </c>
    </row>
    <row r="1821" customFormat="false" ht="15" hidden="false" customHeight="false" outlineLevel="0" collapsed="false">
      <c r="B1821" s="80"/>
      <c r="C1821" s="58"/>
      <c r="D1821" s="62" t="str">
        <f aca="false">IF(C1821="","",IFERROR(INDEX(T_NOMBRE,MATCH(V1821,T_RUTN,0)),"⚠ RUT no está en Trabajadores"))</f>
        <v/>
      </c>
      <c r="E1821" s="61"/>
      <c r="F1821" s="61"/>
      <c r="G1821" s="61"/>
      <c r="H1821" s="61"/>
      <c r="I1821" s="81"/>
      <c r="J1821" s="81"/>
      <c r="K1821" s="60"/>
      <c r="L1821" s="60"/>
      <c r="M1821" s="60"/>
      <c r="N1821" s="60"/>
      <c r="O1821" s="60"/>
      <c r="P1821" s="60"/>
      <c r="Q1821" s="60"/>
      <c r="R1821" s="58"/>
      <c r="S1821" s="62" t="str">
        <f aca="false">IF(OR(B1821="",V1821=""),"",IFERROR(INDEX(C_TIPO,MATCH(V1821&amp;"-P"&amp;MAX(1,COUNTIFS(C_RUTN,V1821,C_DEF,"Sí",C_INI,"&lt;="&amp;EOMONTH(B1821,0))),C_CLAVE,0))&amp;"","Sin contrato"))</f>
        <v/>
      </c>
      <c r="T1821" s="63" t="str">
        <f aca="false">IF(OR(B1821="",N(O1821)=0),"",N(O1821)+ROUND(MIN(N(N1821),TOPE_UF*UF_MES)*(TASA_EMP+MUTUAL),0)+ROUND(MIN(N(N1821),TOPE_AFC_UF*UF_MES)*IF(S1821="Indefinido",AFC_INDEF,AFC_PF),0))</f>
        <v/>
      </c>
      <c r="U1821" s="62" t="str">
        <f aca="false">IF(C1821="","",IF(LEFT(D1821,1)="⚠","⚠ RUT no registrado en Trabajadores",IF(B1821="","⚠ Falta el mes",IF(OR(ISTEXT(I1821),ISTEXT(J1821)),"⚠ Atrasos u horas extra como texto: escriba hh:mm (ej. 1:30)",IF(AND(ISNUMBER(Q1821),COUNTIFS(M_RUTN,V1821,M_MES,B1821,M_LIQ,"&lt;&gt;")&gt;1),"⚠ Liquidación repetida en el mes",IF(AND(ISNUMBER(O1821),ISNUMBER(P1821),ISNUMBER(Q1821),ABS(O1821-P1821-Q1821)&gt;1),"⚠ Haberes − descuentos no da el líquido","OK"))))))</f>
        <v/>
      </c>
      <c r="V1821" s="62" t="str">
        <f aca="false">IF(C1821="","",IFERROR(VALUE(LEFT(UPPER(SUBSTITUTE(SUBSTITUTE(SUBSTITUTE(TRIM(C1821),".",""),"-","")," ","")),LEN(UPPER(SUBSTITUTE(SUBSTITUTE(SUBSTITUTE(TRIM(C1821),".",""),"-","")," ","")))-1))&amp;RIGHT(UPPER(SUBSTITUTE(SUBSTITUTE(SUBSTITUTE(TRIM(C1821),".",""),"-","")," ","")),1),UPPER(SUBSTITUTE(SUBSTITUTE(SUBSTITUTE(TRIM(C1821),".",""),"-","")," ",""))))</f>
        <v/>
      </c>
    </row>
    <row r="1822" customFormat="false" ht="15" hidden="false" customHeight="false" outlineLevel="0" collapsed="false">
      <c r="B1822" s="80"/>
      <c r="C1822" s="58"/>
      <c r="D1822" s="62" t="str">
        <f aca="false">IF(C1822="","",IFERROR(INDEX(T_NOMBRE,MATCH(V1822,T_RUTN,0)),"⚠ RUT no está en Trabajadores"))</f>
        <v/>
      </c>
      <c r="E1822" s="61"/>
      <c r="F1822" s="61"/>
      <c r="G1822" s="61"/>
      <c r="H1822" s="61"/>
      <c r="I1822" s="81"/>
      <c r="J1822" s="81"/>
      <c r="K1822" s="60"/>
      <c r="L1822" s="60"/>
      <c r="M1822" s="60"/>
      <c r="N1822" s="60"/>
      <c r="O1822" s="60"/>
      <c r="P1822" s="60"/>
      <c r="Q1822" s="60"/>
      <c r="R1822" s="58"/>
      <c r="S1822" s="62" t="str">
        <f aca="false">IF(OR(B1822="",V1822=""),"",IFERROR(INDEX(C_TIPO,MATCH(V1822&amp;"-P"&amp;MAX(1,COUNTIFS(C_RUTN,V1822,C_DEF,"Sí",C_INI,"&lt;="&amp;EOMONTH(B1822,0))),C_CLAVE,0))&amp;"","Sin contrato"))</f>
        <v/>
      </c>
      <c r="T1822" s="63" t="str">
        <f aca="false">IF(OR(B1822="",N(O1822)=0),"",N(O1822)+ROUND(MIN(N(N1822),TOPE_UF*UF_MES)*(TASA_EMP+MUTUAL),0)+ROUND(MIN(N(N1822),TOPE_AFC_UF*UF_MES)*IF(S1822="Indefinido",AFC_INDEF,AFC_PF),0))</f>
        <v/>
      </c>
      <c r="U1822" s="62" t="str">
        <f aca="false">IF(C1822="","",IF(LEFT(D1822,1)="⚠","⚠ RUT no registrado en Trabajadores",IF(B1822="","⚠ Falta el mes",IF(OR(ISTEXT(I1822),ISTEXT(J1822)),"⚠ Atrasos u horas extra como texto: escriba hh:mm (ej. 1:30)",IF(AND(ISNUMBER(Q1822),COUNTIFS(M_RUTN,V1822,M_MES,B1822,M_LIQ,"&lt;&gt;")&gt;1),"⚠ Liquidación repetida en el mes",IF(AND(ISNUMBER(O1822),ISNUMBER(P1822),ISNUMBER(Q1822),ABS(O1822-P1822-Q1822)&gt;1),"⚠ Haberes − descuentos no da el líquido","OK"))))))</f>
        <v/>
      </c>
      <c r="V1822" s="62" t="str">
        <f aca="false">IF(C1822="","",IFERROR(VALUE(LEFT(UPPER(SUBSTITUTE(SUBSTITUTE(SUBSTITUTE(TRIM(C1822),".",""),"-","")," ","")),LEN(UPPER(SUBSTITUTE(SUBSTITUTE(SUBSTITUTE(TRIM(C1822),".",""),"-","")," ","")))-1))&amp;RIGHT(UPPER(SUBSTITUTE(SUBSTITUTE(SUBSTITUTE(TRIM(C1822),".",""),"-","")," ","")),1),UPPER(SUBSTITUTE(SUBSTITUTE(SUBSTITUTE(TRIM(C1822),".",""),"-","")," ",""))))</f>
        <v/>
      </c>
    </row>
    <row r="1823" customFormat="false" ht="15" hidden="false" customHeight="false" outlineLevel="0" collapsed="false">
      <c r="B1823" s="80"/>
      <c r="C1823" s="58"/>
      <c r="D1823" s="62" t="str">
        <f aca="false">IF(C1823="","",IFERROR(INDEX(T_NOMBRE,MATCH(V1823,T_RUTN,0)),"⚠ RUT no está en Trabajadores"))</f>
        <v/>
      </c>
      <c r="E1823" s="61"/>
      <c r="F1823" s="61"/>
      <c r="G1823" s="61"/>
      <c r="H1823" s="61"/>
      <c r="I1823" s="81"/>
      <c r="J1823" s="81"/>
      <c r="K1823" s="60"/>
      <c r="L1823" s="60"/>
      <c r="M1823" s="60"/>
      <c r="N1823" s="60"/>
      <c r="O1823" s="60"/>
      <c r="P1823" s="60"/>
      <c r="Q1823" s="60"/>
      <c r="R1823" s="58"/>
      <c r="S1823" s="62" t="str">
        <f aca="false">IF(OR(B1823="",V1823=""),"",IFERROR(INDEX(C_TIPO,MATCH(V1823&amp;"-P"&amp;MAX(1,COUNTIFS(C_RUTN,V1823,C_DEF,"Sí",C_INI,"&lt;="&amp;EOMONTH(B1823,0))),C_CLAVE,0))&amp;"","Sin contrato"))</f>
        <v/>
      </c>
      <c r="T1823" s="63" t="str">
        <f aca="false">IF(OR(B1823="",N(O1823)=0),"",N(O1823)+ROUND(MIN(N(N1823),TOPE_UF*UF_MES)*(TASA_EMP+MUTUAL),0)+ROUND(MIN(N(N1823),TOPE_AFC_UF*UF_MES)*IF(S1823="Indefinido",AFC_INDEF,AFC_PF),0))</f>
        <v/>
      </c>
      <c r="U1823" s="62" t="str">
        <f aca="false">IF(C1823="","",IF(LEFT(D1823,1)="⚠","⚠ RUT no registrado en Trabajadores",IF(B1823="","⚠ Falta el mes",IF(OR(ISTEXT(I1823),ISTEXT(J1823)),"⚠ Atrasos u horas extra como texto: escriba hh:mm (ej. 1:30)",IF(AND(ISNUMBER(Q1823),COUNTIFS(M_RUTN,V1823,M_MES,B1823,M_LIQ,"&lt;&gt;")&gt;1),"⚠ Liquidación repetida en el mes",IF(AND(ISNUMBER(O1823),ISNUMBER(P1823),ISNUMBER(Q1823),ABS(O1823-P1823-Q1823)&gt;1),"⚠ Haberes − descuentos no da el líquido","OK"))))))</f>
        <v/>
      </c>
      <c r="V1823" s="62" t="str">
        <f aca="false">IF(C1823="","",IFERROR(VALUE(LEFT(UPPER(SUBSTITUTE(SUBSTITUTE(SUBSTITUTE(TRIM(C1823),".",""),"-","")," ","")),LEN(UPPER(SUBSTITUTE(SUBSTITUTE(SUBSTITUTE(TRIM(C1823),".",""),"-","")," ","")))-1))&amp;RIGHT(UPPER(SUBSTITUTE(SUBSTITUTE(SUBSTITUTE(TRIM(C1823),".",""),"-","")," ","")),1),UPPER(SUBSTITUTE(SUBSTITUTE(SUBSTITUTE(TRIM(C1823),".",""),"-","")," ",""))))</f>
        <v/>
      </c>
    </row>
    <row r="1824" customFormat="false" ht="15" hidden="false" customHeight="false" outlineLevel="0" collapsed="false">
      <c r="B1824" s="80"/>
      <c r="C1824" s="58"/>
      <c r="D1824" s="62" t="str">
        <f aca="false">IF(C1824="","",IFERROR(INDEX(T_NOMBRE,MATCH(V1824,T_RUTN,0)),"⚠ RUT no está en Trabajadores"))</f>
        <v/>
      </c>
      <c r="E1824" s="61"/>
      <c r="F1824" s="61"/>
      <c r="G1824" s="61"/>
      <c r="H1824" s="61"/>
      <c r="I1824" s="81"/>
      <c r="J1824" s="81"/>
      <c r="K1824" s="60"/>
      <c r="L1824" s="60"/>
      <c r="M1824" s="60"/>
      <c r="N1824" s="60"/>
      <c r="O1824" s="60"/>
      <c r="P1824" s="60"/>
      <c r="Q1824" s="60"/>
      <c r="R1824" s="58"/>
      <c r="S1824" s="62" t="str">
        <f aca="false">IF(OR(B1824="",V1824=""),"",IFERROR(INDEX(C_TIPO,MATCH(V1824&amp;"-P"&amp;MAX(1,COUNTIFS(C_RUTN,V1824,C_DEF,"Sí",C_INI,"&lt;="&amp;EOMONTH(B1824,0))),C_CLAVE,0))&amp;"","Sin contrato"))</f>
        <v/>
      </c>
      <c r="T1824" s="63" t="str">
        <f aca="false">IF(OR(B1824="",N(O1824)=0),"",N(O1824)+ROUND(MIN(N(N1824),TOPE_UF*UF_MES)*(TASA_EMP+MUTUAL),0)+ROUND(MIN(N(N1824),TOPE_AFC_UF*UF_MES)*IF(S1824="Indefinido",AFC_INDEF,AFC_PF),0))</f>
        <v/>
      </c>
      <c r="U1824" s="62" t="str">
        <f aca="false">IF(C1824="","",IF(LEFT(D1824,1)="⚠","⚠ RUT no registrado en Trabajadores",IF(B1824="","⚠ Falta el mes",IF(OR(ISTEXT(I1824),ISTEXT(J1824)),"⚠ Atrasos u horas extra como texto: escriba hh:mm (ej. 1:30)",IF(AND(ISNUMBER(Q1824),COUNTIFS(M_RUTN,V1824,M_MES,B1824,M_LIQ,"&lt;&gt;")&gt;1),"⚠ Liquidación repetida en el mes",IF(AND(ISNUMBER(O1824),ISNUMBER(P1824),ISNUMBER(Q1824),ABS(O1824-P1824-Q1824)&gt;1),"⚠ Haberes − descuentos no da el líquido","OK"))))))</f>
        <v/>
      </c>
      <c r="V1824" s="62" t="str">
        <f aca="false">IF(C1824="","",IFERROR(VALUE(LEFT(UPPER(SUBSTITUTE(SUBSTITUTE(SUBSTITUTE(TRIM(C1824),".",""),"-","")," ","")),LEN(UPPER(SUBSTITUTE(SUBSTITUTE(SUBSTITUTE(TRIM(C1824),".",""),"-","")," ","")))-1))&amp;RIGHT(UPPER(SUBSTITUTE(SUBSTITUTE(SUBSTITUTE(TRIM(C1824),".",""),"-","")," ","")),1),UPPER(SUBSTITUTE(SUBSTITUTE(SUBSTITUTE(TRIM(C1824),".",""),"-","")," ",""))))</f>
        <v/>
      </c>
    </row>
    <row r="1825" customFormat="false" ht="15" hidden="false" customHeight="false" outlineLevel="0" collapsed="false">
      <c r="B1825" s="80"/>
      <c r="C1825" s="58"/>
      <c r="D1825" s="62" t="str">
        <f aca="false">IF(C1825="","",IFERROR(INDEX(T_NOMBRE,MATCH(V1825,T_RUTN,0)),"⚠ RUT no está en Trabajadores"))</f>
        <v/>
      </c>
      <c r="E1825" s="61"/>
      <c r="F1825" s="61"/>
      <c r="G1825" s="61"/>
      <c r="H1825" s="61"/>
      <c r="I1825" s="81"/>
      <c r="J1825" s="81"/>
      <c r="K1825" s="60"/>
      <c r="L1825" s="60"/>
      <c r="M1825" s="60"/>
      <c r="N1825" s="60"/>
      <c r="O1825" s="60"/>
      <c r="P1825" s="60"/>
      <c r="Q1825" s="60"/>
      <c r="R1825" s="58"/>
      <c r="S1825" s="62" t="str">
        <f aca="false">IF(OR(B1825="",V1825=""),"",IFERROR(INDEX(C_TIPO,MATCH(V1825&amp;"-P"&amp;MAX(1,COUNTIFS(C_RUTN,V1825,C_DEF,"Sí",C_INI,"&lt;="&amp;EOMONTH(B1825,0))),C_CLAVE,0))&amp;"","Sin contrato"))</f>
        <v/>
      </c>
      <c r="T1825" s="63" t="str">
        <f aca="false">IF(OR(B1825="",N(O1825)=0),"",N(O1825)+ROUND(MIN(N(N1825),TOPE_UF*UF_MES)*(TASA_EMP+MUTUAL),0)+ROUND(MIN(N(N1825),TOPE_AFC_UF*UF_MES)*IF(S1825="Indefinido",AFC_INDEF,AFC_PF),0))</f>
        <v/>
      </c>
      <c r="U1825" s="62" t="str">
        <f aca="false">IF(C1825="","",IF(LEFT(D1825,1)="⚠","⚠ RUT no registrado en Trabajadores",IF(B1825="","⚠ Falta el mes",IF(OR(ISTEXT(I1825),ISTEXT(J1825)),"⚠ Atrasos u horas extra como texto: escriba hh:mm (ej. 1:30)",IF(AND(ISNUMBER(Q1825),COUNTIFS(M_RUTN,V1825,M_MES,B1825,M_LIQ,"&lt;&gt;")&gt;1),"⚠ Liquidación repetida en el mes",IF(AND(ISNUMBER(O1825),ISNUMBER(P1825),ISNUMBER(Q1825),ABS(O1825-P1825-Q1825)&gt;1),"⚠ Haberes − descuentos no da el líquido","OK"))))))</f>
        <v/>
      </c>
      <c r="V1825" s="62" t="str">
        <f aca="false">IF(C1825="","",IFERROR(VALUE(LEFT(UPPER(SUBSTITUTE(SUBSTITUTE(SUBSTITUTE(TRIM(C1825),".",""),"-","")," ","")),LEN(UPPER(SUBSTITUTE(SUBSTITUTE(SUBSTITUTE(TRIM(C1825),".",""),"-","")," ","")))-1))&amp;RIGHT(UPPER(SUBSTITUTE(SUBSTITUTE(SUBSTITUTE(TRIM(C1825),".",""),"-","")," ","")),1),UPPER(SUBSTITUTE(SUBSTITUTE(SUBSTITUTE(TRIM(C1825),".",""),"-","")," ",""))))</f>
        <v/>
      </c>
    </row>
    <row r="1826" customFormat="false" ht="15" hidden="false" customHeight="false" outlineLevel="0" collapsed="false">
      <c r="B1826" s="80"/>
      <c r="C1826" s="58"/>
      <c r="D1826" s="62" t="str">
        <f aca="false">IF(C1826="","",IFERROR(INDEX(T_NOMBRE,MATCH(V1826,T_RUTN,0)),"⚠ RUT no está en Trabajadores"))</f>
        <v/>
      </c>
      <c r="E1826" s="61"/>
      <c r="F1826" s="61"/>
      <c r="G1826" s="61"/>
      <c r="H1826" s="61"/>
      <c r="I1826" s="81"/>
      <c r="J1826" s="81"/>
      <c r="K1826" s="60"/>
      <c r="L1826" s="60"/>
      <c r="M1826" s="60"/>
      <c r="N1826" s="60"/>
      <c r="O1826" s="60"/>
      <c r="P1826" s="60"/>
      <c r="Q1826" s="60"/>
      <c r="R1826" s="58"/>
      <c r="S1826" s="62" t="str">
        <f aca="false">IF(OR(B1826="",V1826=""),"",IFERROR(INDEX(C_TIPO,MATCH(V1826&amp;"-P"&amp;MAX(1,COUNTIFS(C_RUTN,V1826,C_DEF,"Sí",C_INI,"&lt;="&amp;EOMONTH(B1826,0))),C_CLAVE,0))&amp;"","Sin contrato"))</f>
        <v/>
      </c>
      <c r="T1826" s="63" t="str">
        <f aca="false">IF(OR(B1826="",N(O1826)=0),"",N(O1826)+ROUND(MIN(N(N1826),TOPE_UF*UF_MES)*(TASA_EMP+MUTUAL),0)+ROUND(MIN(N(N1826),TOPE_AFC_UF*UF_MES)*IF(S1826="Indefinido",AFC_INDEF,AFC_PF),0))</f>
        <v/>
      </c>
      <c r="U1826" s="62" t="str">
        <f aca="false">IF(C1826="","",IF(LEFT(D1826,1)="⚠","⚠ RUT no registrado en Trabajadores",IF(B1826="","⚠ Falta el mes",IF(OR(ISTEXT(I1826),ISTEXT(J1826)),"⚠ Atrasos u horas extra como texto: escriba hh:mm (ej. 1:30)",IF(AND(ISNUMBER(Q1826),COUNTIFS(M_RUTN,V1826,M_MES,B1826,M_LIQ,"&lt;&gt;")&gt;1),"⚠ Liquidación repetida en el mes",IF(AND(ISNUMBER(O1826),ISNUMBER(P1826),ISNUMBER(Q1826),ABS(O1826-P1826-Q1826)&gt;1),"⚠ Haberes − descuentos no da el líquido","OK"))))))</f>
        <v/>
      </c>
      <c r="V1826" s="62" t="str">
        <f aca="false">IF(C1826="","",IFERROR(VALUE(LEFT(UPPER(SUBSTITUTE(SUBSTITUTE(SUBSTITUTE(TRIM(C1826),".",""),"-","")," ","")),LEN(UPPER(SUBSTITUTE(SUBSTITUTE(SUBSTITUTE(TRIM(C1826),".",""),"-","")," ","")))-1))&amp;RIGHT(UPPER(SUBSTITUTE(SUBSTITUTE(SUBSTITUTE(TRIM(C1826),".",""),"-","")," ","")),1),UPPER(SUBSTITUTE(SUBSTITUTE(SUBSTITUTE(TRIM(C1826),".",""),"-","")," ",""))))</f>
        <v/>
      </c>
    </row>
    <row r="1827" customFormat="false" ht="15" hidden="false" customHeight="false" outlineLevel="0" collapsed="false">
      <c r="B1827" s="80"/>
      <c r="C1827" s="58"/>
      <c r="D1827" s="62" t="str">
        <f aca="false">IF(C1827="","",IFERROR(INDEX(T_NOMBRE,MATCH(V1827,T_RUTN,0)),"⚠ RUT no está en Trabajadores"))</f>
        <v/>
      </c>
      <c r="E1827" s="61"/>
      <c r="F1827" s="61"/>
      <c r="G1827" s="61"/>
      <c r="H1827" s="61"/>
      <c r="I1827" s="81"/>
      <c r="J1827" s="81"/>
      <c r="K1827" s="60"/>
      <c r="L1827" s="60"/>
      <c r="M1827" s="60"/>
      <c r="N1827" s="60"/>
      <c r="O1827" s="60"/>
      <c r="P1827" s="60"/>
      <c r="Q1827" s="60"/>
      <c r="R1827" s="58"/>
      <c r="S1827" s="62" t="str">
        <f aca="false">IF(OR(B1827="",V1827=""),"",IFERROR(INDEX(C_TIPO,MATCH(V1827&amp;"-P"&amp;MAX(1,COUNTIFS(C_RUTN,V1827,C_DEF,"Sí",C_INI,"&lt;="&amp;EOMONTH(B1827,0))),C_CLAVE,0))&amp;"","Sin contrato"))</f>
        <v/>
      </c>
      <c r="T1827" s="63" t="str">
        <f aca="false">IF(OR(B1827="",N(O1827)=0),"",N(O1827)+ROUND(MIN(N(N1827),TOPE_UF*UF_MES)*(TASA_EMP+MUTUAL),0)+ROUND(MIN(N(N1827),TOPE_AFC_UF*UF_MES)*IF(S1827="Indefinido",AFC_INDEF,AFC_PF),0))</f>
        <v/>
      </c>
      <c r="U1827" s="62" t="str">
        <f aca="false">IF(C1827="","",IF(LEFT(D1827,1)="⚠","⚠ RUT no registrado en Trabajadores",IF(B1827="","⚠ Falta el mes",IF(OR(ISTEXT(I1827),ISTEXT(J1827)),"⚠ Atrasos u horas extra como texto: escriba hh:mm (ej. 1:30)",IF(AND(ISNUMBER(Q1827),COUNTIFS(M_RUTN,V1827,M_MES,B1827,M_LIQ,"&lt;&gt;")&gt;1),"⚠ Liquidación repetida en el mes",IF(AND(ISNUMBER(O1827),ISNUMBER(P1827),ISNUMBER(Q1827),ABS(O1827-P1827-Q1827)&gt;1),"⚠ Haberes − descuentos no da el líquido","OK"))))))</f>
        <v/>
      </c>
      <c r="V1827" s="62" t="str">
        <f aca="false">IF(C1827="","",IFERROR(VALUE(LEFT(UPPER(SUBSTITUTE(SUBSTITUTE(SUBSTITUTE(TRIM(C1827),".",""),"-","")," ","")),LEN(UPPER(SUBSTITUTE(SUBSTITUTE(SUBSTITUTE(TRIM(C1827),".",""),"-","")," ","")))-1))&amp;RIGHT(UPPER(SUBSTITUTE(SUBSTITUTE(SUBSTITUTE(TRIM(C1827),".",""),"-","")," ","")),1),UPPER(SUBSTITUTE(SUBSTITUTE(SUBSTITUTE(TRIM(C1827),".",""),"-","")," ",""))))</f>
        <v/>
      </c>
    </row>
    <row r="1828" customFormat="false" ht="15" hidden="false" customHeight="false" outlineLevel="0" collapsed="false">
      <c r="B1828" s="80"/>
      <c r="C1828" s="58"/>
      <c r="D1828" s="62" t="str">
        <f aca="false">IF(C1828="","",IFERROR(INDEX(T_NOMBRE,MATCH(V1828,T_RUTN,0)),"⚠ RUT no está en Trabajadores"))</f>
        <v/>
      </c>
      <c r="E1828" s="61"/>
      <c r="F1828" s="61"/>
      <c r="G1828" s="61"/>
      <c r="H1828" s="61"/>
      <c r="I1828" s="81"/>
      <c r="J1828" s="81"/>
      <c r="K1828" s="60"/>
      <c r="L1828" s="60"/>
      <c r="M1828" s="60"/>
      <c r="N1828" s="60"/>
      <c r="O1828" s="60"/>
      <c r="P1828" s="60"/>
      <c r="Q1828" s="60"/>
      <c r="R1828" s="58"/>
      <c r="S1828" s="62" t="str">
        <f aca="false">IF(OR(B1828="",V1828=""),"",IFERROR(INDEX(C_TIPO,MATCH(V1828&amp;"-P"&amp;MAX(1,COUNTIFS(C_RUTN,V1828,C_DEF,"Sí",C_INI,"&lt;="&amp;EOMONTH(B1828,0))),C_CLAVE,0))&amp;"","Sin contrato"))</f>
        <v/>
      </c>
      <c r="T1828" s="63" t="str">
        <f aca="false">IF(OR(B1828="",N(O1828)=0),"",N(O1828)+ROUND(MIN(N(N1828),TOPE_UF*UF_MES)*(TASA_EMP+MUTUAL),0)+ROUND(MIN(N(N1828),TOPE_AFC_UF*UF_MES)*IF(S1828="Indefinido",AFC_INDEF,AFC_PF),0))</f>
        <v/>
      </c>
      <c r="U1828" s="62" t="str">
        <f aca="false">IF(C1828="","",IF(LEFT(D1828,1)="⚠","⚠ RUT no registrado en Trabajadores",IF(B1828="","⚠ Falta el mes",IF(OR(ISTEXT(I1828),ISTEXT(J1828)),"⚠ Atrasos u horas extra como texto: escriba hh:mm (ej. 1:30)",IF(AND(ISNUMBER(Q1828),COUNTIFS(M_RUTN,V1828,M_MES,B1828,M_LIQ,"&lt;&gt;")&gt;1),"⚠ Liquidación repetida en el mes",IF(AND(ISNUMBER(O1828),ISNUMBER(P1828),ISNUMBER(Q1828),ABS(O1828-P1828-Q1828)&gt;1),"⚠ Haberes − descuentos no da el líquido","OK"))))))</f>
        <v/>
      </c>
      <c r="V1828" s="62" t="str">
        <f aca="false">IF(C1828="","",IFERROR(VALUE(LEFT(UPPER(SUBSTITUTE(SUBSTITUTE(SUBSTITUTE(TRIM(C1828),".",""),"-","")," ","")),LEN(UPPER(SUBSTITUTE(SUBSTITUTE(SUBSTITUTE(TRIM(C1828),".",""),"-","")," ","")))-1))&amp;RIGHT(UPPER(SUBSTITUTE(SUBSTITUTE(SUBSTITUTE(TRIM(C1828),".",""),"-","")," ","")),1),UPPER(SUBSTITUTE(SUBSTITUTE(SUBSTITUTE(TRIM(C1828),".",""),"-","")," ",""))))</f>
        <v/>
      </c>
    </row>
    <row r="1829" customFormat="false" ht="15" hidden="false" customHeight="false" outlineLevel="0" collapsed="false">
      <c r="B1829" s="80"/>
      <c r="C1829" s="58"/>
      <c r="D1829" s="62" t="str">
        <f aca="false">IF(C1829="","",IFERROR(INDEX(T_NOMBRE,MATCH(V1829,T_RUTN,0)),"⚠ RUT no está en Trabajadores"))</f>
        <v/>
      </c>
      <c r="E1829" s="61"/>
      <c r="F1829" s="61"/>
      <c r="G1829" s="61"/>
      <c r="H1829" s="61"/>
      <c r="I1829" s="81"/>
      <c r="J1829" s="81"/>
      <c r="K1829" s="60"/>
      <c r="L1829" s="60"/>
      <c r="M1829" s="60"/>
      <c r="N1829" s="60"/>
      <c r="O1829" s="60"/>
      <c r="P1829" s="60"/>
      <c r="Q1829" s="60"/>
      <c r="R1829" s="58"/>
      <c r="S1829" s="62" t="str">
        <f aca="false">IF(OR(B1829="",V1829=""),"",IFERROR(INDEX(C_TIPO,MATCH(V1829&amp;"-P"&amp;MAX(1,COUNTIFS(C_RUTN,V1829,C_DEF,"Sí",C_INI,"&lt;="&amp;EOMONTH(B1829,0))),C_CLAVE,0))&amp;"","Sin contrato"))</f>
        <v/>
      </c>
      <c r="T1829" s="63" t="str">
        <f aca="false">IF(OR(B1829="",N(O1829)=0),"",N(O1829)+ROUND(MIN(N(N1829),TOPE_UF*UF_MES)*(TASA_EMP+MUTUAL),0)+ROUND(MIN(N(N1829),TOPE_AFC_UF*UF_MES)*IF(S1829="Indefinido",AFC_INDEF,AFC_PF),0))</f>
        <v/>
      </c>
      <c r="U1829" s="62" t="str">
        <f aca="false">IF(C1829="","",IF(LEFT(D1829,1)="⚠","⚠ RUT no registrado en Trabajadores",IF(B1829="","⚠ Falta el mes",IF(OR(ISTEXT(I1829),ISTEXT(J1829)),"⚠ Atrasos u horas extra como texto: escriba hh:mm (ej. 1:30)",IF(AND(ISNUMBER(Q1829),COUNTIFS(M_RUTN,V1829,M_MES,B1829,M_LIQ,"&lt;&gt;")&gt;1),"⚠ Liquidación repetida en el mes",IF(AND(ISNUMBER(O1829),ISNUMBER(P1829),ISNUMBER(Q1829),ABS(O1829-P1829-Q1829)&gt;1),"⚠ Haberes − descuentos no da el líquido","OK"))))))</f>
        <v/>
      </c>
      <c r="V1829" s="62" t="str">
        <f aca="false">IF(C1829="","",IFERROR(VALUE(LEFT(UPPER(SUBSTITUTE(SUBSTITUTE(SUBSTITUTE(TRIM(C1829),".",""),"-","")," ","")),LEN(UPPER(SUBSTITUTE(SUBSTITUTE(SUBSTITUTE(TRIM(C1829),".",""),"-","")," ","")))-1))&amp;RIGHT(UPPER(SUBSTITUTE(SUBSTITUTE(SUBSTITUTE(TRIM(C1829),".",""),"-","")," ","")),1),UPPER(SUBSTITUTE(SUBSTITUTE(SUBSTITUTE(TRIM(C1829),".",""),"-","")," ",""))))</f>
        <v/>
      </c>
    </row>
    <row r="1830" customFormat="false" ht="15" hidden="false" customHeight="false" outlineLevel="0" collapsed="false">
      <c r="B1830" s="80"/>
      <c r="C1830" s="58"/>
      <c r="D1830" s="62" t="str">
        <f aca="false">IF(C1830="","",IFERROR(INDEX(T_NOMBRE,MATCH(V1830,T_RUTN,0)),"⚠ RUT no está en Trabajadores"))</f>
        <v/>
      </c>
      <c r="E1830" s="61"/>
      <c r="F1830" s="61"/>
      <c r="G1830" s="61"/>
      <c r="H1830" s="61"/>
      <c r="I1830" s="81"/>
      <c r="J1830" s="81"/>
      <c r="K1830" s="60"/>
      <c r="L1830" s="60"/>
      <c r="M1830" s="60"/>
      <c r="N1830" s="60"/>
      <c r="O1830" s="60"/>
      <c r="P1830" s="60"/>
      <c r="Q1830" s="60"/>
      <c r="R1830" s="58"/>
      <c r="S1830" s="62" t="str">
        <f aca="false">IF(OR(B1830="",V1830=""),"",IFERROR(INDEX(C_TIPO,MATCH(V1830&amp;"-P"&amp;MAX(1,COUNTIFS(C_RUTN,V1830,C_DEF,"Sí",C_INI,"&lt;="&amp;EOMONTH(B1830,0))),C_CLAVE,0))&amp;"","Sin contrato"))</f>
        <v/>
      </c>
      <c r="T1830" s="63" t="str">
        <f aca="false">IF(OR(B1830="",N(O1830)=0),"",N(O1830)+ROUND(MIN(N(N1830),TOPE_UF*UF_MES)*(TASA_EMP+MUTUAL),0)+ROUND(MIN(N(N1830),TOPE_AFC_UF*UF_MES)*IF(S1830="Indefinido",AFC_INDEF,AFC_PF),0))</f>
        <v/>
      </c>
      <c r="U1830" s="62" t="str">
        <f aca="false">IF(C1830="","",IF(LEFT(D1830,1)="⚠","⚠ RUT no registrado en Trabajadores",IF(B1830="","⚠ Falta el mes",IF(OR(ISTEXT(I1830),ISTEXT(J1830)),"⚠ Atrasos u horas extra como texto: escriba hh:mm (ej. 1:30)",IF(AND(ISNUMBER(Q1830),COUNTIFS(M_RUTN,V1830,M_MES,B1830,M_LIQ,"&lt;&gt;")&gt;1),"⚠ Liquidación repetida en el mes",IF(AND(ISNUMBER(O1830),ISNUMBER(P1830),ISNUMBER(Q1830),ABS(O1830-P1830-Q1830)&gt;1),"⚠ Haberes − descuentos no da el líquido","OK"))))))</f>
        <v/>
      </c>
      <c r="V1830" s="62" t="str">
        <f aca="false">IF(C1830="","",IFERROR(VALUE(LEFT(UPPER(SUBSTITUTE(SUBSTITUTE(SUBSTITUTE(TRIM(C1830),".",""),"-","")," ","")),LEN(UPPER(SUBSTITUTE(SUBSTITUTE(SUBSTITUTE(TRIM(C1830),".",""),"-","")," ","")))-1))&amp;RIGHT(UPPER(SUBSTITUTE(SUBSTITUTE(SUBSTITUTE(TRIM(C1830),".",""),"-","")," ","")),1),UPPER(SUBSTITUTE(SUBSTITUTE(SUBSTITUTE(TRIM(C1830),".",""),"-","")," ",""))))</f>
        <v/>
      </c>
    </row>
    <row r="1831" customFormat="false" ht="15" hidden="false" customHeight="false" outlineLevel="0" collapsed="false">
      <c r="B1831" s="80"/>
      <c r="C1831" s="58"/>
      <c r="D1831" s="62" t="str">
        <f aca="false">IF(C1831="","",IFERROR(INDEX(T_NOMBRE,MATCH(V1831,T_RUTN,0)),"⚠ RUT no está en Trabajadores"))</f>
        <v/>
      </c>
      <c r="E1831" s="61"/>
      <c r="F1831" s="61"/>
      <c r="G1831" s="61"/>
      <c r="H1831" s="61"/>
      <c r="I1831" s="81"/>
      <c r="J1831" s="81"/>
      <c r="K1831" s="60"/>
      <c r="L1831" s="60"/>
      <c r="M1831" s="60"/>
      <c r="N1831" s="60"/>
      <c r="O1831" s="60"/>
      <c r="P1831" s="60"/>
      <c r="Q1831" s="60"/>
      <c r="R1831" s="58"/>
      <c r="S1831" s="62" t="str">
        <f aca="false">IF(OR(B1831="",V1831=""),"",IFERROR(INDEX(C_TIPO,MATCH(V1831&amp;"-P"&amp;MAX(1,COUNTIFS(C_RUTN,V1831,C_DEF,"Sí",C_INI,"&lt;="&amp;EOMONTH(B1831,0))),C_CLAVE,0))&amp;"","Sin contrato"))</f>
        <v/>
      </c>
      <c r="T1831" s="63" t="str">
        <f aca="false">IF(OR(B1831="",N(O1831)=0),"",N(O1831)+ROUND(MIN(N(N1831),TOPE_UF*UF_MES)*(TASA_EMP+MUTUAL),0)+ROUND(MIN(N(N1831),TOPE_AFC_UF*UF_MES)*IF(S1831="Indefinido",AFC_INDEF,AFC_PF),0))</f>
        <v/>
      </c>
      <c r="U1831" s="62" t="str">
        <f aca="false">IF(C1831="","",IF(LEFT(D1831,1)="⚠","⚠ RUT no registrado en Trabajadores",IF(B1831="","⚠ Falta el mes",IF(OR(ISTEXT(I1831),ISTEXT(J1831)),"⚠ Atrasos u horas extra como texto: escriba hh:mm (ej. 1:30)",IF(AND(ISNUMBER(Q1831),COUNTIFS(M_RUTN,V1831,M_MES,B1831,M_LIQ,"&lt;&gt;")&gt;1),"⚠ Liquidación repetida en el mes",IF(AND(ISNUMBER(O1831),ISNUMBER(P1831),ISNUMBER(Q1831),ABS(O1831-P1831-Q1831)&gt;1),"⚠ Haberes − descuentos no da el líquido","OK"))))))</f>
        <v/>
      </c>
      <c r="V1831" s="62" t="str">
        <f aca="false">IF(C1831="","",IFERROR(VALUE(LEFT(UPPER(SUBSTITUTE(SUBSTITUTE(SUBSTITUTE(TRIM(C1831),".",""),"-","")," ","")),LEN(UPPER(SUBSTITUTE(SUBSTITUTE(SUBSTITUTE(TRIM(C1831),".",""),"-","")," ","")))-1))&amp;RIGHT(UPPER(SUBSTITUTE(SUBSTITUTE(SUBSTITUTE(TRIM(C1831),".",""),"-","")," ","")),1),UPPER(SUBSTITUTE(SUBSTITUTE(SUBSTITUTE(TRIM(C1831),".",""),"-","")," ",""))))</f>
        <v/>
      </c>
    </row>
    <row r="1832" customFormat="false" ht="15" hidden="false" customHeight="false" outlineLevel="0" collapsed="false">
      <c r="B1832" s="80"/>
      <c r="C1832" s="58"/>
      <c r="D1832" s="62" t="str">
        <f aca="false">IF(C1832="","",IFERROR(INDEX(T_NOMBRE,MATCH(V1832,T_RUTN,0)),"⚠ RUT no está en Trabajadores"))</f>
        <v/>
      </c>
      <c r="E1832" s="61"/>
      <c r="F1832" s="61"/>
      <c r="G1832" s="61"/>
      <c r="H1832" s="61"/>
      <c r="I1832" s="81"/>
      <c r="J1832" s="81"/>
      <c r="K1832" s="60"/>
      <c r="L1832" s="60"/>
      <c r="M1832" s="60"/>
      <c r="N1832" s="60"/>
      <c r="O1832" s="60"/>
      <c r="P1832" s="60"/>
      <c r="Q1832" s="60"/>
      <c r="R1832" s="58"/>
      <c r="S1832" s="62" t="str">
        <f aca="false">IF(OR(B1832="",V1832=""),"",IFERROR(INDEX(C_TIPO,MATCH(V1832&amp;"-P"&amp;MAX(1,COUNTIFS(C_RUTN,V1832,C_DEF,"Sí",C_INI,"&lt;="&amp;EOMONTH(B1832,0))),C_CLAVE,0))&amp;"","Sin contrato"))</f>
        <v/>
      </c>
      <c r="T1832" s="63" t="str">
        <f aca="false">IF(OR(B1832="",N(O1832)=0),"",N(O1832)+ROUND(MIN(N(N1832),TOPE_UF*UF_MES)*(TASA_EMP+MUTUAL),0)+ROUND(MIN(N(N1832),TOPE_AFC_UF*UF_MES)*IF(S1832="Indefinido",AFC_INDEF,AFC_PF),0))</f>
        <v/>
      </c>
      <c r="U1832" s="62" t="str">
        <f aca="false">IF(C1832="","",IF(LEFT(D1832,1)="⚠","⚠ RUT no registrado en Trabajadores",IF(B1832="","⚠ Falta el mes",IF(OR(ISTEXT(I1832),ISTEXT(J1832)),"⚠ Atrasos u horas extra como texto: escriba hh:mm (ej. 1:30)",IF(AND(ISNUMBER(Q1832),COUNTIFS(M_RUTN,V1832,M_MES,B1832,M_LIQ,"&lt;&gt;")&gt;1),"⚠ Liquidación repetida en el mes",IF(AND(ISNUMBER(O1832),ISNUMBER(P1832),ISNUMBER(Q1832),ABS(O1832-P1832-Q1832)&gt;1),"⚠ Haberes − descuentos no da el líquido","OK"))))))</f>
        <v/>
      </c>
      <c r="V1832" s="62" t="str">
        <f aca="false">IF(C1832="","",IFERROR(VALUE(LEFT(UPPER(SUBSTITUTE(SUBSTITUTE(SUBSTITUTE(TRIM(C1832),".",""),"-","")," ","")),LEN(UPPER(SUBSTITUTE(SUBSTITUTE(SUBSTITUTE(TRIM(C1832),".",""),"-","")," ","")))-1))&amp;RIGHT(UPPER(SUBSTITUTE(SUBSTITUTE(SUBSTITUTE(TRIM(C1832),".",""),"-","")," ","")),1),UPPER(SUBSTITUTE(SUBSTITUTE(SUBSTITUTE(TRIM(C1832),".",""),"-","")," ",""))))</f>
        <v/>
      </c>
    </row>
    <row r="1833" customFormat="false" ht="15" hidden="false" customHeight="false" outlineLevel="0" collapsed="false">
      <c r="B1833" s="80"/>
      <c r="C1833" s="58"/>
      <c r="D1833" s="62" t="str">
        <f aca="false">IF(C1833="","",IFERROR(INDEX(T_NOMBRE,MATCH(V1833,T_RUTN,0)),"⚠ RUT no está en Trabajadores"))</f>
        <v/>
      </c>
      <c r="E1833" s="61"/>
      <c r="F1833" s="61"/>
      <c r="G1833" s="61"/>
      <c r="H1833" s="61"/>
      <c r="I1833" s="81"/>
      <c r="J1833" s="81"/>
      <c r="K1833" s="60"/>
      <c r="L1833" s="60"/>
      <c r="M1833" s="60"/>
      <c r="N1833" s="60"/>
      <c r="O1833" s="60"/>
      <c r="P1833" s="60"/>
      <c r="Q1833" s="60"/>
      <c r="R1833" s="58"/>
      <c r="S1833" s="62" t="str">
        <f aca="false">IF(OR(B1833="",V1833=""),"",IFERROR(INDEX(C_TIPO,MATCH(V1833&amp;"-P"&amp;MAX(1,COUNTIFS(C_RUTN,V1833,C_DEF,"Sí",C_INI,"&lt;="&amp;EOMONTH(B1833,0))),C_CLAVE,0))&amp;"","Sin contrato"))</f>
        <v/>
      </c>
      <c r="T1833" s="63" t="str">
        <f aca="false">IF(OR(B1833="",N(O1833)=0),"",N(O1833)+ROUND(MIN(N(N1833),TOPE_UF*UF_MES)*(TASA_EMP+MUTUAL),0)+ROUND(MIN(N(N1833),TOPE_AFC_UF*UF_MES)*IF(S1833="Indefinido",AFC_INDEF,AFC_PF),0))</f>
        <v/>
      </c>
      <c r="U1833" s="62" t="str">
        <f aca="false">IF(C1833="","",IF(LEFT(D1833,1)="⚠","⚠ RUT no registrado en Trabajadores",IF(B1833="","⚠ Falta el mes",IF(OR(ISTEXT(I1833),ISTEXT(J1833)),"⚠ Atrasos u horas extra como texto: escriba hh:mm (ej. 1:30)",IF(AND(ISNUMBER(Q1833),COUNTIFS(M_RUTN,V1833,M_MES,B1833,M_LIQ,"&lt;&gt;")&gt;1),"⚠ Liquidación repetida en el mes",IF(AND(ISNUMBER(O1833),ISNUMBER(P1833),ISNUMBER(Q1833),ABS(O1833-P1833-Q1833)&gt;1),"⚠ Haberes − descuentos no da el líquido","OK"))))))</f>
        <v/>
      </c>
      <c r="V1833" s="62" t="str">
        <f aca="false">IF(C1833="","",IFERROR(VALUE(LEFT(UPPER(SUBSTITUTE(SUBSTITUTE(SUBSTITUTE(TRIM(C1833),".",""),"-","")," ","")),LEN(UPPER(SUBSTITUTE(SUBSTITUTE(SUBSTITUTE(TRIM(C1833),".",""),"-","")," ","")))-1))&amp;RIGHT(UPPER(SUBSTITUTE(SUBSTITUTE(SUBSTITUTE(TRIM(C1833),".",""),"-","")," ","")),1),UPPER(SUBSTITUTE(SUBSTITUTE(SUBSTITUTE(TRIM(C1833),".",""),"-","")," ",""))))</f>
        <v/>
      </c>
    </row>
    <row r="1834" customFormat="false" ht="15" hidden="false" customHeight="false" outlineLevel="0" collapsed="false">
      <c r="B1834" s="80"/>
      <c r="C1834" s="58"/>
      <c r="D1834" s="62" t="str">
        <f aca="false">IF(C1834="","",IFERROR(INDEX(T_NOMBRE,MATCH(V1834,T_RUTN,0)),"⚠ RUT no está en Trabajadores"))</f>
        <v/>
      </c>
      <c r="E1834" s="61"/>
      <c r="F1834" s="61"/>
      <c r="G1834" s="61"/>
      <c r="H1834" s="61"/>
      <c r="I1834" s="81"/>
      <c r="J1834" s="81"/>
      <c r="K1834" s="60"/>
      <c r="L1834" s="60"/>
      <c r="M1834" s="60"/>
      <c r="N1834" s="60"/>
      <c r="O1834" s="60"/>
      <c r="P1834" s="60"/>
      <c r="Q1834" s="60"/>
      <c r="R1834" s="58"/>
      <c r="S1834" s="62" t="str">
        <f aca="false">IF(OR(B1834="",V1834=""),"",IFERROR(INDEX(C_TIPO,MATCH(V1834&amp;"-P"&amp;MAX(1,COUNTIFS(C_RUTN,V1834,C_DEF,"Sí",C_INI,"&lt;="&amp;EOMONTH(B1834,0))),C_CLAVE,0))&amp;"","Sin contrato"))</f>
        <v/>
      </c>
      <c r="T1834" s="63" t="str">
        <f aca="false">IF(OR(B1834="",N(O1834)=0),"",N(O1834)+ROUND(MIN(N(N1834),TOPE_UF*UF_MES)*(TASA_EMP+MUTUAL),0)+ROUND(MIN(N(N1834),TOPE_AFC_UF*UF_MES)*IF(S1834="Indefinido",AFC_INDEF,AFC_PF),0))</f>
        <v/>
      </c>
      <c r="U1834" s="62" t="str">
        <f aca="false">IF(C1834="","",IF(LEFT(D1834,1)="⚠","⚠ RUT no registrado en Trabajadores",IF(B1834="","⚠ Falta el mes",IF(OR(ISTEXT(I1834),ISTEXT(J1834)),"⚠ Atrasos u horas extra como texto: escriba hh:mm (ej. 1:30)",IF(AND(ISNUMBER(Q1834),COUNTIFS(M_RUTN,V1834,M_MES,B1834,M_LIQ,"&lt;&gt;")&gt;1),"⚠ Liquidación repetida en el mes",IF(AND(ISNUMBER(O1834),ISNUMBER(P1834),ISNUMBER(Q1834),ABS(O1834-P1834-Q1834)&gt;1),"⚠ Haberes − descuentos no da el líquido","OK"))))))</f>
        <v/>
      </c>
      <c r="V1834" s="62" t="str">
        <f aca="false">IF(C1834="","",IFERROR(VALUE(LEFT(UPPER(SUBSTITUTE(SUBSTITUTE(SUBSTITUTE(TRIM(C1834),".",""),"-","")," ","")),LEN(UPPER(SUBSTITUTE(SUBSTITUTE(SUBSTITUTE(TRIM(C1834),".",""),"-","")," ","")))-1))&amp;RIGHT(UPPER(SUBSTITUTE(SUBSTITUTE(SUBSTITUTE(TRIM(C1834),".",""),"-","")," ","")),1),UPPER(SUBSTITUTE(SUBSTITUTE(SUBSTITUTE(TRIM(C1834),".",""),"-","")," ",""))))</f>
        <v/>
      </c>
    </row>
    <row r="1835" customFormat="false" ht="15" hidden="false" customHeight="false" outlineLevel="0" collapsed="false">
      <c r="B1835" s="80"/>
      <c r="C1835" s="58"/>
      <c r="D1835" s="62" t="str">
        <f aca="false">IF(C1835="","",IFERROR(INDEX(T_NOMBRE,MATCH(V1835,T_RUTN,0)),"⚠ RUT no está en Trabajadores"))</f>
        <v/>
      </c>
      <c r="E1835" s="61"/>
      <c r="F1835" s="61"/>
      <c r="G1835" s="61"/>
      <c r="H1835" s="61"/>
      <c r="I1835" s="81"/>
      <c r="J1835" s="81"/>
      <c r="K1835" s="60"/>
      <c r="L1835" s="60"/>
      <c r="M1835" s="60"/>
      <c r="N1835" s="60"/>
      <c r="O1835" s="60"/>
      <c r="P1835" s="60"/>
      <c r="Q1835" s="60"/>
      <c r="R1835" s="58"/>
      <c r="S1835" s="62" t="str">
        <f aca="false">IF(OR(B1835="",V1835=""),"",IFERROR(INDEX(C_TIPO,MATCH(V1835&amp;"-P"&amp;MAX(1,COUNTIFS(C_RUTN,V1835,C_DEF,"Sí",C_INI,"&lt;="&amp;EOMONTH(B1835,0))),C_CLAVE,0))&amp;"","Sin contrato"))</f>
        <v/>
      </c>
      <c r="T1835" s="63" t="str">
        <f aca="false">IF(OR(B1835="",N(O1835)=0),"",N(O1835)+ROUND(MIN(N(N1835),TOPE_UF*UF_MES)*(TASA_EMP+MUTUAL),0)+ROUND(MIN(N(N1835),TOPE_AFC_UF*UF_MES)*IF(S1835="Indefinido",AFC_INDEF,AFC_PF),0))</f>
        <v/>
      </c>
      <c r="U1835" s="62" t="str">
        <f aca="false">IF(C1835="","",IF(LEFT(D1835,1)="⚠","⚠ RUT no registrado en Trabajadores",IF(B1835="","⚠ Falta el mes",IF(OR(ISTEXT(I1835),ISTEXT(J1835)),"⚠ Atrasos u horas extra como texto: escriba hh:mm (ej. 1:30)",IF(AND(ISNUMBER(Q1835),COUNTIFS(M_RUTN,V1835,M_MES,B1835,M_LIQ,"&lt;&gt;")&gt;1),"⚠ Liquidación repetida en el mes",IF(AND(ISNUMBER(O1835),ISNUMBER(P1835),ISNUMBER(Q1835),ABS(O1835-P1835-Q1835)&gt;1),"⚠ Haberes − descuentos no da el líquido","OK"))))))</f>
        <v/>
      </c>
      <c r="V1835" s="62" t="str">
        <f aca="false">IF(C1835="","",IFERROR(VALUE(LEFT(UPPER(SUBSTITUTE(SUBSTITUTE(SUBSTITUTE(TRIM(C1835),".",""),"-","")," ","")),LEN(UPPER(SUBSTITUTE(SUBSTITUTE(SUBSTITUTE(TRIM(C1835),".",""),"-","")," ","")))-1))&amp;RIGHT(UPPER(SUBSTITUTE(SUBSTITUTE(SUBSTITUTE(TRIM(C1835),".",""),"-","")," ","")),1),UPPER(SUBSTITUTE(SUBSTITUTE(SUBSTITUTE(TRIM(C1835),".",""),"-","")," ",""))))</f>
        <v/>
      </c>
    </row>
    <row r="1836" customFormat="false" ht="15" hidden="false" customHeight="false" outlineLevel="0" collapsed="false">
      <c r="B1836" s="80"/>
      <c r="C1836" s="58"/>
      <c r="D1836" s="62" t="str">
        <f aca="false">IF(C1836="","",IFERROR(INDEX(T_NOMBRE,MATCH(V1836,T_RUTN,0)),"⚠ RUT no está en Trabajadores"))</f>
        <v/>
      </c>
      <c r="E1836" s="61"/>
      <c r="F1836" s="61"/>
      <c r="G1836" s="61"/>
      <c r="H1836" s="61"/>
      <c r="I1836" s="81"/>
      <c r="J1836" s="81"/>
      <c r="K1836" s="60"/>
      <c r="L1836" s="60"/>
      <c r="M1836" s="60"/>
      <c r="N1836" s="60"/>
      <c r="O1836" s="60"/>
      <c r="P1836" s="60"/>
      <c r="Q1836" s="60"/>
      <c r="R1836" s="58"/>
      <c r="S1836" s="62" t="str">
        <f aca="false">IF(OR(B1836="",V1836=""),"",IFERROR(INDEX(C_TIPO,MATCH(V1836&amp;"-P"&amp;MAX(1,COUNTIFS(C_RUTN,V1836,C_DEF,"Sí",C_INI,"&lt;="&amp;EOMONTH(B1836,0))),C_CLAVE,0))&amp;"","Sin contrato"))</f>
        <v/>
      </c>
      <c r="T1836" s="63" t="str">
        <f aca="false">IF(OR(B1836="",N(O1836)=0),"",N(O1836)+ROUND(MIN(N(N1836),TOPE_UF*UF_MES)*(TASA_EMP+MUTUAL),0)+ROUND(MIN(N(N1836),TOPE_AFC_UF*UF_MES)*IF(S1836="Indefinido",AFC_INDEF,AFC_PF),0))</f>
        <v/>
      </c>
      <c r="U1836" s="62" t="str">
        <f aca="false">IF(C1836="","",IF(LEFT(D1836,1)="⚠","⚠ RUT no registrado en Trabajadores",IF(B1836="","⚠ Falta el mes",IF(OR(ISTEXT(I1836),ISTEXT(J1836)),"⚠ Atrasos u horas extra como texto: escriba hh:mm (ej. 1:30)",IF(AND(ISNUMBER(Q1836),COUNTIFS(M_RUTN,V1836,M_MES,B1836,M_LIQ,"&lt;&gt;")&gt;1),"⚠ Liquidación repetida en el mes",IF(AND(ISNUMBER(O1836),ISNUMBER(P1836),ISNUMBER(Q1836),ABS(O1836-P1836-Q1836)&gt;1),"⚠ Haberes − descuentos no da el líquido","OK"))))))</f>
        <v/>
      </c>
      <c r="V1836" s="62" t="str">
        <f aca="false">IF(C1836="","",IFERROR(VALUE(LEFT(UPPER(SUBSTITUTE(SUBSTITUTE(SUBSTITUTE(TRIM(C1836),".",""),"-","")," ","")),LEN(UPPER(SUBSTITUTE(SUBSTITUTE(SUBSTITUTE(TRIM(C1836),".",""),"-","")," ","")))-1))&amp;RIGHT(UPPER(SUBSTITUTE(SUBSTITUTE(SUBSTITUTE(TRIM(C1836),".",""),"-","")," ","")),1),UPPER(SUBSTITUTE(SUBSTITUTE(SUBSTITUTE(TRIM(C1836),".",""),"-","")," ",""))))</f>
        <v/>
      </c>
    </row>
    <row r="1837" customFormat="false" ht="15" hidden="false" customHeight="false" outlineLevel="0" collapsed="false">
      <c r="B1837" s="80"/>
      <c r="C1837" s="58"/>
      <c r="D1837" s="62" t="str">
        <f aca="false">IF(C1837="","",IFERROR(INDEX(T_NOMBRE,MATCH(V1837,T_RUTN,0)),"⚠ RUT no está en Trabajadores"))</f>
        <v/>
      </c>
      <c r="E1837" s="61"/>
      <c r="F1837" s="61"/>
      <c r="G1837" s="61"/>
      <c r="H1837" s="61"/>
      <c r="I1837" s="81"/>
      <c r="J1837" s="81"/>
      <c r="K1837" s="60"/>
      <c r="L1837" s="60"/>
      <c r="M1837" s="60"/>
      <c r="N1837" s="60"/>
      <c r="O1837" s="60"/>
      <c r="P1837" s="60"/>
      <c r="Q1837" s="60"/>
      <c r="R1837" s="58"/>
      <c r="S1837" s="62" t="str">
        <f aca="false">IF(OR(B1837="",V1837=""),"",IFERROR(INDEX(C_TIPO,MATCH(V1837&amp;"-P"&amp;MAX(1,COUNTIFS(C_RUTN,V1837,C_DEF,"Sí",C_INI,"&lt;="&amp;EOMONTH(B1837,0))),C_CLAVE,0))&amp;"","Sin contrato"))</f>
        <v/>
      </c>
      <c r="T1837" s="63" t="str">
        <f aca="false">IF(OR(B1837="",N(O1837)=0),"",N(O1837)+ROUND(MIN(N(N1837),TOPE_UF*UF_MES)*(TASA_EMP+MUTUAL),0)+ROUND(MIN(N(N1837),TOPE_AFC_UF*UF_MES)*IF(S1837="Indefinido",AFC_INDEF,AFC_PF),0))</f>
        <v/>
      </c>
      <c r="U1837" s="62" t="str">
        <f aca="false">IF(C1837="","",IF(LEFT(D1837,1)="⚠","⚠ RUT no registrado en Trabajadores",IF(B1837="","⚠ Falta el mes",IF(OR(ISTEXT(I1837),ISTEXT(J1837)),"⚠ Atrasos u horas extra como texto: escriba hh:mm (ej. 1:30)",IF(AND(ISNUMBER(Q1837),COUNTIFS(M_RUTN,V1837,M_MES,B1837,M_LIQ,"&lt;&gt;")&gt;1),"⚠ Liquidación repetida en el mes",IF(AND(ISNUMBER(O1837),ISNUMBER(P1837),ISNUMBER(Q1837),ABS(O1837-P1837-Q1837)&gt;1),"⚠ Haberes − descuentos no da el líquido","OK"))))))</f>
        <v/>
      </c>
      <c r="V1837" s="62" t="str">
        <f aca="false">IF(C1837="","",IFERROR(VALUE(LEFT(UPPER(SUBSTITUTE(SUBSTITUTE(SUBSTITUTE(TRIM(C1837),".",""),"-","")," ","")),LEN(UPPER(SUBSTITUTE(SUBSTITUTE(SUBSTITUTE(TRIM(C1837),".",""),"-","")," ","")))-1))&amp;RIGHT(UPPER(SUBSTITUTE(SUBSTITUTE(SUBSTITUTE(TRIM(C1837),".",""),"-","")," ","")),1),UPPER(SUBSTITUTE(SUBSTITUTE(SUBSTITUTE(TRIM(C1837),".",""),"-","")," ",""))))</f>
        <v/>
      </c>
    </row>
    <row r="1838" customFormat="false" ht="15" hidden="false" customHeight="false" outlineLevel="0" collapsed="false">
      <c r="B1838" s="80"/>
      <c r="C1838" s="58"/>
      <c r="D1838" s="62" t="str">
        <f aca="false">IF(C1838="","",IFERROR(INDEX(T_NOMBRE,MATCH(V1838,T_RUTN,0)),"⚠ RUT no está en Trabajadores"))</f>
        <v/>
      </c>
      <c r="E1838" s="61"/>
      <c r="F1838" s="61"/>
      <c r="G1838" s="61"/>
      <c r="H1838" s="61"/>
      <c r="I1838" s="81"/>
      <c r="J1838" s="81"/>
      <c r="K1838" s="60"/>
      <c r="L1838" s="60"/>
      <c r="M1838" s="60"/>
      <c r="N1838" s="60"/>
      <c r="O1838" s="60"/>
      <c r="P1838" s="60"/>
      <c r="Q1838" s="60"/>
      <c r="R1838" s="58"/>
      <c r="S1838" s="62" t="str">
        <f aca="false">IF(OR(B1838="",V1838=""),"",IFERROR(INDEX(C_TIPO,MATCH(V1838&amp;"-P"&amp;MAX(1,COUNTIFS(C_RUTN,V1838,C_DEF,"Sí",C_INI,"&lt;="&amp;EOMONTH(B1838,0))),C_CLAVE,0))&amp;"","Sin contrato"))</f>
        <v/>
      </c>
      <c r="T1838" s="63" t="str">
        <f aca="false">IF(OR(B1838="",N(O1838)=0),"",N(O1838)+ROUND(MIN(N(N1838),TOPE_UF*UF_MES)*(TASA_EMP+MUTUAL),0)+ROUND(MIN(N(N1838),TOPE_AFC_UF*UF_MES)*IF(S1838="Indefinido",AFC_INDEF,AFC_PF),0))</f>
        <v/>
      </c>
      <c r="U1838" s="62" t="str">
        <f aca="false">IF(C1838="","",IF(LEFT(D1838,1)="⚠","⚠ RUT no registrado en Trabajadores",IF(B1838="","⚠ Falta el mes",IF(OR(ISTEXT(I1838),ISTEXT(J1838)),"⚠ Atrasos u horas extra como texto: escriba hh:mm (ej. 1:30)",IF(AND(ISNUMBER(Q1838),COUNTIFS(M_RUTN,V1838,M_MES,B1838,M_LIQ,"&lt;&gt;")&gt;1),"⚠ Liquidación repetida en el mes",IF(AND(ISNUMBER(O1838),ISNUMBER(P1838),ISNUMBER(Q1838),ABS(O1838-P1838-Q1838)&gt;1),"⚠ Haberes − descuentos no da el líquido","OK"))))))</f>
        <v/>
      </c>
      <c r="V1838" s="62" t="str">
        <f aca="false">IF(C1838="","",IFERROR(VALUE(LEFT(UPPER(SUBSTITUTE(SUBSTITUTE(SUBSTITUTE(TRIM(C1838),".",""),"-","")," ","")),LEN(UPPER(SUBSTITUTE(SUBSTITUTE(SUBSTITUTE(TRIM(C1838),".",""),"-","")," ","")))-1))&amp;RIGHT(UPPER(SUBSTITUTE(SUBSTITUTE(SUBSTITUTE(TRIM(C1838),".",""),"-","")," ","")),1),UPPER(SUBSTITUTE(SUBSTITUTE(SUBSTITUTE(TRIM(C1838),".",""),"-","")," ",""))))</f>
        <v/>
      </c>
    </row>
    <row r="1839" customFormat="false" ht="15" hidden="false" customHeight="false" outlineLevel="0" collapsed="false">
      <c r="B1839" s="80"/>
      <c r="C1839" s="58"/>
      <c r="D1839" s="62" t="str">
        <f aca="false">IF(C1839="","",IFERROR(INDEX(T_NOMBRE,MATCH(V1839,T_RUTN,0)),"⚠ RUT no está en Trabajadores"))</f>
        <v/>
      </c>
      <c r="E1839" s="61"/>
      <c r="F1839" s="61"/>
      <c r="G1839" s="61"/>
      <c r="H1839" s="61"/>
      <c r="I1839" s="81"/>
      <c r="J1839" s="81"/>
      <c r="K1839" s="60"/>
      <c r="L1839" s="60"/>
      <c r="M1839" s="60"/>
      <c r="N1839" s="60"/>
      <c r="O1839" s="60"/>
      <c r="P1839" s="60"/>
      <c r="Q1839" s="60"/>
      <c r="R1839" s="58"/>
      <c r="S1839" s="62" t="str">
        <f aca="false">IF(OR(B1839="",V1839=""),"",IFERROR(INDEX(C_TIPO,MATCH(V1839&amp;"-P"&amp;MAX(1,COUNTIFS(C_RUTN,V1839,C_DEF,"Sí",C_INI,"&lt;="&amp;EOMONTH(B1839,0))),C_CLAVE,0))&amp;"","Sin contrato"))</f>
        <v/>
      </c>
      <c r="T1839" s="63" t="str">
        <f aca="false">IF(OR(B1839="",N(O1839)=0),"",N(O1839)+ROUND(MIN(N(N1839),TOPE_UF*UF_MES)*(TASA_EMP+MUTUAL),0)+ROUND(MIN(N(N1839),TOPE_AFC_UF*UF_MES)*IF(S1839="Indefinido",AFC_INDEF,AFC_PF),0))</f>
        <v/>
      </c>
      <c r="U1839" s="62" t="str">
        <f aca="false">IF(C1839="","",IF(LEFT(D1839,1)="⚠","⚠ RUT no registrado en Trabajadores",IF(B1839="","⚠ Falta el mes",IF(OR(ISTEXT(I1839),ISTEXT(J1839)),"⚠ Atrasos u horas extra como texto: escriba hh:mm (ej. 1:30)",IF(AND(ISNUMBER(Q1839),COUNTIFS(M_RUTN,V1839,M_MES,B1839,M_LIQ,"&lt;&gt;")&gt;1),"⚠ Liquidación repetida en el mes",IF(AND(ISNUMBER(O1839),ISNUMBER(P1839),ISNUMBER(Q1839),ABS(O1839-P1839-Q1839)&gt;1),"⚠ Haberes − descuentos no da el líquido","OK"))))))</f>
        <v/>
      </c>
      <c r="V1839" s="62" t="str">
        <f aca="false">IF(C1839="","",IFERROR(VALUE(LEFT(UPPER(SUBSTITUTE(SUBSTITUTE(SUBSTITUTE(TRIM(C1839),".",""),"-","")," ","")),LEN(UPPER(SUBSTITUTE(SUBSTITUTE(SUBSTITUTE(TRIM(C1839),".",""),"-","")," ","")))-1))&amp;RIGHT(UPPER(SUBSTITUTE(SUBSTITUTE(SUBSTITUTE(TRIM(C1839),".",""),"-","")," ","")),1),UPPER(SUBSTITUTE(SUBSTITUTE(SUBSTITUTE(TRIM(C1839),".",""),"-","")," ",""))))</f>
        <v/>
      </c>
    </row>
    <row r="1840" customFormat="false" ht="15" hidden="false" customHeight="false" outlineLevel="0" collapsed="false">
      <c r="B1840" s="80"/>
      <c r="C1840" s="58"/>
      <c r="D1840" s="62" t="str">
        <f aca="false">IF(C1840="","",IFERROR(INDEX(T_NOMBRE,MATCH(V1840,T_RUTN,0)),"⚠ RUT no está en Trabajadores"))</f>
        <v/>
      </c>
      <c r="E1840" s="61"/>
      <c r="F1840" s="61"/>
      <c r="G1840" s="61"/>
      <c r="H1840" s="61"/>
      <c r="I1840" s="81"/>
      <c r="J1840" s="81"/>
      <c r="K1840" s="60"/>
      <c r="L1840" s="60"/>
      <c r="M1840" s="60"/>
      <c r="N1840" s="60"/>
      <c r="O1840" s="60"/>
      <c r="P1840" s="60"/>
      <c r="Q1840" s="60"/>
      <c r="R1840" s="58"/>
      <c r="S1840" s="62" t="str">
        <f aca="false">IF(OR(B1840="",V1840=""),"",IFERROR(INDEX(C_TIPO,MATCH(V1840&amp;"-P"&amp;MAX(1,COUNTIFS(C_RUTN,V1840,C_DEF,"Sí",C_INI,"&lt;="&amp;EOMONTH(B1840,0))),C_CLAVE,0))&amp;"","Sin contrato"))</f>
        <v/>
      </c>
      <c r="T1840" s="63" t="str">
        <f aca="false">IF(OR(B1840="",N(O1840)=0),"",N(O1840)+ROUND(MIN(N(N1840),TOPE_UF*UF_MES)*(TASA_EMP+MUTUAL),0)+ROUND(MIN(N(N1840),TOPE_AFC_UF*UF_MES)*IF(S1840="Indefinido",AFC_INDEF,AFC_PF),0))</f>
        <v/>
      </c>
      <c r="U1840" s="62" t="str">
        <f aca="false">IF(C1840="","",IF(LEFT(D1840,1)="⚠","⚠ RUT no registrado en Trabajadores",IF(B1840="","⚠ Falta el mes",IF(OR(ISTEXT(I1840),ISTEXT(J1840)),"⚠ Atrasos u horas extra como texto: escriba hh:mm (ej. 1:30)",IF(AND(ISNUMBER(Q1840),COUNTIFS(M_RUTN,V1840,M_MES,B1840,M_LIQ,"&lt;&gt;")&gt;1),"⚠ Liquidación repetida en el mes",IF(AND(ISNUMBER(O1840),ISNUMBER(P1840),ISNUMBER(Q1840),ABS(O1840-P1840-Q1840)&gt;1),"⚠ Haberes − descuentos no da el líquido","OK"))))))</f>
        <v/>
      </c>
      <c r="V1840" s="62" t="str">
        <f aca="false">IF(C1840="","",IFERROR(VALUE(LEFT(UPPER(SUBSTITUTE(SUBSTITUTE(SUBSTITUTE(TRIM(C1840),".",""),"-","")," ","")),LEN(UPPER(SUBSTITUTE(SUBSTITUTE(SUBSTITUTE(TRIM(C1840),".",""),"-","")," ","")))-1))&amp;RIGHT(UPPER(SUBSTITUTE(SUBSTITUTE(SUBSTITUTE(TRIM(C1840),".",""),"-","")," ","")),1),UPPER(SUBSTITUTE(SUBSTITUTE(SUBSTITUTE(TRIM(C1840),".",""),"-","")," ",""))))</f>
        <v/>
      </c>
    </row>
    <row r="1841" customFormat="false" ht="15" hidden="false" customHeight="false" outlineLevel="0" collapsed="false">
      <c r="B1841" s="80"/>
      <c r="C1841" s="58"/>
      <c r="D1841" s="62" t="str">
        <f aca="false">IF(C1841="","",IFERROR(INDEX(T_NOMBRE,MATCH(V1841,T_RUTN,0)),"⚠ RUT no está en Trabajadores"))</f>
        <v/>
      </c>
      <c r="E1841" s="61"/>
      <c r="F1841" s="61"/>
      <c r="G1841" s="61"/>
      <c r="H1841" s="61"/>
      <c r="I1841" s="81"/>
      <c r="J1841" s="81"/>
      <c r="K1841" s="60"/>
      <c r="L1841" s="60"/>
      <c r="M1841" s="60"/>
      <c r="N1841" s="60"/>
      <c r="O1841" s="60"/>
      <c r="P1841" s="60"/>
      <c r="Q1841" s="60"/>
      <c r="R1841" s="58"/>
      <c r="S1841" s="62" t="str">
        <f aca="false">IF(OR(B1841="",V1841=""),"",IFERROR(INDEX(C_TIPO,MATCH(V1841&amp;"-P"&amp;MAX(1,COUNTIFS(C_RUTN,V1841,C_DEF,"Sí",C_INI,"&lt;="&amp;EOMONTH(B1841,0))),C_CLAVE,0))&amp;"","Sin contrato"))</f>
        <v/>
      </c>
      <c r="T1841" s="63" t="str">
        <f aca="false">IF(OR(B1841="",N(O1841)=0),"",N(O1841)+ROUND(MIN(N(N1841),TOPE_UF*UF_MES)*(TASA_EMP+MUTUAL),0)+ROUND(MIN(N(N1841),TOPE_AFC_UF*UF_MES)*IF(S1841="Indefinido",AFC_INDEF,AFC_PF),0))</f>
        <v/>
      </c>
      <c r="U1841" s="62" t="str">
        <f aca="false">IF(C1841="","",IF(LEFT(D1841,1)="⚠","⚠ RUT no registrado en Trabajadores",IF(B1841="","⚠ Falta el mes",IF(OR(ISTEXT(I1841),ISTEXT(J1841)),"⚠ Atrasos u horas extra como texto: escriba hh:mm (ej. 1:30)",IF(AND(ISNUMBER(Q1841),COUNTIFS(M_RUTN,V1841,M_MES,B1841,M_LIQ,"&lt;&gt;")&gt;1),"⚠ Liquidación repetida en el mes",IF(AND(ISNUMBER(O1841),ISNUMBER(P1841),ISNUMBER(Q1841),ABS(O1841-P1841-Q1841)&gt;1),"⚠ Haberes − descuentos no da el líquido","OK"))))))</f>
        <v/>
      </c>
      <c r="V1841" s="62" t="str">
        <f aca="false">IF(C1841="","",IFERROR(VALUE(LEFT(UPPER(SUBSTITUTE(SUBSTITUTE(SUBSTITUTE(TRIM(C1841),".",""),"-","")," ","")),LEN(UPPER(SUBSTITUTE(SUBSTITUTE(SUBSTITUTE(TRIM(C1841),".",""),"-","")," ","")))-1))&amp;RIGHT(UPPER(SUBSTITUTE(SUBSTITUTE(SUBSTITUTE(TRIM(C1841),".",""),"-","")," ","")),1),UPPER(SUBSTITUTE(SUBSTITUTE(SUBSTITUTE(TRIM(C1841),".",""),"-","")," ",""))))</f>
        <v/>
      </c>
    </row>
    <row r="1842" customFormat="false" ht="15" hidden="false" customHeight="false" outlineLevel="0" collapsed="false">
      <c r="B1842" s="80"/>
      <c r="C1842" s="58"/>
      <c r="D1842" s="62" t="str">
        <f aca="false">IF(C1842="","",IFERROR(INDEX(T_NOMBRE,MATCH(V1842,T_RUTN,0)),"⚠ RUT no está en Trabajadores"))</f>
        <v/>
      </c>
      <c r="E1842" s="61"/>
      <c r="F1842" s="61"/>
      <c r="G1842" s="61"/>
      <c r="H1842" s="61"/>
      <c r="I1842" s="81"/>
      <c r="J1842" s="81"/>
      <c r="K1842" s="60"/>
      <c r="L1842" s="60"/>
      <c r="M1842" s="60"/>
      <c r="N1842" s="60"/>
      <c r="O1842" s="60"/>
      <c r="P1842" s="60"/>
      <c r="Q1842" s="60"/>
      <c r="R1842" s="58"/>
      <c r="S1842" s="62" t="str">
        <f aca="false">IF(OR(B1842="",V1842=""),"",IFERROR(INDEX(C_TIPO,MATCH(V1842&amp;"-P"&amp;MAX(1,COUNTIFS(C_RUTN,V1842,C_DEF,"Sí",C_INI,"&lt;="&amp;EOMONTH(B1842,0))),C_CLAVE,0))&amp;"","Sin contrato"))</f>
        <v/>
      </c>
      <c r="T1842" s="63" t="str">
        <f aca="false">IF(OR(B1842="",N(O1842)=0),"",N(O1842)+ROUND(MIN(N(N1842),TOPE_UF*UF_MES)*(TASA_EMP+MUTUAL),0)+ROUND(MIN(N(N1842),TOPE_AFC_UF*UF_MES)*IF(S1842="Indefinido",AFC_INDEF,AFC_PF),0))</f>
        <v/>
      </c>
      <c r="U1842" s="62" t="str">
        <f aca="false">IF(C1842="","",IF(LEFT(D1842,1)="⚠","⚠ RUT no registrado en Trabajadores",IF(B1842="","⚠ Falta el mes",IF(OR(ISTEXT(I1842),ISTEXT(J1842)),"⚠ Atrasos u horas extra como texto: escriba hh:mm (ej. 1:30)",IF(AND(ISNUMBER(Q1842),COUNTIFS(M_RUTN,V1842,M_MES,B1842,M_LIQ,"&lt;&gt;")&gt;1),"⚠ Liquidación repetida en el mes",IF(AND(ISNUMBER(O1842),ISNUMBER(P1842),ISNUMBER(Q1842),ABS(O1842-P1842-Q1842)&gt;1),"⚠ Haberes − descuentos no da el líquido","OK"))))))</f>
        <v/>
      </c>
      <c r="V1842" s="62" t="str">
        <f aca="false">IF(C1842="","",IFERROR(VALUE(LEFT(UPPER(SUBSTITUTE(SUBSTITUTE(SUBSTITUTE(TRIM(C1842),".",""),"-","")," ","")),LEN(UPPER(SUBSTITUTE(SUBSTITUTE(SUBSTITUTE(TRIM(C1842),".",""),"-","")," ","")))-1))&amp;RIGHT(UPPER(SUBSTITUTE(SUBSTITUTE(SUBSTITUTE(TRIM(C1842),".",""),"-","")," ","")),1),UPPER(SUBSTITUTE(SUBSTITUTE(SUBSTITUTE(TRIM(C1842),".",""),"-","")," ",""))))</f>
        <v/>
      </c>
    </row>
    <row r="1843" customFormat="false" ht="15" hidden="false" customHeight="false" outlineLevel="0" collapsed="false">
      <c r="B1843" s="80"/>
      <c r="C1843" s="58"/>
      <c r="D1843" s="62" t="str">
        <f aca="false">IF(C1843="","",IFERROR(INDEX(T_NOMBRE,MATCH(V1843,T_RUTN,0)),"⚠ RUT no está en Trabajadores"))</f>
        <v/>
      </c>
      <c r="E1843" s="61"/>
      <c r="F1843" s="61"/>
      <c r="G1843" s="61"/>
      <c r="H1843" s="61"/>
      <c r="I1843" s="81"/>
      <c r="J1843" s="81"/>
      <c r="K1843" s="60"/>
      <c r="L1843" s="60"/>
      <c r="M1843" s="60"/>
      <c r="N1843" s="60"/>
      <c r="O1843" s="60"/>
      <c r="P1843" s="60"/>
      <c r="Q1843" s="60"/>
      <c r="R1843" s="58"/>
      <c r="S1843" s="62" t="str">
        <f aca="false">IF(OR(B1843="",V1843=""),"",IFERROR(INDEX(C_TIPO,MATCH(V1843&amp;"-P"&amp;MAX(1,COUNTIFS(C_RUTN,V1843,C_DEF,"Sí",C_INI,"&lt;="&amp;EOMONTH(B1843,0))),C_CLAVE,0))&amp;"","Sin contrato"))</f>
        <v/>
      </c>
      <c r="T1843" s="63" t="str">
        <f aca="false">IF(OR(B1843="",N(O1843)=0),"",N(O1843)+ROUND(MIN(N(N1843),TOPE_UF*UF_MES)*(TASA_EMP+MUTUAL),0)+ROUND(MIN(N(N1843),TOPE_AFC_UF*UF_MES)*IF(S1843="Indefinido",AFC_INDEF,AFC_PF),0))</f>
        <v/>
      </c>
      <c r="U1843" s="62" t="str">
        <f aca="false">IF(C1843="","",IF(LEFT(D1843,1)="⚠","⚠ RUT no registrado en Trabajadores",IF(B1843="","⚠ Falta el mes",IF(OR(ISTEXT(I1843),ISTEXT(J1843)),"⚠ Atrasos u horas extra como texto: escriba hh:mm (ej. 1:30)",IF(AND(ISNUMBER(Q1843),COUNTIFS(M_RUTN,V1843,M_MES,B1843,M_LIQ,"&lt;&gt;")&gt;1),"⚠ Liquidación repetida en el mes",IF(AND(ISNUMBER(O1843),ISNUMBER(P1843),ISNUMBER(Q1843),ABS(O1843-P1843-Q1843)&gt;1),"⚠ Haberes − descuentos no da el líquido","OK"))))))</f>
        <v/>
      </c>
      <c r="V1843" s="62" t="str">
        <f aca="false">IF(C1843="","",IFERROR(VALUE(LEFT(UPPER(SUBSTITUTE(SUBSTITUTE(SUBSTITUTE(TRIM(C1843),".",""),"-","")," ","")),LEN(UPPER(SUBSTITUTE(SUBSTITUTE(SUBSTITUTE(TRIM(C1843),".",""),"-","")," ","")))-1))&amp;RIGHT(UPPER(SUBSTITUTE(SUBSTITUTE(SUBSTITUTE(TRIM(C1843),".",""),"-","")," ","")),1),UPPER(SUBSTITUTE(SUBSTITUTE(SUBSTITUTE(TRIM(C1843),".",""),"-","")," ",""))))</f>
        <v/>
      </c>
    </row>
    <row r="1844" customFormat="false" ht="15" hidden="false" customHeight="false" outlineLevel="0" collapsed="false">
      <c r="B1844" s="80"/>
      <c r="C1844" s="58"/>
      <c r="D1844" s="62" t="str">
        <f aca="false">IF(C1844="","",IFERROR(INDEX(T_NOMBRE,MATCH(V1844,T_RUTN,0)),"⚠ RUT no está en Trabajadores"))</f>
        <v/>
      </c>
      <c r="E1844" s="61"/>
      <c r="F1844" s="61"/>
      <c r="G1844" s="61"/>
      <c r="H1844" s="61"/>
      <c r="I1844" s="81"/>
      <c r="J1844" s="81"/>
      <c r="K1844" s="60"/>
      <c r="L1844" s="60"/>
      <c r="M1844" s="60"/>
      <c r="N1844" s="60"/>
      <c r="O1844" s="60"/>
      <c r="P1844" s="60"/>
      <c r="Q1844" s="60"/>
      <c r="R1844" s="58"/>
      <c r="S1844" s="62" t="str">
        <f aca="false">IF(OR(B1844="",V1844=""),"",IFERROR(INDEX(C_TIPO,MATCH(V1844&amp;"-P"&amp;MAX(1,COUNTIFS(C_RUTN,V1844,C_DEF,"Sí",C_INI,"&lt;="&amp;EOMONTH(B1844,0))),C_CLAVE,0))&amp;"","Sin contrato"))</f>
        <v/>
      </c>
      <c r="T1844" s="63" t="str">
        <f aca="false">IF(OR(B1844="",N(O1844)=0),"",N(O1844)+ROUND(MIN(N(N1844),TOPE_UF*UF_MES)*(TASA_EMP+MUTUAL),0)+ROUND(MIN(N(N1844),TOPE_AFC_UF*UF_MES)*IF(S1844="Indefinido",AFC_INDEF,AFC_PF),0))</f>
        <v/>
      </c>
      <c r="U1844" s="62" t="str">
        <f aca="false">IF(C1844="","",IF(LEFT(D1844,1)="⚠","⚠ RUT no registrado en Trabajadores",IF(B1844="","⚠ Falta el mes",IF(OR(ISTEXT(I1844),ISTEXT(J1844)),"⚠ Atrasos u horas extra como texto: escriba hh:mm (ej. 1:30)",IF(AND(ISNUMBER(Q1844),COUNTIFS(M_RUTN,V1844,M_MES,B1844,M_LIQ,"&lt;&gt;")&gt;1),"⚠ Liquidación repetida en el mes",IF(AND(ISNUMBER(O1844),ISNUMBER(P1844),ISNUMBER(Q1844),ABS(O1844-P1844-Q1844)&gt;1),"⚠ Haberes − descuentos no da el líquido","OK"))))))</f>
        <v/>
      </c>
      <c r="V1844" s="62" t="str">
        <f aca="false">IF(C1844="","",IFERROR(VALUE(LEFT(UPPER(SUBSTITUTE(SUBSTITUTE(SUBSTITUTE(TRIM(C1844),".",""),"-","")," ","")),LEN(UPPER(SUBSTITUTE(SUBSTITUTE(SUBSTITUTE(TRIM(C1844),".",""),"-","")," ","")))-1))&amp;RIGHT(UPPER(SUBSTITUTE(SUBSTITUTE(SUBSTITUTE(TRIM(C1844),".",""),"-","")," ","")),1),UPPER(SUBSTITUTE(SUBSTITUTE(SUBSTITUTE(TRIM(C1844),".",""),"-","")," ",""))))</f>
        <v/>
      </c>
    </row>
    <row r="1845" customFormat="false" ht="15" hidden="false" customHeight="false" outlineLevel="0" collapsed="false">
      <c r="B1845" s="80"/>
      <c r="C1845" s="58"/>
      <c r="D1845" s="62" t="str">
        <f aca="false">IF(C1845="","",IFERROR(INDEX(T_NOMBRE,MATCH(V1845,T_RUTN,0)),"⚠ RUT no está en Trabajadores"))</f>
        <v/>
      </c>
      <c r="E1845" s="61"/>
      <c r="F1845" s="61"/>
      <c r="G1845" s="61"/>
      <c r="H1845" s="61"/>
      <c r="I1845" s="81"/>
      <c r="J1845" s="81"/>
      <c r="K1845" s="60"/>
      <c r="L1845" s="60"/>
      <c r="M1845" s="60"/>
      <c r="N1845" s="60"/>
      <c r="O1845" s="60"/>
      <c r="P1845" s="60"/>
      <c r="Q1845" s="60"/>
      <c r="R1845" s="58"/>
      <c r="S1845" s="62" t="str">
        <f aca="false">IF(OR(B1845="",V1845=""),"",IFERROR(INDEX(C_TIPO,MATCH(V1845&amp;"-P"&amp;MAX(1,COUNTIFS(C_RUTN,V1845,C_DEF,"Sí",C_INI,"&lt;="&amp;EOMONTH(B1845,0))),C_CLAVE,0))&amp;"","Sin contrato"))</f>
        <v/>
      </c>
      <c r="T1845" s="63" t="str">
        <f aca="false">IF(OR(B1845="",N(O1845)=0),"",N(O1845)+ROUND(MIN(N(N1845),TOPE_UF*UF_MES)*(TASA_EMP+MUTUAL),0)+ROUND(MIN(N(N1845),TOPE_AFC_UF*UF_MES)*IF(S1845="Indefinido",AFC_INDEF,AFC_PF),0))</f>
        <v/>
      </c>
      <c r="U1845" s="62" t="str">
        <f aca="false">IF(C1845="","",IF(LEFT(D1845,1)="⚠","⚠ RUT no registrado en Trabajadores",IF(B1845="","⚠ Falta el mes",IF(OR(ISTEXT(I1845),ISTEXT(J1845)),"⚠ Atrasos u horas extra como texto: escriba hh:mm (ej. 1:30)",IF(AND(ISNUMBER(Q1845),COUNTIFS(M_RUTN,V1845,M_MES,B1845,M_LIQ,"&lt;&gt;")&gt;1),"⚠ Liquidación repetida en el mes",IF(AND(ISNUMBER(O1845),ISNUMBER(P1845),ISNUMBER(Q1845),ABS(O1845-P1845-Q1845)&gt;1),"⚠ Haberes − descuentos no da el líquido","OK"))))))</f>
        <v/>
      </c>
      <c r="V1845" s="62" t="str">
        <f aca="false">IF(C1845="","",IFERROR(VALUE(LEFT(UPPER(SUBSTITUTE(SUBSTITUTE(SUBSTITUTE(TRIM(C1845),".",""),"-","")," ","")),LEN(UPPER(SUBSTITUTE(SUBSTITUTE(SUBSTITUTE(TRIM(C1845),".",""),"-","")," ","")))-1))&amp;RIGHT(UPPER(SUBSTITUTE(SUBSTITUTE(SUBSTITUTE(TRIM(C1845),".",""),"-","")," ","")),1),UPPER(SUBSTITUTE(SUBSTITUTE(SUBSTITUTE(TRIM(C1845),".",""),"-","")," ",""))))</f>
        <v/>
      </c>
    </row>
    <row r="1846" customFormat="false" ht="15" hidden="false" customHeight="false" outlineLevel="0" collapsed="false">
      <c r="B1846" s="80"/>
      <c r="C1846" s="58"/>
      <c r="D1846" s="62" t="str">
        <f aca="false">IF(C1846="","",IFERROR(INDEX(T_NOMBRE,MATCH(V1846,T_RUTN,0)),"⚠ RUT no está en Trabajadores"))</f>
        <v/>
      </c>
      <c r="E1846" s="61"/>
      <c r="F1846" s="61"/>
      <c r="G1846" s="61"/>
      <c r="H1846" s="61"/>
      <c r="I1846" s="81"/>
      <c r="J1846" s="81"/>
      <c r="K1846" s="60"/>
      <c r="L1846" s="60"/>
      <c r="M1846" s="60"/>
      <c r="N1846" s="60"/>
      <c r="O1846" s="60"/>
      <c r="P1846" s="60"/>
      <c r="Q1846" s="60"/>
      <c r="R1846" s="58"/>
      <c r="S1846" s="62" t="str">
        <f aca="false">IF(OR(B1846="",V1846=""),"",IFERROR(INDEX(C_TIPO,MATCH(V1846&amp;"-P"&amp;MAX(1,COUNTIFS(C_RUTN,V1846,C_DEF,"Sí",C_INI,"&lt;="&amp;EOMONTH(B1846,0))),C_CLAVE,0))&amp;"","Sin contrato"))</f>
        <v/>
      </c>
      <c r="T1846" s="63" t="str">
        <f aca="false">IF(OR(B1846="",N(O1846)=0),"",N(O1846)+ROUND(MIN(N(N1846),TOPE_UF*UF_MES)*(TASA_EMP+MUTUAL),0)+ROUND(MIN(N(N1846),TOPE_AFC_UF*UF_MES)*IF(S1846="Indefinido",AFC_INDEF,AFC_PF),0))</f>
        <v/>
      </c>
      <c r="U1846" s="62" t="str">
        <f aca="false">IF(C1846="","",IF(LEFT(D1846,1)="⚠","⚠ RUT no registrado en Trabajadores",IF(B1846="","⚠ Falta el mes",IF(OR(ISTEXT(I1846),ISTEXT(J1846)),"⚠ Atrasos u horas extra como texto: escriba hh:mm (ej. 1:30)",IF(AND(ISNUMBER(Q1846),COUNTIFS(M_RUTN,V1846,M_MES,B1846,M_LIQ,"&lt;&gt;")&gt;1),"⚠ Liquidación repetida en el mes",IF(AND(ISNUMBER(O1846),ISNUMBER(P1846),ISNUMBER(Q1846),ABS(O1846-P1846-Q1846)&gt;1),"⚠ Haberes − descuentos no da el líquido","OK"))))))</f>
        <v/>
      </c>
      <c r="V1846" s="62" t="str">
        <f aca="false">IF(C1846="","",IFERROR(VALUE(LEFT(UPPER(SUBSTITUTE(SUBSTITUTE(SUBSTITUTE(TRIM(C1846),".",""),"-","")," ","")),LEN(UPPER(SUBSTITUTE(SUBSTITUTE(SUBSTITUTE(TRIM(C1846),".",""),"-","")," ","")))-1))&amp;RIGHT(UPPER(SUBSTITUTE(SUBSTITUTE(SUBSTITUTE(TRIM(C1846),".",""),"-","")," ","")),1),UPPER(SUBSTITUTE(SUBSTITUTE(SUBSTITUTE(TRIM(C1846),".",""),"-","")," ",""))))</f>
        <v/>
      </c>
    </row>
    <row r="1847" customFormat="false" ht="15" hidden="false" customHeight="false" outlineLevel="0" collapsed="false">
      <c r="B1847" s="80"/>
      <c r="C1847" s="58"/>
      <c r="D1847" s="62" t="str">
        <f aca="false">IF(C1847="","",IFERROR(INDEX(T_NOMBRE,MATCH(V1847,T_RUTN,0)),"⚠ RUT no está en Trabajadores"))</f>
        <v/>
      </c>
      <c r="E1847" s="61"/>
      <c r="F1847" s="61"/>
      <c r="G1847" s="61"/>
      <c r="H1847" s="61"/>
      <c r="I1847" s="81"/>
      <c r="J1847" s="81"/>
      <c r="K1847" s="60"/>
      <c r="L1847" s="60"/>
      <c r="M1847" s="60"/>
      <c r="N1847" s="60"/>
      <c r="O1847" s="60"/>
      <c r="P1847" s="60"/>
      <c r="Q1847" s="60"/>
      <c r="R1847" s="58"/>
      <c r="S1847" s="62" t="str">
        <f aca="false">IF(OR(B1847="",V1847=""),"",IFERROR(INDEX(C_TIPO,MATCH(V1847&amp;"-P"&amp;MAX(1,COUNTIFS(C_RUTN,V1847,C_DEF,"Sí",C_INI,"&lt;="&amp;EOMONTH(B1847,0))),C_CLAVE,0))&amp;"","Sin contrato"))</f>
        <v/>
      </c>
      <c r="T1847" s="63" t="str">
        <f aca="false">IF(OR(B1847="",N(O1847)=0),"",N(O1847)+ROUND(MIN(N(N1847),TOPE_UF*UF_MES)*(TASA_EMP+MUTUAL),0)+ROUND(MIN(N(N1847),TOPE_AFC_UF*UF_MES)*IF(S1847="Indefinido",AFC_INDEF,AFC_PF),0))</f>
        <v/>
      </c>
      <c r="U1847" s="62" t="str">
        <f aca="false">IF(C1847="","",IF(LEFT(D1847,1)="⚠","⚠ RUT no registrado en Trabajadores",IF(B1847="","⚠ Falta el mes",IF(OR(ISTEXT(I1847),ISTEXT(J1847)),"⚠ Atrasos u horas extra como texto: escriba hh:mm (ej. 1:30)",IF(AND(ISNUMBER(Q1847),COUNTIFS(M_RUTN,V1847,M_MES,B1847,M_LIQ,"&lt;&gt;")&gt;1),"⚠ Liquidación repetida en el mes",IF(AND(ISNUMBER(O1847),ISNUMBER(P1847),ISNUMBER(Q1847),ABS(O1847-P1847-Q1847)&gt;1),"⚠ Haberes − descuentos no da el líquido","OK"))))))</f>
        <v/>
      </c>
      <c r="V1847" s="62" t="str">
        <f aca="false">IF(C1847="","",IFERROR(VALUE(LEFT(UPPER(SUBSTITUTE(SUBSTITUTE(SUBSTITUTE(TRIM(C1847),".",""),"-","")," ","")),LEN(UPPER(SUBSTITUTE(SUBSTITUTE(SUBSTITUTE(TRIM(C1847),".",""),"-","")," ","")))-1))&amp;RIGHT(UPPER(SUBSTITUTE(SUBSTITUTE(SUBSTITUTE(TRIM(C1847),".",""),"-","")," ","")),1),UPPER(SUBSTITUTE(SUBSTITUTE(SUBSTITUTE(TRIM(C1847),".",""),"-","")," ",""))))</f>
        <v/>
      </c>
    </row>
    <row r="1848" customFormat="false" ht="15" hidden="false" customHeight="false" outlineLevel="0" collapsed="false">
      <c r="B1848" s="80"/>
      <c r="C1848" s="58"/>
      <c r="D1848" s="62" t="str">
        <f aca="false">IF(C1848="","",IFERROR(INDEX(T_NOMBRE,MATCH(V1848,T_RUTN,0)),"⚠ RUT no está en Trabajadores"))</f>
        <v/>
      </c>
      <c r="E1848" s="61"/>
      <c r="F1848" s="61"/>
      <c r="G1848" s="61"/>
      <c r="H1848" s="61"/>
      <c r="I1848" s="81"/>
      <c r="J1848" s="81"/>
      <c r="K1848" s="60"/>
      <c r="L1848" s="60"/>
      <c r="M1848" s="60"/>
      <c r="N1848" s="60"/>
      <c r="O1848" s="60"/>
      <c r="P1848" s="60"/>
      <c r="Q1848" s="60"/>
      <c r="R1848" s="58"/>
      <c r="S1848" s="62" t="str">
        <f aca="false">IF(OR(B1848="",V1848=""),"",IFERROR(INDEX(C_TIPO,MATCH(V1848&amp;"-P"&amp;MAX(1,COUNTIFS(C_RUTN,V1848,C_DEF,"Sí",C_INI,"&lt;="&amp;EOMONTH(B1848,0))),C_CLAVE,0))&amp;"","Sin contrato"))</f>
        <v/>
      </c>
      <c r="T1848" s="63" t="str">
        <f aca="false">IF(OR(B1848="",N(O1848)=0),"",N(O1848)+ROUND(MIN(N(N1848),TOPE_UF*UF_MES)*(TASA_EMP+MUTUAL),0)+ROUND(MIN(N(N1848),TOPE_AFC_UF*UF_MES)*IF(S1848="Indefinido",AFC_INDEF,AFC_PF),0))</f>
        <v/>
      </c>
      <c r="U1848" s="62" t="str">
        <f aca="false">IF(C1848="","",IF(LEFT(D1848,1)="⚠","⚠ RUT no registrado en Trabajadores",IF(B1848="","⚠ Falta el mes",IF(OR(ISTEXT(I1848),ISTEXT(J1848)),"⚠ Atrasos u horas extra como texto: escriba hh:mm (ej. 1:30)",IF(AND(ISNUMBER(Q1848),COUNTIFS(M_RUTN,V1848,M_MES,B1848,M_LIQ,"&lt;&gt;")&gt;1),"⚠ Liquidación repetida en el mes",IF(AND(ISNUMBER(O1848),ISNUMBER(P1848),ISNUMBER(Q1848),ABS(O1848-P1848-Q1848)&gt;1),"⚠ Haberes − descuentos no da el líquido","OK"))))))</f>
        <v/>
      </c>
      <c r="V1848" s="62" t="str">
        <f aca="false">IF(C1848="","",IFERROR(VALUE(LEFT(UPPER(SUBSTITUTE(SUBSTITUTE(SUBSTITUTE(TRIM(C1848),".",""),"-","")," ","")),LEN(UPPER(SUBSTITUTE(SUBSTITUTE(SUBSTITUTE(TRIM(C1848),".",""),"-","")," ","")))-1))&amp;RIGHT(UPPER(SUBSTITUTE(SUBSTITUTE(SUBSTITUTE(TRIM(C1848),".",""),"-","")," ","")),1),UPPER(SUBSTITUTE(SUBSTITUTE(SUBSTITUTE(TRIM(C1848),".",""),"-","")," ",""))))</f>
        <v/>
      </c>
    </row>
    <row r="1849" customFormat="false" ht="15" hidden="false" customHeight="false" outlineLevel="0" collapsed="false">
      <c r="B1849" s="80"/>
      <c r="C1849" s="58"/>
      <c r="D1849" s="62" t="str">
        <f aca="false">IF(C1849="","",IFERROR(INDEX(T_NOMBRE,MATCH(V1849,T_RUTN,0)),"⚠ RUT no está en Trabajadores"))</f>
        <v/>
      </c>
      <c r="E1849" s="61"/>
      <c r="F1849" s="61"/>
      <c r="G1849" s="61"/>
      <c r="H1849" s="61"/>
      <c r="I1849" s="81"/>
      <c r="J1849" s="81"/>
      <c r="K1849" s="60"/>
      <c r="L1849" s="60"/>
      <c r="M1849" s="60"/>
      <c r="N1849" s="60"/>
      <c r="O1849" s="60"/>
      <c r="P1849" s="60"/>
      <c r="Q1849" s="60"/>
      <c r="R1849" s="58"/>
      <c r="S1849" s="62" t="str">
        <f aca="false">IF(OR(B1849="",V1849=""),"",IFERROR(INDEX(C_TIPO,MATCH(V1849&amp;"-P"&amp;MAX(1,COUNTIFS(C_RUTN,V1849,C_DEF,"Sí",C_INI,"&lt;="&amp;EOMONTH(B1849,0))),C_CLAVE,0))&amp;"","Sin contrato"))</f>
        <v/>
      </c>
      <c r="T1849" s="63" t="str">
        <f aca="false">IF(OR(B1849="",N(O1849)=0),"",N(O1849)+ROUND(MIN(N(N1849),TOPE_UF*UF_MES)*(TASA_EMP+MUTUAL),0)+ROUND(MIN(N(N1849),TOPE_AFC_UF*UF_MES)*IF(S1849="Indefinido",AFC_INDEF,AFC_PF),0))</f>
        <v/>
      </c>
      <c r="U1849" s="62" t="str">
        <f aca="false">IF(C1849="","",IF(LEFT(D1849,1)="⚠","⚠ RUT no registrado en Trabajadores",IF(B1849="","⚠ Falta el mes",IF(OR(ISTEXT(I1849),ISTEXT(J1849)),"⚠ Atrasos u horas extra como texto: escriba hh:mm (ej. 1:30)",IF(AND(ISNUMBER(Q1849),COUNTIFS(M_RUTN,V1849,M_MES,B1849,M_LIQ,"&lt;&gt;")&gt;1),"⚠ Liquidación repetida en el mes",IF(AND(ISNUMBER(O1849),ISNUMBER(P1849),ISNUMBER(Q1849),ABS(O1849-P1849-Q1849)&gt;1),"⚠ Haberes − descuentos no da el líquido","OK"))))))</f>
        <v/>
      </c>
      <c r="V1849" s="62" t="str">
        <f aca="false">IF(C1849="","",IFERROR(VALUE(LEFT(UPPER(SUBSTITUTE(SUBSTITUTE(SUBSTITUTE(TRIM(C1849),".",""),"-","")," ","")),LEN(UPPER(SUBSTITUTE(SUBSTITUTE(SUBSTITUTE(TRIM(C1849),".",""),"-","")," ","")))-1))&amp;RIGHT(UPPER(SUBSTITUTE(SUBSTITUTE(SUBSTITUTE(TRIM(C1849),".",""),"-","")," ","")),1),UPPER(SUBSTITUTE(SUBSTITUTE(SUBSTITUTE(TRIM(C1849),".",""),"-","")," ",""))))</f>
        <v/>
      </c>
    </row>
    <row r="1850" customFormat="false" ht="15" hidden="false" customHeight="false" outlineLevel="0" collapsed="false">
      <c r="B1850" s="80"/>
      <c r="C1850" s="58"/>
      <c r="D1850" s="62" t="str">
        <f aca="false">IF(C1850="","",IFERROR(INDEX(T_NOMBRE,MATCH(V1850,T_RUTN,0)),"⚠ RUT no está en Trabajadores"))</f>
        <v/>
      </c>
      <c r="E1850" s="61"/>
      <c r="F1850" s="61"/>
      <c r="G1850" s="61"/>
      <c r="H1850" s="61"/>
      <c r="I1850" s="81"/>
      <c r="J1850" s="81"/>
      <c r="K1850" s="60"/>
      <c r="L1850" s="60"/>
      <c r="M1850" s="60"/>
      <c r="N1850" s="60"/>
      <c r="O1850" s="60"/>
      <c r="P1850" s="60"/>
      <c r="Q1850" s="60"/>
      <c r="R1850" s="58"/>
      <c r="S1850" s="62" t="str">
        <f aca="false">IF(OR(B1850="",V1850=""),"",IFERROR(INDEX(C_TIPO,MATCH(V1850&amp;"-P"&amp;MAX(1,COUNTIFS(C_RUTN,V1850,C_DEF,"Sí",C_INI,"&lt;="&amp;EOMONTH(B1850,0))),C_CLAVE,0))&amp;"","Sin contrato"))</f>
        <v/>
      </c>
      <c r="T1850" s="63" t="str">
        <f aca="false">IF(OR(B1850="",N(O1850)=0),"",N(O1850)+ROUND(MIN(N(N1850),TOPE_UF*UF_MES)*(TASA_EMP+MUTUAL),0)+ROUND(MIN(N(N1850),TOPE_AFC_UF*UF_MES)*IF(S1850="Indefinido",AFC_INDEF,AFC_PF),0))</f>
        <v/>
      </c>
      <c r="U1850" s="62" t="str">
        <f aca="false">IF(C1850="","",IF(LEFT(D1850,1)="⚠","⚠ RUT no registrado en Trabajadores",IF(B1850="","⚠ Falta el mes",IF(OR(ISTEXT(I1850),ISTEXT(J1850)),"⚠ Atrasos u horas extra como texto: escriba hh:mm (ej. 1:30)",IF(AND(ISNUMBER(Q1850),COUNTIFS(M_RUTN,V1850,M_MES,B1850,M_LIQ,"&lt;&gt;")&gt;1),"⚠ Liquidación repetida en el mes",IF(AND(ISNUMBER(O1850),ISNUMBER(P1850),ISNUMBER(Q1850),ABS(O1850-P1850-Q1850)&gt;1),"⚠ Haberes − descuentos no da el líquido","OK"))))))</f>
        <v/>
      </c>
      <c r="V1850" s="62" t="str">
        <f aca="false">IF(C1850="","",IFERROR(VALUE(LEFT(UPPER(SUBSTITUTE(SUBSTITUTE(SUBSTITUTE(TRIM(C1850),".",""),"-","")," ","")),LEN(UPPER(SUBSTITUTE(SUBSTITUTE(SUBSTITUTE(TRIM(C1850),".",""),"-","")," ","")))-1))&amp;RIGHT(UPPER(SUBSTITUTE(SUBSTITUTE(SUBSTITUTE(TRIM(C1850),".",""),"-","")," ","")),1),UPPER(SUBSTITUTE(SUBSTITUTE(SUBSTITUTE(TRIM(C1850),".",""),"-","")," ",""))))</f>
        <v/>
      </c>
    </row>
    <row r="1851" customFormat="false" ht="15" hidden="false" customHeight="false" outlineLevel="0" collapsed="false">
      <c r="B1851" s="80"/>
      <c r="C1851" s="58"/>
      <c r="D1851" s="62" t="str">
        <f aca="false">IF(C1851="","",IFERROR(INDEX(T_NOMBRE,MATCH(V1851,T_RUTN,0)),"⚠ RUT no está en Trabajadores"))</f>
        <v/>
      </c>
      <c r="E1851" s="61"/>
      <c r="F1851" s="61"/>
      <c r="G1851" s="61"/>
      <c r="H1851" s="61"/>
      <c r="I1851" s="81"/>
      <c r="J1851" s="81"/>
      <c r="K1851" s="60"/>
      <c r="L1851" s="60"/>
      <c r="M1851" s="60"/>
      <c r="N1851" s="60"/>
      <c r="O1851" s="60"/>
      <c r="P1851" s="60"/>
      <c r="Q1851" s="60"/>
      <c r="R1851" s="58"/>
      <c r="S1851" s="62" t="str">
        <f aca="false">IF(OR(B1851="",V1851=""),"",IFERROR(INDEX(C_TIPO,MATCH(V1851&amp;"-P"&amp;MAX(1,COUNTIFS(C_RUTN,V1851,C_DEF,"Sí",C_INI,"&lt;="&amp;EOMONTH(B1851,0))),C_CLAVE,0))&amp;"","Sin contrato"))</f>
        <v/>
      </c>
      <c r="T1851" s="63" t="str">
        <f aca="false">IF(OR(B1851="",N(O1851)=0),"",N(O1851)+ROUND(MIN(N(N1851),TOPE_UF*UF_MES)*(TASA_EMP+MUTUAL),0)+ROUND(MIN(N(N1851),TOPE_AFC_UF*UF_MES)*IF(S1851="Indefinido",AFC_INDEF,AFC_PF),0))</f>
        <v/>
      </c>
      <c r="U1851" s="62" t="str">
        <f aca="false">IF(C1851="","",IF(LEFT(D1851,1)="⚠","⚠ RUT no registrado en Trabajadores",IF(B1851="","⚠ Falta el mes",IF(OR(ISTEXT(I1851),ISTEXT(J1851)),"⚠ Atrasos u horas extra como texto: escriba hh:mm (ej. 1:30)",IF(AND(ISNUMBER(Q1851),COUNTIFS(M_RUTN,V1851,M_MES,B1851,M_LIQ,"&lt;&gt;")&gt;1),"⚠ Liquidación repetida en el mes",IF(AND(ISNUMBER(O1851),ISNUMBER(P1851),ISNUMBER(Q1851),ABS(O1851-P1851-Q1851)&gt;1),"⚠ Haberes − descuentos no da el líquido","OK"))))))</f>
        <v/>
      </c>
      <c r="V1851" s="62" t="str">
        <f aca="false">IF(C1851="","",IFERROR(VALUE(LEFT(UPPER(SUBSTITUTE(SUBSTITUTE(SUBSTITUTE(TRIM(C1851),".",""),"-","")," ","")),LEN(UPPER(SUBSTITUTE(SUBSTITUTE(SUBSTITUTE(TRIM(C1851),".",""),"-","")," ","")))-1))&amp;RIGHT(UPPER(SUBSTITUTE(SUBSTITUTE(SUBSTITUTE(TRIM(C1851),".",""),"-","")," ","")),1),UPPER(SUBSTITUTE(SUBSTITUTE(SUBSTITUTE(TRIM(C1851),".",""),"-","")," ",""))))</f>
        <v/>
      </c>
    </row>
    <row r="1852" customFormat="false" ht="15" hidden="false" customHeight="false" outlineLevel="0" collapsed="false">
      <c r="B1852" s="80"/>
      <c r="C1852" s="58"/>
      <c r="D1852" s="62" t="str">
        <f aca="false">IF(C1852="","",IFERROR(INDEX(T_NOMBRE,MATCH(V1852,T_RUTN,0)),"⚠ RUT no está en Trabajadores"))</f>
        <v/>
      </c>
      <c r="E1852" s="61"/>
      <c r="F1852" s="61"/>
      <c r="G1852" s="61"/>
      <c r="H1852" s="61"/>
      <c r="I1852" s="81"/>
      <c r="J1852" s="81"/>
      <c r="K1852" s="60"/>
      <c r="L1852" s="60"/>
      <c r="M1852" s="60"/>
      <c r="N1852" s="60"/>
      <c r="O1852" s="60"/>
      <c r="P1852" s="60"/>
      <c r="Q1852" s="60"/>
      <c r="R1852" s="58"/>
      <c r="S1852" s="62" t="str">
        <f aca="false">IF(OR(B1852="",V1852=""),"",IFERROR(INDEX(C_TIPO,MATCH(V1852&amp;"-P"&amp;MAX(1,COUNTIFS(C_RUTN,V1852,C_DEF,"Sí",C_INI,"&lt;="&amp;EOMONTH(B1852,0))),C_CLAVE,0))&amp;"","Sin contrato"))</f>
        <v/>
      </c>
      <c r="T1852" s="63" t="str">
        <f aca="false">IF(OR(B1852="",N(O1852)=0),"",N(O1852)+ROUND(MIN(N(N1852),TOPE_UF*UF_MES)*(TASA_EMP+MUTUAL),0)+ROUND(MIN(N(N1852),TOPE_AFC_UF*UF_MES)*IF(S1852="Indefinido",AFC_INDEF,AFC_PF),0))</f>
        <v/>
      </c>
      <c r="U1852" s="62" t="str">
        <f aca="false">IF(C1852="","",IF(LEFT(D1852,1)="⚠","⚠ RUT no registrado en Trabajadores",IF(B1852="","⚠ Falta el mes",IF(OR(ISTEXT(I1852),ISTEXT(J1852)),"⚠ Atrasos u horas extra como texto: escriba hh:mm (ej. 1:30)",IF(AND(ISNUMBER(Q1852),COUNTIFS(M_RUTN,V1852,M_MES,B1852,M_LIQ,"&lt;&gt;")&gt;1),"⚠ Liquidación repetida en el mes",IF(AND(ISNUMBER(O1852),ISNUMBER(P1852),ISNUMBER(Q1852),ABS(O1852-P1852-Q1852)&gt;1),"⚠ Haberes − descuentos no da el líquido","OK"))))))</f>
        <v/>
      </c>
      <c r="V1852" s="62" t="str">
        <f aca="false">IF(C1852="","",IFERROR(VALUE(LEFT(UPPER(SUBSTITUTE(SUBSTITUTE(SUBSTITUTE(TRIM(C1852),".",""),"-","")," ","")),LEN(UPPER(SUBSTITUTE(SUBSTITUTE(SUBSTITUTE(TRIM(C1852),".",""),"-","")," ","")))-1))&amp;RIGHT(UPPER(SUBSTITUTE(SUBSTITUTE(SUBSTITUTE(TRIM(C1852),".",""),"-","")," ","")),1),UPPER(SUBSTITUTE(SUBSTITUTE(SUBSTITUTE(TRIM(C1852),".",""),"-","")," ",""))))</f>
        <v/>
      </c>
    </row>
    <row r="1853" customFormat="false" ht="15" hidden="false" customHeight="false" outlineLevel="0" collapsed="false">
      <c r="B1853" s="80"/>
      <c r="C1853" s="58"/>
      <c r="D1853" s="62" t="str">
        <f aca="false">IF(C1853="","",IFERROR(INDEX(T_NOMBRE,MATCH(V1853,T_RUTN,0)),"⚠ RUT no está en Trabajadores"))</f>
        <v/>
      </c>
      <c r="E1853" s="61"/>
      <c r="F1853" s="61"/>
      <c r="G1853" s="61"/>
      <c r="H1853" s="61"/>
      <c r="I1853" s="81"/>
      <c r="J1853" s="81"/>
      <c r="K1853" s="60"/>
      <c r="L1853" s="60"/>
      <c r="M1853" s="60"/>
      <c r="N1853" s="60"/>
      <c r="O1853" s="60"/>
      <c r="P1853" s="60"/>
      <c r="Q1853" s="60"/>
      <c r="R1853" s="58"/>
      <c r="S1853" s="62" t="str">
        <f aca="false">IF(OR(B1853="",V1853=""),"",IFERROR(INDEX(C_TIPO,MATCH(V1853&amp;"-P"&amp;MAX(1,COUNTIFS(C_RUTN,V1853,C_DEF,"Sí",C_INI,"&lt;="&amp;EOMONTH(B1853,0))),C_CLAVE,0))&amp;"","Sin contrato"))</f>
        <v/>
      </c>
      <c r="T1853" s="63" t="str">
        <f aca="false">IF(OR(B1853="",N(O1853)=0),"",N(O1853)+ROUND(MIN(N(N1853),TOPE_UF*UF_MES)*(TASA_EMP+MUTUAL),0)+ROUND(MIN(N(N1853),TOPE_AFC_UF*UF_MES)*IF(S1853="Indefinido",AFC_INDEF,AFC_PF),0))</f>
        <v/>
      </c>
      <c r="U1853" s="62" t="str">
        <f aca="false">IF(C1853="","",IF(LEFT(D1853,1)="⚠","⚠ RUT no registrado en Trabajadores",IF(B1853="","⚠ Falta el mes",IF(OR(ISTEXT(I1853),ISTEXT(J1853)),"⚠ Atrasos u horas extra como texto: escriba hh:mm (ej. 1:30)",IF(AND(ISNUMBER(Q1853),COUNTIFS(M_RUTN,V1853,M_MES,B1853,M_LIQ,"&lt;&gt;")&gt;1),"⚠ Liquidación repetida en el mes",IF(AND(ISNUMBER(O1853),ISNUMBER(P1853),ISNUMBER(Q1853),ABS(O1853-P1853-Q1853)&gt;1),"⚠ Haberes − descuentos no da el líquido","OK"))))))</f>
        <v/>
      </c>
      <c r="V1853" s="62" t="str">
        <f aca="false">IF(C1853="","",IFERROR(VALUE(LEFT(UPPER(SUBSTITUTE(SUBSTITUTE(SUBSTITUTE(TRIM(C1853),".",""),"-","")," ","")),LEN(UPPER(SUBSTITUTE(SUBSTITUTE(SUBSTITUTE(TRIM(C1853),".",""),"-","")," ","")))-1))&amp;RIGHT(UPPER(SUBSTITUTE(SUBSTITUTE(SUBSTITUTE(TRIM(C1853),".",""),"-","")," ","")),1),UPPER(SUBSTITUTE(SUBSTITUTE(SUBSTITUTE(TRIM(C1853),".",""),"-","")," ",""))))</f>
        <v/>
      </c>
    </row>
    <row r="1854" customFormat="false" ht="15" hidden="false" customHeight="false" outlineLevel="0" collapsed="false">
      <c r="B1854" s="80"/>
      <c r="C1854" s="58"/>
      <c r="D1854" s="62" t="str">
        <f aca="false">IF(C1854="","",IFERROR(INDEX(T_NOMBRE,MATCH(V1854,T_RUTN,0)),"⚠ RUT no está en Trabajadores"))</f>
        <v/>
      </c>
      <c r="E1854" s="61"/>
      <c r="F1854" s="61"/>
      <c r="G1854" s="61"/>
      <c r="H1854" s="61"/>
      <c r="I1854" s="81"/>
      <c r="J1854" s="81"/>
      <c r="K1854" s="60"/>
      <c r="L1854" s="60"/>
      <c r="M1854" s="60"/>
      <c r="N1854" s="60"/>
      <c r="O1854" s="60"/>
      <c r="P1854" s="60"/>
      <c r="Q1854" s="60"/>
      <c r="R1854" s="58"/>
      <c r="S1854" s="62" t="str">
        <f aca="false">IF(OR(B1854="",V1854=""),"",IFERROR(INDEX(C_TIPO,MATCH(V1854&amp;"-P"&amp;MAX(1,COUNTIFS(C_RUTN,V1854,C_DEF,"Sí",C_INI,"&lt;="&amp;EOMONTH(B1854,0))),C_CLAVE,0))&amp;"","Sin contrato"))</f>
        <v/>
      </c>
      <c r="T1854" s="63" t="str">
        <f aca="false">IF(OR(B1854="",N(O1854)=0),"",N(O1854)+ROUND(MIN(N(N1854),TOPE_UF*UF_MES)*(TASA_EMP+MUTUAL),0)+ROUND(MIN(N(N1854),TOPE_AFC_UF*UF_MES)*IF(S1854="Indefinido",AFC_INDEF,AFC_PF),0))</f>
        <v/>
      </c>
      <c r="U1854" s="62" t="str">
        <f aca="false">IF(C1854="","",IF(LEFT(D1854,1)="⚠","⚠ RUT no registrado en Trabajadores",IF(B1854="","⚠ Falta el mes",IF(OR(ISTEXT(I1854),ISTEXT(J1854)),"⚠ Atrasos u horas extra como texto: escriba hh:mm (ej. 1:30)",IF(AND(ISNUMBER(Q1854),COUNTIFS(M_RUTN,V1854,M_MES,B1854,M_LIQ,"&lt;&gt;")&gt;1),"⚠ Liquidación repetida en el mes",IF(AND(ISNUMBER(O1854),ISNUMBER(P1854),ISNUMBER(Q1854),ABS(O1854-P1854-Q1854)&gt;1),"⚠ Haberes − descuentos no da el líquido","OK"))))))</f>
        <v/>
      </c>
      <c r="V1854" s="62" t="str">
        <f aca="false">IF(C1854="","",IFERROR(VALUE(LEFT(UPPER(SUBSTITUTE(SUBSTITUTE(SUBSTITUTE(TRIM(C1854),".",""),"-","")," ","")),LEN(UPPER(SUBSTITUTE(SUBSTITUTE(SUBSTITUTE(TRIM(C1854),".",""),"-","")," ","")))-1))&amp;RIGHT(UPPER(SUBSTITUTE(SUBSTITUTE(SUBSTITUTE(TRIM(C1854),".",""),"-","")," ","")),1),UPPER(SUBSTITUTE(SUBSTITUTE(SUBSTITUTE(TRIM(C1854),".",""),"-","")," ",""))))</f>
        <v/>
      </c>
    </row>
    <row r="1855" customFormat="false" ht="15" hidden="false" customHeight="false" outlineLevel="0" collapsed="false">
      <c r="B1855" s="80"/>
      <c r="C1855" s="58"/>
      <c r="D1855" s="62" t="str">
        <f aca="false">IF(C1855="","",IFERROR(INDEX(T_NOMBRE,MATCH(V1855,T_RUTN,0)),"⚠ RUT no está en Trabajadores"))</f>
        <v/>
      </c>
      <c r="E1855" s="61"/>
      <c r="F1855" s="61"/>
      <c r="G1855" s="61"/>
      <c r="H1855" s="61"/>
      <c r="I1855" s="81"/>
      <c r="J1855" s="81"/>
      <c r="K1855" s="60"/>
      <c r="L1855" s="60"/>
      <c r="M1855" s="60"/>
      <c r="N1855" s="60"/>
      <c r="O1855" s="60"/>
      <c r="P1855" s="60"/>
      <c r="Q1855" s="60"/>
      <c r="R1855" s="58"/>
      <c r="S1855" s="62" t="str">
        <f aca="false">IF(OR(B1855="",V1855=""),"",IFERROR(INDEX(C_TIPO,MATCH(V1855&amp;"-P"&amp;MAX(1,COUNTIFS(C_RUTN,V1855,C_DEF,"Sí",C_INI,"&lt;="&amp;EOMONTH(B1855,0))),C_CLAVE,0))&amp;"","Sin contrato"))</f>
        <v/>
      </c>
      <c r="T1855" s="63" t="str">
        <f aca="false">IF(OR(B1855="",N(O1855)=0),"",N(O1855)+ROUND(MIN(N(N1855),TOPE_UF*UF_MES)*(TASA_EMP+MUTUAL),0)+ROUND(MIN(N(N1855),TOPE_AFC_UF*UF_MES)*IF(S1855="Indefinido",AFC_INDEF,AFC_PF),0))</f>
        <v/>
      </c>
      <c r="U1855" s="62" t="str">
        <f aca="false">IF(C1855="","",IF(LEFT(D1855,1)="⚠","⚠ RUT no registrado en Trabajadores",IF(B1855="","⚠ Falta el mes",IF(OR(ISTEXT(I1855),ISTEXT(J1855)),"⚠ Atrasos u horas extra como texto: escriba hh:mm (ej. 1:30)",IF(AND(ISNUMBER(Q1855),COUNTIFS(M_RUTN,V1855,M_MES,B1855,M_LIQ,"&lt;&gt;")&gt;1),"⚠ Liquidación repetida en el mes",IF(AND(ISNUMBER(O1855),ISNUMBER(P1855),ISNUMBER(Q1855),ABS(O1855-P1855-Q1855)&gt;1),"⚠ Haberes − descuentos no da el líquido","OK"))))))</f>
        <v/>
      </c>
      <c r="V1855" s="62" t="str">
        <f aca="false">IF(C1855="","",IFERROR(VALUE(LEFT(UPPER(SUBSTITUTE(SUBSTITUTE(SUBSTITUTE(TRIM(C1855),".",""),"-","")," ","")),LEN(UPPER(SUBSTITUTE(SUBSTITUTE(SUBSTITUTE(TRIM(C1855),".",""),"-","")," ","")))-1))&amp;RIGHT(UPPER(SUBSTITUTE(SUBSTITUTE(SUBSTITUTE(TRIM(C1855),".",""),"-","")," ","")),1),UPPER(SUBSTITUTE(SUBSTITUTE(SUBSTITUTE(TRIM(C1855),".",""),"-","")," ",""))))</f>
        <v/>
      </c>
    </row>
    <row r="1856" customFormat="false" ht="15" hidden="false" customHeight="false" outlineLevel="0" collapsed="false">
      <c r="B1856" s="80"/>
      <c r="C1856" s="58"/>
      <c r="D1856" s="62" t="str">
        <f aca="false">IF(C1856="","",IFERROR(INDEX(T_NOMBRE,MATCH(V1856,T_RUTN,0)),"⚠ RUT no está en Trabajadores"))</f>
        <v/>
      </c>
      <c r="E1856" s="61"/>
      <c r="F1856" s="61"/>
      <c r="G1856" s="61"/>
      <c r="H1856" s="61"/>
      <c r="I1856" s="81"/>
      <c r="J1856" s="81"/>
      <c r="K1856" s="60"/>
      <c r="L1856" s="60"/>
      <c r="M1856" s="60"/>
      <c r="N1856" s="60"/>
      <c r="O1856" s="60"/>
      <c r="P1856" s="60"/>
      <c r="Q1856" s="60"/>
      <c r="R1856" s="58"/>
      <c r="S1856" s="62" t="str">
        <f aca="false">IF(OR(B1856="",V1856=""),"",IFERROR(INDEX(C_TIPO,MATCH(V1856&amp;"-P"&amp;MAX(1,COUNTIFS(C_RUTN,V1856,C_DEF,"Sí",C_INI,"&lt;="&amp;EOMONTH(B1856,0))),C_CLAVE,0))&amp;"","Sin contrato"))</f>
        <v/>
      </c>
      <c r="T1856" s="63" t="str">
        <f aca="false">IF(OR(B1856="",N(O1856)=0),"",N(O1856)+ROUND(MIN(N(N1856),TOPE_UF*UF_MES)*(TASA_EMP+MUTUAL),0)+ROUND(MIN(N(N1856),TOPE_AFC_UF*UF_MES)*IF(S1856="Indefinido",AFC_INDEF,AFC_PF),0))</f>
        <v/>
      </c>
      <c r="U1856" s="62" t="str">
        <f aca="false">IF(C1856="","",IF(LEFT(D1856,1)="⚠","⚠ RUT no registrado en Trabajadores",IF(B1856="","⚠ Falta el mes",IF(OR(ISTEXT(I1856),ISTEXT(J1856)),"⚠ Atrasos u horas extra como texto: escriba hh:mm (ej. 1:30)",IF(AND(ISNUMBER(Q1856),COUNTIFS(M_RUTN,V1856,M_MES,B1856,M_LIQ,"&lt;&gt;")&gt;1),"⚠ Liquidación repetida en el mes",IF(AND(ISNUMBER(O1856),ISNUMBER(P1856),ISNUMBER(Q1856),ABS(O1856-P1856-Q1856)&gt;1),"⚠ Haberes − descuentos no da el líquido","OK"))))))</f>
        <v/>
      </c>
      <c r="V1856" s="62" t="str">
        <f aca="false">IF(C1856="","",IFERROR(VALUE(LEFT(UPPER(SUBSTITUTE(SUBSTITUTE(SUBSTITUTE(TRIM(C1856),".",""),"-","")," ","")),LEN(UPPER(SUBSTITUTE(SUBSTITUTE(SUBSTITUTE(TRIM(C1856),".",""),"-","")," ","")))-1))&amp;RIGHT(UPPER(SUBSTITUTE(SUBSTITUTE(SUBSTITUTE(TRIM(C1856),".",""),"-","")," ","")),1),UPPER(SUBSTITUTE(SUBSTITUTE(SUBSTITUTE(TRIM(C1856),".",""),"-","")," ",""))))</f>
        <v/>
      </c>
    </row>
    <row r="1857" customFormat="false" ht="15" hidden="false" customHeight="false" outlineLevel="0" collapsed="false">
      <c r="B1857" s="80"/>
      <c r="C1857" s="58"/>
      <c r="D1857" s="62" t="str">
        <f aca="false">IF(C1857="","",IFERROR(INDEX(T_NOMBRE,MATCH(V1857,T_RUTN,0)),"⚠ RUT no está en Trabajadores"))</f>
        <v/>
      </c>
      <c r="E1857" s="61"/>
      <c r="F1857" s="61"/>
      <c r="G1857" s="61"/>
      <c r="H1857" s="61"/>
      <c r="I1857" s="81"/>
      <c r="J1857" s="81"/>
      <c r="K1857" s="60"/>
      <c r="L1857" s="60"/>
      <c r="M1857" s="60"/>
      <c r="N1857" s="60"/>
      <c r="O1857" s="60"/>
      <c r="P1857" s="60"/>
      <c r="Q1857" s="60"/>
      <c r="R1857" s="58"/>
      <c r="S1857" s="62" t="str">
        <f aca="false">IF(OR(B1857="",V1857=""),"",IFERROR(INDEX(C_TIPO,MATCH(V1857&amp;"-P"&amp;MAX(1,COUNTIFS(C_RUTN,V1857,C_DEF,"Sí",C_INI,"&lt;="&amp;EOMONTH(B1857,0))),C_CLAVE,0))&amp;"","Sin contrato"))</f>
        <v/>
      </c>
      <c r="T1857" s="63" t="str">
        <f aca="false">IF(OR(B1857="",N(O1857)=0),"",N(O1857)+ROUND(MIN(N(N1857),TOPE_UF*UF_MES)*(TASA_EMP+MUTUAL),0)+ROUND(MIN(N(N1857),TOPE_AFC_UF*UF_MES)*IF(S1857="Indefinido",AFC_INDEF,AFC_PF),0))</f>
        <v/>
      </c>
      <c r="U1857" s="62" t="str">
        <f aca="false">IF(C1857="","",IF(LEFT(D1857,1)="⚠","⚠ RUT no registrado en Trabajadores",IF(B1857="","⚠ Falta el mes",IF(OR(ISTEXT(I1857),ISTEXT(J1857)),"⚠ Atrasos u horas extra como texto: escriba hh:mm (ej. 1:30)",IF(AND(ISNUMBER(Q1857),COUNTIFS(M_RUTN,V1857,M_MES,B1857,M_LIQ,"&lt;&gt;")&gt;1),"⚠ Liquidación repetida en el mes",IF(AND(ISNUMBER(O1857),ISNUMBER(P1857),ISNUMBER(Q1857),ABS(O1857-P1857-Q1857)&gt;1),"⚠ Haberes − descuentos no da el líquido","OK"))))))</f>
        <v/>
      </c>
      <c r="V1857" s="62" t="str">
        <f aca="false">IF(C1857="","",IFERROR(VALUE(LEFT(UPPER(SUBSTITUTE(SUBSTITUTE(SUBSTITUTE(TRIM(C1857),".",""),"-","")," ","")),LEN(UPPER(SUBSTITUTE(SUBSTITUTE(SUBSTITUTE(TRIM(C1857),".",""),"-","")," ","")))-1))&amp;RIGHT(UPPER(SUBSTITUTE(SUBSTITUTE(SUBSTITUTE(TRIM(C1857),".",""),"-","")," ","")),1),UPPER(SUBSTITUTE(SUBSTITUTE(SUBSTITUTE(TRIM(C1857),".",""),"-","")," ",""))))</f>
        <v/>
      </c>
    </row>
    <row r="1858" customFormat="false" ht="15" hidden="false" customHeight="false" outlineLevel="0" collapsed="false">
      <c r="B1858" s="80"/>
      <c r="C1858" s="58"/>
      <c r="D1858" s="62" t="str">
        <f aca="false">IF(C1858="","",IFERROR(INDEX(T_NOMBRE,MATCH(V1858,T_RUTN,0)),"⚠ RUT no está en Trabajadores"))</f>
        <v/>
      </c>
      <c r="E1858" s="61"/>
      <c r="F1858" s="61"/>
      <c r="G1858" s="61"/>
      <c r="H1858" s="61"/>
      <c r="I1858" s="81"/>
      <c r="J1858" s="81"/>
      <c r="K1858" s="60"/>
      <c r="L1858" s="60"/>
      <c r="M1858" s="60"/>
      <c r="N1858" s="60"/>
      <c r="O1858" s="60"/>
      <c r="P1858" s="60"/>
      <c r="Q1858" s="60"/>
      <c r="R1858" s="58"/>
      <c r="S1858" s="62" t="str">
        <f aca="false">IF(OR(B1858="",V1858=""),"",IFERROR(INDEX(C_TIPO,MATCH(V1858&amp;"-P"&amp;MAX(1,COUNTIFS(C_RUTN,V1858,C_DEF,"Sí",C_INI,"&lt;="&amp;EOMONTH(B1858,0))),C_CLAVE,0))&amp;"","Sin contrato"))</f>
        <v/>
      </c>
      <c r="T1858" s="63" t="str">
        <f aca="false">IF(OR(B1858="",N(O1858)=0),"",N(O1858)+ROUND(MIN(N(N1858),TOPE_UF*UF_MES)*(TASA_EMP+MUTUAL),0)+ROUND(MIN(N(N1858),TOPE_AFC_UF*UF_MES)*IF(S1858="Indefinido",AFC_INDEF,AFC_PF),0))</f>
        <v/>
      </c>
      <c r="U1858" s="62" t="str">
        <f aca="false">IF(C1858="","",IF(LEFT(D1858,1)="⚠","⚠ RUT no registrado en Trabajadores",IF(B1858="","⚠ Falta el mes",IF(OR(ISTEXT(I1858),ISTEXT(J1858)),"⚠ Atrasos u horas extra como texto: escriba hh:mm (ej. 1:30)",IF(AND(ISNUMBER(Q1858),COUNTIFS(M_RUTN,V1858,M_MES,B1858,M_LIQ,"&lt;&gt;")&gt;1),"⚠ Liquidación repetida en el mes",IF(AND(ISNUMBER(O1858),ISNUMBER(P1858),ISNUMBER(Q1858),ABS(O1858-P1858-Q1858)&gt;1),"⚠ Haberes − descuentos no da el líquido","OK"))))))</f>
        <v/>
      </c>
      <c r="V1858" s="62" t="str">
        <f aca="false">IF(C1858="","",IFERROR(VALUE(LEFT(UPPER(SUBSTITUTE(SUBSTITUTE(SUBSTITUTE(TRIM(C1858),".",""),"-","")," ","")),LEN(UPPER(SUBSTITUTE(SUBSTITUTE(SUBSTITUTE(TRIM(C1858),".",""),"-","")," ","")))-1))&amp;RIGHT(UPPER(SUBSTITUTE(SUBSTITUTE(SUBSTITUTE(TRIM(C1858),".",""),"-","")," ","")),1),UPPER(SUBSTITUTE(SUBSTITUTE(SUBSTITUTE(TRIM(C1858),".",""),"-","")," ",""))))</f>
        <v/>
      </c>
    </row>
    <row r="1859" customFormat="false" ht="15" hidden="false" customHeight="false" outlineLevel="0" collapsed="false">
      <c r="B1859" s="80"/>
      <c r="C1859" s="58"/>
      <c r="D1859" s="62" t="str">
        <f aca="false">IF(C1859="","",IFERROR(INDEX(T_NOMBRE,MATCH(V1859,T_RUTN,0)),"⚠ RUT no está en Trabajadores"))</f>
        <v/>
      </c>
      <c r="E1859" s="61"/>
      <c r="F1859" s="61"/>
      <c r="G1859" s="61"/>
      <c r="H1859" s="61"/>
      <c r="I1859" s="81"/>
      <c r="J1859" s="81"/>
      <c r="K1859" s="60"/>
      <c r="L1859" s="60"/>
      <c r="M1859" s="60"/>
      <c r="N1859" s="60"/>
      <c r="O1859" s="60"/>
      <c r="P1859" s="60"/>
      <c r="Q1859" s="60"/>
      <c r="R1859" s="58"/>
      <c r="S1859" s="62" t="str">
        <f aca="false">IF(OR(B1859="",V1859=""),"",IFERROR(INDEX(C_TIPO,MATCH(V1859&amp;"-P"&amp;MAX(1,COUNTIFS(C_RUTN,V1859,C_DEF,"Sí",C_INI,"&lt;="&amp;EOMONTH(B1859,0))),C_CLAVE,0))&amp;"","Sin contrato"))</f>
        <v/>
      </c>
      <c r="T1859" s="63" t="str">
        <f aca="false">IF(OR(B1859="",N(O1859)=0),"",N(O1859)+ROUND(MIN(N(N1859),TOPE_UF*UF_MES)*(TASA_EMP+MUTUAL),0)+ROUND(MIN(N(N1859),TOPE_AFC_UF*UF_MES)*IF(S1859="Indefinido",AFC_INDEF,AFC_PF),0))</f>
        <v/>
      </c>
      <c r="U1859" s="62" t="str">
        <f aca="false">IF(C1859="","",IF(LEFT(D1859,1)="⚠","⚠ RUT no registrado en Trabajadores",IF(B1859="","⚠ Falta el mes",IF(OR(ISTEXT(I1859),ISTEXT(J1859)),"⚠ Atrasos u horas extra como texto: escriba hh:mm (ej. 1:30)",IF(AND(ISNUMBER(Q1859),COUNTIFS(M_RUTN,V1859,M_MES,B1859,M_LIQ,"&lt;&gt;")&gt;1),"⚠ Liquidación repetida en el mes",IF(AND(ISNUMBER(O1859),ISNUMBER(P1859),ISNUMBER(Q1859),ABS(O1859-P1859-Q1859)&gt;1),"⚠ Haberes − descuentos no da el líquido","OK"))))))</f>
        <v/>
      </c>
      <c r="V1859" s="62" t="str">
        <f aca="false">IF(C1859="","",IFERROR(VALUE(LEFT(UPPER(SUBSTITUTE(SUBSTITUTE(SUBSTITUTE(TRIM(C1859),".",""),"-","")," ","")),LEN(UPPER(SUBSTITUTE(SUBSTITUTE(SUBSTITUTE(TRIM(C1859),".",""),"-","")," ","")))-1))&amp;RIGHT(UPPER(SUBSTITUTE(SUBSTITUTE(SUBSTITUTE(TRIM(C1859),".",""),"-","")," ","")),1),UPPER(SUBSTITUTE(SUBSTITUTE(SUBSTITUTE(TRIM(C1859),".",""),"-","")," ",""))))</f>
        <v/>
      </c>
    </row>
    <row r="1860" customFormat="false" ht="15" hidden="false" customHeight="false" outlineLevel="0" collapsed="false">
      <c r="B1860" s="80"/>
      <c r="C1860" s="58"/>
      <c r="D1860" s="62" t="str">
        <f aca="false">IF(C1860="","",IFERROR(INDEX(T_NOMBRE,MATCH(V1860,T_RUTN,0)),"⚠ RUT no está en Trabajadores"))</f>
        <v/>
      </c>
      <c r="E1860" s="61"/>
      <c r="F1860" s="61"/>
      <c r="G1860" s="61"/>
      <c r="H1860" s="61"/>
      <c r="I1860" s="81"/>
      <c r="J1860" s="81"/>
      <c r="K1860" s="60"/>
      <c r="L1860" s="60"/>
      <c r="M1860" s="60"/>
      <c r="N1860" s="60"/>
      <c r="O1860" s="60"/>
      <c r="P1860" s="60"/>
      <c r="Q1860" s="60"/>
      <c r="R1860" s="58"/>
      <c r="S1860" s="62" t="str">
        <f aca="false">IF(OR(B1860="",V1860=""),"",IFERROR(INDEX(C_TIPO,MATCH(V1860&amp;"-P"&amp;MAX(1,COUNTIFS(C_RUTN,V1860,C_DEF,"Sí",C_INI,"&lt;="&amp;EOMONTH(B1860,0))),C_CLAVE,0))&amp;"","Sin contrato"))</f>
        <v/>
      </c>
      <c r="T1860" s="63" t="str">
        <f aca="false">IF(OR(B1860="",N(O1860)=0),"",N(O1860)+ROUND(MIN(N(N1860),TOPE_UF*UF_MES)*(TASA_EMP+MUTUAL),0)+ROUND(MIN(N(N1860),TOPE_AFC_UF*UF_MES)*IF(S1860="Indefinido",AFC_INDEF,AFC_PF),0))</f>
        <v/>
      </c>
      <c r="U1860" s="62" t="str">
        <f aca="false">IF(C1860="","",IF(LEFT(D1860,1)="⚠","⚠ RUT no registrado en Trabajadores",IF(B1860="","⚠ Falta el mes",IF(OR(ISTEXT(I1860),ISTEXT(J1860)),"⚠ Atrasos u horas extra como texto: escriba hh:mm (ej. 1:30)",IF(AND(ISNUMBER(Q1860),COUNTIFS(M_RUTN,V1860,M_MES,B1860,M_LIQ,"&lt;&gt;")&gt;1),"⚠ Liquidación repetida en el mes",IF(AND(ISNUMBER(O1860),ISNUMBER(P1860),ISNUMBER(Q1860),ABS(O1860-P1860-Q1860)&gt;1),"⚠ Haberes − descuentos no da el líquido","OK"))))))</f>
        <v/>
      </c>
      <c r="V1860" s="62" t="str">
        <f aca="false">IF(C1860="","",IFERROR(VALUE(LEFT(UPPER(SUBSTITUTE(SUBSTITUTE(SUBSTITUTE(TRIM(C1860),".",""),"-","")," ","")),LEN(UPPER(SUBSTITUTE(SUBSTITUTE(SUBSTITUTE(TRIM(C1860),".",""),"-","")," ","")))-1))&amp;RIGHT(UPPER(SUBSTITUTE(SUBSTITUTE(SUBSTITUTE(TRIM(C1860),".",""),"-","")," ","")),1),UPPER(SUBSTITUTE(SUBSTITUTE(SUBSTITUTE(TRIM(C1860),".",""),"-","")," ",""))))</f>
        <v/>
      </c>
    </row>
    <row r="1861" customFormat="false" ht="15" hidden="false" customHeight="false" outlineLevel="0" collapsed="false">
      <c r="B1861" s="80"/>
      <c r="C1861" s="58"/>
      <c r="D1861" s="62" t="str">
        <f aca="false">IF(C1861="","",IFERROR(INDEX(T_NOMBRE,MATCH(V1861,T_RUTN,0)),"⚠ RUT no está en Trabajadores"))</f>
        <v/>
      </c>
      <c r="E1861" s="61"/>
      <c r="F1861" s="61"/>
      <c r="G1861" s="61"/>
      <c r="H1861" s="61"/>
      <c r="I1861" s="81"/>
      <c r="J1861" s="81"/>
      <c r="K1861" s="60"/>
      <c r="L1861" s="60"/>
      <c r="M1861" s="60"/>
      <c r="N1861" s="60"/>
      <c r="O1861" s="60"/>
      <c r="P1861" s="60"/>
      <c r="Q1861" s="60"/>
      <c r="R1861" s="58"/>
      <c r="S1861" s="62" t="str">
        <f aca="false">IF(OR(B1861="",V1861=""),"",IFERROR(INDEX(C_TIPO,MATCH(V1861&amp;"-P"&amp;MAX(1,COUNTIFS(C_RUTN,V1861,C_DEF,"Sí",C_INI,"&lt;="&amp;EOMONTH(B1861,0))),C_CLAVE,0))&amp;"","Sin contrato"))</f>
        <v/>
      </c>
      <c r="T1861" s="63" t="str">
        <f aca="false">IF(OR(B1861="",N(O1861)=0),"",N(O1861)+ROUND(MIN(N(N1861),TOPE_UF*UF_MES)*(TASA_EMP+MUTUAL),0)+ROUND(MIN(N(N1861),TOPE_AFC_UF*UF_MES)*IF(S1861="Indefinido",AFC_INDEF,AFC_PF),0))</f>
        <v/>
      </c>
      <c r="U1861" s="62" t="str">
        <f aca="false">IF(C1861="","",IF(LEFT(D1861,1)="⚠","⚠ RUT no registrado en Trabajadores",IF(B1861="","⚠ Falta el mes",IF(OR(ISTEXT(I1861),ISTEXT(J1861)),"⚠ Atrasos u horas extra como texto: escriba hh:mm (ej. 1:30)",IF(AND(ISNUMBER(Q1861),COUNTIFS(M_RUTN,V1861,M_MES,B1861,M_LIQ,"&lt;&gt;")&gt;1),"⚠ Liquidación repetida en el mes",IF(AND(ISNUMBER(O1861),ISNUMBER(P1861),ISNUMBER(Q1861),ABS(O1861-P1861-Q1861)&gt;1),"⚠ Haberes − descuentos no da el líquido","OK"))))))</f>
        <v/>
      </c>
      <c r="V1861" s="62" t="str">
        <f aca="false">IF(C1861="","",IFERROR(VALUE(LEFT(UPPER(SUBSTITUTE(SUBSTITUTE(SUBSTITUTE(TRIM(C1861),".",""),"-","")," ","")),LEN(UPPER(SUBSTITUTE(SUBSTITUTE(SUBSTITUTE(TRIM(C1861),".",""),"-","")," ","")))-1))&amp;RIGHT(UPPER(SUBSTITUTE(SUBSTITUTE(SUBSTITUTE(TRIM(C1861),".",""),"-","")," ","")),1),UPPER(SUBSTITUTE(SUBSTITUTE(SUBSTITUTE(TRIM(C1861),".",""),"-","")," ",""))))</f>
        <v/>
      </c>
    </row>
    <row r="1862" customFormat="false" ht="15" hidden="false" customHeight="false" outlineLevel="0" collapsed="false">
      <c r="B1862" s="80"/>
      <c r="C1862" s="58"/>
      <c r="D1862" s="62" t="str">
        <f aca="false">IF(C1862="","",IFERROR(INDEX(T_NOMBRE,MATCH(V1862,T_RUTN,0)),"⚠ RUT no está en Trabajadores"))</f>
        <v/>
      </c>
      <c r="E1862" s="61"/>
      <c r="F1862" s="61"/>
      <c r="G1862" s="61"/>
      <c r="H1862" s="61"/>
      <c r="I1862" s="81"/>
      <c r="J1862" s="81"/>
      <c r="K1862" s="60"/>
      <c r="L1862" s="60"/>
      <c r="M1862" s="60"/>
      <c r="N1862" s="60"/>
      <c r="O1862" s="60"/>
      <c r="P1862" s="60"/>
      <c r="Q1862" s="60"/>
      <c r="R1862" s="58"/>
      <c r="S1862" s="62" t="str">
        <f aca="false">IF(OR(B1862="",V1862=""),"",IFERROR(INDEX(C_TIPO,MATCH(V1862&amp;"-P"&amp;MAX(1,COUNTIFS(C_RUTN,V1862,C_DEF,"Sí",C_INI,"&lt;="&amp;EOMONTH(B1862,0))),C_CLAVE,0))&amp;"","Sin contrato"))</f>
        <v/>
      </c>
      <c r="T1862" s="63" t="str">
        <f aca="false">IF(OR(B1862="",N(O1862)=0),"",N(O1862)+ROUND(MIN(N(N1862),TOPE_UF*UF_MES)*(TASA_EMP+MUTUAL),0)+ROUND(MIN(N(N1862),TOPE_AFC_UF*UF_MES)*IF(S1862="Indefinido",AFC_INDEF,AFC_PF),0))</f>
        <v/>
      </c>
      <c r="U1862" s="62" t="str">
        <f aca="false">IF(C1862="","",IF(LEFT(D1862,1)="⚠","⚠ RUT no registrado en Trabajadores",IF(B1862="","⚠ Falta el mes",IF(OR(ISTEXT(I1862),ISTEXT(J1862)),"⚠ Atrasos u horas extra como texto: escriba hh:mm (ej. 1:30)",IF(AND(ISNUMBER(Q1862),COUNTIFS(M_RUTN,V1862,M_MES,B1862,M_LIQ,"&lt;&gt;")&gt;1),"⚠ Liquidación repetida en el mes",IF(AND(ISNUMBER(O1862),ISNUMBER(P1862),ISNUMBER(Q1862),ABS(O1862-P1862-Q1862)&gt;1),"⚠ Haberes − descuentos no da el líquido","OK"))))))</f>
        <v/>
      </c>
      <c r="V1862" s="62" t="str">
        <f aca="false">IF(C1862="","",IFERROR(VALUE(LEFT(UPPER(SUBSTITUTE(SUBSTITUTE(SUBSTITUTE(TRIM(C1862),".",""),"-","")," ","")),LEN(UPPER(SUBSTITUTE(SUBSTITUTE(SUBSTITUTE(TRIM(C1862),".",""),"-","")," ","")))-1))&amp;RIGHT(UPPER(SUBSTITUTE(SUBSTITUTE(SUBSTITUTE(TRIM(C1862),".",""),"-","")," ","")),1),UPPER(SUBSTITUTE(SUBSTITUTE(SUBSTITUTE(TRIM(C1862),".",""),"-","")," ",""))))</f>
        <v/>
      </c>
    </row>
    <row r="1863" customFormat="false" ht="15" hidden="false" customHeight="false" outlineLevel="0" collapsed="false">
      <c r="B1863" s="80"/>
      <c r="C1863" s="58"/>
      <c r="D1863" s="62" t="str">
        <f aca="false">IF(C1863="","",IFERROR(INDEX(T_NOMBRE,MATCH(V1863,T_RUTN,0)),"⚠ RUT no está en Trabajadores"))</f>
        <v/>
      </c>
      <c r="E1863" s="61"/>
      <c r="F1863" s="61"/>
      <c r="G1863" s="61"/>
      <c r="H1863" s="61"/>
      <c r="I1863" s="81"/>
      <c r="J1863" s="81"/>
      <c r="K1863" s="60"/>
      <c r="L1863" s="60"/>
      <c r="M1863" s="60"/>
      <c r="N1863" s="60"/>
      <c r="O1863" s="60"/>
      <c r="P1863" s="60"/>
      <c r="Q1863" s="60"/>
      <c r="R1863" s="58"/>
      <c r="S1863" s="62" t="str">
        <f aca="false">IF(OR(B1863="",V1863=""),"",IFERROR(INDEX(C_TIPO,MATCH(V1863&amp;"-P"&amp;MAX(1,COUNTIFS(C_RUTN,V1863,C_DEF,"Sí",C_INI,"&lt;="&amp;EOMONTH(B1863,0))),C_CLAVE,0))&amp;"","Sin contrato"))</f>
        <v/>
      </c>
      <c r="T1863" s="63" t="str">
        <f aca="false">IF(OR(B1863="",N(O1863)=0),"",N(O1863)+ROUND(MIN(N(N1863),TOPE_UF*UF_MES)*(TASA_EMP+MUTUAL),0)+ROUND(MIN(N(N1863),TOPE_AFC_UF*UF_MES)*IF(S1863="Indefinido",AFC_INDEF,AFC_PF),0))</f>
        <v/>
      </c>
      <c r="U1863" s="62" t="str">
        <f aca="false">IF(C1863="","",IF(LEFT(D1863,1)="⚠","⚠ RUT no registrado en Trabajadores",IF(B1863="","⚠ Falta el mes",IF(OR(ISTEXT(I1863),ISTEXT(J1863)),"⚠ Atrasos u horas extra como texto: escriba hh:mm (ej. 1:30)",IF(AND(ISNUMBER(Q1863),COUNTIFS(M_RUTN,V1863,M_MES,B1863,M_LIQ,"&lt;&gt;")&gt;1),"⚠ Liquidación repetida en el mes",IF(AND(ISNUMBER(O1863),ISNUMBER(P1863),ISNUMBER(Q1863),ABS(O1863-P1863-Q1863)&gt;1),"⚠ Haberes − descuentos no da el líquido","OK"))))))</f>
        <v/>
      </c>
      <c r="V1863" s="62" t="str">
        <f aca="false">IF(C1863="","",IFERROR(VALUE(LEFT(UPPER(SUBSTITUTE(SUBSTITUTE(SUBSTITUTE(TRIM(C1863),".",""),"-","")," ","")),LEN(UPPER(SUBSTITUTE(SUBSTITUTE(SUBSTITUTE(TRIM(C1863),".",""),"-","")," ","")))-1))&amp;RIGHT(UPPER(SUBSTITUTE(SUBSTITUTE(SUBSTITUTE(TRIM(C1863),".",""),"-","")," ","")),1),UPPER(SUBSTITUTE(SUBSTITUTE(SUBSTITUTE(TRIM(C1863),".",""),"-","")," ",""))))</f>
        <v/>
      </c>
    </row>
    <row r="1864" customFormat="false" ht="15" hidden="false" customHeight="false" outlineLevel="0" collapsed="false">
      <c r="B1864" s="80"/>
      <c r="C1864" s="58"/>
      <c r="D1864" s="62" t="str">
        <f aca="false">IF(C1864="","",IFERROR(INDEX(T_NOMBRE,MATCH(V1864,T_RUTN,0)),"⚠ RUT no está en Trabajadores"))</f>
        <v/>
      </c>
      <c r="E1864" s="61"/>
      <c r="F1864" s="61"/>
      <c r="G1864" s="61"/>
      <c r="H1864" s="61"/>
      <c r="I1864" s="81"/>
      <c r="J1864" s="81"/>
      <c r="K1864" s="60"/>
      <c r="L1864" s="60"/>
      <c r="M1864" s="60"/>
      <c r="N1864" s="60"/>
      <c r="O1864" s="60"/>
      <c r="P1864" s="60"/>
      <c r="Q1864" s="60"/>
      <c r="R1864" s="58"/>
      <c r="S1864" s="62" t="str">
        <f aca="false">IF(OR(B1864="",V1864=""),"",IFERROR(INDEX(C_TIPO,MATCH(V1864&amp;"-P"&amp;MAX(1,COUNTIFS(C_RUTN,V1864,C_DEF,"Sí",C_INI,"&lt;="&amp;EOMONTH(B1864,0))),C_CLAVE,0))&amp;"","Sin contrato"))</f>
        <v/>
      </c>
      <c r="T1864" s="63" t="str">
        <f aca="false">IF(OR(B1864="",N(O1864)=0),"",N(O1864)+ROUND(MIN(N(N1864),TOPE_UF*UF_MES)*(TASA_EMP+MUTUAL),0)+ROUND(MIN(N(N1864),TOPE_AFC_UF*UF_MES)*IF(S1864="Indefinido",AFC_INDEF,AFC_PF),0))</f>
        <v/>
      </c>
      <c r="U1864" s="62" t="str">
        <f aca="false">IF(C1864="","",IF(LEFT(D1864,1)="⚠","⚠ RUT no registrado en Trabajadores",IF(B1864="","⚠ Falta el mes",IF(OR(ISTEXT(I1864),ISTEXT(J1864)),"⚠ Atrasos u horas extra como texto: escriba hh:mm (ej. 1:30)",IF(AND(ISNUMBER(Q1864),COUNTIFS(M_RUTN,V1864,M_MES,B1864,M_LIQ,"&lt;&gt;")&gt;1),"⚠ Liquidación repetida en el mes",IF(AND(ISNUMBER(O1864),ISNUMBER(P1864),ISNUMBER(Q1864),ABS(O1864-P1864-Q1864)&gt;1),"⚠ Haberes − descuentos no da el líquido","OK"))))))</f>
        <v/>
      </c>
      <c r="V1864" s="62" t="str">
        <f aca="false">IF(C1864="","",IFERROR(VALUE(LEFT(UPPER(SUBSTITUTE(SUBSTITUTE(SUBSTITUTE(TRIM(C1864),".",""),"-","")," ","")),LEN(UPPER(SUBSTITUTE(SUBSTITUTE(SUBSTITUTE(TRIM(C1864),".",""),"-","")," ","")))-1))&amp;RIGHT(UPPER(SUBSTITUTE(SUBSTITUTE(SUBSTITUTE(TRIM(C1864),".",""),"-","")," ","")),1),UPPER(SUBSTITUTE(SUBSTITUTE(SUBSTITUTE(TRIM(C1864),".",""),"-","")," ",""))))</f>
        <v/>
      </c>
    </row>
    <row r="1865" customFormat="false" ht="15" hidden="false" customHeight="false" outlineLevel="0" collapsed="false">
      <c r="B1865" s="80"/>
      <c r="C1865" s="58"/>
      <c r="D1865" s="62" t="str">
        <f aca="false">IF(C1865="","",IFERROR(INDEX(T_NOMBRE,MATCH(V1865,T_RUTN,0)),"⚠ RUT no está en Trabajadores"))</f>
        <v/>
      </c>
      <c r="E1865" s="61"/>
      <c r="F1865" s="61"/>
      <c r="G1865" s="61"/>
      <c r="H1865" s="61"/>
      <c r="I1865" s="81"/>
      <c r="J1865" s="81"/>
      <c r="K1865" s="60"/>
      <c r="L1865" s="60"/>
      <c r="M1865" s="60"/>
      <c r="N1865" s="60"/>
      <c r="O1865" s="60"/>
      <c r="P1865" s="60"/>
      <c r="Q1865" s="60"/>
      <c r="R1865" s="58"/>
      <c r="S1865" s="62" t="str">
        <f aca="false">IF(OR(B1865="",V1865=""),"",IFERROR(INDEX(C_TIPO,MATCH(V1865&amp;"-P"&amp;MAX(1,COUNTIFS(C_RUTN,V1865,C_DEF,"Sí",C_INI,"&lt;="&amp;EOMONTH(B1865,0))),C_CLAVE,0))&amp;"","Sin contrato"))</f>
        <v/>
      </c>
      <c r="T1865" s="63" t="str">
        <f aca="false">IF(OR(B1865="",N(O1865)=0),"",N(O1865)+ROUND(MIN(N(N1865),TOPE_UF*UF_MES)*(TASA_EMP+MUTUAL),0)+ROUND(MIN(N(N1865),TOPE_AFC_UF*UF_MES)*IF(S1865="Indefinido",AFC_INDEF,AFC_PF),0))</f>
        <v/>
      </c>
      <c r="U1865" s="62" t="str">
        <f aca="false">IF(C1865="","",IF(LEFT(D1865,1)="⚠","⚠ RUT no registrado en Trabajadores",IF(B1865="","⚠ Falta el mes",IF(OR(ISTEXT(I1865),ISTEXT(J1865)),"⚠ Atrasos u horas extra como texto: escriba hh:mm (ej. 1:30)",IF(AND(ISNUMBER(Q1865),COUNTIFS(M_RUTN,V1865,M_MES,B1865,M_LIQ,"&lt;&gt;")&gt;1),"⚠ Liquidación repetida en el mes",IF(AND(ISNUMBER(O1865),ISNUMBER(P1865),ISNUMBER(Q1865),ABS(O1865-P1865-Q1865)&gt;1),"⚠ Haberes − descuentos no da el líquido","OK"))))))</f>
        <v/>
      </c>
      <c r="V1865" s="62" t="str">
        <f aca="false">IF(C1865="","",IFERROR(VALUE(LEFT(UPPER(SUBSTITUTE(SUBSTITUTE(SUBSTITUTE(TRIM(C1865),".",""),"-","")," ","")),LEN(UPPER(SUBSTITUTE(SUBSTITUTE(SUBSTITUTE(TRIM(C1865),".",""),"-","")," ","")))-1))&amp;RIGHT(UPPER(SUBSTITUTE(SUBSTITUTE(SUBSTITUTE(TRIM(C1865),".",""),"-","")," ","")),1),UPPER(SUBSTITUTE(SUBSTITUTE(SUBSTITUTE(TRIM(C1865),".",""),"-","")," ",""))))</f>
        <v/>
      </c>
    </row>
    <row r="1866" customFormat="false" ht="15" hidden="false" customHeight="false" outlineLevel="0" collapsed="false">
      <c r="B1866" s="80"/>
      <c r="C1866" s="58"/>
      <c r="D1866" s="62" t="str">
        <f aca="false">IF(C1866="","",IFERROR(INDEX(T_NOMBRE,MATCH(V1866,T_RUTN,0)),"⚠ RUT no está en Trabajadores"))</f>
        <v/>
      </c>
      <c r="E1866" s="61"/>
      <c r="F1866" s="61"/>
      <c r="G1866" s="61"/>
      <c r="H1866" s="61"/>
      <c r="I1866" s="81"/>
      <c r="J1866" s="81"/>
      <c r="K1866" s="60"/>
      <c r="L1866" s="60"/>
      <c r="M1866" s="60"/>
      <c r="N1866" s="60"/>
      <c r="O1866" s="60"/>
      <c r="P1866" s="60"/>
      <c r="Q1866" s="60"/>
      <c r="R1866" s="58"/>
      <c r="S1866" s="62" t="str">
        <f aca="false">IF(OR(B1866="",V1866=""),"",IFERROR(INDEX(C_TIPO,MATCH(V1866&amp;"-P"&amp;MAX(1,COUNTIFS(C_RUTN,V1866,C_DEF,"Sí",C_INI,"&lt;="&amp;EOMONTH(B1866,0))),C_CLAVE,0))&amp;"","Sin contrato"))</f>
        <v/>
      </c>
      <c r="T1866" s="63" t="str">
        <f aca="false">IF(OR(B1866="",N(O1866)=0),"",N(O1866)+ROUND(MIN(N(N1866),TOPE_UF*UF_MES)*(TASA_EMP+MUTUAL),0)+ROUND(MIN(N(N1866),TOPE_AFC_UF*UF_MES)*IF(S1866="Indefinido",AFC_INDEF,AFC_PF),0))</f>
        <v/>
      </c>
      <c r="U1866" s="62" t="str">
        <f aca="false">IF(C1866="","",IF(LEFT(D1866,1)="⚠","⚠ RUT no registrado en Trabajadores",IF(B1866="","⚠ Falta el mes",IF(OR(ISTEXT(I1866),ISTEXT(J1866)),"⚠ Atrasos u horas extra como texto: escriba hh:mm (ej. 1:30)",IF(AND(ISNUMBER(Q1866),COUNTIFS(M_RUTN,V1866,M_MES,B1866,M_LIQ,"&lt;&gt;")&gt;1),"⚠ Liquidación repetida en el mes",IF(AND(ISNUMBER(O1866),ISNUMBER(P1866),ISNUMBER(Q1866),ABS(O1866-P1866-Q1866)&gt;1),"⚠ Haberes − descuentos no da el líquido","OK"))))))</f>
        <v/>
      </c>
      <c r="V1866" s="62" t="str">
        <f aca="false">IF(C1866="","",IFERROR(VALUE(LEFT(UPPER(SUBSTITUTE(SUBSTITUTE(SUBSTITUTE(TRIM(C1866),".",""),"-","")," ","")),LEN(UPPER(SUBSTITUTE(SUBSTITUTE(SUBSTITUTE(TRIM(C1866),".",""),"-","")," ","")))-1))&amp;RIGHT(UPPER(SUBSTITUTE(SUBSTITUTE(SUBSTITUTE(TRIM(C1866),".",""),"-","")," ","")),1),UPPER(SUBSTITUTE(SUBSTITUTE(SUBSTITUTE(TRIM(C1866),".",""),"-","")," ",""))))</f>
        <v/>
      </c>
    </row>
    <row r="1867" customFormat="false" ht="15" hidden="false" customHeight="false" outlineLevel="0" collapsed="false">
      <c r="B1867" s="80"/>
      <c r="C1867" s="58"/>
      <c r="D1867" s="62" t="str">
        <f aca="false">IF(C1867="","",IFERROR(INDEX(T_NOMBRE,MATCH(V1867,T_RUTN,0)),"⚠ RUT no está en Trabajadores"))</f>
        <v/>
      </c>
      <c r="E1867" s="61"/>
      <c r="F1867" s="61"/>
      <c r="G1867" s="61"/>
      <c r="H1867" s="61"/>
      <c r="I1867" s="81"/>
      <c r="J1867" s="81"/>
      <c r="K1867" s="60"/>
      <c r="L1867" s="60"/>
      <c r="M1867" s="60"/>
      <c r="N1867" s="60"/>
      <c r="O1867" s="60"/>
      <c r="P1867" s="60"/>
      <c r="Q1867" s="60"/>
      <c r="R1867" s="58"/>
      <c r="S1867" s="62" t="str">
        <f aca="false">IF(OR(B1867="",V1867=""),"",IFERROR(INDEX(C_TIPO,MATCH(V1867&amp;"-P"&amp;MAX(1,COUNTIFS(C_RUTN,V1867,C_DEF,"Sí",C_INI,"&lt;="&amp;EOMONTH(B1867,0))),C_CLAVE,0))&amp;"","Sin contrato"))</f>
        <v/>
      </c>
      <c r="T1867" s="63" t="str">
        <f aca="false">IF(OR(B1867="",N(O1867)=0),"",N(O1867)+ROUND(MIN(N(N1867),TOPE_UF*UF_MES)*(TASA_EMP+MUTUAL),0)+ROUND(MIN(N(N1867),TOPE_AFC_UF*UF_MES)*IF(S1867="Indefinido",AFC_INDEF,AFC_PF),0))</f>
        <v/>
      </c>
      <c r="U1867" s="62" t="str">
        <f aca="false">IF(C1867="","",IF(LEFT(D1867,1)="⚠","⚠ RUT no registrado en Trabajadores",IF(B1867="","⚠ Falta el mes",IF(OR(ISTEXT(I1867),ISTEXT(J1867)),"⚠ Atrasos u horas extra como texto: escriba hh:mm (ej. 1:30)",IF(AND(ISNUMBER(Q1867),COUNTIFS(M_RUTN,V1867,M_MES,B1867,M_LIQ,"&lt;&gt;")&gt;1),"⚠ Liquidación repetida en el mes",IF(AND(ISNUMBER(O1867),ISNUMBER(P1867),ISNUMBER(Q1867),ABS(O1867-P1867-Q1867)&gt;1),"⚠ Haberes − descuentos no da el líquido","OK"))))))</f>
        <v/>
      </c>
      <c r="V1867" s="62" t="str">
        <f aca="false">IF(C1867="","",IFERROR(VALUE(LEFT(UPPER(SUBSTITUTE(SUBSTITUTE(SUBSTITUTE(TRIM(C1867),".",""),"-","")," ","")),LEN(UPPER(SUBSTITUTE(SUBSTITUTE(SUBSTITUTE(TRIM(C1867),".",""),"-","")," ","")))-1))&amp;RIGHT(UPPER(SUBSTITUTE(SUBSTITUTE(SUBSTITUTE(TRIM(C1867),".",""),"-","")," ","")),1),UPPER(SUBSTITUTE(SUBSTITUTE(SUBSTITUTE(TRIM(C1867),".",""),"-","")," ",""))))</f>
        <v/>
      </c>
    </row>
    <row r="1868" customFormat="false" ht="15" hidden="false" customHeight="false" outlineLevel="0" collapsed="false">
      <c r="B1868" s="80"/>
      <c r="C1868" s="58"/>
      <c r="D1868" s="62" t="str">
        <f aca="false">IF(C1868="","",IFERROR(INDEX(T_NOMBRE,MATCH(V1868,T_RUTN,0)),"⚠ RUT no está en Trabajadores"))</f>
        <v/>
      </c>
      <c r="E1868" s="61"/>
      <c r="F1868" s="61"/>
      <c r="G1868" s="61"/>
      <c r="H1868" s="61"/>
      <c r="I1868" s="81"/>
      <c r="J1868" s="81"/>
      <c r="K1868" s="60"/>
      <c r="L1868" s="60"/>
      <c r="M1868" s="60"/>
      <c r="N1868" s="60"/>
      <c r="O1868" s="60"/>
      <c r="P1868" s="60"/>
      <c r="Q1868" s="60"/>
      <c r="R1868" s="58"/>
      <c r="S1868" s="62" t="str">
        <f aca="false">IF(OR(B1868="",V1868=""),"",IFERROR(INDEX(C_TIPO,MATCH(V1868&amp;"-P"&amp;MAX(1,COUNTIFS(C_RUTN,V1868,C_DEF,"Sí",C_INI,"&lt;="&amp;EOMONTH(B1868,0))),C_CLAVE,0))&amp;"","Sin contrato"))</f>
        <v/>
      </c>
      <c r="T1868" s="63" t="str">
        <f aca="false">IF(OR(B1868="",N(O1868)=0),"",N(O1868)+ROUND(MIN(N(N1868),TOPE_UF*UF_MES)*(TASA_EMP+MUTUAL),0)+ROUND(MIN(N(N1868),TOPE_AFC_UF*UF_MES)*IF(S1868="Indefinido",AFC_INDEF,AFC_PF),0))</f>
        <v/>
      </c>
      <c r="U1868" s="62" t="str">
        <f aca="false">IF(C1868="","",IF(LEFT(D1868,1)="⚠","⚠ RUT no registrado en Trabajadores",IF(B1868="","⚠ Falta el mes",IF(OR(ISTEXT(I1868),ISTEXT(J1868)),"⚠ Atrasos u horas extra como texto: escriba hh:mm (ej. 1:30)",IF(AND(ISNUMBER(Q1868),COUNTIFS(M_RUTN,V1868,M_MES,B1868,M_LIQ,"&lt;&gt;")&gt;1),"⚠ Liquidación repetida en el mes",IF(AND(ISNUMBER(O1868),ISNUMBER(P1868),ISNUMBER(Q1868),ABS(O1868-P1868-Q1868)&gt;1),"⚠ Haberes − descuentos no da el líquido","OK"))))))</f>
        <v/>
      </c>
      <c r="V1868" s="62" t="str">
        <f aca="false">IF(C1868="","",IFERROR(VALUE(LEFT(UPPER(SUBSTITUTE(SUBSTITUTE(SUBSTITUTE(TRIM(C1868),".",""),"-","")," ","")),LEN(UPPER(SUBSTITUTE(SUBSTITUTE(SUBSTITUTE(TRIM(C1868),".",""),"-","")," ","")))-1))&amp;RIGHT(UPPER(SUBSTITUTE(SUBSTITUTE(SUBSTITUTE(TRIM(C1868),".",""),"-","")," ","")),1),UPPER(SUBSTITUTE(SUBSTITUTE(SUBSTITUTE(TRIM(C1868),".",""),"-","")," ",""))))</f>
        <v/>
      </c>
    </row>
    <row r="1869" customFormat="false" ht="15" hidden="false" customHeight="false" outlineLevel="0" collapsed="false">
      <c r="B1869" s="80"/>
      <c r="C1869" s="58"/>
      <c r="D1869" s="62" t="str">
        <f aca="false">IF(C1869="","",IFERROR(INDEX(T_NOMBRE,MATCH(V1869,T_RUTN,0)),"⚠ RUT no está en Trabajadores"))</f>
        <v/>
      </c>
      <c r="E1869" s="61"/>
      <c r="F1869" s="61"/>
      <c r="G1869" s="61"/>
      <c r="H1869" s="61"/>
      <c r="I1869" s="81"/>
      <c r="J1869" s="81"/>
      <c r="K1869" s="60"/>
      <c r="L1869" s="60"/>
      <c r="M1869" s="60"/>
      <c r="N1869" s="60"/>
      <c r="O1869" s="60"/>
      <c r="P1869" s="60"/>
      <c r="Q1869" s="60"/>
      <c r="R1869" s="58"/>
      <c r="S1869" s="62" t="str">
        <f aca="false">IF(OR(B1869="",V1869=""),"",IFERROR(INDEX(C_TIPO,MATCH(V1869&amp;"-P"&amp;MAX(1,COUNTIFS(C_RUTN,V1869,C_DEF,"Sí",C_INI,"&lt;="&amp;EOMONTH(B1869,0))),C_CLAVE,0))&amp;"","Sin contrato"))</f>
        <v/>
      </c>
      <c r="T1869" s="63" t="str">
        <f aca="false">IF(OR(B1869="",N(O1869)=0),"",N(O1869)+ROUND(MIN(N(N1869),TOPE_UF*UF_MES)*(TASA_EMP+MUTUAL),0)+ROUND(MIN(N(N1869),TOPE_AFC_UF*UF_MES)*IF(S1869="Indefinido",AFC_INDEF,AFC_PF),0))</f>
        <v/>
      </c>
      <c r="U1869" s="62" t="str">
        <f aca="false">IF(C1869="","",IF(LEFT(D1869,1)="⚠","⚠ RUT no registrado en Trabajadores",IF(B1869="","⚠ Falta el mes",IF(OR(ISTEXT(I1869),ISTEXT(J1869)),"⚠ Atrasos u horas extra como texto: escriba hh:mm (ej. 1:30)",IF(AND(ISNUMBER(Q1869),COUNTIFS(M_RUTN,V1869,M_MES,B1869,M_LIQ,"&lt;&gt;")&gt;1),"⚠ Liquidación repetida en el mes",IF(AND(ISNUMBER(O1869),ISNUMBER(P1869),ISNUMBER(Q1869),ABS(O1869-P1869-Q1869)&gt;1),"⚠ Haberes − descuentos no da el líquido","OK"))))))</f>
        <v/>
      </c>
      <c r="V1869" s="62" t="str">
        <f aca="false">IF(C1869="","",IFERROR(VALUE(LEFT(UPPER(SUBSTITUTE(SUBSTITUTE(SUBSTITUTE(TRIM(C1869),".",""),"-","")," ","")),LEN(UPPER(SUBSTITUTE(SUBSTITUTE(SUBSTITUTE(TRIM(C1869),".",""),"-","")," ","")))-1))&amp;RIGHT(UPPER(SUBSTITUTE(SUBSTITUTE(SUBSTITUTE(TRIM(C1869),".",""),"-","")," ","")),1),UPPER(SUBSTITUTE(SUBSTITUTE(SUBSTITUTE(TRIM(C1869),".",""),"-","")," ",""))))</f>
        <v/>
      </c>
    </row>
    <row r="1870" customFormat="false" ht="15" hidden="false" customHeight="false" outlineLevel="0" collapsed="false">
      <c r="B1870" s="80"/>
      <c r="C1870" s="58"/>
      <c r="D1870" s="62" t="str">
        <f aca="false">IF(C1870="","",IFERROR(INDEX(T_NOMBRE,MATCH(V1870,T_RUTN,0)),"⚠ RUT no está en Trabajadores"))</f>
        <v/>
      </c>
      <c r="E1870" s="61"/>
      <c r="F1870" s="61"/>
      <c r="G1870" s="61"/>
      <c r="H1870" s="61"/>
      <c r="I1870" s="81"/>
      <c r="J1870" s="81"/>
      <c r="K1870" s="60"/>
      <c r="L1870" s="60"/>
      <c r="M1870" s="60"/>
      <c r="N1870" s="60"/>
      <c r="O1870" s="60"/>
      <c r="P1870" s="60"/>
      <c r="Q1870" s="60"/>
      <c r="R1870" s="58"/>
      <c r="S1870" s="62" t="str">
        <f aca="false">IF(OR(B1870="",V1870=""),"",IFERROR(INDEX(C_TIPO,MATCH(V1870&amp;"-P"&amp;MAX(1,COUNTIFS(C_RUTN,V1870,C_DEF,"Sí",C_INI,"&lt;="&amp;EOMONTH(B1870,0))),C_CLAVE,0))&amp;"","Sin contrato"))</f>
        <v/>
      </c>
      <c r="T1870" s="63" t="str">
        <f aca="false">IF(OR(B1870="",N(O1870)=0),"",N(O1870)+ROUND(MIN(N(N1870),TOPE_UF*UF_MES)*(TASA_EMP+MUTUAL),0)+ROUND(MIN(N(N1870),TOPE_AFC_UF*UF_MES)*IF(S1870="Indefinido",AFC_INDEF,AFC_PF),0))</f>
        <v/>
      </c>
      <c r="U1870" s="62" t="str">
        <f aca="false">IF(C1870="","",IF(LEFT(D1870,1)="⚠","⚠ RUT no registrado en Trabajadores",IF(B1870="","⚠ Falta el mes",IF(OR(ISTEXT(I1870),ISTEXT(J1870)),"⚠ Atrasos u horas extra como texto: escriba hh:mm (ej. 1:30)",IF(AND(ISNUMBER(Q1870),COUNTIFS(M_RUTN,V1870,M_MES,B1870,M_LIQ,"&lt;&gt;")&gt;1),"⚠ Liquidación repetida en el mes",IF(AND(ISNUMBER(O1870),ISNUMBER(P1870),ISNUMBER(Q1870),ABS(O1870-P1870-Q1870)&gt;1),"⚠ Haberes − descuentos no da el líquido","OK"))))))</f>
        <v/>
      </c>
      <c r="V1870" s="62" t="str">
        <f aca="false">IF(C1870="","",IFERROR(VALUE(LEFT(UPPER(SUBSTITUTE(SUBSTITUTE(SUBSTITUTE(TRIM(C1870),".",""),"-","")," ","")),LEN(UPPER(SUBSTITUTE(SUBSTITUTE(SUBSTITUTE(TRIM(C1870),".",""),"-","")," ","")))-1))&amp;RIGHT(UPPER(SUBSTITUTE(SUBSTITUTE(SUBSTITUTE(TRIM(C1870),".",""),"-","")," ","")),1),UPPER(SUBSTITUTE(SUBSTITUTE(SUBSTITUTE(TRIM(C1870),".",""),"-","")," ",""))))</f>
        <v/>
      </c>
    </row>
    <row r="1871" customFormat="false" ht="15" hidden="false" customHeight="false" outlineLevel="0" collapsed="false">
      <c r="B1871" s="80"/>
      <c r="C1871" s="58"/>
      <c r="D1871" s="62" t="str">
        <f aca="false">IF(C1871="","",IFERROR(INDEX(T_NOMBRE,MATCH(V1871,T_RUTN,0)),"⚠ RUT no está en Trabajadores"))</f>
        <v/>
      </c>
      <c r="E1871" s="61"/>
      <c r="F1871" s="61"/>
      <c r="G1871" s="61"/>
      <c r="H1871" s="61"/>
      <c r="I1871" s="81"/>
      <c r="J1871" s="81"/>
      <c r="K1871" s="60"/>
      <c r="L1871" s="60"/>
      <c r="M1871" s="60"/>
      <c r="N1871" s="60"/>
      <c r="O1871" s="60"/>
      <c r="P1871" s="60"/>
      <c r="Q1871" s="60"/>
      <c r="R1871" s="58"/>
      <c r="S1871" s="62" t="str">
        <f aca="false">IF(OR(B1871="",V1871=""),"",IFERROR(INDEX(C_TIPO,MATCH(V1871&amp;"-P"&amp;MAX(1,COUNTIFS(C_RUTN,V1871,C_DEF,"Sí",C_INI,"&lt;="&amp;EOMONTH(B1871,0))),C_CLAVE,0))&amp;"","Sin contrato"))</f>
        <v/>
      </c>
      <c r="T1871" s="63" t="str">
        <f aca="false">IF(OR(B1871="",N(O1871)=0),"",N(O1871)+ROUND(MIN(N(N1871),TOPE_UF*UF_MES)*(TASA_EMP+MUTUAL),0)+ROUND(MIN(N(N1871),TOPE_AFC_UF*UF_MES)*IF(S1871="Indefinido",AFC_INDEF,AFC_PF),0))</f>
        <v/>
      </c>
      <c r="U1871" s="62" t="str">
        <f aca="false">IF(C1871="","",IF(LEFT(D1871,1)="⚠","⚠ RUT no registrado en Trabajadores",IF(B1871="","⚠ Falta el mes",IF(OR(ISTEXT(I1871),ISTEXT(J1871)),"⚠ Atrasos u horas extra como texto: escriba hh:mm (ej. 1:30)",IF(AND(ISNUMBER(Q1871),COUNTIFS(M_RUTN,V1871,M_MES,B1871,M_LIQ,"&lt;&gt;")&gt;1),"⚠ Liquidación repetida en el mes",IF(AND(ISNUMBER(O1871),ISNUMBER(P1871),ISNUMBER(Q1871),ABS(O1871-P1871-Q1871)&gt;1),"⚠ Haberes − descuentos no da el líquido","OK"))))))</f>
        <v/>
      </c>
      <c r="V1871" s="62" t="str">
        <f aca="false">IF(C1871="","",IFERROR(VALUE(LEFT(UPPER(SUBSTITUTE(SUBSTITUTE(SUBSTITUTE(TRIM(C1871),".",""),"-","")," ","")),LEN(UPPER(SUBSTITUTE(SUBSTITUTE(SUBSTITUTE(TRIM(C1871),".",""),"-","")," ","")))-1))&amp;RIGHT(UPPER(SUBSTITUTE(SUBSTITUTE(SUBSTITUTE(TRIM(C1871),".",""),"-","")," ","")),1),UPPER(SUBSTITUTE(SUBSTITUTE(SUBSTITUTE(TRIM(C1871),".",""),"-","")," ",""))))</f>
        <v/>
      </c>
    </row>
    <row r="1872" customFormat="false" ht="15" hidden="false" customHeight="false" outlineLevel="0" collapsed="false">
      <c r="B1872" s="80"/>
      <c r="C1872" s="58"/>
      <c r="D1872" s="62" t="str">
        <f aca="false">IF(C1872="","",IFERROR(INDEX(T_NOMBRE,MATCH(V1872,T_RUTN,0)),"⚠ RUT no está en Trabajadores"))</f>
        <v/>
      </c>
      <c r="E1872" s="61"/>
      <c r="F1872" s="61"/>
      <c r="G1872" s="61"/>
      <c r="H1872" s="61"/>
      <c r="I1872" s="81"/>
      <c r="J1872" s="81"/>
      <c r="K1872" s="60"/>
      <c r="L1872" s="60"/>
      <c r="M1872" s="60"/>
      <c r="N1872" s="60"/>
      <c r="O1872" s="60"/>
      <c r="P1872" s="60"/>
      <c r="Q1872" s="60"/>
      <c r="R1872" s="58"/>
      <c r="S1872" s="62" t="str">
        <f aca="false">IF(OR(B1872="",V1872=""),"",IFERROR(INDEX(C_TIPO,MATCH(V1872&amp;"-P"&amp;MAX(1,COUNTIFS(C_RUTN,V1872,C_DEF,"Sí",C_INI,"&lt;="&amp;EOMONTH(B1872,0))),C_CLAVE,0))&amp;"","Sin contrato"))</f>
        <v/>
      </c>
      <c r="T1872" s="63" t="str">
        <f aca="false">IF(OR(B1872="",N(O1872)=0),"",N(O1872)+ROUND(MIN(N(N1872),TOPE_UF*UF_MES)*(TASA_EMP+MUTUAL),0)+ROUND(MIN(N(N1872),TOPE_AFC_UF*UF_MES)*IF(S1872="Indefinido",AFC_INDEF,AFC_PF),0))</f>
        <v/>
      </c>
      <c r="U1872" s="62" t="str">
        <f aca="false">IF(C1872="","",IF(LEFT(D1872,1)="⚠","⚠ RUT no registrado en Trabajadores",IF(B1872="","⚠ Falta el mes",IF(OR(ISTEXT(I1872),ISTEXT(J1872)),"⚠ Atrasos u horas extra como texto: escriba hh:mm (ej. 1:30)",IF(AND(ISNUMBER(Q1872),COUNTIFS(M_RUTN,V1872,M_MES,B1872,M_LIQ,"&lt;&gt;")&gt;1),"⚠ Liquidación repetida en el mes",IF(AND(ISNUMBER(O1872),ISNUMBER(P1872),ISNUMBER(Q1872),ABS(O1872-P1872-Q1872)&gt;1),"⚠ Haberes − descuentos no da el líquido","OK"))))))</f>
        <v/>
      </c>
      <c r="V1872" s="62" t="str">
        <f aca="false">IF(C1872="","",IFERROR(VALUE(LEFT(UPPER(SUBSTITUTE(SUBSTITUTE(SUBSTITUTE(TRIM(C1872),".",""),"-","")," ","")),LEN(UPPER(SUBSTITUTE(SUBSTITUTE(SUBSTITUTE(TRIM(C1872),".",""),"-","")," ","")))-1))&amp;RIGHT(UPPER(SUBSTITUTE(SUBSTITUTE(SUBSTITUTE(TRIM(C1872),".",""),"-","")," ","")),1),UPPER(SUBSTITUTE(SUBSTITUTE(SUBSTITUTE(TRIM(C1872),".",""),"-","")," ",""))))</f>
        <v/>
      </c>
    </row>
    <row r="1873" customFormat="false" ht="15" hidden="false" customHeight="false" outlineLevel="0" collapsed="false">
      <c r="B1873" s="80"/>
      <c r="C1873" s="58"/>
      <c r="D1873" s="62" t="str">
        <f aca="false">IF(C1873="","",IFERROR(INDEX(T_NOMBRE,MATCH(V1873,T_RUTN,0)),"⚠ RUT no está en Trabajadores"))</f>
        <v/>
      </c>
      <c r="E1873" s="61"/>
      <c r="F1873" s="61"/>
      <c r="G1873" s="61"/>
      <c r="H1873" s="61"/>
      <c r="I1873" s="81"/>
      <c r="J1873" s="81"/>
      <c r="K1873" s="60"/>
      <c r="L1873" s="60"/>
      <c r="M1873" s="60"/>
      <c r="N1873" s="60"/>
      <c r="O1873" s="60"/>
      <c r="P1873" s="60"/>
      <c r="Q1873" s="60"/>
      <c r="R1873" s="58"/>
      <c r="S1873" s="62" t="str">
        <f aca="false">IF(OR(B1873="",V1873=""),"",IFERROR(INDEX(C_TIPO,MATCH(V1873&amp;"-P"&amp;MAX(1,COUNTIFS(C_RUTN,V1873,C_DEF,"Sí",C_INI,"&lt;="&amp;EOMONTH(B1873,0))),C_CLAVE,0))&amp;"","Sin contrato"))</f>
        <v/>
      </c>
      <c r="T1873" s="63" t="str">
        <f aca="false">IF(OR(B1873="",N(O1873)=0),"",N(O1873)+ROUND(MIN(N(N1873),TOPE_UF*UF_MES)*(TASA_EMP+MUTUAL),0)+ROUND(MIN(N(N1873),TOPE_AFC_UF*UF_MES)*IF(S1873="Indefinido",AFC_INDEF,AFC_PF),0))</f>
        <v/>
      </c>
      <c r="U1873" s="62" t="str">
        <f aca="false">IF(C1873="","",IF(LEFT(D1873,1)="⚠","⚠ RUT no registrado en Trabajadores",IF(B1873="","⚠ Falta el mes",IF(OR(ISTEXT(I1873),ISTEXT(J1873)),"⚠ Atrasos u horas extra como texto: escriba hh:mm (ej. 1:30)",IF(AND(ISNUMBER(Q1873),COUNTIFS(M_RUTN,V1873,M_MES,B1873,M_LIQ,"&lt;&gt;")&gt;1),"⚠ Liquidación repetida en el mes",IF(AND(ISNUMBER(O1873),ISNUMBER(P1873),ISNUMBER(Q1873),ABS(O1873-P1873-Q1873)&gt;1),"⚠ Haberes − descuentos no da el líquido","OK"))))))</f>
        <v/>
      </c>
      <c r="V1873" s="62" t="str">
        <f aca="false">IF(C1873="","",IFERROR(VALUE(LEFT(UPPER(SUBSTITUTE(SUBSTITUTE(SUBSTITUTE(TRIM(C1873),".",""),"-","")," ","")),LEN(UPPER(SUBSTITUTE(SUBSTITUTE(SUBSTITUTE(TRIM(C1873),".",""),"-","")," ","")))-1))&amp;RIGHT(UPPER(SUBSTITUTE(SUBSTITUTE(SUBSTITUTE(TRIM(C1873),".",""),"-","")," ","")),1),UPPER(SUBSTITUTE(SUBSTITUTE(SUBSTITUTE(TRIM(C1873),".",""),"-","")," ",""))))</f>
        <v/>
      </c>
    </row>
    <row r="1874" customFormat="false" ht="15" hidden="false" customHeight="false" outlineLevel="0" collapsed="false">
      <c r="B1874" s="80"/>
      <c r="C1874" s="58"/>
      <c r="D1874" s="62" t="str">
        <f aca="false">IF(C1874="","",IFERROR(INDEX(T_NOMBRE,MATCH(V1874,T_RUTN,0)),"⚠ RUT no está en Trabajadores"))</f>
        <v/>
      </c>
      <c r="E1874" s="61"/>
      <c r="F1874" s="61"/>
      <c r="G1874" s="61"/>
      <c r="H1874" s="61"/>
      <c r="I1874" s="81"/>
      <c r="J1874" s="81"/>
      <c r="K1874" s="60"/>
      <c r="L1874" s="60"/>
      <c r="M1874" s="60"/>
      <c r="N1874" s="60"/>
      <c r="O1874" s="60"/>
      <c r="P1874" s="60"/>
      <c r="Q1874" s="60"/>
      <c r="R1874" s="58"/>
      <c r="S1874" s="62" t="str">
        <f aca="false">IF(OR(B1874="",V1874=""),"",IFERROR(INDEX(C_TIPO,MATCH(V1874&amp;"-P"&amp;MAX(1,COUNTIFS(C_RUTN,V1874,C_DEF,"Sí",C_INI,"&lt;="&amp;EOMONTH(B1874,0))),C_CLAVE,0))&amp;"","Sin contrato"))</f>
        <v/>
      </c>
      <c r="T1874" s="63" t="str">
        <f aca="false">IF(OR(B1874="",N(O1874)=0),"",N(O1874)+ROUND(MIN(N(N1874),TOPE_UF*UF_MES)*(TASA_EMP+MUTUAL),0)+ROUND(MIN(N(N1874),TOPE_AFC_UF*UF_MES)*IF(S1874="Indefinido",AFC_INDEF,AFC_PF),0))</f>
        <v/>
      </c>
      <c r="U1874" s="62" t="str">
        <f aca="false">IF(C1874="","",IF(LEFT(D1874,1)="⚠","⚠ RUT no registrado en Trabajadores",IF(B1874="","⚠ Falta el mes",IF(OR(ISTEXT(I1874),ISTEXT(J1874)),"⚠ Atrasos u horas extra como texto: escriba hh:mm (ej. 1:30)",IF(AND(ISNUMBER(Q1874),COUNTIFS(M_RUTN,V1874,M_MES,B1874,M_LIQ,"&lt;&gt;")&gt;1),"⚠ Liquidación repetida en el mes",IF(AND(ISNUMBER(O1874),ISNUMBER(P1874),ISNUMBER(Q1874),ABS(O1874-P1874-Q1874)&gt;1),"⚠ Haberes − descuentos no da el líquido","OK"))))))</f>
        <v/>
      </c>
      <c r="V1874" s="62" t="str">
        <f aca="false">IF(C1874="","",IFERROR(VALUE(LEFT(UPPER(SUBSTITUTE(SUBSTITUTE(SUBSTITUTE(TRIM(C1874),".",""),"-","")," ","")),LEN(UPPER(SUBSTITUTE(SUBSTITUTE(SUBSTITUTE(TRIM(C1874),".",""),"-","")," ","")))-1))&amp;RIGHT(UPPER(SUBSTITUTE(SUBSTITUTE(SUBSTITUTE(TRIM(C1874),".",""),"-","")," ","")),1),UPPER(SUBSTITUTE(SUBSTITUTE(SUBSTITUTE(TRIM(C1874),".",""),"-","")," ",""))))</f>
        <v/>
      </c>
    </row>
    <row r="1875" customFormat="false" ht="15" hidden="false" customHeight="false" outlineLevel="0" collapsed="false">
      <c r="B1875" s="80"/>
      <c r="C1875" s="58"/>
      <c r="D1875" s="62" t="str">
        <f aca="false">IF(C1875="","",IFERROR(INDEX(T_NOMBRE,MATCH(V1875,T_RUTN,0)),"⚠ RUT no está en Trabajadores"))</f>
        <v/>
      </c>
      <c r="E1875" s="61"/>
      <c r="F1875" s="61"/>
      <c r="G1875" s="61"/>
      <c r="H1875" s="61"/>
      <c r="I1875" s="81"/>
      <c r="J1875" s="81"/>
      <c r="K1875" s="60"/>
      <c r="L1875" s="60"/>
      <c r="M1875" s="60"/>
      <c r="N1875" s="60"/>
      <c r="O1875" s="60"/>
      <c r="P1875" s="60"/>
      <c r="Q1875" s="60"/>
      <c r="R1875" s="58"/>
      <c r="S1875" s="62" t="str">
        <f aca="false">IF(OR(B1875="",V1875=""),"",IFERROR(INDEX(C_TIPO,MATCH(V1875&amp;"-P"&amp;MAX(1,COUNTIFS(C_RUTN,V1875,C_DEF,"Sí",C_INI,"&lt;="&amp;EOMONTH(B1875,0))),C_CLAVE,0))&amp;"","Sin contrato"))</f>
        <v/>
      </c>
      <c r="T1875" s="63" t="str">
        <f aca="false">IF(OR(B1875="",N(O1875)=0),"",N(O1875)+ROUND(MIN(N(N1875),TOPE_UF*UF_MES)*(TASA_EMP+MUTUAL),0)+ROUND(MIN(N(N1875),TOPE_AFC_UF*UF_MES)*IF(S1875="Indefinido",AFC_INDEF,AFC_PF),0))</f>
        <v/>
      </c>
      <c r="U1875" s="62" t="str">
        <f aca="false">IF(C1875="","",IF(LEFT(D1875,1)="⚠","⚠ RUT no registrado en Trabajadores",IF(B1875="","⚠ Falta el mes",IF(OR(ISTEXT(I1875),ISTEXT(J1875)),"⚠ Atrasos u horas extra como texto: escriba hh:mm (ej. 1:30)",IF(AND(ISNUMBER(Q1875),COUNTIFS(M_RUTN,V1875,M_MES,B1875,M_LIQ,"&lt;&gt;")&gt;1),"⚠ Liquidación repetida en el mes",IF(AND(ISNUMBER(O1875),ISNUMBER(P1875),ISNUMBER(Q1875),ABS(O1875-P1875-Q1875)&gt;1),"⚠ Haberes − descuentos no da el líquido","OK"))))))</f>
        <v/>
      </c>
      <c r="V1875" s="62" t="str">
        <f aca="false">IF(C1875="","",IFERROR(VALUE(LEFT(UPPER(SUBSTITUTE(SUBSTITUTE(SUBSTITUTE(TRIM(C1875),".",""),"-","")," ","")),LEN(UPPER(SUBSTITUTE(SUBSTITUTE(SUBSTITUTE(TRIM(C1875),".",""),"-","")," ","")))-1))&amp;RIGHT(UPPER(SUBSTITUTE(SUBSTITUTE(SUBSTITUTE(TRIM(C1875),".",""),"-","")," ","")),1),UPPER(SUBSTITUTE(SUBSTITUTE(SUBSTITUTE(TRIM(C1875),".",""),"-","")," ",""))))</f>
        <v/>
      </c>
    </row>
    <row r="1876" customFormat="false" ht="15" hidden="false" customHeight="false" outlineLevel="0" collapsed="false">
      <c r="B1876" s="80"/>
      <c r="C1876" s="58"/>
      <c r="D1876" s="62" t="str">
        <f aca="false">IF(C1876="","",IFERROR(INDEX(T_NOMBRE,MATCH(V1876,T_RUTN,0)),"⚠ RUT no está en Trabajadores"))</f>
        <v/>
      </c>
      <c r="E1876" s="61"/>
      <c r="F1876" s="61"/>
      <c r="G1876" s="61"/>
      <c r="H1876" s="61"/>
      <c r="I1876" s="81"/>
      <c r="J1876" s="81"/>
      <c r="K1876" s="60"/>
      <c r="L1876" s="60"/>
      <c r="M1876" s="60"/>
      <c r="N1876" s="60"/>
      <c r="O1876" s="60"/>
      <c r="P1876" s="60"/>
      <c r="Q1876" s="60"/>
      <c r="R1876" s="58"/>
      <c r="S1876" s="62" t="str">
        <f aca="false">IF(OR(B1876="",V1876=""),"",IFERROR(INDEX(C_TIPO,MATCH(V1876&amp;"-P"&amp;MAX(1,COUNTIFS(C_RUTN,V1876,C_DEF,"Sí",C_INI,"&lt;="&amp;EOMONTH(B1876,0))),C_CLAVE,0))&amp;"","Sin contrato"))</f>
        <v/>
      </c>
      <c r="T1876" s="63" t="str">
        <f aca="false">IF(OR(B1876="",N(O1876)=0),"",N(O1876)+ROUND(MIN(N(N1876),TOPE_UF*UF_MES)*(TASA_EMP+MUTUAL),0)+ROUND(MIN(N(N1876),TOPE_AFC_UF*UF_MES)*IF(S1876="Indefinido",AFC_INDEF,AFC_PF),0))</f>
        <v/>
      </c>
      <c r="U1876" s="62" t="str">
        <f aca="false">IF(C1876="","",IF(LEFT(D1876,1)="⚠","⚠ RUT no registrado en Trabajadores",IF(B1876="","⚠ Falta el mes",IF(OR(ISTEXT(I1876),ISTEXT(J1876)),"⚠ Atrasos u horas extra como texto: escriba hh:mm (ej. 1:30)",IF(AND(ISNUMBER(Q1876),COUNTIFS(M_RUTN,V1876,M_MES,B1876,M_LIQ,"&lt;&gt;")&gt;1),"⚠ Liquidación repetida en el mes",IF(AND(ISNUMBER(O1876),ISNUMBER(P1876),ISNUMBER(Q1876),ABS(O1876-P1876-Q1876)&gt;1),"⚠ Haberes − descuentos no da el líquido","OK"))))))</f>
        <v/>
      </c>
      <c r="V1876" s="62" t="str">
        <f aca="false">IF(C1876="","",IFERROR(VALUE(LEFT(UPPER(SUBSTITUTE(SUBSTITUTE(SUBSTITUTE(TRIM(C1876),".",""),"-","")," ","")),LEN(UPPER(SUBSTITUTE(SUBSTITUTE(SUBSTITUTE(TRIM(C1876),".",""),"-","")," ","")))-1))&amp;RIGHT(UPPER(SUBSTITUTE(SUBSTITUTE(SUBSTITUTE(TRIM(C1876),".",""),"-","")," ","")),1),UPPER(SUBSTITUTE(SUBSTITUTE(SUBSTITUTE(TRIM(C1876),".",""),"-","")," ",""))))</f>
        <v/>
      </c>
    </row>
    <row r="1877" customFormat="false" ht="15" hidden="false" customHeight="false" outlineLevel="0" collapsed="false">
      <c r="B1877" s="80"/>
      <c r="C1877" s="58"/>
      <c r="D1877" s="62" t="str">
        <f aca="false">IF(C1877="","",IFERROR(INDEX(T_NOMBRE,MATCH(V1877,T_RUTN,0)),"⚠ RUT no está en Trabajadores"))</f>
        <v/>
      </c>
      <c r="E1877" s="61"/>
      <c r="F1877" s="61"/>
      <c r="G1877" s="61"/>
      <c r="H1877" s="61"/>
      <c r="I1877" s="81"/>
      <c r="J1877" s="81"/>
      <c r="K1877" s="60"/>
      <c r="L1877" s="60"/>
      <c r="M1877" s="60"/>
      <c r="N1877" s="60"/>
      <c r="O1877" s="60"/>
      <c r="P1877" s="60"/>
      <c r="Q1877" s="60"/>
      <c r="R1877" s="58"/>
      <c r="S1877" s="62" t="str">
        <f aca="false">IF(OR(B1877="",V1877=""),"",IFERROR(INDEX(C_TIPO,MATCH(V1877&amp;"-P"&amp;MAX(1,COUNTIFS(C_RUTN,V1877,C_DEF,"Sí",C_INI,"&lt;="&amp;EOMONTH(B1877,0))),C_CLAVE,0))&amp;"","Sin contrato"))</f>
        <v/>
      </c>
      <c r="T1877" s="63" t="str">
        <f aca="false">IF(OR(B1877="",N(O1877)=0),"",N(O1877)+ROUND(MIN(N(N1877),TOPE_UF*UF_MES)*(TASA_EMP+MUTUAL),0)+ROUND(MIN(N(N1877),TOPE_AFC_UF*UF_MES)*IF(S1877="Indefinido",AFC_INDEF,AFC_PF),0))</f>
        <v/>
      </c>
      <c r="U1877" s="62" t="str">
        <f aca="false">IF(C1877="","",IF(LEFT(D1877,1)="⚠","⚠ RUT no registrado en Trabajadores",IF(B1877="","⚠ Falta el mes",IF(OR(ISTEXT(I1877),ISTEXT(J1877)),"⚠ Atrasos u horas extra como texto: escriba hh:mm (ej. 1:30)",IF(AND(ISNUMBER(Q1877),COUNTIFS(M_RUTN,V1877,M_MES,B1877,M_LIQ,"&lt;&gt;")&gt;1),"⚠ Liquidación repetida en el mes",IF(AND(ISNUMBER(O1877),ISNUMBER(P1877),ISNUMBER(Q1877),ABS(O1877-P1877-Q1877)&gt;1),"⚠ Haberes − descuentos no da el líquido","OK"))))))</f>
        <v/>
      </c>
      <c r="V1877" s="62" t="str">
        <f aca="false">IF(C1877="","",IFERROR(VALUE(LEFT(UPPER(SUBSTITUTE(SUBSTITUTE(SUBSTITUTE(TRIM(C1877),".",""),"-","")," ","")),LEN(UPPER(SUBSTITUTE(SUBSTITUTE(SUBSTITUTE(TRIM(C1877),".",""),"-","")," ","")))-1))&amp;RIGHT(UPPER(SUBSTITUTE(SUBSTITUTE(SUBSTITUTE(TRIM(C1877),".",""),"-","")," ","")),1),UPPER(SUBSTITUTE(SUBSTITUTE(SUBSTITUTE(TRIM(C1877),".",""),"-","")," ",""))))</f>
        <v/>
      </c>
    </row>
    <row r="1878" customFormat="false" ht="15" hidden="false" customHeight="false" outlineLevel="0" collapsed="false">
      <c r="B1878" s="80"/>
      <c r="C1878" s="58"/>
      <c r="D1878" s="62" t="str">
        <f aca="false">IF(C1878="","",IFERROR(INDEX(T_NOMBRE,MATCH(V1878,T_RUTN,0)),"⚠ RUT no está en Trabajadores"))</f>
        <v/>
      </c>
      <c r="E1878" s="61"/>
      <c r="F1878" s="61"/>
      <c r="G1878" s="61"/>
      <c r="H1878" s="61"/>
      <c r="I1878" s="81"/>
      <c r="J1878" s="81"/>
      <c r="K1878" s="60"/>
      <c r="L1878" s="60"/>
      <c r="M1878" s="60"/>
      <c r="N1878" s="60"/>
      <c r="O1878" s="60"/>
      <c r="P1878" s="60"/>
      <c r="Q1878" s="60"/>
      <c r="R1878" s="58"/>
      <c r="S1878" s="62" t="str">
        <f aca="false">IF(OR(B1878="",V1878=""),"",IFERROR(INDEX(C_TIPO,MATCH(V1878&amp;"-P"&amp;MAX(1,COUNTIFS(C_RUTN,V1878,C_DEF,"Sí",C_INI,"&lt;="&amp;EOMONTH(B1878,0))),C_CLAVE,0))&amp;"","Sin contrato"))</f>
        <v/>
      </c>
      <c r="T1878" s="63" t="str">
        <f aca="false">IF(OR(B1878="",N(O1878)=0),"",N(O1878)+ROUND(MIN(N(N1878),TOPE_UF*UF_MES)*(TASA_EMP+MUTUAL),0)+ROUND(MIN(N(N1878),TOPE_AFC_UF*UF_MES)*IF(S1878="Indefinido",AFC_INDEF,AFC_PF),0))</f>
        <v/>
      </c>
      <c r="U1878" s="62" t="str">
        <f aca="false">IF(C1878="","",IF(LEFT(D1878,1)="⚠","⚠ RUT no registrado en Trabajadores",IF(B1878="","⚠ Falta el mes",IF(OR(ISTEXT(I1878),ISTEXT(J1878)),"⚠ Atrasos u horas extra como texto: escriba hh:mm (ej. 1:30)",IF(AND(ISNUMBER(Q1878),COUNTIFS(M_RUTN,V1878,M_MES,B1878,M_LIQ,"&lt;&gt;")&gt;1),"⚠ Liquidación repetida en el mes",IF(AND(ISNUMBER(O1878),ISNUMBER(P1878),ISNUMBER(Q1878),ABS(O1878-P1878-Q1878)&gt;1),"⚠ Haberes − descuentos no da el líquido","OK"))))))</f>
        <v/>
      </c>
      <c r="V1878" s="62" t="str">
        <f aca="false">IF(C1878="","",IFERROR(VALUE(LEFT(UPPER(SUBSTITUTE(SUBSTITUTE(SUBSTITUTE(TRIM(C1878),".",""),"-","")," ","")),LEN(UPPER(SUBSTITUTE(SUBSTITUTE(SUBSTITUTE(TRIM(C1878),".",""),"-","")," ","")))-1))&amp;RIGHT(UPPER(SUBSTITUTE(SUBSTITUTE(SUBSTITUTE(TRIM(C1878),".",""),"-","")," ","")),1),UPPER(SUBSTITUTE(SUBSTITUTE(SUBSTITUTE(TRIM(C1878),".",""),"-","")," ",""))))</f>
        <v/>
      </c>
    </row>
    <row r="1879" customFormat="false" ht="15" hidden="false" customHeight="false" outlineLevel="0" collapsed="false">
      <c r="B1879" s="80"/>
      <c r="C1879" s="58"/>
      <c r="D1879" s="62" t="str">
        <f aca="false">IF(C1879="","",IFERROR(INDEX(T_NOMBRE,MATCH(V1879,T_RUTN,0)),"⚠ RUT no está en Trabajadores"))</f>
        <v/>
      </c>
      <c r="E1879" s="61"/>
      <c r="F1879" s="61"/>
      <c r="G1879" s="61"/>
      <c r="H1879" s="61"/>
      <c r="I1879" s="81"/>
      <c r="J1879" s="81"/>
      <c r="K1879" s="60"/>
      <c r="L1879" s="60"/>
      <c r="M1879" s="60"/>
      <c r="N1879" s="60"/>
      <c r="O1879" s="60"/>
      <c r="P1879" s="60"/>
      <c r="Q1879" s="60"/>
      <c r="R1879" s="58"/>
      <c r="S1879" s="62" t="str">
        <f aca="false">IF(OR(B1879="",V1879=""),"",IFERROR(INDEX(C_TIPO,MATCH(V1879&amp;"-P"&amp;MAX(1,COUNTIFS(C_RUTN,V1879,C_DEF,"Sí",C_INI,"&lt;="&amp;EOMONTH(B1879,0))),C_CLAVE,0))&amp;"","Sin contrato"))</f>
        <v/>
      </c>
      <c r="T1879" s="63" t="str">
        <f aca="false">IF(OR(B1879="",N(O1879)=0),"",N(O1879)+ROUND(MIN(N(N1879),TOPE_UF*UF_MES)*(TASA_EMP+MUTUAL),0)+ROUND(MIN(N(N1879),TOPE_AFC_UF*UF_MES)*IF(S1879="Indefinido",AFC_INDEF,AFC_PF),0))</f>
        <v/>
      </c>
      <c r="U1879" s="62" t="str">
        <f aca="false">IF(C1879="","",IF(LEFT(D1879,1)="⚠","⚠ RUT no registrado en Trabajadores",IF(B1879="","⚠ Falta el mes",IF(OR(ISTEXT(I1879),ISTEXT(J1879)),"⚠ Atrasos u horas extra como texto: escriba hh:mm (ej. 1:30)",IF(AND(ISNUMBER(Q1879),COUNTIFS(M_RUTN,V1879,M_MES,B1879,M_LIQ,"&lt;&gt;")&gt;1),"⚠ Liquidación repetida en el mes",IF(AND(ISNUMBER(O1879),ISNUMBER(P1879),ISNUMBER(Q1879),ABS(O1879-P1879-Q1879)&gt;1),"⚠ Haberes − descuentos no da el líquido","OK"))))))</f>
        <v/>
      </c>
      <c r="V1879" s="62" t="str">
        <f aca="false">IF(C1879="","",IFERROR(VALUE(LEFT(UPPER(SUBSTITUTE(SUBSTITUTE(SUBSTITUTE(TRIM(C1879),".",""),"-","")," ","")),LEN(UPPER(SUBSTITUTE(SUBSTITUTE(SUBSTITUTE(TRIM(C1879),".",""),"-","")," ","")))-1))&amp;RIGHT(UPPER(SUBSTITUTE(SUBSTITUTE(SUBSTITUTE(TRIM(C1879),".",""),"-","")," ","")),1),UPPER(SUBSTITUTE(SUBSTITUTE(SUBSTITUTE(TRIM(C1879),".",""),"-","")," ",""))))</f>
        <v/>
      </c>
    </row>
    <row r="1880" customFormat="false" ht="15" hidden="false" customHeight="false" outlineLevel="0" collapsed="false">
      <c r="B1880" s="80"/>
      <c r="C1880" s="58"/>
      <c r="D1880" s="62" t="str">
        <f aca="false">IF(C1880="","",IFERROR(INDEX(T_NOMBRE,MATCH(V1880,T_RUTN,0)),"⚠ RUT no está en Trabajadores"))</f>
        <v/>
      </c>
      <c r="E1880" s="61"/>
      <c r="F1880" s="61"/>
      <c r="G1880" s="61"/>
      <c r="H1880" s="61"/>
      <c r="I1880" s="81"/>
      <c r="J1880" s="81"/>
      <c r="K1880" s="60"/>
      <c r="L1880" s="60"/>
      <c r="M1880" s="60"/>
      <c r="N1880" s="60"/>
      <c r="O1880" s="60"/>
      <c r="P1880" s="60"/>
      <c r="Q1880" s="60"/>
      <c r="R1880" s="58"/>
      <c r="S1880" s="62" t="str">
        <f aca="false">IF(OR(B1880="",V1880=""),"",IFERROR(INDEX(C_TIPO,MATCH(V1880&amp;"-P"&amp;MAX(1,COUNTIFS(C_RUTN,V1880,C_DEF,"Sí",C_INI,"&lt;="&amp;EOMONTH(B1880,0))),C_CLAVE,0))&amp;"","Sin contrato"))</f>
        <v/>
      </c>
      <c r="T1880" s="63" t="str">
        <f aca="false">IF(OR(B1880="",N(O1880)=0),"",N(O1880)+ROUND(MIN(N(N1880),TOPE_UF*UF_MES)*(TASA_EMP+MUTUAL),0)+ROUND(MIN(N(N1880),TOPE_AFC_UF*UF_MES)*IF(S1880="Indefinido",AFC_INDEF,AFC_PF),0))</f>
        <v/>
      </c>
      <c r="U1880" s="62" t="str">
        <f aca="false">IF(C1880="","",IF(LEFT(D1880,1)="⚠","⚠ RUT no registrado en Trabajadores",IF(B1880="","⚠ Falta el mes",IF(OR(ISTEXT(I1880),ISTEXT(J1880)),"⚠ Atrasos u horas extra como texto: escriba hh:mm (ej. 1:30)",IF(AND(ISNUMBER(Q1880),COUNTIFS(M_RUTN,V1880,M_MES,B1880,M_LIQ,"&lt;&gt;")&gt;1),"⚠ Liquidación repetida en el mes",IF(AND(ISNUMBER(O1880),ISNUMBER(P1880),ISNUMBER(Q1880),ABS(O1880-P1880-Q1880)&gt;1),"⚠ Haberes − descuentos no da el líquido","OK"))))))</f>
        <v/>
      </c>
      <c r="V1880" s="62" t="str">
        <f aca="false">IF(C1880="","",IFERROR(VALUE(LEFT(UPPER(SUBSTITUTE(SUBSTITUTE(SUBSTITUTE(TRIM(C1880),".",""),"-","")," ","")),LEN(UPPER(SUBSTITUTE(SUBSTITUTE(SUBSTITUTE(TRIM(C1880),".",""),"-","")," ","")))-1))&amp;RIGHT(UPPER(SUBSTITUTE(SUBSTITUTE(SUBSTITUTE(TRIM(C1880),".",""),"-","")," ","")),1),UPPER(SUBSTITUTE(SUBSTITUTE(SUBSTITUTE(TRIM(C1880),".",""),"-","")," ",""))))</f>
        <v/>
      </c>
    </row>
    <row r="1881" customFormat="false" ht="15" hidden="false" customHeight="false" outlineLevel="0" collapsed="false">
      <c r="B1881" s="80"/>
      <c r="C1881" s="58"/>
      <c r="D1881" s="62" t="str">
        <f aca="false">IF(C1881="","",IFERROR(INDEX(T_NOMBRE,MATCH(V1881,T_RUTN,0)),"⚠ RUT no está en Trabajadores"))</f>
        <v/>
      </c>
      <c r="E1881" s="61"/>
      <c r="F1881" s="61"/>
      <c r="G1881" s="61"/>
      <c r="H1881" s="61"/>
      <c r="I1881" s="81"/>
      <c r="J1881" s="81"/>
      <c r="K1881" s="60"/>
      <c r="L1881" s="60"/>
      <c r="M1881" s="60"/>
      <c r="N1881" s="60"/>
      <c r="O1881" s="60"/>
      <c r="P1881" s="60"/>
      <c r="Q1881" s="60"/>
      <c r="R1881" s="58"/>
      <c r="S1881" s="62" t="str">
        <f aca="false">IF(OR(B1881="",V1881=""),"",IFERROR(INDEX(C_TIPO,MATCH(V1881&amp;"-P"&amp;MAX(1,COUNTIFS(C_RUTN,V1881,C_DEF,"Sí",C_INI,"&lt;="&amp;EOMONTH(B1881,0))),C_CLAVE,0))&amp;"","Sin contrato"))</f>
        <v/>
      </c>
      <c r="T1881" s="63" t="str">
        <f aca="false">IF(OR(B1881="",N(O1881)=0),"",N(O1881)+ROUND(MIN(N(N1881),TOPE_UF*UF_MES)*(TASA_EMP+MUTUAL),0)+ROUND(MIN(N(N1881),TOPE_AFC_UF*UF_MES)*IF(S1881="Indefinido",AFC_INDEF,AFC_PF),0))</f>
        <v/>
      </c>
      <c r="U1881" s="62" t="str">
        <f aca="false">IF(C1881="","",IF(LEFT(D1881,1)="⚠","⚠ RUT no registrado en Trabajadores",IF(B1881="","⚠ Falta el mes",IF(OR(ISTEXT(I1881),ISTEXT(J1881)),"⚠ Atrasos u horas extra como texto: escriba hh:mm (ej. 1:30)",IF(AND(ISNUMBER(Q1881),COUNTIFS(M_RUTN,V1881,M_MES,B1881,M_LIQ,"&lt;&gt;")&gt;1),"⚠ Liquidación repetida en el mes",IF(AND(ISNUMBER(O1881),ISNUMBER(P1881),ISNUMBER(Q1881),ABS(O1881-P1881-Q1881)&gt;1),"⚠ Haberes − descuentos no da el líquido","OK"))))))</f>
        <v/>
      </c>
      <c r="V1881" s="62" t="str">
        <f aca="false">IF(C1881="","",IFERROR(VALUE(LEFT(UPPER(SUBSTITUTE(SUBSTITUTE(SUBSTITUTE(TRIM(C1881),".",""),"-","")," ","")),LEN(UPPER(SUBSTITUTE(SUBSTITUTE(SUBSTITUTE(TRIM(C1881),".",""),"-","")," ","")))-1))&amp;RIGHT(UPPER(SUBSTITUTE(SUBSTITUTE(SUBSTITUTE(TRIM(C1881),".",""),"-","")," ","")),1),UPPER(SUBSTITUTE(SUBSTITUTE(SUBSTITUTE(TRIM(C1881),".",""),"-","")," ",""))))</f>
        <v/>
      </c>
    </row>
    <row r="1882" customFormat="false" ht="15" hidden="false" customHeight="false" outlineLevel="0" collapsed="false">
      <c r="B1882" s="80"/>
      <c r="C1882" s="58"/>
      <c r="D1882" s="62" t="str">
        <f aca="false">IF(C1882="","",IFERROR(INDEX(T_NOMBRE,MATCH(V1882,T_RUTN,0)),"⚠ RUT no está en Trabajadores"))</f>
        <v/>
      </c>
      <c r="E1882" s="61"/>
      <c r="F1882" s="61"/>
      <c r="G1882" s="61"/>
      <c r="H1882" s="61"/>
      <c r="I1882" s="81"/>
      <c r="J1882" s="81"/>
      <c r="K1882" s="60"/>
      <c r="L1882" s="60"/>
      <c r="M1882" s="60"/>
      <c r="N1882" s="60"/>
      <c r="O1882" s="60"/>
      <c r="P1882" s="60"/>
      <c r="Q1882" s="60"/>
      <c r="R1882" s="58"/>
      <c r="S1882" s="62" t="str">
        <f aca="false">IF(OR(B1882="",V1882=""),"",IFERROR(INDEX(C_TIPO,MATCH(V1882&amp;"-P"&amp;MAX(1,COUNTIFS(C_RUTN,V1882,C_DEF,"Sí",C_INI,"&lt;="&amp;EOMONTH(B1882,0))),C_CLAVE,0))&amp;"","Sin contrato"))</f>
        <v/>
      </c>
      <c r="T1882" s="63" t="str">
        <f aca="false">IF(OR(B1882="",N(O1882)=0),"",N(O1882)+ROUND(MIN(N(N1882),TOPE_UF*UF_MES)*(TASA_EMP+MUTUAL),0)+ROUND(MIN(N(N1882),TOPE_AFC_UF*UF_MES)*IF(S1882="Indefinido",AFC_INDEF,AFC_PF),0))</f>
        <v/>
      </c>
      <c r="U1882" s="62" t="str">
        <f aca="false">IF(C1882="","",IF(LEFT(D1882,1)="⚠","⚠ RUT no registrado en Trabajadores",IF(B1882="","⚠ Falta el mes",IF(OR(ISTEXT(I1882),ISTEXT(J1882)),"⚠ Atrasos u horas extra como texto: escriba hh:mm (ej. 1:30)",IF(AND(ISNUMBER(Q1882),COUNTIFS(M_RUTN,V1882,M_MES,B1882,M_LIQ,"&lt;&gt;")&gt;1),"⚠ Liquidación repetida en el mes",IF(AND(ISNUMBER(O1882),ISNUMBER(P1882),ISNUMBER(Q1882),ABS(O1882-P1882-Q1882)&gt;1),"⚠ Haberes − descuentos no da el líquido","OK"))))))</f>
        <v/>
      </c>
      <c r="V1882" s="62" t="str">
        <f aca="false">IF(C1882="","",IFERROR(VALUE(LEFT(UPPER(SUBSTITUTE(SUBSTITUTE(SUBSTITUTE(TRIM(C1882),".",""),"-","")," ","")),LEN(UPPER(SUBSTITUTE(SUBSTITUTE(SUBSTITUTE(TRIM(C1882),".",""),"-","")," ","")))-1))&amp;RIGHT(UPPER(SUBSTITUTE(SUBSTITUTE(SUBSTITUTE(TRIM(C1882),".",""),"-","")," ","")),1),UPPER(SUBSTITUTE(SUBSTITUTE(SUBSTITUTE(TRIM(C1882),".",""),"-","")," ",""))))</f>
        <v/>
      </c>
    </row>
    <row r="1883" customFormat="false" ht="15" hidden="false" customHeight="false" outlineLevel="0" collapsed="false">
      <c r="B1883" s="80"/>
      <c r="C1883" s="58"/>
      <c r="D1883" s="62" t="str">
        <f aca="false">IF(C1883="","",IFERROR(INDEX(T_NOMBRE,MATCH(V1883,T_RUTN,0)),"⚠ RUT no está en Trabajadores"))</f>
        <v/>
      </c>
      <c r="E1883" s="61"/>
      <c r="F1883" s="61"/>
      <c r="G1883" s="61"/>
      <c r="H1883" s="61"/>
      <c r="I1883" s="81"/>
      <c r="J1883" s="81"/>
      <c r="K1883" s="60"/>
      <c r="L1883" s="60"/>
      <c r="M1883" s="60"/>
      <c r="N1883" s="60"/>
      <c r="O1883" s="60"/>
      <c r="P1883" s="60"/>
      <c r="Q1883" s="60"/>
      <c r="R1883" s="58"/>
      <c r="S1883" s="62" t="str">
        <f aca="false">IF(OR(B1883="",V1883=""),"",IFERROR(INDEX(C_TIPO,MATCH(V1883&amp;"-P"&amp;MAX(1,COUNTIFS(C_RUTN,V1883,C_DEF,"Sí",C_INI,"&lt;="&amp;EOMONTH(B1883,0))),C_CLAVE,0))&amp;"","Sin contrato"))</f>
        <v/>
      </c>
      <c r="T1883" s="63" t="str">
        <f aca="false">IF(OR(B1883="",N(O1883)=0),"",N(O1883)+ROUND(MIN(N(N1883),TOPE_UF*UF_MES)*(TASA_EMP+MUTUAL),0)+ROUND(MIN(N(N1883),TOPE_AFC_UF*UF_MES)*IF(S1883="Indefinido",AFC_INDEF,AFC_PF),0))</f>
        <v/>
      </c>
      <c r="U1883" s="62" t="str">
        <f aca="false">IF(C1883="","",IF(LEFT(D1883,1)="⚠","⚠ RUT no registrado en Trabajadores",IF(B1883="","⚠ Falta el mes",IF(OR(ISTEXT(I1883),ISTEXT(J1883)),"⚠ Atrasos u horas extra como texto: escriba hh:mm (ej. 1:30)",IF(AND(ISNUMBER(Q1883),COUNTIFS(M_RUTN,V1883,M_MES,B1883,M_LIQ,"&lt;&gt;")&gt;1),"⚠ Liquidación repetida en el mes",IF(AND(ISNUMBER(O1883),ISNUMBER(P1883),ISNUMBER(Q1883),ABS(O1883-P1883-Q1883)&gt;1),"⚠ Haberes − descuentos no da el líquido","OK"))))))</f>
        <v/>
      </c>
      <c r="V1883" s="62" t="str">
        <f aca="false">IF(C1883="","",IFERROR(VALUE(LEFT(UPPER(SUBSTITUTE(SUBSTITUTE(SUBSTITUTE(TRIM(C1883),".",""),"-","")," ","")),LEN(UPPER(SUBSTITUTE(SUBSTITUTE(SUBSTITUTE(TRIM(C1883),".",""),"-","")," ","")))-1))&amp;RIGHT(UPPER(SUBSTITUTE(SUBSTITUTE(SUBSTITUTE(TRIM(C1883),".",""),"-","")," ","")),1),UPPER(SUBSTITUTE(SUBSTITUTE(SUBSTITUTE(TRIM(C1883),".",""),"-","")," ",""))))</f>
        <v/>
      </c>
    </row>
    <row r="1884" customFormat="false" ht="15" hidden="false" customHeight="false" outlineLevel="0" collapsed="false">
      <c r="B1884" s="80"/>
      <c r="C1884" s="58"/>
      <c r="D1884" s="62" t="str">
        <f aca="false">IF(C1884="","",IFERROR(INDEX(T_NOMBRE,MATCH(V1884,T_RUTN,0)),"⚠ RUT no está en Trabajadores"))</f>
        <v/>
      </c>
      <c r="E1884" s="61"/>
      <c r="F1884" s="61"/>
      <c r="G1884" s="61"/>
      <c r="H1884" s="61"/>
      <c r="I1884" s="81"/>
      <c r="J1884" s="81"/>
      <c r="K1884" s="60"/>
      <c r="L1884" s="60"/>
      <c r="M1884" s="60"/>
      <c r="N1884" s="60"/>
      <c r="O1884" s="60"/>
      <c r="P1884" s="60"/>
      <c r="Q1884" s="60"/>
      <c r="R1884" s="58"/>
      <c r="S1884" s="62" t="str">
        <f aca="false">IF(OR(B1884="",V1884=""),"",IFERROR(INDEX(C_TIPO,MATCH(V1884&amp;"-P"&amp;MAX(1,COUNTIFS(C_RUTN,V1884,C_DEF,"Sí",C_INI,"&lt;="&amp;EOMONTH(B1884,0))),C_CLAVE,0))&amp;"","Sin contrato"))</f>
        <v/>
      </c>
      <c r="T1884" s="63" t="str">
        <f aca="false">IF(OR(B1884="",N(O1884)=0),"",N(O1884)+ROUND(MIN(N(N1884),TOPE_UF*UF_MES)*(TASA_EMP+MUTUAL),0)+ROUND(MIN(N(N1884),TOPE_AFC_UF*UF_MES)*IF(S1884="Indefinido",AFC_INDEF,AFC_PF),0))</f>
        <v/>
      </c>
      <c r="U1884" s="62" t="str">
        <f aca="false">IF(C1884="","",IF(LEFT(D1884,1)="⚠","⚠ RUT no registrado en Trabajadores",IF(B1884="","⚠ Falta el mes",IF(OR(ISTEXT(I1884),ISTEXT(J1884)),"⚠ Atrasos u horas extra como texto: escriba hh:mm (ej. 1:30)",IF(AND(ISNUMBER(Q1884),COUNTIFS(M_RUTN,V1884,M_MES,B1884,M_LIQ,"&lt;&gt;")&gt;1),"⚠ Liquidación repetida en el mes",IF(AND(ISNUMBER(O1884),ISNUMBER(P1884),ISNUMBER(Q1884),ABS(O1884-P1884-Q1884)&gt;1),"⚠ Haberes − descuentos no da el líquido","OK"))))))</f>
        <v/>
      </c>
      <c r="V1884" s="62" t="str">
        <f aca="false">IF(C1884="","",IFERROR(VALUE(LEFT(UPPER(SUBSTITUTE(SUBSTITUTE(SUBSTITUTE(TRIM(C1884),".",""),"-","")," ","")),LEN(UPPER(SUBSTITUTE(SUBSTITUTE(SUBSTITUTE(TRIM(C1884),".",""),"-","")," ","")))-1))&amp;RIGHT(UPPER(SUBSTITUTE(SUBSTITUTE(SUBSTITUTE(TRIM(C1884),".",""),"-","")," ","")),1),UPPER(SUBSTITUTE(SUBSTITUTE(SUBSTITUTE(TRIM(C1884),".",""),"-","")," ",""))))</f>
        <v/>
      </c>
    </row>
    <row r="1885" customFormat="false" ht="15" hidden="false" customHeight="false" outlineLevel="0" collapsed="false">
      <c r="B1885" s="80"/>
      <c r="C1885" s="58"/>
      <c r="D1885" s="62" t="str">
        <f aca="false">IF(C1885="","",IFERROR(INDEX(T_NOMBRE,MATCH(V1885,T_RUTN,0)),"⚠ RUT no está en Trabajadores"))</f>
        <v/>
      </c>
      <c r="E1885" s="61"/>
      <c r="F1885" s="61"/>
      <c r="G1885" s="61"/>
      <c r="H1885" s="61"/>
      <c r="I1885" s="81"/>
      <c r="J1885" s="81"/>
      <c r="K1885" s="60"/>
      <c r="L1885" s="60"/>
      <c r="M1885" s="60"/>
      <c r="N1885" s="60"/>
      <c r="O1885" s="60"/>
      <c r="P1885" s="60"/>
      <c r="Q1885" s="60"/>
      <c r="R1885" s="58"/>
      <c r="S1885" s="62" t="str">
        <f aca="false">IF(OR(B1885="",V1885=""),"",IFERROR(INDEX(C_TIPO,MATCH(V1885&amp;"-P"&amp;MAX(1,COUNTIFS(C_RUTN,V1885,C_DEF,"Sí",C_INI,"&lt;="&amp;EOMONTH(B1885,0))),C_CLAVE,0))&amp;"","Sin contrato"))</f>
        <v/>
      </c>
      <c r="T1885" s="63" t="str">
        <f aca="false">IF(OR(B1885="",N(O1885)=0),"",N(O1885)+ROUND(MIN(N(N1885),TOPE_UF*UF_MES)*(TASA_EMP+MUTUAL),0)+ROUND(MIN(N(N1885),TOPE_AFC_UF*UF_MES)*IF(S1885="Indefinido",AFC_INDEF,AFC_PF),0))</f>
        <v/>
      </c>
      <c r="U1885" s="62" t="str">
        <f aca="false">IF(C1885="","",IF(LEFT(D1885,1)="⚠","⚠ RUT no registrado en Trabajadores",IF(B1885="","⚠ Falta el mes",IF(OR(ISTEXT(I1885),ISTEXT(J1885)),"⚠ Atrasos u horas extra como texto: escriba hh:mm (ej. 1:30)",IF(AND(ISNUMBER(Q1885),COUNTIFS(M_RUTN,V1885,M_MES,B1885,M_LIQ,"&lt;&gt;")&gt;1),"⚠ Liquidación repetida en el mes",IF(AND(ISNUMBER(O1885),ISNUMBER(P1885),ISNUMBER(Q1885),ABS(O1885-P1885-Q1885)&gt;1),"⚠ Haberes − descuentos no da el líquido","OK"))))))</f>
        <v/>
      </c>
      <c r="V1885" s="62" t="str">
        <f aca="false">IF(C1885="","",IFERROR(VALUE(LEFT(UPPER(SUBSTITUTE(SUBSTITUTE(SUBSTITUTE(TRIM(C1885),".",""),"-","")," ","")),LEN(UPPER(SUBSTITUTE(SUBSTITUTE(SUBSTITUTE(TRIM(C1885),".",""),"-","")," ","")))-1))&amp;RIGHT(UPPER(SUBSTITUTE(SUBSTITUTE(SUBSTITUTE(TRIM(C1885),".",""),"-","")," ","")),1),UPPER(SUBSTITUTE(SUBSTITUTE(SUBSTITUTE(TRIM(C1885),".",""),"-","")," ",""))))</f>
        <v/>
      </c>
    </row>
    <row r="1886" customFormat="false" ht="15" hidden="false" customHeight="false" outlineLevel="0" collapsed="false">
      <c r="B1886" s="80"/>
      <c r="C1886" s="58"/>
      <c r="D1886" s="62" t="str">
        <f aca="false">IF(C1886="","",IFERROR(INDEX(T_NOMBRE,MATCH(V1886,T_RUTN,0)),"⚠ RUT no está en Trabajadores"))</f>
        <v/>
      </c>
      <c r="E1886" s="61"/>
      <c r="F1886" s="61"/>
      <c r="G1886" s="61"/>
      <c r="H1886" s="61"/>
      <c r="I1886" s="81"/>
      <c r="J1886" s="81"/>
      <c r="K1886" s="60"/>
      <c r="L1886" s="60"/>
      <c r="M1886" s="60"/>
      <c r="N1886" s="60"/>
      <c r="O1886" s="60"/>
      <c r="P1886" s="60"/>
      <c r="Q1886" s="60"/>
      <c r="R1886" s="58"/>
      <c r="S1886" s="62" t="str">
        <f aca="false">IF(OR(B1886="",V1886=""),"",IFERROR(INDEX(C_TIPO,MATCH(V1886&amp;"-P"&amp;MAX(1,COUNTIFS(C_RUTN,V1886,C_DEF,"Sí",C_INI,"&lt;="&amp;EOMONTH(B1886,0))),C_CLAVE,0))&amp;"","Sin contrato"))</f>
        <v/>
      </c>
      <c r="T1886" s="63" t="str">
        <f aca="false">IF(OR(B1886="",N(O1886)=0),"",N(O1886)+ROUND(MIN(N(N1886),TOPE_UF*UF_MES)*(TASA_EMP+MUTUAL),0)+ROUND(MIN(N(N1886),TOPE_AFC_UF*UF_MES)*IF(S1886="Indefinido",AFC_INDEF,AFC_PF),0))</f>
        <v/>
      </c>
      <c r="U1886" s="62" t="str">
        <f aca="false">IF(C1886="","",IF(LEFT(D1886,1)="⚠","⚠ RUT no registrado en Trabajadores",IF(B1886="","⚠ Falta el mes",IF(OR(ISTEXT(I1886),ISTEXT(J1886)),"⚠ Atrasos u horas extra como texto: escriba hh:mm (ej. 1:30)",IF(AND(ISNUMBER(Q1886),COUNTIFS(M_RUTN,V1886,M_MES,B1886,M_LIQ,"&lt;&gt;")&gt;1),"⚠ Liquidación repetida en el mes",IF(AND(ISNUMBER(O1886),ISNUMBER(P1886),ISNUMBER(Q1886),ABS(O1886-P1886-Q1886)&gt;1),"⚠ Haberes − descuentos no da el líquido","OK"))))))</f>
        <v/>
      </c>
      <c r="V1886" s="62" t="str">
        <f aca="false">IF(C1886="","",IFERROR(VALUE(LEFT(UPPER(SUBSTITUTE(SUBSTITUTE(SUBSTITUTE(TRIM(C1886),".",""),"-","")," ","")),LEN(UPPER(SUBSTITUTE(SUBSTITUTE(SUBSTITUTE(TRIM(C1886),".",""),"-","")," ","")))-1))&amp;RIGHT(UPPER(SUBSTITUTE(SUBSTITUTE(SUBSTITUTE(TRIM(C1886),".",""),"-","")," ","")),1),UPPER(SUBSTITUTE(SUBSTITUTE(SUBSTITUTE(TRIM(C1886),".",""),"-","")," ",""))))</f>
        <v/>
      </c>
    </row>
    <row r="1887" customFormat="false" ht="15" hidden="false" customHeight="false" outlineLevel="0" collapsed="false">
      <c r="B1887" s="80"/>
      <c r="C1887" s="58"/>
      <c r="D1887" s="62" t="str">
        <f aca="false">IF(C1887="","",IFERROR(INDEX(T_NOMBRE,MATCH(V1887,T_RUTN,0)),"⚠ RUT no está en Trabajadores"))</f>
        <v/>
      </c>
      <c r="E1887" s="61"/>
      <c r="F1887" s="61"/>
      <c r="G1887" s="61"/>
      <c r="H1887" s="61"/>
      <c r="I1887" s="81"/>
      <c r="J1887" s="81"/>
      <c r="K1887" s="60"/>
      <c r="L1887" s="60"/>
      <c r="M1887" s="60"/>
      <c r="N1887" s="60"/>
      <c r="O1887" s="60"/>
      <c r="P1887" s="60"/>
      <c r="Q1887" s="60"/>
      <c r="R1887" s="58"/>
      <c r="S1887" s="62" t="str">
        <f aca="false">IF(OR(B1887="",V1887=""),"",IFERROR(INDEX(C_TIPO,MATCH(V1887&amp;"-P"&amp;MAX(1,COUNTIFS(C_RUTN,V1887,C_DEF,"Sí",C_INI,"&lt;="&amp;EOMONTH(B1887,0))),C_CLAVE,0))&amp;"","Sin contrato"))</f>
        <v/>
      </c>
      <c r="T1887" s="63" t="str">
        <f aca="false">IF(OR(B1887="",N(O1887)=0),"",N(O1887)+ROUND(MIN(N(N1887),TOPE_UF*UF_MES)*(TASA_EMP+MUTUAL),0)+ROUND(MIN(N(N1887),TOPE_AFC_UF*UF_MES)*IF(S1887="Indefinido",AFC_INDEF,AFC_PF),0))</f>
        <v/>
      </c>
      <c r="U1887" s="62" t="str">
        <f aca="false">IF(C1887="","",IF(LEFT(D1887,1)="⚠","⚠ RUT no registrado en Trabajadores",IF(B1887="","⚠ Falta el mes",IF(OR(ISTEXT(I1887),ISTEXT(J1887)),"⚠ Atrasos u horas extra como texto: escriba hh:mm (ej. 1:30)",IF(AND(ISNUMBER(Q1887),COUNTIFS(M_RUTN,V1887,M_MES,B1887,M_LIQ,"&lt;&gt;")&gt;1),"⚠ Liquidación repetida en el mes",IF(AND(ISNUMBER(O1887),ISNUMBER(P1887),ISNUMBER(Q1887),ABS(O1887-P1887-Q1887)&gt;1),"⚠ Haberes − descuentos no da el líquido","OK"))))))</f>
        <v/>
      </c>
      <c r="V1887" s="62" t="str">
        <f aca="false">IF(C1887="","",IFERROR(VALUE(LEFT(UPPER(SUBSTITUTE(SUBSTITUTE(SUBSTITUTE(TRIM(C1887),".",""),"-","")," ","")),LEN(UPPER(SUBSTITUTE(SUBSTITUTE(SUBSTITUTE(TRIM(C1887),".",""),"-","")," ","")))-1))&amp;RIGHT(UPPER(SUBSTITUTE(SUBSTITUTE(SUBSTITUTE(TRIM(C1887),".",""),"-","")," ","")),1),UPPER(SUBSTITUTE(SUBSTITUTE(SUBSTITUTE(TRIM(C1887),".",""),"-","")," ",""))))</f>
        <v/>
      </c>
    </row>
    <row r="1888" customFormat="false" ht="15" hidden="false" customHeight="false" outlineLevel="0" collapsed="false">
      <c r="B1888" s="80"/>
      <c r="C1888" s="58"/>
      <c r="D1888" s="62" t="str">
        <f aca="false">IF(C1888="","",IFERROR(INDEX(T_NOMBRE,MATCH(V1888,T_RUTN,0)),"⚠ RUT no está en Trabajadores"))</f>
        <v/>
      </c>
      <c r="E1888" s="61"/>
      <c r="F1888" s="61"/>
      <c r="G1888" s="61"/>
      <c r="H1888" s="61"/>
      <c r="I1888" s="81"/>
      <c r="J1888" s="81"/>
      <c r="K1888" s="60"/>
      <c r="L1888" s="60"/>
      <c r="M1888" s="60"/>
      <c r="N1888" s="60"/>
      <c r="O1888" s="60"/>
      <c r="P1888" s="60"/>
      <c r="Q1888" s="60"/>
      <c r="R1888" s="58"/>
      <c r="S1888" s="62" t="str">
        <f aca="false">IF(OR(B1888="",V1888=""),"",IFERROR(INDEX(C_TIPO,MATCH(V1888&amp;"-P"&amp;MAX(1,COUNTIFS(C_RUTN,V1888,C_DEF,"Sí",C_INI,"&lt;="&amp;EOMONTH(B1888,0))),C_CLAVE,0))&amp;"","Sin contrato"))</f>
        <v/>
      </c>
      <c r="T1888" s="63" t="str">
        <f aca="false">IF(OR(B1888="",N(O1888)=0),"",N(O1888)+ROUND(MIN(N(N1888),TOPE_UF*UF_MES)*(TASA_EMP+MUTUAL),0)+ROUND(MIN(N(N1888),TOPE_AFC_UF*UF_MES)*IF(S1888="Indefinido",AFC_INDEF,AFC_PF),0))</f>
        <v/>
      </c>
      <c r="U1888" s="62" t="str">
        <f aca="false">IF(C1888="","",IF(LEFT(D1888,1)="⚠","⚠ RUT no registrado en Trabajadores",IF(B1888="","⚠ Falta el mes",IF(OR(ISTEXT(I1888),ISTEXT(J1888)),"⚠ Atrasos u horas extra como texto: escriba hh:mm (ej. 1:30)",IF(AND(ISNUMBER(Q1888),COUNTIFS(M_RUTN,V1888,M_MES,B1888,M_LIQ,"&lt;&gt;")&gt;1),"⚠ Liquidación repetida en el mes",IF(AND(ISNUMBER(O1888),ISNUMBER(P1888),ISNUMBER(Q1888),ABS(O1888-P1888-Q1888)&gt;1),"⚠ Haberes − descuentos no da el líquido","OK"))))))</f>
        <v/>
      </c>
      <c r="V1888" s="62" t="str">
        <f aca="false">IF(C1888="","",IFERROR(VALUE(LEFT(UPPER(SUBSTITUTE(SUBSTITUTE(SUBSTITUTE(TRIM(C1888),".",""),"-","")," ","")),LEN(UPPER(SUBSTITUTE(SUBSTITUTE(SUBSTITUTE(TRIM(C1888),".",""),"-","")," ","")))-1))&amp;RIGHT(UPPER(SUBSTITUTE(SUBSTITUTE(SUBSTITUTE(TRIM(C1888),".",""),"-","")," ","")),1),UPPER(SUBSTITUTE(SUBSTITUTE(SUBSTITUTE(TRIM(C1888),".",""),"-","")," ",""))))</f>
        <v/>
      </c>
    </row>
    <row r="1889" customFormat="false" ht="15" hidden="false" customHeight="false" outlineLevel="0" collapsed="false">
      <c r="B1889" s="80"/>
      <c r="C1889" s="58"/>
      <c r="D1889" s="62" t="str">
        <f aca="false">IF(C1889="","",IFERROR(INDEX(T_NOMBRE,MATCH(V1889,T_RUTN,0)),"⚠ RUT no está en Trabajadores"))</f>
        <v/>
      </c>
      <c r="E1889" s="61"/>
      <c r="F1889" s="61"/>
      <c r="G1889" s="61"/>
      <c r="H1889" s="61"/>
      <c r="I1889" s="81"/>
      <c r="J1889" s="81"/>
      <c r="K1889" s="60"/>
      <c r="L1889" s="60"/>
      <c r="M1889" s="60"/>
      <c r="N1889" s="60"/>
      <c r="O1889" s="60"/>
      <c r="P1889" s="60"/>
      <c r="Q1889" s="60"/>
      <c r="R1889" s="58"/>
      <c r="S1889" s="62" t="str">
        <f aca="false">IF(OR(B1889="",V1889=""),"",IFERROR(INDEX(C_TIPO,MATCH(V1889&amp;"-P"&amp;MAX(1,COUNTIFS(C_RUTN,V1889,C_DEF,"Sí",C_INI,"&lt;="&amp;EOMONTH(B1889,0))),C_CLAVE,0))&amp;"","Sin contrato"))</f>
        <v/>
      </c>
      <c r="T1889" s="63" t="str">
        <f aca="false">IF(OR(B1889="",N(O1889)=0),"",N(O1889)+ROUND(MIN(N(N1889),TOPE_UF*UF_MES)*(TASA_EMP+MUTUAL),0)+ROUND(MIN(N(N1889),TOPE_AFC_UF*UF_MES)*IF(S1889="Indefinido",AFC_INDEF,AFC_PF),0))</f>
        <v/>
      </c>
      <c r="U1889" s="62" t="str">
        <f aca="false">IF(C1889="","",IF(LEFT(D1889,1)="⚠","⚠ RUT no registrado en Trabajadores",IF(B1889="","⚠ Falta el mes",IF(OR(ISTEXT(I1889),ISTEXT(J1889)),"⚠ Atrasos u horas extra como texto: escriba hh:mm (ej. 1:30)",IF(AND(ISNUMBER(Q1889),COUNTIFS(M_RUTN,V1889,M_MES,B1889,M_LIQ,"&lt;&gt;")&gt;1),"⚠ Liquidación repetida en el mes",IF(AND(ISNUMBER(O1889),ISNUMBER(P1889),ISNUMBER(Q1889),ABS(O1889-P1889-Q1889)&gt;1),"⚠ Haberes − descuentos no da el líquido","OK"))))))</f>
        <v/>
      </c>
      <c r="V1889" s="62" t="str">
        <f aca="false">IF(C1889="","",IFERROR(VALUE(LEFT(UPPER(SUBSTITUTE(SUBSTITUTE(SUBSTITUTE(TRIM(C1889),".",""),"-","")," ","")),LEN(UPPER(SUBSTITUTE(SUBSTITUTE(SUBSTITUTE(TRIM(C1889),".",""),"-","")," ","")))-1))&amp;RIGHT(UPPER(SUBSTITUTE(SUBSTITUTE(SUBSTITUTE(TRIM(C1889),".",""),"-","")," ","")),1),UPPER(SUBSTITUTE(SUBSTITUTE(SUBSTITUTE(TRIM(C1889),".",""),"-","")," ",""))))</f>
        <v/>
      </c>
    </row>
    <row r="1890" customFormat="false" ht="15" hidden="false" customHeight="false" outlineLevel="0" collapsed="false">
      <c r="B1890" s="80"/>
      <c r="C1890" s="58"/>
      <c r="D1890" s="62" t="str">
        <f aca="false">IF(C1890="","",IFERROR(INDEX(T_NOMBRE,MATCH(V1890,T_RUTN,0)),"⚠ RUT no está en Trabajadores"))</f>
        <v/>
      </c>
      <c r="E1890" s="61"/>
      <c r="F1890" s="61"/>
      <c r="G1890" s="61"/>
      <c r="H1890" s="61"/>
      <c r="I1890" s="81"/>
      <c r="J1890" s="81"/>
      <c r="K1890" s="60"/>
      <c r="L1890" s="60"/>
      <c r="M1890" s="60"/>
      <c r="N1890" s="60"/>
      <c r="O1890" s="60"/>
      <c r="P1890" s="60"/>
      <c r="Q1890" s="60"/>
      <c r="R1890" s="58"/>
      <c r="S1890" s="62" t="str">
        <f aca="false">IF(OR(B1890="",V1890=""),"",IFERROR(INDEX(C_TIPO,MATCH(V1890&amp;"-P"&amp;MAX(1,COUNTIFS(C_RUTN,V1890,C_DEF,"Sí",C_INI,"&lt;="&amp;EOMONTH(B1890,0))),C_CLAVE,0))&amp;"","Sin contrato"))</f>
        <v/>
      </c>
      <c r="T1890" s="63" t="str">
        <f aca="false">IF(OR(B1890="",N(O1890)=0),"",N(O1890)+ROUND(MIN(N(N1890),TOPE_UF*UF_MES)*(TASA_EMP+MUTUAL),0)+ROUND(MIN(N(N1890),TOPE_AFC_UF*UF_MES)*IF(S1890="Indefinido",AFC_INDEF,AFC_PF),0))</f>
        <v/>
      </c>
      <c r="U1890" s="62" t="str">
        <f aca="false">IF(C1890="","",IF(LEFT(D1890,1)="⚠","⚠ RUT no registrado en Trabajadores",IF(B1890="","⚠ Falta el mes",IF(OR(ISTEXT(I1890),ISTEXT(J1890)),"⚠ Atrasos u horas extra como texto: escriba hh:mm (ej. 1:30)",IF(AND(ISNUMBER(Q1890),COUNTIFS(M_RUTN,V1890,M_MES,B1890,M_LIQ,"&lt;&gt;")&gt;1),"⚠ Liquidación repetida en el mes",IF(AND(ISNUMBER(O1890),ISNUMBER(P1890),ISNUMBER(Q1890),ABS(O1890-P1890-Q1890)&gt;1),"⚠ Haberes − descuentos no da el líquido","OK"))))))</f>
        <v/>
      </c>
      <c r="V1890" s="62" t="str">
        <f aca="false">IF(C1890="","",IFERROR(VALUE(LEFT(UPPER(SUBSTITUTE(SUBSTITUTE(SUBSTITUTE(TRIM(C1890),".",""),"-","")," ","")),LEN(UPPER(SUBSTITUTE(SUBSTITUTE(SUBSTITUTE(TRIM(C1890),".",""),"-","")," ","")))-1))&amp;RIGHT(UPPER(SUBSTITUTE(SUBSTITUTE(SUBSTITUTE(TRIM(C1890),".",""),"-","")," ","")),1),UPPER(SUBSTITUTE(SUBSTITUTE(SUBSTITUTE(TRIM(C1890),".",""),"-","")," ",""))))</f>
        <v/>
      </c>
    </row>
    <row r="1891" customFormat="false" ht="15" hidden="false" customHeight="false" outlineLevel="0" collapsed="false">
      <c r="B1891" s="80"/>
      <c r="C1891" s="58"/>
      <c r="D1891" s="62" t="str">
        <f aca="false">IF(C1891="","",IFERROR(INDEX(T_NOMBRE,MATCH(V1891,T_RUTN,0)),"⚠ RUT no está en Trabajadores"))</f>
        <v/>
      </c>
      <c r="E1891" s="61"/>
      <c r="F1891" s="61"/>
      <c r="G1891" s="61"/>
      <c r="H1891" s="61"/>
      <c r="I1891" s="81"/>
      <c r="J1891" s="81"/>
      <c r="K1891" s="60"/>
      <c r="L1891" s="60"/>
      <c r="M1891" s="60"/>
      <c r="N1891" s="60"/>
      <c r="O1891" s="60"/>
      <c r="P1891" s="60"/>
      <c r="Q1891" s="60"/>
      <c r="R1891" s="58"/>
      <c r="S1891" s="62" t="str">
        <f aca="false">IF(OR(B1891="",V1891=""),"",IFERROR(INDEX(C_TIPO,MATCH(V1891&amp;"-P"&amp;MAX(1,COUNTIFS(C_RUTN,V1891,C_DEF,"Sí",C_INI,"&lt;="&amp;EOMONTH(B1891,0))),C_CLAVE,0))&amp;"","Sin contrato"))</f>
        <v/>
      </c>
      <c r="T1891" s="63" t="str">
        <f aca="false">IF(OR(B1891="",N(O1891)=0),"",N(O1891)+ROUND(MIN(N(N1891),TOPE_UF*UF_MES)*(TASA_EMP+MUTUAL),0)+ROUND(MIN(N(N1891),TOPE_AFC_UF*UF_MES)*IF(S1891="Indefinido",AFC_INDEF,AFC_PF),0))</f>
        <v/>
      </c>
      <c r="U1891" s="62" t="str">
        <f aca="false">IF(C1891="","",IF(LEFT(D1891,1)="⚠","⚠ RUT no registrado en Trabajadores",IF(B1891="","⚠ Falta el mes",IF(OR(ISTEXT(I1891),ISTEXT(J1891)),"⚠ Atrasos u horas extra como texto: escriba hh:mm (ej. 1:30)",IF(AND(ISNUMBER(Q1891),COUNTIFS(M_RUTN,V1891,M_MES,B1891,M_LIQ,"&lt;&gt;")&gt;1),"⚠ Liquidación repetida en el mes",IF(AND(ISNUMBER(O1891),ISNUMBER(P1891),ISNUMBER(Q1891),ABS(O1891-P1891-Q1891)&gt;1),"⚠ Haberes − descuentos no da el líquido","OK"))))))</f>
        <v/>
      </c>
      <c r="V1891" s="62" t="str">
        <f aca="false">IF(C1891="","",IFERROR(VALUE(LEFT(UPPER(SUBSTITUTE(SUBSTITUTE(SUBSTITUTE(TRIM(C1891),".",""),"-","")," ","")),LEN(UPPER(SUBSTITUTE(SUBSTITUTE(SUBSTITUTE(TRIM(C1891),".",""),"-","")," ","")))-1))&amp;RIGHT(UPPER(SUBSTITUTE(SUBSTITUTE(SUBSTITUTE(TRIM(C1891),".",""),"-","")," ","")),1),UPPER(SUBSTITUTE(SUBSTITUTE(SUBSTITUTE(TRIM(C1891),".",""),"-","")," ",""))))</f>
        <v/>
      </c>
    </row>
    <row r="1892" customFormat="false" ht="15" hidden="false" customHeight="false" outlineLevel="0" collapsed="false">
      <c r="B1892" s="80"/>
      <c r="C1892" s="58"/>
      <c r="D1892" s="62" t="str">
        <f aca="false">IF(C1892="","",IFERROR(INDEX(T_NOMBRE,MATCH(V1892,T_RUTN,0)),"⚠ RUT no está en Trabajadores"))</f>
        <v/>
      </c>
      <c r="E1892" s="61"/>
      <c r="F1892" s="61"/>
      <c r="G1892" s="61"/>
      <c r="H1892" s="61"/>
      <c r="I1892" s="81"/>
      <c r="J1892" s="81"/>
      <c r="K1892" s="60"/>
      <c r="L1892" s="60"/>
      <c r="M1892" s="60"/>
      <c r="N1892" s="60"/>
      <c r="O1892" s="60"/>
      <c r="P1892" s="60"/>
      <c r="Q1892" s="60"/>
      <c r="R1892" s="58"/>
      <c r="S1892" s="62" t="str">
        <f aca="false">IF(OR(B1892="",V1892=""),"",IFERROR(INDEX(C_TIPO,MATCH(V1892&amp;"-P"&amp;MAX(1,COUNTIFS(C_RUTN,V1892,C_DEF,"Sí",C_INI,"&lt;="&amp;EOMONTH(B1892,0))),C_CLAVE,0))&amp;"","Sin contrato"))</f>
        <v/>
      </c>
      <c r="T1892" s="63" t="str">
        <f aca="false">IF(OR(B1892="",N(O1892)=0),"",N(O1892)+ROUND(MIN(N(N1892),TOPE_UF*UF_MES)*(TASA_EMP+MUTUAL),0)+ROUND(MIN(N(N1892),TOPE_AFC_UF*UF_MES)*IF(S1892="Indefinido",AFC_INDEF,AFC_PF),0))</f>
        <v/>
      </c>
      <c r="U1892" s="62" t="str">
        <f aca="false">IF(C1892="","",IF(LEFT(D1892,1)="⚠","⚠ RUT no registrado en Trabajadores",IF(B1892="","⚠ Falta el mes",IF(OR(ISTEXT(I1892),ISTEXT(J1892)),"⚠ Atrasos u horas extra como texto: escriba hh:mm (ej. 1:30)",IF(AND(ISNUMBER(Q1892),COUNTIFS(M_RUTN,V1892,M_MES,B1892,M_LIQ,"&lt;&gt;")&gt;1),"⚠ Liquidación repetida en el mes",IF(AND(ISNUMBER(O1892),ISNUMBER(P1892),ISNUMBER(Q1892),ABS(O1892-P1892-Q1892)&gt;1),"⚠ Haberes − descuentos no da el líquido","OK"))))))</f>
        <v/>
      </c>
      <c r="V1892" s="62" t="str">
        <f aca="false">IF(C1892="","",IFERROR(VALUE(LEFT(UPPER(SUBSTITUTE(SUBSTITUTE(SUBSTITUTE(TRIM(C1892),".",""),"-","")," ","")),LEN(UPPER(SUBSTITUTE(SUBSTITUTE(SUBSTITUTE(TRIM(C1892),".",""),"-","")," ","")))-1))&amp;RIGHT(UPPER(SUBSTITUTE(SUBSTITUTE(SUBSTITUTE(TRIM(C1892),".",""),"-","")," ","")),1),UPPER(SUBSTITUTE(SUBSTITUTE(SUBSTITUTE(TRIM(C1892),".",""),"-","")," ",""))))</f>
        <v/>
      </c>
    </row>
    <row r="1893" customFormat="false" ht="15" hidden="false" customHeight="false" outlineLevel="0" collapsed="false">
      <c r="B1893" s="80"/>
      <c r="C1893" s="58"/>
      <c r="D1893" s="62" t="str">
        <f aca="false">IF(C1893="","",IFERROR(INDEX(T_NOMBRE,MATCH(V1893,T_RUTN,0)),"⚠ RUT no está en Trabajadores"))</f>
        <v/>
      </c>
      <c r="E1893" s="61"/>
      <c r="F1893" s="61"/>
      <c r="G1893" s="61"/>
      <c r="H1893" s="61"/>
      <c r="I1893" s="81"/>
      <c r="J1893" s="81"/>
      <c r="K1893" s="60"/>
      <c r="L1893" s="60"/>
      <c r="M1893" s="60"/>
      <c r="N1893" s="60"/>
      <c r="O1893" s="60"/>
      <c r="P1893" s="60"/>
      <c r="Q1893" s="60"/>
      <c r="R1893" s="58"/>
      <c r="S1893" s="62" t="str">
        <f aca="false">IF(OR(B1893="",V1893=""),"",IFERROR(INDEX(C_TIPO,MATCH(V1893&amp;"-P"&amp;MAX(1,COUNTIFS(C_RUTN,V1893,C_DEF,"Sí",C_INI,"&lt;="&amp;EOMONTH(B1893,0))),C_CLAVE,0))&amp;"","Sin contrato"))</f>
        <v/>
      </c>
      <c r="T1893" s="63" t="str">
        <f aca="false">IF(OR(B1893="",N(O1893)=0),"",N(O1893)+ROUND(MIN(N(N1893),TOPE_UF*UF_MES)*(TASA_EMP+MUTUAL),0)+ROUND(MIN(N(N1893),TOPE_AFC_UF*UF_MES)*IF(S1893="Indefinido",AFC_INDEF,AFC_PF),0))</f>
        <v/>
      </c>
      <c r="U1893" s="62" t="str">
        <f aca="false">IF(C1893="","",IF(LEFT(D1893,1)="⚠","⚠ RUT no registrado en Trabajadores",IF(B1893="","⚠ Falta el mes",IF(OR(ISTEXT(I1893),ISTEXT(J1893)),"⚠ Atrasos u horas extra como texto: escriba hh:mm (ej. 1:30)",IF(AND(ISNUMBER(Q1893),COUNTIFS(M_RUTN,V1893,M_MES,B1893,M_LIQ,"&lt;&gt;")&gt;1),"⚠ Liquidación repetida en el mes",IF(AND(ISNUMBER(O1893),ISNUMBER(P1893),ISNUMBER(Q1893),ABS(O1893-P1893-Q1893)&gt;1),"⚠ Haberes − descuentos no da el líquido","OK"))))))</f>
        <v/>
      </c>
      <c r="V1893" s="62" t="str">
        <f aca="false">IF(C1893="","",IFERROR(VALUE(LEFT(UPPER(SUBSTITUTE(SUBSTITUTE(SUBSTITUTE(TRIM(C1893),".",""),"-","")," ","")),LEN(UPPER(SUBSTITUTE(SUBSTITUTE(SUBSTITUTE(TRIM(C1893),".",""),"-","")," ","")))-1))&amp;RIGHT(UPPER(SUBSTITUTE(SUBSTITUTE(SUBSTITUTE(TRIM(C1893),".",""),"-","")," ","")),1),UPPER(SUBSTITUTE(SUBSTITUTE(SUBSTITUTE(TRIM(C1893),".",""),"-","")," ",""))))</f>
        <v/>
      </c>
    </row>
    <row r="1894" customFormat="false" ht="15" hidden="false" customHeight="false" outlineLevel="0" collapsed="false">
      <c r="B1894" s="80"/>
      <c r="C1894" s="58"/>
      <c r="D1894" s="62" t="str">
        <f aca="false">IF(C1894="","",IFERROR(INDEX(T_NOMBRE,MATCH(V1894,T_RUTN,0)),"⚠ RUT no está en Trabajadores"))</f>
        <v/>
      </c>
      <c r="E1894" s="61"/>
      <c r="F1894" s="61"/>
      <c r="G1894" s="61"/>
      <c r="H1894" s="61"/>
      <c r="I1894" s="81"/>
      <c r="J1894" s="81"/>
      <c r="K1894" s="60"/>
      <c r="L1894" s="60"/>
      <c r="M1894" s="60"/>
      <c r="N1894" s="60"/>
      <c r="O1894" s="60"/>
      <c r="P1894" s="60"/>
      <c r="Q1894" s="60"/>
      <c r="R1894" s="58"/>
      <c r="S1894" s="62" t="str">
        <f aca="false">IF(OR(B1894="",V1894=""),"",IFERROR(INDEX(C_TIPO,MATCH(V1894&amp;"-P"&amp;MAX(1,COUNTIFS(C_RUTN,V1894,C_DEF,"Sí",C_INI,"&lt;="&amp;EOMONTH(B1894,0))),C_CLAVE,0))&amp;"","Sin contrato"))</f>
        <v/>
      </c>
      <c r="T1894" s="63" t="str">
        <f aca="false">IF(OR(B1894="",N(O1894)=0),"",N(O1894)+ROUND(MIN(N(N1894),TOPE_UF*UF_MES)*(TASA_EMP+MUTUAL),0)+ROUND(MIN(N(N1894),TOPE_AFC_UF*UF_MES)*IF(S1894="Indefinido",AFC_INDEF,AFC_PF),0))</f>
        <v/>
      </c>
      <c r="U1894" s="62" t="str">
        <f aca="false">IF(C1894="","",IF(LEFT(D1894,1)="⚠","⚠ RUT no registrado en Trabajadores",IF(B1894="","⚠ Falta el mes",IF(OR(ISTEXT(I1894),ISTEXT(J1894)),"⚠ Atrasos u horas extra como texto: escriba hh:mm (ej. 1:30)",IF(AND(ISNUMBER(Q1894),COUNTIFS(M_RUTN,V1894,M_MES,B1894,M_LIQ,"&lt;&gt;")&gt;1),"⚠ Liquidación repetida en el mes",IF(AND(ISNUMBER(O1894),ISNUMBER(P1894),ISNUMBER(Q1894),ABS(O1894-P1894-Q1894)&gt;1),"⚠ Haberes − descuentos no da el líquido","OK"))))))</f>
        <v/>
      </c>
      <c r="V1894" s="62" t="str">
        <f aca="false">IF(C1894="","",IFERROR(VALUE(LEFT(UPPER(SUBSTITUTE(SUBSTITUTE(SUBSTITUTE(TRIM(C1894),".",""),"-","")," ","")),LEN(UPPER(SUBSTITUTE(SUBSTITUTE(SUBSTITUTE(TRIM(C1894),".",""),"-","")," ","")))-1))&amp;RIGHT(UPPER(SUBSTITUTE(SUBSTITUTE(SUBSTITUTE(TRIM(C1894),".",""),"-","")," ","")),1),UPPER(SUBSTITUTE(SUBSTITUTE(SUBSTITUTE(TRIM(C1894),".",""),"-","")," ",""))))</f>
        <v/>
      </c>
    </row>
    <row r="1895" customFormat="false" ht="15" hidden="false" customHeight="false" outlineLevel="0" collapsed="false">
      <c r="B1895" s="80"/>
      <c r="C1895" s="58"/>
      <c r="D1895" s="62" t="str">
        <f aca="false">IF(C1895="","",IFERROR(INDEX(T_NOMBRE,MATCH(V1895,T_RUTN,0)),"⚠ RUT no está en Trabajadores"))</f>
        <v/>
      </c>
      <c r="E1895" s="61"/>
      <c r="F1895" s="61"/>
      <c r="G1895" s="61"/>
      <c r="H1895" s="61"/>
      <c r="I1895" s="81"/>
      <c r="J1895" s="81"/>
      <c r="K1895" s="60"/>
      <c r="L1895" s="60"/>
      <c r="M1895" s="60"/>
      <c r="N1895" s="60"/>
      <c r="O1895" s="60"/>
      <c r="P1895" s="60"/>
      <c r="Q1895" s="60"/>
      <c r="R1895" s="58"/>
      <c r="S1895" s="62" t="str">
        <f aca="false">IF(OR(B1895="",V1895=""),"",IFERROR(INDEX(C_TIPO,MATCH(V1895&amp;"-P"&amp;MAX(1,COUNTIFS(C_RUTN,V1895,C_DEF,"Sí",C_INI,"&lt;="&amp;EOMONTH(B1895,0))),C_CLAVE,0))&amp;"","Sin contrato"))</f>
        <v/>
      </c>
      <c r="T1895" s="63" t="str">
        <f aca="false">IF(OR(B1895="",N(O1895)=0),"",N(O1895)+ROUND(MIN(N(N1895),TOPE_UF*UF_MES)*(TASA_EMP+MUTUAL),0)+ROUND(MIN(N(N1895),TOPE_AFC_UF*UF_MES)*IF(S1895="Indefinido",AFC_INDEF,AFC_PF),0))</f>
        <v/>
      </c>
      <c r="U1895" s="62" t="str">
        <f aca="false">IF(C1895="","",IF(LEFT(D1895,1)="⚠","⚠ RUT no registrado en Trabajadores",IF(B1895="","⚠ Falta el mes",IF(OR(ISTEXT(I1895),ISTEXT(J1895)),"⚠ Atrasos u horas extra como texto: escriba hh:mm (ej. 1:30)",IF(AND(ISNUMBER(Q1895),COUNTIFS(M_RUTN,V1895,M_MES,B1895,M_LIQ,"&lt;&gt;")&gt;1),"⚠ Liquidación repetida en el mes",IF(AND(ISNUMBER(O1895),ISNUMBER(P1895),ISNUMBER(Q1895),ABS(O1895-P1895-Q1895)&gt;1),"⚠ Haberes − descuentos no da el líquido","OK"))))))</f>
        <v/>
      </c>
      <c r="V1895" s="62" t="str">
        <f aca="false">IF(C1895="","",IFERROR(VALUE(LEFT(UPPER(SUBSTITUTE(SUBSTITUTE(SUBSTITUTE(TRIM(C1895),".",""),"-","")," ","")),LEN(UPPER(SUBSTITUTE(SUBSTITUTE(SUBSTITUTE(TRIM(C1895),".",""),"-","")," ","")))-1))&amp;RIGHT(UPPER(SUBSTITUTE(SUBSTITUTE(SUBSTITUTE(TRIM(C1895),".",""),"-","")," ","")),1),UPPER(SUBSTITUTE(SUBSTITUTE(SUBSTITUTE(TRIM(C1895),".",""),"-","")," ",""))))</f>
        <v/>
      </c>
    </row>
    <row r="1896" customFormat="false" ht="15" hidden="false" customHeight="false" outlineLevel="0" collapsed="false">
      <c r="B1896" s="80"/>
      <c r="C1896" s="58"/>
      <c r="D1896" s="62" t="str">
        <f aca="false">IF(C1896="","",IFERROR(INDEX(T_NOMBRE,MATCH(V1896,T_RUTN,0)),"⚠ RUT no está en Trabajadores"))</f>
        <v/>
      </c>
      <c r="E1896" s="61"/>
      <c r="F1896" s="61"/>
      <c r="G1896" s="61"/>
      <c r="H1896" s="61"/>
      <c r="I1896" s="81"/>
      <c r="J1896" s="81"/>
      <c r="K1896" s="60"/>
      <c r="L1896" s="60"/>
      <c r="M1896" s="60"/>
      <c r="N1896" s="60"/>
      <c r="O1896" s="60"/>
      <c r="P1896" s="60"/>
      <c r="Q1896" s="60"/>
      <c r="R1896" s="58"/>
      <c r="S1896" s="62" t="str">
        <f aca="false">IF(OR(B1896="",V1896=""),"",IFERROR(INDEX(C_TIPO,MATCH(V1896&amp;"-P"&amp;MAX(1,COUNTIFS(C_RUTN,V1896,C_DEF,"Sí",C_INI,"&lt;="&amp;EOMONTH(B1896,0))),C_CLAVE,0))&amp;"","Sin contrato"))</f>
        <v/>
      </c>
      <c r="T1896" s="63" t="str">
        <f aca="false">IF(OR(B1896="",N(O1896)=0),"",N(O1896)+ROUND(MIN(N(N1896),TOPE_UF*UF_MES)*(TASA_EMP+MUTUAL),0)+ROUND(MIN(N(N1896),TOPE_AFC_UF*UF_MES)*IF(S1896="Indefinido",AFC_INDEF,AFC_PF),0))</f>
        <v/>
      </c>
      <c r="U1896" s="62" t="str">
        <f aca="false">IF(C1896="","",IF(LEFT(D1896,1)="⚠","⚠ RUT no registrado en Trabajadores",IF(B1896="","⚠ Falta el mes",IF(OR(ISTEXT(I1896),ISTEXT(J1896)),"⚠ Atrasos u horas extra como texto: escriba hh:mm (ej. 1:30)",IF(AND(ISNUMBER(Q1896),COUNTIFS(M_RUTN,V1896,M_MES,B1896,M_LIQ,"&lt;&gt;")&gt;1),"⚠ Liquidación repetida en el mes",IF(AND(ISNUMBER(O1896),ISNUMBER(P1896),ISNUMBER(Q1896),ABS(O1896-P1896-Q1896)&gt;1),"⚠ Haberes − descuentos no da el líquido","OK"))))))</f>
        <v/>
      </c>
      <c r="V1896" s="62" t="str">
        <f aca="false">IF(C1896="","",IFERROR(VALUE(LEFT(UPPER(SUBSTITUTE(SUBSTITUTE(SUBSTITUTE(TRIM(C1896),".",""),"-","")," ","")),LEN(UPPER(SUBSTITUTE(SUBSTITUTE(SUBSTITUTE(TRIM(C1896),".",""),"-","")," ","")))-1))&amp;RIGHT(UPPER(SUBSTITUTE(SUBSTITUTE(SUBSTITUTE(TRIM(C1896),".",""),"-","")," ","")),1),UPPER(SUBSTITUTE(SUBSTITUTE(SUBSTITUTE(TRIM(C1896),".",""),"-","")," ",""))))</f>
        <v/>
      </c>
    </row>
    <row r="1897" customFormat="false" ht="15" hidden="false" customHeight="false" outlineLevel="0" collapsed="false">
      <c r="B1897" s="80"/>
      <c r="C1897" s="58"/>
      <c r="D1897" s="62" t="str">
        <f aca="false">IF(C1897="","",IFERROR(INDEX(T_NOMBRE,MATCH(V1897,T_RUTN,0)),"⚠ RUT no está en Trabajadores"))</f>
        <v/>
      </c>
      <c r="E1897" s="61"/>
      <c r="F1897" s="61"/>
      <c r="G1897" s="61"/>
      <c r="H1897" s="61"/>
      <c r="I1897" s="81"/>
      <c r="J1897" s="81"/>
      <c r="K1897" s="60"/>
      <c r="L1897" s="60"/>
      <c r="M1897" s="60"/>
      <c r="N1897" s="60"/>
      <c r="O1897" s="60"/>
      <c r="P1897" s="60"/>
      <c r="Q1897" s="60"/>
      <c r="R1897" s="58"/>
      <c r="S1897" s="62" t="str">
        <f aca="false">IF(OR(B1897="",V1897=""),"",IFERROR(INDEX(C_TIPO,MATCH(V1897&amp;"-P"&amp;MAX(1,COUNTIFS(C_RUTN,V1897,C_DEF,"Sí",C_INI,"&lt;="&amp;EOMONTH(B1897,0))),C_CLAVE,0))&amp;"","Sin contrato"))</f>
        <v/>
      </c>
      <c r="T1897" s="63" t="str">
        <f aca="false">IF(OR(B1897="",N(O1897)=0),"",N(O1897)+ROUND(MIN(N(N1897),TOPE_UF*UF_MES)*(TASA_EMP+MUTUAL),0)+ROUND(MIN(N(N1897),TOPE_AFC_UF*UF_MES)*IF(S1897="Indefinido",AFC_INDEF,AFC_PF),0))</f>
        <v/>
      </c>
      <c r="U1897" s="62" t="str">
        <f aca="false">IF(C1897="","",IF(LEFT(D1897,1)="⚠","⚠ RUT no registrado en Trabajadores",IF(B1897="","⚠ Falta el mes",IF(OR(ISTEXT(I1897),ISTEXT(J1897)),"⚠ Atrasos u horas extra como texto: escriba hh:mm (ej. 1:30)",IF(AND(ISNUMBER(Q1897),COUNTIFS(M_RUTN,V1897,M_MES,B1897,M_LIQ,"&lt;&gt;")&gt;1),"⚠ Liquidación repetida en el mes",IF(AND(ISNUMBER(O1897),ISNUMBER(P1897),ISNUMBER(Q1897),ABS(O1897-P1897-Q1897)&gt;1),"⚠ Haberes − descuentos no da el líquido","OK"))))))</f>
        <v/>
      </c>
      <c r="V1897" s="62" t="str">
        <f aca="false">IF(C1897="","",IFERROR(VALUE(LEFT(UPPER(SUBSTITUTE(SUBSTITUTE(SUBSTITUTE(TRIM(C1897),".",""),"-","")," ","")),LEN(UPPER(SUBSTITUTE(SUBSTITUTE(SUBSTITUTE(TRIM(C1897),".",""),"-","")," ","")))-1))&amp;RIGHT(UPPER(SUBSTITUTE(SUBSTITUTE(SUBSTITUTE(TRIM(C1897),".",""),"-","")," ","")),1),UPPER(SUBSTITUTE(SUBSTITUTE(SUBSTITUTE(TRIM(C1897),".",""),"-","")," ",""))))</f>
        <v/>
      </c>
    </row>
    <row r="1898" customFormat="false" ht="15" hidden="false" customHeight="false" outlineLevel="0" collapsed="false">
      <c r="B1898" s="80"/>
      <c r="C1898" s="58"/>
      <c r="D1898" s="62" t="str">
        <f aca="false">IF(C1898="","",IFERROR(INDEX(T_NOMBRE,MATCH(V1898,T_RUTN,0)),"⚠ RUT no está en Trabajadores"))</f>
        <v/>
      </c>
      <c r="E1898" s="61"/>
      <c r="F1898" s="61"/>
      <c r="G1898" s="61"/>
      <c r="H1898" s="61"/>
      <c r="I1898" s="81"/>
      <c r="J1898" s="81"/>
      <c r="K1898" s="60"/>
      <c r="L1898" s="60"/>
      <c r="M1898" s="60"/>
      <c r="N1898" s="60"/>
      <c r="O1898" s="60"/>
      <c r="P1898" s="60"/>
      <c r="Q1898" s="60"/>
      <c r="R1898" s="58"/>
      <c r="S1898" s="62" t="str">
        <f aca="false">IF(OR(B1898="",V1898=""),"",IFERROR(INDEX(C_TIPO,MATCH(V1898&amp;"-P"&amp;MAX(1,COUNTIFS(C_RUTN,V1898,C_DEF,"Sí",C_INI,"&lt;="&amp;EOMONTH(B1898,0))),C_CLAVE,0))&amp;"","Sin contrato"))</f>
        <v/>
      </c>
      <c r="T1898" s="63" t="str">
        <f aca="false">IF(OR(B1898="",N(O1898)=0),"",N(O1898)+ROUND(MIN(N(N1898),TOPE_UF*UF_MES)*(TASA_EMP+MUTUAL),0)+ROUND(MIN(N(N1898),TOPE_AFC_UF*UF_MES)*IF(S1898="Indefinido",AFC_INDEF,AFC_PF),0))</f>
        <v/>
      </c>
      <c r="U1898" s="62" t="str">
        <f aca="false">IF(C1898="","",IF(LEFT(D1898,1)="⚠","⚠ RUT no registrado en Trabajadores",IF(B1898="","⚠ Falta el mes",IF(OR(ISTEXT(I1898),ISTEXT(J1898)),"⚠ Atrasos u horas extra como texto: escriba hh:mm (ej. 1:30)",IF(AND(ISNUMBER(Q1898),COUNTIFS(M_RUTN,V1898,M_MES,B1898,M_LIQ,"&lt;&gt;")&gt;1),"⚠ Liquidación repetida en el mes",IF(AND(ISNUMBER(O1898),ISNUMBER(P1898),ISNUMBER(Q1898),ABS(O1898-P1898-Q1898)&gt;1),"⚠ Haberes − descuentos no da el líquido","OK"))))))</f>
        <v/>
      </c>
      <c r="V1898" s="62" t="str">
        <f aca="false">IF(C1898="","",IFERROR(VALUE(LEFT(UPPER(SUBSTITUTE(SUBSTITUTE(SUBSTITUTE(TRIM(C1898),".",""),"-","")," ","")),LEN(UPPER(SUBSTITUTE(SUBSTITUTE(SUBSTITUTE(TRIM(C1898),".",""),"-","")," ","")))-1))&amp;RIGHT(UPPER(SUBSTITUTE(SUBSTITUTE(SUBSTITUTE(TRIM(C1898),".",""),"-","")," ","")),1),UPPER(SUBSTITUTE(SUBSTITUTE(SUBSTITUTE(TRIM(C1898),".",""),"-","")," ",""))))</f>
        <v/>
      </c>
    </row>
    <row r="1899" customFormat="false" ht="15" hidden="false" customHeight="false" outlineLevel="0" collapsed="false">
      <c r="B1899" s="80"/>
      <c r="C1899" s="58"/>
      <c r="D1899" s="62" t="str">
        <f aca="false">IF(C1899="","",IFERROR(INDEX(T_NOMBRE,MATCH(V1899,T_RUTN,0)),"⚠ RUT no está en Trabajadores"))</f>
        <v/>
      </c>
      <c r="E1899" s="61"/>
      <c r="F1899" s="61"/>
      <c r="G1899" s="61"/>
      <c r="H1899" s="61"/>
      <c r="I1899" s="81"/>
      <c r="J1899" s="81"/>
      <c r="K1899" s="60"/>
      <c r="L1899" s="60"/>
      <c r="M1899" s="60"/>
      <c r="N1899" s="60"/>
      <c r="O1899" s="60"/>
      <c r="P1899" s="60"/>
      <c r="Q1899" s="60"/>
      <c r="R1899" s="58"/>
      <c r="S1899" s="62" t="str">
        <f aca="false">IF(OR(B1899="",V1899=""),"",IFERROR(INDEX(C_TIPO,MATCH(V1899&amp;"-P"&amp;MAX(1,COUNTIFS(C_RUTN,V1899,C_DEF,"Sí",C_INI,"&lt;="&amp;EOMONTH(B1899,0))),C_CLAVE,0))&amp;"","Sin contrato"))</f>
        <v/>
      </c>
      <c r="T1899" s="63" t="str">
        <f aca="false">IF(OR(B1899="",N(O1899)=0),"",N(O1899)+ROUND(MIN(N(N1899),TOPE_UF*UF_MES)*(TASA_EMP+MUTUAL),0)+ROUND(MIN(N(N1899),TOPE_AFC_UF*UF_MES)*IF(S1899="Indefinido",AFC_INDEF,AFC_PF),0))</f>
        <v/>
      </c>
      <c r="U1899" s="62" t="str">
        <f aca="false">IF(C1899="","",IF(LEFT(D1899,1)="⚠","⚠ RUT no registrado en Trabajadores",IF(B1899="","⚠ Falta el mes",IF(OR(ISTEXT(I1899),ISTEXT(J1899)),"⚠ Atrasos u horas extra como texto: escriba hh:mm (ej. 1:30)",IF(AND(ISNUMBER(Q1899),COUNTIFS(M_RUTN,V1899,M_MES,B1899,M_LIQ,"&lt;&gt;")&gt;1),"⚠ Liquidación repetida en el mes",IF(AND(ISNUMBER(O1899),ISNUMBER(P1899),ISNUMBER(Q1899),ABS(O1899-P1899-Q1899)&gt;1),"⚠ Haberes − descuentos no da el líquido","OK"))))))</f>
        <v/>
      </c>
      <c r="V1899" s="62" t="str">
        <f aca="false">IF(C1899="","",IFERROR(VALUE(LEFT(UPPER(SUBSTITUTE(SUBSTITUTE(SUBSTITUTE(TRIM(C1899),".",""),"-","")," ","")),LEN(UPPER(SUBSTITUTE(SUBSTITUTE(SUBSTITUTE(TRIM(C1899),".",""),"-","")," ","")))-1))&amp;RIGHT(UPPER(SUBSTITUTE(SUBSTITUTE(SUBSTITUTE(TRIM(C1899),".",""),"-","")," ","")),1),UPPER(SUBSTITUTE(SUBSTITUTE(SUBSTITUTE(TRIM(C1899),".",""),"-","")," ",""))))</f>
        <v/>
      </c>
    </row>
    <row r="1900" customFormat="false" ht="15" hidden="false" customHeight="false" outlineLevel="0" collapsed="false">
      <c r="B1900" s="80"/>
      <c r="C1900" s="58"/>
      <c r="D1900" s="62" t="str">
        <f aca="false">IF(C1900="","",IFERROR(INDEX(T_NOMBRE,MATCH(V1900,T_RUTN,0)),"⚠ RUT no está en Trabajadores"))</f>
        <v/>
      </c>
      <c r="E1900" s="61"/>
      <c r="F1900" s="61"/>
      <c r="G1900" s="61"/>
      <c r="H1900" s="61"/>
      <c r="I1900" s="81"/>
      <c r="J1900" s="81"/>
      <c r="K1900" s="60"/>
      <c r="L1900" s="60"/>
      <c r="M1900" s="60"/>
      <c r="N1900" s="60"/>
      <c r="O1900" s="60"/>
      <c r="P1900" s="60"/>
      <c r="Q1900" s="60"/>
      <c r="R1900" s="58"/>
      <c r="S1900" s="62" t="str">
        <f aca="false">IF(OR(B1900="",V1900=""),"",IFERROR(INDEX(C_TIPO,MATCH(V1900&amp;"-P"&amp;MAX(1,COUNTIFS(C_RUTN,V1900,C_DEF,"Sí",C_INI,"&lt;="&amp;EOMONTH(B1900,0))),C_CLAVE,0))&amp;"","Sin contrato"))</f>
        <v/>
      </c>
      <c r="T1900" s="63" t="str">
        <f aca="false">IF(OR(B1900="",N(O1900)=0),"",N(O1900)+ROUND(MIN(N(N1900),TOPE_UF*UF_MES)*(TASA_EMP+MUTUAL),0)+ROUND(MIN(N(N1900),TOPE_AFC_UF*UF_MES)*IF(S1900="Indefinido",AFC_INDEF,AFC_PF),0))</f>
        <v/>
      </c>
      <c r="U1900" s="62" t="str">
        <f aca="false">IF(C1900="","",IF(LEFT(D1900,1)="⚠","⚠ RUT no registrado en Trabajadores",IF(B1900="","⚠ Falta el mes",IF(OR(ISTEXT(I1900),ISTEXT(J1900)),"⚠ Atrasos u horas extra como texto: escriba hh:mm (ej. 1:30)",IF(AND(ISNUMBER(Q1900),COUNTIFS(M_RUTN,V1900,M_MES,B1900,M_LIQ,"&lt;&gt;")&gt;1),"⚠ Liquidación repetida en el mes",IF(AND(ISNUMBER(O1900),ISNUMBER(P1900),ISNUMBER(Q1900),ABS(O1900-P1900-Q1900)&gt;1),"⚠ Haberes − descuentos no da el líquido","OK"))))))</f>
        <v/>
      </c>
      <c r="V1900" s="62" t="str">
        <f aca="false">IF(C1900="","",IFERROR(VALUE(LEFT(UPPER(SUBSTITUTE(SUBSTITUTE(SUBSTITUTE(TRIM(C1900),".",""),"-","")," ","")),LEN(UPPER(SUBSTITUTE(SUBSTITUTE(SUBSTITUTE(TRIM(C1900),".",""),"-","")," ","")))-1))&amp;RIGHT(UPPER(SUBSTITUTE(SUBSTITUTE(SUBSTITUTE(TRIM(C1900),".",""),"-","")," ","")),1),UPPER(SUBSTITUTE(SUBSTITUTE(SUBSTITUTE(TRIM(C1900),".",""),"-","")," ",""))))</f>
        <v/>
      </c>
    </row>
    <row r="1901" customFormat="false" ht="15" hidden="false" customHeight="false" outlineLevel="0" collapsed="false">
      <c r="B1901" s="80"/>
      <c r="C1901" s="58"/>
      <c r="D1901" s="62" t="str">
        <f aca="false">IF(C1901="","",IFERROR(INDEX(T_NOMBRE,MATCH(V1901,T_RUTN,0)),"⚠ RUT no está en Trabajadores"))</f>
        <v/>
      </c>
      <c r="E1901" s="61"/>
      <c r="F1901" s="61"/>
      <c r="G1901" s="61"/>
      <c r="H1901" s="61"/>
      <c r="I1901" s="81"/>
      <c r="J1901" s="81"/>
      <c r="K1901" s="60"/>
      <c r="L1901" s="60"/>
      <c r="M1901" s="60"/>
      <c r="N1901" s="60"/>
      <c r="O1901" s="60"/>
      <c r="P1901" s="60"/>
      <c r="Q1901" s="60"/>
      <c r="R1901" s="58"/>
      <c r="S1901" s="62" t="str">
        <f aca="false">IF(OR(B1901="",V1901=""),"",IFERROR(INDEX(C_TIPO,MATCH(V1901&amp;"-P"&amp;MAX(1,COUNTIFS(C_RUTN,V1901,C_DEF,"Sí",C_INI,"&lt;="&amp;EOMONTH(B1901,0))),C_CLAVE,0))&amp;"","Sin contrato"))</f>
        <v/>
      </c>
      <c r="T1901" s="63" t="str">
        <f aca="false">IF(OR(B1901="",N(O1901)=0),"",N(O1901)+ROUND(MIN(N(N1901),TOPE_UF*UF_MES)*(TASA_EMP+MUTUAL),0)+ROUND(MIN(N(N1901),TOPE_AFC_UF*UF_MES)*IF(S1901="Indefinido",AFC_INDEF,AFC_PF),0))</f>
        <v/>
      </c>
      <c r="U1901" s="62" t="str">
        <f aca="false">IF(C1901="","",IF(LEFT(D1901,1)="⚠","⚠ RUT no registrado en Trabajadores",IF(B1901="","⚠ Falta el mes",IF(OR(ISTEXT(I1901),ISTEXT(J1901)),"⚠ Atrasos u horas extra como texto: escriba hh:mm (ej. 1:30)",IF(AND(ISNUMBER(Q1901),COUNTIFS(M_RUTN,V1901,M_MES,B1901,M_LIQ,"&lt;&gt;")&gt;1),"⚠ Liquidación repetida en el mes",IF(AND(ISNUMBER(O1901),ISNUMBER(P1901),ISNUMBER(Q1901),ABS(O1901-P1901-Q1901)&gt;1),"⚠ Haberes − descuentos no da el líquido","OK"))))))</f>
        <v/>
      </c>
      <c r="V1901" s="62" t="str">
        <f aca="false">IF(C1901="","",IFERROR(VALUE(LEFT(UPPER(SUBSTITUTE(SUBSTITUTE(SUBSTITUTE(TRIM(C1901),".",""),"-","")," ","")),LEN(UPPER(SUBSTITUTE(SUBSTITUTE(SUBSTITUTE(TRIM(C1901),".",""),"-","")," ","")))-1))&amp;RIGHT(UPPER(SUBSTITUTE(SUBSTITUTE(SUBSTITUTE(TRIM(C1901),".",""),"-","")," ","")),1),UPPER(SUBSTITUTE(SUBSTITUTE(SUBSTITUTE(TRIM(C1901),".",""),"-","")," ",""))))</f>
        <v/>
      </c>
    </row>
    <row r="1902" customFormat="false" ht="15" hidden="false" customHeight="false" outlineLevel="0" collapsed="false">
      <c r="B1902" s="80"/>
      <c r="C1902" s="58"/>
      <c r="D1902" s="62" t="str">
        <f aca="false">IF(C1902="","",IFERROR(INDEX(T_NOMBRE,MATCH(V1902,T_RUTN,0)),"⚠ RUT no está en Trabajadores"))</f>
        <v/>
      </c>
      <c r="E1902" s="61"/>
      <c r="F1902" s="61"/>
      <c r="G1902" s="61"/>
      <c r="H1902" s="61"/>
      <c r="I1902" s="81"/>
      <c r="J1902" s="81"/>
      <c r="K1902" s="60"/>
      <c r="L1902" s="60"/>
      <c r="M1902" s="60"/>
      <c r="N1902" s="60"/>
      <c r="O1902" s="60"/>
      <c r="P1902" s="60"/>
      <c r="Q1902" s="60"/>
      <c r="R1902" s="58"/>
      <c r="S1902" s="62" t="str">
        <f aca="false">IF(OR(B1902="",V1902=""),"",IFERROR(INDEX(C_TIPO,MATCH(V1902&amp;"-P"&amp;MAX(1,COUNTIFS(C_RUTN,V1902,C_DEF,"Sí",C_INI,"&lt;="&amp;EOMONTH(B1902,0))),C_CLAVE,0))&amp;"","Sin contrato"))</f>
        <v/>
      </c>
      <c r="T1902" s="63" t="str">
        <f aca="false">IF(OR(B1902="",N(O1902)=0),"",N(O1902)+ROUND(MIN(N(N1902),TOPE_UF*UF_MES)*(TASA_EMP+MUTUAL),0)+ROUND(MIN(N(N1902),TOPE_AFC_UF*UF_MES)*IF(S1902="Indefinido",AFC_INDEF,AFC_PF),0))</f>
        <v/>
      </c>
      <c r="U1902" s="62" t="str">
        <f aca="false">IF(C1902="","",IF(LEFT(D1902,1)="⚠","⚠ RUT no registrado en Trabajadores",IF(B1902="","⚠ Falta el mes",IF(OR(ISTEXT(I1902),ISTEXT(J1902)),"⚠ Atrasos u horas extra como texto: escriba hh:mm (ej. 1:30)",IF(AND(ISNUMBER(Q1902),COUNTIFS(M_RUTN,V1902,M_MES,B1902,M_LIQ,"&lt;&gt;")&gt;1),"⚠ Liquidación repetida en el mes",IF(AND(ISNUMBER(O1902),ISNUMBER(P1902),ISNUMBER(Q1902),ABS(O1902-P1902-Q1902)&gt;1),"⚠ Haberes − descuentos no da el líquido","OK"))))))</f>
        <v/>
      </c>
      <c r="V1902" s="62" t="str">
        <f aca="false">IF(C1902="","",IFERROR(VALUE(LEFT(UPPER(SUBSTITUTE(SUBSTITUTE(SUBSTITUTE(TRIM(C1902),".",""),"-","")," ","")),LEN(UPPER(SUBSTITUTE(SUBSTITUTE(SUBSTITUTE(TRIM(C1902),".",""),"-","")," ","")))-1))&amp;RIGHT(UPPER(SUBSTITUTE(SUBSTITUTE(SUBSTITUTE(TRIM(C1902),".",""),"-","")," ","")),1),UPPER(SUBSTITUTE(SUBSTITUTE(SUBSTITUTE(TRIM(C1902),".",""),"-","")," ",""))))</f>
        <v/>
      </c>
    </row>
    <row r="1903" customFormat="false" ht="15" hidden="false" customHeight="false" outlineLevel="0" collapsed="false">
      <c r="B1903" s="80"/>
      <c r="C1903" s="58"/>
      <c r="D1903" s="62" t="str">
        <f aca="false">IF(C1903="","",IFERROR(INDEX(T_NOMBRE,MATCH(V1903,T_RUTN,0)),"⚠ RUT no está en Trabajadores"))</f>
        <v/>
      </c>
      <c r="E1903" s="61"/>
      <c r="F1903" s="61"/>
      <c r="G1903" s="61"/>
      <c r="H1903" s="61"/>
      <c r="I1903" s="81"/>
      <c r="J1903" s="81"/>
      <c r="K1903" s="60"/>
      <c r="L1903" s="60"/>
      <c r="M1903" s="60"/>
      <c r="N1903" s="60"/>
      <c r="O1903" s="60"/>
      <c r="P1903" s="60"/>
      <c r="Q1903" s="60"/>
      <c r="R1903" s="58"/>
      <c r="S1903" s="62" t="str">
        <f aca="false">IF(OR(B1903="",V1903=""),"",IFERROR(INDEX(C_TIPO,MATCH(V1903&amp;"-P"&amp;MAX(1,COUNTIFS(C_RUTN,V1903,C_DEF,"Sí",C_INI,"&lt;="&amp;EOMONTH(B1903,0))),C_CLAVE,0))&amp;"","Sin contrato"))</f>
        <v/>
      </c>
      <c r="T1903" s="63" t="str">
        <f aca="false">IF(OR(B1903="",N(O1903)=0),"",N(O1903)+ROUND(MIN(N(N1903),TOPE_UF*UF_MES)*(TASA_EMP+MUTUAL),0)+ROUND(MIN(N(N1903),TOPE_AFC_UF*UF_MES)*IF(S1903="Indefinido",AFC_INDEF,AFC_PF),0))</f>
        <v/>
      </c>
      <c r="U1903" s="62" t="str">
        <f aca="false">IF(C1903="","",IF(LEFT(D1903,1)="⚠","⚠ RUT no registrado en Trabajadores",IF(B1903="","⚠ Falta el mes",IF(OR(ISTEXT(I1903),ISTEXT(J1903)),"⚠ Atrasos u horas extra como texto: escriba hh:mm (ej. 1:30)",IF(AND(ISNUMBER(Q1903),COUNTIFS(M_RUTN,V1903,M_MES,B1903,M_LIQ,"&lt;&gt;")&gt;1),"⚠ Liquidación repetida en el mes",IF(AND(ISNUMBER(O1903),ISNUMBER(P1903),ISNUMBER(Q1903),ABS(O1903-P1903-Q1903)&gt;1),"⚠ Haberes − descuentos no da el líquido","OK"))))))</f>
        <v/>
      </c>
      <c r="V1903" s="62" t="str">
        <f aca="false">IF(C1903="","",IFERROR(VALUE(LEFT(UPPER(SUBSTITUTE(SUBSTITUTE(SUBSTITUTE(TRIM(C1903),".",""),"-","")," ","")),LEN(UPPER(SUBSTITUTE(SUBSTITUTE(SUBSTITUTE(TRIM(C1903),".",""),"-","")," ","")))-1))&amp;RIGHT(UPPER(SUBSTITUTE(SUBSTITUTE(SUBSTITUTE(TRIM(C1903),".",""),"-","")," ","")),1),UPPER(SUBSTITUTE(SUBSTITUTE(SUBSTITUTE(TRIM(C1903),".",""),"-","")," ",""))))</f>
        <v/>
      </c>
    </row>
    <row r="1904" customFormat="false" ht="15" hidden="false" customHeight="false" outlineLevel="0" collapsed="false">
      <c r="B1904" s="80"/>
      <c r="C1904" s="58"/>
      <c r="D1904" s="62" t="str">
        <f aca="false">IF(C1904="","",IFERROR(INDEX(T_NOMBRE,MATCH(V1904,T_RUTN,0)),"⚠ RUT no está en Trabajadores"))</f>
        <v/>
      </c>
      <c r="E1904" s="61"/>
      <c r="F1904" s="61"/>
      <c r="G1904" s="61"/>
      <c r="H1904" s="61"/>
      <c r="I1904" s="81"/>
      <c r="J1904" s="81"/>
      <c r="K1904" s="60"/>
      <c r="L1904" s="60"/>
      <c r="M1904" s="60"/>
      <c r="N1904" s="60"/>
      <c r="O1904" s="60"/>
      <c r="P1904" s="60"/>
      <c r="Q1904" s="60"/>
      <c r="R1904" s="58"/>
      <c r="S1904" s="62" t="str">
        <f aca="false">IF(OR(B1904="",V1904=""),"",IFERROR(INDEX(C_TIPO,MATCH(V1904&amp;"-P"&amp;MAX(1,COUNTIFS(C_RUTN,V1904,C_DEF,"Sí",C_INI,"&lt;="&amp;EOMONTH(B1904,0))),C_CLAVE,0))&amp;"","Sin contrato"))</f>
        <v/>
      </c>
      <c r="T1904" s="63" t="str">
        <f aca="false">IF(OR(B1904="",N(O1904)=0),"",N(O1904)+ROUND(MIN(N(N1904),TOPE_UF*UF_MES)*(TASA_EMP+MUTUAL),0)+ROUND(MIN(N(N1904),TOPE_AFC_UF*UF_MES)*IF(S1904="Indefinido",AFC_INDEF,AFC_PF),0))</f>
        <v/>
      </c>
      <c r="U1904" s="62" t="str">
        <f aca="false">IF(C1904="","",IF(LEFT(D1904,1)="⚠","⚠ RUT no registrado en Trabajadores",IF(B1904="","⚠ Falta el mes",IF(OR(ISTEXT(I1904),ISTEXT(J1904)),"⚠ Atrasos u horas extra como texto: escriba hh:mm (ej. 1:30)",IF(AND(ISNUMBER(Q1904),COUNTIFS(M_RUTN,V1904,M_MES,B1904,M_LIQ,"&lt;&gt;")&gt;1),"⚠ Liquidación repetida en el mes",IF(AND(ISNUMBER(O1904),ISNUMBER(P1904),ISNUMBER(Q1904),ABS(O1904-P1904-Q1904)&gt;1),"⚠ Haberes − descuentos no da el líquido","OK"))))))</f>
        <v/>
      </c>
      <c r="V1904" s="62" t="str">
        <f aca="false">IF(C1904="","",IFERROR(VALUE(LEFT(UPPER(SUBSTITUTE(SUBSTITUTE(SUBSTITUTE(TRIM(C1904),".",""),"-","")," ","")),LEN(UPPER(SUBSTITUTE(SUBSTITUTE(SUBSTITUTE(TRIM(C1904),".",""),"-","")," ","")))-1))&amp;RIGHT(UPPER(SUBSTITUTE(SUBSTITUTE(SUBSTITUTE(TRIM(C1904),".",""),"-","")," ","")),1),UPPER(SUBSTITUTE(SUBSTITUTE(SUBSTITUTE(TRIM(C1904),".",""),"-","")," ",""))))</f>
        <v/>
      </c>
    </row>
    <row r="1905" customFormat="false" ht="15" hidden="false" customHeight="false" outlineLevel="0" collapsed="false">
      <c r="B1905" s="80"/>
      <c r="C1905" s="58"/>
      <c r="D1905" s="62" t="str">
        <f aca="false">IF(C1905="","",IFERROR(INDEX(T_NOMBRE,MATCH(V1905,T_RUTN,0)),"⚠ RUT no está en Trabajadores"))</f>
        <v/>
      </c>
      <c r="E1905" s="61"/>
      <c r="F1905" s="61"/>
      <c r="G1905" s="61"/>
      <c r="H1905" s="61"/>
      <c r="I1905" s="81"/>
      <c r="J1905" s="81"/>
      <c r="K1905" s="60"/>
      <c r="L1905" s="60"/>
      <c r="M1905" s="60"/>
      <c r="N1905" s="60"/>
      <c r="O1905" s="60"/>
      <c r="P1905" s="60"/>
      <c r="Q1905" s="60"/>
      <c r="R1905" s="58"/>
      <c r="S1905" s="62" t="str">
        <f aca="false">IF(OR(B1905="",V1905=""),"",IFERROR(INDEX(C_TIPO,MATCH(V1905&amp;"-P"&amp;MAX(1,COUNTIFS(C_RUTN,V1905,C_DEF,"Sí",C_INI,"&lt;="&amp;EOMONTH(B1905,0))),C_CLAVE,0))&amp;"","Sin contrato"))</f>
        <v/>
      </c>
      <c r="T1905" s="63" t="str">
        <f aca="false">IF(OR(B1905="",N(O1905)=0),"",N(O1905)+ROUND(MIN(N(N1905),TOPE_UF*UF_MES)*(TASA_EMP+MUTUAL),0)+ROUND(MIN(N(N1905),TOPE_AFC_UF*UF_MES)*IF(S1905="Indefinido",AFC_INDEF,AFC_PF),0))</f>
        <v/>
      </c>
      <c r="U1905" s="62" t="str">
        <f aca="false">IF(C1905="","",IF(LEFT(D1905,1)="⚠","⚠ RUT no registrado en Trabajadores",IF(B1905="","⚠ Falta el mes",IF(OR(ISTEXT(I1905),ISTEXT(J1905)),"⚠ Atrasos u horas extra como texto: escriba hh:mm (ej. 1:30)",IF(AND(ISNUMBER(Q1905),COUNTIFS(M_RUTN,V1905,M_MES,B1905,M_LIQ,"&lt;&gt;")&gt;1),"⚠ Liquidación repetida en el mes",IF(AND(ISNUMBER(O1905),ISNUMBER(P1905),ISNUMBER(Q1905),ABS(O1905-P1905-Q1905)&gt;1),"⚠ Haberes − descuentos no da el líquido","OK"))))))</f>
        <v/>
      </c>
      <c r="V1905" s="62" t="str">
        <f aca="false">IF(C1905="","",IFERROR(VALUE(LEFT(UPPER(SUBSTITUTE(SUBSTITUTE(SUBSTITUTE(TRIM(C1905),".",""),"-","")," ","")),LEN(UPPER(SUBSTITUTE(SUBSTITUTE(SUBSTITUTE(TRIM(C1905),".",""),"-","")," ","")))-1))&amp;RIGHT(UPPER(SUBSTITUTE(SUBSTITUTE(SUBSTITUTE(TRIM(C1905),".",""),"-","")," ","")),1),UPPER(SUBSTITUTE(SUBSTITUTE(SUBSTITUTE(TRIM(C1905),".",""),"-","")," ",""))))</f>
        <v/>
      </c>
    </row>
    <row r="1906" customFormat="false" ht="15" hidden="false" customHeight="false" outlineLevel="0" collapsed="false">
      <c r="B1906" s="80"/>
      <c r="C1906" s="58"/>
      <c r="D1906" s="62" t="str">
        <f aca="false">IF(C1906="","",IFERROR(INDEX(T_NOMBRE,MATCH(V1906,T_RUTN,0)),"⚠ RUT no está en Trabajadores"))</f>
        <v/>
      </c>
      <c r="E1906" s="61"/>
      <c r="F1906" s="61"/>
      <c r="G1906" s="61"/>
      <c r="H1906" s="61"/>
      <c r="I1906" s="81"/>
      <c r="J1906" s="81"/>
      <c r="K1906" s="60"/>
      <c r="L1906" s="60"/>
      <c r="M1906" s="60"/>
      <c r="N1906" s="60"/>
      <c r="O1906" s="60"/>
      <c r="P1906" s="60"/>
      <c r="Q1906" s="60"/>
      <c r="R1906" s="58"/>
      <c r="S1906" s="62" t="str">
        <f aca="false">IF(OR(B1906="",V1906=""),"",IFERROR(INDEX(C_TIPO,MATCH(V1906&amp;"-P"&amp;MAX(1,COUNTIFS(C_RUTN,V1906,C_DEF,"Sí",C_INI,"&lt;="&amp;EOMONTH(B1906,0))),C_CLAVE,0))&amp;"","Sin contrato"))</f>
        <v/>
      </c>
      <c r="T1906" s="63" t="str">
        <f aca="false">IF(OR(B1906="",N(O1906)=0),"",N(O1906)+ROUND(MIN(N(N1906),TOPE_UF*UF_MES)*(TASA_EMP+MUTUAL),0)+ROUND(MIN(N(N1906),TOPE_AFC_UF*UF_MES)*IF(S1906="Indefinido",AFC_INDEF,AFC_PF),0))</f>
        <v/>
      </c>
      <c r="U1906" s="62" t="str">
        <f aca="false">IF(C1906="","",IF(LEFT(D1906,1)="⚠","⚠ RUT no registrado en Trabajadores",IF(B1906="","⚠ Falta el mes",IF(OR(ISTEXT(I1906),ISTEXT(J1906)),"⚠ Atrasos u horas extra como texto: escriba hh:mm (ej. 1:30)",IF(AND(ISNUMBER(Q1906),COUNTIFS(M_RUTN,V1906,M_MES,B1906,M_LIQ,"&lt;&gt;")&gt;1),"⚠ Liquidación repetida en el mes",IF(AND(ISNUMBER(O1906),ISNUMBER(P1906),ISNUMBER(Q1906),ABS(O1906-P1906-Q1906)&gt;1),"⚠ Haberes − descuentos no da el líquido","OK"))))))</f>
        <v/>
      </c>
      <c r="V1906" s="62" t="str">
        <f aca="false">IF(C1906="","",IFERROR(VALUE(LEFT(UPPER(SUBSTITUTE(SUBSTITUTE(SUBSTITUTE(TRIM(C1906),".",""),"-","")," ","")),LEN(UPPER(SUBSTITUTE(SUBSTITUTE(SUBSTITUTE(TRIM(C1906),".",""),"-","")," ","")))-1))&amp;RIGHT(UPPER(SUBSTITUTE(SUBSTITUTE(SUBSTITUTE(TRIM(C1906),".",""),"-","")," ","")),1),UPPER(SUBSTITUTE(SUBSTITUTE(SUBSTITUTE(TRIM(C1906),".",""),"-","")," ",""))))</f>
        <v/>
      </c>
    </row>
    <row r="1907" customFormat="false" ht="15" hidden="false" customHeight="false" outlineLevel="0" collapsed="false">
      <c r="B1907" s="80"/>
      <c r="C1907" s="58"/>
      <c r="D1907" s="62" t="str">
        <f aca="false">IF(C1907="","",IFERROR(INDEX(T_NOMBRE,MATCH(V1907,T_RUTN,0)),"⚠ RUT no está en Trabajadores"))</f>
        <v/>
      </c>
      <c r="E1907" s="61"/>
      <c r="F1907" s="61"/>
      <c r="G1907" s="61"/>
      <c r="H1907" s="61"/>
      <c r="I1907" s="81"/>
      <c r="J1907" s="81"/>
      <c r="K1907" s="60"/>
      <c r="L1907" s="60"/>
      <c r="M1907" s="60"/>
      <c r="N1907" s="60"/>
      <c r="O1907" s="60"/>
      <c r="P1907" s="60"/>
      <c r="Q1907" s="60"/>
      <c r="R1907" s="58"/>
      <c r="S1907" s="62" t="str">
        <f aca="false">IF(OR(B1907="",V1907=""),"",IFERROR(INDEX(C_TIPO,MATCH(V1907&amp;"-P"&amp;MAX(1,COUNTIFS(C_RUTN,V1907,C_DEF,"Sí",C_INI,"&lt;="&amp;EOMONTH(B1907,0))),C_CLAVE,0))&amp;"","Sin contrato"))</f>
        <v/>
      </c>
      <c r="T1907" s="63" t="str">
        <f aca="false">IF(OR(B1907="",N(O1907)=0),"",N(O1907)+ROUND(MIN(N(N1907),TOPE_UF*UF_MES)*(TASA_EMP+MUTUAL),0)+ROUND(MIN(N(N1907),TOPE_AFC_UF*UF_MES)*IF(S1907="Indefinido",AFC_INDEF,AFC_PF),0))</f>
        <v/>
      </c>
      <c r="U1907" s="62" t="str">
        <f aca="false">IF(C1907="","",IF(LEFT(D1907,1)="⚠","⚠ RUT no registrado en Trabajadores",IF(B1907="","⚠ Falta el mes",IF(OR(ISTEXT(I1907),ISTEXT(J1907)),"⚠ Atrasos u horas extra como texto: escriba hh:mm (ej. 1:30)",IF(AND(ISNUMBER(Q1907),COUNTIFS(M_RUTN,V1907,M_MES,B1907,M_LIQ,"&lt;&gt;")&gt;1),"⚠ Liquidación repetida en el mes",IF(AND(ISNUMBER(O1907),ISNUMBER(P1907),ISNUMBER(Q1907),ABS(O1907-P1907-Q1907)&gt;1),"⚠ Haberes − descuentos no da el líquido","OK"))))))</f>
        <v/>
      </c>
      <c r="V1907" s="62" t="str">
        <f aca="false">IF(C1907="","",IFERROR(VALUE(LEFT(UPPER(SUBSTITUTE(SUBSTITUTE(SUBSTITUTE(TRIM(C1907),".",""),"-","")," ","")),LEN(UPPER(SUBSTITUTE(SUBSTITUTE(SUBSTITUTE(TRIM(C1907),".",""),"-","")," ","")))-1))&amp;RIGHT(UPPER(SUBSTITUTE(SUBSTITUTE(SUBSTITUTE(TRIM(C1907),".",""),"-","")," ","")),1),UPPER(SUBSTITUTE(SUBSTITUTE(SUBSTITUTE(TRIM(C1907),".",""),"-","")," ",""))))</f>
        <v/>
      </c>
    </row>
    <row r="1908" customFormat="false" ht="15" hidden="false" customHeight="false" outlineLevel="0" collapsed="false">
      <c r="B1908" s="80"/>
      <c r="C1908" s="58"/>
      <c r="D1908" s="62" t="str">
        <f aca="false">IF(C1908="","",IFERROR(INDEX(T_NOMBRE,MATCH(V1908,T_RUTN,0)),"⚠ RUT no está en Trabajadores"))</f>
        <v/>
      </c>
      <c r="E1908" s="61"/>
      <c r="F1908" s="61"/>
      <c r="G1908" s="61"/>
      <c r="H1908" s="61"/>
      <c r="I1908" s="81"/>
      <c r="J1908" s="81"/>
      <c r="K1908" s="60"/>
      <c r="L1908" s="60"/>
      <c r="M1908" s="60"/>
      <c r="N1908" s="60"/>
      <c r="O1908" s="60"/>
      <c r="P1908" s="60"/>
      <c r="Q1908" s="60"/>
      <c r="R1908" s="58"/>
      <c r="S1908" s="62" t="str">
        <f aca="false">IF(OR(B1908="",V1908=""),"",IFERROR(INDEX(C_TIPO,MATCH(V1908&amp;"-P"&amp;MAX(1,COUNTIFS(C_RUTN,V1908,C_DEF,"Sí",C_INI,"&lt;="&amp;EOMONTH(B1908,0))),C_CLAVE,0))&amp;"","Sin contrato"))</f>
        <v/>
      </c>
      <c r="T1908" s="63" t="str">
        <f aca="false">IF(OR(B1908="",N(O1908)=0),"",N(O1908)+ROUND(MIN(N(N1908),TOPE_UF*UF_MES)*(TASA_EMP+MUTUAL),0)+ROUND(MIN(N(N1908),TOPE_AFC_UF*UF_MES)*IF(S1908="Indefinido",AFC_INDEF,AFC_PF),0))</f>
        <v/>
      </c>
      <c r="U1908" s="62" t="str">
        <f aca="false">IF(C1908="","",IF(LEFT(D1908,1)="⚠","⚠ RUT no registrado en Trabajadores",IF(B1908="","⚠ Falta el mes",IF(OR(ISTEXT(I1908),ISTEXT(J1908)),"⚠ Atrasos u horas extra como texto: escriba hh:mm (ej. 1:30)",IF(AND(ISNUMBER(Q1908),COUNTIFS(M_RUTN,V1908,M_MES,B1908,M_LIQ,"&lt;&gt;")&gt;1),"⚠ Liquidación repetida en el mes",IF(AND(ISNUMBER(O1908),ISNUMBER(P1908),ISNUMBER(Q1908),ABS(O1908-P1908-Q1908)&gt;1),"⚠ Haberes − descuentos no da el líquido","OK"))))))</f>
        <v/>
      </c>
      <c r="V1908" s="62" t="str">
        <f aca="false">IF(C1908="","",IFERROR(VALUE(LEFT(UPPER(SUBSTITUTE(SUBSTITUTE(SUBSTITUTE(TRIM(C1908),".",""),"-","")," ","")),LEN(UPPER(SUBSTITUTE(SUBSTITUTE(SUBSTITUTE(TRIM(C1908),".",""),"-","")," ","")))-1))&amp;RIGHT(UPPER(SUBSTITUTE(SUBSTITUTE(SUBSTITUTE(TRIM(C1908),".",""),"-","")," ","")),1),UPPER(SUBSTITUTE(SUBSTITUTE(SUBSTITUTE(TRIM(C1908),".",""),"-","")," ",""))))</f>
        <v/>
      </c>
    </row>
    <row r="1909" customFormat="false" ht="15" hidden="false" customHeight="false" outlineLevel="0" collapsed="false">
      <c r="B1909" s="80"/>
      <c r="C1909" s="58"/>
      <c r="D1909" s="62" t="str">
        <f aca="false">IF(C1909="","",IFERROR(INDEX(T_NOMBRE,MATCH(V1909,T_RUTN,0)),"⚠ RUT no está en Trabajadores"))</f>
        <v/>
      </c>
      <c r="E1909" s="61"/>
      <c r="F1909" s="61"/>
      <c r="G1909" s="61"/>
      <c r="H1909" s="61"/>
      <c r="I1909" s="81"/>
      <c r="J1909" s="81"/>
      <c r="K1909" s="60"/>
      <c r="L1909" s="60"/>
      <c r="M1909" s="60"/>
      <c r="N1909" s="60"/>
      <c r="O1909" s="60"/>
      <c r="P1909" s="60"/>
      <c r="Q1909" s="60"/>
      <c r="R1909" s="58"/>
      <c r="S1909" s="62" t="str">
        <f aca="false">IF(OR(B1909="",V1909=""),"",IFERROR(INDEX(C_TIPO,MATCH(V1909&amp;"-P"&amp;MAX(1,COUNTIFS(C_RUTN,V1909,C_DEF,"Sí",C_INI,"&lt;="&amp;EOMONTH(B1909,0))),C_CLAVE,0))&amp;"","Sin contrato"))</f>
        <v/>
      </c>
      <c r="T1909" s="63" t="str">
        <f aca="false">IF(OR(B1909="",N(O1909)=0),"",N(O1909)+ROUND(MIN(N(N1909),TOPE_UF*UF_MES)*(TASA_EMP+MUTUAL),0)+ROUND(MIN(N(N1909),TOPE_AFC_UF*UF_MES)*IF(S1909="Indefinido",AFC_INDEF,AFC_PF),0))</f>
        <v/>
      </c>
      <c r="U1909" s="62" t="str">
        <f aca="false">IF(C1909="","",IF(LEFT(D1909,1)="⚠","⚠ RUT no registrado en Trabajadores",IF(B1909="","⚠ Falta el mes",IF(OR(ISTEXT(I1909),ISTEXT(J1909)),"⚠ Atrasos u horas extra como texto: escriba hh:mm (ej. 1:30)",IF(AND(ISNUMBER(Q1909),COUNTIFS(M_RUTN,V1909,M_MES,B1909,M_LIQ,"&lt;&gt;")&gt;1),"⚠ Liquidación repetida en el mes",IF(AND(ISNUMBER(O1909),ISNUMBER(P1909),ISNUMBER(Q1909),ABS(O1909-P1909-Q1909)&gt;1),"⚠ Haberes − descuentos no da el líquido","OK"))))))</f>
        <v/>
      </c>
      <c r="V1909" s="62" t="str">
        <f aca="false">IF(C1909="","",IFERROR(VALUE(LEFT(UPPER(SUBSTITUTE(SUBSTITUTE(SUBSTITUTE(TRIM(C1909),".",""),"-","")," ","")),LEN(UPPER(SUBSTITUTE(SUBSTITUTE(SUBSTITUTE(TRIM(C1909),".",""),"-","")," ","")))-1))&amp;RIGHT(UPPER(SUBSTITUTE(SUBSTITUTE(SUBSTITUTE(TRIM(C1909),".",""),"-","")," ","")),1),UPPER(SUBSTITUTE(SUBSTITUTE(SUBSTITUTE(TRIM(C1909),".",""),"-","")," ",""))))</f>
        <v/>
      </c>
    </row>
    <row r="1910" customFormat="false" ht="15" hidden="false" customHeight="false" outlineLevel="0" collapsed="false">
      <c r="B1910" s="80"/>
      <c r="C1910" s="58"/>
      <c r="D1910" s="62" t="str">
        <f aca="false">IF(C1910="","",IFERROR(INDEX(T_NOMBRE,MATCH(V1910,T_RUTN,0)),"⚠ RUT no está en Trabajadores"))</f>
        <v/>
      </c>
      <c r="E1910" s="61"/>
      <c r="F1910" s="61"/>
      <c r="G1910" s="61"/>
      <c r="H1910" s="61"/>
      <c r="I1910" s="81"/>
      <c r="J1910" s="81"/>
      <c r="K1910" s="60"/>
      <c r="L1910" s="60"/>
      <c r="M1910" s="60"/>
      <c r="N1910" s="60"/>
      <c r="O1910" s="60"/>
      <c r="P1910" s="60"/>
      <c r="Q1910" s="60"/>
      <c r="R1910" s="58"/>
      <c r="S1910" s="62" t="str">
        <f aca="false">IF(OR(B1910="",V1910=""),"",IFERROR(INDEX(C_TIPO,MATCH(V1910&amp;"-P"&amp;MAX(1,COUNTIFS(C_RUTN,V1910,C_DEF,"Sí",C_INI,"&lt;="&amp;EOMONTH(B1910,0))),C_CLAVE,0))&amp;"","Sin contrato"))</f>
        <v/>
      </c>
      <c r="T1910" s="63" t="str">
        <f aca="false">IF(OR(B1910="",N(O1910)=0),"",N(O1910)+ROUND(MIN(N(N1910),TOPE_UF*UF_MES)*(TASA_EMP+MUTUAL),0)+ROUND(MIN(N(N1910),TOPE_AFC_UF*UF_MES)*IF(S1910="Indefinido",AFC_INDEF,AFC_PF),0))</f>
        <v/>
      </c>
      <c r="U1910" s="62" t="str">
        <f aca="false">IF(C1910="","",IF(LEFT(D1910,1)="⚠","⚠ RUT no registrado en Trabajadores",IF(B1910="","⚠ Falta el mes",IF(OR(ISTEXT(I1910),ISTEXT(J1910)),"⚠ Atrasos u horas extra como texto: escriba hh:mm (ej. 1:30)",IF(AND(ISNUMBER(Q1910),COUNTIFS(M_RUTN,V1910,M_MES,B1910,M_LIQ,"&lt;&gt;")&gt;1),"⚠ Liquidación repetida en el mes",IF(AND(ISNUMBER(O1910),ISNUMBER(P1910),ISNUMBER(Q1910),ABS(O1910-P1910-Q1910)&gt;1),"⚠ Haberes − descuentos no da el líquido","OK"))))))</f>
        <v/>
      </c>
      <c r="V1910" s="62" t="str">
        <f aca="false">IF(C1910="","",IFERROR(VALUE(LEFT(UPPER(SUBSTITUTE(SUBSTITUTE(SUBSTITUTE(TRIM(C1910),".",""),"-","")," ","")),LEN(UPPER(SUBSTITUTE(SUBSTITUTE(SUBSTITUTE(TRIM(C1910),".",""),"-","")," ","")))-1))&amp;RIGHT(UPPER(SUBSTITUTE(SUBSTITUTE(SUBSTITUTE(TRIM(C1910),".",""),"-","")," ","")),1),UPPER(SUBSTITUTE(SUBSTITUTE(SUBSTITUTE(TRIM(C1910),".",""),"-","")," ",""))))</f>
        <v/>
      </c>
    </row>
    <row r="1911" customFormat="false" ht="15" hidden="false" customHeight="false" outlineLevel="0" collapsed="false">
      <c r="B1911" s="80"/>
      <c r="C1911" s="58"/>
      <c r="D1911" s="62" t="str">
        <f aca="false">IF(C1911="","",IFERROR(INDEX(T_NOMBRE,MATCH(V1911,T_RUTN,0)),"⚠ RUT no está en Trabajadores"))</f>
        <v/>
      </c>
      <c r="E1911" s="61"/>
      <c r="F1911" s="61"/>
      <c r="G1911" s="61"/>
      <c r="H1911" s="61"/>
      <c r="I1911" s="81"/>
      <c r="J1911" s="81"/>
      <c r="K1911" s="60"/>
      <c r="L1911" s="60"/>
      <c r="M1911" s="60"/>
      <c r="N1911" s="60"/>
      <c r="O1911" s="60"/>
      <c r="P1911" s="60"/>
      <c r="Q1911" s="60"/>
      <c r="R1911" s="58"/>
      <c r="S1911" s="62" t="str">
        <f aca="false">IF(OR(B1911="",V1911=""),"",IFERROR(INDEX(C_TIPO,MATCH(V1911&amp;"-P"&amp;MAX(1,COUNTIFS(C_RUTN,V1911,C_DEF,"Sí",C_INI,"&lt;="&amp;EOMONTH(B1911,0))),C_CLAVE,0))&amp;"","Sin contrato"))</f>
        <v/>
      </c>
      <c r="T1911" s="63" t="str">
        <f aca="false">IF(OR(B1911="",N(O1911)=0),"",N(O1911)+ROUND(MIN(N(N1911),TOPE_UF*UF_MES)*(TASA_EMP+MUTUAL),0)+ROUND(MIN(N(N1911),TOPE_AFC_UF*UF_MES)*IF(S1911="Indefinido",AFC_INDEF,AFC_PF),0))</f>
        <v/>
      </c>
      <c r="U1911" s="62" t="str">
        <f aca="false">IF(C1911="","",IF(LEFT(D1911,1)="⚠","⚠ RUT no registrado en Trabajadores",IF(B1911="","⚠ Falta el mes",IF(OR(ISTEXT(I1911),ISTEXT(J1911)),"⚠ Atrasos u horas extra como texto: escriba hh:mm (ej. 1:30)",IF(AND(ISNUMBER(Q1911),COUNTIFS(M_RUTN,V1911,M_MES,B1911,M_LIQ,"&lt;&gt;")&gt;1),"⚠ Liquidación repetida en el mes",IF(AND(ISNUMBER(O1911),ISNUMBER(P1911),ISNUMBER(Q1911),ABS(O1911-P1911-Q1911)&gt;1),"⚠ Haberes − descuentos no da el líquido","OK"))))))</f>
        <v/>
      </c>
      <c r="V1911" s="62" t="str">
        <f aca="false">IF(C1911="","",IFERROR(VALUE(LEFT(UPPER(SUBSTITUTE(SUBSTITUTE(SUBSTITUTE(TRIM(C1911),".",""),"-","")," ","")),LEN(UPPER(SUBSTITUTE(SUBSTITUTE(SUBSTITUTE(TRIM(C1911),".",""),"-","")," ","")))-1))&amp;RIGHT(UPPER(SUBSTITUTE(SUBSTITUTE(SUBSTITUTE(TRIM(C1911),".",""),"-","")," ","")),1),UPPER(SUBSTITUTE(SUBSTITUTE(SUBSTITUTE(TRIM(C1911),".",""),"-","")," ",""))))</f>
        <v/>
      </c>
    </row>
    <row r="1912" customFormat="false" ht="15" hidden="false" customHeight="false" outlineLevel="0" collapsed="false">
      <c r="B1912" s="80"/>
      <c r="C1912" s="58"/>
      <c r="D1912" s="62" t="str">
        <f aca="false">IF(C1912="","",IFERROR(INDEX(T_NOMBRE,MATCH(V1912,T_RUTN,0)),"⚠ RUT no está en Trabajadores"))</f>
        <v/>
      </c>
      <c r="E1912" s="61"/>
      <c r="F1912" s="61"/>
      <c r="G1912" s="61"/>
      <c r="H1912" s="61"/>
      <c r="I1912" s="81"/>
      <c r="J1912" s="81"/>
      <c r="K1912" s="60"/>
      <c r="L1912" s="60"/>
      <c r="M1912" s="60"/>
      <c r="N1912" s="60"/>
      <c r="O1912" s="60"/>
      <c r="P1912" s="60"/>
      <c r="Q1912" s="60"/>
      <c r="R1912" s="58"/>
      <c r="S1912" s="62" t="str">
        <f aca="false">IF(OR(B1912="",V1912=""),"",IFERROR(INDEX(C_TIPO,MATCH(V1912&amp;"-P"&amp;MAX(1,COUNTIFS(C_RUTN,V1912,C_DEF,"Sí",C_INI,"&lt;="&amp;EOMONTH(B1912,0))),C_CLAVE,0))&amp;"","Sin contrato"))</f>
        <v/>
      </c>
      <c r="T1912" s="63" t="str">
        <f aca="false">IF(OR(B1912="",N(O1912)=0),"",N(O1912)+ROUND(MIN(N(N1912),TOPE_UF*UF_MES)*(TASA_EMP+MUTUAL),0)+ROUND(MIN(N(N1912),TOPE_AFC_UF*UF_MES)*IF(S1912="Indefinido",AFC_INDEF,AFC_PF),0))</f>
        <v/>
      </c>
      <c r="U1912" s="62" t="str">
        <f aca="false">IF(C1912="","",IF(LEFT(D1912,1)="⚠","⚠ RUT no registrado en Trabajadores",IF(B1912="","⚠ Falta el mes",IF(OR(ISTEXT(I1912),ISTEXT(J1912)),"⚠ Atrasos u horas extra como texto: escriba hh:mm (ej. 1:30)",IF(AND(ISNUMBER(Q1912),COUNTIFS(M_RUTN,V1912,M_MES,B1912,M_LIQ,"&lt;&gt;")&gt;1),"⚠ Liquidación repetida en el mes",IF(AND(ISNUMBER(O1912),ISNUMBER(P1912),ISNUMBER(Q1912),ABS(O1912-P1912-Q1912)&gt;1),"⚠ Haberes − descuentos no da el líquido","OK"))))))</f>
        <v/>
      </c>
      <c r="V1912" s="62" t="str">
        <f aca="false">IF(C1912="","",IFERROR(VALUE(LEFT(UPPER(SUBSTITUTE(SUBSTITUTE(SUBSTITUTE(TRIM(C1912),".",""),"-","")," ","")),LEN(UPPER(SUBSTITUTE(SUBSTITUTE(SUBSTITUTE(TRIM(C1912),".",""),"-","")," ","")))-1))&amp;RIGHT(UPPER(SUBSTITUTE(SUBSTITUTE(SUBSTITUTE(TRIM(C1912),".",""),"-","")," ","")),1),UPPER(SUBSTITUTE(SUBSTITUTE(SUBSTITUTE(TRIM(C1912),".",""),"-","")," ",""))))</f>
        <v/>
      </c>
    </row>
    <row r="1913" customFormat="false" ht="15" hidden="false" customHeight="false" outlineLevel="0" collapsed="false">
      <c r="B1913" s="80"/>
      <c r="C1913" s="58"/>
      <c r="D1913" s="62" t="str">
        <f aca="false">IF(C1913="","",IFERROR(INDEX(T_NOMBRE,MATCH(V1913,T_RUTN,0)),"⚠ RUT no está en Trabajadores"))</f>
        <v/>
      </c>
      <c r="E1913" s="61"/>
      <c r="F1913" s="61"/>
      <c r="G1913" s="61"/>
      <c r="H1913" s="61"/>
      <c r="I1913" s="81"/>
      <c r="J1913" s="81"/>
      <c r="K1913" s="60"/>
      <c r="L1913" s="60"/>
      <c r="M1913" s="60"/>
      <c r="N1913" s="60"/>
      <c r="O1913" s="60"/>
      <c r="P1913" s="60"/>
      <c r="Q1913" s="60"/>
      <c r="R1913" s="58"/>
      <c r="S1913" s="62" t="str">
        <f aca="false">IF(OR(B1913="",V1913=""),"",IFERROR(INDEX(C_TIPO,MATCH(V1913&amp;"-P"&amp;MAX(1,COUNTIFS(C_RUTN,V1913,C_DEF,"Sí",C_INI,"&lt;="&amp;EOMONTH(B1913,0))),C_CLAVE,0))&amp;"","Sin contrato"))</f>
        <v/>
      </c>
      <c r="T1913" s="63" t="str">
        <f aca="false">IF(OR(B1913="",N(O1913)=0),"",N(O1913)+ROUND(MIN(N(N1913),TOPE_UF*UF_MES)*(TASA_EMP+MUTUAL),0)+ROUND(MIN(N(N1913),TOPE_AFC_UF*UF_MES)*IF(S1913="Indefinido",AFC_INDEF,AFC_PF),0))</f>
        <v/>
      </c>
      <c r="U1913" s="62" t="str">
        <f aca="false">IF(C1913="","",IF(LEFT(D1913,1)="⚠","⚠ RUT no registrado en Trabajadores",IF(B1913="","⚠ Falta el mes",IF(OR(ISTEXT(I1913),ISTEXT(J1913)),"⚠ Atrasos u horas extra como texto: escriba hh:mm (ej. 1:30)",IF(AND(ISNUMBER(Q1913),COUNTIFS(M_RUTN,V1913,M_MES,B1913,M_LIQ,"&lt;&gt;")&gt;1),"⚠ Liquidación repetida en el mes",IF(AND(ISNUMBER(O1913),ISNUMBER(P1913),ISNUMBER(Q1913),ABS(O1913-P1913-Q1913)&gt;1),"⚠ Haberes − descuentos no da el líquido","OK"))))))</f>
        <v/>
      </c>
      <c r="V1913" s="62" t="str">
        <f aca="false">IF(C1913="","",IFERROR(VALUE(LEFT(UPPER(SUBSTITUTE(SUBSTITUTE(SUBSTITUTE(TRIM(C1913),".",""),"-","")," ","")),LEN(UPPER(SUBSTITUTE(SUBSTITUTE(SUBSTITUTE(TRIM(C1913),".",""),"-","")," ","")))-1))&amp;RIGHT(UPPER(SUBSTITUTE(SUBSTITUTE(SUBSTITUTE(TRIM(C1913),".",""),"-","")," ","")),1),UPPER(SUBSTITUTE(SUBSTITUTE(SUBSTITUTE(TRIM(C1913),".",""),"-","")," ",""))))</f>
        <v/>
      </c>
    </row>
    <row r="1914" customFormat="false" ht="15" hidden="false" customHeight="false" outlineLevel="0" collapsed="false">
      <c r="B1914" s="80"/>
      <c r="C1914" s="58"/>
      <c r="D1914" s="62" t="str">
        <f aca="false">IF(C1914="","",IFERROR(INDEX(T_NOMBRE,MATCH(V1914,T_RUTN,0)),"⚠ RUT no está en Trabajadores"))</f>
        <v/>
      </c>
      <c r="E1914" s="61"/>
      <c r="F1914" s="61"/>
      <c r="G1914" s="61"/>
      <c r="H1914" s="61"/>
      <c r="I1914" s="81"/>
      <c r="J1914" s="81"/>
      <c r="K1914" s="60"/>
      <c r="L1914" s="60"/>
      <c r="M1914" s="60"/>
      <c r="N1914" s="60"/>
      <c r="O1914" s="60"/>
      <c r="P1914" s="60"/>
      <c r="Q1914" s="60"/>
      <c r="R1914" s="58"/>
      <c r="S1914" s="62" t="str">
        <f aca="false">IF(OR(B1914="",V1914=""),"",IFERROR(INDEX(C_TIPO,MATCH(V1914&amp;"-P"&amp;MAX(1,COUNTIFS(C_RUTN,V1914,C_DEF,"Sí",C_INI,"&lt;="&amp;EOMONTH(B1914,0))),C_CLAVE,0))&amp;"","Sin contrato"))</f>
        <v/>
      </c>
      <c r="T1914" s="63" t="str">
        <f aca="false">IF(OR(B1914="",N(O1914)=0),"",N(O1914)+ROUND(MIN(N(N1914),TOPE_UF*UF_MES)*(TASA_EMP+MUTUAL),0)+ROUND(MIN(N(N1914),TOPE_AFC_UF*UF_MES)*IF(S1914="Indefinido",AFC_INDEF,AFC_PF),0))</f>
        <v/>
      </c>
      <c r="U1914" s="62" t="str">
        <f aca="false">IF(C1914="","",IF(LEFT(D1914,1)="⚠","⚠ RUT no registrado en Trabajadores",IF(B1914="","⚠ Falta el mes",IF(OR(ISTEXT(I1914),ISTEXT(J1914)),"⚠ Atrasos u horas extra como texto: escriba hh:mm (ej. 1:30)",IF(AND(ISNUMBER(Q1914),COUNTIFS(M_RUTN,V1914,M_MES,B1914,M_LIQ,"&lt;&gt;")&gt;1),"⚠ Liquidación repetida en el mes",IF(AND(ISNUMBER(O1914),ISNUMBER(P1914),ISNUMBER(Q1914),ABS(O1914-P1914-Q1914)&gt;1),"⚠ Haberes − descuentos no da el líquido","OK"))))))</f>
        <v/>
      </c>
      <c r="V1914" s="62" t="str">
        <f aca="false">IF(C1914="","",IFERROR(VALUE(LEFT(UPPER(SUBSTITUTE(SUBSTITUTE(SUBSTITUTE(TRIM(C1914),".",""),"-","")," ","")),LEN(UPPER(SUBSTITUTE(SUBSTITUTE(SUBSTITUTE(TRIM(C1914),".",""),"-","")," ","")))-1))&amp;RIGHT(UPPER(SUBSTITUTE(SUBSTITUTE(SUBSTITUTE(TRIM(C1914),".",""),"-","")," ","")),1),UPPER(SUBSTITUTE(SUBSTITUTE(SUBSTITUTE(TRIM(C1914),".",""),"-","")," ",""))))</f>
        <v/>
      </c>
    </row>
    <row r="1915" customFormat="false" ht="15" hidden="false" customHeight="false" outlineLevel="0" collapsed="false">
      <c r="B1915" s="80"/>
      <c r="C1915" s="58"/>
      <c r="D1915" s="62" t="str">
        <f aca="false">IF(C1915="","",IFERROR(INDEX(T_NOMBRE,MATCH(V1915,T_RUTN,0)),"⚠ RUT no está en Trabajadores"))</f>
        <v/>
      </c>
      <c r="E1915" s="61"/>
      <c r="F1915" s="61"/>
      <c r="G1915" s="61"/>
      <c r="H1915" s="61"/>
      <c r="I1915" s="81"/>
      <c r="J1915" s="81"/>
      <c r="K1915" s="60"/>
      <c r="L1915" s="60"/>
      <c r="M1915" s="60"/>
      <c r="N1915" s="60"/>
      <c r="O1915" s="60"/>
      <c r="P1915" s="60"/>
      <c r="Q1915" s="60"/>
      <c r="R1915" s="58"/>
      <c r="S1915" s="62" t="str">
        <f aca="false">IF(OR(B1915="",V1915=""),"",IFERROR(INDEX(C_TIPO,MATCH(V1915&amp;"-P"&amp;MAX(1,COUNTIFS(C_RUTN,V1915,C_DEF,"Sí",C_INI,"&lt;="&amp;EOMONTH(B1915,0))),C_CLAVE,0))&amp;"","Sin contrato"))</f>
        <v/>
      </c>
      <c r="T1915" s="63" t="str">
        <f aca="false">IF(OR(B1915="",N(O1915)=0),"",N(O1915)+ROUND(MIN(N(N1915),TOPE_UF*UF_MES)*(TASA_EMP+MUTUAL),0)+ROUND(MIN(N(N1915),TOPE_AFC_UF*UF_MES)*IF(S1915="Indefinido",AFC_INDEF,AFC_PF),0))</f>
        <v/>
      </c>
      <c r="U1915" s="62" t="str">
        <f aca="false">IF(C1915="","",IF(LEFT(D1915,1)="⚠","⚠ RUT no registrado en Trabajadores",IF(B1915="","⚠ Falta el mes",IF(OR(ISTEXT(I1915),ISTEXT(J1915)),"⚠ Atrasos u horas extra como texto: escriba hh:mm (ej. 1:30)",IF(AND(ISNUMBER(Q1915),COUNTIFS(M_RUTN,V1915,M_MES,B1915,M_LIQ,"&lt;&gt;")&gt;1),"⚠ Liquidación repetida en el mes",IF(AND(ISNUMBER(O1915),ISNUMBER(P1915),ISNUMBER(Q1915),ABS(O1915-P1915-Q1915)&gt;1),"⚠ Haberes − descuentos no da el líquido","OK"))))))</f>
        <v/>
      </c>
      <c r="V1915" s="62" t="str">
        <f aca="false">IF(C1915="","",IFERROR(VALUE(LEFT(UPPER(SUBSTITUTE(SUBSTITUTE(SUBSTITUTE(TRIM(C1915),".",""),"-","")," ","")),LEN(UPPER(SUBSTITUTE(SUBSTITUTE(SUBSTITUTE(TRIM(C1915),".",""),"-","")," ","")))-1))&amp;RIGHT(UPPER(SUBSTITUTE(SUBSTITUTE(SUBSTITUTE(TRIM(C1915),".",""),"-","")," ","")),1),UPPER(SUBSTITUTE(SUBSTITUTE(SUBSTITUTE(TRIM(C1915),".",""),"-","")," ",""))))</f>
        <v/>
      </c>
    </row>
    <row r="1916" customFormat="false" ht="15" hidden="false" customHeight="false" outlineLevel="0" collapsed="false">
      <c r="B1916" s="80"/>
      <c r="C1916" s="58"/>
      <c r="D1916" s="62" t="str">
        <f aca="false">IF(C1916="","",IFERROR(INDEX(T_NOMBRE,MATCH(V1916,T_RUTN,0)),"⚠ RUT no está en Trabajadores"))</f>
        <v/>
      </c>
      <c r="E1916" s="61"/>
      <c r="F1916" s="61"/>
      <c r="G1916" s="61"/>
      <c r="H1916" s="61"/>
      <c r="I1916" s="81"/>
      <c r="J1916" s="81"/>
      <c r="K1916" s="60"/>
      <c r="L1916" s="60"/>
      <c r="M1916" s="60"/>
      <c r="N1916" s="60"/>
      <c r="O1916" s="60"/>
      <c r="P1916" s="60"/>
      <c r="Q1916" s="60"/>
      <c r="R1916" s="58"/>
      <c r="S1916" s="62" t="str">
        <f aca="false">IF(OR(B1916="",V1916=""),"",IFERROR(INDEX(C_TIPO,MATCH(V1916&amp;"-P"&amp;MAX(1,COUNTIFS(C_RUTN,V1916,C_DEF,"Sí",C_INI,"&lt;="&amp;EOMONTH(B1916,0))),C_CLAVE,0))&amp;"","Sin contrato"))</f>
        <v/>
      </c>
      <c r="T1916" s="63" t="str">
        <f aca="false">IF(OR(B1916="",N(O1916)=0),"",N(O1916)+ROUND(MIN(N(N1916),TOPE_UF*UF_MES)*(TASA_EMP+MUTUAL),0)+ROUND(MIN(N(N1916),TOPE_AFC_UF*UF_MES)*IF(S1916="Indefinido",AFC_INDEF,AFC_PF),0))</f>
        <v/>
      </c>
      <c r="U1916" s="62" t="str">
        <f aca="false">IF(C1916="","",IF(LEFT(D1916,1)="⚠","⚠ RUT no registrado en Trabajadores",IF(B1916="","⚠ Falta el mes",IF(OR(ISTEXT(I1916),ISTEXT(J1916)),"⚠ Atrasos u horas extra como texto: escriba hh:mm (ej. 1:30)",IF(AND(ISNUMBER(Q1916),COUNTIFS(M_RUTN,V1916,M_MES,B1916,M_LIQ,"&lt;&gt;")&gt;1),"⚠ Liquidación repetida en el mes",IF(AND(ISNUMBER(O1916),ISNUMBER(P1916),ISNUMBER(Q1916),ABS(O1916-P1916-Q1916)&gt;1),"⚠ Haberes − descuentos no da el líquido","OK"))))))</f>
        <v/>
      </c>
      <c r="V1916" s="62" t="str">
        <f aca="false">IF(C1916="","",IFERROR(VALUE(LEFT(UPPER(SUBSTITUTE(SUBSTITUTE(SUBSTITUTE(TRIM(C1916),".",""),"-","")," ","")),LEN(UPPER(SUBSTITUTE(SUBSTITUTE(SUBSTITUTE(TRIM(C1916),".",""),"-","")," ","")))-1))&amp;RIGHT(UPPER(SUBSTITUTE(SUBSTITUTE(SUBSTITUTE(TRIM(C1916),".",""),"-","")," ","")),1),UPPER(SUBSTITUTE(SUBSTITUTE(SUBSTITUTE(TRIM(C1916),".",""),"-","")," ",""))))</f>
        <v/>
      </c>
    </row>
    <row r="1917" customFormat="false" ht="15" hidden="false" customHeight="false" outlineLevel="0" collapsed="false">
      <c r="B1917" s="80"/>
      <c r="C1917" s="58"/>
      <c r="D1917" s="62" t="str">
        <f aca="false">IF(C1917="","",IFERROR(INDEX(T_NOMBRE,MATCH(V1917,T_RUTN,0)),"⚠ RUT no está en Trabajadores"))</f>
        <v/>
      </c>
      <c r="E1917" s="61"/>
      <c r="F1917" s="61"/>
      <c r="G1917" s="61"/>
      <c r="H1917" s="61"/>
      <c r="I1917" s="81"/>
      <c r="J1917" s="81"/>
      <c r="K1917" s="60"/>
      <c r="L1917" s="60"/>
      <c r="M1917" s="60"/>
      <c r="N1917" s="60"/>
      <c r="O1917" s="60"/>
      <c r="P1917" s="60"/>
      <c r="Q1917" s="60"/>
      <c r="R1917" s="58"/>
      <c r="S1917" s="62" t="str">
        <f aca="false">IF(OR(B1917="",V1917=""),"",IFERROR(INDEX(C_TIPO,MATCH(V1917&amp;"-P"&amp;MAX(1,COUNTIFS(C_RUTN,V1917,C_DEF,"Sí",C_INI,"&lt;="&amp;EOMONTH(B1917,0))),C_CLAVE,0))&amp;"","Sin contrato"))</f>
        <v/>
      </c>
      <c r="T1917" s="63" t="str">
        <f aca="false">IF(OR(B1917="",N(O1917)=0),"",N(O1917)+ROUND(MIN(N(N1917),TOPE_UF*UF_MES)*(TASA_EMP+MUTUAL),0)+ROUND(MIN(N(N1917),TOPE_AFC_UF*UF_MES)*IF(S1917="Indefinido",AFC_INDEF,AFC_PF),0))</f>
        <v/>
      </c>
      <c r="U1917" s="62" t="str">
        <f aca="false">IF(C1917="","",IF(LEFT(D1917,1)="⚠","⚠ RUT no registrado en Trabajadores",IF(B1917="","⚠ Falta el mes",IF(OR(ISTEXT(I1917),ISTEXT(J1917)),"⚠ Atrasos u horas extra como texto: escriba hh:mm (ej. 1:30)",IF(AND(ISNUMBER(Q1917),COUNTIFS(M_RUTN,V1917,M_MES,B1917,M_LIQ,"&lt;&gt;")&gt;1),"⚠ Liquidación repetida en el mes",IF(AND(ISNUMBER(O1917),ISNUMBER(P1917),ISNUMBER(Q1917),ABS(O1917-P1917-Q1917)&gt;1),"⚠ Haberes − descuentos no da el líquido","OK"))))))</f>
        <v/>
      </c>
      <c r="V1917" s="62" t="str">
        <f aca="false">IF(C1917="","",IFERROR(VALUE(LEFT(UPPER(SUBSTITUTE(SUBSTITUTE(SUBSTITUTE(TRIM(C1917),".",""),"-","")," ","")),LEN(UPPER(SUBSTITUTE(SUBSTITUTE(SUBSTITUTE(TRIM(C1917),".",""),"-","")," ","")))-1))&amp;RIGHT(UPPER(SUBSTITUTE(SUBSTITUTE(SUBSTITUTE(TRIM(C1917),".",""),"-","")," ","")),1),UPPER(SUBSTITUTE(SUBSTITUTE(SUBSTITUTE(TRIM(C1917),".",""),"-","")," ",""))))</f>
        <v/>
      </c>
    </row>
    <row r="1918" customFormat="false" ht="15" hidden="false" customHeight="false" outlineLevel="0" collapsed="false">
      <c r="B1918" s="80"/>
      <c r="C1918" s="58"/>
      <c r="D1918" s="62" t="str">
        <f aca="false">IF(C1918="","",IFERROR(INDEX(T_NOMBRE,MATCH(V1918,T_RUTN,0)),"⚠ RUT no está en Trabajadores"))</f>
        <v/>
      </c>
      <c r="E1918" s="61"/>
      <c r="F1918" s="61"/>
      <c r="G1918" s="61"/>
      <c r="H1918" s="61"/>
      <c r="I1918" s="81"/>
      <c r="J1918" s="81"/>
      <c r="K1918" s="60"/>
      <c r="L1918" s="60"/>
      <c r="M1918" s="60"/>
      <c r="N1918" s="60"/>
      <c r="O1918" s="60"/>
      <c r="P1918" s="60"/>
      <c r="Q1918" s="60"/>
      <c r="R1918" s="58"/>
      <c r="S1918" s="62" t="str">
        <f aca="false">IF(OR(B1918="",V1918=""),"",IFERROR(INDEX(C_TIPO,MATCH(V1918&amp;"-P"&amp;MAX(1,COUNTIFS(C_RUTN,V1918,C_DEF,"Sí",C_INI,"&lt;="&amp;EOMONTH(B1918,0))),C_CLAVE,0))&amp;"","Sin contrato"))</f>
        <v/>
      </c>
      <c r="T1918" s="63" t="str">
        <f aca="false">IF(OR(B1918="",N(O1918)=0),"",N(O1918)+ROUND(MIN(N(N1918),TOPE_UF*UF_MES)*(TASA_EMP+MUTUAL),0)+ROUND(MIN(N(N1918),TOPE_AFC_UF*UF_MES)*IF(S1918="Indefinido",AFC_INDEF,AFC_PF),0))</f>
        <v/>
      </c>
      <c r="U1918" s="62" t="str">
        <f aca="false">IF(C1918="","",IF(LEFT(D1918,1)="⚠","⚠ RUT no registrado en Trabajadores",IF(B1918="","⚠ Falta el mes",IF(OR(ISTEXT(I1918),ISTEXT(J1918)),"⚠ Atrasos u horas extra como texto: escriba hh:mm (ej. 1:30)",IF(AND(ISNUMBER(Q1918),COUNTIFS(M_RUTN,V1918,M_MES,B1918,M_LIQ,"&lt;&gt;")&gt;1),"⚠ Liquidación repetida en el mes",IF(AND(ISNUMBER(O1918),ISNUMBER(P1918),ISNUMBER(Q1918),ABS(O1918-P1918-Q1918)&gt;1),"⚠ Haberes − descuentos no da el líquido","OK"))))))</f>
        <v/>
      </c>
      <c r="V1918" s="62" t="str">
        <f aca="false">IF(C1918="","",IFERROR(VALUE(LEFT(UPPER(SUBSTITUTE(SUBSTITUTE(SUBSTITUTE(TRIM(C1918),".",""),"-","")," ","")),LEN(UPPER(SUBSTITUTE(SUBSTITUTE(SUBSTITUTE(TRIM(C1918),".",""),"-","")," ","")))-1))&amp;RIGHT(UPPER(SUBSTITUTE(SUBSTITUTE(SUBSTITUTE(TRIM(C1918),".",""),"-","")," ","")),1),UPPER(SUBSTITUTE(SUBSTITUTE(SUBSTITUTE(TRIM(C1918),".",""),"-","")," ",""))))</f>
        <v/>
      </c>
    </row>
    <row r="1919" customFormat="false" ht="15" hidden="false" customHeight="false" outlineLevel="0" collapsed="false">
      <c r="B1919" s="80"/>
      <c r="C1919" s="58"/>
      <c r="D1919" s="62" t="str">
        <f aca="false">IF(C1919="","",IFERROR(INDEX(T_NOMBRE,MATCH(V1919,T_RUTN,0)),"⚠ RUT no está en Trabajadores"))</f>
        <v/>
      </c>
      <c r="E1919" s="61"/>
      <c r="F1919" s="61"/>
      <c r="G1919" s="61"/>
      <c r="H1919" s="61"/>
      <c r="I1919" s="81"/>
      <c r="J1919" s="81"/>
      <c r="K1919" s="60"/>
      <c r="L1919" s="60"/>
      <c r="M1919" s="60"/>
      <c r="N1919" s="60"/>
      <c r="O1919" s="60"/>
      <c r="P1919" s="60"/>
      <c r="Q1919" s="60"/>
      <c r="R1919" s="58"/>
      <c r="S1919" s="62" t="str">
        <f aca="false">IF(OR(B1919="",V1919=""),"",IFERROR(INDEX(C_TIPO,MATCH(V1919&amp;"-P"&amp;MAX(1,COUNTIFS(C_RUTN,V1919,C_DEF,"Sí",C_INI,"&lt;="&amp;EOMONTH(B1919,0))),C_CLAVE,0))&amp;"","Sin contrato"))</f>
        <v/>
      </c>
      <c r="T1919" s="63" t="str">
        <f aca="false">IF(OR(B1919="",N(O1919)=0),"",N(O1919)+ROUND(MIN(N(N1919),TOPE_UF*UF_MES)*(TASA_EMP+MUTUAL),0)+ROUND(MIN(N(N1919),TOPE_AFC_UF*UF_MES)*IF(S1919="Indefinido",AFC_INDEF,AFC_PF),0))</f>
        <v/>
      </c>
      <c r="U1919" s="62" t="str">
        <f aca="false">IF(C1919="","",IF(LEFT(D1919,1)="⚠","⚠ RUT no registrado en Trabajadores",IF(B1919="","⚠ Falta el mes",IF(OR(ISTEXT(I1919),ISTEXT(J1919)),"⚠ Atrasos u horas extra como texto: escriba hh:mm (ej. 1:30)",IF(AND(ISNUMBER(Q1919),COUNTIFS(M_RUTN,V1919,M_MES,B1919,M_LIQ,"&lt;&gt;")&gt;1),"⚠ Liquidación repetida en el mes",IF(AND(ISNUMBER(O1919),ISNUMBER(P1919),ISNUMBER(Q1919),ABS(O1919-P1919-Q1919)&gt;1),"⚠ Haberes − descuentos no da el líquido","OK"))))))</f>
        <v/>
      </c>
      <c r="V1919" s="62" t="str">
        <f aca="false">IF(C1919="","",IFERROR(VALUE(LEFT(UPPER(SUBSTITUTE(SUBSTITUTE(SUBSTITUTE(TRIM(C1919),".",""),"-","")," ","")),LEN(UPPER(SUBSTITUTE(SUBSTITUTE(SUBSTITUTE(TRIM(C1919),".",""),"-","")," ","")))-1))&amp;RIGHT(UPPER(SUBSTITUTE(SUBSTITUTE(SUBSTITUTE(TRIM(C1919),".",""),"-","")," ","")),1),UPPER(SUBSTITUTE(SUBSTITUTE(SUBSTITUTE(TRIM(C1919),".",""),"-","")," ",""))))</f>
        <v/>
      </c>
    </row>
    <row r="1920" customFormat="false" ht="15" hidden="false" customHeight="false" outlineLevel="0" collapsed="false">
      <c r="B1920" s="80"/>
      <c r="C1920" s="58"/>
      <c r="D1920" s="62" t="str">
        <f aca="false">IF(C1920="","",IFERROR(INDEX(T_NOMBRE,MATCH(V1920,T_RUTN,0)),"⚠ RUT no está en Trabajadores"))</f>
        <v/>
      </c>
      <c r="E1920" s="61"/>
      <c r="F1920" s="61"/>
      <c r="G1920" s="61"/>
      <c r="H1920" s="61"/>
      <c r="I1920" s="81"/>
      <c r="J1920" s="81"/>
      <c r="K1920" s="60"/>
      <c r="L1920" s="60"/>
      <c r="M1920" s="60"/>
      <c r="N1920" s="60"/>
      <c r="O1920" s="60"/>
      <c r="P1920" s="60"/>
      <c r="Q1920" s="60"/>
      <c r="R1920" s="58"/>
      <c r="S1920" s="62" t="str">
        <f aca="false">IF(OR(B1920="",V1920=""),"",IFERROR(INDEX(C_TIPO,MATCH(V1920&amp;"-P"&amp;MAX(1,COUNTIFS(C_RUTN,V1920,C_DEF,"Sí",C_INI,"&lt;="&amp;EOMONTH(B1920,0))),C_CLAVE,0))&amp;"","Sin contrato"))</f>
        <v/>
      </c>
      <c r="T1920" s="63" t="str">
        <f aca="false">IF(OR(B1920="",N(O1920)=0),"",N(O1920)+ROUND(MIN(N(N1920),TOPE_UF*UF_MES)*(TASA_EMP+MUTUAL),0)+ROUND(MIN(N(N1920),TOPE_AFC_UF*UF_MES)*IF(S1920="Indefinido",AFC_INDEF,AFC_PF),0))</f>
        <v/>
      </c>
      <c r="U1920" s="62" t="str">
        <f aca="false">IF(C1920="","",IF(LEFT(D1920,1)="⚠","⚠ RUT no registrado en Trabajadores",IF(B1920="","⚠ Falta el mes",IF(OR(ISTEXT(I1920),ISTEXT(J1920)),"⚠ Atrasos u horas extra como texto: escriba hh:mm (ej. 1:30)",IF(AND(ISNUMBER(Q1920),COUNTIFS(M_RUTN,V1920,M_MES,B1920,M_LIQ,"&lt;&gt;")&gt;1),"⚠ Liquidación repetida en el mes",IF(AND(ISNUMBER(O1920),ISNUMBER(P1920),ISNUMBER(Q1920),ABS(O1920-P1920-Q1920)&gt;1),"⚠ Haberes − descuentos no da el líquido","OK"))))))</f>
        <v/>
      </c>
      <c r="V1920" s="62" t="str">
        <f aca="false">IF(C1920="","",IFERROR(VALUE(LEFT(UPPER(SUBSTITUTE(SUBSTITUTE(SUBSTITUTE(TRIM(C1920),".",""),"-","")," ","")),LEN(UPPER(SUBSTITUTE(SUBSTITUTE(SUBSTITUTE(TRIM(C1920),".",""),"-","")," ","")))-1))&amp;RIGHT(UPPER(SUBSTITUTE(SUBSTITUTE(SUBSTITUTE(TRIM(C1920),".",""),"-","")," ","")),1),UPPER(SUBSTITUTE(SUBSTITUTE(SUBSTITUTE(TRIM(C1920),".",""),"-","")," ",""))))</f>
        <v/>
      </c>
    </row>
    <row r="1921" customFormat="false" ht="15" hidden="false" customHeight="false" outlineLevel="0" collapsed="false">
      <c r="B1921" s="80"/>
      <c r="C1921" s="58"/>
      <c r="D1921" s="62" t="str">
        <f aca="false">IF(C1921="","",IFERROR(INDEX(T_NOMBRE,MATCH(V1921,T_RUTN,0)),"⚠ RUT no está en Trabajadores"))</f>
        <v/>
      </c>
      <c r="E1921" s="61"/>
      <c r="F1921" s="61"/>
      <c r="G1921" s="61"/>
      <c r="H1921" s="61"/>
      <c r="I1921" s="81"/>
      <c r="J1921" s="81"/>
      <c r="K1921" s="60"/>
      <c r="L1921" s="60"/>
      <c r="M1921" s="60"/>
      <c r="N1921" s="60"/>
      <c r="O1921" s="60"/>
      <c r="P1921" s="60"/>
      <c r="Q1921" s="60"/>
      <c r="R1921" s="58"/>
      <c r="S1921" s="62" t="str">
        <f aca="false">IF(OR(B1921="",V1921=""),"",IFERROR(INDEX(C_TIPO,MATCH(V1921&amp;"-P"&amp;MAX(1,COUNTIFS(C_RUTN,V1921,C_DEF,"Sí",C_INI,"&lt;="&amp;EOMONTH(B1921,0))),C_CLAVE,0))&amp;"","Sin contrato"))</f>
        <v/>
      </c>
      <c r="T1921" s="63" t="str">
        <f aca="false">IF(OR(B1921="",N(O1921)=0),"",N(O1921)+ROUND(MIN(N(N1921),TOPE_UF*UF_MES)*(TASA_EMP+MUTUAL),0)+ROUND(MIN(N(N1921),TOPE_AFC_UF*UF_MES)*IF(S1921="Indefinido",AFC_INDEF,AFC_PF),0))</f>
        <v/>
      </c>
      <c r="U1921" s="62" t="str">
        <f aca="false">IF(C1921="","",IF(LEFT(D1921,1)="⚠","⚠ RUT no registrado en Trabajadores",IF(B1921="","⚠ Falta el mes",IF(OR(ISTEXT(I1921),ISTEXT(J1921)),"⚠ Atrasos u horas extra como texto: escriba hh:mm (ej. 1:30)",IF(AND(ISNUMBER(Q1921),COUNTIFS(M_RUTN,V1921,M_MES,B1921,M_LIQ,"&lt;&gt;")&gt;1),"⚠ Liquidación repetida en el mes",IF(AND(ISNUMBER(O1921),ISNUMBER(P1921),ISNUMBER(Q1921),ABS(O1921-P1921-Q1921)&gt;1),"⚠ Haberes − descuentos no da el líquido","OK"))))))</f>
        <v/>
      </c>
      <c r="V1921" s="62" t="str">
        <f aca="false">IF(C1921="","",IFERROR(VALUE(LEFT(UPPER(SUBSTITUTE(SUBSTITUTE(SUBSTITUTE(TRIM(C1921),".",""),"-","")," ","")),LEN(UPPER(SUBSTITUTE(SUBSTITUTE(SUBSTITUTE(TRIM(C1921),".",""),"-","")," ","")))-1))&amp;RIGHT(UPPER(SUBSTITUTE(SUBSTITUTE(SUBSTITUTE(TRIM(C1921),".",""),"-","")," ","")),1),UPPER(SUBSTITUTE(SUBSTITUTE(SUBSTITUTE(TRIM(C1921),".",""),"-","")," ",""))))</f>
        <v/>
      </c>
    </row>
    <row r="1922" customFormat="false" ht="15" hidden="false" customHeight="false" outlineLevel="0" collapsed="false">
      <c r="B1922" s="80"/>
      <c r="C1922" s="58"/>
      <c r="D1922" s="62" t="str">
        <f aca="false">IF(C1922="","",IFERROR(INDEX(T_NOMBRE,MATCH(V1922,T_RUTN,0)),"⚠ RUT no está en Trabajadores"))</f>
        <v/>
      </c>
      <c r="E1922" s="61"/>
      <c r="F1922" s="61"/>
      <c r="G1922" s="61"/>
      <c r="H1922" s="61"/>
      <c r="I1922" s="81"/>
      <c r="J1922" s="81"/>
      <c r="K1922" s="60"/>
      <c r="L1922" s="60"/>
      <c r="M1922" s="60"/>
      <c r="N1922" s="60"/>
      <c r="O1922" s="60"/>
      <c r="P1922" s="60"/>
      <c r="Q1922" s="60"/>
      <c r="R1922" s="58"/>
      <c r="S1922" s="62" t="str">
        <f aca="false">IF(OR(B1922="",V1922=""),"",IFERROR(INDEX(C_TIPO,MATCH(V1922&amp;"-P"&amp;MAX(1,COUNTIFS(C_RUTN,V1922,C_DEF,"Sí",C_INI,"&lt;="&amp;EOMONTH(B1922,0))),C_CLAVE,0))&amp;"","Sin contrato"))</f>
        <v/>
      </c>
      <c r="T1922" s="63" t="str">
        <f aca="false">IF(OR(B1922="",N(O1922)=0),"",N(O1922)+ROUND(MIN(N(N1922),TOPE_UF*UF_MES)*(TASA_EMP+MUTUAL),0)+ROUND(MIN(N(N1922),TOPE_AFC_UF*UF_MES)*IF(S1922="Indefinido",AFC_INDEF,AFC_PF),0))</f>
        <v/>
      </c>
      <c r="U1922" s="62" t="str">
        <f aca="false">IF(C1922="","",IF(LEFT(D1922,1)="⚠","⚠ RUT no registrado en Trabajadores",IF(B1922="","⚠ Falta el mes",IF(OR(ISTEXT(I1922),ISTEXT(J1922)),"⚠ Atrasos u horas extra como texto: escriba hh:mm (ej. 1:30)",IF(AND(ISNUMBER(Q1922),COUNTIFS(M_RUTN,V1922,M_MES,B1922,M_LIQ,"&lt;&gt;")&gt;1),"⚠ Liquidación repetida en el mes",IF(AND(ISNUMBER(O1922),ISNUMBER(P1922),ISNUMBER(Q1922),ABS(O1922-P1922-Q1922)&gt;1),"⚠ Haberes − descuentos no da el líquido","OK"))))))</f>
        <v/>
      </c>
      <c r="V1922" s="62" t="str">
        <f aca="false">IF(C1922="","",IFERROR(VALUE(LEFT(UPPER(SUBSTITUTE(SUBSTITUTE(SUBSTITUTE(TRIM(C1922),".",""),"-","")," ","")),LEN(UPPER(SUBSTITUTE(SUBSTITUTE(SUBSTITUTE(TRIM(C1922),".",""),"-","")," ","")))-1))&amp;RIGHT(UPPER(SUBSTITUTE(SUBSTITUTE(SUBSTITUTE(TRIM(C1922),".",""),"-","")," ","")),1),UPPER(SUBSTITUTE(SUBSTITUTE(SUBSTITUTE(TRIM(C1922),".",""),"-","")," ",""))))</f>
        <v/>
      </c>
    </row>
    <row r="1923" customFormat="false" ht="15" hidden="false" customHeight="false" outlineLevel="0" collapsed="false">
      <c r="B1923" s="80"/>
      <c r="C1923" s="58"/>
      <c r="D1923" s="62" t="str">
        <f aca="false">IF(C1923="","",IFERROR(INDEX(T_NOMBRE,MATCH(V1923,T_RUTN,0)),"⚠ RUT no está en Trabajadores"))</f>
        <v/>
      </c>
      <c r="E1923" s="61"/>
      <c r="F1923" s="61"/>
      <c r="G1923" s="61"/>
      <c r="H1923" s="61"/>
      <c r="I1923" s="81"/>
      <c r="J1923" s="81"/>
      <c r="K1923" s="60"/>
      <c r="L1923" s="60"/>
      <c r="M1923" s="60"/>
      <c r="N1923" s="60"/>
      <c r="O1923" s="60"/>
      <c r="P1923" s="60"/>
      <c r="Q1923" s="60"/>
      <c r="R1923" s="58"/>
      <c r="S1923" s="62" t="str">
        <f aca="false">IF(OR(B1923="",V1923=""),"",IFERROR(INDEX(C_TIPO,MATCH(V1923&amp;"-P"&amp;MAX(1,COUNTIFS(C_RUTN,V1923,C_DEF,"Sí",C_INI,"&lt;="&amp;EOMONTH(B1923,0))),C_CLAVE,0))&amp;"","Sin contrato"))</f>
        <v/>
      </c>
      <c r="T1923" s="63" t="str">
        <f aca="false">IF(OR(B1923="",N(O1923)=0),"",N(O1923)+ROUND(MIN(N(N1923),TOPE_UF*UF_MES)*(TASA_EMP+MUTUAL),0)+ROUND(MIN(N(N1923),TOPE_AFC_UF*UF_MES)*IF(S1923="Indefinido",AFC_INDEF,AFC_PF),0))</f>
        <v/>
      </c>
      <c r="U1923" s="62" t="str">
        <f aca="false">IF(C1923="","",IF(LEFT(D1923,1)="⚠","⚠ RUT no registrado en Trabajadores",IF(B1923="","⚠ Falta el mes",IF(OR(ISTEXT(I1923),ISTEXT(J1923)),"⚠ Atrasos u horas extra como texto: escriba hh:mm (ej. 1:30)",IF(AND(ISNUMBER(Q1923),COUNTIFS(M_RUTN,V1923,M_MES,B1923,M_LIQ,"&lt;&gt;")&gt;1),"⚠ Liquidación repetida en el mes",IF(AND(ISNUMBER(O1923),ISNUMBER(P1923),ISNUMBER(Q1923),ABS(O1923-P1923-Q1923)&gt;1),"⚠ Haberes − descuentos no da el líquido","OK"))))))</f>
        <v/>
      </c>
      <c r="V1923" s="62" t="str">
        <f aca="false">IF(C1923="","",IFERROR(VALUE(LEFT(UPPER(SUBSTITUTE(SUBSTITUTE(SUBSTITUTE(TRIM(C1923),".",""),"-","")," ","")),LEN(UPPER(SUBSTITUTE(SUBSTITUTE(SUBSTITUTE(TRIM(C1923),".",""),"-","")," ","")))-1))&amp;RIGHT(UPPER(SUBSTITUTE(SUBSTITUTE(SUBSTITUTE(TRIM(C1923),".",""),"-","")," ","")),1),UPPER(SUBSTITUTE(SUBSTITUTE(SUBSTITUTE(TRIM(C1923),".",""),"-","")," ",""))))</f>
        <v/>
      </c>
    </row>
    <row r="1924" customFormat="false" ht="15" hidden="false" customHeight="false" outlineLevel="0" collapsed="false">
      <c r="B1924" s="80"/>
      <c r="C1924" s="58"/>
      <c r="D1924" s="62" t="str">
        <f aca="false">IF(C1924="","",IFERROR(INDEX(T_NOMBRE,MATCH(V1924,T_RUTN,0)),"⚠ RUT no está en Trabajadores"))</f>
        <v/>
      </c>
      <c r="E1924" s="61"/>
      <c r="F1924" s="61"/>
      <c r="G1924" s="61"/>
      <c r="H1924" s="61"/>
      <c r="I1924" s="81"/>
      <c r="J1924" s="81"/>
      <c r="K1924" s="60"/>
      <c r="L1924" s="60"/>
      <c r="M1924" s="60"/>
      <c r="N1924" s="60"/>
      <c r="O1924" s="60"/>
      <c r="P1924" s="60"/>
      <c r="Q1924" s="60"/>
      <c r="R1924" s="58"/>
      <c r="S1924" s="62" t="str">
        <f aca="false">IF(OR(B1924="",V1924=""),"",IFERROR(INDEX(C_TIPO,MATCH(V1924&amp;"-P"&amp;MAX(1,COUNTIFS(C_RUTN,V1924,C_DEF,"Sí",C_INI,"&lt;="&amp;EOMONTH(B1924,0))),C_CLAVE,0))&amp;"","Sin contrato"))</f>
        <v/>
      </c>
      <c r="T1924" s="63" t="str">
        <f aca="false">IF(OR(B1924="",N(O1924)=0),"",N(O1924)+ROUND(MIN(N(N1924),TOPE_UF*UF_MES)*(TASA_EMP+MUTUAL),0)+ROUND(MIN(N(N1924),TOPE_AFC_UF*UF_MES)*IF(S1924="Indefinido",AFC_INDEF,AFC_PF),0))</f>
        <v/>
      </c>
      <c r="U1924" s="62" t="str">
        <f aca="false">IF(C1924="","",IF(LEFT(D1924,1)="⚠","⚠ RUT no registrado en Trabajadores",IF(B1924="","⚠ Falta el mes",IF(OR(ISTEXT(I1924),ISTEXT(J1924)),"⚠ Atrasos u horas extra como texto: escriba hh:mm (ej. 1:30)",IF(AND(ISNUMBER(Q1924),COUNTIFS(M_RUTN,V1924,M_MES,B1924,M_LIQ,"&lt;&gt;")&gt;1),"⚠ Liquidación repetida en el mes",IF(AND(ISNUMBER(O1924),ISNUMBER(P1924),ISNUMBER(Q1924),ABS(O1924-P1924-Q1924)&gt;1),"⚠ Haberes − descuentos no da el líquido","OK"))))))</f>
        <v/>
      </c>
      <c r="V1924" s="62" t="str">
        <f aca="false">IF(C1924="","",IFERROR(VALUE(LEFT(UPPER(SUBSTITUTE(SUBSTITUTE(SUBSTITUTE(TRIM(C1924),".",""),"-","")," ","")),LEN(UPPER(SUBSTITUTE(SUBSTITUTE(SUBSTITUTE(TRIM(C1924),".",""),"-","")," ","")))-1))&amp;RIGHT(UPPER(SUBSTITUTE(SUBSTITUTE(SUBSTITUTE(TRIM(C1924),".",""),"-","")," ","")),1),UPPER(SUBSTITUTE(SUBSTITUTE(SUBSTITUTE(TRIM(C1924),".",""),"-","")," ",""))))</f>
        <v/>
      </c>
    </row>
    <row r="1925" customFormat="false" ht="15" hidden="false" customHeight="false" outlineLevel="0" collapsed="false">
      <c r="B1925" s="80"/>
      <c r="C1925" s="58"/>
      <c r="D1925" s="62" t="str">
        <f aca="false">IF(C1925="","",IFERROR(INDEX(T_NOMBRE,MATCH(V1925,T_RUTN,0)),"⚠ RUT no está en Trabajadores"))</f>
        <v/>
      </c>
      <c r="E1925" s="61"/>
      <c r="F1925" s="61"/>
      <c r="G1925" s="61"/>
      <c r="H1925" s="61"/>
      <c r="I1925" s="81"/>
      <c r="J1925" s="81"/>
      <c r="K1925" s="60"/>
      <c r="L1925" s="60"/>
      <c r="M1925" s="60"/>
      <c r="N1925" s="60"/>
      <c r="O1925" s="60"/>
      <c r="P1925" s="60"/>
      <c r="Q1925" s="60"/>
      <c r="R1925" s="58"/>
      <c r="S1925" s="62" t="str">
        <f aca="false">IF(OR(B1925="",V1925=""),"",IFERROR(INDEX(C_TIPO,MATCH(V1925&amp;"-P"&amp;MAX(1,COUNTIFS(C_RUTN,V1925,C_DEF,"Sí",C_INI,"&lt;="&amp;EOMONTH(B1925,0))),C_CLAVE,0))&amp;"","Sin contrato"))</f>
        <v/>
      </c>
      <c r="T1925" s="63" t="str">
        <f aca="false">IF(OR(B1925="",N(O1925)=0),"",N(O1925)+ROUND(MIN(N(N1925),TOPE_UF*UF_MES)*(TASA_EMP+MUTUAL),0)+ROUND(MIN(N(N1925),TOPE_AFC_UF*UF_MES)*IF(S1925="Indefinido",AFC_INDEF,AFC_PF),0))</f>
        <v/>
      </c>
      <c r="U1925" s="62" t="str">
        <f aca="false">IF(C1925="","",IF(LEFT(D1925,1)="⚠","⚠ RUT no registrado en Trabajadores",IF(B1925="","⚠ Falta el mes",IF(OR(ISTEXT(I1925),ISTEXT(J1925)),"⚠ Atrasos u horas extra como texto: escriba hh:mm (ej. 1:30)",IF(AND(ISNUMBER(Q1925),COUNTIFS(M_RUTN,V1925,M_MES,B1925,M_LIQ,"&lt;&gt;")&gt;1),"⚠ Liquidación repetida en el mes",IF(AND(ISNUMBER(O1925),ISNUMBER(P1925),ISNUMBER(Q1925),ABS(O1925-P1925-Q1925)&gt;1),"⚠ Haberes − descuentos no da el líquido","OK"))))))</f>
        <v/>
      </c>
      <c r="V1925" s="62" t="str">
        <f aca="false">IF(C1925="","",IFERROR(VALUE(LEFT(UPPER(SUBSTITUTE(SUBSTITUTE(SUBSTITUTE(TRIM(C1925),".",""),"-","")," ","")),LEN(UPPER(SUBSTITUTE(SUBSTITUTE(SUBSTITUTE(TRIM(C1925),".",""),"-","")," ","")))-1))&amp;RIGHT(UPPER(SUBSTITUTE(SUBSTITUTE(SUBSTITUTE(TRIM(C1925),".",""),"-","")," ","")),1),UPPER(SUBSTITUTE(SUBSTITUTE(SUBSTITUTE(TRIM(C1925),".",""),"-","")," ",""))))</f>
        <v/>
      </c>
    </row>
    <row r="1926" customFormat="false" ht="15" hidden="false" customHeight="false" outlineLevel="0" collapsed="false">
      <c r="B1926" s="80"/>
      <c r="C1926" s="58"/>
      <c r="D1926" s="62" t="str">
        <f aca="false">IF(C1926="","",IFERROR(INDEX(T_NOMBRE,MATCH(V1926,T_RUTN,0)),"⚠ RUT no está en Trabajadores"))</f>
        <v/>
      </c>
      <c r="E1926" s="61"/>
      <c r="F1926" s="61"/>
      <c r="G1926" s="61"/>
      <c r="H1926" s="61"/>
      <c r="I1926" s="81"/>
      <c r="J1926" s="81"/>
      <c r="K1926" s="60"/>
      <c r="L1926" s="60"/>
      <c r="M1926" s="60"/>
      <c r="N1926" s="60"/>
      <c r="O1926" s="60"/>
      <c r="P1926" s="60"/>
      <c r="Q1926" s="60"/>
      <c r="R1926" s="58"/>
      <c r="S1926" s="62" t="str">
        <f aca="false">IF(OR(B1926="",V1926=""),"",IFERROR(INDEX(C_TIPO,MATCH(V1926&amp;"-P"&amp;MAX(1,COUNTIFS(C_RUTN,V1926,C_DEF,"Sí",C_INI,"&lt;="&amp;EOMONTH(B1926,0))),C_CLAVE,0))&amp;"","Sin contrato"))</f>
        <v/>
      </c>
      <c r="T1926" s="63" t="str">
        <f aca="false">IF(OR(B1926="",N(O1926)=0),"",N(O1926)+ROUND(MIN(N(N1926),TOPE_UF*UF_MES)*(TASA_EMP+MUTUAL),0)+ROUND(MIN(N(N1926),TOPE_AFC_UF*UF_MES)*IF(S1926="Indefinido",AFC_INDEF,AFC_PF),0))</f>
        <v/>
      </c>
      <c r="U1926" s="62" t="str">
        <f aca="false">IF(C1926="","",IF(LEFT(D1926,1)="⚠","⚠ RUT no registrado en Trabajadores",IF(B1926="","⚠ Falta el mes",IF(OR(ISTEXT(I1926),ISTEXT(J1926)),"⚠ Atrasos u horas extra como texto: escriba hh:mm (ej. 1:30)",IF(AND(ISNUMBER(Q1926),COUNTIFS(M_RUTN,V1926,M_MES,B1926,M_LIQ,"&lt;&gt;")&gt;1),"⚠ Liquidación repetida en el mes",IF(AND(ISNUMBER(O1926),ISNUMBER(P1926),ISNUMBER(Q1926),ABS(O1926-P1926-Q1926)&gt;1),"⚠ Haberes − descuentos no da el líquido","OK"))))))</f>
        <v/>
      </c>
      <c r="V1926" s="62" t="str">
        <f aca="false">IF(C1926="","",IFERROR(VALUE(LEFT(UPPER(SUBSTITUTE(SUBSTITUTE(SUBSTITUTE(TRIM(C1926),".",""),"-","")," ","")),LEN(UPPER(SUBSTITUTE(SUBSTITUTE(SUBSTITUTE(TRIM(C1926),".",""),"-","")," ","")))-1))&amp;RIGHT(UPPER(SUBSTITUTE(SUBSTITUTE(SUBSTITUTE(TRIM(C1926),".",""),"-","")," ","")),1),UPPER(SUBSTITUTE(SUBSTITUTE(SUBSTITUTE(TRIM(C1926),".",""),"-","")," ",""))))</f>
        <v/>
      </c>
    </row>
    <row r="1927" customFormat="false" ht="15" hidden="false" customHeight="false" outlineLevel="0" collapsed="false">
      <c r="B1927" s="80"/>
      <c r="C1927" s="58"/>
      <c r="D1927" s="62" t="str">
        <f aca="false">IF(C1927="","",IFERROR(INDEX(T_NOMBRE,MATCH(V1927,T_RUTN,0)),"⚠ RUT no está en Trabajadores"))</f>
        <v/>
      </c>
      <c r="E1927" s="61"/>
      <c r="F1927" s="61"/>
      <c r="G1927" s="61"/>
      <c r="H1927" s="61"/>
      <c r="I1927" s="81"/>
      <c r="J1927" s="81"/>
      <c r="K1927" s="60"/>
      <c r="L1927" s="60"/>
      <c r="M1927" s="60"/>
      <c r="N1927" s="60"/>
      <c r="O1927" s="60"/>
      <c r="P1927" s="60"/>
      <c r="Q1927" s="60"/>
      <c r="R1927" s="58"/>
      <c r="S1927" s="62" t="str">
        <f aca="false">IF(OR(B1927="",V1927=""),"",IFERROR(INDEX(C_TIPO,MATCH(V1927&amp;"-P"&amp;MAX(1,COUNTIFS(C_RUTN,V1927,C_DEF,"Sí",C_INI,"&lt;="&amp;EOMONTH(B1927,0))),C_CLAVE,0))&amp;"","Sin contrato"))</f>
        <v/>
      </c>
      <c r="T1927" s="63" t="str">
        <f aca="false">IF(OR(B1927="",N(O1927)=0),"",N(O1927)+ROUND(MIN(N(N1927),TOPE_UF*UF_MES)*(TASA_EMP+MUTUAL),0)+ROUND(MIN(N(N1927),TOPE_AFC_UF*UF_MES)*IF(S1927="Indefinido",AFC_INDEF,AFC_PF),0))</f>
        <v/>
      </c>
      <c r="U1927" s="62" t="str">
        <f aca="false">IF(C1927="","",IF(LEFT(D1927,1)="⚠","⚠ RUT no registrado en Trabajadores",IF(B1927="","⚠ Falta el mes",IF(OR(ISTEXT(I1927),ISTEXT(J1927)),"⚠ Atrasos u horas extra como texto: escriba hh:mm (ej. 1:30)",IF(AND(ISNUMBER(Q1927),COUNTIFS(M_RUTN,V1927,M_MES,B1927,M_LIQ,"&lt;&gt;")&gt;1),"⚠ Liquidación repetida en el mes",IF(AND(ISNUMBER(O1927),ISNUMBER(P1927),ISNUMBER(Q1927),ABS(O1927-P1927-Q1927)&gt;1),"⚠ Haberes − descuentos no da el líquido","OK"))))))</f>
        <v/>
      </c>
      <c r="V1927" s="62" t="str">
        <f aca="false">IF(C1927="","",IFERROR(VALUE(LEFT(UPPER(SUBSTITUTE(SUBSTITUTE(SUBSTITUTE(TRIM(C1927),".",""),"-","")," ","")),LEN(UPPER(SUBSTITUTE(SUBSTITUTE(SUBSTITUTE(TRIM(C1927),".",""),"-","")," ","")))-1))&amp;RIGHT(UPPER(SUBSTITUTE(SUBSTITUTE(SUBSTITUTE(TRIM(C1927),".",""),"-","")," ","")),1),UPPER(SUBSTITUTE(SUBSTITUTE(SUBSTITUTE(TRIM(C1927),".",""),"-","")," ",""))))</f>
        <v/>
      </c>
    </row>
    <row r="1928" customFormat="false" ht="15" hidden="false" customHeight="false" outlineLevel="0" collapsed="false">
      <c r="B1928" s="80"/>
      <c r="C1928" s="58"/>
      <c r="D1928" s="62" t="str">
        <f aca="false">IF(C1928="","",IFERROR(INDEX(T_NOMBRE,MATCH(V1928,T_RUTN,0)),"⚠ RUT no está en Trabajadores"))</f>
        <v/>
      </c>
      <c r="E1928" s="61"/>
      <c r="F1928" s="61"/>
      <c r="G1928" s="61"/>
      <c r="H1928" s="61"/>
      <c r="I1928" s="81"/>
      <c r="J1928" s="81"/>
      <c r="K1928" s="60"/>
      <c r="L1928" s="60"/>
      <c r="M1928" s="60"/>
      <c r="N1928" s="60"/>
      <c r="O1928" s="60"/>
      <c r="P1928" s="60"/>
      <c r="Q1928" s="60"/>
      <c r="R1928" s="58"/>
      <c r="S1928" s="62" t="str">
        <f aca="false">IF(OR(B1928="",V1928=""),"",IFERROR(INDEX(C_TIPO,MATCH(V1928&amp;"-P"&amp;MAX(1,COUNTIFS(C_RUTN,V1928,C_DEF,"Sí",C_INI,"&lt;="&amp;EOMONTH(B1928,0))),C_CLAVE,0))&amp;"","Sin contrato"))</f>
        <v/>
      </c>
      <c r="T1928" s="63" t="str">
        <f aca="false">IF(OR(B1928="",N(O1928)=0),"",N(O1928)+ROUND(MIN(N(N1928),TOPE_UF*UF_MES)*(TASA_EMP+MUTUAL),0)+ROUND(MIN(N(N1928),TOPE_AFC_UF*UF_MES)*IF(S1928="Indefinido",AFC_INDEF,AFC_PF),0))</f>
        <v/>
      </c>
      <c r="U1928" s="62" t="str">
        <f aca="false">IF(C1928="","",IF(LEFT(D1928,1)="⚠","⚠ RUT no registrado en Trabajadores",IF(B1928="","⚠ Falta el mes",IF(OR(ISTEXT(I1928),ISTEXT(J1928)),"⚠ Atrasos u horas extra como texto: escriba hh:mm (ej. 1:30)",IF(AND(ISNUMBER(Q1928),COUNTIFS(M_RUTN,V1928,M_MES,B1928,M_LIQ,"&lt;&gt;")&gt;1),"⚠ Liquidación repetida en el mes",IF(AND(ISNUMBER(O1928),ISNUMBER(P1928),ISNUMBER(Q1928),ABS(O1928-P1928-Q1928)&gt;1),"⚠ Haberes − descuentos no da el líquido","OK"))))))</f>
        <v/>
      </c>
      <c r="V1928" s="62" t="str">
        <f aca="false">IF(C1928="","",IFERROR(VALUE(LEFT(UPPER(SUBSTITUTE(SUBSTITUTE(SUBSTITUTE(TRIM(C1928),".",""),"-","")," ","")),LEN(UPPER(SUBSTITUTE(SUBSTITUTE(SUBSTITUTE(TRIM(C1928),".",""),"-","")," ","")))-1))&amp;RIGHT(UPPER(SUBSTITUTE(SUBSTITUTE(SUBSTITUTE(TRIM(C1928),".",""),"-","")," ","")),1),UPPER(SUBSTITUTE(SUBSTITUTE(SUBSTITUTE(TRIM(C1928),".",""),"-","")," ",""))))</f>
        <v/>
      </c>
    </row>
    <row r="1929" customFormat="false" ht="15" hidden="false" customHeight="false" outlineLevel="0" collapsed="false">
      <c r="B1929" s="80"/>
      <c r="C1929" s="58"/>
      <c r="D1929" s="62" t="str">
        <f aca="false">IF(C1929="","",IFERROR(INDEX(T_NOMBRE,MATCH(V1929,T_RUTN,0)),"⚠ RUT no está en Trabajadores"))</f>
        <v/>
      </c>
      <c r="E1929" s="61"/>
      <c r="F1929" s="61"/>
      <c r="G1929" s="61"/>
      <c r="H1929" s="61"/>
      <c r="I1929" s="81"/>
      <c r="J1929" s="81"/>
      <c r="K1929" s="60"/>
      <c r="L1929" s="60"/>
      <c r="M1929" s="60"/>
      <c r="N1929" s="60"/>
      <c r="O1929" s="60"/>
      <c r="P1929" s="60"/>
      <c r="Q1929" s="60"/>
      <c r="R1929" s="58"/>
      <c r="S1929" s="62" t="str">
        <f aca="false">IF(OR(B1929="",V1929=""),"",IFERROR(INDEX(C_TIPO,MATCH(V1929&amp;"-P"&amp;MAX(1,COUNTIFS(C_RUTN,V1929,C_DEF,"Sí",C_INI,"&lt;="&amp;EOMONTH(B1929,0))),C_CLAVE,0))&amp;"","Sin contrato"))</f>
        <v/>
      </c>
      <c r="T1929" s="63" t="str">
        <f aca="false">IF(OR(B1929="",N(O1929)=0),"",N(O1929)+ROUND(MIN(N(N1929),TOPE_UF*UF_MES)*(TASA_EMP+MUTUAL),0)+ROUND(MIN(N(N1929),TOPE_AFC_UF*UF_MES)*IF(S1929="Indefinido",AFC_INDEF,AFC_PF),0))</f>
        <v/>
      </c>
      <c r="U1929" s="62" t="str">
        <f aca="false">IF(C1929="","",IF(LEFT(D1929,1)="⚠","⚠ RUT no registrado en Trabajadores",IF(B1929="","⚠ Falta el mes",IF(OR(ISTEXT(I1929),ISTEXT(J1929)),"⚠ Atrasos u horas extra como texto: escriba hh:mm (ej. 1:30)",IF(AND(ISNUMBER(Q1929),COUNTIFS(M_RUTN,V1929,M_MES,B1929,M_LIQ,"&lt;&gt;")&gt;1),"⚠ Liquidación repetida en el mes",IF(AND(ISNUMBER(O1929),ISNUMBER(P1929),ISNUMBER(Q1929),ABS(O1929-P1929-Q1929)&gt;1),"⚠ Haberes − descuentos no da el líquido","OK"))))))</f>
        <v/>
      </c>
      <c r="V1929" s="62" t="str">
        <f aca="false">IF(C1929="","",IFERROR(VALUE(LEFT(UPPER(SUBSTITUTE(SUBSTITUTE(SUBSTITUTE(TRIM(C1929),".",""),"-","")," ","")),LEN(UPPER(SUBSTITUTE(SUBSTITUTE(SUBSTITUTE(TRIM(C1929),".",""),"-","")," ","")))-1))&amp;RIGHT(UPPER(SUBSTITUTE(SUBSTITUTE(SUBSTITUTE(TRIM(C1929),".",""),"-","")," ","")),1),UPPER(SUBSTITUTE(SUBSTITUTE(SUBSTITUTE(TRIM(C1929),".",""),"-","")," ",""))))</f>
        <v/>
      </c>
    </row>
    <row r="1930" customFormat="false" ht="15" hidden="false" customHeight="false" outlineLevel="0" collapsed="false">
      <c r="B1930" s="80"/>
      <c r="C1930" s="58"/>
      <c r="D1930" s="62" t="str">
        <f aca="false">IF(C1930="","",IFERROR(INDEX(T_NOMBRE,MATCH(V1930,T_RUTN,0)),"⚠ RUT no está en Trabajadores"))</f>
        <v/>
      </c>
      <c r="E1930" s="61"/>
      <c r="F1930" s="61"/>
      <c r="G1930" s="61"/>
      <c r="H1930" s="61"/>
      <c r="I1930" s="81"/>
      <c r="J1930" s="81"/>
      <c r="K1930" s="60"/>
      <c r="L1930" s="60"/>
      <c r="M1930" s="60"/>
      <c r="N1930" s="60"/>
      <c r="O1930" s="60"/>
      <c r="P1930" s="60"/>
      <c r="Q1930" s="60"/>
      <c r="R1930" s="58"/>
      <c r="S1930" s="62" t="str">
        <f aca="false">IF(OR(B1930="",V1930=""),"",IFERROR(INDEX(C_TIPO,MATCH(V1930&amp;"-P"&amp;MAX(1,COUNTIFS(C_RUTN,V1930,C_DEF,"Sí",C_INI,"&lt;="&amp;EOMONTH(B1930,0))),C_CLAVE,0))&amp;"","Sin contrato"))</f>
        <v/>
      </c>
      <c r="T1930" s="63" t="str">
        <f aca="false">IF(OR(B1930="",N(O1930)=0),"",N(O1930)+ROUND(MIN(N(N1930),TOPE_UF*UF_MES)*(TASA_EMP+MUTUAL),0)+ROUND(MIN(N(N1930),TOPE_AFC_UF*UF_MES)*IF(S1930="Indefinido",AFC_INDEF,AFC_PF),0))</f>
        <v/>
      </c>
      <c r="U1930" s="62" t="str">
        <f aca="false">IF(C1930="","",IF(LEFT(D1930,1)="⚠","⚠ RUT no registrado en Trabajadores",IF(B1930="","⚠ Falta el mes",IF(OR(ISTEXT(I1930),ISTEXT(J1930)),"⚠ Atrasos u horas extra como texto: escriba hh:mm (ej. 1:30)",IF(AND(ISNUMBER(Q1930),COUNTIFS(M_RUTN,V1930,M_MES,B1930,M_LIQ,"&lt;&gt;")&gt;1),"⚠ Liquidación repetida en el mes",IF(AND(ISNUMBER(O1930),ISNUMBER(P1930),ISNUMBER(Q1930),ABS(O1930-P1930-Q1930)&gt;1),"⚠ Haberes − descuentos no da el líquido","OK"))))))</f>
        <v/>
      </c>
      <c r="V1930" s="62" t="str">
        <f aca="false">IF(C1930="","",IFERROR(VALUE(LEFT(UPPER(SUBSTITUTE(SUBSTITUTE(SUBSTITUTE(TRIM(C1930),".",""),"-","")," ","")),LEN(UPPER(SUBSTITUTE(SUBSTITUTE(SUBSTITUTE(TRIM(C1930),".",""),"-","")," ","")))-1))&amp;RIGHT(UPPER(SUBSTITUTE(SUBSTITUTE(SUBSTITUTE(TRIM(C1930),".",""),"-","")," ","")),1),UPPER(SUBSTITUTE(SUBSTITUTE(SUBSTITUTE(TRIM(C1930),".",""),"-","")," ",""))))</f>
        <v/>
      </c>
    </row>
    <row r="1931" customFormat="false" ht="15" hidden="false" customHeight="false" outlineLevel="0" collapsed="false">
      <c r="B1931" s="80"/>
      <c r="C1931" s="58"/>
      <c r="D1931" s="62" t="str">
        <f aca="false">IF(C1931="","",IFERROR(INDEX(T_NOMBRE,MATCH(V1931,T_RUTN,0)),"⚠ RUT no está en Trabajadores"))</f>
        <v/>
      </c>
      <c r="E1931" s="61"/>
      <c r="F1931" s="61"/>
      <c r="G1931" s="61"/>
      <c r="H1931" s="61"/>
      <c r="I1931" s="81"/>
      <c r="J1931" s="81"/>
      <c r="K1931" s="60"/>
      <c r="L1931" s="60"/>
      <c r="M1931" s="60"/>
      <c r="N1931" s="60"/>
      <c r="O1931" s="60"/>
      <c r="P1931" s="60"/>
      <c r="Q1931" s="60"/>
      <c r="R1931" s="58"/>
      <c r="S1931" s="62" t="str">
        <f aca="false">IF(OR(B1931="",V1931=""),"",IFERROR(INDEX(C_TIPO,MATCH(V1931&amp;"-P"&amp;MAX(1,COUNTIFS(C_RUTN,V1931,C_DEF,"Sí",C_INI,"&lt;="&amp;EOMONTH(B1931,0))),C_CLAVE,0))&amp;"","Sin contrato"))</f>
        <v/>
      </c>
      <c r="T1931" s="63" t="str">
        <f aca="false">IF(OR(B1931="",N(O1931)=0),"",N(O1931)+ROUND(MIN(N(N1931),TOPE_UF*UF_MES)*(TASA_EMP+MUTUAL),0)+ROUND(MIN(N(N1931),TOPE_AFC_UF*UF_MES)*IF(S1931="Indefinido",AFC_INDEF,AFC_PF),0))</f>
        <v/>
      </c>
      <c r="U1931" s="62" t="str">
        <f aca="false">IF(C1931="","",IF(LEFT(D1931,1)="⚠","⚠ RUT no registrado en Trabajadores",IF(B1931="","⚠ Falta el mes",IF(OR(ISTEXT(I1931),ISTEXT(J1931)),"⚠ Atrasos u horas extra como texto: escriba hh:mm (ej. 1:30)",IF(AND(ISNUMBER(Q1931),COUNTIFS(M_RUTN,V1931,M_MES,B1931,M_LIQ,"&lt;&gt;")&gt;1),"⚠ Liquidación repetida en el mes",IF(AND(ISNUMBER(O1931),ISNUMBER(P1931),ISNUMBER(Q1931),ABS(O1931-P1931-Q1931)&gt;1),"⚠ Haberes − descuentos no da el líquido","OK"))))))</f>
        <v/>
      </c>
      <c r="V1931" s="62" t="str">
        <f aca="false">IF(C1931="","",IFERROR(VALUE(LEFT(UPPER(SUBSTITUTE(SUBSTITUTE(SUBSTITUTE(TRIM(C1931),".",""),"-","")," ","")),LEN(UPPER(SUBSTITUTE(SUBSTITUTE(SUBSTITUTE(TRIM(C1931),".",""),"-","")," ","")))-1))&amp;RIGHT(UPPER(SUBSTITUTE(SUBSTITUTE(SUBSTITUTE(TRIM(C1931),".",""),"-","")," ","")),1),UPPER(SUBSTITUTE(SUBSTITUTE(SUBSTITUTE(TRIM(C1931),".",""),"-","")," ",""))))</f>
        <v/>
      </c>
    </row>
    <row r="1932" customFormat="false" ht="15" hidden="false" customHeight="false" outlineLevel="0" collapsed="false">
      <c r="B1932" s="80"/>
      <c r="C1932" s="58"/>
      <c r="D1932" s="62" t="str">
        <f aca="false">IF(C1932="","",IFERROR(INDEX(T_NOMBRE,MATCH(V1932,T_RUTN,0)),"⚠ RUT no está en Trabajadores"))</f>
        <v/>
      </c>
      <c r="E1932" s="61"/>
      <c r="F1932" s="61"/>
      <c r="G1932" s="61"/>
      <c r="H1932" s="61"/>
      <c r="I1932" s="81"/>
      <c r="J1932" s="81"/>
      <c r="K1932" s="60"/>
      <c r="L1932" s="60"/>
      <c r="M1932" s="60"/>
      <c r="N1932" s="60"/>
      <c r="O1932" s="60"/>
      <c r="P1932" s="60"/>
      <c r="Q1932" s="60"/>
      <c r="R1932" s="58"/>
      <c r="S1932" s="62" t="str">
        <f aca="false">IF(OR(B1932="",V1932=""),"",IFERROR(INDEX(C_TIPO,MATCH(V1932&amp;"-P"&amp;MAX(1,COUNTIFS(C_RUTN,V1932,C_DEF,"Sí",C_INI,"&lt;="&amp;EOMONTH(B1932,0))),C_CLAVE,0))&amp;"","Sin contrato"))</f>
        <v/>
      </c>
      <c r="T1932" s="63" t="str">
        <f aca="false">IF(OR(B1932="",N(O1932)=0),"",N(O1932)+ROUND(MIN(N(N1932),TOPE_UF*UF_MES)*(TASA_EMP+MUTUAL),0)+ROUND(MIN(N(N1932),TOPE_AFC_UF*UF_MES)*IF(S1932="Indefinido",AFC_INDEF,AFC_PF),0))</f>
        <v/>
      </c>
      <c r="U1932" s="62" t="str">
        <f aca="false">IF(C1932="","",IF(LEFT(D1932,1)="⚠","⚠ RUT no registrado en Trabajadores",IF(B1932="","⚠ Falta el mes",IF(OR(ISTEXT(I1932),ISTEXT(J1932)),"⚠ Atrasos u horas extra como texto: escriba hh:mm (ej. 1:30)",IF(AND(ISNUMBER(Q1932),COUNTIFS(M_RUTN,V1932,M_MES,B1932,M_LIQ,"&lt;&gt;")&gt;1),"⚠ Liquidación repetida en el mes",IF(AND(ISNUMBER(O1932),ISNUMBER(P1932),ISNUMBER(Q1932),ABS(O1932-P1932-Q1932)&gt;1),"⚠ Haberes − descuentos no da el líquido","OK"))))))</f>
        <v/>
      </c>
      <c r="V1932" s="62" t="str">
        <f aca="false">IF(C1932="","",IFERROR(VALUE(LEFT(UPPER(SUBSTITUTE(SUBSTITUTE(SUBSTITUTE(TRIM(C1932),".",""),"-","")," ","")),LEN(UPPER(SUBSTITUTE(SUBSTITUTE(SUBSTITUTE(TRIM(C1932),".",""),"-","")," ","")))-1))&amp;RIGHT(UPPER(SUBSTITUTE(SUBSTITUTE(SUBSTITUTE(TRIM(C1932),".",""),"-","")," ","")),1),UPPER(SUBSTITUTE(SUBSTITUTE(SUBSTITUTE(TRIM(C1932),".",""),"-","")," ",""))))</f>
        <v/>
      </c>
    </row>
    <row r="1933" customFormat="false" ht="15" hidden="false" customHeight="false" outlineLevel="0" collapsed="false">
      <c r="B1933" s="80"/>
      <c r="C1933" s="58"/>
      <c r="D1933" s="62" t="str">
        <f aca="false">IF(C1933="","",IFERROR(INDEX(T_NOMBRE,MATCH(V1933,T_RUTN,0)),"⚠ RUT no está en Trabajadores"))</f>
        <v/>
      </c>
      <c r="E1933" s="61"/>
      <c r="F1933" s="61"/>
      <c r="G1933" s="61"/>
      <c r="H1933" s="61"/>
      <c r="I1933" s="81"/>
      <c r="J1933" s="81"/>
      <c r="K1933" s="60"/>
      <c r="L1933" s="60"/>
      <c r="M1933" s="60"/>
      <c r="N1933" s="60"/>
      <c r="O1933" s="60"/>
      <c r="P1933" s="60"/>
      <c r="Q1933" s="60"/>
      <c r="R1933" s="58"/>
      <c r="S1933" s="62" t="str">
        <f aca="false">IF(OR(B1933="",V1933=""),"",IFERROR(INDEX(C_TIPO,MATCH(V1933&amp;"-P"&amp;MAX(1,COUNTIFS(C_RUTN,V1933,C_DEF,"Sí",C_INI,"&lt;="&amp;EOMONTH(B1933,0))),C_CLAVE,0))&amp;"","Sin contrato"))</f>
        <v/>
      </c>
      <c r="T1933" s="63" t="str">
        <f aca="false">IF(OR(B1933="",N(O1933)=0),"",N(O1933)+ROUND(MIN(N(N1933),TOPE_UF*UF_MES)*(TASA_EMP+MUTUAL),0)+ROUND(MIN(N(N1933),TOPE_AFC_UF*UF_MES)*IF(S1933="Indefinido",AFC_INDEF,AFC_PF),0))</f>
        <v/>
      </c>
      <c r="U1933" s="62" t="str">
        <f aca="false">IF(C1933="","",IF(LEFT(D1933,1)="⚠","⚠ RUT no registrado en Trabajadores",IF(B1933="","⚠ Falta el mes",IF(OR(ISTEXT(I1933),ISTEXT(J1933)),"⚠ Atrasos u horas extra como texto: escriba hh:mm (ej. 1:30)",IF(AND(ISNUMBER(Q1933),COUNTIFS(M_RUTN,V1933,M_MES,B1933,M_LIQ,"&lt;&gt;")&gt;1),"⚠ Liquidación repetida en el mes",IF(AND(ISNUMBER(O1933),ISNUMBER(P1933),ISNUMBER(Q1933),ABS(O1933-P1933-Q1933)&gt;1),"⚠ Haberes − descuentos no da el líquido","OK"))))))</f>
        <v/>
      </c>
      <c r="V1933" s="62" t="str">
        <f aca="false">IF(C1933="","",IFERROR(VALUE(LEFT(UPPER(SUBSTITUTE(SUBSTITUTE(SUBSTITUTE(TRIM(C1933),".",""),"-","")," ","")),LEN(UPPER(SUBSTITUTE(SUBSTITUTE(SUBSTITUTE(TRIM(C1933),".",""),"-","")," ","")))-1))&amp;RIGHT(UPPER(SUBSTITUTE(SUBSTITUTE(SUBSTITUTE(TRIM(C1933),".",""),"-","")," ","")),1),UPPER(SUBSTITUTE(SUBSTITUTE(SUBSTITUTE(TRIM(C1933),".",""),"-","")," ",""))))</f>
        <v/>
      </c>
    </row>
    <row r="1934" customFormat="false" ht="15" hidden="false" customHeight="false" outlineLevel="0" collapsed="false">
      <c r="B1934" s="80"/>
      <c r="C1934" s="58"/>
      <c r="D1934" s="62" t="str">
        <f aca="false">IF(C1934="","",IFERROR(INDEX(T_NOMBRE,MATCH(V1934,T_RUTN,0)),"⚠ RUT no está en Trabajadores"))</f>
        <v/>
      </c>
      <c r="E1934" s="61"/>
      <c r="F1934" s="61"/>
      <c r="G1934" s="61"/>
      <c r="H1934" s="61"/>
      <c r="I1934" s="81"/>
      <c r="J1934" s="81"/>
      <c r="K1934" s="60"/>
      <c r="L1934" s="60"/>
      <c r="M1934" s="60"/>
      <c r="N1934" s="60"/>
      <c r="O1934" s="60"/>
      <c r="P1934" s="60"/>
      <c r="Q1934" s="60"/>
      <c r="R1934" s="58"/>
      <c r="S1934" s="62" t="str">
        <f aca="false">IF(OR(B1934="",V1934=""),"",IFERROR(INDEX(C_TIPO,MATCH(V1934&amp;"-P"&amp;MAX(1,COUNTIFS(C_RUTN,V1934,C_DEF,"Sí",C_INI,"&lt;="&amp;EOMONTH(B1934,0))),C_CLAVE,0))&amp;"","Sin contrato"))</f>
        <v/>
      </c>
      <c r="T1934" s="63" t="str">
        <f aca="false">IF(OR(B1934="",N(O1934)=0),"",N(O1934)+ROUND(MIN(N(N1934),TOPE_UF*UF_MES)*(TASA_EMP+MUTUAL),0)+ROUND(MIN(N(N1934),TOPE_AFC_UF*UF_MES)*IF(S1934="Indefinido",AFC_INDEF,AFC_PF),0))</f>
        <v/>
      </c>
      <c r="U1934" s="62" t="str">
        <f aca="false">IF(C1934="","",IF(LEFT(D1934,1)="⚠","⚠ RUT no registrado en Trabajadores",IF(B1934="","⚠ Falta el mes",IF(OR(ISTEXT(I1934),ISTEXT(J1934)),"⚠ Atrasos u horas extra como texto: escriba hh:mm (ej. 1:30)",IF(AND(ISNUMBER(Q1934),COUNTIFS(M_RUTN,V1934,M_MES,B1934,M_LIQ,"&lt;&gt;")&gt;1),"⚠ Liquidación repetida en el mes",IF(AND(ISNUMBER(O1934),ISNUMBER(P1934),ISNUMBER(Q1934),ABS(O1934-P1934-Q1934)&gt;1),"⚠ Haberes − descuentos no da el líquido","OK"))))))</f>
        <v/>
      </c>
      <c r="V1934" s="62" t="str">
        <f aca="false">IF(C1934="","",IFERROR(VALUE(LEFT(UPPER(SUBSTITUTE(SUBSTITUTE(SUBSTITUTE(TRIM(C1934),".",""),"-","")," ","")),LEN(UPPER(SUBSTITUTE(SUBSTITUTE(SUBSTITUTE(TRIM(C1934),".",""),"-","")," ","")))-1))&amp;RIGHT(UPPER(SUBSTITUTE(SUBSTITUTE(SUBSTITUTE(TRIM(C1934),".",""),"-","")," ","")),1),UPPER(SUBSTITUTE(SUBSTITUTE(SUBSTITUTE(TRIM(C1934),".",""),"-","")," ",""))))</f>
        <v/>
      </c>
    </row>
    <row r="1935" customFormat="false" ht="15" hidden="false" customHeight="false" outlineLevel="0" collapsed="false">
      <c r="B1935" s="80"/>
      <c r="C1935" s="58"/>
      <c r="D1935" s="62" t="str">
        <f aca="false">IF(C1935="","",IFERROR(INDEX(T_NOMBRE,MATCH(V1935,T_RUTN,0)),"⚠ RUT no está en Trabajadores"))</f>
        <v/>
      </c>
      <c r="E1935" s="61"/>
      <c r="F1935" s="61"/>
      <c r="G1935" s="61"/>
      <c r="H1935" s="61"/>
      <c r="I1935" s="81"/>
      <c r="J1935" s="81"/>
      <c r="K1935" s="60"/>
      <c r="L1935" s="60"/>
      <c r="M1935" s="60"/>
      <c r="N1935" s="60"/>
      <c r="O1935" s="60"/>
      <c r="P1935" s="60"/>
      <c r="Q1935" s="60"/>
      <c r="R1935" s="58"/>
      <c r="S1935" s="62" t="str">
        <f aca="false">IF(OR(B1935="",V1935=""),"",IFERROR(INDEX(C_TIPO,MATCH(V1935&amp;"-P"&amp;MAX(1,COUNTIFS(C_RUTN,V1935,C_DEF,"Sí",C_INI,"&lt;="&amp;EOMONTH(B1935,0))),C_CLAVE,0))&amp;"","Sin contrato"))</f>
        <v/>
      </c>
      <c r="T1935" s="63" t="str">
        <f aca="false">IF(OR(B1935="",N(O1935)=0),"",N(O1935)+ROUND(MIN(N(N1935),TOPE_UF*UF_MES)*(TASA_EMP+MUTUAL),0)+ROUND(MIN(N(N1935),TOPE_AFC_UF*UF_MES)*IF(S1935="Indefinido",AFC_INDEF,AFC_PF),0))</f>
        <v/>
      </c>
      <c r="U1935" s="62" t="str">
        <f aca="false">IF(C1935="","",IF(LEFT(D1935,1)="⚠","⚠ RUT no registrado en Trabajadores",IF(B1935="","⚠ Falta el mes",IF(OR(ISTEXT(I1935),ISTEXT(J1935)),"⚠ Atrasos u horas extra como texto: escriba hh:mm (ej. 1:30)",IF(AND(ISNUMBER(Q1935),COUNTIFS(M_RUTN,V1935,M_MES,B1935,M_LIQ,"&lt;&gt;")&gt;1),"⚠ Liquidación repetida en el mes",IF(AND(ISNUMBER(O1935),ISNUMBER(P1935),ISNUMBER(Q1935),ABS(O1935-P1935-Q1935)&gt;1),"⚠ Haberes − descuentos no da el líquido","OK"))))))</f>
        <v/>
      </c>
      <c r="V1935" s="62" t="str">
        <f aca="false">IF(C1935="","",IFERROR(VALUE(LEFT(UPPER(SUBSTITUTE(SUBSTITUTE(SUBSTITUTE(TRIM(C1935),".",""),"-","")," ","")),LEN(UPPER(SUBSTITUTE(SUBSTITUTE(SUBSTITUTE(TRIM(C1935),".",""),"-","")," ","")))-1))&amp;RIGHT(UPPER(SUBSTITUTE(SUBSTITUTE(SUBSTITUTE(TRIM(C1935),".",""),"-","")," ","")),1),UPPER(SUBSTITUTE(SUBSTITUTE(SUBSTITUTE(TRIM(C1935),".",""),"-","")," ",""))))</f>
        <v/>
      </c>
    </row>
    <row r="1936" customFormat="false" ht="15" hidden="false" customHeight="false" outlineLevel="0" collapsed="false">
      <c r="B1936" s="80"/>
      <c r="C1936" s="58"/>
      <c r="D1936" s="62" t="str">
        <f aca="false">IF(C1936="","",IFERROR(INDEX(T_NOMBRE,MATCH(V1936,T_RUTN,0)),"⚠ RUT no está en Trabajadores"))</f>
        <v/>
      </c>
      <c r="E1936" s="61"/>
      <c r="F1936" s="61"/>
      <c r="G1936" s="61"/>
      <c r="H1936" s="61"/>
      <c r="I1936" s="81"/>
      <c r="J1936" s="81"/>
      <c r="K1936" s="60"/>
      <c r="L1936" s="60"/>
      <c r="M1936" s="60"/>
      <c r="N1936" s="60"/>
      <c r="O1936" s="60"/>
      <c r="P1936" s="60"/>
      <c r="Q1936" s="60"/>
      <c r="R1936" s="58"/>
      <c r="S1936" s="62" t="str">
        <f aca="false">IF(OR(B1936="",V1936=""),"",IFERROR(INDEX(C_TIPO,MATCH(V1936&amp;"-P"&amp;MAX(1,COUNTIFS(C_RUTN,V1936,C_DEF,"Sí",C_INI,"&lt;="&amp;EOMONTH(B1936,0))),C_CLAVE,0))&amp;"","Sin contrato"))</f>
        <v/>
      </c>
      <c r="T1936" s="63" t="str">
        <f aca="false">IF(OR(B1936="",N(O1936)=0),"",N(O1936)+ROUND(MIN(N(N1936),TOPE_UF*UF_MES)*(TASA_EMP+MUTUAL),0)+ROUND(MIN(N(N1936),TOPE_AFC_UF*UF_MES)*IF(S1936="Indefinido",AFC_INDEF,AFC_PF),0))</f>
        <v/>
      </c>
      <c r="U1936" s="62" t="str">
        <f aca="false">IF(C1936="","",IF(LEFT(D1936,1)="⚠","⚠ RUT no registrado en Trabajadores",IF(B1936="","⚠ Falta el mes",IF(OR(ISTEXT(I1936),ISTEXT(J1936)),"⚠ Atrasos u horas extra como texto: escriba hh:mm (ej. 1:30)",IF(AND(ISNUMBER(Q1936),COUNTIFS(M_RUTN,V1936,M_MES,B1936,M_LIQ,"&lt;&gt;")&gt;1),"⚠ Liquidación repetida en el mes",IF(AND(ISNUMBER(O1936),ISNUMBER(P1936),ISNUMBER(Q1936),ABS(O1936-P1936-Q1936)&gt;1),"⚠ Haberes − descuentos no da el líquido","OK"))))))</f>
        <v/>
      </c>
      <c r="V1936" s="62" t="str">
        <f aca="false">IF(C1936="","",IFERROR(VALUE(LEFT(UPPER(SUBSTITUTE(SUBSTITUTE(SUBSTITUTE(TRIM(C1936),".",""),"-","")," ","")),LEN(UPPER(SUBSTITUTE(SUBSTITUTE(SUBSTITUTE(TRIM(C1936),".",""),"-","")," ","")))-1))&amp;RIGHT(UPPER(SUBSTITUTE(SUBSTITUTE(SUBSTITUTE(TRIM(C1936),".",""),"-","")," ","")),1),UPPER(SUBSTITUTE(SUBSTITUTE(SUBSTITUTE(TRIM(C1936),".",""),"-","")," ",""))))</f>
        <v/>
      </c>
    </row>
    <row r="1937" customFormat="false" ht="15" hidden="false" customHeight="false" outlineLevel="0" collapsed="false">
      <c r="B1937" s="80"/>
      <c r="C1937" s="58"/>
      <c r="D1937" s="62" t="str">
        <f aca="false">IF(C1937="","",IFERROR(INDEX(T_NOMBRE,MATCH(V1937,T_RUTN,0)),"⚠ RUT no está en Trabajadores"))</f>
        <v/>
      </c>
      <c r="E1937" s="61"/>
      <c r="F1937" s="61"/>
      <c r="G1937" s="61"/>
      <c r="H1937" s="61"/>
      <c r="I1937" s="81"/>
      <c r="J1937" s="81"/>
      <c r="K1937" s="60"/>
      <c r="L1937" s="60"/>
      <c r="M1937" s="60"/>
      <c r="N1937" s="60"/>
      <c r="O1937" s="60"/>
      <c r="P1937" s="60"/>
      <c r="Q1937" s="60"/>
      <c r="R1937" s="58"/>
      <c r="S1937" s="62" t="str">
        <f aca="false">IF(OR(B1937="",V1937=""),"",IFERROR(INDEX(C_TIPO,MATCH(V1937&amp;"-P"&amp;MAX(1,COUNTIFS(C_RUTN,V1937,C_DEF,"Sí",C_INI,"&lt;="&amp;EOMONTH(B1937,0))),C_CLAVE,0))&amp;"","Sin contrato"))</f>
        <v/>
      </c>
      <c r="T1937" s="63" t="str">
        <f aca="false">IF(OR(B1937="",N(O1937)=0),"",N(O1937)+ROUND(MIN(N(N1937),TOPE_UF*UF_MES)*(TASA_EMP+MUTUAL),0)+ROUND(MIN(N(N1937),TOPE_AFC_UF*UF_MES)*IF(S1937="Indefinido",AFC_INDEF,AFC_PF),0))</f>
        <v/>
      </c>
      <c r="U1937" s="62" t="str">
        <f aca="false">IF(C1937="","",IF(LEFT(D1937,1)="⚠","⚠ RUT no registrado en Trabajadores",IF(B1937="","⚠ Falta el mes",IF(OR(ISTEXT(I1937),ISTEXT(J1937)),"⚠ Atrasos u horas extra como texto: escriba hh:mm (ej. 1:30)",IF(AND(ISNUMBER(Q1937),COUNTIFS(M_RUTN,V1937,M_MES,B1937,M_LIQ,"&lt;&gt;")&gt;1),"⚠ Liquidación repetida en el mes",IF(AND(ISNUMBER(O1937),ISNUMBER(P1937),ISNUMBER(Q1937),ABS(O1937-P1937-Q1937)&gt;1),"⚠ Haberes − descuentos no da el líquido","OK"))))))</f>
        <v/>
      </c>
      <c r="V1937" s="62" t="str">
        <f aca="false">IF(C1937="","",IFERROR(VALUE(LEFT(UPPER(SUBSTITUTE(SUBSTITUTE(SUBSTITUTE(TRIM(C1937),".",""),"-","")," ","")),LEN(UPPER(SUBSTITUTE(SUBSTITUTE(SUBSTITUTE(TRIM(C1937),".",""),"-","")," ","")))-1))&amp;RIGHT(UPPER(SUBSTITUTE(SUBSTITUTE(SUBSTITUTE(TRIM(C1937),".",""),"-","")," ","")),1),UPPER(SUBSTITUTE(SUBSTITUTE(SUBSTITUTE(TRIM(C1937),".",""),"-","")," ",""))))</f>
        <v/>
      </c>
    </row>
    <row r="1938" customFormat="false" ht="15" hidden="false" customHeight="false" outlineLevel="0" collapsed="false">
      <c r="B1938" s="80"/>
      <c r="C1938" s="58"/>
      <c r="D1938" s="62" t="str">
        <f aca="false">IF(C1938="","",IFERROR(INDEX(T_NOMBRE,MATCH(V1938,T_RUTN,0)),"⚠ RUT no está en Trabajadores"))</f>
        <v/>
      </c>
      <c r="E1938" s="61"/>
      <c r="F1938" s="61"/>
      <c r="G1938" s="61"/>
      <c r="H1938" s="61"/>
      <c r="I1938" s="81"/>
      <c r="J1938" s="81"/>
      <c r="K1938" s="60"/>
      <c r="L1938" s="60"/>
      <c r="M1938" s="60"/>
      <c r="N1938" s="60"/>
      <c r="O1938" s="60"/>
      <c r="P1938" s="60"/>
      <c r="Q1938" s="60"/>
      <c r="R1938" s="58"/>
      <c r="S1938" s="62" t="str">
        <f aca="false">IF(OR(B1938="",V1938=""),"",IFERROR(INDEX(C_TIPO,MATCH(V1938&amp;"-P"&amp;MAX(1,COUNTIFS(C_RUTN,V1938,C_DEF,"Sí",C_INI,"&lt;="&amp;EOMONTH(B1938,0))),C_CLAVE,0))&amp;"","Sin contrato"))</f>
        <v/>
      </c>
      <c r="T1938" s="63" t="str">
        <f aca="false">IF(OR(B1938="",N(O1938)=0),"",N(O1938)+ROUND(MIN(N(N1938),TOPE_UF*UF_MES)*(TASA_EMP+MUTUAL),0)+ROUND(MIN(N(N1938),TOPE_AFC_UF*UF_MES)*IF(S1938="Indefinido",AFC_INDEF,AFC_PF),0))</f>
        <v/>
      </c>
      <c r="U1938" s="62" t="str">
        <f aca="false">IF(C1938="","",IF(LEFT(D1938,1)="⚠","⚠ RUT no registrado en Trabajadores",IF(B1938="","⚠ Falta el mes",IF(OR(ISTEXT(I1938),ISTEXT(J1938)),"⚠ Atrasos u horas extra como texto: escriba hh:mm (ej. 1:30)",IF(AND(ISNUMBER(Q1938),COUNTIFS(M_RUTN,V1938,M_MES,B1938,M_LIQ,"&lt;&gt;")&gt;1),"⚠ Liquidación repetida en el mes",IF(AND(ISNUMBER(O1938),ISNUMBER(P1938),ISNUMBER(Q1938),ABS(O1938-P1938-Q1938)&gt;1),"⚠ Haberes − descuentos no da el líquido","OK"))))))</f>
        <v/>
      </c>
      <c r="V1938" s="62" t="str">
        <f aca="false">IF(C1938="","",IFERROR(VALUE(LEFT(UPPER(SUBSTITUTE(SUBSTITUTE(SUBSTITUTE(TRIM(C1938),".",""),"-","")," ","")),LEN(UPPER(SUBSTITUTE(SUBSTITUTE(SUBSTITUTE(TRIM(C1938),".",""),"-","")," ","")))-1))&amp;RIGHT(UPPER(SUBSTITUTE(SUBSTITUTE(SUBSTITUTE(TRIM(C1938),".",""),"-","")," ","")),1),UPPER(SUBSTITUTE(SUBSTITUTE(SUBSTITUTE(TRIM(C1938),".",""),"-","")," ",""))))</f>
        <v/>
      </c>
    </row>
    <row r="1939" customFormat="false" ht="15" hidden="false" customHeight="false" outlineLevel="0" collapsed="false">
      <c r="B1939" s="80"/>
      <c r="C1939" s="58"/>
      <c r="D1939" s="62" t="str">
        <f aca="false">IF(C1939="","",IFERROR(INDEX(T_NOMBRE,MATCH(V1939,T_RUTN,0)),"⚠ RUT no está en Trabajadores"))</f>
        <v/>
      </c>
      <c r="E1939" s="61"/>
      <c r="F1939" s="61"/>
      <c r="G1939" s="61"/>
      <c r="H1939" s="61"/>
      <c r="I1939" s="81"/>
      <c r="J1939" s="81"/>
      <c r="K1939" s="60"/>
      <c r="L1939" s="60"/>
      <c r="M1939" s="60"/>
      <c r="N1939" s="60"/>
      <c r="O1939" s="60"/>
      <c r="P1939" s="60"/>
      <c r="Q1939" s="60"/>
      <c r="R1939" s="58"/>
      <c r="S1939" s="62" t="str">
        <f aca="false">IF(OR(B1939="",V1939=""),"",IFERROR(INDEX(C_TIPO,MATCH(V1939&amp;"-P"&amp;MAX(1,COUNTIFS(C_RUTN,V1939,C_DEF,"Sí",C_INI,"&lt;="&amp;EOMONTH(B1939,0))),C_CLAVE,0))&amp;"","Sin contrato"))</f>
        <v/>
      </c>
      <c r="T1939" s="63" t="str">
        <f aca="false">IF(OR(B1939="",N(O1939)=0),"",N(O1939)+ROUND(MIN(N(N1939),TOPE_UF*UF_MES)*(TASA_EMP+MUTUAL),0)+ROUND(MIN(N(N1939),TOPE_AFC_UF*UF_MES)*IF(S1939="Indefinido",AFC_INDEF,AFC_PF),0))</f>
        <v/>
      </c>
      <c r="U1939" s="62" t="str">
        <f aca="false">IF(C1939="","",IF(LEFT(D1939,1)="⚠","⚠ RUT no registrado en Trabajadores",IF(B1939="","⚠ Falta el mes",IF(OR(ISTEXT(I1939),ISTEXT(J1939)),"⚠ Atrasos u horas extra como texto: escriba hh:mm (ej. 1:30)",IF(AND(ISNUMBER(Q1939),COUNTIFS(M_RUTN,V1939,M_MES,B1939,M_LIQ,"&lt;&gt;")&gt;1),"⚠ Liquidación repetida en el mes",IF(AND(ISNUMBER(O1939),ISNUMBER(P1939),ISNUMBER(Q1939),ABS(O1939-P1939-Q1939)&gt;1),"⚠ Haberes − descuentos no da el líquido","OK"))))))</f>
        <v/>
      </c>
      <c r="V1939" s="62" t="str">
        <f aca="false">IF(C1939="","",IFERROR(VALUE(LEFT(UPPER(SUBSTITUTE(SUBSTITUTE(SUBSTITUTE(TRIM(C1939),".",""),"-","")," ","")),LEN(UPPER(SUBSTITUTE(SUBSTITUTE(SUBSTITUTE(TRIM(C1939),".",""),"-","")," ","")))-1))&amp;RIGHT(UPPER(SUBSTITUTE(SUBSTITUTE(SUBSTITUTE(TRIM(C1939),".",""),"-","")," ","")),1),UPPER(SUBSTITUTE(SUBSTITUTE(SUBSTITUTE(TRIM(C1939),".",""),"-","")," ",""))))</f>
        <v/>
      </c>
    </row>
    <row r="1940" customFormat="false" ht="15" hidden="false" customHeight="false" outlineLevel="0" collapsed="false">
      <c r="B1940" s="80"/>
      <c r="C1940" s="58"/>
      <c r="D1940" s="62" t="str">
        <f aca="false">IF(C1940="","",IFERROR(INDEX(T_NOMBRE,MATCH(V1940,T_RUTN,0)),"⚠ RUT no está en Trabajadores"))</f>
        <v/>
      </c>
      <c r="E1940" s="61"/>
      <c r="F1940" s="61"/>
      <c r="G1940" s="61"/>
      <c r="H1940" s="61"/>
      <c r="I1940" s="81"/>
      <c r="J1940" s="81"/>
      <c r="K1940" s="60"/>
      <c r="L1940" s="60"/>
      <c r="M1940" s="60"/>
      <c r="N1940" s="60"/>
      <c r="O1940" s="60"/>
      <c r="P1940" s="60"/>
      <c r="Q1940" s="60"/>
      <c r="R1940" s="58"/>
      <c r="S1940" s="62" t="str">
        <f aca="false">IF(OR(B1940="",V1940=""),"",IFERROR(INDEX(C_TIPO,MATCH(V1940&amp;"-P"&amp;MAX(1,COUNTIFS(C_RUTN,V1940,C_DEF,"Sí",C_INI,"&lt;="&amp;EOMONTH(B1940,0))),C_CLAVE,0))&amp;"","Sin contrato"))</f>
        <v/>
      </c>
      <c r="T1940" s="63" t="str">
        <f aca="false">IF(OR(B1940="",N(O1940)=0),"",N(O1940)+ROUND(MIN(N(N1940),TOPE_UF*UF_MES)*(TASA_EMP+MUTUAL),0)+ROUND(MIN(N(N1940),TOPE_AFC_UF*UF_MES)*IF(S1940="Indefinido",AFC_INDEF,AFC_PF),0))</f>
        <v/>
      </c>
      <c r="U1940" s="62" t="str">
        <f aca="false">IF(C1940="","",IF(LEFT(D1940,1)="⚠","⚠ RUT no registrado en Trabajadores",IF(B1940="","⚠ Falta el mes",IF(OR(ISTEXT(I1940),ISTEXT(J1940)),"⚠ Atrasos u horas extra como texto: escriba hh:mm (ej. 1:30)",IF(AND(ISNUMBER(Q1940),COUNTIFS(M_RUTN,V1940,M_MES,B1940,M_LIQ,"&lt;&gt;")&gt;1),"⚠ Liquidación repetida en el mes",IF(AND(ISNUMBER(O1940),ISNUMBER(P1940),ISNUMBER(Q1940),ABS(O1940-P1940-Q1940)&gt;1),"⚠ Haberes − descuentos no da el líquido","OK"))))))</f>
        <v/>
      </c>
      <c r="V1940" s="62" t="str">
        <f aca="false">IF(C1940="","",IFERROR(VALUE(LEFT(UPPER(SUBSTITUTE(SUBSTITUTE(SUBSTITUTE(TRIM(C1940),".",""),"-","")," ","")),LEN(UPPER(SUBSTITUTE(SUBSTITUTE(SUBSTITUTE(TRIM(C1940),".",""),"-","")," ","")))-1))&amp;RIGHT(UPPER(SUBSTITUTE(SUBSTITUTE(SUBSTITUTE(TRIM(C1940),".",""),"-","")," ","")),1),UPPER(SUBSTITUTE(SUBSTITUTE(SUBSTITUTE(TRIM(C1940),".",""),"-","")," ",""))))</f>
        <v/>
      </c>
    </row>
    <row r="1941" customFormat="false" ht="15" hidden="false" customHeight="false" outlineLevel="0" collapsed="false">
      <c r="B1941" s="80"/>
      <c r="C1941" s="58"/>
      <c r="D1941" s="62" t="str">
        <f aca="false">IF(C1941="","",IFERROR(INDEX(T_NOMBRE,MATCH(V1941,T_RUTN,0)),"⚠ RUT no está en Trabajadores"))</f>
        <v/>
      </c>
      <c r="E1941" s="61"/>
      <c r="F1941" s="61"/>
      <c r="G1941" s="61"/>
      <c r="H1941" s="61"/>
      <c r="I1941" s="81"/>
      <c r="J1941" s="81"/>
      <c r="K1941" s="60"/>
      <c r="L1941" s="60"/>
      <c r="M1941" s="60"/>
      <c r="N1941" s="60"/>
      <c r="O1941" s="60"/>
      <c r="P1941" s="60"/>
      <c r="Q1941" s="60"/>
      <c r="R1941" s="58"/>
      <c r="S1941" s="62" t="str">
        <f aca="false">IF(OR(B1941="",V1941=""),"",IFERROR(INDEX(C_TIPO,MATCH(V1941&amp;"-P"&amp;MAX(1,COUNTIFS(C_RUTN,V1941,C_DEF,"Sí",C_INI,"&lt;="&amp;EOMONTH(B1941,0))),C_CLAVE,0))&amp;"","Sin contrato"))</f>
        <v/>
      </c>
      <c r="T1941" s="63" t="str">
        <f aca="false">IF(OR(B1941="",N(O1941)=0),"",N(O1941)+ROUND(MIN(N(N1941),TOPE_UF*UF_MES)*(TASA_EMP+MUTUAL),0)+ROUND(MIN(N(N1941),TOPE_AFC_UF*UF_MES)*IF(S1941="Indefinido",AFC_INDEF,AFC_PF),0))</f>
        <v/>
      </c>
      <c r="U1941" s="62" t="str">
        <f aca="false">IF(C1941="","",IF(LEFT(D1941,1)="⚠","⚠ RUT no registrado en Trabajadores",IF(B1941="","⚠ Falta el mes",IF(OR(ISTEXT(I1941),ISTEXT(J1941)),"⚠ Atrasos u horas extra como texto: escriba hh:mm (ej. 1:30)",IF(AND(ISNUMBER(Q1941),COUNTIFS(M_RUTN,V1941,M_MES,B1941,M_LIQ,"&lt;&gt;")&gt;1),"⚠ Liquidación repetida en el mes",IF(AND(ISNUMBER(O1941),ISNUMBER(P1941),ISNUMBER(Q1941),ABS(O1941-P1941-Q1941)&gt;1),"⚠ Haberes − descuentos no da el líquido","OK"))))))</f>
        <v/>
      </c>
      <c r="V1941" s="62" t="str">
        <f aca="false">IF(C1941="","",IFERROR(VALUE(LEFT(UPPER(SUBSTITUTE(SUBSTITUTE(SUBSTITUTE(TRIM(C1941),".",""),"-","")," ","")),LEN(UPPER(SUBSTITUTE(SUBSTITUTE(SUBSTITUTE(TRIM(C1941),".",""),"-","")," ","")))-1))&amp;RIGHT(UPPER(SUBSTITUTE(SUBSTITUTE(SUBSTITUTE(TRIM(C1941),".",""),"-","")," ","")),1),UPPER(SUBSTITUTE(SUBSTITUTE(SUBSTITUTE(TRIM(C1941),".",""),"-","")," ",""))))</f>
        <v/>
      </c>
    </row>
    <row r="1942" customFormat="false" ht="15" hidden="false" customHeight="false" outlineLevel="0" collapsed="false">
      <c r="B1942" s="80"/>
      <c r="C1942" s="58"/>
      <c r="D1942" s="62" t="str">
        <f aca="false">IF(C1942="","",IFERROR(INDEX(T_NOMBRE,MATCH(V1942,T_RUTN,0)),"⚠ RUT no está en Trabajadores"))</f>
        <v/>
      </c>
      <c r="E1942" s="61"/>
      <c r="F1942" s="61"/>
      <c r="G1942" s="61"/>
      <c r="H1942" s="61"/>
      <c r="I1942" s="81"/>
      <c r="J1942" s="81"/>
      <c r="K1942" s="60"/>
      <c r="L1942" s="60"/>
      <c r="M1942" s="60"/>
      <c r="N1942" s="60"/>
      <c r="O1942" s="60"/>
      <c r="P1942" s="60"/>
      <c r="Q1942" s="60"/>
      <c r="R1942" s="58"/>
      <c r="S1942" s="62" t="str">
        <f aca="false">IF(OR(B1942="",V1942=""),"",IFERROR(INDEX(C_TIPO,MATCH(V1942&amp;"-P"&amp;MAX(1,COUNTIFS(C_RUTN,V1942,C_DEF,"Sí",C_INI,"&lt;="&amp;EOMONTH(B1942,0))),C_CLAVE,0))&amp;"","Sin contrato"))</f>
        <v/>
      </c>
      <c r="T1942" s="63" t="str">
        <f aca="false">IF(OR(B1942="",N(O1942)=0),"",N(O1942)+ROUND(MIN(N(N1942),TOPE_UF*UF_MES)*(TASA_EMP+MUTUAL),0)+ROUND(MIN(N(N1942),TOPE_AFC_UF*UF_MES)*IF(S1942="Indefinido",AFC_INDEF,AFC_PF),0))</f>
        <v/>
      </c>
      <c r="U1942" s="62" t="str">
        <f aca="false">IF(C1942="","",IF(LEFT(D1942,1)="⚠","⚠ RUT no registrado en Trabajadores",IF(B1942="","⚠ Falta el mes",IF(OR(ISTEXT(I1942),ISTEXT(J1942)),"⚠ Atrasos u horas extra como texto: escriba hh:mm (ej. 1:30)",IF(AND(ISNUMBER(Q1942),COUNTIFS(M_RUTN,V1942,M_MES,B1942,M_LIQ,"&lt;&gt;")&gt;1),"⚠ Liquidación repetida en el mes",IF(AND(ISNUMBER(O1942),ISNUMBER(P1942),ISNUMBER(Q1942),ABS(O1942-P1942-Q1942)&gt;1),"⚠ Haberes − descuentos no da el líquido","OK"))))))</f>
        <v/>
      </c>
      <c r="V1942" s="62" t="str">
        <f aca="false">IF(C1942="","",IFERROR(VALUE(LEFT(UPPER(SUBSTITUTE(SUBSTITUTE(SUBSTITUTE(TRIM(C1942),".",""),"-","")," ","")),LEN(UPPER(SUBSTITUTE(SUBSTITUTE(SUBSTITUTE(TRIM(C1942),".",""),"-","")," ","")))-1))&amp;RIGHT(UPPER(SUBSTITUTE(SUBSTITUTE(SUBSTITUTE(TRIM(C1942),".",""),"-","")," ","")),1),UPPER(SUBSTITUTE(SUBSTITUTE(SUBSTITUTE(TRIM(C1942),".",""),"-","")," ",""))))</f>
        <v/>
      </c>
    </row>
    <row r="1943" customFormat="false" ht="15" hidden="false" customHeight="false" outlineLevel="0" collapsed="false">
      <c r="B1943" s="80"/>
      <c r="C1943" s="58"/>
      <c r="D1943" s="62" t="str">
        <f aca="false">IF(C1943="","",IFERROR(INDEX(T_NOMBRE,MATCH(V1943,T_RUTN,0)),"⚠ RUT no está en Trabajadores"))</f>
        <v/>
      </c>
      <c r="E1943" s="61"/>
      <c r="F1943" s="61"/>
      <c r="G1943" s="61"/>
      <c r="H1943" s="61"/>
      <c r="I1943" s="81"/>
      <c r="J1943" s="81"/>
      <c r="K1943" s="60"/>
      <c r="L1943" s="60"/>
      <c r="M1943" s="60"/>
      <c r="N1943" s="60"/>
      <c r="O1943" s="60"/>
      <c r="P1943" s="60"/>
      <c r="Q1943" s="60"/>
      <c r="R1943" s="58"/>
      <c r="S1943" s="62" t="str">
        <f aca="false">IF(OR(B1943="",V1943=""),"",IFERROR(INDEX(C_TIPO,MATCH(V1943&amp;"-P"&amp;MAX(1,COUNTIFS(C_RUTN,V1943,C_DEF,"Sí",C_INI,"&lt;="&amp;EOMONTH(B1943,0))),C_CLAVE,0))&amp;"","Sin contrato"))</f>
        <v/>
      </c>
      <c r="T1943" s="63" t="str">
        <f aca="false">IF(OR(B1943="",N(O1943)=0),"",N(O1943)+ROUND(MIN(N(N1943),TOPE_UF*UF_MES)*(TASA_EMP+MUTUAL),0)+ROUND(MIN(N(N1943),TOPE_AFC_UF*UF_MES)*IF(S1943="Indefinido",AFC_INDEF,AFC_PF),0))</f>
        <v/>
      </c>
      <c r="U1943" s="62" t="str">
        <f aca="false">IF(C1943="","",IF(LEFT(D1943,1)="⚠","⚠ RUT no registrado en Trabajadores",IF(B1943="","⚠ Falta el mes",IF(OR(ISTEXT(I1943),ISTEXT(J1943)),"⚠ Atrasos u horas extra como texto: escriba hh:mm (ej. 1:30)",IF(AND(ISNUMBER(Q1943),COUNTIFS(M_RUTN,V1943,M_MES,B1943,M_LIQ,"&lt;&gt;")&gt;1),"⚠ Liquidación repetida en el mes",IF(AND(ISNUMBER(O1943),ISNUMBER(P1943),ISNUMBER(Q1943),ABS(O1943-P1943-Q1943)&gt;1),"⚠ Haberes − descuentos no da el líquido","OK"))))))</f>
        <v/>
      </c>
      <c r="V1943" s="62" t="str">
        <f aca="false">IF(C1943="","",IFERROR(VALUE(LEFT(UPPER(SUBSTITUTE(SUBSTITUTE(SUBSTITUTE(TRIM(C1943),".",""),"-","")," ","")),LEN(UPPER(SUBSTITUTE(SUBSTITUTE(SUBSTITUTE(TRIM(C1943),".",""),"-","")," ","")))-1))&amp;RIGHT(UPPER(SUBSTITUTE(SUBSTITUTE(SUBSTITUTE(TRIM(C1943),".",""),"-","")," ","")),1),UPPER(SUBSTITUTE(SUBSTITUTE(SUBSTITUTE(TRIM(C1943),".",""),"-","")," ",""))))</f>
        <v/>
      </c>
    </row>
    <row r="1944" customFormat="false" ht="15" hidden="false" customHeight="false" outlineLevel="0" collapsed="false">
      <c r="B1944" s="80"/>
      <c r="C1944" s="58"/>
      <c r="D1944" s="62" t="str">
        <f aca="false">IF(C1944="","",IFERROR(INDEX(T_NOMBRE,MATCH(V1944,T_RUTN,0)),"⚠ RUT no está en Trabajadores"))</f>
        <v/>
      </c>
      <c r="E1944" s="61"/>
      <c r="F1944" s="61"/>
      <c r="G1944" s="61"/>
      <c r="H1944" s="61"/>
      <c r="I1944" s="81"/>
      <c r="J1944" s="81"/>
      <c r="K1944" s="60"/>
      <c r="L1944" s="60"/>
      <c r="M1944" s="60"/>
      <c r="N1944" s="60"/>
      <c r="O1944" s="60"/>
      <c r="P1944" s="60"/>
      <c r="Q1944" s="60"/>
      <c r="R1944" s="58"/>
      <c r="S1944" s="62" t="str">
        <f aca="false">IF(OR(B1944="",V1944=""),"",IFERROR(INDEX(C_TIPO,MATCH(V1944&amp;"-P"&amp;MAX(1,COUNTIFS(C_RUTN,V1944,C_DEF,"Sí",C_INI,"&lt;="&amp;EOMONTH(B1944,0))),C_CLAVE,0))&amp;"","Sin contrato"))</f>
        <v/>
      </c>
      <c r="T1944" s="63" t="str">
        <f aca="false">IF(OR(B1944="",N(O1944)=0),"",N(O1944)+ROUND(MIN(N(N1944),TOPE_UF*UF_MES)*(TASA_EMP+MUTUAL),0)+ROUND(MIN(N(N1944),TOPE_AFC_UF*UF_MES)*IF(S1944="Indefinido",AFC_INDEF,AFC_PF),0))</f>
        <v/>
      </c>
      <c r="U1944" s="62" t="str">
        <f aca="false">IF(C1944="","",IF(LEFT(D1944,1)="⚠","⚠ RUT no registrado en Trabajadores",IF(B1944="","⚠ Falta el mes",IF(OR(ISTEXT(I1944),ISTEXT(J1944)),"⚠ Atrasos u horas extra como texto: escriba hh:mm (ej. 1:30)",IF(AND(ISNUMBER(Q1944),COUNTIFS(M_RUTN,V1944,M_MES,B1944,M_LIQ,"&lt;&gt;")&gt;1),"⚠ Liquidación repetida en el mes",IF(AND(ISNUMBER(O1944),ISNUMBER(P1944),ISNUMBER(Q1944),ABS(O1944-P1944-Q1944)&gt;1),"⚠ Haberes − descuentos no da el líquido","OK"))))))</f>
        <v/>
      </c>
      <c r="V1944" s="62" t="str">
        <f aca="false">IF(C1944="","",IFERROR(VALUE(LEFT(UPPER(SUBSTITUTE(SUBSTITUTE(SUBSTITUTE(TRIM(C1944),".",""),"-","")," ","")),LEN(UPPER(SUBSTITUTE(SUBSTITUTE(SUBSTITUTE(TRIM(C1944),".",""),"-","")," ","")))-1))&amp;RIGHT(UPPER(SUBSTITUTE(SUBSTITUTE(SUBSTITUTE(TRIM(C1944),".",""),"-","")," ","")),1),UPPER(SUBSTITUTE(SUBSTITUTE(SUBSTITUTE(TRIM(C1944),".",""),"-","")," ",""))))</f>
        <v/>
      </c>
    </row>
    <row r="1945" customFormat="false" ht="15" hidden="false" customHeight="false" outlineLevel="0" collapsed="false">
      <c r="B1945" s="80"/>
      <c r="C1945" s="58"/>
      <c r="D1945" s="62" t="str">
        <f aca="false">IF(C1945="","",IFERROR(INDEX(T_NOMBRE,MATCH(V1945,T_RUTN,0)),"⚠ RUT no está en Trabajadores"))</f>
        <v/>
      </c>
      <c r="E1945" s="61"/>
      <c r="F1945" s="61"/>
      <c r="G1945" s="61"/>
      <c r="H1945" s="61"/>
      <c r="I1945" s="81"/>
      <c r="J1945" s="81"/>
      <c r="K1945" s="60"/>
      <c r="L1945" s="60"/>
      <c r="M1945" s="60"/>
      <c r="N1945" s="60"/>
      <c r="O1945" s="60"/>
      <c r="P1945" s="60"/>
      <c r="Q1945" s="60"/>
      <c r="R1945" s="58"/>
      <c r="S1945" s="62" t="str">
        <f aca="false">IF(OR(B1945="",V1945=""),"",IFERROR(INDEX(C_TIPO,MATCH(V1945&amp;"-P"&amp;MAX(1,COUNTIFS(C_RUTN,V1945,C_DEF,"Sí",C_INI,"&lt;="&amp;EOMONTH(B1945,0))),C_CLAVE,0))&amp;"","Sin contrato"))</f>
        <v/>
      </c>
      <c r="T1945" s="63" t="str">
        <f aca="false">IF(OR(B1945="",N(O1945)=0),"",N(O1945)+ROUND(MIN(N(N1945),TOPE_UF*UF_MES)*(TASA_EMP+MUTUAL),0)+ROUND(MIN(N(N1945),TOPE_AFC_UF*UF_MES)*IF(S1945="Indefinido",AFC_INDEF,AFC_PF),0))</f>
        <v/>
      </c>
      <c r="U1945" s="62" t="str">
        <f aca="false">IF(C1945="","",IF(LEFT(D1945,1)="⚠","⚠ RUT no registrado en Trabajadores",IF(B1945="","⚠ Falta el mes",IF(OR(ISTEXT(I1945),ISTEXT(J1945)),"⚠ Atrasos u horas extra como texto: escriba hh:mm (ej. 1:30)",IF(AND(ISNUMBER(Q1945),COUNTIFS(M_RUTN,V1945,M_MES,B1945,M_LIQ,"&lt;&gt;")&gt;1),"⚠ Liquidación repetida en el mes",IF(AND(ISNUMBER(O1945),ISNUMBER(P1945),ISNUMBER(Q1945),ABS(O1945-P1945-Q1945)&gt;1),"⚠ Haberes − descuentos no da el líquido","OK"))))))</f>
        <v/>
      </c>
      <c r="V1945" s="62" t="str">
        <f aca="false">IF(C1945="","",IFERROR(VALUE(LEFT(UPPER(SUBSTITUTE(SUBSTITUTE(SUBSTITUTE(TRIM(C1945),".",""),"-","")," ","")),LEN(UPPER(SUBSTITUTE(SUBSTITUTE(SUBSTITUTE(TRIM(C1945),".",""),"-","")," ","")))-1))&amp;RIGHT(UPPER(SUBSTITUTE(SUBSTITUTE(SUBSTITUTE(TRIM(C1945),".",""),"-","")," ","")),1),UPPER(SUBSTITUTE(SUBSTITUTE(SUBSTITUTE(TRIM(C1945),".",""),"-","")," ",""))))</f>
        <v/>
      </c>
    </row>
    <row r="1946" customFormat="false" ht="15" hidden="false" customHeight="false" outlineLevel="0" collapsed="false">
      <c r="B1946" s="80"/>
      <c r="C1946" s="58"/>
      <c r="D1946" s="62" t="str">
        <f aca="false">IF(C1946="","",IFERROR(INDEX(T_NOMBRE,MATCH(V1946,T_RUTN,0)),"⚠ RUT no está en Trabajadores"))</f>
        <v/>
      </c>
      <c r="E1946" s="61"/>
      <c r="F1946" s="61"/>
      <c r="G1946" s="61"/>
      <c r="H1946" s="61"/>
      <c r="I1946" s="81"/>
      <c r="J1946" s="81"/>
      <c r="K1946" s="60"/>
      <c r="L1946" s="60"/>
      <c r="M1946" s="60"/>
      <c r="N1946" s="60"/>
      <c r="O1946" s="60"/>
      <c r="P1946" s="60"/>
      <c r="Q1946" s="60"/>
      <c r="R1946" s="58"/>
      <c r="S1946" s="62" t="str">
        <f aca="false">IF(OR(B1946="",V1946=""),"",IFERROR(INDEX(C_TIPO,MATCH(V1946&amp;"-P"&amp;MAX(1,COUNTIFS(C_RUTN,V1946,C_DEF,"Sí",C_INI,"&lt;="&amp;EOMONTH(B1946,0))),C_CLAVE,0))&amp;"","Sin contrato"))</f>
        <v/>
      </c>
      <c r="T1946" s="63" t="str">
        <f aca="false">IF(OR(B1946="",N(O1946)=0),"",N(O1946)+ROUND(MIN(N(N1946),TOPE_UF*UF_MES)*(TASA_EMP+MUTUAL),0)+ROUND(MIN(N(N1946),TOPE_AFC_UF*UF_MES)*IF(S1946="Indefinido",AFC_INDEF,AFC_PF),0))</f>
        <v/>
      </c>
      <c r="U1946" s="62" t="str">
        <f aca="false">IF(C1946="","",IF(LEFT(D1946,1)="⚠","⚠ RUT no registrado en Trabajadores",IF(B1946="","⚠ Falta el mes",IF(OR(ISTEXT(I1946),ISTEXT(J1946)),"⚠ Atrasos u horas extra como texto: escriba hh:mm (ej. 1:30)",IF(AND(ISNUMBER(Q1946),COUNTIFS(M_RUTN,V1946,M_MES,B1946,M_LIQ,"&lt;&gt;")&gt;1),"⚠ Liquidación repetida en el mes",IF(AND(ISNUMBER(O1946),ISNUMBER(P1946),ISNUMBER(Q1946),ABS(O1946-P1946-Q1946)&gt;1),"⚠ Haberes − descuentos no da el líquido","OK"))))))</f>
        <v/>
      </c>
      <c r="V1946" s="62" t="str">
        <f aca="false">IF(C1946="","",IFERROR(VALUE(LEFT(UPPER(SUBSTITUTE(SUBSTITUTE(SUBSTITUTE(TRIM(C1946),".",""),"-","")," ","")),LEN(UPPER(SUBSTITUTE(SUBSTITUTE(SUBSTITUTE(TRIM(C1946),".",""),"-","")," ","")))-1))&amp;RIGHT(UPPER(SUBSTITUTE(SUBSTITUTE(SUBSTITUTE(TRIM(C1946),".",""),"-","")," ","")),1),UPPER(SUBSTITUTE(SUBSTITUTE(SUBSTITUTE(TRIM(C1946),".",""),"-","")," ",""))))</f>
        <v/>
      </c>
    </row>
    <row r="1947" customFormat="false" ht="15" hidden="false" customHeight="false" outlineLevel="0" collapsed="false">
      <c r="B1947" s="80"/>
      <c r="C1947" s="58"/>
      <c r="D1947" s="62" t="str">
        <f aca="false">IF(C1947="","",IFERROR(INDEX(T_NOMBRE,MATCH(V1947,T_RUTN,0)),"⚠ RUT no está en Trabajadores"))</f>
        <v/>
      </c>
      <c r="E1947" s="61"/>
      <c r="F1947" s="61"/>
      <c r="G1947" s="61"/>
      <c r="H1947" s="61"/>
      <c r="I1947" s="81"/>
      <c r="J1947" s="81"/>
      <c r="K1947" s="60"/>
      <c r="L1947" s="60"/>
      <c r="M1947" s="60"/>
      <c r="N1947" s="60"/>
      <c r="O1947" s="60"/>
      <c r="P1947" s="60"/>
      <c r="Q1947" s="60"/>
      <c r="R1947" s="58"/>
      <c r="S1947" s="62" t="str">
        <f aca="false">IF(OR(B1947="",V1947=""),"",IFERROR(INDEX(C_TIPO,MATCH(V1947&amp;"-P"&amp;MAX(1,COUNTIFS(C_RUTN,V1947,C_DEF,"Sí",C_INI,"&lt;="&amp;EOMONTH(B1947,0))),C_CLAVE,0))&amp;"","Sin contrato"))</f>
        <v/>
      </c>
      <c r="T1947" s="63" t="str">
        <f aca="false">IF(OR(B1947="",N(O1947)=0),"",N(O1947)+ROUND(MIN(N(N1947),TOPE_UF*UF_MES)*(TASA_EMP+MUTUAL),0)+ROUND(MIN(N(N1947),TOPE_AFC_UF*UF_MES)*IF(S1947="Indefinido",AFC_INDEF,AFC_PF),0))</f>
        <v/>
      </c>
      <c r="U1947" s="62" t="str">
        <f aca="false">IF(C1947="","",IF(LEFT(D1947,1)="⚠","⚠ RUT no registrado en Trabajadores",IF(B1947="","⚠ Falta el mes",IF(OR(ISTEXT(I1947),ISTEXT(J1947)),"⚠ Atrasos u horas extra como texto: escriba hh:mm (ej. 1:30)",IF(AND(ISNUMBER(Q1947),COUNTIFS(M_RUTN,V1947,M_MES,B1947,M_LIQ,"&lt;&gt;")&gt;1),"⚠ Liquidación repetida en el mes",IF(AND(ISNUMBER(O1947),ISNUMBER(P1947),ISNUMBER(Q1947),ABS(O1947-P1947-Q1947)&gt;1),"⚠ Haberes − descuentos no da el líquido","OK"))))))</f>
        <v/>
      </c>
      <c r="V1947" s="62" t="str">
        <f aca="false">IF(C1947="","",IFERROR(VALUE(LEFT(UPPER(SUBSTITUTE(SUBSTITUTE(SUBSTITUTE(TRIM(C1947),".",""),"-","")," ","")),LEN(UPPER(SUBSTITUTE(SUBSTITUTE(SUBSTITUTE(TRIM(C1947),".",""),"-","")," ","")))-1))&amp;RIGHT(UPPER(SUBSTITUTE(SUBSTITUTE(SUBSTITUTE(TRIM(C1947),".",""),"-","")," ","")),1),UPPER(SUBSTITUTE(SUBSTITUTE(SUBSTITUTE(TRIM(C1947),".",""),"-","")," ",""))))</f>
        <v/>
      </c>
    </row>
    <row r="1948" customFormat="false" ht="15" hidden="false" customHeight="false" outlineLevel="0" collapsed="false">
      <c r="B1948" s="80"/>
      <c r="C1948" s="58"/>
      <c r="D1948" s="62" t="str">
        <f aca="false">IF(C1948="","",IFERROR(INDEX(T_NOMBRE,MATCH(V1948,T_RUTN,0)),"⚠ RUT no está en Trabajadores"))</f>
        <v/>
      </c>
      <c r="E1948" s="61"/>
      <c r="F1948" s="61"/>
      <c r="G1948" s="61"/>
      <c r="H1948" s="61"/>
      <c r="I1948" s="81"/>
      <c r="J1948" s="81"/>
      <c r="K1948" s="60"/>
      <c r="L1948" s="60"/>
      <c r="M1948" s="60"/>
      <c r="N1948" s="60"/>
      <c r="O1948" s="60"/>
      <c r="P1948" s="60"/>
      <c r="Q1948" s="60"/>
      <c r="R1948" s="58"/>
      <c r="S1948" s="62" t="str">
        <f aca="false">IF(OR(B1948="",V1948=""),"",IFERROR(INDEX(C_TIPO,MATCH(V1948&amp;"-P"&amp;MAX(1,COUNTIFS(C_RUTN,V1948,C_DEF,"Sí",C_INI,"&lt;="&amp;EOMONTH(B1948,0))),C_CLAVE,0))&amp;"","Sin contrato"))</f>
        <v/>
      </c>
      <c r="T1948" s="63" t="str">
        <f aca="false">IF(OR(B1948="",N(O1948)=0),"",N(O1948)+ROUND(MIN(N(N1948),TOPE_UF*UF_MES)*(TASA_EMP+MUTUAL),0)+ROUND(MIN(N(N1948),TOPE_AFC_UF*UF_MES)*IF(S1948="Indefinido",AFC_INDEF,AFC_PF),0))</f>
        <v/>
      </c>
      <c r="U1948" s="62" t="str">
        <f aca="false">IF(C1948="","",IF(LEFT(D1948,1)="⚠","⚠ RUT no registrado en Trabajadores",IF(B1948="","⚠ Falta el mes",IF(OR(ISTEXT(I1948),ISTEXT(J1948)),"⚠ Atrasos u horas extra como texto: escriba hh:mm (ej. 1:30)",IF(AND(ISNUMBER(Q1948),COUNTIFS(M_RUTN,V1948,M_MES,B1948,M_LIQ,"&lt;&gt;")&gt;1),"⚠ Liquidación repetida en el mes",IF(AND(ISNUMBER(O1948),ISNUMBER(P1948),ISNUMBER(Q1948),ABS(O1948-P1948-Q1948)&gt;1),"⚠ Haberes − descuentos no da el líquido","OK"))))))</f>
        <v/>
      </c>
      <c r="V1948" s="62" t="str">
        <f aca="false">IF(C1948="","",IFERROR(VALUE(LEFT(UPPER(SUBSTITUTE(SUBSTITUTE(SUBSTITUTE(TRIM(C1948),".",""),"-","")," ","")),LEN(UPPER(SUBSTITUTE(SUBSTITUTE(SUBSTITUTE(TRIM(C1948),".",""),"-","")," ","")))-1))&amp;RIGHT(UPPER(SUBSTITUTE(SUBSTITUTE(SUBSTITUTE(TRIM(C1948),".",""),"-","")," ","")),1),UPPER(SUBSTITUTE(SUBSTITUTE(SUBSTITUTE(TRIM(C1948),".",""),"-","")," ",""))))</f>
        <v/>
      </c>
    </row>
    <row r="1949" customFormat="false" ht="15" hidden="false" customHeight="false" outlineLevel="0" collapsed="false">
      <c r="B1949" s="80"/>
      <c r="C1949" s="58"/>
      <c r="D1949" s="62" t="str">
        <f aca="false">IF(C1949="","",IFERROR(INDEX(T_NOMBRE,MATCH(V1949,T_RUTN,0)),"⚠ RUT no está en Trabajadores"))</f>
        <v/>
      </c>
      <c r="E1949" s="61"/>
      <c r="F1949" s="61"/>
      <c r="G1949" s="61"/>
      <c r="H1949" s="61"/>
      <c r="I1949" s="81"/>
      <c r="J1949" s="81"/>
      <c r="K1949" s="60"/>
      <c r="L1949" s="60"/>
      <c r="M1949" s="60"/>
      <c r="N1949" s="60"/>
      <c r="O1949" s="60"/>
      <c r="P1949" s="60"/>
      <c r="Q1949" s="60"/>
      <c r="R1949" s="58"/>
      <c r="S1949" s="62" t="str">
        <f aca="false">IF(OR(B1949="",V1949=""),"",IFERROR(INDEX(C_TIPO,MATCH(V1949&amp;"-P"&amp;MAX(1,COUNTIFS(C_RUTN,V1949,C_DEF,"Sí",C_INI,"&lt;="&amp;EOMONTH(B1949,0))),C_CLAVE,0))&amp;"","Sin contrato"))</f>
        <v/>
      </c>
      <c r="T1949" s="63" t="str">
        <f aca="false">IF(OR(B1949="",N(O1949)=0),"",N(O1949)+ROUND(MIN(N(N1949),TOPE_UF*UF_MES)*(TASA_EMP+MUTUAL),0)+ROUND(MIN(N(N1949),TOPE_AFC_UF*UF_MES)*IF(S1949="Indefinido",AFC_INDEF,AFC_PF),0))</f>
        <v/>
      </c>
      <c r="U1949" s="62" t="str">
        <f aca="false">IF(C1949="","",IF(LEFT(D1949,1)="⚠","⚠ RUT no registrado en Trabajadores",IF(B1949="","⚠ Falta el mes",IF(OR(ISTEXT(I1949),ISTEXT(J1949)),"⚠ Atrasos u horas extra como texto: escriba hh:mm (ej. 1:30)",IF(AND(ISNUMBER(Q1949),COUNTIFS(M_RUTN,V1949,M_MES,B1949,M_LIQ,"&lt;&gt;")&gt;1),"⚠ Liquidación repetida en el mes",IF(AND(ISNUMBER(O1949),ISNUMBER(P1949),ISNUMBER(Q1949),ABS(O1949-P1949-Q1949)&gt;1),"⚠ Haberes − descuentos no da el líquido","OK"))))))</f>
        <v/>
      </c>
      <c r="V1949" s="62" t="str">
        <f aca="false">IF(C1949="","",IFERROR(VALUE(LEFT(UPPER(SUBSTITUTE(SUBSTITUTE(SUBSTITUTE(TRIM(C1949),".",""),"-","")," ","")),LEN(UPPER(SUBSTITUTE(SUBSTITUTE(SUBSTITUTE(TRIM(C1949),".",""),"-","")," ","")))-1))&amp;RIGHT(UPPER(SUBSTITUTE(SUBSTITUTE(SUBSTITUTE(TRIM(C1949),".",""),"-","")," ","")),1),UPPER(SUBSTITUTE(SUBSTITUTE(SUBSTITUTE(TRIM(C1949),".",""),"-","")," ",""))))</f>
        <v/>
      </c>
    </row>
    <row r="1950" customFormat="false" ht="15" hidden="false" customHeight="false" outlineLevel="0" collapsed="false">
      <c r="B1950" s="80"/>
      <c r="C1950" s="58"/>
      <c r="D1950" s="62" t="str">
        <f aca="false">IF(C1950="","",IFERROR(INDEX(T_NOMBRE,MATCH(V1950,T_RUTN,0)),"⚠ RUT no está en Trabajadores"))</f>
        <v/>
      </c>
      <c r="E1950" s="61"/>
      <c r="F1950" s="61"/>
      <c r="G1950" s="61"/>
      <c r="H1950" s="61"/>
      <c r="I1950" s="81"/>
      <c r="J1950" s="81"/>
      <c r="K1950" s="60"/>
      <c r="L1950" s="60"/>
      <c r="M1950" s="60"/>
      <c r="N1950" s="60"/>
      <c r="O1950" s="60"/>
      <c r="P1950" s="60"/>
      <c r="Q1950" s="60"/>
      <c r="R1950" s="58"/>
      <c r="S1950" s="62" t="str">
        <f aca="false">IF(OR(B1950="",V1950=""),"",IFERROR(INDEX(C_TIPO,MATCH(V1950&amp;"-P"&amp;MAX(1,COUNTIFS(C_RUTN,V1950,C_DEF,"Sí",C_INI,"&lt;="&amp;EOMONTH(B1950,0))),C_CLAVE,0))&amp;"","Sin contrato"))</f>
        <v/>
      </c>
      <c r="T1950" s="63" t="str">
        <f aca="false">IF(OR(B1950="",N(O1950)=0),"",N(O1950)+ROUND(MIN(N(N1950),TOPE_UF*UF_MES)*(TASA_EMP+MUTUAL),0)+ROUND(MIN(N(N1950),TOPE_AFC_UF*UF_MES)*IF(S1950="Indefinido",AFC_INDEF,AFC_PF),0))</f>
        <v/>
      </c>
      <c r="U1950" s="62" t="str">
        <f aca="false">IF(C1950="","",IF(LEFT(D1950,1)="⚠","⚠ RUT no registrado en Trabajadores",IF(B1950="","⚠ Falta el mes",IF(OR(ISTEXT(I1950),ISTEXT(J1950)),"⚠ Atrasos u horas extra como texto: escriba hh:mm (ej. 1:30)",IF(AND(ISNUMBER(Q1950),COUNTIFS(M_RUTN,V1950,M_MES,B1950,M_LIQ,"&lt;&gt;")&gt;1),"⚠ Liquidación repetida en el mes",IF(AND(ISNUMBER(O1950),ISNUMBER(P1950),ISNUMBER(Q1950),ABS(O1950-P1950-Q1950)&gt;1),"⚠ Haberes − descuentos no da el líquido","OK"))))))</f>
        <v/>
      </c>
      <c r="V1950" s="62" t="str">
        <f aca="false">IF(C1950="","",IFERROR(VALUE(LEFT(UPPER(SUBSTITUTE(SUBSTITUTE(SUBSTITUTE(TRIM(C1950),".",""),"-","")," ","")),LEN(UPPER(SUBSTITUTE(SUBSTITUTE(SUBSTITUTE(TRIM(C1950),".",""),"-","")," ","")))-1))&amp;RIGHT(UPPER(SUBSTITUTE(SUBSTITUTE(SUBSTITUTE(TRIM(C1950),".",""),"-","")," ","")),1),UPPER(SUBSTITUTE(SUBSTITUTE(SUBSTITUTE(TRIM(C1950),".",""),"-","")," ",""))))</f>
        <v/>
      </c>
    </row>
    <row r="1951" customFormat="false" ht="15" hidden="false" customHeight="false" outlineLevel="0" collapsed="false">
      <c r="B1951" s="80"/>
      <c r="C1951" s="58"/>
      <c r="D1951" s="62" t="str">
        <f aca="false">IF(C1951="","",IFERROR(INDEX(T_NOMBRE,MATCH(V1951,T_RUTN,0)),"⚠ RUT no está en Trabajadores"))</f>
        <v/>
      </c>
      <c r="E1951" s="61"/>
      <c r="F1951" s="61"/>
      <c r="G1951" s="61"/>
      <c r="H1951" s="61"/>
      <c r="I1951" s="81"/>
      <c r="J1951" s="81"/>
      <c r="K1951" s="60"/>
      <c r="L1951" s="60"/>
      <c r="M1951" s="60"/>
      <c r="N1951" s="60"/>
      <c r="O1951" s="60"/>
      <c r="P1951" s="60"/>
      <c r="Q1951" s="60"/>
      <c r="R1951" s="58"/>
      <c r="S1951" s="62" t="str">
        <f aca="false">IF(OR(B1951="",V1951=""),"",IFERROR(INDEX(C_TIPO,MATCH(V1951&amp;"-P"&amp;MAX(1,COUNTIFS(C_RUTN,V1951,C_DEF,"Sí",C_INI,"&lt;="&amp;EOMONTH(B1951,0))),C_CLAVE,0))&amp;"","Sin contrato"))</f>
        <v/>
      </c>
      <c r="T1951" s="63" t="str">
        <f aca="false">IF(OR(B1951="",N(O1951)=0),"",N(O1951)+ROUND(MIN(N(N1951),TOPE_UF*UF_MES)*(TASA_EMP+MUTUAL),0)+ROUND(MIN(N(N1951),TOPE_AFC_UF*UF_MES)*IF(S1951="Indefinido",AFC_INDEF,AFC_PF),0))</f>
        <v/>
      </c>
      <c r="U1951" s="62" t="str">
        <f aca="false">IF(C1951="","",IF(LEFT(D1951,1)="⚠","⚠ RUT no registrado en Trabajadores",IF(B1951="","⚠ Falta el mes",IF(OR(ISTEXT(I1951),ISTEXT(J1951)),"⚠ Atrasos u horas extra como texto: escriba hh:mm (ej. 1:30)",IF(AND(ISNUMBER(Q1951),COUNTIFS(M_RUTN,V1951,M_MES,B1951,M_LIQ,"&lt;&gt;")&gt;1),"⚠ Liquidación repetida en el mes",IF(AND(ISNUMBER(O1951),ISNUMBER(P1951),ISNUMBER(Q1951),ABS(O1951-P1951-Q1951)&gt;1),"⚠ Haberes − descuentos no da el líquido","OK"))))))</f>
        <v/>
      </c>
      <c r="V1951" s="62" t="str">
        <f aca="false">IF(C1951="","",IFERROR(VALUE(LEFT(UPPER(SUBSTITUTE(SUBSTITUTE(SUBSTITUTE(TRIM(C1951),".",""),"-","")," ","")),LEN(UPPER(SUBSTITUTE(SUBSTITUTE(SUBSTITUTE(TRIM(C1951),".",""),"-","")," ","")))-1))&amp;RIGHT(UPPER(SUBSTITUTE(SUBSTITUTE(SUBSTITUTE(TRIM(C1951),".",""),"-","")," ","")),1),UPPER(SUBSTITUTE(SUBSTITUTE(SUBSTITUTE(TRIM(C1951),".",""),"-","")," ",""))))</f>
        <v/>
      </c>
    </row>
    <row r="1952" customFormat="false" ht="15" hidden="false" customHeight="false" outlineLevel="0" collapsed="false">
      <c r="B1952" s="80"/>
      <c r="C1952" s="58"/>
      <c r="D1952" s="62" t="str">
        <f aca="false">IF(C1952="","",IFERROR(INDEX(T_NOMBRE,MATCH(V1952,T_RUTN,0)),"⚠ RUT no está en Trabajadores"))</f>
        <v/>
      </c>
      <c r="E1952" s="61"/>
      <c r="F1952" s="61"/>
      <c r="G1952" s="61"/>
      <c r="H1952" s="61"/>
      <c r="I1952" s="81"/>
      <c r="J1952" s="81"/>
      <c r="K1952" s="60"/>
      <c r="L1952" s="60"/>
      <c r="M1952" s="60"/>
      <c r="N1952" s="60"/>
      <c r="O1952" s="60"/>
      <c r="P1952" s="60"/>
      <c r="Q1952" s="60"/>
      <c r="R1952" s="58"/>
      <c r="S1952" s="62" t="str">
        <f aca="false">IF(OR(B1952="",V1952=""),"",IFERROR(INDEX(C_TIPO,MATCH(V1952&amp;"-P"&amp;MAX(1,COUNTIFS(C_RUTN,V1952,C_DEF,"Sí",C_INI,"&lt;="&amp;EOMONTH(B1952,0))),C_CLAVE,0))&amp;"","Sin contrato"))</f>
        <v/>
      </c>
      <c r="T1952" s="63" t="str">
        <f aca="false">IF(OR(B1952="",N(O1952)=0),"",N(O1952)+ROUND(MIN(N(N1952),TOPE_UF*UF_MES)*(TASA_EMP+MUTUAL),0)+ROUND(MIN(N(N1952),TOPE_AFC_UF*UF_MES)*IF(S1952="Indefinido",AFC_INDEF,AFC_PF),0))</f>
        <v/>
      </c>
      <c r="U1952" s="62" t="str">
        <f aca="false">IF(C1952="","",IF(LEFT(D1952,1)="⚠","⚠ RUT no registrado en Trabajadores",IF(B1952="","⚠ Falta el mes",IF(OR(ISTEXT(I1952),ISTEXT(J1952)),"⚠ Atrasos u horas extra como texto: escriba hh:mm (ej. 1:30)",IF(AND(ISNUMBER(Q1952),COUNTIFS(M_RUTN,V1952,M_MES,B1952,M_LIQ,"&lt;&gt;")&gt;1),"⚠ Liquidación repetida en el mes",IF(AND(ISNUMBER(O1952),ISNUMBER(P1952),ISNUMBER(Q1952),ABS(O1952-P1952-Q1952)&gt;1),"⚠ Haberes − descuentos no da el líquido","OK"))))))</f>
        <v/>
      </c>
      <c r="V1952" s="62" t="str">
        <f aca="false">IF(C1952="","",IFERROR(VALUE(LEFT(UPPER(SUBSTITUTE(SUBSTITUTE(SUBSTITUTE(TRIM(C1952),".",""),"-","")," ","")),LEN(UPPER(SUBSTITUTE(SUBSTITUTE(SUBSTITUTE(TRIM(C1952),".",""),"-","")," ","")))-1))&amp;RIGHT(UPPER(SUBSTITUTE(SUBSTITUTE(SUBSTITUTE(TRIM(C1952),".",""),"-","")," ","")),1),UPPER(SUBSTITUTE(SUBSTITUTE(SUBSTITUTE(TRIM(C1952),".",""),"-","")," ",""))))</f>
        <v/>
      </c>
    </row>
    <row r="1953" customFormat="false" ht="15" hidden="false" customHeight="false" outlineLevel="0" collapsed="false">
      <c r="B1953" s="80"/>
      <c r="C1953" s="58"/>
      <c r="D1953" s="62" t="str">
        <f aca="false">IF(C1953="","",IFERROR(INDEX(T_NOMBRE,MATCH(V1953,T_RUTN,0)),"⚠ RUT no está en Trabajadores"))</f>
        <v/>
      </c>
      <c r="E1953" s="61"/>
      <c r="F1953" s="61"/>
      <c r="G1953" s="61"/>
      <c r="H1953" s="61"/>
      <c r="I1953" s="81"/>
      <c r="J1953" s="81"/>
      <c r="K1953" s="60"/>
      <c r="L1953" s="60"/>
      <c r="M1953" s="60"/>
      <c r="N1953" s="60"/>
      <c r="O1953" s="60"/>
      <c r="P1953" s="60"/>
      <c r="Q1953" s="60"/>
      <c r="R1953" s="58"/>
      <c r="S1953" s="62" t="str">
        <f aca="false">IF(OR(B1953="",V1953=""),"",IFERROR(INDEX(C_TIPO,MATCH(V1953&amp;"-P"&amp;MAX(1,COUNTIFS(C_RUTN,V1953,C_DEF,"Sí",C_INI,"&lt;="&amp;EOMONTH(B1953,0))),C_CLAVE,0))&amp;"","Sin contrato"))</f>
        <v/>
      </c>
      <c r="T1953" s="63" t="str">
        <f aca="false">IF(OR(B1953="",N(O1953)=0),"",N(O1953)+ROUND(MIN(N(N1953),TOPE_UF*UF_MES)*(TASA_EMP+MUTUAL),0)+ROUND(MIN(N(N1953),TOPE_AFC_UF*UF_MES)*IF(S1953="Indefinido",AFC_INDEF,AFC_PF),0))</f>
        <v/>
      </c>
      <c r="U1953" s="62" t="str">
        <f aca="false">IF(C1953="","",IF(LEFT(D1953,1)="⚠","⚠ RUT no registrado en Trabajadores",IF(B1953="","⚠ Falta el mes",IF(OR(ISTEXT(I1953),ISTEXT(J1953)),"⚠ Atrasos u horas extra como texto: escriba hh:mm (ej. 1:30)",IF(AND(ISNUMBER(Q1953),COUNTIFS(M_RUTN,V1953,M_MES,B1953,M_LIQ,"&lt;&gt;")&gt;1),"⚠ Liquidación repetida en el mes",IF(AND(ISNUMBER(O1953),ISNUMBER(P1953),ISNUMBER(Q1953),ABS(O1953-P1953-Q1953)&gt;1),"⚠ Haberes − descuentos no da el líquido","OK"))))))</f>
        <v/>
      </c>
      <c r="V1953" s="62" t="str">
        <f aca="false">IF(C1953="","",IFERROR(VALUE(LEFT(UPPER(SUBSTITUTE(SUBSTITUTE(SUBSTITUTE(TRIM(C1953),".",""),"-","")," ","")),LEN(UPPER(SUBSTITUTE(SUBSTITUTE(SUBSTITUTE(TRIM(C1953),".",""),"-","")," ","")))-1))&amp;RIGHT(UPPER(SUBSTITUTE(SUBSTITUTE(SUBSTITUTE(TRIM(C1953),".",""),"-","")," ","")),1),UPPER(SUBSTITUTE(SUBSTITUTE(SUBSTITUTE(TRIM(C1953),".",""),"-","")," ",""))))</f>
        <v/>
      </c>
    </row>
    <row r="1954" customFormat="false" ht="15" hidden="false" customHeight="false" outlineLevel="0" collapsed="false">
      <c r="B1954" s="80"/>
      <c r="C1954" s="58"/>
      <c r="D1954" s="62" t="str">
        <f aca="false">IF(C1954="","",IFERROR(INDEX(T_NOMBRE,MATCH(V1954,T_RUTN,0)),"⚠ RUT no está en Trabajadores"))</f>
        <v/>
      </c>
      <c r="E1954" s="61"/>
      <c r="F1954" s="61"/>
      <c r="G1954" s="61"/>
      <c r="H1954" s="61"/>
      <c r="I1954" s="81"/>
      <c r="J1954" s="81"/>
      <c r="K1954" s="60"/>
      <c r="L1954" s="60"/>
      <c r="M1954" s="60"/>
      <c r="N1954" s="60"/>
      <c r="O1954" s="60"/>
      <c r="P1954" s="60"/>
      <c r="Q1954" s="60"/>
      <c r="R1954" s="58"/>
      <c r="S1954" s="62" t="str">
        <f aca="false">IF(OR(B1954="",V1954=""),"",IFERROR(INDEX(C_TIPO,MATCH(V1954&amp;"-P"&amp;MAX(1,COUNTIFS(C_RUTN,V1954,C_DEF,"Sí",C_INI,"&lt;="&amp;EOMONTH(B1954,0))),C_CLAVE,0))&amp;"","Sin contrato"))</f>
        <v/>
      </c>
      <c r="T1954" s="63" t="str">
        <f aca="false">IF(OR(B1954="",N(O1954)=0),"",N(O1954)+ROUND(MIN(N(N1954),TOPE_UF*UF_MES)*(TASA_EMP+MUTUAL),0)+ROUND(MIN(N(N1954),TOPE_AFC_UF*UF_MES)*IF(S1954="Indefinido",AFC_INDEF,AFC_PF),0))</f>
        <v/>
      </c>
      <c r="U1954" s="62" t="str">
        <f aca="false">IF(C1954="","",IF(LEFT(D1954,1)="⚠","⚠ RUT no registrado en Trabajadores",IF(B1954="","⚠ Falta el mes",IF(OR(ISTEXT(I1954),ISTEXT(J1954)),"⚠ Atrasos u horas extra como texto: escriba hh:mm (ej. 1:30)",IF(AND(ISNUMBER(Q1954),COUNTIFS(M_RUTN,V1954,M_MES,B1954,M_LIQ,"&lt;&gt;")&gt;1),"⚠ Liquidación repetida en el mes",IF(AND(ISNUMBER(O1954),ISNUMBER(P1954),ISNUMBER(Q1954),ABS(O1954-P1954-Q1954)&gt;1),"⚠ Haberes − descuentos no da el líquido","OK"))))))</f>
        <v/>
      </c>
      <c r="V1954" s="62" t="str">
        <f aca="false">IF(C1954="","",IFERROR(VALUE(LEFT(UPPER(SUBSTITUTE(SUBSTITUTE(SUBSTITUTE(TRIM(C1954),".",""),"-","")," ","")),LEN(UPPER(SUBSTITUTE(SUBSTITUTE(SUBSTITUTE(TRIM(C1954),".",""),"-","")," ","")))-1))&amp;RIGHT(UPPER(SUBSTITUTE(SUBSTITUTE(SUBSTITUTE(TRIM(C1954),".",""),"-","")," ","")),1),UPPER(SUBSTITUTE(SUBSTITUTE(SUBSTITUTE(TRIM(C1954),".",""),"-","")," ",""))))</f>
        <v/>
      </c>
    </row>
    <row r="1955" customFormat="false" ht="15" hidden="false" customHeight="false" outlineLevel="0" collapsed="false">
      <c r="B1955" s="80"/>
      <c r="C1955" s="58"/>
      <c r="D1955" s="62" t="str">
        <f aca="false">IF(C1955="","",IFERROR(INDEX(T_NOMBRE,MATCH(V1955,T_RUTN,0)),"⚠ RUT no está en Trabajadores"))</f>
        <v/>
      </c>
      <c r="E1955" s="61"/>
      <c r="F1955" s="61"/>
      <c r="G1955" s="61"/>
      <c r="H1955" s="61"/>
      <c r="I1955" s="81"/>
      <c r="J1955" s="81"/>
      <c r="K1955" s="60"/>
      <c r="L1955" s="60"/>
      <c r="M1955" s="60"/>
      <c r="N1955" s="60"/>
      <c r="O1955" s="60"/>
      <c r="P1955" s="60"/>
      <c r="Q1955" s="60"/>
      <c r="R1955" s="58"/>
      <c r="S1955" s="62" t="str">
        <f aca="false">IF(OR(B1955="",V1955=""),"",IFERROR(INDEX(C_TIPO,MATCH(V1955&amp;"-P"&amp;MAX(1,COUNTIFS(C_RUTN,V1955,C_DEF,"Sí",C_INI,"&lt;="&amp;EOMONTH(B1955,0))),C_CLAVE,0))&amp;"","Sin contrato"))</f>
        <v/>
      </c>
      <c r="T1955" s="63" t="str">
        <f aca="false">IF(OR(B1955="",N(O1955)=0),"",N(O1955)+ROUND(MIN(N(N1955),TOPE_UF*UF_MES)*(TASA_EMP+MUTUAL),0)+ROUND(MIN(N(N1955),TOPE_AFC_UF*UF_MES)*IF(S1955="Indefinido",AFC_INDEF,AFC_PF),0))</f>
        <v/>
      </c>
      <c r="U1955" s="62" t="str">
        <f aca="false">IF(C1955="","",IF(LEFT(D1955,1)="⚠","⚠ RUT no registrado en Trabajadores",IF(B1955="","⚠ Falta el mes",IF(OR(ISTEXT(I1955),ISTEXT(J1955)),"⚠ Atrasos u horas extra como texto: escriba hh:mm (ej. 1:30)",IF(AND(ISNUMBER(Q1955),COUNTIFS(M_RUTN,V1955,M_MES,B1955,M_LIQ,"&lt;&gt;")&gt;1),"⚠ Liquidación repetida en el mes",IF(AND(ISNUMBER(O1955),ISNUMBER(P1955),ISNUMBER(Q1955),ABS(O1955-P1955-Q1955)&gt;1),"⚠ Haberes − descuentos no da el líquido","OK"))))))</f>
        <v/>
      </c>
      <c r="V1955" s="62" t="str">
        <f aca="false">IF(C1955="","",IFERROR(VALUE(LEFT(UPPER(SUBSTITUTE(SUBSTITUTE(SUBSTITUTE(TRIM(C1955),".",""),"-","")," ","")),LEN(UPPER(SUBSTITUTE(SUBSTITUTE(SUBSTITUTE(TRIM(C1955),".",""),"-","")," ","")))-1))&amp;RIGHT(UPPER(SUBSTITUTE(SUBSTITUTE(SUBSTITUTE(TRIM(C1955),".",""),"-","")," ","")),1),UPPER(SUBSTITUTE(SUBSTITUTE(SUBSTITUTE(TRIM(C1955),".",""),"-","")," ",""))))</f>
        <v/>
      </c>
    </row>
    <row r="1956" customFormat="false" ht="15" hidden="false" customHeight="false" outlineLevel="0" collapsed="false">
      <c r="B1956" s="80"/>
      <c r="C1956" s="58"/>
      <c r="D1956" s="62" t="str">
        <f aca="false">IF(C1956="","",IFERROR(INDEX(T_NOMBRE,MATCH(V1956,T_RUTN,0)),"⚠ RUT no está en Trabajadores"))</f>
        <v/>
      </c>
      <c r="E1956" s="61"/>
      <c r="F1956" s="61"/>
      <c r="G1956" s="61"/>
      <c r="H1956" s="61"/>
      <c r="I1956" s="81"/>
      <c r="J1956" s="81"/>
      <c r="K1956" s="60"/>
      <c r="L1956" s="60"/>
      <c r="M1956" s="60"/>
      <c r="N1956" s="60"/>
      <c r="O1956" s="60"/>
      <c r="P1956" s="60"/>
      <c r="Q1956" s="60"/>
      <c r="R1956" s="58"/>
      <c r="S1956" s="62" t="str">
        <f aca="false">IF(OR(B1956="",V1956=""),"",IFERROR(INDEX(C_TIPO,MATCH(V1956&amp;"-P"&amp;MAX(1,COUNTIFS(C_RUTN,V1956,C_DEF,"Sí",C_INI,"&lt;="&amp;EOMONTH(B1956,0))),C_CLAVE,0))&amp;"","Sin contrato"))</f>
        <v/>
      </c>
      <c r="T1956" s="63" t="str">
        <f aca="false">IF(OR(B1956="",N(O1956)=0),"",N(O1956)+ROUND(MIN(N(N1956),TOPE_UF*UF_MES)*(TASA_EMP+MUTUAL),0)+ROUND(MIN(N(N1956),TOPE_AFC_UF*UF_MES)*IF(S1956="Indefinido",AFC_INDEF,AFC_PF),0))</f>
        <v/>
      </c>
      <c r="U1956" s="62" t="str">
        <f aca="false">IF(C1956="","",IF(LEFT(D1956,1)="⚠","⚠ RUT no registrado en Trabajadores",IF(B1956="","⚠ Falta el mes",IF(OR(ISTEXT(I1956),ISTEXT(J1956)),"⚠ Atrasos u horas extra como texto: escriba hh:mm (ej. 1:30)",IF(AND(ISNUMBER(Q1956),COUNTIFS(M_RUTN,V1956,M_MES,B1956,M_LIQ,"&lt;&gt;")&gt;1),"⚠ Liquidación repetida en el mes",IF(AND(ISNUMBER(O1956),ISNUMBER(P1956),ISNUMBER(Q1956),ABS(O1956-P1956-Q1956)&gt;1),"⚠ Haberes − descuentos no da el líquido","OK"))))))</f>
        <v/>
      </c>
      <c r="V1956" s="62" t="str">
        <f aca="false">IF(C1956="","",IFERROR(VALUE(LEFT(UPPER(SUBSTITUTE(SUBSTITUTE(SUBSTITUTE(TRIM(C1956),".",""),"-","")," ","")),LEN(UPPER(SUBSTITUTE(SUBSTITUTE(SUBSTITUTE(TRIM(C1956),".",""),"-","")," ","")))-1))&amp;RIGHT(UPPER(SUBSTITUTE(SUBSTITUTE(SUBSTITUTE(TRIM(C1956),".",""),"-","")," ","")),1),UPPER(SUBSTITUTE(SUBSTITUTE(SUBSTITUTE(TRIM(C1956),".",""),"-","")," ",""))))</f>
        <v/>
      </c>
    </row>
    <row r="1957" customFormat="false" ht="15" hidden="false" customHeight="false" outlineLevel="0" collapsed="false">
      <c r="B1957" s="80"/>
      <c r="C1957" s="58"/>
      <c r="D1957" s="62" t="str">
        <f aca="false">IF(C1957="","",IFERROR(INDEX(T_NOMBRE,MATCH(V1957,T_RUTN,0)),"⚠ RUT no está en Trabajadores"))</f>
        <v/>
      </c>
      <c r="E1957" s="61"/>
      <c r="F1957" s="61"/>
      <c r="G1957" s="61"/>
      <c r="H1957" s="61"/>
      <c r="I1957" s="81"/>
      <c r="J1957" s="81"/>
      <c r="K1957" s="60"/>
      <c r="L1957" s="60"/>
      <c r="M1957" s="60"/>
      <c r="N1957" s="60"/>
      <c r="O1957" s="60"/>
      <c r="P1957" s="60"/>
      <c r="Q1957" s="60"/>
      <c r="R1957" s="58"/>
      <c r="S1957" s="62" t="str">
        <f aca="false">IF(OR(B1957="",V1957=""),"",IFERROR(INDEX(C_TIPO,MATCH(V1957&amp;"-P"&amp;MAX(1,COUNTIFS(C_RUTN,V1957,C_DEF,"Sí",C_INI,"&lt;="&amp;EOMONTH(B1957,0))),C_CLAVE,0))&amp;"","Sin contrato"))</f>
        <v/>
      </c>
      <c r="T1957" s="63" t="str">
        <f aca="false">IF(OR(B1957="",N(O1957)=0),"",N(O1957)+ROUND(MIN(N(N1957),TOPE_UF*UF_MES)*(TASA_EMP+MUTUAL),0)+ROUND(MIN(N(N1957),TOPE_AFC_UF*UF_MES)*IF(S1957="Indefinido",AFC_INDEF,AFC_PF),0))</f>
        <v/>
      </c>
      <c r="U1957" s="62" t="str">
        <f aca="false">IF(C1957="","",IF(LEFT(D1957,1)="⚠","⚠ RUT no registrado en Trabajadores",IF(B1957="","⚠ Falta el mes",IF(OR(ISTEXT(I1957),ISTEXT(J1957)),"⚠ Atrasos u horas extra como texto: escriba hh:mm (ej. 1:30)",IF(AND(ISNUMBER(Q1957),COUNTIFS(M_RUTN,V1957,M_MES,B1957,M_LIQ,"&lt;&gt;")&gt;1),"⚠ Liquidación repetida en el mes",IF(AND(ISNUMBER(O1957),ISNUMBER(P1957),ISNUMBER(Q1957),ABS(O1957-P1957-Q1957)&gt;1),"⚠ Haberes − descuentos no da el líquido","OK"))))))</f>
        <v/>
      </c>
      <c r="V1957" s="62" t="str">
        <f aca="false">IF(C1957="","",IFERROR(VALUE(LEFT(UPPER(SUBSTITUTE(SUBSTITUTE(SUBSTITUTE(TRIM(C1957),".",""),"-","")," ","")),LEN(UPPER(SUBSTITUTE(SUBSTITUTE(SUBSTITUTE(TRIM(C1957),".",""),"-","")," ","")))-1))&amp;RIGHT(UPPER(SUBSTITUTE(SUBSTITUTE(SUBSTITUTE(TRIM(C1957),".",""),"-","")," ","")),1),UPPER(SUBSTITUTE(SUBSTITUTE(SUBSTITUTE(TRIM(C1957),".",""),"-","")," ",""))))</f>
        <v/>
      </c>
    </row>
    <row r="1958" customFormat="false" ht="15" hidden="false" customHeight="false" outlineLevel="0" collapsed="false">
      <c r="B1958" s="80"/>
      <c r="C1958" s="58"/>
      <c r="D1958" s="62" t="str">
        <f aca="false">IF(C1958="","",IFERROR(INDEX(T_NOMBRE,MATCH(V1958,T_RUTN,0)),"⚠ RUT no está en Trabajadores"))</f>
        <v/>
      </c>
      <c r="E1958" s="61"/>
      <c r="F1958" s="61"/>
      <c r="G1958" s="61"/>
      <c r="H1958" s="61"/>
      <c r="I1958" s="81"/>
      <c r="J1958" s="81"/>
      <c r="K1958" s="60"/>
      <c r="L1958" s="60"/>
      <c r="M1958" s="60"/>
      <c r="N1958" s="60"/>
      <c r="O1958" s="60"/>
      <c r="P1958" s="60"/>
      <c r="Q1958" s="60"/>
      <c r="R1958" s="58"/>
      <c r="S1958" s="62" t="str">
        <f aca="false">IF(OR(B1958="",V1958=""),"",IFERROR(INDEX(C_TIPO,MATCH(V1958&amp;"-P"&amp;MAX(1,COUNTIFS(C_RUTN,V1958,C_DEF,"Sí",C_INI,"&lt;="&amp;EOMONTH(B1958,0))),C_CLAVE,0))&amp;"","Sin contrato"))</f>
        <v/>
      </c>
      <c r="T1958" s="63" t="str">
        <f aca="false">IF(OR(B1958="",N(O1958)=0),"",N(O1958)+ROUND(MIN(N(N1958),TOPE_UF*UF_MES)*(TASA_EMP+MUTUAL),0)+ROUND(MIN(N(N1958),TOPE_AFC_UF*UF_MES)*IF(S1958="Indefinido",AFC_INDEF,AFC_PF),0))</f>
        <v/>
      </c>
      <c r="U1958" s="62" t="str">
        <f aca="false">IF(C1958="","",IF(LEFT(D1958,1)="⚠","⚠ RUT no registrado en Trabajadores",IF(B1958="","⚠ Falta el mes",IF(OR(ISTEXT(I1958),ISTEXT(J1958)),"⚠ Atrasos u horas extra como texto: escriba hh:mm (ej. 1:30)",IF(AND(ISNUMBER(Q1958),COUNTIFS(M_RUTN,V1958,M_MES,B1958,M_LIQ,"&lt;&gt;")&gt;1),"⚠ Liquidación repetida en el mes",IF(AND(ISNUMBER(O1958),ISNUMBER(P1958),ISNUMBER(Q1958),ABS(O1958-P1958-Q1958)&gt;1),"⚠ Haberes − descuentos no da el líquido","OK"))))))</f>
        <v/>
      </c>
      <c r="V1958" s="62" t="str">
        <f aca="false">IF(C1958="","",IFERROR(VALUE(LEFT(UPPER(SUBSTITUTE(SUBSTITUTE(SUBSTITUTE(TRIM(C1958),".",""),"-","")," ","")),LEN(UPPER(SUBSTITUTE(SUBSTITUTE(SUBSTITUTE(TRIM(C1958),".",""),"-","")," ","")))-1))&amp;RIGHT(UPPER(SUBSTITUTE(SUBSTITUTE(SUBSTITUTE(TRIM(C1958),".",""),"-","")," ","")),1),UPPER(SUBSTITUTE(SUBSTITUTE(SUBSTITUTE(TRIM(C1958),".",""),"-","")," ",""))))</f>
        <v/>
      </c>
    </row>
    <row r="1959" customFormat="false" ht="15" hidden="false" customHeight="false" outlineLevel="0" collapsed="false">
      <c r="B1959" s="80"/>
      <c r="C1959" s="58"/>
      <c r="D1959" s="62" t="str">
        <f aca="false">IF(C1959="","",IFERROR(INDEX(T_NOMBRE,MATCH(V1959,T_RUTN,0)),"⚠ RUT no está en Trabajadores"))</f>
        <v/>
      </c>
      <c r="E1959" s="61"/>
      <c r="F1959" s="61"/>
      <c r="G1959" s="61"/>
      <c r="H1959" s="61"/>
      <c r="I1959" s="81"/>
      <c r="J1959" s="81"/>
      <c r="K1959" s="60"/>
      <c r="L1959" s="60"/>
      <c r="M1959" s="60"/>
      <c r="N1959" s="60"/>
      <c r="O1959" s="60"/>
      <c r="P1959" s="60"/>
      <c r="Q1959" s="60"/>
      <c r="R1959" s="58"/>
      <c r="S1959" s="62" t="str">
        <f aca="false">IF(OR(B1959="",V1959=""),"",IFERROR(INDEX(C_TIPO,MATCH(V1959&amp;"-P"&amp;MAX(1,COUNTIFS(C_RUTN,V1959,C_DEF,"Sí",C_INI,"&lt;="&amp;EOMONTH(B1959,0))),C_CLAVE,0))&amp;"","Sin contrato"))</f>
        <v/>
      </c>
      <c r="T1959" s="63" t="str">
        <f aca="false">IF(OR(B1959="",N(O1959)=0),"",N(O1959)+ROUND(MIN(N(N1959),TOPE_UF*UF_MES)*(TASA_EMP+MUTUAL),0)+ROUND(MIN(N(N1959),TOPE_AFC_UF*UF_MES)*IF(S1959="Indefinido",AFC_INDEF,AFC_PF),0))</f>
        <v/>
      </c>
      <c r="U1959" s="62" t="str">
        <f aca="false">IF(C1959="","",IF(LEFT(D1959,1)="⚠","⚠ RUT no registrado en Trabajadores",IF(B1959="","⚠ Falta el mes",IF(OR(ISTEXT(I1959),ISTEXT(J1959)),"⚠ Atrasos u horas extra como texto: escriba hh:mm (ej. 1:30)",IF(AND(ISNUMBER(Q1959),COUNTIFS(M_RUTN,V1959,M_MES,B1959,M_LIQ,"&lt;&gt;")&gt;1),"⚠ Liquidación repetida en el mes",IF(AND(ISNUMBER(O1959),ISNUMBER(P1959),ISNUMBER(Q1959),ABS(O1959-P1959-Q1959)&gt;1),"⚠ Haberes − descuentos no da el líquido","OK"))))))</f>
        <v/>
      </c>
      <c r="V1959" s="62" t="str">
        <f aca="false">IF(C1959="","",IFERROR(VALUE(LEFT(UPPER(SUBSTITUTE(SUBSTITUTE(SUBSTITUTE(TRIM(C1959),".",""),"-","")," ","")),LEN(UPPER(SUBSTITUTE(SUBSTITUTE(SUBSTITUTE(TRIM(C1959),".",""),"-","")," ","")))-1))&amp;RIGHT(UPPER(SUBSTITUTE(SUBSTITUTE(SUBSTITUTE(TRIM(C1959),".",""),"-","")," ","")),1),UPPER(SUBSTITUTE(SUBSTITUTE(SUBSTITUTE(TRIM(C1959),".",""),"-","")," ",""))))</f>
        <v/>
      </c>
    </row>
    <row r="1960" customFormat="false" ht="15" hidden="false" customHeight="false" outlineLevel="0" collapsed="false">
      <c r="B1960" s="80"/>
      <c r="C1960" s="58"/>
      <c r="D1960" s="62" t="str">
        <f aca="false">IF(C1960="","",IFERROR(INDEX(T_NOMBRE,MATCH(V1960,T_RUTN,0)),"⚠ RUT no está en Trabajadores"))</f>
        <v/>
      </c>
      <c r="E1960" s="61"/>
      <c r="F1960" s="61"/>
      <c r="G1960" s="61"/>
      <c r="H1960" s="61"/>
      <c r="I1960" s="81"/>
      <c r="J1960" s="81"/>
      <c r="K1960" s="60"/>
      <c r="L1960" s="60"/>
      <c r="M1960" s="60"/>
      <c r="N1960" s="60"/>
      <c r="O1960" s="60"/>
      <c r="P1960" s="60"/>
      <c r="Q1960" s="60"/>
      <c r="R1960" s="58"/>
      <c r="S1960" s="62" t="str">
        <f aca="false">IF(OR(B1960="",V1960=""),"",IFERROR(INDEX(C_TIPO,MATCH(V1960&amp;"-P"&amp;MAX(1,COUNTIFS(C_RUTN,V1960,C_DEF,"Sí",C_INI,"&lt;="&amp;EOMONTH(B1960,0))),C_CLAVE,0))&amp;"","Sin contrato"))</f>
        <v/>
      </c>
      <c r="T1960" s="63" t="str">
        <f aca="false">IF(OR(B1960="",N(O1960)=0),"",N(O1960)+ROUND(MIN(N(N1960),TOPE_UF*UF_MES)*(TASA_EMP+MUTUAL),0)+ROUND(MIN(N(N1960),TOPE_AFC_UF*UF_MES)*IF(S1960="Indefinido",AFC_INDEF,AFC_PF),0))</f>
        <v/>
      </c>
      <c r="U1960" s="62" t="str">
        <f aca="false">IF(C1960="","",IF(LEFT(D1960,1)="⚠","⚠ RUT no registrado en Trabajadores",IF(B1960="","⚠ Falta el mes",IF(OR(ISTEXT(I1960),ISTEXT(J1960)),"⚠ Atrasos u horas extra como texto: escriba hh:mm (ej. 1:30)",IF(AND(ISNUMBER(Q1960),COUNTIFS(M_RUTN,V1960,M_MES,B1960,M_LIQ,"&lt;&gt;")&gt;1),"⚠ Liquidación repetida en el mes",IF(AND(ISNUMBER(O1960),ISNUMBER(P1960),ISNUMBER(Q1960),ABS(O1960-P1960-Q1960)&gt;1),"⚠ Haberes − descuentos no da el líquido","OK"))))))</f>
        <v/>
      </c>
      <c r="V1960" s="62" t="str">
        <f aca="false">IF(C1960="","",IFERROR(VALUE(LEFT(UPPER(SUBSTITUTE(SUBSTITUTE(SUBSTITUTE(TRIM(C1960),".",""),"-","")," ","")),LEN(UPPER(SUBSTITUTE(SUBSTITUTE(SUBSTITUTE(TRIM(C1960),".",""),"-","")," ","")))-1))&amp;RIGHT(UPPER(SUBSTITUTE(SUBSTITUTE(SUBSTITUTE(TRIM(C1960),".",""),"-","")," ","")),1),UPPER(SUBSTITUTE(SUBSTITUTE(SUBSTITUTE(TRIM(C1960),".",""),"-","")," ",""))))</f>
        <v/>
      </c>
    </row>
    <row r="1961" customFormat="false" ht="15" hidden="false" customHeight="false" outlineLevel="0" collapsed="false">
      <c r="B1961" s="80"/>
      <c r="C1961" s="58"/>
      <c r="D1961" s="62" t="str">
        <f aca="false">IF(C1961="","",IFERROR(INDEX(T_NOMBRE,MATCH(V1961,T_RUTN,0)),"⚠ RUT no está en Trabajadores"))</f>
        <v/>
      </c>
      <c r="E1961" s="61"/>
      <c r="F1961" s="61"/>
      <c r="G1961" s="61"/>
      <c r="H1961" s="61"/>
      <c r="I1961" s="81"/>
      <c r="J1961" s="81"/>
      <c r="K1961" s="60"/>
      <c r="L1961" s="60"/>
      <c r="M1961" s="60"/>
      <c r="N1961" s="60"/>
      <c r="O1961" s="60"/>
      <c r="P1961" s="60"/>
      <c r="Q1961" s="60"/>
      <c r="R1961" s="58"/>
      <c r="S1961" s="62" t="str">
        <f aca="false">IF(OR(B1961="",V1961=""),"",IFERROR(INDEX(C_TIPO,MATCH(V1961&amp;"-P"&amp;MAX(1,COUNTIFS(C_RUTN,V1961,C_DEF,"Sí",C_INI,"&lt;="&amp;EOMONTH(B1961,0))),C_CLAVE,0))&amp;"","Sin contrato"))</f>
        <v/>
      </c>
      <c r="T1961" s="63" t="str">
        <f aca="false">IF(OR(B1961="",N(O1961)=0),"",N(O1961)+ROUND(MIN(N(N1961),TOPE_UF*UF_MES)*(TASA_EMP+MUTUAL),0)+ROUND(MIN(N(N1961),TOPE_AFC_UF*UF_MES)*IF(S1961="Indefinido",AFC_INDEF,AFC_PF),0))</f>
        <v/>
      </c>
      <c r="U1961" s="62" t="str">
        <f aca="false">IF(C1961="","",IF(LEFT(D1961,1)="⚠","⚠ RUT no registrado en Trabajadores",IF(B1961="","⚠ Falta el mes",IF(OR(ISTEXT(I1961),ISTEXT(J1961)),"⚠ Atrasos u horas extra como texto: escriba hh:mm (ej. 1:30)",IF(AND(ISNUMBER(Q1961),COUNTIFS(M_RUTN,V1961,M_MES,B1961,M_LIQ,"&lt;&gt;")&gt;1),"⚠ Liquidación repetida en el mes",IF(AND(ISNUMBER(O1961),ISNUMBER(P1961),ISNUMBER(Q1961),ABS(O1961-P1961-Q1961)&gt;1),"⚠ Haberes − descuentos no da el líquido","OK"))))))</f>
        <v/>
      </c>
      <c r="V1961" s="62" t="str">
        <f aca="false">IF(C1961="","",IFERROR(VALUE(LEFT(UPPER(SUBSTITUTE(SUBSTITUTE(SUBSTITUTE(TRIM(C1961),".",""),"-","")," ","")),LEN(UPPER(SUBSTITUTE(SUBSTITUTE(SUBSTITUTE(TRIM(C1961),".",""),"-","")," ","")))-1))&amp;RIGHT(UPPER(SUBSTITUTE(SUBSTITUTE(SUBSTITUTE(TRIM(C1961),".",""),"-","")," ","")),1),UPPER(SUBSTITUTE(SUBSTITUTE(SUBSTITUTE(TRIM(C1961),".",""),"-","")," ",""))))</f>
        <v/>
      </c>
    </row>
    <row r="1962" customFormat="false" ht="15" hidden="false" customHeight="false" outlineLevel="0" collapsed="false">
      <c r="B1962" s="80"/>
      <c r="C1962" s="58"/>
      <c r="D1962" s="62" t="str">
        <f aca="false">IF(C1962="","",IFERROR(INDEX(T_NOMBRE,MATCH(V1962,T_RUTN,0)),"⚠ RUT no está en Trabajadores"))</f>
        <v/>
      </c>
      <c r="E1962" s="61"/>
      <c r="F1962" s="61"/>
      <c r="G1962" s="61"/>
      <c r="H1962" s="61"/>
      <c r="I1962" s="81"/>
      <c r="J1962" s="81"/>
      <c r="K1962" s="60"/>
      <c r="L1962" s="60"/>
      <c r="M1962" s="60"/>
      <c r="N1962" s="60"/>
      <c r="O1962" s="60"/>
      <c r="P1962" s="60"/>
      <c r="Q1962" s="60"/>
      <c r="R1962" s="58"/>
      <c r="S1962" s="62" t="str">
        <f aca="false">IF(OR(B1962="",V1962=""),"",IFERROR(INDEX(C_TIPO,MATCH(V1962&amp;"-P"&amp;MAX(1,COUNTIFS(C_RUTN,V1962,C_DEF,"Sí",C_INI,"&lt;="&amp;EOMONTH(B1962,0))),C_CLAVE,0))&amp;"","Sin contrato"))</f>
        <v/>
      </c>
      <c r="T1962" s="63" t="str">
        <f aca="false">IF(OR(B1962="",N(O1962)=0),"",N(O1962)+ROUND(MIN(N(N1962),TOPE_UF*UF_MES)*(TASA_EMP+MUTUAL),0)+ROUND(MIN(N(N1962),TOPE_AFC_UF*UF_MES)*IF(S1962="Indefinido",AFC_INDEF,AFC_PF),0))</f>
        <v/>
      </c>
      <c r="U1962" s="62" t="str">
        <f aca="false">IF(C1962="","",IF(LEFT(D1962,1)="⚠","⚠ RUT no registrado en Trabajadores",IF(B1962="","⚠ Falta el mes",IF(OR(ISTEXT(I1962),ISTEXT(J1962)),"⚠ Atrasos u horas extra como texto: escriba hh:mm (ej. 1:30)",IF(AND(ISNUMBER(Q1962),COUNTIFS(M_RUTN,V1962,M_MES,B1962,M_LIQ,"&lt;&gt;")&gt;1),"⚠ Liquidación repetida en el mes",IF(AND(ISNUMBER(O1962),ISNUMBER(P1962),ISNUMBER(Q1962),ABS(O1962-P1962-Q1962)&gt;1),"⚠ Haberes − descuentos no da el líquido","OK"))))))</f>
        <v/>
      </c>
      <c r="V1962" s="62" t="str">
        <f aca="false">IF(C1962="","",IFERROR(VALUE(LEFT(UPPER(SUBSTITUTE(SUBSTITUTE(SUBSTITUTE(TRIM(C1962),".",""),"-","")," ","")),LEN(UPPER(SUBSTITUTE(SUBSTITUTE(SUBSTITUTE(TRIM(C1962),".",""),"-","")," ","")))-1))&amp;RIGHT(UPPER(SUBSTITUTE(SUBSTITUTE(SUBSTITUTE(TRIM(C1962),".",""),"-","")," ","")),1),UPPER(SUBSTITUTE(SUBSTITUTE(SUBSTITUTE(TRIM(C1962),".",""),"-","")," ",""))))</f>
        <v/>
      </c>
    </row>
    <row r="1963" customFormat="false" ht="15" hidden="false" customHeight="false" outlineLevel="0" collapsed="false">
      <c r="B1963" s="80"/>
      <c r="C1963" s="58"/>
      <c r="D1963" s="62" t="str">
        <f aca="false">IF(C1963="","",IFERROR(INDEX(T_NOMBRE,MATCH(V1963,T_RUTN,0)),"⚠ RUT no está en Trabajadores"))</f>
        <v/>
      </c>
      <c r="E1963" s="61"/>
      <c r="F1963" s="61"/>
      <c r="G1963" s="61"/>
      <c r="H1963" s="61"/>
      <c r="I1963" s="81"/>
      <c r="J1963" s="81"/>
      <c r="K1963" s="60"/>
      <c r="L1963" s="60"/>
      <c r="M1963" s="60"/>
      <c r="N1963" s="60"/>
      <c r="O1963" s="60"/>
      <c r="P1963" s="60"/>
      <c r="Q1963" s="60"/>
      <c r="R1963" s="58"/>
      <c r="S1963" s="62" t="str">
        <f aca="false">IF(OR(B1963="",V1963=""),"",IFERROR(INDEX(C_TIPO,MATCH(V1963&amp;"-P"&amp;MAX(1,COUNTIFS(C_RUTN,V1963,C_DEF,"Sí",C_INI,"&lt;="&amp;EOMONTH(B1963,0))),C_CLAVE,0))&amp;"","Sin contrato"))</f>
        <v/>
      </c>
      <c r="T1963" s="63" t="str">
        <f aca="false">IF(OR(B1963="",N(O1963)=0),"",N(O1963)+ROUND(MIN(N(N1963),TOPE_UF*UF_MES)*(TASA_EMP+MUTUAL),0)+ROUND(MIN(N(N1963),TOPE_AFC_UF*UF_MES)*IF(S1963="Indefinido",AFC_INDEF,AFC_PF),0))</f>
        <v/>
      </c>
      <c r="U1963" s="62" t="str">
        <f aca="false">IF(C1963="","",IF(LEFT(D1963,1)="⚠","⚠ RUT no registrado en Trabajadores",IF(B1963="","⚠ Falta el mes",IF(OR(ISTEXT(I1963),ISTEXT(J1963)),"⚠ Atrasos u horas extra como texto: escriba hh:mm (ej. 1:30)",IF(AND(ISNUMBER(Q1963),COUNTIFS(M_RUTN,V1963,M_MES,B1963,M_LIQ,"&lt;&gt;")&gt;1),"⚠ Liquidación repetida en el mes",IF(AND(ISNUMBER(O1963),ISNUMBER(P1963),ISNUMBER(Q1963),ABS(O1963-P1963-Q1963)&gt;1),"⚠ Haberes − descuentos no da el líquido","OK"))))))</f>
        <v/>
      </c>
      <c r="V1963" s="62" t="str">
        <f aca="false">IF(C1963="","",IFERROR(VALUE(LEFT(UPPER(SUBSTITUTE(SUBSTITUTE(SUBSTITUTE(TRIM(C1963),".",""),"-","")," ","")),LEN(UPPER(SUBSTITUTE(SUBSTITUTE(SUBSTITUTE(TRIM(C1963),".",""),"-","")," ","")))-1))&amp;RIGHT(UPPER(SUBSTITUTE(SUBSTITUTE(SUBSTITUTE(TRIM(C1963),".",""),"-","")," ","")),1),UPPER(SUBSTITUTE(SUBSTITUTE(SUBSTITUTE(TRIM(C1963),".",""),"-","")," ",""))))</f>
        <v/>
      </c>
    </row>
    <row r="1964" customFormat="false" ht="15" hidden="false" customHeight="false" outlineLevel="0" collapsed="false">
      <c r="B1964" s="80"/>
      <c r="C1964" s="58"/>
      <c r="D1964" s="62" t="str">
        <f aca="false">IF(C1964="","",IFERROR(INDEX(T_NOMBRE,MATCH(V1964,T_RUTN,0)),"⚠ RUT no está en Trabajadores"))</f>
        <v/>
      </c>
      <c r="E1964" s="61"/>
      <c r="F1964" s="61"/>
      <c r="G1964" s="61"/>
      <c r="H1964" s="61"/>
      <c r="I1964" s="81"/>
      <c r="J1964" s="81"/>
      <c r="K1964" s="60"/>
      <c r="L1964" s="60"/>
      <c r="M1964" s="60"/>
      <c r="N1964" s="60"/>
      <c r="O1964" s="60"/>
      <c r="P1964" s="60"/>
      <c r="Q1964" s="60"/>
      <c r="R1964" s="58"/>
      <c r="S1964" s="62" t="str">
        <f aca="false">IF(OR(B1964="",V1964=""),"",IFERROR(INDEX(C_TIPO,MATCH(V1964&amp;"-P"&amp;MAX(1,COUNTIFS(C_RUTN,V1964,C_DEF,"Sí",C_INI,"&lt;="&amp;EOMONTH(B1964,0))),C_CLAVE,0))&amp;"","Sin contrato"))</f>
        <v/>
      </c>
      <c r="T1964" s="63" t="str">
        <f aca="false">IF(OR(B1964="",N(O1964)=0),"",N(O1964)+ROUND(MIN(N(N1964),TOPE_UF*UF_MES)*(TASA_EMP+MUTUAL),0)+ROUND(MIN(N(N1964),TOPE_AFC_UF*UF_MES)*IF(S1964="Indefinido",AFC_INDEF,AFC_PF),0))</f>
        <v/>
      </c>
      <c r="U1964" s="62" t="str">
        <f aca="false">IF(C1964="","",IF(LEFT(D1964,1)="⚠","⚠ RUT no registrado en Trabajadores",IF(B1964="","⚠ Falta el mes",IF(OR(ISTEXT(I1964),ISTEXT(J1964)),"⚠ Atrasos u horas extra como texto: escriba hh:mm (ej. 1:30)",IF(AND(ISNUMBER(Q1964),COUNTIFS(M_RUTN,V1964,M_MES,B1964,M_LIQ,"&lt;&gt;")&gt;1),"⚠ Liquidación repetida en el mes",IF(AND(ISNUMBER(O1964),ISNUMBER(P1964),ISNUMBER(Q1964),ABS(O1964-P1964-Q1964)&gt;1),"⚠ Haberes − descuentos no da el líquido","OK"))))))</f>
        <v/>
      </c>
      <c r="V1964" s="62" t="str">
        <f aca="false">IF(C1964="","",IFERROR(VALUE(LEFT(UPPER(SUBSTITUTE(SUBSTITUTE(SUBSTITUTE(TRIM(C1964),".",""),"-","")," ","")),LEN(UPPER(SUBSTITUTE(SUBSTITUTE(SUBSTITUTE(TRIM(C1964),".",""),"-","")," ","")))-1))&amp;RIGHT(UPPER(SUBSTITUTE(SUBSTITUTE(SUBSTITUTE(TRIM(C1964),".",""),"-","")," ","")),1),UPPER(SUBSTITUTE(SUBSTITUTE(SUBSTITUTE(TRIM(C1964),".",""),"-","")," ",""))))</f>
        <v/>
      </c>
    </row>
    <row r="1965" customFormat="false" ht="15" hidden="false" customHeight="false" outlineLevel="0" collapsed="false">
      <c r="B1965" s="80"/>
      <c r="C1965" s="58"/>
      <c r="D1965" s="62" t="str">
        <f aca="false">IF(C1965="","",IFERROR(INDEX(T_NOMBRE,MATCH(V1965,T_RUTN,0)),"⚠ RUT no está en Trabajadores"))</f>
        <v/>
      </c>
      <c r="E1965" s="61"/>
      <c r="F1965" s="61"/>
      <c r="G1965" s="61"/>
      <c r="H1965" s="61"/>
      <c r="I1965" s="81"/>
      <c r="J1965" s="81"/>
      <c r="K1965" s="60"/>
      <c r="L1965" s="60"/>
      <c r="M1965" s="60"/>
      <c r="N1965" s="60"/>
      <c r="O1965" s="60"/>
      <c r="P1965" s="60"/>
      <c r="Q1965" s="60"/>
      <c r="R1965" s="58"/>
      <c r="S1965" s="62" t="str">
        <f aca="false">IF(OR(B1965="",V1965=""),"",IFERROR(INDEX(C_TIPO,MATCH(V1965&amp;"-P"&amp;MAX(1,COUNTIFS(C_RUTN,V1965,C_DEF,"Sí",C_INI,"&lt;="&amp;EOMONTH(B1965,0))),C_CLAVE,0))&amp;"","Sin contrato"))</f>
        <v/>
      </c>
      <c r="T1965" s="63" t="str">
        <f aca="false">IF(OR(B1965="",N(O1965)=0),"",N(O1965)+ROUND(MIN(N(N1965),TOPE_UF*UF_MES)*(TASA_EMP+MUTUAL),0)+ROUND(MIN(N(N1965),TOPE_AFC_UF*UF_MES)*IF(S1965="Indefinido",AFC_INDEF,AFC_PF),0))</f>
        <v/>
      </c>
      <c r="U1965" s="62" t="str">
        <f aca="false">IF(C1965="","",IF(LEFT(D1965,1)="⚠","⚠ RUT no registrado en Trabajadores",IF(B1965="","⚠ Falta el mes",IF(OR(ISTEXT(I1965),ISTEXT(J1965)),"⚠ Atrasos u horas extra como texto: escriba hh:mm (ej. 1:30)",IF(AND(ISNUMBER(Q1965),COUNTIFS(M_RUTN,V1965,M_MES,B1965,M_LIQ,"&lt;&gt;")&gt;1),"⚠ Liquidación repetida en el mes",IF(AND(ISNUMBER(O1965),ISNUMBER(P1965),ISNUMBER(Q1965),ABS(O1965-P1965-Q1965)&gt;1),"⚠ Haberes − descuentos no da el líquido","OK"))))))</f>
        <v/>
      </c>
      <c r="V1965" s="62" t="str">
        <f aca="false">IF(C1965="","",IFERROR(VALUE(LEFT(UPPER(SUBSTITUTE(SUBSTITUTE(SUBSTITUTE(TRIM(C1965),".",""),"-","")," ","")),LEN(UPPER(SUBSTITUTE(SUBSTITUTE(SUBSTITUTE(TRIM(C1965),".",""),"-","")," ","")))-1))&amp;RIGHT(UPPER(SUBSTITUTE(SUBSTITUTE(SUBSTITUTE(TRIM(C1965),".",""),"-","")," ","")),1),UPPER(SUBSTITUTE(SUBSTITUTE(SUBSTITUTE(TRIM(C1965),".",""),"-","")," ",""))))</f>
        <v/>
      </c>
    </row>
    <row r="1966" customFormat="false" ht="15" hidden="false" customHeight="false" outlineLevel="0" collapsed="false">
      <c r="B1966" s="80"/>
      <c r="C1966" s="58"/>
      <c r="D1966" s="62" t="str">
        <f aca="false">IF(C1966="","",IFERROR(INDEX(T_NOMBRE,MATCH(V1966,T_RUTN,0)),"⚠ RUT no está en Trabajadores"))</f>
        <v/>
      </c>
      <c r="E1966" s="61"/>
      <c r="F1966" s="61"/>
      <c r="G1966" s="61"/>
      <c r="H1966" s="61"/>
      <c r="I1966" s="81"/>
      <c r="J1966" s="81"/>
      <c r="K1966" s="60"/>
      <c r="L1966" s="60"/>
      <c r="M1966" s="60"/>
      <c r="N1966" s="60"/>
      <c r="O1966" s="60"/>
      <c r="P1966" s="60"/>
      <c r="Q1966" s="60"/>
      <c r="R1966" s="58"/>
      <c r="S1966" s="62" t="str">
        <f aca="false">IF(OR(B1966="",V1966=""),"",IFERROR(INDEX(C_TIPO,MATCH(V1966&amp;"-P"&amp;MAX(1,COUNTIFS(C_RUTN,V1966,C_DEF,"Sí",C_INI,"&lt;="&amp;EOMONTH(B1966,0))),C_CLAVE,0))&amp;"","Sin contrato"))</f>
        <v/>
      </c>
      <c r="T1966" s="63" t="str">
        <f aca="false">IF(OR(B1966="",N(O1966)=0),"",N(O1966)+ROUND(MIN(N(N1966),TOPE_UF*UF_MES)*(TASA_EMP+MUTUAL),0)+ROUND(MIN(N(N1966),TOPE_AFC_UF*UF_MES)*IF(S1966="Indefinido",AFC_INDEF,AFC_PF),0))</f>
        <v/>
      </c>
      <c r="U1966" s="62" t="str">
        <f aca="false">IF(C1966="","",IF(LEFT(D1966,1)="⚠","⚠ RUT no registrado en Trabajadores",IF(B1966="","⚠ Falta el mes",IF(OR(ISTEXT(I1966),ISTEXT(J1966)),"⚠ Atrasos u horas extra como texto: escriba hh:mm (ej. 1:30)",IF(AND(ISNUMBER(Q1966),COUNTIFS(M_RUTN,V1966,M_MES,B1966,M_LIQ,"&lt;&gt;")&gt;1),"⚠ Liquidación repetida en el mes",IF(AND(ISNUMBER(O1966),ISNUMBER(P1966),ISNUMBER(Q1966),ABS(O1966-P1966-Q1966)&gt;1),"⚠ Haberes − descuentos no da el líquido","OK"))))))</f>
        <v/>
      </c>
      <c r="V1966" s="62" t="str">
        <f aca="false">IF(C1966="","",IFERROR(VALUE(LEFT(UPPER(SUBSTITUTE(SUBSTITUTE(SUBSTITUTE(TRIM(C1966),".",""),"-","")," ","")),LEN(UPPER(SUBSTITUTE(SUBSTITUTE(SUBSTITUTE(TRIM(C1966),".",""),"-","")," ","")))-1))&amp;RIGHT(UPPER(SUBSTITUTE(SUBSTITUTE(SUBSTITUTE(TRIM(C1966),".",""),"-","")," ","")),1),UPPER(SUBSTITUTE(SUBSTITUTE(SUBSTITUTE(TRIM(C1966),".",""),"-","")," ",""))))</f>
        <v/>
      </c>
    </row>
    <row r="1967" customFormat="false" ht="15" hidden="false" customHeight="false" outlineLevel="0" collapsed="false">
      <c r="B1967" s="80"/>
      <c r="C1967" s="58"/>
      <c r="D1967" s="62" t="str">
        <f aca="false">IF(C1967="","",IFERROR(INDEX(T_NOMBRE,MATCH(V1967,T_RUTN,0)),"⚠ RUT no está en Trabajadores"))</f>
        <v/>
      </c>
      <c r="E1967" s="61"/>
      <c r="F1967" s="61"/>
      <c r="G1967" s="61"/>
      <c r="H1967" s="61"/>
      <c r="I1967" s="81"/>
      <c r="J1967" s="81"/>
      <c r="K1967" s="60"/>
      <c r="L1967" s="60"/>
      <c r="M1967" s="60"/>
      <c r="N1967" s="60"/>
      <c r="O1967" s="60"/>
      <c r="P1967" s="60"/>
      <c r="Q1967" s="60"/>
      <c r="R1967" s="58"/>
      <c r="S1967" s="62" t="str">
        <f aca="false">IF(OR(B1967="",V1967=""),"",IFERROR(INDEX(C_TIPO,MATCH(V1967&amp;"-P"&amp;MAX(1,COUNTIFS(C_RUTN,V1967,C_DEF,"Sí",C_INI,"&lt;="&amp;EOMONTH(B1967,0))),C_CLAVE,0))&amp;"","Sin contrato"))</f>
        <v/>
      </c>
      <c r="T1967" s="63" t="str">
        <f aca="false">IF(OR(B1967="",N(O1967)=0),"",N(O1967)+ROUND(MIN(N(N1967),TOPE_UF*UF_MES)*(TASA_EMP+MUTUAL),0)+ROUND(MIN(N(N1967),TOPE_AFC_UF*UF_MES)*IF(S1967="Indefinido",AFC_INDEF,AFC_PF),0))</f>
        <v/>
      </c>
      <c r="U1967" s="62" t="str">
        <f aca="false">IF(C1967="","",IF(LEFT(D1967,1)="⚠","⚠ RUT no registrado en Trabajadores",IF(B1967="","⚠ Falta el mes",IF(OR(ISTEXT(I1967),ISTEXT(J1967)),"⚠ Atrasos u horas extra como texto: escriba hh:mm (ej. 1:30)",IF(AND(ISNUMBER(Q1967),COUNTIFS(M_RUTN,V1967,M_MES,B1967,M_LIQ,"&lt;&gt;")&gt;1),"⚠ Liquidación repetida en el mes",IF(AND(ISNUMBER(O1967),ISNUMBER(P1967),ISNUMBER(Q1967),ABS(O1967-P1967-Q1967)&gt;1),"⚠ Haberes − descuentos no da el líquido","OK"))))))</f>
        <v/>
      </c>
      <c r="V1967" s="62" t="str">
        <f aca="false">IF(C1967="","",IFERROR(VALUE(LEFT(UPPER(SUBSTITUTE(SUBSTITUTE(SUBSTITUTE(TRIM(C1967),".",""),"-","")," ","")),LEN(UPPER(SUBSTITUTE(SUBSTITUTE(SUBSTITUTE(TRIM(C1967),".",""),"-","")," ","")))-1))&amp;RIGHT(UPPER(SUBSTITUTE(SUBSTITUTE(SUBSTITUTE(TRIM(C1967),".",""),"-","")," ","")),1),UPPER(SUBSTITUTE(SUBSTITUTE(SUBSTITUTE(TRIM(C1967),".",""),"-","")," ",""))))</f>
        <v/>
      </c>
    </row>
    <row r="1968" customFormat="false" ht="15" hidden="false" customHeight="false" outlineLevel="0" collapsed="false">
      <c r="B1968" s="80"/>
      <c r="C1968" s="58"/>
      <c r="D1968" s="62" t="str">
        <f aca="false">IF(C1968="","",IFERROR(INDEX(T_NOMBRE,MATCH(V1968,T_RUTN,0)),"⚠ RUT no está en Trabajadores"))</f>
        <v/>
      </c>
      <c r="E1968" s="61"/>
      <c r="F1968" s="61"/>
      <c r="G1968" s="61"/>
      <c r="H1968" s="61"/>
      <c r="I1968" s="81"/>
      <c r="J1968" s="81"/>
      <c r="K1968" s="60"/>
      <c r="L1968" s="60"/>
      <c r="M1968" s="60"/>
      <c r="N1968" s="60"/>
      <c r="O1968" s="60"/>
      <c r="P1968" s="60"/>
      <c r="Q1968" s="60"/>
      <c r="R1968" s="58"/>
      <c r="S1968" s="62" t="str">
        <f aca="false">IF(OR(B1968="",V1968=""),"",IFERROR(INDEX(C_TIPO,MATCH(V1968&amp;"-P"&amp;MAX(1,COUNTIFS(C_RUTN,V1968,C_DEF,"Sí",C_INI,"&lt;="&amp;EOMONTH(B1968,0))),C_CLAVE,0))&amp;"","Sin contrato"))</f>
        <v/>
      </c>
      <c r="T1968" s="63" t="str">
        <f aca="false">IF(OR(B1968="",N(O1968)=0),"",N(O1968)+ROUND(MIN(N(N1968),TOPE_UF*UF_MES)*(TASA_EMP+MUTUAL),0)+ROUND(MIN(N(N1968),TOPE_AFC_UF*UF_MES)*IF(S1968="Indefinido",AFC_INDEF,AFC_PF),0))</f>
        <v/>
      </c>
      <c r="U1968" s="62" t="str">
        <f aca="false">IF(C1968="","",IF(LEFT(D1968,1)="⚠","⚠ RUT no registrado en Trabajadores",IF(B1968="","⚠ Falta el mes",IF(OR(ISTEXT(I1968),ISTEXT(J1968)),"⚠ Atrasos u horas extra como texto: escriba hh:mm (ej. 1:30)",IF(AND(ISNUMBER(Q1968),COUNTIFS(M_RUTN,V1968,M_MES,B1968,M_LIQ,"&lt;&gt;")&gt;1),"⚠ Liquidación repetida en el mes",IF(AND(ISNUMBER(O1968),ISNUMBER(P1968),ISNUMBER(Q1968),ABS(O1968-P1968-Q1968)&gt;1),"⚠ Haberes − descuentos no da el líquido","OK"))))))</f>
        <v/>
      </c>
      <c r="V1968" s="62" t="str">
        <f aca="false">IF(C1968="","",IFERROR(VALUE(LEFT(UPPER(SUBSTITUTE(SUBSTITUTE(SUBSTITUTE(TRIM(C1968),".",""),"-","")," ","")),LEN(UPPER(SUBSTITUTE(SUBSTITUTE(SUBSTITUTE(TRIM(C1968),".",""),"-","")," ","")))-1))&amp;RIGHT(UPPER(SUBSTITUTE(SUBSTITUTE(SUBSTITUTE(TRIM(C1968),".",""),"-","")," ","")),1),UPPER(SUBSTITUTE(SUBSTITUTE(SUBSTITUTE(TRIM(C1968),".",""),"-","")," ",""))))</f>
        <v/>
      </c>
    </row>
    <row r="1969" customFormat="false" ht="15" hidden="false" customHeight="false" outlineLevel="0" collapsed="false">
      <c r="B1969" s="80"/>
      <c r="C1969" s="58"/>
      <c r="D1969" s="62" t="str">
        <f aca="false">IF(C1969="","",IFERROR(INDEX(T_NOMBRE,MATCH(V1969,T_RUTN,0)),"⚠ RUT no está en Trabajadores"))</f>
        <v/>
      </c>
      <c r="E1969" s="61"/>
      <c r="F1969" s="61"/>
      <c r="G1969" s="61"/>
      <c r="H1969" s="61"/>
      <c r="I1969" s="81"/>
      <c r="J1969" s="81"/>
      <c r="K1969" s="60"/>
      <c r="L1969" s="60"/>
      <c r="M1969" s="60"/>
      <c r="N1969" s="60"/>
      <c r="O1969" s="60"/>
      <c r="P1969" s="60"/>
      <c r="Q1969" s="60"/>
      <c r="R1969" s="58"/>
      <c r="S1969" s="62" t="str">
        <f aca="false">IF(OR(B1969="",V1969=""),"",IFERROR(INDEX(C_TIPO,MATCH(V1969&amp;"-P"&amp;MAX(1,COUNTIFS(C_RUTN,V1969,C_DEF,"Sí",C_INI,"&lt;="&amp;EOMONTH(B1969,0))),C_CLAVE,0))&amp;"","Sin contrato"))</f>
        <v/>
      </c>
      <c r="T1969" s="63" t="str">
        <f aca="false">IF(OR(B1969="",N(O1969)=0),"",N(O1969)+ROUND(MIN(N(N1969),TOPE_UF*UF_MES)*(TASA_EMP+MUTUAL),0)+ROUND(MIN(N(N1969),TOPE_AFC_UF*UF_MES)*IF(S1969="Indefinido",AFC_INDEF,AFC_PF),0))</f>
        <v/>
      </c>
      <c r="U1969" s="62" t="str">
        <f aca="false">IF(C1969="","",IF(LEFT(D1969,1)="⚠","⚠ RUT no registrado en Trabajadores",IF(B1969="","⚠ Falta el mes",IF(OR(ISTEXT(I1969),ISTEXT(J1969)),"⚠ Atrasos u horas extra como texto: escriba hh:mm (ej. 1:30)",IF(AND(ISNUMBER(Q1969),COUNTIFS(M_RUTN,V1969,M_MES,B1969,M_LIQ,"&lt;&gt;")&gt;1),"⚠ Liquidación repetida en el mes",IF(AND(ISNUMBER(O1969),ISNUMBER(P1969),ISNUMBER(Q1969),ABS(O1969-P1969-Q1969)&gt;1),"⚠ Haberes − descuentos no da el líquido","OK"))))))</f>
        <v/>
      </c>
      <c r="V1969" s="62" t="str">
        <f aca="false">IF(C1969="","",IFERROR(VALUE(LEFT(UPPER(SUBSTITUTE(SUBSTITUTE(SUBSTITUTE(TRIM(C1969),".",""),"-","")," ","")),LEN(UPPER(SUBSTITUTE(SUBSTITUTE(SUBSTITUTE(TRIM(C1969),".",""),"-","")," ","")))-1))&amp;RIGHT(UPPER(SUBSTITUTE(SUBSTITUTE(SUBSTITUTE(TRIM(C1969),".",""),"-","")," ","")),1),UPPER(SUBSTITUTE(SUBSTITUTE(SUBSTITUTE(TRIM(C1969),".",""),"-","")," ",""))))</f>
        <v/>
      </c>
    </row>
    <row r="1970" customFormat="false" ht="15" hidden="false" customHeight="false" outlineLevel="0" collapsed="false">
      <c r="B1970" s="80"/>
      <c r="C1970" s="58"/>
      <c r="D1970" s="62" t="str">
        <f aca="false">IF(C1970="","",IFERROR(INDEX(T_NOMBRE,MATCH(V1970,T_RUTN,0)),"⚠ RUT no está en Trabajadores"))</f>
        <v/>
      </c>
      <c r="E1970" s="61"/>
      <c r="F1970" s="61"/>
      <c r="G1970" s="61"/>
      <c r="H1970" s="61"/>
      <c r="I1970" s="81"/>
      <c r="J1970" s="81"/>
      <c r="K1970" s="60"/>
      <c r="L1970" s="60"/>
      <c r="M1970" s="60"/>
      <c r="N1970" s="60"/>
      <c r="O1970" s="60"/>
      <c r="P1970" s="60"/>
      <c r="Q1970" s="60"/>
      <c r="R1970" s="58"/>
      <c r="S1970" s="62" t="str">
        <f aca="false">IF(OR(B1970="",V1970=""),"",IFERROR(INDEX(C_TIPO,MATCH(V1970&amp;"-P"&amp;MAX(1,COUNTIFS(C_RUTN,V1970,C_DEF,"Sí",C_INI,"&lt;="&amp;EOMONTH(B1970,0))),C_CLAVE,0))&amp;"","Sin contrato"))</f>
        <v/>
      </c>
      <c r="T1970" s="63" t="str">
        <f aca="false">IF(OR(B1970="",N(O1970)=0),"",N(O1970)+ROUND(MIN(N(N1970),TOPE_UF*UF_MES)*(TASA_EMP+MUTUAL),0)+ROUND(MIN(N(N1970),TOPE_AFC_UF*UF_MES)*IF(S1970="Indefinido",AFC_INDEF,AFC_PF),0))</f>
        <v/>
      </c>
      <c r="U1970" s="62" t="str">
        <f aca="false">IF(C1970="","",IF(LEFT(D1970,1)="⚠","⚠ RUT no registrado en Trabajadores",IF(B1970="","⚠ Falta el mes",IF(OR(ISTEXT(I1970),ISTEXT(J1970)),"⚠ Atrasos u horas extra como texto: escriba hh:mm (ej. 1:30)",IF(AND(ISNUMBER(Q1970),COUNTIFS(M_RUTN,V1970,M_MES,B1970,M_LIQ,"&lt;&gt;")&gt;1),"⚠ Liquidación repetida en el mes",IF(AND(ISNUMBER(O1970),ISNUMBER(P1970),ISNUMBER(Q1970),ABS(O1970-P1970-Q1970)&gt;1),"⚠ Haberes − descuentos no da el líquido","OK"))))))</f>
        <v/>
      </c>
      <c r="V1970" s="62" t="str">
        <f aca="false">IF(C1970="","",IFERROR(VALUE(LEFT(UPPER(SUBSTITUTE(SUBSTITUTE(SUBSTITUTE(TRIM(C1970),".",""),"-","")," ","")),LEN(UPPER(SUBSTITUTE(SUBSTITUTE(SUBSTITUTE(TRIM(C1970),".",""),"-","")," ","")))-1))&amp;RIGHT(UPPER(SUBSTITUTE(SUBSTITUTE(SUBSTITUTE(TRIM(C1970),".",""),"-","")," ","")),1),UPPER(SUBSTITUTE(SUBSTITUTE(SUBSTITUTE(TRIM(C1970),".",""),"-","")," ",""))))</f>
        <v/>
      </c>
    </row>
    <row r="1971" customFormat="false" ht="15" hidden="false" customHeight="false" outlineLevel="0" collapsed="false">
      <c r="B1971" s="80"/>
      <c r="C1971" s="58"/>
      <c r="D1971" s="62" t="str">
        <f aca="false">IF(C1971="","",IFERROR(INDEX(T_NOMBRE,MATCH(V1971,T_RUTN,0)),"⚠ RUT no está en Trabajadores"))</f>
        <v/>
      </c>
      <c r="E1971" s="61"/>
      <c r="F1971" s="61"/>
      <c r="G1971" s="61"/>
      <c r="H1971" s="61"/>
      <c r="I1971" s="81"/>
      <c r="J1971" s="81"/>
      <c r="K1971" s="60"/>
      <c r="L1971" s="60"/>
      <c r="M1971" s="60"/>
      <c r="N1971" s="60"/>
      <c r="O1971" s="60"/>
      <c r="P1971" s="60"/>
      <c r="Q1971" s="60"/>
      <c r="R1971" s="58"/>
      <c r="S1971" s="62" t="str">
        <f aca="false">IF(OR(B1971="",V1971=""),"",IFERROR(INDEX(C_TIPO,MATCH(V1971&amp;"-P"&amp;MAX(1,COUNTIFS(C_RUTN,V1971,C_DEF,"Sí",C_INI,"&lt;="&amp;EOMONTH(B1971,0))),C_CLAVE,0))&amp;"","Sin contrato"))</f>
        <v/>
      </c>
      <c r="T1971" s="63" t="str">
        <f aca="false">IF(OR(B1971="",N(O1971)=0),"",N(O1971)+ROUND(MIN(N(N1971),TOPE_UF*UF_MES)*(TASA_EMP+MUTUAL),0)+ROUND(MIN(N(N1971),TOPE_AFC_UF*UF_MES)*IF(S1971="Indefinido",AFC_INDEF,AFC_PF),0))</f>
        <v/>
      </c>
      <c r="U1971" s="62" t="str">
        <f aca="false">IF(C1971="","",IF(LEFT(D1971,1)="⚠","⚠ RUT no registrado en Trabajadores",IF(B1971="","⚠ Falta el mes",IF(OR(ISTEXT(I1971),ISTEXT(J1971)),"⚠ Atrasos u horas extra como texto: escriba hh:mm (ej. 1:30)",IF(AND(ISNUMBER(Q1971),COUNTIFS(M_RUTN,V1971,M_MES,B1971,M_LIQ,"&lt;&gt;")&gt;1),"⚠ Liquidación repetida en el mes",IF(AND(ISNUMBER(O1971),ISNUMBER(P1971),ISNUMBER(Q1971),ABS(O1971-P1971-Q1971)&gt;1),"⚠ Haberes − descuentos no da el líquido","OK"))))))</f>
        <v/>
      </c>
      <c r="V1971" s="62" t="str">
        <f aca="false">IF(C1971="","",IFERROR(VALUE(LEFT(UPPER(SUBSTITUTE(SUBSTITUTE(SUBSTITUTE(TRIM(C1971),".",""),"-","")," ","")),LEN(UPPER(SUBSTITUTE(SUBSTITUTE(SUBSTITUTE(TRIM(C1971),".",""),"-","")," ","")))-1))&amp;RIGHT(UPPER(SUBSTITUTE(SUBSTITUTE(SUBSTITUTE(TRIM(C1971),".",""),"-","")," ","")),1),UPPER(SUBSTITUTE(SUBSTITUTE(SUBSTITUTE(TRIM(C1971),".",""),"-","")," ",""))))</f>
        <v/>
      </c>
    </row>
    <row r="1972" customFormat="false" ht="15" hidden="false" customHeight="false" outlineLevel="0" collapsed="false">
      <c r="B1972" s="80"/>
      <c r="C1972" s="58"/>
      <c r="D1972" s="62" t="str">
        <f aca="false">IF(C1972="","",IFERROR(INDEX(T_NOMBRE,MATCH(V1972,T_RUTN,0)),"⚠ RUT no está en Trabajadores"))</f>
        <v/>
      </c>
      <c r="E1972" s="61"/>
      <c r="F1972" s="61"/>
      <c r="G1972" s="61"/>
      <c r="H1972" s="61"/>
      <c r="I1972" s="81"/>
      <c r="J1972" s="81"/>
      <c r="K1972" s="60"/>
      <c r="L1972" s="60"/>
      <c r="M1972" s="60"/>
      <c r="N1972" s="60"/>
      <c r="O1972" s="60"/>
      <c r="P1972" s="60"/>
      <c r="Q1972" s="60"/>
      <c r="R1972" s="58"/>
      <c r="S1972" s="62" t="str">
        <f aca="false">IF(OR(B1972="",V1972=""),"",IFERROR(INDEX(C_TIPO,MATCH(V1972&amp;"-P"&amp;MAX(1,COUNTIFS(C_RUTN,V1972,C_DEF,"Sí",C_INI,"&lt;="&amp;EOMONTH(B1972,0))),C_CLAVE,0))&amp;"","Sin contrato"))</f>
        <v/>
      </c>
      <c r="T1972" s="63" t="str">
        <f aca="false">IF(OR(B1972="",N(O1972)=0),"",N(O1972)+ROUND(MIN(N(N1972),TOPE_UF*UF_MES)*(TASA_EMP+MUTUAL),0)+ROUND(MIN(N(N1972),TOPE_AFC_UF*UF_MES)*IF(S1972="Indefinido",AFC_INDEF,AFC_PF),0))</f>
        <v/>
      </c>
      <c r="U1972" s="62" t="str">
        <f aca="false">IF(C1972="","",IF(LEFT(D1972,1)="⚠","⚠ RUT no registrado en Trabajadores",IF(B1972="","⚠ Falta el mes",IF(OR(ISTEXT(I1972),ISTEXT(J1972)),"⚠ Atrasos u horas extra como texto: escriba hh:mm (ej. 1:30)",IF(AND(ISNUMBER(Q1972),COUNTIFS(M_RUTN,V1972,M_MES,B1972,M_LIQ,"&lt;&gt;")&gt;1),"⚠ Liquidación repetida en el mes",IF(AND(ISNUMBER(O1972),ISNUMBER(P1972),ISNUMBER(Q1972),ABS(O1972-P1972-Q1972)&gt;1),"⚠ Haberes − descuentos no da el líquido","OK"))))))</f>
        <v/>
      </c>
      <c r="V1972" s="62" t="str">
        <f aca="false">IF(C1972="","",IFERROR(VALUE(LEFT(UPPER(SUBSTITUTE(SUBSTITUTE(SUBSTITUTE(TRIM(C1972),".",""),"-","")," ","")),LEN(UPPER(SUBSTITUTE(SUBSTITUTE(SUBSTITUTE(TRIM(C1972),".",""),"-","")," ","")))-1))&amp;RIGHT(UPPER(SUBSTITUTE(SUBSTITUTE(SUBSTITUTE(TRIM(C1972),".",""),"-","")," ","")),1),UPPER(SUBSTITUTE(SUBSTITUTE(SUBSTITUTE(TRIM(C1972),".",""),"-","")," ",""))))</f>
        <v/>
      </c>
    </row>
    <row r="1973" customFormat="false" ht="15" hidden="false" customHeight="false" outlineLevel="0" collapsed="false">
      <c r="B1973" s="80"/>
      <c r="C1973" s="58"/>
      <c r="D1973" s="62" t="str">
        <f aca="false">IF(C1973="","",IFERROR(INDEX(T_NOMBRE,MATCH(V1973,T_RUTN,0)),"⚠ RUT no está en Trabajadores"))</f>
        <v/>
      </c>
      <c r="E1973" s="61"/>
      <c r="F1973" s="61"/>
      <c r="G1973" s="61"/>
      <c r="H1973" s="61"/>
      <c r="I1973" s="81"/>
      <c r="J1973" s="81"/>
      <c r="K1973" s="60"/>
      <c r="L1973" s="60"/>
      <c r="M1973" s="60"/>
      <c r="N1973" s="60"/>
      <c r="O1973" s="60"/>
      <c r="P1973" s="60"/>
      <c r="Q1973" s="60"/>
      <c r="R1973" s="58"/>
      <c r="S1973" s="62" t="str">
        <f aca="false">IF(OR(B1973="",V1973=""),"",IFERROR(INDEX(C_TIPO,MATCH(V1973&amp;"-P"&amp;MAX(1,COUNTIFS(C_RUTN,V1973,C_DEF,"Sí",C_INI,"&lt;="&amp;EOMONTH(B1973,0))),C_CLAVE,0))&amp;"","Sin contrato"))</f>
        <v/>
      </c>
      <c r="T1973" s="63" t="str">
        <f aca="false">IF(OR(B1973="",N(O1973)=0),"",N(O1973)+ROUND(MIN(N(N1973),TOPE_UF*UF_MES)*(TASA_EMP+MUTUAL),0)+ROUND(MIN(N(N1973),TOPE_AFC_UF*UF_MES)*IF(S1973="Indefinido",AFC_INDEF,AFC_PF),0))</f>
        <v/>
      </c>
      <c r="U1973" s="62" t="str">
        <f aca="false">IF(C1973="","",IF(LEFT(D1973,1)="⚠","⚠ RUT no registrado en Trabajadores",IF(B1973="","⚠ Falta el mes",IF(OR(ISTEXT(I1973),ISTEXT(J1973)),"⚠ Atrasos u horas extra como texto: escriba hh:mm (ej. 1:30)",IF(AND(ISNUMBER(Q1973),COUNTIFS(M_RUTN,V1973,M_MES,B1973,M_LIQ,"&lt;&gt;")&gt;1),"⚠ Liquidación repetida en el mes",IF(AND(ISNUMBER(O1973),ISNUMBER(P1973),ISNUMBER(Q1973),ABS(O1973-P1973-Q1973)&gt;1),"⚠ Haberes − descuentos no da el líquido","OK"))))))</f>
        <v/>
      </c>
      <c r="V1973" s="62" t="str">
        <f aca="false">IF(C1973="","",IFERROR(VALUE(LEFT(UPPER(SUBSTITUTE(SUBSTITUTE(SUBSTITUTE(TRIM(C1973),".",""),"-","")," ","")),LEN(UPPER(SUBSTITUTE(SUBSTITUTE(SUBSTITUTE(TRIM(C1973),".",""),"-","")," ","")))-1))&amp;RIGHT(UPPER(SUBSTITUTE(SUBSTITUTE(SUBSTITUTE(TRIM(C1973),".",""),"-","")," ","")),1),UPPER(SUBSTITUTE(SUBSTITUTE(SUBSTITUTE(TRIM(C1973),".",""),"-","")," ",""))))</f>
        <v/>
      </c>
    </row>
    <row r="1974" customFormat="false" ht="15" hidden="false" customHeight="false" outlineLevel="0" collapsed="false">
      <c r="B1974" s="80"/>
      <c r="C1974" s="58"/>
      <c r="D1974" s="62" t="str">
        <f aca="false">IF(C1974="","",IFERROR(INDEX(T_NOMBRE,MATCH(V1974,T_RUTN,0)),"⚠ RUT no está en Trabajadores"))</f>
        <v/>
      </c>
      <c r="E1974" s="61"/>
      <c r="F1974" s="61"/>
      <c r="G1974" s="61"/>
      <c r="H1974" s="61"/>
      <c r="I1974" s="81"/>
      <c r="J1974" s="81"/>
      <c r="K1974" s="60"/>
      <c r="L1974" s="60"/>
      <c r="M1974" s="60"/>
      <c r="N1974" s="60"/>
      <c r="O1974" s="60"/>
      <c r="P1974" s="60"/>
      <c r="Q1974" s="60"/>
      <c r="R1974" s="58"/>
      <c r="S1974" s="62" t="str">
        <f aca="false">IF(OR(B1974="",V1974=""),"",IFERROR(INDEX(C_TIPO,MATCH(V1974&amp;"-P"&amp;MAX(1,COUNTIFS(C_RUTN,V1974,C_DEF,"Sí",C_INI,"&lt;="&amp;EOMONTH(B1974,0))),C_CLAVE,0))&amp;"","Sin contrato"))</f>
        <v/>
      </c>
      <c r="T1974" s="63" t="str">
        <f aca="false">IF(OR(B1974="",N(O1974)=0),"",N(O1974)+ROUND(MIN(N(N1974),TOPE_UF*UF_MES)*(TASA_EMP+MUTUAL),0)+ROUND(MIN(N(N1974),TOPE_AFC_UF*UF_MES)*IF(S1974="Indefinido",AFC_INDEF,AFC_PF),0))</f>
        <v/>
      </c>
      <c r="U1974" s="62" t="str">
        <f aca="false">IF(C1974="","",IF(LEFT(D1974,1)="⚠","⚠ RUT no registrado en Trabajadores",IF(B1974="","⚠ Falta el mes",IF(OR(ISTEXT(I1974),ISTEXT(J1974)),"⚠ Atrasos u horas extra como texto: escriba hh:mm (ej. 1:30)",IF(AND(ISNUMBER(Q1974),COUNTIFS(M_RUTN,V1974,M_MES,B1974,M_LIQ,"&lt;&gt;")&gt;1),"⚠ Liquidación repetida en el mes",IF(AND(ISNUMBER(O1974),ISNUMBER(P1974),ISNUMBER(Q1974),ABS(O1974-P1974-Q1974)&gt;1),"⚠ Haberes − descuentos no da el líquido","OK"))))))</f>
        <v/>
      </c>
      <c r="V1974" s="62" t="str">
        <f aca="false">IF(C1974="","",IFERROR(VALUE(LEFT(UPPER(SUBSTITUTE(SUBSTITUTE(SUBSTITUTE(TRIM(C1974),".",""),"-","")," ","")),LEN(UPPER(SUBSTITUTE(SUBSTITUTE(SUBSTITUTE(TRIM(C1974),".",""),"-","")," ","")))-1))&amp;RIGHT(UPPER(SUBSTITUTE(SUBSTITUTE(SUBSTITUTE(TRIM(C1974),".",""),"-","")," ","")),1),UPPER(SUBSTITUTE(SUBSTITUTE(SUBSTITUTE(TRIM(C1974),".",""),"-","")," ",""))))</f>
        <v/>
      </c>
    </row>
    <row r="1975" customFormat="false" ht="15" hidden="false" customHeight="false" outlineLevel="0" collapsed="false">
      <c r="B1975" s="80"/>
      <c r="C1975" s="58"/>
      <c r="D1975" s="62" t="str">
        <f aca="false">IF(C1975="","",IFERROR(INDEX(T_NOMBRE,MATCH(V1975,T_RUTN,0)),"⚠ RUT no está en Trabajadores"))</f>
        <v/>
      </c>
      <c r="E1975" s="61"/>
      <c r="F1975" s="61"/>
      <c r="G1975" s="61"/>
      <c r="H1975" s="61"/>
      <c r="I1975" s="81"/>
      <c r="J1975" s="81"/>
      <c r="K1975" s="60"/>
      <c r="L1975" s="60"/>
      <c r="M1975" s="60"/>
      <c r="N1975" s="60"/>
      <c r="O1975" s="60"/>
      <c r="P1975" s="60"/>
      <c r="Q1975" s="60"/>
      <c r="R1975" s="58"/>
      <c r="S1975" s="62" t="str">
        <f aca="false">IF(OR(B1975="",V1975=""),"",IFERROR(INDEX(C_TIPO,MATCH(V1975&amp;"-P"&amp;MAX(1,COUNTIFS(C_RUTN,V1975,C_DEF,"Sí",C_INI,"&lt;="&amp;EOMONTH(B1975,0))),C_CLAVE,0))&amp;"","Sin contrato"))</f>
        <v/>
      </c>
      <c r="T1975" s="63" t="str">
        <f aca="false">IF(OR(B1975="",N(O1975)=0),"",N(O1975)+ROUND(MIN(N(N1975),TOPE_UF*UF_MES)*(TASA_EMP+MUTUAL),0)+ROUND(MIN(N(N1975),TOPE_AFC_UF*UF_MES)*IF(S1975="Indefinido",AFC_INDEF,AFC_PF),0))</f>
        <v/>
      </c>
      <c r="U1975" s="62" t="str">
        <f aca="false">IF(C1975="","",IF(LEFT(D1975,1)="⚠","⚠ RUT no registrado en Trabajadores",IF(B1975="","⚠ Falta el mes",IF(OR(ISTEXT(I1975),ISTEXT(J1975)),"⚠ Atrasos u horas extra como texto: escriba hh:mm (ej. 1:30)",IF(AND(ISNUMBER(Q1975),COUNTIFS(M_RUTN,V1975,M_MES,B1975,M_LIQ,"&lt;&gt;")&gt;1),"⚠ Liquidación repetida en el mes",IF(AND(ISNUMBER(O1975),ISNUMBER(P1975),ISNUMBER(Q1975),ABS(O1975-P1975-Q1975)&gt;1),"⚠ Haberes − descuentos no da el líquido","OK"))))))</f>
        <v/>
      </c>
      <c r="V1975" s="62" t="str">
        <f aca="false">IF(C1975="","",IFERROR(VALUE(LEFT(UPPER(SUBSTITUTE(SUBSTITUTE(SUBSTITUTE(TRIM(C1975),".",""),"-","")," ","")),LEN(UPPER(SUBSTITUTE(SUBSTITUTE(SUBSTITUTE(TRIM(C1975),".",""),"-","")," ","")))-1))&amp;RIGHT(UPPER(SUBSTITUTE(SUBSTITUTE(SUBSTITUTE(TRIM(C1975),".",""),"-","")," ","")),1),UPPER(SUBSTITUTE(SUBSTITUTE(SUBSTITUTE(TRIM(C1975),".",""),"-","")," ",""))))</f>
        <v/>
      </c>
    </row>
    <row r="1976" customFormat="false" ht="15" hidden="false" customHeight="false" outlineLevel="0" collapsed="false">
      <c r="B1976" s="80"/>
      <c r="C1976" s="58"/>
      <c r="D1976" s="62" t="str">
        <f aca="false">IF(C1976="","",IFERROR(INDEX(T_NOMBRE,MATCH(V1976,T_RUTN,0)),"⚠ RUT no está en Trabajadores"))</f>
        <v/>
      </c>
      <c r="E1976" s="61"/>
      <c r="F1976" s="61"/>
      <c r="G1976" s="61"/>
      <c r="H1976" s="61"/>
      <c r="I1976" s="81"/>
      <c r="J1976" s="81"/>
      <c r="K1976" s="60"/>
      <c r="L1976" s="60"/>
      <c r="M1976" s="60"/>
      <c r="N1976" s="60"/>
      <c r="O1976" s="60"/>
      <c r="P1976" s="60"/>
      <c r="Q1976" s="60"/>
      <c r="R1976" s="58"/>
      <c r="S1976" s="62" t="str">
        <f aca="false">IF(OR(B1976="",V1976=""),"",IFERROR(INDEX(C_TIPO,MATCH(V1976&amp;"-P"&amp;MAX(1,COUNTIFS(C_RUTN,V1976,C_DEF,"Sí",C_INI,"&lt;="&amp;EOMONTH(B1976,0))),C_CLAVE,0))&amp;"","Sin contrato"))</f>
        <v/>
      </c>
      <c r="T1976" s="63" t="str">
        <f aca="false">IF(OR(B1976="",N(O1976)=0),"",N(O1976)+ROUND(MIN(N(N1976),TOPE_UF*UF_MES)*(TASA_EMP+MUTUAL),0)+ROUND(MIN(N(N1976),TOPE_AFC_UF*UF_MES)*IF(S1976="Indefinido",AFC_INDEF,AFC_PF),0))</f>
        <v/>
      </c>
      <c r="U1976" s="62" t="str">
        <f aca="false">IF(C1976="","",IF(LEFT(D1976,1)="⚠","⚠ RUT no registrado en Trabajadores",IF(B1976="","⚠ Falta el mes",IF(OR(ISTEXT(I1976),ISTEXT(J1976)),"⚠ Atrasos u horas extra como texto: escriba hh:mm (ej. 1:30)",IF(AND(ISNUMBER(Q1976),COUNTIFS(M_RUTN,V1976,M_MES,B1976,M_LIQ,"&lt;&gt;")&gt;1),"⚠ Liquidación repetida en el mes",IF(AND(ISNUMBER(O1976),ISNUMBER(P1976),ISNUMBER(Q1976),ABS(O1976-P1976-Q1976)&gt;1),"⚠ Haberes − descuentos no da el líquido","OK"))))))</f>
        <v/>
      </c>
      <c r="V1976" s="62" t="str">
        <f aca="false">IF(C1976="","",IFERROR(VALUE(LEFT(UPPER(SUBSTITUTE(SUBSTITUTE(SUBSTITUTE(TRIM(C1976),".",""),"-","")," ","")),LEN(UPPER(SUBSTITUTE(SUBSTITUTE(SUBSTITUTE(TRIM(C1976),".",""),"-","")," ","")))-1))&amp;RIGHT(UPPER(SUBSTITUTE(SUBSTITUTE(SUBSTITUTE(TRIM(C1976),".",""),"-","")," ","")),1),UPPER(SUBSTITUTE(SUBSTITUTE(SUBSTITUTE(TRIM(C1976),".",""),"-","")," ",""))))</f>
        <v/>
      </c>
    </row>
    <row r="1977" customFormat="false" ht="15" hidden="false" customHeight="false" outlineLevel="0" collapsed="false">
      <c r="B1977" s="80"/>
      <c r="C1977" s="58"/>
      <c r="D1977" s="62" t="str">
        <f aca="false">IF(C1977="","",IFERROR(INDEX(T_NOMBRE,MATCH(V1977,T_RUTN,0)),"⚠ RUT no está en Trabajadores"))</f>
        <v/>
      </c>
      <c r="E1977" s="61"/>
      <c r="F1977" s="61"/>
      <c r="G1977" s="61"/>
      <c r="H1977" s="61"/>
      <c r="I1977" s="81"/>
      <c r="J1977" s="81"/>
      <c r="K1977" s="60"/>
      <c r="L1977" s="60"/>
      <c r="M1977" s="60"/>
      <c r="N1977" s="60"/>
      <c r="O1977" s="60"/>
      <c r="P1977" s="60"/>
      <c r="Q1977" s="60"/>
      <c r="R1977" s="58"/>
      <c r="S1977" s="62" t="str">
        <f aca="false">IF(OR(B1977="",V1977=""),"",IFERROR(INDEX(C_TIPO,MATCH(V1977&amp;"-P"&amp;MAX(1,COUNTIFS(C_RUTN,V1977,C_DEF,"Sí",C_INI,"&lt;="&amp;EOMONTH(B1977,0))),C_CLAVE,0))&amp;"","Sin contrato"))</f>
        <v/>
      </c>
      <c r="T1977" s="63" t="str">
        <f aca="false">IF(OR(B1977="",N(O1977)=0),"",N(O1977)+ROUND(MIN(N(N1977),TOPE_UF*UF_MES)*(TASA_EMP+MUTUAL),0)+ROUND(MIN(N(N1977),TOPE_AFC_UF*UF_MES)*IF(S1977="Indefinido",AFC_INDEF,AFC_PF),0))</f>
        <v/>
      </c>
      <c r="U1977" s="62" t="str">
        <f aca="false">IF(C1977="","",IF(LEFT(D1977,1)="⚠","⚠ RUT no registrado en Trabajadores",IF(B1977="","⚠ Falta el mes",IF(OR(ISTEXT(I1977),ISTEXT(J1977)),"⚠ Atrasos u horas extra como texto: escriba hh:mm (ej. 1:30)",IF(AND(ISNUMBER(Q1977),COUNTIFS(M_RUTN,V1977,M_MES,B1977,M_LIQ,"&lt;&gt;")&gt;1),"⚠ Liquidación repetida en el mes",IF(AND(ISNUMBER(O1977),ISNUMBER(P1977),ISNUMBER(Q1977),ABS(O1977-P1977-Q1977)&gt;1),"⚠ Haberes − descuentos no da el líquido","OK"))))))</f>
        <v/>
      </c>
      <c r="V1977" s="62" t="str">
        <f aca="false">IF(C1977="","",IFERROR(VALUE(LEFT(UPPER(SUBSTITUTE(SUBSTITUTE(SUBSTITUTE(TRIM(C1977),".",""),"-","")," ","")),LEN(UPPER(SUBSTITUTE(SUBSTITUTE(SUBSTITUTE(TRIM(C1977),".",""),"-","")," ","")))-1))&amp;RIGHT(UPPER(SUBSTITUTE(SUBSTITUTE(SUBSTITUTE(TRIM(C1977),".",""),"-","")," ","")),1),UPPER(SUBSTITUTE(SUBSTITUTE(SUBSTITUTE(TRIM(C1977),".",""),"-","")," ",""))))</f>
        <v/>
      </c>
    </row>
    <row r="1978" customFormat="false" ht="15" hidden="false" customHeight="false" outlineLevel="0" collapsed="false">
      <c r="B1978" s="80"/>
      <c r="C1978" s="58"/>
      <c r="D1978" s="62" t="str">
        <f aca="false">IF(C1978="","",IFERROR(INDEX(T_NOMBRE,MATCH(V1978,T_RUTN,0)),"⚠ RUT no está en Trabajadores"))</f>
        <v/>
      </c>
      <c r="E1978" s="61"/>
      <c r="F1978" s="61"/>
      <c r="G1978" s="61"/>
      <c r="H1978" s="61"/>
      <c r="I1978" s="81"/>
      <c r="J1978" s="81"/>
      <c r="K1978" s="60"/>
      <c r="L1978" s="60"/>
      <c r="M1978" s="60"/>
      <c r="N1978" s="60"/>
      <c r="O1978" s="60"/>
      <c r="P1978" s="60"/>
      <c r="Q1978" s="60"/>
      <c r="R1978" s="58"/>
      <c r="S1978" s="62" t="str">
        <f aca="false">IF(OR(B1978="",V1978=""),"",IFERROR(INDEX(C_TIPO,MATCH(V1978&amp;"-P"&amp;MAX(1,COUNTIFS(C_RUTN,V1978,C_DEF,"Sí",C_INI,"&lt;="&amp;EOMONTH(B1978,0))),C_CLAVE,0))&amp;"","Sin contrato"))</f>
        <v/>
      </c>
      <c r="T1978" s="63" t="str">
        <f aca="false">IF(OR(B1978="",N(O1978)=0),"",N(O1978)+ROUND(MIN(N(N1978),TOPE_UF*UF_MES)*(TASA_EMP+MUTUAL),0)+ROUND(MIN(N(N1978),TOPE_AFC_UF*UF_MES)*IF(S1978="Indefinido",AFC_INDEF,AFC_PF),0))</f>
        <v/>
      </c>
      <c r="U1978" s="62" t="str">
        <f aca="false">IF(C1978="","",IF(LEFT(D1978,1)="⚠","⚠ RUT no registrado en Trabajadores",IF(B1978="","⚠ Falta el mes",IF(OR(ISTEXT(I1978),ISTEXT(J1978)),"⚠ Atrasos u horas extra como texto: escriba hh:mm (ej. 1:30)",IF(AND(ISNUMBER(Q1978),COUNTIFS(M_RUTN,V1978,M_MES,B1978,M_LIQ,"&lt;&gt;")&gt;1),"⚠ Liquidación repetida en el mes",IF(AND(ISNUMBER(O1978),ISNUMBER(P1978),ISNUMBER(Q1978),ABS(O1978-P1978-Q1978)&gt;1),"⚠ Haberes − descuentos no da el líquido","OK"))))))</f>
        <v/>
      </c>
      <c r="V1978" s="62" t="str">
        <f aca="false">IF(C1978="","",IFERROR(VALUE(LEFT(UPPER(SUBSTITUTE(SUBSTITUTE(SUBSTITUTE(TRIM(C1978),".",""),"-","")," ","")),LEN(UPPER(SUBSTITUTE(SUBSTITUTE(SUBSTITUTE(TRIM(C1978),".",""),"-","")," ","")))-1))&amp;RIGHT(UPPER(SUBSTITUTE(SUBSTITUTE(SUBSTITUTE(TRIM(C1978),".",""),"-","")," ","")),1),UPPER(SUBSTITUTE(SUBSTITUTE(SUBSTITUTE(TRIM(C1978),".",""),"-","")," ",""))))</f>
        <v/>
      </c>
    </row>
    <row r="1979" customFormat="false" ht="15" hidden="false" customHeight="false" outlineLevel="0" collapsed="false">
      <c r="B1979" s="80"/>
      <c r="C1979" s="58"/>
      <c r="D1979" s="62" t="str">
        <f aca="false">IF(C1979="","",IFERROR(INDEX(T_NOMBRE,MATCH(V1979,T_RUTN,0)),"⚠ RUT no está en Trabajadores"))</f>
        <v/>
      </c>
      <c r="E1979" s="61"/>
      <c r="F1979" s="61"/>
      <c r="G1979" s="61"/>
      <c r="H1979" s="61"/>
      <c r="I1979" s="81"/>
      <c r="J1979" s="81"/>
      <c r="K1979" s="60"/>
      <c r="L1979" s="60"/>
      <c r="M1979" s="60"/>
      <c r="N1979" s="60"/>
      <c r="O1979" s="60"/>
      <c r="P1979" s="60"/>
      <c r="Q1979" s="60"/>
      <c r="R1979" s="58"/>
      <c r="S1979" s="62" t="str">
        <f aca="false">IF(OR(B1979="",V1979=""),"",IFERROR(INDEX(C_TIPO,MATCH(V1979&amp;"-P"&amp;MAX(1,COUNTIFS(C_RUTN,V1979,C_DEF,"Sí",C_INI,"&lt;="&amp;EOMONTH(B1979,0))),C_CLAVE,0))&amp;"","Sin contrato"))</f>
        <v/>
      </c>
      <c r="T1979" s="63" t="str">
        <f aca="false">IF(OR(B1979="",N(O1979)=0),"",N(O1979)+ROUND(MIN(N(N1979),TOPE_UF*UF_MES)*(TASA_EMP+MUTUAL),0)+ROUND(MIN(N(N1979),TOPE_AFC_UF*UF_MES)*IF(S1979="Indefinido",AFC_INDEF,AFC_PF),0))</f>
        <v/>
      </c>
      <c r="U1979" s="62" t="str">
        <f aca="false">IF(C1979="","",IF(LEFT(D1979,1)="⚠","⚠ RUT no registrado en Trabajadores",IF(B1979="","⚠ Falta el mes",IF(OR(ISTEXT(I1979),ISTEXT(J1979)),"⚠ Atrasos u horas extra como texto: escriba hh:mm (ej. 1:30)",IF(AND(ISNUMBER(Q1979),COUNTIFS(M_RUTN,V1979,M_MES,B1979,M_LIQ,"&lt;&gt;")&gt;1),"⚠ Liquidación repetida en el mes",IF(AND(ISNUMBER(O1979),ISNUMBER(P1979),ISNUMBER(Q1979),ABS(O1979-P1979-Q1979)&gt;1),"⚠ Haberes − descuentos no da el líquido","OK"))))))</f>
        <v/>
      </c>
      <c r="V1979" s="62" t="str">
        <f aca="false">IF(C1979="","",IFERROR(VALUE(LEFT(UPPER(SUBSTITUTE(SUBSTITUTE(SUBSTITUTE(TRIM(C1979),".",""),"-","")," ","")),LEN(UPPER(SUBSTITUTE(SUBSTITUTE(SUBSTITUTE(TRIM(C1979),".",""),"-","")," ","")))-1))&amp;RIGHT(UPPER(SUBSTITUTE(SUBSTITUTE(SUBSTITUTE(TRIM(C1979),".",""),"-","")," ","")),1),UPPER(SUBSTITUTE(SUBSTITUTE(SUBSTITUTE(TRIM(C1979),".",""),"-","")," ",""))))</f>
        <v/>
      </c>
    </row>
    <row r="1980" customFormat="false" ht="15" hidden="false" customHeight="false" outlineLevel="0" collapsed="false">
      <c r="B1980" s="80"/>
      <c r="C1980" s="58"/>
      <c r="D1980" s="62" t="str">
        <f aca="false">IF(C1980="","",IFERROR(INDEX(T_NOMBRE,MATCH(V1980,T_RUTN,0)),"⚠ RUT no está en Trabajadores"))</f>
        <v/>
      </c>
      <c r="E1980" s="61"/>
      <c r="F1980" s="61"/>
      <c r="G1980" s="61"/>
      <c r="H1980" s="61"/>
      <c r="I1980" s="81"/>
      <c r="J1980" s="81"/>
      <c r="K1980" s="60"/>
      <c r="L1980" s="60"/>
      <c r="M1980" s="60"/>
      <c r="N1980" s="60"/>
      <c r="O1980" s="60"/>
      <c r="P1980" s="60"/>
      <c r="Q1980" s="60"/>
      <c r="R1980" s="58"/>
      <c r="S1980" s="62" t="str">
        <f aca="false">IF(OR(B1980="",V1980=""),"",IFERROR(INDEX(C_TIPO,MATCH(V1980&amp;"-P"&amp;MAX(1,COUNTIFS(C_RUTN,V1980,C_DEF,"Sí",C_INI,"&lt;="&amp;EOMONTH(B1980,0))),C_CLAVE,0))&amp;"","Sin contrato"))</f>
        <v/>
      </c>
      <c r="T1980" s="63" t="str">
        <f aca="false">IF(OR(B1980="",N(O1980)=0),"",N(O1980)+ROUND(MIN(N(N1980),TOPE_UF*UF_MES)*(TASA_EMP+MUTUAL),0)+ROUND(MIN(N(N1980),TOPE_AFC_UF*UF_MES)*IF(S1980="Indefinido",AFC_INDEF,AFC_PF),0))</f>
        <v/>
      </c>
      <c r="U1980" s="62" t="str">
        <f aca="false">IF(C1980="","",IF(LEFT(D1980,1)="⚠","⚠ RUT no registrado en Trabajadores",IF(B1980="","⚠ Falta el mes",IF(OR(ISTEXT(I1980),ISTEXT(J1980)),"⚠ Atrasos u horas extra como texto: escriba hh:mm (ej. 1:30)",IF(AND(ISNUMBER(Q1980),COUNTIFS(M_RUTN,V1980,M_MES,B1980,M_LIQ,"&lt;&gt;")&gt;1),"⚠ Liquidación repetida en el mes",IF(AND(ISNUMBER(O1980),ISNUMBER(P1980),ISNUMBER(Q1980),ABS(O1980-P1980-Q1980)&gt;1),"⚠ Haberes − descuentos no da el líquido","OK"))))))</f>
        <v/>
      </c>
      <c r="V1980" s="62" t="str">
        <f aca="false">IF(C1980="","",IFERROR(VALUE(LEFT(UPPER(SUBSTITUTE(SUBSTITUTE(SUBSTITUTE(TRIM(C1980),".",""),"-","")," ","")),LEN(UPPER(SUBSTITUTE(SUBSTITUTE(SUBSTITUTE(TRIM(C1980),".",""),"-","")," ","")))-1))&amp;RIGHT(UPPER(SUBSTITUTE(SUBSTITUTE(SUBSTITUTE(TRIM(C1980),".",""),"-","")," ","")),1),UPPER(SUBSTITUTE(SUBSTITUTE(SUBSTITUTE(TRIM(C1980),".",""),"-","")," ",""))))</f>
        <v/>
      </c>
    </row>
    <row r="1981" customFormat="false" ht="15" hidden="false" customHeight="false" outlineLevel="0" collapsed="false">
      <c r="B1981" s="80"/>
      <c r="C1981" s="58"/>
      <c r="D1981" s="62" t="str">
        <f aca="false">IF(C1981="","",IFERROR(INDEX(T_NOMBRE,MATCH(V1981,T_RUTN,0)),"⚠ RUT no está en Trabajadores"))</f>
        <v/>
      </c>
      <c r="E1981" s="61"/>
      <c r="F1981" s="61"/>
      <c r="G1981" s="61"/>
      <c r="H1981" s="61"/>
      <c r="I1981" s="81"/>
      <c r="J1981" s="81"/>
      <c r="K1981" s="60"/>
      <c r="L1981" s="60"/>
      <c r="M1981" s="60"/>
      <c r="N1981" s="60"/>
      <c r="O1981" s="60"/>
      <c r="P1981" s="60"/>
      <c r="Q1981" s="60"/>
      <c r="R1981" s="58"/>
      <c r="S1981" s="62" t="str">
        <f aca="false">IF(OR(B1981="",V1981=""),"",IFERROR(INDEX(C_TIPO,MATCH(V1981&amp;"-P"&amp;MAX(1,COUNTIFS(C_RUTN,V1981,C_DEF,"Sí",C_INI,"&lt;="&amp;EOMONTH(B1981,0))),C_CLAVE,0))&amp;"","Sin contrato"))</f>
        <v/>
      </c>
      <c r="T1981" s="63" t="str">
        <f aca="false">IF(OR(B1981="",N(O1981)=0),"",N(O1981)+ROUND(MIN(N(N1981),TOPE_UF*UF_MES)*(TASA_EMP+MUTUAL),0)+ROUND(MIN(N(N1981),TOPE_AFC_UF*UF_MES)*IF(S1981="Indefinido",AFC_INDEF,AFC_PF),0))</f>
        <v/>
      </c>
      <c r="U1981" s="62" t="str">
        <f aca="false">IF(C1981="","",IF(LEFT(D1981,1)="⚠","⚠ RUT no registrado en Trabajadores",IF(B1981="","⚠ Falta el mes",IF(OR(ISTEXT(I1981),ISTEXT(J1981)),"⚠ Atrasos u horas extra como texto: escriba hh:mm (ej. 1:30)",IF(AND(ISNUMBER(Q1981),COUNTIFS(M_RUTN,V1981,M_MES,B1981,M_LIQ,"&lt;&gt;")&gt;1),"⚠ Liquidación repetida en el mes",IF(AND(ISNUMBER(O1981),ISNUMBER(P1981),ISNUMBER(Q1981),ABS(O1981-P1981-Q1981)&gt;1),"⚠ Haberes − descuentos no da el líquido","OK"))))))</f>
        <v/>
      </c>
      <c r="V1981" s="62" t="str">
        <f aca="false">IF(C1981="","",IFERROR(VALUE(LEFT(UPPER(SUBSTITUTE(SUBSTITUTE(SUBSTITUTE(TRIM(C1981),".",""),"-","")," ","")),LEN(UPPER(SUBSTITUTE(SUBSTITUTE(SUBSTITUTE(TRIM(C1981),".",""),"-","")," ","")))-1))&amp;RIGHT(UPPER(SUBSTITUTE(SUBSTITUTE(SUBSTITUTE(TRIM(C1981),".",""),"-","")," ","")),1),UPPER(SUBSTITUTE(SUBSTITUTE(SUBSTITUTE(TRIM(C1981),".",""),"-","")," ",""))))</f>
        <v/>
      </c>
    </row>
    <row r="1982" customFormat="false" ht="15" hidden="false" customHeight="false" outlineLevel="0" collapsed="false">
      <c r="B1982" s="80"/>
      <c r="C1982" s="58"/>
      <c r="D1982" s="62" t="str">
        <f aca="false">IF(C1982="","",IFERROR(INDEX(T_NOMBRE,MATCH(V1982,T_RUTN,0)),"⚠ RUT no está en Trabajadores"))</f>
        <v/>
      </c>
      <c r="E1982" s="61"/>
      <c r="F1982" s="61"/>
      <c r="G1982" s="61"/>
      <c r="H1982" s="61"/>
      <c r="I1982" s="81"/>
      <c r="J1982" s="81"/>
      <c r="K1982" s="60"/>
      <c r="L1982" s="60"/>
      <c r="M1982" s="60"/>
      <c r="N1982" s="60"/>
      <c r="O1982" s="60"/>
      <c r="P1982" s="60"/>
      <c r="Q1982" s="60"/>
      <c r="R1982" s="58"/>
      <c r="S1982" s="62" t="str">
        <f aca="false">IF(OR(B1982="",V1982=""),"",IFERROR(INDEX(C_TIPO,MATCH(V1982&amp;"-P"&amp;MAX(1,COUNTIFS(C_RUTN,V1982,C_DEF,"Sí",C_INI,"&lt;="&amp;EOMONTH(B1982,0))),C_CLAVE,0))&amp;"","Sin contrato"))</f>
        <v/>
      </c>
      <c r="T1982" s="63" t="str">
        <f aca="false">IF(OR(B1982="",N(O1982)=0),"",N(O1982)+ROUND(MIN(N(N1982),TOPE_UF*UF_MES)*(TASA_EMP+MUTUAL),0)+ROUND(MIN(N(N1982),TOPE_AFC_UF*UF_MES)*IF(S1982="Indefinido",AFC_INDEF,AFC_PF),0))</f>
        <v/>
      </c>
      <c r="U1982" s="62" t="str">
        <f aca="false">IF(C1982="","",IF(LEFT(D1982,1)="⚠","⚠ RUT no registrado en Trabajadores",IF(B1982="","⚠ Falta el mes",IF(OR(ISTEXT(I1982),ISTEXT(J1982)),"⚠ Atrasos u horas extra como texto: escriba hh:mm (ej. 1:30)",IF(AND(ISNUMBER(Q1982),COUNTIFS(M_RUTN,V1982,M_MES,B1982,M_LIQ,"&lt;&gt;")&gt;1),"⚠ Liquidación repetida en el mes",IF(AND(ISNUMBER(O1982),ISNUMBER(P1982),ISNUMBER(Q1982),ABS(O1982-P1982-Q1982)&gt;1),"⚠ Haberes − descuentos no da el líquido","OK"))))))</f>
        <v/>
      </c>
      <c r="V1982" s="62" t="str">
        <f aca="false">IF(C1982="","",IFERROR(VALUE(LEFT(UPPER(SUBSTITUTE(SUBSTITUTE(SUBSTITUTE(TRIM(C1982),".",""),"-","")," ","")),LEN(UPPER(SUBSTITUTE(SUBSTITUTE(SUBSTITUTE(TRIM(C1982),".",""),"-","")," ","")))-1))&amp;RIGHT(UPPER(SUBSTITUTE(SUBSTITUTE(SUBSTITUTE(TRIM(C1982),".",""),"-","")," ","")),1),UPPER(SUBSTITUTE(SUBSTITUTE(SUBSTITUTE(TRIM(C1982),".",""),"-","")," ",""))))</f>
        <v/>
      </c>
    </row>
    <row r="1983" customFormat="false" ht="15" hidden="false" customHeight="false" outlineLevel="0" collapsed="false">
      <c r="B1983" s="80"/>
      <c r="C1983" s="58"/>
      <c r="D1983" s="62" t="str">
        <f aca="false">IF(C1983="","",IFERROR(INDEX(T_NOMBRE,MATCH(V1983,T_RUTN,0)),"⚠ RUT no está en Trabajadores"))</f>
        <v/>
      </c>
      <c r="E1983" s="61"/>
      <c r="F1983" s="61"/>
      <c r="G1983" s="61"/>
      <c r="H1983" s="61"/>
      <c r="I1983" s="81"/>
      <c r="J1983" s="81"/>
      <c r="K1983" s="60"/>
      <c r="L1983" s="60"/>
      <c r="M1983" s="60"/>
      <c r="N1983" s="60"/>
      <c r="O1983" s="60"/>
      <c r="P1983" s="60"/>
      <c r="Q1983" s="60"/>
      <c r="R1983" s="58"/>
      <c r="S1983" s="62" t="str">
        <f aca="false">IF(OR(B1983="",V1983=""),"",IFERROR(INDEX(C_TIPO,MATCH(V1983&amp;"-P"&amp;MAX(1,COUNTIFS(C_RUTN,V1983,C_DEF,"Sí",C_INI,"&lt;="&amp;EOMONTH(B1983,0))),C_CLAVE,0))&amp;"","Sin contrato"))</f>
        <v/>
      </c>
      <c r="T1983" s="63" t="str">
        <f aca="false">IF(OR(B1983="",N(O1983)=0),"",N(O1983)+ROUND(MIN(N(N1983),TOPE_UF*UF_MES)*(TASA_EMP+MUTUAL),0)+ROUND(MIN(N(N1983),TOPE_AFC_UF*UF_MES)*IF(S1983="Indefinido",AFC_INDEF,AFC_PF),0))</f>
        <v/>
      </c>
      <c r="U1983" s="62" t="str">
        <f aca="false">IF(C1983="","",IF(LEFT(D1983,1)="⚠","⚠ RUT no registrado en Trabajadores",IF(B1983="","⚠ Falta el mes",IF(OR(ISTEXT(I1983),ISTEXT(J1983)),"⚠ Atrasos u horas extra como texto: escriba hh:mm (ej. 1:30)",IF(AND(ISNUMBER(Q1983),COUNTIFS(M_RUTN,V1983,M_MES,B1983,M_LIQ,"&lt;&gt;")&gt;1),"⚠ Liquidación repetida en el mes",IF(AND(ISNUMBER(O1983),ISNUMBER(P1983),ISNUMBER(Q1983),ABS(O1983-P1983-Q1983)&gt;1),"⚠ Haberes − descuentos no da el líquido","OK"))))))</f>
        <v/>
      </c>
      <c r="V1983" s="62" t="str">
        <f aca="false">IF(C1983="","",IFERROR(VALUE(LEFT(UPPER(SUBSTITUTE(SUBSTITUTE(SUBSTITUTE(TRIM(C1983),".",""),"-","")," ","")),LEN(UPPER(SUBSTITUTE(SUBSTITUTE(SUBSTITUTE(TRIM(C1983),".",""),"-","")," ","")))-1))&amp;RIGHT(UPPER(SUBSTITUTE(SUBSTITUTE(SUBSTITUTE(TRIM(C1983),".",""),"-","")," ","")),1),UPPER(SUBSTITUTE(SUBSTITUTE(SUBSTITUTE(TRIM(C1983),".",""),"-","")," ",""))))</f>
        <v/>
      </c>
    </row>
    <row r="1984" customFormat="false" ht="15" hidden="false" customHeight="false" outlineLevel="0" collapsed="false">
      <c r="B1984" s="80"/>
      <c r="C1984" s="58"/>
      <c r="D1984" s="62" t="str">
        <f aca="false">IF(C1984="","",IFERROR(INDEX(T_NOMBRE,MATCH(V1984,T_RUTN,0)),"⚠ RUT no está en Trabajadores"))</f>
        <v/>
      </c>
      <c r="E1984" s="61"/>
      <c r="F1984" s="61"/>
      <c r="G1984" s="61"/>
      <c r="H1984" s="61"/>
      <c r="I1984" s="81"/>
      <c r="J1984" s="81"/>
      <c r="K1984" s="60"/>
      <c r="L1984" s="60"/>
      <c r="M1984" s="60"/>
      <c r="N1984" s="60"/>
      <c r="O1984" s="60"/>
      <c r="P1984" s="60"/>
      <c r="Q1984" s="60"/>
      <c r="R1984" s="58"/>
      <c r="S1984" s="62" t="str">
        <f aca="false">IF(OR(B1984="",V1984=""),"",IFERROR(INDEX(C_TIPO,MATCH(V1984&amp;"-P"&amp;MAX(1,COUNTIFS(C_RUTN,V1984,C_DEF,"Sí",C_INI,"&lt;="&amp;EOMONTH(B1984,0))),C_CLAVE,0))&amp;"","Sin contrato"))</f>
        <v/>
      </c>
      <c r="T1984" s="63" t="str">
        <f aca="false">IF(OR(B1984="",N(O1984)=0),"",N(O1984)+ROUND(MIN(N(N1984),TOPE_UF*UF_MES)*(TASA_EMP+MUTUAL),0)+ROUND(MIN(N(N1984),TOPE_AFC_UF*UF_MES)*IF(S1984="Indefinido",AFC_INDEF,AFC_PF),0))</f>
        <v/>
      </c>
      <c r="U1984" s="62" t="str">
        <f aca="false">IF(C1984="","",IF(LEFT(D1984,1)="⚠","⚠ RUT no registrado en Trabajadores",IF(B1984="","⚠ Falta el mes",IF(OR(ISTEXT(I1984),ISTEXT(J1984)),"⚠ Atrasos u horas extra como texto: escriba hh:mm (ej. 1:30)",IF(AND(ISNUMBER(Q1984),COUNTIFS(M_RUTN,V1984,M_MES,B1984,M_LIQ,"&lt;&gt;")&gt;1),"⚠ Liquidación repetida en el mes",IF(AND(ISNUMBER(O1984),ISNUMBER(P1984),ISNUMBER(Q1984),ABS(O1984-P1984-Q1984)&gt;1),"⚠ Haberes − descuentos no da el líquido","OK"))))))</f>
        <v/>
      </c>
      <c r="V1984" s="62" t="str">
        <f aca="false">IF(C1984="","",IFERROR(VALUE(LEFT(UPPER(SUBSTITUTE(SUBSTITUTE(SUBSTITUTE(TRIM(C1984),".",""),"-","")," ","")),LEN(UPPER(SUBSTITUTE(SUBSTITUTE(SUBSTITUTE(TRIM(C1984),".",""),"-","")," ","")))-1))&amp;RIGHT(UPPER(SUBSTITUTE(SUBSTITUTE(SUBSTITUTE(TRIM(C1984),".",""),"-","")," ","")),1),UPPER(SUBSTITUTE(SUBSTITUTE(SUBSTITUTE(TRIM(C1984),".",""),"-","")," ",""))))</f>
        <v/>
      </c>
    </row>
    <row r="1985" customFormat="false" ht="15" hidden="false" customHeight="false" outlineLevel="0" collapsed="false">
      <c r="B1985" s="80"/>
      <c r="C1985" s="58"/>
      <c r="D1985" s="62" t="str">
        <f aca="false">IF(C1985="","",IFERROR(INDEX(T_NOMBRE,MATCH(V1985,T_RUTN,0)),"⚠ RUT no está en Trabajadores"))</f>
        <v/>
      </c>
      <c r="E1985" s="61"/>
      <c r="F1985" s="61"/>
      <c r="G1985" s="61"/>
      <c r="H1985" s="61"/>
      <c r="I1985" s="81"/>
      <c r="J1985" s="81"/>
      <c r="K1985" s="60"/>
      <c r="L1985" s="60"/>
      <c r="M1985" s="60"/>
      <c r="N1985" s="60"/>
      <c r="O1985" s="60"/>
      <c r="P1985" s="60"/>
      <c r="Q1985" s="60"/>
      <c r="R1985" s="58"/>
      <c r="S1985" s="62" t="str">
        <f aca="false">IF(OR(B1985="",V1985=""),"",IFERROR(INDEX(C_TIPO,MATCH(V1985&amp;"-P"&amp;MAX(1,COUNTIFS(C_RUTN,V1985,C_DEF,"Sí",C_INI,"&lt;="&amp;EOMONTH(B1985,0))),C_CLAVE,0))&amp;"","Sin contrato"))</f>
        <v/>
      </c>
      <c r="T1985" s="63" t="str">
        <f aca="false">IF(OR(B1985="",N(O1985)=0),"",N(O1985)+ROUND(MIN(N(N1985),TOPE_UF*UF_MES)*(TASA_EMP+MUTUAL),0)+ROUND(MIN(N(N1985),TOPE_AFC_UF*UF_MES)*IF(S1985="Indefinido",AFC_INDEF,AFC_PF),0))</f>
        <v/>
      </c>
      <c r="U1985" s="62" t="str">
        <f aca="false">IF(C1985="","",IF(LEFT(D1985,1)="⚠","⚠ RUT no registrado en Trabajadores",IF(B1985="","⚠ Falta el mes",IF(OR(ISTEXT(I1985),ISTEXT(J1985)),"⚠ Atrasos u horas extra como texto: escriba hh:mm (ej. 1:30)",IF(AND(ISNUMBER(Q1985),COUNTIFS(M_RUTN,V1985,M_MES,B1985,M_LIQ,"&lt;&gt;")&gt;1),"⚠ Liquidación repetida en el mes",IF(AND(ISNUMBER(O1985),ISNUMBER(P1985),ISNUMBER(Q1985),ABS(O1985-P1985-Q1985)&gt;1),"⚠ Haberes − descuentos no da el líquido","OK"))))))</f>
        <v/>
      </c>
      <c r="V1985" s="62" t="str">
        <f aca="false">IF(C1985="","",IFERROR(VALUE(LEFT(UPPER(SUBSTITUTE(SUBSTITUTE(SUBSTITUTE(TRIM(C1985),".",""),"-","")," ","")),LEN(UPPER(SUBSTITUTE(SUBSTITUTE(SUBSTITUTE(TRIM(C1985),".",""),"-","")," ","")))-1))&amp;RIGHT(UPPER(SUBSTITUTE(SUBSTITUTE(SUBSTITUTE(TRIM(C1985),".",""),"-","")," ","")),1),UPPER(SUBSTITUTE(SUBSTITUTE(SUBSTITUTE(TRIM(C1985),".",""),"-","")," ",""))))</f>
        <v/>
      </c>
    </row>
    <row r="1986" customFormat="false" ht="15" hidden="false" customHeight="false" outlineLevel="0" collapsed="false">
      <c r="B1986" s="80"/>
      <c r="C1986" s="58"/>
      <c r="D1986" s="62" t="str">
        <f aca="false">IF(C1986="","",IFERROR(INDEX(T_NOMBRE,MATCH(V1986,T_RUTN,0)),"⚠ RUT no está en Trabajadores"))</f>
        <v/>
      </c>
      <c r="E1986" s="61"/>
      <c r="F1986" s="61"/>
      <c r="G1986" s="61"/>
      <c r="H1986" s="61"/>
      <c r="I1986" s="81"/>
      <c r="J1986" s="81"/>
      <c r="K1986" s="60"/>
      <c r="L1986" s="60"/>
      <c r="M1986" s="60"/>
      <c r="N1986" s="60"/>
      <c r="O1986" s="60"/>
      <c r="P1986" s="60"/>
      <c r="Q1986" s="60"/>
      <c r="R1986" s="58"/>
      <c r="S1986" s="62" t="str">
        <f aca="false">IF(OR(B1986="",V1986=""),"",IFERROR(INDEX(C_TIPO,MATCH(V1986&amp;"-P"&amp;MAX(1,COUNTIFS(C_RUTN,V1986,C_DEF,"Sí",C_INI,"&lt;="&amp;EOMONTH(B1986,0))),C_CLAVE,0))&amp;"","Sin contrato"))</f>
        <v/>
      </c>
      <c r="T1986" s="63" t="str">
        <f aca="false">IF(OR(B1986="",N(O1986)=0),"",N(O1986)+ROUND(MIN(N(N1986),TOPE_UF*UF_MES)*(TASA_EMP+MUTUAL),0)+ROUND(MIN(N(N1986),TOPE_AFC_UF*UF_MES)*IF(S1986="Indefinido",AFC_INDEF,AFC_PF),0))</f>
        <v/>
      </c>
      <c r="U1986" s="62" t="str">
        <f aca="false">IF(C1986="","",IF(LEFT(D1986,1)="⚠","⚠ RUT no registrado en Trabajadores",IF(B1986="","⚠ Falta el mes",IF(OR(ISTEXT(I1986),ISTEXT(J1986)),"⚠ Atrasos u horas extra como texto: escriba hh:mm (ej. 1:30)",IF(AND(ISNUMBER(Q1986),COUNTIFS(M_RUTN,V1986,M_MES,B1986,M_LIQ,"&lt;&gt;")&gt;1),"⚠ Liquidación repetida en el mes",IF(AND(ISNUMBER(O1986),ISNUMBER(P1986),ISNUMBER(Q1986),ABS(O1986-P1986-Q1986)&gt;1),"⚠ Haberes − descuentos no da el líquido","OK"))))))</f>
        <v/>
      </c>
      <c r="V1986" s="62" t="str">
        <f aca="false">IF(C1986="","",IFERROR(VALUE(LEFT(UPPER(SUBSTITUTE(SUBSTITUTE(SUBSTITUTE(TRIM(C1986),".",""),"-","")," ","")),LEN(UPPER(SUBSTITUTE(SUBSTITUTE(SUBSTITUTE(TRIM(C1986),".",""),"-","")," ","")))-1))&amp;RIGHT(UPPER(SUBSTITUTE(SUBSTITUTE(SUBSTITUTE(TRIM(C1986),".",""),"-","")," ","")),1),UPPER(SUBSTITUTE(SUBSTITUTE(SUBSTITUTE(TRIM(C1986),".",""),"-","")," ",""))))</f>
        <v/>
      </c>
    </row>
    <row r="1987" customFormat="false" ht="15" hidden="false" customHeight="false" outlineLevel="0" collapsed="false">
      <c r="B1987" s="80"/>
      <c r="C1987" s="58"/>
      <c r="D1987" s="62" t="str">
        <f aca="false">IF(C1987="","",IFERROR(INDEX(T_NOMBRE,MATCH(V1987,T_RUTN,0)),"⚠ RUT no está en Trabajadores"))</f>
        <v/>
      </c>
      <c r="E1987" s="61"/>
      <c r="F1987" s="61"/>
      <c r="G1987" s="61"/>
      <c r="H1987" s="61"/>
      <c r="I1987" s="81"/>
      <c r="J1987" s="81"/>
      <c r="K1987" s="60"/>
      <c r="L1987" s="60"/>
      <c r="M1987" s="60"/>
      <c r="N1987" s="60"/>
      <c r="O1987" s="60"/>
      <c r="P1987" s="60"/>
      <c r="Q1987" s="60"/>
      <c r="R1987" s="58"/>
      <c r="S1987" s="62" t="str">
        <f aca="false">IF(OR(B1987="",V1987=""),"",IFERROR(INDEX(C_TIPO,MATCH(V1987&amp;"-P"&amp;MAX(1,COUNTIFS(C_RUTN,V1987,C_DEF,"Sí",C_INI,"&lt;="&amp;EOMONTH(B1987,0))),C_CLAVE,0))&amp;"","Sin contrato"))</f>
        <v/>
      </c>
      <c r="T1987" s="63" t="str">
        <f aca="false">IF(OR(B1987="",N(O1987)=0),"",N(O1987)+ROUND(MIN(N(N1987),TOPE_UF*UF_MES)*(TASA_EMP+MUTUAL),0)+ROUND(MIN(N(N1987),TOPE_AFC_UF*UF_MES)*IF(S1987="Indefinido",AFC_INDEF,AFC_PF),0))</f>
        <v/>
      </c>
      <c r="U1987" s="62" t="str">
        <f aca="false">IF(C1987="","",IF(LEFT(D1987,1)="⚠","⚠ RUT no registrado en Trabajadores",IF(B1987="","⚠ Falta el mes",IF(OR(ISTEXT(I1987),ISTEXT(J1987)),"⚠ Atrasos u horas extra como texto: escriba hh:mm (ej. 1:30)",IF(AND(ISNUMBER(Q1987),COUNTIFS(M_RUTN,V1987,M_MES,B1987,M_LIQ,"&lt;&gt;")&gt;1),"⚠ Liquidación repetida en el mes",IF(AND(ISNUMBER(O1987),ISNUMBER(P1987),ISNUMBER(Q1987),ABS(O1987-P1987-Q1987)&gt;1),"⚠ Haberes − descuentos no da el líquido","OK"))))))</f>
        <v/>
      </c>
      <c r="V1987" s="62" t="str">
        <f aca="false">IF(C1987="","",IFERROR(VALUE(LEFT(UPPER(SUBSTITUTE(SUBSTITUTE(SUBSTITUTE(TRIM(C1987),".",""),"-","")," ","")),LEN(UPPER(SUBSTITUTE(SUBSTITUTE(SUBSTITUTE(TRIM(C1987),".",""),"-","")," ","")))-1))&amp;RIGHT(UPPER(SUBSTITUTE(SUBSTITUTE(SUBSTITUTE(TRIM(C1987),".",""),"-","")," ","")),1),UPPER(SUBSTITUTE(SUBSTITUTE(SUBSTITUTE(TRIM(C1987),".",""),"-","")," ",""))))</f>
        <v/>
      </c>
    </row>
    <row r="1988" customFormat="false" ht="15" hidden="false" customHeight="false" outlineLevel="0" collapsed="false">
      <c r="B1988" s="80"/>
      <c r="C1988" s="58"/>
      <c r="D1988" s="62" t="str">
        <f aca="false">IF(C1988="","",IFERROR(INDEX(T_NOMBRE,MATCH(V1988,T_RUTN,0)),"⚠ RUT no está en Trabajadores"))</f>
        <v/>
      </c>
      <c r="E1988" s="61"/>
      <c r="F1988" s="61"/>
      <c r="G1988" s="61"/>
      <c r="H1988" s="61"/>
      <c r="I1988" s="81"/>
      <c r="J1988" s="81"/>
      <c r="K1988" s="60"/>
      <c r="L1988" s="60"/>
      <c r="M1988" s="60"/>
      <c r="N1988" s="60"/>
      <c r="O1988" s="60"/>
      <c r="P1988" s="60"/>
      <c r="Q1988" s="60"/>
      <c r="R1988" s="58"/>
      <c r="S1988" s="62" t="str">
        <f aca="false">IF(OR(B1988="",V1988=""),"",IFERROR(INDEX(C_TIPO,MATCH(V1988&amp;"-P"&amp;MAX(1,COUNTIFS(C_RUTN,V1988,C_DEF,"Sí",C_INI,"&lt;="&amp;EOMONTH(B1988,0))),C_CLAVE,0))&amp;"","Sin contrato"))</f>
        <v/>
      </c>
      <c r="T1988" s="63" t="str">
        <f aca="false">IF(OR(B1988="",N(O1988)=0),"",N(O1988)+ROUND(MIN(N(N1988),TOPE_UF*UF_MES)*(TASA_EMP+MUTUAL),0)+ROUND(MIN(N(N1988),TOPE_AFC_UF*UF_MES)*IF(S1988="Indefinido",AFC_INDEF,AFC_PF),0))</f>
        <v/>
      </c>
      <c r="U1988" s="62" t="str">
        <f aca="false">IF(C1988="","",IF(LEFT(D1988,1)="⚠","⚠ RUT no registrado en Trabajadores",IF(B1988="","⚠ Falta el mes",IF(OR(ISTEXT(I1988),ISTEXT(J1988)),"⚠ Atrasos u horas extra como texto: escriba hh:mm (ej. 1:30)",IF(AND(ISNUMBER(Q1988),COUNTIFS(M_RUTN,V1988,M_MES,B1988,M_LIQ,"&lt;&gt;")&gt;1),"⚠ Liquidación repetida en el mes",IF(AND(ISNUMBER(O1988),ISNUMBER(P1988),ISNUMBER(Q1988),ABS(O1988-P1988-Q1988)&gt;1),"⚠ Haberes − descuentos no da el líquido","OK"))))))</f>
        <v/>
      </c>
      <c r="V1988" s="62" t="str">
        <f aca="false">IF(C1988="","",IFERROR(VALUE(LEFT(UPPER(SUBSTITUTE(SUBSTITUTE(SUBSTITUTE(TRIM(C1988),".",""),"-","")," ","")),LEN(UPPER(SUBSTITUTE(SUBSTITUTE(SUBSTITUTE(TRIM(C1988),".",""),"-","")," ","")))-1))&amp;RIGHT(UPPER(SUBSTITUTE(SUBSTITUTE(SUBSTITUTE(TRIM(C1988),".",""),"-","")," ","")),1),UPPER(SUBSTITUTE(SUBSTITUTE(SUBSTITUTE(TRIM(C1988),".",""),"-","")," ",""))))</f>
        <v/>
      </c>
    </row>
    <row r="1989" customFormat="false" ht="15" hidden="false" customHeight="false" outlineLevel="0" collapsed="false">
      <c r="B1989" s="80"/>
      <c r="C1989" s="58"/>
      <c r="D1989" s="62" t="str">
        <f aca="false">IF(C1989="","",IFERROR(INDEX(T_NOMBRE,MATCH(V1989,T_RUTN,0)),"⚠ RUT no está en Trabajadores"))</f>
        <v/>
      </c>
      <c r="E1989" s="61"/>
      <c r="F1989" s="61"/>
      <c r="G1989" s="61"/>
      <c r="H1989" s="61"/>
      <c r="I1989" s="81"/>
      <c r="J1989" s="81"/>
      <c r="K1989" s="60"/>
      <c r="L1989" s="60"/>
      <c r="M1989" s="60"/>
      <c r="N1989" s="60"/>
      <c r="O1989" s="60"/>
      <c r="P1989" s="60"/>
      <c r="Q1989" s="60"/>
      <c r="R1989" s="58"/>
      <c r="S1989" s="62" t="str">
        <f aca="false">IF(OR(B1989="",V1989=""),"",IFERROR(INDEX(C_TIPO,MATCH(V1989&amp;"-P"&amp;MAX(1,COUNTIFS(C_RUTN,V1989,C_DEF,"Sí",C_INI,"&lt;="&amp;EOMONTH(B1989,0))),C_CLAVE,0))&amp;"","Sin contrato"))</f>
        <v/>
      </c>
      <c r="T1989" s="63" t="str">
        <f aca="false">IF(OR(B1989="",N(O1989)=0),"",N(O1989)+ROUND(MIN(N(N1989),TOPE_UF*UF_MES)*(TASA_EMP+MUTUAL),0)+ROUND(MIN(N(N1989),TOPE_AFC_UF*UF_MES)*IF(S1989="Indefinido",AFC_INDEF,AFC_PF),0))</f>
        <v/>
      </c>
      <c r="U1989" s="62" t="str">
        <f aca="false">IF(C1989="","",IF(LEFT(D1989,1)="⚠","⚠ RUT no registrado en Trabajadores",IF(B1989="","⚠ Falta el mes",IF(OR(ISTEXT(I1989),ISTEXT(J1989)),"⚠ Atrasos u horas extra como texto: escriba hh:mm (ej. 1:30)",IF(AND(ISNUMBER(Q1989),COUNTIFS(M_RUTN,V1989,M_MES,B1989,M_LIQ,"&lt;&gt;")&gt;1),"⚠ Liquidación repetida en el mes",IF(AND(ISNUMBER(O1989),ISNUMBER(P1989),ISNUMBER(Q1989),ABS(O1989-P1989-Q1989)&gt;1),"⚠ Haberes − descuentos no da el líquido","OK"))))))</f>
        <v/>
      </c>
      <c r="V1989" s="62" t="str">
        <f aca="false">IF(C1989="","",IFERROR(VALUE(LEFT(UPPER(SUBSTITUTE(SUBSTITUTE(SUBSTITUTE(TRIM(C1989),".",""),"-","")," ","")),LEN(UPPER(SUBSTITUTE(SUBSTITUTE(SUBSTITUTE(TRIM(C1989),".",""),"-","")," ","")))-1))&amp;RIGHT(UPPER(SUBSTITUTE(SUBSTITUTE(SUBSTITUTE(TRIM(C1989),".",""),"-","")," ","")),1),UPPER(SUBSTITUTE(SUBSTITUTE(SUBSTITUTE(TRIM(C1989),".",""),"-","")," ",""))))</f>
        <v/>
      </c>
    </row>
    <row r="1990" customFormat="false" ht="15" hidden="false" customHeight="false" outlineLevel="0" collapsed="false">
      <c r="B1990" s="80"/>
      <c r="C1990" s="58"/>
      <c r="D1990" s="62" t="str">
        <f aca="false">IF(C1990="","",IFERROR(INDEX(T_NOMBRE,MATCH(V1990,T_RUTN,0)),"⚠ RUT no está en Trabajadores"))</f>
        <v/>
      </c>
      <c r="E1990" s="61"/>
      <c r="F1990" s="61"/>
      <c r="G1990" s="61"/>
      <c r="H1990" s="61"/>
      <c r="I1990" s="81"/>
      <c r="J1990" s="81"/>
      <c r="K1990" s="60"/>
      <c r="L1990" s="60"/>
      <c r="M1990" s="60"/>
      <c r="N1990" s="60"/>
      <c r="O1990" s="60"/>
      <c r="P1990" s="60"/>
      <c r="Q1990" s="60"/>
      <c r="R1990" s="58"/>
      <c r="S1990" s="62" t="str">
        <f aca="false">IF(OR(B1990="",V1990=""),"",IFERROR(INDEX(C_TIPO,MATCH(V1990&amp;"-P"&amp;MAX(1,COUNTIFS(C_RUTN,V1990,C_DEF,"Sí",C_INI,"&lt;="&amp;EOMONTH(B1990,0))),C_CLAVE,0))&amp;"","Sin contrato"))</f>
        <v/>
      </c>
      <c r="T1990" s="63" t="str">
        <f aca="false">IF(OR(B1990="",N(O1990)=0),"",N(O1990)+ROUND(MIN(N(N1990),TOPE_UF*UF_MES)*(TASA_EMP+MUTUAL),0)+ROUND(MIN(N(N1990),TOPE_AFC_UF*UF_MES)*IF(S1990="Indefinido",AFC_INDEF,AFC_PF),0))</f>
        <v/>
      </c>
      <c r="U1990" s="62" t="str">
        <f aca="false">IF(C1990="","",IF(LEFT(D1990,1)="⚠","⚠ RUT no registrado en Trabajadores",IF(B1990="","⚠ Falta el mes",IF(OR(ISTEXT(I1990),ISTEXT(J1990)),"⚠ Atrasos u horas extra como texto: escriba hh:mm (ej. 1:30)",IF(AND(ISNUMBER(Q1990),COUNTIFS(M_RUTN,V1990,M_MES,B1990,M_LIQ,"&lt;&gt;")&gt;1),"⚠ Liquidación repetida en el mes",IF(AND(ISNUMBER(O1990),ISNUMBER(P1990),ISNUMBER(Q1990),ABS(O1990-P1990-Q1990)&gt;1),"⚠ Haberes − descuentos no da el líquido","OK"))))))</f>
        <v/>
      </c>
      <c r="V1990" s="62" t="str">
        <f aca="false">IF(C1990="","",IFERROR(VALUE(LEFT(UPPER(SUBSTITUTE(SUBSTITUTE(SUBSTITUTE(TRIM(C1990),".",""),"-","")," ","")),LEN(UPPER(SUBSTITUTE(SUBSTITUTE(SUBSTITUTE(TRIM(C1990),".",""),"-","")," ","")))-1))&amp;RIGHT(UPPER(SUBSTITUTE(SUBSTITUTE(SUBSTITUTE(TRIM(C1990),".",""),"-","")," ","")),1),UPPER(SUBSTITUTE(SUBSTITUTE(SUBSTITUTE(TRIM(C1990),".",""),"-","")," ",""))))</f>
        <v/>
      </c>
    </row>
    <row r="1991" customFormat="false" ht="15" hidden="false" customHeight="false" outlineLevel="0" collapsed="false">
      <c r="B1991" s="80"/>
      <c r="C1991" s="58"/>
      <c r="D1991" s="62" t="str">
        <f aca="false">IF(C1991="","",IFERROR(INDEX(T_NOMBRE,MATCH(V1991,T_RUTN,0)),"⚠ RUT no está en Trabajadores"))</f>
        <v/>
      </c>
      <c r="E1991" s="61"/>
      <c r="F1991" s="61"/>
      <c r="G1991" s="61"/>
      <c r="H1991" s="61"/>
      <c r="I1991" s="81"/>
      <c r="J1991" s="81"/>
      <c r="K1991" s="60"/>
      <c r="L1991" s="60"/>
      <c r="M1991" s="60"/>
      <c r="N1991" s="60"/>
      <c r="O1991" s="60"/>
      <c r="P1991" s="60"/>
      <c r="Q1991" s="60"/>
      <c r="R1991" s="58"/>
      <c r="S1991" s="62" t="str">
        <f aca="false">IF(OR(B1991="",V1991=""),"",IFERROR(INDEX(C_TIPO,MATCH(V1991&amp;"-P"&amp;MAX(1,COUNTIFS(C_RUTN,V1991,C_DEF,"Sí",C_INI,"&lt;="&amp;EOMONTH(B1991,0))),C_CLAVE,0))&amp;"","Sin contrato"))</f>
        <v/>
      </c>
      <c r="T1991" s="63" t="str">
        <f aca="false">IF(OR(B1991="",N(O1991)=0),"",N(O1991)+ROUND(MIN(N(N1991),TOPE_UF*UF_MES)*(TASA_EMP+MUTUAL),0)+ROUND(MIN(N(N1991),TOPE_AFC_UF*UF_MES)*IF(S1991="Indefinido",AFC_INDEF,AFC_PF),0))</f>
        <v/>
      </c>
      <c r="U1991" s="62" t="str">
        <f aca="false">IF(C1991="","",IF(LEFT(D1991,1)="⚠","⚠ RUT no registrado en Trabajadores",IF(B1991="","⚠ Falta el mes",IF(OR(ISTEXT(I1991),ISTEXT(J1991)),"⚠ Atrasos u horas extra como texto: escriba hh:mm (ej. 1:30)",IF(AND(ISNUMBER(Q1991),COUNTIFS(M_RUTN,V1991,M_MES,B1991,M_LIQ,"&lt;&gt;")&gt;1),"⚠ Liquidación repetida en el mes",IF(AND(ISNUMBER(O1991),ISNUMBER(P1991),ISNUMBER(Q1991),ABS(O1991-P1991-Q1991)&gt;1),"⚠ Haberes − descuentos no da el líquido","OK"))))))</f>
        <v/>
      </c>
      <c r="V1991" s="62" t="str">
        <f aca="false">IF(C1991="","",IFERROR(VALUE(LEFT(UPPER(SUBSTITUTE(SUBSTITUTE(SUBSTITUTE(TRIM(C1991),".",""),"-","")," ","")),LEN(UPPER(SUBSTITUTE(SUBSTITUTE(SUBSTITUTE(TRIM(C1991),".",""),"-","")," ","")))-1))&amp;RIGHT(UPPER(SUBSTITUTE(SUBSTITUTE(SUBSTITUTE(TRIM(C1991),".",""),"-","")," ","")),1),UPPER(SUBSTITUTE(SUBSTITUTE(SUBSTITUTE(TRIM(C1991),".",""),"-","")," ",""))))</f>
        <v/>
      </c>
    </row>
    <row r="1992" customFormat="false" ht="15" hidden="false" customHeight="false" outlineLevel="0" collapsed="false">
      <c r="B1992" s="80"/>
      <c r="C1992" s="58"/>
      <c r="D1992" s="62" t="str">
        <f aca="false">IF(C1992="","",IFERROR(INDEX(T_NOMBRE,MATCH(V1992,T_RUTN,0)),"⚠ RUT no está en Trabajadores"))</f>
        <v/>
      </c>
      <c r="E1992" s="61"/>
      <c r="F1992" s="61"/>
      <c r="G1992" s="61"/>
      <c r="H1992" s="61"/>
      <c r="I1992" s="81"/>
      <c r="J1992" s="81"/>
      <c r="K1992" s="60"/>
      <c r="L1992" s="60"/>
      <c r="M1992" s="60"/>
      <c r="N1992" s="60"/>
      <c r="O1992" s="60"/>
      <c r="P1992" s="60"/>
      <c r="Q1992" s="60"/>
      <c r="R1992" s="58"/>
      <c r="S1992" s="62" t="str">
        <f aca="false">IF(OR(B1992="",V1992=""),"",IFERROR(INDEX(C_TIPO,MATCH(V1992&amp;"-P"&amp;MAX(1,COUNTIFS(C_RUTN,V1992,C_DEF,"Sí",C_INI,"&lt;="&amp;EOMONTH(B1992,0))),C_CLAVE,0))&amp;"","Sin contrato"))</f>
        <v/>
      </c>
      <c r="T1992" s="63" t="str">
        <f aca="false">IF(OR(B1992="",N(O1992)=0),"",N(O1992)+ROUND(MIN(N(N1992),TOPE_UF*UF_MES)*(TASA_EMP+MUTUAL),0)+ROUND(MIN(N(N1992),TOPE_AFC_UF*UF_MES)*IF(S1992="Indefinido",AFC_INDEF,AFC_PF),0))</f>
        <v/>
      </c>
      <c r="U1992" s="62" t="str">
        <f aca="false">IF(C1992="","",IF(LEFT(D1992,1)="⚠","⚠ RUT no registrado en Trabajadores",IF(B1992="","⚠ Falta el mes",IF(OR(ISTEXT(I1992),ISTEXT(J1992)),"⚠ Atrasos u horas extra como texto: escriba hh:mm (ej. 1:30)",IF(AND(ISNUMBER(Q1992),COUNTIFS(M_RUTN,V1992,M_MES,B1992,M_LIQ,"&lt;&gt;")&gt;1),"⚠ Liquidación repetida en el mes",IF(AND(ISNUMBER(O1992),ISNUMBER(P1992),ISNUMBER(Q1992),ABS(O1992-P1992-Q1992)&gt;1),"⚠ Haberes − descuentos no da el líquido","OK"))))))</f>
        <v/>
      </c>
      <c r="V1992" s="62" t="str">
        <f aca="false">IF(C1992="","",IFERROR(VALUE(LEFT(UPPER(SUBSTITUTE(SUBSTITUTE(SUBSTITUTE(TRIM(C1992),".",""),"-","")," ","")),LEN(UPPER(SUBSTITUTE(SUBSTITUTE(SUBSTITUTE(TRIM(C1992),".",""),"-","")," ","")))-1))&amp;RIGHT(UPPER(SUBSTITUTE(SUBSTITUTE(SUBSTITUTE(TRIM(C1992),".",""),"-","")," ","")),1),UPPER(SUBSTITUTE(SUBSTITUTE(SUBSTITUTE(TRIM(C1992),".",""),"-","")," ",""))))</f>
        <v/>
      </c>
    </row>
    <row r="1993" customFormat="false" ht="15" hidden="false" customHeight="false" outlineLevel="0" collapsed="false">
      <c r="B1993" s="80"/>
      <c r="C1993" s="58"/>
      <c r="D1993" s="62" t="str">
        <f aca="false">IF(C1993="","",IFERROR(INDEX(T_NOMBRE,MATCH(V1993,T_RUTN,0)),"⚠ RUT no está en Trabajadores"))</f>
        <v/>
      </c>
      <c r="E1993" s="61"/>
      <c r="F1993" s="61"/>
      <c r="G1993" s="61"/>
      <c r="H1993" s="61"/>
      <c r="I1993" s="81"/>
      <c r="J1993" s="81"/>
      <c r="K1993" s="60"/>
      <c r="L1993" s="60"/>
      <c r="M1993" s="60"/>
      <c r="N1993" s="60"/>
      <c r="O1993" s="60"/>
      <c r="P1993" s="60"/>
      <c r="Q1993" s="60"/>
      <c r="R1993" s="58"/>
      <c r="S1993" s="62" t="str">
        <f aca="false">IF(OR(B1993="",V1993=""),"",IFERROR(INDEX(C_TIPO,MATCH(V1993&amp;"-P"&amp;MAX(1,COUNTIFS(C_RUTN,V1993,C_DEF,"Sí",C_INI,"&lt;="&amp;EOMONTH(B1993,0))),C_CLAVE,0))&amp;"","Sin contrato"))</f>
        <v/>
      </c>
      <c r="T1993" s="63" t="str">
        <f aca="false">IF(OR(B1993="",N(O1993)=0),"",N(O1993)+ROUND(MIN(N(N1993),TOPE_UF*UF_MES)*(TASA_EMP+MUTUAL),0)+ROUND(MIN(N(N1993),TOPE_AFC_UF*UF_MES)*IF(S1993="Indefinido",AFC_INDEF,AFC_PF),0))</f>
        <v/>
      </c>
      <c r="U1993" s="62" t="str">
        <f aca="false">IF(C1993="","",IF(LEFT(D1993,1)="⚠","⚠ RUT no registrado en Trabajadores",IF(B1993="","⚠ Falta el mes",IF(OR(ISTEXT(I1993),ISTEXT(J1993)),"⚠ Atrasos u horas extra como texto: escriba hh:mm (ej. 1:30)",IF(AND(ISNUMBER(Q1993),COUNTIFS(M_RUTN,V1993,M_MES,B1993,M_LIQ,"&lt;&gt;")&gt;1),"⚠ Liquidación repetida en el mes",IF(AND(ISNUMBER(O1993),ISNUMBER(P1993),ISNUMBER(Q1993),ABS(O1993-P1993-Q1993)&gt;1),"⚠ Haberes − descuentos no da el líquido","OK"))))))</f>
        <v/>
      </c>
      <c r="V1993" s="62" t="str">
        <f aca="false">IF(C1993="","",IFERROR(VALUE(LEFT(UPPER(SUBSTITUTE(SUBSTITUTE(SUBSTITUTE(TRIM(C1993),".",""),"-","")," ","")),LEN(UPPER(SUBSTITUTE(SUBSTITUTE(SUBSTITUTE(TRIM(C1993),".",""),"-","")," ","")))-1))&amp;RIGHT(UPPER(SUBSTITUTE(SUBSTITUTE(SUBSTITUTE(TRIM(C1993),".",""),"-","")," ","")),1),UPPER(SUBSTITUTE(SUBSTITUTE(SUBSTITUTE(TRIM(C1993),".",""),"-","")," ",""))))</f>
        <v/>
      </c>
    </row>
    <row r="1994" customFormat="false" ht="15" hidden="false" customHeight="false" outlineLevel="0" collapsed="false">
      <c r="B1994" s="80"/>
      <c r="C1994" s="58"/>
      <c r="D1994" s="62" t="str">
        <f aca="false">IF(C1994="","",IFERROR(INDEX(T_NOMBRE,MATCH(V1994,T_RUTN,0)),"⚠ RUT no está en Trabajadores"))</f>
        <v/>
      </c>
      <c r="E1994" s="61"/>
      <c r="F1994" s="61"/>
      <c r="G1994" s="61"/>
      <c r="H1994" s="61"/>
      <c r="I1994" s="81"/>
      <c r="J1994" s="81"/>
      <c r="K1994" s="60"/>
      <c r="L1994" s="60"/>
      <c r="M1994" s="60"/>
      <c r="N1994" s="60"/>
      <c r="O1994" s="60"/>
      <c r="P1994" s="60"/>
      <c r="Q1994" s="60"/>
      <c r="R1994" s="58"/>
      <c r="S1994" s="62" t="str">
        <f aca="false">IF(OR(B1994="",V1994=""),"",IFERROR(INDEX(C_TIPO,MATCH(V1994&amp;"-P"&amp;MAX(1,COUNTIFS(C_RUTN,V1994,C_DEF,"Sí",C_INI,"&lt;="&amp;EOMONTH(B1994,0))),C_CLAVE,0))&amp;"","Sin contrato"))</f>
        <v/>
      </c>
      <c r="T1994" s="63" t="str">
        <f aca="false">IF(OR(B1994="",N(O1994)=0),"",N(O1994)+ROUND(MIN(N(N1994),TOPE_UF*UF_MES)*(TASA_EMP+MUTUAL),0)+ROUND(MIN(N(N1994),TOPE_AFC_UF*UF_MES)*IF(S1994="Indefinido",AFC_INDEF,AFC_PF),0))</f>
        <v/>
      </c>
      <c r="U1994" s="62" t="str">
        <f aca="false">IF(C1994="","",IF(LEFT(D1994,1)="⚠","⚠ RUT no registrado en Trabajadores",IF(B1994="","⚠ Falta el mes",IF(OR(ISTEXT(I1994),ISTEXT(J1994)),"⚠ Atrasos u horas extra como texto: escriba hh:mm (ej. 1:30)",IF(AND(ISNUMBER(Q1994),COUNTIFS(M_RUTN,V1994,M_MES,B1994,M_LIQ,"&lt;&gt;")&gt;1),"⚠ Liquidación repetida en el mes",IF(AND(ISNUMBER(O1994),ISNUMBER(P1994),ISNUMBER(Q1994),ABS(O1994-P1994-Q1994)&gt;1),"⚠ Haberes − descuentos no da el líquido","OK"))))))</f>
        <v/>
      </c>
      <c r="V1994" s="62" t="str">
        <f aca="false">IF(C1994="","",IFERROR(VALUE(LEFT(UPPER(SUBSTITUTE(SUBSTITUTE(SUBSTITUTE(TRIM(C1994),".",""),"-","")," ","")),LEN(UPPER(SUBSTITUTE(SUBSTITUTE(SUBSTITUTE(TRIM(C1994),".",""),"-","")," ","")))-1))&amp;RIGHT(UPPER(SUBSTITUTE(SUBSTITUTE(SUBSTITUTE(TRIM(C1994),".",""),"-","")," ","")),1),UPPER(SUBSTITUTE(SUBSTITUTE(SUBSTITUTE(TRIM(C1994),".",""),"-","")," ",""))))</f>
        <v/>
      </c>
    </row>
    <row r="1995" customFormat="false" ht="15" hidden="false" customHeight="false" outlineLevel="0" collapsed="false">
      <c r="B1995" s="80"/>
      <c r="C1995" s="58"/>
      <c r="D1995" s="62" t="str">
        <f aca="false">IF(C1995="","",IFERROR(INDEX(T_NOMBRE,MATCH(V1995,T_RUTN,0)),"⚠ RUT no está en Trabajadores"))</f>
        <v/>
      </c>
      <c r="E1995" s="61"/>
      <c r="F1995" s="61"/>
      <c r="G1995" s="61"/>
      <c r="H1995" s="61"/>
      <c r="I1995" s="81"/>
      <c r="J1995" s="81"/>
      <c r="K1995" s="60"/>
      <c r="L1995" s="60"/>
      <c r="M1995" s="60"/>
      <c r="N1995" s="60"/>
      <c r="O1995" s="60"/>
      <c r="P1995" s="60"/>
      <c r="Q1995" s="60"/>
      <c r="R1995" s="58"/>
      <c r="S1995" s="62" t="str">
        <f aca="false">IF(OR(B1995="",V1995=""),"",IFERROR(INDEX(C_TIPO,MATCH(V1995&amp;"-P"&amp;MAX(1,COUNTIFS(C_RUTN,V1995,C_DEF,"Sí",C_INI,"&lt;="&amp;EOMONTH(B1995,0))),C_CLAVE,0))&amp;"","Sin contrato"))</f>
        <v/>
      </c>
      <c r="T1995" s="63" t="str">
        <f aca="false">IF(OR(B1995="",N(O1995)=0),"",N(O1995)+ROUND(MIN(N(N1995),TOPE_UF*UF_MES)*(TASA_EMP+MUTUAL),0)+ROUND(MIN(N(N1995),TOPE_AFC_UF*UF_MES)*IF(S1995="Indefinido",AFC_INDEF,AFC_PF),0))</f>
        <v/>
      </c>
      <c r="U1995" s="62" t="str">
        <f aca="false">IF(C1995="","",IF(LEFT(D1995,1)="⚠","⚠ RUT no registrado en Trabajadores",IF(B1995="","⚠ Falta el mes",IF(OR(ISTEXT(I1995),ISTEXT(J1995)),"⚠ Atrasos u horas extra como texto: escriba hh:mm (ej. 1:30)",IF(AND(ISNUMBER(Q1995),COUNTIFS(M_RUTN,V1995,M_MES,B1995,M_LIQ,"&lt;&gt;")&gt;1),"⚠ Liquidación repetida en el mes",IF(AND(ISNUMBER(O1995),ISNUMBER(P1995),ISNUMBER(Q1995),ABS(O1995-P1995-Q1995)&gt;1),"⚠ Haberes − descuentos no da el líquido","OK"))))))</f>
        <v/>
      </c>
      <c r="V1995" s="62" t="str">
        <f aca="false">IF(C1995="","",IFERROR(VALUE(LEFT(UPPER(SUBSTITUTE(SUBSTITUTE(SUBSTITUTE(TRIM(C1995),".",""),"-","")," ","")),LEN(UPPER(SUBSTITUTE(SUBSTITUTE(SUBSTITUTE(TRIM(C1995),".",""),"-","")," ","")))-1))&amp;RIGHT(UPPER(SUBSTITUTE(SUBSTITUTE(SUBSTITUTE(TRIM(C1995),".",""),"-","")," ","")),1),UPPER(SUBSTITUTE(SUBSTITUTE(SUBSTITUTE(TRIM(C1995),".",""),"-","")," ",""))))</f>
        <v/>
      </c>
    </row>
    <row r="1996" customFormat="false" ht="15" hidden="false" customHeight="false" outlineLevel="0" collapsed="false">
      <c r="B1996" s="80"/>
      <c r="C1996" s="58"/>
      <c r="D1996" s="62" t="str">
        <f aca="false">IF(C1996="","",IFERROR(INDEX(T_NOMBRE,MATCH(V1996,T_RUTN,0)),"⚠ RUT no está en Trabajadores"))</f>
        <v/>
      </c>
      <c r="E1996" s="61"/>
      <c r="F1996" s="61"/>
      <c r="G1996" s="61"/>
      <c r="H1996" s="61"/>
      <c r="I1996" s="81"/>
      <c r="J1996" s="81"/>
      <c r="K1996" s="60"/>
      <c r="L1996" s="60"/>
      <c r="M1996" s="60"/>
      <c r="N1996" s="60"/>
      <c r="O1996" s="60"/>
      <c r="P1996" s="60"/>
      <c r="Q1996" s="60"/>
      <c r="R1996" s="58"/>
      <c r="S1996" s="62" t="str">
        <f aca="false">IF(OR(B1996="",V1996=""),"",IFERROR(INDEX(C_TIPO,MATCH(V1996&amp;"-P"&amp;MAX(1,COUNTIFS(C_RUTN,V1996,C_DEF,"Sí",C_INI,"&lt;="&amp;EOMONTH(B1996,0))),C_CLAVE,0))&amp;"","Sin contrato"))</f>
        <v/>
      </c>
      <c r="T1996" s="63" t="str">
        <f aca="false">IF(OR(B1996="",N(O1996)=0),"",N(O1996)+ROUND(MIN(N(N1996),TOPE_UF*UF_MES)*(TASA_EMP+MUTUAL),0)+ROUND(MIN(N(N1996),TOPE_AFC_UF*UF_MES)*IF(S1996="Indefinido",AFC_INDEF,AFC_PF),0))</f>
        <v/>
      </c>
      <c r="U1996" s="62" t="str">
        <f aca="false">IF(C1996="","",IF(LEFT(D1996,1)="⚠","⚠ RUT no registrado en Trabajadores",IF(B1996="","⚠ Falta el mes",IF(OR(ISTEXT(I1996),ISTEXT(J1996)),"⚠ Atrasos u horas extra como texto: escriba hh:mm (ej. 1:30)",IF(AND(ISNUMBER(Q1996),COUNTIFS(M_RUTN,V1996,M_MES,B1996,M_LIQ,"&lt;&gt;")&gt;1),"⚠ Liquidación repetida en el mes",IF(AND(ISNUMBER(O1996),ISNUMBER(P1996),ISNUMBER(Q1996),ABS(O1996-P1996-Q1996)&gt;1),"⚠ Haberes − descuentos no da el líquido","OK"))))))</f>
        <v/>
      </c>
      <c r="V1996" s="62" t="str">
        <f aca="false">IF(C1996="","",IFERROR(VALUE(LEFT(UPPER(SUBSTITUTE(SUBSTITUTE(SUBSTITUTE(TRIM(C1996),".",""),"-","")," ","")),LEN(UPPER(SUBSTITUTE(SUBSTITUTE(SUBSTITUTE(TRIM(C1996),".",""),"-","")," ","")))-1))&amp;RIGHT(UPPER(SUBSTITUTE(SUBSTITUTE(SUBSTITUTE(TRIM(C1996),".",""),"-","")," ","")),1),UPPER(SUBSTITUTE(SUBSTITUTE(SUBSTITUTE(TRIM(C1996),".",""),"-","")," ",""))))</f>
        <v/>
      </c>
    </row>
    <row r="1997" customFormat="false" ht="15" hidden="false" customHeight="false" outlineLevel="0" collapsed="false">
      <c r="B1997" s="80"/>
      <c r="C1997" s="58"/>
      <c r="D1997" s="62" t="str">
        <f aca="false">IF(C1997="","",IFERROR(INDEX(T_NOMBRE,MATCH(V1997,T_RUTN,0)),"⚠ RUT no está en Trabajadores"))</f>
        <v/>
      </c>
      <c r="E1997" s="61"/>
      <c r="F1997" s="61"/>
      <c r="G1997" s="61"/>
      <c r="H1997" s="61"/>
      <c r="I1997" s="81"/>
      <c r="J1997" s="81"/>
      <c r="K1997" s="60"/>
      <c r="L1997" s="60"/>
      <c r="M1997" s="60"/>
      <c r="N1997" s="60"/>
      <c r="O1997" s="60"/>
      <c r="P1997" s="60"/>
      <c r="Q1997" s="60"/>
      <c r="R1997" s="58"/>
      <c r="S1997" s="62" t="str">
        <f aca="false">IF(OR(B1997="",V1997=""),"",IFERROR(INDEX(C_TIPO,MATCH(V1997&amp;"-P"&amp;MAX(1,COUNTIFS(C_RUTN,V1997,C_DEF,"Sí",C_INI,"&lt;="&amp;EOMONTH(B1997,0))),C_CLAVE,0))&amp;"","Sin contrato"))</f>
        <v/>
      </c>
      <c r="T1997" s="63" t="str">
        <f aca="false">IF(OR(B1997="",N(O1997)=0),"",N(O1997)+ROUND(MIN(N(N1997),TOPE_UF*UF_MES)*(TASA_EMP+MUTUAL),0)+ROUND(MIN(N(N1997),TOPE_AFC_UF*UF_MES)*IF(S1997="Indefinido",AFC_INDEF,AFC_PF),0))</f>
        <v/>
      </c>
      <c r="U1997" s="62" t="str">
        <f aca="false">IF(C1997="","",IF(LEFT(D1997,1)="⚠","⚠ RUT no registrado en Trabajadores",IF(B1997="","⚠ Falta el mes",IF(OR(ISTEXT(I1997),ISTEXT(J1997)),"⚠ Atrasos u horas extra como texto: escriba hh:mm (ej. 1:30)",IF(AND(ISNUMBER(Q1997),COUNTIFS(M_RUTN,V1997,M_MES,B1997,M_LIQ,"&lt;&gt;")&gt;1),"⚠ Liquidación repetida en el mes",IF(AND(ISNUMBER(O1997),ISNUMBER(P1997),ISNUMBER(Q1997),ABS(O1997-P1997-Q1997)&gt;1),"⚠ Haberes − descuentos no da el líquido","OK"))))))</f>
        <v/>
      </c>
      <c r="V1997" s="62" t="str">
        <f aca="false">IF(C1997="","",IFERROR(VALUE(LEFT(UPPER(SUBSTITUTE(SUBSTITUTE(SUBSTITUTE(TRIM(C1997),".",""),"-","")," ","")),LEN(UPPER(SUBSTITUTE(SUBSTITUTE(SUBSTITUTE(TRIM(C1997),".",""),"-","")," ","")))-1))&amp;RIGHT(UPPER(SUBSTITUTE(SUBSTITUTE(SUBSTITUTE(TRIM(C1997),".",""),"-","")," ","")),1),UPPER(SUBSTITUTE(SUBSTITUTE(SUBSTITUTE(TRIM(C1997),".",""),"-","")," ",""))))</f>
        <v/>
      </c>
    </row>
    <row r="1998" customFormat="false" ht="15" hidden="false" customHeight="false" outlineLevel="0" collapsed="false">
      <c r="B1998" s="80"/>
      <c r="C1998" s="58"/>
      <c r="D1998" s="62" t="str">
        <f aca="false">IF(C1998="","",IFERROR(INDEX(T_NOMBRE,MATCH(V1998,T_RUTN,0)),"⚠ RUT no está en Trabajadores"))</f>
        <v/>
      </c>
      <c r="E1998" s="61"/>
      <c r="F1998" s="61"/>
      <c r="G1998" s="61"/>
      <c r="H1998" s="61"/>
      <c r="I1998" s="81"/>
      <c r="J1998" s="81"/>
      <c r="K1998" s="60"/>
      <c r="L1998" s="60"/>
      <c r="M1998" s="60"/>
      <c r="N1998" s="60"/>
      <c r="O1998" s="60"/>
      <c r="P1998" s="60"/>
      <c r="Q1998" s="60"/>
      <c r="R1998" s="58"/>
      <c r="S1998" s="62" t="str">
        <f aca="false">IF(OR(B1998="",V1998=""),"",IFERROR(INDEX(C_TIPO,MATCH(V1998&amp;"-P"&amp;MAX(1,COUNTIFS(C_RUTN,V1998,C_DEF,"Sí",C_INI,"&lt;="&amp;EOMONTH(B1998,0))),C_CLAVE,0))&amp;"","Sin contrato"))</f>
        <v/>
      </c>
      <c r="T1998" s="63" t="str">
        <f aca="false">IF(OR(B1998="",N(O1998)=0),"",N(O1998)+ROUND(MIN(N(N1998),TOPE_UF*UF_MES)*(TASA_EMP+MUTUAL),0)+ROUND(MIN(N(N1998),TOPE_AFC_UF*UF_MES)*IF(S1998="Indefinido",AFC_INDEF,AFC_PF),0))</f>
        <v/>
      </c>
      <c r="U1998" s="62" t="str">
        <f aca="false">IF(C1998="","",IF(LEFT(D1998,1)="⚠","⚠ RUT no registrado en Trabajadores",IF(B1998="","⚠ Falta el mes",IF(OR(ISTEXT(I1998),ISTEXT(J1998)),"⚠ Atrasos u horas extra como texto: escriba hh:mm (ej. 1:30)",IF(AND(ISNUMBER(Q1998),COUNTIFS(M_RUTN,V1998,M_MES,B1998,M_LIQ,"&lt;&gt;")&gt;1),"⚠ Liquidación repetida en el mes",IF(AND(ISNUMBER(O1998),ISNUMBER(P1998),ISNUMBER(Q1998),ABS(O1998-P1998-Q1998)&gt;1),"⚠ Haberes − descuentos no da el líquido","OK"))))))</f>
        <v/>
      </c>
      <c r="V1998" s="62" t="str">
        <f aca="false">IF(C1998="","",IFERROR(VALUE(LEFT(UPPER(SUBSTITUTE(SUBSTITUTE(SUBSTITUTE(TRIM(C1998),".",""),"-","")," ","")),LEN(UPPER(SUBSTITUTE(SUBSTITUTE(SUBSTITUTE(TRIM(C1998),".",""),"-","")," ","")))-1))&amp;RIGHT(UPPER(SUBSTITUTE(SUBSTITUTE(SUBSTITUTE(TRIM(C1998),".",""),"-","")," ","")),1),UPPER(SUBSTITUTE(SUBSTITUTE(SUBSTITUTE(TRIM(C1998),".",""),"-","")," ",""))))</f>
        <v/>
      </c>
    </row>
    <row r="1999" customFormat="false" ht="15" hidden="false" customHeight="false" outlineLevel="0" collapsed="false">
      <c r="B1999" s="80"/>
      <c r="C1999" s="58"/>
      <c r="D1999" s="62" t="str">
        <f aca="false">IF(C1999="","",IFERROR(INDEX(T_NOMBRE,MATCH(V1999,T_RUTN,0)),"⚠ RUT no está en Trabajadores"))</f>
        <v/>
      </c>
      <c r="E1999" s="61"/>
      <c r="F1999" s="61"/>
      <c r="G1999" s="61"/>
      <c r="H1999" s="61"/>
      <c r="I1999" s="81"/>
      <c r="J1999" s="81"/>
      <c r="K1999" s="60"/>
      <c r="L1999" s="60"/>
      <c r="M1999" s="60"/>
      <c r="N1999" s="60"/>
      <c r="O1999" s="60"/>
      <c r="P1999" s="60"/>
      <c r="Q1999" s="60"/>
      <c r="R1999" s="58"/>
      <c r="S1999" s="62" t="str">
        <f aca="false">IF(OR(B1999="",V1999=""),"",IFERROR(INDEX(C_TIPO,MATCH(V1999&amp;"-P"&amp;MAX(1,COUNTIFS(C_RUTN,V1999,C_DEF,"Sí",C_INI,"&lt;="&amp;EOMONTH(B1999,0))),C_CLAVE,0))&amp;"","Sin contrato"))</f>
        <v/>
      </c>
      <c r="T1999" s="63" t="str">
        <f aca="false">IF(OR(B1999="",N(O1999)=0),"",N(O1999)+ROUND(MIN(N(N1999),TOPE_UF*UF_MES)*(TASA_EMP+MUTUAL),0)+ROUND(MIN(N(N1999),TOPE_AFC_UF*UF_MES)*IF(S1999="Indefinido",AFC_INDEF,AFC_PF),0))</f>
        <v/>
      </c>
      <c r="U1999" s="62" t="str">
        <f aca="false">IF(C1999="","",IF(LEFT(D1999,1)="⚠","⚠ RUT no registrado en Trabajadores",IF(B1999="","⚠ Falta el mes",IF(OR(ISTEXT(I1999),ISTEXT(J1999)),"⚠ Atrasos u horas extra como texto: escriba hh:mm (ej. 1:30)",IF(AND(ISNUMBER(Q1999),COUNTIFS(M_RUTN,V1999,M_MES,B1999,M_LIQ,"&lt;&gt;")&gt;1),"⚠ Liquidación repetida en el mes",IF(AND(ISNUMBER(O1999),ISNUMBER(P1999),ISNUMBER(Q1999),ABS(O1999-P1999-Q1999)&gt;1),"⚠ Haberes − descuentos no da el líquido","OK"))))))</f>
        <v/>
      </c>
      <c r="V1999" s="62" t="str">
        <f aca="false">IF(C1999="","",IFERROR(VALUE(LEFT(UPPER(SUBSTITUTE(SUBSTITUTE(SUBSTITUTE(TRIM(C1999),".",""),"-","")," ","")),LEN(UPPER(SUBSTITUTE(SUBSTITUTE(SUBSTITUTE(TRIM(C1999),".",""),"-","")," ","")))-1))&amp;RIGHT(UPPER(SUBSTITUTE(SUBSTITUTE(SUBSTITUTE(TRIM(C1999),".",""),"-","")," ","")),1),UPPER(SUBSTITUTE(SUBSTITUTE(SUBSTITUTE(TRIM(C1999),".",""),"-","")," ",""))))</f>
        <v/>
      </c>
    </row>
    <row r="2000" customFormat="false" ht="15" hidden="false" customHeight="false" outlineLevel="0" collapsed="false">
      <c r="B2000" s="80"/>
      <c r="C2000" s="58"/>
      <c r="D2000" s="62" t="str">
        <f aca="false">IF(C2000="","",IFERROR(INDEX(T_NOMBRE,MATCH(V2000,T_RUTN,0)),"⚠ RUT no está en Trabajadores"))</f>
        <v/>
      </c>
      <c r="E2000" s="61"/>
      <c r="F2000" s="61"/>
      <c r="G2000" s="61"/>
      <c r="H2000" s="61"/>
      <c r="I2000" s="81"/>
      <c r="J2000" s="81"/>
      <c r="K2000" s="60"/>
      <c r="L2000" s="60"/>
      <c r="M2000" s="60"/>
      <c r="N2000" s="60"/>
      <c r="O2000" s="60"/>
      <c r="P2000" s="60"/>
      <c r="Q2000" s="60"/>
      <c r="R2000" s="58"/>
      <c r="S2000" s="62" t="str">
        <f aca="false">IF(OR(B2000="",V2000=""),"",IFERROR(INDEX(C_TIPO,MATCH(V2000&amp;"-P"&amp;MAX(1,COUNTIFS(C_RUTN,V2000,C_DEF,"Sí",C_INI,"&lt;="&amp;EOMONTH(B2000,0))),C_CLAVE,0))&amp;"","Sin contrato"))</f>
        <v/>
      </c>
      <c r="T2000" s="63" t="str">
        <f aca="false">IF(OR(B2000="",N(O2000)=0),"",N(O2000)+ROUND(MIN(N(N2000),TOPE_UF*UF_MES)*(TASA_EMP+MUTUAL),0)+ROUND(MIN(N(N2000),TOPE_AFC_UF*UF_MES)*IF(S2000="Indefinido",AFC_INDEF,AFC_PF),0))</f>
        <v/>
      </c>
      <c r="U2000" s="62" t="str">
        <f aca="false">IF(C2000="","",IF(LEFT(D2000,1)="⚠","⚠ RUT no registrado en Trabajadores",IF(B2000="","⚠ Falta el mes",IF(OR(ISTEXT(I2000),ISTEXT(J2000)),"⚠ Atrasos u horas extra como texto: escriba hh:mm (ej. 1:30)",IF(AND(ISNUMBER(Q2000),COUNTIFS(M_RUTN,V2000,M_MES,B2000,M_LIQ,"&lt;&gt;")&gt;1),"⚠ Liquidación repetida en el mes",IF(AND(ISNUMBER(O2000),ISNUMBER(P2000),ISNUMBER(Q2000),ABS(O2000-P2000-Q2000)&gt;1),"⚠ Haberes − descuentos no da el líquido","OK"))))))</f>
        <v/>
      </c>
      <c r="V2000" s="62" t="str">
        <f aca="false">IF(C2000="","",IFERROR(VALUE(LEFT(UPPER(SUBSTITUTE(SUBSTITUTE(SUBSTITUTE(TRIM(C2000),".",""),"-","")," ","")),LEN(UPPER(SUBSTITUTE(SUBSTITUTE(SUBSTITUTE(TRIM(C2000),".",""),"-","")," ","")))-1))&amp;RIGHT(UPPER(SUBSTITUTE(SUBSTITUTE(SUBSTITUTE(TRIM(C2000),".",""),"-","")," ","")),1),UPPER(SUBSTITUTE(SUBSTITUTE(SUBSTITUTE(TRIM(C2000),".",""),"-","")," ",""))))</f>
        <v/>
      </c>
    </row>
    <row r="2001" customFormat="false" ht="15" hidden="false" customHeight="false" outlineLevel="0" collapsed="false">
      <c r="B2001" s="80"/>
      <c r="C2001" s="58"/>
      <c r="D2001" s="62" t="str">
        <f aca="false">IF(C2001="","",IFERROR(INDEX(T_NOMBRE,MATCH(V2001,T_RUTN,0)),"⚠ RUT no está en Trabajadores"))</f>
        <v/>
      </c>
      <c r="E2001" s="61"/>
      <c r="F2001" s="61"/>
      <c r="G2001" s="61"/>
      <c r="H2001" s="61"/>
      <c r="I2001" s="81"/>
      <c r="J2001" s="81"/>
      <c r="K2001" s="60"/>
      <c r="L2001" s="60"/>
      <c r="M2001" s="60"/>
      <c r="N2001" s="60"/>
      <c r="O2001" s="60"/>
      <c r="P2001" s="60"/>
      <c r="Q2001" s="60"/>
      <c r="R2001" s="58"/>
      <c r="S2001" s="62" t="str">
        <f aca="false">IF(OR(B2001="",V2001=""),"",IFERROR(INDEX(C_TIPO,MATCH(V2001&amp;"-P"&amp;MAX(1,COUNTIFS(C_RUTN,V2001,C_DEF,"Sí",C_INI,"&lt;="&amp;EOMONTH(B2001,0))),C_CLAVE,0))&amp;"","Sin contrato"))</f>
        <v/>
      </c>
      <c r="T2001" s="63" t="str">
        <f aca="false">IF(OR(B2001="",N(O2001)=0),"",N(O2001)+ROUND(MIN(N(N2001),TOPE_UF*UF_MES)*(TASA_EMP+MUTUAL),0)+ROUND(MIN(N(N2001),TOPE_AFC_UF*UF_MES)*IF(S2001="Indefinido",AFC_INDEF,AFC_PF),0))</f>
        <v/>
      </c>
      <c r="U2001" s="62" t="str">
        <f aca="false">IF(C2001="","",IF(LEFT(D2001,1)="⚠","⚠ RUT no registrado en Trabajadores",IF(B2001="","⚠ Falta el mes",IF(OR(ISTEXT(I2001),ISTEXT(J2001)),"⚠ Atrasos u horas extra como texto: escriba hh:mm (ej. 1:30)",IF(AND(ISNUMBER(Q2001),COUNTIFS(M_RUTN,V2001,M_MES,B2001,M_LIQ,"&lt;&gt;")&gt;1),"⚠ Liquidación repetida en el mes",IF(AND(ISNUMBER(O2001),ISNUMBER(P2001),ISNUMBER(Q2001),ABS(O2001-P2001-Q2001)&gt;1),"⚠ Haberes − descuentos no da el líquido","OK"))))))</f>
        <v/>
      </c>
      <c r="V2001" s="62" t="str">
        <f aca="false">IF(C2001="","",IFERROR(VALUE(LEFT(UPPER(SUBSTITUTE(SUBSTITUTE(SUBSTITUTE(TRIM(C2001),".",""),"-","")," ","")),LEN(UPPER(SUBSTITUTE(SUBSTITUTE(SUBSTITUTE(TRIM(C2001),".",""),"-","")," ","")))-1))&amp;RIGHT(UPPER(SUBSTITUTE(SUBSTITUTE(SUBSTITUTE(TRIM(C2001),".",""),"-","")," ","")),1),UPPER(SUBSTITUTE(SUBSTITUTE(SUBSTITUTE(TRIM(C2001),".",""),"-","")," ",""))))</f>
        <v/>
      </c>
    </row>
    <row r="2002" customFormat="false" ht="15" hidden="false" customHeight="false" outlineLevel="0" collapsed="false">
      <c r="B2002" s="80"/>
      <c r="C2002" s="58"/>
      <c r="D2002" s="62" t="str">
        <f aca="false">IF(C2002="","",IFERROR(INDEX(T_NOMBRE,MATCH(V2002,T_RUTN,0)),"⚠ RUT no está en Trabajadores"))</f>
        <v/>
      </c>
      <c r="E2002" s="61"/>
      <c r="F2002" s="61"/>
      <c r="G2002" s="61"/>
      <c r="H2002" s="61"/>
      <c r="I2002" s="81"/>
      <c r="J2002" s="81"/>
      <c r="K2002" s="60"/>
      <c r="L2002" s="60"/>
      <c r="M2002" s="60"/>
      <c r="N2002" s="60"/>
      <c r="O2002" s="60"/>
      <c r="P2002" s="60"/>
      <c r="Q2002" s="60"/>
      <c r="R2002" s="58"/>
      <c r="S2002" s="62" t="str">
        <f aca="false">IF(OR(B2002="",V2002=""),"",IFERROR(INDEX(C_TIPO,MATCH(V2002&amp;"-P"&amp;MAX(1,COUNTIFS(C_RUTN,V2002,C_DEF,"Sí",C_INI,"&lt;="&amp;EOMONTH(B2002,0))),C_CLAVE,0))&amp;"","Sin contrato"))</f>
        <v/>
      </c>
      <c r="T2002" s="63" t="str">
        <f aca="false">IF(OR(B2002="",N(O2002)=0),"",N(O2002)+ROUND(MIN(N(N2002),TOPE_UF*UF_MES)*(TASA_EMP+MUTUAL),0)+ROUND(MIN(N(N2002),TOPE_AFC_UF*UF_MES)*IF(S2002="Indefinido",AFC_INDEF,AFC_PF),0))</f>
        <v/>
      </c>
      <c r="U2002" s="62" t="str">
        <f aca="false">IF(C2002="","",IF(LEFT(D2002,1)="⚠","⚠ RUT no registrado en Trabajadores",IF(B2002="","⚠ Falta el mes",IF(OR(ISTEXT(I2002),ISTEXT(J2002)),"⚠ Atrasos u horas extra como texto: escriba hh:mm (ej. 1:30)",IF(AND(ISNUMBER(Q2002),COUNTIFS(M_RUTN,V2002,M_MES,B2002,M_LIQ,"&lt;&gt;")&gt;1),"⚠ Liquidación repetida en el mes",IF(AND(ISNUMBER(O2002),ISNUMBER(P2002),ISNUMBER(Q2002),ABS(O2002-P2002-Q2002)&gt;1),"⚠ Haberes − descuentos no da el líquido","OK"))))))</f>
        <v/>
      </c>
      <c r="V2002" s="62" t="str">
        <f aca="false">IF(C2002="","",IFERROR(VALUE(LEFT(UPPER(SUBSTITUTE(SUBSTITUTE(SUBSTITUTE(TRIM(C2002),".",""),"-","")," ","")),LEN(UPPER(SUBSTITUTE(SUBSTITUTE(SUBSTITUTE(TRIM(C2002),".",""),"-","")," ","")))-1))&amp;RIGHT(UPPER(SUBSTITUTE(SUBSTITUTE(SUBSTITUTE(TRIM(C2002),".",""),"-","")," ","")),1),UPPER(SUBSTITUTE(SUBSTITUTE(SUBSTITUTE(TRIM(C2002),".",""),"-","")," ",""))))</f>
        <v/>
      </c>
    </row>
    <row r="2003" customFormat="false" ht="15" hidden="false" customHeight="false" outlineLevel="0" collapsed="false">
      <c r="B2003" s="80"/>
      <c r="C2003" s="58"/>
      <c r="D2003" s="62" t="str">
        <f aca="false">IF(C2003="","",IFERROR(INDEX(T_NOMBRE,MATCH(V2003,T_RUTN,0)),"⚠ RUT no está en Trabajadores"))</f>
        <v/>
      </c>
      <c r="E2003" s="61"/>
      <c r="F2003" s="61"/>
      <c r="G2003" s="61"/>
      <c r="H2003" s="61"/>
      <c r="I2003" s="81"/>
      <c r="J2003" s="81"/>
      <c r="K2003" s="60"/>
      <c r="L2003" s="60"/>
      <c r="M2003" s="60"/>
      <c r="N2003" s="60"/>
      <c r="O2003" s="60"/>
      <c r="P2003" s="60"/>
      <c r="Q2003" s="60"/>
      <c r="R2003" s="58"/>
      <c r="S2003" s="62" t="str">
        <f aca="false">IF(OR(B2003="",V2003=""),"",IFERROR(INDEX(C_TIPO,MATCH(V2003&amp;"-P"&amp;MAX(1,COUNTIFS(C_RUTN,V2003,C_DEF,"Sí",C_INI,"&lt;="&amp;EOMONTH(B2003,0))),C_CLAVE,0))&amp;"","Sin contrato"))</f>
        <v/>
      </c>
      <c r="T2003" s="63" t="str">
        <f aca="false">IF(OR(B2003="",N(O2003)=0),"",N(O2003)+ROUND(MIN(N(N2003),TOPE_UF*UF_MES)*(TASA_EMP+MUTUAL),0)+ROUND(MIN(N(N2003),TOPE_AFC_UF*UF_MES)*IF(S2003="Indefinido",AFC_INDEF,AFC_PF),0))</f>
        <v/>
      </c>
      <c r="U2003" s="62" t="str">
        <f aca="false">IF(C2003="","",IF(LEFT(D2003,1)="⚠","⚠ RUT no registrado en Trabajadores",IF(B2003="","⚠ Falta el mes",IF(OR(ISTEXT(I2003),ISTEXT(J2003)),"⚠ Atrasos u horas extra como texto: escriba hh:mm (ej. 1:30)",IF(AND(ISNUMBER(Q2003),COUNTIFS(M_RUTN,V2003,M_MES,B2003,M_LIQ,"&lt;&gt;")&gt;1),"⚠ Liquidación repetida en el mes",IF(AND(ISNUMBER(O2003),ISNUMBER(P2003),ISNUMBER(Q2003),ABS(O2003-P2003-Q2003)&gt;1),"⚠ Haberes − descuentos no da el líquido","OK"))))))</f>
        <v/>
      </c>
      <c r="V2003" s="62" t="str">
        <f aca="false">IF(C2003="","",IFERROR(VALUE(LEFT(UPPER(SUBSTITUTE(SUBSTITUTE(SUBSTITUTE(TRIM(C2003),".",""),"-","")," ","")),LEN(UPPER(SUBSTITUTE(SUBSTITUTE(SUBSTITUTE(TRIM(C2003),".",""),"-","")," ","")))-1))&amp;RIGHT(UPPER(SUBSTITUTE(SUBSTITUTE(SUBSTITUTE(TRIM(C2003),".",""),"-","")," ","")),1),UPPER(SUBSTITUTE(SUBSTITUTE(SUBSTITUTE(TRIM(C2003),".",""),"-","")," ",""))))</f>
        <v/>
      </c>
    </row>
    <row r="2004" customFormat="false" ht="15" hidden="false" customHeight="false" outlineLevel="0" collapsed="false">
      <c r="B2004" s="80"/>
      <c r="C2004" s="58"/>
      <c r="D2004" s="62" t="str">
        <f aca="false">IF(C2004="","",IFERROR(INDEX(T_NOMBRE,MATCH(V2004,T_RUTN,0)),"⚠ RUT no está en Trabajadores"))</f>
        <v/>
      </c>
      <c r="E2004" s="61"/>
      <c r="F2004" s="61"/>
      <c r="G2004" s="61"/>
      <c r="H2004" s="61"/>
      <c r="I2004" s="81"/>
      <c r="J2004" s="81"/>
      <c r="K2004" s="60"/>
      <c r="L2004" s="60"/>
      <c r="M2004" s="60"/>
      <c r="N2004" s="60"/>
      <c r="O2004" s="60"/>
      <c r="P2004" s="60"/>
      <c r="Q2004" s="60"/>
      <c r="R2004" s="58"/>
      <c r="S2004" s="62" t="str">
        <f aca="false">IF(OR(B2004="",V2004=""),"",IFERROR(INDEX(C_TIPO,MATCH(V2004&amp;"-P"&amp;MAX(1,COUNTIFS(C_RUTN,V2004,C_DEF,"Sí",C_INI,"&lt;="&amp;EOMONTH(B2004,0))),C_CLAVE,0))&amp;"","Sin contrato"))</f>
        <v/>
      </c>
      <c r="T2004" s="63" t="str">
        <f aca="false">IF(OR(B2004="",N(O2004)=0),"",N(O2004)+ROUND(MIN(N(N2004),TOPE_UF*UF_MES)*(TASA_EMP+MUTUAL),0)+ROUND(MIN(N(N2004),TOPE_AFC_UF*UF_MES)*IF(S2004="Indefinido",AFC_INDEF,AFC_PF),0))</f>
        <v/>
      </c>
      <c r="U2004" s="62" t="str">
        <f aca="false">IF(C2004="","",IF(LEFT(D2004,1)="⚠","⚠ RUT no registrado en Trabajadores",IF(B2004="","⚠ Falta el mes",IF(OR(ISTEXT(I2004),ISTEXT(J2004)),"⚠ Atrasos u horas extra como texto: escriba hh:mm (ej. 1:30)",IF(AND(ISNUMBER(Q2004),COUNTIFS(M_RUTN,V2004,M_MES,B2004,M_LIQ,"&lt;&gt;")&gt;1),"⚠ Liquidación repetida en el mes",IF(AND(ISNUMBER(O2004),ISNUMBER(P2004),ISNUMBER(Q2004),ABS(O2004-P2004-Q2004)&gt;1),"⚠ Haberes − descuentos no da el líquido","OK"))))))</f>
        <v/>
      </c>
      <c r="V2004" s="62" t="str">
        <f aca="false">IF(C2004="","",IFERROR(VALUE(LEFT(UPPER(SUBSTITUTE(SUBSTITUTE(SUBSTITUTE(TRIM(C2004),".",""),"-","")," ","")),LEN(UPPER(SUBSTITUTE(SUBSTITUTE(SUBSTITUTE(TRIM(C2004),".",""),"-","")," ","")))-1))&amp;RIGHT(UPPER(SUBSTITUTE(SUBSTITUTE(SUBSTITUTE(TRIM(C2004),".",""),"-","")," ","")),1),UPPER(SUBSTITUTE(SUBSTITUTE(SUBSTITUTE(TRIM(C2004),".",""),"-","")," ",""))))</f>
        <v/>
      </c>
    </row>
    <row r="2005" customFormat="false" ht="15" hidden="false" customHeight="false" outlineLevel="0" collapsed="false">
      <c r="B2005" s="80"/>
      <c r="C2005" s="58"/>
      <c r="D2005" s="62" t="str">
        <f aca="false">IF(C2005="","",IFERROR(INDEX(T_NOMBRE,MATCH(V2005,T_RUTN,0)),"⚠ RUT no está en Trabajadores"))</f>
        <v/>
      </c>
      <c r="E2005" s="61"/>
      <c r="F2005" s="61"/>
      <c r="G2005" s="61"/>
      <c r="H2005" s="61"/>
      <c r="I2005" s="81"/>
      <c r="J2005" s="81"/>
      <c r="K2005" s="60"/>
      <c r="L2005" s="60"/>
      <c r="M2005" s="60"/>
      <c r="N2005" s="60"/>
      <c r="O2005" s="60"/>
      <c r="P2005" s="60"/>
      <c r="Q2005" s="60"/>
      <c r="R2005" s="58"/>
      <c r="S2005" s="62" t="str">
        <f aca="false">IF(OR(B2005="",V2005=""),"",IFERROR(INDEX(C_TIPO,MATCH(V2005&amp;"-P"&amp;MAX(1,COUNTIFS(C_RUTN,V2005,C_DEF,"Sí",C_INI,"&lt;="&amp;EOMONTH(B2005,0))),C_CLAVE,0))&amp;"","Sin contrato"))</f>
        <v/>
      </c>
      <c r="T2005" s="63" t="str">
        <f aca="false">IF(OR(B2005="",N(O2005)=0),"",N(O2005)+ROUND(MIN(N(N2005),TOPE_UF*UF_MES)*(TASA_EMP+MUTUAL),0)+ROUND(MIN(N(N2005),TOPE_AFC_UF*UF_MES)*IF(S2005="Indefinido",AFC_INDEF,AFC_PF),0))</f>
        <v/>
      </c>
      <c r="U2005" s="62" t="str">
        <f aca="false">IF(C2005="","",IF(LEFT(D2005,1)="⚠","⚠ RUT no registrado en Trabajadores",IF(B2005="","⚠ Falta el mes",IF(OR(ISTEXT(I2005),ISTEXT(J2005)),"⚠ Atrasos u horas extra como texto: escriba hh:mm (ej. 1:30)",IF(AND(ISNUMBER(Q2005),COUNTIFS(M_RUTN,V2005,M_MES,B2005,M_LIQ,"&lt;&gt;")&gt;1),"⚠ Liquidación repetida en el mes",IF(AND(ISNUMBER(O2005),ISNUMBER(P2005),ISNUMBER(Q2005),ABS(O2005-P2005-Q2005)&gt;1),"⚠ Haberes − descuentos no da el líquido","OK"))))))</f>
        <v/>
      </c>
      <c r="V2005" s="62" t="str">
        <f aca="false">IF(C2005="","",IFERROR(VALUE(LEFT(UPPER(SUBSTITUTE(SUBSTITUTE(SUBSTITUTE(TRIM(C2005),".",""),"-","")," ","")),LEN(UPPER(SUBSTITUTE(SUBSTITUTE(SUBSTITUTE(TRIM(C2005),".",""),"-","")," ","")))-1))&amp;RIGHT(UPPER(SUBSTITUTE(SUBSTITUTE(SUBSTITUTE(TRIM(C2005),".",""),"-","")," ","")),1),UPPER(SUBSTITUTE(SUBSTITUTE(SUBSTITUTE(TRIM(C2005),".",""),"-","")," ",""))))</f>
        <v/>
      </c>
    </row>
    <row r="2006" customFormat="false" ht="15" hidden="false" customHeight="false" outlineLevel="0" collapsed="false">
      <c r="B2006" s="80"/>
      <c r="C2006" s="58"/>
      <c r="D2006" s="62" t="str">
        <f aca="false">IF(C2006="","",IFERROR(INDEX(T_NOMBRE,MATCH(V2006,T_RUTN,0)),"⚠ RUT no está en Trabajadores"))</f>
        <v/>
      </c>
      <c r="E2006" s="61"/>
      <c r="F2006" s="61"/>
      <c r="G2006" s="61"/>
      <c r="H2006" s="61"/>
      <c r="I2006" s="81"/>
      <c r="J2006" s="81"/>
      <c r="K2006" s="60"/>
      <c r="L2006" s="60"/>
      <c r="M2006" s="60"/>
      <c r="N2006" s="60"/>
      <c r="O2006" s="60"/>
      <c r="P2006" s="60"/>
      <c r="Q2006" s="60"/>
      <c r="R2006" s="58"/>
      <c r="S2006" s="62" t="str">
        <f aca="false">IF(OR(B2006="",V2006=""),"",IFERROR(INDEX(C_TIPO,MATCH(V2006&amp;"-P"&amp;MAX(1,COUNTIFS(C_RUTN,V2006,C_DEF,"Sí",C_INI,"&lt;="&amp;EOMONTH(B2006,0))),C_CLAVE,0))&amp;"","Sin contrato"))</f>
        <v/>
      </c>
      <c r="T2006" s="63" t="str">
        <f aca="false">IF(OR(B2006="",N(O2006)=0),"",N(O2006)+ROUND(MIN(N(N2006),TOPE_UF*UF_MES)*(TASA_EMP+MUTUAL),0)+ROUND(MIN(N(N2006),TOPE_AFC_UF*UF_MES)*IF(S2006="Indefinido",AFC_INDEF,AFC_PF),0))</f>
        <v/>
      </c>
      <c r="U2006" s="62" t="str">
        <f aca="false">IF(C2006="","",IF(LEFT(D2006,1)="⚠","⚠ RUT no registrado en Trabajadores",IF(B2006="","⚠ Falta el mes",IF(OR(ISTEXT(I2006),ISTEXT(J2006)),"⚠ Atrasos u horas extra como texto: escriba hh:mm (ej. 1:30)",IF(AND(ISNUMBER(Q2006),COUNTIFS(M_RUTN,V2006,M_MES,B2006,M_LIQ,"&lt;&gt;")&gt;1),"⚠ Liquidación repetida en el mes",IF(AND(ISNUMBER(O2006),ISNUMBER(P2006),ISNUMBER(Q2006),ABS(O2006-P2006-Q2006)&gt;1),"⚠ Haberes − descuentos no da el líquido","OK"))))))</f>
        <v/>
      </c>
      <c r="V2006" s="62" t="str">
        <f aca="false">IF(C2006="","",IFERROR(VALUE(LEFT(UPPER(SUBSTITUTE(SUBSTITUTE(SUBSTITUTE(TRIM(C2006),".",""),"-","")," ","")),LEN(UPPER(SUBSTITUTE(SUBSTITUTE(SUBSTITUTE(TRIM(C2006),".",""),"-","")," ","")))-1))&amp;RIGHT(UPPER(SUBSTITUTE(SUBSTITUTE(SUBSTITUTE(TRIM(C2006),".",""),"-","")," ","")),1),UPPER(SUBSTITUTE(SUBSTITUTE(SUBSTITUTE(TRIM(C2006),".",""),"-","")," ",""))))</f>
        <v/>
      </c>
    </row>
    <row r="2007" customFormat="false" ht="15" hidden="false" customHeight="false" outlineLevel="0" collapsed="false">
      <c r="B2007" s="80"/>
      <c r="C2007" s="58"/>
      <c r="D2007" s="62" t="str">
        <f aca="false">IF(C2007="","",IFERROR(INDEX(T_NOMBRE,MATCH(V2007,T_RUTN,0)),"⚠ RUT no está en Trabajadores"))</f>
        <v/>
      </c>
      <c r="E2007" s="61"/>
      <c r="F2007" s="61"/>
      <c r="G2007" s="61"/>
      <c r="H2007" s="61"/>
      <c r="I2007" s="81"/>
      <c r="J2007" s="81"/>
      <c r="K2007" s="60"/>
      <c r="L2007" s="60"/>
      <c r="M2007" s="60"/>
      <c r="N2007" s="60"/>
      <c r="O2007" s="60"/>
      <c r="P2007" s="60"/>
      <c r="Q2007" s="60"/>
      <c r="R2007" s="58"/>
      <c r="S2007" s="62" t="str">
        <f aca="false">IF(OR(B2007="",V2007=""),"",IFERROR(INDEX(C_TIPO,MATCH(V2007&amp;"-P"&amp;MAX(1,COUNTIFS(C_RUTN,V2007,C_DEF,"Sí",C_INI,"&lt;="&amp;EOMONTH(B2007,0))),C_CLAVE,0))&amp;"","Sin contrato"))</f>
        <v/>
      </c>
      <c r="T2007" s="63" t="str">
        <f aca="false">IF(OR(B2007="",N(O2007)=0),"",N(O2007)+ROUND(MIN(N(N2007),TOPE_UF*UF_MES)*(TASA_EMP+MUTUAL),0)+ROUND(MIN(N(N2007),TOPE_AFC_UF*UF_MES)*IF(S2007="Indefinido",AFC_INDEF,AFC_PF),0))</f>
        <v/>
      </c>
      <c r="U2007" s="62" t="str">
        <f aca="false">IF(C2007="","",IF(LEFT(D2007,1)="⚠","⚠ RUT no registrado en Trabajadores",IF(B2007="","⚠ Falta el mes",IF(OR(ISTEXT(I2007),ISTEXT(J2007)),"⚠ Atrasos u horas extra como texto: escriba hh:mm (ej. 1:30)",IF(AND(ISNUMBER(Q2007),COUNTIFS(M_RUTN,V2007,M_MES,B2007,M_LIQ,"&lt;&gt;")&gt;1),"⚠ Liquidación repetida en el mes",IF(AND(ISNUMBER(O2007),ISNUMBER(P2007),ISNUMBER(Q2007),ABS(O2007-P2007-Q2007)&gt;1),"⚠ Haberes − descuentos no da el líquido","OK"))))))</f>
        <v/>
      </c>
      <c r="V2007" s="62" t="str">
        <f aca="false">IF(C2007="","",IFERROR(VALUE(LEFT(UPPER(SUBSTITUTE(SUBSTITUTE(SUBSTITUTE(TRIM(C2007),".",""),"-","")," ","")),LEN(UPPER(SUBSTITUTE(SUBSTITUTE(SUBSTITUTE(TRIM(C2007),".",""),"-","")," ","")))-1))&amp;RIGHT(UPPER(SUBSTITUTE(SUBSTITUTE(SUBSTITUTE(TRIM(C2007),".",""),"-","")," ","")),1),UPPER(SUBSTITUTE(SUBSTITUTE(SUBSTITUTE(TRIM(C2007),".",""),"-","")," ",""))))</f>
        <v/>
      </c>
    </row>
    <row r="2008" customFormat="false" ht="15" hidden="false" customHeight="false" outlineLevel="0" collapsed="false">
      <c r="B2008" s="80"/>
      <c r="C2008" s="58"/>
      <c r="D2008" s="62" t="str">
        <f aca="false">IF(C2008="","",IFERROR(INDEX(T_NOMBRE,MATCH(V2008,T_RUTN,0)),"⚠ RUT no está en Trabajadores"))</f>
        <v/>
      </c>
      <c r="E2008" s="61"/>
      <c r="F2008" s="61"/>
      <c r="G2008" s="61"/>
      <c r="H2008" s="61"/>
      <c r="I2008" s="81"/>
      <c r="J2008" s="81"/>
      <c r="K2008" s="60"/>
      <c r="L2008" s="60"/>
      <c r="M2008" s="60"/>
      <c r="N2008" s="60"/>
      <c r="O2008" s="60"/>
      <c r="P2008" s="60"/>
      <c r="Q2008" s="60"/>
      <c r="R2008" s="58"/>
      <c r="S2008" s="62" t="str">
        <f aca="false">IF(OR(B2008="",V2008=""),"",IFERROR(INDEX(C_TIPO,MATCH(V2008&amp;"-P"&amp;MAX(1,COUNTIFS(C_RUTN,V2008,C_DEF,"Sí",C_INI,"&lt;="&amp;EOMONTH(B2008,0))),C_CLAVE,0))&amp;"","Sin contrato"))</f>
        <v/>
      </c>
      <c r="T2008" s="63" t="str">
        <f aca="false">IF(OR(B2008="",N(O2008)=0),"",N(O2008)+ROUND(MIN(N(N2008),TOPE_UF*UF_MES)*(TASA_EMP+MUTUAL),0)+ROUND(MIN(N(N2008),TOPE_AFC_UF*UF_MES)*IF(S2008="Indefinido",AFC_INDEF,AFC_PF),0))</f>
        <v/>
      </c>
      <c r="U2008" s="62" t="str">
        <f aca="false">IF(C2008="","",IF(LEFT(D2008,1)="⚠","⚠ RUT no registrado en Trabajadores",IF(B2008="","⚠ Falta el mes",IF(OR(ISTEXT(I2008),ISTEXT(J2008)),"⚠ Atrasos u horas extra como texto: escriba hh:mm (ej. 1:30)",IF(AND(ISNUMBER(Q2008),COUNTIFS(M_RUTN,V2008,M_MES,B2008,M_LIQ,"&lt;&gt;")&gt;1),"⚠ Liquidación repetida en el mes",IF(AND(ISNUMBER(O2008),ISNUMBER(P2008),ISNUMBER(Q2008),ABS(O2008-P2008-Q2008)&gt;1),"⚠ Haberes − descuentos no da el líquido","OK"))))))</f>
        <v/>
      </c>
      <c r="V2008" s="62" t="str">
        <f aca="false">IF(C2008="","",IFERROR(VALUE(LEFT(UPPER(SUBSTITUTE(SUBSTITUTE(SUBSTITUTE(TRIM(C2008),".",""),"-","")," ","")),LEN(UPPER(SUBSTITUTE(SUBSTITUTE(SUBSTITUTE(TRIM(C2008),".",""),"-","")," ","")))-1))&amp;RIGHT(UPPER(SUBSTITUTE(SUBSTITUTE(SUBSTITUTE(TRIM(C2008),".",""),"-","")," ","")),1),UPPER(SUBSTITUTE(SUBSTITUTE(SUBSTITUTE(TRIM(C2008),".",""),"-","")," ",""))))</f>
        <v/>
      </c>
    </row>
    <row r="2009" customFormat="false" ht="15" hidden="false" customHeight="false" outlineLevel="0" collapsed="false">
      <c r="B2009" s="80"/>
      <c r="C2009" s="58"/>
      <c r="D2009" s="62" t="str">
        <f aca="false">IF(C2009="","",IFERROR(INDEX(T_NOMBRE,MATCH(V2009,T_RUTN,0)),"⚠ RUT no está en Trabajadores"))</f>
        <v/>
      </c>
      <c r="E2009" s="61"/>
      <c r="F2009" s="61"/>
      <c r="G2009" s="61"/>
      <c r="H2009" s="61"/>
      <c r="I2009" s="81"/>
      <c r="J2009" s="81"/>
      <c r="K2009" s="60"/>
      <c r="L2009" s="60"/>
      <c r="M2009" s="60"/>
      <c r="N2009" s="60"/>
      <c r="O2009" s="60"/>
      <c r="P2009" s="60"/>
      <c r="Q2009" s="60"/>
      <c r="R2009" s="58"/>
      <c r="S2009" s="62" t="str">
        <f aca="false">IF(OR(B2009="",V2009=""),"",IFERROR(INDEX(C_TIPO,MATCH(V2009&amp;"-P"&amp;MAX(1,COUNTIFS(C_RUTN,V2009,C_DEF,"Sí",C_INI,"&lt;="&amp;EOMONTH(B2009,0))),C_CLAVE,0))&amp;"","Sin contrato"))</f>
        <v/>
      </c>
      <c r="T2009" s="63" t="str">
        <f aca="false">IF(OR(B2009="",N(O2009)=0),"",N(O2009)+ROUND(MIN(N(N2009),TOPE_UF*UF_MES)*(TASA_EMP+MUTUAL),0)+ROUND(MIN(N(N2009),TOPE_AFC_UF*UF_MES)*IF(S2009="Indefinido",AFC_INDEF,AFC_PF),0))</f>
        <v/>
      </c>
      <c r="U2009" s="62" t="str">
        <f aca="false">IF(C2009="","",IF(LEFT(D2009,1)="⚠","⚠ RUT no registrado en Trabajadores",IF(B2009="","⚠ Falta el mes",IF(OR(ISTEXT(I2009),ISTEXT(J2009)),"⚠ Atrasos u horas extra como texto: escriba hh:mm (ej. 1:30)",IF(AND(ISNUMBER(Q2009),COUNTIFS(M_RUTN,V2009,M_MES,B2009,M_LIQ,"&lt;&gt;")&gt;1),"⚠ Liquidación repetida en el mes",IF(AND(ISNUMBER(O2009),ISNUMBER(P2009),ISNUMBER(Q2009),ABS(O2009-P2009-Q2009)&gt;1),"⚠ Haberes − descuentos no da el líquido","OK"))))))</f>
        <v/>
      </c>
      <c r="V2009" s="62" t="str">
        <f aca="false">IF(C2009="","",IFERROR(VALUE(LEFT(UPPER(SUBSTITUTE(SUBSTITUTE(SUBSTITUTE(TRIM(C2009),".",""),"-","")," ","")),LEN(UPPER(SUBSTITUTE(SUBSTITUTE(SUBSTITUTE(TRIM(C2009),".",""),"-","")," ","")))-1))&amp;RIGHT(UPPER(SUBSTITUTE(SUBSTITUTE(SUBSTITUTE(TRIM(C2009),".",""),"-","")," ","")),1),UPPER(SUBSTITUTE(SUBSTITUTE(SUBSTITUTE(TRIM(C2009),".",""),"-","")," ",""))))</f>
        <v/>
      </c>
    </row>
    <row r="2010" customFormat="false" ht="15" hidden="false" customHeight="false" outlineLevel="0" collapsed="false">
      <c r="B2010" s="80"/>
      <c r="C2010" s="58"/>
      <c r="D2010" s="62" t="str">
        <f aca="false">IF(C2010="","",IFERROR(INDEX(T_NOMBRE,MATCH(V2010,T_RUTN,0)),"⚠ RUT no está en Trabajadores"))</f>
        <v/>
      </c>
      <c r="E2010" s="61"/>
      <c r="F2010" s="61"/>
      <c r="G2010" s="61"/>
      <c r="H2010" s="61"/>
      <c r="I2010" s="81"/>
      <c r="J2010" s="81"/>
      <c r="K2010" s="60"/>
      <c r="L2010" s="60"/>
      <c r="M2010" s="60"/>
      <c r="N2010" s="60"/>
      <c r="O2010" s="60"/>
      <c r="P2010" s="60"/>
      <c r="Q2010" s="60"/>
      <c r="R2010" s="58"/>
      <c r="S2010" s="62" t="str">
        <f aca="false">IF(OR(B2010="",V2010=""),"",IFERROR(INDEX(C_TIPO,MATCH(V2010&amp;"-P"&amp;MAX(1,COUNTIFS(C_RUTN,V2010,C_DEF,"Sí",C_INI,"&lt;="&amp;EOMONTH(B2010,0))),C_CLAVE,0))&amp;"","Sin contrato"))</f>
        <v/>
      </c>
      <c r="T2010" s="63" t="str">
        <f aca="false">IF(OR(B2010="",N(O2010)=0),"",N(O2010)+ROUND(MIN(N(N2010),TOPE_UF*UF_MES)*(TASA_EMP+MUTUAL),0)+ROUND(MIN(N(N2010),TOPE_AFC_UF*UF_MES)*IF(S2010="Indefinido",AFC_INDEF,AFC_PF),0))</f>
        <v/>
      </c>
      <c r="U2010" s="62" t="str">
        <f aca="false">IF(C2010="","",IF(LEFT(D2010,1)="⚠","⚠ RUT no registrado en Trabajadores",IF(B2010="","⚠ Falta el mes",IF(OR(ISTEXT(I2010),ISTEXT(J2010)),"⚠ Atrasos u horas extra como texto: escriba hh:mm (ej. 1:30)",IF(AND(ISNUMBER(Q2010),COUNTIFS(M_RUTN,V2010,M_MES,B2010,M_LIQ,"&lt;&gt;")&gt;1),"⚠ Liquidación repetida en el mes",IF(AND(ISNUMBER(O2010),ISNUMBER(P2010),ISNUMBER(Q2010),ABS(O2010-P2010-Q2010)&gt;1),"⚠ Haberes − descuentos no da el líquido","OK"))))))</f>
        <v/>
      </c>
      <c r="V2010" s="62" t="str">
        <f aca="false">IF(C2010="","",IFERROR(VALUE(LEFT(UPPER(SUBSTITUTE(SUBSTITUTE(SUBSTITUTE(TRIM(C2010),".",""),"-","")," ","")),LEN(UPPER(SUBSTITUTE(SUBSTITUTE(SUBSTITUTE(TRIM(C2010),".",""),"-","")," ","")))-1))&amp;RIGHT(UPPER(SUBSTITUTE(SUBSTITUTE(SUBSTITUTE(TRIM(C2010),".",""),"-","")," ","")),1),UPPER(SUBSTITUTE(SUBSTITUTE(SUBSTITUTE(TRIM(C2010),".",""),"-","")," ",""))))</f>
        <v/>
      </c>
    </row>
    <row r="2011" customFormat="false" ht="15" hidden="false" customHeight="false" outlineLevel="0" collapsed="false">
      <c r="B2011" s="80"/>
      <c r="C2011" s="58"/>
      <c r="D2011" s="62" t="str">
        <f aca="false">IF(C2011="","",IFERROR(INDEX(T_NOMBRE,MATCH(V2011,T_RUTN,0)),"⚠ RUT no está en Trabajadores"))</f>
        <v/>
      </c>
      <c r="E2011" s="61"/>
      <c r="F2011" s="61"/>
      <c r="G2011" s="61"/>
      <c r="H2011" s="61"/>
      <c r="I2011" s="81"/>
      <c r="J2011" s="81"/>
      <c r="K2011" s="60"/>
      <c r="L2011" s="60"/>
      <c r="M2011" s="60"/>
      <c r="N2011" s="60"/>
      <c r="O2011" s="60"/>
      <c r="P2011" s="60"/>
      <c r="Q2011" s="60"/>
      <c r="R2011" s="58"/>
      <c r="S2011" s="62" t="str">
        <f aca="false">IF(OR(B2011="",V2011=""),"",IFERROR(INDEX(C_TIPO,MATCH(V2011&amp;"-P"&amp;MAX(1,COUNTIFS(C_RUTN,V2011,C_DEF,"Sí",C_INI,"&lt;="&amp;EOMONTH(B2011,0))),C_CLAVE,0))&amp;"","Sin contrato"))</f>
        <v/>
      </c>
      <c r="T2011" s="63" t="str">
        <f aca="false">IF(OR(B2011="",N(O2011)=0),"",N(O2011)+ROUND(MIN(N(N2011),TOPE_UF*UF_MES)*(TASA_EMP+MUTUAL),0)+ROUND(MIN(N(N2011),TOPE_AFC_UF*UF_MES)*IF(S2011="Indefinido",AFC_INDEF,AFC_PF),0))</f>
        <v/>
      </c>
      <c r="U2011" s="62" t="str">
        <f aca="false">IF(C2011="","",IF(LEFT(D2011,1)="⚠","⚠ RUT no registrado en Trabajadores",IF(B2011="","⚠ Falta el mes",IF(OR(ISTEXT(I2011),ISTEXT(J2011)),"⚠ Atrasos u horas extra como texto: escriba hh:mm (ej. 1:30)",IF(AND(ISNUMBER(Q2011),COUNTIFS(M_RUTN,V2011,M_MES,B2011,M_LIQ,"&lt;&gt;")&gt;1),"⚠ Liquidación repetida en el mes",IF(AND(ISNUMBER(O2011),ISNUMBER(P2011),ISNUMBER(Q2011),ABS(O2011-P2011-Q2011)&gt;1),"⚠ Haberes − descuentos no da el líquido","OK"))))))</f>
        <v/>
      </c>
      <c r="V2011" s="62" t="str">
        <f aca="false">IF(C2011="","",IFERROR(VALUE(LEFT(UPPER(SUBSTITUTE(SUBSTITUTE(SUBSTITUTE(TRIM(C2011),".",""),"-","")," ","")),LEN(UPPER(SUBSTITUTE(SUBSTITUTE(SUBSTITUTE(TRIM(C2011),".",""),"-","")," ","")))-1))&amp;RIGHT(UPPER(SUBSTITUTE(SUBSTITUTE(SUBSTITUTE(TRIM(C2011),".",""),"-","")," ","")),1),UPPER(SUBSTITUTE(SUBSTITUTE(SUBSTITUTE(TRIM(C2011),".",""),"-","")," ",""))))</f>
        <v/>
      </c>
    </row>
    <row r="2012" customFormat="false" ht="15" hidden="false" customHeight="false" outlineLevel="0" collapsed="false">
      <c r="B2012" s="80"/>
      <c r="C2012" s="58"/>
      <c r="D2012" s="62" t="str">
        <f aca="false">IF(C2012="","",IFERROR(INDEX(T_NOMBRE,MATCH(V2012,T_RUTN,0)),"⚠ RUT no está en Trabajadores"))</f>
        <v/>
      </c>
      <c r="E2012" s="61"/>
      <c r="F2012" s="61"/>
      <c r="G2012" s="61"/>
      <c r="H2012" s="61"/>
      <c r="I2012" s="81"/>
      <c r="J2012" s="81"/>
      <c r="K2012" s="60"/>
      <c r="L2012" s="60"/>
      <c r="M2012" s="60"/>
      <c r="N2012" s="60"/>
      <c r="O2012" s="60"/>
      <c r="P2012" s="60"/>
      <c r="Q2012" s="60"/>
      <c r="R2012" s="58"/>
      <c r="S2012" s="62" t="str">
        <f aca="false">IF(OR(B2012="",V2012=""),"",IFERROR(INDEX(C_TIPO,MATCH(V2012&amp;"-P"&amp;MAX(1,COUNTIFS(C_RUTN,V2012,C_DEF,"Sí",C_INI,"&lt;="&amp;EOMONTH(B2012,0))),C_CLAVE,0))&amp;"","Sin contrato"))</f>
        <v/>
      </c>
      <c r="T2012" s="63" t="str">
        <f aca="false">IF(OR(B2012="",N(O2012)=0),"",N(O2012)+ROUND(MIN(N(N2012),TOPE_UF*UF_MES)*(TASA_EMP+MUTUAL),0)+ROUND(MIN(N(N2012),TOPE_AFC_UF*UF_MES)*IF(S2012="Indefinido",AFC_INDEF,AFC_PF),0))</f>
        <v/>
      </c>
      <c r="U2012" s="62" t="str">
        <f aca="false">IF(C2012="","",IF(LEFT(D2012,1)="⚠","⚠ RUT no registrado en Trabajadores",IF(B2012="","⚠ Falta el mes",IF(OR(ISTEXT(I2012),ISTEXT(J2012)),"⚠ Atrasos u horas extra como texto: escriba hh:mm (ej. 1:30)",IF(AND(ISNUMBER(Q2012),COUNTIFS(M_RUTN,V2012,M_MES,B2012,M_LIQ,"&lt;&gt;")&gt;1),"⚠ Liquidación repetida en el mes",IF(AND(ISNUMBER(O2012),ISNUMBER(P2012),ISNUMBER(Q2012),ABS(O2012-P2012-Q2012)&gt;1),"⚠ Haberes − descuentos no da el líquido","OK"))))))</f>
        <v/>
      </c>
      <c r="V2012" s="62" t="str">
        <f aca="false">IF(C2012="","",IFERROR(VALUE(LEFT(UPPER(SUBSTITUTE(SUBSTITUTE(SUBSTITUTE(TRIM(C2012),".",""),"-","")," ","")),LEN(UPPER(SUBSTITUTE(SUBSTITUTE(SUBSTITUTE(TRIM(C2012),".",""),"-","")," ","")))-1))&amp;RIGHT(UPPER(SUBSTITUTE(SUBSTITUTE(SUBSTITUTE(TRIM(C2012),".",""),"-","")," ","")),1),UPPER(SUBSTITUTE(SUBSTITUTE(SUBSTITUTE(TRIM(C2012),".",""),"-","")," ",""))))</f>
        <v/>
      </c>
    </row>
    <row r="2013" customFormat="false" ht="15" hidden="false" customHeight="false" outlineLevel="0" collapsed="false">
      <c r="B2013" s="80"/>
      <c r="C2013" s="58"/>
      <c r="D2013" s="62" t="str">
        <f aca="false">IF(C2013="","",IFERROR(INDEX(T_NOMBRE,MATCH(V2013,T_RUTN,0)),"⚠ RUT no está en Trabajadores"))</f>
        <v/>
      </c>
      <c r="E2013" s="61"/>
      <c r="F2013" s="61"/>
      <c r="G2013" s="61"/>
      <c r="H2013" s="61"/>
      <c r="I2013" s="81"/>
      <c r="J2013" s="81"/>
      <c r="K2013" s="60"/>
      <c r="L2013" s="60"/>
      <c r="M2013" s="60"/>
      <c r="N2013" s="60"/>
      <c r="O2013" s="60"/>
      <c r="P2013" s="60"/>
      <c r="Q2013" s="60"/>
      <c r="R2013" s="58"/>
      <c r="S2013" s="62" t="str">
        <f aca="false">IF(OR(B2013="",V2013=""),"",IFERROR(INDEX(C_TIPO,MATCH(V2013&amp;"-P"&amp;MAX(1,COUNTIFS(C_RUTN,V2013,C_DEF,"Sí",C_INI,"&lt;="&amp;EOMONTH(B2013,0))),C_CLAVE,0))&amp;"","Sin contrato"))</f>
        <v/>
      </c>
      <c r="T2013" s="63" t="str">
        <f aca="false">IF(OR(B2013="",N(O2013)=0),"",N(O2013)+ROUND(MIN(N(N2013),TOPE_UF*UF_MES)*(TASA_EMP+MUTUAL),0)+ROUND(MIN(N(N2013),TOPE_AFC_UF*UF_MES)*IF(S2013="Indefinido",AFC_INDEF,AFC_PF),0))</f>
        <v/>
      </c>
      <c r="U2013" s="62" t="str">
        <f aca="false">IF(C2013="","",IF(LEFT(D2013,1)="⚠","⚠ RUT no registrado en Trabajadores",IF(B2013="","⚠ Falta el mes",IF(OR(ISTEXT(I2013),ISTEXT(J2013)),"⚠ Atrasos u horas extra como texto: escriba hh:mm (ej. 1:30)",IF(AND(ISNUMBER(Q2013),COUNTIFS(M_RUTN,V2013,M_MES,B2013,M_LIQ,"&lt;&gt;")&gt;1),"⚠ Liquidación repetida en el mes",IF(AND(ISNUMBER(O2013),ISNUMBER(P2013),ISNUMBER(Q2013),ABS(O2013-P2013-Q2013)&gt;1),"⚠ Haberes − descuentos no da el líquido","OK"))))))</f>
        <v/>
      </c>
      <c r="V2013" s="62" t="str">
        <f aca="false">IF(C2013="","",IFERROR(VALUE(LEFT(UPPER(SUBSTITUTE(SUBSTITUTE(SUBSTITUTE(TRIM(C2013),".",""),"-","")," ","")),LEN(UPPER(SUBSTITUTE(SUBSTITUTE(SUBSTITUTE(TRIM(C2013),".",""),"-","")," ","")))-1))&amp;RIGHT(UPPER(SUBSTITUTE(SUBSTITUTE(SUBSTITUTE(TRIM(C2013),".",""),"-","")," ","")),1),UPPER(SUBSTITUTE(SUBSTITUTE(SUBSTITUTE(TRIM(C2013),".",""),"-","")," ",""))))</f>
        <v/>
      </c>
    </row>
    <row r="2014" customFormat="false" ht="15" hidden="false" customHeight="false" outlineLevel="0" collapsed="false">
      <c r="B2014" s="80"/>
      <c r="C2014" s="58"/>
      <c r="D2014" s="62" t="str">
        <f aca="false">IF(C2014="","",IFERROR(INDEX(T_NOMBRE,MATCH(V2014,T_RUTN,0)),"⚠ RUT no está en Trabajadores"))</f>
        <v/>
      </c>
      <c r="E2014" s="61"/>
      <c r="F2014" s="61"/>
      <c r="G2014" s="61"/>
      <c r="H2014" s="61"/>
      <c r="I2014" s="81"/>
      <c r="J2014" s="81"/>
      <c r="K2014" s="60"/>
      <c r="L2014" s="60"/>
      <c r="M2014" s="60"/>
      <c r="N2014" s="60"/>
      <c r="O2014" s="60"/>
      <c r="P2014" s="60"/>
      <c r="Q2014" s="60"/>
      <c r="R2014" s="58"/>
      <c r="S2014" s="62" t="str">
        <f aca="false">IF(OR(B2014="",V2014=""),"",IFERROR(INDEX(C_TIPO,MATCH(V2014&amp;"-P"&amp;MAX(1,COUNTIFS(C_RUTN,V2014,C_DEF,"Sí",C_INI,"&lt;="&amp;EOMONTH(B2014,0))),C_CLAVE,0))&amp;"","Sin contrato"))</f>
        <v/>
      </c>
      <c r="T2014" s="63" t="str">
        <f aca="false">IF(OR(B2014="",N(O2014)=0),"",N(O2014)+ROUND(MIN(N(N2014),TOPE_UF*UF_MES)*(TASA_EMP+MUTUAL),0)+ROUND(MIN(N(N2014),TOPE_AFC_UF*UF_MES)*IF(S2014="Indefinido",AFC_INDEF,AFC_PF),0))</f>
        <v/>
      </c>
      <c r="U2014" s="62" t="str">
        <f aca="false">IF(C2014="","",IF(LEFT(D2014,1)="⚠","⚠ RUT no registrado en Trabajadores",IF(B2014="","⚠ Falta el mes",IF(OR(ISTEXT(I2014),ISTEXT(J2014)),"⚠ Atrasos u horas extra como texto: escriba hh:mm (ej. 1:30)",IF(AND(ISNUMBER(Q2014),COUNTIFS(M_RUTN,V2014,M_MES,B2014,M_LIQ,"&lt;&gt;")&gt;1),"⚠ Liquidación repetida en el mes",IF(AND(ISNUMBER(O2014),ISNUMBER(P2014),ISNUMBER(Q2014),ABS(O2014-P2014-Q2014)&gt;1),"⚠ Haberes − descuentos no da el líquido","OK"))))))</f>
        <v/>
      </c>
      <c r="V2014" s="62" t="str">
        <f aca="false">IF(C2014="","",IFERROR(VALUE(LEFT(UPPER(SUBSTITUTE(SUBSTITUTE(SUBSTITUTE(TRIM(C2014),".",""),"-","")," ","")),LEN(UPPER(SUBSTITUTE(SUBSTITUTE(SUBSTITUTE(TRIM(C2014),".",""),"-","")," ","")))-1))&amp;RIGHT(UPPER(SUBSTITUTE(SUBSTITUTE(SUBSTITUTE(TRIM(C2014),".",""),"-","")," ","")),1),UPPER(SUBSTITUTE(SUBSTITUTE(SUBSTITUTE(TRIM(C2014),".",""),"-","")," ",""))))</f>
        <v/>
      </c>
    </row>
    <row r="2015" customFormat="false" ht="15" hidden="false" customHeight="false" outlineLevel="0" collapsed="false">
      <c r="B2015" s="80"/>
      <c r="C2015" s="58"/>
      <c r="D2015" s="62" t="str">
        <f aca="false">IF(C2015="","",IFERROR(INDEX(T_NOMBRE,MATCH(V2015,T_RUTN,0)),"⚠ RUT no está en Trabajadores"))</f>
        <v/>
      </c>
      <c r="E2015" s="61"/>
      <c r="F2015" s="61"/>
      <c r="G2015" s="61"/>
      <c r="H2015" s="61"/>
      <c r="I2015" s="81"/>
      <c r="J2015" s="81"/>
      <c r="K2015" s="60"/>
      <c r="L2015" s="60"/>
      <c r="M2015" s="60"/>
      <c r="N2015" s="60"/>
      <c r="O2015" s="60"/>
      <c r="P2015" s="60"/>
      <c r="Q2015" s="60"/>
      <c r="R2015" s="58"/>
      <c r="S2015" s="62" t="str">
        <f aca="false">IF(OR(B2015="",V2015=""),"",IFERROR(INDEX(C_TIPO,MATCH(V2015&amp;"-P"&amp;MAX(1,COUNTIFS(C_RUTN,V2015,C_DEF,"Sí",C_INI,"&lt;="&amp;EOMONTH(B2015,0))),C_CLAVE,0))&amp;"","Sin contrato"))</f>
        <v/>
      </c>
      <c r="T2015" s="63" t="str">
        <f aca="false">IF(OR(B2015="",N(O2015)=0),"",N(O2015)+ROUND(MIN(N(N2015),TOPE_UF*UF_MES)*(TASA_EMP+MUTUAL),0)+ROUND(MIN(N(N2015),TOPE_AFC_UF*UF_MES)*IF(S2015="Indefinido",AFC_INDEF,AFC_PF),0))</f>
        <v/>
      </c>
      <c r="U2015" s="62" t="str">
        <f aca="false">IF(C2015="","",IF(LEFT(D2015,1)="⚠","⚠ RUT no registrado en Trabajadores",IF(B2015="","⚠ Falta el mes",IF(OR(ISTEXT(I2015),ISTEXT(J2015)),"⚠ Atrasos u horas extra como texto: escriba hh:mm (ej. 1:30)",IF(AND(ISNUMBER(Q2015),COUNTIFS(M_RUTN,V2015,M_MES,B2015,M_LIQ,"&lt;&gt;")&gt;1),"⚠ Liquidación repetida en el mes",IF(AND(ISNUMBER(O2015),ISNUMBER(P2015),ISNUMBER(Q2015),ABS(O2015-P2015-Q2015)&gt;1),"⚠ Haberes − descuentos no da el líquido","OK"))))))</f>
        <v/>
      </c>
      <c r="V2015" s="62" t="str">
        <f aca="false">IF(C2015="","",IFERROR(VALUE(LEFT(UPPER(SUBSTITUTE(SUBSTITUTE(SUBSTITUTE(TRIM(C2015),".",""),"-","")," ","")),LEN(UPPER(SUBSTITUTE(SUBSTITUTE(SUBSTITUTE(TRIM(C2015),".",""),"-","")," ","")))-1))&amp;RIGHT(UPPER(SUBSTITUTE(SUBSTITUTE(SUBSTITUTE(TRIM(C2015),".",""),"-","")," ","")),1),UPPER(SUBSTITUTE(SUBSTITUTE(SUBSTITUTE(TRIM(C2015),".",""),"-","")," ",""))))</f>
        <v/>
      </c>
    </row>
    <row r="2016" customFormat="false" ht="15" hidden="false" customHeight="false" outlineLevel="0" collapsed="false">
      <c r="B2016" s="80"/>
      <c r="C2016" s="58"/>
      <c r="D2016" s="62" t="str">
        <f aca="false">IF(C2016="","",IFERROR(INDEX(T_NOMBRE,MATCH(V2016,T_RUTN,0)),"⚠ RUT no está en Trabajadores"))</f>
        <v/>
      </c>
      <c r="E2016" s="61"/>
      <c r="F2016" s="61"/>
      <c r="G2016" s="61"/>
      <c r="H2016" s="61"/>
      <c r="I2016" s="81"/>
      <c r="J2016" s="81"/>
      <c r="K2016" s="60"/>
      <c r="L2016" s="60"/>
      <c r="M2016" s="60"/>
      <c r="N2016" s="60"/>
      <c r="O2016" s="60"/>
      <c r="P2016" s="60"/>
      <c r="Q2016" s="60"/>
      <c r="R2016" s="58"/>
      <c r="S2016" s="62" t="str">
        <f aca="false">IF(OR(B2016="",V2016=""),"",IFERROR(INDEX(C_TIPO,MATCH(V2016&amp;"-P"&amp;MAX(1,COUNTIFS(C_RUTN,V2016,C_DEF,"Sí",C_INI,"&lt;="&amp;EOMONTH(B2016,0))),C_CLAVE,0))&amp;"","Sin contrato"))</f>
        <v/>
      </c>
      <c r="T2016" s="63" t="str">
        <f aca="false">IF(OR(B2016="",N(O2016)=0),"",N(O2016)+ROUND(MIN(N(N2016),TOPE_UF*UF_MES)*(TASA_EMP+MUTUAL),0)+ROUND(MIN(N(N2016),TOPE_AFC_UF*UF_MES)*IF(S2016="Indefinido",AFC_INDEF,AFC_PF),0))</f>
        <v/>
      </c>
      <c r="U2016" s="62" t="str">
        <f aca="false">IF(C2016="","",IF(LEFT(D2016,1)="⚠","⚠ RUT no registrado en Trabajadores",IF(B2016="","⚠ Falta el mes",IF(OR(ISTEXT(I2016),ISTEXT(J2016)),"⚠ Atrasos u horas extra como texto: escriba hh:mm (ej. 1:30)",IF(AND(ISNUMBER(Q2016),COUNTIFS(M_RUTN,V2016,M_MES,B2016,M_LIQ,"&lt;&gt;")&gt;1),"⚠ Liquidación repetida en el mes",IF(AND(ISNUMBER(O2016),ISNUMBER(P2016),ISNUMBER(Q2016),ABS(O2016-P2016-Q2016)&gt;1),"⚠ Haberes − descuentos no da el líquido","OK"))))))</f>
        <v/>
      </c>
      <c r="V2016" s="62" t="str">
        <f aca="false">IF(C2016="","",IFERROR(VALUE(LEFT(UPPER(SUBSTITUTE(SUBSTITUTE(SUBSTITUTE(TRIM(C2016),".",""),"-","")," ","")),LEN(UPPER(SUBSTITUTE(SUBSTITUTE(SUBSTITUTE(TRIM(C2016),".",""),"-","")," ","")))-1))&amp;RIGHT(UPPER(SUBSTITUTE(SUBSTITUTE(SUBSTITUTE(TRIM(C2016),".",""),"-","")," ","")),1),UPPER(SUBSTITUTE(SUBSTITUTE(SUBSTITUTE(TRIM(C2016),".",""),"-","")," ",""))))</f>
        <v/>
      </c>
    </row>
    <row r="2017" customFormat="false" ht="15" hidden="false" customHeight="false" outlineLevel="0" collapsed="false">
      <c r="B2017" s="80"/>
      <c r="C2017" s="58"/>
      <c r="D2017" s="62" t="str">
        <f aca="false">IF(C2017="","",IFERROR(INDEX(T_NOMBRE,MATCH(V2017,T_RUTN,0)),"⚠ RUT no está en Trabajadores"))</f>
        <v/>
      </c>
      <c r="E2017" s="61"/>
      <c r="F2017" s="61"/>
      <c r="G2017" s="61"/>
      <c r="H2017" s="61"/>
      <c r="I2017" s="81"/>
      <c r="J2017" s="81"/>
      <c r="K2017" s="60"/>
      <c r="L2017" s="60"/>
      <c r="M2017" s="60"/>
      <c r="N2017" s="60"/>
      <c r="O2017" s="60"/>
      <c r="P2017" s="60"/>
      <c r="Q2017" s="60"/>
      <c r="R2017" s="58"/>
      <c r="S2017" s="62" t="str">
        <f aca="false">IF(OR(B2017="",V2017=""),"",IFERROR(INDEX(C_TIPO,MATCH(V2017&amp;"-P"&amp;MAX(1,COUNTIFS(C_RUTN,V2017,C_DEF,"Sí",C_INI,"&lt;="&amp;EOMONTH(B2017,0))),C_CLAVE,0))&amp;"","Sin contrato"))</f>
        <v/>
      </c>
      <c r="T2017" s="63" t="str">
        <f aca="false">IF(OR(B2017="",N(O2017)=0),"",N(O2017)+ROUND(MIN(N(N2017),TOPE_UF*UF_MES)*(TASA_EMP+MUTUAL),0)+ROUND(MIN(N(N2017),TOPE_AFC_UF*UF_MES)*IF(S2017="Indefinido",AFC_INDEF,AFC_PF),0))</f>
        <v/>
      </c>
      <c r="U2017" s="62" t="str">
        <f aca="false">IF(C2017="","",IF(LEFT(D2017,1)="⚠","⚠ RUT no registrado en Trabajadores",IF(B2017="","⚠ Falta el mes",IF(OR(ISTEXT(I2017),ISTEXT(J2017)),"⚠ Atrasos u horas extra como texto: escriba hh:mm (ej. 1:30)",IF(AND(ISNUMBER(Q2017),COUNTIFS(M_RUTN,V2017,M_MES,B2017,M_LIQ,"&lt;&gt;")&gt;1),"⚠ Liquidación repetida en el mes",IF(AND(ISNUMBER(O2017),ISNUMBER(P2017),ISNUMBER(Q2017),ABS(O2017-P2017-Q2017)&gt;1),"⚠ Haberes − descuentos no da el líquido","OK"))))))</f>
        <v/>
      </c>
      <c r="V2017" s="62" t="str">
        <f aca="false">IF(C2017="","",IFERROR(VALUE(LEFT(UPPER(SUBSTITUTE(SUBSTITUTE(SUBSTITUTE(TRIM(C2017),".",""),"-","")," ","")),LEN(UPPER(SUBSTITUTE(SUBSTITUTE(SUBSTITUTE(TRIM(C2017),".",""),"-","")," ","")))-1))&amp;RIGHT(UPPER(SUBSTITUTE(SUBSTITUTE(SUBSTITUTE(TRIM(C2017),".",""),"-","")," ","")),1),UPPER(SUBSTITUTE(SUBSTITUTE(SUBSTITUTE(TRIM(C2017),".",""),"-","")," ",""))))</f>
        <v/>
      </c>
    </row>
    <row r="2018" customFormat="false" ht="15" hidden="false" customHeight="false" outlineLevel="0" collapsed="false">
      <c r="B2018" s="80"/>
      <c r="C2018" s="58"/>
      <c r="D2018" s="62" t="str">
        <f aca="false">IF(C2018="","",IFERROR(INDEX(T_NOMBRE,MATCH(V2018,T_RUTN,0)),"⚠ RUT no está en Trabajadores"))</f>
        <v/>
      </c>
      <c r="E2018" s="61"/>
      <c r="F2018" s="61"/>
      <c r="G2018" s="61"/>
      <c r="H2018" s="61"/>
      <c r="I2018" s="81"/>
      <c r="J2018" s="81"/>
      <c r="K2018" s="60"/>
      <c r="L2018" s="60"/>
      <c r="M2018" s="60"/>
      <c r="N2018" s="60"/>
      <c r="O2018" s="60"/>
      <c r="P2018" s="60"/>
      <c r="Q2018" s="60"/>
      <c r="R2018" s="58"/>
      <c r="S2018" s="62" t="str">
        <f aca="false">IF(OR(B2018="",V2018=""),"",IFERROR(INDEX(C_TIPO,MATCH(V2018&amp;"-P"&amp;MAX(1,COUNTIFS(C_RUTN,V2018,C_DEF,"Sí",C_INI,"&lt;="&amp;EOMONTH(B2018,0))),C_CLAVE,0))&amp;"","Sin contrato"))</f>
        <v/>
      </c>
      <c r="T2018" s="63" t="str">
        <f aca="false">IF(OR(B2018="",N(O2018)=0),"",N(O2018)+ROUND(MIN(N(N2018),TOPE_UF*UF_MES)*(TASA_EMP+MUTUAL),0)+ROUND(MIN(N(N2018),TOPE_AFC_UF*UF_MES)*IF(S2018="Indefinido",AFC_INDEF,AFC_PF),0))</f>
        <v/>
      </c>
      <c r="U2018" s="62" t="str">
        <f aca="false">IF(C2018="","",IF(LEFT(D2018,1)="⚠","⚠ RUT no registrado en Trabajadores",IF(B2018="","⚠ Falta el mes",IF(OR(ISTEXT(I2018),ISTEXT(J2018)),"⚠ Atrasos u horas extra como texto: escriba hh:mm (ej. 1:30)",IF(AND(ISNUMBER(Q2018),COUNTIFS(M_RUTN,V2018,M_MES,B2018,M_LIQ,"&lt;&gt;")&gt;1),"⚠ Liquidación repetida en el mes",IF(AND(ISNUMBER(O2018),ISNUMBER(P2018),ISNUMBER(Q2018),ABS(O2018-P2018-Q2018)&gt;1),"⚠ Haberes − descuentos no da el líquido","OK"))))))</f>
        <v/>
      </c>
      <c r="V2018" s="62" t="str">
        <f aca="false">IF(C2018="","",IFERROR(VALUE(LEFT(UPPER(SUBSTITUTE(SUBSTITUTE(SUBSTITUTE(TRIM(C2018),".",""),"-","")," ","")),LEN(UPPER(SUBSTITUTE(SUBSTITUTE(SUBSTITUTE(TRIM(C2018),".",""),"-","")," ","")))-1))&amp;RIGHT(UPPER(SUBSTITUTE(SUBSTITUTE(SUBSTITUTE(TRIM(C2018),".",""),"-","")," ","")),1),UPPER(SUBSTITUTE(SUBSTITUTE(SUBSTITUTE(TRIM(C2018),".",""),"-","")," ",""))))</f>
        <v/>
      </c>
    </row>
    <row r="2019" customFormat="false" ht="15" hidden="false" customHeight="false" outlineLevel="0" collapsed="false">
      <c r="B2019" s="80"/>
      <c r="C2019" s="58"/>
      <c r="D2019" s="62" t="str">
        <f aca="false">IF(C2019="","",IFERROR(INDEX(T_NOMBRE,MATCH(V2019,T_RUTN,0)),"⚠ RUT no está en Trabajadores"))</f>
        <v/>
      </c>
      <c r="E2019" s="61"/>
      <c r="F2019" s="61"/>
      <c r="G2019" s="61"/>
      <c r="H2019" s="61"/>
      <c r="I2019" s="81"/>
      <c r="J2019" s="81"/>
      <c r="K2019" s="60"/>
      <c r="L2019" s="60"/>
      <c r="M2019" s="60"/>
      <c r="N2019" s="60"/>
      <c r="O2019" s="60"/>
      <c r="P2019" s="60"/>
      <c r="Q2019" s="60"/>
      <c r="R2019" s="58"/>
      <c r="S2019" s="62" t="str">
        <f aca="false">IF(OR(B2019="",V2019=""),"",IFERROR(INDEX(C_TIPO,MATCH(V2019&amp;"-P"&amp;MAX(1,COUNTIFS(C_RUTN,V2019,C_DEF,"Sí",C_INI,"&lt;="&amp;EOMONTH(B2019,0))),C_CLAVE,0))&amp;"","Sin contrato"))</f>
        <v/>
      </c>
      <c r="T2019" s="63" t="str">
        <f aca="false">IF(OR(B2019="",N(O2019)=0),"",N(O2019)+ROUND(MIN(N(N2019),TOPE_UF*UF_MES)*(TASA_EMP+MUTUAL),0)+ROUND(MIN(N(N2019),TOPE_AFC_UF*UF_MES)*IF(S2019="Indefinido",AFC_INDEF,AFC_PF),0))</f>
        <v/>
      </c>
      <c r="U2019" s="62" t="str">
        <f aca="false">IF(C2019="","",IF(LEFT(D2019,1)="⚠","⚠ RUT no registrado en Trabajadores",IF(B2019="","⚠ Falta el mes",IF(OR(ISTEXT(I2019),ISTEXT(J2019)),"⚠ Atrasos u horas extra como texto: escriba hh:mm (ej. 1:30)",IF(AND(ISNUMBER(Q2019),COUNTIFS(M_RUTN,V2019,M_MES,B2019,M_LIQ,"&lt;&gt;")&gt;1),"⚠ Liquidación repetida en el mes",IF(AND(ISNUMBER(O2019),ISNUMBER(P2019),ISNUMBER(Q2019),ABS(O2019-P2019-Q2019)&gt;1),"⚠ Haberes − descuentos no da el líquido","OK"))))))</f>
        <v/>
      </c>
      <c r="V2019" s="62" t="str">
        <f aca="false">IF(C2019="","",IFERROR(VALUE(LEFT(UPPER(SUBSTITUTE(SUBSTITUTE(SUBSTITUTE(TRIM(C2019),".",""),"-","")," ","")),LEN(UPPER(SUBSTITUTE(SUBSTITUTE(SUBSTITUTE(TRIM(C2019),".",""),"-","")," ","")))-1))&amp;RIGHT(UPPER(SUBSTITUTE(SUBSTITUTE(SUBSTITUTE(TRIM(C2019),".",""),"-","")," ","")),1),UPPER(SUBSTITUTE(SUBSTITUTE(SUBSTITUTE(TRIM(C2019),".",""),"-","")," ",""))))</f>
        <v/>
      </c>
    </row>
    <row r="2020" customFormat="false" ht="15" hidden="false" customHeight="false" outlineLevel="0" collapsed="false">
      <c r="B2020" s="80"/>
      <c r="C2020" s="58"/>
      <c r="D2020" s="62" t="str">
        <f aca="false">IF(C2020="","",IFERROR(INDEX(T_NOMBRE,MATCH(V2020,T_RUTN,0)),"⚠ RUT no está en Trabajadores"))</f>
        <v/>
      </c>
      <c r="E2020" s="61"/>
      <c r="F2020" s="61"/>
      <c r="G2020" s="61"/>
      <c r="H2020" s="61"/>
      <c r="I2020" s="81"/>
      <c r="J2020" s="81"/>
      <c r="K2020" s="60"/>
      <c r="L2020" s="60"/>
      <c r="M2020" s="60"/>
      <c r="N2020" s="60"/>
      <c r="O2020" s="60"/>
      <c r="P2020" s="60"/>
      <c r="Q2020" s="60"/>
      <c r="R2020" s="58"/>
      <c r="S2020" s="62" t="str">
        <f aca="false">IF(OR(B2020="",V2020=""),"",IFERROR(INDEX(C_TIPO,MATCH(V2020&amp;"-P"&amp;MAX(1,COUNTIFS(C_RUTN,V2020,C_DEF,"Sí",C_INI,"&lt;="&amp;EOMONTH(B2020,0))),C_CLAVE,0))&amp;"","Sin contrato"))</f>
        <v/>
      </c>
      <c r="T2020" s="63" t="str">
        <f aca="false">IF(OR(B2020="",N(O2020)=0),"",N(O2020)+ROUND(MIN(N(N2020),TOPE_UF*UF_MES)*(TASA_EMP+MUTUAL),0)+ROUND(MIN(N(N2020),TOPE_AFC_UF*UF_MES)*IF(S2020="Indefinido",AFC_INDEF,AFC_PF),0))</f>
        <v/>
      </c>
      <c r="U2020" s="62" t="str">
        <f aca="false">IF(C2020="","",IF(LEFT(D2020,1)="⚠","⚠ RUT no registrado en Trabajadores",IF(B2020="","⚠ Falta el mes",IF(OR(ISTEXT(I2020),ISTEXT(J2020)),"⚠ Atrasos u horas extra como texto: escriba hh:mm (ej. 1:30)",IF(AND(ISNUMBER(Q2020),COUNTIFS(M_RUTN,V2020,M_MES,B2020,M_LIQ,"&lt;&gt;")&gt;1),"⚠ Liquidación repetida en el mes",IF(AND(ISNUMBER(O2020),ISNUMBER(P2020),ISNUMBER(Q2020),ABS(O2020-P2020-Q2020)&gt;1),"⚠ Haberes − descuentos no da el líquido","OK"))))))</f>
        <v/>
      </c>
      <c r="V2020" s="62" t="str">
        <f aca="false">IF(C2020="","",IFERROR(VALUE(LEFT(UPPER(SUBSTITUTE(SUBSTITUTE(SUBSTITUTE(TRIM(C2020),".",""),"-","")," ","")),LEN(UPPER(SUBSTITUTE(SUBSTITUTE(SUBSTITUTE(TRIM(C2020),".",""),"-","")," ","")))-1))&amp;RIGHT(UPPER(SUBSTITUTE(SUBSTITUTE(SUBSTITUTE(TRIM(C2020),".",""),"-","")," ","")),1),UPPER(SUBSTITUTE(SUBSTITUTE(SUBSTITUTE(TRIM(C2020),".",""),"-","")," ",""))))</f>
        <v/>
      </c>
    </row>
    <row r="2021" customFormat="false" ht="15" hidden="false" customHeight="false" outlineLevel="0" collapsed="false">
      <c r="B2021" s="80"/>
      <c r="C2021" s="58"/>
      <c r="D2021" s="62" t="str">
        <f aca="false">IF(C2021="","",IFERROR(INDEX(T_NOMBRE,MATCH(V2021,T_RUTN,0)),"⚠ RUT no está en Trabajadores"))</f>
        <v/>
      </c>
      <c r="E2021" s="61"/>
      <c r="F2021" s="61"/>
      <c r="G2021" s="61"/>
      <c r="H2021" s="61"/>
      <c r="I2021" s="81"/>
      <c r="J2021" s="81"/>
      <c r="K2021" s="60"/>
      <c r="L2021" s="60"/>
      <c r="M2021" s="60"/>
      <c r="N2021" s="60"/>
      <c r="O2021" s="60"/>
      <c r="P2021" s="60"/>
      <c r="Q2021" s="60"/>
      <c r="R2021" s="58"/>
      <c r="S2021" s="62" t="str">
        <f aca="false">IF(OR(B2021="",V2021=""),"",IFERROR(INDEX(C_TIPO,MATCH(V2021&amp;"-P"&amp;MAX(1,COUNTIFS(C_RUTN,V2021,C_DEF,"Sí",C_INI,"&lt;="&amp;EOMONTH(B2021,0))),C_CLAVE,0))&amp;"","Sin contrato"))</f>
        <v/>
      </c>
      <c r="T2021" s="63" t="str">
        <f aca="false">IF(OR(B2021="",N(O2021)=0),"",N(O2021)+ROUND(MIN(N(N2021),TOPE_UF*UF_MES)*(TASA_EMP+MUTUAL),0)+ROUND(MIN(N(N2021),TOPE_AFC_UF*UF_MES)*IF(S2021="Indefinido",AFC_INDEF,AFC_PF),0))</f>
        <v/>
      </c>
      <c r="U2021" s="62" t="str">
        <f aca="false">IF(C2021="","",IF(LEFT(D2021,1)="⚠","⚠ RUT no registrado en Trabajadores",IF(B2021="","⚠ Falta el mes",IF(OR(ISTEXT(I2021),ISTEXT(J2021)),"⚠ Atrasos u horas extra como texto: escriba hh:mm (ej. 1:30)",IF(AND(ISNUMBER(Q2021),COUNTIFS(M_RUTN,V2021,M_MES,B2021,M_LIQ,"&lt;&gt;")&gt;1),"⚠ Liquidación repetida en el mes",IF(AND(ISNUMBER(O2021),ISNUMBER(P2021),ISNUMBER(Q2021),ABS(O2021-P2021-Q2021)&gt;1),"⚠ Haberes − descuentos no da el líquido","OK"))))))</f>
        <v/>
      </c>
      <c r="V2021" s="62" t="str">
        <f aca="false">IF(C2021="","",IFERROR(VALUE(LEFT(UPPER(SUBSTITUTE(SUBSTITUTE(SUBSTITUTE(TRIM(C2021),".",""),"-","")," ","")),LEN(UPPER(SUBSTITUTE(SUBSTITUTE(SUBSTITUTE(TRIM(C2021),".",""),"-","")," ","")))-1))&amp;RIGHT(UPPER(SUBSTITUTE(SUBSTITUTE(SUBSTITUTE(TRIM(C2021),".",""),"-","")," ","")),1),UPPER(SUBSTITUTE(SUBSTITUTE(SUBSTITUTE(TRIM(C2021),".",""),"-","")," ",""))))</f>
        <v/>
      </c>
    </row>
    <row r="2022" customFormat="false" ht="15" hidden="false" customHeight="false" outlineLevel="0" collapsed="false">
      <c r="B2022" s="80"/>
      <c r="C2022" s="58"/>
      <c r="D2022" s="62" t="str">
        <f aca="false">IF(C2022="","",IFERROR(INDEX(T_NOMBRE,MATCH(V2022,T_RUTN,0)),"⚠ RUT no está en Trabajadores"))</f>
        <v/>
      </c>
      <c r="E2022" s="61"/>
      <c r="F2022" s="61"/>
      <c r="G2022" s="61"/>
      <c r="H2022" s="61"/>
      <c r="I2022" s="81"/>
      <c r="J2022" s="81"/>
      <c r="K2022" s="60"/>
      <c r="L2022" s="60"/>
      <c r="M2022" s="60"/>
      <c r="N2022" s="60"/>
      <c r="O2022" s="60"/>
      <c r="P2022" s="60"/>
      <c r="Q2022" s="60"/>
      <c r="R2022" s="58"/>
      <c r="S2022" s="62" t="str">
        <f aca="false">IF(OR(B2022="",V2022=""),"",IFERROR(INDEX(C_TIPO,MATCH(V2022&amp;"-P"&amp;MAX(1,COUNTIFS(C_RUTN,V2022,C_DEF,"Sí",C_INI,"&lt;="&amp;EOMONTH(B2022,0))),C_CLAVE,0))&amp;"","Sin contrato"))</f>
        <v/>
      </c>
      <c r="T2022" s="63" t="str">
        <f aca="false">IF(OR(B2022="",N(O2022)=0),"",N(O2022)+ROUND(MIN(N(N2022),TOPE_UF*UF_MES)*(TASA_EMP+MUTUAL),0)+ROUND(MIN(N(N2022),TOPE_AFC_UF*UF_MES)*IF(S2022="Indefinido",AFC_INDEF,AFC_PF),0))</f>
        <v/>
      </c>
      <c r="U2022" s="62" t="str">
        <f aca="false">IF(C2022="","",IF(LEFT(D2022,1)="⚠","⚠ RUT no registrado en Trabajadores",IF(B2022="","⚠ Falta el mes",IF(OR(ISTEXT(I2022),ISTEXT(J2022)),"⚠ Atrasos u horas extra como texto: escriba hh:mm (ej. 1:30)",IF(AND(ISNUMBER(Q2022),COUNTIFS(M_RUTN,V2022,M_MES,B2022,M_LIQ,"&lt;&gt;")&gt;1),"⚠ Liquidación repetida en el mes",IF(AND(ISNUMBER(O2022),ISNUMBER(P2022),ISNUMBER(Q2022),ABS(O2022-P2022-Q2022)&gt;1),"⚠ Haberes − descuentos no da el líquido","OK"))))))</f>
        <v/>
      </c>
      <c r="V2022" s="62" t="str">
        <f aca="false">IF(C2022="","",IFERROR(VALUE(LEFT(UPPER(SUBSTITUTE(SUBSTITUTE(SUBSTITUTE(TRIM(C2022),".",""),"-","")," ","")),LEN(UPPER(SUBSTITUTE(SUBSTITUTE(SUBSTITUTE(TRIM(C2022),".",""),"-","")," ","")))-1))&amp;RIGHT(UPPER(SUBSTITUTE(SUBSTITUTE(SUBSTITUTE(TRIM(C2022),".",""),"-","")," ","")),1),UPPER(SUBSTITUTE(SUBSTITUTE(SUBSTITUTE(TRIM(C2022),".",""),"-","")," ",""))))</f>
        <v/>
      </c>
    </row>
    <row r="2023" customFormat="false" ht="15" hidden="false" customHeight="false" outlineLevel="0" collapsed="false">
      <c r="B2023" s="80"/>
      <c r="C2023" s="58"/>
      <c r="D2023" s="62" t="str">
        <f aca="false">IF(C2023="","",IFERROR(INDEX(T_NOMBRE,MATCH(V2023,T_RUTN,0)),"⚠ RUT no está en Trabajadores"))</f>
        <v/>
      </c>
      <c r="E2023" s="61"/>
      <c r="F2023" s="61"/>
      <c r="G2023" s="61"/>
      <c r="H2023" s="61"/>
      <c r="I2023" s="81"/>
      <c r="J2023" s="81"/>
      <c r="K2023" s="60"/>
      <c r="L2023" s="60"/>
      <c r="M2023" s="60"/>
      <c r="N2023" s="60"/>
      <c r="O2023" s="60"/>
      <c r="P2023" s="60"/>
      <c r="Q2023" s="60"/>
      <c r="R2023" s="58"/>
      <c r="S2023" s="62" t="str">
        <f aca="false">IF(OR(B2023="",V2023=""),"",IFERROR(INDEX(C_TIPO,MATCH(V2023&amp;"-P"&amp;MAX(1,COUNTIFS(C_RUTN,V2023,C_DEF,"Sí",C_INI,"&lt;="&amp;EOMONTH(B2023,0))),C_CLAVE,0))&amp;"","Sin contrato"))</f>
        <v/>
      </c>
      <c r="T2023" s="63" t="str">
        <f aca="false">IF(OR(B2023="",N(O2023)=0),"",N(O2023)+ROUND(MIN(N(N2023),TOPE_UF*UF_MES)*(TASA_EMP+MUTUAL),0)+ROUND(MIN(N(N2023),TOPE_AFC_UF*UF_MES)*IF(S2023="Indefinido",AFC_INDEF,AFC_PF),0))</f>
        <v/>
      </c>
      <c r="U2023" s="62" t="str">
        <f aca="false">IF(C2023="","",IF(LEFT(D2023,1)="⚠","⚠ RUT no registrado en Trabajadores",IF(B2023="","⚠ Falta el mes",IF(OR(ISTEXT(I2023),ISTEXT(J2023)),"⚠ Atrasos u horas extra como texto: escriba hh:mm (ej. 1:30)",IF(AND(ISNUMBER(Q2023),COUNTIFS(M_RUTN,V2023,M_MES,B2023,M_LIQ,"&lt;&gt;")&gt;1),"⚠ Liquidación repetida en el mes",IF(AND(ISNUMBER(O2023),ISNUMBER(P2023),ISNUMBER(Q2023),ABS(O2023-P2023-Q2023)&gt;1),"⚠ Haberes − descuentos no da el líquido","OK"))))))</f>
        <v/>
      </c>
      <c r="V2023" s="62" t="str">
        <f aca="false">IF(C2023="","",IFERROR(VALUE(LEFT(UPPER(SUBSTITUTE(SUBSTITUTE(SUBSTITUTE(TRIM(C2023),".",""),"-","")," ","")),LEN(UPPER(SUBSTITUTE(SUBSTITUTE(SUBSTITUTE(TRIM(C2023),".",""),"-","")," ","")))-1))&amp;RIGHT(UPPER(SUBSTITUTE(SUBSTITUTE(SUBSTITUTE(TRIM(C2023),".",""),"-","")," ","")),1),UPPER(SUBSTITUTE(SUBSTITUTE(SUBSTITUTE(TRIM(C2023),".",""),"-","")," ",""))))</f>
        <v/>
      </c>
    </row>
    <row r="2024" customFormat="false" ht="15" hidden="false" customHeight="false" outlineLevel="0" collapsed="false">
      <c r="B2024" s="80"/>
      <c r="C2024" s="58"/>
      <c r="D2024" s="62" t="str">
        <f aca="false">IF(C2024="","",IFERROR(INDEX(T_NOMBRE,MATCH(V2024,T_RUTN,0)),"⚠ RUT no está en Trabajadores"))</f>
        <v/>
      </c>
      <c r="E2024" s="61"/>
      <c r="F2024" s="61"/>
      <c r="G2024" s="61"/>
      <c r="H2024" s="61"/>
      <c r="I2024" s="81"/>
      <c r="J2024" s="81"/>
      <c r="K2024" s="60"/>
      <c r="L2024" s="60"/>
      <c r="M2024" s="60"/>
      <c r="N2024" s="60"/>
      <c r="O2024" s="60"/>
      <c r="P2024" s="60"/>
      <c r="Q2024" s="60"/>
      <c r="R2024" s="58"/>
      <c r="S2024" s="62" t="str">
        <f aca="false">IF(OR(B2024="",V2024=""),"",IFERROR(INDEX(C_TIPO,MATCH(V2024&amp;"-P"&amp;MAX(1,COUNTIFS(C_RUTN,V2024,C_DEF,"Sí",C_INI,"&lt;="&amp;EOMONTH(B2024,0))),C_CLAVE,0))&amp;"","Sin contrato"))</f>
        <v/>
      </c>
      <c r="T2024" s="63" t="str">
        <f aca="false">IF(OR(B2024="",N(O2024)=0),"",N(O2024)+ROUND(MIN(N(N2024),TOPE_UF*UF_MES)*(TASA_EMP+MUTUAL),0)+ROUND(MIN(N(N2024),TOPE_AFC_UF*UF_MES)*IF(S2024="Indefinido",AFC_INDEF,AFC_PF),0))</f>
        <v/>
      </c>
      <c r="U2024" s="62" t="str">
        <f aca="false">IF(C2024="","",IF(LEFT(D2024,1)="⚠","⚠ RUT no registrado en Trabajadores",IF(B2024="","⚠ Falta el mes",IF(OR(ISTEXT(I2024),ISTEXT(J2024)),"⚠ Atrasos u horas extra como texto: escriba hh:mm (ej. 1:30)",IF(AND(ISNUMBER(Q2024),COUNTIFS(M_RUTN,V2024,M_MES,B2024,M_LIQ,"&lt;&gt;")&gt;1),"⚠ Liquidación repetida en el mes",IF(AND(ISNUMBER(O2024),ISNUMBER(P2024),ISNUMBER(Q2024),ABS(O2024-P2024-Q2024)&gt;1),"⚠ Haberes − descuentos no da el líquido","OK"))))))</f>
        <v/>
      </c>
      <c r="V2024" s="62" t="str">
        <f aca="false">IF(C2024="","",IFERROR(VALUE(LEFT(UPPER(SUBSTITUTE(SUBSTITUTE(SUBSTITUTE(TRIM(C2024),".",""),"-","")," ","")),LEN(UPPER(SUBSTITUTE(SUBSTITUTE(SUBSTITUTE(TRIM(C2024),".",""),"-","")," ","")))-1))&amp;RIGHT(UPPER(SUBSTITUTE(SUBSTITUTE(SUBSTITUTE(TRIM(C2024),".",""),"-","")," ","")),1),UPPER(SUBSTITUTE(SUBSTITUTE(SUBSTITUTE(TRIM(C2024),".",""),"-","")," ",""))))</f>
        <v/>
      </c>
    </row>
    <row r="2025" customFormat="false" ht="15" hidden="false" customHeight="false" outlineLevel="0" collapsed="false">
      <c r="B2025" s="80"/>
      <c r="C2025" s="58"/>
      <c r="D2025" s="62" t="str">
        <f aca="false">IF(C2025="","",IFERROR(INDEX(T_NOMBRE,MATCH(V2025,T_RUTN,0)),"⚠ RUT no está en Trabajadores"))</f>
        <v/>
      </c>
      <c r="E2025" s="61"/>
      <c r="F2025" s="61"/>
      <c r="G2025" s="61"/>
      <c r="H2025" s="61"/>
      <c r="I2025" s="81"/>
      <c r="J2025" s="81"/>
      <c r="K2025" s="60"/>
      <c r="L2025" s="60"/>
      <c r="M2025" s="60"/>
      <c r="N2025" s="60"/>
      <c r="O2025" s="60"/>
      <c r="P2025" s="60"/>
      <c r="Q2025" s="60"/>
      <c r="R2025" s="58"/>
      <c r="S2025" s="62" t="str">
        <f aca="false">IF(OR(B2025="",V2025=""),"",IFERROR(INDEX(C_TIPO,MATCH(V2025&amp;"-P"&amp;MAX(1,COUNTIFS(C_RUTN,V2025,C_DEF,"Sí",C_INI,"&lt;="&amp;EOMONTH(B2025,0))),C_CLAVE,0))&amp;"","Sin contrato"))</f>
        <v/>
      </c>
      <c r="T2025" s="63" t="str">
        <f aca="false">IF(OR(B2025="",N(O2025)=0),"",N(O2025)+ROUND(MIN(N(N2025),TOPE_UF*UF_MES)*(TASA_EMP+MUTUAL),0)+ROUND(MIN(N(N2025),TOPE_AFC_UF*UF_MES)*IF(S2025="Indefinido",AFC_INDEF,AFC_PF),0))</f>
        <v/>
      </c>
      <c r="U2025" s="62" t="str">
        <f aca="false">IF(C2025="","",IF(LEFT(D2025,1)="⚠","⚠ RUT no registrado en Trabajadores",IF(B2025="","⚠ Falta el mes",IF(OR(ISTEXT(I2025),ISTEXT(J2025)),"⚠ Atrasos u horas extra como texto: escriba hh:mm (ej. 1:30)",IF(AND(ISNUMBER(Q2025),COUNTIFS(M_RUTN,V2025,M_MES,B2025,M_LIQ,"&lt;&gt;")&gt;1),"⚠ Liquidación repetida en el mes",IF(AND(ISNUMBER(O2025),ISNUMBER(P2025),ISNUMBER(Q2025),ABS(O2025-P2025-Q2025)&gt;1),"⚠ Haberes − descuentos no da el líquido","OK"))))))</f>
        <v/>
      </c>
      <c r="V2025" s="62" t="str">
        <f aca="false">IF(C2025="","",IFERROR(VALUE(LEFT(UPPER(SUBSTITUTE(SUBSTITUTE(SUBSTITUTE(TRIM(C2025),".",""),"-","")," ","")),LEN(UPPER(SUBSTITUTE(SUBSTITUTE(SUBSTITUTE(TRIM(C2025),".",""),"-","")," ","")))-1))&amp;RIGHT(UPPER(SUBSTITUTE(SUBSTITUTE(SUBSTITUTE(TRIM(C2025),".",""),"-","")," ","")),1),UPPER(SUBSTITUTE(SUBSTITUTE(SUBSTITUTE(TRIM(C2025),".",""),"-","")," ",""))))</f>
        <v/>
      </c>
    </row>
    <row r="2026" customFormat="false" ht="15" hidden="false" customHeight="false" outlineLevel="0" collapsed="false">
      <c r="B2026" s="80"/>
      <c r="C2026" s="58"/>
      <c r="D2026" s="62" t="str">
        <f aca="false">IF(C2026="","",IFERROR(INDEX(T_NOMBRE,MATCH(V2026,T_RUTN,0)),"⚠ RUT no está en Trabajadores"))</f>
        <v/>
      </c>
      <c r="E2026" s="61"/>
      <c r="F2026" s="61"/>
      <c r="G2026" s="61"/>
      <c r="H2026" s="61"/>
      <c r="I2026" s="81"/>
      <c r="J2026" s="81"/>
      <c r="K2026" s="60"/>
      <c r="L2026" s="60"/>
      <c r="M2026" s="60"/>
      <c r="N2026" s="60"/>
      <c r="O2026" s="60"/>
      <c r="P2026" s="60"/>
      <c r="Q2026" s="60"/>
      <c r="R2026" s="58"/>
      <c r="S2026" s="62" t="str">
        <f aca="false">IF(OR(B2026="",V2026=""),"",IFERROR(INDEX(C_TIPO,MATCH(V2026&amp;"-P"&amp;MAX(1,COUNTIFS(C_RUTN,V2026,C_DEF,"Sí",C_INI,"&lt;="&amp;EOMONTH(B2026,0))),C_CLAVE,0))&amp;"","Sin contrato"))</f>
        <v/>
      </c>
      <c r="T2026" s="63" t="str">
        <f aca="false">IF(OR(B2026="",N(O2026)=0),"",N(O2026)+ROUND(MIN(N(N2026),TOPE_UF*UF_MES)*(TASA_EMP+MUTUAL),0)+ROUND(MIN(N(N2026),TOPE_AFC_UF*UF_MES)*IF(S2026="Indefinido",AFC_INDEF,AFC_PF),0))</f>
        <v/>
      </c>
      <c r="U2026" s="62" t="str">
        <f aca="false">IF(C2026="","",IF(LEFT(D2026,1)="⚠","⚠ RUT no registrado en Trabajadores",IF(B2026="","⚠ Falta el mes",IF(OR(ISTEXT(I2026),ISTEXT(J2026)),"⚠ Atrasos u horas extra como texto: escriba hh:mm (ej. 1:30)",IF(AND(ISNUMBER(Q2026),COUNTIFS(M_RUTN,V2026,M_MES,B2026,M_LIQ,"&lt;&gt;")&gt;1),"⚠ Liquidación repetida en el mes",IF(AND(ISNUMBER(O2026),ISNUMBER(P2026),ISNUMBER(Q2026),ABS(O2026-P2026-Q2026)&gt;1),"⚠ Haberes − descuentos no da el líquido","OK"))))))</f>
        <v/>
      </c>
      <c r="V2026" s="62" t="str">
        <f aca="false">IF(C2026="","",IFERROR(VALUE(LEFT(UPPER(SUBSTITUTE(SUBSTITUTE(SUBSTITUTE(TRIM(C2026),".",""),"-","")," ","")),LEN(UPPER(SUBSTITUTE(SUBSTITUTE(SUBSTITUTE(TRIM(C2026),".",""),"-","")," ","")))-1))&amp;RIGHT(UPPER(SUBSTITUTE(SUBSTITUTE(SUBSTITUTE(TRIM(C2026),".",""),"-","")," ","")),1),UPPER(SUBSTITUTE(SUBSTITUTE(SUBSTITUTE(TRIM(C2026),".",""),"-","")," ",""))))</f>
        <v/>
      </c>
    </row>
    <row r="2027" customFormat="false" ht="15" hidden="false" customHeight="false" outlineLevel="0" collapsed="false">
      <c r="B2027" s="80"/>
      <c r="C2027" s="58"/>
      <c r="D2027" s="62" t="str">
        <f aca="false">IF(C2027="","",IFERROR(INDEX(T_NOMBRE,MATCH(V2027,T_RUTN,0)),"⚠ RUT no está en Trabajadores"))</f>
        <v/>
      </c>
      <c r="E2027" s="61"/>
      <c r="F2027" s="61"/>
      <c r="G2027" s="61"/>
      <c r="H2027" s="61"/>
      <c r="I2027" s="81"/>
      <c r="J2027" s="81"/>
      <c r="K2027" s="60"/>
      <c r="L2027" s="60"/>
      <c r="M2027" s="60"/>
      <c r="N2027" s="60"/>
      <c r="O2027" s="60"/>
      <c r="P2027" s="60"/>
      <c r="Q2027" s="60"/>
      <c r="R2027" s="58"/>
      <c r="S2027" s="62" t="str">
        <f aca="false">IF(OR(B2027="",V2027=""),"",IFERROR(INDEX(C_TIPO,MATCH(V2027&amp;"-P"&amp;MAX(1,COUNTIFS(C_RUTN,V2027,C_DEF,"Sí",C_INI,"&lt;="&amp;EOMONTH(B2027,0))),C_CLAVE,0))&amp;"","Sin contrato"))</f>
        <v/>
      </c>
      <c r="T2027" s="63" t="str">
        <f aca="false">IF(OR(B2027="",N(O2027)=0),"",N(O2027)+ROUND(MIN(N(N2027),TOPE_UF*UF_MES)*(TASA_EMP+MUTUAL),0)+ROUND(MIN(N(N2027),TOPE_AFC_UF*UF_MES)*IF(S2027="Indefinido",AFC_INDEF,AFC_PF),0))</f>
        <v/>
      </c>
      <c r="U2027" s="62" t="str">
        <f aca="false">IF(C2027="","",IF(LEFT(D2027,1)="⚠","⚠ RUT no registrado en Trabajadores",IF(B2027="","⚠ Falta el mes",IF(OR(ISTEXT(I2027),ISTEXT(J2027)),"⚠ Atrasos u horas extra como texto: escriba hh:mm (ej. 1:30)",IF(AND(ISNUMBER(Q2027),COUNTIFS(M_RUTN,V2027,M_MES,B2027,M_LIQ,"&lt;&gt;")&gt;1),"⚠ Liquidación repetida en el mes",IF(AND(ISNUMBER(O2027),ISNUMBER(P2027),ISNUMBER(Q2027),ABS(O2027-P2027-Q2027)&gt;1),"⚠ Haberes − descuentos no da el líquido","OK"))))))</f>
        <v/>
      </c>
      <c r="V2027" s="62" t="str">
        <f aca="false">IF(C2027="","",IFERROR(VALUE(LEFT(UPPER(SUBSTITUTE(SUBSTITUTE(SUBSTITUTE(TRIM(C2027),".",""),"-","")," ","")),LEN(UPPER(SUBSTITUTE(SUBSTITUTE(SUBSTITUTE(TRIM(C2027),".",""),"-","")," ","")))-1))&amp;RIGHT(UPPER(SUBSTITUTE(SUBSTITUTE(SUBSTITUTE(TRIM(C2027),".",""),"-","")," ","")),1),UPPER(SUBSTITUTE(SUBSTITUTE(SUBSTITUTE(TRIM(C2027),".",""),"-","")," ",""))))</f>
        <v/>
      </c>
    </row>
    <row r="2028" customFormat="false" ht="15" hidden="false" customHeight="false" outlineLevel="0" collapsed="false">
      <c r="B2028" s="80"/>
      <c r="C2028" s="58"/>
      <c r="D2028" s="62" t="str">
        <f aca="false">IF(C2028="","",IFERROR(INDEX(T_NOMBRE,MATCH(V2028,T_RUTN,0)),"⚠ RUT no está en Trabajadores"))</f>
        <v/>
      </c>
      <c r="E2028" s="61"/>
      <c r="F2028" s="61"/>
      <c r="G2028" s="61"/>
      <c r="H2028" s="61"/>
      <c r="I2028" s="81"/>
      <c r="J2028" s="81"/>
      <c r="K2028" s="60"/>
      <c r="L2028" s="60"/>
      <c r="M2028" s="60"/>
      <c r="N2028" s="60"/>
      <c r="O2028" s="60"/>
      <c r="P2028" s="60"/>
      <c r="Q2028" s="60"/>
      <c r="R2028" s="58"/>
      <c r="S2028" s="62" t="str">
        <f aca="false">IF(OR(B2028="",V2028=""),"",IFERROR(INDEX(C_TIPO,MATCH(V2028&amp;"-P"&amp;MAX(1,COUNTIFS(C_RUTN,V2028,C_DEF,"Sí",C_INI,"&lt;="&amp;EOMONTH(B2028,0))),C_CLAVE,0))&amp;"","Sin contrato"))</f>
        <v/>
      </c>
      <c r="T2028" s="63" t="str">
        <f aca="false">IF(OR(B2028="",N(O2028)=0),"",N(O2028)+ROUND(MIN(N(N2028),TOPE_UF*UF_MES)*(TASA_EMP+MUTUAL),0)+ROUND(MIN(N(N2028),TOPE_AFC_UF*UF_MES)*IF(S2028="Indefinido",AFC_INDEF,AFC_PF),0))</f>
        <v/>
      </c>
      <c r="U2028" s="62" t="str">
        <f aca="false">IF(C2028="","",IF(LEFT(D2028,1)="⚠","⚠ RUT no registrado en Trabajadores",IF(B2028="","⚠ Falta el mes",IF(OR(ISTEXT(I2028),ISTEXT(J2028)),"⚠ Atrasos u horas extra como texto: escriba hh:mm (ej. 1:30)",IF(AND(ISNUMBER(Q2028),COUNTIFS(M_RUTN,V2028,M_MES,B2028,M_LIQ,"&lt;&gt;")&gt;1),"⚠ Liquidación repetida en el mes",IF(AND(ISNUMBER(O2028),ISNUMBER(P2028),ISNUMBER(Q2028),ABS(O2028-P2028-Q2028)&gt;1),"⚠ Haberes − descuentos no da el líquido","OK"))))))</f>
        <v/>
      </c>
      <c r="V2028" s="62" t="str">
        <f aca="false">IF(C2028="","",IFERROR(VALUE(LEFT(UPPER(SUBSTITUTE(SUBSTITUTE(SUBSTITUTE(TRIM(C2028),".",""),"-","")," ","")),LEN(UPPER(SUBSTITUTE(SUBSTITUTE(SUBSTITUTE(TRIM(C2028),".",""),"-","")," ","")))-1))&amp;RIGHT(UPPER(SUBSTITUTE(SUBSTITUTE(SUBSTITUTE(TRIM(C2028),".",""),"-","")," ","")),1),UPPER(SUBSTITUTE(SUBSTITUTE(SUBSTITUTE(TRIM(C2028),".",""),"-","")," ",""))))</f>
        <v/>
      </c>
    </row>
    <row r="2029" customFormat="false" ht="15" hidden="false" customHeight="false" outlineLevel="0" collapsed="false">
      <c r="B2029" s="80"/>
      <c r="C2029" s="58"/>
      <c r="D2029" s="62" t="str">
        <f aca="false">IF(C2029="","",IFERROR(INDEX(T_NOMBRE,MATCH(V2029,T_RUTN,0)),"⚠ RUT no está en Trabajadores"))</f>
        <v/>
      </c>
      <c r="E2029" s="61"/>
      <c r="F2029" s="61"/>
      <c r="G2029" s="61"/>
      <c r="H2029" s="61"/>
      <c r="I2029" s="81"/>
      <c r="J2029" s="81"/>
      <c r="K2029" s="60"/>
      <c r="L2029" s="60"/>
      <c r="M2029" s="60"/>
      <c r="N2029" s="60"/>
      <c r="O2029" s="60"/>
      <c r="P2029" s="60"/>
      <c r="Q2029" s="60"/>
      <c r="R2029" s="58"/>
      <c r="S2029" s="62" t="str">
        <f aca="false">IF(OR(B2029="",V2029=""),"",IFERROR(INDEX(C_TIPO,MATCH(V2029&amp;"-P"&amp;MAX(1,COUNTIFS(C_RUTN,V2029,C_DEF,"Sí",C_INI,"&lt;="&amp;EOMONTH(B2029,0))),C_CLAVE,0))&amp;"","Sin contrato"))</f>
        <v/>
      </c>
      <c r="T2029" s="63" t="str">
        <f aca="false">IF(OR(B2029="",N(O2029)=0),"",N(O2029)+ROUND(MIN(N(N2029),TOPE_UF*UF_MES)*(TASA_EMP+MUTUAL),0)+ROUND(MIN(N(N2029),TOPE_AFC_UF*UF_MES)*IF(S2029="Indefinido",AFC_INDEF,AFC_PF),0))</f>
        <v/>
      </c>
      <c r="U2029" s="62" t="str">
        <f aca="false">IF(C2029="","",IF(LEFT(D2029,1)="⚠","⚠ RUT no registrado en Trabajadores",IF(B2029="","⚠ Falta el mes",IF(OR(ISTEXT(I2029),ISTEXT(J2029)),"⚠ Atrasos u horas extra como texto: escriba hh:mm (ej. 1:30)",IF(AND(ISNUMBER(Q2029),COUNTIFS(M_RUTN,V2029,M_MES,B2029,M_LIQ,"&lt;&gt;")&gt;1),"⚠ Liquidación repetida en el mes",IF(AND(ISNUMBER(O2029),ISNUMBER(P2029),ISNUMBER(Q2029),ABS(O2029-P2029-Q2029)&gt;1),"⚠ Haberes − descuentos no da el líquido","OK"))))))</f>
        <v/>
      </c>
      <c r="V2029" s="62" t="str">
        <f aca="false">IF(C2029="","",IFERROR(VALUE(LEFT(UPPER(SUBSTITUTE(SUBSTITUTE(SUBSTITUTE(TRIM(C2029),".",""),"-","")," ","")),LEN(UPPER(SUBSTITUTE(SUBSTITUTE(SUBSTITUTE(TRIM(C2029),".",""),"-","")," ","")))-1))&amp;RIGHT(UPPER(SUBSTITUTE(SUBSTITUTE(SUBSTITUTE(TRIM(C2029),".",""),"-","")," ","")),1),UPPER(SUBSTITUTE(SUBSTITUTE(SUBSTITUTE(TRIM(C2029),".",""),"-","")," ",""))))</f>
        <v/>
      </c>
    </row>
    <row r="2030" customFormat="false" ht="15" hidden="false" customHeight="false" outlineLevel="0" collapsed="false">
      <c r="B2030" s="80"/>
      <c r="C2030" s="58"/>
      <c r="D2030" s="62" t="str">
        <f aca="false">IF(C2030="","",IFERROR(INDEX(T_NOMBRE,MATCH(V2030,T_RUTN,0)),"⚠ RUT no está en Trabajadores"))</f>
        <v/>
      </c>
      <c r="E2030" s="61"/>
      <c r="F2030" s="61"/>
      <c r="G2030" s="61"/>
      <c r="H2030" s="61"/>
      <c r="I2030" s="81"/>
      <c r="J2030" s="81"/>
      <c r="K2030" s="60"/>
      <c r="L2030" s="60"/>
      <c r="M2030" s="60"/>
      <c r="N2030" s="60"/>
      <c r="O2030" s="60"/>
      <c r="P2030" s="60"/>
      <c r="Q2030" s="60"/>
      <c r="R2030" s="58"/>
      <c r="S2030" s="62" t="str">
        <f aca="false">IF(OR(B2030="",V2030=""),"",IFERROR(INDEX(C_TIPO,MATCH(V2030&amp;"-P"&amp;MAX(1,COUNTIFS(C_RUTN,V2030,C_DEF,"Sí",C_INI,"&lt;="&amp;EOMONTH(B2030,0))),C_CLAVE,0))&amp;"","Sin contrato"))</f>
        <v/>
      </c>
      <c r="T2030" s="63" t="str">
        <f aca="false">IF(OR(B2030="",N(O2030)=0),"",N(O2030)+ROUND(MIN(N(N2030),TOPE_UF*UF_MES)*(TASA_EMP+MUTUAL),0)+ROUND(MIN(N(N2030),TOPE_AFC_UF*UF_MES)*IF(S2030="Indefinido",AFC_INDEF,AFC_PF),0))</f>
        <v/>
      </c>
      <c r="U2030" s="62" t="str">
        <f aca="false">IF(C2030="","",IF(LEFT(D2030,1)="⚠","⚠ RUT no registrado en Trabajadores",IF(B2030="","⚠ Falta el mes",IF(OR(ISTEXT(I2030),ISTEXT(J2030)),"⚠ Atrasos u horas extra como texto: escriba hh:mm (ej. 1:30)",IF(AND(ISNUMBER(Q2030),COUNTIFS(M_RUTN,V2030,M_MES,B2030,M_LIQ,"&lt;&gt;")&gt;1),"⚠ Liquidación repetida en el mes",IF(AND(ISNUMBER(O2030),ISNUMBER(P2030),ISNUMBER(Q2030),ABS(O2030-P2030-Q2030)&gt;1),"⚠ Haberes − descuentos no da el líquido","OK"))))))</f>
        <v/>
      </c>
      <c r="V2030" s="62" t="str">
        <f aca="false">IF(C2030="","",IFERROR(VALUE(LEFT(UPPER(SUBSTITUTE(SUBSTITUTE(SUBSTITUTE(TRIM(C2030),".",""),"-","")," ","")),LEN(UPPER(SUBSTITUTE(SUBSTITUTE(SUBSTITUTE(TRIM(C2030),".",""),"-","")," ","")))-1))&amp;RIGHT(UPPER(SUBSTITUTE(SUBSTITUTE(SUBSTITUTE(TRIM(C2030),".",""),"-","")," ","")),1),UPPER(SUBSTITUTE(SUBSTITUTE(SUBSTITUTE(TRIM(C2030),".",""),"-","")," ",""))))</f>
        <v/>
      </c>
    </row>
    <row r="2031" customFormat="false" ht="15" hidden="false" customHeight="false" outlineLevel="0" collapsed="false">
      <c r="B2031" s="80"/>
      <c r="C2031" s="58"/>
      <c r="D2031" s="62" t="str">
        <f aca="false">IF(C2031="","",IFERROR(INDEX(T_NOMBRE,MATCH(V2031,T_RUTN,0)),"⚠ RUT no está en Trabajadores"))</f>
        <v/>
      </c>
      <c r="E2031" s="61"/>
      <c r="F2031" s="61"/>
      <c r="G2031" s="61"/>
      <c r="H2031" s="61"/>
      <c r="I2031" s="81"/>
      <c r="J2031" s="81"/>
      <c r="K2031" s="60"/>
      <c r="L2031" s="60"/>
      <c r="M2031" s="60"/>
      <c r="N2031" s="60"/>
      <c r="O2031" s="60"/>
      <c r="P2031" s="60"/>
      <c r="Q2031" s="60"/>
      <c r="R2031" s="58"/>
      <c r="S2031" s="62" t="str">
        <f aca="false">IF(OR(B2031="",V2031=""),"",IFERROR(INDEX(C_TIPO,MATCH(V2031&amp;"-P"&amp;MAX(1,COUNTIFS(C_RUTN,V2031,C_DEF,"Sí",C_INI,"&lt;="&amp;EOMONTH(B2031,0))),C_CLAVE,0))&amp;"","Sin contrato"))</f>
        <v/>
      </c>
      <c r="T2031" s="63" t="str">
        <f aca="false">IF(OR(B2031="",N(O2031)=0),"",N(O2031)+ROUND(MIN(N(N2031),TOPE_UF*UF_MES)*(TASA_EMP+MUTUAL),0)+ROUND(MIN(N(N2031),TOPE_AFC_UF*UF_MES)*IF(S2031="Indefinido",AFC_INDEF,AFC_PF),0))</f>
        <v/>
      </c>
      <c r="U2031" s="62" t="str">
        <f aca="false">IF(C2031="","",IF(LEFT(D2031,1)="⚠","⚠ RUT no registrado en Trabajadores",IF(B2031="","⚠ Falta el mes",IF(OR(ISTEXT(I2031),ISTEXT(J2031)),"⚠ Atrasos u horas extra como texto: escriba hh:mm (ej. 1:30)",IF(AND(ISNUMBER(Q2031),COUNTIFS(M_RUTN,V2031,M_MES,B2031,M_LIQ,"&lt;&gt;")&gt;1),"⚠ Liquidación repetida en el mes",IF(AND(ISNUMBER(O2031),ISNUMBER(P2031),ISNUMBER(Q2031),ABS(O2031-P2031-Q2031)&gt;1),"⚠ Haberes − descuentos no da el líquido","OK"))))))</f>
        <v/>
      </c>
      <c r="V2031" s="62" t="str">
        <f aca="false">IF(C2031="","",IFERROR(VALUE(LEFT(UPPER(SUBSTITUTE(SUBSTITUTE(SUBSTITUTE(TRIM(C2031),".",""),"-","")," ","")),LEN(UPPER(SUBSTITUTE(SUBSTITUTE(SUBSTITUTE(TRIM(C2031),".",""),"-","")," ","")))-1))&amp;RIGHT(UPPER(SUBSTITUTE(SUBSTITUTE(SUBSTITUTE(TRIM(C2031),".",""),"-","")," ","")),1),UPPER(SUBSTITUTE(SUBSTITUTE(SUBSTITUTE(TRIM(C2031),".",""),"-","")," ",""))))</f>
        <v/>
      </c>
    </row>
    <row r="2032" customFormat="false" ht="15" hidden="false" customHeight="false" outlineLevel="0" collapsed="false">
      <c r="B2032" s="80"/>
      <c r="C2032" s="58"/>
      <c r="D2032" s="62" t="str">
        <f aca="false">IF(C2032="","",IFERROR(INDEX(T_NOMBRE,MATCH(V2032,T_RUTN,0)),"⚠ RUT no está en Trabajadores"))</f>
        <v/>
      </c>
      <c r="E2032" s="61"/>
      <c r="F2032" s="61"/>
      <c r="G2032" s="61"/>
      <c r="H2032" s="61"/>
      <c r="I2032" s="81"/>
      <c r="J2032" s="81"/>
      <c r="K2032" s="60"/>
      <c r="L2032" s="60"/>
      <c r="M2032" s="60"/>
      <c r="N2032" s="60"/>
      <c r="O2032" s="60"/>
      <c r="P2032" s="60"/>
      <c r="Q2032" s="60"/>
      <c r="R2032" s="58"/>
      <c r="S2032" s="62" t="str">
        <f aca="false">IF(OR(B2032="",V2032=""),"",IFERROR(INDEX(C_TIPO,MATCH(V2032&amp;"-P"&amp;MAX(1,COUNTIFS(C_RUTN,V2032,C_DEF,"Sí",C_INI,"&lt;="&amp;EOMONTH(B2032,0))),C_CLAVE,0))&amp;"","Sin contrato"))</f>
        <v/>
      </c>
      <c r="T2032" s="63" t="str">
        <f aca="false">IF(OR(B2032="",N(O2032)=0),"",N(O2032)+ROUND(MIN(N(N2032),TOPE_UF*UF_MES)*(TASA_EMP+MUTUAL),0)+ROUND(MIN(N(N2032),TOPE_AFC_UF*UF_MES)*IF(S2032="Indefinido",AFC_INDEF,AFC_PF),0))</f>
        <v/>
      </c>
      <c r="U2032" s="62" t="str">
        <f aca="false">IF(C2032="","",IF(LEFT(D2032,1)="⚠","⚠ RUT no registrado en Trabajadores",IF(B2032="","⚠ Falta el mes",IF(OR(ISTEXT(I2032),ISTEXT(J2032)),"⚠ Atrasos u horas extra como texto: escriba hh:mm (ej. 1:30)",IF(AND(ISNUMBER(Q2032),COUNTIFS(M_RUTN,V2032,M_MES,B2032,M_LIQ,"&lt;&gt;")&gt;1),"⚠ Liquidación repetida en el mes",IF(AND(ISNUMBER(O2032),ISNUMBER(P2032),ISNUMBER(Q2032),ABS(O2032-P2032-Q2032)&gt;1),"⚠ Haberes − descuentos no da el líquido","OK"))))))</f>
        <v/>
      </c>
      <c r="V2032" s="62" t="str">
        <f aca="false">IF(C2032="","",IFERROR(VALUE(LEFT(UPPER(SUBSTITUTE(SUBSTITUTE(SUBSTITUTE(TRIM(C2032),".",""),"-","")," ","")),LEN(UPPER(SUBSTITUTE(SUBSTITUTE(SUBSTITUTE(TRIM(C2032),".",""),"-","")," ","")))-1))&amp;RIGHT(UPPER(SUBSTITUTE(SUBSTITUTE(SUBSTITUTE(TRIM(C2032),".",""),"-","")," ","")),1),UPPER(SUBSTITUTE(SUBSTITUTE(SUBSTITUTE(TRIM(C2032),".",""),"-","")," ",""))))</f>
        <v/>
      </c>
    </row>
    <row r="2033" customFormat="false" ht="15" hidden="false" customHeight="false" outlineLevel="0" collapsed="false">
      <c r="B2033" s="80"/>
      <c r="C2033" s="58"/>
      <c r="D2033" s="62" t="str">
        <f aca="false">IF(C2033="","",IFERROR(INDEX(T_NOMBRE,MATCH(V2033,T_RUTN,0)),"⚠ RUT no está en Trabajadores"))</f>
        <v/>
      </c>
      <c r="E2033" s="61"/>
      <c r="F2033" s="61"/>
      <c r="G2033" s="61"/>
      <c r="H2033" s="61"/>
      <c r="I2033" s="81"/>
      <c r="J2033" s="81"/>
      <c r="K2033" s="60"/>
      <c r="L2033" s="60"/>
      <c r="M2033" s="60"/>
      <c r="N2033" s="60"/>
      <c r="O2033" s="60"/>
      <c r="P2033" s="60"/>
      <c r="Q2033" s="60"/>
      <c r="R2033" s="58"/>
      <c r="S2033" s="62" t="str">
        <f aca="false">IF(OR(B2033="",V2033=""),"",IFERROR(INDEX(C_TIPO,MATCH(V2033&amp;"-P"&amp;MAX(1,COUNTIFS(C_RUTN,V2033,C_DEF,"Sí",C_INI,"&lt;="&amp;EOMONTH(B2033,0))),C_CLAVE,0))&amp;"","Sin contrato"))</f>
        <v/>
      </c>
      <c r="T2033" s="63" t="str">
        <f aca="false">IF(OR(B2033="",N(O2033)=0),"",N(O2033)+ROUND(MIN(N(N2033),TOPE_UF*UF_MES)*(TASA_EMP+MUTUAL),0)+ROUND(MIN(N(N2033),TOPE_AFC_UF*UF_MES)*IF(S2033="Indefinido",AFC_INDEF,AFC_PF),0))</f>
        <v/>
      </c>
      <c r="U2033" s="62" t="str">
        <f aca="false">IF(C2033="","",IF(LEFT(D2033,1)="⚠","⚠ RUT no registrado en Trabajadores",IF(B2033="","⚠ Falta el mes",IF(OR(ISTEXT(I2033),ISTEXT(J2033)),"⚠ Atrasos u horas extra como texto: escriba hh:mm (ej. 1:30)",IF(AND(ISNUMBER(Q2033),COUNTIFS(M_RUTN,V2033,M_MES,B2033,M_LIQ,"&lt;&gt;")&gt;1),"⚠ Liquidación repetida en el mes",IF(AND(ISNUMBER(O2033),ISNUMBER(P2033),ISNUMBER(Q2033),ABS(O2033-P2033-Q2033)&gt;1),"⚠ Haberes − descuentos no da el líquido","OK"))))))</f>
        <v/>
      </c>
      <c r="V2033" s="62" t="str">
        <f aca="false">IF(C2033="","",IFERROR(VALUE(LEFT(UPPER(SUBSTITUTE(SUBSTITUTE(SUBSTITUTE(TRIM(C2033),".",""),"-","")," ","")),LEN(UPPER(SUBSTITUTE(SUBSTITUTE(SUBSTITUTE(TRIM(C2033),".",""),"-","")," ","")))-1))&amp;RIGHT(UPPER(SUBSTITUTE(SUBSTITUTE(SUBSTITUTE(TRIM(C2033),".",""),"-","")," ","")),1),UPPER(SUBSTITUTE(SUBSTITUTE(SUBSTITUTE(TRIM(C2033),".",""),"-","")," ",""))))</f>
        <v/>
      </c>
    </row>
    <row r="2034" customFormat="false" ht="15" hidden="false" customHeight="false" outlineLevel="0" collapsed="false">
      <c r="B2034" s="80"/>
      <c r="C2034" s="58"/>
      <c r="D2034" s="62" t="str">
        <f aca="false">IF(C2034="","",IFERROR(INDEX(T_NOMBRE,MATCH(V2034,T_RUTN,0)),"⚠ RUT no está en Trabajadores"))</f>
        <v/>
      </c>
      <c r="E2034" s="61"/>
      <c r="F2034" s="61"/>
      <c r="G2034" s="61"/>
      <c r="H2034" s="61"/>
      <c r="I2034" s="81"/>
      <c r="J2034" s="81"/>
      <c r="K2034" s="60"/>
      <c r="L2034" s="60"/>
      <c r="M2034" s="60"/>
      <c r="N2034" s="60"/>
      <c r="O2034" s="60"/>
      <c r="P2034" s="60"/>
      <c r="Q2034" s="60"/>
      <c r="R2034" s="58"/>
      <c r="S2034" s="62" t="str">
        <f aca="false">IF(OR(B2034="",V2034=""),"",IFERROR(INDEX(C_TIPO,MATCH(V2034&amp;"-P"&amp;MAX(1,COUNTIFS(C_RUTN,V2034,C_DEF,"Sí",C_INI,"&lt;="&amp;EOMONTH(B2034,0))),C_CLAVE,0))&amp;"","Sin contrato"))</f>
        <v/>
      </c>
      <c r="T2034" s="63" t="str">
        <f aca="false">IF(OR(B2034="",N(O2034)=0),"",N(O2034)+ROUND(MIN(N(N2034),TOPE_UF*UF_MES)*(TASA_EMP+MUTUAL),0)+ROUND(MIN(N(N2034),TOPE_AFC_UF*UF_MES)*IF(S2034="Indefinido",AFC_INDEF,AFC_PF),0))</f>
        <v/>
      </c>
      <c r="U2034" s="62" t="str">
        <f aca="false">IF(C2034="","",IF(LEFT(D2034,1)="⚠","⚠ RUT no registrado en Trabajadores",IF(B2034="","⚠ Falta el mes",IF(OR(ISTEXT(I2034),ISTEXT(J2034)),"⚠ Atrasos u horas extra como texto: escriba hh:mm (ej. 1:30)",IF(AND(ISNUMBER(Q2034),COUNTIFS(M_RUTN,V2034,M_MES,B2034,M_LIQ,"&lt;&gt;")&gt;1),"⚠ Liquidación repetida en el mes",IF(AND(ISNUMBER(O2034),ISNUMBER(P2034),ISNUMBER(Q2034),ABS(O2034-P2034-Q2034)&gt;1),"⚠ Haberes − descuentos no da el líquido","OK"))))))</f>
        <v/>
      </c>
      <c r="V2034" s="62" t="str">
        <f aca="false">IF(C2034="","",IFERROR(VALUE(LEFT(UPPER(SUBSTITUTE(SUBSTITUTE(SUBSTITUTE(TRIM(C2034),".",""),"-","")," ","")),LEN(UPPER(SUBSTITUTE(SUBSTITUTE(SUBSTITUTE(TRIM(C2034),".",""),"-","")," ","")))-1))&amp;RIGHT(UPPER(SUBSTITUTE(SUBSTITUTE(SUBSTITUTE(TRIM(C2034),".",""),"-","")," ","")),1),UPPER(SUBSTITUTE(SUBSTITUTE(SUBSTITUTE(TRIM(C2034),".",""),"-","")," ",""))))</f>
        <v/>
      </c>
    </row>
    <row r="2035" customFormat="false" ht="15" hidden="false" customHeight="false" outlineLevel="0" collapsed="false">
      <c r="B2035" s="80"/>
      <c r="C2035" s="58"/>
      <c r="D2035" s="62" t="str">
        <f aca="false">IF(C2035="","",IFERROR(INDEX(T_NOMBRE,MATCH(V2035,T_RUTN,0)),"⚠ RUT no está en Trabajadores"))</f>
        <v/>
      </c>
      <c r="E2035" s="61"/>
      <c r="F2035" s="61"/>
      <c r="G2035" s="61"/>
      <c r="H2035" s="61"/>
      <c r="I2035" s="81"/>
      <c r="J2035" s="81"/>
      <c r="K2035" s="60"/>
      <c r="L2035" s="60"/>
      <c r="M2035" s="60"/>
      <c r="N2035" s="60"/>
      <c r="O2035" s="60"/>
      <c r="P2035" s="60"/>
      <c r="Q2035" s="60"/>
      <c r="R2035" s="58"/>
      <c r="S2035" s="62" t="str">
        <f aca="false">IF(OR(B2035="",V2035=""),"",IFERROR(INDEX(C_TIPO,MATCH(V2035&amp;"-P"&amp;MAX(1,COUNTIFS(C_RUTN,V2035,C_DEF,"Sí",C_INI,"&lt;="&amp;EOMONTH(B2035,0))),C_CLAVE,0))&amp;"","Sin contrato"))</f>
        <v/>
      </c>
      <c r="T2035" s="63" t="str">
        <f aca="false">IF(OR(B2035="",N(O2035)=0),"",N(O2035)+ROUND(MIN(N(N2035),TOPE_UF*UF_MES)*(TASA_EMP+MUTUAL),0)+ROUND(MIN(N(N2035),TOPE_AFC_UF*UF_MES)*IF(S2035="Indefinido",AFC_INDEF,AFC_PF),0))</f>
        <v/>
      </c>
      <c r="U2035" s="62" t="str">
        <f aca="false">IF(C2035="","",IF(LEFT(D2035,1)="⚠","⚠ RUT no registrado en Trabajadores",IF(B2035="","⚠ Falta el mes",IF(OR(ISTEXT(I2035),ISTEXT(J2035)),"⚠ Atrasos u horas extra como texto: escriba hh:mm (ej. 1:30)",IF(AND(ISNUMBER(Q2035),COUNTIFS(M_RUTN,V2035,M_MES,B2035,M_LIQ,"&lt;&gt;")&gt;1),"⚠ Liquidación repetida en el mes",IF(AND(ISNUMBER(O2035),ISNUMBER(P2035),ISNUMBER(Q2035),ABS(O2035-P2035-Q2035)&gt;1),"⚠ Haberes − descuentos no da el líquido","OK"))))))</f>
        <v/>
      </c>
      <c r="V2035" s="62" t="str">
        <f aca="false">IF(C2035="","",IFERROR(VALUE(LEFT(UPPER(SUBSTITUTE(SUBSTITUTE(SUBSTITUTE(TRIM(C2035),".",""),"-","")," ","")),LEN(UPPER(SUBSTITUTE(SUBSTITUTE(SUBSTITUTE(TRIM(C2035),".",""),"-","")," ","")))-1))&amp;RIGHT(UPPER(SUBSTITUTE(SUBSTITUTE(SUBSTITUTE(TRIM(C2035),".",""),"-","")," ","")),1),UPPER(SUBSTITUTE(SUBSTITUTE(SUBSTITUTE(TRIM(C2035),".",""),"-","")," ",""))))</f>
        <v/>
      </c>
    </row>
    <row r="2036" customFormat="false" ht="15" hidden="false" customHeight="false" outlineLevel="0" collapsed="false">
      <c r="B2036" s="80"/>
      <c r="C2036" s="58"/>
      <c r="D2036" s="62" t="str">
        <f aca="false">IF(C2036="","",IFERROR(INDEX(T_NOMBRE,MATCH(V2036,T_RUTN,0)),"⚠ RUT no está en Trabajadores"))</f>
        <v/>
      </c>
      <c r="E2036" s="61"/>
      <c r="F2036" s="61"/>
      <c r="G2036" s="61"/>
      <c r="H2036" s="61"/>
      <c r="I2036" s="81"/>
      <c r="J2036" s="81"/>
      <c r="K2036" s="60"/>
      <c r="L2036" s="60"/>
      <c r="M2036" s="60"/>
      <c r="N2036" s="60"/>
      <c r="O2036" s="60"/>
      <c r="P2036" s="60"/>
      <c r="Q2036" s="60"/>
      <c r="R2036" s="58"/>
      <c r="S2036" s="62" t="str">
        <f aca="false">IF(OR(B2036="",V2036=""),"",IFERROR(INDEX(C_TIPO,MATCH(V2036&amp;"-P"&amp;MAX(1,COUNTIFS(C_RUTN,V2036,C_DEF,"Sí",C_INI,"&lt;="&amp;EOMONTH(B2036,0))),C_CLAVE,0))&amp;"","Sin contrato"))</f>
        <v/>
      </c>
      <c r="T2036" s="63" t="str">
        <f aca="false">IF(OR(B2036="",N(O2036)=0),"",N(O2036)+ROUND(MIN(N(N2036),TOPE_UF*UF_MES)*(TASA_EMP+MUTUAL),0)+ROUND(MIN(N(N2036),TOPE_AFC_UF*UF_MES)*IF(S2036="Indefinido",AFC_INDEF,AFC_PF),0))</f>
        <v/>
      </c>
      <c r="U2036" s="62" t="str">
        <f aca="false">IF(C2036="","",IF(LEFT(D2036,1)="⚠","⚠ RUT no registrado en Trabajadores",IF(B2036="","⚠ Falta el mes",IF(OR(ISTEXT(I2036),ISTEXT(J2036)),"⚠ Atrasos u horas extra como texto: escriba hh:mm (ej. 1:30)",IF(AND(ISNUMBER(Q2036),COUNTIFS(M_RUTN,V2036,M_MES,B2036,M_LIQ,"&lt;&gt;")&gt;1),"⚠ Liquidación repetida en el mes",IF(AND(ISNUMBER(O2036),ISNUMBER(P2036),ISNUMBER(Q2036),ABS(O2036-P2036-Q2036)&gt;1),"⚠ Haberes − descuentos no da el líquido","OK"))))))</f>
        <v/>
      </c>
      <c r="V2036" s="62" t="str">
        <f aca="false">IF(C2036="","",IFERROR(VALUE(LEFT(UPPER(SUBSTITUTE(SUBSTITUTE(SUBSTITUTE(TRIM(C2036),".",""),"-","")," ","")),LEN(UPPER(SUBSTITUTE(SUBSTITUTE(SUBSTITUTE(TRIM(C2036),".",""),"-","")," ","")))-1))&amp;RIGHT(UPPER(SUBSTITUTE(SUBSTITUTE(SUBSTITUTE(TRIM(C2036),".",""),"-","")," ","")),1),UPPER(SUBSTITUTE(SUBSTITUTE(SUBSTITUTE(TRIM(C2036),".",""),"-","")," ",""))))</f>
        <v/>
      </c>
    </row>
    <row r="2037" customFormat="false" ht="15" hidden="false" customHeight="false" outlineLevel="0" collapsed="false">
      <c r="B2037" s="80"/>
      <c r="C2037" s="58"/>
      <c r="D2037" s="62" t="str">
        <f aca="false">IF(C2037="","",IFERROR(INDEX(T_NOMBRE,MATCH(V2037,T_RUTN,0)),"⚠ RUT no está en Trabajadores"))</f>
        <v/>
      </c>
      <c r="E2037" s="61"/>
      <c r="F2037" s="61"/>
      <c r="G2037" s="61"/>
      <c r="H2037" s="61"/>
      <c r="I2037" s="81"/>
      <c r="J2037" s="81"/>
      <c r="K2037" s="60"/>
      <c r="L2037" s="60"/>
      <c r="M2037" s="60"/>
      <c r="N2037" s="60"/>
      <c r="O2037" s="60"/>
      <c r="P2037" s="60"/>
      <c r="Q2037" s="60"/>
      <c r="R2037" s="58"/>
      <c r="S2037" s="62" t="str">
        <f aca="false">IF(OR(B2037="",V2037=""),"",IFERROR(INDEX(C_TIPO,MATCH(V2037&amp;"-P"&amp;MAX(1,COUNTIFS(C_RUTN,V2037,C_DEF,"Sí",C_INI,"&lt;="&amp;EOMONTH(B2037,0))),C_CLAVE,0))&amp;"","Sin contrato"))</f>
        <v/>
      </c>
      <c r="T2037" s="63" t="str">
        <f aca="false">IF(OR(B2037="",N(O2037)=0),"",N(O2037)+ROUND(MIN(N(N2037),TOPE_UF*UF_MES)*(TASA_EMP+MUTUAL),0)+ROUND(MIN(N(N2037),TOPE_AFC_UF*UF_MES)*IF(S2037="Indefinido",AFC_INDEF,AFC_PF),0))</f>
        <v/>
      </c>
      <c r="U2037" s="62" t="str">
        <f aca="false">IF(C2037="","",IF(LEFT(D2037,1)="⚠","⚠ RUT no registrado en Trabajadores",IF(B2037="","⚠ Falta el mes",IF(OR(ISTEXT(I2037),ISTEXT(J2037)),"⚠ Atrasos u horas extra como texto: escriba hh:mm (ej. 1:30)",IF(AND(ISNUMBER(Q2037),COUNTIFS(M_RUTN,V2037,M_MES,B2037,M_LIQ,"&lt;&gt;")&gt;1),"⚠ Liquidación repetida en el mes",IF(AND(ISNUMBER(O2037),ISNUMBER(P2037),ISNUMBER(Q2037),ABS(O2037-P2037-Q2037)&gt;1),"⚠ Haberes − descuentos no da el líquido","OK"))))))</f>
        <v/>
      </c>
      <c r="V2037" s="62" t="str">
        <f aca="false">IF(C2037="","",IFERROR(VALUE(LEFT(UPPER(SUBSTITUTE(SUBSTITUTE(SUBSTITUTE(TRIM(C2037),".",""),"-","")," ","")),LEN(UPPER(SUBSTITUTE(SUBSTITUTE(SUBSTITUTE(TRIM(C2037),".",""),"-","")," ","")))-1))&amp;RIGHT(UPPER(SUBSTITUTE(SUBSTITUTE(SUBSTITUTE(TRIM(C2037),".",""),"-","")," ","")),1),UPPER(SUBSTITUTE(SUBSTITUTE(SUBSTITUTE(TRIM(C2037),".",""),"-","")," ",""))))</f>
        <v/>
      </c>
    </row>
    <row r="2038" customFormat="false" ht="15" hidden="false" customHeight="false" outlineLevel="0" collapsed="false">
      <c r="B2038" s="80"/>
      <c r="C2038" s="58"/>
      <c r="D2038" s="62" t="str">
        <f aca="false">IF(C2038="","",IFERROR(INDEX(T_NOMBRE,MATCH(V2038,T_RUTN,0)),"⚠ RUT no está en Trabajadores"))</f>
        <v/>
      </c>
      <c r="E2038" s="61"/>
      <c r="F2038" s="61"/>
      <c r="G2038" s="61"/>
      <c r="H2038" s="61"/>
      <c r="I2038" s="81"/>
      <c r="J2038" s="81"/>
      <c r="K2038" s="60"/>
      <c r="L2038" s="60"/>
      <c r="M2038" s="60"/>
      <c r="N2038" s="60"/>
      <c r="O2038" s="60"/>
      <c r="P2038" s="60"/>
      <c r="Q2038" s="60"/>
      <c r="R2038" s="58"/>
      <c r="S2038" s="62" t="str">
        <f aca="false">IF(OR(B2038="",V2038=""),"",IFERROR(INDEX(C_TIPO,MATCH(V2038&amp;"-P"&amp;MAX(1,COUNTIFS(C_RUTN,V2038,C_DEF,"Sí",C_INI,"&lt;="&amp;EOMONTH(B2038,0))),C_CLAVE,0))&amp;"","Sin contrato"))</f>
        <v/>
      </c>
      <c r="T2038" s="63" t="str">
        <f aca="false">IF(OR(B2038="",N(O2038)=0),"",N(O2038)+ROUND(MIN(N(N2038),TOPE_UF*UF_MES)*(TASA_EMP+MUTUAL),0)+ROUND(MIN(N(N2038),TOPE_AFC_UF*UF_MES)*IF(S2038="Indefinido",AFC_INDEF,AFC_PF),0))</f>
        <v/>
      </c>
      <c r="U2038" s="62" t="str">
        <f aca="false">IF(C2038="","",IF(LEFT(D2038,1)="⚠","⚠ RUT no registrado en Trabajadores",IF(B2038="","⚠ Falta el mes",IF(OR(ISTEXT(I2038),ISTEXT(J2038)),"⚠ Atrasos u horas extra como texto: escriba hh:mm (ej. 1:30)",IF(AND(ISNUMBER(Q2038),COUNTIFS(M_RUTN,V2038,M_MES,B2038,M_LIQ,"&lt;&gt;")&gt;1),"⚠ Liquidación repetida en el mes",IF(AND(ISNUMBER(O2038),ISNUMBER(P2038),ISNUMBER(Q2038),ABS(O2038-P2038-Q2038)&gt;1),"⚠ Haberes − descuentos no da el líquido","OK"))))))</f>
        <v/>
      </c>
      <c r="V2038" s="62" t="str">
        <f aca="false">IF(C2038="","",IFERROR(VALUE(LEFT(UPPER(SUBSTITUTE(SUBSTITUTE(SUBSTITUTE(TRIM(C2038),".",""),"-","")," ","")),LEN(UPPER(SUBSTITUTE(SUBSTITUTE(SUBSTITUTE(TRIM(C2038),".",""),"-","")," ","")))-1))&amp;RIGHT(UPPER(SUBSTITUTE(SUBSTITUTE(SUBSTITUTE(TRIM(C2038),".",""),"-","")," ","")),1),UPPER(SUBSTITUTE(SUBSTITUTE(SUBSTITUTE(TRIM(C2038),".",""),"-","")," ",""))))</f>
        <v/>
      </c>
    </row>
    <row r="2039" customFormat="false" ht="15" hidden="false" customHeight="false" outlineLevel="0" collapsed="false">
      <c r="B2039" s="80"/>
      <c r="C2039" s="58"/>
      <c r="D2039" s="62" t="str">
        <f aca="false">IF(C2039="","",IFERROR(INDEX(T_NOMBRE,MATCH(V2039,T_RUTN,0)),"⚠ RUT no está en Trabajadores"))</f>
        <v/>
      </c>
      <c r="E2039" s="61"/>
      <c r="F2039" s="61"/>
      <c r="G2039" s="61"/>
      <c r="H2039" s="61"/>
      <c r="I2039" s="81"/>
      <c r="J2039" s="81"/>
      <c r="K2039" s="60"/>
      <c r="L2039" s="60"/>
      <c r="M2039" s="60"/>
      <c r="N2039" s="60"/>
      <c r="O2039" s="60"/>
      <c r="P2039" s="60"/>
      <c r="Q2039" s="60"/>
      <c r="R2039" s="58"/>
      <c r="S2039" s="62" t="str">
        <f aca="false">IF(OR(B2039="",V2039=""),"",IFERROR(INDEX(C_TIPO,MATCH(V2039&amp;"-P"&amp;MAX(1,COUNTIFS(C_RUTN,V2039,C_DEF,"Sí",C_INI,"&lt;="&amp;EOMONTH(B2039,0))),C_CLAVE,0))&amp;"","Sin contrato"))</f>
        <v/>
      </c>
      <c r="T2039" s="63" t="str">
        <f aca="false">IF(OR(B2039="",N(O2039)=0),"",N(O2039)+ROUND(MIN(N(N2039),TOPE_UF*UF_MES)*(TASA_EMP+MUTUAL),0)+ROUND(MIN(N(N2039),TOPE_AFC_UF*UF_MES)*IF(S2039="Indefinido",AFC_INDEF,AFC_PF),0))</f>
        <v/>
      </c>
      <c r="U2039" s="62" t="str">
        <f aca="false">IF(C2039="","",IF(LEFT(D2039,1)="⚠","⚠ RUT no registrado en Trabajadores",IF(B2039="","⚠ Falta el mes",IF(OR(ISTEXT(I2039),ISTEXT(J2039)),"⚠ Atrasos u horas extra como texto: escriba hh:mm (ej. 1:30)",IF(AND(ISNUMBER(Q2039),COUNTIFS(M_RUTN,V2039,M_MES,B2039,M_LIQ,"&lt;&gt;")&gt;1),"⚠ Liquidación repetida en el mes",IF(AND(ISNUMBER(O2039),ISNUMBER(P2039),ISNUMBER(Q2039),ABS(O2039-P2039-Q2039)&gt;1),"⚠ Haberes − descuentos no da el líquido","OK"))))))</f>
        <v/>
      </c>
      <c r="V2039" s="62" t="str">
        <f aca="false">IF(C2039="","",IFERROR(VALUE(LEFT(UPPER(SUBSTITUTE(SUBSTITUTE(SUBSTITUTE(TRIM(C2039),".",""),"-","")," ","")),LEN(UPPER(SUBSTITUTE(SUBSTITUTE(SUBSTITUTE(TRIM(C2039),".",""),"-","")," ","")))-1))&amp;RIGHT(UPPER(SUBSTITUTE(SUBSTITUTE(SUBSTITUTE(TRIM(C2039),".",""),"-","")," ","")),1),UPPER(SUBSTITUTE(SUBSTITUTE(SUBSTITUTE(TRIM(C2039),".",""),"-","")," ",""))))</f>
        <v/>
      </c>
    </row>
    <row r="2040" customFormat="false" ht="15" hidden="false" customHeight="false" outlineLevel="0" collapsed="false">
      <c r="B2040" s="80"/>
      <c r="C2040" s="58"/>
      <c r="D2040" s="62" t="str">
        <f aca="false">IF(C2040="","",IFERROR(INDEX(T_NOMBRE,MATCH(V2040,T_RUTN,0)),"⚠ RUT no está en Trabajadores"))</f>
        <v/>
      </c>
      <c r="E2040" s="61"/>
      <c r="F2040" s="61"/>
      <c r="G2040" s="61"/>
      <c r="H2040" s="61"/>
      <c r="I2040" s="81"/>
      <c r="J2040" s="81"/>
      <c r="K2040" s="60"/>
      <c r="L2040" s="60"/>
      <c r="M2040" s="60"/>
      <c r="N2040" s="60"/>
      <c r="O2040" s="60"/>
      <c r="P2040" s="60"/>
      <c r="Q2040" s="60"/>
      <c r="R2040" s="58"/>
      <c r="S2040" s="62" t="str">
        <f aca="false">IF(OR(B2040="",V2040=""),"",IFERROR(INDEX(C_TIPO,MATCH(V2040&amp;"-P"&amp;MAX(1,COUNTIFS(C_RUTN,V2040,C_DEF,"Sí",C_INI,"&lt;="&amp;EOMONTH(B2040,0))),C_CLAVE,0))&amp;"","Sin contrato"))</f>
        <v/>
      </c>
      <c r="T2040" s="63" t="str">
        <f aca="false">IF(OR(B2040="",N(O2040)=0),"",N(O2040)+ROUND(MIN(N(N2040),TOPE_UF*UF_MES)*(TASA_EMP+MUTUAL),0)+ROUND(MIN(N(N2040),TOPE_AFC_UF*UF_MES)*IF(S2040="Indefinido",AFC_INDEF,AFC_PF),0))</f>
        <v/>
      </c>
      <c r="U2040" s="62" t="str">
        <f aca="false">IF(C2040="","",IF(LEFT(D2040,1)="⚠","⚠ RUT no registrado en Trabajadores",IF(B2040="","⚠ Falta el mes",IF(OR(ISTEXT(I2040),ISTEXT(J2040)),"⚠ Atrasos u horas extra como texto: escriba hh:mm (ej. 1:30)",IF(AND(ISNUMBER(Q2040),COUNTIFS(M_RUTN,V2040,M_MES,B2040,M_LIQ,"&lt;&gt;")&gt;1),"⚠ Liquidación repetida en el mes",IF(AND(ISNUMBER(O2040),ISNUMBER(P2040),ISNUMBER(Q2040),ABS(O2040-P2040-Q2040)&gt;1),"⚠ Haberes − descuentos no da el líquido","OK"))))))</f>
        <v/>
      </c>
      <c r="V2040" s="62" t="str">
        <f aca="false">IF(C2040="","",IFERROR(VALUE(LEFT(UPPER(SUBSTITUTE(SUBSTITUTE(SUBSTITUTE(TRIM(C2040),".",""),"-","")," ","")),LEN(UPPER(SUBSTITUTE(SUBSTITUTE(SUBSTITUTE(TRIM(C2040),".",""),"-","")," ","")))-1))&amp;RIGHT(UPPER(SUBSTITUTE(SUBSTITUTE(SUBSTITUTE(TRIM(C2040),".",""),"-","")," ","")),1),UPPER(SUBSTITUTE(SUBSTITUTE(SUBSTITUTE(TRIM(C2040),".",""),"-","")," ",""))))</f>
        <v/>
      </c>
    </row>
    <row r="2041" customFormat="false" ht="15" hidden="false" customHeight="false" outlineLevel="0" collapsed="false">
      <c r="B2041" s="80"/>
      <c r="C2041" s="58"/>
      <c r="D2041" s="62" t="str">
        <f aca="false">IF(C2041="","",IFERROR(INDEX(T_NOMBRE,MATCH(V2041,T_RUTN,0)),"⚠ RUT no está en Trabajadores"))</f>
        <v/>
      </c>
      <c r="E2041" s="61"/>
      <c r="F2041" s="61"/>
      <c r="G2041" s="61"/>
      <c r="H2041" s="61"/>
      <c r="I2041" s="81"/>
      <c r="J2041" s="81"/>
      <c r="K2041" s="60"/>
      <c r="L2041" s="60"/>
      <c r="M2041" s="60"/>
      <c r="N2041" s="60"/>
      <c r="O2041" s="60"/>
      <c r="P2041" s="60"/>
      <c r="Q2041" s="60"/>
      <c r="R2041" s="58"/>
      <c r="S2041" s="62" t="str">
        <f aca="false">IF(OR(B2041="",V2041=""),"",IFERROR(INDEX(C_TIPO,MATCH(V2041&amp;"-P"&amp;MAX(1,COUNTIFS(C_RUTN,V2041,C_DEF,"Sí",C_INI,"&lt;="&amp;EOMONTH(B2041,0))),C_CLAVE,0))&amp;"","Sin contrato"))</f>
        <v/>
      </c>
      <c r="T2041" s="63" t="str">
        <f aca="false">IF(OR(B2041="",N(O2041)=0),"",N(O2041)+ROUND(MIN(N(N2041),TOPE_UF*UF_MES)*(TASA_EMP+MUTUAL),0)+ROUND(MIN(N(N2041),TOPE_AFC_UF*UF_MES)*IF(S2041="Indefinido",AFC_INDEF,AFC_PF),0))</f>
        <v/>
      </c>
      <c r="U2041" s="62" t="str">
        <f aca="false">IF(C2041="","",IF(LEFT(D2041,1)="⚠","⚠ RUT no registrado en Trabajadores",IF(B2041="","⚠ Falta el mes",IF(OR(ISTEXT(I2041),ISTEXT(J2041)),"⚠ Atrasos u horas extra como texto: escriba hh:mm (ej. 1:30)",IF(AND(ISNUMBER(Q2041),COUNTIFS(M_RUTN,V2041,M_MES,B2041,M_LIQ,"&lt;&gt;")&gt;1),"⚠ Liquidación repetida en el mes",IF(AND(ISNUMBER(O2041),ISNUMBER(P2041),ISNUMBER(Q2041),ABS(O2041-P2041-Q2041)&gt;1),"⚠ Haberes − descuentos no da el líquido","OK"))))))</f>
        <v/>
      </c>
      <c r="V2041" s="62" t="str">
        <f aca="false">IF(C2041="","",IFERROR(VALUE(LEFT(UPPER(SUBSTITUTE(SUBSTITUTE(SUBSTITUTE(TRIM(C2041),".",""),"-","")," ","")),LEN(UPPER(SUBSTITUTE(SUBSTITUTE(SUBSTITUTE(TRIM(C2041),".",""),"-","")," ","")))-1))&amp;RIGHT(UPPER(SUBSTITUTE(SUBSTITUTE(SUBSTITUTE(TRIM(C2041),".",""),"-","")," ","")),1),UPPER(SUBSTITUTE(SUBSTITUTE(SUBSTITUTE(TRIM(C2041),".",""),"-","")," ",""))))</f>
        <v/>
      </c>
    </row>
    <row r="2042" customFormat="false" ht="15" hidden="false" customHeight="false" outlineLevel="0" collapsed="false">
      <c r="B2042" s="80"/>
      <c r="C2042" s="58"/>
      <c r="D2042" s="62" t="str">
        <f aca="false">IF(C2042="","",IFERROR(INDEX(T_NOMBRE,MATCH(V2042,T_RUTN,0)),"⚠ RUT no está en Trabajadores"))</f>
        <v/>
      </c>
      <c r="E2042" s="61"/>
      <c r="F2042" s="61"/>
      <c r="G2042" s="61"/>
      <c r="H2042" s="61"/>
      <c r="I2042" s="81"/>
      <c r="J2042" s="81"/>
      <c r="K2042" s="60"/>
      <c r="L2042" s="60"/>
      <c r="M2042" s="60"/>
      <c r="N2042" s="60"/>
      <c r="O2042" s="60"/>
      <c r="P2042" s="60"/>
      <c r="Q2042" s="60"/>
      <c r="R2042" s="58"/>
      <c r="S2042" s="62" t="str">
        <f aca="false">IF(OR(B2042="",V2042=""),"",IFERROR(INDEX(C_TIPO,MATCH(V2042&amp;"-P"&amp;MAX(1,COUNTIFS(C_RUTN,V2042,C_DEF,"Sí",C_INI,"&lt;="&amp;EOMONTH(B2042,0))),C_CLAVE,0))&amp;"","Sin contrato"))</f>
        <v/>
      </c>
      <c r="T2042" s="63" t="str">
        <f aca="false">IF(OR(B2042="",N(O2042)=0),"",N(O2042)+ROUND(MIN(N(N2042),TOPE_UF*UF_MES)*(TASA_EMP+MUTUAL),0)+ROUND(MIN(N(N2042),TOPE_AFC_UF*UF_MES)*IF(S2042="Indefinido",AFC_INDEF,AFC_PF),0))</f>
        <v/>
      </c>
      <c r="U2042" s="62" t="str">
        <f aca="false">IF(C2042="","",IF(LEFT(D2042,1)="⚠","⚠ RUT no registrado en Trabajadores",IF(B2042="","⚠ Falta el mes",IF(OR(ISTEXT(I2042),ISTEXT(J2042)),"⚠ Atrasos u horas extra como texto: escriba hh:mm (ej. 1:30)",IF(AND(ISNUMBER(Q2042),COUNTIFS(M_RUTN,V2042,M_MES,B2042,M_LIQ,"&lt;&gt;")&gt;1),"⚠ Liquidación repetida en el mes",IF(AND(ISNUMBER(O2042),ISNUMBER(P2042),ISNUMBER(Q2042),ABS(O2042-P2042-Q2042)&gt;1),"⚠ Haberes − descuentos no da el líquido","OK"))))))</f>
        <v/>
      </c>
      <c r="V2042" s="62" t="str">
        <f aca="false">IF(C2042="","",IFERROR(VALUE(LEFT(UPPER(SUBSTITUTE(SUBSTITUTE(SUBSTITUTE(TRIM(C2042),".",""),"-","")," ","")),LEN(UPPER(SUBSTITUTE(SUBSTITUTE(SUBSTITUTE(TRIM(C2042),".",""),"-","")," ","")))-1))&amp;RIGHT(UPPER(SUBSTITUTE(SUBSTITUTE(SUBSTITUTE(TRIM(C2042),".",""),"-","")," ","")),1),UPPER(SUBSTITUTE(SUBSTITUTE(SUBSTITUTE(TRIM(C2042),".",""),"-","")," ",""))))</f>
        <v/>
      </c>
    </row>
    <row r="2043" customFormat="false" ht="15" hidden="false" customHeight="false" outlineLevel="0" collapsed="false">
      <c r="B2043" s="80"/>
      <c r="C2043" s="58"/>
      <c r="D2043" s="62" t="str">
        <f aca="false">IF(C2043="","",IFERROR(INDEX(T_NOMBRE,MATCH(V2043,T_RUTN,0)),"⚠ RUT no está en Trabajadores"))</f>
        <v/>
      </c>
      <c r="E2043" s="61"/>
      <c r="F2043" s="61"/>
      <c r="G2043" s="61"/>
      <c r="H2043" s="61"/>
      <c r="I2043" s="81"/>
      <c r="J2043" s="81"/>
      <c r="K2043" s="60"/>
      <c r="L2043" s="60"/>
      <c r="M2043" s="60"/>
      <c r="N2043" s="60"/>
      <c r="O2043" s="60"/>
      <c r="P2043" s="60"/>
      <c r="Q2043" s="60"/>
      <c r="R2043" s="58"/>
      <c r="S2043" s="62" t="str">
        <f aca="false">IF(OR(B2043="",V2043=""),"",IFERROR(INDEX(C_TIPO,MATCH(V2043&amp;"-P"&amp;MAX(1,COUNTIFS(C_RUTN,V2043,C_DEF,"Sí",C_INI,"&lt;="&amp;EOMONTH(B2043,0))),C_CLAVE,0))&amp;"","Sin contrato"))</f>
        <v/>
      </c>
      <c r="T2043" s="63" t="str">
        <f aca="false">IF(OR(B2043="",N(O2043)=0),"",N(O2043)+ROUND(MIN(N(N2043),TOPE_UF*UF_MES)*(TASA_EMP+MUTUAL),0)+ROUND(MIN(N(N2043),TOPE_AFC_UF*UF_MES)*IF(S2043="Indefinido",AFC_INDEF,AFC_PF),0))</f>
        <v/>
      </c>
      <c r="U2043" s="62" t="str">
        <f aca="false">IF(C2043="","",IF(LEFT(D2043,1)="⚠","⚠ RUT no registrado en Trabajadores",IF(B2043="","⚠ Falta el mes",IF(OR(ISTEXT(I2043),ISTEXT(J2043)),"⚠ Atrasos u horas extra como texto: escriba hh:mm (ej. 1:30)",IF(AND(ISNUMBER(Q2043),COUNTIFS(M_RUTN,V2043,M_MES,B2043,M_LIQ,"&lt;&gt;")&gt;1),"⚠ Liquidación repetida en el mes",IF(AND(ISNUMBER(O2043),ISNUMBER(P2043),ISNUMBER(Q2043),ABS(O2043-P2043-Q2043)&gt;1),"⚠ Haberes − descuentos no da el líquido","OK"))))))</f>
        <v/>
      </c>
      <c r="V2043" s="62" t="str">
        <f aca="false">IF(C2043="","",IFERROR(VALUE(LEFT(UPPER(SUBSTITUTE(SUBSTITUTE(SUBSTITUTE(TRIM(C2043),".",""),"-","")," ","")),LEN(UPPER(SUBSTITUTE(SUBSTITUTE(SUBSTITUTE(TRIM(C2043),".",""),"-","")," ","")))-1))&amp;RIGHT(UPPER(SUBSTITUTE(SUBSTITUTE(SUBSTITUTE(TRIM(C2043),".",""),"-","")," ","")),1),UPPER(SUBSTITUTE(SUBSTITUTE(SUBSTITUTE(TRIM(C2043),".",""),"-","")," ",""))))</f>
        <v/>
      </c>
    </row>
    <row r="2044" customFormat="false" ht="15" hidden="false" customHeight="false" outlineLevel="0" collapsed="false">
      <c r="B2044" s="80"/>
      <c r="C2044" s="58"/>
      <c r="D2044" s="62" t="str">
        <f aca="false">IF(C2044="","",IFERROR(INDEX(T_NOMBRE,MATCH(V2044,T_RUTN,0)),"⚠ RUT no está en Trabajadores"))</f>
        <v/>
      </c>
      <c r="E2044" s="61"/>
      <c r="F2044" s="61"/>
      <c r="G2044" s="61"/>
      <c r="H2044" s="61"/>
      <c r="I2044" s="81"/>
      <c r="J2044" s="81"/>
      <c r="K2044" s="60"/>
      <c r="L2044" s="60"/>
      <c r="M2044" s="60"/>
      <c r="N2044" s="60"/>
      <c r="O2044" s="60"/>
      <c r="P2044" s="60"/>
      <c r="Q2044" s="60"/>
      <c r="R2044" s="58"/>
      <c r="S2044" s="62" t="str">
        <f aca="false">IF(OR(B2044="",V2044=""),"",IFERROR(INDEX(C_TIPO,MATCH(V2044&amp;"-P"&amp;MAX(1,COUNTIFS(C_RUTN,V2044,C_DEF,"Sí",C_INI,"&lt;="&amp;EOMONTH(B2044,0))),C_CLAVE,0))&amp;"","Sin contrato"))</f>
        <v/>
      </c>
      <c r="T2044" s="63" t="str">
        <f aca="false">IF(OR(B2044="",N(O2044)=0),"",N(O2044)+ROUND(MIN(N(N2044),TOPE_UF*UF_MES)*(TASA_EMP+MUTUAL),0)+ROUND(MIN(N(N2044),TOPE_AFC_UF*UF_MES)*IF(S2044="Indefinido",AFC_INDEF,AFC_PF),0))</f>
        <v/>
      </c>
      <c r="U2044" s="62" t="str">
        <f aca="false">IF(C2044="","",IF(LEFT(D2044,1)="⚠","⚠ RUT no registrado en Trabajadores",IF(B2044="","⚠ Falta el mes",IF(OR(ISTEXT(I2044),ISTEXT(J2044)),"⚠ Atrasos u horas extra como texto: escriba hh:mm (ej. 1:30)",IF(AND(ISNUMBER(Q2044),COUNTIFS(M_RUTN,V2044,M_MES,B2044,M_LIQ,"&lt;&gt;")&gt;1),"⚠ Liquidación repetida en el mes",IF(AND(ISNUMBER(O2044),ISNUMBER(P2044),ISNUMBER(Q2044),ABS(O2044-P2044-Q2044)&gt;1),"⚠ Haberes − descuentos no da el líquido","OK"))))))</f>
        <v/>
      </c>
      <c r="V2044" s="62" t="str">
        <f aca="false">IF(C2044="","",IFERROR(VALUE(LEFT(UPPER(SUBSTITUTE(SUBSTITUTE(SUBSTITUTE(TRIM(C2044),".",""),"-","")," ","")),LEN(UPPER(SUBSTITUTE(SUBSTITUTE(SUBSTITUTE(TRIM(C2044),".",""),"-","")," ","")))-1))&amp;RIGHT(UPPER(SUBSTITUTE(SUBSTITUTE(SUBSTITUTE(TRIM(C2044),".",""),"-","")," ","")),1),UPPER(SUBSTITUTE(SUBSTITUTE(SUBSTITUTE(TRIM(C2044),".",""),"-","")," ",""))))</f>
        <v/>
      </c>
    </row>
    <row r="2045" customFormat="false" ht="15" hidden="false" customHeight="false" outlineLevel="0" collapsed="false">
      <c r="B2045" s="80"/>
      <c r="C2045" s="58"/>
      <c r="D2045" s="62" t="str">
        <f aca="false">IF(C2045="","",IFERROR(INDEX(T_NOMBRE,MATCH(V2045,T_RUTN,0)),"⚠ RUT no está en Trabajadores"))</f>
        <v/>
      </c>
      <c r="E2045" s="61"/>
      <c r="F2045" s="61"/>
      <c r="G2045" s="61"/>
      <c r="H2045" s="61"/>
      <c r="I2045" s="81"/>
      <c r="J2045" s="81"/>
      <c r="K2045" s="60"/>
      <c r="L2045" s="60"/>
      <c r="M2045" s="60"/>
      <c r="N2045" s="60"/>
      <c r="O2045" s="60"/>
      <c r="P2045" s="60"/>
      <c r="Q2045" s="60"/>
      <c r="R2045" s="58"/>
      <c r="S2045" s="62" t="str">
        <f aca="false">IF(OR(B2045="",V2045=""),"",IFERROR(INDEX(C_TIPO,MATCH(V2045&amp;"-P"&amp;MAX(1,COUNTIFS(C_RUTN,V2045,C_DEF,"Sí",C_INI,"&lt;="&amp;EOMONTH(B2045,0))),C_CLAVE,0))&amp;"","Sin contrato"))</f>
        <v/>
      </c>
      <c r="T2045" s="63" t="str">
        <f aca="false">IF(OR(B2045="",N(O2045)=0),"",N(O2045)+ROUND(MIN(N(N2045),TOPE_UF*UF_MES)*(TASA_EMP+MUTUAL),0)+ROUND(MIN(N(N2045),TOPE_AFC_UF*UF_MES)*IF(S2045="Indefinido",AFC_INDEF,AFC_PF),0))</f>
        <v/>
      </c>
      <c r="U2045" s="62" t="str">
        <f aca="false">IF(C2045="","",IF(LEFT(D2045,1)="⚠","⚠ RUT no registrado en Trabajadores",IF(B2045="","⚠ Falta el mes",IF(OR(ISTEXT(I2045),ISTEXT(J2045)),"⚠ Atrasos u horas extra como texto: escriba hh:mm (ej. 1:30)",IF(AND(ISNUMBER(Q2045),COUNTIFS(M_RUTN,V2045,M_MES,B2045,M_LIQ,"&lt;&gt;")&gt;1),"⚠ Liquidación repetida en el mes",IF(AND(ISNUMBER(O2045),ISNUMBER(P2045),ISNUMBER(Q2045),ABS(O2045-P2045-Q2045)&gt;1),"⚠ Haberes − descuentos no da el líquido","OK"))))))</f>
        <v/>
      </c>
      <c r="V2045" s="62" t="str">
        <f aca="false">IF(C2045="","",IFERROR(VALUE(LEFT(UPPER(SUBSTITUTE(SUBSTITUTE(SUBSTITUTE(TRIM(C2045),".",""),"-","")," ","")),LEN(UPPER(SUBSTITUTE(SUBSTITUTE(SUBSTITUTE(TRIM(C2045),".",""),"-","")," ","")))-1))&amp;RIGHT(UPPER(SUBSTITUTE(SUBSTITUTE(SUBSTITUTE(TRIM(C2045),".",""),"-","")," ","")),1),UPPER(SUBSTITUTE(SUBSTITUTE(SUBSTITUTE(TRIM(C2045),".",""),"-","")," ",""))))</f>
        <v/>
      </c>
    </row>
    <row r="2046" customFormat="false" ht="15" hidden="false" customHeight="false" outlineLevel="0" collapsed="false">
      <c r="B2046" s="80"/>
      <c r="C2046" s="58"/>
      <c r="D2046" s="62" t="str">
        <f aca="false">IF(C2046="","",IFERROR(INDEX(T_NOMBRE,MATCH(V2046,T_RUTN,0)),"⚠ RUT no está en Trabajadores"))</f>
        <v/>
      </c>
      <c r="E2046" s="61"/>
      <c r="F2046" s="61"/>
      <c r="G2046" s="61"/>
      <c r="H2046" s="61"/>
      <c r="I2046" s="81"/>
      <c r="J2046" s="81"/>
      <c r="K2046" s="60"/>
      <c r="L2046" s="60"/>
      <c r="M2046" s="60"/>
      <c r="N2046" s="60"/>
      <c r="O2046" s="60"/>
      <c r="P2046" s="60"/>
      <c r="Q2046" s="60"/>
      <c r="R2046" s="58"/>
      <c r="S2046" s="62" t="str">
        <f aca="false">IF(OR(B2046="",V2046=""),"",IFERROR(INDEX(C_TIPO,MATCH(V2046&amp;"-P"&amp;MAX(1,COUNTIFS(C_RUTN,V2046,C_DEF,"Sí",C_INI,"&lt;="&amp;EOMONTH(B2046,0))),C_CLAVE,0))&amp;"","Sin contrato"))</f>
        <v/>
      </c>
      <c r="T2046" s="63" t="str">
        <f aca="false">IF(OR(B2046="",N(O2046)=0),"",N(O2046)+ROUND(MIN(N(N2046),TOPE_UF*UF_MES)*(TASA_EMP+MUTUAL),0)+ROUND(MIN(N(N2046),TOPE_AFC_UF*UF_MES)*IF(S2046="Indefinido",AFC_INDEF,AFC_PF),0))</f>
        <v/>
      </c>
      <c r="U2046" s="62" t="str">
        <f aca="false">IF(C2046="","",IF(LEFT(D2046,1)="⚠","⚠ RUT no registrado en Trabajadores",IF(B2046="","⚠ Falta el mes",IF(OR(ISTEXT(I2046),ISTEXT(J2046)),"⚠ Atrasos u horas extra como texto: escriba hh:mm (ej. 1:30)",IF(AND(ISNUMBER(Q2046),COUNTIFS(M_RUTN,V2046,M_MES,B2046,M_LIQ,"&lt;&gt;")&gt;1),"⚠ Liquidación repetida en el mes",IF(AND(ISNUMBER(O2046),ISNUMBER(P2046),ISNUMBER(Q2046),ABS(O2046-P2046-Q2046)&gt;1),"⚠ Haberes − descuentos no da el líquido","OK"))))))</f>
        <v/>
      </c>
      <c r="V2046" s="62" t="str">
        <f aca="false">IF(C2046="","",IFERROR(VALUE(LEFT(UPPER(SUBSTITUTE(SUBSTITUTE(SUBSTITUTE(TRIM(C2046),".",""),"-","")," ","")),LEN(UPPER(SUBSTITUTE(SUBSTITUTE(SUBSTITUTE(TRIM(C2046),".",""),"-","")," ","")))-1))&amp;RIGHT(UPPER(SUBSTITUTE(SUBSTITUTE(SUBSTITUTE(TRIM(C2046),".",""),"-","")," ","")),1),UPPER(SUBSTITUTE(SUBSTITUTE(SUBSTITUTE(TRIM(C2046),".",""),"-","")," ",""))))</f>
        <v/>
      </c>
    </row>
    <row r="2047" customFormat="false" ht="15" hidden="false" customHeight="false" outlineLevel="0" collapsed="false">
      <c r="B2047" s="80"/>
      <c r="C2047" s="58"/>
      <c r="D2047" s="62" t="str">
        <f aca="false">IF(C2047="","",IFERROR(INDEX(T_NOMBRE,MATCH(V2047,T_RUTN,0)),"⚠ RUT no está en Trabajadores"))</f>
        <v/>
      </c>
      <c r="E2047" s="61"/>
      <c r="F2047" s="61"/>
      <c r="G2047" s="61"/>
      <c r="H2047" s="61"/>
      <c r="I2047" s="81"/>
      <c r="J2047" s="81"/>
      <c r="K2047" s="60"/>
      <c r="L2047" s="60"/>
      <c r="M2047" s="60"/>
      <c r="N2047" s="60"/>
      <c r="O2047" s="60"/>
      <c r="P2047" s="60"/>
      <c r="Q2047" s="60"/>
      <c r="R2047" s="58"/>
      <c r="S2047" s="62" t="str">
        <f aca="false">IF(OR(B2047="",V2047=""),"",IFERROR(INDEX(C_TIPO,MATCH(V2047&amp;"-P"&amp;MAX(1,COUNTIFS(C_RUTN,V2047,C_DEF,"Sí",C_INI,"&lt;="&amp;EOMONTH(B2047,0))),C_CLAVE,0))&amp;"","Sin contrato"))</f>
        <v/>
      </c>
      <c r="T2047" s="63" t="str">
        <f aca="false">IF(OR(B2047="",N(O2047)=0),"",N(O2047)+ROUND(MIN(N(N2047),TOPE_UF*UF_MES)*(TASA_EMP+MUTUAL),0)+ROUND(MIN(N(N2047),TOPE_AFC_UF*UF_MES)*IF(S2047="Indefinido",AFC_INDEF,AFC_PF),0))</f>
        <v/>
      </c>
      <c r="U2047" s="62" t="str">
        <f aca="false">IF(C2047="","",IF(LEFT(D2047,1)="⚠","⚠ RUT no registrado en Trabajadores",IF(B2047="","⚠ Falta el mes",IF(OR(ISTEXT(I2047),ISTEXT(J2047)),"⚠ Atrasos u horas extra como texto: escriba hh:mm (ej. 1:30)",IF(AND(ISNUMBER(Q2047),COUNTIFS(M_RUTN,V2047,M_MES,B2047,M_LIQ,"&lt;&gt;")&gt;1),"⚠ Liquidación repetida en el mes",IF(AND(ISNUMBER(O2047),ISNUMBER(P2047),ISNUMBER(Q2047),ABS(O2047-P2047-Q2047)&gt;1),"⚠ Haberes − descuentos no da el líquido","OK"))))))</f>
        <v/>
      </c>
      <c r="V2047" s="62" t="str">
        <f aca="false">IF(C2047="","",IFERROR(VALUE(LEFT(UPPER(SUBSTITUTE(SUBSTITUTE(SUBSTITUTE(TRIM(C2047),".",""),"-","")," ","")),LEN(UPPER(SUBSTITUTE(SUBSTITUTE(SUBSTITUTE(TRIM(C2047),".",""),"-","")," ","")))-1))&amp;RIGHT(UPPER(SUBSTITUTE(SUBSTITUTE(SUBSTITUTE(TRIM(C2047),".",""),"-","")," ","")),1),UPPER(SUBSTITUTE(SUBSTITUTE(SUBSTITUTE(TRIM(C2047),".",""),"-","")," ",""))))</f>
        <v/>
      </c>
    </row>
    <row r="2048" customFormat="false" ht="15" hidden="false" customHeight="false" outlineLevel="0" collapsed="false">
      <c r="B2048" s="80"/>
      <c r="C2048" s="58"/>
      <c r="D2048" s="62" t="str">
        <f aca="false">IF(C2048="","",IFERROR(INDEX(T_NOMBRE,MATCH(V2048,T_RUTN,0)),"⚠ RUT no está en Trabajadores"))</f>
        <v/>
      </c>
      <c r="E2048" s="61"/>
      <c r="F2048" s="61"/>
      <c r="G2048" s="61"/>
      <c r="H2048" s="61"/>
      <c r="I2048" s="81"/>
      <c r="J2048" s="81"/>
      <c r="K2048" s="60"/>
      <c r="L2048" s="60"/>
      <c r="M2048" s="60"/>
      <c r="N2048" s="60"/>
      <c r="O2048" s="60"/>
      <c r="P2048" s="60"/>
      <c r="Q2048" s="60"/>
      <c r="R2048" s="58"/>
      <c r="S2048" s="62" t="str">
        <f aca="false">IF(OR(B2048="",V2048=""),"",IFERROR(INDEX(C_TIPO,MATCH(V2048&amp;"-P"&amp;MAX(1,COUNTIFS(C_RUTN,V2048,C_DEF,"Sí",C_INI,"&lt;="&amp;EOMONTH(B2048,0))),C_CLAVE,0))&amp;"","Sin contrato"))</f>
        <v/>
      </c>
      <c r="T2048" s="63" t="str">
        <f aca="false">IF(OR(B2048="",N(O2048)=0),"",N(O2048)+ROUND(MIN(N(N2048),TOPE_UF*UF_MES)*(TASA_EMP+MUTUAL),0)+ROUND(MIN(N(N2048),TOPE_AFC_UF*UF_MES)*IF(S2048="Indefinido",AFC_INDEF,AFC_PF),0))</f>
        <v/>
      </c>
      <c r="U2048" s="62" t="str">
        <f aca="false">IF(C2048="","",IF(LEFT(D2048,1)="⚠","⚠ RUT no registrado en Trabajadores",IF(B2048="","⚠ Falta el mes",IF(OR(ISTEXT(I2048),ISTEXT(J2048)),"⚠ Atrasos u horas extra como texto: escriba hh:mm (ej. 1:30)",IF(AND(ISNUMBER(Q2048),COUNTIFS(M_RUTN,V2048,M_MES,B2048,M_LIQ,"&lt;&gt;")&gt;1),"⚠ Liquidación repetida en el mes",IF(AND(ISNUMBER(O2048),ISNUMBER(P2048),ISNUMBER(Q2048),ABS(O2048-P2048-Q2048)&gt;1),"⚠ Haberes − descuentos no da el líquido","OK"))))))</f>
        <v/>
      </c>
      <c r="V2048" s="62" t="str">
        <f aca="false">IF(C2048="","",IFERROR(VALUE(LEFT(UPPER(SUBSTITUTE(SUBSTITUTE(SUBSTITUTE(TRIM(C2048),".",""),"-","")," ","")),LEN(UPPER(SUBSTITUTE(SUBSTITUTE(SUBSTITUTE(TRIM(C2048),".",""),"-","")," ","")))-1))&amp;RIGHT(UPPER(SUBSTITUTE(SUBSTITUTE(SUBSTITUTE(TRIM(C2048),".",""),"-","")," ","")),1),UPPER(SUBSTITUTE(SUBSTITUTE(SUBSTITUTE(TRIM(C2048),".",""),"-","")," ",""))))</f>
        <v/>
      </c>
    </row>
    <row r="2049" customFormat="false" ht="15" hidden="false" customHeight="false" outlineLevel="0" collapsed="false">
      <c r="B2049" s="80"/>
      <c r="C2049" s="58"/>
      <c r="D2049" s="62" t="str">
        <f aca="false">IF(C2049="","",IFERROR(INDEX(T_NOMBRE,MATCH(V2049,T_RUTN,0)),"⚠ RUT no está en Trabajadores"))</f>
        <v/>
      </c>
      <c r="E2049" s="61"/>
      <c r="F2049" s="61"/>
      <c r="G2049" s="61"/>
      <c r="H2049" s="61"/>
      <c r="I2049" s="81"/>
      <c r="J2049" s="81"/>
      <c r="K2049" s="60"/>
      <c r="L2049" s="60"/>
      <c r="M2049" s="60"/>
      <c r="N2049" s="60"/>
      <c r="O2049" s="60"/>
      <c r="P2049" s="60"/>
      <c r="Q2049" s="60"/>
      <c r="R2049" s="58"/>
      <c r="S2049" s="62" t="str">
        <f aca="false">IF(OR(B2049="",V2049=""),"",IFERROR(INDEX(C_TIPO,MATCH(V2049&amp;"-P"&amp;MAX(1,COUNTIFS(C_RUTN,V2049,C_DEF,"Sí",C_INI,"&lt;="&amp;EOMONTH(B2049,0))),C_CLAVE,0))&amp;"","Sin contrato"))</f>
        <v/>
      </c>
      <c r="T2049" s="63" t="str">
        <f aca="false">IF(OR(B2049="",N(O2049)=0),"",N(O2049)+ROUND(MIN(N(N2049),TOPE_UF*UF_MES)*(TASA_EMP+MUTUAL),0)+ROUND(MIN(N(N2049),TOPE_AFC_UF*UF_MES)*IF(S2049="Indefinido",AFC_INDEF,AFC_PF),0))</f>
        <v/>
      </c>
      <c r="U2049" s="62" t="str">
        <f aca="false">IF(C2049="","",IF(LEFT(D2049,1)="⚠","⚠ RUT no registrado en Trabajadores",IF(B2049="","⚠ Falta el mes",IF(OR(ISTEXT(I2049),ISTEXT(J2049)),"⚠ Atrasos u horas extra como texto: escriba hh:mm (ej. 1:30)",IF(AND(ISNUMBER(Q2049),COUNTIFS(M_RUTN,V2049,M_MES,B2049,M_LIQ,"&lt;&gt;")&gt;1),"⚠ Liquidación repetida en el mes",IF(AND(ISNUMBER(O2049),ISNUMBER(P2049),ISNUMBER(Q2049),ABS(O2049-P2049-Q2049)&gt;1),"⚠ Haberes − descuentos no da el líquido","OK"))))))</f>
        <v/>
      </c>
      <c r="V2049" s="62" t="str">
        <f aca="false">IF(C2049="","",IFERROR(VALUE(LEFT(UPPER(SUBSTITUTE(SUBSTITUTE(SUBSTITUTE(TRIM(C2049),".",""),"-","")," ","")),LEN(UPPER(SUBSTITUTE(SUBSTITUTE(SUBSTITUTE(TRIM(C2049),".",""),"-","")," ","")))-1))&amp;RIGHT(UPPER(SUBSTITUTE(SUBSTITUTE(SUBSTITUTE(TRIM(C2049),".",""),"-","")," ","")),1),UPPER(SUBSTITUTE(SUBSTITUTE(SUBSTITUTE(TRIM(C2049),".",""),"-","")," ",""))))</f>
        <v/>
      </c>
    </row>
    <row r="2050" customFormat="false" ht="15" hidden="false" customHeight="false" outlineLevel="0" collapsed="false">
      <c r="B2050" s="80"/>
      <c r="C2050" s="58"/>
      <c r="D2050" s="62" t="str">
        <f aca="false">IF(C2050="","",IFERROR(INDEX(T_NOMBRE,MATCH(V2050,T_RUTN,0)),"⚠ RUT no está en Trabajadores"))</f>
        <v/>
      </c>
      <c r="E2050" s="61"/>
      <c r="F2050" s="61"/>
      <c r="G2050" s="61"/>
      <c r="H2050" s="61"/>
      <c r="I2050" s="81"/>
      <c r="J2050" s="81"/>
      <c r="K2050" s="60"/>
      <c r="L2050" s="60"/>
      <c r="M2050" s="60"/>
      <c r="N2050" s="60"/>
      <c r="O2050" s="60"/>
      <c r="P2050" s="60"/>
      <c r="Q2050" s="60"/>
      <c r="R2050" s="58"/>
      <c r="S2050" s="62" t="str">
        <f aca="false">IF(OR(B2050="",V2050=""),"",IFERROR(INDEX(C_TIPO,MATCH(V2050&amp;"-P"&amp;MAX(1,COUNTIFS(C_RUTN,V2050,C_DEF,"Sí",C_INI,"&lt;="&amp;EOMONTH(B2050,0))),C_CLAVE,0))&amp;"","Sin contrato"))</f>
        <v/>
      </c>
      <c r="T2050" s="63" t="str">
        <f aca="false">IF(OR(B2050="",N(O2050)=0),"",N(O2050)+ROUND(MIN(N(N2050),TOPE_UF*UF_MES)*(TASA_EMP+MUTUAL),0)+ROUND(MIN(N(N2050),TOPE_AFC_UF*UF_MES)*IF(S2050="Indefinido",AFC_INDEF,AFC_PF),0))</f>
        <v/>
      </c>
      <c r="U2050" s="62" t="str">
        <f aca="false">IF(C2050="","",IF(LEFT(D2050,1)="⚠","⚠ RUT no registrado en Trabajadores",IF(B2050="","⚠ Falta el mes",IF(OR(ISTEXT(I2050),ISTEXT(J2050)),"⚠ Atrasos u horas extra como texto: escriba hh:mm (ej. 1:30)",IF(AND(ISNUMBER(Q2050),COUNTIFS(M_RUTN,V2050,M_MES,B2050,M_LIQ,"&lt;&gt;")&gt;1),"⚠ Liquidación repetida en el mes",IF(AND(ISNUMBER(O2050),ISNUMBER(P2050),ISNUMBER(Q2050),ABS(O2050-P2050-Q2050)&gt;1),"⚠ Haberes − descuentos no da el líquido","OK"))))))</f>
        <v/>
      </c>
      <c r="V2050" s="62" t="str">
        <f aca="false">IF(C2050="","",IFERROR(VALUE(LEFT(UPPER(SUBSTITUTE(SUBSTITUTE(SUBSTITUTE(TRIM(C2050),".",""),"-","")," ","")),LEN(UPPER(SUBSTITUTE(SUBSTITUTE(SUBSTITUTE(TRIM(C2050),".",""),"-","")," ","")))-1))&amp;RIGHT(UPPER(SUBSTITUTE(SUBSTITUTE(SUBSTITUTE(TRIM(C2050),".",""),"-","")," ","")),1),UPPER(SUBSTITUTE(SUBSTITUTE(SUBSTITUTE(TRIM(C2050),".",""),"-","")," ",""))))</f>
        <v/>
      </c>
    </row>
    <row r="2051" customFormat="false" ht="15" hidden="false" customHeight="false" outlineLevel="0" collapsed="false">
      <c r="B2051" s="80"/>
      <c r="C2051" s="58"/>
      <c r="D2051" s="62" t="str">
        <f aca="false">IF(C2051="","",IFERROR(INDEX(T_NOMBRE,MATCH(V2051,T_RUTN,0)),"⚠ RUT no está en Trabajadores"))</f>
        <v/>
      </c>
      <c r="E2051" s="61"/>
      <c r="F2051" s="61"/>
      <c r="G2051" s="61"/>
      <c r="H2051" s="61"/>
      <c r="I2051" s="81"/>
      <c r="J2051" s="81"/>
      <c r="K2051" s="60"/>
      <c r="L2051" s="60"/>
      <c r="M2051" s="60"/>
      <c r="N2051" s="60"/>
      <c r="O2051" s="60"/>
      <c r="P2051" s="60"/>
      <c r="Q2051" s="60"/>
      <c r="R2051" s="58"/>
      <c r="S2051" s="62" t="str">
        <f aca="false">IF(OR(B2051="",V2051=""),"",IFERROR(INDEX(C_TIPO,MATCH(V2051&amp;"-P"&amp;MAX(1,COUNTIFS(C_RUTN,V2051,C_DEF,"Sí",C_INI,"&lt;="&amp;EOMONTH(B2051,0))),C_CLAVE,0))&amp;"","Sin contrato"))</f>
        <v/>
      </c>
      <c r="T2051" s="63" t="str">
        <f aca="false">IF(OR(B2051="",N(O2051)=0),"",N(O2051)+ROUND(MIN(N(N2051),TOPE_UF*UF_MES)*(TASA_EMP+MUTUAL),0)+ROUND(MIN(N(N2051),TOPE_AFC_UF*UF_MES)*IF(S2051="Indefinido",AFC_INDEF,AFC_PF),0))</f>
        <v/>
      </c>
      <c r="U2051" s="62" t="str">
        <f aca="false">IF(C2051="","",IF(LEFT(D2051,1)="⚠","⚠ RUT no registrado en Trabajadores",IF(B2051="","⚠ Falta el mes",IF(OR(ISTEXT(I2051),ISTEXT(J2051)),"⚠ Atrasos u horas extra como texto: escriba hh:mm (ej. 1:30)",IF(AND(ISNUMBER(Q2051),COUNTIFS(M_RUTN,V2051,M_MES,B2051,M_LIQ,"&lt;&gt;")&gt;1),"⚠ Liquidación repetida en el mes",IF(AND(ISNUMBER(O2051),ISNUMBER(P2051),ISNUMBER(Q2051),ABS(O2051-P2051-Q2051)&gt;1),"⚠ Haberes − descuentos no da el líquido","OK"))))))</f>
        <v/>
      </c>
      <c r="V2051" s="62" t="str">
        <f aca="false">IF(C2051="","",IFERROR(VALUE(LEFT(UPPER(SUBSTITUTE(SUBSTITUTE(SUBSTITUTE(TRIM(C2051),".",""),"-","")," ","")),LEN(UPPER(SUBSTITUTE(SUBSTITUTE(SUBSTITUTE(TRIM(C2051),".",""),"-","")," ","")))-1))&amp;RIGHT(UPPER(SUBSTITUTE(SUBSTITUTE(SUBSTITUTE(TRIM(C2051),".",""),"-","")," ","")),1),UPPER(SUBSTITUTE(SUBSTITUTE(SUBSTITUTE(TRIM(C2051),".",""),"-","")," ",""))))</f>
        <v/>
      </c>
    </row>
    <row r="2052" customFormat="false" ht="15" hidden="false" customHeight="false" outlineLevel="0" collapsed="false">
      <c r="B2052" s="80"/>
      <c r="C2052" s="58"/>
      <c r="D2052" s="62" t="str">
        <f aca="false">IF(C2052="","",IFERROR(INDEX(T_NOMBRE,MATCH(V2052,T_RUTN,0)),"⚠ RUT no está en Trabajadores"))</f>
        <v/>
      </c>
      <c r="E2052" s="61"/>
      <c r="F2052" s="61"/>
      <c r="G2052" s="61"/>
      <c r="H2052" s="61"/>
      <c r="I2052" s="81"/>
      <c r="J2052" s="81"/>
      <c r="K2052" s="60"/>
      <c r="L2052" s="60"/>
      <c r="M2052" s="60"/>
      <c r="N2052" s="60"/>
      <c r="O2052" s="60"/>
      <c r="P2052" s="60"/>
      <c r="Q2052" s="60"/>
      <c r="R2052" s="58"/>
      <c r="S2052" s="62" t="str">
        <f aca="false">IF(OR(B2052="",V2052=""),"",IFERROR(INDEX(C_TIPO,MATCH(V2052&amp;"-P"&amp;MAX(1,COUNTIFS(C_RUTN,V2052,C_DEF,"Sí",C_INI,"&lt;="&amp;EOMONTH(B2052,0))),C_CLAVE,0))&amp;"","Sin contrato"))</f>
        <v/>
      </c>
      <c r="T2052" s="63" t="str">
        <f aca="false">IF(OR(B2052="",N(O2052)=0),"",N(O2052)+ROUND(MIN(N(N2052),TOPE_UF*UF_MES)*(TASA_EMP+MUTUAL),0)+ROUND(MIN(N(N2052),TOPE_AFC_UF*UF_MES)*IF(S2052="Indefinido",AFC_INDEF,AFC_PF),0))</f>
        <v/>
      </c>
      <c r="U2052" s="62" t="str">
        <f aca="false">IF(C2052="","",IF(LEFT(D2052,1)="⚠","⚠ RUT no registrado en Trabajadores",IF(B2052="","⚠ Falta el mes",IF(OR(ISTEXT(I2052),ISTEXT(J2052)),"⚠ Atrasos u horas extra como texto: escriba hh:mm (ej. 1:30)",IF(AND(ISNUMBER(Q2052),COUNTIFS(M_RUTN,V2052,M_MES,B2052,M_LIQ,"&lt;&gt;")&gt;1),"⚠ Liquidación repetida en el mes",IF(AND(ISNUMBER(O2052),ISNUMBER(P2052),ISNUMBER(Q2052),ABS(O2052-P2052-Q2052)&gt;1),"⚠ Haberes − descuentos no da el líquido","OK"))))))</f>
        <v/>
      </c>
      <c r="V2052" s="62" t="str">
        <f aca="false">IF(C2052="","",IFERROR(VALUE(LEFT(UPPER(SUBSTITUTE(SUBSTITUTE(SUBSTITUTE(TRIM(C2052),".",""),"-","")," ","")),LEN(UPPER(SUBSTITUTE(SUBSTITUTE(SUBSTITUTE(TRIM(C2052),".",""),"-","")," ","")))-1))&amp;RIGHT(UPPER(SUBSTITUTE(SUBSTITUTE(SUBSTITUTE(TRIM(C2052),".",""),"-","")," ","")),1),UPPER(SUBSTITUTE(SUBSTITUTE(SUBSTITUTE(TRIM(C2052),".",""),"-","")," ",""))))</f>
        <v/>
      </c>
    </row>
    <row r="2053" customFormat="false" ht="15" hidden="false" customHeight="false" outlineLevel="0" collapsed="false">
      <c r="B2053" s="80"/>
      <c r="C2053" s="58"/>
      <c r="D2053" s="62" t="str">
        <f aca="false">IF(C2053="","",IFERROR(INDEX(T_NOMBRE,MATCH(V2053,T_RUTN,0)),"⚠ RUT no está en Trabajadores"))</f>
        <v/>
      </c>
      <c r="E2053" s="61"/>
      <c r="F2053" s="61"/>
      <c r="G2053" s="61"/>
      <c r="H2053" s="61"/>
      <c r="I2053" s="81"/>
      <c r="J2053" s="81"/>
      <c r="K2053" s="60"/>
      <c r="L2053" s="60"/>
      <c r="M2053" s="60"/>
      <c r="N2053" s="60"/>
      <c r="O2053" s="60"/>
      <c r="P2053" s="60"/>
      <c r="Q2053" s="60"/>
      <c r="R2053" s="58"/>
      <c r="S2053" s="62" t="str">
        <f aca="false">IF(OR(B2053="",V2053=""),"",IFERROR(INDEX(C_TIPO,MATCH(V2053&amp;"-P"&amp;MAX(1,COUNTIFS(C_RUTN,V2053,C_DEF,"Sí",C_INI,"&lt;="&amp;EOMONTH(B2053,0))),C_CLAVE,0))&amp;"","Sin contrato"))</f>
        <v/>
      </c>
      <c r="T2053" s="63" t="str">
        <f aca="false">IF(OR(B2053="",N(O2053)=0),"",N(O2053)+ROUND(MIN(N(N2053),TOPE_UF*UF_MES)*(TASA_EMP+MUTUAL),0)+ROUND(MIN(N(N2053),TOPE_AFC_UF*UF_MES)*IF(S2053="Indefinido",AFC_INDEF,AFC_PF),0))</f>
        <v/>
      </c>
      <c r="U2053" s="62" t="str">
        <f aca="false">IF(C2053="","",IF(LEFT(D2053,1)="⚠","⚠ RUT no registrado en Trabajadores",IF(B2053="","⚠ Falta el mes",IF(OR(ISTEXT(I2053),ISTEXT(J2053)),"⚠ Atrasos u horas extra como texto: escriba hh:mm (ej. 1:30)",IF(AND(ISNUMBER(Q2053),COUNTIFS(M_RUTN,V2053,M_MES,B2053,M_LIQ,"&lt;&gt;")&gt;1),"⚠ Liquidación repetida en el mes",IF(AND(ISNUMBER(O2053),ISNUMBER(P2053),ISNUMBER(Q2053),ABS(O2053-P2053-Q2053)&gt;1),"⚠ Haberes − descuentos no da el líquido","OK"))))))</f>
        <v/>
      </c>
      <c r="V2053" s="62" t="str">
        <f aca="false">IF(C2053="","",IFERROR(VALUE(LEFT(UPPER(SUBSTITUTE(SUBSTITUTE(SUBSTITUTE(TRIM(C2053),".",""),"-","")," ","")),LEN(UPPER(SUBSTITUTE(SUBSTITUTE(SUBSTITUTE(TRIM(C2053),".",""),"-","")," ","")))-1))&amp;RIGHT(UPPER(SUBSTITUTE(SUBSTITUTE(SUBSTITUTE(TRIM(C2053),".",""),"-","")," ","")),1),UPPER(SUBSTITUTE(SUBSTITUTE(SUBSTITUTE(TRIM(C2053),".",""),"-","")," ",""))))</f>
        <v/>
      </c>
    </row>
    <row r="2054" customFormat="false" ht="15" hidden="false" customHeight="false" outlineLevel="0" collapsed="false">
      <c r="B2054" s="80"/>
      <c r="C2054" s="58"/>
      <c r="D2054" s="62" t="str">
        <f aca="false">IF(C2054="","",IFERROR(INDEX(T_NOMBRE,MATCH(V2054,T_RUTN,0)),"⚠ RUT no está en Trabajadores"))</f>
        <v/>
      </c>
      <c r="E2054" s="61"/>
      <c r="F2054" s="61"/>
      <c r="G2054" s="61"/>
      <c r="H2054" s="61"/>
      <c r="I2054" s="81"/>
      <c r="J2054" s="81"/>
      <c r="K2054" s="60"/>
      <c r="L2054" s="60"/>
      <c r="M2054" s="60"/>
      <c r="N2054" s="60"/>
      <c r="O2054" s="60"/>
      <c r="P2054" s="60"/>
      <c r="Q2054" s="60"/>
      <c r="R2054" s="58"/>
      <c r="S2054" s="62" t="str">
        <f aca="false">IF(OR(B2054="",V2054=""),"",IFERROR(INDEX(C_TIPO,MATCH(V2054&amp;"-P"&amp;MAX(1,COUNTIFS(C_RUTN,V2054,C_DEF,"Sí",C_INI,"&lt;="&amp;EOMONTH(B2054,0))),C_CLAVE,0))&amp;"","Sin contrato"))</f>
        <v/>
      </c>
      <c r="T2054" s="63" t="str">
        <f aca="false">IF(OR(B2054="",N(O2054)=0),"",N(O2054)+ROUND(MIN(N(N2054),TOPE_UF*UF_MES)*(TASA_EMP+MUTUAL),0)+ROUND(MIN(N(N2054),TOPE_AFC_UF*UF_MES)*IF(S2054="Indefinido",AFC_INDEF,AFC_PF),0))</f>
        <v/>
      </c>
      <c r="U2054" s="62" t="str">
        <f aca="false">IF(C2054="","",IF(LEFT(D2054,1)="⚠","⚠ RUT no registrado en Trabajadores",IF(B2054="","⚠ Falta el mes",IF(OR(ISTEXT(I2054),ISTEXT(J2054)),"⚠ Atrasos u horas extra como texto: escriba hh:mm (ej. 1:30)",IF(AND(ISNUMBER(Q2054),COUNTIFS(M_RUTN,V2054,M_MES,B2054,M_LIQ,"&lt;&gt;")&gt;1),"⚠ Liquidación repetida en el mes",IF(AND(ISNUMBER(O2054),ISNUMBER(P2054),ISNUMBER(Q2054),ABS(O2054-P2054-Q2054)&gt;1),"⚠ Haberes − descuentos no da el líquido","OK"))))))</f>
        <v/>
      </c>
      <c r="V2054" s="62" t="str">
        <f aca="false">IF(C2054="","",IFERROR(VALUE(LEFT(UPPER(SUBSTITUTE(SUBSTITUTE(SUBSTITUTE(TRIM(C2054),".",""),"-","")," ","")),LEN(UPPER(SUBSTITUTE(SUBSTITUTE(SUBSTITUTE(TRIM(C2054),".",""),"-","")," ","")))-1))&amp;RIGHT(UPPER(SUBSTITUTE(SUBSTITUTE(SUBSTITUTE(TRIM(C2054),".",""),"-","")," ","")),1),UPPER(SUBSTITUTE(SUBSTITUTE(SUBSTITUTE(TRIM(C2054),".",""),"-","")," ",""))))</f>
        <v/>
      </c>
    </row>
    <row r="2055" customFormat="false" ht="15" hidden="false" customHeight="false" outlineLevel="0" collapsed="false">
      <c r="B2055" s="80"/>
      <c r="C2055" s="58"/>
      <c r="D2055" s="62" t="str">
        <f aca="false">IF(C2055="","",IFERROR(INDEX(T_NOMBRE,MATCH(V2055,T_RUTN,0)),"⚠ RUT no está en Trabajadores"))</f>
        <v/>
      </c>
      <c r="E2055" s="61"/>
      <c r="F2055" s="61"/>
      <c r="G2055" s="61"/>
      <c r="H2055" s="61"/>
      <c r="I2055" s="81"/>
      <c r="J2055" s="81"/>
      <c r="K2055" s="60"/>
      <c r="L2055" s="60"/>
      <c r="M2055" s="60"/>
      <c r="N2055" s="60"/>
      <c r="O2055" s="60"/>
      <c r="P2055" s="60"/>
      <c r="Q2055" s="60"/>
      <c r="R2055" s="58"/>
      <c r="S2055" s="62" t="str">
        <f aca="false">IF(OR(B2055="",V2055=""),"",IFERROR(INDEX(C_TIPO,MATCH(V2055&amp;"-P"&amp;MAX(1,COUNTIFS(C_RUTN,V2055,C_DEF,"Sí",C_INI,"&lt;="&amp;EOMONTH(B2055,0))),C_CLAVE,0))&amp;"","Sin contrato"))</f>
        <v/>
      </c>
      <c r="T2055" s="63" t="str">
        <f aca="false">IF(OR(B2055="",N(O2055)=0),"",N(O2055)+ROUND(MIN(N(N2055),TOPE_UF*UF_MES)*(TASA_EMP+MUTUAL),0)+ROUND(MIN(N(N2055),TOPE_AFC_UF*UF_MES)*IF(S2055="Indefinido",AFC_INDEF,AFC_PF),0))</f>
        <v/>
      </c>
      <c r="U2055" s="62" t="str">
        <f aca="false">IF(C2055="","",IF(LEFT(D2055,1)="⚠","⚠ RUT no registrado en Trabajadores",IF(B2055="","⚠ Falta el mes",IF(OR(ISTEXT(I2055),ISTEXT(J2055)),"⚠ Atrasos u horas extra como texto: escriba hh:mm (ej. 1:30)",IF(AND(ISNUMBER(Q2055),COUNTIFS(M_RUTN,V2055,M_MES,B2055,M_LIQ,"&lt;&gt;")&gt;1),"⚠ Liquidación repetida en el mes",IF(AND(ISNUMBER(O2055),ISNUMBER(P2055),ISNUMBER(Q2055),ABS(O2055-P2055-Q2055)&gt;1),"⚠ Haberes − descuentos no da el líquido","OK"))))))</f>
        <v/>
      </c>
      <c r="V2055" s="62" t="str">
        <f aca="false">IF(C2055="","",IFERROR(VALUE(LEFT(UPPER(SUBSTITUTE(SUBSTITUTE(SUBSTITUTE(TRIM(C2055),".",""),"-","")," ","")),LEN(UPPER(SUBSTITUTE(SUBSTITUTE(SUBSTITUTE(TRIM(C2055),".",""),"-","")," ","")))-1))&amp;RIGHT(UPPER(SUBSTITUTE(SUBSTITUTE(SUBSTITUTE(TRIM(C2055),".",""),"-","")," ","")),1),UPPER(SUBSTITUTE(SUBSTITUTE(SUBSTITUTE(TRIM(C2055),".",""),"-","")," ",""))))</f>
        <v/>
      </c>
    </row>
    <row r="2056" customFormat="false" ht="15" hidden="false" customHeight="false" outlineLevel="0" collapsed="false">
      <c r="B2056" s="80"/>
      <c r="C2056" s="58"/>
      <c r="D2056" s="62" t="str">
        <f aca="false">IF(C2056="","",IFERROR(INDEX(T_NOMBRE,MATCH(V2056,T_RUTN,0)),"⚠ RUT no está en Trabajadores"))</f>
        <v/>
      </c>
      <c r="E2056" s="61"/>
      <c r="F2056" s="61"/>
      <c r="G2056" s="61"/>
      <c r="H2056" s="61"/>
      <c r="I2056" s="81"/>
      <c r="J2056" s="81"/>
      <c r="K2056" s="60"/>
      <c r="L2056" s="60"/>
      <c r="M2056" s="60"/>
      <c r="N2056" s="60"/>
      <c r="O2056" s="60"/>
      <c r="P2056" s="60"/>
      <c r="Q2056" s="60"/>
      <c r="R2056" s="58"/>
      <c r="S2056" s="62" t="str">
        <f aca="false">IF(OR(B2056="",V2056=""),"",IFERROR(INDEX(C_TIPO,MATCH(V2056&amp;"-P"&amp;MAX(1,COUNTIFS(C_RUTN,V2056,C_DEF,"Sí",C_INI,"&lt;="&amp;EOMONTH(B2056,0))),C_CLAVE,0))&amp;"","Sin contrato"))</f>
        <v/>
      </c>
      <c r="T2056" s="63" t="str">
        <f aca="false">IF(OR(B2056="",N(O2056)=0),"",N(O2056)+ROUND(MIN(N(N2056),TOPE_UF*UF_MES)*(TASA_EMP+MUTUAL),0)+ROUND(MIN(N(N2056),TOPE_AFC_UF*UF_MES)*IF(S2056="Indefinido",AFC_INDEF,AFC_PF),0))</f>
        <v/>
      </c>
      <c r="U2056" s="62" t="str">
        <f aca="false">IF(C2056="","",IF(LEFT(D2056,1)="⚠","⚠ RUT no registrado en Trabajadores",IF(B2056="","⚠ Falta el mes",IF(OR(ISTEXT(I2056),ISTEXT(J2056)),"⚠ Atrasos u horas extra como texto: escriba hh:mm (ej. 1:30)",IF(AND(ISNUMBER(Q2056),COUNTIFS(M_RUTN,V2056,M_MES,B2056,M_LIQ,"&lt;&gt;")&gt;1),"⚠ Liquidación repetida en el mes",IF(AND(ISNUMBER(O2056),ISNUMBER(P2056),ISNUMBER(Q2056),ABS(O2056-P2056-Q2056)&gt;1),"⚠ Haberes − descuentos no da el líquido","OK"))))))</f>
        <v/>
      </c>
      <c r="V2056" s="62" t="str">
        <f aca="false">IF(C2056="","",IFERROR(VALUE(LEFT(UPPER(SUBSTITUTE(SUBSTITUTE(SUBSTITUTE(TRIM(C2056),".",""),"-","")," ","")),LEN(UPPER(SUBSTITUTE(SUBSTITUTE(SUBSTITUTE(TRIM(C2056),".",""),"-","")," ","")))-1))&amp;RIGHT(UPPER(SUBSTITUTE(SUBSTITUTE(SUBSTITUTE(TRIM(C2056),".",""),"-","")," ","")),1),UPPER(SUBSTITUTE(SUBSTITUTE(SUBSTITUTE(TRIM(C2056),".",""),"-","")," ",""))))</f>
        <v/>
      </c>
    </row>
    <row r="2057" customFormat="false" ht="15" hidden="false" customHeight="false" outlineLevel="0" collapsed="false">
      <c r="B2057" s="80"/>
      <c r="C2057" s="58"/>
      <c r="D2057" s="62" t="str">
        <f aca="false">IF(C2057="","",IFERROR(INDEX(T_NOMBRE,MATCH(V2057,T_RUTN,0)),"⚠ RUT no está en Trabajadores"))</f>
        <v/>
      </c>
      <c r="E2057" s="61"/>
      <c r="F2057" s="61"/>
      <c r="G2057" s="61"/>
      <c r="H2057" s="61"/>
      <c r="I2057" s="81"/>
      <c r="J2057" s="81"/>
      <c r="K2057" s="60"/>
      <c r="L2057" s="60"/>
      <c r="M2057" s="60"/>
      <c r="N2057" s="60"/>
      <c r="O2057" s="60"/>
      <c r="P2057" s="60"/>
      <c r="Q2057" s="60"/>
      <c r="R2057" s="58"/>
      <c r="S2057" s="62" t="str">
        <f aca="false">IF(OR(B2057="",V2057=""),"",IFERROR(INDEX(C_TIPO,MATCH(V2057&amp;"-P"&amp;MAX(1,COUNTIFS(C_RUTN,V2057,C_DEF,"Sí",C_INI,"&lt;="&amp;EOMONTH(B2057,0))),C_CLAVE,0))&amp;"","Sin contrato"))</f>
        <v/>
      </c>
      <c r="T2057" s="63" t="str">
        <f aca="false">IF(OR(B2057="",N(O2057)=0),"",N(O2057)+ROUND(MIN(N(N2057),TOPE_UF*UF_MES)*(TASA_EMP+MUTUAL),0)+ROUND(MIN(N(N2057),TOPE_AFC_UF*UF_MES)*IF(S2057="Indefinido",AFC_INDEF,AFC_PF),0))</f>
        <v/>
      </c>
      <c r="U2057" s="62" t="str">
        <f aca="false">IF(C2057="","",IF(LEFT(D2057,1)="⚠","⚠ RUT no registrado en Trabajadores",IF(B2057="","⚠ Falta el mes",IF(OR(ISTEXT(I2057),ISTEXT(J2057)),"⚠ Atrasos u horas extra como texto: escriba hh:mm (ej. 1:30)",IF(AND(ISNUMBER(Q2057),COUNTIFS(M_RUTN,V2057,M_MES,B2057,M_LIQ,"&lt;&gt;")&gt;1),"⚠ Liquidación repetida en el mes",IF(AND(ISNUMBER(O2057),ISNUMBER(P2057),ISNUMBER(Q2057),ABS(O2057-P2057-Q2057)&gt;1),"⚠ Haberes − descuentos no da el líquido","OK"))))))</f>
        <v/>
      </c>
      <c r="V2057" s="62" t="str">
        <f aca="false">IF(C2057="","",IFERROR(VALUE(LEFT(UPPER(SUBSTITUTE(SUBSTITUTE(SUBSTITUTE(TRIM(C2057),".",""),"-","")," ","")),LEN(UPPER(SUBSTITUTE(SUBSTITUTE(SUBSTITUTE(TRIM(C2057),".",""),"-","")," ","")))-1))&amp;RIGHT(UPPER(SUBSTITUTE(SUBSTITUTE(SUBSTITUTE(TRIM(C2057),".",""),"-","")," ","")),1),UPPER(SUBSTITUTE(SUBSTITUTE(SUBSTITUTE(TRIM(C2057),".",""),"-","")," ",""))))</f>
        <v/>
      </c>
    </row>
    <row r="2058" customFormat="false" ht="15" hidden="false" customHeight="false" outlineLevel="0" collapsed="false">
      <c r="B2058" s="80"/>
      <c r="C2058" s="58"/>
      <c r="D2058" s="62" t="str">
        <f aca="false">IF(C2058="","",IFERROR(INDEX(T_NOMBRE,MATCH(V2058,T_RUTN,0)),"⚠ RUT no está en Trabajadores"))</f>
        <v/>
      </c>
      <c r="E2058" s="61"/>
      <c r="F2058" s="61"/>
      <c r="G2058" s="61"/>
      <c r="H2058" s="61"/>
      <c r="I2058" s="81"/>
      <c r="J2058" s="81"/>
      <c r="K2058" s="60"/>
      <c r="L2058" s="60"/>
      <c r="M2058" s="60"/>
      <c r="N2058" s="60"/>
      <c r="O2058" s="60"/>
      <c r="P2058" s="60"/>
      <c r="Q2058" s="60"/>
      <c r="R2058" s="58"/>
      <c r="S2058" s="62" t="str">
        <f aca="false">IF(OR(B2058="",V2058=""),"",IFERROR(INDEX(C_TIPO,MATCH(V2058&amp;"-P"&amp;MAX(1,COUNTIFS(C_RUTN,V2058,C_DEF,"Sí",C_INI,"&lt;="&amp;EOMONTH(B2058,0))),C_CLAVE,0))&amp;"","Sin contrato"))</f>
        <v/>
      </c>
      <c r="T2058" s="63" t="str">
        <f aca="false">IF(OR(B2058="",N(O2058)=0),"",N(O2058)+ROUND(MIN(N(N2058),TOPE_UF*UF_MES)*(TASA_EMP+MUTUAL),0)+ROUND(MIN(N(N2058),TOPE_AFC_UF*UF_MES)*IF(S2058="Indefinido",AFC_INDEF,AFC_PF),0))</f>
        <v/>
      </c>
      <c r="U2058" s="62" t="str">
        <f aca="false">IF(C2058="","",IF(LEFT(D2058,1)="⚠","⚠ RUT no registrado en Trabajadores",IF(B2058="","⚠ Falta el mes",IF(OR(ISTEXT(I2058),ISTEXT(J2058)),"⚠ Atrasos u horas extra como texto: escriba hh:mm (ej. 1:30)",IF(AND(ISNUMBER(Q2058),COUNTIFS(M_RUTN,V2058,M_MES,B2058,M_LIQ,"&lt;&gt;")&gt;1),"⚠ Liquidación repetida en el mes",IF(AND(ISNUMBER(O2058),ISNUMBER(P2058),ISNUMBER(Q2058),ABS(O2058-P2058-Q2058)&gt;1),"⚠ Haberes − descuentos no da el líquido","OK"))))))</f>
        <v/>
      </c>
      <c r="V2058" s="62" t="str">
        <f aca="false">IF(C2058="","",IFERROR(VALUE(LEFT(UPPER(SUBSTITUTE(SUBSTITUTE(SUBSTITUTE(TRIM(C2058),".",""),"-","")," ","")),LEN(UPPER(SUBSTITUTE(SUBSTITUTE(SUBSTITUTE(TRIM(C2058),".",""),"-","")," ","")))-1))&amp;RIGHT(UPPER(SUBSTITUTE(SUBSTITUTE(SUBSTITUTE(TRIM(C2058),".",""),"-","")," ","")),1),UPPER(SUBSTITUTE(SUBSTITUTE(SUBSTITUTE(TRIM(C2058),".",""),"-","")," ",""))))</f>
        <v/>
      </c>
    </row>
    <row r="2059" customFormat="false" ht="15" hidden="false" customHeight="false" outlineLevel="0" collapsed="false">
      <c r="B2059" s="80"/>
      <c r="C2059" s="58"/>
      <c r="D2059" s="62" t="str">
        <f aca="false">IF(C2059="","",IFERROR(INDEX(T_NOMBRE,MATCH(V2059,T_RUTN,0)),"⚠ RUT no está en Trabajadores"))</f>
        <v/>
      </c>
      <c r="E2059" s="61"/>
      <c r="F2059" s="61"/>
      <c r="G2059" s="61"/>
      <c r="H2059" s="61"/>
      <c r="I2059" s="81"/>
      <c r="J2059" s="81"/>
      <c r="K2059" s="60"/>
      <c r="L2059" s="60"/>
      <c r="M2059" s="60"/>
      <c r="N2059" s="60"/>
      <c r="O2059" s="60"/>
      <c r="P2059" s="60"/>
      <c r="Q2059" s="60"/>
      <c r="R2059" s="58"/>
      <c r="S2059" s="62" t="str">
        <f aca="false">IF(OR(B2059="",V2059=""),"",IFERROR(INDEX(C_TIPO,MATCH(V2059&amp;"-P"&amp;MAX(1,COUNTIFS(C_RUTN,V2059,C_DEF,"Sí",C_INI,"&lt;="&amp;EOMONTH(B2059,0))),C_CLAVE,0))&amp;"","Sin contrato"))</f>
        <v/>
      </c>
      <c r="T2059" s="63" t="str">
        <f aca="false">IF(OR(B2059="",N(O2059)=0),"",N(O2059)+ROUND(MIN(N(N2059),TOPE_UF*UF_MES)*(TASA_EMP+MUTUAL),0)+ROUND(MIN(N(N2059),TOPE_AFC_UF*UF_MES)*IF(S2059="Indefinido",AFC_INDEF,AFC_PF),0))</f>
        <v/>
      </c>
      <c r="U2059" s="62" t="str">
        <f aca="false">IF(C2059="","",IF(LEFT(D2059,1)="⚠","⚠ RUT no registrado en Trabajadores",IF(B2059="","⚠ Falta el mes",IF(OR(ISTEXT(I2059),ISTEXT(J2059)),"⚠ Atrasos u horas extra como texto: escriba hh:mm (ej. 1:30)",IF(AND(ISNUMBER(Q2059),COUNTIFS(M_RUTN,V2059,M_MES,B2059,M_LIQ,"&lt;&gt;")&gt;1),"⚠ Liquidación repetida en el mes",IF(AND(ISNUMBER(O2059),ISNUMBER(P2059),ISNUMBER(Q2059),ABS(O2059-P2059-Q2059)&gt;1),"⚠ Haberes − descuentos no da el líquido","OK"))))))</f>
        <v/>
      </c>
      <c r="V2059" s="62" t="str">
        <f aca="false">IF(C2059="","",IFERROR(VALUE(LEFT(UPPER(SUBSTITUTE(SUBSTITUTE(SUBSTITUTE(TRIM(C2059),".",""),"-","")," ","")),LEN(UPPER(SUBSTITUTE(SUBSTITUTE(SUBSTITUTE(TRIM(C2059),".",""),"-","")," ","")))-1))&amp;RIGHT(UPPER(SUBSTITUTE(SUBSTITUTE(SUBSTITUTE(TRIM(C2059),".",""),"-","")," ","")),1),UPPER(SUBSTITUTE(SUBSTITUTE(SUBSTITUTE(TRIM(C2059),".",""),"-","")," ",""))))</f>
        <v/>
      </c>
    </row>
    <row r="2060" customFormat="false" ht="15" hidden="false" customHeight="false" outlineLevel="0" collapsed="false">
      <c r="B2060" s="80"/>
      <c r="C2060" s="58"/>
      <c r="D2060" s="62" t="str">
        <f aca="false">IF(C2060="","",IFERROR(INDEX(T_NOMBRE,MATCH(V2060,T_RUTN,0)),"⚠ RUT no está en Trabajadores"))</f>
        <v/>
      </c>
      <c r="E2060" s="61"/>
      <c r="F2060" s="61"/>
      <c r="G2060" s="61"/>
      <c r="H2060" s="61"/>
      <c r="I2060" s="81"/>
      <c r="J2060" s="81"/>
      <c r="K2060" s="60"/>
      <c r="L2060" s="60"/>
      <c r="M2060" s="60"/>
      <c r="N2060" s="60"/>
      <c r="O2060" s="60"/>
      <c r="P2060" s="60"/>
      <c r="Q2060" s="60"/>
      <c r="R2060" s="58"/>
      <c r="S2060" s="62" t="str">
        <f aca="false">IF(OR(B2060="",V2060=""),"",IFERROR(INDEX(C_TIPO,MATCH(V2060&amp;"-P"&amp;MAX(1,COUNTIFS(C_RUTN,V2060,C_DEF,"Sí",C_INI,"&lt;="&amp;EOMONTH(B2060,0))),C_CLAVE,0))&amp;"","Sin contrato"))</f>
        <v/>
      </c>
      <c r="T2060" s="63" t="str">
        <f aca="false">IF(OR(B2060="",N(O2060)=0),"",N(O2060)+ROUND(MIN(N(N2060),TOPE_UF*UF_MES)*(TASA_EMP+MUTUAL),0)+ROUND(MIN(N(N2060),TOPE_AFC_UF*UF_MES)*IF(S2060="Indefinido",AFC_INDEF,AFC_PF),0))</f>
        <v/>
      </c>
      <c r="U2060" s="62" t="str">
        <f aca="false">IF(C2060="","",IF(LEFT(D2060,1)="⚠","⚠ RUT no registrado en Trabajadores",IF(B2060="","⚠ Falta el mes",IF(OR(ISTEXT(I2060),ISTEXT(J2060)),"⚠ Atrasos u horas extra como texto: escriba hh:mm (ej. 1:30)",IF(AND(ISNUMBER(Q2060),COUNTIFS(M_RUTN,V2060,M_MES,B2060,M_LIQ,"&lt;&gt;")&gt;1),"⚠ Liquidación repetida en el mes",IF(AND(ISNUMBER(O2060),ISNUMBER(P2060),ISNUMBER(Q2060),ABS(O2060-P2060-Q2060)&gt;1),"⚠ Haberes − descuentos no da el líquido","OK"))))))</f>
        <v/>
      </c>
      <c r="V2060" s="62" t="str">
        <f aca="false">IF(C2060="","",IFERROR(VALUE(LEFT(UPPER(SUBSTITUTE(SUBSTITUTE(SUBSTITUTE(TRIM(C2060),".",""),"-","")," ","")),LEN(UPPER(SUBSTITUTE(SUBSTITUTE(SUBSTITUTE(TRIM(C2060),".",""),"-","")," ","")))-1))&amp;RIGHT(UPPER(SUBSTITUTE(SUBSTITUTE(SUBSTITUTE(TRIM(C2060),".",""),"-","")," ","")),1),UPPER(SUBSTITUTE(SUBSTITUTE(SUBSTITUTE(TRIM(C2060),".",""),"-","")," ",""))))</f>
        <v/>
      </c>
    </row>
    <row r="2061" customFormat="false" ht="15" hidden="false" customHeight="false" outlineLevel="0" collapsed="false">
      <c r="B2061" s="80"/>
      <c r="C2061" s="58"/>
      <c r="D2061" s="62" t="str">
        <f aca="false">IF(C2061="","",IFERROR(INDEX(T_NOMBRE,MATCH(V2061,T_RUTN,0)),"⚠ RUT no está en Trabajadores"))</f>
        <v/>
      </c>
      <c r="E2061" s="61"/>
      <c r="F2061" s="61"/>
      <c r="G2061" s="61"/>
      <c r="H2061" s="61"/>
      <c r="I2061" s="81"/>
      <c r="J2061" s="81"/>
      <c r="K2061" s="60"/>
      <c r="L2061" s="60"/>
      <c r="M2061" s="60"/>
      <c r="N2061" s="60"/>
      <c r="O2061" s="60"/>
      <c r="P2061" s="60"/>
      <c r="Q2061" s="60"/>
      <c r="R2061" s="58"/>
      <c r="S2061" s="62" t="str">
        <f aca="false">IF(OR(B2061="",V2061=""),"",IFERROR(INDEX(C_TIPO,MATCH(V2061&amp;"-P"&amp;MAX(1,COUNTIFS(C_RUTN,V2061,C_DEF,"Sí",C_INI,"&lt;="&amp;EOMONTH(B2061,0))),C_CLAVE,0))&amp;"","Sin contrato"))</f>
        <v/>
      </c>
      <c r="T2061" s="63" t="str">
        <f aca="false">IF(OR(B2061="",N(O2061)=0),"",N(O2061)+ROUND(MIN(N(N2061),TOPE_UF*UF_MES)*(TASA_EMP+MUTUAL),0)+ROUND(MIN(N(N2061),TOPE_AFC_UF*UF_MES)*IF(S2061="Indefinido",AFC_INDEF,AFC_PF),0))</f>
        <v/>
      </c>
      <c r="U2061" s="62" t="str">
        <f aca="false">IF(C2061="","",IF(LEFT(D2061,1)="⚠","⚠ RUT no registrado en Trabajadores",IF(B2061="","⚠ Falta el mes",IF(OR(ISTEXT(I2061),ISTEXT(J2061)),"⚠ Atrasos u horas extra como texto: escriba hh:mm (ej. 1:30)",IF(AND(ISNUMBER(Q2061),COUNTIFS(M_RUTN,V2061,M_MES,B2061,M_LIQ,"&lt;&gt;")&gt;1),"⚠ Liquidación repetida en el mes",IF(AND(ISNUMBER(O2061),ISNUMBER(P2061),ISNUMBER(Q2061),ABS(O2061-P2061-Q2061)&gt;1),"⚠ Haberes − descuentos no da el líquido","OK"))))))</f>
        <v/>
      </c>
      <c r="V2061" s="62" t="str">
        <f aca="false">IF(C2061="","",IFERROR(VALUE(LEFT(UPPER(SUBSTITUTE(SUBSTITUTE(SUBSTITUTE(TRIM(C2061),".",""),"-","")," ","")),LEN(UPPER(SUBSTITUTE(SUBSTITUTE(SUBSTITUTE(TRIM(C2061),".",""),"-","")," ","")))-1))&amp;RIGHT(UPPER(SUBSTITUTE(SUBSTITUTE(SUBSTITUTE(TRIM(C2061),".",""),"-","")," ","")),1),UPPER(SUBSTITUTE(SUBSTITUTE(SUBSTITUTE(TRIM(C2061),".",""),"-","")," ",""))))</f>
        <v/>
      </c>
    </row>
    <row r="2062" customFormat="false" ht="15" hidden="false" customHeight="false" outlineLevel="0" collapsed="false">
      <c r="B2062" s="80"/>
      <c r="C2062" s="58"/>
      <c r="D2062" s="62" t="str">
        <f aca="false">IF(C2062="","",IFERROR(INDEX(T_NOMBRE,MATCH(V2062,T_RUTN,0)),"⚠ RUT no está en Trabajadores"))</f>
        <v/>
      </c>
      <c r="E2062" s="61"/>
      <c r="F2062" s="61"/>
      <c r="G2062" s="61"/>
      <c r="H2062" s="61"/>
      <c r="I2062" s="81"/>
      <c r="J2062" s="81"/>
      <c r="K2062" s="60"/>
      <c r="L2062" s="60"/>
      <c r="M2062" s="60"/>
      <c r="N2062" s="60"/>
      <c r="O2062" s="60"/>
      <c r="P2062" s="60"/>
      <c r="Q2062" s="60"/>
      <c r="R2062" s="58"/>
      <c r="S2062" s="62" t="str">
        <f aca="false">IF(OR(B2062="",V2062=""),"",IFERROR(INDEX(C_TIPO,MATCH(V2062&amp;"-P"&amp;MAX(1,COUNTIFS(C_RUTN,V2062,C_DEF,"Sí",C_INI,"&lt;="&amp;EOMONTH(B2062,0))),C_CLAVE,0))&amp;"","Sin contrato"))</f>
        <v/>
      </c>
      <c r="T2062" s="63" t="str">
        <f aca="false">IF(OR(B2062="",N(O2062)=0),"",N(O2062)+ROUND(MIN(N(N2062),TOPE_UF*UF_MES)*(TASA_EMP+MUTUAL),0)+ROUND(MIN(N(N2062),TOPE_AFC_UF*UF_MES)*IF(S2062="Indefinido",AFC_INDEF,AFC_PF),0))</f>
        <v/>
      </c>
      <c r="U2062" s="62" t="str">
        <f aca="false">IF(C2062="","",IF(LEFT(D2062,1)="⚠","⚠ RUT no registrado en Trabajadores",IF(B2062="","⚠ Falta el mes",IF(OR(ISTEXT(I2062),ISTEXT(J2062)),"⚠ Atrasos u horas extra como texto: escriba hh:mm (ej. 1:30)",IF(AND(ISNUMBER(Q2062),COUNTIFS(M_RUTN,V2062,M_MES,B2062,M_LIQ,"&lt;&gt;")&gt;1),"⚠ Liquidación repetida en el mes",IF(AND(ISNUMBER(O2062),ISNUMBER(P2062),ISNUMBER(Q2062),ABS(O2062-P2062-Q2062)&gt;1),"⚠ Haberes − descuentos no da el líquido","OK"))))))</f>
        <v/>
      </c>
      <c r="V2062" s="62" t="str">
        <f aca="false">IF(C2062="","",IFERROR(VALUE(LEFT(UPPER(SUBSTITUTE(SUBSTITUTE(SUBSTITUTE(TRIM(C2062),".",""),"-","")," ","")),LEN(UPPER(SUBSTITUTE(SUBSTITUTE(SUBSTITUTE(TRIM(C2062),".",""),"-","")," ","")))-1))&amp;RIGHT(UPPER(SUBSTITUTE(SUBSTITUTE(SUBSTITUTE(TRIM(C2062),".",""),"-","")," ","")),1),UPPER(SUBSTITUTE(SUBSTITUTE(SUBSTITUTE(TRIM(C2062),".",""),"-","")," ",""))))</f>
        <v/>
      </c>
    </row>
    <row r="2063" customFormat="false" ht="15" hidden="false" customHeight="false" outlineLevel="0" collapsed="false">
      <c r="B2063" s="80"/>
      <c r="C2063" s="58"/>
      <c r="D2063" s="62" t="str">
        <f aca="false">IF(C2063="","",IFERROR(INDEX(T_NOMBRE,MATCH(V2063,T_RUTN,0)),"⚠ RUT no está en Trabajadores"))</f>
        <v/>
      </c>
      <c r="E2063" s="61"/>
      <c r="F2063" s="61"/>
      <c r="G2063" s="61"/>
      <c r="H2063" s="61"/>
      <c r="I2063" s="81"/>
      <c r="J2063" s="81"/>
      <c r="K2063" s="60"/>
      <c r="L2063" s="60"/>
      <c r="M2063" s="60"/>
      <c r="N2063" s="60"/>
      <c r="O2063" s="60"/>
      <c r="P2063" s="60"/>
      <c r="Q2063" s="60"/>
      <c r="R2063" s="58"/>
      <c r="S2063" s="62" t="str">
        <f aca="false">IF(OR(B2063="",V2063=""),"",IFERROR(INDEX(C_TIPO,MATCH(V2063&amp;"-P"&amp;MAX(1,COUNTIFS(C_RUTN,V2063,C_DEF,"Sí",C_INI,"&lt;="&amp;EOMONTH(B2063,0))),C_CLAVE,0))&amp;"","Sin contrato"))</f>
        <v/>
      </c>
      <c r="T2063" s="63" t="str">
        <f aca="false">IF(OR(B2063="",N(O2063)=0),"",N(O2063)+ROUND(MIN(N(N2063),TOPE_UF*UF_MES)*(TASA_EMP+MUTUAL),0)+ROUND(MIN(N(N2063),TOPE_AFC_UF*UF_MES)*IF(S2063="Indefinido",AFC_INDEF,AFC_PF),0))</f>
        <v/>
      </c>
      <c r="U2063" s="62" t="str">
        <f aca="false">IF(C2063="","",IF(LEFT(D2063,1)="⚠","⚠ RUT no registrado en Trabajadores",IF(B2063="","⚠ Falta el mes",IF(OR(ISTEXT(I2063),ISTEXT(J2063)),"⚠ Atrasos u horas extra como texto: escriba hh:mm (ej. 1:30)",IF(AND(ISNUMBER(Q2063),COUNTIFS(M_RUTN,V2063,M_MES,B2063,M_LIQ,"&lt;&gt;")&gt;1),"⚠ Liquidación repetida en el mes",IF(AND(ISNUMBER(O2063),ISNUMBER(P2063),ISNUMBER(Q2063),ABS(O2063-P2063-Q2063)&gt;1),"⚠ Haberes − descuentos no da el líquido","OK"))))))</f>
        <v/>
      </c>
      <c r="V2063" s="62" t="str">
        <f aca="false">IF(C2063="","",IFERROR(VALUE(LEFT(UPPER(SUBSTITUTE(SUBSTITUTE(SUBSTITUTE(TRIM(C2063),".",""),"-","")," ","")),LEN(UPPER(SUBSTITUTE(SUBSTITUTE(SUBSTITUTE(TRIM(C2063),".",""),"-","")," ","")))-1))&amp;RIGHT(UPPER(SUBSTITUTE(SUBSTITUTE(SUBSTITUTE(TRIM(C2063),".",""),"-","")," ","")),1),UPPER(SUBSTITUTE(SUBSTITUTE(SUBSTITUTE(TRIM(C2063),".",""),"-","")," ",""))))</f>
        <v/>
      </c>
    </row>
    <row r="2064" customFormat="false" ht="15" hidden="false" customHeight="false" outlineLevel="0" collapsed="false">
      <c r="B2064" s="80"/>
      <c r="C2064" s="58"/>
      <c r="D2064" s="62" t="str">
        <f aca="false">IF(C2064="","",IFERROR(INDEX(T_NOMBRE,MATCH(V2064,T_RUTN,0)),"⚠ RUT no está en Trabajadores"))</f>
        <v/>
      </c>
      <c r="E2064" s="61"/>
      <c r="F2064" s="61"/>
      <c r="G2064" s="61"/>
      <c r="H2064" s="61"/>
      <c r="I2064" s="81"/>
      <c r="J2064" s="81"/>
      <c r="K2064" s="60"/>
      <c r="L2064" s="60"/>
      <c r="M2064" s="60"/>
      <c r="N2064" s="60"/>
      <c r="O2064" s="60"/>
      <c r="P2064" s="60"/>
      <c r="Q2064" s="60"/>
      <c r="R2064" s="58"/>
      <c r="S2064" s="62" t="str">
        <f aca="false">IF(OR(B2064="",V2064=""),"",IFERROR(INDEX(C_TIPO,MATCH(V2064&amp;"-P"&amp;MAX(1,COUNTIFS(C_RUTN,V2064,C_DEF,"Sí",C_INI,"&lt;="&amp;EOMONTH(B2064,0))),C_CLAVE,0))&amp;"","Sin contrato"))</f>
        <v/>
      </c>
      <c r="T2064" s="63" t="str">
        <f aca="false">IF(OR(B2064="",N(O2064)=0),"",N(O2064)+ROUND(MIN(N(N2064),TOPE_UF*UF_MES)*(TASA_EMP+MUTUAL),0)+ROUND(MIN(N(N2064),TOPE_AFC_UF*UF_MES)*IF(S2064="Indefinido",AFC_INDEF,AFC_PF),0))</f>
        <v/>
      </c>
      <c r="U2064" s="62" t="str">
        <f aca="false">IF(C2064="","",IF(LEFT(D2064,1)="⚠","⚠ RUT no registrado en Trabajadores",IF(B2064="","⚠ Falta el mes",IF(OR(ISTEXT(I2064),ISTEXT(J2064)),"⚠ Atrasos u horas extra como texto: escriba hh:mm (ej. 1:30)",IF(AND(ISNUMBER(Q2064),COUNTIFS(M_RUTN,V2064,M_MES,B2064,M_LIQ,"&lt;&gt;")&gt;1),"⚠ Liquidación repetida en el mes",IF(AND(ISNUMBER(O2064),ISNUMBER(P2064),ISNUMBER(Q2064),ABS(O2064-P2064-Q2064)&gt;1),"⚠ Haberes − descuentos no da el líquido","OK"))))))</f>
        <v/>
      </c>
      <c r="V2064" s="62" t="str">
        <f aca="false">IF(C2064="","",IFERROR(VALUE(LEFT(UPPER(SUBSTITUTE(SUBSTITUTE(SUBSTITUTE(TRIM(C2064),".",""),"-","")," ","")),LEN(UPPER(SUBSTITUTE(SUBSTITUTE(SUBSTITUTE(TRIM(C2064),".",""),"-","")," ","")))-1))&amp;RIGHT(UPPER(SUBSTITUTE(SUBSTITUTE(SUBSTITUTE(TRIM(C2064),".",""),"-","")," ","")),1),UPPER(SUBSTITUTE(SUBSTITUTE(SUBSTITUTE(TRIM(C2064),".",""),"-","")," ",""))))</f>
        <v/>
      </c>
    </row>
    <row r="2065" customFormat="false" ht="15" hidden="false" customHeight="false" outlineLevel="0" collapsed="false">
      <c r="B2065" s="80"/>
      <c r="C2065" s="58"/>
      <c r="D2065" s="62" t="str">
        <f aca="false">IF(C2065="","",IFERROR(INDEX(T_NOMBRE,MATCH(V2065,T_RUTN,0)),"⚠ RUT no está en Trabajadores"))</f>
        <v/>
      </c>
      <c r="E2065" s="61"/>
      <c r="F2065" s="61"/>
      <c r="G2065" s="61"/>
      <c r="H2065" s="61"/>
      <c r="I2065" s="81"/>
      <c r="J2065" s="81"/>
      <c r="K2065" s="60"/>
      <c r="L2065" s="60"/>
      <c r="M2065" s="60"/>
      <c r="N2065" s="60"/>
      <c r="O2065" s="60"/>
      <c r="P2065" s="60"/>
      <c r="Q2065" s="60"/>
      <c r="R2065" s="58"/>
      <c r="S2065" s="62" t="str">
        <f aca="false">IF(OR(B2065="",V2065=""),"",IFERROR(INDEX(C_TIPO,MATCH(V2065&amp;"-P"&amp;MAX(1,COUNTIFS(C_RUTN,V2065,C_DEF,"Sí",C_INI,"&lt;="&amp;EOMONTH(B2065,0))),C_CLAVE,0))&amp;"","Sin contrato"))</f>
        <v/>
      </c>
      <c r="T2065" s="63" t="str">
        <f aca="false">IF(OR(B2065="",N(O2065)=0),"",N(O2065)+ROUND(MIN(N(N2065),TOPE_UF*UF_MES)*(TASA_EMP+MUTUAL),0)+ROUND(MIN(N(N2065),TOPE_AFC_UF*UF_MES)*IF(S2065="Indefinido",AFC_INDEF,AFC_PF),0))</f>
        <v/>
      </c>
      <c r="U2065" s="62" t="str">
        <f aca="false">IF(C2065="","",IF(LEFT(D2065,1)="⚠","⚠ RUT no registrado en Trabajadores",IF(B2065="","⚠ Falta el mes",IF(OR(ISTEXT(I2065),ISTEXT(J2065)),"⚠ Atrasos u horas extra como texto: escriba hh:mm (ej. 1:30)",IF(AND(ISNUMBER(Q2065),COUNTIFS(M_RUTN,V2065,M_MES,B2065,M_LIQ,"&lt;&gt;")&gt;1),"⚠ Liquidación repetida en el mes",IF(AND(ISNUMBER(O2065),ISNUMBER(P2065),ISNUMBER(Q2065),ABS(O2065-P2065-Q2065)&gt;1),"⚠ Haberes − descuentos no da el líquido","OK"))))))</f>
        <v/>
      </c>
      <c r="V2065" s="62" t="str">
        <f aca="false">IF(C2065="","",IFERROR(VALUE(LEFT(UPPER(SUBSTITUTE(SUBSTITUTE(SUBSTITUTE(TRIM(C2065),".",""),"-","")," ","")),LEN(UPPER(SUBSTITUTE(SUBSTITUTE(SUBSTITUTE(TRIM(C2065),".",""),"-","")," ","")))-1))&amp;RIGHT(UPPER(SUBSTITUTE(SUBSTITUTE(SUBSTITUTE(TRIM(C2065),".",""),"-","")," ","")),1),UPPER(SUBSTITUTE(SUBSTITUTE(SUBSTITUTE(TRIM(C2065),".",""),"-","")," ",""))))</f>
        <v/>
      </c>
    </row>
    <row r="2066" customFormat="false" ht="15" hidden="false" customHeight="false" outlineLevel="0" collapsed="false">
      <c r="B2066" s="80"/>
      <c r="C2066" s="58"/>
      <c r="D2066" s="62" t="str">
        <f aca="false">IF(C2066="","",IFERROR(INDEX(T_NOMBRE,MATCH(V2066,T_RUTN,0)),"⚠ RUT no está en Trabajadores"))</f>
        <v/>
      </c>
      <c r="E2066" s="61"/>
      <c r="F2066" s="61"/>
      <c r="G2066" s="61"/>
      <c r="H2066" s="61"/>
      <c r="I2066" s="81"/>
      <c r="J2066" s="81"/>
      <c r="K2066" s="60"/>
      <c r="L2066" s="60"/>
      <c r="M2066" s="60"/>
      <c r="N2066" s="60"/>
      <c r="O2066" s="60"/>
      <c r="P2066" s="60"/>
      <c r="Q2066" s="60"/>
      <c r="R2066" s="58"/>
      <c r="S2066" s="62" t="str">
        <f aca="false">IF(OR(B2066="",V2066=""),"",IFERROR(INDEX(C_TIPO,MATCH(V2066&amp;"-P"&amp;MAX(1,COUNTIFS(C_RUTN,V2066,C_DEF,"Sí",C_INI,"&lt;="&amp;EOMONTH(B2066,0))),C_CLAVE,0))&amp;"","Sin contrato"))</f>
        <v/>
      </c>
      <c r="T2066" s="63" t="str">
        <f aca="false">IF(OR(B2066="",N(O2066)=0),"",N(O2066)+ROUND(MIN(N(N2066),TOPE_UF*UF_MES)*(TASA_EMP+MUTUAL),0)+ROUND(MIN(N(N2066),TOPE_AFC_UF*UF_MES)*IF(S2066="Indefinido",AFC_INDEF,AFC_PF),0))</f>
        <v/>
      </c>
      <c r="U2066" s="62" t="str">
        <f aca="false">IF(C2066="","",IF(LEFT(D2066,1)="⚠","⚠ RUT no registrado en Trabajadores",IF(B2066="","⚠ Falta el mes",IF(OR(ISTEXT(I2066),ISTEXT(J2066)),"⚠ Atrasos u horas extra como texto: escriba hh:mm (ej. 1:30)",IF(AND(ISNUMBER(Q2066),COUNTIFS(M_RUTN,V2066,M_MES,B2066,M_LIQ,"&lt;&gt;")&gt;1),"⚠ Liquidación repetida en el mes",IF(AND(ISNUMBER(O2066),ISNUMBER(P2066),ISNUMBER(Q2066),ABS(O2066-P2066-Q2066)&gt;1),"⚠ Haberes − descuentos no da el líquido","OK"))))))</f>
        <v/>
      </c>
      <c r="V2066" s="62" t="str">
        <f aca="false">IF(C2066="","",IFERROR(VALUE(LEFT(UPPER(SUBSTITUTE(SUBSTITUTE(SUBSTITUTE(TRIM(C2066),".",""),"-","")," ","")),LEN(UPPER(SUBSTITUTE(SUBSTITUTE(SUBSTITUTE(TRIM(C2066),".",""),"-","")," ","")))-1))&amp;RIGHT(UPPER(SUBSTITUTE(SUBSTITUTE(SUBSTITUTE(TRIM(C2066),".",""),"-","")," ","")),1),UPPER(SUBSTITUTE(SUBSTITUTE(SUBSTITUTE(TRIM(C2066),".",""),"-","")," ",""))))</f>
        <v/>
      </c>
    </row>
    <row r="2067" customFormat="false" ht="15" hidden="false" customHeight="false" outlineLevel="0" collapsed="false">
      <c r="B2067" s="80"/>
      <c r="C2067" s="58"/>
      <c r="D2067" s="62" t="str">
        <f aca="false">IF(C2067="","",IFERROR(INDEX(T_NOMBRE,MATCH(V2067,T_RUTN,0)),"⚠ RUT no está en Trabajadores"))</f>
        <v/>
      </c>
      <c r="E2067" s="61"/>
      <c r="F2067" s="61"/>
      <c r="G2067" s="61"/>
      <c r="H2067" s="61"/>
      <c r="I2067" s="81"/>
      <c r="J2067" s="81"/>
      <c r="K2067" s="60"/>
      <c r="L2067" s="60"/>
      <c r="M2067" s="60"/>
      <c r="N2067" s="60"/>
      <c r="O2067" s="60"/>
      <c r="P2067" s="60"/>
      <c r="Q2067" s="60"/>
      <c r="R2067" s="58"/>
      <c r="S2067" s="62" t="str">
        <f aca="false">IF(OR(B2067="",V2067=""),"",IFERROR(INDEX(C_TIPO,MATCH(V2067&amp;"-P"&amp;MAX(1,COUNTIFS(C_RUTN,V2067,C_DEF,"Sí",C_INI,"&lt;="&amp;EOMONTH(B2067,0))),C_CLAVE,0))&amp;"","Sin contrato"))</f>
        <v/>
      </c>
      <c r="T2067" s="63" t="str">
        <f aca="false">IF(OR(B2067="",N(O2067)=0),"",N(O2067)+ROUND(MIN(N(N2067),TOPE_UF*UF_MES)*(TASA_EMP+MUTUAL),0)+ROUND(MIN(N(N2067),TOPE_AFC_UF*UF_MES)*IF(S2067="Indefinido",AFC_INDEF,AFC_PF),0))</f>
        <v/>
      </c>
      <c r="U2067" s="62" t="str">
        <f aca="false">IF(C2067="","",IF(LEFT(D2067,1)="⚠","⚠ RUT no registrado en Trabajadores",IF(B2067="","⚠ Falta el mes",IF(OR(ISTEXT(I2067),ISTEXT(J2067)),"⚠ Atrasos u horas extra como texto: escriba hh:mm (ej. 1:30)",IF(AND(ISNUMBER(Q2067),COUNTIFS(M_RUTN,V2067,M_MES,B2067,M_LIQ,"&lt;&gt;")&gt;1),"⚠ Liquidación repetida en el mes",IF(AND(ISNUMBER(O2067),ISNUMBER(P2067),ISNUMBER(Q2067),ABS(O2067-P2067-Q2067)&gt;1),"⚠ Haberes − descuentos no da el líquido","OK"))))))</f>
        <v/>
      </c>
      <c r="V2067" s="62" t="str">
        <f aca="false">IF(C2067="","",IFERROR(VALUE(LEFT(UPPER(SUBSTITUTE(SUBSTITUTE(SUBSTITUTE(TRIM(C2067),".",""),"-","")," ","")),LEN(UPPER(SUBSTITUTE(SUBSTITUTE(SUBSTITUTE(TRIM(C2067),".",""),"-","")," ","")))-1))&amp;RIGHT(UPPER(SUBSTITUTE(SUBSTITUTE(SUBSTITUTE(TRIM(C2067),".",""),"-","")," ","")),1),UPPER(SUBSTITUTE(SUBSTITUTE(SUBSTITUTE(TRIM(C2067),".",""),"-","")," ",""))))</f>
        <v/>
      </c>
    </row>
    <row r="2068" customFormat="false" ht="15" hidden="false" customHeight="false" outlineLevel="0" collapsed="false">
      <c r="B2068" s="80"/>
      <c r="C2068" s="58"/>
      <c r="D2068" s="62" t="str">
        <f aca="false">IF(C2068="","",IFERROR(INDEX(T_NOMBRE,MATCH(V2068,T_RUTN,0)),"⚠ RUT no está en Trabajadores"))</f>
        <v/>
      </c>
      <c r="E2068" s="61"/>
      <c r="F2068" s="61"/>
      <c r="G2068" s="61"/>
      <c r="H2068" s="61"/>
      <c r="I2068" s="81"/>
      <c r="J2068" s="81"/>
      <c r="K2068" s="60"/>
      <c r="L2068" s="60"/>
      <c r="M2068" s="60"/>
      <c r="N2068" s="60"/>
      <c r="O2068" s="60"/>
      <c r="P2068" s="60"/>
      <c r="Q2068" s="60"/>
      <c r="R2068" s="58"/>
      <c r="S2068" s="62" t="str">
        <f aca="false">IF(OR(B2068="",V2068=""),"",IFERROR(INDEX(C_TIPO,MATCH(V2068&amp;"-P"&amp;MAX(1,COUNTIFS(C_RUTN,V2068,C_DEF,"Sí",C_INI,"&lt;="&amp;EOMONTH(B2068,0))),C_CLAVE,0))&amp;"","Sin contrato"))</f>
        <v/>
      </c>
      <c r="T2068" s="63" t="str">
        <f aca="false">IF(OR(B2068="",N(O2068)=0),"",N(O2068)+ROUND(MIN(N(N2068),TOPE_UF*UF_MES)*(TASA_EMP+MUTUAL),0)+ROUND(MIN(N(N2068),TOPE_AFC_UF*UF_MES)*IF(S2068="Indefinido",AFC_INDEF,AFC_PF),0))</f>
        <v/>
      </c>
      <c r="U2068" s="62" t="str">
        <f aca="false">IF(C2068="","",IF(LEFT(D2068,1)="⚠","⚠ RUT no registrado en Trabajadores",IF(B2068="","⚠ Falta el mes",IF(OR(ISTEXT(I2068),ISTEXT(J2068)),"⚠ Atrasos u horas extra como texto: escriba hh:mm (ej. 1:30)",IF(AND(ISNUMBER(Q2068),COUNTIFS(M_RUTN,V2068,M_MES,B2068,M_LIQ,"&lt;&gt;")&gt;1),"⚠ Liquidación repetida en el mes",IF(AND(ISNUMBER(O2068),ISNUMBER(P2068),ISNUMBER(Q2068),ABS(O2068-P2068-Q2068)&gt;1),"⚠ Haberes − descuentos no da el líquido","OK"))))))</f>
        <v/>
      </c>
      <c r="V2068" s="62" t="str">
        <f aca="false">IF(C2068="","",IFERROR(VALUE(LEFT(UPPER(SUBSTITUTE(SUBSTITUTE(SUBSTITUTE(TRIM(C2068),".",""),"-","")," ","")),LEN(UPPER(SUBSTITUTE(SUBSTITUTE(SUBSTITUTE(TRIM(C2068),".",""),"-","")," ","")))-1))&amp;RIGHT(UPPER(SUBSTITUTE(SUBSTITUTE(SUBSTITUTE(TRIM(C2068),".",""),"-","")," ","")),1),UPPER(SUBSTITUTE(SUBSTITUTE(SUBSTITUTE(TRIM(C2068),".",""),"-","")," ",""))))</f>
        <v/>
      </c>
    </row>
    <row r="2069" customFormat="false" ht="15" hidden="false" customHeight="false" outlineLevel="0" collapsed="false">
      <c r="B2069" s="80"/>
      <c r="C2069" s="58"/>
      <c r="D2069" s="62" t="str">
        <f aca="false">IF(C2069="","",IFERROR(INDEX(T_NOMBRE,MATCH(V2069,T_RUTN,0)),"⚠ RUT no está en Trabajadores"))</f>
        <v/>
      </c>
      <c r="E2069" s="61"/>
      <c r="F2069" s="61"/>
      <c r="G2069" s="61"/>
      <c r="H2069" s="61"/>
      <c r="I2069" s="81"/>
      <c r="J2069" s="81"/>
      <c r="K2069" s="60"/>
      <c r="L2069" s="60"/>
      <c r="M2069" s="60"/>
      <c r="N2069" s="60"/>
      <c r="O2069" s="60"/>
      <c r="P2069" s="60"/>
      <c r="Q2069" s="60"/>
      <c r="R2069" s="58"/>
      <c r="S2069" s="62" t="str">
        <f aca="false">IF(OR(B2069="",V2069=""),"",IFERROR(INDEX(C_TIPO,MATCH(V2069&amp;"-P"&amp;MAX(1,COUNTIFS(C_RUTN,V2069,C_DEF,"Sí",C_INI,"&lt;="&amp;EOMONTH(B2069,0))),C_CLAVE,0))&amp;"","Sin contrato"))</f>
        <v/>
      </c>
      <c r="T2069" s="63" t="str">
        <f aca="false">IF(OR(B2069="",N(O2069)=0),"",N(O2069)+ROUND(MIN(N(N2069),TOPE_UF*UF_MES)*(TASA_EMP+MUTUAL),0)+ROUND(MIN(N(N2069),TOPE_AFC_UF*UF_MES)*IF(S2069="Indefinido",AFC_INDEF,AFC_PF),0))</f>
        <v/>
      </c>
      <c r="U2069" s="62" t="str">
        <f aca="false">IF(C2069="","",IF(LEFT(D2069,1)="⚠","⚠ RUT no registrado en Trabajadores",IF(B2069="","⚠ Falta el mes",IF(OR(ISTEXT(I2069),ISTEXT(J2069)),"⚠ Atrasos u horas extra como texto: escriba hh:mm (ej. 1:30)",IF(AND(ISNUMBER(Q2069),COUNTIFS(M_RUTN,V2069,M_MES,B2069,M_LIQ,"&lt;&gt;")&gt;1),"⚠ Liquidación repetida en el mes",IF(AND(ISNUMBER(O2069),ISNUMBER(P2069),ISNUMBER(Q2069),ABS(O2069-P2069-Q2069)&gt;1),"⚠ Haberes − descuentos no da el líquido","OK"))))))</f>
        <v/>
      </c>
      <c r="V2069" s="62" t="str">
        <f aca="false">IF(C2069="","",IFERROR(VALUE(LEFT(UPPER(SUBSTITUTE(SUBSTITUTE(SUBSTITUTE(TRIM(C2069),".",""),"-","")," ","")),LEN(UPPER(SUBSTITUTE(SUBSTITUTE(SUBSTITUTE(TRIM(C2069),".",""),"-","")," ","")))-1))&amp;RIGHT(UPPER(SUBSTITUTE(SUBSTITUTE(SUBSTITUTE(TRIM(C2069),".",""),"-","")," ","")),1),UPPER(SUBSTITUTE(SUBSTITUTE(SUBSTITUTE(TRIM(C2069),".",""),"-","")," ",""))))</f>
        <v/>
      </c>
    </row>
    <row r="2070" customFormat="false" ht="15" hidden="false" customHeight="false" outlineLevel="0" collapsed="false">
      <c r="B2070" s="80"/>
      <c r="C2070" s="58"/>
      <c r="D2070" s="62" t="str">
        <f aca="false">IF(C2070="","",IFERROR(INDEX(T_NOMBRE,MATCH(V2070,T_RUTN,0)),"⚠ RUT no está en Trabajadores"))</f>
        <v/>
      </c>
      <c r="E2070" s="61"/>
      <c r="F2070" s="61"/>
      <c r="G2070" s="61"/>
      <c r="H2070" s="61"/>
      <c r="I2070" s="81"/>
      <c r="J2070" s="81"/>
      <c r="K2070" s="60"/>
      <c r="L2070" s="60"/>
      <c r="M2070" s="60"/>
      <c r="N2070" s="60"/>
      <c r="O2070" s="60"/>
      <c r="P2070" s="60"/>
      <c r="Q2070" s="60"/>
      <c r="R2070" s="58"/>
      <c r="S2070" s="62" t="str">
        <f aca="false">IF(OR(B2070="",V2070=""),"",IFERROR(INDEX(C_TIPO,MATCH(V2070&amp;"-P"&amp;MAX(1,COUNTIFS(C_RUTN,V2070,C_DEF,"Sí",C_INI,"&lt;="&amp;EOMONTH(B2070,0))),C_CLAVE,0))&amp;"","Sin contrato"))</f>
        <v/>
      </c>
      <c r="T2070" s="63" t="str">
        <f aca="false">IF(OR(B2070="",N(O2070)=0),"",N(O2070)+ROUND(MIN(N(N2070),TOPE_UF*UF_MES)*(TASA_EMP+MUTUAL),0)+ROUND(MIN(N(N2070),TOPE_AFC_UF*UF_MES)*IF(S2070="Indefinido",AFC_INDEF,AFC_PF),0))</f>
        <v/>
      </c>
      <c r="U2070" s="62" t="str">
        <f aca="false">IF(C2070="","",IF(LEFT(D2070,1)="⚠","⚠ RUT no registrado en Trabajadores",IF(B2070="","⚠ Falta el mes",IF(OR(ISTEXT(I2070),ISTEXT(J2070)),"⚠ Atrasos u horas extra como texto: escriba hh:mm (ej. 1:30)",IF(AND(ISNUMBER(Q2070),COUNTIFS(M_RUTN,V2070,M_MES,B2070,M_LIQ,"&lt;&gt;")&gt;1),"⚠ Liquidación repetida en el mes",IF(AND(ISNUMBER(O2070),ISNUMBER(P2070),ISNUMBER(Q2070),ABS(O2070-P2070-Q2070)&gt;1),"⚠ Haberes − descuentos no da el líquido","OK"))))))</f>
        <v/>
      </c>
      <c r="V2070" s="62" t="str">
        <f aca="false">IF(C2070="","",IFERROR(VALUE(LEFT(UPPER(SUBSTITUTE(SUBSTITUTE(SUBSTITUTE(TRIM(C2070),".",""),"-","")," ","")),LEN(UPPER(SUBSTITUTE(SUBSTITUTE(SUBSTITUTE(TRIM(C2070),".",""),"-","")," ","")))-1))&amp;RIGHT(UPPER(SUBSTITUTE(SUBSTITUTE(SUBSTITUTE(TRIM(C2070),".",""),"-","")," ","")),1),UPPER(SUBSTITUTE(SUBSTITUTE(SUBSTITUTE(TRIM(C2070),".",""),"-","")," ",""))))</f>
        <v/>
      </c>
    </row>
    <row r="2071" customFormat="false" ht="15" hidden="false" customHeight="false" outlineLevel="0" collapsed="false">
      <c r="B2071" s="80"/>
      <c r="C2071" s="58"/>
      <c r="D2071" s="62" t="str">
        <f aca="false">IF(C2071="","",IFERROR(INDEX(T_NOMBRE,MATCH(V2071,T_RUTN,0)),"⚠ RUT no está en Trabajadores"))</f>
        <v/>
      </c>
      <c r="E2071" s="61"/>
      <c r="F2071" s="61"/>
      <c r="G2071" s="61"/>
      <c r="H2071" s="61"/>
      <c r="I2071" s="81"/>
      <c r="J2071" s="81"/>
      <c r="K2071" s="60"/>
      <c r="L2071" s="60"/>
      <c r="M2071" s="60"/>
      <c r="N2071" s="60"/>
      <c r="O2071" s="60"/>
      <c r="P2071" s="60"/>
      <c r="Q2071" s="60"/>
      <c r="R2071" s="58"/>
      <c r="S2071" s="62" t="str">
        <f aca="false">IF(OR(B2071="",V2071=""),"",IFERROR(INDEX(C_TIPO,MATCH(V2071&amp;"-P"&amp;MAX(1,COUNTIFS(C_RUTN,V2071,C_DEF,"Sí",C_INI,"&lt;="&amp;EOMONTH(B2071,0))),C_CLAVE,0))&amp;"","Sin contrato"))</f>
        <v/>
      </c>
      <c r="T2071" s="63" t="str">
        <f aca="false">IF(OR(B2071="",N(O2071)=0),"",N(O2071)+ROUND(MIN(N(N2071),TOPE_UF*UF_MES)*(TASA_EMP+MUTUAL),0)+ROUND(MIN(N(N2071),TOPE_AFC_UF*UF_MES)*IF(S2071="Indefinido",AFC_INDEF,AFC_PF),0))</f>
        <v/>
      </c>
      <c r="U2071" s="62" t="str">
        <f aca="false">IF(C2071="","",IF(LEFT(D2071,1)="⚠","⚠ RUT no registrado en Trabajadores",IF(B2071="","⚠ Falta el mes",IF(OR(ISTEXT(I2071),ISTEXT(J2071)),"⚠ Atrasos u horas extra como texto: escriba hh:mm (ej. 1:30)",IF(AND(ISNUMBER(Q2071),COUNTIFS(M_RUTN,V2071,M_MES,B2071,M_LIQ,"&lt;&gt;")&gt;1),"⚠ Liquidación repetida en el mes",IF(AND(ISNUMBER(O2071),ISNUMBER(P2071),ISNUMBER(Q2071),ABS(O2071-P2071-Q2071)&gt;1),"⚠ Haberes − descuentos no da el líquido","OK"))))))</f>
        <v/>
      </c>
      <c r="V2071" s="62" t="str">
        <f aca="false">IF(C2071="","",IFERROR(VALUE(LEFT(UPPER(SUBSTITUTE(SUBSTITUTE(SUBSTITUTE(TRIM(C2071),".",""),"-","")," ","")),LEN(UPPER(SUBSTITUTE(SUBSTITUTE(SUBSTITUTE(TRIM(C2071),".",""),"-","")," ","")))-1))&amp;RIGHT(UPPER(SUBSTITUTE(SUBSTITUTE(SUBSTITUTE(TRIM(C2071),".",""),"-","")," ","")),1),UPPER(SUBSTITUTE(SUBSTITUTE(SUBSTITUTE(TRIM(C2071),".",""),"-","")," ",""))))</f>
        <v/>
      </c>
    </row>
    <row r="2072" customFormat="false" ht="15" hidden="false" customHeight="false" outlineLevel="0" collapsed="false">
      <c r="B2072" s="80"/>
      <c r="C2072" s="58"/>
      <c r="D2072" s="62" t="str">
        <f aca="false">IF(C2072="","",IFERROR(INDEX(T_NOMBRE,MATCH(V2072,T_RUTN,0)),"⚠ RUT no está en Trabajadores"))</f>
        <v/>
      </c>
      <c r="E2072" s="61"/>
      <c r="F2072" s="61"/>
      <c r="G2072" s="61"/>
      <c r="H2072" s="61"/>
      <c r="I2072" s="81"/>
      <c r="J2072" s="81"/>
      <c r="K2072" s="60"/>
      <c r="L2072" s="60"/>
      <c r="M2072" s="60"/>
      <c r="N2072" s="60"/>
      <c r="O2072" s="60"/>
      <c r="P2072" s="60"/>
      <c r="Q2072" s="60"/>
      <c r="R2072" s="58"/>
      <c r="S2072" s="62" t="str">
        <f aca="false">IF(OR(B2072="",V2072=""),"",IFERROR(INDEX(C_TIPO,MATCH(V2072&amp;"-P"&amp;MAX(1,COUNTIFS(C_RUTN,V2072,C_DEF,"Sí",C_INI,"&lt;="&amp;EOMONTH(B2072,0))),C_CLAVE,0))&amp;"","Sin contrato"))</f>
        <v/>
      </c>
      <c r="T2072" s="63" t="str">
        <f aca="false">IF(OR(B2072="",N(O2072)=0),"",N(O2072)+ROUND(MIN(N(N2072),TOPE_UF*UF_MES)*(TASA_EMP+MUTUAL),0)+ROUND(MIN(N(N2072),TOPE_AFC_UF*UF_MES)*IF(S2072="Indefinido",AFC_INDEF,AFC_PF),0))</f>
        <v/>
      </c>
      <c r="U2072" s="62" t="str">
        <f aca="false">IF(C2072="","",IF(LEFT(D2072,1)="⚠","⚠ RUT no registrado en Trabajadores",IF(B2072="","⚠ Falta el mes",IF(OR(ISTEXT(I2072),ISTEXT(J2072)),"⚠ Atrasos u horas extra como texto: escriba hh:mm (ej. 1:30)",IF(AND(ISNUMBER(Q2072),COUNTIFS(M_RUTN,V2072,M_MES,B2072,M_LIQ,"&lt;&gt;")&gt;1),"⚠ Liquidación repetida en el mes",IF(AND(ISNUMBER(O2072),ISNUMBER(P2072),ISNUMBER(Q2072),ABS(O2072-P2072-Q2072)&gt;1),"⚠ Haberes − descuentos no da el líquido","OK"))))))</f>
        <v/>
      </c>
      <c r="V2072" s="62" t="str">
        <f aca="false">IF(C2072="","",IFERROR(VALUE(LEFT(UPPER(SUBSTITUTE(SUBSTITUTE(SUBSTITUTE(TRIM(C2072),".",""),"-","")," ","")),LEN(UPPER(SUBSTITUTE(SUBSTITUTE(SUBSTITUTE(TRIM(C2072),".",""),"-","")," ","")))-1))&amp;RIGHT(UPPER(SUBSTITUTE(SUBSTITUTE(SUBSTITUTE(TRIM(C2072),".",""),"-","")," ","")),1),UPPER(SUBSTITUTE(SUBSTITUTE(SUBSTITUTE(TRIM(C2072),".",""),"-","")," ",""))))</f>
        <v/>
      </c>
    </row>
    <row r="2073" customFormat="false" ht="15" hidden="false" customHeight="false" outlineLevel="0" collapsed="false">
      <c r="B2073" s="80"/>
      <c r="C2073" s="58"/>
      <c r="D2073" s="62" t="str">
        <f aca="false">IF(C2073="","",IFERROR(INDEX(T_NOMBRE,MATCH(V2073,T_RUTN,0)),"⚠ RUT no está en Trabajadores"))</f>
        <v/>
      </c>
      <c r="E2073" s="61"/>
      <c r="F2073" s="61"/>
      <c r="G2073" s="61"/>
      <c r="H2073" s="61"/>
      <c r="I2073" s="81"/>
      <c r="J2073" s="81"/>
      <c r="K2073" s="60"/>
      <c r="L2073" s="60"/>
      <c r="M2073" s="60"/>
      <c r="N2073" s="60"/>
      <c r="O2073" s="60"/>
      <c r="P2073" s="60"/>
      <c r="Q2073" s="60"/>
      <c r="R2073" s="58"/>
      <c r="S2073" s="62" t="str">
        <f aca="false">IF(OR(B2073="",V2073=""),"",IFERROR(INDEX(C_TIPO,MATCH(V2073&amp;"-P"&amp;MAX(1,COUNTIFS(C_RUTN,V2073,C_DEF,"Sí",C_INI,"&lt;="&amp;EOMONTH(B2073,0))),C_CLAVE,0))&amp;"","Sin contrato"))</f>
        <v/>
      </c>
      <c r="T2073" s="63" t="str">
        <f aca="false">IF(OR(B2073="",N(O2073)=0),"",N(O2073)+ROUND(MIN(N(N2073),TOPE_UF*UF_MES)*(TASA_EMP+MUTUAL),0)+ROUND(MIN(N(N2073),TOPE_AFC_UF*UF_MES)*IF(S2073="Indefinido",AFC_INDEF,AFC_PF),0))</f>
        <v/>
      </c>
      <c r="U2073" s="62" t="str">
        <f aca="false">IF(C2073="","",IF(LEFT(D2073,1)="⚠","⚠ RUT no registrado en Trabajadores",IF(B2073="","⚠ Falta el mes",IF(OR(ISTEXT(I2073),ISTEXT(J2073)),"⚠ Atrasos u horas extra como texto: escriba hh:mm (ej. 1:30)",IF(AND(ISNUMBER(Q2073),COUNTIFS(M_RUTN,V2073,M_MES,B2073,M_LIQ,"&lt;&gt;")&gt;1),"⚠ Liquidación repetida en el mes",IF(AND(ISNUMBER(O2073),ISNUMBER(P2073),ISNUMBER(Q2073),ABS(O2073-P2073-Q2073)&gt;1),"⚠ Haberes − descuentos no da el líquido","OK"))))))</f>
        <v/>
      </c>
      <c r="V2073" s="62" t="str">
        <f aca="false">IF(C2073="","",IFERROR(VALUE(LEFT(UPPER(SUBSTITUTE(SUBSTITUTE(SUBSTITUTE(TRIM(C2073),".",""),"-","")," ","")),LEN(UPPER(SUBSTITUTE(SUBSTITUTE(SUBSTITUTE(TRIM(C2073),".",""),"-","")," ","")))-1))&amp;RIGHT(UPPER(SUBSTITUTE(SUBSTITUTE(SUBSTITUTE(TRIM(C2073),".",""),"-","")," ","")),1),UPPER(SUBSTITUTE(SUBSTITUTE(SUBSTITUTE(TRIM(C2073),".",""),"-","")," ",""))))</f>
        <v/>
      </c>
    </row>
    <row r="2074" customFormat="false" ht="15" hidden="false" customHeight="false" outlineLevel="0" collapsed="false">
      <c r="B2074" s="80"/>
      <c r="C2074" s="58"/>
      <c r="D2074" s="62" t="str">
        <f aca="false">IF(C2074="","",IFERROR(INDEX(T_NOMBRE,MATCH(V2074,T_RUTN,0)),"⚠ RUT no está en Trabajadores"))</f>
        <v/>
      </c>
      <c r="E2074" s="61"/>
      <c r="F2074" s="61"/>
      <c r="G2074" s="61"/>
      <c r="H2074" s="61"/>
      <c r="I2074" s="81"/>
      <c r="J2074" s="81"/>
      <c r="K2074" s="60"/>
      <c r="L2074" s="60"/>
      <c r="M2074" s="60"/>
      <c r="N2074" s="60"/>
      <c r="O2074" s="60"/>
      <c r="P2074" s="60"/>
      <c r="Q2074" s="60"/>
      <c r="R2074" s="58"/>
      <c r="S2074" s="62" t="str">
        <f aca="false">IF(OR(B2074="",V2074=""),"",IFERROR(INDEX(C_TIPO,MATCH(V2074&amp;"-P"&amp;MAX(1,COUNTIFS(C_RUTN,V2074,C_DEF,"Sí",C_INI,"&lt;="&amp;EOMONTH(B2074,0))),C_CLAVE,0))&amp;"","Sin contrato"))</f>
        <v/>
      </c>
      <c r="T2074" s="63" t="str">
        <f aca="false">IF(OR(B2074="",N(O2074)=0),"",N(O2074)+ROUND(MIN(N(N2074),TOPE_UF*UF_MES)*(TASA_EMP+MUTUAL),0)+ROUND(MIN(N(N2074),TOPE_AFC_UF*UF_MES)*IF(S2074="Indefinido",AFC_INDEF,AFC_PF),0))</f>
        <v/>
      </c>
      <c r="U2074" s="62" t="str">
        <f aca="false">IF(C2074="","",IF(LEFT(D2074,1)="⚠","⚠ RUT no registrado en Trabajadores",IF(B2074="","⚠ Falta el mes",IF(OR(ISTEXT(I2074),ISTEXT(J2074)),"⚠ Atrasos u horas extra como texto: escriba hh:mm (ej. 1:30)",IF(AND(ISNUMBER(Q2074),COUNTIFS(M_RUTN,V2074,M_MES,B2074,M_LIQ,"&lt;&gt;")&gt;1),"⚠ Liquidación repetida en el mes",IF(AND(ISNUMBER(O2074),ISNUMBER(P2074),ISNUMBER(Q2074),ABS(O2074-P2074-Q2074)&gt;1),"⚠ Haberes − descuentos no da el líquido","OK"))))))</f>
        <v/>
      </c>
      <c r="V2074" s="62" t="str">
        <f aca="false">IF(C2074="","",IFERROR(VALUE(LEFT(UPPER(SUBSTITUTE(SUBSTITUTE(SUBSTITUTE(TRIM(C2074),".",""),"-","")," ","")),LEN(UPPER(SUBSTITUTE(SUBSTITUTE(SUBSTITUTE(TRIM(C2074),".",""),"-","")," ","")))-1))&amp;RIGHT(UPPER(SUBSTITUTE(SUBSTITUTE(SUBSTITUTE(TRIM(C2074),".",""),"-","")," ","")),1),UPPER(SUBSTITUTE(SUBSTITUTE(SUBSTITUTE(TRIM(C2074),".",""),"-","")," ",""))))</f>
        <v/>
      </c>
    </row>
    <row r="2075" customFormat="false" ht="15" hidden="false" customHeight="false" outlineLevel="0" collapsed="false">
      <c r="B2075" s="80"/>
      <c r="C2075" s="58"/>
      <c r="D2075" s="62" t="str">
        <f aca="false">IF(C2075="","",IFERROR(INDEX(T_NOMBRE,MATCH(V2075,T_RUTN,0)),"⚠ RUT no está en Trabajadores"))</f>
        <v/>
      </c>
      <c r="E2075" s="61"/>
      <c r="F2075" s="61"/>
      <c r="G2075" s="61"/>
      <c r="H2075" s="61"/>
      <c r="I2075" s="81"/>
      <c r="J2075" s="81"/>
      <c r="K2075" s="60"/>
      <c r="L2075" s="60"/>
      <c r="M2075" s="60"/>
      <c r="N2075" s="60"/>
      <c r="O2075" s="60"/>
      <c r="P2075" s="60"/>
      <c r="Q2075" s="60"/>
      <c r="R2075" s="58"/>
      <c r="S2075" s="62" t="str">
        <f aca="false">IF(OR(B2075="",V2075=""),"",IFERROR(INDEX(C_TIPO,MATCH(V2075&amp;"-P"&amp;MAX(1,COUNTIFS(C_RUTN,V2075,C_DEF,"Sí",C_INI,"&lt;="&amp;EOMONTH(B2075,0))),C_CLAVE,0))&amp;"","Sin contrato"))</f>
        <v/>
      </c>
      <c r="T2075" s="63" t="str">
        <f aca="false">IF(OR(B2075="",N(O2075)=0),"",N(O2075)+ROUND(MIN(N(N2075),TOPE_UF*UF_MES)*(TASA_EMP+MUTUAL),0)+ROUND(MIN(N(N2075),TOPE_AFC_UF*UF_MES)*IF(S2075="Indefinido",AFC_INDEF,AFC_PF),0))</f>
        <v/>
      </c>
      <c r="U2075" s="62" t="str">
        <f aca="false">IF(C2075="","",IF(LEFT(D2075,1)="⚠","⚠ RUT no registrado en Trabajadores",IF(B2075="","⚠ Falta el mes",IF(OR(ISTEXT(I2075),ISTEXT(J2075)),"⚠ Atrasos u horas extra como texto: escriba hh:mm (ej. 1:30)",IF(AND(ISNUMBER(Q2075),COUNTIFS(M_RUTN,V2075,M_MES,B2075,M_LIQ,"&lt;&gt;")&gt;1),"⚠ Liquidación repetida en el mes",IF(AND(ISNUMBER(O2075),ISNUMBER(P2075),ISNUMBER(Q2075),ABS(O2075-P2075-Q2075)&gt;1),"⚠ Haberes − descuentos no da el líquido","OK"))))))</f>
        <v/>
      </c>
      <c r="V2075" s="62" t="str">
        <f aca="false">IF(C2075="","",IFERROR(VALUE(LEFT(UPPER(SUBSTITUTE(SUBSTITUTE(SUBSTITUTE(TRIM(C2075),".",""),"-","")," ","")),LEN(UPPER(SUBSTITUTE(SUBSTITUTE(SUBSTITUTE(TRIM(C2075),".",""),"-","")," ","")))-1))&amp;RIGHT(UPPER(SUBSTITUTE(SUBSTITUTE(SUBSTITUTE(TRIM(C2075),".",""),"-","")," ","")),1),UPPER(SUBSTITUTE(SUBSTITUTE(SUBSTITUTE(TRIM(C2075),".",""),"-","")," ",""))))</f>
        <v/>
      </c>
    </row>
    <row r="2076" customFormat="false" ht="15" hidden="false" customHeight="false" outlineLevel="0" collapsed="false">
      <c r="B2076" s="80"/>
      <c r="C2076" s="58"/>
      <c r="D2076" s="62" t="str">
        <f aca="false">IF(C2076="","",IFERROR(INDEX(T_NOMBRE,MATCH(V2076,T_RUTN,0)),"⚠ RUT no está en Trabajadores"))</f>
        <v/>
      </c>
      <c r="E2076" s="61"/>
      <c r="F2076" s="61"/>
      <c r="G2076" s="61"/>
      <c r="H2076" s="61"/>
      <c r="I2076" s="81"/>
      <c r="J2076" s="81"/>
      <c r="K2076" s="60"/>
      <c r="L2076" s="60"/>
      <c r="M2076" s="60"/>
      <c r="N2076" s="60"/>
      <c r="O2076" s="60"/>
      <c r="P2076" s="60"/>
      <c r="Q2076" s="60"/>
      <c r="R2076" s="58"/>
      <c r="S2076" s="62" t="str">
        <f aca="false">IF(OR(B2076="",V2076=""),"",IFERROR(INDEX(C_TIPO,MATCH(V2076&amp;"-P"&amp;MAX(1,COUNTIFS(C_RUTN,V2076,C_DEF,"Sí",C_INI,"&lt;="&amp;EOMONTH(B2076,0))),C_CLAVE,0))&amp;"","Sin contrato"))</f>
        <v/>
      </c>
      <c r="T2076" s="63" t="str">
        <f aca="false">IF(OR(B2076="",N(O2076)=0),"",N(O2076)+ROUND(MIN(N(N2076),TOPE_UF*UF_MES)*(TASA_EMP+MUTUAL),0)+ROUND(MIN(N(N2076),TOPE_AFC_UF*UF_MES)*IF(S2076="Indefinido",AFC_INDEF,AFC_PF),0))</f>
        <v/>
      </c>
      <c r="U2076" s="62" t="str">
        <f aca="false">IF(C2076="","",IF(LEFT(D2076,1)="⚠","⚠ RUT no registrado en Trabajadores",IF(B2076="","⚠ Falta el mes",IF(OR(ISTEXT(I2076),ISTEXT(J2076)),"⚠ Atrasos u horas extra como texto: escriba hh:mm (ej. 1:30)",IF(AND(ISNUMBER(Q2076),COUNTIFS(M_RUTN,V2076,M_MES,B2076,M_LIQ,"&lt;&gt;")&gt;1),"⚠ Liquidación repetida en el mes",IF(AND(ISNUMBER(O2076),ISNUMBER(P2076),ISNUMBER(Q2076),ABS(O2076-P2076-Q2076)&gt;1),"⚠ Haberes − descuentos no da el líquido","OK"))))))</f>
        <v/>
      </c>
      <c r="V2076" s="62" t="str">
        <f aca="false">IF(C2076="","",IFERROR(VALUE(LEFT(UPPER(SUBSTITUTE(SUBSTITUTE(SUBSTITUTE(TRIM(C2076),".",""),"-","")," ","")),LEN(UPPER(SUBSTITUTE(SUBSTITUTE(SUBSTITUTE(TRIM(C2076),".",""),"-","")," ","")))-1))&amp;RIGHT(UPPER(SUBSTITUTE(SUBSTITUTE(SUBSTITUTE(TRIM(C2076),".",""),"-","")," ","")),1),UPPER(SUBSTITUTE(SUBSTITUTE(SUBSTITUTE(TRIM(C2076),".",""),"-","")," ",""))))</f>
        <v/>
      </c>
    </row>
    <row r="2077" customFormat="false" ht="15" hidden="false" customHeight="false" outlineLevel="0" collapsed="false">
      <c r="B2077" s="80"/>
      <c r="C2077" s="58"/>
      <c r="D2077" s="62" t="str">
        <f aca="false">IF(C2077="","",IFERROR(INDEX(T_NOMBRE,MATCH(V2077,T_RUTN,0)),"⚠ RUT no está en Trabajadores"))</f>
        <v/>
      </c>
      <c r="E2077" s="61"/>
      <c r="F2077" s="61"/>
      <c r="G2077" s="61"/>
      <c r="H2077" s="61"/>
      <c r="I2077" s="81"/>
      <c r="J2077" s="81"/>
      <c r="K2077" s="60"/>
      <c r="L2077" s="60"/>
      <c r="M2077" s="60"/>
      <c r="N2077" s="60"/>
      <c r="O2077" s="60"/>
      <c r="P2077" s="60"/>
      <c r="Q2077" s="60"/>
      <c r="R2077" s="58"/>
      <c r="S2077" s="62" t="str">
        <f aca="false">IF(OR(B2077="",V2077=""),"",IFERROR(INDEX(C_TIPO,MATCH(V2077&amp;"-P"&amp;MAX(1,COUNTIFS(C_RUTN,V2077,C_DEF,"Sí",C_INI,"&lt;="&amp;EOMONTH(B2077,0))),C_CLAVE,0))&amp;"","Sin contrato"))</f>
        <v/>
      </c>
      <c r="T2077" s="63" t="str">
        <f aca="false">IF(OR(B2077="",N(O2077)=0),"",N(O2077)+ROUND(MIN(N(N2077),TOPE_UF*UF_MES)*(TASA_EMP+MUTUAL),0)+ROUND(MIN(N(N2077),TOPE_AFC_UF*UF_MES)*IF(S2077="Indefinido",AFC_INDEF,AFC_PF),0))</f>
        <v/>
      </c>
      <c r="U2077" s="62" t="str">
        <f aca="false">IF(C2077="","",IF(LEFT(D2077,1)="⚠","⚠ RUT no registrado en Trabajadores",IF(B2077="","⚠ Falta el mes",IF(OR(ISTEXT(I2077),ISTEXT(J2077)),"⚠ Atrasos u horas extra como texto: escriba hh:mm (ej. 1:30)",IF(AND(ISNUMBER(Q2077),COUNTIFS(M_RUTN,V2077,M_MES,B2077,M_LIQ,"&lt;&gt;")&gt;1),"⚠ Liquidación repetida en el mes",IF(AND(ISNUMBER(O2077),ISNUMBER(P2077),ISNUMBER(Q2077),ABS(O2077-P2077-Q2077)&gt;1),"⚠ Haberes − descuentos no da el líquido","OK"))))))</f>
        <v/>
      </c>
      <c r="V2077" s="62" t="str">
        <f aca="false">IF(C2077="","",IFERROR(VALUE(LEFT(UPPER(SUBSTITUTE(SUBSTITUTE(SUBSTITUTE(TRIM(C2077),".",""),"-","")," ","")),LEN(UPPER(SUBSTITUTE(SUBSTITUTE(SUBSTITUTE(TRIM(C2077),".",""),"-","")," ","")))-1))&amp;RIGHT(UPPER(SUBSTITUTE(SUBSTITUTE(SUBSTITUTE(TRIM(C2077),".",""),"-","")," ","")),1),UPPER(SUBSTITUTE(SUBSTITUTE(SUBSTITUTE(TRIM(C2077),".",""),"-","")," ",""))))</f>
        <v/>
      </c>
    </row>
    <row r="2078" customFormat="false" ht="15" hidden="false" customHeight="false" outlineLevel="0" collapsed="false">
      <c r="B2078" s="80"/>
      <c r="C2078" s="58"/>
      <c r="D2078" s="62" t="str">
        <f aca="false">IF(C2078="","",IFERROR(INDEX(T_NOMBRE,MATCH(V2078,T_RUTN,0)),"⚠ RUT no está en Trabajadores"))</f>
        <v/>
      </c>
      <c r="E2078" s="61"/>
      <c r="F2078" s="61"/>
      <c r="G2078" s="61"/>
      <c r="H2078" s="61"/>
      <c r="I2078" s="81"/>
      <c r="J2078" s="81"/>
      <c r="K2078" s="60"/>
      <c r="L2078" s="60"/>
      <c r="M2078" s="60"/>
      <c r="N2078" s="60"/>
      <c r="O2078" s="60"/>
      <c r="P2078" s="60"/>
      <c r="Q2078" s="60"/>
      <c r="R2078" s="58"/>
      <c r="S2078" s="62" t="str">
        <f aca="false">IF(OR(B2078="",V2078=""),"",IFERROR(INDEX(C_TIPO,MATCH(V2078&amp;"-P"&amp;MAX(1,COUNTIFS(C_RUTN,V2078,C_DEF,"Sí",C_INI,"&lt;="&amp;EOMONTH(B2078,0))),C_CLAVE,0))&amp;"","Sin contrato"))</f>
        <v/>
      </c>
      <c r="T2078" s="63" t="str">
        <f aca="false">IF(OR(B2078="",N(O2078)=0),"",N(O2078)+ROUND(MIN(N(N2078),TOPE_UF*UF_MES)*(TASA_EMP+MUTUAL),0)+ROUND(MIN(N(N2078),TOPE_AFC_UF*UF_MES)*IF(S2078="Indefinido",AFC_INDEF,AFC_PF),0))</f>
        <v/>
      </c>
      <c r="U2078" s="62" t="str">
        <f aca="false">IF(C2078="","",IF(LEFT(D2078,1)="⚠","⚠ RUT no registrado en Trabajadores",IF(B2078="","⚠ Falta el mes",IF(OR(ISTEXT(I2078),ISTEXT(J2078)),"⚠ Atrasos u horas extra como texto: escriba hh:mm (ej. 1:30)",IF(AND(ISNUMBER(Q2078),COUNTIFS(M_RUTN,V2078,M_MES,B2078,M_LIQ,"&lt;&gt;")&gt;1),"⚠ Liquidación repetida en el mes",IF(AND(ISNUMBER(O2078),ISNUMBER(P2078),ISNUMBER(Q2078),ABS(O2078-P2078-Q2078)&gt;1),"⚠ Haberes − descuentos no da el líquido","OK"))))))</f>
        <v/>
      </c>
      <c r="V2078" s="62" t="str">
        <f aca="false">IF(C2078="","",IFERROR(VALUE(LEFT(UPPER(SUBSTITUTE(SUBSTITUTE(SUBSTITUTE(TRIM(C2078),".",""),"-","")," ","")),LEN(UPPER(SUBSTITUTE(SUBSTITUTE(SUBSTITUTE(TRIM(C2078),".",""),"-","")," ","")))-1))&amp;RIGHT(UPPER(SUBSTITUTE(SUBSTITUTE(SUBSTITUTE(TRIM(C2078),".",""),"-","")," ","")),1),UPPER(SUBSTITUTE(SUBSTITUTE(SUBSTITUTE(TRIM(C2078),".",""),"-","")," ",""))))</f>
        <v/>
      </c>
    </row>
    <row r="2079" customFormat="false" ht="15" hidden="false" customHeight="false" outlineLevel="0" collapsed="false">
      <c r="B2079" s="80"/>
      <c r="C2079" s="58"/>
      <c r="D2079" s="62" t="str">
        <f aca="false">IF(C2079="","",IFERROR(INDEX(T_NOMBRE,MATCH(V2079,T_RUTN,0)),"⚠ RUT no está en Trabajadores"))</f>
        <v/>
      </c>
      <c r="E2079" s="61"/>
      <c r="F2079" s="61"/>
      <c r="G2079" s="61"/>
      <c r="H2079" s="61"/>
      <c r="I2079" s="81"/>
      <c r="J2079" s="81"/>
      <c r="K2079" s="60"/>
      <c r="L2079" s="60"/>
      <c r="M2079" s="60"/>
      <c r="N2079" s="60"/>
      <c r="O2079" s="60"/>
      <c r="P2079" s="60"/>
      <c r="Q2079" s="60"/>
      <c r="R2079" s="58"/>
      <c r="S2079" s="62" t="str">
        <f aca="false">IF(OR(B2079="",V2079=""),"",IFERROR(INDEX(C_TIPO,MATCH(V2079&amp;"-P"&amp;MAX(1,COUNTIFS(C_RUTN,V2079,C_DEF,"Sí",C_INI,"&lt;="&amp;EOMONTH(B2079,0))),C_CLAVE,0))&amp;"","Sin contrato"))</f>
        <v/>
      </c>
      <c r="T2079" s="63" t="str">
        <f aca="false">IF(OR(B2079="",N(O2079)=0),"",N(O2079)+ROUND(MIN(N(N2079),TOPE_UF*UF_MES)*(TASA_EMP+MUTUAL),0)+ROUND(MIN(N(N2079),TOPE_AFC_UF*UF_MES)*IF(S2079="Indefinido",AFC_INDEF,AFC_PF),0))</f>
        <v/>
      </c>
      <c r="U2079" s="62" t="str">
        <f aca="false">IF(C2079="","",IF(LEFT(D2079,1)="⚠","⚠ RUT no registrado en Trabajadores",IF(B2079="","⚠ Falta el mes",IF(OR(ISTEXT(I2079),ISTEXT(J2079)),"⚠ Atrasos u horas extra como texto: escriba hh:mm (ej. 1:30)",IF(AND(ISNUMBER(Q2079),COUNTIFS(M_RUTN,V2079,M_MES,B2079,M_LIQ,"&lt;&gt;")&gt;1),"⚠ Liquidación repetida en el mes",IF(AND(ISNUMBER(O2079),ISNUMBER(P2079),ISNUMBER(Q2079),ABS(O2079-P2079-Q2079)&gt;1),"⚠ Haberes − descuentos no da el líquido","OK"))))))</f>
        <v/>
      </c>
      <c r="V2079" s="62" t="str">
        <f aca="false">IF(C2079="","",IFERROR(VALUE(LEFT(UPPER(SUBSTITUTE(SUBSTITUTE(SUBSTITUTE(TRIM(C2079),".",""),"-","")," ","")),LEN(UPPER(SUBSTITUTE(SUBSTITUTE(SUBSTITUTE(TRIM(C2079),".",""),"-","")," ","")))-1))&amp;RIGHT(UPPER(SUBSTITUTE(SUBSTITUTE(SUBSTITUTE(TRIM(C2079),".",""),"-","")," ","")),1),UPPER(SUBSTITUTE(SUBSTITUTE(SUBSTITUTE(TRIM(C2079),".",""),"-","")," ",""))))</f>
        <v/>
      </c>
    </row>
    <row r="2080" customFormat="false" ht="15" hidden="false" customHeight="false" outlineLevel="0" collapsed="false">
      <c r="B2080" s="80"/>
      <c r="C2080" s="58"/>
      <c r="D2080" s="62" t="str">
        <f aca="false">IF(C2080="","",IFERROR(INDEX(T_NOMBRE,MATCH(V2080,T_RUTN,0)),"⚠ RUT no está en Trabajadores"))</f>
        <v/>
      </c>
      <c r="E2080" s="61"/>
      <c r="F2080" s="61"/>
      <c r="G2080" s="61"/>
      <c r="H2080" s="61"/>
      <c r="I2080" s="81"/>
      <c r="J2080" s="81"/>
      <c r="K2080" s="60"/>
      <c r="L2080" s="60"/>
      <c r="M2080" s="60"/>
      <c r="N2080" s="60"/>
      <c r="O2080" s="60"/>
      <c r="P2080" s="60"/>
      <c r="Q2080" s="60"/>
      <c r="R2080" s="58"/>
      <c r="S2080" s="62" t="str">
        <f aca="false">IF(OR(B2080="",V2080=""),"",IFERROR(INDEX(C_TIPO,MATCH(V2080&amp;"-P"&amp;MAX(1,COUNTIFS(C_RUTN,V2080,C_DEF,"Sí",C_INI,"&lt;="&amp;EOMONTH(B2080,0))),C_CLAVE,0))&amp;"","Sin contrato"))</f>
        <v/>
      </c>
      <c r="T2080" s="63" t="str">
        <f aca="false">IF(OR(B2080="",N(O2080)=0),"",N(O2080)+ROUND(MIN(N(N2080),TOPE_UF*UF_MES)*(TASA_EMP+MUTUAL),0)+ROUND(MIN(N(N2080),TOPE_AFC_UF*UF_MES)*IF(S2080="Indefinido",AFC_INDEF,AFC_PF),0))</f>
        <v/>
      </c>
      <c r="U2080" s="62" t="str">
        <f aca="false">IF(C2080="","",IF(LEFT(D2080,1)="⚠","⚠ RUT no registrado en Trabajadores",IF(B2080="","⚠ Falta el mes",IF(OR(ISTEXT(I2080),ISTEXT(J2080)),"⚠ Atrasos u horas extra como texto: escriba hh:mm (ej. 1:30)",IF(AND(ISNUMBER(Q2080),COUNTIFS(M_RUTN,V2080,M_MES,B2080,M_LIQ,"&lt;&gt;")&gt;1),"⚠ Liquidación repetida en el mes",IF(AND(ISNUMBER(O2080),ISNUMBER(P2080),ISNUMBER(Q2080),ABS(O2080-P2080-Q2080)&gt;1),"⚠ Haberes − descuentos no da el líquido","OK"))))))</f>
        <v/>
      </c>
      <c r="V2080" s="62" t="str">
        <f aca="false">IF(C2080="","",IFERROR(VALUE(LEFT(UPPER(SUBSTITUTE(SUBSTITUTE(SUBSTITUTE(TRIM(C2080),".",""),"-","")," ","")),LEN(UPPER(SUBSTITUTE(SUBSTITUTE(SUBSTITUTE(TRIM(C2080),".",""),"-","")," ","")))-1))&amp;RIGHT(UPPER(SUBSTITUTE(SUBSTITUTE(SUBSTITUTE(TRIM(C2080),".",""),"-","")," ","")),1),UPPER(SUBSTITUTE(SUBSTITUTE(SUBSTITUTE(TRIM(C2080),".",""),"-","")," ",""))))</f>
        <v/>
      </c>
    </row>
    <row r="2081" customFormat="false" ht="15" hidden="false" customHeight="false" outlineLevel="0" collapsed="false">
      <c r="B2081" s="80"/>
      <c r="C2081" s="58"/>
      <c r="D2081" s="62" t="str">
        <f aca="false">IF(C2081="","",IFERROR(INDEX(T_NOMBRE,MATCH(V2081,T_RUTN,0)),"⚠ RUT no está en Trabajadores"))</f>
        <v/>
      </c>
      <c r="E2081" s="61"/>
      <c r="F2081" s="61"/>
      <c r="G2081" s="61"/>
      <c r="H2081" s="61"/>
      <c r="I2081" s="81"/>
      <c r="J2081" s="81"/>
      <c r="K2081" s="60"/>
      <c r="L2081" s="60"/>
      <c r="M2081" s="60"/>
      <c r="N2081" s="60"/>
      <c r="O2081" s="60"/>
      <c r="P2081" s="60"/>
      <c r="Q2081" s="60"/>
      <c r="R2081" s="58"/>
      <c r="S2081" s="62" t="str">
        <f aca="false">IF(OR(B2081="",V2081=""),"",IFERROR(INDEX(C_TIPO,MATCH(V2081&amp;"-P"&amp;MAX(1,COUNTIFS(C_RUTN,V2081,C_DEF,"Sí",C_INI,"&lt;="&amp;EOMONTH(B2081,0))),C_CLAVE,0))&amp;"","Sin contrato"))</f>
        <v/>
      </c>
      <c r="T2081" s="63" t="str">
        <f aca="false">IF(OR(B2081="",N(O2081)=0),"",N(O2081)+ROUND(MIN(N(N2081),TOPE_UF*UF_MES)*(TASA_EMP+MUTUAL),0)+ROUND(MIN(N(N2081),TOPE_AFC_UF*UF_MES)*IF(S2081="Indefinido",AFC_INDEF,AFC_PF),0))</f>
        <v/>
      </c>
      <c r="U2081" s="62" t="str">
        <f aca="false">IF(C2081="","",IF(LEFT(D2081,1)="⚠","⚠ RUT no registrado en Trabajadores",IF(B2081="","⚠ Falta el mes",IF(OR(ISTEXT(I2081),ISTEXT(J2081)),"⚠ Atrasos u horas extra como texto: escriba hh:mm (ej. 1:30)",IF(AND(ISNUMBER(Q2081),COUNTIFS(M_RUTN,V2081,M_MES,B2081,M_LIQ,"&lt;&gt;")&gt;1),"⚠ Liquidación repetida en el mes",IF(AND(ISNUMBER(O2081),ISNUMBER(P2081),ISNUMBER(Q2081),ABS(O2081-P2081-Q2081)&gt;1),"⚠ Haberes − descuentos no da el líquido","OK"))))))</f>
        <v/>
      </c>
      <c r="V2081" s="62" t="str">
        <f aca="false">IF(C2081="","",IFERROR(VALUE(LEFT(UPPER(SUBSTITUTE(SUBSTITUTE(SUBSTITUTE(TRIM(C2081),".",""),"-","")," ","")),LEN(UPPER(SUBSTITUTE(SUBSTITUTE(SUBSTITUTE(TRIM(C2081),".",""),"-","")," ","")))-1))&amp;RIGHT(UPPER(SUBSTITUTE(SUBSTITUTE(SUBSTITUTE(TRIM(C2081),".",""),"-","")," ","")),1),UPPER(SUBSTITUTE(SUBSTITUTE(SUBSTITUTE(TRIM(C2081),".",""),"-","")," ",""))))</f>
        <v/>
      </c>
    </row>
    <row r="2082" customFormat="false" ht="15" hidden="false" customHeight="false" outlineLevel="0" collapsed="false">
      <c r="B2082" s="80"/>
      <c r="C2082" s="58"/>
      <c r="D2082" s="62" t="str">
        <f aca="false">IF(C2082="","",IFERROR(INDEX(T_NOMBRE,MATCH(V2082,T_RUTN,0)),"⚠ RUT no está en Trabajadores"))</f>
        <v/>
      </c>
      <c r="E2082" s="61"/>
      <c r="F2082" s="61"/>
      <c r="G2082" s="61"/>
      <c r="H2082" s="61"/>
      <c r="I2082" s="81"/>
      <c r="J2082" s="81"/>
      <c r="K2082" s="60"/>
      <c r="L2082" s="60"/>
      <c r="M2082" s="60"/>
      <c r="N2082" s="60"/>
      <c r="O2082" s="60"/>
      <c r="P2082" s="60"/>
      <c r="Q2082" s="60"/>
      <c r="R2082" s="58"/>
      <c r="S2082" s="62" t="str">
        <f aca="false">IF(OR(B2082="",V2082=""),"",IFERROR(INDEX(C_TIPO,MATCH(V2082&amp;"-P"&amp;MAX(1,COUNTIFS(C_RUTN,V2082,C_DEF,"Sí",C_INI,"&lt;="&amp;EOMONTH(B2082,0))),C_CLAVE,0))&amp;"","Sin contrato"))</f>
        <v/>
      </c>
      <c r="T2082" s="63" t="str">
        <f aca="false">IF(OR(B2082="",N(O2082)=0),"",N(O2082)+ROUND(MIN(N(N2082),TOPE_UF*UF_MES)*(TASA_EMP+MUTUAL),0)+ROUND(MIN(N(N2082),TOPE_AFC_UF*UF_MES)*IF(S2082="Indefinido",AFC_INDEF,AFC_PF),0))</f>
        <v/>
      </c>
      <c r="U2082" s="62" t="str">
        <f aca="false">IF(C2082="","",IF(LEFT(D2082,1)="⚠","⚠ RUT no registrado en Trabajadores",IF(B2082="","⚠ Falta el mes",IF(OR(ISTEXT(I2082),ISTEXT(J2082)),"⚠ Atrasos u horas extra como texto: escriba hh:mm (ej. 1:30)",IF(AND(ISNUMBER(Q2082),COUNTIFS(M_RUTN,V2082,M_MES,B2082,M_LIQ,"&lt;&gt;")&gt;1),"⚠ Liquidación repetida en el mes",IF(AND(ISNUMBER(O2082),ISNUMBER(P2082),ISNUMBER(Q2082),ABS(O2082-P2082-Q2082)&gt;1),"⚠ Haberes − descuentos no da el líquido","OK"))))))</f>
        <v/>
      </c>
      <c r="V2082" s="62" t="str">
        <f aca="false">IF(C2082="","",IFERROR(VALUE(LEFT(UPPER(SUBSTITUTE(SUBSTITUTE(SUBSTITUTE(TRIM(C2082),".",""),"-","")," ","")),LEN(UPPER(SUBSTITUTE(SUBSTITUTE(SUBSTITUTE(TRIM(C2082),".",""),"-","")," ","")))-1))&amp;RIGHT(UPPER(SUBSTITUTE(SUBSTITUTE(SUBSTITUTE(TRIM(C2082),".",""),"-","")," ","")),1),UPPER(SUBSTITUTE(SUBSTITUTE(SUBSTITUTE(TRIM(C2082),".",""),"-","")," ",""))))</f>
        <v/>
      </c>
    </row>
    <row r="2083" customFormat="false" ht="15" hidden="false" customHeight="false" outlineLevel="0" collapsed="false">
      <c r="B2083" s="80"/>
      <c r="C2083" s="58"/>
      <c r="D2083" s="62" t="str">
        <f aca="false">IF(C2083="","",IFERROR(INDEX(T_NOMBRE,MATCH(V2083,T_RUTN,0)),"⚠ RUT no está en Trabajadores"))</f>
        <v/>
      </c>
      <c r="E2083" s="61"/>
      <c r="F2083" s="61"/>
      <c r="G2083" s="61"/>
      <c r="H2083" s="61"/>
      <c r="I2083" s="81"/>
      <c r="J2083" s="81"/>
      <c r="K2083" s="60"/>
      <c r="L2083" s="60"/>
      <c r="M2083" s="60"/>
      <c r="N2083" s="60"/>
      <c r="O2083" s="60"/>
      <c r="P2083" s="60"/>
      <c r="Q2083" s="60"/>
      <c r="R2083" s="58"/>
      <c r="S2083" s="62" t="str">
        <f aca="false">IF(OR(B2083="",V2083=""),"",IFERROR(INDEX(C_TIPO,MATCH(V2083&amp;"-P"&amp;MAX(1,COUNTIFS(C_RUTN,V2083,C_DEF,"Sí",C_INI,"&lt;="&amp;EOMONTH(B2083,0))),C_CLAVE,0))&amp;"","Sin contrato"))</f>
        <v/>
      </c>
      <c r="T2083" s="63" t="str">
        <f aca="false">IF(OR(B2083="",N(O2083)=0),"",N(O2083)+ROUND(MIN(N(N2083),TOPE_UF*UF_MES)*(TASA_EMP+MUTUAL),0)+ROUND(MIN(N(N2083),TOPE_AFC_UF*UF_MES)*IF(S2083="Indefinido",AFC_INDEF,AFC_PF),0))</f>
        <v/>
      </c>
      <c r="U2083" s="62" t="str">
        <f aca="false">IF(C2083="","",IF(LEFT(D2083,1)="⚠","⚠ RUT no registrado en Trabajadores",IF(B2083="","⚠ Falta el mes",IF(OR(ISTEXT(I2083),ISTEXT(J2083)),"⚠ Atrasos u horas extra como texto: escriba hh:mm (ej. 1:30)",IF(AND(ISNUMBER(Q2083),COUNTIFS(M_RUTN,V2083,M_MES,B2083,M_LIQ,"&lt;&gt;")&gt;1),"⚠ Liquidación repetida en el mes",IF(AND(ISNUMBER(O2083),ISNUMBER(P2083),ISNUMBER(Q2083),ABS(O2083-P2083-Q2083)&gt;1),"⚠ Haberes − descuentos no da el líquido","OK"))))))</f>
        <v/>
      </c>
      <c r="V2083" s="62" t="str">
        <f aca="false">IF(C2083="","",IFERROR(VALUE(LEFT(UPPER(SUBSTITUTE(SUBSTITUTE(SUBSTITUTE(TRIM(C2083),".",""),"-","")," ","")),LEN(UPPER(SUBSTITUTE(SUBSTITUTE(SUBSTITUTE(TRIM(C2083),".",""),"-","")," ","")))-1))&amp;RIGHT(UPPER(SUBSTITUTE(SUBSTITUTE(SUBSTITUTE(TRIM(C2083),".",""),"-","")," ","")),1),UPPER(SUBSTITUTE(SUBSTITUTE(SUBSTITUTE(TRIM(C2083),".",""),"-","")," ",""))))</f>
        <v/>
      </c>
    </row>
    <row r="2084" customFormat="false" ht="15" hidden="false" customHeight="false" outlineLevel="0" collapsed="false">
      <c r="B2084" s="80"/>
      <c r="C2084" s="58"/>
      <c r="D2084" s="62" t="str">
        <f aca="false">IF(C2084="","",IFERROR(INDEX(T_NOMBRE,MATCH(V2084,T_RUTN,0)),"⚠ RUT no está en Trabajadores"))</f>
        <v/>
      </c>
      <c r="E2084" s="61"/>
      <c r="F2084" s="61"/>
      <c r="G2084" s="61"/>
      <c r="H2084" s="61"/>
      <c r="I2084" s="81"/>
      <c r="J2084" s="81"/>
      <c r="K2084" s="60"/>
      <c r="L2084" s="60"/>
      <c r="M2084" s="60"/>
      <c r="N2084" s="60"/>
      <c r="O2084" s="60"/>
      <c r="P2084" s="60"/>
      <c r="Q2084" s="60"/>
      <c r="R2084" s="58"/>
      <c r="S2084" s="62" t="str">
        <f aca="false">IF(OR(B2084="",V2084=""),"",IFERROR(INDEX(C_TIPO,MATCH(V2084&amp;"-P"&amp;MAX(1,COUNTIFS(C_RUTN,V2084,C_DEF,"Sí",C_INI,"&lt;="&amp;EOMONTH(B2084,0))),C_CLAVE,0))&amp;"","Sin contrato"))</f>
        <v/>
      </c>
      <c r="T2084" s="63" t="str">
        <f aca="false">IF(OR(B2084="",N(O2084)=0),"",N(O2084)+ROUND(MIN(N(N2084),TOPE_UF*UF_MES)*(TASA_EMP+MUTUAL),0)+ROUND(MIN(N(N2084),TOPE_AFC_UF*UF_MES)*IF(S2084="Indefinido",AFC_INDEF,AFC_PF),0))</f>
        <v/>
      </c>
      <c r="U2084" s="62" t="str">
        <f aca="false">IF(C2084="","",IF(LEFT(D2084,1)="⚠","⚠ RUT no registrado en Trabajadores",IF(B2084="","⚠ Falta el mes",IF(OR(ISTEXT(I2084),ISTEXT(J2084)),"⚠ Atrasos u horas extra como texto: escriba hh:mm (ej. 1:30)",IF(AND(ISNUMBER(Q2084),COUNTIFS(M_RUTN,V2084,M_MES,B2084,M_LIQ,"&lt;&gt;")&gt;1),"⚠ Liquidación repetida en el mes",IF(AND(ISNUMBER(O2084),ISNUMBER(P2084),ISNUMBER(Q2084),ABS(O2084-P2084-Q2084)&gt;1),"⚠ Haberes − descuentos no da el líquido","OK"))))))</f>
        <v/>
      </c>
      <c r="V2084" s="62" t="str">
        <f aca="false">IF(C2084="","",IFERROR(VALUE(LEFT(UPPER(SUBSTITUTE(SUBSTITUTE(SUBSTITUTE(TRIM(C2084),".",""),"-","")," ","")),LEN(UPPER(SUBSTITUTE(SUBSTITUTE(SUBSTITUTE(TRIM(C2084),".",""),"-","")," ","")))-1))&amp;RIGHT(UPPER(SUBSTITUTE(SUBSTITUTE(SUBSTITUTE(TRIM(C2084),".",""),"-","")," ","")),1),UPPER(SUBSTITUTE(SUBSTITUTE(SUBSTITUTE(TRIM(C2084),".",""),"-","")," ",""))))</f>
        <v/>
      </c>
    </row>
    <row r="2085" customFormat="false" ht="15" hidden="false" customHeight="false" outlineLevel="0" collapsed="false">
      <c r="B2085" s="80"/>
      <c r="C2085" s="58"/>
      <c r="D2085" s="62" t="str">
        <f aca="false">IF(C2085="","",IFERROR(INDEX(T_NOMBRE,MATCH(V2085,T_RUTN,0)),"⚠ RUT no está en Trabajadores"))</f>
        <v/>
      </c>
      <c r="E2085" s="61"/>
      <c r="F2085" s="61"/>
      <c r="G2085" s="61"/>
      <c r="H2085" s="61"/>
      <c r="I2085" s="81"/>
      <c r="J2085" s="81"/>
      <c r="K2085" s="60"/>
      <c r="L2085" s="60"/>
      <c r="M2085" s="60"/>
      <c r="N2085" s="60"/>
      <c r="O2085" s="60"/>
      <c r="P2085" s="60"/>
      <c r="Q2085" s="60"/>
      <c r="R2085" s="58"/>
      <c r="S2085" s="62" t="str">
        <f aca="false">IF(OR(B2085="",V2085=""),"",IFERROR(INDEX(C_TIPO,MATCH(V2085&amp;"-P"&amp;MAX(1,COUNTIFS(C_RUTN,V2085,C_DEF,"Sí",C_INI,"&lt;="&amp;EOMONTH(B2085,0))),C_CLAVE,0))&amp;"","Sin contrato"))</f>
        <v/>
      </c>
      <c r="T2085" s="63" t="str">
        <f aca="false">IF(OR(B2085="",N(O2085)=0),"",N(O2085)+ROUND(MIN(N(N2085),TOPE_UF*UF_MES)*(TASA_EMP+MUTUAL),0)+ROUND(MIN(N(N2085),TOPE_AFC_UF*UF_MES)*IF(S2085="Indefinido",AFC_INDEF,AFC_PF),0))</f>
        <v/>
      </c>
      <c r="U2085" s="62" t="str">
        <f aca="false">IF(C2085="","",IF(LEFT(D2085,1)="⚠","⚠ RUT no registrado en Trabajadores",IF(B2085="","⚠ Falta el mes",IF(OR(ISTEXT(I2085),ISTEXT(J2085)),"⚠ Atrasos u horas extra como texto: escriba hh:mm (ej. 1:30)",IF(AND(ISNUMBER(Q2085),COUNTIFS(M_RUTN,V2085,M_MES,B2085,M_LIQ,"&lt;&gt;")&gt;1),"⚠ Liquidación repetida en el mes",IF(AND(ISNUMBER(O2085),ISNUMBER(P2085),ISNUMBER(Q2085),ABS(O2085-P2085-Q2085)&gt;1),"⚠ Haberes − descuentos no da el líquido","OK"))))))</f>
        <v/>
      </c>
      <c r="V2085" s="62" t="str">
        <f aca="false">IF(C2085="","",IFERROR(VALUE(LEFT(UPPER(SUBSTITUTE(SUBSTITUTE(SUBSTITUTE(TRIM(C2085),".",""),"-","")," ","")),LEN(UPPER(SUBSTITUTE(SUBSTITUTE(SUBSTITUTE(TRIM(C2085),".",""),"-","")," ","")))-1))&amp;RIGHT(UPPER(SUBSTITUTE(SUBSTITUTE(SUBSTITUTE(TRIM(C2085),".",""),"-","")," ","")),1),UPPER(SUBSTITUTE(SUBSTITUTE(SUBSTITUTE(TRIM(C2085),".",""),"-","")," ",""))))</f>
        <v/>
      </c>
    </row>
    <row r="2086" customFormat="false" ht="15" hidden="false" customHeight="false" outlineLevel="0" collapsed="false">
      <c r="B2086" s="80"/>
      <c r="C2086" s="58"/>
      <c r="D2086" s="62" t="str">
        <f aca="false">IF(C2086="","",IFERROR(INDEX(T_NOMBRE,MATCH(V2086,T_RUTN,0)),"⚠ RUT no está en Trabajadores"))</f>
        <v/>
      </c>
      <c r="E2086" s="61"/>
      <c r="F2086" s="61"/>
      <c r="G2086" s="61"/>
      <c r="H2086" s="61"/>
      <c r="I2086" s="81"/>
      <c r="J2086" s="81"/>
      <c r="K2086" s="60"/>
      <c r="L2086" s="60"/>
      <c r="M2086" s="60"/>
      <c r="N2086" s="60"/>
      <c r="O2086" s="60"/>
      <c r="P2086" s="60"/>
      <c r="Q2086" s="60"/>
      <c r="R2086" s="58"/>
      <c r="S2086" s="62" t="str">
        <f aca="false">IF(OR(B2086="",V2086=""),"",IFERROR(INDEX(C_TIPO,MATCH(V2086&amp;"-P"&amp;MAX(1,COUNTIFS(C_RUTN,V2086,C_DEF,"Sí",C_INI,"&lt;="&amp;EOMONTH(B2086,0))),C_CLAVE,0))&amp;"","Sin contrato"))</f>
        <v/>
      </c>
      <c r="T2086" s="63" t="str">
        <f aca="false">IF(OR(B2086="",N(O2086)=0),"",N(O2086)+ROUND(MIN(N(N2086),TOPE_UF*UF_MES)*(TASA_EMP+MUTUAL),0)+ROUND(MIN(N(N2086),TOPE_AFC_UF*UF_MES)*IF(S2086="Indefinido",AFC_INDEF,AFC_PF),0))</f>
        <v/>
      </c>
      <c r="U2086" s="62" t="str">
        <f aca="false">IF(C2086="","",IF(LEFT(D2086,1)="⚠","⚠ RUT no registrado en Trabajadores",IF(B2086="","⚠ Falta el mes",IF(OR(ISTEXT(I2086),ISTEXT(J2086)),"⚠ Atrasos u horas extra como texto: escriba hh:mm (ej. 1:30)",IF(AND(ISNUMBER(Q2086),COUNTIFS(M_RUTN,V2086,M_MES,B2086,M_LIQ,"&lt;&gt;")&gt;1),"⚠ Liquidación repetida en el mes",IF(AND(ISNUMBER(O2086),ISNUMBER(P2086),ISNUMBER(Q2086),ABS(O2086-P2086-Q2086)&gt;1),"⚠ Haberes − descuentos no da el líquido","OK"))))))</f>
        <v/>
      </c>
      <c r="V2086" s="62" t="str">
        <f aca="false">IF(C2086="","",IFERROR(VALUE(LEFT(UPPER(SUBSTITUTE(SUBSTITUTE(SUBSTITUTE(TRIM(C2086),".",""),"-","")," ","")),LEN(UPPER(SUBSTITUTE(SUBSTITUTE(SUBSTITUTE(TRIM(C2086),".",""),"-","")," ","")))-1))&amp;RIGHT(UPPER(SUBSTITUTE(SUBSTITUTE(SUBSTITUTE(TRIM(C2086),".",""),"-","")," ","")),1),UPPER(SUBSTITUTE(SUBSTITUTE(SUBSTITUTE(TRIM(C2086),".",""),"-","")," ",""))))</f>
        <v/>
      </c>
    </row>
    <row r="2087" customFormat="false" ht="15" hidden="false" customHeight="false" outlineLevel="0" collapsed="false">
      <c r="B2087" s="80"/>
      <c r="C2087" s="58"/>
      <c r="D2087" s="62" t="str">
        <f aca="false">IF(C2087="","",IFERROR(INDEX(T_NOMBRE,MATCH(V2087,T_RUTN,0)),"⚠ RUT no está en Trabajadores"))</f>
        <v/>
      </c>
      <c r="E2087" s="61"/>
      <c r="F2087" s="61"/>
      <c r="G2087" s="61"/>
      <c r="H2087" s="61"/>
      <c r="I2087" s="81"/>
      <c r="J2087" s="81"/>
      <c r="K2087" s="60"/>
      <c r="L2087" s="60"/>
      <c r="M2087" s="60"/>
      <c r="N2087" s="60"/>
      <c r="O2087" s="60"/>
      <c r="P2087" s="60"/>
      <c r="Q2087" s="60"/>
      <c r="R2087" s="58"/>
      <c r="S2087" s="62" t="str">
        <f aca="false">IF(OR(B2087="",V2087=""),"",IFERROR(INDEX(C_TIPO,MATCH(V2087&amp;"-P"&amp;MAX(1,COUNTIFS(C_RUTN,V2087,C_DEF,"Sí",C_INI,"&lt;="&amp;EOMONTH(B2087,0))),C_CLAVE,0))&amp;"","Sin contrato"))</f>
        <v/>
      </c>
      <c r="T2087" s="63" t="str">
        <f aca="false">IF(OR(B2087="",N(O2087)=0),"",N(O2087)+ROUND(MIN(N(N2087),TOPE_UF*UF_MES)*(TASA_EMP+MUTUAL),0)+ROUND(MIN(N(N2087),TOPE_AFC_UF*UF_MES)*IF(S2087="Indefinido",AFC_INDEF,AFC_PF),0))</f>
        <v/>
      </c>
      <c r="U2087" s="62" t="str">
        <f aca="false">IF(C2087="","",IF(LEFT(D2087,1)="⚠","⚠ RUT no registrado en Trabajadores",IF(B2087="","⚠ Falta el mes",IF(OR(ISTEXT(I2087),ISTEXT(J2087)),"⚠ Atrasos u horas extra como texto: escriba hh:mm (ej. 1:30)",IF(AND(ISNUMBER(Q2087),COUNTIFS(M_RUTN,V2087,M_MES,B2087,M_LIQ,"&lt;&gt;")&gt;1),"⚠ Liquidación repetida en el mes",IF(AND(ISNUMBER(O2087),ISNUMBER(P2087),ISNUMBER(Q2087),ABS(O2087-P2087-Q2087)&gt;1),"⚠ Haberes − descuentos no da el líquido","OK"))))))</f>
        <v/>
      </c>
      <c r="V2087" s="62" t="str">
        <f aca="false">IF(C2087="","",IFERROR(VALUE(LEFT(UPPER(SUBSTITUTE(SUBSTITUTE(SUBSTITUTE(TRIM(C2087),".",""),"-","")," ","")),LEN(UPPER(SUBSTITUTE(SUBSTITUTE(SUBSTITUTE(TRIM(C2087),".",""),"-","")," ","")))-1))&amp;RIGHT(UPPER(SUBSTITUTE(SUBSTITUTE(SUBSTITUTE(TRIM(C2087),".",""),"-","")," ","")),1),UPPER(SUBSTITUTE(SUBSTITUTE(SUBSTITUTE(TRIM(C2087),".",""),"-","")," ",""))))</f>
        <v/>
      </c>
    </row>
    <row r="2088" customFormat="false" ht="15" hidden="false" customHeight="false" outlineLevel="0" collapsed="false">
      <c r="B2088" s="80"/>
      <c r="C2088" s="58"/>
      <c r="D2088" s="62" t="str">
        <f aca="false">IF(C2088="","",IFERROR(INDEX(T_NOMBRE,MATCH(V2088,T_RUTN,0)),"⚠ RUT no está en Trabajadores"))</f>
        <v/>
      </c>
      <c r="E2088" s="61"/>
      <c r="F2088" s="61"/>
      <c r="G2088" s="61"/>
      <c r="H2088" s="61"/>
      <c r="I2088" s="81"/>
      <c r="J2088" s="81"/>
      <c r="K2088" s="60"/>
      <c r="L2088" s="60"/>
      <c r="M2088" s="60"/>
      <c r="N2088" s="60"/>
      <c r="O2088" s="60"/>
      <c r="P2088" s="60"/>
      <c r="Q2088" s="60"/>
      <c r="R2088" s="58"/>
      <c r="S2088" s="62" t="str">
        <f aca="false">IF(OR(B2088="",V2088=""),"",IFERROR(INDEX(C_TIPO,MATCH(V2088&amp;"-P"&amp;MAX(1,COUNTIFS(C_RUTN,V2088,C_DEF,"Sí",C_INI,"&lt;="&amp;EOMONTH(B2088,0))),C_CLAVE,0))&amp;"","Sin contrato"))</f>
        <v/>
      </c>
      <c r="T2088" s="63" t="str">
        <f aca="false">IF(OR(B2088="",N(O2088)=0),"",N(O2088)+ROUND(MIN(N(N2088),TOPE_UF*UF_MES)*(TASA_EMP+MUTUAL),0)+ROUND(MIN(N(N2088),TOPE_AFC_UF*UF_MES)*IF(S2088="Indefinido",AFC_INDEF,AFC_PF),0))</f>
        <v/>
      </c>
      <c r="U2088" s="62" t="str">
        <f aca="false">IF(C2088="","",IF(LEFT(D2088,1)="⚠","⚠ RUT no registrado en Trabajadores",IF(B2088="","⚠ Falta el mes",IF(OR(ISTEXT(I2088),ISTEXT(J2088)),"⚠ Atrasos u horas extra como texto: escriba hh:mm (ej. 1:30)",IF(AND(ISNUMBER(Q2088),COUNTIFS(M_RUTN,V2088,M_MES,B2088,M_LIQ,"&lt;&gt;")&gt;1),"⚠ Liquidación repetida en el mes",IF(AND(ISNUMBER(O2088),ISNUMBER(P2088),ISNUMBER(Q2088),ABS(O2088-P2088-Q2088)&gt;1),"⚠ Haberes − descuentos no da el líquido","OK"))))))</f>
        <v/>
      </c>
      <c r="V2088" s="62" t="str">
        <f aca="false">IF(C2088="","",IFERROR(VALUE(LEFT(UPPER(SUBSTITUTE(SUBSTITUTE(SUBSTITUTE(TRIM(C2088),".",""),"-","")," ","")),LEN(UPPER(SUBSTITUTE(SUBSTITUTE(SUBSTITUTE(TRIM(C2088),".",""),"-","")," ","")))-1))&amp;RIGHT(UPPER(SUBSTITUTE(SUBSTITUTE(SUBSTITUTE(TRIM(C2088),".",""),"-","")," ","")),1),UPPER(SUBSTITUTE(SUBSTITUTE(SUBSTITUTE(TRIM(C2088),".",""),"-","")," ",""))))</f>
        <v/>
      </c>
    </row>
    <row r="2089" customFormat="false" ht="15" hidden="false" customHeight="false" outlineLevel="0" collapsed="false">
      <c r="B2089" s="80"/>
      <c r="C2089" s="58"/>
      <c r="D2089" s="62" t="str">
        <f aca="false">IF(C2089="","",IFERROR(INDEX(T_NOMBRE,MATCH(V2089,T_RUTN,0)),"⚠ RUT no está en Trabajadores"))</f>
        <v/>
      </c>
      <c r="E2089" s="61"/>
      <c r="F2089" s="61"/>
      <c r="G2089" s="61"/>
      <c r="H2089" s="61"/>
      <c r="I2089" s="81"/>
      <c r="J2089" s="81"/>
      <c r="K2089" s="60"/>
      <c r="L2089" s="60"/>
      <c r="M2089" s="60"/>
      <c r="N2089" s="60"/>
      <c r="O2089" s="60"/>
      <c r="P2089" s="60"/>
      <c r="Q2089" s="60"/>
      <c r="R2089" s="58"/>
      <c r="S2089" s="62" t="str">
        <f aca="false">IF(OR(B2089="",V2089=""),"",IFERROR(INDEX(C_TIPO,MATCH(V2089&amp;"-P"&amp;MAX(1,COUNTIFS(C_RUTN,V2089,C_DEF,"Sí",C_INI,"&lt;="&amp;EOMONTH(B2089,0))),C_CLAVE,0))&amp;"","Sin contrato"))</f>
        <v/>
      </c>
      <c r="T2089" s="63" t="str">
        <f aca="false">IF(OR(B2089="",N(O2089)=0),"",N(O2089)+ROUND(MIN(N(N2089),TOPE_UF*UF_MES)*(TASA_EMP+MUTUAL),0)+ROUND(MIN(N(N2089),TOPE_AFC_UF*UF_MES)*IF(S2089="Indefinido",AFC_INDEF,AFC_PF),0))</f>
        <v/>
      </c>
      <c r="U2089" s="62" t="str">
        <f aca="false">IF(C2089="","",IF(LEFT(D2089,1)="⚠","⚠ RUT no registrado en Trabajadores",IF(B2089="","⚠ Falta el mes",IF(OR(ISTEXT(I2089),ISTEXT(J2089)),"⚠ Atrasos u horas extra como texto: escriba hh:mm (ej. 1:30)",IF(AND(ISNUMBER(Q2089),COUNTIFS(M_RUTN,V2089,M_MES,B2089,M_LIQ,"&lt;&gt;")&gt;1),"⚠ Liquidación repetida en el mes",IF(AND(ISNUMBER(O2089),ISNUMBER(P2089),ISNUMBER(Q2089),ABS(O2089-P2089-Q2089)&gt;1),"⚠ Haberes − descuentos no da el líquido","OK"))))))</f>
        <v/>
      </c>
      <c r="V2089" s="62" t="str">
        <f aca="false">IF(C2089="","",IFERROR(VALUE(LEFT(UPPER(SUBSTITUTE(SUBSTITUTE(SUBSTITUTE(TRIM(C2089),".",""),"-","")," ","")),LEN(UPPER(SUBSTITUTE(SUBSTITUTE(SUBSTITUTE(TRIM(C2089),".",""),"-","")," ","")))-1))&amp;RIGHT(UPPER(SUBSTITUTE(SUBSTITUTE(SUBSTITUTE(TRIM(C2089),".",""),"-","")," ","")),1),UPPER(SUBSTITUTE(SUBSTITUTE(SUBSTITUTE(TRIM(C2089),".",""),"-","")," ",""))))</f>
        <v/>
      </c>
    </row>
    <row r="2090" customFormat="false" ht="15" hidden="false" customHeight="false" outlineLevel="0" collapsed="false">
      <c r="B2090" s="80"/>
      <c r="C2090" s="58"/>
      <c r="D2090" s="62" t="str">
        <f aca="false">IF(C2090="","",IFERROR(INDEX(T_NOMBRE,MATCH(V2090,T_RUTN,0)),"⚠ RUT no está en Trabajadores"))</f>
        <v/>
      </c>
      <c r="E2090" s="61"/>
      <c r="F2090" s="61"/>
      <c r="G2090" s="61"/>
      <c r="H2090" s="61"/>
      <c r="I2090" s="81"/>
      <c r="J2090" s="81"/>
      <c r="K2090" s="60"/>
      <c r="L2090" s="60"/>
      <c r="M2090" s="60"/>
      <c r="N2090" s="60"/>
      <c r="O2090" s="60"/>
      <c r="P2090" s="60"/>
      <c r="Q2090" s="60"/>
      <c r="R2090" s="58"/>
      <c r="S2090" s="62" t="str">
        <f aca="false">IF(OR(B2090="",V2090=""),"",IFERROR(INDEX(C_TIPO,MATCH(V2090&amp;"-P"&amp;MAX(1,COUNTIFS(C_RUTN,V2090,C_DEF,"Sí",C_INI,"&lt;="&amp;EOMONTH(B2090,0))),C_CLAVE,0))&amp;"","Sin contrato"))</f>
        <v/>
      </c>
      <c r="T2090" s="63" t="str">
        <f aca="false">IF(OR(B2090="",N(O2090)=0),"",N(O2090)+ROUND(MIN(N(N2090),TOPE_UF*UF_MES)*(TASA_EMP+MUTUAL),0)+ROUND(MIN(N(N2090),TOPE_AFC_UF*UF_MES)*IF(S2090="Indefinido",AFC_INDEF,AFC_PF),0))</f>
        <v/>
      </c>
      <c r="U2090" s="62" t="str">
        <f aca="false">IF(C2090="","",IF(LEFT(D2090,1)="⚠","⚠ RUT no registrado en Trabajadores",IF(B2090="","⚠ Falta el mes",IF(OR(ISTEXT(I2090),ISTEXT(J2090)),"⚠ Atrasos u horas extra como texto: escriba hh:mm (ej. 1:30)",IF(AND(ISNUMBER(Q2090),COUNTIFS(M_RUTN,V2090,M_MES,B2090,M_LIQ,"&lt;&gt;")&gt;1),"⚠ Liquidación repetida en el mes",IF(AND(ISNUMBER(O2090),ISNUMBER(P2090),ISNUMBER(Q2090),ABS(O2090-P2090-Q2090)&gt;1),"⚠ Haberes − descuentos no da el líquido","OK"))))))</f>
        <v/>
      </c>
      <c r="V2090" s="62" t="str">
        <f aca="false">IF(C2090="","",IFERROR(VALUE(LEFT(UPPER(SUBSTITUTE(SUBSTITUTE(SUBSTITUTE(TRIM(C2090),".",""),"-","")," ","")),LEN(UPPER(SUBSTITUTE(SUBSTITUTE(SUBSTITUTE(TRIM(C2090),".",""),"-","")," ","")))-1))&amp;RIGHT(UPPER(SUBSTITUTE(SUBSTITUTE(SUBSTITUTE(TRIM(C2090),".",""),"-","")," ","")),1),UPPER(SUBSTITUTE(SUBSTITUTE(SUBSTITUTE(TRIM(C2090),".",""),"-","")," ",""))))</f>
        <v/>
      </c>
    </row>
    <row r="2091" customFormat="false" ht="15" hidden="false" customHeight="false" outlineLevel="0" collapsed="false">
      <c r="B2091" s="80"/>
      <c r="C2091" s="58"/>
      <c r="D2091" s="62" t="str">
        <f aca="false">IF(C2091="","",IFERROR(INDEX(T_NOMBRE,MATCH(V2091,T_RUTN,0)),"⚠ RUT no está en Trabajadores"))</f>
        <v/>
      </c>
      <c r="E2091" s="61"/>
      <c r="F2091" s="61"/>
      <c r="G2091" s="61"/>
      <c r="H2091" s="61"/>
      <c r="I2091" s="81"/>
      <c r="J2091" s="81"/>
      <c r="K2091" s="60"/>
      <c r="L2091" s="60"/>
      <c r="M2091" s="60"/>
      <c r="N2091" s="60"/>
      <c r="O2091" s="60"/>
      <c r="P2091" s="60"/>
      <c r="Q2091" s="60"/>
      <c r="R2091" s="58"/>
      <c r="S2091" s="62" t="str">
        <f aca="false">IF(OR(B2091="",V2091=""),"",IFERROR(INDEX(C_TIPO,MATCH(V2091&amp;"-P"&amp;MAX(1,COUNTIFS(C_RUTN,V2091,C_DEF,"Sí",C_INI,"&lt;="&amp;EOMONTH(B2091,0))),C_CLAVE,0))&amp;"","Sin contrato"))</f>
        <v/>
      </c>
      <c r="T2091" s="63" t="str">
        <f aca="false">IF(OR(B2091="",N(O2091)=0),"",N(O2091)+ROUND(MIN(N(N2091),TOPE_UF*UF_MES)*(TASA_EMP+MUTUAL),0)+ROUND(MIN(N(N2091),TOPE_AFC_UF*UF_MES)*IF(S2091="Indefinido",AFC_INDEF,AFC_PF),0))</f>
        <v/>
      </c>
      <c r="U2091" s="62" t="str">
        <f aca="false">IF(C2091="","",IF(LEFT(D2091,1)="⚠","⚠ RUT no registrado en Trabajadores",IF(B2091="","⚠ Falta el mes",IF(OR(ISTEXT(I2091),ISTEXT(J2091)),"⚠ Atrasos u horas extra como texto: escriba hh:mm (ej. 1:30)",IF(AND(ISNUMBER(Q2091),COUNTIFS(M_RUTN,V2091,M_MES,B2091,M_LIQ,"&lt;&gt;")&gt;1),"⚠ Liquidación repetida en el mes",IF(AND(ISNUMBER(O2091),ISNUMBER(P2091),ISNUMBER(Q2091),ABS(O2091-P2091-Q2091)&gt;1),"⚠ Haberes − descuentos no da el líquido","OK"))))))</f>
        <v/>
      </c>
      <c r="V2091" s="62" t="str">
        <f aca="false">IF(C2091="","",IFERROR(VALUE(LEFT(UPPER(SUBSTITUTE(SUBSTITUTE(SUBSTITUTE(TRIM(C2091),".",""),"-","")," ","")),LEN(UPPER(SUBSTITUTE(SUBSTITUTE(SUBSTITUTE(TRIM(C2091),".",""),"-","")," ","")))-1))&amp;RIGHT(UPPER(SUBSTITUTE(SUBSTITUTE(SUBSTITUTE(TRIM(C2091),".",""),"-","")," ","")),1),UPPER(SUBSTITUTE(SUBSTITUTE(SUBSTITUTE(TRIM(C2091),".",""),"-","")," ",""))))</f>
        <v/>
      </c>
    </row>
    <row r="2092" customFormat="false" ht="15" hidden="false" customHeight="false" outlineLevel="0" collapsed="false">
      <c r="B2092" s="80"/>
      <c r="C2092" s="58"/>
      <c r="D2092" s="62" t="str">
        <f aca="false">IF(C2092="","",IFERROR(INDEX(T_NOMBRE,MATCH(V2092,T_RUTN,0)),"⚠ RUT no está en Trabajadores"))</f>
        <v/>
      </c>
      <c r="E2092" s="61"/>
      <c r="F2092" s="61"/>
      <c r="G2092" s="61"/>
      <c r="H2092" s="61"/>
      <c r="I2092" s="81"/>
      <c r="J2092" s="81"/>
      <c r="K2092" s="60"/>
      <c r="L2092" s="60"/>
      <c r="M2092" s="60"/>
      <c r="N2092" s="60"/>
      <c r="O2092" s="60"/>
      <c r="P2092" s="60"/>
      <c r="Q2092" s="60"/>
      <c r="R2092" s="58"/>
      <c r="S2092" s="62" t="str">
        <f aca="false">IF(OR(B2092="",V2092=""),"",IFERROR(INDEX(C_TIPO,MATCH(V2092&amp;"-P"&amp;MAX(1,COUNTIFS(C_RUTN,V2092,C_DEF,"Sí",C_INI,"&lt;="&amp;EOMONTH(B2092,0))),C_CLAVE,0))&amp;"","Sin contrato"))</f>
        <v/>
      </c>
      <c r="T2092" s="63" t="str">
        <f aca="false">IF(OR(B2092="",N(O2092)=0),"",N(O2092)+ROUND(MIN(N(N2092),TOPE_UF*UF_MES)*(TASA_EMP+MUTUAL),0)+ROUND(MIN(N(N2092),TOPE_AFC_UF*UF_MES)*IF(S2092="Indefinido",AFC_INDEF,AFC_PF),0))</f>
        <v/>
      </c>
      <c r="U2092" s="62" t="str">
        <f aca="false">IF(C2092="","",IF(LEFT(D2092,1)="⚠","⚠ RUT no registrado en Trabajadores",IF(B2092="","⚠ Falta el mes",IF(OR(ISTEXT(I2092),ISTEXT(J2092)),"⚠ Atrasos u horas extra como texto: escriba hh:mm (ej. 1:30)",IF(AND(ISNUMBER(Q2092),COUNTIFS(M_RUTN,V2092,M_MES,B2092,M_LIQ,"&lt;&gt;")&gt;1),"⚠ Liquidación repetida en el mes",IF(AND(ISNUMBER(O2092),ISNUMBER(P2092),ISNUMBER(Q2092),ABS(O2092-P2092-Q2092)&gt;1),"⚠ Haberes − descuentos no da el líquido","OK"))))))</f>
        <v/>
      </c>
      <c r="V2092" s="62" t="str">
        <f aca="false">IF(C2092="","",IFERROR(VALUE(LEFT(UPPER(SUBSTITUTE(SUBSTITUTE(SUBSTITUTE(TRIM(C2092),".",""),"-","")," ","")),LEN(UPPER(SUBSTITUTE(SUBSTITUTE(SUBSTITUTE(TRIM(C2092),".",""),"-","")," ","")))-1))&amp;RIGHT(UPPER(SUBSTITUTE(SUBSTITUTE(SUBSTITUTE(TRIM(C2092),".",""),"-","")," ","")),1),UPPER(SUBSTITUTE(SUBSTITUTE(SUBSTITUTE(TRIM(C2092),".",""),"-","")," ",""))))</f>
        <v/>
      </c>
    </row>
    <row r="2093" customFormat="false" ht="15" hidden="false" customHeight="false" outlineLevel="0" collapsed="false">
      <c r="B2093" s="80"/>
      <c r="C2093" s="58"/>
      <c r="D2093" s="62" t="str">
        <f aca="false">IF(C2093="","",IFERROR(INDEX(T_NOMBRE,MATCH(V2093,T_RUTN,0)),"⚠ RUT no está en Trabajadores"))</f>
        <v/>
      </c>
      <c r="E2093" s="61"/>
      <c r="F2093" s="61"/>
      <c r="G2093" s="61"/>
      <c r="H2093" s="61"/>
      <c r="I2093" s="81"/>
      <c r="J2093" s="81"/>
      <c r="K2093" s="60"/>
      <c r="L2093" s="60"/>
      <c r="M2093" s="60"/>
      <c r="N2093" s="60"/>
      <c r="O2093" s="60"/>
      <c r="P2093" s="60"/>
      <c r="Q2093" s="60"/>
      <c r="R2093" s="58"/>
      <c r="S2093" s="62" t="str">
        <f aca="false">IF(OR(B2093="",V2093=""),"",IFERROR(INDEX(C_TIPO,MATCH(V2093&amp;"-P"&amp;MAX(1,COUNTIFS(C_RUTN,V2093,C_DEF,"Sí",C_INI,"&lt;="&amp;EOMONTH(B2093,0))),C_CLAVE,0))&amp;"","Sin contrato"))</f>
        <v/>
      </c>
      <c r="T2093" s="63" t="str">
        <f aca="false">IF(OR(B2093="",N(O2093)=0),"",N(O2093)+ROUND(MIN(N(N2093),TOPE_UF*UF_MES)*(TASA_EMP+MUTUAL),0)+ROUND(MIN(N(N2093),TOPE_AFC_UF*UF_MES)*IF(S2093="Indefinido",AFC_INDEF,AFC_PF),0))</f>
        <v/>
      </c>
      <c r="U2093" s="62" t="str">
        <f aca="false">IF(C2093="","",IF(LEFT(D2093,1)="⚠","⚠ RUT no registrado en Trabajadores",IF(B2093="","⚠ Falta el mes",IF(OR(ISTEXT(I2093),ISTEXT(J2093)),"⚠ Atrasos u horas extra como texto: escriba hh:mm (ej. 1:30)",IF(AND(ISNUMBER(Q2093),COUNTIFS(M_RUTN,V2093,M_MES,B2093,M_LIQ,"&lt;&gt;")&gt;1),"⚠ Liquidación repetida en el mes",IF(AND(ISNUMBER(O2093),ISNUMBER(P2093),ISNUMBER(Q2093),ABS(O2093-P2093-Q2093)&gt;1),"⚠ Haberes − descuentos no da el líquido","OK"))))))</f>
        <v/>
      </c>
      <c r="V2093" s="62" t="str">
        <f aca="false">IF(C2093="","",IFERROR(VALUE(LEFT(UPPER(SUBSTITUTE(SUBSTITUTE(SUBSTITUTE(TRIM(C2093),".",""),"-","")," ","")),LEN(UPPER(SUBSTITUTE(SUBSTITUTE(SUBSTITUTE(TRIM(C2093),".",""),"-","")," ","")))-1))&amp;RIGHT(UPPER(SUBSTITUTE(SUBSTITUTE(SUBSTITUTE(TRIM(C2093),".",""),"-","")," ","")),1),UPPER(SUBSTITUTE(SUBSTITUTE(SUBSTITUTE(TRIM(C2093),".",""),"-","")," ",""))))</f>
        <v/>
      </c>
    </row>
    <row r="2094" customFormat="false" ht="15" hidden="false" customHeight="false" outlineLevel="0" collapsed="false">
      <c r="B2094" s="80"/>
      <c r="C2094" s="58"/>
      <c r="D2094" s="62" t="str">
        <f aca="false">IF(C2094="","",IFERROR(INDEX(T_NOMBRE,MATCH(V2094,T_RUTN,0)),"⚠ RUT no está en Trabajadores"))</f>
        <v/>
      </c>
      <c r="E2094" s="61"/>
      <c r="F2094" s="61"/>
      <c r="G2094" s="61"/>
      <c r="H2094" s="61"/>
      <c r="I2094" s="81"/>
      <c r="J2094" s="81"/>
      <c r="K2094" s="60"/>
      <c r="L2094" s="60"/>
      <c r="M2094" s="60"/>
      <c r="N2094" s="60"/>
      <c r="O2094" s="60"/>
      <c r="P2094" s="60"/>
      <c r="Q2094" s="60"/>
      <c r="R2094" s="58"/>
      <c r="S2094" s="62" t="str">
        <f aca="false">IF(OR(B2094="",V2094=""),"",IFERROR(INDEX(C_TIPO,MATCH(V2094&amp;"-P"&amp;MAX(1,COUNTIFS(C_RUTN,V2094,C_DEF,"Sí",C_INI,"&lt;="&amp;EOMONTH(B2094,0))),C_CLAVE,0))&amp;"","Sin contrato"))</f>
        <v/>
      </c>
      <c r="T2094" s="63" t="str">
        <f aca="false">IF(OR(B2094="",N(O2094)=0),"",N(O2094)+ROUND(MIN(N(N2094),TOPE_UF*UF_MES)*(TASA_EMP+MUTUAL),0)+ROUND(MIN(N(N2094),TOPE_AFC_UF*UF_MES)*IF(S2094="Indefinido",AFC_INDEF,AFC_PF),0))</f>
        <v/>
      </c>
      <c r="U2094" s="62" t="str">
        <f aca="false">IF(C2094="","",IF(LEFT(D2094,1)="⚠","⚠ RUT no registrado en Trabajadores",IF(B2094="","⚠ Falta el mes",IF(OR(ISTEXT(I2094),ISTEXT(J2094)),"⚠ Atrasos u horas extra como texto: escriba hh:mm (ej. 1:30)",IF(AND(ISNUMBER(Q2094),COUNTIFS(M_RUTN,V2094,M_MES,B2094,M_LIQ,"&lt;&gt;")&gt;1),"⚠ Liquidación repetida en el mes",IF(AND(ISNUMBER(O2094),ISNUMBER(P2094),ISNUMBER(Q2094),ABS(O2094-P2094-Q2094)&gt;1),"⚠ Haberes − descuentos no da el líquido","OK"))))))</f>
        <v/>
      </c>
      <c r="V2094" s="62" t="str">
        <f aca="false">IF(C2094="","",IFERROR(VALUE(LEFT(UPPER(SUBSTITUTE(SUBSTITUTE(SUBSTITUTE(TRIM(C2094),".",""),"-","")," ","")),LEN(UPPER(SUBSTITUTE(SUBSTITUTE(SUBSTITUTE(TRIM(C2094),".",""),"-","")," ","")))-1))&amp;RIGHT(UPPER(SUBSTITUTE(SUBSTITUTE(SUBSTITUTE(TRIM(C2094),".",""),"-","")," ","")),1),UPPER(SUBSTITUTE(SUBSTITUTE(SUBSTITUTE(TRIM(C2094),".",""),"-","")," ",""))))</f>
        <v/>
      </c>
    </row>
    <row r="2095" customFormat="false" ht="15" hidden="false" customHeight="false" outlineLevel="0" collapsed="false">
      <c r="B2095" s="80"/>
      <c r="C2095" s="58"/>
      <c r="D2095" s="62" t="str">
        <f aca="false">IF(C2095="","",IFERROR(INDEX(T_NOMBRE,MATCH(V2095,T_RUTN,0)),"⚠ RUT no está en Trabajadores"))</f>
        <v/>
      </c>
      <c r="E2095" s="61"/>
      <c r="F2095" s="61"/>
      <c r="G2095" s="61"/>
      <c r="H2095" s="61"/>
      <c r="I2095" s="81"/>
      <c r="J2095" s="81"/>
      <c r="K2095" s="60"/>
      <c r="L2095" s="60"/>
      <c r="M2095" s="60"/>
      <c r="N2095" s="60"/>
      <c r="O2095" s="60"/>
      <c r="P2095" s="60"/>
      <c r="Q2095" s="60"/>
      <c r="R2095" s="58"/>
      <c r="S2095" s="62" t="str">
        <f aca="false">IF(OR(B2095="",V2095=""),"",IFERROR(INDEX(C_TIPO,MATCH(V2095&amp;"-P"&amp;MAX(1,COUNTIFS(C_RUTN,V2095,C_DEF,"Sí",C_INI,"&lt;="&amp;EOMONTH(B2095,0))),C_CLAVE,0))&amp;"","Sin contrato"))</f>
        <v/>
      </c>
      <c r="T2095" s="63" t="str">
        <f aca="false">IF(OR(B2095="",N(O2095)=0),"",N(O2095)+ROUND(MIN(N(N2095),TOPE_UF*UF_MES)*(TASA_EMP+MUTUAL),0)+ROUND(MIN(N(N2095),TOPE_AFC_UF*UF_MES)*IF(S2095="Indefinido",AFC_INDEF,AFC_PF),0))</f>
        <v/>
      </c>
      <c r="U2095" s="62" t="str">
        <f aca="false">IF(C2095="","",IF(LEFT(D2095,1)="⚠","⚠ RUT no registrado en Trabajadores",IF(B2095="","⚠ Falta el mes",IF(OR(ISTEXT(I2095),ISTEXT(J2095)),"⚠ Atrasos u horas extra como texto: escriba hh:mm (ej. 1:30)",IF(AND(ISNUMBER(Q2095),COUNTIFS(M_RUTN,V2095,M_MES,B2095,M_LIQ,"&lt;&gt;")&gt;1),"⚠ Liquidación repetida en el mes",IF(AND(ISNUMBER(O2095),ISNUMBER(P2095),ISNUMBER(Q2095),ABS(O2095-P2095-Q2095)&gt;1),"⚠ Haberes − descuentos no da el líquido","OK"))))))</f>
        <v/>
      </c>
      <c r="V2095" s="62" t="str">
        <f aca="false">IF(C2095="","",IFERROR(VALUE(LEFT(UPPER(SUBSTITUTE(SUBSTITUTE(SUBSTITUTE(TRIM(C2095),".",""),"-","")," ","")),LEN(UPPER(SUBSTITUTE(SUBSTITUTE(SUBSTITUTE(TRIM(C2095),".",""),"-","")," ","")))-1))&amp;RIGHT(UPPER(SUBSTITUTE(SUBSTITUTE(SUBSTITUTE(TRIM(C2095),".",""),"-","")," ","")),1),UPPER(SUBSTITUTE(SUBSTITUTE(SUBSTITUTE(TRIM(C2095),".",""),"-","")," ",""))))</f>
        <v/>
      </c>
    </row>
    <row r="2096" customFormat="false" ht="15" hidden="false" customHeight="false" outlineLevel="0" collapsed="false">
      <c r="B2096" s="80"/>
      <c r="C2096" s="58"/>
      <c r="D2096" s="62" t="str">
        <f aca="false">IF(C2096="","",IFERROR(INDEX(T_NOMBRE,MATCH(V2096,T_RUTN,0)),"⚠ RUT no está en Trabajadores"))</f>
        <v/>
      </c>
      <c r="E2096" s="61"/>
      <c r="F2096" s="61"/>
      <c r="G2096" s="61"/>
      <c r="H2096" s="61"/>
      <c r="I2096" s="81"/>
      <c r="J2096" s="81"/>
      <c r="K2096" s="60"/>
      <c r="L2096" s="60"/>
      <c r="M2096" s="60"/>
      <c r="N2096" s="60"/>
      <c r="O2096" s="60"/>
      <c r="P2096" s="60"/>
      <c r="Q2096" s="60"/>
      <c r="R2096" s="58"/>
      <c r="S2096" s="62" t="str">
        <f aca="false">IF(OR(B2096="",V2096=""),"",IFERROR(INDEX(C_TIPO,MATCH(V2096&amp;"-P"&amp;MAX(1,COUNTIFS(C_RUTN,V2096,C_DEF,"Sí",C_INI,"&lt;="&amp;EOMONTH(B2096,0))),C_CLAVE,0))&amp;"","Sin contrato"))</f>
        <v/>
      </c>
      <c r="T2096" s="63" t="str">
        <f aca="false">IF(OR(B2096="",N(O2096)=0),"",N(O2096)+ROUND(MIN(N(N2096),TOPE_UF*UF_MES)*(TASA_EMP+MUTUAL),0)+ROUND(MIN(N(N2096),TOPE_AFC_UF*UF_MES)*IF(S2096="Indefinido",AFC_INDEF,AFC_PF),0))</f>
        <v/>
      </c>
      <c r="U2096" s="62" t="str">
        <f aca="false">IF(C2096="","",IF(LEFT(D2096,1)="⚠","⚠ RUT no registrado en Trabajadores",IF(B2096="","⚠ Falta el mes",IF(OR(ISTEXT(I2096),ISTEXT(J2096)),"⚠ Atrasos u horas extra como texto: escriba hh:mm (ej. 1:30)",IF(AND(ISNUMBER(Q2096),COUNTIFS(M_RUTN,V2096,M_MES,B2096,M_LIQ,"&lt;&gt;")&gt;1),"⚠ Liquidación repetida en el mes",IF(AND(ISNUMBER(O2096),ISNUMBER(P2096),ISNUMBER(Q2096),ABS(O2096-P2096-Q2096)&gt;1),"⚠ Haberes − descuentos no da el líquido","OK"))))))</f>
        <v/>
      </c>
      <c r="V2096" s="62" t="str">
        <f aca="false">IF(C2096="","",IFERROR(VALUE(LEFT(UPPER(SUBSTITUTE(SUBSTITUTE(SUBSTITUTE(TRIM(C2096),".",""),"-","")," ","")),LEN(UPPER(SUBSTITUTE(SUBSTITUTE(SUBSTITUTE(TRIM(C2096),".",""),"-","")," ","")))-1))&amp;RIGHT(UPPER(SUBSTITUTE(SUBSTITUTE(SUBSTITUTE(TRIM(C2096),".",""),"-","")," ","")),1),UPPER(SUBSTITUTE(SUBSTITUTE(SUBSTITUTE(TRIM(C2096),".",""),"-","")," ",""))))</f>
        <v/>
      </c>
    </row>
    <row r="2097" customFormat="false" ht="15" hidden="false" customHeight="false" outlineLevel="0" collapsed="false">
      <c r="B2097" s="80"/>
      <c r="C2097" s="58"/>
      <c r="D2097" s="62" t="str">
        <f aca="false">IF(C2097="","",IFERROR(INDEX(T_NOMBRE,MATCH(V2097,T_RUTN,0)),"⚠ RUT no está en Trabajadores"))</f>
        <v/>
      </c>
      <c r="E2097" s="61"/>
      <c r="F2097" s="61"/>
      <c r="G2097" s="61"/>
      <c r="H2097" s="61"/>
      <c r="I2097" s="81"/>
      <c r="J2097" s="81"/>
      <c r="K2097" s="60"/>
      <c r="L2097" s="60"/>
      <c r="M2097" s="60"/>
      <c r="N2097" s="60"/>
      <c r="O2097" s="60"/>
      <c r="P2097" s="60"/>
      <c r="Q2097" s="60"/>
      <c r="R2097" s="58"/>
      <c r="S2097" s="62" t="str">
        <f aca="false">IF(OR(B2097="",V2097=""),"",IFERROR(INDEX(C_TIPO,MATCH(V2097&amp;"-P"&amp;MAX(1,COUNTIFS(C_RUTN,V2097,C_DEF,"Sí",C_INI,"&lt;="&amp;EOMONTH(B2097,0))),C_CLAVE,0))&amp;"","Sin contrato"))</f>
        <v/>
      </c>
      <c r="T2097" s="63" t="str">
        <f aca="false">IF(OR(B2097="",N(O2097)=0),"",N(O2097)+ROUND(MIN(N(N2097),TOPE_UF*UF_MES)*(TASA_EMP+MUTUAL),0)+ROUND(MIN(N(N2097),TOPE_AFC_UF*UF_MES)*IF(S2097="Indefinido",AFC_INDEF,AFC_PF),0))</f>
        <v/>
      </c>
      <c r="U2097" s="62" t="str">
        <f aca="false">IF(C2097="","",IF(LEFT(D2097,1)="⚠","⚠ RUT no registrado en Trabajadores",IF(B2097="","⚠ Falta el mes",IF(OR(ISTEXT(I2097),ISTEXT(J2097)),"⚠ Atrasos u horas extra como texto: escriba hh:mm (ej. 1:30)",IF(AND(ISNUMBER(Q2097),COUNTIFS(M_RUTN,V2097,M_MES,B2097,M_LIQ,"&lt;&gt;")&gt;1),"⚠ Liquidación repetida en el mes",IF(AND(ISNUMBER(O2097),ISNUMBER(P2097),ISNUMBER(Q2097),ABS(O2097-P2097-Q2097)&gt;1),"⚠ Haberes − descuentos no da el líquido","OK"))))))</f>
        <v/>
      </c>
      <c r="V2097" s="62" t="str">
        <f aca="false">IF(C2097="","",IFERROR(VALUE(LEFT(UPPER(SUBSTITUTE(SUBSTITUTE(SUBSTITUTE(TRIM(C2097),".",""),"-","")," ","")),LEN(UPPER(SUBSTITUTE(SUBSTITUTE(SUBSTITUTE(TRIM(C2097),".",""),"-","")," ","")))-1))&amp;RIGHT(UPPER(SUBSTITUTE(SUBSTITUTE(SUBSTITUTE(TRIM(C2097),".",""),"-","")," ","")),1),UPPER(SUBSTITUTE(SUBSTITUTE(SUBSTITUTE(TRIM(C2097),".",""),"-","")," ",""))))</f>
        <v/>
      </c>
    </row>
    <row r="2098" customFormat="false" ht="15" hidden="false" customHeight="false" outlineLevel="0" collapsed="false">
      <c r="B2098" s="80"/>
      <c r="C2098" s="58"/>
      <c r="D2098" s="62" t="str">
        <f aca="false">IF(C2098="","",IFERROR(INDEX(T_NOMBRE,MATCH(V2098,T_RUTN,0)),"⚠ RUT no está en Trabajadores"))</f>
        <v/>
      </c>
      <c r="E2098" s="61"/>
      <c r="F2098" s="61"/>
      <c r="G2098" s="61"/>
      <c r="H2098" s="61"/>
      <c r="I2098" s="81"/>
      <c r="J2098" s="81"/>
      <c r="K2098" s="60"/>
      <c r="L2098" s="60"/>
      <c r="M2098" s="60"/>
      <c r="N2098" s="60"/>
      <c r="O2098" s="60"/>
      <c r="P2098" s="60"/>
      <c r="Q2098" s="60"/>
      <c r="R2098" s="58"/>
      <c r="S2098" s="62" t="str">
        <f aca="false">IF(OR(B2098="",V2098=""),"",IFERROR(INDEX(C_TIPO,MATCH(V2098&amp;"-P"&amp;MAX(1,COUNTIFS(C_RUTN,V2098,C_DEF,"Sí",C_INI,"&lt;="&amp;EOMONTH(B2098,0))),C_CLAVE,0))&amp;"","Sin contrato"))</f>
        <v/>
      </c>
      <c r="T2098" s="63" t="str">
        <f aca="false">IF(OR(B2098="",N(O2098)=0),"",N(O2098)+ROUND(MIN(N(N2098),TOPE_UF*UF_MES)*(TASA_EMP+MUTUAL),0)+ROUND(MIN(N(N2098),TOPE_AFC_UF*UF_MES)*IF(S2098="Indefinido",AFC_INDEF,AFC_PF),0))</f>
        <v/>
      </c>
      <c r="U2098" s="62" t="str">
        <f aca="false">IF(C2098="","",IF(LEFT(D2098,1)="⚠","⚠ RUT no registrado en Trabajadores",IF(B2098="","⚠ Falta el mes",IF(OR(ISTEXT(I2098),ISTEXT(J2098)),"⚠ Atrasos u horas extra como texto: escriba hh:mm (ej. 1:30)",IF(AND(ISNUMBER(Q2098),COUNTIFS(M_RUTN,V2098,M_MES,B2098,M_LIQ,"&lt;&gt;")&gt;1),"⚠ Liquidación repetida en el mes",IF(AND(ISNUMBER(O2098),ISNUMBER(P2098),ISNUMBER(Q2098),ABS(O2098-P2098-Q2098)&gt;1),"⚠ Haberes − descuentos no da el líquido","OK"))))))</f>
        <v/>
      </c>
      <c r="V2098" s="62" t="str">
        <f aca="false">IF(C2098="","",IFERROR(VALUE(LEFT(UPPER(SUBSTITUTE(SUBSTITUTE(SUBSTITUTE(TRIM(C2098),".",""),"-","")," ","")),LEN(UPPER(SUBSTITUTE(SUBSTITUTE(SUBSTITUTE(TRIM(C2098),".",""),"-","")," ","")))-1))&amp;RIGHT(UPPER(SUBSTITUTE(SUBSTITUTE(SUBSTITUTE(TRIM(C2098),".",""),"-","")," ","")),1),UPPER(SUBSTITUTE(SUBSTITUTE(SUBSTITUTE(TRIM(C2098),".",""),"-","")," ",""))))</f>
        <v/>
      </c>
    </row>
    <row r="2099" customFormat="false" ht="15" hidden="false" customHeight="false" outlineLevel="0" collapsed="false">
      <c r="B2099" s="80"/>
      <c r="C2099" s="58"/>
      <c r="D2099" s="62" t="str">
        <f aca="false">IF(C2099="","",IFERROR(INDEX(T_NOMBRE,MATCH(V2099,T_RUTN,0)),"⚠ RUT no está en Trabajadores"))</f>
        <v/>
      </c>
      <c r="E2099" s="61"/>
      <c r="F2099" s="61"/>
      <c r="G2099" s="61"/>
      <c r="H2099" s="61"/>
      <c r="I2099" s="81"/>
      <c r="J2099" s="81"/>
      <c r="K2099" s="60"/>
      <c r="L2099" s="60"/>
      <c r="M2099" s="60"/>
      <c r="N2099" s="60"/>
      <c r="O2099" s="60"/>
      <c r="P2099" s="60"/>
      <c r="Q2099" s="60"/>
      <c r="R2099" s="58"/>
      <c r="S2099" s="62" t="str">
        <f aca="false">IF(OR(B2099="",V2099=""),"",IFERROR(INDEX(C_TIPO,MATCH(V2099&amp;"-P"&amp;MAX(1,COUNTIFS(C_RUTN,V2099,C_DEF,"Sí",C_INI,"&lt;="&amp;EOMONTH(B2099,0))),C_CLAVE,0))&amp;"","Sin contrato"))</f>
        <v/>
      </c>
      <c r="T2099" s="63" t="str">
        <f aca="false">IF(OR(B2099="",N(O2099)=0),"",N(O2099)+ROUND(MIN(N(N2099),TOPE_UF*UF_MES)*(TASA_EMP+MUTUAL),0)+ROUND(MIN(N(N2099),TOPE_AFC_UF*UF_MES)*IF(S2099="Indefinido",AFC_INDEF,AFC_PF),0))</f>
        <v/>
      </c>
      <c r="U2099" s="62" t="str">
        <f aca="false">IF(C2099="","",IF(LEFT(D2099,1)="⚠","⚠ RUT no registrado en Trabajadores",IF(B2099="","⚠ Falta el mes",IF(OR(ISTEXT(I2099),ISTEXT(J2099)),"⚠ Atrasos u horas extra como texto: escriba hh:mm (ej. 1:30)",IF(AND(ISNUMBER(Q2099),COUNTIFS(M_RUTN,V2099,M_MES,B2099,M_LIQ,"&lt;&gt;")&gt;1),"⚠ Liquidación repetida en el mes",IF(AND(ISNUMBER(O2099),ISNUMBER(P2099),ISNUMBER(Q2099),ABS(O2099-P2099-Q2099)&gt;1),"⚠ Haberes − descuentos no da el líquido","OK"))))))</f>
        <v/>
      </c>
      <c r="V2099" s="62" t="str">
        <f aca="false">IF(C2099="","",IFERROR(VALUE(LEFT(UPPER(SUBSTITUTE(SUBSTITUTE(SUBSTITUTE(TRIM(C2099),".",""),"-","")," ","")),LEN(UPPER(SUBSTITUTE(SUBSTITUTE(SUBSTITUTE(TRIM(C2099),".",""),"-","")," ","")))-1))&amp;RIGHT(UPPER(SUBSTITUTE(SUBSTITUTE(SUBSTITUTE(TRIM(C2099),".",""),"-","")," ","")),1),UPPER(SUBSTITUTE(SUBSTITUTE(SUBSTITUTE(TRIM(C2099),".",""),"-","")," ",""))))</f>
        <v/>
      </c>
    </row>
    <row r="2100" customFormat="false" ht="15" hidden="false" customHeight="false" outlineLevel="0" collapsed="false">
      <c r="B2100" s="80"/>
      <c r="C2100" s="58"/>
      <c r="D2100" s="62" t="str">
        <f aca="false">IF(C2100="","",IFERROR(INDEX(T_NOMBRE,MATCH(V2100,T_RUTN,0)),"⚠ RUT no está en Trabajadores"))</f>
        <v/>
      </c>
      <c r="E2100" s="61"/>
      <c r="F2100" s="61"/>
      <c r="G2100" s="61"/>
      <c r="H2100" s="61"/>
      <c r="I2100" s="81"/>
      <c r="J2100" s="81"/>
      <c r="K2100" s="60"/>
      <c r="L2100" s="60"/>
      <c r="M2100" s="60"/>
      <c r="N2100" s="60"/>
      <c r="O2100" s="60"/>
      <c r="P2100" s="60"/>
      <c r="Q2100" s="60"/>
      <c r="R2100" s="58"/>
      <c r="S2100" s="62" t="str">
        <f aca="false">IF(OR(B2100="",V2100=""),"",IFERROR(INDEX(C_TIPO,MATCH(V2100&amp;"-P"&amp;MAX(1,COUNTIFS(C_RUTN,V2100,C_DEF,"Sí",C_INI,"&lt;="&amp;EOMONTH(B2100,0))),C_CLAVE,0))&amp;"","Sin contrato"))</f>
        <v/>
      </c>
      <c r="T2100" s="63" t="str">
        <f aca="false">IF(OR(B2100="",N(O2100)=0),"",N(O2100)+ROUND(MIN(N(N2100),TOPE_UF*UF_MES)*(TASA_EMP+MUTUAL),0)+ROUND(MIN(N(N2100),TOPE_AFC_UF*UF_MES)*IF(S2100="Indefinido",AFC_INDEF,AFC_PF),0))</f>
        <v/>
      </c>
      <c r="U2100" s="62" t="str">
        <f aca="false">IF(C2100="","",IF(LEFT(D2100,1)="⚠","⚠ RUT no registrado en Trabajadores",IF(B2100="","⚠ Falta el mes",IF(OR(ISTEXT(I2100),ISTEXT(J2100)),"⚠ Atrasos u horas extra como texto: escriba hh:mm (ej. 1:30)",IF(AND(ISNUMBER(Q2100),COUNTIFS(M_RUTN,V2100,M_MES,B2100,M_LIQ,"&lt;&gt;")&gt;1),"⚠ Liquidación repetida en el mes",IF(AND(ISNUMBER(O2100),ISNUMBER(P2100),ISNUMBER(Q2100),ABS(O2100-P2100-Q2100)&gt;1),"⚠ Haberes − descuentos no da el líquido","OK"))))))</f>
        <v/>
      </c>
      <c r="V2100" s="62" t="str">
        <f aca="false">IF(C2100="","",IFERROR(VALUE(LEFT(UPPER(SUBSTITUTE(SUBSTITUTE(SUBSTITUTE(TRIM(C2100),".",""),"-","")," ","")),LEN(UPPER(SUBSTITUTE(SUBSTITUTE(SUBSTITUTE(TRIM(C2100),".",""),"-","")," ","")))-1))&amp;RIGHT(UPPER(SUBSTITUTE(SUBSTITUTE(SUBSTITUTE(TRIM(C2100),".",""),"-","")," ","")),1),UPPER(SUBSTITUTE(SUBSTITUTE(SUBSTITUTE(TRIM(C2100),".",""),"-","")," ",""))))</f>
        <v/>
      </c>
    </row>
    <row r="2101" customFormat="false" ht="15" hidden="false" customHeight="false" outlineLevel="0" collapsed="false">
      <c r="B2101" s="80"/>
      <c r="C2101" s="58"/>
      <c r="D2101" s="62" t="str">
        <f aca="false">IF(C2101="","",IFERROR(INDEX(T_NOMBRE,MATCH(V2101,T_RUTN,0)),"⚠ RUT no está en Trabajadores"))</f>
        <v/>
      </c>
      <c r="E2101" s="61"/>
      <c r="F2101" s="61"/>
      <c r="G2101" s="61"/>
      <c r="H2101" s="61"/>
      <c r="I2101" s="81"/>
      <c r="J2101" s="81"/>
      <c r="K2101" s="60"/>
      <c r="L2101" s="60"/>
      <c r="M2101" s="60"/>
      <c r="N2101" s="60"/>
      <c r="O2101" s="60"/>
      <c r="P2101" s="60"/>
      <c r="Q2101" s="60"/>
      <c r="R2101" s="58"/>
      <c r="S2101" s="62" t="str">
        <f aca="false">IF(OR(B2101="",V2101=""),"",IFERROR(INDEX(C_TIPO,MATCH(V2101&amp;"-P"&amp;MAX(1,COUNTIFS(C_RUTN,V2101,C_DEF,"Sí",C_INI,"&lt;="&amp;EOMONTH(B2101,0))),C_CLAVE,0))&amp;"","Sin contrato"))</f>
        <v/>
      </c>
      <c r="T2101" s="63" t="str">
        <f aca="false">IF(OR(B2101="",N(O2101)=0),"",N(O2101)+ROUND(MIN(N(N2101),TOPE_UF*UF_MES)*(TASA_EMP+MUTUAL),0)+ROUND(MIN(N(N2101),TOPE_AFC_UF*UF_MES)*IF(S2101="Indefinido",AFC_INDEF,AFC_PF),0))</f>
        <v/>
      </c>
      <c r="U2101" s="62" t="str">
        <f aca="false">IF(C2101="","",IF(LEFT(D2101,1)="⚠","⚠ RUT no registrado en Trabajadores",IF(B2101="","⚠ Falta el mes",IF(OR(ISTEXT(I2101),ISTEXT(J2101)),"⚠ Atrasos u horas extra como texto: escriba hh:mm (ej. 1:30)",IF(AND(ISNUMBER(Q2101),COUNTIFS(M_RUTN,V2101,M_MES,B2101,M_LIQ,"&lt;&gt;")&gt;1),"⚠ Liquidación repetida en el mes",IF(AND(ISNUMBER(O2101),ISNUMBER(P2101),ISNUMBER(Q2101),ABS(O2101-P2101-Q2101)&gt;1),"⚠ Haberes − descuentos no da el líquido","OK"))))))</f>
        <v/>
      </c>
      <c r="V2101" s="62" t="str">
        <f aca="false">IF(C2101="","",IFERROR(VALUE(LEFT(UPPER(SUBSTITUTE(SUBSTITUTE(SUBSTITUTE(TRIM(C2101),".",""),"-","")," ","")),LEN(UPPER(SUBSTITUTE(SUBSTITUTE(SUBSTITUTE(TRIM(C2101),".",""),"-","")," ","")))-1))&amp;RIGHT(UPPER(SUBSTITUTE(SUBSTITUTE(SUBSTITUTE(TRIM(C2101),".",""),"-","")," ","")),1),UPPER(SUBSTITUTE(SUBSTITUTE(SUBSTITUTE(TRIM(C2101),".",""),"-","")," ",""))))</f>
        <v/>
      </c>
    </row>
    <row r="2102" customFormat="false" ht="15" hidden="false" customHeight="false" outlineLevel="0" collapsed="false">
      <c r="B2102" s="80"/>
      <c r="C2102" s="58"/>
      <c r="D2102" s="62" t="str">
        <f aca="false">IF(C2102="","",IFERROR(INDEX(T_NOMBRE,MATCH(V2102,T_RUTN,0)),"⚠ RUT no está en Trabajadores"))</f>
        <v/>
      </c>
      <c r="E2102" s="61"/>
      <c r="F2102" s="61"/>
      <c r="G2102" s="61"/>
      <c r="H2102" s="61"/>
      <c r="I2102" s="81"/>
      <c r="J2102" s="81"/>
      <c r="K2102" s="60"/>
      <c r="L2102" s="60"/>
      <c r="M2102" s="60"/>
      <c r="N2102" s="60"/>
      <c r="O2102" s="60"/>
      <c r="P2102" s="60"/>
      <c r="Q2102" s="60"/>
      <c r="R2102" s="58"/>
      <c r="S2102" s="62" t="str">
        <f aca="false">IF(OR(B2102="",V2102=""),"",IFERROR(INDEX(C_TIPO,MATCH(V2102&amp;"-P"&amp;MAX(1,COUNTIFS(C_RUTN,V2102,C_DEF,"Sí",C_INI,"&lt;="&amp;EOMONTH(B2102,0))),C_CLAVE,0))&amp;"","Sin contrato"))</f>
        <v/>
      </c>
      <c r="T2102" s="63" t="str">
        <f aca="false">IF(OR(B2102="",N(O2102)=0),"",N(O2102)+ROUND(MIN(N(N2102),TOPE_UF*UF_MES)*(TASA_EMP+MUTUAL),0)+ROUND(MIN(N(N2102),TOPE_AFC_UF*UF_MES)*IF(S2102="Indefinido",AFC_INDEF,AFC_PF),0))</f>
        <v/>
      </c>
      <c r="U2102" s="62" t="str">
        <f aca="false">IF(C2102="","",IF(LEFT(D2102,1)="⚠","⚠ RUT no registrado en Trabajadores",IF(B2102="","⚠ Falta el mes",IF(OR(ISTEXT(I2102),ISTEXT(J2102)),"⚠ Atrasos u horas extra como texto: escriba hh:mm (ej. 1:30)",IF(AND(ISNUMBER(Q2102),COUNTIFS(M_RUTN,V2102,M_MES,B2102,M_LIQ,"&lt;&gt;")&gt;1),"⚠ Liquidación repetida en el mes",IF(AND(ISNUMBER(O2102),ISNUMBER(P2102),ISNUMBER(Q2102),ABS(O2102-P2102-Q2102)&gt;1),"⚠ Haberes − descuentos no da el líquido","OK"))))))</f>
        <v/>
      </c>
      <c r="V2102" s="62" t="str">
        <f aca="false">IF(C2102="","",IFERROR(VALUE(LEFT(UPPER(SUBSTITUTE(SUBSTITUTE(SUBSTITUTE(TRIM(C2102),".",""),"-","")," ","")),LEN(UPPER(SUBSTITUTE(SUBSTITUTE(SUBSTITUTE(TRIM(C2102),".",""),"-","")," ","")))-1))&amp;RIGHT(UPPER(SUBSTITUTE(SUBSTITUTE(SUBSTITUTE(TRIM(C2102),".",""),"-","")," ","")),1),UPPER(SUBSTITUTE(SUBSTITUTE(SUBSTITUTE(TRIM(C2102),".",""),"-","")," ",""))))</f>
        <v/>
      </c>
    </row>
    <row r="2103" customFormat="false" ht="15" hidden="false" customHeight="false" outlineLevel="0" collapsed="false">
      <c r="B2103" s="80"/>
      <c r="C2103" s="58"/>
      <c r="D2103" s="62" t="str">
        <f aca="false">IF(C2103="","",IFERROR(INDEX(T_NOMBRE,MATCH(V2103,T_RUTN,0)),"⚠ RUT no está en Trabajadores"))</f>
        <v/>
      </c>
      <c r="E2103" s="61"/>
      <c r="F2103" s="61"/>
      <c r="G2103" s="61"/>
      <c r="H2103" s="61"/>
      <c r="I2103" s="81"/>
      <c r="J2103" s="81"/>
      <c r="K2103" s="60"/>
      <c r="L2103" s="60"/>
      <c r="M2103" s="60"/>
      <c r="N2103" s="60"/>
      <c r="O2103" s="60"/>
      <c r="P2103" s="60"/>
      <c r="Q2103" s="60"/>
      <c r="R2103" s="58"/>
      <c r="S2103" s="62" t="str">
        <f aca="false">IF(OR(B2103="",V2103=""),"",IFERROR(INDEX(C_TIPO,MATCH(V2103&amp;"-P"&amp;MAX(1,COUNTIFS(C_RUTN,V2103,C_DEF,"Sí",C_INI,"&lt;="&amp;EOMONTH(B2103,0))),C_CLAVE,0))&amp;"","Sin contrato"))</f>
        <v/>
      </c>
      <c r="T2103" s="63" t="str">
        <f aca="false">IF(OR(B2103="",N(O2103)=0),"",N(O2103)+ROUND(MIN(N(N2103),TOPE_UF*UF_MES)*(TASA_EMP+MUTUAL),0)+ROUND(MIN(N(N2103),TOPE_AFC_UF*UF_MES)*IF(S2103="Indefinido",AFC_INDEF,AFC_PF),0))</f>
        <v/>
      </c>
      <c r="U2103" s="62" t="str">
        <f aca="false">IF(C2103="","",IF(LEFT(D2103,1)="⚠","⚠ RUT no registrado en Trabajadores",IF(B2103="","⚠ Falta el mes",IF(OR(ISTEXT(I2103),ISTEXT(J2103)),"⚠ Atrasos u horas extra como texto: escriba hh:mm (ej. 1:30)",IF(AND(ISNUMBER(Q2103),COUNTIFS(M_RUTN,V2103,M_MES,B2103,M_LIQ,"&lt;&gt;")&gt;1),"⚠ Liquidación repetida en el mes",IF(AND(ISNUMBER(O2103),ISNUMBER(P2103),ISNUMBER(Q2103),ABS(O2103-P2103-Q2103)&gt;1),"⚠ Haberes − descuentos no da el líquido","OK"))))))</f>
        <v/>
      </c>
      <c r="V2103" s="62" t="str">
        <f aca="false">IF(C2103="","",IFERROR(VALUE(LEFT(UPPER(SUBSTITUTE(SUBSTITUTE(SUBSTITUTE(TRIM(C2103),".",""),"-","")," ","")),LEN(UPPER(SUBSTITUTE(SUBSTITUTE(SUBSTITUTE(TRIM(C2103),".",""),"-","")," ","")))-1))&amp;RIGHT(UPPER(SUBSTITUTE(SUBSTITUTE(SUBSTITUTE(TRIM(C2103),".",""),"-","")," ","")),1),UPPER(SUBSTITUTE(SUBSTITUTE(SUBSTITUTE(TRIM(C2103),".",""),"-","")," ",""))))</f>
        <v/>
      </c>
    </row>
    <row r="2104" customFormat="false" ht="15" hidden="false" customHeight="false" outlineLevel="0" collapsed="false">
      <c r="B2104" s="80"/>
      <c r="C2104" s="58"/>
      <c r="D2104" s="62" t="str">
        <f aca="false">IF(C2104="","",IFERROR(INDEX(T_NOMBRE,MATCH(V2104,T_RUTN,0)),"⚠ RUT no está en Trabajadores"))</f>
        <v/>
      </c>
      <c r="E2104" s="61"/>
      <c r="F2104" s="61"/>
      <c r="G2104" s="61"/>
      <c r="H2104" s="61"/>
      <c r="I2104" s="81"/>
      <c r="J2104" s="81"/>
      <c r="K2104" s="60"/>
      <c r="L2104" s="60"/>
      <c r="M2104" s="60"/>
      <c r="N2104" s="60"/>
      <c r="O2104" s="60"/>
      <c r="P2104" s="60"/>
      <c r="Q2104" s="60"/>
      <c r="R2104" s="58"/>
      <c r="S2104" s="62" t="str">
        <f aca="false">IF(OR(B2104="",V2104=""),"",IFERROR(INDEX(C_TIPO,MATCH(V2104&amp;"-P"&amp;MAX(1,COUNTIFS(C_RUTN,V2104,C_DEF,"Sí",C_INI,"&lt;="&amp;EOMONTH(B2104,0))),C_CLAVE,0))&amp;"","Sin contrato"))</f>
        <v/>
      </c>
      <c r="T2104" s="63" t="str">
        <f aca="false">IF(OR(B2104="",N(O2104)=0),"",N(O2104)+ROUND(MIN(N(N2104),TOPE_UF*UF_MES)*(TASA_EMP+MUTUAL),0)+ROUND(MIN(N(N2104),TOPE_AFC_UF*UF_MES)*IF(S2104="Indefinido",AFC_INDEF,AFC_PF),0))</f>
        <v/>
      </c>
      <c r="U2104" s="62" t="str">
        <f aca="false">IF(C2104="","",IF(LEFT(D2104,1)="⚠","⚠ RUT no registrado en Trabajadores",IF(B2104="","⚠ Falta el mes",IF(OR(ISTEXT(I2104),ISTEXT(J2104)),"⚠ Atrasos u horas extra como texto: escriba hh:mm (ej. 1:30)",IF(AND(ISNUMBER(Q2104),COUNTIFS(M_RUTN,V2104,M_MES,B2104,M_LIQ,"&lt;&gt;")&gt;1),"⚠ Liquidación repetida en el mes",IF(AND(ISNUMBER(O2104),ISNUMBER(P2104),ISNUMBER(Q2104),ABS(O2104-P2104-Q2104)&gt;1),"⚠ Haberes − descuentos no da el líquido","OK"))))))</f>
        <v/>
      </c>
      <c r="V2104" s="62" t="str">
        <f aca="false">IF(C2104="","",IFERROR(VALUE(LEFT(UPPER(SUBSTITUTE(SUBSTITUTE(SUBSTITUTE(TRIM(C2104),".",""),"-","")," ","")),LEN(UPPER(SUBSTITUTE(SUBSTITUTE(SUBSTITUTE(TRIM(C2104),".",""),"-","")," ","")))-1))&amp;RIGHT(UPPER(SUBSTITUTE(SUBSTITUTE(SUBSTITUTE(TRIM(C2104),".",""),"-","")," ","")),1),UPPER(SUBSTITUTE(SUBSTITUTE(SUBSTITUTE(TRIM(C2104),".",""),"-","")," ",""))))</f>
        <v/>
      </c>
    </row>
    <row r="2105" customFormat="false" ht="15" hidden="false" customHeight="false" outlineLevel="0" collapsed="false">
      <c r="B2105" s="80"/>
      <c r="C2105" s="58"/>
      <c r="D2105" s="62" t="str">
        <f aca="false">IF(C2105="","",IFERROR(INDEX(T_NOMBRE,MATCH(V2105,T_RUTN,0)),"⚠ RUT no está en Trabajadores"))</f>
        <v/>
      </c>
      <c r="E2105" s="61"/>
      <c r="F2105" s="61"/>
      <c r="G2105" s="61"/>
      <c r="H2105" s="61"/>
      <c r="I2105" s="81"/>
      <c r="J2105" s="81"/>
      <c r="K2105" s="60"/>
      <c r="L2105" s="60"/>
      <c r="M2105" s="60"/>
      <c r="N2105" s="60"/>
      <c r="O2105" s="60"/>
      <c r="P2105" s="60"/>
      <c r="Q2105" s="60"/>
      <c r="R2105" s="58"/>
      <c r="S2105" s="62" t="str">
        <f aca="false">IF(OR(B2105="",V2105=""),"",IFERROR(INDEX(C_TIPO,MATCH(V2105&amp;"-P"&amp;MAX(1,COUNTIFS(C_RUTN,V2105,C_DEF,"Sí",C_INI,"&lt;="&amp;EOMONTH(B2105,0))),C_CLAVE,0))&amp;"","Sin contrato"))</f>
        <v/>
      </c>
      <c r="T2105" s="63" t="str">
        <f aca="false">IF(OR(B2105="",N(O2105)=0),"",N(O2105)+ROUND(MIN(N(N2105),TOPE_UF*UF_MES)*(TASA_EMP+MUTUAL),0)+ROUND(MIN(N(N2105),TOPE_AFC_UF*UF_MES)*IF(S2105="Indefinido",AFC_INDEF,AFC_PF),0))</f>
        <v/>
      </c>
      <c r="U2105" s="62" t="str">
        <f aca="false">IF(C2105="","",IF(LEFT(D2105,1)="⚠","⚠ RUT no registrado en Trabajadores",IF(B2105="","⚠ Falta el mes",IF(OR(ISTEXT(I2105),ISTEXT(J2105)),"⚠ Atrasos u horas extra como texto: escriba hh:mm (ej. 1:30)",IF(AND(ISNUMBER(Q2105),COUNTIFS(M_RUTN,V2105,M_MES,B2105,M_LIQ,"&lt;&gt;")&gt;1),"⚠ Liquidación repetida en el mes",IF(AND(ISNUMBER(O2105),ISNUMBER(P2105),ISNUMBER(Q2105),ABS(O2105-P2105-Q2105)&gt;1),"⚠ Haberes − descuentos no da el líquido","OK"))))))</f>
        <v/>
      </c>
      <c r="V2105" s="62" t="str">
        <f aca="false">IF(C2105="","",IFERROR(VALUE(LEFT(UPPER(SUBSTITUTE(SUBSTITUTE(SUBSTITUTE(TRIM(C2105),".",""),"-","")," ","")),LEN(UPPER(SUBSTITUTE(SUBSTITUTE(SUBSTITUTE(TRIM(C2105),".",""),"-","")," ","")))-1))&amp;RIGHT(UPPER(SUBSTITUTE(SUBSTITUTE(SUBSTITUTE(TRIM(C2105),".",""),"-","")," ","")),1),UPPER(SUBSTITUTE(SUBSTITUTE(SUBSTITUTE(TRIM(C2105),".",""),"-","")," ",""))))</f>
        <v/>
      </c>
    </row>
    <row r="2106" customFormat="false" ht="15" hidden="false" customHeight="false" outlineLevel="0" collapsed="false">
      <c r="B2106" s="80"/>
      <c r="C2106" s="58"/>
      <c r="D2106" s="62" t="str">
        <f aca="false">IF(C2106="","",IFERROR(INDEX(T_NOMBRE,MATCH(V2106,T_RUTN,0)),"⚠ RUT no está en Trabajadores"))</f>
        <v/>
      </c>
      <c r="E2106" s="61"/>
      <c r="F2106" s="61"/>
      <c r="G2106" s="61"/>
      <c r="H2106" s="61"/>
      <c r="I2106" s="81"/>
      <c r="J2106" s="81"/>
      <c r="K2106" s="60"/>
      <c r="L2106" s="60"/>
      <c r="M2106" s="60"/>
      <c r="N2106" s="60"/>
      <c r="O2106" s="60"/>
      <c r="P2106" s="60"/>
      <c r="Q2106" s="60"/>
      <c r="R2106" s="58"/>
      <c r="S2106" s="62" t="str">
        <f aca="false">IF(OR(B2106="",V2106=""),"",IFERROR(INDEX(C_TIPO,MATCH(V2106&amp;"-P"&amp;MAX(1,COUNTIFS(C_RUTN,V2106,C_DEF,"Sí",C_INI,"&lt;="&amp;EOMONTH(B2106,0))),C_CLAVE,0))&amp;"","Sin contrato"))</f>
        <v/>
      </c>
      <c r="T2106" s="63" t="str">
        <f aca="false">IF(OR(B2106="",N(O2106)=0),"",N(O2106)+ROUND(MIN(N(N2106),TOPE_UF*UF_MES)*(TASA_EMP+MUTUAL),0)+ROUND(MIN(N(N2106),TOPE_AFC_UF*UF_MES)*IF(S2106="Indefinido",AFC_INDEF,AFC_PF),0))</f>
        <v/>
      </c>
      <c r="U2106" s="62" t="str">
        <f aca="false">IF(C2106="","",IF(LEFT(D2106,1)="⚠","⚠ RUT no registrado en Trabajadores",IF(B2106="","⚠ Falta el mes",IF(OR(ISTEXT(I2106),ISTEXT(J2106)),"⚠ Atrasos u horas extra como texto: escriba hh:mm (ej. 1:30)",IF(AND(ISNUMBER(Q2106),COUNTIFS(M_RUTN,V2106,M_MES,B2106,M_LIQ,"&lt;&gt;")&gt;1),"⚠ Liquidación repetida en el mes",IF(AND(ISNUMBER(O2106),ISNUMBER(P2106),ISNUMBER(Q2106),ABS(O2106-P2106-Q2106)&gt;1),"⚠ Haberes − descuentos no da el líquido","OK"))))))</f>
        <v/>
      </c>
      <c r="V2106" s="62" t="str">
        <f aca="false">IF(C2106="","",IFERROR(VALUE(LEFT(UPPER(SUBSTITUTE(SUBSTITUTE(SUBSTITUTE(TRIM(C2106),".",""),"-","")," ","")),LEN(UPPER(SUBSTITUTE(SUBSTITUTE(SUBSTITUTE(TRIM(C2106),".",""),"-","")," ","")))-1))&amp;RIGHT(UPPER(SUBSTITUTE(SUBSTITUTE(SUBSTITUTE(TRIM(C2106),".",""),"-","")," ","")),1),UPPER(SUBSTITUTE(SUBSTITUTE(SUBSTITUTE(TRIM(C2106),".",""),"-","")," ",""))))</f>
        <v/>
      </c>
    </row>
    <row r="2107" customFormat="false" ht="15" hidden="false" customHeight="false" outlineLevel="0" collapsed="false">
      <c r="B2107" s="80"/>
      <c r="C2107" s="58"/>
      <c r="D2107" s="62" t="str">
        <f aca="false">IF(C2107="","",IFERROR(INDEX(T_NOMBRE,MATCH(V2107,T_RUTN,0)),"⚠ RUT no está en Trabajadores"))</f>
        <v/>
      </c>
      <c r="E2107" s="61"/>
      <c r="F2107" s="61"/>
      <c r="G2107" s="61"/>
      <c r="H2107" s="61"/>
      <c r="I2107" s="81"/>
      <c r="J2107" s="81"/>
      <c r="K2107" s="60"/>
      <c r="L2107" s="60"/>
      <c r="M2107" s="60"/>
      <c r="N2107" s="60"/>
      <c r="O2107" s="60"/>
      <c r="P2107" s="60"/>
      <c r="Q2107" s="60"/>
      <c r="R2107" s="58"/>
      <c r="S2107" s="62" t="str">
        <f aca="false">IF(OR(B2107="",V2107=""),"",IFERROR(INDEX(C_TIPO,MATCH(V2107&amp;"-P"&amp;MAX(1,COUNTIFS(C_RUTN,V2107,C_DEF,"Sí",C_INI,"&lt;="&amp;EOMONTH(B2107,0))),C_CLAVE,0))&amp;"","Sin contrato"))</f>
        <v/>
      </c>
      <c r="T2107" s="63" t="str">
        <f aca="false">IF(OR(B2107="",N(O2107)=0),"",N(O2107)+ROUND(MIN(N(N2107),TOPE_UF*UF_MES)*(TASA_EMP+MUTUAL),0)+ROUND(MIN(N(N2107),TOPE_AFC_UF*UF_MES)*IF(S2107="Indefinido",AFC_INDEF,AFC_PF),0))</f>
        <v/>
      </c>
      <c r="U2107" s="62" t="str">
        <f aca="false">IF(C2107="","",IF(LEFT(D2107,1)="⚠","⚠ RUT no registrado en Trabajadores",IF(B2107="","⚠ Falta el mes",IF(OR(ISTEXT(I2107),ISTEXT(J2107)),"⚠ Atrasos u horas extra como texto: escriba hh:mm (ej. 1:30)",IF(AND(ISNUMBER(Q2107),COUNTIFS(M_RUTN,V2107,M_MES,B2107,M_LIQ,"&lt;&gt;")&gt;1),"⚠ Liquidación repetida en el mes",IF(AND(ISNUMBER(O2107),ISNUMBER(P2107),ISNUMBER(Q2107),ABS(O2107-P2107-Q2107)&gt;1),"⚠ Haberes − descuentos no da el líquido","OK"))))))</f>
        <v/>
      </c>
      <c r="V2107" s="62" t="str">
        <f aca="false">IF(C2107="","",IFERROR(VALUE(LEFT(UPPER(SUBSTITUTE(SUBSTITUTE(SUBSTITUTE(TRIM(C2107),".",""),"-","")," ","")),LEN(UPPER(SUBSTITUTE(SUBSTITUTE(SUBSTITUTE(TRIM(C2107),".",""),"-","")," ","")))-1))&amp;RIGHT(UPPER(SUBSTITUTE(SUBSTITUTE(SUBSTITUTE(TRIM(C2107),".",""),"-","")," ","")),1),UPPER(SUBSTITUTE(SUBSTITUTE(SUBSTITUTE(TRIM(C2107),".",""),"-","")," ",""))))</f>
        <v/>
      </c>
    </row>
    <row r="2108" customFormat="false" ht="15" hidden="false" customHeight="false" outlineLevel="0" collapsed="false">
      <c r="B2108" s="80"/>
      <c r="C2108" s="58"/>
      <c r="D2108" s="62" t="str">
        <f aca="false">IF(C2108="","",IFERROR(INDEX(T_NOMBRE,MATCH(V2108,T_RUTN,0)),"⚠ RUT no está en Trabajadores"))</f>
        <v/>
      </c>
      <c r="E2108" s="61"/>
      <c r="F2108" s="61"/>
      <c r="G2108" s="61"/>
      <c r="H2108" s="61"/>
      <c r="I2108" s="81"/>
      <c r="J2108" s="81"/>
      <c r="K2108" s="60"/>
      <c r="L2108" s="60"/>
      <c r="M2108" s="60"/>
      <c r="N2108" s="60"/>
      <c r="O2108" s="60"/>
      <c r="P2108" s="60"/>
      <c r="Q2108" s="60"/>
      <c r="R2108" s="58"/>
      <c r="S2108" s="62" t="str">
        <f aca="false">IF(OR(B2108="",V2108=""),"",IFERROR(INDEX(C_TIPO,MATCH(V2108&amp;"-P"&amp;MAX(1,COUNTIFS(C_RUTN,V2108,C_DEF,"Sí",C_INI,"&lt;="&amp;EOMONTH(B2108,0))),C_CLAVE,0))&amp;"","Sin contrato"))</f>
        <v/>
      </c>
      <c r="T2108" s="63" t="str">
        <f aca="false">IF(OR(B2108="",N(O2108)=0),"",N(O2108)+ROUND(MIN(N(N2108),TOPE_UF*UF_MES)*(TASA_EMP+MUTUAL),0)+ROUND(MIN(N(N2108),TOPE_AFC_UF*UF_MES)*IF(S2108="Indefinido",AFC_INDEF,AFC_PF),0))</f>
        <v/>
      </c>
      <c r="U2108" s="62" t="str">
        <f aca="false">IF(C2108="","",IF(LEFT(D2108,1)="⚠","⚠ RUT no registrado en Trabajadores",IF(B2108="","⚠ Falta el mes",IF(OR(ISTEXT(I2108),ISTEXT(J2108)),"⚠ Atrasos u horas extra como texto: escriba hh:mm (ej. 1:30)",IF(AND(ISNUMBER(Q2108),COUNTIFS(M_RUTN,V2108,M_MES,B2108,M_LIQ,"&lt;&gt;")&gt;1),"⚠ Liquidación repetida en el mes",IF(AND(ISNUMBER(O2108),ISNUMBER(P2108),ISNUMBER(Q2108),ABS(O2108-P2108-Q2108)&gt;1),"⚠ Haberes − descuentos no da el líquido","OK"))))))</f>
        <v/>
      </c>
      <c r="V2108" s="62" t="str">
        <f aca="false">IF(C2108="","",IFERROR(VALUE(LEFT(UPPER(SUBSTITUTE(SUBSTITUTE(SUBSTITUTE(TRIM(C2108),".",""),"-","")," ","")),LEN(UPPER(SUBSTITUTE(SUBSTITUTE(SUBSTITUTE(TRIM(C2108),".",""),"-","")," ","")))-1))&amp;RIGHT(UPPER(SUBSTITUTE(SUBSTITUTE(SUBSTITUTE(TRIM(C2108),".",""),"-","")," ","")),1),UPPER(SUBSTITUTE(SUBSTITUTE(SUBSTITUTE(TRIM(C2108),".",""),"-","")," ",""))))</f>
        <v/>
      </c>
    </row>
    <row r="2109" customFormat="false" ht="15" hidden="false" customHeight="false" outlineLevel="0" collapsed="false">
      <c r="B2109" s="80"/>
      <c r="C2109" s="58"/>
      <c r="D2109" s="62" t="str">
        <f aca="false">IF(C2109="","",IFERROR(INDEX(T_NOMBRE,MATCH(V2109,T_RUTN,0)),"⚠ RUT no está en Trabajadores"))</f>
        <v/>
      </c>
      <c r="E2109" s="61"/>
      <c r="F2109" s="61"/>
      <c r="G2109" s="61"/>
      <c r="H2109" s="61"/>
      <c r="I2109" s="81"/>
      <c r="J2109" s="81"/>
      <c r="K2109" s="60"/>
      <c r="L2109" s="60"/>
      <c r="M2109" s="60"/>
      <c r="N2109" s="60"/>
      <c r="O2109" s="60"/>
      <c r="P2109" s="60"/>
      <c r="Q2109" s="60"/>
      <c r="R2109" s="58"/>
      <c r="S2109" s="62" t="str">
        <f aca="false">IF(OR(B2109="",V2109=""),"",IFERROR(INDEX(C_TIPO,MATCH(V2109&amp;"-P"&amp;MAX(1,COUNTIFS(C_RUTN,V2109,C_DEF,"Sí",C_INI,"&lt;="&amp;EOMONTH(B2109,0))),C_CLAVE,0))&amp;"","Sin contrato"))</f>
        <v/>
      </c>
      <c r="T2109" s="63" t="str">
        <f aca="false">IF(OR(B2109="",N(O2109)=0),"",N(O2109)+ROUND(MIN(N(N2109),TOPE_UF*UF_MES)*(TASA_EMP+MUTUAL),0)+ROUND(MIN(N(N2109),TOPE_AFC_UF*UF_MES)*IF(S2109="Indefinido",AFC_INDEF,AFC_PF),0))</f>
        <v/>
      </c>
      <c r="U2109" s="62" t="str">
        <f aca="false">IF(C2109="","",IF(LEFT(D2109,1)="⚠","⚠ RUT no registrado en Trabajadores",IF(B2109="","⚠ Falta el mes",IF(OR(ISTEXT(I2109),ISTEXT(J2109)),"⚠ Atrasos u horas extra como texto: escriba hh:mm (ej. 1:30)",IF(AND(ISNUMBER(Q2109),COUNTIFS(M_RUTN,V2109,M_MES,B2109,M_LIQ,"&lt;&gt;")&gt;1),"⚠ Liquidación repetida en el mes",IF(AND(ISNUMBER(O2109),ISNUMBER(P2109),ISNUMBER(Q2109),ABS(O2109-P2109-Q2109)&gt;1),"⚠ Haberes − descuentos no da el líquido","OK"))))))</f>
        <v/>
      </c>
      <c r="V2109" s="62" t="str">
        <f aca="false">IF(C2109="","",IFERROR(VALUE(LEFT(UPPER(SUBSTITUTE(SUBSTITUTE(SUBSTITUTE(TRIM(C2109),".",""),"-","")," ","")),LEN(UPPER(SUBSTITUTE(SUBSTITUTE(SUBSTITUTE(TRIM(C2109),".",""),"-","")," ","")))-1))&amp;RIGHT(UPPER(SUBSTITUTE(SUBSTITUTE(SUBSTITUTE(TRIM(C2109),".",""),"-","")," ","")),1),UPPER(SUBSTITUTE(SUBSTITUTE(SUBSTITUTE(TRIM(C2109),".",""),"-","")," ",""))))</f>
        <v/>
      </c>
    </row>
    <row r="2110" customFormat="false" ht="15" hidden="false" customHeight="false" outlineLevel="0" collapsed="false">
      <c r="B2110" s="80"/>
      <c r="C2110" s="58"/>
      <c r="D2110" s="62" t="str">
        <f aca="false">IF(C2110="","",IFERROR(INDEX(T_NOMBRE,MATCH(V2110,T_RUTN,0)),"⚠ RUT no está en Trabajadores"))</f>
        <v/>
      </c>
      <c r="E2110" s="61"/>
      <c r="F2110" s="61"/>
      <c r="G2110" s="61"/>
      <c r="H2110" s="61"/>
      <c r="I2110" s="81"/>
      <c r="J2110" s="81"/>
      <c r="K2110" s="60"/>
      <c r="L2110" s="60"/>
      <c r="M2110" s="60"/>
      <c r="N2110" s="60"/>
      <c r="O2110" s="60"/>
      <c r="P2110" s="60"/>
      <c r="Q2110" s="60"/>
      <c r="R2110" s="58"/>
      <c r="S2110" s="62" t="str">
        <f aca="false">IF(OR(B2110="",V2110=""),"",IFERROR(INDEX(C_TIPO,MATCH(V2110&amp;"-P"&amp;MAX(1,COUNTIFS(C_RUTN,V2110,C_DEF,"Sí",C_INI,"&lt;="&amp;EOMONTH(B2110,0))),C_CLAVE,0))&amp;"","Sin contrato"))</f>
        <v/>
      </c>
      <c r="T2110" s="63" t="str">
        <f aca="false">IF(OR(B2110="",N(O2110)=0),"",N(O2110)+ROUND(MIN(N(N2110),TOPE_UF*UF_MES)*(TASA_EMP+MUTUAL),0)+ROUND(MIN(N(N2110),TOPE_AFC_UF*UF_MES)*IF(S2110="Indefinido",AFC_INDEF,AFC_PF),0))</f>
        <v/>
      </c>
      <c r="U2110" s="62" t="str">
        <f aca="false">IF(C2110="","",IF(LEFT(D2110,1)="⚠","⚠ RUT no registrado en Trabajadores",IF(B2110="","⚠ Falta el mes",IF(OR(ISTEXT(I2110),ISTEXT(J2110)),"⚠ Atrasos u horas extra como texto: escriba hh:mm (ej. 1:30)",IF(AND(ISNUMBER(Q2110),COUNTIFS(M_RUTN,V2110,M_MES,B2110,M_LIQ,"&lt;&gt;")&gt;1),"⚠ Liquidación repetida en el mes",IF(AND(ISNUMBER(O2110),ISNUMBER(P2110),ISNUMBER(Q2110),ABS(O2110-P2110-Q2110)&gt;1),"⚠ Haberes − descuentos no da el líquido","OK"))))))</f>
        <v/>
      </c>
      <c r="V2110" s="62" t="str">
        <f aca="false">IF(C2110="","",IFERROR(VALUE(LEFT(UPPER(SUBSTITUTE(SUBSTITUTE(SUBSTITUTE(TRIM(C2110),".",""),"-","")," ","")),LEN(UPPER(SUBSTITUTE(SUBSTITUTE(SUBSTITUTE(TRIM(C2110),".",""),"-","")," ","")))-1))&amp;RIGHT(UPPER(SUBSTITUTE(SUBSTITUTE(SUBSTITUTE(TRIM(C2110),".",""),"-","")," ","")),1),UPPER(SUBSTITUTE(SUBSTITUTE(SUBSTITUTE(TRIM(C2110),".",""),"-","")," ",""))))</f>
        <v/>
      </c>
    </row>
    <row r="2111" customFormat="false" ht="15" hidden="false" customHeight="false" outlineLevel="0" collapsed="false">
      <c r="B2111" s="80"/>
      <c r="C2111" s="58"/>
      <c r="D2111" s="62" t="str">
        <f aca="false">IF(C2111="","",IFERROR(INDEX(T_NOMBRE,MATCH(V2111,T_RUTN,0)),"⚠ RUT no está en Trabajadores"))</f>
        <v/>
      </c>
      <c r="E2111" s="61"/>
      <c r="F2111" s="61"/>
      <c r="G2111" s="61"/>
      <c r="H2111" s="61"/>
      <c r="I2111" s="81"/>
      <c r="J2111" s="81"/>
      <c r="K2111" s="60"/>
      <c r="L2111" s="60"/>
      <c r="M2111" s="60"/>
      <c r="N2111" s="60"/>
      <c r="O2111" s="60"/>
      <c r="P2111" s="60"/>
      <c r="Q2111" s="60"/>
      <c r="R2111" s="58"/>
      <c r="S2111" s="62" t="str">
        <f aca="false">IF(OR(B2111="",V2111=""),"",IFERROR(INDEX(C_TIPO,MATCH(V2111&amp;"-P"&amp;MAX(1,COUNTIFS(C_RUTN,V2111,C_DEF,"Sí",C_INI,"&lt;="&amp;EOMONTH(B2111,0))),C_CLAVE,0))&amp;"","Sin contrato"))</f>
        <v/>
      </c>
      <c r="T2111" s="63" t="str">
        <f aca="false">IF(OR(B2111="",N(O2111)=0),"",N(O2111)+ROUND(MIN(N(N2111),TOPE_UF*UF_MES)*(TASA_EMP+MUTUAL),0)+ROUND(MIN(N(N2111),TOPE_AFC_UF*UF_MES)*IF(S2111="Indefinido",AFC_INDEF,AFC_PF),0))</f>
        <v/>
      </c>
      <c r="U2111" s="62" t="str">
        <f aca="false">IF(C2111="","",IF(LEFT(D2111,1)="⚠","⚠ RUT no registrado en Trabajadores",IF(B2111="","⚠ Falta el mes",IF(OR(ISTEXT(I2111),ISTEXT(J2111)),"⚠ Atrasos u horas extra como texto: escriba hh:mm (ej. 1:30)",IF(AND(ISNUMBER(Q2111),COUNTIFS(M_RUTN,V2111,M_MES,B2111,M_LIQ,"&lt;&gt;")&gt;1),"⚠ Liquidación repetida en el mes",IF(AND(ISNUMBER(O2111),ISNUMBER(P2111),ISNUMBER(Q2111),ABS(O2111-P2111-Q2111)&gt;1),"⚠ Haberes − descuentos no da el líquido","OK"))))))</f>
        <v/>
      </c>
      <c r="V2111" s="62" t="str">
        <f aca="false">IF(C2111="","",IFERROR(VALUE(LEFT(UPPER(SUBSTITUTE(SUBSTITUTE(SUBSTITUTE(TRIM(C2111),".",""),"-","")," ","")),LEN(UPPER(SUBSTITUTE(SUBSTITUTE(SUBSTITUTE(TRIM(C2111),".",""),"-","")," ","")))-1))&amp;RIGHT(UPPER(SUBSTITUTE(SUBSTITUTE(SUBSTITUTE(TRIM(C2111),".",""),"-","")," ","")),1),UPPER(SUBSTITUTE(SUBSTITUTE(SUBSTITUTE(TRIM(C2111),".",""),"-","")," ",""))))</f>
        <v/>
      </c>
    </row>
    <row r="2112" customFormat="false" ht="15" hidden="false" customHeight="false" outlineLevel="0" collapsed="false">
      <c r="B2112" s="80"/>
      <c r="C2112" s="58"/>
      <c r="D2112" s="62" t="str">
        <f aca="false">IF(C2112="","",IFERROR(INDEX(T_NOMBRE,MATCH(V2112,T_RUTN,0)),"⚠ RUT no está en Trabajadores"))</f>
        <v/>
      </c>
      <c r="E2112" s="61"/>
      <c r="F2112" s="61"/>
      <c r="G2112" s="61"/>
      <c r="H2112" s="61"/>
      <c r="I2112" s="81"/>
      <c r="J2112" s="81"/>
      <c r="K2112" s="60"/>
      <c r="L2112" s="60"/>
      <c r="M2112" s="60"/>
      <c r="N2112" s="60"/>
      <c r="O2112" s="60"/>
      <c r="P2112" s="60"/>
      <c r="Q2112" s="60"/>
      <c r="R2112" s="58"/>
      <c r="S2112" s="62" t="str">
        <f aca="false">IF(OR(B2112="",V2112=""),"",IFERROR(INDEX(C_TIPO,MATCH(V2112&amp;"-P"&amp;MAX(1,COUNTIFS(C_RUTN,V2112,C_DEF,"Sí",C_INI,"&lt;="&amp;EOMONTH(B2112,0))),C_CLAVE,0))&amp;"","Sin contrato"))</f>
        <v/>
      </c>
      <c r="T2112" s="63" t="str">
        <f aca="false">IF(OR(B2112="",N(O2112)=0),"",N(O2112)+ROUND(MIN(N(N2112),TOPE_UF*UF_MES)*(TASA_EMP+MUTUAL),0)+ROUND(MIN(N(N2112),TOPE_AFC_UF*UF_MES)*IF(S2112="Indefinido",AFC_INDEF,AFC_PF),0))</f>
        <v/>
      </c>
      <c r="U2112" s="62" t="str">
        <f aca="false">IF(C2112="","",IF(LEFT(D2112,1)="⚠","⚠ RUT no registrado en Trabajadores",IF(B2112="","⚠ Falta el mes",IF(OR(ISTEXT(I2112),ISTEXT(J2112)),"⚠ Atrasos u horas extra como texto: escriba hh:mm (ej. 1:30)",IF(AND(ISNUMBER(Q2112),COUNTIFS(M_RUTN,V2112,M_MES,B2112,M_LIQ,"&lt;&gt;")&gt;1),"⚠ Liquidación repetida en el mes",IF(AND(ISNUMBER(O2112),ISNUMBER(P2112),ISNUMBER(Q2112),ABS(O2112-P2112-Q2112)&gt;1),"⚠ Haberes − descuentos no da el líquido","OK"))))))</f>
        <v/>
      </c>
      <c r="V2112" s="62" t="str">
        <f aca="false">IF(C2112="","",IFERROR(VALUE(LEFT(UPPER(SUBSTITUTE(SUBSTITUTE(SUBSTITUTE(TRIM(C2112),".",""),"-","")," ","")),LEN(UPPER(SUBSTITUTE(SUBSTITUTE(SUBSTITUTE(TRIM(C2112),".",""),"-","")," ","")))-1))&amp;RIGHT(UPPER(SUBSTITUTE(SUBSTITUTE(SUBSTITUTE(TRIM(C2112),".",""),"-","")," ","")),1),UPPER(SUBSTITUTE(SUBSTITUTE(SUBSTITUTE(TRIM(C2112),".",""),"-","")," ",""))))</f>
        <v/>
      </c>
    </row>
    <row r="2113" customFormat="false" ht="15" hidden="false" customHeight="false" outlineLevel="0" collapsed="false">
      <c r="B2113" s="80"/>
      <c r="C2113" s="58"/>
      <c r="D2113" s="62" t="str">
        <f aca="false">IF(C2113="","",IFERROR(INDEX(T_NOMBRE,MATCH(V2113,T_RUTN,0)),"⚠ RUT no está en Trabajadores"))</f>
        <v/>
      </c>
      <c r="E2113" s="61"/>
      <c r="F2113" s="61"/>
      <c r="G2113" s="61"/>
      <c r="H2113" s="61"/>
      <c r="I2113" s="81"/>
      <c r="J2113" s="81"/>
      <c r="K2113" s="60"/>
      <c r="L2113" s="60"/>
      <c r="M2113" s="60"/>
      <c r="N2113" s="60"/>
      <c r="O2113" s="60"/>
      <c r="P2113" s="60"/>
      <c r="Q2113" s="60"/>
      <c r="R2113" s="58"/>
      <c r="S2113" s="62" t="str">
        <f aca="false">IF(OR(B2113="",V2113=""),"",IFERROR(INDEX(C_TIPO,MATCH(V2113&amp;"-P"&amp;MAX(1,COUNTIFS(C_RUTN,V2113,C_DEF,"Sí",C_INI,"&lt;="&amp;EOMONTH(B2113,0))),C_CLAVE,0))&amp;"","Sin contrato"))</f>
        <v/>
      </c>
      <c r="T2113" s="63" t="str">
        <f aca="false">IF(OR(B2113="",N(O2113)=0),"",N(O2113)+ROUND(MIN(N(N2113),TOPE_UF*UF_MES)*(TASA_EMP+MUTUAL),0)+ROUND(MIN(N(N2113),TOPE_AFC_UF*UF_MES)*IF(S2113="Indefinido",AFC_INDEF,AFC_PF),0))</f>
        <v/>
      </c>
      <c r="U2113" s="62" t="str">
        <f aca="false">IF(C2113="","",IF(LEFT(D2113,1)="⚠","⚠ RUT no registrado en Trabajadores",IF(B2113="","⚠ Falta el mes",IF(OR(ISTEXT(I2113),ISTEXT(J2113)),"⚠ Atrasos u horas extra como texto: escriba hh:mm (ej. 1:30)",IF(AND(ISNUMBER(Q2113),COUNTIFS(M_RUTN,V2113,M_MES,B2113,M_LIQ,"&lt;&gt;")&gt;1),"⚠ Liquidación repetida en el mes",IF(AND(ISNUMBER(O2113),ISNUMBER(P2113),ISNUMBER(Q2113),ABS(O2113-P2113-Q2113)&gt;1),"⚠ Haberes − descuentos no da el líquido","OK"))))))</f>
        <v/>
      </c>
      <c r="V2113" s="62" t="str">
        <f aca="false">IF(C2113="","",IFERROR(VALUE(LEFT(UPPER(SUBSTITUTE(SUBSTITUTE(SUBSTITUTE(TRIM(C2113),".",""),"-","")," ","")),LEN(UPPER(SUBSTITUTE(SUBSTITUTE(SUBSTITUTE(TRIM(C2113),".",""),"-","")," ","")))-1))&amp;RIGHT(UPPER(SUBSTITUTE(SUBSTITUTE(SUBSTITUTE(TRIM(C2113),".",""),"-","")," ","")),1),UPPER(SUBSTITUTE(SUBSTITUTE(SUBSTITUTE(TRIM(C2113),".",""),"-","")," ",""))))</f>
        <v/>
      </c>
    </row>
    <row r="2114" customFormat="false" ht="15" hidden="false" customHeight="false" outlineLevel="0" collapsed="false">
      <c r="B2114" s="80"/>
      <c r="C2114" s="58"/>
      <c r="D2114" s="62" t="str">
        <f aca="false">IF(C2114="","",IFERROR(INDEX(T_NOMBRE,MATCH(V2114,T_RUTN,0)),"⚠ RUT no está en Trabajadores"))</f>
        <v/>
      </c>
      <c r="E2114" s="61"/>
      <c r="F2114" s="61"/>
      <c r="G2114" s="61"/>
      <c r="H2114" s="61"/>
      <c r="I2114" s="81"/>
      <c r="J2114" s="81"/>
      <c r="K2114" s="60"/>
      <c r="L2114" s="60"/>
      <c r="M2114" s="60"/>
      <c r="N2114" s="60"/>
      <c r="O2114" s="60"/>
      <c r="P2114" s="60"/>
      <c r="Q2114" s="60"/>
      <c r="R2114" s="58"/>
      <c r="S2114" s="62" t="str">
        <f aca="false">IF(OR(B2114="",V2114=""),"",IFERROR(INDEX(C_TIPO,MATCH(V2114&amp;"-P"&amp;MAX(1,COUNTIFS(C_RUTN,V2114,C_DEF,"Sí",C_INI,"&lt;="&amp;EOMONTH(B2114,0))),C_CLAVE,0))&amp;"","Sin contrato"))</f>
        <v/>
      </c>
      <c r="T2114" s="63" t="str">
        <f aca="false">IF(OR(B2114="",N(O2114)=0),"",N(O2114)+ROUND(MIN(N(N2114),TOPE_UF*UF_MES)*(TASA_EMP+MUTUAL),0)+ROUND(MIN(N(N2114),TOPE_AFC_UF*UF_MES)*IF(S2114="Indefinido",AFC_INDEF,AFC_PF),0))</f>
        <v/>
      </c>
      <c r="U2114" s="62" t="str">
        <f aca="false">IF(C2114="","",IF(LEFT(D2114,1)="⚠","⚠ RUT no registrado en Trabajadores",IF(B2114="","⚠ Falta el mes",IF(OR(ISTEXT(I2114),ISTEXT(J2114)),"⚠ Atrasos u horas extra como texto: escriba hh:mm (ej. 1:30)",IF(AND(ISNUMBER(Q2114),COUNTIFS(M_RUTN,V2114,M_MES,B2114,M_LIQ,"&lt;&gt;")&gt;1),"⚠ Liquidación repetida en el mes",IF(AND(ISNUMBER(O2114),ISNUMBER(P2114),ISNUMBER(Q2114),ABS(O2114-P2114-Q2114)&gt;1),"⚠ Haberes − descuentos no da el líquido","OK"))))))</f>
        <v/>
      </c>
      <c r="V2114" s="62" t="str">
        <f aca="false">IF(C2114="","",IFERROR(VALUE(LEFT(UPPER(SUBSTITUTE(SUBSTITUTE(SUBSTITUTE(TRIM(C2114),".",""),"-","")," ","")),LEN(UPPER(SUBSTITUTE(SUBSTITUTE(SUBSTITUTE(TRIM(C2114),".",""),"-","")," ","")))-1))&amp;RIGHT(UPPER(SUBSTITUTE(SUBSTITUTE(SUBSTITUTE(TRIM(C2114),".",""),"-","")," ","")),1),UPPER(SUBSTITUTE(SUBSTITUTE(SUBSTITUTE(TRIM(C2114),".",""),"-","")," ",""))))</f>
        <v/>
      </c>
    </row>
    <row r="2115" customFormat="false" ht="15" hidden="false" customHeight="false" outlineLevel="0" collapsed="false">
      <c r="B2115" s="80"/>
      <c r="C2115" s="58"/>
      <c r="D2115" s="62" t="str">
        <f aca="false">IF(C2115="","",IFERROR(INDEX(T_NOMBRE,MATCH(V2115,T_RUTN,0)),"⚠ RUT no está en Trabajadores"))</f>
        <v/>
      </c>
      <c r="E2115" s="61"/>
      <c r="F2115" s="61"/>
      <c r="G2115" s="61"/>
      <c r="H2115" s="61"/>
      <c r="I2115" s="81"/>
      <c r="J2115" s="81"/>
      <c r="K2115" s="60"/>
      <c r="L2115" s="60"/>
      <c r="M2115" s="60"/>
      <c r="N2115" s="60"/>
      <c r="O2115" s="60"/>
      <c r="P2115" s="60"/>
      <c r="Q2115" s="60"/>
      <c r="R2115" s="58"/>
      <c r="S2115" s="62" t="str">
        <f aca="false">IF(OR(B2115="",V2115=""),"",IFERROR(INDEX(C_TIPO,MATCH(V2115&amp;"-P"&amp;MAX(1,COUNTIFS(C_RUTN,V2115,C_DEF,"Sí",C_INI,"&lt;="&amp;EOMONTH(B2115,0))),C_CLAVE,0))&amp;"","Sin contrato"))</f>
        <v/>
      </c>
      <c r="T2115" s="63" t="str">
        <f aca="false">IF(OR(B2115="",N(O2115)=0),"",N(O2115)+ROUND(MIN(N(N2115),TOPE_UF*UF_MES)*(TASA_EMP+MUTUAL),0)+ROUND(MIN(N(N2115),TOPE_AFC_UF*UF_MES)*IF(S2115="Indefinido",AFC_INDEF,AFC_PF),0))</f>
        <v/>
      </c>
      <c r="U2115" s="62" t="str">
        <f aca="false">IF(C2115="","",IF(LEFT(D2115,1)="⚠","⚠ RUT no registrado en Trabajadores",IF(B2115="","⚠ Falta el mes",IF(OR(ISTEXT(I2115),ISTEXT(J2115)),"⚠ Atrasos u horas extra como texto: escriba hh:mm (ej. 1:30)",IF(AND(ISNUMBER(Q2115),COUNTIFS(M_RUTN,V2115,M_MES,B2115,M_LIQ,"&lt;&gt;")&gt;1),"⚠ Liquidación repetida en el mes",IF(AND(ISNUMBER(O2115),ISNUMBER(P2115),ISNUMBER(Q2115),ABS(O2115-P2115-Q2115)&gt;1),"⚠ Haberes − descuentos no da el líquido","OK"))))))</f>
        <v/>
      </c>
      <c r="V2115" s="62" t="str">
        <f aca="false">IF(C2115="","",IFERROR(VALUE(LEFT(UPPER(SUBSTITUTE(SUBSTITUTE(SUBSTITUTE(TRIM(C2115),".",""),"-","")," ","")),LEN(UPPER(SUBSTITUTE(SUBSTITUTE(SUBSTITUTE(TRIM(C2115),".",""),"-","")," ","")))-1))&amp;RIGHT(UPPER(SUBSTITUTE(SUBSTITUTE(SUBSTITUTE(TRIM(C2115),".",""),"-","")," ","")),1),UPPER(SUBSTITUTE(SUBSTITUTE(SUBSTITUTE(TRIM(C2115),".",""),"-","")," ",""))))</f>
        <v/>
      </c>
    </row>
    <row r="2116" customFormat="false" ht="15" hidden="false" customHeight="false" outlineLevel="0" collapsed="false">
      <c r="B2116" s="80"/>
      <c r="C2116" s="58"/>
      <c r="D2116" s="62" t="str">
        <f aca="false">IF(C2116="","",IFERROR(INDEX(T_NOMBRE,MATCH(V2116,T_RUTN,0)),"⚠ RUT no está en Trabajadores"))</f>
        <v/>
      </c>
      <c r="E2116" s="61"/>
      <c r="F2116" s="61"/>
      <c r="G2116" s="61"/>
      <c r="H2116" s="61"/>
      <c r="I2116" s="81"/>
      <c r="J2116" s="81"/>
      <c r="K2116" s="60"/>
      <c r="L2116" s="60"/>
      <c r="M2116" s="60"/>
      <c r="N2116" s="60"/>
      <c r="O2116" s="60"/>
      <c r="P2116" s="60"/>
      <c r="Q2116" s="60"/>
      <c r="R2116" s="58"/>
      <c r="S2116" s="62" t="str">
        <f aca="false">IF(OR(B2116="",V2116=""),"",IFERROR(INDEX(C_TIPO,MATCH(V2116&amp;"-P"&amp;MAX(1,COUNTIFS(C_RUTN,V2116,C_DEF,"Sí",C_INI,"&lt;="&amp;EOMONTH(B2116,0))),C_CLAVE,0))&amp;"","Sin contrato"))</f>
        <v/>
      </c>
      <c r="T2116" s="63" t="str">
        <f aca="false">IF(OR(B2116="",N(O2116)=0),"",N(O2116)+ROUND(MIN(N(N2116),TOPE_UF*UF_MES)*(TASA_EMP+MUTUAL),0)+ROUND(MIN(N(N2116),TOPE_AFC_UF*UF_MES)*IF(S2116="Indefinido",AFC_INDEF,AFC_PF),0))</f>
        <v/>
      </c>
      <c r="U2116" s="62" t="str">
        <f aca="false">IF(C2116="","",IF(LEFT(D2116,1)="⚠","⚠ RUT no registrado en Trabajadores",IF(B2116="","⚠ Falta el mes",IF(OR(ISTEXT(I2116),ISTEXT(J2116)),"⚠ Atrasos u horas extra como texto: escriba hh:mm (ej. 1:30)",IF(AND(ISNUMBER(Q2116),COUNTIFS(M_RUTN,V2116,M_MES,B2116,M_LIQ,"&lt;&gt;")&gt;1),"⚠ Liquidación repetida en el mes",IF(AND(ISNUMBER(O2116),ISNUMBER(P2116),ISNUMBER(Q2116),ABS(O2116-P2116-Q2116)&gt;1),"⚠ Haberes − descuentos no da el líquido","OK"))))))</f>
        <v/>
      </c>
      <c r="V2116" s="62" t="str">
        <f aca="false">IF(C2116="","",IFERROR(VALUE(LEFT(UPPER(SUBSTITUTE(SUBSTITUTE(SUBSTITUTE(TRIM(C2116),".",""),"-","")," ","")),LEN(UPPER(SUBSTITUTE(SUBSTITUTE(SUBSTITUTE(TRIM(C2116),".",""),"-","")," ","")))-1))&amp;RIGHT(UPPER(SUBSTITUTE(SUBSTITUTE(SUBSTITUTE(TRIM(C2116),".",""),"-","")," ","")),1),UPPER(SUBSTITUTE(SUBSTITUTE(SUBSTITUTE(TRIM(C2116),".",""),"-","")," ",""))))</f>
        <v/>
      </c>
    </row>
    <row r="2117" customFormat="false" ht="15" hidden="false" customHeight="false" outlineLevel="0" collapsed="false">
      <c r="B2117" s="80"/>
      <c r="C2117" s="58"/>
      <c r="D2117" s="62" t="str">
        <f aca="false">IF(C2117="","",IFERROR(INDEX(T_NOMBRE,MATCH(V2117,T_RUTN,0)),"⚠ RUT no está en Trabajadores"))</f>
        <v/>
      </c>
      <c r="E2117" s="61"/>
      <c r="F2117" s="61"/>
      <c r="G2117" s="61"/>
      <c r="H2117" s="61"/>
      <c r="I2117" s="81"/>
      <c r="J2117" s="81"/>
      <c r="K2117" s="60"/>
      <c r="L2117" s="60"/>
      <c r="M2117" s="60"/>
      <c r="N2117" s="60"/>
      <c r="O2117" s="60"/>
      <c r="P2117" s="60"/>
      <c r="Q2117" s="60"/>
      <c r="R2117" s="58"/>
      <c r="S2117" s="62" t="str">
        <f aca="false">IF(OR(B2117="",V2117=""),"",IFERROR(INDEX(C_TIPO,MATCH(V2117&amp;"-P"&amp;MAX(1,COUNTIFS(C_RUTN,V2117,C_DEF,"Sí",C_INI,"&lt;="&amp;EOMONTH(B2117,0))),C_CLAVE,0))&amp;"","Sin contrato"))</f>
        <v/>
      </c>
      <c r="T2117" s="63" t="str">
        <f aca="false">IF(OR(B2117="",N(O2117)=0),"",N(O2117)+ROUND(MIN(N(N2117),TOPE_UF*UF_MES)*(TASA_EMP+MUTUAL),0)+ROUND(MIN(N(N2117),TOPE_AFC_UF*UF_MES)*IF(S2117="Indefinido",AFC_INDEF,AFC_PF),0))</f>
        <v/>
      </c>
      <c r="U2117" s="62" t="str">
        <f aca="false">IF(C2117="","",IF(LEFT(D2117,1)="⚠","⚠ RUT no registrado en Trabajadores",IF(B2117="","⚠ Falta el mes",IF(OR(ISTEXT(I2117),ISTEXT(J2117)),"⚠ Atrasos u horas extra como texto: escriba hh:mm (ej. 1:30)",IF(AND(ISNUMBER(Q2117),COUNTIFS(M_RUTN,V2117,M_MES,B2117,M_LIQ,"&lt;&gt;")&gt;1),"⚠ Liquidación repetida en el mes",IF(AND(ISNUMBER(O2117),ISNUMBER(P2117),ISNUMBER(Q2117),ABS(O2117-P2117-Q2117)&gt;1),"⚠ Haberes − descuentos no da el líquido","OK"))))))</f>
        <v/>
      </c>
      <c r="V2117" s="62" t="str">
        <f aca="false">IF(C2117="","",IFERROR(VALUE(LEFT(UPPER(SUBSTITUTE(SUBSTITUTE(SUBSTITUTE(TRIM(C2117),".",""),"-","")," ","")),LEN(UPPER(SUBSTITUTE(SUBSTITUTE(SUBSTITUTE(TRIM(C2117),".",""),"-","")," ","")))-1))&amp;RIGHT(UPPER(SUBSTITUTE(SUBSTITUTE(SUBSTITUTE(TRIM(C2117),".",""),"-","")," ","")),1),UPPER(SUBSTITUTE(SUBSTITUTE(SUBSTITUTE(TRIM(C2117),".",""),"-","")," ",""))))</f>
        <v/>
      </c>
    </row>
    <row r="2118" customFormat="false" ht="15" hidden="false" customHeight="false" outlineLevel="0" collapsed="false">
      <c r="B2118" s="80"/>
      <c r="C2118" s="58"/>
      <c r="D2118" s="62" t="str">
        <f aca="false">IF(C2118="","",IFERROR(INDEX(T_NOMBRE,MATCH(V2118,T_RUTN,0)),"⚠ RUT no está en Trabajadores"))</f>
        <v/>
      </c>
      <c r="E2118" s="61"/>
      <c r="F2118" s="61"/>
      <c r="G2118" s="61"/>
      <c r="H2118" s="61"/>
      <c r="I2118" s="81"/>
      <c r="J2118" s="81"/>
      <c r="K2118" s="60"/>
      <c r="L2118" s="60"/>
      <c r="M2118" s="60"/>
      <c r="N2118" s="60"/>
      <c r="O2118" s="60"/>
      <c r="P2118" s="60"/>
      <c r="Q2118" s="60"/>
      <c r="R2118" s="58"/>
      <c r="S2118" s="62" t="str">
        <f aca="false">IF(OR(B2118="",V2118=""),"",IFERROR(INDEX(C_TIPO,MATCH(V2118&amp;"-P"&amp;MAX(1,COUNTIFS(C_RUTN,V2118,C_DEF,"Sí",C_INI,"&lt;="&amp;EOMONTH(B2118,0))),C_CLAVE,0))&amp;"","Sin contrato"))</f>
        <v/>
      </c>
      <c r="T2118" s="63" t="str">
        <f aca="false">IF(OR(B2118="",N(O2118)=0),"",N(O2118)+ROUND(MIN(N(N2118),TOPE_UF*UF_MES)*(TASA_EMP+MUTUAL),0)+ROUND(MIN(N(N2118),TOPE_AFC_UF*UF_MES)*IF(S2118="Indefinido",AFC_INDEF,AFC_PF),0))</f>
        <v/>
      </c>
      <c r="U2118" s="62" t="str">
        <f aca="false">IF(C2118="","",IF(LEFT(D2118,1)="⚠","⚠ RUT no registrado en Trabajadores",IF(B2118="","⚠ Falta el mes",IF(OR(ISTEXT(I2118),ISTEXT(J2118)),"⚠ Atrasos u horas extra como texto: escriba hh:mm (ej. 1:30)",IF(AND(ISNUMBER(Q2118),COUNTIFS(M_RUTN,V2118,M_MES,B2118,M_LIQ,"&lt;&gt;")&gt;1),"⚠ Liquidación repetida en el mes",IF(AND(ISNUMBER(O2118),ISNUMBER(P2118),ISNUMBER(Q2118),ABS(O2118-P2118-Q2118)&gt;1),"⚠ Haberes − descuentos no da el líquido","OK"))))))</f>
        <v/>
      </c>
      <c r="V2118" s="62" t="str">
        <f aca="false">IF(C2118="","",IFERROR(VALUE(LEFT(UPPER(SUBSTITUTE(SUBSTITUTE(SUBSTITUTE(TRIM(C2118),".",""),"-","")," ","")),LEN(UPPER(SUBSTITUTE(SUBSTITUTE(SUBSTITUTE(TRIM(C2118),".",""),"-","")," ","")))-1))&amp;RIGHT(UPPER(SUBSTITUTE(SUBSTITUTE(SUBSTITUTE(TRIM(C2118),".",""),"-","")," ","")),1),UPPER(SUBSTITUTE(SUBSTITUTE(SUBSTITUTE(TRIM(C2118),".",""),"-","")," ",""))))</f>
        <v/>
      </c>
    </row>
    <row r="2119" customFormat="false" ht="15" hidden="false" customHeight="false" outlineLevel="0" collapsed="false">
      <c r="B2119" s="80"/>
      <c r="C2119" s="58"/>
      <c r="D2119" s="62" t="str">
        <f aca="false">IF(C2119="","",IFERROR(INDEX(T_NOMBRE,MATCH(V2119,T_RUTN,0)),"⚠ RUT no está en Trabajadores"))</f>
        <v/>
      </c>
      <c r="E2119" s="61"/>
      <c r="F2119" s="61"/>
      <c r="G2119" s="61"/>
      <c r="H2119" s="61"/>
      <c r="I2119" s="81"/>
      <c r="J2119" s="81"/>
      <c r="K2119" s="60"/>
      <c r="L2119" s="60"/>
      <c r="M2119" s="60"/>
      <c r="N2119" s="60"/>
      <c r="O2119" s="60"/>
      <c r="P2119" s="60"/>
      <c r="Q2119" s="60"/>
      <c r="R2119" s="58"/>
      <c r="S2119" s="62" t="str">
        <f aca="false">IF(OR(B2119="",V2119=""),"",IFERROR(INDEX(C_TIPO,MATCH(V2119&amp;"-P"&amp;MAX(1,COUNTIFS(C_RUTN,V2119,C_DEF,"Sí",C_INI,"&lt;="&amp;EOMONTH(B2119,0))),C_CLAVE,0))&amp;"","Sin contrato"))</f>
        <v/>
      </c>
      <c r="T2119" s="63" t="str">
        <f aca="false">IF(OR(B2119="",N(O2119)=0),"",N(O2119)+ROUND(MIN(N(N2119),TOPE_UF*UF_MES)*(TASA_EMP+MUTUAL),0)+ROUND(MIN(N(N2119),TOPE_AFC_UF*UF_MES)*IF(S2119="Indefinido",AFC_INDEF,AFC_PF),0))</f>
        <v/>
      </c>
      <c r="U2119" s="62" t="str">
        <f aca="false">IF(C2119="","",IF(LEFT(D2119,1)="⚠","⚠ RUT no registrado en Trabajadores",IF(B2119="","⚠ Falta el mes",IF(OR(ISTEXT(I2119),ISTEXT(J2119)),"⚠ Atrasos u horas extra como texto: escriba hh:mm (ej. 1:30)",IF(AND(ISNUMBER(Q2119),COUNTIFS(M_RUTN,V2119,M_MES,B2119,M_LIQ,"&lt;&gt;")&gt;1),"⚠ Liquidación repetida en el mes",IF(AND(ISNUMBER(O2119),ISNUMBER(P2119),ISNUMBER(Q2119),ABS(O2119-P2119-Q2119)&gt;1),"⚠ Haberes − descuentos no da el líquido","OK"))))))</f>
        <v/>
      </c>
      <c r="V2119" s="62" t="str">
        <f aca="false">IF(C2119="","",IFERROR(VALUE(LEFT(UPPER(SUBSTITUTE(SUBSTITUTE(SUBSTITUTE(TRIM(C2119),".",""),"-","")," ","")),LEN(UPPER(SUBSTITUTE(SUBSTITUTE(SUBSTITUTE(TRIM(C2119),".",""),"-","")," ","")))-1))&amp;RIGHT(UPPER(SUBSTITUTE(SUBSTITUTE(SUBSTITUTE(TRIM(C2119),".",""),"-","")," ","")),1),UPPER(SUBSTITUTE(SUBSTITUTE(SUBSTITUTE(TRIM(C2119),".",""),"-","")," ",""))))</f>
        <v/>
      </c>
    </row>
    <row r="2120" customFormat="false" ht="15" hidden="false" customHeight="false" outlineLevel="0" collapsed="false">
      <c r="B2120" s="80"/>
      <c r="C2120" s="58"/>
      <c r="D2120" s="62" t="str">
        <f aca="false">IF(C2120="","",IFERROR(INDEX(T_NOMBRE,MATCH(V2120,T_RUTN,0)),"⚠ RUT no está en Trabajadores"))</f>
        <v/>
      </c>
      <c r="E2120" s="61"/>
      <c r="F2120" s="61"/>
      <c r="G2120" s="61"/>
      <c r="H2120" s="61"/>
      <c r="I2120" s="81"/>
      <c r="J2120" s="81"/>
      <c r="K2120" s="60"/>
      <c r="L2120" s="60"/>
      <c r="M2120" s="60"/>
      <c r="N2120" s="60"/>
      <c r="O2120" s="60"/>
      <c r="P2120" s="60"/>
      <c r="Q2120" s="60"/>
      <c r="R2120" s="58"/>
      <c r="S2120" s="62" t="str">
        <f aca="false">IF(OR(B2120="",V2120=""),"",IFERROR(INDEX(C_TIPO,MATCH(V2120&amp;"-P"&amp;MAX(1,COUNTIFS(C_RUTN,V2120,C_DEF,"Sí",C_INI,"&lt;="&amp;EOMONTH(B2120,0))),C_CLAVE,0))&amp;"","Sin contrato"))</f>
        <v/>
      </c>
      <c r="T2120" s="63" t="str">
        <f aca="false">IF(OR(B2120="",N(O2120)=0),"",N(O2120)+ROUND(MIN(N(N2120),TOPE_UF*UF_MES)*(TASA_EMP+MUTUAL),0)+ROUND(MIN(N(N2120),TOPE_AFC_UF*UF_MES)*IF(S2120="Indefinido",AFC_INDEF,AFC_PF),0))</f>
        <v/>
      </c>
      <c r="U2120" s="62" t="str">
        <f aca="false">IF(C2120="","",IF(LEFT(D2120,1)="⚠","⚠ RUT no registrado en Trabajadores",IF(B2120="","⚠ Falta el mes",IF(OR(ISTEXT(I2120),ISTEXT(J2120)),"⚠ Atrasos u horas extra como texto: escriba hh:mm (ej. 1:30)",IF(AND(ISNUMBER(Q2120),COUNTIFS(M_RUTN,V2120,M_MES,B2120,M_LIQ,"&lt;&gt;")&gt;1),"⚠ Liquidación repetida en el mes",IF(AND(ISNUMBER(O2120),ISNUMBER(P2120),ISNUMBER(Q2120),ABS(O2120-P2120-Q2120)&gt;1),"⚠ Haberes − descuentos no da el líquido","OK"))))))</f>
        <v/>
      </c>
      <c r="V2120" s="62" t="str">
        <f aca="false">IF(C2120="","",IFERROR(VALUE(LEFT(UPPER(SUBSTITUTE(SUBSTITUTE(SUBSTITUTE(TRIM(C2120),".",""),"-","")," ","")),LEN(UPPER(SUBSTITUTE(SUBSTITUTE(SUBSTITUTE(TRIM(C2120),".",""),"-","")," ","")))-1))&amp;RIGHT(UPPER(SUBSTITUTE(SUBSTITUTE(SUBSTITUTE(TRIM(C2120),".",""),"-","")," ","")),1),UPPER(SUBSTITUTE(SUBSTITUTE(SUBSTITUTE(TRIM(C2120),".",""),"-","")," ",""))))</f>
        <v/>
      </c>
    </row>
    <row r="2121" customFormat="false" ht="15" hidden="false" customHeight="false" outlineLevel="0" collapsed="false">
      <c r="B2121" s="80"/>
      <c r="C2121" s="58"/>
      <c r="D2121" s="62" t="str">
        <f aca="false">IF(C2121="","",IFERROR(INDEX(T_NOMBRE,MATCH(V2121,T_RUTN,0)),"⚠ RUT no está en Trabajadores"))</f>
        <v/>
      </c>
      <c r="E2121" s="61"/>
      <c r="F2121" s="61"/>
      <c r="G2121" s="61"/>
      <c r="H2121" s="61"/>
      <c r="I2121" s="81"/>
      <c r="J2121" s="81"/>
      <c r="K2121" s="60"/>
      <c r="L2121" s="60"/>
      <c r="M2121" s="60"/>
      <c r="N2121" s="60"/>
      <c r="O2121" s="60"/>
      <c r="P2121" s="60"/>
      <c r="Q2121" s="60"/>
      <c r="R2121" s="58"/>
      <c r="S2121" s="62" t="str">
        <f aca="false">IF(OR(B2121="",V2121=""),"",IFERROR(INDEX(C_TIPO,MATCH(V2121&amp;"-P"&amp;MAX(1,COUNTIFS(C_RUTN,V2121,C_DEF,"Sí",C_INI,"&lt;="&amp;EOMONTH(B2121,0))),C_CLAVE,0))&amp;"","Sin contrato"))</f>
        <v/>
      </c>
      <c r="T2121" s="63" t="str">
        <f aca="false">IF(OR(B2121="",N(O2121)=0),"",N(O2121)+ROUND(MIN(N(N2121),TOPE_UF*UF_MES)*(TASA_EMP+MUTUAL),0)+ROUND(MIN(N(N2121),TOPE_AFC_UF*UF_MES)*IF(S2121="Indefinido",AFC_INDEF,AFC_PF),0))</f>
        <v/>
      </c>
      <c r="U2121" s="62" t="str">
        <f aca="false">IF(C2121="","",IF(LEFT(D2121,1)="⚠","⚠ RUT no registrado en Trabajadores",IF(B2121="","⚠ Falta el mes",IF(OR(ISTEXT(I2121),ISTEXT(J2121)),"⚠ Atrasos u horas extra como texto: escriba hh:mm (ej. 1:30)",IF(AND(ISNUMBER(Q2121),COUNTIFS(M_RUTN,V2121,M_MES,B2121,M_LIQ,"&lt;&gt;")&gt;1),"⚠ Liquidación repetida en el mes",IF(AND(ISNUMBER(O2121),ISNUMBER(P2121),ISNUMBER(Q2121),ABS(O2121-P2121-Q2121)&gt;1),"⚠ Haberes − descuentos no da el líquido","OK"))))))</f>
        <v/>
      </c>
      <c r="V2121" s="62" t="str">
        <f aca="false">IF(C2121="","",IFERROR(VALUE(LEFT(UPPER(SUBSTITUTE(SUBSTITUTE(SUBSTITUTE(TRIM(C2121),".",""),"-","")," ","")),LEN(UPPER(SUBSTITUTE(SUBSTITUTE(SUBSTITUTE(TRIM(C2121),".",""),"-","")," ","")))-1))&amp;RIGHT(UPPER(SUBSTITUTE(SUBSTITUTE(SUBSTITUTE(TRIM(C2121),".",""),"-","")," ","")),1),UPPER(SUBSTITUTE(SUBSTITUTE(SUBSTITUTE(TRIM(C2121),".",""),"-","")," ",""))))</f>
        <v/>
      </c>
    </row>
    <row r="2122" customFormat="false" ht="15" hidden="false" customHeight="false" outlineLevel="0" collapsed="false">
      <c r="B2122" s="80"/>
      <c r="C2122" s="58"/>
      <c r="D2122" s="62" t="str">
        <f aca="false">IF(C2122="","",IFERROR(INDEX(T_NOMBRE,MATCH(V2122,T_RUTN,0)),"⚠ RUT no está en Trabajadores"))</f>
        <v/>
      </c>
      <c r="E2122" s="61"/>
      <c r="F2122" s="61"/>
      <c r="G2122" s="61"/>
      <c r="H2122" s="61"/>
      <c r="I2122" s="81"/>
      <c r="J2122" s="81"/>
      <c r="K2122" s="60"/>
      <c r="L2122" s="60"/>
      <c r="M2122" s="60"/>
      <c r="N2122" s="60"/>
      <c r="O2122" s="60"/>
      <c r="P2122" s="60"/>
      <c r="Q2122" s="60"/>
      <c r="R2122" s="58"/>
      <c r="S2122" s="62" t="str">
        <f aca="false">IF(OR(B2122="",V2122=""),"",IFERROR(INDEX(C_TIPO,MATCH(V2122&amp;"-P"&amp;MAX(1,COUNTIFS(C_RUTN,V2122,C_DEF,"Sí",C_INI,"&lt;="&amp;EOMONTH(B2122,0))),C_CLAVE,0))&amp;"","Sin contrato"))</f>
        <v/>
      </c>
      <c r="T2122" s="63" t="str">
        <f aca="false">IF(OR(B2122="",N(O2122)=0),"",N(O2122)+ROUND(MIN(N(N2122),TOPE_UF*UF_MES)*(TASA_EMP+MUTUAL),0)+ROUND(MIN(N(N2122),TOPE_AFC_UF*UF_MES)*IF(S2122="Indefinido",AFC_INDEF,AFC_PF),0))</f>
        <v/>
      </c>
      <c r="U2122" s="62" t="str">
        <f aca="false">IF(C2122="","",IF(LEFT(D2122,1)="⚠","⚠ RUT no registrado en Trabajadores",IF(B2122="","⚠ Falta el mes",IF(OR(ISTEXT(I2122),ISTEXT(J2122)),"⚠ Atrasos u horas extra como texto: escriba hh:mm (ej. 1:30)",IF(AND(ISNUMBER(Q2122),COUNTIFS(M_RUTN,V2122,M_MES,B2122,M_LIQ,"&lt;&gt;")&gt;1),"⚠ Liquidación repetida en el mes",IF(AND(ISNUMBER(O2122),ISNUMBER(P2122),ISNUMBER(Q2122),ABS(O2122-P2122-Q2122)&gt;1),"⚠ Haberes − descuentos no da el líquido","OK"))))))</f>
        <v/>
      </c>
      <c r="V2122" s="62" t="str">
        <f aca="false">IF(C2122="","",IFERROR(VALUE(LEFT(UPPER(SUBSTITUTE(SUBSTITUTE(SUBSTITUTE(TRIM(C2122),".",""),"-","")," ","")),LEN(UPPER(SUBSTITUTE(SUBSTITUTE(SUBSTITUTE(TRIM(C2122),".",""),"-","")," ","")))-1))&amp;RIGHT(UPPER(SUBSTITUTE(SUBSTITUTE(SUBSTITUTE(TRIM(C2122),".",""),"-","")," ","")),1),UPPER(SUBSTITUTE(SUBSTITUTE(SUBSTITUTE(TRIM(C2122),".",""),"-","")," ",""))))</f>
        <v/>
      </c>
    </row>
    <row r="2123" customFormat="false" ht="15" hidden="false" customHeight="false" outlineLevel="0" collapsed="false">
      <c r="B2123" s="80"/>
      <c r="C2123" s="58"/>
      <c r="D2123" s="62" t="str">
        <f aca="false">IF(C2123="","",IFERROR(INDEX(T_NOMBRE,MATCH(V2123,T_RUTN,0)),"⚠ RUT no está en Trabajadores"))</f>
        <v/>
      </c>
      <c r="E2123" s="61"/>
      <c r="F2123" s="61"/>
      <c r="G2123" s="61"/>
      <c r="H2123" s="61"/>
      <c r="I2123" s="81"/>
      <c r="J2123" s="81"/>
      <c r="K2123" s="60"/>
      <c r="L2123" s="60"/>
      <c r="M2123" s="60"/>
      <c r="N2123" s="60"/>
      <c r="O2123" s="60"/>
      <c r="P2123" s="60"/>
      <c r="Q2123" s="60"/>
      <c r="R2123" s="58"/>
      <c r="S2123" s="62" t="str">
        <f aca="false">IF(OR(B2123="",V2123=""),"",IFERROR(INDEX(C_TIPO,MATCH(V2123&amp;"-P"&amp;MAX(1,COUNTIFS(C_RUTN,V2123,C_DEF,"Sí",C_INI,"&lt;="&amp;EOMONTH(B2123,0))),C_CLAVE,0))&amp;"","Sin contrato"))</f>
        <v/>
      </c>
      <c r="T2123" s="63" t="str">
        <f aca="false">IF(OR(B2123="",N(O2123)=0),"",N(O2123)+ROUND(MIN(N(N2123),TOPE_UF*UF_MES)*(TASA_EMP+MUTUAL),0)+ROUND(MIN(N(N2123),TOPE_AFC_UF*UF_MES)*IF(S2123="Indefinido",AFC_INDEF,AFC_PF),0))</f>
        <v/>
      </c>
      <c r="U2123" s="62" t="str">
        <f aca="false">IF(C2123="","",IF(LEFT(D2123,1)="⚠","⚠ RUT no registrado en Trabajadores",IF(B2123="","⚠ Falta el mes",IF(OR(ISTEXT(I2123),ISTEXT(J2123)),"⚠ Atrasos u horas extra como texto: escriba hh:mm (ej. 1:30)",IF(AND(ISNUMBER(Q2123),COUNTIFS(M_RUTN,V2123,M_MES,B2123,M_LIQ,"&lt;&gt;")&gt;1),"⚠ Liquidación repetida en el mes",IF(AND(ISNUMBER(O2123),ISNUMBER(P2123),ISNUMBER(Q2123),ABS(O2123-P2123-Q2123)&gt;1),"⚠ Haberes − descuentos no da el líquido","OK"))))))</f>
        <v/>
      </c>
      <c r="V2123" s="62" t="str">
        <f aca="false">IF(C2123="","",IFERROR(VALUE(LEFT(UPPER(SUBSTITUTE(SUBSTITUTE(SUBSTITUTE(TRIM(C2123),".",""),"-","")," ","")),LEN(UPPER(SUBSTITUTE(SUBSTITUTE(SUBSTITUTE(TRIM(C2123),".",""),"-","")," ","")))-1))&amp;RIGHT(UPPER(SUBSTITUTE(SUBSTITUTE(SUBSTITUTE(TRIM(C2123),".",""),"-","")," ","")),1),UPPER(SUBSTITUTE(SUBSTITUTE(SUBSTITUTE(TRIM(C2123),".",""),"-","")," ",""))))</f>
        <v/>
      </c>
    </row>
    <row r="2124" customFormat="false" ht="15" hidden="false" customHeight="false" outlineLevel="0" collapsed="false">
      <c r="B2124" s="80"/>
      <c r="C2124" s="58"/>
      <c r="D2124" s="62" t="str">
        <f aca="false">IF(C2124="","",IFERROR(INDEX(T_NOMBRE,MATCH(V2124,T_RUTN,0)),"⚠ RUT no está en Trabajadores"))</f>
        <v/>
      </c>
      <c r="E2124" s="61"/>
      <c r="F2124" s="61"/>
      <c r="G2124" s="61"/>
      <c r="H2124" s="61"/>
      <c r="I2124" s="81"/>
      <c r="J2124" s="81"/>
      <c r="K2124" s="60"/>
      <c r="L2124" s="60"/>
      <c r="M2124" s="60"/>
      <c r="N2124" s="60"/>
      <c r="O2124" s="60"/>
      <c r="P2124" s="60"/>
      <c r="Q2124" s="60"/>
      <c r="R2124" s="58"/>
      <c r="S2124" s="62" t="str">
        <f aca="false">IF(OR(B2124="",V2124=""),"",IFERROR(INDEX(C_TIPO,MATCH(V2124&amp;"-P"&amp;MAX(1,COUNTIFS(C_RUTN,V2124,C_DEF,"Sí",C_INI,"&lt;="&amp;EOMONTH(B2124,0))),C_CLAVE,0))&amp;"","Sin contrato"))</f>
        <v/>
      </c>
      <c r="T2124" s="63" t="str">
        <f aca="false">IF(OR(B2124="",N(O2124)=0),"",N(O2124)+ROUND(MIN(N(N2124),TOPE_UF*UF_MES)*(TASA_EMP+MUTUAL),0)+ROUND(MIN(N(N2124),TOPE_AFC_UF*UF_MES)*IF(S2124="Indefinido",AFC_INDEF,AFC_PF),0))</f>
        <v/>
      </c>
      <c r="U2124" s="62" t="str">
        <f aca="false">IF(C2124="","",IF(LEFT(D2124,1)="⚠","⚠ RUT no registrado en Trabajadores",IF(B2124="","⚠ Falta el mes",IF(OR(ISTEXT(I2124),ISTEXT(J2124)),"⚠ Atrasos u horas extra como texto: escriba hh:mm (ej. 1:30)",IF(AND(ISNUMBER(Q2124),COUNTIFS(M_RUTN,V2124,M_MES,B2124,M_LIQ,"&lt;&gt;")&gt;1),"⚠ Liquidación repetida en el mes",IF(AND(ISNUMBER(O2124),ISNUMBER(P2124),ISNUMBER(Q2124),ABS(O2124-P2124-Q2124)&gt;1),"⚠ Haberes − descuentos no da el líquido","OK"))))))</f>
        <v/>
      </c>
      <c r="V2124" s="62" t="str">
        <f aca="false">IF(C2124="","",IFERROR(VALUE(LEFT(UPPER(SUBSTITUTE(SUBSTITUTE(SUBSTITUTE(TRIM(C2124),".",""),"-","")," ","")),LEN(UPPER(SUBSTITUTE(SUBSTITUTE(SUBSTITUTE(TRIM(C2124),".",""),"-","")," ","")))-1))&amp;RIGHT(UPPER(SUBSTITUTE(SUBSTITUTE(SUBSTITUTE(TRIM(C2124),".",""),"-","")," ","")),1),UPPER(SUBSTITUTE(SUBSTITUTE(SUBSTITUTE(TRIM(C2124),".",""),"-","")," ",""))))</f>
        <v/>
      </c>
    </row>
    <row r="2125" customFormat="false" ht="15" hidden="false" customHeight="false" outlineLevel="0" collapsed="false">
      <c r="B2125" s="80"/>
      <c r="C2125" s="58"/>
      <c r="D2125" s="62" t="str">
        <f aca="false">IF(C2125="","",IFERROR(INDEX(T_NOMBRE,MATCH(V2125,T_RUTN,0)),"⚠ RUT no está en Trabajadores"))</f>
        <v/>
      </c>
      <c r="E2125" s="61"/>
      <c r="F2125" s="61"/>
      <c r="G2125" s="61"/>
      <c r="H2125" s="61"/>
      <c r="I2125" s="81"/>
      <c r="J2125" s="81"/>
      <c r="K2125" s="60"/>
      <c r="L2125" s="60"/>
      <c r="M2125" s="60"/>
      <c r="N2125" s="60"/>
      <c r="O2125" s="60"/>
      <c r="P2125" s="60"/>
      <c r="Q2125" s="60"/>
      <c r="R2125" s="58"/>
      <c r="S2125" s="62" t="str">
        <f aca="false">IF(OR(B2125="",V2125=""),"",IFERROR(INDEX(C_TIPO,MATCH(V2125&amp;"-P"&amp;MAX(1,COUNTIFS(C_RUTN,V2125,C_DEF,"Sí",C_INI,"&lt;="&amp;EOMONTH(B2125,0))),C_CLAVE,0))&amp;"","Sin contrato"))</f>
        <v/>
      </c>
      <c r="T2125" s="63" t="str">
        <f aca="false">IF(OR(B2125="",N(O2125)=0),"",N(O2125)+ROUND(MIN(N(N2125),TOPE_UF*UF_MES)*(TASA_EMP+MUTUAL),0)+ROUND(MIN(N(N2125),TOPE_AFC_UF*UF_MES)*IF(S2125="Indefinido",AFC_INDEF,AFC_PF),0))</f>
        <v/>
      </c>
      <c r="U2125" s="62" t="str">
        <f aca="false">IF(C2125="","",IF(LEFT(D2125,1)="⚠","⚠ RUT no registrado en Trabajadores",IF(B2125="","⚠ Falta el mes",IF(OR(ISTEXT(I2125),ISTEXT(J2125)),"⚠ Atrasos u horas extra como texto: escriba hh:mm (ej. 1:30)",IF(AND(ISNUMBER(Q2125),COUNTIFS(M_RUTN,V2125,M_MES,B2125,M_LIQ,"&lt;&gt;")&gt;1),"⚠ Liquidación repetida en el mes",IF(AND(ISNUMBER(O2125),ISNUMBER(P2125),ISNUMBER(Q2125),ABS(O2125-P2125-Q2125)&gt;1),"⚠ Haberes − descuentos no da el líquido","OK"))))))</f>
        <v/>
      </c>
      <c r="V2125" s="62" t="str">
        <f aca="false">IF(C2125="","",IFERROR(VALUE(LEFT(UPPER(SUBSTITUTE(SUBSTITUTE(SUBSTITUTE(TRIM(C2125),".",""),"-","")," ","")),LEN(UPPER(SUBSTITUTE(SUBSTITUTE(SUBSTITUTE(TRIM(C2125),".",""),"-","")," ","")))-1))&amp;RIGHT(UPPER(SUBSTITUTE(SUBSTITUTE(SUBSTITUTE(TRIM(C2125),".",""),"-","")," ","")),1),UPPER(SUBSTITUTE(SUBSTITUTE(SUBSTITUTE(TRIM(C2125),".",""),"-","")," ",""))))</f>
        <v/>
      </c>
    </row>
    <row r="2126" customFormat="false" ht="15" hidden="false" customHeight="false" outlineLevel="0" collapsed="false">
      <c r="B2126" s="80"/>
      <c r="C2126" s="58"/>
      <c r="D2126" s="62" t="str">
        <f aca="false">IF(C2126="","",IFERROR(INDEX(T_NOMBRE,MATCH(V2126,T_RUTN,0)),"⚠ RUT no está en Trabajadores"))</f>
        <v/>
      </c>
      <c r="E2126" s="61"/>
      <c r="F2126" s="61"/>
      <c r="G2126" s="61"/>
      <c r="H2126" s="61"/>
      <c r="I2126" s="81"/>
      <c r="J2126" s="81"/>
      <c r="K2126" s="60"/>
      <c r="L2126" s="60"/>
      <c r="M2126" s="60"/>
      <c r="N2126" s="60"/>
      <c r="O2126" s="60"/>
      <c r="P2126" s="60"/>
      <c r="Q2126" s="60"/>
      <c r="R2126" s="58"/>
      <c r="S2126" s="62" t="str">
        <f aca="false">IF(OR(B2126="",V2126=""),"",IFERROR(INDEX(C_TIPO,MATCH(V2126&amp;"-P"&amp;MAX(1,COUNTIFS(C_RUTN,V2126,C_DEF,"Sí",C_INI,"&lt;="&amp;EOMONTH(B2126,0))),C_CLAVE,0))&amp;"","Sin contrato"))</f>
        <v/>
      </c>
      <c r="T2126" s="63" t="str">
        <f aca="false">IF(OR(B2126="",N(O2126)=0),"",N(O2126)+ROUND(MIN(N(N2126),TOPE_UF*UF_MES)*(TASA_EMP+MUTUAL),0)+ROUND(MIN(N(N2126),TOPE_AFC_UF*UF_MES)*IF(S2126="Indefinido",AFC_INDEF,AFC_PF),0))</f>
        <v/>
      </c>
      <c r="U2126" s="62" t="str">
        <f aca="false">IF(C2126="","",IF(LEFT(D2126,1)="⚠","⚠ RUT no registrado en Trabajadores",IF(B2126="","⚠ Falta el mes",IF(OR(ISTEXT(I2126),ISTEXT(J2126)),"⚠ Atrasos u horas extra como texto: escriba hh:mm (ej. 1:30)",IF(AND(ISNUMBER(Q2126),COUNTIFS(M_RUTN,V2126,M_MES,B2126,M_LIQ,"&lt;&gt;")&gt;1),"⚠ Liquidación repetida en el mes",IF(AND(ISNUMBER(O2126),ISNUMBER(P2126),ISNUMBER(Q2126),ABS(O2126-P2126-Q2126)&gt;1),"⚠ Haberes − descuentos no da el líquido","OK"))))))</f>
        <v/>
      </c>
      <c r="V2126" s="62" t="str">
        <f aca="false">IF(C2126="","",IFERROR(VALUE(LEFT(UPPER(SUBSTITUTE(SUBSTITUTE(SUBSTITUTE(TRIM(C2126),".",""),"-","")," ","")),LEN(UPPER(SUBSTITUTE(SUBSTITUTE(SUBSTITUTE(TRIM(C2126),".",""),"-","")," ","")))-1))&amp;RIGHT(UPPER(SUBSTITUTE(SUBSTITUTE(SUBSTITUTE(TRIM(C2126),".",""),"-","")," ","")),1),UPPER(SUBSTITUTE(SUBSTITUTE(SUBSTITUTE(TRIM(C2126),".",""),"-","")," ",""))))</f>
        <v/>
      </c>
    </row>
    <row r="2127" customFormat="false" ht="15" hidden="false" customHeight="false" outlineLevel="0" collapsed="false">
      <c r="B2127" s="80"/>
      <c r="C2127" s="58"/>
      <c r="D2127" s="62" t="str">
        <f aca="false">IF(C2127="","",IFERROR(INDEX(T_NOMBRE,MATCH(V2127,T_RUTN,0)),"⚠ RUT no está en Trabajadores"))</f>
        <v/>
      </c>
      <c r="E2127" s="61"/>
      <c r="F2127" s="61"/>
      <c r="G2127" s="61"/>
      <c r="H2127" s="61"/>
      <c r="I2127" s="81"/>
      <c r="J2127" s="81"/>
      <c r="K2127" s="60"/>
      <c r="L2127" s="60"/>
      <c r="M2127" s="60"/>
      <c r="N2127" s="60"/>
      <c r="O2127" s="60"/>
      <c r="P2127" s="60"/>
      <c r="Q2127" s="60"/>
      <c r="R2127" s="58"/>
      <c r="S2127" s="62" t="str">
        <f aca="false">IF(OR(B2127="",V2127=""),"",IFERROR(INDEX(C_TIPO,MATCH(V2127&amp;"-P"&amp;MAX(1,COUNTIFS(C_RUTN,V2127,C_DEF,"Sí",C_INI,"&lt;="&amp;EOMONTH(B2127,0))),C_CLAVE,0))&amp;"","Sin contrato"))</f>
        <v/>
      </c>
      <c r="T2127" s="63" t="str">
        <f aca="false">IF(OR(B2127="",N(O2127)=0),"",N(O2127)+ROUND(MIN(N(N2127),TOPE_UF*UF_MES)*(TASA_EMP+MUTUAL),0)+ROUND(MIN(N(N2127),TOPE_AFC_UF*UF_MES)*IF(S2127="Indefinido",AFC_INDEF,AFC_PF),0))</f>
        <v/>
      </c>
      <c r="U2127" s="62" t="str">
        <f aca="false">IF(C2127="","",IF(LEFT(D2127,1)="⚠","⚠ RUT no registrado en Trabajadores",IF(B2127="","⚠ Falta el mes",IF(OR(ISTEXT(I2127),ISTEXT(J2127)),"⚠ Atrasos u horas extra como texto: escriba hh:mm (ej. 1:30)",IF(AND(ISNUMBER(Q2127),COUNTIFS(M_RUTN,V2127,M_MES,B2127,M_LIQ,"&lt;&gt;")&gt;1),"⚠ Liquidación repetida en el mes",IF(AND(ISNUMBER(O2127),ISNUMBER(P2127),ISNUMBER(Q2127),ABS(O2127-P2127-Q2127)&gt;1),"⚠ Haberes − descuentos no da el líquido","OK"))))))</f>
        <v/>
      </c>
      <c r="V2127" s="62" t="str">
        <f aca="false">IF(C2127="","",IFERROR(VALUE(LEFT(UPPER(SUBSTITUTE(SUBSTITUTE(SUBSTITUTE(TRIM(C2127),".",""),"-","")," ","")),LEN(UPPER(SUBSTITUTE(SUBSTITUTE(SUBSTITUTE(TRIM(C2127),".",""),"-","")," ","")))-1))&amp;RIGHT(UPPER(SUBSTITUTE(SUBSTITUTE(SUBSTITUTE(TRIM(C2127),".",""),"-","")," ","")),1),UPPER(SUBSTITUTE(SUBSTITUTE(SUBSTITUTE(TRIM(C2127),".",""),"-","")," ",""))))</f>
        <v/>
      </c>
    </row>
    <row r="2128" customFormat="false" ht="15" hidden="false" customHeight="false" outlineLevel="0" collapsed="false">
      <c r="B2128" s="80"/>
      <c r="C2128" s="58"/>
      <c r="D2128" s="62" t="str">
        <f aca="false">IF(C2128="","",IFERROR(INDEX(T_NOMBRE,MATCH(V2128,T_RUTN,0)),"⚠ RUT no está en Trabajadores"))</f>
        <v/>
      </c>
      <c r="E2128" s="61"/>
      <c r="F2128" s="61"/>
      <c r="G2128" s="61"/>
      <c r="H2128" s="61"/>
      <c r="I2128" s="81"/>
      <c r="J2128" s="81"/>
      <c r="K2128" s="60"/>
      <c r="L2128" s="60"/>
      <c r="M2128" s="60"/>
      <c r="N2128" s="60"/>
      <c r="O2128" s="60"/>
      <c r="P2128" s="60"/>
      <c r="Q2128" s="60"/>
      <c r="R2128" s="58"/>
      <c r="S2128" s="62" t="str">
        <f aca="false">IF(OR(B2128="",V2128=""),"",IFERROR(INDEX(C_TIPO,MATCH(V2128&amp;"-P"&amp;MAX(1,COUNTIFS(C_RUTN,V2128,C_DEF,"Sí",C_INI,"&lt;="&amp;EOMONTH(B2128,0))),C_CLAVE,0))&amp;"","Sin contrato"))</f>
        <v/>
      </c>
      <c r="T2128" s="63" t="str">
        <f aca="false">IF(OR(B2128="",N(O2128)=0),"",N(O2128)+ROUND(MIN(N(N2128),TOPE_UF*UF_MES)*(TASA_EMP+MUTUAL),0)+ROUND(MIN(N(N2128),TOPE_AFC_UF*UF_MES)*IF(S2128="Indefinido",AFC_INDEF,AFC_PF),0))</f>
        <v/>
      </c>
      <c r="U2128" s="62" t="str">
        <f aca="false">IF(C2128="","",IF(LEFT(D2128,1)="⚠","⚠ RUT no registrado en Trabajadores",IF(B2128="","⚠ Falta el mes",IF(OR(ISTEXT(I2128),ISTEXT(J2128)),"⚠ Atrasos u horas extra como texto: escriba hh:mm (ej. 1:30)",IF(AND(ISNUMBER(Q2128),COUNTIFS(M_RUTN,V2128,M_MES,B2128,M_LIQ,"&lt;&gt;")&gt;1),"⚠ Liquidación repetida en el mes",IF(AND(ISNUMBER(O2128),ISNUMBER(P2128),ISNUMBER(Q2128),ABS(O2128-P2128-Q2128)&gt;1),"⚠ Haberes − descuentos no da el líquido","OK"))))))</f>
        <v/>
      </c>
      <c r="V2128" s="62" t="str">
        <f aca="false">IF(C2128="","",IFERROR(VALUE(LEFT(UPPER(SUBSTITUTE(SUBSTITUTE(SUBSTITUTE(TRIM(C2128),".",""),"-","")," ","")),LEN(UPPER(SUBSTITUTE(SUBSTITUTE(SUBSTITUTE(TRIM(C2128),".",""),"-","")," ","")))-1))&amp;RIGHT(UPPER(SUBSTITUTE(SUBSTITUTE(SUBSTITUTE(TRIM(C2128),".",""),"-","")," ","")),1),UPPER(SUBSTITUTE(SUBSTITUTE(SUBSTITUTE(TRIM(C2128),".",""),"-","")," ",""))))</f>
        <v/>
      </c>
    </row>
    <row r="2129" customFormat="false" ht="15" hidden="false" customHeight="false" outlineLevel="0" collapsed="false">
      <c r="B2129" s="80"/>
      <c r="C2129" s="58"/>
      <c r="D2129" s="62" t="str">
        <f aca="false">IF(C2129="","",IFERROR(INDEX(T_NOMBRE,MATCH(V2129,T_RUTN,0)),"⚠ RUT no está en Trabajadores"))</f>
        <v/>
      </c>
      <c r="E2129" s="61"/>
      <c r="F2129" s="61"/>
      <c r="G2129" s="61"/>
      <c r="H2129" s="61"/>
      <c r="I2129" s="81"/>
      <c r="J2129" s="81"/>
      <c r="K2129" s="60"/>
      <c r="L2129" s="60"/>
      <c r="M2129" s="60"/>
      <c r="N2129" s="60"/>
      <c r="O2129" s="60"/>
      <c r="P2129" s="60"/>
      <c r="Q2129" s="60"/>
      <c r="R2129" s="58"/>
      <c r="S2129" s="62" t="str">
        <f aca="false">IF(OR(B2129="",V2129=""),"",IFERROR(INDEX(C_TIPO,MATCH(V2129&amp;"-P"&amp;MAX(1,COUNTIFS(C_RUTN,V2129,C_DEF,"Sí",C_INI,"&lt;="&amp;EOMONTH(B2129,0))),C_CLAVE,0))&amp;"","Sin contrato"))</f>
        <v/>
      </c>
      <c r="T2129" s="63" t="str">
        <f aca="false">IF(OR(B2129="",N(O2129)=0),"",N(O2129)+ROUND(MIN(N(N2129),TOPE_UF*UF_MES)*(TASA_EMP+MUTUAL),0)+ROUND(MIN(N(N2129),TOPE_AFC_UF*UF_MES)*IF(S2129="Indefinido",AFC_INDEF,AFC_PF),0))</f>
        <v/>
      </c>
      <c r="U2129" s="62" t="str">
        <f aca="false">IF(C2129="","",IF(LEFT(D2129,1)="⚠","⚠ RUT no registrado en Trabajadores",IF(B2129="","⚠ Falta el mes",IF(OR(ISTEXT(I2129),ISTEXT(J2129)),"⚠ Atrasos u horas extra como texto: escriba hh:mm (ej. 1:30)",IF(AND(ISNUMBER(Q2129),COUNTIFS(M_RUTN,V2129,M_MES,B2129,M_LIQ,"&lt;&gt;")&gt;1),"⚠ Liquidación repetida en el mes",IF(AND(ISNUMBER(O2129),ISNUMBER(P2129),ISNUMBER(Q2129),ABS(O2129-P2129-Q2129)&gt;1),"⚠ Haberes − descuentos no da el líquido","OK"))))))</f>
        <v/>
      </c>
      <c r="V2129" s="62" t="str">
        <f aca="false">IF(C2129="","",IFERROR(VALUE(LEFT(UPPER(SUBSTITUTE(SUBSTITUTE(SUBSTITUTE(TRIM(C2129),".",""),"-","")," ","")),LEN(UPPER(SUBSTITUTE(SUBSTITUTE(SUBSTITUTE(TRIM(C2129),".",""),"-","")," ","")))-1))&amp;RIGHT(UPPER(SUBSTITUTE(SUBSTITUTE(SUBSTITUTE(TRIM(C2129),".",""),"-","")," ","")),1),UPPER(SUBSTITUTE(SUBSTITUTE(SUBSTITUTE(TRIM(C2129),".",""),"-","")," ",""))))</f>
        <v/>
      </c>
    </row>
    <row r="2130" customFormat="false" ht="15" hidden="false" customHeight="false" outlineLevel="0" collapsed="false">
      <c r="B2130" s="80"/>
      <c r="C2130" s="58"/>
      <c r="D2130" s="62" t="str">
        <f aca="false">IF(C2130="","",IFERROR(INDEX(T_NOMBRE,MATCH(V2130,T_RUTN,0)),"⚠ RUT no está en Trabajadores"))</f>
        <v/>
      </c>
      <c r="E2130" s="61"/>
      <c r="F2130" s="61"/>
      <c r="G2130" s="61"/>
      <c r="H2130" s="61"/>
      <c r="I2130" s="81"/>
      <c r="J2130" s="81"/>
      <c r="K2130" s="60"/>
      <c r="L2130" s="60"/>
      <c r="M2130" s="60"/>
      <c r="N2130" s="60"/>
      <c r="O2130" s="60"/>
      <c r="P2130" s="60"/>
      <c r="Q2130" s="60"/>
      <c r="R2130" s="58"/>
      <c r="S2130" s="62" t="str">
        <f aca="false">IF(OR(B2130="",V2130=""),"",IFERROR(INDEX(C_TIPO,MATCH(V2130&amp;"-P"&amp;MAX(1,COUNTIFS(C_RUTN,V2130,C_DEF,"Sí",C_INI,"&lt;="&amp;EOMONTH(B2130,0))),C_CLAVE,0))&amp;"","Sin contrato"))</f>
        <v/>
      </c>
      <c r="T2130" s="63" t="str">
        <f aca="false">IF(OR(B2130="",N(O2130)=0),"",N(O2130)+ROUND(MIN(N(N2130),TOPE_UF*UF_MES)*(TASA_EMP+MUTUAL),0)+ROUND(MIN(N(N2130),TOPE_AFC_UF*UF_MES)*IF(S2130="Indefinido",AFC_INDEF,AFC_PF),0))</f>
        <v/>
      </c>
      <c r="U2130" s="62" t="str">
        <f aca="false">IF(C2130="","",IF(LEFT(D2130,1)="⚠","⚠ RUT no registrado en Trabajadores",IF(B2130="","⚠ Falta el mes",IF(OR(ISTEXT(I2130),ISTEXT(J2130)),"⚠ Atrasos u horas extra como texto: escriba hh:mm (ej. 1:30)",IF(AND(ISNUMBER(Q2130),COUNTIFS(M_RUTN,V2130,M_MES,B2130,M_LIQ,"&lt;&gt;")&gt;1),"⚠ Liquidación repetida en el mes",IF(AND(ISNUMBER(O2130),ISNUMBER(P2130),ISNUMBER(Q2130),ABS(O2130-P2130-Q2130)&gt;1),"⚠ Haberes − descuentos no da el líquido","OK"))))))</f>
        <v/>
      </c>
      <c r="V2130" s="62" t="str">
        <f aca="false">IF(C2130="","",IFERROR(VALUE(LEFT(UPPER(SUBSTITUTE(SUBSTITUTE(SUBSTITUTE(TRIM(C2130),".",""),"-","")," ","")),LEN(UPPER(SUBSTITUTE(SUBSTITUTE(SUBSTITUTE(TRIM(C2130),".",""),"-","")," ","")))-1))&amp;RIGHT(UPPER(SUBSTITUTE(SUBSTITUTE(SUBSTITUTE(TRIM(C2130),".",""),"-","")," ","")),1),UPPER(SUBSTITUTE(SUBSTITUTE(SUBSTITUTE(TRIM(C2130),".",""),"-","")," ",""))))</f>
        <v/>
      </c>
    </row>
    <row r="2131" customFormat="false" ht="15" hidden="false" customHeight="false" outlineLevel="0" collapsed="false">
      <c r="B2131" s="80"/>
      <c r="C2131" s="58"/>
      <c r="D2131" s="62" t="str">
        <f aca="false">IF(C2131="","",IFERROR(INDEX(T_NOMBRE,MATCH(V2131,T_RUTN,0)),"⚠ RUT no está en Trabajadores"))</f>
        <v/>
      </c>
      <c r="E2131" s="61"/>
      <c r="F2131" s="61"/>
      <c r="G2131" s="61"/>
      <c r="H2131" s="61"/>
      <c r="I2131" s="81"/>
      <c r="J2131" s="81"/>
      <c r="K2131" s="60"/>
      <c r="L2131" s="60"/>
      <c r="M2131" s="60"/>
      <c r="N2131" s="60"/>
      <c r="O2131" s="60"/>
      <c r="P2131" s="60"/>
      <c r="Q2131" s="60"/>
      <c r="R2131" s="58"/>
      <c r="S2131" s="62" t="str">
        <f aca="false">IF(OR(B2131="",V2131=""),"",IFERROR(INDEX(C_TIPO,MATCH(V2131&amp;"-P"&amp;MAX(1,COUNTIFS(C_RUTN,V2131,C_DEF,"Sí",C_INI,"&lt;="&amp;EOMONTH(B2131,0))),C_CLAVE,0))&amp;"","Sin contrato"))</f>
        <v/>
      </c>
      <c r="T2131" s="63" t="str">
        <f aca="false">IF(OR(B2131="",N(O2131)=0),"",N(O2131)+ROUND(MIN(N(N2131),TOPE_UF*UF_MES)*(TASA_EMP+MUTUAL),0)+ROUND(MIN(N(N2131),TOPE_AFC_UF*UF_MES)*IF(S2131="Indefinido",AFC_INDEF,AFC_PF),0))</f>
        <v/>
      </c>
      <c r="U2131" s="62" t="str">
        <f aca="false">IF(C2131="","",IF(LEFT(D2131,1)="⚠","⚠ RUT no registrado en Trabajadores",IF(B2131="","⚠ Falta el mes",IF(OR(ISTEXT(I2131),ISTEXT(J2131)),"⚠ Atrasos u horas extra como texto: escriba hh:mm (ej. 1:30)",IF(AND(ISNUMBER(Q2131),COUNTIFS(M_RUTN,V2131,M_MES,B2131,M_LIQ,"&lt;&gt;")&gt;1),"⚠ Liquidación repetida en el mes",IF(AND(ISNUMBER(O2131),ISNUMBER(P2131),ISNUMBER(Q2131),ABS(O2131-P2131-Q2131)&gt;1),"⚠ Haberes − descuentos no da el líquido","OK"))))))</f>
        <v/>
      </c>
      <c r="V2131" s="62" t="str">
        <f aca="false">IF(C2131="","",IFERROR(VALUE(LEFT(UPPER(SUBSTITUTE(SUBSTITUTE(SUBSTITUTE(TRIM(C2131),".",""),"-","")," ","")),LEN(UPPER(SUBSTITUTE(SUBSTITUTE(SUBSTITUTE(TRIM(C2131),".",""),"-","")," ","")))-1))&amp;RIGHT(UPPER(SUBSTITUTE(SUBSTITUTE(SUBSTITUTE(TRIM(C2131),".",""),"-","")," ","")),1),UPPER(SUBSTITUTE(SUBSTITUTE(SUBSTITUTE(TRIM(C2131),".",""),"-","")," ",""))))</f>
        <v/>
      </c>
    </row>
    <row r="2132" customFormat="false" ht="15" hidden="false" customHeight="false" outlineLevel="0" collapsed="false">
      <c r="B2132" s="80"/>
      <c r="C2132" s="58"/>
      <c r="D2132" s="62" t="str">
        <f aca="false">IF(C2132="","",IFERROR(INDEX(T_NOMBRE,MATCH(V2132,T_RUTN,0)),"⚠ RUT no está en Trabajadores"))</f>
        <v/>
      </c>
      <c r="E2132" s="61"/>
      <c r="F2132" s="61"/>
      <c r="G2132" s="61"/>
      <c r="H2132" s="61"/>
      <c r="I2132" s="81"/>
      <c r="J2132" s="81"/>
      <c r="K2132" s="60"/>
      <c r="L2132" s="60"/>
      <c r="M2132" s="60"/>
      <c r="N2132" s="60"/>
      <c r="O2132" s="60"/>
      <c r="P2132" s="60"/>
      <c r="Q2132" s="60"/>
      <c r="R2132" s="58"/>
      <c r="S2132" s="62" t="str">
        <f aca="false">IF(OR(B2132="",V2132=""),"",IFERROR(INDEX(C_TIPO,MATCH(V2132&amp;"-P"&amp;MAX(1,COUNTIFS(C_RUTN,V2132,C_DEF,"Sí",C_INI,"&lt;="&amp;EOMONTH(B2132,0))),C_CLAVE,0))&amp;"","Sin contrato"))</f>
        <v/>
      </c>
      <c r="T2132" s="63" t="str">
        <f aca="false">IF(OR(B2132="",N(O2132)=0),"",N(O2132)+ROUND(MIN(N(N2132),TOPE_UF*UF_MES)*(TASA_EMP+MUTUAL),0)+ROUND(MIN(N(N2132),TOPE_AFC_UF*UF_MES)*IF(S2132="Indefinido",AFC_INDEF,AFC_PF),0))</f>
        <v/>
      </c>
      <c r="U2132" s="62" t="str">
        <f aca="false">IF(C2132="","",IF(LEFT(D2132,1)="⚠","⚠ RUT no registrado en Trabajadores",IF(B2132="","⚠ Falta el mes",IF(OR(ISTEXT(I2132),ISTEXT(J2132)),"⚠ Atrasos u horas extra como texto: escriba hh:mm (ej. 1:30)",IF(AND(ISNUMBER(Q2132),COUNTIFS(M_RUTN,V2132,M_MES,B2132,M_LIQ,"&lt;&gt;")&gt;1),"⚠ Liquidación repetida en el mes",IF(AND(ISNUMBER(O2132),ISNUMBER(P2132),ISNUMBER(Q2132),ABS(O2132-P2132-Q2132)&gt;1),"⚠ Haberes − descuentos no da el líquido","OK"))))))</f>
        <v/>
      </c>
      <c r="V2132" s="62" t="str">
        <f aca="false">IF(C2132="","",IFERROR(VALUE(LEFT(UPPER(SUBSTITUTE(SUBSTITUTE(SUBSTITUTE(TRIM(C2132),".",""),"-","")," ","")),LEN(UPPER(SUBSTITUTE(SUBSTITUTE(SUBSTITUTE(TRIM(C2132),".",""),"-","")," ","")))-1))&amp;RIGHT(UPPER(SUBSTITUTE(SUBSTITUTE(SUBSTITUTE(TRIM(C2132),".",""),"-","")," ","")),1),UPPER(SUBSTITUTE(SUBSTITUTE(SUBSTITUTE(TRIM(C2132),".",""),"-","")," ",""))))</f>
        <v/>
      </c>
    </row>
    <row r="2133" customFormat="false" ht="15" hidden="false" customHeight="false" outlineLevel="0" collapsed="false">
      <c r="B2133" s="80"/>
      <c r="C2133" s="58"/>
      <c r="D2133" s="62" t="str">
        <f aca="false">IF(C2133="","",IFERROR(INDEX(T_NOMBRE,MATCH(V2133,T_RUTN,0)),"⚠ RUT no está en Trabajadores"))</f>
        <v/>
      </c>
      <c r="E2133" s="61"/>
      <c r="F2133" s="61"/>
      <c r="G2133" s="61"/>
      <c r="H2133" s="61"/>
      <c r="I2133" s="81"/>
      <c r="J2133" s="81"/>
      <c r="K2133" s="60"/>
      <c r="L2133" s="60"/>
      <c r="M2133" s="60"/>
      <c r="N2133" s="60"/>
      <c r="O2133" s="60"/>
      <c r="P2133" s="60"/>
      <c r="Q2133" s="60"/>
      <c r="R2133" s="58"/>
      <c r="S2133" s="62" t="str">
        <f aca="false">IF(OR(B2133="",V2133=""),"",IFERROR(INDEX(C_TIPO,MATCH(V2133&amp;"-P"&amp;MAX(1,COUNTIFS(C_RUTN,V2133,C_DEF,"Sí",C_INI,"&lt;="&amp;EOMONTH(B2133,0))),C_CLAVE,0))&amp;"","Sin contrato"))</f>
        <v/>
      </c>
      <c r="T2133" s="63" t="str">
        <f aca="false">IF(OR(B2133="",N(O2133)=0),"",N(O2133)+ROUND(MIN(N(N2133),TOPE_UF*UF_MES)*(TASA_EMP+MUTUAL),0)+ROUND(MIN(N(N2133),TOPE_AFC_UF*UF_MES)*IF(S2133="Indefinido",AFC_INDEF,AFC_PF),0))</f>
        <v/>
      </c>
      <c r="U2133" s="62" t="str">
        <f aca="false">IF(C2133="","",IF(LEFT(D2133,1)="⚠","⚠ RUT no registrado en Trabajadores",IF(B2133="","⚠ Falta el mes",IF(OR(ISTEXT(I2133),ISTEXT(J2133)),"⚠ Atrasos u horas extra como texto: escriba hh:mm (ej. 1:30)",IF(AND(ISNUMBER(Q2133),COUNTIFS(M_RUTN,V2133,M_MES,B2133,M_LIQ,"&lt;&gt;")&gt;1),"⚠ Liquidación repetida en el mes",IF(AND(ISNUMBER(O2133),ISNUMBER(P2133),ISNUMBER(Q2133),ABS(O2133-P2133-Q2133)&gt;1),"⚠ Haberes − descuentos no da el líquido","OK"))))))</f>
        <v/>
      </c>
      <c r="V2133" s="62" t="str">
        <f aca="false">IF(C2133="","",IFERROR(VALUE(LEFT(UPPER(SUBSTITUTE(SUBSTITUTE(SUBSTITUTE(TRIM(C2133),".",""),"-","")," ","")),LEN(UPPER(SUBSTITUTE(SUBSTITUTE(SUBSTITUTE(TRIM(C2133),".",""),"-","")," ","")))-1))&amp;RIGHT(UPPER(SUBSTITUTE(SUBSTITUTE(SUBSTITUTE(TRIM(C2133),".",""),"-","")," ","")),1),UPPER(SUBSTITUTE(SUBSTITUTE(SUBSTITUTE(TRIM(C2133),".",""),"-","")," ",""))))</f>
        <v/>
      </c>
    </row>
    <row r="2134" customFormat="false" ht="15" hidden="false" customHeight="false" outlineLevel="0" collapsed="false">
      <c r="B2134" s="80"/>
      <c r="C2134" s="58"/>
      <c r="D2134" s="62" t="str">
        <f aca="false">IF(C2134="","",IFERROR(INDEX(T_NOMBRE,MATCH(V2134,T_RUTN,0)),"⚠ RUT no está en Trabajadores"))</f>
        <v/>
      </c>
      <c r="E2134" s="61"/>
      <c r="F2134" s="61"/>
      <c r="G2134" s="61"/>
      <c r="H2134" s="61"/>
      <c r="I2134" s="81"/>
      <c r="J2134" s="81"/>
      <c r="K2134" s="60"/>
      <c r="L2134" s="60"/>
      <c r="M2134" s="60"/>
      <c r="N2134" s="60"/>
      <c r="O2134" s="60"/>
      <c r="P2134" s="60"/>
      <c r="Q2134" s="60"/>
      <c r="R2134" s="58"/>
      <c r="S2134" s="62" t="str">
        <f aca="false">IF(OR(B2134="",V2134=""),"",IFERROR(INDEX(C_TIPO,MATCH(V2134&amp;"-P"&amp;MAX(1,COUNTIFS(C_RUTN,V2134,C_DEF,"Sí",C_INI,"&lt;="&amp;EOMONTH(B2134,0))),C_CLAVE,0))&amp;"","Sin contrato"))</f>
        <v/>
      </c>
      <c r="T2134" s="63" t="str">
        <f aca="false">IF(OR(B2134="",N(O2134)=0),"",N(O2134)+ROUND(MIN(N(N2134),TOPE_UF*UF_MES)*(TASA_EMP+MUTUAL),0)+ROUND(MIN(N(N2134),TOPE_AFC_UF*UF_MES)*IF(S2134="Indefinido",AFC_INDEF,AFC_PF),0))</f>
        <v/>
      </c>
      <c r="U2134" s="62" t="str">
        <f aca="false">IF(C2134="","",IF(LEFT(D2134,1)="⚠","⚠ RUT no registrado en Trabajadores",IF(B2134="","⚠ Falta el mes",IF(OR(ISTEXT(I2134),ISTEXT(J2134)),"⚠ Atrasos u horas extra como texto: escriba hh:mm (ej. 1:30)",IF(AND(ISNUMBER(Q2134),COUNTIFS(M_RUTN,V2134,M_MES,B2134,M_LIQ,"&lt;&gt;")&gt;1),"⚠ Liquidación repetida en el mes",IF(AND(ISNUMBER(O2134),ISNUMBER(P2134),ISNUMBER(Q2134),ABS(O2134-P2134-Q2134)&gt;1),"⚠ Haberes − descuentos no da el líquido","OK"))))))</f>
        <v/>
      </c>
      <c r="V2134" s="62" t="str">
        <f aca="false">IF(C2134="","",IFERROR(VALUE(LEFT(UPPER(SUBSTITUTE(SUBSTITUTE(SUBSTITUTE(TRIM(C2134),".",""),"-","")," ","")),LEN(UPPER(SUBSTITUTE(SUBSTITUTE(SUBSTITUTE(TRIM(C2134),".",""),"-","")," ","")))-1))&amp;RIGHT(UPPER(SUBSTITUTE(SUBSTITUTE(SUBSTITUTE(TRIM(C2134),".",""),"-","")," ","")),1),UPPER(SUBSTITUTE(SUBSTITUTE(SUBSTITUTE(TRIM(C2134),".",""),"-","")," ",""))))</f>
        <v/>
      </c>
    </row>
    <row r="2135" customFormat="false" ht="15" hidden="false" customHeight="false" outlineLevel="0" collapsed="false">
      <c r="B2135" s="80"/>
      <c r="C2135" s="58"/>
      <c r="D2135" s="62" t="str">
        <f aca="false">IF(C2135="","",IFERROR(INDEX(T_NOMBRE,MATCH(V2135,T_RUTN,0)),"⚠ RUT no está en Trabajadores"))</f>
        <v/>
      </c>
      <c r="E2135" s="61"/>
      <c r="F2135" s="61"/>
      <c r="G2135" s="61"/>
      <c r="H2135" s="61"/>
      <c r="I2135" s="81"/>
      <c r="J2135" s="81"/>
      <c r="K2135" s="60"/>
      <c r="L2135" s="60"/>
      <c r="M2135" s="60"/>
      <c r="N2135" s="60"/>
      <c r="O2135" s="60"/>
      <c r="P2135" s="60"/>
      <c r="Q2135" s="60"/>
      <c r="R2135" s="58"/>
      <c r="S2135" s="62" t="str">
        <f aca="false">IF(OR(B2135="",V2135=""),"",IFERROR(INDEX(C_TIPO,MATCH(V2135&amp;"-P"&amp;MAX(1,COUNTIFS(C_RUTN,V2135,C_DEF,"Sí",C_INI,"&lt;="&amp;EOMONTH(B2135,0))),C_CLAVE,0))&amp;"","Sin contrato"))</f>
        <v/>
      </c>
      <c r="T2135" s="63" t="str">
        <f aca="false">IF(OR(B2135="",N(O2135)=0),"",N(O2135)+ROUND(MIN(N(N2135),TOPE_UF*UF_MES)*(TASA_EMP+MUTUAL),0)+ROUND(MIN(N(N2135),TOPE_AFC_UF*UF_MES)*IF(S2135="Indefinido",AFC_INDEF,AFC_PF),0))</f>
        <v/>
      </c>
      <c r="U2135" s="62" t="str">
        <f aca="false">IF(C2135="","",IF(LEFT(D2135,1)="⚠","⚠ RUT no registrado en Trabajadores",IF(B2135="","⚠ Falta el mes",IF(OR(ISTEXT(I2135),ISTEXT(J2135)),"⚠ Atrasos u horas extra como texto: escriba hh:mm (ej. 1:30)",IF(AND(ISNUMBER(Q2135),COUNTIFS(M_RUTN,V2135,M_MES,B2135,M_LIQ,"&lt;&gt;")&gt;1),"⚠ Liquidación repetida en el mes",IF(AND(ISNUMBER(O2135),ISNUMBER(P2135),ISNUMBER(Q2135),ABS(O2135-P2135-Q2135)&gt;1),"⚠ Haberes − descuentos no da el líquido","OK"))))))</f>
        <v/>
      </c>
      <c r="V2135" s="62" t="str">
        <f aca="false">IF(C2135="","",IFERROR(VALUE(LEFT(UPPER(SUBSTITUTE(SUBSTITUTE(SUBSTITUTE(TRIM(C2135),".",""),"-","")," ","")),LEN(UPPER(SUBSTITUTE(SUBSTITUTE(SUBSTITUTE(TRIM(C2135),".",""),"-","")," ","")))-1))&amp;RIGHT(UPPER(SUBSTITUTE(SUBSTITUTE(SUBSTITUTE(TRIM(C2135),".",""),"-","")," ","")),1),UPPER(SUBSTITUTE(SUBSTITUTE(SUBSTITUTE(TRIM(C2135),".",""),"-","")," ",""))))</f>
        <v/>
      </c>
    </row>
    <row r="2136" customFormat="false" ht="15" hidden="false" customHeight="false" outlineLevel="0" collapsed="false">
      <c r="B2136" s="80"/>
      <c r="C2136" s="58"/>
      <c r="D2136" s="62" t="str">
        <f aca="false">IF(C2136="","",IFERROR(INDEX(T_NOMBRE,MATCH(V2136,T_RUTN,0)),"⚠ RUT no está en Trabajadores"))</f>
        <v/>
      </c>
      <c r="E2136" s="61"/>
      <c r="F2136" s="61"/>
      <c r="G2136" s="61"/>
      <c r="H2136" s="61"/>
      <c r="I2136" s="81"/>
      <c r="J2136" s="81"/>
      <c r="K2136" s="60"/>
      <c r="L2136" s="60"/>
      <c r="M2136" s="60"/>
      <c r="N2136" s="60"/>
      <c r="O2136" s="60"/>
      <c r="P2136" s="60"/>
      <c r="Q2136" s="60"/>
      <c r="R2136" s="58"/>
      <c r="S2136" s="62" t="str">
        <f aca="false">IF(OR(B2136="",V2136=""),"",IFERROR(INDEX(C_TIPO,MATCH(V2136&amp;"-P"&amp;MAX(1,COUNTIFS(C_RUTN,V2136,C_DEF,"Sí",C_INI,"&lt;="&amp;EOMONTH(B2136,0))),C_CLAVE,0))&amp;"","Sin contrato"))</f>
        <v/>
      </c>
      <c r="T2136" s="63" t="str">
        <f aca="false">IF(OR(B2136="",N(O2136)=0),"",N(O2136)+ROUND(MIN(N(N2136),TOPE_UF*UF_MES)*(TASA_EMP+MUTUAL),0)+ROUND(MIN(N(N2136),TOPE_AFC_UF*UF_MES)*IF(S2136="Indefinido",AFC_INDEF,AFC_PF),0))</f>
        <v/>
      </c>
      <c r="U2136" s="62" t="str">
        <f aca="false">IF(C2136="","",IF(LEFT(D2136,1)="⚠","⚠ RUT no registrado en Trabajadores",IF(B2136="","⚠ Falta el mes",IF(OR(ISTEXT(I2136),ISTEXT(J2136)),"⚠ Atrasos u horas extra como texto: escriba hh:mm (ej. 1:30)",IF(AND(ISNUMBER(Q2136),COUNTIFS(M_RUTN,V2136,M_MES,B2136,M_LIQ,"&lt;&gt;")&gt;1),"⚠ Liquidación repetida en el mes",IF(AND(ISNUMBER(O2136),ISNUMBER(P2136),ISNUMBER(Q2136),ABS(O2136-P2136-Q2136)&gt;1),"⚠ Haberes − descuentos no da el líquido","OK"))))))</f>
        <v/>
      </c>
      <c r="V2136" s="62" t="str">
        <f aca="false">IF(C2136="","",IFERROR(VALUE(LEFT(UPPER(SUBSTITUTE(SUBSTITUTE(SUBSTITUTE(TRIM(C2136),".",""),"-","")," ","")),LEN(UPPER(SUBSTITUTE(SUBSTITUTE(SUBSTITUTE(TRIM(C2136),".",""),"-","")," ","")))-1))&amp;RIGHT(UPPER(SUBSTITUTE(SUBSTITUTE(SUBSTITUTE(TRIM(C2136),".",""),"-","")," ","")),1),UPPER(SUBSTITUTE(SUBSTITUTE(SUBSTITUTE(TRIM(C2136),".",""),"-","")," ",""))))</f>
        <v/>
      </c>
    </row>
    <row r="2137" customFormat="false" ht="15" hidden="false" customHeight="false" outlineLevel="0" collapsed="false">
      <c r="B2137" s="80"/>
      <c r="C2137" s="58"/>
      <c r="D2137" s="62" t="str">
        <f aca="false">IF(C2137="","",IFERROR(INDEX(T_NOMBRE,MATCH(V2137,T_RUTN,0)),"⚠ RUT no está en Trabajadores"))</f>
        <v/>
      </c>
      <c r="E2137" s="61"/>
      <c r="F2137" s="61"/>
      <c r="G2137" s="61"/>
      <c r="H2137" s="61"/>
      <c r="I2137" s="81"/>
      <c r="J2137" s="81"/>
      <c r="K2137" s="60"/>
      <c r="L2137" s="60"/>
      <c r="M2137" s="60"/>
      <c r="N2137" s="60"/>
      <c r="O2137" s="60"/>
      <c r="P2137" s="60"/>
      <c r="Q2137" s="60"/>
      <c r="R2137" s="58"/>
      <c r="S2137" s="62" t="str">
        <f aca="false">IF(OR(B2137="",V2137=""),"",IFERROR(INDEX(C_TIPO,MATCH(V2137&amp;"-P"&amp;MAX(1,COUNTIFS(C_RUTN,V2137,C_DEF,"Sí",C_INI,"&lt;="&amp;EOMONTH(B2137,0))),C_CLAVE,0))&amp;"","Sin contrato"))</f>
        <v/>
      </c>
      <c r="T2137" s="63" t="str">
        <f aca="false">IF(OR(B2137="",N(O2137)=0),"",N(O2137)+ROUND(MIN(N(N2137),TOPE_UF*UF_MES)*(TASA_EMP+MUTUAL),0)+ROUND(MIN(N(N2137),TOPE_AFC_UF*UF_MES)*IF(S2137="Indefinido",AFC_INDEF,AFC_PF),0))</f>
        <v/>
      </c>
      <c r="U2137" s="62" t="str">
        <f aca="false">IF(C2137="","",IF(LEFT(D2137,1)="⚠","⚠ RUT no registrado en Trabajadores",IF(B2137="","⚠ Falta el mes",IF(OR(ISTEXT(I2137),ISTEXT(J2137)),"⚠ Atrasos u horas extra como texto: escriba hh:mm (ej. 1:30)",IF(AND(ISNUMBER(Q2137),COUNTIFS(M_RUTN,V2137,M_MES,B2137,M_LIQ,"&lt;&gt;")&gt;1),"⚠ Liquidación repetida en el mes",IF(AND(ISNUMBER(O2137),ISNUMBER(P2137),ISNUMBER(Q2137),ABS(O2137-P2137-Q2137)&gt;1),"⚠ Haberes − descuentos no da el líquido","OK"))))))</f>
        <v/>
      </c>
      <c r="V2137" s="62" t="str">
        <f aca="false">IF(C2137="","",IFERROR(VALUE(LEFT(UPPER(SUBSTITUTE(SUBSTITUTE(SUBSTITUTE(TRIM(C2137),".",""),"-","")," ","")),LEN(UPPER(SUBSTITUTE(SUBSTITUTE(SUBSTITUTE(TRIM(C2137),".",""),"-","")," ","")))-1))&amp;RIGHT(UPPER(SUBSTITUTE(SUBSTITUTE(SUBSTITUTE(TRIM(C2137),".",""),"-","")," ","")),1),UPPER(SUBSTITUTE(SUBSTITUTE(SUBSTITUTE(TRIM(C2137),".",""),"-","")," ",""))))</f>
        <v/>
      </c>
    </row>
    <row r="2138" customFormat="false" ht="15" hidden="false" customHeight="false" outlineLevel="0" collapsed="false">
      <c r="B2138" s="80"/>
      <c r="C2138" s="58"/>
      <c r="D2138" s="62" t="str">
        <f aca="false">IF(C2138="","",IFERROR(INDEX(T_NOMBRE,MATCH(V2138,T_RUTN,0)),"⚠ RUT no está en Trabajadores"))</f>
        <v/>
      </c>
      <c r="E2138" s="61"/>
      <c r="F2138" s="61"/>
      <c r="G2138" s="61"/>
      <c r="H2138" s="61"/>
      <c r="I2138" s="81"/>
      <c r="J2138" s="81"/>
      <c r="K2138" s="60"/>
      <c r="L2138" s="60"/>
      <c r="M2138" s="60"/>
      <c r="N2138" s="60"/>
      <c r="O2138" s="60"/>
      <c r="P2138" s="60"/>
      <c r="Q2138" s="60"/>
      <c r="R2138" s="58"/>
      <c r="S2138" s="62" t="str">
        <f aca="false">IF(OR(B2138="",V2138=""),"",IFERROR(INDEX(C_TIPO,MATCH(V2138&amp;"-P"&amp;MAX(1,COUNTIFS(C_RUTN,V2138,C_DEF,"Sí",C_INI,"&lt;="&amp;EOMONTH(B2138,0))),C_CLAVE,0))&amp;"","Sin contrato"))</f>
        <v/>
      </c>
      <c r="T2138" s="63" t="str">
        <f aca="false">IF(OR(B2138="",N(O2138)=0),"",N(O2138)+ROUND(MIN(N(N2138),TOPE_UF*UF_MES)*(TASA_EMP+MUTUAL),0)+ROUND(MIN(N(N2138),TOPE_AFC_UF*UF_MES)*IF(S2138="Indefinido",AFC_INDEF,AFC_PF),0))</f>
        <v/>
      </c>
      <c r="U2138" s="62" t="str">
        <f aca="false">IF(C2138="","",IF(LEFT(D2138,1)="⚠","⚠ RUT no registrado en Trabajadores",IF(B2138="","⚠ Falta el mes",IF(OR(ISTEXT(I2138),ISTEXT(J2138)),"⚠ Atrasos u horas extra como texto: escriba hh:mm (ej. 1:30)",IF(AND(ISNUMBER(Q2138),COUNTIFS(M_RUTN,V2138,M_MES,B2138,M_LIQ,"&lt;&gt;")&gt;1),"⚠ Liquidación repetida en el mes",IF(AND(ISNUMBER(O2138),ISNUMBER(P2138),ISNUMBER(Q2138),ABS(O2138-P2138-Q2138)&gt;1),"⚠ Haberes − descuentos no da el líquido","OK"))))))</f>
        <v/>
      </c>
      <c r="V2138" s="62" t="str">
        <f aca="false">IF(C2138="","",IFERROR(VALUE(LEFT(UPPER(SUBSTITUTE(SUBSTITUTE(SUBSTITUTE(TRIM(C2138),".",""),"-","")," ","")),LEN(UPPER(SUBSTITUTE(SUBSTITUTE(SUBSTITUTE(TRIM(C2138),".",""),"-","")," ","")))-1))&amp;RIGHT(UPPER(SUBSTITUTE(SUBSTITUTE(SUBSTITUTE(TRIM(C2138),".",""),"-","")," ","")),1),UPPER(SUBSTITUTE(SUBSTITUTE(SUBSTITUTE(TRIM(C2138),".",""),"-","")," ",""))))</f>
        <v/>
      </c>
    </row>
    <row r="2139" customFormat="false" ht="15" hidden="false" customHeight="false" outlineLevel="0" collapsed="false">
      <c r="B2139" s="80"/>
      <c r="C2139" s="58"/>
      <c r="D2139" s="62" t="str">
        <f aca="false">IF(C2139="","",IFERROR(INDEX(T_NOMBRE,MATCH(V2139,T_RUTN,0)),"⚠ RUT no está en Trabajadores"))</f>
        <v/>
      </c>
      <c r="E2139" s="61"/>
      <c r="F2139" s="61"/>
      <c r="G2139" s="61"/>
      <c r="H2139" s="61"/>
      <c r="I2139" s="81"/>
      <c r="J2139" s="81"/>
      <c r="K2139" s="60"/>
      <c r="L2139" s="60"/>
      <c r="M2139" s="60"/>
      <c r="N2139" s="60"/>
      <c r="O2139" s="60"/>
      <c r="P2139" s="60"/>
      <c r="Q2139" s="60"/>
      <c r="R2139" s="58"/>
      <c r="S2139" s="62" t="str">
        <f aca="false">IF(OR(B2139="",V2139=""),"",IFERROR(INDEX(C_TIPO,MATCH(V2139&amp;"-P"&amp;MAX(1,COUNTIFS(C_RUTN,V2139,C_DEF,"Sí",C_INI,"&lt;="&amp;EOMONTH(B2139,0))),C_CLAVE,0))&amp;"","Sin contrato"))</f>
        <v/>
      </c>
      <c r="T2139" s="63" t="str">
        <f aca="false">IF(OR(B2139="",N(O2139)=0),"",N(O2139)+ROUND(MIN(N(N2139),TOPE_UF*UF_MES)*(TASA_EMP+MUTUAL),0)+ROUND(MIN(N(N2139),TOPE_AFC_UF*UF_MES)*IF(S2139="Indefinido",AFC_INDEF,AFC_PF),0))</f>
        <v/>
      </c>
      <c r="U2139" s="62" t="str">
        <f aca="false">IF(C2139="","",IF(LEFT(D2139,1)="⚠","⚠ RUT no registrado en Trabajadores",IF(B2139="","⚠ Falta el mes",IF(OR(ISTEXT(I2139),ISTEXT(J2139)),"⚠ Atrasos u horas extra como texto: escriba hh:mm (ej. 1:30)",IF(AND(ISNUMBER(Q2139),COUNTIFS(M_RUTN,V2139,M_MES,B2139,M_LIQ,"&lt;&gt;")&gt;1),"⚠ Liquidación repetida en el mes",IF(AND(ISNUMBER(O2139),ISNUMBER(P2139),ISNUMBER(Q2139),ABS(O2139-P2139-Q2139)&gt;1),"⚠ Haberes − descuentos no da el líquido","OK"))))))</f>
        <v/>
      </c>
      <c r="V2139" s="62" t="str">
        <f aca="false">IF(C2139="","",IFERROR(VALUE(LEFT(UPPER(SUBSTITUTE(SUBSTITUTE(SUBSTITUTE(TRIM(C2139),".",""),"-","")," ","")),LEN(UPPER(SUBSTITUTE(SUBSTITUTE(SUBSTITUTE(TRIM(C2139),".",""),"-","")," ","")))-1))&amp;RIGHT(UPPER(SUBSTITUTE(SUBSTITUTE(SUBSTITUTE(TRIM(C2139),".",""),"-","")," ","")),1),UPPER(SUBSTITUTE(SUBSTITUTE(SUBSTITUTE(TRIM(C2139),".",""),"-","")," ",""))))</f>
        <v/>
      </c>
    </row>
    <row r="2140" customFormat="false" ht="15" hidden="false" customHeight="false" outlineLevel="0" collapsed="false">
      <c r="B2140" s="80"/>
      <c r="C2140" s="58"/>
      <c r="D2140" s="62" t="str">
        <f aca="false">IF(C2140="","",IFERROR(INDEX(T_NOMBRE,MATCH(V2140,T_RUTN,0)),"⚠ RUT no está en Trabajadores"))</f>
        <v/>
      </c>
      <c r="E2140" s="61"/>
      <c r="F2140" s="61"/>
      <c r="G2140" s="61"/>
      <c r="H2140" s="61"/>
      <c r="I2140" s="81"/>
      <c r="J2140" s="81"/>
      <c r="K2140" s="60"/>
      <c r="L2140" s="60"/>
      <c r="M2140" s="60"/>
      <c r="N2140" s="60"/>
      <c r="O2140" s="60"/>
      <c r="P2140" s="60"/>
      <c r="Q2140" s="60"/>
      <c r="R2140" s="58"/>
      <c r="S2140" s="62" t="str">
        <f aca="false">IF(OR(B2140="",V2140=""),"",IFERROR(INDEX(C_TIPO,MATCH(V2140&amp;"-P"&amp;MAX(1,COUNTIFS(C_RUTN,V2140,C_DEF,"Sí",C_INI,"&lt;="&amp;EOMONTH(B2140,0))),C_CLAVE,0))&amp;"","Sin contrato"))</f>
        <v/>
      </c>
      <c r="T2140" s="63" t="str">
        <f aca="false">IF(OR(B2140="",N(O2140)=0),"",N(O2140)+ROUND(MIN(N(N2140),TOPE_UF*UF_MES)*(TASA_EMP+MUTUAL),0)+ROUND(MIN(N(N2140),TOPE_AFC_UF*UF_MES)*IF(S2140="Indefinido",AFC_INDEF,AFC_PF),0))</f>
        <v/>
      </c>
      <c r="U2140" s="62" t="str">
        <f aca="false">IF(C2140="","",IF(LEFT(D2140,1)="⚠","⚠ RUT no registrado en Trabajadores",IF(B2140="","⚠ Falta el mes",IF(OR(ISTEXT(I2140),ISTEXT(J2140)),"⚠ Atrasos u horas extra como texto: escriba hh:mm (ej. 1:30)",IF(AND(ISNUMBER(Q2140),COUNTIFS(M_RUTN,V2140,M_MES,B2140,M_LIQ,"&lt;&gt;")&gt;1),"⚠ Liquidación repetida en el mes",IF(AND(ISNUMBER(O2140),ISNUMBER(P2140),ISNUMBER(Q2140),ABS(O2140-P2140-Q2140)&gt;1),"⚠ Haberes − descuentos no da el líquido","OK"))))))</f>
        <v/>
      </c>
      <c r="V2140" s="62" t="str">
        <f aca="false">IF(C2140="","",IFERROR(VALUE(LEFT(UPPER(SUBSTITUTE(SUBSTITUTE(SUBSTITUTE(TRIM(C2140),".",""),"-","")," ","")),LEN(UPPER(SUBSTITUTE(SUBSTITUTE(SUBSTITUTE(TRIM(C2140),".",""),"-","")," ","")))-1))&amp;RIGHT(UPPER(SUBSTITUTE(SUBSTITUTE(SUBSTITUTE(TRIM(C2140),".",""),"-","")," ","")),1),UPPER(SUBSTITUTE(SUBSTITUTE(SUBSTITUTE(TRIM(C2140),".",""),"-","")," ",""))))</f>
        <v/>
      </c>
    </row>
    <row r="2141" customFormat="false" ht="15" hidden="false" customHeight="false" outlineLevel="0" collapsed="false">
      <c r="B2141" s="80"/>
      <c r="C2141" s="58"/>
      <c r="D2141" s="62" t="str">
        <f aca="false">IF(C2141="","",IFERROR(INDEX(T_NOMBRE,MATCH(V2141,T_RUTN,0)),"⚠ RUT no está en Trabajadores"))</f>
        <v/>
      </c>
      <c r="E2141" s="61"/>
      <c r="F2141" s="61"/>
      <c r="G2141" s="61"/>
      <c r="H2141" s="61"/>
      <c r="I2141" s="81"/>
      <c r="J2141" s="81"/>
      <c r="K2141" s="60"/>
      <c r="L2141" s="60"/>
      <c r="M2141" s="60"/>
      <c r="N2141" s="60"/>
      <c r="O2141" s="60"/>
      <c r="P2141" s="60"/>
      <c r="Q2141" s="60"/>
      <c r="R2141" s="58"/>
      <c r="S2141" s="62" t="str">
        <f aca="false">IF(OR(B2141="",V2141=""),"",IFERROR(INDEX(C_TIPO,MATCH(V2141&amp;"-P"&amp;MAX(1,COUNTIFS(C_RUTN,V2141,C_DEF,"Sí",C_INI,"&lt;="&amp;EOMONTH(B2141,0))),C_CLAVE,0))&amp;"","Sin contrato"))</f>
        <v/>
      </c>
      <c r="T2141" s="63" t="str">
        <f aca="false">IF(OR(B2141="",N(O2141)=0),"",N(O2141)+ROUND(MIN(N(N2141),TOPE_UF*UF_MES)*(TASA_EMP+MUTUAL),0)+ROUND(MIN(N(N2141),TOPE_AFC_UF*UF_MES)*IF(S2141="Indefinido",AFC_INDEF,AFC_PF),0))</f>
        <v/>
      </c>
      <c r="U2141" s="62" t="str">
        <f aca="false">IF(C2141="","",IF(LEFT(D2141,1)="⚠","⚠ RUT no registrado en Trabajadores",IF(B2141="","⚠ Falta el mes",IF(OR(ISTEXT(I2141),ISTEXT(J2141)),"⚠ Atrasos u horas extra como texto: escriba hh:mm (ej. 1:30)",IF(AND(ISNUMBER(Q2141),COUNTIFS(M_RUTN,V2141,M_MES,B2141,M_LIQ,"&lt;&gt;")&gt;1),"⚠ Liquidación repetida en el mes",IF(AND(ISNUMBER(O2141),ISNUMBER(P2141),ISNUMBER(Q2141),ABS(O2141-P2141-Q2141)&gt;1),"⚠ Haberes − descuentos no da el líquido","OK"))))))</f>
        <v/>
      </c>
      <c r="V2141" s="62" t="str">
        <f aca="false">IF(C2141="","",IFERROR(VALUE(LEFT(UPPER(SUBSTITUTE(SUBSTITUTE(SUBSTITUTE(TRIM(C2141),".",""),"-","")," ","")),LEN(UPPER(SUBSTITUTE(SUBSTITUTE(SUBSTITUTE(TRIM(C2141),".",""),"-","")," ","")))-1))&amp;RIGHT(UPPER(SUBSTITUTE(SUBSTITUTE(SUBSTITUTE(TRIM(C2141),".",""),"-","")," ","")),1),UPPER(SUBSTITUTE(SUBSTITUTE(SUBSTITUTE(TRIM(C2141),".",""),"-","")," ",""))))</f>
        <v/>
      </c>
    </row>
    <row r="2142" customFormat="false" ht="15" hidden="false" customHeight="false" outlineLevel="0" collapsed="false">
      <c r="B2142" s="80"/>
      <c r="C2142" s="58"/>
      <c r="D2142" s="62" t="str">
        <f aca="false">IF(C2142="","",IFERROR(INDEX(T_NOMBRE,MATCH(V2142,T_RUTN,0)),"⚠ RUT no está en Trabajadores"))</f>
        <v/>
      </c>
      <c r="E2142" s="61"/>
      <c r="F2142" s="61"/>
      <c r="G2142" s="61"/>
      <c r="H2142" s="61"/>
      <c r="I2142" s="81"/>
      <c r="J2142" s="81"/>
      <c r="K2142" s="60"/>
      <c r="L2142" s="60"/>
      <c r="M2142" s="60"/>
      <c r="N2142" s="60"/>
      <c r="O2142" s="60"/>
      <c r="P2142" s="60"/>
      <c r="Q2142" s="60"/>
      <c r="R2142" s="58"/>
      <c r="S2142" s="62" t="str">
        <f aca="false">IF(OR(B2142="",V2142=""),"",IFERROR(INDEX(C_TIPO,MATCH(V2142&amp;"-P"&amp;MAX(1,COUNTIFS(C_RUTN,V2142,C_DEF,"Sí",C_INI,"&lt;="&amp;EOMONTH(B2142,0))),C_CLAVE,0))&amp;"","Sin contrato"))</f>
        <v/>
      </c>
      <c r="T2142" s="63" t="str">
        <f aca="false">IF(OR(B2142="",N(O2142)=0),"",N(O2142)+ROUND(MIN(N(N2142),TOPE_UF*UF_MES)*(TASA_EMP+MUTUAL),0)+ROUND(MIN(N(N2142),TOPE_AFC_UF*UF_MES)*IF(S2142="Indefinido",AFC_INDEF,AFC_PF),0))</f>
        <v/>
      </c>
      <c r="U2142" s="62" t="str">
        <f aca="false">IF(C2142="","",IF(LEFT(D2142,1)="⚠","⚠ RUT no registrado en Trabajadores",IF(B2142="","⚠ Falta el mes",IF(OR(ISTEXT(I2142),ISTEXT(J2142)),"⚠ Atrasos u horas extra como texto: escriba hh:mm (ej. 1:30)",IF(AND(ISNUMBER(Q2142),COUNTIFS(M_RUTN,V2142,M_MES,B2142,M_LIQ,"&lt;&gt;")&gt;1),"⚠ Liquidación repetida en el mes",IF(AND(ISNUMBER(O2142),ISNUMBER(P2142),ISNUMBER(Q2142),ABS(O2142-P2142-Q2142)&gt;1),"⚠ Haberes − descuentos no da el líquido","OK"))))))</f>
        <v/>
      </c>
      <c r="V2142" s="62" t="str">
        <f aca="false">IF(C2142="","",IFERROR(VALUE(LEFT(UPPER(SUBSTITUTE(SUBSTITUTE(SUBSTITUTE(TRIM(C2142),".",""),"-","")," ","")),LEN(UPPER(SUBSTITUTE(SUBSTITUTE(SUBSTITUTE(TRIM(C2142),".",""),"-","")," ","")))-1))&amp;RIGHT(UPPER(SUBSTITUTE(SUBSTITUTE(SUBSTITUTE(TRIM(C2142),".",""),"-","")," ","")),1),UPPER(SUBSTITUTE(SUBSTITUTE(SUBSTITUTE(TRIM(C2142),".",""),"-","")," ",""))))</f>
        <v/>
      </c>
    </row>
    <row r="2143" customFormat="false" ht="15" hidden="false" customHeight="false" outlineLevel="0" collapsed="false">
      <c r="B2143" s="80"/>
      <c r="C2143" s="58"/>
      <c r="D2143" s="62" t="str">
        <f aca="false">IF(C2143="","",IFERROR(INDEX(T_NOMBRE,MATCH(V2143,T_RUTN,0)),"⚠ RUT no está en Trabajadores"))</f>
        <v/>
      </c>
      <c r="E2143" s="61"/>
      <c r="F2143" s="61"/>
      <c r="G2143" s="61"/>
      <c r="H2143" s="61"/>
      <c r="I2143" s="81"/>
      <c r="J2143" s="81"/>
      <c r="K2143" s="60"/>
      <c r="L2143" s="60"/>
      <c r="M2143" s="60"/>
      <c r="N2143" s="60"/>
      <c r="O2143" s="60"/>
      <c r="P2143" s="60"/>
      <c r="Q2143" s="60"/>
      <c r="R2143" s="58"/>
      <c r="S2143" s="62" t="str">
        <f aca="false">IF(OR(B2143="",V2143=""),"",IFERROR(INDEX(C_TIPO,MATCH(V2143&amp;"-P"&amp;MAX(1,COUNTIFS(C_RUTN,V2143,C_DEF,"Sí",C_INI,"&lt;="&amp;EOMONTH(B2143,0))),C_CLAVE,0))&amp;"","Sin contrato"))</f>
        <v/>
      </c>
      <c r="T2143" s="63" t="str">
        <f aca="false">IF(OR(B2143="",N(O2143)=0),"",N(O2143)+ROUND(MIN(N(N2143),TOPE_UF*UF_MES)*(TASA_EMP+MUTUAL),0)+ROUND(MIN(N(N2143),TOPE_AFC_UF*UF_MES)*IF(S2143="Indefinido",AFC_INDEF,AFC_PF),0))</f>
        <v/>
      </c>
      <c r="U2143" s="62" t="str">
        <f aca="false">IF(C2143="","",IF(LEFT(D2143,1)="⚠","⚠ RUT no registrado en Trabajadores",IF(B2143="","⚠ Falta el mes",IF(OR(ISTEXT(I2143),ISTEXT(J2143)),"⚠ Atrasos u horas extra como texto: escriba hh:mm (ej. 1:30)",IF(AND(ISNUMBER(Q2143),COUNTIFS(M_RUTN,V2143,M_MES,B2143,M_LIQ,"&lt;&gt;")&gt;1),"⚠ Liquidación repetida en el mes",IF(AND(ISNUMBER(O2143),ISNUMBER(P2143),ISNUMBER(Q2143),ABS(O2143-P2143-Q2143)&gt;1),"⚠ Haberes − descuentos no da el líquido","OK"))))))</f>
        <v/>
      </c>
      <c r="V2143" s="62" t="str">
        <f aca="false">IF(C2143="","",IFERROR(VALUE(LEFT(UPPER(SUBSTITUTE(SUBSTITUTE(SUBSTITUTE(TRIM(C2143),".",""),"-","")," ","")),LEN(UPPER(SUBSTITUTE(SUBSTITUTE(SUBSTITUTE(TRIM(C2143),".",""),"-","")," ","")))-1))&amp;RIGHT(UPPER(SUBSTITUTE(SUBSTITUTE(SUBSTITUTE(TRIM(C2143),".",""),"-","")," ","")),1),UPPER(SUBSTITUTE(SUBSTITUTE(SUBSTITUTE(TRIM(C2143),".",""),"-","")," ",""))))</f>
        <v/>
      </c>
    </row>
    <row r="2144" customFormat="false" ht="15" hidden="false" customHeight="false" outlineLevel="0" collapsed="false">
      <c r="B2144" s="80"/>
      <c r="C2144" s="58"/>
      <c r="D2144" s="62" t="str">
        <f aca="false">IF(C2144="","",IFERROR(INDEX(T_NOMBRE,MATCH(V2144,T_RUTN,0)),"⚠ RUT no está en Trabajadores"))</f>
        <v/>
      </c>
      <c r="E2144" s="61"/>
      <c r="F2144" s="61"/>
      <c r="G2144" s="61"/>
      <c r="H2144" s="61"/>
      <c r="I2144" s="81"/>
      <c r="J2144" s="81"/>
      <c r="K2144" s="60"/>
      <c r="L2144" s="60"/>
      <c r="M2144" s="60"/>
      <c r="N2144" s="60"/>
      <c r="O2144" s="60"/>
      <c r="P2144" s="60"/>
      <c r="Q2144" s="60"/>
      <c r="R2144" s="58"/>
      <c r="S2144" s="62" t="str">
        <f aca="false">IF(OR(B2144="",V2144=""),"",IFERROR(INDEX(C_TIPO,MATCH(V2144&amp;"-P"&amp;MAX(1,COUNTIFS(C_RUTN,V2144,C_DEF,"Sí",C_INI,"&lt;="&amp;EOMONTH(B2144,0))),C_CLAVE,0))&amp;"","Sin contrato"))</f>
        <v/>
      </c>
      <c r="T2144" s="63" t="str">
        <f aca="false">IF(OR(B2144="",N(O2144)=0),"",N(O2144)+ROUND(MIN(N(N2144),TOPE_UF*UF_MES)*(TASA_EMP+MUTUAL),0)+ROUND(MIN(N(N2144),TOPE_AFC_UF*UF_MES)*IF(S2144="Indefinido",AFC_INDEF,AFC_PF),0))</f>
        <v/>
      </c>
      <c r="U2144" s="62" t="str">
        <f aca="false">IF(C2144="","",IF(LEFT(D2144,1)="⚠","⚠ RUT no registrado en Trabajadores",IF(B2144="","⚠ Falta el mes",IF(OR(ISTEXT(I2144),ISTEXT(J2144)),"⚠ Atrasos u horas extra como texto: escriba hh:mm (ej. 1:30)",IF(AND(ISNUMBER(Q2144),COUNTIFS(M_RUTN,V2144,M_MES,B2144,M_LIQ,"&lt;&gt;")&gt;1),"⚠ Liquidación repetida en el mes",IF(AND(ISNUMBER(O2144),ISNUMBER(P2144),ISNUMBER(Q2144),ABS(O2144-P2144-Q2144)&gt;1),"⚠ Haberes − descuentos no da el líquido","OK"))))))</f>
        <v/>
      </c>
      <c r="V2144" s="62" t="str">
        <f aca="false">IF(C2144="","",IFERROR(VALUE(LEFT(UPPER(SUBSTITUTE(SUBSTITUTE(SUBSTITUTE(TRIM(C2144),".",""),"-","")," ","")),LEN(UPPER(SUBSTITUTE(SUBSTITUTE(SUBSTITUTE(TRIM(C2144),".",""),"-","")," ","")))-1))&amp;RIGHT(UPPER(SUBSTITUTE(SUBSTITUTE(SUBSTITUTE(TRIM(C2144),".",""),"-","")," ","")),1),UPPER(SUBSTITUTE(SUBSTITUTE(SUBSTITUTE(TRIM(C2144),".",""),"-","")," ",""))))</f>
        <v/>
      </c>
    </row>
    <row r="2145" customFormat="false" ht="15" hidden="false" customHeight="false" outlineLevel="0" collapsed="false">
      <c r="B2145" s="80"/>
      <c r="C2145" s="58"/>
      <c r="D2145" s="62" t="str">
        <f aca="false">IF(C2145="","",IFERROR(INDEX(T_NOMBRE,MATCH(V2145,T_RUTN,0)),"⚠ RUT no está en Trabajadores"))</f>
        <v/>
      </c>
      <c r="E2145" s="61"/>
      <c r="F2145" s="61"/>
      <c r="G2145" s="61"/>
      <c r="H2145" s="61"/>
      <c r="I2145" s="81"/>
      <c r="J2145" s="81"/>
      <c r="K2145" s="60"/>
      <c r="L2145" s="60"/>
      <c r="M2145" s="60"/>
      <c r="N2145" s="60"/>
      <c r="O2145" s="60"/>
      <c r="P2145" s="60"/>
      <c r="Q2145" s="60"/>
      <c r="R2145" s="58"/>
      <c r="S2145" s="62" t="str">
        <f aca="false">IF(OR(B2145="",V2145=""),"",IFERROR(INDEX(C_TIPO,MATCH(V2145&amp;"-P"&amp;MAX(1,COUNTIFS(C_RUTN,V2145,C_DEF,"Sí",C_INI,"&lt;="&amp;EOMONTH(B2145,0))),C_CLAVE,0))&amp;"","Sin contrato"))</f>
        <v/>
      </c>
      <c r="T2145" s="63" t="str">
        <f aca="false">IF(OR(B2145="",N(O2145)=0),"",N(O2145)+ROUND(MIN(N(N2145),TOPE_UF*UF_MES)*(TASA_EMP+MUTUAL),0)+ROUND(MIN(N(N2145),TOPE_AFC_UF*UF_MES)*IF(S2145="Indefinido",AFC_INDEF,AFC_PF),0))</f>
        <v/>
      </c>
      <c r="U2145" s="62" t="str">
        <f aca="false">IF(C2145="","",IF(LEFT(D2145,1)="⚠","⚠ RUT no registrado en Trabajadores",IF(B2145="","⚠ Falta el mes",IF(OR(ISTEXT(I2145),ISTEXT(J2145)),"⚠ Atrasos u horas extra como texto: escriba hh:mm (ej. 1:30)",IF(AND(ISNUMBER(Q2145),COUNTIFS(M_RUTN,V2145,M_MES,B2145,M_LIQ,"&lt;&gt;")&gt;1),"⚠ Liquidación repetida en el mes",IF(AND(ISNUMBER(O2145),ISNUMBER(P2145),ISNUMBER(Q2145),ABS(O2145-P2145-Q2145)&gt;1),"⚠ Haberes − descuentos no da el líquido","OK"))))))</f>
        <v/>
      </c>
      <c r="V2145" s="62" t="str">
        <f aca="false">IF(C2145="","",IFERROR(VALUE(LEFT(UPPER(SUBSTITUTE(SUBSTITUTE(SUBSTITUTE(TRIM(C2145),".",""),"-","")," ","")),LEN(UPPER(SUBSTITUTE(SUBSTITUTE(SUBSTITUTE(TRIM(C2145),".",""),"-","")," ","")))-1))&amp;RIGHT(UPPER(SUBSTITUTE(SUBSTITUTE(SUBSTITUTE(TRIM(C2145),".",""),"-","")," ","")),1),UPPER(SUBSTITUTE(SUBSTITUTE(SUBSTITUTE(TRIM(C2145),".",""),"-","")," ",""))))</f>
        <v/>
      </c>
    </row>
    <row r="2146" customFormat="false" ht="15" hidden="false" customHeight="false" outlineLevel="0" collapsed="false">
      <c r="B2146" s="80"/>
      <c r="C2146" s="58"/>
      <c r="D2146" s="62" t="str">
        <f aca="false">IF(C2146="","",IFERROR(INDEX(T_NOMBRE,MATCH(V2146,T_RUTN,0)),"⚠ RUT no está en Trabajadores"))</f>
        <v/>
      </c>
      <c r="E2146" s="61"/>
      <c r="F2146" s="61"/>
      <c r="G2146" s="61"/>
      <c r="H2146" s="61"/>
      <c r="I2146" s="81"/>
      <c r="J2146" s="81"/>
      <c r="K2146" s="60"/>
      <c r="L2146" s="60"/>
      <c r="M2146" s="60"/>
      <c r="N2146" s="60"/>
      <c r="O2146" s="60"/>
      <c r="P2146" s="60"/>
      <c r="Q2146" s="60"/>
      <c r="R2146" s="58"/>
      <c r="S2146" s="62" t="str">
        <f aca="false">IF(OR(B2146="",V2146=""),"",IFERROR(INDEX(C_TIPO,MATCH(V2146&amp;"-P"&amp;MAX(1,COUNTIFS(C_RUTN,V2146,C_DEF,"Sí",C_INI,"&lt;="&amp;EOMONTH(B2146,0))),C_CLAVE,0))&amp;"","Sin contrato"))</f>
        <v/>
      </c>
      <c r="T2146" s="63" t="str">
        <f aca="false">IF(OR(B2146="",N(O2146)=0),"",N(O2146)+ROUND(MIN(N(N2146),TOPE_UF*UF_MES)*(TASA_EMP+MUTUAL),0)+ROUND(MIN(N(N2146),TOPE_AFC_UF*UF_MES)*IF(S2146="Indefinido",AFC_INDEF,AFC_PF),0))</f>
        <v/>
      </c>
      <c r="U2146" s="62" t="str">
        <f aca="false">IF(C2146="","",IF(LEFT(D2146,1)="⚠","⚠ RUT no registrado en Trabajadores",IF(B2146="","⚠ Falta el mes",IF(OR(ISTEXT(I2146),ISTEXT(J2146)),"⚠ Atrasos u horas extra como texto: escriba hh:mm (ej. 1:30)",IF(AND(ISNUMBER(Q2146),COUNTIFS(M_RUTN,V2146,M_MES,B2146,M_LIQ,"&lt;&gt;")&gt;1),"⚠ Liquidación repetida en el mes",IF(AND(ISNUMBER(O2146),ISNUMBER(P2146),ISNUMBER(Q2146),ABS(O2146-P2146-Q2146)&gt;1),"⚠ Haberes − descuentos no da el líquido","OK"))))))</f>
        <v/>
      </c>
      <c r="V2146" s="62" t="str">
        <f aca="false">IF(C2146="","",IFERROR(VALUE(LEFT(UPPER(SUBSTITUTE(SUBSTITUTE(SUBSTITUTE(TRIM(C2146),".",""),"-","")," ","")),LEN(UPPER(SUBSTITUTE(SUBSTITUTE(SUBSTITUTE(TRIM(C2146),".",""),"-","")," ","")))-1))&amp;RIGHT(UPPER(SUBSTITUTE(SUBSTITUTE(SUBSTITUTE(TRIM(C2146),".",""),"-","")," ","")),1),UPPER(SUBSTITUTE(SUBSTITUTE(SUBSTITUTE(TRIM(C2146),".",""),"-","")," ",""))))</f>
        <v/>
      </c>
    </row>
    <row r="2147" customFormat="false" ht="15" hidden="false" customHeight="false" outlineLevel="0" collapsed="false">
      <c r="B2147" s="80"/>
      <c r="C2147" s="58"/>
      <c r="D2147" s="62" t="str">
        <f aca="false">IF(C2147="","",IFERROR(INDEX(T_NOMBRE,MATCH(V2147,T_RUTN,0)),"⚠ RUT no está en Trabajadores"))</f>
        <v/>
      </c>
      <c r="E2147" s="61"/>
      <c r="F2147" s="61"/>
      <c r="G2147" s="61"/>
      <c r="H2147" s="61"/>
      <c r="I2147" s="81"/>
      <c r="J2147" s="81"/>
      <c r="K2147" s="60"/>
      <c r="L2147" s="60"/>
      <c r="M2147" s="60"/>
      <c r="N2147" s="60"/>
      <c r="O2147" s="60"/>
      <c r="P2147" s="60"/>
      <c r="Q2147" s="60"/>
      <c r="R2147" s="58"/>
      <c r="S2147" s="62" t="str">
        <f aca="false">IF(OR(B2147="",V2147=""),"",IFERROR(INDEX(C_TIPO,MATCH(V2147&amp;"-P"&amp;MAX(1,COUNTIFS(C_RUTN,V2147,C_DEF,"Sí",C_INI,"&lt;="&amp;EOMONTH(B2147,0))),C_CLAVE,0))&amp;"","Sin contrato"))</f>
        <v/>
      </c>
      <c r="T2147" s="63" t="str">
        <f aca="false">IF(OR(B2147="",N(O2147)=0),"",N(O2147)+ROUND(MIN(N(N2147),TOPE_UF*UF_MES)*(TASA_EMP+MUTUAL),0)+ROUND(MIN(N(N2147),TOPE_AFC_UF*UF_MES)*IF(S2147="Indefinido",AFC_INDEF,AFC_PF),0))</f>
        <v/>
      </c>
      <c r="U2147" s="62" t="str">
        <f aca="false">IF(C2147="","",IF(LEFT(D2147,1)="⚠","⚠ RUT no registrado en Trabajadores",IF(B2147="","⚠ Falta el mes",IF(OR(ISTEXT(I2147),ISTEXT(J2147)),"⚠ Atrasos u horas extra como texto: escriba hh:mm (ej. 1:30)",IF(AND(ISNUMBER(Q2147),COUNTIFS(M_RUTN,V2147,M_MES,B2147,M_LIQ,"&lt;&gt;")&gt;1),"⚠ Liquidación repetida en el mes",IF(AND(ISNUMBER(O2147),ISNUMBER(P2147),ISNUMBER(Q2147),ABS(O2147-P2147-Q2147)&gt;1),"⚠ Haberes − descuentos no da el líquido","OK"))))))</f>
        <v/>
      </c>
      <c r="V2147" s="62" t="str">
        <f aca="false">IF(C2147="","",IFERROR(VALUE(LEFT(UPPER(SUBSTITUTE(SUBSTITUTE(SUBSTITUTE(TRIM(C2147),".",""),"-","")," ","")),LEN(UPPER(SUBSTITUTE(SUBSTITUTE(SUBSTITUTE(TRIM(C2147),".",""),"-","")," ","")))-1))&amp;RIGHT(UPPER(SUBSTITUTE(SUBSTITUTE(SUBSTITUTE(TRIM(C2147),".",""),"-","")," ","")),1),UPPER(SUBSTITUTE(SUBSTITUTE(SUBSTITUTE(TRIM(C2147),".",""),"-","")," ",""))))</f>
        <v/>
      </c>
    </row>
    <row r="2148" customFormat="false" ht="15" hidden="false" customHeight="false" outlineLevel="0" collapsed="false">
      <c r="B2148" s="80"/>
      <c r="C2148" s="58"/>
      <c r="D2148" s="62" t="str">
        <f aca="false">IF(C2148="","",IFERROR(INDEX(T_NOMBRE,MATCH(V2148,T_RUTN,0)),"⚠ RUT no está en Trabajadores"))</f>
        <v/>
      </c>
      <c r="E2148" s="61"/>
      <c r="F2148" s="61"/>
      <c r="G2148" s="61"/>
      <c r="H2148" s="61"/>
      <c r="I2148" s="81"/>
      <c r="J2148" s="81"/>
      <c r="K2148" s="60"/>
      <c r="L2148" s="60"/>
      <c r="M2148" s="60"/>
      <c r="N2148" s="60"/>
      <c r="O2148" s="60"/>
      <c r="P2148" s="60"/>
      <c r="Q2148" s="60"/>
      <c r="R2148" s="58"/>
      <c r="S2148" s="62" t="str">
        <f aca="false">IF(OR(B2148="",V2148=""),"",IFERROR(INDEX(C_TIPO,MATCH(V2148&amp;"-P"&amp;MAX(1,COUNTIFS(C_RUTN,V2148,C_DEF,"Sí",C_INI,"&lt;="&amp;EOMONTH(B2148,0))),C_CLAVE,0))&amp;"","Sin contrato"))</f>
        <v/>
      </c>
      <c r="T2148" s="63" t="str">
        <f aca="false">IF(OR(B2148="",N(O2148)=0),"",N(O2148)+ROUND(MIN(N(N2148),TOPE_UF*UF_MES)*(TASA_EMP+MUTUAL),0)+ROUND(MIN(N(N2148),TOPE_AFC_UF*UF_MES)*IF(S2148="Indefinido",AFC_INDEF,AFC_PF),0))</f>
        <v/>
      </c>
      <c r="U2148" s="62" t="str">
        <f aca="false">IF(C2148="","",IF(LEFT(D2148,1)="⚠","⚠ RUT no registrado en Trabajadores",IF(B2148="","⚠ Falta el mes",IF(OR(ISTEXT(I2148),ISTEXT(J2148)),"⚠ Atrasos u horas extra como texto: escriba hh:mm (ej. 1:30)",IF(AND(ISNUMBER(Q2148),COUNTIFS(M_RUTN,V2148,M_MES,B2148,M_LIQ,"&lt;&gt;")&gt;1),"⚠ Liquidación repetida en el mes",IF(AND(ISNUMBER(O2148),ISNUMBER(P2148),ISNUMBER(Q2148),ABS(O2148-P2148-Q2148)&gt;1),"⚠ Haberes − descuentos no da el líquido","OK"))))))</f>
        <v/>
      </c>
      <c r="V2148" s="62" t="str">
        <f aca="false">IF(C2148="","",IFERROR(VALUE(LEFT(UPPER(SUBSTITUTE(SUBSTITUTE(SUBSTITUTE(TRIM(C2148),".",""),"-","")," ","")),LEN(UPPER(SUBSTITUTE(SUBSTITUTE(SUBSTITUTE(TRIM(C2148),".",""),"-","")," ","")))-1))&amp;RIGHT(UPPER(SUBSTITUTE(SUBSTITUTE(SUBSTITUTE(TRIM(C2148),".",""),"-","")," ","")),1),UPPER(SUBSTITUTE(SUBSTITUTE(SUBSTITUTE(TRIM(C2148),".",""),"-","")," ",""))))</f>
        <v/>
      </c>
    </row>
    <row r="2149" customFormat="false" ht="15" hidden="false" customHeight="false" outlineLevel="0" collapsed="false">
      <c r="B2149" s="80"/>
      <c r="C2149" s="58"/>
      <c r="D2149" s="62" t="str">
        <f aca="false">IF(C2149="","",IFERROR(INDEX(T_NOMBRE,MATCH(V2149,T_RUTN,0)),"⚠ RUT no está en Trabajadores"))</f>
        <v/>
      </c>
      <c r="E2149" s="61"/>
      <c r="F2149" s="61"/>
      <c r="G2149" s="61"/>
      <c r="H2149" s="61"/>
      <c r="I2149" s="81"/>
      <c r="J2149" s="81"/>
      <c r="K2149" s="60"/>
      <c r="L2149" s="60"/>
      <c r="M2149" s="60"/>
      <c r="N2149" s="60"/>
      <c r="O2149" s="60"/>
      <c r="P2149" s="60"/>
      <c r="Q2149" s="60"/>
      <c r="R2149" s="58"/>
      <c r="S2149" s="62" t="str">
        <f aca="false">IF(OR(B2149="",V2149=""),"",IFERROR(INDEX(C_TIPO,MATCH(V2149&amp;"-P"&amp;MAX(1,COUNTIFS(C_RUTN,V2149,C_DEF,"Sí",C_INI,"&lt;="&amp;EOMONTH(B2149,0))),C_CLAVE,0))&amp;"","Sin contrato"))</f>
        <v/>
      </c>
      <c r="T2149" s="63" t="str">
        <f aca="false">IF(OR(B2149="",N(O2149)=0),"",N(O2149)+ROUND(MIN(N(N2149),TOPE_UF*UF_MES)*(TASA_EMP+MUTUAL),0)+ROUND(MIN(N(N2149),TOPE_AFC_UF*UF_MES)*IF(S2149="Indefinido",AFC_INDEF,AFC_PF),0))</f>
        <v/>
      </c>
      <c r="U2149" s="62" t="str">
        <f aca="false">IF(C2149="","",IF(LEFT(D2149,1)="⚠","⚠ RUT no registrado en Trabajadores",IF(B2149="","⚠ Falta el mes",IF(OR(ISTEXT(I2149),ISTEXT(J2149)),"⚠ Atrasos u horas extra como texto: escriba hh:mm (ej. 1:30)",IF(AND(ISNUMBER(Q2149),COUNTIFS(M_RUTN,V2149,M_MES,B2149,M_LIQ,"&lt;&gt;")&gt;1),"⚠ Liquidación repetida en el mes",IF(AND(ISNUMBER(O2149),ISNUMBER(P2149),ISNUMBER(Q2149),ABS(O2149-P2149-Q2149)&gt;1),"⚠ Haberes − descuentos no da el líquido","OK"))))))</f>
        <v/>
      </c>
      <c r="V2149" s="62" t="str">
        <f aca="false">IF(C2149="","",IFERROR(VALUE(LEFT(UPPER(SUBSTITUTE(SUBSTITUTE(SUBSTITUTE(TRIM(C2149),".",""),"-","")," ","")),LEN(UPPER(SUBSTITUTE(SUBSTITUTE(SUBSTITUTE(TRIM(C2149),".",""),"-","")," ","")))-1))&amp;RIGHT(UPPER(SUBSTITUTE(SUBSTITUTE(SUBSTITUTE(TRIM(C2149),".",""),"-","")," ","")),1),UPPER(SUBSTITUTE(SUBSTITUTE(SUBSTITUTE(TRIM(C2149),".",""),"-","")," ",""))))</f>
        <v/>
      </c>
    </row>
    <row r="2150" customFormat="false" ht="15" hidden="false" customHeight="false" outlineLevel="0" collapsed="false">
      <c r="B2150" s="80"/>
      <c r="C2150" s="58"/>
      <c r="D2150" s="62" t="str">
        <f aca="false">IF(C2150="","",IFERROR(INDEX(T_NOMBRE,MATCH(V2150,T_RUTN,0)),"⚠ RUT no está en Trabajadores"))</f>
        <v/>
      </c>
      <c r="E2150" s="61"/>
      <c r="F2150" s="61"/>
      <c r="G2150" s="61"/>
      <c r="H2150" s="61"/>
      <c r="I2150" s="81"/>
      <c r="J2150" s="81"/>
      <c r="K2150" s="60"/>
      <c r="L2150" s="60"/>
      <c r="M2150" s="60"/>
      <c r="N2150" s="60"/>
      <c r="O2150" s="60"/>
      <c r="P2150" s="60"/>
      <c r="Q2150" s="60"/>
      <c r="R2150" s="58"/>
      <c r="S2150" s="62" t="str">
        <f aca="false">IF(OR(B2150="",V2150=""),"",IFERROR(INDEX(C_TIPO,MATCH(V2150&amp;"-P"&amp;MAX(1,COUNTIFS(C_RUTN,V2150,C_DEF,"Sí",C_INI,"&lt;="&amp;EOMONTH(B2150,0))),C_CLAVE,0))&amp;"","Sin contrato"))</f>
        <v/>
      </c>
      <c r="T2150" s="63" t="str">
        <f aca="false">IF(OR(B2150="",N(O2150)=0),"",N(O2150)+ROUND(MIN(N(N2150),TOPE_UF*UF_MES)*(TASA_EMP+MUTUAL),0)+ROUND(MIN(N(N2150),TOPE_AFC_UF*UF_MES)*IF(S2150="Indefinido",AFC_INDEF,AFC_PF),0))</f>
        <v/>
      </c>
      <c r="U2150" s="62" t="str">
        <f aca="false">IF(C2150="","",IF(LEFT(D2150,1)="⚠","⚠ RUT no registrado en Trabajadores",IF(B2150="","⚠ Falta el mes",IF(OR(ISTEXT(I2150),ISTEXT(J2150)),"⚠ Atrasos u horas extra como texto: escriba hh:mm (ej. 1:30)",IF(AND(ISNUMBER(Q2150),COUNTIFS(M_RUTN,V2150,M_MES,B2150,M_LIQ,"&lt;&gt;")&gt;1),"⚠ Liquidación repetida en el mes",IF(AND(ISNUMBER(O2150),ISNUMBER(P2150),ISNUMBER(Q2150),ABS(O2150-P2150-Q2150)&gt;1),"⚠ Haberes − descuentos no da el líquido","OK"))))))</f>
        <v/>
      </c>
      <c r="V2150" s="62" t="str">
        <f aca="false">IF(C2150="","",IFERROR(VALUE(LEFT(UPPER(SUBSTITUTE(SUBSTITUTE(SUBSTITUTE(TRIM(C2150),".",""),"-","")," ","")),LEN(UPPER(SUBSTITUTE(SUBSTITUTE(SUBSTITUTE(TRIM(C2150),".",""),"-","")," ","")))-1))&amp;RIGHT(UPPER(SUBSTITUTE(SUBSTITUTE(SUBSTITUTE(TRIM(C2150),".",""),"-","")," ","")),1),UPPER(SUBSTITUTE(SUBSTITUTE(SUBSTITUTE(TRIM(C2150),".",""),"-","")," ",""))))</f>
        <v/>
      </c>
    </row>
    <row r="2151" customFormat="false" ht="15" hidden="false" customHeight="false" outlineLevel="0" collapsed="false">
      <c r="B2151" s="80"/>
      <c r="C2151" s="58"/>
      <c r="D2151" s="62" t="str">
        <f aca="false">IF(C2151="","",IFERROR(INDEX(T_NOMBRE,MATCH(V2151,T_RUTN,0)),"⚠ RUT no está en Trabajadores"))</f>
        <v/>
      </c>
      <c r="E2151" s="61"/>
      <c r="F2151" s="61"/>
      <c r="G2151" s="61"/>
      <c r="H2151" s="61"/>
      <c r="I2151" s="81"/>
      <c r="J2151" s="81"/>
      <c r="K2151" s="60"/>
      <c r="L2151" s="60"/>
      <c r="M2151" s="60"/>
      <c r="N2151" s="60"/>
      <c r="O2151" s="60"/>
      <c r="P2151" s="60"/>
      <c r="Q2151" s="60"/>
      <c r="R2151" s="58"/>
      <c r="S2151" s="62" t="str">
        <f aca="false">IF(OR(B2151="",V2151=""),"",IFERROR(INDEX(C_TIPO,MATCH(V2151&amp;"-P"&amp;MAX(1,COUNTIFS(C_RUTN,V2151,C_DEF,"Sí",C_INI,"&lt;="&amp;EOMONTH(B2151,0))),C_CLAVE,0))&amp;"","Sin contrato"))</f>
        <v/>
      </c>
      <c r="T2151" s="63" t="str">
        <f aca="false">IF(OR(B2151="",N(O2151)=0),"",N(O2151)+ROUND(MIN(N(N2151),TOPE_UF*UF_MES)*(TASA_EMP+MUTUAL),0)+ROUND(MIN(N(N2151),TOPE_AFC_UF*UF_MES)*IF(S2151="Indefinido",AFC_INDEF,AFC_PF),0))</f>
        <v/>
      </c>
      <c r="U2151" s="62" t="str">
        <f aca="false">IF(C2151="","",IF(LEFT(D2151,1)="⚠","⚠ RUT no registrado en Trabajadores",IF(B2151="","⚠ Falta el mes",IF(OR(ISTEXT(I2151),ISTEXT(J2151)),"⚠ Atrasos u horas extra como texto: escriba hh:mm (ej. 1:30)",IF(AND(ISNUMBER(Q2151),COUNTIFS(M_RUTN,V2151,M_MES,B2151,M_LIQ,"&lt;&gt;")&gt;1),"⚠ Liquidación repetida en el mes",IF(AND(ISNUMBER(O2151),ISNUMBER(P2151),ISNUMBER(Q2151),ABS(O2151-P2151-Q2151)&gt;1),"⚠ Haberes − descuentos no da el líquido","OK"))))))</f>
        <v/>
      </c>
      <c r="V2151" s="62" t="str">
        <f aca="false">IF(C2151="","",IFERROR(VALUE(LEFT(UPPER(SUBSTITUTE(SUBSTITUTE(SUBSTITUTE(TRIM(C2151),".",""),"-","")," ","")),LEN(UPPER(SUBSTITUTE(SUBSTITUTE(SUBSTITUTE(TRIM(C2151),".",""),"-","")," ","")))-1))&amp;RIGHT(UPPER(SUBSTITUTE(SUBSTITUTE(SUBSTITUTE(TRIM(C2151),".",""),"-","")," ","")),1),UPPER(SUBSTITUTE(SUBSTITUTE(SUBSTITUTE(TRIM(C2151),".",""),"-","")," ",""))))</f>
        <v/>
      </c>
    </row>
    <row r="2152" customFormat="false" ht="15" hidden="false" customHeight="false" outlineLevel="0" collapsed="false">
      <c r="B2152" s="80"/>
      <c r="C2152" s="58"/>
      <c r="D2152" s="62" t="str">
        <f aca="false">IF(C2152="","",IFERROR(INDEX(T_NOMBRE,MATCH(V2152,T_RUTN,0)),"⚠ RUT no está en Trabajadores"))</f>
        <v/>
      </c>
      <c r="E2152" s="61"/>
      <c r="F2152" s="61"/>
      <c r="G2152" s="61"/>
      <c r="H2152" s="61"/>
      <c r="I2152" s="81"/>
      <c r="J2152" s="81"/>
      <c r="K2152" s="60"/>
      <c r="L2152" s="60"/>
      <c r="M2152" s="60"/>
      <c r="N2152" s="60"/>
      <c r="O2152" s="60"/>
      <c r="P2152" s="60"/>
      <c r="Q2152" s="60"/>
      <c r="R2152" s="58"/>
      <c r="S2152" s="62" t="str">
        <f aca="false">IF(OR(B2152="",V2152=""),"",IFERROR(INDEX(C_TIPO,MATCH(V2152&amp;"-P"&amp;MAX(1,COUNTIFS(C_RUTN,V2152,C_DEF,"Sí",C_INI,"&lt;="&amp;EOMONTH(B2152,0))),C_CLAVE,0))&amp;"","Sin contrato"))</f>
        <v/>
      </c>
      <c r="T2152" s="63" t="str">
        <f aca="false">IF(OR(B2152="",N(O2152)=0),"",N(O2152)+ROUND(MIN(N(N2152),TOPE_UF*UF_MES)*(TASA_EMP+MUTUAL),0)+ROUND(MIN(N(N2152),TOPE_AFC_UF*UF_MES)*IF(S2152="Indefinido",AFC_INDEF,AFC_PF),0))</f>
        <v/>
      </c>
      <c r="U2152" s="62" t="str">
        <f aca="false">IF(C2152="","",IF(LEFT(D2152,1)="⚠","⚠ RUT no registrado en Trabajadores",IF(B2152="","⚠ Falta el mes",IF(OR(ISTEXT(I2152),ISTEXT(J2152)),"⚠ Atrasos u horas extra como texto: escriba hh:mm (ej. 1:30)",IF(AND(ISNUMBER(Q2152),COUNTIFS(M_RUTN,V2152,M_MES,B2152,M_LIQ,"&lt;&gt;")&gt;1),"⚠ Liquidación repetida en el mes",IF(AND(ISNUMBER(O2152),ISNUMBER(P2152),ISNUMBER(Q2152),ABS(O2152-P2152-Q2152)&gt;1),"⚠ Haberes − descuentos no da el líquido","OK"))))))</f>
        <v/>
      </c>
      <c r="V2152" s="62" t="str">
        <f aca="false">IF(C2152="","",IFERROR(VALUE(LEFT(UPPER(SUBSTITUTE(SUBSTITUTE(SUBSTITUTE(TRIM(C2152),".",""),"-","")," ","")),LEN(UPPER(SUBSTITUTE(SUBSTITUTE(SUBSTITUTE(TRIM(C2152),".",""),"-","")," ","")))-1))&amp;RIGHT(UPPER(SUBSTITUTE(SUBSTITUTE(SUBSTITUTE(TRIM(C2152),".",""),"-","")," ","")),1),UPPER(SUBSTITUTE(SUBSTITUTE(SUBSTITUTE(TRIM(C2152),".",""),"-","")," ",""))))</f>
        <v/>
      </c>
    </row>
    <row r="2153" customFormat="false" ht="15" hidden="false" customHeight="false" outlineLevel="0" collapsed="false">
      <c r="B2153" s="80"/>
      <c r="C2153" s="58"/>
      <c r="D2153" s="62" t="str">
        <f aca="false">IF(C2153="","",IFERROR(INDEX(T_NOMBRE,MATCH(V2153,T_RUTN,0)),"⚠ RUT no está en Trabajadores"))</f>
        <v/>
      </c>
      <c r="E2153" s="61"/>
      <c r="F2153" s="61"/>
      <c r="G2153" s="61"/>
      <c r="H2153" s="61"/>
      <c r="I2153" s="81"/>
      <c r="J2153" s="81"/>
      <c r="K2153" s="60"/>
      <c r="L2153" s="60"/>
      <c r="M2153" s="60"/>
      <c r="N2153" s="60"/>
      <c r="O2153" s="60"/>
      <c r="P2153" s="60"/>
      <c r="Q2153" s="60"/>
      <c r="R2153" s="58"/>
      <c r="S2153" s="62" t="str">
        <f aca="false">IF(OR(B2153="",V2153=""),"",IFERROR(INDEX(C_TIPO,MATCH(V2153&amp;"-P"&amp;MAX(1,COUNTIFS(C_RUTN,V2153,C_DEF,"Sí",C_INI,"&lt;="&amp;EOMONTH(B2153,0))),C_CLAVE,0))&amp;"","Sin contrato"))</f>
        <v/>
      </c>
      <c r="T2153" s="63" t="str">
        <f aca="false">IF(OR(B2153="",N(O2153)=0),"",N(O2153)+ROUND(MIN(N(N2153),TOPE_UF*UF_MES)*(TASA_EMP+MUTUAL),0)+ROUND(MIN(N(N2153),TOPE_AFC_UF*UF_MES)*IF(S2153="Indefinido",AFC_INDEF,AFC_PF),0))</f>
        <v/>
      </c>
      <c r="U2153" s="62" t="str">
        <f aca="false">IF(C2153="","",IF(LEFT(D2153,1)="⚠","⚠ RUT no registrado en Trabajadores",IF(B2153="","⚠ Falta el mes",IF(OR(ISTEXT(I2153),ISTEXT(J2153)),"⚠ Atrasos u horas extra como texto: escriba hh:mm (ej. 1:30)",IF(AND(ISNUMBER(Q2153),COUNTIFS(M_RUTN,V2153,M_MES,B2153,M_LIQ,"&lt;&gt;")&gt;1),"⚠ Liquidación repetida en el mes",IF(AND(ISNUMBER(O2153),ISNUMBER(P2153),ISNUMBER(Q2153),ABS(O2153-P2153-Q2153)&gt;1),"⚠ Haberes − descuentos no da el líquido","OK"))))))</f>
        <v/>
      </c>
      <c r="V2153" s="62" t="str">
        <f aca="false">IF(C2153="","",IFERROR(VALUE(LEFT(UPPER(SUBSTITUTE(SUBSTITUTE(SUBSTITUTE(TRIM(C2153),".",""),"-","")," ","")),LEN(UPPER(SUBSTITUTE(SUBSTITUTE(SUBSTITUTE(TRIM(C2153),".",""),"-","")," ","")))-1))&amp;RIGHT(UPPER(SUBSTITUTE(SUBSTITUTE(SUBSTITUTE(TRIM(C2153),".",""),"-","")," ","")),1),UPPER(SUBSTITUTE(SUBSTITUTE(SUBSTITUTE(TRIM(C2153),".",""),"-","")," ",""))))</f>
        <v/>
      </c>
    </row>
    <row r="2154" customFormat="false" ht="15" hidden="false" customHeight="false" outlineLevel="0" collapsed="false">
      <c r="B2154" s="80"/>
      <c r="C2154" s="58"/>
      <c r="D2154" s="62" t="str">
        <f aca="false">IF(C2154="","",IFERROR(INDEX(T_NOMBRE,MATCH(V2154,T_RUTN,0)),"⚠ RUT no está en Trabajadores"))</f>
        <v/>
      </c>
      <c r="E2154" s="61"/>
      <c r="F2154" s="61"/>
      <c r="G2154" s="61"/>
      <c r="H2154" s="61"/>
      <c r="I2154" s="81"/>
      <c r="J2154" s="81"/>
      <c r="K2154" s="60"/>
      <c r="L2154" s="60"/>
      <c r="M2154" s="60"/>
      <c r="N2154" s="60"/>
      <c r="O2154" s="60"/>
      <c r="P2154" s="60"/>
      <c r="Q2154" s="60"/>
      <c r="R2154" s="58"/>
      <c r="S2154" s="62" t="str">
        <f aca="false">IF(OR(B2154="",V2154=""),"",IFERROR(INDEX(C_TIPO,MATCH(V2154&amp;"-P"&amp;MAX(1,COUNTIFS(C_RUTN,V2154,C_DEF,"Sí",C_INI,"&lt;="&amp;EOMONTH(B2154,0))),C_CLAVE,0))&amp;"","Sin contrato"))</f>
        <v/>
      </c>
      <c r="T2154" s="63" t="str">
        <f aca="false">IF(OR(B2154="",N(O2154)=0),"",N(O2154)+ROUND(MIN(N(N2154),TOPE_UF*UF_MES)*(TASA_EMP+MUTUAL),0)+ROUND(MIN(N(N2154),TOPE_AFC_UF*UF_MES)*IF(S2154="Indefinido",AFC_INDEF,AFC_PF),0))</f>
        <v/>
      </c>
      <c r="U2154" s="62" t="str">
        <f aca="false">IF(C2154="","",IF(LEFT(D2154,1)="⚠","⚠ RUT no registrado en Trabajadores",IF(B2154="","⚠ Falta el mes",IF(OR(ISTEXT(I2154),ISTEXT(J2154)),"⚠ Atrasos u horas extra como texto: escriba hh:mm (ej. 1:30)",IF(AND(ISNUMBER(Q2154),COUNTIFS(M_RUTN,V2154,M_MES,B2154,M_LIQ,"&lt;&gt;")&gt;1),"⚠ Liquidación repetida en el mes",IF(AND(ISNUMBER(O2154),ISNUMBER(P2154),ISNUMBER(Q2154),ABS(O2154-P2154-Q2154)&gt;1),"⚠ Haberes − descuentos no da el líquido","OK"))))))</f>
        <v/>
      </c>
      <c r="V2154" s="62" t="str">
        <f aca="false">IF(C2154="","",IFERROR(VALUE(LEFT(UPPER(SUBSTITUTE(SUBSTITUTE(SUBSTITUTE(TRIM(C2154),".",""),"-","")," ","")),LEN(UPPER(SUBSTITUTE(SUBSTITUTE(SUBSTITUTE(TRIM(C2154),".",""),"-","")," ","")))-1))&amp;RIGHT(UPPER(SUBSTITUTE(SUBSTITUTE(SUBSTITUTE(TRIM(C2154),".",""),"-","")," ","")),1),UPPER(SUBSTITUTE(SUBSTITUTE(SUBSTITUTE(TRIM(C2154),".",""),"-","")," ",""))))</f>
        <v/>
      </c>
    </row>
    <row r="2155" customFormat="false" ht="15" hidden="false" customHeight="false" outlineLevel="0" collapsed="false">
      <c r="B2155" s="80"/>
      <c r="C2155" s="58"/>
      <c r="D2155" s="62" t="str">
        <f aca="false">IF(C2155="","",IFERROR(INDEX(T_NOMBRE,MATCH(V2155,T_RUTN,0)),"⚠ RUT no está en Trabajadores"))</f>
        <v/>
      </c>
      <c r="E2155" s="61"/>
      <c r="F2155" s="61"/>
      <c r="G2155" s="61"/>
      <c r="H2155" s="61"/>
      <c r="I2155" s="81"/>
      <c r="J2155" s="81"/>
      <c r="K2155" s="60"/>
      <c r="L2155" s="60"/>
      <c r="M2155" s="60"/>
      <c r="N2155" s="60"/>
      <c r="O2155" s="60"/>
      <c r="P2155" s="60"/>
      <c r="Q2155" s="60"/>
      <c r="R2155" s="58"/>
      <c r="S2155" s="62" t="str">
        <f aca="false">IF(OR(B2155="",V2155=""),"",IFERROR(INDEX(C_TIPO,MATCH(V2155&amp;"-P"&amp;MAX(1,COUNTIFS(C_RUTN,V2155,C_DEF,"Sí",C_INI,"&lt;="&amp;EOMONTH(B2155,0))),C_CLAVE,0))&amp;"","Sin contrato"))</f>
        <v/>
      </c>
      <c r="T2155" s="63" t="str">
        <f aca="false">IF(OR(B2155="",N(O2155)=0),"",N(O2155)+ROUND(MIN(N(N2155),TOPE_UF*UF_MES)*(TASA_EMP+MUTUAL),0)+ROUND(MIN(N(N2155),TOPE_AFC_UF*UF_MES)*IF(S2155="Indefinido",AFC_INDEF,AFC_PF),0))</f>
        <v/>
      </c>
      <c r="U2155" s="62" t="str">
        <f aca="false">IF(C2155="","",IF(LEFT(D2155,1)="⚠","⚠ RUT no registrado en Trabajadores",IF(B2155="","⚠ Falta el mes",IF(OR(ISTEXT(I2155),ISTEXT(J2155)),"⚠ Atrasos u horas extra como texto: escriba hh:mm (ej. 1:30)",IF(AND(ISNUMBER(Q2155),COUNTIFS(M_RUTN,V2155,M_MES,B2155,M_LIQ,"&lt;&gt;")&gt;1),"⚠ Liquidación repetida en el mes",IF(AND(ISNUMBER(O2155),ISNUMBER(P2155),ISNUMBER(Q2155),ABS(O2155-P2155-Q2155)&gt;1),"⚠ Haberes − descuentos no da el líquido","OK"))))))</f>
        <v/>
      </c>
      <c r="V2155" s="62" t="str">
        <f aca="false">IF(C2155="","",IFERROR(VALUE(LEFT(UPPER(SUBSTITUTE(SUBSTITUTE(SUBSTITUTE(TRIM(C2155),".",""),"-","")," ","")),LEN(UPPER(SUBSTITUTE(SUBSTITUTE(SUBSTITUTE(TRIM(C2155),".",""),"-","")," ","")))-1))&amp;RIGHT(UPPER(SUBSTITUTE(SUBSTITUTE(SUBSTITUTE(TRIM(C2155),".",""),"-","")," ","")),1),UPPER(SUBSTITUTE(SUBSTITUTE(SUBSTITUTE(TRIM(C2155),".",""),"-","")," ",""))))</f>
        <v/>
      </c>
    </row>
    <row r="2156" customFormat="false" ht="15" hidden="false" customHeight="false" outlineLevel="0" collapsed="false">
      <c r="B2156" s="80"/>
      <c r="C2156" s="58"/>
      <c r="D2156" s="62" t="str">
        <f aca="false">IF(C2156="","",IFERROR(INDEX(T_NOMBRE,MATCH(V2156,T_RUTN,0)),"⚠ RUT no está en Trabajadores"))</f>
        <v/>
      </c>
      <c r="E2156" s="61"/>
      <c r="F2156" s="61"/>
      <c r="G2156" s="61"/>
      <c r="H2156" s="61"/>
      <c r="I2156" s="81"/>
      <c r="J2156" s="81"/>
      <c r="K2156" s="60"/>
      <c r="L2156" s="60"/>
      <c r="M2156" s="60"/>
      <c r="N2156" s="60"/>
      <c r="O2156" s="60"/>
      <c r="P2156" s="60"/>
      <c r="Q2156" s="60"/>
      <c r="R2156" s="58"/>
      <c r="S2156" s="62" t="str">
        <f aca="false">IF(OR(B2156="",V2156=""),"",IFERROR(INDEX(C_TIPO,MATCH(V2156&amp;"-P"&amp;MAX(1,COUNTIFS(C_RUTN,V2156,C_DEF,"Sí",C_INI,"&lt;="&amp;EOMONTH(B2156,0))),C_CLAVE,0))&amp;"","Sin contrato"))</f>
        <v/>
      </c>
      <c r="T2156" s="63" t="str">
        <f aca="false">IF(OR(B2156="",N(O2156)=0),"",N(O2156)+ROUND(MIN(N(N2156),TOPE_UF*UF_MES)*(TASA_EMP+MUTUAL),0)+ROUND(MIN(N(N2156),TOPE_AFC_UF*UF_MES)*IF(S2156="Indefinido",AFC_INDEF,AFC_PF),0))</f>
        <v/>
      </c>
      <c r="U2156" s="62" t="str">
        <f aca="false">IF(C2156="","",IF(LEFT(D2156,1)="⚠","⚠ RUT no registrado en Trabajadores",IF(B2156="","⚠ Falta el mes",IF(OR(ISTEXT(I2156),ISTEXT(J2156)),"⚠ Atrasos u horas extra como texto: escriba hh:mm (ej. 1:30)",IF(AND(ISNUMBER(Q2156),COUNTIFS(M_RUTN,V2156,M_MES,B2156,M_LIQ,"&lt;&gt;")&gt;1),"⚠ Liquidación repetida en el mes",IF(AND(ISNUMBER(O2156),ISNUMBER(P2156),ISNUMBER(Q2156),ABS(O2156-P2156-Q2156)&gt;1),"⚠ Haberes − descuentos no da el líquido","OK"))))))</f>
        <v/>
      </c>
      <c r="V2156" s="62" t="str">
        <f aca="false">IF(C2156="","",IFERROR(VALUE(LEFT(UPPER(SUBSTITUTE(SUBSTITUTE(SUBSTITUTE(TRIM(C2156),".",""),"-","")," ","")),LEN(UPPER(SUBSTITUTE(SUBSTITUTE(SUBSTITUTE(TRIM(C2156),".",""),"-","")," ","")))-1))&amp;RIGHT(UPPER(SUBSTITUTE(SUBSTITUTE(SUBSTITUTE(TRIM(C2156),".",""),"-","")," ","")),1),UPPER(SUBSTITUTE(SUBSTITUTE(SUBSTITUTE(TRIM(C2156),".",""),"-","")," ",""))))</f>
        <v/>
      </c>
    </row>
    <row r="2157" customFormat="false" ht="15" hidden="false" customHeight="false" outlineLevel="0" collapsed="false">
      <c r="B2157" s="80"/>
      <c r="C2157" s="58"/>
      <c r="D2157" s="62" t="str">
        <f aca="false">IF(C2157="","",IFERROR(INDEX(T_NOMBRE,MATCH(V2157,T_RUTN,0)),"⚠ RUT no está en Trabajadores"))</f>
        <v/>
      </c>
      <c r="E2157" s="61"/>
      <c r="F2157" s="61"/>
      <c r="G2157" s="61"/>
      <c r="H2157" s="61"/>
      <c r="I2157" s="81"/>
      <c r="J2157" s="81"/>
      <c r="K2157" s="60"/>
      <c r="L2157" s="60"/>
      <c r="M2157" s="60"/>
      <c r="N2157" s="60"/>
      <c r="O2157" s="60"/>
      <c r="P2157" s="60"/>
      <c r="Q2157" s="60"/>
      <c r="R2157" s="58"/>
      <c r="S2157" s="62" t="str">
        <f aca="false">IF(OR(B2157="",V2157=""),"",IFERROR(INDEX(C_TIPO,MATCH(V2157&amp;"-P"&amp;MAX(1,COUNTIFS(C_RUTN,V2157,C_DEF,"Sí",C_INI,"&lt;="&amp;EOMONTH(B2157,0))),C_CLAVE,0))&amp;"","Sin contrato"))</f>
        <v/>
      </c>
      <c r="T2157" s="63" t="str">
        <f aca="false">IF(OR(B2157="",N(O2157)=0),"",N(O2157)+ROUND(MIN(N(N2157),TOPE_UF*UF_MES)*(TASA_EMP+MUTUAL),0)+ROUND(MIN(N(N2157),TOPE_AFC_UF*UF_MES)*IF(S2157="Indefinido",AFC_INDEF,AFC_PF),0))</f>
        <v/>
      </c>
      <c r="U2157" s="62" t="str">
        <f aca="false">IF(C2157="","",IF(LEFT(D2157,1)="⚠","⚠ RUT no registrado en Trabajadores",IF(B2157="","⚠ Falta el mes",IF(OR(ISTEXT(I2157),ISTEXT(J2157)),"⚠ Atrasos u horas extra como texto: escriba hh:mm (ej. 1:30)",IF(AND(ISNUMBER(Q2157),COUNTIFS(M_RUTN,V2157,M_MES,B2157,M_LIQ,"&lt;&gt;")&gt;1),"⚠ Liquidación repetida en el mes",IF(AND(ISNUMBER(O2157),ISNUMBER(P2157),ISNUMBER(Q2157),ABS(O2157-P2157-Q2157)&gt;1),"⚠ Haberes − descuentos no da el líquido","OK"))))))</f>
        <v/>
      </c>
      <c r="V2157" s="62" t="str">
        <f aca="false">IF(C2157="","",IFERROR(VALUE(LEFT(UPPER(SUBSTITUTE(SUBSTITUTE(SUBSTITUTE(TRIM(C2157),".",""),"-","")," ","")),LEN(UPPER(SUBSTITUTE(SUBSTITUTE(SUBSTITUTE(TRIM(C2157),".",""),"-","")," ","")))-1))&amp;RIGHT(UPPER(SUBSTITUTE(SUBSTITUTE(SUBSTITUTE(TRIM(C2157),".",""),"-","")," ","")),1),UPPER(SUBSTITUTE(SUBSTITUTE(SUBSTITUTE(TRIM(C2157),".",""),"-","")," ",""))))</f>
        <v/>
      </c>
    </row>
    <row r="2158" customFormat="false" ht="15" hidden="false" customHeight="false" outlineLevel="0" collapsed="false">
      <c r="B2158" s="80"/>
      <c r="C2158" s="58"/>
      <c r="D2158" s="62" t="str">
        <f aca="false">IF(C2158="","",IFERROR(INDEX(T_NOMBRE,MATCH(V2158,T_RUTN,0)),"⚠ RUT no está en Trabajadores"))</f>
        <v/>
      </c>
      <c r="E2158" s="61"/>
      <c r="F2158" s="61"/>
      <c r="G2158" s="61"/>
      <c r="H2158" s="61"/>
      <c r="I2158" s="81"/>
      <c r="J2158" s="81"/>
      <c r="K2158" s="60"/>
      <c r="L2158" s="60"/>
      <c r="M2158" s="60"/>
      <c r="N2158" s="60"/>
      <c r="O2158" s="60"/>
      <c r="P2158" s="60"/>
      <c r="Q2158" s="60"/>
      <c r="R2158" s="58"/>
      <c r="S2158" s="62" t="str">
        <f aca="false">IF(OR(B2158="",V2158=""),"",IFERROR(INDEX(C_TIPO,MATCH(V2158&amp;"-P"&amp;MAX(1,COUNTIFS(C_RUTN,V2158,C_DEF,"Sí",C_INI,"&lt;="&amp;EOMONTH(B2158,0))),C_CLAVE,0))&amp;"","Sin contrato"))</f>
        <v/>
      </c>
      <c r="T2158" s="63" t="str">
        <f aca="false">IF(OR(B2158="",N(O2158)=0),"",N(O2158)+ROUND(MIN(N(N2158),TOPE_UF*UF_MES)*(TASA_EMP+MUTUAL),0)+ROUND(MIN(N(N2158),TOPE_AFC_UF*UF_MES)*IF(S2158="Indefinido",AFC_INDEF,AFC_PF),0))</f>
        <v/>
      </c>
      <c r="U2158" s="62" t="str">
        <f aca="false">IF(C2158="","",IF(LEFT(D2158,1)="⚠","⚠ RUT no registrado en Trabajadores",IF(B2158="","⚠ Falta el mes",IF(OR(ISTEXT(I2158),ISTEXT(J2158)),"⚠ Atrasos u horas extra como texto: escriba hh:mm (ej. 1:30)",IF(AND(ISNUMBER(Q2158),COUNTIFS(M_RUTN,V2158,M_MES,B2158,M_LIQ,"&lt;&gt;")&gt;1),"⚠ Liquidación repetida en el mes",IF(AND(ISNUMBER(O2158),ISNUMBER(P2158),ISNUMBER(Q2158),ABS(O2158-P2158-Q2158)&gt;1),"⚠ Haberes − descuentos no da el líquido","OK"))))))</f>
        <v/>
      </c>
      <c r="V2158" s="62" t="str">
        <f aca="false">IF(C2158="","",IFERROR(VALUE(LEFT(UPPER(SUBSTITUTE(SUBSTITUTE(SUBSTITUTE(TRIM(C2158),".",""),"-","")," ","")),LEN(UPPER(SUBSTITUTE(SUBSTITUTE(SUBSTITUTE(TRIM(C2158),".",""),"-","")," ","")))-1))&amp;RIGHT(UPPER(SUBSTITUTE(SUBSTITUTE(SUBSTITUTE(TRIM(C2158),".",""),"-","")," ","")),1),UPPER(SUBSTITUTE(SUBSTITUTE(SUBSTITUTE(TRIM(C2158),".",""),"-","")," ",""))))</f>
        <v/>
      </c>
    </row>
    <row r="2159" customFormat="false" ht="15" hidden="false" customHeight="false" outlineLevel="0" collapsed="false">
      <c r="B2159" s="80"/>
      <c r="C2159" s="58"/>
      <c r="D2159" s="62" t="str">
        <f aca="false">IF(C2159="","",IFERROR(INDEX(T_NOMBRE,MATCH(V2159,T_RUTN,0)),"⚠ RUT no está en Trabajadores"))</f>
        <v/>
      </c>
      <c r="E2159" s="61"/>
      <c r="F2159" s="61"/>
      <c r="G2159" s="61"/>
      <c r="H2159" s="61"/>
      <c r="I2159" s="81"/>
      <c r="J2159" s="81"/>
      <c r="K2159" s="60"/>
      <c r="L2159" s="60"/>
      <c r="M2159" s="60"/>
      <c r="N2159" s="60"/>
      <c r="O2159" s="60"/>
      <c r="P2159" s="60"/>
      <c r="Q2159" s="60"/>
      <c r="R2159" s="58"/>
      <c r="S2159" s="62" t="str">
        <f aca="false">IF(OR(B2159="",V2159=""),"",IFERROR(INDEX(C_TIPO,MATCH(V2159&amp;"-P"&amp;MAX(1,COUNTIFS(C_RUTN,V2159,C_DEF,"Sí",C_INI,"&lt;="&amp;EOMONTH(B2159,0))),C_CLAVE,0))&amp;"","Sin contrato"))</f>
        <v/>
      </c>
      <c r="T2159" s="63" t="str">
        <f aca="false">IF(OR(B2159="",N(O2159)=0),"",N(O2159)+ROUND(MIN(N(N2159),TOPE_UF*UF_MES)*(TASA_EMP+MUTUAL),0)+ROUND(MIN(N(N2159),TOPE_AFC_UF*UF_MES)*IF(S2159="Indefinido",AFC_INDEF,AFC_PF),0))</f>
        <v/>
      </c>
      <c r="U2159" s="62" t="str">
        <f aca="false">IF(C2159="","",IF(LEFT(D2159,1)="⚠","⚠ RUT no registrado en Trabajadores",IF(B2159="","⚠ Falta el mes",IF(OR(ISTEXT(I2159),ISTEXT(J2159)),"⚠ Atrasos u horas extra como texto: escriba hh:mm (ej. 1:30)",IF(AND(ISNUMBER(Q2159),COUNTIFS(M_RUTN,V2159,M_MES,B2159,M_LIQ,"&lt;&gt;")&gt;1),"⚠ Liquidación repetida en el mes",IF(AND(ISNUMBER(O2159),ISNUMBER(P2159),ISNUMBER(Q2159),ABS(O2159-P2159-Q2159)&gt;1),"⚠ Haberes − descuentos no da el líquido","OK"))))))</f>
        <v/>
      </c>
      <c r="V2159" s="62" t="str">
        <f aca="false">IF(C2159="","",IFERROR(VALUE(LEFT(UPPER(SUBSTITUTE(SUBSTITUTE(SUBSTITUTE(TRIM(C2159),".",""),"-","")," ","")),LEN(UPPER(SUBSTITUTE(SUBSTITUTE(SUBSTITUTE(TRIM(C2159),".",""),"-","")," ","")))-1))&amp;RIGHT(UPPER(SUBSTITUTE(SUBSTITUTE(SUBSTITUTE(TRIM(C2159),".",""),"-","")," ","")),1),UPPER(SUBSTITUTE(SUBSTITUTE(SUBSTITUTE(TRIM(C2159),".",""),"-","")," ",""))))</f>
        <v/>
      </c>
    </row>
    <row r="2160" customFormat="false" ht="15" hidden="false" customHeight="false" outlineLevel="0" collapsed="false">
      <c r="B2160" s="80"/>
      <c r="C2160" s="58"/>
      <c r="D2160" s="62" t="str">
        <f aca="false">IF(C2160="","",IFERROR(INDEX(T_NOMBRE,MATCH(V2160,T_RUTN,0)),"⚠ RUT no está en Trabajadores"))</f>
        <v/>
      </c>
      <c r="E2160" s="61"/>
      <c r="F2160" s="61"/>
      <c r="G2160" s="61"/>
      <c r="H2160" s="61"/>
      <c r="I2160" s="81"/>
      <c r="J2160" s="81"/>
      <c r="K2160" s="60"/>
      <c r="L2160" s="60"/>
      <c r="M2160" s="60"/>
      <c r="N2160" s="60"/>
      <c r="O2160" s="60"/>
      <c r="P2160" s="60"/>
      <c r="Q2160" s="60"/>
      <c r="R2160" s="58"/>
      <c r="S2160" s="62" t="str">
        <f aca="false">IF(OR(B2160="",V2160=""),"",IFERROR(INDEX(C_TIPO,MATCH(V2160&amp;"-P"&amp;MAX(1,COUNTIFS(C_RUTN,V2160,C_DEF,"Sí",C_INI,"&lt;="&amp;EOMONTH(B2160,0))),C_CLAVE,0))&amp;"","Sin contrato"))</f>
        <v/>
      </c>
      <c r="T2160" s="63" t="str">
        <f aca="false">IF(OR(B2160="",N(O2160)=0),"",N(O2160)+ROUND(MIN(N(N2160),TOPE_UF*UF_MES)*(TASA_EMP+MUTUAL),0)+ROUND(MIN(N(N2160),TOPE_AFC_UF*UF_MES)*IF(S2160="Indefinido",AFC_INDEF,AFC_PF),0))</f>
        <v/>
      </c>
      <c r="U2160" s="62" t="str">
        <f aca="false">IF(C2160="","",IF(LEFT(D2160,1)="⚠","⚠ RUT no registrado en Trabajadores",IF(B2160="","⚠ Falta el mes",IF(OR(ISTEXT(I2160),ISTEXT(J2160)),"⚠ Atrasos u horas extra como texto: escriba hh:mm (ej. 1:30)",IF(AND(ISNUMBER(Q2160),COUNTIFS(M_RUTN,V2160,M_MES,B2160,M_LIQ,"&lt;&gt;")&gt;1),"⚠ Liquidación repetida en el mes",IF(AND(ISNUMBER(O2160),ISNUMBER(P2160),ISNUMBER(Q2160),ABS(O2160-P2160-Q2160)&gt;1),"⚠ Haberes − descuentos no da el líquido","OK"))))))</f>
        <v/>
      </c>
      <c r="V2160" s="62" t="str">
        <f aca="false">IF(C2160="","",IFERROR(VALUE(LEFT(UPPER(SUBSTITUTE(SUBSTITUTE(SUBSTITUTE(TRIM(C2160),".",""),"-","")," ","")),LEN(UPPER(SUBSTITUTE(SUBSTITUTE(SUBSTITUTE(TRIM(C2160),".",""),"-","")," ","")))-1))&amp;RIGHT(UPPER(SUBSTITUTE(SUBSTITUTE(SUBSTITUTE(TRIM(C2160),".",""),"-","")," ","")),1),UPPER(SUBSTITUTE(SUBSTITUTE(SUBSTITUTE(TRIM(C2160),".",""),"-","")," ",""))))</f>
        <v/>
      </c>
    </row>
    <row r="2161" customFormat="false" ht="15" hidden="false" customHeight="false" outlineLevel="0" collapsed="false">
      <c r="B2161" s="80"/>
      <c r="C2161" s="58"/>
      <c r="D2161" s="62" t="str">
        <f aca="false">IF(C2161="","",IFERROR(INDEX(T_NOMBRE,MATCH(V2161,T_RUTN,0)),"⚠ RUT no está en Trabajadores"))</f>
        <v/>
      </c>
      <c r="E2161" s="61"/>
      <c r="F2161" s="61"/>
      <c r="G2161" s="61"/>
      <c r="H2161" s="61"/>
      <c r="I2161" s="81"/>
      <c r="J2161" s="81"/>
      <c r="K2161" s="60"/>
      <c r="L2161" s="60"/>
      <c r="M2161" s="60"/>
      <c r="N2161" s="60"/>
      <c r="O2161" s="60"/>
      <c r="P2161" s="60"/>
      <c r="Q2161" s="60"/>
      <c r="R2161" s="58"/>
      <c r="S2161" s="62" t="str">
        <f aca="false">IF(OR(B2161="",V2161=""),"",IFERROR(INDEX(C_TIPO,MATCH(V2161&amp;"-P"&amp;MAX(1,COUNTIFS(C_RUTN,V2161,C_DEF,"Sí",C_INI,"&lt;="&amp;EOMONTH(B2161,0))),C_CLAVE,0))&amp;"","Sin contrato"))</f>
        <v/>
      </c>
      <c r="T2161" s="63" t="str">
        <f aca="false">IF(OR(B2161="",N(O2161)=0),"",N(O2161)+ROUND(MIN(N(N2161),TOPE_UF*UF_MES)*(TASA_EMP+MUTUAL),0)+ROUND(MIN(N(N2161),TOPE_AFC_UF*UF_MES)*IF(S2161="Indefinido",AFC_INDEF,AFC_PF),0))</f>
        <v/>
      </c>
      <c r="U2161" s="62" t="str">
        <f aca="false">IF(C2161="","",IF(LEFT(D2161,1)="⚠","⚠ RUT no registrado en Trabajadores",IF(B2161="","⚠ Falta el mes",IF(OR(ISTEXT(I2161),ISTEXT(J2161)),"⚠ Atrasos u horas extra como texto: escriba hh:mm (ej. 1:30)",IF(AND(ISNUMBER(Q2161),COUNTIFS(M_RUTN,V2161,M_MES,B2161,M_LIQ,"&lt;&gt;")&gt;1),"⚠ Liquidación repetida en el mes",IF(AND(ISNUMBER(O2161),ISNUMBER(P2161),ISNUMBER(Q2161),ABS(O2161-P2161-Q2161)&gt;1),"⚠ Haberes − descuentos no da el líquido","OK"))))))</f>
        <v/>
      </c>
      <c r="V2161" s="62" t="str">
        <f aca="false">IF(C2161="","",IFERROR(VALUE(LEFT(UPPER(SUBSTITUTE(SUBSTITUTE(SUBSTITUTE(TRIM(C2161),".",""),"-","")," ","")),LEN(UPPER(SUBSTITUTE(SUBSTITUTE(SUBSTITUTE(TRIM(C2161),".",""),"-","")," ","")))-1))&amp;RIGHT(UPPER(SUBSTITUTE(SUBSTITUTE(SUBSTITUTE(TRIM(C2161),".",""),"-","")," ","")),1),UPPER(SUBSTITUTE(SUBSTITUTE(SUBSTITUTE(TRIM(C2161),".",""),"-","")," ",""))))</f>
        <v/>
      </c>
    </row>
    <row r="2162" customFormat="false" ht="15" hidden="false" customHeight="false" outlineLevel="0" collapsed="false">
      <c r="B2162" s="80"/>
      <c r="C2162" s="58"/>
      <c r="D2162" s="62" t="str">
        <f aca="false">IF(C2162="","",IFERROR(INDEX(T_NOMBRE,MATCH(V2162,T_RUTN,0)),"⚠ RUT no está en Trabajadores"))</f>
        <v/>
      </c>
      <c r="E2162" s="61"/>
      <c r="F2162" s="61"/>
      <c r="G2162" s="61"/>
      <c r="H2162" s="61"/>
      <c r="I2162" s="81"/>
      <c r="J2162" s="81"/>
      <c r="K2162" s="60"/>
      <c r="L2162" s="60"/>
      <c r="M2162" s="60"/>
      <c r="N2162" s="60"/>
      <c r="O2162" s="60"/>
      <c r="P2162" s="60"/>
      <c r="Q2162" s="60"/>
      <c r="R2162" s="58"/>
      <c r="S2162" s="62" t="str">
        <f aca="false">IF(OR(B2162="",V2162=""),"",IFERROR(INDEX(C_TIPO,MATCH(V2162&amp;"-P"&amp;MAX(1,COUNTIFS(C_RUTN,V2162,C_DEF,"Sí",C_INI,"&lt;="&amp;EOMONTH(B2162,0))),C_CLAVE,0))&amp;"","Sin contrato"))</f>
        <v/>
      </c>
      <c r="T2162" s="63" t="str">
        <f aca="false">IF(OR(B2162="",N(O2162)=0),"",N(O2162)+ROUND(MIN(N(N2162),TOPE_UF*UF_MES)*(TASA_EMP+MUTUAL),0)+ROUND(MIN(N(N2162),TOPE_AFC_UF*UF_MES)*IF(S2162="Indefinido",AFC_INDEF,AFC_PF),0))</f>
        <v/>
      </c>
      <c r="U2162" s="62" t="str">
        <f aca="false">IF(C2162="","",IF(LEFT(D2162,1)="⚠","⚠ RUT no registrado en Trabajadores",IF(B2162="","⚠ Falta el mes",IF(OR(ISTEXT(I2162),ISTEXT(J2162)),"⚠ Atrasos u horas extra como texto: escriba hh:mm (ej. 1:30)",IF(AND(ISNUMBER(Q2162),COUNTIFS(M_RUTN,V2162,M_MES,B2162,M_LIQ,"&lt;&gt;")&gt;1),"⚠ Liquidación repetida en el mes",IF(AND(ISNUMBER(O2162),ISNUMBER(P2162),ISNUMBER(Q2162),ABS(O2162-P2162-Q2162)&gt;1),"⚠ Haberes − descuentos no da el líquido","OK"))))))</f>
        <v/>
      </c>
      <c r="V2162" s="62" t="str">
        <f aca="false">IF(C2162="","",IFERROR(VALUE(LEFT(UPPER(SUBSTITUTE(SUBSTITUTE(SUBSTITUTE(TRIM(C2162),".",""),"-","")," ","")),LEN(UPPER(SUBSTITUTE(SUBSTITUTE(SUBSTITUTE(TRIM(C2162),".",""),"-","")," ","")))-1))&amp;RIGHT(UPPER(SUBSTITUTE(SUBSTITUTE(SUBSTITUTE(TRIM(C2162),".",""),"-","")," ","")),1),UPPER(SUBSTITUTE(SUBSTITUTE(SUBSTITUTE(TRIM(C2162),".",""),"-","")," ",""))))</f>
        <v/>
      </c>
    </row>
    <row r="2163" customFormat="false" ht="15" hidden="false" customHeight="false" outlineLevel="0" collapsed="false">
      <c r="B2163" s="80"/>
      <c r="C2163" s="58"/>
      <c r="D2163" s="62" t="str">
        <f aca="false">IF(C2163="","",IFERROR(INDEX(T_NOMBRE,MATCH(V2163,T_RUTN,0)),"⚠ RUT no está en Trabajadores"))</f>
        <v/>
      </c>
      <c r="E2163" s="61"/>
      <c r="F2163" s="61"/>
      <c r="G2163" s="61"/>
      <c r="H2163" s="61"/>
      <c r="I2163" s="81"/>
      <c r="J2163" s="81"/>
      <c r="K2163" s="60"/>
      <c r="L2163" s="60"/>
      <c r="M2163" s="60"/>
      <c r="N2163" s="60"/>
      <c r="O2163" s="60"/>
      <c r="P2163" s="60"/>
      <c r="Q2163" s="60"/>
      <c r="R2163" s="58"/>
      <c r="S2163" s="62" t="str">
        <f aca="false">IF(OR(B2163="",V2163=""),"",IFERROR(INDEX(C_TIPO,MATCH(V2163&amp;"-P"&amp;MAX(1,COUNTIFS(C_RUTN,V2163,C_DEF,"Sí",C_INI,"&lt;="&amp;EOMONTH(B2163,0))),C_CLAVE,0))&amp;"","Sin contrato"))</f>
        <v/>
      </c>
      <c r="T2163" s="63" t="str">
        <f aca="false">IF(OR(B2163="",N(O2163)=0),"",N(O2163)+ROUND(MIN(N(N2163),TOPE_UF*UF_MES)*(TASA_EMP+MUTUAL),0)+ROUND(MIN(N(N2163),TOPE_AFC_UF*UF_MES)*IF(S2163="Indefinido",AFC_INDEF,AFC_PF),0))</f>
        <v/>
      </c>
      <c r="U2163" s="62" t="str">
        <f aca="false">IF(C2163="","",IF(LEFT(D2163,1)="⚠","⚠ RUT no registrado en Trabajadores",IF(B2163="","⚠ Falta el mes",IF(OR(ISTEXT(I2163),ISTEXT(J2163)),"⚠ Atrasos u horas extra como texto: escriba hh:mm (ej. 1:30)",IF(AND(ISNUMBER(Q2163),COUNTIFS(M_RUTN,V2163,M_MES,B2163,M_LIQ,"&lt;&gt;")&gt;1),"⚠ Liquidación repetida en el mes",IF(AND(ISNUMBER(O2163),ISNUMBER(P2163),ISNUMBER(Q2163),ABS(O2163-P2163-Q2163)&gt;1),"⚠ Haberes − descuentos no da el líquido","OK"))))))</f>
        <v/>
      </c>
      <c r="V2163" s="62" t="str">
        <f aca="false">IF(C2163="","",IFERROR(VALUE(LEFT(UPPER(SUBSTITUTE(SUBSTITUTE(SUBSTITUTE(TRIM(C2163),".",""),"-","")," ","")),LEN(UPPER(SUBSTITUTE(SUBSTITUTE(SUBSTITUTE(TRIM(C2163),".",""),"-","")," ","")))-1))&amp;RIGHT(UPPER(SUBSTITUTE(SUBSTITUTE(SUBSTITUTE(TRIM(C2163),".",""),"-","")," ","")),1),UPPER(SUBSTITUTE(SUBSTITUTE(SUBSTITUTE(TRIM(C2163),".",""),"-","")," ",""))))</f>
        <v/>
      </c>
    </row>
    <row r="2164" customFormat="false" ht="15" hidden="false" customHeight="false" outlineLevel="0" collapsed="false">
      <c r="B2164" s="80"/>
      <c r="C2164" s="58"/>
      <c r="D2164" s="62" t="str">
        <f aca="false">IF(C2164="","",IFERROR(INDEX(T_NOMBRE,MATCH(V2164,T_RUTN,0)),"⚠ RUT no está en Trabajadores"))</f>
        <v/>
      </c>
      <c r="E2164" s="61"/>
      <c r="F2164" s="61"/>
      <c r="G2164" s="61"/>
      <c r="H2164" s="61"/>
      <c r="I2164" s="81"/>
      <c r="J2164" s="81"/>
      <c r="K2164" s="60"/>
      <c r="L2164" s="60"/>
      <c r="M2164" s="60"/>
      <c r="N2164" s="60"/>
      <c r="O2164" s="60"/>
      <c r="P2164" s="60"/>
      <c r="Q2164" s="60"/>
      <c r="R2164" s="58"/>
      <c r="S2164" s="62" t="str">
        <f aca="false">IF(OR(B2164="",V2164=""),"",IFERROR(INDEX(C_TIPO,MATCH(V2164&amp;"-P"&amp;MAX(1,COUNTIFS(C_RUTN,V2164,C_DEF,"Sí",C_INI,"&lt;="&amp;EOMONTH(B2164,0))),C_CLAVE,0))&amp;"","Sin contrato"))</f>
        <v/>
      </c>
      <c r="T2164" s="63" t="str">
        <f aca="false">IF(OR(B2164="",N(O2164)=0),"",N(O2164)+ROUND(MIN(N(N2164),TOPE_UF*UF_MES)*(TASA_EMP+MUTUAL),0)+ROUND(MIN(N(N2164),TOPE_AFC_UF*UF_MES)*IF(S2164="Indefinido",AFC_INDEF,AFC_PF),0))</f>
        <v/>
      </c>
      <c r="U2164" s="62" t="str">
        <f aca="false">IF(C2164="","",IF(LEFT(D2164,1)="⚠","⚠ RUT no registrado en Trabajadores",IF(B2164="","⚠ Falta el mes",IF(OR(ISTEXT(I2164),ISTEXT(J2164)),"⚠ Atrasos u horas extra como texto: escriba hh:mm (ej. 1:30)",IF(AND(ISNUMBER(Q2164),COUNTIFS(M_RUTN,V2164,M_MES,B2164,M_LIQ,"&lt;&gt;")&gt;1),"⚠ Liquidación repetida en el mes",IF(AND(ISNUMBER(O2164),ISNUMBER(P2164),ISNUMBER(Q2164),ABS(O2164-P2164-Q2164)&gt;1),"⚠ Haberes − descuentos no da el líquido","OK"))))))</f>
        <v/>
      </c>
      <c r="V2164" s="62" t="str">
        <f aca="false">IF(C2164="","",IFERROR(VALUE(LEFT(UPPER(SUBSTITUTE(SUBSTITUTE(SUBSTITUTE(TRIM(C2164),".",""),"-","")," ","")),LEN(UPPER(SUBSTITUTE(SUBSTITUTE(SUBSTITUTE(TRIM(C2164),".",""),"-","")," ","")))-1))&amp;RIGHT(UPPER(SUBSTITUTE(SUBSTITUTE(SUBSTITUTE(TRIM(C2164),".",""),"-","")," ","")),1),UPPER(SUBSTITUTE(SUBSTITUTE(SUBSTITUTE(TRIM(C2164),".",""),"-","")," ",""))))</f>
        <v/>
      </c>
    </row>
    <row r="2165" customFormat="false" ht="15" hidden="false" customHeight="false" outlineLevel="0" collapsed="false">
      <c r="B2165" s="80"/>
      <c r="C2165" s="58"/>
      <c r="D2165" s="62" t="str">
        <f aca="false">IF(C2165="","",IFERROR(INDEX(T_NOMBRE,MATCH(V2165,T_RUTN,0)),"⚠ RUT no está en Trabajadores"))</f>
        <v/>
      </c>
      <c r="E2165" s="61"/>
      <c r="F2165" s="61"/>
      <c r="G2165" s="61"/>
      <c r="H2165" s="61"/>
      <c r="I2165" s="81"/>
      <c r="J2165" s="81"/>
      <c r="K2165" s="60"/>
      <c r="L2165" s="60"/>
      <c r="M2165" s="60"/>
      <c r="N2165" s="60"/>
      <c r="O2165" s="60"/>
      <c r="P2165" s="60"/>
      <c r="Q2165" s="60"/>
      <c r="R2165" s="58"/>
      <c r="S2165" s="62" t="str">
        <f aca="false">IF(OR(B2165="",V2165=""),"",IFERROR(INDEX(C_TIPO,MATCH(V2165&amp;"-P"&amp;MAX(1,COUNTIFS(C_RUTN,V2165,C_DEF,"Sí",C_INI,"&lt;="&amp;EOMONTH(B2165,0))),C_CLAVE,0))&amp;"","Sin contrato"))</f>
        <v/>
      </c>
      <c r="T2165" s="63" t="str">
        <f aca="false">IF(OR(B2165="",N(O2165)=0),"",N(O2165)+ROUND(MIN(N(N2165),TOPE_UF*UF_MES)*(TASA_EMP+MUTUAL),0)+ROUND(MIN(N(N2165),TOPE_AFC_UF*UF_MES)*IF(S2165="Indefinido",AFC_INDEF,AFC_PF),0))</f>
        <v/>
      </c>
      <c r="U2165" s="62" t="str">
        <f aca="false">IF(C2165="","",IF(LEFT(D2165,1)="⚠","⚠ RUT no registrado en Trabajadores",IF(B2165="","⚠ Falta el mes",IF(OR(ISTEXT(I2165),ISTEXT(J2165)),"⚠ Atrasos u horas extra como texto: escriba hh:mm (ej. 1:30)",IF(AND(ISNUMBER(Q2165),COUNTIFS(M_RUTN,V2165,M_MES,B2165,M_LIQ,"&lt;&gt;")&gt;1),"⚠ Liquidación repetida en el mes",IF(AND(ISNUMBER(O2165),ISNUMBER(P2165),ISNUMBER(Q2165),ABS(O2165-P2165-Q2165)&gt;1),"⚠ Haberes − descuentos no da el líquido","OK"))))))</f>
        <v/>
      </c>
      <c r="V2165" s="62" t="str">
        <f aca="false">IF(C2165="","",IFERROR(VALUE(LEFT(UPPER(SUBSTITUTE(SUBSTITUTE(SUBSTITUTE(TRIM(C2165),".",""),"-","")," ","")),LEN(UPPER(SUBSTITUTE(SUBSTITUTE(SUBSTITUTE(TRIM(C2165),".",""),"-","")," ","")))-1))&amp;RIGHT(UPPER(SUBSTITUTE(SUBSTITUTE(SUBSTITUTE(TRIM(C2165),".",""),"-","")," ","")),1),UPPER(SUBSTITUTE(SUBSTITUTE(SUBSTITUTE(TRIM(C2165),".",""),"-","")," ",""))))</f>
        <v/>
      </c>
    </row>
    <row r="2166" customFormat="false" ht="15" hidden="false" customHeight="false" outlineLevel="0" collapsed="false">
      <c r="B2166" s="80"/>
      <c r="C2166" s="58"/>
      <c r="D2166" s="62" t="str">
        <f aca="false">IF(C2166="","",IFERROR(INDEX(T_NOMBRE,MATCH(V2166,T_RUTN,0)),"⚠ RUT no está en Trabajadores"))</f>
        <v/>
      </c>
      <c r="E2166" s="61"/>
      <c r="F2166" s="61"/>
      <c r="G2166" s="61"/>
      <c r="H2166" s="61"/>
      <c r="I2166" s="81"/>
      <c r="J2166" s="81"/>
      <c r="K2166" s="60"/>
      <c r="L2166" s="60"/>
      <c r="M2166" s="60"/>
      <c r="N2166" s="60"/>
      <c r="O2166" s="60"/>
      <c r="P2166" s="60"/>
      <c r="Q2166" s="60"/>
      <c r="R2166" s="58"/>
      <c r="S2166" s="62" t="str">
        <f aca="false">IF(OR(B2166="",V2166=""),"",IFERROR(INDEX(C_TIPO,MATCH(V2166&amp;"-P"&amp;MAX(1,COUNTIFS(C_RUTN,V2166,C_DEF,"Sí",C_INI,"&lt;="&amp;EOMONTH(B2166,0))),C_CLAVE,0))&amp;"","Sin contrato"))</f>
        <v/>
      </c>
      <c r="T2166" s="63" t="str">
        <f aca="false">IF(OR(B2166="",N(O2166)=0),"",N(O2166)+ROUND(MIN(N(N2166),TOPE_UF*UF_MES)*(TASA_EMP+MUTUAL),0)+ROUND(MIN(N(N2166),TOPE_AFC_UF*UF_MES)*IF(S2166="Indefinido",AFC_INDEF,AFC_PF),0))</f>
        <v/>
      </c>
      <c r="U2166" s="62" t="str">
        <f aca="false">IF(C2166="","",IF(LEFT(D2166,1)="⚠","⚠ RUT no registrado en Trabajadores",IF(B2166="","⚠ Falta el mes",IF(OR(ISTEXT(I2166),ISTEXT(J2166)),"⚠ Atrasos u horas extra como texto: escriba hh:mm (ej. 1:30)",IF(AND(ISNUMBER(Q2166),COUNTIFS(M_RUTN,V2166,M_MES,B2166,M_LIQ,"&lt;&gt;")&gt;1),"⚠ Liquidación repetida en el mes",IF(AND(ISNUMBER(O2166),ISNUMBER(P2166),ISNUMBER(Q2166),ABS(O2166-P2166-Q2166)&gt;1),"⚠ Haberes − descuentos no da el líquido","OK"))))))</f>
        <v/>
      </c>
      <c r="V2166" s="62" t="str">
        <f aca="false">IF(C2166="","",IFERROR(VALUE(LEFT(UPPER(SUBSTITUTE(SUBSTITUTE(SUBSTITUTE(TRIM(C2166),".",""),"-","")," ","")),LEN(UPPER(SUBSTITUTE(SUBSTITUTE(SUBSTITUTE(TRIM(C2166),".",""),"-","")," ","")))-1))&amp;RIGHT(UPPER(SUBSTITUTE(SUBSTITUTE(SUBSTITUTE(TRIM(C2166),".",""),"-","")," ","")),1),UPPER(SUBSTITUTE(SUBSTITUTE(SUBSTITUTE(TRIM(C2166),".",""),"-","")," ",""))))</f>
        <v/>
      </c>
    </row>
    <row r="2167" customFormat="false" ht="15" hidden="false" customHeight="false" outlineLevel="0" collapsed="false">
      <c r="B2167" s="80"/>
      <c r="C2167" s="58"/>
      <c r="D2167" s="62" t="str">
        <f aca="false">IF(C2167="","",IFERROR(INDEX(T_NOMBRE,MATCH(V2167,T_RUTN,0)),"⚠ RUT no está en Trabajadores"))</f>
        <v/>
      </c>
      <c r="E2167" s="61"/>
      <c r="F2167" s="61"/>
      <c r="G2167" s="61"/>
      <c r="H2167" s="61"/>
      <c r="I2167" s="81"/>
      <c r="J2167" s="81"/>
      <c r="K2167" s="60"/>
      <c r="L2167" s="60"/>
      <c r="M2167" s="60"/>
      <c r="N2167" s="60"/>
      <c r="O2167" s="60"/>
      <c r="P2167" s="60"/>
      <c r="Q2167" s="60"/>
      <c r="R2167" s="58"/>
      <c r="S2167" s="62" t="str">
        <f aca="false">IF(OR(B2167="",V2167=""),"",IFERROR(INDEX(C_TIPO,MATCH(V2167&amp;"-P"&amp;MAX(1,COUNTIFS(C_RUTN,V2167,C_DEF,"Sí",C_INI,"&lt;="&amp;EOMONTH(B2167,0))),C_CLAVE,0))&amp;"","Sin contrato"))</f>
        <v/>
      </c>
      <c r="T2167" s="63" t="str">
        <f aca="false">IF(OR(B2167="",N(O2167)=0),"",N(O2167)+ROUND(MIN(N(N2167),TOPE_UF*UF_MES)*(TASA_EMP+MUTUAL),0)+ROUND(MIN(N(N2167),TOPE_AFC_UF*UF_MES)*IF(S2167="Indefinido",AFC_INDEF,AFC_PF),0))</f>
        <v/>
      </c>
      <c r="U2167" s="62" t="str">
        <f aca="false">IF(C2167="","",IF(LEFT(D2167,1)="⚠","⚠ RUT no registrado en Trabajadores",IF(B2167="","⚠ Falta el mes",IF(OR(ISTEXT(I2167),ISTEXT(J2167)),"⚠ Atrasos u horas extra como texto: escriba hh:mm (ej. 1:30)",IF(AND(ISNUMBER(Q2167),COUNTIFS(M_RUTN,V2167,M_MES,B2167,M_LIQ,"&lt;&gt;")&gt;1),"⚠ Liquidación repetida en el mes",IF(AND(ISNUMBER(O2167),ISNUMBER(P2167),ISNUMBER(Q2167),ABS(O2167-P2167-Q2167)&gt;1),"⚠ Haberes − descuentos no da el líquido","OK"))))))</f>
        <v/>
      </c>
      <c r="V2167" s="62" t="str">
        <f aca="false">IF(C2167="","",IFERROR(VALUE(LEFT(UPPER(SUBSTITUTE(SUBSTITUTE(SUBSTITUTE(TRIM(C2167),".",""),"-","")," ","")),LEN(UPPER(SUBSTITUTE(SUBSTITUTE(SUBSTITUTE(TRIM(C2167),".",""),"-","")," ","")))-1))&amp;RIGHT(UPPER(SUBSTITUTE(SUBSTITUTE(SUBSTITUTE(TRIM(C2167),".",""),"-","")," ","")),1),UPPER(SUBSTITUTE(SUBSTITUTE(SUBSTITUTE(TRIM(C2167),".",""),"-","")," ",""))))</f>
        <v/>
      </c>
    </row>
    <row r="2168" customFormat="false" ht="15" hidden="false" customHeight="false" outlineLevel="0" collapsed="false">
      <c r="B2168" s="80"/>
      <c r="C2168" s="58"/>
      <c r="D2168" s="62" t="str">
        <f aca="false">IF(C2168="","",IFERROR(INDEX(T_NOMBRE,MATCH(V2168,T_RUTN,0)),"⚠ RUT no está en Trabajadores"))</f>
        <v/>
      </c>
      <c r="E2168" s="61"/>
      <c r="F2168" s="61"/>
      <c r="G2168" s="61"/>
      <c r="H2168" s="61"/>
      <c r="I2168" s="81"/>
      <c r="J2168" s="81"/>
      <c r="K2168" s="60"/>
      <c r="L2168" s="60"/>
      <c r="M2168" s="60"/>
      <c r="N2168" s="60"/>
      <c r="O2168" s="60"/>
      <c r="P2168" s="60"/>
      <c r="Q2168" s="60"/>
      <c r="R2168" s="58"/>
      <c r="S2168" s="62" t="str">
        <f aca="false">IF(OR(B2168="",V2168=""),"",IFERROR(INDEX(C_TIPO,MATCH(V2168&amp;"-P"&amp;MAX(1,COUNTIFS(C_RUTN,V2168,C_DEF,"Sí",C_INI,"&lt;="&amp;EOMONTH(B2168,0))),C_CLAVE,0))&amp;"","Sin contrato"))</f>
        <v/>
      </c>
      <c r="T2168" s="63" t="str">
        <f aca="false">IF(OR(B2168="",N(O2168)=0),"",N(O2168)+ROUND(MIN(N(N2168),TOPE_UF*UF_MES)*(TASA_EMP+MUTUAL),0)+ROUND(MIN(N(N2168),TOPE_AFC_UF*UF_MES)*IF(S2168="Indefinido",AFC_INDEF,AFC_PF),0))</f>
        <v/>
      </c>
      <c r="U2168" s="62" t="str">
        <f aca="false">IF(C2168="","",IF(LEFT(D2168,1)="⚠","⚠ RUT no registrado en Trabajadores",IF(B2168="","⚠ Falta el mes",IF(OR(ISTEXT(I2168),ISTEXT(J2168)),"⚠ Atrasos u horas extra como texto: escriba hh:mm (ej. 1:30)",IF(AND(ISNUMBER(Q2168),COUNTIFS(M_RUTN,V2168,M_MES,B2168,M_LIQ,"&lt;&gt;")&gt;1),"⚠ Liquidación repetida en el mes",IF(AND(ISNUMBER(O2168),ISNUMBER(P2168),ISNUMBER(Q2168),ABS(O2168-P2168-Q2168)&gt;1),"⚠ Haberes − descuentos no da el líquido","OK"))))))</f>
        <v/>
      </c>
      <c r="V2168" s="62" t="str">
        <f aca="false">IF(C2168="","",IFERROR(VALUE(LEFT(UPPER(SUBSTITUTE(SUBSTITUTE(SUBSTITUTE(TRIM(C2168),".",""),"-","")," ","")),LEN(UPPER(SUBSTITUTE(SUBSTITUTE(SUBSTITUTE(TRIM(C2168),".",""),"-","")," ","")))-1))&amp;RIGHT(UPPER(SUBSTITUTE(SUBSTITUTE(SUBSTITUTE(TRIM(C2168),".",""),"-","")," ","")),1),UPPER(SUBSTITUTE(SUBSTITUTE(SUBSTITUTE(TRIM(C2168),".",""),"-","")," ",""))))</f>
        <v/>
      </c>
    </row>
    <row r="2169" customFormat="false" ht="15" hidden="false" customHeight="false" outlineLevel="0" collapsed="false">
      <c r="B2169" s="80"/>
      <c r="C2169" s="58"/>
      <c r="D2169" s="62" t="str">
        <f aca="false">IF(C2169="","",IFERROR(INDEX(T_NOMBRE,MATCH(V2169,T_RUTN,0)),"⚠ RUT no está en Trabajadores"))</f>
        <v/>
      </c>
      <c r="E2169" s="61"/>
      <c r="F2169" s="61"/>
      <c r="G2169" s="61"/>
      <c r="H2169" s="61"/>
      <c r="I2169" s="81"/>
      <c r="J2169" s="81"/>
      <c r="K2169" s="60"/>
      <c r="L2169" s="60"/>
      <c r="M2169" s="60"/>
      <c r="N2169" s="60"/>
      <c r="O2169" s="60"/>
      <c r="P2169" s="60"/>
      <c r="Q2169" s="60"/>
      <c r="R2169" s="58"/>
      <c r="S2169" s="62" t="str">
        <f aca="false">IF(OR(B2169="",V2169=""),"",IFERROR(INDEX(C_TIPO,MATCH(V2169&amp;"-P"&amp;MAX(1,COUNTIFS(C_RUTN,V2169,C_DEF,"Sí",C_INI,"&lt;="&amp;EOMONTH(B2169,0))),C_CLAVE,0))&amp;"","Sin contrato"))</f>
        <v/>
      </c>
      <c r="T2169" s="63" t="str">
        <f aca="false">IF(OR(B2169="",N(O2169)=0),"",N(O2169)+ROUND(MIN(N(N2169),TOPE_UF*UF_MES)*(TASA_EMP+MUTUAL),0)+ROUND(MIN(N(N2169),TOPE_AFC_UF*UF_MES)*IF(S2169="Indefinido",AFC_INDEF,AFC_PF),0))</f>
        <v/>
      </c>
      <c r="U2169" s="62" t="str">
        <f aca="false">IF(C2169="","",IF(LEFT(D2169,1)="⚠","⚠ RUT no registrado en Trabajadores",IF(B2169="","⚠ Falta el mes",IF(OR(ISTEXT(I2169),ISTEXT(J2169)),"⚠ Atrasos u horas extra como texto: escriba hh:mm (ej. 1:30)",IF(AND(ISNUMBER(Q2169),COUNTIFS(M_RUTN,V2169,M_MES,B2169,M_LIQ,"&lt;&gt;")&gt;1),"⚠ Liquidación repetida en el mes",IF(AND(ISNUMBER(O2169),ISNUMBER(P2169),ISNUMBER(Q2169),ABS(O2169-P2169-Q2169)&gt;1),"⚠ Haberes − descuentos no da el líquido","OK"))))))</f>
        <v/>
      </c>
      <c r="V2169" s="62" t="str">
        <f aca="false">IF(C2169="","",IFERROR(VALUE(LEFT(UPPER(SUBSTITUTE(SUBSTITUTE(SUBSTITUTE(TRIM(C2169),".",""),"-","")," ","")),LEN(UPPER(SUBSTITUTE(SUBSTITUTE(SUBSTITUTE(TRIM(C2169),".",""),"-","")," ","")))-1))&amp;RIGHT(UPPER(SUBSTITUTE(SUBSTITUTE(SUBSTITUTE(TRIM(C2169),".",""),"-","")," ","")),1),UPPER(SUBSTITUTE(SUBSTITUTE(SUBSTITUTE(TRIM(C2169),".",""),"-","")," ",""))))</f>
        <v/>
      </c>
    </row>
    <row r="2170" customFormat="false" ht="15" hidden="false" customHeight="false" outlineLevel="0" collapsed="false">
      <c r="B2170" s="80"/>
      <c r="C2170" s="58"/>
      <c r="D2170" s="62" t="str">
        <f aca="false">IF(C2170="","",IFERROR(INDEX(T_NOMBRE,MATCH(V2170,T_RUTN,0)),"⚠ RUT no está en Trabajadores"))</f>
        <v/>
      </c>
      <c r="E2170" s="61"/>
      <c r="F2170" s="61"/>
      <c r="G2170" s="61"/>
      <c r="H2170" s="61"/>
      <c r="I2170" s="81"/>
      <c r="J2170" s="81"/>
      <c r="K2170" s="60"/>
      <c r="L2170" s="60"/>
      <c r="M2170" s="60"/>
      <c r="N2170" s="60"/>
      <c r="O2170" s="60"/>
      <c r="P2170" s="60"/>
      <c r="Q2170" s="60"/>
      <c r="R2170" s="58"/>
      <c r="S2170" s="62" t="str">
        <f aca="false">IF(OR(B2170="",V2170=""),"",IFERROR(INDEX(C_TIPO,MATCH(V2170&amp;"-P"&amp;MAX(1,COUNTIFS(C_RUTN,V2170,C_DEF,"Sí",C_INI,"&lt;="&amp;EOMONTH(B2170,0))),C_CLAVE,0))&amp;"","Sin contrato"))</f>
        <v/>
      </c>
      <c r="T2170" s="63" t="str">
        <f aca="false">IF(OR(B2170="",N(O2170)=0),"",N(O2170)+ROUND(MIN(N(N2170),TOPE_UF*UF_MES)*(TASA_EMP+MUTUAL),0)+ROUND(MIN(N(N2170),TOPE_AFC_UF*UF_MES)*IF(S2170="Indefinido",AFC_INDEF,AFC_PF),0))</f>
        <v/>
      </c>
      <c r="U2170" s="62" t="str">
        <f aca="false">IF(C2170="","",IF(LEFT(D2170,1)="⚠","⚠ RUT no registrado en Trabajadores",IF(B2170="","⚠ Falta el mes",IF(OR(ISTEXT(I2170),ISTEXT(J2170)),"⚠ Atrasos u horas extra como texto: escriba hh:mm (ej. 1:30)",IF(AND(ISNUMBER(Q2170),COUNTIFS(M_RUTN,V2170,M_MES,B2170,M_LIQ,"&lt;&gt;")&gt;1),"⚠ Liquidación repetida en el mes",IF(AND(ISNUMBER(O2170),ISNUMBER(P2170),ISNUMBER(Q2170),ABS(O2170-P2170-Q2170)&gt;1),"⚠ Haberes − descuentos no da el líquido","OK"))))))</f>
        <v/>
      </c>
      <c r="V2170" s="62" t="str">
        <f aca="false">IF(C2170="","",IFERROR(VALUE(LEFT(UPPER(SUBSTITUTE(SUBSTITUTE(SUBSTITUTE(TRIM(C2170),".",""),"-","")," ","")),LEN(UPPER(SUBSTITUTE(SUBSTITUTE(SUBSTITUTE(TRIM(C2170),".",""),"-","")," ","")))-1))&amp;RIGHT(UPPER(SUBSTITUTE(SUBSTITUTE(SUBSTITUTE(TRIM(C2170),".",""),"-","")," ","")),1),UPPER(SUBSTITUTE(SUBSTITUTE(SUBSTITUTE(TRIM(C2170),".",""),"-","")," ",""))))</f>
        <v/>
      </c>
    </row>
    <row r="2171" customFormat="false" ht="15" hidden="false" customHeight="false" outlineLevel="0" collapsed="false">
      <c r="B2171" s="80"/>
      <c r="C2171" s="58"/>
      <c r="D2171" s="62" t="str">
        <f aca="false">IF(C2171="","",IFERROR(INDEX(T_NOMBRE,MATCH(V2171,T_RUTN,0)),"⚠ RUT no está en Trabajadores"))</f>
        <v/>
      </c>
      <c r="E2171" s="61"/>
      <c r="F2171" s="61"/>
      <c r="G2171" s="61"/>
      <c r="H2171" s="61"/>
      <c r="I2171" s="81"/>
      <c r="J2171" s="81"/>
      <c r="K2171" s="60"/>
      <c r="L2171" s="60"/>
      <c r="M2171" s="60"/>
      <c r="N2171" s="60"/>
      <c r="O2171" s="60"/>
      <c r="P2171" s="60"/>
      <c r="Q2171" s="60"/>
      <c r="R2171" s="58"/>
      <c r="S2171" s="62" t="str">
        <f aca="false">IF(OR(B2171="",V2171=""),"",IFERROR(INDEX(C_TIPO,MATCH(V2171&amp;"-P"&amp;MAX(1,COUNTIFS(C_RUTN,V2171,C_DEF,"Sí",C_INI,"&lt;="&amp;EOMONTH(B2171,0))),C_CLAVE,0))&amp;"","Sin contrato"))</f>
        <v/>
      </c>
      <c r="T2171" s="63" t="str">
        <f aca="false">IF(OR(B2171="",N(O2171)=0),"",N(O2171)+ROUND(MIN(N(N2171),TOPE_UF*UF_MES)*(TASA_EMP+MUTUAL),0)+ROUND(MIN(N(N2171),TOPE_AFC_UF*UF_MES)*IF(S2171="Indefinido",AFC_INDEF,AFC_PF),0))</f>
        <v/>
      </c>
      <c r="U2171" s="62" t="str">
        <f aca="false">IF(C2171="","",IF(LEFT(D2171,1)="⚠","⚠ RUT no registrado en Trabajadores",IF(B2171="","⚠ Falta el mes",IF(OR(ISTEXT(I2171),ISTEXT(J2171)),"⚠ Atrasos u horas extra como texto: escriba hh:mm (ej. 1:30)",IF(AND(ISNUMBER(Q2171),COUNTIFS(M_RUTN,V2171,M_MES,B2171,M_LIQ,"&lt;&gt;")&gt;1),"⚠ Liquidación repetida en el mes",IF(AND(ISNUMBER(O2171),ISNUMBER(P2171),ISNUMBER(Q2171),ABS(O2171-P2171-Q2171)&gt;1),"⚠ Haberes − descuentos no da el líquido","OK"))))))</f>
        <v/>
      </c>
      <c r="V2171" s="62" t="str">
        <f aca="false">IF(C2171="","",IFERROR(VALUE(LEFT(UPPER(SUBSTITUTE(SUBSTITUTE(SUBSTITUTE(TRIM(C2171),".",""),"-","")," ","")),LEN(UPPER(SUBSTITUTE(SUBSTITUTE(SUBSTITUTE(TRIM(C2171),".",""),"-","")," ","")))-1))&amp;RIGHT(UPPER(SUBSTITUTE(SUBSTITUTE(SUBSTITUTE(TRIM(C2171),".",""),"-","")," ","")),1),UPPER(SUBSTITUTE(SUBSTITUTE(SUBSTITUTE(TRIM(C2171),".",""),"-","")," ",""))))</f>
        <v/>
      </c>
    </row>
    <row r="2172" customFormat="false" ht="15" hidden="false" customHeight="false" outlineLevel="0" collapsed="false">
      <c r="B2172" s="80"/>
      <c r="C2172" s="58"/>
      <c r="D2172" s="62" t="str">
        <f aca="false">IF(C2172="","",IFERROR(INDEX(T_NOMBRE,MATCH(V2172,T_RUTN,0)),"⚠ RUT no está en Trabajadores"))</f>
        <v/>
      </c>
      <c r="E2172" s="61"/>
      <c r="F2172" s="61"/>
      <c r="G2172" s="61"/>
      <c r="H2172" s="61"/>
      <c r="I2172" s="81"/>
      <c r="J2172" s="81"/>
      <c r="K2172" s="60"/>
      <c r="L2172" s="60"/>
      <c r="M2172" s="60"/>
      <c r="N2172" s="60"/>
      <c r="O2172" s="60"/>
      <c r="P2172" s="60"/>
      <c r="Q2172" s="60"/>
      <c r="R2172" s="58"/>
      <c r="S2172" s="62" t="str">
        <f aca="false">IF(OR(B2172="",V2172=""),"",IFERROR(INDEX(C_TIPO,MATCH(V2172&amp;"-P"&amp;MAX(1,COUNTIFS(C_RUTN,V2172,C_DEF,"Sí",C_INI,"&lt;="&amp;EOMONTH(B2172,0))),C_CLAVE,0))&amp;"","Sin contrato"))</f>
        <v/>
      </c>
      <c r="T2172" s="63" t="str">
        <f aca="false">IF(OR(B2172="",N(O2172)=0),"",N(O2172)+ROUND(MIN(N(N2172),TOPE_UF*UF_MES)*(TASA_EMP+MUTUAL),0)+ROUND(MIN(N(N2172),TOPE_AFC_UF*UF_MES)*IF(S2172="Indefinido",AFC_INDEF,AFC_PF),0))</f>
        <v/>
      </c>
      <c r="U2172" s="62" t="str">
        <f aca="false">IF(C2172="","",IF(LEFT(D2172,1)="⚠","⚠ RUT no registrado en Trabajadores",IF(B2172="","⚠ Falta el mes",IF(OR(ISTEXT(I2172),ISTEXT(J2172)),"⚠ Atrasos u horas extra como texto: escriba hh:mm (ej. 1:30)",IF(AND(ISNUMBER(Q2172),COUNTIFS(M_RUTN,V2172,M_MES,B2172,M_LIQ,"&lt;&gt;")&gt;1),"⚠ Liquidación repetida en el mes",IF(AND(ISNUMBER(O2172),ISNUMBER(P2172),ISNUMBER(Q2172),ABS(O2172-P2172-Q2172)&gt;1),"⚠ Haberes − descuentos no da el líquido","OK"))))))</f>
        <v/>
      </c>
      <c r="V2172" s="62" t="str">
        <f aca="false">IF(C2172="","",IFERROR(VALUE(LEFT(UPPER(SUBSTITUTE(SUBSTITUTE(SUBSTITUTE(TRIM(C2172),".",""),"-","")," ","")),LEN(UPPER(SUBSTITUTE(SUBSTITUTE(SUBSTITUTE(TRIM(C2172),".",""),"-","")," ","")))-1))&amp;RIGHT(UPPER(SUBSTITUTE(SUBSTITUTE(SUBSTITUTE(TRIM(C2172),".",""),"-","")," ","")),1),UPPER(SUBSTITUTE(SUBSTITUTE(SUBSTITUTE(TRIM(C2172),".",""),"-","")," ",""))))</f>
        <v/>
      </c>
    </row>
    <row r="2173" customFormat="false" ht="15" hidden="false" customHeight="false" outlineLevel="0" collapsed="false">
      <c r="B2173" s="80"/>
      <c r="C2173" s="58"/>
      <c r="D2173" s="62" t="str">
        <f aca="false">IF(C2173="","",IFERROR(INDEX(T_NOMBRE,MATCH(V2173,T_RUTN,0)),"⚠ RUT no está en Trabajadores"))</f>
        <v/>
      </c>
      <c r="E2173" s="61"/>
      <c r="F2173" s="61"/>
      <c r="G2173" s="61"/>
      <c r="H2173" s="61"/>
      <c r="I2173" s="81"/>
      <c r="J2173" s="81"/>
      <c r="K2173" s="60"/>
      <c r="L2173" s="60"/>
      <c r="M2173" s="60"/>
      <c r="N2173" s="60"/>
      <c r="O2173" s="60"/>
      <c r="P2173" s="60"/>
      <c r="Q2173" s="60"/>
      <c r="R2173" s="58"/>
      <c r="S2173" s="62" t="str">
        <f aca="false">IF(OR(B2173="",V2173=""),"",IFERROR(INDEX(C_TIPO,MATCH(V2173&amp;"-P"&amp;MAX(1,COUNTIFS(C_RUTN,V2173,C_DEF,"Sí",C_INI,"&lt;="&amp;EOMONTH(B2173,0))),C_CLAVE,0))&amp;"","Sin contrato"))</f>
        <v/>
      </c>
      <c r="T2173" s="63" t="str">
        <f aca="false">IF(OR(B2173="",N(O2173)=0),"",N(O2173)+ROUND(MIN(N(N2173),TOPE_UF*UF_MES)*(TASA_EMP+MUTUAL),0)+ROUND(MIN(N(N2173),TOPE_AFC_UF*UF_MES)*IF(S2173="Indefinido",AFC_INDEF,AFC_PF),0))</f>
        <v/>
      </c>
      <c r="U2173" s="62" t="str">
        <f aca="false">IF(C2173="","",IF(LEFT(D2173,1)="⚠","⚠ RUT no registrado en Trabajadores",IF(B2173="","⚠ Falta el mes",IF(OR(ISTEXT(I2173),ISTEXT(J2173)),"⚠ Atrasos u horas extra como texto: escriba hh:mm (ej. 1:30)",IF(AND(ISNUMBER(Q2173),COUNTIFS(M_RUTN,V2173,M_MES,B2173,M_LIQ,"&lt;&gt;")&gt;1),"⚠ Liquidación repetida en el mes",IF(AND(ISNUMBER(O2173),ISNUMBER(P2173),ISNUMBER(Q2173),ABS(O2173-P2173-Q2173)&gt;1),"⚠ Haberes − descuentos no da el líquido","OK"))))))</f>
        <v/>
      </c>
      <c r="V2173" s="62" t="str">
        <f aca="false">IF(C2173="","",IFERROR(VALUE(LEFT(UPPER(SUBSTITUTE(SUBSTITUTE(SUBSTITUTE(TRIM(C2173),".",""),"-","")," ","")),LEN(UPPER(SUBSTITUTE(SUBSTITUTE(SUBSTITUTE(TRIM(C2173),".",""),"-","")," ","")))-1))&amp;RIGHT(UPPER(SUBSTITUTE(SUBSTITUTE(SUBSTITUTE(TRIM(C2173),".",""),"-","")," ","")),1),UPPER(SUBSTITUTE(SUBSTITUTE(SUBSTITUTE(TRIM(C2173),".",""),"-","")," ",""))))</f>
        <v/>
      </c>
    </row>
    <row r="2174" customFormat="false" ht="15" hidden="false" customHeight="false" outlineLevel="0" collapsed="false">
      <c r="B2174" s="80"/>
      <c r="C2174" s="58"/>
      <c r="D2174" s="62" t="str">
        <f aca="false">IF(C2174="","",IFERROR(INDEX(T_NOMBRE,MATCH(V2174,T_RUTN,0)),"⚠ RUT no está en Trabajadores"))</f>
        <v/>
      </c>
      <c r="E2174" s="61"/>
      <c r="F2174" s="61"/>
      <c r="G2174" s="61"/>
      <c r="H2174" s="61"/>
      <c r="I2174" s="81"/>
      <c r="J2174" s="81"/>
      <c r="K2174" s="60"/>
      <c r="L2174" s="60"/>
      <c r="M2174" s="60"/>
      <c r="N2174" s="60"/>
      <c r="O2174" s="60"/>
      <c r="P2174" s="60"/>
      <c r="Q2174" s="60"/>
      <c r="R2174" s="58"/>
      <c r="S2174" s="62" t="str">
        <f aca="false">IF(OR(B2174="",V2174=""),"",IFERROR(INDEX(C_TIPO,MATCH(V2174&amp;"-P"&amp;MAX(1,COUNTIFS(C_RUTN,V2174,C_DEF,"Sí",C_INI,"&lt;="&amp;EOMONTH(B2174,0))),C_CLAVE,0))&amp;"","Sin contrato"))</f>
        <v/>
      </c>
      <c r="T2174" s="63" t="str">
        <f aca="false">IF(OR(B2174="",N(O2174)=0),"",N(O2174)+ROUND(MIN(N(N2174),TOPE_UF*UF_MES)*(TASA_EMP+MUTUAL),0)+ROUND(MIN(N(N2174),TOPE_AFC_UF*UF_MES)*IF(S2174="Indefinido",AFC_INDEF,AFC_PF),0))</f>
        <v/>
      </c>
      <c r="U2174" s="62" t="str">
        <f aca="false">IF(C2174="","",IF(LEFT(D2174,1)="⚠","⚠ RUT no registrado en Trabajadores",IF(B2174="","⚠ Falta el mes",IF(OR(ISTEXT(I2174),ISTEXT(J2174)),"⚠ Atrasos u horas extra como texto: escriba hh:mm (ej. 1:30)",IF(AND(ISNUMBER(Q2174),COUNTIFS(M_RUTN,V2174,M_MES,B2174,M_LIQ,"&lt;&gt;")&gt;1),"⚠ Liquidación repetida en el mes",IF(AND(ISNUMBER(O2174),ISNUMBER(P2174),ISNUMBER(Q2174),ABS(O2174-P2174-Q2174)&gt;1),"⚠ Haberes − descuentos no da el líquido","OK"))))))</f>
        <v/>
      </c>
      <c r="V2174" s="62" t="str">
        <f aca="false">IF(C2174="","",IFERROR(VALUE(LEFT(UPPER(SUBSTITUTE(SUBSTITUTE(SUBSTITUTE(TRIM(C2174),".",""),"-","")," ","")),LEN(UPPER(SUBSTITUTE(SUBSTITUTE(SUBSTITUTE(TRIM(C2174),".",""),"-","")," ","")))-1))&amp;RIGHT(UPPER(SUBSTITUTE(SUBSTITUTE(SUBSTITUTE(TRIM(C2174),".",""),"-","")," ","")),1),UPPER(SUBSTITUTE(SUBSTITUTE(SUBSTITUTE(TRIM(C2174),".",""),"-","")," ",""))))</f>
        <v/>
      </c>
    </row>
    <row r="2175" customFormat="false" ht="15" hidden="false" customHeight="false" outlineLevel="0" collapsed="false">
      <c r="B2175" s="80"/>
      <c r="C2175" s="58"/>
      <c r="D2175" s="62" t="str">
        <f aca="false">IF(C2175="","",IFERROR(INDEX(T_NOMBRE,MATCH(V2175,T_RUTN,0)),"⚠ RUT no está en Trabajadores"))</f>
        <v/>
      </c>
      <c r="E2175" s="61"/>
      <c r="F2175" s="61"/>
      <c r="G2175" s="61"/>
      <c r="H2175" s="61"/>
      <c r="I2175" s="81"/>
      <c r="J2175" s="81"/>
      <c r="K2175" s="60"/>
      <c r="L2175" s="60"/>
      <c r="M2175" s="60"/>
      <c r="N2175" s="60"/>
      <c r="O2175" s="60"/>
      <c r="P2175" s="60"/>
      <c r="Q2175" s="60"/>
      <c r="R2175" s="58"/>
      <c r="S2175" s="62" t="str">
        <f aca="false">IF(OR(B2175="",V2175=""),"",IFERROR(INDEX(C_TIPO,MATCH(V2175&amp;"-P"&amp;MAX(1,COUNTIFS(C_RUTN,V2175,C_DEF,"Sí",C_INI,"&lt;="&amp;EOMONTH(B2175,0))),C_CLAVE,0))&amp;"","Sin contrato"))</f>
        <v/>
      </c>
      <c r="T2175" s="63" t="str">
        <f aca="false">IF(OR(B2175="",N(O2175)=0),"",N(O2175)+ROUND(MIN(N(N2175),TOPE_UF*UF_MES)*(TASA_EMP+MUTUAL),0)+ROUND(MIN(N(N2175),TOPE_AFC_UF*UF_MES)*IF(S2175="Indefinido",AFC_INDEF,AFC_PF),0))</f>
        <v/>
      </c>
      <c r="U2175" s="62" t="str">
        <f aca="false">IF(C2175="","",IF(LEFT(D2175,1)="⚠","⚠ RUT no registrado en Trabajadores",IF(B2175="","⚠ Falta el mes",IF(OR(ISTEXT(I2175),ISTEXT(J2175)),"⚠ Atrasos u horas extra como texto: escriba hh:mm (ej. 1:30)",IF(AND(ISNUMBER(Q2175),COUNTIFS(M_RUTN,V2175,M_MES,B2175,M_LIQ,"&lt;&gt;")&gt;1),"⚠ Liquidación repetida en el mes",IF(AND(ISNUMBER(O2175),ISNUMBER(P2175),ISNUMBER(Q2175),ABS(O2175-P2175-Q2175)&gt;1),"⚠ Haberes − descuentos no da el líquido","OK"))))))</f>
        <v/>
      </c>
      <c r="V2175" s="62" t="str">
        <f aca="false">IF(C2175="","",IFERROR(VALUE(LEFT(UPPER(SUBSTITUTE(SUBSTITUTE(SUBSTITUTE(TRIM(C2175),".",""),"-","")," ","")),LEN(UPPER(SUBSTITUTE(SUBSTITUTE(SUBSTITUTE(TRIM(C2175),".",""),"-","")," ","")))-1))&amp;RIGHT(UPPER(SUBSTITUTE(SUBSTITUTE(SUBSTITUTE(TRIM(C2175),".",""),"-","")," ","")),1),UPPER(SUBSTITUTE(SUBSTITUTE(SUBSTITUTE(TRIM(C2175),".",""),"-","")," ",""))))</f>
        <v/>
      </c>
    </row>
    <row r="2176" customFormat="false" ht="15" hidden="false" customHeight="false" outlineLevel="0" collapsed="false">
      <c r="B2176" s="80"/>
      <c r="C2176" s="58"/>
      <c r="D2176" s="62" t="str">
        <f aca="false">IF(C2176="","",IFERROR(INDEX(T_NOMBRE,MATCH(V2176,T_RUTN,0)),"⚠ RUT no está en Trabajadores"))</f>
        <v/>
      </c>
      <c r="E2176" s="61"/>
      <c r="F2176" s="61"/>
      <c r="G2176" s="61"/>
      <c r="H2176" s="61"/>
      <c r="I2176" s="81"/>
      <c r="J2176" s="81"/>
      <c r="K2176" s="60"/>
      <c r="L2176" s="60"/>
      <c r="M2176" s="60"/>
      <c r="N2176" s="60"/>
      <c r="O2176" s="60"/>
      <c r="P2176" s="60"/>
      <c r="Q2176" s="60"/>
      <c r="R2176" s="58"/>
      <c r="S2176" s="62" t="str">
        <f aca="false">IF(OR(B2176="",V2176=""),"",IFERROR(INDEX(C_TIPO,MATCH(V2176&amp;"-P"&amp;MAX(1,COUNTIFS(C_RUTN,V2176,C_DEF,"Sí",C_INI,"&lt;="&amp;EOMONTH(B2176,0))),C_CLAVE,0))&amp;"","Sin contrato"))</f>
        <v/>
      </c>
      <c r="T2176" s="63" t="str">
        <f aca="false">IF(OR(B2176="",N(O2176)=0),"",N(O2176)+ROUND(MIN(N(N2176),TOPE_UF*UF_MES)*(TASA_EMP+MUTUAL),0)+ROUND(MIN(N(N2176),TOPE_AFC_UF*UF_MES)*IF(S2176="Indefinido",AFC_INDEF,AFC_PF),0))</f>
        <v/>
      </c>
      <c r="U2176" s="62" t="str">
        <f aca="false">IF(C2176="","",IF(LEFT(D2176,1)="⚠","⚠ RUT no registrado en Trabajadores",IF(B2176="","⚠ Falta el mes",IF(OR(ISTEXT(I2176),ISTEXT(J2176)),"⚠ Atrasos u horas extra como texto: escriba hh:mm (ej. 1:30)",IF(AND(ISNUMBER(Q2176),COUNTIFS(M_RUTN,V2176,M_MES,B2176,M_LIQ,"&lt;&gt;")&gt;1),"⚠ Liquidación repetida en el mes",IF(AND(ISNUMBER(O2176),ISNUMBER(P2176),ISNUMBER(Q2176),ABS(O2176-P2176-Q2176)&gt;1),"⚠ Haberes − descuentos no da el líquido","OK"))))))</f>
        <v/>
      </c>
      <c r="V2176" s="62" t="str">
        <f aca="false">IF(C2176="","",IFERROR(VALUE(LEFT(UPPER(SUBSTITUTE(SUBSTITUTE(SUBSTITUTE(TRIM(C2176),".",""),"-","")," ","")),LEN(UPPER(SUBSTITUTE(SUBSTITUTE(SUBSTITUTE(TRIM(C2176),".",""),"-","")," ","")))-1))&amp;RIGHT(UPPER(SUBSTITUTE(SUBSTITUTE(SUBSTITUTE(TRIM(C2176),".",""),"-","")," ","")),1),UPPER(SUBSTITUTE(SUBSTITUTE(SUBSTITUTE(TRIM(C2176),".",""),"-","")," ",""))))</f>
        <v/>
      </c>
    </row>
    <row r="2177" customFormat="false" ht="15" hidden="false" customHeight="false" outlineLevel="0" collapsed="false">
      <c r="B2177" s="80"/>
      <c r="C2177" s="58"/>
      <c r="D2177" s="62" t="str">
        <f aca="false">IF(C2177="","",IFERROR(INDEX(T_NOMBRE,MATCH(V2177,T_RUTN,0)),"⚠ RUT no está en Trabajadores"))</f>
        <v/>
      </c>
      <c r="E2177" s="61"/>
      <c r="F2177" s="61"/>
      <c r="G2177" s="61"/>
      <c r="H2177" s="61"/>
      <c r="I2177" s="81"/>
      <c r="J2177" s="81"/>
      <c r="K2177" s="60"/>
      <c r="L2177" s="60"/>
      <c r="M2177" s="60"/>
      <c r="N2177" s="60"/>
      <c r="O2177" s="60"/>
      <c r="P2177" s="60"/>
      <c r="Q2177" s="60"/>
      <c r="R2177" s="58"/>
      <c r="S2177" s="62" t="str">
        <f aca="false">IF(OR(B2177="",V2177=""),"",IFERROR(INDEX(C_TIPO,MATCH(V2177&amp;"-P"&amp;MAX(1,COUNTIFS(C_RUTN,V2177,C_DEF,"Sí",C_INI,"&lt;="&amp;EOMONTH(B2177,0))),C_CLAVE,0))&amp;"","Sin contrato"))</f>
        <v/>
      </c>
      <c r="T2177" s="63" t="str">
        <f aca="false">IF(OR(B2177="",N(O2177)=0),"",N(O2177)+ROUND(MIN(N(N2177),TOPE_UF*UF_MES)*(TASA_EMP+MUTUAL),0)+ROUND(MIN(N(N2177),TOPE_AFC_UF*UF_MES)*IF(S2177="Indefinido",AFC_INDEF,AFC_PF),0))</f>
        <v/>
      </c>
      <c r="U2177" s="62" t="str">
        <f aca="false">IF(C2177="","",IF(LEFT(D2177,1)="⚠","⚠ RUT no registrado en Trabajadores",IF(B2177="","⚠ Falta el mes",IF(OR(ISTEXT(I2177),ISTEXT(J2177)),"⚠ Atrasos u horas extra como texto: escriba hh:mm (ej. 1:30)",IF(AND(ISNUMBER(Q2177),COUNTIFS(M_RUTN,V2177,M_MES,B2177,M_LIQ,"&lt;&gt;")&gt;1),"⚠ Liquidación repetida en el mes",IF(AND(ISNUMBER(O2177),ISNUMBER(P2177),ISNUMBER(Q2177),ABS(O2177-P2177-Q2177)&gt;1),"⚠ Haberes − descuentos no da el líquido","OK"))))))</f>
        <v/>
      </c>
      <c r="V2177" s="62" t="str">
        <f aca="false">IF(C2177="","",IFERROR(VALUE(LEFT(UPPER(SUBSTITUTE(SUBSTITUTE(SUBSTITUTE(TRIM(C2177),".",""),"-","")," ","")),LEN(UPPER(SUBSTITUTE(SUBSTITUTE(SUBSTITUTE(TRIM(C2177),".",""),"-","")," ","")))-1))&amp;RIGHT(UPPER(SUBSTITUTE(SUBSTITUTE(SUBSTITUTE(TRIM(C2177),".",""),"-","")," ","")),1),UPPER(SUBSTITUTE(SUBSTITUTE(SUBSTITUTE(TRIM(C2177),".",""),"-","")," ",""))))</f>
        <v/>
      </c>
    </row>
    <row r="2178" customFormat="false" ht="15" hidden="false" customHeight="false" outlineLevel="0" collapsed="false">
      <c r="B2178" s="80"/>
      <c r="C2178" s="58"/>
      <c r="D2178" s="62" t="str">
        <f aca="false">IF(C2178="","",IFERROR(INDEX(T_NOMBRE,MATCH(V2178,T_RUTN,0)),"⚠ RUT no está en Trabajadores"))</f>
        <v/>
      </c>
      <c r="E2178" s="61"/>
      <c r="F2178" s="61"/>
      <c r="G2178" s="61"/>
      <c r="H2178" s="61"/>
      <c r="I2178" s="81"/>
      <c r="J2178" s="81"/>
      <c r="K2178" s="60"/>
      <c r="L2178" s="60"/>
      <c r="M2178" s="60"/>
      <c r="N2178" s="60"/>
      <c r="O2178" s="60"/>
      <c r="P2178" s="60"/>
      <c r="Q2178" s="60"/>
      <c r="R2178" s="58"/>
      <c r="S2178" s="62" t="str">
        <f aca="false">IF(OR(B2178="",V2178=""),"",IFERROR(INDEX(C_TIPO,MATCH(V2178&amp;"-P"&amp;MAX(1,COUNTIFS(C_RUTN,V2178,C_DEF,"Sí",C_INI,"&lt;="&amp;EOMONTH(B2178,0))),C_CLAVE,0))&amp;"","Sin contrato"))</f>
        <v/>
      </c>
      <c r="T2178" s="63" t="str">
        <f aca="false">IF(OR(B2178="",N(O2178)=0),"",N(O2178)+ROUND(MIN(N(N2178),TOPE_UF*UF_MES)*(TASA_EMP+MUTUAL),0)+ROUND(MIN(N(N2178),TOPE_AFC_UF*UF_MES)*IF(S2178="Indefinido",AFC_INDEF,AFC_PF),0))</f>
        <v/>
      </c>
      <c r="U2178" s="62" t="str">
        <f aca="false">IF(C2178="","",IF(LEFT(D2178,1)="⚠","⚠ RUT no registrado en Trabajadores",IF(B2178="","⚠ Falta el mes",IF(OR(ISTEXT(I2178),ISTEXT(J2178)),"⚠ Atrasos u horas extra como texto: escriba hh:mm (ej. 1:30)",IF(AND(ISNUMBER(Q2178),COUNTIFS(M_RUTN,V2178,M_MES,B2178,M_LIQ,"&lt;&gt;")&gt;1),"⚠ Liquidación repetida en el mes",IF(AND(ISNUMBER(O2178),ISNUMBER(P2178),ISNUMBER(Q2178),ABS(O2178-P2178-Q2178)&gt;1),"⚠ Haberes − descuentos no da el líquido","OK"))))))</f>
        <v/>
      </c>
      <c r="V2178" s="62" t="str">
        <f aca="false">IF(C2178="","",IFERROR(VALUE(LEFT(UPPER(SUBSTITUTE(SUBSTITUTE(SUBSTITUTE(TRIM(C2178),".",""),"-","")," ","")),LEN(UPPER(SUBSTITUTE(SUBSTITUTE(SUBSTITUTE(TRIM(C2178),".",""),"-","")," ","")))-1))&amp;RIGHT(UPPER(SUBSTITUTE(SUBSTITUTE(SUBSTITUTE(TRIM(C2178),".",""),"-","")," ","")),1),UPPER(SUBSTITUTE(SUBSTITUTE(SUBSTITUTE(TRIM(C2178),".",""),"-","")," ",""))))</f>
        <v/>
      </c>
    </row>
    <row r="2179" customFormat="false" ht="15" hidden="false" customHeight="false" outlineLevel="0" collapsed="false">
      <c r="B2179" s="80"/>
      <c r="C2179" s="58"/>
      <c r="D2179" s="62" t="str">
        <f aca="false">IF(C2179="","",IFERROR(INDEX(T_NOMBRE,MATCH(V2179,T_RUTN,0)),"⚠ RUT no está en Trabajadores"))</f>
        <v/>
      </c>
      <c r="E2179" s="61"/>
      <c r="F2179" s="61"/>
      <c r="G2179" s="61"/>
      <c r="H2179" s="61"/>
      <c r="I2179" s="81"/>
      <c r="J2179" s="81"/>
      <c r="K2179" s="60"/>
      <c r="L2179" s="60"/>
      <c r="M2179" s="60"/>
      <c r="N2179" s="60"/>
      <c r="O2179" s="60"/>
      <c r="P2179" s="60"/>
      <c r="Q2179" s="60"/>
      <c r="R2179" s="58"/>
      <c r="S2179" s="62" t="str">
        <f aca="false">IF(OR(B2179="",V2179=""),"",IFERROR(INDEX(C_TIPO,MATCH(V2179&amp;"-P"&amp;MAX(1,COUNTIFS(C_RUTN,V2179,C_DEF,"Sí",C_INI,"&lt;="&amp;EOMONTH(B2179,0))),C_CLAVE,0))&amp;"","Sin contrato"))</f>
        <v/>
      </c>
      <c r="T2179" s="63" t="str">
        <f aca="false">IF(OR(B2179="",N(O2179)=0),"",N(O2179)+ROUND(MIN(N(N2179),TOPE_UF*UF_MES)*(TASA_EMP+MUTUAL),0)+ROUND(MIN(N(N2179),TOPE_AFC_UF*UF_MES)*IF(S2179="Indefinido",AFC_INDEF,AFC_PF),0))</f>
        <v/>
      </c>
      <c r="U2179" s="62" t="str">
        <f aca="false">IF(C2179="","",IF(LEFT(D2179,1)="⚠","⚠ RUT no registrado en Trabajadores",IF(B2179="","⚠ Falta el mes",IF(OR(ISTEXT(I2179),ISTEXT(J2179)),"⚠ Atrasos u horas extra como texto: escriba hh:mm (ej. 1:30)",IF(AND(ISNUMBER(Q2179),COUNTIFS(M_RUTN,V2179,M_MES,B2179,M_LIQ,"&lt;&gt;")&gt;1),"⚠ Liquidación repetida en el mes",IF(AND(ISNUMBER(O2179),ISNUMBER(P2179),ISNUMBER(Q2179),ABS(O2179-P2179-Q2179)&gt;1),"⚠ Haberes − descuentos no da el líquido","OK"))))))</f>
        <v/>
      </c>
      <c r="V2179" s="62" t="str">
        <f aca="false">IF(C2179="","",IFERROR(VALUE(LEFT(UPPER(SUBSTITUTE(SUBSTITUTE(SUBSTITUTE(TRIM(C2179),".",""),"-","")," ","")),LEN(UPPER(SUBSTITUTE(SUBSTITUTE(SUBSTITUTE(TRIM(C2179),".",""),"-","")," ","")))-1))&amp;RIGHT(UPPER(SUBSTITUTE(SUBSTITUTE(SUBSTITUTE(TRIM(C2179),".",""),"-","")," ","")),1),UPPER(SUBSTITUTE(SUBSTITUTE(SUBSTITUTE(TRIM(C2179),".",""),"-","")," ",""))))</f>
        <v/>
      </c>
    </row>
    <row r="2180" customFormat="false" ht="15" hidden="false" customHeight="false" outlineLevel="0" collapsed="false">
      <c r="B2180" s="80"/>
      <c r="C2180" s="58"/>
      <c r="D2180" s="62" t="str">
        <f aca="false">IF(C2180="","",IFERROR(INDEX(T_NOMBRE,MATCH(V2180,T_RUTN,0)),"⚠ RUT no está en Trabajadores"))</f>
        <v/>
      </c>
      <c r="E2180" s="61"/>
      <c r="F2180" s="61"/>
      <c r="G2180" s="61"/>
      <c r="H2180" s="61"/>
      <c r="I2180" s="81"/>
      <c r="J2180" s="81"/>
      <c r="K2180" s="60"/>
      <c r="L2180" s="60"/>
      <c r="M2180" s="60"/>
      <c r="N2180" s="60"/>
      <c r="O2180" s="60"/>
      <c r="P2180" s="60"/>
      <c r="Q2180" s="60"/>
      <c r="R2180" s="58"/>
      <c r="S2180" s="62" t="str">
        <f aca="false">IF(OR(B2180="",V2180=""),"",IFERROR(INDEX(C_TIPO,MATCH(V2180&amp;"-P"&amp;MAX(1,COUNTIFS(C_RUTN,V2180,C_DEF,"Sí",C_INI,"&lt;="&amp;EOMONTH(B2180,0))),C_CLAVE,0))&amp;"","Sin contrato"))</f>
        <v/>
      </c>
      <c r="T2180" s="63" t="str">
        <f aca="false">IF(OR(B2180="",N(O2180)=0),"",N(O2180)+ROUND(MIN(N(N2180),TOPE_UF*UF_MES)*(TASA_EMP+MUTUAL),0)+ROUND(MIN(N(N2180),TOPE_AFC_UF*UF_MES)*IF(S2180="Indefinido",AFC_INDEF,AFC_PF),0))</f>
        <v/>
      </c>
      <c r="U2180" s="62" t="str">
        <f aca="false">IF(C2180="","",IF(LEFT(D2180,1)="⚠","⚠ RUT no registrado en Trabajadores",IF(B2180="","⚠ Falta el mes",IF(OR(ISTEXT(I2180),ISTEXT(J2180)),"⚠ Atrasos u horas extra como texto: escriba hh:mm (ej. 1:30)",IF(AND(ISNUMBER(Q2180),COUNTIFS(M_RUTN,V2180,M_MES,B2180,M_LIQ,"&lt;&gt;")&gt;1),"⚠ Liquidación repetida en el mes",IF(AND(ISNUMBER(O2180),ISNUMBER(P2180),ISNUMBER(Q2180),ABS(O2180-P2180-Q2180)&gt;1),"⚠ Haberes − descuentos no da el líquido","OK"))))))</f>
        <v/>
      </c>
      <c r="V2180" s="62" t="str">
        <f aca="false">IF(C2180="","",IFERROR(VALUE(LEFT(UPPER(SUBSTITUTE(SUBSTITUTE(SUBSTITUTE(TRIM(C2180),".",""),"-","")," ","")),LEN(UPPER(SUBSTITUTE(SUBSTITUTE(SUBSTITUTE(TRIM(C2180),".",""),"-","")," ","")))-1))&amp;RIGHT(UPPER(SUBSTITUTE(SUBSTITUTE(SUBSTITUTE(TRIM(C2180),".",""),"-","")," ","")),1),UPPER(SUBSTITUTE(SUBSTITUTE(SUBSTITUTE(TRIM(C2180),".",""),"-","")," ",""))))</f>
        <v/>
      </c>
    </row>
    <row r="2181" customFormat="false" ht="15" hidden="false" customHeight="false" outlineLevel="0" collapsed="false">
      <c r="B2181" s="80"/>
      <c r="C2181" s="58"/>
      <c r="D2181" s="62" t="str">
        <f aca="false">IF(C2181="","",IFERROR(INDEX(T_NOMBRE,MATCH(V2181,T_RUTN,0)),"⚠ RUT no está en Trabajadores"))</f>
        <v/>
      </c>
      <c r="E2181" s="61"/>
      <c r="F2181" s="61"/>
      <c r="G2181" s="61"/>
      <c r="H2181" s="61"/>
      <c r="I2181" s="81"/>
      <c r="J2181" s="81"/>
      <c r="K2181" s="60"/>
      <c r="L2181" s="60"/>
      <c r="M2181" s="60"/>
      <c r="N2181" s="60"/>
      <c r="O2181" s="60"/>
      <c r="P2181" s="60"/>
      <c r="Q2181" s="60"/>
      <c r="R2181" s="58"/>
      <c r="S2181" s="62" t="str">
        <f aca="false">IF(OR(B2181="",V2181=""),"",IFERROR(INDEX(C_TIPO,MATCH(V2181&amp;"-P"&amp;MAX(1,COUNTIFS(C_RUTN,V2181,C_DEF,"Sí",C_INI,"&lt;="&amp;EOMONTH(B2181,0))),C_CLAVE,0))&amp;"","Sin contrato"))</f>
        <v/>
      </c>
      <c r="T2181" s="63" t="str">
        <f aca="false">IF(OR(B2181="",N(O2181)=0),"",N(O2181)+ROUND(MIN(N(N2181),TOPE_UF*UF_MES)*(TASA_EMP+MUTUAL),0)+ROUND(MIN(N(N2181),TOPE_AFC_UF*UF_MES)*IF(S2181="Indefinido",AFC_INDEF,AFC_PF),0))</f>
        <v/>
      </c>
      <c r="U2181" s="62" t="str">
        <f aca="false">IF(C2181="","",IF(LEFT(D2181,1)="⚠","⚠ RUT no registrado en Trabajadores",IF(B2181="","⚠ Falta el mes",IF(OR(ISTEXT(I2181),ISTEXT(J2181)),"⚠ Atrasos u horas extra como texto: escriba hh:mm (ej. 1:30)",IF(AND(ISNUMBER(Q2181),COUNTIFS(M_RUTN,V2181,M_MES,B2181,M_LIQ,"&lt;&gt;")&gt;1),"⚠ Liquidación repetida en el mes",IF(AND(ISNUMBER(O2181),ISNUMBER(P2181),ISNUMBER(Q2181),ABS(O2181-P2181-Q2181)&gt;1),"⚠ Haberes − descuentos no da el líquido","OK"))))))</f>
        <v/>
      </c>
      <c r="V2181" s="62" t="str">
        <f aca="false">IF(C2181="","",IFERROR(VALUE(LEFT(UPPER(SUBSTITUTE(SUBSTITUTE(SUBSTITUTE(TRIM(C2181),".",""),"-","")," ","")),LEN(UPPER(SUBSTITUTE(SUBSTITUTE(SUBSTITUTE(TRIM(C2181),".",""),"-","")," ","")))-1))&amp;RIGHT(UPPER(SUBSTITUTE(SUBSTITUTE(SUBSTITUTE(TRIM(C2181),".",""),"-","")," ","")),1),UPPER(SUBSTITUTE(SUBSTITUTE(SUBSTITUTE(TRIM(C2181),".",""),"-","")," ",""))))</f>
        <v/>
      </c>
    </row>
    <row r="2182" customFormat="false" ht="15" hidden="false" customHeight="false" outlineLevel="0" collapsed="false">
      <c r="B2182" s="80"/>
      <c r="C2182" s="58"/>
      <c r="D2182" s="62" t="str">
        <f aca="false">IF(C2182="","",IFERROR(INDEX(T_NOMBRE,MATCH(V2182,T_RUTN,0)),"⚠ RUT no está en Trabajadores"))</f>
        <v/>
      </c>
      <c r="E2182" s="61"/>
      <c r="F2182" s="61"/>
      <c r="G2182" s="61"/>
      <c r="H2182" s="61"/>
      <c r="I2182" s="81"/>
      <c r="J2182" s="81"/>
      <c r="K2182" s="60"/>
      <c r="L2182" s="60"/>
      <c r="M2182" s="60"/>
      <c r="N2182" s="60"/>
      <c r="O2182" s="60"/>
      <c r="P2182" s="60"/>
      <c r="Q2182" s="60"/>
      <c r="R2182" s="58"/>
      <c r="S2182" s="62" t="str">
        <f aca="false">IF(OR(B2182="",V2182=""),"",IFERROR(INDEX(C_TIPO,MATCH(V2182&amp;"-P"&amp;MAX(1,COUNTIFS(C_RUTN,V2182,C_DEF,"Sí",C_INI,"&lt;="&amp;EOMONTH(B2182,0))),C_CLAVE,0))&amp;"","Sin contrato"))</f>
        <v/>
      </c>
      <c r="T2182" s="63" t="str">
        <f aca="false">IF(OR(B2182="",N(O2182)=0),"",N(O2182)+ROUND(MIN(N(N2182),TOPE_UF*UF_MES)*(TASA_EMP+MUTUAL),0)+ROUND(MIN(N(N2182),TOPE_AFC_UF*UF_MES)*IF(S2182="Indefinido",AFC_INDEF,AFC_PF),0))</f>
        <v/>
      </c>
      <c r="U2182" s="62" t="str">
        <f aca="false">IF(C2182="","",IF(LEFT(D2182,1)="⚠","⚠ RUT no registrado en Trabajadores",IF(B2182="","⚠ Falta el mes",IF(OR(ISTEXT(I2182),ISTEXT(J2182)),"⚠ Atrasos u horas extra como texto: escriba hh:mm (ej. 1:30)",IF(AND(ISNUMBER(Q2182),COUNTIFS(M_RUTN,V2182,M_MES,B2182,M_LIQ,"&lt;&gt;")&gt;1),"⚠ Liquidación repetida en el mes",IF(AND(ISNUMBER(O2182),ISNUMBER(P2182),ISNUMBER(Q2182),ABS(O2182-P2182-Q2182)&gt;1),"⚠ Haberes − descuentos no da el líquido","OK"))))))</f>
        <v/>
      </c>
      <c r="V2182" s="62" t="str">
        <f aca="false">IF(C2182="","",IFERROR(VALUE(LEFT(UPPER(SUBSTITUTE(SUBSTITUTE(SUBSTITUTE(TRIM(C2182),".",""),"-","")," ","")),LEN(UPPER(SUBSTITUTE(SUBSTITUTE(SUBSTITUTE(TRIM(C2182),".",""),"-","")," ","")))-1))&amp;RIGHT(UPPER(SUBSTITUTE(SUBSTITUTE(SUBSTITUTE(TRIM(C2182),".",""),"-","")," ","")),1),UPPER(SUBSTITUTE(SUBSTITUTE(SUBSTITUTE(TRIM(C2182),".",""),"-","")," ",""))))</f>
        <v/>
      </c>
    </row>
    <row r="2183" customFormat="false" ht="15" hidden="false" customHeight="false" outlineLevel="0" collapsed="false">
      <c r="B2183" s="80"/>
      <c r="C2183" s="58"/>
      <c r="D2183" s="62" t="str">
        <f aca="false">IF(C2183="","",IFERROR(INDEX(T_NOMBRE,MATCH(V2183,T_RUTN,0)),"⚠ RUT no está en Trabajadores"))</f>
        <v/>
      </c>
      <c r="E2183" s="61"/>
      <c r="F2183" s="61"/>
      <c r="G2183" s="61"/>
      <c r="H2183" s="61"/>
      <c r="I2183" s="81"/>
      <c r="J2183" s="81"/>
      <c r="K2183" s="60"/>
      <c r="L2183" s="60"/>
      <c r="M2183" s="60"/>
      <c r="N2183" s="60"/>
      <c r="O2183" s="60"/>
      <c r="P2183" s="60"/>
      <c r="Q2183" s="60"/>
      <c r="R2183" s="58"/>
      <c r="S2183" s="62" t="str">
        <f aca="false">IF(OR(B2183="",V2183=""),"",IFERROR(INDEX(C_TIPO,MATCH(V2183&amp;"-P"&amp;MAX(1,COUNTIFS(C_RUTN,V2183,C_DEF,"Sí",C_INI,"&lt;="&amp;EOMONTH(B2183,0))),C_CLAVE,0))&amp;"","Sin contrato"))</f>
        <v/>
      </c>
      <c r="T2183" s="63" t="str">
        <f aca="false">IF(OR(B2183="",N(O2183)=0),"",N(O2183)+ROUND(MIN(N(N2183),TOPE_UF*UF_MES)*(TASA_EMP+MUTUAL),0)+ROUND(MIN(N(N2183),TOPE_AFC_UF*UF_MES)*IF(S2183="Indefinido",AFC_INDEF,AFC_PF),0))</f>
        <v/>
      </c>
      <c r="U2183" s="62" t="str">
        <f aca="false">IF(C2183="","",IF(LEFT(D2183,1)="⚠","⚠ RUT no registrado en Trabajadores",IF(B2183="","⚠ Falta el mes",IF(OR(ISTEXT(I2183),ISTEXT(J2183)),"⚠ Atrasos u horas extra como texto: escriba hh:mm (ej. 1:30)",IF(AND(ISNUMBER(Q2183),COUNTIFS(M_RUTN,V2183,M_MES,B2183,M_LIQ,"&lt;&gt;")&gt;1),"⚠ Liquidación repetida en el mes",IF(AND(ISNUMBER(O2183),ISNUMBER(P2183),ISNUMBER(Q2183),ABS(O2183-P2183-Q2183)&gt;1),"⚠ Haberes − descuentos no da el líquido","OK"))))))</f>
        <v/>
      </c>
      <c r="V2183" s="62" t="str">
        <f aca="false">IF(C2183="","",IFERROR(VALUE(LEFT(UPPER(SUBSTITUTE(SUBSTITUTE(SUBSTITUTE(TRIM(C2183),".",""),"-","")," ","")),LEN(UPPER(SUBSTITUTE(SUBSTITUTE(SUBSTITUTE(TRIM(C2183),".",""),"-","")," ","")))-1))&amp;RIGHT(UPPER(SUBSTITUTE(SUBSTITUTE(SUBSTITUTE(TRIM(C2183),".",""),"-","")," ","")),1),UPPER(SUBSTITUTE(SUBSTITUTE(SUBSTITUTE(TRIM(C2183),".",""),"-","")," ",""))))</f>
        <v/>
      </c>
    </row>
    <row r="2184" customFormat="false" ht="15" hidden="false" customHeight="false" outlineLevel="0" collapsed="false">
      <c r="B2184" s="80"/>
      <c r="C2184" s="58"/>
      <c r="D2184" s="62" t="str">
        <f aca="false">IF(C2184="","",IFERROR(INDEX(T_NOMBRE,MATCH(V2184,T_RUTN,0)),"⚠ RUT no está en Trabajadores"))</f>
        <v/>
      </c>
      <c r="E2184" s="61"/>
      <c r="F2184" s="61"/>
      <c r="G2184" s="61"/>
      <c r="H2184" s="61"/>
      <c r="I2184" s="81"/>
      <c r="J2184" s="81"/>
      <c r="K2184" s="60"/>
      <c r="L2184" s="60"/>
      <c r="M2184" s="60"/>
      <c r="N2184" s="60"/>
      <c r="O2184" s="60"/>
      <c r="P2184" s="60"/>
      <c r="Q2184" s="60"/>
      <c r="R2184" s="58"/>
      <c r="S2184" s="62" t="str">
        <f aca="false">IF(OR(B2184="",V2184=""),"",IFERROR(INDEX(C_TIPO,MATCH(V2184&amp;"-P"&amp;MAX(1,COUNTIFS(C_RUTN,V2184,C_DEF,"Sí",C_INI,"&lt;="&amp;EOMONTH(B2184,0))),C_CLAVE,0))&amp;"","Sin contrato"))</f>
        <v/>
      </c>
      <c r="T2184" s="63" t="str">
        <f aca="false">IF(OR(B2184="",N(O2184)=0),"",N(O2184)+ROUND(MIN(N(N2184),TOPE_UF*UF_MES)*(TASA_EMP+MUTUAL),0)+ROUND(MIN(N(N2184),TOPE_AFC_UF*UF_MES)*IF(S2184="Indefinido",AFC_INDEF,AFC_PF),0))</f>
        <v/>
      </c>
      <c r="U2184" s="62" t="str">
        <f aca="false">IF(C2184="","",IF(LEFT(D2184,1)="⚠","⚠ RUT no registrado en Trabajadores",IF(B2184="","⚠ Falta el mes",IF(OR(ISTEXT(I2184),ISTEXT(J2184)),"⚠ Atrasos u horas extra como texto: escriba hh:mm (ej. 1:30)",IF(AND(ISNUMBER(Q2184),COUNTIFS(M_RUTN,V2184,M_MES,B2184,M_LIQ,"&lt;&gt;")&gt;1),"⚠ Liquidación repetida en el mes",IF(AND(ISNUMBER(O2184),ISNUMBER(P2184),ISNUMBER(Q2184),ABS(O2184-P2184-Q2184)&gt;1),"⚠ Haberes − descuentos no da el líquido","OK"))))))</f>
        <v/>
      </c>
      <c r="V2184" s="62" t="str">
        <f aca="false">IF(C2184="","",IFERROR(VALUE(LEFT(UPPER(SUBSTITUTE(SUBSTITUTE(SUBSTITUTE(TRIM(C2184),".",""),"-","")," ","")),LEN(UPPER(SUBSTITUTE(SUBSTITUTE(SUBSTITUTE(TRIM(C2184),".",""),"-","")," ","")))-1))&amp;RIGHT(UPPER(SUBSTITUTE(SUBSTITUTE(SUBSTITUTE(TRIM(C2184),".",""),"-","")," ","")),1),UPPER(SUBSTITUTE(SUBSTITUTE(SUBSTITUTE(TRIM(C2184),".",""),"-","")," ",""))))</f>
        <v/>
      </c>
    </row>
    <row r="2185" customFormat="false" ht="15" hidden="false" customHeight="false" outlineLevel="0" collapsed="false">
      <c r="B2185" s="80"/>
      <c r="C2185" s="58"/>
      <c r="D2185" s="62" t="str">
        <f aca="false">IF(C2185="","",IFERROR(INDEX(T_NOMBRE,MATCH(V2185,T_RUTN,0)),"⚠ RUT no está en Trabajadores"))</f>
        <v/>
      </c>
      <c r="E2185" s="61"/>
      <c r="F2185" s="61"/>
      <c r="G2185" s="61"/>
      <c r="H2185" s="61"/>
      <c r="I2185" s="81"/>
      <c r="J2185" s="81"/>
      <c r="K2185" s="60"/>
      <c r="L2185" s="60"/>
      <c r="M2185" s="60"/>
      <c r="N2185" s="60"/>
      <c r="O2185" s="60"/>
      <c r="P2185" s="60"/>
      <c r="Q2185" s="60"/>
      <c r="R2185" s="58"/>
      <c r="S2185" s="62" t="str">
        <f aca="false">IF(OR(B2185="",V2185=""),"",IFERROR(INDEX(C_TIPO,MATCH(V2185&amp;"-P"&amp;MAX(1,COUNTIFS(C_RUTN,V2185,C_DEF,"Sí",C_INI,"&lt;="&amp;EOMONTH(B2185,0))),C_CLAVE,0))&amp;"","Sin contrato"))</f>
        <v/>
      </c>
      <c r="T2185" s="63" t="str">
        <f aca="false">IF(OR(B2185="",N(O2185)=0),"",N(O2185)+ROUND(MIN(N(N2185),TOPE_UF*UF_MES)*(TASA_EMP+MUTUAL),0)+ROUND(MIN(N(N2185),TOPE_AFC_UF*UF_MES)*IF(S2185="Indefinido",AFC_INDEF,AFC_PF),0))</f>
        <v/>
      </c>
      <c r="U2185" s="62" t="str">
        <f aca="false">IF(C2185="","",IF(LEFT(D2185,1)="⚠","⚠ RUT no registrado en Trabajadores",IF(B2185="","⚠ Falta el mes",IF(OR(ISTEXT(I2185),ISTEXT(J2185)),"⚠ Atrasos u horas extra como texto: escriba hh:mm (ej. 1:30)",IF(AND(ISNUMBER(Q2185),COUNTIFS(M_RUTN,V2185,M_MES,B2185,M_LIQ,"&lt;&gt;")&gt;1),"⚠ Liquidación repetida en el mes",IF(AND(ISNUMBER(O2185),ISNUMBER(P2185),ISNUMBER(Q2185),ABS(O2185-P2185-Q2185)&gt;1),"⚠ Haberes − descuentos no da el líquido","OK"))))))</f>
        <v/>
      </c>
      <c r="V2185" s="62" t="str">
        <f aca="false">IF(C2185="","",IFERROR(VALUE(LEFT(UPPER(SUBSTITUTE(SUBSTITUTE(SUBSTITUTE(TRIM(C2185),".",""),"-","")," ","")),LEN(UPPER(SUBSTITUTE(SUBSTITUTE(SUBSTITUTE(TRIM(C2185),".",""),"-","")," ","")))-1))&amp;RIGHT(UPPER(SUBSTITUTE(SUBSTITUTE(SUBSTITUTE(TRIM(C2185),".",""),"-","")," ","")),1),UPPER(SUBSTITUTE(SUBSTITUTE(SUBSTITUTE(TRIM(C2185),".",""),"-","")," ",""))))</f>
        <v/>
      </c>
    </row>
    <row r="2186" customFormat="false" ht="15" hidden="false" customHeight="false" outlineLevel="0" collapsed="false">
      <c r="B2186" s="80"/>
      <c r="C2186" s="58"/>
      <c r="D2186" s="62" t="str">
        <f aca="false">IF(C2186="","",IFERROR(INDEX(T_NOMBRE,MATCH(V2186,T_RUTN,0)),"⚠ RUT no está en Trabajadores"))</f>
        <v/>
      </c>
      <c r="E2186" s="61"/>
      <c r="F2186" s="61"/>
      <c r="G2186" s="61"/>
      <c r="H2186" s="61"/>
      <c r="I2186" s="81"/>
      <c r="J2186" s="81"/>
      <c r="K2186" s="60"/>
      <c r="L2186" s="60"/>
      <c r="M2186" s="60"/>
      <c r="N2186" s="60"/>
      <c r="O2186" s="60"/>
      <c r="P2186" s="60"/>
      <c r="Q2186" s="60"/>
      <c r="R2186" s="58"/>
      <c r="S2186" s="62" t="str">
        <f aca="false">IF(OR(B2186="",V2186=""),"",IFERROR(INDEX(C_TIPO,MATCH(V2186&amp;"-P"&amp;MAX(1,COUNTIFS(C_RUTN,V2186,C_DEF,"Sí",C_INI,"&lt;="&amp;EOMONTH(B2186,0))),C_CLAVE,0))&amp;"","Sin contrato"))</f>
        <v/>
      </c>
      <c r="T2186" s="63" t="str">
        <f aca="false">IF(OR(B2186="",N(O2186)=0),"",N(O2186)+ROUND(MIN(N(N2186),TOPE_UF*UF_MES)*(TASA_EMP+MUTUAL),0)+ROUND(MIN(N(N2186),TOPE_AFC_UF*UF_MES)*IF(S2186="Indefinido",AFC_INDEF,AFC_PF),0))</f>
        <v/>
      </c>
      <c r="U2186" s="62" t="str">
        <f aca="false">IF(C2186="","",IF(LEFT(D2186,1)="⚠","⚠ RUT no registrado en Trabajadores",IF(B2186="","⚠ Falta el mes",IF(OR(ISTEXT(I2186),ISTEXT(J2186)),"⚠ Atrasos u horas extra como texto: escriba hh:mm (ej. 1:30)",IF(AND(ISNUMBER(Q2186),COUNTIFS(M_RUTN,V2186,M_MES,B2186,M_LIQ,"&lt;&gt;")&gt;1),"⚠ Liquidación repetida en el mes",IF(AND(ISNUMBER(O2186),ISNUMBER(P2186),ISNUMBER(Q2186),ABS(O2186-P2186-Q2186)&gt;1),"⚠ Haberes − descuentos no da el líquido","OK"))))))</f>
        <v/>
      </c>
      <c r="V2186" s="62" t="str">
        <f aca="false">IF(C2186="","",IFERROR(VALUE(LEFT(UPPER(SUBSTITUTE(SUBSTITUTE(SUBSTITUTE(TRIM(C2186),".",""),"-","")," ","")),LEN(UPPER(SUBSTITUTE(SUBSTITUTE(SUBSTITUTE(TRIM(C2186),".",""),"-","")," ","")))-1))&amp;RIGHT(UPPER(SUBSTITUTE(SUBSTITUTE(SUBSTITUTE(TRIM(C2186),".",""),"-","")," ","")),1),UPPER(SUBSTITUTE(SUBSTITUTE(SUBSTITUTE(TRIM(C2186),".",""),"-","")," ",""))))</f>
        <v/>
      </c>
    </row>
    <row r="2187" customFormat="false" ht="15" hidden="false" customHeight="false" outlineLevel="0" collapsed="false">
      <c r="B2187" s="80"/>
      <c r="C2187" s="58"/>
      <c r="D2187" s="62" t="str">
        <f aca="false">IF(C2187="","",IFERROR(INDEX(T_NOMBRE,MATCH(V2187,T_RUTN,0)),"⚠ RUT no está en Trabajadores"))</f>
        <v/>
      </c>
      <c r="E2187" s="61"/>
      <c r="F2187" s="61"/>
      <c r="G2187" s="61"/>
      <c r="H2187" s="61"/>
      <c r="I2187" s="81"/>
      <c r="J2187" s="81"/>
      <c r="K2187" s="60"/>
      <c r="L2187" s="60"/>
      <c r="M2187" s="60"/>
      <c r="N2187" s="60"/>
      <c r="O2187" s="60"/>
      <c r="P2187" s="60"/>
      <c r="Q2187" s="60"/>
      <c r="R2187" s="58"/>
      <c r="S2187" s="62" t="str">
        <f aca="false">IF(OR(B2187="",V2187=""),"",IFERROR(INDEX(C_TIPO,MATCH(V2187&amp;"-P"&amp;MAX(1,COUNTIFS(C_RUTN,V2187,C_DEF,"Sí",C_INI,"&lt;="&amp;EOMONTH(B2187,0))),C_CLAVE,0))&amp;"","Sin contrato"))</f>
        <v/>
      </c>
      <c r="T2187" s="63" t="str">
        <f aca="false">IF(OR(B2187="",N(O2187)=0),"",N(O2187)+ROUND(MIN(N(N2187),TOPE_UF*UF_MES)*(TASA_EMP+MUTUAL),0)+ROUND(MIN(N(N2187),TOPE_AFC_UF*UF_MES)*IF(S2187="Indefinido",AFC_INDEF,AFC_PF),0))</f>
        <v/>
      </c>
      <c r="U2187" s="62" t="str">
        <f aca="false">IF(C2187="","",IF(LEFT(D2187,1)="⚠","⚠ RUT no registrado en Trabajadores",IF(B2187="","⚠ Falta el mes",IF(OR(ISTEXT(I2187),ISTEXT(J2187)),"⚠ Atrasos u horas extra como texto: escriba hh:mm (ej. 1:30)",IF(AND(ISNUMBER(Q2187),COUNTIFS(M_RUTN,V2187,M_MES,B2187,M_LIQ,"&lt;&gt;")&gt;1),"⚠ Liquidación repetida en el mes",IF(AND(ISNUMBER(O2187),ISNUMBER(P2187),ISNUMBER(Q2187),ABS(O2187-P2187-Q2187)&gt;1),"⚠ Haberes − descuentos no da el líquido","OK"))))))</f>
        <v/>
      </c>
      <c r="V2187" s="62" t="str">
        <f aca="false">IF(C2187="","",IFERROR(VALUE(LEFT(UPPER(SUBSTITUTE(SUBSTITUTE(SUBSTITUTE(TRIM(C2187),".",""),"-","")," ","")),LEN(UPPER(SUBSTITUTE(SUBSTITUTE(SUBSTITUTE(TRIM(C2187),".",""),"-","")," ","")))-1))&amp;RIGHT(UPPER(SUBSTITUTE(SUBSTITUTE(SUBSTITUTE(TRIM(C2187),".",""),"-","")," ","")),1),UPPER(SUBSTITUTE(SUBSTITUTE(SUBSTITUTE(TRIM(C2187),".",""),"-","")," ",""))))</f>
        <v/>
      </c>
    </row>
    <row r="2188" customFormat="false" ht="15" hidden="false" customHeight="false" outlineLevel="0" collapsed="false">
      <c r="B2188" s="80"/>
      <c r="C2188" s="58"/>
      <c r="D2188" s="62" t="str">
        <f aca="false">IF(C2188="","",IFERROR(INDEX(T_NOMBRE,MATCH(V2188,T_RUTN,0)),"⚠ RUT no está en Trabajadores"))</f>
        <v/>
      </c>
      <c r="E2188" s="61"/>
      <c r="F2188" s="61"/>
      <c r="G2188" s="61"/>
      <c r="H2188" s="61"/>
      <c r="I2188" s="81"/>
      <c r="J2188" s="81"/>
      <c r="K2188" s="60"/>
      <c r="L2188" s="60"/>
      <c r="M2188" s="60"/>
      <c r="N2188" s="60"/>
      <c r="O2188" s="60"/>
      <c r="P2188" s="60"/>
      <c r="Q2188" s="60"/>
      <c r="R2188" s="58"/>
      <c r="S2188" s="62" t="str">
        <f aca="false">IF(OR(B2188="",V2188=""),"",IFERROR(INDEX(C_TIPO,MATCH(V2188&amp;"-P"&amp;MAX(1,COUNTIFS(C_RUTN,V2188,C_DEF,"Sí",C_INI,"&lt;="&amp;EOMONTH(B2188,0))),C_CLAVE,0))&amp;"","Sin contrato"))</f>
        <v/>
      </c>
      <c r="T2188" s="63" t="str">
        <f aca="false">IF(OR(B2188="",N(O2188)=0),"",N(O2188)+ROUND(MIN(N(N2188),TOPE_UF*UF_MES)*(TASA_EMP+MUTUAL),0)+ROUND(MIN(N(N2188),TOPE_AFC_UF*UF_MES)*IF(S2188="Indefinido",AFC_INDEF,AFC_PF),0))</f>
        <v/>
      </c>
      <c r="U2188" s="62" t="str">
        <f aca="false">IF(C2188="","",IF(LEFT(D2188,1)="⚠","⚠ RUT no registrado en Trabajadores",IF(B2188="","⚠ Falta el mes",IF(OR(ISTEXT(I2188),ISTEXT(J2188)),"⚠ Atrasos u horas extra como texto: escriba hh:mm (ej. 1:30)",IF(AND(ISNUMBER(Q2188),COUNTIFS(M_RUTN,V2188,M_MES,B2188,M_LIQ,"&lt;&gt;")&gt;1),"⚠ Liquidación repetida en el mes",IF(AND(ISNUMBER(O2188),ISNUMBER(P2188),ISNUMBER(Q2188),ABS(O2188-P2188-Q2188)&gt;1),"⚠ Haberes − descuentos no da el líquido","OK"))))))</f>
        <v/>
      </c>
      <c r="V2188" s="62" t="str">
        <f aca="false">IF(C2188="","",IFERROR(VALUE(LEFT(UPPER(SUBSTITUTE(SUBSTITUTE(SUBSTITUTE(TRIM(C2188),".",""),"-","")," ","")),LEN(UPPER(SUBSTITUTE(SUBSTITUTE(SUBSTITUTE(TRIM(C2188),".",""),"-","")," ","")))-1))&amp;RIGHT(UPPER(SUBSTITUTE(SUBSTITUTE(SUBSTITUTE(TRIM(C2188),".",""),"-","")," ","")),1),UPPER(SUBSTITUTE(SUBSTITUTE(SUBSTITUTE(TRIM(C2188),".",""),"-","")," ",""))))</f>
        <v/>
      </c>
    </row>
    <row r="2189" customFormat="false" ht="15" hidden="false" customHeight="false" outlineLevel="0" collapsed="false">
      <c r="B2189" s="80"/>
      <c r="C2189" s="58"/>
      <c r="D2189" s="62" t="str">
        <f aca="false">IF(C2189="","",IFERROR(INDEX(T_NOMBRE,MATCH(V2189,T_RUTN,0)),"⚠ RUT no está en Trabajadores"))</f>
        <v/>
      </c>
      <c r="E2189" s="61"/>
      <c r="F2189" s="61"/>
      <c r="G2189" s="61"/>
      <c r="H2189" s="61"/>
      <c r="I2189" s="81"/>
      <c r="J2189" s="81"/>
      <c r="K2189" s="60"/>
      <c r="L2189" s="60"/>
      <c r="M2189" s="60"/>
      <c r="N2189" s="60"/>
      <c r="O2189" s="60"/>
      <c r="P2189" s="60"/>
      <c r="Q2189" s="60"/>
      <c r="R2189" s="58"/>
      <c r="S2189" s="62" t="str">
        <f aca="false">IF(OR(B2189="",V2189=""),"",IFERROR(INDEX(C_TIPO,MATCH(V2189&amp;"-P"&amp;MAX(1,COUNTIFS(C_RUTN,V2189,C_DEF,"Sí",C_INI,"&lt;="&amp;EOMONTH(B2189,0))),C_CLAVE,0))&amp;"","Sin contrato"))</f>
        <v/>
      </c>
      <c r="T2189" s="63" t="str">
        <f aca="false">IF(OR(B2189="",N(O2189)=0),"",N(O2189)+ROUND(MIN(N(N2189),TOPE_UF*UF_MES)*(TASA_EMP+MUTUAL),0)+ROUND(MIN(N(N2189),TOPE_AFC_UF*UF_MES)*IF(S2189="Indefinido",AFC_INDEF,AFC_PF),0))</f>
        <v/>
      </c>
      <c r="U2189" s="62" t="str">
        <f aca="false">IF(C2189="","",IF(LEFT(D2189,1)="⚠","⚠ RUT no registrado en Trabajadores",IF(B2189="","⚠ Falta el mes",IF(OR(ISTEXT(I2189),ISTEXT(J2189)),"⚠ Atrasos u horas extra como texto: escriba hh:mm (ej. 1:30)",IF(AND(ISNUMBER(Q2189),COUNTIFS(M_RUTN,V2189,M_MES,B2189,M_LIQ,"&lt;&gt;")&gt;1),"⚠ Liquidación repetida en el mes",IF(AND(ISNUMBER(O2189),ISNUMBER(P2189),ISNUMBER(Q2189),ABS(O2189-P2189-Q2189)&gt;1),"⚠ Haberes − descuentos no da el líquido","OK"))))))</f>
        <v/>
      </c>
      <c r="V2189" s="62" t="str">
        <f aca="false">IF(C2189="","",IFERROR(VALUE(LEFT(UPPER(SUBSTITUTE(SUBSTITUTE(SUBSTITUTE(TRIM(C2189),".",""),"-","")," ","")),LEN(UPPER(SUBSTITUTE(SUBSTITUTE(SUBSTITUTE(TRIM(C2189),".",""),"-","")," ","")))-1))&amp;RIGHT(UPPER(SUBSTITUTE(SUBSTITUTE(SUBSTITUTE(TRIM(C2189),".",""),"-","")," ","")),1),UPPER(SUBSTITUTE(SUBSTITUTE(SUBSTITUTE(TRIM(C2189),".",""),"-","")," ",""))))</f>
        <v/>
      </c>
    </row>
    <row r="2190" customFormat="false" ht="15" hidden="false" customHeight="false" outlineLevel="0" collapsed="false">
      <c r="B2190" s="80"/>
      <c r="C2190" s="58"/>
      <c r="D2190" s="62" t="str">
        <f aca="false">IF(C2190="","",IFERROR(INDEX(T_NOMBRE,MATCH(V2190,T_RUTN,0)),"⚠ RUT no está en Trabajadores"))</f>
        <v/>
      </c>
      <c r="E2190" s="61"/>
      <c r="F2190" s="61"/>
      <c r="G2190" s="61"/>
      <c r="H2190" s="61"/>
      <c r="I2190" s="81"/>
      <c r="J2190" s="81"/>
      <c r="K2190" s="60"/>
      <c r="L2190" s="60"/>
      <c r="M2190" s="60"/>
      <c r="N2190" s="60"/>
      <c r="O2190" s="60"/>
      <c r="P2190" s="60"/>
      <c r="Q2190" s="60"/>
      <c r="R2190" s="58"/>
      <c r="S2190" s="62" t="str">
        <f aca="false">IF(OR(B2190="",V2190=""),"",IFERROR(INDEX(C_TIPO,MATCH(V2190&amp;"-P"&amp;MAX(1,COUNTIFS(C_RUTN,V2190,C_DEF,"Sí",C_INI,"&lt;="&amp;EOMONTH(B2190,0))),C_CLAVE,0))&amp;"","Sin contrato"))</f>
        <v/>
      </c>
      <c r="T2190" s="63" t="str">
        <f aca="false">IF(OR(B2190="",N(O2190)=0),"",N(O2190)+ROUND(MIN(N(N2190),TOPE_UF*UF_MES)*(TASA_EMP+MUTUAL),0)+ROUND(MIN(N(N2190),TOPE_AFC_UF*UF_MES)*IF(S2190="Indefinido",AFC_INDEF,AFC_PF),0))</f>
        <v/>
      </c>
      <c r="U2190" s="62" t="str">
        <f aca="false">IF(C2190="","",IF(LEFT(D2190,1)="⚠","⚠ RUT no registrado en Trabajadores",IF(B2190="","⚠ Falta el mes",IF(OR(ISTEXT(I2190),ISTEXT(J2190)),"⚠ Atrasos u horas extra como texto: escriba hh:mm (ej. 1:30)",IF(AND(ISNUMBER(Q2190),COUNTIFS(M_RUTN,V2190,M_MES,B2190,M_LIQ,"&lt;&gt;")&gt;1),"⚠ Liquidación repetida en el mes",IF(AND(ISNUMBER(O2190),ISNUMBER(P2190),ISNUMBER(Q2190),ABS(O2190-P2190-Q2190)&gt;1),"⚠ Haberes − descuentos no da el líquido","OK"))))))</f>
        <v/>
      </c>
      <c r="V2190" s="62" t="str">
        <f aca="false">IF(C2190="","",IFERROR(VALUE(LEFT(UPPER(SUBSTITUTE(SUBSTITUTE(SUBSTITUTE(TRIM(C2190),".",""),"-","")," ","")),LEN(UPPER(SUBSTITUTE(SUBSTITUTE(SUBSTITUTE(TRIM(C2190),".",""),"-","")," ","")))-1))&amp;RIGHT(UPPER(SUBSTITUTE(SUBSTITUTE(SUBSTITUTE(TRIM(C2190),".",""),"-","")," ","")),1),UPPER(SUBSTITUTE(SUBSTITUTE(SUBSTITUTE(TRIM(C2190),".",""),"-","")," ",""))))</f>
        <v/>
      </c>
    </row>
    <row r="2191" customFormat="false" ht="15" hidden="false" customHeight="false" outlineLevel="0" collapsed="false">
      <c r="B2191" s="80"/>
      <c r="C2191" s="58"/>
      <c r="D2191" s="62" t="str">
        <f aca="false">IF(C2191="","",IFERROR(INDEX(T_NOMBRE,MATCH(V2191,T_RUTN,0)),"⚠ RUT no está en Trabajadores"))</f>
        <v/>
      </c>
      <c r="E2191" s="61"/>
      <c r="F2191" s="61"/>
      <c r="G2191" s="61"/>
      <c r="H2191" s="61"/>
      <c r="I2191" s="81"/>
      <c r="J2191" s="81"/>
      <c r="K2191" s="60"/>
      <c r="L2191" s="60"/>
      <c r="M2191" s="60"/>
      <c r="N2191" s="60"/>
      <c r="O2191" s="60"/>
      <c r="P2191" s="60"/>
      <c r="Q2191" s="60"/>
      <c r="R2191" s="58"/>
      <c r="S2191" s="62" t="str">
        <f aca="false">IF(OR(B2191="",V2191=""),"",IFERROR(INDEX(C_TIPO,MATCH(V2191&amp;"-P"&amp;MAX(1,COUNTIFS(C_RUTN,V2191,C_DEF,"Sí",C_INI,"&lt;="&amp;EOMONTH(B2191,0))),C_CLAVE,0))&amp;"","Sin contrato"))</f>
        <v/>
      </c>
      <c r="T2191" s="63" t="str">
        <f aca="false">IF(OR(B2191="",N(O2191)=0),"",N(O2191)+ROUND(MIN(N(N2191),TOPE_UF*UF_MES)*(TASA_EMP+MUTUAL),0)+ROUND(MIN(N(N2191),TOPE_AFC_UF*UF_MES)*IF(S2191="Indefinido",AFC_INDEF,AFC_PF),0))</f>
        <v/>
      </c>
      <c r="U2191" s="62" t="str">
        <f aca="false">IF(C2191="","",IF(LEFT(D2191,1)="⚠","⚠ RUT no registrado en Trabajadores",IF(B2191="","⚠ Falta el mes",IF(OR(ISTEXT(I2191),ISTEXT(J2191)),"⚠ Atrasos u horas extra como texto: escriba hh:mm (ej. 1:30)",IF(AND(ISNUMBER(Q2191),COUNTIFS(M_RUTN,V2191,M_MES,B2191,M_LIQ,"&lt;&gt;")&gt;1),"⚠ Liquidación repetida en el mes",IF(AND(ISNUMBER(O2191),ISNUMBER(P2191),ISNUMBER(Q2191),ABS(O2191-P2191-Q2191)&gt;1),"⚠ Haberes − descuentos no da el líquido","OK"))))))</f>
        <v/>
      </c>
      <c r="V2191" s="62" t="str">
        <f aca="false">IF(C2191="","",IFERROR(VALUE(LEFT(UPPER(SUBSTITUTE(SUBSTITUTE(SUBSTITUTE(TRIM(C2191),".",""),"-","")," ","")),LEN(UPPER(SUBSTITUTE(SUBSTITUTE(SUBSTITUTE(TRIM(C2191),".",""),"-","")," ","")))-1))&amp;RIGHT(UPPER(SUBSTITUTE(SUBSTITUTE(SUBSTITUTE(TRIM(C2191),".",""),"-","")," ","")),1),UPPER(SUBSTITUTE(SUBSTITUTE(SUBSTITUTE(TRIM(C2191),".",""),"-","")," ",""))))</f>
        <v/>
      </c>
    </row>
    <row r="2192" customFormat="false" ht="15" hidden="false" customHeight="false" outlineLevel="0" collapsed="false">
      <c r="B2192" s="80"/>
      <c r="C2192" s="58"/>
      <c r="D2192" s="62" t="str">
        <f aca="false">IF(C2192="","",IFERROR(INDEX(T_NOMBRE,MATCH(V2192,T_RUTN,0)),"⚠ RUT no está en Trabajadores"))</f>
        <v/>
      </c>
      <c r="E2192" s="61"/>
      <c r="F2192" s="61"/>
      <c r="G2192" s="61"/>
      <c r="H2192" s="61"/>
      <c r="I2192" s="81"/>
      <c r="J2192" s="81"/>
      <c r="K2192" s="60"/>
      <c r="L2192" s="60"/>
      <c r="M2192" s="60"/>
      <c r="N2192" s="60"/>
      <c r="O2192" s="60"/>
      <c r="P2192" s="60"/>
      <c r="Q2192" s="60"/>
      <c r="R2192" s="58"/>
      <c r="S2192" s="62" t="str">
        <f aca="false">IF(OR(B2192="",V2192=""),"",IFERROR(INDEX(C_TIPO,MATCH(V2192&amp;"-P"&amp;MAX(1,COUNTIFS(C_RUTN,V2192,C_DEF,"Sí",C_INI,"&lt;="&amp;EOMONTH(B2192,0))),C_CLAVE,0))&amp;"","Sin contrato"))</f>
        <v/>
      </c>
      <c r="T2192" s="63" t="str">
        <f aca="false">IF(OR(B2192="",N(O2192)=0),"",N(O2192)+ROUND(MIN(N(N2192),TOPE_UF*UF_MES)*(TASA_EMP+MUTUAL),0)+ROUND(MIN(N(N2192),TOPE_AFC_UF*UF_MES)*IF(S2192="Indefinido",AFC_INDEF,AFC_PF),0))</f>
        <v/>
      </c>
      <c r="U2192" s="62" t="str">
        <f aca="false">IF(C2192="","",IF(LEFT(D2192,1)="⚠","⚠ RUT no registrado en Trabajadores",IF(B2192="","⚠ Falta el mes",IF(OR(ISTEXT(I2192),ISTEXT(J2192)),"⚠ Atrasos u horas extra como texto: escriba hh:mm (ej. 1:30)",IF(AND(ISNUMBER(Q2192),COUNTIFS(M_RUTN,V2192,M_MES,B2192,M_LIQ,"&lt;&gt;")&gt;1),"⚠ Liquidación repetida en el mes",IF(AND(ISNUMBER(O2192),ISNUMBER(P2192),ISNUMBER(Q2192),ABS(O2192-P2192-Q2192)&gt;1),"⚠ Haberes − descuentos no da el líquido","OK"))))))</f>
        <v/>
      </c>
      <c r="V2192" s="62" t="str">
        <f aca="false">IF(C2192="","",IFERROR(VALUE(LEFT(UPPER(SUBSTITUTE(SUBSTITUTE(SUBSTITUTE(TRIM(C2192),".",""),"-","")," ","")),LEN(UPPER(SUBSTITUTE(SUBSTITUTE(SUBSTITUTE(TRIM(C2192),".",""),"-","")," ","")))-1))&amp;RIGHT(UPPER(SUBSTITUTE(SUBSTITUTE(SUBSTITUTE(TRIM(C2192),".",""),"-","")," ","")),1),UPPER(SUBSTITUTE(SUBSTITUTE(SUBSTITUTE(TRIM(C2192),".",""),"-","")," ",""))))</f>
        <v/>
      </c>
    </row>
    <row r="2193" customFormat="false" ht="15" hidden="false" customHeight="false" outlineLevel="0" collapsed="false">
      <c r="B2193" s="80"/>
      <c r="C2193" s="58"/>
      <c r="D2193" s="62" t="str">
        <f aca="false">IF(C2193="","",IFERROR(INDEX(T_NOMBRE,MATCH(V2193,T_RUTN,0)),"⚠ RUT no está en Trabajadores"))</f>
        <v/>
      </c>
      <c r="E2193" s="61"/>
      <c r="F2193" s="61"/>
      <c r="G2193" s="61"/>
      <c r="H2193" s="61"/>
      <c r="I2193" s="81"/>
      <c r="J2193" s="81"/>
      <c r="K2193" s="60"/>
      <c r="L2193" s="60"/>
      <c r="M2193" s="60"/>
      <c r="N2193" s="60"/>
      <c r="O2193" s="60"/>
      <c r="P2193" s="60"/>
      <c r="Q2193" s="60"/>
      <c r="R2193" s="58"/>
      <c r="S2193" s="62" t="str">
        <f aca="false">IF(OR(B2193="",V2193=""),"",IFERROR(INDEX(C_TIPO,MATCH(V2193&amp;"-P"&amp;MAX(1,COUNTIFS(C_RUTN,V2193,C_DEF,"Sí",C_INI,"&lt;="&amp;EOMONTH(B2193,0))),C_CLAVE,0))&amp;"","Sin contrato"))</f>
        <v/>
      </c>
      <c r="T2193" s="63" t="str">
        <f aca="false">IF(OR(B2193="",N(O2193)=0),"",N(O2193)+ROUND(MIN(N(N2193),TOPE_UF*UF_MES)*(TASA_EMP+MUTUAL),0)+ROUND(MIN(N(N2193),TOPE_AFC_UF*UF_MES)*IF(S2193="Indefinido",AFC_INDEF,AFC_PF),0))</f>
        <v/>
      </c>
      <c r="U2193" s="62" t="str">
        <f aca="false">IF(C2193="","",IF(LEFT(D2193,1)="⚠","⚠ RUT no registrado en Trabajadores",IF(B2193="","⚠ Falta el mes",IF(OR(ISTEXT(I2193),ISTEXT(J2193)),"⚠ Atrasos u horas extra como texto: escriba hh:mm (ej. 1:30)",IF(AND(ISNUMBER(Q2193),COUNTIFS(M_RUTN,V2193,M_MES,B2193,M_LIQ,"&lt;&gt;")&gt;1),"⚠ Liquidación repetida en el mes",IF(AND(ISNUMBER(O2193),ISNUMBER(P2193),ISNUMBER(Q2193),ABS(O2193-P2193-Q2193)&gt;1),"⚠ Haberes − descuentos no da el líquido","OK"))))))</f>
        <v/>
      </c>
      <c r="V2193" s="62" t="str">
        <f aca="false">IF(C2193="","",IFERROR(VALUE(LEFT(UPPER(SUBSTITUTE(SUBSTITUTE(SUBSTITUTE(TRIM(C2193),".",""),"-","")," ","")),LEN(UPPER(SUBSTITUTE(SUBSTITUTE(SUBSTITUTE(TRIM(C2193),".",""),"-","")," ","")))-1))&amp;RIGHT(UPPER(SUBSTITUTE(SUBSTITUTE(SUBSTITUTE(TRIM(C2193),".",""),"-","")," ","")),1),UPPER(SUBSTITUTE(SUBSTITUTE(SUBSTITUTE(TRIM(C2193),".",""),"-","")," ",""))))</f>
        <v/>
      </c>
    </row>
    <row r="2194" customFormat="false" ht="15" hidden="false" customHeight="false" outlineLevel="0" collapsed="false">
      <c r="B2194" s="80"/>
      <c r="C2194" s="58"/>
      <c r="D2194" s="62" t="str">
        <f aca="false">IF(C2194="","",IFERROR(INDEX(T_NOMBRE,MATCH(V2194,T_RUTN,0)),"⚠ RUT no está en Trabajadores"))</f>
        <v/>
      </c>
      <c r="E2194" s="61"/>
      <c r="F2194" s="61"/>
      <c r="G2194" s="61"/>
      <c r="H2194" s="61"/>
      <c r="I2194" s="81"/>
      <c r="J2194" s="81"/>
      <c r="K2194" s="60"/>
      <c r="L2194" s="60"/>
      <c r="M2194" s="60"/>
      <c r="N2194" s="60"/>
      <c r="O2194" s="60"/>
      <c r="P2194" s="60"/>
      <c r="Q2194" s="60"/>
      <c r="R2194" s="58"/>
      <c r="S2194" s="62" t="str">
        <f aca="false">IF(OR(B2194="",V2194=""),"",IFERROR(INDEX(C_TIPO,MATCH(V2194&amp;"-P"&amp;MAX(1,COUNTIFS(C_RUTN,V2194,C_DEF,"Sí",C_INI,"&lt;="&amp;EOMONTH(B2194,0))),C_CLAVE,0))&amp;"","Sin contrato"))</f>
        <v/>
      </c>
      <c r="T2194" s="63" t="str">
        <f aca="false">IF(OR(B2194="",N(O2194)=0),"",N(O2194)+ROUND(MIN(N(N2194),TOPE_UF*UF_MES)*(TASA_EMP+MUTUAL),0)+ROUND(MIN(N(N2194),TOPE_AFC_UF*UF_MES)*IF(S2194="Indefinido",AFC_INDEF,AFC_PF),0))</f>
        <v/>
      </c>
      <c r="U2194" s="62" t="str">
        <f aca="false">IF(C2194="","",IF(LEFT(D2194,1)="⚠","⚠ RUT no registrado en Trabajadores",IF(B2194="","⚠ Falta el mes",IF(OR(ISTEXT(I2194),ISTEXT(J2194)),"⚠ Atrasos u horas extra como texto: escriba hh:mm (ej. 1:30)",IF(AND(ISNUMBER(Q2194),COUNTIFS(M_RUTN,V2194,M_MES,B2194,M_LIQ,"&lt;&gt;")&gt;1),"⚠ Liquidación repetida en el mes",IF(AND(ISNUMBER(O2194),ISNUMBER(P2194),ISNUMBER(Q2194),ABS(O2194-P2194-Q2194)&gt;1),"⚠ Haberes − descuentos no da el líquido","OK"))))))</f>
        <v/>
      </c>
      <c r="V2194" s="62" t="str">
        <f aca="false">IF(C2194="","",IFERROR(VALUE(LEFT(UPPER(SUBSTITUTE(SUBSTITUTE(SUBSTITUTE(TRIM(C2194),".",""),"-","")," ","")),LEN(UPPER(SUBSTITUTE(SUBSTITUTE(SUBSTITUTE(TRIM(C2194),".",""),"-","")," ","")))-1))&amp;RIGHT(UPPER(SUBSTITUTE(SUBSTITUTE(SUBSTITUTE(TRIM(C2194),".",""),"-","")," ","")),1),UPPER(SUBSTITUTE(SUBSTITUTE(SUBSTITUTE(TRIM(C2194),".",""),"-","")," ",""))))</f>
        <v/>
      </c>
    </row>
    <row r="2195" customFormat="false" ht="15" hidden="false" customHeight="false" outlineLevel="0" collapsed="false">
      <c r="B2195" s="80"/>
      <c r="C2195" s="58"/>
      <c r="D2195" s="62" t="str">
        <f aca="false">IF(C2195="","",IFERROR(INDEX(T_NOMBRE,MATCH(V2195,T_RUTN,0)),"⚠ RUT no está en Trabajadores"))</f>
        <v/>
      </c>
      <c r="E2195" s="61"/>
      <c r="F2195" s="61"/>
      <c r="G2195" s="61"/>
      <c r="H2195" s="61"/>
      <c r="I2195" s="81"/>
      <c r="J2195" s="81"/>
      <c r="K2195" s="60"/>
      <c r="L2195" s="60"/>
      <c r="M2195" s="60"/>
      <c r="N2195" s="60"/>
      <c r="O2195" s="60"/>
      <c r="P2195" s="60"/>
      <c r="Q2195" s="60"/>
      <c r="R2195" s="58"/>
      <c r="S2195" s="62" t="str">
        <f aca="false">IF(OR(B2195="",V2195=""),"",IFERROR(INDEX(C_TIPO,MATCH(V2195&amp;"-P"&amp;MAX(1,COUNTIFS(C_RUTN,V2195,C_DEF,"Sí",C_INI,"&lt;="&amp;EOMONTH(B2195,0))),C_CLAVE,0))&amp;"","Sin contrato"))</f>
        <v/>
      </c>
      <c r="T2195" s="63" t="str">
        <f aca="false">IF(OR(B2195="",N(O2195)=0),"",N(O2195)+ROUND(MIN(N(N2195),TOPE_UF*UF_MES)*(TASA_EMP+MUTUAL),0)+ROUND(MIN(N(N2195),TOPE_AFC_UF*UF_MES)*IF(S2195="Indefinido",AFC_INDEF,AFC_PF),0))</f>
        <v/>
      </c>
      <c r="U2195" s="62" t="str">
        <f aca="false">IF(C2195="","",IF(LEFT(D2195,1)="⚠","⚠ RUT no registrado en Trabajadores",IF(B2195="","⚠ Falta el mes",IF(OR(ISTEXT(I2195),ISTEXT(J2195)),"⚠ Atrasos u horas extra como texto: escriba hh:mm (ej. 1:30)",IF(AND(ISNUMBER(Q2195),COUNTIFS(M_RUTN,V2195,M_MES,B2195,M_LIQ,"&lt;&gt;")&gt;1),"⚠ Liquidación repetida en el mes",IF(AND(ISNUMBER(O2195),ISNUMBER(P2195),ISNUMBER(Q2195),ABS(O2195-P2195-Q2195)&gt;1),"⚠ Haberes − descuentos no da el líquido","OK"))))))</f>
        <v/>
      </c>
      <c r="V2195" s="62" t="str">
        <f aca="false">IF(C2195="","",IFERROR(VALUE(LEFT(UPPER(SUBSTITUTE(SUBSTITUTE(SUBSTITUTE(TRIM(C2195),".",""),"-","")," ","")),LEN(UPPER(SUBSTITUTE(SUBSTITUTE(SUBSTITUTE(TRIM(C2195),".",""),"-","")," ","")))-1))&amp;RIGHT(UPPER(SUBSTITUTE(SUBSTITUTE(SUBSTITUTE(TRIM(C2195),".",""),"-","")," ","")),1),UPPER(SUBSTITUTE(SUBSTITUTE(SUBSTITUTE(TRIM(C2195),".",""),"-","")," ",""))))</f>
        <v/>
      </c>
    </row>
    <row r="2196" customFormat="false" ht="15" hidden="false" customHeight="false" outlineLevel="0" collapsed="false">
      <c r="B2196" s="80"/>
      <c r="C2196" s="58"/>
      <c r="D2196" s="62" t="str">
        <f aca="false">IF(C2196="","",IFERROR(INDEX(T_NOMBRE,MATCH(V2196,T_RUTN,0)),"⚠ RUT no está en Trabajadores"))</f>
        <v/>
      </c>
      <c r="E2196" s="61"/>
      <c r="F2196" s="61"/>
      <c r="G2196" s="61"/>
      <c r="H2196" s="61"/>
      <c r="I2196" s="81"/>
      <c r="J2196" s="81"/>
      <c r="K2196" s="60"/>
      <c r="L2196" s="60"/>
      <c r="M2196" s="60"/>
      <c r="N2196" s="60"/>
      <c r="O2196" s="60"/>
      <c r="P2196" s="60"/>
      <c r="Q2196" s="60"/>
      <c r="R2196" s="58"/>
      <c r="S2196" s="62" t="str">
        <f aca="false">IF(OR(B2196="",V2196=""),"",IFERROR(INDEX(C_TIPO,MATCH(V2196&amp;"-P"&amp;MAX(1,COUNTIFS(C_RUTN,V2196,C_DEF,"Sí",C_INI,"&lt;="&amp;EOMONTH(B2196,0))),C_CLAVE,0))&amp;"","Sin contrato"))</f>
        <v/>
      </c>
      <c r="T2196" s="63" t="str">
        <f aca="false">IF(OR(B2196="",N(O2196)=0),"",N(O2196)+ROUND(MIN(N(N2196),TOPE_UF*UF_MES)*(TASA_EMP+MUTUAL),0)+ROUND(MIN(N(N2196),TOPE_AFC_UF*UF_MES)*IF(S2196="Indefinido",AFC_INDEF,AFC_PF),0))</f>
        <v/>
      </c>
      <c r="U2196" s="62" t="str">
        <f aca="false">IF(C2196="","",IF(LEFT(D2196,1)="⚠","⚠ RUT no registrado en Trabajadores",IF(B2196="","⚠ Falta el mes",IF(OR(ISTEXT(I2196),ISTEXT(J2196)),"⚠ Atrasos u horas extra como texto: escriba hh:mm (ej. 1:30)",IF(AND(ISNUMBER(Q2196),COUNTIFS(M_RUTN,V2196,M_MES,B2196,M_LIQ,"&lt;&gt;")&gt;1),"⚠ Liquidación repetida en el mes",IF(AND(ISNUMBER(O2196),ISNUMBER(P2196),ISNUMBER(Q2196),ABS(O2196-P2196-Q2196)&gt;1),"⚠ Haberes − descuentos no da el líquido","OK"))))))</f>
        <v/>
      </c>
      <c r="V2196" s="62" t="str">
        <f aca="false">IF(C2196="","",IFERROR(VALUE(LEFT(UPPER(SUBSTITUTE(SUBSTITUTE(SUBSTITUTE(TRIM(C2196),".",""),"-","")," ","")),LEN(UPPER(SUBSTITUTE(SUBSTITUTE(SUBSTITUTE(TRIM(C2196),".",""),"-","")," ","")))-1))&amp;RIGHT(UPPER(SUBSTITUTE(SUBSTITUTE(SUBSTITUTE(TRIM(C2196),".",""),"-","")," ","")),1),UPPER(SUBSTITUTE(SUBSTITUTE(SUBSTITUTE(TRIM(C2196),".",""),"-","")," ",""))))</f>
        <v/>
      </c>
    </row>
    <row r="2197" customFormat="false" ht="15" hidden="false" customHeight="false" outlineLevel="0" collapsed="false">
      <c r="B2197" s="80"/>
      <c r="C2197" s="58"/>
      <c r="D2197" s="62" t="str">
        <f aca="false">IF(C2197="","",IFERROR(INDEX(T_NOMBRE,MATCH(V2197,T_RUTN,0)),"⚠ RUT no está en Trabajadores"))</f>
        <v/>
      </c>
      <c r="E2197" s="61"/>
      <c r="F2197" s="61"/>
      <c r="G2197" s="61"/>
      <c r="H2197" s="61"/>
      <c r="I2197" s="81"/>
      <c r="J2197" s="81"/>
      <c r="K2197" s="60"/>
      <c r="L2197" s="60"/>
      <c r="M2197" s="60"/>
      <c r="N2197" s="60"/>
      <c r="O2197" s="60"/>
      <c r="P2197" s="60"/>
      <c r="Q2197" s="60"/>
      <c r="R2197" s="58"/>
      <c r="S2197" s="62" t="str">
        <f aca="false">IF(OR(B2197="",V2197=""),"",IFERROR(INDEX(C_TIPO,MATCH(V2197&amp;"-P"&amp;MAX(1,COUNTIFS(C_RUTN,V2197,C_DEF,"Sí",C_INI,"&lt;="&amp;EOMONTH(B2197,0))),C_CLAVE,0))&amp;"","Sin contrato"))</f>
        <v/>
      </c>
      <c r="T2197" s="63" t="str">
        <f aca="false">IF(OR(B2197="",N(O2197)=0),"",N(O2197)+ROUND(MIN(N(N2197),TOPE_UF*UF_MES)*(TASA_EMP+MUTUAL),0)+ROUND(MIN(N(N2197),TOPE_AFC_UF*UF_MES)*IF(S2197="Indefinido",AFC_INDEF,AFC_PF),0))</f>
        <v/>
      </c>
      <c r="U2197" s="62" t="str">
        <f aca="false">IF(C2197="","",IF(LEFT(D2197,1)="⚠","⚠ RUT no registrado en Trabajadores",IF(B2197="","⚠ Falta el mes",IF(OR(ISTEXT(I2197),ISTEXT(J2197)),"⚠ Atrasos u horas extra como texto: escriba hh:mm (ej. 1:30)",IF(AND(ISNUMBER(Q2197),COUNTIFS(M_RUTN,V2197,M_MES,B2197,M_LIQ,"&lt;&gt;")&gt;1),"⚠ Liquidación repetida en el mes",IF(AND(ISNUMBER(O2197),ISNUMBER(P2197),ISNUMBER(Q2197),ABS(O2197-P2197-Q2197)&gt;1),"⚠ Haberes − descuentos no da el líquido","OK"))))))</f>
        <v/>
      </c>
      <c r="V2197" s="62" t="str">
        <f aca="false">IF(C2197="","",IFERROR(VALUE(LEFT(UPPER(SUBSTITUTE(SUBSTITUTE(SUBSTITUTE(TRIM(C2197),".",""),"-","")," ","")),LEN(UPPER(SUBSTITUTE(SUBSTITUTE(SUBSTITUTE(TRIM(C2197),".",""),"-","")," ","")))-1))&amp;RIGHT(UPPER(SUBSTITUTE(SUBSTITUTE(SUBSTITUTE(TRIM(C2197),".",""),"-","")," ","")),1),UPPER(SUBSTITUTE(SUBSTITUTE(SUBSTITUTE(TRIM(C2197),".",""),"-","")," ",""))))</f>
        <v/>
      </c>
    </row>
    <row r="2198" customFormat="false" ht="15" hidden="false" customHeight="false" outlineLevel="0" collapsed="false">
      <c r="B2198" s="80"/>
      <c r="C2198" s="58"/>
      <c r="D2198" s="62" t="str">
        <f aca="false">IF(C2198="","",IFERROR(INDEX(T_NOMBRE,MATCH(V2198,T_RUTN,0)),"⚠ RUT no está en Trabajadores"))</f>
        <v/>
      </c>
      <c r="E2198" s="61"/>
      <c r="F2198" s="61"/>
      <c r="G2198" s="61"/>
      <c r="H2198" s="61"/>
      <c r="I2198" s="81"/>
      <c r="J2198" s="81"/>
      <c r="K2198" s="60"/>
      <c r="L2198" s="60"/>
      <c r="M2198" s="60"/>
      <c r="N2198" s="60"/>
      <c r="O2198" s="60"/>
      <c r="P2198" s="60"/>
      <c r="Q2198" s="60"/>
      <c r="R2198" s="58"/>
      <c r="S2198" s="62" t="str">
        <f aca="false">IF(OR(B2198="",V2198=""),"",IFERROR(INDEX(C_TIPO,MATCH(V2198&amp;"-P"&amp;MAX(1,COUNTIFS(C_RUTN,V2198,C_DEF,"Sí",C_INI,"&lt;="&amp;EOMONTH(B2198,0))),C_CLAVE,0))&amp;"","Sin contrato"))</f>
        <v/>
      </c>
      <c r="T2198" s="63" t="str">
        <f aca="false">IF(OR(B2198="",N(O2198)=0),"",N(O2198)+ROUND(MIN(N(N2198),TOPE_UF*UF_MES)*(TASA_EMP+MUTUAL),0)+ROUND(MIN(N(N2198),TOPE_AFC_UF*UF_MES)*IF(S2198="Indefinido",AFC_INDEF,AFC_PF),0))</f>
        <v/>
      </c>
      <c r="U2198" s="62" t="str">
        <f aca="false">IF(C2198="","",IF(LEFT(D2198,1)="⚠","⚠ RUT no registrado en Trabajadores",IF(B2198="","⚠ Falta el mes",IF(OR(ISTEXT(I2198),ISTEXT(J2198)),"⚠ Atrasos u horas extra como texto: escriba hh:mm (ej. 1:30)",IF(AND(ISNUMBER(Q2198),COUNTIFS(M_RUTN,V2198,M_MES,B2198,M_LIQ,"&lt;&gt;")&gt;1),"⚠ Liquidación repetida en el mes",IF(AND(ISNUMBER(O2198),ISNUMBER(P2198),ISNUMBER(Q2198),ABS(O2198-P2198-Q2198)&gt;1),"⚠ Haberes − descuentos no da el líquido","OK"))))))</f>
        <v/>
      </c>
      <c r="V2198" s="62" t="str">
        <f aca="false">IF(C2198="","",IFERROR(VALUE(LEFT(UPPER(SUBSTITUTE(SUBSTITUTE(SUBSTITUTE(TRIM(C2198),".",""),"-","")," ","")),LEN(UPPER(SUBSTITUTE(SUBSTITUTE(SUBSTITUTE(TRIM(C2198),".",""),"-","")," ","")))-1))&amp;RIGHT(UPPER(SUBSTITUTE(SUBSTITUTE(SUBSTITUTE(TRIM(C2198),".",""),"-","")," ","")),1),UPPER(SUBSTITUTE(SUBSTITUTE(SUBSTITUTE(TRIM(C2198),".",""),"-","")," ",""))))</f>
        <v/>
      </c>
    </row>
    <row r="2199" customFormat="false" ht="15" hidden="false" customHeight="false" outlineLevel="0" collapsed="false">
      <c r="B2199" s="80"/>
      <c r="C2199" s="58"/>
      <c r="D2199" s="62" t="str">
        <f aca="false">IF(C2199="","",IFERROR(INDEX(T_NOMBRE,MATCH(V2199,T_RUTN,0)),"⚠ RUT no está en Trabajadores"))</f>
        <v/>
      </c>
      <c r="E2199" s="61"/>
      <c r="F2199" s="61"/>
      <c r="G2199" s="61"/>
      <c r="H2199" s="61"/>
      <c r="I2199" s="81"/>
      <c r="J2199" s="81"/>
      <c r="K2199" s="60"/>
      <c r="L2199" s="60"/>
      <c r="M2199" s="60"/>
      <c r="N2199" s="60"/>
      <c r="O2199" s="60"/>
      <c r="P2199" s="60"/>
      <c r="Q2199" s="60"/>
      <c r="R2199" s="58"/>
      <c r="S2199" s="62" t="str">
        <f aca="false">IF(OR(B2199="",V2199=""),"",IFERROR(INDEX(C_TIPO,MATCH(V2199&amp;"-P"&amp;MAX(1,COUNTIFS(C_RUTN,V2199,C_DEF,"Sí",C_INI,"&lt;="&amp;EOMONTH(B2199,0))),C_CLAVE,0))&amp;"","Sin contrato"))</f>
        <v/>
      </c>
      <c r="T2199" s="63" t="str">
        <f aca="false">IF(OR(B2199="",N(O2199)=0),"",N(O2199)+ROUND(MIN(N(N2199),TOPE_UF*UF_MES)*(TASA_EMP+MUTUAL),0)+ROUND(MIN(N(N2199),TOPE_AFC_UF*UF_MES)*IF(S2199="Indefinido",AFC_INDEF,AFC_PF),0))</f>
        <v/>
      </c>
      <c r="U2199" s="62" t="str">
        <f aca="false">IF(C2199="","",IF(LEFT(D2199,1)="⚠","⚠ RUT no registrado en Trabajadores",IF(B2199="","⚠ Falta el mes",IF(OR(ISTEXT(I2199),ISTEXT(J2199)),"⚠ Atrasos u horas extra como texto: escriba hh:mm (ej. 1:30)",IF(AND(ISNUMBER(Q2199),COUNTIFS(M_RUTN,V2199,M_MES,B2199,M_LIQ,"&lt;&gt;")&gt;1),"⚠ Liquidación repetida en el mes",IF(AND(ISNUMBER(O2199),ISNUMBER(P2199),ISNUMBER(Q2199),ABS(O2199-P2199-Q2199)&gt;1),"⚠ Haberes − descuentos no da el líquido","OK"))))))</f>
        <v/>
      </c>
      <c r="V2199" s="62" t="str">
        <f aca="false">IF(C2199="","",IFERROR(VALUE(LEFT(UPPER(SUBSTITUTE(SUBSTITUTE(SUBSTITUTE(TRIM(C2199),".",""),"-","")," ","")),LEN(UPPER(SUBSTITUTE(SUBSTITUTE(SUBSTITUTE(TRIM(C2199),".",""),"-","")," ","")))-1))&amp;RIGHT(UPPER(SUBSTITUTE(SUBSTITUTE(SUBSTITUTE(TRIM(C2199),".",""),"-","")," ","")),1),UPPER(SUBSTITUTE(SUBSTITUTE(SUBSTITUTE(TRIM(C2199),".",""),"-","")," ",""))))</f>
        <v/>
      </c>
    </row>
    <row r="2200" customFormat="false" ht="15" hidden="false" customHeight="false" outlineLevel="0" collapsed="false">
      <c r="B2200" s="80"/>
      <c r="C2200" s="58"/>
      <c r="D2200" s="62" t="str">
        <f aca="false">IF(C2200="","",IFERROR(INDEX(T_NOMBRE,MATCH(V2200,T_RUTN,0)),"⚠ RUT no está en Trabajadores"))</f>
        <v/>
      </c>
      <c r="E2200" s="61"/>
      <c r="F2200" s="61"/>
      <c r="G2200" s="61"/>
      <c r="H2200" s="61"/>
      <c r="I2200" s="81"/>
      <c r="J2200" s="81"/>
      <c r="K2200" s="60"/>
      <c r="L2200" s="60"/>
      <c r="M2200" s="60"/>
      <c r="N2200" s="60"/>
      <c r="O2200" s="60"/>
      <c r="P2200" s="60"/>
      <c r="Q2200" s="60"/>
      <c r="R2200" s="58"/>
      <c r="S2200" s="62" t="str">
        <f aca="false">IF(OR(B2200="",V2200=""),"",IFERROR(INDEX(C_TIPO,MATCH(V2200&amp;"-P"&amp;MAX(1,COUNTIFS(C_RUTN,V2200,C_DEF,"Sí",C_INI,"&lt;="&amp;EOMONTH(B2200,0))),C_CLAVE,0))&amp;"","Sin contrato"))</f>
        <v/>
      </c>
      <c r="T2200" s="63" t="str">
        <f aca="false">IF(OR(B2200="",N(O2200)=0),"",N(O2200)+ROUND(MIN(N(N2200),TOPE_UF*UF_MES)*(TASA_EMP+MUTUAL),0)+ROUND(MIN(N(N2200),TOPE_AFC_UF*UF_MES)*IF(S2200="Indefinido",AFC_INDEF,AFC_PF),0))</f>
        <v/>
      </c>
      <c r="U2200" s="62" t="str">
        <f aca="false">IF(C2200="","",IF(LEFT(D2200,1)="⚠","⚠ RUT no registrado en Trabajadores",IF(B2200="","⚠ Falta el mes",IF(OR(ISTEXT(I2200),ISTEXT(J2200)),"⚠ Atrasos u horas extra como texto: escriba hh:mm (ej. 1:30)",IF(AND(ISNUMBER(Q2200),COUNTIFS(M_RUTN,V2200,M_MES,B2200,M_LIQ,"&lt;&gt;")&gt;1),"⚠ Liquidación repetida en el mes",IF(AND(ISNUMBER(O2200),ISNUMBER(P2200),ISNUMBER(Q2200),ABS(O2200-P2200-Q2200)&gt;1),"⚠ Haberes − descuentos no da el líquido","OK"))))))</f>
        <v/>
      </c>
      <c r="V2200" s="62" t="str">
        <f aca="false">IF(C2200="","",IFERROR(VALUE(LEFT(UPPER(SUBSTITUTE(SUBSTITUTE(SUBSTITUTE(TRIM(C2200),".",""),"-","")," ","")),LEN(UPPER(SUBSTITUTE(SUBSTITUTE(SUBSTITUTE(TRIM(C2200),".",""),"-","")," ","")))-1))&amp;RIGHT(UPPER(SUBSTITUTE(SUBSTITUTE(SUBSTITUTE(TRIM(C2200),".",""),"-","")," ","")),1),UPPER(SUBSTITUTE(SUBSTITUTE(SUBSTITUTE(TRIM(C2200),".",""),"-","")," ",""))))</f>
        <v/>
      </c>
    </row>
    <row r="2201" customFormat="false" ht="15" hidden="false" customHeight="false" outlineLevel="0" collapsed="false">
      <c r="B2201" s="80"/>
      <c r="C2201" s="58"/>
      <c r="D2201" s="62" t="str">
        <f aca="false">IF(C2201="","",IFERROR(INDEX(T_NOMBRE,MATCH(V2201,T_RUTN,0)),"⚠ RUT no está en Trabajadores"))</f>
        <v/>
      </c>
      <c r="E2201" s="61"/>
      <c r="F2201" s="61"/>
      <c r="G2201" s="61"/>
      <c r="H2201" s="61"/>
      <c r="I2201" s="81"/>
      <c r="J2201" s="81"/>
      <c r="K2201" s="60"/>
      <c r="L2201" s="60"/>
      <c r="M2201" s="60"/>
      <c r="N2201" s="60"/>
      <c r="O2201" s="60"/>
      <c r="P2201" s="60"/>
      <c r="Q2201" s="60"/>
      <c r="R2201" s="58"/>
      <c r="S2201" s="62" t="str">
        <f aca="false">IF(OR(B2201="",V2201=""),"",IFERROR(INDEX(C_TIPO,MATCH(V2201&amp;"-P"&amp;MAX(1,COUNTIFS(C_RUTN,V2201,C_DEF,"Sí",C_INI,"&lt;="&amp;EOMONTH(B2201,0))),C_CLAVE,0))&amp;"","Sin contrato"))</f>
        <v/>
      </c>
      <c r="T2201" s="63" t="str">
        <f aca="false">IF(OR(B2201="",N(O2201)=0),"",N(O2201)+ROUND(MIN(N(N2201),TOPE_UF*UF_MES)*(TASA_EMP+MUTUAL),0)+ROUND(MIN(N(N2201),TOPE_AFC_UF*UF_MES)*IF(S2201="Indefinido",AFC_INDEF,AFC_PF),0))</f>
        <v/>
      </c>
      <c r="U2201" s="62" t="str">
        <f aca="false">IF(C2201="","",IF(LEFT(D2201,1)="⚠","⚠ RUT no registrado en Trabajadores",IF(B2201="","⚠ Falta el mes",IF(OR(ISTEXT(I2201),ISTEXT(J2201)),"⚠ Atrasos u horas extra como texto: escriba hh:mm (ej. 1:30)",IF(AND(ISNUMBER(Q2201),COUNTIFS(M_RUTN,V2201,M_MES,B2201,M_LIQ,"&lt;&gt;")&gt;1),"⚠ Liquidación repetida en el mes",IF(AND(ISNUMBER(O2201),ISNUMBER(P2201),ISNUMBER(Q2201),ABS(O2201-P2201-Q2201)&gt;1),"⚠ Haberes − descuentos no da el líquido","OK"))))))</f>
        <v/>
      </c>
      <c r="V2201" s="62" t="str">
        <f aca="false">IF(C2201="","",IFERROR(VALUE(LEFT(UPPER(SUBSTITUTE(SUBSTITUTE(SUBSTITUTE(TRIM(C2201),".",""),"-","")," ","")),LEN(UPPER(SUBSTITUTE(SUBSTITUTE(SUBSTITUTE(TRIM(C2201),".",""),"-","")," ","")))-1))&amp;RIGHT(UPPER(SUBSTITUTE(SUBSTITUTE(SUBSTITUTE(TRIM(C2201),".",""),"-","")," ","")),1),UPPER(SUBSTITUTE(SUBSTITUTE(SUBSTITUTE(TRIM(C2201),".",""),"-","")," ",""))))</f>
        <v/>
      </c>
    </row>
    <row r="2202" customFormat="false" ht="15" hidden="false" customHeight="false" outlineLevel="0" collapsed="false">
      <c r="B2202" s="80"/>
      <c r="C2202" s="58"/>
      <c r="D2202" s="62" t="str">
        <f aca="false">IF(C2202="","",IFERROR(INDEX(T_NOMBRE,MATCH(V2202,T_RUTN,0)),"⚠ RUT no está en Trabajadores"))</f>
        <v/>
      </c>
      <c r="E2202" s="61"/>
      <c r="F2202" s="61"/>
      <c r="G2202" s="61"/>
      <c r="H2202" s="61"/>
      <c r="I2202" s="81"/>
      <c r="J2202" s="81"/>
      <c r="K2202" s="60"/>
      <c r="L2202" s="60"/>
      <c r="M2202" s="60"/>
      <c r="N2202" s="60"/>
      <c r="O2202" s="60"/>
      <c r="P2202" s="60"/>
      <c r="Q2202" s="60"/>
      <c r="R2202" s="58"/>
      <c r="S2202" s="62" t="str">
        <f aca="false">IF(OR(B2202="",V2202=""),"",IFERROR(INDEX(C_TIPO,MATCH(V2202&amp;"-P"&amp;MAX(1,COUNTIFS(C_RUTN,V2202,C_DEF,"Sí",C_INI,"&lt;="&amp;EOMONTH(B2202,0))),C_CLAVE,0))&amp;"","Sin contrato"))</f>
        <v/>
      </c>
      <c r="T2202" s="63" t="str">
        <f aca="false">IF(OR(B2202="",N(O2202)=0),"",N(O2202)+ROUND(MIN(N(N2202),TOPE_UF*UF_MES)*(TASA_EMP+MUTUAL),0)+ROUND(MIN(N(N2202),TOPE_AFC_UF*UF_MES)*IF(S2202="Indefinido",AFC_INDEF,AFC_PF),0))</f>
        <v/>
      </c>
      <c r="U2202" s="62" t="str">
        <f aca="false">IF(C2202="","",IF(LEFT(D2202,1)="⚠","⚠ RUT no registrado en Trabajadores",IF(B2202="","⚠ Falta el mes",IF(OR(ISTEXT(I2202),ISTEXT(J2202)),"⚠ Atrasos u horas extra como texto: escriba hh:mm (ej. 1:30)",IF(AND(ISNUMBER(Q2202),COUNTIFS(M_RUTN,V2202,M_MES,B2202,M_LIQ,"&lt;&gt;")&gt;1),"⚠ Liquidación repetida en el mes",IF(AND(ISNUMBER(O2202),ISNUMBER(P2202),ISNUMBER(Q2202),ABS(O2202-P2202-Q2202)&gt;1),"⚠ Haberes − descuentos no da el líquido","OK"))))))</f>
        <v/>
      </c>
      <c r="V2202" s="62" t="str">
        <f aca="false">IF(C2202="","",IFERROR(VALUE(LEFT(UPPER(SUBSTITUTE(SUBSTITUTE(SUBSTITUTE(TRIM(C2202),".",""),"-","")," ","")),LEN(UPPER(SUBSTITUTE(SUBSTITUTE(SUBSTITUTE(TRIM(C2202),".",""),"-","")," ","")))-1))&amp;RIGHT(UPPER(SUBSTITUTE(SUBSTITUTE(SUBSTITUTE(TRIM(C2202),".",""),"-","")," ","")),1),UPPER(SUBSTITUTE(SUBSTITUTE(SUBSTITUTE(TRIM(C2202),".",""),"-","")," ",""))))</f>
        <v/>
      </c>
    </row>
    <row r="2203" customFormat="false" ht="15" hidden="false" customHeight="false" outlineLevel="0" collapsed="false">
      <c r="B2203" s="80"/>
      <c r="C2203" s="58"/>
      <c r="D2203" s="62" t="str">
        <f aca="false">IF(C2203="","",IFERROR(INDEX(T_NOMBRE,MATCH(V2203,T_RUTN,0)),"⚠ RUT no está en Trabajadores"))</f>
        <v/>
      </c>
      <c r="E2203" s="61"/>
      <c r="F2203" s="61"/>
      <c r="G2203" s="61"/>
      <c r="H2203" s="61"/>
      <c r="I2203" s="81"/>
      <c r="J2203" s="81"/>
      <c r="K2203" s="60"/>
      <c r="L2203" s="60"/>
      <c r="M2203" s="60"/>
      <c r="N2203" s="60"/>
      <c r="O2203" s="60"/>
      <c r="P2203" s="60"/>
      <c r="Q2203" s="60"/>
      <c r="R2203" s="58"/>
      <c r="S2203" s="62" t="str">
        <f aca="false">IF(OR(B2203="",V2203=""),"",IFERROR(INDEX(C_TIPO,MATCH(V2203&amp;"-P"&amp;MAX(1,COUNTIFS(C_RUTN,V2203,C_DEF,"Sí",C_INI,"&lt;="&amp;EOMONTH(B2203,0))),C_CLAVE,0))&amp;"","Sin contrato"))</f>
        <v/>
      </c>
      <c r="T2203" s="63" t="str">
        <f aca="false">IF(OR(B2203="",N(O2203)=0),"",N(O2203)+ROUND(MIN(N(N2203),TOPE_UF*UF_MES)*(TASA_EMP+MUTUAL),0)+ROUND(MIN(N(N2203),TOPE_AFC_UF*UF_MES)*IF(S2203="Indefinido",AFC_INDEF,AFC_PF),0))</f>
        <v/>
      </c>
      <c r="U2203" s="62" t="str">
        <f aca="false">IF(C2203="","",IF(LEFT(D2203,1)="⚠","⚠ RUT no registrado en Trabajadores",IF(B2203="","⚠ Falta el mes",IF(OR(ISTEXT(I2203),ISTEXT(J2203)),"⚠ Atrasos u horas extra como texto: escriba hh:mm (ej. 1:30)",IF(AND(ISNUMBER(Q2203),COUNTIFS(M_RUTN,V2203,M_MES,B2203,M_LIQ,"&lt;&gt;")&gt;1),"⚠ Liquidación repetida en el mes",IF(AND(ISNUMBER(O2203),ISNUMBER(P2203),ISNUMBER(Q2203),ABS(O2203-P2203-Q2203)&gt;1),"⚠ Haberes − descuentos no da el líquido","OK"))))))</f>
        <v/>
      </c>
      <c r="V2203" s="62" t="str">
        <f aca="false">IF(C2203="","",IFERROR(VALUE(LEFT(UPPER(SUBSTITUTE(SUBSTITUTE(SUBSTITUTE(TRIM(C2203),".",""),"-","")," ","")),LEN(UPPER(SUBSTITUTE(SUBSTITUTE(SUBSTITUTE(TRIM(C2203),".",""),"-","")," ","")))-1))&amp;RIGHT(UPPER(SUBSTITUTE(SUBSTITUTE(SUBSTITUTE(TRIM(C2203),".",""),"-","")," ","")),1),UPPER(SUBSTITUTE(SUBSTITUTE(SUBSTITUTE(TRIM(C2203),".",""),"-","")," ",""))))</f>
        <v/>
      </c>
    </row>
    <row r="2204" customFormat="false" ht="15" hidden="false" customHeight="false" outlineLevel="0" collapsed="false">
      <c r="B2204" s="80"/>
      <c r="C2204" s="58"/>
      <c r="D2204" s="62" t="str">
        <f aca="false">IF(C2204="","",IFERROR(INDEX(T_NOMBRE,MATCH(V2204,T_RUTN,0)),"⚠ RUT no está en Trabajadores"))</f>
        <v/>
      </c>
      <c r="E2204" s="61"/>
      <c r="F2204" s="61"/>
      <c r="G2204" s="61"/>
      <c r="H2204" s="61"/>
      <c r="I2204" s="81"/>
      <c r="J2204" s="81"/>
      <c r="K2204" s="60"/>
      <c r="L2204" s="60"/>
      <c r="M2204" s="60"/>
      <c r="N2204" s="60"/>
      <c r="O2204" s="60"/>
      <c r="P2204" s="60"/>
      <c r="Q2204" s="60"/>
      <c r="R2204" s="58"/>
      <c r="S2204" s="62" t="str">
        <f aca="false">IF(OR(B2204="",V2204=""),"",IFERROR(INDEX(C_TIPO,MATCH(V2204&amp;"-P"&amp;MAX(1,COUNTIFS(C_RUTN,V2204,C_DEF,"Sí",C_INI,"&lt;="&amp;EOMONTH(B2204,0))),C_CLAVE,0))&amp;"","Sin contrato"))</f>
        <v/>
      </c>
      <c r="T2204" s="63" t="str">
        <f aca="false">IF(OR(B2204="",N(O2204)=0),"",N(O2204)+ROUND(MIN(N(N2204),TOPE_UF*UF_MES)*(TASA_EMP+MUTUAL),0)+ROUND(MIN(N(N2204),TOPE_AFC_UF*UF_MES)*IF(S2204="Indefinido",AFC_INDEF,AFC_PF),0))</f>
        <v/>
      </c>
      <c r="U2204" s="62" t="str">
        <f aca="false">IF(C2204="","",IF(LEFT(D2204,1)="⚠","⚠ RUT no registrado en Trabajadores",IF(B2204="","⚠ Falta el mes",IF(OR(ISTEXT(I2204),ISTEXT(J2204)),"⚠ Atrasos u horas extra como texto: escriba hh:mm (ej. 1:30)",IF(AND(ISNUMBER(Q2204),COUNTIFS(M_RUTN,V2204,M_MES,B2204,M_LIQ,"&lt;&gt;")&gt;1),"⚠ Liquidación repetida en el mes",IF(AND(ISNUMBER(O2204),ISNUMBER(P2204),ISNUMBER(Q2204),ABS(O2204-P2204-Q2204)&gt;1),"⚠ Haberes − descuentos no da el líquido","OK"))))))</f>
        <v/>
      </c>
      <c r="V2204" s="62" t="str">
        <f aca="false">IF(C2204="","",IFERROR(VALUE(LEFT(UPPER(SUBSTITUTE(SUBSTITUTE(SUBSTITUTE(TRIM(C2204),".",""),"-","")," ","")),LEN(UPPER(SUBSTITUTE(SUBSTITUTE(SUBSTITUTE(TRIM(C2204),".",""),"-","")," ","")))-1))&amp;RIGHT(UPPER(SUBSTITUTE(SUBSTITUTE(SUBSTITUTE(TRIM(C2204),".",""),"-","")," ","")),1),UPPER(SUBSTITUTE(SUBSTITUTE(SUBSTITUTE(TRIM(C2204),".",""),"-","")," ",""))))</f>
        <v/>
      </c>
    </row>
    <row r="2205" customFormat="false" ht="15" hidden="false" customHeight="false" outlineLevel="0" collapsed="false">
      <c r="B2205" s="80"/>
      <c r="C2205" s="58"/>
      <c r="D2205" s="62" t="str">
        <f aca="false">IF(C2205="","",IFERROR(INDEX(T_NOMBRE,MATCH(V2205,T_RUTN,0)),"⚠ RUT no está en Trabajadores"))</f>
        <v/>
      </c>
      <c r="E2205" s="61"/>
      <c r="F2205" s="61"/>
      <c r="G2205" s="61"/>
      <c r="H2205" s="61"/>
      <c r="I2205" s="81"/>
      <c r="J2205" s="81"/>
      <c r="K2205" s="60"/>
      <c r="L2205" s="60"/>
      <c r="M2205" s="60"/>
      <c r="N2205" s="60"/>
      <c r="O2205" s="60"/>
      <c r="P2205" s="60"/>
      <c r="Q2205" s="60"/>
      <c r="R2205" s="58"/>
      <c r="S2205" s="62" t="str">
        <f aca="false">IF(OR(B2205="",V2205=""),"",IFERROR(INDEX(C_TIPO,MATCH(V2205&amp;"-P"&amp;MAX(1,COUNTIFS(C_RUTN,V2205,C_DEF,"Sí",C_INI,"&lt;="&amp;EOMONTH(B2205,0))),C_CLAVE,0))&amp;"","Sin contrato"))</f>
        <v/>
      </c>
      <c r="T2205" s="63" t="str">
        <f aca="false">IF(OR(B2205="",N(O2205)=0),"",N(O2205)+ROUND(MIN(N(N2205),TOPE_UF*UF_MES)*(TASA_EMP+MUTUAL),0)+ROUND(MIN(N(N2205),TOPE_AFC_UF*UF_MES)*IF(S2205="Indefinido",AFC_INDEF,AFC_PF),0))</f>
        <v/>
      </c>
      <c r="U2205" s="62" t="str">
        <f aca="false">IF(C2205="","",IF(LEFT(D2205,1)="⚠","⚠ RUT no registrado en Trabajadores",IF(B2205="","⚠ Falta el mes",IF(OR(ISTEXT(I2205),ISTEXT(J2205)),"⚠ Atrasos u horas extra como texto: escriba hh:mm (ej. 1:30)",IF(AND(ISNUMBER(Q2205),COUNTIFS(M_RUTN,V2205,M_MES,B2205,M_LIQ,"&lt;&gt;")&gt;1),"⚠ Liquidación repetida en el mes",IF(AND(ISNUMBER(O2205),ISNUMBER(P2205),ISNUMBER(Q2205),ABS(O2205-P2205-Q2205)&gt;1),"⚠ Haberes − descuentos no da el líquido","OK"))))))</f>
        <v/>
      </c>
      <c r="V2205" s="62" t="str">
        <f aca="false">IF(C2205="","",IFERROR(VALUE(LEFT(UPPER(SUBSTITUTE(SUBSTITUTE(SUBSTITUTE(TRIM(C2205),".",""),"-","")," ","")),LEN(UPPER(SUBSTITUTE(SUBSTITUTE(SUBSTITUTE(TRIM(C2205),".",""),"-","")," ","")))-1))&amp;RIGHT(UPPER(SUBSTITUTE(SUBSTITUTE(SUBSTITUTE(TRIM(C2205),".",""),"-","")," ","")),1),UPPER(SUBSTITUTE(SUBSTITUTE(SUBSTITUTE(TRIM(C2205),".",""),"-","")," ",""))))</f>
        <v/>
      </c>
    </row>
    <row r="2206" customFormat="false" ht="15" hidden="false" customHeight="false" outlineLevel="0" collapsed="false">
      <c r="B2206" s="80"/>
      <c r="C2206" s="58"/>
      <c r="D2206" s="62" t="str">
        <f aca="false">IF(C2206="","",IFERROR(INDEX(T_NOMBRE,MATCH(V2206,T_RUTN,0)),"⚠ RUT no está en Trabajadores"))</f>
        <v/>
      </c>
      <c r="E2206" s="61"/>
      <c r="F2206" s="61"/>
      <c r="G2206" s="61"/>
      <c r="H2206" s="61"/>
      <c r="I2206" s="81"/>
      <c r="J2206" s="81"/>
      <c r="K2206" s="60"/>
      <c r="L2206" s="60"/>
      <c r="M2206" s="60"/>
      <c r="N2206" s="60"/>
      <c r="O2206" s="60"/>
      <c r="P2206" s="60"/>
      <c r="Q2206" s="60"/>
      <c r="R2206" s="58"/>
      <c r="S2206" s="62" t="str">
        <f aca="false">IF(OR(B2206="",V2206=""),"",IFERROR(INDEX(C_TIPO,MATCH(V2206&amp;"-P"&amp;MAX(1,COUNTIFS(C_RUTN,V2206,C_DEF,"Sí",C_INI,"&lt;="&amp;EOMONTH(B2206,0))),C_CLAVE,0))&amp;"","Sin contrato"))</f>
        <v/>
      </c>
      <c r="T2206" s="63" t="str">
        <f aca="false">IF(OR(B2206="",N(O2206)=0),"",N(O2206)+ROUND(MIN(N(N2206),TOPE_UF*UF_MES)*(TASA_EMP+MUTUAL),0)+ROUND(MIN(N(N2206),TOPE_AFC_UF*UF_MES)*IF(S2206="Indefinido",AFC_INDEF,AFC_PF),0))</f>
        <v/>
      </c>
      <c r="U2206" s="62" t="str">
        <f aca="false">IF(C2206="","",IF(LEFT(D2206,1)="⚠","⚠ RUT no registrado en Trabajadores",IF(B2206="","⚠ Falta el mes",IF(OR(ISTEXT(I2206),ISTEXT(J2206)),"⚠ Atrasos u horas extra como texto: escriba hh:mm (ej. 1:30)",IF(AND(ISNUMBER(Q2206),COUNTIFS(M_RUTN,V2206,M_MES,B2206,M_LIQ,"&lt;&gt;")&gt;1),"⚠ Liquidación repetida en el mes",IF(AND(ISNUMBER(O2206),ISNUMBER(P2206),ISNUMBER(Q2206),ABS(O2206-P2206-Q2206)&gt;1),"⚠ Haberes − descuentos no da el líquido","OK"))))))</f>
        <v/>
      </c>
      <c r="V2206" s="62" t="str">
        <f aca="false">IF(C2206="","",IFERROR(VALUE(LEFT(UPPER(SUBSTITUTE(SUBSTITUTE(SUBSTITUTE(TRIM(C2206),".",""),"-","")," ","")),LEN(UPPER(SUBSTITUTE(SUBSTITUTE(SUBSTITUTE(TRIM(C2206),".",""),"-","")," ","")))-1))&amp;RIGHT(UPPER(SUBSTITUTE(SUBSTITUTE(SUBSTITUTE(TRIM(C2206),".",""),"-","")," ","")),1),UPPER(SUBSTITUTE(SUBSTITUTE(SUBSTITUTE(TRIM(C2206),".",""),"-","")," ",""))))</f>
        <v/>
      </c>
    </row>
    <row r="2207" customFormat="false" ht="15" hidden="false" customHeight="false" outlineLevel="0" collapsed="false">
      <c r="B2207" s="80"/>
      <c r="C2207" s="58"/>
      <c r="D2207" s="62" t="str">
        <f aca="false">IF(C2207="","",IFERROR(INDEX(T_NOMBRE,MATCH(V2207,T_RUTN,0)),"⚠ RUT no está en Trabajadores"))</f>
        <v/>
      </c>
      <c r="E2207" s="61"/>
      <c r="F2207" s="61"/>
      <c r="G2207" s="61"/>
      <c r="H2207" s="61"/>
      <c r="I2207" s="81"/>
      <c r="J2207" s="81"/>
      <c r="K2207" s="60"/>
      <c r="L2207" s="60"/>
      <c r="M2207" s="60"/>
      <c r="N2207" s="60"/>
      <c r="O2207" s="60"/>
      <c r="P2207" s="60"/>
      <c r="Q2207" s="60"/>
      <c r="R2207" s="58"/>
      <c r="S2207" s="62" t="str">
        <f aca="false">IF(OR(B2207="",V2207=""),"",IFERROR(INDEX(C_TIPO,MATCH(V2207&amp;"-P"&amp;MAX(1,COUNTIFS(C_RUTN,V2207,C_DEF,"Sí",C_INI,"&lt;="&amp;EOMONTH(B2207,0))),C_CLAVE,0))&amp;"","Sin contrato"))</f>
        <v/>
      </c>
      <c r="T2207" s="63" t="str">
        <f aca="false">IF(OR(B2207="",N(O2207)=0),"",N(O2207)+ROUND(MIN(N(N2207),TOPE_UF*UF_MES)*(TASA_EMP+MUTUAL),0)+ROUND(MIN(N(N2207),TOPE_AFC_UF*UF_MES)*IF(S2207="Indefinido",AFC_INDEF,AFC_PF),0))</f>
        <v/>
      </c>
      <c r="U2207" s="62" t="str">
        <f aca="false">IF(C2207="","",IF(LEFT(D2207,1)="⚠","⚠ RUT no registrado en Trabajadores",IF(B2207="","⚠ Falta el mes",IF(OR(ISTEXT(I2207),ISTEXT(J2207)),"⚠ Atrasos u horas extra como texto: escriba hh:mm (ej. 1:30)",IF(AND(ISNUMBER(Q2207),COUNTIFS(M_RUTN,V2207,M_MES,B2207,M_LIQ,"&lt;&gt;")&gt;1),"⚠ Liquidación repetida en el mes",IF(AND(ISNUMBER(O2207),ISNUMBER(P2207),ISNUMBER(Q2207),ABS(O2207-P2207-Q2207)&gt;1),"⚠ Haberes − descuentos no da el líquido","OK"))))))</f>
        <v/>
      </c>
      <c r="V2207" s="62" t="str">
        <f aca="false">IF(C2207="","",IFERROR(VALUE(LEFT(UPPER(SUBSTITUTE(SUBSTITUTE(SUBSTITUTE(TRIM(C2207),".",""),"-","")," ","")),LEN(UPPER(SUBSTITUTE(SUBSTITUTE(SUBSTITUTE(TRIM(C2207),".",""),"-","")," ","")))-1))&amp;RIGHT(UPPER(SUBSTITUTE(SUBSTITUTE(SUBSTITUTE(TRIM(C2207),".",""),"-","")," ","")),1),UPPER(SUBSTITUTE(SUBSTITUTE(SUBSTITUTE(TRIM(C2207),".",""),"-","")," ",""))))</f>
        <v/>
      </c>
    </row>
    <row r="2208" customFormat="false" ht="15" hidden="false" customHeight="false" outlineLevel="0" collapsed="false">
      <c r="B2208" s="80"/>
      <c r="C2208" s="58"/>
      <c r="D2208" s="62" t="str">
        <f aca="false">IF(C2208="","",IFERROR(INDEX(T_NOMBRE,MATCH(V2208,T_RUTN,0)),"⚠ RUT no está en Trabajadores"))</f>
        <v/>
      </c>
      <c r="E2208" s="61"/>
      <c r="F2208" s="61"/>
      <c r="G2208" s="61"/>
      <c r="H2208" s="61"/>
      <c r="I2208" s="81"/>
      <c r="J2208" s="81"/>
      <c r="K2208" s="60"/>
      <c r="L2208" s="60"/>
      <c r="M2208" s="60"/>
      <c r="N2208" s="60"/>
      <c r="O2208" s="60"/>
      <c r="P2208" s="60"/>
      <c r="Q2208" s="60"/>
      <c r="R2208" s="58"/>
      <c r="S2208" s="62" t="str">
        <f aca="false">IF(OR(B2208="",V2208=""),"",IFERROR(INDEX(C_TIPO,MATCH(V2208&amp;"-P"&amp;MAX(1,COUNTIFS(C_RUTN,V2208,C_DEF,"Sí",C_INI,"&lt;="&amp;EOMONTH(B2208,0))),C_CLAVE,0))&amp;"","Sin contrato"))</f>
        <v/>
      </c>
      <c r="T2208" s="63" t="str">
        <f aca="false">IF(OR(B2208="",N(O2208)=0),"",N(O2208)+ROUND(MIN(N(N2208),TOPE_UF*UF_MES)*(TASA_EMP+MUTUAL),0)+ROUND(MIN(N(N2208),TOPE_AFC_UF*UF_MES)*IF(S2208="Indefinido",AFC_INDEF,AFC_PF),0))</f>
        <v/>
      </c>
      <c r="U2208" s="62" t="str">
        <f aca="false">IF(C2208="","",IF(LEFT(D2208,1)="⚠","⚠ RUT no registrado en Trabajadores",IF(B2208="","⚠ Falta el mes",IF(OR(ISTEXT(I2208),ISTEXT(J2208)),"⚠ Atrasos u horas extra como texto: escriba hh:mm (ej. 1:30)",IF(AND(ISNUMBER(Q2208),COUNTIFS(M_RUTN,V2208,M_MES,B2208,M_LIQ,"&lt;&gt;")&gt;1),"⚠ Liquidación repetida en el mes",IF(AND(ISNUMBER(O2208),ISNUMBER(P2208),ISNUMBER(Q2208),ABS(O2208-P2208-Q2208)&gt;1),"⚠ Haberes − descuentos no da el líquido","OK"))))))</f>
        <v/>
      </c>
      <c r="V2208" s="62" t="str">
        <f aca="false">IF(C2208="","",IFERROR(VALUE(LEFT(UPPER(SUBSTITUTE(SUBSTITUTE(SUBSTITUTE(TRIM(C2208),".",""),"-","")," ","")),LEN(UPPER(SUBSTITUTE(SUBSTITUTE(SUBSTITUTE(TRIM(C2208),".",""),"-","")," ","")))-1))&amp;RIGHT(UPPER(SUBSTITUTE(SUBSTITUTE(SUBSTITUTE(TRIM(C2208),".",""),"-","")," ","")),1),UPPER(SUBSTITUTE(SUBSTITUTE(SUBSTITUTE(TRIM(C2208),".",""),"-","")," ",""))))</f>
        <v/>
      </c>
    </row>
    <row r="2209" customFormat="false" ht="15" hidden="false" customHeight="false" outlineLevel="0" collapsed="false">
      <c r="B2209" s="80"/>
      <c r="C2209" s="58"/>
      <c r="D2209" s="62" t="str">
        <f aca="false">IF(C2209="","",IFERROR(INDEX(T_NOMBRE,MATCH(V2209,T_RUTN,0)),"⚠ RUT no está en Trabajadores"))</f>
        <v/>
      </c>
      <c r="E2209" s="61"/>
      <c r="F2209" s="61"/>
      <c r="G2209" s="61"/>
      <c r="H2209" s="61"/>
      <c r="I2209" s="81"/>
      <c r="J2209" s="81"/>
      <c r="K2209" s="60"/>
      <c r="L2209" s="60"/>
      <c r="M2209" s="60"/>
      <c r="N2209" s="60"/>
      <c r="O2209" s="60"/>
      <c r="P2209" s="60"/>
      <c r="Q2209" s="60"/>
      <c r="R2209" s="58"/>
      <c r="S2209" s="62" t="str">
        <f aca="false">IF(OR(B2209="",V2209=""),"",IFERROR(INDEX(C_TIPO,MATCH(V2209&amp;"-P"&amp;MAX(1,COUNTIFS(C_RUTN,V2209,C_DEF,"Sí",C_INI,"&lt;="&amp;EOMONTH(B2209,0))),C_CLAVE,0))&amp;"","Sin contrato"))</f>
        <v/>
      </c>
      <c r="T2209" s="63" t="str">
        <f aca="false">IF(OR(B2209="",N(O2209)=0),"",N(O2209)+ROUND(MIN(N(N2209),TOPE_UF*UF_MES)*(TASA_EMP+MUTUAL),0)+ROUND(MIN(N(N2209),TOPE_AFC_UF*UF_MES)*IF(S2209="Indefinido",AFC_INDEF,AFC_PF),0))</f>
        <v/>
      </c>
      <c r="U2209" s="62" t="str">
        <f aca="false">IF(C2209="","",IF(LEFT(D2209,1)="⚠","⚠ RUT no registrado en Trabajadores",IF(B2209="","⚠ Falta el mes",IF(OR(ISTEXT(I2209),ISTEXT(J2209)),"⚠ Atrasos u horas extra como texto: escriba hh:mm (ej. 1:30)",IF(AND(ISNUMBER(Q2209),COUNTIFS(M_RUTN,V2209,M_MES,B2209,M_LIQ,"&lt;&gt;")&gt;1),"⚠ Liquidación repetida en el mes",IF(AND(ISNUMBER(O2209),ISNUMBER(P2209),ISNUMBER(Q2209),ABS(O2209-P2209-Q2209)&gt;1),"⚠ Haberes − descuentos no da el líquido","OK"))))))</f>
        <v/>
      </c>
      <c r="V2209" s="62" t="str">
        <f aca="false">IF(C2209="","",IFERROR(VALUE(LEFT(UPPER(SUBSTITUTE(SUBSTITUTE(SUBSTITUTE(TRIM(C2209),".",""),"-","")," ","")),LEN(UPPER(SUBSTITUTE(SUBSTITUTE(SUBSTITUTE(TRIM(C2209),".",""),"-","")," ","")))-1))&amp;RIGHT(UPPER(SUBSTITUTE(SUBSTITUTE(SUBSTITUTE(TRIM(C2209),".",""),"-","")," ","")),1),UPPER(SUBSTITUTE(SUBSTITUTE(SUBSTITUTE(TRIM(C2209),".",""),"-","")," ",""))))</f>
        <v/>
      </c>
    </row>
    <row r="2210" customFormat="false" ht="15" hidden="false" customHeight="false" outlineLevel="0" collapsed="false">
      <c r="B2210" s="80"/>
      <c r="C2210" s="58"/>
      <c r="D2210" s="62" t="str">
        <f aca="false">IF(C2210="","",IFERROR(INDEX(T_NOMBRE,MATCH(V2210,T_RUTN,0)),"⚠ RUT no está en Trabajadores"))</f>
        <v/>
      </c>
      <c r="E2210" s="61"/>
      <c r="F2210" s="61"/>
      <c r="G2210" s="61"/>
      <c r="H2210" s="61"/>
      <c r="I2210" s="81"/>
      <c r="J2210" s="81"/>
      <c r="K2210" s="60"/>
      <c r="L2210" s="60"/>
      <c r="M2210" s="60"/>
      <c r="N2210" s="60"/>
      <c r="O2210" s="60"/>
      <c r="P2210" s="60"/>
      <c r="Q2210" s="60"/>
      <c r="R2210" s="58"/>
      <c r="S2210" s="62" t="str">
        <f aca="false">IF(OR(B2210="",V2210=""),"",IFERROR(INDEX(C_TIPO,MATCH(V2210&amp;"-P"&amp;MAX(1,COUNTIFS(C_RUTN,V2210,C_DEF,"Sí",C_INI,"&lt;="&amp;EOMONTH(B2210,0))),C_CLAVE,0))&amp;"","Sin contrato"))</f>
        <v/>
      </c>
      <c r="T2210" s="63" t="str">
        <f aca="false">IF(OR(B2210="",N(O2210)=0),"",N(O2210)+ROUND(MIN(N(N2210),TOPE_UF*UF_MES)*(TASA_EMP+MUTUAL),0)+ROUND(MIN(N(N2210),TOPE_AFC_UF*UF_MES)*IF(S2210="Indefinido",AFC_INDEF,AFC_PF),0))</f>
        <v/>
      </c>
      <c r="U2210" s="62" t="str">
        <f aca="false">IF(C2210="","",IF(LEFT(D2210,1)="⚠","⚠ RUT no registrado en Trabajadores",IF(B2210="","⚠ Falta el mes",IF(OR(ISTEXT(I2210),ISTEXT(J2210)),"⚠ Atrasos u horas extra como texto: escriba hh:mm (ej. 1:30)",IF(AND(ISNUMBER(Q2210),COUNTIFS(M_RUTN,V2210,M_MES,B2210,M_LIQ,"&lt;&gt;")&gt;1),"⚠ Liquidación repetida en el mes",IF(AND(ISNUMBER(O2210),ISNUMBER(P2210),ISNUMBER(Q2210),ABS(O2210-P2210-Q2210)&gt;1),"⚠ Haberes − descuentos no da el líquido","OK"))))))</f>
        <v/>
      </c>
      <c r="V2210" s="62" t="str">
        <f aca="false">IF(C2210="","",IFERROR(VALUE(LEFT(UPPER(SUBSTITUTE(SUBSTITUTE(SUBSTITUTE(TRIM(C2210),".",""),"-","")," ","")),LEN(UPPER(SUBSTITUTE(SUBSTITUTE(SUBSTITUTE(TRIM(C2210),".",""),"-","")," ","")))-1))&amp;RIGHT(UPPER(SUBSTITUTE(SUBSTITUTE(SUBSTITUTE(TRIM(C2210),".",""),"-","")," ","")),1),UPPER(SUBSTITUTE(SUBSTITUTE(SUBSTITUTE(TRIM(C2210),".",""),"-","")," ",""))))</f>
        <v/>
      </c>
    </row>
    <row r="2211" customFormat="false" ht="15" hidden="false" customHeight="false" outlineLevel="0" collapsed="false">
      <c r="B2211" s="80"/>
      <c r="C2211" s="58"/>
      <c r="D2211" s="62" t="str">
        <f aca="false">IF(C2211="","",IFERROR(INDEX(T_NOMBRE,MATCH(V2211,T_RUTN,0)),"⚠ RUT no está en Trabajadores"))</f>
        <v/>
      </c>
      <c r="E2211" s="61"/>
      <c r="F2211" s="61"/>
      <c r="G2211" s="61"/>
      <c r="H2211" s="61"/>
      <c r="I2211" s="81"/>
      <c r="J2211" s="81"/>
      <c r="K2211" s="60"/>
      <c r="L2211" s="60"/>
      <c r="M2211" s="60"/>
      <c r="N2211" s="60"/>
      <c r="O2211" s="60"/>
      <c r="P2211" s="60"/>
      <c r="Q2211" s="60"/>
      <c r="R2211" s="58"/>
      <c r="S2211" s="62" t="str">
        <f aca="false">IF(OR(B2211="",V2211=""),"",IFERROR(INDEX(C_TIPO,MATCH(V2211&amp;"-P"&amp;MAX(1,COUNTIFS(C_RUTN,V2211,C_DEF,"Sí",C_INI,"&lt;="&amp;EOMONTH(B2211,0))),C_CLAVE,0))&amp;"","Sin contrato"))</f>
        <v/>
      </c>
      <c r="T2211" s="63" t="str">
        <f aca="false">IF(OR(B2211="",N(O2211)=0),"",N(O2211)+ROUND(MIN(N(N2211),TOPE_UF*UF_MES)*(TASA_EMP+MUTUAL),0)+ROUND(MIN(N(N2211),TOPE_AFC_UF*UF_MES)*IF(S2211="Indefinido",AFC_INDEF,AFC_PF),0))</f>
        <v/>
      </c>
      <c r="U2211" s="62" t="str">
        <f aca="false">IF(C2211="","",IF(LEFT(D2211,1)="⚠","⚠ RUT no registrado en Trabajadores",IF(B2211="","⚠ Falta el mes",IF(OR(ISTEXT(I2211),ISTEXT(J2211)),"⚠ Atrasos u horas extra como texto: escriba hh:mm (ej. 1:30)",IF(AND(ISNUMBER(Q2211),COUNTIFS(M_RUTN,V2211,M_MES,B2211,M_LIQ,"&lt;&gt;")&gt;1),"⚠ Liquidación repetida en el mes",IF(AND(ISNUMBER(O2211),ISNUMBER(P2211),ISNUMBER(Q2211),ABS(O2211-P2211-Q2211)&gt;1),"⚠ Haberes − descuentos no da el líquido","OK"))))))</f>
        <v/>
      </c>
      <c r="V2211" s="62" t="str">
        <f aca="false">IF(C2211="","",IFERROR(VALUE(LEFT(UPPER(SUBSTITUTE(SUBSTITUTE(SUBSTITUTE(TRIM(C2211),".",""),"-","")," ","")),LEN(UPPER(SUBSTITUTE(SUBSTITUTE(SUBSTITUTE(TRIM(C2211),".",""),"-","")," ","")))-1))&amp;RIGHT(UPPER(SUBSTITUTE(SUBSTITUTE(SUBSTITUTE(TRIM(C2211),".",""),"-","")," ","")),1),UPPER(SUBSTITUTE(SUBSTITUTE(SUBSTITUTE(TRIM(C2211),".",""),"-","")," ",""))))</f>
        <v/>
      </c>
    </row>
    <row r="2212" customFormat="false" ht="15" hidden="false" customHeight="false" outlineLevel="0" collapsed="false">
      <c r="B2212" s="80"/>
      <c r="C2212" s="58"/>
      <c r="D2212" s="62" t="str">
        <f aca="false">IF(C2212="","",IFERROR(INDEX(T_NOMBRE,MATCH(V2212,T_RUTN,0)),"⚠ RUT no está en Trabajadores"))</f>
        <v/>
      </c>
      <c r="E2212" s="61"/>
      <c r="F2212" s="61"/>
      <c r="G2212" s="61"/>
      <c r="H2212" s="61"/>
      <c r="I2212" s="81"/>
      <c r="J2212" s="81"/>
      <c r="K2212" s="60"/>
      <c r="L2212" s="60"/>
      <c r="M2212" s="60"/>
      <c r="N2212" s="60"/>
      <c r="O2212" s="60"/>
      <c r="P2212" s="60"/>
      <c r="Q2212" s="60"/>
      <c r="R2212" s="58"/>
      <c r="S2212" s="62" t="str">
        <f aca="false">IF(OR(B2212="",V2212=""),"",IFERROR(INDEX(C_TIPO,MATCH(V2212&amp;"-P"&amp;MAX(1,COUNTIFS(C_RUTN,V2212,C_DEF,"Sí",C_INI,"&lt;="&amp;EOMONTH(B2212,0))),C_CLAVE,0))&amp;"","Sin contrato"))</f>
        <v/>
      </c>
      <c r="T2212" s="63" t="str">
        <f aca="false">IF(OR(B2212="",N(O2212)=0),"",N(O2212)+ROUND(MIN(N(N2212),TOPE_UF*UF_MES)*(TASA_EMP+MUTUAL),0)+ROUND(MIN(N(N2212),TOPE_AFC_UF*UF_MES)*IF(S2212="Indefinido",AFC_INDEF,AFC_PF),0))</f>
        <v/>
      </c>
      <c r="U2212" s="62" t="str">
        <f aca="false">IF(C2212="","",IF(LEFT(D2212,1)="⚠","⚠ RUT no registrado en Trabajadores",IF(B2212="","⚠ Falta el mes",IF(OR(ISTEXT(I2212),ISTEXT(J2212)),"⚠ Atrasos u horas extra como texto: escriba hh:mm (ej. 1:30)",IF(AND(ISNUMBER(Q2212),COUNTIFS(M_RUTN,V2212,M_MES,B2212,M_LIQ,"&lt;&gt;")&gt;1),"⚠ Liquidación repetida en el mes",IF(AND(ISNUMBER(O2212),ISNUMBER(P2212),ISNUMBER(Q2212),ABS(O2212-P2212-Q2212)&gt;1),"⚠ Haberes − descuentos no da el líquido","OK"))))))</f>
        <v/>
      </c>
      <c r="V2212" s="62" t="str">
        <f aca="false">IF(C2212="","",IFERROR(VALUE(LEFT(UPPER(SUBSTITUTE(SUBSTITUTE(SUBSTITUTE(TRIM(C2212),".",""),"-","")," ","")),LEN(UPPER(SUBSTITUTE(SUBSTITUTE(SUBSTITUTE(TRIM(C2212),".",""),"-","")," ","")))-1))&amp;RIGHT(UPPER(SUBSTITUTE(SUBSTITUTE(SUBSTITUTE(TRIM(C2212),".",""),"-","")," ","")),1),UPPER(SUBSTITUTE(SUBSTITUTE(SUBSTITUTE(TRIM(C2212),".",""),"-","")," ",""))))</f>
        <v/>
      </c>
    </row>
    <row r="2213" customFormat="false" ht="15" hidden="false" customHeight="false" outlineLevel="0" collapsed="false">
      <c r="B2213" s="80"/>
      <c r="C2213" s="58"/>
      <c r="D2213" s="62" t="str">
        <f aca="false">IF(C2213="","",IFERROR(INDEX(T_NOMBRE,MATCH(V2213,T_RUTN,0)),"⚠ RUT no está en Trabajadores"))</f>
        <v/>
      </c>
      <c r="E2213" s="61"/>
      <c r="F2213" s="61"/>
      <c r="G2213" s="61"/>
      <c r="H2213" s="61"/>
      <c r="I2213" s="81"/>
      <c r="J2213" s="81"/>
      <c r="K2213" s="60"/>
      <c r="L2213" s="60"/>
      <c r="M2213" s="60"/>
      <c r="N2213" s="60"/>
      <c r="O2213" s="60"/>
      <c r="P2213" s="60"/>
      <c r="Q2213" s="60"/>
      <c r="R2213" s="58"/>
      <c r="S2213" s="62" t="str">
        <f aca="false">IF(OR(B2213="",V2213=""),"",IFERROR(INDEX(C_TIPO,MATCH(V2213&amp;"-P"&amp;MAX(1,COUNTIFS(C_RUTN,V2213,C_DEF,"Sí",C_INI,"&lt;="&amp;EOMONTH(B2213,0))),C_CLAVE,0))&amp;"","Sin contrato"))</f>
        <v/>
      </c>
      <c r="T2213" s="63" t="str">
        <f aca="false">IF(OR(B2213="",N(O2213)=0),"",N(O2213)+ROUND(MIN(N(N2213),TOPE_UF*UF_MES)*(TASA_EMP+MUTUAL),0)+ROUND(MIN(N(N2213),TOPE_AFC_UF*UF_MES)*IF(S2213="Indefinido",AFC_INDEF,AFC_PF),0))</f>
        <v/>
      </c>
      <c r="U2213" s="62" t="str">
        <f aca="false">IF(C2213="","",IF(LEFT(D2213,1)="⚠","⚠ RUT no registrado en Trabajadores",IF(B2213="","⚠ Falta el mes",IF(OR(ISTEXT(I2213),ISTEXT(J2213)),"⚠ Atrasos u horas extra como texto: escriba hh:mm (ej. 1:30)",IF(AND(ISNUMBER(Q2213),COUNTIFS(M_RUTN,V2213,M_MES,B2213,M_LIQ,"&lt;&gt;")&gt;1),"⚠ Liquidación repetida en el mes",IF(AND(ISNUMBER(O2213),ISNUMBER(P2213),ISNUMBER(Q2213),ABS(O2213-P2213-Q2213)&gt;1),"⚠ Haberes − descuentos no da el líquido","OK"))))))</f>
        <v/>
      </c>
      <c r="V2213" s="62" t="str">
        <f aca="false">IF(C2213="","",IFERROR(VALUE(LEFT(UPPER(SUBSTITUTE(SUBSTITUTE(SUBSTITUTE(TRIM(C2213),".",""),"-","")," ","")),LEN(UPPER(SUBSTITUTE(SUBSTITUTE(SUBSTITUTE(TRIM(C2213),".",""),"-","")," ","")))-1))&amp;RIGHT(UPPER(SUBSTITUTE(SUBSTITUTE(SUBSTITUTE(TRIM(C2213),".",""),"-","")," ","")),1),UPPER(SUBSTITUTE(SUBSTITUTE(SUBSTITUTE(TRIM(C2213),".",""),"-","")," ",""))))</f>
        <v/>
      </c>
    </row>
    <row r="2214" customFormat="false" ht="15" hidden="false" customHeight="false" outlineLevel="0" collapsed="false">
      <c r="B2214" s="80"/>
      <c r="C2214" s="58"/>
      <c r="D2214" s="62" t="str">
        <f aca="false">IF(C2214="","",IFERROR(INDEX(T_NOMBRE,MATCH(V2214,T_RUTN,0)),"⚠ RUT no está en Trabajadores"))</f>
        <v/>
      </c>
      <c r="E2214" s="61"/>
      <c r="F2214" s="61"/>
      <c r="G2214" s="61"/>
      <c r="H2214" s="61"/>
      <c r="I2214" s="81"/>
      <c r="J2214" s="81"/>
      <c r="K2214" s="60"/>
      <c r="L2214" s="60"/>
      <c r="M2214" s="60"/>
      <c r="N2214" s="60"/>
      <c r="O2214" s="60"/>
      <c r="P2214" s="60"/>
      <c r="Q2214" s="60"/>
      <c r="R2214" s="58"/>
      <c r="S2214" s="62" t="str">
        <f aca="false">IF(OR(B2214="",V2214=""),"",IFERROR(INDEX(C_TIPO,MATCH(V2214&amp;"-P"&amp;MAX(1,COUNTIFS(C_RUTN,V2214,C_DEF,"Sí",C_INI,"&lt;="&amp;EOMONTH(B2214,0))),C_CLAVE,0))&amp;"","Sin contrato"))</f>
        <v/>
      </c>
      <c r="T2214" s="63" t="str">
        <f aca="false">IF(OR(B2214="",N(O2214)=0),"",N(O2214)+ROUND(MIN(N(N2214),TOPE_UF*UF_MES)*(TASA_EMP+MUTUAL),0)+ROUND(MIN(N(N2214),TOPE_AFC_UF*UF_MES)*IF(S2214="Indefinido",AFC_INDEF,AFC_PF),0))</f>
        <v/>
      </c>
      <c r="U2214" s="62" t="str">
        <f aca="false">IF(C2214="","",IF(LEFT(D2214,1)="⚠","⚠ RUT no registrado en Trabajadores",IF(B2214="","⚠ Falta el mes",IF(OR(ISTEXT(I2214),ISTEXT(J2214)),"⚠ Atrasos u horas extra como texto: escriba hh:mm (ej. 1:30)",IF(AND(ISNUMBER(Q2214),COUNTIFS(M_RUTN,V2214,M_MES,B2214,M_LIQ,"&lt;&gt;")&gt;1),"⚠ Liquidación repetida en el mes",IF(AND(ISNUMBER(O2214),ISNUMBER(P2214),ISNUMBER(Q2214),ABS(O2214-P2214-Q2214)&gt;1),"⚠ Haberes − descuentos no da el líquido","OK"))))))</f>
        <v/>
      </c>
      <c r="V2214" s="62" t="str">
        <f aca="false">IF(C2214="","",IFERROR(VALUE(LEFT(UPPER(SUBSTITUTE(SUBSTITUTE(SUBSTITUTE(TRIM(C2214),".",""),"-","")," ","")),LEN(UPPER(SUBSTITUTE(SUBSTITUTE(SUBSTITUTE(TRIM(C2214),".",""),"-","")," ","")))-1))&amp;RIGHT(UPPER(SUBSTITUTE(SUBSTITUTE(SUBSTITUTE(TRIM(C2214),".",""),"-","")," ","")),1),UPPER(SUBSTITUTE(SUBSTITUTE(SUBSTITUTE(TRIM(C2214),".",""),"-","")," ",""))))</f>
        <v/>
      </c>
    </row>
    <row r="2215" customFormat="false" ht="15" hidden="false" customHeight="false" outlineLevel="0" collapsed="false">
      <c r="B2215" s="80"/>
      <c r="C2215" s="58"/>
      <c r="D2215" s="62" t="str">
        <f aca="false">IF(C2215="","",IFERROR(INDEX(T_NOMBRE,MATCH(V2215,T_RUTN,0)),"⚠ RUT no está en Trabajadores"))</f>
        <v/>
      </c>
      <c r="E2215" s="61"/>
      <c r="F2215" s="61"/>
      <c r="G2215" s="61"/>
      <c r="H2215" s="61"/>
      <c r="I2215" s="81"/>
      <c r="J2215" s="81"/>
      <c r="K2215" s="60"/>
      <c r="L2215" s="60"/>
      <c r="M2215" s="60"/>
      <c r="N2215" s="60"/>
      <c r="O2215" s="60"/>
      <c r="P2215" s="60"/>
      <c r="Q2215" s="60"/>
      <c r="R2215" s="58"/>
      <c r="S2215" s="62" t="str">
        <f aca="false">IF(OR(B2215="",V2215=""),"",IFERROR(INDEX(C_TIPO,MATCH(V2215&amp;"-P"&amp;MAX(1,COUNTIFS(C_RUTN,V2215,C_DEF,"Sí",C_INI,"&lt;="&amp;EOMONTH(B2215,0))),C_CLAVE,0))&amp;"","Sin contrato"))</f>
        <v/>
      </c>
      <c r="T2215" s="63" t="str">
        <f aca="false">IF(OR(B2215="",N(O2215)=0),"",N(O2215)+ROUND(MIN(N(N2215),TOPE_UF*UF_MES)*(TASA_EMP+MUTUAL),0)+ROUND(MIN(N(N2215),TOPE_AFC_UF*UF_MES)*IF(S2215="Indefinido",AFC_INDEF,AFC_PF),0))</f>
        <v/>
      </c>
      <c r="U2215" s="62" t="str">
        <f aca="false">IF(C2215="","",IF(LEFT(D2215,1)="⚠","⚠ RUT no registrado en Trabajadores",IF(B2215="","⚠ Falta el mes",IF(OR(ISTEXT(I2215),ISTEXT(J2215)),"⚠ Atrasos u horas extra como texto: escriba hh:mm (ej. 1:30)",IF(AND(ISNUMBER(Q2215),COUNTIFS(M_RUTN,V2215,M_MES,B2215,M_LIQ,"&lt;&gt;")&gt;1),"⚠ Liquidación repetida en el mes",IF(AND(ISNUMBER(O2215),ISNUMBER(P2215),ISNUMBER(Q2215),ABS(O2215-P2215-Q2215)&gt;1),"⚠ Haberes − descuentos no da el líquido","OK"))))))</f>
        <v/>
      </c>
      <c r="V2215" s="62" t="str">
        <f aca="false">IF(C2215="","",IFERROR(VALUE(LEFT(UPPER(SUBSTITUTE(SUBSTITUTE(SUBSTITUTE(TRIM(C2215),".",""),"-","")," ","")),LEN(UPPER(SUBSTITUTE(SUBSTITUTE(SUBSTITUTE(TRIM(C2215),".",""),"-","")," ","")))-1))&amp;RIGHT(UPPER(SUBSTITUTE(SUBSTITUTE(SUBSTITUTE(TRIM(C2215),".",""),"-","")," ","")),1),UPPER(SUBSTITUTE(SUBSTITUTE(SUBSTITUTE(TRIM(C2215),".",""),"-","")," ",""))))</f>
        <v/>
      </c>
    </row>
    <row r="2216" customFormat="false" ht="15" hidden="false" customHeight="false" outlineLevel="0" collapsed="false">
      <c r="B2216" s="80"/>
      <c r="C2216" s="58"/>
      <c r="D2216" s="62" t="str">
        <f aca="false">IF(C2216="","",IFERROR(INDEX(T_NOMBRE,MATCH(V2216,T_RUTN,0)),"⚠ RUT no está en Trabajadores"))</f>
        <v/>
      </c>
      <c r="E2216" s="61"/>
      <c r="F2216" s="61"/>
      <c r="G2216" s="61"/>
      <c r="H2216" s="61"/>
      <c r="I2216" s="81"/>
      <c r="J2216" s="81"/>
      <c r="K2216" s="60"/>
      <c r="L2216" s="60"/>
      <c r="M2216" s="60"/>
      <c r="N2216" s="60"/>
      <c r="O2216" s="60"/>
      <c r="P2216" s="60"/>
      <c r="Q2216" s="60"/>
      <c r="R2216" s="58"/>
      <c r="S2216" s="62" t="str">
        <f aca="false">IF(OR(B2216="",V2216=""),"",IFERROR(INDEX(C_TIPO,MATCH(V2216&amp;"-P"&amp;MAX(1,COUNTIFS(C_RUTN,V2216,C_DEF,"Sí",C_INI,"&lt;="&amp;EOMONTH(B2216,0))),C_CLAVE,0))&amp;"","Sin contrato"))</f>
        <v/>
      </c>
      <c r="T2216" s="63" t="str">
        <f aca="false">IF(OR(B2216="",N(O2216)=0),"",N(O2216)+ROUND(MIN(N(N2216),TOPE_UF*UF_MES)*(TASA_EMP+MUTUAL),0)+ROUND(MIN(N(N2216),TOPE_AFC_UF*UF_MES)*IF(S2216="Indefinido",AFC_INDEF,AFC_PF),0))</f>
        <v/>
      </c>
      <c r="U2216" s="62" t="str">
        <f aca="false">IF(C2216="","",IF(LEFT(D2216,1)="⚠","⚠ RUT no registrado en Trabajadores",IF(B2216="","⚠ Falta el mes",IF(OR(ISTEXT(I2216),ISTEXT(J2216)),"⚠ Atrasos u horas extra como texto: escriba hh:mm (ej. 1:30)",IF(AND(ISNUMBER(Q2216),COUNTIFS(M_RUTN,V2216,M_MES,B2216,M_LIQ,"&lt;&gt;")&gt;1),"⚠ Liquidación repetida en el mes",IF(AND(ISNUMBER(O2216),ISNUMBER(P2216),ISNUMBER(Q2216),ABS(O2216-P2216-Q2216)&gt;1),"⚠ Haberes − descuentos no da el líquido","OK"))))))</f>
        <v/>
      </c>
      <c r="V2216" s="62" t="str">
        <f aca="false">IF(C2216="","",IFERROR(VALUE(LEFT(UPPER(SUBSTITUTE(SUBSTITUTE(SUBSTITUTE(TRIM(C2216),".",""),"-","")," ","")),LEN(UPPER(SUBSTITUTE(SUBSTITUTE(SUBSTITUTE(TRIM(C2216),".",""),"-","")," ","")))-1))&amp;RIGHT(UPPER(SUBSTITUTE(SUBSTITUTE(SUBSTITUTE(TRIM(C2216),".",""),"-","")," ","")),1),UPPER(SUBSTITUTE(SUBSTITUTE(SUBSTITUTE(TRIM(C2216),".",""),"-","")," ",""))))</f>
        <v/>
      </c>
    </row>
    <row r="2217" customFormat="false" ht="15" hidden="false" customHeight="false" outlineLevel="0" collapsed="false">
      <c r="B2217" s="80"/>
      <c r="C2217" s="58"/>
      <c r="D2217" s="62" t="str">
        <f aca="false">IF(C2217="","",IFERROR(INDEX(T_NOMBRE,MATCH(V2217,T_RUTN,0)),"⚠ RUT no está en Trabajadores"))</f>
        <v/>
      </c>
      <c r="E2217" s="61"/>
      <c r="F2217" s="61"/>
      <c r="G2217" s="61"/>
      <c r="H2217" s="61"/>
      <c r="I2217" s="81"/>
      <c r="J2217" s="81"/>
      <c r="K2217" s="60"/>
      <c r="L2217" s="60"/>
      <c r="M2217" s="60"/>
      <c r="N2217" s="60"/>
      <c r="O2217" s="60"/>
      <c r="P2217" s="60"/>
      <c r="Q2217" s="60"/>
      <c r="R2217" s="58"/>
      <c r="S2217" s="62" t="str">
        <f aca="false">IF(OR(B2217="",V2217=""),"",IFERROR(INDEX(C_TIPO,MATCH(V2217&amp;"-P"&amp;MAX(1,COUNTIFS(C_RUTN,V2217,C_DEF,"Sí",C_INI,"&lt;="&amp;EOMONTH(B2217,0))),C_CLAVE,0))&amp;"","Sin contrato"))</f>
        <v/>
      </c>
      <c r="T2217" s="63" t="str">
        <f aca="false">IF(OR(B2217="",N(O2217)=0),"",N(O2217)+ROUND(MIN(N(N2217),TOPE_UF*UF_MES)*(TASA_EMP+MUTUAL),0)+ROUND(MIN(N(N2217),TOPE_AFC_UF*UF_MES)*IF(S2217="Indefinido",AFC_INDEF,AFC_PF),0))</f>
        <v/>
      </c>
      <c r="U2217" s="62" t="str">
        <f aca="false">IF(C2217="","",IF(LEFT(D2217,1)="⚠","⚠ RUT no registrado en Trabajadores",IF(B2217="","⚠ Falta el mes",IF(OR(ISTEXT(I2217),ISTEXT(J2217)),"⚠ Atrasos u horas extra como texto: escriba hh:mm (ej. 1:30)",IF(AND(ISNUMBER(Q2217),COUNTIFS(M_RUTN,V2217,M_MES,B2217,M_LIQ,"&lt;&gt;")&gt;1),"⚠ Liquidación repetida en el mes",IF(AND(ISNUMBER(O2217),ISNUMBER(P2217),ISNUMBER(Q2217),ABS(O2217-P2217-Q2217)&gt;1),"⚠ Haberes − descuentos no da el líquido","OK"))))))</f>
        <v/>
      </c>
      <c r="V2217" s="62" t="str">
        <f aca="false">IF(C2217="","",IFERROR(VALUE(LEFT(UPPER(SUBSTITUTE(SUBSTITUTE(SUBSTITUTE(TRIM(C2217),".",""),"-","")," ","")),LEN(UPPER(SUBSTITUTE(SUBSTITUTE(SUBSTITUTE(TRIM(C2217),".",""),"-","")," ","")))-1))&amp;RIGHT(UPPER(SUBSTITUTE(SUBSTITUTE(SUBSTITUTE(TRIM(C2217),".",""),"-","")," ","")),1),UPPER(SUBSTITUTE(SUBSTITUTE(SUBSTITUTE(TRIM(C2217),".",""),"-","")," ",""))))</f>
        <v/>
      </c>
    </row>
    <row r="2218" customFormat="false" ht="15" hidden="false" customHeight="false" outlineLevel="0" collapsed="false">
      <c r="B2218" s="80"/>
      <c r="C2218" s="58"/>
      <c r="D2218" s="62" t="str">
        <f aca="false">IF(C2218="","",IFERROR(INDEX(T_NOMBRE,MATCH(V2218,T_RUTN,0)),"⚠ RUT no está en Trabajadores"))</f>
        <v/>
      </c>
      <c r="E2218" s="61"/>
      <c r="F2218" s="61"/>
      <c r="G2218" s="61"/>
      <c r="H2218" s="61"/>
      <c r="I2218" s="81"/>
      <c r="J2218" s="81"/>
      <c r="K2218" s="60"/>
      <c r="L2218" s="60"/>
      <c r="M2218" s="60"/>
      <c r="N2218" s="60"/>
      <c r="O2218" s="60"/>
      <c r="P2218" s="60"/>
      <c r="Q2218" s="60"/>
      <c r="R2218" s="58"/>
      <c r="S2218" s="62" t="str">
        <f aca="false">IF(OR(B2218="",V2218=""),"",IFERROR(INDEX(C_TIPO,MATCH(V2218&amp;"-P"&amp;MAX(1,COUNTIFS(C_RUTN,V2218,C_DEF,"Sí",C_INI,"&lt;="&amp;EOMONTH(B2218,0))),C_CLAVE,0))&amp;"","Sin contrato"))</f>
        <v/>
      </c>
      <c r="T2218" s="63" t="str">
        <f aca="false">IF(OR(B2218="",N(O2218)=0),"",N(O2218)+ROUND(MIN(N(N2218),TOPE_UF*UF_MES)*(TASA_EMP+MUTUAL),0)+ROUND(MIN(N(N2218),TOPE_AFC_UF*UF_MES)*IF(S2218="Indefinido",AFC_INDEF,AFC_PF),0))</f>
        <v/>
      </c>
      <c r="U2218" s="62" t="str">
        <f aca="false">IF(C2218="","",IF(LEFT(D2218,1)="⚠","⚠ RUT no registrado en Trabajadores",IF(B2218="","⚠ Falta el mes",IF(OR(ISTEXT(I2218),ISTEXT(J2218)),"⚠ Atrasos u horas extra como texto: escriba hh:mm (ej. 1:30)",IF(AND(ISNUMBER(Q2218),COUNTIFS(M_RUTN,V2218,M_MES,B2218,M_LIQ,"&lt;&gt;")&gt;1),"⚠ Liquidación repetida en el mes",IF(AND(ISNUMBER(O2218),ISNUMBER(P2218),ISNUMBER(Q2218),ABS(O2218-P2218-Q2218)&gt;1),"⚠ Haberes − descuentos no da el líquido","OK"))))))</f>
        <v/>
      </c>
      <c r="V2218" s="62" t="str">
        <f aca="false">IF(C2218="","",IFERROR(VALUE(LEFT(UPPER(SUBSTITUTE(SUBSTITUTE(SUBSTITUTE(TRIM(C2218),".",""),"-","")," ","")),LEN(UPPER(SUBSTITUTE(SUBSTITUTE(SUBSTITUTE(TRIM(C2218),".",""),"-","")," ","")))-1))&amp;RIGHT(UPPER(SUBSTITUTE(SUBSTITUTE(SUBSTITUTE(TRIM(C2218),".",""),"-","")," ","")),1),UPPER(SUBSTITUTE(SUBSTITUTE(SUBSTITUTE(TRIM(C2218),".",""),"-","")," ",""))))</f>
        <v/>
      </c>
    </row>
    <row r="2219" customFormat="false" ht="15" hidden="false" customHeight="false" outlineLevel="0" collapsed="false">
      <c r="B2219" s="80"/>
      <c r="C2219" s="58"/>
      <c r="D2219" s="62" t="str">
        <f aca="false">IF(C2219="","",IFERROR(INDEX(T_NOMBRE,MATCH(V2219,T_RUTN,0)),"⚠ RUT no está en Trabajadores"))</f>
        <v/>
      </c>
      <c r="E2219" s="61"/>
      <c r="F2219" s="61"/>
      <c r="G2219" s="61"/>
      <c r="H2219" s="61"/>
      <c r="I2219" s="81"/>
      <c r="J2219" s="81"/>
      <c r="K2219" s="60"/>
      <c r="L2219" s="60"/>
      <c r="M2219" s="60"/>
      <c r="N2219" s="60"/>
      <c r="O2219" s="60"/>
      <c r="P2219" s="60"/>
      <c r="Q2219" s="60"/>
      <c r="R2219" s="58"/>
      <c r="S2219" s="62" t="str">
        <f aca="false">IF(OR(B2219="",V2219=""),"",IFERROR(INDEX(C_TIPO,MATCH(V2219&amp;"-P"&amp;MAX(1,COUNTIFS(C_RUTN,V2219,C_DEF,"Sí",C_INI,"&lt;="&amp;EOMONTH(B2219,0))),C_CLAVE,0))&amp;"","Sin contrato"))</f>
        <v/>
      </c>
      <c r="T2219" s="63" t="str">
        <f aca="false">IF(OR(B2219="",N(O2219)=0),"",N(O2219)+ROUND(MIN(N(N2219),TOPE_UF*UF_MES)*(TASA_EMP+MUTUAL),0)+ROUND(MIN(N(N2219),TOPE_AFC_UF*UF_MES)*IF(S2219="Indefinido",AFC_INDEF,AFC_PF),0))</f>
        <v/>
      </c>
      <c r="U2219" s="62" t="str">
        <f aca="false">IF(C2219="","",IF(LEFT(D2219,1)="⚠","⚠ RUT no registrado en Trabajadores",IF(B2219="","⚠ Falta el mes",IF(OR(ISTEXT(I2219),ISTEXT(J2219)),"⚠ Atrasos u horas extra como texto: escriba hh:mm (ej. 1:30)",IF(AND(ISNUMBER(Q2219),COUNTIFS(M_RUTN,V2219,M_MES,B2219,M_LIQ,"&lt;&gt;")&gt;1),"⚠ Liquidación repetida en el mes",IF(AND(ISNUMBER(O2219),ISNUMBER(P2219),ISNUMBER(Q2219),ABS(O2219-P2219-Q2219)&gt;1),"⚠ Haberes − descuentos no da el líquido","OK"))))))</f>
        <v/>
      </c>
      <c r="V2219" s="62" t="str">
        <f aca="false">IF(C2219="","",IFERROR(VALUE(LEFT(UPPER(SUBSTITUTE(SUBSTITUTE(SUBSTITUTE(TRIM(C2219),".",""),"-","")," ","")),LEN(UPPER(SUBSTITUTE(SUBSTITUTE(SUBSTITUTE(TRIM(C2219),".",""),"-","")," ","")))-1))&amp;RIGHT(UPPER(SUBSTITUTE(SUBSTITUTE(SUBSTITUTE(TRIM(C2219),".",""),"-","")," ","")),1),UPPER(SUBSTITUTE(SUBSTITUTE(SUBSTITUTE(TRIM(C2219),".",""),"-","")," ",""))))</f>
        <v/>
      </c>
    </row>
    <row r="2220" customFormat="false" ht="15" hidden="false" customHeight="false" outlineLevel="0" collapsed="false">
      <c r="B2220" s="80"/>
      <c r="C2220" s="58"/>
      <c r="D2220" s="62" t="str">
        <f aca="false">IF(C2220="","",IFERROR(INDEX(T_NOMBRE,MATCH(V2220,T_RUTN,0)),"⚠ RUT no está en Trabajadores"))</f>
        <v/>
      </c>
      <c r="E2220" s="61"/>
      <c r="F2220" s="61"/>
      <c r="G2220" s="61"/>
      <c r="H2220" s="61"/>
      <c r="I2220" s="81"/>
      <c r="J2220" s="81"/>
      <c r="K2220" s="60"/>
      <c r="L2220" s="60"/>
      <c r="M2220" s="60"/>
      <c r="N2220" s="60"/>
      <c r="O2220" s="60"/>
      <c r="P2220" s="60"/>
      <c r="Q2220" s="60"/>
      <c r="R2220" s="58"/>
      <c r="S2220" s="62" t="str">
        <f aca="false">IF(OR(B2220="",V2220=""),"",IFERROR(INDEX(C_TIPO,MATCH(V2220&amp;"-P"&amp;MAX(1,COUNTIFS(C_RUTN,V2220,C_DEF,"Sí",C_INI,"&lt;="&amp;EOMONTH(B2220,0))),C_CLAVE,0))&amp;"","Sin contrato"))</f>
        <v/>
      </c>
      <c r="T2220" s="63" t="str">
        <f aca="false">IF(OR(B2220="",N(O2220)=0),"",N(O2220)+ROUND(MIN(N(N2220),TOPE_UF*UF_MES)*(TASA_EMP+MUTUAL),0)+ROUND(MIN(N(N2220),TOPE_AFC_UF*UF_MES)*IF(S2220="Indefinido",AFC_INDEF,AFC_PF),0))</f>
        <v/>
      </c>
      <c r="U2220" s="62" t="str">
        <f aca="false">IF(C2220="","",IF(LEFT(D2220,1)="⚠","⚠ RUT no registrado en Trabajadores",IF(B2220="","⚠ Falta el mes",IF(OR(ISTEXT(I2220),ISTEXT(J2220)),"⚠ Atrasos u horas extra como texto: escriba hh:mm (ej. 1:30)",IF(AND(ISNUMBER(Q2220),COUNTIFS(M_RUTN,V2220,M_MES,B2220,M_LIQ,"&lt;&gt;")&gt;1),"⚠ Liquidación repetida en el mes",IF(AND(ISNUMBER(O2220),ISNUMBER(P2220),ISNUMBER(Q2220),ABS(O2220-P2220-Q2220)&gt;1),"⚠ Haberes − descuentos no da el líquido","OK"))))))</f>
        <v/>
      </c>
      <c r="V2220" s="62" t="str">
        <f aca="false">IF(C2220="","",IFERROR(VALUE(LEFT(UPPER(SUBSTITUTE(SUBSTITUTE(SUBSTITUTE(TRIM(C2220),".",""),"-","")," ","")),LEN(UPPER(SUBSTITUTE(SUBSTITUTE(SUBSTITUTE(TRIM(C2220),".",""),"-","")," ","")))-1))&amp;RIGHT(UPPER(SUBSTITUTE(SUBSTITUTE(SUBSTITUTE(TRIM(C2220),".",""),"-","")," ","")),1),UPPER(SUBSTITUTE(SUBSTITUTE(SUBSTITUTE(TRIM(C2220),".",""),"-","")," ",""))))</f>
        <v/>
      </c>
    </row>
    <row r="2221" customFormat="false" ht="15" hidden="false" customHeight="false" outlineLevel="0" collapsed="false">
      <c r="B2221" s="80"/>
      <c r="C2221" s="58"/>
      <c r="D2221" s="62" t="str">
        <f aca="false">IF(C2221="","",IFERROR(INDEX(T_NOMBRE,MATCH(V2221,T_RUTN,0)),"⚠ RUT no está en Trabajadores"))</f>
        <v/>
      </c>
      <c r="E2221" s="61"/>
      <c r="F2221" s="61"/>
      <c r="G2221" s="61"/>
      <c r="H2221" s="61"/>
      <c r="I2221" s="81"/>
      <c r="J2221" s="81"/>
      <c r="K2221" s="60"/>
      <c r="L2221" s="60"/>
      <c r="M2221" s="60"/>
      <c r="N2221" s="60"/>
      <c r="O2221" s="60"/>
      <c r="P2221" s="60"/>
      <c r="Q2221" s="60"/>
      <c r="R2221" s="58"/>
      <c r="S2221" s="62" t="str">
        <f aca="false">IF(OR(B2221="",V2221=""),"",IFERROR(INDEX(C_TIPO,MATCH(V2221&amp;"-P"&amp;MAX(1,COUNTIFS(C_RUTN,V2221,C_DEF,"Sí",C_INI,"&lt;="&amp;EOMONTH(B2221,0))),C_CLAVE,0))&amp;"","Sin contrato"))</f>
        <v/>
      </c>
      <c r="T2221" s="63" t="str">
        <f aca="false">IF(OR(B2221="",N(O2221)=0),"",N(O2221)+ROUND(MIN(N(N2221),TOPE_UF*UF_MES)*(TASA_EMP+MUTUAL),0)+ROUND(MIN(N(N2221),TOPE_AFC_UF*UF_MES)*IF(S2221="Indefinido",AFC_INDEF,AFC_PF),0))</f>
        <v/>
      </c>
      <c r="U2221" s="62" t="str">
        <f aca="false">IF(C2221="","",IF(LEFT(D2221,1)="⚠","⚠ RUT no registrado en Trabajadores",IF(B2221="","⚠ Falta el mes",IF(OR(ISTEXT(I2221),ISTEXT(J2221)),"⚠ Atrasos u horas extra como texto: escriba hh:mm (ej. 1:30)",IF(AND(ISNUMBER(Q2221),COUNTIFS(M_RUTN,V2221,M_MES,B2221,M_LIQ,"&lt;&gt;")&gt;1),"⚠ Liquidación repetida en el mes",IF(AND(ISNUMBER(O2221),ISNUMBER(P2221),ISNUMBER(Q2221),ABS(O2221-P2221-Q2221)&gt;1),"⚠ Haberes − descuentos no da el líquido","OK"))))))</f>
        <v/>
      </c>
      <c r="V2221" s="62" t="str">
        <f aca="false">IF(C2221="","",IFERROR(VALUE(LEFT(UPPER(SUBSTITUTE(SUBSTITUTE(SUBSTITUTE(TRIM(C2221),".",""),"-","")," ","")),LEN(UPPER(SUBSTITUTE(SUBSTITUTE(SUBSTITUTE(TRIM(C2221),".",""),"-","")," ","")))-1))&amp;RIGHT(UPPER(SUBSTITUTE(SUBSTITUTE(SUBSTITUTE(TRIM(C2221),".",""),"-","")," ","")),1),UPPER(SUBSTITUTE(SUBSTITUTE(SUBSTITUTE(TRIM(C2221),".",""),"-","")," ",""))))</f>
        <v/>
      </c>
    </row>
    <row r="2222" customFormat="false" ht="15" hidden="false" customHeight="false" outlineLevel="0" collapsed="false">
      <c r="B2222" s="80"/>
      <c r="C2222" s="58"/>
      <c r="D2222" s="62" t="str">
        <f aca="false">IF(C2222="","",IFERROR(INDEX(T_NOMBRE,MATCH(V2222,T_RUTN,0)),"⚠ RUT no está en Trabajadores"))</f>
        <v/>
      </c>
      <c r="E2222" s="61"/>
      <c r="F2222" s="61"/>
      <c r="G2222" s="61"/>
      <c r="H2222" s="61"/>
      <c r="I2222" s="81"/>
      <c r="J2222" s="81"/>
      <c r="K2222" s="60"/>
      <c r="L2222" s="60"/>
      <c r="M2222" s="60"/>
      <c r="N2222" s="60"/>
      <c r="O2222" s="60"/>
      <c r="P2222" s="60"/>
      <c r="Q2222" s="60"/>
      <c r="R2222" s="58"/>
      <c r="S2222" s="62" t="str">
        <f aca="false">IF(OR(B2222="",V2222=""),"",IFERROR(INDEX(C_TIPO,MATCH(V2222&amp;"-P"&amp;MAX(1,COUNTIFS(C_RUTN,V2222,C_DEF,"Sí",C_INI,"&lt;="&amp;EOMONTH(B2222,0))),C_CLAVE,0))&amp;"","Sin contrato"))</f>
        <v/>
      </c>
      <c r="T2222" s="63" t="str">
        <f aca="false">IF(OR(B2222="",N(O2222)=0),"",N(O2222)+ROUND(MIN(N(N2222),TOPE_UF*UF_MES)*(TASA_EMP+MUTUAL),0)+ROUND(MIN(N(N2222),TOPE_AFC_UF*UF_MES)*IF(S2222="Indefinido",AFC_INDEF,AFC_PF),0))</f>
        <v/>
      </c>
      <c r="U2222" s="62" t="str">
        <f aca="false">IF(C2222="","",IF(LEFT(D2222,1)="⚠","⚠ RUT no registrado en Trabajadores",IF(B2222="","⚠ Falta el mes",IF(OR(ISTEXT(I2222),ISTEXT(J2222)),"⚠ Atrasos u horas extra como texto: escriba hh:mm (ej. 1:30)",IF(AND(ISNUMBER(Q2222),COUNTIFS(M_RUTN,V2222,M_MES,B2222,M_LIQ,"&lt;&gt;")&gt;1),"⚠ Liquidación repetida en el mes",IF(AND(ISNUMBER(O2222),ISNUMBER(P2222),ISNUMBER(Q2222),ABS(O2222-P2222-Q2222)&gt;1),"⚠ Haberes − descuentos no da el líquido","OK"))))))</f>
        <v/>
      </c>
      <c r="V2222" s="62" t="str">
        <f aca="false">IF(C2222="","",IFERROR(VALUE(LEFT(UPPER(SUBSTITUTE(SUBSTITUTE(SUBSTITUTE(TRIM(C2222),".",""),"-","")," ","")),LEN(UPPER(SUBSTITUTE(SUBSTITUTE(SUBSTITUTE(TRIM(C2222),".",""),"-","")," ","")))-1))&amp;RIGHT(UPPER(SUBSTITUTE(SUBSTITUTE(SUBSTITUTE(TRIM(C2222),".",""),"-","")," ","")),1),UPPER(SUBSTITUTE(SUBSTITUTE(SUBSTITUTE(TRIM(C2222),".",""),"-","")," ",""))))</f>
        <v/>
      </c>
    </row>
    <row r="2223" customFormat="false" ht="15" hidden="false" customHeight="false" outlineLevel="0" collapsed="false">
      <c r="B2223" s="80"/>
      <c r="C2223" s="58"/>
      <c r="D2223" s="62" t="str">
        <f aca="false">IF(C2223="","",IFERROR(INDEX(T_NOMBRE,MATCH(V2223,T_RUTN,0)),"⚠ RUT no está en Trabajadores"))</f>
        <v/>
      </c>
      <c r="E2223" s="61"/>
      <c r="F2223" s="61"/>
      <c r="G2223" s="61"/>
      <c r="H2223" s="61"/>
      <c r="I2223" s="81"/>
      <c r="J2223" s="81"/>
      <c r="K2223" s="60"/>
      <c r="L2223" s="60"/>
      <c r="M2223" s="60"/>
      <c r="N2223" s="60"/>
      <c r="O2223" s="60"/>
      <c r="P2223" s="60"/>
      <c r="Q2223" s="60"/>
      <c r="R2223" s="58"/>
      <c r="S2223" s="62" t="str">
        <f aca="false">IF(OR(B2223="",V2223=""),"",IFERROR(INDEX(C_TIPO,MATCH(V2223&amp;"-P"&amp;MAX(1,COUNTIFS(C_RUTN,V2223,C_DEF,"Sí",C_INI,"&lt;="&amp;EOMONTH(B2223,0))),C_CLAVE,0))&amp;"","Sin contrato"))</f>
        <v/>
      </c>
      <c r="T2223" s="63" t="str">
        <f aca="false">IF(OR(B2223="",N(O2223)=0),"",N(O2223)+ROUND(MIN(N(N2223),TOPE_UF*UF_MES)*(TASA_EMP+MUTUAL),0)+ROUND(MIN(N(N2223),TOPE_AFC_UF*UF_MES)*IF(S2223="Indefinido",AFC_INDEF,AFC_PF),0))</f>
        <v/>
      </c>
      <c r="U2223" s="62" t="str">
        <f aca="false">IF(C2223="","",IF(LEFT(D2223,1)="⚠","⚠ RUT no registrado en Trabajadores",IF(B2223="","⚠ Falta el mes",IF(OR(ISTEXT(I2223),ISTEXT(J2223)),"⚠ Atrasos u horas extra como texto: escriba hh:mm (ej. 1:30)",IF(AND(ISNUMBER(Q2223),COUNTIFS(M_RUTN,V2223,M_MES,B2223,M_LIQ,"&lt;&gt;")&gt;1),"⚠ Liquidación repetida en el mes",IF(AND(ISNUMBER(O2223),ISNUMBER(P2223),ISNUMBER(Q2223),ABS(O2223-P2223-Q2223)&gt;1),"⚠ Haberes − descuentos no da el líquido","OK"))))))</f>
        <v/>
      </c>
      <c r="V2223" s="62" t="str">
        <f aca="false">IF(C2223="","",IFERROR(VALUE(LEFT(UPPER(SUBSTITUTE(SUBSTITUTE(SUBSTITUTE(TRIM(C2223),".",""),"-","")," ","")),LEN(UPPER(SUBSTITUTE(SUBSTITUTE(SUBSTITUTE(TRIM(C2223),".",""),"-","")," ","")))-1))&amp;RIGHT(UPPER(SUBSTITUTE(SUBSTITUTE(SUBSTITUTE(TRIM(C2223),".",""),"-","")," ","")),1),UPPER(SUBSTITUTE(SUBSTITUTE(SUBSTITUTE(TRIM(C2223),".",""),"-","")," ",""))))</f>
        <v/>
      </c>
    </row>
    <row r="2224" customFormat="false" ht="15" hidden="false" customHeight="false" outlineLevel="0" collapsed="false">
      <c r="B2224" s="80"/>
      <c r="C2224" s="58"/>
      <c r="D2224" s="62" t="str">
        <f aca="false">IF(C2224="","",IFERROR(INDEX(T_NOMBRE,MATCH(V2224,T_RUTN,0)),"⚠ RUT no está en Trabajadores"))</f>
        <v/>
      </c>
      <c r="E2224" s="61"/>
      <c r="F2224" s="61"/>
      <c r="G2224" s="61"/>
      <c r="H2224" s="61"/>
      <c r="I2224" s="81"/>
      <c r="J2224" s="81"/>
      <c r="K2224" s="60"/>
      <c r="L2224" s="60"/>
      <c r="M2224" s="60"/>
      <c r="N2224" s="60"/>
      <c r="O2224" s="60"/>
      <c r="P2224" s="60"/>
      <c r="Q2224" s="60"/>
      <c r="R2224" s="58"/>
      <c r="S2224" s="62" t="str">
        <f aca="false">IF(OR(B2224="",V2224=""),"",IFERROR(INDEX(C_TIPO,MATCH(V2224&amp;"-P"&amp;MAX(1,COUNTIFS(C_RUTN,V2224,C_DEF,"Sí",C_INI,"&lt;="&amp;EOMONTH(B2224,0))),C_CLAVE,0))&amp;"","Sin contrato"))</f>
        <v/>
      </c>
      <c r="T2224" s="63" t="str">
        <f aca="false">IF(OR(B2224="",N(O2224)=0),"",N(O2224)+ROUND(MIN(N(N2224),TOPE_UF*UF_MES)*(TASA_EMP+MUTUAL),0)+ROUND(MIN(N(N2224),TOPE_AFC_UF*UF_MES)*IF(S2224="Indefinido",AFC_INDEF,AFC_PF),0))</f>
        <v/>
      </c>
      <c r="U2224" s="62" t="str">
        <f aca="false">IF(C2224="","",IF(LEFT(D2224,1)="⚠","⚠ RUT no registrado en Trabajadores",IF(B2224="","⚠ Falta el mes",IF(OR(ISTEXT(I2224),ISTEXT(J2224)),"⚠ Atrasos u horas extra como texto: escriba hh:mm (ej. 1:30)",IF(AND(ISNUMBER(Q2224),COUNTIFS(M_RUTN,V2224,M_MES,B2224,M_LIQ,"&lt;&gt;")&gt;1),"⚠ Liquidación repetida en el mes",IF(AND(ISNUMBER(O2224),ISNUMBER(P2224),ISNUMBER(Q2224),ABS(O2224-P2224-Q2224)&gt;1),"⚠ Haberes − descuentos no da el líquido","OK"))))))</f>
        <v/>
      </c>
      <c r="V2224" s="62" t="str">
        <f aca="false">IF(C2224="","",IFERROR(VALUE(LEFT(UPPER(SUBSTITUTE(SUBSTITUTE(SUBSTITUTE(TRIM(C2224),".",""),"-","")," ","")),LEN(UPPER(SUBSTITUTE(SUBSTITUTE(SUBSTITUTE(TRIM(C2224),".",""),"-","")," ","")))-1))&amp;RIGHT(UPPER(SUBSTITUTE(SUBSTITUTE(SUBSTITUTE(TRIM(C2224),".",""),"-","")," ","")),1),UPPER(SUBSTITUTE(SUBSTITUTE(SUBSTITUTE(TRIM(C2224),".",""),"-","")," ",""))))</f>
        <v/>
      </c>
    </row>
    <row r="2225" customFormat="false" ht="15" hidden="false" customHeight="false" outlineLevel="0" collapsed="false">
      <c r="B2225" s="80"/>
      <c r="C2225" s="58"/>
      <c r="D2225" s="62" t="str">
        <f aca="false">IF(C2225="","",IFERROR(INDEX(T_NOMBRE,MATCH(V2225,T_RUTN,0)),"⚠ RUT no está en Trabajadores"))</f>
        <v/>
      </c>
      <c r="E2225" s="61"/>
      <c r="F2225" s="61"/>
      <c r="G2225" s="61"/>
      <c r="H2225" s="61"/>
      <c r="I2225" s="81"/>
      <c r="J2225" s="81"/>
      <c r="K2225" s="60"/>
      <c r="L2225" s="60"/>
      <c r="M2225" s="60"/>
      <c r="N2225" s="60"/>
      <c r="O2225" s="60"/>
      <c r="P2225" s="60"/>
      <c r="Q2225" s="60"/>
      <c r="R2225" s="58"/>
      <c r="S2225" s="62" t="str">
        <f aca="false">IF(OR(B2225="",V2225=""),"",IFERROR(INDEX(C_TIPO,MATCH(V2225&amp;"-P"&amp;MAX(1,COUNTIFS(C_RUTN,V2225,C_DEF,"Sí",C_INI,"&lt;="&amp;EOMONTH(B2225,0))),C_CLAVE,0))&amp;"","Sin contrato"))</f>
        <v/>
      </c>
      <c r="T2225" s="63" t="str">
        <f aca="false">IF(OR(B2225="",N(O2225)=0),"",N(O2225)+ROUND(MIN(N(N2225),TOPE_UF*UF_MES)*(TASA_EMP+MUTUAL),0)+ROUND(MIN(N(N2225),TOPE_AFC_UF*UF_MES)*IF(S2225="Indefinido",AFC_INDEF,AFC_PF),0))</f>
        <v/>
      </c>
      <c r="U2225" s="62" t="str">
        <f aca="false">IF(C2225="","",IF(LEFT(D2225,1)="⚠","⚠ RUT no registrado en Trabajadores",IF(B2225="","⚠ Falta el mes",IF(OR(ISTEXT(I2225),ISTEXT(J2225)),"⚠ Atrasos u horas extra como texto: escriba hh:mm (ej. 1:30)",IF(AND(ISNUMBER(Q2225),COUNTIFS(M_RUTN,V2225,M_MES,B2225,M_LIQ,"&lt;&gt;")&gt;1),"⚠ Liquidación repetida en el mes",IF(AND(ISNUMBER(O2225),ISNUMBER(P2225),ISNUMBER(Q2225),ABS(O2225-P2225-Q2225)&gt;1),"⚠ Haberes − descuentos no da el líquido","OK"))))))</f>
        <v/>
      </c>
      <c r="V2225" s="62" t="str">
        <f aca="false">IF(C2225="","",IFERROR(VALUE(LEFT(UPPER(SUBSTITUTE(SUBSTITUTE(SUBSTITUTE(TRIM(C2225),".",""),"-","")," ","")),LEN(UPPER(SUBSTITUTE(SUBSTITUTE(SUBSTITUTE(TRIM(C2225),".",""),"-","")," ","")))-1))&amp;RIGHT(UPPER(SUBSTITUTE(SUBSTITUTE(SUBSTITUTE(TRIM(C2225),".",""),"-","")," ","")),1),UPPER(SUBSTITUTE(SUBSTITUTE(SUBSTITUTE(TRIM(C2225),".",""),"-","")," ",""))))</f>
        <v/>
      </c>
    </row>
    <row r="2226" customFormat="false" ht="15" hidden="false" customHeight="false" outlineLevel="0" collapsed="false">
      <c r="B2226" s="80"/>
      <c r="C2226" s="58"/>
      <c r="D2226" s="62" t="str">
        <f aca="false">IF(C2226="","",IFERROR(INDEX(T_NOMBRE,MATCH(V2226,T_RUTN,0)),"⚠ RUT no está en Trabajadores"))</f>
        <v/>
      </c>
      <c r="E2226" s="61"/>
      <c r="F2226" s="61"/>
      <c r="G2226" s="61"/>
      <c r="H2226" s="61"/>
      <c r="I2226" s="81"/>
      <c r="J2226" s="81"/>
      <c r="K2226" s="60"/>
      <c r="L2226" s="60"/>
      <c r="M2226" s="60"/>
      <c r="N2226" s="60"/>
      <c r="O2226" s="60"/>
      <c r="P2226" s="60"/>
      <c r="Q2226" s="60"/>
      <c r="R2226" s="58"/>
      <c r="S2226" s="62" t="str">
        <f aca="false">IF(OR(B2226="",V2226=""),"",IFERROR(INDEX(C_TIPO,MATCH(V2226&amp;"-P"&amp;MAX(1,COUNTIFS(C_RUTN,V2226,C_DEF,"Sí",C_INI,"&lt;="&amp;EOMONTH(B2226,0))),C_CLAVE,0))&amp;"","Sin contrato"))</f>
        <v/>
      </c>
      <c r="T2226" s="63" t="str">
        <f aca="false">IF(OR(B2226="",N(O2226)=0),"",N(O2226)+ROUND(MIN(N(N2226),TOPE_UF*UF_MES)*(TASA_EMP+MUTUAL),0)+ROUND(MIN(N(N2226),TOPE_AFC_UF*UF_MES)*IF(S2226="Indefinido",AFC_INDEF,AFC_PF),0))</f>
        <v/>
      </c>
      <c r="U2226" s="62" t="str">
        <f aca="false">IF(C2226="","",IF(LEFT(D2226,1)="⚠","⚠ RUT no registrado en Trabajadores",IF(B2226="","⚠ Falta el mes",IF(OR(ISTEXT(I2226),ISTEXT(J2226)),"⚠ Atrasos u horas extra como texto: escriba hh:mm (ej. 1:30)",IF(AND(ISNUMBER(Q2226),COUNTIFS(M_RUTN,V2226,M_MES,B2226,M_LIQ,"&lt;&gt;")&gt;1),"⚠ Liquidación repetida en el mes",IF(AND(ISNUMBER(O2226),ISNUMBER(P2226),ISNUMBER(Q2226),ABS(O2226-P2226-Q2226)&gt;1),"⚠ Haberes − descuentos no da el líquido","OK"))))))</f>
        <v/>
      </c>
      <c r="V2226" s="62" t="str">
        <f aca="false">IF(C2226="","",IFERROR(VALUE(LEFT(UPPER(SUBSTITUTE(SUBSTITUTE(SUBSTITUTE(TRIM(C2226),".",""),"-","")," ","")),LEN(UPPER(SUBSTITUTE(SUBSTITUTE(SUBSTITUTE(TRIM(C2226),".",""),"-","")," ","")))-1))&amp;RIGHT(UPPER(SUBSTITUTE(SUBSTITUTE(SUBSTITUTE(TRIM(C2226),".",""),"-","")," ","")),1),UPPER(SUBSTITUTE(SUBSTITUTE(SUBSTITUTE(TRIM(C2226),".",""),"-","")," ",""))))</f>
        <v/>
      </c>
    </row>
    <row r="2227" customFormat="false" ht="15" hidden="false" customHeight="false" outlineLevel="0" collapsed="false">
      <c r="B2227" s="80"/>
      <c r="C2227" s="58"/>
      <c r="D2227" s="62" t="str">
        <f aca="false">IF(C2227="","",IFERROR(INDEX(T_NOMBRE,MATCH(V2227,T_RUTN,0)),"⚠ RUT no está en Trabajadores"))</f>
        <v/>
      </c>
      <c r="E2227" s="61"/>
      <c r="F2227" s="61"/>
      <c r="G2227" s="61"/>
      <c r="H2227" s="61"/>
      <c r="I2227" s="81"/>
      <c r="J2227" s="81"/>
      <c r="K2227" s="60"/>
      <c r="L2227" s="60"/>
      <c r="M2227" s="60"/>
      <c r="N2227" s="60"/>
      <c r="O2227" s="60"/>
      <c r="P2227" s="60"/>
      <c r="Q2227" s="60"/>
      <c r="R2227" s="58"/>
      <c r="S2227" s="62" t="str">
        <f aca="false">IF(OR(B2227="",V2227=""),"",IFERROR(INDEX(C_TIPO,MATCH(V2227&amp;"-P"&amp;MAX(1,COUNTIFS(C_RUTN,V2227,C_DEF,"Sí",C_INI,"&lt;="&amp;EOMONTH(B2227,0))),C_CLAVE,0))&amp;"","Sin contrato"))</f>
        <v/>
      </c>
      <c r="T2227" s="63" t="str">
        <f aca="false">IF(OR(B2227="",N(O2227)=0),"",N(O2227)+ROUND(MIN(N(N2227),TOPE_UF*UF_MES)*(TASA_EMP+MUTUAL),0)+ROUND(MIN(N(N2227),TOPE_AFC_UF*UF_MES)*IF(S2227="Indefinido",AFC_INDEF,AFC_PF),0))</f>
        <v/>
      </c>
      <c r="U2227" s="62" t="str">
        <f aca="false">IF(C2227="","",IF(LEFT(D2227,1)="⚠","⚠ RUT no registrado en Trabajadores",IF(B2227="","⚠ Falta el mes",IF(OR(ISTEXT(I2227),ISTEXT(J2227)),"⚠ Atrasos u horas extra como texto: escriba hh:mm (ej. 1:30)",IF(AND(ISNUMBER(Q2227),COUNTIFS(M_RUTN,V2227,M_MES,B2227,M_LIQ,"&lt;&gt;")&gt;1),"⚠ Liquidación repetida en el mes",IF(AND(ISNUMBER(O2227),ISNUMBER(P2227),ISNUMBER(Q2227),ABS(O2227-P2227-Q2227)&gt;1),"⚠ Haberes − descuentos no da el líquido","OK"))))))</f>
        <v/>
      </c>
      <c r="V2227" s="62" t="str">
        <f aca="false">IF(C2227="","",IFERROR(VALUE(LEFT(UPPER(SUBSTITUTE(SUBSTITUTE(SUBSTITUTE(TRIM(C2227),".",""),"-","")," ","")),LEN(UPPER(SUBSTITUTE(SUBSTITUTE(SUBSTITUTE(TRIM(C2227),".",""),"-","")," ","")))-1))&amp;RIGHT(UPPER(SUBSTITUTE(SUBSTITUTE(SUBSTITUTE(TRIM(C2227),".",""),"-","")," ","")),1),UPPER(SUBSTITUTE(SUBSTITUTE(SUBSTITUTE(TRIM(C2227),".",""),"-","")," ",""))))</f>
        <v/>
      </c>
    </row>
    <row r="2228" customFormat="false" ht="15" hidden="false" customHeight="false" outlineLevel="0" collapsed="false">
      <c r="B2228" s="80"/>
      <c r="C2228" s="58"/>
      <c r="D2228" s="62" t="str">
        <f aca="false">IF(C2228="","",IFERROR(INDEX(T_NOMBRE,MATCH(V2228,T_RUTN,0)),"⚠ RUT no está en Trabajadores"))</f>
        <v/>
      </c>
      <c r="E2228" s="61"/>
      <c r="F2228" s="61"/>
      <c r="G2228" s="61"/>
      <c r="H2228" s="61"/>
      <c r="I2228" s="81"/>
      <c r="J2228" s="81"/>
      <c r="K2228" s="60"/>
      <c r="L2228" s="60"/>
      <c r="M2228" s="60"/>
      <c r="N2228" s="60"/>
      <c r="O2228" s="60"/>
      <c r="P2228" s="60"/>
      <c r="Q2228" s="60"/>
      <c r="R2228" s="58"/>
      <c r="S2228" s="62" t="str">
        <f aca="false">IF(OR(B2228="",V2228=""),"",IFERROR(INDEX(C_TIPO,MATCH(V2228&amp;"-P"&amp;MAX(1,COUNTIFS(C_RUTN,V2228,C_DEF,"Sí",C_INI,"&lt;="&amp;EOMONTH(B2228,0))),C_CLAVE,0))&amp;"","Sin contrato"))</f>
        <v/>
      </c>
      <c r="T2228" s="63" t="str">
        <f aca="false">IF(OR(B2228="",N(O2228)=0),"",N(O2228)+ROUND(MIN(N(N2228),TOPE_UF*UF_MES)*(TASA_EMP+MUTUAL),0)+ROUND(MIN(N(N2228),TOPE_AFC_UF*UF_MES)*IF(S2228="Indefinido",AFC_INDEF,AFC_PF),0))</f>
        <v/>
      </c>
      <c r="U2228" s="62" t="str">
        <f aca="false">IF(C2228="","",IF(LEFT(D2228,1)="⚠","⚠ RUT no registrado en Trabajadores",IF(B2228="","⚠ Falta el mes",IF(OR(ISTEXT(I2228),ISTEXT(J2228)),"⚠ Atrasos u horas extra como texto: escriba hh:mm (ej. 1:30)",IF(AND(ISNUMBER(Q2228),COUNTIFS(M_RUTN,V2228,M_MES,B2228,M_LIQ,"&lt;&gt;")&gt;1),"⚠ Liquidación repetida en el mes",IF(AND(ISNUMBER(O2228),ISNUMBER(P2228),ISNUMBER(Q2228),ABS(O2228-P2228-Q2228)&gt;1),"⚠ Haberes − descuentos no da el líquido","OK"))))))</f>
        <v/>
      </c>
      <c r="V2228" s="62" t="str">
        <f aca="false">IF(C2228="","",IFERROR(VALUE(LEFT(UPPER(SUBSTITUTE(SUBSTITUTE(SUBSTITUTE(TRIM(C2228),".",""),"-","")," ","")),LEN(UPPER(SUBSTITUTE(SUBSTITUTE(SUBSTITUTE(TRIM(C2228),".",""),"-","")," ","")))-1))&amp;RIGHT(UPPER(SUBSTITUTE(SUBSTITUTE(SUBSTITUTE(TRIM(C2228),".",""),"-","")," ","")),1),UPPER(SUBSTITUTE(SUBSTITUTE(SUBSTITUTE(TRIM(C2228),".",""),"-","")," ",""))))</f>
        <v/>
      </c>
    </row>
    <row r="2229" customFormat="false" ht="15" hidden="false" customHeight="false" outlineLevel="0" collapsed="false">
      <c r="B2229" s="80"/>
      <c r="C2229" s="58"/>
      <c r="D2229" s="62" t="str">
        <f aca="false">IF(C2229="","",IFERROR(INDEX(T_NOMBRE,MATCH(V2229,T_RUTN,0)),"⚠ RUT no está en Trabajadores"))</f>
        <v/>
      </c>
      <c r="E2229" s="61"/>
      <c r="F2229" s="61"/>
      <c r="G2229" s="61"/>
      <c r="H2229" s="61"/>
      <c r="I2229" s="81"/>
      <c r="J2229" s="81"/>
      <c r="K2229" s="60"/>
      <c r="L2229" s="60"/>
      <c r="M2229" s="60"/>
      <c r="N2229" s="60"/>
      <c r="O2229" s="60"/>
      <c r="P2229" s="60"/>
      <c r="Q2229" s="60"/>
      <c r="R2229" s="58"/>
      <c r="S2229" s="62" t="str">
        <f aca="false">IF(OR(B2229="",V2229=""),"",IFERROR(INDEX(C_TIPO,MATCH(V2229&amp;"-P"&amp;MAX(1,COUNTIFS(C_RUTN,V2229,C_DEF,"Sí",C_INI,"&lt;="&amp;EOMONTH(B2229,0))),C_CLAVE,0))&amp;"","Sin contrato"))</f>
        <v/>
      </c>
      <c r="T2229" s="63" t="str">
        <f aca="false">IF(OR(B2229="",N(O2229)=0),"",N(O2229)+ROUND(MIN(N(N2229),TOPE_UF*UF_MES)*(TASA_EMP+MUTUAL),0)+ROUND(MIN(N(N2229),TOPE_AFC_UF*UF_MES)*IF(S2229="Indefinido",AFC_INDEF,AFC_PF),0))</f>
        <v/>
      </c>
      <c r="U2229" s="62" t="str">
        <f aca="false">IF(C2229="","",IF(LEFT(D2229,1)="⚠","⚠ RUT no registrado en Trabajadores",IF(B2229="","⚠ Falta el mes",IF(OR(ISTEXT(I2229),ISTEXT(J2229)),"⚠ Atrasos u horas extra como texto: escriba hh:mm (ej. 1:30)",IF(AND(ISNUMBER(Q2229),COUNTIFS(M_RUTN,V2229,M_MES,B2229,M_LIQ,"&lt;&gt;")&gt;1),"⚠ Liquidación repetida en el mes",IF(AND(ISNUMBER(O2229),ISNUMBER(P2229),ISNUMBER(Q2229),ABS(O2229-P2229-Q2229)&gt;1),"⚠ Haberes − descuentos no da el líquido","OK"))))))</f>
        <v/>
      </c>
      <c r="V2229" s="62" t="str">
        <f aca="false">IF(C2229="","",IFERROR(VALUE(LEFT(UPPER(SUBSTITUTE(SUBSTITUTE(SUBSTITUTE(TRIM(C2229),".",""),"-","")," ","")),LEN(UPPER(SUBSTITUTE(SUBSTITUTE(SUBSTITUTE(TRIM(C2229),".",""),"-","")," ","")))-1))&amp;RIGHT(UPPER(SUBSTITUTE(SUBSTITUTE(SUBSTITUTE(TRIM(C2229),".",""),"-","")," ","")),1),UPPER(SUBSTITUTE(SUBSTITUTE(SUBSTITUTE(TRIM(C2229),".",""),"-","")," ",""))))</f>
        <v/>
      </c>
    </row>
    <row r="2230" customFormat="false" ht="15" hidden="false" customHeight="false" outlineLevel="0" collapsed="false">
      <c r="B2230" s="80"/>
      <c r="C2230" s="58"/>
      <c r="D2230" s="62" t="str">
        <f aca="false">IF(C2230="","",IFERROR(INDEX(T_NOMBRE,MATCH(V2230,T_RUTN,0)),"⚠ RUT no está en Trabajadores"))</f>
        <v/>
      </c>
      <c r="E2230" s="61"/>
      <c r="F2230" s="61"/>
      <c r="G2230" s="61"/>
      <c r="H2230" s="61"/>
      <c r="I2230" s="81"/>
      <c r="J2230" s="81"/>
      <c r="K2230" s="60"/>
      <c r="L2230" s="60"/>
      <c r="M2230" s="60"/>
      <c r="N2230" s="60"/>
      <c r="O2230" s="60"/>
      <c r="P2230" s="60"/>
      <c r="Q2230" s="60"/>
      <c r="R2230" s="58"/>
      <c r="S2230" s="62" t="str">
        <f aca="false">IF(OR(B2230="",V2230=""),"",IFERROR(INDEX(C_TIPO,MATCH(V2230&amp;"-P"&amp;MAX(1,COUNTIFS(C_RUTN,V2230,C_DEF,"Sí",C_INI,"&lt;="&amp;EOMONTH(B2230,0))),C_CLAVE,0))&amp;"","Sin contrato"))</f>
        <v/>
      </c>
      <c r="T2230" s="63" t="str">
        <f aca="false">IF(OR(B2230="",N(O2230)=0),"",N(O2230)+ROUND(MIN(N(N2230),TOPE_UF*UF_MES)*(TASA_EMP+MUTUAL),0)+ROUND(MIN(N(N2230),TOPE_AFC_UF*UF_MES)*IF(S2230="Indefinido",AFC_INDEF,AFC_PF),0))</f>
        <v/>
      </c>
      <c r="U2230" s="62" t="str">
        <f aca="false">IF(C2230="","",IF(LEFT(D2230,1)="⚠","⚠ RUT no registrado en Trabajadores",IF(B2230="","⚠ Falta el mes",IF(OR(ISTEXT(I2230),ISTEXT(J2230)),"⚠ Atrasos u horas extra como texto: escriba hh:mm (ej. 1:30)",IF(AND(ISNUMBER(Q2230),COUNTIFS(M_RUTN,V2230,M_MES,B2230,M_LIQ,"&lt;&gt;")&gt;1),"⚠ Liquidación repetida en el mes",IF(AND(ISNUMBER(O2230),ISNUMBER(P2230),ISNUMBER(Q2230),ABS(O2230-P2230-Q2230)&gt;1),"⚠ Haberes − descuentos no da el líquido","OK"))))))</f>
        <v/>
      </c>
      <c r="V2230" s="62" t="str">
        <f aca="false">IF(C2230="","",IFERROR(VALUE(LEFT(UPPER(SUBSTITUTE(SUBSTITUTE(SUBSTITUTE(TRIM(C2230),".",""),"-","")," ","")),LEN(UPPER(SUBSTITUTE(SUBSTITUTE(SUBSTITUTE(TRIM(C2230),".",""),"-","")," ","")))-1))&amp;RIGHT(UPPER(SUBSTITUTE(SUBSTITUTE(SUBSTITUTE(TRIM(C2230),".",""),"-","")," ","")),1),UPPER(SUBSTITUTE(SUBSTITUTE(SUBSTITUTE(TRIM(C2230),".",""),"-","")," ",""))))</f>
        <v/>
      </c>
    </row>
    <row r="2231" customFormat="false" ht="15" hidden="false" customHeight="false" outlineLevel="0" collapsed="false">
      <c r="B2231" s="80"/>
      <c r="C2231" s="58"/>
      <c r="D2231" s="62" t="str">
        <f aca="false">IF(C2231="","",IFERROR(INDEX(T_NOMBRE,MATCH(V2231,T_RUTN,0)),"⚠ RUT no está en Trabajadores"))</f>
        <v/>
      </c>
      <c r="E2231" s="61"/>
      <c r="F2231" s="61"/>
      <c r="G2231" s="61"/>
      <c r="H2231" s="61"/>
      <c r="I2231" s="81"/>
      <c r="J2231" s="81"/>
      <c r="K2231" s="60"/>
      <c r="L2231" s="60"/>
      <c r="M2231" s="60"/>
      <c r="N2231" s="60"/>
      <c r="O2231" s="60"/>
      <c r="P2231" s="60"/>
      <c r="Q2231" s="60"/>
      <c r="R2231" s="58"/>
      <c r="S2231" s="62" t="str">
        <f aca="false">IF(OR(B2231="",V2231=""),"",IFERROR(INDEX(C_TIPO,MATCH(V2231&amp;"-P"&amp;MAX(1,COUNTIFS(C_RUTN,V2231,C_DEF,"Sí",C_INI,"&lt;="&amp;EOMONTH(B2231,0))),C_CLAVE,0))&amp;"","Sin contrato"))</f>
        <v/>
      </c>
      <c r="T2231" s="63" t="str">
        <f aca="false">IF(OR(B2231="",N(O2231)=0),"",N(O2231)+ROUND(MIN(N(N2231),TOPE_UF*UF_MES)*(TASA_EMP+MUTUAL),0)+ROUND(MIN(N(N2231),TOPE_AFC_UF*UF_MES)*IF(S2231="Indefinido",AFC_INDEF,AFC_PF),0))</f>
        <v/>
      </c>
      <c r="U2231" s="62" t="str">
        <f aca="false">IF(C2231="","",IF(LEFT(D2231,1)="⚠","⚠ RUT no registrado en Trabajadores",IF(B2231="","⚠ Falta el mes",IF(OR(ISTEXT(I2231),ISTEXT(J2231)),"⚠ Atrasos u horas extra como texto: escriba hh:mm (ej. 1:30)",IF(AND(ISNUMBER(Q2231),COUNTIFS(M_RUTN,V2231,M_MES,B2231,M_LIQ,"&lt;&gt;")&gt;1),"⚠ Liquidación repetida en el mes",IF(AND(ISNUMBER(O2231),ISNUMBER(P2231),ISNUMBER(Q2231),ABS(O2231-P2231-Q2231)&gt;1),"⚠ Haberes − descuentos no da el líquido","OK"))))))</f>
        <v/>
      </c>
      <c r="V2231" s="62" t="str">
        <f aca="false">IF(C2231="","",IFERROR(VALUE(LEFT(UPPER(SUBSTITUTE(SUBSTITUTE(SUBSTITUTE(TRIM(C2231),".",""),"-","")," ","")),LEN(UPPER(SUBSTITUTE(SUBSTITUTE(SUBSTITUTE(TRIM(C2231),".",""),"-","")," ","")))-1))&amp;RIGHT(UPPER(SUBSTITUTE(SUBSTITUTE(SUBSTITUTE(TRIM(C2231),".",""),"-","")," ","")),1),UPPER(SUBSTITUTE(SUBSTITUTE(SUBSTITUTE(TRIM(C2231),".",""),"-","")," ",""))))</f>
        <v/>
      </c>
    </row>
    <row r="2232" customFormat="false" ht="15" hidden="false" customHeight="false" outlineLevel="0" collapsed="false">
      <c r="B2232" s="80"/>
      <c r="C2232" s="58"/>
      <c r="D2232" s="62" t="str">
        <f aca="false">IF(C2232="","",IFERROR(INDEX(T_NOMBRE,MATCH(V2232,T_RUTN,0)),"⚠ RUT no está en Trabajadores"))</f>
        <v/>
      </c>
      <c r="E2232" s="61"/>
      <c r="F2232" s="61"/>
      <c r="G2232" s="61"/>
      <c r="H2232" s="61"/>
      <c r="I2232" s="81"/>
      <c r="J2232" s="81"/>
      <c r="K2232" s="60"/>
      <c r="L2232" s="60"/>
      <c r="M2232" s="60"/>
      <c r="N2232" s="60"/>
      <c r="O2232" s="60"/>
      <c r="P2232" s="60"/>
      <c r="Q2232" s="60"/>
      <c r="R2232" s="58"/>
      <c r="S2232" s="62" t="str">
        <f aca="false">IF(OR(B2232="",V2232=""),"",IFERROR(INDEX(C_TIPO,MATCH(V2232&amp;"-P"&amp;MAX(1,COUNTIFS(C_RUTN,V2232,C_DEF,"Sí",C_INI,"&lt;="&amp;EOMONTH(B2232,0))),C_CLAVE,0))&amp;"","Sin contrato"))</f>
        <v/>
      </c>
      <c r="T2232" s="63" t="str">
        <f aca="false">IF(OR(B2232="",N(O2232)=0),"",N(O2232)+ROUND(MIN(N(N2232),TOPE_UF*UF_MES)*(TASA_EMP+MUTUAL),0)+ROUND(MIN(N(N2232),TOPE_AFC_UF*UF_MES)*IF(S2232="Indefinido",AFC_INDEF,AFC_PF),0))</f>
        <v/>
      </c>
      <c r="U2232" s="62" t="str">
        <f aca="false">IF(C2232="","",IF(LEFT(D2232,1)="⚠","⚠ RUT no registrado en Trabajadores",IF(B2232="","⚠ Falta el mes",IF(OR(ISTEXT(I2232),ISTEXT(J2232)),"⚠ Atrasos u horas extra como texto: escriba hh:mm (ej. 1:30)",IF(AND(ISNUMBER(Q2232),COUNTIFS(M_RUTN,V2232,M_MES,B2232,M_LIQ,"&lt;&gt;")&gt;1),"⚠ Liquidación repetida en el mes",IF(AND(ISNUMBER(O2232),ISNUMBER(P2232),ISNUMBER(Q2232),ABS(O2232-P2232-Q2232)&gt;1),"⚠ Haberes − descuentos no da el líquido","OK"))))))</f>
        <v/>
      </c>
      <c r="V2232" s="62" t="str">
        <f aca="false">IF(C2232="","",IFERROR(VALUE(LEFT(UPPER(SUBSTITUTE(SUBSTITUTE(SUBSTITUTE(TRIM(C2232),".",""),"-","")," ","")),LEN(UPPER(SUBSTITUTE(SUBSTITUTE(SUBSTITUTE(TRIM(C2232),".",""),"-","")," ","")))-1))&amp;RIGHT(UPPER(SUBSTITUTE(SUBSTITUTE(SUBSTITUTE(TRIM(C2232),".",""),"-","")," ","")),1),UPPER(SUBSTITUTE(SUBSTITUTE(SUBSTITUTE(TRIM(C2232),".",""),"-","")," ",""))))</f>
        <v/>
      </c>
    </row>
    <row r="2233" customFormat="false" ht="15" hidden="false" customHeight="false" outlineLevel="0" collapsed="false">
      <c r="B2233" s="80"/>
      <c r="C2233" s="58"/>
      <c r="D2233" s="62" t="str">
        <f aca="false">IF(C2233="","",IFERROR(INDEX(T_NOMBRE,MATCH(V2233,T_RUTN,0)),"⚠ RUT no está en Trabajadores"))</f>
        <v/>
      </c>
      <c r="E2233" s="61"/>
      <c r="F2233" s="61"/>
      <c r="G2233" s="61"/>
      <c r="H2233" s="61"/>
      <c r="I2233" s="81"/>
      <c r="J2233" s="81"/>
      <c r="K2233" s="60"/>
      <c r="L2233" s="60"/>
      <c r="M2233" s="60"/>
      <c r="N2233" s="60"/>
      <c r="O2233" s="60"/>
      <c r="P2233" s="60"/>
      <c r="Q2233" s="60"/>
      <c r="R2233" s="58"/>
      <c r="S2233" s="62" t="str">
        <f aca="false">IF(OR(B2233="",V2233=""),"",IFERROR(INDEX(C_TIPO,MATCH(V2233&amp;"-P"&amp;MAX(1,COUNTIFS(C_RUTN,V2233,C_DEF,"Sí",C_INI,"&lt;="&amp;EOMONTH(B2233,0))),C_CLAVE,0))&amp;"","Sin contrato"))</f>
        <v/>
      </c>
      <c r="T2233" s="63" t="str">
        <f aca="false">IF(OR(B2233="",N(O2233)=0),"",N(O2233)+ROUND(MIN(N(N2233),TOPE_UF*UF_MES)*(TASA_EMP+MUTUAL),0)+ROUND(MIN(N(N2233),TOPE_AFC_UF*UF_MES)*IF(S2233="Indefinido",AFC_INDEF,AFC_PF),0))</f>
        <v/>
      </c>
      <c r="U2233" s="62" t="str">
        <f aca="false">IF(C2233="","",IF(LEFT(D2233,1)="⚠","⚠ RUT no registrado en Trabajadores",IF(B2233="","⚠ Falta el mes",IF(OR(ISTEXT(I2233),ISTEXT(J2233)),"⚠ Atrasos u horas extra como texto: escriba hh:mm (ej. 1:30)",IF(AND(ISNUMBER(Q2233),COUNTIFS(M_RUTN,V2233,M_MES,B2233,M_LIQ,"&lt;&gt;")&gt;1),"⚠ Liquidación repetida en el mes",IF(AND(ISNUMBER(O2233),ISNUMBER(P2233),ISNUMBER(Q2233),ABS(O2233-P2233-Q2233)&gt;1),"⚠ Haberes − descuentos no da el líquido","OK"))))))</f>
        <v/>
      </c>
      <c r="V2233" s="62" t="str">
        <f aca="false">IF(C2233="","",IFERROR(VALUE(LEFT(UPPER(SUBSTITUTE(SUBSTITUTE(SUBSTITUTE(TRIM(C2233),".",""),"-","")," ","")),LEN(UPPER(SUBSTITUTE(SUBSTITUTE(SUBSTITUTE(TRIM(C2233),".",""),"-","")," ","")))-1))&amp;RIGHT(UPPER(SUBSTITUTE(SUBSTITUTE(SUBSTITUTE(TRIM(C2233),".",""),"-","")," ","")),1),UPPER(SUBSTITUTE(SUBSTITUTE(SUBSTITUTE(TRIM(C2233),".",""),"-","")," ",""))))</f>
        <v/>
      </c>
    </row>
    <row r="2234" customFormat="false" ht="15" hidden="false" customHeight="false" outlineLevel="0" collapsed="false">
      <c r="B2234" s="80"/>
      <c r="C2234" s="58"/>
      <c r="D2234" s="62" t="str">
        <f aca="false">IF(C2234="","",IFERROR(INDEX(T_NOMBRE,MATCH(V2234,T_RUTN,0)),"⚠ RUT no está en Trabajadores"))</f>
        <v/>
      </c>
      <c r="E2234" s="61"/>
      <c r="F2234" s="61"/>
      <c r="G2234" s="61"/>
      <c r="H2234" s="61"/>
      <c r="I2234" s="81"/>
      <c r="J2234" s="81"/>
      <c r="K2234" s="60"/>
      <c r="L2234" s="60"/>
      <c r="M2234" s="60"/>
      <c r="N2234" s="60"/>
      <c r="O2234" s="60"/>
      <c r="P2234" s="60"/>
      <c r="Q2234" s="60"/>
      <c r="R2234" s="58"/>
      <c r="S2234" s="62" t="str">
        <f aca="false">IF(OR(B2234="",V2234=""),"",IFERROR(INDEX(C_TIPO,MATCH(V2234&amp;"-P"&amp;MAX(1,COUNTIFS(C_RUTN,V2234,C_DEF,"Sí",C_INI,"&lt;="&amp;EOMONTH(B2234,0))),C_CLAVE,0))&amp;"","Sin contrato"))</f>
        <v/>
      </c>
      <c r="T2234" s="63" t="str">
        <f aca="false">IF(OR(B2234="",N(O2234)=0),"",N(O2234)+ROUND(MIN(N(N2234),TOPE_UF*UF_MES)*(TASA_EMP+MUTUAL),0)+ROUND(MIN(N(N2234),TOPE_AFC_UF*UF_MES)*IF(S2234="Indefinido",AFC_INDEF,AFC_PF),0))</f>
        <v/>
      </c>
      <c r="U2234" s="62" t="str">
        <f aca="false">IF(C2234="","",IF(LEFT(D2234,1)="⚠","⚠ RUT no registrado en Trabajadores",IF(B2234="","⚠ Falta el mes",IF(OR(ISTEXT(I2234),ISTEXT(J2234)),"⚠ Atrasos u horas extra como texto: escriba hh:mm (ej. 1:30)",IF(AND(ISNUMBER(Q2234),COUNTIFS(M_RUTN,V2234,M_MES,B2234,M_LIQ,"&lt;&gt;")&gt;1),"⚠ Liquidación repetida en el mes",IF(AND(ISNUMBER(O2234),ISNUMBER(P2234),ISNUMBER(Q2234),ABS(O2234-P2234-Q2234)&gt;1),"⚠ Haberes − descuentos no da el líquido","OK"))))))</f>
        <v/>
      </c>
      <c r="V2234" s="62" t="str">
        <f aca="false">IF(C2234="","",IFERROR(VALUE(LEFT(UPPER(SUBSTITUTE(SUBSTITUTE(SUBSTITUTE(TRIM(C2234),".",""),"-","")," ","")),LEN(UPPER(SUBSTITUTE(SUBSTITUTE(SUBSTITUTE(TRIM(C2234),".",""),"-","")," ","")))-1))&amp;RIGHT(UPPER(SUBSTITUTE(SUBSTITUTE(SUBSTITUTE(TRIM(C2234),".",""),"-","")," ","")),1),UPPER(SUBSTITUTE(SUBSTITUTE(SUBSTITUTE(TRIM(C2234),".",""),"-","")," ",""))))</f>
        <v/>
      </c>
    </row>
    <row r="2235" customFormat="false" ht="15" hidden="false" customHeight="false" outlineLevel="0" collapsed="false">
      <c r="B2235" s="80"/>
      <c r="C2235" s="58"/>
      <c r="D2235" s="62" t="str">
        <f aca="false">IF(C2235="","",IFERROR(INDEX(T_NOMBRE,MATCH(V2235,T_RUTN,0)),"⚠ RUT no está en Trabajadores"))</f>
        <v/>
      </c>
      <c r="E2235" s="61"/>
      <c r="F2235" s="61"/>
      <c r="G2235" s="61"/>
      <c r="H2235" s="61"/>
      <c r="I2235" s="81"/>
      <c r="J2235" s="81"/>
      <c r="K2235" s="60"/>
      <c r="L2235" s="60"/>
      <c r="M2235" s="60"/>
      <c r="N2235" s="60"/>
      <c r="O2235" s="60"/>
      <c r="P2235" s="60"/>
      <c r="Q2235" s="60"/>
      <c r="R2235" s="58"/>
      <c r="S2235" s="62" t="str">
        <f aca="false">IF(OR(B2235="",V2235=""),"",IFERROR(INDEX(C_TIPO,MATCH(V2235&amp;"-P"&amp;MAX(1,COUNTIFS(C_RUTN,V2235,C_DEF,"Sí",C_INI,"&lt;="&amp;EOMONTH(B2235,0))),C_CLAVE,0))&amp;"","Sin contrato"))</f>
        <v/>
      </c>
      <c r="T2235" s="63" t="str">
        <f aca="false">IF(OR(B2235="",N(O2235)=0),"",N(O2235)+ROUND(MIN(N(N2235),TOPE_UF*UF_MES)*(TASA_EMP+MUTUAL),0)+ROUND(MIN(N(N2235),TOPE_AFC_UF*UF_MES)*IF(S2235="Indefinido",AFC_INDEF,AFC_PF),0))</f>
        <v/>
      </c>
      <c r="U2235" s="62" t="str">
        <f aca="false">IF(C2235="","",IF(LEFT(D2235,1)="⚠","⚠ RUT no registrado en Trabajadores",IF(B2235="","⚠ Falta el mes",IF(OR(ISTEXT(I2235),ISTEXT(J2235)),"⚠ Atrasos u horas extra como texto: escriba hh:mm (ej. 1:30)",IF(AND(ISNUMBER(Q2235),COUNTIFS(M_RUTN,V2235,M_MES,B2235,M_LIQ,"&lt;&gt;")&gt;1),"⚠ Liquidación repetida en el mes",IF(AND(ISNUMBER(O2235),ISNUMBER(P2235),ISNUMBER(Q2235),ABS(O2235-P2235-Q2235)&gt;1),"⚠ Haberes − descuentos no da el líquido","OK"))))))</f>
        <v/>
      </c>
      <c r="V2235" s="62" t="str">
        <f aca="false">IF(C2235="","",IFERROR(VALUE(LEFT(UPPER(SUBSTITUTE(SUBSTITUTE(SUBSTITUTE(TRIM(C2235),".",""),"-","")," ","")),LEN(UPPER(SUBSTITUTE(SUBSTITUTE(SUBSTITUTE(TRIM(C2235),".",""),"-","")," ","")))-1))&amp;RIGHT(UPPER(SUBSTITUTE(SUBSTITUTE(SUBSTITUTE(TRIM(C2235),".",""),"-","")," ","")),1),UPPER(SUBSTITUTE(SUBSTITUTE(SUBSTITUTE(TRIM(C2235),".",""),"-","")," ",""))))</f>
        <v/>
      </c>
    </row>
    <row r="2236" customFormat="false" ht="15" hidden="false" customHeight="false" outlineLevel="0" collapsed="false">
      <c r="B2236" s="80"/>
      <c r="C2236" s="58"/>
      <c r="D2236" s="62" t="str">
        <f aca="false">IF(C2236="","",IFERROR(INDEX(T_NOMBRE,MATCH(V2236,T_RUTN,0)),"⚠ RUT no está en Trabajadores"))</f>
        <v/>
      </c>
      <c r="E2236" s="61"/>
      <c r="F2236" s="61"/>
      <c r="G2236" s="61"/>
      <c r="H2236" s="61"/>
      <c r="I2236" s="81"/>
      <c r="J2236" s="81"/>
      <c r="K2236" s="60"/>
      <c r="L2236" s="60"/>
      <c r="M2236" s="60"/>
      <c r="N2236" s="60"/>
      <c r="O2236" s="60"/>
      <c r="P2236" s="60"/>
      <c r="Q2236" s="60"/>
      <c r="R2236" s="58"/>
      <c r="S2236" s="62" t="str">
        <f aca="false">IF(OR(B2236="",V2236=""),"",IFERROR(INDEX(C_TIPO,MATCH(V2236&amp;"-P"&amp;MAX(1,COUNTIFS(C_RUTN,V2236,C_DEF,"Sí",C_INI,"&lt;="&amp;EOMONTH(B2236,0))),C_CLAVE,0))&amp;"","Sin contrato"))</f>
        <v/>
      </c>
      <c r="T2236" s="63" t="str">
        <f aca="false">IF(OR(B2236="",N(O2236)=0),"",N(O2236)+ROUND(MIN(N(N2236),TOPE_UF*UF_MES)*(TASA_EMP+MUTUAL),0)+ROUND(MIN(N(N2236),TOPE_AFC_UF*UF_MES)*IF(S2236="Indefinido",AFC_INDEF,AFC_PF),0))</f>
        <v/>
      </c>
      <c r="U2236" s="62" t="str">
        <f aca="false">IF(C2236="","",IF(LEFT(D2236,1)="⚠","⚠ RUT no registrado en Trabajadores",IF(B2236="","⚠ Falta el mes",IF(OR(ISTEXT(I2236),ISTEXT(J2236)),"⚠ Atrasos u horas extra como texto: escriba hh:mm (ej. 1:30)",IF(AND(ISNUMBER(Q2236),COUNTIFS(M_RUTN,V2236,M_MES,B2236,M_LIQ,"&lt;&gt;")&gt;1),"⚠ Liquidación repetida en el mes",IF(AND(ISNUMBER(O2236),ISNUMBER(P2236),ISNUMBER(Q2236),ABS(O2236-P2236-Q2236)&gt;1),"⚠ Haberes − descuentos no da el líquido","OK"))))))</f>
        <v/>
      </c>
      <c r="V2236" s="62" t="str">
        <f aca="false">IF(C2236="","",IFERROR(VALUE(LEFT(UPPER(SUBSTITUTE(SUBSTITUTE(SUBSTITUTE(TRIM(C2236),".",""),"-","")," ","")),LEN(UPPER(SUBSTITUTE(SUBSTITUTE(SUBSTITUTE(TRIM(C2236),".",""),"-","")," ","")))-1))&amp;RIGHT(UPPER(SUBSTITUTE(SUBSTITUTE(SUBSTITUTE(TRIM(C2236),".",""),"-","")," ","")),1),UPPER(SUBSTITUTE(SUBSTITUTE(SUBSTITUTE(TRIM(C2236),".",""),"-","")," ",""))))</f>
        <v/>
      </c>
    </row>
    <row r="2237" customFormat="false" ht="15" hidden="false" customHeight="false" outlineLevel="0" collapsed="false">
      <c r="B2237" s="80"/>
      <c r="C2237" s="58"/>
      <c r="D2237" s="62" t="str">
        <f aca="false">IF(C2237="","",IFERROR(INDEX(T_NOMBRE,MATCH(V2237,T_RUTN,0)),"⚠ RUT no está en Trabajadores"))</f>
        <v/>
      </c>
      <c r="E2237" s="61"/>
      <c r="F2237" s="61"/>
      <c r="G2237" s="61"/>
      <c r="H2237" s="61"/>
      <c r="I2237" s="81"/>
      <c r="J2237" s="81"/>
      <c r="K2237" s="60"/>
      <c r="L2237" s="60"/>
      <c r="M2237" s="60"/>
      <c r="N2237" s="60"/>
      <c r="O2237" s="60"/>
      <c r="P2237" s="60"/>
      <c r="Q2237" s="60"/>
      <c r="R2237" s="58"/>
      <c r="S2237" s="62" t="str">
        <f aca="false">IF(OR(B2237="",V2237=""),"",IFERROR(INDEX(C_TIPO,MATCH(V2237&amp;"-P"&amp;MAX(1,COUNTIFS(C_RUTN,V2237,C_DEF,"Sí",C_INI,"&lt;="&amp;EOMONTH(B2237,0))),C_CLAVE,0))&amp;"","Sin contrato"))</f>
        <v/>
      </c>
      <c r="T2237" s="63" t="str">
        <f aca="false">IF(OR(B2237="",N(O2237)=0),"",N(O2237)+ROUND(MIN(N(N2237),TOPE_UF*UF_MES)*(TASA_EMP+MUTUAL),0)+ROUND(MIN(N(N2237),TOPE_AFC_UF*UF_MES)*IF(S2237="Indefinido",AFC_INDEF,AFC_PF),0))</f>
        <v/>
      </c>
      <c r="U2237" s="62" t="str">
        <f aca="false">IF(C2237="","",IF(LEFT(D2237,1)="⚠","⚠ RUT no registrado en Trabajadores",IF(B2237="","⚠ Falta el mes",IF(OR(ISTEXT(I2237),ISTEXT(J2237)),"⚠ Atrasos u horas extra como texto: escriba hh:mm (ej. 1:30)",IF(AND(ISNUMBER(Q2237),COUNTIFS(M_RUTN,V2237,M_MES,B2237,M_LIQ,"&lt;&gt;")&gt;1),"⚠ Liquidación repetida en el mes",IF(AND(ISNUMBER(O2237),ISNUMBER(P2237),ISNUMBER(Q2237),ABS(O2237-P2237-Q2237)&gt;1),"⚠ Haberes − descuentos no da el líquido","OK"))))))</f>
        <v/>
      </c>
      <c r="V2237" s="62" t="str">
        <f aca="false">IF(C2237="","",IFERROR(VALUE(LEFT(UPPER(SUBSTITUTE(SUBSTITUTE(SUBSTITUTE(TRIM(C2237),".",""),"-","")," ","")),LEN(UPPER(SUBSTITUTE(SUBSTITUTE(SUBSTITUTE(TRIM(C2237),".",""),"-","")," ","")))-1))&amp;RIGHT(UPPER(SUBSTITUTE(SUBSTITUTE(SUBSTITUTE(TRIM(C2237),".",""),"-","")," ","")),1),UPPER(SUBSTITUTE(SUBSTITUTE(SUBSTITUTE(TRIM(C2237),".",""),"-","")," ",""))))</f>
        <v/>
      </c>
    </row>
    <row r="2238" customFormat="false" ht="15" hidden="false" customHeight="false" outlineLevel="0" collapsed="false">
      <c r="B2238" s="80"/>
      <c r="C2238" s="58"/>
      <c r="D2238" s="62" t="str">
        <f aca="false">IF(C2238="","",IFERROR(INDEX(T_NOMBRE,MATCH(V2238,T_RUTN,0)),"⚠ RUT no está en Trabajadores"))</f>
        <v/>
      </c>
      <c r="E2238" s="61"/>
      <c r="F2238" s="61"/>
      <c r="G2238" s="61"/>
      <c r="H2238" s="61"/>
      <c r="I2238" s="81"/>
      <c r="J2238" s="81"/>
      <c r="K2238" s="60"/>
      <c r="L2238" s="60"/>
      <c r="M2238" s="60"/>
      <c r="N2238" s="60"/>
      <c r="O2238" s="60"/>
      <c r="P2238" s="60"/>
      <c r="Q2238" s="60"/>
      <c r="R2238" s="58"/>
      <c r="S2238" s="62" t="str">
        <f aca="false">IF(OR(B2238="",V2238=""),"",IFERROR(INDEX(C_TIPO,MATCH(V2238&amp;"-P"&amp;MAX(1,COUNTIFS(C_RUTN,V2238,C_DEF,"Sí",C_INI,"&lt;="&amp;EOMONTH(B2238,0))),C_CLAVE,0))&amp;"","Sin contrato"))</f>
        <v/>
      </c>
      <c r="T2238" s="63" t="str">
        <f aca="false">IF(OR(B2238="",N(O2238)=0),"",N(O2238)+ROUND(MIN(N(N2238),TOPE_UF*UF_MES)*(TASA_EMP+MUTUAL),0)+ROUND(MIN(N(N2238),TOPE_AFC_UF*UF_MES)*IF(S2238="Indefinido",AFC_INDEF,AFC_PF),0))</f>
        <v/>
      </c>
      <c r="U2238" s="62" t="str">
        <f aca="false">IF(C2238="","",IF(LEFT(D2238,1)="⚠","⚠ RUT no registrado en Trabajadores",IF(B2238="","⚠ Falta el mes",IF(OR(ISTEXT(I2238),ISTEXT(J2238)),"⚠ Atrasos u horas extra como texto: escriba hh:mm (ej. 1:30)",IF(AND(ISNUMBER(Q2238),COUNTIFS(M_RUTN,V2238,M_MES,B2238,M_LIQ,"&lt;&gt;")&gt;1),"⚠ Liquidación repetida en el mes",IF(AND(ISNUMBER(O2238),ISNUMBER(P2238),ISNUMBER(Q2238),ABS(O2238-P2238-Q2238)&gt;1),"⚠ Haberes − descuentos no da el líquido","OK"))))))</f>
        <v/>
      </c>
      <c r="V2238" s="62" t="str">
        <f aca="false">IF(C2238="","",IFERROR(VALUE(LEFT(UPPER(SUBSTITUTE(SUBSTITUTE(SUBSTITUTE(TRIM(C2238),".",""),"-","")," ","")),LEN(UPPER(SUBSTITUTE(SUBSTITUTE(SUBSTITUTE(TRIM(C2238),".",""),"-","")," ","")))-1))&amp;RIGHT(UPPER(SUBSTITUTE(SUBSTITUTE(SUBSTITUTE(TRIM(C2238),".",""),"-","")," ","")),1),UPPER(SUBSTITUTE(SUBSTITUTE(SUBSTITUTE(TRIM(C2238),".",""),"-","")," ",""))))</f>
        <v/>
      </c>
    </row>
    <row r="2239" customFormat="false" ht="15" hidden="false" customHeight="false" outlineLevel="0" collapsed="false">
      <c r="B2239" s="80"/>
      <c r="C2239" s="58"/>
      <c r="D2239" s="62" t="str">
        <f aca="false">IF(C2239="","",IFERROR(INDEX(T_NOMBRE,MATCH(V2239,T_RUTN,0)),"⚠ RUT no está en Trabajadores"))</f>
        <v/>
      </c>
      <c r="E2239" s="61"/>
      <c r="F2239" s="61"/>
      <c r="G2239" s="61"/>
      <c r="H2239" s="61"/>
      <c r="I2239" s="81"/>
      <c r="J2239" s="81"/>
      <c r="K2239" s="60"/>
      <c r="L2239" s="60"/>
      <c r="M2239" s="60"/>
      <c r="N2239" s="60"/>
      <c r="O2239" s="60"/>
      <c r="P2239" s="60"/>
      <c r="Q2239" s="60"/>
      <c r="R2239" s="58"/>
      <c r="S2239" s="62" t="str">
        <f aca="false">IF(OR(B2239="",V2239=""),"",IFERROR(INDEX(C_TIPO,MATCH(V2239&amp;"-P"&amp;MAX(1,COUNTIFS(C_RUTN,V2239,C_DEF,"Sí",C_INI,"&lt;="&amp;EOMONTH(B2239,0))),C_CLAVE,0))&amp;"","Sin contrato"))</f>
        <v/>
      </c>
      <c r="T2239" s="63" t="str">
        <f aca="false">IF(OR(B2239="",N(O2239)=0),"",N(O2239)+ROUND(MIN(N(N2239),TOPE_UF*UF_MES)*(TASA_EMP+MUTUAL),0)+ROUND(MIN(N(N2239),TOPE_AFC_UF*UF_MES)*IF(S2239="Indefinido",AFC_INDEF,AFC_PF),0))</f>
        <v/>
      </c>
      <c r="U2239" s="62" t="str">
        <f aca="false">IF(C2239="","",IF(LEFT(D2239,1)="⚠","⚠ RUT no registrado en Trabajadores",IF(B2239="","⚠ Falta el mes",IF(OR(ISTEXT(I2239),ISTEXT(J2239)),"⚠ Atrasos u horas extra como texto: escriba hh:mm (ej. 1:30)",IF(AND(ISNUMBER(Q2239),COUNTIFS(M_RUTN,V2239,M_MES,B2239,M_LIQ,"&lt;&gt;")&gt;1),"⚠ Liquidación repetida en el mes",IF(AND(ISNUMBER(O2239),ISNUMBER(P2239),ISNUMBER(Q2239),ABS(O2239-P2239-Q2239)&gt;1),"⚠ Haberes − descuentos no da el líquido","OK"))))))</f>
        <v/>
      </c>
      <c r="V2239" s="62" t="str">
        <f aca="false">IF(C2239="","",IFERROR(VALUE(LEFT(UPPER(SUBSTITUTE(SUBSTITUTE(SUBSTITUTE(TRIM(C2239),".",""),"-","")," ","")),LEN(UPPER(SUBSTITUTE(SUBSTITUTE(SUBSTITUTE(TRIM(C2239),".",""),"-","")," ","")))-1))&amp;RIGHT(UPPER(SUBSTITUTE(SUBSTITUTE(SUBSTITUTE(TRIM(C2239),".",""),"-","")," ","")),1),UPPER(SUBSTITUTE(SUBSTITUTE(SUBSTITUTE(TRIM(C2239),".",""),"-","")," ",""))))</f>
        <v/>
      </c>
    </row>
    <row r="2240" customFormat="false" ht="15" hidden="false" customHeight="false" outlineLevel="0" collapsed="false">
      <c r="B2240" s="80"/>
      <c r="C2240" s="58"/>
      <c r="D2240" s="62" t="str">
        <f aca="false">IF(C2240="","",IFERROR(INDEX(T_NOMBRE,MATCH(V2240,T_RUTN,0)),"⚠ RUT no está en Trabajadores"))</f>
        <v/>
      </c>
      <c r="E2240" s="61"/>
      <c r="F2240" s="61"/>
      <c r="G2240" s="61"/>
      <c r="H2240" s="61"/>
      <c r="I2240" s="81"/>
      <c r="J2240" s="81"/>
      <c r="K2240" s="60"/>
      <c r="L2240" s="60"/>
      <c r="M2240" s="60"/>
      <c r="N2240" s="60"/>
      <c r="O2240" s="60"/>
      <c r="P2240" s="60"/>
      <c r="Q2240" s="60"/>
      <c r="R2240" s="58"/>
      <c r="S2240" s="62" t="str">
        <f aca="false">IF(OR(B2240="",V2240=""),"",IFERROR(INDEX(C_TIPO,MATCH(V2240&amp;"-P"&amp;MAX(1,COUNTIFS(C_RUTN,V2240,C_DEF,"Sí",C_INI,"&lt;="&amp;EOMONTH(B2240,0))),C_CLAVE,0))&amp;"","Sin contrato"))</f>
        <v/>
      </c>
      <c r="T2240" s="63" t="str">
        <f aca="false">IF(OR(B2240="",N(O2240)=0),"",N(O2240)+ROUND(MIN(N(N2240),TOPE_UF*UF_MES)*(TASA_EMP+MUTUAL),0)+ROUND(MIN(N(N2240),TOPE_AFC_UF*UF_MES)*IF(S2240="Indefinido",AFC_INDEF,AFC_PF),0))</f>
        <v/>
      </c>
      <c r="U2240" s="62" t="str">
        <f aca="false">IF(C2240="","",IF(LEFT(D2240,1)="⚠","⚠ RUT no registrado en Trabajadores",IF(B2240="","⚠ Falta el mes",IF(OR(ISTEXT(I2240),ISTEXT(J2240)),"⚠ Atrasos u horas extra como texto: escriba hh:mm (ej. 1:30)",IF(AND(ISNUMBER(Q2240),COUNTIFS(M_RUTN,V2240,M_MES,B2240,M_LIQ,"&lt;&gt;")&gt;1),"⚠ Liquidación repetida en el mes",IF(AND(ISNUMBER(O2240),ISNUMBER(P2240),ISNUMBER(Q2240),ABS(O2240-P2240-Q2240)&gt;1),"⚠ Haberes − descuentos no da el líquido","OK"))))))</f>
        <v/>
      </c>
      <c r="V2240" s="62" t="str">
        <f aca="false">IF(C2240="","",IFERROR(VALUE(LEFT(UPPER(SUBSTITUTE(SUBSTITUTE(SUBSTITUTE(TRIM(C2240),".",""),"-","")," ","")),LEN(UPPER(SUBSTITUTE(SUBSTITUTE(SUBSTITUTE(TRIM(C2240),".",""),"-","")," ","")))-1))&amp;RIGHT(UPPER(SUBSTITUTE(SUBSTITUTE(SUBSTITUTE(TRIM(C2240),".",""),"-","")," ","")),1),UPPER(SUBSTITUTE(SUBSTITUTE(SUBSTITUTE(TRIM(C2240),".",""),"-","")," ",""))))</f>
        <v/>
      </c>
    </row>
    <row r="2241" customFormat="false" ht="15" hidden="false" customHeight="false" outlineLevel="0" collapsed="false">
      <c r="B2241" s="80"/>
      <c r="C2241" s="58"/>
      <c r="D2241" s="62" t="str">
        <f aca="false">IF(C2241="","",IFERROR(INDEX(T_NOMBRE,MATCH(V2241,T_RUTN,0)),"⚠ RUT no está en Trabajadores"))</f>
        <v/>
      </c>
      <c r="E2241" s="61"/>
      <c r="F2241" s="61"/>
      <c r="G2241" s="61"/>
      <c r="H2241" s="61"/>
      <c r="I2241" s="81"/>
      <c r="J2241" s="81"/>
      <c r="K2241" s="60"/>
      <c r="L2241" s="60"/>
      <c r="M2241" s="60"/>
      <c r="N2241" s="60"/>
      <c r="O2241" s="60"/>
      <c r="P2241" s="60"/>
      <c r="Q2241" s="60"/>
      <c r="R2241" s="58"/>
      <c r="S2241" s="62" t="str">
        <f aca="false">IF(OR(B2241="",V2241=""),"",IFERROR(INDEX(C_TIPO,MATCH(V2241&amp;"-P"&amp;MAX(1,COUNTIFS(C_RUTN,V2241,C_DEF,"Sí",C_INI,"&lt;="&amp;EOMONTH(B2241,0))),C_CLAVE,0))&amp;"","Sin contrato"))</f>
        <v/>
      </c>
      <c r="T2241" s="63" t="str">
        <f aca="false">IF(OR(B2241="",N(O2241)=0),"",N(O2241)+ROUND(MIN(N(N2241),TOPE_UF*UF_MES)*(TASA_EMP+MUTUAL),0)+ROUND(MIN(N(N2241),TOPE_AFC_UF*UF_MES)*IF(S2241="Indefinido",AFC_INDEF,AFC_PF),0))</f>
        <v/>
      </c>
      <c r="U2241" s="62" t="str">
        <f aca="false">IF(C2241="","",IF(LEFT(D2241,1)="⚠","⚠ RUT no registrado en Trabajadores",IF(B2241="","⚠ Falta el mes",IF(OR(ISTEXT(I2241),ISTEXT(J2241)),"⚠ Atrasos u horas extra como texto: escriba hh:mm (ej. 1:30)",IF(AND(ISNUMBER(Q2241),COUNTIFS(M_RUTN,V2241,M_MES,B2241,M_LIQ,"&lt;&gt;")&gt;1),"⚠ Liquidación repetida en el mes",IF(AND(ISNUMBER(O2241),ISNUMBER(P2241),ISNUMBER(Q2241),ABS(O2241-P2241-Q2241)&gt;1),"⚠ Haberes − descuentos no da el líquido","OK"))))))</f>
        <v/>
      </c>
      <c r="V2241" s="62" t="str">
        <f aca="false">IF(C2241="","",IFERROR(VALUE(LEFT(UPPER(SUBSTITUTE(SUBSTITUTE(SUBSTITUTE(TRIM(C2241),".",""),"-","")," ","")),LEN(UPPER(SUBSTITUTE(SUBSTITUTE(SUBSTITUTE(TRIM(C2241),".",""),"-","")," ","")))-1))&amp;RIGHT(UPPER(SUBSTITUTE(SUBSTITUTE(SUBSTITUTE(TRIM(C2241),".",""),"-","")," ","")),1),UPPER(SUBSTITUTE(SUBSTITUTE(SUBSTITUTE(TRIM(C2241),".",""),"-","")," ",""))))</f>
        <v/>
      </c>
    </row>
    <row r="2242" customFormat="false" ht="15" hidden="false" customHeight="false" outlineLevel="0" collapsed="false">
      <c r="B2242" s="80"/>
      <c r="C2242" s="58"/>
      <c r="D2242" s="62" t="str">
        <f aca="false">IF(C2242="","",IFERROR(INDEX(T_NOMBRE,MATCH(V2242,T_RUTN,0)),"⚠ RUT no está en Trabajadores"))</f>
        <v/>
      </c>
      <c r="E2242" s="61"/>
      <c r="F2242" s="61"/>
      <c r="G2242" s="61"/>
      <c r="H2242" s="61"/>
      <c r="I2242" s="81"/>
      <c r="J2242" s="81"/>
      <c r="K2242" s="60"/>
      <c r="L2242" s="60"/>
      <c r="M2242" s="60"/>
      <c r="N2242" s="60"/>
      <c r="O2242" s="60"/>
      <c r="P2242" s="60"/>
      <c r="Q2242" s="60"/>
      <c r="R2242" s="58"/>
      <c r="S2242" s="62" t="str">
        <f aca="false">IF(OR(B2242="",V2242=""),"",IFERROR(INDEX(C_TIPO,MATCH(V2242&amp;"-P"&amp;MAX(1,COUNTIFS(C_RUTN,V2242,C_DEF,"Sí",C_INI,"&lt;="&amp;EOMONTH(B2242,0))),C_CLAVE,0))&amp;"","Sin contrato"))</f>
        <v/>
      </c>
      <c r="T2242" s="63" t="str">
        <f aca="false">IF(OR(B2242="",N(O2242)=0),"",N(O2242)+ROUND(MIN(N(N2242),TOPE_UF*UF_MES)*(TASA_EMP+MUTUAL),0)+ROUND(MIN(N(N2242),TOPE_AFC_UF*UF_MES)*IF(S2242="Indefinido",AFC_INDEF,AFC_PF),0))</f>
        <v/>
      </c>
      <c r="U2242" s="62" t="str">
        <f aca="false">IF(C2242="","",IF(LEFT(D2242,1)="⚠","⚠ RUT no registrado en Trabajadores",IF(B2242="","⚠ Falta el mes",IF(OR(ISTEXT(I2242),ISTEXT(J2242)),"⚠ Atrasos u horas extra como texto: escriba hh:mm (ej. 1:30)",IF(AND(ISNUMBER(Q2242),COUNTIFS(M_RUTN,V2242,M_MES,B2242,M_LIQ,"&lt;&gt;")&gt;1),"⚠ Liquidación repetida en el mes",IF(AND(ISNUMBER(O2242),ISNUMBER(P2242),ISNUMBER(Q2242),ABS(O2242-P2242-Q2242)&gt;1),"⚠ Haberes − descuentos no da el líquido","OK"))))))</f>
        <v/>
      </c>
      <c r="V2242" s="62" t="str">
        <f aca="false">IF(C2242="","",IFERROR(VALUE(LEFT(UPPER(SUBSTITUTE(SUBSTITUTE(SUBSTITUTE(TRIM(C2242),".",""),"-","")," ","")),LEN(UPPER(SUBSTITUTE(SUBSTITUTE(SUBSTITUTE(TRIM(C2242),".",""),"-","")," ","")))-1))&amp;RIGHT(UPPER(SUBSTITUTE(SUBSTITUTE(SUBSTITUTE(TRIM(C2242),".",""),"-","")," ","")),1),UPPER(SUBSTITUTE(SUBSTITUTE(SUBSTITUTE(TRIM(C2242),".",""),"-","")," ",""))))</f>
        <v/>
      </c>
    </row>
    <row r="2243" customFormat="false" ht="15" hidden="false" customHeight="false" outlineLevel="0" collapsed="false">
      <c r="B2243" s="80"/>
      <c r="C2243" s="58"/>
      <c r="D2243" s="62" t="str">
        <f aca="false">IF(C2243="","",IFERROR(INDEX(T_NOMBRE,MATCH(V2243,T_RUTN,0)),"⚠ RUT no está en Trabajadores"))</f>
        <v/>
      </c>
      <c r="E2243" s="61"/>
      <c r="F2243" s="61"/>
      <c r="G2243" s="61"/>
      <c r="H2243" s="61"/>
      <c r="I2243" s="81"/>
      <c r="J2243" s="81"/>
      <c r="K2243" s="60"/>
      <c r="L2243" s="60"/>
      <c r="M2243" s="60"/>
      <c r="N2243" s="60"/>
      <c r="O2243" s="60"/>
      <c r="P2243" s="60"/>
      <c r="Q2243" s="60"/>
      <c r="R2243" s="58"/>
      <c r="S2243" s="62" t="str">
        <f aca="false">IF(OR(B2243="",V2243=""),"",IFERROR(INDEX(C_TIPO,MATCH(V2243&amp;"-P"&amp;MAX(1,COUNTIFS(C_RUTN,V2243,C_DEF,"Sí",C_INI,"&lt;="&amp;EOMONTH(B2243,0))),C_CLAVE,0))&amp;"","Sin contrato"))</f>
        <v/>
      </c>
      <c r="T2243" s="63" t="str">
        <f aca="false">IF(OR(B2243="",N(O2243)=0),"",N(O2243)+ROUND(MIN(N(N2243),TOPE_UF*UF_MES)*(TASA_EMP+MUTUAL),0)+ROUND(MIN(N(N2243),TOPE_AFC_UF*UF_MES)*IF(S2243="Indefinido",AFC_INDEF,AFC_PF),0))</f>
        <v/>
      </c>
      <c r="U2243" s="62" t="str">
        <f aca="false">IF(C2243="","",IF(LEFT(D2243,1)="⚠","⚠ RUT no registrado en Trabajadores",IF(B2243="","⚠ Falta el mes",IF(OR(ISTEXT(I2243),ISTEXT(J2243)),"⚠ Atrasos u horas extra como texto: escriba hh:mm (ej. 1:30)",IF(AND(ISNUMBER(Q2243),COUNTIFS(M_RUTN,V2243,M_MES,B2243,M_LIQ,"&lt;&gt;")&gt;1),"⚠ Liquidación repetida en el mes",IF(AND(ISNUMBER(O2243),ISNUMBER(P2243),ISNUMBER(Q2243),ABS(O2243-P2243-Q2243)&gt;1),"⚠ Haberes − descuentos no da el líquido","OK"))))))</f>
        <v/>
      </c>
      <c r="V2243" s="62" t="str">
        <f aca="false">IF(C2243="","",IFERROR(VALUE(LEFT(UPPER(SUBSTITUTE(SUBSTITUTE(SUBSTITUTE(TRIM(C2243),".",""),"-","")," ","")),LEN(UPPER(SUBSTITUTE(SUBSTITUTE(SUBSTITUTE(TRIM(C2243),".",""),"-","")," ","")))-1))&amp;RIGHT(UPPER(SUBSTITUTE(SUBSTITUTE(SUBSTITUTE(TRIM(C2243),".",""),"-","")," ","")),1),UPPER(SUBSTITUTE(SUBSTITUTE(SUBSTITUTE(TRIM(C2243),".",""),"-","")," ",""))))</f>
        <v/>
      </c>
    </row>
    <row r="2244" customFormat="false" ht="15" hidden="false" customHeight="false" outlineLevel="0" collapsed="false">
      <c r="B2244" s="80"/>
      <c r="C2244" s="58"/>
      <c r="D2244" s="62" t="str">
        <f aca="false">IF(C2244="","",IFERROR(INDEX(T_NOMBRE,MATCH(V2244,T_RUTN,0)),"⚠ RUT no está en Trabajadores"))</f>
        <v/>
      </c>
      <c r="E2244" s="61"/>
      <c r="F2244" s="61"/>
      <c r="G2244" s="61"/>
      <c r="H2244" s="61"/>
      <c r="I2244" s="81"/>
      <c r="J2244" s="81"/>
      <c r="K2244" s="60"/>
      <c r="L2244" s="60"/>
      <c r="M2244" s="60"/>
      <c r="N2244" s="60"/>
      <c r="O2244" s="60"/>
      <c r="P2244" s="60"/>
      <c r="Q2244" s="60"/>
      <c r="R2244" s="58"/>
      <c r="S2244" s="62" t="str">
        <f aca="false">IF(OR(B2244="",V2244=""),"",IFERROR(INDEX(C_TIPO,MATCH(V2244&amp;"-P"&amp;MAX(1,COUNTIFS(C_RUTN,V2244,C_DEF,"Sí",C_INI,"&lt;="&amp;EOMONTH(B2244,0))),C_CLAVE,0))&amp;"","Sin contrato"))</f>
        <v/>
      </c>
      <c r="T2244" s="63" t="str">
        <f aca="false">IF(OR(B2244="",N(O2244)=0),"",N(O2244)+ROUND(MIN(N(N2244),TOPE_UF*UF_MES)*(TASA_EMP+MUTUAL),0)+ROUND(MIN(N(N2244),TOPE_AFC_UF*UF_MES)*IF(S2244="Indefinido",AFC_INDEF,AFC_PF),0))</f>
        <v/>
      </c>
      <c r="U2244" s="62" t="str">
        <f aca="false">IF(C2244="","",IF(LEFT(D2244,1)="⚠","⚠ RUT no registrado en Trabajadores",IF(B2244="","⚠ Falta el mes",IF(OR(ISTEXT(I2244),ISTEXT(J2244)),"⚠ Atrasos u horas extra como texto: escriba hh:mm (ej. 1:30)",IF(AND(ISNUMBER(Q2244),COUNTIFS(M_RUTN,V2244,M_MES,B2244,M_LIQ,"&lt;&gt;")&gt;1),"⚠ Liquidación repetida en el mes",IF(AND(ISNUMBER(O2244),ISNUMBER(P2244),ISNUMBER(Q2244),ABS(O2244-P2244-Q2244)&gt;1),"⚠ Haberes − descuentos no da el líquido","OK"))))))</f>
        <v/>
      </c>
      <c r="V2244" s="62" t="str">
        <f aca="false">IF(C2244="","",IFERROR(VALUE(LEFT(UPPER(SUBSTITUTE(SUBSTITUTE(SUBSTITUTE(TRIM(C2244),".",""),"-","")," ","")),LEN(UPPER(SUBSTITUTE(SUBSTITUTE(SUBSTITUTE(TRIM(C2244),".",""),"-","")," ","")))-1))&amp;RIGHT(UPPER(SUBSTITUTE(SUBSTITUTE(SUBSTITUTE(TRIM(C2244),".",""),"-","")," ","")),1),UPPER(SUBSTITUTE(SUBSTITUTE(SUBSTITUTE(TRIM(C2244),".",""),"-","")," ",""))))</f>
        <v/>
      </c>
    </row>
    <row r="2245" customFormat="false" ht="15" hidden="false" customHeight="false" outlineLevel="0" collapsed="false">
      <c r="B2245" s="80"/>
      <c r="C2245" s="58"/>
      <c r="D2245" s="62" t="str">
        <f aca="false">IF(C2245="","",IFERROR(INDEX(T_NOMBRE,MATCH(V2245,T_RUTN,0)),"⚠ RUT no está en Trabajadores"))</f>
        <v/>
      </c>
      <c r="E2245" s="61"/>
      <c r="F2245" s="61"/>
      <c r="G2245" s="61"/>
      <c r="H2245" s="61"/>
      <c r="I2245" s="81"/>
      <c r="J2245" s="81"/>
      <c r="K2245" s="60"/>
      <c r="L2245" s="60"/>
      <c r="M2245" s="60"/>
      <c r="N2245" s="60"/>
      <c r="O2245" s="60"/>
      <c r="P2245" s="60"/>
      <c r="Q2245" s="60"/>
      <c r="R2245" s="58"/>
      <c r="S2245" s="62" t="str">
        <f aca="false">IF(OR(B2245="",V2245=""),"",IFERROR(INDEX(C_TIPO,MATCH(V2245&amp;"-P"&amp;MAX(1,COUNTIFS(C_RUTN,V2245,C_DEF,"Sí",C_INI,"&lt;="&amp;EOMONTH(B2245,0))),C_CLAVE,0))&amp;"","Sin contrato"))</f>
        <v/>
      </c>
      <c r="T2245" s="63" t="str">
        <f aca="false">IF(OR(B2245="",N(O2245)=0),"",N(O2245)+ROUND(MIN(N(N2245),TOPE_UF*UF_MES)*(TASA_EMP+MUTUAL),0)+ROUND(MIN(N(N2245),TOPE_AFC_UF*UF_MES)*IF(S2245="Indefinido",AFC_INDEF,AFC_PF),0))</f>
        <v/>
      </c>
      <c r="U2245" s="62" t="str">
        <f aca="false">IF(C2245="","",IF(LEFT(D2245,1)="⚠","⚠ RUT no registrado en Trabajadores",IF(B2245="","⚠ Falta el mes",IF(OR(ISTEXT(I2245),ISTEXT(J2245)),"⚠ Atrasos u horas extra como texto: escriba hh:mm (ej. 1:30)",IF(AND(ISNUMBER(Q2245),COUNTIFS(M_RUTN,V2245,M_MES,B2245,M_LIQ,"&lt;&gt;")&gt;1),"⚠ Liquidación repetida en el mes",IF(AND(ISNUMBER(O2245),ISNUMBER(P2245),ISNUMBER(Q2245),ABS(O2245-P2245-Q2245)&gt;1),"⚠ Haberes − descuentos no da el líquido","OK"))))))</f>
        <v/>
      </c>
      <c r="V2245" s="62" t="str">
        <f aca="false">IF(C2245="","",IFERROR(VALUE(LEFT(UPPER(SUBSTITUTE(SUBSTITUTE(SUBSTITUTE(TRIM(C2245),".",""),"-","")," ","")),LEN(UPPER(SUBSTITUTE(SUBSTITUTE(SUBSTITUTE(TRIM(C2245),".",""),"-","")," ","")))-1))&amp;RIGHT(UPPER(SUBSTITUTE(SUBSTITUTE(SUBSTITUTE(TRIM(C2245),".",""),"-","")," ","")),1),UPPER(SUBSTITUTE(SUBSTITUTE(SUBSTITUTE(TRIM(C2245),".",""),"-","")," ",""))))</f>
        <v/>
      </c>
    </row>
    <row r="2246" customFormat="false" ht="15" hidden="false" customHeight="false" outlineLevel="0" collapsed="false">
      <c r="B2246" s="80"/>
      <c r="C2246" s="58"/>
      <c r="D2246" s="62" t="str">
        <f aca="false">IF(C2246="","",IFERROR(INDEX(T_NOMBRE,MATCH(V2246,T_RUTN,0)),"⚠ RUT no está en Trabajadores"))</f>
        <v/>
      </c>
      <c r="E2246" s="61"/>
      <c r="F2246" s="61"/>
      <c r="G2246" s="61"/>
      <c r="H2246" s="61"/>
      <c r="I2246" s="81"/>
      <c r="J2246" s="81"/>
      <c r="K2246" s="60"/>
      <c r="L2246" s="60"/>
      <c r="M2246" s="60"/>
      <c r="N2246" s="60"/>
      <c r="O2246" s="60"/>
      <c r="P2246" s="60"/>
      <c r="Q2246" s="60"/>
      <c r="R2246" s="58"/>
      <c r="S2246" s="62" t="str">
        <f aca="false">IF(OR(B2246="",V2246=""),"",IFERROR(INDEX(C_TIPO,MATCH(V2246&amp;"-P"&amp;MAX(1,COUNTIFS(C_RUTN,V2246,C_DEF,"Sí",C_INI,"&lt;="&amp;EOMONTH(B2246,0))),C_CLAVE,0))&amp;"","Sin contrato"))</f>
        <v/>
      </c>
      <c r="T2246" s="63" t="str">
        <f aca="false">IF(OR(B2246="",N(O2246)=0),"",N(O2246)+ROUND(MIN(N(N2246),TOPE_UF*UF_MES)*(TASA_EMP+MUTUAL),0)+ROUND(MIN(N(N2246),TOPE_AFC_UF*UF_MES)*IF(S2246="Indefinido",AFC_INDEF,AFC_PF),0))</f>
        <v/>
      </c>
      <c r="U2246" s="62" t="str">
        <f aca="false">IF(C2246="","",IF(LEFT(D2246,1)="⚠","⚠ RUT no registrado en Trabajadores",IF(B2246="","⚠ Falta el mes",IF(OR(ISTEXT(I2246),ISTEXT(J2246)),"⚠ Atrasos u horas extra como texto: escriba hh:mm (ej. 1:30)",IF(AND(ISNUMBER(Q2246),COUNTIFS(M_RUTN,V2246,M_MES,B2246,M_LIQ,"&lt;&gt;")&gt;1),"⚠ Liquidación repetida en el mes",IF(AND(ISNUMBER(O2246),ISNUMBER(P2246),ISNUMBER(Q2246),ABS(O2246-P2246-Q2246)&gt;1),"⚠ Haberes − descuentos no da el líquido","OK"))))))</f>
        <v/>
      </c>
      <c r="V2246" s="62" t="str">
        <f aca="false">IF(C2246="","",IFERROR(VALUE(LEFT(UPPER(SUBSTITUTE(SUBSTITUTE(SUBSTITUTE(TRIM(C2246),".",""),"-","")," ","")),LEN(UPPER(SUBSTITUTE(SUBSTITUTE(SUBSTITUTE(TRIM(C2246),".",""),"-","")," ","")))-1))&amp;RIGHT(UPPER(SUBSTITUTE(SUBSTITUTE(SUBSTITUTE(TRIM(C2246),".",""),"-","")," ","")),1),UPPER(SUBSTITUTE(SUBSTITUTE(SUBSTITUTE(TRIM(C2246),".",""),"-","")," ",""))))</f>
        <v/>
      </c>
    </row>
    <row r="2247" customFormat="false" ht="15" hidden="false" customHeight="false" outlineLevel="0" collapsed="false">
      <c r="B2247" s="80"/>
      <c r="C2247" s="58"/>
      <c r="D2247" s="62" t="str">
        <f aca="false">IF(C2247="","",IFERROR(INDEX(T_NOMBRE,MATCH(V2247,T_RUTN,0)),"⚠ RUT no está en Trabajadores"))</f>
        <v/>
      </c>
      <c r="E2247" s="61"/>
      <c r="F2247" s="61"/>
      <c r="G2247" s="61"/>
      <c r="H2247" s="61"/>
      <c r="I2247" s="81"/>
      <c r="J2247" s="81"/>
      <c r="K2247" s="60"/>
      <c r="L2247" s="60"/>
      <c r="M2247" s="60"/>
      <c r="N2247" s="60"/>
      <c r="O2247" s="60"/>
      <c r="P2247" s="60"/>
      <c r="Q2247" s="60"/>
      <c r="R2247" s="58"/>
      <c r="S2247" s="62" t="str">
        <f aca="false">IF(OR(B2247="",V2247=""),"",IFERROR(INDEX(C_TIPO,MATCH(V2247&amp;"-P"&amp;MAX(1,COUNTIFS(C_RUTN,V2247,C_DEF,"Sí",C_INI,"&lt;="&amp;EOMONTH(B2247,0))),C_CLAVE,0))&amp;"","Sin contrato"))</f>
        <v/>
      </c>
      <c r="T2247" s="63" t="str">
        <f aca="false">IF(OR(B2247="",N(O2247)=0),"",N(O2247)+ROUND(MIN(N(N2247),TOPE_UF*UF_MES)*(TASA_EMP+MUTUAL),0)+ROUND(MIN(N(N2247),TOPE_AFC_UF*UF_MES)*IF(S2247="Indefinido",AFC_INDEF,AFC_PF),0))</f>
        <v/>
      </c>
      <c r="U2247" s="62" t="str">
        <f aca="false">IF(C2247="","",IF(LEFT(D2247,1)="⚠","⚠ RUT no registrado en Trabajadores",IF(B2247="","⚠ Falta el mes",IF(OR(ISTEXT(I2247),ISTEXT(J2247)),"⚠ Atrasos u horas extra como texto: escriba hh:mm (ej. 1:30)",IF(AND(ISNUMBER(Q2247),COUNTIFS(M_RUTN,V2247,M_MES,B2247,M_LIQ,"&lt;&gt;")&gt;1),"⚠ Liquidación repetida en el mes",IF(AND(ISNUMBER(O2247),ISNUMBER(P2247),ISNUMBER(Q2247),ABS(O2247-P2247-Q2247)&gt;1),"⚠ Haberes − descuentos no da el líquido","OK"))))))</f>
        <v/>
      </c>
      <c r="V2247" s="62" t="str">
        <f aca="false">IF(C2247="","",IFERROR(VALUE(LEFT(UPPER(SUBSTITUTE(SUBSTITUTE(SUBSTITUTE(TRIM(C2247),".",""),"-","")," ","")),LEN(UPPER(SUBSTITUTE(SUBSTITUTE(SUBSTITUTE(TRIM(C2247),".",""),"-","")," ","")))-1))&amp;RIGHT(UPPER(SUBSTITUTE(SUBSTITUTE(SUBSTITUTE(TRIM(C2247),".",""),"-","")," ","")),1),UPPER(SUBSTITUTE(SUBSTITUTE(SUBSTITUTE(TRIM(C2247),".",""),"-","")," ",""))))</f>
        <v/>
      </c>
    </row>
    <row r="2248" customFormat="false" ht="15" hidden="false" customHeight="false" outlineLevel="0" collapsed="false">
      <c r="B2248" s="80"/>
      <c r="C2248" s="58"/>
      <c r="D2248" s="62" t="str">
        <f aca="false">IF(C2248="","",IFERROR(INDEX(T_NOMBRE,MATCH(V2248,T_RUTN,0)),"⚠ RUT no está en Trabajadores"))</f>
        <v/>
      </c>
      <c r="E2248" s="61"/>
      <c r="F2248" s="61"/>
      <c r="G2248" s="61"/>
      <c r="H2248" s="61"/>
      <c r="I2248" s="81"/>
      <c r="J2248" s="81"/>
      <c r="K2248" s="60"/>
      <c r="L2248" s="60"/>
      <c r="M2248" s="60"/>
      <c r="N2248" s="60"/>
      <c r="O2248" s="60"/>
      <c r="P2248" s="60"/>
      <c r="Q2248" s="60"/>
      <c r="R2248" s="58"/>
      <c r="S2248" s="62" t="str">
        <f aca="false">IF(OR(B2248="",V2248=""),"",IFERROR(INDEX(C_TIPO,MATCH(V2248&amp;"-P"&amp;MAX(1,COUNTIFS(C_RUTN,V2248,C_DEF,"Sí",C_INI,"&lt;="&amp;EOMONTH(B2248,0))),C_CLAVE,0))&amp;"","Sin contrato"))</f>
        <v/>
      </c>
      <c r="T2248" s="63" t="str">
        <f aca="false">IF(OR(B2248="",N(O2248)=0),"",N(O2248)+ROUND(MIN(N(N2248),TOPE_UF*UF_MES)*(TASA_EMP+MUTUAL),0)+ROUND(MIN(N(N2248),TOPE_AFC_UF*UF_MES)*IF(S2248="Indefinido",AFC_INDEF,AFC_PF),0))</f>
        <v/>
      </c>
      <c r="U2248" s="62" t="str">
        <f aca="false">IF(C2248="","",IF(LEFT(D2248,1)="⚠","⚠ RUT no registrado en Trabajadores",IF(B2248="","⚠ Falta el mes",IF(OR(ISTEXT(I2248),ISTEXT(J2248)),"⚠ Atrasos u horas extra como texto: escriba hh:mm (ej. 1:30)",IF(AND(ISNUMBER(Q2248),COUNTIFS(M_RUTN,V2248,M_MES,B2248,M_LIQ,"&lt;&gt;")&gt;1),"⚠ Liquidación repetida en el mes",IF(AND(ISNUMBER(O2248),ISNUMBER(P2248),ISNUMBER(Q2248),ABS(O2248-P2248-Q2248)&gt;1),"⚠ Haberes − descuentos no da el líquido","OK"))))))</f>
        <v/>
      </c>
      <c r="V2248" s="62" t="str">
        <f aca="false">IF(C2248="","",IFERROR(VALUE(LEFT(UPPER(SUBSTITUTE(SUBSTITUTE(SUBSTITUTE(TRIM(C2248),".",""),"-","")," ","")),LEN(UPPER(SUBSTITUTE(SUBSTITUTE(SUBSTITUTE(TRIM(C2248),".",""),"-","")," ","")))-1))&amp;RIGHT(UPPER(SUBSTITUTE(SUBSTITUTE(SUBSTITUTE(TRIM(C2248),".",""),"-","")," ","")),1),UPPER(SUBSTITUTE(SUBSTITUTE(SUBSTITUTE(TRIM(C2248),".",""),"-","")," ",""))))</f>
        <v/>
      </c>
    </row>
    <row r="2249" customFormat="false" ht="15" hidden="false" customHeight="false" outlineLevel="0" collapsed="false">
      <c r="B2249" s="80"/>
      <c r="C2249" s="58"/>
      <c r="D2249" s="62" t="str">
        <f aca="false">IF(C2249="","",IFERROR(INDEX(T_NOMBRE,MATCH(V2249,T_RUTN,0)),"⚠ RUT no está en Trabajadores"))</f>
        <v/>
      </c>
      <c r="E2249" s="61"/>
      <c r="F2249" s="61"/>
      <c r="G2249" s="61"/>
      <c r="H2249" s="61"/>
      <c r="I2249" s="81"/>
      <c r="J2249" s="81"/>
      <c r="K2249" s="60"/>
      <c r="L2249" s="60"/>
      <c r="M2249" s="60"/>
      <c r="N2249" s="60"/>
      <c r="O2249" s="60"/>
      <c r="P2249" s="60"/>
      <c r="Q2249" s="60"/>
      <c r="R2249" s="58"/>
      <c r="S2249" s="62" t="str">
        <f aca="false">IF(OR(B2249="",V2249=""),"",IFERROR(INDEX(C_TIPO,MATCH(V2249&amp;"-P"&amp;MAX(1,COUNTIFS(C_RUTN,V2249,C_DEF,"Sí",C_INI,"&lt;="&amp;EOMONTH(B2249,0))),C_CLAVE,0))&amp;"","Sin contrato"))</f>
        <v/>
      </c>
      <c r="T2249" s="63" t="str">
        <f aca="false">IF(OR(B2249="",N(O2249)=0),"",N(O2249)+ROUND(MIN(N(N2249),TOPE_UF*UF_MES)*(TASA_EMP+MUTUAL),0)+ROUND(MIN(N(N2249),TOPE_AFC_UF*UF_MES)*IF(S2249="Indefinido",AFC_INDEF,AFC_PF),0))</f>
        <v/>
      </c>
      <c r="U2249" s="62" t="str">
        <f aca="false">IF(C2249="","",IF(LEFT(D2249,1)="⚠","⚠ RUT no registrado en Trabajadores",IF(B2249="","⚠ Falta el mes",IF(OR(ISTEXT(I2249),ISTEXT(J2249)),"⚠ Atrasos u horas extra como texto: escriba hh:mm (ej. 1:30)",IF(AND(ISNUMBER(Q2249),COUNTIFS(M_RUTN,V2249,M_MES,B2249,M_LIQ,"&lt;&gt;")&gt;1),"⚠ Liquidación repetida en el mes",IF(AND(ISNUMBER(O2249),ISNUMBER(P2249),ISNUMBER(Q2249),ABS(O2249-P2249-Q2249)&gt;1),"⚠ Haberes − descuentos no da el líquido","OK"))))))</f>
        <v/>
      </c>
      <c r="V2249" s="62" t="str">
        <f aca="false">IF(C2249="","",IFERROR(VALUE(LEFT(UPPER(SUBSTITUTE(SUBSTITUTE(SUBSTITUTE(TRIM(C2249),".",""),"-","")," ","")),LEN(UPPER(SUBSTITUTE(SUBSTITUTE(SUBSTITUTE(TRIM(C2249),".",""),"-","")," ","")))-1))&amp;RIGHT(UPPER(SUBSTITUTE(SUBSTITUTE(SUBSTITUTE(TRIM(C2249),".",""),"-","")," ","")),1),UPPER(SUBSTITUTE(SUBSTITUTE(SUBSTITUTE(TRIM(C2249),".",""),"-","")," ",""))))</f>
        <v/>
      </c>
    </row>
    <row r="2250" customFormat="false" ht="15" hidden="false" customHeight="false" outlineLevel="0" collapsed="false">
      <c r="B2250" s="80"/>
      <c r="C2250" s="58"/>
      <c r="D2250" s="62" t="str">
        <f aca="false">IF(C2250="","",IFERROR(INDEX(T_NOMBRE,MATCH(V2250,T_RUTN,0)),"⚠ RUT no está en Trabajadores"))</f>
        <v/>
      </c>
      <c r="E2250" s="61"/>
      <c r="F2250" s="61"/>
      <c r="G2250" s="61"/>
      <c r="H2250" s="61"/>
      <c r="I2250" s="81"/>
      <c r="J2250" s="81"/>
      <c r="K2250" s="60"/>
      <c r="L2250" s="60"/>
      <c r="M2250" s="60"/>
      <c r="N2250" s="60"/>
      <c r="O2250" s="60"/>
      <c r="P2250" s="60"/>
      <c r="Q2250" s="60"/>
      <c r="R2250" s="58"/>
      <c r="S2250" s="62" t="str">
        <f aca="false">IF(OR(B2250="",V2250=""),"",IFERROR(INDEX(C_TIPO,MATCH(V2250&amp;"-P"&amp;MAX(1,COUNTIFS(C_RUTN,V2250,C_DEF,"Sí",C_INI,"&lt;="&amp;EOMONTH(B2250,0))),C_CLAVE,0))&amp;"","Sin contrato"))</f>
        <v/>
      </c>
      <c r="T2250" s="63" t="str">
        <f aca="false">IF(OR(B2250="",N(O2250)=0),"",N(O2250)+ROUND(MIN(N(N2250),TOPE_UF*UF_MES)*(TASA_EMP+MUTUAL),0)+ROUND(MIN(N(N2250),TOPE_AFC_UF*UF_MES)*IF(S2250="Indefinido",AFC_INDEF,AFC_PF),0))</f>
        <v/>
      </c>
      <c r="U2250" s="62" t="str">
        <f aca="false">IF(C2250="","",IF(LEFT(D2250,1)="⚠","⚠ RUT no registrado en Trabajadores",IF(B2250="","⚠ Falta el mes",IF(OR(ISTEXT(I2250),ISTEXT(J2250)),"⚠ Atrasos u horas extra como texto: escriba hh:mm (ej. 1:30)",IF(AND(ISNUMBER(Q2250),COUNTIFS(M_RUTN,V2250,M_MES,B2250,M_LIQ,"&lt;&gt;")&gt;1),"⚠ Liquidación repetida en el mes",IF(AND(ISNUMBER(O2250),ISNUMBER(P2250),ISNUMBER(Q2250),ABS(O2250-P2250-Q2250)&gt;1),"⚠ Haberes − descuentos no da el líquido","OK"))))))</f>
        <v/>
      </c>
      <c r="V2250" s="62" t="str">
        <f aca="false">IF(C2250="","",IFERROR(VALUE(LEFT(UPPER(SUBSTITUTE(SUBSTITUTE(SUBSTITUTE(TRIM(C2250),".",""),"-","")," ","")),LEN(UPPER(SUBSTITUTE(SUBSTITUTE(SUBSTITUTE(TRIM(C2250),".",""),"-","")," ","")))-1))&amp;RIGHT(UPPER(SUBSTITUTE(SUBSTITUTE(SUBSTITUTE(TRIM(C2250),".",""),"-","")," ","")),1),UPPER(SUBSTITUTE(SUBSTITUTE(SUBSTITUTE(TRIM(C2250),".",""),"-","")," ",""))))</f>
        <v/>
      </c>
    </row>
    <row r="2251" customFormat="false" ht="15" hidden="false" customHeight="false" outlineLevel="0" collapsed="false">
      <c r="B2251" s="80"/>
      <c r="C2251" s="58"/>
      <c r="D2251" s="62" t="str">
        <f aca="false">IF(C2251="","",IFERROR(INDEX(T_NOMBRE,MATCH(V2251,T_RUTN,0)),"⚠ RUT no está en Trabajadores"))</f>
        <v/>
      </c>
      <c r="E2251" s="61"/>
      <c r="F2251" s="61"/>
      <c r="G2251" s="61"/>
      <c r="H2251" s="61"/>
      <c r="I2251" s="81"/>
      <c r="J2251" s="81"/>
      <c r="K2251" s="60"/>
      <c r="L2251" s="60"/>
      <c r="M2251" s="60"/>
      <c r="N2251" s="60"/>
      <c r="O2251" s="60"/>
      <c r="P2251" s="60"/>
      <c r="Q2251" s="60"/>
      <c r="R2251" s="58"/>
      <c r="S2251" s="62" t="str">
        <f aca="false">IF(OR(B2251="",V2251=""),"",IFERROR(INDEX(C_TIPO,MATCH(V2251&amp;"-P"&amp;MAX(1,COUNTIFS(C_RUTN,V2251,C_DEF,"Sí",C_INI,"&lt;="&amp;EOMONTH(B2251,0))),C_CLAVE,0))&amp;"","Sin contrato"))</f>
        <v/>
      </c>
      <c r="T2251" s="63" t="str">
        <f aca="false">IF(OR(B2251="",N(O2251)=0),"",N(O2251)+ROUND(MIN(N(N2251),TOPE_UF*UF_MES)*(TASA_EMP+MUTUAL),0)+ROUND(MIN(N(N2251),TOPE_AFC_UF*UF_MES)*IF(S2251="Indefinido",AFC_INDEF,AFC_PF),0))</f>
        <v/>
      </c>
      <c r="U2251" s="62" t="str">
        <f aca="false">IF(C2251="","",IF(LEFT(D2251,1)="⚠","⚠ RUT no registrado en Trabajadores",IF(B2251="","⚠ Falta el mes",IF(OR(ISTEXT(I2251),ISTEXT(J2251)),"⚠ Atrasos u horas extra como texto: escriba hh:mm (ej. 1:30)",IF(AND(ISNUMBER(Q2251),COUNTIFS(M_RUTN,V2251,M_MES,B2251,M_LIQ,"&lt;&gt;")&gt;1),"⚠ Liquidación repetida en el mes",IF(AND(ISNUMBER(O2251),ISNUMBER(P2251),ISNUMBER(Q2251),ABS(O2251-P2251-Q2251)&gt;1),"⚠ Haberes − descuentos no da el líquido","OK"))))))</f>
        <v/>
      </c>
      <c r="V2251" s="62" t="str">
        <f aca="false">IF(C2251="","",IFERROR(VALUE(LEFT(UPPER(SUBSTITUTE(SUBSTITUTE(SUBSTITUTE(TRIM(C2251),".",""),"-","")," ","")),LEN(UPPER(SUBSTITUTE(SUBSTITUTE(SUBSTITUTE(TRIM(C2251),".",""),"-","")," ","")))-1))&amp;RIGHT(UPPER(SUBSTITUTE(SUBSTITUTE(SUBSTITUTE(TRIM(C2251),".",""),"-","")," ","")),1),UPPER(SUBSTITUTE(SUBSTITUTE(SUBSTITUTE(TRIM(C2251),".",""),"-","")," ",""))))</f>
        <v/>
      </c>
    </row>
    <row r="2252" customFormat="false" ht="15" hidden="false" customHeight="false" outlineLevel="0" collapsed="false">
      <c r="B2252" s="80"/>
      <c r="C2252" s="58"/>
      <c r="D2252" s="62" t="str">
        <f aca="false">IF(C2252="","",IFERROR(INDEX(T_NOMBRE,MATCH(V2252,T_RUTN,0)),"⚠ RUT no está en Trabajadores"))</f>
        <v/>
      </c>
      <c r="E2252" s="61"/>
      <c r="F2252" s="61"/>
      <c r="G2252" s="61"/>
      <c r="H2252" s="61"/>
      <c r="I2252" s="81"/>
      <c r="J2252" s="81"/>
      <c r="K2252" s="60"/>
      <c r="L2252" s="60"/>
      <c r="M2252" s="60"/>
      <c r="N2252" s="60"/>
      <c r="O2252" s="60"/>
      <c r="P2252" s="60"/>
      <c r="Q2252" s="60"/>
      <c r="R2252" s="58"/>
      <c r="S2252" s="62" t="str">
        <f aca="false">IF(OR(B2252="",V2252=""),"",IFERROR(INDEX(C_TIPO,MATCH(V2252&amp;"-P"&amp;MAX(1,COUNTIFS(C_RUTN,V2252,C_DEF,"Sí",C_INI,"&lt;="&amp;EOMONTH(B2252,0))),C_CLAVE,0))&amp;"","Sin contrato"))</f>
        <v/>
      </c>
      <c r="T2252" s="63" t="str">
        <f aca="false">IF(OR(B2252="",N(O2252)=0),"",N(O2252)+ROUND(MIN(N(N2252),TOPE_UF*UF_MES)*(TASA_EMP+MUTUAL),0)+ROUND(MIN(N(N2252),TOPE_AFC_UF*UF_MES)*IF(S2252="Indefinido",AFC_INDEF,AFC_PF),0))</f>
        <v/>
      </c>
      <c r="U2252" s="62" t="str">
        <f aca="false">IF(C2252="","",IF(LEFT(D2252,1)="⚠","⚠ RUT no registrado en Trabajadores",IF(B2252="","⚠ Falta el mes",IF(OR(ISTEXT(I2252),ISTEXT(J2252)),"⚠ Atrasos u horas extra como texto: escriba hh:mm (ej. 1:30)",IF(AND(ISNUMBER(Q2252),COUNTIFS(M_RUTN,V2252,M_MES,B2252,M_LIQ,"&lt;&gt;")&gt;1),"⚠ Liquidación repetida en el mes",IF(AND(ISNUMBER(O2252),ISNUMBER(P2252),ISNUMBER(Q2252),ABS(O2252-P2252-Q2252)&gt;1),"⚠ Haberes − descuentos no da el líquido","OK"))))))</f>
        <v/>
      </c>
      <c r="V2252" s="62" t="str">
        <f aca="false">IF(C2252="","",IFERROR(VALUE(LEFT(UPPER(SUBSTITUTE(SUBSTITUTE(SUBSTITUTE(TRIM(C2252),".",""),"-","")," ","")),LEN(UPPER(SUBSTITUTE(SUBSTITUTE(SUBSTITUTE(TRIM(C2252),".",""),"-","")," ","")))-1))&amp;RIGHT(UPPER(SUBSTITUTE(SUBSTITUTE(SUBSTITUTE(TRIM(C2252),".",""),"-","")," ","")),1),UPPER(SUBSTITUTE(SUBSTITUTE(SUBSTITUTE(TRIM(C2252),".",""),"-","")," ",""))))</f>
        <v/>
      </c>
    </row>
    <row r="2253" customFormat="false" ht="15" hidden="false" customHeight="false" outlineLevel="0" collapsed="false">
      <c r="B2253" s="80"/>
      <c r="C2253" s="58"/>
      <c r="D2253" s="62" t="str">
        <f aca="false">IF(C2253="","",IFERROR(INDEX(T_NOMBRE,MATCH(V2253,T_RUTN,0)),"⚠ RUT no está en Trabajadores"))</f>
        <v/>
      </c>
      <c r="E2253" s="61"/>
      <c r="F2253" s="61"/>
      <c r="G2253" s="61"/>
      <c r="H2253" s="61"/>
      <c r="I2253" s="81"/>
      <c r="J2253" s="81"/>
      <c r="K2253" s="60"/>
      <c r="L2253" s="60"/>
      <c r="M2253" s="60"/>
      <c r="N2253" s="60"/>
      <c r="O2253" s="60"/>
      <c r="P2253" s="60"/>
      <c r="Q2253" s="60"/>
      <c r="R2253" s="58"/>
      <c r="S2253" s="62" t="str">
        <f aca="false">IF(OR(B2253="",V2253=""),"",IFERROR(INDEX(C_TIPO,MATCH(V2253&amp;"-P"&amp;MAX(1,COUNTIFS(C_RUTN,V2253,C_DEF,"Sí",C_INI,"&lt;="&amp;EOMONTH(B2253,0))),C_CLAVE,0))&amp;"","Sin contrato"))</f>
        <v/>
      </c>
      <c r="T2253" s="63" t="str">
        <f aca="false">IF(OR(B2253="",N(O2253)=0),"",N(O2253)+ROUND(MIN(N(N2253),TOPE_UF*UF_MES)*(TASA_EMP+MUTUAL),0)+ROUND(MIN(N(N2253),TOPE_AFC_UF*UF_MES)*IF(S2253="Indefinido",AFC_INDEF,AFC_PF),0))</f>
        <v/>
      </c>
      <c r="U2253" s="62" t="str">
        <f aca="false">IF(C2253="","",IF(LEFT(D2253,1)="⚠","⚠ RUT no registrado en Trabajadores",IF(B2253="","⚠ Falta el mes",IF(OR(ISTEXT(I2253),ISTEXT(J2253)),"⚠ Atrasos u horas extra como texto: escriba hh:mm (ej. 1:30)",IF(AND(ISNUMBER(Q2253),COUNTIFS(M_RUTN,V2253,M_MES,B2253,M_LIQ,"&lt;&gt;")&gt;1),"⚠ Liquidación repetida en el mes",IF(AND(ISNUMBER(O2253),ISNUMBER(P2253),ISNUMBER(Q2253),ABS(O2253-P2253-Q2253)&gt;1),"⚠ Haberes − descuentos no da el líquido","OK"))))))</f>
        <v/>
      </c>
      <c r="V2253" s="62" t="str">
        <f aca="false">IF(C2253="","",IFERROR(VALUE(LEFT(UPPER(SUBSTITUTE(SUBSTITUTE(SUBSTITUTE(TRIM(C2253),".",""),"-","")," ","")),LEN(UPPER(SUBSTITUTE(SUBSTITUTE(SUBSTITUTE(TRIM(C2253),".",""),"-","")," ","")))-1))&amp;RIGHT(UPPER(SUBSTITUTE(SUBSTITUTE(SUBSTITUTE(TRIM(C2253),".",""),"-","")," ","")),1),UPPER(SUBSTITUTE(SUBSTITUTE(SUBSTITUTE(TRIM(C2253),".",""),"-","")," ",""))))</f>
        <v/>
      </c>
    </row>
    <row r="2254" customFormat="false" ht="15" hidden="false" customHeight="false" outlineLevel="0" collapsed="false">
      <c r="B2254" s="80"/>
      <c r="C2254" s="58"/>
      <c r="D2254" s="62" t="str">
        <f aca="false">IF(C2254="","",IFERROR(INDEX(T_NOMBRE,MATCH(V2254,T_RUTN,0)),"⚠ RUT no está en Trabajadores"))</f>
        <v/>
      </c>
      <c r="E2254" s="61"/>
      <c r="F2254" s="61"/>
      <c r="G2254" s="61"/>
      <c r="H2254" s="61"/>
      <c r="I2254" s="81"/>
      <c r="J2254" s="81"/>
      <c r="K2254" s="60"/>
      <c r="L2254" s="60"/>
      <c r="M2254" s="60"/>
      <c r="N2254" s="60"/>
      <c r="O2254" s="60"/>
      <c r="P2254" s="60"/>
      <c r="Q2254" s="60"/>
      <c r="R2254" s="58"/>
      <c r="S2254" s="62" t="str">
        <f aca="false">IF(OR(B2254="",V2254=""),"",IFERROR(INDEX(C_TIPO,MATCH(V2254&amp;"-P"&amp;MAX(1,COUNTIFS(C_RUTN,V2254,C_DEF,"Sí",C_INI,"&lt;="&amp;EOMONTH(B2254,0))),C_CLAVE,0))&amp;"","Sin contrato"))</f>
        <v/>
      </c>
      <c r="T2254" s="63" t="str">
        <f aca="false">IF(OR(B2254="",N(O2254)=0),"",N(O2254)+ROUND(MIN(N(N2254),TOPE_UF*UF_MES)*(TASA_EMP+MUTUAL),0)+ROUND(MIN(N(N2254),TOPE_AFC_UF*UF_MES)*IF(S2254="Indefinido",AFC_INDEF,AFC_PF),0))</f>
        <v/>
      </c>
      <c r="U2254" s="62" t="str">
        <f aca="false">IF(C2254="","",IF(LEFT(D2254,1)="⚠","⚠ RUT no registrado en Trabajadores",IF(B2254="","⚠ Falta el mes",IF(OR(ISTEXT(I2254),ISTEXT(J2254)),"⚠ Atrasos u horas extra como texto: escriba hh:mm (ej. 1:30)",IF(AND(ISNUMBER(Q2254),COUNTIFS(M_RUTN,V2254,M_MES,B2254,M_LIQ,"&lt;&gt;")&gt;1),"⚠ Liquidación repetida en el mes",IF(AND(ISNUMBER(O2254),ISNUMBER(P2254),ISNUMBER(Q2254),ABS(O2254-P2254-Q2254)&gt;1),"⚠ Haberes − descuentos no da el líquido","OK"))))))</f>
        <v/>
      </c>
      <c r="V2254" s="62" t="str">
        <f aca="false">IF(C2254="","",IFERROR(VALUE(LEFT(UPPER(SUBSTITUTE(SUBSTITUTE(SUBSTITUTE(TRIM(C2254),".",""),"-","")," ","")),LEN(UPPER(SUBSTITUTE(SUBSTITUTE(SUBSTITUTE(TRIM(C2254),".",""),"-","")," ","")))-1))&amp;RIGHT(UPPER(SUBSTITUTE(SUBSTITUTE(SUBSTITUTE(TRIM(C2254),".",""),"-","")," ","")),1),UPPER(SUBSTITUTE(SUBSTITUTE(SUBSTITUTE(TRIM(C2254),".",""),"-","")," ",""))))</f>
        <v/>
      </c>
    </row>
    <row r="2255" customFormat="false" ht="15" hidden="false" customHeight="false" outlineLevel="0" collapsed="false">
      <c r="B2255" s="80"/>
      <c r="C2255" s="58"/>
      <c r="D2255" s="62" t="str">
        <f aca="false">IF(C2255="","",IFERROR(INDEX(T_NOMBRE,MATCH(V2255,T_RUTN,0)),"⚠ RUT no está en Trabajadores"))</f>
        <v/>
      </c>
      <c r="E2255" s="61"/>
      <c r="F2255" s="61"/>
      <c r="G2255" s="61"/>
      <c r="H2255" s="61"/>
      <c r="I2255" s="81"/>
      <c r="J2255" s="81"/>
      <c r="K2255" s="60"/>
      <c r="L2255" s="60"/>
      <c r="M2255" s="60"/>
      <c r="N2255" s="60"/>
      <c r="O2255" s="60"/>
      <c r="P2255" s="60"/>
      <c r="Q2255" s="60"/>
      <c r="R2255" s="58"/>
      <c r="S2255" s="62" t="str">
        <f aca="false">IF(OR(B2255="",V2255=""),"",IFERROR(INDEX(C_TIPO,MATCH(V2255&amp;"-P"&amp;MAX(1,COUNTIFS(C_RUTN,V2255,C_DEF,"Sí",C_INI,"&lt;="&amp;EOMONTH(B2255,0))),C_CLAVE,0))&amp;"","Sin contrato"))</f>
        <v/>
      </c>
      <c r="T2255" s="63" t="str">
        <f aca="false">IF(OR(B2255="",N(O2255)=0),"",N(O2255)+ROUND(MIN(N(N2255),TOPE_UF*UF_MES)*(TASA_EMP+MUTUAL),0)+ROUND(MIN(N(N2255),TOPE_AFC_UF*UF_MES)*IF(S2255="Indefinido",AFC_INDEF,AFC_PF),0))</f>
        <v/>
      </c>
      <c r="U2255" s="62" t="str">
        <f aca="false">IF(C2255="","",IF(LEFT(D2255,1)="⚠","⚠ RUT no registrado en Trabajadores",IF(B2255="","⚠ Falta el mes",IF(OR(ISTEXT(I2255),ISTEXT(J2255)),"⚠ Atrasos u horas extra como texto: escriba hh:mm (ej. 1:30)",IF(AND(ISNUMBER(Q2255),COUNTIFS(M_RUTN,V2255,M_MES,B2255,M_LIQ,"&lt;&gt;")&gt;1),"⚠ Liquidación repetida en el mes",IF(AND(ISNUMBER(O2255),ISNUMBER(P2255),ISNUMBER(Q2255),ABS(O2255-P2255-Q2255)&gt;1),"⚠ Haberes − descuentos no da el líquido","OK"))))))</f>
        <v/>
      </c>
      <c r="V2255" s="62" t="str">
        <f aca="false">IF(C2255="","",IFERROR(VALUE(LEFT(UPPER(SUBSTITUTE(SUBSTITUTE(SUBSTITUTE(TRIM(C2255),".",""),"-","")," ","")),LEN(UPPER(SUBSTITUTE(SUBSTITUTE(SUBSTITUTE(TRIM(C2255),".",""),"-","")," ","")))-1))&amp;RIGHT(UPPER(SUBSTITUTE(SUBSTITUTE(SUBSTITUTE(TRIM(C2255),".",""),"-","")," ","")),1),UPPER(SUBSTITUTE(SUBSTITUTE(SUBSTITUTE(TRIM(C2255),".",""),"-","")," ",""))))</f>
        <v/>
      </c>
    </row>
    <row r="2256" customFormat="false" ht="15" hidden="false" customHeight="false" outlineLevel="0" collapsed="false">
      <c r="B2256" s="80"/>
      <c r="C2256" s="58"/>
      <c r="D2256" s="62" t="str">
        <f aca="false">IF(C2256="","",IFERROR(INDEX(T_NOMBRE,MATCH(V2256,T_RUTN,0)),"⚠ RUT no está en Trabajadores"))</f>
        <v/>
      </c>
      <c r="E2256" s="61"/>
      <c r="F2256" s="61"/>
      <c r="G2256" s="61"/>
      <c r="H2256" s="61"/>
      <c r="I2256" s="81"/>
      <c r="J2256" s="81"/>
      <c r="K2256" s="60"/>
      <c r="L2256" s="60"/>
      <c r="M2256" s="60"/>
      <c r="N2256" s="60"/>
      <c r="O2256" s="60"/>
      <c r="P2256" s="60"/>
      <c r="Q2256" s="60"/>
      <c r="R2256" s="58"/>
      <c r="S2256" s="62" t="str">
        <f aca="false">IF(OR(B2256="",V2256=""),"",IFERROR(INDEX(C_TIPO,MATCH(V2256&amp;"-P"&amp;MAX(1,COUNTIFS(C_RUTN,V2256,C_DEF,"Sí",C_INI,"&lt;="&amp;EOMONTH(B2256,0))),C_CLAVE,0))&amp;"","Sin contrato"))</f>
        <v/>
      </c>
      <c r="T2256" s="63" t="str">
        <f aca="false">IF(OR(B2256="",N(O2256)=0),"",N(O2256)+ROUND(MIN(N(N2256),TOPE_UF*UF_MES)*(TASA_EMP+MUTUAL),0)+ROUND(MIN(N(N2256),TOPE_AFC_UF*UF_MES)*IF(S2256="Indefinido",AFC_INDEF,AFC_PF),0))</f>
        <v/>
      </c>
      <c r="U2256" s="62" t="str">
        <f aca="false">IF(C2256="","",IF(LEFT(D2256,1)="⚠","⚠ RUT no registrado en Trabajadores",IF(B2256="","⚠ Falta el mes",IF(OR(ISTEXT(I2256),ISTEXT(J2256)),"⚠ Atrasos u horas extra como texto: escriba hh:mm (ej. 1:30)",IF(AND(ISNUMBER(Q2256),COUNTIFS(M_RUTN,V2256,M_MES,B2256,M_LIQ,"&lt;&gt;")&gt;1),"⚠ Liquidación repetida en el mes",IF(AND(ISNUMBER(O2256),ISNUMBER(P2256),ISNUMBER(Q2256),ABS(O2256-P2256-Q2256)&gt;1),"⚠ Haberes − descuentos no da el líquido","OK"))))))</f>
        <v/>
      </c>
      <c r="V2256" s="62" t="str">
        <f aca="false">IF(C2256="","",IFERROR(VALUE(LEFT(UPPER(SUBSTITUTE(SUBSTITUTE(SUBSTITUTE(TRIM(C2256),".",""),"-","")," ","")),LEN(UPPER(SUBSTITUTE(SUBSTITUTE(SUBSTITUTE(TRIM(C2256),".",""),"-","")," ","")))-1))&amp;RIGHT(UPPER(SUBSTITUTE(SUBSTITUTE(SUBSTITUTE(TRIM(C2256),".",""),"-","")," ","")),1),UPPER(SUBSTITUTE(SUBSTITUTE(SUBSTITUTE(TRIM(C2256),".",""),"-","")," ",""))))</f>
        <v/>
      </c>
    </row>
    <row r="2257" customFormat="false" ht="15" hidden="false" customHeight="false" outlineLevel="0" collapsed="false">
      <c r="B2257" s="80"/>
      <c r="C2257" s="58"/>
      <c r="D2257" s="62" t="str">
        <f aca="false">IF(C2257="","",IFERROR(INDEX(T_NOMBRE,MATCH(V2257,T_RUTN,0)),"⚠ RUT no está en Trabajadores"))</f>
        <v/>
      </c>
      <c r="E2257" s="61"/>
      <c r="F2257" s="61"/>
      <c r="G2257" s="61"/>
      <c r="H2257" s="61"/>
      <c r="I2257" s="81"/>
      <c r="J2257" s="81"/>
      <c r="K2257" s="60"/>
      <c r="L2257" s="60"/>
      <c r="M2257" s="60"/>
      <c r="N2257" s="60"/>
      <c r="O2257" s="60"/>
      <c r="P2257" s="60"/>
      <c r="Q2257" s="60"/>
      <c r="R2257" s="58"/>
      <c r="S2257" s="62" t="str">
        <f aca="false">IF(OR(B2257="",V2257=""),"",IFERROR(INDEX(C_TIPO,MATCH(V2257&amp;"-P"&amp;MAX(1,COUNTIFS(C_RUTN,V2257,C_DEF,"Sí",C_INI,"&lt;="&amp;EOMONTH(B2257,0))),C_CLAVE,0))&amp;"","Sin contrato"))</f>
        <v/>
      </c>
      <c r="T2257" s="63" t="str">
        <f aca="false">IF(OR(B2257="",N(O2257)=0),"",N(O2257)+ROUND(MIN(N(N2257),TOPE_UF*UF_MES)*(TASA_EMP+MUTUAL),0)+ROUND(MIN(N(N2257),TOPE_AFC_UF*UF_MES)*IF(S2257="Indefinido",AFC_INDEF,AFC_PF),0))</f>
        <v/>
      </c>
      <c r="U2257" s="62" t="str">
        <f aca="false">IF(C2257="","",IF(LEFT(D2257,1)="⚠","⚠ RUT no registrado en Trabajadores",IF(B2257="","⚠ Falta el mes",IF(OR(ISTEXT(I2257),ISTEXT(J2257)),"⚠ Atrasos u horas extra como texto: escriba hh:mm (ej. 1:30)",IF(AND(ISNUMBER(Q2257),COUNTIFS(M_RUTN,V2257,M_MES,B2257,M_LIQ,"&lt;&gt;")&gt;1),"⚠ Liquidación repetida en el mes",IF(AND(ISNUMBER(O2257),ISNUMBER(P2257),ISNUMBER(Q2257),ABS(O2257-P2257-Q2257)&gt;1),"⚠ Haberes − descuentos no da el líquido","OK"))))))</f>
        <v/>
      </c>
      <c r="V2257" s="62" t="str">
        <f aca="false">IF(C2257="","",IFERROR(VALUE(LEFT(UPPER(SUBSTITUTE(SUBSTITUTE(SUBSTITUTE(TRIM(C2257),".",""),"-","")," ","")),LEN(UPPER(SUBSTITUTE(SUBSTITUTE(SUBSTITUTE(TRIM(C2257),".",""),"-","")," ","")))-1))&amp;RIGHT(UPPER(SUBSTITUTE(SUBSTITUTE(SUBSTITUTE(TRIM(C2257),".",""),"-","")," ","")),1),UPPER(SUBSTITUTE(SUBSTITUTE(SUBSTITUTE(TRIM(C2257),".",""),"-","")," ",""))))</f>
        <v/>
      </c>
    </row>
    <row r="2258" customFormat="false" ht="15" hidden="false" customHeight="false" outlineLevel="0" collapsed="false">
      <c r="B2258" s="80"/>
      <c r="C2258" s="58"/>
      <c r="D2258" s="62" t="str">
        <f aca="false">IF(C2258="","",IFERROR(INDEX(T_NOMBRE,MATCH(V2258,T_RUTN,0)),"⚠ RUT no está en Trabajadores"))</f>
        <v/>
      </c>
      <c r="E2258" s="61"/>
      <c r="F2258" s="61"/>
      <c r="G2258" s="61"/>
      <c r="H2258" s="61"/>
      <c r="I2258" s="81"/>
      <c r="J2258" s="81"/>
      <c r="K2258" s="60"/>
      <c r="L2258" s="60"/>
      <c r="M2258" s="60"/>
      <c r="N2258" s="60"/>
      <c r="O2258" s="60"/>
      <c r="P2258" s="60"/>
      <c r="Q2258" s="60"/>
      <c r="R2258" s="58"/>
      <c r="S2258" s="62" t="str">
        <f aca="false">IF(OR(B2258="",V2258=""),"",IFERROR(INDEX(C_TIPO,MATCH(V2258&amp;"-P"&amp;MAX(1,COUNTIFS(C_RUTN,V2258,C_DEF,"Sí",C_INI,"&lt;="&amp;EOMONTH(B2258,0))),C_CLAVE,0))&amp;"","Sin contrato"))</f>
        <v/>
      </c>
      <c r="T2258" s="63" t="str">
        <f aca="false">IF(OR(B2258="",N(O2258)=0),"",N(O2258)+ROUND(MIN(N(N2258),TOPE_UF*UF_MES)*(TASA_EMP+MUTUAL),0)+ROUND(MIN(N(N2258),TOPE_AFC_UF*UF_MES)*IF(S2258="Indefinido",AFC_INDEF,AFC_PF),0))</f>
        <v/>
      </c>
      <c r="U2258" s="62" t="str">
        <f aca="false">IF(C2258="","",IF(LEFT(D2258,1)="⚠","⚠ RUT no registrado en Trabajadores",IF(B2258="","⚠ Falta el mes",IF(OR(ISTEXT(I2258),ISTEXT(J2258)),"⚠ Atrasos u horas extra como texto: escriba hh:mm (ej. 1:30)",IF(AND(ISNUMBER(Q2258),COUNTIFS(M_RUTN,V2258,M_MES,B2258,M_LIQ,"&lt;&gt;")&gt;1),"⚠ Liquidación repetida en el mes",IF(AND(ISNUMBER(O2258),ISNUMBER(P2258),ISNUMBER(Q2258),ABS(O2258-P2258-Q2258)&gt;1),"⚠ Haberes − descuentos no da el líquido","OK"))))))</f>
        <v/>
      </c>
      <c r="V2258" s="62" t="str">
        <f aca="false">IF(C2258="","",IFERROR(VALUE(LEFT(UPPER(SUBSTITUTE(SUBSTITUTE(SUBSTITUTE(TRIM(C2258),".",""),"-","")," ","")),LEN(UPPER(SUBSTITUTE(SUBSTITUTE(SUBSTITUTE(TRIM(C2258),".",""),"-","")," ","")))-1))&amp;RIGHT(UPPER(SUBSTITUTE(SUBSTITUTE(SUBSTITUTE(TRIM(C2258),".",""),"-","")," ","")),1),UPPER(SUBSTITUTE(SUBSTITUTE(SUBSTITUTE(TRIM(C2258),".",""),"-","")," ",""))))</f>
        <v/>
      </c>
    </row>
    <row r="2259" customFormat="false" ht="15" hidden="false" customHeight="false" outlineLevel="0" collapsed="false">
      <c r="B2259" s="80"/>
      <c r="C2259" s="58"/>
      <c r="D2259" s="62" t="str">
        <f aca="false">IF(C2259="","",IFERROR(INDEX(T_NOMBRE,MATCH(V2259,T_RUTN,0)),"⚠ RUT no está en Trabajadores"))</f>
        <v/>
      </c>
      <c r="E2259" s="61"/>
      <c r="F2259" s="61"/>
      <c r="G2259" s="61"/>
      <c r="H2259" s="61"/>
      <c r="I2259" s="81"/>
      <c r="J2259" s="81"/>
      <c r="K2259" s="60"/>
      <c r="L2259" s="60"/>
      <c r="M2259" s="60"/>
      <c r="N2259" s="60"/>
      <c r="O2259" s="60"/>
      <c r="P2259" s="60"/>
      <c r="Q2259" s="60"/>
      <c r="R2259" s="58"/>
      <c r="S2259" s="62" t="str">
        <f aca="false">IF(OR(B2259="",V2259=""),"",IFERROR(INDEX(C_TIPO,MATCH(V2259&amp;"-P"&amp;MAX(1,COUNTIFS(C_RUTN,V2259,C_DEF,"Sí",C_INI,"&lt;="&amp;EOMONTH(B2259,0))),C_CLAVE,0))&amp;"","Sin contrato"))</f>
        <v/>
      </c>
      <c r="T2259" s="63" t="str">
        <f aca="false">IF(OR(B2259="",N(O2259)=0),"",N(O2259)+ROUND(MIN(N(N2259),TOPE_UF*UF_MES)*(TASA_EMP+MUTUAL),0)+ROUND(MIN(N(N2259),TOPE_AFC_UF*UF_MES)*IF(S2259="Indefinido",AFC_INDEF,AFC_PF),0))</f>
        <v/>
      </c>
      <c r="U2259" s="62" t="str">
        <f aca="false">IF(C2259="","",IF(LEFT(D2259,1)="⚠","⚠ RUT no registrado en Trabajadores",IF(B2259="","⚠ Falta el mes",IF(OR(ISTEXT(I2259),ISTEXT(J2259)),"⚠ Atrasos u horas extra como texto: escriba hh:mm (ej. 1:30)",IF(AND(ISNUMBER(Q2259),COUNTIFS(M_RUTN,V2259,M_MES,B2259,M_LIQ,"&lt;&gt;")&gt;1),"⚠ Liquidación repetida en el mes",IF(AND(ISNUMBER(O2259),ISNUMBER(P2259),ISNUMBER(Q2259),ABS(O2259-P2259-Q2259)&gt;1),"⚠ Haberes − descuentos no da el líquido","OK"))))))</f>
        <v/>
      </c>
      <c r="V2259" s="62" t="str">
        <f aca="false">IF(C2259="","",IFERROR(VALUE(LEFT(UPPER(SUBSTITUTE(SUBSTITUTE(SUBSTITUTE(TRIM(C2259),".",""),"-","")," ","")),LEN(UPPER(SUBSTITUTE(SUBSTITUTE(SUBSTITUTE(TRIM(C2259),".",""),"-","")," ","")))-1))&amp;RIGHT(UPPER(SUBSTITUTE(SUBSTITUTE(SUBSTITUTE(TRIM(C2259),".",""),"-","")," ","")),1),UPPER(SUBSTITUTE(SUBSTITUTE(SUBSTITUTE(TRIM(C2259),".",""),"-","")," ",""))))</f>
        <v/>
      </c>
    </row>
    <row r="2260" customFormat="false" ht="15" hidden="false" customHeight="false" outlineLevel="0" collapsed="false">
      <c r="B2260" s="80"/>
      <c r="C2260" s="58"/>
      <c r="D2260" s="62" t="str">
        <f aca="false">IF(C2260="","",IFERROR(INDEX(T_NOMBRE,MATCH(V2260,T_RUTN,0)),"⚠ RUT no está en Trabajadores"))</f>
        <v/>
      </c>
      <c r="E2260" s="61"/>
      <c r="F2260" s="61"/>
      <c r="G2260" s="61"/>
      <c r="H2260" s="61"/>
      <c r="I2260" s="81"/>
      <c r="J2260" s="81"/>
      <c r="K2260" s="60"/>
      <c r="L2260" s="60"/>
      <c r="M2260" s="60"/>
      <c r="N2260" s="60"/>
      <c r="O2260" s="60"/>
      <c r="P2260" s="60"/>
      <c r="Q2260" s="60"/>
      <c r="R2260" s="58"/>
      <c r="S2260" s="62" t="str">
        <f aca="false">IF(OR(B2260="",V2260=""),"",IFERROR(INDEX(C_TIPO,MATCH(V2260&amp;"-P"&amp;MAX(1,COUNTIFS(C_RUTN,V2260,C_DEF,"Sí",C_INI,"&lt;="&amp;EOMONTH(B2260,0))),C_CLAVE,0))&amp;"","Sin contrato"))</f>
        <v/>
      </c>
      <c r="T2260" s="63" t="str">
        <f aca="false">IF(OR(B2260="",N(O2260)=0),"",N(O2260)+ROUND(MIN(N(N2260),TOPE_UF*UF_MES)*(TASA_EMP+MUTUAL),0)+ROUND(MIN(N(N2260),TOPE_AFC_UF*UF_MES)*IF(S2260="Indefinido",AFC_INDEF,AFC_PF),0))</f>
        <v/>
      </c>
      <c r="U2260" s="62" t="str">
        <f aca="false">IF(C2260="","",IF(LEFT(D2260,1)="⚠","⚠ RUT no registrado en Trabajadores",IF(B2260="","⚠ Falta el mes",IF(OR(ISTEXT(I2260),ISTEXT(J2260)),"⚠ Atrasos u horas extra como texto: escriba hh:mm (ej. 1:30)",IF(AND(ISNUMBER(Q2260),COUNTIFS(M_RUTN,V2260,M_MES,B2260,M_LIQ,"&lt;&gt;")&gt;1),"⚠ Liquidación repetida en el mes",IF(AND(ISNUMBER(O2260),ISNUMBER(P2260),ISNUMBER(Q2260),ABS(O2260-P2260-Q2260)&gt;1),"⚠ Haberes − descuentos no da el líquido","OK"))))))</f>
        <v/>
      </c>
      <c r="V2260" s="62" t="str">
        <f aca="false">IF(C2260="","",IFERROR(VALUE(LEFT(UPPER(SUBSTITUTE(SUBSTITUTE(SUBSTITUTE(TRIM(C2260),".",""),"-","")," ","")),LEN(UPPER(SUBSTITUTE(SUBSTITUTE(SUBSTITUTE(TRIM(C2260),".",""),"-","")," ","")))-1))&amp;RIGHT(UPPER(SUBSTITUTE(SUBSTITUTE(SUBSTITUTE(TRIM(C2260),".",""),"-","")," ","")),1),UPPER(SUBSTITUTE(SUBSTITUTE(SUBSTITUTE(TRIM(C2260),".",""),"-","")," ",""))))</f>
        <v/>
      </c>
    </row>
    <row r="2261" customFormat="false" ht="15" hidden="false" customHeight="false" outlineLevel="0" collapsed="false">
      <c r="B2261" s="80"/>
      <c r="C2261" s="58"/>
      <c r="D2261" s="62" t="str">
        <f aca="false">IF(C2261="","",IFERROR(INDEX(T_NOMBRE,MATCH(V2261,T_RUTN,0)),"⚠ RUT no está en Trabajadores"))</f>
        <v/>
      </c>
      <c r="E2261" s="61"/>
      <c r="F2261" s="61"/>
      <c r="G2261" s="61"/>
      <c r="H2261" s="61"/>
      <c r="I2261" s="81"/>
      <c r="J2261" s="81"/>
      <c r="K2261" s="60"/>
      <c r="L2261" s="60"/>
      <c r="M2261" s="60"/>
      <c r="N2261" s="60"/>
      <c r="O2261" s="60"/>
      <c r="P2261" s="60"/>
      <c r="Q2261" s="60"/>
      <c r="R2261" s="58"/>
      <c r="S2261" s="62" t="str">
        <f aca="false">IF(OR(B2261="",V2261=""),"",IFERROR(INDEX(C_TIPO,MATCH(V2261&amp;"-P"&amp;MAX(1,COUNTIFS(C_RUTN,V2261,C_DEF,"Sí",C_INI,"&lt;="&amp;EOMONTH(B2261,0))),C_CLAVE,0))&amp;"","Sin contrato"))</f>
        <v/>
      </c>
      <c r="T2261" s="63" t="str">
        <f aca="false">IF(OR(B2261="",N(O2261)=0),"",N(O2261)+ROUND(MIN(N(N2261),TOPE_UF*UF_MES)*(TASA_EMP+MUTUAL),0)+ROUND(MIN(N(N2261),TOPE_AFC_UF*UF_MES)*IF(S2261="Indefinido",AFC_INDEF,AFC_PF),0))</f>
        <v/>
      </c>
      <c r="U2261" s="62" t="str">
        <f aca="false">IF(C2261="","",IF(LEFT(D2261,1)="⚠","⚠ RUT no registrado en Trabajadores",IF(B2261="","⚠ Falta el mes",IF(OR(ISTEXT(I2261),ISTEXT(J2261)),"⚠ Atrasos u horas extra como texto: escriba hh:mm (ej. 1:30)",IF(AND(ISNUMBER(Q2261),COUNTIFS(M_RUTN,V2261,M_MES,B2261,M_LIQ,"&lt;&gt;")&gt;1),"⚠ Liquidación repetida en el mes",IF(AND(ISNUMBER(O2261),ISNUMBER(P2261),ISNUMBER(Q2261),ABS(O2261-P2261-Q2261)&gt;1),"⚠ Haberes − descuentos no da el líquido","OK"))))))</f>
        <v/>
      </c>
      <c r="V2261" s="62" t="str">
        <f aca="false">IF(C2261="","",IFERROR(VALUE(LEFT(UPPER(SUBSTITUTE(SUBSTITUTE(SUBSTITUTE(TRIM(C2261),".",""),"-","")," ","")),LEN(UPPER(SUBSTITUTE(SUBSTITUTE(SUBSTITUTE(TRIM(C2261),".",""),"-","")," ","")))-1))&amp;RIGHT(UPPER(SUBSTITUTE(SUBSTITUTE(SUBSTITUTE(TRIM(C2261),".",""),"-","")," ","")),1),UPPER(SUBSTITUTE(SUBSTITUTE(SUBSTITUTE(TRIM(C2261),".",""),"-","")," ",""))))</f>
        <v/>
      </c>
    </row>
    <row r="2262" customFormat="false" ht="15" hidden="false" customHeight="false" outlineLevel="0" collapsed="false">
      <c r="B2262" s="80"/>
      <c r="C2262" s="58"/>
      <c r="D2262" s="62" t="str">
        <f aca="false">IF(C2262="","",IFERROR(INDEX(T_NOMBRE,MATCH(V2262,T_RUTN,0)),"⚠ RUT no está en Trabajadores"))</f>
        <v/>
      </c>
      <c r="E2262" s="61"/>
      <c r="F2262" s="61"/>
      <c r="G2262" s="61"/>
      <c r="H2262" s="61"/>
      <c r="I2262" s="81"/>
      <c r="J2262" s="81"/>
      <c r="K2262" s="60"/>
      <c r="L2262" s="60"/>
      <c r="M2262" s="60"/>
      <c r="N2262" s="60"/>
      <c r="O2262" s="60"/>
      <c r="P2262" s="60"/>
      <c r="Q2262" s="60"/>
      <c r="R2262" s="58"/>
      <c r="S2262" s="62" t="str">
        <f aca="false">IF(OR(B2262="",V2262=""),"",IFERROR(INDEX(C_TIPO,MATCH(V2262&amp;"-P"&amp;MAX(1,COUNTIFS(C_RUTN,V2262,C_DEF,"Sí",C_INI,"&lt;="&amp;EOMONTH(B2262,0))),C_CLAVE,0))&amp;"","Sin contrato"))</f>
        <v/>
      </c>
      <c r="T2262" s="63" t="str">
        <f aca="false">IF(OR(B2262="",N(O2262)=0),"",N(O2262)+ROUND(MIN(N(N2262),TOPE_UF*UF_MES)*(TASA_EMP+MUTUAL),0)+ROUND(MIN(N(N2262),TOPE_AFC_UF*UF_MES)*IF(S2262="Indefinido",AFC_INDEF,AFC_PF),0))</f>
        <v/>
      </c>
      <c r="U2262" s="62" t="str">
        <f aca="false">IF(C2262="","",IF(LEFT(D2262,1)="⚠","⚠ RUT no registrado en Trabajadores",IF(B2262="","⚠ Falta el mes",IF(OR(ISTEXT(I2262),ISTEXT(J2262)),"⚠ Atrasos u horas extra como texto: escriba hh:mm (ej. 1:30)",IF(AND(ISNUMBER(Q2262),COUNTIFS(M_RUTN,V2262,M_MES,B2262,M_LIQ,"&lt;&gt;")&gt;1),"⚠ Liquidación repetida en el mes",IF(AND(ISNUMBER(O2262),ISNUMBER(P2262),ISNUMBER(Q2262),ABS(O2262-P2262-Q2262)&gt;1),"⚠ Haberes − descuentos no da el líquido","OK"))))))</f>
        <v/>
      </c>
      <c r="V2262" s="62" t="str">
        <f aca="false">IF(C2262="","",IFERROR(VALUE(LEFT(UPPER(SUBSTITUTE(SUBSTITUTE(SUBSTITUTE(TRIM(C2262),".",""),"-","")," ","")),LEN(UPPER(SUBSTITUTE(SUBSTITUTE(SUBSTITUTE(TRIM(C2262),".",""),"-","")," ","")))-1))&amp;RIGHT(UPPER(SUBSTITUTE(SUBSTITUTE(SUBSTITUTE(TRIM(C2262),".",""),"-","")," ","")),1),UPPER(SUBSTITUTE(SUBSTITUTE(SUBSTITUTE(TRIM(C2262),".",""),"-","")," ",""))))</f>
        <v/>
      </c>
    </row>
    <row r="2263" customFormat="false" ht="15" hidden="false" customHeight="false" outlineLevel="0" collapsed="false">
      <c r="B2263" s="80"/>
      <c r="C2263" s="58"/>
      <c r="D2263" s="62" t="str">
        <f aca="false">IF(C2263="","",IFERROR(INDEX(T_NOMBRE,MATCH(V2263,T_RUTN,0)),"⚠ RUT no está en Trabajadores"))</f>
        <v/>
      </c>
      <c r="E2263" s="61"/>
      <c r="F2263" s="61"/>
      <c r="G2263" s="61"/>
      <c r="H2263" s="61"/>
      <c r="I2263" s="81"/>
      <c r="J2263" s="81"/>
      <c r="K2263" s="60"/>
      <c r="L2263" s="60"/>
      <c r="M2263" s="60"/>
      <c r="N2263" s="60"/>
      <c r="O2263" s="60"/>
      <c r="P2263" s="60"/>
      <c r="Q2263" s="60"/>
      <c r="R2263" s="58"/>
      <c r="S2263" s="62" t="str">
        <f aca="false">IF(OR(B2263="",V2263=""),"",IFERROR(INDEX(C_TIPO,MATCH(V2263&amp;"-P"&amp;MAX(1,COUNTIFS(C_RUTN,V2263,C_DEF,"Sí",C_INI,"&lt;="&amp;EOMONTH(B2263,0))),C_CLAVE,0))&amp;"","Sin contrato"))</f>
        <v/>
      </c>
      <c r="T2263" s="63" t="str">
        <f aca="false">IF(OR(B2263="",N(O2263)=0),"",N(O2263)+ROUND(MIN(N(N2263),TOPE_UF*UF_MES)*(TASA_EMP+MUTUAL),0)+ROUND(MIN(N(N2263),TOPE_AFC_UF*UF_MES)*IF(S2263="Indefinido",AFC_INDEF,AFC_PF),0))</f>
        <v/>
      </c>
      <c r="U2263" s="62" t="str">
        <f aca="false">IF(C2263="","",IF(LEFT(D2263,1)="⚠","⚠ RUT no registrado en Trabajadores",IF(B2263="","⚠ Falta el mes",IF(OR(ISTEXT(I2263),ISTEXT(J2263)),"⚠ Atrasos u horas extra como texto: escriba hh:mm (ej. 1:30)",IF(AND(ISNUMBER(Q2263),COUNTIFS(M_RUTN,V2263,M_MES,B2263,M_LIQ,"&lt;&gt;")&gt;1),"⚠ Liquidación repetida en el mes",IF(AND(ISNUMBER(O2263),ISNUMBER(P2263),ISNUMBER(Q2263),ABS(O2263-P2263-Q2263)&gt;1),"⚠ Haberes − descuentos no da el líquido","OK"))))))</f>
        <v/>
      </c>
      <c r="V2263" s="62" t="str">
        <f aca="false">IF(C2263="","",IFERROR(VALUE(LEFT(UPPER(SUBSTITUTE(SUBSTITUTE(SUBSTITUTE(TRIM(C2263),".",""),"-","")," ","")),LEN(UPPER(SUBSTITUTE(SUBSTITUTE(SUBSTITUTE(TRIM(C2263),".",""),"-","")," ","")))-1))&amp;RIGHT(UPPER(SUBSTITUTE(SUBSTITUTE(SUBSTITUTE(TRIM(C2263),".",""),"-","")," ","")),1),UPPER(SUBSTITUTE(SUBSTITUTE(SUBSTITUTE(TRIM(C2263),".",""),"-","")," ",""))))</f>
        <v/>
      </c>
    </row>
    <row r="2264" customFormat="false" ht="15" hidden="false" customHeight="false" outlineLevel="0" collapsed="false">
      <c r="B2264" s="80"/>
      <c r="C2264" s="58"/>
      <c r="D2264" s="62" t="str">
        <f aca="false">IF(C2264="","",IFERROR(INDEX(T_NOMBRE,MATCH(V2264,T_RUTN,0)),"⚠ RUT no está en Trabajadores"))</f>
        <v/>
      </c>
      <c r="E2264" s="61"/>
      <c r="F2264" s="61"/>
      <c r="G2264" s="61"/>
      <c r="H2264" s="61"/>
      <c r="I2264" s="81"/>
      <c r="J2264" s="81"/>
      <c r="K2264" s="60"/>
      <c r="L2264" s="60"/>
      <c r="M2264" s="60"/>
      <c r="N2264" s="60"/>
      <c r="O2264" s="60"/>
      <c r="P2264" s="60"/>
      <c r="Q2264" s="60"/>
      <c r="R2264" s="58"/>
      <c r="S2264" s="62" t="str">
        <f aca="false">IF(OR(B2264="",V2264=""),"",IFERROR(INDEX(C_TIPO,MATCH(V2264&amp;"-P"&amp;MAX(1,COUNTIFS(C_RUTN,V2264,C_DEF,"Sí",C_INI,"&lt;="&amp;EOMONTH(B2264,0))),C_CLAVE,0))&amp;"","Sin contrato"))</f>
        <v/>
      </c>
      <c r="T2264" s="63" t="str">
        <f aca="false">IF(OR(B2264="",N(O2264)=0),"",N(O2264)+ROUND(MIN(N(N2264),TOPE_UF*UF_MES)*(TASA_EMP+MUTUAL),0)+ROUND(MIN(N(N2264),TOPE_AFC_UF*UF_MES)*IF(S2264="Indefinido",AFC_INDEF,AFC_PF),0))</f>
        <v/>
      </c>
      <c r="U2264" s="62" t="str">
        <f aca="false">IF(C2264="","",IF(LEFT(D2264,1)="⚠","⚠ RUT no registrado en Trabajadores",IF(B2264="","⚠ Falta el mes",IF(OR(ISTEXT(I2264),ISTEXT(J2264)),"⚠ Atrasos u horas extra como texto: escriba hh:mm (ej. 1:30)",IF(AND(ISNUMBER(Q2264),COUNTIFS(M_RUTN,V2264,M_MES,B2264,M_LIQ,"&lt;&gt;")&gt;1),"⚠ Liquidación repetida en el mes",IF(AND(ISNUMBER(O2264),ISNUMBER(P2264),ISNUMBER(Q2264),ABS(O2264-P2264-Q2264)&gt;1),"⚠ Haberes − descuentos no da el líquido","OK"))))))</f>
        <v/>
      </c>
      <c r="V2264" s="62" t="str">
        <f aca="false">IF(C2264="","",IFERROR(VALUE(LEFT(UPPER(SUBSTITUTE(SUBSTITUTE(SUBSTITUTE(TRIM(C2264),".",""),"-","")," ","")),LEN(UPPER(SUBSTITUTE(SUBSTITUTE(SUBSTITUTE(TRIM(C2264),".",""),"-","")," ","")))-1))&amp;RIGHT(UPPER(SUBSTITUTE(SUBSTITUTE(SUBSTITUTE(TRIM(C2264),".",""),"-","")," ","")),1),UPPER(SUBSTITUTE(SUBSTITUTE(SUBSTITUTE(TRIM(C2264),".",""),"-","")," ",""))))</f>
        <v/>
      </c>
    </row>
    <row r="2265" customFormat="false" ht="15" hidden="false" customHeight="false" outlineLevel="0" collapsed="false">
      <c r="B2265" s="80"/>
      <c r="C2265" s="58"/>
      <c r="D2265" s="62" t="str">
        <f aca="false">IF(C2265="","",IFERROR(INDEX(T_NOMBRE,MATCH(V2265,T_RUTN,0)),"⚠ RUT no está en Trabajadores"))</f>
        <v/>
      </c>
      <c r="E2265" s="61"/>
      <c r="F2265" s="61"/>
      <c r="G2265" s="61"/>
      <c r="H2265" s="61"/>
      <c r="I2265" s="81"/>
      <c r="J2265" s="81"/>
      <c r="K2265" s="60"/>
      <c r="L2265" s="60"/>
      <c r="M2265" s="60"/>
      <c r="N2265" s="60"/>
      <c r="O2265" s="60"/>
      <c r="P2265" s="60"/>
      <c r="Q2265" s="60"/>
      <c r="R2265" s="58"/>
      <c r="S2265" s="62" t="str">
        <f aca="false">IF(OR(B2265="",V2265=""),"",IFERROR(INDEX(C_TIPO,MATCH(V2265&amp;"-P"&amp;MAX(1,COUNTIFS(C_RUTN,V2265,C_DEF,"Sí",C_INI,"&lt;="&amp;EOMONTH(B2265,0))),C_CLAVE,0))&amp;"","Sin contrato"))</f>
        <v/>
      </c>
      <c r="T2265" s="63" t="str">
        <f aca="false">IF(OR(B2265="",N(O2265)=0),"",N(O2265)+ROUND(MIN(N(N2265),TOPE_UF*UF_MES)*(TASA_EMP+MUTUAL),0)+ROUND(MIN(N(N2265),TOPE_AFC_UF*UF_MES)*IF(S2265="Indefinido",AFC_INDEF,AFC_PF),0))</f>
        <v/>
      </c>
      <c r="U2265" s="62" t="str">
        <f aca="false">IF(C2265="","",IF(LEFT(D2265,1)="⚠","⚠ RUT no registrado en Trabajadores",IF(B2265="","⚠ Falta el mes",IF(OR(ISTEXT(I2265),ISTEXT(J2265)),"⚠ Atrasos u horas extra como texto: escriba hh:mm (ej. 1:30)",IF(AND(ISNUMBER(Q2265),COUNTIFS(M_RUTN,V2265,M_MES,B2265,M_LIQ,"&lt;&gt;")&gt;1),"⚠ Liquidación repetida en el mes",IF(AND(ISNUMBER(O2265),ISNUMBER(P2265),ISNUMBER(Q2265),ABS(O2265-P2265-Q2265)&gt;1),"⚠ Haberes − descuentos no da el líquido","OK"))))))</f>
        <v/>
      </c>
      <c r="V2265" s="62" t="str">
        <f aca="false">IF(C2265="","",IFERROR(VALUE(LEFT(UPPER(SUBSTITUTE(SUBSTITUTE(SUBSTITUTE(TRIM(C2265),".",""),"-","")," ","")),LEN(UPPER(SUBSTITUTE(SUBSTITUTE(SUBSTITUTE(TRIM(C2265),".",""),"-","")," ","")))-1))&amp;RIGHT(UPPER(SUBSTITUTE(SUBSTITUTE(SUBSTITUTE(TRIM(C2265),".",""),"-","")," ","")),1),UPPER(SUBSTITUTE(SUBSTITUTE(SUBSTITUTE(TRIM(C2265),".",""),"-","")," ",""))))</f>
        <v/>
      </c>
    </row>
    <row r="2266" customFormat="false" ht="15" hidden="false" customHeight="false" outlineLevel="0" collapsed="false">
      <c r="B2266" s="80"/>
      <c r="C2266" s="58"/>
      <c r="D2266" s="62" t="str">
        <f aca="false">IF(C2266="","",IFERROR(INDEX(T_NOMBRE,MATCH(V2266,T_RUTN,0)),"⚠ RUT no está en Trabajadores"))</f>
        <v/>
      </c>
      <c r="E2266" s="61"/>
      <c r="F2266" s="61"/>
      <c r="G2266" s="61"/>
      <c r="H2266" s="61"/>
      <c r="I2266" s="81"/>
      <c r="J2266" s="81"/>
      <c r="K2266" s="60"/>
      <c r="L2266" s="60"/>
      <c r="M2266" s="60"/>
      <c r="N2266" s="60"/>
      <c r="O2266" s="60"/>
      <c r="P2266" s="60"/>
      <c r="Q2266" s="60"/>
      <c r="R2266" s="58"/>
      <c r="S2266" s="62" t="str">
        <f aca="false">IF(OR(B2266="",V2266=""),"",IFERROR(INDEX(C_TIPO,MATCH(V2266&amp;"-P"&amp;MAX(1,COUNTIFS(C_RUTN,V2266,C_DEF,"Sí",C_INI,"&lt;="&amp;EOMONTH(B2266,0))),C_CLAVE,0))&amp;"","Sin contrato"))</f>
        <v/>
      </c>
      <c r="T2266" s="63" t="str">
        <f aca="false">IF(OR(B2266="",N(O2266)=0),"",N(O2266)+ROUND(MIN(N(N2266),TOPE_UF*UF_MES)*(TASA_EMP+MUTUAL),0)+ROUND(MIN(N(N2266),TOPE_AFC_UF*UF_MES)*IF(S2266="Indefinido",AFC_INDEF,AFC_PF),0))</f>
        <v/>
      </c>
      <c r="U2266" s="62" t="str">
        <f aca="false">IF(C2266="","",IF(LEFT(D2266,1)="⚠","⚠ RUT no registrado en Trabajadores",IF(B2266="","⚠ Falta el mes",IF(OR(ISTEXT(I2266),ISTEXT(J2266)),"⚠ Atrasos u horas extra como texto: escriba hh:mm (ej. 1:30)",IF(AND(ISNUMBER(Q2266),COUNTIFS(M_RUTN,V2266,M_MES,B2266,M_LIQ,"&lt;&gt;")&gt;1),"⚠ Liquidación repetida en el mes",IF(AND(ISNUMBER(O2266),ISNUMBER(P2266),ISNUMBER(Q2266),ABS(O2266-P2266-Q2266)&gt;1),"⚠ Haberes − descuentos no da el líquido","OK"))))))</f>
        <v/>
      </c>
      <c r="V2266" s="62" t="str">
        <f aca="false">IF(C2266="","",IFERROR(VALUE(LEFT(UPPER(SUBSTITUTE(SUBSTITUTE(SUBSTITUTE(TRIM(C2266),".",""),"-","")," ","")),LEN(UPPER(SUBSTITUTE(SUBSTITUTE(SUBSTITUTE(TRIM(C2266),".",""),"-","")," ","")))-1))&amp;RIGHT(UPPER(SUBSTITUTE(SUBSTITUTE(SUBSTITUTE(TRIM(C2266),".",""),"-","")," ","")),1),UPPER(SUBSTITUTE(SUBSTITUTE(SUBSTITUTE(TRIM(C2266),".",""),"-","")," ",""))))</f>
        <v/>
      </c>
    </row>
    <row r="2267" customFormat="false" ht="15" hidden="false" customHeight="false" outlineLevel="0" collapsed="false">
      <c r="B2267" s="80"/>
      <c r="C2267" s="58"/>
      <c r="D2267" s="62" t="str">
        <f aca="false">IF(C2267="","",IFERROR(INDEX(T_NOMBRE,MATCH(V2267,T_RUTN,0)),"⚠ RUT no está en Trabajadores"))</f>
        <v/>
      </c>
      <c r="E2267" s="61"/>
      <c r="F2267" s="61"/>
      <c r="G2267" s="61"/>
      <c r="H2267" s="61"/>
      <c r="I2267" s="81"/>
      <c r="J2267" s="81"/>
      <c r="K2267" s="60"/>
      <c r="L2267" s="60"/>
      <c r="M2267" s="60"/>
      <c r="N2267" s="60"/>
      <c r="O2267" s="60"/>
      <c r="P2267" s="60"/>
      <c r="Q2267" s="60"/>
      <c r="R2267" s="58"/>
      <c r="S2267" s="62" t="str">
        <f aca="false">IF(OR(B2267="",V2267=""),"",IFERROR(INDEX(C_TIPO,MATCH(V2267&amp;"-P"&amp;MAX(1,COUNTIFS(C_RUTN,V2267,C_DEF,"Sí",C_INI,"&lt;="&amp;EOMONTH(B2267,0))),C_CLAVE,0))&amp;"","Sin contrato"))</f>
        <v/>
      </c>
      <c r="T2267" s="63" t="str">
        <f aca="false">IF(OR(B2267="",N(O2267)=0),"",N(O2267)+ROUND(MIN(N(N2267),TOPE_UF*UF_MES)*(TASA_EMP+MUTUAL),0)+ROUND(MIN(N(N2267),TOPE_AFC_UF*UF_MES)*IF(S2267="Indefinido",AFC_INDEF,AFC_PF),0))</f>
        <v/>
      </c>
      <c r="U2267" s="62" t="str">
        <f aca="false">IF(C2267="","",IF(LEFT(D2267,1)="⚠","⚠ RUT no registrado en Trabajadores",IF(B2267="","⚠ Falta el mes",IF(OR(ISTEXT(I2267),ISTEXT(J2267)),"⚠ Atrasos u horas extra como texto: escriba hh:mm (ej. 1:30)",IF(AND(ISNUMBER(Q2267),COUNTIFS(M_RUTN,V2267,M_MES,B2267,M_LIQ,"&lt;&gt;")&gt;1),"⚠ Liquidación repetida en el mes",IF(AND(ISNUMBER(O2267),ISNUMBER(P2267),ISNUMBER(Q2267),ABS(O2267-P2267-Q2267)&gt;1),"⚠ Haberes − descuentos no da el líquido","OK"))))))</f>
        <v/>
      </c>
      <c r="V2267" s="62" t="str">
        <f aca="false">IF(C2267="","",IFERROR(VALUE(LEFT(UPPER(SUBSTITUTE(SUBSTITUTE(SUBSTITUTE(TRIM(C2267),".",""),"-","")," ","")),LEN(UPPER(SUBSTITUTE(SUBSTITUTE(SUBSTITUTE(TRIM(C2267),".",""),"-","")," ","")))-1))&amp;RIGHT(UPPER(SUBSTITUTE(SUBSTITUTE(SUBSTITUTE(TRIM(C2267),".",""),"-","")," ","")),1),UPPER(SUBSTITUTE(SUBSTITUTE(SUBSTITUTE(TRIM(C2267),".",""),"-","")," ",""))))</f>
        <v/>
      </c>
    </row>
    <row r="2268" customFormat="false" ht="15" hidden="false" customHeight="false" outlineLevel="0" collapsed="false">
      <c r="B2268" s="80"/>
      <c r="C2268" s="58"/>
      <c r="D2268" s="62" t="str">
        <f aca="false">IF(C2268="","",IFERROR(INDEX(T_NOMBRE,MATCH(V2268,T_RUTN,0)),"⚠ RUT no está en Trabajadores"))</f>
        <v/>
      </c>
      <c r="E2268" s="61"/>
      <c r="F2268" s="61"/>
      <c r="G2268" s="61"/>
      <c r="H2268" s="61"/>
      <c r="I2268" s="81"/>
      <c r="J2268" s="81"/>
      <c r="K2268" s="60"/>
      <c r="L2268" s="60"/>
      <c r="M2268" s="60"/>
      <c r="N2268" s="60"/>
      <c r="O2268" s="60"/>
      <c r="P2268" s="60"/>
      <c r="Q2268" s="60"/>
      <c r="R2268" s="58"/>
      <c r="S2268" s="62" t="str">
        <f aca="false">IF(OR(B2268="",V2268=""),"",IFERROR(INDEX(C_TIPO,MATCH(V2268&amp;"-P"&amp;MAX(1,COUNTIFS(C_RUTN,V2268,C_DEF,"Sí",C_INI,"&lt;="&amp;EOMONTH(B2268,0))),C_CLAVE,0))&amp;"","Sin contrato"))</f>
        <v/>
      </c>
      <c r="T2268" s="63" t="str">
        <f aca="false">IF(OR(B2268="",N(O2268)=0),"",N(O2268)+ROUND(MIN(N(N2268),TOPE_UF*UF_MES)*(TASA_EMP+MUTUAL),0)+ROUND(MIN(N(N2268),TOPE_AFC_UF*UF_MES)*IF(S2268="Indefinido",AFC_INDEF,AFC_PF),0))</f>
        <v/>
      </c>
      <c r="U2268" s="62" t="str">
        <f aca="false">IF(C2268="","",IF(LEFT(D2268,1)="⚠","⚠ RUT no registrado en Trabajadores",IF(B2268="","⚠ Falta el mes",IF(OR(ISTEXT(I2268),ISTEXT(J2268)),"⚠ Atrasos u horas extra como texto: escriba hh:mm (ej. 1:30)",IF(AND(ISNUMBER(Q2268),COUNTIFS(M_RUTN,V2268,M_MES,B2268,M_LIQ,"&lt;&gt;")&gt;1),"⚠ Liquidación repetida en el mes",IF(AND(ISNUMBER(O2268),ISNUMBER(P2268),ISNUMBER(Q2268),ABS(O2268-P2268-Q2268)&gt;1),"⚠ Haberes − descuentos no da el líquido","OK"))))))</f>
        <v/>
      </c>
      <c r="V2268" s="62" t="str">
        <f aca="false">IF(C2268="","",IFERROR(VALUE(LEFT(UPPER(SUBSTITUTE(SUBSTITUTE(SUBSTITUTE(TRIM(C2268),".",""),"-","")," ","")),LEN(UPPER(SUBSTITUTE(SUBSTITUTE(SUBSTITUTE(TRIM(C2268),".",""),"-","")," ","")))-1))&amp;RIGHT(UPPER(SUBSTITUTE(SUBSTITUTE(SUBSTITUTE(TRIM(C2268),".",""),"-","")," ","")),1),UPPER(SUBSTITUTE(SUBSTITUTE(SUBSTITUTE(TRIM(C2268),".",""),"-","")," ",""))))</f>
        <v/>
      </c>
    </row>
    <row r="2269" customFormat="false" ht="15" hidden="false" customHeight="false" outlineLevel="0" collapsed="false">
      <c r="B2269" s="80"/>
      <c r="C2269" s="58"/>
      <c r="D2269" s="62" t="str">
        <f aca="false">IF(C2269="","",IFERROR(INDEX(T_NOMBRE,MATCH(V2269,T_RUTN,0)),"⚠ RUT no está en Trabajadores"))</f>
        <v/>
      </c>
      <c r="E2269" s="61"/>
      <c r="F2269" s="61"/>
      <c r="G2269" s="61"/>
      <c r="H2269" s="61"/>
      <c r="I2269" s="81"/>
      <c r="J2269" s="81"/>
      <c r="K2269" s="60"/>
      <c r="L2269" s="60"/>
      <c r="M2269" s="60"/>
      <c r="N2269" s="60"/>
      <c r="O2269" s="60"/>
      <c r="P2269" s="60"/>
      <c r="Q2269" s="60"/>
      <c r="R2269" s="58"/>
      <c r="S2269" s="62" t="str">
        <f aca="false">IF(OR(B2269="",V2269=""),"",IFERROR(INDEX(C_TIPO,MATCH(V2269&amp;"-P"&amp;MAX(1,COUNTIFS(C_RUTN,V2269,C_DEF,"Sí",C_INI,"&lt;="&amp;EOMONTH(B2269,0))),C_CLAVE,0))&amp;"","Sin contrato"))</f>
        <v/>
      </c>
      <c r="T2269" s="63" t="str">
        <f aca="false">IF(OR(B2269="",N(O2269)=0),"",N(O2269)+ROUND(MIN(N(N2269),TOPE_UF*UF_MES)*(TASA_EMP+MUTUAL),0)+ROUND(MIN(N(N2269),TOPE_AFC_UF*UF_MES)*IF(S2269="Indefinido",AFC_INDEF,AFC_PF),0))</f>
        <v/>
      </c>
      <c r="U2269" s="62" t="str">
        <f aca="false">IF(C2269="","",IF(LEFT(D2269,1)="⚠","⚠ RUT no registrado en Trabajadores",IF(B2269="","⚠ Falta el mes",IF(OR(ISTEXT(I2269),ISTEXT(J2269)),"⚠ Atrasos u horas extra como texto: escriba hh:mm (ej. 1:30)",IF(AND(ISNUMBER(Q2269),COUNTIFS(M_RUTN,V2269,M_MES,B2269,M_LIQ,"&lt;&gt;")&gt;1),"⚠ Liquidación repetida en el mes",IF(AND(ISNUMBER(O2269),ISNUMBER(P2269),ISNUMBER(Q2269),ABS(O2269-P2269-Q2269)&gt;1),"⚠ Haberes − descuentos no da el líquido","OK"))))))</f>
        <v/>
      </c>
      <c r="V2269" s="62" t="str">
        <f aca="false">IF(C2269="","",IFERROR(VALUE(LEFT(UPPER(SUBSTITUTE(SUBSTITUTE(SUBSTITUTE(TRIM(C2269),".",""),"-","")," ","")),LEN(UPPER(SUBSTITUTE(SUBSTITUTE(SUBSTITUTE(TRIM(C2269),".",""),"-","")," ","")))-1))&amp;RIGHT(UPPER(SUBSTITUTE(SUBSTITUTE(SUBSTITUTE(TRIM(C2269),".",""),"-","")," ","")),1),UPPER(SUBSTITUTE(SUBSTITUTE(SUBSTITUTE(TRIM(C2269),".",""),"-","")," ",""))))</f>
        <v/>
      </c>
    </row>
    <row r="2270" customFormat="false" ht="15" hidden="false" customHeight="false" outlineLevel="0" collapsed="false">
      <c r="B2270" s="80"/>
      <c r="C2270" s="58"/>
      <c r="D2270" s="62" t="str">
        <f aca="false">IF(C2270="","",IFERROR(INDEX(T_NOMBRE,MATCH(V2270,T_RUTN,0)),"⚠ RUT no está en Trabajadores"))</f>
        <v/>
      </c>
      <c r="E2270" s="61"/>
      <c r="F2270" s="61"/>
      <c r="G2270" s="61"/>
      <c r="H2270" s="61"/>
      <c r="I2270" s="81"/>
      <c r="J2270" s="81"/>
      <c r="K2270" s="60"/>
      <c r="L2270" s="60"/>
      <c r="M2270" s="60"/>
      <c r="N2270" s="60"/>
      <c r="O2270" s="60"/>
      <c r="P2270" s="60"/>
      <c r="Q2270" s="60"/>
      <c r="R2270" s="58"/>
      <c r="S2270" s="62" t="str">
        <f aca="false">IF(OR(B2270="",V2270=""),"",IFERROR(INDEX(C_TIPO,MATCH(V2270&amp;"-P"&amp;MAX(1,COUNTIFS(C_RUTN,V2270,C_DEF,"Sí",C_INI,"&lt;="&amp;EOMONTH(B2270,0))),C_CLAVE,0))&amp;"","Sin contrato"))</f>
        <v/>
      </c>
      <c r="T2270" s="63" t="str">
        <f aca="false">IF(OR(B2270="",N(O2270)=0),"",N(O2270)+ROUND(MIN(N(N2270),TOPE_UF*UF_MES)*(TASA_EMP+MUTUAL),0)+ROUND(MIN(N(N2270),TOPE_AFC_UF*UF_MES)*IF(S2270="Indefinido",AFC_INDEF,AFC_PF),0))</f>
        <v/>
      </c>
      <c r="U2270" s="62" t="str">
        <f aca="false">IF(C2270="","",IF(LEFT(D2270,1)="⚠","⚠ RUT no registrado en Trabajadores",IF(B2270="","⚠ Falta el mes",IF(OR(ISTEXT(I2270),ISTEXT(J2270)),"⚠ Atrasos u horas extra como texto: escriba hh:mm (ej. 1:30)",IF(AND(ISNUMBER(Q2270),COUNTIFS(M_RUTN,V2270,M_MES,B2270,M_LIQ,"&lt;&gt;")&gt;1),"⚠ Liquidación repetida en el mes",IF(AND(ISNUMBER(O2270),ISNUMBER(P2270),ISNUMBER(Q2270),ABS(O2270-P2270-Q2270)&gt;1),"⚠ Haberes − descuentos no da el líquido","OK"))))))</f>
        <v/>
      </c>
      <c r="V2270" s="62" t="str">
        <f aca="false">IF(C2270="","",IFERROR(VALUE(LEFT(UPPER(SUBSTITUTE(SUBSTITUTE(SUBSTITUTE(TRIM(C2270),".",""),"-","")," ","")),LEN(UPPER(SUBSTITUTE(SUBSTITUTE(SUBSTITUTE(TRIM(C2270),".",""),"-","")," ","")))-1))&amp;RIGHT(UPPER(SUBSTITUTE(SUBSTITUTE(SUBSTITUTE(TRIM(C2270),".",""),"-","")," ","")),1),UPPER(SUBSTITUTE(SUBSTITUTE(SUBSTITUTE(TRIM(C2270),".",""),"-","")," ",""))))</f>
        <v/>
      </c>
    </row>
    <row r="2271" customFormat="false" ht="15" hidden="false" customHeight="false" outlineLevel="0" collapsed="false">
      <c r="B2271" s="80"/>
      <c r="C2271" s="58"/>
      <c r="D2271" s="62" t="str">
        <f aca="false">IF(C2271="","",IFERROR(INDEX(T_NOMBRE,MATCH(V2271,T_RUTN,0)),"⚠ RUT no está en Trabajadores"))</f>
        <v/>
      </c>
      <c r="E2271" s="61"/>
      <c r="F2271" s="61"/>
      <c r="G2271" s="61"/>
      <c r="H2271" s="61"/>
      <c r="I2271" s="81"/>
      <c r="J2271" s="81"/>
      <c r="K2271" s="60"/>
      <c r="L2271" s="60"/>
      <c r="M2271" s="60"/>
      <c r="N2271" s="60"/>
      <c r="O2271" s="60"/>
      <c r="P2271" s="60"/>
      <c r="Q2271" s="60"/>
      <c r="R2271" s="58"/>
      <c r="S2271" s="62" t="str">
        <f aca="false">IF(OR(B2271="",V2271=""),"",IFERROR(INDEX(C_TIPO,MATCH(V2271&amp;"-P"&amp;MAX(1,COUNTIFS(C_RUTN,V2271,C_DEF,"Sí",C_INI,"&lt;="&amp;EOMONTH(B2271,0))),C_CLAVE,0))&amp;"","Sin contrato"))</f>
        <v/>
      </c>
      <c r="T2271" s="63" t="str">
        <f aca="false">IF(OR(B2271="",N(O2271)=0),"",N(O2271)+ROUND(MIN(N(N2271),TOPE_UF*UF_MES)*(TASA_EMP+MUTUAL),0)+ROUND(MIN(N(N2271),TOPE_AFC_UF*UF_MES)*IF(S2271="Indefinido",AFC_INDEF,AFC_PF),0))</f>
        <v/>
      </c>
      <c r="U2271" s="62" t="str">
        <f aca="false">IF(C2271="","",IF(LEFT(D2271,1)="⚠","⚠ RUT no registrado en Trabajadores",IF(B2271="","⚠ Falta el mes",IF(OR(ISTEXT(I2271),ISTEXT(J2271)),"⚠ Atrasos u horas extra como texto: escriba hh:mm (ej. 1:30)",IF(AND(ISNUMBER(Q2271),COUNTIFS(M_RUTN,V2271,M_MES,B2271,M_LIQ,"&lt;&gt;")&gt;1),"⚠ Liquidación repetida en el mes",IF(AND(ISNUMBER(O2271),ISNUMBER(P2271),ISNUMBER(Q2271),ABS(O2271-P2271-Q2271)&gt;1),"⚠ Haberes − descuentos no da el líquido","OK"))))))</f>
        <v/>
      </c>
      <c r="V2271" s="62" t="str">
        <f aca="false">IF(C2271="","",IFERROR(VALUE(LEFT(UPPER(SUBSTITUTE(SUBSTITUTE(SUBSTITUTE(TRIM(C2271),".",""),"-","")," ","")),LEN(UPPER(SUBSTITUTE(SUBSTITUTE(SUBSTITUTE(TRIM(C2271),".",""),"-","")," ","")))-1))&amp;RIGHT(UPPER(SUBSTITUTE(SUBSTITUTE(SUBSTITUTE(TRIM(C2271),".",""),"-","")," ","")),1),UPPER(SUBSTITUTE(SUBSTITUTE(SUBSTITUTE(TRIM(C2271),".",""),"-","")," ",""))))</f>
        <v/>
      </c>
    </row>
    <row r="2272" customFormat="false" ht="15" hidden="false" customHeight="false" outlineLevel="0" collapsed="false">
      <c r="B2272" s="80"/>
      <c r="C2272" s="58"/>
      <c r="D2272" s="62" t="str">
        <f aca="false">IF(C2272="","",IFERROR(INDEX(T_NOMBRE,MATCH(V2272,T_RUTN,0)),"⚠ RUT no está en Trabajadores"))</f>
        <v/>
      </c>
      <c r="E2272" s="61"/>
      <c r="F2272" s="61"/>
      <c r="G2272" s="61"/>
      <c r="H2272" s="61"/>
      <c r="I2272" s="81"/>
      <c r="J2272" s="81"/>
      <c r="K2272" s="60"/>
      <c r="L2272" s="60"/>
      <c r="M2272" s="60"/>
      <c r="N2272" s="60"/>
      <c r="O2272" s="60"/>
      <c r="P2272" s="60"/>
      <c r="Q2272" s="60"/>
      <c r="R2272" s="58"/>
      <c r="S2272" s="62" t="str">
        <f aca="false">IF(OR(B2272="",V2272=""),"",IFERROR(INDEX(C_TIPO,MATCH(V2272&amp;"-P"&amp;MAX(1,COUNTIFS(C_RUTN,V2272,C_DEF,"Sí",C_INI,"&lt;="&amp;EOMONTH(B2272,0))),C_CLAVE,0))&amp;"","Sin contrato"))</f>
        <v/>
      </c>
      <c r="T2272" s="63" t="str">
        <f aca="false">IF(OR(B2272="",N(O2272)=0),"",N(O2272)+ROUND(MIN(N(N2272),TOPE_UF*UF_MES)*(TASA_EMP+MUTUAL),0)+ROUND(MIN(N(N2272),TOPE_AFC_UF*UF_MES)*IF(S2272="Indefinido",AFC_INDEF,AFC_PF),0))</f>
        <v/>
      </c>
      <c r="U2272" s="62" t="str">
        <f aca="false">IF(C2272="","",IF(LEFT(D2272,1)="⚠","⚠ RUT no registrado en Trabajadores",IF(B2272="","⚠ Falta el mes",IF(OR(ISTEXT(I2272),ISTEXT(J2272)),"⚠ Atrasos u horas extra como texto: escriba hh:mm (ej. 1:30)",IF(AND(ISNUMBER(Q2272),COUNTIFS(M_RUTN,V2272,M_MES,B2272,M_LIQ,"&lt;&gt;")&gt;1),"⚠ Liquidación repetida en el mes",IF(AND(ISNUMBER(O2272),ISNUMBER(P2272),ISNUMBER(Q2272),ABS(O2272-P2272-Q2272)&gt;1),"⚠ Haberes − descuentos no da el líquido","OK"))))))</f>
        <v/>
      </c>
      <c r="V2272" s="62" t="str">
        <f aca="false">IF(C2272="","",IFERROR(VALUE(LEFT(UPPER(SUBSTITUTE(SUBSTITUTE(SUBSTITUTE(TRIM(C2272),".",""),"-","")," ","")),LEN(UPPER(SUBSTITUTE(SUBSTITUTE(SUBSTITUTE(TRIM(C2272),".",""),"-","")," ","")))-1))&amp;RIGHT(UPPER(SUBSTITUTE(SUBSTITUTE(SUBSTITUTE(TRIM(C2272),".",""),"-","")," ","")),1),UPPER(SUBSTITUTE(SUBSTITUTE(SUBSTITUTE(TRIM(C2272),".",""),"-","")," ",""))))</f>
        <v/>
      </c>
    </row>
    <row r="2273" customFormat="false" ht="15" hidden="false" customHeight="false" outlineLevel="0" collapsed="false">
      <c r="B2273" s="80"/>
      <c r="C2273" s="58"/>
      <c r="D2273" s="62" t="str">
        <f aca="false">IF(C2273="","",IFERROR(INDEX(T_NOMBRE,MATCH(V2273,T_RUTN,0)),"⚠ RUT no está en Trabajadores"))</f>
        <v/>
      </c>
      <c r="E2273" s="61"/>
      <c r="F2273" s="61"/>
      <c r="G2273" s="61"/>
      <c r="H2273" s="61"/>
      <c r="I2273" s="81"/>
      <c r="J2273" s="81"/>
      <c r="K2273" s="60"/>
      <c r="L2273" s="60"/>
      <c r="M2273" s="60"/>
      <c r="N2273" s="60"/>
      <c r="O2273" s="60"/>
      <c r="P2273" s="60"/>
      <c r="Q2273" s="60"/>
      <c r="R2273" s="58"/>
      <c r="S2273" s="62" t="str">
        <f aca="false">IF(OR(B2273="",V2273=""),"",IFERROR(INDEX(C_TIPO,MATCH(V2273&amp;"-P"&amp;MAX(1,COUNTIFS(C_RUTN,V2273,C_DEF,"Sí",C_INI,"&lt;="&amp;EOMONTH(B2273,0))),C_CLAVE,0))&amp;"","Sin contrato"))</f>
        <v/>
      </c>
      <c r="T2273" s="63" t="str">
        <f aca="false">IF(OR(B2273="",N(O2273)=0),"",N(O2273)+ROUND(MIN(N(N2273),TOPE_UF*UF_MES)*(TASA_EMP+MUTUAL),0)+ROUND(MIN(N(N2273),TOPE_AFC_UF*UF_MES)*IF(S2273="Indefinido",AFC_INDEF,AFC_PF),0))</f>
        <v/>
      </c>
      <c r="U2273" s="62" t="str">
        <f aca="false">IF(C2273="","",IF(LEFT(D2273,1)="⚠","⚠ RUT no registrado en Trabajadores",IF(B2273="","⚠ Falta el mes",IF(OR(ISTEXT(I2273),ISTEXT(J2273)),"⚠ Atrasos u horas extra como texto: escriba hh:mm (ej. 1:30)",IF(AND(ISNUMBER(Q2273),COUNTIFS(M_RUTN,V2273,M_MES,B2273,M_LIQ,"&lt;&gt;")&gt;1),"⚠ Liquidación repetida en el mes",IF(AND(ISNUMBER(O2273),ISNUMBER(P2273),ISNUMBER(Q2273),ABS(O2273-P2273-Q2273)&gt;1),"⚠ Haberes − descuentos no da el líquido","OK"))))))</f>
        <v/>
      </c>
      <c r="V2273" s="62" t="str">
        <f aca="false">IF(C2273="","",IFERROR(VALUE(LEFT(UPPER(SUBSTITUTE(SUBSTITUTE(SUBSTITUTE(TRIM(C2273),".",""),"-","")," ","")),LEN(UPPER(SUBSTITUTE(SUBSTITUTE(SUBSTITUTE(TRIM(C2273),".",""),"-","")," ","")))-1))&amp;RIGHT(UPPER(SUBSTITUTE(SUBSTITUTE(SUBSTITUTE(TRIM(C2273),".",""),"-","")," ","")),1),UPPER(SUBSTITUTE(SUBSTITUTE(SUBSTITUTE(TRIM(C2273),".",""),"-","")," ",""))))</f>
        <v/>
      </c>
    </row>
    <row r="2274" customFormat="false" ht="15" hidden="false" customHeight="false" outlineLevel="0" collapsed="false">
      <c r="B2274" s="80"/>
      <c r="C2274" s="58"/>
      <c r="D2274" s="62" t="str">
        <f aca="false">IF(C2274="","",IFERROR(INDEX(T_NOMBRE,MATCH(V2274,T_RUTN,0)),"⚠ RUT no está en Trabajadores"))</f>
        <v/>
      </c>
      <c r="E2274" s="61"/>
      <c r="F2274" s="61"/>
      <c r="G2274" s="61"/>
      <c r="H2274" s="61"/>
      <c r="I2274" s="81"/>
      <c r="J2274" s="81"/>
      <c r="K2274" s="60"/>
      <c r="L2274" s="60"/>
      <c r="M2274" s="60"/>
      <c r="N2274" s="60"/>
      <c r="O2274" s="60"/>
      <c r="P2274" s="60"/>
      <c r="Q2274" s="60"/>
      <c r="R2274" s="58"/>
      <c r="S2274" s="62" t="str">
        <f aca="false">IF(OR(B2274="",V2274=""),"",IFERROR(INDEX(C_TIPO,MATCH(V2274&amp;"-P"&amp;MAX(1,COUNTIFS(C_RUTN,V2274,C_DEF,"Sí",C_INI,"&lt;="&amp;EOMONTH(B2274,0))),C_CLAVE,0))&amp;"","Sin contrato"))</f>
        <v/>
      </c>
      <c r="T2274" s="63" t="str">
        <f aca="false">IF(OR(B2274="",N(O2274)=0),"",N(O2274)+ROUND(MIN(N(N2274),TOPE_UF*UF_MES)*(TASA_EMP+MUTUAL),0)+ROUND(MIN(N(N2274),TOPE_AFC_UF*UF_MES)*IF(S2274="Indefinido",AFC_INDEF,AFC_PF),0))</f>
        <v/>
      </c>
      <c r="U2274" s="62" t="str">
        <f aca="false">IF(C2274="","",IF(LEFT(D2274,1)="⚠","⚠ RUT no registrado en Trabajadores",IF(B2274="","⚠ Falta el mes",IF(OR(ISTEXT(I2274),ISTEXT(J2274)),"⚠ Atrasos u horas extra como texto: escriba hh:mm (ej. 1:30)",IF(AND(ISNUMBER(Q2274),COUNTIFS(M_RUTN,V2274,M_MES,B2274,M_LIQ,"&lt;&gt;")&gt;1),"⚠ Liquidación repetida en el mes",IF(AND(ISNUMBER(O2274),ISNUMBER(P2274),ISNUMBER(Q2274),ABS(O2274-P2274-Q2274)&gt;1),"⚠ Haberes − descuentos no da el líquido","OK"))))))</f>
        <v/>
      </c>
      <c r="V2274" s="62" t="str">
        <f aca="false">IF(C2274="","",IFERROR(VALUE(LEFT(UPPER(SUBSTITUTE(SUBSTITUTE(SUBSTITUTE(TRIM(C2274),".",""),"-","")," ","")),LEN(UPPER(SUBSTITUTE(SUBSTITUTE(SUBSTITUTE(TRIM(C2274),".",""),"-","")," ","")))-1))&amp;RIGHT(UPPER(SUBSTITUTE(SUBSTITUTE(SUBSTITUTE(TRIM(C2274),".",""),"-","")," ","")),1),UPPER(SUBSTITUTE(SUBSTITUTE(SUBSTITUTE(TRIM(C2274),".",""),"-","")," ",""))))</f>
        <v/>
      </c>
    </row>
    <row r="2275" customFormat="false" ht="15" hidden="false" customHeight="false" outlineLevel="0" collapsed="false">
      <c r="B2275" s="80"/>
      <c r="C2275" s="58"/>
      <c r="D2275" s="62" t="str">
        <f aca="false">IF(C2275="","",IFERROR(INDEX(T_NOMBRE,MATCH(V2275,T_RUTN,0)),"⚠ RUT no está en Trabajadores"))</f>
        <v/>
      </c>
      <c r="E2275" s="61"/>
      <c r="F2275" s="61"/>
      <c r="G2275" s="61"/>
      <c r="H2275" s="61"/>
      <c r="I2275" s="81"/>
      <c r="J2275" s="81"/>
      <c r="K2275" s="60"/>
      <c r="L2275" s="60"/>
      <c r="M2275" s="60"/>
      <c r="N2275" s="60"/>
      <c r="O2275" s="60"/>
      <c r="P2275" s="60"/>
      <c r="Q2275" s="60"/>
      <c r="R2275" s="58"/>
      <c r="S2275" s="62" t="str">
        <f aca="false">IF(OR(B2275="",V2275=""),"",IFERROR(INDEX(C_TIPO,MATCH(V2275&amp;"-P"&amp;MAX(1,COUNTIFS(C_RUTN,V2275,C_DEF,"Sí",C_INI,"&lt;="&amp;EOMONTH(B2275,0))),C_CLAVE,0))&amp;"","Sin contrato"))</f>
        <v/>
      </c>
      <c r="T2275" s="63" t="str">
        <f aca="false">IF(OR(B2275="",N(O2275)=0),"",N(O2275)+ROUND(MIN(N(N2275),TOPE_UF*UF_MES)*(TASA_EMP+MUTUAL),0)+ROUND(MIN(N(N2275),TOPE_AFC_UF*UF_MES)*IF(S2275="Indefinido",AFC_INDEF,AFC_PF),0))</f>
        <v/>
      </c>
      <c r="U2275" s="62" t="str">
        <f aca="false">IF(C2275="","",IF(LEFT(D2275,1)="⚠","⚠ RUT no registrado en Trabajadores",IF(B2275="","⚠ Falta el mes",IF(OR(ISTEXT(I2275),ISTEXT(J2275)),"⚠ Atrasos u horas extra como texto: escriba hh:mm (ej. 1:30)",IF(AND(ISNUMBER(Q2275),COUNTIFS(M_RUTN,V2275,M_MES,B2275,M_LIQ,"&lt;&gt;")&gt;1),"⚠ Liquidación repetida en el mes",IF(AND(ISNUMBER(O2275),ISNUMBER(P2275),ISNUMBER(Q2275),ABS(O2275-P2275-Q2275)&gt;1),"⚠ Haberes − descuentos no da el líquido","OK"))))))</f>
        <v/>
      </c>
      <c r="V2275" s="62" t="str">
        <f aca="false">IF(C2275="","",IFERROR(VALUE(LEFT(UPPER(SUBSTITUTE(SUBSTITUTE(SUBSTITUTE(TRIM(C2275),".",""),"-","")," ","")),LEN(UPPER(SUBSTITUTE(SUBSTITUTE(SUBSTITUTE(TRIM(C2275),".",""),"-","")," ","")))-1))&amp;RIGHT(UPPER(SUBSTITUTE(SUBSTITUTE(SUBSTITUTE(TRIM(C2275),".",""),"-","")," ","")),1),UPPER(SUBSTITUTE(SUBSTITUTE(SUBSTITUTE(TRIM(C2275),".",""),"-","")," ",""))))</f>
        <v/>
      </c>
    </row>
    <row r="2276" customFormat="false" ht="15" hidden="false" customHeight="false" outlineLevel="0" collapsed="false">
      <c r="B2276" s="80"/>
      <c r="C2276" s="58"/>
      <c r="D2276" s="62" t="str">
        <f aca="false">IF(C2276="","",IFERROR(INDEX(T_NOMBRE,MATCH(V2276,T_RUTN,0)),"⚠ RUT no está en Trabajadores"))</f>
        <v/>
      </c>
      <c r="E2276" s="61"/>
      <c r="F2276" s="61"/>
      <c r="G2276" s="61"/>
      <c r="H2276" s="61"/>
      <c r="I2276" s="81"/>
      <c r="J2276" s="81"/>
      <c r="K2276" s="60"/>
      <c r="L2276" s="60"/>
      <c r="M2276" s="60"/>
      <c r="N2276" s="60"/>
      <c r="O2276" s="60"/>
      <c r="P2276" s="60"/>
      <c r="Q2276" s="60"/>
      <c r="R2276" s="58"/>
      <c r="S2276" s="62" t="str">
        <f aca="false">IF(OR(B2276="",V2276=""),"",IFERROR(INDEX(C_TIPO,MATCH(V2276&amp;"-P"&amp;MAX(1,COUNTIFS(C_RUTN,V2276,C_DEF,"Sí",C_INI,"&lt;="&amp;EOMONTH(B2276,0))),C_CLAVE,0))&amp;"","Sin contrato"))</f>
        <v/>
      </c>
      <c r="T2276" s="63" t="str">
        <f aca="false">IF(OR(B2276="",N(O2276)=0),"",N(O2276)+ROUND(MIN(N(N2276),TOPE_UF*UF_MES)*(TASA_EMP+MUTUAL),0)+ROUND(MIN(N(N2276),TOPE_AFC_UF*UF_MES)*IF(S2276="Indefinido",AFC_INDEF,AFC_PF),0))</f>
        <v/>
      </c>
      <c r="U2276" s="62" t="str">
        <f aca="false">IF(C2276="","",IF(LEFT(D2276,1)="⚠","⚠ RUT no registrado en Trabajadores",IF(B2276="","⚠ Falta el mes",IF(OR(ISTEXT(I2276),ISTEXT(J2276)),"⚠ Atrasos u horas extra como texto: escriba hh:mm (ej. 1:30)",IF(AND(ISNUMBER(Q2276),COUNTIFS(M_RUTN,V2276,M_MES,B2276,M_LIQ,"&lt;&gt;")&gt;1),"⚠ Liquidación repetida en el mes",IF(AND(ISNUMBER(O2276),ISNUMBER(P2276),ISNUMBER(Q2276),ABS(O2276-P2276-Q2276)&gt;1),"⚠ Haberes − descuentos no da el líquido","OK"))))))</f>
        <v/>
      </c>
      <c r="V2276" s="62" t="str">
        <f aca="false">IF(C2276="","",IFERROR(VALUE(LEFT(UPPER(SUBSTITUTE(SUBSTITUTE(SUBSTITUTE(TRIM(C2276),".",""),"-","")," ","")),LEN(UPPER(SUBSTITUTE(SUBSTITUTE(SUBSTITUTE(TRIM(C2276),".",""),"-","")," ","")))-1))&amp;RIGHT(UPPER(SUBSTITUTE(SUBSTITUTE(SUBSTITUTE(TRIM(C2276),".",""),"-","")," ","")),1),UPPER(SUBSTITUTE(SUBSTITUTE(SUBSTITUTE(TRIM(C2276),".",""),"-","")," ",""))))</f>
        <v/>
      </c>
    </row>
    <row r="2277" customFormat="false" ht="15" hidden="false" customHeight="false" outlineLevel="0" collapsed="false">
      <c r="B2277" s="80"/>
      <c r="C2277" s="58"/>
      <c r="D2277" s="62" t="str">
        <f aca="false">IF(C2277="","",IFERROR(INDEX(T_NOMBRE,MATCH(V2277,T_RUTN,0)),"⚠ RUT no está en Trabajadores"))</f>
        <v/>
      </c>
      <c r="E2277" s="61"/>
      <c r="F2277" s="61"/>
      <c r="G2277" s="61"/>
      <c r="H2277" s="61"/>
      <c r="I2277" s="81"/>
      <c r="J2277" s="81"/>
      <c r="K2277" s="60"/>
      <c r="L2277" s="60"/>
      <c r="M2277" s="60"/>
      <c r="N2277" s="60"/>
      <c r="O2277" s="60"/>
      <c r="P2277" s="60"/>
      <c r="Q2277" s="60"/>
      <c r="R2277" s="58"/>
      <c r="S2277" s="62" t="str">
        <f aca="false">IF(OR(B2277="",V2277=""),"",IFERROR(INDEX(C_TIPO,MATCH(V2277&amp;"-P"&amp;MAX(1,COUNTIFS(C_RUTN,V2277,C_DEF,"Sí",C_INI,"&lt;="&amp;EOMONTH(B2277,0))),C_CLAVE,0))&amp;"","Sin contrato"))</f>
        <v/>
      </c>
      <c r="T2277" s="63" t="str">
        <f aca="false">IF(OR(B2277="",N(O2277)=0),"",N(O2277)+ROUND(MIN(N(N2277),TOPE_UF*UF_MES)*(TASA_EMP+MUTUAL),0)+ROUND(MIN(N(N2277),TOPE_AFC_UF*UF_MES)*IF(S2277="Indefinido",AFC_INDEF,AFC_PF),0))</f>
        <v/>
      </c>
      <c r="U2277" s="62" t="str">
        <f aca="false">IF(C2277="","",IF(LEFT(D2277,1)="⚠","⚠ RUT no registrado en Trabajadores",IF(B2277="","⚠ Falta el mes",IF(OR(ISTEXT(I2277),ISTEXT(J2277)),"⚠ Atrasos u horas extra como texto: escriba hh:mm (ej. 1:30)",IF(AND(ISNUMBER(Q2277),COUNTIFS(M_RUTN,V2277,M_MES,B2277,M_LIQ,"&lt;&gt;")&gt;1),"⚠ Liquidación repetida en el mes",IF(AND(ISNUMBER(O2277),ISNUMBER(P2277),ISNUMBER(Q2277),ABS(O2277-P2277-Q2277)&gt;1),"⚠ Haberes − descuentos no da el líquido","OK"))))))</f>
        <v/>
      </c>
      <c r="V2277" s="62" t="str">
        <f aca="false">IF(C2277="","",IFERROR(VALUE(LEFT(UPPER(SUBSTITUTE(SUBSTITUTE(SUBSTITUTE(TRIM(C2277),".",""),"-","")," ","")),LEN(UPPER(SUBSTITUTE(SUBSTITUTE(SUBSTITUTE(TRIM(C2277),".",""),"-","")," ","")))-1))&amp;RIGHT(UPPER(SUBSTITUTE(SUBSTITUTE(SUBSTITUTE(TRIM(C2277),".",""),"-","")," ","")),1),UPPER(SUBSTITUTE(SUBSTITUTE(SUBSTITUTE(TRIM(C2277),".",""),"-","")," ",""))))</f>
        <v/>
      </c>
    </row>
    <row r="2278" customFormat="false" ht="15" hidden="false" customHeight="false" outlineLevel="0" collapsed="false">
      <c r="B2278" s="80"/>
      <c r="C2278" s="58"/>
      <c r="D2278" s="62" t="str">
        <f aca="false">IF(C2278="","",IFERROR(INDEX(T_NOMBRE,MATCH(V2278,T_RUTN,0)),"⚠ RUT no está en Trabajadores"))</f>
        <v/>
      </c>
      <c r="E2278" s="61"/>
      <c r="F2278" s="61"/>
      <c r="G2278" s="61"/>
      <c r="H2278" s="61"/>
      <c r="I2278" s="81"/>
      <c r="J2278" s="81"/>
      <c r="K2278" s="60"/>
      <c r="L2278" s="60"/>
      <c r="M2278" s="60"/>
      <c r="N2278" s="60"/>
      <c r="O2278" s="60"/>
      <c r="P2278" s="60"/>
      <c r="Q2278" s="60"/>
      <c r="R2278" s="58"/>
      <c r="S2278" s="62" t="str">
        <f aca="false">IF(OR(B2278="",V2278=""),"",IFERROR(INDEX(C_TIPO,MATCH(V2278&amp;"-P"&amp;MAX(1,COUNTIFS(C_RUTN,V2278,C_DEF,"Sí",C_INI,"&lt;="&amp;EOMONTH(B2278,0))),C_CLAVE,0))&amp;"","Sin contrato"))</f>
        <v/>
      </c>
      <c r="T2278" s="63" t="str">
        <f aca="false">IF(OR(B2278="",N(O2278)=0),"",N(O2278)+ROUND(MIN(N(N2278),TOPE_UF*UF_MES)*(TASA_EMP+MUTUAL),0)+ROUND(MIN(N(N2278),TOPE_AFC_UF*UF_MES)*IF(S2278="Indefinido",AFC_INDEF,AFC_PF),0))</f>
        <v/>
      </c>
      <c r="U2278" s="62" t="str">
        <f aca="false">IF(C2278="","",IF(LEFT(D2278,1)="⚠","⚠ RUT no registrado en Trabajadores",IF(B2278="","⚠ Falta el mes",IF(OR(ISTEXT(I2278),ISTEXT(J2278)),"⚠ Atrasos u horas extra como texto: escriba hh:mm (ej. 1:30)",IF(AND(ISNUMBER(Q2278),COUNTIFS(M_RUTN,V2278,M_MES,B2278,M_LIQ,"&lt;&gt;")&gt;1),"⚠ Liquidación repetida en el mes",IF(AND(ISNUMBER(O2278),ISNUMBER(P2278),ISNUMBER(Q2278),ABS(O2278-P2278-Q2278)&gt;1),"⚠ Haberes − descuentos no da el líquido","OK"))))))</f>
        <v/>
      </c>
      <c r="V2278" s="62" t="str">
        <f aca="false">IF(C2278="","",IFERROR(VALUE(LEFT(UPPER(SUBSTITUTE(SUBSTITUTE(SUBSTITUTE(TRIM(C2278),".",""),"-","")," ","")),LEN(UPPER(SUBSTITUTE(SUBSTITUTE(SUBSTITUTE(TRIM(C2278),".",""),"-","")," ","")))-1))&amp;RIGHT(UPPER(SUBSTITUTE(SUBSTITUTE(SUBSTITUTE(TRIM(C2278),".",""),"-","")," ","")),1),UPPER(SUBSTITUTE(SUBSTITUTE(SUBSTITUTE(TRIM(C2278),".",""),"-","")," ",""))))</f>
        <v/>
      </c>
    </row>
    <row r="2279" customFormat="false" ht="15" hidden="false" customHeight="false" outlineLevel="0" collapsed="false">
      <c r="B2279" s="80"/>
      <c r="C2279" s="58"/>
      <c r="D2279" s="62" t="str">
        <f aca="false">IF(C2279="","",IFERROR(INDEX(T_NOMBRE,MATCH(V2279,T_RUTN,0)),"⚠ RUT no está en Trabajadores"))</f>
        <v/>
      </c>
      <c r="E2279" s="61"/>
      <c r="F2279" s="61"/>
      <c r="G2279" s="61"/>
      <c r="H2279" s="61"/>
      <c r="I2279" s="81"/>
      <c r="J2279" s="81"/>
      <c r="K2279" s="60"/>
      <c r="L2279" s="60"/>
      <c r="M2279" s="60"/>
      <c r="N2279" s="60"/>
      <c r="O2279" s="60"/>
      <c r="P2279" s="60"/>
      <c r="Q2279" s="60"/>
      <c r="R2279" s="58"/>
      <c r="S2279" s="62" t="str">
        <f aca="false">IF(OR(B2279="",V2279=""),"",IFERROR(INDEX(C_TIPO,MATCH(V2279&amp;"-P"&amp;MAX(1,COUNTIFS(C_RUTN,V2279,C_DEF,"Sí",C_INI,"&lt;="&amp;EOMONTH(B2279,0))),C_CLAVE,0))&amp;"","Sin contrato"))</f>
        <v/>
      </c>
      <c r="T2279" s="63" t="str">
        <f aca="false">IF(OR(B2279="",N(O2279)=0),"",N(O2279)+ROUND(MIN(N(N2279),TOPE_UF*UF_MES)*(TASA_EMP+MUTUAL),0)+ROUND(MIN(N(N2279),TOPE_AFC_UF*UF_MES)*IF(S2279="Indefinido",AFC_INDEF,AFC_PF),0))</f>
        <v/>
      </c>
      <c r="U2279" s="62" t="str">
        <f aca="false">IF(C2279="","",IF(LEFT(D2279,1)="⚠","⚠ RUT no registrado en Trabajadores",IF(B2279="","⚠ Falta el mes",IF(OR(ISTEXT(I2279),ISTEXT(J2279)),"⚠ Atrasos u horas extra como texto: escriba hh:mm (ej. 1:30)",IF(AND(ISNUMBER(Q2279),COUNTIFS(M_RUTN,V2279,M_MES,B2279,M_LIQ,"&lt;&gt;")&gt;1),"⚠ Liquidación repetida en el mes",IF(AND(ISNUMBER(O2279),ISNUMBER(P2279),ISNUMBER(Q2279),ABS(O2279-P2279-Q2279)&gt;1),"⚠ Haberes − descuentos no da el líquido","OK"))))))</f>
        <v/>
      </c>
      <c r="V2279" s="62" t="str">
        <f aca="false">IF(C2279="","",IFERROR(VALUE(LEFT(UPPER(SUBSTITUTE(SUBSTITUTE(SUBSTITUTE(TRIM(C2279),".",""),"-","")," ","")),LEN(UPPER(SUBSTITUTE(SUBSTITUTE(SUBSTITUTE(TRIM(C2279),".",""),"-","")," ","")))-1))&amp;RIGHT(UPPER(SUBSTITUTE(SUBSTITUTE(SUBSTITUTE(TRIM(C2279),".",""),"-","")," ","")),1),UPPER(SUBSTITUTE(SUBSTITUTE(SUBSTITUTE(TRIM(C2279),".",""),"-","")," ",""))))</f>
        <v/>
      </c>
    </row>
    <row r="2280" customFormat="false" ht="15" hidden="false" customHeight="false" outlineLevel="0" collapsed="false">
      <c r="B2280" s="80"/>
      <c r="C2280" s="58"/>
      <c r="D2280" s="62" t="str">
        <f aca="false">IF(C2280="","",IFERROR(INDEX(T_NOMBRE,MATCH(V2280,T_RUTN,0)),"⚠ RUT no está en Trabajadores"))</f>
        <v/>
      </c>
      <c r="E2280" s="61"/>
      <c r="F2280" s="61"/>
      <c r="G2280" s="61"/>
      <c r="H2280" s="61"/>
      <c r="I2280" s="81"/>
      <c r="J2280" s="81"/>
      <c r="K2280" s="60"/>
      <c r="L2280" s="60"/>
      <c r="M2280" s="60"/>
      <c r="N2280" s="60"/>
      <c r="O2280" s="60"/>
      <c r="P2280" s="60"/>
      <c r="Q2280" s="60"/>
      <c r="R2280" s="58"/>
      <c r="S2280" s="62" t="str">
        <f aca="false">IF(OR(B2280="",V2280=""),"",IFERROR(INDEX(C_TIPO,MATCH(V2280&amp;"-P"&amp;MAX(1,COUNTIFS(C_RUTN,V2280,C_DEF,"Sí",C_INI,"&lt;="&amp;EOMONTH(B2280,0))),C_CLAVE,0))&amp;"","Sin contrato"))</f>
        <v/>
      </c>
      <c r="T2280" s="63" t="str">
        <f aca="false">IF(OR(B2280="",N(O2280)=0),"",N(O2280)+ROUND(MIN(N(N2280),TOPE_UF*UF_MES)*(TASA_EMP+MUTUAL),0)+ROUND(MIN(N(N2280),TOPE_AFC_UF*UF_MES)*IF(S2280="Indefinido",AFC_INDEF,AFC_PF),0))</f>
        <v/>
      </c>
      <c r="U2280" s="62" t="str">
        <f aca="false">IF(C2280="","",IF(LEFT(D2280,1)="⚠","⚠ RUT no registrado en Trabajadores",IF(B2280="","⚠ Falta el mes",IF(OR(ISTEXT(I2280),ISTEXT(J2280)),"⚠ Atrasos u horas extra como texto: escriba hh:mm (ej. 1:30)",IF(AND(ISNUMBER(Q2280),COUNTIFS(M_RUTN,V2280,M_MES,B2280,M_LIQ,"&lt;&gt;")&gt;1),"⚠ Liquidación repetida en el mes",IF(AND(ISNUMBER(O2280),ISNUMBER(P2280),ISNUMBER(Q2280),ABS(O2280-P2280-Q2280)&gt;1),"⚠ Haberes − descuentos no da el líquido","OK"))))))</f>
        <v/>
      </c>
      <c r="V2280" s="62" t="str">
        <f aca="false">IF(C2280="","",IFERROR(VALUE(LEFT(UPPER(SUBSTITUTE(SUBSTITUTE(SUBSTITUTE(TRIM(C2280),".",""),"-","")," ","")),LEN(UPPER(SUBSTITUTE(SUBSTITUTE(SUBSTITUTE(TRIM(C2280),".",""),"-","")," ","")))-1))&amp;RIGHT(UPPER(SUBSTITUTE(SUBSTITUTE(SUBSTITUTE(TRIM(C2280),".",""),"-","")," ","")),1),UPPER(SUBSTITUTE(SUBSTITUTE(SUBSTITUTE(TRIM(C2280),".",""),"-","")," ",""))))</f>
        <v/>
      </c>
    </row>
    <row r="2281" customFormat="false" ht="15" hidden="false" customHeight="false" outlineLevel="0" collapsed="false">
      <c r="B2281" s="80"/>
      <c r="C2281" s="58"/>
      <c r="D2281" s="62" t="str">
        <f aca="false">IF(C2281="","",IFERROR(INDEX(T_NOMBRE,MATCH(V2281,T_RUTN,0)),"⚠ RUT no está en Trabajadores"))</f>
        <v/>
      </c>
      <c r="E2281" s="61"/>
      <c r="F2281" s="61"/>
      <c r="G2281" s="61"/>
      <c r="H2281" s="61"/>
      <c r="I2281" s="81"/>
      <c r="J2281" s="81"/>
      <c r="K2281" s="60"/>
      <c r="L2281" s="60"/>
      <c r="M2281" s="60"/>
      <c r="N2281" s="60"/>
      <c r="O2281" s="60"/>
      <c r="P2281" s="60"/>
      <c r="Q2281" s="60"/>
      <c r="R2281" s="58"/>
      <c r="S2281" s="62" t="str">
        <f aca="false">IF(OR(B2281="",V2281=""),"",IFERROR(INDEX(C_TIPO,MATCH(V2281&amp;"-P"&amp;MAX(1,COUNTIFS(C_RUTN,V2281,C_DEF,"Sí",C_INI,"&lt;="&amp;EOMONTH(B2281,0))),C_CLAVE,0))&amp;"","Sin contrato"))</f>
        <v/>
      </c>
      <c r="T2281" s="63" t="str">
        <f aca="false">IF(OR(B2281="",N(O2281)=0),"",N(O2281)+ROUND(MIN(N(N2281),TOPE_UF*UF_MES)*(TASA_EMP+MUTUAL),0)+ROUND(MIN(N(N2281),TOPE_AFC_UF*UF_MES)*IF(S2281="Indefinido",AFC_INDEF,AFC_PF),0))</f>
        <v/>
      </c>
      <c r="U2281" s="62" t="str">
        <f aca="false">IF(C2281="","",IF(LEFT(D2281,1)="⚠","⚠ RUT no registrado en Trabajadores",IF(B2281="","⚠ Falta el mes",IF(OR(ISTEXT(I2281),ISTEXT(J2281)),"⚠ Atrasos u horas extra como texto: escriba hh:mm (ej. 1:30)",IF(AND(ISNUMBER(Q2281),COUNTIFS(M_RUTN,V2281,M_MES,B2281,M_LIQ,"&lt;&gt;")&gt;1),"⚠ Liquidación repetida en el mes",IF(AND(ISNUMBER(O2281),ISNUMBER(P2281),ISNUMBER(Q2281),ABS(O2281-P2281-Q2281)&gt;1),"⚠ Haberes − descuentos no da el líquido","OK"))))))</f>
        <v/>
      </c>
      <c r="V2281" s="62" t="str">
        <f aca="false">IF(C2281="","",IFERROR(VALUE(LEFT(UPPER(SUBSTITUTE(SUBSTITUTE(SUBSTITUTE(TRIM(C2281),".",""),"-","")," ","")),LEN(UPPER(SUBSTITUTE(SUBSTITUTE(SUBSTITUTE(TRIM(C2281),".",""),"-","")," ","")))-1))&amp;RIGHT(UPPER(SUBSTITUTE(SUBSTITUTE(SUBSTITUTE(TRIM(C2281),".",""),"-","")," ","")),1),UPPER(SUBSTITUTE(SUBSTITUTE(SUBSTITUTE(TRIM(C2281),".",""),"-","")," ",""))))</f>
        <v/>
      </c>
    </row>
    <row r="2282" customFormat="false" ht="15" hidden="false" customHeight="false" outlineLevel="0" collapsed="false">
      <c r="B2282" s="80"/>
      <c r="C2282" s="58"/>
      <c r="D2282" s="62" t="str">
        <f aca="false">IF(C2282="","",IFERROR(INDEX(T_NOMBRE,MATCH(V2282,T_RUTN,0)),"⚠ RUT no está en Trabajadores"))</f>
        <v/>
      </c>
      <c r="E2282" s="61"/>
      <c r="F2282" s="61"/>
      <c r="G2282" s="61"/>
      <c r="H2282" s="61"/>
      <c r="I2282" s="81"/>
      <c r="J2282" s="81"/>
      <c r="K2282" s="60"/>
      <c r="L2282" s="60"/>
      <c r="M2282" s="60"/>
      <c r="N2282" s="60"/>
      <c r="O2282" s="60"/>
      <c r="P2282" s="60"/>
      <c r="Q2282" s="60"/>
      <c r="R2282" s="58"/>
      <c r="S2282" s="62" t="str">
        <f aca="false">IF(OR(B2282="",V2282=""),"",IFERROR(INDEX(C_TIPO,MATCH(V2282&amp;"-P"&amp;MAX(1,COUNTIFS(C_RUTN,V2282,C_DEF,"Sí",C_INI,"&lt;="&amp;EOMONTH(B2282,0))),C_CLAVE,0))&amp;"","Sin contrato"))</f>
        <v/>
      </c>
      <c r="T2282" s="63" t="str">
        <f aca="false">IF(OR(B2282="",N(O2282)=0),"",N(O2282)+ROUND(MIN(N(N2282),TOPE_UF*UF_MES)*(TASA_EMP+MUTUAL),0)+ROUND(MIN(N(N2282),TOPE_AFC_UF*UF_MES)*IF(S2282="Indefinido",AFC_INDEF,AFC_PF),0))</f>
        <v/>
      </c>
      <c r="U2282" s="62" t="str">
        <f aca="false">IF(C2282="","",IF(LEFT(D2282,1)="⚠","⚠ RUT no registrado en Trabajadores",IF(B2282="","⚠ Falta el mes",IF(OR(ISTEXT(I2282),ISTEXT(J2282)),"⚠ Atrasos u horas extra como texto: escriba hh:mm (ej. 1:30)",IF(AND(ISNUMBER(Q2282),COUNTIFS(M_RUTN,V2282,M_MES,B2282,M_LIQ,"&lt;&gt;")&gt;1),"⚠ Liquidación repetida en el mes",IF(AND(ISNUMBER(O2282),ISNUMBER(P2282),ISNUMBER(Q2282),ABS(O2282-P2282-Q2282)&gt;1),"⚠ Haberes − descuentos no da el líquido","OK"))))))</f>
        <v/>
      </c>
      <c r="V2282" s="62" t="str">
        <f aca="false">IF(C2282="","",IFERROR(VALUE(LEFT(UPPER(SUBSTITUTE(SUBSTITUTE(SUBSTITUTE(TRIM(C2282),".",""),"-","")," ","")),LEN(UPPER(SUBSTITUTE(SUBSTITUTE(SUBSTITUTE(TRIM(C2282),".",""),"-","")," ","")))-1))&amp;RIGHT(UPPER(SUBSTITUTE(SUBSTITUTE(SUBSTITUTE(TRIM(C2282),".",""),"-","")," ","")),1),UPPER(SUBSTITUTE(SUBSTITUTE(SUBSTITUTE(TRIM(C2282),".",""),"-","")," ",""))))</f>
        <v/>
      </c>
    </row>
    <row r="2283" customFormat="false" ht="15" hidden="false" customHeight="false" outlineLevel="0" collapsed="false">
      <c r="B2283" s="80"/>
      <c r="C2283" s="58"/>
      <c r="D2283" s="62" t="str">
        <f aca="false">IF(C2283="","",IFERROR(INDEX(T_NOMBRE,MATCH(V2283,T_RUTN,0)),"⚠ RUT no está en Trabajadores"))</f>
        <v/>
      </c>
      <c r="E2283" s="61"/>
      <c r="F2283" s="61"/>
      <c r="G2283" s="61"/>
      <c r="H2283" s="61"/>
      <c r="I2283" s="81"/>
      <c r="J2283" s="81"/>
      <c r="K2283" s="60"/>
      <c r="L2283" s="60"/>
      <c r="M2283" s="60"/>
      <c r="N2283" s="60"/>
      <c r="O2283" s="60"/>
      <c r="P2283" s="60"/>
      <c r="Q2283" s="60"/>
      <c r="R2283" s="58"/>
      <c r="S2283" s="62" t="str">
        <f aca="false">IF(OR(B2283="",V2283=""),"",IFERROR(INDEX(C_TIPO,MATCH(V2283&amp;"-P"&amp;MAX(1,COUNTIFS(C_RUTN,V2283,C_DEF,"Sí",C_INI,"&lt;="&amp;EOMONTH(B2283,0))),C_CLAVE,0))&amp;"","Sin contrato"))</f>
        <v/>
      </c>
      <c r="T2283" s="63" t="str">
        <f aca="false">IF(OR(B2283="",N(O2283)=0),"",N(O2283)+ROUND(MIN(N(N2283),TOPE_UF*UF_MES)*(TASA_EMP+MUTUAL),0)+ROUND(MIN(N(N2283),TOPE_AFC_UF*UF_MES)*IF(S2283="Indefinido",AFC_INDEF,AFC_PF),0))</f>
        <v/>
      </c>
      <c r="U2283" s="62" t="str">
        <f aca="false">IF(C2283="","",IF(LEFT(D2283,1)="⚠","⚠ RUT no registrado en Trabajadores",IF(B2283="","⚠ Falta el mes",IF(OR(ISTEXT(I2283),ISTEXT(J2283)),"⚠ Atrasos u horas extra como texto: escriba hh:mm (ej. 1:30)",IF(AND(ISNUMBER(Q2283),COUNTIFS(M_RUTN,V2283,M_MES,B2283,M_LIQ,"&lt;&gt;")&gt;1),"⚠ Liquidación repetida en el mes",IF(AND(ISNUMBER(O2283),ISNUMBER(P2283),ISNUMBER(Q2283),ABS(O2283-P2283-Q2283)&gt;1),"⚠ Haberes − descuentos no da el líquido","OK"))))))</f>
        <v/>
      </c>
      <c r="V2283" s="62" t="str">
        <f aca="false">IF(C2283="","",IFERROR(VALUE(LEFT(UPPER(SUBSTITUTE(SUBSTITUTE(SUBSTITUTE(TRIM(C2283),".",""),"-","")," ","")),LEN(UPPER(SUBSTITUTE(SUBSTITUTE(SUBSTITUTE(TRIM(C2283),".",""),"-","")," ","")))-1))&amp;RIGHT(UPPER(SUBSTITUTE(SUBSTITUTE(SUBSTITUTE(TRIM(C2283),".",""),"-","")," ","")),1),UPPER(SUBSTITUTE(SUBSTITUTE(SUBSTITUTE(TRIM(C2283),".",""),"-","")," ",""))))</f>
        <v/>
      </c>
    </row>
    <row r="2284" customFormat="false" ht="15" hidden="false" customHeight="false" outlineLevel="0" collapsed="false">
      <c r="B2284" s="80"/>
      <c r="C2284" s="58"/>
      <c r="D2284" s="62" t="str">
        <f aca="false">IF(C2284="","",IFERROR(INDEX(T_NOMBRE,MATCH(V2284,T_RUTN,0)),"⚠ RUT no está en Trabajadores"))</f>
        <v/>
      </c>
      <c r="E2284" s="61"/>
      <c r="F2284" s="61"/>
      <c r="G2284" s="61"/>
      <c r="H2284" s="61"/>
      <c r="I2284" s="81"/>
      <c r="J2284" s="81"/>
      <c r="K2284" s="60"/>
      <c r="L2284" s="60"/>
      <c r="M2284" s="60"/>
      <c r="N2284" s="60"/>
      <c r="O2284" s="60"/>
      <c r="P2284" s="60"/>
      <c r="Q2284" s="60"/>
      <c r="R2284" s="58"/>
      <c r="S2284" s="62" t="str">
        <f aca="false">IF(OR(B2284="",V2284=""),"",IFERROR(INDEX(C_TIPO,MATCH(V2284&amp;"-P"&amp;MAX(1,COUNTIFS(C_RUTN,V2284,C_DEF,"Sí",C_INI,"&lt;="&amp;EOMONTH(B2284,0))),C_CLAVE,0))&amp;"","Sin contrato"))</f>
        <v/>
      </c>
      <c r="T2284" s="63" t="str">
        <f aca="false">IF(OR(B2284="",N(O2284)=0),"",N(O2284)+ROUND(MIN(N(N2284),TOPE_UF*UF_MES)*(TASA_EMP+MUTUAL),0)+ROUND(MIN(N(N2284),TOPE_AFC_UF*UF_MES)*IF(S2284="Indefinido",AFC_INDEF,AFC_PF),0))</f>
        <v/>
      </c>
      <c r="U2284" s="62" t="str">
        <f aca="false">IF(C2284="","",IF(LEFT(D2284,1)="⚠","⚠ RUT no registrado en Trabajadores",IF(B2284="","⚠ Falta el mes",IF(OR(ISTEXT(I2284),ISTEXT(J2284)),"⚠ Atrasos u horas extra como texto: escriba hh:mm (ej. 1:30)",IF(AND(ISNUMBER(Q2284),COUNTIFS(M_RUTN,V2284,M_MES,B2284,M_LIQ,"&lt;&gt;")&gt;1),"⚠ Liquidación repetida en el mes",IF(AND(ISNUMBER(O2284),ISNUMBER(P2284),ISNUMBER(Q2284),ABS(O2284-P2284-Q2284)&gt;1),"⚠ Haberes − descuentos no da el líquido","OK"))))))</f>
        <v/>
      </c>
      <c r="V2284" s="62" t="str">
        <f aca="false">IF(C2284="","",IFERROR(VALUE(LEFT(UPPER(SUBSTITUTE(SUBSTITUTE(SUBSTITUTE(TRIM(C2284),".",""),"-","")," ","")),LEN(UPPER(SUBSTITUTE(SUBSTITUTE(SUBSTITUTE(TRIM(C2284),".",""),"-","")," ","")))-1))&amp;RIGHT(UPPER(SUBSTITUTE(SUBSTITUTE(SUBSTITUTE(TRIM(C2284),".",""),"-","")," ","")),1),UPPER(SUBSTITUTE(SUBSTITUTE(SUBSTITUTE(TRIM(C2284),".",""),"-","")," ",""))))</f>
        <v/>
      </c>
    </row>
    <row r="2285" customFormat="false" ht="15" hidden="false" customHeight="false" outlineLevel="0" collapsed="false">
      <c r="B2285" s="80"/>
      <c r="C2285" s="58"/>
      <c r="D2285" s="62" t="str">
        <f aca="false">IF(C2285="","",IFERROR(INDEX(T_NOMBRE,MATCH(V2285,T_RUTN,0)),"⚠ RUT no está en Trabajadores"))</f>
        <v/>
      </c>
      <c r="E2285" s="61"/>
      <c r="F2285" s="61"/>
      <c r="G2285" s="61"/>
      <c r="H2285" s="61"/>
      <c r="I2285" s="81"/>
      <c r="J2285" s="81"/>
      <c r="K2285" s="60"/>
      <c r="L2285" s="60"/>
      <c r="M2285" s="60"/>
      <c r="N2285" s="60"/>
      <c r="O2285" s="60"/>
      <c r="P2285" s="60"/>
      <c r="Q2285" s="60"/>
      <c r="R2285" s="58"/>
      <c r="S2285" s="62" t="str">
        <f aca="false">IF(OR(B2285="",V2285=""),"",IFERROR(INDEX(C_TIPO,MATCH(V2285&amp;"-P"&amp;MAX(1,COUNTIFS(C_RUTN,V2285,C_DEF,"Sí",C_INI,"&lt;="&amp;EOMONTH(B2285,0))),C_CLAVE,0))&amp;"","Sin contrato"))</f>
        <v/>
      </c>
      <c r="T2285" s="63" t="str">
        <f aca="false">IF(OR(B2285="",N(O2285)=0),"",N(O2285)+ROUND(MIN(N(N2285),TOPE_UF*UF_MES)*(TASA_EMP+MUTUAL),0)+ROUND(MIN(N(N2285),TOPE_AFC_UF*UF_MES)*IF(S2285="Indefinido",AFC_INDEF,AFC_PF),0))</f>
        <v/>
      </c>
      <c r="U2285" s="62" t="str">
        <f aca="false">IF(C2285="","",IF(LEFT(D2285,1)="⚠","⚠ RUT no registrado en Trabajadores",IF(B2285="","⚠ Falta el mes",IF(OR(ISTEXT(I2285),ISTEXT(J2285)),"⚠ Atrasos u horas extra como texto: escriba hh:mm (ej. 1:30)",IF(AND(ISNUMBER(Q2285),COUNTIFS(M_RUTN,V2285,M_MES,B2285,M_LIQ,"&lt;&gt;")&gt;1),"⚠ Liquidación repetida en el mes",IF(AND(ISNUMBER(O2285),ISNUMBER(P2285),ISNUMBER(Q2285),ABS(O2285-P2285-Q2285)&gt;1),"⚠ Haberes − descuentos no da el líquido","OK"))))))</f>
        <v/>
      </c>
      <c r="V2285" s="62" t="str">
        <f aca="false">IF(C2285="","",IFERROR(VALUE(LEFT(UPPER(SUBSTITUTE(SUBSTITUTE(SUBSTITUTE(TRIM(C2285),".",""),"-","")," ","")),LEN(UPPER(SUBSTITUTE(SUBSTITUTE(SUBSTITUTE(TRIM(C2285),".",""),"-","")," ","")))-1))&amp;RIGHT(UPPER(SUBSTITUTE(SUBSTITUTE(SUBSTITUTE(TRIM(C2285),".",""),"-","")," ","")),1),UPPER(SUBSTITUTE(SUBSTITUTE(SUBSTITUTE(TRIM(C2285),".",""),"-","")," ",""))))</f>
        <v/>
      </c>
    </row>
    <row r="2286" customFormat="false" ht="15" hidden="false" customHeight="false" outlineLevel="0" collapsed="false">
      <c r="B2286" s="80"/>
      <c r="C2286" s="58"/>
      <c r="D2286" s="62" t="str">
        <f aca="false">IF(C2286="","",IFERROR(INDEX(T_NOMBRE,MATCH(V2286,T_RUTN,0)),"⚠ RUT no está en Trabajadores"))</f>
        <v/>
      </c>
      <c r="E2286" s="61"/>
      <c r="F2286" s="61"/>
      <c r="G2286" s="61"/>
      <c r="H2286" s="61"/>
      <c r="I2286" s="81"/>
      <c r="J2286" s="81"/>
      <c r="K2286" s="60"/>
      <c r="L2286" s="60"/>
      <c r="M2286" s="60"/>
      <c r="N2286" s="60"/>
      <c r="O2286" s="60"/>
      <c r="P2286" s="60"/>
      <c r="Q2286" s="60"/>
      <c r="R2286" s="58"/>
      <c r="S2286" s="62" t="str">
        <f aca="false">IF(OR(B2286="",V2286=""),"",IFERROR(INDEX(C_TIPO,MATCH(V2286&amp;"-P"&amp;MAX(1,COUNTIFS(C_RUTN,V2286,C_DEF,"Sí",C_INI,"&lt;="&amp;EOMONTH(B2286,0))),C_CLAVE,0))&amp;"","Sin contrato"))</f>
        <v/>
      </c>
      <c r="T2286" s="63" t="str">
        <f aca="false">IF(OR(B2286="",N(O2286)=0),"",N(O2286)+ROUND(MIN(N(N2286),TOPE_UF*UF_MES)*(TASA_EMP+MUTUAL),0)+ROUND(MIN(N(N2286),TOPE_AFC_UF*UF_MES)*IF(S2286="Indefinido",AFC_INDEF,AFC_PF),0))</f>
        <v/>
      </c>
      <c r="U2286" s="62" t="str">
        <f aca="false">IF(C2286="","",IF(LEFT(D2286,1)="⚠","⚠ RUT no registrado en Trabajadores",IF(B2286="","⚠ Falta el mes",IF(OR(ISTEXT(I2286),ISTEXT(J2286)),"⚠ Atrasos u horas extra como texto: escriba hh:mm (ej. 1:30)",IF(AND(ISNUMBER(Q2286),COUNTIFS(M_RUTN,V2286,M_MES,B2286,M_LIQ,"&lt;&gt;")&gt;1),"⚠ Liquidación repetida en el mes",IF(AND(ISNUMBER(O2286),ISNUMBER(P2286),ISNUMBER(Q2286),ABS(O2286-P2286-Q2286)&gt;1),"⚠ Haberes − descuentos no da el líquido","OK"))))))</f>
        <v/>
      </c>
      <c r="V2286" s="62" t="str">
        <f aca="false">IF(C2286="","",IFERROR(VALUE(LEFT(UPPER(SUBSTITUTE(SUBSTITUTE(SUBSTITUTE(TRIM(C2286),".",""),"-","")," ","")),LEN(UPPER(SUBSTITUTE(SUBSTITUTE(SUBSTITUTE(TRIM(C2286),".",""),"-","")," ","")))-1))&amp;RIGHT(UPPER(SUBSTITUTE(SUBSTITUTE(SUBSTITUTE(TRIM(C2286),".",""),"-","")," ","")),1),UPPER(SUBSTITUTE(SUBSTITUTE(SUBSTITUTE(TRIM(C2286),".",""),"-","")," ",""))))</f>
        <v/>
      </c>
    </row>
    <row r="2287" customFormat="false" ht="15" hidden="false" customHeight="false" outlineLevel="0" collapsed="false">
      <c r="B2287" s="80"/>
      <c r="C2287" s="58"/>
      <c r="D2287" s="62" t="str">
        <f aca="false">IF(C2287="","",IFERROR(INDEX(T_NOMBRE,MATCH(V2287,T_RUTN,0)),"⚠ RUT no está en Trabajadores"))</f>
        <v/>
      </c>
      <c r="E2287" s="61"/>
      <c r="F2287" s="61"/>
      <c r="G2287" s="61"/>
      <c r="H2287" s="61"/>
      <c r="I2287" s="81"/>
      <c r="J2287" s="81"/>
      <c r="K2287" s="60"/>
      <c r="L2287" s="60"/>
      <c r="M2287" s="60"/>
      <c r="N2287" s="60"/>
      <c r="O2287" s="60"/>
      <c r="P2287" s="60"/>
      <c r="Q2287" s="60"/>
      <c r="R2287" s="58"/>
      <c r="S2287" s="62" t="str">
        <f aca="false">IF(OR(B2287="",V2287=""),"",IFERROR(INDEX(C_TIPO,MATCH(V2287&amp;"-P"&amp;MAX(1,COUNTIFS(C_RUTN,V2287,C_DEF,"Sí",C_INI,"&lt;="&amp;EOMONTH(B2287,0))),C_CLAVE,0))&amp;"","Sin contrato"))</f>
        <v/>
      </c>
      <c r="T2287" s="63" t="str">
        <f aca="false">IF(OR(B2287="",N(O2287)=0),"",N(O2287)+ROUND(MIN(N(N2287),TOPE_UF*UF_MES)*(TASA_EMP+MUTUAL),0)+ROUND(MIN(N(N2287),TOPE_AFC_UF*UF_MES)*IF(S2287="Indefinido",AFC_INDEF,AFC_PF),0))</f>
        <v/>
      </c>
      <c r="U2287" s="62" t="str">
        <f aca="false">IF(C2287="","",IF(LEFT(D2287,1)="⚠","⚠ RUT no registrado en Trabajadores",IF(B2287="","⚠ Falta el mes",IF(OR(ISTEXT(I2287),ISTEXT(J2287)),"⚠ Atrasos u horas extra como texto: escriba hh:mm (ej. 1:30)",IF(AND(ISNUMBER(Q2287),COUNTIFS(M_RUTN,V2287,M_MES,B2287,M_LIQ,"&lt;&gt;")&gt;1),"⚠ Liquidación repetida en el mes",IF(AND(ISNUMBER(O2287),ISNUMBER(P2287),ISNUMBER(Q2287),ABS(O2287-P2287-Q2287)&gt;1),"⚠ Haberes − descuentos no da el líquido","OK"))))))</f>
        <v/>
      </c>
      <c r="V2287" s="62" t="str">
        <f aca="false">IF(C2287="","",IFERROR(VALUE(LEFT(UPPER(SUBSTITUTE(SUBSTITUTE(SUBSTITUTE(TRIM(C2287),".",""),"-","")," ","")),LEN(UPPER(SUBSTITUTE(SUBSTITUTE(SUBSTITUTE(TRIM(C2287),".",""),"-","")," ","")))-1))&amp;RIGHT(UPPER(SUBSTITUTE(SUBSTITUTE(SUBSTITUTE(TRIM(C2287),".",""),"-","")," ","")),1),UPPER(SUBSTITUTE(SUBSTITUTE(SUBSTITUTE(TRIM(C2287),".",""),"-","")," ",""))))</f>
        <v/>
      </c>
    </row>
    <row r="2288" customFormat="false" ht="15" hidden="false" customHeight="false" outlineLevel="0" collapsed="false">
      <c r="B2288" s="80"/>
      <c r="C2288" s="58"/>
      <c r="D2288" s="62" t="str">
        <f aca="false">IF(C2288="","",IFERROR(INDEX(T_NOMBRE,MATCH(V2288,T_RUTN,0)),"⚠ RUT no está en Trabajadores"))</f>
        <v/>
      </c>
      <c r="E2288" s="61"/>
      <c r="F2288" s="61"/>
      <c r="G2288" s="61"/>
      <c r="H2288" s="61"/>
      <c r="I2288" s="81"/>
      <c r="J2288" s="81"/>
      <c r="K2288" s="60"/>
      <c r="L2288" s="60"/>
      <c r="M2288" s="60"/>
      <c r="N2288" s="60"/>
      <c r="O2288" s="60"/>
      <c r="P2288" s="60"/>
      <c r="Q2288" s="60"/>
      <c r="R2288" s="58"/>
      <c r="S2288" s="62" t="str">
        <f aca="false">IF(OR(B2288="",V2288=""),"",IFERROR(INDEX(C_TIPO,MATCH(V2288&amp;"-P"&amp;MAX(1,COUNTIFS(C_RUTN,V2288,C_DEF,"Sí",C_INI,"&lt;="&amp;EOMONTH(B2288,0))),C_CLAVE,0))&amp;"","Sin contrato"))</f>
        <v/>
      </c>
      <c r="T2288" s="63" t="str">
        <f aca="false">IF(OR(B2288="",N(O2288)=0),"",N(O2288)+ROUND(MIN(N(N2288),TOPE_UF*UF_MES)*(TASA_EMP+MUTUAL),0)+ROUND(MIN(N(N2288),TOPE_AFC_UF*UF_MES)*IF(S2288="Indefinido",AFC_INDEF,AFC_PF),0))</f>
        <v/>
      </c>
      <c r="U2288" s="62" t="str">
        <f aca="false">IF(C2288="","",IF(LEFT(D2288,1)="⚠","⚠ RUT no registrado en Trabajadores",IF(B2288="","⚠ Falta el mes",IF(OR(ISTEXT(I2288),ISTEXT(J2288)),"⚠ Atrasos u horas extra como texto: escriba hh:mm (ej. 1:30)",IF(AND(ISNUMBER(Q2288),COUNTIFS(M_RUTN,V2288,M_MES,B2288,M_LIQ,"&lt;&gt;")&gt;1),"⚠ Liquidación repetida en el mes",IF(AND(ISNUMBER(O2288),ISNUMBER(P2288),ISNUMBER(Q2288),ABS(O2288-P2288-Q2288)&gt;1),"⚠ Haberes − descuentos no da el líquido","OK"))))))</f>
        <v/>
      </c>
      <c r="V2288" s="62" t="str">
        <f aca="false">IF(C2288="","",IFERROR(VALUE(LEFT(UPPER(SUBSTITUTE(SUBSTITUTE(SUBSTITUTE(TRIM(C2288),".",""),"-","")," ","")),LEN(UPPER(SUBSTITUTE(SUBSTITUTE(SUBSTITUTE(TRIM(C2288),".",""),"-","")," ","")))-1))&amp;RIGHT(UPPER(SUBSTITUTE(SUBSTITUTE(SUBSTITUTE(TRIM(C2288),".",""),"-","")," ","")),1),UPPER(SUBSTITUTE(SUBSTITUTE(SUBSTITUTE(TRIM(C2288),".",""),"-","")," ",""))))</f>
        <v/>
      </c>
    </row>
    <row r="2289" customFormat="false" ht="15" hidden="false" customHeight="false" outlineLevel="0" collapsed="false">
      <c r="B2289" s="80"/>
      <c r="C2289" s="58"/>
      <c r="D2289" s="62" t="str">
        <f aca="false">IF(C2289="","",IFERROR(INDEX(T_NOMBRE,MATCH(V2289,T_RUTN,0)),"⚠ RUT no está en Trabajadores"))</f>
        <v/>
      </c>
      <c r="E2289" s="61"/>
      <c r="F2289" s="61"/>
      <c r="G2289" s="61"/>
      <c r="H2289" s="61"/>
      <c r="I2289" s="81"/>
      <c r="J2289" s="81"/>
      <c r="K2289" s="60"/>
      <c r="L2289" s="60"/>
      <c r="M2289" s="60"/>
      <c r="N2289" s="60"/>
      <c r="O2289" s="60"/>
      <c r="P2289" s="60"/>
      <c r="Q2289" s="60"/>
      <c r="R2289" s="58"/>
      <c r="S2289" s="62" t="str">
        <f aca="false">IF(OR(B2289="",V2289=""),"",IFERROR(INDEX(C_TIPO,MATCH(V2289&amp;"-P"&amp;MAX(1,COUNTIFS(C_RUTN,V2289,C_DEF,"Sí",C_INI,"&lt;="&amp;EOMONTH(B2289,0))),C_CLAVE,0))&amp;"","Sin contrato"))</f>
        <v/>
      </c>
      <c r="T2289" s="63" t="str">
        <f aca="false">IF(OR(B2289="",N(O2289)=0),"",N(O2289)+ROUND(MIN(N(N2289),TOPE_UF*UF_MES)*(TASA_EMP+MUTUAL),0)+ROUND(MIN(N(N2289),TOPE_AFC_UF*UF_MES)*IF(S2289="Indefinido",AFC_INDEF,AFC_PF),0))</f>
        <v/>
      </c>
      <c r="U2289" s="62" t="str">
        <f aca="false">IF(C2289="","",IF(LEFT(D2289,1)="⚠","⚠ RUT no registrado en Trabajadores",IF(B2289="","⚠ Falta el mes",IF(OR(ISTEXT(I2289),ISTEXT(J2289)),"⚠ Atrasos u horas extra como texto: escriba hh:mm (ej. 1:30)",IF(AND(ISNUMBER(Q2289),COUNTIFS(M_RUTN,V2289,M_MES,B2289,M_LIQ,"&lt;&gt;")&gt;1),"⚠ Liquidación repetida en el mes",IF(AND(ISNUMBER(O2289),ISNUMBER(P2289),ISNUMBER(Q2289),ABS(O2289-P2289-Q2289)&gt;1),"⚠ Haberes − descuentos no da el líquido","OK"))))))</f>
        <v/>
      </c>
      <c r="V2289" s="62" t="str">
        <f aca="false">IF(C2289="","",IFERROR(VALUE(LEFT(UPPER(SUBSTITUTE(SUBSTITUTE(SUBSTITUTE(TRIM(C2289),".",""),"-","")," ","")),LEN(UPPER(SUBSTITUTE(SUBSTITUTE(SUBSTITUTE(TRIM(C2289),".",""),"-","")," ","")))-1))&amp;RIGHT(UPPER(SUBSTITUTE(SUBSTITUTE(SUBSTITUTE(TRIM(C2289),".",""),"-","")," ","")),1),UPPER(SUBSTITUTE(SUBSTITUTE(SUBSTITUTE(TRIM(C2289),".",""),"-","")," ",""))))</f>
        <v/>
      </c>
    </row>
    <row r="2290" customFormat="false" ht="15" hidden="false" customHeight="false" outlineLevel="0" collapsed="false">
      <c r="B2290" s="80"/>
      <c r="C2290" s="58"/>
      <c r="D2290" s="62" t="str">
        <f aca="false">IF(C2290="","",IFERROR(INDEX(T_NOMBRE,MATCH(V2290,T_RUTN,0)),"⚠ RUT no está en Trabajadores"))</f>
        <v/>
      </c>
      <c r="E2290" s="61"/>
      <c r="F2290" s="61"/>
      <c r="G2290" s="61"/>
      <c r="H2290" s="61"/>
      <c r="I2290" s="81"/>
      <c r="J2290" s="81"/>
      <c r="K2290" s="60"/>
      <c r="L2290" s="60"/>
      <c r="M2290" s="60"/>
      <c r="N2290" s="60"/>
      <c r="O2290" s="60"/>
      <c r="P2290" s="60"/>
      <c r="Q2290" s="60"/>
      <c r="R2290" s="58"/>
      <c r="S2290" s="62" t="str">
        <f aca="false">IF(OR(B2290="",V2290=""),"",IFERROR(INDEX(C_TIPO,MATCH(V2290&amp;"-P"&amp;MAX(1,COUNTIFS(C_RUTN,V2290,C_DEF,"Sí",C_INI,"&lt;="&amp;EOMONTH(B2290,0))),C_CLAVE,0))&amp;"","Sin contrato"))</f>
        <v/>
      </c>
      <c r="T2290" s="63" t="str">
        <f aca="false">IF(OR(B2290="",N(O2290)=0),"",N(O2290)+ROUND(MIN(N(N2290),TOPE_UF*UF_MES)*(TASA_EMP+MUTUAL),0)+ROUND(MIN(N(N2290),TOPE_AFC_UF*UF_MES)*IF(S2290="Indefinido",AFC_INDEF,AFC_PF),0))</f>
        <v/>
      </c>
      <c r="U2290" s="62" t="str">
        <f aca="false">IF(C2290="","",IF(LEFT(D2290,1)="⚠","⚠ RUT no registrado en Trabajadores",IF(B2290="","⚠ Falta el mes",IF(OR(ISTEXT(I2290),ISTEXT(J2290)),"⚠ Atrasos u horas extra como texto: escriba hh:mm (ej. 1:30)",IF(AND(ISNUMBER(Q2290),COUNTIFS(M_RUTN,V2290,M_MES,B2290,M_LIQ,"&lt;&gt;")&gt;1),"⚠ Liquidación repetida en el mes",IF(AND(ISNUMBER(O2290),ISNUMBER(P2290),ISNUMBER(Q2290),ABS(O2290-P2290-Q2290)&gt;1),"⚠ Haberes − descuentos no da el líquido","OK"))))))</f>
        <v/>
      </c>
      <c r="V2290" s="62" t="str">
        <f aca="false">IF(C2290="","",IFERROR(VALUE(LEFT(UPPER(SUBSTITUTE(SUBSTITUTE(SUBSTITUTE(TRIM(C2290),".",""),"-","")," ","")),LEN(UPPER(SUBSTITUTE(SUBSTITUTE(SUBSTITUTE(TRIM(C2290),".",""),"-","")," ","")))-1))&amp;RIGHT(UPPER(SUBSTITUTE(SUBSTITUTE(SUBSTITUTE(TRIM(C2290),".",""),"-","")," ","")),1),UPPER(SUBSTITUTE(SUBSTITUTE(SUBSTITUTE(TRIM(C2290),".",""),"-","")," ",""))))</f>
        <v/>
      </c>
    </row>
    <row r="2291" customFormat="false" ht="15" hidden="false" customHeight="false" outlineLevel="0" collapsed="false">
      <c r="B2291" s="80"/>
      <c r="C2291" s="58"/>
      <c r="D2291" s="62" t="str">
        <f aca="false">IF(C2291="","",IFERROR(INDEX(T_NOMBRE,MATCH(V2291,T_RUTN,0)),"⚠ RUT no está en Trabajadores"))</f>
        <v/>
      </c>
      <c r="E2291" s="61"/>
      <c r="F2291" s="61"/>
      <c r="G2291" s="61"/>
      <c r="H2291" s="61"/>
      <c r="I2291" s="81"/>
      <c r="J2291" s="81"/>
      <c r="K2291" s="60"/>
      <c r="L2291" s="60"/>
      <c r="M2291" s="60"/>
      <c r="N2291" s="60"/>
      <c r="O2291" s="60"/>
      <c r="P2291" s="60"/>
      <c r="Q2291" s="60"/>
      <c r="R2291" s="58"/>
      <c r="S2291" s="62" t="str">
        <f aca="false">IF(OR(B2291="",V2291=""),"",IFERROR(INDEX(C_TIPO,MATCH(V2291&amp;"-P"&amp;MAX(1,COUNTIFS(C_RUTN,V2291,C_DEF,"Sí",C_INI,"&lt;="&amp;EOMONTH(B2291,0))),C_CLAVE,0))&amp;"","Sin contrato"))</f>
        <v/>
      </c>
      <c r="T2291" s="63" t="str">
        <f aca="false">IF(OR(B2291="",N(O2291)=0),"",N(O2291)+ROUND(MIN(N(N2291),TOPE_UF*UF_MES)*(TASA_EMP+MUTUAL),0)+ROUND(MIN(N(N2291),TOPE_AFC_UF*UF_MES)*IF(S2291="Indefinido",AFC_INDEF,AFC_PF),0))</f>
        <v/>
      </c>
      <c r="U2291" s="62" t="str">
        <f aca="false">IF(C2291="","",IF(LEFT(D2291,1)="⚠","⚠ RUT no registrado en Trabajadores",IF(B2291="","⚠ Falta el mes",IF(OR(ISTEXT(I2291),ISTEXT(J2291)),"⚠ Atrasos u horas extra como texto: escriba hh:mm (ej. 1:30)",IF(AND(ISNUMBER(Q2291),COUNTIFS(M_RUTN,V2291,M_MES,B2291,M_LIQ,"&lt;&gt;")&gt;1),"⚠ Liquidación repetida en el mes",IF(AND(ISNUMBER(O2291),ISNUMBER(P2291),ISNUMBER(Q2291),ABS(O2291-P2291-Q2291)&gt;1),"⚠ Haberes − descuentos no da el líquido","OK"))))))</f>
        <v/>
      </c>
      <c r="V2291" s="62" t="str">
        <f aca="false">IF(C2291="","",IFERROR(VALUE(LEFT(UPPER(SUBSTITUTE(SUBSTITUTE(SUBSTITUTE(TRIM(C2291),".",""),"-","")," ","")),LEN(UPPER(SUBSTITUTE(SUBSTITUTE(SUBSTITUTE(TRIM(C2291),".",""),"-","")," ","")))-1))&amp;RIGHT(UPPER(SUBSTITUTE(SUBSTITUTE(SUBSTITUTE(TRIM(C2291),".",""),"-","")," ","")),1),UPPER(SUBSTITUTE(SUBSTITUTE(SUBSTITUTE(TRIM(C2291),".",""),"-","")," ",""))))</f>
        <v/>
      </c>
    </row>
    <row r="2292" customFormat="false" ht="15" hidden="false" customHeight="false" outlineLevel="0" collapsed="false">
      <c r="B2292" s="80"/>
      <c r="C2292" s="58"/>
      <c r="D2292" s="62" t="str">
        <f aca="false">IF(C2292="","",IFERROR(INDEX(T_NOMBRE,MATCH(V2292,T_RUTN,0)),"⚠ RUT no está en Trabajadores"))</f>
        <v/>
      </c>
      <c r="E2292" s="61"/>
      <c r="F2292" s="61"/>
      <c r="G2292" s="61"/>
      <c r="H2292" s="61"/>
      <c r="I2292" s="81"/>
      <c r="J2292" s="81"/>
      <c r="K2292" s="60"/>
      <c r="L2292" s="60"/>
      <c r="M2292" s="60"/>
      <c r="N2292" s="60"/>
      <c r="O2292" s="60"/>
      <c r="P2292" s="60"/>
      <c r="Q2292" s="60"/>
      <c r="R2292" s="58"/>
      <c r="S2292" s="62" t="str">
        <f aca="false">IF(OR(B2292="",V2292=""),"",IFERROR(INDEX(C_TIPO,MATCH(V2292&amp;"-P"&amp;MAX(1,COUNTIFS(C_RUTN,V2292,C_DEF,"Sí",C_INI,"&lt;="&amp;EOMONTH(B2292,0))),C_CLAVE,0))&amp;"","Sin contrato"))</f>
        <v/>
      </c>
      <c r="T2292" s="63" t="str">
        <f aca="false">IF(OR(B2292="",N(O2292)=0),"",N(O2292)+ROUND(MIN(N(N2292),TOPE_UF*UF_MES)*(TASA_EMP+MUTUAL),0)+ROUND(MIN(N(N2292),TOPE_AFC_UF*UF_MES)*IF(S2292="Indefinido",AFC_INDEF,AFC_PF),0))</f>
        <v/>
      </c>
      <c r="U2292" s="62" t="str">
        <f aca="false">IF(C2292="","",IF(LEFT(D2292,1)="⚠","⚠ RUT no registrado en Trabajadores",IF(B2292="","⚠ Falta el mes",IF(OR(ISTEXT(I2292),ISTEXT(J2292)),"⚠ Atrasos u horas extra como texto: escriba hh:mm (ej. 1:30)",IF(AND(ISNUMBER(Q2292),COUNTIFS(M_RUTN,V2292,M_MES,B2292,M_LIQ,"&lt;&gt;")&gt;1),"⚠ Liquidación repetida en el mes",IF(AND(ISNUMBER(O2292),ISNUMBER(P2292),ISNUMBER(Q2292),ABS(O2292-P2292-Q2292)&gt;1),"⚠ Haberes − descuentos no da el líquido","OK"))))))</f>
        <v/>
      </c>
      <c r="V2292" s="62" t="str">
        <f aca="false">IF(C2292="","",IFERROR(VALUE(LEFT(UPPER(SUBSTITUTE(SUBSTITUTE(SUBSTITUTE(TRIM(C2292),".",""),"-","")," ","")),LEN(UPPER(SUBSTITUTE(SUBSTITUTE(SUBSTITUTE(TRIM(C2292),".",""),"-","")," ","")))-1))&amp;RIGHT(UPPER(SUBSTITUTE(SUBSTITUTE(SUBSTITUTE(TRIM(C2292),".",""),"-","")," ","")),1),UPPER(SUBSTITUTE(SUBSTITUTE(SUBSTITUTE(TRIM(C2292),".",""),"-","")," ",""))))</f>
        <v/>
      </c>
    </row>
    <row r="2293" customFormat="false" ht="15" hidden="false" customHeight="false" outlineLevel="0" collapsed="false">
      <c r="B2293" s="80"/>
      <c r="C2293" s="58"/>
      <c r="D2293" s="62" t="str">
        <f aca="false">IF(C2293="","",IFERROR(INDEX(T_NOMBRE,MATCH(V2293,T_RUTN,0)),"⚠ RUT no está en Trabajadores"))</f>
        <v/>
      </c>
      <c r="E2293" s="61"/>
      <c r="F2293" s="61"/>
      <c r="G2293" s="61"/>
      <c r="H2293" s="61"/>
      <c r="I2293" s="81"/>
      <c r="J2293" s="81"/>
      <c r="K2293" s="60"/>
      <c r="L2293" s="60"/>
      <c r="M2293" s="60"/>
      <c r="N2293" s="60"/>
      <c r="O2293" s="60"/>
      <c r="P2293" s="60"/>
      <c r="Q2293" s="60"/>
      <c r="R2293" s="58"/>
      <c r="S2293" s="62" t="str">
        <f aca="false">IF(OR(B2293="",V2293=""),"",IFERROR(INDEX(C_TIPO,MATCH(V2293&amp;"-P"&amp;MAX(1,COUNTIFS(C_RUTN,V2293,C_DEF,"Sí",C_INI,"&lt;="&amp;EOMONTH(B2293,0))),C_CLAVE,0))&amp;"","Sin contrato"))</f>
        <v/>
      </c>
      <c r="T2293" s="63" t="str">
        <f aca="false">IF(OR(B2293="",N(O2293)=0),"",N(O2293)+ROUND(MIN(N(N2293),TOPE_UF*UF_MES)*(TASA_EMP+MUTUAL),0)+ROUND(MIN(N(N2293),TOPE_AFC_UF*UF_MES)*IF(S2293="Indefinido",AFC_INDEF,AFC_PF),0))</f>
        <v/>
      </c>
      <c r="U2293" s="62" t="str">
        <f aca="false">IF(C2293="","",IF(LEFT(D2293,1)="⚠","⚠ RUT no registrado en Trabajadores",IF(B2293="","⚠ Falta el mes",IF(OR(ISTEXT(I2293),ISTEXT(J2293)),"⚠ Atrasos u horas extra como texto: escriba hh:mm (ej. 1:30)",IF(AND(ISNUMBER(Q2293),COUNTIFS(M_RUTN,V2293,M_MES,B2293,M_LIQ,"&lt;&gt;")&gt;1),"⚠ Liquidación repetida en el mes",IF(AND(ISNUMBER(O2293),ISNUMBER(P2293),ISNUMBER(Q2293),ABS(O2293-P2293-Q2293)&gt;1),"⚠ Haberes − descuentos no da el líquido","OK"))))))</f>
        <v/>
      </c>
      <c r="V2293" s="62" t="str">
        <f aca="false">IF(C2293="","",IFERROR(VALUE(LEFT(UPPER(SUBSTITUTE(SUBSTITUTE(SUBSTITUTE(TRIM(C2293),".",""),"-","")," ","")),LEN(UPPER(SUBSTITUTE(SUBSTITUTE(SUBSTITUTE(TRIM(C2293),".",""),"-","")," ","")))-1))&amp;RIGHT(UPPER(SUBSTITUTE(SUBSTITUTE(SUBSTITUTE(TRIM(C2293),".",""),"-","")," ","")),1),UPPER(SUBSTITUTE(SUBSTITUTE(SUBSTITUTE(TRIM(C2293),".",""),"-","")," ",""))))</f>
        <v/>
      </c>
    </row>
    <row r="2294" customFormat="false" ht="15" hidden="false" customHeight="false" outlineLevel="0" collapsed="false">
      <c r="B2294" s="80"/>
      <c r="C2294" s="58"/>
      <c r="D2294" s="62" t="str">
        <f aca="false">IF(C2294="","",IFERROR(INDEX(T_NOMBRE,MATCH(V2294,T_RUTN,0)),"⚠ RUT no está en Trabajadores"))</f>
        <v/>
      </c>
      <c r="E2294" s="61"/>
      <c r="F2294" s="61"/>
      <c r="G2294" s="61"/>
      <c r="H2294" s="61"/>
      <c r="I2294" s="81"/>
      <c r="J2294" s="81"/>
      <c r="K2294" s="60"/>
      <c r="L2294" s="60"/>
      <c r="M2294" s="60"/>
      <c r="N2294" s="60"/>
      <c r="O2294" s="60"/>
      <c r="P2294" s="60"/>
      <c r="Q2294" s="60"/>
      <c r="R2294" s="58"/>
      <c r="S2294" s="62" t="str">
        <f aca="false">IF(OR(B2294="",V2294=""),"",IFERROR(INDEX(C_TIPO,MATCH(V2294&amp;"-P"&amp;MAX(1,COUNTIFS(C_RUTN,V2294,C_DEF,"Sí",C_INI,"&lt;="&amp;EOMONTH(B2294,0))),C_CLAVE,0))&amp;"","Sin contrato"))</f>
        <v/>
      </c>
      <c r="T2294" s="63" t="str">
        <f aca="false">IF(OR(B2294="",N(O2294)=0),"",N(O2294)+ROUND(MIN(N(N2294),TOPE_UF*UF_MES)*(TASA_EMP+MUTUAL),0)+ROUND(MIN(N(N2294),TOPE_AFC_UF*UF_MES)*IF(S2294="Indefinido",AFC_INDEF,AFC_PF),0))</f>
        <v/>
      </c>
      <c r="U2294" s="62" t="str">
        <f aca="false">IF(C2294="","",IF(LEFT(D2294,1)="⚠","⚠ RUT no registrado en Trabajadores",IF(B2294="","⚠ Falta el mes",IF(OR(ISTEXT(I2294),ISTEXT(J2294)),"⚠ Atrasos u horas extra como texto: escriba hh:mm (ej. 1:30)",IF(AND(ISNUMBER(Q2294),COUNTIFS(M_RUTN,V2294,M_MES,B2294,M_LIQ,"&lt;&gt;")&gt;1),"⚠ Liquidación repetida en el mes",IF(AND(ISNUMBER(O2294),ISNUMBER(P2294),ISNUMBER(Q2294),ABS(O2294-P2294-Q2294)&gt;1),"⚠ Haberes − descuentos no da el líquido","OK"))))))</f>
        <v/>
      </c>
      <c r="V2294" s="62" t="str">
        <f aca="false">IF(C2294="","",IFERROR(VALUE(LEFT(UPPER(SUBSTITUTE(SUBSTITUTE(SUBSTITUTE(TRIM(C2294),".",""),"-","")," ","")),LEN(UPPER(SUBSTITUTE(SUBSTITUTE(SUBSTITUTE(TRIM(C2294),".",""),"-","")," ","")))-1))&amp;RIGHT(UPPER(SUBSTITUTE(SUBSTITUTE(SUBSTITUTE(TRIM(C2294),".",""),"-","")," ","")),1),UPPER(SUBSTITUTE(SUBSTITUTE(SUBSTITUTE(TRIM(C2294),".",""),"-","")," ",""))))</f>
        <v/>
      </c>
    </row>
    <row r="2295" customFormat="false" ht="15" hidden="false" customHeight="false" outlineLevel="0" collapsed="false">
      <c r="B2295" s="80"/>
      <c r="C2295" s="58"/>
      <c r="D2295" s="62" t="str">
        <f aca="false">IF(C2295="","",IFERROR(INDEX(T_NOMBRE,MATCH(V2295,T_RUTN,0)),"⚠ RUT no está en Trabajadores"))</f>
        <v/>
      </c>
      <c r="E2295" s="61"/>
      <c r="F2295" s="61"/>
      <c r="G2295" s="61"/>
      <c r="H2295" s="61"/>
      <c r="I2295" s="81"/>
      <c r="J2295" s="81"/>
      <c r="K2295" s="60"/>
      <c r="L2295" s="60"/>
      <c r="M2295" s="60"/>
      <c r="N2295" s="60"/>
      <c r="O2295" s="60"/>
      <c r="P2295" s="60"/>
      <c r="Q2295" s="60"/>
      <c r="R2295" s="58"/>
      <c r="S2295" s="62" t="str">
        <f aca="false">IF(OR(B2295="",V2295=""),"",IFERROR(INDEX(C_TIPO,MATCH(V2295&amp;"-P"&amp;MAX(1,COUNTIFS(C_RUTN,V2295,C_DEF,"Sí",C_INI,"&lt;="&amp;EOMONTH(B2295,0))),C_CLAVE,0))&amp;"","Sin contrato"))</f>
        <v/>
      </c>
      <c r="T2295" s="63" t="str">
        <f aca="false">IF(OR(B2295="",N(O2295)=0),"",N(O2295)+ROUND(MIN(N(N2295),TOPE_UF*UF_MES)*(TASA_EMP+MUTUAL),0)+ROUND(MIN(N(N2295),TOPE_AFC_UF*UF_MES)*IF(S2295="Indefinido",AFC_INDEF,AFC_PF),0))</f>
        <v/>
      </c>
      <c r="U2295" s="62" t="str">
        <f aca="false">IF(C2295="","",IF(LEFT(D2295,1)="⚠","⚠ RUT no registrado en Trabajadores",IF(B2295="","⚠ Falta el mes",IF(OR(ISTEXT(I2295),ISTEXT(J2295)),"⚠ Atrasos u horas extra como texto: escriba hh:mm (ej. 1:30)",IF(AND(ISNUMBER(Q2295),COUNTIFS(M_RUTN,V2295,M_MES,B2295,M_LIQ,"&lt;&gt;")&gt;1),"⚠ Liquidación repetida en el mes",IF(AND(ISNUMBER(O2295),ISNUMBER(P2295),ISNUMBER(Q2295),ABS(O2295-P2295-Q2295)&gt;1),"⚠ Haberes − descuentos no da el líquido","OK"))))))</f>
        <v/>
      </c>
      <c r="V2295" s="62" t="str">
        <f aca="false">IF(C2295="","",IFERROR(VALUE(LEFT(UPPER(SUBSTITUTE(SUBSTITUTE(SUBSTITUTE(TRIM(C2295),".",""),"-","")," ","")),LEN(UPPER(SUBSTITUTE(SUBSTITUTE(SUBSTITUTE(TRIM(C2295),".",""),"-","")," ","")))-1))&amp;RIGHT(UPPER(SUBSTITUTE(SUBSTITUTE(SUBSTITUTE(TRIM(C2295),".",""),"-","")," ","")),1),UPPER(SUBSTITUTE(SUBSTITUTE(SUBSTITUTE(TRIM(C2295),".",""),"-","")," ",""))))</f>
        <v/>
      </c>
    </row>
    <row r="2296" customFormat="false" ht="15" hidden="false" customHeight="false" outlineLevel="0" collapsed="false">
      <c r="B2296" s="80"/>
      <c r="C2296" s="58"/>
      <c r="D2296" s="62" t="str">
        <f aca="false">IF(C2296="","",IFERROR(INDEX(T_NOMBRE,MATCH(V2296,T_RUTN,0)),"⚠ RUT no está en Trabajadores"))</f>
        <v/>
      </c>
      <c r="E2296" s="61"/>
      <c r="F2296" s="61"/>
      <c r="G2296" s="61"/>
      <c r="H2296" s="61"/>
      <c r="I2296" s="81"/>
      <c r="J2296" s="81"/>
      <c r="K2296" s="60"/>
      <c r="L2296" s="60"/>
      <c r="M2296" s="60"/>
      <c r="N2296" s="60"/>
      <c r="O2296" s="60"/>
      <c r="P2296" s="60"/>
      <c r="Q2296" s="60"/>
      <c r="R2296" s="58"/>
      <c r="S2296" s="62" t="str">
        <f aca="false">IF(OR(B2296="",V2296=""),"",IFERROR(INDEX(C_TIPO,MATCH(V2296&amp;"-P"&amp;MAX(1,COUNTIFS(C_RUTN,V2296,C_DEF,"Sí",C_INI,"&lt;="&amp;EOMONTH(B2296,0))),C_CLAVE,0))&amp;"","Sin contrato"))</f>
        <v/>
      </c>
      <c r="T2296" s="63" t="str">
        <f aca="false">IF(OR(B2296="",N(O2296)=0),"",N(O2296)+ROUND(MIN(N(N2296),TOPE_UF*UF_MES)*(TASA_EMP+MUTUAL),0)+ROUND(MIN(N(N2296),TOPE_AFC_UF*UF_MES)*IF(S2296="Indefinido",AFC_INDEF,AFC_PF),0))</f>
        <v/>
      </c>
      <c r="U2296" s="62" t="str">
        <f aca="false">IF(C2296="","",IF(LEFT(D2296,1)="⚠","⚠ RUT no registrado en Trabajadores",IF(B2296="","⚠ Falta el mes",IF(OR(ISTEXT(I2296),ISTEXT(J2296)),"⚠ Atrasos u horas extra como texto: escriba hh:mm (ej. 1:30)",IF(AND(ISNUMBER(Q2296),COUNTIFS(M_RUTN,V2296,M_MES,B2296,M_LIQ,"&lt;&gt;")&gt;1),"⚠ Liquidación repetida en el mes",IF(AND(ISNUMBER(O2296),ISNUMBER(P2296),ISNUMBER(Q2296),ABS(O2296-P2296-Q2296)&gt;1),"⚠ Haberes − descuentos no da el líquido","OK"))))))</f>
        <v/>
      </c>
      <c r="V2296" s="62" t="str">
        <f aca="false">IF(C2296="","",IFERROR(VALUE(LEFT(UPPER(SUBSTITUTE(SUBSTITUTE(SUBSTITUTE(TRIM(C2296),".",""),"-","")," ","")),LEN(UPPER(SUBSTITUTE(SUBSTITUTE(SUBSTITUTE(TRIM(C2296),".",""),"-","")," ","")))-1))&amp;RIGHT(UPPER(SUBSTITUTE(SUBSTITUTE(SUBSTITUTE(TRIM(C2296),".",""),"-","")," ","")),1),UPPER(SUBSTITUTE(SUBSTITUTE(SUBSTITUTE(TRIM(C2296),".",""),"-","")," ",""))))</f>
        <v/>
      </c>
    </row>
    <row r="2297" customFormat="false" ht="15" hidden="false" customHeight="false" outlineLevel="0" collapsed="false">
      <c r="B2297" s="80"/>
      <c r="C2297" s="58"/>
      <c r="D2297" s="62" t="str">
        <f aca="false">IF(C2297="","",IFERROR(INDEX(T_NOMBRE,MATCH(V2297,T_RUTN,0)),"⚠ RUT no está en Trabajadores"))</f>
        <v/>
      </c>
      <c r="E2297" s="61"/>
      <c r="F2297" s="61"/>
      <c r="G2297" s="61"/>
      <c r="H2297" s="61"/>
      <c r="I2297" s="81"/>
      <c r="J2297" s="81"/>
      <c r="K2297" s="60"/>
      <c r="L2297" s="60"/>
      <c r="M2297" s="60"/>
      <c r="N2297" s="60"/>
      <c r="O2297" s="60"/>
      <c r="P2297" s="60"/>
      <c r="Q2297" s="60"/>
      <c r="R2297" s="58"/>
      <c r="S2297" s="62" t="str">
        <f aca="false">IF(OR(B2297="",V2297=""),"",IFERROR(INDEX(C_TIPO,MATCH(V2297&amp;"-P"&amp;MAX(1,COUNTIFS(C_RUTN,V2297,C_DEF,"Sí",C_INI,"&lt;="&amp;EOMONTH(B2297,0))),C_CLAVE,0))&amp;"","Sin contrato"))</f>
        <v/>
      </c>
      <c r="T2297" s="63" t="str">
        <f aca="false">IF(OR(B2297="",N(O2297)=0),"",N(O2297)+ROUND(MIN(N(N2297),TOPE_UF*UF_MES)*(TASA_EMP+MUTUAL),0)+ROUND(MIN(N(N2297),TOPE_AFC_UF*UF_MES)*IF(S2297="Indefinido",AFC_INDEF,AFC_PF),0))</f>
        <v/>
      </c>
      <c r="U2297" s="62" t="str">
        <f aca="false">IF(C2297="","",IF(LEFT(D2297,1)="⚠","⚠ RUT no registrado en Trabajadores",IF(B2297="","⚠ Falta el mes",IF(OR(ISTEXT(I2297),ISTEXT(J2297)),"⚠ Atrasos u horas extra como texto: escriba hh:mm (ej. 1:30)",IF(AND(ISNUMBER(Q2297),COUNTIFS(M_RUTN,V2297,M_MES,B2297,M_LIQ,"&lt;&gt;")&gt;1),"⚠ Liquidación repetida en el mes",IF(AND(ISNUMBER(O2297),ISNUMBER(P2297),ISNUMBER(Q2297),ABS(O2297-P2297-Q2297)&gt;1),"⚠ Haberes − descuentos no da el líquido","OK"))))))</f>
        <v/>
      </c>
      <c r="V2297" s="62" t="str">
        <f aca="false">IF(C2297="","",IFERROR(VALUE(LEFT(UPPER(SUBSTITUTE(SUBSTITUTE(SUBSTITUTE(TRIM(C2297),".",""),"-","")," ","")),LEN(UPPER(SUBSTITUTE(SUBSTITUTE(SUBSTITUTE(TRIM(C2297),".",""),"-","")," ","")))-1))&amp;RIGHT(UPPER(SUBSTITUTE(SUBSTITUTE(SUBSTITUTE(TRIM(C2297),".",""),"-","")," ","")),1),UPPER(SUBSTITUTE(SUBSTITUTE(SUBSTITUTE(TRIM(C2297),".",""),"-","")," ",""))))</f>
        <v/>
      </c>
    </row>
    <row r="2298" customFormat="false" ht="15" hidden="false" customHeight="false" outlineLevel="0" collapsed="false">
      <c r="B2298" s="80"/>
      <c r="C2298" s="58"/>
      <c r="D2298" s="62" t="str">
        <f aca="false">IF(C2298="","",IFERROR(INDEX(T_NOMBRE,MATCH(V2298,T_RUTN,0)),"⚠ RUT no está en Trabajadores"))</f>
        <v/>
      </c>
      <c r="E2298" s="61"/>
      <c r="F2298" s="61"/>
      <c r="G2298" s="61"/>
      <c r="H2298" s="61"/>
      <c r="I2298" s="81"/>
      <c r="J2298" s="81"/>
      <c r="K2298" s="60"/>
      <c r="L2298" s="60"/>
      <c r="M2298" s="60"/>
      <c r="N2298" s="60"/>
      <c r="O2298" s="60"/>
      <c r="P2298" s="60"/>
      <c r="Q2298" s="60"/>
      <c r="R2298" s="58"/>
      <c r="S2298" s="62" t="str">
        <f aca="false">IF(OR(B2298="",V2298=""),"",IFERROR(INDEX(C_TIPO,MATCH(V2298&amp;"-P"&amp;MAX(1,COUNTIFS(C_RUTN,V2298,C_DEF,"Sí",C_INI,"&lt;="&amp;EOMONTH(B2298,0))),C_CLAVE,0))&amp;"","Sin contrato"))</f>
        <v/>
      </c>
      <c r="T2298" s="63" t="str">
        <f aca="false">IF(OR(B2298="",N(O2298)=0),"",N(O2298)+ROUND(MIN(N(N2298),TOPE_UF*UF_MES)*(TASA_EMP+MUTUAL),0)+ROUND(MIN(N(N2298),TOPE_AFC_UF*UF_MES)*IF(S2298="Indefinido",AFC_INDEF,AFC_PF),0))</f>
        <v/>
      </c>
      <c r="U2298" s="62" t="str">
        <f aca="false">IF(C2298="","",IF(LEFT(D2298,1)="⚠","⚠ RUT no registrado en Trabajadores",IF(B2298="","⚠ Falta el mes",IF(OR(ISTEXT(I2298),ISTEXT(J2298)),"⚠ Atrasos u horas extra como texto: escriba hh:mm (ej. 1:30)",IF(AND(ISNUMBER(Q2298),COUNTIFS(M_RUTN,V2298,M_MES,B2298,M_LIQ,"&lt;&gt;")&gt;1),"⚠ Liquidación repetida en el mes",IF(AND(ISNUMBER(O2298),ISNUMBER(P2298),ISNUMBER(Q2298),ABS(O2298-P2298-Q2298)&gt;1),"⚠ Haberes − descuentos no da el líquido","OK"))))))</f>
        <v/>
      </c>
      <c r="V2298" s="62" t="str">
        <f aca="false">IF(C2298="","",IFERROR(VALUE(LEFT(UPPER(SUBSTITUTE(SUBSTITUTE(SUBSTITUTE(TRIM(C2298),".",""),"-","")," ","")),LEN(UPPER(SUBSTITUTE(SUBSTITUTE(SUBSTITUTE(TRIM(C2298),".",""),"-","")," ","")))-1))&amp;RIGHT(UPPER(SUBSTITUTE(SUBSTITUTE(SUBSTITUTE(TRIM(C2298),".",""),"-","")," ","")),1),UPPER(SUBSTITUTE(SUBSTITUTE(SUBSTITUTE(TRIM(C2298),".",""),"-","")," ",""))))</f>
        <v/>
      </c>
    </row>
    <row r="2299" customFormat="false" ht="15" hidden="false" customHeight="false" outlineLevel="0" collapsed="false">
      <c r="B2299" s="80"/>
      <c r="C2299" s="58"/>
      <c r="D2299" s="62" t="str">
        <f aca="false">IF(C2299="","",IFERROR(INDEX(T_NOMBRE,MATCH(V2299,T_RUTN,0)),"⚠ RUT no está en Trabajadores"))</f>
        <v/>
      </c>
      <c r="E2299" s="61"/>
      <c r="F2299" s="61"/>
      <c r="G2299" s="61"/>
      <c r="H2299" s="61"/>
      <c r="I2299" s="81"/>
      <c r="J2299" s="81"/>
      <c r="K2299" s="60"/>
      <c r="L2299" s="60"/>
      <c r="M2299" s="60"/>
      <c r="N2299" s="60"/>
      <c r="O2299" s="60"/>
      <c r="P2299" s="60"/>
      <c r="Q2299" s="60"/>
      <c r="R2299" s="58"/>
      <c r="S2299" s="62" t="str">
        <f aca="false">IF(OR(B2299="",V2299=""),"",IFERROR(INDEX(C_TIPO,MATCH(V2299&amp;"-P"&amp;MAX(1,COUNTIFS(C_RUTN,V2299,C_DEF,"Sí",C_INI,"&lt;="&amp;EOMONTH(B2299,0))),C_CLAVE,0))&amp;"","Sin contrato"))</f>
        <v/>
      </c>
      <c r="T2299" s="63" t="str">
        <f aca="false">IF(OR(B2299="",N(O2299)=0),"",N(O2299)+ROUND(MIN(N(N2299),TOPE_UF*UF_MES)*(TASA_EMP+MUTUAL),0)+ROUND(MIN(N(N2299),TOPE_AFC_UF*UF_MES)*IF(S2299="Indefinido",AFC_INDEF,AFC_PF),0))</f>
        <v/>
      </c>
      <c r="U2299" s="62" t="str">
        <f aca="false">IF(C2299="","",IF(LEFT(D2299,1)="⚠","⚠ RUT no registrado en Trabajadores",IF(B2299="","⚠ Falta el mes",IF(OR(ISTEXT(I2299),ISTEXT(J2299)),"⚠ Atrasos u horas extra como texto: escriba hh:mm (ej. 1:30)",IF(AND(ISNUMBER(Q2299),COUNTIFS(M_RUTN,V2299,M_MES,B2299,M_LIQ,"&lt;&gt;")&gt;1),"⚠ Liquidación repetida en el mes",IF(AND(ISNUMBER(O2299),ISNUMBER(P2299),ISNUMBER(Q2299),ABS(O2299-P2299-Q2299)&gt;1),"⚠ Haberes − descuentos no da el líquido","OK"))))))</f>
        <v/>
      </c>
      <c r="V2299" s="62" t="str">
        <f aca="false">IF(C2299="","",IFERROR(VALUE(LEFT(UPPER(SUBSTITUTE(SUBSTITUTE(SUBSTITUTE(TRIM(C2299),".",""),"-","")," ","")),LEN(UPPER(SUBSTITUTE(SUBSTITUTE(SUBSTITUTE(TRIM(C2299),".",""),"-","")," ","")))-1))&amp;RIGHT(UPPER(SUBSTITUTE(SUBSTITUTE(SUBSTITUTE(TRIM(C2299),".",""),"-","")," ","")),1),UPPER(SUBSTITUTE(SUBSTITUTE(SUBSTITUTE(TRIM(C2299),".",""),"-","")," ",""))))</f>
        <v/>
      </c>
    </row>
    <row r="2300" customFormat="false" ht="15" hidden="false" customHeight="false" outlineLevel="0" collapsed="false">
      <c r="B2300" s="80"/>
      <c r="C2300" s="58"/>
      <c r="D2300" s="62" t="str">
        <f aca="false">IF(C2300="","",IFERROR(INDEX(T_NOMBRE,MATCH(V2300,T_RUTN,0)),"⚠ RUT no está en Trabajadores"))</f>
        <v/>
      </c>
      <c r="E2300" s="61"/>
      <c r="F2300" s="61"/>
      <c r="G2300" s="61"/>
      <c r="H2300" s="61"/>
      <c r="I2300" s="81"/>
      <c r="J2300" s="81"/>
      <c r="K2300" s="60"/>
      <c r="L2300" s="60"/>
      <c r="M2300" s="60"/>
      <c r="N2300" s="60"/>
      <c r="O2300" s="60"/>
      <c r="P2300" s="60"/>
      <c r="Q2300" s="60"/>
      <c r="R2300" s="58"/>
      <c r="S2300" s="62" t="str">
        <f aca="false">IF(OR(B2300="",V2300=""),"",IFERROR(INDEX(C_TIPO,MATCH(V2300&amp;"-P"&amp;MAX(1,COUNTIFS(C_RUTN,V2300,C_DEF,"Sí",C_INI,"&lt;="&amp;EOMONTH(B2300,0))),C_CLAVE,0))&amp;"","Sin contrato"))</f>
        <v/>
      </c>
      <c r="T2300" s="63" t="str">
        <f aca="false">IF(OR(B2300="",N(O2300)=0),"",N(O2300)+ROUND(MIN(N(N2300),TOPE_UF*UF_MES)*(TASA_EMP+MUTUAL),0)+ROUND(MIN(N(N2300),TOPE_AFC_UF*UF_MES)*IF(S2300="Indefinido",AFC_INDEF,AFC_PF),0))</f>
        <v/>
      </c>
      <c r="U2300" s="62" t="str">
        <f aca="false">IF(C2300="","",IF(LEFT(D2300,1)="⚠","⚠ RUT no registrado en Trabajadores",IF(B2300="","⚠ Falta el mes",IF(OR(ISTEXT(I2300),ISTEXT(J2300)),"⚠ Atrasos u horas extra como texto: escriba hh:mm (ej. 1:30)",IF(AND(ISNUMBER(Q2300),COUNTIFS(M_RUTN,V2300,M_MES,B2300,M_LIQ,"&lt;&gt;")&gt;1),"⚠ Liquidación repetida en el mes",IF(AND(ISNUMBER(O2300),ISNUMBER(P2300),ISNUMBER(Q2300),ABS(O2300-P2300-Q2300)&gt;1),"⚠ Haberes − descuentos no da el líquido","OK"))))))</f>
        <v/>
      </c>
      <c r="V2300" s="62" t="str">
        <f aca="false">IF(C2300="","",IFERROR(VALUE(LEFT(UPPER(SUBSTITUTE(SUBSTITUTE(SUBSTITUTE(TRIM(C2300),".",""),"-","")," ","")),LEN(UPPER(SUBSTITUTE(SUBSTITUTE(SUBSTITUTE(TRIM(C2300),".",""),"-","")," ","")))-1))&amp;RIGHT(UPPER(SUBSTITUTE(SUBSTITUTE(SUBSTITUTE(TRIM(C2300),".",""),"-","")," ","")),1),UPPER(SUBSTITUTE(SUBSTITUTE(SUBSTITUTE(TRIM(C2300),".",""),"-","")," ",""))))</f>
        <v/>
      </c>
    </row>
    <row r="2301" customFormat="false" ht="15" hidden="false" customHeight="false" outlineLevel="0" collapsed="false">
      <c r="B2301" s="80"/>
      <c r="C2301" s="58"/>
      <c r="D2301" s="62" t="str">
        <f aca="false">IF(C2301="","",IFERROR(INDEX(T_NOMBRE,MATCH(V2301,T_RUTN,0)),"⚠ RUT no está en Trabajadores"))</f>
        <v/>
      </c>
      <c r="E2301" s="61"/>
      <c r="F2301" s="61"/>
      <c r="G2301" s="61"/>
      <c r="H2301" s="61"/>
      <c r="I2301" s="81"/>
      <c r="J2301" s="81"/>
      <c r="K2301" s="60"/>
      <c r="L2301" s="60"/>
      <c r="M2301" s="60"/>
      <c r="N2301" s="60"/>
      <c r="O2301" s="60"/>
      <c r="P2301" s="60"/>
      <c r="Q2301" s="60"/>
      <c r="R2301" s="58"/>
      <c r="S2301" s="62" t="str">
        <f aca="false">IF(OR(B2301="",V2301=""),"",IFERROR(INDEX(C_TIPO,MATCH(V2301&amp;"-P"&amp;MAX(1,COUNTIFS(C_RUTN,V2301,C_DEF,"Sí",C_INI,"&lt;="&amp;EOMONTH(B2301,0))),C_CLAVE,0))&amp;"","Sin contrato"))</f>
        <v/>
      </c>
      <c r="T2301" s="63" t="str">
        <f aca="false">IF(OR(B2301="",N(O2301)=0),"",N(O2301)+ROUND(MIN(N(N2301),TOPE_UF*UF_MES)*(TASA_EMP+MUTUAL),0)+ROUND(MIN(N(N2301),TOPE_AFC_UF*UF_MES)*IF(S2301="Indefinido",AFC_INDEF,AFC_PF),0))</f>
        <v/>
      </c>
      <c r="U2301" s="62" t="str">
        <f aca="false">IF(C2301="","",IF(LEFT(D2301,1)="⚠","⚠ RUT no registrado en Trabajadores",IF(B2301="","⚠ Falta el mes",IF(OR(ISTEXT(I2301),ISTEXT(J2301)),"⚠ Atrasos u horas extra como texto: escriba hh:mm (ej. 1:30)",IF(AND(ISNUMBER(Q2301),COUNTIFS(M_RUTN,V2301,M_MES,B2301,M_LIQ,"&lt;&gt;")&gt;1),"⚠ Liquidación repetida en el mes",IF(AND(ISNUMBER(O2301),ISNUMBER(P2301),ISNUMBER(Q2301),ABS(O2301-P2301-Q2301)&gt;1),"⚠ Haberes − descuentos no da el líquido","OK"))))))</f>
        <v/>
      </c>
      <c r="V2301" s="62" t="str">
        <f aca="false">IF(C2301="","",IFERROR(VALUE(LEFT(UPPER(SUBSTITUTE(SUBSTITUTE(SUBSTITUTE(TRIM(C2301),".",""),"-","")," ","")),LEN(UPPER(SUBSTITUTE(SUBSTITUTE(SUBSTITUTE(TRIM(C2301),".",""),"-","")," ","")))-1))&amp;RIGHT(UPPER(SUBSTITUTE(SUBSTITUTE(SUBSTITUTE(TRIM(C2301),".",""),"-","")," ","")),1),UPPER(SUBSTITUTE(SUBSTITUTE(SUBSTITUTE(TRIM(C2301),".",""),"-","")," ",""))))</f>
        <v/>
      </c>
    </row>
    <row r="2302" customFormat="false" ht="15" hidden="false" customHeight="false" outlineLevel="0" collapsed="false">
      <c r="B2302" s="80"/>
      <c r="C2302" s="58"/>
      <c r="D2302" s="62" t="str">
        <f aca="false">IF(C2302="","",IFERROR(INDEX(T_NOMBRE,MATCH(V2302,T_RUTN,0)),"⚠ RUT no está en Trabajadores"))</f>
        <v/>
      </c>
      <c r="E2302" s="61"/>
      <c r="F2302" s="61"/>
      <c r="G2302" s="61"/>
      <c r="H2302" s="61"/>
      <c r="I2302" s="81"/>
      <c r="J2302" s="81"/>
      <c r="K2302" s="60"/>
      <c r="L2302" s="60"/>
      <c r="M2302" s="60"/>
      <c r="N2302" s="60"/>
      <c r="O2302" s="60"/>
      <c r="P2302" s="60"/>
      <c r="Q2302" s="60"/>
      <c r="R2302" s="58"/>
      <c r="S2302" s="62" t="str">
        <f aca="false">IF(OR(B2302="",V2302=""),"",IFERROR(INDEX(C_TIPO,MATCH(V2302&amp;"-P"&amp;MAX(1,COUNTIFS(C_RUTN,V2302,C_DEF,"Sí",C_INI,"&lt;="&amp;EOMONTH(B2302,0))),C_CLAVE,0))&amp;"","Sin contrato"))</f>
        <v/>
      </c>
      <c r="T2302" s="63" t="str">
        <f aca="false">IF(OR(B2302="",N(O2302)=0),"",N(O2302)+ROUND(MIN(N(N2302),TOPE_UF*UF_MES)*(TASA_EMP+MUTUAL),0)+ROUND(MIN(N(N2302),TOPE_AFC_UF*UF_MES)*IF(S2302="Indefinido",AFC_INDEF,AFC_PF),0))</f>
        <v/>
      </c>
      <c r="U2302" s="62" t="str">
        <f aca="false">IF(C2302="","",IF(LEFT(D2302,1)="⚠","⚠ RUT no registrado en Trabajadores",IF(B2302="","⚠ Falta el mes",IF(OR(ISTEXT(I2302),ISTEXT(J2302)),"⚠ Atrasos u horas extra como texto: escriba hh:mm (ej. 1:30)",IF(AND(ISNUMBER(Q2302),COUNTIFS(M_RUTN,V2302,M_MES,B2302,M_LIQ,"&lt;&gt;")&gt;1),"⚠ Liquidación repetida en el mes",IF(AND(ISNUMBER(O2302),ISNUMBER(P2302),ISNUMBER(Q2302),ABS(O2302-P2302-Q2302)&gt;1),"⚠ Haberes − descuentos no da el líquido","OK"))))))</f>
        <v/>
      </c>
      <c r="V2302" s="62" t="str">
        <f aca="false">IF(C2302="","",IFERROR(VALUE(LEFT(UPPER(SUBSTITUTE(SUBSTITUTE(SUBSTITUTE(TRIM(C2302),".",""),"-","")," ","")),LEN(UPPER(SUBSTITUTE(SUBSTITUTE(SUBSTITUTE(TRIM(C2302),".",""),"-","")," ","")))-1))&amp;RIGHT(UPPER(SUBSTITUTE(SUBSTITUTE(SUBSTITUTE(TRIM(C2302),".",""),"-","")," ","")),1),UPPER(SUBSTITUTE(SUBSTITUTE(SUBSTITUTE(TRIM(C2302),".",""),"-","")," ",""))))</f>
        <v/>
      </c>
    </row>
    <row r="2303" customFormat="false" ht="15" hidden="false" customHeight="false" outlineLevel="0" collapsed="false">
      <c r="B2303" s="80"/>
      <c r="C2303" s="58"/>
      <c r="D2303" s="62" t="str">
        <f aca="false">IF(C2303="","",IFERROR(INDEX(T_NOMBRE,MATCH(V2303,T_RUTN,0)),"⚠ RUT no está en Trabajadores"))</f>
        <v/>
      </c>
      <c r="E2303" s="61"/>
      <c r="F2303" s="61"/>
      <c r="G2303" s="61"/>
      <c r="H2303" s="61"/>
      <c r="I2303" s="81"/>
      <c r="J2303" s="81"/>
      <c r="K2303" s="60"/>
      <c r="L2303" s="60"/>
      <c r="M2303" s="60"/>
      <c r="N2303" s="60"/>
      <c r="O2303" s="60"/>
      <c r="P2303" s="60"/>
      <c r="Q2303" s="60"/>
      <c r="R2303" s="58"/>
      <c r="S2303" s="62" t="str">
        <f aca="false">IF(OR(B2303="",V2303=""),"",IFERROR(INDEX(C_TIPO,MATCH(V2303&amp;"-P"&amp;MAX(1,COUNTIFS(C_RUTN,V2303,C_DEF,"Sí",C_INI,"&lt;="&amp;EOMONTH(B2303,0))),C_CLAVE,0))&amp;"","Sin contrato"))</f>
        <v/>
      </c>
      <c r="T2303" s="63" t="str">
        <f aca="false">IF(OR(B2303="",N(O2303)=0),"",N(O2303)+ROUND(MIN(N(N2303),TOPE_UF*UF_MES)*(TASA_EMP+MUTUAL),0)+ROUND(MIN(N(N2303),TOPE_AFC_UF*UF_MES)*IF(S2303="Indefinido",AFC_INDEF,AFC_PF),0))</f>
        <v/>
      </c>
      <c r="U2303" s="62" t="str">
        <f aca="false">IF(C2303="","",IF(LEFT(D2303,1)="⚠","⚠ RUT no registrado en Trabajadores",IF(B2303="","⚠ Falta el mes",IF(OR(ISTEXT(I2303),ISTEXT(J2303)),"⚠ Atrasos u horas extra como texto: escriba hh:mm (ej. 1:30)",IF(AND(ISNUMBER(Q2303),COUNTIFS(M_RUTN,V2303,M_MES,B2303,M_LIQ,"&lt;&gt;")&gt;1),"⚠ Liquidación repetida en el mes",IF(AND(ISNUMBER(O2303),ISNUMBER(P2303),ISNUMBER(Q2303),ABS(O2303-P2303-Q2303)&gt;1),"⚠ Haberes − descuentos no da el líquido","OK"))))))</f>
        <v/>
      </c>
      <c r="V2303" s="62" t="str">
        <f aca="false">IF(C2303="","",IFERROR(VALUE(LEFT(UPPER(SUBSTITUTE(SUBSTITUTE(SUBSTITUTE(TRIM(C2303),".",""),"-","")," ","")),LEN(UPPER(SUBSTITUTE(SUBSTITUTE(SUBSTITUTE(TRIM(C2303),".",""),"-","")," ","")))-1))&amp;RIGHT(UPPER(SUBSTITUTE(SUBSTITUTE(SUBSTITUTE(TRIM(C2303),".",""),"-","")," ","")),1),UPPER(SUBSTITUTE(SUBSTITUTE(SUBSTITUTE(TRIM(C2303),".",""),"-","")," ",""))))</f>
        <v/>
      </c>
    </row>
    <row r="2304" customFormat="false" ht="15" hidden="false" customHeight="false" outlineLevel="0" collapsed="false">
      <c r="B2304" s="80"/>
      <c r="C2304" s="58"/>
      <c r="D2304" s="62" t="str">
        <f aca="false">IF(C2304="","",IFERROR(INDEX(T_NOMBRE,MATCH(V2304,T_RUTN,0)),"⚠ RUT no está en Trabajadores"))</f>
        <v/>
      </c>
      <c r="E2304" s="61"/>
      <c r="F2304" s="61"/>
      <c r="G2304" s="61"/>
      <c r="H2304" s="61"/>
      <c r="I2304" s="81"/>
      <c r="J2304" s="81"/>
      <c r="K2304" s="60"/>
      <c r="L2304" s="60"/>
      <c r="M2304" s="60"/>
      <c r="N2304" s="60"/>
      <c r="O2304" s="60"/>
      <c r="P2304" s="60"/>
      <c r="Q2304" s="60"/>
      <c r="R2304" s="58"/>
      <c r="S2304" s="62" t="str">
        <f aca="false">IF(OR(B2304="",V2304=""),"",IFERROR(INDEX(C_TIPO,MATCH(V2304&amp;"-P"&amp;MAX(1,COUNTIFS(C_RUTN,V2304,C_DEF,"Sí",C_INI,"&lt;="&amp;EOMONTH(B2304,0))),C_CLAVE,0))&amp;"","Sin contrato"))</f>
        <v/>
      </c>
      <c r="T2304" s="63" t="str">
        <f aca="false">IF(OR(B2304="",N(O2304)=0),"",N(O2304)+ROUND(MIN(N(N2304),TOPE_UF*UF_MES)*(TASA_EMP+MUTUAL),0)+ROUND(MIN(N(N2304),TOPE_AFC_UF*UF_MES)*IF(S2304="Indefinido",AFC_INDEF,AFC_PF),0))</f>
        <v/>
      </c>
      <c r="U2304" s="62" t="str">
        <f aca="false">IF(C2304="","",IF(LEFT(D2304,1)="⚠","⚠ RUT no registrado en Trabajadores",IF(B2304="","⚠ Falta el mes",IF(OR(ISTEXT(I2304),ISTEXT(J2304)),"⚠ Atrasos u horas extra como texto: escriba hh:mm (ej. 1:30)",IF(AND(ISNUMBER(Q2304),COUNTIFS(M_RUTN,V2304,M_MES,B2304,M_LIQ,"&lt;&gt;")&gt;1),"⚠ Liquidación repetida en el mes",IF(AND(ISNUMBER(O2304),ISNUMBER(P2304),ISNUMBER(Q2304),ABS(O2304-P2304-Q2304)&gt;1),"⚠ Haberes − descuentos no da el líquido","OK"))))))</f>
        <v/>
      </c>
      <c r="V2304" s="62" t="str">
        <f aca="false">IF(C2304="","",IFERROR(VALUE(LEFT(UPPER(SUBSTITUTE(SUBSTITUTE(SUBSTITUTE(TRIM(C2304),".",""),"-","")," ","")),LEN(UPPER(SUBSTITUTE(SUBSTITUTE(SUBSTITUTE(TRIM(C2304),".",""),"-","")," ","")))-1))&amp;RIGHT(UPPER(SUBSTITUTE(SUBSTITUTE(SUBSTITUTE(TRIM(C2304),".",""),"-","")," ","")),1),UPPER(SUBSTITUTE(SUBSTITUTE(SUBSTITUTE(TRIM(C2304),".",""),"-","")," ",""))))</f>
        <v/>
      </c>
    </row>
    <row r="2305" customFormat="false" ht="15" hidden="false" customHeight="false" outlineLevel="0" collapsed="false">
      <c r="B2305" s="80"/>
      <c r="C2305" s="58"/>
      <c r="D2305" s="62" t="str">
        <f aca="false">IF(C2305="","",IFERROR(INDEX(T_NOMBRE,MATCH(V2305,T_RUTN,0)),"⚠ RUT no está en Trabajadores"))</f>
        <v/>
      </c>
      <c r="E2305" s="61"/>
      <c r="F2305" s="61"/>
      <c r="G2305" s="61"/>
      <c r="H2305" s="61"/>
      <c r="I2305" s="81"/>
      <c r="J2305" s="81"/>
      <c r="K2305" s="60"/>
      <c r="L2305" s="60"/>
      <c r="M2305" s="60"/>
      <c r="N2305" s="60"/>
      <c r="O2305" s="60"/>
      <c r="P2305" s="60"/>
      <c r="Q2305" s="60"/>
      <c r="R2305" s="58"/>
      <c r="S2305" s="62" t="str">
        <f aca="false">IF(OR(B2305="",V2305=""),"",IFERROR(INDEX(C_TIPO,MATCH(V2305&amp;"-P"&amp;MAX(1,COUNTIFS(C_RUTN,V2305,C_DEF,"Sí",C_INI,"&lt;="&amp;EOMONTH(B2305,0))),C_CLAVE,0))&amp;"","Sin contrato"))</f>
        <v/>
      </c>
      <c r="T2305" s="63" t="str">
        <f aca="false">IF(OR(B2305="",N(O2305)=0),"",N(O2305)+ROUND(MIN(N(N2305),TOPE_UF*UF_MES)*(TASA_EMP+MUTUAL),0)+ROUND(MIN(N(N2305),TOPE_AFC_UF*UF_MES)*IF(S2305="Indefinido",AFC_INDEF,AFC_PF),0))</f>
        <v/>
      </c>
      <c r="U2305" s="62" t="str">
        <f aca="false">IF(C2305="","",IF(LEFT(D2305,1)="⚠","⚠ RUT no registrado en Trabajadores",IF(B2305="","⚠ Falta el mes",IF(OR(ISTEXT(I2305),ISTEXT(J2305)),"⚠ Atrasos u horas extra como texto: escriba hh:mm (ej. 1:30)",IF(AND(ISNUMBER(Q2305),COUNTIFS(M_RUTN,V2305,M_MES,B2305,M_LIQ,"&lt;&gt;")&gt;1),"⚠ Liquidación repetida en el mes",IF(AND(ISNUMBER(O2305),ISNUMBER(P2305),ISNUMBER(Q2305),ABS(O2305-P2305-Q2305)&gt;1),"⚠ Haberes − descuentos no da el líquido","OK"))))))</f>
        <v/>
      </c>
      <c r="V2305" s="62" t="str">
        <f aca="false">IF(C2305="","",IFERROR(VALUE(LEFT(UPPER(SUBSTITUTE(SUBSTITUTE(SUBSTITUTE(TRIM(C2305),".",""),"-","")," ","")),LEN(UPPER(SUBSTITUTE(SUBSTITUTE(SUBSTITUTE(TRIM(C2305),".",""),"-","")," ","")))-1))&amp;RIGHT(UPPER(SUBSTITUTE(SUBSTITUTE(SUBSTITUTE(TRIM(C2305),".",""),"-","")," ","")),1),UPPER(SUBSTITUTE(SUBSTITUTE(SUBSTITUTE(TRIM(C2305),".",""),"-","")," ",""))))</f>
        <v/>
      </c>
    </row>
    <row r="2306" customFormat="false" ht="15" hidden="false" customHeight="false" outlineLevel="0" collapsed="false">
      <c r="B2306" s="80"/>
      <c r="C2306" s="58"/>
      <c r="D2306" s="62" t="str">
        <f aca="false">IF(C2306="","",IFERROR(INDEX(T_NOMBRE,MATCH(V2306,T_RUTN,0)),"⚠ RUT no está en Trabajadores"))</f>
        <v/>
      </c>
      <c r="E2306" s="61"/>
      <c r="F2306" s="61"/>
      <c r="G2306" s="61"/>
      <c r="H2306" s="61"/>
      <c r="I2306" s="81"/>
      <c r="J2306" s="81"/>
      <c r="K2306" s="60"/>
      <c r="L2306" s="60"/>
      <c r="M2306" s="60"/>
      <c r="N2306" s="60"/>
      <c r="O2306" s="60"/>
      <c r="P2306" s="60"/>
      <c r="Q2306" s="60"/>
      <c r="R2306" s="58"/>
      <c r="S2306" s="62" t="str">
        <f aca="false">IF(OR(B2306="",V2306=""),"",IFERROR(INDEX(C_TIPO,MATCH(V2306&amp;"-P"&amp;MAX(1,COUNTIFS(C_RUTN,V2306,C_DEF,"Sí",C_INI,"&lt;="&amp;EOMONTH(B2306,0))),C_CLAVE,0))&amp;"","Sin contrato"))</f>
        <v/>
      </c>
      <c r="T2306" s="63" t="str">
        <f aca="false">IF(OR(B2306="",N(O2306)=0),"",N(O2306)+ROUND(MIN(N(N2306),TOPE_UF*UF_MES)*(TASA_EMP+MUTUAL),0)+ROUND(MIN(N(N2306),TOPE_AFC_UF*UF_MES)*IF(S2306="Indefinido",AFC_INDEF,AFC_PF),0))</f>
        <v/>
      </c>
      <c r="U2306" s="62" t="str">
        <f aca="false">IF(C2306="","",IF(LEFT(D2306,1)="⚠","⚠ RUT no registrado en Trabajadores",IF(B2306="","⚠ Falta el mes",IF(OR(ISTEXT(I2306),ISTEXT(J2306)),"⚠ Atrasos u horas extra como texto: escriba hh:mm (ej. 1:30)",IF(AND(ISNUMBER(Q2306),COUNTIFS(M_RUTN,V2306,M_MES,B2306,M_LIQ,"&lt;&gt;")&gt;1),"⚠ Liquidación repetida en el mes",IF(AND(ISNUMBER(O2306),ISNUMBER(P2306),ISNUMBER(Q2306),ABS(O2306-P2306-Q2306)&gt;1),"⚠ Haberes − descuentos no da el líquido","OK"))))))</f>
        <v/>
      </c>
      <c r="V2306" s="62" t="str">
        <f aca="false">IF(C2306="","",IFERROR(VALUE(LEFT(UPPER(SUBSTITUTE(SUBSTITUTE(SUBSTITUTE(TRIM(C2306),".",""),"-","")," ","")),LEN(UPPER(SUBSTITUTE(SUBSTITUTE(SUBSTITUTE(TRIM(C2306),".",""),"-","")," ","")))-1))&amp;RIGHT(UPPER(SUBSTITUTE(SUBSTITUTE(SUBSTITUTE(TRIM(C2306),".",""),"-","")," ","")),1),UPPER(SUBSTITUTE(SUBSTITUTE(SUBSTITUTE(TRIM(C2306),".",""),"-","")," ",""))))</f>
        <v/>
      </c>
    </row>
    <row r="2307" customFormat="false" ht="15" hidden="false" customHeight="false" outlineLevel="0" collapsed="false">
      <c r="B2307" s="80"/>
      <c r="C2307" s="58"/>
      <c r="D2307" s="62" t="str">
        <f aca="false">IF(C2307="","",IFERROR(INDEX(T_NOMBRE,MATCH(V2307,T_RUTN,0)),"⚠ RUT no está en Trabajadores"))</f>
        <v/>
      </c>
      <c r="E2307" s="61"/>
      <c r="F2307" s="61"/>
      <c r="G2307" s="61"/>
      <c r="H2307" s="61"/>
      <c r="I2307" s="81"/>
      <c r="J2307" s="81"/>
      <c r="K2307" s="60"/>
      <c r="L2307" s="60"/>
      <c r="M2307" s="60"/>
      <c r="N2307" s="60"/>
      <c r="O2307" s="60"/>
      <c r="P2307" s="60"/>
      <c r="Q2307" s="60"/>
      <c r="R2307" s="58"/>
      <c r="S2307" s="62" t="str">
        <f aca="false">IF(OR(B2307="",V2307=""),"",IFERROR(INDEX(C_TIPO,MATCH(V2307&amp;"-P"&amp;MAX(1,COUNTIFS(C_RUTN,V2307,C_DEF,"Sí",C_INI,"&lt;="&amp;EOMONTH(B2307,0))),C_CLAVE,0))&amp;"","Sin contrato"))</f>
        <v/>
      </c>
      <c r="T2307" s="63" t="str">
        <f aca="false">IF(OR(B2307="",N(O2307)=0),"",N(O2307)+ROUND(MIN(N(N2307),TOPE_UF*UF_MES)*(TASA_EMP+MUTUAL),0)+ROUND(MIN(N(N2307),TOPE_AFC_UF*UF_MES)*IF(S2307="Indefinido",AFC_INDEF,AFC_PF),0))</f>
        <v/>
      </c>
      <c r="U2307" s="62" t="str">
        <f aca="false">IF(C2307="","",IF(LEFT(D2307,1)="⚠","⚠ RUT no registrado en Trabajadores",IF(B2307="","⚠ Falta el mes",IF(OR(ISTEXT(I2307),ISTEXT(J2307)),"⚠ Atrasos u horas extra como texto: escriba hh:mm (ej. 1:30)",IF(AND(ISNUMBER(Q2307),COUNTIFS(M_RUTN,V2307,M_MES,B2307,M_LIQ,"&lt;&gt;")&gt;1),"⚠ Liquidación repetida en el mes",IF(AND(ISNUMBER(O2307),ISNUMBER(P2307),ISNUMBER(Q2307),ABS(O2307-P2307-Q2307)&gt;1),"⚠ Haberes − descuentos no da el líquido","OK"))))))</f>
        <v/>
      </c>
      <c r="V2307" s="62" t="str">
        <f aca="false">IF(C2307="","",IFERROR(VALUE(LEFT(UPPER(SUBSTITUTE(SUBSTITUTE(SUBSTITUTE(TRIM(C2307),".",""),"-","")," ","")),LEN(UPPER(SUBSTITUTE(SUBSTITUTE(SUBSTITUTE(TRIM(C2307),".",""),"-","")," ","")))-1))&amp;RIGHT(UPPER(SUBSTITUTE(SUBSTITUTE(SUBSTITUTE(TRIM(C2307),".",""),"-","")," ","")),1),UPPER(SUBSTITUTE(SUBSTITUTE(SUBSTITUTE(TRIM(C2307),".",""),"-","")," ",""))))</f>
        <v/>
      </c>
    </row>
    <row r="2308" customFormat="false" ht="15" hidden="false" customHeight="false" outlineLevel="0" collapsed="false">
      <c r="B2308" s="80"/>
      <c r="C2308" s="58"/>
      <c r="D2308" s="62" t="str">
        <f aca="false">IF(C2308="","",IFERROR(INDEX(T_NOMBRE,MATCH(V2308,T_RUTN,0)),"⚠ RUT no está en Trabajadores"))</f>
        <v/>
      </c>
      <c r="E2308" s="61"/>
      <c r="F2308" s="61"/>
      <c r="G2308" s="61"/>
      <c r="H2308" s="61"/>
      <c r="I2308" s="81"/>
      <c r="J2308" s="81"/>
      <c r="K2308" s="60"/>
      <c r="L2308" s="60"/>
      <c r="M2308" s="60"/>
      <c r="N2308" s="60"/>
      <c r="O2308" s="60"/>
      <c r="P2308" s="60"/>
      <c r="Q2308" s="60"/>
      <c r="R2308" s="58"/>
      <c r="S2308" s="62" t="str">
        <f aca="false">IF(OR(B2308="",V2308=""),"",IFERROR(INDEX(C_TIPO,MATCH(V2308&amp;"-P"&amp;MAX(1,COUNTIFS(C_RUTN,V2308,C_DEF,"Sí",C_INI,"&lt;="&amp;EOMONTH(B2308,0))),C_CLAVE,0))&amp;"","Sin contrato"))</f>
        <v/>
      </c>
      <c r="T2308" s="63" t="str">
        <f aca="false">IF(OR(B2308="",N(O2308)=0),"",N(O2308)+ROUND(MIN(N(N2308),TOPE_UF*UF_MES)*(TASA_EMP+MUTUAL),0)+ROUND(MIN(N(N2308),TOPE_AFC_UF*UF_MES)*IF(S2308="Indefinido",AFC_INDEF,AFC_PF),0))</f>
        <v/>
      </c>
      <c r="U2308" s="62" t="str">
        <f aca="false">IF(C2308="","",IF(LEFT(D2308,1)="⚠","⚠ RUT no registrado en Trabajadores",IF(B2308="","⚠ Falta el mes",IF(OR(ISTEXT(I2308),ISTEXT(J2308)),"⚠ Atrasos u horas extra como texto: escriba hh:mm (ej. 1:30)",IF(AND(ISNUMBER(Q2308),COUNTIFS(M_RUTN,V2308,M_MES,B2308,M_LIQ,"&lt;&gt;")&gt;1),"⚠ Liquidación repetida en el mes",IF(AND(ISNUMBER(O2308),ISNUMBER(P2308),ISNUMBER(Q2308),ABS(O2308-P2308-Q2308)&gt;1),"⚠ Haberes − descuentos no da el líquido","OK"))))))</f>
        <v/>
      </c>
      <c r="V2308" s="62" t="str">
        <f aca="false">IF(C2308="","",IFERROR(VALUE(LEFT(UPPER(SUBSTITUTE(SUBSTITUTE(SUBSTITUTE(TRIM(C2308),".",""),"-","")," ","")),LEN(UPPER(SUBSTITUTE(SUBSTITUTE(SUBSTITUTE(TRIM(C2308),".",""),"-","")," ","")))-1))&amp;RIGHT(UPPER(SUBSTITUTE(SUBSTITUTE(SUBSTITUTE(TRIM(C2308),".",""),"-","")," ","")),1),UPPER(SUBSTITUTE(SUBSTITUTE(SUBSTITUTE(TRIM(C2308),".",""),"-","")," ",""))))</f>
        <v/>
      </c>
    </row>
    <row r="2309" customFormat="false" ht="15" hidden="false" customHeight="false" outlineLevel="0" collapsed="false">
      <c r="B2309" s="80"/>
      <c r="C2309" s="58"/>
      <c r="D2309" s="62" t="str">
        <f aca="false">IF(C2309="","",IFERROR(INDEX(T_NOMBRE,MATCH(V2309,T_RUTN,0)),"⚠ RUT no está en Trabajadores"))</f>
        <v/>
      </c>
      <c r="E2309" s="61"/>
      <c r="F2309" s="61"/>
      <c r="G2309" s="61"/>
      <c r="H2309" s="61"/>
      <c r="I2309" s="81"/>
      <c r="J2309" s="81"/>
      <c r="K2309" s="60"/>
      <c r="L2309" s="60"/>
      <c r="M2309" s="60"/>
      <c r="N2309" s="60"/>
      <c r="O2309" s="60"/>
      <c r="P2309" s="60"/>
      <c r="Q2309" s="60"/>
      <c r="R2309" s="58"/>
      <c r="S2309" s="62" t="str">
        <f aca="false">IF(OR(B2309="",V2309=""),"",IFERROR(INDEX(C_TIPO,MATCH(V2309&amp;"-P"&amp;MAX(1,COUNTIFS(C_RUTN,V2309,C_DEF,"Sí",C_INI,"&lt;="&amp;EOMONTH(B2309,0))),C_CLAVE,0))&amp;"","Sin contrato"))</f>
        <v/>
      </c>
      <c r="T2309" s="63" t="str">
        <f aca="false">IF(OR(B2309="",N(O2309)=0),"",N(O2309)+ROUND(MIN(N(N2309),TOPE_UF*UF_MES)*(TASA_EMP+MUTUAL),0)+ROUND(MIN(N(N2309),TOPE_AFC_UF*UF_MES)*IF(S2309="Indefinido",AFC_INDEF,AFC_PF),0))</f>
        <v/>
      </c>
      <c r="U2309" s="62" t="str">
        <f aca="false">IF(C2309="","",IF(LEFT(D2309,1)="⚠","⚠ RUT no registrado en Trabajadores",IF(B2309="","⚠ Falta el mes",IF(OR(ISTEXT(I2309),ISTEXT(J2309)),"⚠ Atrasos u horas extra como texto: escriba hh:mm (ej. 1:30)",IF(AND(ISNUMBER(Q2309),COUNTIFS(M_RUTN,V2309,M_MES,B2309,M_LIQ,"&lt;&gt;")&gt;1),"⚠ Liquidación repetida en el mes",IF(AND(ISNUMBER(O2309),ISNUMBER(P2309),ISNUMBER(Q2309),ABS(O2309-P2309-Q2309)&gt;1),"⚠ Haberes − descuentos no da el líquido","OK"))))))</f>
        <v/>
      </c>
      <c r="V2309" s="62" t="str">
        <f aca="false">IF(C2309="","",IFERROR(VALUE(LEFT(UPPER(SUBSTITUTE(SUBSTITUTE(SUBSTITUTE(TRIM(C2309),".",""),"-","")," ","")),LEN(UPPER(SUBSTITUTE(SUBSTITUTE(SUBSTITUTE(TRIM(C2309),".",""),"-","")," ","")))-1))&amp;RIGHT(UPPER(SUBSTITUTE(SUBSTITUTE(SUBSTITUTE(TRIM(C2309),".",""),"-","")," ","")),1),UPPER(SUBSTITUTE(SUBSTITUTE(SUBSTITUTE(TRIM(C2309),".",""),"-","")," ",""))))</f>
        <v/>
      </c>
    </row>
    <row r="2310" customFormat="false" ht="15" hidden="false" customHeight="false" outlineLevel="0" collapsed="false">
      <c r="B2310" s="80"/>
      <c r="C2310" s="58"/>
      <c r="D2310" s="62" t="str">
        <f aca="false">IF(C2310="","",IFERROR(INDEX(T_NOMBRE,MATCH(V2310,T_RUTN,0)),"⚠ RUT no está en Trabajadores"))</f>
        <v/>
      </c>
      <c r="E2310" s="61"/>
      <c r="F2310" s="61"/>
      <c r="G2310" s="61"/>
      <c r="H2310" s="61"/>
      <c r="I2310" s="81"/>
      <c r="J2310" s="81"/>
      <c r="K2310" s="60"/>
      <c r="L2310" s="60"/>
      <c r="M2310" s="60"/>
      <c r="N2310" s="60"/>
      <c r="O2310" s="60"/>
      <c r="P2310" s="60"/>
      <c r="Q2310" s="60"/>
      <c r="R2310" s="58"/>
      <c r="S2310" s="62" t="str">
        <f aca="false">IF(OR(B2310="",V2310=""),"",IFERROR(INDEX(C_TIPO,MATCH(V2310&amp;"-P"&amp;MAX(1,COUNTIFS(C_RUTN,V2310,C_DEF,"Sí",C_INI,"&lt;="&amp;EOMONTH(B2310,0))),C_CLAVE,0))&amp;"","Sin contrato"))</f>
        <v/>
      </c>
      <c r="T2310" s="63" t="str">
        <f aca="false">IF(OR(B2310="",N(O2310)=0),"",N(O2310)+ROUND(MIN(N(N2310),TOPE_UF*UF_MES)*(TASA_EMP+MUTUAL),0)+ROUND(MIN(N(N2310),TOPE_AFC_UF*UF_MES)*IF(S2310="Indefinido",AFC_INDEF,AFC_PF),0))</f>
        <v/>
      </c>
      <c r="U2310" s="62" t="str">
        <f aca="false">IF(C2310="","",IF(LEFT(D2310,1)="⚠","⚠ RUT no registrado en Trabajadores",IF(B2310="","⚠ Falta el mes",IF(OR(ISTEXT(I2310),ISTEXT(J2310)),"⚠ Atrasos u horas extra como texto: escriba hh:mm (ej. 1:30)",IF(AND(ISNUMBER(Q2310),COUNTIFS(M_RUTN,V2310,M_MES,B2310,M_LIQ,"&lt;&gt;")&gt;1),"⚠ Liquidación repetida en el mes",IF(AND(ISNUMBER(O2310),ISNUMBER(P2310),ISNUMBER(Q2310),ABS(O2310-P2310-Q2310)&gt;1),"⚠ Haberes − descuentos no da el líquido","OK"))))))</f>
        <v/>
      </c>
      <c r="V2310" s="62" t="str">
        <f aca="false">IF(C2310="","",IFERROR(VALUE(LEFT(UPPER(SUBSTITUTE(SUBSTITUTE(SUBSTITUTE(TRIM(C2310),".",""),"-","")," ","")),LEN(UPPER(SUBSTITUTE(SUBSTITUTE(SUBSTITUTE(TRIM(C2310),".",""),"-","")," ","")))-1))&amp;RIGHT(UPPER(SUBSTITUTE(SUBSTITUTE(SUBSTITUTE(TRIM(C2310),".",""),"-","")," ","")),1),UPPER(SUBSTITUTE(SUBSTITUTE(SUBSTITUTE(TRIM(C2310),".",""),"-","")," ",""))))</f>
        <v/>
      </c>
    </row>
    <row r="2311" customFormat="false" ht="15" hidden="false" customHeight="false" outlineLevel="0" collapsed="false">
      <c r="B2311" s="80"/>
      <c r="C2311" s="58"/>
      <c r="D2311" s="62" t="str">
        <f aca="false">IF(C2311="","",IFERROR(INDEX(T_NOMBRE,MATCH(V2311,T_RUTN,0)),"⚠ RUT no está en Trabajadores"))</f>
        <v/>
      </c>
      <c r="E2311" s="61"/>
      <c r="F2311" s="61"/>
      <c r="G2311" s="61"/>
      <c r="H2311" s="61"/>
      <c r="I2311" s="81"/>
      <c r="J2311" s="81"/>
      <c r="K2311" s="60"/>
      <c r="L2311" s="60"/>
      <c r="M2311" s="60"/>
      <c r="N2311" s="60"/>
      <c r="O2311" s="60"/>
      <c r="P2311" s="60"/>
      <c r="Q2311" s="60"/>
      <c r="R2311" s="58"/>
      <c r="S2311" s="62" t="str">
        <f aca="false">IF(OR(B2311="",V2311=""),"",IFERROR(INDEX(C_TIPO,MATCH(V2311&amp;"-P"&amp;MAX(1,COUNTIFS(C_RUTN,V2311,C_DEF,"Sí",C_INI,"&lt;="&amp;EOMONTH(B2311,0))),C_CLAVE,0))&amp;"","Sin contrato"))</f>
        <v/>
      </c>
      <c r="T2311" s="63" t="str">
        <f aca="false">IF(OR(B2311="",N(O2311)=0),"",N(O2311)+ROUND(MIN(N(N2311),TOPE_UF*UF_MES)*(TASA_EMP+MUTUAL),0)+ROUND(MIN(N(N2311),TOPE_AFC_UF*UF_MES)*IF(S2311="Indefinido",AFC_INDEF,AFC_PF),0))</f>
        <v/>
      </c>
      <c r="U2311" s="62" t="str">
        <f aca="false">IF(C2311="","",IF(LEFT(D2311,1)="⚠","⚠ RUT no registrado en Trabajadores",IF(B2311="","⚠ Falta el mes",IF(OR(ISTEXT(I2311),ISTEXT(J2311)),"⚠ Atrasos u horas extra como texto: escriba hh:mm (ej. 1:30)",IF(AND(ISNUMBER(Q2311),COUNTIFS(M_RUTN,V2311,M_MES,B2311,M_LIQ,"&lt;&gt;")&gt;1),"⚠ Liquidación repetida en el mes",IF(AND(ISNUMBER(O2311),ISNUMBER(P2311),ISNUMBER(Q2311),ABS(O2311-P2311-Q2311)&gt;1),"⚠ Haberes − descuentos no da el líquido","OK"))))))</f>
        <v/>
      </c>
      <c r="V2311" s="62" t="str">
        <f aca="false">IF(C2311="","",IFERROR(VALUE(LEFT(UPPER(SUBSTITUTE(SUBSTITUTE(SUBSTITUTE(TRIM(C2311),".",""),"-","")," ","")),LEN(UPPER(SUBSTITUTE(SUBSTITUTE(SUBSTITUTE(TRIM(C2311),".",""),"-","")," ","")))-1))&amp;RIGHT(UPPER(SUBSTITUTE(SUBSTITUTE(SUBSTITUTE(TRIM(C2311),".",""),"-","")," ","")),1),UPPER(SUBSTITUTE(SUBSTITUTE(SUBSTITUTE(TRIM(C2311),".",""),"-","")," ",""))))</f>
        <v/>
      </c>
    </row>
    <row r="2312" customFormat="false" ht="15" hidden="false" customHeight="false" outlineLevel="0" collapsed="false">
      <c r="B2312" s="80"/>
      <c r="C2312" s="58"/>
      <c r="D2312" s="62" t="str">
        <f aca="false">IF(C2312="","",IFERROR(INDEX(T_NOMBRE,MATCH(V2312,T_RUTN,0)),"⚠ RUT no está en Trabajadores"))</f>
        <v/>
      </c>
      <c r="E2312" s="61"/>
      <c r="F2312" s="61"/>
      <c r="G2312" s="61"/>
      <c r="H2312" s="61"/>
      <c r="I2312" s="81"/>
      <c r="J2312" s="81"/>
      <c r="K2312" s="60"/>
      <c r="L2312" s="60"/>
      <c r="M2312" s="60"/>
      <c r="N2312" s="60"/>
      <c r="O2312" s="60"/>
      <c r="P2312" s="60"/>
      <c r="Q2312" s="60"/>
      <c r="R2312" s="58"/>
      <c r="S2312" s="62" t="str">
        <f aca="false">IF(OR(B2312="",V2312=""),"",IFERROR(INDEX(C_TIPO,MATCH(V2312&amp;"-P"&amp;MAX(1,COUNTIFS(C_RUTN,V2312,C_DEF,"Sí",C_INI,"&lt;="&amp;EOMONTH(B2312,0))),C_CLAVE,0))&amp;"","Sin contrato"))</f>
        <v/>
      </c>
      <c r="T2312" s="63" t="str">
        <f aca="false">IF(OR(B2312="",N(O2312)=0),"",N(O2312)+ROUND(MIN(N(N2312),TOPE_UF*UF_MES)*(TASA_EMP+MUTUAL),0)+ROUND(MIN(N(N2312),TOPE_AFC_UF*UF_MES)*IF(S2312="Indefinido",AFC_INDEF,AFC_PF),0))</f>
        <v/>
      </c>
      <c r="U2312" s="62" t="str">
        <f aca="false">IF(C2312="","",IF(LEFT(D2312,1)="⚠","⚠ RUT no registrado en Trabajadores",IF(B2312="","⚠ Falta el mes",IF(OR(ISTEXT(I2312),ISTEXT(J2312)),"⚠ Atrasos u horas extra como texto: escriba hh:mm (ej. 1:30)",IF(AND(ISNUMBER(Q2312),COUNTIFS(M_RUTN,V2312,M_MES,B2312,M_LIQ,"&lt;&gt;")&gt;1),"⚠ Liquidación repetida en el mes",IF(AND(ISNUMBER(O2312),ISNUMBER(P2312),ISNUMBER(Q2312),ABS(O2312-P2312-Q2312)&gt;1),"⚠ Haberes − descuentos no da el líquido","OK"))))))</f>
        <v/>
      </c>
      <c r="V2312" s="62" t="str">
        <f aca="false">IF(C2312="","",IFERROR(VALUE(LEFT(UPPER(SUBSTITUTE(SUBSTITUTE(SUBSTITUTE(TRIM(C2312),".",""),"-","")," ","")),LEN(UPPER(SUBSTITUTE(SUBSTITUTE(SUBSTITUTE(TRIM(C2312),".",""),"-","")," ","")))-1))&amp;RIGHT(UPPER(SUBSTITUTE(SUBSTITUTE(SUBSTITUTE(TRIM(C2312),".",""),"-","")," ","")),1),UPPER(SUBSTITUTE(SUBSTITUTE(SUBSTITUTE(TRIM(C2312),".",""),"-","")," ",""))))</f>
        <v/>
      </c>
    </row>
    <row r="2313" customFormat="false" ht="15" hidden="false" customHeight="false" outlineLevel="0" collapsed="false">
      <c r="B2313" s="80"/>
      <c r="C2313" s="58"/>
      <c r="D2313" s="62" t="str">
        <f aca="false">IF(C2313="","",IFERROR(INDEX(T_NOMBRE,MATCH(V2313,T_RUTN,0)),"⚠ RUT no está en Trabajadores"))</f>
        <v/>
      </c>
      <c r="E2313" s="61"/>
      <c r="F2313" s="61"/>
      <c r="G2313" s="61"/>
      <c r="H2313" s="61"/>
      <c r="I2313" s="81"/>
      <c r="J2313" s="81"/>
      <c r="K2313" s="60"/>
      <c r="L2313" s="60"/>
      <c r="M2313" s="60"/>
      <c r="N2313" s="60"/>
      <c r="O2313" s="60"/>
      <c r="P2313" s="60"/>
      <c r="Q2313" s="60"/>
      <c r="R2313" s="58"/>
      <c r="S2313" s="62" t="str">
        <f aca="false">IF(OR(B2313="",V2313=""),"",IFERROR(INDEX(C_TIPO,MATCH(V2313&amp;"-P"&amp;MAX(1,COUNTIFS(C_RUTN,V2313,C_DEF,"Sí",C_INI,"&lt;="&amp;EOMONTH(B2313,0))),C_CLAVE,0))&amp;"","Sin contrato"))</f>
        <v/>
      </c>
      <c r="T2313" s="63" t="str">
        <f aca="false">IF(OR(B2313="",N(O2313)=0),"",N(O2313)+ROUND(MIN(N(N2313),TOPE_UF*UF_MES)*(TASA_EMP+MUTUAL),0)+ROUND(MIN(N(N2313),TOPE_AFC_UF*UF_MES)*IF(S2313="Indefinido",AFC_INDEF,AFC_PF),0))</f>
        <v/>
      </c>
      <c r="U2313" s="62" t="str">
        <f aca="false">IF(C2313="","",IF(LEFT(D2313,1)="⚠","⚠ RUT no registrado en Trabajadores",IF(B2313="","⚠ Falta el mes",IF(OR(ISTEXT(I2313),ISTEXT(J2313)),"⚠ Atrasos u horas extra como texto: escriba hh:mm (ej. 1:30)",IF(AND(ISNUMBER(Q2313),COUNTIFS(M_RUTN,V2313,M_MES,B2313,M_LIQ,"&lt;&gt;")&gt;1),"⚠ Liquidación repetida en el mes",IF(AND(ISNUMBER(O2313),ISNUMBER(P2313),ISNUMBER(Q2313),ABS(O2313-P2313-Q2313)&gt;1),"⚠ Haberes − descuentos no da el líquido","OK"))))))</f>
        <v/>
      </c>
      <c r="V2313" s="62" t="str">
        <f aca="false">IF(C2313="","",IFERROR(VALUE(LEFT(UPPER(SUBSTITUTE(SUBSTITUTE(SUBSTITUTE(TRIM(C2313),".",""),"-","")," ","")),LEN(UPPER(SUBSTITUTE(SUBSTITUTE(SUBSTITUTE(TRIM(C2313),".",""),"-","")," ","")))-1))&amp;RIGHT(UPPER(SUBSTITUTE(SUBSTITUTE(SUBSTITUTE(TRIM(C2313),".",""),"-","")," ","")),1),UPPER(SUBSTITUTE(SUBSTITUTE(SUBSTITUTE(TRIM(C2313),".",""),"-","")," ",""))))</f>
        <v/>
      </c>
    </row>
    <row r="2314" customFormat="false" ht="15" hidden="false" customHeight="false" outlineLevel="0" collapsed="false">
      <c r="B2314" s="80"/>
      <c r="C2314" s="58"/>
      <c r="D2314" s="62" t="str">
        <f aca="false">IF(C2314="","",IFERROR(INDEX(T_NOMBRE,MATCH(V2314,T_RUTN,0)),"⚠ RUT no está en Trabajadores"))</f>
        <v/>
      </c>
      <c r="E2314" s="61"/>
      <c r="F2314" s="61"/>
      <c r="G2314" s="61"/>
      <c r="H2314" s="61"/>
      <c r="I2314" s="81"/>
      <c r="J2314" s="81"/>
      <c r="K2314" s="60"/>
      <c r="L2314" s="60"/>
      <c r="M2314" s="60"/>
      <c r="N2314" s="60"/>
      <c r="O2314" s="60"/>
      <c r="P2314" s="60"/>
      <c r="Q2314" s="60"/>
      <c r="R2314" s="58"/>
      <c r="S2314" s="62" t="str">
        <f aca="false">IF(OR(B2314="",V2314=""),"",IFERROR(INDEX(C_TIPO,MATCH(V2314&amp;"-P"&amp;MAX(1,COUNTIFS(C_RUTN,V2314,C_DEF,"Sí",C_INI,"&lt;="&amp;EOMONTH(B2314,0))),C_CLAVE,0))&amp;"","Sin contrato"))</f>
        <v/>
      </c>
      <c r="T2314" s="63" t="str">
        <f aca="false">IF(OR(B2314="",N(O2314)=0),"",N(O2314)+ROUND(MIN(N(N2314),TOPE_UF*UF_MES)*(TASA_EMP+MUTUAL),0)+ROUND(MIN(N(N2314),TOPE_AFC_UF*UF_MES)*IF(S2314="Indefinido",AFC_INDEF,AFC_PF),0))</f>
        <v/>
      </c>
      <c r="U2314" s="62" t="str">
        <f aca="false">IF(C2314="","",IF(LEFT(D2314,1)="⚠","⚠ RUT no registrado en Trabajadores",IF(B2314="","⚠ Falta el mes",IF(OR(ISTEXT(I2314),ISTEXT(J2314)),"⚠ Atrasos u horas extra como texto: escriba hh:mm (ej. 1:30)",IF(AND(ISNUMBER(Q2314),COUNTIFS(M_RUTN,V2314,M_MES,B2314,M_LIQ,"&lt;&gt;")&gt;1),"⚠ Liquidación repetida en el mes",IF(AND(ISNUMBER(O2314),ISNUMBER(P2314),ISNUMBER(Q2314),ABS(O2314-P2314-Q2314)&gt;1),"⚠ Haberes − descuentos no da el líquido","OK"))))))</f>
        <v/>
      </c>
      <c r="V2314" s="62" t="str">
        <f aca="false">IF(C2314="","",IFERROR(VALUE(LEFT(UPPER(SUBSTITUTE(SUBSTITUTE(SUBSTITUTE(TRIM(C2314),".",""),"-","")," ","")),LEN(UPPER(SUBSTITUTE(SUBSTITUTE(SUBSTITUTE(TRIM(C2314),".",""),"-","")," ","")))-1))&amp;RIGHT(UPPER(SUBSTITUTE(SUBSTITUTE(SUBSTITUTE(TRIM(C2314),".",""),"-","")," ","")),1),UPPER(SUBSTITUTE(SUBSTITUTE(SUBSTITUTE(TRIM(C2314),".",""),"-","")," ",""))))</f>
        <v/>
      </c>
    </row>
    <row r="2315" customFormat="false" ht="15" hidden="false" customHeight="false" outlineLevel="0" collapsed="false">
      <c r="B2315" s="80"/>
      <c r="C2315" s="58"/>
      <c r="D2315" s="62" t="str">
        <f aca="false">IF(C2315="","",IFERROR(INDEX(T_NOMBRE,MATCH(V2315,T_RUTN,0)),"⚠ RUT no está en Trabajadores"))</f>
        <v/>
      </c>
      <c r="E2315" s="61"/>
      <c r="F2315" s="61"/>
      <c r="G2315" s="61"/>
      <c r="H2315" s="61"/>
      <c r="I2315" s="81"/>
      <c r="J2315" s="81"/>
      <c r="K2315" s="60"/>
      <c r="L2315" s="60"/>
      <c r="M2315" s="60"/>
      <c r="N2315" s="60"/>
      <c r="O2315" s="60"/>
      <c r="P2315" s="60"/>
      <c r="Q2315" s="60"/>
      <c r="R2315" s="58"/>
      <c r="S2315" s="62" t="str">
        <f aca="false">IF(OR(B2315="",V2315=""),"",IFERROR(INDEX(C_TIPO,MATCH(V2315&amp;"-P"&amp;MAX(1,COUNTIFS(C_RUTN,V2315,C_DEF,"Sí",C_INI,"&lt;="&amp;EOMONTH(B2315,0))),C_CLAVE,0))&amp;"","Sin contrato"))</f>
        <v/>
      </c>
      <c r="T2315" s="63" t="str">
        <f aca="false">IF(OR(B2315="",N(O2315)=0),"",N(O2315)+ROUND(MIN(N(N2315),TOPE_UF*UF_MES)*(TASA_EMP+MUTUAL),0)+ROUND(MIN(N(N2315),TOPE_AFC_UF*UF_MES)*IF(S2315="Indefinido",AFC_INDEF,AFC_PF),0))</f>
        <v/>
      </c>
      <c r="U2315" s="62" t="str">
        <f aca="false">IF(C2315="","",IF(LEFT(D2315,1)="⚠","⚠ RUT no registrado en Trabajadores",IF(B2315="","⚠ Falta el mes",IF(OR(ISTEXT(I2315),ISTEXT(J2315)),"⚠ Atrasos u horas extra como texto: escriba hh:mm (ej. 1:30)",IF(AND(ISNUMBER(Q2315),COUNTIFS(M_RUTN,V2315,M_MES,B2315,M_LIQ,"&lt;&gt;")&gt;1),"⚠ Liquidación repetida en el mes",IF(AND(ISNUMBER(O2315),ISNUMBER(P2315),ISNUMBER(Q2315),ABS(O2315-P2315-Q2315)&gt;1),"⚠ Haberes − descuentos no da el líquido","OK"))))))</f>
        <v/>
      </c>
      <c r="V2315" s="62" t="str">
        <f aca="false">IF(C2315="","",IFERROR(VALUE(LEFT(UPPER(SUBSTITUTE(SUBSTITUTE(SUBSTITUTE(TRIM(C2315),".",""),"-","")," ","")),LEN(UPPER(SUBSTITUTE(SUBSTITUTE(SUBSTITUTE(TRIM(C2315),".",""),"-","")," ","")))-1))&amp;RIGHT(UPPER(SUBSTITUTE(SUBSTITUTE(SUBSTITUTE(TRIM(C2315),".",""),"-","")," ","")),1),UPPER(SUBSTITUTE(SUBSTITUTE(SUBSTITUTE(TRIM(C2315),".",""),"-","")," ",""))))</f>
        <v/>
      </c>
    </row>
    <row r="2316" customFormat="false" ht="15" hidden="false" customHeight="false" outlineLevel="0" collapsed="false">
      <c r="B2316" s="80"/>
      <c r="C2316" s="58"/>
      <c r="D2316" s="62" t="str">
        <f aca="false">IF(C2316="","",IFERROR(INDEX(T_NOMBRE,MATCH(V2316,T_RUTN,0)),"⚠ RUT no está en Trabajadores"))</f>
        <v/>
      </c>
      <c r="E2316" s="61"/>
      <c r="F2316" s="61"/>
      <c r="G2316" s="61"/>
      <c r="H2316" s="61"/>
      <c r="I2316" s="81"/>
      <c r="J2316" s="81"/>
      <c r="K2316" s="60"/>
      <c r="L2316" s="60"/>
      <c r="M2316" s="60"/>
      <c r="N2316" s="60"/>
      <c r="O2316" s="60"/>
      <c r="P2316" s="60"/>
      <c r="Q2316" s="60"/>
      <c r="R2316" s="58"/>
      <c r="S2316" s="62" t="str">
        <f aca="false">IF(OR(B2316="",V2316=""),"",IFERROR(INDEX(C_TIPO,MATCH(V2316&amp;"-P"&amp;MAX(1,COUNTIFS(C_RUTN,V2316,C_DEF,"Sí",C_INI,"&lt;="&amp;EOMONTH(B2316,0))),C_CLAVE,0))&amp;"","Sin contrato"))</f>
        <v/>
      </c>
      <c r="T2316" s="63" t="str">
        <f aca="false">IF(OR(B2316="",N(O2316)=0),"",N(O2316)+ROUND(MIN(N(N2316),TOPE_UF*UF_MES)*(TASA_EMP+MUTUAL),0)+ROUND(MIN(N(N2316),TOPE_AFC_UF*UF_MES)*IF(S2316="Indefinido",AFC_INDEF,AFC_PF),0))</f>
        <v/>
      </c>
      <c r="U2316" s="62" t="str">
        <f aca="false">IF(C2316="","",IF(LEFT(D2316,1)="⚠","⚠ RUT no registrado en Trabajadores",IF(B2316="","⚠ Falta el mes",IF(OR(ISTEXT(I2316),ISTEXT(J2316)),"⚠ Atrasos u horas extra como texto: escriba hh:mm (ej. 1:30)",IF(AND(ISNUMBER(Q2316),COUNTIFS(M_RUTN,V2316,M_MES,B2316,M_LIQ,"&lt;&gt;")&gt;1),"⚠ Liquidación repetida en el mes",IF(AND(ISNUMBER(O2316),ISNUMBER(P2316),ISNUMBER(Q2316),ABS(O2316-P2316-Q2316)&gt;1),"⚠ Haberes − descuentos no da el líquido","OK"))))))</f>
        <v/>
      </c>
      <c r="V2316" s="62" t="str">
        <f aca="false">IF(C2316="","",IFERROR(VALUE(LEFT(UPPER(SUBSTITUTE(SUBSTITUTE(SUBSTITUTE(TRIM(C2316),".",""),"-","")," ","")),LEN(UPPER(SUBSTITUTE(SUBSTITUTE(SUBSTITUTE(TRIM(C2316),".",""),"-","")," ","")))-1))&amp;RIGHT(UPPER(SUBSTITUTE(SUBSTITUTE(SUBSTITUTE(TRIM(C2316),".",""),"-","")," ","")),1),UPPER(SUBSTITUTE(SUBSTITUTE(SUBSTITUTE(TRIM(C2316),".",""),"-","")," ",""))))</f>
        <v/>
      </c>
    </row>
    <row r="2317" customFormat="false" ht="15" hidden="false" customHeight="false" outlineLevel="0" collapsed="false">
      <c r="B2317" s="80"/>
      <c r="C2317" s="58"/>
      <c r="D2317" s="62" t="str">
        <f aca="false">IF(C2317="","",IFERROR(INDEX(T_NOMBRE,MATCH(V2317,T_RUTN,0)),"⚠ RUT no está en Trabajadores"))</f>
        <v/>
      </c>
      <c r="E2317" s="61"/>
      <c r="F2317" s="61"/>
      <c r="G2317" s="61"/>
      <c r="H2317" s="61"/>
      <c r="I2317" s="81"/>
      <c r="J2317" s="81"/>
      <c r="K2317" s="60"/>
      <c r="L2317" s="60"/>
      <c r="M2317" s="60"/>
      <c r="N2317" s="60"/>
      <c r="O2317" s="60"/>
      <c r="P2317" s="60"/>
      <c r="Q2317" s="60"/>
      <c r="R2317" s="58"/>
      <c r="S2317" s="62" t="str">
        <f aca="false">IF(OR(B2317="",V2317=""),"",IFERROR(INDEX(C_TIPO,MATCH(V2317&amp;"-P"&amp;MAX(1,COUNTIFS(C_RUTN,V2317,C_DEF,"Sí",C_INI,"&lt;="&amp;EOMONTH(B2317,0))),C_CLAVE,0))&amp;"","Sin contrato"))</f>
        <v/>
      </c>
      <c r="T2317" s="63" t="str">
        <f aca="false">IF(OR(B2317="",N(O2317)=0),"",N(O2317)+ROUND(MIN(N(N2317),TOPE_UF*UF_MES)*(TASA_EMP+MUTUAL),0)+ROUND(MIN(N(N2317),TOPE_AFC_UF*UF_MES)*IF(S2317="Indefinido",AFC_INDEF,AFC_PF),0))</f>
        <v/>
      </c>
      <c r="U2317" s="62" t="str">
        <f aca="false">IF(C2317="","",IF(LEFT(D2317,1)="⚠","⚠ RUT no registrado en Trabajadores",IF(B2317="","⚠ Falta el mes",IF(OR(ISTEXT(I2317),ISTEXT(J2317)),"⚠ Atrasos u horas extra como texto: escriba hh:mm (ej. 1:30)",IF(AND(ISNUMBER(Q2317),COUNTIFS(M_RUTN,V2317,M_MES,B2317,M_LIQ,"&lt;&gt;")&gt;1),"⚠ Liquidación repetida en el mes",IF(AND(ISNUMBER(O2317),ISNUMBER(P2317),ISNUMBER(Q2317),ABS(O2317-P2317-Q2317)&gt;1),"⚠ Haberes − descuentos no da el líquido","OK"))))))</f>
        <v/>
      </c>
      <c r="V2317" s="62" t="str">
        <f aca="false">IF(C2317="","",IFERROR(VALUE(LEFT(UPPER(SUBSTITUTE(SUBSTITUTE(SUBSTITUTE(TRIM(C2317),".",""),"-","")," ","")),LEN(UPPER(SUBSTITUTE(SUBSTITUTE(SUBSTITUTE(TRIM(C2317),".",""),"-","")," ","")))-1))&amp;RIGHT(UPPER(SUBSTITUTE(SUBSTITUTE(SUBSTITUTE(TRIM(C2317),".",""),"-","")," ","")),1),UPPER(SUBSTITUTE(SUBSTITUTE(SUBSTITUTE(TRIM(C2317),".",""),"-","")," ",""))))</f>
        <v/>
      </c>
    </row>
    <row r="2318" customFormat="false" ht="15" hidden="false" customHeight="false" outlineLevel="0" collapsed="false">
      <c r="B2318" s="80"/>
      <c r="C2318" s="58"/>
      <c r="D2318" s="62" t="str">
        <f aca="false">IF(C2318="","",IFERROR(INDEX(T_NOMBRE,MATCH(V2318,T_RUTN,0)),"⚠ RUT no está en Trabajadores"))</f>
        <v/>
      </c>
      <c r="E2318" s="61"/>
      <c r="F2318" s="61"/>
      <c r="G2318" s="61"/>
      <c r="H2318" s="61"/>
      <c r="I2318" s="81"/>
      <c r="J2318" s="81"/>
      <c r="K2318" s="60"/>
      <c r="L2318" s="60"/>
      <c r="M2318" s="60"/>
      <c r="N2318" s="60"/>
      <c r="O2318" s="60"/>
      <c r="P2318" s="60"/>
      <c r="Q2318" s="60"/>
      <c r="R2318" s="58"/>
      <c r="S2318" s="62" t="str">
        <f aca="false">IF(OR(B2318="",V2318=""),"",IFERROR(INDEX(C_TIPO,MATCH(V2318&amp;"-P"&amp;MAX(1,COUNTIFS(C_RUTN,V2318,C_DEF,"Sí",C_INI,"&lt;="&amp;EOMONTH(B2318,0))),C_CLAVE,0))&amp;"","Sin contrato"))</f>
        <v/>
      </c>
      <c r="T2318" s="63" t="str">
        <f aca="false">IF(OR(B2318="",N(O2318)=0),"",N(O2318)+ROUND(MIN(N(N2318),TOPE_UF*UF_MES)*(TASA_EMP+MUTUAL),0)+ROUND(MIN(N(N2318),TOPE_AFC_UF*UF_MES)*IF(S2318="Indefinido",AFC_INDEF,AFC_PF),0))</f>
        <v/>
      </c>
      <c r="U2318" s="62" t="str">
        <f aca="false">IF(C2318="","",IF(LEFT(D2318,1)="⚠","⚠ RUT no registrado en Trabajadores",IF(B2318="","⚠ Falta el mes",IF(OR(ISTEXT(I2318),ISTEXT(J2318)),"⚠ Atrasos u horas extra como texto: escriba hh:mm (ej. 1:30)",IF(AND(ISNUMBER(Q2318),COUNTIFS(M_RUTN,V2318,M_MES,B2318,M_LIQ,"&lt;&gt;")&gt;1),"⚠ Liquidación repetida en el mes",IF(AND(ISNUMBER(O2318),ISNUMBER(P2318),ISNUMBER(Q2318),ABS(O2318-P2318-Q2318)&gt;1),"⚠ Haberes − descuentos no da el líquido","OK"))))))</f>
        <v/>
      </c>
      <c r="V2318" s="62" t="str">
        <f aca="false">IF(C2318="","",IFERROR(VALUE(LEFT(UPPER(SUBSTITUTE(SUBSTITUTE(SUBSTITUTE(TRIM(C2318),".",""),"-","")," ","")),LEN(UPPER(SUBSTITUTE(SUBSTITUTE(SUBSTITUTE(TRIM(C2318),".",""),"-","")," ","")))-1))&amp;RIGHT(UPPER(SUBSTITUTE(SUBSTITUTE(SUBSTITUTE(TRIM(C2318),".",""),"-","")," ","")),1),UPPER(SUBSTITUTE(SUBSTITUTE(SUBSTITUTE(TRIM(C2318),".",""),"-","")," ",""))))</f>
        <v/>
      </c>
    </row>
    <row r="2319" customFormat="false" ht="15" hidden="false" customHeight="false" outlineLevel="0" collapsed="false">
      <c r="B2319" s="80"/>
      <c r="C2319" s="58"/>
      <c r="D2319" s="62" t="str">
        <f aca="false">IF(C2319="","",IFERROR(INDEX(T_NOMBRE,MATCH(V2319,T_RUTN,0)),"⚠ RUT no está en Trabajadores"))</f>
        <v/>
      </c>
      <c r="E2319" s="61"/>
      <c r="F2319" s="61"/>
      <c r="G2319" s="61"/>
      <c r="H2319" s="61"/>
      <c r="I2319" s="81"/>
      <c r="J2319" s="81"/>
      <c r="K2319" s="60"/>
      <c r="L2319" s="60"/>
      <c r="M2319" s="60"/>
      <c r="N2319" s="60"/>
      <c r="O2319" s="60"/>
      <c r="P2319" s="60"/>
      <c r="Q2319" s="60"/>
      <c r="R2319" s="58"/>
      <c r="S2319" s="62" t="str">
        <f aca="false">IF(OR(B2319="",V2319=""),"",IFERROR(INDEX(C_TIPO,MATCH(V2319&amp;"-P"&amp;MAX(1,COUNTIFS(C_RUTN,V2319,C_DEF,"Sí",C_INI,"&lt;="&amp;EOMONTH(B2319,0))),C_CLAVE,0))&amp;"","Sin contrato"))</f>
        <v/>
      </c>
      <c r="T2319" s="63" t="str">
        <f aca="false">IF(OR(B2319="",N(O2319)=0),"",N(O2319)+ROUND(MIN(N(N2319),TOPE_UF*UF_MES)*(TASA_EMP+MUTUAL),0)+ROUND(MIN(N(N2319),TOPE_AFC_UF*UF_MES)*IF(S2319="Indefinido",AFC_INDEF,AFC_PF),0))</f>
        <v/>
      </c>
      <c r="U2319" s="62" t="str">
        <f aca="false">IF(C2319="","",IF(LEFT(D2319,1)="⚠","⚠ RUT no registrado en Trabajadores",IF(B2319="","⚠ Falta el mes",IF(OR(ISTEXT(I2319),ISTEXT(J2319)),"⚠ Atrasos u horas extra como texto: escriba hh:mm (ej. 1:30)",IF(AND(ISNUMBER(Q2319),COUNTIFS(M_RUTN,V2319,M_MES,B2319,M_LIQ,"&lt;&gt;")&gt;1),"⚠ Liquidación repetida en el mes",IF(AND(ISNUMBER(O2319),ISNUMBER(P2319),ISNUMBER(Q2319),ABS(O2319-P2319-Q2319)&gt;1),"⚠ Haberes − descuentos no da el líquido","OK"))))))</f>
        <v/>
      </c>
      <c r="V2319" s="62" t="str">
        <f aca="false">IF(C2319="","",IFERROR(VALUE(LEFT(UPPER(SUBSTITUTE(SUBSTITUTE(SUBSTITUTE(TRIM(C2319),".",""),"-","")," ","")),LEN(UPPER(SUBSTITUTE(SUBSTITUTE(SUBSTITUTE(TRIM(C2319),".",""),"-","")," ","")))-1))&amp;RIGHT(UPPER(SUBSTITUTE(SUBSTITUTE(SUBSTITUTE(TRIM(C2319),".",""),"-","")," ","")),1),UPPER(SUBSTITUTE(SUBSTITUTE(SUBSTITUTE(TRIM(C2319),".",""),"-","")," ",""))))</f>
        <v/>
      </c>
    </row>
    <row r="2320" customFormat="false" ht="15" hidden="false" customHeight="false" outlineLevel="0" collapsed="false">
      <c r="B2320" s="80"/>
      <c r="C2320" s="58"/>
      <c r="D2320" s="62" t="str">
        <f aca="false">IF(C2320="","",IFERROR(INDEX(T_NOMBRE,MATCH(V2320,T_RUTN,0)),"⚠ RUT no está en Trabajadores"))</f>
        <v/>
      </c>
      <c r="E2320" s="61"/>
      <c r="F2320" s="61"/>
      <c r="G2320" s="61"/>
      <c r="H2320" s="61"/>
      <c r="I2320" s="81"/>
      <c r="J2320" s="81"/>
      <c r="K2320" s="60"/>
      <c r="L2320" s="60"/>
      <c r="M2320" s="60"/>
      <c r="N2320" s="60"/>
      <c r="O2320" s="60"/>
      <c r="P2320" s="60"/>
      <c r="Q2320" s="60"/>
      <c r="R2320" s="58"/>
      <c r="S2320" s="62" t="str">
        <f aca="false">IF(OR(B2320="",V2320=""),"",IFERROR(INDEX(C_TIPO,MATCH(V2320&amp;"-P"&amp;MAX(1,COUNTIFS(C_RUTN,V2320,C_DEF,"Sí",C_INI,"&lt;="&amp;EOMONTH(B2320,0))),C_CLAVE,0))&amp;"","Sin contrato"))</f>
        <v/>
      </c>
      <c r="T2320" s="63" t="str">
        <f aca="false">IF(OR(B2320="",N(O2320)=0),"",N(O2320)+ROUND(MIN(N(N2320),TOPE_UF*UF_MES)*(TASA_EMP+MUTUAL),0)+ROUND(MIN(N(N2320),TOPE_AFC_UF*UF_MES)*IF(S2320="Indefinido",AFC_INDEF,AFC_PF),0))</f>
        <v/>
      </c>
      <c r="U2320" s="62" t="str">
        <f aca="false">IF(C2320="","",IF(LEFT(D2320,1)="⚠","⚠ RUT no registrado en Trabajadores",IF(B2320="","⚠ Falta el mes",IF(OR(ISTEXT(I2320),ISTEXT(J2320)),"⚠ Atrasos u horas extra como texto: escriba hh:mm (ej. 1:30)",IF(AND(ISNUMBER(Q2320),COUNTIFS(M_RUTN,V2320,M_MES,B2320,M_LIQ,"&lt;&gt;")&gt;1),"⚠ Liquidación repetida en el mes",IF(AND(ISNUMBER(O2320),ISNUMBER(P2320),ISNUMBER(Q2320),ABS(O2320-P2320-Q2320)&gt;1),"⚠ Haberes − descuentos no da el líquido","OK"))))))</f>
        <v/>
      </c>
      <c r="V2320" s="62" t="str">
        <f aca="false">IF(C2320="","",IFERROR(VALUE(LEFT(UPPER(SUBSTITUTE(SUBSTITUTE(SUBSTITUTE(TRIM(C2320),".",""),"-","")," ","")),LEN(UPPER(SUBSTITUTE(SUBSTITUTE(SUBSTITUTE(TRIM(C2320),".",""),"-","")," ","")))-1))&amp;RIGHT(UPPER(SUBSTITUTE(SUBSTITUTE(SUBSTITUTE(TRIM(C2320),".",""),"-","")," ","")),1),UPPER(SUBSTITUTE(SUBSTITUTE(SUBSTITUTE(TRIM(C2320),".",""),"-","")," ",""))))</f>
        <v/>
      </c>
    </row>
    <row r="2321" customFormat="false" ht="15" hidden="false" customHeight="false" outlineLevel="0" collapsed="false">
      <c r="B2321" s="80"/>
      <c r="C2321" s="58"/>
      <c r="D2321" s="62" t="str">
        <f aca="false">IF(C2321="","",IFERROR(INDEX(T_NOMBRE,MATCH(V2321,T_RUTN,0)),"⚠ RUT no está en Trabajadores"))</f>
        <v/>
      </c>
      <c r="E2321" s="61"/>
      <c r="F2321" s="61"/>
      <c r="G2321" s="61"/>
      <c r="H2321" s="61"/>
      <c r="I2321" s="81"/>
      <c r="J2321" s="81"/>
      <c r="K2321" s="60"/>
      <c r="L2321" s="60"/>
      <c r="M2321" s="60"/>
      <c r="N2321" s="60"/>
      <c r="O2321" s="60"/>
      <c r="P2321" s="60"/>
      <c r="Q2321" s="60"/>
      <c r="R2321" s="58"/>
      <c r="S2321" s="62" t="str">
        <f aca="false">IF(OR(B2321="",V2321=""),"",IFERROR(INDEX(C_TIPO,MATCH(V2321&amp;"-P"&amp;MAX(1,COUNTIFS(C_RUTN,V2321,C_DEF,"Sí",C_INI,"&lt;="&amp;EOMONTH(B2321,0))),C_CLAVE,0))&amp;"","Sin contrato"))</f>
        <v/>
      </c>
      <c r="T2321" s="63" t="str">
        <f aca="false">IF(OR(B2321="",N(O2321)=0),"",N(O2321)+ROUND(MIN(N(N2321),TOPE_UF*UF_MES)*(TASA_EMP+MUTUAL),0)+ROUND(MIN(N(N2321),TOPE_AFC_UF*UF_MES)*IF(S2321="Indefinido",AFC_INDEF,AFC_PF),0))</f>
        <v/>
      </c>
      <c r="U2321" s="62" t="str">
        <f aca="false">IF(C2321="","",IF(LEFT(D2321,1)="⚠","⚠ RUT no registrado en Trabajadores",IF(B2321="","⚠ Falta el mes",IF(OR(ISTEXT(I2321),ISTEXT(J2321)),"⚠ Atrasos u horas extra como texto: escriba hh:mm (ej. 1:30)",IF(AND(ISNUMBER(Q2321),COUNTIFS(M_RUTN,V2321,M_MES,B2321,M_LIQ,"&lt;&gt;")&gt;1),"⚠ Liquidación repetida en el mes",IF(AND(ISNUMBER(O2321),ISNUMBER(P2321),ISNUMBER(Q2321),ABS(O2321-P2321-Q2321)&gt;1),"⚠ Haberes − descuentos no da el líquido","OK"))))))</f>
        <v/>
      </c>
      <c r="V2321" s="62" t="str">
        <f aca="false">IF(C2321="","",IFERROR(VALUE(LEFT(UPPER(SUBSTITUTE(SUBSTITUTE(SUBSTITUTE(TRIM(C2321),".",""),"-","")," ","")),LEN(UPPER(SUBSTITUTE(SUBSTITUTE(SUBSTITUTE(TRIM(C2321),".",""),"-","")," ","")))-1))&amp;RIGHT(UPPER(SUBSTITUTE(SUBSTITUTE(SUBSTITUTE(TRIM(C2321),".",""),"-","")," ","")),1),UPPER(SUBSTITUTE(SUBSTITUTE(SUBSTITUTE(TRIM(C2321),".",""),"-","")," ",""))))</f>
        <v/>
      </c>
    </row>
    <row r="2322" customFormat="false" ht="15" hidden="false" customHeight="false" outlineLevel="0" collapsed="false">
      <c r="B2322" s="80"/>
      <c r="C2322" s="58"/>
      <c r="D2322" s="62" t="str">
        <f aca="false">IF(C2322="","",IFERROR(INDEX(T_NOMBRE,MATCH(V2322,T_RUTN,0)),"⚠ RUT no está en Trabajadores"))</f>
        <v/>
      </c>
      <c r="E2322" s="61"/>
      <c r="F2322" s="61"/>
      <c r="G2322" s="61"/>
      <c r="H2322" s="61"/>
      <c r="I2322" s="81"/>
      <c r="J2322" s="81"/>
      <c r="K2322" s="60"/>
      <c r="L2322" s="60"/>
      <c r="M2322" s="60"/>
      <c r="N2322" s="60"/>
      <c r="O2322" s="60"/>
      <c r="P2322" s="60"/>
      <c r="Q2322" s="60"/>
      <c r="R2322" s="58"/>
      <c r="S2322" s="62" t="str">
        <f aca="false">IF(OR(B2322="",V2322=""),"",IFERROR(INDEX(C_TIPO,MATCH(V2322&amp;"-P"&amp;MAX(1,COUNTIFS(C_RUTN,V2322,C_DEF,"Sí",C_INI,"&lt;="&amp;EOMONTH(B2322,0))),C_CLAVE,0))&amp;"","Sin contrato"))</f>
        <v/>
      </c>
      <c r="T2322" s="63" t="str">
        <f aca="false">IF(OR(B2322="",N(O2322)=0),"",N(O2322)+ROUND(MIN(N(N2322),TOPE_UF*UF_MES)*(TASA_EMP+MUTUAL),0)+ROUND(MIN(N(N2322),TOPE_AFC_UF*UF_MES)*IF(S2322="Indefinido",AFC_INDEF,AFC_PF),0))</f>
        <v/>
      </c>
      <c r="U2322" s="62" t="str">
        <f aca="false">IF(C2322="","",IF(LEFT(D2322,1)="⚠","⚠ RUT no registrado en Trabajadores",IF(B2322="","⚠ Falta el mes",IF(OR(ISTEXT(I2322),ISTEXT(J2322)),"⚠ Atrasos u horas extra como texto: escriba hh:mm (ej. 1:30)",IF(AND(ISNUMBER(Q2322),COUNTIFS(M_RUTN,V2322,M_MES,B2322,M_LIQ,"&lt;&gt;")&gt;1),"⚠ Liquidación repetida en el mes",IF(AND(ISNUMBER(O2322),ISNUMBER(P2322),ISNUMBER(Q2322),ABS(O2322-P2322-Q2322)&gt;1),"⚠ Haberes − descuentos no da el líquido","OK"))))))</f>
        <v/>
      </c>
      <c r="V2322" s="62" t="str">
        <f aca="false">IF(C2322="","",IFERROR(VALUE(LEFT(UPPER(SUBSTITUTE(SUBSTITUTE(SUBSTITUTE(TRIM(C2322),".",""),"-","")," ","")),LEN(UPPER(SUBSTITUTE(SUBSTITUTE(SUBSTITUTE(TRIM(C2322),".",""),"-","")," ","")))-1))&amp;RIGHT(UPPER(SUBSTITUTE(SUBSTITUTE(SUBSTITUTE(TRIM(C2322),".",""),"-","")," ","")),1),UPPER(SUBSTITUTE(SUBSTITUTE(SUBSTITUTE(TRIM(C2322),".",""),"-","")," ",""))))</f>
        <v/>
      </c>
    </row>
    <row r="2323" customFormat="false" ht="15" hidden="false" customHeight="false" outlineLevel="0" collapsed="false">
      <c r="B2323" s="80"/>
      <c r="C2323" s="58"/>
      <c r="D2323" s="62" t="str">
        <f aca="false">IF(C2323="","",IFERROR(INDEX(T_NOMBRE,MATCH(V2323,T_RUTN,0)),"⚠ RUT no está en Trabajadores"))</f>
        <v/>
      </c>
      <c r="E2323" s="61"/>
      <c r="F2323" s="61"/>
      <c r="G2323" s="61"/>
      <c r="H2323" s="61"/>
      <c r="I2323" s="81"/>
      <c r="J2323" s="81"/>
      <c r="K2323" s="60"/>
      <c r="L2323" s="60"/>
      <c r="M2323" s="60"/>
      <c r="N2323" s="60"/>
      <c r="O2323" s="60"/>
      <c r="P2323" s="60"/>
      <c r="Q2323" s="60"/>
      <c r="R2323" s="58"/>
      <c r="S2323" s="62" t="str">
        <f aca="false">IF(OR(B2323="",V2323=""),"",IFERROR(INDEX(C_TIPO,MATCH(V2323&amp;"-P"&amp;MAX(1,COUNTIFS(C_RUTN,V2323,C_DEF,"Sí",C_INI,"&lt;="&amp;EOMONTH(B2323,0))),C_CLAVE,0))&amp;"","Sin contrato"))</f>
        <v/>
      </c>
      <c r="T2323" s="63" t="str">
        <f aca="false">IF(OR(B2323="",N(O2323)=0),"",N(O2323)+ROUND(MIN(N(N2323),TOPE_UF*UF_MES)*(TASA_EMP+MUTUAL),0)+ROUND(MIN(N(N2323),TOPE_AFC_UF*UF_MES)*IF(S2323="Indefinido",AFC_INDEF,AFC_PF),0))</f>
        <v/>
      </c>
      <c r="U2323" s="62" t="str">
        <f aca="false">IF(C2323="","",IF(LEFT(D2323,1)="⚠","⚠ RUT no registrado en Trabajadores",IF(B2323="","⚠ Falta el mes",IF(OR(ISTEXT(I2323),ISTEXT(J2323)),"⚠ Atrasos u horas extra como texto: escriba hh:mm (ej. 1:30)",IF(AND(ISNUMBER(Q2323),COUNTIFS(M_RUTN,V2323,M_MES,B2323,M_LIQ,"&lt;&gt;")&gt;1),"⚠ Liquidación repetida en el mes",IF(AND(ISNUMBER(O2323),ISNUMBER(P2323),ISNUMBER(Q2323),ABS(O2323-P2323-Q2323)&gt;1),"⚠ Haberes − descuentos no da el líquido","OK"))))))</f>
        <v/>
      </c>
      <c r="V2323" s="62" t="str">
        <f aca="false">IF(C2323="","",IFERROR(VALUE(LEFT(UPPER(SUBSTITUTE(SUBSTITUTE(SUBSTITUTE(TRIM(C2323),".",""),"-","")," ","")),LEN(UPPER(SUBSTITUTE(SUBSTITUTE(SUBSTITUTE(TRIM(C2323),".",""),"-","")," ","")))-1))&amp;RIGHT(UPPER(SUBSTITUTE(SUBSTITUTE(SUBSTITUTE(TRIM(C2323),".",""),"-","")," ","")),1),UPPER(SUBSTITUTE(SUBSTITUTE(SUBSTITUTE(TRIM(C2323),".",""),"-","")," ",""))))</f>
        <v/>
      </c>
    </row>
    <row r="2324" customFormat="false" ht="15" hidden="false" customHeight="false" outlineLevel="0" collapsed="false">
      <c r="B2324" s="80"/>
      <c r="C2324" s="58"/>
      <c r="D2324" s="62" t="str">
        <f aca="false">IF(C2324="","",IFERROR(INDEX(T_NOMBRE,MATCH(V2324,T_RUTN,0)),"⚠ RUT no está en Trabajadores"))</f>
        <v/>
      </c>
      <c r="E2324" s="61"/>
      <c r="F2324" s="61"/>
      <c r="G2324" s="61"/>
      <c r="H2324" s="61"/>
      <c r="I2324" s="81"/>
      <c r="J2324" s="81"/>
      <c r="K2324" s="60"/>
      <c r="L2324" s="60"/>
      <c r="M2324" s="60"/>
      <c r="N2324" s="60"/>
      <c r="O2324" s="60"/>
      <c r="P2324" s="60"/>
      <c r="Q2324" s="60"/>
      <c r="R2324" s="58"/>
      <c r="S2324" s="62" t="str">
        <f aca="false">IF(OR(B2324="",V2324=""),"",IFERROR(INDEX(C_TIPO,MATCH(V2324&amp;"-P"&amp;MAX(1,COUNTIFS(C_RUTN,V2324,C_DEF,"Sí",C_INI,"&lt;="&amp;EOMONTH(B2324,0))),C_CLAVE,0))&amp;"","Sin contrato"))</f>
        <v/>
      </c>
      <c r="T2324" s="63" t="str">
        <f aca="false">IF(OR(B2324="",N(O2324)=0),"",N(O2324)+ROUND(MIN(N(N2324),TOPE_UF*UF_MES)*(TASA_EMP+MUTUAL),0)+ROUND(MIN(N(N2324),TOPE_AFC_UF*UF_MES)*IF(S2324="Indefinido",AFC_INDEF,AFC_PF),0))</f>
        <v/>
      </c>
      <c r="U2324" s="62" t="str">
        <f aca="false">IF(C2324="","",IF(LEFT(D2324,1)="⚠","⚠ RUT no registrado en Trabajadores",IF(B2324="","⚠ Falta el mes",IF(OR(ISTEXT(I2324),ISTEXT(J2324)),"⚠ Atrasos u horas extra como texto: escriba hh:mm (ej. 1:30)",IF(AND(ISNUMBER(Q2324),COUNTIFS(M_RUTN,V2324,M_MES,B2324,M_LIQ,"&lt;&gt;")&gt;1),"⚠ Liquidación repetida en el mes",IF(AND(ISNUMBER(O2324),ISNUMBER(P2324),ISNUMBER(Q2324),ABS(O2324-P2324-Q2324)&gt;1),"⚠ Haberes − descuentos no da el líquido","OK"))))))</f>
        <v/>
      </c>
      <c r="V2324" s="62" t="str">
        <f aca="false">IF(C2324="","",IFERROR(VALUE(LEFT(UPPER(SUBSTITUTE(SUBSTITUTE(SUBSTITUTE(TRIM(C2324),".",""),"-","")," ","")),LEN(UPPER(SUBSTITUTE(SUBSTITUTE(SUBSTITUTE(TRIM(C2324),".",""),"-","")," ","")))-1))&amp;RIGHT(UPPER(SUBSTITUTE(SUBSTITUTE(SUBSTITUTE(TRIM(C2324),".",""),"-","")," ","")),1),UPPER(SUBSTITUTE(SUBSTITUTE(SUBSTITUTE(TRIM(C2324),".",""),"-","")," ",""))))</f>
        <v/>
      </c>
    </row>
    <row r="2325" customFormat="false" ht="15" hidden="false" customHeight="false" outlineLevel="0" collapsed="false">
      <c r="B2325" s="80"/>
      <c r="C2325" s="58"/>
      <c r="D2325" s="62" t="str">
        <f aca="false">IF(C2325="","",IFERROR(INDEX(T_NOMBRE,MATCH(V2325,T_RUTN,0)),"⚠ RUT no está en Trabajadores"))</f>
        <v/>
      </c>
      <c r="E2325" s="61"/>
      <c r="F2325" s="61"/>
      <c r="G2325" s="61"/>
      <c r="H2325" s="61"/>
      <c r="I2325" s="81"/>
      <c r="J2325" s="81"/>
      <c r="K2325" s="60"/>
      <c r="L2325" s="60"/>
      <c r="M2325" s="60"/>
      <c r="N2325" s="60"/>
      <c r="O2325" s="60"/>
      <c r="P2325" s="60"/>
      <c r="Q2325" s="60"/>
      <c r="R2325" s="58"/>
      <c r="S2325" s="62" t="str">
        <f aca="false">IF(OR(B2325="",V2325=""),"",IFERROR(INDEX(C_TIPO,MATCH(V2325&amp;"-P"&amp;MAX(1,COUNTIFS(C_RUTN,V2325,C_DEF,"Sí",C_INI,"&lt;="&amp;EOMONTH(B2325,0))),C_CLAVE,0))&amp;"","Sin contrato"))</f>
        <v/>
      </c>
      <c r="T2325" s="63" t="str">
        <f aca="false">IF(OR(B2325="",N(O2325)=0),"",N(O2325)+ROUND(MIN(N(N2325),TOPE_UF*UF_MES)*(TASA_EMP+MUTUAL),0)+ROUND(MIN(N(N2325),TOPE_AFC_UF*UF_MES)*IF(S2325="Indefinido",AFC_INDEF,AFC_PF),0))</f>
        <v/>
      </c>
      <c r="U2325" s="62" t="str">
        <f aca="false">IF(C2325="","",IF(LEFT(D2325,1)="⚠","⚠ RUT no registrado en Trabajadores",IF(B2325="","⚠ Falta el mes",IF(OR(ISTEXT(I2325),ISTEXT(J2325)),"⚠ Atrasos u horas extra como texto: escriba hh:mm (ej. 1:30)",IF(AND(ISNUMBER(Q2325),COUNTIFS(M_RUTN,V2325,M_MES,B2325,M_LIQ,"&lt;&gt;")&gt;1),"⚠ Liquidación repetida en el mes",IF(AND(ISNUMBER(O2325),ISNUMBER(P2325),ISNUMBER(Q2325),ABS(O2325-P2325-Q2325)&gt;1),"⚠ Haberes − descuentos no da el líquido","OK"))))))</f>
        <v/>
      </c>
      <c r="V2325" s="62" t="str">
        <f aca="false">IF(C2325="","",IFERROR(VALUE(LEFT(UPPER(SUBSTITUTE(SUBSTITUTE(SUBSTITUTE(TRIM(C2325),".",""),"-","")," ","")),LEN(UPPER(SUBSTITUTE(SUBSTITUTE(SUBSTITUTE(TRIM(C2325),".",""),"-","")," ","")))-1))&amp;RIGHT(UPPER(SUBSTITUTE(SUBSTITUTE(SUBSTITUTE(TRIM(C2325),".",""),"-","")," ","")),1),UPPER(SUBSTITUTE(SUBSTITUTE(SUBSTITUTE(TRIM(C2325),".",""),"-","")," ",""))))</f>
        <v/>
      </c>
    </row>
    <row r="2326" customFormat="false" ht="15" hidden="false" customHeight="false" outlineLevel="0" collapsed="false">
      <c r="B2326" s="80"/>
      <c r="C2326" s="58"/>
      <c r="D2326" s="62" t="str">
        <f aca="false">IF(C2326="","",IFERROR(INDEX(T_NOMBRE,MATCH(V2326,T_RUTN,0)),"⚠ RUT no está en Trabajadores"))</f>
        <v/>
      </c>
      <c r="E2326" s="61"/>
      <c r="F2326" s="61"/>
      <c r="G2326" s="61"/>
      <c r="H2326" s="61"/>
      <c r="I2326" s="81"/>
      <c r="J2326" s="81"/>
      <c r="K2326" s="60"/>
      <c r="L2326" s="60"/>
      <c r="M2326" s="60"/>
      <c r="N2326" s="60"/>
      <c r="O2326" s="60"/>
      <c r="P2326" s="60"/>
      <c r="Q2326" s="60"/>
      <c r="R2326" s="58"/>
      <c r="S2326" s="62" t="str">
        <f aca="false">IF(OR(B2326="",V2326=""),"",IFERROR(INDEX(C_TIPO,MATCH(V2326&amp;"-P"&amp;MAX(1,COUNTIFS(C_RUTN,V2326,C_DEF,"Sí",C_INI,"&lt;="&amp;EOMONTH(B2326,0))),C_CLAVE,0))&amp;"","Sin contrato"))</f>
        <v/>
      </c>
      <c r="T2326" s="63" t="str">
        <f aca="false">IF(OR(B2326="",N(O2326)=0),"",N(O2326)+ROUND(MIN(N(N2326),TOPE_UF*UF_MES)*(TASA_EMP+MUTUAL),0)+ROUND(MIN(N(N2326),TOPE_AFC_UF*UF_MES)*IF(S2326="Indefinido",AFC_INDEF,AFC_PF),0))</f>
        <v/>
      </c>
      <c r="U2326" s="62" t="str">
        <f aca="false">IF(C2326="","",IF(LEFT(D2326,1)="⚠","⚠ RUT no registrado en Trabajadores",IF(B2326="","⚠ Falta el mes",IF(OR(ISTEXT(I2326),ISTEXT(J2326)),"⚠ Atrasos u horas extra como texto: escriba hh:mm (ej. 1:30)",IF(AND(ISNUMBER(Q2326),COUNTIFS(M_RUTN,V2326,M_MES,B2326,M_LIQ,"&lt;&gt;")&gt;1),"⚠ Liquidación repetida en el mes",IF(AND(ISNUMBER(O2326),ISNUMBER(P2326),ISNUMBER(Q2326),ABS(O2326-P2326-Q2326)&gt;1),"⚠ Haberes − descuentos no da el líquido","OK"))))))</f>
        <v/>
      </c>
      <c r="V2326" s="62" t="str">
        <f aca="false">IF(C2326="","",IFERROR(VALUE(LEFT(UPPER(SUBSTITUTE(SUBSTITUTE(SUBSTITUTE(TRIM(C2326),".",""),"-","")," ","")),LEN(UPPER(SUBSTITUTE(SUBSTITUTE(SUBSTITUTE(TRIM(C2326),".",""),"-","")," ","")))-1))&amp;RIGHT(UPPER(SUBSTITUTE(SUBSTITUTE(SUBSTITUTE(TRIM(C2326),".",""),"-","")," ","")),1),UPPER(SUBSTITUTE(SUBSTITUTE(SUBSTITUTE(TRIM(C2326),".",""),"-","")," ",""))))</f>
        <v/>
      </c>
    </row>
    <row r="2327" customFormat="false" ht="15" hidden="false" customHeight="false" outlineLevel="0" collapsed="false">
      <c r="B2327" s="80"/>
      <c r="C2327" s="58"/>
      <c r="D2327" s="62" t="str">
        <f aca="false">IF(C2327="","",IFERROR(INDEX(T_NOMBRE,MATCH(V2327,T_RUTN,0)),"⚠ RUT no está en Trabajadores"))</f>
        <v/>
      </c>
      <c r="E2327" s="61"/>
      <c r="F2327" s="61"/>
      <c r="G2327" s="61"/>
      <c r="H2327" s="61"/>
      <c r="I2327" s="81"/>
      <c r="J2327" s="81"/>
      <c r="K2327" s="60"/>
      <c r="L2327" s="60"/>
      <c r="M2327" s="60"/>
      <c r="N2327" s="60"/>
      <c r="O2327" s="60"/>
      <c r="P2327" s="60"/>
      <c r="Q2327" s="60"/>
      <c r="R2327" s="58"/>
      <c r="S2327" s="62" t="str">
        <f aca="false">IF(OR(B2327="",V2327=""),"",IFERROR(INDEX(C_TIPO,MATCH(V2327&amp;"-P"&amp;MAX(1,COUNTIFS(C_RUTN,V2327,C_DEF,"Sí",C_INI,"&lt;="&amp;EOMONTH(B2327,0))),C_CLAVE,0))&amp;"","Sin contrato"))</f>
        <v/>
      </c>
      <c r="T2327" s="63" t="str">
        <f aca="false">IF(OR(B2327="",N(O2327)=0),"",N(O2327)+ROUND(MIN(N(N2327),TOPE_UF*UF_MES)*(TASA_EMP+MUTUAL),0)+ROUND(MIN(N(N2327),TOPE_AFC_UF*UF_MES)*IF(S2327="Indefinido",AFC_INDEF,AFC_PF),0))</f>
        <v/>
      </c>
      <c r="U2327" s="62" t="str">
        <f aca="false">IF(C2327="","",IF(LEFT(D2327,1)="⚠","⚠ RUT no registrado en Trabajadores",IF(B2327="","⚠ Falta el mes",IF(OR(ISTEXT(I2327),ISTEXT(J2327)),"⚠ Atrasos u horas extra como texto: escriba hh:mm (ej. 1:30)",IF(AND(ISNUMBER(Q2327),COUNTIFS(M_RUTN,V2327,M_MES,B2327,M_LIQ,"&lt;&gt;")&gt;1),"⚠ Liquidación repetida en el mes",IF(AND(ISNUMBER(O2327),ISNUMBER(P2327),ISNUMBER(Q2327),ABS(O2327-P2327-Q2327)&gt;1),"⚠ Haberes − descuentos no da el líquido","OK"))))))</f>
        <v/>
      </c>
      <c r="V2327" s="62" t="str">
        <f aca="false">IF(C2327="","",IFERROR(VALUE(LEFT(UPPER(SUBSTITUTE(SUBSTITUTE(SUBSTITUTE(TRIM(C2327),".",""),"-","")," ","")),LEN(UPPER(SUBSTITUTE(SUBSTITUTE(SUBSTITUTE(TRIM(C2327),".",""),"-","")," ","")))-1))&amp;RIGHT(UPPER(SUBSTITUTE(SUBSTITUTE(SUBSTITUTE(TRIM(C2327),".",""),"-","")," ","")),1),UPPER(SUBSTITUTE(SUBSTITUTE(SUBSTITUTE(TRIM(C2327),".",""),"-","")," ",""))))</f>
        <v/>
      </c>
    </row>
    <row r="2328" customFormat="false" ht="15" hidden="false" customHeight="false" outlineLevel="0" collapsed="false">
      <c r="B2328" s="80"/>
      <c r="C2328" s="58"/>
      <c r="D2328" s="62" t="str">
        <f aca="false">IF(C2328="","",IFERROR(INDEX(T_NOMBRE,MATCH(V2328,T_RUTN,0)),"⚠ RUT no está en Trabajadores"))</f>
        <v/>
      </c>
      <c r="E2328" s="61"/>
      <c r="F2328" s="61"/>
      <c r="G2328" s="61"/>
      <c r="H2328" s="61"/>
      <c r="I2328" s="81"/>
      <c r="J2328" s="81"/>
      <c r="K2328" s="60"/>
      <c r="L2328" s="60"/>
      <c r="M2328" s="60"/>
      <c r="N2328" s="60"/>
      <c r="O2328" s="60"/>
      <c r="P2328" s="60"/>
      <c r="Q2328" s="60"/>
      <c r="R2328" s="58"/>
      <c r="S2328" s="62" t="str">
        <f aca="false">IF(OR(B2328="",V2328=""),"",IFERROR(INDEX(C_TIPO,MATCH(V2328&amp;"-P"&amp;MAX(1,COUNTIFS(C_RUTN,V2328,C_DEF,"Sí",C_INI,"&lt;="&amp;EOMONTH(B2328,0))),C_CLAVE,0))&amp;"","Sin contrato"))</f>
        <v/>
      </c>
      <c r="T2328" s="63" t="str">
        <f aca="false">IF(OR(B2328="",N(O2328)=0),"",N(O2328)+ROUND(MIN(N(N2328),TOPE_UF*UF_MES)*(TASA_EMP+MUTUAL),0)+ROUND(MIN(N(N2328),TOPE_AFC_UF*UF_MES)*IF(S2328="Indefinido",AFC_INDEF,AFC_PF),0))</f>
        <v/>
      </c>
      <c r="U2328" s="62" t="str">
        <f aca="false">IF(C2328="","",IF(LEFT(D2328,1)="⚠","⚠ RUT no registrado en Trabajadores",IF(B2328="","⚠ Falta el mes",IF(OR(ISTEXT(I2328),ISTEXT(J2328)),"⚠ Atrasos u horas extra como texto: escriba hh:mm (ej. 1:30)",IF(AND(ISNUMBER(Q2328),COUNTIFS(M_RUTN,V2328,M_MES,B2328,M_LIQ,"&lt;&gt;")&gt;1),"⚠ Liquidación repetida en el mes",IF(AND(ISNUMBER(O2328),ISNUMBER(P2328),ISNUMBER(Q2328),ABS(O2328-P2328-Q2328)&gt;1),"⚠ Haberes − descuentos no da el líquido","OK"))))))</f>
        <v/>
      </c>
      <c r="V2328" s="62" t="str">
        <f aca="false">IF(C2328="","",IFERROR(VALUE(LEFT(UPPER(SUBSTITUTE(SUBSTITUTE(SUBSTITUTE(TRIM(C2328),".",""),"-","")," ","")),LEN(UPPER(SUBSTITUTE(SUBSTITUTE(SUBSTITUTE(TRIM(C2328),".",""),"-","")," ","")))-1))&amp;RIGHT(UPPER(SUBSTITUTE(SUBSTITUTE(SUBSTITUTE(TRIM(C2328),".",""),"-","")," ","")),1),UPPER(SUBSTITUTE(SUBSTITUTE(SUBSTITUTE(TRIM(C2328),".",""),"-","")," ",""))))</f>
        <v/>
      </c>
    </row>
    <row r="2329" customFormat="false" ht="15" hidden="false" customHeight="false" outlineLevel="0" collapsed="false">
      <c r="B2329" s="80"/>
      <c r="C2329" s="58"/>
      <c r="D2329" s="62" t="str">
        <f aca="false">IF(C2329="","",IFERROR(INDEX(T_NOMBRE,MATCH(V2329,T_RUTN,0)),"⚠ RUT no está en Trabajadores"))</f>
        <v/>
      </c>
      <c r="E2329" s="61"/>
      <c r="F2329" s="61"/>
      <c r="G2329" s="61"/>
      <c r="H2329" s="61"/>
      <c r="I2329" s="81"/>
      <c r="J2329" s="81"/>
      <c r="K2329" s="60"/>
      <c r="L2329" s="60"/>
      <c r="M2329" s="60"/>
      <c r="N2329" s="60"/>
      <c r="O2329" s="60"/>
      <c r="P2329" s="60"/>
      <c r="Q2329" s="60"/>
      <c r="R2329" s="58"/>
      <c r="S2329" s="62" t="str">
        <f aca="false">IF(OR(B2329="",V2329=""),"",IFERROR(INDEX(C_TIPO,MATCH(V2329&amp;"-P"&amp;MAX(1,COUNTIFS(C_RUTN,V2329,C_DEF,"Sí",C_INI,"&lt;="&amp;EOMONTH(B2329,0))),C_CLAVE,0))&amp;"","Sin contrato"))</f>
        <v/>
      </c>
      <c r="T2329" s="63" t="str">
        <f aca="false">IF(OR(B2329="",N(O2329)=0),"",N(O2329)+ROUND(MIN(N(N2329),TOPE_UF*UF_MES)*(TASA_EMP+MUTUAL),0)+ROUND(MIN(N(N2329),TOPE_AFC_UF*UF_MES)*IF(S2329="Indefinido",AFC_INDEF,AFC_PF),0))</f>
        <v/>
      </c>
      <c r="U2329" s="62" t="str">
        <f aca="false">IF(C2329="","",IF(LEFT(D2329,1)="⚠","⚠ RUT no registrado en Trabajadores",IF(B2329="","⚠ Falta el mes",IF(OR(ISTEXT(I2329),ISTEXT(J2329)),"⚠ Atrasos u horas extra como texto: escriba hh:mm (ej. 1:30)",IF(AND(ISNUMBER(Q2329),COUNTIFS(M_RUTN,V2329,M_MES,B2329,M_LIQ,"&lt;&gt;")&gt;1),"⚠ Liquidación repetida en el mes",IF(AND(ISNUMBER(O2329),ISNUMBER(P2329),ISNUMBER(Q2329),ABS(O2329-P2329-Q2329)&gt;1),"⚠ Haberes − descuentos no da el líquido","OK"))))))</f>
        <v/>
      </c>
      <c r="V2329" s="62" t="str">
        <f aca="false">IF(C2329="","",IFERROR(VALUE(LEFT(UPPER(SUBSTITUTE(SUBSTITUTE(SUBSTITUTE(TRIM(C2329),".",""),"-","")," ","")),LEN(UPPER(SUBSTITUTE(SUBSTITUTE(SUBSTITUTE(TRIM(C2329),".",""),"-","")," ","")))-1))&amp;RIGHT(UPPER(SUBSTITUTE(SUBSTITUTE(SUBSTITUTE(TRIM(C2329),".",""),"-","")," ","")),1),UPPER(SUBSTITUTE(SUBSTITUTE(SUBSTITUTE(TRIM(C2329),".",""),"-","")," ",""))))</f>
        <v/>
      </c>
    </row>
    <row r="2330" customFormat="false" ht="15" hidden="false" customHeight="false" outlineLevel="0" collapsed="false">
      <c r="B2330" s="80"/>
      <c r="C2330" s="58"/>
      <c r="D2330" s="62" t="str">
        <f aca="false">IF(C2330="","",IFERROR(INDEX(T_NOMBRE,MATCH(V2330,T_RUTN,0)),"⚠ RUT no está en Trabajadores"))</f>
        <v/>
      </c>
      <c r="E2330" s="61"/>
      <c r="F2330" s="61"/>
      <c r="G2330" s="61"/>
      <c r="H2330" s="61"/>
      <c r="I2330" s="81"/>
      <c r="J2330" s="81"/>
      <c r="K2330" s="60"/>
      <c r="L2330" s="60"/>
      <c r="M2330" s="60"/>
      <c r="N2330" s="60"/>
      <c r="O2330" s="60"/>
      <c r="P2330" s="60"/>
      <c r="Q2330" s="60"/>
      <c r="R2330" s="58"/>
      <c r="S2330" s="62" t="str">
        <f aca="false">IF(OR(B2330="",V2330=""),"",IFERROR(INDEX(C_TIPO,MATCH(V2330&amp;"-P"&amp;MAX(1,COUNTIFS(C_RUTN,V2330,C_DEF,"Sí",C_INI,"&lt;="&amp;EOMONTH(B2330,0))),C_CLAVE,0))&amp;"","Sin contrato"))</f>
        <v/>
      </c>
      <c r="T2330" s="63" t="str">
        <f aca="false">IF(OR(B2330="",N(O2330)=0),"",N(O2330)+ROUND(MIN(N(N2330),TOPE_UF*UF_MES)*(TASA_EMP+MUTUAL),0)+ROUND(MIN(N(N2330),TOPE_AFC_UF*UF_MES)*IF(S2330="Indefinido",AFC_INDEF,AFC_PF),0))</f>
        <v/>
      </c>
      <c r="U2330" s="62" t="str">
        <f aca="false">IF(C2330="","",IF(LEFT(D2330,1)="⚠","⚠ RUT no registrado en Trabajadores",IF(B2330="","⚠ Falta el mes",IF(OR(ISTEXT(I2330),ISTEXT(J2330)),"⚠ Atrasos u horas extra como texto: escriba hh:mm (ej. 1:30)",IF(AND(ISNUMBER(Q2330),COUNTIFS(M_RUTN,V2330,M_MES,B2330,M_LIQ,"&lt;&gt;")&gt;1),"⚠ Liquidación repetida en el mes",IF(AND(ISNUMBER(O2330),ISNUMBER(P2330),ISNUMBER(Q2330),ABS(O2330-P2330-Q2330)&gt;1),"⚠ Haberes − descuentos no da el líquido","OK"))))))</f>
        <v/>
      </c>
      <c r="V2330" s="62" t="str">
        <f aca="false">IF(C2330="","",IFERROR(VALUE(LEFT(UPPER(SUBSTITUTE(SUBSTITUTE(SUBSTITUTE(TRIM(C2330),".",""),"-","")," ","")),LEN(UPPER(SUBSTITUTE(SUBSTITUTE(SUBSTITUTE(TRIM(C2330),".",""),"-","")," ","")))-1))&amp;RIGHT(UPPER(SUBSTITUTE(SUBSTITUTE(SUBSTITUTE(TRIM(C2330),".",""),"-","")," ","")),1),UPPER(SUBSTITUTE(SUBSTITUTE(SUBSTITUTE(TRIM(C2330),".",""),"-","")," ",""))))</f>
        <v/>
      </c>
    </row>
    <row r="2331" customFormat="false" ht="15" hidden="false" customHeight="false" outlineLevel="0" collapsed="false">
      <c r="B2331" s="80"/>
      <c r="C2331" s="58"/>
      <c r="D2331" s="62" t="str">
        <f aca="false">IF(C2331="","",IFERROR(INDEX(T_NOMBRE,MATCH(V2331,T_RUTN,0)),"⚠ RUT no está en Trabajadores"))</f>
        <v/>
      </c>
      <c r="E2331" s="61"/>
      <c r="F2331" s="61"/>
      <c r="G2331" s="61"/>
      <c r="H2331" s="61"/>
      <c r="I2331" s="81"/>
      <c r="J2331" s="81"/>
      <c r="K2331" s="60"/>
      <c r="L2331" s="60"/>
      <c r="M2331" s="60"/>
      <c r="N2331" s="60"/>
      <c r="O2331" s="60"/>
      <c r="P2331" s="60"/>
      <c r="Q2331" s="60"/>
      <c r="R2331" s="58"/>
      <c r="S2331" s="62" t="str">
        <f aca="false">IF(OR(B2331="",V2331=""),"",IFERROR(INDEX(C_TIPO,MATCH(V2331&amp;"-P"&amp;MAX(1,COUNTIFS(C_RUTN,V2331,C_DEF,"Sí",C_INI,"&lt;="&amp;EOMONTH(B2331,0))),C_CLAVE,0))&amp;"","Sin contrato"))</f>
        <v/>
      </c>
      <c r="T2331" s="63" t="str">
        <f aca="false">IF(OR(B2331="",N(O2331)=0),"",N(O2331)+ROUND(MIN(N(N2331),TOPE_UF*UF_MES)*(TASA_EMP+MUTUAL),0)+ROUND(MIN(N(N2331),TOPE_AFC_UF*UF_MES)*IF(S2331="Indefinido",AFC_INDEF,AFC_PF),0))</f>
        <v/>
      </c>
      <c r="U2331" s="62" t="str">
        <f aca="false">IF(C2331="","",IF(LEFT(D2331,1)="⚠","⚠ RUT no registrado en Trabajadores",IF(B2331="","⚠ Falta el mes",IF(OR(ISTEXT(I2331),ISTEXT(J2331)),"⚠ Atrasos u horas extra como texto: escriba hh:mm (ej. 1:30)",IF(AND(ISNUMBER(Q2331),COUNTIFS(M_RUTN,V2331,M_MES,B2331,M_LIQ,"&lt;&gt;")&gt;1),"⚠ Liquidación repetida en el mes",IF(AND(ISNUMBER(O2331),ISNUMBER(P2331),ISNUMBER(Q2331),ABS(O2331-P2331-Q2331)&gt;1),"⚠ Haberes − descuentos no da el líquido","OK"))))))</f>
        <v/>
      </c>
      <c r="V2331" s="62" t="str">
        <f aca="false">IF(C2331="","",IFERROR(VALUE(LEFT(UPPER(SUBSTITUTE(SUBSTITUTE(SUBSTITUTE(TRIM(C2331),".",""),"-","")," ","")),LEN(UPPER(SUBSTITUTE(SUBSTITUTE(SUBSTITUTE(TRIM(C2331),".",""),"-","")," ","")))-1))&amp;RIGHT(UPPER(SUBSTITUTE(SUBSTITUTE(SUBSTITUTE(TRIM(C2331),".",""),"-","")," ","")),1),UPPER(SUBSTITUTE(SUBSTITUTE(SUBSTITUTE(TRIM(C2331),".",""),"-","")," ",""))))</f>
        <v/>
      </c>
    </row>
    <row r="2332" customFormat="false" ht="15" hidden="false" customHeight="false" outlineLevel="0" collapsed="false">
      <c r="B2332" s="80"/>
      <c r="C2332" s="58"/>
      <c r="D2332" s="62" t="str">
        <f aca="false">IF(C2332="","",IFERROR(INDEX(T_NOMBRE,MATCH(V2332,T_RUTN,0)),"⚠ RUT no está en Trabajadores"))</f>
        <v/>
      </c>
      <c r="E2332" s="61"/>
      <c r="F2332" s="61"/>
      <c r="G2332" s="61"/>
      <c r="H2332" s="61"/>
      <c r="I2332" s="81"/>
      <c r="J2332" s="81"/>
      <c r="K2332" s="60"/>
      <c r="L2332" s="60"/>
      <c r="M2332" s="60"/>
      <c r="N2332" s="60"/>
      <c r="O2332" s="60"/>
      <c r="P2332" s="60"/>
      <c r="Q2332" s="60"/>
      <c r="R2332" s="58"/>
      <c r="S2332" s="62" t="str">
        <f aca="false">IF(OR(B2332="",V2332=""),"",IFERROR(INDEX(C_TIPO,MATCH(V2332&amp;"-P"&amp;MAX(1,COUNTIFS(C_RUTN,V2332,C_DEF,"Sí",C_INI,"&lt;="&amp;EOMONTH(B2332,0))),C_CLAVE,0))&amp;"","Sin contrato"))</f>
        <v/>
      </c>
      <c r="T2332" s="63" t="str">
        <f aca="false">IF(OR(B2332="",N(O2332)=0),"",N(O2332)+ROUND(MIN(N(N2332),TOPE_UF*UF_MES)*(TASA_EMP+MUTUAL),0)+ROUND(MIN(N(N2332),TOPE_AFC_UF*UF_MES)*IF(S2332="Indefinido",AFC_INDEF,AFC_PF),0))</f>
        <v/>
      </c>
      <c r="U2332" s="62" t="str">
        <f aca="false">IF(C2332="","",IF(LEFT(D2332,1)="⚠","⚠ RUT no registrado en Trabajadores",IF(B2332="","⚠ Falta el mes",IF(OR(ISTEXT(I2332),ISTEXT(J2332)),"⚠ Atrasos u horas extra como texto: escriba hh:mm (ej. 1:30)",IF(AND(ISNUMBER(Q2332),COUNTIFS(M_RUTN,V2332,M_MES,B2332,M_LIQ,"&lt;&gt;")&gt;1),"⚠ Liquidación repetida en el mes",IF(AND(ISNUMBER(O2332),ISNUMBER(P2332),ISNUMBER(Q2332),ABS(O2332-P2332-Q2332)&gt;1),"⚠ Haberes − descuentos no da el líquido","OK"))))))</f>
        <v/>
      </c>
      <c r="V2332" s="62" t="str">
        <f aca="false">IF(C2332="","",IFERROR(VALUE(LEFT(UPPER(SUBSTITUTE(SUBSTITUTE(SUBSTITUTE(TRIM(C2332),".",""),"-","")," ","")),LEN(UPPER(SUBSTITUTE(SUBSTITUTE(SUBSTITUTE(TRIM(C2332),".",""),"-","")," ","")))-1))&amp;RIGHT(UPPER(SUBSTITUTE(SUBSTITUTE(SUBSTITUTE(TRIM(C2332),".",""),"-","")," ","")),1),UPPER(SUBSTITUTE(SUBSTITUTE(SUBSTITUTE(TRIM(C2332),".",""),"-","")," ",""))))</f>
        <v/>
      </c>
    </row>
    <row r="2333" customFormat="false" ht="15" hidden="false" customHeight="false" outlineLevel="0" collapsed="false">
      <c r="B2333" s="80"/>
      <c r="C2333" s="58"/>
      <c r="D2333" s="62" t="str">
        <f aca="false">IF(C2333="","",IFERROR(INDEX(T_NOMBRE,MATCH(V2333,T_RUTN,0)),"⚠ RUT no está en Trabajadores"))</f>
        <v/>
      </c>
      <c r="E2333" s="61"/>
      <c r="F2333" s="61"/>
      <c r="G2333" s="61"/>
      <c r="H2333" s="61"/>
      <c r="I2333" s="81"/>
      <c r="J2333" s="81"/>
      <c r="K2333" s="60"/>
      <c r="L2333" s="60"/>
      <c r="M2333" s="60"/>
      <c r="N2333" s="60"/>
      <c r="O2333" s="60"/>
      <c r="P2333" s="60"/>
      <c r="Q2333" s="60"/>
      <c r="R2333" s="58"/>
      <c r="S2333" s="62" t="str">
        <f aca="false">IF(OR(B2333="",V2333=""),"",IFERROR(INDEX(C_TIPO,MATCH(V2333&amp;"-P"&amp;MAX(1,COUNTIFS(C_RUTN,V2333,C_DEF,"Sí",C_INI,"&lt;="&amp;EOMONTH(B2333,0))),C_CLAVE,0))&amp;"","Sin contrato"))</f>
        <v/>
      </c>
      <c r="T2333" s="63" t="str">
        <f aca="false">IF(OR(B2333="",N(O2333)=0),"",N(O2333)+ROUND(MIN(N(N2333),TOPE_UF*UF_MES)*(TASA_EMP+MUTUAL),0)+ROUND(MIN(N(N2333),TOPE_AFC_UF*UF_MES)*IF(S2333="Indefinido",AFC_INDEF,AFC_PF),0))</f>
        <v/>
      </c>
      <c r="U2333" s="62" t="str">
        <f aca="false">IF(C2333="","",IF(LEFT(D2333,1)="⚠","⚠ RUT no registrado en Trabajadores",IF(B2333="","⚠ Falta el mes",IF(OR(ISTEXT(I2333),ISTEXT(J2333)),"⚠ Atrasos u horas extra como texto: escriba hh:mm (ej. 1:30)",IF(AND(ISNUMBER(Q2333),COUNTIFS(M_RUTN,V2333,M_MES,B2333,M_LIQ,"&lt;&gt;")&gt;1),"⚠ Liquidación repetida en el mes",IF(AND(ISNUMBER(O2333),ISNUMBER(P2333),ISNUMBER(Q2333),ABS(O2333-P2333-Q2333)&gt;1),"⚠ Haberes − descuentos no da el líquido","OK"))))))</f>
        <v/>
      </c>
      <c r="V2333" s="62" t="str">
        <f aca="false">IF(C2333="","",IFERROR(VALUE(LEFT(UPPER(SUBSTITUTE(SUBSTITUTE(SUBSTITUTE(TRIM(C2333),".",""),"-","")," ","")),LEN(UPPER(SUBSTITUTE(SUBSTITUTE(SUBSTITUTE(TRIM(C2333),".",""),"-","")," ","")))-1))&amp;RIGHT(UPPER(SUBSTITUTE(SUBSTITUTE(SUBSTITUTE(TRIM(C2333),".",""),"-","")," ","")),1),UPPER(SUBSTITUTE(SUBSTITUTE(SUBSTITUTE(TRIM(C2333),".",""),"-","")," ",""))))</f>
        <v/>
      </c>
    </row>
    <row r="2334" customFormat="false" ht="15" hidden="false" customHeight="false" outlineLevel="0" collapsed="false">
      <c r="B2334" s="80"/>
      <c r="C2334" s="58"/>
      <c r="D2334" s="62" t="str">
        <f aca="false">IF(C2334="","",IFERROR(INDEX(T_NOMBRE,MATCH(V2334,T_RUTN,0)),"⚠ RUT no está en Trabajadores"))</f>
        <v/>
      </c>
      <c r="E2334" s="61"/>
      <c r="F2334" s="61"/>
      <c r="G2334" s="61"/>
      <c r="H2334" s="61"/>
      <c r="I2334" s="81"/>
      <c r="J2334" s="81"/>
      <c r="K2334" s="60"/>
      <c r="L2334" s="60"/>
      <c r="M2334" s="60"/>
      <c r="N2334" s="60"/>
      <c r="O2334" s="60"/>
      <c r="P2334" s="60"/>
      <c r="Q2334" s="60"/>
      <c r="R2334" s="58"/>
      <c r="S2334" s="62" t="str">
        <f aca="false">IF(OR(B2334="",V2334=""),"",IFERROR(INDEX(C_TIPO,MATCH(V2334&amp;"-P"&amp;MAX(1,COUNTIFS(C_RUTN,V2334,C_DEF,"Sí",C_INI,"&lt;="&amp;EOMONTH(B2334,0))),C_CLAVE,0))&amp;"","Sin contrato"))</f>
        <v/>
      </c>
      <c r="T2334" s="63" t="str">
        <f aca="false">IF(OR(B2334="",N(O2334)=0),"",N(O2334)+ROUND(MIN(N(N2334),TOPE_UF*UF_MES)*(TASA_EMP+MUTUAL),0)+ROUND(MIN(N(N2334),TOPE_AFC_UF*UF_MES)*IF(S2334="Indefinido",AFC_INDEF,AFC_PF),0))</f>
        <v/>
      </c>
      <c r="U2334" s="62" t="str">
        <f aca="false">IF(C2334="","",IF(LEFT(D2334,1)="⚠","⚠ RUT no registrado en Trabajadores",IF(B2334="","⚠ Falta el mes",IF(OR(ISTEXT(I2334),ISTEXT(J2334)),"⚠ Atrasos u horas extra como texto: escriba hh:mm (ej. 1:30)",IF(AND(ISNUMBER(Q2334),COUNTIFS(M_RUTN,V2334,M_MES,B2334,M_LIQ,"&lt;&gt;")&gt;1),"⚠ Liquidación repetida en el mes",IF(AND(ISNUMBER(O2334),ISNUMBER(P2334),ISNUMBER(Q2334),ABS(O2334-P2334-Q2334)&gt;1),"⚠ Haberes − descuentos no da el líquido","OK"))))))</f>
        <v/>
      </c>
      <c r="V2334" s="62" t="str">
        <f aca="false">IF(C2334="","",IFERROR(VALUE(LEFT(UPPER(SUBSTITUTE(SUBSTITUTE(SUBSTITUTE(TRIM(C2334),".",""),"-","")," ","")),LEN(UPPER(SUBSTITUTE(SUBSTITUTE(SUBSTITUTE(TRIM(C2334),".",""),"-","")," ","")))-1))&amp;RIGHT(UPPER(SUBSTITUTE(SUBSTITUTE(SUBSTITUTE(TRIM(C2334),".",""),"-","")," ","")),1),UPPER(SUBSTITUTE(SUBSTITUTE(SUBSTITUTE(TRIM(C2334),".",""),"-","")," ",""))))</f>
        <v/>
      </c>
    </row>
    <row r="2335" customFormat="false" ht="15" hidden="false" customHeight="false" outlineLevel="0" collapsed="false">
      <c r="B2335" s="80"/>
      <c r="C2335" s="58"/>
      <c r="D2335" s="62" t="str">
        <f aca="false">IF(C2335="","",IFERROR(INDEX(T_NOMBRE,MATCH(V2335,T_RUTN,0)),"⚠ RUT no está en Trabajadores"))</f>
        <v/>
      </c>
      <c r="E2335" s="61"/>
      <c r="F2335" s="61"/>
      <c r="G2335" s="61"/>
      <c r="H2335" s="61"/>
      <c r="I2335" s="81"/>
      <c r="J2335" s="81"/>
      <c r="K2335" s="60"/>
      <c r="L2335" s="60"/>
      <c r="M2335" s="60"/>
      <c r="N2335" s="60"/>
      <c r="O2335" s="60"/>
      <c r="P2335" s="60"/>
      <c r="Q2335" s="60"/>
      <c r="R2335" s="58"/>
      <c r="S2335" s="62" t="str">
        <f aca="false">IF(OR(B2335="",V2335=""),"",IFERROR(INDEX(C_TIPO,MATCH(V2335&amp;"-P"&amp;MAX(1,COUNTIFS(C_RUTN,V2335,C_DEF,"Sí",C_INI,"&lt;="&amp;EOMONTH(B2335,0))),C_CLAVE,0))&amp;"","Sin contrato"))</f>
        <v/>
      </c>
      <c r="T2335" s="63" t="str">
        <f aca="false">IF(OR(B2335="",N(O2335)=0),"",N(O2335)+ROUND(MIN(N(N2335),TOPE_UF*UF_MES)*(TASA_EMP+MUTUAL),0)+ROUND(MIN(N(N2335),TOPE_AFC_UF*UF_MES)*IF(S2335="Indefinido",AFC_INDEF,AFC_PF),0))</f>
        <v/>
      </c>
      <c r="U2335" s="62" t="str">
        <f aca="false">IF(C2335="","",IF(LEFT(D2335,1)="⚠","⚠ RUT no registrado en Trabajadores",IF(B2335="","⚠ Falta el mes",IF(OR(ISTEXT(I2335),ISTEXT(J2335)),"⚠ Atrasos u horas extra como texto: escriba hh:mm (ej. 1:30)",IF(AND(ISNUMBER(Q2335),COUNTIFS(M_RUTN,V2335,M_MES,B2335,M_LIQ,"&lt;&gt;")&gt;1),"⚠ Liquidación repetida en el mes",IF(AND(ISNUMBER(O2335),ISNUMBER(P2335),ISNUMBER(Q2335),ABS(O2335-P2335-Q2335)&gt;1),"⚠ Haberes − descuentos no da el líquido","OK"))))))</f>
        <v/>
      </c>
      <c r="V2335" s="62" t="str">
        <f aca="false">IF(C2335="","",IFERROR(VALUE(LEFT(UPPER(SUBSTITUTE(SUBSTITUTE(SUBSTITUTE(TRIM(C2335),".",""),"-","")," ","")),LEN(UPPER(SUBSTITUTE(SUBSTITUTE(SUBSTITUTE(TRIM(C2335),".",""),"-","")," ","")))-1))&amp;RIGHT(UPPER(SUBSTITUTE(SUBSTITUTE(SUBSTITUTE(TRIM(C2335),".",""),"-","")," ","")),1),UPPER(SUBSTITUTE(SUBSTITUTE(SUBSTITUTE(TRIM(C2335),".",""),"-","")," ",""))))</f>
        <v/>
      </c>
    </row>
    <row r="2336" customFormat="false" ht="15" hidden="false" customHeight="false" outlineLevel="0" collapsed="false">
      <c r="B2336" s="80"/>
      <c r="C2336" s="58"/>
      <c r="D2336" s="62" t="str">
        <f aca="false">IF(C2336="","",IFERROR(INDEX(T_NOMBRE,MATCH(V2336,T_RUTN,0)),"⚠ RUT no está en Trabajadores"))</f>
        <v/>
      </c>
      <c r="E2336" s="61"/>
      <c r="F2336" s="61"/>
      <c r="G2336" s="61"/>
      <c r="H2336" s="61"/>
      <c r="I2336" s="81"/>
      <c r="J2336" s="81"/>
      <c r="K2336" s="60"/>
      <c r="L2336" s="60"/>
      <c r="M2336" s="60"/>
      <c r="N2336" s="60"/>
      <c r="O2336" s="60"/>
      <c r="P2336" s="60"/>
      <c r="Q2336" s="60"/>
      <c r="R2336" s="58"/>
      <c r="S2336" s="62" t="str">
        <f aca="false">IF(OR(B2336="",V2336=""),"",IFERROR(INDEX(C_TIPO,MATCH(V2336&amp;"-P"&amp;MAX(1,COUNTIFS(C_RUTN,V2336,C_DEF,"Sí",C_INI,"&lt;="&amp;EOMONTH(B2336,0))),C_CLAVE,0))&amp;"","Sin contrato"))</f>
        <v/>
      </c>
      <c r="T2336" s="63" t="str">
        <f aca="false">IF(OR(B2336="",N(O2336)=0),"",N(O2336)+ROUND(MIN(N(N2336),TOPE_UF*UF_MES)*(TASA_EMP+MUTUAL),0)+ROUND(MIN(N(N2336),TOPE_AFC_UF*UF_MES)*IF(S2336="Indefinido",AFC_INDEF,AFC_PF),0))</f>
        <v/>
      </c>
      <c r="U2336" s="62" t="str">
        <f aca="false">IF(C2336="","",IF(LEFT(D2336,1)="⚠","⚠ RUT no registrado en Trabajadores",IF(B2336="","⚠ Falta el mes",IF(OR(ISTEXT(I2336),ISTEXT(J2336)),"⚠ Atrasos u horas extra como texto: escriba hh:mm (ej. 1:30)",IF(AND(ISNUMBER(Q2336),COUNTIFS(M_RUTN,V2336,M_MES,B2336,M_LIQ,"&lt;&gt;")&gt;1),"⚠ Liquidación repetida en el mes",IF(AND(ISNUMBER(O2336),ISNUMBER(P2336),ISNUMBER(Q2336),ABS(O2336-P2336-Q2336)&gt;1),"⚠ Haberes − descuentos no da el líquido","OK"))))))</f>
        <v/>
      </c>
      <c r="V2336" s="62" t="str">
        <f aca="false">IF(C2336="","",IFERROR(VALUE(LEFT(UPPER(SUBSTITUTE(SUBSTITUTE(SUBSTITUTE(TRIM(C2336),".",""),"-","")," ","")),LEN(UPPER(SUBSTITUTE(SUBSTITUTE(SUBSTITUTE(TRIM(C2336),".",""),"-","")," ","")))-1))&amp;RIGHT(UPPER(SUBSTITUTE(SUBSTITUTE(SUBSTITUTE(TRIM(C2336),".",""),"-","")," ","")),1),UPPER(SUBSTITUTE(SUBSTITUTE(SUBSTITUTE(TRIM(C2336),".",""),"-","")," ",""))))</f>
        <v/>
      </c>
    </row>
    <row r="2337" customFormat="false" ht="15" hidden="false" customHeight="false" outlineLevel="0" collapsed="false">
      <c r="B2337" s="80"/>
      <c r="C2337" s="58"/>
      <c r="D2337" s="62" t="str">
        <f aca="false">IF(C2337="","",IFERROR(INDEX(T_NOMBRE,MATCH(V2337,T_RUTN,0)),"⚠ RUT no está en Trabajadores"))</f>
        <v/>
      </c>
      <c r="E2337" s="61"/>
      <c r="F2337" s="61"/>
      <c r="G2337" s="61"/>
      <c r="H2337" s="61"/>
      <c r="I2337" s="81"/>
      <c r="J2337" s="81"/>
      <c r="K2337" s="60"/>
      <c r="L2337" s="60"/>
      <c r="M2337" s="60"/>
      <c r="N2337" s="60"/>
      <c r="O2337" s="60"/>
      <c r="P2337" s="60"/>
      <c r="Q2337" s="60"/>
      <c r="R2337" s="58"/>
      <c r="S2337" s="62" t="str">
        <f aca="false">IF(OR(B2337="",V2337=""),"",IFERROR(INDEX(C_TIPO,MATCH(V2337&amp;"-P"&amp;MAX(1,COUNTIFS(C_RUTN,V2337,C_DEF,"Sí",C_INI,"&lt;="&amp;EOMONTH(B2337,0))),C_CLAVE,0))&amp;"","Sin contrato"))</f>
        <v/>
      </c>
      <c r="T2337" s="63" t="str">
        <f aca="false">IF(OR(B2337="",N(O2337)=0),"",N(O2337)+ROUND(MIN(N(N2337),TOPE_UF*UF_MES)*(TASA_EMP+MUTUAL),0)+ROUND(MIN(N(N2337),TOPE_AFC_UF*UF_MES)*IF(S2337="Indefinido",AFC_INDEF,AFC_PF),0))</f>
        <v/>
      </c>
      <c r="U2337" s="62" t="str">
        <f aca="false">IF(C2337="","",IF(LEFT(D2337,1)="⚠","⚠ RUT no registrado en Trabajadores",IF(B2337="","⚠ Falta el mes",IF(OR(ISTEXT(I2337),ISTEXT(J2337)),"⚠ Atrasos u horas extra como texto: escriba hh:mm (ej. 1:30)",IF(AND(ISNUMBER(Q2337),COUNTIFS(M_RUTN,V2337,M_MES,B2337,M_LIQ,"&lt;&gt;")&gt;1),"⚠ Liquidación repetida en el mes",IF(AND(ISNUMBER(O2337),ISNUMBER(P2337),ISNUMBER(Q2337),ABS(O2337-P2337-Q2337)&gt;1),"⚠ Haberes − descuentos no da el líquido","OK"))))))</f>
        <v/>
      </c>
      <c r="V2337" s="62" t="str">
        <f aca="false">IF(C2337="","",IFERROR(VALUE(LEFT(UPPER(SUBSTITUTE(SUBSTITUTE(SUBSTITUTE(TRIM(C2337),".",""),"-","")," ","")),LEN(UPPER(SUBSTITUTE(SUBSTITUTE(SUBSTITUTE(TRIM(C2337),".",""),"-","")," ","")))-1))&amp;RIGHT(UPPER(SUBSTITUTE(SUBSTITUTE(SUBSTITUTE(TRIM(C2337),".",""),"-","")," ","")),1),UPPER(SUBSTITUTE(SUBSTITUTE(SUBSTITUTE(TRIM(C2337),".",""),"-","")," ",""))))</f>
        <v/>
      </c>
    </row>
    <row r="2338" customFormat="false" ht="15" hidden="false" customHeight="false" outlineLevel="0" collapsed="false">
      <c r="B2338" s="80"/>
      <c r="C2338" s="58"/>
      <c r="D2338" s="62" t="str">
        <f aca="false">IF(C2338="","",IFERROR(INDEX(T_NOMBRE,MATCH(V2338,T_RUTN,0)),"⚠ RUT no está en Trabajadores"))</f>
        <v/>
      </c>
      <c r="E2338" s="61"/>
      <c r="F2338" s="61"/>
      <c r="G2338" s="61"/>
      <c r="H2338" s="61"/>
      <c r="I2338" s="81"/>
      <c r="J2338" s="81"/>
      <c r="K2338" s="60"/>
      <c r="L2338" s="60"/>
      <c r="M2338" s="60"/>
      <c r="N2338" s="60"/>
      <c r="O2338" s="60"/>
      <c r="P2338" s="60"/>
      <c r="Q2338" s="60"/>
      <c r="R2338" s="58"/>
      <c r="S2338" s="62" t="str">
        <f aca="false">IF(OR(B2338="",V2338=""),"",IFERROR(INDEX(C_TIPO,MATCH(V2338&amp;"-P"&amp;MAX(1,COUNTIFS(C_RUTN,V2338,C_DEF,"Sí",C_INI,"&lt;="&amp;EOMONTH(B2338,0))),C_CLAVE,0))&amp;"","Sin contrato"))</f>
        <v/>
      </c>
      <c r="T2338" s="63" t="str">
        <f aca="false">IF(OR(B2338="",N(O2338)=0),"",N(O2338)+ROUND(MIN(N(N2338),TOPE_UF*UF_MES)*(TASA_EMP+MUTUAL),0)+ROUND(MIN(N(N2338),TOPE_AFC_UF*UF_MES)*IF(S2338="Indefinido",AFC_INDEF,AFC_PF),0))</f>
        <v/>
      </c>
      <c r="U2338" s="62" t="str">
        <f aca="false">IF(C2338="","",IF(LEFT(D2338,1)="⚠","⚠ RUT no registrado en Trabajadores",IF(B2338="","⚠ Falta el mes",IF(OR(ISTEXT(I2338),ISTEXT(J2338)),"⚠ Atrasos u horas extra como texto: escriba hh:mm (ej. 1:30)",IF(AND(ISNUMBER(Q2338),COUNTIFS(M_RUTN,V2338,M_MES,B2338,M_LIQ,"&lt;&gt;")&gt;1),"⚠ Liquidación repetida en el mes",IF(AND(ISNUMBER(O2338),ISNUMBER(P2338),ISNUMBER(Q2338),ABS(O2338-P2338-Q2338)&gt;1),"⚠ Haberes − descuentos no da el líquido","OK"))))))</f>
        <v/>
      </c>
      <c r="V2338" s="62" t="str">
        <f aca="false">IF(C2338="","",IFERROR(VALUE(LEFT(UPPER(SUBSTITUTE(SUBSTITUTE(SUBSTITUTE(TRIM(C2338),".",""),"-","")," ","")),LEN(UPPER(SUBSTITUTE(SUBSTITUTE(SUBSTITUTE(TRIM(C2338),".",""),"-","")," ","")))-1))&amp;RIGHT(UPPER(SUBSTITUTE(SUBSTITUTE(SUBSTITUTE(TRIM(C2338),".",""),"-","")," ","")),1),UPPER(SUBSTITUTE(SUBSTITUTE(SUBSTITUTE(TRIM(C2338),".",""),"-","")," ",""))))</f>
        <v/>
      </c>
    </row>
    <row r="2339" customFormat="false" ht="15" hidden="false" customHeight="false" outlineLevel="0" collapsed="false">
      <c r="B2339" s="80"/>
      <c r="C2339" s="58"/>
      <c r="D2339" s="62" t="str">
        <f aca="false">IF(C2339="","",IFERROR(INDEX(T_NOMBRE,MATCH(V2339,T_RUTN,0)),"⚠ RUT no está en Trabajadores"))</f>
        <v/>
      </c>
      <c r="E2339" s="61"/>
      <c r="F2339" s="61"/>
      <c r="G2339" s="61"/>
      <c r="H2339" s="61"/>
      <c r="I2339" s="81"/>
      <c r="J2339" s="81"/>
      <c r="K2339" s="60"/>
      <c r="L2339" s="60"/>
      <c r="M2339" s="60"/>
      <c r="N2339" s="60"/>
      <c r="O2339" s="60"/>
      <c r="P2339" s="60"/>
      <c r="Q2339" s="60"/>
      <c r="R2339" s="58"/>
      <c r="S2339" s="62" t="str">
        <f aca="false">IF(OR(B2339="",V2339=""),"",IFERROR(INDEX(C_TIPO,MATCH(V2339&amp;"-P"&amp;MAX(1,COUNTIFS(C_RUTN,V2339,C_DEF,"Sí",C_INI,"&lt;="&amp;EOMONTH(B2339,0))),C_CLAVE,0))&amp;"","Sin contrato"))</f>
        <v/>
      </c>
      <c r="T2339" s="63" t="str">
        <f aca="false">IF(OR(B2339="",N(O2339)=0),"",N(O2339)+ROUND(MIN(N(N2339),TOPE_UF*UF_MES)*(TASA_EMP+MUTUAL),0)+ROUND(MIN(N(N2339),TOPE_AFC_UF*UF_MES)*IF(S2339="Indefinido",AFC_INDEF,AFC_PF),0))</f>
        <v/>
      </c>
      <c r="U2339" s="62" t="str">
        <f aca="false">IF(C2339="","",IF(LEFT(D2339,1)="⚠","⚠ RUT no registrado en Trabajadores",IF(B2339="","⚠ Falta el mes",IF(OR(ISTEXT(I2339),ISTEXT(J2339)),"⚠ Atrasos u horas extra como texto: escriba hh:mm (ej. 1:30)",IF(AND(ISNUMBER(Q2339),COUNTIFS(M_RUTN,V2339,M_MES,B2339,M_LIQ,"&lt;&gt;")&gt;1),"⚠ Liquidación repetida en el mes",IF(AND(ISNUMBER(O2339),ISNUMBER(P2339),ISNUMBER(Q2339),ABS(O2339-P2339-Q2339)&gt;1),"⚠ Haberes − descuentos no da el líquido","OK"))))))</f>
        <v/>
      </c>
      <c r="V2339" s="62" t="str">
        <f aca="false">IF(C2339="","",IFERROR(VALUE(LEFT(UPPER(SUBSTITUTE(SUBSTITUTE(SUBSTITUTE(TRIM(C2339),".",""),"-","")," ","")),LEN(UPPER(SUBSTITUTE(SUBSTITUTE(SUBSTITUTE(TRIM(C2339),".",""),"-","")," ","")))-1))&amp;RIGHT(UPPER(SUBSTITUTE(SUBSTITUTE(SUBSTITUTE(TRIM(C2339),".",""),"-","")," ","")),1),UPPER(SUBSTITUTE(SUBSTITUTE(SUBSTITUTE(TRIM(C2339),".",""),"-","")," ",""))))</f>
        <v/>
      </c>
    </row>
    <row r="2340" customFormat="false" ht="15" hidden="false" customHeight="false" outlineLevel="0" collapsed="false">
      <c r="B2340" s="80"/>
      <c r="C2340" s="58"/>
      <c r="D2340" s="62" t="str">
        <f aca="false">IF(C2340="","",IFERROR(INDEX(T_NOMBRE,MATCH(V2340,T_RUTN,0)),"⚠ RUT no está en Trabajadores"))</f>
        <v/>
      </c>
      <c r="E2340" s="61"/>
      <c r="F2340" s="61"/>
      <c r="G2340" s="61"/>
      <c r="H2340" s="61"/>
      <c r="I2340" s="81"/>
      <c r="J2340" s="81"/>
      <c r="K2340" s="60"/>
      <c r="L2340" s="60"/>
      <c r="M2340" s="60"/>
      <c r="N2340" s="60"/>
      <c r="O2340" s="60"/>
      <c r="P2340" s="60"/>
      <c r="Q2340" s="60"/>
      <c r="R2340" s="58"/>
      <c r="S2340" s="62" t="str">
        <f aca="false">IF(OR(B2340="",V2340=""),"",IFERROR(INDEX(C_TIPO,MATCH(V2340&amp;"-P"&amp;MAX(1,COUNTIFS(C_RUTN,V2340,C_DEF,"Sí",C_INI,"&lt;="&amp;EOMONTH(B2340,0))),C_CLAVE,0))&amp;"","Sin contrato"))</f>
        <v/>
      </c>
      <c r="T2340" s="63" t="str">
        <f aca="false">IF(OR(B2340="",N(O2340)=0),"",N(O2340)+ROUND(MIN(N(N2340),TOPE_UF*UF_MES)*(TASA_EMP+MUTUAL),0)+ROUND(MIN(N(N2340),TOPE_AFC_UF*UF_MES)*IF(S2340="Indefinido",AFC_INDEF,AFC_PF),0))</f>
        <v/>
      </c>
      <c r="U2340" s="62" t="str">
        <f aca="false">IF(C2340="","",IF(LEFT(D2340,1)="⚠","⚠ RUT no registrado en Trabajadores",IF(B2340="","⚠ Falta el mes",IF(OR(ISTEXT(I2340),ISTEXT(J2340)),"⚠ Atrasos u horas extra como texto: escriba hh:mm (ej. 1:30)",IF(AND(ISNUMBER(Q2340),COUNTIFS(M_RUTN,V2340,M_MES,B2340,M_LIQ,"&lt;&gt;")&gt;1),"⚠ Liquidación repetida en el mes",IF(AND(ISNUMBER(O2340),ISNUMBER(P2340),ISNUMBER(Q2340),ABS(O2340-P2340-Q2340)&gt;1),"⚠ Haberes − descuentos no da el líquido","OK"))))))</f>
        <v/>
      </c>
      <c r="V2340" s="62" t="str">
        <f aca="false">IF(C2340="","",IFERROR(VALUE(LEFT(UPPER(SUBSTITUTE(SUBSTITUTE(SUBSTITUTE(TRIM(C2340),".",""),"-","")," ","")),LEN(UPPER(SUBSTITUTE(SUBSTITUTE(SUBSTITUTE(TRIM(C2340),".",""),"-","")," ","")))-1))&amp;RIGHT(UPPER(SUBSTITUTE(SUBSTITUTE(SUBSTITUTE(TRIM(C2340),".",""),"-","")," ","")),1),UPPER(SUBSTITUTE(SUBSTITUTE(SUBSTITUTE(TRIM(C2340),".",""),"-","")," ",""))))</f>
        <v/>
      </c>
    </row>
    <row r="2341" customFormat="false" ht="15" hidden="false" customHeight="false" outlineLevel="0" collapsed="false">
      <c r="B2341" s="80"/>
      <c r="C2341" s="58"/>
      <c r="D2341" s="62" t="str">
        <f aca="false">IF(C2341="","",IFERROR(INDEX(T_NOMBRE,MATCH(V2341,T_RUTN,0)),"⚠ RUT no está en Trabajadores"))</f>
        <v/>
      </c>
      <c r="E2341" s="61"/>
      <c r="F2341" s="61"/>
      <c r="G2341" s="61"/>
      <c r="H2341" s="61"/>
      <c r="I2341" s="81"/>
      <c r="J2341" s="81"/>
      <c r="K2341" s="60"/>
      <c r="L2341" s="60"/>
      <c r="M2341" s="60"/>
      <c r="N2341" s="60"/>
      <c r="O2341" s="60"/>
      <c r="P2341" s="60"/>
      <c r="Q2341" s="60"/>
      <c r="R2341" s="58"/>
      <c r="S2341" s="62" t="str">
        <f aca="false">IF(OR(B2341="",V2341=""),"",IFERROR(INDEX(C_TIPO,MATCH(V2341&amp;"-P"&amp;MAX(1,COUNTIFS(C_RUTN,V2341,C_DEF,"Sí",C_INI,"&lt;="&amp;EOMONTH(B2341,0))),C_CLAVE,0))&amp;"","Sin contrato"))</f>
        <v/>
      </c>
      <c r="T2341" s="63" t="str">
        <f aca="false">IF(OR(B2341="",N(O2341)=0),"",N(O2341)+ROUND(MIN(N(N2341),TOPE_UF*UF_MES)*(TASA_EMP+MUTUAL),0)+ROUND(MIN(N(N2341),TOPE_AFC_UF*UF_MES)*IF(S2341="Indefinido",AFC_INDEF,AFC_PF),0))</f>
        <v/>
      </c>
      <c r="U2341" s="62" t="str">
        <f aca="false">IF(C2341="","",IF(LEFT(D2341,1)="⚠","⚠ RUT no registrado en Trabajadores",IF(B2341="","⚠ Falta el mes",IF(OR(ISTEXT(I2341),ISTEXT(J2341)),"⚠ Atrasos u horas extra como texto: escriba hh:mm (ej. 1:30)",IF(AND(ISNUMBER(Q2341),COUNTIFS(M_RUTN,V2341,M_MES,B2341,M_LIQ,"&lt;&gt;")&gt;1),"⚠ Liquidación repetida en el mes",IF(AND(ISNUMBER(O2341),ISNUMBER(P2341),ISNUMBER(Q2341),ABS(O2341-P2341-Q2341)&gt;1),"⚠ Haberes − descuentos no da el líquido","OK"))))))</f>
        <v/>
      </c>
      <c r="V2341" s="62" t="str">
        <f aca="false">IF(C2341="","",IFERROR(VALUE(LEFT(UPPER(SUBSTITUTE(SUBSTITUTE(SUBSTITUTE(TRIM(C2341),".",""),"-","")," ","")),LEN(UPPER(SUBSTITUTE(SUBSTITUTE(SUBSTITUTE(TRIM(C2341),".",""),"-","")," ","")))-1))&amp;RIGHT(UPPER(SUBSTITUTE(SUBSTITUTE(SUBSTITUTE(TRIM(C2341),".",""),"-","")," ","")),1),UPPER(SUBSTITUTE(SUBSTITUTE(SUBSTITUTE(TRIM(C2341),".",""),"-","")," ",""))))</f>
        <v/>
      </c>
    </row>
    <row r="2342" customFormat="false" ht="15" hidden="false" customHeight="false" outlineLevel="0" collapsed="false">
      <c r="B2342" s="80"/>
      <c r="C2342" s="58"/>
      <c r="D2342" s="62" t="str">
        <f aca="false">IF(C2342="","",IFERROR(INDEX(T_NOMBRE,MATCH(V2342,T_RUTN,0)),"⚠ RUT no está en Trabajadores"))</f>
        <v/>
      </c>
      <c r="E2342" s="61"/>
      <c r="F2342" s="61"/>
      <c r="G2342" s="61"/>
      <c r="H2342" s="61"/>
      <c r="I2342" s="81"/>
      <c r="J2342" s="81"/>
      <c r="K2342" s="60"/>
      <c r="L2342" s="60"/>
      <c r="M2342" s="60"/>
      <c r="N2342" s="60"/>
      <c r="O2342" s="60"/>
      <c r="P2342" s="60"/>
      <c r="Q2342" s="60"/>
      <c r="R2342" s="58"/>
      <c r="S2342" s="62" t="str">
        <f aca="false">IF(OR(B2342="",V2342=""),"",IFERROR(INDEX(C_TIPO,MATCH(V2342&amp;"-P"&amp;MAX(1,COUNTIFS(C_RUTN,V2342,C_DEF,"Sí",C_INI,"&lt;="&amp;EOMONTH(B2342,0))),C_CLAVE,0))&amp;"","Sin contrato"))</f>
        <v/>
      </c>
      <c r="T2342" s="63" t="str">
        <f aca="false">IF(OR(B2342="",N(O2342)=0),"",N(O2342)+ROUND(MIN(N(N2342),TOPE_UF*UF_MES)*(TASA_EMP+MUTUAL),0)+ROUND(MIN(N(N2342),TOPE_AFC_UF*UF_MES)*IF(S2342="Indefinido",AFC_INDEF,AFC_PF),0))</f>
        <v/>
      </c>
      <c r="U2342" s="62" t="str">
        <f aca="false">IF(C2342="","",IF(LEFT(D2342,1)="⚠","⚠ RUT no registrado en Trabajadores",IF(B2342="","⚠ Falta el mes",IF(OR(ISTEXT(I2342),ISTEXT(J2342)),"⚠ Atrasos u horas extra como texto: escriba hh:mm (ej. 1:30)",IF(AND(ISNUMBER(Q2342),COUNTIFS(M_RUTN,V2342,M_MES,B2342,M_LIQ,"&lt;&gt;")&gt;1),"⚠ Liquidación repetida en el mes",IF(AND(ISNUMBER(O2342),ISNUMBER(P2342),ISNUMBER(Q2342),ABS(O2342-P2342-Q2342)&gt;1),"⚠ Haberes − descuentos no da el líquido","OK"))))))</f>
        <v/>
      </c>
      <c r="V2342" s="62" t="str">
        <f aca="false">IF(C2342="","",IFERROR(VALUE(LEFT(UPPER(SUBSTITUTE(SUBSTITUTE(SUBSTITUTE(TRIM(C2342),".",""),"-","")," ","")),LEN(UPPER(SUBSTITUTE(SUBSTITUTE(SUBSTITUTE(TRIM(C2342),".",""),"-","")," ","")))-1))&amp;RIGHT(UPPER(SUBSTITUTE(SUBSTITUTE(SUBSTITUTE(TRIM(C2342),".",""),"-","")," ","")),1),UPPER(SUBSTITUTE(SUBSTITUTE(SUBSTITUTE(TRIM(C2342),".",""),"-","")," ",""))))</f>
        <v/>
      </c>
    </row>
    <row r="2343" customFormat="false" ht="15" hidden="false" customHeight="false" outlineLevel="0" collapsed="false">
      <c r="B2343" s="80"/>
      <c r="C2343" s="58"/>
      <c r="D2343" s="62" t="str">
        <f aca="false">IF(C2343="","",IFERROR(INDEX(T_NOMBRE,MATCH(V2343,T_RUTN,0)),"⚠ RUT no está en Trabajadores"))</f>
        <v/>
      </c>
      <c r="E2343" s="61"/>
      <c r="F2343" s="61"/>
      <c r="G2343" s="61"/>
      <c r="H2343" s="61"/>
      <c r="I2343" s="81"/>
      <c r="J2343" s="81"/>
      <c r="K2343" s="60"/>
      <c r="L2343" s="60"/>
      <c r="M2343" s="60"/>
      <c r="N2343" s="60"/>
      <c r="O2343" s="60"/>
      <c r="P2343" s="60"/>
      <c r="Q2343" s="60"/>
      <c r="R2343" s="58"/>
      <c r="S2343" s="62" t="str">
        <f aca="false">IF(OR(B2343="",V2343=""),"",IFERROR(INDEX(C_TIPO,MATCH(V2343&amp;"-P"&amp;MAX(1,COUNTIFS(C_RUTN,V2343,C_DEF,"Sí",C_INI,"&lt;="&amp;EOMONTH(B2343,0))),C_CLAVE,0))&amp;"","Sin contrato"))</f>
        <v/>
      </c>
      <c r="T2343" s="63" t="str">
        <f aca="false">IF(OR(B2343="",N(O2343)=0),"",N(O2343)+ROUND(MIN(N(N2343),TOPE_UF*UF_MES)*(TASA_EMP+MUTUAL),0)+ROUND(MIN(N(N2343),TOPE_AFC_UF*UF_MES)*IF(S2343="Indefinido",AFC_INDEF,AFC_PF),0))</f>
        <v/>
      </c>
      <c r="U2343" s="62" t="str">
        <f aca="false">IF(C2343="","",IF(LEFT(D2343,1)="⚠","⚠ RUT no registrado en Trabajadores",IF(B2343="","⚠ Falta el mes",IF(OR(ISTEXT(I2343),ISTEXT(J2343)),"⚠ Atrasos u horas extra como texto: escriba hh:mm (ej. 1:30)",IF(AND(ISNUMBER(Q2343),COUNTIFS(M_RUTN,V2343,M_MES,B2343,M_LIQ,"&lt;&gt;")&gt;1),"⚠ Liquidación repetida en el mes",IF(AND(ISNUMBER(O2343),ISNUMBER(P2343),ISNUMBER(Q2343),ABS(O2343-P2343-Q2343)&gt;1),"⚠ Haberes − descuentos no da el líquido","OK"))))))</f>
        <v/>
      </c>
      <c r="V2343" s="62" t="str">
        <f aca="false">IF(C2343="","",IFERROR(VALUE(LEFT(UPPER(SUBSTITUTE(SUBSTITUTE(SUBSTITUTE(TRIM(C2343),".",""),"-","")," ","")),LEN(UPPER(SUBSTITUTE(SUBSTITUTE(SUBSTITUTE(TRIM(C2343),".",""),"-","")," ","")))-1))&amp;RIGHT(UPPER(SUBSTITUTE(SUBSTITUTE(SUBSTITUTE(TRIM(C2343),".",""),"-","")," ","")),1),UPPER(SUBSTITUTE(SUBSTITUTE(SUBSTITUTE(TRIM(C2343),".",""),"-","")," ",""))))</f>
        <v/>
      </c>
    </row>
    <row r="2344" customFormat="false" ht="15" hidden="false" customHeight="false" outlineLevel="0" collapsed="false">
      <c r="B2344" s="80"/>
      <c r="C2344" s="58"/>
      <c r="D2344" s="62" t="str">
        <f aca="false">IF(C2344="","",IFERROR(INDEX(T_NOMBRE,MATCH(V2344,T_RUTN,0)),"⚠ RUT no está en Trabajadores"))</f>
        <v/>
      </c>
      <c r="E2344" s="61"/>
      <c r="F2344" s="61"/>
      <c r="G2344" s="61"/>
      <c r="H2344" s="61"/>
      <c r="I2344" s="81"/>
      <c r="J2344" s="81"/>
      <c r="K2344" s="60"/>
      <c r="L2344" s="60"/>
      <c r="M2344" s="60"/>
      <c r="N2344" s="60"/>
      <c r="O2344" s="60"/>
      <c r="P2344" s="60"/>
      <c r="Q2344" s="60"/>
      <c r="R2344" s="58"/>
      <c r="S2344" s="62" t="str">
        <f aca="false">IF(OR(B2344="",V2344=""),"",IFERROR(INDEX(C_TIPO,MATCH(V2344&amp;"-P"&amp;MAX(1,COUNTIFS(C_RUTN,V2344,C_DEF,"Sí",C_INI,"&lt;="&amp;EOMONTH(B2344,0))),C_CLAVE,0))&amp;"","Sin contrato"))</f>
        <v/>
      </c>
      <c r="T2344" s="63" t="str">
        <f aca="false">IF(OR(B2344="",N(O2344)=0),"",N(O2344)+ROUND(MIN(N(N2344),TOPE_UF*UF_MES)*(TASA_EMP+MUTUAL),0)+ROUND(MIN(N(N2344),TOPE_AFC_UF*UF_MES)*IF(S2344="Indefinido",AFC_INDEF,AFC_PF),0))</f>
        <v/>
      </c>
      <c r="U2344" s="62" t="str">
        <f aca="false">IF(C2344="","",IF(LEFT(D2344,1)="⚠","⚠ RUT no registrado en Trabajadores",IF(B2344="","⚠ Falta el mes",IF(OR(ISTEXT(I2344),ISTEXT(J2344)),"⚠ Atrasos u horas extra como texto: escriba hh:mm (ej. 1:30)",IF(AND(ISNUMBER(Q2344),COUNTIFS(M_RUTN,V2344,M_MES,B2344,M_LIQ,"&lt;&gt;")&gt;1),"⚠ Liquidación repetida en el mes",IF(AND(ISNUMBER(O2344),ISNUMBER(P2344),ISNUMBER(Q2344),ABS(O2344-P2344-Q2344)&gt;1),"⚠ Haberes − descuentos no da el líquido","OK"))))))</f>
        <v/>
      </c>
      <c r="V2344" s="62" t="str">
        <f aca="false">IF(C2344="","",IFERROR(VALUE(LEFT(UPPER(SUBSTITUTE(SUBSTITUTE(SUBSTITUTE(TRIM(C2344),".",""),"-","")," ","")),LEN(UPPER(SUBSTITUTE(SUBSTITUTE(SUBSTITUTE(TRIM(C2344),".",""),"-","")," ","")))-1))&amp;RIGHT(UPPER(SUBSTITUTE(SUBSTITUTE(SUBSTITUTE(TRIM(C2344),".",""),"-","")," ","")),1),UPPER(SUBSTITUTE(SUBSTITUTE(SUBSTITUTE(TRIM(C2344),".",""),"-","")," ",""))))</f>
        <v/>
      </c>
    </row>
    <row r="2345" customFormat="false" ht="15" hidden="false" customHeight="false" outlineLevel="0" collapsed="false">
      <c r="B2345" s="80"/>
      <c r="C2345" s="58"/>
      <c r="D2345" s="62" t="str">
        <f aca="false">IF(C2345="","",IFERROR(INDEX(T_NOMBRE,MATCH(V2345,T_RUTN,0)),"⚠ RUT no está en Trabajadores"))</f>
        <v/>
      </c>
      <c r="E2345" s="61"/>
      <c r="F2345" s="61"/>
      <c r="G2345" s="61"/>
      <c r="H2345" s="61"/>
      <c r="I2345" s="81"/>
      <c r="J2345" s="81"/>
      <c r="K2345" s="60"/>
      <c r="L2345" s="60"/>
      <c r="M2345" s="60"/>
      <c r="N2345" s="60"/>
      <c r="O2345" s="60"/>
      <c r="P2345" s="60"/>
      <c r="Q2345" s="60"/>
      <c r="R2345" s="58"/>
      <c r="S2345" s="62" t="str">
        <f aca="false">IF(OR(B2345="",V2345=""),"",IFERROR(INDEX(C_TIPO,MATCH(V2345&amp;"-P"&amp;MAX(1,COUNTIFS(C_RUTN,V2345,C_DEF,"Sí",C_INI,"&lt;="&amp;EOMONTH(B2345,0))),C_CLAVE,0))&amp;"","Sin contrato"))</f>
        <v/>
      </c>
      <c r="T2345" s="63" t="str">
        <f aca="false">IF(OR(B2345="",N(O2345)=0),"",N(O2345)+ROUND(MIN(N(N2345),TOPE_UF*UF_MES)*(TASA_EMP+MUTUAL),0)+ROUND(MIN(N(N2345),TOPE_AFC_UF*UF_MES)*IF(S2345="Indefinido",AFC_INDEF,AFC_PF),0))</f>
        <v/>
      </c>
      <c r="U2345" s="62" t="str">
        <f aca="false">IF(C2345="","",IF(LEFT(D2345,1)="⚠","⚠ RUT no registrado en Trabajadores",IF(B2345="","⚠ Falta el mes",IF(OR(ISTEXT(I2345),ISTEXT(J2345)),"⚠ Atrasos u horas extra como texto: escriba hh:mm (ej. 1:30)",IF(AND(ISNUMBER(Q2345),COUNTIFS(M_RUTN,V2345,M_MES,B2345,M_LIQ,"&lt;&gt;")&gt;1),"⚠ Liquidación repetida en el mes",IF(AND(ISNUMBER(O2345),ISNUMBER(P2345),ISNUMBER(Q2345),ABS(O2345-P2345-Q2345)&gt;1),"⚠ Haberes − descuentos no da el líquido","OK"))))))</f>
        <v/>
      </c>
      <c r="V2345" s="62" t="str">
        <f aca="false">IF(C2345="","",IFERROR(VALUE(LEFT(UPPER(SUBSTITUTE(SUBSTITUTE(SUBSTITUTE(TRIM(C2345),".",""),"-","")," ","")),LEN(UPPER(SUBSTITUTE(SUBSTITUTE(SUBSTITUTE(TRIM(C2345),".",""),"-","")," ","")))-1))&amp;RIGHT(UPPER(SUBSTITUTE(SUBSTITUTE(SUBSTITUTE(TRIM(C2345),".",""),"-","")," ","")),1),UPPER(SUBSTITUTE(SUBSTITUTE(SUBSTITUTE(TRIM(C2345),".",""),"-","")," ",""))))</f>
        <v/>
      </c>
    </row>
    <row r="2346" customFormat="false" ht="15" hidden="false" customHeight="false" outlineLevel="0" collapsed="false">
      <c r="B2346" s="80"/>
      <c r="C2346" s="58"/>
      <c r="D2346" s="62" t="str">
        <f aca="false">IF(C2346="","",IFERROR(INDEX(T_NOMBRE,MATCH(V2346,T_RUTN,0)),"⚠ RUT no está en Trabajadores"))</f>
        <v/>
      </c>
      <c r="E2346" s="61"/>
      <c r="F2346" s="61"/>
      <c r="G2346" s="61"/>
      <c r="H2346" s="61"/>
      <c r="I2346" s="81"/>
      <c r="J2346" s="81"/>
      <c r="K2346" s="60"/>
      <c r="L2346" s="60"/>
      <c r="M2346" s="60"/>
      <c r="N2346" s="60"/>
      <c r="O2346" s="60"/>
      <c r="P2346" s="60"/>
      <c r="Q2346" s="60"/>
      <c r="R2346" s="58"/>
      <c r="S2346" s="62" t="str">
        <f aca="false">IF(OR(B2346="",V2346=""),"",IFERROR(INDEX(C_TIPO,MATCH(V2346&amp;"-P"&amp;MAX(1,COUNTIFS(C_RUTN,V2346,C_DEF,"Sí",C_INI,"&lt;="&amp;EOMONTH(B2346,0))),C_CLAVE,0))&amp;"","Sin contrato"))</f>
        <v/>
      </c>
      <c r="T2346" s="63" t="str">
        <f aca="false">IF(OR(B2346="",N(O2346)=0),"",N(O2346)+ROUND(MIN(N(N2346),TOPE_UF*UF_MES)*(TASA_EMP+MUTUAL),0)+ROUND(MIN(N(N2346),TOPE_AFC_UF*UF_MES)*IF(S2346="Indefinido",AFC_INDEF,AFC_PF),0))</f>
        <v/>
      </c>
      <c r="U2346" s="62" t="str">
        <f aca="false">IF(C2346="","",IF(LEFT(D2346,1)="⚠","⚠ RUT no registrado en Trabajadores",IF(B2346="","⚠ Falta el mes",IF(OR(ISTEXT(I2346),ISTEXT(J2346)),"⚠ Atrasos u horas extra como texto: escriba hh:mm (ej. 1:30)",IF(AND(ISNUMBER(Q2346),COUNTIFS(M_RUTN,V2346,M_MES,B2346,M_LIQ,"&lt;&gt;")&gt;1),"⚠ Liquidación repetida en el mes",IF(AND(ISNUMBER(O2346),ISNUMBER(P2346),ISNUMBER(Q2346),ABS(O2346-P2346-Q2346)&gt;1),"⚠ Haberes − descuentos no da el líquido","OK"))))))</f>
        <v/>
      </c>
      <c r="V2346" s="62" t="str">
        <f aca="false">IF(C2346="","",IFERROR(VALUE(LEFT(UPPER(SUBSTITUTE(SUBSTITUTE(SUBSTITUTE(TRIM(C2346),".",""),"-","")," ","")),LEN(UPPER(SUBSTITUTE(SUBSTITUTE(SUBSTITUTE(TRIM(C2346),".",""),"-","")," ","")))-1))&amp;RIGHT(UPPER(SUBSTITUTE(SUBSTITUTE(SUBSTITUTE(TRIM(C2346),".",""),"-","")," ","")),1),UPPER(SUBSTITUTE(SUBSTITUTE(SUBSTITUTE(TRIM(C2346),".",""),"-","")," ",""))))</f>
        <v/>
      </c>
    </row>
    <row r="2347" customFormat="false" ht="15" hidden="false" customHeight="false" outlineLevel="0" collapsed="false">
      <c r="B2347" s="80"/>
      <c r="C2347" s="58"/>
      <c r="D2347" s="62" t="str">
        <f aca="false">IF(C2347="","",IFERROR(INDEX(T_NOMBRE,MATCH(V2347,T_RUTN,0)),"⚠ RUT no está en Trabajadores"))</f>
        <v/>
      </c>
      <c r="E2347" s="61"/>
      <c r="F2347" s="61"/>
      <c r="G2347" s="61"/>
      <c r="H2347" s="61"/>
      <c r="I2347" s="81"/>
      <c r="J2347" s="81"/>
      <c r="K2347" s="60"/>
      <c r="L2347" s="60"/>
      <c r="M2347" s="60"/>
      <c r="N2347" s="60"/>
      <c r="O2347" s="60"/>
      <c r="P2347" s="60"/>
      <c r="Q2347" s="60"/>
      <c r="R2347" s="58"/>
      <c r="S2347" s="62" t="str">
        <f aca="false">IF(OR(B2347="",V2347=""),"",IFERROR(INDEX(C_TIPO,MATCH(V2347&amp;"-P"&amp;MAX(1,COUNTIFS(C_RUTN,V2347,C_DEF,"Sí",C_INI,"&lt;="&amp;EOMONTH(B2347,0))),C_CLAVE,0))&amp;"","Sin contrato"))</f>
        <v/>
      </c>
      <c r="T2347" s="63" t="str">
        <f aca="false">IF(OR(B2347="",N(O2347)=0),"",N(O2347)+ROUND(MIN(N(N2347),TOPE_UF*UF_MES)*(TASA_EMP+MUTUAL),0)+ROUND(MIN(N(N2347),TOPE_AFC_UF*UF_MES)*IF(S2347="Indefinido",AFC_INDEF,AFC_PF),0))</f>
        <v/>
      </c>
      <c r="U2347" s="62" t="str">
        <f aca="false">IF(C2347="","",IF(LEFT(D2347,1)="⚠","⚠ RUT no registrado en Trabajadores",IF(B2347="","⚠ Falta el mes",IF(OR(ISTEXT(I2347),ISTEXT(J2347)),"⚠ Atrasos u horas extra como texto: escriba hh:mm (ej. 1:30)",IF(AND(ISNUMBER(Q2347),COUNTIFS(M_RUTN,V2347,M_MES,B2347,M_LIQ,"&lt;&gt;")&gt;1),"⚠ Liquidación repetida en el mes",IF(AND(ISNUMBER(O2347),ISNUMBER(P2347),ISNUMBER(Q2347),ABS(O2347-P2347-Q2347)&gt;1),"⚠ Haberes − descuentos no da el líquido","OK"))))))</f>
        <v/>
      </c>
      <c r="V2347" s="62" t="str">
        <f aca="false">IF(C2347="","",IFERROR(VALUE(LEFT(UPPER(SUBSTITUTE(SUBSTITUTE(SUBSTITUTE(TRIM(C2347),".",""),"-","")," ","")),LEN(UPPER(SUBSTITUTE(SUBSTITUTE(SUBSTITUTE(TRIM(C2347),".",""),"-","")," ","")))-1))&amp;RIGHT(UPPER(SUBSTITUTE(SUBSTITUTE(SUBSTITUTE(TRIM(C2347),".",""),"-","")," ","")),1),UPPER(SUBSTITUTE(SUBSTITUTE(SUBSTITUTE(TRIM(C2347),".",""),"-","")," ",""))))</f>
        <v/>
      </c>
    </row>
    <row r="2348" customFormat="false" ht="15" hidden="false" customHeight="false" outlineLevel="0" collapsed="false">
      <c r="B2348" s="80"/>
      <c r="C2348" s="58"/>
      <c r="D2348" s="62" t="str">
        <f aca="false">IF(C2348="","",IFERROR(INDEX(T_NOMBRE,MATCH(V2348,T_RUTN,0)),"⚠ RUT no está en Trabajadores"))</f>
        <v/>
      </c>
      <c r="E2348" s="61"/>
      <c r="F2348" s="61"/>
      <c r="G2348" s="61"/>
      <c r="H2348" s="61"/>
      <c r="I2348" s="81"/>
      <c r="J2348" s="81"/>
      <c r="K2348" s="60"/>
      <c r="L2348" s="60"/>
      <c r="M2348" s="60"/>
      <c r="N2348" s="60"/>
      <c r="O2348" s="60"/>
      <c r="P2348" s="60"/>
      <c r="Q2348" s="60"/>
      <c r="R2348" s="58"/>
      <c r="S2348" s="62" t="str">
        <f aca="false">IF(OR(B2348="",V2348=""),"",IFERROR(INDEX(C_TIPO,MATCH(V2348&amp;"-P"&amp;MAX(1,COUNTIFS(C_RUTN,V2348,C_DEF,"Sí",C_INI,"&lt;="&amp;EOMONTH(B2348,0))),C_CLAVE,0))&amp;"","Sin contrato"))</f>
        <v/>
      </c>
      <c r="T2348" s="63" t="str">
        <f aca="false">IF(OR(B2348="",N(O2348)=0),"",N(O2348)+ROUND(MIN(N(N2348),TOPE_UF*UF_MES)*(TASA_EMP+MUTUAL),0)+ROUND(MIN(N(N2348),TOPE_AFC_UF*UF_MES)*IF(S2348="Indefinido",AFC_INDEF,AFC_PF),0))</f>
        <v/>
      </c>
      <c r="U2348" s="62" t="str">
        <f aca="false">IF(C2348="","",IF(LEFT(D2348,1)="⚠","⚠ RUT no registrado en Trabajadores",IF(B2348="","⚠ Falta el mes",IF(OR(ISTEXT(I2348),ISTEXT(J2348)),"⚠ Atrasos u horas extra como texto: escriba hh:mm (ej. 1:30)",IF(AND(ISNUMBER(Q2348),COUNTIFS(M_RUTN,V2348,M_MES,B2348,M_LIQ,"&lt;&gt;")&gt;1),"⚠ Liquidación repetida en el mes",IF(AND(ISNUMBER(O2348),ISNUMBER(P2348),ISNUMBER(Q2348),ABS(O2348-P2348-Q2348)&gt;1),"⚠ Haberes − descuentos no da el líquido","OK"))))))</f>
        <v/>
      </c>
      <c r="V2348" s="62" t="str">
        <f aca="false">IF(C2348="","",IFERROR(VALUE(LEFT(UPPER(SUBSTITUTE(SUBSTITUTE(SUBSTITUTE(TRIM(C2348),".",""),"-","")," ","")),LEN(UPPER(SUBSTITUTE(SUBSTITUTE(SUBSTITUTE(TRIM(C2348),".",""),"-","")," ","")))-1))&amp;RIGHT(UPPER(SUBSTITUTE(SUBSTITUTE(SUBSTITUTE(TRIM(C2348),".",""),"-","")," ","")),1),UPPER(SUBSTITUTE(SUBSTITUTE(SUBSTITUTE(TRIM(C2348),".",""),"-","")," ",""))))</f>
        <v/>
      </c>
    </row>
    <row r="2349" customFormat="false" ht="15" hidden="false" customHeight="false" outlineLevel="0" collapsed="false">
      <c r="B2349" s="80"/>
      <c r="C2349" s="58"/>
      <c r="D2349" s="62" t="str">
        <f aca="false">IF(C2349="","",IFERROR(INDEX(T_NOMBRE,MATCH(V2349,T_RUTN,0)),"⚠ RUT no está en Trabajadores"))</f>
        <v/>
      </c>
      <c r="E2349" s="61"/>
      <c r="F2349" s="61"/>
      <c r="G2349" s="61"/>
      <c r="H2349" s="61"/>
      <c r="I2349" s="81"/>
      <c r="J2349" s="81"/>
      <c r="K2349" s="60"/>
      <c r="L2349" s="60"/>
      <c r="M2349" s="60"/>
      <c r="N2349" s="60"/>
      <c r="O2349" s="60"/>
      <c r="P2349" s="60"/>
      <c r="Q2349" s="60"/>
      <c r="R2349" s="58"/>
      <c r="S2349" s="62" t="str">
        <f aca="false">IF(OR(B2349="",V2349=""),"",IFERROR(INDEX(C_TIPO,MATCH(V2349&amp;"-P"&amp;MAX(1,COUNTIFS(C_RUTN,V2349,C_DEF,"Sí",C_INI,"&lt;="&amp;EOMONTH(B2349,0))),C_CLAVE,0))&amp;"","Sin contrato"))</f>
        <v/>
      </c>
      <c r="T2349" s="63" t="str">
        <f aca="false">IF(OR(B2349="",N(O2349)=0),"",N(O2349)+ROUND(MIN(N(N2349),TOPE_UF*UF_MES)*(TASA_EMP+MUTUAL),0)+ROUND(MIN(N(N2349),TOPE_AFC_UF*UF_MES)*IF(S2349="Indefinido",AFC_INDEF,AFC_PF),0))</f>
        <v/>
      </c>
      <c r="U2349" s="62" t="str">
        <f aca="false">IF(C2349="","",IF(LEFT(D2349,1)="⚠","⚠ RUT no registrado en Trabajadores",IF(B2349="","⚠ Falta el mes",IF(OR(ISTEXT(I2349),ISTEXT(J2349)),"⚠ Atrasos u horas extra como texto: escriba hh:mm (ej. 1:30)",IF(AND(ISNUMBER(Q2349),COUNTIFS(M_RUTN,V2349,M_MES,B2349,M_LIQ,"&lt;&gt;")&gt;1),"⚠ Liquidación repetida en el mes",IF(AND(ISNUMBER(O2349),ISNUMBER(P2349),ISNUMBER(Q2349),ABS(O2349-P2349-Q2349)&gt;1),"⚠ Haberes − descuentos no da el líquido","OK"))))))</f>
        <v/>
      </c>
      <c r="V2349" s="62" t="str">
        <f aca="false">IF(C2349="","",IFERROR(VALUE(LEFT(UPPER(SUBSTITUTE(SUBSTITUTE(SUBSTITUTE(TRIM(C2349),".",""),"-","")," ","")),LEN(UPPER(SUBSTITUTE(SUBSTITUTE(SUBSTITUTE(TRIM(C2349),".",""),"-","")," ","")))-1))&amp;RIGHT(UPPER(SUBSTITUTE(SUBSTITUTE(SUBSTITUTE(TRIM(C2349),".",""),"-","")," ","")),1),UPPER(SUBSTITUTE(SUBSTITUTE(SUBSTITUTE(TRIM(C2349),".",""),"-","")," ",""))))</f>
        <v/>
      </c>
    </row>
    <row r="2350" customFormat="false" ht="15" hidden="false" customHeight="false" outlineLevel="0" collapsed="false">
      <c r="B2350" s="80"/>
      <c r="C2350" s="58"/>
      <c r="D2350" s="62" t="str">
        <f aca="false">IF(C2350="","",IFERROR(INDEX(T_NOMBRE,MATCH(V2350,T_RUTN,0)),"⚠ RUT no está en Trabajadores"))</f>
        <v/>
      </c>
      <c r="E2350" s="61"/>
      <c r="F2350" s="61"/>
      <c r="G2350" s="61"/>
      <c r="H2350" s="61"/>
      <c r="I2350" s="81"/>
      <c r="J2350" s="81"/>
      <c r="K2350" s="60"/>
      <c r="L2350" s="60"/>
      <c r="M2350" s="60"/>
      <c r="N2350" s="60"/>
      <c r="O2350" s="60"/>
      <c r="P2350" s="60"/>
      <c r="Q2350" s="60"/>
      <c r="R2350" s="58"/>
      <c r="S2350" s="62" t="str">
        <f aca="false">IF(OR(B2350="",V2350=""),"",IFERROR(INDEX(C_TIPO,MATCH(V2350&amp;"-P"&amp;MAX(1,COUNTIFS(C_RUTN,V2350,C_DEF,"Sí",C_INI,"&lt;="&amp;EOMONTH(B2350,0))),C_CLAVE,0))&amp;"","Sin contrato"))</f>
        <v/>
      </c>
      <c r="T2350" s="63" t="str">
        <f aca="false">IF(OR(B2350="",N(O2350)=0),"",N(O2350)+ROUND(MIN(N(N2350),TOPE_UF*UF_MES)*(TASA_EMP+MUTUAL),0)+ROUND(MIN(N(N2350),TOPE_AFC_UF*UF_MES)*IF(S2350="Indefinido",AFC_INDEF,AFC_PF),0))</f>
        <v/>
      </c>
      <c r="U2350" s="62" t="str">
        <f aca="false">IF(C2350="","",IF(LEFT(D2350,1)="⚠","⚠ RUT no registrado en Trabajadores",IF(B2350="","⚠ Falta el mes",IF(OR(ISTEXT(I2350),ISTEXT(J2350)),"⚠ Atrasos u horas extra como texto: escriba hh:mm (ej. 1:30)",IF(AND(ISNUMBER(Q2350),COUNTIFS(M_RUTN,V2350,M_MES,B2350,M_LIQ,"&lt;&gt;")&gt;1),"⚠ Liquidación repetida en el mes",IF(AND(ISNUMBER(O2350),ISNUMBER(P2350),ISNUMBER(Q2350),ABS(O2350-P2350-Q2350)&gt;1),"⚠ Haberes − descuentos no da el líquido","OK"))))))</f>
        <v/>
      </c>
      <c r="V2350" s="62" t="str">
        <f aca="false">IF(C2350="","",IFERROR(VALUE(LEFT(UPPER(SUBSTITUTE(SUBSTITUTE(SUBSTITUTE(TRIM(C2350),".",""),"-","")," ","")),LEN(UPPER(SUBSTITUTE(SUBSTITUTE(SUBSTITUTE(TRIM(C2350),".",""),"-","")," ","")))-1))&amp;RIGHT(UPPER(SUBSTITUTE(SUBSTITUTE(SUBSTITUTE(TRIM(C2350),".",""),"-","")," ","")),1),UPPER(SUBSTITUTE(SUBSTITUTE(SUBSTITUTE(TRIM(C2350),".",""),"-","")," ",""))))</f>
        <v/>
      </c>
    </row>
    <row r="2351" customFormat="false" ht="15" hidden="false" customHeight="false" outlineLevel="0" collapsed="false">
      <c r="B2351" s="80"/>
      <c r="C2351" s="58"/>
      <c r="D2351" s="62" t="str">
        <f aca="false">IF(C2351="","",IFERROR(INDEX(T_NOMBRE,MATCH(V2351,T_RUTN,0)),"⚠ RUT no está en Trabajadores"))</f>
        <v/>
      </c>
      <c r="E2351" s="61"/>
      <c r="F2351" s="61"/>
      <c r="G2351" s="61"/>
      <c r="H2351" s="61"/>
      <c r="I2351" s="81"/>
      <c r="J2351" s="81"/>
      <c r="K2351" s="60"/>
      <c r="L2351" s="60"/>
      <c r="M2351" s="60"/>
      <c r="N2351" s="60"/>
      <c r="O2351" s="60"/>
      <c r="P2351" s="60"/>
      <c r="Q2351" s="60"/>
      <c r="R2351" s="58"/>
      <c r="S2351" s="62" t="str">
        <f aca="false">IF(OR(B2351="",V2351=""),"",IFERROR(INDEX(C_TIPO,MATCH(V2351&amp;"-P"&amp;MAX(1,COUNTIFS(C_RUTN,V2351,C_DEF,"Sí",C_INI,"&lt;="&amp;EOMONTH(B2351,0))),C_CLAVE,0))&amp;"","Sin contrato"))</f>
        <v/>
      </c>
      <c r="T2351" s="63" t="str">
        <f aca="false">IF(OR(B2351="",N(O2351)=0),"",N(O2351)+ROUND(MIN(N(N2351),TOPE_UF*UF_MES)*(TASA_EMP+MUTUAL),0)+ROUND(MIN(N(N2351),TOPE_AFC_UF*UF_MES)*IF(S2351="Indefinido",AFC_INDEF,AFC_PF),0))</f>
        <v/>
      </c>
      <c r="U2351" s="62" t="str">
        <f aca="false">IF(C2351="","",IF(LEFT(D2351,1)="⚠","⚠ RUT no registrado en Trabajadores",IF(B2351="","⚠ Falta el mes",IF(OR(ISTEXT(I2351),ISTEXT(J2351)),"⚠ Atrasos u horas extra como texto: escriba hh:mm (ej. 1:30)",IF(AND(ISNUMBER(Q2351),COUNTIFS(M_RUTN,V2351,M_MES,B2351,M_LIQ,"&lt;&gt;")&gt;1),"⚠ Liquidación repetida en el mes",IF(AND(ISNUMBER(O2351),ISNUMBER(P2351),ISNUMBER(Q2351),ABS(O2351-P2351-Q2351)&gt;1),"⚠ Haberes − descuentos no da el líquido","OK"))))))</f>
        <v/>
      </c>
      <c r="V2351" s="62" t="str">
        <f aca="false">IF(C2351="","",IFERROR(VALUE(LEFT(UPPER(SUBSTITUTE(SUBSTITUTE(SUBSTITUTE(TRIM(C2351),".",""),"-","")," ","")),LEN(UPPER(SUBSTITUTE(SUBSTITUTE(SUBSTITUTE(TRIM(C2351),".",""),"-","")," ","")))-1))&amp;RIGHT(UPPER(SUBSTITUTE(SUBSTITUTE(SUBSTITUTE(TRIM(C2351),".",""),"-","")," ","")),1),UPPER(SUBSTITUTE(SUBSTITUTE(SUBSTITUTE(TRIM(C2351),".",""),"-","")," ",""))))</f>
        <v/>
      </c>
    </row>
    <row r="2352" customFormat="false" ht="15" hidden="false" customHeight="false" outlineLevel="0" collapsed="false">
      <c r="B2352" s="80"/>
      <c r="C2352" s="58"/>
      <c r="D2352" s="62" t="str">
        <f aca="false">IF(C2352="","",IFERROR(INDEX(T_NOMBRE,MATCH(V2352,T_RUTN,0)),"⚠ RUT no está en Trabajadores"))</f>
        <v/>
      </c>
      <c r="E2352" s="61"/>
      <c r="F2352" s="61"/>
      <c r="G2352" s="61"/>
      <c r="H2352" s="61"/>
      <c r="I2352" s="81"/>
      <c r="J2352" s="81"/>
      <c r="K2352" s="60"/>
      <c r="L2352" s="60"/>
      <c r="M2352" s="60"/>
      <c r="N2352" s="60"/>
      <c r="O2352" s="60"/>
      <c r="P2352" s="60"/>
      <c r="Q2352" s="60"/>
      <c r="R2352" s="58"/>
      <c r="S2352" s="62" t="str">
        <f aca="false">IF(OR(B2352="",V2352=""),"",IFERROR(INDEX(C_TIPO,MATCH(V2352&amp;"-P"&amp;MAX(1,COUNTIFS(C_RUTN,V2352,C_DEF,"Sí",C_INI,"&lt;="&amp;EOMONTH(B2352,0))),C_CLAVE,0))&amp;"","Sin contrato"))</f>
        <v/>
      </c>
      <c r="T2352" s="63" t="str">
        <f aca="false">IF(OR(B2352="",N(O2352)=0),"",N(O2352)+ROUND(MIN(N(N2352),TOPE_UF*UF_MES)*(TASA_EMP+MUTUAL),0)+ROUND(MIN(N(N2352),TOPE_AFC_UF*UF_MES)*IF(S2352="Indefinido",AFC_INDEF,AFC_PF),0))</f>
        <v/>
      </c>
      <c r="U2352" s="62" t="str">
        <f aca="false">IF(C2352="","",IF(LEFT(D2352,1)="⚠","⚠ RUT no registrado en Trabajadores",IF(B2352="","⚠ Falta el mes",IF(OR(ISTEXT(I2352),ISTEXT(J2352)),"⚠ Atrasos u horas extra como texto: escriba hh:mm (ej. 1:30)",IF(AND(ISNUMBER(Q2352),COUNTIFS(M_RUTN,V2352,M_MES,B2352,M_LIQ,"&lt;&gt;")&gt;1),"⚠ Liquidación repetida en el mes",IF(AND(ISNUMBER(O2352),ISNUMBER(P2352),ISNUMBER(Q2352),ABS(O2352-P2352-Q2352)&gt;1),"⚠ Haberes − descuentos no da el líquido","OK"))))))</f>
        <v/>
      </c>
      <c r="V2352" s="62" t="str">
        <f aca="false">IF(C2352="","",IFERROR(VALUE(LEFT(UPPER(SUBSTITUTE(SUBSTITUTE(SUBSTITUTE(TRIM(C2352),".",""),"-","")," ","")),LEN(UPPER(SUBSTITUTE(SUBSTITUTE(SUBSTITUTE(TRIM(C2352),".",""),"-","")," ","")))-1))&amp;RIGHT(UPPER(SUBSTITUTE(SUBSTITUTE(SUBSTITUTE(TRIM(C2352),".",""),"-","")," ","")),1),UPPER(SUBSTITUTE(SUBSTITUTE(SUBSTITUTE(TRIM(C2352),".",""),"-","")," ",""))))</f>
        <v/>
      </c>
    </row>
    <row r="2353" customFormat="false" ht="15" hidden="false" customHeight="false" outlineLevel="0" collapsed="false">
      <c r="B2353" s="80"/>
      <c r="C2353" s="58"/>
      <c r="D2353" s="62" t="str">
        <f aca="false">IF(C2353="","",IFERROR(INDEX(T_NOMBRE,MATCH(V2353,T_RUTN,0)),"⚠ RUT no está en Trabajadores"))</f>
        <v/>
      </c>
      <c r="E2353" s="61"/>
      <c r="F2353" s="61"/>
      <c r="G2353" s="61"/>
      <c r="H2353" s="61"/>
      <c r="I2353" s="81"/>
      <c r="J2353" s="81"/>
      <c r="K2353" s="60"/>
      <c r="L2353" s="60"/>
      <c r="M2353" s="60"/>
      <c r="N2353" s="60"/>
      <c r="O2353" s="60"/>
      <c r="P2353" s="60"/>
      <c r="Q2353" s="60"/>
      <c r="R2353" s="58"/>
      <c r="S2353" s="62" t="str">
        <f aca="false">IF(OR(B2353="",V2353=""),"",IFERROR(INDEX(C_TIPO,MATCH(V2353&amp;"-P"&amp;MAX(1,COUNTIFS(C_RUTN,V2353,C_DEF,"Sí",C_INI,"&lt;="&amp;EOMONTH(B2353,0))),C_CLAVE,0))&amp;"","Sin contrato"))</f>
        <v/>
      </c>
      <c r="T2353" s="63" t="str">
        <f aca="false">IF(OR(B2353="",N(O2353)=0),"",N(O2353)+ROUND(MIN(N(N2353),TOPE_UF*UF_MES)*(TASA_EMP+MUTUAL),0)+ROUND(MIN(N(N2353),TOPE_AFC_UF*UF_MES)*IF(S2353="Indefinido",AFC_INDEF,AFC_PF),0))</f>
        <v/>
      </c>
      <c r="U2353" s="62" t="str">
        <f aca="false">IF(C2353="","",IF(LEFT(D2353,1)="⚠","⚠ RUT no registrado en Trabajadores",IF(B2353="","⚠ Falta el mes",IF(OR(ISTEXT(I2353),ISTEXT(J2353)),"⚠ Atrasos u horas extra como texto: escriba hh:mm (ej. 1:30)",IF(AND(ISNUMBER(Q2353),COUNTIFS(M_RUTN,V2353,M_MES,B2353,M_LIQ,"&lt;&gt;")&gt;1),"⚠ Liquidación repetida en el mes",IF(AND(ISNUMBER(O2353),ISNUMBER(P2353),ISNUMBER(Q2353),ABS(O2353-P2353-Q2353)&gt;1),"⚠ Haberes − descuentos no da el líquido","OK"))))))</f>
        <v/>
      </c>
      <c r="V2353" s="62" t="str">
        <f aca="false">IF(C2353="","",IFERROR(VALUE(LEFT(UPPER(SUBSTITUTE(SUBSTITUTE(SUBSTITUTE(TRIM(C2353),".",""),"-","")," ","")),LEN(UPPER(SUBSTITUTE(SUBSTITUTE(SUBSTITUTE(TRIM(C2353),".",""),"-","")," ","")))-1))&amp;RIGHT(UPPER(SUBSTITUTE(SUBSTITUTE(SUBSTITUTE(TRIM(C2353),".",""),"-","")," ","")),1),UPPER(SUBSTITUTE(SUBSTITUTE(SUBSTITUTE(TRIM(C2353),".",""),"-","")," ",""))))</f>
        <v/>
      </c>
    </row>
    <row r="2354" customFormat="false" ht="15" hidden="false" customHeight="false" outlineLevel="0" collapsed="false">
      <c r="B2354" s="80"/>
      <c r="C2354" s="58"/>
      <c r="D2354" s="62" t="str">
        <f aca="false">IF(C2354="","",IFERROR(INDEX(T_NOMBRE,MATCH(V2354,T_RUTN,0)),"⚠ RUT no está en Trabajadores"))</f>
        <v/>
      </c>
      <c r="E2354" s="61"/>
      <c r="F2354" s="61"/>
      <c r="G2354" s="61"/>
      <c r="H2354" s="61"/>
      <c r="I2354" s="81"/>
      <c r="J2354" s="81"/>
      <c r="K2354" s="60"/>
      <c r="L2354" s="60"/>
      <c r="M2354" s="60"/>
      <c r="N2354" s="60"/>
      <c r="O2354" s="60"/>
      <c r="P2354" s="60"/>
      <c r="Q2354" s="60"/>
      <c r="R2354" s="58"/>
      <c r="S2354" s="62" t="str">
        <f aca="false">IF(OR(B2354="",V2354=""),"",IFERROR(INDEX(C_TIPO,MATCH(V2354&amp;"-P"&amp;MAX(1,COUNTIFS(C_RUTN,V2354,C_DEF,"Sí",C_INI,"&lt;="&amp;EOMONTH(B2354,0))),C_CLAVE,0))&amp;"","Sin contrato"))</f>
        <v/>
      </c>
      <c r="T2354" s="63" t="str">
        <f aca="false">IF(OR(B2354="",N(O2354)=0),"",N(O2354)+ROUND(MIN(N(N2354),TOPE_UF*UF_MES)*(TASA_EMP+MUTUAL),0)+ROUND(MIN(N(N2354),TOPE_AFC_UF*UF_MES)*IF(S2354="Indefinido",AFC_INDEF,AFC_PF),0))</f>
        <v/>
      </c>
      <c r="U2354" s="62" t="str">
        <f aca="false">IF(C2354="","",IF(LEFT(D2354,1)="⚠","⚠ RUT no registrado en Trabajadores",IF(B2354="","⚠ Falta el mes",IF(OR(ISTEXT(I2354),ISTEXT(J2354)),"⚠ Atrasos u horas extra como texto: escriba hh:mm (ej. 1:30)",IF(AND(ISNUMBER(Q2354),COUNTIFS(M_RUTN,V2354,M_MES,B2354,M_LIQ,"&lt;&gt;")&gt;1),"⚠ Liquidación repetida en el mes",IF(AND(ISNUMBER(O2354),ISNUMBER(P2354),ISNUMBER(Q2354),ABS(O2354-P2354-Q2354)&gt;1),"⚠ Haberes − descuentos no da el líquido","OK"))))))</f>
        <v/>
      </c>
      <c r="V2354" s="62" t="str">
        <f aca="false">IF(C2354="","",IFERROR(VALUE(LEFT(UPPER(SUBSTITUTE(SUBSTITUTE(SUBSTITUTE(TRIM(C2354),".",""),"-","")," ","")),LEN(UPPER(SUBSTITUTE(SUBSTITUTE(SUBSTITUTE(TRIM(C2354),".",""),"-","")," ","")))-1))&amp;RIGHT(UPPER(SUBSTITUTE(SUBSTITUTE(SUBSTITUTE(TRIM(C2354),".",""),"-","")," ","")),1),UPPER(SUBSTITUTE(SUBSTITUTE(SUBSTITUTE(TRIM(C2354),".",""),"-","")," ",""))))</f>
        <v/>
      </c>
    </row>
    <row r="2355" customFormat="false" ht="15" hidden="false" customHeight="false" outlineLevel="0" collapsed="false">
      <c r="B2355" s="80"/>
      <c r="C2355" s="58"/>
      <c r="D2355" s="62" t="str">
        <f aca="false">IF(C2355="","",IFERROR(INDEX(T_NOMBRE,MATCH(V2355,T_RUTN,0)),"⚠ RUT no está en Trabajadores"))</f>
        <v/>
      </c>
      <c r="E2355" s="61"/>
      <c r="F2355" s="61"/>
      <c r="G2355" s="61"/>
      <c r="H2355" s="61"/>
      <c r="I2355" s="81"/>
      <c r="J2355" s="81"/>
      <c r="K2355" s="60"/>
      <c r="L2355" s="60"/>
      <c r="M2355" s="60"/>
      <c r="N2355" s="60"/>
      <c r="O2355" s="60"/>
      <c r="P2355" s="60"/>
      <c r="Q2355" s="60"/>
      <c r="R2355" s="58"/>
      <c r="S2355" s="62" t="str">
        <f aca="false">IF(OR(B2355="",V2355=""),"",IFERROR(INDEX(C_TIPO,MATCH(V2355&amp;"-P"&amp;MAX(1,COUNTIFS(C_RUTN,V2355,C_DEF,"Sí",C_INI,"&lt;="&amp;EOMONTH(B2355,0))),C_CLAVE,0))&amp;"","Sin contrato"))</f>
        <v/>
      </c>
      <c r="T2355" s="63" t="str">
        <f aca="false">IF(OR(B2355="",N(O2355)=0),"",N(O2355)+ROUND(MIN(N(N2355),TOPE_UF*UF_MES)*(TASA_EMP+MUTUAL),0)+ROUND(MIN(N(N2355),TOPE_AFC_UF*UF_MES)*IF(S2355="Indefinido",AFC_INDEF,AFC_PF),0))</f>
        <v/>
      </c>
      <c r="U2355" s="62" t="str">
        <f aca="false">IF(C2355="","",IF(LEFT(D2355,1)="⚠","⚠ RUT no registrado en Trabajadores",IF(B2355="","⚠ Falta el mes",IF(OR(ISTEXT(I2355),ISTEXT(J2355)),"⚠ Atrasos u horas extra como texto: escriba hh:mm (ej. 1:30)",IF(AND(ISNUMBER(Q2355),COUNTIFS(M_RUTN,V2355,M_MES,B2355,M_LIQ,"&lt;&gt;")&gt;1),"⚠ Liquidación repetida en el mes",IF(AND(ISNUMBER(O2355),ISNUMBER(P2355),ISNUMBER(Q2355),ABS(O2355-P2355-Q2355)&gt;1),"⚠ Haberes − descuentos no da el líquido","OK"))))))</f>
        <v/>
      </c>
      <c r="V2355" s="62" t="str">
        <f aca="false">IF(C2355="","",IFERROR(VALUE(LEFT(UPPER(SUBSTITUTE(SUBSTITUTE(SUBSTITUTE(TRIM(C2355),".",""),"-","")," ","")),LEN(UPPER(SUBSTITUTE(SUBSTITUTE(SUBSTITUTE(TRIM(C2355),".",""),"-","")," ","")))-1))&amp;RIGHT(UPPER(SUBSTITUTE(SUBSTITUTE(SUBSTITUTE(TRIM(C2355),".",""),"-","")," ","")),1),UPPER(SUBSTITUTE(SUBSTITUTE(SUBSTITUTE(TRIM(C2355),".",""),"-","")," ",""))))</f>
        <v/>
      </c>
    </row>
    <row r="2356" customFormat="false" ht="15" hidden="false" customHeight="false" outlineLevel="0" collapsed="false">
      <c r="B2356" s="80"/>
      <c r="C2356" s="58"/>
      <c r="D2356" s="62" t="str">
        <f aca="false">IF(C2356="","",IFERROR(INDEX(T_NOMBRE,MATCH(V2356,T_RUTN,0)),"⚠ RUT no está en Trabajadores"))</f>
        <v/>
      </c>
      <c r="E2356" s="61"/>
      <c r="F2356" s="61"/>
      <c r="G2356" s="61"/>
      <c r="H2356" s="61"/>
      <c r="I2356" s="81"/>
      <c r="J2356" s="81"/>
      <c r="K2356" s="60"/>
      <c r="L2356" s="60"/>
      <c r="M2356" s="60"/>
      <c r="N2356" s="60"/>
      <c r="O2356" s="60"/>
      <c r="P2356" s="60"/>
      <c r="Q2356" s="60"/>
      <c r="R2356" s="58"/>
      <c r="S2356" s="62" t="str">
        <f aca="false">IF(OR(B2356="",V2356=""),"",IFERROR(INDEX(C_TIPO,MATCH(V2356&amp;"-P"&amp;MAX(1,COUNTIFS(C_RUTN,V2356,C_DEF,"Sí",C_INI,"&lt;="&amp;EOMONTH(B2356,0))),C_CLAVE,0))&amp;"","Sin contrato"))</f>
        <v/>
      </c>
      <c r="T2356" s="63" t="str">
        <f aca="false">IF(OR(B2356="",N(O2356)=0),"",N(O2356)+ROUND(MIN(N(N2356),TOPE_UF*UF_MES)*(TASA_EMP+MUTUAL),0)+ROUND(MIN(N(N2356),TOPE_AFC_UF*UF_MES)*IF(S2356="Indefinido",AFC_INDEF,AFC_PF),0))</f>
        <v/>
      </c>
      <c r="U2356" s="62" t="str">
        <f aca="false">IF(C2356="","",IF(LEFT(D2356,1)="⚠","⚠ RUT no registrado en Trabajadores",IF(B2356="","⚠ Falta el mes",IF(OR(ISTEXT(I2356),ISTEXT(J2356)),"⚠ Atrasos u horas extra como texto: escriba hh:mm (ej. 1:30)",IF(AND(ISNUMBER(Q2356),COUNTIFS(M_RUTN,V2356,M_MES,B2356,M_LIQ,"&lt;&gt;")&gt;1),"⚠ Liquidación repetida en el mes",IF(AND(ISNUMBER(O2356),ISNUMBER(P2356),ISNUMBER(Q2356),ABS(O2356-P2356-Q2356)&gt;1),"⚠ Haberes − descuentos no da el líquido","OK"))))))</f>
        <v/>
      </c>
      <c r="V2356" s="62" t="str">
        <f aca="false">IF(C2356="","",IFERROR(VALUE(LEFT(UPPER(SUBSTITUTE(SUBSTITUTE(SUBSTITUTE(TRIM(C2356),".",""),"-","")," ","")),LEN(UPPER(SUBSTITUTE(SUBSTITUTE(SUBSTITUTE(TRIM(C2356),".",""),"-","")," ","")))-1))&amp;RIGHT(UPPER(SUBSTITUTE(SUBSTITUTE(SUBSTITUTE(TRIM(C2356),".",""),"-","")," ","")),1),UPPER(SUBSTITUTE(SUBSTITUTE(SUBSTITUTE(TRIM(C2356),".",""),"-","")," ",""))))</f>
        <v/>
      </c>
    </row>
    <row r="2357" customFormat="false" ht="15" hidden="false" customHeight="false" outlineLevel="0" collapsed="false">
      <c r="B2357" s="80"/>
      <c r="C2357" s="58"/>
      <c r="D2357" s="62" t="str">
        <f aca="false">IF(C2357="","",IFERROR(INDEX(T_NOMBRE,MATCH(V2357,T_RUTN,0)),"⚠ RUT no está en Trabajadores"))</f>
        <v/>
      </c>
      <c r="E2357" s="61"/>
      <c r="F2357" s="61"/>
      <c r="G2357" s="61"/>
      <c r="H2357" s="61"/>
      <c r="I2357" s="81"/>
      <c r="J2357" s="81"/>
      <c r="K2357" s="60"/>
      <c r="L2357" s="60"/>
      <c r="M2357" s="60"/>
      <c r="N2357" s="60"/>
      <c r="O2357" s="60"/>
      <c r="P2357" s="60"/>
      <c r="Q2357" s="60"/>
      <c r="R2357" s="58"/>
      <c r="S2357" s="62" t="str">
        <f aca="false">IF(OR(B2357="",V2357=""),"",IFERROR(INDEX(C_TIPO,MATCH(V2357&amp;"-P"&amp;MAX(1,COUNTIFS(C_RUTN,V2357,C_DEF,"Sí",C_INI,"&lt;="&amp;EOMONTH(B2357,0))),C_CLAVE,0))&amp;"","Sin contrato"))</f>
        <v/>
      </c>
      <c r="T2357" s="63" t="str">
        <f aca="false">IF(OR(B2357="",N(O2357)=0),"",N(O2357)+ROUND(MIN(N(N2357),TOPE_UF*UF_MES)*(TASA_EMP+MUTUAL),0)+ROUND(MIN(N(N2357),TOPE_AFC_UF*UF_MES)*IF(S2357="Indefinido",AFC_INDEF,AFC_PF),0))</f>
        <v/>
      </c>
      <c r="U2357" s="62" t="str">
        <f aca="false">IF(C2357="","",IF(LEFT(D2357,1)="⚠","⚠ RUT no registrado en Trabajadores",IF(B2357="","⚠ Falta el mes",IF(OR(ISTEXT(I2357),ISTEXT(J2357)),"⚠ Atrasos u horas extra como texto: escriba hh:mm (ej. 1:30)",IF(AND(ISNUMBER(Q2357),COUNTIFS(M_RUTN,V2357,M_MES,B2357,M_LIQ,"&lt;&gt;")&gt;1),"⚠ Liquidación repetida en el mes",IF(AND(ISNUMBER(O2357),ISNUMBER(P2357),ISNUMBER(Q2357),ABS(O2357-P2357-Q2357)&gt;1),"⚠ Haberes − descuentos no da el líquido","OK"))))))</f>
        <v/>
      </c>
      <c r="V2357" s="62" t="str">
        <f aca="false">IF(C2357="","",IFERROR(VALUE(LEFT(UPPER(SUBSTITUTE(SUBSTITUTE(SUBSTITUTE(TRIM(C2357),".",""),"-","")," ","")),LEN(UPPER(SUBSTITUTE(SUBSTITUTE(SUBSTITUTE(TRIM(C2357),".",""),"-","")," ","")))-1))&amp;RIGHT(UPPER(SUBSTITUTE(SUBSTITUTE(SUBSTITUTE(TRIM(C2357),".",""),"-","")," ","")),1),UPPER(SUBSTITUTE(SUBSTITUTE(SUBSTITUTE(TRIM(C2357),".",""),"-","")," ",""))))</f>
        <v/>
      </c>
    </row>
    <row r="2358" customFormat="false" ht="15" hidden="false" customHeight="false" outlineLevel="0" collapsed="false">
      <c r="B2358" s="80"/>
      <c r="C2358" s="58"/>
      <c r="D2358" s="62" t="str">
        <f aca="false">IF(C2358="","",IFERROR(INDEX(T_NOMBRE,MATCH(V2358,T_RUTN,0)),"⚠ RUT no está en Trabajadores"))</f>
        <v/>
      </c>
      <c r="E2358" s="61"/>
      <c r="F2358" s="61"/>
      <c r="G2358" s="61"/>
      <c r="H2358" s="61"/>
      <c r="I2358" s="81"/>
      <c r="J2358" s="81"/>
      <c r="K2358" s="60"/>
      <c r="L2358" s="60"/>
      <c r="M2358" s="60"/>
      <c r="N2358" s="60"/>
      <c r="O2358" s="60"/>
      <c r="P2358" s="60"/>
      <c r="Q2358" s="60"/>
      <c r="R2358" s="58"/>
      <c r="S2358" s="62" t="str">
        <f aca="false">IF(OR(B2358="",V2358=""),"",IFERROR(INDEX(C_TIPO,MATCH(V2358&amp;"-P"&amp;MAX(1,COUNTIFS(C_RUTN,V2358,C_DEF,"Sí",C_INI,"&lt;="&amp;EOMONTH(B2358,0))),C_CLAVE,0))&amp;"","Sin contrato"))</f>
        <v/>
      </c>
      <c r="T2358" s="63" t="str">
        <f aca="false">IF(OR(B2358="",N(O2358)=0),"",N(O2358)+ROUND(MIN(N(N2358),TOPE_UF*UF_MES)*(TASA_EMP+MUTUAL),0)+ROUND(MIN(N(N2358),TOPE_AFC_UF*UF_MES)*IF(S2358="Indefinido",AFC_INDEF,AFC_PF),0))</f>
        <v/>
      </c>
      <c r="U2358" s="62" t="str">
        <f aca="false">IF(C2358="","",IF(LEFT(D2358,1)="⚠","⚠ RUT no registrado en Trabajadores",IF(B2358="","⚠ Falta el mes",IF(OR(ISTEXT(I2358),ISTEXT(J2358)),"⚠ Atrasos u horas extra como texto: escriba hh:mm (ej. 1:30)",IF(AND(ISNUMBER(Q2358),COUNTIFS(M_RUTN,V2358,M_MES,B2358,M_LIQ,"&lt;&gt;")&gt;1),"⚠ Liquidación repetida en el mes",IF(AND(ISNUMBER(O2358),ISNUMBER(P2358),ISNUMBER(Q2358),ABS(O2358-P2358-Q2358)&gt;1),"⚠ Haberes − descuentos no da el líquido","OK"))))))</f>
        <v/>
      </c>
      <c r="V2358" s="62" t="str">
        <f aca="false">IF(C2358="","",IFERROR(VALUE(LEFT(UPPER(SUBSTITUTE(SUBSTITUTE(SUBSTITUTE(TRIM(C2358),".",""),"-","")," ","")),LEN(UPPER(SUBSTITUTE(SUBSTITUTE(SUBSTITUTE(TRIM(C2358),".",""),"-","")," ","")))-1))&amp;RIGHT(UPPER(SUBSTITUTE(SUBSTITUTE(SUBSTITUTE(TRIM(C2358),".",""),"-","")," ","")),1),UPPER(SUBSTITUTE(SUBSTITUTE(SUBSTITUTE(TRIM(C2358),".",""),"-","")," ",""))))</f>
        <v/>
      </c>
    </row>
    <row r="2359" customFormat="false" ht="15" hidden="false" customHeight="false" outlineLevel="0" collapsed="false">
      <c r="B2359" s="80"/>
      <c r="C2359" s="58"/>
      <c r="D2359" s="62" t="str">
        <f aca="false">IF(C2359="","",IFERROR(INDEX(T_NOMBRE,MATCH(V2359,T_RUTN,0)),"⚠ RUT no está en Trabajadores"))</f>
        <v/>
      </c>
      <c r="E2359" s="61"/>
      <c r="F2359" s="61"/>
      <c r="G2359" s="61"/>
      <c r="H2359" s="61"/>
      <c r="I2359" s="81"/>
      <c r="J2359" s="81"/>
      <c r="K2359" s="60"/>
      <c r="L2359" s="60"/>
      <c r="M2359" s="60"/>
      <c r="N2359" s="60"/>
      <c r="O2359" s="60"/>
      <c r="P2359" s="60"/>
      <c r="Q2359" s="60"/>
      <c r="R2359" s="58"/>
      <c r="S2359" s="62" t="str">
        <f aca="false">IF(OR(B2359="",V2359=""),"",IFERROR(INDEX(C_TIPO,MATCH(V2359&amp;"-P"&amp;MAX(1,COUNTIFS(C_RUTN,V2359,C_DEF,"Sí",C_INI,"&lt;="&amp;EOMONTH(B2359,0))),C_CLAVE,0))&amp;"","Sin contrato"))</f>
        <v/>
      </c>
      <c r="T2359" s="63" t="str">
        <f aca="false">IF(OR(B2359="",N(O2359)=0),"",N(O2359)+ROUND(MIN(N(N2359),TOPE_UF*UF_MES)*(TASA_EMP+MUTUAL),0)+ROUND(MIN(N(N2359),TOPE_AFC_UF*UF_MES)*IF(S2359="Indefinido",AFC_INDEF,AFC_PF),0))</f>
        <v/>
      </c>
      <c r="U2359" s="62" t="str">
        <f aca="false">IF(C2359="","",IF(LEFT(D2359,1)="⚠","⚠ RUT no registrado en Trabajadores",IF(B2359="","⚠ Falta el mes",IF(OR(ISTEXT(I2359),ISTEXT(J2359)),"⚠ Atrasos u horas extra como texto: escriba hh:mm (ej. 1:30)",IF(AND(ISNUMBER(Q2359),COUNTIFS(M_RUTN,V2359,M_MES,B2359,M_LIQ,"&lt;&gt;")&gt;1),"⚠ Liquidación repetida en el mes",IF(AND(ISNUMBER(O2359),ISNUMBER(P2359),ISNUMBER(Q2359),ABS(O2359-P2359-Q2359)&gt;1),"⚠ Haberes − descuentos no da el líquido","OK"))))))</f>
        <v/>
      </c>
      <c r="V2359" s="62" t="str">
        <f aca="false">IF(C2359="","",IFERROR(VALUE(LEFT(UPPER(SUBSTITUTE(SUBSTITUTE(SUBSTITUTE(TRIM(C2359),".",""),"-","")," ","")),LEN(UPPER(SUBSTITUTE(SUBSTITUTE(SUBSTITUTE(TRIM(C2359),".",""),"-","")," ","")))-1))&amp;RIGHT(UPPER(SUBSTITUTE(SUBSTITUTE(SUBSTITUTE(TRIM(C2359),".",""),"-","")," ","")),1),UPPER(SUBSTITUTE(SUBSTITUTE(SUBSTITUTE(TRIM(C2359),".",""),"-","")," ",""))))</f>
        <v/>
      </c>
    </row>
    <row r="2360" customFormat="false" ht="15" hidden="false" customHeight="false" outlineLevel="0" collapsed="false">
      <c r="B2360" s="80"/>
      <c r="C2360" s="58"/>
      <c r="D2360" s="62" t="str">
        <f aca="false">IF(C2360="","",IFERROR(INDEX(T_NOMBRE,MATCH(V2360,T_RUTN,0)),"⚠ RUT no está en Trabajadores"))</f>
        <v/>
      </c>
      <c r="E2360" s="61"/>
      <c r="F2360" s="61"/>
      <c r="G2360" s="61"/>
      <c r="H2360" s="61"/>
      <c r="I2360" s="81"/>
      <c r="J2360" s="81"/>
      <c r="K2360" s="60"/>
      <c r="L2360" s="60"/>
      <c r="M2360" s="60"/>
      <c r="N2360" s="60"/>
      <c r="O2360" s="60"/>
      <c r="P2360" s="60"/>
      <c r="Q2360" s="60"/>
      <c r="R2360" s="58"/>
      <c r="S2360" s="62" t="str">
        <f aca="false">IF(OR(B2360="",V2360=""),"",IFERROR(INDEX(C_TIPO,MATCH(V2360&amp;"-P"&amp;MAX(1,COUNTIFS(C_RUTN,V2360,C_DEF,"Sí",C_INI,"&lt;="&amp;EOMONTH(B2360,0))),C_CLAVE,0))&amp;"","Sin contrato"))</f>
        <v/>
      </c>
      <c r="T2360" s="63" t="str">
        <f aca="false">IF(OR(B2360="",N(O2360)=0),"",N(O2360)+ROUND(MIN(N(N2360),TOPE_UF*UF_MES)*(TASA_EMP+MUTUAL),0)+ROUND(MIN(N(N2360),TOPE_AFC_UF*UF_MES)*IF(S2360="Indefinido",AFC_INDEF,AFC_PF),0))</f>
        <v/>
      </c>
      <c r="U2360" s="62" t="str">
        <f aca="false">IF(C2360="","",IF(LEFT(D2360,1)="⚠","⚠ RUT no registrado en Trabajadores",IF(B2360="","⚠ Falta el mes",IF(OR(ISTEXT(I2360),ISTEXT(J2360)),"⚠ Atrasos u horas extra como texto: escriba hh:mm (ej. 1:30)",IF(AND(ISNUMBER(Q2360),COUNTIFS(M_RUTN,V2360,M_MES,B2360,M_LIQ,"&lt;&gt;")&gt;1),"⚠ Liquidación repetida en el mes",IF(AND(ISNUMBER(O2360),ISNUMBER(P2360),ISNUMBER(Q2360),ABS(O2360-P2360-Q2360)&gt;1),"⚠ Haberes − descuentos no da el líquido","OK"))))))</f>
        <v/>
      </c>
      <c r="V2360" s="62" t="str">
        <f aca="false">IF(C2360="","",IFERROR(VALUE(LEFT(UPPER(SUBSTITUTE(SUBSTITUTE(SUBSTITUTE(TRIM(C2360),".",""),"-","")," ","")),LEN(UPPER(SUBSTITUTE(SUBSTITUTE(SUBSTITUTE(TRIM(C2360),".",""),"-","")," ","")))-1))&amp;RIGHT(UPPER(SUBSTITUTE(SUBSTITUTE(SUBSTITUTE(TRIM(C2360),".",""),"-","")," ","")),1),UPPER(SUBSTITUTE(SUBSTITUTE(SUBSTITUTE(TRIM(C2360),".",""),"-","")," ",""))))</f>
        <v/>
      </c>
    </row>
    <row r="2361" customFormat="false" ht="15" hidden="false" customHeight="false" outlineLevel="0" collapsed="false">
      <c r="B2361" s="80"/>
      <c r="C2361" s="58"/>
      <c r="D2361" s="62" t="str">
        <f aca="false">IF(C2361="","",IFERROR(INDEX(T_NOMBRE,MATCH(V2361,T_RUTN,0)),"⚠ RUT no está en Trabajadores"))</f>
        <v/>
      </c>
      <c r="E2361" s="61"/>
      <c r="F2361" s="61"/>
      <c r="G2361" s="61"/>
      <c r="H2361" s="61"/>
      <c r="I2361" s="81"/>
      <c r="J2361" s="81"/>
      <c r="K2361" s="60"/>
      <c r="L2361" s="60"/>
      <c r="M2361" s="60"/>
      <c r="N2361" s="60"/>
      <c r="O2361" s="60"/>
      <c r="P2361" s="60"/>
      <c r="Q2361" s="60"/>
      <c r="R2361" s="58"/>
      <c r="S2361" s="62" t="str">
        <f aca="false">IF(OR(B2361="",V2361=""),"",IFERROR(INDEX(C_TIPO,MATCH(V2361&amp;"-P"&amp;MAX(1,COUNTIFS(C_RUTN,V2361,C_DEF,"Sí",C_INI,"&lt;="&amp;EOMONTH(B2361,0))),C_CLAVE,0))&amp;"","Sin contrato"))</f>
        <v/>
      </c>
      <c r="T2361" s="63" t="str">
        <f aca="false">IF(OR(B2361="",N(O2361)=0),"",N(O2361)+ROUND(MIN(N(N2361),TOPE_UF*UF_MES)*(TASA_EMP+MUTUAL),0)+ROUND(MIN(N(N2361),TOPE_AFC_UF*UF_MES)*IF(S2361="Indefinido",AFC_INDEF,AFC_PF),0))</f>
        <v/>
      </c>
      <c r="U2361" s="62" t="str">
        <f aca="false">IF(C2361="","",IF(LEFT(D2361,1)="⚠","⚠ RUT no registrado en Trabajadores",IF(B2361="","⚠ Falta el mes",IF(OR(ISTEXT(I2361),ISTEXT(J2361)),"⚠ Atrasos u horas extra como texto: escriba hh:mm (ej. 1:30)",IF(AND(ISNUMBER(Q2361),COUNTIFS(M_RUTN,V2361,M_MES,B2361,M_LIQ,"&lt;&gt;")&gt;1),"⚠ Liquidación repetida en el mes",IF(AND(ISNUMBER(O2361),ISNUMBER(P2361),ISNUMBER(Q2361),ABS(O2361-P2361-Q2361)&gt;1),"⚠ Haberes − descuentos no da el líquido","OK"))))))</f>
        <v/>
      </c>
      <c r="V2361" s="62" t="str">
        <f aca="false">IF(C2361="","",IFERROR(VALUE(LEFT(UPPER(SUBSTITUTE(SUBSTITUTE(SUBSTITUTE(TRIM(C2361),".",""),"-","")," ","")),LEN(UPPER(SUBSTITUTE(SUBSTITUTE(SUBSTITUTE(TRIM(C2361),".",""),"-","")," ","")))-1))&amp;RIGHT(UPPER(SUBSTITUTE(SUBSTITUTE(SUBSTITUTE(TRIM(C2361),".",""),"-","")," ","")),1),UPPER(SUBSTITUTE(SUBSTITUTE(SUBSTITUTE(TRIM(C2361),".",""),"-","")," ",""))))</f>
        <v/>
      </c>
    </row>
    <row r="2362" customFormat="false" ht="15" hidden="false" customHeight="false" outlineLevel="0" collapsed="false">
      <c r="B2362" s="80"/>
      <c r="C2362" s="58"/>
      <c r="D2362" s="62" t="str">
        <f aca="false">IF(C2362="","",IFERROR(INDEX(T_NOMBRE,MATCH(V2362,T_RUTN,0)),"⚠ RUT no está en Trabajadores"))</f>
        <v/>
      </c>
      <c r="E2362" s="61"/>
      <c r="F2362" s="61"/>
      <c r="G2362" s="61"/>
      <c r="H2362" s="61"/>
      <c r="I2362" s="81"/>
      <c r="J2362" s="81"/>
      <c r="K2362" s="60"/>
      <c r="L2362" s="60"/>
      <c r="M2362" s="60"/>
      <c r="N2362" s="60"/>
      <c r="O2362" s="60"/>
      <c r="P2362" s="60"/>
      <c r="Q2362" s="60"/>
      <c r="R2362" s="58"/>
      <c r="S2362" s="62" t="str">
        <f aca="false">IF(OR(B2362="",V2362=""),"",IFERROR(INDEX(C_TIPO,MATCH(V2362&amp;"-P"&amp;MAX(1,COUNTIFS(C_RUTN,V2362,C_DEF,"Sí",C_INI,"&lt;="&amp;EOMONTH(B2362,0))),C_CLAVE,0))&amp;"","Sin contrato"))</f>
        <v/>
      </c>
      <c r="T2362" s="63" t="str">
        <f aca="false">IF(OR(B2362="",N(O2362)=0),"",N(O2362)+ROUND(MIN(N(N2362),TOPE_UF*UF_MES)*(TASA_EMP+MUTUAL),0)+ROUND(MIN(N(N2362),TOPE_AFC_UF*UF_MES)*IF(S2362="Indefinido",AFC_INDEF,AFC_PF),0))</f>
        <v/>
      </c>
      <c r="U2362" s="62" t="str">
        <f aca="false">IF(C2362="","",IF(LEFT(D2362,1)="⚠","⚠ RUT no registrado en Trabajadores",IF(B2362="","⚠ Falta el mes",IF(OR(ISTEXT(I2362),ISTEXT(J2362)),"⚠ Atrasos u horas extra como texto: escriba hh:mm (ej. 1:30)",IF(AND(ISNUMBER(Q2362),COUNTIFS(M_RUTN,V2362,M_MES,B2362,M_LIQ,"&lt;&gt;")&gt;1),"⚠ Liquidación repetida en el mes",IF(AND(ISNUMBER(O2362),ISNUMBER(P2362),ISNUMBER(Q2362),ABS(O2362-P2362-Q2362)&gt;1),"⚠ Haberes − descuentos no da el líquido","OK"))))))</f>
        <v/>
      </c>
      <c r="V2362" s="62" t="str">
        <f aca="false">IF(C2362="","",IFERROR(VALUE(LEFT(UPPER(SUBSTITUTE(SUBSTITUTE(SUBSTITUTE(TRIM(C2362),".",""),"-","")," ","")),LEN(UPPER(SUBSTITUTE(SUBSTITUTE(SUBSTITUTE(TRIM(C2362),".",""),"-","")," ","")))-1))&amp;RIGHT(UPPER(SUBSTITUTE(SUBSTITUTE(SUBSTITUTE(TRIM(C2362),".",""),"-","")," ","")),1),UPPER(SUBSTITUTE(SUBSTITUTE(SUBSTITUTE(TRIM(C2362),".",""),"-","")," ",""))))</f>
        <v/>
      </c>
    </row>
    <row r="2363" customFormat="false" ht="15" hidden="false" customHeight="false" outlineLevel="0" collapsed="false">
      <c r="B2363" s="80"/>
      <c r="C2363" s="58"/>
      <c r="D2363" s="62" t="str">
        <f aca="false">IF(C2363="","",IFERROR(INDEX(T_NOMBRE,MATCH(V2363,T_RUTN,0)),"⚠ RUT no está en Trabajadores"))</f>
        <v/>
      </c>
      <c r="E2363" s="61"/>
      <c r="F2363" s="61"/>
      <c r="G2363" s="61"/>
      <c r="H2363" s="61"/>
      <c r="I2363" s="81"/>
      <c r="J2363" s="81"/>
      <c r="K2363" s="60"/>
      <c r="L2363" s="60"/>
      <c r="M2363" s="60"/>
      <c r="N2363" s="60"/>
      <c r="O2363" s="60"/>
      <c r="P2363" s="60"/>
      <c r="Q2363" s="60"/>
      <c r="R2363" s="58"/>
      <c r="S2363" s="62" t="str">
        <f aca="false">IF(OR(B2363="",V2363=""),"",IFERROR(INDEX(C_TIPO,MATCH(V2363&amp;"-P"&amp;MAX(1,COUNTIFS(C_RUTN,V2363,C_DEF,"Sí",C_INI,"&lt;="&amp;EOMONTH(B2363,0))),C_CLAVE,0))&amp;"","Sin contrato"))</f>
        <v/>
      </c>
      <c r="T2363" s="63" t="str">
        <f aca="false">IF(OR(B2363="",N(O2363)=0),"",N(O2363)+ROUND(MIN(N(N2363),TOPE_UF*UF_MES)*(TASA_EMP+MUTUAL),0)+ROUND(MIN(N(N2363),TOPE_AFC_UF*UF_MES)*IF(S2363="Indefinido",AFC_INDEF,AFC_PF),0))</f>
        <v/>
      </c>
      <c r="U2363" s="62" t="str">
        <f aca="false">IF(C2363="","",IF(LEFT(D2363,1)="⚠","⚠ RUT no registrado en Trabajadores",IF(B2363="","⚠ Falta el mes",IF(OR(ISTEXT(I2363),ISTEXT(J2363)),"⚠ Atrasos u horas extra como texto: escriba hh:mm (ej. 1:30)",IF(AND(ISNUMBER(Q2363),COUNTIFS(M_RUTN,V2363,M_MES,B2363,M_LIQ,"&lt;&gt;")&gt;1),"⚠ Liquidación repetida en el mes",IF(AND(ISNUMBER(O2363),ISNUMBER(P2363),ISNUMBER(Q2363),ABS(O2363-P2363-Q2363)&gt;1),"⚠ Haberes − descuentos no da el líquido","OK"))))))</f>
        <v/>
      </c>
      <c r="V2363" s="62" t="str">
        <f aca="false">IF(C2363="","",IFERROR(VALUE(LEFT(UPPER(SUBSTITUTE(SUBSTITUTE(SUBSTITUTE(TRIM(C2363),".",""),"-","")," ","")),LEN(UPPER(SUBSTITUTE(SUBSTITUTE(SUBSTITUTE(TRIM(C2363),".",""),"-","")," ","")))-1))&amp;RIGHT(UPPER(SUBSTITUTE(SUBSTITUTE(SUBSTITUTE(TRIM(C2363),".",""),"-","")," ","")),1),UPPER(SUBSTITUTE(SUBSTITUTE(SUBSTITUTE(TRIM(C2363),".",""),"-","")," ",""))))</f>
        <v/>
      </c>
    </row>
    <row r="2364" customFormat="false" ht="15" hidden="false" customHeight="false" outlineLevel="0" collapsed="false">
      <c r="B2364" s="80"/>
      <c r="C2364" s="58"/>
      <c r="D2364" s="62" t="str">
        <f aca="false">IF(C2364="","",IFERROR(INDEX(T_NOMBRE,MATCH(V2364,T_RUTN,0)),"⚠ RUT no está en Trabajadores"))</f>
        <v/>
      </c>
      <c r="E2364" s="61"/>
      <c r="F2364" s="61"/>
      <c r="G2364" s="61"/>
      <c r="H2364" s="61"/>
      <c r="I2364" s="81"/>
      <c r="J2364" s="81"/>
      <c r="K2364" s="60"/>
      <c r="L2364" s="60"/>
      <c r="M2364" s="60"/>
      <c r="N2364" s="60"/>
      <c r="O2364" s="60"/>
      <c r="P2364" s="60"/>
      <c r="Q2364" s="60"/>
      <c r="R2364" s="58"/>
      <c r="S2364" s="62" t="str">
        <f aca="false">IF(OR(B2364="",V2364=""),"",IFERROR(INDEX(C_TIPO,MATCH(V2364&amp;"-P"&amp;MAX(1,COUNTIFS(C_RUTN,V2364,C_DEF,"Sí",C_INI,"&lt;="&amp;EOMONTH(B2364,0))),C_CLAVE,0))&amp;"","Sin contrato"))</f>
        <v/>
      </c>
      <c r="T2364" s="63" t="str">
        <f aca="false">IF(OR(B2364="",N(O2364)=0),"",N(O2364)+ROUND(MIN(N(N2364),TOPE_UF*UF_MES)*(TASA_EMP+MUTUAL),0)+ROUND(MIN(N(N2364),TOPE_AFC_UF*UF_MES)*IF(S2364="Indefinido",AFC_INDEF,AFC_PF),0))</f>
        <v/>
      </c>
      <c r="U2364" s="62" t="str">
        <f aca="false">IF(C2364="","",IF(LEFT(D2364,1)="⚠","⚠ RUT no registrado en Trabajadores",IF(B2364="","⚠ Falta el mes",IF(OR(ISTEXT(I2364),ISTEXT(J2364)),"⚠ Atrasos u horas extra como texto: escriba hh:mm (ej. 1:30)",IF(AND(ISNUMBER(Q2364),COUNTIFS(M_RUTN,V2364,M_MES,B2364,M_LIQ,"&lt;&gt;")&gt;1),"⚠ Liquidación repetida en el mes",IF(AND(ISNUMBER(O2364),ISNUMBER(P2364),ISNUMBER(Q2364),ABS(O2364-P2364-Q2364)&gt;1),"⚠ Haberes − descuentos no da el líquido","OK"))))))</f>
        <v/>
      </c>
      <c r="V2364" s="62" t="str">
        <f aca="false">IF(C2364="","",IFERROR(VALUE(LEFT(UPPER(SUBSTITUTE(SUBSTITUTE(SUBSTITUTE(TRIM(C2364),".",""),"-","")," ","")),LEN(UPPER(SUBSTITUTE(SUBSTITUTE(SUBSTITUTE(TRIM(C2364),".",""),"-","")," ","")))-1))&amp;RIGHT(UPPER(SUBSTITUTE(SUBSTITUTE(SUBSTITUTE(TRIM(C2364),".",""),"-","")," ","")),1),UPPER(SUBSTITUTE(SUBSTITUTE(SUBSTITUTE(TRIM(C2364),".",""),"-","")," ",""))))</f>
        <v/>
      </c>
    </row>
    <row r="2365" customFormat="false" ht="15" hidden="false" customHeight="false" outlineLevel="0" collapsed="false">
      <c r="B2365" s="80"/>
      <c r="C2365" s="58"/>
      <c r="D2365" s="62" t="str">
        <f aca="false">IF(C2365="","",IFERROR(INDEX(T_NOMBRE,MATCH(V2365,T_RUTN,0)),"⚠ RUT no está en Trabajadores"))</f>
        <v/>
      </c>
      <c r="E2365" s="61"/>
      <c r="F2365" s="61"/>
      <c r="G2365" s="61"/>
      <c r="H2365" s="61"/>
      <c r="I2365" s="81"/>
      <c r="J2365" s="81"/>
      <c r="K2365" s="60"/>
      <c r="L2365" s="60"/>
      <c r="M2365" s="60"/>
      <c r="N2365" s="60"/>
      <c r="O2365" s="60"/>
      <c r="P2365" s="60"/>
      <c r="Q2365" s="60"/>
      <c r="R2365" s="58"/>
      <c r="S2365" s="62" t="str">
        <f aca="false">IF(OR(B2365="",V2365=""),"",IFERROR(INDEX(C_TIPO,MATCH(V2365&amp;"-P"&amp;MAX(1,COUNTIFS(C_RUTN,V2365,C_DEF,"Sí",C_INI,"&lt;="&amp;EOMONTH(B2365,0))),C_CLAVE,0))&amp;"","Sin contrato"))</f>
        <v/>
      </c>
      <c r="T2365" s="63" t="str">
        <f aca="false">IF(OR(B2365="",N(O2365)=0),"",N(O2365)+ROUND(MIN(N(N2365),TOPE_UF*UF_MES)*(TASA_EMP+MUTUAL),0)+ROUND(MIN(N(N2365),TOPE_AFC_UF*UF_MES)*IF(S2365="Indefinido",AFC_INDEF,AFC_PF),0))</f>
        <v/>
      </c>
      <c r="U2365" s="62" t="str">
        <f aca="false">IF(C2365="","",IF(LEFT(D2365,1)="⚠","⚠ RUT no registrado en Trabajadores",IF(B2365="","⚠ Falta el mes",IF(OR(ISTEXT(I2365),ISTEXT(J2365)),"⚠ Atrasos u horas extra como texto: escriba hh:mm (ej. 1:30)",IF(AND(ISNUMBER(Q2365),COUNTIFS(M_RUTN,V2365,M_MES,B2365,M_LIQ,"&lt;&gt;")&gt;1),"⚠ Liquidación repetida en el mes",IF(AND(ISNUMBER(O2365),ISNUMBER(P2365),ISNUMBER(Q2365),ABS(O2365-P2365-Q2365)&gt;1),"⚠ Haberes − descuentos no da el líquido","OK"))))))</f>
        <v/>
      </c>
      <c r="V2365" s="62" t="str">
        <f aca="false">IF(C2365="","",IFERROR(VALUE(LEFT(UPPER(SUBSTITUTE(SUBSTITUTE(SUBSTITUTE(TRIM(C2365),".",""),"-","")," ","")),LEN(UPPER(SUBSTITUTE(SUBSTITUTE(SUBSTITUTE(TRIM(C2365),".",""),"-","")," ","")))-1))&amp;RIGHT(UPPER(SUBSTITUTE(SUBSTITUTE(SUBSTITUTE(TRIM(C2365),".",""),"-","")," ","")),1),UPPER(SUBSTITUTE(SUBSTITUTE(SUBSTITUTE(TRIM(C2365),".",""),"-","")," ",""))))</f>
        <v/>
      </c>
    </row>
    <row r="2366" customFormat="false" ht="15" hidden="false" customHeight="false" outlineLevel="0" collapsed="false">
      <c r="B2366" s="80"/>
      <c r="C2366" s="58"/>
      <c r="D2366" s="62" t="str">
        <f aca="false">IF(C2366="","",IFERROR(INDEX(T_NOMBRE,MATCH(V2366,T_RUTN,0)),"⚠ RUT no está en Trabajadores"))</f>
        <v/>
      </c>
      <c r="E2366" s="61"/>
      <c r="F2366" s="61"/>
      <c r="G2366" s="61"/>
      <c r="H2366" s="61"/>
      <c r="I2366" s="81"/>
      <c r="J2366" s="81"/>
      <c r="K2366" s="60"/>
      <c r="L2366" s="60"/>
      <c r="M2366" s="60"/>
      <c r="N2366" s="60"/>
      <c r="O2366" s="60"/>
      <c r="P2366" s="60"/>
      <c r="Q2366" s="60"/>
      <c r="R2366" s="58"/>
      <c r="S2366" s="62" t="str">
        <f aca="false">IF(OR(B2366="",V2366=""),"",IFERROR(INDEX(C_TIPO,MATCH(V2366&amp;"-P"&amp;MAX(1,COUNTIFS(C_RUTN,V2366,C_DEF,"Sí",C_INI,"&lt;="&amp;EOMONTH(B2366,0))),C_CLAVE,0))&amp;"","Sin contrato"))</f>
        <v/>
      </c>
      <c r="T2366" s="63" t="str">
        <f aca="false">IF(OR(B2366="",N(O2366)=0),"",N(O2366)+ROUND(MIN(N(N2366),TOPE_UF*UF_MES)*(TASA_EMP+MUTUAL),0)+ROUND(MIN(N(N2366),TOPE_AFC_UF*UF_MES)*IF(S2366="Indefinido",AFC_INDEF,AFC_PF),0))</f>
        <v/>
      </c>
      <c r="U2366" s="62" t="str">
        <f aca="false">IF(C2366="","",IF(LEFT(D2366,1)="⚠","⚠ RUT no registrado en Trabajadores",IF(B2366="","⚠ Falta el mes",IF(OR(ISTEXT(I2366),ISTEXT(J2366)),"⚠ Atrasos u horas extra como texto: escriba hh:mm (ej. 1:30)",IF(AND(ISNUMBER(Q2366),COUNTIFS(M_RUTN,V2366,M_MES,B2366,M_LIQ,"&lt;&gt;")&gt;1),"⚠ Liquidación repetida en el mes",IF(AND(ISNUMBER(O2366),ISNUMBER(P2366),ISNUMBER(Q2366),ABS(O2366-P2366-Q2366)&gt;1),"⚠ Haberes − descuentos no da el líquido","OK"))))))</f>
        <v/>
      </c>
      <c r="V2366" s="62" t="str">
        <f aca="false">IF(C2366="","",IFERROR(VALUE(LEFT(UPPER(SUBSTITUTE(SUBSTITUTE(SUBSTITUTE(TRIM(C2366),".",""),"-","")," ","")),LEN(UPPER(SUBSTITUTE(SUBSTITUTE(SUBSTITUTE(TRIM(C2366),".",""),"-","")," ","")))-1))&amp;RIGHT(UPPER(SUBSTITUTE(SUBSTITUTE(SUBSTITUTE(TRIM(C2366),".",""),"-","")," ","")),1),UPPER(SUBSTITUTE(SUBSTITUTE(SUBSTITUTE(TRIM(C2366),".",""),"-","")," ",""))))</f>
        <v/>
      </c>
    </row>
    <row r="2367" customFormat="false" ht="15" hidden="false" customHeight="false" outlineLevel="0" collapsed="false">
      <c r="B2367" s="80"/>
      <c r="C2367" s="58"/>
      <c r="D2367" s="62" t="str">
        <f aca="false">IF(C2367="","",IFERROR(INDEX(T_NOMBRE,MATCH(V2367,T_RUTN,0)),"⚠ RUT no está en Trabajadores"))</f>
        <v/>
      </c>
      <c r="E2367" s="61"/>
      <c r="F2367" s="61"/>
      <c r="G2367" s="61"/>
      <c r="H2367" s="61"/>
      <c r="I2367" s="81"/>
      <c r="J2367" s="81"/>
      <c r="K2367" s="60"/>
      <c r="L2367" s="60"/>
      <c r="M2367" s="60"/>
      <c r="N2367" s="60"/>
      <c r="O2367" s="60"/>
      <c r="P2367" s="60"/>
      <c r="Q2367" s="60"/>
      <c r="R2367" s="58"/>
      <c r="S2367" s="62" t="str">
        <f aca="false">IF(OR(B2367="",V2367=""),"",IFERROR(INDEX(C_TIPO,MATCH(V2367&amp;"-P"&amp;MAX(1,COUNTIFS(C_RUTN,V2367,C_DEF,"Sí",C_INI,"&lt;="&amp;EOMONTH(B2367,0))),C_CLAVE,0))&amp;"","Sin contrato"))</f>
        <v/>
      </c>
      <c r="T2367" s="63" t="str">
        <f aca="false">IF(OR(B2367="",N(O2367)=0),"",N(O2367)+ROUND(MIN(N(N2367),TOPE_UF*UF_MES)*(TASA_EMP+MUTUAL),0)+ROUND(MIN(N(N2367),TOPE_AFC_UF*UF_MES)*IF(S2367="Indefinido",AFC_INDEF,AFC_PF),0))</f>
        <v/>
      </c>
      <c r="U2367" s="62" t="str">
        <f aca="false">IF(C2367="","",IF(LEFT(D2367,1)="⚠","⚠ RUT no registrado en Trabajadores",IF(B2367="","⚠ Falta el mes",IF(OR(ISTEXT(I2367),ISTEXT(J2367)),"⚠ Atrasos u horas extra como texto: escriba hh:mm (ej. 1:30)",IF(AND(ISNUMBER(Q2367),COUNTIFS(M_RUTN,V2367,M_MES,B2367,M_LIQ,"&lt;&gt;")&gt;1),"⚠ Liquidación repetida en el mes",IF(AND(ISNUMBER(O2367),ISNUMBER(P2367),ISNUMBER(Q2367),ABS(O2367-P2367-Q2367)&gt;1),"⚠ Haberes − descuentos no da el líquido","OK"))))))</f>
        <v/>
      </c>
      <c r="V2367" s="62" t="str">
        <f aca="false">IF(C2367="","",IFERROR(VALUE(LEFT(UPPER(SUBSTITUTE(SUBSTITUTE(SUBSTITUTE(TRIM(C2367),".",""),"-","")," ","")),LEN(UPPER(SUBSTITUTE(SUBSTITUTE(SUBSTITUTE(TRIM(C2367),".",""),"-","")," ","")))-1))&amp;RIGHT(UPPER(SUBSTITUTE(SUBSTITUTE(SUBSTITUTE(TRIM(C2367),".",""),"-","")," ","")),1),UPPER(SUBSTITUTE(SUBSTITUTE(SUBSTITUTE(TRIM(C2367),".",""),"-","")," ",""))))</f>
        <v/>
      </c>
    </row>
    <row r="2368" customFormat="false" ht="15" hidden="false" customHeight="false" outlineLevel="0" collapsed="false">
      <c r="B2368" s="80"/>
      <c r="C2368" s="58"/>
      <c r="D2368" s="62" t="str">
        <f aca="false">IF(C2368="","",IFERROR(INDEX(T_NOMBRE,MATCH(V2368,T_RUTN,0)),"⚠ RUT no está en Trabajadores"))</f>
        <v/>
      </c>
      <c r="E2368" s="61"/>
      <c r="F2368" s="61"/>
      <c r="G2368" s="61"/>
      <c r="H2368" s="61"/>
      <c r="I2368" s="81"/>
      <c r="J2368" s="81"/>
      <c r="K2368" s="60"/>
      <c r="L2368" s="60"/>
      <c r="M2368" s="60"/>
      <c r="N2368" s="60"/>
      <c r="O2368" s="60"/>
      <c r="P2368" s="60"/>
      <c r="Q2368" s="60"/>
      <c r="R2368" s="58"/>
      <c r="S2368" s="62" t="str">
        <f aca="false">IF(OR(B2368="",V2368=""),"",IFERROR(INDEX(C_TIPO,MATCH(V2368&amp;"-P"&amp;MAX(1,COUNTIFS(C_RUTN,V2368,C_DEF,"Sí",C_INI,"&lt;="&amp;EOMONTH(B2368,0))),C_CLAVE,0))&amp;"","Sin contrato"))</f>
        <v/>
      </c>
      <c r="T2368" s="63" t="str">
        <f aca="false">IF(OR(B2368="",N(O2368)=0),"",N(O2368)+ROUND(MIN(N(N2368),TOPE_UF*UF_MES)*(TASA_EMP+MUTUAL),0)+ROUND(MIN(N(N2368),TOPE_AFC_UF*UF_MES)*IF(S2368="Indefinido",AFC_INDEF,AFC_PF),0))</f>
        <v/>
      </c>
      <c r="U2368" s="62" t="str">
        <f aca="false">IF(C2368="","",IF(LEFT(D2368,1)="⚠","⚠ RUT no registrado en Trabajadores",IF(B2368="","⚠ Falta el mes",IF(OR(ISTEXT(I2368),ISTEXT(J2368)),"⚠ Atrasos u horas extra como texto: escriba hh:mm (ej. 1:30)",IF(AND(ISNUMBER(Q2368),COUNTIFS(M_RUTN,V2368,M_MES,B2368,M_LIQ,"&lt;&gt;")&gt;1),"⚠ Liquidación repetida en el mes",IF(AND(ISNUMBER(O2368),ISNUMBER(P2368),ISNUMBER(Q2368),ABS(O2368-P2368-Q2368)&gt;1),"⚠ Haberes − descuentos no da el líquido","OK"))))))</f>
        <v/>
      </c>
      <c r="V2368" s="62" t="str">
        <f aca="false">IF(C2368="","",IFERROR(VALUE(LEFT(UPPER(SUBSTITUTE(SUBSTITUTE(SUBSTITUTE(TRIM(C2368),".",""),"-","")," ","")),LEN(UPPER(SUBSTITUTE(SUBSTITUTE(SUBSTITUTE(TRIM(C2368),".",""),"-","")," ","")))-1))&amp;RIGHT(UPPER(SUBSTITUTE(SUBSTITUTE(SUBSTITUTE(TRIM(C2368),".",""),"-","")," ","")),1),UPPER(SUBSTITUTE(SUBSTITUTE(SUBSTITUTE(TRIM(C2368),".",""),"-","")," ",""))))</f>
        <v/>
      </c>
    </row>
    <row r="2369" customFormat="false" ht="15" hidden="false" customHeight="false" outlineLevel="0" collapsed="false">
      <c r="B2369" s="80"/>
      <c r="C2369" s="58"/>
      <c r="D2369" s="62" t="str">
        <f aca="false">IF(C2369="","",IFERROR(INDEX(T_NOMBRE,MATCH(V2369,T_RUTN,0)),"⚠ RUT no está en Trabajadores"))</f>
        <v/>
      </c>
      <c r="E2369" s="61"/>
      <c r="F2369" s="61"/>
      <c r="G2369" s="61"/>
      <c r="H2369" s="61"/>
      <c r="I2369" s="81"/>
      <c r="J2369" s="81"/>
      <c r="K2369" s="60"/>
      <c r="L2369" s="60"/>
      <c r="M2369" s="60"/>
      <c r="N2369" s="60"/>
      <c r="O2369" s="60"/>
      <c r="P2369" s="60"/>
      <c r="Q2369" s="60"/>
      <c r="R2369" s="58"/>
      <c r="S2369" s="62" t="str">
        <f aca="false">IF(OR(B2369="",V2369=""),"",IFERROR(INDEX(C_TIPO,MATCH(V2369&amp;"-P"&amp;MAX(1,COUNTIFS(C_RUTN,V2369,C_DEF,"Sí",C_INI,"&lt;="&amp;EOMONTH(B2369,0))),C_CLAVE,0))&amp;"","Sin contrato"))</f>
        <v/>
      </c>
      <c r="T2369" s="63" t="str">
        <f aca="false">IF(OR(B2369="",N(O2369)=0),"",N(O2369)+ROUND(MIN(N(N2369),TOPE_UF*UF_MES)*(TASA_EMP+MUTUAL),0)+ROUND(MIN(N(N2369),TOPE_AFC_UF*UF_MES)*IF(S2369="Indefinido",AFC_INDEF,AFC_PF),0))</f>
        <v/>
      </c>
      <c r="U2369" s="62" t="str">
        <f aca="false">IF(C2369="","",IF(LEFT(D2369,1)="⚠","⚠ RUT no registrado en Trabajadores",IF(B2369="","⚠ Falta el mes",IF(OR(ISTEXT(I2369),ISTEXT(J2369)),"⚠ Atrasos u horas extra como texto: escriba hh:mm (ej. 1:30)",IF(AND(ISNUMBER(Q2369),COUNTIFS(M_RUTN,V2369,M_MES,B2369,M_LIQ,"&lt;&gt;")&gt;1),"⚠ Liquidación repetida en el mes",IF(AND(ISNUMBER(O2369),ISNUMBER(P2369),ISNUMBER(Q2369),ABS(O2369-P2369-Q2369)&gt;1),"⚠ Haberes − descuentos no da el líquido","OK"))))))</f>
        <v/>
      </c>
      <c r="V2369" s="62" t="str">
        <f aca="false">IF(C2369="","",IFERROR(VALUE(LEFT(UPPER(SUBSTITUTE(SUBSTITUTE(SUBSTITUTE(TRIM(C2369),".",""),"-","")," ","")),LEN(UPPER(SUBSTITUTE(SUBSTITUTE(SUBSTITUTE(TRIM(C2369),".",""),"-","")," ","")))-1))&amp;RIGHT(UPPER(SUBSTITUTE(SUBSTITUTE(SUBSTITUTE(TRIM(C2369),".",""),"-","")," ","")),1),UPPER(SUBSTITUTE(SUBSTITUTE(SUBSTITUTE(TRIM(C2369),".",""),"-","")," ",""))))</f>
        <v/>
      </c>
    </row>
    <row r="2370" customFormat="false" ht="15" hidden="false" customHeight="false" outlineLevel="0" collapsed="false">
      <c r="B2370" s="80"/>
      <c r="C2370" s="58"/>
      <c r="D2370" s="62" t="str">
        <f aca="false">IF(C2370="","",IFERROR(INDEX(T_NOMBRE,MATCH(V2370,T_RUTN,0)),"⚠ RUT no está en Trabajadores"))</f>
        <v/>
      </c>
      <c r="E2370" s="61"/>
      <c r="F2370" s="61"/>
      <c r="G2370" s="61"/>
      <c r="H2370" s="61"/>
      <c r="I2370" s="81"/>
      <c r="J2370" s="81"/>
      <c r="K2370" s="60"/>
      <c r="L2370" s="60"/>
      <c r="M2370" s="60"/>
      <c r="N2370" s="60"/>
      <c r="O2370" s="60"/>
      <c r="P2370" s="60"/>
      <c r="Q2370" s="60"/>
      <c r="R2370" s="58"/>
      <c r="S2370" s="62" t="str">
        <f aca="false">IF(OR(B2370="",V2370=""),"",IFERROR(INDEX(C_TIPO,MATCH(V2370&amp;"-P"&amp;MAX(1,COUNTIFS(C_RUTN,V2370,C_DEF,"Sí",C_INI,"&lt;="&amp;EOMONTH(B2370,0))),C_CLAVE,0))&amp;"","Sin contrato"))</f>
        <v/>
      </c>
      <c r="T2370" s="63" t="str">
        <f aca="false">IF(OR(B2370="",N(O2370)=0),"",N(O2370)+ROUND(MIN(N(N2370),TOPE_UF*UF_MES)*(TASA_EMP+MUTUAL),0)+ROUND(MIN(N(N2370),TOPE_AFC_UF*UF_MES)*IF(S2370="Indefinido",AFC_INDEF,AFC_PF),0))</f>
        <v/>
      </c>
      <c r="U2370" s="62" t="str">
        <f aca="false">IF(C2370="","",IF(LEFT(D2370,1)="⚠","⚠ RUT no registrado en Trabajadores",IF(B2370="","⚠ Falta el mes",IF(OR(ISTEXT(I2370),ISTEXT(J2370)),"⚠ Atrasos u horas extra como texto: escriba hh:mm (ej. 1:30)",IF(AND(ISNUMBER(Q2370),COUNTIFS(M_RUTN,V2370,M_MES,B2370,M_LIQ,"&lt;&gt;")&gt;1),"⚠ Liquidación repetida en el mes",IF(AND(ISNUMBER(O2370),ISNUMBER(P2370),ISNUMBER(Q2370),ABS(O2370-P2370-Q2370)&gt;1),"⚠ Haberes − descuentos no da el líquido","OK"))))))</f>
        <v/>
      </c>
      <c r="V2370" s="62" t="str">
        <f aca="false">IF(C2370="","",IFERROR(VALUE(LEFT(UPPER(SUBSTITUTE(SUBSTITUTE(SUBSTITUTE(TRIM(C2370),".",""),"-","")," ","")),LEN(UPPER(SUBSTITUTE(SUBSTITUTE(SUBSTITUTE(TRIM(C2370),".",""),"-","")," ","")))-1))&amp;RIGHT(UPPER(SUBSTITUTE(SUBSTITUTE(SUBSTITUTE(TRIM(C2370),".",""),"-","")," ","")),1),UPPER(SUBSTITUTE(SUBSTITUTE(SUBSTITUTE(TRIM(C2370),".",""),"-","")," ",""))))</f>
        <v/>
      </c>
    </row>
    <row r="2371" customFormat="false" ht="15" hidden="false" customHeight="false" outlineLevel="0" collapsed="false">
      <c r="B2371" s="80"/>
      <c r="C2371" s="58"/>
      <c r="D2371" s="62" t="str">
        <f aca="false">IF(C2371="","",IFERROR(INDEX(T_NOMBRE,MATCH(V2371,T_RUTN,0)),"⚠ RUT no está en Trabajadores"))</f>
        <v/>
      </c>
      <c r="E2371" s="61"/>
      <c r="F2371" s="61"/>
      <c r="G2371" s="61"/>
      <c r="H2371" s="61"/>
      <c r="I2371" s="81"/>
      <c r="J2371" s="81"/>
      <c r="K2371" s="60"/>
      <c r="L2371" s="60"/>
      <c r="M2371" s="60"/>
      <c r="N2371" s="60"/>
      <c r="O2371" s="60"/>
      <c r="P2371" s="60"/>
      <c r="Q2371" s="60"/>
      <c r="R2371" s="58"/>
      <c r="S2371" s="62" t="str">
        <f aca="false">IF(OR(B2371="",V2371=""),"",IFERROR(INDEX(C_TIPO,MATCH(V2371&amp;"-P"&amp;MAX(1,COUNTIFS(C_RUTN,V2371,C_DEF,"Sí",C_INI,"&lt;="&amp;EOMONTH(B2371,0))),C_CLAVE,0))&amp;"","Sin contrato"))</f>
        <v/>
      </c>
      <c r="T2371" s="63" t="str">
        <f aca="false">IF(OR(B2371="",N(O2371)=0),"",N(O2371)+ROUND(MIN(N(N2371),TOPE_UF*UF_MES)*(TASA_EMP+MUTUAL),0)+ROUND(MIN(N(N2371),TOPE_AFC_UF*UF_MES)*IF(S2371="Indefinido",AFC_INDEF,AFC_PF),0))</f>
        <v/>
      </c>
      <c r="U2371" s="62" t="str">
        <f aca="false">IF(C2371="","",IF(LEFT(D2371,1)="⚠","⚠ RUT no registrado en Trabajadores",IF(B2371="","⚠ Falta el mes",IF(OR(ISTEXT(I2371),ISTEXT(J2371)),"⚠ Atrasos u horas extra como texto: escriba hh:mm (ej. 1:30)",IF(AND(ISNUMBER(Q2371),COUNTIFS(M_RUTN,V2371,M_MES,B2371,M_LIQ,"&lt;&gt;")&gt;1),"⚠ Liquidación repetida en el mes",IF(AND(ISNUMBER(O2371),ISNUMBER(P2371),ISNUMBER(Q2371),ABS(O2371-P2371-Q2371)&gt;1),"⚠ Haberes − descuentos no da el líquido","OK"))))))</f>
        <v/>
      </c>
      <c r="V2371" s="62" t="str">
        <f aca="false">IF(C2371="","",IFERROR(VALUE(LEFT(UPPER(SUBSTITUTE(SUBSTITUTE(SUBSTITUTE(TRIM(C2371),".",""),"-","")," ","")),LEN(UPPER(SUBSTITUTE(SUBSTITUTE(SUBSTITUTE(TRIM(C2371),".",""),"-","")," ","")))-1))&amp;RIGHT(UPPER(SUBSTITUTE(SUBSTITUTE(SUBSTITUTE(TRIM(C2371),".",""),"-","")," ","")),1),UPPER(SUBSTITUTE(SUBSTITUTE(SUBSTITUTE(TRIM(C2371),".",""),"-","")," ",""))))</f>
        <v/>
      </c>
    </row>
    <row r="2372" customFormat="false" ht="15" hidden="false" customHeight="false" outlineLevel="0" collapsed="false">
      <c r="B2372" s="80"/>
      <c r="C2372" s="58"/>
      <c r="D2372" s="62" t="str">
        <f aca="false">IF(C2372="","",IFERROR(INDEX(T_NOMBRE,MATCH(V2372,T_RUTN,0)),"⚠ RUT no está en Trabajadores"))</f>
        <v/>
      </c>
      <c r="E2372" s="61"/>
      <c r="F2372" s="61"/>
      <c r="G2372" s="61"/>
      <c r="H2372" s="61"/>
      <c r="I2372" s="81"/>
      <c r="J2372" s="81"/>
      <c r="K2372" s="60"/>
      <c r="L2372" s="60"/>
      <c r="M2372" s="60"/>
      <c r="N2372" s="60"/>
      <c r="O2372" s="60"/>
      <c r="P2372" s="60"/>
      <c r="Q2372" s="60"/>
      <c r="R2372" s="58"/>
      <c r="S2372" s="62" t="str">
        <f aca="false">IF(OR(B2372="",V2372=""),"",IFERROR(INDEX(C_TIPO,MATCH(V2372&amp;"-P"&amp;MAX(1,COUNTIFS(C_RUTN,V2372,C_DEF,"Sí",C_INI,"&lt;="&amp;EOMONTH(B2372,0))),C_CLAVE,0))&amp;"","Sin contrato"))</f>
        <v/>
      </c>
      <c r="T2372" s="63" t="str">
        <f aca="false">IF(OR(B2372="",N(O2372)=0),"",N(O2372)+ROUND(MIN(N(N2372),TOPE_UF*UF_MES)*(TASA_EMP+MUTUAL),0)+ROUND(MIN(N(N2372),TOPE_AFC_UF*UF_MES)*IF(S2372="Indefinido",AFC_INDEF,AFC_PF),0))</f>
        <v/>
      </c>
      <c r="U2372" s="62" t="str">
        <f aca="false">IF(C2372="","",IF(LEFT(D2372,1)="⚠","⚠ RUT no registrado en Trabajadores",IF(B2372="","⚠ Falta el mes",IF(OR(ISTEXT(I2372),ISTEXT(J2372)),"⚠ Atrasos u horas extra como texto: escriba hh:mm (ej. 1:30)",IF(AND(ISNUMBER(Q2372),COUNTIFS(M_RUTN,V2372,M_MES,B2372,M_LIQ,"&lt;&gt;")&gt;1),"⚠ Liquidación repetida en el mes",IF(AND(ISNUMBER(O2372),ISNUMBER(P2372),ISNUMBER(Q2372),ABS(O2372-P2372-Q2372)&gt;1),"⚠ Haberes − descuentos no da el líquido","OK"))))))</f>
        <v/>
      </c>
      <c r="V2372" s="62" t="str">
        <f aca="false">IF(C2372="","",IFERROR(VALUE(LEFT(UPPER(SUBSTITUTE(SUBSTITUTE(SUBSTITUTE(TRIM(C2372),".",""),"-","")," ","")),LEN(UPPER(SUBSTITUTE(SUBSTITUTE(SUBSTITUTE(TRIM(C2372),".",""),"-","")," ","")))-1))&amp;RIGHT(UPPER(SUBSTITUTE(SUBSTITUTE(SUBSTITUTE(TRIM(C2372),".",""),"-","")," ","")),1),UPPER(SUBSTITUTE(SUBSTITUTE(SUBSTITUTE(TRIM(C2372),".",""),"-","")," ",""))))</f>
        <v/>
      </c>
    </row>
    <row r="2373" customFormat="false" ht="15" hidden="false" customHeight="false" outlineLevel="0" collapsed="false">
      <c r="B2373" s="80"/>
      <c r="C2373" s="58"/>
      <c r="D2373" s="62" t="str">
        <f aca="false">IF(C2373="","",IFERROR(INDEX(T_NOMBRE,MATCH(V2373,T_RUTN,0)),"⚠ RUT no está en Trabajadores"))</f>
        <v/>
      </c>
      <c r="E2373" s="61"/>
      <c r="F2373" s="61"/>
      <c r="G2373" s="61"/>
      <c r="H2373" s="61"/>
      <c r="I2373" s="81"/>
      <c r="J2373" s="81"/>
      <c r="K2373" s="60"/>
      <c r="L2373" s="60"/>
      <c r="M2373" s="60"/>
      <c r="N2373" s="60"/>
      <c r="O2373" s="60"/>
      <c r="P2373" s="60"/>
      <c r="Q2373" s="60"/>
      <c r="R2373" s="58"/>
      <c r="S2373" s="62" t="str">
        <f aca="false">IF(OR(B2373="",V2373=""),"",IFERROR(INDEX(C_TIPO,MATCH(V2373&amp;"-P"&amp;MAX(1,COUNTIFS(C_RUTN,V2373,C_DEF,"Sí",C_INI,"&lt;="&amp;EOMONTH(B2373,0))),C_CLAVE,0))&amp;"","Sin contrato"))</f>
        <v/>
      </c>
      <c r="T2373" s="63" t="str">
        <f aca="false">IF(OR(B2373="",N(O2373)=0),"",N(O2373)+ROUND(MIN(N(N2373),TOPE_UF*UF_MES)*(TASA_EMP+MUTUAL),0)+ROUND(MIN(N(N2373),TOPE_AFC_UF*UF_MES)*IF(S2373="Indefinido",AFC_INDEF,AFC_PF),0))</f>
        <v/>
      </c>
      <c r="U2373" s="62" t="str">
        <f aca="false">IF(C2373="","",IF(LEFT(D2373,1)="⚠","⚠ RUT no registrado en Trabajadores",IF(B2373="","⚠ Falta el mes",IF(OR(ISTEXT(I2373),ISTEXT(J2373)),"⚠ Atrasos u horas extra como texto: escriba hh:mm (ej. 1:30)",IF(AND(ISNUMBER(Q2373),COUNTIFS(M_RUTN,V2373,M_MES,B2373,M_LIQ,"&lt;&gt;")&gt;1),"⚠ Liquidación repetida en el mes",IF(AND(ISNUMBER(O2373),ISNUMBER(P2373),ISNUMBER(Q2373),ABS(O2373-P2373-Q2373)&gt;1),"⚠ Haberes − descuentos no da el líquido","OK"))))))</f>
        <v/>
      </c>
      <c r="V2373" s="62" t="str">
        <f aca="false">IF(C2373="","",IFERROR(VALUE(LEFT(UPPER(SUBSTITUTE(SUBSTITUTE(SUBSTITUTE(TRIM(C2373),".",""),"-","")," ","")),LEN(UPPER(SUBSTITUTE(SUBSTITUTE(SUBSTITUTE(TRIM(C2373),".",""),"-","")," ","")))-1))&amp;RIGHT(UPPER(SUBSTITUTE(SUBSTITUTE(SUBSTITUTE(TRIM(C2373),".",""),"-","")," ","")),1),UPPER(SUBSTITUTE(SUBSTITUTE(SUBSTITUTE(TRIM(C2373),".",""),"-","")," ",""))))</f>
        <v/>
      </c>
    </row>
    <row r="2374" customFormat="false" ht="15" hidden="false" customHeight="false" outlineLevel="0" collapsed="false">
      <c r="B2374" s="80"/>
      <c r="C2374" s="58"/>
      <c r="D2374" s="62" t="str">
        <f aca="false">IF(C2374="","",IFERROR(INDEX(T_NOMBRE,MATCH(V2374,T_RUTN,0)),"⚠ RUT no está en Trabajadores"))</f>
        <v/>
      </c>
      <c r="E2374" s="61"/>
      <c r="F2374" s="61"/>
      <c r="G2374" s="61"/>
      <c r="H2374" s="61"/>
      <c r="I2374" s="81"/>
      <c r="J2374" s="81"/>
      <c r="K2374" s="60"/>
      <c r="L2374" s="60"/>
      <c r="M2374" s="60"/>
      <c r="N2374" s="60"/>
      <c r="O2374" s="60"/>
      <c r="P2374" s="60"/>
      <c r="Q2374" s="60"/>
      <c r="R2374" s="58"/>
      <c r="S2374" s="62" t="str">
        <f aca="false">IF(OR(B2374="",V2374=""),"",IFERROR(INDEX(C_TIPO,MATCH(V2374&amp;"-P"&amp;MAX(1,COUNTIFS(C_RUTN,V2374,C_DEF,"Sí",C_INI,"&lt;="&amp;EOMONTH(B2374,0))),C_CLAVE,0))&amp;"","Sin contrato"))</f>
        <v/>
      </c>
      <c r="T2374" s="63" t="str">
        <f aca="false">IF(OR(B2374="",N(O2374)=0),"",N(O2374)+ROUND(MIN(N(N2374),TOPE_UF*UF_MES)*(TASA_EMP+MUTUAL),0)+ROUND(MIN(N(N2374),TOPE_AFC_UF*UF_MES)*IF(S2374="Indefinido",AFC_INDEF,AFC_PF),0))</f>
        <v/>
      </c>
      <c r="U2374" s="62" t="str">
        <f aca="false">IF(C2374="","",IF(LEFT(D2374,1)="⚠","⚠ RUT no registrado en Trabajadores",IF(B2374="","⚠ Falta el mes",IF(OR(ISTEXT(I2374),ISTEXT(J2374)),"⚠ Atrasos u horas extra como texto: escriba hh:mm (ej. 1:30)",IF(AND(ISNUMBER(Q2374),COUNTIFS(M_RUTN,V2374,M_MES,B2374,M_LIQ,"&lt;&gt;")&gt;1),"⚠ Liquidación repetida en el mes",IF(AND(ISNUMBER(O2374),ISNUMBER(P2374),ISNUMBER(Q2374),ABS(O2374-P2374-Q2374)&gt;1),"⚠ Haberes − descuentos no da el líquido","OK"))))))</f>
        <v/>
      </c>
      <c r="V2374" s="62" t="str">
        <f aca="false">IF(C2374="","",IFERROR(VALUE(LEFT(UPPER(SUBSTITUTE(SUBSTITUTE(SUBSTITUTE(TRIM(C2374),".",""),"-","")," ","")),LEN(UPPER(SUBSTITUTE(SUBSTITUTE(SUBSTITUTE(TRIM(C2374),".",""),"-","")," ","")))-1))&amp;RIGHT(UPPER(SUBSTITUTE(SUBSTITUTE(SUBSTITUTE(TRIM(C2374),".",""),"-","")," ","")),1),UPPER(SUBSTITUTE(SUBSTITUTE(SUBSTITUTE(TRIM(C2374),".",""),"-","")," ",""))))</f>
        <v/>
      </c>
    </row>
    <row r="2375" customFormat="false" ht="15" hidden="false" customHeight="false" outlineLevel="0" collapsed="false">
      <c r="B2375" s="80"/>
      <c r="C2375" s="58"/>
      <c r="D2375" s="62" t="str">
        <f aca="false">IF(C2375="","",IFERROR(INDEX(T_NOMBRE,MATCH(V2375,T_RUTN,0)),"⚠ RUT no está en Trabajadores"))</f>
        <v/>
      </c>
      <c r="E2375" s="61"/>
      <c r="F2375" s="61"/>
      <c r="G2375" s="61"/>
      <c r="H2375" s="61"/>
      <c r="I2375" s="81"/>
      <c r="J2375" s="81"/>
      <c r="K2375" s="60"/>
      <c r="L2375" s="60"/>
      <c r="M2375" s="60"/>
      <c r="N2375" s="60"/>
      <c r="O2375" s="60"/>
      <c r="P2375" s="60"/>
      <c r="Q2375" s="60"/>
      <c r="R2375" s="58"/>
      <c r="S2375" s="62" t="str">
        <f aca="false">IF(OR(B2375="",V2375=""),"",IFERROR(INDEX(C_TIPO,MATCH(V2375&amp;"-P"&amp;MAX(1,COUNTIFS(C_RUTN,V2375,C_DEF,"Sí",C_INI,"&lt;="&amp;EOMONTH(B2375,0))),C_CLAVE,0))&amp;"","Sin contrato"))</f>
        <v/>
      </c>
      <c r="T2375" s="63" t="str">
        <f aca="false">IF(OR(B2375="",N(O2375)=0),"",N(O2375)+ROUND(MIN(N(N2375),TOPE_UF*UF_MES)*(TASA_EMP+MUTUAL),0)+ROUND(MIN(N(N2375),TOPE_AFC_UF*UF_MES)*IF(S2375="Indefinido",AFC_INDEF,AFC_PF),0))</f>
        <v/>
      </c>
      <c r="U2375" s="62" t="str">
        <f aca="false">IF(C2375="","",IF(LEFT(D2375,1)="⚠","⚠ RUT no registrado en Trabajadores",IF(B2375="","⚠ Falta el mes",IF(OR(ISTEXT(I2375),ISTEXT(J2375)),"⚠ Atrasos u horas extra como texto: escriba hh:mm (ej. 1:30)",IF(AND(ISNUMBER(Q2375),COUNTIFS(M_RUTN,V2375,M_MES,B2375,M_LIQ,"&lt;&gt;")&gt;1),"⚠ Liquidación repetida en el mes",IF(AND(ISNUMBER(O2375),ISNUMBER(P2375),ISNUMBER(Q2375),ABS(O2375-P2375-Q2375)&gt;1),"⚠ Haberes − descuentos no da el líquido","OK"))))))</f>
        <v/>
      </c>
      <c r="V2375" s="62" t="str">
        <f aca="false">IF(C2375="","",IFERROR(VALUE(LEFT(UPPER(SUBSTITUTE(SUBSTITUTE(SUBSTITUTE(TRIM(C2375),".",""),"-","")," ","")),LEN(UPPER(SUBSTITUTE(SUBSTITUTE(SUBSTITUTE(TRIM(C2375),".",""),"-","")," ","")))-1))&amp;RIGHT(UPPER(SUBSTITUTE(SUBSTITUTE(SUBSTITUTE(TRIM(C2375),".",""),"-","")," ","")),1),UPPER(SUBSTITUTE(SUBSTITUTE(SUBSTITUTE(TRIM(C2375),".",""),"-","")," ",""))))</f>
        <v/>
      </c>
    </row>
    <row r="2376" customFormat="false" ht="15" hidden="false" customHeight="false" outlineLevel="0" collapsed="false">
      <c r="B2376" s="80"/>
      <c r="C2376" s="58"/>
      <c r="D2376" s="62" t="str">
        <f aca="false">IF(C2376="","",IFERROR(INDEX(T_NOMBRE,MATCH(V2376,T_RUTN,0)),"⚠ RUT no está en Trabajadores"))</f>
        <v/>
      </c>
      <c r="E2376" s="61"/>
      <c r="F2376" s="61"/>
      <c r="G2376" s="61"/>
      <c r="H2376" s="61"/>
      <c r="I2376" s="81"/>
      <c r="J2376" s="81"/>
      <c r="K2376" s="60"/>
      <c r="L2376" s="60"/>
      <c r="M2376" s="60"/>
      <c r="N2376" s="60"/>
      <c r="O2376" s="60"/>
      <c r="P2376" s="60"/>
      <c r="Q2376" s="60"/>
      <c r="R2376" s="58"/>
      <c r="S2376" s="62" t="str">
        <f aca="false">IF(OR(B2376="",V2376=""),"",IFERROR(INDEX(C_TIPO,MATCH(V2376&amp;"-P"&amp;MAX(1,COUNTIFS(C_RUTN,V2376,C_DEF,"Sí",C_INI,"&lt;="&amp;EOMONTH(B2376,0))),C_CLAVE,0))&amp;"","Sin contrato"))</f>
        <v/>
      </c>
      <c r="T2376" s="63" t="str">
        <f aca="false">IF(OR(B2376="",N(O2376)=0),"",N(O2376)+ROUND(MIN(N(N2376),TOPE_UF*UF_MES)*(TASA_EMP+MUTUAL),0)+ROUND(MIN(N(N2376),TOPE_AFC_UF*UF_MES)*IF(S2376="Indefinido",AFC_INDEF,AFC_PF),0))</f>
        <v/>
      </c>
      <c r="U2376" s="62" t="str">
        <f aca="false">IF(C2376="","",IF(LEFT(D2376,1)="⚠","⚠ RUT no registrado en Trabajadores",IF(B2376="","⚠ Falta el mes",IF(OR(ISTEXT(I2376),ISTEXT(J2376)),"⚠ Atrasos u horas extra como texto: escriba hh:mm (ej. 1:30)",IF(AND(ISNUMBER(Q2376),COUNTIFS(M_RUTN,V2376,M_MES,B2376,M_LIQ,"&lt;&gt;")&gt;1),"⚠ Liquidación repetida en el mes",IF(AND(ISNUMBER(O2376),ISNUMBER(P2376),ISNUMBER(Q2376),ABS(O2376-P2376-Q2376)&gt;1),"⚠ Haberes − descuentos no da el líquido","OK"))))))</f>
        <v/>
      </c>
      <c r="V2376" s="62" t="str">
        <f aca="false">IF(C2376="","",IFERROR(VALUE(LEFT(UPPER(SUBSTITUTE(SUBSTITUTE(SUBSTITUTE(TRIM(C2376),".",""),"-","")," ","")),LEN(UPPER(SUBSTITUTE(SUBSTITUTE(SUBSTITUTE(TRIM(C2376),".",""),"-","")," ","")))-1))&amp;RIGHT(UPPER(SUBSTITUTE(SUBSTITUTE(SUBSTITUTE(TRIM(C2376),".",""),"-","")," ","")),1),UPPER(SUBSTITUTE(SUBSTITUTE(SUBSTITUTE(TRIM(C2376),".",""),"-","")," ",""))))</f>
        <v/>
      </c>
    </row>
    <row r="2377" customFormat="false" ht="15" hidden="false" customHeight="false" outlineLevel="0" collapsed="false">
      <c r="B2377" s="80"/>
      <c r="C2377" s="58"/>
      <c r="D2377" s="62" t="str">
        <f aca="false">IF(C2377="","",IFERROR(INDEX(T_NOMBRE,MATCH(V2377,T_RUTN,0)),"⚠ RUT no está en Trabajadores"))</f>
        <v/>
      </c>
      <c r="E2377" s="61"/>
      <c r="F2377" s="61"/>
      <c r="G2377" s="61"/>
      <c r="H2377" s="61"/>
      <c r="I2377" s="81"/>
      <c r="J2377" s="81"/>
      <c r="K2377" s="60"/>
      <c r="L2377" s="60"/>
      <c r="M2377" s="60"/>
      <c r="N2377" s="60"/>
      <c r="O2377" s="60"/>
      <c r="P2377" s="60"/>
      <c r="Q2377" s="60"/>
      <c r="R2377" s="58"/>
      <c r="S2377" s="62" t="str">
        <f aca="false">IF(OR(B2377="",V2377=""),"",IFERROR(INDEX(C_TIPO,MATCH(V2377&amp;"-P"&amp;MAX(1,COUNTIFS(C_RUTN,V2377,C_DEF,"Sí",C_INI,"&lt;="&amp;EOMONTH(B2377,0))),C_CLAVE,0))&amp;"","Sin contrato"))</f>
        <v/>
      </c>
      <c r="T2377" s="63" t="str">
        <f aca="false">IF(OR(B2377="",N(O2377)=0),"",N(O2377)+ROUND(MIN(N(N2377),TOPE_UF*UF_MES)*(TASA_EMP+MUTUAL),0)+ROUND(MIN(N(N2377),TOPE_AFC_UF*UF_MES)*IF(S2377="Indefinido",AFC_INDEF,AFC_PF),0))</f>
        <v/>
      </c>
      <c r="U2377" s="62" t="str">
        <f aca="false">IF(C2377="","",IF(LEFT(D2377,1)="⚠","⚠ RUT no registrado en Trabajadores",IF(B2377="","⚠ Falta el mes",IF(OR(ISTEXT(I2377),ISTEXT(J2377)),"⚠ Atrasos u horas extra como texto: escriba hh:mm (ej. 1:30)",IF(AND(ISNUMBER(Q2377),COUNTIFS(M_RUTN,V2377,M_MES,B2377,M_LIQ,"&lt;&gt;")&gt;1),"⚠ Liquidación repetida en el mes",IF(AND(ISNUMBER(O2377),ISNUMBER(P2377),ISNUMBER(Q2377),ABS(O2377-P2377-Q2377)&gt;1),"⚠ Haberes − descuentos no da el líquido","OK"))))))</f>
        <v/>
      </c>
      <c r="V2377" s="62" t="str">
        <f aca="false">IF(C2377="","",IFERROR(VALUE(LEFT(UPPER(SUBSTITUTE(SUBSTITUTE(SUBSTITUTE(TRIM(C2377),".",""),"-","")," ","")),LEN(UPPER(SUBSTITUTE(SUBSTITUTE(SUBSTITUTE(TRIM(C2377),".",""),"-","")," ","")))-1))&amp;RIGHT(UPPER(SUBSTITUTE(SUBSTITUTE(SUBSTITUTE(TRIM(C2377),".",""),"-","")," ","")),1),UPPER(SUBSTITUTE(SUBSTITUTE(SUBSTITUTE(TRIM(C2377),".",""),"-","")," ",""))))</f>
        <v/>
      </c>
    </row>
    <row r="2378" customFormat="false" ht="15" hidden="false" customHeight="false" outlineLevel="0" collapsed="false">
      <c r="B2378" s="80"/>
      <c r="C2378" s="58"/>
      <c r="D2378" s="62" t="str">
        <f aca="false">IF(C2378="","",IFERROR(INDEX(T_NOMBRE,MATCH(V2378,T_RUTN,0)),"⚠ RUT no está en Trabajadores"))</f>
        <v/>
      </c>
      <c r="E2378" s="61"/>
      <c r="F2378" s="61"/>
      <c r="G2378" s="61"/>
      <c r="H2378" s="61"/>
      <c r="I2378" s="81"/>
      <c r="J2378" s="81"/>
      <c r="K2378" s="60"/>
      <c r="L2378" s="60"/>
      <c r="M2378" s="60"/>
      <c r="N2378" s="60"/>
      <c r="O2378" s="60"/>
      <c r="P2378" s="60"/>
      <c r="Q2378" s="60"/>
      <c r="R2378" s="58"/>
      <c r="S2378" s="62" t="str">
        <f aca="false">IF(OR(B2378="",V2378=""),"",IFERROR(INDEX(C_TIPO,MATCH(V2378&amp;"-P"&amp;MAX(1,COUNTIFS(C_RUTN,V2378,C_DEF,"Sí",C_INI,"&lt;="&amp;EOMONTH(B2378,0))),C_CLAVE,0))&amp;"","Sin contrato"))</f>
        <v/>
      </c>
      <c r="T2378" s="63" t="str">
        <f aca="false">IF(OR(B2378="",N(O2378)=0),"",N(O2378)+ROUND(MIN(N(N2378),TOPE_UF*UF_MES)*(TASA_EMP+MUTUAL),0)+ROUND(MIN(N(N2378),TOPE_AFC_UF*UF_MES)*IF(S2378="Indefinido",AFC_INDEF,AFC_PF),0))</f>
        <v/>
      </c>
      <c r="U2378" s="62" t="str">
        <f aca="false">IF(C2378="","",IF(LEFT(D2378,1)="⚠","⚠ RUT no registrado en Trabajadores",IF(B2378="","⚠ Falta el mes",IF(OR(ISTEXT(I2378),ISTEXT(J2378)),"⚠ Atrasos u horas extra como texto: escriba hh:mm (ej. 1:30)",IF(AND(ISNUMBER(Q2378),COUNTIFS(M_RUTN,V2378,M_MES,B2378,M_LIQ,"&lt;&gt;")&gt;1),"⚠ Liquidación repetida en el mes",IF(AND(ISNUMBER(O2378),ISNUMBER(P2378),ISNUMBER(Q2378),ABS(O2378-P2378-Q2378)&gt;1),"⚠ Haberes − descuentos no da el líquido","OK"))))))</f>
        <v/>
      </c>
      <c r="V2378" s="62" t="str">
        <f aca="false">IF(C2378="","",IFERROR(VALUE(LEFT(UPPER(SUBSTITUTE(SUBSTITUTE(SUBSTITUTE(TRIM(C2378),".",""),"-","")," ","")),LEN(UPPER(SUBSTITUTE(SUBSTITUTE(SUBSTITUTE(TRIM(C2378),".",""),"-","")," ","")))-1))&amp;RIGHT(UPPER(SUBSTITUTE(SUBSTITUTE(SUBSTITUTE(TRIM(C2378),".",""),"-","")," ","")),1),UPPER(SUBSTITUTE(SUBSTITUTE(SUBSTITUTE(TRIM(C2378),".",""),"-","")," ",""))))</f>
        <v/>
      </c>
    </row>
    <row r="2379" customFormat="false" ht="15" hidden="false" customHeight="false" outlineLevel="0" collapsed="false">
      <c r="B2379" s="80"/>
      <c r="C2379" s="58"/>
      <c r="D2379" s="62" t="str">
        <f aca="false">IF(C2379="","",IFERROR(INDEX(T_NOMBRE,MATCH(V2379,T_RUTN,0)),"⚠ RUT no está en Trabajadores"))</f>
        <v/>
      </c>
      <c r="E2379" s="61"/>
      <c r="F2379" s="61"/>
      <c r="G2379" s="61"/>
      <c r="H2379" s="61"/>
      <c r="I2379" s="81"/>
      <c r="J2379" s="81"/>
      <c r="K2379" s="60"/>
      <c r="L2379" s="60"/>
      <c r="M2379" s="60"/>
      <c r="N2379" s="60"/>
      <c r="O2379" s="60"/>
      <c r="P2379" s="60"/>
      <c r="Q2379" s="60"/>
      <c r="R2379" s="58"/>
      <c r="S2379" s="62" t="str">
        <f aca="false">IF(OR(B2379="",V2379=""),"",IFERROR(INDEX(C_TIPO,MATCH(V2379&amp;"-P"&amp;MAX(1,COUNTIFS(C_RUTN,V2379,C_DEF,"Sí",C_INI,"&lt;="&amp;EOMONTH(B2379,0))),C_CLAVE,0))&amp;"","Sin contrato"))</f>
        <v/>
      </c>
      <c r="T2379" s="63" t="str">
        <f aca="false">IF(OR(B2379="",N(O2379)=0),"",N(O2379)+ROUND(MIN(N(N2379),TOPE_UF*UF_MES)*(TASA_EMP+MUTUAL),0)+ROUND(MIN(N(N2379),TOPE_AFC_UF*UF_MES)*IF(S2379="Indefinido",AFC_INDEF,AFC_PF),0))</f>
        <v/>
      </c>
      <c r="U2379" s="62" t="str">
        <f aca="false">IF(C2379="","",IF(LEFT(D2379,1)="⚠","⚠ RUT no registrado en Trabajadores",IF(B2379="","⚠ Falta el mes",IF(OR(ISTEXT(I2379),ISTEXT(J2379)),"⚠ Atrasos u horas extra como texto: escriba hh:mm (ej. 1:30)",IF(AND(ISNUMBER(Q2379),COUNTIFS(M_RUTN,V2379,M_MES,B2379,M_LIQ,"&lt;&gt;")&gt;1),"⚠ Liquidación repetida en el mes",IF(AND(ISNUMBER(O2379),ISNUMBER(P2379),ISNUMBER(Q2379),ABS(O2379-P2379-Q2379)&gt;1),"⚠ Haberes − descuentos no da el líquido","OK"))))))</f>
        <v/>
      </c>
      <c r="V2379" s="62" t="str">
        <f aca="false">IF(C2379="","",IFERROR(VALUE(LEFT(UPPER(SUBSTITUTE(SUBSTITUTE(SUBSTITUTE(TRIM(C2379),".",""),"-","")," ","")),LEN(UPPER(SUBSTITUTE(SUBSTITUTE(SUBSTITUTE(TRIM(C2379),".",""),"-","")," ","")))-1))&amp;RIGHT(UPPER(SUBSTITUTE(SUBSTITUTE(SUBSTITUTE(TRIM(C2379),".",""),"-","")," ","")),1),UPPER(SUBSTITUTE(SUBSTITUTE(SUBSTITUTE(TRIM(C2379),".",""),"-","")," ",""))))</f>
        <v/>
      </c>
    </row>
    <row r="2380" customFormat="false" ht="15" hidden="false" customHeight="false" outlineLevel="0" collapsed="false">
      <c r="B2380" s="80"/>
      <c r="C2380" s="58"/>
      <c r="D2380" s="62" t="str">
        <f aca="false">IF(C2380="","",IFERROR(INDEX(T_NOMBRE,MATCH(V2380,T_RUTN,0)),"⚠ RUT no está en Trabajadores"))</f>
        <v/>
      </c>
      <c r="E2380" s="61"/>
      <c r="F2380" s="61"/>
      <c r="G2380" s="61"/>
      <c r="H2380" s="61"/>
      <c r="I2380" s="81"/>
      <c r="J2380" s="81"/>
      <c r="K2380" s="60"/>
      <c r="L2380" s="60"/>
      <c r="M2380" s="60"/>
      <c r="N2380" s="60"/>
      <c r="O2380" s="60"/>
      <c r="P2380" s="60"/>
      <c r="Q2380" s="60"/>
      <c r="R2380" s="58"/>
      <c r="S2380" s="62" t="str">
        <f aca="false">IF(OR(B2380="",V2380=""),"",IFERROR(INDEX(C_TIPO,MATCH(V2380&amp;"-P"&amp;MAX(1,COUNTIFS(C_RUTN,V2380,C_DEF,"Sí",C_INI,"&lt;="&amp;EOMONTH(B2380,0))),C_CLAVE,0))&amp;"","Sin contrato"))</f>
        <v/>
      </c>
      <c r="T2380" s="63" t="str">
        <f aca="false">IF(OR(B2380="",N(O2380)=0),"",N(O2380)+ROUND(MIN(N(N2380),TOPE_UF*UF_MES)*(TASA_EMP+MUTUAL),0)+ROUND(MIN(N(N2380),TOPE_AFC_UF*UF_MES)*IF(S2380="Indefinido",AFC_INDEF,AFC_PF),0))</f>
        <v/>
      </c>
      <c r="U2380" s="62" t="str">
        <f aca="false">IF(C2380="","",IF(LEFT(D2380,1)="⚠","⚠ RUT no registrado en Trabajadores",IF(B2380="","⚠ Falta el mes",IF(OR(ISTEXT(I2380),ISTEXT(J2380)),"⚠ Atrasos u horas extra como texto: escriba hh:mm (ej. 1:30)",IF(AND(ISNUMBER(Q2380),COUNTIFS(M_RUTN,V2380,M_MES,B2380,M_LIQ,"&lt;&gt;")&gt;1),"⚠ Liquidación repetida en el mes",IF(AND(ISNUMBER(O2380),ISNUMBER(P2380),ISNUMBER(Q2380),ABS(O2380-P2380-Q2380)&gt;1),"⚠ Haberes − descuentos no da el líquido","OK"))))))</f>
        <v/>
      </c>
      <c r="V2380" s="62" t="str">
        <f aca="false">IF(C2380="","",IFERROR(VALUE(LEFT(UPPER(SUBSTITUTE(SUBSTITUTE(SUBSTITUTE(TRIM(C2380),".",""),"-","")," ","")),LEN(UPPER(SUBSTITUTE(SUBSTITUTE(SUBSTITUTE(TRIM(C2380),".",""),"-","")," ","")))-1))&amp;RIGHT(UPPER(SUBSTITUTE(SUBSTITUTE(SUBSTITUTE(TRIM(C2380),".",""),"-","")," ","")),1),UPPER(SUBSTITUTE(SUBSTITUTE(SUBSTITUTE(TRIM(C2380),".",""),"-","")," ",""))))</f>
        <v/>
      </c>
    </row>
    <row r="2381" customFormat="false" ht="15" hidden="false" customHeight="false" outlineLevel="0" collapsed="false">
      <c r="B2381" s="80"/>
      <c r="C2381" s="58"/>
      <c r="D2381" s="62" t="str">
        <f aca="false">IF(C2381="","",IFERROR(INDEX(T_NOMBRE,MATCH(V2381,T_RUTN,0)),"⚠ RUT no está en Trabajadores"))</f>
        <v/>
      </c>
      <c r="E2381" s="61"/>
      <c r="F2381" s="61"/>
      <c r="G2381" s="61"/>
      <c r="H2381" s="61"/>
      <c r="I2381" s="81"/>
      <c r="J2381" s="81"/>
      <c r="K2381" s="60"/>
      <c r="L2381" s="60"/>
      <c r="M2381" s="60"/>
      <c r="N2381" s="60"/>
      <c r="O2381" s="60"/>
      <c r="P2381" s="60"/>
      <c r="Q2381" s="60"/>
      <c r="R2381" s="58"/>
      <c r="S2381" s="62" t="str">
        <f aca="false">IF(OR(B2381="",V2381=""),"",IFERROR(INDEX(C_TIPO,MATCH(V2381&amp;"-P"&amp;MAX(1,COUNTIFS(C_RUTN,V2381,C_DEF,"Sí",C_INI,"&lt;="&amp;EOMONTH(B2381,0))),C_CLAVE,0))&amp;"","Sin contrato"))</f>
        <v/>
      </c>
      <c r="T2381" s="63" t="str">
        <f aca="false">IF(OR(B2381="",N(O2381)=0),"",N(O2381)+ROUND(MIN(N(N2381),TOPE_UF*UF_MES)*(TASA_EMP+MUTUAL),0)+ROUND(MIN(N(N2381),TOPE_AFC_UF*UF_MES)*IF(S2381="Indefinido",AFC_INDEF,AFC_PF),0))</f>
        <v/>
      </c>
      <c r="U2381" s="62" t="str">
        <f aca="false">IF(C2381="","",IF(LEFT(D2381,1)="⚠","⚠ RUT no registrado en Trabajadores",IF(B2381="","⚠ Falta el mes",IF(OR(ISTEXT(I2381),ISTEXT(J2381)),"⚠ Atrasos u horas extra como texto: escriba hh:mm (ej. 1:30)",IF(AND(ISNUMBER(Q2381),COUNTIFS(M_RUTN,V2381,M_MES,B2381,M_LIQ,"&lt;&gt;")&gt;1),"⚠ Liquidación repetida en el mes",IF(AND(ISNUMBER(O2381),ISNUMBER(P2381),ISNUMBER(Q2381),ABS(O2381-P2381-Q2381)&gt;1),"⚠ Haberes − descuentos no da el líquido","OK"))))))</f>
        <v/>
      </c>
      <c r="V2381" s="62" t="str">
        <f aca="false">IF(C2381="","",IFERROR(VALUE(LEFT(UPPER(SUBSTITUTE(SUBSTITUTE(SUBSTITUTE(TRIM(C2381),".",""),"-","")," ","")),LEN(UPPER(SUBSTITUTE(SUBSTITUTE(SUBSTITUTE(TRIM(C2381),".",""),"-","")," ","")))-1))&amp;RIGHT(UPPER(SUBSTITUTE(SUBSTITUTE(SUBSTITUTE(TRIM(C2381),".",""),"-","")," ","")),1),UPPER(SUBSTITUTE(SUBSTITUTE(SUBSTITUTE(TRIM(C2381),".",""),"-","")," ",""))))</f>
        <v/>
      </c>
    </row>
    <row r="2382" customFormat="false" ht="15" hidden="false" customHeight="false" outlineLevel="0" collapsed="false">
      <c r="B2382" s="80"/>
      <c r="C2382" s="58"/>
      <c r="D2382" s="62" t="str">
        <f aca="false">IF(C2382="","",IFERROR(INDEX(T_NOMBRE,MATCH(V2382,T_RUTN,0)),"⚠ RUT no está en Trabajadores"))</f>
        <v/>
      </c>
      <c r="E2382" s="61"/>
      <c r="F2382" s="61"/>
      <c r="G2382" s="61"/>
      <c r="H2382" s="61"/>
      <c r="I2382" s="81"/>
      <c r="J2382" s="81"/>
      <c r="K2382" s="60"/>
      <c r="L2382" s="60"/>
      <c r="M2382" s="60"/>
      <c r="N2382" s="60"/>
      <c r="O2382" s="60"/>
      <c r="P2382" s="60"/>
      <c r="Q2382" s="60"/>
      <c r="R2382" s="58"/>
      <c r="S2382" s="62" t="str">
        <f aca="false">IF(OR(B2382="",V2382=""),"",IFERROR(INDEX(C_TIPO,MATCH(V2382&amp;"-P"&amp;MAX(1,COUNTIFS(C_RUTN,V2382,C_DEF,"Sí",C_INI,"&lt;="&amp;EOMONTH(B2382,0))),C_CLAVE,0))&amp;"","Sin contrato"))</f>
        <v/>
      </c>
      <c r="T2382" s="63" t="str">
        <f aca="false">IF(OR(B2382="",N(O2382)=0),"",N(O2382)+ROUND(MIN(N(N2382),TOPE_UF*UF_MES)*(TASA_EMP+MUTUAL),0)+ROUND(MIN(N(N2382),TOPE_AFC_UF*UF_MES)*IF(S2382="Indefinido",AFC_INDEF,AFC_PF),0))</f>
        <v/>
      </c>
      <c r="U2382" s="62" t="str">
        <f aca="false">IF(C2382="","",IF(LEFT(D2382,1)="⚠","⚠ RUT no registrado en Trabajadores",IF(B2382="","⚠ Falta el mes",IF(OR(ISTEXT(I2382),ISTEXT(J2382)),"⚠ Atrasos u horas extra como texto: escriba hh:mm (ej. 1:30)",IF(AND(ISNUMBER(Q2382),COUNTIFS(M_RUTN,V2382,M_MES,B2382,M_LIQ,"&lt;&gt;")&gt;1),"⚠ Liquidación repetida en el mes",IF(AND(ISNUMBER(O2382),ISNUMBER(P2382),ISNUMBER(Q2382),ABS(O2382-P2382-Q2382)&gt;1),"⚠ Haberes − descuentos no da el líquido","OK"))))))</f>
        <v/>
      </c>
      <c r="V2382" s="62" t="str">
        <f aca="false">IF(C2382="","",IFERROR(VALUE(LEFT(UPPER(SUBSTITUTE(SUBSTITUTE(SUBSTITUTE(TRIM(C2382),".",""),"-","")," ","")),LEN(UPPER(SUBSTITUTE(SUBSTITUTE(SUBSTITUTE(TRIM(C2382),".",""),"-","")," ","")))-1))&amp;RIGHT(UPPER(SUBSTITUTE(SUBSTITUTE(SUBSTITUTE(TRIM(C2382),".",""),"-","")," ","")),1),UPPER(SUBSTITUTE(SUBSTITUTE(SUBSTITUTE(TRIM(C2382),".",""),"-","")," ",""))))</f>
        <v/>
      </c>
    </row>
    <row r="2383" customFormat="false" ht="15" hidden="false" customHeight="false" outlineLevel="0" collapsed="false">
      <c r="B2383" s="80"/>
      <c r="C2383" s="58"/>
      <c r="D2383" s="62" t="str">
        <f aca="false">IF(C2383="","",IFERROR(INDEX(T_NOMBRE,MATCH(V2383,T_RUTN,0)),"⚠ RUT no está en Trabajadores"))</f>
        <v/>
      </c>
      <c r="E2383" s="61"/>
      <c r="F2383" s="61"/>
      <c r="G2383" s="61"/>
      <c r="H2383" s="61"/>
      <c r="I2383" s="81"/>
      <c r="J2383" s="81"/>
      <c r="K2383" s="60"/>
      <c r="L2383" s="60"/>
      <c r="M2383" s="60"/>
      <c r="N2383" s="60"/>
      <c r="O2383" s="60"/>
      <c r="P2383" s="60"/>
      <c r="Q2383" s="60"/>
      <c r="R2383" s="58"/>
      <c r="S2383" s="62" t="str">
        <f aca="false">IF(OR(B2383="",V2383=""),"",IFERROR(INDEX(C_TIPO,MATCH(V2383&amp;"-P"&amp;MAX(1,COUNTIFS(C_RUTN,V2383,C_DEF,"Sí",C_INI,"&lt;="&amp;EOMONTH(B2383,0))),C_CLAVE,0))&amp;"","Sin contrato"))</f>
        <v/>
      </c>
      <c r="T2383" s="63" t="str">
        <f aca="false">IF(OR(B2383="",N(O2383)=0),"",N(O2383)+ROUND(MIN(N(N2383),TOPE_UF*UF_MES)*(TASA_EMP+MUTUAL),0)+ROUND(MIN(N(N2383),TOPE_AFC_UF*UF_MES)*IF(S2383="Indefinido",AFC_INDEF,AFC_PF),0))</f>
        <v/>
      </c>
      <c r="U2383" s="62" t="str">
        <f aca="false">IF(C2383="","",IF(LEFT(D2383,1)="⚠","⚠ RUT no registrado en Trabajadores",IF(B2383="","⚠ Falta el mes",IF(OR(ISTEXT(I2383),ISTEXT(J2383)),"⚠ Atrasos u horas extra como texto: escriba hh:mm (ej. 1:30)",IF(AND(ISNUMBER(Q2383),COUNTIFS(M_RUTN,V2383,M_MES,B2383,M_LIQ,"&lt;&gt;")&gt;1),"⚠ Liquidación repetida en el mes",IF(AND(ISNUMBER(O2383),ISNUMBER(P2383),ISNUMBER(Q2383),ABS(O2383-P2383-Q2383)&gt;1),"⚠ Haberes − descuentos no da el líquido","OK"))))))</f>
        <v/>
      </c>
      <c r="V2383" s="62" t="str">
        <f aca="false">IF(C2383="","",IFERROR(VALUE(LEFT(UPPER(SUBSTITUTE(SUBSTITUTE(SUBSTITUTE(TRIM(C2383),".",""),"-","")," ","")),LEN(UPPER(SUBSTITUTE(SUBSTITUTE(SUBSTITUTE(TRIM(C2383),".",""),"-","")," ","")))-1))&amp;RIGHT(UPPER(SUBSTITUTE(SUBSTITUTE(SUBSTITUTE(TRIM(C2383),".",""),"-","")," ","")),1),UPPER(SUBSTITUTE(SUBSTITUTE(SUBSTITUTE(TRIM(C2383),".",""),"-","")," ",""))))</f>
        <v/>
      </c>
    </row>
    <row r="2384" customFormat="false" ht="15" hidden="false" customHeight="false" outlineLevel="0" collapsed="false">
      <c r="B2384" s="80"/>
      <c r="C2384" s="58"/>
      <c r="D2384" s="62" t="str">
        <f aca="false">IF(C2384="","",IFERROR(INDEX(T_NOMBRE,MATCH(V2384,T_RUTN,0)),"⚠ RUT no está en Trabajadores"))</f>
        <v/>
      </c>
      <c r="E2384" s="61"/>
      <c r="F2384" s="61"/>
      <c r="G2384" s="61"/>
      <c r="H2384" s="61"/>
      <c r="I2384" s="81"/>
      <c r="J2384" s="81"/>
      <c r="K2384" s="60"/>
      <c r="L2384" s="60"/>
      <c r="M2384" s="60"/>
      <c r="N2384" s="60"/>
      <c r="O2384" s="60"/>
      <c r="P2384" s="60"/>
      <c r="Q2384" s="60"/>
      <c r="R2384" s="58"/>
      <c r="S2384" s="62" t="str">
        <f aca="false">IF(OR(B2384="",V2384=""),"",IFERROR(INDEX(C_TIPO,MATCH(V2384&amp;"-P"&amp;MAX(1,COUNTIFS(C_RUTN,V2384,C_DEF,"Sí",C_INI,"&lt;="&amp;EOMONTH(B2384,0))),C_CLAVE,0))&amp;"","Sin contrato"))</f>
        <v/>
      </c>
      <c r="T2384" s="63" t="str">
        <f aca="false">IF(OR(B2384="",N(O2384)=0),"",N(O2384)+ROUND(MIN(N(N2384),TOPE_UF*UF_MES)*(TASA_EMP+MUTUAL),0)+ROUND(MIN(N(N2384),TOPE_AFC_UF*UF_MES)*IF(S2384="Indefinido",AFC_INDEF,AFC_PF),0))</f>
        <v/>
      </c>
      <c r="U2384" s="62" t="str">
        <f aca="false">IF(C2384="","",IF(LEFT(D2384,1)="⚠","⚠ RUT no registrado en Trabajadores",IF(B2384="","⚠ Falta el mes",IF(OR(ISTEXT(I2384),ISTEXT(J2384)),"⚠ Atrasos u horas extra como texto: escriba hh:mm (ej. 1:30)",IF(AND(ISNUMBER(Q2384),COUNTIFS(M_RUTN,V2384,M_MES,B2384,M_LIQ,"&lt;&gt;")&gt;1),"⚠ Liquidación repetida en el mes",IF(AND(ISNUMBER(O2384),ISNUMBER(P2384),ISNUMBER(Q2384),ABS(O2384-P2384-Q2384)&gt;1),"⚠ Haberes − descuentos no da el líquido","OK"))))))</f>
        <v/>
      </c>
      <c r="V2384" s="62" t="str">
        <f aca="false">IF(C2384="","",IFERROR(VALUE(LEFT(UPPER(SUBSTITUTE(SUBSTITUTE(SUBSTITUTE(TRIM(C2384),".",""),"-","")," ","")),LEN(UPPER(SUBSTITUTE(SUBSTITUTE(SUBSTITUTE(TRIM(C2384),".",""),"-","")," ","")))-1))&amp;RIGHT(UPPER(SUBSTITUTE(SUBSTITUTE(SUBSTITUTE(TRIM(C2384),".",""),"-","")," ","")),1),UPPER(SUBSTITUTE(SUBSTITUTE(SUBSTITUTE(TRIM(C2384),".",""),"-","")," ",""))))</f>
        <v/>
      </c>
    </row>
    <row r="2385" customFormat="false" ht="15" hidden="false" customHeight="false" outlineLevel="0" collapsed="false">
      <c r="B2385" s="80"/>
      <c r="C2385" s="58"/>
      <c r="D2385" s="62" t="str">
        <f aca="false">IF(C2385="","",IFERROR(INDEX(T_NOMBRE,MATCH(V2385,T_RUTN,0)),"⚠ RUT no está en Trabajadores"))</f>
        <v/>
      </c>
      <c r="E2385" s="61"/>
      <c r="F2385" s="61"/>
      <c r="G2385" s="61"/>
      <c r="H2385" s="61"/>
      <c r="I2385" s="81"/>
      <c r="J2385" s="81"/>
      <c r="K2385" s="60"/>
      <c r="L2385" s="60"/>
      <c r="M2385" s="60"/>
      <c r="N2385" s="60"/>
      <c r="O2385" s="60"/>
      <c r="P2385" s="60"/>
      <c r="Q2385" s="60"/>
      <c r="R2385" s="58"/>
      <c r="S2385" s="62" t="str">
        <f aca="false">IF(OR(B2385="",V2385=""),"",IFERROR(INDEX(C_TIPO,MATCH(V2385&amp;"-P"&amp;MAX(1,COUNTIFS(C_RUTN,V2385,C_DEF,"Sí",C_INI,"&lt;="&amp;EOMONTH(B2385,0))),C_CLAVE,0))&amp;"","Sin contrato"))</f>
        <v/>
      </c>
      <c r="T2385" s="63" t="str">
        <f aca="false">IF(OR(B2385="",N(O2385)=0),"",N(O2385)+ROUND(MIN(N(N2385),TOPE_UF*UF_MES)*(TASA_EMP+MUTUAL),0)+ROUND(MIN(N(N2385),TOPE_AFC_UF*UF_MES)*IF(S2385="Indefinido",AFC_INDEF,AFC_PF),0))</f>
        <v/>
      </c>
      <c r="U2385" s="62" t="str">
        <f aca="false">IF(C2385="","",IF(LEFT(D2385,1)="⚠","⚠ RUT no registrado en Trabajadores",IF(B2385="","⚠ Falta el mes",IF(OR(ISTEXT(I2385),ISTEXT(J2385)),"⚠ Atrasos u horas extra como texto: escriba hh:mm (ej. 1:30)",IF(AND(ISNUMBER(Q2385),COUNTIFS(M_RUTN,V2385,M_MES,B2385,M_LIQ,"&lt;&gt;")&gt;1),"⚠ Liquidación repetida en el mes",IF(AND(ISNUMBER(O2385),ISNUMBER(P2385),ISNUMBER(Q2385),ABS(O2385-P2385-Q2385)&gt;1),"⚠ Haberes − descuentos no da el líquido","OK"))))))</f>
        <v/>
      </c>
      <c r="V2385" s="62" t="str">
        <f aca="false">IF(C2385="","",IFERROR(VALUE(LEFT(UPPER(SUBSTITUTE(SUBSTITUTE(SUBSTITUTE(TRIM(C2385),".",""),"-","")," ","")),LEN(UPPER(SUBSTITUTE(SUBSTITUTE(SUBSTITUTE(TRIM(C2385),".",""),"-","")," ","")))-1))&amp;RIGHT(UPPER(SUBSTITUTE(SUBSTITUTE(SUBSTITUTE(TRIM(C2385),".",""),"-","")," ","")),1),UPPER(SUBSTITUTE(SUBSTITUTE(SUBSTITUTE(TRIM(C2385),".",""),"-","")," ",""))))</f>
        <v/>
      </c>
    </row>
    <row r="2386" customFormat="false" ht="15" hidden="false" customHeight="false" outlineLevel="0" collapsed="false">
      <c r="B2386" s="80"/>
      <c r="C2386" s="58"/>
      <c r="D2386" s="62" t="str">
        <f aca="false">IF(C2386="","",IFERROR(INDEX(T_NOMBRE,MATCH(V2386,T_RUTN,0)),"⚠ RUT no está en Trabajadores"))</f>
        <v/>
      </c>
      <c r="E2386" s="61"/>
      <c r="F2386" s="61"/>
      <c r="G2386" s="61"/>
      <c r="H2386" s="61"/>
      <c r="I2386" s="81"/>
      <c r="J2386" s="81"/>
      <c r="K2386" s="60"/>
      <c r="L2386" s="60"/>
      <c r="M2386" s="60"/>
      <c r="N2386" s="60"/>
      <c r="O2386" s="60"/>
      <c r="P2386" s="60"/>
      <c r="Q2386" s="60"/>
      <c r="R2386" s="58"/>
      <c r="S2386" s="62" t="str">
        <f aca="false">IF(OR(B2386="",V2386=""),"",IFERROR(INDEX(C_TIPO,MATCH(V2386&amp;"-P"&amp;MAX(1,COUNTIFS(C_RUTN,V2386,C_DEF,"Sí",C_INI,"&lt;="&amp;EOMONTH(B2386,0))),C_CLAVE,0))&amp;"","Sin contrato"))</f>
        <v/>
      </c>
      <c r="T2386" s="63" t="str">
        <f aca="false">IF(OR(B2386="",N(O2386)=0),"",N(O2386)+ROUND(MIN(N(N2386),TOPE_UF*UF_MES)*(TASA_EMP+MUTUAL),0)+ROUND(MIN(N(N2386),TOPE_AFC_UF*UF_MES)*IF(S2386="Indefinido",AFC_INDEF,AFC_PF),0))</f>
        <v/>
      </c>
      <c r="U2386" s="62" t="str">
        <f aca="false">IF(C2386="","",IF(LEFT(D2386,1)="⚠","⚠ RUT no registrado en Trabajadores",IF(B2386="","⚠ Falta el mes",IF(OR(ISTEXT(I2386),ISTEXT(J2386)),"⚠ Atrasos u horas extra como texto: escriba hh:mm (ej. 1:30)",IF(AND(ISNUMBER(Q2386),COUNTIFS(M_RUTN,V2386,M_MES,B2386,M_LIQ,"&lt;&gt;")&gt;1),"⚠ Liquidación repetida en el mes",IF(AND(ISNUMBER(O2386),ISNUMBER(P2386),ISNUMBER(Q2386),ABS(O2386-P2386-Q2386)&gt;1),"⚠ Haberes − descuentos no da el líquido","OK"))))))</f>
        <v/>
      </c>
      <c r="V2386" s="62" t="str">
        <f aca="false">IF(C2386="","",IFERROR(VALUE(LEFT(UPPER(SUBSTITUTE(SUBSTITUTE(SUBSTITUTE(TRIM(C2386),".",""),"-","")," ","")),LEN(UPPER(SUBSTITUTE(SUBSTITUTE(SUBSTITUTE(TRIM(C2386),".",""),"-","")," ","")))-1))&amp;RIGHT(UPPER(SUBSTITUTE(SUBSTITUTE(SUBSTITUTE(TRIM(C2386),".",""),"-","")," ","")),1),UPPER(SUBSTITUTE(SUBSTITUTE(SUBSTITUTE(TRIM(C2386),".",""),"-","")," ",""))))</f>
        <v/>
      </c>
    </row>
    <row r="2387" customFormat="false" ht="15" hidden="false" customHeight="false" outlineLevel="0" collapsed="false">
      <c r="B2387" s="80"/>
      <c r="C2387" s="58"/>
      <c r="D2387" s="62" t="str">
        <f aca="false">IF(C2387="","",IFERROR(INDEX(T_NOMBRE,MATCH(V2387,T_RUTN,0)),"⚠ RUT no está en Trabajadores"))</f>
        <v/>
      </c>
      <c r="E2387" s="61"/>
      <c r="F2387" s="61"/>
      <c r="G2387" s="61"/>
      <c r="H2387" s="61"/>
      <c r="I2387" s="81"/>
      <c r="J2387" s="81"/>
      <c r="K2387" s="60"/>
      <c r="L2387" s="60"/>
      <c r="M2387" s="60"/>
      <c r="N2387" s="60"/>
      <c r="O2387" s="60"/>
      <c r="P2387" s="60"/>
      <c r="Q2387" s="60"/>
      <c r="R2387" s="58"/>
      <c r="S2387" s="62" t="str">
        <f aca="false">IF(OR(B2387="",V2387=""),"",IFERROR(INDEX(C_TIPO,MATCH(V2387&amp;"-P"&amp;MAX(1,COUNTIFS(C_RUTN,V2387,C_DEF,"Sí",C_INI,"&lt;="&amp;EOMONTH(B2387,0))),C_CLAVE,0))&amp;"","Sin contrato"))</f>
        <v/>
      </c>
      <c r="T2387" s="63" t="str">
        <f aca="false">IF(OR(B2387="",N(O2387)=0),"",N(O2387)+ROUND(MIN(N(N2387),TOPE_UF*UF_MES)*(TASA_EMP+MUTUAL),0)+ROUND(MIN(N(N2387),TOPE_AFC_UF*UF_MES)*IF(S2387="Indefinido",AFC_INDEF,AFC_PF),0))</f>
        <v/>
      </c>
      <c r="U2387" s="62" t="str">
        <f aca="false">IF(C2387="","",IF(LEFT(D2387,1)="⚠","⚠ RUT no registrado en Trabajadores",IF(B2387="","⚠ Falta el mes",IF(OR(ISTEXT(I2387),ISTEXT(J2387)),"⚠ Atrasos u horas extra como texto: escriba hh:mm (ej. 1:30)",IF(AND(ISNUMBER(Q2387),COUNTIFS(M_RUTN,V2387,M_MES,B2387,M_LIQ,"&lt;&gt;")&gt;1),"⚠ Liquidación repetida en el mes",IF(AND(ISNUMBER(O2387),ISNUMBER(P2387),ISNUMBER(Q2387),ABS(O2387-P2387-Q2387)&gt;1),"⚠ Haberes − descuentos no da el líquido","OK"))))))</f>
        <v/>
      </c>
      <c r="V2387" s="62" t="str">
        <f aca="false">IF(C2387="","",IFERROR(VALUE(LEFT(UPPER(SUBSTITUTE(SUBSTITUTE(SUBSTITUTE(TRIM(C2387),".",""),"-","")," ","")),LEN(UPPER(SUBSTITUTE(SUBSTITUTE(SUBSTITUTE(TRIM(C2387),".",""),"-","")," ","")))-1))&amp;RIGHT(UPPER(SUBSTITUTE(SUBSTITUTE(SUBSTITUTE(TRIM(C2387),".",""),"-","")," ","")),1),UPPER(SUBSTITUTE(SUBSTITUTE(SUBSTITUTE(TRIM(C2387),".",""),"-","")," ",""))))</f>
        <v/>
      </c>
    </row>
    <row r="2388" customFormat="false" ht="15" hidden="false" customHeight="false" outlineLevel="0" collapsed="false">
      <c r="B2388" s="80"/>
      <c r="C2388" s="58"/>
      <c r="D2388" s="62" t="str">
        <f aca="false">IF(C2388="","",IFERROR(INDEX(T_NOMBRE,MATCH(V2388,T_RUTN,0)),"⚠ RUT no está en Trabajadores"))</f>
        <v/>
      </c>
      <c r="E2388" s="61"/>
      <c r="F2388" s="61"/>
      <c r="G2388" s="61"/>
      <c r="H2388" s="61"/>
      <c r="I2388" s="81"/>
      <c r="J2388" s="81"/>
      <c r="K2388" s="60"/>
      <c r="L2388" s="60"/>
      <c r="M2388" s="60"/>
      <c r="N2388" s="60"/>
      <c r="O2388" s="60"/>
      <c r="P2388" s="60"/>
      <c r="Q2388" s="60"/>
      <c r="R2388" s="58"/>
      <c r="S2388" s="62" t="str">
        <f aca="false">IF(OR(B2388="",V2388=""),"",IFERROR(INDEX(C_TIPO,MATCH(V2388&amp;"-P"&amp;MAX(1,COUNTIFS(C_RUTN,V2388,C_DEF,"Sí",C_INI,"&lt;="&amp;EOMONTH(B2388,0))),C_CLAVE,0))&amp;"","Sin contrato"))</f>
        <v/>
      </c>
      <c r="T2388" s="63" t="str">
        <f aca="false">IF(OR(B2388="",N(O2388)=0),"",N(O2388)+ROUND(MIN(N(N2388),TOPE_UF*UF_MES)*(TASA_EMP+MUTUAL),0)+ROUND(MIN(N(N2388),TOPE_AFC_UF*UF_MES)*IF(S2388="Indefinido",AFC_INDEF,AFC_PF),0))</f>
        <v/>
      </c>
      <c r="U2388" s="62" t="str">
        <f aca="false">IF(C2388="","",IF(LEFT(D2388,1)="⚠","⚠ RUT no registrado en Trabajadores",IF(B2388="","⚠ Falta el mes",IF(OR(ISTEXT(I2388),ISTEXT(J2388)),"⚠ Atrasos u horas extra como texto: escriba hh:mm (ej. 1:30)",IF(AND(ISNUMBER(Q2388),COUNTIFS(M_RUTN,V2388,M_MES,B2388,M_LIQ,"&lt;&gt;")&gt;1),"⚠ Liquidación repetida en el mes",IF(AND(ISNUMBER(O2388),ISNUMBER(P2388),ISNUMBER(Q2388),ABS(O2388-P2388-Q2388)&gt;1),"⚠ Haberes − descuentos no da el líquido","OK"))))))</f>
        <v/>
      </c>
      <c r="V2388" s="62" t="str">
        <f aca="false">IF(C2388="","",IFERROR(VALUE(LEFT(UPPER(SUBSTITUTE(SUBSTITUTE(SUBSTITUTE(TRIM(C2388),".",""),"-","")," ","")),LEN(UPPER(SUBSTITUTE(SUBSTITUTE(SUBSTITUTE(TRIM(C2388),".",""),"-","")," ","")))-1))&amp;RIGHT(UPPER(SUBSTITUTE(SUBSTITUTE(SUBSTITUTE(TRIM(C2388),".",""),"-","")," ","")),1),UPPER(SUBSTITUTE(SUBSTITUTE(SUBSTITUTE(TRIM(C2388),".",""),"-","")," ",""))))</f>
        <v/>
      </c>
    </row>
    <row r="2389" customFormat="false" ht="15" hidden="false" customHeight="false" outlineLevel="0" collapsed="false">
      <c r="B2389" s="80"/>
      <c r="C2389" s="58"/>
      <c r="D2389" s="62" t="str">
        <f aca="false">IF(C2389="","",IFERROR(INDEX(T_NOMBRE,MATCH(V2389,T_RUTN,0)),"⚠ RUT no está en Trabajadores"))</f>
        <v/>
      </c>
      <c r="E2389" s="61"/>
      <c r="F2389" s="61"/>
      <c r="G2389" s="61"/>
      <c r="H2389" s="61"/>
      <c r="I2389" s="81"/>
      <c r="J2389" s="81"/>
      <c r="K2389" s="60"/>
      <c r="L2389" s="60"/>
      <c r="M2389" s="60"/>
      <c r="N2389" s="60"/>
      <c r="O2389" s="60"/>
      <c r="P2389" s="60"/>
      <c r="Q2389" s="60"/>
      <c r="R2389" s="58"/>
      <c r="S2389" s="62" t="str">
        <f aca="false">IF(OR(B2389="",V2389=""),"",IFERROR(INDEX(C_TIPO,MATCH(V2389&amp;"-P"&amp;MAX(1,COUNTIFS(C_RUTN,V2389,C_DEF,"Sí",C_INI,"&lt;="&amp;EOMONTH(B2389,0))),C_CLAVE,0))&amp;"","Sin contrato"))</f>
        <v/>
      </c>
      <c r="T2389" s="63" t="str">
        <f aca="false">IF(OR(B2389="",N(O2389)=0),"",N(O2389)+ROUND(MIN(N(N2389),TOPE_UF*UF_MES)*(TASA_EMP+MUTUAL),0)+ROUND(MIN(N(N2389),TOPE_AFC_UF*UF_MES)*IF(S2389="Indefinido",AFC_INDEF,AFC_PF),0))</f>
        <v/>
      </c>
      <c r="U2389" s="62" t="str">
        <f aca="false">IF(C2389="","",IF(LEFT(D2389,1)="⚠","⚠ RUT no registrado en Trabajadores",IF(B2389="","⚠ Falta el mes",IF(OR(ISTEXT(I2389),ISTEXT(J2389)),"⚠ Atrasos u horas extra como texto: escriba hh:mm (ej. 1:30)",IF(AND(ISNUMBER(Q2389),COUNTIFS(M_RUTN,V2389,M_MES,B2389,M_LIQ,"&lt;&gt;")&gt;1),"⚠ Liquidación repetida en el mes",IF(AND(ISNUMBER(O2389),ISNUMBER(P2389),ISNUMBER(Q2389),ABS(O2389-P2389-Q2389)&gt;1),"⚠ Haberes − descuentos no da el líquido","OK"))))))</f>
        <v/>
      </c>
      <c r="V2389" s="62" t="str">
        <f aca="false">IF(C2389="","",IFERROR(VALUE(LEFT(UPPER(SUBSTITUTE(SUBSTITUTE(SUBSTITUTE(TRIM(C2389),".",""),"-","")," ","")),LEN(UPPER(SUBSTITUTE(SUBSTITUTE(SUBSTITUTE(TRIM(C2389),".",""),"-","")," ","")))-1))&amp;RIGHT(UPPER(SUBSTITUTE(SUBSTITUTE(SUBSTITUTE(TRIM(C2389),".",""),"-","")," ","")),1),UPPER(SUBSTITUTE(SUBSTITUTE(SUBSTITUTE(TRIM(C2389),".",""),"-","")," ",""))))</f>
        <v/>
      </c>
    </row>
    <row r="2390" customFormat="false" ht="15" hidden="false" customHeight="false" outlineLevel="0" collapsed="false">
      <c r="B2390" s="80"/>
      <c r="C2390" s="58"/>
      <c r="D2390" s="62" t="str">
        <f aca="false">IF(C2390="","",IFERROR(INDEX(T_NOMBRE,MATCH(V2390,T_RUTN,0)),"⚠ RUT no está en Trabajadores"))</f>
        <v/>
      </c>
      <c r="E2390" s="61"/>
      <c r="F2390" s="61"/>
      <c r="G2390" s="61"/>
      <c r="H2390" s="61"/>
      <c r="I2390" s="81"/>
      <c r="J2390" s="81"/>
      <c r="K2390" s="60"/>
      <c r="L2390" s="60"/>
      <c r="M2390" s="60"/>
      <c r="N2390" s="60"/>
      <c r="O2390" s="60"/>
      <c r="P2390" s="60"/>
      <c r="Q2390" s="60"/>
      <c r="R2390" s="58"/>
      <c r="S2390" s="62" t="str">
        <f aca="false">IF(OR(B2390="",V2390=""),"",IFERROR(INDEX(C_TIPO,MATCH(V2390&amp;"-P"&amp;MAX(1,COUNTIFS(C_RUTN,V2390,C_DEF,"Sí",C_INI,"&lt;="&amp;EOMONTH(B2390,0))),C_CLAVE,0))&amp;"","Sin contrato"))</f>
        <v/>
      </c>
      <c r="T2390" s="63" t="str">
        <f aca="false">IF(OR(B2390="",N(O2390)=0),"",N(O2390)+ROUND(MIN(N(N2390),TOPE_UF*UF_MES)*(TASA_EMP+MUTUAL),0)+ROUND(MIN(N(N2390),TOPE_AFC_UF*UF_MES)*IF(S2390="Indefinido",AFC_INDEF,AFC_PF),0))</f>
        <v/>
      </c>
      <c r="U2390" s="62" t="str">
        <f aca="false">IF(C2390="","",IF(LEFT(D2390,1)="⚠","⚠ RUT no registrado en Trabajadores",IF(B2390="","⚠ Falta el mes",IF(OR(ISTEXT(I2390),ISTEXT(J2390)),"⚠ Atrasos u horas extra como texto: escriba hh:mm (ej. 1:30)",IF(AND(ISNUMBER(Q2390),COUNTIFS(M_RUTN,V2390,M_MES,B2390,M_LIQ,"&lt;&gt;")&gt;1),"⚠ Liquidación repetida en el mes",IF(AND(ISNUMBER(O2390),ISNUMBER(P2390),ISNUMBER(Q2390),ABS(O2390-P2390-Q2390)&gt;1),"⚠ Haberes − descuentos no da el líquido","OK"))))))</f>
        <v/>
      </c>
      <c r="V2390" s="62" t="str">
        <f aca="false">IF(C2390="","",IFERROR(VALUE(LEFT(UPPER(SUBSTITUTE(SUBSTITUTE(SUBSTITUTE(TRIM(C2390),".",""),"-","")," ","")),LEN(UPPER(SUBSTITUTE(SUBSTITUTE(SUBSTITUTE(TRIM(C2390),".",""),"-","")," ","")))-1))&amp;RIGHT(UPPER(SUBSTITUTE(SUBSTITUTE(SUBSTITUTE(TRIM(C2390),".",""),"-","")," ","")),1),UPPER(SUBSTITUTE(SUBSTITUTE(SUBSTITUTE(TRIM(C2390),".",""),"-","")," ",""))))</f>
        <v/>
      </c>
    </row>
    <row r="2391" customFormat="false" ht="15" hidden="false" customHeight="false" outlineLevel="0" collapsed="false">
      <c r="B2391" s="80"/>
      <c r="C2391" s="58"/>
      <c r="D2391" s="62" t="str">
        <f aca="false">IF(C2391="","",IFERROR(INDEX(T_NOMBRE,MATCH(V2391,T_RUTN,0)),"⚠ RUT no está en Trabajadores"))</f>
        <v/>
      </c>
      <c r="E2391" s="61"/>
      <c r="F2391" s="61"/>
      <c r="G2391" s="61"/>
      <c r="H2391" s="61"/>
      <c r="I2391" s="81"/>
      <c r="J2391" s="81"/>
      <c r="K2391" s="60"/>
      <c r="L2391" s="60"/>
      <c r="M2391" s="60"/>
      <c r="N2391" s="60"/>
      <c r="O2391" s="60"/>
      <c r="P2391" s="60"/>
      <c r="Q2391" s="60"/>
      <c r="R2391" s="58"/>
      <c r="S2391" s="62" t="str">
        <f aca="false">IF(OR(B2391="",V2391=""),"",IFERROR(INDEX(C_TIPO,MATCH(V2391&amp;"-P"&amp;MAX(1,COUNTIFS(C_RUTN,V2391,C_DEF,"Sí",C_INI,"&lt;="&amp;EOMONTH(B2391,0))),C_CLAVE,0))&amp;"","Sin contrato"))</f>
        <v/>
      </c>
      <c r="T2391" s="63" t="str">
        <f aca="false">IF(OR(B2391="",N(O2391)=0),"",N(O2391)+ROUND(MIN(N(N2391),TOPE_UF*UF_MES)*(TASA_EMP+MUTUAL),0)+ROUND(MIN(N(N2391),TOPE_AFC_UF*UF_MES)*IF(S2391="Indefinido",AFC_INDEF,AFC_PF),0))</f>
        <v/>
      </c>
      <c r="U2391" s="62" t="str">
        <f aca="false">IF(C2391="","",IF(LEFT(D2391,1)="⚠","⚠ RUT no registrado en Trabajadores",IF(B2391="","⚠ Falta el mes",IF(OR(ISTEXT(I2391),ISTEXT(J2391)),"⚠ Atrasos u horas extra como texto: escriba hh:mm (ej. 1:30)",IF(AND(ISNUMBER(Q2391),COUNTIFS(M_RUTN,V2391,M_MES,B2391,M_LIQ,"&lt;&gt;")&gt;1),"⚠ Liquidación repetida en el mes",IF(AND(ISNUMBER(O2391),ISNUMBER(P2391),ISNUMBER(Q2391),ABS(O2391-P2391-Q2391)&gt;1),"⚠ Haberes − descuentos no da el líquido","OK"))))))</f>
        <v/>
      </c>
      <c r="V2391" s="62" t="str">
        <f aca="false">IF(C2391="","",IFERROR(VALUE(LEFT(UPPER(SUBSTITUTE(SUBSTITUTE(SUBSTITUTE(TRIM(C2391),".",""),"-","")," ","")),LEN(UPPER(SUBSTITUTE(SUBSTITUTE(SUBSTITUTE(TRIM(C2391),".",""),"-","")," ","")))-1))&amp;RIGHT(UPPER(SUBSTITUTE(SUBSTITUTE(SUBSTITUTE(TRIM(C2391),".",""),"-","")," ","")),1),UPPER(SUBSTITUTE(SUBSTITUTE(SUBSTITUTE(TRIM(C2391),".",""),"-","")," ",""))))</f>
        <v/>
      </c>
    </row>
    <row r="2392" customFormat="false" ht="15" hidden="false" customHeight="false" outlineLevel="0" collapsed="false">
      <c r="B2392" s="80"/>
      <c r="C2392" s="58"/>
      <c r="D2392" s="62" t="str">
        <f aca="false">IF(C2392="","",IFERROR(INDEX(T_NOMBRE,MATCH(V2392,T_RUTN,0)),"⚠ RUT no está en Trabajadores"))</f>
        <v/>
      </c>
      <c r="E2392" s="61"/>
      <c r="F2392" s="61"/>
      <c r="G2392" s="61"/>
      <c r="H2392" s="61"/>
      <c r="I2392" s="81"/>
      <c r="J2392" s="81"/>
      <c r="K2392" s="60"/>
      <c r="L2392" s="60"/>
      <c r="M2392" s="60"/>
      <c r="N2392" s="60"/>
      <c r="O2392" s="60"/>
      <c r="P2392" s="60"/>
      <c r="Q2392" s="60"/>
      <c r="R2392" s="58"/>
      <c r="S2392" s="62" t="str">
        <f aca="false">IF(OR(B2392="",V2392=""),"",IFERROR(INDEX(C_TIPO,MATCH(V2392&amp;"-P"&amp;MAX(1,COUNTIFS(C_RUTN,V2392,C_DEF,"Sí",C_INI,"&lt;="&amp;EOMONTH(B2392,0))),C_CLAVE,0))&amp;"","Sin contrato"))</f>
        <v/>
      </c>
      <c r="T2392" s="63" t="str">
        <f aca="false">IF(OR(B2392="",N(O2392)=0),"",N(O2392)+ROUND(MIN(N(N2392),TOPE_UF*UF_MES)*(TASA_EMP+MUTUAL),0)+ROUND(MIN(N(N2392),TOPE_AFC_UF*UF_MES)*IF(S2392="Indefinido",AFC_INDEF,AFC_PF),0))</f>
        <v/>
      </c>
      <c r="U2392" s="62" t="str">
        <f aca="false">IF(C2392="","",IF(LEFT(D2392,1)="⚠","⚠ RUT no registrado en Trabajadores",IF(B2392="","⚠ Falta el mes",IF(OR(ISTEXT(I2392),ISTEXT(J2392)),"⚠ Atrasos u horas extra como texto: escriba hh:mm (ej. 1:30)",IF(AND(ISNUMBER(Q2392),COUNTIFS(M_RUTN,V2392,M_MES,B2392,M_LIQ,"&lt;&gt;")&gt;1),"⚠ Liquidación repetida en el mes",IF(AND(ISNUMBER(O2392),ISNUMBER(P2392),ISNUMBER(Q2392),ABS(O2392-P2392-Q2392)&gt;1),"⚠ Haberes − descuentos no da el líquido","OK"))))))</f>
        <v/>
      </c>
      <c r="V2392" s="62" t="str">
        <f aca="false">IF(C2392="","",IFERROR(VALUE(LEFT(UPPER(SUBSTITUTE(SUBSTITUTE(SUBSTITUTE(TRIM(C2392),".",""),"-","")," ","")),LEN(UPPER(SUBSTITUTE(SUBSTITUTE(SUBSTITUTE(TRIM(C2392),".",""),"-","")," ","")))-1))&amp;RIGHT(UPPER(SUBSTITUTE(SUBSTITUTE(SUBSTITUTE(TRIM(C2392),".",""),"-","")," ","")),1),UPPER(SUBSTITUTE(SUBSTITUTE(SUBSTITUTE(TRIM(C2392),".",""),"-","")," ",""))))</f>
        <v/>
      </c>
    </row>
    <row r="2393" customFormat="false" ht="15" hidden="false" customHeight="false" outlineLevel="0" collapsed="false">
      <c r="B2393" s="80"/>
      <c r="C2393" s="58"/>
      <c r="D2393" s="62" t="str">
        <f aca="false">IF(C2393="","",IFERROR(INDEX(T_NOMBRE,MATCH(V2393,T_RUTN,0)),"⚠ RUT no está en Trabajadores"))</f>
        <v/>
      </c>
      <c r="E2393" s="61"/>
      <c r="F2393" s="61"/>
      <c r="G2393" s="61"/>
      <c r="H2393" s="61"/>
      <c r="I2393" s="81"/>
      <c r="J2393" s="81"/>
      <c r="K2393" s="60"/>
      <c r="L2393" s="60"/>
      <c r="M2393" s="60"/>
      <c r="N2393" s="60"/>
      <c r="O2393" s="60"/>
      <c r="P2393" s="60"/>
      <c r="Q2393" s="60"/>
      <c r="R2393" s="58"/>
      <c r="S2393" s="62" t="str">
        <f aca="false">IF(OR(B2393="",V2393=""),"",IFERROR(INDEX(C_TIPO,MATCH(V2393&amp;"-P"&amp;MAX(1,COUNTIFS(C_RUTN,V2393,C_DEF,"Sí",C_INI,"&lt;="&amp;EOMONTH(B2393,0))),C_CLAVE,0))&amp;"","Sin contrato"))</f>
        <v/>
      </c>
      <c r="T2393" s="63" t="str">
        <f aca="false">IF(OR(B2393="",N(O2393)=0),"",N(O2393)+ROUND(MIN(N(N2393),TOPE_UF*UF_MES)*(TASA_EMP+MUTUAL),0)+ROUND(MIN(N(N2393),TOPE_AFC_UF*UF_MES)*IF(S2393="Indefinido",AFC_INDEF,AFC_PF),0))</f>
        <v/>
      </c>
      <c r="U2393" s="62" t="str">
        <f aca="false">IF(C2393="","",IF(LEFT(D2393,1)="⚠","⚠ RUT no registrado en Trabajadores",IF(B2393="","⚠ Falta el mes",IF(OR(ISTEXT(I2393),ISTEXT(J2393)),"⚠ Atrasos u horas extra como texto: escriba hh:mm (ej. 1:30)",IF(AND(ISNUMBER(Q2393),COUNTIFS(M_RUTN,V2393,M_MES,B2393,M_LIQ,"&lt;&gt;")&gt;1),"⚠ Liquidación repetida en el mes",IF(AND(ISNUMBER(O2393),ISNUMBER(P2393),ISNUMBER(Q2393),ABS(O2393-P2393-Q2393)&gt;1),"⚠ Haberes − descuentos no da el líquido","OK"))))))</f>
        <v/>
      </c>
      <c r="V2393" s="62" t="str">
        <f aca="false">IF(C2393="","",IFERROR(VALUE(LEFT(UPPER(SUBSTITUTE(SUBSTITUTE(SUBSTITUTE(TRIM(C2393),".",""),"-","")," ","")),LEN(UPPER(SUBSTITUTE(SUBSTITUTE(SUBSTITUTE(TRIM(C2393),".",""),"-","")," ","")))-1))&amp;RIGHT(UPPER(SUBSTITUTE(SUBSTITUTE(SUBSTITUTE(TRIM(C2393),".",""),"-","")," ","")),1),UPPER(SUBSTITUTE(SUBSTITUTE(SUBSTITUTE(TRIM(C2393),".",""),"-","")," ",""))))</f>
        <v/>
      </c>
    </row>
    <row r="2394" customFormat="false" ht="15" hidden="false" customHeight="false" outlineLevel="0" collapsed="false">
      <c r="B2394" s="80"/>
      <c r="C2394" s="58"/>
      <c r="D2394" s="62" t="str">
        <f aca="false">IF(C2394="","",IFERROR(INDEX(T_NOMBRE,MATCH(V2394,T_RUTN,0)),"⚠ RUT no está en Trabajadores"))</f>
        <v/>
      </c>
      <c r="E2394" s="61"/>
      <c r="F2394" s="61"/>
      <c r="G2394" s="61"/>
      <c r="H2394" s="61"/>
      <c r="I2394" s="81"/>
      <c r="J2394" s="81"/>
      <c r="K2394" s="60"/>
      <c r="L2394" s="60"/>
      <c r="M2394" s="60"/>
      <c r="N2394" s="60"/>
      <c r="O2394" s="60"/>
      <c r="P2394" s="60"/>
      <c r="Q2394" s="60"/>
      <c r="R2394" s="58"/>
      <c r="S2394" s="62" t="str">
        <f aca="false">IF(OR(B2394="",V2394=""),"",IFERROR(INDEX(C_TIPO,MATCH(V2394&amp;"-P"&amp;MAX(1,COUNTIFS(C_RUTN,V2394,C_DEF,"Sí",C_INI,"&lt;="&amp;EOMONTH(B2394,0))),C_CLAVE,0))&amp;"","Sin contrato"))</f>
        <v/>
      </c>
      <c r="T2394" s="63" t="str">
        <f aca="false">IF(OR(B2394="",N(O2394)=0),"",N(O2394)+ROUND(MIN(N(N2394),TOPE_UF*UF_MES)*(TASA_EMP+MUTUAL),0)+ROUND(MIN(N(N2394),TOPE_AFC_UF*UF_MES)*IF(S2394="Indefinido",AFC_INDEF,AFC_PF),0))</f>
        <v/>
      </c>
      <c r="U2394" s="62" t="str">
        <f aca="false">IF(C2394="","",IF(LEFT(D2394,1)="⚠","⚠ RUT no registrado en Trabajadores",IF(B2394="","⚠ Falta el mes",IF(OR(ISTEXT(I2394),ISTEXT(J2394)),"⚠ Atrasos u horas extra como texto: escriba hh:mm (ej. 1:30)",IF(AND(ISNUMBER(Q2394),COUNTIFS(M_RUTN,V2394,M_MES,B2394,M_LIQ,"&lt;&gt;")&gt;1),"⚠ Liquidación repetida en el mes",IF(AND(ISNUMBER(O2394),ISNUMBER(P2394),ISNUMBER(Q2394),ABS(O2394-P2394-Q2394)&gt;1),"⚠ Haberes − descuentos no da el líquido","OK"))))))</f>
        <v/>
      </c>
      <c r="V2394" s="62" t="str">
        <f aca="false">IF(C2394="","",IFERROR(VALUE(LEFT(UPPER(SUBSTITUTE(SUBSTITUTE(SUBSTITUTE(TRIM(C2394),".",""),"-","")," ","")),LEN(UPPER(SUBSTITUTE(SUBSTITUTE(SUBSTITUTE(TRIM(C2394),".",""),"-","")," ","")))-1))&amp;RIGHT(UPPER(SUBSTITUTE(SUBSTITUTE(SUBSTITUTE(TRIM(C2394),".",""),"-","")," ","")),1),UPPER(SUBSTITUTE(SUBSTITUTE(SUBSTITUTE(TRIM(C2394),".",""),"-","")," ",""))))</f>
        <v/>
      </c>
    </row>
    <row r="2395" customFormat="false" ht="15" hidden="false" customHeight="false" outlineLevel="0" collapsed="false">
      <c r="B2395" s="80"/>
      <c r="C2395" s="58"/>
      <c r="D2395" s="62" t="str">
        <f aca="false">IF(C2395="","",IFERROR(INDEX(T_NOMBRE,MATCH(V2395,T_RUTN,0)),"⚠ RUT no está en Trabajadores"))</f>
        <v/>
      </c>
      <c r="E2395" s="61"/>
      <c r="F2395" s="61"/>
      <c r="G2395" s="61"/>
      <c r="H2395" s="61"/>
      <c r="I2395" s="81"/>
      <c r="J2395" s="81"/>
      <c r="K2395" s="60"/>
      <c r="L2395" s="60"/>
      <c r="M2395" s="60"/>
      <c r="N2395" s="60"/>
      <c r="O2395" s="60"/>
      <c r="P2395" s="60"/>
      <c r="Q2395" s="60"/>
      <c r="R2395" s="58"/>
      <c r="S2395" s="62" t="str">
        <f aca="false">IF(OR(B2395="",V2395=""),"",IFERROR(INDEX(C_TIPO,MATCH(V2395&amp;"-P"&amp;MAX(1,COUNTIFS(C_RUTN,V2395,C_DEF,"Sí",C_INI,"&lt;="&amp;EOMONTH(B2395,0))),C_CLAVE,0))&amp;"","Sin contrato"))</f>
        <v/>
      </c>
      <c r="T2395" s="63" t="str">
        <f aca="false">IF(OR(B2395="",N(O2395)=0),"",N(O2395)+ROUND(MIN(N(N2395),TOPE_UF*UF_MES)*(TASA_EMP+MUTUAL),0)+ROUND(MIN(N(N2395),TOPE_AFC_UF*UF_MES)*IF(S2395="Indefinido",AFC_INDEF,AFC_PF),0))</f>
        <v/>
      </c>
      <c r="U2395" s="62" t="str">
        <f aca="false">IF(C2395="","",IF(LEFT(D2395,1)="⚠","⚠ RUT no registrado en Trabajadores",IF(B2395="","⚠ Falta el mes",IF(OR(ISTEXT(I2395),ISTEXT(J2395)),"⚠ Atrasos u horas extra como texto: escriba hh:mm (ej. 1:30)",IF(AND(ISNUMBER(Q2395),COUNTIFS(M_RUTN,V2395,M_MES,B2395,M_LIQ,"&lt;&gt;")&gt;1),"⚠ Liquidación repetida en el mes",IF(AND(ISNUMBER(O2395),ISNUMBER(P2395),ISNUMBER(Q2395),ABS(O2395-P2395-Q2395)&gt;1),"⚠ Haberes − descuentos no da el líquido","OK"))))))</f>
        <v/>
      </c>
      <c r="V2395" s="62" t="str">
        <f aca="false">IF(C2395="","",IFERROR(VALUE(LEFT(UPPER(SUBSTITUTE(SUBSTITUTE(SUBSTITUTE(TRIM(C2395),".",""),"-","")," ","")),LEN(UPPER(SUBSTITUTE(SUBSTITUTE(SUBSTITUTE(TRIM(C2395),".",""),"-","")," ","")))-1))&amp;RIGHT(UPPER(SUBSTITUTE(SUBSTITUTE(SUBSTITUTE(TRIM(C2395),".",""),"-","")," ","")),1),UPPER(SUBSTITUTE(SUBSTITUTE(SUBSTITUTE(TRIM(C2395),".",""),"-","")," ",""))))</f>
        <v/>
      </c>
    </row>
    <row r="2396" customFormat="false" ht="15" hidden="false" customHeight="false" outlineLevel="0" collapsed="false">
      <c r="B2396" s="80"/>
      <c r="C2396" s="58"/>
      <c r="D2396" s="62" t="str">
        <f aca="false">IF(C2396="","",IFERROR(INDEX(T_NOMBRE,MATCH(V2396,T_RUTN,0)),"⚠ RUT no está en Trabajadores"))</f>
        <v/>
      </c>
      <c r="E2396" s="61"/>
      <c r="F2396" s="61"/>
      <c r="G2396" s="61"/>
      <c r="H2396" s="61"/>
      <c r="I2396" s="81"/>
      <c r="J2396" s="81"/>
      <c r="K2396" s="60"/>
      <c r="L2396" s="60"/>
      <c r="M2396" s="60"/>
      <c r="N2396" s="60"/>
      <c r="O2396" s="60"/>
      <c r="P2396" s="60"/>
      <c r="Q2396" s="60"/>
      <c r="R2396" s="58"/>
      <c r="S2396" s="62" t="str">
        <f aca="false">IF(OR(B2396="",V2396=""),"",IFERROR(INDEX(C_TIPO,MATCH(V2396&amp;"-P"&amp;MAX(1,COUNTIFS(C_RUTN,V2396,C_DEF,"Sí",C_INI,"&lt;="&amp;EOMONTH(B2396,0))),C_CLAVE,0))&amp;"","Sin contrato"))</f>
        <v/>
      </c>
      <c r="T2396" s="63" t="str">
        <f aca="false">IF(OR(B2396="",N(O2396)=0),"",N(O2396)+ROUND(MIN(N(N2396),TOPE_UF*UF_MES)*(TASA_EMP+MUTUAL),0)+ROUND(MIN(N(N2396),TOPE_AFC_UF*UF_MES)*IF(S2396="Indefinido",AFC_INDEF,AFC_PF),0))</f>
        <v/>
      </c>
      <c r="U2396" s="62" t="str">
        <f aca="false">IF(C2396="","",IF(LEFT(D2396,1)="⚠","⚠ RUT no registrado en Trabajadores",IF(B2396="","⚠ Falta el mes",IF(OR(ISTEXT(I2396),ISTEXT(J2396)),"⚠ Atrasos u horas extra como texto: escriba hh:mm (ej. 1:30)",IF(AND(ISNUMBER(Q2396),COUNTIFS(M_RUTN,V2396,M_MES,B2396,M_LIQ,"&lt;&gt;")&gt;1),"⚠ Liquidación repetida en el mes",IF(AND(ISNUMBER(O2396),ISNUMBER(P2396),ISNUMBER(Q2396),ABS(O2396-P2396-Q2396)&gt;1),"⚠ Haberes − descuentos no da el líquido","OK"))))))</f>
        <v/>
      </c>
      <c r="V2396" s="62" t="str">
        <f aca="false">IF(C2396="","",IFERROR(VALUE(LEFT(UPPER(SUBSTITUTE(SUBSTITUTE(SUBSTITUTE(TRIM(C2396),".",""),"-","")," ","")),LEN(UPPER(SUBSTITUTE(SUBSTITUTE(SUBSTITUTE(TRIM(C2396),".",""),"-","")," ","")))-1))&amp;RIGHT(UPPER(SUBSTITUTE(SUBSTITUTE(SUBSTITUTE(TRIM(C2396),".",""),"-","")," ","")),1),UPPER(SUBSTITUTE(SUBSTITUTE(SUBSTITUTE(TRIM(C2396),".",""),"-","")," ",""))))</f>
        <v/>
      </c>
    </row>
    <row r="2397" customFormat="false" ht="15" hidden="false" customHeight="false" outlineLevel="0" collapsed="false">
      <c r="B2397" s="80"/>
      <c r="C2397" s="58"/>
      <c r="D2397" s="62" t="str">
        <f aca="false">IF(C2397="","",IFERROR(INDEX(T_NOMBRE,MATCH(V2397,T_RUTN,0)),"⚠ RUT no está en Trabajadores"))</f>
        <v/>
      </c>
      <c r="E2397" s="61"/>
      <c r="F2397" s="61"/>
      <c r="G2397" s="61"/>
      <c r="H2397" s="61"/>
      <c r="I2397" s="81"/>
      <c r="J2397" s="81"/>
      <c r="K2397" s="60"/>
      <c r="L2397" s="60"/>
      <c r="M2397" s="60"/>
      <c r="N2397" s="60"/>
      <c r="O2397" s="60"/>
      <c r="P2397" s="60"/>
      <c r="Q2397" s="60"/>
      <c r="R2397" s="58"/>
      <c r="S2397" s="62" t="str">
        <f aca="false">IF(OR(B2397="",V2397=""),"",IFERROR(INDEX(C_TIPO,MATCH(V2397&amp;"-P"&amp;MAX(1,COUNTIFS(C_RUTN,V2397,C_DEF,"Sí",C_INI,"&lt;="&amp;EOMONTH(B2397,0))),C_CLAVE,0))&amp;"","Sin contrato"))</f>
        <v/>
      </c>
      <c r="T2397" s="63" t="str">
        <f aca="false">IF(OR(B2397="",N(O2397)=0),"",N(O2397)+ROUND(MIN(N(N2397),TOPE_UF*UF_MES)*(TASA_EMP+MUTUAL),0)+ROUND(MIN(N(N2397),TOPE_AFC_UF*UF_MES)*IF(S2397="Indefinido",AFC_INDEF,AFC_PF),0))</f>
        <v/>
      </c>
      <c r="U2397" s="62" t="str">
        <f aca="false">IF(C2397="","",IF(LEFT(D2397,1)="⚠","⚠ RUT no registrado en Trabajadores",IF(B2397="","⚠ Falta el mes",IF(OR(ISTEXT(I2397),ISTEXT(J2397)),"⚠ Atrasos u horas extra como texto: escriba hh:mm (ej. 1:30)",IF(AND(ISNUMBER(Q2397),COUNTIFS(M_RUTN,V2397,M_MES,B2397,M_LIQ,"&lt;&gt;")&gt;1),"⚠ Liquidación repetida en el mes",IF(AND(ISNUMBER(O2397),ISNUMBER(P2397),ISNUMBER(Q2397),ABS(O2397-P2397-Q2397)&gt;1),"⚠ Haberes − descuentos no da el líquido","OK"))))))</f>
        <v/>
      </c>
      <c r="V2397" s="62" t="str">
        <f aca="false">IF(C2397="","",IFERROR(VALUE(LEFT(UPPER(SUBSTITUTE(SUBSTITUTE(SUBSTITUTE(TRIM(C2397),".",""),"-","")," ","")),LEN(UPPER(SUBSTITUTE(SUBSTITUTE(SUBSTITUTE(TRIM(C2397),".",""),"-","")," ","")))-1))&amp;RIGHT(UPPER(SUBSTITUTE(SUBSTITUTE(SUBSTITUTE(TRIM(C2397),".",""),"-","")," ","")),1),UPPER(SUBSTITUTE(SUBSTITUTE(SUBSTITUTE(TRIM(C2397),".",""),"-","")," ",""))))</f>
        <v/>
      </c>
    </row>
    <row r="2398" customFormat="false" ht="15" hidden="false" customHeight="false" outlineLevel="0" collapsed="false">
      <c r="B2398" s="80"/>
      <c r="C2398" s="58"/>
      <c r="D2398" s="62" t="str">
        <f aca="false">IF(C2398="","",IFERROR(INDEX(T_NOMBRE,MATCH(V2398,T_RUTN,0)),"⚠ RUT no está en Trabajadores"))</f>
        <v/>
      </c>
      <c r="E2398" s="61"/>
      <c r="F2398" s="61"/>
      <c r="G2398" s="61"/>
      <c r="H2398" s="61"/>
      <c r="I2398" s="81"/>
      <c r="J2398" s="81"/>
      <c r="K2398" s="60"/>
      <c r="L2398" s="60"/>
      <c r="M2398" s="60"/>
      <c r="N2398" s="60"/>
      <c r="O2398" s="60"/>
      <c r="P2398" s="60"/>
      <c r="Q2398" s="60"/>
      <c r="R2398" s="58"/>
      <c r="S2398" s="62" t="str">
        <f aca="false">IF(OR(B2398="",V2398=""),"",IFERROR(INDEX(C_TIPO,MATCH(V2398&amp;"-P"&amp;MAX(1,COUNTIFS(C_RUTN,V2398,C_DEF,"Sí",C_INI,"&lt;="&amp;EOMONTH(B2398,0))),C_CLAVE,0))&amp;"","Sin contrato"))</f>
        <v/>
      </c>
      <c r="T2398" s="63" t="str">
        <f aca="false">IF(OR(B2398="",N(O2398)=0),"",N(O2398)+ROUND(MIN(N(N2398),TOPE_UF*UF_MES)*(TASA_EMP+MUTUAL),0)+ROUND(MIN(N(N2398),TOPE_AFC_UF*UF_MES)*IF(S2398="Indefinido",AFC_INDEF,AFC_PF),0))</f>
        <v/>
      </c>
      <c r="U2398" s="62" t="str">
        <f aca="false">IF(C2398="","",IF(LEFT(D2398,1)="⚠","⚠ RUT no registrado en Trabajadores",IF(B2398="","⚠ Falta el mes",IF(OR(ISTEXT(I2398),ISTEXT(J2398)),"⚠ Atrasos u horas extra como texto: escriba hh:mm (ej. 1:30)",IF(AND(ISNUMBER(Q2398),COUNTIFS(M_RUTN,V2398,M_MES,B2398,M_LIQ,"&lt;&gt;")&gt;1),"⚠ Liquidación repetida en el mes",IF(AND(ISNUMBER(O2398),ISNUMBER(P2398),ISNUMBER(Q2398),ABS(O2398-P2398-Q2398)&gt;1),"⚠ Haberes − descuentos no da el líquido","OK"))))))</f>
        <v/>
      </c>
      <c r="V2398" s="62" t="str">
        <f aca="false">IF(C2398="","",IFERROR(VALUE(LEFT(UPPER(SUBSTITUTE(SUBSTITUTE(SUBSTITUTE(TRIM(C2398),".",""),"-","")," ","")),LEN(UPPER(SUBSTITUTE(SUBSTITUTE(SUBSTITUTE(TRIM(C2398),".",""),"-","")," ","")))-1))&amp;RIGHT(UPPER(SUBSTITUTE(SUBSTITUTE(SUBSTITUTE(TRIM(C2398),".",""),"-","")," ","")),1),UPPER(SUBSTITUTE(SUBSTITUTE(SUBSTITUTE(TRIM(C2398),".",""),"-","")," ",""))))</f>
        <v/>
      </c>
    </row>
    <row r="2399" customFormat="false" ht="15" hidden="false" customHeight="false" outlineLevel="0" collapsed="false">
      <c r="B2399" s="80"/>
      <c r="C2399" s="58"/>
      <c r="D2399" s="62" t="str">
        <f aca="false">IF(C2399="","",IFERROR(INDEX(T_NOMBRE,MATCH(V2399,T_RUTN,0)),"⚠ RUT no está en Trabajadores"))</f>
        <v/>
      </c>
      <c r="E2399" s="61"/>
      <c r="F2399" s="61"/>
      <c r="G2399" s="61"/>
      <c r="H2399" s="61"/>
      <c r="I2399" s="81"/>
      <c r="J2399" s="81"/>
      <c r="K2399" s="60"/>
      <c r="L2399" s="60"/>
      <c r="M2399" s="60"/>
      <c r="N2399" s="60"/>
      <c r="O2399" s="60"/>
      <c r="P2399" s="60"/>
      <c r="Q2399" s="60"/>
      <c r="R2399" s="58"/>
      <c r="S2399" s="62" t="str">
        <f aca="false">IF(OR(B2399="",V2399=""),"",IFERROR(INDEX(C_TIPO,MATCH(V2399&amp;"-P"&amp;MAX(1,COUNTIFS(C_RUTN,V2399,C_DEF,"Sí",C_INI,"&lt;="&amp;EOMONTH(B2399,0))),C_CLAVE,0))&amp;"","Sin contrato"))</f>
        <v/>
      </c>
      <c r="T2399" s="63" t="str">
        <f aca="false">IF(OR(B2399="",N(O2399)=0),"",N(O2399)+ROUND(MIN(N(N2399),TOPE_UF*UF_MES)*(TASA_EMP+MUTUAL),0)+ROUND(MIN(N(N2399),TOPE_AFC_UF*UF_MES)*IF(S2399="Indefinido",AFC_INDEF,AFC_PF),0))</f>
        <v/>
      </c>
      <c r="U2399" s="62" t="str">
        <f aca="false">IF(C2399="","",IF(LEFT(D2399,1)="⚠","⚠ RUT no registrado en Trabajadores",IF(B2399="","⚠ Falta el mes",IF(OR(ISTEXT(I2399),ISTEXT(J2399)),"⚠ Atrasos u horas extra como texto: escriba hh:mm (ej. 1:30)",IF(AND(ISNUMBER(Q2399),COUNTIFS(M_RUTN,V2399,M_MES,B2399,M_LIQ,"&lt;&gt;")&gt;1),"⚠ Liquidación repetida en el mes",IF(AND(ISNUMBER(O2399),ISNUMBER(P2399),ISNUMBER(Q2399),ABS(O2399-P2399-Q2399)&gt;1),"⚠ Haberes − descuentos no da el líquido","OK"))))))</f>
        <v/>
      </c>
      <c r="V2399" s="62" t="str">
        <f aca="false">IF(C2399="","",IFERROR(VALUE(LEFT(UPPER(SUBSTITUTE(SUBSTITUTE(SUBSTITUTE(TRIM(C2399),".",""),"-","")," ","")),LEN(UPPER(SUBSTITUTE(SUBSTITUTE(SUBSTITUTE(TRIM(C2399),".",""),"-","")," ","")))-1))&amp;RIGHT(UPPER(SUBSTITUTE(SUBSTITUTE(SUBSTITUTE(TRIM(C2399),".",""),"-","")," ","")),1),UPPER(SUBSTITUTE(SUBSTITUTE(SUBSTITUTE(TRIM(C2399),".",""),"-","")," ",""))))</f>
        <v/>
      </c>
    </row>
    <row r="2400" customFormat="false" ht="15" hidden="false" customHeight="false" outlineLevel="0" collapsed="false">
      <c r="B2400" s="80"/>
      <c r="C2400" s="58"/>
      <c r="D2400" s="62" t="str">
        <f aca="false">IF(C2400="","",IFERROR(INDEX(T_NOMBRE,MATCH(V2400,T_RUTN,0)),"⚠ RUT no está en Trabajadores"))</f>
        <v/>
      </c>
      <c r="E2400" s="61"/>
      <c r="F2400" s="61"/>
      <c r="G2400" s="61"/>
      <c r="H2400" s="61"/>
      <c r="I2400" s="81"/>
      <c r="J2400" s="81"/>
      <c r="K2400" s="60"/>
      <c r="L2400" s="60"/>
      <c r="M2400" s="60"/>
      <c r="N2400" s="60"/>
      <c r="O2400" s="60"/>
      <c r="P2400" s="60"/>
      <c r="Q2400" s="60"/>
      <c r="R2400" s="58"/>
      <c r="S2400" s="62" t="str">
        <f aca="false">IF(OR(B2400="",V2400=""),"",IFERROR(INDEX(C_TIPO,MATCH(V2400&amp;"-P"&amp;MAX(1,COUNTIFS(C_RUTN,V2400,C_DEF,"Sí",C_INI,"&lt;="&amp;EOMONTH(B2400,0))),C_CLAVE,0))&amp;"","Sin contrato"))</f>
        <v/>
      </c>
      <c r="T2400" s="63" t="str">
        <f aca="false">IF(OR(B2400="",N(O2400)=0),"",N(O2400)+ROUND(MIN(N(N2400),TOPE_UF*UF_MES)*(TASA_EMP+MUTUAL),0)+ROUND(MIN(N(N2400),TOPE_AFC_UF*UF_MES)*IF(S2400="Indefinido",AFC_INDEF,AFC_PF),0))</f>
        <v/>
      </c>
      <c r="U2400" s="62" t="str">
        <f aca="false">IF(C2400="","",IF(LEFT(D2400,1)="⚠","⚠ RUT no registrado en Trabajadores",IF(B2400="","⚠ Falta el mes",IF(OR(ISTEXT(I2400),ISTEXT(J2400)),"⚠ Atrasos u horas extra como texto: escriba hh:mm (ej. 1:30)",IF(AND(ISNUMBER(Q2400),COUNTIFS(M_RUTN,V2400,M_MES,B2400,M_LIQ,"&lt;&gt;")&gt;1),"⚠ Liquidación repetida en el mes",IF(AND(ISNUMBER(O2400),ISNUMBER(P2400),ISNUMBER(Q2400),ABS(O2400-P2400-Q2400)&gt;1),"⚠ Haberes − descuentos no da el líquido","OK"))))))</f>
        <v/>
      </c>
      <c r="V2400" s="62" t="str">
        <f aca="false">IF(C2400="","",IFERROR(VALUE(LEFT(UPPER(SUBSTITUTE(SUBSTITUTE(SUBSTITUTE(TRIM(C2400),".",""),"-","")," ","")),LEN(UPPER(SUBSTITUTE(SUBSTITUTE(SUBSTITUTE(TRIM(C2400),".",""),"-","")," ","")))-1))&amp;RIGHT(UPPER(SUBSTITUTE(SUBSTITUTE(SUBSTITUTE(TRIM(C2400),".",""),"-","")," ","")),1),UPPER(SUBSTITUTE(SUBSTITUTE(SUBSTITUTE(TRIM(C2400),".",""),"-","")," ",""))))</f>
        <v/>
      </c>
    </row>
    <row r="2401" customFormat="false" ht="15" hidden="false" customHeight="false" outlineLevel="0" collapsed="false">
      <c r="B2401" s="80"/>
      <c r="C2401" s="58"/>
      <c r="D2401" s="62" t="str">
        <f aca="false">IF(C2401="","",IFERROR(INDEX(T_NOMBRE,MATCH(V2401,T_RUTN,0)),"⚠ RUT no está en Trabajadores"))</f>
        <v/>
      </c>
      <c r="E2401" s="61"/>
      <c r="F2401" s="61"/>
      <c r="G2401" s="61"/>
      <c r="H2401" s="61"/>
      <c r="I2401" s="81"/>
      <c r="J2401" s="81"/>
      <c r="K2401" s="60"/>
      <c r="L2401" s="60"/>
      <c r="M2401" s="60"/>
      <c r="N2401" s="60"/>
      <c r="O2401" s="60"/>
      <c r="P2401" s="60"/>
      <c r="Q2401" s="60"/>
      <c r="R2401" s="58"/>
      <c r="S2401" s="62" t="str">
        <f aca="false">IF(OR(B2401="",V2401=""),"",IFERROR(INDEX(C_TIPO,MATCH(V2401&amp;"-P"&amp;MAX(1,COUNTIFS(C_RUTN,V2401,C_DEF,"Sí",C_INI,"&lt;="&amp;EOMONTH(B2401,0))),C_CLAVE,0))&amp;"","Sin contrato"))</f>
        <v/>
      </c>
      <c r="T2401" s="63" t="str">
        <f aca="false">IF(OR(B2401="",N(O2401)=0),"",N(O2401)+ROUND(MIN(N(N2401),TOPE_UF*UF_MES)*(TASA_EMP+MUTUAL),0)+ROUND(MIN(N(N2401),TOPE_AFC_UF*UF_MES)*IF(S2401="Indefinido",AFC_INDEF,AFC_PF),0))</f>
        <v/>
      </c>
      <c r="U2401" s="62" t="str">
        <f aca="false">IF(C2401="","",IF(LEFT(D2401,1)="⚠","⚠ RUT no registrado en Trabajadores",IF(B2401="","⚠ Falta el mes",IF(OR(ISTEXT(I2401),ISTEXT(J2401)),"⚠ Atrasos u horas extra como texto: escriba hh:mm (ej. 1:30)",IF(AND(ISNUMBER(Q2401),COUNTIFS(M_RUTN,V2401,M_MES,B2401,M_LIQ,"&lt;&gt;")&gt;1),"⚠ Liquidación repetida en el mes",IF(AND(ISNUMBER(O2401),ISNUMBER(P2401),ISNUMBER(Q2401),ABS(O2401-P2401-Q2401)&gt;1),"⚠ Haberes − descuentos no da el líquido","OK"))))))</f>
        <v/>
      </c>
      <c r="V2401" s="62" t="str">
        <f aca="false">IF(C2401="","",IFERROR(VALUE(LEFT(UPPER(SUBSTITUTE(SUBSTITUTE(SUBSTITUTE(TRIM(C2401),".",""),"-","")," ","")),LEN(UPPER(SUBSTITUTE(SUBSTITUTE(SUBSTITUTE(TRIM(C2401),".",""),"-","")," ","")))-1))&amp;RIGHT(UPPER(SUBSTITUTE(SUBSTITUTE(SUBSTITUTE(TRIM(C2401),".",""),"-","")," ","")),1),UPPER(SUBSTITUTE(SUBSTITUTE(SUBSTITUTE(TRIM(C2401),".",""),"-","")," ",""))))</f>
        <v/>
      </c>
    </row>
    <row r="2402" customFormat="false" ht="15" hidden="false" customHeight="false" outlineLevel="0" collapsed="false">
      <c r="B2402" s="80"/>
      <c r="C2402" s="58"/>
      <c r="D2402" s="62" t="str">
        <f aca="false">IF(C2402="","",IFERROR(INDEX(T_NOMBRE,MATCH(V2402,T_RUTN,0)),"⚠ RUT no está en Trabajadores"))</f>
        <v/>
      </c>
      <c r="E2402" s="61"/>
      <c r="F2402" s="61"/>
      <c r="G2402" s="61"/>
      <c r="H2402" s="61"/>
      <c r="I2402" s="81"/>
      <c r="J2402" s="81"/>
      <c r="K2402" s="60"/>
      <c r="L2402" s="60"/>
      <c r="M2402" s="60"/>
      <c r="N2402" s="60"/>
      <c r="O2402" s="60"/>
      <c r="P2402" s="60"/>
      <c r="Q2402" s="60"/>
      <c r="R2402" s="58"/>
      <c r="S2402" s="62" t="str">
        <f aca="false">IF(OR(B2402="",V2402=""),"",IFERROR(INDEX(C_TIPO,MATCH(V2402&amp;"-P"&amp;MAX(1,COUNTIFS(C_RUTN,V2402,C_DEF,"Sí",C_INI,"&lt;="&amp;EOMONTH(B2402,0))),C_CLAVE,0))&amp;"","Sin contrato"))</f>
        <v/>
      </c>
      <c r="T2402" s="63" t="str">
        <f aca="false">IF(OR(B2402="",N(O2402)=0),"",N(O2402)+ROUND(MIN(N(N2402),TOPE_UF*UF_MES)*(TASA_EMP+MUTUAL),0)+ROUND(MIN(N(N2402),TOPE_AFC_UF*UF_MES)*IF(S2402="Indefinido",AFC_INDEF,AFC_PF),0))</f>
        <v/>
      </c>
      <c r="U2402" s="62" t="str">
        <f aca="false">IF(C2402="","",IF(LEFT(D2402,1)="⚠","⚠ RUT no registrado en Trabajadores",IF(B2402="","⚠ Falta el mes",IF(OR(ISTEXT(I2402),ISTEXT(J2402)),"⚠ Atrasos u horas extra como texto: escriba hh:mm (ej. 1:30)",IF(AND(ISNUMBER(Q2402),COUNTIFS(M_RUTN,V2402,M_MES,B2402,M_LIQ,"&lt;&gt;")&gt;1),"⚠ Liquidación repetida en el mes",IF(AND(ISNUMBER(O2402),ISNUMBER(P2402),ISNUMBER(Q2402),ABS(O2402-P2402-Q2402)&gt;1),"⚠ Haberes − descuentos no da el líquido","OK"))))))</f>
        <v/>
      </c>
      <c r="V2402" s="62" t="str">
        <f aca="false">IF(C2402="","",IFERROR(VALUE(LEFT(UPPER(SUBSTITUTE(SUBSTITUTE(SUBSTITUTE(TRIM(C2402),".",""),"-","")," ","")),LEN(UPPER(SUBSTITUTE(SUBSTITUTE(SUBSTITUTE(TRIM(C2402),".",""),"-","")," ","")))-1))&amp;RIGHT(UPPER(SUBSTITUTE(SUBSTITUTE(SUBSTITUTE(TRIM(C2402),".",""),"-","")," ","")),1),UPPER(SUBSTITUTE(SUBSTITUTE(SUBSTITUTE(TRIM(C2402),".",""),"-","")," ",""))))</f>
        <v/>
      </c>
    </row>
    <row r="2403" customFormat="false" ht="15" hidden="false" customHeight="false" outlineLevel="0" collapsed="false">
      <c r="B2403" s="80"/>
      <c r="C2403" s="58"/>
      <c r="D2403" s="62" t="str">
        <f aca="false">IF(C2403="","",IFERROR(INDEX(T_NOMBRE,MATCH(V2403,T_RUTN,0)),"⚠ RUT no está en Trabajadores"))</f>
        <v/>
      </c>
      <c r="E2403" s="61"/>
      <c r="F2403" s="61"/>
      <c r="G2403" s="61"/>
      <c r="H2403" s="61"/>
      <c r="I2403" s="81"/>
      <c r="J2403" s="81"/>
      <c r="K2403" s="60"/>
      <c r="L2403" s="60"/>
      <c r="M2403" s="60"/>
      <c r="N2403" s="60"/>
      <c r="O2403" s="60"/>
      <c r="P2403" s="60"/>
      <c r="Q2403" s="60"/>
      <c r="R2403" s="58"/>
      <c r="S2403" s="62" t="str">
        <f aca="false">IF(OR(B2403="",V2403=""),"",IFERROR(INDEX(C_TIPO,MATCH(V2403&amp;"-P"&amp;MAX(1,COUNTIFS(C_RUTN,V2403,C_DEF,"Sí",C_INI,"&lt;="&amp;EOMONTH(B2403,0))),C_CLAVE,0))&amp;"","Sin contrato"))</f>
        <v/>
      </c>
      <c r="T2403" s="63" t="str">
        <f aca="false">IF(OR(B2403="",N(O2403)=0),"",N(O2403)+ROUND(MIN(N(N2403),TOPE_UF*UF_MES)*(TASA_EMP+MUTUAL),0)+ROUND(MIN(N(N2403),TOPE_AFC_UF*UF_MES)*IF(S2403="Indefinido",AFC_INDEF,AFC_PF),0))</f>
        <v/>
      </c>
      <c r="U2403" s="62" t="str">
        <f aca="false">IF(C2403="","",IF(LEFT(D2403,1)="⚠","⚠ RUT no registrado en Trabajadores",IF(B2403="","⚠ Falta el mes",IF(OR(ISTEXT(I2403),ISTEXT(J2403)),"⚠ Atrasos u horas extra como texto: escriba hh:mm (ej. 1:30)",IF(AND(ISNUMBER(Q2403),COUNTIFS(M_RUTN,V2403,M_MES,B2403,M_LIQ,"&lt;&gt;")&gt;1),"⚠ Liquidación repetida en el mes",IF(AND(ISNUMBER(O2403),ISNUMBER(P2403),ISNUMBER(Q2403),ABS(O2403-P2403-Q2403)&gt;1),"⚠ Haberes − descuentos no da el líquido","OK"))))))</f>
        <v/>
      </c>
      <c r="V2403" s="62" t="str">
        <f aca="false">IF(C2403="","",IFERROR(VALUE(LEFT(UPPER(SUBSTITUTE(SUBSTITUTE(SUBSTITUTE(TRIM(C2403),".",""),"-","")," ","")),LEN(UPPER(SUBSTITUTE(SUBSTITUTE(SUBSTITUTE(TRIM(C2403),".",""),"-","")," ","")))-1))&amp;RIGHT(UPPER(SUBSTITUTE(SUBSTITUTE(SUBSTITUTE(TRIM(C2403),".",""),"-","")," ","")),1),UPPER(SUBSTITUTE(SUBSTITUTE(SUBSTITUTE(TRIM(C2403),".",""),"-","")," ",""))))</f>
        <v/>
      </c>
    </row>
    <row r="2404" customFormat="false" ht="15" hidden="false" customHeight="false" outlineLevel="0" collapsed="false">
      <c r="B2404" s="80"/>
      <c r="C2404" s="58"/>
      <c r="D2404" s="62" t="str">
        <f aca="false">IF(C2404="","",IFERROR(INDEX(T_NOMBRE,MATCH(V2404,T_RUTN,0)),"⚠ RUT no está en Trabajadores"))</f>
        <v/>
      </c>
      <c r="E2404" s="61"/>
      <c r="F2404" s="61"/>
      <c r="G2404" s="61"/>
      <c r="H2404" s="61"/>
      <c r="I2404" s="81"/>
      <c r="J2404" s="81"/>
      <c r="K2404" s="60"/>
      <c r="L2404" s="60"/>
      <c r="M2404" s="60"/>
      <c r="N2404" s="60"/>
      <c r="O2404" s="60"/>
      <c r="P2404" s="60"/>
      <c r="Q2404" s="60"/>
      <c r="R2404" s="58"/>
      <c r="S2404" s="62" t="str">
        <f aca="false">IF(OR(B2404="",V2404=""),"",IFERROR(INDEX(C_TIPO,MATCH(V2404&amp;"-P"&amp;MAX(1,COUNTIFS(C_RUTN,V2404,C_DEF,"Sí",C_INI,"&lt;="&amp;EOMONTH(B2404,0))),C_CLAVE,0))&amp;"","Sin contrato"))</f>
        <v/>
      </c>
      <c r="T2404" s="63" t="str">
        <f aca="false">IF(OR(B2404="",N(O2404)=0),"",N(O2404)+ROUND(MIN(N(N2404),TOPE_UF*UF_MES)*(TASA_EMP+MUTUAL),0)+ROUND(MIN(N(N2404),TOPE_AFC_UF*UF_MES)*IF(S2404="Indefinido",AFC_INDEF,AFC_PF),0))</f>
        <v/>
      </c>
      <c r="U2404" s="62" t="str">
        <f aca="false">IF(C2404="","",IF(LEFT(D2404,1)="⚠","⚠ RUT no registrado en Trabajadores",IF(B2404="","⚠ Falta el mes",IF(OR(ISTEXT(I2404),ISTEXT(J2404)),"⚠ Atrasos u horas extra como texto: escriba hh:mm (ej. 1:30)",IF(AND(ISNUMBER(Q2404),COUNTIFS(M_RUTN,V2404,M_MES,B2404,M_LIQ,"&lt;&gt;")&gt;1),"⚠ Liquidación repetida en el mes",IF(AND(ISNUMBER(O2404),ISNUMBER(P2404),ISNUMBER(Q2404),ABS(O2404-P2404-Q2404)&gt;1),"⚠ Haberes − descuentos no da el líquido","OK"))))))</f>
        <v/>
      </c>
      <c r="V2404" s="62" t="str">
        <f aca="false">IF(C2404="","",IFERROR(VALUE(LEFT(UPPER(SUBSTITUTE(SUBSTITUTE(SUBSTITUTE(TRIM(C2404),".",""),"-","")," ","")),LEN(UPPER(SUBSTITUTE(SUBSTITUTE(SUBSTITUTE(TRIM(C2404),".",""),"-","")," ","")))-1))&amp;RIGHT(UPPER(SUBSTITUTE(SUBSTITUTE(SUBSTITUTE(TRIM(C2404),".",""),"-","")," ","")),1),UPPER(SUBSTITUTE(SUBSTITUTE(SUBSTITUTE(TRIM(C2404),".",""),"-","")," ",""))))</f>
        <v/>
      </c>
    </row>
    <row r="2405" customFormat="false" ht="15" hidden="false" customHeight="false" outlineLevel="0" collapsed="false">
      <c r="B2405" s="80"/>
      <c r="C2405" s="58"/>
      <c r="D2405" s="62" t="str">
        <f aca="false">IF(C2405="","",IFERROR(INDEX(T_NOMBRE,MATCH(V2405,T_RUTN,0)),"⚠ RUT no está en Trabajadores"))</f>
        <v/>
      </c>
      <c r="E2405" s="61"/>
      <c r="F2405" s="61"/>
      <c r="G2405" s="61"/>
      <c r="H2405" s="61"/>
      <c r="I2405" s="81"/>
      <c r="J2405" s="81"/>
      <c r="K2405" s="60"/>
      <c r="L2405" s="60"/>
      <c r="M2405" s="60"/>
      <c r="N2405" s="60"/>
      <c r="O2405" s="60"/>
      <c r="P2405" s="60"/>
      <c r="Q2405" s="60"/>
      <c r="R2405" s="58"/>
      <c r="S2405" s="62" t="str">
        <f aca="false">IF(OR(B2405="",V2405=""),"",IFERROR(INDEX(C_TIPO,MATCH(V2405&amp;"-P"&amp;MAX(1,COUNTIFS(C_RUTN,V2405,C_DEF,"Sí",C_INI,"&lt;="&amp;EOMONTH(B2405,0))),C_CLAVE,0))&amp;"","Sin contrato"))</f>
        <v/>
      </c>
      <c r="T2405" s="63" t="str">
        <f aca="false">IF(OR(B2405="",N(O2405)=0),"",N(O2405)+ROUND(MIN(N(N2405),TOPE_UF*UF_MES)*(TASA_EMP+MUTUAL),0)+ROUND(MIN(N(N2405),TOPE_AFC_UF*UF_MES)*IF(S2405="Indefinido",AFC_INDEF,AFC_PF),0))</f>
        <v/>
      </c>
      <c r="U2405" s="62" t="str">
        <f aca="false">IF(C2405="","",IF(LEFT(D2405,1)="⚠","⚠ RUT no registrado en Trabajadores",IF(B2405="","⚠ Falta el mes",IF(OR(ISTEXT(I2405),ISTEXT(J2405)),"⚠ Atrasos u horas extra como texto: escriba hh:mm (ej. 1:30)",IF(AND(ISNUMBER(Q2405),COUNTIFS(M_RUTN,V2405,M_MES,B2405,M_LIQ,"&lt;&gt;")&gt;1),"⚠ Liquidación repetida en el mes",IF(AND(ISNUMBER(O2405),ISNUMBER(P2405),ISNUMBER(Q2405),ABS(O2405-P2405-Q2405)&gt;1),"⚠ Haberes − descuentos no da el líquido","OK"))))))</f>
        <v/>
      </c>
      <c r="V2405" s="62" t="str">
        <f aca="false">IF(C2405="","",IFERROR(VALUE(LEFT(UPPER(SUBSTITUTE(SUBSTITUTE(SUBSTITUTE(TRIM(C2405),".",""),"-","")," ","")),LEN(UPPER(SUBSTITUTE(SUBSTITUTE(SUBSTITUTE(TRIM(C2405),".",""),"-","")," ","")))-1))&amp;RIGHT(UPPER(SUBSTITUTE(SUBSTITUTE(SUBSTITUTE(TRIM(C2405),".",""),"-","")," ","")),1),UPPER(SUBSTITUTE(SUBSTITUTE(SUBSTITUTE(TRIM(C2405),".",""),"-","")," ",""))))</f>
        <v/>
      </c>
    </row>
    <row r="2406" customFormat="false" ht="15" hidden="false" customHeight="false" outlineLevel="0" collapsed="false">
      <c r="B2406" s="80"/>
      <c r="C2406" s="58"/>
      <c r="D2406" s="62" t="str">
        <f aca="false">IF(C2406="","",IFERROR(INDEX(T_NOMBRE,MATCH(V2406,T_RUTN,0)),"⚠ RUT no está en Trabajadores"))</f>
        <v/>
      </c>
      <c r="E2406" s="61"/>
      <c r="F2406" s="61"/>
      <c r="G2406" s="61"/>
      <c r="H2406" s="61"/>
      <c r="I2406" s="81"/>
      <c r="J2406" s="81"/>
      <c r="K2406" s="60"/>
      <c r="L2406" s="60"/>
      <c r="M2406" s="60"/>
      <c r="N2406" s="60"/>
      <c r="O2406" s="60"/>
      <c r="P2406" s="60"/>
      <c r="Q2406" s="60"/>
      <c r="R2406" s="58"/>
      <c r="S2406" s="62" t="str">
        <f aca="false">IF(OR(B2406="",V2406=""),"",IFERROR(INDEX(C_TIPO,MATCH(V2406&amp;"-P"&amp;MAX(1,COUNTIFS(C_RUTN,V2406,C_DEF,"Sí",C_INI,"&lt;="&amp;EOMONTH(B2406,0))),C_CLAVE,0))&amp;"","Sin contrato"))</f>
        <v/>
      </c>
      <c r="T2406" s="63" t="str">
        <f aca="false">IF(OR(B2406="",N(O2406)=0),"",N(O2406)+ROUND(MIN(N(N2406),TOPE_UF*UF_MES)*(TASA_EMP+MUTUAL),0)+ROUND(MIN(N(N2406),TOPE_AFC_UF*UF_MES)*IF(S2406="Indefinido",AFC_INDEF,AFC_PF),0))</f>
        <v/>
      </c>
      <c r="U2406" s="62" t="str">
        <f aca="false">IF(C2406="","",IF(LEFT(D2406,1)="⚠","⚠ RUT no registrado en Trabajadores",IF(B2406="","⚠ Falta el mes",IF(OR(ISTEXT(I2406),ISTEXT(J2406)),"⚠ Atrasos u horas extra como texto: escriba hh:mm (ej. 1:30)",IF(AND(ISNUMBER(Q2406),COUNTIFS(M_RUTN,V2406,M_MES,B2406,M_LIQ,"&lt;&gt;")&gt;1),"⚠ Liquidación repetida en el mes",IF(AND(ISNUMBER(O2406),ISNUMBER(P2406),ISNUMBER(Q2406),ABS(O2406-P2406-Q2406)&gt;1),"⚠ Haberes − descuentos no da el líquido","OK"))))))</f>
        <v/>
      </c>
      <c r="V2406" s="62" t="str">
        <f aca="false">IF(C2406="","",IFERROR(VALUE(LEFT(UPPER(SUBSTITUTE(SUBSTITUTE(SUBSTITUTE(TRIM(C2406),".",""),"-","")," ","")),LEN(UPPER(SUBSTITUTE(SUBSTITUTE(SUBSTITUTE(TRIM(C2406),".",""),"-","")," ","")))-1))&amp;RIGHT(UPPER(SUBSTITUTE(SUBSTITUTE(SUBSTITUTE(TRIM(C2406),".",""),"-","")," ","")),1),UPPER(SUBSTITUTE(SUBSTITUTE(SUBSTITUTE(TRIM(C2406),".",""),"-","")," ",""))))</f>
        <v/>
      </c>
    </row>
    <row r="2407" customFormat="false" ht="15" hidden="false" customHeight="false" outlineLevel="0" collapsed="false">
      <c r="B2407" s="80"/>
      <c r="C2407" s="58"/>
      <c r="D2407" s="62" t="str">
        <f aca="false">IF(C2407="","",IFERROR(INDEX(T_NOMBRE,MATCH(V2407,T_RUTN,0)),"⚠ RUT no está en Trabajadores"))</f>
        <v/>
      </c>
      <c r="E2407" s="61"/>
      <c r="F2407" s="61"/>
      <c r="G2407" s="61"/>
      <c r="H2407" s="61"/>
      <c r="I2407" s="81"/>
      <c r="J2407" s="81"/>
      <c r="K2407" s="60"/>
      <c r="L2407" s="60"/>
      <c r="M2407" s="60"/>
      <c r="N2407" s="60"/>
      <c r="O2407" s="60"/>
      <c r="P2407" s="60"/>
      <c r="Q2407" s="60"/>
      <c r="R2407" s="58"/>
      <c r="S2407" s="62" t="str">
        <f aca="false">IF(OR(B2407="",V2407=""),"",IFERROR(INDEX(C_TIPO,MATCH(V2407&amp;"-P"&amp;MAX(1,COUNTIFS(C_RUTN,V2407,C_DEF,"Sí",C_INI,"&lt;="&amp;EOMONTH(B2407,0))),C_CLAVE,0))&amp;"","Sin contrato"))</f>
        <v/>
      </c>
      <c r="T2407" s="63" t="str">
        <f aca="false">IF(OR(B2407="",N(O2407)=0),"",N(O2407)+ROUND(MIN(N(N2407),TOPE_UF*UF_MES)*(TASA_EMP+MUTUAL),0)+ROUND(MIN(N(N2407),TOPE_AFC_UF*UF_MES)*IF(S2407="Indefinido",AFC_INDEF,AFC_PF),0))</f>
        <v/>
      </c>
      <c r="U2407" s="62" t="str">
        <f aca="false">IF(C2407="","",IF(LEFT(D2407,1)="⚠","⚠ RUT no registrado en Trabajadores",IF(B2407="","⚠ Falta el mes",IF(OR(ISTEXT(I2407),ISTEXT(J2407)),"⚠ Atrasos u horas extra como texto: escriba hh:mm (ej. 1:30)",IF(AND(ISNUMBER(Q2407),COUNTIFS(M_RUTN,V2407,M_MES,B2407,M_LIQ,"&lt;&gt;")&gt;1),"⚠ Liquidación repetida en el mes",IF(AND(ISNUMBER(O2407),ISNUMBER(P2407),ISNUMBER(Q2407),ABS(O2407-P2407-Q2407)&gt;1),"⚠ Haberes − descuentos no da el líquido","OK"))))))</f>
        <v/>
      </c>
      <c r="V2407" s="62" t="str">
        <f aca="false">IF(C2407="","",IFERROR(VALUE(LEFT(UPPER(SUBSTITUTE(SUBSTITUTE(SUBSTITUTE(TRIM(C2407),".",""),"-","")," ","")),LEN(UPPER(SUBSTITUTE(SUBSTITUTE(SUBSTITUTE(TRIM(C2407),".",""),"-","")," ","")))-1))&amp;RIGHT(UPPER(SUBSTITUTE(SUBSTITUTE(SUBSTITUTE(TRIM(C2407),".",""),"-","")," ","")),1),UPPER(SUBSTITUTE(SUBSTITUTE(SUBSTITUTE(TRIM(C2407),".",""),"-","")," ",""))))</f>
        <v/>
      </c>
    </row>
    <row r="2408" customFormat="false" ht="15" hidden="false" customHeight="false" outlineLevel="0" collapsed="false">
      <c r="B2408" s="80"/>
      <c r="C2408" s="58"/>
      <c r="D2408" s="62" t="str">
        <f aca="false">IF(C2408="","",IFERROR(INDEX(T_NOMBRE,MATCH(V2408,T_RUTN,0)),"⚠ RUT no está en Trabajadores"))</f>
        <v/>
      </c>
      <c r="E2408" s="61"/>
      <c r="F2408" s="61"/>
      <c r="G2408" s="61"/>
      <c r="H2408" s="61"/>
      <c r="I2408" s="81"/>
      <c r="J2408" s="81"/>
      <c r="K2408" s="60"/>
      <c r="L2408" s="60"/>
      <c r="M2408" s="60"/>
      <c r="N2408" s="60"/>
      <c r="O2408" s="60"/>
      <c r="P2408" s="60"/>
      <c r="Q2408" s="60"/>
      <c r="R2408" s="58"/>
      <c r="S2408" s="62" t="str">
        <f aca="false">IF(OR(B2408="",V2408=""),"",IFERROR(INDEX(C_TIPO,MATCH(V2408&amp;"-P"&amp;MAX(1,COUNTIFS(C_RUTN,V2408,C_DEF,"Sí",C_INI,"&lt;="&amp;EOMONTH(B2408,0))),C_CLAVE,0))&amp;"","Sin contrato"))</f>
        <v/>
      </c>
      <c r="T2408" s="63" t="str">
        <f aca="false">IF(OR(B2408="",N(O2408)=0),"",N(O2408)+ROUND(MIN(N(N2408),TOPE_UF*UF_MES)*(TASA_EMP+MUTUAL),0)+ROUND(MIN(N(N2408),TOPE_AFC_UF*UF_MES)*IF(S2408="Indefinido",AFC_INDEF,AFC_PF),0))</f>
        <v/>
      </c>
      <c r="U2408" s="62" t="str">
        <f aca="false">IF(C2408="","",IF(LEFT(D2408,1)="⚠","⚠ RUT no registrado en Trabajadores",IF(B2408="","⚠ Falta el mes",IF(OR(ISTEXT(I2408),ISTEXT(J2408)),"⚠ Atrasos u horas extra como texto: escriba hh:mm (ej. 1:30)",IF(AND(ISNUMBER(Q2408),COUNTIFS(M_RUTN,V2408,M_MES,B2408,M_LIQ,"&lt;&gt;")&gt;1),"⚠ Liquidación repetida en el mes",IF(AND(ISNUMBER(O2408),ISNUMBER(P2408),ISNUMBER(Q2408),ABS(O2408-P2408-Q2408)&gt;1),"⚠ Haberes − descuentos no da el líquido","OK"))))))</f>
        <v/>
      </c>
      <c r="V2408" s="62" t="str">
        <f aca="false">IF(C2408="","",IFERROR(VALUE(LEFT(UPPER(SUBSTITUTE(SUBSTITUTE(SUBSTITUTE(TRIM(C2408),".",""),"-","")," ","")),LEN(UPPER(SUBSTITUTE(SUBSTITUTE(SUBSTITUTE(TRIM(C2408),".",""),"-","")," ","")))-1))&amp;RIGHT(UPPER(SUBSTITUTE(SUBSTITUTE(SUBSTITUTE(TRIM(C2408),".",""),"-","")," ","")),1),UPPER(SUBSTITUTE(SUBSTITUTE(SUBSTITUTE(TRIM(C2408),".",""),"-","")," ",""))))</f>
        <v/>
      </c>
    </row>
    <row r="2409" customFormat="false" ht="15" hidden="false" customHeight="false" outlineLevel="0" collapsed="false">
      <c r="B2409" s="80"/>
      <c r="C2409" s="58"/>
      <c r="D2409" s="62" t="str">
        <f aca="false">IF(C2409="","",IFERROR(INDEX(T_NOMBRE,MATCH(V2409,T_RUTN,0)),"⚠ RUT no está en Trabajadores"))</f>
        <v/>
      </c>
      <c r="E2409" s="61"/>
      <c r="F2409" s="61"/>
      <c r="G2409" s="61"/>
      <c r="H2409" s="61"/>
      <c r="I2409" s="81"/>
      <c r="J2409" s="81"/>
      <c r="K2409" s="60"/>
      <c r="L2409" s="60"/>
      <c r="M2409" s="60"/>
      <c r="N2409" s="60"/>
      <c r="O2409" s="60"/>
      <c r="P2409" s="60"/>
      <c r="Q2409" s="60"/>
      <c r="R2409" s="58"/>
      <c r="S2409" s="62" t="str">
        <f aca="false">IF(OR(B2409="",V2409=""),"",IFERROR(INDEX(C_TIPO,MATCH(V2409&amp;"-P"&amp;MAX(1,COUNTIFS(C_RUTN,V2409,C_DEF,"Sí",C_INI,"&lt;="&amp;EOMONTH(B2409,0))),C_CLAVE,0))&amp;"","Sin contrato"))</f>
        <v/>
      </c>
      <c r="T2409" s="63" t="str">
        <f aca="false">IF(OR(B2409="",N(O2409)=0),"",N(O2409)+ROUND(MIN(N(N2409),TOPE_UF*UF_MES)*(TASA_EMP+MUTUAL),0)+ROUND(MIN(N(N2409),TOPE_AFC_UF*UF_MES)*IF(S2409="Indefinido",AFC_INDEF,AFC_PF),0))</f>
        <v/>
      </c>
      <c r="U2409" s="62" t="str">
        <f aca="false">IF(C2409="","",IF(LEFT(D2409,1)="⚠","⚠ RUT no registrado en Trabajadores",IF(B2409="","⚠ Falta el mes",IF(OR(ISTEXT(I2409),ISTEXT(J2409)),"⚠ Atrasos u horas extra como texto: escriba hh:mm (ej. 1:30)",IF(AND(ISNUMBER(Q2409),COUNTIFS(M_RUTN,V2409,M_MES,B2409,M_LIQ,"&lt;&gt;")&gt;1),"⚠ Liquidación repetida en el mes",IF(AND(ISNUMBER(O2409),ISNUMBER(P2409),ISNUMBER(Q2409),ABS(O2409-P2409-Q2409)&gt;1),"⚠ Haberes − descuentos no da el líquido","OK"))))))</f>
        <v/>
      </c>
      <c r="V2409" s="62" t="str">
        <f aca="false">IF(C2409="","",IFERROR(VALUE(LEFT(UPPER(SUBSTITUTE(SUBSTITUTE(SUBSTITUTE(TRIM(C2409),".",""),"-","")," ","")),LEN(UPPER(SUBSTITUTE(SUBSTITUTE(SUBSTITUTE(TRIM(C2409),".",""),"-","")," ","")))-1))&amp;RIGHT(UPPER(SUBSTITUTE(SUBSTITUTE(SUBSTITUTE(TRIM(C2409),".",""),"-","")," ","")),1),UPPER(SUBSTITUTE(SUBSTITUTE(SUBSTITUTE(TRIM(C2409),".",""),"-","")," ",""))))</f>
        <v/>
      </c>
    </row>
    <row r="2410" customFormat="false" ht="15" hidden="false" customHeight="false" outlineLevel="0" collapsed="false">
      <c r="B2410" s="80"/>
      <c r="C2410" s="58"/>
      <c r="D2410" s="62" t="str">
        <f aca="false">IF(C2410="","",IFERROR(INDEX(T_NOMBRE,MATCH(V2410,T_RUTN,0)),"⚠ RUT no está en Trabajadores"))</f>
        <v/>
      </c>
      <c r="E2410" s="61"/>
      <c r="F2410" s="61"/>
      <c r="G2410" s="61"/>
      <c r="H2410" s="61"/>
      <c r="I2410" s="81"/>
      <c r="J2410" s="81"/>
      <c r="K2410" s="60"/>
      <c r="L2410" s="60"/>
      <c r="M2410" s="60"/>
      <c r="N2410" s="60"/>
      <c r="O2410" s="60"/>
      <c r="P2410" s="60"/>
      <c r="Q2410" s="60"/>
      <c r="R2410" s="58"/>
      <c r="S2410" s="62" t="str">
        <f aca="false">IF(OR(B2410="",V2410=""),"",IFERROR(INDEX(C_TIPO,MATCH(V2410&amp;"-P"&amp;MAX(1,COUNTIFS(C_RUTN,V2410,C_DEF,"Sí",C_INI,"&lt;="&amp;EOMONTH(B2410,0))),C_CLAVE,0))&amp;"","Sin contrato"))</f>
        <v/>
      </c>
      <c r="T2410" s="63" t="str">
        <f aca="false">IF(OR(B2410="",N(O2410)=0),"",N(O2410)+ROUND(MIN(N(N2410),TOPE_UF*UF_MES)*(TASA_EMP+MUTUAL),0)+ROUND(MIN(N(N2410),TOPE_AFC_UF*UF_MES)*IF(S2410="Indefinido",AFC_INDEF,AFC_PF),0))</f>
        <v/>
      </c>
      <c r="U2410" s="62" t="str">
        <f aca="false">IF(C2410="","",IF(LEFT(D2410,1)="⚠","⚠ RUT no registrado en Trabajadores",IF(B2410="","⚠ Falta el mes",IF(OR(ISTEXT(I2410),ISTEXT(J2410)),"⚠ Atrasos u horas extra como texto: escriba hh:mm (ej. 1:30)",IF(AND(ISNUMBER(Q2410),COUNTIFS(M_RUTN,V2410,M_MES,B2410,M_LIQ,"&lt;&gt;")&gt;1),"⚠ Liquidación repetida en el mes",IF(AND(ISNUMBER(O2410),ISNUMBER(P2410),ISNUMBER(Q2410),ABS(O2410-P2410-Q2410)&gt;1),"⚠ Haberes − descuentos no da el líquido","OK"))))))</f>
        <v/>
      </c>
      <c r="V2410" s="62" t="str">
        <f aca="false">IF(C2410="","",IFERROR(VALUE(LEFT(UPPER(SUBSTITUTE(SUBSTITUTE(SUBSTITUTE(TRIM(C2410),".",""),"-","")," ","")),LEN(UPPER(SUBSTITUTE(SUBSTITUTE(SUBSTITUTE(TRIM(C2410),".",""),"-","")," ","")))-1))&amp;RIGHT(UPPER(SUBSTITUTE(SUBSTITUTE(SUBSTITUTE(TRIM(C2410),".",""),"-","")," ","")),1),UPPER(SUBSTITUTE(SUBSTITUTE(SUBSTITUTE(TRIM(C2410),".",""),"-","")," ",""))))</f>
        <v/>
      </c>
    </row>
    <row r="2411" customFormat="false" ht="15" hidden="false" customHeight="false" outlineLevel="0" collapsed="false">
      <c r="B2411" s="80"/>
      <c r="C2411" s="58"/>
      <c r="D2411" s="62" t="str">
        <f aca="false">IF(C2411="","",IFERROR(INDEX(T_NOMBRE,MATCH(V2411,T_RUTN,0)),"⚠ RUT no está en Trabajadores"))</f>
        <v/>
      </c>
      <c r="E2411" s="61"/>
      <c r="F2411" s="61"/>
      <c r="G2411" s="61"/>
      <c r="H2411" s="61"/>
      <c r="I2411" s="81"/>
      <c r="J2411" s="81"/>
      <c r="K2411" s="60"/>
      <c r="L2411" s="60"/>
      <c r="M2411" s="60"/>
      <c r="N2411" s="60"/>
      <c r="O2411" s="60"/>
      <c r="P2411" s="60"/>
      <c r="Q2411" s="60"/>
      <c r="R2411" s="58"/>
      <c r="S2411" s="62" t="str">
        <f aca="false">IF(OR(B2411="",V2411=""),"",IFERROR(INDEX(C_TIPO,MATCH(V2411&amp;"-P"&amp;MAX(1,COUNTIFS(C_RUTN,V2411,C_DEF,"Sí",C_INI,"&lt;="&amp;EOMONTH(B2411,0))),C_CLAVE,0))&amp;"","Sin contrato"))</f>
        <v/>
      </c>
      <c r="T2411" s="63" t="str">
        <f aca="false">IF(OR(B2411="",N(O2411)=0),"",N(O2411)+ROUND(MIN(N(N2411),TOPE_UF*UF_MES)*(TASA_EMP+MUTUAL),0)+ROUND(MIN(N(N2411),TOPE_AFC_UF*UF_MES)*IF(S2411="Indefinido",AFC_INDEF,AFC_PF),0))</f>
        <v/>
      </c>
      <c r="U2411" s="62" t="str">
        <f aca="false">IF(C2411="","",IF(LEFT(D2411,1)="⚠","⚠ RUT no registrado en Trabajadores",IF(B2411="","⚠ Falta el mes",IF(OR(ISTEXT(I2411),ISTEXT(J2411)),"⚠ Atrasos u horas extra como texto: escriba hh:mm (ej. 1:30)",IF(AND(ISNUMBER(Q2411),COUNTIFS(M_RUTN,V2411,M_MES,B2411,M_LIQ,"&lt;&gt;")&gt;1),"⚠ Liquidación repetida en el mes",IF(AND(ISNUMBER(O2411),ISNUMBER(P2411),ISNUMBER(Q2411),ABS(O2411-P2411-Q2411)&gt;1),"⚠ Haberes − descuentos no da el líquido","OK"))))))</f>
        <v/>
      </c>
      <c r="V2411" s="62" t="str">
        <f aca="false">IF(C2411="","",IFERROR(VALUE(LEFT(UPPER(SUBSTITUTE(SUBSTITUTE(SUBSTITUTE(TRIM(C2411),".",""),"-","")," ","")),LEN(UPPER(SUBSTITUTE(SUBSTITUTE(SUBSTITUTE(TRIM(C2411),".",""),"-","")," ","")))-1))&amp;RIGHT(UPPER(SUBSTITUTE(SUBSTITUTE(SUBSTITUTE(TRIM(C2411),".",""),"-","")," ","")),1),UPPER(SUBSTITUTE(SUBSTITUTE(SUBSTITUTE(TRIM(C2411),".",""),"-","")," ",""))))</f>
        <v/>
      </c>
    </row>
    <row r="2412" customFormat="false" ht="15" hidden="false" customHeight="false" outlineLevel="0" collapsed="false">
      <c r="B2412" s="80"/>
      <c r="C2412" s="58"/>
      <c r="D2412" s="62" t="str">
        <f aca="false">IF(C2412="","",IFERROR(INDEX(T_NOMBRE,MATCH(V2412,T_RUTN,0)),"⚠ RUT no está en Trabajadores"))</f>
        <v/>
      </c>
      <c r="E2412" s="61"/>
      <c r="F2412" s="61"/>
      <c r="G2412" s="61"/>
      <c r="H2412" s="61"/>
      <c r="I2412" s="81"/>
      <c r="J2412" s="81"/>
      <c r="K2412" s="60"/>
      <c r="L2412" s="60"/>
      <c r="M2412" s="60"/>
      <c r="N2412" s="60"/>
      <c r="O2412" s="60"/>
      <c r="P2412" s="60"/>
      <c r="Q2412" s="60"/>
      <c r="R2412" s="58"/>
      <c r="S2412" s="62" t="str">
        <f aca="false">IF(OR(B2412="",V2412=""),"",IFERROR(INDEX(C_TIPO,MATCH(V2412&amp;"-P"&amp;MAX(1,COUNTIFS(C_RUTN,V2412,C_DEF,"Sí",C_INI,"&lt;="&amp;EOMONTH(B2412,0))),C_CLAVE,0))&amp;"","Sin contrato"))</f>
        <v/>
      </c>
      <c r="T2412" s="63" t="str">
        <f aca="false">IF(OR(B2412="",N(O2412)=0),"",N(O2412)+ROUND(MIN(N(N2412),TOPE_UF*UF_MES)*(TASA_EMP+MUTUAL),0)+ROUND(MIN(N(N2412),TOPE_AFC_UF*UF_MES)*IF(S2412="Indefinido",AFC_INDEF,AFC_PF),0))</f>
        <v/>
      </c>
      <c r="U2412" s="62" t="str">
        <f aca="false">IF(C2412="","",IF(LEFT(D2412,1)="⚠","⚠ RUT no registrado en Trabajadores",IF(B2412="","⚠ Falta el mes",IF(OR(ISTEXT(I2412),ISTEXT(J2412)),"⚠ Atrasos u horas extra como texto: escriba hh:mm (ej. 1:30)",IF(AND(ISNUMBER(Q2412),COUNTIFS(M_RUTN,V2412,M_MES,B2412,M_LIQ,"&lt;&gt;")&gt;1),"⚠ Liquidación repetida en el mes",IF(AND(ISNUMBER(O2412),ISNUMBER(P2412),ISNUMBER(Q2412),ABS(O2412-P2412-Q2412)&gt;1),"⚠ Haberes − descuentos no da el líquido","OK"))))))</f>
        <v/>
      </c>
      <c r="V2412" s="62" t="str">
        <f aca="false">IF(C2412="","",IFERROR(VALUE(LEFT(UPPER(SUBSTITUTE(SUBSTITUTE(SUBSTITUTE(TRIM(C2412),".",""),"-","")," ","")),LEN(UPPER(SUBSTITUTE(SUBSTITUTE(SUBSTITUTE(TRIM(C2412),".",""),"-","")," ","")))-1))&amp;RIGHT(UPPER(SUBSTITUTE(SUBSTITUTE(SUBSTITUTE(TRIM(C2412),".",""),"-","")," ","")),1),UPPER(SUBSTITUTE(SUBSTITUTE(SUBSTITUTE(TRIM(C2412),".",""),"-","")," ",""))))</f>
        <v/>
      </c>
    </row>
    <row r="2413" customFormat="false" ht="15" hidden="false" customHeight="false" outlineLevel="0" collapsed="false">
      <c r="B2413" s="80"/>
      <c r="C2413" s="58"/>
      <c r="D2413" s="62" t="str">
        <f aca="false">IF(C2413="","",IFERROR(INDEX(T_NOMBRE,MATCH(V2413,T_RUTN,0)),"⚠ RUT no está en Trabajadores"))</f>
        <v/>
      </c>
      <c r="E2413" s="61"/>
      <c r="F2413" s="61"/>
      <c r="G2413" s="61"/>
      <c r="H2413" s="61"/>
      <c r="I2413" s="81"/>
      <c r="J2413" s="81"/>
      <c r="K2413" s="60"/>
      <c r="L2413" s="60"/>
      <c r="M2413" s="60"/>
      <c r="N2413" s="60"/>
      <c r="O2413" s="60"/>
      <c r="P2413" s="60"/>
      <c r="Q2413" s="60"/>
      <c r="R2413" s="58"/>
      <c r="S2413" s="62" t="str">
        <f aca="false">IF(OR(B2413="",V2413=""),"",IFERROR(INDEX(C_TIPO,MATCH(V2413&amp;"-P"&amp;MAX(1,COUNTIFS(C_RUTN,V2413,C_DEF,"Sí",C_INI,"&lt;="&amp;EOMONTH(B2413,0))),C_CLAVE,0))&amp;"","Sin contrato"))</f>
        <v/>
      </c>
      <c r="T2413" s="63" t="str">
        <f aca="false">IF(OR(B2413="",N(O2413)=0),"",N(O2413)+ROUND(MIN(N(N2413),TOPE_UF*UF_MES)*(TASA_EMP+MUTUAL),0)+ROUND(MIN(N(N2413),TOPE_AFC_UF*UF_MES)*IF(S2413="Indefinido",AFC_INDEF,AFC_PF),0))</f>
        <v/>
      </c>
      <c r="U2413" s="62" t="str">
        <f aca="false">IF(C2413="","",IF(LEFT(D2413,1)="⚠","⚠ RUT no registrado en Trabajadores",IF(B2413="","⚠ Falta el mes",IF(OR(ISTEXT(I2413),ISTEXT(J2413)),"⚠ Atrasos u horas extra como texto: escriba hh:mm (ej. 1:30)",IF(AND(ISNUMBER(Q2413),COUNTIFS(M_RUTN,V2413,M_MES,B2413,M_LIQ,"&lt;&gt;")&gt;1),"⚠ Liquidación repetida en el mes",IF(AND(ISNUMBER(O2413),ISNUMBER(P2413),ISNUMBER(Q2413),ABS(O2413-P2413-Q2413)&gt;1),"⚠ Haberes − descuentos no da el líquido","OK"))))))</f>
        <v/>
      </c>
      <c r="V2413" s="62" t="str">
        <f aca="false">IF(C2413="","",IFERROR(VALUE(LEFT(UPPER(SUBSTITUTE(SUBSTITUTE(SUBSTITUTE(TRIM(C2413),".",""),"-","")," ","")),LEN(UPPER(SUBSTITUTE(SUBSTITUTE(SUBSTITUTE(TRIM(C2413),".",""),"-","")," ","")))-1))&amp;RIGHT(UPPER(SUBSTITUTE(SUBSTITUTE(SUBSTITUTE(TRIM(C2413),".",""),"-","")," ","")),1),UPPER(SUBSTITUTE(SUBSTITUTE(SUBSTITUTE(TRIM(C2413),".",""),"-","")," ",""))))</f>
        <v/>
      </c>
    </row>
    <row r="2414" customFormat="false" ht="15" hidden="false" customHeight="false" outlineLevel="0" collapsed="false">
      <c r="B2414" s="80"/>
      <c r="C2414" s="58"/>
      <c r="D2414" s="62" t="str">
        <f aca="false">IF(C2414="","",IFERROR(INDEX(T_NOMBRE,MATCH(V2414,T_RUTN,0)),"⚠ RUT no está en Trabajadores"))</f>
        <v/>
      </c>
      <c r="E2414" s="61"/>
      <c r="F2414" s="61"/>
      <c r="G2414" s="61"/>
      <c r="H2414" s="61"/>
      <c r="I2414" s="81"/>
      <c r="J2414" s="81"/>
      <c r="K2414" s="60"/>
      <c r="L2414" s="60"/>
      <c r="M2414" s="60"/>
      <c r="N2414" s="60"/>
      <c r="O2414" s="60"/>
      <c r="P2414" s="60"/>
      <c r="Q2414" s="60"/>
      <c r="R2414" s="58"/>
      <c r="S2414" s="62" t="str">
        <f aca="false">IF(OR(B2414="",V2414=""),"",IFERROR(INDEX(C_TIPO,MATCH(V2414&amp;"-P"&amp;MAX(1,COUNTIFS(C_RUTN,V2414,C_DEF,"Sí",C_INI,"&lt;="&amp;EOMONTH(B2414,0))),C_CLAVE,0))&amp;"","Sin contrato"))</f>
        <v/>
      </c>
      <c r="T2414" s="63" t="str">
        <f aca="false">IF(OR(B2414="",N(O2414)=0),"",N(O2414)+ROUND(MIN(N(N2414),TOPE_UF*UF_MES)*(TASA_EMP+MUTUAL),0)+ROUND(MIN(N(N2414),TOPE_AFC_UF*UF_MES)*IF(S2414="Indefinido",AFC_INDEF,AFC_PF),0))</f>
        <v/>
      </c>
      <c r="U2414" s="62" t="str">
        <f aca="false">IF(C2414="","",IF(LEFT(D2414,1)="⚠","⚠ RUT no registrado en Trabajadores",IF(B2414="","⚠ Falta el mes",IF(OR(ISTEXT(I2414),ISTEXT(J2414)),"⚠ Atrasos u horas extra como texto: escriba hh:mm (ej. 1:30)",IF(AND(ISNUMBER(Q2414),COUNTIFS(M_RUTN,V2414,M_MES,B2414,M_LIQ,"&lt;&gt;")&gt;1),"⚠ Liquidación repetida en el mes",IF(AND(ISNUMBER(O2414),ISNUMBER(P2414),ISNUMBER(Q2414),ABS(O2414-P2414-Q2414)&gt;1),"⚠ Haberes − descuentos no da el líquido","OK"))))))</f>
        <v/>
      </c>
      <c r="V2414" s="62" t="str">
        <f aca="false">IF(C2414="","",IFERROR(VALUE(LEFT(UPPER(SUBSTITUTE(SUBSTITUTE(SUBSTITUTE(TRIM(C2414),".",""),"-","")," ","")),LEN(UPPER(SUBSTITUTE(SUBSTITUTE(SUBSTITUTE(TRIM(C2414),".",""),"-","")," ","")))-1))&amp;RIGHT(UPPER(SUBSTITUTE(SUBSTITUTE(SUBSTITUTE(TRIM(C2414),".",""),"-","")," ","")),1),UPPER(SUBSTITUTE(SUBSTITUTE(SUBSTITUTE(TRIM(C2414),".",""),"-","")," ",""))))</f>
        <v/>
      </c>
    </row>
    <row r="2415" customFormat="false" ht="15" hidden="false" customHeight="false" outlineLevel="0" collapsed="false">
      <c r="B2415" s="80"/>
      <c r="C2415" s="58"/>
      <c r="D2415" s="62" t="str">
        <f aca="false">IF(C2415="","",IFERROR(INDEX(T_NOMBRE,MATCH(V2415,T_RUTN,0)),"⚠ RUT no está en Trabajadores"))</f>
        <v/>
      </c>
      <c r="E2415" s="61"/>
      <c r="F2415" s="61"/>
      <c r="G2415" s="61"/>
      <c r="H2415" s="61"/>
      <c r="I2415" s="81"/>
      <c r="J2415" s="81"/>
      <c r="K2415" s="60"/>
      <c r="L2415" s="60"/>
      <c r="M2415" s="60"/>
      <c r="N2415" s="60"/>
      <c r="O2415" s="60"/>
      <c r="P2415" s="60"/>
      <c r="Q2415" s="60"/>
      <c r="R2415" s="58"/>
      <c r="S2415" s="62" t="str">
        <f aca="false">IF(OR(B2415="",V2415=""),"",IFERROR(INDEX(C_TIPO,MATCH(V2415&amp;"-P"&amp;MAX(1,COUNTIFS(C_RUTN,V2415,C_DEF,"Sí",C_INI,"&lt;="&amp;EOMONTH(B2415,0))),C_CLAVE,0))&amp;"","Sin contrato"))</f>
        <v/>
      </c>
      <c r="T2415" s="63" t="str">
        <f aca="false">IF(OR(B2415="",N(O2415)=0),"",N(O2415)+ROUND(MIN(N(N2415),TOPE_UF*UF_MES)*(TASA_EMP+MUTUAL),0)+ROUND(MIN(N(N2415),TOPE_AFC_UF*UF_MES)*IF(S2415="Indefinido",AFC_INDEF,AFC_PF),0))</f>
        <v/>
      </c>
      <c r="U2415" s="62" t="str">
        <f aca="false">IF(C2415="","",IF(LEFT(D2415,1)="⚠","⚠ RUT no registrado en Trabajadores",IF(B2415="","⚠ Falta el mes",IF(OR(ISTEXT(I2415),ISTEXT(J2415)),"⚠ Atrasos u horas extra como texto: escriba hh:mm (ej. 1:30)",IF(AND(ISNUMBER(Q2415),COUNTIFS(M_RUTN,V2415,M_MES,B2415,M_LIQ,"&lt;&gt;")&gt;1),"⚠ Liquidación repetida en el mes",IF(AND(ISNUMBER(O2415),ISNUMBER(P2415),ISNUMBER(Q2415),ABS(O2415-P2415-Q2415)&gt;1),"⚠ Haberes − descuentos no da el líquido","OK"))))))</f>
        <v/>
      </c>
      <c r="V2415" s="62" t="str">
        <f aca="false">IF(C2415="","",IFERROR(VALUE(LEFT(UPPER(SUBSTITUTE(SUBSTITUTE(SUBSTITUTE(TRIM(C2415),".",""),"-","")," ","")),LEN(UPPER(SUBSTITUTE(SUBSTITUTE(SUBSTITUTE(TRIM(C2415),".",""),"-","")," ","")))-1))&amp;RIGHT(UPPER(SUBSTITUTE(SUBSTITUTE(SUBSTITUTE(TRIM(C2415),".",""),"-","")," ","")),1),UPPER(SUBSTITUTE(SUBSTITUTE(SUBSTITUTE(TRIM(C2415),".",""),"-","")," ",""))))</f>
        <v/>
      </c>
    </row>
    <row r="2416" customFormat="false" ht="15" hidden="false" customHeight="false" outlineLevel="0" collapsed="false">
      <c r="B2416" s="80"/>
      <c r="C2416" s="58"/>
      <c r="D2416" s="62" t="str">
        <f aca="false">IF(C2416="","",IFERROR(INDEX(T_NOMBRE,MATCH(V2416,T_RUTN,0)),"⚠ RUT no está en Trabajadores"))</f>
        <v/>
      </c>
      <c r="E2416" s="61"/>
      <c r="F2416" s="61"/>
      <c r="G2416" s="61"/>
      <c r="H2416" s="61"/>
      <c r="I2416" s="81"/>
      <c r="J2416" s="81"/>
      <c r="K2416" s="60"/>
      <c r="L2416" s="60"/>
      <c r="M2416" s="60"/>
      <c r="N2416" s="60"/>
      <c r="O2416" s="60"/>
      <c r="P2416" s="60"/>
      <c r="Q2416" s="60"/>
      <c r="R2416" s="58"/>
      <c r="S2416" s="62" t="str">
        <f aca="false">IF(OR(B2416="",V2416=""),"",IFERROR(INDEX(C_TIPO,MATCH(V2416&amp;"-P"&amp;MAX(1,COUNTIFS(C_RUTN,V2416,C_DEF,"Sí",C_INI,"&lt;="&amp;EOMONTH(B2416,0))),C_CLAVE,0))&amp;"","Sin contrato"))</f>
        <v/>
      </c>
      <c r="T2416" s="63" t="str">
        <f aca="false">IF(OR(B2416="",N(O2416)=0),"",N(O2416)+ROUND(MIN(N(N2416),TOPE_UF*UF_MES)*(TASA_EMP+MUTUAL),0)+ROUND(MIN(N(N2416),TOPE_AFC_UF*UF_MES)*IF(S2416="Indefinido",AFC_INDEF,AFC_PF),0))</f>
        <v/>
      </c>
      <c r="U2416" s="62" t="str">
        <f aca="false">IF(C2416="","",IF(LEFT(D2416,1)="⚠","⚠ RUT no registrado en Trabajadores",IF(B2416="","⚠ Falta el mes",IF(OR(ISTEXT(I2416),ISTEXT(J2416)),"⚠ Atrasos u horas extra como texto: escriba hh:mm (ej. 1:30)",IF(AND(ISNUMBER(Q2416),COUNTIFS(M_RUTN,V2416,M_MES,B2416,M_LIQ,"&lt;&gt;")&gt;1),"⚠ Liquidación repetida en el mes",IF(AND(ISNUMBER(O2416),ISNUMBER(P2416),ISNUMBER(Q2416),ABS(O2416-P2416-Q2416)&gt;1),"⚠ Haberes − descuentos no da el líquido","OK"))))))</f>
        <v/>
      </c>
      <c r="V2416" s="62" t="str">
        <f aca="false">IF(C2416="","",IFERROR(VALUE(LEFT(UPPER(SUBSTITUTE(SUBSTITUTE(SUBSTITUTE(TRIM(C2416),".",""),"-","")," ","")),LEN(UPPER(SUBSTITUTE(SUBSTITUTE(SUBSTITUTE(TRIM(C2416),".",""),"-","")," ","")))-1))&amp;RIGHT(UPPER(SUBSTITUTE(SUBSTITUTE(SUBSTITUTE(TRIM(C2416),".",""),"-","")," ","")),1),UPPER(SUBSTITUTE(SUBSTITUTE(SUBSTITUTE(TRIM(C2416),".",""),"-","")," ",""))))</f>
        <v/>
      </c>
    </row>
    <row r="2417" customFormat="false" ht="15" hidden="false" customHeight="false" outlineLevel="0" collapsed="false">
      <c r="B2417" s="80"/>
      <c r="C2417" s="58"/>
      <c r="D2417" s="62" t="str">
        <f aca="false">IF(C2417="","",IFERROR(INDEX(T_NOMBRE,MATCH(V2417,T_RUTN,0)),"⚠ RUT no está en Trabajadores"))</f>
        <v/>
      </c>
      <c r="E2417" s="61"/>
      <c r="F2417" s="61"/>
      <c r="G2417" s="61"/>
      <c r="H2417" s="61"/>
      <c r="I2417" s="81"/>
      <c r="J2417" s="81"/>
      <c r="K2417" s="60"/>
      <c r="L2417" s="60"/>
      <c r="M2417" s="60"/>
      <c r="N2417" s="60"/>
      <c r="O2417" s="60"/>
      <c r="P2417" s="60"/>
      <c r="Q2417" s="60"/>
      <c r="R2417" s="58"/>
      <c r="S2417" s="62" t="str">
        <f aca="false">IF(OR(B2417="",V2417=""),"",IFERROR(INDEX(C_TIPO,MATCH(V2417&amp;"-P"&amp;MAX(1,COUNTIFS(C_RUTN,V2417,C_DEF,"Sí",C_INI,"&lt;="&amp;EOMONTH(B2417,0))),C_CLAVE,0))&amp;"","Sin contrato"))</f>
        <v/>
      </c>
      <c r="T2417" s="63" t="str">
        <f aca="false">IF(OR(B2417="",N(O2417)=0),"",N(O2417)+ROUND(MIN(N(N2417),TOPE_UF*UF_MES)*(TASA_EMP+MUTUAL),0)+ROUND(MIN(N(N2417),TOPE_AFC_UF*UF_MES)*IF(S2417="Indefinido",AFC_INDEF,AFC_PF),0))</f>
        <v/>
      </c>
      <c r="U2417" s="62" t="str">
        <f aca="false">IF(C2417="","",IF(LEFT(D2417,1)="⚠","⚠ RUT no registrado en Trabajadores",IF(B2417="","⚠ Falta el mes",IF(OR(ISTEXT(I2417),ISTEXT(J2417)),"⚠ Atrasos u horas extra como texto: escriba hh:mm (ej. 1:30)",IF(AND(ISNUMBER(Q2417),COUNTIFS(M_RUTN,V2417,M_MES,B2417,M_LIQ,"&lt;&gt;")&gt;1),"⚠ Liquidación repetida en el mes",IF(AND(ISNUMBER(O2417),ISNUMBER(P2417),ISNUMBER(Q2417),ABS(O2417-P2417-Q2417)&gt;1),"⚠ Haberes − descuentos no da el líquido","OK"))))))</f>
        <v/>
      </c>
      <c r="V2417" s="62" t="str">
        <f aca="false">IF(C2417="","",IFERROR(VALUE(LEFT(UPPER(SUBSTITUTE(SUBSTITUTE(SUBSTITUTE(TRIM(C2417),".",""),"-","")," ","")),LEN(UPPER(SUBSTITUTE(SUBSTITUTE(SUBSTITUTE(TRIM(C2417),".",""),"-","")," ","")))-1))&amp;RIGHT(UPPER(SUBSTITUTE(SUBSTITUTE(SUBSTITUTE(TRIM(C2417),".",""),"-","")," ","")),1),UPPER(SUBSTITUTE(SUBSTITUTE(SUBSTITUTE(TRIM(C2417),".",""),"-","")," ",""))))</f>
        <v/>
      </c>
    </row>
    <row r="2418" customFormat="false" ht="15" hidden="false" customHeight="false" outlineLevel="0" collapsed="false">
      <c r="B2418" s="80"/>
      <c r="C2418" s="58"/>
      <c r="D2418" s="62" t="str">
        <f aca="false">IF(C2418="","",IFERROR(INDEX(T_NOMBRE,MATCH(V2418,T_RUTN,0)),"⚠ RUT no está en Trabajadores"))</f>
        <v/>
      </c>
      <c r="E2418" s="61"/>
      <c r="F2418" s="61"/>
      <c r="G2418" s="61"/>
      <c r="H2418" s="61"/>
      <c r="I2418" s="81"/>
      <c r="J2418" s="81"/>
      <c r="K2418" s="60"/>
      <c r="L2418" s="60"/>
      <c r="M2418" s="60"/>
      <c r="N2418" s="60"/>
      <c r="O2418" s="60"/>
      <c r="P2418" s="60"/>
      <c r="Q2418" s="60"/>
      <c r="R2418" s="58"/>
      <c r="S2418" s="62" t="str">
        <f aca="false">IF(OR(B2418="",V2418=""),"",IFERROR(INDEX(C_TIPO,MATCH(V2418&amp;"-P"&amp;MAX(1,COUNTIFS(C_RUTN,V2418,C_DEF,"Sí",C_INI,"&lt;="&amp;EOMONTH(B2418,0))),C_CLAVE,0))&amp;"","Sin contrato"))</f>
        <v/>
      </c>
      <c r="T2418" s="63" t="str">
        <f aca="false">IF(OR(B2418="",N(O2418)=0),"",N(O2418)+ROUND(MIN(N(N2418),TOPE_UF*UF_MES)*(TASA_EMP+MUTUAL),0)+ROUND(MIN(N(N2418),TOPE_AFC_UF*UF_MES)*IF(S2418="Indefinido",AFC_INDEF,AFC_PF),0))</f>
        <v/>
      </c>
      <c r="U2418" s="62" t="str">
        <f aca="false">IF(C2418="","",IF(LEFT(D2418,1)="⚠","⚠ RUT no registrado en Trabajadores",IF(B2418="","⚠ Falta el mes",IF(OR(ISTEXT(I2418),ISTEXT(J2418)),"⚠ Atrasos u horas extra como texto: escriba hh:mm (ej. 1:30)",IF(AND(ISNUMBER(Q2418),COUNTIFS(M_RUTN,V2418,M_MES,B2418,M_LIQ,"&lt;&gt;")&gt;1),"⚠ Liquidación repetida en el mes",IF(AND(ISNUMBER(O2418),ISNUMBER(P2418),ISNUMBER(Q2418),ABS(O2418-P2418-Q2418)&gt;1),"⚠ Haberes − descuentos no da el líquido","OK"))))))</f>
        <v/>
      </c>
      <c r="V2418" s="62" t="str">
        <f aca="false">IF(C2418="","",IFERROR(VALUE(LEFT(UPPER(SUBSTITUTE(SUBSTITUTE(SUBSTITUTE(TRIM(C2418),".",""),"-","")," ","")),LEN(UPPER(SUBSTITUTE(SUBSTITUTE(SUBSTITUTE(TRIM(C2418),".",""),"-","")," ","")))-1))&amp;RIGHT(UPPER(SUBSTITUTE(SUBSTITUTE(SUBSTITUTE(TRIM(C2418),".",""),"-","")," ","")),1),UPPER(SUBSTITUTE(SUBSTITUTE(SUBSTITUTE(TRIM(C2418),".",""),"-","")," ",""))))</f>
        <v/>
      </c>
    </row>
    <row r="2419" customFormat="false" ht="15" hidden="false" customHeight="false" outlineLevel="0" collapsed="false">
      <c r="B2419" s="80"/>
      <c r="C2419" s="58"/>
      <c r="D2419" s="62" t="str">
        <f aca="false">IF(C2419="","",IFERROR(INDEX(T_NOMBRE,MATCH(V2419,T_RUTN,0)),"⚠ RUT no está en Trabajadores"))</f>
        <v/>
      </c>
      <c r="E2419" s="61"/>
      <c r="F2419" s="61"/>
      <c r="G2419" s="61"/>
      <c r="H2419" s="61"/>
      <c r="I2419" s="81"/>
      <c r="J2419" s="81"/>
      <c r="K2419" s="60"/>
      <c r="L2419" s="60"/>
      <c r="M2419" s="60"/>
      <c r="N2419" s="60"/>
      <c r="O2419" s="60"/>
      <c r="P2419" s="60"/>
      <c r="Q2419" s="60"/>
      <c r="R2419" s="58"/>
      <c r="S2419" s="62" t="str">
        <f aca="false">IF(OR(B2419="",V2419=""),"",IFERROR(INDEX(C_TIPO,MATCH(V2419&amp;"-P"&amp;MAX(1,COUNTIFS(C_RUTN,V2419,C_DEF,"Sí",C_INI,"&lt;="&amp;EOMONTH(B2419,0))),C_CLAVE,0))&amp;"","Sin contrato"))</f>
        <v/>
      </c>
      <c r="T2419" s="63" t="str">
        <f aca="false">IF(OR(B2419="",N(O2419)=0),"",N(O2419)+ROUND(MIN(N(N2419),TOPE_UF*UF_MES)*(TASA_EMP+MUTUAL),0)+ROUND(MIN(N(N2419),TOPE_AFC_UF*UF_MES)*IF(S2419="Indefinido",AFC_INDEF,AFC_PF),0))</f>
        <v/>
      </c>
      <c r="U2419" s="62" t="str">
        <f aca="false">IF(C2419="","",IF(LEFT(D2419,1)="⚠","⚠ RUT no registrado en Trabajadores",IF(B2419="","⚠ Falta el mes",IF(OR(ISTEXT(I2419),ISTEXT(J2419)),"⚠ Atrasos u horas extra como texto: escriba hh:mm (ej. 1:30)",IF(AND(ISNUMBER(Q2419),COUNTIFS(M_RUTN,V2419,M_MES,B2419,M_LIQ,"&lt;&gt;")&gt;1),"⚠ Liquidación repetida en el mes",IF(AND(ISNUMBER(O2419),ISNUMBER(P2419),ISNUMBER(Q2419),ABS(O2419-P2419-Q2419)&gt;1),"⚠ Haberes − descuentos no da el líquido","OK"))))))</f>
        <v/>
      </c>
      <c r="V2419" s="62" t="str">
        <f aca="false">IF(C2419="","",IFERROR(VALUE(LEFT(UPPER(SUBSTITUTE(SUBSTITUTE(SUBSTITUTE(TRIM(C2419),".",""),"-","")," ","")),LEN(UPPER(SUBSTITUTE(SUBSTITUTE(SUBSTITUTE(TRIM(C2419),".",""),"-","")," ","")))-1))&amp;RIGHT(UPPER(SUBSTITUTE(SUBSTITUTE(SUBSTITUTE(TRIM(C2419),".",""),"-","")," ","")),1),UPPER(SUBSTITUTE(SUBSTITUTE(SUBSTITUTE(TRIM(C2419),".",""),"-","")," ",""))))</f>
        <v/>
      </c>
    </row>
    <row r="2420" customFormat="false" ht="15" hidden="false" customHeight="false" outlineLevel="0" collapsed="false">
      <c r="B2420" s="80"/>
      <c r="C2420" s="58"/>
      <c r="D2420" s="62" t="str">
        <f aca="false">IF(C2420="","",IFERROR(INDEX(T_NOMBRE,MATCH(V2420,T_RUTN,0)),"⚠ RUT no está en Trabajadores"))</f>
        <v/>
      </c>
      <c r="E2420" s="61"/>
      <c r="F2420" s="61"/>
      <c r="G2420" s="61"/>
      <c r="H2420" s="61"/>
      <c r="I2420" s="81"/>
      <c r="J2420" s="81"/>
      <c r="K2420" s="60"/>
      <c r="L2420" s="60"/>
      <c r="M2420" s="60"/>
      <c r="N2420" s="60"/>
      <c r="O2420" s="60"/>
      <c r="P2420" s="60"/>
      <c r="Q2420" s="60"/>
      <c r="R2420" s="58"/>
      <c r="S2420" s="62" t="str">
        <f aca="false">IF(OR(B2420="",V2420=""),"",IFERROR(INDEX(C_TIPO,MATCH(V2420&amp;"-P"&amp;MAX(1,COUNTIFS(C_RUTN,V2420,C_DEF,"Sí",C_INI,"&lt;="&amp;EOMONTH(B2420,0))),C_CLAVE,0))&amp;"","Sin contrato"))</f>
        <v/>
      </c>
      <c r="T2420" s="63" t="str">
        <f aca="false">IF(OR(B2420="",N(O2420)=0),"",N(O2420)+ROUND(MIN(N(N2420),TOPE_UF*UF_MES)*(TASA_EMP+MUTUAL),0)+ROUND(MIN(N(N2420),TOPE_AFC_UF*UF_MES)*IF(S2420="Indefinido",AFC_INDEF,AFC_PF),0))</f>
        <v/>
      </c>
      <c r="U2420" s="62" t="str">
        <f aca="false">IF(C2420="","",IF(LEFT(D2420,1)="⚠","⚠ RUT no registrado en Trabajadores",IF(B2420="","⚠ Falta el mes",IF(OR(ISTEXT(I2420),ISTEXT(J2420)),"⚠ Atrasos u horas extra como texto: escriba hh:mm (ej. 1:30)",IF(AND(ISNUMBER(Q2420),COUNTIFS(M_RUTN,V2420,M_MES,B2420,M_LIQ,"&lt;&gt;")&gt;1),"⚠ Liquidación repetida en el mes",IF(AND(ISNUMBER(O2420),ISNUMBER(P2420),ISNUMBER(Q2420),ABS(O2420-P2420-Q2420)&gt;1),"⚠ Haberes − descuentos no da el líquido","OK"))))))</f>
        <v/>
      </c>
      <c r="V2420" s="62" t="str">
        <f aca="false">IF(C2420="","",IFERROR(VALUE(LEFT(UPPER(SUBSTITUTE(SUBSTITUTE(SUBSTITUTE(TRIM(C2420),".",""),"-","")," ","")),LEN(UPPER(SUBSTITUTE(SUBSTITUTE(SUBSTITUTE(TRIM(C2420),".",""),"-","")," ","")))-1))&amp;RIGHT(UPPER(SUBSTITUTE(SUBSTITUTE(SUBSTITUTE(TRIM(C2420),".",""),"-","")," ","")),1),UPPER(SUBSTITUTE(SUBSTITUTE(SUBSTITUTE(TRIM(C2420),".",""),"-","")," ",""))))</f>
        <v/>
      </c>
    </row>
    <row r="2421" customFormat="false" ht="15" hidden="false" customHeight="false" outlineLevel="0" collapsed="false">
      <c r="B2421" s="80"/>
      <c r="C2421" s="58"/>
      <c r="D2421" s="62" t="str">
        <f aca="false">IF(C2421="","",IFERROR(INDEX(T_NOMBRE,MATCH(V2421,T_RUTN,0)),"⚠ RUT no está en Trabajadores"))</f>
        <v/>
      </c>
      <c r="E2421" s="61"/>
      <c r="F2421" s="61"/>
      <c r="G2421" s="61"/>
      <c r="H2421" s="61"/>
      <c r="I2421" s="81"/>
      <c r="J2421" s="81"/>
      <c r="K2421" s="60"/>
      <c r="L2421" s="60"/>
      <c r="M2421" s="60"/>
      <c r="N2421" s="60"/>
      <c r="O2421" s="60"/>
      <c r="P2421" s="60"/>
      <c r="Q2421" s="60"/>
      <c r="R2421" s="58"/>
      <c r="S2421" s="62" t="str">
        <f aca="false">IF(OR(B2421="",V2421=""),"",IFERROR(INDEX(C_TIPO,MATCH(V2421&amp;"-P"&amp;MAX(1,COUNTIFS(C_RUTN,V2421,C_DEF,"Sí",C_INI,"&lt;="&amp;EOMONTH(B2421,0))),C_CLAVE,0))&amp;"","Sin contrato"))</f>
        <v/>
      </c>
      <c r="T2421" s="63" t="str">
        <f aca="false">IF(OR(B2421="",N(O2421)=0),"",N(O2421)+ROUND(MIN(N(N2421),TOPE_UF*UF_MES)*(TASA_EMP+MUTUAL),0)+ROUND(MIN(N(N2421),TOPE_AFC_UF*UF_MES)*IF(S2421="Indefinido",AFC_INDEF,AFC_PF),0))</f>
        <v/>
      </c>
      <c r="U2421" s="62" t="str">
        <f aca="false">IF(C2421="","",IF(LEFT(D2421,1)="⚠","⚠ RUT no registrado en Trabajadores",IF(B2421="","⚠ Falta el mes",IF(OR(ISTEXT(I2421),ISTEXT(J2421)),"⚠ Atrasos u horas extra como texto: escriba hh:mm (ej. 1:30)",IF(AND(ISNUMBER(Q2421),COUNTIFS(M_RUTN,V2421,M_MES,B2421,M_LIQ,"&lt;&gt;")&gt;1),"⚠ Liquidación repetida en el mes",IF(AND(ISNUMBER(O2421),ISNUMBER(P2421),ISNUMBER(Q2421),ABS(O2421-P2421-Q2421)&gt;1),"⚠ Haberes − descuentos no da el líquido","OK"))))))</f>
        <v/>
      </c>
      <c r="V2421" s="62" t="str">
        <f aca="false">IF(C2421="","",IFERROR(VALUE(LEFT(UPPER(SUBSTITUTE(SUBSTITUTE(SUBSTITUTE(TRIM(C2421),".",""),"-","")," ","")),LEN(UPPER(SUBSTITUTE(SUBSTITUTE(SUBSTITUTE(TRIM(C2421),".",""),"-","")," ","")))-1))&amp;RIGHT(UPPER(SUBSTITUTE(SUBSTITUTE(SUBSTITUTE(TRIM(C2421),".",""),"-","")," ","")),1),UPPER(SUBSTITUTE(SUBSTITUTE(SUBSTITUTE(TRIM(C2421),".",""),"-","")," ",""))))</f>
        <v/>
      </c>
    </row>
    <row r="2422" customFormat="false" ht="15" hidden="false" customHeight="false" outlineLevel="0" collapsed="false">
      <c r="B2422" s="80"/>
      <c r="C2422" s="58"/>
      <c r="D2422" s="62" t="str">
        <f aca="false">IF(C2422="","",IFERROR(INDEX(T_NOMBRE,MATCH(V2422,T_RUTN,0)),"⚠ RUT no está en Trabajadores"))</f>
        <v/>
      </c>
      <c r="E2422" s="61"/>
      <c r="F2422" s="61"/>
      <c r="G2422" s="61"/>
      <c r="H2422" s="61"/>
      <c r="I2422" s="81"/>
      <c r="J2422" s="81"/>
      <c r="K2422" s="60"/>
      <c r="L2422" s="60"/>
      <c r="M2422" s="60"/>
      <c r="N2422" s="60"/>
      <c r="O2422" s="60"/>
      <c r="P2422" s="60"/>
      <c r="Q2422" s="60"/>
      <c r="R2422" s="58"/>
      <c r="S2422" s="62" t="str">
        <f aca="false">IF(OR(B2422="",V2422=""),"",IFERROR(INDEX(C_TIPO,MATCH(V2422&amp;"-P"&amp;MAX(1,COUNTIFS(C_RUTN,V2422,C_DEF,"Sí",C_INI,"&lt;="&amp;EOMONTH(B2422,0))),C_CLAVE,0))&amp;"","Sin contrato"))</f>
        <v/>
      </c>
      <c r="T2422" s="63" t="str">
        <f aca="false">IF(OR(B2422="",N(O2422)=0),"",N(O2422)+ROUND(MIN(N(N2422),TOPE_UF*UF_MES)*(TASA_EMP+MUTUAL),0)+ROUND(MIN(N(N2422),TOPE_AFC_UF*UF_MES)*IF(S2422="Indefinido",AFC_INDEF,AFC_PF),0))</f>
        <v/>
      </c>
      <c r="U2422" s="62" t="str">
        <f aca="false">IF(C2422="","",IF(LEFT(D2422,1)="⚠","⚠ RUT no registrado en Trabajadores",IF(B2422="","⚠ Falta el mes",IF(OR(ISTEXT(I2422),ISTEXT(J2422)),"⚠ Atrasos u horas extra como texto: escriba hh:mm (ej. 1:30)",IF(AND(ISNUMBER(Q2422),COUNTIFS(M_RUTN,V2422,M_MES,B2422,M_LIQ,"&lt;&gt;")&gt;1),"⚠ Liquidación repetida en el mes",IF(AND(ISNUMBER(O2422),ISNUMBER(P2422),ISNUMBER(Q2422),ABS(O2422-P2422-Q2422)&gt;1),"⚠ Haberes − descuentos no da el líquido","OK"))))))</f>
        <v/>
      </c>
      <c r="V2422" s="62" t="str">
        <f aca="false">IF(C2422="","",IFERROR(VALUE(LEFT(UPPER(SUBSTITUTE(SUBSTITUTE(SUBSTITUTE(TRIM(C2422),".",""),"-","")," ","")),LEN(UPPER(SUBSTITUTE(SUBSTITUTE(SUBSTITUTE(TRIM(C2422),".",""),"-","")," ","")))-1))&amp;RIGHT(UPPER(SUBSTITUTE(SUBSTITUTE(SUBSTITUTE(TRIM(C2422),".",""),"-","")," ","")),1),UPPER(SUBSTITUTE(SUBSTITUTE(SUBSTITUTE(TRIM(C2422),".",""),"-","")," ",""))))</f>
        <v/>
      </c>
    </row>
    <row r="2423" customFormat="false" ht="15" hidden="false" customHeight="false" outlineLevel="0" collapsed="false">
      <c r="B2423" s="80"/>
      <c r="C2423" s="58"/>
      <c r="D2423" s="62" t="str">
        <f aca="false">IF(C2423="","",IFERROR(INDEX(T_NOMBRE,MATCH(V2423,T_RUTN,0)),"⚠ RUT no está en Trabajadores"))</f>
        <v/>
      </c>
      <c r="E2423" s="61"/>
      <c r="F2423" s="61"/>
      <c r="G2423" s="61"/>
      <c r="H2423" s="61"/>
      <c r="I2423" s="81"/>
      <c r="J2423" s="81"/>
      <c r="K2423" s="60"/>
      <c r="L2423" s="60"/>
      <c r="M2423" s="60"/>
      <c r="N2423" s="60"/>
      <c r="O2423" s="60"/>
      <c r="P2423" s="60"/>
      <c r="Q2423" s="60"/>
      <c r="R2423" s="58"/>
      <c r="S2423" s="62" t="str">
        <f aca="false">IF(OR(B2423="",V2423=""),"",IFERROR(INDEX(C_TIPO,MATCH(V2423&amp;"-P"&amp;MAX(1,COUNTIFS(C_RUTN,V2423,C_DEF,"Sí",C_INI,"&lt;="&amp;EOMONTH(B2423,0))),C_CLAVE,0))&amp;"","Sin contrato"))</f>
        <v/>
      </c>
      <c r="T2423" s="63" t="str">
        <f aca="false">IF(OR(B2423="",N(O2423)=0),"",N(O2423)+ROUND(MIN(N(N2423),TOPE_UF*UF_MES)*(TASA_EMP+MUTUAL),0)+ROUND(MIN(N(N2423),TOPE_AFC_UF*UF_MES)*IF(S2423="Indefinido",AFC_INDEF,AFC_PF),0))</f>
        <v/>
      </c>
      <c r="U2423" s="62" t="str">
        <f aca="false">IF(C2423="","",IF(LEFT(D2423,1)="⚠","⚠ RUT no registrado en Trabajadores",IF(B2423="","⚠ Falta el mes",IF(OR(ISTEXT(I2423),ISTEXT(J2423)),"⚠ Atrasos u horas extra como texto: escriba hh:mm (ej. 1:30)",IF(AND(ISNUMBER(Q2423),COUNTIFS(M_RUTN,V2423,M_MES,B2423,M_LIQ,"&lt;&gt;")&gt;1),"⚠ Liquidación repetida en el mes",IF(AND(ISNUMBER(O2423),ISNUMBER(P2423),ISNUMBER(Q2423),ABS(O2423-P2423-Q2423)&gt;1),"⚠ Haberes − descuentos no da el líquido","OK"))))))</f>
        <v/>
      </c>
      <c r="V2423" s="62" t="str">
        <f aca="false">IF(C2423="","",IFERROR(VALUE(LEFT(UPPER(SUBSTITUTE(SUBSTITUTE(SUBSTITUTE(TRIM(C2423),".",""),"-","")," ","")),LEN(UPPER(SUBSTITUTE(SUBSTITUTE(SUBSTITUTE(TRIM(C2423),".",""),"-","")," ","")))-1))&amp;RIGHT(UPPER(SUBSTITUTE(SUBSTITUTE(SUBSTITUTE(TRIM(C2423),".",""),"-","")," ","")),1),UPPER(SUBSTITUTE(SUBSTITUTE(SUBSTITUTE(TRIM(C2423),".",""),"-","")," ",""))))</f>
        <v/>
      </c>
    </row>
    <row r="2424" customFormat="false" ht="15" hidden="false" customHeight="false" outlineLevel="0" collapsed="false">
      <c r="B2424" s="80"/>
      <c r="C2424" s="58"/>
      <c r="D2424" s="62" t="str">
        <f aca="false">IF(C2424="","",IFERROR(INDEX(T_NOMBRE,MATCH(V2424,T_RUTN,0)),"⚠ RUT no está en Trabajadores"))</f>
        <v/>
      </c>
      <c r="E2424" s="61"/>
      <c r="F2424" s="61"/>
      <c r="G2424" s="61"/>
      <c r="H2424" s="61"/>
      <c r="I2424" s="81"/>
      <c r="J2424" s="81"/>
      <c r="K2424" s="60"/>
      <c r="L2424" s="60"/>
      <c r="M2424" s="60"/>
      <c r="N2424" s="60"/>
      <c r="O2424" s="60"/>
      <c r="P2424" s="60"/>
      <c r="Q2424" s="60"/>
      <c r="R2424" s="58"/>
      <c r="S2424" s="62" t="str">
        <f aca="false">IF(OR(B2424="",V2424=""),"",IFERROR(INDEX(C_TIPO,MATCH(V2424&amp;"-P"&amp;MAX(1,COUNTIFS(C_RUTN,V2424,C_DEF,"Sí",C_INI,"&lt;="&amp;EOMONTH(B2424,0))),C_CLAVE,0))&amp;"","Sin contrato"))</f>
        <v/>
      </c>
      <c r="T2424" s="63" t="str">
        <f aca="false">IF(OR(B2424="",N(O2424)=0),"",N(O2424)+ROUND(MIN(N(N2424),TOPE_UF*UF_MES)*(TASA_EMP+MUTUAL),0)+ROUND(MIN(N(N2424),TOPE_AFC_UF*UF_MES)*IF(S2424="Indefinido",AFC_INDEF,AFC_PF),0))</f>
        <v/>
      </c>
      <c r="U2424" s="62" t="str">
        <f aca="false">IF(C2424="","",IF(LEFT(D2424,1)="⚠","⚠ RUT no registrado en Trabajadores",IF(B2424="","⚠ Falta el mes",IF(OR(ISTEXT(I2424),ISTEXT(J2424)),"⚠ Atrasos u horas extra como texto: escriba hh:mm (ej. 1:30)",IF(AND(ISNUMBER(Q2424),COUNTIFS(M_RUTN,V2424,M_MES,B2424,M_LIQ,"&lt;&gt;")&gt;1),"⚠ Liquidación repetida en el mes",IF(AND(ISNUMBER(O2424),ISNUMBER(P2424),ISNUMBER(Q2424),ABS(O2424-P2424-Q2424)&gt;1),"⚠ Haberes − descuentos no da el líquido","OK"))))))</f>
        <v/>
      </c>
      <c r="V2424" s="62" t="str">
        <f aca="false">IF(C2424="","",IFERROR(VALUE(LEFT(UPPER(SUBSTITUTE(SUBSTITUTE(SUBSTITUTE(TRIM(C2424),".",""),"-","")," ","")),LEN(UPPER(SUBSTITUTE(SUBSTITUTE(SUBSTITUTE(TRIM(C2424),".",""),"-","")," ","")))-1))&amp;RIGHT(UPPER(SUBSTITUTE(SUBSTITUTE(SUBSTITUTE(TRIM(C2424),".",""),"-","")," ","")),1),UPPER(SUBSTITUTE(SUBSTITUTE(SUBSTITUTE(TRIM(C2424),".",""),"-","")," ",""))))</f>
        <v/>
      </c>
    </row>
    <row r="2425" customFormat="false" ht="15" hidden="false" customHeight="false" outlineLevel="0" collapsed="false">
      <c r="B2425" s="80"/>
      <c r="C2425" s="58"/>
      <c r="D2425" s="62" t="str">
        <f aca="false">IF(C2425="","",IFERROR(INDEX(T_NOMBRE,MATCH(V2425,T_RUTN,0)),"⚠ RUT no está en Trabajadores"))</f>
        <v/>
      </c>
      <c r="E2425" s="61"/>
      <c r="F2425" s="61"/>
      <c r="G2425" s="61"/>
      <c r="H2425" s="61"/>
      <c r="I2425" s="81"/>
      <c r="J2425" s="81"/>
      <c r="K2425" s="60"/>
      <c r="L2425" s="60"/>
      <c r="M2425" s="60"/>
      <c r="N2425" s="60"/>
      <c r="O2425" s="60"/>
      <c r="P2425" s="60"/>
      <c r="Q2425" s="60"/>
      <c r="R2425" s="58"/>
      <c r="S2425" s="62" t="str">
        <f aca="false">IF(OR(B2425="",V2425=""),"",IFERROR(INDEX(C_TIPO,MATCH(V2425&amp;"-P"&amp;MAX(1,COUNTIFS(C_RUTN,V2425,C_DEF,"Sí",C_INI,"&lt;="&amp;EOMONTH(B2425,0))),C_CLAVE,0))&amp;"","Sin contrato"))</f>
        <v/>
      </c>
      <c r="T2425" s="63" t="str">
        <f aca="false">IF(OR(B2425="",N(O2425)=0),"",N(O2425)+ROUND(MIN(N(N2425),TOPE_UF*UF_MES)*(TASA_EMP+MUTUAL),0)+ROUND(MIN(N(N2425),TOPE_AFC_UF*UF_MES)*IF(S2425="Indefinido",AFC_INDEF,AFC_PF),0))</f>
        <v/>
      </c>
      <c r="U2425" s="62" t="str">
        <f aca="false">IF(C2425="","",IF(LEFT(D2425,1)="⚠","⚠ RUT no registrado en Trabajadores",IF(B2425="","⚠ Falta el mes",IF(OR(ISTEXT(I2425),ISTEXT(J2425)),"⚠ Atrasos u horas extra como texto: escriba hh:mm (ej. 1:30)",IF(AND(ISNUMBER(Q2425),COUNTIFS(M_RUTN,V2425,M_MES,B2425,M_LIQ,"&lt;&gt;")&gt;1),"⚠ Liquidación repetida en el mes",IF(AND(ISNUMBER(O2425),ISNUMBER(P2425),ISNUMBER(Q2425),ABS(O2425-P2425-Q2425)&gt;1),"⚠ Haberes − descuentos no da el líquido","OK"))))))</f>
        <v/>
      </c>
      <c r="V2425" s="62" t="str">
        <f aca="false">IF(C2425="","",IFERROR(VALUE(LEFT(UPPER(SUBSTITUTE(SUBSTITUTE(SUBSTITUTE(TRIM(C2425),".",""),"-","")," ","")),LEN(UPPER(SUBSTITUTE(SUBSTITUTE(SUBSTITUTE(TRIM(C2425),".",""),"-","")," ","")))-1))&amp;RIGHT(UPPER(SUBSTITUTE(SUBSTITUTE(SUBSTITUTE(TRIM(C2425),".",""),"-","")," ","")),1),UPPER(SUBSTITUTE(SUBSTITUTE(SUBSTITUTE(TRIM(C2425),".",""),"-","")," ",""))))</f>
        <v/>
      </c>
    </row>
    <row r="2426" customFormat="false" ht="15" hidden="false" customHeight="false" outlineLevel="0" collapsed="false">
      <c r="B2426" s="80"/>
      <c r="C2426" s="58"/>
      <c r="D2426" s="62" t="str">
        <f aca="false">IF(C2426="","",IFERROR(INDEX(T_NOMBRE,MATCH(V2426,T_RUTN,0)),"⚠ RUT no está en Trabajadores"))</f>
        <v/>
      </c>
      <c r="E2426" s="61"/>
      <c r="F2426" s="61"/>
      <c r="G2426" s="61"/>
      <c r="H2426" s="61"/>
      <c r="I2426" s="81"/>
      <c r="J2426" s="81"/>
      <c r="K2426" s="60"/>
      <c r="L2426" s="60"/>
      <c r="M2426" s="60"/>
      <c r="N2426" s="60"/>
      <c r="O2426" s="60"/>
      <c r="P2426" s="60"/>
      <c r="Q2426" s="60"/>
      <c r="R2426" s="58"/>
      <c r="S2426" s="62" t="str">
        <f aca="false">IF(OR(B2426="",V2426=""),"",IFERROR(INDEX(C_TIPO,MATCH(V2426&amp;"-P"&amp;MAX(1,COUNTIFS(C_RUTN,V2426,C_DEF,"Sí",C_INI,"&lt;="&amp;EOMONTH(B2426,0))),C_CLAVE,0))&amp;"","Sin contrato"))</f>
        <v/>
      </c>
      <c r="T2426" s="63" t="str">
        <f aca="false">IF(OR(B2426="",N(O2426)=0),"",N(O2426)+ROUND(MIN(N(N2426),TOPE_UF*UF_MES)*(TASA_EMP+MUTUAL),0)+ROUND(MIN(N(N2426),TOPE_AFC_UF*UF_MES)*IF(S2426="Indefinido",AFC_INDEF,AFC_PF),0))</f>
        <v/>
      </c>
      <c r="U2426" s="62" t="str">
        <f aca="false">IF(C2426="","",IF(LEFT(D2426,1)="⚠","⚠ RUT no registrado en Trabajadores",IF(B2426="","⚠ Falta el mes",IF(OR(ISTEXT(I2426),ISTEXT(J2426)),"⚠ Atrasos u horas extra como texto: escriba hh:mm (ej. 1:30)",IF(AND(ISNUMBER(Q2426),COUNTIFS(M_RUTN,V2426,M_MES,B2426,M_LIQ,"&lt;&gt;")&gt;1),"⚠ Liquidación repetida en el mes",IF(AND(ISNUMBER(O2426),ISNUMBER(P2426),ISNUMBER(Q2426),ABS(O2426-P2426-Q2426)&gt;1),"⚠ Haberes − descuentos no da el líquido","OK"))))))</f>
        <v/>
      </c>
      <c r="V2426" s="62" t="str">
        <f aca="false">IF(C2426="","",IFERROR(VALUE(LEFT(UPPER(SUBSTITUTE(SUBSTITUTE(SUBSTITUTE(TRIM(C2426),".",""),"-","")," ","")),LEN(UPPER(SUBSTITUTE(SUBSTITUTE(SUBSTITUTE(TRIM(C2426),".",""),"-","")," ","")))-1))&amp;RIGHT(UPPER(SUBSTITUTE(SUBSTITUTE(SUBSTITUTE(TRIM(C2426),".",""),"-","")," ","")),1),UPPER(SUBSTITUTE(SUBSTITUTE(SUBSTITUTE(TRIM(C2426),".",""),"-","")," ",""))))</f>
        <v/>
      </c>
    </row>
    <row r="2427" customFormat="false" ht="15" hidden="false" customHeight="false" outlineLevel="0" collapsed="false">
      <c r="B2427" s="80"/>
      <c r="C2427" s="58"/>
      <c r="D2427" s="62" t="str">
        <f aca="false">IF(C2427="","",IFERROR(INDEX(T_NOMBRE,MATCH(V2427,T_RUTN,0)),"⚠ RUT no está en Trabajadores"))</f>
        <v/>
      </c>
      <c r="E2427" s="61"/>
      <c r="F2427" s="61"/>
      <c r="G2427" s="61"/>
      <c r="H2427" s="61"/>
      <c r="I2427" s="81"/>
      <c r="J2427" s="81"/>
      <c r="K2427" s="60"/>
      <c r="L2427" s="60"/>
      <c r="M2427" s="60"/>
      <c r="N2427" s="60"/>
      <c r="O2427" s="60"/>
      <c r="P2427" s="60"/>
      <c r="Q2427" s="60"/>
      <c r="R2427" s="58"/>
      <c r="S2427" s="62" t="str">
        <f aca="false">IF(OR(B2427="",V2427=""),"",IFERROR(INDEX(C_TIPO,MATCH(V2427&amp;"-P"&amp;MAX(1,COUNTIFS(C_RUTN,V2427,C_DEF,"Sí",C_INI,"&lt;="&amp;EOMONTH(B2427,0))),C_CLAVE,0))&amp;"","Sin contrato"))</f>
        <v/>
      </c>
      <c r="T2427" s="63" t="str">
        <f aca="false">IF(OR(B2427="",N(O2427)=0),"",N(O2427)+ROUND(MIN(N(N2427),TOPE_UF*UF_MES)*(TASA_EMP+MUTUAL),0)+ROUND(MIN(N(N2427),TOPE_AFC_UF*UF_MES)*IF(S2427="Indefinido",AFC_INDEF,AFC_PF),0))</f>
        <v/>
      </c>
      <c r="U2427" s="62" t="str">
        <f aca="false">IF(C2427="","",IF(LEFT(D2427,1)="⚠","⚠ RUT no registrado en Trabajadores",IF(B2427="","⚠ Falta el mes",IF(OR(ISTEXT(I2427),ISTEXT(J2427)),"⚠ Atrasos u horas extra como texto: escriba hh:mm (ej. 1:30)",IF(AND(ISNUMBER(Q2427),COUNTIFS(M_RUTN,V2427,M_MES,B2427,M_LIQ,"&lt;&gt;")&gt;1),"⚠ Liquidación repetida en el mes",IF(AND(ISNUMBER(O2427),ISNUMBER(P2427),ISNUMBER(Q2427),ABS(O2427-P2427-Q2427)&gt;1),"⚠ Haberes − descuentos no da el líquido","OK"))))))</f>
        <v/>
      </c>
      <c r="V2427" s="62" t="str">
        <f aca="false">IF(C2427="","",IFERROR(VALUE(LEFT(UPPER(SUBSTITUTE(SUBSTITUTE(SUBSTITUTE(TRIM(C2427),".",""),"-","")," ","")),LEN(UPPER(SUBSTITUTE(SUBSTITUTE(SUBSTITUTE(TRIM(C2427),".",""),"-","")," ","")))-1))&amp;RIGHT(UPPER(SUBSTITUTE(SUBSTITUTE(SUBSTITUTE(TRIM(C2427),".",""),"-","")," ","")),1),UPPER(SUBSTITUTE(SUBSTITUTE(SUBSTITUTE(TRIM(C2427),".",""),"-","")," ",""))))</f>
        <v/>
      </c>
    </row>
    <row r="2428" customFormat="false" ht="15" hidden="false" customHeight="false" outlineLevel="0" collapsed="false">
      <c r="B2428" s="80"/>
      <c r="C2428" s="58"/>
      <c r="D2428" s="62" t="str">
        <f aca="false">IF(C2428="","",IFERROR(INDEX(T_NOMBRE,MATCH(V2428,T_RUTN,0)),"⚠ RUT no está en Trabajadores"))</f>
        <v/>
      </c>
      <c r="E2428" s="61"/>
      <c r="F2428" s="61"/>
      <c r="G2428" s="61"/>
      <c r="H2428" s="61"/>
      <c r="I2428" s="81"/>
      <c r="J2428" s="81"/>
      <c r="K2428" s="60"/>
      <c r="L2428" s="60"/>
      <c r="M2428" s="60"/>
      <c r="N2428" s="60"/>
      <c r="O2428" s="60"/>
      <c r="P2428" s="60"/>
      <c r="Q2428" s="60"/>
      <c r="R2428" s="58"/>
      <c r="S2428" s="62" t="str">
        <f aca="false">IF(OR(B2428="",V2428=""),"",IFERROR(INDEX(C_TIPO,MATCH(V2428&amp;"-P"&amp;MAX(1,COUNTIFS(C_RUTN,V2428,C_DEF,"Sí",C_INI,"&lt;="&amp;EOMONTH(B2428,0))),C_CLAVE,0))&amp;"","Sin contrato"))</f>
        <v/>
      </c>
      <c r="T2428" s="63" t="str">
        <f aca="false">IF(OR(B2428="",N(O2428)=0),"",N(O2428)+ROUND(MIN(N(N2428),TOPE_UF*UF_MES)*(TASA_EMP+MUTUAL),0)+ROUND(MIN(N(N2428),TOPE_AFC_UF*UF_MES)*IF(S2428="Indefinido",AFC_INDEF,AFC_PF),0))</f>
        <v/>
      </c>
      <c r="U2428" s="62" t="str">
        <f aca="false">IF(C2428="","",IF(LEFT(D2428,1)="⚠","⚠ RUT no registrado en Trabajadores",IF(B2428="","⚠ Falta el mes",IF(OR(ISTEXT(I2428),ISTEXT(J2428)),"⚠ Atrasos u horas extra como texto: escriba hh:mm (ej. 1:30)",IF(AND(ISNUMBER(Q2428),COUNTIFS(M_RUTN,V2428,M_MES,B2428,M_LIQ,"&lt;&gt;")&gt;1),"⚠ Liquidación repetida en el mes",IF(AND(ISNUMBER(O2428),ISNUMBER(P2428),ISNUMBER(Q2428),ABS(O2428-P2428-Q2428)&gt;1),"⚠ Haberes − descuentos no da el líquido","OK"))))))</f>
        <v/>
      </c>
      <c r="V2428" s="62" t="str">
        <f aca="false">IF(C2428="","",IFERROR(VALUE(LEFT(UPPER(SUBSTITUTE(SUBSTITUTE(SUBSTITUTE(TRIM(C2428),".",""),"-","")," ","")),LEN(UPPER(SUBSTITUTE(SUBSTITUTE(SUBSTITUTE(TRIM(C2428),".",""),"-","")," ","")))-1))&amp;RIGHT(UPPER(SUBSTITUTE(SUBSTITUTE(SUBSTITUTE(TRIM(C2428),".",""),"-","")," ","")),1),UPPER(SUBSTITUTE(SUBSTITUTE(SUBSTITUTE(TRIM(C2428),".",""),"-","")," ",""))))</f>
        <v/>
      </c>
    </row>
    <row r="2429" customFormat="false" ht="15" hidden="false" customHeight="false" outlineLevel="0" collapsed="false">
      <c r="B2429" s="80"/>
      <c r="C2429" s="58"/>
      <c r="D2429" s="62" t="str">
        <f aca="false">IF(C2429="","",IFERROR(INDEX(T_NOMBRE,MATCH(V2429,T_RUTN,0)),"⚠ RUT no está en Trabajadores"))</f>
        <v/>
      </c>
      <c r="E2429" s="61"/>
      <c r="F2429" s="61"/>
      <c r="G2429" s="61"/>
      <c r="H2429" s="61"/>
      <c r="I2429" s="81"/>
      <c r="J2429" s="81"/>
      <c r="K2429" s="60"/>
      <c r="L2429" s="60"/>
      <c r="M2429" s="60"/>
      <c r="N2429" s="60"/>
      <c r="O2429" s="60"/>
      <c r="P2429" s="60"/>
      <c r="Q2429" s="60"/>
      <c r="R2429" s="58"/>
      <c r="S2429" s="62" t="str">
        <f aca="false">IF(OR(B2429="",V2429=""),"",IFERROR(INDEX(C_TIPO,MATCH(V2429&amp;"-P"&amp;MAX(1,COUNTIFS(C_RUTN,V2429,C_DEF,"Sí",C_INI,"&lt;="&amp;EOMONTH(B2429,0))),C_CLAVE,0))&amp;"","Sin contrato"))</f>
        <v/>
      </c>
      <c r="T2429" s="63" t="str">
        <f aca="false">IF(OR(B2429="",N(O2429)=0),"",N(O2429)+ROUND(MIN(N(N2429),TOPE_UF*UF_MES)*(TASA_EMP+MUTUAL),0)+ROUND(MIN(N(N2429),TOPE_AFC_UF*UF_MES)*IF(S2429="Indefinido",AFC_INDEF,AFC_PF),0))</f>
        <v/>
      </c>
      <c r="U2429" s="62" t="str">
        <f aca="false">IF(C2429="","",IF(LEFT(D2429,1)="⚠","⚠ RUT no registrado en Trabajadores",IF(B2429="","⚠ Falta el mes",IF(OR(ISTEXT(I2429),ISTEXT(J2429)),"⚠ Atrasos u horas extra como texto: escriba hh:mm (ej. 1:30)",IF(AND(ISNUMBER(Q2429),COUNTIFS(M_RUTN,V2429,M_MES,B2429,M_LIQ,"&lt;&gt;")&gt;1),"⚠ Liquidación repetida en el mes",IF(AND(ISNUMBER(O2429),ISNUMBER(P2429),ISNUMBER(Q2429),ABS(O2429-P2429-Q2429)&gt;1),"⚠ Haberes − descuentos no da el líquido","OK"))))))</f>
        <v/>
      </c>
      <c r="V2429" s="62" t="str">
        <f aca="false">IF(C2429="","",IFERROR(VALUE(LEFT(UPPER(SUBSTITUTE(SUBSTITUTE(SUBSTITUTE(TRIM(C2429),".",""),"-","")," ","")),LEN(UPPER(SUBSTITUTE(SUBSTITUTE(SUBSTITUTE(TRIM(C2429),".",""),"-","")," ","")))-1))&amp;RIGHT(UPPER(SUBSTITUTE(SUBSTITUTE(SUBSTITUTE(TRIM(C2429),".",""),"-","")," ","")),1),UPPER(SUBSTITUTE(SUBSTITUTE(SUBSTITUTE(TRIM(C2429),".",""),"-","")," ",""))))</f>
        <v/>
      </c>
    </row>
    <row r="2430" customFormat="false" ht="15" hidden="false" customHeight="false" outlineLevel="0" collapsed="false">
      <c r="B2430" s="80"/>
      <c r="C2430" s="58"/>
      <c r="D2430" s="62" t="str">
        <f aca="false">IF(C2430="","",IFERROR(INDEX(T_NOMBRE,MATCH(V2430,T_RUTN,0)),"⚠ RUT no está en Trabajadores"))</f>
        <v/>
      </c>
      <c r="E2430" s="61"/>
      <c r="F2430" s="61"/>
      <c r="G2430" s="61"/>
      <c r="H2430" s="61"/>
      <c r="I2430" s="81"/>
      <c r="J2430" s="81"/>
      <c r="K2430" s="60"/>
      <c r="L2430" s="60"/>
      <c r="M2430" s="60"/>
      <c r="N2430" s="60"/>
      <c r="O2430" s="60"/>
      <c r="P2430" s="60"/>
      <c r="Q2430" s="60"/>
      <c r="R2430" s="58"/>
      <c r="S2430" s="62" t="str">
        <f aca="false">IF(OR(B2430="",V2430=""),"",IFERROR(INDEX(C_TIPO,MATCH(V2430&amp;"-P"&amp;MAX(1,COUNTIFS(C_RUTN,V2430,C_DEF,"Sí",C_INI,"&lt;="&amp;EOMONTH(B2430,0))),C_CLAVE,0))&amp;"","Sin contrato"))</f>
        <v/>
      </c>
      <c r="T2430" s="63" t="str">
        <f aca="false">IF(OR(B2430="",N(O2430)=0),"",N(O2430)+ROUND(MIN(N(N2430),TOPE_UF*UF_MES)*(TASA_EMP+MUTUAL),0)+ROUND(MIN(N(N2430),TOPE_AFC_UF*UF_MES)*IF(S2430="Indefinido",AFC_INDEF,AFC_PF),0))</f>
        <v/>
      </c>
      <c r="U2430" s="62" t="str">
        <f aca="false">IF(C2430="","",IF(LEFT(D2430,1)="⚠","⚠ RUT no registrado en Trabajadores",IF(B2430="","⚠ Falta el mes",IF(OR(ISTEXT(I2430),ISTEXT(J2430)),"⚠ Atrasos u horas extra como texto: escriba hh:mm (ej. 1:30)",IF(AND(ISNUMBER(Q2430),COUNTIFS(M_RUTN,V2430,M_MES,B2430,M_LIQ,"&lt;&gt;")&gt;1),"⚠ Liquidación repetida en el mes",IF(AND(ISNUMBER(O2430),ISNUMBER(P2430),ISNUMBER(Q2430),ABS(O2430-P2430-Q2430)&gt;1),"⚠ Haberes − descuentos no da el líquido","OK"))))))</f>
        <v/>
      </c>
      <c r="V2430" s="62" t="str">
        <f aca="false">IF(C2430="","",IFERROR(VALUE(LEFT(UPPER(SUBSTITUTE(SUBSTITUTE(SUBSTITUTE(TRIM(C2430),".",""),"-","")," ","")),LEN(UPPER(SUBSTITUTE(SUBSTITUTE(SUBSTITUTE(TRIM(C2430),".",""),"-","")," ","")))-1))&amp;RIGHT(UPPER(SUBSTITUTE(SUBSTITUTE(SUBSTITUTE(TRIM(C2430),".",""),"-","")," ","")),1),UPPER(SUBSTITUTE(SUBSTITUTE(SUBSTITUTE(TRIM(C2430),".",""),"-","")," ",""))))</f>
        <v/>
      </c>
    </row>
    <row r="2431" customFormat="false" ht="15" hidden="false" customHeight="false" outlineLevel="0" collapsed="false">
      <c r="B2431" s="80"/>
      <c r="C2431" s="58"/>
      <c r="D2431" s="62" t="str">
        <f aca="false">IF(C2431="","",IFERROR(INDEX(T_NOMBRE,MATCH(V2431,T_RUTN,0)),"⚠ RUT no está en Trabajadores"))</f>
        <v/>
      </c>
      <c r="E2431" s="61"/>
      <c r="F2431" s="61"/>
      <c r="G2431" s="61"/>
      <c r="H2431" s="61"/>
      <c r="I2431" s="81"/>
      <c r="J2431" s="81"/>
      <c r="K2431" s="60"/>
      <c r="L2431" s="60"/>
      <c r="M2431" s="60"/>
      <c r="N2431" s="60"/>
      <c r="O2431" s="60"/>
      <c r="P2431" s="60"/>
      <c r="Q2431" s="60"/>
      <c r="R2431" s="58"/>
      <c r="S2431" s="62" t="str">
        <f aca="false">IF(OR(B2431="",V2431=""),"",IFERROR(INDEX(C_TIPO,MATCH(V2431&amp;"-P"&amp;MAX(1,COUNTIFS(C_RUTN,V2431,C_DEF,"Sí",C_INI,"&lt;="&amp;EOMONTH(B2431,0))),C_CLAVE,0))&amp;"","Sin contrato"))</f>
        <v/>
      </c>
      <c r="T2431" s="63" t="str">
        <f aca="false">IF(OR(B2431="",N(O2431)=0),"",N(O2431)+ROUND(MIN(N(N2431),TOPE_UF*UF_MES)*(TASA_EMP+MUTUAL),0)+ROUND(MIN(N(N2431),TOPE_AFC_UF*UF_MES)*IF(S2431="Indefinido",AFC_INDEF,AFC_PF),0))</f>
        <v/>
      </c>
      <c r="U2431" s="62" t="str">
        <f aca="false">IF(C2431="","",IF(LEFT(D2431,1)="⚠","⚠ RUT no registrado en Trabajadores",IF(B2431="","⚠ Falta el mes",IF(OR(ISTEXT(I2431),ISTEXT(J2431)),"⚠ Atrasos u horas extra como texto: escriba hh:mm (ej. 1:30)",IF(AND(ISNUMBER(Q2431),COUNTIFS(M_RUTN,V2431,M_MES,B2431,M_LIQ,"&lt;&gt;")&gt;1),"⚠ Liquidación repetida en el mes",IF(AND(ISNUMBER(O2431),ISNUMBER(P2431),ISNUMBER(Q2431),ABS(O2431-P2431-Q2431)&gt;1),"⚠ Haberes − descuentos no da el líquido","OK"))))))</f>
        <v/>
      </c>
      <c r="V2431" s="62" t="str">
        <f aca="false">IF(C2431="","",IFERROR(VALUE(LEFT(UPPER(SUBSTITUTE(SUBSTITUTE(SUBSTITUTE(TRIM(C2431),".",""),"-","")," ","")),LEN(UPPER(SUBSTITUTE(SUBSTITUTE(SUBSTITUTE(TRIM(C2431),".",""),"-","")," ","")))-1))&amp;RIGHT(UPPER(SUBSTITUTE(SUBSTITUTE(SUBSTITUTE(TRIM(C2431),".",""),"-","")," ","")),1),UPPER(SUBSTITUTE(SUBSTITUTE(SUBSTITUTE(TRIM(C2431),".",""),"-","")," ",""))))</f>
        <v/>
      </c>
    </row>
    <row r="2432" customFormat="false" ht="15" hidden="false" customHeight="false" outlineLevel="0" collapsed="false">
      <c r="B2432" s="80"/>
      <c r="C2432" s="58"/>
      <c r="D2432" s="62" t="str">
        <f aca="false">IF(C2432="","",IFERROR(INDEX(T_NOMBRE,MATCH(V2432,T_RUTN,0)),"⚠ RUT no está en Trabajadores"))</f>
        <v/>
      </c>
      <c r="E2432" s="61"/>
      <c r="F2432" s="61"/>
      <c r="G2432" s="61"/>
      <c r="H2432" s="61"/>
      <c r="I2432" s="81"/>
      <c r="J2432" s="81"/>
      <c r="K2432" s="60"/>
      <c r="L2432" s="60"/>
      <c r="M2432" s="60"/>
      <c r="N2432" s="60"/>
      <c r="O2432" s="60"/>
      <c r="P2432" s="60"/>
      <c r="Q2432" s="60"/>
      <c r="R2432" s="58"/>
      <c r="S2432" s="62" t="str">
        <f aca="false">IF(OR(B2432="",V2432=""),"",IFERROR(INDEX(C_TIPO,MATCH(V2432&amp;"-P"&amp;MAX(1,COUNTIFS(C_RUTN,V2432,C_DEF,"Sí",C_INI,"&lt;="&amp;EOMONTH(B2432,0))),C_CLAVE,0))&amp;"","Sin contrato"))</f>
        <v/>
      </c>
      <c r="T2432" s="63" t="str">
        <f aca="false">IF(OR(B2432="",N(O2432)=0),"",N(O2432)+ROUND(MIN(N(N2432),TOPE_UF*UF_MES)*(TASA_EMP+MUTUAL),0)+ROUND(MIN(N(N2432),TOPE_AFC_UF*UF_MES)*IF(S2432="Indefinido",AFC_INDEF,AFC_PF),0))</f>
        <v/>
      </c>
      <c r="U2432" s="62" t="str">
        <f aca="false">IF(C2432="","",IF(LEFT(D2432,1)="⚠","⚠ RUT no registrado en Trabajadores",IF(B2432="","⚠ Falta el mes",IF(OR(ISTEXT(I2432),ISTEXT(J2432)),"⚠ Atrasos u horas extra como texto: escriba hh:mm (ej. 1:30)",IF(AND(ISNUMBER(Q2432),COUNTIFS(M_RUTN,V2432,M_MES,B2432,M_LIQ,"&lt;&gt;")&gt;1),"⚠ Liquidación repetida en el mes",IF(AND(ISNUMBER(O2432),ISNUMBER(P2432),ISNUMBER(Q2432),ABS(O2432-P2432-Q2432)&gt;1),"⚠ Haberes − descuentos no da el líquido","OK"))))))</f>
        <v/>
      </c>
      <c r="V2432" s="62" t="str">
        <f aca="false">IF(C2432="","",IFERROR(VALUE(LEFT(UPPER(SUBSTITUTE(SUBSTITUTE(SUBSTITUTE(TRIM(C2432),".",""),"-","")," ","")),LEN(UPPER(SUBSTITUTE(SUBSTITUTE(SUBSTITUTE(TRIM(C2432),".",""),"-","")," ","")))-1))&amp;RIGHT(UPPER(SUBSTITUTE(SUBSTITUTE(SUBSTITUTE(TRIM(C2432),".",""),"-","")," ","")),1),UPPER(SUBSTITUTE(SUBSTITUTE(SUBSTITUTE(TRIM(C2432),".",""),"-","")," ",""))))</f>
        <v/>
      </c>
    </row>
    <row r="2433" customFormat="false" ht="15" hidden="false" customHeight="false" outlineLevel="0" collapsed="false">
      <c r="B2433" s="80"/>
      <c r="C2433" s="58"/>
      <c r="D2433" s="62" t="str">
        <f aca="false">IF(C2433="","",IFERROR(INDEX(T_NOMBRE,MATCH(V2433,T_RUTN,0)),"⚠ RUT no está en Trabajadores"))</f>
        <v/>
      </c>
      <c r="E2433" s="61"/>
      <c r="F2433" s="61"/>
      <c r="G2433" s="61"/>
      <c r="H2433" s="61"/>
      <c r="I2433" s="81"/>
      <c r="J2433" s="81"/>
      <c r="K2433" s="60"/>
      <c r="L2433" s="60"/>
      <c r="M2433" s="60"/>
      <c r="N2433" s="60"/>
      <c r="O2433" s="60"/>
      <c r="P2433" s="60"/>
      <c r="Q2433" s="60"/>
      <c r="R2433" s="58"/>
      <c r="S2433" s="62" t="str">
        <f aca="false">IF(OR(B2433="",V2433=""),"",IFERROR(INDEX(C_TIPO,MATCH(V2433&amp;"-P"&amp;MAX(1,COUNTIFS(C_RUTN,V2433,C_DEF,"Sí",C_INI,"&lt;="&amp;EOMONTH(B2433,0))),C_CLAVE,0))&amp;"","Sin contrato"))</f>
        <v/>
      </c>
      <c r="T2433" s="63" t="str">
        <f aca="false">IF(OR(B2433="",N(O2433)=0),"",N(O2433)+ROUND(MIN(N(N2433),TOPE_UF*UF_MES)*(TASA_EMP+MUTUAL),0)+ROUND(MIN(N(N2433),TOPE_AFC_UF*UF_MES)*IF(S2433="Indefinido",AFC_INDEF,AFC_PF),0))</f>
        <v/>
      </c>
      <c r="U2433" s="62" t="str">
        <f aca="false">IF(C2433="","",IF(LEFT(D2433,1)="⚠","⚠ RUT no registrado en Trabajadores",IF(B2433="","⚠ Falta el mes",IF(OR(ISTEXT(I2433),ISTEXT(J2433)),"⚠ Atrasos u horas extra como texto: escriba hh:mm (ej. 1:30)",IF(AND(ISNUMBER(Q2433),COUNTIFS(M_RUTN,V2433,M_MES,B2433,M_LIQ,"&lt;&gt;")&gt;1),"⚠ Liquidación repetida en el mes",IF(AND(ISNUMBER(O2433),ISNUMBER(P2433),ISNUMBER(Q2433),ABS(O2433-P2433-Q2433)&gt;1),"⚠ Haberes − descuentos no da el líquido","OK"))))))</f>
        <v/>
      </c>
      <c r="V2433" s="62" t="str">
        <f aca="false">IF(C2433="","",IFERROR(VALUE(LEFT(UPPER(SUBSTITUTE(SUBSTITUTE(SUBSTITUTE(TRIM(C2433),".",""),"-","")," ","")),LEN(UPPER(SUBSTITUTE(SUBSTITUTE(SUBSTITUTE(TRIM(C2433),".",""),"-","")," ","")))-1))&amp;RIGHT(UPPER(SUBSTITUTE(SUBSTITUTE(SUBSTITUTE(TRIM(C2433),".",""),"-","")," ","")),1),UPPER(SUBSTITUTE(SUBSTITUTE(SUBSTITUTE(TRIM(C2433),".",""),"-","")," ",""))))</f>
        <v/>
      </c>
    </row>
    <row r="2434" customFormat="false" ht="15" hidden="false" customHeight="false" outlineLevel="0" collapsed="false">
      <c r="B2434" s="80"/>
      <c r="C2434" s="58"/>
      <c r="D2434" s="62" t="str">
        <f aca="false">IF(C2434="","",IFERROR(INDEX(T_NOMBRE,MATCH(V2434,T_RUTN,0)),"⚠ RUT no está en Trabajadores"))</f>
        <v/>
      </c>
      <c r="E2434" s="61"/>
      <c r="F2434" s="61"/>
      <c r="G2434" s="61"/>
      <c r="H2434" s="61"/>
      <c r="I2434" s="81"/>
      <c r="J2434" s="81"/>
      <c r="K2434" s="60"/>
      <c r="L2434" s="60"/>
      <c r="M2434" s="60"/>
      <c r="N2434" s="60"/>
      <c r="O2434" s="60"/>
      <c r="P2434" s="60"/>
      <c r="Q2434" s="60"/>
      <c r="R2434" s="58"/>
      <c r="S2434" s="62" t="str">
        <f aca="false">IF(OR(B2434="",V2434=""),"",IFERROR(INDEX(C_TIPO,MATCH(V2434&amp;"-P"&amp;MAX(1,COUNTIFS(C_RUTN,V2434,C_DEF,"Sí",C_INI,"&lt;="&amp;EOMONTH(B2434,0))),C_CLAVE,0))&amp;"","Sin contrato"))</f>
        <v/>
      </c>
      <c r="T2434" s="63" t="str">
        <f aca="false">IF(OR(B2434="",N(O2434)=0),"",N(O2434)+ROUND(MIN(N(N2434),TOPE_UF*UF_MES)*(TASA_EMP+MUTUAL),0)+ROUND(MIN(N(N2434),TOPE_AFC_UF*UF_MES)*IF(S2434="Indefinido",AFC_INDEF,AFC_PF),0))</f>
        <v/>
      </c>
      <c r="U2434" s="62" t="str">
        <f aca="false">IF(C2434="","",IF(LEFT(D2434,1)="⚠","⚠ RUT no registrado en Trabajadores",IF(B2434="","⚠ Falta el mes",IF(OR(ISTEXT(I2434),ISTEXT(J2434)),"⚠ Atrasos u horas extra como texto: escriba hh:mm (ej. 1:30)",IF(AND(ISNUMBER(Q2434),COUNTIFS(M_RUTN,V2434,M_MES,B2434,M_LIQ,"&lt;&gt;")&gt;1),"⚠ Liquidación repetida en el mes",IF(AND(ISNUMBER(O2434),ISNUMBER(P2434),ISNUMBER(Q2434),ABS(O2434-P2434-Q2434)&gt;1),"⚠ Haberes − descuentos no da el líquido","OK"))))))</f>
        <v/>
      </c>
      <c r="V2434" s="62" t="str">
        <f aca="false">IF(C2434="","",IFERROR(VALUE(LEFT(UPPER(SUBSTITUTE(SUBSTITUTE(SUBSTITUTE(TRIM(C2434),".",""),"-","")," ","")),LEN(UPPER(SUBSTITUTE(SUBSTITUTE(SUBSTITUTE(TRIM(C2434),".",""),"-","")," ","")))-1))&amp;RIGHT(UPPER(SUBSTITUTE(SUBSTITUTE(SUBSTITUTE(TRIM(C2434),".",""),"-","")," ","")),1),UPPER(SUBSTITUTE(SUBSTITUTE(SUBSTITUTE(TRIM(C2434),".",""),"-","")," ",""))))</f>
        <v/>
      </c>
    </row>
    <row r="2435" customFormat="false" ht="15" hidden="false" customHeight="false" outlineLevel="0" collapsed="false">
      <c r="B2435" s="80"/>
      <c r="C2435" s="58"/>
      <c r="D2435" s="62" t="str">
        <f aca="false">IF(C2435="","",IFERROR(INDEX(T_NOMBRE,MATCH(V2435,T_RUTN,0)),"⚠ RUT no está en Trabajadores"))</f>
        <v/>
      </c>
      <c r="E2435" s="61"/>
      <c r="F2435" s="61"/>
      <c r="G2435" s="61"/>
      <c r="H2435" s="61"/>
      <c r="I2435" s="81"/>
      <c r="J2435" s="81"/>
      <c r="K2435" s="60"/>
      <c r="L2435" s="60"/>
      <c r="M2435" s="60"/>
      <c r="N2435" s="60"/>
      <c r="O2435" s="60"/>
      <c r="P2435" s="60"/>
      <c r="Q2435" s="60"/>
      <c r="R2435" s="58"/>
      <c r="S2435" s="62" t="str">
        <f aca="false">IF(OR(B2435="",V2435=""),"",IFERROR(INDEX(C_TIPO,MATCH(V2435&amp;"-P"&amp;MAX(1,COUNTIFS(C_RUTN,V2435,C_DEF,"Sí",C_INI,"&lt;="&amp;EOMONTH(B2435,0))),C_CLAVE,0))&amp;"","Sin contrato"))</f>
        <v/>
      </c>
      <c r="T2435" s="63" t="str">
        <f aca="false">IF(OR(B2435="",N(O2435)=0),"",N(O2435)+ROUND(MIN(N(N2435),TOPE_UF*UF_MES)*(TASA_EMP+MUTUAL),0)+ROUND(MIN(N(N2435),TOPE_AFC_UF*UF_MES)*IF(S2435="Indefinido",AFC_INDEF,AFC_PF),0))</f>
        <v/>
      </c>
      <c r="U2435" s="62" t="str">
        <f aca="false">IF(C2435="","",IF(LEFT(D2435,1)="⚠","⚠ RUT no registrado en Trabajadores",IF(B2435="","⚠ Falta el mes",IF(OR(ISTEXT(I2435),ISTEXT(J2435)),"⚠ Atrasos u horas extra como texto: escriba hh:mm (ej. 1:30)",IF(AND(ISNUMBER(Q2435),COUNTIFS(M_RUTN,V2435,M_MES,B2435,M_LIQ,"&lt;&gt;")&gt;1),"⚠ Liquidación repetida en el mes",IF(AND(ISNUMBER(O2435),ISNUMBER(P2435),ISNUMBER(Q2435),ABS(O2435-P2435-Q2435)&gt;1),"⚠ Haberes − descuentos no da el líquido","OK"))))))</f>
        <v/>
      </c>
      <c r="V2435" s="62" t="str">
        <f aca="false">IF(C2435="","",IFERROR(VALUE(LEFT(UPPER(SUBSTITUTE(SUBSTITUTE(SUBSTITUTE(TRIM(C2435),".",""),"-","")," ","")),LEN(UPPER(SUBSTITUTE(SUBSTITUTE(SUBSTITUTE(TRIM(C2435),".",""),"-","")," ","")))-1))&amp;RIGHT(UPPER(SUBSTITUTE(SUBSTITUTE(SUBSTITUTE(TRIM(C2435),".",""),"-","")," ","")),1),UPPER(SUBSTITUTE(SUBSTITUTE(SUBSTITUTE(TRIM(C2435),".",""),"-","")," ",""))))</f>
        <v/>
      </c>
    </row>
    <row r="2436" customFormat="false" ht="15" hidden="false" customHeight="false" outlineLevel="0" collapsed="false">
      <c r="B2436" s="80"/>
      <c r="C2436" s="58"/>
      <c r="D2436" s="62" t="str">
        <f aca="false">IF(C2436="","",IFERROR(INDEX(T_NOMBRE,MATCH(V2436,T_RUTN,0)),"⚠ RUT no está en Trabajadores"))</f>
        <v/>
      </c>
      <c r="E2436" s="61"/>
      <c r="F2436" s="61"/>
      <c r="G2436" s="61"/>
      <c r="H2436" s="61"/>
      <c r="I2436" s="81"/>
      <c r="J2436" s="81"/>
      <c r="K2436" s="60"/>
      <c r="L2436" s="60"/>
      <c r="M2436" s="60"/>
      <c r="N2436" s="60"/>
      <c r="O2436" s="60"/>
      <c r="P2436" s="60"/>
      <c r="Q2436" s="60"/>
      <c r="R2436" s="58"/>
      <c r="S2436" s="62" t="str">
        <f aca="false">IF(OR(B2436="",V2436=""),"",IFERROR(INDEX(C_TIPO,MATCH(V2436&amp;"-P"&amp;MAX(1,COUNTIFS(C_RUTN,V2436,C_DEF,"Sí",C_INI,"&lt;="&amp;EOMONTH(B2436,0))),C_CLAVE,0))&amp;"","Sin contrato"))</f>
        <v/>
      </c>
      <c r="T2436" s="63" t="str">
        <f aca="false">IF(OR(B2436="",N(O2436)=0),"",N(O2436)+ROUND(MIN(N(N2436),TOPE_UF*UF_MES)*(TASA_EMP+MUTUAL),0)+ROUND(MIN(N(N2436),TOPE_AFC_UF*UF_MES)*IF(S2436="Indefinido",AFC_INDEF,AFC_PF),0))</f>
        <v/>
      </c>
      <c r="U2436" s="62" t="str">
        <f aca="false">IF(C2436="","",IF(LEFT(D2436,1)="⚠","⚠ RUT no registrado en Trabajadores",IF(B2436="","⚠ Falta el mes",IF(OR(ISTEXT(I2436),ISTEXT(J2436)),"⚠ Atrasos u horas extra como texto: escriba hh:mm (ej. 1:30)",IF(AND(ISNUMBER(Q2436),COUNTIFS(M_RUTN,V2436,M_MES,B2436,M_LIQ,"&lt;&gt;")&gt;1),"⚠ Liquidación repetida en el mes",IF(AND(ISNUMBER(O2436),ISNUMBER(P2436),ISNUMBER(Q2436),ABS(O2436-P2436-Q2436)&gt;1),"⚠ Haberes − descuentos no da el líquido","OK"))))))</f>
        <v/>
      </c>
      <c r="V2436" s="62" t="str">
        <f aca="false">IF(C2436="","",IFERROR(VALUE(LEFT(UPPER(SUBSTITUTE(SUBSTITUTE(SUBSTITUTE(TRIM(C2436),".",""),"-","")," ","")),LEN(UPPER(SUBSTITUTE(SUBSTITUTE(SUBSTITUTE(TRIM(C2436),".",""),"-","")," ","")))-1))&amp;RIGHT(UPPER(SUBSTITUTE(SUBSTITUTE(SUBSTITUTE(TRIM(C2436),".",""),"-","")," ","")),1),UPPER(SUBSTITUTE(SUBSTITUTE(SUBSTITUTE(TRIM(C2436),".",""),"-","")," ",""))))</f>
        <v/>
      </c>
    </row>
    <row r="2437" customFormat="false" ht="15" hidden="false" customHeight="false" outlineLevel="0" collapsed="false">
      <c r="B2437" s="80"/>
      <c r="C2437" s="58"/>
      <c r="D2437" s="62" t="str">
        <f aca="false">IF(C2437="","",IFERROR(INDEX(T_NOMBRE,MATCH(V2437,T_RUTN,0)),"⚠ RUT no está en Trabajadores"))</f>
        <v/>
      </c>
      <c r="E2437" s="61"/>
      <c r="F2437" s="61"/>
      <c r="G2437" s="61"/>
      <c r="H2437" s="61"/>
      <c r="I2437" s="81"/>
      <c r="J2437" s="81"/>
      <c r="K2437" s="60"/>
      <c r="L2437" s="60"/>
      <c r="M2437" s="60"/>
      <c r="N2437" s="60"/>
      <c r="O2437" s="60"/>
      <c r="P2437" s="60"/>
      <c r="Q2437" s="60"/>
      <c r="R2437" s="58"/>
      <c r="S2437" s="62" t="str">
        <f aca="false">IF(OR(B2437="",V2437=""),"",IFERROR(INDEX(C_TIPO,MATCH(V2437&amp;"-P"&amp;MAX(1,COUNTIFS(C_RUTN,V2437,C_DEF,"Sí",C_INI,"&lt;="&amp;EOMONTH(B2437,0))),C_CLAVE,0))&amp;"","Sin contrato"))</f>
        <v/>
      </c>
      <c r="T2437" s="63" t="str">
        <f aca="false">IF(OR(B2437="",N(O2437)=0),"",N(O2437)+ROUND(MIN(N(N2437),TOPE_UF*UF_MES)*(TASA_EMP+MUTUAL),0)+ROUND(MIN(N(N2437),TOPE_AFC_UF*UF_MES)*IF(S2437="Indefinido",AFC_INDEF,AFC_PF),0))</f>
        <v/>
      </c>
      <c r="U2437" s="62" t="str">
        <f aca="false">IF(C2437="","",IF(LEFT(D2437,1)="⚠","⚠ RUT no registrado en Trabajadores",IF(B2437="","⚠ Falta el mes",IF(OR(ISTEXT(I2437),ISTEXT(J2437)),"⚠ Atrasos u horas extra como texto: escriba hh:mm (ej. 1:30)",IF(AND(ISNUMBER(Q2437),COUNTIFS(M_RUTN,V2437,M_MES,B2437,M_LIQ,"&lt;&gt;")&gt;1),"⚠ Liquidación repetida en el mes",IF(AND(ISNUMBER(O2437),ISNUMBER(P2437),ISNUMBER(Q2437),ABS(O2437-P2437-Q2437)&gt;1),"⚠ Haberes − descuentos no da el líquido","OK"))))))</f>
        <v/>
      </c>
      <c r="V2437" s="62" t="str">
        <f aca="false">IF(C2437="","",IFERROR(VALUE(LEFT(UPPER(SUBSTITUTE(SUBSTITUTE(SUBSTITUTE(TRIM(C2437),".",""),"-","")," ","")),LEN(UPPER(SUBSTITUTE(SUBSTITUTE(SUBSTITUTE(TRIM(C2437),".",""),"-","")," ","")))-1))&amp;RIGHT(UPPER(SUBSTITUTE(SUBSTITUTE(SUBSTITUTE(TRIM(C2437),".",""),"-","")," ","")),1),UPPER(SUBSTITUTE(SUBSTITUTE(SUBSTITUTE(TRIM(C2437),".",""),"-","")," ",""))))</f>
        <v/>
      </c>
    </row>
    <row r="2438" customFormat="false" ht="15" hidden="false" customHeight="false" outlineLevel="0" collapsed="false">
      <c r="B2438" s="80"/>
      <c r="C2438" s="58"/>
      <c r="D2438" s="62" t="str">
        <f aca="false">IF(C2438="","",IFERROR(INDEX(T_NOMBRE,MATCH(V2438,T_RUTN,0)),"⚠ RUT no está en Trabajadores"))</f>
        <v/>
      </c>
      <c r="E2438" s="61"/>
      <c r="F2438" s="61"/>
      <c r="G2438" s="61"/>
      <c r="H2438" s="61"/>
      <c r="I2438" s="81"/>
      <c r="J2438" s="81"/>
      <c r="K2438" s="60"/>
      <c r="L2438" s="60"/>
      <c r="M2438" s="60"/>
      <c r="N2438" s="60"/>
      <c r="O2438" s="60"/>
      <c r="P2438" s="60"/>
      <c r="Q2438" s="60"/>
      <c r="R2438" s="58"/>
      <c r="S2438" s="62" t="str">
        <f aca="false">IF(OR(B2438="",V2438=""),"",IFERROR(INDEX(C_TIPO,MATCH(V2438&amp;"-P"&amp;MAX(1,COUNTIFS(C_RUTN,V2438,C_DEF,"Sí",C_INI,"&lt;="&amp;EOMONTH(B2438,0))),C_CLAVE,0))&amp;"","Sin contrato"))</f>
        <v/>
      </c>
      <c r="T2438" s="63" t="str">
        <f aca="false">IF(OR(B2438="",N(O2438)=0),"",N(O2438)+ROUND(MIN(N(N2438),TOPE_UF*UF_MES)*(TASA_EMP+MUTUAL),0)+ROUND(MIN(N(N2438),TOPE_AFC_UF*UF_MES)*IF(S2438="Indefinido",AFC_INDEF,AFC_PF),0))</f>
        <v/>
      </c>
      <c r="U2438" s="62" t="str">
        <f aca="false">IF(C2438="","",IF(LEFT(D2438,1)="⚠","⚠ RUT no registrado en Trabajadores",IF(B2438="","⚠ Falta el mes",IF(OR(ISTEXT(I2438),ISTEXT(J2438)),"⚠ Atrasos u horas extra como texto: escriba hh:mm (ej. 1:30)",IF(AND(ISNUMBER(Q2438),COUNTIFS(M_RUTN,V2438,M_MES,B2438,M_LIQ,"&lt;&gt;")&gt;1),"⚠ Liquidación repetida en el mes",IF(AND(ISNUMBER(O2438),ISNUMBER(P2438),ISNUMBER(Q2438),ABS(O2438-P2438-Q2438)&gt;1),"⚠ Haberes − descuentos no da el líquido","OK"))))))</f>
        <v/>
      </c>
      <c r="V2438" s="62" t="str">
        <f aca="false">IF(C2438="","",IFERROR(VALUE(LEFT(UPPER(SUBSTITUTE(SUBSTITUTE(SUBSTITUTE(TRIM(C2438),".",""),"-","")," ","")),LEN(UPPER(SUBSTITUTE(SUBSTITUTE(SUBSTITUTE(TRIM(C2438),".",""),"-","")," ","")))-1))&amp;RIGHT(UPPER(SUBSTITUTE(SUBSTITUTE(SUBSTITUTE(TRIM(C2438),".",""),"-","")," ","")),1),UPPER(SUBSTITUTE(SUBSTITUTE(SUBSTITUTE(TRIM(C2438),".",""),"-","")," ",""))))</f>
        <v/>
      </c>
    </row>
    <row r="2439" customFormat="false" ht="15" hidden="false" customHeight="false" outlineLevel="0" collapsed="false">
      <c r="B2439" s="80"/>
      <c r="C2439" s="58"/>
      <c r="D2439" s="62" t="str">
        <f aca="false">IF(C2439="","",IFERROR(INDEX(T_NOMBRE,MATCH(V2439,T_RUTN,0)),"⚠ RUT no está en Trabajadores"))</f>
        <v/>
      </c>
      <c r="E2439" s="61"/>
      <c r="F2439" s="61"/>
      <c r="G2439" s="61"/>
      <c r="H2439" s="61"/>
      <c r="I2439" s="81"/>
      <c r="J2439" s="81"/>
      <c r="K2439" s="60"/>
      <c r="L2439" s="60"/>
      <c r="M2439" s="60"/>
      <c r="N2439" s="60"/>
      <c r="O2439" s="60"/>
      <c r="P2439" s="60"/>
      <c r="Q2439" s="60"/>
      <c r="R2439" s="58"/>
      <c r="S2439" s="62" t="str">
        <f aca="false">IF(OR(B2439="",V2439=""),"",IFERROR(INDEX(C_TIPO,MATCH(V2439&amp;"-P"&amp;MAX(1,COUNTIFS(C_RUTN,V2439,C_DEF,"Sí",C_INI,"&lt;="&amp;EOMONTH(B2439,0))),C_CLAVE,0))&amp;"","Sin contrato"))</f>
        <v/>
      </c>
      <c r="T2439" s="63" t="str">
        <f aca="false">IF(OR(B2439="",N(O2439)=0),"",N(O2439)+ROUND(MIN(N(N2439),TOPE_UF*UF_MES)*(TASA_EMP+MUTUAL),0)+ROUND(MIN(N(N2439),TOPE_AFC_UF*UF_MES)*IF(S2439="Indefinido",AFC_INDEF,AFC_PF),0))</f>
        <v/>
      </c>
      <c r="U2439" s="62" t="str">
        <f aca="false">IF(C2439="","",IF(LEFT(D2439,1)="⚠","⚠ RUT no registrado en Trabajadores",IF(B2439="","⚠ Falta el mes",IF(OR(ISTEXT(I2439),ISTEXT(J2439)),"⚠ Atrasos u horas extra como texto: escriba hh:mm (ej. 1:30)",IF(AND(ISNUMBER(Q2439),COUNTIFS(M_RUTN,V2439,M_MES,B2439,M_LIQ,"&lt;&gt;")&gt;1),"⚠ Liquidación repetida en el mes",IF(AND(ISNUMBER(O2439),ISNUMBER(P2439),ISNUMBER(Q2439),ABS(O2439-P2439-Q2439)&gt;1),"⚠ Haberes − descuentos no da el líquido","OK"))))))</f>
        <v/>
      </c>
      <c r="V2439" s="62" t="str">
        <f aca="false">IF(C2439="","",IFERROR(VALUE(LEFT(UPPER(SUBSTITUTE(SUBSTITUTE(SUBSTITUTE(TRIM(C2439),".",""),"-","")," ","")),LEN(UPPER(SUBSTITUTE(SUBSTITUTE(SUBSTITUTE(TRIM(C2439),".",""),"-","")," ","")))-1))&amp;RIGHT(UPPER(SUBSTITUTE(SUBSTITUTE(SUBSTITUTE(TRIM(C2439),".",""),"-","")," ","")),1),UPPER(SUBSTITUTE(SUBSTITUTE(SUBSTITUTE(TRIM(C2439),".",""),"-","")," ",""))))</f>
        <v/>
      </c>
    </row>
    <row r="2440" customFormat="false" ht="15" hidden="false" customHeight="false" outlineLevel="0" collapsed="false">
      <c r="B2440" s="80"/>
      <c r="C2440" s="58"/>
      <c r="D2440" s="62" t="str">
        <f aca="false">IF(C2440="","",IFERROR(INDEX(T_NOMBRE,MATCH(V2440,T_RUTN,0)),"⚠ RUT no está en Trabajadores"))</f>
        <v/>
      </c>
      <c r="E2440" s="61"/>
      <c r="F2440" s="61"/>
      <c r="G2440" s="61"/>
      <c r="H2440" s="61"/>
      <c r="I2440" s="81"/>
      <c r="J2440" s="81"/>
      <c r="K2440" s="60"/>
      <c r="L2440" s="60"/>
      <c r="M2440" s="60"/>
      <c r="N2440" s="60"/>
      <c r="O2440" s="60"/>
      <c r="P2440" s="60"/>
      <c r="Q2440" s="60"/>
      <c r="R2440" s="58"/>
      <c r="S2440" s="62" t="str">
        <f aca="false">IF(OR(B2440="",V2440=""),"",IFERROR(INDEX(C_TIPO,MATCH(V2440&amp;"-P"&amp;MAX(1,COUNTIFS(C_RUTN,V2440,C_DEF,"Sí",C_INI,"&lt;="&amp;EOMONTH(B2440,0))),C_CLAVE,0))&amp;"","Sin contrato"))</f>
        <v/>
      </c>
      <c r="T2440" s="63" t="str">
        <f aca="false">IF(OR(B2440="",N(O2440)=0),"",N(O2440)+ROUND(MIN(N(N2440),TOPE_UF*UF_MES)*(TASA_EMP+MUTUAL),0)+ROUND(MIN(N(N2440),TOPE_AFC_UF*UF_MES)*IF(S2440="Indefinido",AFC_INDEF,AFC_PF),0))</f>
        <v/>
      </c>
      <c r="U2440" s="62" t="str">
        <f aca="false">IF(C2440="","",IF(LEFT(D2440,1)="⚠","⚠ RUT no registrado en Trabajadores",IF(B2440="","⚠ Falta el mes",IF(OR(ISTEXT(I2440),ISTEXT(J2440)),"⚠ Atrasos u horas extra como texto: escriba hh:mm (ej. 1:30)",IF(AND(ISNUMBER(Q2440),COUNTIFS(M_RUTN,V2440,M_MES,B2440,M_LIQ,"&lt;&gt;")&gt;1),"⚠ Liquidación repetida en el mes",IF(AND(ISNUMBER(O2440),ISNUMBER(P2440),ISNUMBER(Q2440),ABS(O2440-P2440-Q2440)&gt;1),"⚠ Haberes − descuentos no da el líquido","OK"))))))</f>
        <v/>
      </c>
      <c r="V2440" s="62" t="str">
        <f aca="false">IF(C2440="","",IFERROR(VALUE(LEFT(UPPER(SUBSTITUTE(SUBSTITUTE(SUBSTITUTE(TRIM(C2440),".",""),"-","")," ","")),LEN(UPPER(SUBSTITUTE(SUBSTITUTE(SUBSTITUTE(TRIM(C2440),".",""),"-","")," ","")))-1))&amp;RIGHT(UPPER(SUBSTITUTE(SUBSTITUTE(SUBSTITUTE(TRIM(C2440),".",""),"-","")," ","")),1),UPPER(SUBSTITUTE(SUBSTITUTE(SUBSTITUTE(TRIM(C2440),".",""),"-","")," ",""))))</f>
        <v/>
      </c>
    </row>
    <row r="2441" customFormat="false" ht="15" hidden="false" customHeight="false" outlineLevel="0" collapsed="false">
      <c r="B2441" s="80"/>
      <c r="C2441" s="58"/>
      <c r="D2441" s="62" t="str">
        <f aca="false">IF(C2441="","",IFERROR(INDEX(T_NOMBRE,MATCH(V2441,T_RUTN,0)),"⚠ RUT no está en Trabajadores"))</f>
        <v/>
      </c>
      <c r="E2441" s="61"/>
      <c r="F2441" s="61"/>
      <c r="G2441" s="61"/>
      <c r="H2441" s="61"/>
      <c r="I2441" s="81"/>
      <c r="J2441" s="81"/>
      <c r="K2441" s="60"/>
      <c r="L2441" s="60"/>
      <c r="M2441" s="60"/>
      <c r="N2441" s="60"/>
      <c r="O2441" s="60"/>
      <c r="P2441" s="60"/>
      <c r="Q2441" s="60"/>
      <c r="R2441" s="58"/>
      <c r="S2441" s="62" t="str">
        <f aca="false">IF(OR(B2441="",V2441=""),"",IFERROR(INDEX(C_TIPO,MATCH(V2441&amp;"-P"&amp;MAX(1,COUNTIFS(C_RUTN,V2441,C_DEF,"Sí",C_INI,"&lt;="&amp;EOMONTH(B2441,0))),C_CLAVE,0))&amp;"","Sin contrato"))</f>
        <v/>
      </c>
      <c r="T2441" s="63" t="str">
        <f aca="false">IF(OR(B2441="",N(O2441)=0),"",N(O2441)+ROUND(MIN(N(N2441),TOPE_UF*UF_MES)*(TASA_EMP+MUTUAL),0)+ROUND(MIN(N(N2441),TOPE_AFC_UF*UF_MES)*IF(S2441="Indefinido",AFC_INDEF,AFC_PF),0))</f>
        <v/>
      </c>
      <c r="U2441" s="62" t="str">
        <f aca="false">IF(C2441="","",IF(LEFT(D2441,1)="⚠","⚠ RUT no registrado en Trabajadores",IF(B2441="","⚠ Falta el mes",IF(OR(ISTEXT(I2441),ISTEXT(J2441)),"⚠ Atrasos u horas extra como texto: escriba hh:mm (ej. 1:30)",IF(AND(ISNUMBER(Q2441),COUNTIFS(M_RUTN,V2441,M_MES,B2441,M_LIQ,"&lt;&gt;")&gt;1),"⚠ Liquidación repetida en el mes",IF(AND(ISNUMBER(O2441),ISNUMBER(P2441),ISNUMBER(Q2441),ABS(O2441-P2441-Q2441)&gt;1),"⚠ Haberes − descuentos no da el líquido","OK"))))))</f>
        <v/>
      </c>
      <c r="V2441" s="62" t="str">
        <f aca="false">IF(C2441="","",IFERROR(VALUE(LEFT(UPPER(SUBSTITUTE(SUBSTITUTE(SUBSTITUTE(TRIM(C2441),".",""),"-","")," ","")),LEN(UPPER(SUBSTITUTE(SUBSTITUTE(SUBSTITUTE(TRIM(C2441),".",""),"-","")," ","")))-1))&amp;RIGHT(UPPER(SUBSTITUTE(SUBSTITUTE(SUBSTITUTE(TRIM(C2441),".",""),"-","")," ","")),1),UPPER(SUBSTITUTE(SUBSTITUTE(SUBSTITUTE(TRIM(C2441),".",""),"-","")," ",""))))</f>
        <v/>
      </c>
    </row>
    <row r="2442" customFormat="false" ht="15" hidden="false" customHeight="false" outlineLevel="0" collapsed="false">
      <c r="B2442" s="80"/>
      <c r="C2442" s="58"/>
      <c r="D2442" s="62" t="str">
        <f aca="false">IF(C2442="","",IFERROR(INDEX(T_NOMBRE,MATCH(V2442,T_RUTN,0)),"⚠ RUT no está en Trabajadores"))</f>
        <v/>
      </c>
      <c r="E2442" s="61"/>
      <c r="F2442" s="61"/>
      <c r="G2442" s="61"/>
      <c r="H2442" s="61"/>
      <c r="I2442" s="81"/>
      <c r="J2442" s="81"/>
      <c r="K2442" s="60"/>
      <c r="L2442" s="60"/>
      <c r="M2442" s="60"/>
      <c r="N2442" s="60"/>
      <c r="O2442" s="60"/>
      <c r="P2442" s="60"/>
      <c r="Q2442" s="60"/>
      <c r="R2442" s="58"/>
      <c r="S2442" s="62" t="str">
        <f aca="false">IF(OR(B2442="",V2442=""),"",IFERROR(INDEX(C_TIPO,MATCH(V2442&amp;"-P"&amp;MAX(1,COUNTIFS(C_RUTN,V2442,C_DEF,"Sí",C_INI,"&lt;="&amp;EOMONTH(B2442,0))),C_CLAVE,0))&amp;"","Sin contrato"))</f>
        <v/>
      </c>
      <c r="T2442" s="63" t="str">
        <f aca="false">IF(OR(B2442="",N(O2442)=0),"",N(O2442)+ROUND(MIN(N(N2442),TOPE_UF*UF_MES)*(TASA_EMP+MUTUAL),0)+ROUND(MIN(N(N2442),TOPE_AFC_UF*UF_MES)*IF(S2442="Indefinido",AFC_INDEF,AFC_PF),0))</f>
        <v/>
      </c>
      <c r="U2442" s="62" t="str">
        <f aca="false">IF(C2442="","",IF(LEFT(D2442,1)="⚠","⚠ RUT no registrado en Trabajadores",IF(B2442="","⚠ Falta el mes",IF(OR(ISTEXT(I2442),ISTEXT(J2442)),"⚠ Atrasos u horas extra como texto: escriba hh:mm (ej. 1:30)",IF(AND(ISNUMBER(Q2442),COUNTIFS(M_RUTN,V2442,M_MES,B2442,M_LIQ,"&lt;&gt;")&gt;1),"⚠ Liquidación repetida en el mes",IF(AND(ISNUMBER(O2442),ISNUMBER(P2442),ISNUMBER(Q2442),ABS(O2442-P2442-Q2442)&gt;1),"⚠ Haberes − descuentos no da el líquido","OK"))))))</f>
        <v/>
      </c>
      <c r="V2442" s="62" t="str">
        <f aca="false">IF(C2442="","",IFERROR(VALUE(LEFT(UPPER(SUBSTITUTE(SUBSTITUTE(SUBSTITUTE(TRIM(C2442),".",""),"-","")," ","")),LEN(UPPER(SUBSTITUTE(SUBSTITUTE(SUBSTITUTE(TRIM(C2442),".",""),"-","")," ","")))-1))&amp;RIGHT(UPPER(SUBSTITUTE(SUBSTITUTE(SUBSTITUTE(TRIM(C2442),".",""),"-","")," ","")),1),UPPER(SUBSTITUTE(SUBSTITUTE(SUBSTITUTE(TRIM(C2442),".",""),"-","")," ",""))))</f>
        <v/>
      </c>
    </row>
    <row r="2443" customFormat="false" ht="15" hidden="false" customHeight="false" outlineLevel="0" collapsed="false">
      <c r="B2443" s="80"/>
      <c r="C2443" s="58"/>
      <c r="D2443" s="62" t="str">
        <f aca="false">IF(C2443="","",IFERROR(INDEX(T_NOMBRE,MATCH(V2443,T_RUTN,0)),"⚠ RUT no está en Trabajadores"))</f>
        <v/>
      </c>
      <c r="E2443" s="61"/>
      <c r="F2443" s="61"/>
      <c r="G2443" s="61"/>
      <c r="H2443" s="61"/>
      <c r="I2443" s="81"/>
      <c r="J2443" s="81"/>
      <c r="K2443" s="60"/>
      <c r="L2443" s="60"/>
      <c r="M2443" s="60"/>
      <c r="N2443" s="60"/>
      <c r="O2443" s="60"/>
      <c r="P2443" s="60"/>
      <c r="Q2443" s="60"/>
      <c r="R2443" s="58"/>
      <c r="S2443" s="62" t="str">
        <f aca="false">IF(OR(B2443="",V2443=""),"",IFERROR(INDEX(C_TIPO,MATCH(V2443&amp;"-P"&amp;MAX(1,COUNTIFS(C_RUTN,V2443,C_DEF,"Sí",C_INI,"&lt;="&amp;EOMONTH(B2443,0))),C_CLAVE,0))&amp;"","Sin contrato"))</f>
        <v/>
      </c>
      <c r="T2443" s="63" t="str">
        <f aca="false">IF(OR(B2443="",N(O2443)=0),"",N(O2443)+ROUND(MIN(N(N2443),TOPE_UF*UF_MES)*(TASA_EMP+MUTUAL),0)+ROUND(MIN(N(N2443),TOPE_AFC_UF*UF_MES)*IF(S2443="Indefinido",AFC_INDEF,AFC_PF),0))</f>
        <v/>
      </c>
      <c r="U2443" s="62" t="str">
        <f aca="false">IF(C2443="","",IF(LEFT(D2443,1)="⚠","⚠ RUT no registrado en Trabajadores",IF(B2443="","⚠ Falta el mes",IF(OR(ISTEXT(I2443),ISTEXT(J2443)),"⚠ Atrasos u horas extra como texto: escriba hh:mm (ej. 1:30)",IF(AND(ISNUMBER(Q2443),COUNTIFS(M_RUTN,V2443,M_MES,B2443,M_LIQ,"&lt;&gt;")&gt;1),"⚠ Liquidación repetida en el mes",IF(AND(ISNUMBER(O2443),ISNUMBER(P2443),ISNUMBER(Q2443),ABS(O2443-P2443-Q2443)&gt;1),"⚠ Haberes − descuentos no da el líquido","OK"))))))</f>
        <v/>
      </c>
      <c r="V2443" s="62" t="str">
        <f aca="false">IF(C2443="","",IFERROR(VALUE(LEFT(UPPER(SUBSTITUTE(SUBSTITUTE(SUBSTITUTE(TRIM(C2443),".",""),"-","")," ","")),LEN(UPPER(SUBSTITUTE(SUBSTITUTE(SUBSTITUTE(TRIM(C2443),".",""),"-","")," ","")))-1))&amp;RIGHT(UPPER(SUBSTITUTE(SUBSTITUTE(SUBSTITUTE(TRIM(C2443),".",""),"-","")," ","")),1),UPPER(SUBSTITUTE(SUBSTITUTE(SUBSTITUTE(TRIM(C2443),".",""),"-","")," ",""))))</f>
        <v/>
      </c>
    </row>
    <row r="2444" customFormat="false" ht="15" hidden="false" customHeight="false" outlineLevel="0" collapsed="false">
      <c r="B2444" s="80"/>
      <c r="C2444" s="58"/>
      <c r="D2444" s="62" t="str">
        <f aca="false">IF(C2444="","",IFERROR(INDEX(T_NOMBRE,MATCH(V2444,T_RUTN,0)),"⚠ RUT no está en Trabajadores"))</f>
        <v/>
      </c>
      <c r="E2444" s="61"/>
      <c r="F2444" s="61"/>
      <c r="G2444" s="61"/>
      <c r="H2444" s="61"/>
      <c r="I2444" s="81"/>
      <c r="J2444" s="81"/>
      <c r="K2444" s="60"/>
      <c r="L2444" s="60"/>
      <c r="M2444" s="60"/>
      <c r="N2444" s="60"/>
      <c r="O2444" s="60"/>
      <c r="P2444" s="60"/>
      <c r="Q2444" s="60"/>
      <c r="R2444" s="58"/>
      <c r="S2444" s="62" t="str">
        <f aca="false">IF(OR(B2444="",V2444=""),"",IFERROR(INDEX(C_TIPO,MATCH(V2444&amp;"-P"&amp;MAX(1,COUNTIFS(C_RUTN,V2444,C_DEF,"Sí",C_INI,"&lt;="&amp;EOMONTH(B2444,0))),C_CLAVE,0))&amp;"","Sin contrato"))</f>
        <v/>
      </c>
      <c r="T2444" s="63" t="str">
        <f aca="false">IF(OR(B2444="",N(O2444)=0),"",N(O2444)+ROUND(MIN(N(N2444),TOPE_UF*UF_MES)*(TASA_EMP+MUTUAL),0)+ROUND(MIN(N(N2444),TOPE_AFC_UF*UF_MES)*IF(S2444="Indefinido",AFC_INDEF,AFC_PF),0))</f>
        <v/>
      </c>
      <c r="U2444" s="62" t="str">
        <f aca="false">IF(C2444="","",IF(LEFT(D2444,1)="⚠","⚠ RUT no registrado en Trabajadores",IF(B2444="","⚠ Falta el mes",IF(OR(ISTEXT(I2444),ISTEXT(J2444)),"⚠ Atrasos u horas extra como texto: escriba hh:mm (ej. 1:30)",IF(AND(ISNUMBER(Q2444),COUNTIFS(M_RUTN,V2444,M_MES,B2444,M_LIQ,"&lt;&gt;")&gt;1),"⚠ Liquidación repetida en el mes",IF(AND(ISNUMBER(O2444),ISNUMBER(P2444),ISNUMBER(Q2444),ABS(O2444-P2444-Q2444)&gt;1),"⚠ Haberes − descuentos no da el líquido","OK"))))))</f>
        <v/>
      </c>
      <c r="V2444" s="62" t="str">
        <f aca="false">IF(C2444="","",IFERROR(VALUE(LEFT(UPPER(SUBSTITUTE(SUBSTITUTE(SUBSTITUTE(TRIM(C2444),".",""),"-","")," ","")),LEN(UPPER(SUBSTITUTE(SUBSTITUTE(SUBSTITUTE(TRIM(C2444),".",""),"-","")," ","")))-1))&amp;RIGHT(UPPER(SUBSTITUTE(SUBSTITUTE(SUBSTITUTE(TRIM(C2444),".",""),"-","")," ","")),1),UPPER(SUBSTITUTE(SUBSTITUTE(SUBSTITUTE(TRIM(C2444),".",""),"-","")," ",""))))</f>
        <v/>
      </c>
    </row>
    <row r="2445" customFormat="false" ht="15" hidden="false" customHeight="false" outlineLevel="0" collapsed="false">
      <c r="B2445" s="80"/>
      <c r="C2445" s="58"/>
      <c r="D2445" s="62" t="str">
        <f aca="false">IF(C2445="","",IFERROR(INDEX(T_NOMBRE,MATCH(V2445,T_RUTN,0)),"⚠ RUT no está en Trabajadores"))</f>
        <v/>
      </c>
      <c r="E2445" s="61"/>
      <c r="F2445" s="61"/>
      <c r="G2445" s="61"/>
      <c r="H2445" s="61"/>
      <c r="I2445" s="81"/>
      <c r="J2445" s="81"/>
      <c r="K2445" s="60"/>
      <c r="L2445" s="60"/>
      <c r="M2445" s="60"/>
      <c r="N2445" s="60"/>
      <c r="O2445" s="60"/>
      <c r="P2445" s="60"/>
      <c r="Q2445" s="60"/>
      <c r="R2445" s="58"/>
      <c r="S2445" s="62" t="str">
        <f aca="false">IF(OR(B2445="",V2445=""),"",IFERROR(INDEX(C_TIPO,MATCH(V2445&amp;"-P"&amp;MAX(1,COUNTIFS(C_RUTN,V2445,C_DEF,"Sí",C_INI,"&lt;="&amp;EOMONTH(B2445,0))),C_CLAVE,0))&amp;"","Sin contrato"))</f>
        <v/>
      </c>
      <c r="T2445" s="63" t="str">
        <f aca="false">IF(OR(B2445="",N(O2445)=0),"",N(O2445)+ROUND(MIN(N(N2445),TOPE_UF*UF_MES)*(TASA_EMP+MUTUAL),0)+ROUND(MIN(N(N2445),TOPE_AFC_UF*UF_MES)*IF(S2445="Indefinido",AFC_INDEF,AFC_PF),0))</f>
        <v/>
      </c>
      <c r="U2445" s="62" t="str">
        <f aca="false">IF(C2445="","",IF(LEFT(D2445,1)="⚠","⚠ RUT no registrado en Trabajadores",IF(B2445="","⚠ Falta el mes",IF(OR(ISTEXT(I2445),ISTEXT(J2445)),"⚠ Atrasos u horas extra como texto: escriba hh:mm (ej. 1:30)",IF(AND(ISNUMBER(Q2445),COUNTIFS(M_RUTN,V2445,M_MES,B2445,M_LIQ,"&lt;&gt;")&gt;1),"⚠ Liquidación repetida en el mes",IF(AND(ISNUMBER(O2445),ISNUMBER(P2445),ISNUMBER(Q2445),ABS(O2445-P2445-Q2445)&gt;1),"⚠ Haberes − descuentos no da el líquido","OK"))))))</f>
        <v/>
      </c>
      <c r="V2445" s="62" t="str">
        <f aca="false">IF(C2445="","",IFERROR(VALUE(LEFT(UPPER(SUBSTITUTE(SUBSTITUTE(SUBSTITUTE(TRIM(C2445),".",""),"-","")," ","")),LEN(UPPER(SUBSTITUTE(SUBSTITUTE(SUBSTITUTE(TRIM(C2445),".",""),"-","")," ","")))-1))&amp;RIGHT(UPPER(SUBSTITUTE(SUBSTITUTE(SUBSTITUTE(TRIM(C2445),".",""),"-","")," ","")),1),UPPER(SUBSTITUTE(SUBSTITUTE(SUBSTITUTE(TRIM(C2445),".",""),"-","")," ",""))))</f>
        <v/>
      </c>
    </row>
    <row r="2446" customFormat="false" ht="15" hidden="false" customHeight="false" outlineLevel="0" collapsed="false">
      <c r="B2446" s="80"/>
      <c r="C2446" s="58"/>
      <c r="D2446" s="62" t="str">
        <f aca="false">IF(C2446="","",IFERROR(INDEX(T_NOMBRE,MATCH(V2446,T_RUTN,0)),"⚠ RUT no está en Trabajadores"))</f>
        <v/>
      </c>
      <c r="E2446" s="61"/>
      <c r="F2446" s="61"/>
      <c r="G2446" s="61"/>
      <c r="H2446" s="61"/>
      <c r="I2446" s="81"/>
      <c r="J2446" s="81"/>
      <c r="K2446" s="60"/>
      <c r="L2446" s="60"/>
      <c r="M2446" s="60"/>
      <c r="N2446" s="60"/>
      <c r="O2446" s="60"/>
      <c r="P2446" s="60"/>
      <c r="Q2446" s="60"/>
      <c r="R2446" s="58"/>
      <c r="S2446" s="62" t="str">
        <f aca="false">IF(OR(B2446="",V2446=""),"",IFERROR(INDEX(C_TIPO,MATCH(V2446&amp;"-P"&amp;MAX(1,COUNTIFS(C_RUTN,V2446,C_DEF,"Sí",C_INI,"&lt;="&amp;EOMONTH(B2446,0))),C_CLAVE,0))&amp;"","Sin contrato"))</f>
        <v/>
      </c>
      <c r="T2446" s="63" t="str">
        <f aca="false">IF(OR(B2446="",N(O2446)=0),"",N(O2446)+ROUND(MIN(N(N2446),TOPE_UF*UF_MES)*(TASA_EMP+MUTUAL),0)+ROUND(MIN(N(N2446),TOPE_AFC_UF*UF_MES)*IF(S2446="Indefinido",AFC_INDEF,AFC_PF),0))</f>
        <v/>
      </c>
      <c r="U2446" s="62" t="str">
        <f aca="false">IF(C2446="","",IF(LEFT(D2446,1)="⚠","⚠ RUT no registrado en Trabajadores",IF(B2446="","⚠ Falta el mes",IF(OR(ISTEXT(I2446),ISTEXT(J2446)),"⚠ Atrasos u horas extra como texto: escriba hh:mm (ej. 1:30)",IF(AND(ISNUMBER(Q2446),COUNTIFS(M_RUTN,V2446,M_MES,B2446,M_LIQ,"&lt;&gt;")&gt;1),"⚠ Liquidación repetida en el mes",IF(AND(ISNUMBER(O2446),ISNUMBER(P2446),ISNUMBER(Q2446),ABS(O2446-P2446-Q2446)&gt;1),"⚠ Haberes − descuentos no da el líquido","OK"))))))</f>
        <v/>
      </c>
      <c r="V2446" s="62" t="str">
        <f aca="false">IF(C2446="","",IFERROR(VALUE(LEFT(UPPER(SUBSTITUTE(SUBSTITUTE(SUBSTITUTE(TRIM(C2446),".",""),"-","")," ","")),LEN(UPPER(SUBSTITUTE(SUBSTITUTE(SUBSTITUTE(TRIM(C2446),".",""),"-","")," ","")))-1))&amp;RIGHT(UPPER(SUBSTITUTE(SUBSTITUTE(SUBSTITUTE(TRIM(C2446),".",""),"-","")," ","")),1),UPPER(SUBSTITUTE(SUBSTITUTE(SUBSTITUTE(TRIM(C2446),".",""),"-","")," ",""))))</f>
        <v/>
      </c>
    </row>
    <row r="2447" customFormat="false" ht="15" hidden="false" customHeight="false" outlineLevel="0" collapsed="false">
      <c r="B2447" s="80"/>
      <c r="C2447" s="58"/>
      <c r="D2447" s="62" t="str">
        <f aca="false">IF(C2447="","",IFERROR(INDEX(T_NOMBRE,MATCH(V2447,T_RUTN,0)),"⚠ RUT no está en Trabajadores"))</f>
        <v/>
      </c>
      <c r="E2447" s="61"/>
      <c r="F2447" s="61"/>
      <c r="G2447" s="61"/>
      <c r="H2447" s="61"/>
      <c r="I2447" s="81"/>
      <c r="J2447" s="81"/>
      <c r="K2447" s="60"/>
      <c r="L2447" s="60"/>
      <c r="M2447" s="60"/>
      <c r="N2447" s="60"/>
      <c r="O2447" s="60"/>
      <c r="P2447" s="60"/>
      <c r="Q2447" s="60"/>
      <c r="R2447" s="58"/>
      <c r="S2447" s="62" t="str">
        <f aca="false">IF(OR(B2447="",V2447=""),"",IFERROR(INDEX(C_TIPO,MATCH(V2447&amp;"-P"&amp;MAX(1,COUNTIFS(C_RUTN,V2447,C_DEF,"Sí",C_INI,"&lt;="&amp;EOMONTH(B2447,0))),C_CLAVE,0))&amp;"","Sin contrato"))</f>
        <v/>
      </c>
      <c r="T2447" s="63" t="str">
        <f aca="false">IF(OR(B2447="",N(O2447)=0),"",N(O2447)+ROUND(MIN(N(N2447),TOPE_UF*UF_MES)*(TASA_EMP+MUTUAL),0)+ROUND(MIN(N(N2447),TOPE_AFC_UF*UF_MES)*IF(S2447="Indefinido",AFC_INDEF,AFC_PF),0))</f>
        <v/>
      </c>
      <c r="U2447" s="62" t="str">
        <f aca="false">IF(C2447="","",IF(LEFT(D2447,1)="⚠","⚠ RUT no registrado en Trabajadores",IF(B2447="","⚠ Falta el mes",IF(OR(ISTEXT(I2447),ISTEXT(J2447)),"⚠ Atrasos u horas extra como texto: escriba hh:mm (ej. 1:30)",IF(AND(ISNUMBER(Q2447),COUNTIFS(M_RUTN,V2447,M_MES,B2447,M_LIQ,"&lt;&gt;")&gt;1),"⚠ Liquidación repetida en el mes",IF(AND(ISNUMBER(O2447),ISNUMBER(P2447),ISNUMBER(Q2447),ABS(O2447-P2447-Q2447)&gt;1),"⚠ Haberes − descuentos no da el líquido","OK"))))))</f>
        <v/>
      </c>
      <c r="V2447" s="62" t="str">
        <f aca="false">IF(C2447="","",IFERROR(VALUE(LEFT(UPPER(SUBSTITUTE(SUBSTITUTE(SUBSTITUTE(TRIM(C2447),".",""),"-","")," ","")),LEN(UPPER(SUBSTITUTE(SUBSTITUTE(SUBSTITUTE(TRIM(C2447),".",""),"-","")," ","")))-1))&amp;RIGHT(UPPER(SUBSTITUTE(SUBSTITUTE(SUBSTITUTE(TRIM(C2447),".",""),"-","")," ","")),1),UPPER(SUBSTITUTE(SUBSTITUTE(SUBSTITUTE(TRIM(C2447),".",""),"-","")," ",""))))</f>
        <v/>
      </c>
    </row>
    <row r="2448" customFormat="false" ht="15" hidden="false" customHeight="false" outlineLevel="0" collapsed="false">
      <c r="B2448" s="80"/>
      <c r="C2448" s="58"/>
      <c r="D2448" s="62" t="str">
        <f aca="false">IF(C2448="","",IFERROR(INDEX(T_NOMBRE,MATCH(V2448,T_RUTN,0)),"⚠ RUT no está en Trabajadores"))</f>
        <v/>
      </c>
      <c r="E2448" s="61"/>
      <c r="F2448" s="61"/>
      <c r="G2448" s="61"/>
      <c r="H2448" s="61"/>
      <c r="I2448" s="81"/>
      <c r="J2448" s="81"/>
      <c r="K2448" s="60"/>
      <c r="L2448" s="60"/>
      <c r="M2448" s="60"/>
      <c r="N2448" s="60"/>
      <c r="O2448" s="60"/>
      <c r="P2448" s="60"/>
      <c r="Q2448" s="60"/>
      <c r="R2448" s="58"/>
      <c r="S2448" s="62" t="str">
        <f aca="false">IF(OR(B2448="",V2448=""),"",IFERROR(INDEX(C_TIPO,MATCH(V2448&amp;"-P"&amp;MAX(1,COUNTIFS(C_RUTN,V2448,C_DEF,"Sí",C_INI,"&lt;="&amp;EOMONTH(B2448,0))),C_CLAVE,0))&amp;"","Sin contrato"))</f>
        <v/>
      </c>
      <c r="T2448" s="63" t="str">
        <f aca="false">IF(OR(B2448="",N(O2448)=0),"",N(O2448)+ROUND(MIN(N(N2448),TOPE_UF*UF_MES)*(TASA_EMP+MUTUAL),0)+ROUND(MIN(N(N2448),TOPE_AFC_UF*UF_MES)*IF(S2448="Indefinido",AFC_INDEF,AFC_PF),0))</f>
        <v/>
      </c>
      <c r="U2448" s="62" t="str">
        <f aca="false">IF(C2448="","",IF(LEFT(D2448,1)="⚠","⚠ RUT no registrado en Trabajadores",IF(B2448="","⚠ Falta el mes",IF(OR(ISTEXT(I2448),ISTEXT(J2448)),"⚠ Atrasos u horas extra como texto: escriba hh:mm (ej. 1:30)",IF(AND(ISNUMBER(Q2448),COUNTIFS(M_RUTN,V2448,M_MES,B2448,M_LIQ,"&lt;&gt;")&gt;1),"⚠ Liquidación repetida en el mes",IF(AND(ISNUMBER(O2448),ISNUMBER(P2448),ISNUMBER(Q2448),ABS(O2448-P2448-Q2448)&gt;1),"⚠ Haberes − descuentos no da el líquido","OK"))))))</f>
        <v/>
      </c>
      <c r="V2448" s="62" t="str">
        <f aca="false">IF(C2448="","",IFERROR(VALUE(LEFT(UPPER(SUBSTITUTE(SUBSTITUTE(SUBSTITUTE(TRIM(C2448),".",""),"-","")," ","")),LEN(UPPER(SUBSTITUTE(SUBSTITUTE(SUBSTITUTE(TRIM(C2448),".",""),"-","")," ","")))-1))&amp;RIGHT(UPPER(SUBSTITUTE(SUBSTITUTE(SUBSTITUTE(TRIM(C2448),".",""),"-","")," ","")),1),UPPER(SUBSTITUTE(SUBSTITUTE(SUBSTITUTE(TRIM(C2448),".",""),"-","")," ",""))))</f>
        <v/>
      </c>
    </row>
    <row r="2449" customFormat="false" ht="15" hidden="false" customHeight="false" outlineLevel="0" collapsed="false">
      <c r="B2449" s="80"/>
      <c r="C2449" s="58"/>
      <c r="D2449" s="62" t="str">
        <f aca="false">IF(C2449="","",IFERROR(INDEX(T_NOMBRE,MATCH(V2449,T_RUTN,0)),"⚠ RUT no está en Trabajadores"))</f>
        <v/>
      </c>
      <c r="E2449" s="61"/>
      <c r="F2449" s="61"/>
      <c r="G2449" s="61"/>
      <c r="H2449" s="61"/>
      <c r="I2449" s="81"/>
      <c r="J2449" s="81"/>
      <c r="K2449" s="60"/>
      <c r="L2449" s="60"/>
      <c r="M2449" s="60"/>
      <c r="N2449" s="60"/>
      <c r="O2449" s="60"/>
      <c r="P2449" s="60"/>
      <c r="Q2449" s="60"/>
      <c r="R2449" s="58"/>
      <c r="S2449" s="62" t="str">
        <f aca="false">IF(OR(B2449="",V2449=""),"",IFERROR(INDEX(C_TIPO,MATCH(V2449&amp;"-P"&amp;MAX(1,COUNTIFS(C_RUTN,V2449,C_DEF,"Sí",C_INI,"&lt;="&amp;EOMONTH(B2449,0))),C_CLAVE,0))&amp;"","Sin contrato"))</f>
        <v/>
      </c>
      <c r="T2449" s="63" t="str">
        <f aca="false">IF(OR(B2449="",N(O2449)=0),"",N(O2449)+ROUND(MIN(N(N2449),TOPE_UF*UF_MES)*(TASA_EMP+MUTUAL),0)+ROUND(MIN(N(N2449),TOPE_AFC_UF*UF_MES)*IF(S2449="Indefinido",AFC_INDEF,AFC_PF),0))</f>
        <v/>
      </c>
      <c r="U2449" s="62" t="str">
        <f aca="false">IF(C2449="","",IF(LEFT(D2449,1)="⚠","⚠ RUT no registrado en Trabajadores",IF(B2449="","⚠ Falta el mes",IF(OR(ISTEXT(I2449),ISTEXT(J2449)),"⚠ Atrasos u horas extra como texto: escriba hh:mm (ej. 1:30)",IF(AND(ISNUMBER(Q2449),COUNTIFS(M_RUTN,V2449,M_MES,B2449,M_LIQ,"&lt;&gt;")&gt;1),"⚠ Liquidación repetida en el mes",IF(AND(ISNUMBER(O2449),ISNUMBER(P2449),ISNUMBER(Q2449),ABS(O2449-P2449-Q2449)&gt;1),"⚠ Haberes − descuentos no da el líquido","OK"))))))</f>
        <v/>
      </c>
      <c r="V2449" s="62" t="str">
        <f aca="false">IF(C2449="","",IFERROR(VALUE(LEFT(UPPER(SUBSTITUTE(SUBSTITUTE(SUBSTITUTE(TRIM(C2449),".",""),"-","")," ","")),LEN(UPPER(SUBSTITUTE(SUBSTITUTE(SUBSTITUTE(TRIM(C2449),".",""),"-","")," ","")))-1))&amp;RIGHT(UPPER(SUBSTITUTE(SUBSTITUTE(SUBSTITUTE(TRIM(C2449),".",""),"-","")," ","")),1),UPPER(SUBSTITUTE(SUBSTITUTE(SUBSTITUTE(TRIM(C2449),".",""),"-","")," ",""))))</f>
        <v/>
      </c>
    </row>
    <row r="2450" customFormat="false" ht="15" hidden="false" customHeight="false" outlineLevel="0" collapsed="false">
      <c r="B2450" s="80"/>
      <c r="C2450" s="58"/>
      <c r="D2450" s="62" t="str">
        <f aca="false">IF(C2450="","",IFERROR(INDEX(T_NOMBRE,MATCH(V2450,T_RUTN,0)),"⚠ RUT no está en Trabajadores"))</f>
        <v/>
      </c>
      <c r="E2450" s="61"/>
      <c r="F2450" s="61"/>
      <c r="G2450" s="61"/>
      <c r="H2450" s="61"/>
      <c r="I2450" s="81"/>
      <c r="J2450" s="81"/>
      <c r="K2450" s="60"/>
      <c r="L2450" s="60"/>
      <c r="M2450" s="60"/>
      <c r="N2450" s="60"/>
      <c r="O2450" s="60"/>
      <c r="P2450" s="60"/>
      <c r="Q2450" s="60"/>
      <c r="R2450" s="58"/>
      <c r="S2450" s="62" t="str">
        <f aca="false">IF(OR(B2450="",V2450=""),"",IFERROR(INDEX(C_TIPO,MATCH(V2450&amp;"-P"&amp;MAX(1,COUNTIFS(C_RUTN,V2450,C_DEF,"Sí",C_INI,"&lt;="&amp;EOMONTH(B2450,0))),C_CLAVE,0))&amp;"","Sin contrato"))</f>
        <v/>
      </c>
      <c r="T2450" s="63" t="str">
        <f aca="false">IF(OR(B2450="",N(O2450)=0),"",N(O2450)+ROUND(MIN(N(N2450),TOPE_UF*UF_MES)*(TASA_EMP+MUTUAL),0)+ROUND(MIN(N(N2450),TOPE_AFC_UF*UF_MES)*IF(S2450="Indefinido",AFC_INDEF,AFC_PF),0))</f>
        <v/>
      </c>
      <c r="U2450" s="62" t="str">
        <f aca="false">IF(C2450="","",IF(LEFT(D2450,1)="⚠","⚠ RUT no registrado en Trabajadores",IF(B2450="","⚠ Falta el mes",IF(OR(ISTEXT(I2450),ISTEXT(J2450)),"⚠ Atrasos u horas extra como texto: escriba hh:mm (ej. 1:30)",IF(AND(ISNUMBER(Q2450),COUNTIFS(M_RUTN,V2450,M_MES,B2450,M_LIQ,"&lt;&gt;")&gt;1),"⚠ Liquidación repetida en el mes",IF(AND(ISNUMBER(O2450),ISNUMBER(P2450),ISNUMBER(Q2450),ABS(O2450-P2450-Q2450)&gt;1),"⚠ Haberes − descuentos no da el líquido","OK"))))))</f>
        <v/>
      </c>
      <c r="V2450" s="62" t="str">
        <f aca="false">IF(C2450="","",IFERROR(VALUE(LEFT(UPPER(SUBSTITUTE(SUBSTITUTE(SUBSTITUTE(TRIM(C2450),".",""),"-","")," ","")),LEN(UPPER(SUBSTITUTE(SUBSTITUTE(SUBSTITUTE(TRIM(C2450),".",""),"-","")," ","")))-1))&amp;RIGHT(UPPER(SUBSTITUTE(SUBSTITUTE(SUBSTITUTE(TRIM(C2450),".",""),"-","")," ","")),1),UPPER(SUBSTITUTE(SUBSTITUTE(SUBSTITUTE(TRIM(C2450),".",""),"-","")," ",""))))</f>
        <v/>
      </c>
    </row>
    <row r="2451" customFormat="false" ht="15" hidden="false" customHeight="false" outlineLevel="0" collapsed="false">
      <c r="B2451" s="80"/>
      <c r="C2451" s="58"/>
      <c r="D2451" s="62" t="str">
        <f aca="false">IF(C2451="","",IFERROR(INDEX(T_NOMBRE,MATCH(V2451,T_RUTN,0)),"⚠ RUT no está en Trabajadores"))</f>
        <v/>
      </c>
      <c r="E2451" s="61"/>
      <c r="F2451" s="61"/>
      <c r="G2451" s="61"/>
      <c r="H2451" s="61"/>
      <c r="I2451" s="81"/>
      <c r="J2451" s="81"/>
      <c r="K2451" s="60"/>
      <c r="L2451" s="60"/>
      <c r="M2451" s="60"/>
      <c r="N2451" s="60"/>
      <c r="O2451" s="60"/>
      <c r="P2451" s="60"/>
      <c r="Q2451" s="60"/>
      <c r="R2451" s="58"/>
      <c r="S2451" s="62" t="str">
        <f aca="false">IF(OR(B2451="",V2451=""),"",IFERROR(INDEX(C_TIPO,MATCH(V2451&amp;"-P"&amp;MAX(1,COUNTIFS(C_RUTN,V2451,C_DEF,"Sí",C_INI,"&lt;="&amp;EOMONTH(B2451,0))),C_CLAVE,0))&amp;"","Sin contrato"))</f>
        <v/>
      </c>
      <c r="T2451" s="63" t="str">
        <f aca="false">IF(OR(B2451="",N(O2451)=0),"",N(O2451)+ROUND(MIN(N(N2451),TOPE_UF*UF_MES)*(TASA_EMP+MUTUAL),0)+ROUND(MIN(N(N2451),TOPE_AFC_UF*UF_MES)*IF(S2451="Indefinido",AFC_INDEF,AFC_PF),0))</f>
        <v/>
      </c>
      <c r="U2451" s="62" t="str">
        <f aca="false">IF(C2451="","",IF(LEFT(D2451,1)="⚠","⚠ RUT no registrado en Trabajadores",IF(B2451="","⚠ Falta el mes",IF(OR(ISTEXT(I2451),ISTEXT(J2451)),"⚠ Atrasos u horas extra como texto: escriba hh:mm (ej. 1:30)",IF(AND(ISNUMBER(Q2451),COUNTIFS(M_RUTN,V2451,M_MES,B2451,M_LIQ,"&lt;&gt;")&gt;1),"⚠ Liquidación repetida en el mes",IF(AND(ISNUMBER(O2451),ISNUMBER(P2451),ISNUMBER(Q2451),ABS(O2451-P2451-Q2451)&gt;1),"⚠ Haberes − descuentos no da el líquido","OK"))))))</f>
        <v/>
      </c>
      <c r="V2451" s="62" t="str">
        <f aca="false">IF(C2451="","",IFERROR(VALUE(LEFT(UPPER(SUBSTITUTE(SUBSTITUTE(SUBSTITUTE(TRIM(C2451),".",""),"-","")," ","")),LEN(UPPER(SUBSTITUTE(SUBSTITUTE(SUBSTITUTE(TRIM(C2451),".",""),"-","")," ","")))-1))&amp;RIGHT(UPPER(SUBSTITUTE(SUBSTITUTE(SUBSTITUTE(TRIM(C2451),".",""),"-","")," ","")),1),UPPER(SUBSTITUTE(SUBSTITUTE(SUBSTITUTE(TRIM(C2451),".",""),"-","")," ",""))))</f>
        <v/>
      </c>
    </row>
    <row r="2452" customFormat="false" ht="15" hidden="false" customHeight="false" outlineLevel="0" collapsed="false">
      <c r="B2452" s="80"/>
      <c r="C2452" s="58"/>
      <c r="D2452" s="62" t="str">
        <f aca="false">IF(C2452="","",IFERROR(INDEX(T_NOMBRE,MATCH(V2452,T_RUTN,0)),"⚠ RUT no está en Trabajadores"))</f>
        <v/>
      </c>
      <c r="E2452" s="61"/>
      <c r="F2452" s="61"/>
      <c r="G2452" s="61"/>
      <c r="H2452" s="61"/>
      <c r="I2452" s="81"/>
      <c r="J2452" s="81"/>
      <c r="K2452" s="60"/>
      <c r="L2452" s="60"/>
      <c r="M2452" s="60"/>
      <c r="N2452" s="60"/>
      <c r="O2452" s="60"/>
      <c r="P2452" s="60"/>
      <c r="Q2452" s="60"/>
      <c r="R2452" s="58"/>
      <c r="S2452" s="62" t="str">
        <f aca="false">IF(OR(B2452="",V2452=""),"",IFERROR(INDEX(C_TIPO,MATCH(V2452&amp;"-P"&amp;MAX(1,COUNTIFS(C_RUTN,V2452,C_DEF,"Sí",C_INI,"&lt;="&amp;EOMONTH(B2452,0))),C_CLAVE,0))&amp;"","Sin contrato"))</f>
        <v/>
      </c>
      <c r="T2452" s="63" t="str">
        <f aca="false">IF(OR(B2452="",N(O2452)=0),"",N(O2452)+ROUND(MIN(N(N2452),TOPE_UF*UF_MES)*(TASA_EMP+MUTUAL),0)+ROUND(MIN(N(N2452),TOPE_AFC_UF*UF_MES)*IF(S2452="Indefinido",AFC_INDEF,AFC_PF),0))</f>
        <v/>
      </c>
      <c r="U2452" s="62" t="str">
        <f aca="false">IF(C2452="","",IF(LEFT(D2452,1)="⚠","⚠ RUT no registrado en Trabajadores",IF(B2452="","⚠ Falta el mes",IF(OR(ISTEXT(I2452),ISTEXT(J2452)),"⚠ Atrasos u horas extra como texto: escriba hh:mm (ej. 1:30)",IF(AND(ISNUMBER(Q2452),COUNTIFS(M_RUTN,V2452,M_MES,B2452,M_LIQ,"&lt;&gt;")&gt;1),"⚠ Liquidación repetida en el mes",IF(AND(ISNUMBER(O2452),ISNUMBER(P2452),ISNUMBER(Q2452),ABS(O2452-P2452-Q2452)&gt;1),"⚠ Haberes − descuentos no da el líquido","OK"))))))</f>
        <v/>
      </c>
      <c r="V2452" s="62" t="str">
        <f aca="false">IF(C2452="","",IFERROR(VALUE(LEFT(UPPER(SUBSTITUTE(SUBSTITUTE(SUBSTITUTE(TRIM(C2452),".",""),"-","")," ","")),LEN(UPPER(SUBSTITUTE(SUBSTITUTE(SUBSTITUTE(TRIM(C2452),".",""),"-","")," ","")))-1))&amp;RIGHT(UPPER(SUBSTITUTE(SUBSTITUTE(SUBSTITUTE(TRIM(C2452),".",""),"-","")," ","")),1),UPPER(SUBSTITUTE(SUBSTITUTE(SUBSTITUTE(TRIM(C2452),".",""),"-","")," ",""))))</f>
        <v/>
      </c>
    </row>
    <row r="2453" customFormat="false" ht="15" hidden="false" customHeight="false" outlineLevel="0" collapsed="false">
      <c r="B2453" s="80"/>
      <c r="C2453" s="58"/>
      <c r="D2453" s="62" t="str">
        <f aca="false">IF(C2453="","",IFERROR(INDEX(T_NOMBRE,MATCH(V2453,T_RUTN,0)),"⚠ RUT no está en Trabajadores"))</f>
        <v/>
      </c>
      <c r="E2453" s="61"/>
      <c r="F2453" s="61"/>
      <c r="G2453" s="61"/>
      <c r="H2453" s="61"/>
      <c r="I2453" s="81"/>
      <c r="J2453" s="81"/>
      <c r="K2453" s="60"/>
      <c r="L2453" s="60"/>
      <c r="M2453" s="60"/>
      <c r="N2453" s="60"/>
      <c r="O2453" s="60"/>
      <c r="P2453" s="60"/>
      <c r="Q2453" s="60"/>
      <c r="R2453" s="58"/>
      <c r="S2453" s="62" t="str">
        <f aca="false">IF(OR(B2453="",V2453=""),"",IFERROR(INDEX(C_TIPO,MATCH(V2453&amp;"-P"&amp;MAX(1,COUNTIFS(C_RUTN,V2453,C_DEF,"Sí",C_INI,"&lt;="&amp;EOMONTH(B2453,0))),C_CLAVE,0))&amp;"","Sin contrato"))</f>
        <v/>
      </c>
      <c r="T2453" s="63" t="str">
        <f aca="false">IF(OR(B2453="",N(O2453)=0),"",N(O2453)+ROUND(MIN(N(N2453),TOPE_UF*UF_MES)*(TASA_EMP+MUTUAL),0)+ROUND(MIN(N(N2453),TOPE_AFC_UF*UF_MES)*IF(S2453="Indefinido",AFC_INDEF,AFC_PF),0))</f>
        <v/>
      </c>
      <c r="U2453" s="62" t="str">
        <f aca="false">IF(C2453="","",IF(LEFT(D2453,1)="⚠","⚠ RUT no registrado en Trabajadores",IF(B2453="","⚠ Falta el mes",IF(OR(ISTEXT(I2453),ISTEXT(J2453)),"⚠ Atrasos u horas extra como texto: escriba hh:mm (ej. 1:30)",IF(AND(ISNUMBER(Q2453),COUNTIFS(M_RUTN,V2453,M_MES,B2453,M_LIQ,"&lt;&gt;")&gt;1),"⚠ Liquidación repetida en el mes",IF(AND(ISNUMBER(O2453),ISNUMBER(P2453),ISNUMBER(Q2453),ABS(O2453-P2453-Q2453)&gt;1),"⚠ Haberes − descuentos no da el líquido","OK"))))))</f>
        <v/>
      </c>
      <c r="V2453" s="62" t="str">
        <f aca="false">IF(C2453="","",IFERROR(VALUE(LEFT(UPPER(SUBSTITUTE(SUBSTITUTE(SUBSTITUTE(TRIM(C2453),".",""),"-","")," ","")),LEN(UPPER(SUBSTITUTE(SUBSTITUTE(SUBSTITUTE(TRIM(C2453),".",""),"-","")," ","")))-1))&amp;RIGHT(UPPER(SUBSTITUTE(SUBSTITUTE(SUBSTITUTE(TRIM(C2453),".",""),"-","")," ","")),1),UPPER(SUBSTITUTE(SUBSTITUTE(SUBSTITUTE(TRIM(C2453),".",""),"-","")," ",""))))</f>
        <v/>
      </c>
    </row>
    <row r="2454" customFormat="false" ht="15" hidden="false" customHeight="false" outlineLevel="0" collapsed="false">
      <c r="B2454" s="80"/>
      <c r="C2454" s="58"/>
      <c r="D2454" s="62" t="str">
        <f aca="false">IF(C2454="","",IFERROR(INDEX(T_NOMBRE,MATCH(V2454,T_RUTN,0)),"⚠ RUT no está en Trabajadores"))</f>
        <v/>
      </c>
      <c r="E2454" s="61"/>
      <c r="F2454" s="61"/>
      <c r="G2454" s="61"/>
      <c r="H2454" s="61"/>
      <c r="I2454" s="81"/>
      <c r="J2454" s="81"/>
      <c r="K2454" s="60"/>
      <c r="L2454" s="60"/>
      <c r="M2454" s="60"/>
      <c r="N2454" s="60"/>
      <c r="O2454" s="60"/>
      <c r="P2454" s="60"/>
      <c r="Q2454" s="60"/>
      <c r="R2454" s="58"/>
      <c r="S2454" s="62" t="str">
        <f aca="false">IF(OR(B2454="",V2454=""),"",IFERROR(INDEX(C_TIPO,MATCH(V2454&amp;"-P"&amp;MAX(1,COUNTIFS(C_RUTN,V2454,C_DEF,"Sí",C_INI,"&lt;="&amp;EOMONTH(B2454,0))),C_CLAVE,0))&amp;"","Sin contrato"))</f>
        <v/>
      </c>
      <c r="T2454" s="63" t="str">
        <f aca="false">IF(OR(B2454="",N(O2454)=0),"",N(O2454)+ROUND(MIN(N(N2454),TOPE_UF*UF_MES)*(TASA_EMP+MUTUAL),0)+ROUND(MIN(N(N2454),TOPE_AFC_UF*UF_MES)*IF(S2454="Indefinido",AFC_INDEF,AFC_PF),0))</f>
        <v/>
      </c>
      <c r="U2454" s="62" t="str">
        <f aca="false">IF(C2454="","",IF(LEFT(D2454,1)="⚠","⚠ RUT no registrado en Trabajadores",IF(B2454="","⚠ Falta el mes",IF(OR(ISTEXT(I2454),ISTEXT(J2454)),"⚠ Atrasos u horas extra como texto: escriba hh:mm (ej. 1:30)",IF(AND(ISNUMBER(Q2454),COUNTIFS(M_RUTN,V2454,M_MES,B2454,M_LIQ,"&lt;&gt;")&gt;1),"⚠ Liquidación repetida en el mes",IF(AND(ISNUMBER(O2454),ISNUMBER(P2454),ISNUMBER(Q2454),ABS(O2454-P2454-Q2454)&gt;1),"⚠ Haberes − descuentos no da el líquido","OK"))))))</f>
        <v/>
      </c>
      <c r="V2454" s="62" t="str">
        <f aca="false">IF(C2454="","",IFERROR(VALUE(LEFT(UPPER(SUBSTITUTE(SUBSTITUTE(SUBSTITUTE(TRIM(C2454),".",""),"-","")," ","")),LEN(UPPER(SUBSTITUTE(SUBSTITUTE(SUBSTITUTE(TRIM(C2454),".",""),"-","")," ","")))-1))&amp;RIGHT(UPPER(SUBSTITUTE(SUBSTITUTE(SUBSTITUTE(TRIM(C2454),".",""),"-","")," ","")),1),UPPER(SUBSTITUTE(SUBSTITUTE(SUBSTITUTE(TRIM(C2454),".",""),"-","")," ",""))))</f>
        <v/>
      </c>
    </row>
    <row r="2455" customFormat="false" ht="15" hidden="false" customHeight="false" outlineLevel="0" collapsed="false">
      <c r="B2455" s="80"/>
      <c r="C2455" s="58"/>
      <c r="D2455" s="62" t="str">
        <f aca="false">IF(C2455="","",IFERROR(INDEX(T_NOMBRE,MATCH(V2455,T_RUTN,0)),"⚠ RUT no está en Trabajadores"))</f>
        <v/>
      </c>
      <c r="E2455" s="61"/>
      <c r="F2455" s="61"/>
      <c r="G2455" s="61"/>
      <c r="H2455" s="61"/>
      <c r="I2455" s="81"/>
      <c r="J2455" s="81"/>
      <c r="K2455" s="60"/>
      <c r="L2455" s="60"/>
      <c r="M2455" s="60"/>
      <c r="N2455" s="60"/>
      <c r="O2455" s="60"/>
      <c r="P2455" s="60"/>
      <c r="Q2455" s="60"/>
      <c r="R2455" s="58"/>
      <c r="S2455" s="62" t="str">
        <f aca="false">IF(OR(B2455="",V2455=""),"",IFERROR(INDEX(C_TIPO,MATCH(V2455&amp;"-P"&amp;MAX(1,COUNTIFS(C_RUTN,V2455,C_DEF,"Sí",C_INI,"&lt;="&amp;EOMONTH(B2455,0))),C_CLAVE,0))&amp;"","Sin contrato"))</f>
        <v/>
      </c>
      <c r="T2455" s="63" t="str">
        <f aca="false">IF(OR(B2455="",N(O2455)=0),"",N(O2455)+ROUND(MIN(N(N2455),TOPE_UF*UF_MES)*(TASA_EMP+MUTUAL),0)+ROUND(MIN(N(N2455),TOPE_AFC_UF*UF_MES)*IF(S2455="Indefinido",AFC_INDEF,AFC_PF),0))</f>
        <v/>
      </c>
      <c r="U2455" s="62" t="str">
        <f aca="false">IF(C2455="","",IF(LEFT(D2455,1)="⚠","⚠ RUT no registrado en Trabajadores",IF(B2455="","⚠ Falta el mes",IF(OR(ISTEXT(I2455),ISTEXT(J2455)),"⚠ Atrasos u horas extra como texto: escriba hh:mm (ej. 1:30)",IF(AND(ISNUMBER(Q2455),COUNTIFS(M_RUTN,V2455,M_MES,B2455,M_LIQ,"&lt;&gt;")&gt;1),"⚠ Liquidación repetida en el mes",IF(AND(ISNUMBER(O2455),ISNUMBER(P2455),ISNUMBER(Q2455),ABS(O2455-P2455-Q2455)&gt;1),"⚠ Haberes − descuentos no da el líquido","OK"))))))</f>
        <v/>
      </c>
      <c r="V2455" s="62" t="str">
        <f aca="false">IF(C2455="","",IFERROR(VALUE(LEFT(UPPER(SUBSTITUTE(SUBSTITUTE(SUBSTITUTE(TRIM(C2455),".",""),"-","")," ","")),LEN(UPPER(SUBSTITUTE(SUBSTITUTE(SUBSTITUTE(TRIM(C2455),".",""),"-","")," ","")))-1))&amp;RIGHT(UPPER(SUBSTITUTE(SUBSTITUTE(SUBSTITUTE(TRIM(C2455),".",""),"-","")," ","")),1),UPPER(SUBSTITUTE(SUBSTITUTE(SUBSTITUTE(TRIM(C2455),".",""),"-","")," ",""))))</f>
        <v/>
      </c>
    </row>
    <row r="2456" customFormat="false" ht="15" hidden="false" customHeight="false" outlineLevel="0" collapsed="false">
      <c r="B2456" s="80"/>
      <c r="C2456" s="58"/>
      <c r="D2456" s="62" t="str">
        <f aca="false">IF(C2456="","",IFERROR(INDEX(T_NOMBRE,MATCH(V2456,T_RUTN,0)),"⚠ RUT no está en Trabajadores"))</f>
        <v/>
      </c>
      <c r="E2456" s="61"/>
      <c r="F2456" s="61"/>
      <c r="G2456" s="61"/>
      <c r="H2456" s="61"/>
      <c r="I2456" s="81"/>
      <c r="J2456" s="81"/>
      <c r="K2456" s="60"/>
      <c r="L2456" s="60"/>
      <c r="M2456" s="60"/>
      <c r="N2456" s="60"/>
      <c r="O2456" s="60"/>
      <c r="P2456" s="60"/>
      <c r="Q2456" s="60"/>
      <c r="R2456" s="58"/>
      <c r="S2456" s="62" t="str">
        <f aca="false">IF(OR(B2456="",V2456=""),"",IFERROR(INDEX(C_TIPO,MATCH(V2456&amp;"-P"&amp;MAX(1,COUNTIFS(C_RUTN,V2456,C_DEF,"Sí",C_INI,"&lt;="&amp;EOMONTH(B2456,0))),C_CLAVE,0))&amp;"","Sin contrato"))</f>
        <v/>
      </c>
      <c r="T2456" s="63" t="str">
        <f aca="false">IF(OR(B2456="",N(O2456)=0),"",N(O2456)+ROUND(MIN(N(N2456),TOPE_UF*UF_MES)*(TASA_EMP+MUTUAL),0)+ROUND(MIN(N(N2456),TOPE_AFC_UF*UF_MES)*IF(S2456="Indefinido",AFC_INDEF,AFC_PF),0))</f>
        <v/>
      </c>
      <c r="U2456" s="62" t="str">
        <f aca="false">IF(C2456="","",IF(LEFT(D2456,1)="⚠","⚠ RUT no registrado en Trabajadores",IF(B2456="","⚠ Falta el mes",IF(OR(ISTEXT(I2456),ISTEXT(J2456)),"⚠ Atrasos u horas extra como texto: escriba hh:mm (ej. 1:30)",IF(AND(ISNUMBER(Q2456),COUNTIFS(M_RUTN,V2456,M_MES,B2456,M_LIQ,"&lt;&gt;")&gt;1),"⚠ Liquidación repetida en el mes",IF(AND(ISNUMBER(O2456),ISNUMBER(P2456),ISNUMBER(Q2456),ABS(O2456-P2456-Q2456)&gt;1),"⚠ Haberes − descuentos no da el líquido","OK"))))))</f>
        <v/>
      </c>
      <c r="V2456" s="62" t="str">
        <f aca="false">IF(C2456="","",IFERROR(VALUE(LEFT(UPPER(SUBSTITUTE(SUBSTITUTE(SUBSTITUTE(TRIM(C2456),".",""),"-","")," ","")),LEN(UPPER(SUBSTITUTE(SUBSTITUTE(SUBSTITUTE(TRIM(C2456),".",""),"-","")," ","")))-1))&amp;RIGHT(UPPER(SUBSTITUTE(SUBSTITUTE(SUBSTITUTE(TRIM(C2456),".",""),"-","")," ","")),1),UPPER(SUBSTITUTE(SUBSTITUTE(SUBSTITUTE(TRIM(C2456),".",""),"-","")," ",""))))</f>
        <v/>
      </c>
    </row>
    <row r="2457" customFormat="false" ht="15" hidden="false" customHeight="false" outlineLevel="0" collapsed="false">
      <c r="B2457" s="80"/>
      <c r="C2457" s="58"/>
      <c r="D2457" s="62" t="str">
        <f aca="false">IF(C2457="","",IFERROR(INDEX(T_NOMBRE,MATCH(V2457,T_RUTN,0)),"⚠ RUT no está en Trabajadores"))</f>
        <v/>
      </c>
      <c r="E2457" s="61"/>
      <c r="F2457" s="61"/>
      <c r="G2457" s="61"/>
      <c r="H2457" s="61"/>
      <c r="I2457" s="81"/>
      <c r="J2457" s="81"/>
      <c r="K2457" s="60"/>
      <c r="L2457" s="60"/>
      <c r="M2457" s="60"/>
      <c r="N2457" s="60"/>
      <c r="O2457" s="60"/>
      <c r="P2457" s="60"/>
      <c r="Q2457" s="60"/>
      <c r="R2457" s="58"/>
      <c r="S2457" s="62" t="str">
        <f aca="false">IF(OR(B2457="",V2457=""),"",IFERROR(INDEX(C_TIPO,MATCH(V2457&amp;"-P"&amp;MAX(1,COUNTIFS(C_RUTN,V2457,C_DEF,"Sí",C_INI,"&lt;="&amp;EOMONTH(B2457,0))),C_CLAVE,0))&amp;"","Sin contrato"))</f>
        <v/>
      </c>
      <c r="T2457" s="63" t="str">
        <f aca="false">IF(OR(B2457="",N(O2457)=0),"",N(O2457)+ROUND(MIN(N(N2457),TOPE_UF*UF_MES)*(TASA_EMP+MUTUAL),0)+ROUND(MIN(N(N2457),TOPE_AFC_UF*UF_MES)*IF(S2457="Indefinido",AFC_INDEF,AFC_PF),0))</f>
        <v/>
      </c>
      <c r="U2457" s="62" t="str">
        <f aca="false">IF(C2457="","",IF(LEFT(D2457,1)="⚠","⚠ RUT no registrado en Trabajadores",IF(B2457="","⚠ Falta el mes",IF(OR(ISTEXT(I2457),ISTEXT(J2457)),"⚠ Atrasos u horas extra como texto: escriba hh:mm (ej. 1:30)",IF(AND(ISNUMBER(Q2457),COUNTIFS(M_RUTN,V2457,M_MES,B2457,M_LIQ,"&lt;&gt;")&gt;1),"⚠ Liquidación repetida en el mes",IF(AND(ISNUMBER(O2457),ISNUMBER(P2457),ISNUMBER(Q2457),ABS(O2457-P2457-Q2457)&gt;1),"⚠ Haberes − descuentos no da el líquido","OK"))))))</f>
        <v/>
      </c>
      <c r="V2457" s="62" t="str">
        <f aca="false">IF(C2457="","",IFERROR(VALUE(LEFT(UPPER(SUBSTITUTE(SUBSTITUTE(SUBSTITUTE(TRIM(C2457),".",""),"-","")," ","")),LEN(UPPER(SUBSTITUTE(SUBSTITUTE(SUBSTITUTE(TRIM(C2457),".",""),"-","")," ","")))-1))&amp;RIGHT(UPPER(SUBSTITUTE(SUBSTITUTE(SUBSTITUTE(TRIM(C2457),".",""),"-","")," ","")),1),UPPER(SUBSTITUTE(SUBSTITUTE(SUBSTITUTE(TRIM(C2457),".",""),"-","")," ",""))))</f>
        <v/>
      </c>
    </row>
    <row r="2458" customFormat="false" ht="15" hidden="false" customHeight="false" outlineLevel="0" collapsed="false">
      <c r="B2458" s="80"/>
      <c r="C2458" s="58"/>
      <c r="D2458" s="62" t="str">
        <f aca="false">IF(C2458="","",IFERROR(INDEX(T_NOMBRE,MATCH(V2458,T_RUTN,0)),"⚠ RUT no está en Trabajadores"))</f>
        <v/>
      </c>
      <c r="E2458" s="61"/>
      <c r="F2458" s="61"/>
      <c r="G2458" s="61"/>
      <c r="H2458" s="61"/>
      <c r="I2458" s="81"/>
      <c r="J2458" s="81"/>
      <c r="K2458" s="60"/>
      <c r="L2458" s="60"/>
      <c r="M2458" s="60"/>
      <c r="N2458" s="60"/>
      <c r="O2458" s="60"/>
      <c r="P2458" s="60"/>
      <c r="Q2458" s="60"/>
      <c r="R2458" s="58"/>
      <c r="S2458" s="62" t="str">
        <f aca="false">IF(OR(B2458="",V2458=""),"",IFERROR(INDEX(C_TIPO,MATCH(V2458&amp;"-P"&amp;MAX(1,COUNTIFS(C_RUTN,V2458,C_DEF,"Sí",C_INI,"&lt;="&amp;EOMONTH(B2458,0))),C_CLAVE,0))&amp;"","Sin contrato"))</f>
        <v/>
      </c>
      <c r="T2458" s="63" t="str">
        <f aca="false">IF(OR(B2458="",N(O2458)=0),"",N(O2458)+ROUND(MIN(N(N2458),TOPE_UF*UF_MES)*(TASA_EMP+MUTUAL),0)+ROUND(MIN(N(N2458),TOPE_AFC_UF*UF_MES)*IF(S2458="Indefinido",AFC_INDEF,AFC_PF),0))</f>
        <v/>
      </c>
      <c r="U2458" s="62" t="str">
        <f aca="false">IF(C2458="","",IF(LEFT(D2458,1)="⚠","⚠ RUT no registrado en Trabajadores",IF(B2458="","⚠ Falta el mes",IF(OR(ISTEXT(I2458),ISTEXT(J2458)),"⚠ Atrasos u horas extra como texto: escriba hh:mm (ej. 1:30)",IF(AND(ISNUMBER(Q2458),COUNTIFS(M_RUTN,V2458,M_MES,B2458,M_LIQ,"&lt;&gt;")&gt;1),"⚠ Liquidación repetida en el mes",IF(AND(ISNUMBER(O2458),ISNUMBER(P2458),ISNUMBER(Q2458),ABS(O2458-P2458-Q2458)&gt;1),"⚠ Haberes − descuentos no da el líquido","OK"))))))</f>
        <v/>
      </c>
      <c r="V2458" s="62" t="str">
        <f aca="false">IF(C2458="","",IFERROR(VALUE(LEFT(UPPER(SUBSTITUTE(SUBSTITUTE(SUBSTITUTE(TRIM(C2458),".",""),"-","")," ","")),LEN(UPPER(SUBSTITUTE(SUBSTITUTE(SUBSTITUTE(TRIM(C2458),".",""),"-","")," ","")))-1))&amp;RIGHT(UPPER(SUBSTITUTE(SUBSTITUTE(SUBSTITUTE(TRIM(C2458),".",""),"-","")," ","")),1),UPPER(SUBSTITUTE(SUBSTITUTE(SUBSTITUTE(TRIM(C2458),".",""),"-","")," ",""))))</f>
        <v/>
      </c>
    </row>
    <row r="2459" customFormat="false" ht="15" hidden="false" customHeight="false" outlineLevel="0" collapsed="false">
      <c r="B2459" s="80"/>
      <c r="C2459" s="58"/>
      <c r="D2459" s="62" t="str">
        <f aca="false">IF(C2459="","",IFERROR(INDEX(T_NOMBRE,MATCH(V2459,T_RUTN,0)),"⚠ RUT no está en Trabajadores"))</f>
        <v/>
      </c>
      <c r="E2459" s="61"/>
      <c r="F2459" s="61"/>
      <c r="G2459" s="61"/>
      <c r="H2459" s="61"/>
      <c r="I2459" s="81"/>
      <c r="J2459" s="81"/>
      <c r="K2459" s="60"/>
      <c r="L2459" s="60"/>
      <c r="M2459" s="60"/>
      <c r="N2459" s="60"/>
      <c r="O2459" s="60"/>
      <c r="P2459" s="60"/>
      <c r="Q2459" s="60"/>
      <c r="R2459" s="58"/>
      <c r="S2459" s="62" t="str">
        <f aca="false">IF(OR(B2459="",V2459=""),"",IFERROR(INDEX(C_TIPO,MATCH(V2459&amp;"-P"&amp;MAX(1,COUNTIFS(C_RUTN,V2459,C_DEF,"Sí",C_INI,"&lt;="&amp;EOMONTH(B2459,0))),C_CLAVE,0))&amp;"","Sin contrato"))</f>
        <v/>
      </c>
      <c r="T2459" s="63" t="str">
        <f aca="false">IF(OR(B2459="",N(O2459)=0),"",N(O2459)+ROUND(MIN(N(N2459),TOPE_UF*UF_MES)*(TASA_EMP+MUTUAL),0)+ROUND(MIN(N(N2459),TOPE_AFC_UF*UF_MES)*IF(S2459="Indefinido",AFC_INDEF,AFC_PF),0))</f>
        <v/>
      </c>
      <c r="U2459" s="62" t="str">
        <f aca="false">IF(C2459="","",IF(LEFT(D2459,1)="⚠","⚠ RUT no registrado en Trabajadores",IF(B2459="","⚠ Falta el mes",IF(OR(ISTEXT(I2459),ISTEXT(J2459)),"⚠ Atrasos u horas extra como texto: escriba hh:mm (ej. 1:30)",IF(AND(ISNUMBER(Q2459),COUNTIFS(M_RUTN,V2459,M_MES,B2459,M_LIQ,"&lt;&gt;")&gt;1),"⚠ Liquidación repetida en el mes",IF(AND(ISNUMBER(O2459),ISNUMBER(P2459),ISNUMBER(Q2459),ABS(O2459-P2459-Q2459)&gt;1),"⚠ Haberes − descuentos no da el líquido","OK"))))))</f>
        <v/>
      </c>
      <c r="V2459" s="62" t="str">
        <f aca="false">IF(C2459="","",IFERROR(VALUE(LEFT(UPPER(SUBSTITUTE(SUBSTITUTE(SUBSTITUTE(TRIM(C2459),".",""),"-","")," ","")),LEN(UPPER(SUBSTITUTE(SUBSTITUTE(SUBSTITUTE(TRIM(C2459),".",""),"-","")," ","")))-1))&amp;RIGHT(UPPER(SUBSTITUTE(SUBSTITUTE(SUBSTITUTE(TRIM(C2459),".",""),"-","")," ","")),1),UPPER(SUBSTITUTE(SUBSTITUTE(SUBSTITUTE(TRIM(C2459),".",""),"-","")," ",""))))</f>
        <v/>
      </c>
    </row>
    <row r="2460" customFormat="false" ht="15" hidden="false" customHeight="false" outlineLevel="0" collapsed="false">
      <c r="B2460" s="80"/>
      <c r="C2460" s="58"/>
      <c r="D2460" s="62" t="str">
        <f aca="false">IF(C2460="","",IFERROR(INDEX(T_NOMBRE,MATCH(V2460,T_RUTN,0)),"⚠ RUT no está en Trabajadores"))</f>
        <v/>
      </c>
      <c r="E2460" s="61"/>
      <c r="F2460" s="61"/>
      <c r="G2460" s="61"/>
      <c r="H2460" s="61"/>
      <c r="I2460" s="81"/>
      <c r="J2460" s="81"/>
      <c r="K2460" s="60"/>
      <c r="L2460" s="60"/>
      <c r="M2460" s="60"/>
      <c r="N2460" s="60"/>
      <c r="O2460" s="60"/>
      <c r="P2460" s="60"/>
      <c r="Q2460" s="60"/>
      <c r="R2460" s="58"/>
      <c r="S2460" s="62" t="str">
        <f aca="false">IF(OR(B2460="",V2460=""),"",IFERROR(INDEX(C_TIPO,MATCH(V2460&amp;"-P"&amp;MAX(1,COUNTIFS(C_RUTN,V2460,C_DEF,"Sí",C_INI,"&lt;="&amp;EOMONTH(B2460,0))),C_CLAVE,0))&amp;"","Sin contrato"))</f>
        <v/>
      </c>
      <c r="T2460" s="63" t="str">
        <f aca="false">IF(OR(B2460="",N(O2460)=0),"",N(O2460)+ROUND(MIN(N(N2460),TOPE_UF*UF_MES)*(TASA_EMP+MUTUAL),0)+ROUND(MIN(N(N2460),TOPE_AFC_UF*UF_MES)*IF(S2460="Indefinido",AFC_INDEF,AFC_PF),0))</f>
        <v/>
      </c>
      <c r="U2460" s="62" t="str">
        <f aca="false">IF(C2460="","",IF(LEFT(D2460,1)="⚠","⚠ RUT no registrado en Trabajadores",IF(B2460="","⚠ Falta el mes",IF(OR(ISTEXT(I2460),ISTEXT(J2460)),"⚠ Atrasos u horas extra como texto: escriba hh:mm (ej. 1:30)",IF(AND(ISNUMBER(Q2460),COUNTIFS(M_RUTN,V2460,M_MES,B2460,M_LIQ,"&lt;&gt;")&gt;1),"⚠ Liquidación repetida en el mes",IF(AND(ISNUMBER(O2460),ISNUMBER(P2460),ISNUMBER(Q2460),ABS(O2460-P2460-Q2460)&gt;1),"⚠ Haberes − descuentos no da el líquido","OK"))))))</f>
        <v/>
      </c>
      <c r="V2460" s="62" t="str">
        <f aca="false">IF(C2460="","",IFERROR(VALUE(LEFT(UPPER(SUBSTITUTE(SUBSTITUTE(SUBSTITUTE(TRIM(C2460),".",""),"-","")," ","")),LEN(UPPER(SUBSTITUTE(SUBSTITUTE(SUBSTITUTE(TRIM(C2460),".",""),"-","")," ","")))-1))&amp;RIGHT(UPPER(SUBSTITUTE(SUBSTITUTE(SUBSTITUTE(TRIM(C2460),".",""),"-","")," ","")),1),UPPER(SUBSTITUTE(SUBSTITUTE(SUBSTITUTE(TRIM(C2460),".",""),"-","")," ",""))))</f>
        <v/>
      </c>
    </row>
    <row r="2461" customFormat="false" ht="15" hidden="false" customHeight="false" outlineLevel="0" collapsed="false">
      <c r="B2461" s="80"/>
      <c r="C2461" s="58"/>
      <c r="D2461" s="62" t="str">
        <f aca="false">IF(C2461="","",IFERROR(INDEX(T_NOMBRE,MATCH(V2461,T_RUTN,0)),"⚠ RUT no está en Trabajadores"))</f>
        <v/>
      </c>
      <c r="E2461" s="61"/>
      <c r="F2461" s="61"/>
      <c r="G2461" s="61"/>
      <c r="H2461" s="61"/>
      <c r="I2461" s="81"/>
      <c r="J2461" s="81"/>
      <c r="K2461" s="60"/>
      <c r="L2461" s="60"/>
      <c r="M2461" s="60"/>
      <c r="N2461" s="60"/>
      <c r="O2461" s="60"/>
      <c r="P2461" s="60"/>
      <c r="Q2461" s="60"/>
      <c r="R2461" s="58"/>
      <c r="S2461" s="62" t="str">
        <f aca="false">IF(OR(B2461="",V2461=""),"",IFERROR(INDEX(C_TIPO,MATCH(V2461&amp;"-P"&amp;MAX(1,COUNTIFS(C_RUTN,V2461,C_DEF,"Sí",C_INI,"&lt;="&amp;EOMONTH(B2461,0))),C_CLAVE,0))&amp;"","Sin contrato"))</f>
        <v/>
      </c>
      <c r="T2461" s="63" t="str">
        <f aca="false">IF(OR(B2461="",N(O2461)=0),"",N(O2461)+ROUND(MIN(N(N2461),TOPE_UF*UF_MES)*(TASA_EMP+MUTUAL),0)+ROUND(MIN(N(N2461),TOPE_AFC_UF*UF_MES)*IF(S2461="Indefinido",AFC_INDEF,AFC_PF),0))</f>
        <v/>
      </c>
      <c r="U2461" s="62" t="str">
        <f aca="false">IF(C2461="","",IF(LEFT(D2461,1)="⚠","⚠ RUT no registrado en Trabajadores",IF(B2461="","⚠ Falta el mes",IF(OR(ISTEXT(I2461),ISTEXT(J2461)),"⚠ Atrasos u horas extra como texto: escriba hh:mm (ej. 1:30)",IF(AND(ISNUMBER(Q2461),COUNTIFS(M_RUTN,V2461,M_MES,B2461,M_LIQ,"&lt;&gt;")&gt;1),"⚠ Liquidación repetida en el mes",IF(AND(ISNUMBER(O2461),ISNUMBER(P2461),ISNUMBER(Q2461),ABS(O2461-P2461-Q2461)&gt;1),"⚠ Haberes − descuentos no da el líquido","OK"))))))</f>
        <v/>
      </c>
      <c r="V2461" s="62" t="str">
        <f aca="false">IF(C2461="","",IFERROR(VALUE(LEFT(UPPER(SUBSTITUTE(SUBSTITUTE(SUBSTITUTE(TRIM(C2461),".",""),"-","")," ","")),LEN(UPPER(SUBSTITUTE(SUBSTITUTE(SUBSTITUTE(TRIM(C2461),".",""),"-","")," ","")))-1))&amp;RIGHT(UPPER(SUBSTITUTE(SUBSTITUTE(SUBSTITUTE(TRIM(C2461),".",""),"-","")," ","")),1),UPPER(SUBSTITUTE(SUBSTITUTE(SUBSTITUTE(TRIM(C2461),".",""),"-","")," ",""))))</f>
        <v/>
      </c>
    </row>
    <row r="2462" customFormat="false" ht="15" hidden="false" customHeight="false" outlineLevel="0" collapsed="false">
      <c r="B2462" s="80"/>
      <c r="C2462" s="58"/>
      <c r="D2462" s="62" t="str">
        <f aca="false">IF(C2462="","",IFERROR(INDEX(T_NOMBRE,MATCH(V2462,T_RUTN,0)),"⚠ RUT no está en Trabajadores"))</f>
        <v/>
      </c>
      <c r="E2462" s="61"/>
      <c r="F2462" s="61"/>
      <c r="G2462" s="61"/>
      <c r="H2462" s="61"/>
      <c r="I2462" s="81"/>
      <c r="J2462" s="81"/>
      <c r="K2462" s="60"/>
      <c r="L2462" s="60"/>
      <c r="M2462" s="60"/>
      <c r="N2462" s="60"/>
      <c r="O2462" s="60"/>
      <c r="P2462" s="60"/>
      <c r="Q2462" s="60"/>
      <c r="R2462" s="58"/>
      <c r="S2462" s="62" t="str">
        <f aca="false">IF(OR(B2462="",V2462=""),"",IFERROR(INDEX(C_TIPO,MATCH(V2462&amp;"-P"&amp;MAX(1,COUNTIFS(C_RUTN,V2462,C_DEF,"Sí",C_INI,"&lt;="&amp;EOMONTH(B2462,0))),C_CLAVE,0))&amp;"","Sin contrato"))</f>
        <v/>
      </c>
      <c r="T2462" s="63" t="str">
        <f aca="false">IF(OR(B2462="",N(O2462)=0),"",N(O2462)+ROUND(MIN(N(N2462),TOPE_UF*UF_MES)*(TASA_EMP+MUTUAL),0)+ROUND(MIN(N(N2462),TOPE_AFC_UF*UF_MES)*IF(S2462="Indefinido",AFC_INDEF,AFC_PF),0))</f>
        <v/>
      </c>
      <c r="U2462" s="62" t="str">
        <f aca="false">IF(C2462="","",IF(LEFT(D2462,1)="⚠","⚠ RUT no registrado en Trabajadores",IF(B2462="","⚠ Falta el mes",IF(OR(ISTEXT(I2462),ISTEXT(J2462)),"⚠ Atrasos u horas extra como texto: escriba hh:mm (ej. 1:30)",IF(AND(ISNUMBER(Q2462),COUNTIFS(M_RUTN,V2462,M_MES,B2462,M_LIQ,"&lt;&gt;")&gt;1),"⚠ Liquidación repetida en el mes",IF(AND(ISNUMBER(O2462),ISNUMBER(P2462),ISNUMBER(Q2462),ABS(O2462-P2462-Q2462)&gt;1),"⚠ Haberes − descuentos no da el líquido","OK"))))))</f>
        <v/>
      </c>
      <c r="V2462" s="62" t="str">
        <f aca="false">IF(C2462="","",IFERROR(VALUE(LEFT(UPPER(SUBSTITUTE(SUBSTITUTE(SUBSTITUTE(TRIM(C2462),".",""),"-","")," ","")),LEN(UPPER(SUBSTITUTE(SUBSTITUTE(SUBSTITUTE(TRIM(C2462),".",""),"-","")," ","")))-1))&amp;RIGHT(UPPER(SUBSTITUTE(SUBSTITUTE(SUBSTITUTE(TRIM(C2462),".",""),"-","")," ","")),1),UPPER(SUBSTITUTE(SUBSTITUTE(SUBSTITUTE(TRIM(C2462),".",""),"-","")," ",""))))</f>
        <v/>
      </c>
    </row>
    <row r="2463" customFormat="false" ht="15" hidden="false" customHeight="false" outlineLevel="0" collapsed="false">
      <c r="B2463" s="80"/>
      <c r="C2463" s="58"/>
      <c r="D2463" s="62" t="str">
        <f aca="false">IF(C2463="","",IFERROR(INDEX(T_NOMBRE,MATCH(V2463,T_RUTN,0)),"⚠ RUT no está en Trabajadores"))</f>
        <v/>
      </c>
      <c r="E2463" s="61"/>
      <c r="F2463" s="61"/>
      <c r="G2463" s="61"/>
      <c r="H2463" s="61"/>
      <c r="I2463" s="81"/>
      <c r="J2463" s="81"/>
      <c r="K2463" s="60"/>
      <c r="L2463" s="60"/>
      <c r="M2463" s="60"/>
      <c r="N2463" s="60"/>
      <c r="O2463" s="60"/>
      <c r="P2463" s="60"/>
      <c r="Q2463" s="60"/>
      <c r="R2463" s="58"/>
      <c r="S2463" s="62" t="str">
        <f aca="false">IF(OR(B2463="",V2463=""),"",IFERROR(INDEX(C_TIPO,MATCH(V2463&amp;"-P"&amp;MAX(1,COUNTIFS(C_RUTN,V2463,C_DEF,"Sí",C_INI,"&lt;="&amp;EOMONTH(B2463,0))),C_CLAVE,0))&amp;"","Sin contrato"))</f>
        <v/>
      </c>
      <c r="T2463" s="63" t="str">
        <f aca="false">IF(OR(B2463="",N(O2463)=0),"",N(O2463)+ROUND(MIN(N(N2463),TOPE_UF*UF_MES)*(TASA_EMP+MUTUAL),0)+ROUND(MIN(N(N2463),TOPE_AFC_UF*UF_MES)*IF(S2463="Indefinido",AFC_INDEF,AFC_PF),0))</f>
        <v/>
      </c>
      <c r="U2463" s="62" t="str">
        <f aca="false">IF(C2463="","",IF(LEFT(D2463,1)="⚠","⚠ RUT no registrado en Trabajadores",IF(B2463="","⚠ Falta el mes",IF(OR(ISTEXT(I2463),ISTEXT(J2463)),"⚠ Atrasos u horas extra como texto: escriba hh:mm (ej. 1:30)",IF(AND(ISNUMBER(Q2463),COUNTIFS(M_RUTN,V2463,M_MES,B2463,M_LIQ,"&lt;&gt;")&gt;1),"⚠ Liquidación repetida en el mes",IF(AND(ISNUMBER(O2463),ISNUMBER(P2463),ISNUMBER(Q2463),ABS(O2463-P2463-Q2463)&gt;1),"⚠ Haberes − descuentos no da el líquido","OK"))))))</f>
        <v/>
      </c>
      <c r="V2463" s="62" t="str">
        <f aca="false">IF(C2463="","",IFERROR(VALUE(LEFT(UPPER(SUBSTITUTE(SUBSTITUTE(SUBSTITUTE(TRIM(C2463),".",""),"-","")," ","")),LEN(UPPER(SUBSTITUTE(SUBSTITUTE(SUBSTITUTE(TRIM(C2463),".",""),"-","")," ","")))-1))&amp;RIGHT(UPPER(SUBSTITUTE(SUBSTITUTE(SUBSTITUTE(TRIM(C2463),".",""),"-","")," ","")),1),UPPER(SUBSTITUTE(SUBSTITUTE(SUBSTITUTE(TRIM(C2463),".",""),"-","")," ",""))))</f>
        <v/>
      </c>
    </row>
    <row r="2464" customFormat="false" ht="15" hidden="false" customHeight="false" outlineLevel="0" collapsed="false">
      <c r="B2464" s="80"/>
      <c r="C2464" s="58"/>
      <c r="D2464" s="62" t="str">
        <f aca="false">IF(C2464="","",IFERROR(INDEX(T_NOMBRE,MATCH(V2464,T_RUTN,0)),"⚠ RUT no está en Trabajadores"))</f>
        <v/>
      </c>
      <c r="E2464" s="61"/>
      <c r="F2464" s="61"/>
      <c r="G2464" s="61"/>
      <c r="H2464" s="61"/>
      <c r="I2464" s="81"/>
      <c r="J2464" s="81"/>
      <c r="K2464" s="60"/>
      <c r="L2464" s="60"/>
      <c r="M2464" s="60"/>
      <c r="N2464" s="60"/>
      <c r="O2464" s="60"/>
      <c r="P2464" s="60"/>
      <c r="Q2464" s="60"/>
      <c r="R2464" s="58"/>
      <c r="S2464" s="62" t="str">
        <f aca="false">IF(OR(B2464="",V2464=""),"",IFERROR(INDEX(C_TIPO,MATCH(V2464&amp;"-P"&amp;MAX(1,COUNTIFS(C_RUTN,V2464,C_DEF,"Sí",C_INI,"&lt;="&amp;EOMONTH(B2464,0))),C_CLAVE,0))&amp;"","Sin contrato"))</f>
        <v/>
      </c>
      <c r="T2464" s="63" t="str">
        <f aca="false">IF(OR(B2464="",N(O2464)=0),"",N(O2464)+ROUND(MIN(N(N2464),TOPE_UF*UF_MES)*(TASA_EMP+MUTUAL),0)+ROUND(MIN(N(N2464),TOPE_AFC_UF*UF_MES)*IF(S2464="Indefinido",AFC_INDEF,AFC_PF),0))</f>
        <v/>
      </c>
      <c r="U2464" s="62" t="str">
        <f aca="false">IF(C2464="","",IF(LEFT(D2464,1)="⚠","⚠ RUT no registrado en Trabajadores",IF(B2464="","⚠ Falta el mes",IF(OR(ISTEXT(I2464),ISTEXT(J2464)),"⚠ Atrasos u horas extra como texto: escriba hh:mm (ej. 1:30)",IF(AND(ISNUMBER(Q2464),COUNTIFS(M_RUTN,V2464,M_MES,B2464,M_LIQ,"&lt;&gt;")&gt;1),"⚠ Liquidación repetida en el mes",IF(AND(ISNUMBER(O2464),ISNUMBER(P2464),ISNUMBER(Q2464),ABS(O2464-P2464-Q2464)&gt;1),"⚠ Haberes − descuentos no da el líquido","OK"))))))</f>
        <v/>
      </c>
      <c r="V2464" s="62" t="str">
        <f aca="false">IF(C2464="","",IFERROR(VALUE(LEFT(UPPER(SUBSTITUTE(SUBSTITUTE(SUBSTITUTE(TRIM(C2464),".",""),"-","")," ","")),LEN(UPPER(SUBSTITUTE(SUBSTITUTE(SUBSTITUTE(TRIM(C2464),".",""),"-","")," ","")))-1))&amp;RIGHT(UPPER(SUBSTITUTE(SUBSTITUTE(SUBSTITUTE(TRIM(C2464),".",""),"-","")," ","")),1),UPPER(SUBSTITUTE(SUBSTITUTE(SUBSTITUTE(TRIM(C2464),".",""),"-","")," ",""))))</f>
        <v/>
      </c>
    </row>
    <row r="2465" customFormat="false" ht="15" hidden="false" customHeight="false" outlineLevel="0" collapsed="false">
      <c r="B2465" s="80"/>
      <c r="C2465" s="58"/>
      <c r="D2465" s="62" t="str">
        <f aca="false">IF(C2465="","",IFERROR(INDEX(T_NOMBRE,MATCH(V2465,T_RUTN,0)),"⚠ RUT no está en Trabajadores"))</f>
        <v/>
      </c>
      <c r="E2465" s="61"/>
      <c r="F2465" s="61"/>
      <c r="G2465" s="61"/>
      <c r="H2465" s="61"/>
      <c r="I2465" s="81"/>
      <c r="J2465" s="81"/>
      <c r="K2465" s="60"/>
      <c r="L2465" s="60"/>
      <c r="M2465" s="60"/>
      <c r="N2465" s="60"/>
      <c r="O2465" s="60"/>
      <c r="P2465" s="60"/>
      <c r="Q2465" s="60"/>
      <c r="R2465" s="58"/>
      <c r="S2465" s="62" t="str">
        <f aca="false">IF(OR(B2465="",V2465=""),"",IFERROR(INDEX(C_TIPO,MATCH(V2465&amp;"-P"&amp;MAX(1,COUNTIFS(C_RUTN,V2465,C_DEF,"Sí",C_INI,"&lt;="&amp;EOMONTH(B2465,0))),C_CLAVE,0))&amp;"","Sin contrato"))</f>
        <v/>
      </c>
      <c r="T2465" s="63" t="str">
        <f aca="false">IF(OR(B2465="",N(O2465)=0),"",N(O2465)+ROUND(MIN(N(N2465),TOPE_UF*UF_MES)*(TASA_EMP+MUTUAL),0)+ROUND(MIN(N(N2465),TOPE_AFC_UF*UF_MES)*IF(S2465="Indefinido",AFC_INDEF,AFC_PF),0))</f>
        <v/>
      </c>
      <c r="U2465" s="62" t="str">
        <f aca="false">IF(C2465="","",IF(LEFT(D2465,1)="⚠","⚠ RUT no registrado en Trabajadores",IF(B2465="","⚠ Falta el mes",IF(OR(ISTEXT(I2465),ISTEXT(J2465)),"⚠ Atrasos u horas extra como texto: escriba hh:mm (ej. 1:30)",IF(AND(ISNUMBER(Q2465),COUNTIFS(M_RUTN,V2465,M_MES,B2465,M_LIQ,"&lt;&gt;")&gt;1),"⚠ Liquidación repetida en el mes",IF(AND(ISNUMBER(O2465),ISNUMBER(P2465),ISNUMBER(Q2465),ABS(O2465-P2465-Q2465)&gt;1),"⚠ Haberes − descuentos no da el líquido","OK"))))))</f>
        <v/>
      </c>
      <c r="V2465" s="62" t="str">
        <f aca="false">IF(C2465="","",IFERROR(VALUE(LEFT(UPPER(SUBSTITUTE(SUBSTITUTE(SUBSTITUTE(TRIM(C2465),".",""),"-","")," ","")),LEN(UPPER(SUBSTITUTE(SUBSTITUTE(SUBSTITUTE(TRIM(C2465),".",""),"-","")," ","")))-1))&amp;RIGHT(UPPER(SUBSTITUTE(SUBSTITUTE(SUBSTITUTE(TRIM(C2465),".",""),"-","")," ","")),1),UPPER(SUBSTITUTE(SUBSTITUTE(SUBSTITUTE(TRIM(C2465),".",""),"-","")," ",""))))</f>
        <v/>
      </c>
    </row>
    <row r="2466" customFormat="false" ht="15" hidden="false" customHeight="false" outlineLevel="0" collapsed="false">
      <c r="B2466" s="80"/>
      <c r="C2466" s="58"/>
      <c r="D2466" s="62" t="str">
        <f aca="false">IF(C2466="","",IFERROR(INDEX(T_NOMBRE,MATCH(V2466,T_RUTN,0)),"⚠ RUT no está en Trabajadores"))</f>
        <v/>
      </c>
      <c r="E2466" s="61"/>
      <c r="F2466" s="61"/>
      <c r="G2466" s="61"/>
      <c r="H2466" s="61"/>
      <c r="I2466" s="81"/>
      <c r="J2466" s="81"/>
      <c r="K2466" s="60"/>
      <c r="L2466" s="60"/>
      <c r="M2466" s="60"/>
      <c r="N2466" s="60"/>
      <c r="O2466" s="60"/>
      <c r="P2466" s="60"/>
      <c r="Q2466" s="60"/>
      <c r="R2466" s="58"/>
      <c r="S2466" s="62" t="str">
        <f aca="false">IF(OR(B2466="",V2466=""),"",IFERROR(INDEX(C_TIPO,MATCH(V2466&amp;"-P"&amp;MAX(1,COUNTIFS(C_RUTN,V2466,C_DEF,"Sí",C_INI,"&lt;="&amp;EOMONTH(B2466,0))),C_CLAVE,0))&amp;"","Sin contrato"))</f>
        <v/>
      </c>
      <c r="T2466" s="63" t="str">
        <f aca="false">IF(OR(B2466="",N(O2466)=0),"",N(O2466)+ROUND(MIN(N(N2466),TOPE_UF*UF_MES)*(TASA_EMP+MUTUAL),0)+ROUND(MIN(N(N2466),TOPE_AFC_UF*UF_MES)*IF(S2466="Indefinido",AFC_INDEF,AFC_PF),0))</f>
        <v/>
      </c>
      <c r="U2466" s="62" t="str">
        <f aca="false">IF(C2466="","",IF(LEFT(D2466,1)="⚠","⚠ RUT no registrado en Trabajadores",IF(B2466="","⚠ Falta el mes",IF(OR(ISTEXT(I2466),ISTEXT(J2466)),"⚠ Atrasos u horas extra como texto: escriba hh:mm (ej. 1:30)",IF(AND(ISNUMBER(Q2466),COUNTIFS(M_RUTN,V2466,M_MES,B2466,M_LIQ,"&lt;&gt;")&gt;1),"⚠ Liquidación repetida en el mes",IF(AND(ISNUMBER(O2466),ISNUMBER(P2466),ISNUMBER(Q2466),ABS(O2466-P2466-Q2466)&gt;1),"⚠ Haberes − descuentos no da el líquido","OK"))))))</f>
        <v/>
      </c>
      <c r="V2466" s="62" t="str">
        <f aca="false">IF(C2466="","",IFERROR(VALUE(LEFT(UPPER(SUBSTITUTE(SUBSTITUTE(SUBSTITUTE(TRIM(C2466),".",""),"-","")," ","")),LEN(UPPER(SUBSTITUTE(SUBSTITUTE(SUBSTITUTE(TRIM(C2466),".",""),"-","")," ","")))-1))&amp;RIGHT(UPPER(SUBSTITUTE(SUBSTITUTE(SUBSTITUTE(TRIM(C2466),".",""),"-","")," ","")),1),UPPER(SUBSTITUTE(SUBSTITUTE(SUBSTITUTE(TRIM(C2466),".",""),"-","")," ",""))))</f>
        <v/>
      </c>
    </row>
    <row r="2467" customFormat="false" ht="15" hidden="false" customHeight="false" outlineLevel="0" collapsed="false">
      <c r="B2467" s="80"/>
      <c r="C2467" s="58"/>
      <c r="D2467" s="62" t="str">
        <f aca="false">IF(C2467="","",IFERROR(INDEX(T_NOMBRE,MATCH(V2467,T_RUTN,0)),"⚠ RUT no está en Trabajadores"))</f>
        <v/>
      </c>
      <c r="E2467" s="61"/>
      <c r="F2467" s="61"/>
      <c r="G2467" s="61"/>
      <c r="H2467" s="61"/>
      <c r="I2467" s="81"/>
      <c r="J2467" s="81"/>
      <c r="K2467" s="60"/>
      <c r="L2467" s="60"/>
      <c r="M2467" s="60"/>
      <c r="N2467" s="60"/>
      <c r="O2467" s="60"/>
      <c r="P2467" s="60"/>
      <c r="Q2467" s="60"/>
      <c r="R2467" s="58"/>
      <c r="S2467" s="62" t="str">
        <f aca="false">IF(OR(B2467="",V2467=""),"",IFERROR(INDEX(C_TIPO,MATCH(V2467&amp;"-P"&amp;MAX(1,COUNTIFS(C_RUTN,V2467,C_DEF,"Sí",C_INI,"&lt;="&amp;EOMONTH(B2467,0))),C_CLAVE,0))&amp;"","Sin contrato"))</f>
        <v/>
      </c>
      <c r="T2467" s="63" t="str">
        <f aca="false">IF(OR(B2467="",N(O2467)=0),"",N(O2467)+ROUND(MIN(N(N2467),TOPE_UF*UF_MES)*(TASA_EMP+MUTUAL),0)+ROUND(MIN(N(N2467),TOPE_AFC_UF*UF_MES)*IF(S2467="Indefinido",AFC_INDEF,AFC_PF),0))</f>
        <v/>
      </c>
      <c r="U2467" s="62" t="str">
        <f aca="false">IF(C2467="","",IF(LEFT(D2467,1)="⚠","⚠ RUT no registrado en Trabajadores",IF(B2467="","⚠ Falta el mes",IF(OR(ISTEXT(I2467),ISTEXT(J2467)),"⚠ Atrasos u horas extra como texto: escriba hh:mm (ej. 1:30)",IF(AND(ISNUMBER(Q2467),COUNTIFS(M_RUTN,V2467,M_MES,B2467,M_LIQ,"&lt;&gt;")&gt;1),"⚠ Liquidación repetida en el mes",IF(AND(ISNUMBER(O2467),ISNUMBER(P2467),ISNUMBER(Q2467),ABS(O2467-P2467-Q2467)&gt;1),"⚠ Haberes − descuentos no da el líquido","OK"))))))</f>
        <v/>
      </c>
      <c r="V2467" s="62" t="str">
        <f aca="false">IF(C2467="","",IFERROR(VALUE(LEFT(UPPER(SUBSTITUTE(SUBSTITUTE(SUBSTITUTE(TRIM(C2467),".",""),"-","")," ","")),LEN(UPPER(SUBSTITUTE(SUBSTITUTE(SUBSTITUTE(TRIM(C2467),".",""),"-","")," ","")))-1))&amp;RIGHT(UPPER(SUBSTITUTE(SUBSTITUTE(SUBSTITUTE(TRIM(C2467),".",""),"-","")," ","")),1),UPPER(SUBSTITUTE(SUBSTITUTE(SUBSTITUTE(TRIM(C2467),".",""),"-","")," ",""))))</f>
        <v/>
      </c>
    </row>
    <row r="2468" customFormat="false" ht="15" hidden="false" customHeight="false" outlineLevel="0" collapsed="false">
      <c r="B2468" s="80"/>
      <c r="C2468" s="58"/>
      <c r="D2468" s="62" t="str">
        <f aca="false">IF(C2468="","",IFERROR(INDEX(T_NOMBRE,MATCH(V2468,T_RUTN,0)),"⚠ RUT no está en Trabajadores"))</f>
        <v/>
      </c>
      <c r="E2468" s="61"/>
      <c r="F2468" s="61"/>
      <c r="G2468" s="61"/>
      <c r="H2468" s="61"/>
      <c r="I2468" s="81"/>
      <c r="J2468" s="81"/>
      <c r="K2468" s="60"/>
      <c r="L2468" s="60"/>
      <c r="M2468" s="60"/>
      <c r="N2468" s="60"/>
      <c r="O2468" s="60"/>
      <c r="P2468" s="60"/>
      <c r="Q2468" s="60"/>
      <c r="R2468" s="58"/>
      <c r="S2468" s="62" t="str">
        <f aca="false">IF(OR(B2468="",V2468=""),"",IFERROR(INDEX(C_TIPO,MATCH(V2468&amp;"-P"&amp;MAX(1,COUNTIFS(C_RUTN,V2468,C_DEF,"Sí",C_INI,"&lt;="&amp;EOMONTH(B2468,0))),C_CLAVE,0))&amp;"","Sin contrato"))</f>
        <v/>
      </c>
      <c r="T2468" s="63" t="str">
        <f aca="false">IF(OR(B2468="",N(O2468)=0),"",N(O2468)+ROUND(MIN(N(N2468),TOPE_UF*UF_MES)*(TASA_EMP+MUTUAL),0)+ROUND(MIN(N(N2468),TOPE_AFC_UF*UF_MES)*IF(S2468="Indefinido",AFC_INDEF,AFC_PF),0))</f>
        <v/>
      </c>
      <c r="U2468" s="62" t="str">
        <f aca="false">IF(C2468="","",IF(LEFT(D2468,1)="⚠","⚠ RUT no registrado en Trabajadores",IF(B2468="","⚠ Falta el mes",IF(OR(ISTEXT(I2468),ISTEXT(J2468)),"⚠ Atrasos u horas extra como texto: escriba hh:mm (ej. 1:30)",IF(AND(ISNUMBER(Q2468),COUNTIFS(M_RUTN,V2468,M_MES,B2468,M_LIQ,"&lt;&gt;")&gt;1),"⚠ Liquidación repetida en el mes",IF(AND(ISNUMBER(O2468),ISNUMBER(P2468),ISNUMBER(Q2468),ABS(O2468-P2468-Q2468)&gt;1),"⚠ Haberes − descuentos no da el líquido","OK"))))))</f>
        <v/>
      </c>
      <c r="V2468" s="62" t="str">
        <f aca="false">IF(C2468="","",IFERROR(VALUE(LEFT(UPPER(SUBSTITUTE(SUBSTITUTE(SUBSTITUTE(TRIM(C2468),".",""),"-","")," ","")),LEN(UPPER(SUBSTITUTE(SUBSTITUTE(SUBSTITUTE(TRIM(C2468),".",""),"-","")," ","")))-1))&amp;RIGHT(UPPER(SUBSTITUTE(SUBSTITUTE(SUBSTITUTE(TRIM(C2468),".",""),"-","")," ","")),1),UPPER(SUBSTITUTE(SUBSTITUTE(SUBSTITUTE(TRIM(C2468),".",""),"-","")," ",""))))</f>
        <v/>
      </c>
    </row>
    <row r="2469" customFormat="false" ht="15" hidden="false" customHeight="false" outlineLevel="0" collapsed="false">
      <c r="B2469" s="80"/>
      <c r="C2469" s="58"/>
      <c r="D2469" s="62" t="str">
        <f aca="false">IF(C2469="","",IFERROR(INDEX(T_NOMBRE,MATCH(V2469,T_RUTN,0)),"⚠ RUT no está en Trabajadores"))</f>
        <v/>
      </c>
      <c r="E2469" s="61"/>
      <c r="F2469" s="61"/>
      <c r="G2469" s="61"/>
      <c r="H2469" s="61"/>
      <c r="I2469" s="81"/>
      <c r="J2469" s="81"/>
      <c r="K2469" s="60"/>
      <c r="L2469" s="60"/>
      <c r="M2469" s="60"/>
      <c r="N2469" s="60"/>
      <c r="O2469" s="60"/>
      <c r="P2469" s="60"/>
      <c r="Q2469" s="60"/>
      <c r="R2469" s="58"/>
      <c r="S2469" s="62" t="str">
        <f aca="false">IF(OR(B2469="",V2469=""),"",IFERROR(INDEX(C_TIPO,MATCH(V2469&amp;"-P"&amp;MAX(1,COUNTIFS(C_RUTN,V2469,C_DEF,"Sí",C_INI,"&lt;="&amp;EOMONTH(B2469,0))),C_CLAVE,0))&amp;"","Sin contrato"))</f>
        <v/>
      </c>
      <c r="T2469" s="63" t="str">
        <f aca="false">IF(OR(B2469="",N(O2469)=0),"",N(O2469)+ROUND(MIN(N(N2469),TOPE_UF*UF_MES)*(TASA_EMP+MUTUAL),0)+ROUND(MIN(N(N2469),TOPE_AFC_UF*UF_MES)*IF(S2469="Indefinido",AFC_INDEF,AFC_PF),0))</f>
        <v/>
      </c>
      <c r="U2469" s="62" t="str">
        <f aca="false">IF(C2469="","",IF(LEFT(D2469,1)="⚠","⚠ RUT no registrado en Trabajadores",IF(B2469="","⚠ Falta el mes",IF(OR(ISTEXT(I2469),ISTEXT(J2469)),"⚠ Atrasos u horas extra como texto: escriba hh:mm (ej. 1:30)",IF(AND(ISNUMBER(Q2469),COUNTIFS(M_RUTN,V2469,M_MES,B2469,M_LIQ,"&lt;&gt;")&gt;1),"⚠ Liquidación repetida en el mes",IF(AND(ISNUMBER(O2469),ISNUMBER(P2469),ISNUMBER(Q2469),ABS(O2469-P2469-Q2469)&gt;1),"⚠ Haberes − descuentos no da el líquido","OK"))))))</f>
        <v/>
      </c>
      <c r="V2469" s="62" t="str">
        <f aca="false">IF(C2469="","",IFERROR(VALUE(LEFT(UPPER(SUBSTITUTE(SUBSTITUTE(SUBSTITUTE(TRIM(C2469),".",""),"-","")," ","")),LEN(UPPER(SUBSTITUTE(SUBSTITUTE(SUBSTITUTE(TRIM(C2469),".",""),"-","")," ","")))-1))&amp;RIGHT(UPPER(SUBSTITUTE(SUBSTITUTE(SUBSTITUTE(TRIM(C2469),".",""),"-","")," ","")),1),UPPER(SUBSTITUTE(SUBSTITUTE(SUBSTITUTE(TRIM(C2469),".",""),"-","")," ",""))))</f>
        <v/>
      </c>
    </row>
    <row r="2470" customFormat="false" ht="15" hidden="false" customHeight="false" outlineLevel="0" collapsed="false">
      <c r="B2470" s="80"/>
      <c r="C2470" s="58"/>
      <c r="D2470" s="62" t="str">
        <f aca="false">IF(C2470="","",IFERROR(INDEX(T_NOMBRE,MATCH(V2470,T_RUTN,0)),"⚠ RUT no está en Trabajadores"))</f>
        <v/>
      </c>
      <c r="E2470" s="61"/>
      <c r="F2470" s="61"/>
      <c r="G2470" s="61"/>
      <c r="H2470" s="61"/>
      <c r="I2470" s="81"/>
      <c r="J2470" s="81"/>
      <c r="K2470" s="60"/>
      <c r="L2470" s="60"/>
      <c r="M2470" s="60"/>
      <c r="N2470" s="60"/>
      <c r="O2470" s="60"/>
      <c r="P2470" s="60"/>
      <c r="Q2470" s="60"/>
      <c r="R2470" s="58"/>
      <c r="S2470" s="62" t="str">
        <f aca="false">IF(OR(B2470="",V2470=""),"",IFERROR(INDEX(C_TIPO,MATCH(V2470&amp;"-P"&amp;MAX(1,COUNTIFS(C_RUTN,V2470,C_DEF,"Sí",C_INI,"&lt;="&amp;EOMONTH(B2470,0))),C_CLAVE,0))&amp;"","Sin contrato"))</f>
        <v/>
      </c>
      <c r="T2470" s="63" t="str">
        <f aca="false">IF(OR(B2470="",N(O2470)=0),"",N(O2470)+ROUND(MIN(N(N2470),TOPE_UF*UF_MES)*(TASA_EMP+MUTUAL),0)+ROUND(MIN(N(N2470),TOPE_AFC_UF*UF_MES)*IF(S2470="Indefinido",AFC_INDEF,AFC_PF),0))</f>
        <v/>
      </c>
      <c r="U2470" s="62" t="str">
        <f aca="false">IF(C2470="","",IF(LEFT(D2470,1)="⚠","⚠ RUT no registrado en Trabajadores",IF(B2470="","⚠ Falta el mes",IF(OR(ISTEXT(I2470),ISTEXT(J2470)),"⚠ Atrasos u horas extra como texto: escriba hh:mm (ej. 1:30)",IF(AND(ISNUMBER(Q2470),COUNTIFS(M_RUTN,V2470,M_MES,B2470,M_LIQ,"&lt;&gt;")&gt;1),"⚠ Liquidación repetida en el mes",IF(AND(ISNUMBER(O2470),ISNUMBER(P2470),ISNUMBER(Q2470),ABS(O2470-P2470-Q2470)&gt;1),"⚠ Haberes − descuentos no da el líquido","OK"))))))</f>
        <v/>
      </c>
      <c r="V2470" s="62" t="str">
        <f aca="false">IF(C2470="","",IFERROR(VALUE(LEFT(UPPER(SUBSTITUTE(SUBSTITUTE(SUBSTITUTE(TRIM(C2470),".",""),"-","")," ","")),LEN(UPPER(SUBSTITUTE(SUBSTITUTE(SUBSTITUTE(TRIM(C2470),".",""),"-","")," ","")))-1))&amp;RIGHT(UPPER(SUBSTITUTE(SUBSTITUTE(SUBSTITUTE(TRIM(C2470),".",""),"-","")," ","")),1),UPPER(SUBSTITUTE(SUBSTITUTE(SUBSTITUTE(TRIM(C2470),".",""),"-","")," ",""))))</f>
        <v/>
      </c>
    </row>
    <row r="2471" customFormat="false" ht="15" hidden="false" customHeight="false" outlineLevel="0" collapsed="false">
      <c r="B2471" s="80"/>
      <c r="C2471" s="58"/>
      <c r="D2471" s="62" t="str">
        <f aca="false">IF(C2471="","",IFERROR(INDEX(T_NOMBRE,MATCH(V2471,T_RUTN,0)),"⚠ RUT no está en Trabajadores"))</f>
        <v/>
      </c>
      <c r="E2471" s="61"/>
      <c r="F2471" s="61"/>
      <c r="G2471" s="61"/>
      <c r="H2471" s="61"/>
      <c r="I2471" s="81"/>
      <c r="J2471" s="81"/>
      <c r="K2471" s="60"/>
      <c r="L2471" s="60"/>
      <c r="M2471" s="60"/>
      <c r="N2471" s="60"/>
      <c r="O2471" s="60"/>
      <c r="P2471" s="60"/>
      <c r="Q2471" s="60"/>
      <c r="R2471" s="58"/>
      <c r="S2471" s="62" t="str">
        <f aca="false">IF(OR(B2471="",V2471=""),"",IFERROR(INDEX(C_TIPO,MATCH(V2471&amp;"-P"&amp;MAX(1,COUNTIFS(C_RUTN,V2471,C_DEF,"Sí",C_INI,"&lt;="&amp;EOMONTH(B2471,0))),C_CLAVE,0))&amp;"","Sin contrato"))</f>
        <v/>
      </c>
      <c r="T2471" s="63" t="str">
        <f aca="false">IF(OR(B2471="",N(O2471)=0),"",N(O2471)+ROUND(MIN(N(N2471),TOPE_UF*UF_MES)*(TASA_EMP+MUTUAL),0)+ROUND(MIN(N(N2471),TOPE_AFC_UF*UF_MES)*IF(S2471="Indefinido",AFC_INDEF,AFC_PF),0))</f>
        <v/>
      </c>
      <c r="U2471" s="62" t="str">
        <f aca="false">IF(C2471="","",IF(LEFT(D2471,1)="⚠","⚠ RUT no registrado en Trabajadores",IF(B2471="","⚠ Falta el mes",IF(OR(ISTEXT(I2471),ISTEXT(J2471)),"⚠ Atrasos u horas extra como texto: escriba hh:mm (ej. 1:30)",IF(AND(ISNUMBER(Q2471),COUNTIFS(M_RUTN,V2471,M_MES,B2471,M_LIQ,"&lt;&gt;")&gt;1),"⚠ Liquidación repetida en el mes",IF(AND(ISNUMBER(O2471),ISNUMBER(P2471),ISNUMBER(Q2471),ABS(O2471-P2471-Q2471)&gt;1),"⚠ Haberes − descuentos no da el líquido","OK"))))))</f>
        <v/>
      </c>
      <c r="V2471" s="62" t="str">
        <f aca="false">IF(C2471="","",IFERROR(VALUE(LEFT(UPPER(SUBSTITUTE(SUBSTITUTE(SUBSTITUTE(TRIM(C2471),".",""),"-","")," ","")),LEN(UPPER(SUBSTITUTE(SUBSTITUTE(SUBSTITUTE(TRIM(C2471),".",""),"-","")," ","")))-1))&amp;RIGHT(UPPER(SUBSTITUTE(SUBSTITUTE(SUBSTITUTE(TRIM(C2471),".",""),"-","")," ","")),1),UPPER(SUBSTITUTE(SUBSTITUTE(SUBSTITUTE(TRIM(C2471),".",""),"-","")," ",""))))</f>
        <v/>
      </c>
    </row>
    <row r="2472" customFormat="false" ht="15" hidden="false" customHeight="false" outlineLevel="0" collapsed="false">
      <c r="B2472" s="80"/>
      <c r="C2472" s="58"/>
      <c r="D2472" s="62" t="str">
        <f aca="false">IF(C2472="","",IFERROR(INDEX(T_NOMBRE,MATCH(V2472,T_RUTN,0)),"⚠ RUT no está en Trabajadores"))</f>
        <v/>
      </c>
      <c r="E2472" s="61"/>
      <c r="F2472" s="61"/>
      <c r="G2472" s="61"/>
      <c r="H2472" s="61"/>
      <c r="I2472" s="81"/>
      <c r="J2472" s="81"/>
      <c r="K2472" s="60"/>
      <c r="L2472" s="60"/>
      <c r="M2472" s="60"/>
      <c r="N2472" s="60"/>
      <c r="O2472" s="60"/>
      <c r="P2472" s="60"/>
      <c r="Q2472" s="60"/>
      <c r="R2472" s="58"/>
      <c r="S2472" s="62" t="str">
        <f aca="false">IF(OR(B2472="",V2472=""),"",IFERROR(INDEX(C_TIPO,MATCH(V2472&amp;"-P"&amp;MAX(1,COUNTIFS(C_RUTN,V2472,C_DEF,"Sí",C_INI,"&lt;="&amp;EOMONTH(B2472,0))),C_CLAVE,0))&amp;"","Sin contrato"))</f>
        <v/>
      </c>
      <c r="T2472" s="63" t="str">
        <f aca="false">IF(OR(B2472="",N(O2472)=0),"",N(O2472)+ROUND(MIN(N(N2472),TOPE_UF*UF_MES)*(TASA_EMP+MUTUAL),0)+ROUND(MIN(N(N2472),TOPE_AFC_UF*UF_MES)*IF(S2472="Indefinido",AFC_INDEF,AFC_PF),0))</f>
        <v/>
      </c>
      <c r="U2472" s="62" t="str">
        <f aca="false">IF(C2472="","",IF(LEFT(D2472,1)="⚠","⚠ RUT no registrado en Trabajadores",IF(B2472="","⚠ Falta el mes",IF(OR(ISTEXT(I2472),ISTEXT(J2472)),"⚠ Atrasos u horas extra como texto: escriba hh:mm (ej. 1:30)",IF(AND(ISNUMBER(Q2472),COUNTIFS(M_RUTN,V2472,M_MES,B2472,M_LIQ,"&lt;&gt;")&gt;1),"⚠ Liquidación repetida en el mes",IF(AND(ISNUMBER(O2472),ISNUMBER(P2472),ISNUMBER(Q2472),ABS(O2472-P2472-Q2472)&gt;1),"⚠ Haberes − descuentos no da el líquido","OK"))))))</f>
        <v/>
      </c>
      <c r="V2472" s="62" t="str">
        <f aca="false">IF(C2472="","",IFERROR(VALUE(LEFT(UPPER(SUBSTITUTE(SUBSTITUTE(SUBSTITUTE(TRIM(C2472),".",""),"-","")," ","")),LEN(UPPER(SUBSTITUTE(SUBSTITUTE(SUBSTITUTE(TRIM(C2472),".",""),"-","")," ","")))-1))&amp;RIGHT(UPPER(SUBSTITUTE(SUBSTITUTE(SUBSTITUTE(TRIM(C2472),".",""),"-","")," ","")),1),UPPER(SUBSTITUTE(SUBSTITUTE(SUBSTITUTE(TRIM(C2472),".",""),"-","")," ",""))))</f>
        <v/>
      </c>
    </row>
    <row r="2473" customFormat="false" ht="15" hidden="false" customHeight="false" outlineLevel="0" collapsed="false">
      <c r="B2473" s="80"/>
      <c r="C2473" s="58"/>
      <c r="D2473" s="62" t="str">
        <f aca="false">IF(C2473="","",IFERROR(INDEX(T_NOMBRE,MATCH(V2473,T_RUTN,0)),"⚠ RUT no está en Trabajadores"))</f>
        <v/>
      </c>
      <c r="E2473" s="61"/>
      <c r="F2473" s="61"/>
      <c r="G2473" s="61"/>
      <c r="H2473" s="61"/>
      <c r="I2473" s="81"/>
      <c r="J2473" s="81"/>
      <c r="K2473" s="60"/>
      <c r="L2473" s="60"/>
      <c r="M2473" s="60"/>
      <c r="N2473" s="60"/>
      <c r="O2473" s="60"/>
      <c r="P2473" s="60"/>
      <c r="Q2473" s="60"/>
      <c r="R2473" s="58"/>
      <c r="S2473" s="62" t="str">
        <f aca="false">IF(OR(B2473="",V2473=""),"",IFERROR(INDEX(C_TIPO,MATCH(V2473&amp;"-P"&amp;MAX(1,COUNTIFS(C_RUTN,V2473,C_DEF,"Sí",C_INI,"&lt;="&amp;EOMONTH(B2473,0))),C_CLAVE,0))&amp;"","Sin contrato"))</f>
        <v/>
      </c>
      <c r="T2473" s="63" t="str">
        <f aca="false">IF(OR(B2473="",N(O2473)=0),"",N(O2473)+ROUND(MIN(N(N2473),TOPE_UF*UF_MES)*(TASA_EMP+MUTUAL),0)+ROUND(MIN(N(N2473),TOPE_AFC_UF*UF_MES)*IF(S2473="Indefinido",AFC_INDEF,AFC_PF),0))</f>
        <v/>
      </c>
      <c r="U2473" s="62" t="str">
        <f aca="false">IF(C2473="","",IF(LEFT(D2473,1)="⚠","⚠ RUT no registrado en Trabajadores",IF(B2473="","⚠ Falta el mes",IF(OR(ISTEXT(I2473),ISTEXT(J2473)),"⚠ Atrasos u horas extra como texto: escriba hh:mm (ej. 1:30)",IF(AND(ISNUMBER(Q2473),COUNTIFS(M_RUTN,V2473,M_MES,B2473,M_LIQ,"&lt;&gt;")&gt;1),"⚠ Liquidación repetida en el mes",IF(AND(ISNUMBER(O2473),ISNUMBER(P2473),ISNUMBER(Q2473),ABS(O2473-P2473-Q2473)&gt;1),"⚠ Haberes − descuentos no da el líquido","OK"))))))</f>
        <v/>
      </c>
      <c r="V2473" s="62" t="str">
        <f aca="false">IF(C2473="","",IFERROR(VALUE(LEFT(UPPER(SUBSTITUTE(SUBSTITUTE(SUBSTITUTE(TRIM(C2473),".",""),"-","")," ","")),LEN(UPPER(SUBSTITUTE(SUBSTITUTE(SUBSTITUTE(TRIM(C2473),".",""),"-","")," ","")))-1))&amp;RIGHT(UPPER(SUBSTITUTE(SUBSTITUTE(SUBSTITUTE(TRIM(C2473),".",""),"-","")," ","")),1),UPPER(SUBSTITUTE(SUBSTITUTE(SUBSTITUTE(TRIM(C2473),".",""),"-","")," ",""))))</f>
        <v/>
      </c>
    </row>
    <row r="2474" customFormat="false" ht="15" hidden="false" customHeight="false" outlineLevel="0" collapsed="false">
      <c r="B2474" s="80"/>
      <c r="C2474" s="58"/>
      <c r="D2474" s="62" t="str">
        <f aca="false">IF(C2474="","",IFERROR(INDEX(T_NOMBRE,MATCH(V2474,T_RUTN,0)),"⚠ RUT no está en Trabajadores"))</f>
        <v/>
      </c>
      <c r="E2474" s="61"/>
      <c r="F2474" s="61"/>
      <c r="G2474" s="61"/>
      <c r="H2474" s="61"/>
      <c r="I2474" s="81"/>
      <c r="J2474" s="81"/>
      <c r="K2474" s="60"/>
      <c r="L2474" s="60"/>
      <c r="M2474" s="60"/>
      <c r="N2474" s="60"/>
      <c r="O2474" s="60"/>
      <c r="P2474" s="60"/>
      <c r="Q2474" s="60"/>
      <c r="R2474" s="58"/>
      <c r="S2474" s="62" t="str">
        <f aca="false">IF(OR(B2474="",V2474=""),"",IFERROR(INDEX(C_TIPO,MATCH(V2474&amp;"-P"&amp;MAX(1,COUNTIFS(C_RUTN,V2474,C_DEF,"Sí",C_INI,"&lt;="&amp;EOMONTH(B2474,0))),C_CLAVE,0))&amp;"","Sin contrato"))</f>
        <v/>
      </c>
      <c r="T2474" s="63" t="str">
        <f aca="false">IF(OR(B2474="",N(O2474)=0),"",N(O2474)+ROUND(MIN(N(N2474),TOPE_UF*UF_MES)*(TASA_EMP+MUTUAL),0)+ROUND(MIN(N(N2474),TOPE_AFC_UF*UF_MES)*IF(S2474="Indefinido",AFC_INDEF,AFC_PF),0))</f>
        <v/>
      </c>
      <c r="U2474" s="62" t="str">
        <f aca="false">IF(C2474="","",IF(LEFT(D2474,1)="⚠","⚠ RUT no registrado en Trabajadores",IF(B2474="","⚠ Falta el mes",IF(OR(ISTEXT(I2474),ISTEXT(J2474)),"⚠ Atrasos u horas extra como texto: escriba hh:mm (ej. 1:30)",IF(AND(ISNUMBER(Q2474),COUNTIFS(M_RUTN,V2474,M_MES,B2474,M_LIQ,"&lt;&gt;")&gt;1),"⚠ Liquidación repetida en el mes",IF(AND(ISNUMBER(O2474),ISNUMBER(P2474),ISNUMBER(Q2474),ABS(O2474-P2474-Q2474)&gt;1),"⚠ Haberes − descuentos no da el líquido","OK"))))))</f>
        <v/>
      </c>
      <c r="V2474" s="62" t="str">
        <f aca="false">IF(C2474="","",IFERROR(VALUE(LEFT(UPPER(SUBSTITUTE(SUBSTITUTE(SUBSTITUTE(TRIM(C2474),".",""),"-","")," ","")),LEN(UPPER(SUBSTITUTE(SUBSTITUTE(SUBSTITUTE(TRIM(C2474),".",""),"-","")," ","")))-1))&amp;RIGHT(UPPER(SUBSTITUTE(SUBSTITUTE(SUBSTITUTE(TRIM(C2474),".",""),"-","")," ","")),1),UPPER(SUBSTITUTE(SUBSTITUTE(SUBSTITUTE(TRIM(C2474),".",""),"-","")," ",""))))</f>
        <v/>
      </c>
    </row>
    <row r="2475" customFormat="false" ht="15" hidden="false" customHeight="false" outlineLevel="0" collapsed="false">
      <c r="B2475" s="80"/>
      <c r="C2475" s="58"/>
      <c r="D2475" s="62" t="str">
        <f aca="false">IF(C2475="","",IFERROR(INDEX(T_NOMBRE,MATCH(V2475,T_RUTN,0)),"⚠ RUT no está en Trabajadores"))</f>
        <v/>
      </c>
      <c r="E2475" s="61"/>
      <c r="F2475" s="61"/>
      <c r="G2475" s="61"/>
      <c r="H2475" s="61"/>
      <c r="I2475" s="81"/>
      <c r="J2475" s="81"/>
      <c r="K2475" s="60"/>
      <c r="L2475" s="60"/>
      <c r="M2475" s="60"/>
      <c r="N2475" s="60"/>
      <c r="O2475" s="60"/>
      <c r="P2475" s="60"/>
      <c r="Q2475" s="60"/>
      <c r="R2475" s="58"/>
      <c r="S2475" s="62" t="str">
        <f aca="false">IF(OR(B2475="",V2475=""),"",IFERROR(INDEX(C_TIPO,MATCH(V2475&amp;"-P"&amp;MAX(1,COUNTIFS(C_RUTN,V2475,C_DEF,"Sí",C_INI,"&lt;="&amp;EOMONTH(B2475,0))),C_CLAVE,0))&amp;"","Sin contrato"))</f>
        <v/>
      </c>
      <c r="T2475" s="63" t="str">
        <f aca="false">IF(OR(B2475="",N(O2475)=0),"",N(O2475)+ROUND(MIN(N(N2475),TOPE_UF*UF_MES)*(TASA_EMP+MUTUAL),0)+ROUND(MIN(N(N2475),TOPE_AFC_UF*UF_MES)*IF(S2475="Indefinido",AFC_INDEF,AFC_PF),0))</f>
        <v/>
      </c>
      <c r="U2475" s="62" t="str">
        <f aca="false">IF(C2475="","",IF(LEFT(D2475,1)="⚠","⚠ RUT no registrado en Trabajadores",IF(B2475="","⚠ Falta el mes",IF(OR(ISTEXT(I2475),ISTEXT(J2475)),"⚠ Atrasos u horas extra como texto: escriba hh:mm (ej. 1:30)",IF(AND(ISNUMBER(Q2475),COUNTIFS(M_RUTN,V2475,M_MES,B2475,M_LIQ,"&lt;&gt;")&gt;1),"⚠ Liquidación repetida en el mes",IF(AND(ISNUMBER(O2475),ISNUMBER(P2475),ISNUMBER(Q2475),ABS(O2475-P2475-Q2475)&gt;1),"⚠ Haberes − descuentos no da el líquido","OK"))))))</f>
        <v/>
      </c>
      <c r="V2475" s="62" t="str">
        <f aca="false">IF(C2475="","",IFERROR(VALUE(LEFT(UPPER(SUBSTITUTE(SUBSTITUTE(SUBSTITUTE(TRIM(C2475),".",""),"-","")," ","")),LEN(UPPER(SUBSTITUTE(SUBSTITUTE(SUBSTITUTE(TRIM(C2475),".",""),"-","")," ","")))-1))&amp;RIGHT(UPPER(SUBSTITUTE(SUBSTITUTE(SUBSTITUTE(TRIM(C2475),".",""),"-","")," ","")),1),UPPER(SUBSTITUTE(SUBSTITUTE(SUBSTITUTE(TRIM(C2475),".",""),"-","")," ",""))))</f>
        <v/>
      </c>
    </row>
    <row r="2476" customFormat="false" ht="15" hidden="false" customHeight="false" outlineLevel="0" collapsed="false">
      <c r="B2476" s="80"/>
      <c r="C2476" s="58"/>
      <c r="D2476" s="62" t="str">
        <f aca="false">IF(C2476="","",IFERROR(INDEX(T_NOMBRE,MATCH(V2476,T_RUTN,0)),"⚠ RUT no está en Trabajadores"))</f>
        <v/>
      </c>
      <c r="E2476" s="61"/>
      <c r="F2476" s="61"/>
      <c r="G2476" s="61"/>
      <c r="H2476" s="61"/>
      <c r="I2476" s="81"/>
      <c r="J2476" s="81"/>
      <c r="K2476" s="60"/>
      <c r="L2476" s="60"/>
      <c r="M2476" s="60"/>
      <c r="N2476" s="60"/>
      <c r="O2476" s="60"/>
      <c r="P2476" s="60"/>
      <c r="Q2476" s="60"/>
      <c r="R2476" s="58"/>
      <c r="S2476" s="62" t="str">
        <f aca="false">IF(OR(B2476="",V2476=""),"",IFERROR(INDEX(C_TIPO,MATCH(V2476&amp;"-P"&amp;MAX(1,COUNTIFS(C_RUTN,V2476,C_DEF,"Sí",C_INI,"&lt;="&amp;EOMONTH(B2476,0))),C_CLAVE,0))&amp;"","Sin contrato"))</f>
        <v/>
      </c>
      <c r="T2476" s="63" t="str">
        <f aca="false">IF(OR(B2476="",N(O2476)=0),"",N(O2476)+ROUND(MIN(N(N2476),TOPE_UF*UF_MES)*(TASA_EMP+MUTUAL),0)+ROUND(MIN(N(N2476),TOPE_AFC_UF*UF_MES)*IF(S2476="Indefinido",AFC_INDEF,AFC_PF),0))</f>
        <v/>
      </c>
      <c r="U2476" s="62" t="str">
        <f aca="false">IF(C2476="","",IF(LEFT(D2476,1)="⚠","⚠ RUT no registrado en Trabajadores",IF(B2476="","⚠ Falta el mes",IF(OR(ISTEXT(I2476),ISTEXT(J2476)),"⚠ Atrasos u horas extra como texto: escriba hh:mm (ej. 1:30)",IF(AND(ISNUMBER(Q2476),COUNTIFS(M_RUTN,V2476,M_MES,B2476,M_LIQ,"&lt;&gt;")&gt;1),"⚠ Liquidación repetida en el mes",IF(AND(ISNUMBER(O2476),ISNUMBER(P2476),ISNUMBER(Q2476),ABS(O2476-P2476-Q2476)&gt;1),"⚠ Haberes − descuentos no da el líquido","OK"))))))</f>
        <v/>
      </c>
      <c r="V2476" s="62" t="str">
        <f aca="false">IF(C2476="","",IFERROR(VALUE(LEFT(UPPER(SUBSTITUTE(SUBSTITUTE(SUBSTITUTE(TRIM(C2476),".",""),"-","")," ","")),LEN(UPPER(SUBSTITUTE(SUBSTITUTE(SUBSTITUTE(TRIM(C2476),".",""),"-","")," ","")))-1))&amp;RIGHT(UPPER(SUBSTITUTE(SUBSTITUTE(SUBSTITUTE(TRIM(C2476),".",""),"-","")," ","")),1),UPPER(SUBSTITUTE(SUBSTITUTE(SUBSTITUTE(TRIM(C2476),".",""),"-","")," ",""))))</f>
        <v/>
      </c>
    </row>
    <row r="2477" customFormat="false" ht="15" hidden="false" customHeight="false" outlineLevel="0" collapsed="false">
      <c r="B2477" s="80"/>
      <c r="C2477" s="58"/>
      <c r="D2477" s="62" t="str">
        <f aca="false">IF(C2477="","",IFERROR(INDEX(T_NOMBRE,MATCH(V2477,T_RUTN,0)),"⚠ RUT no está en Trabajadores"))</f>
        <v/>
      </c>
      <c r="E2477" s="61"/>
      <c r="F2477" s="61"/>
      <c r="G2477" s="61"/>
      <c r="H2477" s="61"/>
      <c r="I2477" s="81"/>
      <c r="J2477" s="81"/>
      <c r="K2477" s="60"/>
      <c r="L2477" s="60"/>
      <c r="M2477" s="60"/>
      <c r="N2477" s="60"/>
      <c r="O2477" s="60"/>
      <c r="P2477" s="60"/>
      <c r="Q2477" s="60"/>
      <c r="R2477" s="58"/>
      <c r="S2477" s="62" t="str">
        <f aca="false">IF(OR(B2477="",V2477=""),"",IFERROR(INDEX(C_TIPO,MATCH(V2477&amp;"-P"&amp;MAX(1,COUNTIFS(C_RUTN,V2477,C_DEF,"Sí",C_INI,"&lt;="&amp;EOMONTH(B2477,0))),C_CLAVE,0))&amp;"","Sin contrato"))</f>
        <v/>
      </c>
      <c r="T2477" s="63" t="str">
        <f aca="false">IF(OR(B2477="",N(O2477)=0),"",N(O2477)+ROUND(MIN(N(N2477),TOPE_UF*UF_MES)*(TASA_EMP+MUTUAL),0)+ROUND(MIN(N(N2477),TOPE_AFC_UF*UF_MES)*IF(S2477="Indefinido",AFC_INDEF,AFC_PF),0))</f>
        <v/>
      </c>
      <c r="U2477" s="62" t="str">
        <f aca="false">IF(C2477="","",IF(LEFT(D2477,1)="⚠","⚠ RUT no registrado en Trabajadores",IF(B2477="","⚠ Falta el mes",IF(OR(ISTEXT(I2477),ISTEXT(J2477)),"⚠ Atrasos u horas extra como texto: escriba hh:mm (ej. 1:30)",IF(AND(ISNUMBER(Q2477),COUNTIFS(M_RUTN,V2477,M_MES,B2477,M_LIQ,"&lt;&gt;")&gt;1),"⚠ Liquidación repetida en el mes",IF(AND(ISNUMBER(O2477),ISNUMBER(P2477),ISNUMBER(Q2477),ABS(O2477-P2477-Q2477)&gt;1),"⚠ Haberes − descuentos no da el líquido","OK"))))))</f>
        <v/>
      </c>
      <c r="V2477" s="62" t="str">
        <f aca="false">IF(C2477="","",IFERROR(VALUE(LEFT(UPPER(SUBSTITUTE(SUBSTITUTE(SUBSTITUTE(TRIM(C2477),".",""),"-","")," ","")),LEN(UPPER(SUBSTITUTE(SUBSTITUTE(SUBSTITUTE(TRIM(C2477),".",""),"-","")," ","")))-1))&amp;RIGHT(UPPER(SUBSTITUTE(SUBSTITUTE(SUBSTITUTE(TRIM(C2477),".",""),"-","")," ","")),1),UPPER(SUBSTITUTE(SUBSTITUTE(SUBSTITUTE(TRIM(C2477),".",""),"-","")," ",""))))</f>
        <v/>
      </c>
    </row>
    <row r="2478" customFormat="false" ht="15" hidden="false" customHeight="false" outlineLevel="0" collapsed="false">
      <c r="B2478" s="80"/>
      <c r="C2478" s="58"/>
      <c r="D2478" s="62" t="str">
        <f aca="false">IF(C2478="","",IFERROR(INDEX(T_NOMBRE,MATCH(V2478,T_RUTN,0)),"⚠ RUT no está en Trabajadores"))</f>
        <v/>
      </c>
      <c r="E2478" s="61"/>
      <c r="F2478" s="61"/>
      <c r="G2478" s="61"/>
      <c r="H2478" s="61"/>
      <c r="I2478" s="81"/>
      <c r="J2478" s="81"/>
      <c r="K2478" s="60"/>
      <c r="L2478" s="60"/>
      <c r="M2478" s="60"/>
      <c r="N2478" s="60"/>
      <c r="O2478" s="60"/>
      <c r="P2478" s="60"/>
      <c r="Q2478" s="60"/>
      <c r="R2478" s="58"/>
      <c r="S2478" s="62" t="str">
        <f aca="false">IF(OR(B2478="",V2478=""),"",IFERROR(INDEX(C_TIPO,MATCH(V2478&amp;"-P"&amp;MAX(1,COUNTIFS(C_RUTN,V2478,C_DEF,"Sí",C_INI,"&lt;="&amp;EOMONTH(B2478,0))),C_CLAVE,0))&amp;"","Sin contrato"))</f>
        <v/>
      </c>
      <c r="T2478" s="63" t="str">
        <f aca="false">IF(OR(B2478="",N(O2478)=0),"",N(O2478)+ROUND(MIN(N(N2478),TOPE_UF*UF_MES)*(TASA_EMP+MUTUAL),0)+ROUND(MIN(N(N2478),TOPE_AFC_UF*UF_MES)*IF(S2478="Indefinido",AFC_INDEF,AFC_PF),0))</f>
        <v/>
      </c>
      <c r="U2478" s="62" t="str">
        <f aca="false">IF(C2478="","",IF(LEFT(D2478,1)="⚠","⚠ RUT no registrado en Trabajadores",IF(B2478="","⚠ Falta el mes",IF(OR(ISTEXT(I2478),ISTEXT(J2478)),"⚠ Atrasos u horas extra como texto: escriba hh:mm (ej. 1:30)",IF(AND(ISNUMBER(Q2478),COUNTIFS(M_RUTN,V2478,M_MES,B2478,M_LIQ,"&lt;&gt;")&gt;1),"⚠ Liquidación repetida en el mes",IF(AND(ISNUMBER(O2478),ISNUMBER(P2478),ISNUMBER(Q2478),ABS(O2478-P2478-Q2478)&gt;1),"⚠ Haberes − descuentos no da el líquido","OK"))))))</f>
        <v/>
      </c>
      <c r="V2478" s="62" t="str">
        <f aca="false">IF(C2478="","",IFERROR(VALUE(LEFT(UPPER(SUBSTITUTE(SUBSTITUTE(SUBSTITUTE(TRIM(C2478),".",""),"-","")," ","")),LEN(UPPER(SUBSTITUTE(SUBSTITUTE(SUBSTITUTE(TRIM(C2478),".",""),"-","")," ","")))-1))&amp;RIGHT(UPPER(SUBSTITUTE(SUBSTITUTE(SUBSTITUTE(TRIM(C2478),".",""),"-","")," ","")),1),UPPER(SUBSTITUTE(SUBSTITUTE(SUBSTITUTE(TRIM(C2478),".",""),"-","")," ",""))))</f>
        <v/>
      </c>
    </row>
    <row r="2479" customFormat="false" ht="15" hidden="false" customHeight="false" outlineLevel="0" collapsed="false">
      <c r="B2479" s="80"/>
      <c r="C2479" s="58"/>
      <c r="D2479" s="62" t="str">
        <f aca="false">IF(C2479="","",IFERROR(INDEX(T_NOMBRE,MATCH(V2479,T_RUTN,0)),"⚠ RUT no está en Trabajadores"))</f>
        <v/>
      </c>
      <c r="E2479" s="61"/>
      <c r="F2479" s="61"/>
      <c r="G2479" s="61"/>
      <c r="H2479" s="61"/>
      <c r="I2479" s="81"/>
      <c r="J2479" s="81"/>
      <c r="K2479" s="60"/>
      <c r="L2479" s="60"/>
      <c r="M2479" s="60"/>
      <c r="N2479" s="60"/>
      <c r="O2479" s="60"/>
      <c r="P2479" s="60"/>
      <c r="Q2479" s="60"/>
      <c r="R2479" s="58"/>
      <c r="S2479" s="62" t="str">
        <f aca="false">IF(OR(B2479="",V2479=""),"",IFERROR(INDEX(C_TIPO,MATCH(V2479&amp;"-P"&amp;MAX(1,COUNTIFS(C_RUTN,V2479,C_DEF,"Sí",C_INI,"&lt;="&amp;EOMONTH(B2479,0))),C_CLAVE,0))&amp;"","Sin contrato"))</f>
        <v/>
      </c>
      <c r="T2479" s="63" t="str">
        <f aca="false">IF(OR(B2479="",N(O2479)=0),"",N(O2479)+ROUND(MIN(N(N2479),TOPE_UF*UF_MES)*(TASA_EMP+MUTUAL),0)+ROUND(MIN(N(N2479),TOPE_AFC_UF*UF_MES)*IF(S2479="Indefinido",AFC_INDEF,AFC_PF),0))</f>
        <v/>
      </c>
      <c r="U2479" s="62" t="str">
        <f aca="false">IF(C2479="","",IF(LEFT(D2479,1)="⚠","⚠ RUT no registrado en Trabajadores",IF(B2479="","⚠ Falta el mes",IF(OR(ISTEXT(I2479),ISTEXT(J2479)),"⚠ Atrasos u horas extra como texto: escriba hh:mm (ej. 1:30)",IF(AND(ISNUMBER(Q2479),COUNTIFS(M_RUTN,V2479,M_MES,B2479,M_LIQ,"&lt;&gt;")&gt;1),"⚠ Liquidación repetida en el mes",IF(AND(ISNUMBER(O2479),ISNUMBER(P2479),ISNUMBER(Q2479),ABS(O2479-P2479-Q2479)&gt;1),"⚠ Haberes − descuentos no da el líquido","OK"))))))</f>
        <v/>
      </c>
      <c r="V2479" s="62" t="str">
        <f aca="false">IF(C2479="","",IFERROR(VALUE(LEFT(UPPER(SUBSTITUTE(SUBSTITUTE(SUBSTITUTE(TRIM(C2479),".",""),"-","")," ","")),LEN(UPPER(SUBSTITUTE(SUBSTITUTE(SUBSTITUTE(TRIM(C2479),".",""),"-","")," ","")))-1))&amp;RIGHT(UPPER(SUBSTITUTE(SUBSTITUTE(SUBSTITUTE(TRIM(C2479),".",""),"-","")," ","")),1),UPPER(SUBSTITUTE(SUBSTITUTE(SUBSTITUTE(TRIM(C2479),".",""),"-","")," ",""))))</f>
        <v/>
      </c>
    </row>
    <row r="2480" customFormat="false" ht="15" hidden="false" customHeight="false" outlineLevel="0" collapsed="false">
      <c r="B2480" s="80"/>
      <c r="C2480" s="58"/>
      <c r="D2480" s="62" t="str">
        <f aca="false">IF(C2480="","",IFERROR(INDEX(T_NOMBRE,MATCH(V2480,T_RUTN,0)),"⚠ RUT no está en Trabajadores"))</f>
        <v/>
      </c>
      <c r="E2480" s="61"/>
      <c r="F2480" s="61"/>
      <c r="G2480" s="61"/>
      <c r="H2480" s="61"/>
      <c r="I2480" s="81"/>
      <c r="J2480" s="81"/>
      <c r="K2480" s="60"/>
      <c r="L2480" s="60"/>
      <c r="M2480" s="60"/>
      <c r="N2480" s="60"/>
      <c r="O2480" s="60"/>
      <c r="P2480" s="60"/>
      <c r="Q2480" s="60"/>
      <c r="R2480" s="58"/>
      <c r="S2480" s="62" t="str">
        <f aca="false">IF(OR(B2480="",V2480=""),"",IFERROR(INDEX(C_TIPO,MATCH(V2480&amp;"-P"&amp;MAX(1,COUNTIFS(C_RUTN,V2480,C_DEF,"Sí",C_INI,"&lt;="&amp;EOMONTH(B2480,0))),C_CLAVE,0))&amp;"","Sin contrato"))</f>
        <v/>
      </c>
      <c r="T2480" s="63" t="str">
        <f aca="false">IF(OR(B2480="",N(O2480)=0),"",N(O2480)+ROUND(MIN(N(N2480),TOPE_UF*UF_MES)*(TASA_EMP+MUTUAL),0)+ROUND(MIN(N(N2480),TOPE_AFC_UF*UF_MES)*IF(S2480="Indefinido",AFC_INDEF,AFC_PF),0))</f>
        <v/>
      </c>
      <c r="U2480" s="62" t="str">
        <f aca="false">IF(C2480="","",IF(LEFT(D2480,1)="⚠","⚠ RUT no registrado en Trabajadores",IF(B2480="","⚠ Falta el mes",IF(OR(ISTEXT(I2480),ISTEXT(J2480)),"⚠ Atrasos u horas extra como texto: escriba hh:mm (ej. 1:30)",IF(AND(ISNUMBER(Q2480),COUNTIFS(M_RUTN,V2480,M_MES,B2480,M_LIQ,"&lt;&gt;")&gt;1),"⚠ Liquidación repetida en el mes",IF(AND(ISNUMBER(O2480),ISNUMBER(P2480),ISNUMBER(Q2480),ABS(O2480-P2480-Q2480)&gt;1),"⚠ Haberes − descuentos no da el líquido","OK"))))))</f>
        <v/>
      </c>
      <c r="V2480" s="62" t="str">
        <f aca="false">IF(C2480="","",IFERROR(VALUE(LEFT(UPPER(SUBSTITUTE(SUBSTITUTE(SUBSTITUTE(TRIM(C2480),".",""),"-","")," ","")),LEN(UPPER(SUBSTITUTE(SUBSTITUTE(SUBSTITUTE(TRIM(C2480),".",""),"-","")," ","")))-1))&amp;RIGHT(UPPER(SUBSTITUTE(SUBSTITUTE(SUBSTITUTE(TRIM(C2480),".",""),"-","")," ","")),1),UPPER(SUBSTITUTE(SUBSTITUTE(SUBSTITUTE(TRIM(C2480),".",""),"-","")," ",""))))</f>
        <v/>
      </c>
    </row>
    <row r="2481" customFormat="false" ht="15" hidden="false" customHeight="false" outlineLevel="0" collapsed="false">
      <c r="B2481" s="80"/>
      <c r="C2481" s="58"/>
      <c r="D2481" s="62" t="str">
        <f aca="false">IF(C2481="","",IFERROR(INDEX(T_NOMBRE,MATCH(V2481,T_RUTN,0)),"⚠ RUT no está en Trabajadores"))</f>
        <v/>
      </c>
      <c r="E2481" s="61"/>
      <c r="F2481" s="61"/>
      <c r="G2481" s="61"/>
      <c r="H2481" s="61"/>
      <c r="I2481" s="81"/>
      <c r="J2481" s="81"/>
      <c r="K2481" s="60"/>
      <c r="L2481" s="60"/>
      <c r="M2481" s="60"/>
      <c r="N2481" s="60"/>
      <c r="O2481" s="60"/>
      <c r="P2481" s="60"/>
      <c r="Q2481" s="60"/>
      <c r="R2481" s="58"/>
      <c r="S2481" s="62" t="str">
        <f aca="false">IF(OR(B2481="",V2481=""),"",IFERROR(INDEX(C_TIPO,MATCH(V2481&amp;"-P"&amp;MAX(1,COUNTIFS(C_RUTN,V2481,C_DEF,"Sí",C_INI,"&lt;="&amp;EOMONTH(B2481,0))),C_CLAVE,0))&amp;"","Sin contrato"))</f>
        <v/>
      </c>
      <c r="T2481" s="63" t="str">
        <f aca="false">IF(OR(B2481="",N(O2481)=0),"",N(O2481)+ROUND(MIN(N(N2481),TOPE_UF*UF_MES)*(TASA_EMP+MUTUAL),0)+ROUND(MIN(N(N2481),TOPE_AFC_UF*UF_MES)*IF(S2481="Indefinido",AFC_INDEF,AFC_PF),0))</f>
        <v/>
      </c>
      <c r="U2481" s="62" t="str">
        <f aca="false">IF(C2481="","",IF(LEFT(D2481,1)="⚠","⚠ RUT no registrado en Trabajadores",IF(B2481="","⚠ Falta el mes",IF(OR(ISTEXT(I2481),ISTEXT(J2481)),"⚠ Atrasos u horas extra como texto: escriba hh:mm (ej. 1:30)",IF(AND(ISNUMBER(Q2481),COUNTIFS(M_RUTN,V2481,M_MES,B2481,M_LIQ,"&lt;&gt;")&gt;1),"⚠ Liquidación repetida en el mes",IF(AND(ISNUMBER(O2481),ISNUMBER(P2481),ISNUMBER(Q2481),ABS(O2481-P2481-Q2481)&gt;1),"⚠ Haberes − descuentos no da el líquido","OK"))))))</f>
        <v/>
      </c>
      <c r="V2481" s="62" t="str">
        <f aca="false">IF(C2481="","",IFERROR(VALUE(LEFT(UPPER(SUBSTITUTE(SUBSTITUTE(SUBSTITUTE(TRIM(C2481),".",""),"-","")," ","")),LEN(UPPER(SUBSTITUTE(SUBSTITUTE(SUBSTITUTE(TRIM(C2481),".",""),"-","")," ","")))-1))&amp;RIGHT(UPPER(SUBSTITUTE(SUBSTITUTE(SUBSTITUTE(TRIM(C2481),".",""),"-","")," ","")),1),UPPER(SUBSTITUTE(SUBSTITUTE(SUBSTITUTE(TRIM(C2481),".",""),"-","")," ",""))))</f>
        <v/>
      </c>
    </row>
    <row r="2482" customFormat="false" ht="15" hidden="false" customHeight="false" outlineLevel="0" collapsed="false">
      <c r="B2482" s="80"/>
      <c r="C2482" s="58"/>
      <c r="D2482" s="62" t="str">
        <f aca="false">IF(C2482="","",IFERROR(INDEX(T_NOMBRE,MATCH(V2482,T_RUTN,0)),"⚠ RUT no está en Trabajadores"))</f>
        <v/>
      </c>
      <c r="E2482" s="61"/>
      <c r="F2482" s="61"/>
      <c r="G2482" s="61"/>
      <c r="H2482" s="61"/>
      <c r="I2482" s="81"/>
      <c r="J2482" s="81"/>
      <c r="K2482" s="60"/>
      <c r="L2482" s="60"/>
      <c r="M2482" s="60"/>
      <c r="N2482" s="60"/>
      <c r="O2482" s="60"/>
      <c r="P2482" s="60"/>
      <c r="Q2482" s="60"/>
      <c r="R2482" s="58"/>
      <c r="S2482" s="62" t="str">
        <f aca="false">IF(OR(B2482="",V2482=""),"",IFERROR(INDEX(C_TIPO,MATCH(V2482&amp;"-P"&amp;MAX(1,COUNTIFS(C_RUTN,V2482,C_DEF,"Sí",C_INI,"&lt;="&amp;EOMONTH(B2482,0))),C_CLAVE,0))&amp;"","Sin contrato"))</f>
        <v/>
      </c>
      <c r="T2482" s="63" t="str">
        <f aca="false">IF(OR(B2482="",N(O2482)=0),"",N(O2482)+ROUND(MIN(N(N2482),TOPE_UF*UF_MES)*(TASA_EMP+MUTUAL),0)+ROUND(MIN(N(N2482),TOPE_AFC_UF*UF_MES)*IF(S2482="Indefinido",AFC_INDEF,AFC_PF),0))</f>
        <v/>
      </c>
      <c r="U2482" s="62" t="str">
        <f aca="false">IF(C2482="","",IF(LEFT(D2482,1)="⚠","⚠ RUT no registrado en Trabajadores",IF(B2482="","⚠ Falta el mes",IF(OR(ISTEXT(I2482),ISTEXT(J2482)),"⚠ Atrasos u horas extra como texto: escriba hh:mm (ej. 1:30)",IF(AND(ISNUMBER(Q2482),COUNTIFS(M_RUTN,V2482,M_MES,B2482,M_LIQ,"&lt;&gt;")&gt;1),"⚠ Liquidación repetida en el mes",IF(AND(ISNUMBER(O2482),ISNUMBER(P2482),ISNUMBER(Q2482),ABS(O2482-P2482-Q2482)&gt;1),"⚠ Haberes − descuentos no da el líquido","OK"))))))</f>
        <v/>
      </c>
      <c r="V2482" s="62" t="str">
        <f aca="false">IF(C2482="","",IFERROR(VALUE(LEFT(UPPER(SUBSTITUTE(SUBSTITUTE(SUBSTITUTE(TRIM(C2482),".",""),"-","")," ","")),LEN(UPPER(SUBSTITUTE(SUBSTITUTE(SUBSTITUTE(TRIM(C2482),".",""),"-","")," ","")))-1))&amp;RIGHT(UPPER(SUBSTITUTE(SUBSTITUTE(SUBSTITUTE(TRIM(C2482),".",""),"-","")," ","")),1),UPPER(SUBSTITUTE(SUBSTITUTE(SUBSTITUTE(TRIM(C2482),".",""),"-","")," ",""))))</f>
        <v/>
      </c>
    </row>
    <row r="2483" customFormat="false" ht="15" hidden="false" customHeight="false" outlineLevel="0" collapsed="false">
      <c r="B2483" s="80"/>
      <c r="C2483" s="58"/>
      <c r="D2483" s="62" t="str">
        <f aca="false">IF(C2483="","",IFERROR(INDEX(T_NOMBRE,MATCH(V2483,T_RUTN,0)),"⚠ RUT no está en Trabajadores"))</f>
        <v/>
      </c>
      <c r="E2483" s="61"/>
      <c r="F2483" s="61"/>
      <c r="G2483" s="61"/>
      <c r="H2483" s="61"/>
      <c r="I2483" s="81"/>
      <c r="J2483" s="81"/>
      <c r="K2483" s="60"/>
      <c r="L2483" s="60"/>
      <c r="M2483" s="60"/>
      <c r="N2483" s="60"/>
      <c r="O2483" s="60"/>
      <c r="P2483" s="60"/>
      <c r="Q2483" s="60"/>
      <c r="R2483" s="58"/>
      <c r="S2483" s="62" t="str">
        <f aca="false">IF(OR(B2483="",V2483=""),"",IFERROR(INDEX(C_TIPO,MATCH(V2483&amp;"-P"&amp;MAX(1,COUNTIFS(C_RUTN,V2483,C_DEF,"Sí",C_INI,"&lt;="&amp;EOMONTH(B2483,0))),C_CLAVE,0))&amp;"","Sin contrato"))</f>
        <v/>
      </c>
      <c r="T2483" s="63" t="str">
        <f aca="false">IF(OR(B2483="",N(O2483)=0),"",N(O2483)+ROUND(MIN(N(N2483),TOPE_UF*UF_MES)*(TASA_EMP+MUTUAL),0)+ROUND(MIN(N(N2483),TOPE_AFC_UF*UF_MES)*IF(S2483="Indefinido",AFC_INDEF,AFC_PF),0))</f>
        <v/>
      </c>
      <c r="U2483" s="62" t="str">
        <f aca="false">IF(C2483="","",IF(LEFT(D2483,1)="⚠","⚠ RUT no registrado en Trabajadores",IF(B2483="","⚠ Falta el mes",IF(OR(ISTEXT(I2483),ISTEXT(J2483)),"⚠ Atrasos u horas extra como texto: escriba hh:mm (ej. 1:30)",IF(AND(ISNUMBER(Q2483),COUNTIFS(M_RUTN,V2483,M_MES,B2483,M_LIQ,"&lt;&gt;")&gt;1),"⚠ Liquidación repetida en el mes",IF(AND(ISNUMBER(O2483),ISNUMBER(P2483),ISNUMBER(Q2483),ABS(O2483-P2483-Q2483)&gt;1),"⚠ Haberes − descuentos no da el líquido","OK"))))))</f>
        <v/>
      </c>
      <c r="V2483" s="62" t="str">
        <f aca="false">IF(C2483="","",IFERROR(VALUE(LEFT(UPPER(SUBSTITUTE(SUBSTITUTE(SUBSTITUTE(TRIM(C2483),".",""),"-","")," ","")),LEN(UPPER(SUBSTITUTE(SUBSTITUTE(SUBSTITUTE(TRIM(C2483),".",""),"-","")," ","")))-1))&amp;RIGHT(UPPER(SUBSTITUTE(SUBSTITUTE(SUBSTITUTE(TRIM(C2483),".",""),"-","")," ","")),1),UPPER(SUBSTITUTE(SUBSTITUTE(SUBSTITUTE(TRIM(C2483),".",""),"-","")," ",""))))</f>
        <v/>
      </c>
    </row>
    <row r="2484" customFormat="false" ht="15" hidden="false" customHeight="false" outlineLevel="0" collapsed="false">
      <c r="B2484" s="80"/>
      <c r="C2484" s="58"/>
      <c r="D2484" s="62" t="str">
        <f aca="false">IF(C2484="","",IFERROR(INDEX(T_NOMBRE,MATCH(V2484,T_RUTN,0)),"⚠ RUT no está en Trabajadores"))</f>
        <v/>
      </c>
      <c r="E2484" s="61"/>
      <c r="F2484" s="61"/>
      <c r="G2484" s="61"/>
      <c r="H2484" s="61"/>
      <c r="I2484" s="81"/>
      <c r="J2484" s="81"/>
      <c r="K2484" s="60"/>
      <c r="L2484" s="60"/>
      <c r="M2484" s="60"/>
      <c r="N2484" s="60"/>
      <c r="O2484" s="60"/>
      <c r="P2484" s="60"/>
      <c r="Q2484" s="60"/>
      <c r="R2484" s="58"/>
      <c r="S2484" s="62" t="str">
        <f aca="false">IF(OR(B2484="",V2484=""),"",IFERROR(INDEX(C_TIPO,MATCH(V2484&amp;"-P"&amp;MAX(1,COUNTIFS(C_RUTN,V2484,C_DEF,"Sí",C_INI,"&lt;="&amp;EOMONTH(B2484,0))),C_CLAVE,0))&amp;"","Sin contrato"))</f>
        <v/>
      </c>
      <c r="T2484" s="63" t="str">
        <f aca="false">IF(OR(B2484="",N(O2484)=0),"",N(O2484)+ROUND(MIN(N(N2484),TOPE_UF*UF_MES)*(TASA_EMP+MUTUAL),0)+ROUND(MIN(N(N2484),TOPE_AFC_UF*UF_MES)*IF(S2484="Indefinido",AFC_INDEF,AFC_PF),0))</f>
        <v/>
      </c>
      <c r="U2484" s="62" t="str">
        <f aca="false">IF(C2484="","",IF(LEFT(D2484,1)="⚠","⚠ RUT no registrado en Trabajadores",IF(B2484="","⚠ Falta el mes",IF(OR(ISTEXT(I2484),ISTEXT(J2484)),"⚠ Atrasos u horas extra como texto: escriba hh:mm (ej. 1:30)",IF(AND(ISNUMBER(Q2484),COUNTIFS(M_RUTN,V2484,M_MES,B2484,M_LIQ,"&lt;&gt;")&gt;1),"⚠ Liquidación repetida en el mes",IF(AND(ISNUMBER(O2484),ISNUMBER(P2484),ISNUMBER(Q2484),ABS(O2484-P2484-Q2484)&gt;1),"⚠ Haberes − descuentos no da el líquido","OK"))))))</f>
        <v/>
      </c>
      <c r="V2484" s="62" t="str">
        <f aca="false">IF(C2484="","",IFERROR(VALUE(LEFT(UPPER(SUBSTITUTE(SUBSTITUTE(SUBSTITUTE(TRIM(C2484),".",""),"-","")," ","")),LEN(UPPER(SUBSTITUTE(SUBSTITUTE(SUBSTITUTE(TRIM(C2484),".",""),"-","")," ","")))-1))&amp;RIGHT(UPPER(SUBSTITUTE(SUBSTITUTE(SUBSTITUTE(TRIM(C2484),".",""),"-","")," ","")),1),UPPER(SUBSTITUTE(SUBSTITUTE(SUBSTITUTE(TRIM(C2484),".",""),"-","")," ",""))))</f>
        <v/>
      </c>
    </row>
    <row r="2485" customFormat="false" ht="15" hidden="false" customHeight="false" outlineLevel="0" collapsed="false">
      <c r="B2485" s="80"/>
      <c r="C2485" s="58"/>
      <c r="D2485" s="62" t="str">
        <f aca="false">IF(C2485="","",IFERROR(INDEX(T_NOMBRE,MATCH(V2485,T_RUTN,0)),"⚠ RUT no está en Trabajadores"))</f>
        <v/>
      </c>
      <c r="E2485" s="61"/>
      <c r="F2485" s="61"/>
      <c r="G2485" s="61"/>
      <c r="H2485" s="61"/>
      <c r="I2485" s="81"/>
      <c r="J2485" s="81"/>
      <c r="K2485" s="60"/>
      <c r="L2485" s="60"/>
      <c r="M2485" s="60"/>
      <c r="N2485" s="60"/>
      <c r="O2485" s="60"/>
      <c r="P2485" s="60"/>
      <c r="Q2485" s="60"/>
      <c r="R2485" s="58"/>
      <c r="S2485" s="62" t="str">
        <f aca="false">IF(OR(B2485="",V2485=""),"",IFERROR(INDEX(C_TIPO,MATCH(V2485&amp;"-P"&amp;MAX(1,COUNTIFS(C_RUTN,V2485,C_DEF,"Sí",C_INI,"&lt;="&amp;EOMONTH(B2485,0))),C_CLAVE,0))&amp;"","Sin contrato"))</f>
        <v/>
      </c>
      <c r="T2485" s="63" t="str">
        <f aca="false">IF(OR(B2485="",N(O2485)=0),"",N(O2485)+ROUND(MIN(N(N2485),TOPE_UF*UF_MES)*(TASA_EMP+MUTUAL),0)+ROUND(MIN(N(N2485),TOPE_AFC_UF*UF_MES)*IF(S2485="Indefinido",AFC_INDEF,AFC_PF),0))</f>
        <v/>
      </c>
      <c r="U2485" s="62" t="str">
        <f aca="false">IF(C2485="","",IF(LEFT(D2485,1)="⚠","⚠ RUT no registrado en Trabajadores",IF(B2485="","⚠ Falta el mes",IF(OR(ISTEXT(I2485),ISTEXT(J2485)),"⚠ Atrasos u horas extra como texto: escriba hh:mm (ej. 1:30)",IF(AND(ISNUMBER(Q2485),COUNTIFS(M_RUTN,V2485,M_MES,B2485,M_LIQ,"&lt;&gt;")&gt;1),"⚠ Liquidación repetida en el mes",IF(AND(ISNUMBER(O2485),ISNUMBER(P2485),ISNUMBER(Q2485),ABS(O2485-P2485-Q2485)&gt;1),"⚠ Haberes − descuentos no da el líquido","OK"))))))</f>
        <v/>
      </c>
      <c r="V2485" s="62" t="str">
        <f aca="false">IF(C2485="","",IFERROR(VALUE(LEFT(UPPER(SUBSTITUTE(SUBSTITUTE(SUBSTITUTE(TRIM(C2485),".",""),"-","")," ","")),LEN(UPPER(SUBSTITUTE(SUBSTITUTE(SUBSTITUTE(TRIM(C2485),".",""),"-","")," ","")))-1))&amp;RIGHT(UPPER(SUBSTITUTE(SUBSTITUTE(SUBSTITUTE(TRIM(C2485),".",""),"-","")," ","")),1),UPPER(SUBSTITUTE(SUBSTITUTE(SUBSTITUTE(TRIM(C2485),".",""),"-","")," ",""))))</f>
        <v/>
      </c>
    </row>
    <row r="2486" customFormat="false" ht="15" hidden="false" customHeight="false" outlineLevel="0" collapsed="false">
      <c r="B2486" s="80"/>
      <c r="C2486" s="58"/>
      <c r="D2486" s="62" t="str">
        <f aca="false">IF(C2486="","",IFERROR(INDEX(T_NOMBRE,MATCH(V2486,T_RUTN,0)),"⚠ RUT no está en Trabajadores"))</f>
        <v/>
      </c>
      <c r="E2486" s="61"/>
      <c r="F2486" s="61"/>
      <c r="G2486" s="61"/>
      <c r="H2486" s="61"/>
      <c r="I2486" s="81"/>
      <c r="J2486" s="81"/>
      <c r="K2486" s="60"/>
      <c r="L2486" s="60"/>
      <c r="M2486" s="60"/>
      <c r="N2486" s="60"/>
      <c r="O2486" s="60"/>
      <c r="P2486" s="60"/>
      <c r="Q2486" s="60"/>
      <c r="R2486" s="58"/>
      <c r="S2486" s="62" t="str">
        <f aca="false">IF(OR(B2486="",V2486=""),"",IFERROR(INDEX(C_TIPO,MATCH(V2486&amp;"-P"&amp;MAX(1,COUNTIFS(C_RUTN,V2486,C_DEF,"Sí",C_INI,"&lt;="&amp;EOMONTH(B2486,0))),C_CLAVE,0))&amp;"","Sin contrato"))</f>
        <v/>
      </c>
      <c r="T2486" s="63" t="str">
        <f aca="false">IF(OR(B2486="",N(O2486)=0),"",N(O2486)+ROUND(MIN(N(N2486),TOPE_UF*UF_MES)*(TASA_EMP+MUTUAL),0)+ROUND(MIN(N(N2486),TOPE_AFC_UF*UF_MES)*IF(S2486="Indefinido",AFC_INDEF,AFC_PF),0))</f>
        <v/>
      </c>
      <c r="U2486" s="62" t="str">
        <f aca="false">IF(C2486="","",IF(LEFT(D2486,1)="⚠","⚠ RUT no registrado en Trabajadores",IF(B2486="","⚠ Falta el mes",IF(OR(ISTEXT(I2486),ISTEXT(J2486)),"⚠ Atrasos u horas extra como texto: escriba hh:mm (ej. 1:30)",IF(AND(ISNUMBER(Q2486),COUNTIFS(M_RUTN,V2486,M_MES,B2486,M_LIQ,"&lt;&gt;")&gt;1),"⚠ Liquidación repetida en el mes",IF(AND(ISNUMBER(O2486),ISNUMBER(P2486),ISNUMBER(Q2486),ABS(O2486-P2486-Q2486)&gt;1),"⚠ Haberes − descuentos no da el líquido","OK"))))))</f>
        <v/>
      </c>
      <c r="V2486" s="62" t="str">
        <f aca="false">IF(C2486="","",IFERROR(VALUE(LEFT(UPPER(SUBSTITUTE(SUBSTITUTE(SUBSTITUTE(TRIM(C2486),".",""),"-","")," ","")),LEN(UPPER(SUBSTITUTE(SUBSTITUTE(SUBSTITUTE(TRIM(C2486),".",""),"-","")," ","")))-1))&amp;RIGHT(UPPER(SUBSTITUTE(SUBSTITUTE(SUBSTITUTE(TRIM(C2486),".",""),"-","")," ","")),1),UPPER(SUBSTITUTE(SUBSTITUTE(SUBSTITUTE(TRIM(C2486),".",""),"-","")," ",""))))</f>
        <v/>
      </c>
    </row>
    <row r="2487" customFormat="false" ht="15" hidden="false" customHeight="false" outlineLevel="0" collapsed="false">
      <c r="B2487" s="80"/>
      <c r="C2487" s="58"/>
      <c r="D2487" s="62" t="str">
        <f aca="false">IF(C2487="","",IFERROR(INDEX(T_NOMBRE,MATCH(V2487,T_RUTN,0)),"⚠ RUT no está en Trabajadores"))</f>
        <v/>
      </c>
      <c r="E2487" s="61"/>
      <c r="F2487" s="61"/>
      <c r="G2487" s="61"/>
      <c r="H2487" s="61"/>
      <c r="I2487" s="81"/>
      <c r="J2487" s="81"/>
      <c r="K2487" s="60"/>
      <c r="L2487" s="60"/>
      <c r="M2487" s="60"/>
      <c r="N2487" s="60"/>
      <c r="O2487" s="60"/>
      <c r="P2487" s="60"/>
      <c r="Q2487" s="60"/>
      <c r="R2487" s="58"/>
      <c r="S2487" s="62" t="str">
        <f aca="false">IF(OR(B2487="",V2487=""),"",IFERROR(INDEX(C_TIPO,MATCH(V2487&amp;"-P"&amp;MAX(1,COUNTIFS(C_RUTN,V2487,C_DEF,"Sí",C_INI,"&lt;="&amp;EOMONTH(B2487,0))),C_CLAVE,0))&amp;"","Sin contrato"))</f>
        <v/>
      </c>
      <c r="T2487" s="63" t="str">
        <f aca="false">IF(OR(B2487="",N(O2487)=0),"",N(O2487)+ROUND(MIN(N(N2487),TOPE_UF*UF_MES)*(TASA_EMP+MUTUAL),0)+ROUND(MIN(N(N2487),TOPE_AFC_UF*UF_MES)*IF(S2487="Indefinido",AFC_INDEF,AFC_PF),0))</f>
        <v/>
      </c>
      <c r="U2487" s="62" t="str">
        <f aca="false">IF(C2487="","",IF(LEFT(D2487,1)="⚠","⚠ RUT no registrado en Trabajadores",IF(B2487="","⚠ Falta el mes",IF(OR(ISTEXT(I2487),ISTEXT(J2487)),"⚠ Atrasos u horas extra como texto: escriba hh:mm (ej. 1:30)",IF(AND(ISNUMBER(Q2487),COUNTIFS(M_RUTN,V2487,M_MES,B2487,M_LIQ,"&lt;&gt;")&gt;1),"⚠ Liquidación repetida en el mes",IF(AND(ISNUMBER(O2487),ISNUMBER(P2487),ISNUMBER(Q2487),ABS(O2487-P2487-Q2487)&gt;1),"⚠ Haberes − descuentos no da el líquido","OK"))))))</f>
        <v/>
      </c>
      <c r="V2487" s="62" t="str">
        <f aca="false">IF(C2487="","",IFERROR(VALUE(LEFT(UPPER(SUBSTITUTE(SUBSTITUTE(SUBSTITUTE(TRIM(C2487),".",""),"-","")," ","")),LEN(UPPER(SUBSTITUTE(SUBSTITUTE(SUBSTITUTE(TRIM(C2487),".",""),"-","")," ","")))-1))&amp;RIGHT(UPPER(SUBSTITUTE(SUBSTITUTE(SUBSTITUTE(TRIM(C2487),".",""),"-","")," ","")),1),UPPER(SUBSTITUTE(SUBSTITUTE(SUBSTITUTE(TRIM(C2487),".",""),"-","")," ",""))))</f>
        <v/>
      </c>
    </row>
    <row r="2488" customFormat="false" ht="15" hidden="false" customHeight="false" outlineLevel="0" collapsed="false">
      <c r="B2488" s="80"/>
      <c r="C2488" s="58"/>
      <c r="D2488" s="62" t="str">
        <f aca="false">IF(C2488="","",IFERROR(INDEX(T_NOMBRE,MATCH(V2488,T_RUTN,0)),"⚠ RUT no está en Trabajadores"))</f>
        <v/>
      </c>
      <c r="E2488" s="61"/>
      <c r="F2488" s="61"/>
      <c r="G2488" s="61"/>
      <c r="H2488" s="61"/>
      <c r="I2488" s="81"/>
      <c r="J2488" s="81"/>
      <c r="K2488" s="60"/>
      <c r="L2488" s="60"/>
      <c r="M2488" s="60"/>
      <c r="N2488" s="60"/>
      <c r="O2488" s="60"/>
      <c r="P2488" s="60"/>
      <c r="Q2488" s="60"/>
      <c r="R2488" s="58"/>
      <c r="S2488" s="62" t="str">
        <f aca="false">IF(OR(B2488="",V2488=""),"",IFERROR(INDEX(C_TIPO,MATCH(V2488&amp;"-P"&amp;MAX(1,COUNTIFS(C_RUTN,V2488,C_DEF,"Sí",C_INI,"&lt;="&amp;EOMONTH(B2488,0))),C_CLAVE,0))&amp;"","Sin contrato"))</f>
        <v/>
      </c>
      <c r="T2488" s="63" t="str">
        <f aca="false">IF(OR(B2488="",N(O2488)=0),"",N(O2488)+ROUND(MIN(N(N2488),TOPE_UF*UF_MES)*(TASA_EMP+MUTUAL),0)+ROUND(MIN(N(N2488),TOPE_AFC_UF*UF_MES)*IF(S2488="Indefinido",AFC_INDEF,AFC_PF),0))</f>
        <v/>
      </c>
      <c r="U2488" s="62" t="str">
        <f aca="false">IF(C2488="","",IF(LEFT(D2488,1)="⚠","⚠ RUT no registrado en Trabajadores",IF(B2488="","⚠ Falta el mes",IF(OR(ISTEXT(I2488),ISTEXT(J2488)),"⚠ Atrasos u horas extra como texto: escriba hh:mm (ej. 1:30)",IF(AND(ISNUMBER(Q2488),COUNTIFS(M_RUTN,V2488,M_MES,B2488,M_LIQ,"&lt;&gt;")&gt;1),"⚠ Liquidación repetida en el mes",IF(AND(ISNUMBER(O2488),ISNUMBER(P2488),ISNUMBER(Q2488),ABS(O2488-P2488-Q2488)&gt;1),"⚠ Haberes − descuentos no da el líquido","OK"))))))</f>
        <v/>
      </c>
      <c r="V2488" s="62" t="str">
        <f aca="false">IF(C2488="","",IFERROR(VALUE(LEFT(UPPER(SUBSTITUTE(SUBSTITUTE(SUBSTITUTE(TRIM(C2488),".",""),"-","")," ","")),LEN(UPPER(SUBSTITUTE(SUBSTITUTE(SUBSTITUTE(TRIM(C2488),".",""),"-","")," ","")))-1))&amp;RIGHT(UPPER(SUBSTITUTE(SUBSTITUTE(SUBSTITUTE(TRIM(C2488),".",""),"-","")," ","")),1),UPPER(SUBSTITUTE(SUBSTITUTE(SUBSTITUTE(TRIM(C2488),".",""),"-","")," ",""))))</f>
        <v/>
      </c>
    </row>
    <row r="2489" customFormat="false" ht="15" hidden="false" customHeight="false" outlineLevel="0" collapsed="false">
      <c r="B2489" s="80"/>
      <c r="C2489" s="58"/>
      <c r="D2489" s="62" t="str">
        <f aca="false">IF(C2489="","",IFERROR(INDEX(T_NOMBRE,MATCH(V2489,T_RUTN,0)),"⚠ RUT no está en Trabajadores"))</f>
        <v/>
      </c>
      <c r="E2489" s="61"/>
      <c r="F2489" s="61"/>
      <c r="G2489" s="61"/>
      <c r="H2489" s="61"/>
      <c r="I2489" s="81"/>
      <c r="J2489" s="81"/>
      <c r="K2489" s="60"/>
      <c r="L2489" s="60"/>
      <c r="M2489" s="60"/>
      <c r="N2489" s="60"/>
      <c r="O2489" s="60"/>
      <c r="P2489" s="60"/>
      <c r="Q2489" s="60"/>
      <c r="R2489" s="58"/>
      <c r="S2489" s="62" t="str">
        <f aca="false">IF(OR(B2489="",V2489=""),"",IFERROR(INDEX(C_TIPO,MATCH(V2489&amp;"-P"&amp;MAX(1,COUNTIFS(C_RUTN,V2489,C_DEF,"Sí",C_INI,"&lt;="&amp;EOMONTH(B2489,0))),C_CLAVE,0))&amp;"","Sin contrato"))</f>
        <v/>
      </c>
      <c r="T2489" s="63" t="str">
        <f aca="false">IF(OR(B2489="",N(O2489)=0),"",N(O2489)+ROUND(MIN(N(N2489),TOPE_UF*UF_MES)*(TASA_EMP+MUTUAL),0)+ROUND(MIN(N(N2489),TOPE_AFC_UF*UF_MES)*IF(S2489="Indefinido",AFC_INDEF,AFC_PF),0))</f>
        <v/>
      </c>
      <c r="U2489" s="62" t="str">
        <f aca="false">IF(C2489="","",IF(LEFT(D2489,1)="⚠","⚠ RUT no registrado en Trabajadores",IF(B2489="","⚠ Falta el mes",IF(OR(ISTEXT(I2489),ISTEXT(J2489)),"⚠ Atrasos u horas extra como texto: escriba hh:mm (ej. 1:30)",IF(AND(ISNUMBER(Q2489),COUNTIFS(M_RUTN,V2489,M_MES,B2489,M_LIQ,"&lt;&gt;")&gt;1),"⚠ Liquidación repetida en el mes",IF(AND(ISNUMBER(O2489),ISNUMBER(P2489),ISNUMBER(Q2489),ABS(O2489-P2489-Q2489)&gt;1),"⚠ Haberes − descuentos no da el líquido","OK"))))))</f>
        <v/>
      </c>
      <c r="V2489" s="62" t="str">
        <f aca="false">IF(C2489="","",IFERROR(VALUE(LEFT(UPPER(SUBSTITUTE(SUBSTITUTE(SUBSTITUTE(TRIM(C2489),".",""),"-","")," ","")),LEN(UPPER(SUBSTITUTE(SUBSTITUTE(SUBSTITUTE(TRIM(C2489),".",""),"-","")," ","")))-1))&amp;RIGHT(UPPER(SUBSTITUTE(SUBSTITUTE(SUBSTITUTE(TRIM(C2489),".",""),"-","")," ","")),1),UPPER(SUBSTITUTE(SUBSTITUTE(SUBSTITUTE(TRIM(C2489),".",""),"-","")," ",""))))</f>
        <v/>
      </c>
    </row>
    <row r="2490" customFormat="false" ht="15" hidden="false" customHeight="false" outlineLevel="0" collapsed="false">
      <c r="B2490" s="80"/>
      <c r="C2490" s="58"/>
      <c r="D2490" s="62" t="str">
        <f aca="false">IF(C2490="","",IFERROR(INDEX(T_NOMBRE,MATCH(V2490,T_RUTN,0)),"⚠ RUT no está en Trabajadores"))</f>
        <v/>
      </c>
      <c r="E2490" s="61"/>
      <c r="F2490" s="61"/>
      <c r="G2490" s="61"/>
      <c r="H2490" s="61"/>
      <c r="I2490" s="81"/>
      <c r="J2490" s="81"/>
      <c r="K2490" s="60"/>
      <c r="L2490" s="60"/>
      <c r="M2490" s="60"/>
      <c r="N2490" s="60"/>
      <c r="O2490" s="60"/>
      <c r="P2490" s="60"/>
      <c r="Q2490" s="60"/>
      <c r="R2490" s="58"/>
      <c r="S2490" s="62" t="str">
        <f aca="false">IF(OR(B2490="",V2490=""),"",IFERROR(INDEX(C_TIPO,MATCH(V2490&amp;"-P"&amp;MAX(1,COUNTIFS(C_RUTN,V2490,C_DEF,"Sí",C_INI,"&lt;="&amp;EOMONTH(B2490,0))),C_CLAVE,0))&amp;"","Sin contrato"))</f>
        <v/>
      </c>
      <c r="T2490" s="63" t="str">
        <f aca="false">IF(OR(B2490="",N(O2490)=0),"",N(O2490)+ROUND(MIN(N(N2490),TOPE_UF*UF_MES)*(TASA_EMP+MUTUAL),0)+ROUND(MIN(N(N2490),TOPE_AFC_UF*UF_MES)*IF(S2490="Indefinido",AFC_INDEF,AFC_PF),0))</f>
        <v/>
      </c>
      <c r="U2490" s="62" t="str">
        <f aca="false">IF(C2490="","",IF(LEFT(D2490,1)="⚠","⚠ RUT no registrado en Trabajadores",IF(B2490="","⚠ Falta el mes",IF(OR(ISTEXT(I2490),ISTEXT(J2490)),"⚠ Atrasos u horas extra como texto: escriba hh:mm (ej. 1:30)",IF(AND(ISNUMBER(Q2490),COUNTIFS(M_RUTN,V2490,M_MES,B2490,M_LIQ,"&lt;&gt;")&gt;1),"⚠ Liquidación repetida en el mes",IF(AND(ISNUMBER(O2490),ISNUMBER(P2490),ISNUMBER(Q2490),ABS(O2490-P2490-Q2490)&gt;1),"⚠ Haberes − descuentos no da el líquido","OK"))))))</f>
        <v/>
      </c>
      <c r="V2490" s="62" t="str">
        <f aca="false">IF(C2490="","",IFERROR(VALUE(LEFT(UPPER(SUBSTITUTE(SUBSTITUTE(SUBSTITUTE(TRIM(C2490),".",""),"-","")," ","")),LEN(UPPER(SUBSTITUTE(SUBSTITUTE(SUBSTITUTE(TRIM(C2490),".",""),"-","")," ","")))-1))&amp;RIGHT(UPPER(SUBSTITUTE(SUBSTITUTE(SUBSTITUTE(TRIM(C2490),".",""),"-","")," ","")),1),UPPER(SUBSTITUTE(SUBSTITUTE(SUBSTITUTE(TRIM(C2490),".",""),"-","")," ",""))))</f>
        <v/>
      </c>
    </row>
    <row r="2491" customFormat="false" ht="15" hidden="false" customHeight="false" outlineLevel="0" collapsed="false">
      <c r="B2491" s="80"/>
      <c r="C2491" s="58"/>
      <c r="D2491" s="62" t="str">
        <f aca="false">IF(C2491="","",IFERROR(INDEX(T_NOMBRE,MATCH(V2491,T_RUTN,0)),"⚠ RUT no está en Trabajadores"))</f>
        <v/>
      </c>
      <c r="E2491" s="61"/>
      <c r="F2491" s="61"/>
      <c r="G2491" s="61"/>
      <c r="H2491" s="61"/>
      <c r="I2491" s="81"/>
      <c r="J2491" s="81"/>
      <c r="K2491" s="60"/>
      <c r="L2491" s="60"/>
      <c r="M2491" s="60"/>
      <c r="N2491" s="60"/>
      <c r="O2491" s="60"/>
      <c r="P2491" s="60"/>
      <c r="Q2491" s="60"/>
      <c r="R2491" s="58"/>
      <c r="S2491" s="62" t="str">
        <f aca="false">IF(OR(B2491="",V2491=""),"",IFERROR(INDEX(C_TIPO,MATCH(V2491&amp;"-P"&amp;MAX(1,COUNTIFS(C_RUTN,V2491,C_DEF,"Sí",C_INI,"&lt;="&amp;EOMONTH(B2491,0))),C_CLAVE,0))&amp;"","Sin contrato"))</f>
        <v/>
      </c>
      <c r="T2491" s="63" t="str">
        <f aca="false">IF(OR(B2491="",N(O2491)=0),"",N(O2491)+ROUND(MIN(N(N2491),TOPE_UF*UF_MES)*(TASA_EMP+MUTUAL),0)+ROUND(MIN(N(N2491),TOPE_AFC_UF*UF_MES)*IF(S2491="Indefinido",AFC_INDEF,AFC_PF),0))</f>
        <v/>
      </c>
      <c r="U2491" s="62" t="str">
        <f aca="false">IF(C2491="","",IF(LEFT(D2491,1)="⚠","⚠ RUT no registrado en Trabajadores",IF(B2491="","⚠ Falta el mes",IF(OR(ISTEXT(I2491),ISTEXT(J2491)),"⚠ Atrasos u horas extra como texto: escriba hh:mm (ej. 1:30)",IF(AND(ISNUMBER(Q2491),COUNTIFS(M_RUTN,V2491,M_MES,B2491,M_LIQ,"&lt;&gt;")&gt;1),"⚠ Liquidación repetida en el mes",IF(AND(ISNUMBER(O2491),ISNUMBER(P2491),ISNUMBER(Q2491),ABS(O2491-P2491-Q2491)&gt;1),"⚠ Haberes − descuentos no da el líquido","OK"))))))</f>
        <v/>
      </c>
      <c r="V2491" s="62" t="str">
        <f aca="false">IF(C2491="","",IFERROR(VALUE(LEFT(UPPER(SUBSTITUTE(SUBSTITUTE(SUBSTITUTE(TRIM(C2491),".",""),"-","")," ","")),LEN(UPPER(SUBSTITUTE(SUBSTITUTE(SUBSTITUTE(TRIM(C2491),".",""),"-","")," ","")))-1))&amp;RIGHT(UPPER(SUBSTITUTE(SUBSTITUTE(SUBSTITUTE(TRIM(C2491),".",""),"-","")," ","")),1),UPPER(SUBSTITUTE(SUBSTITUTE(SUBSTITUTE(TRIM(C2491),".",""),"-","")," ",""))))</f>
        <v/>
      </c>
    </row>
    <row r="2492" customFormat="false" ht="15" hidden="false" customHeight="false" outlineLevel="0" collapsed="false">
      <c r="B2492" s="80"/>
      <c r="C2492" s="58"/>
      <c r="D2492" s="62" t="str">
        <f aca="false">IF(C2492="","",IFERROR(INDEX(T_NOMBRE,MATCH(V2492,T_RUTN,0)),"⚠ RUT no está en Trabajadores"))</f>
        <v/>
      </c>
      <c r="E2492" s="61"/>
      <c r="F2492" s="61"/>
      <c r="G2492" s="61"/>
      <c r="H2492" s="61"/>
      <c r="I2492" s="81"/>
      <c r="J2492" s="81"/>
      <c r="K2492" s="60"/>
      <c r="L2492" s="60"/>
      <c r="M2492" s="60"/>
      <c r="N2492" s="60"/>
      <c r="O2492" s="60"/>
      <c r="P2492" s="60"/>
      <c r="Q2492" s="60"/>
      <c r="R2492" s="58"/>
      <c r="S2492" s="62" t="str">
        <f aca="false">IF(OR(B2492="",V2492=""),"",IFERROR(INDEX(C_TIPO,MATCH(V2492&amp;"-P"&amp;MAX(1,COUNTIFS(C_RUTN,V2492,C_DEF,"Sí",C_INI,"&lt;="&amp;EOMONTH(B2492,0))),C_CLAVE,0))&amp;"","Sin contrato"))</f>
        <v/>
      </c>
      <c r="T2492" s="63" t="str">
        <f aca="false">IF(OR(B2492="",N(O2492)=0),"",N(O2492)+ROUND(MIN(N(N2492),TOPE_UF*UF_MES)*(TASA_EMP+MUTUAL),0)+ROUND(MIN(N(N2492),TOPE_AFC_UF*UF_MES)*IF(S2492="Indefinido",AFC_INDEF,AFC_PF),0))</f>
        <v/>
      </c>
      <c r="U2492" s="62" t="str">
        <f aca="false">IF(C2492="","",IF(LEFT(D2492,1)="⚠","⚠ RUT no registrado en Trabajadores",IF(B2492="","⚠ Falta el mes",IF(OR(ISTEXT(I2492),ISTEXT(J2492)),"⚠ Atrasos u horas extra como texto: escriba hh:mm (ej. 1:30)",IF(AND(ISNUMBER(Q2492),COUNTIFS(M_RUTN,V2492,M_MES,B2492,M_LIQ,"&lt;&gt;")&gt;1),"⚠ Liquidación repetida en el mes",IF(AND(ISNUMBER(O2492),ISNUMBER(P2492),ISNUMBER(Q2492),ABS(O2492-P2492-Q2492)&gt;1),"⚠ Haberes − descuentos no da el líquido","OK"))))))</f>
        <v/>
      </c>
      <c r="V2492" s="62" t="str">
        <f aca="false">IF(C2492="","",IFERROR(VALUE(LEFT(UPPER(SUBSTITUTE(SUBSTITUTE(SUBSTITUTE(TRIM(C2492),".",""),"-","")," ","")),LEN(UPPER(SUBSTITUTE(SUBSTITUTE(SUBSTITUTE(TRIM(C2492),".",""),"-","")," ","")))-1))&amp;RIGHT(UPPER(SUBSTITUTE(SUBSTITUTE(SUBSTITUTE(TRIM(C2492),".",""),"-","")," ","")),1),UPPER(SUBSTITUTE(SUBSTITUTE(SUBSTITUTE(TRIM(C2492),".",""),"-","")," ",""))))</f>
        <v/>
      </c>
    </row>
    <row r="2493" customFormat="false" ht="15" hidden="false" customHeight="false" outlineLevel="0" collapsed="false">
      <c r="B2493" s="80"/>
      <c r="C2493" s="58"/>
      <c r="D2493" s="62" t="str">
        <f aca="false">IF(C2493="","",IFERROR(INDEX(T_NOMBRE,MATCH(V2493,T_RUTN,0)),"⚠ RUT no está en Trabajadores"))</f>
        <v/>
      </c>
      <c r="E2493" s="61"/>
      <c r="F2493" s="61"/>
      <c r="G2493" s="61"/>
      <c r="H2493" s="61"/>
      <c r="I2493" s="81"/>
      <c r="J2493" s="81"/>
      <c r="K2493" s="60"/>
      <c r="L2493" s="60"/>
      <c r="M2493" s="60"/>
      <c r="N2493" s="60"/>
      <c r="O2493" s="60"/>
      <c r="P2493" s="60"/>
      <c r="Q2493" s="60"/>
      <c r="R2493" s="58"/>
      <c r="S2493" s="62" t="str">
        <f aca="false">IF(OR(B2493="",V2493=""),"",IFERROR(INDEX(C_TIPO,MATCH(V2493&amp;"-P"&amp;MAX(1,COUNTIFS(C_RUTN,V2493,C_DEF,"Sí",C_INI,"&lt;="&amp;EOMONTH(B2493,0))),C_CLAVE,0))&amp;"","Sin contrato"))</f>
        <v/>
      </c>
      <c r="T2493" s="63" t="str">
        <f aca="false">IF(OR(B2493="",N(O2493)=0),"",N(O2493)+ROUND(MIN(N(N2493),TOPE_UF*UF_MES)*(TASA_EMP+MUTUAL),0)+ROUND(MIN(N(N2493),TOPE_AFC_UF*UF_MES)*IF(S2493="Indefinido",AFC_INDEF,AFC_PF),0))</f>
        <v/>
      </c>
      <c r="U2493" s="62" t="str">
        <f aca="false">IF(C2493="","",IF(LEFT(D2493,1)="⚠","⚠ RUT no registrado en Trabajadores",IF(B2493="","⚠ Falta el mes",IF(OR(ISTEXT(I2493),ISTEXT(J2493)),"⚠ Atrasos u horas extra como texto: escriba hh:mm (ej. 1:30)",IF(AND(ISNUMBER(Q2493),COUNTIFS(M_RUTN,V2493,M_MES,B2493,M_LIQ,"&lt;&gt;")&gt;1),"⚠ Liquidación repetida en el mes",IF(AND(ISNUMBER(O2493),ISNUMBER(P2493),ISNUMBER(Q2493),ABS(O2493-P2493-Q2493)&gt;1),"⚠ Haberes − descuentos no da el líquido","OK"))))))</f>
        <v/>
      </c>
      <c r="V2493" s="62" t="str">
        <f aca="false">IF(C2493="","",IFERROR(VALUE(LEFT(UPPER(SUBSTITUTE(SUBSTITUTE(SUBSTITUTE(TRIM(C2493),".",""),"-","")," ","")),LEN(UPPER(SUBSTITUTE(SUBSTITUTE(SUBSTITUTE(TRIM(C2493),".",""),"-","")," ","")))-1))&amp;RIGHT(UPPER(SUBSTITUTE(SUBSTITUTE(SUBSTITUTE(TRIM(C2493),".",""),"-","")," ","")),1),UPPER(SUBSTITUTE(SUBSTITUTE(SUBSTITUTE(TRIM(C2493),".",""),"-","")," ",""))))</f>
        <v/>
      </c>
    </row>
    <row r="2494" customFormat="false" ht="15" hidden="false" customHeight="false" outlineLevel="0" collapsed="false">
      <c r="B2494" s="80"/>
      <c r="C2494" s="58"/>
      <c r="D2494" s="62" t="str">
        <f aca="false">IF(C2494="","",IFERROR(INDEX(T_NOMBRE,MATCH(V2494,T_RUTN,0)),"⚠ RUT no está en Trabajadores"))</f>
        <v/>
      </c>
      <c r="E2494" s="61"/>
      <c r="F2494" s="61"/>
      <c r="G2494" s="61"/>
      <c r="H2494" s="61"/>
      <c r="I2494" s="81"/>
      <c r="J2494" s="81"/>
      <c r="K2494" s="60"/>
      <c r="L2494" s="60"/>
      <c r="M2494" s="60"/>
      <c r="N2494" s="60"/>
      <c r="O2494" s="60"/>
      <c r="P2494" s="60"/>
      <c r="Q2494" s="60"/>
      <c r="R2494" s="58"/>
      <c r="S2494" s="62" t="str">
        <f aca="false">IF(OR(B2494="",V2494=""),"",IFERROR(INDEX(C_TIPO,MATCH(V2494&amp;"-P"&amp;MAX(1,COUNTIFS(C_RUTN,V2494,C_DEF,"Sí",C_INI,"&lt;="&amp;EOMONTH(B2494,0))),C_CLAVE,0))&amp;"","Sin contrato"))</f>
        <v/>
      </c>
      <c r="T2494" s="63" t="str">
        <f aca="false">IF(OR(B2494="",N(O2494)=0),"",N(O2494)+ROUND(MIN(N(N2494),TOPE_UF*UF_MES)*(TASA_EMP+MUTUAL),0)+ROUND(MIN(N(N2494),TOPE_AFC_UF*UF_MES)*IF(S2494="Indefinido",AFC_INDEF,AFC_PF),0))</f>
        <v/>
      </c>
      <c r="U2494" s="62" t="str">
        <f aca="false">IF(C2494="","",IF(LEFT(D2494,1)="⚠","⚠ RUT no registrado en Trabajadores",IF(B2494="","⚠ Falta el mes",IF(OR(ISTEXT(I2494),ISTEXT(J2494)),"⚠ Atrasos u horas extra como texto: escriba hh:mm (ej. 1:30)",IF(AND(ISNUMBER(Q2494),COUNTIFS(M_RUTN,V2494,M_MES,B2494,M_LIQ,"&lt;&gt;")&gt;1),"⚠ Liquidación repetida en el mes",IF(AND(ISNUMBER(O2494),ISNUMBER(P2494),ISNUMBER(Q2494),ABS(O2494-P2494-Q2494)&gt;1),"⚠ Haberes − descuentos no da el líquido","OK"))))))</f>
        <v/>
      </c>
      <c r="V2494" s="62" t="str">
        <f aca="false">IF(C2494="","",IFERROR(VALUE(LEFT(UPPER(SUBSTITUTE(SUBSTITUTE(SUBSTITUTE(TRIM(C2494),".",""),"-","")," ","")),LEN(UPPER(SUBSTITUTE(SUBSTITUTE(SUBSTITUTE(TRIM(C2494),".",""),"-","")," ","")))-1))&amp;RIGHT(UPPER(SUBSTITUTE(SUBSTITUTE(SUBSTITUTE(TRIM(C2494),".",""),"-","")," ","")),1),UPPER(SUBSTITUTE(SUBSTITUTE(SUBSTITUTE(TRIM(C2494),".",""),"-","")," ",""))))</f>
        <v/>
      </c>
    </row>
    <row r="2495" customFormat="false" ht="15" hidden="false" customHeight="false" outlineLevel="0" collapsed="false">
      <c r="B2495" s="80"/>
      <c r="C2495" s="58"/>
      <c r="D2495" s="62" t="str">
        <f aca="false">IF(C2495="","",IFERROR(INDEX(T_NOMBRE,MATCH(V2495,T_RUTN,0)),"⚠ RUT no está en Trabajadores"))</f>
        <v/>
      </c>
      <c r="E2495" s="61"/>
      <c r="F2495" s="61"/>
      <c r="G2495" s="61"/>
      <c r="H2495" s="61"/>
      <c r="I2495" s="81"/>
      <c r="J2495" s="81"/>
      <c r="K2495" s="60"/>
      <c r="L2495" s="60"/>
      <c r="M2495" s="60"/>
      <c r="N2495" s="60"/>
      <c r="O2495" s="60"/>
      <c r="P2495" s="60"/>
      <c r="Q2495" s="60"/>
      <c r="R2495" s="58"/>
      <c r="S2495" s="62" t="str">
        <f aca="false">IF(OR(B2495="",V2495=""),"",IFERROR(INDEX(C_TIPO,MATCH(V2495&amp;"-P"&amp;MAX(1,COUNTIFS(C_RUTN,V2495,C_DEF,"Sí",C_INI,"&lt;="&amp;EOMONTH(B2495,0))),C_CLAVE,0))&amp;"","Sin contrato"))</f>
        <v/>
      </c>
      <c r="T2495" s="63" t="str">
        <f aca="false">IF(OR(B2495="",N(O2495)=0),"",N(O2495)+ROUND(MIN(N(N2495),TOPE_UF*UF_MES)*(TASA_EMP+MUTUAL),0)+ROUND(MIN(N(N2495),TOPE_AFC_UF*UF_MES)*IF(S2495="Indefinido",AFC_INDEF,AFC_PF),0))</f>
        <v/>
      </c>
      <c r="U2495" s="62" t="str">
        <f aca="false">IF(C2495="","",IF(LEFT(D2495,1)="⚠","⚠ RUT no registrado en Trabajadores",IF(B2495="","⚠ Falta el mes",IF(OR(ISTEXT(I2495),ISTEXT(J2495)),"⚠ Atrasos u horas extra como texto: escriba hh:mm (ej. 1:30)",IF(AND(ISNUMBER(Q2495),COUNTIFS(M_RUTN,V2495,M_MES,B2495,M_LIQ,"&lt;&gt;")&gt;1),"⚠ Liquidación repetida en el mes",IF(AND(ISNUMBER(O2495),ISNUMBER(P2495),ISNUMBER(Q2495),ABS(O2495-P2495-Q2495)&gt;1),"⚠ Haberes − descuentos no da el líquido","OK"))))))</f>
        <v/>
      </c>
      <c r="V2495" s="62" t="str">
        <f aca="false">IF(C2495="","",IFERROR(VALUE(LEFT(UPPER(SUBSTITUTE(SUBSTITUTE(SUBSTITUTE(TRIM(C2495),".",""),"-","")," ","")),LEN(UPPER(SUBSTITUTE(SUBSTITUTE(SUBSTITUTE(TRIM(C2495),".",""),"-","")," ","")))-1))&amp;RIGHT(UPPER(SUBSTITUTE(SUBSTITUTE(SUBSTITUTE(TRIM(C2495),".",""),"-","")," ","")),1),UPPER(SUBSTITUTE(SUBSTITUTE(SUBSTITUTE(TRIM(C2495),".",""),"-","")," ",""))))</f>
        <v/>
      </c>
    </row>
    <row r="2496" customFormat="false" ht="15" hidden="false" customHeight="false" outlineLevel="0" collapsed="false">
      <c r="B2496" s="80"/>
      <c r="C2496" s="58"/>
      <c r="D2496" s="62" t="str">
        <f aca="false">IF(C2496="","",IFERROR(INDEX(T_NOMBRE,MATCH(V2496,T_RUTN,0)),"⚠ RUT no está en Trabajadores"))</f>
        <v/>
      </c>
      <c r="E2496" s="61"/>
      <c r="F2496" s="61"/>
      <c r="G2496" s="61"/>
      <c r="H2496" s="61"/>
      <c r="I2496" s="81"/>
      <c r="J2496" s="81"/>
      <c r="K2496" s="60"/>
      <c r="L2496" s="60"/>
      <c r="M2496" s="60"/>
      <c r="N2496" s="60"/>
      <c r="O2496" s="60"/>
      <c r="P2496" s="60"/>
      <c r="Q2496" s="60"/>
      <c r="R2496" s="58"/>
      <c r="S2496" s="62" t="str">
        <f aca="false">IF(OR(B2496="",V2496=""),"",IFERROR(INDEX(C_TIPO,MATCH(V2496&amp;"-P"&amp;MAX(1,COUNTIFS(C_RUTN,V2496,C_DEF,"Sí",C_INI,"&lt;="&amp;EOMONTH(B2496,0))),C_CLAVE,0))&amp;"","Sin contrato"))</f>
        <v/>
      </c>
      <c r="T2496" s="63" t="str">
        <f aca="false">IF(OR(B2496="",N(O2496)=0),"",N(O2496)+ROUND(MIN(N(N2496),TOPE_UF*UF_MES)*(TASA_EMP+MUTUAL),0)+ROUND(MIN(N(N2496),TOPE_AFC_UF*UF_MES)*IF(S2496="Indefinido",AFC_INDEF,AFC_PF),0))</f>
        <v/>
      </c>
      <c r="U2496" s="62" t="str">
        <f aca="false">IF(C2496="","",IF(LEFT(D2496,1)="⚠","⚠ RUT no registrado en Trabajadores",IF(B2496="","⚠ Falta el mes",IF(OR(ISTEXT(I2496),ISTEXT(J2496)),"⚠ Atrasos u horas extra como texto: escriba hh:mm (ej. 1:30)",IF(AND(ISNUMBER(Q2496),COUNTIFS(M_RUTN,V2496,M_MES,B2496,M_LIQ,"&lt;&gt;")&gt;1),"⚠ Liquidación repetida en el mes",IF(AND(ISNUMBER(O2496),ISNUMBER(P2496),ISNUMBER(Q2496),ABS(O2496-P2496-Q2496)&gt;1),"⚠ Haberes − descuentos no da el líquido","OK"))))))</f>
        <v/>
      </c>
      <c r="V2496" s="62" t="str">
        <f aca="false">IF(C2496="","",IFERROR(VALUE(LEFT(UPPER(SUBSTITUTE(SUBSTITUTE(SUBSTITUTE(TRIM(C2496),".",""),"-","")," ","")),LEN(UPPER(SUBSTITUTE(SUBSTITUTE(SUBSTITUTE(TRIM(C2496),".",""),"-","")," ","")))-1))&amp;RIGHT(UPPER(SUBSTITUTE(SUBSTITUTE(SUBSTITUTE(TRIM(C2496),".",""),"-","")," ","")),1),UPPER(SUBSTITUTE(SUBSTITUTE(SUBSTITUTE(TRIM(C2496),".",""),"-","")," ",""))))</f>
        <v/>
      </c>
    </row>
    <row r="2497" customFormat="false" ht="15" hidden="false" customHeight="false" outlineLevel="0" collapsed="false">
      <c r="B2497" s="80"/>
      <c r="C2497" s="58"/>
      <c r="D2497" s="62" t="str">
        <f aca="false">IF(C2497="","",IFERROR(INDEX(T_NOMBRE,MATCH(V2497,T_RUTN,0)),"⚠ RUT no está en Trabajadores"))</f>
        <v/>
      </c>
      <c r="E2497" s="61"/>
      <c r="F2497" s="61"/>
      <c r="G2497" s="61"/>
      <c r="H2497" s="61"/>
      <c r="I2497" s="81"/>
      <c r="J2497" s="81"/>
      <c r="K2497" s="60"/>
      <c r="L2497" s="60"/>
      <c r="M2497" s="60"/>
      <c r="N2497" s="60"/>
      <c r="O2497" s="60"/>
      <c r="P2497" s="60"/>
      <c r="Q2497" s="60"/>
      <c r="R2497" s="58"/>
      <c r="S2497" s="62" t="str">
        <f aca="false">IF(OR(B2497="",V2497=""),"",IFERROR(INDEX(C_TIPO,MATCH(V2497&amp;"-P"&amp;MAX(1,COUNTIFS(C_RUTN,V2497,C_DEF,"Sí",C_INI,"&lt;="&amp;EOMONTH(B2497,0))),C_CLAVE,0))&amp;"","Sin contrato"))</f>
        <v/>
      </c>
      <c r="T2497" s="63" t="str">
        <f aca="false">IF(OR(B2497="",N(O2497)=0),"",N(O2497)+ROUND(MIN(N(N2497),TOPE_UF*UF_MES)*(TASA_EMP+MUTUAL),0)+ROUND(MIN(N(N2497),TOPE_AFC_UF*UF_MES)*IF(S2497="Indefinido",AFC_INDEF,AFC_PF),0))</f>
        <v/>
      </c>
      <c r="U2497" s="62" t="str">
        <f aca="false">IF(C2497="","",IF(LEFT(D2497,1)="⚠","⚠ RUT no registrado en Trabajadores",IF(B2497="","⚠ Falta el mes",IF(OR(ISTEXT(I2497),ISTEXT(J2497)),"⚠ Atrasos u horas extra como texto: escriba hh:mm (ej. 1:30)",IF(AND(ISNUMBER(Q2497),COUNTIFS(M_RUTN,V2497,M_MES,B2497,M_LIQ,"&lt;&gt;")&gt;1),"⚠ Liquidación repetida en el mes",IF(AND(ISNUMBER(O2497),ISNUMBER(P2497),ISNUMBER(Q2497),ABS(O2497-P2497-Q2497)&gt;1),"⚠ Haberes − descuentos no da el líquido","OK"))))))</f>
        <v/>
      </c>
      <c r="V2497" s="62" t="str">
        <f aca="false">IF(C2497="","",IFERROR(VALUE(LEFT(UPPER(SUBSTITUTE(SUBSTITUTE(SUBSTITUTE(TRIM(C2497),".",""),"-","")," ","")),LEN(UPPER(SUBSTITUTE(SUBSTITUTE(SUBSTITUTE(TRIM(C2497),".",""),"-","")," ","")))-1))&amp;RIGHT(UPPER(SUBSTITUTE(SUBSTITUTE(SUBSTITUTE(TRIM(C2497),".",""),"-","")," ","")),1),UPPER(SUBSTITUTE(SUBSTITUTE(SUBSTITUTE(TRIM(C2497),".",""),"-","")," ",""))))</f>
        <v/>
      </c>
    </row>
    <row r="2498" customFormat="false" ht="15" hidden="false" customHeight="false" outlineLevel="0" collapsed="false">
      <c r="B2498" s="80"/>
      <c r="C2498" s="58"/>
      <c r="D2498" s="62" t="str">
        <f aca="false">IF(C2498="","",IFERROR(INDEX(T_NOMBRE,MATCH(V2498,T_RUTN,0)),"⚠ RUT no está en Trabajadores"))</f>
        <v/>
      </c>
      <c r="E2498" s="61"/>
      <c r="F2498" s="61"/>
      <c r="G2498" s="61"/>
      <c r="H2498" s="61"/>
      <c r="I2498" s="81"/>
      <c r="J2498" s="81"/>
      <c r="K2498" s="60"/>
      <c r="L2498" s="60"/>
      <c r="M2498" s="60"/>
      <c r="N2498" s="60"/>
      <c r="O2498" s="60"/>
      <c r="P2498" s="60"/>
      <c r="Q2498" s="60"/>
      <c r="R2498" s="58"/>
      <c r="S2498" s="62" t="str">
        <f aca="false">IF(OR(B2498="",V2498=""),"",IFERROR(INDEX(C_TIPO,MATCH(V2498&amp;"-P"&amp;MAX(1,COUNTIFS(C_RUTN,V2498,C_DEF,"Sí",C_INI,"&lt;="&amp;EOMONTH(B2498,0))),C_CLAVE,0))&amp;"","Sin contrato"))</f>
        <v/>
      </c>
      <c r="T2498" s="63" t="str">
        <f aca="false">IF(OR(B2498="",N(O2498)=0),"",N(O2498)+ROUND(MIN(N(N2498),TOPE_UF*UF_MES)*(TASA_EMP+MUTUAL),0)+ROUND(MIN(N(N2498),TOPE_AFC_UF*UF_MES)*IF(S2498="Indefinido",AFC_INDEF,AFC_PF),0))</f>
        <v/>
      </c>
      <c r="U2498" s="62" t="str">
        <f aca="false">IF(C2498="","",IF(LEFT(D2498,1)="⚠","⚠ RUT no registrado en Trabajadores",IF(B2498="","⚠ Falta el mes",IF(OR(ISTEXT(I2498),ISTEXT(J2498)),"⚠ Atrasos u horas extra como texto: escriba hh:mm (ej. 1:30)",IF(AND(ISNUMBER(Q2498),COUNTIFS(M_RUTN,V2498,M_MES,B2498,M_LIQ,"&lt;&gt;")&gt;1),"⚠ Liquidación repetida en el mes",IF(AND(ISNUMBER(O2498),ISNUMBER(P2498),ISNUMBER(Q2498),ABS(O2498-P2498-Q2498)&gt;1),"⚠ Haberes − descuentos no da el líquido","OK"))))))</f>
        <v/>
      </c>
      <c r="V2498" s="62" t="str">
        <f aca="false">IF(C2498="","",IFERROR(VALUE(LEFT(UPPER(SUBSTITUTE(SUBSTITUTE(SUBSTITUTE(TRIM(C2498),".",""),"-","")," ","")),LEN(UPPER(SUBSTITUTE(SUBSTITUTE(SUBSTITUTE(TRIM(C2498),".",""),"-","")," ","")))-1))&amp;RIGHT(UPPER(SUBSTITUTE(SUBSTITUTE(SUBSTITUTE(TRIM(C2498),".",""),"-","")," ","")),1),UPPER(SUBSTITUTE(SUBSTITUTE(SUBSTITUTE(TRIM(C2498),".",""),"-","")," ",""))))</f>
        <v/>
      </c>
    </row>
    <row r="2499" customFormat="false" ht="15" hidden="false" customHeight="false" outlineLevel="0" collapsed="false">
      <c r="B2499" s="80"/>
      <c r="C2499" s="58"/>
      <c r="D2499" s="62" t="str">
        <f aca="false">IF(C2499="","",IFERROR(INDEX(T_NOMBRE,MATCH(V2499,T_RUTN,0)),"⚠ RUT no está en Trabajadores"))</f>
        <v/>
      </c>
      <c r="E2499" s="61"/>
      <c r="F2499" s="61"/>
      <c r="G2499" s="61"/>
      <c r="H2499" s="61"/>
      <c r="I2499" s="81"/>
      <c r="J2499" s="81"/>
      <c r="K2499" s="60"/>
      <c r="L2499" s="60"/>
      <c r="M2499" s="60"/>
      <c r="N2499" s="60"/>
      <c r="O2499" s="60"/>
      <c r="P2499" s="60"/>
      <c r="Q2499" s="60"/>
      <c r="R2499" s="58"/>
      <c r="S2499" s="62" t="str">
        <f aca="false">IF(OR(B2499="",V2499=""),"",IFERROR(INDEX(C_TIPO,MATCH(V2499&amp;"-P"&amp;MAX(1,COUNTIFS(C_RUTN,V2499,C_DEF,"Sí",C_INI,"&lt;="&amp;EOMONTH(B2499,0))),C_CLAVE,0))&amp;"","Sin contrato"))</f>
        <v/>
      </c>
      <c r="T2499" s="63" t="str">
        <f aca="false">IF(OR(B2499="",N(O2499)=0),"",N(O2499)+ROUND(MIN(N(N2499),TOPE_UF*UF_MES)*(TASA_EMP+MUTUAL),0)+ROUND(MIN(N(N2499),TOPE_AFC_UF*UF_MES)*IF(S2499="Indefinido",AFC_INDEF,AFC_PF),0))</f>
        <v/>
      </c>
      <c r="U2499" s="62" t="str">
        <f aca="false">IF(C2499="","",IF(LEFT(D2499,1)="⚠","⚠ RUT no registrado en Trabajadores",IF(B2499="","⚠ Falta el mes",IF(OR(ISTEXT(I2499),ISTEXT(J2499)),"⚠ Atrasos u horas extra como texto: escriba hh:mm (ej. 1:30)",IF(AND(ISNUMBER(Q2499),COUNTIFS(M_RUTN,V2499,M_MES,B2499,M_LIQ,"&lt;&gt;")&gt;1),"⚠ Liquidación repetida en el mes",IF(AND(ISNUMBER(O2499),ISNUMBER(P2499),ISNUMBER(Q2499),ABS(O2499-P2499-Q2499)&gt;1),"⚠ Haberes − descuentos no da el líquido","OK"))))))</f>
        <v/>
      </c>
      <c r="V2499" s="62" t="str">
        <f aca="false">IF(C2499="","",IFERROR(VALUE(LEFT(UPPER(SUBSTITUTE(SUBSTITUTE(SUBSTITUTE(TRIM(C2499),".",""),"-","")," ","")),LEN(UPPER(SUBSTITUTE(SUBSTITUTE(SUBSTITUTE(TRIM(C2499),".",""),"-","")," ","")))-1))&amp;RIGHT(UPPER(SUBSTITUTE(SUBSTITUTE(SUBSTITUTE(TRIM(C2499),".",""),"-","")," ","")),1),UPPER(SUBSTITUTE(SUBSTITUTE(SUBSTITUTE(TRIM(C2499),".",""),"-","")," ",""))))</f>
        <v/>
      </c>
    </row>
    <row r="2500" customFormat="false" ht="15" hidden="false" customHeight="false" outlineLevel="0" collapsed="false">
      <c r="B2500" s="80"/>
      <c r="C2500" s="58"/>
      <c r="D2500" s="62" t="str">
        <f aca="false">IF(C2500="","",IFERROR(INDEX(T_NOMBRE,MATCH(V2500,T_RUTN,0)),"⚠ RUT no está en Trabajadores"))</f>
        <v/>
      </c>
      <c r="E2500" s="61"/>
      <c r="F2500" s="61"/>
      <c r="G2500" s="61"/>
      <c r="H2500" s="61"/>
      <c r="I2500" s="81"/>
      <c r="J2500" s="81"/>
      <c r="K2500" s="60"/>
      <c r="L2500" s="60"/>
      <c r="M2500" s="60"/>
      <c r="N2500" s="60"/>
      <c r="O2500" s="60"/>
      <c r="P2500" s="60"/>
      <c r="Q2500" s="60"/>
      <c r="R2500" s="58"/>
      <c r="S2500" s="62" t="str">
        <f aca="false">IF(OR(B2500="",V2500=""),"",IFERROR(INDEX(C_TIPO,MATCH(V2500&amp;"-P"&amp;MAX(1,COUNTIFS(C_RUTN,V2500,C_DEF,"Sí",C_INI,"&lt;="&amp;EOMONTH(B2500,0))),C_CLAVE,0))&amp;"","Sin contrato"))</f>
        <v/>
      </c>
      <c r="T2500" s="63" t="str">
        <f aca="false">IF(OR(B2500="",N(O2500)=0),"",N(O2500)+ROUND(MIN(N(N2500),TOPE_UF*UF_MES)*(TASA_EMP+MUTUAL),0)+ROUND(MIN(N(N2500),TOPE_AFC_UF*UF_MES)*IF(S2500="Indefinido",AFC_INDEF,AFC_PF),0))</f>
        <v/>
      </c>
      <c r="U2500" s="62" t="str">
        <f aca="false">IF(C2500="","",IF(LEFT(D2500,1)="⚠","⚠ RUT no registrado en Trabajadores",IF(B2500="","⚠ Falta el mes",IF(OR(ISTEXT(I2500),ISTEXT(J2500)),"⚠ Atrasos u horas extra como texto: escriba hh:mm (ej. 1:30)",IF(AND(ISNUMBER(Q2500),COUNTIFS(M_RUTN,V2500,M_MES,B2500,M_LIQ,"&lt;&gt;")&gt;1),"⚠ Liquidación repetida en el mes",IF(AND(ISNUMBER(O2500),ISNUMBER(P2500),ISNUMBER(Q2500),ABS(O2500-P2500-Q2500)&gt;1),"⚠ Haberes − descuentos no da el líquido","OK"))))))</f>
        <v/>
      </c>
      <c r="V2500" s="62" t="str">
        <f aca="false">IF(C2500="","",IFERROR(VALUE(LEFT(UPPER(SUBSTITUTE(SUBSTITUTE(SUBSTITUTE(TRIM(C2500),".",""),"-","")," ","")),LEN(UPPER(SUBSTITUTE(SUBSTITUTE(SUBSTITUTE(TRIM(C2500),".",""),"-","")," ","")))-1))&amp;RIGHT(UPPER(SUBSTITUTE(SUBSTITUTE(SUBSTITUTE(TRIM(C2500),".",""),"-","")," ","")),1),UPPER(SUBSTITUTE(SUBSTITUTE(SUBSTITUTE(TRIM(C2500),".",""),"-","")," ",""))))</f>
        <v/>
      </c>
    </row>
    <row r="2501" customFormat="false" ht="15" hidden="false" customHeight="false" outlineLevel="0" collapsed="false">
      <c r="B2501" s="80"/>
      <c r="C2501" s="58"/>
      <c r="D2501" s="62" t="str">
        <f aca="false">IF(C2501="","",IFERROR(INDEX(T_NOMBRE,MATCH(V2501,T_RUTN,0)),"⚠ RUT no está en Trabajadores"))</f>
        <v/>
      </c>
      <c r="E2501" s="61"/>
      <c r="F2501" s="61"/>
      <c r="G2501" s="61"/>
      <c r="H2501" s="61"/>
      <c r="I2501" s="81"/>
      <c r="J2501" s="81"/>
      <c r="K2501" s="60"/>
      <c r="L2501" s="60"/>
      <c r="M2501" s="60"/>
      <c r="N2501" s="60"/>
      <c r="O2501" s="60"/>
      <c r="P2501" s="60"/>
      <c r="Q2501" s="60"/>
      <c r="R2501" s="58"/>
      <c r="S2501" s="62" t="str">
        <f aca="false">IF(OR(B2501="",V2501=""),"",IFERROR(INDEX(C_TIPO,MATCH(V2501&amp;"-P"&amp;MAX(1,COUNTIFS(C_RUTN,V2501,C_DEF,"Sí",C_INI,"&lt;="&amp;EOMONTH(B2501,0))),C_CLAVE,0))&amp;"","Sin contrato"))</f>
        <v/>
      </c>
      <c r="T2501" s="63" t="str">
        <f aca="false">IF(OR(B2501="",N(O2501)=0),"",N(O2501)+ROUND(MIN(N(N2501),TOPE_UF*UF_MES)*(TASA_EMP+MUTUAL),0)+ROUND(MIN(N(N2501),TOPE_AFC_UF*UF_MES)*IF(S2501="Indefinido",AFC_INDEF,AFC_PF),0))</f>
        <v/>
      </c>
      <c r="U2501" s="62" t="str">
        <f aca="false">IF(C2501="","",IF(LEFT(D2501,1)="⚠","⚠ RUT no registrado en Trabajadores",IF(B2501="","⚠ Falta el mes",IF(OR(ISTEXT(I2501),ISTEXT(J2501)),"⚠ Atrasos u horas extra como texto: escriba hh:mm (ej. 1:30)",IF(AND(ISNUMBER(Q2501),COUNTIFS(M_RUTN,V2501,M_MES,B2501,M_LIQ,"&lt;&gt;")&gt;1),"⚠ Liquidación repetida en el mes",IF(AND(ISNUMBER(O2501),ISNUMBER(P2501),ISNUMBER(Q2501),ABS(O2501-P2501-Q2501)&gt;1),"⚠ Haberes − descuentos no da el líquido","OK"))))))</f>
        <v/>
      </c>
      <c r="V2501" s="62" t="str">
        <f aca="false">IF(C2501="","",IFERROR(VALUE(LEFT(UPPER(SUBSTITUTE(SUBSTITUTE(SUBSTITUTE(TRIM(C2501),".",""),"-","")," ","")),LEN(UPPER(SUBSTITUTE(SUBSTITUTE(SUBSTITUTE(TRIM(C2501),".",""),"-","")," ","")))-1))&amp;RIGHT(UPPER(SUBSTITUTE(SUBSTITUTE(SUBSTITUTE(TRIM(C2501),".",""),"-","")," ","")),1),UPPER(SUBSTITUTE(SUBSTITUTE(SUBSTITUTE(TRIM(C2501),".",""),"-","")," ",""))))</f>
        <v/>
      </c>
    </row>
    <row r="2502" customFormat="false" ht="15" hidden="false" customHeight="false" outlineLevel="0" collapsed="false">
      <c r="B2502" s="80"/>
      <c r="C2502" s="58"/>
      <c r="D2502" s="62" t="str">
        <f aca="false">IF(C2502="","",IFERROR(INDEX(T_NOMBRE,MATCH(V2502,T_RUTN,0)),"⚠ RUT no está en Trabajadores"))</f>
        <v/>
      </c>
      <c r="E2502" s="61"/>
      <c r="F2502" s="61"/>
      <c r="G2502" s="61"/>
      <c r="H2502" s="61"/>
      <c r="I2502" s="81"/>
      <c r="J2502" s="81"/>
      <c r="K2502" s="60"/>
      <c r="L2502" s="60"/>
      <c r="M2502" s="60"/>
      <c r="N2502" s="60"/>
      <c r="O2502" s="60"/>
      <c r="P2502" s="60"/>
      <c r="Q2502" s="60"/>
      <c r="R2502" s="58"/>
      <c r="S2502" s="62" t="str">
        <f aca="false">IF(OR(B2502="",V2502=""),"",IFERROR(INDEX(C_TIPO,MATCH(V2502&amp;"-P"&amp;MAX(1,COUNTIFS(C_RUTN,V2502,C_DEF,"Sí",C_INI,"&lt;="&amp;EOMONTH(B2502,0))),C_CLAVE,0))&amp;"","Sin contrato"))</f>
        <v/>
      </c>
      <c r="T2502" s="63" t="str">
        <f aca="false">IF(OR(B2502="",N(O2502)=0),"",N(O2502)+ROUND(MIN(N(N2502),TOPE_UF*UF_MES)*(TASA_EMP+MUTUAL),0)+ROUND(MIN(N(N2502),TOPE_AFC_UF*UF_MES)*IF(S2502="Indefinido",AFC_INDEF,AFC_PF),0))</f>
        <v/>
      </c>
      <c r="U2502" s="62" t="str">
        <f aca="false">IF(C2502="","",IF(LEFT(D2502,1)="⚠","⚠ RUT no registrado en Trabajadores",IF(B2502="","⚠ Falta el mes",IF(OR(ISTEXT(I2502),ISTEXT(J2502)),"⚠ Atrasos u horas extra como texto: escriba hh:mm (ej. 1:30)",IF(AND(ISNUMBER(Q2502),COUNTIFS(M_RUTN,V2502,M_MES,B2502,M_LIQ,"&lt;&gt;")&gt;1),"⚠ Liquidación repetida en el mes",IF(AND(ISNUMBER(O2502),ISNUMBER(P2502),ISNUMBER(Q2502),ABS(O2502-P2502-Q2502)&gt;1),"⚠ Haberes − descuentos no da el líquido","OK"))))))</f>
        <v/>
      </c>
      <c r="V2502" s="62" t="str">
        <f aca="false">IF(C2502="","",IFERROR(VALUE(LEFT(UPPER(SUBSTITUTE(SUBSTITUTE(SUBSTITUTE(TRIM(C2502),".",""),"-","")," ","")),LEN(UPPER(SUBSTITUTE(SUBSTITUTE(SUBSTITUTE(TRIM(C2502),".",""),"-","")," ","")))-1))&amp;RIGHT(UPPER(SUBSTITUTE(SUBSTITUTE(SUBSTITUTE(TRIM(C2502),".",""),"-","")," ","")),1),UPPER(SUBSTITUTE(SUBSTITUTE(SUBSTITUTE(TRIM(C2502),".",""),"-","")," ",""))))</f>
        <v/>
      </c>
    </row>
    <row r="2503" customFormat="false" ht="15" hidden="false" customHeight="false" outlineLevel="0" collapsed="false">
      <c r="B2503" s="80"/>
      <c r="C2503" s="58"/>
      <c r="D2503" s="62" t="str">
        <f aca="false">IF(C2503="","",IFERROR(INDEX(T_NOMBRE,MATCH(V2503,T_RUTN,0)),"⚠ RUT no está en Trabajadores"))</f>
        <v/>
      </c>
      <c r="E2503" s="61"/>
      <c r="F2503" s="61"/>
      <c r="G2503" s="61"/>
      <c r="H2503" s="61"/>
      <c r="I2503" s="81"/>
      <c r="J2503" s="81"/>
      <c r="K2503" s="60"/>
      <c r="L2503" s="60"/>
      <c r="M2503" s="60"/>
      <c r="N2503" s="60"/>
      <c r="O2503" s="60"/>
      <c r="P2503" s="60"/>
      <c r="Q2503" s="60"/>
      <c r="R2503" s="58"/>
      <c r="S2503" s="62" t="str">
        <f aca="false">IF(OR(B2503="",V2503=""),"",IFERROR(INDEX(C_TIPO,MATCH(V2503&amp;"-P"&amp;MAX(1,COUNTIFS(C_RUTN,V2503,C_DEF,"Sí",C_INI,"&lt;="&amp;EOMONTH(B2503,0))),C_CLAVE,0))&amp;"","Sin contrato"))</f>
        <v/>
      </c>
      <c r="T2503" s="63" t="str">
        <f aca="false">IF(OR(B2503="",N(O2503)=0),"",N(O2503)+ROUND(MIN(N(N2503),TOPE_UF*UF_MES)*(TASA_EMP+MUTUAL),0)+ROUND(MIN(N(N2503),TOPE_AFC_UF*UF_MES)*IF(S2503="Indefinido",AFC_INDEF,AFC_PF),0))</f>
        <v/>
      </c>
      <c r="U2503" s="62" t="str">
        <f aca="false">IF(C2503="","",IF(LEFT(D2503,1)="⚠","⚠ RUT no registrado en Trabajadores",IF(B2503="","⚠ Falta el mes",IF(OR(ISTEXT(I2503),ISTEXT(J2503)),"⚠ Atrasos u horas extra como texto: escriba hh:mm (ej. 1:30)",IF(AND(ISNUMBER(Q2503),COUNTIFS(M_RUTN,V2503,M_MES,B2503,M_LIQ,"&lt;&gt;")&gt;1),"⚠ Liquidación repetida en el mes",IF(AND(ISNUMBER(O2503),ISNUMBER(P2503),ISNUMBER(Q2503),ABS(O2503-P2503-Q2503)&gt;1),"⚠ Haberes − descuentos no da el líquido","OK"))))))</f>
        <v/>
      </c>
      <c r="V2503" s="62" t="str">
        <f aca="false">IF(C2503="","",IFERROR(VALUE(LEFT(UPPER(SUBSTITUTE(SUBSTITUTE(SUBSTITUTE(TRIM(C2503),".",""),"-","")," ","")),LEN(UPPER(SUBSTITUTE(SUBSTITUTE(SUBSTITUTE(TRIM(C2503),".",""),"-","")," ","")))-1))&amp;RIGHT(UPPER(SUBSTITUTE(SUBSTITUTE(SUBSTITUTE(TRIM(C2503),".",""),"-","")," ","")),1),UPPER(SUBSTITUTE(SUBSTITUTE(SUBSTITUTE(TRIM(C2503),".",""),"-","")," ",""))))</f>
        <v/>
      </c>
    </row>
    <row r="2504" customFormat="false" ht="15" hidden="false" customHeight="false" outlineLevel="0" collapsed="false">
      <c r="B2504" s="80"/>
      <c r="C2504" s="58"/>
      <c r="D2504" s="62" t="str">
        <f aca="false">IF(C2504="","",IFERROR(INDEX(T_NOMBRE,MATCH(V2504,T_RUTN,0)),"⚠ RUT no está en Trabajadores"))</f>
        <v/>
      </c>
      <c r="E2504" s="61"/>
      <c r="F2504" s="61"/>
      <c r="G2504" s="61"/>
      <c r="H2504" s="61"/>
      <c r="I2504" s="81"/>
      <c r="J2504" s="81"/>
      <c r="K2504" s="60"/>
      <c r="L2504" s="60"/>
      <c r="M2504" s="60"/>
      <c r="N2504" s="60"/>
      <c r="O2504" s="60"/>
      <c r="P2504" s="60"/>
      <c r="Q2504" s="60"/>
      <c r="R2504" s="58"/>
      <c r="S2504" s="62" t="str">
        <f aca="false">IF(OR(B2504="",V2504=""),"",IFERROR(INDEX(C_TIPO,MATCH(V2504&amp;"-P"&amp;MAX(1,COUNTIFS(C_RUTN,V2504,C_DEF,"Sí",C_INI,"&lt;="&amp;EOMONTH(B2504,0))),C_CLAVE,0))&amp;"","Sin contrato"))</f>
        <v/>
      </c>
      <c r="T2504" s="63" t="str">
        <f aca="false">IF(OR(B2504="",N(O2504)=0),"",N(O2504)+ROUND(MIN(N(N2504),TOPE_UF*UF_MES)*(TASA_EMP+MUTUAL),0)+ROUND(MIN(N(N2504),TOPE_AFC_UF*UF_MES)*IF(S2504="Indefinido",AFC_INDEF,AFC_PF),0))</f>
        <v/>
      </c>
      <c r="U2504" s="62" t="str">
        <f aca="false">IF(C2504="","",IF(LEFT(D2504,1)="⚠","⚠ RUT no registrado en Trabajadores",IF(B2504="","⚠ Falta el mes",IF(OR(ISTEXT(I2504),ISTEXT(J2504)),"⚠ Atrasos u horas extra como texto: escriba hh:mm (ej. 1:30)",IF(AND(ISNUMBER(Q2504),COUNTIFS(M_RUTN,V2504,M_MES,B2504,M_LIQ,"&lt;&gt;")&gt;1),"⚠ Liquidación repetida en el mes",IF(AND(ISNUMBER(O2504),ISNUMBER(P2504),ISNUMBER(Q2504),ABS(O2504-P2504-Q2504)&gt;1),"⚠ Haberes − descuentos no da el líquido","OK"))))))</f>
        <v/>
      </c>
      <c r="V2504" s="62" t="str">
        <f aca="false">IF(C2504="","",IFERROR(VALUE(LEFT(UPPER(SUBSTITUTE(SUBSTITUTE(SUBSTITUTE(TRIM(C2504),".",""),"-","")," ","")),LEN(UPPER(SUBSTITUTE(SUBSTITUTE(SUBSTITUTE(TRIM(C2504),".",""),"-","")," ","")))-1))&amp;RIGHT(UPPER(SUBSTITUTE(SUBSTITUTE(SUBSTITUTE(TRIM(C2504),".",""),"-","")," ","")),1),UPPER(SUBSTITUTE(SUBSTITUTE(SUBSTITUTE(TRIM(C2504),".",""),"-","")," ",""))))</f>
        <v/>
      </c>
    </row>
    <row r="2505" customFormat="false" ht="15" hidden="false" customHeight="false" outlineLevel="0" collapsed="false">
      <c r="B2505" s="80"/>
      <c r="C2505" s="58"/>
      <c r="D2505" s="62" t="str">
        <f aca="false">IF(C2505="","",IFERROR(INDEX(T_NOMBRE,MATCH(V2505,T_RUTN,0)),"⚠ RUT no está en Trabajadores"))</f>
        <v/>
      </c>
      <c r="E2505" s="61"/>
      <c r="F2505" s="61"/>
      <c r="G2505" s="61"/>
      <c r="H2505" s="61"/>
      <c r="I2505" s="81"/>
      <c r="J2505" s="81"/>
      <c r="K2505" s="60"/>
      <c r="L2505" s="60"/>
      <c r="M2505" s="60"/>
      <c r="N2505" s="60"/>
      <c r="O2505" s="60"/>
      <c r="P2505" s="60"/>
      <c r="Q2505" s="60"/>
      <c r="R2505" s="58"/>
      <c r="S2505" s="62" t="str">
        <f aca="false">IF(OR(B2505="",V2505=""),"",IFERROR(INDEX(C_TIPO,MATCH(V2505&amp;"-P"&amp;MAX(1,COUNTIFS(C_RUTN,V2505,C_DEF,"Sí",C_INI,"&lt;="&amp;EOMONTH(B2505,0))),C_CLAVE,0))&amp;"","Sin contrato"))</f>
        <v/>
      </c>
      <c r="T2505" s="63" t="str">
        <f aca="false">IF(OR(B2505="",N(O2505)=0),"",N(O2505)+ROUND(MIN(N(N2505),TOPE_UF*UF_MES)*(TASA_EMP+MUTUAL),0)+ROUND(MIN(N(N2505),TOPE_AFC_UF*UF_MES)*IF(S2505="Indefinido",AFC_INDEF,AFC_PF),0))</f>
        <v/>
      </c>
      <c r="U2505" s="62" t="str">
        <f aca="false">IF(C2505="","",IF(LEFT(D2505,1)="⚠","⚠ RUT no registrado en Trabajadores",IF(B2505="","⚠ Falta el mes",IF(OR(ISTEXT(I2505),ISTEXT(J2505)),"⚠ Atrasos u horas extra como texto: escriba hh:mm (ej. 1:30)",IF(AND(ISNUMBER(Q2505),COUNTIFS(M_RUTN,V2505,M_MES,B2505,M_LIQ,"&lt;&gt;")&gt;1),"⚠ Liquidación repetida en el mes",IF(AND(ISNUMBER(O2505),ISNUMBER(P2505),ISNUMBER(Q2505),ABS(O2505-P2505-Q2505)&gt;1),"⚠ Haberes − descuentos no da el líquido","OK"))))))</f>
        <v/>
      </c>
      <c r="V2505" s="62" t="str">
        <f aca="false">IF(C2505="","",IFERROR(VALUE(LEFT(UPPER(SUBSTITUTE(SUBSTITUTE(SUBSTITUTE(TRIM(C2505),".",""),"-","")," ","")),LEN(UPPER(SUBSTITUTE(SUBSTITUTE(SUBSTITUTE(TRIM(C2505),".",""),"-","")," ","")))-1))&amp;RIGHT(UPPER(SUBSTITUTE(SUBSTITUTE(SUBSTITUTE(TRIM(C2505),".",""),"-","")," ","")),1),UPPER(SUBSTITUTE(SUBSTITUTE(SUBSTITUTE(TRIM(C2505),".",""),"-","")," ",""))))</f>
        <v/>
      </c>
    </row>
    <row r="2506" customFormat="false" ht="15" hidden="false" customHeight="false" outlineLevel="0" collapsed="false">
      <c r="B2506" s="80"/>
      <c r="C2506" s="58"/>
      <c r="D2506" s="62" t="str">
        <f aca="false">IF(C2506="","",IFERROR(INDEX(T_NOMBRE,MATCH(V2506,T_RUTN,0)),"⚠ RUT no está en Trabajadores"))</f>
        <v/>
      </c>
      <c r="E2506" s="61"/>
      <c r="F2506" s="61"/>
      <c r="G2506" s="61"/>
      <c r="H2506" s="61"/>
      <c r="I2506" s="81"/>
      <c r="J2506" s="81"/>
      <c r="K2506" s="60"/>
      <c r="L2506" s="60"/>
      <c r="M2506" s="60"/>
      <c r="N2506" s="60"/>
      <c r="O2506" s="60"/>
      <c r="P2506" s="60"/>
      <c r="Q2506" s="60"/>
      <c r="R2506" s="58"/>
      <c r="S2506" s="62" t="str">
        <f aca="false">IF(OR(B2506="",V2506=""),"",IFERROR(INDEX(C_TIPO,MATCH(V2506&amp;"-P"&amp;MAX(1,COUNTIFS(C_RUTN,V2506,C_DEF,"Sí",C_INI,"&lt;="&amp;EOMONTH(B2506,0))),C_CLAVE,0))&amp;"","Sin contrato"))</f>
        <v/>
      </c>
      <c r="T2506" s="63" t="str">
        <f aca="false">IF(OR(B2506="",N(O2506)=0),"",N(O2506)+ROUND(MIN(N(N2506),TOPE_UF*UF_MES)*(TASA_EMP+MUTUAL),0)+ROUND(MIN(N(N2506),TOPE_AFC_UF*UF_MES)*IF(S2506="Indefinido",AFC_INDEF,AFC_PF),0))</f>
        <v/>
      </c>
      <c r="U2506" s="62" t="str">
        <f aca="false">IF(C2506="","",IF(LEFT(D2506,1)="⚠","⚠ RUT no registrado en Trabajadores",IF(B2506="","⚠ Falta el mes",IF(OR(ISTEXT(I2506),ISTEXT(J2506)),"⚠ Atrasos u horas extra como texto: escriba hh:mm (ej. 1:30)",IF(AND(ISNUMBER(Q2506),COUNTIFS(M_RUTN,V2506,M_MES,B2506,M_LIQ,"&lt;&gt;")&gt;1),"⚠ Liquidación repetida en el mes",IF(AND(ISNUMBER(O2506),ISNUMBER(P2506),ISNUMBER(Q2506),ABS(O2506-P2506-Q2506)&gt;1),"⚠ Haberes − descuentos no da el líquido","OK"))))))</f>
        <v/>
      </c>
      <c r="V2506" s="62" t="str">
        <f aca="false">IF(C2506="","",IFERROR(VALUE(LEFT(UPPER(SUBSTITUTE(SUBSTITUTE(SUBSTITUTE(TRIM(C2506),".",""),"-","")," ","")),LEN(UPPER(SUBSTITUTE(SUBSTITUTE(SUBSTITUTE(TRIM(C2506),".",""),"-","")," ","")))-1))&amp;RIGHT(UPPER(SUBSTITUTE(SUBSTITUTE(SUBSTITUTE(TRIM(C2506),".",""),"-","")," ","")),1),UPPER(SUBSTITUTE(SUBSTITUTE(SUBSTITUTE(TRIM(C2506),".",""),"-","")," ",""))))</f>
        <v/>
      </c>
    </row>
    <row r="2507" customFormat="false" ht="15" hidden="false" customHeight="false" outlineLevel="0" collapsed="false">
      <c r="B2507" s="80"/>
      <c r="C2507" s="58"/>
      <c r="D2507" s="62" t="str">
        <f aca="false">IF(C2507="","",IFERROR(INDEX(T_NOMBRE,MATCH(V2507,T_RUTN,0)),"⚠ RUT no está en Trabajadores"))</f>
        <v/>
      </c>
      <c r="E2507" s="61"/>
      <c r="F2507" s="61"/>
      <c r="G2507" s="61"/>
      <c r="H2507" s="61"/>
      <c r="I2507" s="81"/>
      <c r="J2507" s="81"/>
      <c r="K2507" s="60"/>
      <c r="L2507" s="60"/>
      <c r="M2507" s="60"/>
      <c r="N2507" s="60"/>
      <c r="O2507" s="60"/>
      <c r="P2507" s="60"/>
      <c r="Q2507" s="60"/>
      <c r="R2507" s="58"/>
      <c r="S2507" s="62" t="str">
        <f aca="false">IF(OR(B2507="",V2507=""),"",IFERROR(INDEX(C_TIPO,MATCH(V2507&amp;"-P"&amp;MAX(1,COUNTIFS(C_RUTN,V2507,C_DEF,"Sí",C_INI,"&lt;="&amp;EOMONTH(B2507,0))),C_CLAVE,0))&amp;"","Sin contrato"))</f>
        <v/>
      </c>
      <c r="T2507" s="63" t="str">
        <f aca="false">IF(OR(B2507="",N(O2507)=0),"",N(O2507)+ROUND(MIN(N(N2507),TOPE_UF*UF_MES)*(TASA_EMP+MUTUAL),0)+ROUND(MIN(N(N2507),TOPE_AFC_UF*UF_MES)*IF(S2507="Indefinido",AFC_INDEF,AFC_PF),0))</f>
        <v/>
      </c>
      <c r="U2507" s="62" t="str">
        <f aca="false">IF(C2507="","",IF(LEFT(D2507,1)="⚠","⚠ RUT no registrado en Trabajadores",IF(B2507="","⚠ Falta el mes",IF(OR(ISTEXT(I2507),ISTEXT(J2507)),"⚠ Atrasos u horas extra como texto: escriba hh:mm (ej. 1:30)",IF(AND(ISNUMBER(Q2507),COUNTIFS(M_RUTN,V2507,M_MES,B2507,M_LIQ,"&lt;&gt;")&gt;1),"⚠ Liquidación repetida en el mes",IF(AND(ISNUMBER(O2507),ISNUMBER(P2507),ISNUMBER(Q2507),ABS(O2507-P2507-Q2507)&gt;1),"⚠ Haberes − descuentos no da el líquido","OK"))))))</f>
        <v/>
      </c>
      <c r="V2507" s="62" t="str">
        <f aca="false">IF(C2507="","",IFERROR(VALUE(LEFT(UPPER(SUBSTITUTE(SUBSTITUTE(SUBSTITUTE(TRIM(C2507),".",""),"-","")," ","")),LEN(UPPER(SUBSTITUTE(SUBSTITUTE(SUBSTITUTE(TRIM(C2507),".",""),"-","")," ","")))-1))&amp;RIGHT(UPPER(SUBSTITUTE(SUBSTITUTE(SUBSTITUTE(TRIM(C2507),".",""),"-","")," ","")),1),UPPER(SUBSTITUTE(SUBSTITUTE(SUBSTITUTE(TRIM(C2507),".",""),"-","")," ",""))))</f>
        <v/>
      </c>
    </row>
    <row r="2508" customFormat="false" ht="15" hidden="false" customHeight="false" outlineLevel="0" collapsed="false">
      <c r="B2508" s="80"/>
      <c r="C2508" s="58"/>
      <c r="D2508" s="62" t="str">
        <f aca="false">IF(C2508="","",IFERROR(INDEX(T_NOMBRE,MATCH(V2508,T_RUTN,0)),"⚠ RUT no está en Trabajadores"))</f>
        <v/>
      </c>
      <c r="E2508" s="61"/>
      <c r="F2508" s="61"/>
      <c r="G2508" s="61"/>
      <c r="H2508" s="61"/>
      <c r="I2508" s="81"/>
      <c r="J2508" s="81"/>
      <c r="K2508" s="60"/>
      <c r="L2508" s="60"/>
      <c r="M2508" s="60"/>
      <c r="N2508" s="60"/>
      <c r="O2508" s="60"/>
      <c r="P2508" s="60"/>
      <c r="Q2508" s="60"/>
      <c r="R2508" s="58"/>
      <c r="S2508" s="62" t="str">
        <f aca="false">IF(OR(B2508="",V2508=""),"",IFERROR(INDEX(C_TIPO,MATCH(V2508&amp;"-P"&amp;MAX(1,COUNTIFS(C_RUTN,V2508,C_DEF,"Sí",C_INI,"&lt;="&amp;EOMONTH(B2508,0))),C_CLAVE,0))&amp;"","Sin contrato"))</f>
        <v/>
      </c>
      <c r="T2508" s="63" t="str">
        <f aca="false">IF(OR(B2508="",N(O2508)=0),"",N(O2508)+ROUND(MIN(N(N2508),TOPE_UF*UF_MES)*(TASA_EMP+MUTUAL),0)+ROUND(MIN(N(N2508),TOPE_AFC_UF*UF_MES)*IF(S2508="Indefinido",AFC_INDEF,AFC_PF),0))</f>
        <v/>
      </c>
      <c r="U2508" s="62" t="str">
        <f aca="false">IF(C2508="","",IF(LEFT(D2508,1)="⚠","⚠ RUT no registrado en Trabajadores",IF(B2508="","⚠ Falta el mes",IF(OR(ISTEXT(I2508),ISTEXT(J2508)),"⚠ Atrasos u horas extra como texto: escriba hh:mm (ej. 1:30)",IF(AND(ISNUMBER(Q2508),COUNTIFS(M_RUTN,V2508,M_MES,B2508,M_LIQ,"&lt;&gt;")&gt;1),"⚠ Liquidación repetida en el mes",IF(AND(ISNUMBER(O2508),ISNUMBER(P2508),ISNUMBER(Q2508),ABS(O2508-P2508-Q2508)&gt;1),"⚠ Haberes − descuentos no da el líquido","OK"))))))</f>
        <v/>
      </c>
      <c r="V2508" s="62" t="str">
        <f aca="false">IF(C2508="","",IFERROR(VALUE(LEFT(UPPER(SUBSTITUTE(SUBSTITUTE(SUBSTITUTE(TRIM(C2508),".",""),"-","")," ","")),LEN(UPPER(SUBSTITUTE(SUBSTITUTE(SUBSTITUTE(TRIM(C2508),".",""),"-","")," ","")))-1))&amp;RIGHT(UPPER(SUBSTITUTE(SUBSTITUTE(SUBSTITUTE(TRIM(C2508),".",""),"-","")," ","")),1),UPPER(SUBSTITUTE(SUBSTITUTE(SUBSTITUTE(TRIM(C2508),".",""),"-","")," ",""))))</f>
        <v/>
      </c>
    </row>
    <row r="2509" customFormat="false" ht="15" hidden="false" customHeight="false" outlineLevel="0" collapsed="false">
      <c r="B2509" s="80"/>
      <c r="C2509" s="58"/>
      <c r="D2509" s="62" t="str">
        <f aca="false">IF(C2509="","",IFERROR(INDEX(T_NOMBRE,MATCH(V2509,T_RUTN,0)),"⚠ RUT no está en Trabajadores"))</f>
        <v/>
      </c>
      <c r="E2509" s="61"/>
      <c r="F2509" s="61"/>
      <c r="G2509" s="61"/>
      <c r="H2509" s="61"/>
      <c r="I2509" s="81"/>
      <c r="J2509" s="81"/>
      <c r="K2509" s="60"/>
      <c r="L2509" s="60"/>
      <c r="M2509" s="60"/>
      <c r="N2509" s="60"/>
      <c r="O2509" s="60"/>
      <c r="P2509" s="60"/>
      <c r="Q2509" s="60"/>
      <c r="R2509" s="58"/>
      <c r="S2509" s="62" t="str">
        <f aca="false">IF(OR(B2509="",V2509=""),"",IFERROR(INDEX(C_TIPO,MATCH(V2509&amp;"-P"&amp;MAX(1,COUNTIFS(C_RUTN,V2509,C_DEF,"Sí",C_INI,"&lt;="&amp;EOMONTH(B2509,0))),C_CLAVE,0))&amp;"","Sin contrato"))</f>
        <v/>
      </c>
      <c r="T2509" s="63" t="str">
        <f aca="false">IF(OR(B2509="",N(O2509)=0),"",N(O2509)+ROUND(MIN(N(N2509),TOPE_UF*UF_MES)*(TASA_EMP+MUTUAL),0)+ROUND(MIN(N(N2509),TOPE_AFC_UF*UF_MES)*IF(S2509="Indefinido",AFC_INDEF,AFC_PF),0))</f>
        <v/>
      </c>
      <c r="U2509" s="62" t="str">
        <f aca="false">IF(C2509="","",IF(LEFT(D2509,1)="⚠","⚠ RUT no registrado en Trabajadores",IF(B2509="","⚠ Falta el mes",IF(OR(ISTEXT(I2509),ISTEXT(J2509)),"⚠ Atrasos u horas extra como texto: escriba hh:mm (ej. 1:30)",IF(AND(ISNUMBER(Q2509),COUNTIFS(M_RUTN,V2509,M_MES,B2509,M_LIQ,"&lt;&gt;")&gt;1),"⚠ Liquidación repetida en el mes",IF(AND(ISNUMBER(O2509),ISNUMBER(P2509),ISNUMBER(Q2509),ABS(O2509-P2509-Q2509)&gt;1),"⚠ Haberes − descuentos no da el líquido","OK"))))))</f>
        <v/>
      </c>
      <c r="V2509" s="62" t="str">
        <f aca="false">IF(C2509="","",IFERROR(VALUE(LEFT(UPPER(SUBSTITUTE(SUBSTITUTE(SUBSTITUTE(TRIM(C2509),".",""),"-","")," ","")),LEN(UPPER(SUBSTITUTE(SUBSTITUTE(SUBSTITUTE(TRIM(C2509),".",""),"-","")," ","")))-1))&amp;RIGHT(UPPER(SUBSTITUTE(SUBSTITUTE(SUBSTITUTE(TRIM(C2509),".",""),"-","")," ","")),1),UPPER(SUBSTITUTE(SUBSTITUTE(SUBSTITUTE(TRIM(C2509),".",""),"-","")," ",""))))</f>
        <v/>
      </c>
    </row>
    <row r="2510" customFormat="false" ht="15" hidden="false" customHeight="false" outlineLevel="0" collapsed="false">
      <c r="B2510" s="80"/>
      <c r="C2510" s="58"/>
      <c r="D2510" s="62" t="str">
        <f aca="false">IF(C2510="","",IFERROR(INDEX(T_NOMBRE,MATCH(V2510,T_RUTN,0)),"⚠ RUT no está en Trabajadores"))</f>
        <v/>
      </c>
      <c r="E2510" s="61"/>
      <c r="F2510" s="61"/>
      <c r="G2510" s="61"/>
      <c r="H2510" s="61"/>
      <c r="I2510" s="81"/>
      <c r="J2510" s="81"/>
      <c r="K2510" s="60"/>
      <c r="L2510" s="60"/>
      <c r="M2510" s="60"/>
      <c r="N2510" s="60"/>
      <c r="O2510" s="60"/>
      <c r="P2510" s="60"/>
      <c r="Q2510" s="60"/>
      <c r="R2510" s="58"/>
      <c r="S2510" s="62" t="str">
        <f aca="false">IF(OR(B2510="",V2510=""),"",IFERROR(INDEX(C_TIPO,MATCH(V2510&amp;"-P"&amp;MAX(1,COUNTIFS(C_RUTN,V2510,C_DEF,"Sí",C_INI,"&lt;="&amp;EOMONTH(B2510,0))),C_CLAVE,0))&amp;"","Sin contrato"))</f>
        <v/>
      </c>
      <c r="T2510" s="63" t="str">
        <f aca="false">IF(OR(B2510="",N(O2510)=0),"",N(O2510)+ROUND(MIN(N(N2510),TOPE_UF*UF_MES)*(TASA_EMP+MUTUAL),0)+ROUND(MIN(N(N2510),TOPE_AFC_UF*UF_MES)*IF(S2510="Indefinido",AFC_INDEF,AFC_PF),0))</f>
        <v/>
      </c>
      <c r="U2510" s="62" t="str">
        <f aca="false">IF(C2510="","",IF(LEFT(D2510,1)="⚠","⚠ RUT no registrado en Trabajadores",IF(B2510="","⚠ Falta el mes",IF(OR(ISTEXT(I2510),ISTEXT(J2510)),"⚠ Atrasos u horas extra como texto: escriba hh:mm (ej. 1:30)",IF(AND(ISNUMBER(Q2510),COUNTIFS(M_RUTN,V2510,M_MES,B2510,M_LIQ,"&lt;&gt;")&gt;1),"⚠ Liquidación repetida en el mes",IF(AND(ISNUMBER(O2510),ISNUMBER(P2510),ISNUMBER(Q2510),ABS(O2510-P2510-Q2510)&gt;1),"⚠ Haberes − descuentos no da el líquido","OK"))))))</f>
        <v/>
      </c>
      <c r="V2510" s="62" t="str">
        <f aca="false">IF(C2510="","",IFERROR(VALUE(LEFT(UPPER(SUBSTITUTE(SUBSTITUTE(SUBSTITUTE(TRIM(C2510),".",""),"-","")," ","")),LEN(UPPER(SUBSTITUTE(SUBSTITUTE(SUBSTITUTE(TRIM(C2510),".",""),"-","")," ","")))-1))&amp;RIGHT(UPPER(SUBSTITUTE(SUBSTITUTE(SUBSTITUTE(TRIM(C2510),".",""),"-","")," ","")),1),UPPER(SUBSTITUTE(SUBSTITUTE(SUBSTITUTE(TRIM(C2510),".",""),"-","")," ",""))))</f>
        <v/>
      </c>
    </row>
    <row r="2511" customFormat="false" ht="15" hidden="false" customHeight="false" outlineLevel="0" collapsed="false">
      <c r="B2511" s="80"/>
      <c r="C2511" s="58"/>
      <c r="D2511" s="62" t="str">
        <f aca="false">IF(C2511="","",IFERROR(INDEX(T_NOMBRE,MATCH(V2511,T_RUTN,0)),"⚠ RUT no está en Trabajadores"))</f>
        <v/>
      </c>
      <c r="E2511" s="61"/>
      <c r="F2511" s="61"/>
      <c r="G2511" s="61"/>
      <c r="H2511" s="61"/>
      <c r="I2511" s="81"/>
      <c r="J2511" s="81"/>
      <c r="K2511" s="60"/>
      <c r="L2511" s="60"/>
      <c r="M2511" s="60"/>
      <c r="N2511" s="60"/>
      <c r="O2511" s="60"/>
      <c r="P2511" s="60"/>
      <c r="Q2511" s="60"/>
      <c r="R2511" s="58"/>
      <c r="S2511" s="62" t="str">
        <f aca="false">IF(OR(B2511="",V2511=""),"",IFERROR(INDEX(C_TIPO,MATCH(V2511&amp;"-P"&amp;MAX(1,COUNTIFS(C_RUTN,V2511,C_DEF,"Sí",C_INI,"&lt;="&amp;EOMONTH(B2511,0))),C_CLAVE,0))&amp;"","Sin contrato"))</f>
        <v/>
      </c>
      <c r="T2511" s="63" t="str">
        <f aca="false">IF(OR(B2511="",N(O2511)=0),"",N(O2511)+ROUND(MIN(N(N2511),TOPE_UF*UF_MES)*(TASA_EMP+MUTUAL),0)+ROUND(MIN(N(N2511),TOPE_AFC_UF*UF_MES)*IF(S2511="Indefinido",AFC_INDEF,AFC_PF),0))</f>
        <v/>
      </c>
      <c r="U2511" s="62" t="str">
        <f aca="false">IF(C2511="","",IF(LEFT(D2511,1)="⚠","⚠ RUT no registrado en Trabajadores",IF(B2511="","⚠ Falta el mes",IF(OR(ISTEXT(I2511),ISTEXT(J2511)),"⚠ Atrasos u horas extra como texto: escriba hh:mm (ej. 1:30)",IF(AND(ISNUMBER(Q2511),COUNTIFS(M_RUTN,V2511,M_MES,B2511,M_LIQ,"&lt;&gt;")&gt;1),"⚠ Liquidación repetida en el mes",IF(AND(ISNUMBER(O2511),ISNUMBER(P2511),ISNUMBER(Q2511),ABS(O2511-P2511-Q2511)&gt;1),"⚠ Haberes − descuentos no da el líquido","OK"))))))</f>
        <v/>
      </c>
      <c r="V2511" s="62" t="str">
        <f aca="false">IF(C2511="","",IFERROR(VALUE(LEFT(UPPER(SUBSTITUTE(SUBSTITUTE(SUBSTITUTE(TRIM(C2511),".",""),"-","")," ","")),LEN(UPPER(SUBSTITUTE(SUBSTITUTE(SUBSTITUTE(TRIM(C2511),".",""),"-","")," ","")))-1))&amp;RIGHT(UPPER(SUBSTITUTE(SUBSTITUTE(SUBSTITUTE(TRIM(C2511),".",""),"-","")," ","")),1),UPPER(SUBSTITUTE(SUBSTITUTE(SUBSTITUTE(TRIM(C2511),".",""),"-","")," ",""))))</f>
        <v/>
      </c>
    </row>
    <row r="2512" customFormat="false" ht="15" hidden="false" customHeight="false" outlineLevel="0" collapsed="false">
      <c r="B2512" s="80"/>
      <c r="C2512" s="58"/>
      <c r="D2512" s="62" t="str">
        <f aca="false">IF(C2512="","",IFERROR(INDEX(T_NOMBRE,MATCH(V2512,T_RUTN,0)),"⚠ RUT no está en Trabajadores"))</f>
        <v/>
      </c>
      <c r="E2512" s="61"/>
      <c r="F2512" s="61"/>
      <c r="G2512" s="61"/>
      <c r="H2512" s="61"/>
      <c r="I2512" s="81"/>
      <c r="J2512" s="81"/>
      <c r="K2512" s="60"/>
      <c r="L2512" s="60"/>
      <c r="M2512" s="60"/>
      <c r="N2512" s="60"/>
      <c r="O2512" s="60"/>
      <c r="P2512" s="60"/>
      <c r="Q2512" s="60"/>
      <c r="R2512" s="58"/>
      <c r="S2512" s="62" t="str">
        <f aca="false">IF(OR(B2512="",V2512=""),"",IFERROR(INDEX(C_TIPO,MATCH(V2512&amp;"-P"&amp;MAX(1,COUNTIFS(C_RUTN,V2512,C_DEF,"Sí",C_INI,"&lt;="&amp;EOMONTH(B2512,0))),C_CLAVE,0))&amp;"","Sin contrato"))</f>
        <v/>
      </c>
      <c r="T2512" s="63" t="str">
        <f aca="false">IF(OR(B2512="",N(O2512)=0),"",N(O2512)+ROUND(MIN(N(N2512),TOPE_UF*UF_MES)*(TASA_EMP+MUTUAL),0)+ROUND(MIN(N(N2512),TOPE_AFC_UF*UF_MES)*IF(S2512="Indefinido",AFC_INDEF,AFC_PF),0))</f>
        <v/>
      </c>
      <c r="U2512" s="62" t="str">
        <f aca="false">IF(C2512="","",IF(LEFT(D2512,1)="⚠","⚠ RUT no registrado en Trabajadores",IF(B2512="","⚠ Falta el mes",IF(OR(ISTEXT(I2512),ISTEXT(J2512)),"⚠ Atrasos u horas extra como texto: escriba hh:mm (ej. 1:30)",IF(AND(ISNUMBER(Q2512),COUNTIFS(M_RUTN,V2512,M_MES,B2512,M_LIQ,"&lt;&gt;")&gt;1),"⚠ Liquidación repetida en el mes",IF(AND(ISNUMBER(O2512),ISNUMBER(P2512),ISNUMBER(Q2512),ABS(O2512-P2512-Q2512)&gt;1),"⚠ Haberes − descuentos no da el líquido","OK"))))))</f>
        <v/>
      </c>
      <c r="V2512" s="62" t="str">
        <f aca="false">IF(C2512="","",IFERROR(VALUE(LEFT(UPPER(SUBSTITUTE(SUBSTITUTE(SUBSTITUTE(TRIM(C2512),".",""),"-","")," ","")),LEN(UPPER(SUBSTITUTE(SUBSTITUTE(SUBSTITUTE(TRIM(C2512),".",""),"-","")," ","")))-1))&amp;RIGHT(UPPER(SUBSTITUTE(SUBSTITUTE(SUBSTITUTE(TRIM(C2512),".",""),"-","")," ","")),1),UPPER(SUBSTITUTE(SUBSTITUTE(SUBSTITUTE(TRIM(C2512),".",""),"-","")," ",""))))</f>
        <v/>
      </c>
    </row>
    <row r="2513" customFormat="false" ht="15" hidden="false" customHeight="false" outlineLevel="0" collapsed="false">
      <c r="B2513" s="80"/>
      <c r="C2513" s="58"/>
      <c r="D2513" s="62" t="str">
        <f aca="false">IF(C2513="","",IFERROR(INDEX(T_NOMBRE,MATCH(V2513,T_RUTN,0)),"⚠ RUT no está en Trabajadores"))</f>
        <v/>
      </c>
      <c r="E2513" s="61"/>
      <c r="F2513" s="61"/>
      <c r="G2513" s="61"/>
      <c r="H2513" s="61"/>
      <c r="I2513" s="81"/>
      <c r="J2513" s="81"/>
      <c r="K2513" s="60"/>
      <c r="L2513" s="60"/>
      <c r="M2513" s="60"/>
      <c r="N2513" s="60"/>
      <c r="O2513" s="60"/>
      <c r="P2513" s="60"/>
      <c r="Q2513" s="60"/>
      <c r="R2513" s="58"/>
      <c r="S2513" s="62" t="str">
        <f aca="false">IF(OR(B2513="",V2513=""),"",IFERROR(INDEX(C_TIPO,MATCH(V2513&amp;"-P"&amp;MAX(1,COUNTIFS(C_RUTN,V2513,C_DEF,"Sí",C_INI,"&lt;="&amp;EOMONTH(B2513,0))),C_CLAVE,0))&amp;"","Sin contrato"))</f>
        <v/>
      </c>
      <c r="T2513" s="63" t="str">
        <f aca="false">IF(OR(B2513="",N(O2513)=0),"",N(O2513)+ROUND(MIN(N(N2513),TOPE_UF*UF_MES)*(TASA_EMP+MUTUAL),0)+ROUND(MIN(N(N2513),TOPE_AFC_UF*UF_MES)*IF(S2513="Indefinido",AFC_INDEF,AFC_PF),0))</f>
        <v/>
      </c>
      <c r="U2513" s="62" t="str">
        <f aca="false">IF(C2513="","",IF(LEFT(D2513,1)="⚠","⚠ RUT no registrado en Trabajadores",IF(B2513="","⚠ Falta el mes",IF(OR(ISTEXT(I2513),ISTEXT(J2513)),"⚠ Atrasos u horas extra como texto: escriba hh:mm (ej. 1:30)",IF(AND(ISNUMBER(Q2513),COUNTIFS(M_RUTN,V2513,M_MES,B2513,M_LIQ,"&lt;&gt;")&gt;1),"⚠ Liquidación repetida en el mes",IF(AND(ISNUMBER(O2513),ISNUMBER(P2513),ISNUMBER(Q2513),ABS(O2513-P2513-Q2513)&gt;1),"⚠ Haberes − descuentos no da el líquido","OK"))))))</f>
        <v/>
      </c>
      <c r="V2513" s="62" t="str">
        <f aca="false">IF(C2513="","",IFERROR(VALUE(LEFT(UPPER(SUBSTITUTE(SUBSTITUTE(SUBSTITUTE(TRIM(C2513),".",""),"-","")," ","")),LEN(UPPER(SUBSTITUTE(SUBSTITUTE(SUBSTITUTE(TRIM(C2513),".",""),"-","")," ","")))-1))&amp;RIGHT(UPPER(SUBSTITUTE(SUBSTITUTE(SUBSTITUTE(TRIM(C2513),".",""),"-","")," ","")),1),UPPER(SUBSTITUTE(SUBSTITUTE(SUBSTITUTE(TRIM(C2513),".",""),"-","")," ",""))))</f>
        <v/>
      </c>
    </row>
    <row r="2514" customFormat="false" ht="15" hidden="false" customHeight="false" outlineLevel="0" collapsed="false">
      <c r="B2514" s="80"/>
      <c r="C2514" s="58"/>
      <c r="D2514" s="62" t="str">
        <f aca="false">IF(C2514="","",IFERROR(INDEX(T_NOMBRE,MATCH(V2514,T_RUTN,0)),"⚠ RUT no está en Trabajadores"))</f>
        <v/>
      </c>
      <c r="E2514" s="61"/>
      <c r="F2514" s="61"/>
      <c r="G2514" s="61"/>
      <c r="H2514" s="61"/>
      <c r="I2514" s="81"/>
      <c r="J2514" s="81"/>
      <c r="K2514" s="60"/>
      <c r="L2514" s="60"/>
      <c r="M2514" s="60"/>
      <c r="N2514" s="60"/>
      <c r="O2514" s="60"/>
      <c r="P2514" s="60"/>
      <c r="Q2514" s="60"/>
      <c r="R2514" s="58"/>
      <c r="S2514" s="62" t="str">
        <f aca="false">IF(OR(B2514="",V2514=""),"",IFERROR(INDEX(C_TIPO,MATCH(V2514&amp;"-P"&amp;MAX(1,COUNTIFS(C_RUTN,V2514,C_DEF,"Sí",C_INI,"&lt;="&amp;EOMONTH(B2514,0))),C_CLAVE,0))&amp;"","Sin contrato"))</f>
        <v/>
      </c>
      <c r="T2514" s="63" t="str">
        <f aca="false">IF(OR(B2514="",N(O2514)=0),"",N(O2514)+ROUND(MIN(N(N2514),TOPE_UF*UF_MES)*(TASA_EMP+MUTUAL),0)+ROUND(MIN(N(N2514),TOPE_AFC_UF*UF_MES)*IF(S2514="Indefinido",AFC_INDEF,AFC_PF),0))</f>
        <v/>
      </c>
      <c r="U2514" s="62" t="str">
        <f aca="false">IF(C2514="","",IF(LEFT(D2514,1)="⚠","⚠ RUT no registrado en Trabajadores",IF(B2514="","⚠ Falta el mes",IF(OR(ISTEXT(I2514),ISTEXT(J2514)),"⚠ Atrasos u horas extra como texto: escriba hh:mm (ej. 1:30)",IF(AND(ISNUMBER(Q2514),COUNTIFS(M_RUTN,V2514,M_MES,B2514,M_LIQ,"&lt;&gt;")&gt;1),"⚠ Liquidación repetida en el mes",IF(AND(ISNUMBER(O2514),ISNUMBER(P2514),ISNUMBER(Q2514),ABS(O2514-P2514-Q2514)&gt;1),"⚠ Haberes − descuentos no da el líquido","OK"))))))</f>
        <v/>
      </c>
      <c r="V2514" s="62" t="str">
        <f aca="false">IF(C2514="","",IFERROR(VALUE(LEFT(UPPER(SUBSTITUTE(SUBSTITUTE(SUBSTITUTE(TRIM(C2514),".",""),"-","")," ","")),LEN(UPPER(SUBSTITUTE(SUBSTITUTE(SUBSTITUTE(TRIM(C2514),".",""),"-","")," ","")))-1))&amp;RIGHT(UPPER(SUBSTITUTE(SUBSTITUTE(SUBSTITUTE(TRIM(C2514),".",""),"-","")," ","")),1),UPPER(SUBSTITUTE(SUBSTITUTE(SUBSTITUTE(TRIM(C2514),".",""),"-","")," ",""))))</f>
        <v/>
      </c>
    </row>
    <row r="2515" customFormat="false" ht="15" hidden="false" customHeight="false" outlineLevel="0" collapsed="false">
      <c r="B2515" s="80"/>
      <c r="C2515" s="58"/>
      <c r="D2515" s="62" t="str">
        <f aca="false">IF(C2515="","",IFERROR(INDEX(T_NOMBRE,MATCH(V2515,T_RUTN,0)),"⚠ RUT no está en Trabajadores"))</f>
        <v/>
      </c>
      <c r="E2515" s="61"/>
      <c r="F2515" s="61"/>
      <c r="G2515" s="61"/>
      <c r="H2515" s="61"/>
      <c r="I2515" s="81"/>
      <c r="J2515" s="81"/>
      <c r="K2515" s="60"/>
      <c r="L2515" s="60"/>
      <c r="M2515" s="60"/>
      <c r="N2515" s="60"/>
      <c r="O2515" s="60"/>
      <c r="P2515" s="60"/>
      <c r="Q2515" s="60"/>
      <c r="R2515" s="58"/>
      <c r="S2515" s="62" t="str">
        <f aca="false">IF(OR(B2515="",V2515=""),"",IFERROR(INDEX(C_TIPO,MATCH(V2515&amp;"-P"&amp;MAX(1,COUNTIFS(C_RUTN,V2515,C_DEF,"Sí",C_INI,"&lt;="&amp;EOMONTH(B2515,0))),C_CLAVE,0))&amp;"","Sin contrato"))</f>
        <v/>
      </c>
      <c r="T2515" s="63" t="str">
        <f aca="false">IF(OR(B2515="",N(O2515)=0),"",N(O2515)+ROUND(MIN(N(N2515),TOPE_UF*UF_MES)*(TASA_EMP+MUTUAL),0)+ROUND(MIN(N(N2515),TOPE_AFC_UF*UF_MES)*IF(S2515="Indefinido",AFC_INDEF,AFC_PF),0))</f>
        <v/>
      </c>
      <c r="U2515" s="62" t="str">
        <f aca="false">IF(C2515="","",IF(LEFT(D2515,1)="⚠","⚠ RUT no registrado en Trabajadores",IF(B2515="","⚠ Falta el mes",IF(OR(ISTEXT(I2515),ISTEXT(J2515)),"⚠ Atrasos u horas extra como texto: escriba hh:mm (ej. 1:30)",IF(AND(ISNUMBER(Q2515),COUNTIFS(M_RUTN,V2515,M_MES,B2515,M_LIQ,"&lt;&gt;")&gt;1),"⚠ Liquidación repetida en el mes",IF(AND(ISNUMBER(O2515),ISNUMBER(P2515),ISNUMBER(Q2515),ABS(O2515-P2515-Q2515)&gt;1),"⚠ Haberes − descuentos no da el líquido","OK"))))))</f>
        <v/>
      </c>
      <c r="V2515" s="62" t="str">
        <f aca="false">IF(C2515="","",IFERROR(VALUE(LEFT(UPPER(SUBSTITUTE(SUBSTITUTE(SUBSTITUTE(TRIM(C2515),".",""),"-","")," ","")),LEN(UPPER(SUBSTITUTE(SUBSTITUTE(SUBSTITUTE(TRIM(C2515),".",""),"-","")," ","")))-1))&amp;RIGHT(UPPER(SUBSTITUTE(SUBSTITUTE(SUBSTITUTE(TRIM(C2515),".",""),"-","")," ","")),1),UPPER(SUBSTITUTE(SUBSTITUTE(SUBSTITUTE(TRIM(C2515),".",""),"-","")," ",""))))</f>
        <v/>
      </c>
    </row>
    <row r="2516" customFormat="false" ht="15" hidden="false" customHeight="false" outlineLevel="0" collapsed="false">
      <c r="B2516" s="80"/>
      <c r="C2516" s="58"/>
      <c r="D2516" s="62" t="str">
        <f aca="false">IF(C2516="","",IFERROR(INDEX(T_NOMBRE,MATCH(V2516,T_RUTN,0)),"⚠ RUT no está en Trabajadores"))</f>
        <v/>
      </c>
      <c r="E2516" s="61"/>
      <c r="F2516" s="61"/>
      <c r="G2516" s="61"/>
      <c r="H2516" s="61"/>
      <c r="I2516" s="81"/>
      <c r="J2516" s="81"/>
      <c r="K2516" s="60"/>
      <c r="L2516" s="60"/>
      <c r="M2516" s="60"/>
      <c r="N2516" s="60"/>
      <c r="O2516" s="60"/>
      <c r="P2516" s="60"/>
      <c r="Q2516" s="60"/>
      <c r="R2516" s="58"/>
      <c r="S2516" s="62" t="str">
        <f aca="false">IF(OR(B2516="",V2516=""),"",IFERROR(INDEX(C_TIPO,MATCH(V2516&amp;"-P"&amp;MAX(1,COUNTIFS(C_RUTN,V2516,C_DEF,"Sí",C_INI,"&lt;="&amp;EOMONTH(B2516,0))),C_CLAVE,0))&amp;"","Sin contrato"))</f>
        <v/>
      </c>
      <c r="T2516" s="63" t="str">
        <f aca="false">IF(OR(B2516="",N(O2516)=0),"",N(O2516)+ROUND(MIN(N(N2516),TOPE_UF*UF_MES)*(TASA_EMP+MUTUAL),0)+ROUND(MIN(N(N2516),TOPE_AFC_UF*UF_MES)*IF(S2516="Indefinido",AFC_INDEF,AFC_PF),0))</f>
        <v/>
      </c>
      <c r="U2516" s="62" t="str">
        <f aca="false">IF(C2516="","",IF(LEFT(D2516,1)="⚠","⚠ RUT no registrado en Trabajadores",IF(B2516="","⚠ Falta el mes",IF(OR(ISTEXT(I2516),ISTEXT(J2516)),"⚠ Atrasos u horas extra como texto: escriba hh:mm (ej. 1:30)",IF(AND(ISNUMBER(Q2516),COUNTIFS(M_RUTN,V2516,M_MES,B2516,M_LIQ,"&lt;&gt;")&gt;1),"⚠ Liquidación repetida en el mes",IF(AND(ISNUMBER(O2516),ISNUMBER(P2516),ISNUMBER(Q2516),ABS(O2516-P2516-Q2516)&gt;1),"⚠ Haberes − descuentos no da el líquido","OK"))))))</f>
        <v/>
      </c>
      <c r="V2516" s="62" t="str">
        <f aca="false">IF(C2516="","",IFERROR(VALUE(LEFT(UPPER(SUBSTITUTE(SUBSTITUTE(SUBSTITUTE(TRIM(C2516),".",""),"-","")," ","")),LEN(UPPER(SUBSTITUTE(SUBSTITUTE(SUBSTITUTE(TRIM(C2516),".",""),"-","")," ","")))-1))&amp;RIGHT(UPPER(SUBSTITUTE(SUBSTITUTE(SUBSTITUTE(TRIM(C2516),".",""),"-","")," ","")),1),UPPER(SUBSTITUTE(SUBSTITUTE(SUBSTITUTE(TRIM(C2516),".",""),"-","")," ",""))))</f>
        <v/>
      </c>
    </row>
    <row r="2517" customFormat="false" ht="15" hidden="false" customHeight="false" outlineLevel="0" collapsed="false">
      <c r="B2517" s="80"/>
      <c r="C2517" s="58"/>
      <c r="D2517" s="62" t="str">
        <f aca="false">IF(C2517="","",IFERROR(INDEX(T_NOMBRE,MATCH(V2517,T_RUTN,0)),"⚠ RUT no está en Trabajadores"))</f>
        <v/>
      </c>
      <c r="E2517" s="61"/>
      <c r="F2517" s="61"/>
      <c r="G2517" s="61"/>
      <c r="H2517" s="61"/>
      <c r="I2517" s="81"/>
      <c r="J2517" s="81"/>
      <c r="K2517" s="60"/>
      <c r="L2517" s="60"/>
      <c r="M2517" s="60"/>
      <c r="N2517" s="60"/>
      <c r="O2517" s="60"/>
      <c r="P2517" s="60"/>
      <c r="Q2517" s="60"/>
      <c r="R2517" s="58"/>
      <c r="S2517" s="62" t="str">
        <f aca="false">IF(OR(B2517="",V2517=""),"",IFERROR(INDEX(C_TIPO,MATCH(V2517&amp;"-P"&amp;MAX(1,COUNTIFS(C_RUTN,V2517,C_DEF,"Sí",C_INI,"&lt;="&amp;EOMONTH(B2517,0))),C_CLAVE,0))&amp;"","Sin contrato"))</f>
        <v/>
      </c>
      <c r="T2517" s="63" t="str">
        <f aca="false">IF(OR(B2517="",N(O2517)=0),"",N(O2517)+ROUND(MIN(N(N2517),TOPE_UF*UF_MES)*(TASA_EMP+MUTUAL),0)+ROUND(MIN(N(N2517),TOPE_AFC_UF*UF_MES)*IF(S2517="Indefinido",AFC_INDEF,AFC_PF),0))</f>
        <v/>
      </c>
      <c r="U2517" s="62" t="str">
        <f aca="false">IF(C2517="","",IF(LEFT(D2517,1)="⚠","⚠ RUT no registrado en Trabajadores",IF(B2517="","⚠ Falta el mes",IF(OR(ISTEXT(I2517),ISTEXT(J2517)),"⚠ Atrasos u horas extra como texto: escriba hh:mm (ej. 1:30)",IF(AND(ISNUMBER(Q2517),COUNTIFS(M_RUTN,V2517,M_MES,B2517,M_LIQ,"&lt;&gt;")&gt;1),"⚠ Liquidación repetida en el mes",IF(AND(ISNUMBER(O2517),ISNUMBER(P2517),ISNUMBER(Q2517),ABS(O2517-P2517-Q2517)&gt;1),"⚠ Haberes − descuentos no da el líquido","OK"))))))</f>
        <v/>
      </c>
      <c r="V2517" s="62" t="str">
        <f aca="false">IF(C2517="","",IFERROR(VALUE(LEFT(UPPER(SUBSTITUTE(SUBSTITUTE(SUBSTITUTE(TRIM(C2517),".",""),"-","")," ","")),LEN(UPPER(SUBSTITUTE(SUBSTITUTE(SUBSTITUTE(TRIM(C2517),".",""),"-","")," ","")))-1))&amp;RIGHT(UPPER(SUBSTITUTE(SUBSTITUTE(SUBSTITUTE(TRIM(C2517),".",""),"-","")," ","")),1),UPPER(SUBSTITUTE(SUBSTITUTE(SUBSTITUTE(TRIM(C2517),".",""),"-","")," ",""))))</f>
        <v/>
      </c>
    </row>
    <row r="2518" customFormat="false" ht="15" hidden="false" customHeight="false" outlineLevel="0" collapsed="false">
      <c r="B2518" s="80"/>
      <c r="C2518" s="58"/>
      <c r="D2518" s="62" t="str">
        <f aca="false">IF(C2518="","",IFERROR(INDEX(T_NOMBRE,MATCH(V2518,T_RUTN,0)),"⚠ RUT no está en Trabajadores"))</f>
        <v/>
      </c>
      <c r="E2518" s="61"/>
      <c r="F2518" s="61"/>
      <c r="G2518" s="61"/>
      <c r="H2518" s="61"/>
      <c r="I2518" s="81"/>
      <c r="J2518" s="81"/>
      <c r="K2518" s="60"/>
      <c r="L2518" s="60"/>
      <c r="M2518" s="60"/>
      <c r="N2518" s="60"/>
      <c r="O2518" s="60"/>
      <c r="P2518" s="60"/>
      <c r="Q2518" s="60"/>
      <c r="R2518" s="58"/>
      <c r="S2518" s="62" t="str">
        <f aca="false">IF(OR(B2518="",V2518=""),"",IFERROR(INDEX(C_TIPO,MATCH(V2518&amp;"-P"&amp;MAX(1,COUNTIFS(C_RUTN,V2518,C_DEF,"Sí",C_INI,"&lt;="&amp;EOMONTH(B2518,0))),C_CLAVE,0))&amp;"","Sin contrato"))</f>
        <v/>
      </c>
      <c r="T2518" s="63" t="str">
        <f aca="false">IF(OR(B2518="",N(O2518)=0),"",N(O2518)+ROUND(MIN(N(N2518),TOPE_UF*UF_MES)*(TASA_EMP+MUTUAL),0)+ROUND(MIN(N(N2518),TOPE_AFC_UF*UF_MES)*IF(S2518="Indefinido",AFC_INDEF,AFC_PF),0))</f>
        <v/>
      </c>
      <c r="U2518" s="62" t="str">
        <f aca="false">IF(C2518="","",IF(LEFT(D2518,1)="⚠","⚠ RUT no registrado en Trabajadores",IF(B2518="","⚠ Falta el mes",IF(OR(ISTEXT(I2518),ISTEXT(J2518)),"⚠ Atrasos u horas extra como texto: escriba hh:mm (ej. 1:30)",IF(AND(ISNUMBER(Q2518),COUNTIFS(M_RUTN,V2518,M_MES,B2518,M_LIQ,"&lt;&gt;")&gt;1),"⚠ Liquidación repetida en el mes",IF(AND(ISNUMBER(O2518),ISNUMBER(P2518),ISNUMBER(Q2518),ABS(O2518-P2518-Q2518)&gt;1),"⚠ Haberes − descuentos no da el líquido","OK"))))))</f>
        <v/>
      </c>
      <c r="V2518" s="62" t="str">
        <f aca="false">IF(C2518="","",IFERROR(VALUE(LEFT(UPPER(SUBSTITUTE(SUBSTITUTE(SUBSTITUTE(TRIM(C2518),".",""),"-","")," ","")),LEN(UPPER(SUBSTITUTE(SUBSTITUTE(SUBSTITUTE(TRIM(C2518),".",""),"-","")," ","")))-1))&amp;RIGHT(UPPER(SUBSTITUTE(SUBSTITUTE(SUBSTITUTE(TRIM(C2518),".",""),"-","")," ","")),1),UPPER(SUBSTITUTE(SUBSTITUTE(SUBSTITUTE(TRIM(C2518),".",""),"-","")," ",""))))</f>
        <v/>
      </c>
    </row>
    <row r="2519" customFormat="false" ht="15" hidden="false" customHeight="false" outlineLevel="0" collapsed="false">
      <c r="B2519" s="80"/>
      <c r="C2519" s="58"/>
      <c r="D2519" s="62" t="str">
        <f aca="false">IF(C2519="","",IFERROR(INDEX(T_NOMBRE,MATCH(V2519,T_RUTN,0)),"⚠ RUT no está en Trabajadores"))</f>
        <v/>
      </c>
      <c r="E2519" s="61"/>
      <c r="F2519" s="61"/>
      <c r="G2519" s="61"/>
      <c r="H2519" s="61"/>
      <c r="I2519" s="81"/>
      <c r="J2519" s="81"/>
      <c r="K2519" s="60"/>
      <c r="L2519" s="60"/>
      <c r="M2519" s="60"/>
      <c r="N2519" s="60"/>
      <c r="O2519" s="60"/>
      <c r="P2519" s="60"/>
      <c r="Q2519" s="60"/>
      <c r="R2519" s="58"/>
      <c r="S2519" s="62" t="str">
        <f aca="false">IF(OR(B2519="",V2519=""),"",IFERROR(INDEX(C_TIPO,MATCH(V2519&amp;"-P"&amp;MAX(1,COUNTIFS(C_RUTN,V2519,C_DEF,"Sí",C_INI,"&lt;="&amp;EOMONTH(B2519,0))),C_CLAVE,0))&amp;"","Sin contrato"))</f>
        <v/>
      </c>
      <c r="T2519" s="63" t="str">
        <f aca="false">IF(OR(B2519="",N(O2519)=0),"",N(O2519)+ROUND(MIN(N(N2519),TOPE_UF*UF_MES)*(TASA_EMP+MUTUAL),0)+ROUND(MIN(N(N2519),TOPE_AFC_UF*UF_MES)*IF(S2519="Indefinido",AFC_INDEF,AFC_PF),0))</f>
        <v/>
      </c>
      <c r="U2519" s="62" t="str">
        <f aca="false">IF(C2519="","",IF(LEFT(D2519,1)="⚠","⚠ RUT no registrado en Trabajadores",IF(B2519="","⚠ Falta el mes",IF(OR(ISTEXT(I2519),ISTEXT(J2519)),"⚠ Atrasos u horas extra como texto: escriba hh:mm (ej. 1:30)",IF(AND(ISNUMBER(Q2519),COUNTIFS(M_RUTN,V2519,M_MES,B2519,M_LIQ,"&lt;&gt;")&gt;1),"⚠ Liquidación repetida en el mes",IF(AND(ISNUMBER(O2519),ISNUMBER(P2519),ISNUMBER(Q2519),ABS(O2519-P2519-Q2519)&gt;1),"⚠ Haberes − descuentos no da el líquido","OK"))))))</f>
        <v/>
      </c>
      <c r="V2519" s="62" t="str">
        <f aca="false">IF(C2519="","",IFERROR(VALUE(LEFT(UPPER(SUBSTITUTE(SUBSTITUTE(SUBSTITUTE(TRIM(C2519),".",""),"-","")," ","")),LEN(UPPER(SUBSTITUTE(SUBSTITUTE(SUBSTITUTE(TRIM(C2519),".",""),"-","")," ","")))-1))&amp;RIGHT(UPPER(SUBSTITUTE(SUBSTITUTE(SUBSTITUTE(TRIM(C2519),".",""),"-","")," ","")),1),UPPER(SUBSTITUTE(SUBSTITUTE(SUBSTITUTE(TRIM(C2519),".",""),"-","")," ",""))))</f>
        <v/>
      </c>
    </row>
    <row r="2520" customFormat="false" ht="15" hidden="false" customHeight="false" outlineLevel="0" collapsed="false">
      <c r="B2520" s="80"/>
      <c r="C2520" s="58"/>
      <c r="D2520" s="62" t="str">
        <f aca="false">IF(C2520="","",IFERROR(INDEX(T_NOMBRE,MATCH(V2520,T_RUTN,0)),"⚠ RUT no está en Trabajadores"))</f>
        <v/>
      </c>
      <c r="E2520" s="61"/>
      <c r="F2520" s="61"/>
      <c r="G2520" s="61"/>
      <c r="H2520" s="61"/>
      <c r="I2520" s="81"/>
      <c r="J2520" s="81"/>
      <c r="K2520" s="60"/>
      <c r="L2520" s="60"/>
      <c r="M2520" s="60"/>
      <c r="N2520" s="60"/>
      <c r="O2520" s="60"/>
      <c r="P2520" s="60"/>
      <c r="Q2520" s="60"/>
      <c r="R2520" s="58"/>
      <c r="S2520" s="62" t="str">
        <f aca="false">IF(OR(B2520="",V2520=""),"",IFERROR(INDEX(C_TIPO,MATCH(V2520&amp;"-P"&amp;MAX(1,COUNTIFS(C_RUTN,V2520,C_DEF,"Sí",C_INI,"&lt;="&amp;EOMONTH(B2520,0))),C_CLAVE,0))&amp;"","Sin contrato"))</f>
        <v/>
      </c>
      <c r="T2520" s="63" t="str">
        <f aca="false">IF(OR(B2520="",N(O2520)=0),"",N(O2520)+ROUND(MIN(N(N2520),TOPE_UF*UF_MES)*(TASA_EMP+MUTUAL),0)+ROUND(MIN(N(N2520),TOPE_AFC_UF*UF_MES)*IF(S2520="Indefinido",AFC_INDEF,AFC_PF),0))</f>
        <v/>
      </c>
      <c r="U2520" s="62" t="str">
        <f aca="false">IF(C2520="","",IF(LEFT(D2520,1)="⚠","⚠ RUT no registrado en Trabajadores",IF(B2520="","⚠ Falta el mes",IF(OR(ISTEXT(I2520),ISTEXT(J2520)),"⚠ Atrasos u horas extra como texto: escriba hh:mm (ej. 1:30)",IF(AND(ISNUMBER(Q2520),COUNTIFS(M_RUTN,V2520,M_MES,B2520,M_LIQ,"&lt;&gt;")&gt;1),"⚠ Liquidación repetida en el mes",IF(AND(ISNUMBER(O2520),ISNUMBER(P2520),ISNUMBER(Q2520),ABS(O2520-P2520-Q2520)&gt;1),"⚠ Haberes − descuentos no da el líquido","OK"))))))</f>
        <v/>
      </c>
      <c r="V2520" s="62" t="str">
        <f aca="false">IF(C2520="","",IFERROR(VALUE(LEFT(UPPER(SUBSTITUTE(SUBSTITUTE(SUBSTITUTE(TRIM(C2520),".",""),"-","")," ","")),LEN(UPPER(SUBSTITUTE(SUBSTITUTE(SUBSTITUTE(TRIM(C2520),".",""),"-","")," ","")))-1))&amp;RIGHT(UPPER(SUBSTITUTE(SUBSTITUTE(SUBSTITUTE(TRIM(C2520),".",""),"-","")," ","")),1),UPPER(SUBSTITUTE(SUBSTITUTE(SUBSTITUTE(TRIM(C2520),".",""),"-","")," ",""))))</f>
        <v/>
      </c>
    </row>
    <row r="2521" customFormat="false" ht="15" hidden="false" customHeight="false" outlineLevel="0" collapsed="false">
      <c r="B2521" s="80"/>
      <c r="C2521" s="58"/>
      <c r="D2521" s="62" t="str">
        <f aca="false">IF(C2521="","",IFERROR(INDEX(T_NOMBRE,MATCH(V2521,T_RUTN,0)),"⚠ RUT no está en Trabajadores"))</f>
        <v/>
      </c>
      <c r="E2521" s="61"/>
      <c r="F2521" s="61"/>
      <c r="G2521" s="61"/>
      <c r="H2521" s="61"/>
      <c r="I2521" s="81"/>
      <c r="J2521" s="81"/>
      <c r="K2521" s="60"/>
      <c r="L2521" s="60"/>
      <c r="M2521" s="60"/>
      <c r="N2521" s="60"/>
      <c r="O2521" s="60"/>
      <c r="P2521" s="60"/>
      <c r="Q2521" s="60"/>
      <c r="R2521" s="58"/>
      <c r="S2521" s="62" t="str">
        <f aca="false">IF(OR(B2521="",V2521=""),"",IFERROR(INDEX(C_TIPO,MATCH(V2521&amp;"-P"&amp;MAX(1,COUNTIFS(C_RUTN,V2521,C_DEF,"Sí",C_INI,"&lt;="&amp;EOMONTH(B2521,0))),C_CLAVE,0))&amp;"","Sin contrato"))</f>
        <v/>
      </c>
      <c r="T2521" s="63" t="str">
        <f aca="false">IF(OR(B2521="",N(O2521)=0),"",N(O2521)+ROUND(MIN(N(N2521),TOPE_UF*UF_MES)*(TASA_EMP+MUTUAL),0)+ROUND(MIN(N(N2521),TOPE_AFC_UF*UF_MES)*IF(S2521="Indefinido",AFC_INDEF,AFC_PF),0))</f>
        <v/>
      </c>
      <c r="U2521" s="62" t="str">
        <f aca="false">IF(C2521="","",IF(LEFT(D2521,1)="⚠","⚠ RUT no registrado en Trabajadores",IF(B2521="","⚠ Falta el mes",IF(OR(ISTEXT(I2521),ISTEXT(J2521)),"⚠ Atrasos u horas extra como texto: escriba hh:mm (ej. 1:30)",IF(AND(ISNUMBER(Q2521),COUNTIFS(M_RUTN,V2521,M_MES,B2521,M_LIQ,"&lt;&gt;")&gt;1),"⚠ Liquidación repetida en el mes",IF(AND(ISNUMBER(O2521),ISNUMBER(P2521),ISNUMBER(Q2521),ABS(O2521-P2521-Q2521)&gt;1),"⚠ Haberes − descuentos no da el líquido","OK"))))))</f>
        <v/>
      </c>
      <c r="V2521" s="62" t="str">
        <f aca="false">IF(C2521="","",IFERROR(VALUE(LEFT(UPPER(SUBSTITUTE(SUBSTITUTE(SUBSTITUTE(TRIM(C2521),".",""),"-","")," ","")),LEN(UPPER(SUBSTITUTE(SUBSTITUTE(SUBSTITUTE(TRIM(C2521),".",""),"-","")," ","")))-1))&amp;RIGHT(UPPER(SUBSTITUTE(SUBSTITUTE(SUBSTITUTE(TRIM(C2521),".",""),"-","")," ","")),1),UPPER(SUBSTITUTE(SUBSTITUTE(SUBSTITUTE(TRIM(C2521),".",""),"-","")," ",""))))</f>
        <v/>
      </c>
    </row>
    <row r="2522" customFormat="false" ht="15" hidden="false" customHeight="false" outlineLevel="0" collapsed="false">
      <c r="B2522" s="80"/>
      <c r="C2522" s="58"/>
      <c r="D2522" s="62" t="str">
        <f aca="false">IF(C2522="","",IFERROR(INDEX(T_NOMBRE,MATCH(V2522,T_RUTN,0)),"⚠ RUT no está en Trabajadores"))</f>
        <v/>
      </c>
      <c r="E2522" s="61"/>
      <c r="F2522" s="61"/>
      <c r="G2522" s="61"/>
      <c r="H2522" s="61"/>
      <c r="I2522" s="81"/>
      <c r="J2522" s="81"/>
      <c r="K2522" s="60"/>
      <c r="L2522" s="60"/>
      <c r="M2522" s="60"/>
      <c r="N2522" s="60"/>
      <c r="O2522" s="60"/>
      <c r="P2522" s="60"/>
      <c r="Q2522" s="60"/>
      <c r="R2522" s="58"/>
      <c r="S2522" s="62" t="str">
        <f aca="false">IF(OR(B2522="",V2522=""),"",IFERROR(INDEX(C_TIPO,MATCH(V2522&amp;"-P"&amp;MAX(1,COUNTIFS(C_RUTN,V2522,C_DEF,"Sí",C_INI,"&lt;="&amp;EOMONTH(B2522,0))),C_CLAVE,0))&amp;"","Sin contrato"))</f>
        <v/>
      </c>
      <c r="T2522" s="63" t="str">
        <f aca="false">IF(OR(B2522="",N(O2522)=0),"",N(O2522)+ROUND(MIN(N(N2522),TOPE_UF*UF_MES)*(TASA_EMP+MUTUAL),0)+ROUND(MIN(N(N2522),TOPE_AFC_UF*UF_MES)*IF(S2522="Indefinido",AFC_INDEF,AFC_PF),0))</f>
        <v/>
      </c>
      <c r="U2522" s="62" t="str">
        <f aca="false">IF(C2522="","",IF(LEFT(D2522,1)="⚠","⚠ RUT no registrado en Trabajadores",IF(B2522="","⚠ Falta el mes",IF(OR(ISTEXT(I2522),ISTEXT(J2522)),"⚠ Atrasos u horas extra como texto: escriba hh:mm (ej. 1:30)",IF(AND(ISNUMBER(Q2522),COUNTIFS(M_RUTN,V2522,M_MES,B2522,M_LIQ,"&lt;&gt;")&gt;1),"⚠ Liquidación repetida en el mes",IF(AND(ISNUMBER(O2522),ISNUMBER(P2522),ISNUMBER(Q2522),ABS(O2522-P2522-Q2522)&gt;1),"⚠ Haberes − descuentos no da el líquido","OK"))))))</f>
        <v/>
      </c>
      <c r="V2522" s="62" t="str">
        <f aca="false">IF(C2522="","",IFERROR(VALUE(LEFT(UPPER(SUBSTITUTE(SUBSTITUTE(SUBSTITUTE(TRIM(C2522),".",""),"-","")," ","")),LEN(UPPER(SUBSTITUTE(SUBSTITUTE(SUBSTITUTE(TRIM(C2522),".",""),"-","")," ","")))-1))&amp;RIGHT(UPPER(SUBSTITUTE(SUBSTITUTE(SUBSTITUTE(TRIM(C2522),".",""),"-","")," ","")),1),UPPER(SUBSTITUTE(SUBSTITUTE(SUBSTITUTE(TRIM(C2522),".",""),"-","")," ",""))))</f>
        <v/>
      </c>
    </row>
    <row r="2523" customFormat="false" ht="15" hidden="false" customHeight="false" outlineLevel="0" collapsed="false">
      <c r="B2523" s="80"/>
      <c r="C2523" s="58"/>
      <c r="D2523" s="62" t="str">
        <f aca="false">IF(C2523="","",IFERROR(INDEX(T_NOMBRE,MATCH(V2523,T_RUTN,0)),"⚠ RUT no está en Trabajadores"))</f>
        <v/>
      </c>
      <c r="E2523" s="61"/>
      <c r="F2523" s="61"/>
      <c r="G2523" s="61"/>
      <c r="H2523" s="61"/>
      <c r="I2523" s="81"/>
      <c r="J2523" s="81"/>
      <c r="K2523" s="60"/>
      <c r="L2523" s="60"/>
      <c r="M2523" s="60"/>
      <c r="N2523" s="60"/>
      <c r="O2523" s="60"/>
      <c r="P2523" s="60"/>
      <c r="Q2523" s="60"/>
      <c r="R2523" s="58"/>
      <c r="S2523" s="62" t="str">
        <f aca="false">IF(OR(B2523="",V2523=""),"",IFERROR(INDEX(C_TIPO,MATCH(V2523&amp;"-P"&amp;MAX(1,COUNTIFS(C_RUTN,V2523,C_DEF,"Sí",C_INI,"&lt;="&amp;EOMONTH(B2523,0))),C_CLAVE,0))&amp;"","Sin contrato"))</f>
        <v/>
      </c>
      <c r="T2523" s="63" t="str">
        <f aca="false">IF(OR(B2523="",N(O2523)=0),"",N(O2523)+ROUND(MIN(N(N2523),TOPE_UF*UF_MES)*(TASA_EMP+MUTUAL),0)+ROUND(MIN(N(N2523),TOPE_AFC_UF*UF_MES)*IF(S2523="Indefinido",AFC_INDEF,AFC_PF),0))</f>
        <v/>
      </c>
      <c r="U2523" s="62" t="str">
        <f aca="false">IF(C2523="","",IF(LEFT(D2523,1)="⚠","⚠ RUT no registrado en Trabajadores",IF(B2523="","⚠ Falta el mes",IF(OR(ISTEXT(I2523),ISTEXT(J2523)),"⚠ Atrasos u horas extra como texto: escriba hh:mm (ej. 1:30)",IF(AND(ISNUMBER(Q2523),COUNTIFS(M_RUTN,V2523,M_MES,B2523,M_LIQ,"&lt;&gt;")&gt;1),"⚠ Liquidación repetida en el mes",IF(AND(ISNUMBER(O2523),ISNUMBER(P2523),ISNUMBER(Q2523),ABS(O2523-P2523-Q2523)&gt;1),"⚠ Haberes − descuentos no da el líquido","OK"))))))</f>
        <v/>
      </c>
      <c r="V2523" s="62" t="str">
        <f aca="false">IF(C2523="","",IFERROR(VALUE(LEFT(UPPER(SUBSTITUTE(SUBSTITUTE(SUBSTITUTE(TRIM(C2523),".",""),"-","")," ","")),LEN(UPPER(SUBSTITUTE(SUBSTITUTE(SUBSTITUTE(TRIM(C2523),".",""),"-","")," ","")))-1))&amp;RIGHT(UPPER(SUBSTITUTE(SUBSTITUTE(SUBSTITUTE(TRIM(C2523),".",""),"-","")," ","")),1),UPPER(SUBSTITUTE(SUBSTITUTE(SUBSTITUTE(TRIM(C2523),".",""),"-","")," ",""))))</f>
        <v/>
      </c>
    </row>
    <row r="2524" customFormat="false" ht="15" hidden="false" customHeight="false" outlineLevel="0" collapsed="false">
      <c r="B2524" s="80"/>
      <c r="C2524" s="58"/>
      <c r="D2524" s="62" t="str">
        <f aca="false">IF(C2524="","",IFERROR(INDEX(T_NOMBRE,MATCH(V2524,T_RUTN,0)),"⚠ RUT no está en Trabajadores"))</f>
        <v/>
      </c>
      <c r="E2524" s="61"/>
      <c r="F2524" s="61"/>
      <c r="G2524" s="61"/>
      <c r="H2524" s="61"/>
      <c r="I2524" s="81"/>
      <c r="J2524" s="81"/>
      <c r="K2524" s="60"/>
      <c r="L2524" s="60"/>
      <c r="M2524" s="60"/>
      <c r="N2524" s="60"/>
      <c r="O2524" s="60"/>
      <c r="P2524" s="60"/>
      <c r="Q2524" s="60"/>
      <c r="R2524" s="58"/>
      <c r="S2524" s="62" t="str">
        <f aca="false">IF(OR(B2524="",V2524=""),"",IFERROR(INDEX(C_TIPO,MATCH(V2524&amp;"-P"&amp;MAX(1,COUNTIFS(C_RUTN,V2524,C_DEF,"Sí",C_INI,"&lt;="&amp;EOMONTH(B2524,0))),C_CLAVE,0))&amp;"","Sin contrato"))</f>
        <v/>
      </c>
      <c r="T2524" s="63" t="str">
        <f aca="false">IF(OR(B2524="",N(O2524)=0),"",N(O2524)+ROUND(MIN(N(N2524),TOPE_UF*UF_MES)*(TASA_EMP+MUTUAL),0)+ROUND(MIN(N(N2524),TOPE_AFC_UF*UF_MES)*IF(S2524="Indefinido",AFC_INDEF,AFC_PF),0))</f>
        <v/>
      </c>
      <c r="U2524" s="62" t="str">
        <f aca="false">IF(C2524="","",IF(LEFT(D2524,1)="⚠","⚠ RUT no registrado en Trabajadores",IF(B2524="","⚠ Falta el mes",IF(OR(ISTEXT(I2524),ISTEXT(J2524)),"⚠ Atrasos u horas extra como texto: escriba hh:mm (ej. 1:30)",IF(AND(ISNUMBER(Q2524),COUNTIFS(M_RUTN,V2524,M_MES,B2524,M_LIQ,"&lt;&gt;")&gt;1),"⚠ Liquidación repetida en el mes",IF(AND(ISNUMBER(O2524),ISNUMBER(P2524),ISNUMBER(Q2524),ABS(O2524-P2524-Q2524)&gt;1),"⚠ Haberes − descuentos no da el líquido","OK"))))))</f>
        <v/>
      </c>
      <c r="V2524" s="62" t="str">
        <f aca="false">IF(C2524="","",IFERROR(VALUE(LEFT(UPPER(SUBSTITUTE(SUBSTITUTE(SUBSTITUTE(TRIM(C2524),".",""),"-","")," ","")),LEN(UPPER(SUBSTITUTE(SUBSTITUTE(SUBSTITUTE(TRIM(C2524),".",""),"-","")," ","")))-1))&amp;RIGHT(UPPER(SUBSTITUTE(SUBSTITUTE(SUBSTITUTE(TRIM(C2524),".",""),"-","")," ","")),1),UPPER(SUBSTITUTE(SUBSTITUTE(SUBSTITUTE(TRIM(C2524),".",""),"-","")," ",""))))</f>
        <v/>
      </c>
    </row>
    <row r="2525" customFormat="false" ht="15" hidden="false" customHeight="false" outlineLevel="0" collapsed="false">
      <c r="B2525" s="80"/>
      <c r="C2525" s="58"/>
      <c r="D2525" s="62" t="str">
        <f aca="false">IF(C2525="","",IFERROR(INDEX(T_NOMBRE,MATCH(V2525,T_RUTN,0)),"⚠ RUT no está en Trabajadores"))</f>
        <v/>
      </c>
      <c r="E2525" s="61"/>
      <c r="F2525" s="61"/>
      <c r="G2525" s="61"/>
      <c r="H2525" s="61"/>
      <c r="I2525" s="81"/>
      <c r="J2525" s="81"/>
      <c r="K2525" s="60"/>
      <c r="L2525" s="60"/>
      <c r="M2525" s="60"/>
      <c r="N2525" s="60"/>
      <c r="O2525" s="60"/>
      <c r="P2525" s="60"/>
      <c r="Q2525" s="60"/>
      <c r="R2525" s="58"/>
      <c r="S2525" s="62" t="str">
        <f aca="false">IF(OR(B2525="",V2525=""),"",IFERROR(INDEX(C_TIPO,MATCH(V2525&amp;"-P"&amp;MAX(1,COUNTIFS(C_RUTN,V2525,C_DEF,"Sí",C_INI,"&lt;="&amp;EOMONTH(B2525,0))),C_CLAVE,0))&amp;"","Sin contrato"))</f>
        <v/>
      </c>
      <c r="T2525" s="63" t="str">
        <f aca="false">IF(OR(B2525="",N(O2525)=0),"",N(O2525)+ROUND(MIN(N(N2525),TOPE_UF*UF_MES)*(TASA_EMP+MUTUAL),0)+ROUND(MIN(N(N2525),TOPE_AFC_UF*UF_MES)*IF(S2525="Indefinido",AFC_INDEF,AFC_PF),0))</f>
        <v/>
      </c>
      <c r="U2525" s="62" t="str">
        <f aca="false">IF(C2525="","",IF(LEFT(D2525,1)="⚠","⚠ RUT no registrado en Trabajadores",IF(B2525="","⚠ Falta el mes",IF(OR(ISTEXT(I2525),ISTEXT(J2525)),"⚠ Atrasos u horas extra como texto: escriba hh:mm (ej. 1:30)",IF(AND(ISNUMBER(Q2525),COUNTIFS(M_RUTN,V2525,M_MES,B2525,M_LIQ,"&lt;&gt;")&gt;1),"⚠ Liquidación repetida en el mes",IF(AND(ISNUMBER(O2525),ISNUMBER(P2525),ISNUMBER(Q2525),ABS(O2525-P2525-Q2525)&gt;1),"⚠ Haberes − descuentos no da el líquido","OK"))))))</f>
        <v/>
      </c>
      <c r="V2525" s="62" t="str">
        <f aca="false">IF(C2525="","",IFERROR(VALUE(LEFT(UPPER(SUBSTITUTE(SUBSTITUTE(SUBSTITUTE(TRIM(C2525),".",""),"-","")," ","")),LEN(UPPER(SUBSTITUTE(SUBSTITUTE(SUBSTITUTE(TRIM(C2525),".",""),"-","")," ","")))-1))&amp;RIGHT(UPPER(SUBSTITUTE(SUBSTITUTE(SUBSTITUTE(TRIM(C2525),".",""),"-","")," ","")),1),UPPER(SUBSTITUTE(SUBSTITUTE(SUBSTITUTE(TRIM(C2525),".",""),"-","")," ",""))))</f>
        <v/>
      </c>
    </row>
    <row r="2526" customFormat="false" ht="15" hidden="false" customHeight="false" outlineLevel="0" collapsed="false">
      <c r="B2526" s="80"/>
      <c r="C2526" s="58"/>
      <c r="D2526" s="62" t="str">
        <f aca="false">IF(C2526="","",IFERROR(INDEX(T_NOMBRE,MATCH(V2526,T_RUTN,0)),"⚠ RUT no está en Trabajadores"))</f>
        <v/>
      </c>
      <c r="E2526" s="61"/>
      <c r="F2526" s="61"/>
      <c r="G2526" s="61"/>
      <c r="H2526" s="61"/>
      <c r="I2526" s="81"/>
      <c r="J2526" s="81"/>
      <c r="K2526" s="60"/>
      <c r="L2526" s="60"/>
      <c r="M2526" s="60"/>
      <c r="N2526" s="60"/>
      <c r="O2526" s="60"/>
      <c r="P2526" s="60"/>
      <c r="Q2526" s="60"/>
      <c r="R2526" s="58"/>
      <c r="S2526" s="62" t="str">
        <f aca="false">IF(OR(B2526="",V2526=""),"",IFERROR(INDEX(C_TIPO,MATCH(V2526&amp;"-P"&amp;MAX(1,COUNTIFS(C_RUTN,V2526,C_DEF,"Sí",C_INI,"&lt;="&amp;EOMONTH(B2526,0))),C_CLAVE,0))&amp;"","Sin contrato"))</f>
        <v/>
      </c>
      <c r="T2526" s="63" t="str">
        <f aca="false">IF(OR(B2526="",N(O2526)=0),"",N(O2526)+ROUND(MIN(N(N2526),TOPE_UF*UF_MES)*(TASA_EMP+MUTUAL),0)+ROUND(MIN(N(N2526),TOPE_AFC_UF*UF_MES)*IF(S2526="Indefinido",AFC_INDEF,AFC_PF),0))</f>
        <v/>
      </c>
      <c r="U2526" s="62" t="str">
        <f aca="false">IF(C2526="","",IF(LEFT(D2526,1)="⚠","⚠ RUT no registrado en Trabajadores",IF(B2526="","⚠ Falta el mes",IF(OR(ISTEXT(I2526),ISTEXT(J2526)),"⚠ Atrasos u horas extra como texto: escriba hh:mm (ej. 1:30)",IF(AND(ISNUMBER(Q2526),COUNTIFS(M_RUTN,V2526,M_MES,B2526,M_LIQ,"&lt;&gt;")&gt;1),"⚠ Liquidación repetida en el mes",IF(AND(ISNUMBER(O2526),ISNUMBER(P2526),ISNUMBER(Q2526),ABS(O2526-P2526-Q2526)&gt;1),"⚠ Haberes − descuentos no da el líquido","OK"))))))</f>
        <v/>
      </c>
      <c r="V2526" s="62" t="str">
        <f aca="false">IF(C2526="","",IFERROR(VALUE(LEFT(UPPER(SUBSTITUTE(SUBSTITUTE(SUBSTITUTE(TRIM(C2526),".",""),"-","")," ","")),LEN(UPPER(SUBSTITUTE(SUBSTITUTE(SUBSTITUTE(TRIM(C2526),".",""),"-","")," ","")))-1))&amp;RIGHT(UPPER(SUBSTITUTE(SUBSTITUTE(SUBSTITUTE(TRIM(C2526),".",""),"-","")," ","")),1),UPPER(SUBSTITUTE(SUBSTITUTE(SUBSTITUTE(TRIM(C2526),".",""),"-","")," ",""))))</f>
        <v/>
      </c>
    </row>
    <row r="2527" customFormat="false" ht="15" hidden="false" customHeight="false" outlineLevel="0" collapsed="false">
      <c r="B2527" s="80"/>
      <c r="C2527" s="58"/>
      <c r="D2527" s="62" t="str">
        <f aca="false">IF(C2527="","",IFERROR(INDEX(T_NOMBRE,MATCH(V2527,T_RUTN,0)),"⚠ RUT no está en Trabajadores"))</f>
        <v/>
      </c>
      <c r="E2527" s="61"/>
      <c r="F2527" s="61"/>
      <c r="G2527" s="61"/>
      <c r="H2527" s="61"/>
      <c r="I2527" s="81"/>
      <c r="J2527" s="81"/>
      <c r="K2527" s="60"/>
      <c r="L2527" s="60"/>
      <c r="M2527" s="60"/>
      <c r="N2527" s="60"/>
      <c r="O2527" s="60"/>
      <c r="P2527" s="60"/>
      <c r="Q2527" s="60"/>
      <c r="R2527" s="58"/>
      <c r="S2527" s="62" t="str">
        <f aca="false">IF(OR(B2527="",V2527=""),"",IFERROR(INDEX(C_TIPO,MATCH(V2527&amp;"-P"&amp;MAX(1,COUNTIFS(C_RUTN,V2527,C_DEF,"Sí",C_INI,"&lt;="&amp;EOMONTH(B2527,0))),C_CLAVE,0))&amp;"","Sin contrato"))</f>
        <v/>
      </c>
      <c r="T2527" s="63" t="str">
        <f aca="false">IF(OR(B2527="",N(O2527)=0),"",N(O2527)+ROUND(MIN(N(N2527),TOPE_UF*UF_MES)*(TASA_EMP+MUTUAL),0)+ROUND(MIN(N(N2527),TOPE_AFC_UF*UF_MES)*IF(S2527="Indefinido",AFC_INDEF,AFC_PF),0))</f>
        <v/>
      </c>
      <c r="U2527" s="62" t="str">
        <f aca="false">IF(C2527="","",IF(LEFT(D2527,1)="⚠","⚠ RUT no registrado en Trabajadores",IF(B2527="","⚠ Falta el mes",IF(OR(ISTEXT(I2527),ISTEXT(J2527)),"⚠ Atrasos u horas extra como texto: escriba hh:mm (ej. 1:30)",IF(AND(ISNUMBER(Q2527),COUNTIFS(M_RUTN,V2527,M_MES,B2527,M_LIQ,"&lt;&gt;")&gt;1),"⚠ Liquidación repetida en el mes",IF(AND(ISNUMBER(O2527),ISNUMBER(P2527),ISNUMBER(Q2527),ABS(O2527-P2527-Q2527)&gt;1),"⚠ Haberes − descuentos no da el líquido","OK"))))))</f>
        <v/>
      </c>
      <c r="V2527" s="62" t="str">
        <f aca="false">IF(C2527="","",IFERROR(VALUE(LEFT(UPPER(SUBSTITUTE(SUBSTITUTE(SUBSTITUTE(TRIM(C2527),".",""),"-","")," ","")),LEN(UPPER(SUBSTITUTE(SUBSTITUTE(SUBSTITUTE(TRIM(C2527),".",""),"-","")," ","")))-1))&amp;RIGHT(UPPER(SUBSTITUTE(SUBSTITUTE(SUBSTITUTE(TRIM(C2527),".",""),"-","")," ","")),1),UPPER(SUBSTITUTE(SUBSTITUTE(SUBSTITUTE(TRIM(C2527),".",""),"-","")," ",""))))</f>
        <v/>
      </c>
    </row>
    <row r="2528" customFormat="false" ht="15" hidden="false" customHeight="false" outlineLevel="0" collapsed="false">
      <c r="B2528" s="80"/>
      <c r="C2528" s="58"/>
      <c r="D2528" s="62" t="str">
        <f aca="false">IF(C2528="","",IFERROR(INDEX(T_NOMBRE,MATCH(V2528,T_RUTN,0)),"⚠ RUT no está en Trabajadores"))</f>
        <v/>
      </c>
      <c r="E2528" s="61"/>
      <c r="F2528" s="61"/>
      <c r="G2528" s="61"/>
      <c r="H2528" s="61"/>
      <c r="I2528" s="81"/>
      <c r="J2528" s="81"/>
      <c r="K2528" s="60"/>
      <c r="L2528" s="60"/>
      <c r="M2528" s="60"/>
      <c r="N2528" s="60"/>
      <c r="O2528" s="60"/>
      <c r="P2528" s="60"/>
      <c r="Q2528" s="60"/>
      <c r="R2528" s="58"/>
      <c r="S2528" s="62" t="str">
        <f aca="false">IF(OR(B2528="",V2528=""),"",IFERROR(INDEX(C_TIPO,MATCH(V2528&amp;"-P"&amp;MAX(1,COUNTIFS(C_RUTN,V2528,C_DEF,"Sí",C_INI,"&lt;="&amp;EOMONTH(B2528,0))),C_CLAVE,0))&amp;"","Sin contrato"))</f>
        <v/>
      </c>
      <c r="T2528" s="63" t="str">
        <f aca="false">IF(OR(B2528="",N(O2528)=0),"",N(O2528)+ROUND(MIN(N(N2528),TOPE_UF*UF_MES)*(TASA_EMP+MUTUAL),0)+ROUND(MIN(N(N2528),TOPE_AFC_UF*UF_MES)*IF(S2528="Indefinido",AFC_INDEF,AFC_PF),0))</f>
        <v/>
      </c>
      <c r="U2528" s="62" t="str">
        <f aca="false">IF(C2528="","",IF(LEFT(D2528,1)="⚠","⚠ RUT no registrado en Trabajadores",IF(B2528="","⚠ Falta el mes",IF(OR(ISTEXT(I2528),ISTEXT(J2528)),"⚠ Atrasos u horas extra como texto: escriba hh:mm (ej. 1:30)",IF(AND(ISNUMBER(Q2528),COUNTIFS(M_RUTN,V2528,M_MES,B2528,M_LIQ,"&lt;&gt;")&gt;1),"⚠ Liquidación repetida en el mes",IF(AND(ISNUMBER(O2528),ISNUMBER(P2528),ISNUMBER(Q2528),ABS(O2528-P2528-Q2528)&gt;1),"⚠ Haberes − descuentos no da el líquido","OK"))))))</f>
        <v/>
      </c>
      <c r="V2528" s="62" t="str">
        <f aca="false">IF(C2528="","",IFERROR(VALUE(LEFT(UPPER(SUBSTITUTE(SUBSTITUTE(SUBSTITUTE(TRIM(C2528),".",""),"-","")," ","")),LEN(UPPER(SUBSTITUTE(SUBSTITUTE(SUBSTITUTE(TRIM(C2528),".",""),"-","")," ","")))-1))&amp;RIGHT(UPPER(SUBSTITUTE(SUBSTITUTE(SUBSTITUTE(TRIM(C2528),".",""),"-","")," ","")),1),UPPER(SUBSTITUTE(SUBSTITUTE(SUBSTITUTE(TRIM(C2528),".",""),"-","")," ",""))))</f>
        <v/>
      </c>
    </row>
    <row r="2529" customFormat="false" ht="15" hidden="false" customHeight="false" outlineLevel="0" collapsed="false">
      <c r="B2529" s="80"/>
      <c r="C2529" s="58"/>
      <c r="D2529" s="62" t="str">
        <f aca="false">IF(C2529="","",IFERROR(INDEX(T_NOMBRE,MATCH(V2529,T_RUTN,0)),"⚠ RUT no está en Trabajadores"))</f>
        <v/>
      </c>
      <c r="E2529" s="61"/>
      <c r="F2529" s="61"/>
      <c r="G2529" s="61"/>
      <c r="H2529" s="61"/>
      <c r="I2529" s="81"/>
      <c r="J2529" s="81"/>
      <c r="K2529" s="60"/>
      <c r="L2529" s="60"/>
      <c r="M2529" s="60"/>
      <c r="N2529" s="60"/>
      <c r="O2529" s="60"/>
      <c r="P2529" s="60"/>
      <c r="Q2529" s="60"/>
      <c r="R2529" s="58"/>
      <c r="S2529" s="62" t="str">
        <f aca="false">IF(OR(B2529="",V2529=""),"",IFERROR(INDEX(C_TIPO,MATCH(V2529&amp;"-P"&amp;MAX(1,COUNTIFS(C_RUTN,V2529,C_DEF,"Sí",C_INI,"&lt;="&amp;EOMONTH(B2529,0))),C_CLAVE,0))&amp;"","Sin contrato"))</f>
        <v/>
      </c>
      <c r="T2529" s="63" t="str">
        <f aca="false">IF(OR(B2529="",N(O2529)=0),"",N(O2529)+ROUND(MIN(N(N2529),TOPE_UF*UF_MES)*(TASA_EMP+MUTUAL),0)+ROUND(MIN(N(N2529),TOPE_AFC_UF*UF_MES)*IF(S2529="Indefinido",AFC_INDEF,AFC_PF),0))</f>
        <v/>
      </c>
      <c r="U2529" s="62" t="str">
        <f aca="false">IF(C2529="","",IF(LEFT(D2529,1)="⚠","⚠ RUT no registrado en Trabajadores",IF(B2529="","⚠ Falta el mes",IF(OR(ISTEXT(I2529),ISTEXT(J2529)),"⚠ Atrasos u horas extra como texto: escriba hh:mm (ej. 1:30)",IF(AND(ISNUMBER(Q2529),COUNTIFS(M_RUTN,V2529,M_MES,B2529,M_LIQ,"&lt;&gt;")&gt;1),"⚠ Liquidación repetida en el mes",IF(AND(ISNUMBER(O2529),ISNUMBER(P2529),ISNUMBER(Q2529),ABS(O2529-P2529-Q2529)&gt;1),"⚠ Haberes − descuentos no da el líquido","OK"))))))</f>
        <v/>
      </c>
      <c r="V2529" s="62" t="str">
        <f aca="false">IF(C2529="","",IFERROR(VALUE(LEFT(UPPER(SUBSTITUTE(SUBSTITUTE(SUBSTITUTE(TRIM(C2529),".",""),"-","")," ","")),LEN(UPPER(SUBSTITUTE(SUBSTITUTE(SUBSTITUTE(TRIM(C2529),".",""),"-","")," ","")))-1))&amp;RIGHT(UPPER(SUBSTITUTE(SUBSTITUTE(SUBSTITUTE(TRIM(C2529),".",""),"-","")," ","")),1),UPPER(SUBSTITUTE(SUBSTITUTE(SUBSTITUTE(TRIM(C2529),".",""),"-","")," ",""))))</f>
        <v/>
      </c>
    </row>
    <row r="2530" customFormat="false" ht="15" hidden="false" customHeight="false" outlineLevel="0" collapsed="false">
      <c r="B2530" s="80"/>
      <c r="C2530" s="58"/>
      <c r="D2530" s="62" t="str">
        <f aca="false">IF(C2530="","",IFERROR(INDEX(T_NOMBRE,MATCH(V2530,T_RUTN,0)),"⚠ RUT no está en Trabajadores"))</f>
        <v/>
      </c>
      <c r="E2530" s="61"/>
      <c r="F2530" s="61"/>
      <c r="G2530" s="61"/>
      <c r="H2530" s="61"/>
      <c r="I2530" s="81"/>
      <c r="J2530" s="81"/>
      <c r="K2530" s="60"/>
      <c r="L2530" s="60"/>
      <c r="M2530" s="60"/>
      <c r="N2530" s="60"/>
      <c r="O2530" s="60"/>
      <c r="P2530" s="60"/>
      <c r="Q2530" s="60"/>
      <c r="R2530" s="58"/>
      <c r="S2530" s="62" t="str">
        <f aca="false">IF(OR(B2530="",V2530=""),"",IFERROR(INDEX(C_TIPO,MATCH(V2530&amp;"-P"&amp;MAX(1,COUNTIFS(C_RUTN,V2530,C_DEF,"Sí",C_INI,"&lt;="&amp;EOMONTH(B2530,0))),C_CLAVE,0))&amp;"","Sin contrato"))</f>
        <v/>
      </c>
      <c r="T2530" s="63" t="str">
        <f aca="false">IF(OR(B2530="",N(O2530)=0),"",N(O2530)+ROUND(MIN(N(N2530),TOPE_UF*UF_MES)*(TASA_EMP+MUTUAL),0)+ROUND(MIN(N(N2530),TOPE_AFC_UF*UF_MES)*IF(S2530="Indefinido",AFC_INDEF,AFC_PF),0))</f>
        <v/>
      </c>
      <c r="U2530" s="62" t="str">
        <f aca="false">IF(C2530="","",IF(LEFT(D2530,1)="⚠","⚠ RUT no registrado en Trabajadores",IF(B2530="","⚠ Falta el mes",IF(OR(ISTEXT(I2530),ISTEXT(J2530)),"⚠ Atrasos u horas extra como texto: escriba hh:mm (ej. 1:30)",IF(AND(ISNUMBER(Q2530),COUNTIFS(M_RUTN,V2530,M_MES,B2530,M_LIQ,"&lt;&gt;")&gt;1),"⚠ Liquidación repetida en el mes",IF(AND(ISNUMBER(O2530),ISNUMBER(P2530),ISNUMBER(Q2530),ABS(O2530-P2530-Q2530)&gt;1),"⚠ Haberes − descuentos no da el líquido","OK"))))))</f>
        <v/>
      </c>
      <c r="V2530" s="62" t="str">
        <f aca="false">IF(C2530="","",IFERROR(VALUE(LEFT(UPPER(SUBSTITUTE(SUBSTITUTE(SUBSTITUTE(TRIM(C2530),".",""),"-","")," ","")),LEN(UPPER(SUBSTITUTE(SUBSTITUTE(SUBSTITUTE(TRIM(C2530),".",""),"-","")," ","")))-1))&amp;RIGHT(UPPER(SUBSTITUTE(SUBSTITUTE(SUBSTITUTE(TRIM(C2530),".",""),"-","")," ","")),1),UPPER(SUBSTITUTE(SUBSTITUTE(SUBSTITUTE(TRIM(C2530),".",""),"-","")," ",""))))</f>
        <v/>
      </c>
    </row>
    <row r="2531" customFormat="false" ht="15" hidden="false" customHeight="false" outlineLevel="0" collapsed="false">
      <c r="B2531" s="80"/>
      <c r="C2531" s="58"/>
      <c r="D2531" s="62" t="str">
        <f aca="false">IF(C2531="","",IFERROR(INDEX(T_NOMBRE,MATCH(V2531,T_RUTN,0)),"⚠ RUT no está en Trabajadores"))</f>
        <v/>
      </c>
      <c r="E2531" s="61"/>
      <c r="F2531" s="61"/>
      <c r="G2531" s="61"/>
      <c r="H2531" s="61"/>
      <c r="I2531" s="81"/>
      <c r="J2531" s="81"/>
      <c r="K2531" s="60"/>
      <c r="L2531" s="60"/>
      <c r="M2531" s="60"/>
      <c r="N2531" s="60"/>
      <c r="O2531" s="60"/>
      <c r="P2531" s="60"/>
      <c r="Q2531" s="60"/>
      <c r="R2531" s="58"/>
      <c r="S2531" s="62" t="str">
        <f aca="false">IF(OR(B2531="",V2531=""),"",IFERROR(INDEX(C_TIPO,MATCH(V2531&amp;"-P"&amp;MAX(1,COUNTIFS(C_RUTN,V2531,C_DEF,"Sí",C_INI,"&lt;="&amp;EOMONTH(B2531,0))),C_CLAVE,0))&amp;"","Sin contrato"))</f>
        <v/>
      </c>
      <c r="T2531" s="63" t="str">
        <f aca="false">IF(OR(B2531="",N(O2531)=0),"",N(O2531)+ROUND(MIN(N(N2531),TOPE_UF*UF_MES)*(TASA_EMP+MUTUAL),0)+ROUND(MIN(N(N2531),TOPE_AFC_UF*UF_MES)*IF(S2531="Indefinido",AFC_INDEF,AFC_PF),0))</f>
        <v/>
      </c>
      <c r="U2531" s="62" t="str">
        <f aca="false">IF(C2531="","",IF(LEFT(D2531,1)="⚠","⚠ RUT no registrado en Trabajadores",IF(B2531="","⚠ Falta el mes",IF(OR(ISTEXT(I2531),ISTEXT(J2531)),"⚠ Atrasos u horas extra como texto: escriba hh:mm (ej. 1:30)",IF(AND(ISNUMBER(Q2531),COUNTIFS(M_RUTN,V2531,M_MES,B2531,M_LIQ,"&lt;&gt;")&gt;1),"⚠ Liquidación repetida en el mes",IF(AND(ISNUMBER(O2531),ISNUMBER(P2531),ISNUMBER(Q2531),ABS(O2531-P2531-Q2531)&gt;1),"⚠ Haberes − descuentos no da el líquido","OK"))))))</f>
        <v/>
      </c>
      <c r="V2531" s="62" t="str">
        <f aca="false">IF(C2531="","",IFERROR(VALUE(LEFT(UPPER(SUBSTITUTE(SUBSTITUTE(SUBSTITUTE(TRIM(C2531),".",""),"-","")," ","")),LEN(UPPER(SUBSTITUTE(SUBSTITUTE(SUBSTITUTE(TRIM(C2531),".",""),"-","")," ","")))-1))&amp;RIGHT(UPPER(SUBSTITUTE(SUBSTITUTE(SUBSTITUTE(TRIM(C2531),".",""),"-","")," ","")),1),UPPER(SUBSTITUTE(SUBSTITUTE(SUBSTITUTE(TRIM(C2531),".",""),"-","")," ",""))))</f>
        <v/>
      </c>
    </row>
    <row r="2532" customFormat="false" ht="15" hidden="false" customHeight="false" outlineLevel="0" collapsed="false">
      <c r="B2532" s="80"/>
      <c r="C2532" s="58"/>
      <c r="D2532" s="62" t="str">
        <f aca="false">IF(C2532="","",IFERROR(INDEX(T_NOMBRE,MATCH(V2532,T_RUTN,0)),"⚠ RUT no está en Trabajadores"))</f>
        <v/>
      </c>
      <c r="E2532" s="61"/>
      <c r="F2532" s="61"/>
      <c r="G2532" s="61"/>
      <c r="H2532" s="61"/>
      <c r="I2532" s="81"/>
      <c r="J2532" s="81"/>
      <c r="K2532" s="60"/>
      <c r="L2532" s="60"/>
      <c r="M2532" s="60"/>
      <c r="N2532" s="60"/>
      <c r="O2532" s="60"/>
      <c r="P2532" s="60"/>
      <c r="Q2532" s="60"/>
      <c r="R2532" s="58"/>
      <c r="S2532" s="62" t="str">
        <f aca="false">IF(OR(B2532="",V2532=""),"",IFERROR(INDEX(C_TIPO,MATCH(V2532&amp;"-P"&amp;MAX(1,COUNTIFS(C_RUTN,V2532,C_DEF,"Sí",C_INI,"&lt;="&amp;EOMONTH(B2532,0))),C_CLAVE,0))&amp;"","Sin contrato"))</f>
        <v/>
      </c>
      <c r="T2532" s="63" t="str">
        <f aca="false">IF(OR(B2532="",N(O2532)=0),"",N(O2532)+ROUND(MIN(N(N2532),TOPE_UF*UF_MES)*(TASA_EMP+MUTUAL),0)+ROUND(MIN(N(N2532),TOPE_AFC_UF*UF_MES)*IF(S2532="Indefinido",AFC_INDEF,AFC_PF),0))</f>
        <v/>
      </c>
      <c r="U2532" s="62" t="str">
        <f aca="false">IF(C2532="","",IF(LEFT(D2532,1)="⚠","⚠ RUT no registrado en Trabajadores",IF(B2532="","⚠ Falta el mes",IF(OR(ISTEXT(I2532),ISTEXT(J2532)),"⚠ Atrasos u horas extra como texto: escriba hh:mm (ej. 1:30)",IF(AND(ISNUMBER(Q2532),COUNTIFS(M_RUTN,V2532,M_MES,B2532,M_LIQ,"&lt;&gt;")&gt;1),"⚠ Liquidación repetida en el mes",IF(AND(ISNUMBER(O2532),ISNUMBER(P2532),ISNUMBER(Q2532),ABS(O2532-P2532-Q2532)&gt;1),"⚠ Haberes − descuentos no da el líquido","OK"))))))</f>
        <v/>
      </c>
      <c r="V2532" s="62" t="str">
        <f aca="false">IF(C2532="","",IFERROR(VALUE(LEFT(UPPER(SUBSTITUTE(SUBSTITUTE(SUBSTITUTE(TRIM(C2532),".",""),"-","")," ","")),LEN(UPPER(SUBSTITUTE(SUBSTITUTE(SUBSTITUTE(TRIM(C2532),".",""),"-","")," ","")))-1))&amp;RIGHT(UPPER(SUBSTITUTE(SUBSTITUTE(SUBSTITUTE(TRIM(C2532),".",""),"-","")," ","")),1),UPPER(SUBSTITUTE(SUBSTITUTE(SUBSTITUTE(TRIM(C2532),".",""),"-","")," ",""))))</f>
        <v/>
      </c>
    </row>
    <row r="2533" customFormat="false" ht="15" hidden="false" customHeight="false" outlineLevel="0" collapsed="false">
      <c r="B2533" s="80"/>
      <c r="C2533" s="58"/>
      <c r="D2533" s="62" t="str">
        <f aca="false">IF(C2533="","",IFERROR(INDEX(T_NOMBRE,MATCH(V2533,T_RUTN,0)),"⚠ RUT no está en Trabajadores"))</f>
        <v/>
      </c>
      <c r="E2533" s="61"/>
      <c r="F2533" s="61"/>
      <c r="G2533" s="61"/>
      <c r="H2533" s="61"/>
      <c r="I2533" s="81"/>
      <c r="J2533" s="81"/>
      <c r="K2533" s="60"/>
      <c r="L2533" s="60"/>
      <c r="M2533" s="60"/>
      <c r="N2533" s="60"/>
      <c r="O2533" s="60"/>
      <c r="P2533" s="60"/>
      <c r="Q2533" s="60"/>
      <c r="R2533" s="58"/>
      <c r="S2533" s="62" t="str">
        <f aca="false">IF(OR(B2533="",V2533=""),"",IFERROR(INDEX(C_TIPO,MATCH(V2533&amp;"-P"&amp;MAX(1,COUNTIFS(C_RUTN,V2533,C_DEF,"Sí",C_INI,"&lt;="&amp;EOMONTH(B2533,0))),C_CLAVE,0))&amp;"","Sin contrato"))</f>
        <v/>
      </c>
      <c r="T2533" s="63" t="str">
        <f aca="false">IF(OR(B2533="",N(O2533)=0),"",N(O2533)+ROUND(MIN(N(N2533),TOPE_UF*UF_MES)*(TASA_EMP+MUTUAL),0)+ROUND(MIN(N(N2533),TOPE_AFC_UF*UF_MES)*IF(S2533="Indefinido",AFC_INDEF,AFC_PF),0))</f>
        <v/>
      </c>
      <c r="U2533" s="62" t="str">
        <f aca="false">IF(C2533="","",IF(LEFT(D2533,1)="⚠","⚠ RUT no registrado en Trabajadores",IF(B2533="","⚠ Falta el mes",IF(OR(ISTEXT(I2533),ISTEXT(J2533)),"⚠ Atrasos u horas extra como texto: escriba hh:mm (ej. 1:30)",IF(AND(ISNUMBER(Q2533),COUNTIFS(M_RUTN,V2533,M_MES,B2533,M_LIQ,"&lt;&gt;")&gt;1),"⚠ Liquidación repetida en el mes",IF(AND(ISNUMBER(O2533),ISNUMBER(P2533),ISNUMBER(Q2533),ABS(O2533-P2533-Q2533)&gt;1),"⚠ Haberes − descuentos no da el líquido","OK"))))))</f>
        <v/>
      </c>
      <c r="V2533" s="62" t="str">
        <f aca="false">IF(C2533="","",IFERROR(VALUE(LEFT(UPPER(SUBSTITUTE(SUBSTITUTE(SUBSTITUTE(TRIM(C2533),".",""),"-","")," ","")),LEN(UPPER(SUBSTITUTE(SUBSTITUTE(SUBSTITUTE(TRIM(C2533),".",""),"-","")," ","")))-1))&amp;RIGHT(UPPER(SUBSTITUTE(SUBSTITUTE(SUBSTITUTE(TRIM(C2533),".",""),"-","")," ","")),1),UPPER(SUBSTITUTE(SUBSTITUTE(SUBSTITUTE(TRIM(C2533),".",""),"-","")," ",""))))</f>
        <v/>
      </c>
    </row>
    <row r="2534" customFormat="false" ht="15" hidden="false" customHeight="false" outlineLevel="0" collapsed="false">
      <c r="B2534" s="80"/>
      <c r="C2534" s="58"/>
      <c r="D2534" s="62" t="str">
        <f aca="false">IF(C2534="","",IFERROR(INDEX(T_NOMBRE,MATCH(V2534,T_RUTN,0)),"⚠ RUT no está en Trabajadores"))</f>
        <v/>
      </c>
      <c r="E2534" s="61"/>
      <c r="F2534" s="61"/>
      <c r="G2534" s="61"/>
      <c r="H2534" s="61"/>
      <c r="I2534" s="81"/>
      <c r="J2534" s="81"/>
      <c r="K2534" s="60"/>
      <c r="L2534" s="60"/>
      <c r="M2534" s="60"/>
      <c r="N2534" s="60"/>
      <c r="O2534" s="60"/>
      <c r="P2534" s="60"/>
      <c r="Q2534" s="60"/>
      <c r="R2534" s="58"/>
      <c r="S2534" s="62" t="str">
        <f aca="false">IF(OR(B2534="",V2534=""),"",IFERROR(INDEX(C_TIPO,MATCH(V2534&amp;"-P"&amp;MAX(1,COUNTIFS(C_RUTN,V2534,C_DEF,"Sí",C_INI,"&lt;="&amp;EOMONTH(B2534,0))),C_CLAVE,0))&amp;"","Sin contrato"))</f>
        <v/>
      </c>
      <c r="T2534" s="63" t="str">
        <f aca="false">IF(OR(B2534="",N(O2534)=0),"",N(O2534)+ROUND(MIN(N(N2534),TOPE_UF*UF_MES)*(TASA_EMP+MUTUAL),0)+ROUND(MIN(N(N2534),TOPE_AFC_UF*UF_MES)*IF(S2534="Indefinido",AFC_INDEF,AFC_PF),0))</f>
        <v/>
      </c>
      <c r="U2534" s="62" t="str">
        <f aca="false">IF(C2534="","",IF(LEFT(D2534,1)="⚠","⚠ RUT no registrado en Trabajadores",IF(B2534="","⚠ Falta el mes",IF(OR(ISTEXT(I2534),ISTEXT(J2534)),"⚠ Atrasos u horas extra como texto: escriba hh:mm (ej. 1:30)",IF(AND(ISNUMBER(Q2534),COUNTIFS(M_RUTN,V2534,M_MES,B2534,M_LIQ,"&lt;&gt;")&gt;1),"⚠ Liquidación repetida en el mes",IF(AND(ISNUMBER(O2534),ISNUMBER(P2534),ISNUMBER(Q2534),ABS(O2534-P2534-Q2534)&gt;1),"⚠ Haberes − descuentos no da el líquido","OK"))))))</f>
        <v/>
      </c>
      <c r="V2534" s="62" t="str">
        <f aca="false">IF(C2534="","",IFERROR(VALUE(LEFT(UPPER(SUBSTITUTE(SUBSTITUTE(SUBSTITUTE(TRIM(C2534),".",""),"-","")," ","")),LEN(UPPER(SUBSTITUTE(SUBSTITUTE(SUBSTITUTE(TRIM(C2534),".",""),"-","")," ","")))-1))&amp;RIGHT(UPPER(SUBSTITUTE(SUBSTITUTE(SUBSTITUTE(TRIM(C2534),".",""),"-","")," ","")),1),UPPER(SUBSTITUTE(SUBSTITUTE(SUBSTITUTE(TRIM(C2534),".",""),"-","")," ",""))))</f>
        <v/>
      </c>
    </row>
    <row r="2535" customFormat="false" ht="15" hidden="false" customHeight="false" outlineLevel="0" collapsed="false">
      <c r="B2535" s="80"/>
      <c r="C2535" s="58"/>
      <c r="D2535" s="62" t="str">
        <f aca="false">IF(C2535="","",IFERROR(INDEX(T_NOMBRE,MATCH(V2535,T_RUTN,0)),"⚠ RUT no está en Trabajadores"))</f>
        <v/>
      </c>
      <c r="E2535" s="61"/>
      <c r="F2535" s="61"/>
      <c r="G2535" s="61"/>
      <c r="H2535" s="61"/>
      <c r="I2535" s="81"/>
      <c r="J2535" s="81"/>
      <c r="K2535" s="60"/>
      <c r="L2535" s="60"/>
      <c r="M2535" s="60"/>
      <c r="N2535" s="60"/>
      <c r="O2535" s="60"/>
      <c r="P2535" s="60"/>
      <c r="Q2535" s="60"/>
      <c r="R2535" s="58"/>
      <c r="S2535" s="62" t="str">
        <f aca="false">IF(OR(B2535="",V2535=""),"",IFERROR(INDEX(C_TIPO,MATCH(V2535&amp;"-P"&amp;MAX(1,COUNTIFS(C_RUTN,V2535,C_DEF,"Sí",C_INI,"&lt;="&amp;EOMONTH(B2535,0))),C_CLAVE,0))&amp;"","Sin contrato"))</f>
        <v/>
      </c>
      <c r="T2535" s="63" t="str">
        <f aca="false">IF(OR(B2535="",N(O2535)=0),"",N(O2535)+ROUND(MIN(N(N2535),TOPE_UF*UF_MES)*(TASA_EMP+MUTUAL),0)+ROUND(MIN(N(N2535),TOPE_AFC_UF*UF_MES)*IF(S2535="Indefinido",AFC_INDEF,AFC_PF),0))</f>
        <v/>
      </c>
      <c r="U2535" s="62" t="str">
        <f aca="false">IF(C2535="","",IF(LEFT(D2535,1)="⚠","⚠ RUT no registrado en Trabajadores",IF(B2535="","⚠ Falta el mes",IF(OR(ISTEXT(I2535),ISTEXT(J2535)),"⚠ Atrasos u horas extra como texto: escriba hh:mm (ej. 1:30)",IF(AND(ISNUMBER(Q2535),COUNTIFS(M_RUTN,V2535,M_MES,B2535,M_LIQ,"&lt;&gt;")&gt;1),"⚠ Liquidación repetida en el mes",IF(AND(ISNUMBER(O2535),ISNUMBER(P2535),ISNUMBER(Q2535),ABS(O2535-P2535-Q2535)&gt;1),"⚠ Haberes − descuentos no da el líquido","OK"))))))</f>
        <v/>
      </c>
      <c r="V2535" s="62" t="str">
        <f aca="false">IF(C2535="","",IFERROR(VALUE(LEFT(UPPER(SUBSTITUTE(SUBSTITUTE(SUBSTITUTE(TRIM(C2535),".",""),"-","")," ","")),LEN(UPPER(SUBSTITUTE(SUBSTITUTE(SUBSTITUTE(TRIM(C2535),".",""),"-","")," ","")))-1))&amp;RIGHT(UPPER(SUBSTITUTE(SUBSTITUTE(SUBSTITUTE(TRIM(C2535),".",""),"-","")," ","")),1),UPPER(SUBSTITUTE(SUBSTITUTE(SUBSTITUTE(TRIM(C2535),".",""),"-","")," ",""))))</f>
        <v/>
      </c>
    </row>
    <row r="2536" customFormat="false" ht="15" hidden="false" customHeight="false" outlineLevel="0" collapsed="false">
      <c r="B2536" s="80"/>
      <c r="C2536" s="58"/>
      <c r="D2536" s="62" t="str">
        <f aca="false">IF(C2536="","",IFERROR(INDEX(T_NOMBRE,MATCH(V2536,T_RUTN,0)),"⚠ RUT no está en Trabajadores"))</f>
        <v/>
      </c>
      <c r="E2536" s="61"/>
      <c r="F2536" s="61"/>
      <c r="G2536" s="61"/>
      <c r="H2536" s="61"/>
      <c r="I2536" s="81"/>
      <c r="J2536" s="81"/>
      <c r="K2536" s="60"/>
      <c r="L2536" s="60"/>
      <c r="M2536" s="60"/>
      <c r="N2536" s="60"/>
      <c r="O2536" s="60"/>
      <c r="P2536" s="60"/>
      <c r="Q2536" s="60"/>
      <c r="R2536" s="58"/>
      <c r="S2536" s="62" t="str">
        <f aca="false">IF(OR(B2536="",V2536=""),"",IFERROR(INDEX(C_TIPO,MATCH(V2536&amp;"-P"&amp;MAX(1,COUNTIFS(C_RUTN,V2536,C_DEF,"Sí",C_INI,"&lt;="&amp;EOMONTH(B2536,0))),C_CLAVE,0))&amp;"","Sin contrato"))</f>
        <v/>
      </c>
      <c r="T2536" s="63" t="str">
        <f aca="false">IF(OR(B2536="",N(O2536)=0),"",N(O2536)+ROUND(MIN(N(N2536),TOPE_UF*UF_MES)*(TASA_EMP+MUTUAL),0)+ROUND(MIN(N(N2536),TOPE_AFC_UF*UF_MES)*IF(S2536="Indefinido",AFC_INDEF,AFC_PF),0))</f>
        <v/>
      </c>
      <c r="U2536" s="62" t="str">
        <f aca="false">IF(C2536="","",IF(LEFT(D2536,1)="⚠","⚠ RUT no registrado en Trabajadores",IF(B2536="","⚠ Falta el mes",IF(OR(ISTEXT(I2536),ISTEXT(J2536)),"⚠ Atrasos u horas extra como texto: escriba hh:mm (ej. 1:30)",IF(AND(ISNUMBER(Q2536),COUNTIFS(M_RUTN,V2536,M_MES,B2536,M_LIQ,"&lt;&gt;")&gt;1),"⚠ Liquidación repetida en el mes",IF(AND(ISNUMBER(O2536),ISNUMBER(P2536),ISNUMBER(Q2536),ABS(O2536-P2536-Q2536)&gt;1),"⚠ Haberes − descuentos no da el líquido","OK"))))))</f>
        <v/>
      </c>
      <c r="V2536" s="62" t="str">
        <f aca="false">IF(C2536="","",IFERROR(VALUE(LEFT(UPPER(SUBSTITUTE(SUBSTITUTE(SUBSTITUTE(TRIM(C2536),".",""),"-","")," ","")),LEN(UPPER(SUBSTITUTE(SUBSTITUTE(SUBSTITUTE(TRIM(C2536),".",""),"-","")," ","")))-1))&amp;RIGHT(UPPER(SUBSTITUTE(SUBSTITUTE(SUBSTITUTE(TRIM(C2536),".",""),"-","")," ","")),1),UPPER(SUBSTITUTE(SUBSTITUTE(SUBSTITUTE(TRIM(C2536),".",""),"-","")," ",""))))</f>
        <v/>
      </c>
    </row>
    <row r="2537" customFormat="false" ht="15" hidden="false" customHeight="false" outlineLevel="0" collapsed="false">
      <c r="B2537" s="80"/>
      <c r="C2537" s="58"/>
      <c r="D2537" s="62" t="str">
        <f aca="false">IF(C2537="","",IFERROR(INDEX(T_NOMBRE,MATCH(V2537,T_RUTN,0)),"⚠ RUT no está en Trabajadores"))</f>
        <v/>
      </c>
      <c r="E2537" s="61"/>
      <c r="F2537" s="61"/>
      <c r="G2537" s="61"/>
      <c r="H2537" s="61"/>
      <c r="I2537" s="81"/>
      <c r="J2537" s="81"/>
      <c r="K2537" s="60"/>
      <c r="L2537" s="60"/>
      <c r="M2537" s="60"/>
      <c r="N2537" s="60"/>
      <c r="O2537" s="60"/>
      <c r="P2537" s="60"/>
      <c r="Q2537" s="60"/>
      <c r="R2537" s="58"/>
      <c r="S2537" s="62" t="str">
        <f aca="false">IF(OR(B2537="",V2537=""),"",IFERROR(INDEX(C_TIPO,MATCH(V2537&amp;"-P"&amp;MAX(1,COUNTIFS(C_RUTN,V2537,C_DEF,"Sí",C_INI,"&lt;="&amp;EOMONTH(B2537,0))),C_CLAVE,0))&amp;"","Sin contrato"))</f>
        <v/>
      </c>
      <c r="T2537" s="63" t="str">
        <f aca="false">IF(OR(B2537="",N(O2537)=0),"",N(O2537)+ROUND(MIN(N(N2537),TOPE_UF*UF_MES)*(TASA_EMP+MUTUAL),0)+ROUND(MIN(N(N2537),TOPE_AFC_UF*UF_MES)*IF(S2537="Indefinido",AFC_INDEF,AFC_PF),0))</f>
        <v/>
      </c>
      <c r="U2537" s="62" t="str">
        <f aca="false">IF(C2537="","",IF(LEFT(D2537,1)="⚠","⚠ RUT no registrado en Trabajadores",IF(B2537="","⚠ Falta el mes",IF(OR(ISTEXT(I2537),ISTEXT(J2537)),"⚠ Atrasos u horas extra como texto: escriba hh:mm (ej. 1:30)",IF(AND(ISNUMBER(Q2537),COUNTIFS(M_RUTN,V2537,M_MES,B2537,M_LIQ,"&lt;&gt;")&gt;1),"⚠ Liquidación repetida en el mes",IF(AND(ISNUMBER(O2537),ISNUMBER(P2537),ISNUMBER(Q2537),ABS(O2537-P2537-Q2537)&gt;1),"⚠ Haberes − descuentos no da el líquido","OK"))))))</f>
        <v/>
      </c>
      <c r="V2537" s="62" t="str">
        <f aca="false">IF(C2537="","",IFERROR(VALUE(LEFT(UPPER(SUBSTITUTE(SUBSTITUTE(SUBSTITUTE(TRIM(C2537),".",""),"-","")," ","")),LEN(UPPER(SUBSTITUTE(SUBSTITUTE(SUBSTITUTE(TRIM(C2537),".",""),"-","")," ","")))-1))&amp;RIGHT(UPPER(SUBSTITUTE(SUBSTITUTE(SUBSTITUTE(TRIM(C2537),".",""),"-","")," ","")),1),UPPER(SUBSTITUTE(SUBSTITUTE(SUBSTITUTE(TRIM(C2537),".",""),"-","")," ",""))))</f>
        <v/>
      </c>
    </row>
    <row r="2538" customFormat="false" ht="15" hidden="false" customHeight="false" outlineLevel="0" collapsed="false">
      <c r="B2538" s="80"/>
      <c r="C2538" s="58"/>
      <c r="D2538" s="62" t="str">
        <f aca="false">IF(C2538="","",IFERROR(INDEX(T_NOMBRE,MATCH(V2538,T_RUTN,0)),"⚠ RUT no está en Trabajadores"))</f>
        <v/>
      </c>
      <c r="E2538" s="61"/>
      <c r="F2538" s="61"/>
      <c r="G2538" s="61"/>
      <c r="H2538" s="61"/>
      <c r="I2538" s="81"/>
      <c r="J2538" s="81"/>
      <c r="K2538" s="60"/>
      <c r="L2538" s="60"/>
      <c r="M2538" s="60"/>
      <c r="N2538" s="60"/>
      <c r="O2538" s="60"/>
      <c r="P2538" s="60"/>
      <c r="Q2538" s="60"/>
      <c r="R2538" s="58"/>
      <c r="S2538" s="62" t="str">
        <f aca="false">IF(OR(B2538="",V2538=""),"",IFERROR(INDEX(C_TIPO,MATCH(V2538&amp;"-P"&amp;MAX(1,COUNTIFS(C_RUTN,V2538,C_DEF,"Sí",C_INI,"&lt;="&amp;EOMONTH(B2538,0))),C_CLAVE,0))&amp;"","Sin contrato"))</f>
        <v/>
      </c>
      <c r="T2538" s="63" t="str">
        <f aca="false">IF(OR(B2538="",N(O2538)=0),"",N(O2538)+ROUND(MIN(N(N2538),TOPE_UF*UF_MES)*(TASA_EMP+MUTUAL),0)+ROUND(MIN(N(N2538),TOPE_AFC_UF*UF_MES)*IF(S2538="Indefinido",AFC_INDEF,AFC_PF),0))</f>
        <v/>
      </c>
      <c r="U2538" s="62" t="str">
        <f aca="false">IF(C2538="","",IF(LEFT(D2538,1)="⚠","⚠ RUT no registrado en Trabajadores",IF(B2538="","⚠ Falta el mes",IF(OR(ISTEXT(I2538),ISTEXT(J2538)),"⚠ Atrasos u horas extra como texto: escriba hh:mm (ej. 1:30)",IF(AND(ISNUMBER(Q2538),COUNTIFS(M_RUTN,V2538,M_MES,B2538,M_LIQ,"&lt;&gt;")&gt;1),"⚠ Liquidación repetida en el mes",IF(AND(ISNUMBER(O2538),ISNUMBER(P2538),ISNUMBER(Q2538),ABS(O2538-P2538-Q2538)&gt;1),"⚠ Haberes − descuentos no da el líquido","OK"))))))</f>
        <v/>
      </c>
      <c r="V2538" s="62" t="str">
        <f aca="false">IF(C2538="","",IFERROR(VALUE(LEFT(UPPER(SUBSTITUTE(SUBSTITUTE(SUBSTITUTE(TRIM(C2538),".",""),"-","")," ","")),LEN(UPPER(SUBSTITUTE(SUBSTITUTE(SUBSTITUTE(TRIM(C2538),".",""),"-","")," ","")))-1))&amp;RIGHT(UPPER(SUBSTITUTE(SUBSTITUTE(SUBSTITUTE(TRIM(C2538),".",""),"-","")," ","")),1),UPPER(SUBSTITUTE(SUBSTITUTE(SUBSTITUTE(TRIM(C2538),".",""),"-","")," ",""))))</f>
        <v/>
      </c>
    </row>
    <row r="2539" customFormat="false" ht="15" hidden="false" customHeight="false" outlineLevel="0" collapsed="false">
      <c r="B2539" s="80"/>
      <c r="C2539" s="58"/>
      <c r="D2539" s="62" t="str">
        <f aca="false">IF(C2539="","",IFERROR(INDEX(T_NOMBRE,MATCH(V2539,T_RUTN,0)),"⚠ RUT no está en Trabajadores"))</f>
        <v/>
      </c>
      <c r="E2539" s="61"/>
      <c r="F2539" s="61"/>
      <c r="G2539" s="61"/>
      <c r="H2539" s="61"/>
      <c r="I2539" s="81"/>
      <c r="J2539" s="81"/>
      <c r="K2539" s="60"/>
      <c r="L2539" s="60"/>
      <c r="M2539" s="60"/>
      <c r="N2539" s="60"/>
      <c r="O2539" s="60"/>
      <c r="P2539" s="60"/>
      <c r="Q2539" s="60"/>
      <c r="R2539" s="58"/>
      <c r="S2539" s="62" t="str">
        <f aca="false">IF(OR(B2539="",V2539=""),"",IFERROR(INDEX(C_TIPO,MATCH(V2539&amp;"-P"&amp;MAX(1,COUNTIFS(C_RUTN,V2539,C_DEF,"Sí",C_INI,"&lt;="&amp;EOMONTH(B2539,0))),C_CLAVE,0))&amp;"","Sin contrato"))</f>
        <v/>
      </c>
      <c r="T2539" s="63" t="str">
        <f aca="false">IF(OR(B2539="",N(O2539)=0),"",N(O2539)+ROUND(MIN(N(N2539),TOPE_UF*UF_MES)*(TASA_EMP+MUTUAL),0)+ROUND(MIN(N(N2539),TOPE_AFC_UF*UF_MES)*IF(S2539="Indefinido",AFC_INDEF,AFC_PF),0))</f>
        <v/>
      </c>
      <c r="U2539" s="62" t="str">
        <f aca="false">IF(C2539="","",IF(LEFT(D2539,1)="⚠","⚠ RUT no registrado en Trabajadores",IF(B2539="","⚠ Falta el mes",IF(OR(ISTEXT(I2539),ISTEXT(J2539)),"⚠ Atrasos u horas extra como texto: escriba hh:mm (ej. 1:30)",IF(AND(ISNUMBER(Q2539),COUNTIFS(M_RUTN,V2539,M_MES,B2539,M_LIQ,"&lt;&gt;")&gt;1),"⚠ Liquidación repetida en el mes",IF(AND(ISNUMBER(O2539),ISNUMBER(P2539),ISNUMBER(Q2539),ABS(O2539-P2539-Q2539)&gt;1),"⚠ Haberes − descuentos no da el líquido","OK"))))))</f>
        <v/>
      </c>
      <c r="V2539" s="62" t="str">
        <f aca="false">IF(C2539="","",IFERROR(VALUE(LEFT(UPPER(SUBSTITUTE(SUBSTITUTE(SUBSTITUTE(TRIM(C2539),".",""),"-","")," ","")),LEN(UPPER(SUBSTITUTE(SUBSTITUTE(SUBSTITUTE(TRIM(C2539),".",""),"-","")," ","")))-1))&amp;RIGHT(UPPER(SUBSTITUTE(SUBSTITUTE(SUBSTITUTE(TRIM(C2539),".",""),"-","")," ","")),1),UPPER(SUBSTITUTE(SUBSTITUTE(SUBSTITUTE(TRIM(C2539),".",""),"-","")," ",""))))</f>
        <v/>
      </c>
    </row>
    <row r="2540" customFormat="false" ht="15" hidden="false" customHeight="false" outlineLevel="0" collapsed="false">
      <c r="B2540" s="80"/>
      <c r="C2540" s="58"/>
      <c r="D2540" s="62" t="str">
        <f aca="false">IF(C2540="","",IFERROR(INDEX(T_NOMBRE,MATCH(V2540,T_RUTN,0)),"⚠ RUT no está en Trabajadores"))</f>
        <v/>
      </c>
      <c r="E2540" s="61"/>
      <c r="F2540" s="61"/>
      <c r="G2540" s="61"/>
      <c r="H2540" s="61"/>
      <c r="I2540" s="81"/>
      <c r="J2540" s="81"/>
      <c r="K2540" s="60"/>
      <c r="L2540" s="60"/>
      <c r="M2540" s="60"/>
      <c r="N2540" s="60"/>
      <c r="O2540" s="60"/>
      <c r="P2540" s="60"/>
      <c r="Q2540" s="60"/>
      <c r="R2540" s="58"/>
      <c r="S2540" s="62" t="str">
        <f aca="false">IF(OR(B2540="",V2540=""),"",IFERROR(INDEX(C_TIPO,MATCH(V2540&amp;"-P"&amp;MAX(1,COUNTIFS(C_RUTN,V2540,C_DEF,"Sí",C_INI,"&lt;="&amp;EOMONTH(B2540,0))),C_CLAVE,0))&amp;"","Sin contrato"))</f>
        <v/>
      </c>
      <c r="T2540" s="63" t="str">
        <f aca="false">IF(OR(B2540="",N(O2540)=0),"",N(O2540)+ROUND(MIN(N(N2540),TOPE_UF*UF_MES)*(TASA_EMP+MUTUAL),0)+ROUND(MIN(N(N2540),TOPE_AFC_UF*UF_MES)*IF(S2540="Indefinido",AFC_INDEF,AFC_PF),0))</f>
        <v/>
      </c>
      <c r="U2540" s="62" t="str">
        <f aca="false">IF(C2540="","",IF(LEFT(D2540,1)="⚠","⚠ RUT no registrado en Trabajadores",IF(B2540="","⚠ Falta el mes",IF(OR(ISTEXT(I2540),ISTEXT(J2540)),"⚠ Atrasos u horas extra como texto: escriba hh:mm (ej. 1:30)",IF(AND(ISNUMBER(Q2540),COUNTIFS(M_RUTN,V2540,M_MES,B2540,M_LIQ,"&lt;&gt;")&gt;1),"⚠ Liquidación repetida en el mes",IF(AND(ISNUMBER(O2540),ISNUMBER(P2540),ISNUMBER(Q2540),ABS(O2540-P2540-Q2540)&gt;1),"⚠ Haberes − descuentos no da el líquido","OK"))))))</f>
        <v/>
      </c>
      <c r="V2540" s="62" t="str">
        <f aca="false">IF(C2540="","",IFERROR(VALUE(LEFT(UPPER(SUBSTITUTE(SUBSTITUTE(SUBSTITUTE(TRIM(C2540),".",""),"-","")," ","")),LEN(UPPER(SUBSTITUTE(SUBSTITUTE(SUBSTITUTE(TRIM(C2540),".",""),"-","")," ","")))-1))&amp;RIGHT(UPPER(SUBSTITUTE(SUBSTITUTE(SUBSTITUTE(TRIM(C2540),".",""),"-","")," ","")),1),UPPER(SUBSTITUTE(SUBSTITUTE(SUBSTITUTE(TRIM(C2540),".",""),"-","")," ",""))))</f>
        <v/>
      </c>
    </row>
    <row r="2541" customFormat="false" ht="15" hidden="false" customHeight="false" outlineLevel="0" collapsed="false">
      <c r="B2541" s="80"/>
      <c r="C2541" s="58"/>
      <c r="D2541" s="62" t="str">
        <f aca="false">IF(C2541="","",IFERROR(INDEX(T_NOMBRE,MATCH(V2541,T_RUTN,0)),"⚠ RUT no está en Trabajadores"))</f>
        <v/>
      </c>
      <c r="E2541" s="61"/>
      <c r="F2541" s="61"/>
      <c r="G2541" s="61"/>
      <c r="H2541" s="61"/>
      <c r="I2541" s="81"/>
      <c r="J2541" s="81"/>
      <c r="K2541" s="60"/>
      <c r="L2541" s="60"/>
      <c r="M2541" s="60"/>
      <c r="N2541" s="60"/>
      <c r="O2541" s="60"/>
      <c r="P2541" s="60"/>
      <c r="Q2541" s="60"/>
      <c r="R2541" s="58"/>
      <c r="S2541" s="62" t="str">
        <f aca="false">IF(OR(B2541="",V2541=""),"",IFERROR(INDEX(C_TIPO,MATCH(V2541&amp;"-P"&amp;MAX(1,COUNTIFS(C_RUTN,V2541,C_DEF,"Sí",C_INI,"&lt;="&amp;EOMONTH(B2541,0))),C_CLAVE,0))&amp;"","Sin contrato"))</f>
        <v/>
      </c>
      <c r="T2541" s="63" t="str">
        <f aca="false">IF(OR(B2541="",N(O2541)=0),"",N(O2541)+ROUND(MIN(N(N2541),TOPE_UF*UF_MES)*(TASA_EMP+MUTUAL),0)+ROUND(MIN(N(N2541),TOPE_AFC_UF*UF_MES)*IF(S2541="Indefinido",AFC_INDEF,AFC_PF),0))</f>
        <v/>
      </c>
      <c r="U2541" s="62" t="str">
        <f aca="false">IF(C2541="","",IF(LEFT(D2541,1)="⚠","⚠ RUT no registrado en Trabajadores",IF(B2541="","⚠ Falta el mes",IF(OR(ISTEXT(I2541),ISTEXT(J2541)),"⚠ Atrasos u horas extra como texto: escriba hh:mm (ej. 1:30)",IF(AND(ISNUMBER(Q2541),COUNTIFS(M_RUTN,V2541,M_MES,B2541,M_LIQ,"&lt;&gt;")&gt;1),"⚠ Liquidación repetida en el mes",IF(AND(ISNUMBER(O2541),ISNUMBER(P2541),ISNUMBER(Q2541),ABS(O2541-P2541-Q2541)&gt;1),"⚠ Haberes − descuentos no da el líquido","OK"))))))</f>
        <v/>
      </c>
      <c r="V2541" s="62" t="str">
        <f aca="false">IF(C2541="","",IFERROR(VALUE(LEFT(UPPER(SUBSTITUTE(SUBSTITUTE(SUBSTITUTE(TRIM(C2541),".",""),"-","")," ","")),LEN(UPPER(SUBSTITUTE(SUBSTITUTE(SUBSTITUTE(TRIM(C2541),".",""),"-","")," ","")))-1))&amp;RIGHT(UPPER(SUBSTITUTE(SUBSTITUTE(SUBSTITUTE(TRIM(C2541),".",""),"-","")," ","")),1),UPPER(SUBSTITUTE(SUBSTITUTE(SUBSTITUTE(TRIM(C2541),".",""),"-","")," ",""))))</f>
        <v/>
      </c>
    </row>
    <row r="2542" customFormat="false" ht="15" hidden="false" customHeight="false" outlineLevel="0" collapsed="false">
      <c r="B2542" s="80"/>
      <c r="C2542" s="58"/>
      <c r="D2542" s="62" t="str">
        <f aca="false">IF(C2542="","",IFERROR(INDEX(T_NOMBRE,MATCH(V2542,T_RUTN,0)),"⚠ RUT no está en Trabajadores"))</f>
        <v/>
      </c>
      <c r="E2542" s="61"/>
      <c r="F2542" s="61"/>
      <c r="G2542" s="61"/>
      <c r="H2542" s="61"/>
      <c r="I2542" s="81"/>
      <c r="J2542" s="81"/>
      <c r="K2542" s="60"/>
      <c r="L2542" s="60"/>
      <c r="M2542" s="60"/>
      <c r="N2542" s="60"/>
      <c r="O2542" s="60"/>
      <c r="P2542" s="60"/>
      <c r="Q2542" s="60"/>
      <c r="R2542" s="58"/>
      <c r="S2542" s="62" t="str">
        <f aca="false">IF(OR(B2542="",V2542=""),"",IFERROR(INDEX(C_TIPO,MATCH(V2542&amp;"-P"&amp;MAX(1,COUNTIFS(C_RUTN,V2542,C_DEF,"Sí",C_INI,"&lt;="&amp;EOMONTH(B2542,0))),C_CLAVE,0))&amp;"","Sin contrato"))</f>
        <v/>
      </c>
      <c r="T2542" s="63" t="str">
        <f aca="false">IF(OR(B2542="",N(O2542)=0),"",N(O2542)+ROUND(MIN(N(N2542),TOPE_UF*UF_MES)*(TASA_EMP+MUTUAL),0)+ROUND(MIN(N(N2542),TOPE_AFC_UF*UF_MES)*IF(S2542="Indefinido",AFC_INDEF,AFC_PF),0))</f>
        <v/>
      </c>
      <c r="U2542" s="62" t="str">
        <f aca="false">IF(C2542="","",IF(LEFT(D2542,1)="⚠","⚠ RUT no registrado en Trabajadores",IF(B2542="","⚠ Falta el mes",IF(OR(ISTEXT(I2542),ISTEXT(J2542)),"⚠ Atrasos u horas extra como texto: escriba hh:mm (ej. 1:30)",IF(AND(ISNUMBER(Q2542),COUNTIFS(M_RUTN,V2542,M_MES,B2542,M_LIQ,"&lt;&gt;")&gt;1),"⚠ Liquidación repetida en el mes",IF(AND(ISNUMBER(O2542),ISNUMBER(P2542),ISNUMBER(Q2542),ABS(O2542-P2542-Q2542)&gt;1),"⚠ Haberes − descuentos no da el líquido","OK"))))))</f>
        <v/>
      </c>
      <c r="V2542" s="62" t="str">
        <f aca="false">IF(C2542="","",IFERROR(VALUE(LEFT(UPPER(SUBSTITUTE(SUBSTITUTE(SUBSTITUTE(TRIM(C2542),".",""),"-","")," ","")),LEN(UPPER(SUBSTITUTE(SUBSTITUTE(SUBSTITUTE(TRIM(C2542),".",""),"-","")," ","")))-1))&amp;RIGHT(UPPER(SUBSTITUTE(SUBSTITUTE(SUBSTITUTE(TRIM(C2542),".",""),"-","")," ","")),1),UPPER(SUBSTITUTE(SUBSTITUTE(SUBSTITUTE(TRIM(C2542),".",""),"-","")," ",""))))</f>
        <v/>
      </c>
    </row>
    <row r="2543" customFormat="false" ht="15" hidden="false" customHeight="false" outlineLevel="0" collapsed="false">
      <c r="B2543" s="80"/>
      <c r="C2543" s="58"/>
      <c r="D2543" s="62" t="str">
        <f aca="false">IF(C2543="","",IFERROR(INDEX(T_NOMBRE,MATCH(V2543,T_RUTN,0)),"⚠ RUT no está en Trabajadores"))</f>
        <v/>
      </c>
      <c r="E2543" s="61"/>
      <c r="F2543" s="61"/>
      <c r="G2543" s="61"/>
      <c r="H2543" s="61"/>
      <c r="I2543" s="81"/>
      <c r="J2543" s="81"/>
      <c r="K2543" s="60"/>
      <c r="L2543" s="60"/>
      <c r="M2543" s="60"/>
      <c r="N2543" s="60"/>
      <c r="O2543" s="60"/>
      <c r="P2543" s="60"/>
      <c r="Q2543" s="60"/>
      <c r="R2543" s="58"/>
      <c r="S2543" s="62" t="str">
        <f aca="false">IF(OR(B2543="",V2543=""),"",IFERROR(INDEX(C_TIPO,MATCH(V2543&amp;"-P"&amp;MAX(1,COUNTIFS(C_RUTN,V2543,C_DEF,"Sí",C_INI,"&lt;="&amp;EOMONTH(B2543,0))),C_CLAVE,0))&amp;"","Sin contrato"))</f>
        <v/>
      </c>
      <c r="T2543" s="63" t="str">
        <f aca="false">IF(OR(B2543="",N(O2543)=0),"",N(O2543)+ROUND(MIN(N(N2543),TOPE_UF*UF_MES)*(TASA_EMP+MUTUAL),0)+ROUND(MIN(N(N2543),TOPE_AFC_UF*UF_MES)*IF(S2543="Indefinido",AFC_INDEF,AFC_PF),0))</f>
        <v/>
      </c>
      <c r="U2543" s="62" t="str">
        <f aca="false">IF(C2543="","",IF(LEFT(D2543,1)="⚠","⚠ RUT no registrado en Trabajadores",IF(B2543="","⚠ Falta el mes",IF(OR(ISTEXT(I2543),ISTEXT(J2543)),"⚠ Atrasos u horas extra como texto: escriba hh:mm (ej. 1:30)",IF(AND(ISNUMBER(Q2543),COUNTIFS(M_RUTN,V2543,M_MES,B2543,M_LIQ,"&lt;&gt;")&gt;1),"⚠ Liquidación repetida en el mes",IF(AND(ISNUMBER(O2543),ISNUMBER(P2543),ISNUMBER(Q2543),ABS(O2543-P2543-Q2543)&gt;1),"⚠ Haberes − descuentos no da el líquido","OK"))))))</f>
        <v/>
      </c>
      <c r="V2543" s="62" t="str">
        <f aca="false">IF(C2543="","",IFERROR(VALUE(LEFT(UPPER(SUBSTITUTE(SUBSTITUTE(SUBSTITUTE(TRIM(C2543),".",""),"-","")," ","")),LEN(UPPER(SUBSTITUTE(SUBSTITUTE(SUBSTITUTE(TRIM(C2543),".",""),"-","")," ","")))-1))&amp;RIGHT(UPPER(SUBSTITUTE(SUBSTITUTE(SUBSTITUTE(TRIM(C2543),".",""),"-","")," ","")),1),UPPER(SUBSTITUTE(SUBSTITUTE(SUBSTITUTE(TRIM(C2543),".",""),"-","")," ",""))))</f>
        <v/>
      </c>
    </row>
    <row r="2544" customFormat="false" ht="15" hidden="false" customHeight="false" outlineLevel="0" collapsed="false">
      <c r="B2544" s="80"/>
      <c r="C2544" s="58"/>
      <c r="D2544" s="62" t="str">
        <f aca="false">IF(C2544="","",IFERROR(INDEX(T_NOMBRE,MATCH(V2544,T_RUTN,0)),"⚠ RUT no está en Trabajadores"))</f>
        <v/>
      </c>
      <c r="E2544" s="61"/>
      <c r="F2544" s="61"/>
      <c r="G2544" s="61"/>
      <c r="H2544" s="61"/>
      <c r="I2544" s="81"/>
      <c r="J2544" s="81"/>
      <c r="K2544" s="60"/>
      <c r="L2544" s="60"/>
      <c r="M2544" s="60"/>
      <c r="N2544" s="60"/>
      <c r="O2544" s="60"/>
      <c r="P2544" s="60"/>
      <c r="Q2544" s="60"/>
      <c r="R2544" s="58"/>
      <c r="S2544" s="62" t="str">
        <f aca="false">IF(OR(B2544="",V2544=""),"",IFERROR(INDEX(C_TIPO,MATCH(V2544&amp;"-P"&amp;MAX(1,COUNTIFS(C_RUTN,V2544,C_DEF,"Sí",C_INI,"&lt;="&amp;EOMONTH(B2544,0))),C_CLAVE,0))&amp;"","Sin contrato"))</f>
        <v/>
      </c>
      <c r="T2544" s="63" t="str">
        <f aca="false">IF(OR(B2544="",N(O2544)=0),"",N(O2544)+ROUND(MIN(N(N2544),TOPE_UF*UF_MES)*(TASA_EMP+MUTUAL),0)+ROUND(MIN(N(N2544),TOPE_AFC_UF*UF_MES)*IF(S2544="Indefinido",AFC_INDEF,AFC_PF),0))</f>
        <v/>
      </c>
      <c r="U2544" s="62" t="str">
        <f aca="false">IF(C2544="","",IF(LEFT(D2544,1)="⚠","⚠ RUT no registrado en Trabajadores",IF(B2544="","⚠ Falta el mes",IF(OR(ISTEXT(I2544),ISTEXT(J2544)),"⚠ Atrasos u horas extra como texto: escriba hh:mm (ej. 1:30)",IF(AND(ISNUMBER(Q2544),COUNTIFS(M_RUTN,V2544,M_MES,B2544,M_LIQ,"&lt;&gt;")&gt;1),"⚠ Liquidación repetida en el mes",IF(AND(ISNUMBER(O2544),ISNUMBER(P2544),ISNUMBER(Q2544),ABS(O2544-P2544-Q2544)&gt;1),"⚠ Haberes − descuentos no da el líquido","OK"))))))</f>
        <v/>
      </c>
      <c r="V2544" s="62" t="str">
        <f aca="false">IF(C2544="","",IFERROR(VALUE(LEFT(UPPER(SUBSTITUTE(SUBSTITUTE(SUBSTITUTE(TRIM(C2544),".",""),"-","")," ","")),LEN(UPPER(SUBSTITUTE(SUBSTITUTE(SUBSTITUTE(TRIM(C2544),".",""),"-","")," ","")))-1))&amp;RIGHT(UPPER(SUBSTITUTE(SUBSTITUTE(SUBSTITUTE(TRIM(C2544),".",""),"-","")," ","")),1),UPPER(SUBSTITUTE(SUBSTITUTE(SUBSTITUTE(TRIM(C2544),".",""),"-","")," ",""))))</f>
        <v/>
      </c>
    </row>
    <row r="2545" customFormat="false" ht="15" hidden="false" customHeight="false" outlineLevel="0" collapsed="false">
      <c r="B2545" s="80"/>
      <c r="C2545" s="58"/>
      <c r="D2545" s="62" t="str">
        <f aca="false">IF(C2545="","",IFERROR(INDEX(T_NOMBRE,MATCH(V2545,T_RUTN,0)),"⚠ RUT no está en Trabajadores"))</f>
        <v/>
      </c>
      <c r="E2545" s="61"/>
      <c r="F2545" s="61"/>
      <c r="G2545" s="61"/>
      <c r="H2545" s="61"/>
      <c r="I2545" s="81"/>
      <c r="J2545" s="81"/>
      <c r="K2545" s="60"/>
      <c r="L2545" s="60"/>
      <c r="M2545" s="60"/>
      <c r="N2545" s="60"/>
      <c r="O2545" s="60"/>
      <c r="P2545" s="60"/>
      <c r="Q2545" s="60"/>
      <c r="R2545" s="58"/>
      <c r="S2545" s="62" t="str">
        <f aca="false">IF(OR(B2545="",V2545=""),"",IFERROR(INDEX(C_TIPO,MATCH(V2545&amp;"-P"&amp;MAX(1,COUNTIFS(C_RUTN,V2545,C_DEF,"Sí",C_INI,"&lt;="&amp;EOMONTH(B2545,0))),C_CLAVE,0))&amp;"","Sin contrato"))</f>
        <v/>
      </c>
      <c r="T2545" s="63" t="str">
        <f aca="false">IF(OR(B2545="",N(O2545)=0),"",N(O2545)+ROUND(MIN(N(N2545),TOPE_UF*UF_MES)*(TASA_EMP+MUTUAL),0)+ROUND(MIN(N(N2545),TOPE_AFC_UF*UF_MES)*IF(S2545="Indefinido",AFC_INDEF,AFC_PF),0))</f>
        <v/>
      </c>
      <c r="U2545" s="62" t="str">
        <f aca="false">IF(C2545="","",IF(LEFT(D2545,1)="⚠","⚠ RUT no registrado en Trabajadores",IF(B2545="","⚠ Falta el mes",IF(OR(ISTEXT(I2545),ISTEXT(J2545)),"⚠ Atrasos u horas extra como texto: escriba hh:mm (ej. 1:30)",IF(AND(ISNUMBER(Q2545),COUNTIFS(M_RUTN,V2545,M_MES,B2545,M_LIQ,"&lt;&gt;")&gt;1),"⚠ Liquidación repetida en el mes",IF(AND(ISNUMBER(O2545),ISNUMBER(P2545),ISNUMBER(Q2545),ABS(O2545-P2545-Q2545)&gt;1),"⚠ Haberes − descuentos no da el líquido","OK"))))))</f>
        <v/>
      </c>
      <c r="V2545" s="62" t="str">
        <f aca="false">IF(C2545="","",IFERROR(VALUE(LEFT(UPPER(SUBSTITUTE(SUBSTITUTE(SUBSTITUTE(TRIM(C2545),".",""),"-","")," ","")),LEN(UPPER(SUBSTITUTE(SUBSTITUTE(SUBSTITUTE(TRIM(C2545),".",""),"-","")," ","")))-1))&amp;RIGHT(UPPER(SUBSTITUTE(SUBSTITUTE(SUBSTITUTE(TRIM(C2545),".",""),"-","")," ","")),1),UPPER(SUBSTITUTE(SUBSTITUTE(SUBSTITUTE(TRIM(C2545),".",""),"-","")," ",""))))</f>
        <v/>
      </c>
    </row>
    <row r="2546" customFormat="false" ht="15" hidden="false" customHeight="false" outlineLevel="0" collapsed="false">
      <c r="B2546" s="80"/>
      <c r="C2546" s="58"/>
      <c r="D2546" s="62" t="str">
        <f aca="false">IF(C2546="","",IFERROR(INDEX(T_NOMBRE,MATCH(V2546,T_RUTN,0)),"⚠ RUT no está en Trabajadores"))</f>
        <v/>
      </c>
      <c r="E2546" s="61"/>
      <c r="F2546" s="61"/>
      <c r="G2546" s="61"/>
      <c r="H2546" s="61"/>
      <c r="I2546" s="81"/>
      <c r="J2546" s="81"/>
      <c r="K2546" s="60"/>
      <c r="L2546" s="60"/>
      <c r="M2546" s="60"/>
      <c r="N2546" s="60"/>
      <c r="O2546" s="60"/>
      <c r="P2546" s="60"/>
      <c r="Q2546" s="60"/>
      <c r="R2546" s="58"/>
      <c r="S2546" s="62" t="str">
        <f aca="false">IF(OR(B2546="",V2546=""),"",IFERROR(INDEX(C_TIPO,MATCH(V2546&amp;"-P"&amp;MAX(1,COUNTIFS(C_RUTN,V2546,C_DEF,"Sí",C_INI,"&lt;="&amp;EOMONTH(B2546,0))),C_CLAVE,0))&amp;"","Sin contrato"))</f>
        <v/>
      </c>
      <c r="T2546" s="63" t="str">
        <f aca="false">IF(OR(B2546="",N(O2546)=0),"",N(O2546)+ROUND(MIN(N(N2546),TOPE_UF*UF_MES)*(TASA_EMP+MUTUAL),0)+ROUND(MIN(N(N2546),TOPE_AFC_UF*UF_MES)*IF(S2546="Indefinido",AFC_INDEF,AFC_PF),0))</f>
        <v/>
      </c>
      <c r="U2546" s="62" t="str">
        <f aca="false">IF(C2546="","",IF(LEFT(D2546,1)="⚠","⚠ RUT no registrado en Trabajadores",IF(B2546="","⚠ Falta el mes",IF(OR(ISTEXT(I2546),ISTEXT(J2546)),"⚠ Atrasos u horas extra como texto: escriba hh:mm (ej. 1:30)",IF(AND(ISNUMBER(Q2546),COUNTIFS(M_RUTN,V2546,M_MES,B2546,M_LIQ,"&lt;&gt;")&gt;1),"⚠ Liquidación repetida en el mes",IF(AND(ISNUMBER(O2546),ISNUMBER(P2546),ISNUMBER(Q2546),ABS(O2546-P2546-Q2546)&gt;1),"⚠ Haberes − descuentos no da el líquido","OK"))))))</f>
        <v/>
      </c>
      <c r="V2546" s="62" t="str">
        <f aca="false">IF(C2546="","",IFERROR(VALUE(LEFT(UPPER(SUBSTITUTE(SUBSTITUTE(SUBSTITUTE(TRIM(C2546),".",""),"-","")," ","")),LEN(UPPER(SUBSTITUTE(SUBSTITUTE(SUBSTITUTE(TRIM(C2546),".",""),"-","")," ","")))-1))&amp;RIGHT(UPPER(SUBSTITUTE(SUBSTITUTE(SUBSTITUTE(TRIM(C2546),".",""),"-","")," ","")),1),UPPER(SUBSTITUTE(SUBSTITUTE(SUBSTITUTE(TRIM(C2546),".",""),"-","")," ",""))))</f>
        <v/>
      </c>
    </row>
    <row r="2547" customFormat="false" ht="15" hidden="false" customHeight="false" outlineLevel="0" collapsed="false">
      <c r="B2547" s="80"/>
      <c r="C2547" s="58"/>
      <c r="D2547" s="62" t="str">
        <f aca="false">IF(C2547="","",IFERROR(INDEX(T_NOMBRE,MATCH(V2547,T_RUTN,0)),"⚠ RUT no está en Trabajadores"))</f>
        <v/>
      </c>
      <c r="E2547" s="61"/>
      <c r="F2547" s="61"/>
      <c r="G2547" s="61"/>
      <c r="H2547" s="61"/>
      <c r="I2547" s="81"/>
      <c r="J2547" s="81"/>
      <c r="K2547" s="60"/>
      <c r="L2547" s="60"/>
      <c r="M2547" s="60"/>
      <c r="N2547" s="60"/>
      <c r="O2547" s="60"/>
      <c r="P2547" s="60"/>
      <c r="Q2547" s="60"/>
      <c r="R2547" s="58"/>
      <c r="S2547" s="62" t="str">
        <f aca="false">IF(OR(B2547="",V2547=""),"",IFERROR(INDEX(C_TIPO,MATCH(V2547&amp;"-P"&amp;MAX(1,COUNTIFS(C_RUTN,V2547,C_DEF,"Sí",C_INI,"&lt;="&amp;EOMONTH(B2547,0))),C_CLAVE,0))&amp;"","Sin contrato"))</f>
        <v/>
      </c>
      <c r="T2547" s="63" t="str">
        <f aca="false">IF(OR(B2547="",N(O2547)=0),"",N(O2547)+ROUND(MIN(N(N2547),TOPE_UF*UF_MES)*(TASA_EMP+MUTUAL),0)+ROUND(MIN(N(N2547),TOPE_AFC_UF*UF_MES)*IF(S2547="Indefinido",AFC_INDEF,AFC_PF),0))</f>
        <v/>
      </c>
      <c r="U2547" s="62" t="str">
        <f aca="false">IF(C2547="","",IF(LEFT(D2547,1)="⚠","⚠ RUT no registrado en Trabajadores",IF(B2547="","⚠ Falta el mes",IF(OR(ISTEXT(I2547),ISTEXT(J2547)),"⚠ Atrasos u horas extra como texto: escriba hh:mm (ej. 1:30)",IF(AND(ISNUMBER(Q2547),COUNTIFS(M_RUTN,V2547,M_MES,B2547,M_LIQ,"&lt;&gt;")&gt;1),"⚠ Liquidación repetida en el mes",IF(AND(ISNUMBER(O2547),ISNUMBER(P2547),ISNUMBER(Q2547),ABS(O2547-P2547-Q2547)&gt;1),"⚠ Haberes − descuentos no da el líquido","OK"))))))</f>
        <v/>
      </c>
      <c r="V2547" s="62" t="str">
        <f aca="false">IF(C2547="","",IFERROR(VALUE(LEFT(UPPER(SUBSTITUTE(SUBSTITUTE(SUBSTITUTE(TRIM(C2547),".",""),"-","")," ","")),LEN(UPPER(SUBSTITUTE(SUBSTITUTE(SUBSTITUTE(TRIM(C2547),".",""),"-","")," ","")))-1))&amp;RIGHT(UPPER(SUBSTITUTE(SUBSTITUTE(SUBSTITUTE(TRIM(C2547),".",""),"-","")," ","")),1),UPPER(SUBSTITUTE(SUBSTITUTE(SUBSTITUTE(TRIM(C2547),".",""),"-","")," ",""))))</f>
        <v/>
      </c>
    </row>
    <row r="2548" customFormat="false" ht="15" hidden="false" customHeight="false" outlineLevel="0" collapsed="false">
      <c r="B2548" s="80"/>
      <c r="C2548" s="58"/>
      <c r="D2548" s="62" t="str">
        <f aca="false">IF(C2548="","",IFERROR(INDEX(T_NOMBRE,MATCH(V2548,T_RUTN,0)),"⚠ RUT no está en Trabajadores"))</f>
        <v/>
      </c>
      <c r="E2548" s="61"/>
      <c r="F2548" s="61"/>
      <c r="G2548" s="61"/>
      <c r="H2548" s="61"/>
      <c r="I2548" s="81"/>
      <c r="J2548" s="81"/>
      <c r="K2548" s="60"/>
      <c r="L2548" s="60"/>
      <c r="M2548" s="60"/>
      <c r="N2548" s="60"/>
      <c r="O2548" s="60"/>
      <c r="P2548" s="60"/>
      <c r="Q2548" s="60"/>
      <c r="R2548" s="58"/>
      <c r="S2548" s="62" t="str">
        <f aca="false">IF(OR(B2548="",V2548=""),"",IFERROR(INDEX(C_TIPO,MATCH(V2548&amp;"-P"&amp;MAX(1,COUNTIFS(C_RUTN,V2548,C_DEF,"Sí",C_INI,"&lt;="&amp;EOMONTH(B2548,0))),C_CLAVE,0))&amp;"","Sin contrato"))</f>
        <v/>
      </c>
      <c r="T2548" s="63" t="str">
        <f aca="false">IF(OR(B2548="",N(O2548)=0),"",N(O2548)+ROUND(MIN(N(N2548),TOPE_UF*UF_MES)*(TASA_EMP+MUTUAL),0)+ROUND(MIN(N(N2548),TOPE_AFC_UF*UF_MES)*IF(S2548="Indefinido",AFC_INDEF,AFC_PF),0))</f>
        <v/>
      </c>
      <c r="U2548" s="62" t="str">
        <f aca="false">IF(C2548="","",IF(LEFT(D2548,1)="⚠","⚠ RUT no registrado en Trabajadores",IF(B2548="","⚠ Falta el mes",IF(OR(ISTEXT(I2548),ISTEXT(J2548)),"⚠ Atrasos u horas extra como texto: escriba hh:mm (ej. 1:30)",IF(AND(ISNUMBER(Q2548),COUNTIFS(M_RUTN,V2548,M_MES,B2548,M_LIQ,"&lt;&gt;")&gt;1),"⚠ Liquidación repetida en el mes",IF(AND(ISNUMBER(O2548),ISNUMBER(P2548),ISNUMBER(Q2548),ABS(O2548-P2548-Q2548)&gt;1),"⚠ Haberes − descuentos no da el líquido","OK"))))))</f>
        <v/>
      </c>
      <c r="V2548" s="62" t="str">
        <f aca="false">IF(C2548="","",IFERROR(VALUE(LEFT(UPPER(SUBSTITUTE(SUBSTITUTE(SUBSTITUTE(TRIM(C2548),".",""),"-","")," ","")),LEN(UPPER(SUBSTITUTE(SUBSTITUTE(SUBSTITUTE(TRIM(C2548),".",""),"-","")," ","")))-1))&amp;RIGHT(UPPER(SUBSTITUTE(SUBSTITUTE(SUBSTITUTE(TRIM(C2548),".",""),"-","")," ","")),1),UPPER(SUBSTITUTE(SUBSTITUTE(SUBSTITUTE(TRIM(C2548),".",""),"-","")," ",""))))</f>
        <v/>
      </c>
    </row>
    <row r="2549" customFormat="false" ht="15" hidden="false" customHeight="false" outlineLevel="0" collapsed="false">
      <c r="B2549" s="80"/>
      <c r="C2549" s="58"/>
      <c r="D2549" s="62" t="str">
        <f aca="false">IF(C2549="","",IFERROR(INDEX(T_NOMBRE,MATCH(V2549,T_RUTN,0)),"⚠ RUT no está en Trabajadores"))</f>
        <v/>
      </c>
      <c r="E2549" s="61"/>
      <c r="F2549" s="61"/>
      <c r="G2549" s="61"/>
      <c r="H2549" s="61"/>
      <c r="I2549" s="81"/>
      <c r="J2549" s="81"/>
      <c r="K2549" s="60"/>
      <c r="L2549" s="60"/>
      <c r="M2549" s="60"/>
      <c r="N2549" s="60"/>
      <c r="O2549" s="60"/>
      <c r="P2549" s="60"/>
      <c r="Q2549" s="60"/>
      <c r="R2549" s="58"/>
      <c r="S2549" s="62" t="str">
        <f aca="false">IF(OR(B2549="",V2549=""),"",IFERROR(INDEX(C_TIPO,MATCH(V2549&amp;"-P"&amp;MAX(1,COUNTIFS(C_RUTN,V2549,C_DEF,"Sí",C_INI,"&lt;="&amp;EOMONTH(B2549,0))),C_CLAVE,0))&amp;"","Sin contrato"))</f>
        <v/>
      </c>
      <c r="T2549" s="63" t="str">
        <f aca="false">IF(OR(B2549="",N(O2549)=0),"",N(O2549)+ROUND(MIN(N(N2549),TOPE_UF*UF_MES)*(TASA_EMP+MUTUAL),0)+ROUND(MIN(N(N2549),TOPE_AFC_UF*UF_MES)*IF(S2549="Indefinido",AFC_INDEF,AFC_PF),0))</f>
        <v/>
      </c>
      <c r="U2549" s="62" t="str">
        <f aca="false">IF(C2549="","",IF(LEFT(D2549,1)="⚠","⚠ RUT no registrado en Trabajadores",IF(B2549="","⚠ Falta el mes",IF(OR(ISTEXT(I2549),ISTEXT(J2549)),"⚠ Atrasos u horas extra como texto: escriba hh:mm (ej. 1:30)",IF(AND(ISNUMBER(Q2549),COUNTIFS(M_RUTN,V2549,M_MES,B2549,M_LIQ,"&lt;&gt;")&gt;1),"⚠ Liquidación repetida en el mes",IF(AND(ISNUMBER(O2549),ISNUMBER(P2549),ISNUMBER(Q2549),ABS(O2549-P2549-Q2549)&gt;1),"⚠ Haberes − descuentos no da el líquido","OK"))))))</f>
        <v/>
      </c>
      <c r="V2549" s="62" t="str">
        <f aca="false">IF(C2549="","",IFERROR(VALUE(LEFT(UPPER(SUBSTITUTE(SUBSTITUTE(SUBSTITUTE(TRIM(C2549),".",""),"-","")," ","")),LEN(UPPER(SUBSTITUTE(SUBSTITUTE(SUBSTITUTE(TRIM(C2549),".",""),"-","")," ","")))-1))&amp;RIGHT(UPPER(SUBSTITUTE(SUBSTITUTE(SUBSTITUTE(TRIM(C2549),".",""),"-","")," ","")),1),UPPER(SUBSTITUTE(SUBSTITUTE(SUBSTITUTE(TRIM(C2549),".",""),"-","")," ",""))))</f>
        <v/>
      </c>
    </row>
    <row r="2550" customFormat="false" ht="15" hidden="false" customHeight="false" outlineLevel="0" collapsed="false">
      <c r="B2550" s="80"/>
      <c r="C2550" s="58"/>
      <c r="D2550" s="62" t="str">
        <f aca="false">IF(C2550="","",IFERROR(INDEX(T_NOMBRE,MATCH(V2550,T_RUTN,0)),"⚠ RUT no está en Trabajadores"))</f>
        <v/>
      </c>
      <c r="E2550" s="61"/>
      <c r="F2550" s="61"/>
      <c r="G2550" s="61"/>
      <c r="H2550" s="61"/>
      <c r="I2550" s="81"/>
      <c r="J2550" s="81"/>
      <c r="K2550" s="60"/>
      <c r="L2550" s="60"/>
      <c r="M2550" s="60"/>
      <c r="N2550" s="60"/>
      <c r="O2550" s="60"/>
      <c r="P2550" s="60"/>
      <c r="Q2550" s="60"/>
      <c r="R2550" s="58"/>
      <c r="S2550" s="62" t="str">
        <f aca="false">IF(OR(B2550="",V2550=""),"",IFERROR(INDEX(C_TIPO,MATCH(V2550&amp;"-P"&amp;MAX(1,COUNTIFS(C_RUTN,V2550,C_DEF,"Sí",C_INI,"&lt;="&amp;EOMONTH(B2550,0))),C_CLAVE,0))&amp;"","Sin contrato"))</f>
        <v/>
      </c>
      <c r="T2550" s="63" t="str">
        <f aca="false">IF(OR(B2550="",N(O2550)=0),"",N(O2550)+ROUND(MIN(N(N2550),TOPE_UF*UF_MES)*(TASA_EMP+MUTUAL),0)+ROUND(MIN(N(N2550),TOPE_AFC_UF*UF_MES)*IF(S2550="Indefinido",AFC_INDEF,AFC_PF),0))</f>
        <v/>
      </c>
      <c r="U2550" s="62" t="str">
        <f aca="false">IF(C2550="","",IF(LEFT(D2550,1)="⚠","⚠ RUT no registrado en Trabajadores",IF(B2550="","⚠ Falta el mes",IF(OR(ISTEXT(I2550),ISTEXT(J2550)),"⚠ Atrasos u horas extra como texto: escriba hh:mm (ej. 1:30)",IF(AND(ISNUMBER(Q2550),COUNTIFS(M_RUTN,V2550,M_MES,B2550,M_LIQ,"&lt;&gt;")&gt;1),"⚠ Liquidación repetida en el mes",IF(AND(ISNUMBER(O2550),ISNUMBER(P2550),ISNUMBER(Q2550),ABS(O2550-P2550-Q2550)&gt;1),"⚠ Haberes − descuentos no da el líquido","OK"))))))</f>
        <v/>
      </c>
      <c r="V2550" s="62" t="str">
        <f aca="false">IF(C2550="","",IFERROR(VALUE(LEFT(UPPER(SUBSTITUTE(SUBSTITUTE(SUBSTITUTE(TRIM(C2550),".",""),"-","")," ","")),LEN(UPPER(SUBSTITUTE(SUBSTITUTE(SUBSTITUTE(TRIM(C2550),".",""),"-","")," ","")))-1))&amp;RIGHT(UPPER(SUBSTITUTE(SUBSTITUTE(SUBSTITUTE(TRIM(C2550),".",""),"-","")," ","")),1),UPPER(SUBSTITUTE(SUBSTITUTE(SUBSTITUTE(TRIM(C2550),".",""),"-","")," ",""))))</f>
        <v/>
      </c>
    </row>
    <row r="2551" customFormat="false" ht="15" hidden="false" customHeight="false" outlineLevel="0" collapsed="false">
      <c r="B2551" s="80"/>
      <c r="C2551" s="58"/>
      <c r="D2551" s="62" t="str">
        <f aca="false">IF(C2551="","",IFERROR(INDEX(T_NOMBRE,MATCH(V2551,T_RUTN,0)),"⚠ RUT no está en Trabajadores"))</f>
        <v/>
      </c>
      <c r="E2551" s="61"/>
      <c r="F2551" s="61"/>
      <c r="G2551" s="61"/>
      <c r="H2551" s="61"/>
      <c r="I2551" s="81"/>
      <c r="J2551" s="81"/>
      <c r="K2551" s="60"/>
      <c r="L2551" s="60"/>
      <c r="M2551" s="60"/>
      <c r="N2551" s="60"/>
      <c r="O2551" s="60"/>
      <c r="P2551" s="60"/>
      <c r="Q2551" s="60"/>
      <c r="R2551" s="58"/>
      <c r="S2551" s="62" t="str">
        <f aca="false">IF(OR(B2551="",V2551=""),"",IFERROR(INDEX(C_TIPO,MATCH(V2551&amp;"-P"&amp;MAX(1,COUNTIFS(C_RUTN,V2551,C_DEF,"Sí",C_INI,"&lt;="&amp;EOMONTH(B2551,0))),C_CLAVE,0))&amp;"","Sin contrato"))</f>
        <v/>
      </c>
      <c r="T2551" s="63" t="str">
        <f aca="false">IF(OR(B2551="",N(O2551)=0),"",N(O2551)+ROUND(MIN(N(N2551),TOPE_UF*UF_MES)*(TASA_EMP+MUTUAL),0)+ROUND(MIN(N(N2551),TOPE_AFC_UF*UF_MES)*IF(S2551="Indefinido",AFC_INDEF,AFC_PF),0))</f>
        <v/>
      </c>
      <c r="U2551" s="62" t="str">
        <f aca="false">IF(C2551="","",IF(LEFT(D2551,1)="⚠","⚠ RUT no registrado en Trabajadores",IF(B2551="","⚠ Falta el mes",IF(OR(ISTEXT(I2551),ISTEXT(J2551)),"⚠ Atrasos u horas extra como texto: escriba hh:mm (ej. 1:30)",IF(AND(ISNUMBER(Q2551),COUNTIFS(M_RUTN,V2551,M_MES,B2551,M_LIQ,"&lt;&gt;")&gt;1),"⚠ Liquidación repetida en el mes",IF(AND(ISNUMBER(O2551),ISNUMBER(P2551),ISNUMBER(Q2551),ABS(O2551-P2551-Q2551)&gt;1),"⚠ Haberes − descuentos no da el líquido","OK"))))))</f>
        <v/>
      </c>
      <c r="V2551" s="62" t="str">
        <f aca="false">IF(C2551="","",IFERROR(VALUE(LEFT(UPPER(SUBSTITUTE(SUBSTITUTE(SUBSTITUTE(TRIM(C2551),".",""),"-","")," ","")),LEN(UPPER(SUBSTITUTE(SUBSTITUTE(SUBSTITUTE(TRIM(C2551),".",""),"-","")," ","")))-1))&amp;RIGHT(UPPER(SUBSTITUTE(SUBSTITUTE(SUBSTITUTE(TRIM(C2551),".",""),"-","")," ","")),1),UPPER(SUBSTITUTE(SUBSTITUTE(SUBSTITUTE(TRIM(C2551),".",""),"-","")," ",""))))</f>
        <v/>
      </c>
    </row>
    <row r="2552" customFormat="false" ht="15" hidden="false" customHeight="false" outlineLevel="0" collapsed="false">
      <c r="B2552" s="80"/>
      <c r="C2552" s="58"/>
      <c r="D2552" s="62" t="str">
        <f aca="false">IF(C2552="","",IFERROR(INDEX(T_NOMBRE,MATCH(V2552,T_RUTN,0)),"⚠ RUT no está en Trabajadores"))</f>
        <v/>
      </c>
      <c r="E2552" s="61"/>
      <c r="F2552" s="61"/>
      <c r="G2552" s="61"/>
      <c r="H2552" s="61"/>
      <c r="I2552" s="81"/>
      <c r="J2552" s="81"/>
      <c r="K2552" s="60"/>
      <c r="L2552" s="60"/>
      <c r="M2552" s="60"/>
      <c r="N2552" s="60"/>
      <c r="O2552" s="60"/>
      <c r="P2552" s="60"/>
      <c r="Q2552" s="60"/>
      <c r="R2552" s="58"/>
      <c r="S2552" s="62" t="str">
        <f aca="false">IF(OR(B2552="",V2552=""),"",IFERROR(INDEX(C_TIPO,MATCH(V2552&amp;"-P"&amp;MAX(1,COUNTIFS(C_RUTN,V2552,C_DEF,"Sí",C_INI,"&lt;="&amp;EOMONTH(B2552,0))),C_CLAVE,0))&amp;"","Sin contrato"))</f>
        <v/>
      </c>
      <c r="T2552" s="63" t="str">
        <f aca="false">IF(OR(B2552="",N(O2552)=0),"",N(O2552)+ROUND(MIN(N(N2552),TOPE_UF*UF_MES)*(TASA_EMP+MUTUAL),0)+ROUND(MIN(N(N2552),TOPE_AFC_UF*UF_MES)*IF(S2552="Indefinido",AFC_INDEF,AFC_PF),0))</f>
        <v/>
      </c>
      <c r="U2552" s="62" t="str">
        <f aca="false">IF(C2552="","",IF(LEFT(D2552,1)="⚠","⚠ RUT no registrado en Trabajadores",IF(B2552="","⚠ Falta el mes",IF(OR(ISTEXT(I2552),ISTEXT(J2552)),"⚠ Atrasos u horas extra como texto: escriba hh:mm (ej. 1:30)",IF(AND(ISNUMBER(Q2552),COUNTIFS(M_RUTN,V2552,M_MES,B2552,M_LIQ,"&lt;&gt;")&gt;1),"⚠ Liquidación repetida en el mes",IF(AND(ISNUMBER(O2552),ISNUMBER(P2552),ISNUMBER(Q2552),ABS(O2552-P2552-Q2552)&gt;1),"⚠ Haberes − descuentos no da el líquido","OK"))))))</f>
        <v/>
      </c>
      <c r="V2552" s="62" t="str">
        <f aca="false">IF(C2552="","",IFERROR(VALUE(LEFT(UPPER(SUBSTITUTE(SUBSTITUTE(SUBSTITUTE(TRIM(C2552),".",""),"-","")," ","")),LEN(UPPER(SUBSTITUTE(SUBSTITUTE(SUBSTITUTE(TRIM(C2552),".",""),"-","")," ","")))-1))&amp;RIGHT(UPPER(SUBSTITUTE(SUBSTITUTE(SUBSTITUTE(TRIM(C2552),".",""),"-","")," ","")),1),UPPER(SUBSTITUTE(SUBSTITUTE(SUBSTITUTE(TRIM(C2552),".",""),"-","")," ",""))))</f>
        <v/>
      </c>
    </row>
    <row r="2553" customFormat="false" ht="15" hidden="false" customHeight="false" outlineLevel="0" collapsed="false">
      <c r="B2553" s="80"/>
      <c r="C2553" s="58"/>
      <c r="D2553" s="62" t="str">
        <f aca="false">IF(C2553="","",IFERROR(INDEX(T_NOMBRE,MATCH(V2553,T_RUTN,0)),"⚠ RUT no está en Trabajadores"))</f>
        <v/>
      </c>
      <c r="E2553" s="61"/>
      <c r="F2553" s="61"/>
      <c r="G2553" s="61"/>
      <c r="H2553" s="61"/>
      <c r="I2553" s="81"/>
      <c r="J2553" s="81"/>
      <c r="K2553" s="60"/>
      <c r="L2553" s="60"/>
      <c r="M2553" s="60"/>
      <c r="N2553" s="60"/>
      <c r="O2553" s="60"/>
      <c r="P2553" s="60"/>
      <c r="Q2553" s="60"/>
      <c r="R2553" s="58"/>
      <c r="S2553" s="62" t="str">
        <f aca="false">IF(OR(B2553="",V2553=""),"",IFERROR(INDEX(C_TIPO,MATCH(V2553&amp;"-P"&amp;MAX(1,COUNTIFS(C_RUTN,V2553,C_DEF,"Sí",C_INI,"&lt;="&amp;EOMONTH(B2553,0))),C_CLAVE,0))&amp;"","Sin contrato"))</f>
        <v/>
      </c>
      <c r="T2553" s="63" t="str">
        <f aca="false">IF(OR(B2553="",N(O2553)=0),"",N(O2553)+ROUND(MIN(N(N2553),TOPE_UF*UF_MES)*(TASA_EMP+MUTUAL),0)+ROUND(MIN(N(N2553),TOPE_AFC_UF*UF_MES)*IF(S2553="Indefinido",AFC_INDEF,AFC_PF),0))</f>
        <v/>
      </c>
      <c r="U2553" s="62" t="str">
        <f aca="false">IF(C2553="","",IF(LEFT(D2553,1)="⚠","⚠ RUT no registrado en Trabajadores",IF(B2553="","⚠ Falta el mes",IF(OR(ISTEXT(I2553),ISTEXT(J2553)),"⚠ Atrasos u horas extra como texto: escriba hh:mm (ej. 1:30)",IF(AND(ISNUMBER(Q2553),COUNTIFS(M_RUTN,V2553,M_MES,B2553,M_LIQ,"&lt;&gt;")&gt;1),"⚠ Liquidación repetida en el mes",IF(AND(ISNUMBER(O2553),ISNUMBER(P2553),ISNUMBER(Q2553),ABS(O2553-P2553-Q2553)&gt;1),"⚠ Haberes − descuentos no da el líquido","OK"))))))</f>
        <v/>
      </c>
      <c r="V2553" s="62" t="str">
        <f aca="false">IF(C2553="","",IFERROR(VALUE(LEFT(UPPER(SUBSTITUTE(SUBSTITUTE(SUBSTITUTE(TRIM(C2553),".",""),"-","")," ","")),LEN(UPPER(SUBSTITUTE(SUBSTITUTE(SUBSTITUTE(TRIM(C2553),".",""),"-","")," ","")))-1))&amp;RIGHT(UPPER(SUBSTITUTE(SUBSTITUTE(SUBSTITUTE(TRIM(C2553),".",""),"-","")," ","")),1),UPPER(SUBSTITUTE(SUBSTITUTE(SUBSTITUTE(TRIM(C2553),".",""),"-","")," ",""))))</f>
        <v/>
      </c>
    </row>
    <row r="2554" customFormat="false" ht="15" hidden="false" customHeight="false" outlineLevel="0" collapsed="false">
      <c r="B2554" s="80"/>
      <c r="C2554" s="58"/>
      <c r="D2554" s="62" t="str">
        <f aca="false">IF(C2554="","",IFERROR(INDEX(T_NOMBRE,MATCH(V2554,T_RUTN,0)),"⚠ RUT no está en Trabajadores"))</f>
        <v/>
      </c>
      <c r="E2554" s="61"/>
      <c r="F2554" s="61"/>
      <c r="G2554" s="61"/>
      <c r="H2554" s="61"/>
      <c r="I2554" s="81"/>
      <c r="J2554" s="81"/>
      <c r="K2554" s="60"/>
      <c r="L2554" s="60"/>
      <c r="M2554" s="60"/>
      <c r="N2554" s="60"/>
      <c r="O2554" s="60"/>
      <c r="P2554" s="60"/>
      <c r="Q2554" s="60"/>
      <c r="R2554" s="58"/>
      <c r="S2554" s="62" t="str">
        <f aca="false">IF(OR(B2554="",V2554=""),"",IFERROR(INDEX(C_TIPO,MATCH(V2554&amp;"-P"&amp;MAX(1,COUNTIFS(C_RUTN,V2554,C_DEF,"Sí",C_INI,"&lt;="&amp;EOMONTH(B2554,0))),C_CLAVE,0))&amp;"","Sin contrato"))</f>
        <v/>
      </c>
      <c r="T2554" s="63" t="str">
        <f aca="false">IF(OR(B2554="",N(O2554)=0),"",N(O2554)+ROUND(MIN(N(N2554),TOPE_UF*UF_MES)*(TASA_EMP+MUTUAL),0)+ROUND(MIN(N(N2554),TOPE_AFC_UF*UF_MES)*IF(S2554="Indefinido",AFC_INDEF,AFC_PF),0))</f>
        <v/>
      </c>
      <c r="U2554" s="62" t="str">
        <f aca="false">IF(C2554="","",IF(LEFT(D2554,1)="⚠","⚠ RUT no registrado en Trabajadores",IF(B2554="","⚠ Falta el mes",IF(OR(ISTEXT(I2554),ISTEXT(J2554)),"⚠ Atrasos u horas extra como texto: escriba hh:mm (ej. 1:30)",IF(AND(ISNUMBER(Q2554),COUNTIFS(M_RUTN,V2554,M_MES,B2554,M_LIQ,"&lt;&gt;")&gt;1),"⚠ Liquidación repetida en el mes",IF(AND(ISNUMBER(O2554),ISNUMBER(P2554),ISNUMBER(Q2554),ABS(O2554-P2554-Q2554)&gt;1),"⚠ Haberes − descuentos no da el líquido","OK"))))))</f>
        <v/>
      </c>
      <c r="V2554" s="62" t="str">
        <f aca="false">IF(C2554="","",IFERROR(VALUE(LEFT(UPPER(SUBSTITUTE(SUBSTITUTE(SUBSTITUTE(TRIM(C2554),".",""),"-","")," ","")),LEN(UPPER(SUBSTITUTE(SUBSTITUTE(SUBSTITUTE(TRIM(C2554),".",""),"-","")," ","")))-1))&amp;RIGHT(UPPER(SUBSTITUTE(SUBSTITUTE(SUBSTITUTE(TRIM(C2554),".",""),"-","")," ","")),1),UPPER(SUBSTITUTE(SUBSTITUTE(SUBSTITUTE(TRIM(C2554),".",""),"-","")," ",""))))</f>
        <v/>
      </c>
    </row>
    <row r="2555" customFormat="false" ht="15" hidden="false" customHeight="false" outlineLevel="0" collapsed="false">
      <c r="B2555" s="80"/>
      <c r="C2555" s="58"/>
      <c r="D2555" s="62" t="str">
        <f aca="false">IF(C2555="","",IFERROR(INDEX(T_NOMBRE,MATCH(V2555,T_RUTN,0)),"⚠ RUT no está en Trabajadores"))</f>
        <v/>
      </c>
      <c r="E2555" s="61"/>
      <c r="F2555" s="61"/>
      <c r="G2555" s="61"/>
      <c r="H2555" s="61"/>
      <c r="I2555" s="81"/>
      <c r="J2555" s="81"/>
      <c r="K2555" s="60"/>
      <c r="L2555" s="60"/>
      <c r="M2555" s="60"/>
      <c r="N2555" s="60"/>
      <c r="O2555" s="60"/>
      <c r="P2555" s="60"/>
      <c r="Q2555" s="60"/>
      <c r="R2555" s="58"/>
      <c r="S2555" s="62" t="str">
        <f aca="false">IF(OR(B2555="",V2555=""),"",IFERROR(INDEX(C_TIPO,MATCH(V2555&amp;"-P"&amp;MAX(1,COUNTIFS(C_RUTN,V2555,C_DEF,"Sí",C_INI,"&lt;="&amp;EOMONTH(B2555,0))),C_CLAVE,0))&amp;"","Sin contrato"))</f>
        <v/>
      </c>
      <c r="T2555" s="63" t="str">
        <f aca="false">IF(OR(B2555="",N(O2555)=0),"",N(O2555)+ROUND(MIN(N(N2555),TOPE_UF*UF_MES)*(TASA_EMP+MUTUAL),0)+ROUND(MIN(N(N2555),TOPE_AFC_UF*UF_MES)*IF(S2555="Indefinido",AFC_INDEF,AFC_PF),0))</f>
        <v/>
      </c>
      <c r="U2555" s="62" t="str">
        <f aca="false">IF(C2555="","",IF(LEFT(D2555,1)="⚠","⚠ RUT no registrado en Trabajadores",IF(B2555="","⚠ Falta el mes",IF(OR(ISTEXT(I2555),ISTEXT(J2555)),"⚠ Atrasos u horas extra como texto: escriba hh:mm (ej. 1:30)",IF(AND(ISNUMBER(Q2555),COUNTIFS(M_RUTN,V2555,M_MES,B2555,M_LIQ,"&lt;&gt;")&gt;1),"⚠ Liquidación repetida en el mes",IF(AND(ISNUMBER(O2555),ISNUMBER(P2555),ISNUMBER(Q2555),ABS(O2555-P2555-Q2555)&gt;1),"⚠ Haberes − descuentos no da el líquido","OK"))))))</f>
        <v/>
      </c>
      <c r="V2555" s="62" t="str">
        <f aca="false">IF(C2555="","",IFERROR(VALUE(LEFT(UPPER(SUBSTITUTE(SUBSTITUTE(SUBSTITUTE(TRIM(C2555),".",""),"-","")," ","")),LEN(UPPER(SUBSTITUTE(SUBSTITUTE(SUBSTITUTE(TRIM(C2555),".",""),"-","")," ","")))-1))&amp;RIGHT(UPPER(SUBSTITUTE(SUBSTITUTE(SUBSTITUTE(TRIM(C2555),".",""),"-","")," ","")),1),UPPER(SUBSTITUTE(SUBSTITUTE(SUBSTITUTE(TRIM(C2555),".",""),"-","")," ",""))))</f>
        <v/>
      </c>
    </row>
    <row r="2556" customFormat="false" ht="15" hidden="false" customHeight="false" outlineLevel="0" collapsed="false">
      <c r="B2556" s="80"/>
      <c r="C2556" s="58"/>
      <c r="D2556" s="62" t="str">
        <f aca="false">IF(C2556="","",IFERROR(INDEX(T_NOMBRE,MATCH(V2556,T_RUTN,0)),"⚠ RUT no está en Trabajadores"))</f>
        <v/>
      </c>
      <c r="E2556" s="61"/>
      <c r="F2556" s="61"/>
      <c r="G2556" s="61"/>
      <c r="H2556" s="61"/>
      <c r="I2556" s="81"/>
      <c r="J2556" s="81"/>
      <c r="K2556" s="60"/>
      <c r="L2556" s="60"/>
      <c r="M2556" s="60"/>
      <c r="N2556" s="60"/>
      <c r="O2556" s="60"/>
      <c r="P2556" s="60"/>
      <c r="Q2556" s="60"/>
      <c r="R2556" s="58"/>
      <c r="S2556" s="62" t="str">
        <f aca="false">IF(OR(B2556="",V2556=""),"",IFERROR(INDEX(C_TIPO,MATCH(V2556&amp;"-P"&amp;MAX(1,COUNTIFS(C_RUTN,V2556,C_DEF,"Sí",C_INI,"&lt;="&amp;EOMONTH(B2556,0))),C_CLAVE,0))&amp;"","Sin contrato"))</f>
        <v/>
      </c>
      <c r="T2556" s="63" t="str">
        <f aca="false">IF(OR(B2556="",N(O2556)=0),"",N(O2556)+ROUND(MIN(N(N2556),TOPE_UF*UF_MES)*(TASA_EMP+MUTUAL),0)+ROUND(MIN(N(N2556),TOPE_AFC_UF*UF_MES)*IF(S2556="Indefinido",AFC_INDEF,AFC_PF),0))</f>
        <v/>
      </c>
      <c r="U2556" s="62" t="str">
        <f aca="false">IF(C2556="","",IF(LEFT(D2556,1)="⚠","⚠ RUT no registrado en Trabajadores",IF(B2556="","⚠ Falta el mes",IF(OR(ISTEXT(I2556),ISTEXT(J2556)),"⚠ Atrasos u horas extra como texto: escriba hh:mm (ej. 1:30)",IF(AND(ISNUMBER(Q2556),COUNTIFS(M_RUTN,V2556,M_MES,B2556,M_LIQ,"&lt;&gt;")&gt;1),"⚠ Liquidación repetida en el mes",IF(AND(ISNUMBER(O2556),ISNUMBER(P2556),ISNUMBER(Q2556),ABS(O2556-P2556-Q2556)&gt;1),"⚠ Haberes − descuentos no da el líquido","OK"))))))</f>
        <v/>
      </c>
      <c r="V2556" s="62" t="str">
        <f aca="false">IF(C2556="","",IFERROR(VALUE(LEFT(UPPER(SUBSTITUTE(SUBSTITUTE(SUBSTITUTE(TRIM(C2556),".",""),"-","")," ","")),LEN(UPPER(SUBSTITUTE(SUBSTITUTE(SUBSTITUTE(TRIM(C2556),".",""),"-","")," ","")))-1))&amp;RIGHT(UPPER(SUBSTITUTE(SUBSTITUTE(SUBSTITUTE(TRIM(C2556),".",""),"-","")," ","")),1),UPPER(SUBSTITUTE(SUBSTITUTE(SUBSTITUTE(TRIM(C2556),".",""),"-","")," ",""))))</f>
        <v/>
      </c>
    </row>
    <row r="2557" customFormat="false" ht="15" hidden="false" customHeight="false" outlineLevel="0" collapsed="false">
      <c r="B2557" s="80"/>
      <c r="C2557" s="58"/>
      <c r="D2557" s="62" t="str">
        <f aca="false">IF(C2557="","",IFERROR(INDEX(T_NOMBRE,MATCH(V2557,T_RUTN,0)),"⚠ RUT no está en Trabajadores"))</f>
        <v/>
      </c>
      <c r="E2557" s="61"/>
      <c r="F2557" s="61"/>
      <c r="G2557" s="61"/>
      <c r="H2557" s="61"/>
      <c r="I2557" s="81"/>
      <c r="J2557" s="81"/>
      <c r="K2557" s="60"/>
      <c r="L2557" s="60"/>
      <c r="M2557" s="60"/>
      <c r="N2557" s="60"/>
      <c r="O2557" s="60"/>
      <c r="P2557" s="60"/>
      <c r="Q2557" s="60"/>
      <c r="R2557" s="58"/>
      <c r="S2557" s="62" t="str">
        <f aca="false">IF(OR(B2557="",V2557=""),"",IFERROR(INDEX(C_TIPO,MATCH(V2557&amp;"-P"&amp;MAX(1,COUNTIFS(C_RUTN,V2557,C_DEF,"Sí",C_INI,"&lt;="&amp;EOMONTH(B2557,0))),C_CLAVE,0))&amp;"","Sin contrato"))</f>
        <v/>
      </c>
      <c r="T2557" s="63" t="str">
        <f aca="false">IF(OR(B2557="",N(O2557)=0),"",N(O2557)+ROUND(MIN(N(N2557),TOPE_UF*UF_MES)*(TASA_EMP+MUTUAL),0)+ROUND(MIN(N(N2557),TOPE_AFC_UF*UF_MES)*IF(S2557="Indefinido",AFC_INDEF,AFC_PF),0))</f>
        <v/>
      </c>
      <c r="U2557" s="62" t="str">
        <f aca="false">IF(C2557="","",IF(LEFT(D2557,1)="⚠","⚠ RUT no registrado en Trabajadores",IF(B2557="","⚠ Falta el mes",IF(OR(ISTEXT(I2557),ISTEXT(J2557)),"⚠ Atrasos u horas extra como texto: escriba hh:mm (ej. 1:30)",IF(AND(ISNUMBER(Q2557),COUNTIFS(M_RUTN,V2557,M_MES,B2557,M_LIQ,"&lt;&gt;")&gt;1),"⚠ Liquidación repetida en el mes",IF(AND(ISNUMBER(O2557),ISNUMBER(P2557),ISNUMBER(Q2557),ABS(O2557-P2557-Q2557)&gt;1),"⚠ Haberes − descuentos no da el líquido","OK"))))))</f>
        <v/>
      </c>
      <c r="V2557" s="62" t="str">
        <f aca="false">IF(C2557="","",IFERROR(VALUE(LEFT(UPPER(SUBSTITUTE(SUBSTITUTE(SUBSTITUTE(TRIM(C2557),".",""),"-","")," ","")),LEN(UPPER(SUBSTITUTE(SUBSTITUTE(SUBSTITUTE(TRIM(C2557),".",""),"-","")," ","")))-1))&amp;RIGHT(UPPER(SUBSTITUTE(SUBSTITUTE(SUBSTITUTE(TRIM(C2557),".",""),"-","")," ","")),1),UPPER(SUBSTITUTE(SUBSTITUTE(SUBSTITUTE(TRIM(C2557),".",""),"-","")," ",""))))</f>
        <v/>
      </c>
    </row>
    <row r="2558" customFormat="false" ht="15" hidden="false" customHeight="false" outlineLevel="0" collapsed="false">
      <c r="B2558" s="80"/>
      <c r="C2558" s="58"/>
      <c r="D2558" s="62" t="str">
        <f aca="false">IF(C2558="","",IFERROR(INDEX(T_NOMBRE,MATCH(V2558,T_RUTN,0)),"⚠ RUT no está en Trabajadores"))</f>
        <v/>
      </c>
      <c r="E2558" s="61"/>
      <c r="F2558" s="61"/>
      <c r="G2558" s="61"/>
      <c r="H2558" s="61"/>
      <c r="I2558" s="81"/>
      <c r="J2558" s="81"/>
      <c r="K2558" s="60"/>
      <c r="L2558" s="60"/>
      <c r="M2558" s="60"/>
      <c r="N2558" s="60"/>
      <c r="O2558" s="60"/>
      <c r="P2558" s="60"/>
      <c r="Q2558" s="60"/>
      <c r="R2558" s="58"/>
      <c r="S2558" s="62" t="str">
        <f aca="false">IF(OR(B2558="",V2558=""),"",IFERROR(INDEX(C_TIPO,MATCH(V2558&amp;"-P"&amp;MAX(1,COUNTIFS(C_RUTN,V2558,C_DEF,"Sí",C_INI,"&lt;="&amp;EOMONTH(B2558,0))),C_CLAVE,0))&amp;"","Sin contrato"))</f>
        <v/>
      </c>
      <c r="T2558" s="63" t="str">
        <f aca="false">IF(OR(B2558="",N(O2558)=0),"",N(O2558)+ROUND(MIN(N(N2558),TOPE_UF*UF_MES)*(TASA_EMP+MUTUAL),0)+ROUND(MIN(N(N2558),TOPE_AFC_UF*UF_MES)*IF(S2558="Indefinido",AFC_INDEF,AFC_PF),0))</f>
        <v/>
      </c>
      <c r="U2558" s="62" t="str">
        <f aca="false">IF(C2558="","",IF(LEFT(D2558,1)="⚠","⚠ RUT no registrado en Trabajadores",IF(B2558="","⚠ Falta el mes",IF(OR(ISTEXT(I2558),ISTEXT(J2558)),"⚠ Atrasos u horas extra como texto: escriba hh:mm (ej. 1:30)",IF(AND(ISNUMBER(Q2558),COUNTIFS(M_RUTN,V2558,M_MES,B2558,M_LIQ,"&lt;&gt;")&gt;1),"⚠ Liquidación repetida en el mes",IF(AND(ISNUMBER(O2558),ISNUMBER(P2558),ISNUMBER(Q2558),ABS(O2558-P2558-Q2558)&gt;1),"⚠ Haberes − descuentos no da el líquido","OK"))))))</f>
        <v/>
      </c>
      <c r="V2558" s="62" t="str">
        <f aca="false">IF(C2558="","",IFERROR(VALUE(LEFT(UPPER(SUBSTITUTE(SUBSTITUTE(SUBSTITUTE(TRIM(C2558),".",""),"-","")," ","")),LEN(UPPER(SUBSTITUTE(SUBSTITUTE(SUBSTITUTE(TRIM(C2558),".",""),"-","")," ","")))-1))&amp;RIGHT(UPPER(SUBSTITUTE(SUBSTITUTE(SUBSTITUTE(TRIM(C2558),".",""),"-","")," ","")),1),UPPER(SUBSTITUTE(SUBSTITUTE(SUBSTITUTE(TRIM(C2558),".",""),"-","")," ",""))))</f>
        <v/>
      </c>
    </row>
    <row r="2559" customFormat="false" ht="15" hidden="false" customHeight="false" outlineLevel="0" collapsed="false">
      <c r="B2559" s="80"/>
      <c r="C2559" s="58"/>
      <c r="D2559" s="62" t="str">
        <f aca="false">IF(C2559="","",IFERROR(INDEX(T_NOMBRE,MATCH(V2559,T_RUTN,0)),"⚠ RUT no está en Trabajadores"))</f>
        <v/>
      </c>
      <c r="E2559" s="61"/>
      <c r="F2559" s="61"/>
      <c r="G2559" s="61"/>
      <c r="H2559" s="61"/>
      <c r="I2559" s="81"/>
      <c r="J2559" s="81"/>
      <c r="K2559" s="60"/>
      <c r="L2559" s="60"/>
      <c r="M2559" s="60"/>
      <c r="N2559" s="60"/>
      <c r="O2559" s="60"/>
      <c r="P2559" s="60"/>
      <c r="Q2559" s="60"/>
      <c r="R2559" s="58"/>
      <c r="S2559" s="62" t="str">
        <f aca="false">IF(OR(B2559="",V2559=""),"",IFERROR(INDEX(C_TIPO,MATCH(V2559&amp;"-P"&amp;MAX(1,COUNTIFS(C_RUTN,V2559,C_DEF,"Sí",C_INI,"&lt;="&amp;EOMONTH(B2559,0))),C_CLAVE,0))&amp;"","Sin contrato"))</f>
        <v/>
      </c>
      <c r="T2559" s="63" t="str">
        <f aca="false">IF(OR(B2559="",N(O2559)=0),"",N(O2559)+ROUND(MIN(N(N2559),TOPE_UF*UF_MES)*(TASA_EMP+MUTUAL),0)+ROUND(MIN(N(N2559),TOPE_AFC_UF*UF_MES)*IF(S2559="Indefinido",AFC_INDEF,AFC_PF),0))</f>
        <v/>
      </c>
      <c r="U2559" s="62" t="str">
        <f aca="false">IF(C2559="","",IF(LEFT(D2559,1)="⚠","⚠ RUT no registrado en Trabajadores",IF(B2559="","⚠ Falta el mes",IF(OR(ISTEXT(I2559),ISTEXT(J2559)),"⚠ Atrasos u horas extra como texto: escriba hh:mm (ej. 1:30)",IF(AND(ISNUMBER(Q2559),COUNTIFS(M_RUTN,V2559,M_MES,B2559,M_LIQ,"&lt;&gt;")&gt;1),"⚠ Liquidación repetida en el mes",IF(AND(ISNUMBER(O2559),ISNUMBER(P2559),ISNUMBER(Q2559),ABS(O2559-P2559-Q2559)&gt;1),"⚠ Haberes − descuentos no da el líquido","OK"))))))</f>
        <v/>
      </c>
      <c r="V2559" s="62" t="str">
        <f aca="false">IF(C2559="","",IFERROR(VALUE(LEFT(UPPER(SUBSTITUTE(SUBSTITUTE(SUBSTITUTE(TRIM(C2559),".",""),"-","")," ","")),LEN(UPPER(SUBSTITUTE(SUBSTITUTE(SUBSTITUTE(TRIM(C2559),".",""),"-","")," ","")))-1))&amp;RIGHT(UPPER(SUBSTITUTE(SUBSTITUTE(SUBSTITUTE(TRIM(C2559),".",""),"-","")," ","")),1),UPPER(SUBSTITUTE(SUBSTITUTE(SUBSTITUTE(TRIM(C2559),".",""),"-","")," ",""))))</f>
        <v/>
      </c>
    </row>
    <row r="2560" customFormat="false" ht="15" hidden="false" customHeight="false" outlineLevel="0" collapsed="false">
      <c r="B2560" s="80"/>
      <c r="C2560" s="58"/>
      <c r="D2560" s="62" t="str">
        <f aca="false">IF(C2560="","",IFERROR(INDEX(T_NOMBRE,MATCH(V2560,T_RUTN,0)),"⚠ RUT no está en Trabajadores"))</f>
        <v/>
      </c>
      <c r="E2560" s="61"/>
      <c r="F2560" s="61"/>
      <c r="G2560" s="61"/>
      <c r="H2560" s="61"/>
      <c r="I2560" s="81"/>
      <c r="J2560" s="81"/>
      <c r="K2560" s="60"/>
      <c r="L2560" s="60"/>
      <c r="M2560" s="60"/>
      <c r="N2560" s="60"/>
      <c r="O2560" s="60"/>
      <c r="P2560" s="60"/>
      <c r="Q2560" s="60"/>
      <c r="R2560" s="58"/>
      <c r="S2560" s="62" t="str">
        <f aca="false">IF(OR(B2560="",V2560=""),"",IFERROR(INDEX(C_TIPO,MATCH(V2560&amp;"-P"&amp;MAX(1,COUNTIFS(C_RUTN,V2560,C_DEF,"Sí",C_INI,"&lt;="&amp;EOMONTH(B2560,0))),C_CLAVE,0))&amp;"","Sin contrato"))</f>
        <v/>
      </c>
      <c r="T2560" s="63" t="str">
        <f aca="false">IF(OR(B2560="",N(O2560)=0),"",N(O2560)+ROUND(MIN(N(N2560),TOPE_UF*UF_MES)*(TASA_EMP+MUTUAL),0)+ROUND(MIN(N(N2560),TOPE_AFC_UF*UF_MES)*IF(S2560="Indefinido",AFC_INDEF,AFC_PF),0))</f>
        <v/>
      </c>
      <c r="U2560" s="62" t="str">
        <f aca="false">IF(C2560="","",IF(LEFT(D2560,1)="⚠","⚠ RUT no registrado en Trabajadores",IF(B2560="","⚠ Falta el mes",IF(OR(ISTEXT(I2560),ISTEXT(J2560)),"⚠ Atrasos u horas extra como texto: escriba hh:mm (ej. 1:30)",IF(AND(ISNUMBER(Q2560),COUNTIFS(M_RUTN,V2560,M_MES,B2560,M_LIQ,"&lt;&gt;")&gt;1),"⚠ Liquidación repetida en el mes",IF(AND(ISNUMBER(O2560),ISNUMBER(P2560),ISNUMBER(Q2560),ABS(O2560-P2560-Q2560)&gt;1),"⚠ Haberes − descuentos no da el líquido","OK"))))))</f>
        <v/>
      </c>
      <c r="V2560" s="62" t="str">
        <f aca="false">IF(C2560="","",IFERROR(VALUE(LEFT(UPPER(SUBSTITUTE(SUBSTITUTE(SUBSTITUTE(TRIM(C2560),".",""),"-","")," ","")),LEN(UPPER(SUBSTITUTE(SUBSTITUTE(SUBSTITUTE(TRIM(C2560),".",""),"-","")," ","")))-1))&amp;RIGHT(UPPER(SUBSTITUTE(SUBSTITUTE(SUBSTITUTE(TRIM(C2560),".",""),"-","")," ","")),1),UPPER(SUBSTITUTE(SUBSTITUTE(SUBSTITUTE(TRIM(C2560),".",""),"-","")," ",""))))</f>
        <v/>
      </c>
    </row>
    <row r="2561" customFormat="false" ht="15" hidden="false" customHeight="false" outlineLevel="0" collapsed="false">
      <c r="B2561" s="80"/>
      <c r="C2561" s="58"/>
      <c r="D2561" s="62" t="str">
        <f aca="false">IF(C2561="","",IFERROR(INDEX(T_NOMBRE,MATCH(V2561,T_RUTN,0)),"⚠ RUT no está en Trabajadores"))</f>
        <v/>
      </c>
      <c r="E2561" s="61"/>
      <c r="F2561" s="61"/>
      <c r="G2561" s="61"/>
      <c r="H2561" s="61"/>
      <c r="I2561" s="81"/>
      <c r="J2561" s="81"/>
      <c r="K2561" s="60"/>
      <c r="L2561" s="60"/>
      <c r="M2561" s="60"/>
      <c r="N2561" s="60"/>
      <c r="O2561" s="60"/>
      <c r="P2561" s="60"/>
      <c r="Q2561" s="60"/>
      <c r="R2561" s="58"/>
      <c r="S2561" s="62" t="str">
        <f aca="false">IF(OR(B2561="",V2561=""),"",IFERROR(INDEX(C_TIPO,MATCH(V2561&amp;"-P"&amp;MAX(1,COUNTIFS(C_RUTN,V2561,C_DEF,"Sí",C_INI,"&lt;="&amp;EOMONTH(B2561,0))),C_CLAVE,0))&amp;"","Sin contrato"))</f>
        <v/>
      </c>
      <c r="T2561" s="63" t="str">
        <f aca="false">IF(OR(B2561="",N(O2561)=0),"",N(O2561)+ROUND(MIN(N(N2561),TOPE_UF*UF_MES)*(TASA_EMP+MUTUAL),0)+ROUND(MIN(N(N2561),TOPE_AFC_UF*UF_MES)*IF(S2561="Indefinido",AFC_INDEF,AFC_PF),0))</f>
        <v/>
      </c>
      <c r="U2561" s="62" t="str">
        <f aca="false">IF(C2561="","",IF(LEFT(D2561,1)="⚠","⚠ RUT no registrado en Trabajadores",IF(B2561="","⚠ Falta el mes",IF(OR(ISTEXT(I2561),ISTEXT(J2561)),"⚠ Atrasos u horas extra como texto: escriba hh:mm (ej. 1:30)",IF(AND(ISNUMBER(Q2561),COUNTIFS(M_RUTN,V2561,M_MES,B2561,M_LIQ,"&lt;&gt;")&gt;1),"⚠ Liquidación repetida en el mes",IF(AND(ISNUMBER(O2561),ISNUMBER(P2561),ISNUMBER(Q2561),ABS(O2561-P2561-Q2561)&gt;1),"⚠ Haberes − descuentos no da el líquido","OK"))))))</f>
        <v/>
      </c>
      <c r="V2561" s="62" t="str">
        <f aca="false">IF(C2561="","",IFERROR(VALUE(LEFT(UPPER(SUBSTITUTE(SUBSTITUTE(SUBSTITUTE(TRIM(C2561),".",""),"-","")," ","")),LEN(UPPER(SUBSTITUTE(SUBSTITUTE(SUBSTITUTE(TRIM(C2561),".",""),"-","")," ","")))-1))&amp;RIGHT(UPPER(SUBSTITUTE(SUBSTITUTE(SUBSTITUTE(TRIM(C2561),".",""),"-","")," ","")),1),UPPER(SUBSTITUTE(SUBSTITUTE(SUBSTITUTE(TRIM(C2561),".",""),"-","")," ",""))))</f>
        <v/>
      </c>
    </row>
    <row r="2562" customFormat="false" ht="15" hidden="false" customHeight="false" outlineLevel="0" collapsed="false">
      <c r="B2562" s="80"/>
      <c r="C2562" s="58"/>
      <c r="D2562" s="62" t="str">
        <f aca="false">IF(C2562="","",IFERROR(INDEX(T_NOMBRE,MATCH(V2562,T_RUTN,0)),"⚠ RUT no está en Trabajadores"))</f>
        <v/>
      </c>
      <c r="E2562" s="61"/>
      <c r="F2562" s="61"/>
      <c r="G2562" s="61"/>
      <c r="H2562" s="61"/>
      <c r="I2562" s="81"/>
      <c r="J2562" s="81"/>
      <c r="K2562" s="60"/>
      <c r="L2562" s="60"/>
      <c r="M2562" s="60"/>
      <c r="N2562" s="60"/>
      <c r="O2562" s="60"/>
      <c r="P2562" s="60"/>
      <c r="Q2562" s="60"/>
      <c r="R2562" s="58"/>
      <c r="S2562" s="62" t="str">
        <f aca="false">IF(OR(B2562="",V2562=""),"",IFERROR(INDEX(C_TIPO,MATCH(V2562&amp;"-P"&amp;MAX(1,COUNTIFS(C_RUTN,V2562,C_DEF,"Sí",C_INI,"&lt;="&amp;EOMONTH(B2562,0))),C_CLAVE,0))&amp;"","Sin contrato"))</f>
        <v/>
      </c>
      <c r="T2562" s="63" t="str">
        <f aca="false">IF(OR(B2562="",N(O2562)=0),"",N(O2562)+ROUND(MIN(N(N2562),TOPE_UF*UF_MES)*(TASA_EMP+MUTUAL),0)+ROUND(MIN(N(N2562),TOPE_AFC_UF*UF_MES)*IF(S2562="Indefinido",AFC_INDEF,AFC_PF),0))</f>
        <v/>
      </c>
      <c r="U2562" s="62" t="str">
        <f aca="false">IF(C2562="","",IF(LEFT(D2562,1)="⚠","⚠ RUT no registrado en Trabajadores",IF(B2562="","⚠ Falta el mes",IF(OR(ISTEXT(I2562),ISTEXT(J2562)),"⚠ Atrasos u horas extra como texto: escriba hh:mm (ej. 1:30)",IF(AND(ISNUMBER(Q2562),COUNTIFS(M_RUTN,V2562,M_MES,B2562,M_LIQ,"&lt;&gt;")&gt;1),"⚠ Liquidación repetida en el mes",IF(AND(ISNUMBER(O2562),ISNUMBER(P2562),ISNUMBER(Q2562),ABS(O2562-P2562-Q2562)&gt;1),"⚠ Haberes − descuentos no da el líquido","OK"))))))</f>
        <v/>
      </c>
      <c r="V2562" s="62" t="str">
        <f aca="false">IF(C2562="","",IFERROR(VALUE(LEFT(UPPER(SUBSTITUTE(SUBSTITUTE(SUBSTITUTE(TRIM(C2562),".",""),"-","")," ","")),LEN(UPPER(SUBSTITUTE(SUBSTITUTE(SUBSTITUTE(TRIM(C2562),".",""),"-","")," ","")))-1))&amp;RIGHT(UPPER(SUBSTITUTE(SUBSTITUTE(SUBSTITUTE(TRIM(C2562),".",""),"-","")," ","")),1),UPPER(SUBSTITUTE(SUBSTITUTE(SUBSTITUTE(TRIM(C2562),".",""),"-","")," ",""))))</f>
        <v/>
      </c>
    </row>
    <row r="2563" customFormat="false" ht="15" hidden="false" customHeight="false" outlineLevel="0" collapsed="false">
      <c r="B2563" s="80"/>
      <c r="C2563" s="58"/>
      <c r="D2563" s="62" t="str">
        <f aca="false">IF(C2563="","",IFERROR(INDEX(T_NOMBRE,MATCH(V2563,T_RUTN,0)),"⚠ RUT no está en Trabajadores"))</f>
        <v/>
      </c>
      <c r="E2563" s="61"/>
      <c r="F2563" s="61"/>
      <c r="G2563" s="61"/>
      <c r="H2563" s="61"/>
      <c r="I2563" s="81"/>
      <c r="J2563" s="81"/>
      <c r="K2563" s="60"/>
      <c r="L2563" s="60"/>
      <c r="M2563" s="60"/>
      <c r="N2563" s="60"/>
      <c r="O2563" s="60"/>
      <c r="P2563" s="60"/>
      <c r="Q2563" s="60"/>
      <c r="R2563" s="58"/>
      <c r="S2563" s="62" t="str">
        <f aca="false">IF(OR(B2563="",V2563=""),"",IFERROR(INDEX(C_TIPO,MATCH(V2563&amp;"-P"&amp;MAX(1,COUNTIFS(C_RUTN,V2563,C_DEF,"Sí",C_INI,"&lt;="&amp;EOMONTH(B2563,0))),C_CLAVE,0))&amp;"","Sin contrato"))</f>
        <v/>
      </c>
      <c r="T2563" s="63" t="str">
        <f aca="false">IF(OR(B2563="",N(O2563)=0),"",N(O2563)+ROUND(MIN(N(N2563),TOPE_UF*UF_MES)*(TASA_EMP+MUTUAL),0)+ROUND(MIN(N(N2563),TOPE_AFC_UF*UF_MES)*IF(S2563="Indefinido",AFC_INDEF,AFC_PF),0))</f>
        <v/>
      </c>
      <c r="U2563" s="62" t="str">
        <f aca="false">IF(C2563="","",IF(LEFT(D2563,1)="⚠","⚠ RUT no registrado en Trabajadores",IF(B2563="","⚠ Falta el mes",IF(OR(ISTEXT(I2563),ISTEXT(J2563)),"⚠ Atrasos u horas extra como texto: escriba hh:mm (ej. 1:30)",IF(AND(ISNUMBER(Q2563),COUNTIFS(M_RUTN,V2563,M_MES,B2563,M_LIQ,"&lt;&gt;")&gt;1),"⚠ Liquidación repetida en el mes",IF(AND(ISNUMBER(O2563),ISNUMBER(P2563),ISNUMBER(Q2563),ABS(O2563-P2563-Q2563)&gt;1),"⚠ Haberes − descuentos no da el líquido","OK"))))))</f>
        <v/>
      </c>
      <c r="V2563" s="62" t="str">
        <f aca="false">IF(C2563="","",IFERROR(VALUE(LEFT(UPPER(SUBSTITUTE(SUBSTITUTE(SUBSTITUTE(TRIM(C2563),".",""),"-","")," ","")),LEN(UPPER(SUBSTITUTE(SUBSTITUTE(SUBSTITUTE(TRIM(C2563),".",""),"-","")," ","")))-1))&amp;RIGHT(UPPER(SUBSTITUTE(SUBSTITUTE(SUBSTITUTE(TRIM(C2563),".",""),"-","")," ","")),1),UPPER(SUBSTITUTE(SUBSTITUTE(SUBSTITUTE(TRIM(C2563),".",""),"-","")," ",""))))</f>
        <v/>
      </c>
    </row>
    <row r="2564" customFormat="false" ht="15" hidden="false" customHeight="false" outlineLevel="0" collapsed="false">
      <c r="B2564" s="80"/>
      <c r="C2564" s="58"/>
      <c r="D2564" s="62" t="str">
        <f aca="false">IF(C2564="","",IFERROR(INDEX(T_NOMBRE,MATCH(V2564,T_RUTN,0)),"⚠ RUT no está en Trabajadores"))</f>
        <v/>
      </c>
      <c r="E2564" s="61"/>
      <c r="F2564" s="61"/>
      <c r="G2564" s="61"/>
      <c r="H2564" s="61"/>
      <c r="I2564" s="81"/>
      <c r="J2564" s="81"/>
      <c r="K2564" s="60"/>
      <c r="L2564" s="60"/>
      <c r="M2564" s="60"/>
      <c r="N2564" s="60"/>
      <c r="O2564" s="60"/>
      <c r="P2564" s="60"/>
      <c r="Q2564" s="60"/>
      <c r="R2564" s="58"/>
      <c r="S2564" s="62" t="str">
        <f aca="false">IF(OR(B2564="",V2564=""),"",IFERROR(INDEX(C_TIPO,MATCH(V2564&amp;"-P"&amp;MAX(1,COUNTIFS(C_RUTN,V2564,C_DEF,"Sí",C_INI,"&lt;="&amp;EOMONTH(B2564,0))),C_CLAVE,0))&amp;"","Sin contrato"))</f>
        <v/>
      </c>
      <c r="T2564" s="63" t="str">
        <f aca="false">IF(OR(B2564="",N(O2564)=0),"",N(O2564)+ROUND(MIN(N(N2564),TOPE_UF*UF_MES)*(TASA_EMP+MUTUAL),0)+ROUND(MIN(N(N2564),TOPE_AFC_UF*UF_MES)*IF(S2564="Indefinido",AFC_INDEF,AFC_PF),0))</f>
        <v/>
      </c>
      <c r="U2564" s="62" t="str">
        <f aca="false">IF(C2564="","",IF(LEFT(D2564,1)="⚠","⚠ RUT no registrado en Trabajadores",IF(B2564="","⚠ Falta el mes",IF(OR(ISTEXT(I2564),ISTEXT(J2564)),"⚠ Atrasos u horas extra como texto: escriba hh:mm (ej. 1:30)",IF(AND(ISNUMBER(Q2564),COUNTIFS(M_RUTN,V2564,M_MES,B2564,M_LIQ,"&lt;&gt;")&gt;1),"⚠ Liquidación repetida en el mes",IF(AND(ISNUMBER(O2564),ISNUMBER(P2564),ISNUMBER(Q2564),ABS(O2564-P2564-Q2564)&gt;1),"⚠ Haberes − descuentos no da el líquido","OK"))))))</f>
        <v/>
      </c>
      <c r="V2564" s="62" t="str">
        <f aca="false">IF(C2564="","",IFERROR(VALUE(LEFT(UPPER(SUBSTITUTE(SUBSTITUTE(SUBSTITUTE(TRIM(C2564),".",""),"-","")," ","")),LEN(UPPER(SUBSTITUTE(SUBSTITUTE(SUBSTITUTE(TRIM(C2564),".",""),"-","")," ","")))-1))&amp;RIGHT(UPPER(SUBSTITUTE(SUBSTITUTE(SUBSTITUTE(TRIM(C2564),".",""),"-","")," ","")),1),UPPER(SUBSTITUTE(SUBSTITUTE(SUBSTITUTE(TRIM(C2564),".",""),"-","")," ",""))))</f>
        <v/>
      </c>
    </row>
    <row r="2565" customFormat="false" ht="15" hidden="false" customHeight="false" outlineLevel="0" collapsed="false">
      <c r="B2565" s="80"/>
      <c r="C2565" s="58"/>
      <c r="D2565" s="62" t="str">
        <f aca="false">IF(C2565="","",IFERROR(INDEX(T_NOMBRE,MATCH(V2565,T_RUTN,0)),"⚠ RUT no está en Trabajadores"))</f>
        <v/>
      </c>
      <c r="E2565" s="61"/>
      <c r="F2565" s="61"/>
      <c r="G2565" s="61"/>
      <c r="H2565" s="61"/>
      <c r="I2565" s="81"/>
      <c r="J2565" s="81"/>
      <c r="K2565" s="60"/>
      <c r="L2565" s="60"/>
      <c r="M2565" s="60"/>
      <c r="N2565" s="60"/>
      <c r="O2565" s="60"/>
      <c r="P2565" s="60"/>
      <c r="Q2565" s="60"/>
      <c r="R2565" s="58"/>
      <c r="S2565" s="62" t="str">
        <f aca="false">IF(OR(B2565="",V2565=""),"",IFERROR(INDEX(C_TIPO,MATCH(V2565&amp;"-P"&amp;MAX(1,COUNTIFS(C_RUTN,V2565,C_DEF,"Sí",C_INI,"&lt;="&amp;EOMONTH(B2565,0))),C_CLAVE,0))&amp;"","Sin contrato"))</f>
        <v/>
      </c>
      <c r="T2565" s="63" t="str">
        <f aca="false">IF(OR(B2565="",N(O2565)=0),"",N(O2565)+ROUND(MIN(N(N2565),TOPE_UF*UF_MES)*(TASA_EMP+MUTUAL),0)+ROUND(MIN(N(N2565),TOPE_AFC_UF*UF_MES)*IF(S2565="Indefinido",AFC_INDEF,AFC_PF),0))</f>
        <v/>
      </c>
      <c r="U2565" s="62" t="str">
        <f aca="false">IF(C2565="","",IF(LEFT(D2565,1)="⚠","⚠ RUT no registrado en Trabajadores",IF(B2565="","⚠ Falta el mes",IF(OR(ISTEXT(I2565),ISTEXT(J2565)),"⚠ Atrasos u horas extra como texto: escriba hh:mm (ej. 1:30)",IF(AND(ISNUMBER(Q2565),COUNTIFS(M_RUTN,V2565,M_MES,B2565,M_LIQ,"&lt;&gt;")&gt;1),"⚠ Liquidación repetida en el mes",IF(AND(ISNUMBER(O2565),ISNUMBER(P2565),ISNUMBER(Q2565),ABS(O2565-P2565-Q2565)&gt;1),"⚠ Haberes − descuentos no da el líquido","OK"))))))</f>
        <v/>
      </c>
      <c r="V2565" s="62" t="str">
        <f aca="false">IF(C2565="","",IFERROR(VALUE(LEFT(UPPER(SUBSTITUTE(SUBSTITUTE(SUBSTITUTE(TRIM(C2565),".",""),"-","")," ","")),LEN(UPPER(SUBSTITUTE(SUBSTITUTE(SUBSTITUTE(TRIM(C2565),".",""),"-","")," ","")))-1))&amp;RIGHT(UPPER(SUBSTITUTE(SUBSTITUTE(SUBSTITUTE(TRIM(C2565),".",""),"-","")," ","")),1),UPPER(SUBSTITUTE(SUBSTITUTE(SUBSTITUTE(TRIM(C2565),".",""),"-","")," ",""))))</f>
        <v/>
      </c>
    </row>
    <row r="2566" customFormat="false" ht="15" hidden="false" customHeight="false" outlineLevel="0" collapsed="false">
      <c r="B2566" s="80"/>
      <c r="C2566" s="58"/>
      <c r="D2566" s="62" t="str">
        <f aca="false">IF(C2566="","",IFERROR(INDEX(T_NOMBRE,MATCH(V2566,T_RUTN,0)),"⚠ RUT no está en Trabajadores"))</f>
        <v/>
      </c>
      <c r="E2566" s="61"/>
      <c r="F2566" s="61"/>
      <c r="G2566" s="61"/>
      <c r="H2566" s="61"/>
      <c r="I2566" s="81"/>
      <c r="J2566" s="81"/>
      <c r="K2566" s="60"/>
      <c r="L2566" s="60"/>
      <c r="M2566" s="60"/>
      <c r="N2566" s="60"/>
      <c r="O2566" s="60"/>
      <c r="P2566" s="60"/>
      <c r="Q2566" s="60"/>
      <c r="R2566" s="58"/>
      <c r="S2566" s="62" t="str">
        <f aca="false">IF(OR(B2566="",V2566=""),"",IFERROR(INDEX(C_TIPO,MATCH(V2566&amp;"-P"&amp;MAX(1,COUNTIFS(C_RUTN,V2566,C_DEF,"Sí",C_INI,"&lt;="&amp;EOMONTH(B2566,0))),C_CLAVE,0))&amp;"","Sin contrato"))</f>
        <v/>
      </c>
      <c r="T2566" s="63" t="str">
        <f aca="false">IF(OR(B2566="",N(O2566)=0),"",N(O2566)+ROUND(MIN(N(N2566),TOPE_UF*UF_MES)*(TASA_EMP+MUTUAL),0)+ROUND(MIN(N(N2566),TOPE_AFC_UF*UF_MES)*IF(S2566="Indefinido",AFC_INDEF,AFC_PF),0))</f>
        <v/>
      </c>
      <c r="U2566" s="62" t="str">
        <f aca="false">IF(C2566="","",IF(LEFT(D2566,1)="⚠","⚠ RUT no registrado en Trabajadores",IF(B2566="","⚠ Falta el mes",IF(OR(ISTEXT(I2566),ISTEXT(J2566)),"⚠ Atrasos u horas extra como texto: escriba hh:mm (ej. 1:30)",IF(AND(ISNUMBER(Q2566),COUNTIFS(M_RUTN,V2566,M_MES,B2566,M_LIQ,"&lt;&gt;")&gt;1),"⚠ Liquidación repetida en el mes",IF(AND(ISNUMBER(O2566),ISNUMBER(P2566),ISNUMBER(Q2566),ABS(O2566-P2566-Q2566)&gt;1),"⚠ Haberes − descuentos no da el líquido","OK"))))))</f>
        <v/>
      </c>
      <c r="V2566" s="62" t="str">
        <f aca="false">IF(C2566="","",IFERROR(VALUE(LEFT(UPPER(SUBSTITUTE(SUBSTITUTE(SUBSTITUTE(TRIM(C2566),".",""),"-","")," ","")),LEN(UPPER(SUBSTITUTE(SUBSTITUTE(SUBSTITUTE(TRIM(C2566),".",""),"-","")," ","")))-1))&amp;RIGHT(UPPER(SUBSTITUTE(SUBSTITUTE(SUBSTITUTE(TRIM(C2566),".",""),"-","")," ","")),1),UPPER(SUBSTITUTE(SUBSTITUTE(SUBSTITUTE(TRIM(C2566),".",""),"-","")," ",""))))</f>
        <v/>
      </c>
    </row>
    <row r="2567" customFormat="false" ht="15" hidden="false" customHeight="false" outlineLevel="0" collapsed="false">
      <c r="B2567" s="80"/>
      <c r="C2567" s="58"/>
      <c r="D2567" s="62" t="str">
        <f aca="false">IF(C2567="","",IFERROR(INDEX(T_NOMBRE,MATCH(V2567,T_RUTN,0)),"⚠ RUT no está en Trabajadores"))</f>
        <v/>
      </c>
      <c r="E2567" s="61"/>
      <c r="F2567" s="61"/>
      <c r="G2567" s="61"/>
      <c r="H2567" s="61"/>
      <c r="I2567" s="81"/>
      <c r="J2567" s="81"/>
      <c r="K2567" s="60"/>
      <c r="L2567" s="60"/>
      <c r="M2567" s="60"/>
      <c r="N2567" s="60"/>
      <c r="O2567" s="60"/>
      <c r="P2567" s="60"/>
      <c r="Q2567" s="60"/>
      <c r="R2567" s="58"/>
      <c r="S2567" s="62" t="str">
        <f aca="false">IF(OR(B2567="",V2567=""),"",IFERROR(INDEX(C_TIPO,MATCH(V2567&amp;"-P"&amp;MAX(1,COUNTIFS(C_RUTN,V2567,C_DEF,"Sí",C_INI,"&lt;="&amp;EOMONTH(B2567,0))),C_CLAVE,0))&amp;"","Sin contrato"))</f>
        <v/>
      </c>
      <c r="T2567" s="63" t="str">
        <f aca="false">IF(OR(B2567="",N(O2567)=0),"",N(O2567)+ROUND(MIN(N(N2567),TOPE_UF*UF_MES)*(TASA_EMP+MUTUAL),0)+ROUND(MIN(N(N2567),TOPE_AFC_UF*UF_MES)*IF(S2567="Indefinido",AFC_INDEF,AFC_PF),0))</f>
        <v/>
      </c>
      <c r="U2567" s="62" t="str">
        <f aca="false">IF(C2567="","",IF(LEFT(D2567,1)="⚠","⚠ RUT no registrado en Trabajadores",IF(B2567="","⚠ Falta el mes",IF(OR(ISTEXT(I2567),ISTEXT(J2567)),"⚠ Atrasos u horas extra como texto: escriba hh:mm (ej. 1:30)",IF(AND(ISNUMBER(Q2567),COUNTIFS(M_RUTN,V2567,M_MES,B2567,M_LIQ,"&lt;&gt;")&gt;1),"⚠ Liquidación repetida en el mes",IF(AND(ISNUMBER(O2567),ISNUMBER(P2567),ISNUMBER(Q2567),ABS(O2567-P2567-Q2567)&gt;1),"⚠ Haberes − descuentos no da el líquido","OK"))))))</f>
        <v/>
      </c>
      <c r="V2567" s="62" t="str">
        <f aca="false">IF(C2567="","",IFERROR(VALUE(LEFT(UPPER(SUBSTITUTE(SUBSTITUTE(SUBSTITUTE(TRIM(C2567),".",""),"-","")," ","")),LEN(UPPER(SUBSTITUTE(SUBSTITUTE(SUBSTITUTE(TRIM(C2567),".",""),"-","")," ","")))-1))&amp;RIGHT(UPPER(SUBSTITUTE(SUBSTITUTE(SUBSTITUTE(TRIM(C2567),".",""),"-","")," ","")),1),UPPER(SUBSTITUTE(SUBSTITUTE(SUBSTITUTE(TRIM(C2567),".",""),"-","")," ",""))))</f>
        <v/>
      </c>
    </row>
    <row r="2568" customFormat="false" ht="15" hidden="false" customHeight="false" outlineLevel="0" collapsed="false">
      <c r="B2568" s="80"/>
      <c r="C2568" s="58"/>
      <c r="D2568" s="62" t="str">
        <f aca="false">IF(C2568="","",IFERROR(INDEX(T_NOMBRE,MATCH(V2568,T_RUTN,0)),"⚠ RUT no está en Trabajadores"))</f>
        <v/>
      </c>
      <c r="E2568" s="61"/>
      <c r="F2568" s="61"/>
      <c r="G2568" s="61"/>
      <c r="H2568" s="61"/>
      <c r="I2568" s="81"/>
      <c r="J2568" s="81"/>
      <c r="K2568" s="60"/>
      <c r="L2568" s="60"/>
      <c r="M2568" s="60"/>
      <c r="N2568" s="60"/>
      <c r="O2568" s="60"/>
      <c r="P2568" s="60"/>
      <c r="Q2568" s="60"/>
      <c r="R2568" s="58"/>
      <c r="S2568" s="62" t="str">
        <f aca="false">IF(OR(B2568="",V2568=""),"",IFERROR(INDEX(C_TIPO,MATCH(V2568&amp;"-P"&amp;MAX(1,COUNTIFS(C_RUTN,V2568,C_DEF,"Sí",C_INI,"&lt;="&amp;EOMONTH(B2568,0))),C_CLAVE,0))&amp;"","Sin contrato"))</f>
        <v/>
      </c>
      <c r="T2568" s="63" t="str">
        <f aca="false">IF(OR(B2568="",N(O2568)=0),"",N(O2568)+ROUND(MIN(N(N2568),TOPE_UF*UF_MES)*(TASA_EMP+MUTUAL),0)+ROUND(MIN(N(N2568),TOPE_AFC_UF*UF_MES)*IF(S2568="Indefinido",AFC_INDEF,AFC_PF),0))</f>
        <v/>
      </c>
      <c r="U2568" s="62" t="str">
        <f aca="false">IF(C2568="","",IF(LEFT(D2568,1)="⚠","⚠ RUT no registrado en Trabajadores",IF(B2568="","⚠ Falta el mes",IF(OR(ISTEXT(I2568),ISTEXT(J2568)),"⚠ Atrasos u horas extra como texto: escriba hh:mm (ej. 1:30)",IF(AND(ISNUMBER(Q2568),COUNTIFS(M_RUTN,V2568,M_MES,B2568,M_LIQ,"&lt;&gt;")&gt;1),"⚠ Liquidación repetida en el mes",IF(AND(ISNUMBER(O2568),ISNUMBER(P2568),ISNUMBER(Q2568),ABS(O2568-P2568-Q2568)&gt;1),"⚠ Haberes − descuentos no da el líquido","OK"))))))</f>
        <v/>
      </c>
      <c r="V2568" s="62" t="str">
        <f aca="false">IF(C2568="","",IFERROR(VALUE(LEFT(UPPER(SUBSTITUTE(SUBSTITUTE(SUBSTITUTE(TRIM(C2568),".",""),"-","")," ","")),LEN(UPPER(SUBSTITUTE(SUBSTITUTE(SUBSTITUTE(TRIM(C2568),".",""),"-","")," ","")))-1))&amp;RIGHT(UPPER(SUBSTITUTE(SUBSTITUTE(SUBSTITUTE(TRIM(C2568),".",""),"-","")," ","")),1),UPPER(SUBSTITUTE(SUBSTITUTE(SUBSTITUTE(TRIM(C2568),".",""),"-","")," ",""))))</f>
        <v/>
      </c>
    </row>
    <row r="2569" customFormat="false" ht="15" hidden="false" customHeight="false" outlineLevel="0" collapsed="false">
      <c r="B2569" s="80"/>
      <c r="C2569" s="58"/>
      <c r="D2569" s="62" t="str">
        <f aca="false">IF(C2569="","",IFERROR(INDEX(T_NOMBRE,MATCH(V2569,T_RUTN,0)),"⚠ RUT no está en Trabajadores"))</f>
        <v/>
      </c>
      <c r="E2569" s="61"/>
      <c r="F2569" s="61"/>
      <c r="G2569" s="61"/>
      <c r="H2569" s="61"/>
      <c r="I2569" s="81"/>
      <c r="J2569" s="81"/>
      <c r="K2569" s="60"/>
      <c r="L2569" s="60"/>
      <c r="M2569" s="60"/>
      <c r="N2569" s="60"/>
      <c r="O2569" s="60"/>
      <c r="P2569" s="60"/>
      <c r="Q2569" s="60"/>
      <c r="R2569" s="58"/>
      <c r="S2569" s="62" t="str">
        <f aca="false">IF(OR(B2569="",V2569=""),"",IFERROR(INDEX(C_TIPO,MATCH(V2569&amp;"-P"&amp;MAX(1,COUNTIFS(C_RUTN,V2569,C_DEF,"Sí",C_INI,"&lt;="&amp;EOMONTH(B2569,0))),C_CLAVE,0))&amp;"","Sin contrato"))</f>
        <v/>
      </c>
      <c r="T2569" s="63" t="str">
        <f aca="false">IF(OR(B2569="",N(O2569)=0),"",N(O2569)+ROUND(MIN(N(N2569),TOPE_UF*UF_MES)*(TASA_EMP+MUTUAL),0)+ROUND(MIN(N(N2569),TOPE_AFC_UF*UF_MES)*IF(S2569="Indefinido",AFC_INDEF,AFC_PF),0))</f>
        <v/>
      </c>
      <c r="U2569" s="62" t="str">
        <f aca="false">IF(C2569="","",IF(LEFT(D2569,1)="⚠","⚠ RUT no registrado en Trabajadores",IF(B2569="","⚠ Falta el mes",IF(OR(ISTEXT(I2569),ISTEXT(J2569)),"⚠ Atrasos u horas extra como texto: escriba hh:mm (ej. 1:30)",IF(AND(ISNUMBER(Q2569),COUNTIFS(M_RUTN,V2569,M_MES,B2569,M_LIQ,"&lt;&gt;")&gt;1),"⚠ Liquidación repetida en el mes",IF(AND(ISNUMBER(O2569),ISNUMBER(P2569),ISNUMBER(Q2569),ABS(O2569-P2569-Q2569)&gt;1),"⚠ Haberes − descuentos no da el líquido","OK"))))))</f>
        <v/>
      </c>
      <c r="V2569" s="62" t="str">
        <f aca="false">IF(C2569="","",IFERROR(VALUE(LEFT(UPPER(SUBSTITUTE(SUBSTITUTE(SUBSTITUTE(TRIM(C2569),".",""),"-","")," ","")),LEN(UPPER(SUBSTITUTE(SUBSTITUTE(SUBSTITUTE(TRIM(C2569),".",""),"-","")," ","")))-1))&amp;RIGHT(UPPER(SUBSTITUTE(SUBSTITUTE(SUBSTITUTE(TRIM(C2569),".",""),"-","")," ","")),1),UPPER(SUBSTITUTE(SUBSTITUTE(SUBSTITUTE(TRIM(C2569),".",""),"-","")," ",""))))</f>
        <v/>
      </c>
    </row>
    <row r="2570" customFormat="false" ht="15" hidden="false" customHeight="false" outlineLevel="0" collapsed="false">
      <c r="B2570" s="80"/>
      <c r="C2570" s="58"/>
      <c r="D2570" s="62" t="str">
        <f aca="false">IF(C2570="","",IFERROR(INDEX(T_NOMBRE,MATCH(V2570,T_RUTN,0)),"⚠ RUT no está en Trabajadores"))</f>
        <v/>
      </c>
      <c r="E2570" s="61"/>
      <c r="F2570" s="61"/>
      <c r="G2570" s="61"/>
      <c r="H2570" s="61"/>
      <c r="I2570" s="81"/>
      <c r="J2570" s="81"/>
      <c r="K2570" s="60"/>
      <c r="L2570" s="60"/>
      <c r="M2570" s="60"/>
      <c r="N2570" s="60"/>
      <c r="O2570" s="60"/>
      <c r="P2570" s="60"/>
      <c r="Q2570" s="60"/>
      <c r="R2570" s="58"/>
      <c r="S2570" s="62" t="str">
        <f aca="false">IF(OR(B2570="",V2570=""),"",IFERROR(INDEX(C_TIPO,MATCH(V2570&amp;"-P"&amp;MAX(1,COUNTIFS(C_RUTN,V2570,C_DEF,"Sí",C_INI,"&lt;="&amp;EOMONTH(B2570,0))),C_CLAVE,0))&amp;"","Sin contrato"))</f>
        <v/>
      </c>
      <c r="T2570" s="63" t="str">
        <f aca="false">IF(OR(B2570="",N(O2570)=0),"",N(O2570)+ROUND(MIN(N(N2570),TOPE_UF*UF_MES)*(TASA_EMP+MUTUAL),0)+ROUND(MIN(N(N2570),TOPE_AFC_UF*UF_MES)*IF(S2570="Indefinido",AFC_INDEF,AFC_PF),0))</f>
        <v/>
      </c>
      <c r="U2570" s="62" t="str">
        <f aca="false">IF(C2570="","",IF(LEFT(D2570,1)="⚠","⚠ RUT no registrado en Trabajadores",IF(B2570="","⚠ Falta el mes",IF(OR(ISTEXT(I2570),ISTEXT(J2570)),"⚠ Atrasos u horas extra como texto: escriba hh:mm (ej. 1:30)",IF(AND(ISNUMBER(Q2570),COUNTIFS(M_RUTN,V2570,M_MES,B2570,M_LIQ,"&lt;&gt;")&gt;1),"⚠ Liquidación repetida en el mes",IF(AND(ISNUMBER(O2570),ISNUMBER(P2570),ISNUMBER(Q2570),ABS(O2570-P2570-Q2570)&gt;1),"⚠ Haberes − descuentos no da el líquido","OK"))))))</f>
        <v/>
      </c>
      <c r="V2570" s="62" t="str">
        <f aca="false">IF(C2570="","",IFERROR(VALUE(LEFT(UPPER(SUBSTITUTE(SUBSTITUTE(SUBSTITUTE(TRIM(C2570),".",""),"-","")," ","")),LEN(UPPER(SUBSTITUTE(SUBSTITUTE(SUBSTITUTE(TRIM(C2570),".",""),"-","")," ","")))-1))&amp;RIGHT(UPPER(SUBSTITUTE(SUBSTITUTE(SUBSTITUTE(TRIM(C2570),".",""),"-","")," ","")),1),UPPER(SUBSTITUTE(SUBSTITUTE(SUBSTITUTE(TRIM(C2570),".",""),"-","")," ",""))))</f>
        <v/>
      </c>
    </row>
    <row r="2571" customFormat="false" ht="15" hidden="false" customHeight="false" outlineLevel="0" collapsed="false">
      <c r="B2571" s="80"/>
      <c r="C2571" s="58"/>
      <c r="D2571" s="62" t="str">
        <f aca="false">IF(C2571="","",IFERROR(INDEX(T_NOMBRE,MATCH(V2571,T_RUTN,0)),"⚠ RUT no está en Trabajadores"))</f>
        <v/>
      </c>
      <c r="E2571" s="61"/>
      <c r="F2571" s="61"/>
      <c r="G2571" s="61"/>
      <c r="H2571" s="61"/>
      <c r="I2571" s="81"/>
      <c r="J2571" s="81"/>
      <c r="K2571" s="60"/>
      <c r="L2571" s="60"/>
      <c r="M2571" s="60"/>
      <c r="N2571" s="60"/>
      <c r="O2571" s="60"/>
      <c r="P2571" s="60"/>
      <c r="Q2571" s="60"/>
      <c r="R2571" s="58"/>
      <c r="S2571" s="62" t="str">
        <f aca="false">IF(OR(B2571="",V2571=""),"",IFERROR(INDEX(C_TIPO,MATCH(V2571&amp;"-P"&amp;MAX(1,COUNTIFS(C_RUTN,V2571,C_DEF,"Sí",C_INI,"&lt;="&amp;EOMONTH(B2571,0))),C_CLAVE,0))&amp;"","Sin contrato"))</f>
        <v/>
      </c>
      <c r="T2571" s="63" t="str">
        <f aca="false">IF(OR(B2571="",N(O2571)=0),"",N(O2571)+ROUND(MIN(N(N2571),TOPE_UF*UF_MES)*(TASA_EMP+MUTUAL),0)+ROUND(MIN(N(N2571),TOPE_AFC_UF*UF_MES)*IF(S2571="Indefinido",AFC_INDEF,AFC_PF),0))</f>
        <v/>
      </c>
      <c r="U2571" s="62" t="str">
        <f aca="false">IF(C2571="","",IF(LEFT(D2571,1)="⚠","⚠ RUT no registrado en Trabajadores",IF(B2571="","⚠ Falta el mes",IF(OR(ISTEXT(I2571),ISTEXT(J2571)),"⚠ Atrasos u horas extra como texto: escriba hh:mm (ej. 1:30)",IF(AND(ISNUMBER(Q2571),COUNTIFS(M_RUTN,V2571,M_MES,B2571,M_LIQ,"&lt;&gt;")&gt;1),"⚠ Liquidación repetida en el mes",IF(AND(ISNUMBER(O2571),ISNUMBER(P2571),ISNUMBER(Q2571),ABS(O2571-P2571-Q2571)&gt;1),"⚠ Haberes − descuentos no da el líquido","OK"))))))</f>
        <v/>
      </c>
      <c r="V2571" s="62" t="str">
        <f aca="false">IF(C2571="","",IFERROR(VALUE(LEFT(UPPER(SUBSTITUTE(SUBSTITUTE(SUBSTITUTE(TRIM(C2571),".",""),"-","")," ","")),LEN(UPPER(SUBSTITUTE(SUBSTITUTE(SUBSTITUTE(TRIM(C2571),".",""),"-","")," ","")))-1))&amp;RIGHT(UPPER(SUBSTITUTE(SUBSTITUTE(SUBSTITUTE(TRIM(C2571),".",""),"-","")," ","")),1),UPPER(SUBSTITUTE(SUBSTITUTE(SUBSTITUTE(TRIM(C2571),".",""),"-","")," ",""))))</f>
        <v/>
      </c>
    </row>
    <row r="2572" customFormat="false" ht="15" hidden="false" customHeight="false" outlineLevel="0" collapsed="false">
      <c r="B2572" s="80"/>
      <c r="C2572" s="58"/>
      <c r="D2572" s="62" t="str">
        <f aca="false">IF(C2572="","",IFERROR(INDEX(T_NOMBRE,MATCH(V2572,T_RUTN,0)),"⚠ RUT no está en Trabajadores"))</f>
        <v/>
      </c>
      <c r="E2572" s="61"/>
      <c r="F2572" s="61"/>
      <c r="G2572" s="61"/>
      <c r="H2572" s="61"/>
      <c r="I2572" s="81"/>
      <c r="J2572" s="81"/>
      <c r="K2572" s="60"/>
      <c r="L2572" s="60"/>
      <c r="M2572" s="60"/>
      <c r="N2572" s="60"/>
      <c r="O2572" s="60"/>
      <c r="P2572" s="60"/>
      <c r="Q2572" s="60"/>
      <c r="R2572" s="58"/>
      <c r="S2572" s="62" t="str">
        <f aca="false">IF(OR(B2572="",V2572=""),"",IFERROR(INDEX(C_TIPO,MATCH(V2572&amp;"-P"&amp;MAX(1,COUNTIFS(C_RUTN,V2572,C_DEF,"Sí",C_INI,"&lt;="&amp;EOMONTH(B2572,0))),C_CLAVE,0))&amp;"","Sin contrato"))</f>
        <v/>
      </c>
      <c r="T2572" s="63" t="str">
        <f aca="false">IF(OR(B2572="",N(O2572)=0),"",N(O2572)+ROUND(MIN(N(N2572),TOPE_UF*UF_MES)*(TASA_EMP+MUTUAL),0)+ROUND(MIN(N(N2572),TOPE_AFC_UF*UF_MES)*IF(S2572="Indefinido",AFC_INDEF,AFC_PF),0))</f>
        <v/>
      </c>
      <c r="U2572" s="62" t="str">
        <f aca="false">IF(C2572="","",IF(LEFT(D2572,1)="⚠","⚠ RUT no registrado en Trabajadores",IF(B2572="","⚠ Falta el mes",IF(OR(ISTEXT(I2572),ISTEXT(J2572)),"⚠ Atrasos u horas extra como texto: escriba hh:mm (ej. 1:30)",IF(AND(ISNUMBER(Q2572),COUNTIFS(M_RUTN,V2572,M_MES,B2572,M_LIQ,"&lt;&gt;")&gt;1),"⚠ Liquidación repetida en el mes",IF(AND(ISNUMBER(O2572),ISNUMBER(P2572),ISNUMBER(Q2572),ABS(O2572-P2572-Q2572)&gt;1),"⚠ Haberes − descuentos no da el líquido","OK"))))))</f>
        <v/>
      </c>
      <c r="V2572" s="62" t="str">
        <f aca="false">IF(C2572="","",IFERROR(VALUE(LEFT(UPPER(SUBSTITUTE(SUBSTITUTE(SUBSTITUTE(TRIM(C2572),".",""),"-","")," ","")),LEN(UPPER(SUBSTITUTE(SUBSTITUTE(SUBSTITUTE(TRIM(C2572),".",""),"-","")," ","")))-1))&amp;RIGHT(UPPER(SUBSTITUTE(SUBSTITUTE(SUBSTITUTE(TRIM(C2572),".",""),"-","")," ","")),1),UPPER(SUBSTITUTE(SUBSTITUTE(SUBSTITUTE(TRIM(C2572),".",""),"-","")," ",""))))</f>
        <v/>
      </c>
    </row>
    <row r="2573" customFormat="false" ht="15" hidden="false" customHeight="false" outlineLevel="0" collapsed="false">
      <c r="B2573" s="80"/>
      <c r="C2573" s="58"/>
      <c r="D2573" s="62" t="str">
        <f aca="false">IF(C2573="","",IFERROR(INDEX(T_NOMBRE,MATCH(V2573,T_RUTN,0)),"⚠ RUT no está en Trabajadores"))</f>
        <v/>
      </c>
      <c r="E2573" s="61"/>
      <c r="F2573" s="61"/>
      <c r="G2573" s="61"/>
      <c r="H2573" s="61"/>
      <c r="I2573" s="81"/>
      <c r="J2573" s="81"/>
      <c r="K2573" s="60"/>
      <c r="L2573" s="60"/>
      <c r="M2573" s="60"/>
      <c r="N2573" s="60"/>
      <c r="O2573" s="60"/>
      <c r="P2573" s="60"/>
      <c r="Q2573" s="60"/>
      <c r="R2573" s="58"/>
      <c r="S2573" s="62" t="str">
        <f aca="false">IF(OR(B2573="",V2573=""),"",IFERROR(INDEX(C_TIPO,MATCH(V2573&amp;"-P"&amp;MAX(1,COUNTIFS(C_RUTN,V2573,C_DEF,"Sí",C_INI,"&lt;="&amp;EOMONTH(B2573,0))),C_CLAVE,0))&amp;"","Sin contrato"))</f>
        <v/>
      </c>
      <c r="T2573" s="63" t="str">
        <f aca="false">IF(OR(B2573="",N(O2573)=0),"",N(O2573)+ROUND(MIN(N(N2573),TOPE_UF*UF_MES)*(TASA_EMP+MUTUAL),0)+ROUND(MIN(N(N2573),TOPE_AFC_UF*UF_MES)*IF(S2573="Indefinido",AFC_INDEF,AFC_PF),0))</f>
        <v/>
      </c>
      <c r="U2573" s="62" t="str">
        <f aca="false">IF(C2573="","",IF(LEFT(D2573,1)="⚠","⚠ RUT no registrado en Trabajadores",IF(B2573="","⚠ Falta el mes",IF(OR(ISTEXT(I2573),ISTEXT(J2573)),"⚠ Atrasos u horas extra como texto: escriba hh:mm (ej. 1:30)",IF(AND(ISNUMBER(Q2573),COUNTIFS(M_RUTN,V2573,M_MES,B2573,M_LIQ,"&lt;&gt;")&gt;1),"⚠ Liquidación repetida en el mes",IF(AND(ISNUMBER(O2573),ISNUMBER(P2573),ISNUMBER(Q2573),ABS(O2573-P2573-Q2573)&gt;1),"⚠ Haberes − descuentos no da el líquido","OK"))))))</f>
        <v/>
      </c>
      <c r="V2573" s="62" t="str">
        <f aca="false">IF(C2573="","",IFERROR(VALUE(LEFT(UPPER(SUBSTITUTE(SUBSTITUTE(SUBSTITUTE(TRIM(C2573),".",""),"-","")," ","")),LEN(UPPER(SUBSTITUTE(SUBSTITUTE(SUBSTITUTE(TRIM(C2573),".",""),"-","")," ","")))-1))&amp;RIGHT(UPPER(SUBSTITUTE(SUBSTITUTE(SUBSTITUTE(TRIM(C2573),".",""),"-","")," ","")),1),UPPER(SUBSTITUTE(SUBSTITUTE(SUBSTITUTE(TRIM(C2573),".",""),"-","")," ",""))))</f>
        <v/>
      </c>
    </row>
    <row r="2574" customFormat="false" ht="15" hidden="false" customHeight="false" outlineLevel="0" collapsed="false">
      <c r="B2574" s="80"/>
      <c r="C2574" s="58"/>
      <c r="D2574" s="62" t="str">
        <f aca="false">IF(C2574="","",IFERROR(INDEX(T_NOMBRE,MATCH(V2574,T_RUTN,0)),"⚠ RUT no está en Trabajadores"))</f>
        <v/>
      </c>
      <c r="E2574" s="61"/>
      <c r="F2574" s="61"/>
      <c r="G2574" s="61"/>
      <c r="H2574" s="61"/>
      <c r="I2574" s="81"/>
      <c r="J2574" s="81"/>
      <c r="K2574" s="60"/>
      <c r="L2574" s="60"/>
      <c r="M2574" s="60"/>
      <c r="N2574" s="60"/>
      <c r="O2574" s="60"/>
      <c r="P2574" s="60"/>
      <c r="Q2574" s="60"/>
      <c r="R2574" s="58"/>
      <c r="S2574" s="62" t="str">
        <f aca="false">IF(OR(B2574="",V2574=""),"",IFERROR(INDEX(C_TIPO,MATCH(V2574&amp;"-P"&amp;MAX(1,COUNTIFS(C_RUTN,V2574,C_DEF,"Sí",C_INI,"&lt;="&amp;EOMONTH(B2574,0))),C_CLAVE,0))&amp;"","Sin contrato"))</f>
        <v/>
      </c>
      <c r="T2574" s="63" t="str">
        <f aca="false">IF(OR(B2574="",N(O2574)=0),"",N(O2574)+ROUND(MIN(N(N2574),TOPE_UF*UF_MES)*(TASA_EMP+MUTUAL),0)+ROUND(MIN(N(N2574),TOPE_AFC_UF*UF_MES)*IF(S2574="Indefinido",AFC_INDEF,AFC_PF),0))</f>
        <v/>
      </c>
      <c r="U2574" s="62" t="str">
        <f aca="false">IF(C2574="","",IF(LEFT(D2574,1)="⚠","⚠ RUT no registrado en Trabajadores",IF(B2574="","⚠ Falta el mes",IF(OR(ISTEXT(I2574),ISTEXT(J2574)),"⚠ Atrasos u horas extra como texto: escriba hh:mm (ej. 1:30)",IF(AND(ISNUMBER(Q2574),COUNTIFS(M_RUTN,V2574,M_MES,B2574,M_LIQ,"&lt;&gt;")&gt;1),"⚠ Liquidación repetida en el mes",IF(AND(ISNUMBER(O2574),ISNUMBER(P2574),ISNUMBER(Q2574),ABS(O2574-P2574-Q2574)&gt;1),"⚠ Haberes − descuentos no da el líquido","OK"))))))</f>
        <v/>
      </c>
      <c r="V2574" s="62" t="str">
        <f aca="false">IF(C2574="","",IFERROR(VALUE(LEFT(UPPER(SUBSTITUTE(SUBSTITUTE(SUBSTITUTE(TRIM(C2574),".",""),"-","")," ","")),LEN(UPPER(SUBSTITUTE(SUBSTITUTE(SUBSTITUTE(TRIM(C2574),".",""),"-","")," ","")))-1))&amp;RIGHT(UPPER(SUBSTITUTE(SUBSTITUTE(SUBSTITUTE(TRIM(C2574),".",""),"-","")," ","")),1),UPPER(SUBSTITUTE(SUBSTITUTE(SUBSTITUTE(TRIM(C2574),".",""),"-","")," ",""))))</f>
        <v/>
      </c>
    </row>
    <row r="2575" customFormat="false" ht="15" hidden="false" customHeight="false" outlineLevel="0" collapsed="false">
      <c r="B2575" s="80"/>
      <c r="C2575" s="58"/>
      <c r="D2575" s="62" t="str">
        <f aca="false">IF(C2575="","",IFERROR(INDEX(T_NOMBRE,MATCH(V2575,T_RUTN,0)),"⚠ RUT no está en Trabajadores"))</f>
        <v/>
      </c>
      <c r="E2575" s="61"/>
      <c r="F2575" s="61"/>
      <c r="G2575" s="61"/>
      <c r="H2575" s="61"/>
      <c r="I2575" s="81"/>
      <c r="J2575" s="81"/>
      <c r="K2575" s="60"/>
      <c r="L2575" s="60"/>
      <c r="M2575" s="60"/>
      <c r="N2575" s="60"/>
      <c r="O2575" s="60"/>
      <c r="P2575" s="60"/>
      <c r="Q2575" s="60"/>
      <c r="R2575" s="58"/>
      <c r="S2575" s="62" t="str">
        <f aca="false">IF(OR(B2575="",V2575=""),"",IFERROR(INDEX(C_TIPO,MATCH(V2575&amp;"-P"&amp;MAX(1,COUNTIFS(C_RUTN,V2575,C_DEF,"Sí",C_INI,"&lt;="&amp;EOMONTH(B2575,0))),C_CLAVE,0))&amp;"","Sin contrato"))</f>
        <v/>
      </c>
      <c r="T2575" s="63" t="str">
        <f aca="false">IF(OR(B2575="",N(O2575)=0),"",N(O2575)+ROUND(MIN(N(N2575),TOPE_UF*UF_MES)*(TASA_EMP+MUTUAL),0)+ROUND(MIN(N(N2575),TOPE_AFC_UF*UF_MES)*IF(S2575="Indefinido",AFC_INDEF,AFC_PF),0))</f>
        <v/>
      </c>
      <c r="U2575" s="62" t="str">
        <f aca="false">IF(C2575="","",IF(LEFT(D2575,1)="⚠","⚠ RUT no registrado en Trabajadores",IF(B2575="","⚠ Falta el mes",IF(OR(ISTEXT(I2575),ISTEXT(J2575)),"⚠ Atrasos u horas extra como texto: escriba hh:mm (ej. 1:30)",IF(AND(ISNUMBER(Q2575),COUNTIFS(M_RUTN,V2575,M_MES,B2575,M_LIQ,"&lt;&gt;")&gt;1),"⚠ Liquidación repetida en el mes",IF(AND(ISNUMBER(O2575),ISNUMBER(P2575),ISNUMBER(Q2575),ABS(O2575-P2575-Q2575)&gt;1),"⚠ Haberes − descuentos no da el líquido","OK"))))))</f>
        <v/>
      </c>
      <c r="V2575" s="62" t="str">
        <f aca="false">IF(C2575="","",IFERROR(VALUE(LEFT(UPPER(SUBSTITUTE(SUBSTITUTE(SUBSTITUTE(TRIM(C2575),".",""),"-","")," ","")),LEN(UPPER(SUBSTITUTE(SUBSTITUTE(SUBSTITUTE(TRIM(C2575),".",""),"-","")," ","")))-1))&amp;RIGHT(UPPER(SUBSTITUTE(SUBSTITUTE(SUBSTITUTE(TRIM(C2575),".",""),"-","")," ","")),1),UPPER(SUBSTITUTE(SUBSTITUTE(SUBSTITUTE(TRIM(C2575),".",""),"-","")," ",""))))</f>
        <v/>
      </c>
    </row>
    <row r="2576" customFormat="false" ht="15" hidden="false" customHeight="false" outlineLevel="0" collapsed="false">
      <c r="B2576" s="80"/>
      <c r="C2576" s="58"/>
      <c r="D2576" s="62" t="str">
        <f aca="false">IF(C2576="","",IFERROR(INDEX(T_NOMBRE,MATCH(V2576,T_RUTN,0)),"⚠ RUT no está en Trabajadores"))</f>
        <v/>
      </c>
      <c r="E2576" s="61"/>
      <c r="F2576" s="61"/>
      <c r="G2576" s="61"/>
      <c r="H2576" s="61"/>
      <c r="I2576" s="81"/>
      <c r="J2576" s="81"/>
      <c r="K2576" s="60"/>
      <c r="L2576" s="60"/>
      <c r="M2576" s="60"/>
      <c r="N2576" s="60"/>
      <c r="O2576" s="60"/>
      <c r="P2576" s="60"/>
      <c r="Q2576" s="60"/>
      <c r="R2576" s="58"/>
      <c r="S2576" s="62" t="str">
        <f aca="false">IF(OR(B2576="",V2576=""),"",IFERROR(INDEX(C_TIPO,MATCH(V2576&amp;"-P"&amp;MAX(1,COUNTIFS(C_RUTN,V2576,C_DEF,"Sí",C_INI,"&lt;="&amp;EOMONTH(B2576,0))),C_CLAVE,0))&amp;"","Sin contrato"))</f>
        <v/>
      </c>
      <c r="T2576" s="63" t="str">
        <f aca="false">IF(OR(B2576="",N(O2576)=0),"",N(O2576)+ROUND(MIN(N(N2576),TOPE_UF*UF_MES)*(TASA_EMP+MUTUAL),0)+ROUND(MIN(N(N2576),TOPE_AFC_UF*UF_MES)*IF(S2576="Indefinido",AFC_INDEF,AFC_PF),0))</f>
        <v/>
      </c>
      <c r="U2576" s="62" t="str">
        <f aca="false">IF(C2576="","",IF(LEFT(D2576,1)="⚠","⚠ RUT no registrado en Trabajadores",IF(B2576="","⚠ Falta el mes",IF(OR(ISTEXT(I2576),ISTEXT(J2576)),"⚠ Atrasos u horas extra como texto: escriba hh:mm (ej. 1:30)",IF(AND(ISNUMBER(Q2576),COUNTIFS(M_RUTN,V2576,M_MES,B2576,M_LIQ,"&lt;&gt;")&gt;1),"⚠ Liquidación repetida en el mes",IF(AND(ISNUMBER(O2576),ISNUMBER(P2576),ISNUMBER(Q2576),ABS(O2576-P2576-Q2576)&gt;1),"⚠ Haberes − descuentos no da el líquido","OK"))))))</f>
        <v/>
      </c>
      <c r="V2576" s="62" t="str">
        <f aca="false">IF(C2576="","",IFERROR(VALUE(LEFT(UPPER(SUBSTITUTE(SUBSTITUTE(SUBSTITUTE(TRIM(C2576),".",""),"-","")," ","")),LEN(UPPER(SUBSTITUTE(SUBSTITUTE(SUBSTITUTE(TRIM(C2576),".",""),"-","")," ","")))-1))&amp;RIGHT(UPPER(SUBSTITUTE(SUBSTITUTE(SUBSTITUTE(TRIM(C2576),".",""),"-","")," ","")),1),UPPER(SUBSTITUTE(SUBSTITUTE(SUBSTITUTE(TRIM(C2576),".",""),"-","")," ",""))))</f>
        <v/>
      </c>
    </row>
    <row r="2577" customFormat="false" ht="15" hidden="false" customHeight="false" outlineLevel="0" collapsed="false">
      <c r="B2577" s="80"/>
      <c r="C2577" s="58"/>
      <c r="D2577" s="62" t="str">
        <f aca="false">IF(C2577="","",IFERROR(INDEX(T_NOMBRE,MATCH(V2577,T_RUTN,0)),"⚠ RUT no está en Trabajadores"))</f>
        <v/>
      </c>
      <c r="E2577" s="61"/>
      <c r="F2577" s="61"/>
      <c r="G2577" s="61"/>
      <c r="H2577" s="61"/>
      <c r="I2577" s="81"/>
      <c r="J2577" s="81"/>
      <c r="K2577" s="60"/>
      <c r="L2577" s="60"/>
      <c r="M2577" s="60"/>
      <c r="N2577" s="60"/>
      <c r="O2577" s="60"/>
      <c r="P2577" s="60"/>
      <c r="Q2577" s="60"/>
      <c r="R2577" s="58"/>
      <c r="S2577" s="62" t="str">
        <f aca="false">IF(OR(B2577="",V2577=""),"",IFERROR(INDEX(C_TIPO,MATCH(V2577&amp;"-P"&amp;MAX(1,COUNTIFS(C_RUTN,V2577,C_DEF,"Sí",C_INI,"&lt;="&amp;EOMONTH(B2577,0))),C_CLAVE,0))&amp;"","Sin contrato"))</f>
        <v/>
      </c>
      <c r="T2577" s="63" t="str">
        <f aca="false">IF(OR(B2577="",N(O2577)=0),"",N(O2577)+ROUND(MIN(N(N2577),TOPE_UF*UF_MES)*(TASA_EMP+MUTUAL),0)+ROUND(MIN(N(N2577),TOPE_AFC_UF*UF_MES)*IF(S2577="Indefinido",AFC_INDEF,AFC_PF),0))</f>
        <v/>
      </c>
      <c r="U2577" s="62" t="str">
        <f aca="false">IF(C2577="","",IF(LEFT(D2577,1)="⚠","⚠ RUT no registrado en Trabajadores",IF(B2577="","⚠ Falta el mes",IF(OR(ISTEXT(I2577),ISTEXT(J2577)),"⚠ Atrasos u horas extra como texto: escriba hh:mm (ej. 1:30)",IF(AND(ISNUMBER(Q2577),COUNTIFS(M_RUTN,V2577,M_MES,B2577,M_LIQ,"&lt;&gt;")&gt;1),"⚠ Liquidación repetida en el mes",IF(AND(ISNUMBER(O2577),ISNUMBER(P2577),ISNUMBER(Q2577),ABS(O2577-P2577-Q2577)&gt;1),"⚠ Haberes − descuentos no da el líquido","OK"))))))</f>
        <v/>
      </c>
      <c r="V2577" s="62" t="str">
        <f aca="false">IF(C2577="","",IFERROR(VALUE(LEFT(UPPER(SUBSTITUTE(SUBSTITUTE(SUBSTITUTE(TRIM(C2577),".",""),"-","")," ","")),LEN(UPPER(SUBSTITUTE(SUBSTITUTE(SUBSTITUTE(TRIM(C2577),".",""),"-","")," ","")))-1))&amp;RIGHT(UPPER(SUBSTITUTE(SUBSTITUTE(SUBSTITUTE(TRIM(C2577),".",""),"-","")," ","")),1),UPPER(SUBSTITUTE(SUBSTITUTE(SUBSTITUTE(TRIM(C2577),".",""),"-","")," ",""))))</f>
        <v/>
      </c>
    </row>
    <row r="2578" customFormat="false" ht="15" hidden="false" customHeight="false" outlineLevel="0" collapsed="false">
      <c r="B2578" s="80"/>
      <c r="C2578" s="58"/>
      <c r="D2578" s="62" t="str">
        <f aca="false">IF(C2578="","",IFERROR(INDEX(T_NOMBRE,MATCH(V2578,T_RUTN,0)),"⚠ RUT no está en Trabajadores"))</f>
        <v/>
      </c>
      <c r="E2578" s="61"/>
      <c r="F2578" s="61"/>
      <c r="G2578" s="61"/>
      <c r="H2578" s="61"/>
      <c r="I2578" s="81"/>
      <c r="J2578" s="81"/>
      <c r="K2578" s="60"/>
      <c r="L2578" s="60"/>
      <c r="M2578" s="60"/>
      <c r="N2578" s="60"/>
      <c r="O2578" s="60"/>
      <c r="P2578" s="60"/>
      <c r="Q2578" s="60"/>
      <c r="R2578" s="58"/>
      <c r="S2578" s="62" t="str">
        <f aca="false">IF(OR(B2578="",V2578=""),"",IFERROR(INDEX(C_TIPO,MATCH(V2578&amp;"-P"&amp;MAX(1,COUNTIFS(C_RUTN,V2578,C_DEF,"Sí",C_INI,"&lt;="&amp;EOMONTH(B2578,0))),C_CLAVE,0))&amp;"","Sin contrato"))</f>
        <v/>
      </c>
      <c r="T2578" s="63" t="str">
        <f aca="false">IF(OR(B2578="",N(O2578)=0),"",N(O2578)+ROUND(MIN(N(N2578),TOPE_UF*UF_MES)*(TASA_EMP+MUTUAL),0)+ROUND(MIN(N(N2578),TOPE_AFC_UF*UF_MES)*IF(S2578="Indefinido",AFC_INDEF,AFC_PF),0))</f>
        <v/>
      </c>
      <c r="U2578" s="62" t="str">
        <f aca="false">IF(C2578="","",IF(LEFT(D2578,1)="⚠","⚠ RUT no registrado en Trabajadores",IF(B2578="","⚠ Falta el mes",IF(OR(ISTEXT(I2578),ISTEXT(J2578)),"⚠ Atrasos u horas extra como texto: escriba hh:mm (ej. 1:30)",IF(AND(ISNUMBER(Q2578),COUNTIFS(M_RUTN,V2578,M_MES,B2578,M_LIQ,"&lt;&gt;")&gt;1),"⚠ Liquidación repetida en el mes",IF(AND(ISNUMBER(O2578),ISNUMBER(P2578),ISNUMBER(Q2578),ABS(O2578-P2578-Q2578)&gt;1),"⚠ Haberes − descuentos no da el líquido","OK"))))))</f>
        <v/>
      </c>
      <c r="V2578" s="62" t="str">
        <f aca="false">IF(C2578="","",IFERROR(VALUE(LEFT(UPPER(SUBSTITUTE(SUBSTITUTE(SUBSTITUTE(TRIM(C2578),".",""),"-","")," ","")),LEN(UPPER(SUBSTITUTE(SUBSTITUTE(SUBSTITUTE(TRIM(C2578),".",""),"-","")," ","")))-1))&amp;RIGHT(UPPER(SUBSTITUTE(SUBSTITUTE(SUBSTITUTE(TRIM(C2578),".",""),"-","")," ","")),1),UPPER(SUBSTITUTE(SUBSTITUTE(SUBSTITUTE(TRIM(C2578),".",""),"-","")," ",""))))</f>
        <v/>
      </c>
    </row>
    <row r="2579" customFormat="false" ht="15" hidden="false" customHeight="false" outlineLevel="0" collapsed="false">
      <c r="B2579" s="80"/>
      <c r="C2579" s="58"/>
      <c r="D2579" s="62" t="str">
        <f aca="false">IF(C2579="","",IFERROR(INDEX(T_NOMBRE,MATCH(V2579,T_RUTN,0)),"⚠ RUT no está en Trabajadores"))</f>
        <v/>
      </c>
      <c r="E2579" s="61"/>
      <c r="F2579" s="61"/>
      <c r="G2579" s="61"/>
      <c r="H2579" s="61"/>
      <c r="I2579" s="81"/>
      <c r="J2579" s="81"/>
      <c r="K2579" s="60"/>
      <c r="L2579" s="60"/>
      <c r="M2579" s="60"/>
      <c r="N2579" s="60"/>
      <c r="O2579" s="60"/>
      <c r="P2579" s="60"/>
      <c r="Q2579" s="60"/>
      <c r="R2579" s="58"/>
      <c r="S2579" s="62" t="str">
        <f aca="false">IF(OR(B2579="",V2579=""),"",IFERROR(INDEX(C_TIPO,MATCH(V2579&amp;"-P"&amp;MAX(1,COUNTIFS(C_RUTN,V2579,C_DEF,"Sí",C_INI,"&lt;="&amp;EOMONTH(B2579,0))),C_CLAVE,0))&amp;"","Sin contrato"))</f>
        <v/>
      </c>
      <c r="T2579" s="63" t="str">
        <f aca="false">IF(OR(B2579="",N(O2579)=0),"",N(O2579)+ROUND(MIN(N(N2579),TOPE_UF*UF_MES)*(TASA_EMP+MUTUAL),0)+ROUND(MIN(N(N2579),TOPE_AFC_UF*UF_MES)*IF(S2579="Indefinido",AFC_INDEF,AFC_PF),0))</f>
        <v/>
      </c>
      <c r="U2579" s="62" t="str">
        <f aca="false">IF(C2579="","",IF(LEFT(D2579,1)="⚠","⚠ RUT no registrado en Trabajadores",IF(B2579="","⚠ Falta el mes",IF(OR(ISTEXT(I2579),ISTEXT(J2579)),"⚠ Atrasos u horas extra como texto: escriba hh:mm (ej. 1:30)",IF(AND(ISNUMBER(Q2579),COUNTIFS(M_RUTN,V2579,M_MES,B2579,M_LIQ,"&lt;&gt;")&gt;1),"⚠ Liquidación repetida en el mes",IF(AND(ISNUMBER(O2579),ISNUMBER(P2579),ISNUMBER(Q2579),ABS(O2579-P2579-Q2579)&gt;1),"⚠ Haberes − descuentos no da el líquido","OK"))))))</f>
        <v/>
      </c>
      <c r="V2579" s="62" t="str">
        <f aca="false">IF(C2579="","",IFERROR(VALUE(LEFT(UPPER(SUBSTITUTE(SUBSTITUTE(SUBSTITUTE(TRIM(C2579),".",""),"-","")," ","")),LEN(UPPER(SUBSTITUTE(SUBSTITUTE(SUBSTITUTE(TRIM(C2579),".",""),"-","")," ","")))-1))&amp;RIGHT(UPPER(SUBSTITUTE(SUBSTITUTE(SUBSTITUTE(TRIM(C2579),".",""),"-","")," ","")),1),UPPER(SUBSTITUTE(SUBSTITUTE(SUBSTITUTE(TRIM(C2579),".",""),"-","")," ",""))))</f>
        <v/>
      </c>
    </row>
    <row r="2580" customFormat="false" ht="15" hidden="false" customHeight="false" outlineLevel="0" collapsed="false">
      <c r="B2580" s="80"/>
      <c r="C2580" s="58"/>
      <c r="D2580" s="62" t="str">
        <f aca="false">IF(C2580="","",IFERROR(INDEX(T_NOMBRE,MATCH(V2580,T_RUTN,0)),"⚠ RUT no está en Trabajadores"))</f>
        <v/>
      </c>
      <c r="E2580" s="61"/>
      <c r="F2580" s="61"/>
      <c r="G2580" s="61"/>
      <c r="H2580" s="61"/>
      <c r="I2580" s="81"/>
      <c r="J2580" s="81"/>
      <c r="K2580" s="60"/>
      <c r="L2580" s="60"/>
      <c r="M2580" s="60"/>
      <c r="N2580" s="60"/>
      <c r="O2580" s="60"/>
      <c r="P2580" s="60"/>
      <c r="Q2580" s="60"/>
      <c r="R2580" s="58"/>
      <c r="S2580" s="62" t="str">
        <f aca="false">IF(OR(B2580="",V2580=""),"",IFERROR(INDEX(C_TIPO,MATCH(V2580&amp;"-P"&amp;MAX(1,COUNTIFS(C_RUTN,V2580,C_DEF,"Sí",C_INI,"&lt;="&amp;EOMONTH(B2580,0))),C_CLAVE,0))&amp;"","Sin contrato"))</f>
        <v/>
      </c>
      <c r="T2580" s="63" t="str">
        <f aca="false">IF(OR(B2580="",N(O2580)=0),"",N(O2580)+ROUND(MIN(N(N2580),TOPE_UF*UF_MES)*(TASA_EMP+MUTUAL),0)+ROUND(MIN(N(N2580),TOPE_AFC_UF*UF_MES)*IF(S2580="Indefinido",AFC_INDEF,AFC_PF),0))</f>
        <v/>
      </c>
      <c r="U2580" s="62" t="str">
        <f aca="false">IF(C2580="","",IF(LEFT(D2580,1)="⚠","⚠ RUT no registrado en Trabajadores",IF(B2580="","⚠ Falta el mes",IF(OR(ISTEXT(I2580),ISTEXT(J2580)),"⚠ Atrasos u horas extra como texto: escriba hh:mm (ej. 1:30)",IF(AND(ISNUMBER(Q2580),COUNTIFS(M_RUTN,V2580,M_MES,B2580,M_LIQ,"&lt;&gt;")&gt;1),"⚠ Liquidación repetida en el mes",IF(AND(ISNUMBER(O2580),ISNUMBER(P2580),ISNUMBER(Q2580),ABS(O2580-P2580-Q2580)&gt;1),"⚠ Haberes − descuentos no da el líquido","OK"))))))</f>
        <v/>
      </c>
      <c r="V2580" s="62" t="str">
        <f aca="false">IF(C2580="","",IFERROR(VALUE(LEFT(UPPER(SUBSTITUTE(SUBSTITUTE(SUBSTITUTE(TRIM(C2580),".",""),"-","")," ","")),LEN(UPPER(SUBSTITUTE(SUBSTITUTE(SUBSTITUTE(TRIM(C2580),".",""),"-","")," ","")))-1))&amp;RIGHT(UPPER(SUBSTITUTE(SUBSTITUTE(SUBSTITUTE(TRIM(C2580),".",""),"-","")," ","")),1),UPPER(SUBSTITUTE(SUBSTITUTE(SUBSTITUTE(TRIM(C2580),".",""),"-","")," ",""))))</f>
        <v/>
      </c>
    </row>
    <row r="2581" customFormat="false" ht="15" hidden="false" customHeight="false" outlineLevel="0" collapsed="false">
      <c r="B2581" s="80"/>
      <c r="C2581" s="58"/>
      <c r="D2581" s="62" t="str">
        <f aca="false">IF(C2581="","",IFERROR(INDEX(T_NOMBRE,MATCH(V2581,T_RUTN,0)),"⚠ RUT no está en Trabajadores"))</f>
        <v/>
      </c>
      <c r="E2581" s="61"/>
      <c r="F2581" s="61"/>
      <c r="G2581" s="61"/>
      <c r="H2581" s="61"/>
      <c r="I2581" s="81"/>
      <c r="J2581" s="81"/>
      <c r="K2581" s="60"/>
      <c r="L2581" s="60"/>
      <c r="M2581" s="60"/>
      <c r="N2581" s="60"/>
      <c r="O2581" s="60"/>
      <c r="P2581" s="60"/>
      <c r="Q2581" s="60"/>
      <c r="R2581" s="58"/>
      <c r="S2581" s="62" t="str">
        <f aca="false">IF(OR(B2581="",V2581=""),"",IFERROR(INDEX(C_TIPO,MATCH(V2581&amp;"-P"&amp;MAX(1,COUNTIFS(C_RUTN,V2581,C_DEF,"Sí",C_INI,"&lt;="&amp;EOMONTH(B2581,0))),C_CLAVE,0))&amp;"","Sin contrato"))</f>
        <v/>
      </c>
      <c r="T2581" s="63" t="str">
        <f aca="false">IF(OR(B2581="",N(O2581)=0),"",N(O2581)+ROUND(MIN(N(N2581),TOPE_UF*UF_MES)*(TASA_EMP+MUTUAL),0)+ROUND(MIN(N(N2581),TOPE_AFC_UF*UF_MES)*IF(S2581="Indefinido",AFC_INDEF,AFC_PF),0))</f>
        <v/>
      </c>
      <c r="U2581" s="62" t="str">
        <f aca="false">IF(C2581="","",IF(LEFT(D2581,1)="⚠","⚠ RUT no registrado en Trabajadores",IF(B2581="","⚠ Falta el mes",IF(OR(ISTEXT(I2581),ISTEXT(J2581)),"⚠ Atrasos u horas extra como texto: escriba hh:mm (ej. 1:30)",IF(AND(ISNUMBER(Q2581),COUNTIFS(M_RUTN,V2581,M_MES,B2581,M_LIQ,"&lt;&gt;")&gt;1),"⚠ Liquidación repetida en el mes",IF(AND(ISNUMBER(O2581),ISNUMBER(P2581),ISNUMBER(Q2581),ABS(O2581-P2581-Q2581)&gt;1),"⚠ Haberes − descuentos no da el líquido","OK"))))))</f>
        <v/>
      </c>
      <c r="V2581" s="62" t="str">
        <f aca="false">IF(C2581="","",IFERROR(VALUE(LEFT(UPPER(SUBSTITUTE(SUBSTITUTE(SUBSTITUTE(TRIM(C2581),".",""),"-","")," ","")),LEN(UPPER(SUBSTITUTE(SUBSTITUTE(SUBSTITUTE(TRIM(C2581),".",""),"-","")," ","")))-1))&amp;RIGHT(UPPER(SUBSTITUTE(SUBSTITUTE(SUBSTITUTE(TRIM(C2581),".",""),"-","")," ","")),1),UPPER(SUBSTITUTE(SUBSTITUTE(SUBSTITUTE(TRIM(C2581),".",""),"-","")," ",""))))</f>
        <v/>
      </c>
    </row>
    <row r="2582" customFormat="false" ht="15" hidden="false" customHeight="false" outlineLevel="0" collapsed="false">
      <c r="B2582" s="80"/>
      <c r="C2582" s="58"/>
      <c r="D2582" s="62" t="str">
        <f aca="false">IF(C2582="","",IFERROR(INDEX(T_NOMBRE,MATCH(V2582,T_RUTN,0)),"⚠ RUT no está en Trabajadores"))</f>
        <v/>
      </c>
      <c r="E2582" s="61"/>
      <c r="F2582" s="61"/>
      <c r="G2582" s="61"/>
      <c r="H2582" s="61"/>
      <c r="I2582" s="81"/>
      <c r="J2582" s="81"/>
      <c r="K2582" s="60"/>
      <c r="L2582" s="60"/>
      <c r="M2582" s="60"/>
      <c r="N2582" s="60"/>
      <c r="O2582" s="60"/>
      <c r="P2582" s="60"/>
      <c r="Q2582" s="60"/>
      <c r="R2582" s="58"/>
      <c r="S2582" s="62" t="str">
        <f aca="false">IF(OR(B2582="",V2582=""),"",IFERROR(INDEX(C_TIPO,MATCH(V2582&amp;"-P"&amp;MAX(1,COUNTIFS(C_RUTN,V2582,C_DEF,"Sí",C_INI,"&lt;="&amp;EOMONTH(B2582,0))),C_CLAVE,0))&amp;"","Sin contrato"))</f>
        <v/>
      </c>
      <c r="T2582" s="63" t="str">
        <f aca="false">IF(OR(B2582="",N(O2582)=0),"",N(O2582)+ROUND(MIN(N(N2582),TOPE_UF*UF_MES)*(TASA_EMP+MUTUAL),0)+ROUND(MIN(N(N2582),TOPE_AFC_UF*UF_MES)*IF(S2582="Indefinido",AFC_INDEF,AFC_PF),0))</f>
        <v/>
      </c>
      <c r="U2582" s="62" t="str">
        <f aca="false">IF(C2582="","",IF(LEFT(D2582,1)="⚠","⚠ RUT no registrado en Trabajadores",IF(B2582="","⚠ Falta el mes",IF(OR(ISTEXT(I2582),ISTEXT(J2582)),"⚠ Atrasos u horas extra como texto: escriba hh:mm (ej. 1:30)",IF(AND(ISNUMBER(Q2582),COUNTIFS(M_RUTN,V2582,M_MES,B2582,M_LIQ,"&lt;&gt;")&gt;1),"⚠ Liquidación repetida en el mes",IF(AND(ISNUMBER(O2582),ISNUMBER(P2582),ISNUMBER(Q2582),ABS(O2582-P2582-Q2582)&gt;1),"⚠ Haberes − descuentos no da el líquido","OK"))))))</f>
        <v/>
      </c>
      <c r="V2582" s="62" t="str">
        <f aca="false">IF(C2582="","",IFERROR(VALUE(LEFT(UPPER(SUBSTITUTE(SUBSTITUTE(SUBSTITUTE(TRIM(C2582),".",""),"-","")," ","")),LEN(UPPER(SUBSTITUTE(SUBSTITUTE(SUBSTITUTE(TRIM(C2582),".",""),"-","")," ","")))-1))&amp;RIGHT(UPPER(SUBSTITUTE(SUBSTITUTE(SUBSTITUTE(TRIM(C2582),".",""),"-","")," ","")),1),UPPER(SUBSTITUTE(SUBSTITUTE(SUBSTITUTE(TRIM(C2582),".",""),"-","")," ",""))))</f>
        <v/>
      </c>
    </row>
    <row r="2583" customFormat="false" ht="15" hidden="false" customHeight="false" outlineLevel="0" collapsed="false">
      <c r="B2583" s="80"/>
      <c r="C2583" s="58"/>
      <c r="D2583" s="62" t="str">
        <f aca="false">IF(C2583="","",IFERROR(INDEX(T_NOMBRE,MATCH(V2583,T_RUTN,0)),"⚠ RUT no está en Trabajadores"))</f>
        <v/>
      </c>
      <c r="E2583" s="61"/>
      <c r="F2583" s="61"/>
      <c r="G2583" s="61"/>
      <c r="H2583" s="61"/>
      <c r="I2583" s="81"/>
      <c r="J2583" s="81"/>
      <c r="K2583" s="60"/>
      <c r="L2583" s="60"/>
      <c r="M2583" s="60"/>
      <c r="N2583" s="60"/>
      <c r="O2583" s="60"/>
      <c r="P2583" s="60"/>
      <c r="Q2583" s="60"/>
      <c r="R2583" s="58"/>
      <c r="S2583" s="62" t="str">
        <f aca="false">IF(OR(B2583="",V2583=""),"",IFERROR(INDEX(C_TIPO,MATCH(V2583&amp;"-P"&amp;MAX(1,COUNTIFS(C_RUTN,V2583,C_DEF,"Sí",C_INI,"&lt;="&amp;EOMONTH(B2583,0))),C_CLAVE,0))&amp;"","Sin contrato"))</f>
        <v/>
      </c>
      <c r="T2583" s="63" t="str">
        <f aca="false">IF(OR(B2583="",N(O2583)=0),"",N(O2583)+ROUND(MIN(N(N2583),TOPE_UF*UF_MES)*(TASA_EMP+MUTUAL),0)+ROUND(MIN(N(N2583),TOPE_AFC_UF*UF_MES)*IF(S2583="Indefinido",AFC_INDEF,AFC_PF),0))</f>
        <v/>
      </c>
      <c r="U2583" s="62" t="str">
        <f aca="false">IF(C2583="","",IF(LEFT(D2583,1)="⚠","⚠ RUT no registrado en Trabajadores",IF(B2583="","⚠ Falta el mes",IF(OR(ISTEXT(I2583),ISTEXT(J2583)),"⚠ Atrasos u horas extra como texto: escriba hh:mm (ej. 1:30)",IF(AND(ISNUMBER(Q2583),COUNTIFS(M_RUTN,V2583,M_MES,B2583,M_LIQ,"&lt;&gt;")&gt;1),"⚠ Liquidación repetida en el mes",IF(AND(ISNUMBER(O2583),ISNUMBER(P2583),ISNUMBER(Q2583),ABS(O2583-P2583-Q2583)&gt;1),"⚠ Haberes − descuentos no da el líquido","OK"))))))</f>
        <v/>
      </c>
      <c r="V2583" s="62" t="str">
        <f aca="false">IF(C2583="","",IFERROR(VALUE(LEFT(UPPER(SUBSTITUTE(SUBSTITUTE(SUBSTITUTE(TRIM(C2583),".",""),"-","")," ","")),LEN(UPPER(SUBSTITUTE(SUBSTITUTE(SUBSTITUTE(TRIM(C2583),".",""),"-","")," ","")))-1))&amp;RIGHT(UPPER(SUBSTITUTE(SUBSTITUTE(SUBSTITUTE(TRIM(C2583),".",""),"-","")," ","")),1),UPPER(SUBSTITUTE(SUBSTITUTE(SUBSTITUTE(TRIM(C2583),".",""),"-","")," ",""))))</f>
        <v/>
      </c>
    </row>
    <row r="2584" customFormat="false" ht="15" hidden="false" customHeight="false" outlineLevel="0" collapsed="false">
      <c r="B2584" s="80"/>
      <c r="C2584" s="58"/>
      <c r="D2584" s="62" t="str">
        <f aca="false">IF(C2584="","",IFERROR(INDEX(T_NOMBRE,MATCH(V2584,T_RUTN,0)),"⚠ RUT no está en Trabajadores"))</f>
        <v/>
      </c>
      <c r="E2584" s="61"/>
      <c r="F2584" s="61"/>
      <c r="G2584" s="61"/>
      <c r="H2584" s="61"/>
      <c r="I2584" s="81"/>
      <c r="J2584" s="81"/>
      <c r="K2584" s="60"/>
      <c r="L2584" s="60"/>
      <c r="M2584" s="60"/>
      <c r="N2584" s="60"/>
      <c r="O2584" s="60"/>
      <c r="P2584" s="60"/>
      <c r="Q2584" s="60"/>
      <c r="R2584" s="58"/>
      <c r="S2584" s="62" t="str">
        <f aca="false">IF(OR(B2584="",V2584=""),"",IFERROR(INDEX(C_TIPO,MATCH(V2584&amp;"-P"&amp;MAX(1,COUNTIFS(C_RUTN,V2584,C_DEF,"Sí",C_INI,"&lt;="&amp;EOMONTH(B2584,0))),C_CLAVE,0))&amp;"","Sin contrato"))</f>
        <v/>
      </c>
      <c r="T2584" s="63" t="str">
        <f aca="false">IF(OR(B2584="",N(O2584)=0),"",N(O2584)+ROUND(MIN(N(N2584),TOPE_UF*UF_MES)*(TASA_EMP+MUTUAL),0)+ROUND(MIN(N(N2584),TOPE_AFC_UF*UF_MES)*IF(S2584="Indefinido",AFC_INDEF,AFC_PF),0))</f>
        <v/>
      </c>
      <c r="U2584" s="62" t="str">
        <f aca="false">IF(C2584="","",IF(LEFT(D2584,1)="⚠","⚠ RUT no registrado en Trabajadores",IF(B2584="","⚠ Falta el mes",IF(OR(ISTEXT(I2584),ISTEXT(J2584)),"⚠ Atrasos u horas extra como texto: escriba hh:mm (ej. 1:30)",IF(AND(ISNUMBER(Q2584),COUNTIFS(M_RUTN,V2584,M_MES,B2584,M_LIQ,"&lt;&gt;")&gt;1),"⚠ Liquidación repetida en el mes",IF(AND(ISNUMBER(O2584),ISNUMBER(P2584),ISNUMBER(Q2584),ABS(O2584-P2584-Q2584)&gt;1),"⚠ Haberes − descuentos no da el líquido","OK"))))))</f>
        <v/>
      </c>
      <c r="V2584" s="62" t="str">
        <f aca="false">IF(C2584="","",IFERROR(VALUE(LEFT(UPPER(SUBSTITUTE(SUBSTITUTE(SUBSTITUTE(TRIM(C2584),".",""),"-","")," ","")),LEN(UPPER(SUBSTITUTE(SUBSTITUTE(SUBSTITUTE(TRIM(C2584),".",""),"-","")," ","")))-1))&amp;RIGHT(UPPER(SUBSTITUTE(SUBSTITUTE(SUBSTITUTE(TRIM(C2584),".",""),"-","")," ","")),1),UPPER(SUBSTITUTE(SUBSTITUTE(SUBSTITUTE(TRIM(C2584),".",""),"-","")," ",""))))</f>
        <v/>
      </c>
    </row>
    <row r="2585" customFormat="false" ht="15" hidden="false" customHeight="false" outlineLevel="0" collapsed="false">
      <c r="B2585" s="80"/>
      <c r="C2585" s="58"/>
      <c r="D2585" s="62" t="str">
        <f aca="false">IF(C2585="","",IFERROR(INDEX(T_NOMBRE,MATCH(V2585,T_RUTN,0)),"⚠ RUT no está en Trabajadores"))</f>
        <v/>
      </c>
      <c r="E2585" s="61"/>
      <c r="F2585" s="61"/>
      <c r="G2585" s="61"/>
      <c r="H2585" s="61"/>
      <c r="I2585" s="81"/>
      <c r="J2585" s="81"/>
      <c r="K2585" s="60"/>
      <c r="L2585" s="60"/>
      <c r="M2585" s="60"/>
      <c r="N2585" s="60"/>
      <c r="O2585" s="60"/>
      <c r="P2585" s="60"/>
      <c r="Q2585" s="60"/>
      <c r="R2585" s="58"/>
      <c r="S2585" s="62" t="str">
        <f aca="false">IF(OR(B2585="",V2585=""),"",IFERROR(INDEX(C_TIPO,MATCH(V2585&amp;"-P"&amp;MAX(1,COUNTIFS(C_RUTN,V2585,C_DEF,"Sí",C_INI,"&lt;="&amp;EOMONTH(B2585,0))),C_CLAVE,0))&amp;"","Sin contrato"))</f>
        <v/>
      </c>
      <c r="T2585" s="63" t="str">
        <f aca="false">IF(OR(B2585="",N(O2585)=0),"",N(O2585)+ROUND(MIN(N(N2585),TOPE_UF*UF_MES)*(TASA_EMP+MUTUAL),0)+ROUND(MIN(N(N2585),TOPE_AFC_UF*UF_MES)*IF(S2585="Indefinido",AFC_INDEF,AFC_PF),0))</f>
        <v/>
      </c>
      <c r="U2585" s="62" t="str">
        <f aca="false">IF(C2585="","",IF(LEFT(D2585,1)="⚠","⚠ RUT no registrado en Trabajadores",IF(B2585="","⚠ Falta el mes",IF(OR(ISTEXT(I2585),ISTEXT(J2585)),"⚠ Atrasos u horas extra como texto: escriba hh:mm (ej. 1:30)",IF(AND(ISNUMBER(Q2585),COUNTIFS(M_RUTN,V2585,M_MES,B2585,M_LIQ,"&lt;&gt;")&gt;1),"⚠ Liquidación repetida en el mes",IF(AND(ISNUMBER(O2585),ISNUMBER(P2585),ISNUMBER(Q2585),ABS(O2585-P2585-Q2585)&gt;1),"⚠ Haberes − descuentos no da el líquido","OK"))))))</f>
        <v/>
      </c>
      <c r="V2585" s="62" t="str">
        <f aca="false">IF(C2585="","",IFERROR(VALUE(LEFT(UPPER(SUBSTITUTE(SUBSTITUTE(SUBSTITUTE(TRIM(C2585),".",""),"-","")," ","")),LEN(UPPER(SUBSTITUTE(SUBSTITUTE(SUBSTITUTE(TRIM(C2585),".",""),"-","")," ","")))-1))&amp;RIGHT(UPPER(SUBSTITUTE(SUBSTITUTE(SUBSTITUTE(TRIM(C2585),".",""),"-","")," ","")),1),UPPER(SUBSTITUTE(SUBSTITUTE(SUBSTITUTE(TRIM(C2585),".",""),"-","")," ",""))))</f>
        <v/>
      </c>
    </row>
    <row r="2586" customFormat="false" ht="15" hidden="false" customHeight="false" outlineLevel="0" collapsed="false">
      <c r="B2586" s="80"/>
      <c r="C2586" s="58"/>
      <c r="D2586" s="62" t="str">
        <f aca="false">IF(C2586="","",IFERROR(INDEX(T_NOMBRE,MATCH(V2586,T_RUTN,0)),"⚠ RUT no está en Trabajadores"))</f>
        <v/>
      </c>
      <c r="E2586" s="61"/>
      <c r="F2586" s="61"/>
      <c r="G2586" s="61"/>
      <c r="H2586" s="61"/>
      <c r="I2586" s="81"/>
      <c r="J2586" s="81"/>
      <c r="K2586" s="60"/>
      <c r="L2586" s="60"/>
      <c r="M2586" s="60"/>
      <c r="N2586" s="60"/>
      <c r="O2586" s="60"/>
      <c r="P2586" s="60"/>
      <c r="Q2586" s="60"/>
      <c r="R2586" s="58"/>
      <c r="S2586" s="62" t="str">
        <f aca="false">IF(OR(B2586="",V2586=""),"",IFERROR(INDEX(C_TIPO,MATCH(V2586&amp;"-P"&amp;MAX(1,COUNTIFS(C_RUTN,V2586,C_DEF,"Sí",C_INI,"&lt;="&amp;EOMONTH(B2586,0))),C_CLAVE,0))&amp;"","Sin contrato"))</f>
        <v/>
      </c>
      <c r="T2586" s="63" t="str">
        <f aca="false">IF(OR(B2586="",N(O2586)=0),"",N(O2586)+ROUND(MIN(N(N2586),TOPE_UF*UF_MES)*(TASA_EMP+MUTUAL),0)+ROUND(MIN(N(N2586),TOPE_AFC_UF*UF_MES)*IF(S2586="Indefinido",AFC_INDEF,AFC_PF),0))</f>
        <v/>
      </c>
      <c r="U2586" s="62" t="str">
        <f aca="false">IF(C2586="","",IF(LEFT(D2586,1)="⚠","⚠ RUT no registrado en Trabajadores",IF(B2586="","⚠ Falta el mes",IF(OR(ISTEXT(I2586),ISTEXT(J2586)),"⚠ Atrasos u horas extra como texto: escriba hh:mm (ej. 1:30)",IF(AND(ISNUMBER(Q2586),COUNTIFS(M_RUTN,V2586,M_MES,B2586,M_LIQ,"&lt;&gt;")&gt;1),"⚠ Liquidación repetida en el mes",IF(AND(ISNUMBER(O2586),ISNUMBER(P2586),ISNUMBER(Q2586),ABS(O2586-P2586-Q2586)&gt;1),"⚠ Haberes − descuentos no da el líquido","OK"))))))</f>
        <v/>
      </c>
      <c r="V2586" s="62" t="str">
        <f aca="false">IF(C2586="","",IFERROR(VALUE(LEFT(UPPER(SUBSTITUTE(SUBSTITUTE(SUBSTITUTE(TRIM(C2586),".",""),"-","")," ","")),LEN(UPPER(SUBSTITUTE(SUBSTITUTE(SUBSTITUTE(TRIM(C2586),".",""),"-","")," ","")))-1))&amp;RIGHT(UPPER(SUBSTITUTE(SUBSTITUTE(SUBSTITUTE(TRIM(C2586),".",""),"-","")," ","")),1),UPPER(SUBSTITUTE(SUBSTITUTE(SUBSTITUTE(TRIM(C2586),".",""),"-","")," ",""))))</f>
        <v/>
      </c>
    </row>
    <row r="2587" customFormat="false" ht="15" hidden="false" customHeight="false" outlineLevel="0" collapsed="false">
      <c r="B2587" s="80"/>
      <c r="C2587" s="58"/>
      <c r="D2587" s="62" t="str">
        <f aca="false">IF(C2587="","",IFERROR(INDEX(T_NOMBRE,MATCH(V2587,T_RUTN,0)),"⚠ RUT no está en Trabajadores"))</f>
        <v/>
      </c>
      <c r="E2587" s="61"/>
      <c r="F2587" s="61"/>
      <c r="G2587" s="61"/>
      <c r="H2587" s="61"/>
      <c r="I2587" s="81"/>
      <c r="J2587" s="81"/>
      <c r="K2587" s="60"/>
      <c r="L2587" s="60"/>
      <c r="M2587" s="60"/>
      <c r="N2587" s="60"/>
      <c r="O2587" s="60"/>
      <c r="P2587" s="60"/>
      <c r="Q2587" s="60"/>
      <c r="R2587" s="58"/>
      <c r="S2587" s="62" t="str">
        <f aca="false">IF(OR(B2587="",V2587=""),"",IFERROR(INDEX(C_TIPO,MATCH(V2587&amp;"-P"&amp;MAX(1,COUNTIFS(C_RUTN,V2587,C_DEF,"Sí",C_INI,"&lt;="&amp;EOMONTH(B2587,0))),C_CLAVE,0))&amp;"","Sin contrato"))</f>
        <v/>
      </c>
      <c r="T2587" s="63" t="str">
        <f aca="false">IF(OR(B2587="",N(O2587)=0),"",N(O2587)+ROUND(MIN(N(N2587),TOPE_UF*UF_MES)*(TASA_EMP+MUTUAL),0)+ROUND(MIN(N(N2587),TOPE_AFC_UF*UF_MES)*IF(S2587="Indefinido",AFC_INDEF,AFC_PF),0))</f>
        <v/>
      </c>
      <c r="U2587" s="62" t="str">
        <f aca="false">IF(C2587="","",IF(LEFT(D2587,1)="⚠","⚠ RUT no registrado en Trabajadores",IF(B2587="","⚠ Falta el mes",IF(OR(ISTEXT(I2587),ISTEXT(J2587)),"⚠ Atrasos u horas extra como texto: escriba hh:mm (ej. 1:30)",IF(AND(ISNUMBER(Q2587),COUNTIFS(M_RUTN,V2587,M_MES,B2587,M_LIQ,"&lt;&gt;")&gt;1),"⚠ Liquidación repetida en el mes",IF(AND(ISNUMBER(O2587),ISNUMBER(P2587),ISNUMBER(Q2587),ABS(O2587-P2587-Q2587)&gt;1),"⚠ Haberes − descuentos no da el líquido","OK"))))))</f>
        <v/>
      </c>
      <c r="V2587" s="62" t="str">
        <f aca="false">IF(C2587="","",IFERROR(VALUE(LEFT(UPPER(SUBSTITUTE(SUBSTITUTE(SUBSTITUTE(TRIM(C2587),".",""),"-","")," ","")),LEN(UPPER(SUBSTITUTE(SUBSTITUTE(SUBSTITUTE(TRIM(C2587),".",""),"-","")," ","")))-1))&amp;RIGHT(UPPER(SUBSTITUTE(SUBSTITUTE(SUBSTITUTE(TRIM(C2587),".",""),"-","")," ","")),1),UPPER(SUBSTITUTE(SUBSTITUTE(SUBSTITUTE(TRIM(C2587),".",""),"-","")," ",""))))</f>
        <v/>
      </c>
    </row>
    <row r="2588" customFormat="false" ht="15" hidden="false" customHeight="false" outlineLevel="0" collapsed="false">
      <c r="B2588" s="80"/>
      <c r="C2588" s="58"/>
      <c r="D2588" s="62" t="str">
        <f aca="false">IF(C2588="","",IFERROR(INDEX(T_NOMBRE,MATCH(V2588,T_RUTN,0)),"⚠ RUT no está en Trabajadores"))</f>
        <v/>
      </c>
      <c r="E2588" s="61"/>
      <c r="F2588" s="61"/>
      <c r="G2588" s="61"/>
      <c r="H2588" s="61"/>
      <c r="I2588" s="81"/>
      <c r="J2588" s="81"/>
      <c r="K2588" s="60"/>
      <c r="L2588" s="60"/>
      <c r="M2588" s="60"/>
      <c r="N2588" s="60"/>
      <c r="O2588" s="60"/>
      <c r="P2588" s="60"/>
      <c r="Q2588" s="60"/>
      <c r="R2588" s="58"/>
      <c r="S2588" s="62" t="str">
        <f aca="false">IF(OR(B2588="",V2588=""),"",IFERROR(INDEX(C_TIPO,MATCH(V2588&amp;"-P"&amp;MAX(1,COUNTIFS(C_RUTN,V2588,C_DEF,"Sí",C_INI,"&lt;="&amp;EOMONTH(B2588,0))),C_CLAVE,0))&amp;"","Sin contrato"))</f>
        <v/>
      </c>
      <c r="T2588" s="63" t="str">
        <f aca="false">IF(OR(B2588="",N(O2588)=0),"",N(O2588)+ROUND(MIN(N(N2588),TOPE_UF*UF_MES)*(TASA_EMP+MUTUAL),0)+ROUND(MIN(N(N2588),TOPE_AFC_UF*UF_MES)*IF(S2588="Indefinido",AFC_INDEF,AFC_PF),0))</f>
        <v/>
      </c>
      <c r="U2588" s="62" t="str">
        <f aca="false">IF(C2588="","",IF(LEFT(D2588,1)="⚠","⚠ RUT no registrado en Trabajadores",IF(B2588="","⚠ Falta el mes",IF(OR(ISTEXT(I2588),ISTEXT(J2588)),"⚠ Atrasos u horas extra como texto: escriba hh:mm (ej. 1:30)",IF(AND(ISNUMBER(Q2588),COUNTIFS(M_RUTN,V2588,M_MES,B2588,M_LIQ,"&lt;&gt;")&gt;1),"⚠ Liquidación repetida en el mes",IF(AND(ISNUMBER(O2588),ISNUMBER(P2588),ISNUMBER(Q2588),ABS(O2588-P2588-Q2588)&gt;1),"⚠ Haberes − descuentos no da el líquido","OK"))))))</f>
        <v/>
      </c>
      <c r="V2588" s="62" t="str">
        <f aca="false">IF(C2588="","",IFERROR(VALUE(LEFT(UPPER(SUBSTITUTE(SUBSTITUTE(SUBSTITUTE(TRIM(C2588),".",""),"-","")," ","")),LEN(UPPER(SUBSTITUTE(SUBSTITUTE(SUBSTITUTE(TRIM(C2588),".",""),"-","")," ","")))-1))&amp;RIGHT(UPPER(SUBSTITUTE(SUBSTITUTE(SUBSTITUTE(TRIM(C2588),".",""),"-","")," ","")),1),UPPER(SUBSTITUTE(SUBSTITUTE(SUBSTITUTE(TRIM(C2588),".",""),"-","")," ",""))))</f>
        <v/>
      </c>
    </row>
    <row r="2589" customFormat="false" ht="15" hidden="false" customHeight="false" outlineLevel="0" collapsed="false">
      <c r="B2589" s="80"/>
      <c r="C2589" s="58"/>
      <c r="D2589" s="62" t="str">
        <f aca="false">IF(C2589="","",IFERROR(INDEX(T_NOMBRE,MATCH(V2589,T_RUTN,0)),"⚠ RUT no está en Trabajadores"))</f>
        <v/>
      </c>
      <c r="E2589" s="61"/>
      <c r="F2589" s="61"/>
      <c r="G2589" s="61"/>
      <c r="H2589" s="61"/>
      <c r="I2589" s="81"/>
      <c r="J2589" s="81"/>
      <c r="K2589" s="60"/>
      <c r="L2589" s="60"/>
      <c r="M2589" s="60"/>
      <c r="N2589" s="60"/>
      <c r="O2589" s="60"/>
      <c r="P2589" s="60"/>
      <c r="Q2589" s="60"/>
      <c r="R2589" s="58"/>
      <c r="S2589" s="62" t="str">
        <f aca="false">IF(OR(B2589="",V2589=""),"",IFERROR(INDEX(C_TIPO,MATCH(V2589&amp;"-P"&amp;MAX(1,COUNTIFS(C_RUTN,V2589,C_DEF,"Sí",C_INI,"&lt;="&amp;EOMONTH(B2589,0))),C_CLAVE,0))&amp;"","Sin contrato"))</f>
        <v/>
      </c>
      <c r="T2589" s="63" t="str">
        <f aca="false">IF(OR(B2589="",N(O2589)=0),"",N(O2589)+ROUND(MIN(N(N2589),TOPE_UF*UF_MES)*(TASA_EMP+MUTUAL),0)+ROUND(MIN(N(N2589),TOPE_AFC_UF*UF_MES)*IF(S2589="Indefinido",AFC_INDEF,AFC_PF),0))</f>
        <v/>
      </c>
      <c r="U2589" s="62" t="str">
        <f aca="false">IF(C2589="","",IF(LEFT(D2589,1)="⚠","⚠ RUT no registrado en Trabajadores",IF(B2589="","⚠ Falta el mes",IF(OR(ISTEXT(I2589),ISTEXT(J2589)),"⚠ Atrasos u horas extra como texto: escriba hh:mm (ej. 1:30)",IF(AND(ISNUMBER(Q2589),COUNTIFS(M_RUTN,V2589,M_MES,B2589,M_LIQ,"&lt;&gt;")&gt;1),"⚠ Liquidación repetida en el mes",IF(AND(ISNUMBER(O2589),ISNUMBER(P2589),ISNUMBER(Q2589),ABS(O2589-P2589-Q2589)&gt;1),"⚠ Haberes − descuentos no da el líquido","OK"))))))</f>
        <v/>
      </c>
      <c r="V2589" s="62" t="str">
        <f aca="false">IF(C2589="","",IFERROR(VALUE(LEFT(UPPER(SUBSTITUTE(SUBSTITUTE(SUBSTITUTE(TRIM(C2589),".",""),"-","")," ","")),LEN(UPPER(SUBSTITUTE(SUBSTITUTE(SUBSTITUTE(TRIM(C2589),".",""),"-","")," ","")))-1))&amp;RIGHT(UPPER(SUBSTITUTE(SUBSTITUTE(SUBSTITUTE(TRIM(C2589),".",""),"-","")," ","")),1),UPPER(SUBSTITUTE(SUBSTITUTE(SUBSTITUTE(TRIM(C2589),".",""),"-","")," ",""))))</f>
        <v/>
      </c>
    </row>
    <row r="2590" customFormat="false" ht="15" hidden="false" customHeight="false" outlineLevel="0" collapsed="false">
      <c r="B2590" s="80"/>
      <c r="C2590" s="58"/>
      <c r="D2590" s="62" t="str">
        <f aca="false">IF(C2590="","",IFERROR(INDEX(T_NOMBRE,MATCH(V2590,T_RUTN,0)),"⚠ RUT no está en Trabajadores"))</f>
        <v/>
      </c>
      <c r="E2590" s="61"/>
      <c r="F2590" s="61"/>
      <c r="G2590" s="61"/>
      <c r="H2590" s="61"/>
      <c r="I2590" s="81"/>
      <c r="J2590" s="81"/>
      <c r="K2590" s="60"/>
      <c r="L2590" s="60"/>
      <c r="M2590" s="60"/>
      <c r="N2590" s="60"/>
      <c r="O2590" s="60"/>
      <c r="P2590" s="60"/>
      <c r="Q2590" s="60"/>
      <c r="R2590" s="58"/>
      <c r="S2590" s="62" t="str">
        <f aca="false">IF(OR(B2590="",V2590=""),"",IFERROR(INDEX(C_TIPO,MATCH(V2590&amp;"-P"&amp;MAX(1,COUNTIFS(C_RUTN,V2590,C_DEF,"Sí",C_INI,"&lt;="&amp;EOMONTH(B2590,0))),C_CLAVE,0))&amp;"","Sin contrato"))</f>
        <v/>
      </c>
      <c r="T2590" s="63" t="str">
        <f aca="false">IF(OR(B2590="",N(O2590)=0),"",N(O2590)+ROUND(MIN(N(N2590),TOPE_UF*UF_MES)*(TASA_EMP+MUTUAL),0)+ROUND(MIN(N(N2590),TOPE_AFC_UF*UF_MES)*IF(S2590="Indefinido",AFC_INDEF,AFC_PF),0))</f>
        <v/>
      </c>
      <c r="U2590" s="62" t="str">
        <f aca="false">IF(C2590="","",IF(LEFT(D2590,1)="⚠","⚠ RUT no registrado en Trabajadores",IF(B2590="","⚠ Falta el mes",IF(OR(ISTEXT(I2590),ISTEXT(J2590)),"⚠ Atrasos u horas extra como texto: escriba hh:mm (ej. 1:30)",IF(AND(ISNUMBER(Q2590),COUNTIFS(M_RUTN,V2590,M_MES,B2590,M_LIQ,"&lt;&gt;")&gt;1),"⚠ Liquidación repetida en el mes",IF(AND(ISNUMBER(O2590),ISNUMBER(P2590),ISNUMBER(Q2590),ABS(O2590-P2590-Q2590)&gt;1),"⚠ Haberes − descuentos no da el líquido","OK"))))))</f>
        <v/>
      </c>
      <c r="V2590" s="62" t="str">
        <f aca="false">IF(C2590="","",IFERROR(VALUE(LEFT(UPPER(SUBSTITUTE(SUBSTITUTE(SUBSTITUTE(TRIM(C2590),".",""),"-","")," ","")),LEN(UPPER(SUBSTITUTE(SUBSTITUTE(SUBSTITUTE(TRIM(C2590),".",""),"-","")," ","")))-1))&amp;RIGHT(UPPER(SUBSTITUTE(SUBSTITUTE(SUBSTITUTE(TRIM(C2590),".",""),"-","")," ","")),1),UPPER(SUBSTITUTE(SUBSTITUTE(SUBSTITUTE(TRIM(C2590),".",""),"-","")," ",""))))</f>
        <v/>
      </c>
    </row>
    <row r="2591" customFormat="false" ht="15" hidden="false" customHeight="false" outlineLevel="0" collapsed="false">
      <c r="B2591" s="80"/>
      <c r="C2591" s="58"/>
      <c r="D2591" s="62" t="str">
        <f aca="false">IF(C2591="","",IFERROR(INDEX(T_NOMBRE,MATCH(V2591,T_RUTN,0)),"⚠ RUT no está en Trabajadores"))</f>
        <v/>
      </c>
      <c r="E2591" s="61"/>
      <c r="F2591" s="61"/>
      <c r="G2591" s="61"/>
      <c r="H2591" s="61"/>
      <c r="I2591" s="81"/>
      <c r="J2591" s="81"/>
      <c r="K2591" s="60"/>
      <c r="L2591" s="60"/>
      <c r="M2591" s="60"/>
      <c r="N2591" s="60"/>
      <c r="O2591" s="60"/>
      <c r="P2591" s="60"/>
      <c r="Q2591" s="60"/>
      <c r="R2591" s="58"/>
      <c r="S2591" s="62" t="str">
        <f aca="false">IF(OR(B2591="",V2591=""),"",IFERROR(INDEX(C_TIPO,MATCH(V2591&amp;"-P"&amp;MAX(1,COUNTIFS(C_RUTN,V2591,C_DEF,"Sí",C_INI,"&lt;="&amp;EOMONTH(B2591,0))),C_CLAVE,0))&amp;"","Sin contrato"))</f>
        <v/>
      </c>
      <c r="T2591" s="63" t="str">
        <f aca="false">IF(OR(B2591="",N(O2591)=0),"",N(O2591)+ROUND(MIN(N(N2591),TOPE_UF*UF_MES)*(TASA_EMP+MUTUAL),0)+ROUND(MIN(N(N2591),TOPE_AFC_UF*UF_MES)*IF(S2591="Indefinido",AFC_INDEF,AFC_PF),0))</f>
        <v/>
      </c>
      <c r="U2591" s="62" t="str">
        <f aca="false">IF(C2591="","",IF(LEFT(D2591,1)="⚠","⚠ RUT no registrado en Trabajadores",IF(B2591="","⚠ Falta el mes",IF(OR(ISTEXT(I2591),ISTEXT(J2591)),"⚠ Atrasos u horas extra como texto: escriba hh:mm (ej. 1:30)",IF(AND(ISNUMBER(Q2591),COUNTIFS(M_RUTN,V2591,M_MES,B2591,M_LIQ,"&lt;&gt;")&gt;1),"⚠ Liquidación repetida en el mes",IF(AND(ISNUMBER(O2591),ISNUMBER(P2591),ISNUMBER(Q2591),ABS(O2591-P2591-Q2591)&gt;1),"⚠ Haberes − descuentos no da el líquido","OK"))))))</f>
        <v/>
      </c>
      <c r="V2591" s="62" t="str">
        <f aca="false">IF(C2591="","",IFERROR(VALUE(LEFT(UPPER(SUBSTITUTE(SUBSTITUTE(SUBSTITUTE(TRIM(C2591),".",""),"-","")," ","")),LEN(UPPER(SUBSTITUTE(SUBSTITUTE(SUBSTITUTE(TRIM(C2591),".",""),"-","")," ","")))-1))&amp;RIGHT(UPPER(SUBSTITUTE(SUBSTITUTE(SUBSTITUTE(TRIM(C2591),".",""),"-","")," ","")),1),UPPER(SUBSTITUTE(SUBSTITUTE(SUBSTITUTE(TRIM(C2591),".",""),"-","")," ",""))))</f>
        <v/>
      </c>
    </row>
    <row r="2592" customFormat="false" ht="15" hidden="false" customHeight="false" outlineLevel="0" collapsed="false">
      <c r="B2592" s="80"/>
      <c r="C2592" s="58"/>
      <c r="D2592" s="62" t="str">
        <f aca="false">IF(C2592="","",IFERROR(INDEX(T_NOMBRE,MATCH(V2592,T_RUTN,0)),"⚠ RUT no está en Trabajadores"))</f>
        <v/>
      </c>
      <c r="E2592" s="61"/>
      <c r="F2592" s="61"/>
      <c r="G2592" s="61"/>
      <c r="H2592" s="61"/>
      <c r="I2592" s="81"/>
      <c r="J2592" s="81"/>
      <c r="K2592" s="60"/>
      <c r="L2592" s="60"/>
      <c r="M2592" s="60"/>
      <c r="N2592" s="60"/>
      <c r="O2592" s="60"/>
      <c r="P2592" s="60"/>
      <c r="Q2592" s="60"/>
      <c r="R2592" s="58"/>
      <c r="S2592" s="62" t="str">
        <f aca="false">IF(OR(B2592="",V2592=""),"",IFERROR(INDEX(C_TIPO,MATCH(V2592&amp;"-P"&amp;MAX(1,COUNTIFS(C_RUTN,V2592,C_DEF,"Sí",C_INI,"&lt;="&amp;EOMONTH(B2592,0))),C_CLAVE,0))&amp;"","Sin contrato"))</f>
        <v/>
      </c>
      <c r="T2592" s="63" t="str">
        <f aca="false">IF(OR(B2592="",N(O2592)=0),"",N(O2592)+ROUND(MIN(N(N2592),TOPE_UF*UF_MES)*(TASA_EMP+MUTUAL),0)+ROUND(MIN(N(N2592),TOPE_AFC_UF*UF_MES)*IF(S2592="Indefinido",AFC_INDEF,AFC_PF),0))</f>
        <v/>
      </c>
      <c r="U2592" s="62" t="str">
        <f aca="false">IF(C2592="","",IF(LEFT(D2592,1)="⚠","⚠ RUT no registrado en Trabajadores",IF(B2592="","⚠ Falta el mes",IF(OR(ISTEXT(I2592),ISTEXT(J2592)),"⚠ Atrasos u horas extra como texto: escriba hh:mm (ej. 1:30)",IF(AND(ISNUMBER(Q2592),COUNTIFS(M_RUTN,V2592,M_MES,B2592,M_LIQ,"&lt;&gt;")&gt;1),"⚠ Liquidación repetida en el mes",IF(AND(ISNUMBER(O2592),ISNUMBER(P2592),ISNUMBER(Q2592),ABS(O2592-P2592-Q2592)&gt;1),"⚠ Haberes − descuentos no da el líquido","OK"))))))</f>
        <v/>
      </c>
      <c r="V2592" s="62" t="str">
        <f aca="false">IF(C2592="","",IFERROR(VALUE(LEFT(UPPER(SUBSTITUTE(SUBSTITUTE(SUBSTITUTE(TRIM(C2592),".",""),"-","")," ","")),LEN(UPPER(SUBSTITUTE(SUBSTITUTE(SUBSTITUTE(TRIM(C2592),".",""),"-","")," ","")))-1))&amp;RIGHT(UPPER(SUBSTITUTE(SUBSTITUTE(SUBSTITUTE(TRIM(C2592),".",""),"-","")," ","")),1),UPPER(SUBSTITUTE(SUBSTITUTE(SUBSTITUTE(TRIM(C2592),".",""),"-","")," ",""))))</f>
        <v/>
      </c>
    </row>
    <row r="2593" customFormat="false" ht="15" hidden="false" customHeight="false" outlineLevel="0" collapsed="false">
      <c r="B2593" s="80"/>
      <c r="C2593" s="58"/>
      <c r="D2593" s="62" t="str">
        <f aca="false">IF(C2593="","",IFERROR(INDEX(T_NOMBRE,MATCH(V2593,T_RUTN,0)),"⚠ RUT no está en Trabajadores"))</f>
        <v/>
      </c>
      <c r="E2593" s="61"/>
      <c r="F2593" s="61"/>
      <c r="G2593" s="61"/>
      <c r="H2593" s="61"/>
      <c r="I2593" s="81"/>
      <c r="J2593" s="81"/>
      <c r="K2593" s="60"/>
      <c r="L2593" s="60"/>
      <c r="M2593" s="60"/>
      <c r="N2593" s="60"/>
      <c r="O2593" s="60"/>
      <c r="P2593" s="60"/>
      <c r="Q2593" s="60"/>
      <c r="R2593" s="58"/>
      <c r="S2593" s="62" t="str">
        <f aca="false">IF(OR(B2593="",V2593=""),"",IFERROR(INDEX(C_TIPO,MATCH(V2593&amp;"-P"&amp;MAX(1,COUNTIFS(C_RUTN,V2593,C_DEF,"Sí",C_INI,"&lt;="&amp;EOMONTH(B2593,0))),C_CLAVE,0))&amp;"","Sin contrato"))</f>
        <v/>
      </c>
      <c r="T2593" s="63" t="str">
        <f aca="false">IF(OR(B2593="",N(O2593)=0),"",N(O2593)+ROUND(MIN(N(N2593),TOPE_UF*UF_MES)*(TASA_EMP+MUTUAL),0)+ROUND(MIN(N(N2593),TOPE_AFC_UF*UF_MES)*IF(S2593="Indefinido",AFC_INDEF,AFC_PF),0))</f>
        <v/>
      </c>
      <c r="U2593" s="62" t="str">
        <f aca="false">IF(C2593="","",IF(LEFT(D2593,1)="⚠","⚠ RUT no registrado en Trabajadores",IF(B2593="","⚠ Falta el mes",IF(OR(ISTEXT(I2593),ISTEXT(J2593)),"⚠ Atrasos u horas extra como texto: escriba hh:mm (ej. 1:30)",IF(AND(ISNUMBER(Q2593),COUNTIFS(M_RUTN,V2593,M_MES,B2593,M_LIQ,"&lt;&gt;")&gt;1),"⚠ Liquidación repetida en el mes",IF(AND(ISNUMBER(O2593),ISNUMBER(P2593),ISNUMBER(Q2593),ABS(O2593-P2593-Q2593)&gt;1),"⚠ Haberes − descuentos no da el líquido","OK"))))))</f>
        <v/>
      </c>
      <c r="V2593" s="62" t="str">
        <f aca="false">IF(C2593="","",IFERROR(VALUE(LEFT(UPPER(SUBSTITUTE(SUBSTITUTE(SUBSTITUTE(TRIM(C2593),".",""),"-","")," ","")),LEN(UPPER(SUBSTITUTE(SUBSTITUTE(SUBSTITUTE(TRIM(C2593),".",""),"-","")," ","")))-1))&amp;RIGHT(UPPER(SUBSTITUTE(SUBSTITUTE(SUBSTITUTE(TRIM(C2593),".",""),"-","")," ","")),1),UPPER(SUBSTITUTE(SUBSTITUTE(SUBSTITUTE(TRIM(C2593),".",""),"-","")," ",""))))</f>
        <v/>
      </c>
    </row>
    <row r="2594" customFormat="false" ht="15" hidden="false" customHeight="false" outlineLevel="0" collapsed="false">
      <c r="B2594" s="80"/>
      <c r="C2594" s="58"/>
      <c r="D2594" s="62" t="str">
        <f aca="false">IF(C2594="","",IFERROR(INDEX(T_NOMBRE,MATCH(V2594,T_RUTN,0)),"⚠ RUT no está en Trabajadores"))</f>
        <v/>
      </c>
      <c r="E2594" s="61"/>
      <c r="F2594" s="61"/>
      <c r="G2594" s="61"/>
      <c r="H2594" s="61"/>
      <c r="I2594" s="81"/>
      <c r="J2594" s="81"/>
      <c r="K2594" s="60"/>
      <c r="L2594" s="60"/>
      <c r="M2594" s="60"/>
      <c r="N2594" s="60"/>
      <c r="O2594" s="60"/>
      <c r="P2594" s="60"/>
      <c r="Q2594" s="60"/>
      <c r="R2594" s="58"/>
      <c r="S2594" s="62" t="str">
        <f aca="false">IF(OR(B2594="",V2594=""),"",IFERROR(INDEX(C_TIPO,MATCH(V2594&amp;"-P"&amp;MAX(1,COUNTIFS(C_RUTN,V2594,C_DEF,"Sí",C_INI,"&lt;="&amp;EOMONTH(B2594,0))),C_CLAVE,0))&amp;"","Sin contrato"))</f>
        <v/>
      </c>
      <c r="T2594" s="63" t="str">
        <f aca="false">IF(OR(B2594="",N(O2594)=0),"",N(O2594)+ROUND(MIN(N(N2594),TOPE_UF*UF_MES)*(TASA_EMP+MUTUAL),0)+ROUND(MIN(N(N2594),TOPE_AFC_UF*UF_MES)*IF(S2594="Indefinido",AFC_INDEF,AFC_PF),0))</f>
        <v/>
      </c>
      <c r="U2594" s="62" t="str">
        <f aca="false">IF(C2594="","",IF(LEFT(D2594,1)="⚠","⚠ RUT no registrado en Trabajadores",IF(B2594="","⚠ Falta el mes",IF(OR(ISTEXT(I2594),ISTEXT(J2594)),"⚠ Atrasos u horas extra como texto: escriba hh:mm (ej. 1:30)",IF(AND(ISNUMBER(Q2594),COUNTIFS(M_RUTN,V2594,M_MES,B2594,M_LIQ,"&lt;&gt;")&gt;1),"⚠ Liquidación repetida en el mes",IF(AND(ISNUMBER(O2594),ISNUMBER(P2594),ISNUMBER(Q2594),ABS(O2594-P2594-Q2594)&gt;1),"⚠ Haberes − descuentos no da el líquido","OK"))))))</f>
        <v/>
      </c>
      <c r="V2594" s="62" t="str">
        <f aca="false">IF(C2594="","",IFERROR(VALUE(LEFT(UPPER(SUBSTITUTE(SUBSTITUTE(SUBSTITUTE(TRIM(C2594),".",""),"-","")," ","")),LEN(UPPER(SUBSTITUTE(SUBSTITUTE(SUBSTITUTE(TRIM(C2594),".",""),"-","")," ","")))-1))&amp;RIGHT(UPPER(SUBSTITUTE(SUBSTITUTE(SUBSTITUTE(TRIM(C2594),".",""),"-","")," ","")),1),UPPER(SUBSTITUTE(SUBSTITUTE(SUBSTITUTE(TRIM(C2594),".",""),"-","")," ",""))))</f>
        <v/>
      </c>
    </row>
    <row r="2595" customFormat="false" ht="15" hidden="false" customHeight="false" outlineLevel="0" collapsed="false">
      <c r="B2595" s="80"/>
      <c r="C2595" s="58"/>
      <c r="D2595" s="62" t="str">
        <f aca="false">IF(C2595="","",IFERROR(INDEX(T_NOMBRE,MATCH(V2595,T_RUTN,0)),"⚠ RUT no está en Trabajadores"))</f>
        <v/>
      </c>
      <c r="E2595" s="61"/>
      <c r="F2595" s="61"/>
      <c r="G2595" s="61"/>
      <c r="H2595" s="61"/>
      <c r="I2595" s="81"/>
      <c r="J2595" s="81"/>
      <c r="K2595" s="60"/>
      <c r="L2595" s="60"/>
      <c r="M2595" s="60"/>
      <c r="N2595" s="60"/>
      <c r="O2595" s="60"/>
      <c r="P2595" s="60"/>
      <c r="Q2595" s="60"/>
      <c r="R2595" s="58"/>
      <c r="S2595" s="62" t="str">
        <f aca="false">IF(OR(B2595="",V2595=""),"",IFERROR(INDEX(C_TIPO,MATCH(V2595&amp;"-P"&amp;MAX(1,COUNTIFS(C_RUTN,V2595,C_DEF,"Sí",C_INI,"&lt;="&amp;EOMONTH(B2595,0))),C_CLAVE,0))&amp;"","Sin contrato"))</f>
        <v/>
      </c>
      <c r="T2595" s="63" t="str">
        <f aca="false">IF(OR(B2595="",N(O2595)=0),"",N(O2595)+ROUND(MIN(N(N2595),TOPE_UF*UF_MES)*(TASA_EMP+MUTUAL),0)+ROUND(MIN(N(N2595),TOPE_AFC_UF*UF_MES)*IF(S2595="Indefinido",AFC_INDEF,AFC_PF),0))</f>
        <v/>
      </c>
      <c r="U2595" s="62" t="str">
        <f aca="false">IF(C2595="","",IF(LEFT(D2595,1)="⚠","⚠ RUT no registrado en Trabajadores",IF(B2595="","⚠ Falta el mes",IF(OR(ISTEXT(I2595),ISTEXT(J2595)),"⚠ Atrasos u horas extra como texto: escriba hh:mm (ej. 1:30)",IF(AND(ISNUMBER(Q2595),COUNTIFS(M_RUTN,V2595,M_MES,B2595,M_LIQ,"&lt;&gt;")&gt;1),"⚠ Liquidación repetida en el mes",IF(AND(ISNUMBER(O2595),ISNUMBER(P2595),ISNUMBER(Q2595),ABS(O2595-P2595-Q2595)&gt;1),"⚠ Haberes − descuentos no da el líquido","OK"))))))</f>
        <v/>
      </c>
      <c r="V2595" s="62" t="str">
        <f aca="false">IF(C2595="","",IFERROR(VALUE(LEFT(UPPER(SUBSTITUTE(SUBSTITUTE(SUBSTITUTE(TRIM(C2595),".",""),"-","")," ","")),LEN(UPPER(SUBSTITUTE(SUBSTITUTE(SUBSTITUTE(TRIM(C2595),".",""),"-","")," ","")))-1))&amp;RIGHT(UPPER(SUBSTITUTE(SUBSTITUTE(SUBSTITUTE(TRIM(C2595),".",""),"-","")," ","")),1),UPPER(SUBSTITUTE(SUBSTITUTE(SUBSTITUTE(TRIM(C2595),".",""),"-","")," ",""))))</f>
        <v/>
      </c>
    </row>
    <row r="2596" customFormat="false" ht="15" hidden="false" customHeight="false" outlineLevel="0" collapsed="false">
      <c r="B2596" s="80"/>
      <c r="C2596" s="58"/>
      <c r="D2596" s="62" t="str">
        <f aca="false">IF(C2596="","",IFERROR(INDEX(T_NOMBRE,MATCH(V2596,T_RUTN,0)),"⚠ RUT no está en Trabajadores"))</f>
        <v/>
      </c>
      <c r="E2596" s="61"/>
      <c r="F2596" s="61"/>
      <c r="G2596" s="61"/>
      <c r="H2596" s="61"/>
      <c r="I2596" s="81"/>
      <c r="J2596" s="81"/>
      <c r="K2596" s="60"/>
      <c r="L2596" s="60"/>
      <c r="M2596" s="60"/>
      <c r="N2596" s="60"/>
      <c r="O2596" s="60"/>
      <c r="P2596" s="60"/>
      <c r="Q2596" s="60"/>
      <c r="R2596" s="58"/>
      <c r="S2596" s="62" t="str">
        <f aca="false">IF(OR(B2596="",V2596=""),"",IFERROR(INDEX(C_TIPO,MATCH(V2596&amp;"-P"&amp;MAX(1,COUNTIFS(C_RUTN,V2596,C_DEF,"Sí",C_INI,"&lt;="&amp;EOMONTH(B2596,0))),C_CLAVE,0))&amp;"","Sin contrato"))</f>
        <v/>
      </c>
      <c r="T2596" s="63" t="str">
        <f aca="false">IF(OR(B2596="",N(O2596)=0),"",N(O2596)+ROUND(MIN(N(N2596),TOPE_UF*UF_MES)*(TASA_EMP+MUTUAL),0)+ROUND(MIN(N(N2596),TOPE_AFC_UF*UF_MES)*IF(S2596="Indefinido",AFC_INDEF,AFC_PF),0))</f>
        <v/>
      </c>
      <c r="U2596" s="62" t="str">
        <f aca="false">IF(C2596="","",IF(LEFT(D2596,1)="⚠","⚠ RUT no registrado en Trabajadores",IF(B2596="","⚠ Falta el mes",IF(OR(ISTEXT(I2596),ISTEXT(J2596)),"⚠ Atrasos u horas extra como texto: escriba hh:mm (ej. 1:30)",IF(AND(ISNUMBER(Q2596),COUNTIFS(M_RUTN,V2596,M_MES,B2596,M_LIQ,"&lt;&gt;")&gt;1),"⚠ Liquidación repetida en el mes",IF(AND(ISNUMBER(O2596),ISNUMBER(P2596),ISNUMBER(Q2596),ABS(O2596-P2596-Q2596)&gt;1),"⚠ Haberes − descuentos no da el líquido","OK"))))))</f>
        <v/>
      </c>
      <c r="V2596" s="62" t="str">
        <f aca="false">IF(C2596="","",IFERROR(VALUE(LEFT(UPPER(SUBSTITUTE(SUBSTITUTE(SUBSTITUTE(TRIM(C2596),".",""),"-","")," ","")),LEN(UPPER(SUBSTITUTE(SUBSTITUTE(SUBSTITUTE(TRIM(C2596),".",""),"-","")," ","")))-1))&amp;RIGHT(UPPER(SUBSTITUTE(SUBSTITUTE(SUBSTITUTE(TRIM(C2596),".",""),"-","")," ","")),1),UPPER(SUBSTITUTE(SUBSTITUTE(SUBSTITUTE(TRIM(C2596),".",""),"-","")," ",""))))</f>
        <v/>
      </c>
    </row>
    <row r="2597" customFormat="false" ht="15" hidden="false" customHeight="false" outlineLevel="0" collapsed="false">
      <c r="B2597" s="80"/>
      <c r="C2597" s="58"/>
      <c r="D2597" s="62" t="str">
        <f aca="false">IF(C2597="","",IFERROR(INDEX(T_NOMBRE,MATCH(V2597,T_RUTN,0)),"⚠ RUT no está en Trabajadores"))</f>
        <v/>
      </c>
      <c r="E2597" s="61"/>
      <c r="F2597" s="61"/>
      <c r="G2597" s="61"/>
      <c r="H2597" s="61"/>
      <c r="I2597" s="81"/>
      <c r="J2597" s="81"/>
      <c r="K2597" s="60"/>
      <c r="L2597" s="60"/>
      <c r="M2597" s="60"/>
      <c r="N2597" s="60"/>
      <c r="O2597" s="60"/>
      <c r="P2597" s="60"/>
      <c r="Q2597" s="60"/>
      <c r="R2597" s="58"/>
      <c r="S2597" s="62" t="str">
        <f aca="false">IF(OR(B2597="",V2597=""),"",IFERROR(INDEX(C_TIPO,MATCH(V2597&amp;"-P"&amp;MAX(1,COUNTIFS(C_RUTN,V2597,C_DEF,"Sí",C_INI,"&lt;="&amp;EOMONTH(B2597,0))),C_CLAVE,0))&amp;"","Sin contrato"))</f>
        <v/>
      </c>
      <c r="T2597" s="63" t="str">
        <f aca="false">IF(OR(B2597="",N(O2597)=0),"",N(O2597)+ROUND(MIN(N(N2597),TOPE_UF*UF_MES)*(TASA_EMP+MUTUAL),0)+ROUND(MIN(N(N2597),TOPE_AFC_UF*UF_MES)*IF(S2597="Indefinido",AFC_INDEF,AFC_PF),0))</f>
        <v/>
      </c>
      <c r="U2597" s="62" t="str">
        <f aca="false">IF(C2597="","",IF(LEFT(D2597,1)="⚠","⚠ RUT no registrado en Trabajadores",IF(B2597="","⚠ Falta el mes",IF(OR(ISTEXT(I2597),ISTEXT(J2597)),"⚠ Atrasos u horas extra como texto: escriba hh:mm (ej. 1:30)",IF(AND(ISNUMBER(Q2597),COUNTIFS(M_RUTN,V2597,M_MES,B2597,M_LIQ,"&lt;&gt;")&gt;1),"⚠ Liquidación repetida en el mes",IF(AND(ISNUMBER(O2597),ISNUMBER(P2597),ISNUMBER(Q2597),ABS(O2597-P2597-Q2597)&gt;1),"⚠ Haberes − descuentos no da el líquido","OK"))))))</f>
        <v/>
      </c>
      <c r="V2597" s="62" t="str">
        <f aca="false">IF(C2597="","",IFERROR(VALUE(LEFT(UPPER(SUBSTITUTE(SUBSTITUTE(SUBSTITUTE(TRIM(C2597),".",""),"-","")," ","")),LEN(UPPER(SUBSTITUTE(SUBSTITUTE(SUBSTITUTE(TRIM(C2597),".",""),"-","")," ","")))-1))&amp;RIGHT(UPPER(SUBSTITUTE(SUBSTITUTE(SUBSTITUTE(TRIM(C2597),".",""),"-","")," ","")),1),UPPER(SUBSTITUTE(SUBSTITUTE(SUBSTITUTE(TRIM(C2597),".",""),"-","")," ",""))))</f>
        <v/>
      </c>
    </row>
    <row r="2598" customFormat="false" ht="15" hidden="false" customHeight="false" outlineLevel="0" collapsed="false">
      <c r="B2598" s="80"/>
      <c r="C2598" s="58"/>
      <c r="D2598" s="62" t="str">
        <f aca="false">IF(C2598="","",IFERROR(INDEX(T_NOMBRE,MATCH(V2598,T_RUTN,0)),"⚠ RUT no está en Trabajadores"))</f>
        <v/>
      </c>
      <c r="E2598" s="61"/>
      <c r="F2598" s="61"/>
      <c r="G2598" s="61"/>
      <c r="H2598" s="61"/>
      <c r="I2598" s="81"/>
      <c r="J2598" s="81"/>
      <c r="K2598" s="60"/>
      <c r="L2598" s="60"/>
      <c r="M2598" s="60"/>
      <c r="N2598" s="60"/>
      <c r="O2598" s="60"/>
      <c r="P2598" s="60"/>
      <c r="Q2598" s="60"/>
      <c r="R2598" s="58"/>
      <c r="S2598" s="62" t="str">
        <f aca="false">IF(OR(B2598="",V2598=""),"",IFERROR(INDEX(C_TIPO,MATCH(V2598&amp;"-P"&amp;MAX(1,COUNTIFS(C_RUTN,V2598,C_DEF,"Sí",C_INI,"&lt;="&amp;EOMONTH(B2598,0))),C_CLAVE,0))&amp;"","Sin contrato"))</f>
        <v/>
      </c>
      <c r="T2598" s="63" t="str">
        <f aca="false">IF(OR(B2598="",N(O2598)=0),"",N(O2598)+ROUND(MIN(N(N2598),TOPE_UF*UF_MES)*(TASA_EMP+MUTUAL),0)+ROUND(MIN(N(N2598),TOPE_AFC_UF*UF_MES)*IF(S2598="Indefinido",AFC_INDEF,AFC_PF),0))</f>
        <v/>
      </c>
      <c r="U2598" s="62" t="str">
        <f aca="false">IF(C2598="","",IF(LEFT(D2598,1)="⚠","⚠ RUT no registrado en Trabajadores",IF(B2598="","⚠ Falta el mes",IF(OR(ISTEXT(I2598),ISTEXT(J2598)),"⚠ Atrasos u horas extra como texto: escriba hh:mm (ej. 1:30)",IF(AND(ISNUMBER(Q2598),COUNTIFS(M_RUTN,V2598,M_MES,B2598,M_LIQ,"&lt;&gt;")&gt;1),"⚠ Liquidación repetida en el mes",IF(AND(ISNUMBER(O2598),ISNUMBER(P2598),ISNUMBER(Q2598),ABS(O2598-P2598-Q2598)&gt;1),"⚠ Haberes − descuentos no da el líquido","OK"))))))</f>
        <v/>
      </c>
      <c r="V2598" s="62" t="str">
        <f aca="false">IF(C2598="","",IFERROR(VALUE(LEFT(UPPER(SUBSTITUTE(SUBSTITUTE(SUBSTITUTE(TRIM(C2598),".",""),"-","")," ","")),LEN(UPPER(SUBSTITUTE(SUBSTITUTE(SUBSTITUTE(TRIM(C2598),".",""),"-","")," ","")))-1))&amp;RIGHT(UPPER(SUBSTITUTE(SUBSTITUTE(SUBSTITUTE(TRIM(C2598),".",""),"-","")," ","")),1),UPPER(SUBSTITUTE(SUBSTITUTE(SUBSTITUTE(TRIM(C2598),".",""),"-","")," ",""))))</f>
        <v/>
      </c>
    </row>
    <row r="2599" customFormat="false" ht="15" hidden="false" customHeight="false" outlineLevel="0" collapsed="false">
      <c r="B2599" s="80"/>
      <c r="C2599" s="58"/>
      <c r="D2599" s="62" t="str">
        <f aca="false">IF(C2599="","",IFERROR(INDEX(T_NOMBRE,MATCH(V2599,T_RUTN,0)),"⚠ RUT no está en Trabajadores"))</f>
        <v/>
      </c>
      <c r="E2599" s="61"/>
      <c r="F2599" s="61"/>
      <c r="G2599" s="61"/>
      <c r="H2599" s="61"/>
      <c r="I2599" s="81"/>
      <c r="J2599" s="81"/>
      <c r="K2599" s="60"/>
      <c r="L2599" s="60"/>
      <c r="M2599" s="60"/>
      <c r="N2599" s="60"/>
      <c r="O2599" s="60"/>
      <c r="P2599" s="60"/>
      <c r="Q2599" s="60"/>
      <c r="R2599" s="58"/>
      <c r="S2599" s="62" t="str">
        <f aca="false">IF(OR(B2599="",V2599=""),"",IFERROR(INDEX(C_TIPO,MATCH(V2599&amp;"-P"&amp;MAX(1,COUNTIFS(C_RUTN,V2599,C_DEF,"Sí",C_INI,"&lt;="&amp;EOMONTH(B2599,0))),C_CLAVE,0))&amp;"","Sin contrato"))</f>
        <v/>
      </c>
      <c r="T2599" s="63" t="str">
        <f aca="false">IF(OR(B2599="",N(O2599)=0),"",N(O2599)+ROUND(MIN(N(N2599),TOPE_UF*UF_MES)*(TASA_EMP+MUTUAL),0)+ROUND(MIN(N(N2599),TOPE_AFC_UF*UF_MES)*IF(S2599="Indefinido",AFC_INDEF,AFC_PF),0))</f>
        <v/>
      </c>
      <c r="U2599" s="62" t="str">
        <f aca="false">IF(C2599="","",IF(LEFT(D2599,1)="⚠","⚠ RUT no registrado en Trabajadores",IF(B2599="","⚠ Falta el mes",IF(OR(ISTEXT(I2599),ISTEXT(J2599)),"⚠ Atrasos u horas extra como texto: escriba hh:mm (ej. 1:30)",IF(AND(ISNUMBER(Q2599),COUNTIFS(M_RUTN,V2599,M_MES,B2599,M_LIQ,"&lt;&gt;")&gt;1),"⚠ Liquidación repetida en el mes",IF(AND(ISNUMBER(O2599),ISNUMBER(P2599),ISNUMBER(Q2599),ABS(O2599-P2599-Q2599)&gt;1),"⚠ Haberes − descuentos no da el líquido","OK"))))))</f>
        <v/>
      </c>
      <c r="V2599" s="62" t="str">
        <f aca="false">IF(C2599="","",IFERROR(VALUE(LEFT(UPPER(SUBSTITUTE(SUBSTITUTE(SUBSTITUTE(TRIM(C2599),".",""),"-","")," ","")),LEN(UPPER(SUBSTITUTE(SUBSTITUTE(SUBSTITUTE(TRIM(C2599),".",""),"-","")," ","")))-1))&amp;RIGHT(UPPER(SUBSTITUTE(SUBSTITUTE(SUBSTITUTE(TRIM(C2599),".",""),"-","")," ","")),1),UPPER(SUBSTITUTE(SUBSTITUTE(SUBSTITUTE(TRIM(C2599),".",""),"-","")," ",""))))</f>
        <v/>
      </c>
    </row>
    <row r="2600" customFormat="false" ht="15" hidden="false" customHeight="false" outlineLevel="0" collapsed="false">
      <c r="B2600" s="80"/>
      <c r="C2600" s="58"/>
      <c r="D2600" s="62" t="str">
        <f aca="false">IF(C2600="","",IFERROR(INDEX(T_NOMBRE,MATCH(V2600,T_RUTN,0)),"⚠ RUT no está en Trabajadores"))</f>
        <v/>
      </c>
      <c r="E2600" s="61"/>
      <c r="F2600" s="61"/>
      <c r="G2600" s="61"/>
      <c r="H2600" s="61"/>
      <c r="I2600" s="81"/>
      <c r="J2600" s="81"/>
      <c r="K2600" s="60"/>
      <c r="L2600" s="60"/>
      <c r="M2600" s="60"/>
      <c r="N2600" s="60"/>
      <c r="O2600" s="60"/>
      <c r="P2600" s="60"/>
      <c r="Q2600" s="60"/>
      <c r="R2600" s="58"/>
      <c r="S2600" s="62" t="str">
        <f aca="false">IF(OR(B2600="",V2600=""),"",IFERROR(INDEX(C_TIPO,MATCH(V2600&amp;"-P"&amp;MAX(1,COUNTIFS(C_RUTN,V2600,C_DEF,"Sí",C_INI,"&lt;="&amp;EOMONTH(B2600,0))),C_CLAVE,0))&amp;"","Sin contrato"))</f>
        <v/>
      </c>
      <c r="T2600" s="63" t="str">
        <f aca="false">IF(OR(B2600="",N(O2600)=0),"",N(O2600)+ROUND(MIN(N(N2600),TOPE_UF*UF_MES)*(TASA_EMP+MUTUAL),0)+ROUND(MIN(N(N2600),TOPE_AFC_UF*UF_MES)*IF(S2600="Indefinido",AFC_INDEF,AFC_PF),0))</f>
        <v/>
      </c>
      <c r="U2600" s="62" t="str">
        <f aca="false">IF(C2600="","",IF(LEFT(D2600,1)="⚠","⚠ RUT no registrado en Trabajadores",IF(B2600="","⚠ Falta el mes",IF(OR(ISTEXT(I2600),ISTEXT(J2600)),"⚠ Atrasos u horas extra como texto: escriba hh:mm (ej. 1:30)",IF(AND(ISNUMBER(Q2600),COUNTIFS(M_RUTN,V2600,M_MES,B2600,M_LIQ,"&lt;&gt;")&gt;1),"⚠ Liquidación repetida en el mes",IF(AND(ISNUMBER(O2600),ISNUMBER(P2600),ISNUMBER(Q2600),ABS(O2600-P2600-Q2600)&gt;1),"⚠ Haberes − descuentos no da el líquido","OK"))))))</f>
        <v/>
      </c>
      <c r="V2600" s="62" t="str">
        <f aca="false">IF(C2600="","",IFERROR(VALUE(LEFT(UPPER(SUBSTITUTE(SUBSTITUTE(SUBSTITUTE(TRIM(C2600),".",""),"-","")," ","")),LEN(UPPER(SUBSTITUTE(SUBSTITUTE(SUBSTITUTE(TRIM(C2600),".",""),"-","")," ","")))-1))&amp;RIGHT(UPPER(SUBSTITUTE(SUBSTITUTE(SUBSTITUTE(TRIM(C2600),".",""),"-","")," ","")),1),UPPER(SUBSTITUTE(SUBSTITUTE(SUBSTITUTE(TRIM(C2600),".",""),"-","")," ",""))))</f>
        <v/>
      </c>
    </row>
    <row r="2601" customFormat="false" ht="15" hidden="false" customHeight="false" outlineLevel="0" collapsed="false">
      <c r="B2601" s="80"/>
      <c r="C2601" s="58"/>
      <c r="D2601" s="62" t="str">
        <f aca="false">IF(C2601="","",IFERROR(INDEX(T_NOMBRE,MATCH(V2601,T_RUTN,0)),"⚠ RUT no está en Trabajadores"))</f>
        <v/>
      </c>
      <c r="E2601" s="61"/>
      <c r="F2601" s="61"/>
      <c r="G2601" s="61"/>
      <c r="H2601" s="61"/>
      <c r="I2601" s="81"/>
      <c r="J2601" s="81"/>
      <c r="K2601" s="60"/>
      <c r="L2601" s="60"/>
      <c r="M2601" s="60"/>
      <c r="N2601" s="60"/>
      <c r="O2601" s="60"/>
      <c r="P2601" s="60"/>
      <c r="Q2601" s="60"/>
      <c r="R2601" s="58"/>
      <c r="S2601" s="62" t="str">
        <f aca="false">IF(OR(B2601="",V2601=""),"",IFERROR(INDEX(C_TIPO,MATCH(V2601&amp;"-P"&amp;MAX(1,COUNTIFS(C_RUTN,V2601,C_DEF,"Sí",C_INI,"&lt;="&amp;EOMONTH(B2601,0))),C_CLAVE,0))&amp;"","Sin contrato"))</f>
        <v/>
      </c>
      <c r="T2601" s="63" t="str">
        <f aca="false">IF(OR(B2601="",N(O2601)=0),"",N(O2601)+ROUND(MIN(N(N2601),TOPE_UF*UF_MES)*(TASA_EMP+MUTUAL),0)+ROUND(MIN(N(N2601),TOPE_AFC_UF*UF_MES)*IF(S2601="Indefinido",AFC_INDEF,AFC_PF),0))</f>
        <v/>
      </c>
      <c r="U2601" s="62" t="str">
        <f aca="false">IF(C2601="","",IF(LEFT(D2601,1)="⚠","⚠ RUT no registrado en Trabajadores",IF(B2601="","⚠ Falta el mes",IF(OR(ISTEXT(I2601),ISTEXT(J2601)),"⚠ Atrasos u horas extra como texto: escriba hh:mm (ej. 1:30)",IF(AND(ISNUMBER(Q2601),COUNTIFS(M_RUTN,V2601,M_MES,B2601,M_LIQ,"&lt;&gt;")&gt;1),"⚠ Liquidación repetida en el mes",IF(AND(ISNUMBER(O2601),ISNUMBER(P2601),ISNUMBER(Q2601),ABS(O2601-P2601-Q2601)&gt;1),"⚠ Haberes − descuentos no da el líquido","OK"))))))</f>
        <v/>
      </c>
      <c r="V2601" s="62" t="str">
        <f aca="false">IF(C2601="","",IFERROR(VALUE(LEFT(UPPER(SUBSTITUTE(SUBSTITUTE(SUBSTITUTE(TRIM(C2601),".",""),"-","")," ","")),LEN(UPPER(SUBSTITUTE(SUBSTITUTE(SUBSTITUTE(TRIM(C2601),".",""),"-","")," ","")))-1))&amp;RIGHT(UPPER(SUBSTITUTE(SUBSTITUTE(SUBSTITUTE(TRIM(C2601),".",""),"-","")," ","")),1),UPPER(SUBSTITUTE(SUBSTITUTE(SUBSTITUTE(TRIM(C2601),".",""),"-","")," ",""))))</f>
        <v/>
      </c>
    </row>
    <row r="2602" customFormat="false" ht="15" hidden="false" customHeight="false" outlineLevel="0" collapsed="false">
      <c r="B2602" s="80"/>
      <c r="C2602" s="58"/>
      <c r="D2602" s="62" t="str">
        <f aca="false">IF(C2602="","",IFERROR(INDEX(T_NOMBRE,MATCH(V2602,T_RUTN,0)),"⚠ RUT no está en Trabajadores"))</f>
        <v/>
      </c>
      <c r="E2602" s="61"/>
      <c r="F2602" s="61"/>
      <c r="G2602" s="61"/>
      <c r="H2602" s="61"/>
      <c r="I2602" s="81"/>
      <c r="J2602" s="81"/>
      <c r="K2602" s="60"/>
      <c r="L2602" s="60"/>
      <c r="M2602" s="60"/>
      <c r="N2602" s="60"/>
      <c r="O2602" s="60"/>
      <c r="P2602" s="60"/>
      <c r="Q2602" s="60"/>
      <c r="R2602" s="58"/>
      <c r="S2602" s="62" t="str">
        <f aca="false">IF(OR(B2602="",V2602=""),"",IFERROR(INDEX(C_TIPO,MATCH(V2602&amp;"-P"&amp;MAX(1,COUNTIFS(C_RUTN,V2602,C_DEF,"Sí",C_INI,"&lt;="&amp;EOMONTH(B2602,0))),C_CLAVE,0))&amp;"","Sin contrato"))</f>
        <v/>
      </c>
      <c r="T2602" s="63" t="str">
        <f aca="false">IF(OR(B2602="",N(O2602)=0),"",N(O2602)+ROUND(MIN(N(N2602),TOPE_UF*UF_MES)*(TASA_EMP+MUTUAL),0)+ROUND(MIN(N(N2602),TOPE_AFC_UF*UF_MES)*IF(S2602="Indefinido",AFC_INDEF,AFC_PF),0))</f>
        <v/>
      </c>
      <c r="U2602" s="62" t="str">
        <f aca="false">IF(C2602="","",IF(LEFT(D2602,1)="⚠","⚠ RUT no registrado en Trabajadores",IF(B2602="","⚠ Falta el mes",IF(OR(ISTEXT(I2602),ISTEXT(J2602)),"⚠ Atrasos u horas extra como texto: escriba hh:mm (ej. 1:30)",IF(AND(ISNUMBER(Q2602),COUNTIFS(M_RUTN,V2602,M_MES,B2602,M_LIQ,"&lt;&gt;")&gt;1),"⚠ Liquidación repetida en el mes",IF(AND(ISNUMBER(O2602),ISNUMBER(P2602),ISNUMBER(Q2602),ABS(O2602-P2602-Q2602)&gt;1),"⚠ Haberes − descuentos no da el líquido","OK"))))))</f>
        <v/>
      </c>
      <c r="V2602" s="62" t="str">
        <f aca="false">IF(C2602="","",IFERROR(VALUE(LEFT(UPPER(SUBSTITUTE(SUBSTITUTE(SUBSTITUTE(TRIM(C2602),".",""),"-","")," ","")),LEN(UPPER(SUBSTITUTE(SUBSTITUTE(SUBSTITUTE(TRIM(C2602),".",""),"-","")," ","")))-1))&amp;RIGHT(UPPER(SUBSTITUTE(SUBSTITUTE(SUBSTITUTE(TRIM(C2602),".",""),"-","")," ","")),1),UPPER(SUBSTITUTE(SUBSTITUTE(SUBSTITUTE(TRIM(C2602),".",""),"-","")," ",""))))</f>
        <v/>
      </c>
    </row>
    <row r="2603" customFormat="false" ht="15" hidden="false" customHeight="false" outlineLevel="0" collapsed="false">
      <c r="B2603" s="80"/>
      <c r="C2603" s="58"/>
      <c r="D2603" s="62" t="str">
        <f aca="false">IF(C2603="","",IFERROR(INDEX(T_NOMBRE,MATCH(V2603,T_RUTN,0)),"⚠ RUT no está en Trabajadores"))</f>
        <v/>
      </c>
      <c r="E2603" s="61"/>
      <c r="F2603" s="61"/>
      <c r="G2603" s="61"/>
      <c r="H2603" s="61"/>
      <c r="I2603" s="81"/>
      <c r="J2603" s="81"/>
      <c r="K2603" s="60"/>
      <c r="L2603" s="60"/>
      <c r="M2603" s="60"/>
      <c r="N2603" s="60"/>
      <c r="O2603" s="60"/>
      <c r="P2603" s="60"/>
      <c r="Q2603" s="60"/>
      <c r="R2603" s="58"/>
      <c r="S2603" s="62" t="str">
        <f aca="false">IF(OR(B2603="",V2603=""),"",IFERROR(INDEX(C_TIPO,MATCH(V2603&amp;"-P"&amp;MAX(1,COUNTIFS(C_RUTN,V2603,C_DEF,"Sí",C_INI,"&lt;="&amp;EOMONTH(B2603,0))),C_CLAVE,0))&amp;"","Sin contrato"))</f>
        <v/>
      </c>
      <c r="T2603" s="63" t="str">
        <f aca="false">IF(OR(B2603="",N(O2603)=0),"",N(O2603)+ROUND(MIN(N(N2603),TOPE_UF*UF_MES)*(TASA_EMP+MUTUAL),0)+ROUND(MIN(N(N2603),TOPE_AFC_UF*UF_MES)*IF(S2603="Indefinido",AFC_INDEF,AFC_PF),0))</f>
        <v/>
      </c>
      <c r="U2603" s="62" t="str">
        <f aca="false">IF(C2603="","",IF(LEFT(D2603,1)="⚠","⚠ RUT no registrado en Trabajadores",IF(B2603="","⚠ Falta el mes",IF(OR(ISTEXT(I2603),ISTEXT(J2603)),"⚠ Atrasos u horas extra como texto: escriba hh:mm (ej. 1:30)",IF(AND(ISNUMBER(Q2603),COUNTIFS(M_RUTN,V2603,M_MES,B2603,M_LIQ,"&lt;&gt;")&gt;1),"⚠ Liquidación repetida en el mes",IF(AND(ISNUMBER(O2603),ISNUMBER(P2603),ISNUMBER(Q2603),ABS(O2603-P2603-Q2603)&gt;1),"⚠ Haberes − descuentos no da el líquido","OK"))))))</f>
        <v/>
      </c>
      <c r="V2603" s="62" t="str">
        <f aca="false">IF(C2603="","",IFERROR(VALUE(LEFT(UPPER(SUBSTITUTE(SUBSTITUTE(SUBSTITUTE(TRIM(C2603),".",""),"-","")," ","")),LEN(UPPER(SUBSTITUTE(SUBSTITUTE(SUBSTITUTE(TRIM(C2603),".",""),"-","")," ","")))-1))&amp;RIGHT(UPPER(SUBSTITUTE(SUBSTITUTE(SUBSTITUTE(TRIM(C2603),".",""),"-","")," ","")),1),UPPER(SUBSTITUTE(SUBSTITUTE(SUBSTITUTE(TRIM(C2603),".",""),"-","")," ",""))))</f>
        <v/>
      </c>
    </row>
    <row r="2604" customFormat="false" ht="15" hidden="false" customHeight="false" outlineLevel="0" collapsed="false">
      <c r="B2604" s="80"/>
      <c r="C2604" s="58"/>
      <c r="D2604" s="62" t="str">
        <f aca="false">IF(C2604="","",IFERROR(INDEX(T_NOMBRE,MATCH(V2604,T_RUTN,0)),"⚠ RUT no está en Trabajadores"))</f>
        <v/>
      </c>
      <c r="E2604" s="61"/>
      <c r="F2604" s="61"/>
      <c r="G2604" s="61"/>
      <c r="H2604" s="61"/>
      <c r="I2604" s="81"/>
      <c r="J2604" s="81"/>
      <c r="K2604" s="60"/>
      <c r="L2604" s="60"/>
      <c r="M2604" s="60"/>
      <c r="N2604" s="60"/>
      <c r="O2604" s="60"/>
      <c r="P2604" s="60"/>
      <c r="Q2604" s="60"/>
      <c r="R2604" s="58"/>
      <c r="S2604" s="62" t="str">
        <f aca="false">IF(OR(B2604="",V2604=""),"",IFERROR(INDEX(C_TIPO,MATCH(V2604&amp;"-P"&amp;MAX(1,COUNTIFS(C_RUTN,V2604,C_DEF,"Sí",C_INI,"&lt;="&amp;EOMONTH(B2604,0))),C_CLAVE,0))&amp;"","Sin contrato"))</f>
        <v/>
      </c>
      <c r="T2604" s="63" t="str">
        <f aca="false">IF(OR(B2604="",N(O2604)=0),"",N(O2604)+ROUND(MIN(N(N2604),TOPE_UF*UF_MES)*(TASA_EMP+MUTUAL),0)+ROUND(MIN(N(N2604),TOPE_AFC_UF*UF_MES)*IF(S2604="Indefinido",AFC_INDEF,AFC_PF),0))</f>
        <v/>
      </c>
      <c r="U2604" s="62" t="str">
        <f aca="false">IF(C2604="","",IF(LEFT(D2604,1)="⚠","⚠ RUT no registrado en Trabajadores",IF(B2604="","⚠ Falta el mes",IF(OR(ISTEXT(I2604),ISTEXT(J2604)),"⚠ Atrasos u horas extra como texto: escriba hh:mm (ej. 1:30)",IF(AND(ISNUMBER(Q2604),COUNTIFS(M_RUTN,V2604,M_MES,B2604,M_LIQ,"&lt;&gt;")&gt;1),"⚠ Liquidación repetida en el mes",IF(AND(ISNUMBER(O2604),ISNUMBER(P2604),ISNUMBER(Q2604),ABS(O2604-P2604-Q2604)&gt;1),"⚠ Haberes − descuentos no da el líquido","OK"))))))</f>
        <v/>
      </c>
      <c r="V2604" s="62" t="str">
        <f aca="false">IF(C2604="","",IFERROR(VALUE(LEFT(UPPER(SUBSTITUTE(SUBSTITUTE(SUBSTITUTE(TRIM(C2604),".",""),"-","")," ","")),LEN(UPPER(SUBSTITUTE(SUBSTITUTE(SUBSTITUTE(TRIM(C2604),".",""),"-","")," ","")))-1))&amp;RIGHT(UPPER(SUBSTITUTE(SUBSTITUTE(SUBSTITUTE(TRIM(C2604),".",""),"-","")," ","")),1),UPPER(SUBSTITUTE(SUBSTITUTE(SUBSTITUTE(TRIM(C2604),".",""),"-","")," ",""))))</f>
        <v/>
      </c>
    </row>
    <row r="2605" customFormat="false" ht="15" hidden="false" customHeight="false" outlineLevel="0" collapsed="false">
      <c r="B2605" s="80"/>
      <c r="C2605" s="58"/>
      <c r="D2605" s="62" t="str">
        <f aca="false">IF(C2605="","",IFERROR(INDEX(T_NOMBRE,MATCH(V2605,T_RUTN,0)),"⚠ RUT no está en Trabajadores"))</f>
        <v/>
      </c>
      <c r="E2605" s="61"/>
      <c r="F2605" s="61"/>
      <c r="G2605" s="61"/>
      <c r="H2605" s="61"/>
      <c r="I2605" s="81"/>
      <c r="J2605" s="81"/>
      <c r="K2605" s="60"/>
      <c r="L2605" s="60"/>
      <c r="M2605" s="60"/>
      <c r="N2605" s="60"/>
      <c r="O2605" s="60"/>
      <c r="P2605" s="60"/>
      <c r="Q2605" s="60"/>
      <c r="R2605" s="58"/>
      <c r="S2605" s="62" t="str">
        <f aca="false">IF(OR(B2605="",V2605=""),"",IFERROR(INDEX(C_TIPO,MATCH(V2605&amp;"-P"&amp;MAX(1,COUNTIFS(C_RUTN,V2605,C_DEF,"Sí",C_INI,"&lt;="&amp;EOMONTH(B2605,0))),C_CLAVE,0))&amp;"","Sin contrato"))</f>
        <v/>
      </c>
      <c r="T2605" s="63" t="str">
        <f aca="false">IF(OR(B2605="",N(O2605)=0),"",N(O2605)+ROUND(MIN(N(N2605),TOPE_UF*UF_MES)*(TASA_EMP+MUTUAL),0)+ROUND(MIN(N(N2605),TOPE_AFC_UF*UF_MES)*IF(S2605="Indefinido",AFC_INDEF,AFC_PF),0))</f>
        <v/>
      </c>
      <c r="U2605" s="62" t="str">
        <f aca="false">IF(C2605="","",IF(LEFT(D2605,1)="⚠","⚠ RUT no registrado en Trabajadores",IF(B2605="","⚠ Falta el mes",IF(OR(ISTEXT(I2605),ISTEXT(J2605)),"⚠ Atrasos u horas extra como texto: escriba hh:mm (ej. 1:30)",IF(AND(ISNUMBER(Q2605),COUNTIFS(M_RUTN,V2605,M_MES,B2605,M_LIQ,"&lt;&gt;")&gt;1),"⚠ Liquidación repetida en el mes",IF(AND(ISNUMBER(O2605),ISNUMBER(P2605),ISNUMBER(Q2605),ABS(O2605-P2605-Q2605)&gt;1),"⚠ Haberes − descuentos no da el líquido","OK"))))))</f>
        <v/>
      </c>
      <c r="V2605" s="62" t="str">
        <f aca="false">IF(C2605="","",IFERROR(VALUE(LEFT(UPPER(SUBSTITUTE(SUBSTITUTE(SUBSTITUTE(TRIM(C2605),".",""),"-","")," ","")),LEN(UPPER(SUBSTITUTE(SUBSTITUTE(SUBSTITUTE(TRIM(C2605),".",""),"-","")," ","")))-1))&amp;RIGHT(UPPER(SUBSTITUTE(SUBSTITUTE(SUBSTITUTE(TRIM(C2605),".",""),"-","")," ","")),1),UPPER(SUBSTITUTE(SUBSTITUTE(SUBSTITUTE(TRIM(C2605),".",""),"-","")," ",""))))</f>
        <v/>
      </c>
    </row>
    <row r="2606" customFormat="false" ht="15" hidden="false" customHeight="false" outlineLevel="0" collapsed="false">
      <c r="B2606" s="80"/>
      <c r="C2606" s="58"/>
      <c r="D2606" s="62" t="str">
        <f aca="false">IF(C2606="","",IFERROR(INDEX(T_NOMBRE,MATCH(V2606,T_RUTN,0)),"⚠ RUT no está en Trabajadores"))</f>
        <v/>
      </c>
      <c r="E2606" s="61"/>
      <c r="F2606" s="61"/>
      <c r="G2606" s="61"/>
      <c r="H2606" s="61"/>
      <c r="I2606" s="81"/>
      <c r="J2606" s="81"/>
      <c r="K2606" s="60"/>
      <c r="L2606" s="60"/>
      <c r="M2606" s="60"/>
      <c r="N2606" s="60"/>
      <c r="O2606" s="60"/>
      <c r="P2606" s="60"/>
      <c r="Q2606" s="60"/>
      <c r="R2606" s="58"/>
      <c r="S2606" s="62" t="str">
        <f aca="false">IF(OR(B2606="",V2606=""),"",IFERROR(INDEX(C_TIPO,MATCH(V2606&amp;"-P"&amp;MAX(1,COUNTIFS(C_RUTN,V2606,C_DEF,"Sí",C_INI,"&lt;="&amp;EOMONTH(B2606,0))),C_CLAVE,0))&amp;"","Sin contrato"))</f>
        <v/>
      </c>
      <c r="T2606" s="63" t="str">
        <f aca="false">IF(OR(B2606="",N(O2606)=0),"",N(O2606)+ROUND(MIN(N(N2606),TOPE_UF*UF_MES)*(TASA_EMP+MUTUAL),0)+ROUND(MIN(N(N2606),TOPE_AFC_UF*UF_MES)*IF(S2606="Indefinido",AFC_INDEF,AFC_PF),0))</f>
        <v/>
      </c>
      <c r="U2606" s="62" t="str">
        <f aca="false">IF(C2606="","",IF(LEFT(D2606,1)="⚠","⚠ RUT no registrado en Trabajadores",IF(B2606="","⚠ Falta el mes",IF(OR(ISTEXT(I2606),ISTEXT(J2606)),"⚠ Atrasos u horas extra como texto: escriba hh:mm (ej. 1:30)",IF(AND(ISNUMBER(Q2606),COUNTIFS(M_RUTN,V2606,M_MES,B2606,M_LIQ,"&lt;&gt;")&gt;1),"⚠ Liquidación repetida en el mes",IF(AND(ISNUMBER(O2606),ISNUMBER(P2606),ISNUMBER(Q2606),ABS(O2606-P2606-Q2606)&gt;1),"⚠ Haberes − descuentos no da el líquido","OK"))))))</f>
        <v/>
      </c>
      <c r="V2606" s="62" t="str">
        <f aca="false">IF(C2606="","",IFERROR(VALUE(LEFT(UPPER(SUBSTITUTE(SUBSTITUTE(SUBSTITUTE(TRIM(C2606),".",""),"-","")," ","")),LEN(UPPER(SUBSTITUTE(SUBSTITUTE(SUBSTITUTE(TRIM(C2606),".",""),"-","")," ","")))-1))&amp;RIGHT(UPPER(SUBSTITUTE(SUBSTITUTE(SUBSTITUTE(TRIM(C2606),".",""),"-","")," ","")),1),UPPER(SUBSTITUTE(SUBSTITUTE(SUBSTITUTE(TRIM(C2606),".",""),"-","")," ",""))))</f>
        <v/>
      </c>
    </row>
    <row r="2607" customFormat="false" ht="15" hidden="false" customHeight="false" outlineLevel="0" collapsed="false">
      <c r="B2607" s="80"/>
      <c r="C2607" s="58"/>
      <c r="D2607" s="62" t="str">
        <f aca="false">IF(C2607="","",IFERROR(INDEX(T_NOMBRE,MATCH(V2607,T_RUTN,0)),"⚠ RUT no está en Trabajadores"))</f>
        <v/>
      </c>
      <c r="E2607" s="61"/>
      <c r="F2607" s="61"/>
      <c r="G2607" s="61"/>
      <c r="H2607" s="61"/>
      <c r="I2607" s="81"/>
      <c r="J2607" s="81"/>
      <c r="K2607" s="60"/>
      <c r="L2607" s="60"/>
      <c r="M2607" s="60"/>
      <c r="N2607" s="60"/>
      <c r="O2607" s="60"/>
      <c r="P2607" s="60"/>
      <c r="Q2607" s="60"/>
      <c r="R2607" s="58"/>
      <c r="S2607" s="62" t="str">
        <f aca="false">IF(OR(B2607="",V2607=""),"",IFERROR(INDEX(C_TIPO,MATCH(V2607&amp;"-P"&amp;MAX(1,COUNTIFS(C_RUTN,V2607,C_DEF,"Sí",C_INI,"&lt;="&amp;EOMONTH(B2607,0))),C_CLAVE,0))&amp;"","Sin contrato"))</f>
        <v/>
      </c>
      <c r="T2607" s="63" t="str">
        <f aca="false">IF(OR(B2607="",N(O2607)=0),"",N(O2607)+ROUND(MIN(N(N2607),TOPE_UF*UF_MES)*(TASA_EMP+MUTUAL),0)+ROUND(MIN(N(N2607),TOPE_AFC_UF*UF_MES)*IF(S2607="Indefinido",AFC_INDEF,AFC_PF),0))</f>
        <v/>
      </c>
      <c r="U2607" s="62" t="str">
        <f aca="false">IF(C2607="","",IF(LEFT(D2607,1)="⚠","⚠ RUT no registrado en Trabajadores",IF(B2607="","⚠ Falta el mes",IF(OR(ISTEXT(I2607),ISTEXT(J2607)),"⚠ Atrasos u horas extra como texto: escriba hh:mm (ej. 1:30)",IF(AND(ISNUMBER(Q2607),COUNTIFS(M_RUTN,V2607,M_MES,B2607,M_LIQ,"&lt;&gt;")&gt;1),"⚠ Liquidación repetida en el mes",IF(AND(ISNUMBER(O2607),ISNUMBER(P2607),ISNUMBER(Q2607),ABS(O2607-P2607-Q2607)&gt;1),"⚠ Haberes − descuentos no da el líquido","OK"))))))</f>
        <v/>
      </c>
      <c r="V2607" s="62" t="str">
        <f aca="false">IF(C2607="","",IFERROR(VALUE(LEFT(UPPER(SUBSTITUTE(SUBSTITUTE(SUBSTITUTE(TRIM(C2607),".",""),"-","")," ","")),LEN(UPPER(SUBSTITUTE(SUBSTITUTE(SUBSTITUTE(TRIM(C2607),".",""),"-","")," ","")))-1))&amp;RIGHT(UPPER(SUBSTITUTE(SUBSTITUTE(SUBSTITUTE(TRIM(C2607),".",""),"-","")," ","")),1),UPPER(SUBSTITUTE(SUBSTITUTE(SUBSTITUTE(TRIM(C2607),".",""),"-","")," ",""))))</f>
        <v/>
      </c>
    </row>
    <row r="2608" customFormat="false" ht="15" hidden="false" customHeight="false" outlineLevel="0" collapsed="false">
      <c r="B2608" s="80"/>
      <c r="C2608" s="58"/>
      <c r="D2608" s="62" t="str">
        <f aca="false">IF(C2608="","",IFERROR(INDEX(T_NOMBRE,MATCH(V2608,T_RUTN,0)),"⚠ RUT no está en Trabajadores"))</f>
        <v/>
      </c>
      <c r="E2608" s="61"/>
      <c r="F2608" s="61"/>
      <c r="G2608" s="61"/>
      <c r="H2608" s="61"/>
      <c r="I2608" s="81"/>
      <c r="J2608" s="81"/>
      <c r="K2608" s="60"/>
      <c r="L2608" s="60"/>
      <c r="M2608" s="60"/>
      <c r="N2608" s="60"/>
      <c r="O2608" s="60"/>
      <c r="P2608" s="60"/>
      <c r="Q2608" s="60"/>
      <c r="R2608" s="58"/>
      <c r="S2608" s="62" t="str">
        <f aca="false">IF(OR(B2608="",V2608=""),"",IFERROR(INDEX(C_TIPO,MATCH(V2608&amp;"-P"&amp;MAX(1,COUNTIFS(C_RUTN,V2608,C_DEF,"Sí",C_INI,"&lt;="&amp;EOMONTH(B2608,0))),C_CLAVE,0))&amp;"","Sin contrato"))</f>
        <v/>
      </c>
      <c r="T2608" s="63" t="str">
        <f aca="false">IF(OR(B2608="",N(O2608)=0),"",N(O2608)+ROUND(MIN(N(N2608),TOPE_UF*UF_MES)*(TASA_EMP+MUTUAL),0)+ROUND(MIN(N(N2608),TOPE_AFC_UF*UF_MES)*IF(S2608="Indefinido",AFC_INDEF,AFC_PF),0))</f>
        <v/>
      </c>
      <c r="U2608" s="62" t="str">
        <f aca="false">IF(C2608="","",IF(LEFT(D2608,1)="⚠","⚠ RUT no registrado en Trabajadores",IF(B2608="","⚠ Falta el mes",IF(OR(ISTEXT(I2608),ISTEXT(J2608)),"⚠ Atrasos u horas extra como texto: escriba hh:mm (ej. 1:30)",IF(AND(ISNUMBER(Q2608),COUNTIFS(M_RUTN,V2608,M_MES,B2608,M_LIQ,"&lt;&gt;")&gt;1),"⚠ Liquidación repetida en el mes",IF(AND(ISNUMBER(O2608),ISNUMBER(P2608),ISNUMBER(Q2608),ABS(O2608-P2608-Q2608)&gt;1),"⚠ Haberes − descuentos no da el líquido","OK"))))))</f>
        <v/>
      </c>
      <c r="V2608" s="62" t="str">
        <f aca="false">IF(C2608="","",IFERROR(VALUE(LEFT(UPPER(SUBSTITUTE(SUBSTITUTE(SUBSTITUTE(TRIM(C2608),".",""),"-","")," ","")),LEN(UPPER(SUBSTITUTE(SUBSTITUTE(SUBSTITUTE(TRIM(C2608),".",""),"-","")," ","")))-1))&amp;RIGHT(UPPER(SUBSTITUTE(SUBSTITUTE(SUBSTITUTE(TRIM(C2608),".",""),"-","")," ","")),1),UPPER(SUBSTITUTE(SUBSTITUTE(SUBSTITUTE(TRIM(C2608),".",""),"-","")," ",""))))</f>
        <v/>
      </c>
    </row>
    <row r="2609" customFormat="false" ht="15" hidden="false" customHeight="false" outlineLevel="0" collapsed="false">
      <c r="B2609" s="80"/>
      <c r="C2609" s="58"/>
      <c r="D2609" s="62" t="str">
        <f aca="false">IF(C2609="","",IFERROR(INDEX(T_NOMBRE,MATCH(V2609,T_RUTN,0)),"⚠ RUT no está en Trabajadores"))</f>
        <v/>
      </c>
      <c r="E2609" s="61"/>
      <c r="F2609" s="61"/>
      <c r="G2609" s="61"/>
      <c r="H2609" s="61"/>
      <c r="I2609" s="81"/>
      <c r="J2609" s="81"/>
      <c r="K2609" s="60"/>
      <c r="L2609" s="60"/>
      <c r="M2609" s="60"/>
      <c r="N2609" s="60"/>
      <c r="O2609" s="60"/>
      <c r="P2609" s="60"/>
      <c r="Q2609" s="60"/>
      <c r="R2609" s="58"/>
      <c r="S2609" s="62" t="str">
        <f aca="false">IF(OR(B2609="",V2609=""),"",IFERROR(INDEX(C_TIPO,MATCH(V2609&amp;"-P"&amp;MAX(1,COUNTIFS(C_RUTN,V2609,C_DEF,"Sí",C_INI,"&lt;="&amp;EOMONTH(B2609,0))),C_CLAVE,0))&amp;"","Sin contrato"))</f>
        <v/>
      </c>
      <c r="T2609" s="63" t="str">
        <f aca="false">IF(OR(B2609="",N(O2609)=0),"",N(O2609)+ROUND(MIN(N(N2609),TOPE_UF*UF_MES)*(TASA_EMP+MUTUAL),0)+ROUND(MIN(N(N2609),TOPE_AFC_UF*UF_MES)*IF(S2609="Indefinido",AFC_INDEF,AFC_PF),0))</f>
        <v/>
      </c>
      <c r="U2609" s="62" t="str">
        <f aca="false">IF(C2609="","",IF(LEFT(D2609,1)="⚠","⚠ RUT no registrado en Trabajadores",IF(B2609="","⚠ Falta el mes",IF(OR(ISTEXT(I2609),ISTEXT(J2609)),"⚠ Atrasos u horas extra como texto: escriba hh:mm (ej. 1:30)",IF(AND(ISNUMBER(Q2609),COUNTIFS(M_RUTN,V2609,M_MES,B2609,M_LIQ,"&lt;&gt;")&gt;1),"⚠ Liquidación repetida en el mes",IF(AND(ISNUMBER(O2609),ISNUMBER(P2609),ISNUMBER(Q2609),ABS(O2609-P2609-Q2609)&gt;1),"⚠ Haberes − descuentos no da el líquido","OK"))))))</f>
        <v/>
      </c>
      <c r="V2609" s="62" t="str">
        <f aca="false">IF(C2609="","",IFERROR(VALUE(LEFT(UPPER(SUBSTITUTE(SUBSTITUTE(SUBSTITUTE(TRIM(C2609),".",""),"-","")," ","")),LEN(UPPER(SUBSTITUTE(SUBSTITUTE(SUBSTITUTE(TRIM(C2609),".",""),"-","")," ","")))-1))&amp;RIGHT(UPPER(SUBSTITUTE(SUBSTITUTE(SUBSTITUTE(TRIM(C2609),".",""),"-","")," ","")),1),UPPER(SUBSTITUTE(SUBSTITUTE(SUBSTITUTE(TRIM(C2609),".",""),"-","")," ",""))))</f>
        <v/>
      </c>
    </row>
    <row r="2610" customFormat="false" ht="15" hidden="false" customHeight="false" outlineLevel="0" collapsed="false">
      <c r="B2610" s="80"/>
      <c r="C2610" s="58"/>
      <c r="D2610" s="62" t="str">
        <f aca="false">IF(C2610="","",IFERROR(INDEX(T_NOMBRE,MATCH(V2610,T_RUTN,0)),"⚠ RUT no está en Trabajadores"))</f>
        <v/>
      </c>
      <c r="E2610" s="61"/>
      <c r="F2610" s="61"/>
      <c r="G2610" s="61"/>
      <c r="H2610" s="61"/>
      <c r="I2610" s="81"/>
      <c r="J2610" s="81"/>
      <c r="K2610" s="60"/>
      <c r="L2610" s="60"/>
      <c r="M2610" s="60"/>
      <c r="N2610" s="60"/>
      <c r="O2610" s="60"/>
      <c r="P2610" s="60"/>
      <c r="Q2610" s="60"/>
      <c r="R2610" s="58"/>
      <c r="S2610" s="62" t="str">
        <f aca="false">IF(OR(B2610="",V2610=""),"",IFERROR(INDEX(C_TIPO,MATCH(V2610&amp;"-P"&amp;MAX(1,COUNTIFS(C_RUTN,V2610,C_DEF,"Sí",C_INI,"&lt;="&amp;EOMONTH(B2610,0))),C_CLAVE,0))&amp;"","Sin contrato"))</f>
        <v/>
      </c>
      <c r="T2610" s="63" t="str">
        <f aca="false">IF(OR(B2610="",N(O2610)=0),"",N(O2610)+ROUND(MIN(N(N2610),TOPE_UF*UF_MES)*(TASA_EMP+MUTUAL),0)+ROUND(MIN(N(N2610),TOPE_AFC_UF*UF_MES)*IF(S2610="Indefinido",AFC_INDEF,AFC_PF),0))</f>
        <v/>
      </c>
      <c r="U2610" s="62" t="str">
        <f aca="false">IF(C2610="","",IF(LEFT(D2610,1)="⚠","⚠ RUT no registrado en Trabajadores",IF(B2610="","⚠ Falta el mes",IF(OR(ISTEXT(I2610),ISTEXT(J2610)),"⚠ Atrasos u horas extra como texto: escriba hh:mm (ej. 1:30)",IF(AND(ISNUMBER(Q2610),COUNTIFS(M_RUTN,V2610,M_MES,B2610,M_LIQ,"&lt;&gt;")&gt;1),"⚠ Liquidación repetida en el mes",IF(AND(ISNUMBER(O2610),ISNUMBER(P2610),ISNUMBER(Q2610),ABS(O2610-P2610-Q2610)&gt;1),"⚠ Haberes − descuentos no da el líquido","OK"))))))</f>
        <v/>
      </c>
      <c r="V2610" s="62" t="str">
        <f aca="false">IF(C2610="","",IFERROR(VALUE(LEFT(UPPER(SUBSTITUTE(SUBSTITUTE(SUBSTITUTE(TRIM(C2610),".",""),"-","")," ","")),LEN(UPPER(SUBSTITUTE(SUBSTITUTE(SUBSTITUTE(TRIM(C2610),".",""),"-","")," ","")))-1))&amp;RIGHT(UPPER(SUBSTITUTE(SUBSTITUTE(SUBSTITUTE(TRIM(C2610),".",""),"-","")," ","")),1),UPPER(SUBSTITUTE(SUBSTITUTE(SUBSTITUTE(TRIM(C2610),".",""),"-","")," ",""))))</f>
        <v/>
      </c>
    </row>
    <row r="2611" customFormat="false" ht="15" hidden="false" customHeight="false" outlineLevel="0" collapsed="false">
      <c r="B2611" s="80"/>
      <c r="C2611" s="58"/>
      <c r="D2611" s="62" t="str">
        <f aca="false">IF(C2611="","",IFERROR(INDEX(T_NOMBRE,MATCH(V2611,T_RUTN,0)),"⚠ RUT no está en Trabajadores"))</f>
        <v/>
      </c>
      <c r="E2611" s="61"/>
      <c r="F2611" s="61"/>
      <c r="G2611" s="61"/>
      <c r="H2611" s="61"/>
      <c r="I2611" s="81"/>
      <c r="J2611" s="81"/>
      <c r="K2611" s="60"/>
      <c r="L2611" s="60"/>
      <c r="M2611" s="60"/>
      <c r="N2611" s="60"/>
      <c r="O2611" s="60"/>
      <c r="P2611" s="60"/>
      <c r="Q2611" s="60"/>
      <c r="R2611" s="58"/>
      <c r="S2611" s="62" t="str">
        <f aca="false">IF(OR(B2611="",V2611=""),"",IFERROR(INDEX(C_TIPO,MATCH(V2611&amp;"-P"&amp;MAX(1,COUNTIFS(C_RUTN,V2611,C_DEF,"Sí",C_INI,"&lt;="&amp;EOMONTH(B2611,0))),C_CLAVE,0))&amp;"","Sin contrato"))</f>
        <v/>
      </c>
      <c r="T2611" s="63" t="str">
        <f aca="false">IF(OR(B2611="",N(O2611)=0),"",N(O2611)+ROUND(MIN(N(N2611),TOPE_UF*UF_MES)*(TASA_EMP+MUTUAL),0)+ROUND(MIN(N(N2611),TOPE_AFC_UF*UF_MES)*IF(S2611="Indefinido",AFC_INDEF,AFC_PF),0))</f>
        <v/>
      </c>
      <c r="U2611" s="62" t="str">
        <f aca="false">IF(C2611="","",IF(LEFT(D2611,1)="⚠","⚠ RUT no registrado en Trabajadores",IF(B2611="","⚠ Falta el mes",IF(OR(ISTEXT(I2611),ISTEXT(J2611)),"⚠ Atrasos u horas extra como texto: escriba hh:mm (ej. 1:30)",IF(AND(ISNUMBER(Q2611),COUNTIFS(M_RUTN,V2611,M_MES,B2611,M_LIQ,"&lt;&gt;")&gt;1),"⚠ Liquidación repetida en el mes",IF(AND(ISNUMBER(O2611),ISNUMBER(P2611),ISNUMBER(Q2611),ABS(O2611-P2611-Q2611)&gt;1),"⚠ Haberes − descuentos no da el líquido","OK"))))))</f>
        <v/>
      </c>
      <c r="V2611" s="62" t="str">
        <f aca="false">IF(C2611="","",IFERROR(VALUE(LEFT(UPPER(SUBSTITUTE(SUBSTITUTE(SUBSTITUTE(TRIM(C2611),".",""),"-","")," ","")),LEN(UPPER(SUBSTITUTE(SUBSTITUTE(SUBSTITUTE(TRIM(C2611),".",""),"-","")," ","")))-1))&amp;RIGHT(UPPER(SUBSTITUTE(SUBSTITUTE(SUBSTITUTE(TRIM(C2611),".",""),"-","")," ","")),1),UPPER(SUBSTITUTE(SUBSTITUTE(SUBSTITUTE(TRIM(C2611),".",""),"-","")," ",""))))</f>
        <v/>
      </c>
    </row>
    <row r="2612" customFormat="false" ht="15" hidden="false" customHeight="false" outlineLevel="0" collapsed="false">
      <c r="B2612" s="80"/>
      <c r="C2612" s="58"/>
      <c r="D2612" s="62" t="str">
        <f aca="false">IF(C2612="","",IFERROR(INDEX(T_NOMBRE,MATCH(V2612,T_RUTN,0)),"⚠ RUT no está en Trabajadores"))</f>
        <v/>
      </c>
      <c r="E2612" s="61"/>
      <c r="F2612" s="61"/>
      <c r="G2612" s="61"/>
      <c r="H2612" s="61"/>
      <c r="I2612" s="81"/>
      <c r="J2612" s="81"/>
      <c r="K2612" s="60"/>
      <c r="L2612" s="60"/>
      <c r="M2612" s="60"/>
      <c r="N2612" s="60"/>
      <c r="O2612" s="60"/>
      <c r="P2612" s="60"/>
      <c r="Q2612" s="60"/>
      <c r="R2612" s="58"/>
      <c r="S2612" s="62" t="str">
        <f aca="false">IF(OR(B2612="",V2612=""),"",IFERROR(INDEX(C_TIPO,MATCH(V2612&amp;"-P"&amp;MAX(1,COUNTIFS(C_RUTN,V2612,C_DEF,"Sí",C_INI,"&lt;="&amp;EOMONTH(B2612,0))),C_CLAVE,0))&amp;"","Sin contrato"))</f>
        <v/>
      </c>
      <c r="T2612" s="63" t="str">
        <f aca="false">IF(OR(B2612="",N(O2612)=0),"",N(O2612)+ROUND(MIN(N(N2612),TOPE_UF*UF_MES)*(TASA_EMP+MUTUAL),0)+ROUND(MIN(N(N2612),TOPE_AFC_UF*UF_MES)*IF(S2612="Indefinido",AFC_INDEF,AFC_PF),0))</f>
        <v/>
      </c>
      <c r="U2612" s="62" t="str">
        <f aca="false">IF(C2612="","",IF(LEFT(D2612,1)="⚠","⚠ RUT no registrado en Trabajadores",IF(B2612="","⚠ Falta el mes",IF(OR(ISTEXT(I2612),ISTEXT(J2612)),"⚠ Atrasos u horas extra como texto: escriba hh:mm (ej. 1:30)",IF(AND(ISNUMBER(Q2612),COUNTIFS(M_RUTN,V2612,M_MES,B2612,M_LIQ,"&lt;&gt;")&gt;1),"⚠ Liquidación repetida en el mes",IF(AND(ISNUMBER(O2612),ISNUMBER(P2612),ISNUMBER(Q2612),ABS(O2612-P2612-Q2612)&gt;1),"⚠ Haberes − descuentos no da el líquido","OK"))))))</f>
        <v/>
      </c>
      <c r="V2612" s="62" t="str">
        <f aca="false">IF(C2612="","",IFERROR(VALUE(LEFT(UPPER(SUBSTITUTE(SUBSTITUTE(SUBSTITUTE(TRIM(C2612),".",""),"-","")," ","")),LEN(UPPER(SUBSTITUTE(SUBSTITUTE(SUBSTITUTE(TRIM(C2612),".",""),"-","")," ","")))-1))&amp;RIGHT(UPPER(SUBSTITUTE(SUBSTITUTE(SUBSTITUTE(TRIM(C2612),".",""),"-","")," ","")),1),UPPER(SUBSTITUTE(SUBSTITUTE(SUBSTITUTE(TRIM(C2612),".",""),"-","")," ",""))))</f>
        <v/>
      </c>
    </row>
    <row r="2613" customFormat="false" ht="15" hidden="false" customHeight="false" outlineLevel="0" collapsed="false">
      <c r="B2613" s="80"/>
      <c r="C2613" s="58"/>
      <c r="D2613" s="62" t="str">
        <f aca="false">IF(C2613="","",IFERROR(INDEX(T_NOMBRE,MATCH(V2613,T_RUTN,0)),"⚠ RUT no está en Trabajadores"))</f>
        <v/>
      </c>
      <c r="E2613" s="61"/>
      <c r="F2613" s="61"/>
      <c r="G2613" s="61"/>
      <c r="H2613" s="61"/>
      <c r="I2613" s="81"/>
      <c r="J2613" s="81"/>
      <c r="K2613" s="60"/>
      <c r="L2613" s="60"/>
      <c r="M2613" s="60"/>
      <c r="N2613" s="60"/>
      <c r="O2613" s="60"/>
      <c r="P2613" s="60"/>
      <c r="Q2613" s="60"/>
      <c r="R2613" s="58"/>
      <c r="S2613" s="62" t="str">
        <f aca="false">IF(OR(B2613="",V2613=""),"",IFERROR(INDEX(C_TIPO,MATCH(V2613&amp;"-P"&amp;MAX(1,COUNTIFS(C_RUTN,V2613,C_DEF,"Sí",C_INI,"&lt;="&amp;EOMONTH(B2613,0))),C_CLAVE,0))&amp;"","Sin contrato"))</f>
        <v/>
      </c>
      <c r="T2613" s="63" t="str">
        <f aca="false">IF(OR(B2613="",N(O2613)=0),"",N(O2613)+ROUND(MIN(N(N2613),TOPE_UF*UF_MES)*(TASA_EMP+MUTUAL),0)+ROUND(MIN(N(N2613),TOPE_AFC_UF*UF_MES)*IF(S2613="Indefinido",AFC_INDEF,AFC_PF),0))</f>
        <v/>
      </c>
      <c r="U2613" s="62" t="str">
        <f aca="false">IF(C2613="","",IF(LEFT(D2613,1)="⚠","⚠ RUT no registrado en Trabajadores",IF(B2613="","⚠ Falta el mes",IF(OR(ISTEXT(I2613),ISTEXT(J2613)),"⚠ Atrasos u horas extra como texto: escriba hh:mm (ej. 1:30)",IF(AND(ISNUMBER(Q2613),COUNTIFS(M_RUTN,V2613,M_MES,B2613,M_LIQ,"&lt;&gt;")&gt;1),"⚠ Liquidación repetida en el mes",IF(AND(ISNUMBER(O2613),ISNUMBER(P2613),ISNUMBER(Q2613),ABS(O2613-P2613-Q2613)&gt;1),"⚠ Haberes − descuentos no da el líquido","OK"))))))</f>
        <v/>
      </c>
      <c r="V2613" s="62" t="str">
        <f aca="false">IF(C2613="","",IFERROR(VALUE(LEFT(UPPER(SUBSTITUTE(SUBSTITUTE(SUBSTITUTE(TRIM(C2613),".",""),"-","")," ","")),LEN(UPPER(SUBSTITUTE(SUBSTITUTE(SUBSTITUTE(TRIM(C2613),".",""),"-","")," ","")))-1))&amp;RIGHT(UPPER(SUBSTITUTE(SUBSTITUTE(SUBSTITUTE(TRIM(C2613),".",""),"-","")," ","")),1),UPPER(SUBSTITUTE(SUBSTITUTE(SUBSTITUTE(TRIM(C2613),".",""),"-","")," ",""))))</f>
        <v/>
      </c>
    </row>
    <row r="2614" customFormat="false" ht="15" hidden="false" customHeight="false" outlineLevel="0" collapsed="false">
      <c r="B2614" s="80"/>
      <c r="C2614" s="58"/>
      <c r="D2614" s="62" t="str">
        <f aca="false">IF(C2614="","",IFERROR(INDEX(T_NOMBRE,MATCH(V2614,T_RUTN,0)),"⚠ RUT no está en Trabajadores"))</f>
        <v/>
      </c>
      <c r="E2614" s="61"/>
      <c r="F2614" s="61"/>
      <c r="G2614" s="61"/>
      <c r="H2614" s="61"/>
      <c r="I2614" s="81"/>
      <c r="J2614" s="81"/>
      <c r="K2614" s="60"/>
      <c r="L2614" s="60"/>
      <c r="M2614" s="60"/>
      <c r="N2614" s="60"/>
      <c r="O2614" s="60"/>
      <c r="P2614" s="60"/>
      <c r="Q2614" s="60"/>
      <c r="R2614" s="58"/>
      <c r="S2614" s="62" t="str">
        <f aca="false">IF(OR(B2614="",V2614=""),"",IFERROR(INDEX(C_TIPO,MATCH(V2614&amp;"-P"&amp;MAX(1,COUNTIFS(C_RUTN,V2614,C_DEF,"Sí",C_INI,"&lt;="&amp;EOMONTH(B2614,0))),C_CLAVE,0))&amp;"","Sin contrato"))</f>
        <v/>
      </c>
      <c r="T2614" s="63" t="str">
        <f aca="false">IF(OR(B2614="",N(O2614)=0),"",N(O2614)+ROUND(MIN(N(N2614),TOPE_UF*UF_MES)*(TASA_EMP+MUTUAL),0)+ROUND(MIN(N(N2614),TOPE_AFC_UF*UF_MES)*IF(S2614="Indefinido",AFC_INDEF,AFC_PF),0))</f>
        <v/>
      </c>
      <c r="U2614" s="62" t="str">
        <f aca="false">IF(C2614="","",IF(LEFT(D2614,1)="⚠","⚠ RUT no registrado en Trabajadores",IF(B2614="","⚠ Falta el mes",IF(OR(ISTEXT(I2614),ISTEXT(J2614)),"⚠ Atrasos u horas extra como texto: escriba hh:mm (ej. 1:30)",IF(AND(ISNUMBER(Q2614),COUNTIFS(M_RUTN,V2614,M_MES,B2614,M_LIQ,"&lt;&gt;")&gt;1),"⚠ Liquidación repetida en el mes",IF(AND(ISNUMBER(O2614),ISNUMBER(P2614),ISNUMBER(Q2614),ABS(O2614-P2614-Q2614)&gt;1),"⚠ Haberes − descuentos no da el líquido","OK"))))))</f>
        <v/>
      </c>
      <c r="V2614" s="62" t="str">
        <f aca="false">IF(C2614="","",IFERROR(VALUE(LEFT(UPPER(SUBSTITUTE(SUBSTITUTE(SUBSTITUTE(TRIM(C2614),".",""),"-","")," ","")),LEN(UPPER(SUBSTITUTE(SUBSTITUTE(SUBSTITUTE(TRIM(C2614),".",""),"-","")," ","")))-1))&amp;RIGHT(UPPER(SUBSTITUTE(SUBSTITUTE(SUBSTITUTE(TRIM(C2614),".",""),"-","")," ","")),1),UPPER(SUBSTITUTE(SUBSTITUTE(SUBSTITUTE(TRIM(C2614),".",""),"-","")," ",""))))</f>
        <v/>
      </c>
    </row>
    <row r="2615" customFormat="false" ht="15" hidden="false" customHeight="false" outlineLevel="0" collapsed="false">
      <c r="B2615" s="80"/>
      <c r="C2615" s="58"/>
      <c r="D2615" s="62" t="str">
        <f aca="false">IF(C2615="","",IFERROR(INDEX(T_NOMBRE,MATCH(V2615,T_RUTN,0)),"⚠ RUT no está en Trabajadores"))</f>
        <v/>
      </c>
      <c r="E2615" s="61"/>
      <c r="F2615" s="61"/>
      <c r="G2615" s="61"/>
      <c r="H2615" s="61"/>
      <c r="I2615" s="81"/>
      <c r="J2615" s="81"/>
      <c r="K2615" s="60"/>
      <c r="L2615" s="60"/>
      <c r="M2615" s="60"/>
      <c r="N2615" s="60"/>
      <c r="O2615" s="60"/>
      <c r="P2615" s="60"/>
      <c r="Q2615" s="60"/>
      <c r="R2615" s="58"/>
      <c r="S2615" s="62" t="str">
        <f aca="false">IF(OR(B2615="",V2615=""),"",IFERROR(INDEX(C_TIPO,MATCH(V2615&amp;"-P"&amp;MAX(1,COUNTIFS(C_RUTN,V2615,C_DEF,"Sí",C_INI,"&lt;="&amp;EOMONTH(B2615,0))),C_CLAVE,0))&amp;"","Sin contrato"))</f>
        <v/>
      </c>
      <c r="T2615" s="63" t="str">
        <f aca="false">IF(OR(B2615="",N(O2615)=0),"",N(O2615)+ROUND(MIN(N(N2615),TOPE_UF*UF_MES)*(TASA_EMP+MUTUAL),0)+ROUND(MIN(N(N2615),TOPE_AFC_UF*UF_MES)*IF(S2615="Indefinido",AFC_INDEF,AFC_PF),0))</f>
        <v/>
      </c>
      <c r="U2615" s="62" t="str">
        <f aca="false">IF(C2615="","",IF(LEFT(D2615,1)="⚠","⚠ RUT no registrado en Trabajadores",IF(B2615="","⚠ Falta el mes",IF(OR(ISTEXT(I2615),ISTEXT(J2615)),"⚠ Atrasos u horas extra como texto: escriba hh:mm (ej. 1:30)",IF(AND(ISNUMBER(Q2615),COUNTIFS(M_RUTN,V2615,M_MES,B2615,M_LIQ,"&lt;&gt;")&gt;1),"⚠ Liquidación repetida en el mes",IF(AND(ISNUMBER(O2615),ISNUMBER(P2615),ISNUMBER(Q2615),ABS(O2615-P2615-Q2615)&gt;1),"⚠ Haberes − descuentos no da el líquido","OK"))))))</f>
        <v/>
      </c>
      <c r="V2615" s="62" t="str">
        <f aca="false">IF(C2615="","",IFERROR(VALUE(LEFT(UPPER(SUBSTITUTE(SUBSTITUTE(SUBSTITUTE(TRIM(C2615),".",""),"-","")," ","")),LEN(UPPER(SUBSTITUTE(SUBSTITUTE(SUBSTITUTE(TRIM(C2615),".",""),"-","")," ","")))-1))&amp;RIGHT(UPPER(SUBSTITUTE(SUBSTITUTE(SUBSTITUTE(TRIM(C2615),".",""),"-","")," ","")),1),UPPER(SUBSTITUTE(SUBSTITUTE(SUBSTITUTE(TRIM(C2615),".",""),"-","")," ",""))))</f>
        <v/>
      </c>
    </row>
    <row r="2616" customFormat="false" ht="15" hidden="false" customHeight="false" outlineLevel="0" collapsed="false">
      <c r="B2616" s="80"/>
      <c r="C2616" s="58"/>
      <c r="D2616" s="62" t="str">
        <f aca="false">IF(C2616="","",IFERROR(INDEX(T_NOMBRE,MATCH(V2616,T_RUTN,0)),"⚠ RUT no está en Trabajadores"))</f>
        <v/>
      </c>
      <c r="E2616" s="61"/>
      <c r="F2616" s="61"/>
      <c r="G2616" s="61"/>
      <c r="H2616" s="61"/>
      <c r="I2616" s="81"/>
      <c r="J2616" s="81"/>
      <c r="K2616" s="60"/>
      <c r="L2616" s="60"/>
      <c r="M2616" s="60"/>
      <c r="N2616" s="60"/>
      <c r="O2616" s="60"/>
      <c r="P2616" s="60"/>
      <c r="Q2616" s="60"/>
      <c r="R2616" s="58"/>
      <c r="S2616" s="62" t="str">
        <f aca="false">IF(OR(B2616="",V2616=""),"",IFERROR(INDEX(C_TIPO,MATCH(V2616&amp;"-P"&amp;MAX(1,COUNTIFS(C_RUTN,V2616,C_DEF,"Sí",C_INI,"&lt;="&amp;EOMONTH(B2616,0))),C_CLAVE,0))&amp;"","Sin contrato"))</f>
        <v/>
      </c>
      <c r="T2616" s="63" t="str">
        <f aca="false">IF(OR(B2616="",N(O2616)=0),"",N(O2616)+ROUND(MIN(N(N2616),TOPE_UF*UF_MES)*(TASA_EMP+MUTUAL),0)+ROUND(MIN(N(N2616),TOPE_AFC_UF*UF_MES)*IF(S2616="Indefinido",AFC_INDEF,AFC_PF),0))</f>
        <v/>
      </c>
      <c r="U2616" s="62" t="str">
        <f aca="false">IF(C2616="","",IF(LEFT(D2616,1)="⚠","⚠ RUT no registrado en Trabajadores",IF(B2616="","⚠ Falta el mes",IF(OR(ISTEXT(I2616),ISTEXT(J2616)),"⚠ Atrasos u horas extra como texto: escriba hh:mm (ej. 1:30)",IF(AND(ISNUMBER(Q2616),COUNTIFS(M_RUTN,V2616,M_MES,B2616,M_LIQ,"&lt;&gt;")&gt;1),"⚠ Liquidación repetida en el mes",IF(AND(ISNUMBER(O2616),ISNUMBER(P2616),ISNUMBER(Q2616),ABS(O2616-P2616-Q2616)&gt;1),"⚠ Haberes − descuentos no da el líquido","OK"))))))</f>
        <v/>
      </c>
      <c r="V2616" s="62" t="str">
        <f aca="false">IF(C2616="","",IFERROR(VALUE(LEFT(UPPER(SUBSTITUTE(SUBSTITUTE(SUBSTITUTE(TRIM(C2616),".",""),"-","")," ","")),LEN(UPPER(SUBSTITUTE(SUBSTITUTE(SUBSTITUTE(TRIM(C2616),".",""),"-","")," ","")))-1))&amp;RIGHT(UPPER(SUBSTITUTE(SUBSTITUTE(SUBSTITUTE(TRIM(C2616),".",""),"-","")," ","")),1),UPPER(SUBSTITUTE(SUBSTITUTE(SUBSTITUTE(TRIM(C2616),".",""),"-","")," ",""))))</f>
        <v/>
      </c>
    </row>
    <row r="2617" customFormat="false" ht="15" hidden="false" customHeight="false" outlineLevel="0" collapsed="false">
      <c r="B2617" s="80"/>
      <c r="C2617" s="58"/>
      <c r="D2617" s="62" t="str">
        <f aca="false">IF(C2617="","",IFERROR(INDEX(T_NOMBRE,MATCH(V2617,T_RUTN,0)),"⚠ RUT no está en Trabajadores"))</f>
        <v/>
      </c>
      <c r="E2617" s="61"/>
      <c r="F2617" s="61"/>
      <c r="G2617" s="61"/>
      <c r="H2617" s="61"/>
      <c r="I2617" s="81"/>
      <c r="J2617" s="81"/>
      <c r="K2617" s="60"/>
      <c r="L2617" s="60"/>
      <c r="M2617" s="60"/>
      <c r="N2617" s="60"/>
      <c r="O2617" s="60"/>
      <c r="P2617" s="60"/>
      <c r="Q2617" s="60"/>
      <c r="R2617" s="58"/>
      <c r="S2617" s="62" t="str">
        <f aca="false">IF(OR(B2617="",V2617=""),"",IFERROR(INDEX(C_TIPO,MATCH(V2617&amp;"-P"&amp;MAX(1,COUNTIFS(C_RUTN,V2617,C_DEF,"Sí",C_INI,"&lt;="&amp;EOMONTH(B2617,0))),C_CLAVE,0))&amp;"","Sin contrato"))</f>
        <v/>
      </c>
      <c r="T2617" s="63" t="str">
        <f aca="false">IF(OR(B2617="",N(O2617)=0),"",N(O2617)+ROUND(MIN(N(N2617),TOPE_UF*UF_MES)*(TASA_EMP+MUTUAL),0)+ROUND(MIN(N(N2617),TOPE_AFC_UF*UF_MES)*IF(S2617="Indefinido",AFC_INDEF,AFC_PF),0))</f>
        <v/>
      </c>
      <c r="U2617" s="62" t="str">
        <f aca="false">IF(C2617="","",IF(LEFT(D2617,1)="⚠","⚠ RUT no registrado en Trabajadores",IF(B2617="","⚠ Falta el mes",IF(OR(ISTEXT(I2617),ISTEXT(J2617)),"⚠ Atrasos u horas extra como texto: escriba hh:mm (ej. 1:30)",IF(AND(ISNUMBER(Q2617),COUNTIFS(M_RUTN,V2617,M_MES,B2617,M_LIQ,"&lt;&gt;")&gt;1),"⚠ Liquidación repetida en el mes",IF(AND(ISNUMBER(O2617),ISNUMBER(P2617),ISNUMBER(Q2617),ABS(O2617-P2617-Q2617)&gt;1),"⚠ Haberes − descuentos no da el líquido","OK"))))))</f>
        <v/>
      </c>
      <c r="V2617" s="62" t="str">
        <f aca="false">IF(C2617="","",IFERROR(VALUE(LEFT(UPPER(SUBSTITUTE(SUBSTITUTE(SUBSTITUTE(TRIM(C2617),".",""),"-","")," ","")),LEN(UPPER(SUBSTITUTE(SUBSTITUTE(SUBSTITUTE(TRIM(C2617),".",""),"-","")," ","")))-1))&amp;RIGHT(UPPER(SUBSTITUTE(SUBSTITUTE(SUBSTITUTE(TRIM(C2617),".",""),"-","")," ","")),1),UPPER(SUBSTITUTE(SUBSTITUTE(SUBSTITUTE(TRIM(C2617),".",""),"-","")," ",""))))</f>
        <v/>
      </c>
    </row>
    <row r="2618" customFormat="false" ht="15" hidden="false" customHeight="false" outlineLevel="0" collapsed="false">
      <c r="B2618" s="80"/>
      <c r="C2618" s="58"/>
      <c r="D2618" s="62" t="str">
        <f aca="false">IF(C2618="","",IFERROR(INDEX(T_NOMBRE,MATCH(V2618,T_RUTN,0)),"⚠ RUT no está en Trabajadores"))</f>
        <v/>
      </c>
      <c r="E2618" s="61"/>
      <c r="F2618" s="61"/>
      <c r="G2618" s="61"/>
      <c r="H2618" s="61"/>
      <c r="I2618" s="81"/>
      <c r="J2618" s="81"/>
      <c r="K2618" s="60"/>
      <c r="L2618" s="60"/>
      <c r="M2618" s="60"/>
      <c r="N2618" s="60"/>
      <c r="O2618" s="60"/>
      <c r="P2618" s="60"/>
      <c r="Q2618" s="60"/>
      <c r="R2618" s="58"/>
      <c r="S2618" s="62" t="str">
        <f aca="false">IF(OR(B2618="",V2618=""),"",IFERROR(INDEX(C_TIPO,MATCH(V2618&amp;"-P"&amp;MAX(1,COUNTIFS(C_RUTN,V2618,C_DEF,"Sí",C_INI,"&lt;="&amp;EOMONTH(B2618,0))),C_CLAVE,0))&amp;"","Sin contrato"))</f>
        <v/>
      </c>
      <c r="T2618" s="63" t="str">
        <f aca="false">IF(OR(B2618="",N(O2618)=0),"",N(O2618)+ROUND(MIN(N(N2618),TOPE_UF*UF_MES)*(TASA_EMP+MUTUAL),0)+ROUND(MIN(N(N2618),TOPE_AFC_UF*UF_MES)*IF(S2618="Indefinido",AFC_INDEF,AFC_PF),0))</f>
        <v/>
      </c>
      <c r="U2618" s="62" t="str">
        <f aca="false">IF(C2618="","",IF(LEFT(D2618,1)="⚠","⚠ RUT no registrado en Trabajadores",IF(B2618="","⚠ Falta el mes",IF(OR(ISTEXT(I2618),ISTEXT(J2618)),"⚠ Atrasos u horas extra como texto: escriba hh:mm (ej. 1:30)",IF(AND(ISNUMBER(Q2618),COUNTIFS(M_RUTN,V2618,M_MES,B2618,M_LIQ,"&lt;&gt;")&gt;1),"⚠ Liquidación repetida en el mes",IF(AND(ISNUMBER(O2618),ISNUMBER(P2618),ISNUMBER(Q2618),ABS(O2618-P2618-Q2618)&gt;1),"⚠ Haberes − descuentos no da el líquido","OK"))))))</f>
        <v/>
      </c>
      <c r="V2618" s="62" t="str">
        <f aca="false">IF(C2618="","",IFERROR(VALUE(LEFT(UPPER(SUBSTITUTE(SUBSTITUTE(SUBSTITUTE(TRIM(C2618),".",""),"-","")," ","")),LEN(UPPER(SUBSTITUTE(SUBSTITUTE(SUBSTITUTE(TRIM(C2618),".",""),"-","")," ","")))-1))&amp;RIGHT(UPPER(SUBSTITUTE(SUBSTITUTE(SUBSTITUTE(TRIM(C2618),".",""),"-","")," ","")),1),UPPER(SUBSTITUTE(SUBSTITUTE(SUBSTITUTE(TRIM(C2618),".",""),"-","")," ",""))))</f>
        <v/>
      </c>
    </row>
    <row r="2619" customFormat="false" ht="15" hidden="false" customHeight="false" outlineLevel="0" collapsed="false">
      <c r="B2619" s="80"/>
      <c r="C2619" s="58"/>
      <c r="D2619" s="62" t="str">
        <f aca="false">IF(C2619="","",IFERROR(INDEX(T_NOMBRE,MATCH(V2619,T_RUTN,0)),"⚠ RUT no está en Trabajadores"))</f>
        <v/>
      </c>
      <c r="E2619" s="61"/>
      <c r="F2619" s="61"/>
      <c r="G2619" s="61"/>
      <c r="H2619" s="61"/>
      <c r="I2619" s="81"/>
      <c r="J2619" s="81"/>
      <c r="K2619" s="60"/>
      <c r="L2619" s="60"/>
      <c r="M2619" s="60"/>
      <c r="N2619" s="60"/>
      <c r="O2619" s="60"/>
      <c r="P2619" s="60"/>
      <c r="Q2619" s="60"/>
      <c r="R2619" s="58"/>
      <c r="S2619" s="62" t="str">
        <f aca="false">IF(OR(B2619="",V2619=""),"",IFERROR(INDEX(C_TIPO,MATCH(V2619&amp;"-P"&amp;MAX(1,COUNTIFS(C_RUTN,V2619,C_DEF,"Sí",C_INI,"&lt;="&amp;EOMONTH(B2619,0))),C_CLAVE,0))&amp;"","Sin contrato"))</f>
        <v/>
      </c>
      <c r="T2619" s="63" t="str">
        <f aca="false">IF(OR(B2619="",N(O2619)=0),"",N(O2619)+ROUND(MIN(N(N2619),TOPE_UF*UF_MES)*(TASA_EMP+MUTUAL),0)+ROUND(MIN(N(N2619),TOPE_AFC_UF*UF_MES)*IF(S2619="Indefinido",AFC_INDEF,AFC_PF),0))</f>
        <v/>
      </c>
      <c r="U2619" s="62" t="str">
        <f aca="false">IF(C2619="","",IF(LEFT(D2619,1)="⚠","⚠ RUT no registrado en Trabajadores",IF(B2619="","⚠ Falta el mes",IF(OR(ISTEXT(I2619),ISTEXT(J2619)),"⚠ Atrasos u horas extra como texto: escriba hh:mm (ej. 1:30)",IF(AND(ISNUMBER(Q2619),COUNTIFS(M_RUTN,V2619,M_MES,B2619,M_LIQ,"&lt;&gt;")&gt;1),"⚠ Liquidación repetida en el mes",IF(AND(ISNUMBER(O2619),ISNUMBER(P2619),ISNUMBER(Q2619),ABS(O2619-P2619-Q2619)&gt;1),"⚠ Haberes − descuentos no da el líquido","OK"))))))</f>
        <v/>
      </c>
      <c r="V2619" s="62" t="str">
        <f aca="false">IF(C2619="","",IFERROR(VALUE(LEFT(UPPER(SUBSTITUTE(SUBSTITUTE(SUBSTITUTE(TRIM(C2619),".",""),"-","")," ","")),LEN(UPPER(SUBSTITUTE(SUBSTITUTE(SUBSTITUTE(TRIM(C2619),".",""),"-","")," ","")))-1))&amp;RIGHT(UPPER(SUBSTITUTE(SUBSTITUTE(SUBSTITUTE(TRIM(C2619),".",""),"-","")," ","")),1),UPPER(SUBSTITUTE(SUBSTITUTE(SUBSTITUTE(TRIM(C2619),".",""),"-","")," ",""))))</f>
        <v/>
      </c>
    </row>
    <row r="2620" customFormat="false" ht="15" hidden="false" customHeight="false" outlineLevel="0" collapsed="false">
      <c r="B2620" s="80"/>
      <c r="C2620" s="58"/>
      <c r="D2620" s="62" t="str">
        <f aca="false">IF(C2620="","",IFERROR(INDEX(T_NOMBRE,MATCH(V2620,T_RUTN,0)),"⚠ RUT no está en Trabajadores"))</f>
        <v/>
      </c>
      <c r="E2620" s="61"/>
      <c r="F2620" s="61"/>
      <c r="G2620" s="61"/>
      <c r="H2620" s="61"/>
      <c r="I2620" s="81"/>
      <c r="J2620" s="81"/>
      <c r="K2620" s="60"/>
      <c r="L2620" s="60"/>
      <c r="M2620" s="60"/>
      <c r="N2620" s="60"/>
      <c r="O2620" s="60"/>
      <c r="P2620" s="60"/>
      <c r="Q2620" s="60"/>
      <c r="R2620" s="58"/>
      <c r="S2620" s="62" t="str">
        <f aca="false">IF(OR(B2620="",V2620=""),"",IFERROR(INDEX(C_TIPO,MATCH(V2620&amp;"-P"&amp;MAX(1,COUNTIFS(C_RUTN,V2620,C_DEF,"Sí",C_INI,"&lt;="&amp;EOMONTH(B2620,0))),C_CLAVE,0))&amp;"","Sin contrato"))</f>
        <v/>
      </c>
      <c r="T2620" s="63" t="str">
        <f aca="false">IF(OR(B2620="",N(O2620)=0),"",N(O2620)+ROUND(MIN(N(N2620),TOPE_UF*UF_MES)*(TASA_EMP+MUTUAL),0)+ROUND(MIN(N(N2620),TOPE_AFC_UF*UF_MES)*IF(S2620="Indefinido",AFC_INDEF,AFC_PF),0))</f>
        <v/>
      </c>
      <c r="U2620" s="62" t="str">
        <f aca="false">IF(C2620="","",IF(LEFT(D2620,1)="⚠","⚠ RUT no registrado en Trabajadores",IF(B2620="","⚠ Falta el mes",IF(OR(ISTEXT(I2620),ISTEXT(J2620)),"⚠ Atrasos u horas extra como texto: escriba hh:mm (ej. 1:30)",IF(AND(ISNUMBER(Q2620),COUNTIFS(M_RUTN,V2620,M_MES,B2620,M_LIQ,"&lt;&gt;")&gt;1),"⚠ Liquidación repetida en el mes",IF(AND(ISNUMBER(O2620),ISNUMBER(P2620),ISNUMBER(Q2620),ABS(O2620-P2620-Q2620)&gt;1),"⚠ Haberes − descuentos no da el líquido","OK"))))))</f>
        <v/>
      </c>
      <c r="V2620" s="62" t="str">
        <f aca="false">IF(C2620="","",IFERROR(VALUE(LEFT(UPPER(SUBSTITUTE(SUBSTITUTE(SUBSTITUTE(TRIM(C2620),".",""),"-","")," ","")),LEN(UPPER(SUBSTITUTE(SUBSTITUTE(SUBSTITUTE(TRIM(C2620),".",""),"-","")," ","")))-1))&amp;RIGHT(UPPER(SUBSTITUTE(SUBSTITUTE(SUBSTITUTE(TRIM(C2620),".",""),"-","")," ","")),1),UPPER(SUBSTITUTE(SUBSTITUTE(SUBSTITUTE(TRIM(C2620),".",""),"-","")," ",""))))</f>
        <v/>
      </c>
    </row>
    <row r="2621" customFormat="false" ht="15" hidden="false" customHeight="false" outlineLevel="0" collapsed="false">
      <c r="B2621" s="80"/>
      <c r="C2621" s="58"/>
      <c r="D2621" s="62" t="str">
        <f aca="false">IF(C2621="","",IFERROR(INDEX(T_NOMBRE,MATCH(V2621,T_RUTN,0)),"⚠ RUT no está en Trabajadores"))</f>
        <v/>
      </c>
      <c r="E2621" s="61"/>
      <c r="F2621" s="61"/>
      <c r="G2621" s="61"/>
      <c r="H2621" s="61"/>
      <c r="I2621" s="81"/>
      <c r="J2621" s="81"/>
      <c r="K2621" s="60"/>
      <c r="L2621" s="60"/>
      <c r="M2621" s="60"/>
      <c r="N2621" s="60"/>
      <c r="O2621" s="60"/>
      <c r="P2621" s="60"/>
      <c r="Q2621" s="60"/>
      <c r="R2621" s="58"/>
      <c r="S2621" s="62" t="str">
        <f aca="false">IF(OR(B2621="",V2621=""),"",IFERROR(INDEX(C_TIPO,MATCH(V2621&amp;"-P"&amp;MAX(1,COUNTIFS(C_RUTN,V2621,C_DEF,"Sí",C_INI,"&lt;="&amp;EOMONTH(B2621,0))),C_CLAVE,0))&amp;"","Sin contrato"))</f>
        <v/>
      </c>
      <c r="T2621" s="63" t="str">
        <f aca="false">IF(OR(B2621="",N(O2621)=0),"",N(O2621)+ROUND(MIN(N(N2621),TOPE_UF*UF_MES)*(TASA_EMP+MUTUAL),0)+ROUND(MIN(N(N2621),TOPE_AFC_UF*UF_MES)*IF(S2621="Indefinido",AFC_INDEF,AFC_PF),0))</f>
        <v/>
      </c>
      <c r="U2621" s="62" t="str">
        <f aca="false">IF(C2621="","",IF(LEFT(D2621,1)="⚠","⚠ RUT no registrado en Trabajadores",IF(B2621="","⚠ Falta el mes",IF(OR(ISTEXT(I2621),ISTEXT(J2621)),"⚠ Atrasos u horas extra como texto: escriba hh:mm (ej. 1:30)",IF(AND(ISNUMBER(Q2621),COUNTIFS(M_RUTN,V2621,M_MES,B2621,M_LIQ,"&lt;&gt;")&gt;1),"⚠ Liquidación repetida en el mes",IF(AND(ISNUMBER(O2621),ISNUMBER(P2621),ISNUMBER(Q2621),ABS(O2621-P2621-Q2621)&gt;1),"⚠ Haberes − descuentos no da el líquido","OK"))))))</f>
        <v/>
      </c>
      <c r="V2621" s="62" t="str">
        <f aca="false">IF(C2621="","",IFERROR(VALUE(LEFT(UPPER(SUBSTITUTE(SUBSTITUTE(SUBSTITUTE(TRIM(C2621),".",""),"-","")," ","")),LEN(UPPER(SUBSTITUTE(SUBSTITUTE(SUBSTITUTE(TRIM(C2621),".",""),"-","")," ","")))-1))&amp;RIGHT(UPPER(SUBSTITUTE(SUBSTITUTE(SUBSTITUTE(TRIM(C2621),".",""),"-","")," ","")),1),UPPER(SUBSTITUTE(SUBSTITUTE(SUBSTITUTE(TRIM(C2621),".",""),"-","")," ",""))))</f>
        <v/>
      </c>
    </row>
    <row r="2622" customFormat="false" ht="15" hidden="false" customHeight="false" outlineLevel="0" collapsed="false">
      <c r="B2622" s="80"/>
      <c r="C2622" s="58"/>
      <c r="D2622" s="62" t="str">
        <f aca="false">IF(C2622="","",IFERROR(INDEX(T_NOMBRE,MATCH(V2622,T_RUTN,0)),"⚠ RUT no está en Trabajadores"))</f>
        <v/>
      </c>
      <c r="E2622" s="61"/>
      <c r="F2622" s="61"/>
      <c r="G2622" s="61"/>
      <c r="H2622" s="61"/>
      <c r="I2622" s="81"/>
      <c r="J2622" s="81"/>
      <c r="K2622" s="60"/>
      <c r="L2622" s="60"/>
      <c r="M2622" s="60"/>
      <c r="N2622" s="60"/>
      <c r="O2622" s="60"/>
      <c r="P2622" s="60"/>
      <c r="Q2622" s="60"/>
      <c r="R2622" s="58"/>
      <c r="S2622" s="62" t="str">
        <f aca="false">IF(OR(B2622="",V2622=""),"",IFERROR(INDEX(C_TIPO,MATCH(V2622&amp;"-P"&amp;MAX(1,COUNTIFS(C_RUTN,V2622,C_DEF,"Sí",C_INI,"&lt;="&amp;EOMONTH(B2622,0))),C_CLAVE,0))&amp;"","Sin contrato"))</f>
        <v/>
      </c>
      <c r="T2622" s="63" t="str">
        <f aca="false">IF(OR(B2622="",N(O2622)=0),"",N(O2622)+ROUND(MIN(N(N2622),TOPE_UF*UF_MES)*(TASA_EMP+MUTUAL),0)+ROUND(MIN(N(N2622),TOPE_AFC_UF*UF_MES)*IF(S2622="Indefinido",AFC_INDEF,AFC_PF),0))</f>
        <v/>
      </c>
      <c r="U2622" s="62" t="str">
        <f aca="false">IF(C2622="","",IF(LEFT(D2622,1)="⚠","⚠ RUT no registrado en Trabajadores",IF(B2622="","⚠ Falta el mes",IF(OR(ISTEXT(I2622),ISTEXT(J2622)),"⚠ Atrasos u horas extra como texto: escriba hh:mm (ej. 1:30)",IF(AND(ISNUMBER(Q2622),COUNTIFS(M_RUTN,V2622,M_MES,B2622,M_LIQ,"&lt;&gt;")&gt;1),"⚠ Liquidación repetida en el mes",IF(AND(ISNUMBER(O2622),ISNUMBER(P2622),ISNUMBER(Q2622),ABS(O2622-P2622-Q2622)&gt;1),"⚠ Haberes − descuentos no da el líquido","OK"))))))</f>
        <v/>
      </c>
      <c r="V2622" s="62" t="str">
        <f aca="false">IF(C2622="","",IFERROR(VALUE(LEFT(UPPER(SUBSTITUTE(SUBSTITUTE(SUBSTITUTE(TRIM(C2622),".",""),"-","")," ","")),LEN(UPPER(SUBSTITUTE(SUBSTITUTE(SUBSTITUTE(TRIM(C2622),".",""),"-","")," ","")))-1))&amp;RIGHT(UPPER(SUBSTITUTE(SUBSTITUTE(SUBSTITUTE(TRIM(C2622),".",""),"-","")," ","")),1),UPPER(SUBSTITUTE(SUBSTITUTE(SUBSTITUTE(TRIM(C2622),".",""),"-","")," ",""))))</f>
        <v/>
      </c>
    </row>
    <row r="2623" customFormat="false" ht="15" hidden="false" customHeight="false" outlineLevel="0" collapsed="false">
      <c r="B2623" s="80"/>
      <c r="C2623" s="58"/>
      <c r="D2623" s="62" t="str">
        <f aca="false">IF(C2623="","",IFERROR(INDEX(T_NOMBRE,MATCH(V2623,T_RUTN,0)),"⚠ RUT no está en Trabajadores"))</f>
        <v/>
      </c>
      <c r="E2623" s="61"/>
      <c r="F2623" s="61"/>
      <c r="G2623" s="61"/>
      <c r="H2623" s="61"/>
      <c r="I2623" s="81"/>
      <c r="J2623" s="81"/>
      <c r="K2623" s="60"/>
      <c r="L2623" s="60"/>
      <c r="M2623" s="60"/>
      <c r="N2623" s="60"/>
      <c r="O2623" s="60"/>
      <c r="P2623" s="60"/>
      <c r="Q2623" s="60"/>
      <c r="R2623" s="58"/>
      <c r="S2623" s="62" t="str">
        <f aca="false">IF(OR(B2623="",V2623=""),"",IFERROR(INDEX(C_TIPO,MATCH(V2623&amp;"-P"&amp;MAX(1,COUNTIFS(C_RUTN,V2623,C_DEF,"Sí",C_INI,"&lt;="&amp;EOMONTH(B2623,0))),C_CLAVE,0))&amp;"","Sin contrato"))</f>
        <v/>
      </c>
      <c r="T2623" s="63" t="str">
        <f aca="false">IF(OR(B2623="",N(O2623)=0),"",N(O2623)+ROUND(MIN(N(N2623),TOPE_UF*UF_MES)*(TASA_EMP+MUTUAL),0)+ROUND(MIN(N(N2623),TOPE_AFC_UF*UF_MES)*IF(S2623="Indefinido",AFC_INDEF,AFC_PF),0))</f>
        <v/>
      </c>
      <c r="U2623" s="62" t="str">
        <f aca="false">IF(C2623="","",IF(LEFT(D2623,1)="⚠","⚠ RUT no registrado en Trabajadores",IF(B2623="","⚠ Falta el mes",IF(OR(ISTEXT(I2623),ISTEXT(J2623)),"⚠ Atrasos u horas extra como texto: escriba hh:mm (ej. 1:30)",IF(AND(ISNUMBER(Q2623),COUNTIFS(M_RUTN,V2623,M_MES,B2623,M_LIQ,"&lt;&gt;")&gt;1),"⚠ Liquidación repetida en el mes",IF(AND(ISNUMBER(O2623),ISNUMBER(P2623),ISNUMBER(Q2623),ABS(O2623-P2623-Q2623)&gt;1),"⚠ Haberes − descuentos no da el líquido","OK"))))))</f>
        <v/>
      </c>
      <c r="V2623" s="62" t="str">
        <f aca="false">IF(C2623="","",IFERROR(VALUE(LEFT(UPPER(SUBSTITUTE(SUBSTITUTE(SUBSTITUTE(TRIM(C2623),".",""),"-","")," ","")),LEN(UPPER(SUBSTITUTE(SUBSTITUTE(SUBSTITUTE(TRIM(C2623),".",""),"-","")," ","")))-1))&amp;RIGHT(UPPER(SUBSTITUTE(SUBSTITUTE(SUBSTITUTE(TRIM(C2623),".",""),"-","")," ","")),1),UPPER(SUBSTITUTE(SUBSTITUTE(SUBSTITUTE(TRIM(C2623),".",""),"-","")," ",""))))</f>
        <v/>
      </c>
    </row>
    <row r="2624" customFormat="false" ht="15" hidden="false" customHeight="false" outlineLevel="0" collapsed="false">
      <c r="B2624" s="80"/>
      <c r="C2624" s="58"/>
      <c r="D2624" s="62" t="str">
        <f aca="false">IF(C2624="","",IFERROR(INDEX(T_NOMBRE,MATCH(V2624,T_RUTN,0)),"⚠ RUT no está en Trabajadores"))</f>
        <v/>
      </c>
      <c r="E2624" s="61"/>
      <c r="F2624" s="61"/>
      <c r="G2624" s="61"/>
      <c r="H2624" s="61"/>
      <c r="I2624" s="81"/>
      <c r="J2624" s="81"/>
      <c r="K2624" s="60"/>
      <c r="L2624" s="60"/>
      <c r="M2624" s="60"/>
      <c r="N2624" s="60"/>
      <c r="O2624" s="60"/>
      <c r="P2624" s="60"/>
      <c r="Q2624" s="60"/>
      <c r="R2624" s="58"/>
      <c r="S2624" s="62" t="str">
        <f aca="false">IF(OR(B2624="",V2624=""),"",IFERROR(INDEX(C_TIPO,MATCH(V2624&amp;"-P"&amp;MAX(1,COUNTIFS(C_RUTN,V2624,C_DEF,"Sí",C_INI,"&lt;="&amp;EOMONTH(B2624,0))),C_CLAVE,0))&amp;"","Sin contrato"))</f>
        <v/>
      </c>
      <c r="T2624" s="63" t="str">
        <f aca="false">IF(OR(B2624="",N(O2624)=0),"",N(O2624)+ROUND(MIN(N(N2624),TOPE_UF*UF_MES)*(TASA_EMP+MUTUAL),0)+ROUND(MIN(N(N2624),TOPE_AFC_UF*UF_MES)*IF(S2624="Indefinido",AFC_INDEF,AFC_PF),0))</f>
        <v/>
      </c>
      <c r="U2624" s="62" t="str">
        <f aca="false">IF(C2624="","",IF(LEFT(D2624,1)="⚠","⚠ RUT no registrado en Trabajadores",IF(B2624="","⚠ Falta el mes",IF(OR(ISTEXT(I2624),ISTEXT(J2624)),"⚠ Atrasos u horas extra como texto: escriba hh:mm (ej. 1:30)",IF(AND(ISNUMBER(Q2624),COUNTIFS(M_RUTN,V2624,M_MES,B2624,M_LIQ,"&lt;&gt;")&gt;1),"⚠ Liquidación repetida en el mes",IF(AND(ISNUMBER(O2624),ISNUMBER(P2624),ISNUMBER(Q2624),ABS(O2624-P2624-Q2624)&gt;1),"⚠ Haberes − descuentos no da el líquido","OK"))))))</f>
        <v/>
      </c>
      <c r="V2624" s="62" t="str">
        <f aca="false">IF(C2624="","",IFERROR(VALUE(LEFT(UPPER(SUBSTITUTE(SUBSTITUTE(SUBSTITUTE(TRIM(C2624),".",""),"-","")," ","")),LEN(UPPER(SUBSTITUTE(SUBSTITUTE(SUBSTITUTE(TRIM(C2624),".",""),"-","")," ","")))-1))&amp;RIGHT(UPPER(SUBSTITUTE(SUBSTITUTE(SUBSTITUTE(TRIM(C2624),".",""),"-","")," ","")),1),UPPER(SUBSTITUTE(SUBSTITUTE(SUBSTITUTE(TRIM(C2624),".",""),"-","")," ",""))))</f>
        <v/>
      </c>
    </row>
    <row r="2625" customFormat="false" ht="15" hidden="false" customHeight="false" outlineLevel="0" collapsed="false">
      <c r="B2625" s="80"/>
      <c r="C2625" s="58"/>
      <c r="D2625" s="62" t="str">
        <f aca="false">IF(C2625="","",IFERROR(INDEX(T_NOMBRE,MATCH(V2625,T_RUTN,0)),"⚠ RUT no está en Trabajadores"))</f>
        <v/>
      </c>
      <c r="E2625" s="61"/>
      <c r="F2625" s="61"/>
      <c r="G2625" s="61"/>
      <c r="H2625" s="61"/>
      <c r="I2625" s="81"/>
      <c r="J2625" s="81"/>
      <c r="K2625" s="60"/>
      <c r="L2625" s="60"/>
      <c r="M2625" s="60"/>
      <c r="N2625" s="60"/>
      <c r="O2625" s="60"/>
      <c r="P2625" s="60"/>
      <c r="Q2625" s="60"/>
      <c r="R2625" s="58"/>
      <c r="S2625" s="62" t="str">
        <f aca="false">IF(OR(B2625="",V2625=""),"",IFERROR(INDEX(C_TIPO,MATCH(V2625&amp;"-P"&amp;MAX(1,COUNTIFS(C_RUTN,V2625,C_DEF,"Sí",C_INI,"&lt;="&amp;EOMONTH(B2625,0))),C_CLAVE,0))&amp;"","Sin contrato"))</f>
        <v/>
      </c>
      <c r="T2625" s="63" t="str">
        <f aca="false">IF(OR(B2625="",N(O2625)=0),"",N(O2625)+ROUND(MIN(N(N2625),TOPE_UF*UF_MES)*(TASA_EMP+MUTUAL),0)+ROUND(MIN(N(N2625),TOPE_AFC_UF*UF_MES)*IF(S2625="Indefinido",AFC_INDEF,AFC_PF),0))</f>
        <v/>
      </c>
      <c r="U2625" s="62" t="str">
        <f aca="false">IF(C2625="","",IF(LEFT(D2625,1)="⚠","⚠ RUT no registrado en Trabajadores",IF(B2625="","⚠ Falta el mes",IF(OR(ISTEXT(I2625),ISTEXT(J2625)),"⚠ Atrasos u horas extra como texto: escriba hh:mm (ej. 1:30)",IF(AND(ISNUMBER(Q2625),COUNTIFS(M_RUTN,V2625,M_MES,B2625,M_LIQ,"&lt;&gt;")&gt;1),"⚠ Liquidación repetida en el mes",IF(AND(ISNUMBER(O2625),ISNUMBER(P2625),ISNUMBER(Q2625),ABS(O2625-P2625-Q2625)&gt;1),"⚠ Haberes − descuentos no da el líquido","OK"))))))</f>
        <v/>
      </c>
      <c r="V2625" s="62" t="str">
        <f aca="false">IF(C2625="","",IFERROR(VALUE(LEFT(UPPER(SUBSTITUTE(SUBSTITUTE(SUBSTITUTE(TRIM(C2625),".",""),"-","")," ","")),LEN(UPPER(SUBSTITUTE(SUBSTITUTE(SUBSTITUTE(TRIM(C2625),".",""),"-","")," ","")))-1))&amp;RIGHT(UPPER(SUBSTITUTE(SUBSTITUTE(SUBSTITUTE(TRIM(C2625),".",""),"-","")," ","")),1),UPPER(SUBSTITUTE(SUBSTITUTE(SUBSTITUTE(TRIM(C2625),".",""),"-","")," ",""))))</f>
        <v/>
      </c>
    </row>
    <row r="2626" customFormat="false" ht="15" hidden="false" customHeight="false" outlineLevel="0" collapsed="false">
      <c r="B2626" s="80"/>
      <c r="C2626" s="58"/>
      <c r="D2626" s="62" t="str">
        <f aca="false">IF(C2626="","",IFERROR(INDEX(T_NOMBRE,MATCH(V2626,T_RUTN,0)),"⚠ RUT no está en Trabajadores"))</f>
        <v/>
      </c>
      <c r="E2626" s="61"/>
      <c r="F2626" s="61"/>
      <c r="G2626" s="61"/>
      <c r="H2626" s="61"/>
      <c r="I2626" s="81"/>
      <c r="J2626" s="81"/>
      <c r="K2626" s="60"/>
      <c r="L2626" s="60"/>
      <c r="M2626" s="60"/>
      <c r="N2626" s="60"/>
      <c r="O2626" s="60"/>
      <c r="P2626" s="60"/>
      <c r="Q2626" s="60"/>
      <c r="R2626" s="58"/>
      <c r="S2626" s="62" t="str">
        <f aca="false">IF(OR(B2626="",V2626=""),"",IFERROR(INDEX(C_TIPO,MATCH(V2626&amp;"-P"&amp;MAX(1,COUNTIFS(C_RUTN,V2626,C_DEF,"Sí",C_INI,"&lt;="&amp;EOMONTH(B2626,0))),C_CLAVE,0))&amp;"","Sin contrato"))</f>
        <v/>
      </c>
      <c r="T2626" s="63" t="str">
        <f aca="false">IF(OR(B2626="",N(O2626)=0),"",N(O2626)+ROUND(MIN(N(N2626),TOPE_UF*UF_MES)*(TASA_EMP+MUTUAL),0)+ROUND(MIN(N(N2626),TOPE_AFC_UF*UF_MES)*IF(S2626="Indefinido",AFC_INDEF,AFC_PF),0))</f>
        <v/>
      </c>
      <c r="U2626" s="62" t="str">
        <f aca="false">IF(C2626="","",IF(LEFT(D2626,1)="⚠","⚠ RUT no registrado en Trabajadores",IF(B2626="","⚠ Falta el mes",IF(OR(ISTEXT(I2626),ISTEXT(J2626)),"⚠ Atrasos u horas extra como texto: escriba hh:mm (ej. 1:30)",IF(AND(ISNUMBER(Q2626),COUNTIFS(M_RUTN,V2626,M_MES,B2626,M_LIQ,"&lt;&gt;")&gt;1),"⚠ Liquidación repetida en el mes",IF(AND(ISNUMBER(O2626),ISNUMBER(P2626),ISNUMBER(Q2626),ABS(O2626-P2626-Q2626)&gt;1),"⚠ Haberes − descuentos no da el líquido","OK"))))))</f>
        <v/>
      </c>
      <c r="V2626" s="62" t="str">
        <f aca="false">IF(C2626="","",IFERROR(VALUE(LEFT(UPPER(SUBSTITUTE(SUBSTITUTE(SUBSTITUTE(TRIM(C2626),".",""),"-","")," ","")),LEN(UPPER(SUBSTITUTE(SUBSTITUTE(SUBSTITUTE(TRIM(C2626),".",""),"-","")," ","")))-1))&amp;RIGHT(UPPER(SUBSTITUTE(SUBSTITUTE(SUBSTITUTE(TRIM(C2626),".",""),"-","")," ","")),1),UPPER(SUBSTITUTE(SUBSTITUTE(SUBSTITUTE(TRIM(C2626),".",""),"-","")," ",""))))</f>
        <v/>
      </c>
    </row>
    <row r="2627" customFormat="false" ht="15" hidden="false" customHeight="false" outlineLevel="0" collapsed="false">
      <c r="B2627" s="80"/>
      <c r="C2627" s="58"/>
      <c r="D2627" s="62" t="str">
        <f aca="false">IF(C2627="","",IFERROR(INDEX(T_NOMBRE,MATCH(V2627,T_RUTN,0)),"⚠ RUT no está en Trabajadores"))</f>
        <v/>
      </c>
      <c r="E2627" s="61"/>
      <c r="F2627" s="61"/>
      <c r="G2627" s="61"/>
      <c r="H2627" s="61"/>
      <c r="I2627" s="81"/>
      <c r="J2627" s="81"/>
      <c r="K2627" s="60"/>
      <c r="L2627" s="60"/>
      <c r="M2627" s="60"/>
      <c r="N2627" s="60"/>
      <c r="O2627" s="60"/>
      <c r="P2627" s="60"/>
      <c r="Q2627" s="60"/>
      <c r="R2627" s="58"/>
      <c r="S2627" s="62" t="str">
        <f aca="false">IF(OR(B2627="",V2627=""),"",IFERROR(INDEX(C_TIPO,MATCH(V2627&amp;"-P"&amp;MAX(1,COUNTIFS(C_RUTN,V2627,C_DEF,"Sí",C_INI,"&lt;="&amp;EOMONTH(B2627,0))),C_CLAVE,0))&amp;"","Sin contrato"))</f>
        <v/>
      </c>
      <c r="T2627" s="63" t="str">
        <f aca="false">IF(OR(B2627="",N(O2627)=0),"",N(O2627)+ROUND(MIN(N(N2627),TOPE_UF*UF_MES)*(TASA_EMP+MUTUAL),0)+ROUND(MIN(N(N2627),TOPE_AFC_UF*UF_MES)*IF(S2627="Indefinido",AFC_INDEF,AFC_PF),0))</f>
        <v/>
      </c>
      <c r="U2627" s="62" t="str">
        <f aca="false">IF(C2627="","",IF(LEFT(D2627,1)="⚠","⚠ RUT no registrado en Trabajadores",IF(B2627="","⚠ Falta el mes",IF(OR(ISTEXT(I2627),ISTEXT(J2627)),"⚠ Atrasos u horas extra como texto: escriba hh:mm (ej. 1:30)",IF(AND(ISNUMBER(Q2627),COUNTIFS(M_RUTN,V2627,M_MES,B2627,M_LIQ,"&lt;&gt;")&gt;1),"⚠ Liquidación repetida en el mes",IF(AND(ISNUMBER(O2627),ISNUMBER(P2627),ISNUMBER(Q2627),ABS(O2627-P2627-Q2627)&gt;1),"⚠ Haberes − descuentos no da el líquido","OK"))))))</f>
        <v/>
      </c>
      <c r="V2627" s="62" t="str">
        <f aca="false">IF(C2627="","",IFERROR(VALUE(LEFT(UPPER(SUBSTITUTE(SUBSTITUTE(SUBSTITUTE(TRIM(C2627),".",""),"-","")," ","")),LEN(UPPER(SUBSTITUTE(SUBSTITUTE(SUBSTITUTE(TRIM(C2627),".",""),"-","")," ","")))-1))&amp;RIGHT(UPPER(SUBSTITUTE(SUBSTITUTE(SUBSTITUTE(TRIM(C2627),".",""),"-","")," ","")),1),UPPER(SUBSTITUTE(SUBSTITUTE(SUBSTITUTE(TRIM(C2627),".",""),"-","")," ",""))))</f>
        <v/>
      </c>
    </row>
    <row r="2628" customFormat="false" ht="15" hidden="false" customHeight="false" outlineLevel="0" collapsed="false">
      <c r="B2628" s="80"/>
      <c r="C2628" s="58"/>
      <c r="D2628" s="62" t="str">
        <f aca="false">IF(C2628="","",IFERROR(INDEX(T_NOMBRE,MATCH(V2628,T_RUTN,0)),"⚠ RUT no está en Trabajadores"))</f>
        <v/>
      </c>
      <c r="E2628" s="61"/>
      <c r="F2628" s="61"/>
      <c r="G2628" s="61"/>
      <c r="H2628" s="61"/>
      <c r="I2628" s="81"/>
      <c r="J2628" s="81"/>
      <c r="K2628" s="60"/>
      <c r="L2628" s="60"/>
      <c r="M2628" s="60"/>
      <c r="N2628" s="60"/>
      <c r="O2628" s="60"/>
      <c r="P2628" s="60"/>
      <c r="Q2628" s="60"/>
      <c r="R2628" s="58"/>
      <c r="S2628" s="62" t="str">
        <f aca="false">IF(OR(B2628="",V2628=""),"",IFERROR(INDEX(C_TIPO,MATCH(V2628&amp;"-P"&amp;MAX(1,COUNTIFS(C_RUTN,V2628,C_DEF,"Sí",C_INI,"&lt;="&amp;EOMONTH(B2628,0))),C_CLAVE,0))&amp;"","Sin contrato"))</f>
        <v/>
      </c>
      <c r="T2628" s="63" t="str">
        <f aca="false">IF(OR(B2628="",N(O2628)=0),"",N(O2628)+ROUND(MIN(N(N2628),TOPE_UF*UF_MES)*(TASA_EMP+MUTUAL),0)+ROUND(MIN(N(N2628),TOPE_AFC_UF*UF_MES)*IF(S2628="Indefinido",AFC_INDEF,AFC_PF),0))</f>
        <v/>
      </c>
      <c r="U2628" s="62" t="str">
        <f aca="false">IF(C2628="","",IF(LEFT(D2628,1)="⚠","⚠ RUT no registrado en Trabajadores",IF(B2628="","⚠ Falta el mes",IF(OR(ISTEXT(I2628),ISTEXT(J2628)),"⚠ Atrasos u horas extra como texto: escriba hh:mm (ej. 1:30)",IF(AND(ISNUMBER(Q2628),COUNTIFS(M_RUTN,V2628,M_MES,B2628,M_LIQ,"&lt;&gt;")&gt;1),"⚠ Liquidación repetida en el mes",IF(AND(ISNUMBER(O2628),ISNUMBER(P2628),ISNUMBER(Q2628),ABS(O2628-P2628-Q2628)&gt;1),"⚠ Haberes − descuentos no da el líquido","OK"))))))</f>
        <v/>
      </c>
      <c r="V2628" s="62" t="str">
        <f aca="false">IF(C2628="","",IFERROR(VALUE(LEFT(UPPER(SUBSTITUTE(SUBSTITUTE(SUBSTITUTE(TRIM(C2628),".",""),"-","")," ","")),LEN(UPPER(SUBSTITUTE(SUBSTITUTE(SUBSTITUTE(TRIM(C2628),".",""),"-","")," ","")))-1))&amp;RIGHT(UPPER(SUBSTITUTE(SUBSTITUTE(SUBSTITUTE(TRIM(C2628),".",""),"-","")," ","")),1),UPPER(SUBSTITUTE(SUBSTITUTE(SUBSTITUTE(TRIM(C2628),".",""),"-","")," ",""))))</f>
        <v/>
      </c>
    </row>
    <row r="2629" customFormat="false" ht="15" hidden="false" customHeight="false" outlineLevel="0" collapsed="false">
      <c r="B2629" s="80"/>
      <c r="C2629" s="58"/>
      <c r="D2629" s="62" t="str">
        <f aca="false">IF(C2629="","",IFERROR(INDEX(T_NOMBRE,MATCH(V2629,T_RUTN,0)),"⚠ RUT no está en Trabajadores"))</f>
        <v/>
      </c>
      <c r="E2629" s="61"/>
      <c r="F2629" s="61"/>
      <c r="G2629" s="61"/>
      <c r="H2629" s="61"/>
      <c r="I2629" s="81"/>
      <c r="J2629" s="81"/>
      <c r="K2629" s="60"/>
      <c r="L2629" s="60"/>
      <c r="M2629" s="60"/>
      <c r="N2629" s="60"/>
      <c r="O2629" s="60"/>
      <c r="P2629" s="60"/>
      <c r="Q2629" s="60"/>
      <c r="R2629" s="58"/>
      <c r="S2629" s="62" t="str">
        <f aca="false">IF(OR(B2629="",V2629=""),"",IFERROR(INDEX(C_TIPO,MATCH(V2629&amp;"-P"&amp;MAX(1,COUNTIFS(C_RUTN,V2629,C_DEF,"Sí",C_INI,"&lt;="&amp;EOMONTH(B2629,0))),C_CLAVE,0))&amp;"","Sin contrato"))</f>
        <v/>
      </c>
      <c r="T2629" s="63" t="str">
        <f aca="false">IF(OR(B2629="",N(O2629)=0),"",N(O2629)+ROUND(MIN(N(N2629),TOPE_UF*UF_MES)*(TASA_EMP+MUTUAL),0)+ROUND(MIN(N(N2629),TOPE_AFC_UF*UF_MES)*IF(S2629="Indefinido",AFC_INDEF,AFC_PF),0))</f>
        <v/>
      </c>
      <c r="U2629" s="62" t="str">
        <f aca="false">IF(C2629="","",IF(LEFT(D2629,1)="⚠","⚠ RUT no registrado en Trabajadores",IF(B2629="","⚠ Falta el mes",IF(OR(ISTEXT(I2629),ISTEXT(J2629)),"⚠ Atrasos u horas extra como texto: escriba hh:mm (ej. 1:30)",IF(AND(ISNUMBER(Q2629),COUNTIFS(M_RUTN,V2629,M_MES,B2629,M_LIQ,"&lt;&gt;")&gt;1),"⚠ Liquidación repetida en el mes",IF(AND(ISNUMBER(O2629),ISNUMBER(P2629),ISNUMBER(Q2629),ABS(O2629-P2629-Q2629)&gt;1),"⚠ Haberes − descuentos no da el líquido","OK"))))))</f>
        <v/>
      </c>
      <c r="V2629" s="62" t="str">
        <f aca="false">IF(C2629="","",IFERROR(VALUE(LEFT(UPPER(SUBSTITUTE(SUBSTITUTE(SUBSTITUTE(TRIM(C2629),".",""),"-","")," ","")),LEN(UPPER(SUBSTITUTE(SUBSTITUTE(SUBSTITUTE(TRIM(C2629),".",""),"-","")," ","")))-1))&amp;RIGHT(UPPER(SUBSTITUTE(SUBSTITUTE(SUBSTITUTE(TRIM(C2629),".",""),"-","")," ","")),1),UPPER(SUBSTITUTE(SUBSTITUTE(SUBSTITUTE(TRIM(C2629),".",""),"-","")," ",""))))</f>
        <v/>
      </c>
    </row>
    <row r="2630" customFormat="false" ht="15" hidden="false" customHeight="false" outlineLevel="0" collapsed="false">
      <c r="B2630" s="80"/>
      <c r="C2630" s="58"/>
      <c r="D2630" s="62" t="str">
        <f aca="false">IF(C2630="","",IFERROR(INDEX(T_NOMBRE,MATCH(V2630,T_RUTN,0)),"⚠ RUT no está en Trabajadores"))</f>
        <v/>
      </c>
      <c r="E2630" s="61"/>
      <c r="F2630" s="61"/>
      <c r="G2630" s="61"/>
      <c r="H2630" s="61"/>
      <c r="I2630" s="81"/>
      <c r="J2630" s="81"/>
      <c r="K2630" s="60"/>
      <c r="L2630" s="60"/>
      <c r="M2630" s="60"/>
      <c r="N2630" s="60"/>
      <c r="O2630" s="60"/>
      <c r="P2630" s="60"/>
      <c r="Q2630" s="60"/>
      <c r="R2630" s="58"/>
      <c r="S2630" s="62" t="str">
        <f aca="false">IF(OR(B2630="",V2630=""),"",IFERROR(INDEX(C_TIPO,MATCH(V2630&amp;"-P"&amp;MAX(1,COUNTIFS(C_RUTN,V2630,C_DEF,"Sí",C_INI,"&lt;="&amp;EOMONTH(B2630,0))),C_CLAVE,0))&amp;"","Sin contrato"))</f>
        <v/>
      </c>
      <c r="T2630" s="63" t="str">
        <f aca="false">IF(OR(B2630="",N(O2630)=0),"",N(O2630)+ROUND(MIN(N(N2630),TOPE_UF*UF_MES)*(TASA_EMP+MUTUAL),0)+ROUND(MIN(N(N2630),TOPE_AFC_UF*UF_MES)*IF(S2630="Indefinido",AFC_INDEF,AFC_PF),0))</f>
        <v/>
      </c>
      <c r="U2630" s="62" t="str">
        <f aca="false">IF(C2630="","",IF(LEFT(D2630,1)="⚠","⚠ RUT no registrado en Trabajadores",IF(B2630="","⚠ Falta el mes",IF(OR(ISTEXT(I2630),ISTEXT(J2630)),"⚠ Atrasos u horas extra como texto: escriba hh:mm (ej. 1:30)",IF(AND(ISNUMBER(Q2630),COUNTIFS(M_RUTN,V2630,M_MES,B2630,M_LIQ,"&lt;&gt;")&gt;1),"⚠ Liquidación repetida en el mes",IF(AND(ISNUMBER(O2630),ISNUMBER(P2630),ISNUMBER(Q2630),ABS(O2630-P2630-Q2630)&gt;1),"⚠ Haberes − descuentos no da el líquido","OK"))))))</f>
        <v/>
      </c>
      <c r="V2630" s="62" t="str">
        <f aca="false">IF(C2630="","",IFERROR(VALUE(LEFT(UPPER(SUBSTITUTE(SUBSTITUTE(SUBSTITUTE(TRIM(C2630),".",""),"-","")," ","")),LEN(UPPER(SUBSTITUTE(SUBSTITUTE(SUBSTITUTE(TRIM(C2630),".",""),"-","")," ","")))-1))&amp;RIGHT(UPPER(SUBSTITUTE(SUBSTITUTE(SUBSTITUTE(TRIM(C2630),".",""),"-","")," ","")),1),UPPER(SUBSTITUTE(SUBSTITUTE(SUBSTITUTE(TRIM(C2630),".",""),"-","")," ",""))))</f>
        <v/>
      </c>
    </row>
    <row r="2631" customFormat="false" ht="15" hidden="false" customHeight="false" outlineLevel="0" collapsed="false">
      <c r="B2631" s="80"/>
      <c r="C2631" s="58"/>
      <c r="D2631" s="62" t="str">
        <f aca="false">IF(C2631="","",IFERROR(INDEX(T_NOMBRE,MATCH(V2631,T_RUTN,0)),"⚠ RUT no está en Trabajadores"))</f>
        <v/>
      </c>
      <c r="E2631" s="61"/>
      <c r="F2631" s="61"/>
      <c r="G2631" s="61"/>
      <c r="H2631" s="61"/>
      <c r="I2631" s="81"/>
      <c r="J2631" s="81"/>
      <c r="K2631" s="60"/>
      <c r="L2631" s="60"/>
      <c r="M2631" s="60"/>
      <c r="N2631" s="60"/>
      <c r="O2631" s="60"/>
      <c r="P2631" s="60"/>
      <c r="Q2631" s="60"/>
      <c r="R2631" s="58"/>
      <c r="S2631" s="62" t="str">
        <f aca="false">IF(OR(B2631="",V2631=""),"",IFERROR(INDEX(C_TIPO,MATCH(V2631&amp;"-P"&amp;MAX(1,COUNTIFS(C_RUTN,V2631,C_DEF,"Sí",C_INI,"&lt;="&amp;EOMONTH(B2631,0))),C_CLAVE,0))&amp;"","Sin contrato"))</f>
        <v/>
      </c>
      <c r="T2631" s="63" t="str">
        <f aca="false">IF(OR(B2631="",N(O2631)=0),"",N(O2631)+ROUND(MIN(N(N2631),TOPE_UF*UF_MES)*(TASA_EMP+MUTUAL),0)+ROUND(MIN(N(N2631),TOPE_AFC_UF*UF_MES)*IF(S2631="Indefinido",AFC_INDEF,AFC_PF),0))</f>
        <v/>
      </c>
      <c r="U2631" s="62" t="str">
        <f aca="false">IF(C2631="","",IF(LEFT(D2631,1)="⚠","⚠ RUT no registrado en Trabajadores",IF(B2631="","⚠ Falta el mes",IF(OR(ISTEXT(I2631),ISTEXT(J2631)),"⚠ Atrasos u horas extra como texto: escriba hh:mm (ej. 1:30)",IF(AND(ISNUMBER(Q2631),COUNTIFS(M_RUTN,V2631,M_MES,B2631,M_LIQ,"&lt;&gt;")&gt;1),"⚠ Liquidación repetida en el mes",IF(AND(ISNUMBER(O2631),ISNUMBER(P2631),ISNUMBER(Q2631),ABS(O2631-P2631-Q2631)&gt;1),"⚠ Haberes − descuentos no da el líquido","OK"))))))</f>
        <v/>
      </c>
      <c r="V2631" s="62" t="str">
        <f aca="false">IF(C2631="","",IFERROR(VALUE(LEFT(UPPER(SUBSTITUTE(SUBSTITUTE(SUBSTITUTE(TRIM(C2631),".",""),"-","")," ","")),LEN(UPPER(SUBSTITUTE(SUBSTITUTE(SUBSTITUTE(TRIM(C2631),".",""),"-","")," ","")))-1))&amp;RIGHT(UPPER(SUBSTITUTE(SUBSTITUTE(SUBSTITUTE(TRIM(C2631),".",""),"-","")," ","")),1),UPPER(SUBSTITUTE(SUBSTITUTE(SUBSTITUTE(TRIM(C2631),".",""),"-","")," ",""))))</f>
        <v/>
      </c>
    </row>
    <row r="2632" customFormat="false" ht="15" hidden="false" customHeight="false" outlineLevel="0" collapsed="false">
      <c r="B2632" s="80"/>
      <c r="C2632" s="58"/>
      <c r="D2632" s="62" t="str">
        <f aca="false">IF(C2632="","",IFERROR(INDEX(T_NOMBRE,MATCH(V2632,T_RUTN,0)),"⚠ RUT no está en Trabajadores"))</f>
        <v/>
      </c>
      <c r="E2632" s="61"/>
      <c r="F2632" s="61"/>
      <c r="G2632" s="61"/>
      <c r="H2632" s="61"/>
      <c r="I2632" s="81"/>
      <c r="J2632" s="81"/>
      <c r="K2632" s="60"/>
      <c r="L2632" s="60"/>
      <c r="M2632" s="60"/>
      <c r="N2632" s="60"/>
      <c r="O2632" s="60"/>
      <c r="P2632" s="60"/>
      <c r="Q2632" s="60"/>
      <c r="R2632" s="58"/>
      <c r="S2632" s="62" t="str">
        <f aca="false">IF(OR(B2632="",V2632=""),"",IFERROR(INDEX(C_TIPO,MATCH(V2632&amp;"-P"&amp;MAX(1,COUNTIFS(C_RUTN,V2632,C_DEF,"Sí",C_INI,"&lt;="&amp;EOMONTH(B2632,0))),C_CLAVE,0))&amp;"","Sin contrato"))</f>
        <v/>
      </c>
      <c r="T2632" s="63" t="str">
        <f aca="false">IF(OR(B2632="",N(O2632)=0),"",N(O2632)+ROUND(MIN(N(N2632),TOPE_UF*UF_MES)*(TASA_EMP+MUTUAL),0)+ROUND(MIN(N(N2632),TOPE_AFC_UF*UF_MES)*IF(S2632="Indefinido",AFC_INDEF,AFC_PF),0))</f>
        <v/>
      </c>
      <c r="U2632" s="62" t="str">
        <f aca="false">IF(C2632="","",IF(LEFT(D2632,1)="⚠","⚠ RUT no registrado en Trabajadores",IF(B2632="","⚠ Falta el mes",IF(OR(ISTEXT(I2632),ISTEXT(J2632)),"⚠ Atrasos u horas extra como texto: escriba hh:mm (ej. 1:30)",IF(AND(ISNUMBER(Q2632),COUNTIFS(M_RUTN,V2632,M_MES,B2632,M_LIQ,"&lt;&gt;")&gt;1),"⚠ Liquidación repetida en el mes",IF(AND(ISNUMBER(O2632),ISNUMBER(P2632),ISNUMBER(Q2632),ABS(O2632-P2632-Q2632)&gt;1),"⚠ Haberes − descuentos no da el líquido","OK"))))))</f>
        <v/>
      </c>
      <c r="V2632" s="62" t="str">
        <f aca="false">IF(C2632="","",IFERROR(VALUE(LEFT(UPPER(SUBSTITUTE(SUBSTITUTE(SUBSTITUTE(TRIM(C2632),".",""),"-","")," ","")),LEN(UPPER(SUBSTITUTE(SUBSTITUTE(SUBSTITUTE(TRIM(C2632),".",""),"-","")," ","")))-1))&amp;RIGHT(UPPER(SUBSTITUTE(SUBSTITUTE(SUBSTITUTE(TRIM(C2632),".",""),"-","")," ","")),1),UPPER(SUBSTITUTE(SUBSTITUTE(SUBSTITUTE(TRIM(C2632),".",""),"-","")," ",""))))</f>
        <v/>
      </c>
    </row>
    <row r="2633" customFormat="false" ht="15" hidden="false" customHeight="false" outlineLevel="0" collapsed="false">
      <c r="B2633" s="80"/>
      <c r="C2633" s="58"/>
      <c r="D2633" s="62" t="str">
        <f aca="false">IF(C2633="","",IFERROR(INDEX(T_NOMBRE,MATCH(V2633,T_RUTN,0)),"⚠ RUT no está en Trabajadores"))</f>
        <v/>
      </c>
      <c r="E2633" s="61"/>
      <c r="F2633" s="61"/>
      <c r="G2633" s="61"/>
      <c r="H2633" s="61"/>
      <c r="I2633" s="81"/>
      <c r="J2633" s="81"/>
      <c r="K2633" s="60"/>
      <c r="L2633" s="60"/>
      <c r="M2633" s="60"/>
      <c r="N2633" s="60"/>
      <c r="O2633" s="60"/>
      <c r="P2633" s="60"/>
      <c r="Q2633" s="60"/>
      <c r="R2633" s="58"/>
      <c r="S2633" s="62" t="str">
        <f aca="false">IF(OR(B2633="",V2633=""),"",IFERROR(INDEX(C_TIPO,MATCH(V2633&amp;"-P"&amp;MAX(1,COUNTIFS(C_RUTN,V2633,C_DEF,"Sí",C_INI,"&lt;="&amp;EOMONTH(B2633,0))),C_CLAVE,0))&amp;"","Sin contrato"))</f>
        <v/>
      </c>
      <c r="T2633" s="63" t="str">
        <f aca="false">IF(OR(B2633="",N(O2633)=0),"",N(O2633)+ROUND(MIN(N(N2633),TOPE_UF*UF_MES)*(TASA_EMP+MUTUAL),0)+ROUND(MIN(N(N2633),TOPE_AFC_UF*UF_MES)*IF(S2633="Indefinido",AFC_INDEF,AFC_PF),0))</f>
        <v/>
      </c>
      <c r="U2633" s="62" t="str">
        <f aca="false">IF(C2633="","",IF(LEFT(D2633,1)="⚠","⚠ RUT no registrado en Trabajadores",IF(B2633="","⚠ Falta el mes",IF(OR(ISTEXT(I2633),ISTEXT(J2633)),"⚠ Atrasos u horas extra como texto: escriba hh:mm (ej. 1:30)",IF(AND(ISNUMBER(Q2633),COUNTIFS(M_RUTN,V2633,M_MES,B2633,M_LIQ,"&lt;&gt;")&gt;1),"⚠ Liquidación repetida en el mes",IF(AND(ISNUMBER(O2633),ISNUMBER(P2633),ISNUMBER(Q2633),ABS(O2633-P2633-Q2633)&gt;1),"⚠ Haberes − descuentos no da el líquido","OK"))))))</f>
        <v/>
      </c>
      <c r="V2633" s="62" t="str">
        <f aca="false">IF(C2633="","",IFERROR(VALUE(LEFT(UPPER(SUBSTITUTE(SUBSTITUTE(SUBSTITUTE(TRIM(C2633),".",""),"-","")," ","")),LEN(UPPER(SUBSTITUTE(SUBSTITUTE(SUBSTITUTE(TRIM(C2633),".",""),"-","")," ","")))-1))&amp;RIGHT(UPPER(SUBSTITUTE(SUBSTITUTE(SUBSTITUTE(TRIM(C2633),".",""),"-","")," ","")),1),UPPER(SUBSTITUTE(SUBSTITUTE(SUBSTITUTE(TRIM(C2633),".",""),"-","")," ",""))))</f>
        <v/>
      </c>
    </row>
    <row r="2634" customFormat="false" ht="15" hidden="false" customHeight="false" outlineLevel="0" collapsed="false">
      <c r="B2634" s="80"/>
      <c r="C2634" s="58"/>
      <c r="D2634" s="62" t="str">
        <f aca="false">IF(C2634="","",IFERROR(INDEX(T_NOMBRE,MATCH(V2634,T_RUTN,0)),"⚠ RUT no está en Trabajadores"))</f>
        <v/>
      </c>
      <c r="E2634" s="61"/>
      <c r="F2634" s="61"/>
      <c r="G2634" s="61"/>
      <c r="H2634" s="61"/>
      <c r="I2634" s="81"/>
      <c r="J2634" s="81"/>
      <c r="K2634" s="60"/>
      <c r="L2634" s="60"/>
      <c r="M2634" s="60"/>
      <c r="N2634" s="60"/>
      <c r="O2634" s="60"/>
      <c r="P2634" s="60"/>
      <c r="Q2634" s="60"/>
      <c r="R2634" s="58"/>
      <c r="S2634" s="62" t="str">
        <f aca="false">IF(OR(B2634="",V2634=""),"",IFERROR(INDEX(C_TIPO,MATCH(V2634&amp;"-P"&amp;MAX(1,COUNTIFS(C_RUTN,V2634,C_DEF,"Sí",C_INI,"&lt;="&amp;EOMONTH(B2634,0))),C_CLAVE,0))&amp;"","Sin contrato"))</f>
        <v/>
      </c>
      <c r="T2634" s="63" t="str">
        <f aca="false">IF(OR(B2634="",N(O2634)=0),"",N(O2634)+ROUND(MIN(N(N2634),TOPE_UF*UF_MES)*(TASA_EMP+MUTUAL),0)+ROUND(MIN(N(N2634),TOPE_AFC_UF*UF_MES)*IF(S2634="Indefinido",AFC_INDEF,AFC_PF),0))</f>
        <v/>
      </c>
      <c r="U2634" s="62" t="str">
        <f aca="false">IF(C2634="","",IF(LEFT(D2634,1)="⚠","⚠ RUT no registrado en Trabajadores",IF(B2634="","⚠ Falta el mes",IF(OR(ISTEXT(I2634),ISTEXT(J2634)),"⚠ Atrasos u horas extra como texto: escriba hh:mm (ej. 1:30)",IF(AND(ISNUMBER(Q2634),COUNTIFS(M_RUTN,V2634,M_MES,B2634,M_LIQ,"&lt;&gt;")&gt;1),"⚠ Liquidación repetida en el mes",IF(AND(ISNUMBER(O2634),ISNUMBER(P2634),ISNUMBER(Q2634),ABS(O2634-P2634-Q2634)&gt;1),"⚠ Haberes − descuentos no da el líquido","OK"))))))</f>
        <v/>
      </c>
      <c r="V2634" s="62" t="str">
        <f aca="false">IF(C2634="","",IFERROR(VALUE(LEFT(UPPER(SUBSTITUTE(SUBSTITUTE(SUBSTITUTE(TRIM(C2634),".",""),"-","")," ","")),LEN(UPPER(SUBSTITUTE(SUBSTITUTE(SUBSTITUTE(TRIM(C2634),".",""),"-","")," ","")))-1))&amp;RIGHT(UPPER(SUBSTITUTE(SUBSTITUTE(SUBSTITUTE(TRIM(C2634),".",""),"-","")," ","")),1),UPPER(SUBSTITUTE(SUBSTITUTE(SUBSTITUTE(TRIM(C2634),".",""),"-","")," ",""))))</f>
        <v/>
      </c>
    </row>
    <row r="2635" customFormat="false" ht="15" hidden="false" customHeight="false" outlineLevel="0" collapsed="false">
      <c r="B2635" s="80"/>
      <c r="C2635" s="58"/>
      <c r="D2635" s="62" t="str">
        <f aca="false">IF(C2635="","",IFERROR(INDEX(T_NOMBRE,MATCH(V2635,T_RUTN,0)),"⚠ RUT no está en Trabajadores"))</f>
        <v/>
      </c>
      <c r="E2635" s="61"/>
      <c r="F2635" s="61"/>
      <c r="G2635" s="61"/>
      <c r="H2635" s="61"/>
      <c r="I2635" s="81"/>
      <c r="J2635" s="81"/>
      <c r="K2635" s="60"/>
      <c r="L2635" s="60"/>
      <c r="M2635" s="60"/>
      <c r="N2635" s="60"/>
      <c r="O2635" s="60"/>
      <c r="P2635" s="60"/>
      <c r="Q2635" s="60"/>
      <c r="R2635" s="58"/>
      <c r="S2635" s="62" t="str">
        <f aca="false">IF(OR(B2635="",V2635=""),"",IFERROR(INDEX(C_TIPO,MATCH(V2635&amp;"-P"&amp;MAX(1,COUNTIFS(C_RUTN,V2635,C_DEF,"Sí",C_INI,"&lt;="&amp;EOMONTH(B2635,0))),C_CLAVE,0))&amp;"","Sin contrato"))</f>
        <v/>
      </c>
      <c r="T2635" s="63" t="str">
        <f aca="false">IF(OR(B2635="",N(O2635)=0),"",N(O2635)+ROUND(MIN(N(N2635),TOPE_UF*UF_MES)*(TASA_EMP+MUTUAL),0)+ROUND(MIN(N(N2635),TOPE_AFC_UF*UF_MES)*IF(S2635="Indefinido",AFC_INDEF,AFC_PF),0))</f>
        <v/>
      </c>
      <c r="U2635" s="62" t="str">
        <f aca="false">IF(C2635="","",IF(LEFT(D2635,1)="⚠","⚠ RUT no registrado en Trabajadores",IF(B2635="","⚠ Falta el mes",IF(OR(ISTEXT(I2635),ISTEXT(J2635)),"⚠ Atrasos u horas extra como texto: escriba hh:mm (ej. 1:30)",IF(AND(ISNUMBER(Q2635),COUNTIFS(M_RUTN,V2635,M_MES,B2635,M_LIQ,"&lt;&gt;")&gt;1),"⚠ Liquidación repetida en el mes",IF(AND(ISNUMBER(O2635),ISNUMBER(P2635),ISNUMBER(Q2635),ABS(O2635-P2635-Q2635)&gt;1),"⚠ Haberes − descuentos no da el líquido","OK"))))))</f>
        <v/>
      </c>
      <c r="V2635" s="62" t="str">
        <f aca="false">IF(C2635="","",IFERROR(VALUE(LEFT(UPPER(SUBSTITUTE(SUBSTITUTE(SUBSTITUTE(TRIM(C2635),".",""),"-","")," ","")),LEN(UPPER(SUBSTITUTE(SUBSTITUTE(SUBSTITUTE(TRIM(C2635),".",""),"-","")," ","")))-1))&amp;RIGHT(UPPER(SUBSTITUTE(SUBSTITUTE(SUBSTITUTE(TRIM(C2635),".",""),"-","")," ","")),1),UPPER(SUBSTITUTE(SUBSTITUTE(SUBSTITUTE(TRIM(C2635),".",""),"-","")," ",""))))</f>
        <v/>
      </c>
    </row>
    <row r="2636" customFormat="false" ht="15" hidden="false" customHeight="false" outlineLevel="0" collapsed="false">
      <c r="B2636" s="80"/>
      <c r="C2636" s="58"/>
      <c r="D2636" s="62" t="str">
        <f aca="false">IF(C2636="","",IFERROR(INDEX(T_NOMBRE,MATCH(V2636,T_RUTN,0)),"⚠ RUT no está en Trabajadores"))</f>
        <v/>
      </c>
      <c r="E2636" s="61"/>
      <c r="F2636" s="61"/>
      <c r="G2636" s="61"/>
      <c r="H2636" s="61"/>
      <c r="I2636" s="81"/>
      <c r="J2636" s="81"/>
      <c r="K2636" s="60"/>
      <c r="L2636" s="60"/>
      <c r="M2636" s="60"/>
      <c r="N2636" s="60"/>
      <c r="O2636" s="60"/>
      <c r="P2636" s="60"/>
      <c r="Q2636" s="60"/>
      <c r="R2636" s="58"/>
      <c r="S2636" s="62" t="str">
        <f aca="false">IF(OR(B2636="",V2636=""),"",IFERROR(INDEX(C_TIPO,MATCH(V2636&amp;"-P"&amp;MAX(1,COUNTIFS(C_RUTN,V2636,C_DEF,"Sí",C_INI,"&lt;="&amp;EOMONTH(B2636,0))),C_CLAVE,0))&amp;"","Sin contrato"))</f>
        <v/>
      </c>
      <c r="T2636" s="63" t="str">
        <f aca="false">IF(OR(B2636="",N(O2636)=0),"",N(O2636)+ROUND(MIN(N(N2636),TOPE_UF*UF_MES)*(TASA_EMP+MUTUAL),0)+ROUND(MIN(N(N2636),TOPE_AFC_UF*UF_MES)*IF(S2636="Indefinido",AFC_INDEF,AFC_PF),0))</f>
        <v/>
      </c>
      <c r="U2636" s="62" t="str">
        <f aca="false">IF(C2636="","",IF(LEFT(D2636,1)="⚠","⚠ RUT no registrado en Trabajadores",IF(B2636="","⚠ Falta el mes",IF(OR(ISTEXT(I2636),ISTEXT(J2636)),"⚠ Atrasos u horas extra como texto: escriba hh:mm (ej. 1:30)",IF(AND(ISNUMBER(Q2636),COUNTIFS(M_RUTN,V2636,M_MES,B2636,M_LIQ,"&lt;&gt;")&gt;1),"⚠ Liquidación repetida en el mes",IF(AND(ISNUMBER(O2636),ISNUMBER(P2636),ISNUMBER(Q2636),ABS(O2636-P2636-Q2636)&gt;1),"⚠ Haberes − descuentos no da el líquido","OK"))))))</f>
        <v/>
      </c>
      <c r="V2636" s="62" t="str">
        <f aca="false">IF(C2636="","",IFERROR(VALUE(LEFT(UPPER(SUBSTITUTE(SUBSTITUTE(SUBSTITUTE(TRIM(C2636),".",""),"-","")," ","")),LEN(UPPER(SUBSTITUTE(SUBSTITUTE(SUBSTITUTE(TRIM(C2636),".",""),"-","")," ","")))-1))&amp;RIGHT(UPPER(SUBSTITUTE(SUBSTITUTE(SUBSTITUTE(TRIM(C2636),".",""),"-","")," ","")),1),UPPER(SUBSTITUTE(SUBSTITUTE(SUBSTITUTE(TRIM(C2636),".",""),"-","")," ",""))))</f>
        <v/>
      </c>
    </row>
    <row r="2637" customFormat="false" ht="15" hidden="false" customHeight="false" outlineLevel="0" collapsed="false">
      <c r="B2637" s="80"/>
      <c r="C2637" s="58"/>
      <c r="D2637" s="62" t="str">
        <f aca="false">IF(C2637="","",IFERROR(INDEX(T_NOMBRE,MATCH(V2637,T_RUTN,0)),"⚠ RUT no está en Trabajadores"))</f>
        <v/>
      </c>
      <c r="E2637" s="61"/>
      <c r="F2637" s="61"/>
      <c r="G2637" s="61"/>
      <c r="H2637" s="61"/>
      <c r="I2637" s="81"/>
      <c r="J2637" s="81"/>
      <c r="K2637" s="60"/>
      <c r="L2637" s="60"/>
      <c r="M2637" s="60"/>
      <c r="N2637" s="60"/>
      <c r="O2637" s="60"/>
      <c r="P2637" s="60"/>
      <c r="Q2637" s="60"/>
      <c r="R2637" s="58"/>
      <c r="S2637" s="62" t="str">
        <f aca="false">IF(OR(B2637="",V2637=""),"",IFERROR(INDEX(C_TIPO,MATCH(V2637&amp;"-P"&amp;MAX(1,COUNTIFS(C_RUTN,V2637,C_DEF,"Sí",C_INI,"&lt;="&amp;EOMONTH(B2637,0))),C_CLAVE,0))&amp;"","Sin contrato"))</f>
        <v/>
      </c>
      <c r="T2637" s="63" t="str">
        <f aca="false">IF(OR(B2637="",N(O2637)=0),"",N(O2637)+ROUND(MIN(N(N2637),TOPE_UF*UF_MES)*(TASA_EMP+MUTUAL),0)+ROUND(MIN(N(N2637),TOPE_AFC_UF*UF_MES)*IF(S2637="Indefinido",AFC_INDEF,AFC_PF),0))</f>
        <v/>
      </c>
      <c r="U2637" s="62" t="str">
        <f aca="false">IF(C2637="","",IF(LEFT(D2637,1)="⚠","⚠ RUT no registrado en Trabajadores",IF(B2637="","⚠ Falta el mes",IF(OR(ISTEXT(I2637),ISTEXT(J2637)),"⚠ Atrasos u horas extra como texto: escriba hh:mm (ej. 1:30)",IF(AND(ISNUMBER(Q2637),COUNTIFS(M_RUTN,V2637,M_MES,B2637,M_LIQ,"&lt;&gt;")&gt;1),"⚠ Liquidación repetida en el mes",IF(AND(ISNUMBER(O2637),ISNUMBER(P2637),ISNUMBER(Q2637),ABS(O2637-P2637-Q2637)&gt;1),"⚠ Haberes − descuentos no da el líquido","OK"))))))</f>
        <v/>
      </c>
      <c r="V2637" s="62" t="str">
        <f aca="false">IF(C2637="","",IFERROR(VALUE(LEFT(UPPER(SUBSTITUTE(SUBSTITUTE(SUBSTITUTE(TRIM(C2637),".",""),"-","")," ","")),LEN(UPPER(SUBSTITUTE(SUBSTITUTE(SUBSTITUTE(TRIM(C2637),".",""),"-","")," ","")))-1))&amp;RIGHT(UPPER(SUBSTITUTE(SUBSTITUTE(SUBSTITUTE(TRIM(C2637),".",""),"-","")," ","")),1),UPPER(SUBSTITUTE(SUBSTITUTE(SUBSTITUTE(TRIM(C2637),".",""),"-","")," ",""))))</f>
        <v/>
      </c>
    </row>
    <row r="2638" customFormat="false" ht="15" hidden="false" customHeight="false" outlineLevel="0" collapsed="false">
      <c r="B2638" s="80"/>
      <c r="C2638" s="58"/>
      <c r="D2638" s="62" t="str">
        <f aca="false">IF(C2638="","",IFERROR(INDEX(T_NOMBRE,MATCH(V2638,T_RUTN,0)),"⚠ RUT no está en Trabajadores"))</f>
        <v/>
      </c>
      <c r="E2638" s="61"/>
      <c r="F2638" s="61"/>
      <c r="G2638" s="61"/>
      <c r="H2638" s="61"/>
      <c r="I2638" s="81"/>
      <c r="J2638" s="81"/>
      <c r="K2638" s="60"/>
      <c r="L2638" s="60"/>
      <c r="M2638" s="60"/>
      <c r="N2638" s="60"/>
      <c r="O2638" s="60"/>
      <c r="P2638" s="60"/>
      <c r="Q2638" s="60"/>
      <c r="R2638" s="58"/>
      <c r="S2638" s="62" t="str">
        <f aca="false">IF(OR(B2638="",V2638=""),"",IFERROR(INDEX(C_TIPO,MATCH(V2638&amp;"-P"&amp;MAX(1,COUNTIFS(C_RUTN,V2638,C_DEF,"Sí",C_INI,"&lt;="&amp;EOMONTH(B2638,0))),C_CLAVE,0))&amp;"","Sin contrato"))</f>
        <v/>
      </c>
      <c r="T2638" s="63" t="str">
        <f aca="false">IF(OR(B2638="",N(O2638)=0),"",N(O2638)+ROUND(MIN(N(N2638),TOPE_UF*UF_MES)*(TASA_EMP+MUTUAL),0)+ROUND(MIN(N(N2638),TOPE_AFC_UF*UF_MES)*IF(S2638="Indefinido",AFC_INDEF,AFC_PF),0))</f>
        <v/>
      </c>
      <c r="U2638" s="62" t="str">
        <f aca="false">IF(C2638="","",IF(LEFT(D2638,1)="⚠","⚠ RUT no registrado en Trabajadores",IF(B2638="","⚠ Falta el mes",IF(OR(ISTEXT(I2638),ISTEXT(J2638)),"⚠ Atrasos u horas extra como texto: escriba hh:mm (ej. 1:30)",IF(AND(ISNUMBER(Q2638),COUNTIFS(M_RUTN,V2638,M_MES,B2638,M_LIQ,"&lt;&gt;")&gt;1),"⚠ Liquidación repetida en el mes",IF(AND(ISNUMBER(O2638),ISNUMBER(P2638),ISNUMBER(Q2638),ABS(O2638-P2638-Q2638)&gt;1),"⚠ Haberes − descuentos no da el líquido","OK"))))))</f>
        <v/>
      </c>
      <c r="V2638" s="62" t="str">
        <f aca="false">IF(C2638="","",IFERROR(VALUE(LEFT(UPPER(SUBSTITUTE(SUBSTITUTE(SUBSTITUTE(TRIM(C2638),".",""),"-","")," ","")),LEN(UPPER(SUBSTITUTE(SUBSTITUTE(SUBSTITUTE(TRIM(C2638),".",""),"-","")," ","")))-1))&amp;RIGHT(UPPER(SUBSTITUTE(SUBSTITUTE(SUBSTITUTE(TRIM(C2638),".",""),"-","")," ","")),1),UPPER(SUBSTITUTE(SUBSTITUTE(SUBSTITUTE(TRIM(C2638),".",""),"-","")," ",""))))</f>
        <v/>
      </c>
    </row>
    <row r="2639" customFormat="false" ht="15" hidden="false" customHeight="false" outlineLevel="0" collapsed="false">
      <c r="B2639" s="80"/>
      <c r="C2639" s="58"/>
      <c r="D2639" s="62" t="str">
        <f aca="false">IF(C2639="","",IFERROR(INDEX(T_NOMBRE,MATCH(V2639,T_RUTN,0)),"⚠ RUT no está en Trabajadores"))</f>
        <v/>
      </c>
      <c r="E2639" s="61"/>
      <c r="F2639" s="61"/>
      <c r="G2639" s="61"/>
      <c r="H2639" s="61"/>
      <c r="I2639" s="81"/>
      <c r="J2639" s="81"/>
      <c r="K2639" s="60"/>
      <c r="L2639" s="60"/>
      <c r="M2639" s="60"/>
      <c r="N2639" s="60"/>
      <c r="O2639" s="60"/>
      <c r="P2639" s="60"/>
      <c r="Q2639" s="60"/>
      <c r="R2639" s="58"/>
      <c r="S2639" s="62" t="str">
        <f aca="false">IF(OR(B2639="",V2639=""),"",IFERROR(INDEX(C_TIPO,MATCH(V2639&amp;"-P"&amp;MAX(1,COUNTIFS(C_RUTN,V2639,C_DEF,"Sí",C_INI,"&lt;="&amp;EOMONTH(B2639,0))),C_CLAVE,0))&amp;"","Sin contrato"))</f>
        <v/>
      </c>
      <c r="T2639" s="63" t="str">
        <f aca="false">IF(OR(B2639="",N(O2639)=0),"",N(O2639)+ROUND(MIN(N(N2639),TOPE_UF*UF_MES)*(TASA_EMP+MUTUAL),0)+ROUND(MIN(N(N2639),TOPE_AFC_UF*UF_MES)*IF(S2639="Indefinido",AFC_INDEF,AFC_PF),0))</f>
        <v/>
      </c>
      <c r="U2639" s="62" t="str">
        <f aca="false">IF(C2639="","",IF(LEFT(D2639,1)="⚠","⚠ RUT no registrado en Trabajadores",IF(B2639="","⚠ Falta el mes",IF(OR(ISTEXT(I2639),ISTEXT(J2639)),"⚠ Atrasos u horas extra como texto: escriba hh:mm (ej. 1:30)",IF(AND(ISNUMBER(Q2639),COUNTIFS(M_RUTN,V2639,M_MES,B2639,M_LIQ,"&lt;&gt;")&gt;1),"⚠ Liquidación repetida en el mes",IF(AND(ISNUMBER(O2639),ISNUMBER(P2639),ISNUMBER(Q2639),ABS(O2639-P2639-Q2639)&gt;1),"⚠ Haberes − descuentos no da el líquido","OK"))))))</f>
        <v/>
      </c>
      <c r="V2639" s="62" t="str">
        <f aca="false">IF(C2639="","",IFERROR(VALUE(LEFT(UPPER(SUBSTITUTE(SUBSTITUTE(SUBSTITUTE(TRIM(C2639),".",""),"-","")," ","")),LEN(UPPER(SUBSTITUTE(SUBSTITUTE(SUBSTITUTE(TRIM(C2639),".",""),"-","")," ","")))-1))&amp;RIGHT(UPPER(SUBSTITUTE(SUBSTITUTE(SUBSTITUTE(TRIM(C2639),".",""),"-","")," ","")),1),UPPER(SUBSTITUTE(SUBSTITUTE(SUBSTITUTE(TRIM(C2639),".",""),"-","")," ",""))))</f>
        <v/>
      </c>
    </row>
    <row r="2640" customFormat="false" ht="15" hidden="false" customHeight="false" outlineLevel="0" collapsed="false">
      <c r="B2640" s="80"/>
      <c r="C2640" s="58"/>
      <c r="D2640" s="62" t="str">
        <f aca="false">IF(C2640="","",IFERROR(INDEX(T_NOMBRE,MATCH(V2640,T_RUTN,0)),"⚠ RUT no está en Trabajadores"))</f>
        <v/>
      </c>
      <c r="E2640" s="61"/>
      <c r="F2640" s="61"/>
      <c r="G2640" s="61"/>
      <c r="H2640" s="61"/>
      <c r="I2640" s="81"/>
      <c r="J2640" s="81"/>
      <c r="K2640" s="60"/>
      <c r="L2640" s="60"/>
      <c r="M2640" s="60"/>
      <c r="N2640" s="60"/>
      <c r="O2640" s="60"/>
      <c r="P2640" s="60"/>
      <c r="Q2640" s="60"/>
      <c r="R2640" s="58"/>
      <c r="S2640" s="62" t="str">
        <f aca="false">IF(OR(B2640="",V2640=""),"",IFERROR(INDEX(C_TIPO,MATCH(V2640&amp;"-P"&amp;MAX(1,COUNTIFS(C_RUTN,V2640,C_DEF,"Sí",C_INI,"&lt;="&amp;EOMONTH(B2640,0))),C_CLAVE,0))&amp;"","Sin contrato"))</f>
        <v/>
      </c>
      <c r="T2640" s="63" t="str">
        <f aca="false">IF(OR(B2640="",N(O2640)=0),"",N(O2640)+ROUND(MIN(N(N2640),TOPE_UF*UF_MES)*(TASA_EMP+MUTUAL),0)+ROUND(MIN(N(N2640),TOPE_AFC_UF*UF_MES)*IF(S2640="Indefinido",AFC_INDEF,AFC_PF),0))</f>
        <v/>
      </c>
      <c r="U2640" s="62" t="str">
        <f aca="false">IF(C2640="","",IF(LEFT(D2640,1)="⚠","⚠ RUT no registrado en Trabajadores",IF(B2640="","⚠ Falta el mes",IF(OR(ISTEXT(I2640),ISTEXT(J2640)),"⚠ Atrasos u horas extra como texto: escriba hh:mm (ej. 1:30)",IF(AND(ISNUMBER(Q2640),COUNTIFS(M_RUTN,V2640,M_MES,B2640,M_LIQ,"&lt;&gt;")&gt;1),"⚠ Liquidación repetida en el mes",IF(AND(ISNUMBER(O2640),ISNUMBER(P2640),ISNUMBER(Q2640),ABS(O2640-P2640-Q2640)&gt;1),"⚠ Haberes − descuentos no da el líquido","OK"))))))</f>
        <v/>
      </c>
      <c r="V2640" s="62" t="str">
        <f aca="false">IF(C2640="","",IFERROR(VALUE(LEFT(UPPER(SUBSTITUTE(SUBSTITUTE(SUBSTITUTE(TRIM(C2640),".",""),"-","")," ","")),LEN(UPPER(SUBSTITUTE(SUBSTITUTE(SUBSTITUTE(TRIM(C2640),".",""),"-","")," ","")))-1))&amp;RIGHT(UPPER(SUBSTITUTE(SUBSTITUTE(SUBSTITUTE(TRIM(C2640),".",""),"-","")," ","")),1),UPPER(SUBSTITUTE(SUBSTITUTE(SUBSTITUTE(TRIM(C2640),".",""),"-","")," ",""))))</f>
        <v/>
      </c>
    </row>
    <row r="2641" customFormat="false" ht="15" hidden="false" customHeight="false" outlineLevel="0" collapsed="false">
      <c r="B2641" s="80"/>
      <c r="C2641" s="58"/>
      <c r="D2641" s="62" t="str">
        <f aca="false">IF(C2641="","",IFERROR(INDEX(T_NOMBRE,MATCH(V2641,T_RUTN,0)),"⚠ RUT no está en Trabajadores"))</f>
        <v/>
      </c>
      <c r="E2641" s="61"/>
      <c r="F2641" s="61"/>
      <c r="G2641" s="61"/>
      <c r="H2641" s="61"/>
      <c r="I2641" s="81"/>
      <c r="J2641" s="81"/>
      <c r="K2641" s="60"/>
      <c r="L2641" s="60"/>
      <c r="M2641" s="60"/>
      <c r="N2641" s="60"/>
      <c r="O2641" s="60"/>
      <c r="P2641" s="60"/>
      <c r="Q2641" s="60"/>
      <c r="R2641" s="58"/>
      <c r="S2641" s="62" t="str">
        <f aca="false">IF(OR(B2641="",V2641=""),"",IFERROR(INDEX(C_TIPO,MATCH(V2641&amp;"-P"&amp;MAX(1,COUNTIFS(C_RUTN,V2641,C_DEF,"Sí",C_INI,"&lt;="&amp;EOMONTH(B2641,0))),C_CLAVE,0))&amp;"","Sin contrato"))</f>
        <v/>
      </c>
      <c r="T2641" s="63" t="str">
        <f aca="false">IF(OR(B2641="",N(O2641)=0),"",N(O2641)+ROUND(MIN(N(N2641),TOPE_UF*UF_MES)*(TASA_EMP+MUTUAL),0)+ROUND(MIN(N(N2641),TOPE_AFC_UF*UF_MES)*IF(S2641="Indefinido",AFC_INDEF,AFC_PF),0))</f>
        <v/>
      </c>
      <c r="U2641" s="62" t="str">
        <f aca="false">IF(C2641="","",IF(LEFT(D2641,1)="⚠","⚠ RUT no registrado en Trabajadores",IF(B2641="","⚠ Falta el mes",IF(OR(ISTEXT(I2641),ISTEXT(J2641)),"⚠ Atrasos u horas extra como texto: escriba hh:mm (ej. 1:30)",IF(AND(ISNUMBER(Q2641),COUNTIFS(M_RUTN,V2641,M_MES,B2641,M_LIQ,"&lt;&gt;")&gt;1),"⚠ Liquidación repetida en el mes",IF(AND(ISNUMBER(O2641),ISNUMBER(P2641),ISNUMBER(Q2641),ABS(O2641-P2641-Q2641)&gt;1),"⚠ Haberes − descuentos no da el líquido","OK"))))))</f>
        <v/>
      </c>
      <c r="V2641" s="62" t="str">
        <f aca="false">IF(C2641="","",IFERROR(VALUE(LEFT(UPPER(SUBSTITUTE(SUBSTITUTE(SUBSTITUTE(TRIM(C2641),".",""),"-","")," ","")),LEN(UPPER(SUBSTITUTE(SUBSTITUTE(SUBSTITUTE(TRIM(C2641),".",""),"-","")," ","")))-1))&amp;RIGHT(UPPER(SUBSTITUTE(SUBSTITUTE(SUBSTITUTE(TRIM(C2641),".",""),"-","")," ","")),1),UPPER(SUBSTITUTE(SUBSTITUTE(SUBSTITUTE(TRIM(C2641),".",""),"-","")," ",""))))</f>
        <v/>
      </c>
    </row>
    <row r="2642" customFormat="false" ht="15" hidden="false" customHeight="false" outlineLevel="0" collapsed="false">
      <c r="B2642" s="80"/>
      <c r="C2642" s="58"/>
      <c r="D2642" s="62" t="str">
        <f aca="false">IF(C2642="","",IFERROR(INDEX(T_NOMBRE,MATCH(V2642,T_RUTN,0)),"⚠ RUT no está en Trabajadores"))</f>
        <v/>
      </c>
      <c r="E2642" s="61"/>
      <c r="F2642" s="61"/>
      <c r="G2642" s="61"/>
      <c r="H2642" s="61"/>
      <c r="I2642" s="81"/>
      <c r="J2642" s="81"/>
      <c r="K2642" s="60"/>
      <c r="L2642" s="60"/>
      <c r="M2642" s="60"/>
      <c r="N2642" s="60"/>
      <c r="O2642" s="60"/>
      <c r="P2642" s="60"/>
      <c r="Q2642" s="60"/>
      <c r="R2642" s="58"/>
      <c r="S2642" s="62" t="str">
        <f aca="false">IF(OR(B2642="",V2642=""),"",IFERROR(INDEX(C_TIPO,MATCH(V2642&amp;"-P"&amp;MAX(1,COUNTIFS(C_RUTN,V2642,C_DEF,"Sí",C_INI,"&lt;="&amp;EOMONTH(B2642,0))),C_CLAVE,0))&amp;"","Sin contrato"))</f>
        <v/>
      </c>
      <c r="T2642" s="63" t="str">
        <f aca="false">IF(OR(B2642="",N(O2642)=0),"",N(O2642)+ROUND(MIN(N(N2642),TOPE_UF*UF_MES)*(TASA_EMP+MUTUAL),0)+ROUND(MIN(N(N2642),TOPE_AFC_UF*UF_MES)*IF(S2642="Indefinido",AFC_INDEF,AFC_PF),0))</f>
        <v/>
      </c>
      <c r="U2642" s="62" t="str">
        <f aca="false">IF(C2642="","",IF(LEFT(D2642,1)="⚠","⚠ RUT no registrado en Trabajadores",IF(B2642="","⚠ Falta el mes",IF(OR(ISTEXT(I2642),ISTEXT(J2642)),"⚠ Atrasos u horas extra como texto: escriba hh:mm (ej. 1:30)",IF(AND(ISNUMBER(Q2642),COUNTIFS(M_RUTN,V2642,M_MES,B2642,M_LIQ,"&lt;&gt;")&gt;1),"⚠ Liquidación repetida en el mes",IF(AND(ISNUMBER(O2642),ISNUMBER(P2642),ISNUMBER(Q2642),ABS(O2642-P2642-Q2642)&gt;1),"⚠ Haberes − descuentos no da el líquido","OK"))))))</f>
        <v/>
      </c>
      <c r="V2642" s="62" t="str">
        <f aca="false">IF(C2642="","",IFERROR(VALUE(LEFT(UPPER(SUBSTITUTE(SUBSTITUTE(SUBSTITUTE(TRIM(C2642),".",""),"-","")," ","")),LEN(UPPER(SUBSTITUTE(SUBSTITUTE(SUBSTITUTE(TRIM(C2642),".",""),"-","")," ","")))-1))&amp;RIGHT(UPPER(SUBSTITUTE(SUBSTITUTE(SUBSTITUTE(TRIM(C2642),".",""),"-","")," ","")),1),UPPER(SUBSTITUTE(SUBSTITUTE(SUBSTITUTE(TRIM(C2642),".",""),"-","")," ",""))))</f>
        <v/>
      </c>
    </row>
    <row r="2643" customFormat="false" ht="15" hidden="false" customHeight="false" outlineLevel="0" collapsed="false">
      <c r="B2643" s="80"/>
      <c r="C2643" s="58"/>
      <c r="D2643" s="62" t="str">
        <f aca="false">IF(C2643="","",IFERROR(INDEX(T_NOMBRE,MATCH(V2643,T_RUTN,0)),"⚠ RUT no está en Trabajadores"))</f>
        <v/>
      </c>
      <c r="E2643" s="61"/>
      <c r="F2643" s="61"/>
      <c r="G2643" s="61"/>
      <c r="H2643" s="61"/>
      <c r="I2643" s="81"/>
      <c r="J2643" s="81"/>
      <c r="K2643" s="60"/>
      <c r="L2643" s="60"/>
      <c r="M2643" s="60"/>
      <c r="N2643" s="60"/>
      <c r="O2643" s="60"/>
      <c r="P2643" s="60"/>
      <c r="Q2643" s="60"/>
      <c r="R2643" s="58"/>
      <c r="S2643" s="62" t="str">
        <f aca="false">IF(OR(B2643="",V2643=""),"",IFERROR(INDEX(C_TIPO,MATCH(V2643&amp;"-P"&amp;MAX(1,COUNTIFS(C_RUTN,V2643,C_DEF,"Sí",C_INI,"&lt;="&amp;EOMONTH(B2643,0))),C_CLAVE,0))&amp;"","Sin contrato"))</f>
        <v/>
      </c>
      <c r="T2643" s="63" t="str">
        <f aca="false">IF(OR(B2643="",N(O2643)=0),"",N(O2643)+ROUND(MIN(N(N2643),TOPE_UF*UF_MES)*(TASA_EMP+MUTUAL),0)+ROUND(MIN(N(N2643),TOPE_AFC_UF*UF_MES)*IF(S2643="Indefinido",AFC_INDEF,AFC_PF),0))</f>
        <v/>
      </c>
      <c r="U2643" s="62" t="str">
        <f aca="false">IF(C2643="","",IF(LEFT(D2643,1)="⚠","⚠ RUT no registrado en Trabajadores",IF(B2643="","⚠ Falta el mes",IF(OR(ISTEXT(I2643),ISTEXT(J2643)),"⚠ Atrasos u horas extra como texto: escriba hh:mm (ej. 1:30)",IF(AND(ISNUMBER(Q2643),COUNTIFS(M_RUTN,V2643,M_MES,B2643,M_LIQ,"&lt;&gt;")&gt;1),"⚠ Liquidación repetida en el mes",IF(AND(ISNUMBER(O2643),ISNUMBER(P2643),ISNUMBER(Q2643),ABS(O2643-P2643-Q2643)&gt;1),"⚠ Haberes − descuentos no da el líquido","OK"))))))</f>
        <v/>
      </c>
      <c r="V2643" s="62" t="str">
        <f aca="false">IF(C2643="","",IFERROR(VALUE(LEFT(UPPER(SUBSTITUTE(SUBSTITUTE(SUBSTITUTE(TRIM(C2643),".",""),"-","")," ","")),LEN(UPPER(SUBSTITUTE(SUBSTITUTE(SUBSTITUTE(TRIM(C2643),".",""),"-","")," ","")))-1))&amp;RIGHT(UPPER(SUBSTITUTE(SUBSTITUTE(SUBSTITUTE(TRIM(C2643),".",""),"-","")," ","")),1),UPPER(SUBSTITUTE(SUBSTITUTE(SUBSTITUTE(TRIM(C2643),".",""),"-","")," ",""))))</f>
        <v/>
      </c>
    </row>
    <row r="2644" customFormat="false" ht="15" hidden="false" customHeight="false" outlineLevel="0" collapsed="false">
      <c r="B2644" s="80"/>
      <c r="C2644" s="58"/>
      <c r="D2644" s="62" t="str">
        <f aca="false">IF(C2644="","",IFERROR(INDEX(T_NOMBRE,MATCH(V2644,T_RUTN,0)),"⚠ RUT no está en Trabajadores"))</f>
        <v/>
      </c>
      <c r="E2644" s="61"/>
      <c r="F2644" s="61"/>
      <c r="G2644" s="61"/>
      <c r="H2644" s="61"/>
      <c r="I2644" s="81"/>
      <c r="J2644" s="81"/>
      <c r="K2644" s="60"/>
      <c r="L2644" s="60"/>
      <c r="M2644" s="60"/>
      <c r="N2644" s="60"/>
      <c r="O2644" s="60"/>
      <c r="P2644" s="60"/>
      <c r="Q2644" s="60"/>
      <c r="R2644" s="58"/>
      <c r="S2644" s="62" t="str">
        <f aca="false">IF(OR(B2644="",V2644=""),"",IFERROR(INDEX(C_TIPO,MATCH(V2644&amp;"-P"&amp;MAX(1,COUNTIFS(C_RUTN,V2644,C_DEF,"Sí",C_INI,"&lt;="&amp;EOMONTH(B2644,0))),C_CLAVE,0))&amp;"","Sin contrato"))</f>
        <v/>
      </c>
      <c r="T2644" s="63" t="str">
        <f aca="false">IF(OR(B2644="",N(O2644)=0),"",N(O2644)+ROUND(MIN(N(N2644),TOPE_UF*UF_MES)*(TASA_EMP+MUTUAL),0)+ROUND(MIN(N(N2644),TOPE_AFC_UF*UF_MES)*IF(S2644="Indefinido",AFC_INDEF,AFC_PF),0))</f>
        <v/>
      </c>
      <c r="U2644" s="62" t="str">
        <f aca="false">IF(C2644="","",IF(LEFT(D2644,1)="⚠","⚠ RUT no registrado en Trabajadores",IF(B2644="","⚠ Falta el mes",IF(OR(ISTEXT(I2644),ISTEXT(J2644)),"⚠ Atrasos u horas extra como texto: escriba hh:mm (ej. 1:30)",IF(AND(ISNUMBER(Q2644),COUNTIFS(M_RUTN,V2644,M_MES,B2644,M_LIQ,"&lt;&gt;")&gt;1),"⚠ Liquidación repetida en el mes",IF(AND(ISNUMBER(O2644),ISNUMBER(P2644),ISNUMBER(Q2644),ABS(O2644-P2644-Q2644)&gt;1),"⚠ Haberes − descuentos no da el líquido","OK"))))))</f>
        <v/>
      </c>
      <c r="V2644" s="62" t="str">
        <f aca="false">IF(C2644="","",IFERROR(VALUE(LEFT(UPPER(SUBSTITUTE(SUBSTITUTE(SUBSTITUTE(TRIM(C2644),".",""),"-","")," ","")),LEN(UPPER(SUBSTITUTE(SUBSTITUTE(SUBSTITUTE(TRIM(C2644),".",""),"-","")," ","")))-1))&amp;RIGHT(UPPER(SUBSTITUTE(SUBSTITUTE(SUBSTITUTE(TRIM(C2644),".",""),"-","")," ","")),1),UPPER(SUBSTITUTE(SUBSTITUTE(SUBSTITUTE(TRIM(C2644),".",""),"-","")," ",""))))</f>
        <v/>
      </c>
    </row>
    <row r="2645" customFormat="false" ht="15" hidden="false" customHeight="false" outlineLevel="0" collapsed="false">
      <c r="B2645" s="80"/>
      <c r="C2645" s="58"/>
      <c r="D2645" s="62" t="str">
        <f aca="false">IF(C2645="","",IFERROR(INDEX(T_NOMBRE,MATCH(V2645,T_RUTN,0)),"⚠ RUT no está en Trabajadores"))</f>
        <v/>
      </c>
      <c r="E2645" s="61"/>
      <c r="F2645" s="61"/>
      <c r="G2645" s="61"/>
      <c r="H2645" s="61"/>
      <c r="I2645" s="81"/>
      <c r="J2645" s="81"/>
      <c r="K2645" s="60"/>
      <c r="L2645" s="60"/>
      <c r="M2645" s="60"/>
      <c r="N2645" s="60"/>
      <c r="O2645" s="60"/>
      <c r="P2645" s="60"/>
      <c r="Q2645" s="60"/>
      <c r="R2645" s="58"/>
      <c r="S2645" s="62" t="str">
        <f aca="false">IF(OR(B2645="",V2645=""),"",IFERROR(INDEX(C_TIPO,MATCH(V2645&amp;"-P"&amp;MAX(1,COUNTIFS(C_RUTN,V2645,C_DEF,"Sí",C_INI,"&lt;="&amp;EOMONTH(B2645,0))),C_CLAVE,0))&amp;"","Sin contrato"))</f>
        <v/>
      </c>
      <c r="T2645" s="63" t="str">
        <f aca="false">IF(OR(B2645="",N(O2645)=0),"",N(O2645)+ROUND(MIN(N(N2645),TOPE_UF*UF_MES)*(TASA_EMP+MUTUAL),0)+ROUND(MIN(N(N2645),TOPE_AFC_UF*UF_MES)*IF(S2645="Indefinido",AFC_INDEF,AFC_PF),0))</f>
        <v/>
      </c>
      <c r="U2645" s="62" t="str">
        <f aca="false">IF(C2645="","",IF(LEFT(D2645,1)="⚠","⚠ RUT no registrado en Trabajadores",IF(B2645="","⚠ Falta el mes",IF(OR(ISTEXT(I2645),ISTEXT(J2645)),"⚠ Atrasos u horas extra como texto: escriba hh:mm (ej. 1:30)",IF(AND(ISNUMBER(Q2645),COUNTIFS(M_RUTN,V2645,M_MES,B2645,M_LIQ,"&lt;&gt;")&gt;1),"⚠ Liquidación repetida en el mes",IF(AND(ISNUMBER(O2645),ISNUMBER(P2645),ISNUMBER(Q2645),ABS(O2645-P2645-Q2645)&gt;1),"⚠ Haberes − descuentos no da el líquido","OK"))))))</f>
        <v/>
      </c>
      <c r="V2645" s="62" t="str">
        <f aca="false">IF(C2645="","",IFERROR(VALUE(LEFT(UPPER(SUBSTITUTE(SUBSTITUTE(SUBSTITUTE(TRIM(C2645),".",""),"-","")," ","")),LEN(UPPER(SUBSTITUTE(SUBSTITUTE(SUBSTITUTE(TRIM(C2645),".",""),"-","")," ","")))-1))&amp;RIGHT(UPPER(SUBSTITUTE(SUBSTITUTE(SUBSTITUTE(TRIM(C2645),".",""),"-","")," ","")),1),UPPER(SUBSTITUTE(SUBSTITUTE(SUBSTITUTE(TRIM(C2645),".",""),"-","")," ",""))))</f>
        <v/>
      </c>
    </row>
    <row r="2646" customFormat="false" ht="15" hidden="false" customHeight="false" outlineLevel="0" collapsed="false">
      <c r="B2646" s="80"/>
      <c r="C2646" s="58"/>
      <c r="D2646" s="62" t="str">
        <f aca="false">IF(C2646="","",IFERROR(INDEX(T_NOMBRE,MATCH(V2646,T_RUTN,0)),"⚠ RUT no está en Trabajadores"))</f>
        <v/>
      </c>
      <c r="E2646" s="61"/>
      <c r="F2646" s="61"/>
      <c r="G2646" s="61"/>
      <c r="H2646" s="61"/>
      <c r="I2646" s="81"/>
      <c r="J2646" s="81"/>
      <c r="K2646" s="60"/>
      <c r="L2646" s="60"/>
      <c r="M2646" s="60"/>
      <c r="N2646" s="60"/>
      <c r="O2646" s="60"/>
      <c r="P2646" s="60"/>
      <c r="Q2646" s="60"/>
      <c r="R2646" s="58"/>
      <c r="S2646" s="62" t="str">
        <f aca="false">IF(OR(B2646="",V2646=""),"",IFERROR(INDEX(C_TIPO,MATCH(V2646&amp;"-P"&amp;MAX(1,COUNTIFS(C_RUTN,V2646,C_DEF,"Sí",C_INI,"&lt;="&amp;EOMONTH(B2646,0))),C_CLAVE,0))&amp;"","Sin contrato"))</f>
        <v/>
      </c>
      <c r="T2646" s="63" t="str">
        <f aca="false">IF(OR(B2646="",N(O2646)=0),"",N(O2646)+ROUND(MIN(N(N2646),TOPE_UF*UF_MES)*(TASA_EMP+MUTUAL),0)+ROUND(MIN(N(N2646),TOPE_AFC_UF*UF_MES)*IF(S2646="Indefinido",AFC_INDEF,AFC_PF),0))</f>
        <v/>
      </c>
      <c r="U2646" s="62" t="str">
        <f aca="false">IF(C2646="","",IF(LEFT(D2646,1)="⚠","⚠ RUT no registrado en Trabajadores",IF(B2646="","⚠ Falta el mes",IF(OR(ISTEXT(I2646),ISTEXT(J2646)),"⚠ Atrasos u horas extra como texto: escriba hh:mm (ej. 1:30)",IF(AND(ISNUMBER(Q2646),COUNTIFS(M_RUTN,V2646,M_MES,B2646,M_LIQ,"&lt;&gt;")&gt;1),"⚠ Liquidación repetida en el mes",IF(AND(ISNUMBER(O2646),ISNUMBER(P2646),ISNUMBER(Q2646),ABS(O2646-P2646-Q2646)&gt;1),"⚠ Haberes − descuentos no da el líquido","OK"))))))</f>
        <v/>
      </c>
      <c r="V2646" s="62" t="str">
        <f aca="false">IF(C2646="","",IFERROR(VALUE(LEFT(UPPER(SUBSTITUTE(SUBSTITUTE(SUBSTITUTE(TRIM(C2646),".",""),"-","")," ","")),LEN(UPPER(SUBSTITUTE(SUBSTITUTE(SUBSTITUTE(TRIM(C2646),".",""),"-","")," ","")))-1))&amp;RIGHT(UPPER(SUBSTITUTE(SUBSTITUTE(SUBSTITUTE(TRIM(C2646),".",""),"-","")," ","")),1),UPPER(SUBSTITUTE(SUBSTITUTE(SUBSTITUTE(TRIM(C2646),".",""),"-","")," ",""))))</f>
        <v/>
      </c>
    </row>
    <row r="2647" customFormat="false" ht="15" hidden="false" customHeight="false" outlineLevel="0" collapsed="false">
      <c r="B2647" s="80"/>
      <c r="C2647" s="58"/>
      <c r="D2647" s="62" t="str">
        <f aca="false">IF(C2647="","",IFERROR(INDEX(T_NOMBRE,MATCH(V2647,T_RUTN,0)),"⚠ RUT no está en Trabajadores"))</f>
        <v/>
      </c>
      <c r="E2647" s="61"/>
      <c r="F2647" s="61"/>
      <c r="G2647" s="61"/>
      <c r="H2647" s="61"/>
      <c r="I2647" s="81"/>
      <c r="J2647" s="81"/>
      <c r="K2647" s="60"/>
      <c r="L2647" s="60"/>
      <c r="M2647" s="60"/>
      <c r="N2647" s="60"/>
      <c r="O2647" s="60"/>
      <c r="P2647" s="60"/>
      <c r="Q2647" s="60"/>
      <c r="R2647" s="58"/>
      <c r="S2647" s="62" t="str">
        <f aca="false">IF(OR(B2647="",V2647=""),"",IFERROR(INDEX(C_TIPO,MATCH(V2647&amp;"-P"&amp;MAX(1,COUNTIFS(C_RUTN,V2647,C_DEF,"Sí",C_INI,"&lt;="&amp;EOMONTH(B2647,0))),C_CLAVE,0))&amp;"","Sin contrato"))</f>
        <v/>
      </c>
      <c r="T2647" s="63" t="str">
        <f aca="false">IF(OR(B2647="",N(O2647)=0),"",N(O2647)+ROUND(MIN(N(N2647),TOPE_UF*UF_MES)*(TASA_EMP+MUTUAL),0)+ROUND(MIN(N(N2647),TOPE_AFC_UF*UF_MES)*IF(S2647="Indefinido",AFC_INDEF,AFC_PF),0))</f>
        <v/>
      </c>
      <c r="U2647" s="62" t="str">
        <f aca="false">IF(C2647="","",IF(LEFT(D2647,1)="⚠","⚠ RUT no registrado en Trabajadores",IF(B2647="","⚠ Falta el mes",IF(OR(ISTEXT(I2647),ISTEXT(J2647)),"⚠ Atrasos u horas extra como texto: escriba hh:mm (ej. 1:30)",IF(AND(ISNUMBER(Q2647),COUNTIFS(M_RUTN,V2647,M_MES,B2647,M_LIQ,"&lt;&gt;")&gt;1),"⚠ Liquidación repetida en el mes",IF(AND(ISNUMBER(O2647),ISNUMBER(P2647),ISNUMBER(Q2647),ABS(O2647-P2647-Q2647)&gt;1),"⚠ Haberes − descuentos no da el líquido","OK"))))))</f>
        <v/>
      </c>
      <c r="V2647" s="62" t="str">
        <f aca="false">IF(C2647="","",IFERROR(VALUE(LEFT(UPPER(SUBSTITUTE(SUBSTITUTE(SUBSTITUTE(TRIM(C2647),".",""),"-","")," ","")),LEN(UPPER(SUBSTITUTE(SUBSTITUTE(SUBSTITUTE(TRIM(C2647),".",""),"-","")," ","")))-1))&amp;RIGHT(UPPER(SUBSTITUTE(SUBSTITUTE(SUBSTITUTE(TRIM(C2647),".",""),"-","")," ","")),1),UPPER(SUBSTITUTE(SUBSTITUTE(SUBSTITUTE(TRIM(C2647),".",""),"-","")," ",""))))</f>
        <v/>
      </c>
    </row>
    <row r="2648" customFormat="false" ht="15" hidden="false" customHeight="false" outlineLevel="0" collapsed="false">
      <c r="B2648" s="80"/>
      <c r="C2648" s="58"/>
      <c r="D2648" s="62" t="str">
        <f aca="false">IF(C2648="","",IFERROR(INDEX(T_NOMBRE,MATCH(V2648,T_RUTN,0)),"⚠ RUT no está en Trabajadores"))</f>
        <v/>
      </c>
      <c r="E2648" s="61"/>
      <c r="F2648" s="61"/>
      <c r="G2648" s="61"/>
      <c r="H2648" s="61"/>
      <c r="I2648" s="81"/>
      <c r="J2648" s="81"/>
      <c r="K2648" s="60"/>
      <c r="L2648" s="60"/>
      <c r="M2648" s="60"/>
      <c r="N2648" s="60"/>
      <c r="O2648" s="60"/>
      <c r="P2648" s="60"/>
      <c r="Q2648" s="60"/>
      <c r="R2648" s="58"/>
      <c r="S2648" s="62" t="str">
        <f aca="false">IF(OR(B2648="",V2648=""),"",IFERROR(INDEX(C_TIPO,MATCH(V2648&amp;"-P"&amp;MAX(1,COUNTIFS(C_RUTN,V2648,C_DEF,"Sí",C_INI,"&lt;="&amp;EOMONTH(B2648,0))),C_CLAVE,0))&amp;"","Sin contrato"))</f>
        <v/>
      </c>
      <c r="T2648" s="63" t="str">
        <f aca="false">IF(OR(B2648="",N(O2648)=0),"",N(O2648)+ROUND(MIN(N(N2648),TOPE_UF*UF_MES)*(TASA_EMP+MUTUAL),0)+ROUND(MIN(N(N2648),TOPE_AFC_UF*UF_MES)*IF(S2648="Indefinido",AFC_INDEF,AFC_PF),0))</f>
        <v/>
      </c>
      <c r="U2648" s="62" t="str">
        <f aca="false">IF(C2648="","",IF(LEFT(D2648,1)="⚠","⚠ RUT no registrado en Trabajadores",IF(B2648="","⚠ Falta el mes",IF(OR(ISTEXT(I2648),ISTEXT(J2648)),"⚠ Atrasos u horas extra como texto: escriba hh:mm (ej. 1:30)",IF(AND(ISNUMBER(Q2648),COUNTIFS(M_RUTN,V2648,M_MES,B2648,M_LIQ,"&lt;&gt;")&gt;1),"⚠ Liquidación repetida en el mes",IF(AND(ISNUMBER(O2648),ISNUMBER(P2648),ISNUMBER(Q2648),ABS(O2648-P2648-Q2648)&gt;1),"⚠ Haberes − descuentos no da el líquido","OK"))))))</f>
        <v/>
      </c>
      <c r="V2648" s="62" t="str">
        <f aca="false">IF(C2648="","",IFERROR(VALUE(LEFT(UPPER(SUBSTITUTE(SUBSTITUTE(SUBSTITUTE(TRIM(C2648),".",""),"-","")," ","")),LEN(UPPER(SUBSTITUTE(SUBSTITUTE(SUBSTITUTE(TRIM(C2648),".",""),"-","")," ","")))-1))&amp;RIGHT(UPPER(SUBSTITUTE(SUBSTITUTE(SUBSTITUTE(TRIM(C2648),".",""),"-","")," ","")),1),UPPER(SUBSTITUTE(SUBSTITUTE(SUBSTITUTE(TRIM(C2648),".",""),"-","")," ",""))))</f>
        <v/>
      </c>
    </row>
    <row r="2649" customFormat="false" ht="15" hidden="false" customHeight="false" outlineLevel="0" collapsed="false">
      <c r="B2649" s="80"/>
      <c r="C2649" s="58"/>
      <c r="D2649" s="62" t="str">
        <f aca="false">IF(C2649="","",IFERROR(INDEX(T_NOMBRE,MATCH(V2649,T_RUTN,0)),"⚠ RUT no está en Trabajadores"))</f>
        <v/>
      </c>
      <c r="E2649" s="61"/>
      <c r="F2649" s="61"/>
      <c r="G2649" s="61"/>
      <c r="H2649" s="61"/>
      <c r="I2649" s="81"/>
      <c r="J2649" s="81"/>
      <c r="K2649" s="60"/>
      <c r="L2649" s="60"/>
      <c r="M2649" s="60"/>
      <c r="N2649" s="60"/>
      <c r="O2649" s="60"/>
      <c r="P2649" s="60"/>
      <c r="Q2649" s="60"/>
      <c r="R2649" s="58"/>
      <c r="S2649" s="62" t="str">
        <f aca="false">IF(OR(B2649="",V2649=""),"",IFERROR(INDEX(C_TIPO,MATCH(V2649&amp;"-P"&amp;MAX(1,COUNTIFS(C_RUTN,V2649,C_DEF,"Sí",C_INI,"&lt;="&amp;EOMONTH(B2649,0))),C_CLAVE,0))&amp;"","Sin contrato"))</f>
        <v/>
      </c>
      <c r="T2649" s="63" t="str">
        <f aca="false">IF(OR(B2649="",N(O2649)=0),"",N(O2649)+ROUND(MIN(N(N2649),TOPE_UF*UF_MES)*(TASA_EMP+MUTUAL),0)+ROUND(MIN(N(N2649),TOPE_AFC_UF*UF_MES)*IF(S2649="Indefinido",AFC_INDEF,AFC_PF),0))</f>
        <v/>
      </c>
      <c r="U2649" s="62" t="str">
        <f aca="false">IF(C2649="","",IF(LEFT(D2649,1)="⚠","⚠ RUT no registrado en Trabajadores",IF(B2649="","⚠ Falta el mes",IF(OR(ISTEXT(I2649),ISTEXT(J2649)),"⚠ Atrasos u horas extra como texto: escriba hh:mm (ej. 1:30)",IF(AND(ISNUMBER(Q2649),COUNTIFS(M_RUTN,V2649,M_MES,B2649,M_LIQ,"&lt;&gt;")&gt;1),"⚠ Liquidación repetida en el mes",IF(AND(ISNUMBER(O2649),ISNUMBER(P2649),ISNUMBER(Q2649),ABS(O2649-P2649-Q2649)&gt;1),"⚠ Haberes − descuentos no da el líquido","OK"))))))</f>
        <v/>
      </c>
      <c r="V2649" s="62" t="str">
        <f aca="false">IF(C2649="","",IFERROR(VALUE(LEFT(UPPER(SUBSTITUTE(SUBSTITUTE(SUBSTITUTE(TRIM(C2649),".",""),"-","")," ","")),LEN(UPPER(SUBSTITUTE(SUBSTITUTE(SUBSTITUTE(TRIM(C2649),".",""),"-","")," ","")))-1))&amp;RIGHT(UPPER(SUBSTITUTE(SUBSTITUTE(SUBSTITUTE(TRIM(C2649),".",""),"-","")," ","")),1),UPPER(SUBSTITUTE(SUBSTITUTE(SUBSTITUTE(TRIM(C2649),".",""),"-","")," ",""))))</f>
        <v/>
      </c>
    </row>
    <row r="2650" customFormat="false" ht="15" hidden="false" customHeight="false" outlineLevel="0" collapsed="false">
      <c r="B2650" s="80"/>
      <c r="C2650" s="58"/>
      <c r="D2650" s="62" t="str">
        <f aca="false">IF(C2650="","",IFERROR(INDEX(T_NOMBRE,MATCH(V2650,T_RUTN,0)),"⚠ RUT no está en Trabajadores"))</f>
        <v/>
      </c>
      <c r="E2650" s="61"/>
      <c r="F2650" s="61"/>
      <c r="G2650" s="61"/>
      <c r="H2650" s="61"/>
      <c r="I2650" s="81"/>
      <c r="J2650" s="81"/>
      <c r="K2650" s="60"/>
      <c r="L2650" s="60"/>
      <c r="M2650" s="60"/>
      <c r="N2650" s="60"/>
      <c r="O2650" s="60"/>
      <c r="P2650" s="60"/>
      <c r="Q2650" s="60"/>
      <c r="R2650" s="58"/>
      <c r="S2650" s="62" t="str">
        <f aca="false">IF(OR(B2650="",V2650=""),"",IFERROR(INDEX(C_TIPO,MATCH(V2650&amp;"-P"&amp;MAX(1,COUNTIFS(C_RUTN,V2650,C_DEF,"Sí",C_INI,"&lt;="&amp;EOMONTH(B2650,0))),C_CLAVE,0))&amp;"","Sin contrato"))</f>
        <v/>
      </c>
      <c r="T2650" s="63" t="str">
        <f aca="false">IF(OR(B2650="",N(O2650)=0),"",N(O2650)+ROUND(MIN(N(N2650),TOPE_UF*UF_MES)*(TASA_EMP+MUTUAL),0)+ROUND(MIN(N(N2650),TOPE_AFC_UF*UF_MES)*IF(S2650="Indefinido",AFC_INDEF,AFC_PF),0))</f>
        <v/>
      </c>
      <c r="U2650" s="62" t="str">
        <f aca="false">IF(C2650="","",IF(LEFT(D2650,1)="⚠","⚠ RUT no registrado en Trabajadores",IF(B2650="","⚠ Falta el mes",IF(OR(ISTEXT(I2650),ISTEXT(J2650)),"⚠ Atrasos u horas extra como texto: escriba hh:mm (ej. 1:30)",IF(AND(ISNUMBER(Q2650),COUNTIFS(M_RUTN,V2650,M_MES,B2650,M_LIQ,"&lt;&gt;")&gt;1),"⚠ Liquidación repetida en el mes",IF(AND(ISNUMBER(O2650),ISNUMBER(P2650),ISNUMBER(Q2650),ABS(O2650-P2650-Q2650)&gt;1),"⚠ Haberes − descuentos no da el líquido","OK"))))))</f>
        <v/>
      </c>
      <c r="V2650" s="62" t="str">
        <f aca="false">IF(C2650="","",IFERROR(VALUE(LEFT(UPPER(SUBSTITUTE(SUBSTITUTE(SUBSTITUTE(TRIM(C2650),".",""),"-","")," ","")),LEN(UPPER(SUBSTITUTE(SUBSTITUTE(SUBSTITUTE(TRIM(C2650),".",""),"-","")," ","")))-1))&amp;RIGHT(UPPER(SUBSTITUTE(SUBSTITUTE(SUBSTITUTE(TRIM(C2650),".",""),"-","")," ","")),1),UPPER(SUBSTITUTE(SUBSTITUTE(SUBSTITUTE(TRIM(C2650),".",""),"-","")," ",""))))</f>
        <v/>
      </c>
    </row>
    <row r="2651" customFormat="false" ht="15" hidden="false" customHeight="false" outlineLevel="0" collapsed="false">
      <c r="B2651" s="80"/>
      <c r="C2651" s="58"/>
      <c r="D2651" s="62" t="str">
        <f aca="false">IF(C2651="","",IFERROR(INDEX(T_NOMBRE,MATCH(V2651,T_RUTN,0)),"⚠ RUT no está en Trabajadores"))</f>
        <v/>
      </c>
      <c r="E2651" s="61"/>
      <c r="F2651" s="61"/>
      <c r="G2651" s="61"/>
      <c r="H2651" s="61"/>
      <c r="I2651" s="81"/>
      <c r="J2651" s="81"/>
      <c r="K2651" s="60"/>
      <c r="L2651" s="60"/>
      <c r="M2651" s="60"/>
      <c r="N2651" s="60"/>
      <c r="O2651" s="60"/>
      <c r="P2651" s="60"/>
      <c r="Q2651" s="60"/>
      <c r="R2651" s="58"/>
      <c r="S2651" s="62" t="str">
        <f aca="false">IF(OR(B2651="",V2651=""),"",IFERROR(INDEX(C_TIPO,MATCH(V2651&amp;"-P"&amp;MAX(1,COUNTIFS(C_RUTN,V2651,C_DEF,"Sí",C_INI,"&lt;="&amp;EOMONTH(B2651,0))),C_CLAVE,0))&amp;"","Sin contrato"))</f>
        <v/>
      </c>
      <c r="T2651" s="63" t="str">
        <f aca="false">IF(OR(B2651="",N(O2651)=0),"",N(O2651)+ROUND(MIN(N(N2651),TOPE_UF*UF_MES)*(TASA_EMP+MUTUAL),0)+ROUND(MIN(N(N2651),TOPE_AFC_UF*UF_MES)*IF(S2651="Indefinido",AFC_INDEF,AFC_PF),0))</f>
        <v/>
      </c>
      <c r="U2651" s="62" t="str">
        <f aca="false">IF(C2651="","",IF(LEFT(D2651,1)="⚠","⚠ RUT no registrado en Trabajadores",IF(B2651="","⚠ Falta el mes",IF(OR(ISTEXT(I2651),ISTEXT(J2651)),"⚠ Atrasos u horas extra como texto: escriba hh:mm (ej. 1:30)",IF(AND(ISNUMBER(Q2651),COUNTIFS(M_RUTN,V2651,M_MES,B2651,M_LIQ,"&lt;&gt;")&gt;1),"⚠ Liquidación repetida en el mes",IF(AND(ISNUMBER(O2651),ISNUMBER(P2651),ISNUMBER(Q2651),ABS(O2651-P2651-Q2651)&gt;1),"⚠ Haberes − descuentos no da el líquido","OK"))))))</f>
        <v/>
      </c>
      <c r="V2651" s="62" t="str">
        <f aca="false">IF(C2651="","",IFERROR(VALUE(LEFT(UPPER(SUBSTITUTE(SUBSTITUTE(SUBSTITUTE(TRIM(C2651),".",""),"-","")," ","")),LEN(UPPER(SUBSTITUTE(SUBSTITUTE(SUBSTITUTE(TRIM(C2651),".",""),"-","")," ","")))-1))&amp;RIGHT(UPPER(SUBSTITUTE(SUBSTITUTE(SUBSTITUTE(TRIM(C2651),".",""),"-","")," ","")),1),UPPER(SUBSTITUTE(SUBSTITUTE(SUBSTITUTE(TRIM(C2651),".",""),"-","")," ",""))))</f>
        <v/>
      </c>
    </row>
    <row r="2652" customFormat="false" ht="15" hidden="false" customHeight="false" outlineLevel="0" collapsed="false">
      <c r="B2652" s="80"/>
      <c r="C2652" s="58"/>
      <c r="D2652" s="62" t="str">
        <f aca="false">IF(C2652="","",IFERROR(INDEX(T_NOMBRE,MATCH(V2652,T_RUTN,0)),"⚠ RUT no está en Trabajadores"))</f>
        <v/>
      </c>
      <c r="E2652" s="61"/>
      <c r="F2652" s="61"/>
      <c r="G2652" s="61"/>
      <c r="H2652" s="61"/>
      <c r="I2652" s="81"/>
      <c r="J2652" s="81"/>
      <c r="K2652" s="60"/>
      <c r="L2652" s="60"/>
      <c r="M2652" s="60"/>
      <c r="N2652" s="60"/>
      <c r="O2652" s="60"/>
      <c r="P2652" s="60"/>
      <c r="Q2652" s="60"/>
      <c r="R2652" s="58"/>
      <c r="S2652" s="62" t="str">
        <f aca="false">IF(OR(B2652="",V2652=""),"",IFERROR(INDEX(C_TIPO,MATCH(V2652&amp;"-P"&amp;MAX(1,COUNTIFS(C_RUTN,V2652,C_DEF,"Sí",C_INI,"&lt;="&amp;EOMONTH(B2652,0))),C_CLAVE,0))&amp;"","Sin contrato"))</f>
        <v/>
      </c>
      <c r="T2652" s="63" t="str">
        <f aca="false">IF(OR(B2652="",N(O2652)=0),"",N(O2652)+ROUND(MIN(N(N2652),TOPE_UF*UF_MES)*(TASA_EMP+MUTUAL),0)+ROUND(MIN(N(N2652),TOPE_AFC_UF*UF_MES)*IF(S2652="Indefinido",AFC_INDEF,AFC_PF),0))</f>
        <v/>
      </c>
      <c r="U2652" s="62" t="str">
        <f aca="false">IF(C2652="","",IF(LEFT(D2652,1)="⚠","⚠ RUT no registrado en Trabajadores",IF(B2652="","⚠ Falta el mes",IF(OR(ISTEXT(I2652),ISTEXT(J2652)),"⚠ Atrasos u horas extra como texto: escriba hh:mm (ej. 1:30)",IF(AND(ISNUMBER(Q2652),COUNTIFS(M_RUTN,V2652,M_MES,B2652,M_LIQ,"&lt;&gt;")&gt;1),"⚠ Liquidación repetida en el mes",IF(AND(ISNUMBER(O2652),ISNUMBER(P2652),ISNUMBER(Q2652),ABS(O2652-P2652-Q2652)&gt;1),"⚠ Haberes − descuentos no da el líquido","OK"))))))</f>
        <v/>
      </c>
      <c r="V2652" s="62" t="str">
        <f aca="false">IF(C2652="","",IFERROR(VALUE(LEFT(UPPER(SUBSTITUTE(SUBSTITUTE(SUBSTITUTE(TRIM(C2652),".",""),"-","")," ","")),LEN(UPPER(SUBSTITUTE(SUBSTITUTE(SUBSTITUTE(TRIM(C2652),".",""),"-","")," ","")))-1))&amp;RIGHT(UPPER(SUBSTITUTE(SUBSTITUTE(SUBSTITUTE(TRIM(C2652),".",""),"-","")," ","")),1),UPPER(SUBSTITUTE(SUBSTITUTE(SUBSTITUTE(TRIM(C2652),".",""),"-","")," ",""))))</f>
        <v/>
      </c>
    </row>
    <row r="2653" customFormat="false" ht="15" hidden="false" customHeight="false" outlineLevel="0" collapsed="false">
      <c r="B2653" s="80"/>
      <c r="C2653" s="58"/>
      <c r="D2653" s="62" t="str">
        <f aca="false">IF(C2653="","",IFERROR(INDEX(T_NOMBRE,MATCH(V2653,T_RUTN,0)),"⚠ RUT no está en Trabajadores"))</f>
        <v/>
      </c>
      <c r="E2653" s="61"/>
      <c r="F2653" s="61"/>
      <c r="G2653" s="61"/>
      <c r="H2653" s="61"/>
      <c r="I2653" s="81"/>
      <c r="J2653" s="81"/>
      <c r="K2653" s="60"/>
      <c r="L2653" s="60"/>
      <c r="M2653" s="60"/>
      <c r="N2653" s="60"/>
      <c r="O2653" s="60"/>
      <c r="P2653" s="60"/>
      <c r="Q2653" s="60"/>
      <c r="R2653" s="58"/>
      <c r="S2653" s="62" t="str">
        <f aca="false">IF(OR(B2653="",V2653=""),"",IFERROR(INDEX(C_TIPO,MATCH(V2653&amp;"-P"&amp;MAX(1,COUNTIFS(C_RUTN,V2653,C_DEF,"Sí",C_INI,"&lt;="&amp;EOMONTH(B2653,0))),C_CLAVE,0))&amp;"","Sin contrato"))</f>
        <v/>
      </c>
      <c r="T2653" s="63" t="str">
        <f aca="false">IF(OR(B2653="",N(O2653)=0),"",N(O2653)+ROUND(MIN(N(N2653),TOPE_UF*UF_MES)*(TASA_EMP+MUTUAL),0)+ROUND(MIN(N(N2653),TOPE_AFC_UF*UF_MES)*IF(S2653="Indefinido",AFC_INDEF,AFC_PF),0))</f>
        <v/>
      </c>
      <c r="U2653" s="62" t="str">
        <f aca="false">IF(C2653="","",IF(LEFT(D2653,1)="⚠","⚠ RUT no registrado en Trabajadores",IF(B2653="","⚠ Falta el mes",IF(OR(ISTEXT(I2653),ISTEXT(J2653)),"⚠ Atrasos u horas extra como texto: escriba hh:mm (ej. 1:30)",IF(AND(ISNUMBER(Q2653),COUNTIFS(M_RUTN,V2653,M_MES,B2653,M_LIQ,"&lt;&gt;")&gt;1),"⚠ Liquidación repetida en el mes",IF(AND(ISNUMBER(O2653),ISNUMBER(P2653),ISNUMBER(Q2653),ABS(O2653-P2653-Q2653)&gt;1),"⚠ Haberes − descuentos no da el líquido","OK"))))))</f>
        <v/>
      </c>
      <c r="V2653" s="62" t="str">
        <f aca="false">IF(C2653="","",IFERROR(VALUE(LEFT(UPPER(SUBSTITUTE(SUBSTITUTE(SUBSTITUTE(TRIM(C2653),".",""),"-","")," ","")),LEN(UPPER(SUBSTITUTE(SUBSTITUTE(SUBSTITUTE(TRIM(C2653),".",""),"-","")," ","")))-1))&amp;RIGHT(UPPER(SUBSTITUTE(SUBSTITUTE(SUBSTITUTE(TRIM(C2653),".",""),"-","")," ","")),1),UPPER(SUBSTITUTE(SUBSTITUTE(SUBSTITUTE(TRIM(C2653),".",""),"-","")," ",""))))</f>
        <v/>
      </c>
    </row>
    <row r="2654" customFormat="false" ht="15" hidden="false" customHeight="false" outlineLevel="0" collapsed="false">
      <c r="B2654" s="80"/>
      <c r="C2654" s="58"/>
      <c r="D2654" s="62" t="str">
        <f aca="false">IF(C2654="","",IFERROR(INDEX(T_NOMBRE,MATCH(V2654,T_RUTN,0)),"⚠ RUT no está en Trabajadores"))</f>
        <v/>
      </c>
      <c r="E2654" s="61"/>
      <c r="F2654" s="61"/>
      <c r="G2654" s="61"/>
      <c r="H2654" s="61"/>
      <c r="I2654" s="81"/>
      <c r="J2654" s="81"/>
      <c r="K2654" s="60"/>
      <c r="L2654" s="60"/>
      <c r="M2654" s="60"/>
      <c r="N2654" s="60"/>
      <c r="O2654" s="60"/>
      <c r="P2654" s="60"/>
      <c r="Q2654" s="60"/>
      <c r="R2654" s="58"/>
      <c r="S2654" s="62" t="str">
        <f aca="false">IF(OR(B2654="",V2654=""),"",IFERROR(INDEX(C_TIPO,MATCH(V2654&amp;"-P"&amp;MAX(1,COUNTIFS(C_RUTN,V2654,C_DEF,"Sí",C_INI,"&lt;="&amp;EOMONTH(B2654,0))),C_CLAVE,0))&amp;"","Sin contrato"))</f>
        <v/>
      </c>
      <c r="T2654" s="63" t="str">
        <f aca="false">IF(OR(B2654="",N(O2654)=0),"",N(O2654)+ROUND(MIN(N(N2654),TOPE_UF*UF_MES)*(TASA_EMP+MUTUAL),0)+ROUND(MIN(N(N2654),TOPE_AFC_UF*UF_MES)*IF(S2654="Indefinido",AFC_INDEF,AFC_PF),0))</f>
        <v/>
      </c>
      <c r="U2654" s="62" t="str">
        <f aca="false">IF(C2654="","",IF(LEFT(D2654,1)="⚠","⚠ RUT no registrado en Trabajadores",IF(B2654="","⚠ Falta el mes",IF(OR(ISTEXT(I2654),ISTEXT(J2654)),"⚠ Atrasos u horas extra como texto: escriba hh:mm (ej. 1:30)",IF(AND(ISNUMBER(Q2654),COUNTIFS(M_RUTN,V2654,M_MES,B2654,M_LIQ,"&lt;&gt;")&gt;1),"⚠ Liquidación repetida en el mes",IF(AND(ISNUMBER(O2654),ISNUMBER(P2654),ISNUMBER(Q2654),ABS(O2654-P2654-Q2654)&gt;1),"⚠ Haberes − descuentos no da el líquido","OK"))))))</f>
        <v/>
      </c>
      <c r="V2654" s="62" t="str">
        <f aca="false">IF(C2654="","",IFERROR(VALUE(LEFT(UPPER(SUBSTITUTE(SUBSTITUTE(SUBSTITUTE(TRIM(C2654),".",""),"-","")," ","")),LEN(UPPER(SUBSTITUTE(SUBSTITUTE(SUBSTITUTE(TRIM(C2654),".",""),"-","")," ","")))-1))&amp;RIGHT(UPPER(SUBSTITUTE(SUBSTITUTE(SUBSTITUTE(TRIM(C2654),".",""),"-","")," ","")),1),UPPER(SUBSTITUTE(SUBSTITUTE(SUBSTITUTE(TRIM(C2654),".",""),"-","")," ",""))))</f>
        <v/>
      </c>
    </row>
    <row r="2655" customFormat="false" ht="15" hidden="false" customHeight="false" outlineLevel="0" collapsed="false">
      <c r="B2655" s="80"/>
      <c r="C2655" s="58"/>
      <c r="D2655" s="62" t="str">
        <f aca="false">IF(C2655="","",IFERROR(INDEX(T_NOMBRE,MATCH(V2655,T_RUTN,0)),"⚠ RUT no está en Trabajadores"))</f>
        <v/>
      </c>
      <c r="E2655" s="61"/>
      <c r="F2655" s="61"/>
      <c r="G2655" s="61"/>
      <c r="H2655" s="61"/>
      <c r="I2655" s="81"/>
      <c r="J2655" s="81"/>
      <c r="K2655" s="60"/>
      <c r="L2655" s="60"/>
      <c r="M2655" s="60"/>
      <c r="N2655" s="60"/>
      <c r="O2655" s="60"/>
      <c r="P2655" s="60"/>
      <c r="Q2655" s="60"/>
      <c r="R2655" s="58"/>
      <c r="S2655" s="62" t="str">
        <f aca="false">IF(OR(B2655="",V2655=""),"",IFERROR(INDEX(C_TIPO,MATCH(V2655&amp;"-P"&amp;MAX(1,COUNTIFS(C_RUTN,V2655,C_DEF,"Sí",C_INI,"&lt;="&amp;EOMONTH(B2655,0))),C_CLAVE,0))&amp;"","Sin contrato"))</f>
        <v/>
      </c>
      <c r="T2655" s="63" t="str">
        <f aca="false">IF(OR(B2655="",N(O2655)=0),"",N(O2655)+ROUND(MIN(N(N2655),TOPE_UF*UF_MES)*(TASA_EMP+MUTUAL),0)+ROUND(MIN(N(N2655),TOPE_AFC_UF*UF_MES)*IF(S2655="Indefinido",AFC_INDEF,AFC_PF),0))</f>
        <v/>
      </c>
      <c r="U2655" s="62" t="str">
        <f aca="false">IF(C2655="","",IF(LEFT(D2655,1)="⚠","⚠ RUT no registrado en Trabajadores",IF(B2655="","⚠ Falta el mes",IF(OR(ISTEXT(I2655),ISTEXT(J2655)),"⚠ Atrasos u horas extra como texto: escriba hh:mm (ej. 1:30)",IF(AND(ISNUMBER(Q2655),COUNTIFS(M_RUTN,V2655,M_MES,B2655,M_LIQ,"&lt;&gt;")&gt;1),"⚠ Liquidación repetida en el mes",IF(AND(ISNUMBER(O2655),ISNUMBER(P2655),ISNUMBER(Q2655),ABS(O2655-P2655-Q2655)&gt;1),"⚠ Haberes − descuentos no da el líquido","OK"))))))</f>
        <v/>
      </c>
      <c r="V2655" s="62" t="str">
        <f aca="false">IF(C2655="","",IFERROR(VALUE(LEFT(UPPER(SUBSTITUTE(SUBSTITUTE(SUBSTITUTE(TRIM(C2655),".",""),"-","")," ","")),LEN(UPPER(SUBSTITUTE(SUBSTITUTE(SUBSTITUTE(TRIM(C2655),".",""),"-","")," ","")))-1))&amp;RIGHT(UPPER(SUBSTITUTE(SUBSTITUTE(SUBSTITUTE(TRIM(C2655),".",""),"-","")," ","")),1),UPPER(SUBSTITUTE(SUBSTITUTE(SUBSTITUTE(TRIM(C2655),".",""),"-","")," ",""))))</f>
        <v/>
      </c>
    </row>
    <row r="2656" customFormat="false" ht="15" hidden="false" customHeight="false" outlineLevel="0" collapsed="false">
      <c r="B2656" s="80"/>
      <c r="C2656" s="58"/>
      <c r="D2656" s="62" t="str">
        <f aca="false">IF(C2656="","",IFERROR(INDEX(T_NOMBRE,MATCH(V2656,T_RUTN,0)),"⚠ RUT no está en Trabajadores"))</f>
        <v/>
      </c>
      <c r="E2656" s="61"/>
      <c r="F2656" s="61"/>
      <c r="G2656" s="61"/>
      <c r="H2656" s="61"/>
      <c r="I2656" s="81"/>
      <c r="J2656" s="81"/>
      <c r="K2656" s="60"/>
      <c r="L2656" s="60"/>
      <c r="M2656" s="60"/>
      <c r="N2656" s="60"/>
      <c r="O2656" s="60"/>
      <c r="P2656" s="60"/>
      <c r="Q2656" s="60"/>
      <c r="R2656" s="58"/>
      <c r="S2656" s="62" t="str">
        <f aca="false">IF(OR(B2656="",V2656=""),"",IFERROR(INDEX(C_TIPO,MATCH(V2656&amp;"-P"&amp;MAX(1,COUNTIFS(C_RUTN,V2656,C_DEF,"Sí",C_INI,"&lt;="&amp;EOMONTH(B2656,0))),C_CLAVE,0))&amp;"","Sin contrato"))</f>
        <v/>
      </c>
      <c r="T2656" s="63" t="str">
        <f aca="false">IF(OR(B2656="",N(O2656)=0),"",N(O2656)+ROUND(MIN(N(N2656),TOPE_UF*UF_MES)*(TASA_EMP+MUTUAL),0)+ROUND(MIN(N(N2656),TOPE_AFC_UF*UF_MES)*IF(S2656="Indefinido",AFC_INDEF,AFC_PF),0))</f>
        <v/>
      </c>
      <c r="U2656" s="62" t="str">
        <f aca="false">IF(C2656="","",IF(LEFT(D2656,1)="⚠","⚠ RUT no registrado en Trabajadores",IF(B2656="","⚠ Falta el mes",IF(OR(ISTEXT(I2656),ISTEXT(J2656)),"⚠ Atrasos u horas extra como texto: escriba hh:mm (ej. 1:30)",IF(AND(ISNUMBER(Q2656),COUNTIFS(M_RUTN,V2656,M_MES,B2656,M_LIQ,"&lt;&gt;")&gt;1),"⚠ Liquidación repetida en el mes",IF(AND(ISNUMBER(O2656),ISNUMBER(P2656),ISNUMBER(Q2656),ABS(O2656-P2656-Q2656)&gt;1),"⚠ Haberes − descuentos no da el líquido","OK"))))))</f>
        <v/>
      </c>
      <c r="V2656" s="62" t="str">
        <f aca="false">IF(C2656="","",IFERROR(VALUE(LEFT(UPPER(SUBSTITUTE(SUBSTITUTE(SUBSTITUTE(TRIM(C2656),".",""),"-","")," ","")),LEN(UPPER(SUBSTITUTE(SUBSTITUTE(SUBSTITUTE(TRIM(C2656),".",""),"-","")," ","")))-1))&amp;RIGHT(UPPER(SUBSTITUTE(SUBSTITUTE(SUBSTITUTE(TRIM(C2656),".",""),"-","")," ","")),1),UPPER(SUBSTITUTE(SUBSTITUTE(SUBSTITUTE(TRIM(C2656),".",""),"-","")," ",""))))</f>
        <v/>
      </c>
    </row>
    <row r="2657" customFormat="false" ht="15" hidden="false" customHeight="false" outlineLevel="0" collapsed="false">
      <c r="B2657" s="80"/>
      <c r="C2657" s="58"/>
      <c r="D2657" s="62" t="str">
        <f aca="false">IF(C2657="","",IFERROR(INDEX(T_NOMBRE,MATCH(V2657,T_RUTN,0)),"⚠ RUT no está en Trabajadores"))</f>
        <v/>
      </c>
      <c r="E2657" s="61"/>
      <c r="F2657" s="61"/>
      <c r="G2657" s="61"/>
      <c r="H2657" s="61"/>
      <c r="I2657" s="81"/>
      <c r="J2657" s="81"/>
      <c r="K2657" s="60"/>
      <c r="L2657" s="60"/>
      <c r="M2657" s="60"/>
      <c r="N2657" s="60"/>
      <c r="O2657" s="60"/>
      <c r="P2657" s="60"/>
      <c r="Q2657" s="60"/>
      <c r="R2657" s="58"/>
      <c r="S2657" s="62" t="str">
        <f aca="false">IF(OR(B2657="",V2657=""),"",IFERROR(INDEX(C_TIPO,MATCH(V2657&amp;"-P"&amp;MAX(1,COUNTIFS(C_RUTN,V2657,C_DEF,"Sí",C_INI,"&lt;="&amp;EOMONTH(B2657,0))),C_CLAVE,0))&amp;"","Sin contrato"))</f>
        <v/>
      </c>
      <c r="T2657" s="63" t="str">
        <f aca="false">IF(OR(B2657="",N(O2657)=0),"",N(O2657)+ROUND(MIN(N(N2657),TOPE_UF*UF_MES)*(TASA_EMP+MUTUAL),0)+ROUND(MIN(N(N2657),TOPE_AFC_UF*UF_MES)*IF(S2657="Indefinido",AFC_INDEF,AFC_PF),0))</f>
        <v/>
      </c>
      <c r="U2657" s="62" t="str">
        <f aca="false">IF(C2657="","",IF(LEFT(D2657,1)="⚠","⚠ RUT no registrado en Trabajadores",IF(B2657="","⚠ Falta el mes",IF(OR(ISTEXT(I2657),ISTEXT(J2657)),"⚠ Atrasos u horas extra como texto: escriba hh:mm (ej. 1:30)",IF(AND(ISNUMBER(Q2657),COUNTIFS(M_RUTN,V2657,M_MES,B2657,M_LIQ,"&lt;&gt;")&gt;1),"⚠ Liquidación repetida en el mes",IF(AND(ISNUMBER(O2657),ISNUMBER(P2657),ISNUMBER(Q2657),ABS(O2657-P2657-Q2657)&gt;1),"⚠ Haberes − descuentos no da el líquido","OK"))))))</f>
        <v/>
      </c>
      <c r="V2657" s="62" t="str">
        <f aca="false">IF(C2657="","",IFERROR(VALUE(LEFT(UPPER(SUBSTITUTE(SUBSTITUTE(SUBSTITUTE(TRIM(C2657),".",""),"-","")," ","")),LEN(UPPER(SUBSTITUTE(SUBSTITUTE(SUBSTITUTE(TRIM(C2657),".",""),"-","")," ","")))-1))&amp;RIGHT(UPPER(SUBSTITUTE(SUBSTITUTE(SUBSTITUTE(TRIM(C2657),".",""),"-","")," ","")),1),UPPER(SUBSTITUTE(SUBSTITUTE(SUBSTITUTE(TRIM(C2657),".",""),"-","")," ",""))))</f>
        <v/>
      </c>
    </row>
    <row r="2658" customFormat="false" ht="15" hidden="false" customHeight="false" outlineLevel="0" collapsed="false">
      <c r="B2658" s="80"/>
      <c r="C2658" s="58"/>
      <c r="D2658" s="62" t="str">
        <f aca="false">IF(C2658="","",IFERROR(INDEX(T_NOMBRE,MATCH(V2658,T_RUTN,0)),"⚠ RUT no está en Trabajadores"))</f>
        <v/>
      </c>
      <c r="E2658" s="61"/>
      <c r="F2658" s="61"/>
      <c r="G2658" s="61"/>
      <c r="H2658" s="61"/>
      <c r="I2658" s="81"/>
      <c r="J2658" s="81"/>
      <c r="K2658" s="60"/>
      <c r="L2658" s="60"/>
      <c r="M2658" s="60"/>
      <c r="N2658" s="60"/>
      <c r="O2658" s="60"/>
      <c r="P2658" s="60"/>
      <c r="Q2658" s="60"/>
      <c r="R2658" s="58"/>
      <c r="S2658" s="62" t="str">
        <f aca="false">IF(OR(B2658="",V2658=""),"",IFERROR(INDEX(C_TIPO,MATCH(V2658&amp;"-P"&amp;MAX(1,COUNTIFS(C_RUTN,V2658,C_DEF,"Sí",C_INI,"&lt;="&amp;EOMONTH(B2658,0))),C_CLAVE,0))&amp;"","Sin contrato"))</f>
        <v/>
      </c>
      <c r="T2658" s="63" t="str">
        <f aca="false">IF(OR(B2658="",N(O2658)=0),"",N(O2658)+ROUND(MIN(N(N2658),TOPE_UF*UF_MES)*(TASA_EMP+MUTUAL),0)+ROUND(MIN(N(N2658),TOPE_AFC_UF*UF_MES)*IF(S2658="Indefinido",AFC_INDEF,AFC_PF),0))</f>
        <v/>
      </c>
      <c r="U2658" s="62" t="str">
        <f aca="false">IF(C2658="","",IF(LEFT(D2658,1)="⚠","⚠ RUT no registrado en Trabajadores",IF(B2658="","⚠ Falta el mes",IF(OR(ISTEXT(I2658),ISTEXT(J2658)),"⚠ Atrasos u horas extra como texto: escriba hh:mm (ej. 1:30)",IF(AND(ISNUMBER(Q2658),COUNTIFS(M_RUTN,V2658,M_MES,B2658,M_LIQ,"&lt;&gt;")&gt;1),"⚠ Liquidación repetida en el mes",IF(AND(ISNUMBER(O2658),ISNUMBER(P2658),ISNUMBER(Q2658),ABS(O2658-P2658-Q2658)&gt;1),"⚠ Haberes − descuentos no da el líquido","OK"))))))</f>
        <v/>
      </c>
      <c r="V2658" s="62" t="str">
        <f aca="false">IF(C2658="","",IFERROR(VALUE(LEFT(UPPER(SUBSTITUTE(SUBSTITUTE(SUBSTITUTE(TRIM(C2658),".",""),"-","")," ","")),LEN(UPPER(SUBSTITUTE(SUBSTITUTE(SUBSTITUTE(TRIM(C2658),".",""),"-","")," ","")))-1))&amp;RIGHT(UPPER(SUBSTITUTE(SUBSTITUTE(SUBSTITUTE(TRIM(C2658),".",""),"-","")," ","")),1),UPPER(SUBSTITUTE(SUBSTITUTE(SUBSTITUTE(TRIM(C2658),".",""),"-","")," ",""))))</f>
        <v/>
      </c>
    </row>
    <row r="2659" customFormat="false" ht="15" hidden="false" customHeight="false" outlineLevel="0" collapsed="false">
      <c r="B2659" s="80"/>
      <c r="C2659" s="58"/>
      <c r="D2659" s="62" t="str">
        <f aca="false">IF(C2659="","",IFERROR(INDEX(T_NOMBRE,MATCH(V2659,T_RUTN,0)),"⚠ RUT no está en Trabajadores"))</f>
        <v/>
      </c>
      <c r="E2659" s="61"/>
      <c r="F2659" s="61"/>
      <c r="G2659" s="61"/>
      <c r="H2659" s="61"/>
      <c r="I2659" s="81"/>
      <c r="J2659" s="81"/>
      <c r="K2659" s="60"/>
      <c r="L2659" s="60"/>
      <c r="M2659" s="60"/>
      <c r="N2659" s="60"/>
      <c r="O2659" s="60"/>
      <c r="P2659" s="60"/>
      <c r="Q2659" s="60"/>
      <c r="R2659" s="58"/>
      <c r="S2659" s="62" t="str">
        <f aca="false">IF(OR(B2659="",V2659=""),"",IFERROR(INDEX(C_TIPO,MATCH(V2659&amp;"-P"&amp;MAX(1,COUNTIFS(C_RUTN,V2659,C_DEF,"Sí",C_INI,"&lt;="&amp;EOMONTH(B2659,0))),C_CLAVE,0))&amp;"","Sin contrato"))</f>
        <v/>
      </c>
      <c r="T2659" s="63" t="str">
        <f aca="false">IF(OR(B2659="",N(O2659)=0),"",N(O2659)+ROUND(MIN(N(N2659),TOPE_UF*UF_MES)*(TASA_EMP+MUTUAL),0)+ROUND(MIN(N(N2659),TOPE_AFC_UF*UF_MES)*IF(S2659="Indefinido",AFC_INDEF,AFC_PF),0))</f>
        <v/>
      </c>
      <c r="U2659" s="62" t="str">
        <f aca="false">IF(C2659="","",IF(LEFT(D2659,1)="⚠","⚠ RUT no registrado en Trabajadores",IF(B2659="","⚠ Falta el mes",IF(OR(ISTEXT(I2659),ISTEXT(J2659)),"⚠ Atrasos u horas extra como texto: escriba hh:mm (ej. 1:30)",IF(AND(ISNUMBER(Q2659),COUNTIFS(M_RUTN,V2659,M_MES,B2659,M_LIQ,"&lt;&gt;")&gt;1),"⚠ Liquidación repetida en el mes",IF(AND(ISNUMBER(O2659),ISNUMBER(P2659),ISNUMBER(Q2659),ABS(O2659-P2659-Q2659)&gt;1),"⚠ Haberes − descuentos no da el líquido","OK"))))))</f>
        <v/>
      </c>
      <c r="V2659" s="62" t="str">
        <f aca="false">IF(C2659="","",IFERROR(VALUE(LEFT(UPPER(SUBSTITUTE(SUBSTITUTE(SUBSTITUTE(TRIM(C2659),".",""),"-","")," ","")),LEN(UPPER(SUBSTITUTE(SUBSTITUTE(SUBSTITUTE(TRIM(C2659),".",""),"-","")," ","")))-1))&amp;RIGHT(UPPER(SUBSTITUTE(SUBSTITUTE(SUBSTITUTE(TRIM(C2659),".",""),"-","")," ","")),1),UPPER(SUBSTITUTE(SUBSTITUTE(SUBSTITUTE(TRIM(C2659),".",""),"-","")," ",""))))</f>
        <v/>
      </c>
    </row>
    <row r="2660" customFormat="false" ht="15" hidden="false" customHeight="false" outlineLevel="0" collapsed="false">
      <c r="B2660" s="80"/>
      <c r="C2660" s="58"/>
      <c r="D2660" s="62" t="str">
        <f aca="false">IF(C2660="","",IFERROR(INDEX(T_NOMBRE,MATCH(V2660,T_RUTN,0)),"⚠ RUT no está en Trabajadores"))</f>
        <v/>
      </c>
      <c r="E2660" s="61"/>
      <c r="F2660" s="61"/>
      <c r="G2660" s="61"/>
      <c r="H2660" s="61"/>
      <c r="I2660" s="81"/>
      <c r="J2660" s="81"/>
      <c r="K2660" s="60"/>
      <c r="L2660" s="60"/>
      <c r="M2660" s="60"/>
      <c r="N2660" s="60"/>
      <c r="O2660" s="60"/>
      <c r="P2660" s="60"/>
      <c r="Q2660" s="60"/>
      <c r="R2660" s="58"/>
      <c r="S2660" s="62" t="str">
        <f aca="false">IF(OR(B2660="",V2660=""),"",IFERROR(INDEX(C_TIPO,MATCH(V2660&amp;"-P"&amp;MAX(1,COUNTIFS(C_RUTN,V2660,C_DEF,"Sí",C_INI,"&lt;="&amp;EOMONTH(B2660,0))),C_CLAVE,0))&amp;"","Sin contrato"))</f>
        <v/>
      </c>
      <c r="T2660" s="63" t="str">
        <f aca="false">IF(OR(B2660="",N(O2660)=0),"",N(O2660)+ROUND(MIN(N(N2660),TOPE_UF*UF_MES)*(TASA_EMP+MUTUAL),0)+ROUND(MIN(N(N2660),TOPE_AFC_UF*UF_MES)*IF(S2660="Indefinido",AFC_INDEF,AFC_PF),0))</f>
        <v/>
      </c>
      <c r="U2660" s="62" t="str">
        <f aca="false">IF(C2660="","",IF(LEFT(D2660,1)="⚠","⚠ RUT no registrado en Trabajadores",IF(B2660="","⚠ Falta el mes",IF(OR(ISTEXT(I2660),ISTEXT(J2660)),"⚠ Atrasos u horas extra como texto: escriba hh:mm (ej. 1:30)",IF(AND(ISNUMBER(Q2660),COUNTIFS(M_RUTN,V2660,M_MES,B2660,M_LIQ,"&lt;&gt;")&gt;1),"⚠ Liquidación repetida en el mes",IF(AND(ISNUMBER(O2660),ISNUMBER(P2660),ISNUMBER(Q2660),ABS(O2660-P2660-Q2660)&gt;1),"⚠ Haberes − descuentos no da el líquido","OK"))))))</f>
        <v/>
      </c>
      <c r="V2660" s="62" t="str">
        <f aca="false">IF(C2660="","",IFERROR(VALUE(LEFT(UPPER(SUBSTITUTE(SUBSTITUTE(SUBSTITUTE(TRIM(C2660),".",""),"-","")," ","")),LEN(UPPER(SUBSTITUTE(SUBSTITUTE(SUBSTITUTE(TRIM(C2660),".",""),"-","")," ","")))-1))&amp;RIGHT(UPPER(SUBSTITUTE(SUBSTITUTE(SUBSTITUTE(TRIM(C2660),".",""),"-","")," ","")),1),UPPER(SUBSTITUTE(SUBSTITUTE(SUBSTITUTE(TRIM(C2660),".",""),"-","")," ",""))))</f>
        <v/>
      </c>
    </row>
    <row r="2661" customFormat="false" ht="15" hidden="false" customHeight="false" outlineLevel="0" collapsed="false">
      <c r="B2661" s="80"/>
      <c r="C2661" s="58"/>
      <c r="D2661" s="62" t="str">
        <f aca="false">IF(C2661="","",IFERROR(INDEX(T_NOMBRE,MATCH(V2661,T_RUTN,0)),"⚠ RUT no está en Trabajadores"))</f>
        <v/>
      </c>
      <c r="E2661" s="61"/>
      <c r="F2661" s="61"/>
      <c r="G2661" s="61"/>
      <c r="H2661" s="61"/>
      <c r="I2661" s="81"/>
      <c r="J2661" s="81"/>
      <c r="K2661" s="60"/>
      <c r="L2661" s="60"/>
      <c r="M2661" s="60"/>
      <c r="N2661" s="60"/>
      <c r="O2661" s="60"/>
      <c r="P2661" s="60"/>
      <c r="Q2661" s="60"/>
      <c r="R2661" s="58"/>
      <c r="S2661" s="62" t="str">
        <f aca="false">IF(OR(B2661="",V2661=""),"",IFERROR(INDEX(C_TIPO,MATCH(V2661&amp;"-P"&amp;MAX(1,COUNTIFS(C_RUTN,V2661,C_DEF,"Sí",C_INI,"&lt;="&amp;EOMONTH(B2661,0))),C_CLAVE,0))&amp;"","Sin contrato"))</f>
        <v/>
      </c>
      <c r="T2661" s="63" t="str">
        <f aca="false">IF(OR(B2661="",N(O2661)=0),"",N(O2661)+ROUND(MIN(N(N2661),TOPE_UF*UF_MES)*(TASA_EMP+MUTUAL),0)+ROUND(MIN(N(N2661),TOPE_AFC_UF*UF_MES)*IF(S2661="Indefinido",AFC_INDEF,AFC_PF),0))</f>
        <v/>
      </c>
      <c r="U2661" s="62" t="str">
        <f aca="false">IF(C2661="","",IF(LEFT(D2661,1)="⚠","⚠ RUT no registrado en Trabajadores",IF(B2661="","⚠ Falta el mes",IF(OR(ISTEXT(I2661),ISTEXT(J2661)),"⚠ Atrasos u horas extra como texto: escriba hh:mm (ej. 1:30)",IF(AND(ISNUMBER(Q2661),COUNTIFS(M_RUTN,V2661,M_MES,B2661,M_LIQ,"&lt;&gt;")&gt;1),"⚠ Liquidación repetida en el mes",IF(AND(ISNUMBER(O2661),ISNUMBER(P2661),ISNUMBER(Q2661),ABS(O2661-P2661-Q2661)&gt;1),"⚠ Haberes − descuentos no da el líquido","OK"))))))</f>
        <v/>
      </c>
      <c r="V2661" s="62" t="str">
        <f aca="false">IF(C2661="","",IFERROR(VALUE(LEFT(UPPER(SUBSTITUTE(SUBSTITUTE(SUBSTITUTE(TRIM(C2661),".",""),"-","")," ","")),LEN(UPPER(SUBSTITUTE(SUBSTITUTE(SUBSTITUTE(TRIM(C2661),".",""),"-","")," ","")))-1))&amp;RIGHT(UPPER(SUBSTITUTE(SUBSTITUTE(SUBSTITUTE(TRIM(C2661),".",""),"-","")," ","")),1),UPPER(SUBSTITUTE(SUBSTITUTE(SUBSTITUTE(TRIM(C2661),".",""),"-","")," ",""))))</f>
        <v/>
      </c>
    </row>
    <row r="2662" customFormat="false" ht="15" hidden="false" customHeight="false" outlineLevel="0" collapsed="false">
      <c r="B2662" s="80"/>
      <c r="C2662" s="58"/>
      <c r="D2662" s="62" t="str">
        <f aca="false">IF(C2662="","",IFERROR(INDEX(T_NOMBRE,MATCH(V2662,T_RUTN,0)),"⚠ RUT no está en Trabajadores"))</f>
        <v/>
      </c>
      <c r="E2662" s="61"/>
      <c r="F2662" s="61"/>
      <c r="G2662" s="61"/>
      <c r="H2662" s="61"/>
      <c r="I2662" s="81"/>
      <c r="J2662" s="81"/>
      <c r="K2662" s="60"/>
      <c r="L2662" s="60"/>
      <c r="M2662" s="60"/>
      <c r="N2662" s="60"/>
      <c r="O2662" s="60"/>
      <c r="P2662" s="60"/>
      <c r="Q2662" s="60"/>
      <c r="R2662" s="58"/>
      <c r="S2662" s="62" t="str">
        <f aca="false">IF(OR(B2662="",V2662=""),"",IFERROR(INDEX(C_TIPO,MATCH(V2662&amp;"-P"&amp;MAX(1,COUNTIFS(C_RUTN,V2662,C_DEF,"Sí",C_INI,"&lt;="&amp;EOMONTH(B2662,0))),C_CLAVE,0))&amp;"","Sin contrato"))</f>
        <v/>
      </c>
      <c r="T2662" s="63" t="str">
        <f aca="false">IF(OR(B2662="",N(O2662)=0),"",N(O2662)+ROUND(MIN(N(N2662),TOPE_UF*UF_MES)*(TASA_EMP+MUTUAL),0)+ROUND(MIN(N(N2662),TOPE_AFC_UF*UF_MES)*IF(S2662="Indefinido",AFC_INDEF,AFC_PF),0))</f>
        <v/>
      </c>
      <c r="U2662" s="62" t="str">
        <f aca="false">IF(C2662="","",IF(LEFT(D2662,1)="⚠","⚠ RUT no registrado en Trabajadores",IF(B2662="","⚠ Falta el mes",IF(OR(ISTEXT(I2662),ISTEXT(J2662)),"⚠ Atrasos u horas extra como texto: escriba hh:mm (ej. 1:30)",IF(AND(ISNUMBER(Q2662),COUNTIFS(M_RUTN,V2662,M_MES,B2662,M_LIQ,"&lt;&gt;")&gt;1),"⚠ Liquidación repetida en el mes",IF(AND(ISNUMBER(O2662),ISNUMBER(P2662),ISNUMBER(Q2662),ABS(O2662-P2662-Q2662)&gt;1),"⚠ Haberes − descuentos no da el líquido","OK"))))))</f>
        <v/>
      </c>
      <c r="V2662" s="62" t="str">
        <f aca="false">IF(C2662="","",IFERROR(VALUE(LEFT(UPPER(SUBSTITUTE(SUBSTITUTE(SUBSTITUTE(TRIM(C2662),".",""),"-","")," ","")),LEN(UPPER(SUBSTITUTE(SUBSTITUTE(SUBSTITUTE(TRIM(C2662),".",""),"-","")," ","")))-1))&amp;RIGHT(UPPER(SUBSTITUTE(SUBSTITUTE(SUBSTITUTE(TRIM(C2662),".",""),"-","")," ","")),1),UPPER(SUBSTITUTE(SUBSTITUTE(SUBSTITUTE(TRIM(C2662),".",""),"-","")," ",""))))</f>
        <v/>
      </c>
    </row>
    <row r="2663" customFormat="false" ht="15" hidden="false" customHeight="false" outlineLevel="0" collapsed="false">
      <c r="B2663" s="80"/>
      <c r="C2663" s="58"/>
      <c r="D2663" s="62" t="str">
        <f aca="false">IF(C2663="","",IFERROR(INDEX(T_NOMBRE,MATCH(V2663,T_RUTN,0)),"⚠ RUT no está en Trabajadores"))</f>
        <v/>
      </c>
      <c r="E2663" s="61"/>
      <c r="F2663" s="61"/>
      <c r="G2663" s="61"/>
      <c r="H2663" s="61"/>
      <c r="I2663" s="81"/>
      <c r="J2663" s="81"/>
      <c r="K2663" s="60"/>
      <c r="L2663" s="60"/>
      <c r="M2663" s="60"/>
      <c r="N2663" s="60"/>
      <c r="O2663" s="60"/>
      <c r="P2663" s="60"/>
      <c r="Q2663" s="60"/>
      <c r="R2663" s="58"/>
      <c r="S2663" s="62" t="str">
        <f aca="false">IF(OR(B2663="",V2663=""),"",IFERROR(INDEX(C_TIPO,MATCH(V2663&amp;"-P"&amp;MAX(1,COUNTIFS(C_RUTN,V2663,C_DEF,"Sí",C_INI,"&lt;="&amp;EOMONTH(B2663,0))),C_CLAVE,0))&amp;"","Sin contrato"))</f>
        <v/>
      </c>
      <c r="T2663" s="63" t="str">
        <f aca="false">IF(OR(B2663="",N(O2663)=0),"",N(O2663)+ROUND(MIN(N(N2663),TOPE_UF*UF_MES)*(TASA_EMP+MUTUAL),0)+ROUND(MIN(N(N2663),TOPE_AFC_UF*UF_MES)*IF(S2663="Indefinido",AFC_INDEF,AFC_PF),0))</f>
        <v/>
      </c>
      <c r="U2663" s="62" t="str">
        <f aca="false">IF(C2663="","",IF(LEFT(D2663,1)="⚠","⚠ RUT no registrado en Trabajadores",IF(B2663="","⚠ Falta el mes",IF(OR(ISTEXT(I2663),ISTEXT(J2663)),"⚠ Atrasos u horas extra como texto: escriba hh:mm (ej. 1:30)",IF(AND(ISNUMBER(Q2663),COUNTIFS(M_RUTN,V2663,M_MES,B2663,M_LIQ,"&lt;&gt;")&gt;1),"⚠ Liquidación repetida en el mes",IF(AND(ISNUMBER(O2663),ISNUMBER(P2663),ISNUMBER(Q2663),ABS(O2663-P2663-Q2663)&gt;1),"⚠ Haberes − descuentos no da el líquido","OK"))))))</f>
        <v/>
      </c>
      <c r="V2663" s="62" t="str">
        <f aca="false">IF(C2663="","",IFERROR(VALUE(LEFT(UPPER(SUBSTITUTE(SUBSTITUTE(SUBSTITUTE(TRIM(C2663),".",""),"-","")," ","")),LEN(UPPER(SUBSTITUTE(SUBSTITUTE(SUBSTITUTE(TRIM(C2663),".",""),"-","")," ","")))-1))&amp;RIGHT(UPPER(SUBSTITUTE(SUBSTITUTE(SUBSTITUTE(TRIM(C2663),".",""),"-","")," ","")),1),UPPER(SUBSTITUTE(SUBSTITUTE(SUBSTITUTE(TRIM(C2663),".",""),"-","")," ",""))))</f>
        <v/>
      </c>
    </row>
    <row r="2664" customFormat="false" ht="15" hidden="false" customHeight="false" outlineLevel="0" collapsed="false">
      <c r="B2664" s="80"/>
      <c r="C2664" s="58"/>
      <c r="D2664" s="62" t="str">
        <f aca="false">IF(C2664="","",IFERROR(INDEX(T_NOMBRE,MATCH(V2664,T_RUTN,0)),"⚠ RUT no está en Trabajadores"))</f>
        <v/>
      </c>
      <c r="E2664" s="61"/>
      <c r="F2664" s="61"/>
      <c r="G2664" s="61"/>
      <c r="H2664" s="61"/>
      <c r="I2664" s="81"/>
      <c r="J2664" s="81"/>
      <c r="K2664" s="60"/>
      <c r="L2664" s="60"/>
      <c r="M2664" s="60"/>
      <c r="N2664" s="60"/>
      <c r="O2664" s="60"/>
      <c r="P2664" s="60"/>
      <c r="Q2664" s="60"/>
      <c r="R2664" s="58"/>
      <c r="S2664" s="62" t="str">
        <f aca="false">IF(OR(B2664="",V2664=""),"",IFERROR(INDEX(C_TIPO,MATCH(V2664&amp;"-P"&amp;MAX(1,COUNTIFS(C_RUTN,V2664,C_DEF,"Sí",C_INI,"&lt;="&amp;EOMONTH(B2664,0))),C_CLAVE,0))&amp;"","Sin contrato"))</f>
        <v/>
      </c>
      <c r="T2664" s="63" t="str">
        <f aca="false">IF(OR(B2664="",N(O2664)=0),"",N(O2664)+ROUND(MIN(N(N2664),TOPE_UF*UF_MES)*(TASA_EMP+MUTUAL),0)+ROUND(MIN(N(N2664),TOPE_AFC_UF*UF_MES)*IF(S2664="Indefinido",AFC_INDEF,AFC_PF),0))</f>
        <v/>
      </c>
      <c r="U2664" s="62" t="str">
        <f aca="false">IF(C2664="","",IF(LEFT(D2664,1)="⚠","⚠ RUT no registrado en Trabajadores",IF(B2664="","⚠ Falta el mes",IF(OR(ISTEXT(I2664),ISTEXT(J2664)),"⚠ Atrasos u horas extra como texto: escriba hh:mm (ej. 1:30)",IF(AND(ISNUMBER(Q2664),COUNTIFS(M_RUTN,V2664,M_MES,B2664,M_LIQ,"&lt;&gt;")&gt;1),"⚠ Liquidación repetida en el mes",IF(AND(ISNUMBER(O2664),ISNUMBER(P2664),ISNUMBER(Q2664),ABS(O2664-P2664-Q2664)&gt;1),"⚠ Haberes − descuentos no da el líquido","OK"))))))</f>
        <v/>
      </c>
      <c r="V2664" s="62" t="str">
        <f aca="false">IF(C2664="","",IFERROR(VALUE(LEFT(UPPER(SUBSTITUTE(SUBSTITUTE(SUBSTITUTE(TRIM(C2664),".",""),"-","")," ","")),LEN(UPPER(SUBSTITUTE(SUBSTITUTE(SUBSTITUTE(TRIM(C2664),".",""),"-","")," ","")))-1))&amp;RIGHT(UPPER(SUBSTITUTE(SUBSTITUTE(SUBSTITUTE(TRIM(C2664),".",""),"-","")," ","")),1),UPPER(SUBSTITUTE(SUBSTITUTE(SUBSTITUTE(TRIM(C2664),".",""),"-","")," ",""))))</f>
        <v/>
      </c>
    </row>
    <row r="2665" customFormat="false" ht="15" hidden="false" customHeight="false" outlineLevel="0" collapsed="false">
      <c r="B2665" s="80"/>
      <c r="C2665" s="58"/>
      <c r="D2665" s="62" t="str">
        <f aca="false">IF(C2665="","",IFERROR(INDEX(T_NOMBRE,MATCH(V2665,T_RUTN,0)),"⚠ RUT no está en Trabajadores"))</f>
        <v/>
      </c>
      <c r="E2665" s="61"/>
      <c r="F2665" s="61"/>
      <c r="G2665" s="61"/>
      <c r="H2665" s="61"/>
      <c r="I2665" s="81"/>
      <c r="J2665" s="81"/>
      <c r="K2665" s="60"/>
      <c r="L2665" s="60"/>
      <c r="M2665" s="60"/>
      <c r="N2665" s="60"/>
      <c r="O2665" s="60"/>
      <c r="P2665" s="60"/>
      <c r="Q2665" s="60"/>
      <c r="R2665" s="58"/>
      <c r="S2665" s="62" t="str">
        <f aca="false">IF(OR(B2665="",V2665=""),"",IFERROR(INDEX(C_TIPO,MATCH(V2665&amp;"-P"&amp;MAX(1,COUNTIFS(C_RUTN,V2665,C_DEF,"Sí",C_INI,"&lt;="&amp;EOMONTH(B2665,0))),C_CLAVE,0))&amp;"","Sin contrato"))</f>
        <v/>
      </c>
      <c r="T2665" s="63" t="str">
        <f aca="false">IF(OR(B2665="",N(O2665)=0),"",N(O2665)+ROUND(MIN(N(N2665),TOPE_UF*UF_MES)*(TASA_EMP+MUTUAL),0)+ROUND(MIN(N(N2665),TOPE_AFC_UF*UF_MES)*IF(S2665="Indefinido",AFC_INDEF,AFC_PF),0))</f>
        <v/>
      </c>
      <c r="U2665" s="62" t="str">
        <f aca="false">IF(C2665="","",IF(LEFT(D2665,1)="⚠","⚠ RUT no registrado en Trabajadores",IF(B2665="","⚠ Falta el mes",IF(OR(ISTEXT(I2665),ISTEXT(J2665)),"⚠ Atrasos u horas extra como texto: escriba hh:mm (ej. 1:30)",IF(AND(ISNUMBER(Q2665),COUNTIFS(M_RUTN,V2665,M_MES,B2665,M_LIQ,"&lt;&gt;")&gt;1),"⚠ Liquidación repetida en el mes",IF(AND(ISNUMBER(O2665),ISNUMBER(P2665),ISNUMBER(Q2665),ABS(O2665-P2665-Q2665)&gt;1),"⚠ Haberes − descuentos no da el líquido","OK"))))))</f>
        <v/>
      </c>
      <c r="V2665" s="62" t="str">
        <f aca="false">IF(C2665="","",IFERROR(VALUE(LEFT(UPPER(SUBSTITUTE(SUBSTITUTE(SUBSTITUTE(TRIM(C2665),".",""),"-","")," ","")),LEN(UPPER(SUBSTITUTE(SUBSTITUTE(SUBSTITUTE(TRIM(C2665),".",""),"-","")," ","")))-1))&amp;RIGHT(UPPER(SUBSTITUTE(SUBSTITUTE(SUBSTITUTE(TRIM(C2665),".",""),"-","")," ","")),1),UPPER(SUBSTITUTE(SUBSTITUTE(SUBSTITUTE(TRIM(C2665),".",""),"-","")," ",""))))</f>
        <v/>
      </c>
    </row>
    <row r="2666" customFormat="false" ht="15" hidden="false" customHeight="false" outlineLevel="0" collapsed="false">
      <c r="B2666" s="80"/>
      <c r="C2666" s="58"/>
      <c r="D2666" s="62" t="str">
        <f aca="false">IF(C2666="","",IFERROR(INDEX(T_NOMBRE,MATCH(V2666,T_RUTN,0)),"⚠ RUT no está en Trabajadores"))</f>
        <v/>
      </c>
      <c r="E2666" s="61"/>
      <c r="F2666" s="61"/>
      <c r="G2666" s="61"/>
      <c r="H2666" s="61"/>
      <c r="I2666" s="81"/>
      <c r="J2666" s="81"/>
      <c r="K2666" s="60"/>
      <c r="L2666" s="60"/>
      <c r="M2666" s="60"/>
      <c r="N2666" s="60"/>
      <c r="O2666" s="60"/>
      <c r="P2666" s="60"/>
      <c r="Q2666" s="60"/>
      <c r="R2666" s="58"/>
      <c r="S2666" s="62" t="str">
        <f aca="false">IF(OR(B2666="",V2666=""),"",IFERROR(INDEX(C_TIPO,MATCH(V2666&amp;"-P"&amp;MAX(1,COUNTIFS(C_RUTN,V2666,C_DEF,"Sí",C_INI,"&lt;="&amp;EOMONTH(B2666,0))),C_CLAVE,0))&amp;"","Sin contrato"))</f>
        <v/>
      </c>
      <c r="T2666" s="63" t="str">
        <f aca="false">IF(OR(B2666="",N(O2666)=0),"",N(O2666)+ROUND(MIN(N(N2666),TOPE_UF*UF_MES)*(TASA_EMP+MUTUAL),0)+ROUND(MIN(N(N2666),TOPE_AFC_UF*UF_MES)*IF(S2666="Indefinido",AFC_INDEF,AFC_PF),0))</f>
        <v/>
      </c>
      <c r="U2666" s="62" t="str">
        <f aca="false">IF(C2666="","",IF(LEFT(D2666,1)="⚠","⚠ RUT no registrado en Trabajadores",IF(B2666="","⚠ Falta el mes",IF(OR(ISTEXT(I2666),ISTEXT(J2666)),"⚠ Atrasos u horas extra como texto: escriba hh:mm (ej. 1:30)",IF(AND(ISNUMBER(Q2666),COUNTIFS(M_RUTN,V2666,M_MES,B2666,M_LIQ,"&lt;&gt;")&gt;1),"⚠ Liquidación repetida en el mes",IF(AND(ISNUMBER(O2666),ISNUMBER(P2666),ISNUMBER(Q2666),ABS(O2666-P2666-Q2666)&gt;1),"⚠ Haberes − descuentos no da el líquido","OK"))))))</f>
        <v/>
      </c>
      <c r="V2666" s="62" t="str">
        <f aca="false">IF(C2666="","",IFERROR(VALUE(LEFT(UPPER(SUBSTITUTE(SUBSTITUTE(SUBSTITUTE(TRIM(C2666),".",""),"-","")," ","")),LEN(UPPER(SUBSTITUTE(SUBSTITUTE(SUBSTITUTE(TRIM(C2666),".",""),"-","")," ","")))-1))&amp;RIGHT(UPPER(SUBSTITUTE(SUBSTITUTE(SUBSTITUTE(TRIM(C2666),".",""),"-","")," ","")),1),UPPER(SUBSTITUTE(SUBSTITUTE(SUBSTITUTE(TRIM(C2666),".",""),"-","")," ",""))))</f>
        <v/>
      </c>
    </row>
    <row r="2667" customFormat="false" ht="15" hidden="false" customHeight="false" outlineLevel="0" collapsed="false">
      <c r="B2667" s="80"/>
      <c r="C2667" s="58"/>
      <c r="D2667" s="62" t="str">
        <f aca="false">IF(C2667="","",IFERROR(INDEX(T_NOMBRE,MATCH(V2667,T_RUTN,0)),"⚠ RUT no está en Trabajadores"))</f>
        <v/>
      </c>
      <c r="E2667" s="61"/>
      <c r="F2667" s="61"/>
      <c r="G2667" s="61"/>
      <c r="H2667" s="61"/>
      <c r="I2667" s="81"/>
      <c r="J2667" s="81"/>
      <c r="K2667" s="60"/>
      <c r="L2667" s="60"/>
      <c r="M2667" s="60"/>
      <c r="N2667" s="60"/>
      <c r="O2667" s="60"/>
      <c r="P2667" s="60"/>
      <c r="Q2667" s="60"/>
      <c r="R2667" s="58"/>
      <c r="S2667" s="62" t="str">
        <f aca="false">IF(OR(B2667="",V2667=""),"",IFERROR(INDEX(C_TIPO,MATCH(V2667&amp;"-P"&amp;MAX(1,COUNTIFS(C_RUTN,V2667,C_DEF,"Sí",C_INI,"&lt;="&amp;EOMONTH(B2667,0))),C_CLAVE,0))&amp;"","Sin contrato"))</f>
        <v/>
      </c>
      <c r="T2667" s="63" t="str">
        <f aca="false">IF(OR(B2667="",N(O2667)=0),"",N(O2667)+ROUND(MIN(N(N2667),TOPE_UF*UF_MES)*(TASA_EMP+MUTUAL),0)+ROUND(MIN(N(N2667),TOPE_AFC_UF*UF_MES)*IF(S2667="Indefinido",AFC_INDEF,AFC_PF),0))</f>
        <v/>
      </c>
      <c r="U2667" s="62" t="str">
        <f aca="false">IF(C2667="","",IF(LEFT(D2667,1)="⚠","⚠ RUT no registrado en Trabajadores",IF(B2667="","⚠ Falta el mes",IF(OR(ISTEXT(I2667),ISTEXT(J2667)),"⚠ Atrasos u horas extra como texto: escriba hh:mm (ej. 1:30)",IF(AND(ISNUMBER(Q2667),COUNTIFS(M_RUTN,V2667,M_MES,B2667,M_LIQ,"&lt;&gt;")&gt;1),"⚠ Liquidación repetida en el mes",IF(AND(ISNUMBER(O2667),ISNUMBER(P2667),ISNUMBER(Q2667),ABS(O2667-P2667-Q2667)&gt;1),"⚠ Haberes − descuentos no da el líquido","OK"))))))</f>
        <v/>
      </c>
      <c r="V2667" s="62" t="str">
        <f aca="false">IF(C2667="","",IFERROR(VALUE(LEFT(UPPER(SUBSTITUTE(SUBSTITUTE(SUBSTITUTE(TRIM(C2667),".",""),"-","")," ","")),LEN(UPPER(SUBSTITUTE(SUBSTITUTE(SUBSTITUTE(TRIM(C2667),".",""),"-","")," ","")))-1))&amp;RIGHT(UPPER(SUBSTITUTE(SUBSTITUTE(SUBSTITUTE(TRIM(C2667),".",""),"-","")," ","")),1),UPPER(SUBSTITUTE(SUBSTITUTE(SUBSTITUTE(TRIM(C2667),".",""),"-","")," ",""))))</f>
        <v/>
      </c>
    </row>
    <row r="2668" customFormat="false" ht="15" hidden="false" customHeight="false" outlineLevel="0" collapsed="false">
      <c r="B2668" s="80"/>
      <c r="C2668" s="58"/>
      <c r="D2668" s="62" t="str">
        <f aca="false">IF(C2668="","",IFERROR(INDEX(T_NOMBRE,MATCH(V2668,T_RUTN,0)),"⚠ RUT no está en Trabajadores"))</f>
        <v/>
      </c>
      <c r="E2668" s="61"/>
      <c r="F2668" s="61"/>
      <c r="G2668" s="61"/>
      <c r="H2668" s="61"/>
      <c r="I2668" s="81"/>
      <c r="J2668" s="81"/>
      <c r="K2668" s="60"/>
      <c r="L2668" s="60"/>
      <c r="M2668" s="60"/>
      <c r="N2668" s="60"/>
      <c r="O2668" s="60"/>
      <c r="P2668" s="60"/>
      <c r="Q2668" s="60"/>
      <c r="R2668" s="58"/>
      <c r="S2668" s="62" t="str">
        <f aca="false">IF(OR(B2668="",V2668=""),"",IFERROR(INDEX(C_TIPO,MATCH(V2668&amp;"-P"&amp;MAX(1,COUNTIFS(C_RUTN,V2668,C_DEF,"Sí",C_INI,"&lt;="&amp;EOMONTH(B2668,0))),C_CLAVE,0))&amp;"","Sin contrato"))</f>
        <v/>
      </c>
      <c r="T2668" s="63" t="str">
        <f aca="false">IF(OR(B2668="",N(O2668)=0),"",N(O2668)+ROUND(MIN(N(N2668),TOPE_UF*UF_MES)*(TASA_EMP+MUTUAL),0)+ROUND(MIN(N(N2668),TOPE_AFC_UF*UF_MES)*IF(S2668="Indefinido",AFC_INDEF,AFC_PF),0))</f>
        <v/>
      </c>
      <c r="U2668" s="62" t="str">
        <f aca="false">IF(C2668="","",IF(LEFT(D2668,1)="⚠","⚠ RUT no registrado en Trabajadores",IF(B2668="","⚠ Falta el mes",IF(OR(ISTEXT(I2668),ISTEXT(J2668)),"⚠ Atrasos u horas extra como texto: escriba hh:mm (ej. 1:30)",IF(AND(ISNUMBER(Q2668),COUNTIFS(M_RUTN,V2668,M_MES,B2668,M_LIQ,"&lt;&gt;")&gt;1),"⚠ Liquidación repetida en el mes",IF(AND(ISNUMBER(O2668),ISNUMBER(P2668),ISNUMBER(Q2668),ABS(O2668-P2668-Q2668)&gt;1),"⚠ Haberes − descuentos no da el líquido","OK"))))))</f>
        <v/>
      </c>
      <c r="V2668" s="62" t="str">
        <f aca="false">IF(C2668="","",IFERROR(VALUE(LEFT(UPPER(SUBSTITUTE(SUBSTITUTE(SUBSTITUTE(TRIM(C2668),".",""),"-","")," ","")),LEN(UPPER(SUBSTITUTE(SUBSTITUTE(SUBSTITUTE(TRIM(C2668),".",""),"-","")," ","")))-1))&amp;RIGHT(UPPER(SUBSTITUTE(SUBSTITUTE(SUBSTITUTE(TRIM(C2668),".",""),"-","")," ","")),1),UPPER(SUBSTITUTE(SUBSTITUTE(SUBSTITUTE(TRIM(C2668),".",""),"-","")," ",""))))</f>
        <v/>
      </c>
    </row>
    <row r="2669" customFormat="false" ht="15" hidden="false" customHeight="false" outlineLevel="0" collapsed="false">
      <c r="B2669" s="80"/>
      <c r="C2669" s="58"/>
      <c r="D2669" s="62" t="str">
        <f aca="false">IF(C2669="","",IFERROR(INDEX(T_NOMBRE,MATCH(V2669,T_RUTN,0)),"⚠ RUT no está en Trabajadores"))</f>
        <v/>
      </c>
      <c r="E2669" s="61"/>
      <c r="F2669" s="61"/>
      <c r="G2669" s="61"/>
      <c r="H2669" s="61"/>
      <c r="I2669" s="81"/>
      <c r="J2669" s="81"/>
      <c r="K2669" s="60"/>
      <c r="L2669" s="60"/>
      <c r="M2669" s="60"/>
      <c r="N2669" s="60"/>
      <c r="O2669" s="60"/>
      <c r="P2669" s="60"/>
      <c r="Q2669" s="60"/>
      <c r="R2669" s="58"/>
      <c r="S2669" s="62" t="str">
        <f aca="false">IF(OR(B2669="",V2669=""),"",IFERROR(INDEX(C_TIPO,MATCH(V2669&amp;"-P"&amp;MAX(1,COUNTIFS(C_RUTN,V2669,C_DEF,"Sí",C_INI,"&lt;="&amp;EOMONTH(B2669,0))),C_CLAVE,0))&amp;"","Sin contrato"))</f>
        <v/>
      </c>
      <c r="T2669" s="63" t="str">
        <f aca="false">IF(OR(B2669="",N(O2669)=0),"",N(O2669)+ROUND(MIN(N(N2669),TOPE_UF*UF_MES)*(TASA_EMP+MUTUAL),0)+ROUND(MIN(N(N2669),TOPE_AFC_UF*UF_MES)*IF(S2669="Indefinido",AFC_INDEF,AFC_PF),0))</f>
        <v/>
      </c>
      <c r="U2669" s="62" t="str">
        <f aca="false">IF(C2669="","",IF(LEFT(D2669,1)="⚠","⚠ RUT no registrado en Trabajadores",IF(B2669="","⚠ Falta el mes",IF(OR(ISTEXT(I2669),ISTEXT(J2669)),"⚠ Atrasos u horas extra como texto: escriba hh:mm (ej. 1:30)",IF(AND(ISNUMBER(Q2669),COUNTIFS(M_RUTN,V2669,M_MES,B2669,M_LIQ,"&lt;&gt;")&gt;1),"⚠ Liquidación repetida en el mes",IF(AND(ISNUMBER(O2669),ISNUMBER(P2669),ISNUMBER(Q2669),ABS(O2669-P2669-Q2669)&gt;1),"⚠ Haberes − descuentos no da el líquido","OK"))))))</f>
        <v/>
      </c>
      <c r="V2669" s="62" t="str">
        <f aca="false">IF(C2669="","",IFERROR(VALUE(LEFT(UPPER(SUBSTITUTE(SUBSTITUTE(SUBSTITUTE(TRIM(C2669),".",""),"-","")," ","")),LEN(UPPER(SUBSTITUTE(SUBSTITUTE(SUBSTITUTE(TRIM(C2669),".",""),"-","")," ","")))-1))&amp;RIGHT(UPPER(SUBSTITUTE(SUBSTITUTE(SUBSTITUTE(TRIM(C2669),".",""),"-","")," ","")),1),UPPER(SUBSTITUTE(SUBSTITUTE(SUBSTITUTE(TRIM(C2669),".",""),"-","")," ",""))))</f>
        <v/>
      </c>
    </row>
    <row r="2670" customFormat="false" ht="15" hidden="false" customHeight="false" outlineLevel="0" collapsed="false">
      <c r="B2670" s="80"/>
      <c r="C2670" s="58"/>
      <c r="D2670" s="62" t="str">
        <f aca="false">IF(C2670="","",IFERROR(INDEX(T_NOMBRE,MATCH(V2670,T_RUTN,0)),"⚠ RUT no está en Trabajadores"))</f>
        <v/>
      </c>
      <c r="E2670" s="61"/>
      <c r="F2670" s="61"/>
      <c r="G2670" s="61"/>
      <c r="H2670" s="61"/>
      <c r="I2670" s="81"/>
      <c r="J2670" s="81"/>
      <c r="K2670" s="60"/>
      <c r="L2670" s="60"/>
      <c r="M2670" s="60"/>
      <c r="N2670" s="60"/>
      <c r="O2670" s="60"/>
      <c r="P2670" s="60"/>
      <c r="Q2670" s="60"/>
      <c r="R2670" s="58"/>
      <c r="S2670" s="62" t="str">
        <f aca="false">IF(OR(B2670="",V2670=""),"",IFERROR(INDEX(C_TIPO,MATCH(V2670&amp;"-P"&amp;MAX(1,COUNTIFS(C_RUTN,V2670,C_DEF,"Sí",C_INI,"&lt;="&amp;EOMONTH(B2670,0))),C_CLAVE,0))&amp;"","Sin contrato"))</f>
        <v/>
      </c>
      <c r="T2670" s="63" t="str">
        <f aca="false">IF(OR(B2670="",N(O2670)=0),"",N(O2670)+ROUND(MIN(N(N2670),TOPE_UF*UF_MES)*(TASA_EMP+MUTUAL),0)+ROUND(MIN(N(N2670),TOPE_AFC_UF*UF_MES)*IF(S2670="Indefinido",AFC_INDEF,AFC_PF),0))</f>
        <v/>
      </c>
      <c r="U2670" s="62" t="str">
        <f aca="false">IF(C2670="","",IF(LEFT(D2670,1)="⚠","⚠ RUT no registrado en Trabajadores",IF(B2670="","⚠ Falta el mes",IF(OR(ISTEXT(I2670),ISTEXT(J2670)),"⚠ Atrasos u horas extra como texto: escriba hh:mm (ej. 1:30)",IF(AND(ISNUMBER(Q2670),COUNTIFS(M_RUTN,V2670,M_MES,B2670,M_LIQ,"&lt;&gt;")&gt;1),"⚠ Liquidación repetida en el mes",IF(AND(ISNUMBER(O2670),ISNUMBER(P2670),ISNUMBER(Q2670),ABS(O2670-P2670-Q2670)&gt;1),"⚠ Haberes − descuentos no da el líquido","OK"))))))</f>
        <v/>
      </c>
      <c r="V2670" s="62" t="str">
        <f aca="false">IF(C2670="","",IFERROR(VALUE(LEFT(UPPER(SUBSTITUTE(SUBSTITUTE(SUBSTITUTE(TRIM(C2670),".",""),"-","")," ","")),LEN(UPPER(SUBSTITUTE(SUBSTITUTE(SUBSTITUTE(TRIM(C2670),".",""),"-","")," ","")))-1))&amp;RIGHT(UPPER(SUBSTITUTE(SUBSTITUTE(SUBSTITUTE(TRIM(C2670),".",""),"-","")," ","")),1),UPPER(SUBSTITUTE(SUBSTITUTE(SUBSTITUTE(TRIM(C2670),".",""),"-","")," ",""))))</f>
        <v/>
      </c>
    </row>
    <row r="2671" customFormat="false" ht="15" hidden="false" customHeight="false" outlineLevel="0" collapsed="false">
      <c r="B2671" s="80"/>
      <c r="C2671" s="58"/>
      <c r="D2671" s="62" t="str">
        <f aca="false">IF(C2671="","",IFERROR(INDEX(T_NOMBRE,MATCH(V2671,T_RUTN,0)),"⚠ RUT no está en Trabajadores"))</f>
        <v/>
      </c>
      <c r="E2671" s="61"/>
      <c r="F2671" s="61"/>
      <c r="G2671" s="61"/>
      <c r="H2671" s="61"/>
      <c r="I2671" s="81"/>
      <c r="J2671" s="81"/>
      <c r="K2671" s="60"/>
      <c r="L2671" s="60"/>
      <c r="M2671" s="60"/>
      <c r="N2671" s="60"/>
      <c r="O2671" s="60"/>
      <c r="P2671" s="60"/>
      <c r="Q2671" s="60"/>
      <c r="R2671" s="58"/>
      <c r="S2671" s="62" t="str">
        <f aca="false">IF(OR(B2671="",V2671=""),"",IFERROR(INDEX(C_TIPO,MATCH(V2671&amp;"-P"&amp;MAX(1,COUNTIFS(C_RUTN,V2671,C_DEF,"Sí",C_INI,"&lt;="&amp;EOMONTH(B2671,0))),C_CLAVE,0))&amp;"","Sin contrato"))</f>
        <v/>
      </c>
      <c r="T2671" s="63" t="str">
        <f aca="false">IF(OR(B2671="",N(O2671)=0),"",N(O2671)+ROUND(MIN(N(N2671),TOPE_UF*UF_MES)*(TASA_EMP+MUTUAL),0)+ROUND(MIN(N(N2671),TOPE_AFC_UF*UF_MES)*IF(S2671="Indefinido",AFC_INDEF,AFC_PF),0))</f>
        <v/>
      </c>
      <c r="U2671" s="62" t="str">
        <f aca="false">IF(C2671="","",IF(LEFT(D2671,1)="⚠","⚠ RUT no registrado en Trabajadores",IF(B2671="","⚠ Falta el mes",IF(OR(ISTEXT(I2671),ISTEXT(J2671)),"⚠ Atrasos u horas extra como texto: escriba hh:mm (ej. 1:30)",IF(AND(ISNUMBER(Q2671),COUNTIFS(M_RUTN,V2671,M_MES,B2671,M_LIQ,"&lt;&gt;")&gt;1),"⚠ Liquidación repetida en el mes",IF(AND(ISNUMBER(O2671),ISNUMBER(P2671),ISNUMBER(Q2671),ABS(O2671-P2671-Q2671)&gt;1),"⚠ Haberes − descuentos no da el líquido","OK"))))))</f>
        <v/>
      </c>
      <c r="V2671" s="62" t="str">
        <f aca="false">IF(C2671="","",IFERROR(VALUE(LEFT(UPPER(SUBSTITUTE(SUBSTITUTE(SUBSTITUTE(TRIM(C2671),".",""),"-","")," ","")),LEN(UPPER(SUBSTITUTE(SUBSTITUTE(SUBSTITUTE(TRIM(C2671),".",""),"-","")," ","")))-1))&amp;RIGHT(UPPER(SUBSTITUTE(SUBSTITUTE(SUBSTITUTE(TRIM(C2671),".",""),"-","")," ","")),1),UPPER(SUBSTITUTE(SUBSTITUTE(SUBSTITUTE(TRIM(C2671),".",""),"-","")," ",""))))</f>
        <v/>
      </c>
    </row>
    <row r="2672" customFormat="false" ht="15" hidden="false" customHeight="false" outlineLevel="0" collapsed="false">
      <c r="B2672" s="80"/>
      <c r="C2672" s="58"/>
      <c r="D2672" s="62" t="str">
        <f aca="false">IF(C2672="","",IFERROR(INDEX(T_NOMBRE,MATCH(V2672,T_RUTN,0)),"⚠ RUT no está en Trabajadores"))</f>
        <v/>
      </c>
      <c r="E2672" s="61"/>
      <c r="F2672" s="61"/>
      <c r="G2672" s="61"/>
      <c r="H2672" s="61"/>
      <c r="I2672" s="81"/>
      <c r="J2672" s="81"/>
      <c r="K2672" s="60"/>
      <c r="L2672" s="60"/>
      <c r="M2672" s="60"/>
      <c r="N2672" s="60"/>
      <c r="O2672" s="60"/>
      <c r="P2672" s="60"/>
      <c r="Q2672" s="60"/>
      <c r="R2672" s="58"/>
      <c r="S2672" s="62" t="str">
        <f aca="false">IF(OR(B2672="",V2672=""),"",IFERROR(INDEX(C_TIPO,MATCH(V2672&amp;"-P"&amp;MAX(1,COUNTIFS(C_RUTN,V2672,C_DEF,"Sí",C_INI,"&lt;="&amp;EOMONTH(B2672,0))),C_CLAVE,0))&amp;"","Sin contrato"))</f>
        <v/>
      </c>
      <c r="T2672" s="63" t="str">
        <f aca="false">IF(OR(B2672="",N(O2672)=0),"",N(O2672)+ROUND(MIN(N(N2672),TOPE_UF*UF_MES)*(TASA_EMP+MUTUAL),0)+ROUND(MIN(N(N2672),TOPE_AFC_UF*UF_MES)*IF(S2672="Indefinido",AFC_INDEF,AFC_PF),0))</f>
        <v/>
      </c>
      <c r="U2672" s="62" t="str">
        <f aca="false">IF(C2672="","",IF(LEFT(D2672,1)="⚠","⚠ RUT no registrado en Trabajadores",IF(B2672="","⚠ Falta el mes",IF(OR(ISTEXT(I2672),ISTEXT(J2672)),"⚠ Atrasos u horas extra como texto: escriba hh:mm (ej. 1:30)",IF(AND(ISNUMBER(Q2672),COUNTIFS(M_RUTN,V2672,M_MES,B2672,M_LIQ,"&lt;&gt;")&gt;1),"⚠ Liquidación repetida en el mes",IF(AND(ISNUMBER(O2672),ISNUMBER(P2672),ISNUMBER(Q2672),ABS(O2672-P2672-Q2672)&gt;1),"⚠ Haberes − descuentos no da el líquido","OK"))))))</f>
        <v/>
      </c>
      <c r="V2672" s="62" t="str">
        <f aca="false">IF(C2672="","",IFERROR(VALUE(LEFT(UPPER(SUBSTITUTE(SUBSTITUTE(SUBSTITUTE(TRIM(C2672),".",""),"-","")," ","")),LEN(UPPER(SUBSTITUTE(SUBSTITUTE(SUBSTITUTE(TRIM(C2672),".",""),"-","")," ","")))-1))&amp;RIGHT(UPPER(SUBSTITUTE(SUBSTITUTE(SUBSTITUTE(TRIM(C2672),".",""),"-","")," ","")),1),UPPER(SUBSTITUTE(SUBSTITUTE(SUBSTITUTE(TRIM(C2672),".",""),"-","")," ",""))))</f>
        <v/>
      </c>
    </row>
    <row r="2673" customFormat="false" ht="15" hidden="false" customHeight="false" outlineLevel="0" collapsed="false">
      <c r="B2673" s="80"/>
      <c r="C2673" s="58"/>
      <c r="D2673" s="62" t="str">
        <f aca="false">IF(C2673="","",IFERROR(INDEX(T_NOMBRE,MATCH(V2673,T_RUTN,0)),"⚠ RUT no está en Trabajadores"))</f>
        <v/>
      </c>
      <c r="E2673" s="61"/>
      <c r="F2673" s="61"/>
      <c r="G2673" s="61"/>
      <c r="H2673" s="61"/>
      <c r="I2673" s="81"/>
      <c r="J2673" s="81"/>
      <c r="K2673" s="60"/>
      <c r="L2673" s="60"/>
      <c r="M2673" s="60"/>
      <c r="N2673" s="60"/>
      <c r="O2673" s="60"/>
      <c r="P2673" s="60"/>
      <c r="Q2673" s="60"/>
      <c r="R2673" s="58"/>
      <c r="S2673" s="62" t="str">
        <f aca="false">IF(OR(B2673="",V2673=""),"",IFERROR(INDEX(C_TIPO,MATCH(V2673&amp;"-P"&amp;MAX(1,COUNTIFS(C_RUTN,V2673,C_DEF,"Sí",C_INI,"&lt;="&amp;EOMONTH(B2673,0))),C_CLAVE,0))&amp;"","Sin contrato"))</f>
        <v/>
      </c>
      <c r="T2673" s="63" t="str">
        <f aca="false">IF(OR(B2673="",N(O2673)=0),"",N(O2673)+ROUND(MIN(N(N2673),TOPE_UF*UF_MES)*(TASA_EMP+MUTUAL),0)+ROUND(MIN(N(N2673),TOPE_AFC_UF*UF_MES)*IF(S2673="Indefinido",AFC_INDEF,AFC_PF),0))</f>
        <v/>
      </c>
      <c r="U2673" s="62" t="str">
        <f aca="false">IF(C2673="","",IF(LEFT(D2673,1)="⚠","⚠ RUT no registrado en Trabajadores",IF(B2673="","⚠ Falta el mes",IF(OR(ISTEXT(I2673),ISTEXT(J2673)),"⚠ Atrasos u horas extra como texto: escriba hh:mm (ej. 1:30)",IF(AND(ISNUMBER(Q2673),COUNTIFS(M_RUTN,V2673,M_MES,B2673,M_LIQ,"&lt;&gt;")&gt;1),"⚠ Liquidación repetida en el mes",IF(AND(ISNUMBER(O2673),ISNUMBER(P2673),ISNUMBER(Q2673),ABS(O2673-P2673-Q2673)&gt;1),"⚠ Haberes − descuentos no da el líquido","OK"))))))</f>
        <v/>
      </c>
      <c r="V2673" s="62" t="str">
        <f aca="false">IF(C2673="","",IFERROR(VALUE(LEFT(UPPER(SUBSTITUTE(SUBSTITUTE(SUBSTITUTE(TRIM(C2673),".",""),"-","")," ","")),LEN(UPPER(SUBSTITUTE(SUBSTITUTE(SUBSTITUTE(TRIM(C2673),".",""),"-","")," ","")))-1))&amp;RIGHT(UPPER(SUBSTITUTE(SUBSTITUTE(SUBSTITUTE(TRIM(C2673),".",""),"-","")," ","")),1),UPPER(SUBSTITUTE(SUBSTITUTE(SUBSTITUTE(TRIM(C2673),".",""),"-","")," ",""))))</f>
        <v/>
      </c>
    </row>
    <row r="2674" customFormat="false" ht="15" hidden="false" customHeight="false" outlineLevel="0" collapsed="false">
      <c r="B2674" s="80"/>
      <c r="C2674" s="58"/>
      <c r="D2674" s="62" t="str">
        <f aca="false">IF(C2674="","",IFERROR(INDEX(T_NOMBRE,MATCH(V2674,T_RUTN,0)),"⚠ RUT no está en Trabajadores"))</f>
        <v/>
      </c>
      <c r="E2674" s="61"/>
      <c r="F2674" s="61"/>
      <c r="G2674" s="61"/>
      <c r="H2674" s="61"/>
      <c r="I2674" s="81"/>
      <c r="J2674" s="81"/>
      <c r="K2674" s="60"/>
      <c r="L2674" s="60"/>
      <c r="M2674" s="60"/>
      <c r="N2674" s="60"/>
      <c r="O2674" s="60"/>
      <c r="P2674" s="60"/>
      <c r="Q2674" s="60"/>
      <c r="R2674" s="58"/>
      <c r="S2674" s="62" t="str">
        <f aca="false">IF(OR(B2674="",V2674=""),"",IFERROR(INDEX(C_TIPO,MATCH(V2674&amp;"-P"&amp;MAX(1,COUNTIFS(C_RUTN,V2674,C_DEF,"Sí",C_INI,"&lt;="&amp;EOMONTH(B2674,0))),C_CLAVE,0))&amp;"","Sin contrato"))</f>
        <v/>
      </c>
      <c r="T2674" s="63" t="str">
        <f aca="false">IF(OR(B2674="",N(O2674)=0),"",N(O2674)+ROUND(MIN(N(N2674),TOPE_UF*UF_MES)*(TASA_EMP+MUTUAL),0)+ROUND(MIN(N(N2674),TOPE_AFC_UF*UF_MES)*IF(S2674="Indefinido",AFC_INDEF,AFC_PF),0))</f>
        <v/>
      </c>
      <c r="U2674" s="62" t="str">
        <f aca="false">IF(C2674="","",IF(LEFT(D2674,1)="⚠","⚠ RUT no registrado en Trabajadores",IF(B2674="","⚠ Falta el mes",IF(OR(ISTEXT(I2674),ISTEXT(J2674)),"⚠ Atrasos u horas extra como texto: escriba hh:mm (ej. 1:30)",IF(AND(ISNUMBER(Q2674),COUNTIFS(M_RUTN,V2674,M_MES,B2674,M_LIQ,"&lt;&gt;")&gt;1),"⚠ Liquidación repetida en el mes",IF(AND(ISNUMBER(O2674),ISNUMBER(P2674),ISNUMBER(Q2674),ABS(O2674-P2674-Q2674)&gt;1),"⚠ Haberes − descuentos no da el líquido","OK"))))))</f>
        <v/>
      </c>
      <c r="V2674" s="62" t="str">
        <f aca="false">IF(C2674="","",IFERROR(VALUE(LEFT(UPPER(SUBSTITUTE(SUBSTITUTE(SUBSTITUTE(TRIM(C2674),".",""),"-","")," ","")),LEN(UPPER(SUBSTITUTE(SUBSTITUTE(SUBSTITUTE(TRIM(C2674),".",""),"-","")," ","")))-1))&amp;RIGHT(UPPER(SUBSTITUTE(SUBSTITUTE(SUBSTITUTE(TRIM(C2674),".",""),"-","")," ","")),1),UPPER(SUBSTITUTE(SUBSTITUTE(SUBSTITUTE(TRIM(C2674),".",""),"-","")," ",""))))</f>
        <v/>
      </c>
    </row>
    <row r="2675" customFormat="false" ht="15" hidden="false" customHeight="false" outlineLevel="0" collapsed="false">
      <c r="B2675" s="80"/>
      <c r="C2675" s="58"/>
      <c r="D2675" s="62" t="str">
        <f aca="false">IF(C2675="","",IFERROR(INDEX(T_NOMBRE,MATCH(V2675,T_RUTN,0)),"⚠ RUT no está en Trabajadores"))</f>
        <v/>
      </c>
      <c r="E2675" s="61"/>
      <c r="F2675" s="61"/>
      <c r="G2675" s="61"/>
      <c r="H2675" s="61"/>
      <c r="I2675" s="81"/>
      <c r="J2675" s="81"/>
      <c r="K2675" s="60"/>
      <c r="L2675" s="60"/>
      <c r="M2675" s="60"/>
      <c r="N2675" s="60"/>
      <c r="O2675" s="60"/>
      <c r="P2675" s="60"/>
      <c r="Q2675" s="60"/>
      <c r="R2675" s="58"/>
      <c r="S2675" s="62" t="str">
        <f aca="false">IF(OR(B2675="",V2675=""),"",IFERROR(INDEX(C_TIPO,MATCH(V2675&amp;"-P"&amp;MAX(1,COUNTIFS(C_RUTN,V2675,C_DEF,"Sí",C_INI,"&lt;="&amp;EOMONTH(B2675,0))),C_CLAVE,0))&amp;"","Sin contrato"))</f>
        <v/>
      </c>
      <c r="T2675" s="63" t="str">
        <f aca="false">IF(OR(B2675="",N(O2675)=0),"",N(O2675)+ROUND(MIN(N(N2675),TOPE_UF*UF_MES)*(TASA_EMP+MUTUAL),0)+ROUND(MIN(N(N2675),TOPE_AFC_UF*UF_MES)*IF(S2675="Indefinido",AFC_INDEF,AFC_PF),0))</f>
        <v/>
      </c>
      <c r="U2675" s="62" t="str">
        <f aca="false">IF(C2675="","",IF(LEFT(D2675,1)="⚠","⚠ RUT no registrado en Trabajadores",IF(B2675="","⚠ Falta el mes",IF(OR(ISTEXT(I2675),ISTEXT(J2675)),"⚠ Atrasos u horas extra como texto: escriba hh:mm (ej. 1:30)",IF(AND(ISNUMBER(Q2675),COUNTIFS(M_RUTN,V2675,M_MES,B2675,M_LIQ,"&lt;&gt;")&gt;1),"⚠ Liquidación repetida en el mes",IF(AND(ISNUMBER(O2675),ISNUMBER(P2675),ISNUMBER(Q2675),ABS(O2675-P2675-Q2675)&gt;1),"⚠ Haberes − descuentos no da el líquido","OK"))))))</f>
        <v/>
      </c>
      <c r="V2675" s="62" t="str">
        <f aca="false">IF(C2675="","",IFERROR(VALUE(LEFT(UPPER(SUBSTITUTE(SUBSTITUTE(SUBSTITUTE(TRIM(C2675),".",""),"-","")," ","")),LEN(UPPER(SUBSTITUTE(SUBSTITUTE(SUBSTITUTE(TRIM(C2675),".",""),"-","")," ","")))-1))&amp;RIGHT(UPPER(SUBSTITUTE(SUBSTITUTE(SUBSTITUTE(TRIM(C2675),".",""),"-","")," ","")),1),UPPER(SUBSTITUTE(SUBSTITUTE(SUBSTITUTE(TRIM(C2675),".",""),"-","")," ",""))))</f>
        <v/>
      </c>
    </row>
    <row r="2676" customFormat="false" ht="15" hidden="false" customHeight="false" outlineLevel="0" collapsed="false">
      <c r="B2676" s="80"/>
      <c r="C2676" s="58"/>
      <c r="D2676" s="62" t="str">
        <f aca="false">IF(C2676="","",IFERROR(INDEX(T_NOMBRE,MATCH(V2676,T_RUTN,0)),"⚠ RUT no está en Trabajadores"))</f>
        <v/>
      </c>
      <c r="E2676" s="61"/>
      <c r="F2676" s="61"/>
      <c r="G2676" s="61"/>
      <c r="H2676" s="61"/>
      <c r="I2676" s="81"/>
      <c r="J2676" s="81"/>
      <c r="K2676" s="60"/>
      <c r="L2676" s="60"/>
      <c r="M2676" s="60"/>
      <c r="N2676" s="60"/>
      <c r="O2676" s="60"/>
      <c r="P2676" s="60"/>
      <c r="Q2676" s="60"/>
      <c r="R2676" s="58"/>
      <c r="S2676" s="62" t="str">
        <f aca="false">IF(OR(B2676="",V2676=""),"",IFERROR(INDEX(C_TIPO,MATCH(V2676&amp;"-P"&amp;MAX(1,COUNTIFS(C_RUTN,V2676,C_DEF,"Sí",C_INI,"&lt;="&amp;EOMONTH(B2676,0))),C_CLAVE,0))&amp;"","Sin contrato"))</f>
        <v/>
      </c>
      <c r="T2676" s="63" t="str">
        <f aca="false">IF(OR(B2676="",N(O2676)=0),"",N(O2676)+ROUND(MIN(N(N2676),TOPE_UF*UF_MES)*(TASA_EMP+MUTUAL),0)+ROUND(MIN(N(N2676),TOPE_AFC_UF*UF_MES)*IF(S2676="Indefinido",AFC_INDEF,AFC_PF),0))</f>
        <v/>
      </c>
      <c r="U2676" s="62" t="str">
        <f aca="false">IF(C2676="","",IF(LEFT(D2676,1)="⚠","⚠ RUT no registrado en Trabajadores",IF(B2676="","⚠ Falta el mes",IF(OR(ISTEXT(I2676),ISTEXT(J2676)),"⚠ Atrasos u horas extra como texto: escriba hh:mm (ej. 1:30)",IF(AND(ISNUMBER(Q2676),COUNTIFS(M_RUTN,V2676,M_MES,B2676,M_LIQ,"&lt;&gt;")&gt;1),"⚠ Liquidación repetida en el mes",IF(AND(ISNUMBER(O2676),ISNUMBER(P2676),ISNUMBER(Q2676),ABS(O2676-P2676-Q2676)&gt;1),"⚠ Haberes − descuentos no da el líquido","OK"))))))</f>
        <v/>
      </c>
      <c r="V2676" s="62" t="str">
        <f aca="false">IF(C2676="","",IFERROR(VALUE(LEFT(UPPER(SUBSTITUTE(SUBSTITUTE(SUBSTITUTE(TRIM(C2676),".",""),"-","")," ","")),LEN(UPPER(SUBSTITUTE(SUBSTITUTE(SUBSTITUTE(TRIM(C2676),".",""),"-","")," ","")))-1))&amp;RIGHT(UPPER(SUBSTITUTE(SUBSTITUTE(SUBSTITUTE(TRIM(C2676),".",""),"-","")," ","")),1),UPPER(SUBSTITUTE(SUBSTITUTE(SUBSTITUTE(TRIM(C2676),".",""),"-","")," ",""))))</f>
        <v/>
      </c>
    </row>
    <row r="2677" customFormat="false" ht="15" hidden="false" customHeight="false" outlineLevel="0" collapsed="false">
      <c r="B2677" s="80"/>
      <c r="C2677" s="58"/>
      <c r="D2677" s="62" t="str">
        <f aca="false">IF(C2677="","",IFERROR(INDEX(T_NOMBRE,MATCH(V2677,T_RUTN,0)),"⚠ RUT no está en Trabajadores"))</f>
        <v/>
      </c>
      <c r="E2677" s="61"/>
      <c r="F2677" s="61"/>
      <c r="G2677" s="61"/>
      <c r="H2677" s="61"/>
      <c r="I2677" s="81"/>
      <c r="J2677" s="81"/>
      <c r="K2677" s="60"/>
      <c r="L2677" s="60"/>
      <c r="M2677" s="60"/>
      <c r="N2677" s="60"/>
      <c r="O2677" s="60"/>
      <c r="P2677" s="60"/>
      <c r="Q2677" s="60"/>
      <c r="R2677" s="58"/>
      <c r="S2677" s="62" t="str">
        <f aca="false">IF(OR(B2677="",V2677=""),"",IFERROR(INDEX(C_TIPO,MATCH(V2677&amp;"-P"&amp;MAX(1,COUNTIFS(C_RUTN,V2677,C_DEF,"Sí",C_INI,"&lt;="&amp;EOMONTH(B2677,0))),C_CLAVE,0))&amp;"","Sin contrato"))</f>
        <v/>
      </c>
      <c r="T2677" s="63" t="str">
        <f aca="false">IF(OR(B2677="",N(O2677)=0),"",N(O2677)+ROUND(MIN(N(N2677),TOPE_UF*UF_MES)*(TASA_EMP+MUTUAL),0)+ROUND(MIN(N(N2677),TOPE_AFC_UF*UF_MES)*IF(S2677="Indefinido",AFC_INDEF,AFC_PF),0))</f>
        <v/>
      </c>
      <c r="U2677" s="62" t="str">
        <f aca="false">IF(C2677="","",IF(LEFT(D2677,1)="⚠","⚠ RUT no registrado en Trabajadores",IF(B2677="","⚠ Falta el mes",IF(OR(ISTEXT(I2677),ISTEXT(J2677)),"⚠ Atrasos u horas extra como texto: escriba hh:mm (ej. 1:30)",IF(AND(ISNUMBER(Q2677),COUNTIFS(M_RUTN,V2677,M_MES,B2677,M_LIQ,"&lt;&gt;")&gt;1),"⚠ Liquidación repetida en el mes",IF(AND(ISNUMBER(O2677),ISNUMBER(P2677),ISNUMBER(Q2677),ABS(O2677-P2677-Q2677)&gt;1),"⚠ Haberes − descuentos no da el líquido","OK"))))))</f>
        <v/>
      </c>
      <c r="V2677" s="62" t="str">
        <f aca="false">IF(C2677="","",IFERROR(VALUE(LEFT(UPPER(SUBSTITUTE(SUBSTITUTE(SUBSTITUTE(TRIM(C2677),".",""),"-","")," ","")),LEN(UPPER(SUBSTITUTE(SUBSTITUTE(SUBSTITUTE(TRIM(C2677),".",""),"-","")," ","")))-1))&amp;RIGHT(UPPER(SUBSTITUTE(SUBSTITUTE(SUBSTITUTE(TRIM(C2677),".",""),"-","")," ","")),1),UPPER(SUBSTITUTE(SUBSTITUTE(SUBSTITUTE(TRIM(C2677),".",""),"-","")," ",""))))</f>
        <v/>
      </c>
    </row>
    <row r="2678" customFormat="false" ht="15" hidden="false" customHeight="false" outlineLevel="0" collapsed="false">
      <c r="B2678" s="80"/>
      <c r="C2678" s="58"/>
      <c r="D2678" s="62" t="str">
        <f aca="false">IF(C2678="","",IFERROR(INDEX(T_NOMBRE,MATCH(V2678,T_RUTN,0)),"⚠ RUT no está en Trabajadores"))</f>
        <v/>
      </c>
      <c r="E2678" s="61"/>
      <c r="F2678" s="61"/>
      <c r="G2678" s="61"/>
      <c r="H2678" s="61"/>
      <c r="I2678" s="81"/>
      <c r="J2678" s="81"/>
      <c r="K2678" s="60"/>
      <c r="L2678" s="60"/>
      <c r="M2678" s="60"/>
      <c r="N2678" s="60"/>
      <c r="O2678" s="60"/>
      <c r="P2678" s="60"/>
      <c r="Q2678" s="60"/>
      <c r="R2678" s="58"/>
      <c r="S2678" s="62" t="str">
        <f aca="false">IF(OR(B2678="",V2678=""),"",IFERROR(INDEX(C_TIPO,MATCH(V2678&amp;"-P"&amp;MAX(1,COUNTIFS(C_RUTN,V2678,C_DEF,"Sí",C_INI,"&lt;="&amp;EOMONTH(B2678,0))),C_CLAVE,0))&amp;"","Sin contrato"))</f>
        <v/>
      </c>
      <c r="T2678" s="63" t="str">
        <f aca="false">IF(OR(B2678="",N(O2678)=0),"",N(O2678)+ROUND(MIN(N(N2678),TOPE_UF*UF_MES)*(TASA_EMP+MUTUAL),0)+ROUND(MIN(N(N2678),TOPE_AFC_UF*UF_MES)*IF(S2678="Indefinido",AFC_INDEF,AFC_PF),0))</f>
        <v/>
      </c>
      <c r="U2678" s="62" t="str">
        <f aca="false">IF(C2678="","",IF(LEFT(D2678,1)="⚠","⚠ RUT no registrado en Trabajadores",IF(B2678="","⚠ Falta el mes",IF(OR(ISTEXT(I2678),ISTEXT(J2678)),"⚠ Atrasos u horas extra como texto: escriba hh:mm (ej. 1:30)",IF(AND(ISNUMBER(Q2678),COUNTIFS(M_RUTN,V2678,M_MES,B2678,M_LIQ,"&lt;&gt;")&gt;1),"⚠ Liquidación repetida en el mes",IF(AND(ISNUMBER(O2678),ISNUMBER(P2678),ISNUMBER(Q2678),ABS(O2678-P2678-Q2678)&gt;1),"⚠ Haberes − descuentos no da el líquido","OK"))))))</f>
        <v/>
      </c>
      <c r="V2678" s="62" t="str">
        <f aca="false">IF(C2678="","",IFERROR(VALUE(LEFT(UPPER(SUBSTITUTE(SUBSTITUTE(SUBSTITUTE(TRIM(C2678),".",""),"-","")," ","")),LEN(UPPER(SUBSTITUTE(SUBSTITUTE(SUBSTITUTE(TRIM(C2678),".",""),"-","")," ","")))-1))&amp;RIGHT(UPPER(SUBSTITUTE(SUBSTITUTE(SUBSTITUTE(TRIM(C2678),".",""),"-","")," ","")),1),UPPER(SUBSTITUTE(SUBSTITUTE(SUBSTITUTE(TRIM(C2678),".",""),"-","")," ",""))))</f>
        <v/>
      </c>
    </row>
    <row r="2679" customFormat="false" ht="15" hidden="false" customHeight="false" outlineLevel="0" collapsed="false">
      <c r="B2679" s="80"/>
      <c r="C2679" s="58"/>
      <c r="D2679" s="62" t="str">
        <f aca="false">IF(C2679="","",IFERROR(INDEX(T_NOMBRE,MATCH(V2679,T_RUTN,0)),"⚠ RUT no está en Trabajadores"))</f>
        <v/>
      </c>
      <c r="E2679" s="61"/>
      <c r="F2679" s="61"/>
      <c r="G2679" s="61"/>
      <c r="H2679" s="61"/>
      <c r="I2679" s="81"/>
      <c r="J2679" s="81"/>
      <c r="K2679" s="60"/>
      <c r="L2679" s="60"/>
      <c r="M2679" s="60"/>
      <c r="N2679" s="60"/>
      <c r="O2679" s="60"/>
      <c r="P2679" s="60"/>
      <c r="Q2679" s="60"/>
      <c r="R2679" s="58"/>
      <c r="S2679" s="62" t="str">
        <f aca="false">IF(OR(B2679="",V2679=""),"",IFERROR(INDEX(C_TIPO,MATCH(V2679&amp;"-P"&amp;MAX(1,COUNTIFS(C_RUTN,V2679,C_DEF,"Sí",C_INI,"&lt;="&amp;EOMONTH(B2679,0))),C_CLAVE,0))&amp;"","Sin contrato"))</f>
        <v/>
      </c>
      <c r="T2679" s="63" t="str">
        <f aca="false">IF(OR(B2679="",N(O2679)=0),"",N(O2679)+ROUND(MIN(N(N2679),TOPE_UF*UF_MES)*(TASA_EMP+MUTUAL),0)+ROUND(MIN(N(N2679),TOPE_AFC_UF*UF_MES)*IF(S2679="Indefinido",AFC_INDEF,AFC_PF),0))</f>
        <v/>
      </c>
      <c r="U2679" s="62" t="str">
        <f aca="false">IF(C2679="","",IF(LEFT(D2679,1)="⚠","⚠ RUT no registrado en Trabajadores",IF(B2679="","⚠ Falta el mes",IF(OR(ISTEXT(I2679),ISTEXT(J2679)),"⚠ Atrasos u horas extra como texto: escriba hh:mm (ej. 1:30)",IF(AND(ISNUMBER(Q2679),COUNTIFS(M_RUTN,V2679,M_MES,B2679,M_LIQ,"&lt;&gt;")&gt;1),"⚠ Liquidación repetida en el mes",IF(AND(ISNUMBER(O2679),ISNUMBER(P2679),ISNUMBER(Q2679),ABS(O2679-P2679-Q2679)&gt;1),"⚠ Haberes − descuentos no da el líquido","OK"))))))</f>
        <v/>
      </c>
      <c r="V2679" s="62" t="str">
        <f aca="false">IF(C2679="","",IFERROR(VALUE(LEFT(UPPER(SUBSTITUTE(SUBSTITUTE(SUBSTITUTE(TRIM(C2679),".",""),"-","")," ","")),LEN(UPPER(SUBSTITUTE(SUBSTITUTE(SUBSTITUTE(TRIM(C2679),".",""),"-","")," ","")))-1))&amp;RIGHT(UPPER(SUBSTITUTE(SUBSTITUTE(SUBSTITUTE(TRIM(C2679),".",""),"-","")," ","")),1),UPPER(SUBSTITUTE(SUBSTITUTE(SUBSTITUTE(TRIM(C2679),".",""),"-","")," ",""))))</f>
        <v/>
      </c>
    </row>
    <row r="2680" customFormat="false" ht="15" hidden="false" customHeight="false" outlineLevel="0" collapsed="false">
      <c r="B2680" s="80"/>
      <c r="C2680" s="58"/>
      <c r="D2680" s="62" t="str">
        <f aca="false">IF(C2680="","",IFERROR(INDEX(T_NOMBRE,MATCH(V2680,T_RUTN,0)),"⚠ RUT no está en Trabajadores"))</f>
        <v/>
      </c>
      <c r="E2680" s="61"/>
      <c r="F2680" s="61"/>
      <c r="G2680" s="61"/>
      <c r="H2680" s="61"/>
      <c r="I2680" s="81"/>
      <c r="J2680" s="81"/>
      <c r="K2680" s="60"/>
      <c r="L2680" s="60"/>
      <c r="M2680" s="60"/>
      <c r="N2680" s="60"/>
      <c r="O2680" s="60"/>
      <c r="P2680" s="60"/>
      <c r="Q2680" s="60"/>
      <c r="R2680" s="58"/>
      <c r="S2680" s="62" t="str">
        <f aca="false">IF(OR(B2680="",V2680=""),"",IFERROR(INDEX(C_TIPO,MATCH(V2680&amp;"-P"&amp;MAX(1,COUNTIFS(C_RUTN,V2680,C_DEF,"Sí",C_INI,"&lt;="&amp;EOMONTH(B2680,0))),C_CLAVE,0))&amp;"","Sin contrato"))</f>
        <v/>
      </c>
      <c r="T2680" s="63" t="str">
        <f aca="false">IF(OR(B2680="",N(O2680)=0),"",N(O2680)+ROUND(MIN(N(N2680),TOPE_UF*UF_MES)*(TASA_EMP+MUTUAL),0)+ROUND(MIN(N(N2680),TOPE_AFC_UF*UF_MES)*IF(S2680="Indefinido",AFC_INDEF,AFC_PF),0))</f>
        <v/>
      </c>
      <c r="U2680" s="62" t="str">
        <f aca="false">IF(C2680="","",IF(LEFT(D2680,1)="⚠","⚠ RUT no registrado en Trabajadores",IF(B2680="","⚠ Falta el mes",IF(OR(ISTEXT(I2680),ISTEXT(J2680)),"⚠ Atrasos u horas extra como texto: escriba hh:mm (ej. 1:30)",IF(AND(ISNUMBER(Q2680),COUNTIFS(M_RUTN,V2680,M_MES,B2680,M_LIQ,"&lt;&gt;")&gt;1),"⚠ Liquidación repetida en el mes",IF(AND(ISNUMBER(O2680),ISNUMBER(P2680),ISNUMBER(Q2680),ABS(O2680-P2680-Q2680)&gt;1),"⚠ Haberes − descuentos no da el líquido","OK"))))))</f>
        <v/>
      </c>
      <c r="V2680" s="62" t="str">
        <f aca="false">IF(C2680="","",IFERROR(VALUE(LEFT(UPPER(SUBSTITUTE(SUBSTITUTE(SUBSTITUTE(TRIM(C2680),".",""),"-","")," ","")),LEN(UPPER(SUBSTITUTE(SUBSTITUTE(SUBSTITUTE(TRIM(C2680),".",""),"-","")," ","")))-1))&amp;RIGHT(UPPER(SUBSTITUTE(SUBSTITUTE(SUBSTITUTE(TRIM(C2680),".",""),"-","")," ","")),1),UPPER(SUBSTITUTE(SUBSTITUTE(SUBSTITUTE(TRIM(C2680),".",""),"-","")," ",""))))</f>
        <v/>
      </c>
    </row>
    <row r="2681" customFormat="false" ht="15" hidden="false" customHeight="false" outlineLevel="0" collapsed="false">
      <c r="B2681" s="80"/>
      <c r="C2681" s="58"/>
      <c r="D2681" s="62" t="str">
        <f aca="false">IF(C2681="","",IFERROR(INDEX(T_NOMBRE,MATCH(V2681,T_RUTN,0)),"⚠ RUT no está en Trabajadores"))</f>
        <v/>
      </c>
      <c r="E2681" s="61"/>
      <c r="F2681" s="61"/>
      <c r="G2681" s="61"/>
      <c r="H2681" s="61"/>
      <c r="I2681" s="81"/>
      <c r="J2681" s="81"/>
      <c r="K2681" s="60"/>
      <c r="L2681" s="60"/>
      <c r="M2681" s="60"/>
      <c r="N2681" s="60"/>
      <c r="O2681" s="60"/>
      <c r="P2681" s="60"/>
      <c r="Q2681" s="60"/>
      <c r="R2681" s="58"/>
      <c r="S2681" s="62" t="str">
        <f aca="false">IF(OR(B2681="",V2681=""),"",IFERROR(INDEX(C_TIPO,MATCH(V2681&amp;"-P"&amp;MAX(1,COUNTIFS(C_RUTN,V2681,C_DEF,"Sí",C_INI,"&lt;="&amp;EOMONTH(B2681,0))),C_CLAVE,0))&amp;"","Sin contrato"))</f>
        <v/>
      </c>
      <c r="T2681" s="63" t="str">
        <f aca="false">IF(OR(B2681="",N(O2681)=0),"",N(O2681)+ROUND(MIN(N(N2681),TOPE_UF*UF_MES)*(TASA_EMP+MUTUAL),0)+ROUND(MIN(N(N2681),TOPE_AFC_UF*UF_MES)*IF(S2681="Indefinido",AFC_INDEF,AFC_PF),0))</f>
        <v/>
      </c>
      <c r="U2681" s="62" t="str">
        <f aca="false">IF(C2681="","",IF(LEFT(D2681,1)="⚠","⚠ RUT no registrado en Trabajadores",IF(B2681="","⚠ Falta el mes",IF(OR(ISTEXT(I2681),ISTEXT(J2681)),"⚠ Atrasos u horas extra como texto: escriba hh:mm (ej. 1:30)",IF(AND(ISNUMBER(Q2681),COUNTIFS(M_RUTN,V2681,M_MES,B2681,M_LIQ,"&lt;&gt;")&gt;1),"⚠ Liquidación repetida en el mes",IF(AND(ISNUMBER(O2681),ISNUMBER(P2681),ISNUMBER(Q2681),ABS(O2681-P2681-Q2681)&gt;1),"⚠ Haberes − descuentos no da el líquido","OK"))))))</f>
        <v/>
      </c>
      <c r="V2681" s="62" t="str">
        <f aca="false">IF(C2681="","",IFERROR(VALUE(LEFT(UPPER(SUBSTITUTE(SUBSTITUTE(SUBSTITUTE(TRIM(C2681),".",""),"-","")," ","")),LEN(UPPER(SUBSTITUTE(SUBSTITUTE(SUBSTITUTE(TRIM(C2681),".",""),"-","")," ","")))-1))&amp;RIGHT(UPPER(SUBSTITUTE(SUBSTITUTE(SUBSTITUTE(TRIM(C2681),".",""),"-","")," ","")),1),UPPER(SUBSTITUTE(SUBSTITUTE(SUBSTITUTE(TRIM(C2681),".",""),"-","")," ",""))))</f>
        <v/>
      </c>
    </row>
    <row r="2682" customFormat="false" ht="15" hidden="false" customHeight="false" outlineLevel="0" collapsed="false">
      <c r="B2682" s="80"/>
      <c r="C2682" s="58"/>
      <c r="D2682" s="62" t="str">
        <f aca="false">IF(C2682="","",IFERROR(INDEX(T_NOMBRE,MATCH(V2682,T_RUTN,0)),"⚠ RUT no está en Trabajadores"))</f>
        <v/>
      </c>
      <c r="E2682" s="61"/>
      <c r="F2682" s="61"/>
      <c r="G2682" s="61"/>
      <c r="H2682" s="61"/>
      <c r="I2682" s="81"/>
      <c r="J2682" s="81"/>
      <c r="K2682" s="60"/>
      <c r="L2682" s="60"/>
      <c r="M2682" s="60"/>
      <c r="N2682" s="60"/>
      <c r="O2682" s="60"/>
      <c r="P2682" s="60"/>
      <c r="Q2682" s="60"/>
      <c r="R2682" s="58"/>
      <c r="S2682" s="62" t="str">
        <f aca="false">IF(OR(B2682="",V2682=""),"",IFERROR(INDEX(C_TIPO,MATCH(V2682&amp;"-P"&amp;MAX(1,COUNTIFS(C_RUTN,V2682,C_DEF,"Sí",C_INI,"&lt;="&amp;EOMONTH(B2682,0))),C_CLAVE,0))&amp;"","Sin contrato"))</f>
        <v/>
      </c>
      <c r="T2682" s="63" t="str">
        <f aca="false">IF(OR(B2682="",N(O2682)=0),"",N(O2682)+ROUND(MIN(N(N2682),TOPE_UF*UF_MES)*(TASA_EMP+MUTUAL),0)+ROUND(MIN(N(N2682),TOPE_AFC_UF*UF_MES)*IF(S2682="Indefinido",AFC_INDEF,AFC_PF),0))</f>
        <v/>
      </c>
      <c r="U2682" s="62" t="str">
        <f aca="false">IF(C2682="","",IF(LEFT(D2682,1)="⚠","⚠ RUT no registrado en Trabajadores",IF(B2682="","⚠ Falta el mes",IF(OR(ISTEXT(I2682),ISTEXT(J2682)),"⚠ Atrasos u horas extra como texto: escriba hh:mm (ej. 1:30)",IF(AND(ISNUMBER(Q2682),COUNTIFS(M_RUTN,V2682,M_MES,B2682,M_LIQ,"&lt;&gt;")&gt;1),"⚠ Liquidación repetida en el mes",IF(AND(ISNUMBER(O2682),ISNUMBER(P2682),ISNUMBER(Q2682),ABS(O2682-P2682-Q2682)&gt;1),"⚠ Haberes − descuentos no da el líquido","OK"))))))</f>
        <v/>
      </c>
      <c r="V2682" s="62" t="str">
        <f aca="false">IF(C2682="","",IFERROR(VALUE(LEFT(UPPER(SUBSTITUTE(SUBSTITUTE(SUBSTITUTE(TRIM(C2682),".",""),"-","")," ","")),LEN(UPPER(SUBSTITUTE(SUBSTITUTE(SUBSTITUTE(TRIM(C2682),".",""),"-","")," ","")))-1))&amp;RIGHT(UPPER(SUBSTITUTE(SUBSTITUTE(SUBSTITUTE(TRIM(C2682),".",""),"-","")," ","")),1),UPPER(SUBSTITUTE(SUBSTITUTE(SUBSTITUTE(TRIM(C2682),".",""),"-","")," ",""))))</f>
        <v/>
      </c>
    </row>
    <row r="2683" customFormat="false" ht="15" hidden="false" customHeight="false" outlineLevel="0" collapsed="false">
      <c r="B2683" s="80"/>
      <c r="C2683" s="58"/>
      <c r="D2683" s="62" t="str">
        <f aca="false">IF(C2683="","",IFERROR(INDEX(T_NOMBRE,MATCH(V2683,T_RUTN,0)),"⚠ RUT no está en Trabajadores"))</f>
        <v/>
      </c>
      <c r="E2683" s="61"/>
      <c r="F2683" s="61"/>
      <c r="G2683" s="61"/>
      <c r="H2683" s="61"/>
      <c r="I2683" s="81"/>
      <c r="J2683" s="81"/>
      <c r="K2683" s="60"/>
      <c r="L2683" s="60"/>
      <c r="M2683" s="60"/>
      <c r="N2683" s="60"/>
      <c r="O2683" s="60"/>
      <c r="P2683" s="60"/>
      <c r="Q2683" s="60"/>
      <c r="R2683" s="58"/>
      <c r="S2683" s="62" t="str">
        <f aca="false">IF(OR(B2683="",V2683=""),"",IFERROR(INDEX(C_TIPO,MATCH(V2683&amp;"-P"&amp;MAX(1,COUNTIFS(C_RUTN,V2683,C_DEF,"Sí",C_INI,"&lt;="&amp;EOMONTH(B2683,0))),C_CLAVE,0))&amp;"","Sin contrato"))</f>
        <v/>
      </c>
      <c r="T2683" s="63" t="str">
        <f aca="false">IF(OR(B2683="",N(O2683)=0),"",N(O2683)+ROUND(MIN(N(N2683),TOPE_UF*UF_MES)*(TASA_EMP+MUTUAL),0)+ROUND(MIN(N(N2683),TOPE_AFC_UF*UF_MES)*IF(S2683="Indefinido",AFC_INDEF,AFC_PF),0))</f>
        <v/>
      </c>
      <c r="U2683" s="62" t="str">
        <f aca="false">IF(C2683="","",IF(LEFT(D2683,1)="⚠","⚠ RUT no registrado en Trabajadores",IF(B2683="","⚠ Falta el mes",IF(OR(ISTEXT(I2683),ISTEXT(J2683)),"⚠ Atrasos u horas extra como texto: escriba hh:mm (ej. 1:30)",IF(AND(ISNUMBER(Q2683),COUNTIFS(M_RUTN,V2683,M_MES,B2683,M_LIQ,"&lt;&gt;")&gt;1),"⚠ Liquidación repetida en el mes",IF(AND(ISNUMBER(O2683),ISNUMBER(P2683),ISNUMBER(Q2683),ABS(O2683-P2683-Q2683)&gt;1),"⚠ Haberes − descuentos no da el líquido","OK"))))))</f>
        <v/>
      </c>
      <c r="V2683" s="62" t="str">
        <f aca="false">IF(C2683="","",IFERROR(VALUE(LEFT(UPPER(SUBSTITUTE(SUBSTITUTE(SUBSTITUTE(TRIM(C2683),".",""),"-","")," ","")),LEN(UPPER(SUBSTITUTE(SUBSTITUTE(SUBSTITUTE(TRIM(C2683),".",""),"-","")," ","")))-1))&amp;RIGHT(UPPER(SUBSTITUTE(SUBSTITUTE(SUBSTITUTE(TRIM(C2683),".",""),"-","")," ","")),1),UPPER(SUBSTITUTE(SUBSTITUTE(SUBSTITUTE(TRIM(C2683),".",""),"-","")," ",""))))</f>
        <v/>
      </c>
    </row>
    <row r="2684" customFormat="false" ht="15" hidden="false" customHeight="false" outlineLevel="0" collapsed="false">
      <c r="B2684" s="80"/>
      <c r="C2684" s="58"/>
      <c r="D2684" s="62" t="str">
        <f aca="false">IF(C2684="","",IFERROR(INDEX(T_NOMBRE,MATCH(V2684,T_RUTN,0)),"⚠ RUT no está en Trabajadores"))</f>
        <v/>
      </c>
      <c r="E2684" s="61"/>
      <c r="F2684" s="61"/>
      <c r="G2684" s="61"/>
      <c r="H2684" s="61"/>
      <c r="I2684" s="81"/>
      <c r="J2684" s="81"/>
      <c r="K2684" s="60"/>
      <c r="L2684" s="60"/>
      <c r="M2684" s="60"/>
      <c r="N2684" s="60"/>
      <c r="O2684" s="60"/>
      <c r="P2684" s="60"/>
      <c r="Q2684" s="60"/>
      <c r="R2684" s="58"/>
      <c r="S2684" s="62" t="str">
        <f aca="false">IF(OR(B2684="",V2684=""),"",IFERROR(INDEX(C_TIPO,MATCH(V2684&amp;"-P"&amp;MAX(1,COUNTIFS(C_RUTN,V2684,C_DEF,"Sí",C_INI,"&lt;="&amp;EOMONTH(B2684,0))),C_CLAVE,0))&amp;"","Sin contrato"))</f>
        <v/>
      </c>
      <c r="T2684" s="63" t="str">
        <f aca="false">IF(OR(B2684="",N(O2684)=0),"",N(O2684)+ROUND(MIN(N(N2684),TOPE_UF*UF_MES)*(TASA_EMP+MUTUAL),0)+ROUND(MIN(N(N2684),TOPE_AFC_UF*UF_MES)*IF(S2684="Indefinido",AFC_INDEF,AFC_PF),0))</f>
        <v/>
      </c>
      <c r="U2684" s="62" t="str">
        <f aca="false">IF(C2684="","",IF(LEFT(D2684,1)="⚠","⚠ RUT no registrado en Trabajadores",IF(B2684="","⚠ Falta el mes",IF(OR(ISTEXT(I2684),ISTEXT(J2684)),"⚠ Atrasos u horas extra como texto: escriba hh:mm (ej. 1:30)",IF(AND(ISNUMBER(Q2684),COUNTIFS(M_RUTN,V2684,M_MES,B2684,M_LIQ,"&lt;&gt;")&gt;1),"⚠ Liquidación repetida en el mes",IF(AND(ISNUMBER(O2684),ISNUMBER(P2684),ISNUMBER(Q2684),ABS(O2684-P2684-Q2684)&gt;1),"⚠ Haberes − descuentos no da el líquido","OK"))))))</f>
        <v/>
      </c>
      <c r="V2684" s="62" t="str">
        <f aca="false">IF(C2684="","",IFERROR(VALUE(LEFT(UPPER(SUBSTITUTE(SUBSTITUTE(SUBSTITUTE(TRIM(C2684),".",""),"-","")," ","")),LEN(UPPER(SUBSTITUTE(SUBSTITUTE(SUBSTITUTE(TRIM(C2684),".",""),"-","")," ","")))-1))&amp;RIGHT(UPPER(SUBSTITUTE(SUBSTITUTE(SUBSTITUTE(TRIM(C2684),".",""),"-","")," ","")),1),UPPER(SUBSTITUTE(SUBSTITUTE(SUBSTITUTE(TRIM(C2684),".",""),"-","")," ",""))))</f>
        <v/>
      </c>
    </row>
    <row r="2685" customFormat="false" ht="15" hidden="false" customHeight="false" outlineLevel="0" collapsed="false">
      <c r="B2685" s="80"/>
      <c r="C2685" s="58"/>
      <c r="D2685" s="62" t="str">
        <f aca="false">IF(C2685="","",IFERROR(INDEX(T_NOMBRE,MATCH(V2685,T_RUTN,0)),"⚠ RUT no está en Trabajadores"))</f>
        <v/>
      </c>
      <c r="E2685" s="61"/>
      <c r="F2685" s="61"/>
      <c r="G2685" s="61"/>
      <c r="H2685" s="61"/>
      <c r="I2685" s="81"/>
      <c r="J2685" s="81"/>
      <c r="K2685" s="60"/>
      <c r="L2685" s="60"/>
      <c r="M2685" s="60"/>
      <c r="N2685" s="60"/>
      <c r="O2685" s="60"/>
      <c r="P2685" s="60"/>
      <c r="Q2685" s="60"/>
      <c r="R2685" s="58"/>
      <c r="S2685" s="62" t="str">
        <f aca="false">IF(OR(B2685="",V2685=""),"",IFERROR(INDEX(C_TIPO,MATCH(V2685&amp;"-P"&amp;MAX(1,COUNTIFS(C_RUTN,V2685,C_DEF,"Sí",C_INI,"&lt;="&amp;EOMONTH(B2685,0))),C_CLAVE,0))&amp;"","Sin contrato"))</f>
        <v/>
      </c>
      <c r="T2685" s="63" t="str">
        <f aca="false">IF(OR(B2685="",N(O2685)=0),"",N(O2685)+ROUND(MIN(N(N2685),TOPE_UF*UF_MES)*(TASA_EMP+MUTUAL),0)+ROUND(MIN(N(N2685),TOPE_AFC_UF*UF_MES)*IF(S2685="Indefinido",AFC_INDEF,AFC_PF),0))</f>
        <v/>
      </c>
      <c r="U2685" s="62" t="str">
        <f aca="false">IF(C2685="","",IF(LEFT(D2685,1)="⚠","⚠ RUT no registrado en Trabajadores",IF(B2685="","⚠ Falta el mes",IF(OR(ISTEXT(I2685),ISTEXT(J2685)),"⚠ Atrasos u horas extra como texto: escriba hh:mm (ej. 1:30)",IF(AND(ISNUMBER(Q2685),COUNTIFS(M_RUTN,V2685,M_MES,B2685,M_LIQ,"&lt;&gt;")&gt;1),"⚠ Liquidación repetida en el mes",IF(AND(ISNUMBER(O2685),ISNUMBER(P2685),ISNUMBER(Q2685),ABS(O2685-P2685-Q2685)&gt;1),"⚠ Haberes − descuentos no da el líquido","OK"))))))</f>
        <v/>
      </c>
      <c r="V2685" s="62" t="str">
        <f aca="false">IF(C2685="","",IFERROR(VALUE(LEFT(UPPER(SUBSTITUTE(SUBSTITUTE(SUBSTITUTE(TRIM(C2685),".",""),"-","")," ","")),LEN(UPPER(SUBSTITUTE(SUBSTITUTE(SUBSTITUTE(TRIM(C2685),".",""),"-","")," ","")))-1))&amp;RIGHT(UPPER(SUBSTITUTE(SUBSTITUTE(SUBSTITUTE(TRIM(C2685),".",""),"-","")," ","")),1),UPPER(SUBSTITUTE(SUBSTITUTE(SUBSTITUTE(TRIM(C2685),".",""),"-","")," ",""))))</f>
        <v/>
      </c>
    </row>
    <row r="2686" customFormat="false" ht="15" hidden="false" customHeight="false" outlineLevel="0" collapsed="false">
      <c r="B2686" s="80"/>
      <c r="C2686" s="58"/>
      <c r="D2686" s="62" t="str">
        <f aca="false">IF(C2686="","",IFERROR(INDEX(T_NOMBRE,MATCH(V2686,T_RUTN,0)),"⚠ RUT no está en Trabajadores"))</f>
        <v/>
      </c>
      <c r="E2686" s="61"/>
      <c r="F2686" s="61"/>
      <c r="G2686" s="61"/>
      <c r="H2686" s="61"/>
      <c r="I2686" s="81"/>
      <c r="J2686" s="81"/>
      <c r="K2686" s="60"/>
      <c r="L2686" s="60"/>
      <c r="M2686" s="60"/>
      <c r="N2686" s="60"/>
      <c r="O2686" s="60"/>
      <c r="P2686" s="60"/>
      <c r="Q2686" s="60"/>
      <c r="R2686" s="58"/>
      <c r="S2686" s="62" t="str">
        <f aca="false">IF(OR(B2686="",V2686=""),"",IFERROR(INDEX(C_TIPO,MATCH(V2686&amp;"-P"&amp;MAX(1,COUNTIFS(C_RUTN,V2686,C_DEF,"Sí",C_INI,"&lt;="&amp;EOMONTH(B2686,0))),C_CLAVE,0))&amp;"","Sin contrato"))</f>
        <v/>
      </c>
      <c r="T2686" s="63" t="str">
        <f aca="false">IF(OR(B2686="",N(O2686)=0),"",N(O2686)+ROUND(MIN(N(N2686),TOPE_UF*UF_MES)*(TASA_EMP+MUTUAL),0)+ROUND(MIN(N(N2686),TOPE_AFC_UF*UF_MES)*IF(S2686="Indefinido",AFC_INDEF,AFC_PF),0))</f>
        <v/>
      </c>
      <c r="U2686" s="62" t="str">
        <f aca="false">IF(C2686="","",IF(LEFT(D2686,1)="⚠","⚠ RUT no registrado en Trabajadores",IF(B2686="","⚠ Falta el mes",IF(OR(ISTEXT(I2686),ISTEXT(J2686)),"⚠ Atrasos u horas extra como texto: escriba hh:mm (ej. 1:30)",IF(AND(ISNUMBER(Q2686),COUNTIFS(M_RUTN,V2686,M_MES,B2686,M_LIQ,"&lt;&gt;")&gt;1),"⚠ Liquidación repetida en el mes",IF(AND(ISNUMBER(O2686),ISNUMBER(P2686),ISNUMBER(Q2686),ABS(O2686-P2686-Q2686)&gt;1),"⚠ Haberes − descuentos no da el líquido","OK"))))))</f>
        <v/>
      </c>
      <c r="V2686" s="62" t="str">
        <f aca="false">IF(C2686="","",IFERROR(VALUE(LEFT(UPPER(SUBSTITUTE(SUBSTITUTE(SUBSTITUTE(TRIM(C2686),".",""),"-","")," ","")),LEN(UPPER(SUBSTITUTE(SUBSTITUTE(SUBSTITUTE(TRIM(C2686),".",""),"-","")," ","")))-1))&amp;RIGHT(UPPER(SUBSTITUTE(SUBSTITUTE(SUBSTITUTE(TRIM(C2686),".",""),"-","")," ","")),1),UPPER(SUBSTITUTE(SUBSTITUTE(SUBSTITUTE(TRIM(C2686),".",""),"-","")," ",""))))</f>
        <v/>
      </c>
    </row>
    <row r="2687" customFormat="false" ht="15" hidden="false" customHeight="false" outlineLevel="0" collapsed="false">
      <c r="B2687" s="80"/>
      <c r="C2687" s="58"/>
      <c r="D2687" s="62" t="str">
        <f aca="false">IF(C2687="","",IFERROR(INDEX(T_NOMBRE,MATCH(V2687,T_RUTN,0)),"⚠ RUT no está en Trabajadores"))</f>
        <v/>
      </c>
      <c r="E2687" s="61"/>
      <c r="F2687" s="61"/>
      <c r="G2687" s="61"/>
      <c r="H2687" s="61"/>
      <c r="I2687" s="81"/>
      <c r="J2687" s="81"/>
      <c r="K2687" s="60"/>
      <c r="L2687" s="60"/>
      <c r="M2687" s="60"/>
      <c r="N2687" s="60"/>
      <c r="O2687" s="60"/>
      <c r="P2687" s="60"/>
      <c r="Q2687" s="60"/>
      <c r="R2687" s="58"/>
      <c r="S2687" s="62" t="str">
        <f aca="false">IF(OR(B2687="",V2687=""),"",IFERROR(INDEX(C_TIPO,MATCH(V2687&amp;"-P"&amp;MAX(1,COUNTIFS(C_RUTN,V2687,C_DEF,"Sí",C_INI,"&lt;="&amp;EOMONTH(B2687,0))),C_CLAVE,0))&amp;"","Sin contrato"))</f>
        <v/>
      </c>
      <c r="T2687" s="63" t="str">
        <f aca="false">IF(OR(B2687="",N(O2687)=0),"",N(O2687)+ROUND(MIN(N(N2687),TOPE_UF*UF_MES)*(TASA_EMP+MUTUAL),0)+ROUND(MIN(N(N2687),TOPE_AFC_UF*UF_MES)*IF(S2687="Indefinido",AFC_INDEF,AFC_PF),0))</f>
        <v/>
      </c>
      <c r="U2687" s="62" t="str">
        <f aca="false">IF(C2687="","",IF(LEFT(D2687,1)="⚠","⚠ RUT no registrado en Trabajadores",IF(B2687="","⚠ Falta el mes",IF(OR(ISTEXT(I2687),ISTEXT(J2687)),"⚠ Atrasos u horas extra como texto: escriba hh:mm (ej. 1:30)",IF(AND(ISNUMBER(Q2687),COUNTIFS(M_RUTN,V2687,M_MES,B2687,M_LIQ,"&lt;&gt;")&gt;1),"⚠ Liquidación repetida en el mes",IF(AND(ISNUMBER(O2687),ISNUMBER(P2687),ISNUMBER(Q2687),ABS(O2687-P2687-Q2687)&gt;1),"⚠ Haberes − descuentos no da el líquido","OK"))))))</f>
        <v/>
      </c>
      <c r="V2687" s="62" t="str">
        <f aca="false">IF(C2687="","",IFERROR(VALUE(LEFT(UPPER(SUBSTITUTE(SUBSTITUTE(SUBSTITUTE(TRIM(C2687),".",""),"-","")," ","")),LEN(UPPER(SUBSTITUTE(SUBSTITUTE(SUBSTITUTE(TRIM(C2687),".",""),"-","")," ","")))-1))&amp;RIGHT(UPPER(SUBSTITUTE(SUBSTITUTE(SUBSTITUTE(TRIM(C2687),".",""),"-","")," ","")),1),UPPER(SUBSTITUTE(SUBSTITUTE(SUBSTITUTE(TRIM(C2687),".",""),"-","")," ",""))))</f>
        <v/>
      </c>
    </row>
    <row r="2688" customFormat="false" ht="15" hidden="false" customHeight="false" outlineLevel="0" collapsed="false">
      <c r="B2688" s="80"/>
      <c r="C2688" s="58"/>
      <c r="D2688" s="62" t="str">
        <f aca="false">IF(C2688="","",IFERROR(INDEX(T_NOMBRE,MATCH(V2688,T_RUTN,0)),"⚠ RUT no está en Trabajadores"))</f>
        <v/>
      </c>
      <c r="E2688" s="61"/>
      <c r="F2688" s="61"/>
      <c r="G2688" s="61"/>
      <c r="H2688" s="61"/>
      <c r="I2688" s="81"/>
      <c r="J2688" s="81"/>
      <c r="K2688" s="60"/>
      <c r="L2688" s="60"/>
      <c r="M2688" s="60"/>
      <c r="N2688" s="60"/>
      <c r="O2688" s="60"/>
      <c r="P2688" s="60"/>
      <c r="Q2688" s="60"/>
      <c r="R2688" s="58"/>
      <c r="S2688" s="62" t="str">
        <f aca="false">IF(OR(B2688="",V2688=""),"",IFERROR(INDEX(C_TIPO,MATCH(V2688&amp;"-P"&amp;MAX(1,COUNTIFS(C_RUTN,V2688,C_DEF,"Sí",C_INI,"&lt;="&amp;EOMONTH(B2688,0))),C_CLAVE,0))&amp;"","Sin contrato"))</f>
        <v/>
      </c>
      <c r="T2688" s="63" t="str">
        <f aca="false">IF(OR(B2688="",N(O2688)=0),"",N(O2688)+ROUND(MIN(N(N2688),TOPE_UF*UF_MES)*(TASA_EMP+MUTUAL),0)+ROUND(MIN(N(N2688),TOPE_AFC_UF*UF_MES)*IF(S2688="Indefinido",AFC_INDEF,AFC_PF),0))</f>
        <v/>
      </c>
      <c r="U2688" s="62" t="str">
        <f aca="false">IF(C2688="","",IF(LEFT(D2688,1)="⚠","⚠ RUT no registrado en Trabajadores",IF(B2688="","⚠ Falta el mes",IF(OR(ISTEXT(I2688),ISTEXT(J2688)),"⚠ Atrasos u horas extra como texto: escriba hh:mm (ej. 1:30)",IF(AND(ISNUMBER(Q2688),COUNTIFS(M_RUTN,V2688,M_MES,B2688,M_LIQ,"&lt;&gt;")&gt;1),"⚠ Liquidación repetida en el mes",IF(AND(ISNUMBER(O2688),ISNUMBER(P2688),ISNUMBER(Q2688),ABS(O2688-P2688-Q2688)&gt;1),"⚠ Haberes − descuentos no da el líquido","OK"))))))</f>
        <v/>
      </c>
      <c r="V2688" s="62" t="str">
        <f aca="false">IF(C2688="","",IFERROR(VALUE(LEFT(UPPER(SUBSTITUTE(SUBSTITUTE(SUBSTITUTE(TRIM(C2688),".",""),"-","")," ","")),LEN(UPPER(SUBSTITUTE(SUBSTITUTE(SUBSTITUTE(TRIM(C2688),".",""),"-","")," ","")))-1))&amp;RIGHT(UPPER(SUBSTITUTE(SUBSTITUTE(SUBSTITUTE(TRIM(C2688),".",""),"-","")," ","")),1),UPPER(SUBSTITUTE(SUBSTITUTE(SUBSTITUTE(TRIM(C2688),".",""),"-","")," ",""))))</f>
        <v/>
      </c>
    </row>
    <row r="2689" customFormat="false" ht="15" hidden="false" customHeight="false" outlineLevel="0" collapsed="false">
      <c r="B2689" s="80"/>
      <c r="C2689" s="58"/>
      <c r="D2689" s="62" t="str">
        <f aca="false">IF(C2689="","",IFERROR(INDEX(T_NOMBRE,MATCH(V2689,T_RUTN,0)),"⚠ RUT no está en Trabajadores"))</f>
        <v/>
      </c>
      <c r="E2689" s="61"/>
      <c r="F2689" s="61"/>
      <c r="G2689" s="61"/>
      <c r="H2689" s="61"/>
      <c r="I2689" s="81"/>
      <c r="J2689" s="81"/>
      <c r="K2689" s="60"/>
      <c r="L2689" s="60"/>
      <c r="M2689" s="60"/>
      <c r="N2689" s="60"/>
      <c r="O2689" s="60"/>
      <c r="P2689" s="60"/>
      <c r="Q2689" s="60"/>
      <c r="R2689" s="58"/>
      <c r="S2689" s="62" t="str">
        <f aca="false">IF(OR(B2689="",V2689=""),"",IFERROR(INDEX(C_TIPO,MATCH(V2689&amp;"-P"&amp;MAX(1,COUNTIFS(C_RUTN,V2689,C_DEF,"Sí",C_INI,"&lt;="&amp;EOMONTH(B2689,0))),C_CLAVE,0))&amp;"","Sin contrato"))</f>
        <v/>
      </c>
      <c r="T2689" s="63" t="str">
        <f aca="false">IF(OR(B2689="",N(O2689)=0),"",N(O2689)+ROUND(MIN(N(N2689),TOPE_UF*UF_MES)*(TASA_EMP+MUTUAL),0)+ROUND(MIN(N(N2689),TOPE_AFC_UF*UF_MES)*IF(S2689="Indefinido",AFC_INDEF,AFC_PF),0))</f>
        <v/>
      </c>
      <c r="U2689" s="62" t="str">
        <f aca="false">IF(C2689="","",IF(LEFT(D2689,1)="⚠","⚠ RUT no registrado en Trabajadores",IF(B2689="","⚠ Falta el mes",IF(OR(ISTEXT(I2689),ISTEXT(J2689)),"⚠ Atrasos u horas extra como texto: escriba hh:mm (ej. 1:30)",IF(AND(ISNUMBER(Q2689),COUNTIFS(M_RUTN,V2689,M_MES,B2689,M_LIQ,"&lt;&gt;")&gt;1),"⚠ Liquidación repetida en el mes",IF(AND(ISNUMBER(O2689),ISNUMBER(P2689),ISNUMBER(Q2689),ABS(O2689-P2689-Q2689)&gt;1),"⚠ Haberes − descuentos no da el líquido","OK"))))))</f>
        <v/>
      </c>
      <c r="V2689" s="62" t="str">
        <f aca="false">IF(C2689="","",IFERROR(VALUE(LEFT(UPPER(SUBSTITUTE(SUBSTITUTE(SUBSTITUTE(TRIM(C2689),".",""),"-","")," ","")),LEN(UPPER(SUBSTITUTE(SUBSTITUTE(SUBSTITUTE(TRIM(C2689),".",""),"-","")," ","")))-1))&amp;RIGHT(UPPER(SUBSTITUTE(SUBSTITUTE(SUBSTITUTE(TRIM(C2689),".",""),"-","")," ","")),1),UPPER(SUBSTITUTE(SUBSTITUTE(SUBSTITUTE(TRIM(C2689),".",""),"-","")," ",""))))</f>
        <v/>
      </c>
    </row>
    <row r="2690" customFormat="false" ht="15" hidden="false" customHeight="false" outlineLevel="0" collapsed="false">
      <c r="B2690" s="80"/>
      <c r="C2690" s="58"/>
      <c r="D2690" s="62" t="str">
        <f aca="false">IF(C2690="","",IFERROR(INDEX(T_NOMBRE,MATCH(V2690,T_RUTN,0)),"⚠ RUT no está en Trabajadores"))</f>
        <v/>
      </c>
      <c r="E2690" s="61"/>
      <c r="F2690" s="61"/>
      <c r="G2690" s="61"/>
      <c r="H2690" s="61"/>
      <c r="I2690" s="81"/>
      <c r="J2690" s="81"/>
      <c r="K2690" s="60"/>
      <c r="L2690" s="60"/>
      <c r="M2690" s="60"/>
      <c r="N2690" s="60"/>
      <c r="O2690" s="60"/>
      <c r="P2690" s="60"/>
      <c r="Q2690" s="60"/>
      <c r="R2690" s="58"/>
      <c r="S2690" s="62" t="str">
        <f aca="false">IF(OR(B2690="",V2690=""),"",IFERROR(INDEX(C_TIPO,MATCH(V2690&amp;"-P"&amp;MAX(1,COUNTIFS(C_RUTN,V2690,C_DEF,"Sí",C_INI,"&lt;="&amp;EOMONTH(B2690,0))),C_CLAVE,0))&amp;"","Sin contrato"))</f>
        <v/>
      </c>
      <c r="T2690" s="63" t="str">
        <f aca="false">IF(OR(B2690="",N(O2690)=0),"",N(O2690)+ROUND(MIN(N(N2690),TOPE_UF*UF_MES)*(TASA_EMP+MUTUAL),0)+ROUND(MIN(N(N2690),TOPE_AFC_UF*UF_MES)*IF(S2690="Indefinido",AFC_INDEF,AFC_PF),0))</f>
        <v/>
      </c>
      <c r="U2690" s="62" t="str">
        <f aca="false">IF(C2690="","",IF(LEFT(D2690,1)="⚠","⚠ RUT no registrado en Trabajadores",IF(B2690="","⚠ Falta el mes",IF(OR(ISTEXT(I2690),ISTEXT(J2690)),"⚠ Atrasos u horas extra como texto: escriba hh:mm (ej. 1:30)",IF(AND(ISNUMBER(Q2690),COUNTIFS(M_RUTN,V2690,M_MES,B2690,M_LIQ,"&lt;&gt;")&gt;1),"⚠ Liquidación repetida en el mes",IF(AND(ISNUMBER(O2690),ISNUMBER(P2690),ISNUMBER(Q2690),ABS(O2690-P2690-Q2690)&gt;1),"⚠ Haberes − descuentos no da el líquido","OK"))))))</f>
        <v/>
      </c>
      <c r="V2690" s="62" t="str">
        <f aca="false">IF(C2690="","",IFERROR(VALUE(LEFT(UPPER(SUBSTITUTE(SUBSTITUTE(SUBSTITUTE(TRIM(C2690),".",""),"-","")," ","")),LEN(UPPER(SUBSTITUTE(SUBSTITUTE(SUBSTITUTE(TRIM(C2690),".",""),"-","")," ","")))-1))&amp;RIGHT(UPPER(SUBSTITUTE(SUBSTITUTE(SUBSTITUTE(TRIM(C2690),".",""),"-","")," ","")),1),UPPER(SUBSTITUTE(SUBSTITUTE(SUBSTITUTE(TRIM(C2690),".",""),"-","")," ",""))))</f>
        <v/>
      </c>
    </row>
    <row r="2691" customFormat="false" ht="15" hidden="false" customHeight="false" outlineLevel="0" collapsed="false">
      <c r="B2691" s="80"/>
      <c r="C2691" s="58"/>
      <c r="D2691" s="62" t="str">
        <f aca="false">IF(C2691="","",IFERROR(INDEX(T_NOMBRE,MATCH(V2691,T_RUTN,0)),"⚠ RUT no está en Trabajadores"))</f>
        <v/>
      </c>
      <c r="E2691" s="61"/>
      <c r="F2691" s="61"/>
      <c r="G2691" s="61"/>
      <c r="H2691" s="61"/>
      <c r="I2691" s="81"/>
      <c r="J2691" s="81"/>
      <c r="K2691" s="60"/>
      <c r="L2691" s="60"/>
      <c r="M2691" s="60"/>
      <c r="N2691" s="60"/>
      <c r="O2691" s="60"/>
      <c r="P2691" s="60"/>
      <c r="Q2691" s="60"/>
      <c r="R2691" s="58"/>
      <c r="S2691" s="62" t="str">
        <f aca="false">IF(OR(B2691="",V2691=""),"",IFERROR(INDEX(C_TIPO,MATCH(V2691&amp;"-P"&amp;MAX(1,COUNTIFS(C_RUTN,V2691,C_DEF,"Sí",C_INI,"&lt;="&amp;EOMONTH(B2691,0))),C_CLAVE,0))&amp;"","Sin contrato"))</f>
        <v/>
      </c>
      <c r="T2691" s="63" t="str">
        <f aca="false">IF(OR(B2691="",N(O2691)=0),"",N(O2691)+ROUND(MIN(N(N2691),TOPE_UF*UF_MES)*(TASA_EMP+MUTUAL),0)+ROUND(MIN(N(N2691),TOPE_AFC_UF*UF_MES)*IF(S2691="Indefinido",AFC_INDEF,AFC_PF),0))</f>
        <v/>
      </c>
      <c r="U2691" s="62" t="str">
        <f aca="false">IF(C2691="","",IF(LEFT(D2691,1)="⚠","⚠ RUT no registrado en Trabajadores",IF(B2691="","⚠ Falta el mes",IF(OR(ISTEXT(I2691),ISTEXT(J2691)),"⚠ Atrasos u horas extra como texto: escriba hh:mm (ej. 1:30)",IF(AND(ISNUMBER(Q2691),COUNTIFS(M_RUTN,V2691,M_MES,B2691,M_LIQ,"&lt;&gt;")&gt;1),"⚠ Liquidación repetida en el mes",IF(AND(ISNUMBER(O2691),ISNUMBER(P2691),ISNUMBER(Q2691),ABS(O2691-P2691-Q2691)&gt;1),"⚠ Haberes − descuentos no da el líquido","OK"))))))</f>
        <v/>
      </c>
      <c r="V2691" s="62" t="str">
        <f aca="false">IF(C2691="","",IFERROR(VALUE(LEFT(UPPER(SUBSTITUTE(SUBSTITUTE(SUBSTITUTE(TRIM(C2691),".",""),"-","")," ","")),LEN(UPPER(SUBSTITUTE(SUBSTITUTE(SUBSTITUTE(TRIM(C2691),".",""),"-","")," ","")))-1))&amp;RIGHT(UPPER(SUBSTITUTE(SUBSTITUTE(SUBSTITUTE(TRIM(C2691),".",""),"-","")," ","")),1),UPPER(SUBSTITUTE(SUBSTITUTE(SUBSTITUTE(TRIM(C2691),".",""),"-","")," ",""))))</f>
        <v/>
      </c>
    </row>
    <row r="2692" customFormat="false" ht="15" hidden="false" customHeight="false" outlineLevel="0" collapsed="false">
      <c r="B2692" s="80"/>
      <c r="C2692" s="58"/>
      <c r="D2692" s="62" t="str">
        <f aca="false">IF(C2692="","",IFERROR(INDEX(T_NOMBRE,MATCH(V2692,T_RUTN,0)),"⚠ RUT no está en Trabajadores"))</f>
        <v/>
      </c>
      <c r="E2692" s="61"/>
      <c r="F2692" s="61"/>
      <c r="G2692" s="61"/>
      <c r="H2692" s="61"/>
      <c r="I2692" s="81"/>
      <c r="J2692" s="81"/>
      <c r="K2692" s="60"/>
      <c r="L2692" s="60"/>
      <c r="M2692" s="60"/>
      <c r="N2692" s="60"/>
      <c r="O2692" s="60"/>
      <c r="P2692" s="60"/>
      <c r="Q2692" s="60"/>
      <c r="R2692" s="58"/>
      <c r="S2692" s="62" t="str">
        <f aca="false">IF(OR(B2692="",V2692=""),"",IFERROR(INDEX(C_TIPO,MATCH(V2692&amp;"-P"&amp;MAX(1,COUNTIFS(C_RUTN,V2692,C_DEF,"Sí",C_INI,"&lt;="&amp;EOMONTH(B2692,0))),C_CLAVE,0))&amp;"","Sin contrato"))</f>
        <v/>
      </c>
      <c r="T2692" s="63" t="str">
        <f aca="false">IF(OR(B2692="",N(O2692)=0),"",N(O2692)+ROUND(MIN(N(N2692),TOPE_UF*UF_MES)*(TASA_EMP+MUTUAL),0)+ROUND(MIN(N(N2692),TOPE_AFC_UF*UF_MES)*IF(S2692="Indefinido",AFC_INDEF,AFC_PF),0))</f>
        <v/>
      </c>
      <c r="U2692" s="62" t="str">
        <f aca="false">IF(C2692="","",IF(LEFT(D2692,1)="⚠","⚠ RUT no registrado en Trabajadores",IF(B2692="","⚠ Falta el mes",IF(OR(ISTEXT(I2692),ISTEXT(J2692)),"⚠ Atrasos u horas extra como texto: escriba hh:mm (ej. 1:30)",IF(AND(ISNUMBER(Q2692),COUNTIFS(M_RUTN,V2692,M_MES,B2692,M_LIQ,"&lt;&gt;")&gt;1),"⚠ Liquidación repetida en el mes",IF(AND(ISNUMBER(O2692),ISNUMBER(P2692),ISNUMBER(Q2692),ABS(O2692-P2692-Q2692)&gt;1),"⚠ Haberes − descuentos no da el líquido","OK"))))))</f>
        <v/>
      </c>
      <c r="V2692" s="62" t="str">
        <f aca="false">IF(C2692="","",IFERROR(VALUE(LEFT(UPPER(SUBSTITUTE(SUBSTITUTE(SUBSTITUTE(TRIM(C2692),".",""),"-","")," ","")),LEN(UPPER(SUBSTITUTE(SUBSTITUTE(SUBSTITUTE(TRIM(C2692),".",""),"-","")," ","")))-1))&amp;RIGHT(UPPER(SUBSTITUTE(SUBSTITUTE(SUBSTITUTE(TRIM(C2692),".",""),"-","")," ","")),1),UPPER(SUBSTITUTE(SUBSTITUTE(SUBSTITUTE(TRIM(C2692),".",""),"-","")," ",""))))</f>
        <v/>
      </c>
    </row>
    <row r="2693" customFormat="false" ht="15" hidden="false" customHeight="false" outlineLevel="0" collapsed="false">
      <c r="B2693" s="80"/>
      <c r="C2693" s="58"/>
      <c r="D2693" s="62" t="str">
        <f aca="false">IF(C2693="","",IFERROR(INDEX(T_NOMBRE,MATCH(V2693,T_RUTN,0)),"⚠ RUT no está en Trabajadores"))</f>
        <v/>
      </c>
      <c r="E2693" s="61"/>
      <c r="F2693" s="61"/>
      <c r="G2693" s="61"/>
      <c r="H2693" s="61"/>
      <c r="I2693" s="81"/>
      <c r="J2693" s="81"/>
      <c r="K2693" s="60"/>
      <c r="L2693" s="60"/>
      <c r="M2693" s="60"/>
      <c r="N2693" s="60"/>
      <c r="O2693" s="60"/>
      <c r="P2693" s="60"/>
      <c r="Q2693" s="60"/>
      <c r="R2693" s="58"/>
      <c r="S2693" s="62" t="str">
        <f aca="false">IF(OR(B2693="",V2693=""),"",IFERROR(INDEX(C_TIPO,MATCH(V2693&amp;"-P"&amp;MAX(1,COUNTIFS(C_RUTN,V2693,C_DEF,"Sí",C_INI,"&lt;="&amp;EOMONTH(B2693,0))),C_CLAVE,0))&amp;"","Sin contrato"))</f>
        <v/>
      </c>
      <c r="T2693" s="63" t="str">
        <f aca="false">IF(OR(B2693="",N(O2693)=0),"",N(O2693)+ROUND(MIN(N(N2693),TOPE_UF*UF_MES)*(TASA_EMP+MUTUAL),0)+ROUND(MIN(N(N2693),TOPE_AFC_UF*UF_MES)*IF(S2693="Indefinido",AFC_INDEF,AFC_PF),0))</f>
        <v/>
      </c>
      <c r="U2693" s="62" t="str">
        <f aca="false">IF(C2693="","",IF(LEFT(D2693,1)="⚠","⚠ RUT no registrado en Trabajadores",IF(B2693="","⚠ Falta el mes",IF(OR(ISTEXT(I2693),ISTEXT(J2693)),"⚠ Atrasos u horas extra como texto: escriba hh:mm (ej. 1:30)",IF(AND(ISNUMBER(Q2693),COUNTIFS(M_RUTN,V2693,M_MES,B2693,M_LIQ,"&lt;&gt;")&gt;1),"⚠ Liquidación repetida en el mes",IF(AND(ISNUMBER(O2693),ISNUMBER(P2693),ISNUMBER(Q2693),ABS(O2693-P2693-Q2693)&gt;1),"⚠ Haberes − descuentos no da el líquido","OK"))))))</f>
        <v/>
      </c>
      <c r="V2693" s="62" t="str">
        <f aca="false">IF(C2693="","",IFERROR(VALUE(LEFT(UPPER(SUBSTITUTE(SUBSTITUTE(SUBSTITUTE(TRIM(C2693),".",""),"-","")," ","")),LEN(UPPER(SUBSTITUTE(SUBSTITUTE(SUBSTITUTE(TRIM(C2693),".",""),"-","")," ","")))-1))&amp;RIGHT(UPPER(SUBSTITUTE(SUBSTITUTE(SUBSTITUTE(TRIM(C2693),".",""),"-","")," ","")),1),UPPER(SUBSTITUTE(SUBSTITUTE(SUBSTITUTE(TRIM(C2693),".",""),"-","")," ",""))))</f>
        <v/>
      </c>
    </row>
    <row r="2694" customFormat="false" ht="15" hidden="false" customHeight="false" outlineLevel="0" collapsed="false">
      <c r="B2694" s="80"/>
      <c r="C2694" s="58"/>
      <c r="D2694" s="62" t="str">
        <f aca="false">IF(C2694="","",IFERROR(INDEX(T_NOMBRE,MATCH(V2694,T_RUTN,0)),"⚠ RUT no está en Trabajadores"))</f>
        <v/>
      </c>
      <c r="E2694" s="61"/>
      <c r="F2694" s="61"/>
      <c r="G2694" s="61"/>
      <c r="H2694" s="61"/>
      <c r="I2694" s="81"/>
      <c r="J2694" s="81"/>
      <c r="K2694" s="60"/>
      <c r="L2694" s="60"/>
      <c r="M2694" s="60"/>
      <c r="N2694" s="60"/>
      <c r="O2694" s="60"/>
      <c r="P2694" s="60"/>
      <c r="Q2694" s="60"/>
      <c r="R2694" s="58"/>
      <c r="S2694" s="62" t="str">
        <f aca="false">IF(OR(B2694="",V2694=""),"",IFERROR(INDEX(C_TIPO,MATCH(V2694&amp;"-P"&amp;MAX(1,COUNTIFS(C_RUTN,V2694,C_DEF,"Sí",C_INI,"&lt;="&amp;EOMONTH(B2694,0))),C_CLAVE,0))&amp;"","Sin contrato"))</f>
        <v/>
      </c>
      <c r="T2694" s="63" t="str">
        <f aca="false">IF(OR(B2694="",N(O2694)=0),"",N(O2694)+ROUND(MIN(N(N2694),TOPE_UF*UF_MES)*(TASA_EMP+MUTUAL),0)+ROUND(MIN(N(N2694),TOPE_AFC_UF*UF_MES)*IF(S2694="Indefinido",AFC_INDEF,AFC_PF),0))</f>
        <v/>
      </c>
      <c r="U2694" s="62" t="str">
        <f aca="false">IF(C2694="","",IF(LEFT(D2694,1)="⚠","⚠ RUT no registrado en Trabajadores",IF(B2694="","⚠ Falta el mes",IF(OR(ISTEXT(I2694),ISTEXT(J2694)),"⚠ Atrasos u horas extra como texto: escriba hh:mm (ej. 1:30)",IF(AND(ISNUMBER(Q2694),COUNTIFS(M_RUTN,V2694,M_MES,B2694,M_LIQ,"&lt;&gt;")&gt;1),"⚠ Liquidación repetida en el mes",IF(AND(ISNUMBER(O2694),ISNUMBER(P2694),ISNUMBER(Q2694),ABS(O2694-P2694-Q2694)&gt;1),"⚠ Haberes − descuentos no da el líquido","OK"))))))</f>
        <v/>
      </c>
      <c r="V2694" s="62" t="str">
        <f aca="false">IF(C2694="","",IFERROR(VALUE(LEFT(UPPER(SUBSTITUTE(SUBSTITUTE(SUBSTITUTE(TRIM(C2694),".",""),"-","")," ","")),LEN(UPPER(SUBSTITUTE(SUBSTITUTE(SUBSTITUTE(TRIM(C2694),".",""),"-","")," ","")))-1))&amp;RIGHT(UPPER(SUBSTITUTE(SUBSTITUTE(SUBSTITUTE(TRIM(C2694),".",""),"-","")," ","")),1),UPPER(SUBSTITUTE(SUBSTITUTE(SUBSTITUTE(TRIM(C2694),".",""),"-","")," ",""))))</f>
        <v/>
      </c>
    </row>
    <row r="2695" customFormat="false" ht="15" hidden="false" customHeight="false" outlineLevel="0" collapsed="false">
      <c r="B2695" s="80"/>
      <c r="C2695" s="58"/>
      <c r="D2695" s="62" t="str">
        <f aca="false">IF(C2695="","",IFERROR(INDEX(T_NOMBRE,MATCH(V2695,T_RUTN,0)),"⚠ RUT no está en Trabajadores"))</f>
        <v/>
      </c>
      <c r="E2695" s="61"/>
      <c r="F2695" s="61"/>
      <c r="G2695" s="61"/>
      <c r="H2695" s="61"/>
      <c r="I2695" s="81"/>
      <c r="J2695" s="81"/>
      <c r="K2695" s="60"/>
      <c r="L2695" s="60"/>
      <c r="M2695" s="60"/>
      <c r="N2695" s="60"/>
      <c r="O2695" s="60"/>
      <c r="P2695" s="60"/>
      <c r="Q2695" s="60"/>
      <c r="R2695" s="58"/>
      <c r="S2695" s="62" t="str">
        <f aca="false">IF(OR(B2695="",V2695=""),"",IFERROR(INDEX(C_TIPO,MATCH(V2695&amp;"-P"&amp;MAX(1,COUNTIFS(C_RUTN,V2695,C_DEF,"Sí",C_INI,"&lt;="&amp;EOMONTH(B2695,0))),C_CLAVE,0))&amp;"","Sin contrato"))</f>
        <v/>
      </c>
      <c r="T2695" s="63" t="str">
        <f aca="false">IF(OR(B2695="",N(O2695)=0),"",N(O2695)+ROUND(MIN(N(N2695),TOPE_UF*UF_MES)*(TASA_EMP+MUTUAL),0)+ROUND(MIN(N(N2695),TOPE_AFC_UF*UF_MES)*IF(S2695="Indefinido",AFC_INDEF,AFC_PF),0))</f>
        <v/>
      </c>
      <c r="U2695" s="62" t="str">
        <f aca="false">IF(C2695="","",IF(LEFT(D2695,1)="⚠","⚠ RUT no registrado en Trabajadores",IF(B2695="","⚠ Falta el mes",IF(OR(ISTEXT(I2695),ISTEXT(J2695)),"⚠ Atrasos u horas extra como texto: escriba hh:mm (ej. 1:30)",IF(AND(ISNUMBER(Q2695),COUNTIFS(M_RUTN,V2695,M_MES,B2695,M_LIQ,"&lt;&gt;")&gt;1),"⚠ Liquidación repetida en el mes",IF(AND(ISNUMBER(O2695),ISNUMBER(P2695),ISNUMBER(Q2695),ABS(O2695-P2695-Q2695)&gt;1),"⚠ Haberes − descuentos no da el líquido","OK"))))))</f>
        <v/>
      </c>
      <c r="V2695" s="62" t="str">
        <f aca="false">IF(C2695="","",IFERROR(VALUE(LEFT(UPPER(SUBSTITUTE(SUBSTITUTE(SUBSTITUTE(TRIM(C2695),".",""),"-","")," ","")),LEN(UPPER(SUBSTITUTE(SUBSTITUTE(SUBSTITUTE(TRIM(C2695),".",""),"-","")," ","")))-1))&amp;RIGHT(UPPER(SUBSTITUTE(SUBSTITUTE(SUBSTITUTE(TRIM(C2695),".",""),"-","")," ","")),1),UPPER(SUBSTITUTE(SUBSTITUTE(SUBSTITUTE(TRIM(C2695),".",""),"-","")," ",""))))</f>
        <v/>
      </c>
    </row>
    <row r="2696" customFormat="false" ht="15" hidden="false" customHeight="false" outlineLevel="0" collapsed="false">
      <c r="B2696" s="80"/>
      <c r="C2696" s="58"/>
      <c r="D2696" s="62" t="str">
        <f aca="false">IF(C2696="","",IFERROR(INDEX(T_NOMBRE,MATCH(V2696,T_RUTN,0)),"⚠ RUT no está en Trabajadores"))</f>
        <v/>
      </c>
      <c r="E2696" s="61"/>
      <c r="F2696" s="61"/>
      <c r="G2696" s="61"/>
      <c r="H2696" s="61"/>
      <c r="I2696" s="81"/>
      <c r="J2696" s="81"/>
      <c r="K2696" s="60"/>
      <c r="L2696" s="60"/>
      <c r="M2696" s="60"/>
      <c r="N2696" s="60"/>
      <c r="O2696" s="60"/>
      <c r="P2696" s="60"/>
      <c r="Q2696" s="60"/>
      <c r="R2696" s="58"/>
      <c r="S2696" s="62" t="str">
        <f aca="false">IF(OR(B2696="",V2696=""),"",IFERROR(INDEX(C_TIPO,MATCH(V2696&amp;"-P"&amp;MAX(1,COUNTIFS(C_RUTN,V2696,C_DEF,"Sí",C_INI,"&lt;="&amp;EOMONTH(B2696,0))),C_CLAVE,0))&amp;"","Sin contrato"))</f>
        <v/>
      </c>
      <c r="T2696" s="63" t="str">
        <f aca="false">IF(OR(B2696="",N(O2696)=0),"",N(O2696)+ROUND(MIN(N(N2696),TOPE_UF*UF_MES)*(TASA_EMP+MUTUAL),0)+ROUND(MIN(N(N2696),TOPE_AFC_UF*UF_MES)*IF(S2696="Indefinido",AFC_INDEF,AFC_PF),0))</f>
        <v/>
      </c>
      <c r="U2696" s="62" t="str">
        <f aca="false">IF(C2696="","",IF(LEFT(D2696,1)="⚠","⚠ RUT no registrado en Trabajadores",IF(B2696="","⚠ Falta el mes",IF(OR(ISTEXT(I2696),ISTEXT(J2696)),"⚠ Atrasos u horas extra como texto: escriba hh:mm (ej. 1:30)",IF(AND(ISNUMBER(Q2696),COUNTIFS(M_RUTN,V2696,M_MES,B2696,M_LIQ,"&lt;&gt;")&gt;1),"⚠ Liquidación repetida en el mes",IF(AND(ISNUMBER(O2696),ISNUMBER(P2696),ISNUMBER(Q2696),ABS(O2696-P2696-Q2696)&gt;1),"⚠ Haberes − descuentos no da el líquido","OK"))))))</f>
        <v/>
      </c>
      <c r="V2696" s="62" t="str">
        <f aca="false">IF(C2696="","",IFERROR(VALUE(LEFT(UPPER(SUBSTITUTE(SUBSTITUTE(SUBSTITUTE(TRIM(C2696),".",""),"-","")," ","")),LEN(UPPER(SUBSTITUTE(SUBSTITUTE(SUBSTITUTE(TRIM(C2696),".",""),"-","")," ","")))-1))&amp;RIGHT(UPPER(SUBSTITUTE(SUBSTITUTE(SUBSTITUTE(TRIM(C2696),".",""),"-","")," ","")),1),UPPER(SUBSTITUTE(SUBSTITUTE(SUBSTITUTE(TRIM(C2696),".",""),"-","")," ",""))))</f>
        <v/>
      </c>
    </row>
    <row r="2697" customFormat="false" ht="15" hidden="false" customHeight="false" outlineLevel="0" collapsed="false">
      <c r="B2697" s="80"/>
      <c r="C2697" s="58"/>
      <c r="D2697" s="62" t="str">
        <f aca="false">IF(C2697="","",IFERROR(INDEX(T_NOMBRE,MATCH(V2697,T_RUTN,0)),"⚠ RUT no está en Trabajadores"))</f>
        <v/>
      </c>
      <c r="E2697" s="61"/>
      <c r="F2697" s="61"/>
      <c r="G2697" s="61"/>
      <c r="H2697" s="61"/>
      <c r="I2697" s="81"/>
      <c r="J2697" s="81"/>
      <c r="K2697" s="60"/>
      <c r="L2697" s="60"/>
      <c r="M2697" s="60"/>
      <c r="N2697" s="60"/>
      <c r="O2697" s="60"/>
      <c r="P2697" s="60"/>
      <c r="Q2697" s="60"/>
      <c r="R2697" s="58"/>
      <c r="S2697" s="62" t="str">
        <f aca="false">IF(OR(B2697="",V2697=""),"",IFERROR(INDEX(C_TIPO,MATCH(V2697&amp;"-P"&amp;MAX(1,COUNTIFS(C_RUTN,V2697,C_DEF,"Sí",C_INI,"&lt;="&amp;EOMONTH(B2697,0))),C_CLAVE,0))&amp;"","Sin contrato"))</f>
        <v/>
      </c>
      <c r="T2697" s="63" t="str">
        <f aca="false">IF(OR(B2697="",N(O2697)=0),"",N(O2697)+ROUND(MIN(N(N2697),TOPE_UF*UF_MES)*(TASA_EMP+MUTUAL),0)+ROUND(MIN(N(N2697),TOPE_AFC_UF*UF_MES)*IF(S2697="Indefinido",AFC_INDEF,AFC_PF),0))</f>
        <v/>
      </c>
      <c r="U2697" s="62" t="str">
        <f aca="false">IF(C2697="","",IF(LEFT(D2697,1)="⚠","⚠ RUT no registrado en Trabajadores",IF(B2697="","⚠ Falta el mes",IF(OR(ISTEXT(I2697),ISTEXT(J2697)),"⚠ Atrasos u horas extra como texto: escriba hh:mm (ej. 1:30)",IF(AND(ISNUMBER(Q2697),COUNTIFS(M_RUTN,V2697,M_MES,B2697,M_LIQ,"&lt;&gt;")&gt;1),"⚠ Liquidación repetida en el mes",IF(AND(ISNUMBER(O2697),ISNUMBER(P2697),ISNUMBER(Q2697),ABS(O2697-P2697-Q2697)&gt;1),"⚠ Haberes − descuentos no da el líquido","OK"))))))</f>
        <v/>
      </c>
      <c r="V2697" s="62" t="str">
        <f aca="false">IF(C2697="","",IFERROR(VALUE(LEFT(UPPER(SUBSTITUTE(SUBSTITUTE(SUBSTITUTE(TRIM(C2697),".",""),"-","")," ","")),LEN(UPPER(SUBSTITUTE(SUBSTITUTE(SUBSTITUTE(TRIM(C2697),".",""),"-","")," ","")))-1))&amp;RIGHT(UPPER(SUBSTITUTE(SUBSTITUTE(SUBSTITUTE(TRIM(C2697),".",""),"-","")," ","")),1),UPPER(SUBSTITUTE(SUBSTITUTE(SUBSTITUTE(TRIM(C2697),".",""),"-","")," ",""))))</f>
        <v/>
      </c>
    </row>
    <row r="2698" customFormat="false" ht="15" hidden="false" customHeight="false" outlineLevel="0" collapsed="false">
      <c r="B2698" s="80"/>
      <c r="C2698" s="58"/>
      <c r="D2698" s="62" t="str">
        <f aca="false">IF(C2698="","",IFERROR(INDEX(T_NOMBRE,MATCH(V2698,T_RUTN,0)),"⚠ RUT no está en Trabajadores"))</f>
        <v/>
      </c>
      <c r="E2698" s="61"/>
      <c r="F2698" s="61"/>
      <c r="G2698" s="61"/>
      <c r="H2698" s="61"/>
      <c r="I2698" s="81"/>
      <c r="J2698" s="81"/>
      <c r="K2698" s="60"/>
      <c r="L2698" s="60"/>
      <c r="M2698" s="60"/>
      <c r="N2698" s="60"/>
      <c r="O2698" s="60"/>
      <c r="P2698" s="60"/>
      <c r="Q2698" s="60"/>
      <c r="R2698" s="58"/>
      <c r="S2698" s="62" t="str">
        <f aca="false">IF(OR(B2698="",V2698=""),"",IFERROR(INDEX(C_TIPO,MATCH(V2698&amp;"-P"&amp;MAX(1,COUNTIFS(C_RUTN,V2698,C_DEF,"Sí",C_INI,"&lt;="&amp;EOMONTH(B2698,0))),C_CLAVE,0))&amp;"","Sin contrato"))</f>
        <v/>
      </c>
      <c r="T2698" s="63" t="str">
        <f aca="false">IF(OR(B2698="",N(O2698)=0),"",N(O2698)+ROUND(MIN(N(N2698),TOPE_UF*UF_MES)*(TASA_EMP+MUTUAL),0)+ROUND(MIN(N(N2698),TOPE_AFC_UF*UF_MES)*IF(S2698="Indefinido",AFC_INDEF,AFC_PF),0))</f>
        <v/>
      </c>
      <c r="U2698" s="62" t="str">
        <f aca="false">IF(C2698="","",IF(LEFT(D2698,1)="⚠","⚠ RUT no registrado en Trabajadores",IF(B2698="","⚠ Falta el mes",IF(OR(ISTEXT(I2698),ISTEXT(J2698)),"⚠ Atrasos u horas extra como texto: escriba hh:mm (ej. 1:30)",IF(AND(ISNUMBER(Q2698),COUNTIFS(M_RUTN,V2698,M_MES,B2698,M_LIQ,"&lt;&gt;")&gt;1),"⚠ Liquidación repetida en el mes",IF(AND(ISNUMBER(O2698),ISNUMBER(P2698),ISNUMBER(Q2698),ABS(O2698-P2698-Q2698)&gt;1),"⚠ Haberes − descuentos no da el líquido","OK"))))))</f>
        <v/>
      </c>
      <c r="V2698" s="62" t="str">
        <f aca="false">IF(C2698="","",IFERROR(VALUE(LEFT(UPPER(SUBSTITUTE(SUBSTITUTE(SUBSTITUTE(TRIM(C2698),".",""),"-","")," ","")),LEN(UPPER(SUBSTITUTE(SUBSTITUTE(SUBSTITUTE(TRIM(C2698),".",""),"-","")," ","")))-1))&amp;RIGHT(UPPER(SUBSTITUTE(SUBSTITUTE(SUBSTITUTE(TRIM(C2698),".",""),"-","")," ","")),1),UPPER(SUBSTITUTE(SUBSTITUTE(SUBSTITUTE(TRIM(C2698),".",""),"-","")," ",""))))</f>
        <v/>
      </c>
    </row>
    <row r="2699" customFormat="false" ht="15" hidden="false" customHeight="false" outlineLevel="0" collapsed="false">
      <c r="B2699" s="80"/>
      <c r="C2699" s="58"/>
      <c r="D2699" s="62" t="str">
        <f aca="false">IF(C2699="","",IFERROR(INDEX(T_NOMBRE,MATCH(V2699,T_RUTN,0)),"⚠ RUT no está en Trabajadores"))</f>
        <v/>
      </c>
      <c r="E2699" s="61"/>
      <c r="F2699" s="61"/>
      <c r="G2699" s="61"/>
      <c r="H2699" s="61"/>
      <c r="I2699" s="81"/>
      <c r="J2699" s="81"/>
      <c r="K2699" s="60"/>
      <c r="L2699" s="60"/>
      <c r="M2699" s="60"/>
      <c r="N2699" s="60"/>
      <c r="O2699" s="60"/>
      <c r="P2699" s="60"/>
      <c r="Q2699" s="60"/>
      <c r="R2699" s="58"/>
      <c r="S2699" s="62" t="str">
        <f aca="false">IF(OR(B2699="",V2699=""),"",IFERROR(INDEX(C_TIPO,MATCH(V2699&amp;"-P"&amp;MAX(1,COUNTIFS(C_RUTN,V2699,C_DEF,"Sí",C_INI,"&lt;="&amp;EOMONTH(B2699,0))),C_CLAVE,0))&amp;"","Sin contrato"))</f>
        <v/>
      </c>
      <c r="T2699" s="63" t="str">
        <f aca="false">IF(OR(B2699="",N(O2699)=0),"",N(O2699)+ROUND(MIN(N(N2699),TOPE_UF*UF_MES)*(TASA_EMP+MUTUAL),0)+ROUND(MIN(N(N2699),TOPE_AFC_UF*UF_MES)*IF(S2699="Indefinido",AFC_INDEF,AFC_PF),0))</f>
        <v/>
      </c>
      <c r="U2699" s="62" t="str">
        <f aca="false">IF(C2699="","",IF(LEFT(D2699,1)="⚠","⚠ RUT no registrado en Trabajadores",IF(B2699="","⚠ Falta el mes",IF(OR(ISTEXT(I2699),ISTEXT(J2699)),"⚠ Atrasos u horas extra como texto: escriba hh:mm (ej. 1:30)",IF(AND(ISNUMBER(Q2699),COUNTIFS(M_RUTN,V2699,M_MES,B2699,M_LIQ,"&lt;&gt;")&gt;1),"⚠ Liquidación repetida en el mes",IF(AND(ISNUMBER(O2699),ISNUMBER(P2699),ISNUMBER(Q2699),ABS(O2699-P2699-Q2699)&gt;1),"⚠ Haberes − descuentos no da el líquido","OK"))))))</f>
        <v/>
      </c>
      <c r="V2699" s="62" t="str">
        <f aca="false">IF(C2699="","",IFERROR(VALUE(LEFT(UPPER(SUBSTITUTE(SUBSTITUTE(SUBSTITUTE(TRIM(C2699),".",""),"-","")," ","")),LEN(UPPER(SUBSTITUTE(SUBSTITUTE(SUBSTITUTE(TRIM(C2699),".",""),"-","")," ","")))-1))&amp;RIGHT(UPPER(SUBSTITUTE(SUBSTITUTE(SUBSTITUTE(TRIM(C2699),".",""),"-","")," ","")),1),UPPER(SUBSTITUTE(SUBSTITUTE(SUBSTITUTE(TRIM(C2699),".",""),"-","")," ",""))))</f>
        <v/>
      </c>
    </row>
    <row r="2700" customFormat="false" ht="15" hidden="false" customHeight="false" outlineLevel="0" collapsed="false">
      <c r="B2700" s="80"/>
      <c r="C2700" s="58"/>
      <c r="D2700" s="62" t="str">
        <f aca="false">IF(C2700="","",IFERROR(INDEX(T_NOMBRE,MATCH(V2700,T_RUTN,0)),"⚠ RUT no está en Trabajadores"))</f>
        <v/>
      </c>
      <c r="E2700" s="61"/>
      <c r="F2700" s="61"/>
      <c r="G2700" s="61"/>
      <c r="H2700" s="61"/>
      <c r="I2700" s="81"/>
      <c r="J2700" s="81"/>
      <c r="K2700" s="60"/>
      <c r="L2700" s="60"/>
      <c r="M2700" s="60"/>
      <c r="N2700" s="60"/>
      <c r="O2700" s="60"/>
      <c r="P2700" s="60"/>
      <c r="Q2700" s="60"/>
      <c r="R2700" s="58"/>
      <c r="S2700" s="62" t="str">
        <f aca="false">IF(OR(B2700="",V2700=""),"",IFERROR(INDEX(C_TIPO,MATCH(V2700&amp;"-P"&amp;MAX(1,COUNTIFS(C_RUTN,V2700,C_DEF,"Sí",C_INI,"&lt;="&amp;EOMONTH(B2700,0))),C_CLAVE,0))&amp;"","Sin contrato"))</f>
        <v/>
      </c>
      <c r="T2700" s="63" t="str">
        <f aca="false">IF(OR(B2700="",N(O2700)=0),"",N(O2700)+ROUND(MIN(N(N2700),TOPE_UF*UF_MES)*(TASA_EMP+MUTUAL),0)+ROUND(MIN(N(N2700),TOPE_AFC_UF*UF_MES)*IF(S2700="Indefinido",AFC_INDEF,AFC_PF),0))</f>
        <v/>
      </c>
      <c r="U2700" s="62" t="str">
        <f aca="false">IF(C2700="","",IF(LEFT(D2700,1)="⚠","⚠ RUT no registrado en Trabajadores",IF(B2700="","⚠ Falta el mes",IF(OR(ISTEXT(I2700),ISTEXT(J2700)),"⚠ Atrasos u horas extra como texto: escriba hh:mm (ej. 1:30)",IF(AND(ISNUMBER(Q2700),COUNTIFS(M_RUTN,V2700,M_MES,B2700,M_LIQ,"&lt;&gt;")&gt;1),"⚠ Liquidación repetida en el mes",IF(AND(ISNUMBER(O2700),ISNUMBER(P2700),ISNUMBER(Q2700),ABS(O2700-P2700-Q2700)&gt;1),"⚠ Haberes − descuentos no da el líquido","OK"))))))</f>
        <v/>
      </c>
      <c r="V2700" s="62" t="str">
        <f aca="false">IF(C2700="","",IFERROR(VALUE(LEFT(UPPER(SUBSTITUTE(SUBSTITUTE(SUBSTITUTE(TRIM(C2700),".",""),"-","")," ","")),LEN(UPPER(SUBSTITUTE(SUBSTITUTE(SUBSTITUTE(TRIM(C2700),".",""),"-","")," ","")))-1))&amp;RIGHT(UPPER(SUBSTITUTE(SUBSTITUTE(SUBSTITUTE(TRIM(C2700),".",""),"-","")," ","")),1),UPPER(SUBSTITUTE(SUBSTITUTE(SUBSTITUTE(TRIM(C2700),".",""),"-","")," ",""))))</f>
        <v/>
      </c>
    </row>
    <row r="2701" customFormat="false" ht="15" hidden="false" customHeight="false" outlineLevel="0" collapsed="false">
      <c r="B2701" s="80"/>
      <c r="C2701" s="58"/>
      <c r="D2701" s="62" t="str">
        <f aca="false">IF(C2701="","",IFERROR(INDEX(T_NOMBRE,MATCH(V2701,T_RUTN,0)),"⚠ RUT no está en Trabajadores"))</f>
        <v/>
      </c>
      <c r="E2701" s="61"/>
      <c r="F2701" s="61"/>
      <c r="G2701" s="61"/>
      <c r="H2701" s="61"/>
      <c r="I2701" s="81"/>
      <c r="J2701" s="81"/>
      <c r="K2701" s="60"/>
      <c r="L2701" s="60"/>
      <c r="M2701" s="60"/>
      <c r="N2701" s="60"/>
      <c r="O2701" s="60"/>
      <c r="P2701" s="60"/>
      <c r="Q2701" s="60"/>
      <c r="R2701" s="58"/>
      <c r="S2701" s="62" t="str">
        <f aca="false">IF(OR(B2701="",V2701=""),"",IFERROR(INDEX(C_TIPO,MATCH(V2701&amp;"-P"&amp;MAX(1,COUNTIFS(C_RUTN,V2701,C_DEF,"Sí",C_INI,"&lt;="&amp;EOMONTH(B2701,0))),C_CLAVE,0))&amp;"","Sin contrato"))</f>
        <v/>
      </c>
      <c r="T2701" s="63" t="str">
        <f aca="false">IF(OR(B2701="",N(O2701)=0),"",N(O2701)+ROUND(MIN(N(N2701),TOPE_UF*UF_MES)*(TASA_EMP+MUTUAL),0)+ROUND(MIN(N(N2701),TOPE_AFC_UF*UF_MES)*IF(S2701="Indefinido",AFC_INDEF,AFC_PF),0))</f>
        <v/>
      </c>
      <c r="U2701" s="62" t="str">
        <f aca="false">IF(C2701="","",IF(LEFT(D2701,1)="⚠","⚠ RUT no registrado en Trabajadores",IF(B2701="","⚠ Falta el mes",IF(OR(ISTEXT(I2701),ISTEXT(J2701)),"⚠ Atrasos u horas extra como texto: escriba hh:mm (ej. 1:30)",IF(AND(ISNUMBER(Q2701),COUNTIFS(M_RUTN,V2701,M_MES,B2701,M_LIQ,"&lt;&gt;")&gt;1),"⚠ Liquidación repetida en el mes",IF(AND(ISNUMBER(O2701),ISNUMBER(P2701),ISNUMBER(Q2701),ABS(O2701-P2701-Q2701)&gt;1),"⚠ Haberes − descuentos no da el líquido","OK"))))))</f>
        <v/>
      </c>
      <c r="V2701" s="62" t="str">
        <f aca="false">IF(C2701="","",IFERROR(VALUE(LEFT(UPPER(SUBSTITUTE(SUBSTITUTE(SUBSTITUTE(TRIM(C2701),".",""),"-","")," ","")),LEN(UPPER(SUBSTITUTE(SUBSTITUTE(SUBSTITUTE(TRIM(C2701),".",""),"-","")," ","")))-1))&amp;RIGHT(UPPER(SUBSTITUTE(SUBSTITUTE(SUBSTITUTE(TRIM(C2701),".",""),"-","")," ","")),1),UPPER(SUBSTITUTE(SUBSTITUTE(SUBSTITUTE(TRIM(C2701),".",""),"-","")," ",""))))</f>
        <v/>
      </c>
    </row>
    <row r="2702" customFormat="false" ht="15" hidden="false" customHeight="false" outlineLevel="0" collapsed="false">
      <c r="B2702" s="80"/>
      <c r="C2702" s="58"/>
      <c r="D2702" s="62" t="str">
        <f aca="false">IF(C2702="","",IFERROR(INDEX(T_NOMBRE,MATCH(V2702,T_RUTN,0)),"⚠ RUT no está en Trabajadores"))</f>
        <v/>
      </c>
      <c r="E2702" s="61"/>
      <c r="F2702" s="61"/>
      <c r="G2702" s="61"/>
      <c r="H2702" s="61"/>
      <c r="I2702" s="81"/>
      <c r="J2702" s="81"/>
      <c r="K2702" s="60"/>
      <c r="L2702" s="60"/>
      <c r="M2702" s="60"/>
      <c r="N2702" s="60"/>
      <c r="O2702" s="60"/>
      <c r="P2702" s="60"/>
      <c r="Q2702" s="60"/>
      <c r="R2702" s="58"/>
      <c r="S2702" s="62" t="str">
        <f aca="false">IF(OR(B2702="",V2702=""),"",IFERROR(INDEX(C_TIPO,MATCH(V2702&amp;"-P"&amp;MAX(1,COUNTIFS(C_RUTN,V2702,C_DEF,"Sí",C_INI,"&lt;="&amp;EOMONTH(B2702,0))),C_CLAVE,0))&amp;"","Sin contrato"))</f>
        <v/>
      </c>
      <c r="T2702" s="63" t="str">
        <f aca="false">IF(OR(B2702="",N(O2702)=0),"",N(O2702)+ROUND(MIN(N(N2702),TOPE_UF*UF_MES)*(TASA_EMP+MUTUAL),0)+ROUND(MIN(N(N2702),TOPE_AFC_UF*UF_MES)*IF(S2702="Indefinido",AFC_INDEF,AFC_PF),0))</f>
        <v/>
      </c>
      <c r="U2702" s="62" t="str">
        <f aca="false">IF(C2702="","",IF(LEFT(D2702,1)="⚠","⚠ RUT no registrado en Trabajadores",IF(B2702="","⚠ Falta el mes",IF(OR(ISTEXT(I2702),ISTEXT(J2702)),"⚠ Atrasos u horas extra como texto: escriba hh:mm (ej. 1:30)",IF(AND(ISNUMBER(Q2702),COUNTIFS(M_RUTN,V2702,M_MES,B2702,M_LIQ,"&lt;&gt;")&gt;1),"⚠ Liquidación repetida en el mes",IF(AND(ISNUMBER(O2702),ISNUMBER(P2702),ISNUMBER(Q2702),ABS(O2702-P2702-Q2702)&gt;1),"⚠ Haberes − descuentos no da el líquido","OK"))))))</f>
        <v/>
      </c>
      <c r="V2702" s="62" t="str">
        <f aca="false">IF(C2702="","",IFERROR(VALUE(LEFT(UPPER(SUBSTITUTE(SUBSTITUTE(SUBSTITUTE(TRIM(C2702),".",""),"-","")," ","")),LEN(UPPER(SUBSTITUTE(SUBSTITUTE(SUBSTITUTE(TRIM(C2702),".",""),"-","")," ","")))-1))&amp;RIGHT(UPPER(SUBSTITUTE(SUBSTITUTE(SUBSTITUTE(TRIM(C2702),".",""),"-","")," ","")),1),UPPER(SUBSTITUTE(SUBSTITUTE(SUBSTITUTE(TRIM(C2702),".",""),"-","")," ",""))))</f>
        <v/>
      </c>
    </row>
    <row r="2703" customFormat="false" ht="15" hidden="false" customHeight="false" outlineLevel="0" collapsed="false">
      <c r="B2703" s="80"/>
      <c r="C2703" s="58"/>
      <c r="D2703" s="62" t="str">
        <f aca="false">IF(C2703="","",IFERROR(INDEX(T_NOMBRE,MATCH(V2703,T_RUTN,0)),"⚠ RUT no está en Trabajadores"))</f>
        <v/>
      </c>
      <c r="E2703" s="61"/>
      <c r="F2703" s="61"/>
      <c r="G2703" s="61"/>
      <c r="H2703" s="61"/>
      <c r="I2703" s="81"/>
      <c r="J2703" s="81"/>
      <c r="K2703" s="60"/>
      <c r="L2703" s="60"/>
      <c r="M2703" s="60"/>
      <c r="N2703" s="60"/>
      <c r="O2703" s="60"/>
      <c r="P2703" s="60"/>
      <c r="Q2703" s="60"/>
      <c r="R2703" s="58"/>
      <c r="S2703" s="62" t="str">
        <f aca="false">IF(OR(B2703="",V2703=""),"",IFERROR(INDEX(C_TIPO,MATCH(V2703&amp;"-P"&amp;MAX(1,COUNTIFS(C_RUTN,V2703,C_DEF,"Sí",C_INI,"&lt;="&amp;EOMONTH(B2703,0))),C_CLAVE,0))&amp;"","Sin contrato"))</f>
        <v/>
      </c>
      <c r="T2703" s="63" t="str">
        <f aca="false">IF(OR(B2703="",N(O2703)=0),"",N(O2703)+ROUND(MIN(N(N2703),TOPE_UF*UF_MES)*(TASA_EMP+MUTUAL),0)+ROUND(MIN(N(N2703),TOPE_AFC_UF*UF_MES)*IF(S2703="Indefinido",AFC_INDEF,AFC_PF),0))</f>
        <v/>
      </c>
      <c r="U2703" s="62" t="str">
        <f aca="false">IF(C2703="","",IF(LEFT(D2703,1)="⚠","⚠ RUT no registrado en Trabajadores",IF(B2703="","⚠ Falta el mes",IF(OR(ISTEXT(I2703),ISTEXT(J2703)),"⚠ Atrasos u horas extra como texto: escriba hh:mm (ej. 1:30)",IF(AND(ISNUMBER(Q2703),COUNTIFS(M_RUTN,V2703,M_MES,B2703,M_LIQ,"&lt;&gt;")&gt;1),"⚠ Liquidación repetida en el mes",IF(AND(ISNUMBER(O2703),ISNUMBER(P2703),ISNUMBER(Q2703),ABS(O2703-P2703-Q2703)&gt;1),"⚠ Haberes − descuentos no da el líquido","OK"))))))</f>
        <v/>
      </c>
      <c r="V2703" s="62" t="str">
        <f aca="false">IF(C2703="","",IFERROR(VALUE(LEFT(UPPER(SUBSTITUTE(SUBSTITUTE(SUBSTITUTE(TRIM(C2703),".",""),"-","")," ","")),LEN(UPPER(SUBSTITUTE(SUBSTITUTE(SUBSTITUTE(TRIM(C2703),".",""),"-","")," ","")))-1))&amp;RIGHT(UPPER(SUBSTITUTE(SUBSTITUTE(SUBSTITUTE(TRIM(C2703),".",""),"-","")," ","")),1),UPPER(SUBSTITUTE(SUBSTITUTE(SUBSTITUTE(TRIM(C2703),".",""),"-","")," ",""))))</f>
        <v/>
      </c>
    </row>
    <row r="2704" customFormat="false" ht="15" hidden="false" customHeight="false" outlineLevel="0" collapsed="false">
      <c r="B2704" s="80"/>
      <c r="C2704" s="58"/>
      <c r="D2704" s="62" t="str">
        <f aca="false">IF(C2704="","",IFERROR(INDEX(T_NOMBRE,MATCH(V2704,T_RUTN,0)),"⚠ RUT no está en Trabajadores"))</f>
        <v/>
      </c>
      <c r="E2704" s="61"/>
      <c r="F2704" s="61"/>
      <c r="G2704" s="61"/>
      <c r="H2704" s="61"/>
      <c r="I2704" s="81"/>
      <c r="J2704" s="81"/>
      <c r="K2704" s="60"/>
      <c r="L2704" s="60"/>
      <c r="M2704" s="60"/>
      <c r="N2704" s="60"/>
      <c r="O2704" s="60"/>
      <c r="P2704" s="60"/>
      <c r="Q2704" s="60"/>
      <c r="R2704" s="58"/>
      <c r="S2704" s="62" t="str">
        <f aca="false">IF(OR(B2704="",V2704=""),"",IFERROR(INDEX(C_TIPO,MATCH(V2704&amp;"-P"&amp;MAX(1,COUNTIFS(C_RUTN,V2704,C_DEF,"Sí",C_INI,"&lt;="&amp;EOMONTH(B2704,0))),C_CLAVE,0))&amp;"","Sin contrato"))</f>
        <v/>
      </c>
      <c r="T2704" s="63" t="str">
        <f aca="false">IF(OR(B2704="",N(O2704)=0),"",N(O2704)+ROUND(MIN(N(N2704),TOPE_UF*UF_MES)*(TASA_EMP+MUTUAL),0)+ROUND(MIN(N(N2704),TOPE_AFC_UF*UF_MES)*IF(S2704="Indefinido",AFC_INDEF,AFC_PF),0))</f>
        <v/>
      </c>
      <c r="U2704" s="62" t="str">
        <f aca="false">IF(C2704="","",IF(LEFT(D2704,1)="⚠","⚠ RUT no registrado en Trabajadores",IF(B2704="","⚠ Falta el mes",IF(OR(ISTEXT(I2704),ISTEXT(J2704)),"⚠ Atrasos u horas extra como texto: escriba hh:mm (ej. 1:30)",IF(AND(ISNUMBER(Q2704),COUNTIFS(M_RUTN,V2704,M_MES,B2704,M_LIQ,"&lt;&gt;")&gt;1),"⚠ Liquidación repetida en el mes",IF(AND(ISNUMBER(O2704),ISNUMBER(P2704),ISNUMBER(Q2704),ABS(O2704-P2704-Q2704)&gt;1),"⚠ Haberes − descuentos no da el líquido","OK"))))))</f>
        <v/>
      </c>
      <c r="V2704" s="62" t="str">
        <f aca="false">IF(C2704="","",IFERROR(VALUE(LEFT(UPPER(SUBSTITUTE(SUBSTITUTE(SUBSTITUTE(TRIM(C2704),".",""),"-","")," ","")),LEN(UPPER(SUBSTITUTE(SUBSTITUTE(SUBSTITUTE(TRIM(C2704),".",""),"-","")," ","")))-1))&amp;RIGHT(UPPER(SUBSTITUTE(SUBSTITUTE(SUBSTITUTE(TRIM(C2704),".",""),"-","")," ","")),1),UPPER(SUBSTITUTE(SUBSTITUTE(SUBSTITUTE(TRIM(C2704),".",""),"-","")," ",""))))</f>
        <v/>
      </c>
    </row>
    <row r="2705" customFormat="false" ht="15" hidden="false" customHeight="false" outlineLevel="0" collapsed="false">
      <c r="B2705" s="80"/>
      <c r="C2705" s="58"/>
      <c r="D2705" s="62" t="str">
        <f aca="false">IF(C2705="","",IFERROR(INDEX(T_NOMBRE,MATCH(V2705,T_RUTN,0)),"⚠ RUT no está en Trabajadores"))</f>
        <v/>
      </c>
      <c r="E2705" s="61"/>
      <c r="F2705" s="61"/>
      <c r="G2705" s="61"/>
      <c r="H2705" s="61"/>
      <c r="I2705" s="81"/>
      <c r="J2705" s="81"/>
      <c r="K2705" s="60"/>
      <c r="L2705" s="60"/>
      <c r="M2705" s="60"/>
      <c r="N2705" s="60"/>
      <c r="O2705" s="60"/>
      <c r="P2705" s="60"/>
      <c r="Q2705" s="60"/>
      <c r="R2705" s="58"/>
      <c r="S2705" s="62" t="str">
        <f aca="false">IF(OR(B2705="",V2705=""),"",IFERROR(INDEX(C_TIPO,MATCH(V2705&amp;"-P"&amp;MAX(1,COUNTIFS(C_RUTN,V2705,C_DEF,"Sí",C_INI,"&lt;="&amp;EOMONTH(B2705,0))),C_CLAVE,0))&amp;"","Sin contrato"))</f>
        <v/>
      </c>
      <c r="T2705" s="63" t="str">
        <f aca="false">IF(OR(B2705="",N(O2705)=0),"",N(O2705)+ROUND(MIN(N(N2705),TOPE_UF*UF_MES)*(TASA_EMP+MUTUAL),0)+ROUND(MIN(N(N2705),TOPE_AFC_UF*UF_MES)*IF(S2705="Indefinido",AFC_INDEF,AFC_PF),0))</f>
        <v/>
      </c>
      <c r="U2705" s="62" t="str">
        <f aca="false">IF(C2705="","",IF(LEFT(D2705,1)="⚠","⚠ RUT no registrado en Trabajadores",IF(B2705="","⚠ Falta el mes",IF(OR(ISTEXT(I2705),ISTEXT(J2705)),"⚠ Atrasos u horas extra como texto: escriba hh:mm (ej. 1:30)",IF(AND(ISNUMBER(Q2705),COUNTIFS(M_RUTN,V2705,M_MES,B2705,M_LIQ,"&lt;&gt;")&gt;1),"⚠ Liquidación repetida en el mes",IF(AND(ISNUMBER(O2705),ISNUMBER(P2705),ISNUMBER(Q2705),ABS(O2705-P2705-Q2705)&gt;1),"⚠ Haberes − descuentos no da el líquido","OK"))))))</f>
        <v/>
      </c>
      <c r="V2705" s="62" t="str">
        <f aca="false">IF(C2705="","",IFERROR(VALUE(LEFT(UPPER(SUBSTITUTE(SUBSTITUTE(SUBSTITUTE(TRIM(C2705),".",""),"-","")," ","")),LEN(UPPER(SUBSTITUTE(SUBSTITUTE(SUBSTITUTE(TRIM(C2705),".",""),"-","")," ","")))-1))&amp;RIGHT(UPPER(SUBSTITUTE(SUBSTITUTE(SUBSTITUTE(TRIM(C2705),".",""),"-","")," ","")),1),UPPER(SUBSTITUTE(SUBSTITUTE(SUBSTITUTE(TRIM(C2705),".",""),"-","")," ",""))))</f>
        <v/>
      </c>
    </row>
    <row r="2706" customFormat="false" ht="15" hidden="false" customHeight="false" outlineLevel="0" collapsed="false">
      <c r="B2706" s="80"/>
      <c r="C2706" s="58"/>
      <c r="D2706" s="62" t="str">
        <f aca="false">IF(C2706="","",IFERROR(INDEX(T_NOMBRE,MATCH(V2706,T_RUTN,0)),"⚠ RUT no está en Trabajadores"))</f>
        <v/>
      </c>
      <c r="E2706" s="61"/>
      <c r="F2706" s="61"/>
      <c r="G2706" s="61"/>
      <c r="H2706" s="61"/>
      <c r="I2706" s="81"/>
      <c r="J2706" s="81"/>
      <c r="K2706" s="60"/>
      <c r="L2706" s="60"/>
      <c r="M2706" s="60"/>
      <c r="N2706" s="60"/>
      <c r="O2706" s="60"/>
      <c r="P2706" s="60"/>
      <c r="Q2706" s="60"/>
      <c r="R2706" s="58"/>
      <c r="S2706" s="62" t="str">
        <f aca="false">IF(OR(B2706="",V2706=""),"",IFERROR(INDEX(C_TIPO,MATCH(V2706&amp;"-P"&amp;MAX(1,COUNTIFS(C_RUTN,V2706,C_DEF,"Sí",C_INI,"&lt;="&amp;EOMONTH(B2706,0))),C_CLAVE,0))&amp;"","Sin contrato"))</f>
        <v/>
      </c>
      <c r="T2706" s="63" t="str">
        <f aca="false">IF(OR(B2706="",N(O2706)=0),"",N(O2706)+ROUND(MIN(N(N2706),TOPE_UF*UF_MES)*(TASA_EMP+MUTUAL),0)+ROUND(MIN(N(N2706),TOPE_AFC_UF*UF_MES)*IF(S2706="Indefinido",AFC_INDEF,AFC_PF),0))</f>
        <v/>
      </c>
      <c r="U2706" s="62" t="str">
        <f aca="false">IF(C2706="","",IF(LEFT(D2706,1)="⚠","⚠ RUT no registrado en Trabajadores",IF(B2706="","⚠ Falta el mes",IF(OR(ISTEXT(I2706),ISTEXT(J2706)),"⚠ Atrasos u horas extra como texto: escriba hh:mm (ej. 1:30)",IF(AND(ISNUMBER(Q2706),COUNTIFS(M_RUTN,V2706,M_MES,B2706,M_LIQ,"&lt;&gt;")&gt;1),"⚠ Liquidación repetida en el mes",IF(AND(ISNUMBER(O2706),ISNUMBER(P2706),ISNUMBER(Q2706),ABS(O2706-P2706-Q2706)&gt;1),"⚠ Haberes − descuentos no da el líquido","OK"))))))</f>
        <v/>
      </c>
      <c r="V2706" s="62" t="str">
        <f aca="false">IF(C2706="","",IFERROR(VALUE(LEFT(UPPER(SUBSTITUTE(SUBSTITUTE(SUBSTITUTE(TRIM(C2706),".",""),"-","")," ","")),LEN(UPPER(SUBSTITUTE(SUBSTITUTE(SUBSTITUTE(TRIM(C2706),".",""),"-","")," ","")))-1))&amp;RIGHT(UPPER(SUBSTITUTE(SUBSTITUTE(SUBSTITUTE(TRIM(C2706),".",""),"-","")," ","")),1),UPPER(SUBSTITUTE(SUBSTITUTE(SUBSTITUTE(TRIM(C2706),".",""),"-","")," ",""))))</f>
        <v/>
      </c>
    </row>
    <row r="2707" customFormat="false" ht="15" hidden="false" customHeight="false" outlineLevel="0" collapsed="false">
      <c r="B2707" s="80"/>
      <c r="C2707" s="58"/>
      <c r="D2707" s="62" t="str">
        <f aca="false">IF(C2707="","",IFERROR(INDEX(T_NOMBRE,MATCH(V2707,T_RUTN,0)),"⚠ RUT no está en Trabajadores"))</f>
        <v/>
      </c>
      <c r="E2707" s="61"/>
      <c r="F2707" s="61"/>
      <c r="G2707" s="61"/>
      <c r="H2707" s="61"/>
      <c r="I2707" s="81"/>
      <c r="J2707" s="81"/>
      <c r="K2707" s="60"/>
      <c r="L2707" s="60"/>
      <c r="M2707" s="60"/>
      <c r="N2707" s="60"/>
      <c r="O2707" s="60"/>
      <c r="P2707" s="60"/>
      <c r="Q2707" s="60"/>
      <c r="R2707" s="58"/>
      <c r="S2707" s="62" t="str">
        <f aca="false">IF(OR(B2707="",V2707=""),"",IFERROR(INDEX(C_TIPO,MATCH(V2707&amp;"-P"&amp;MAX(1,COUNTIFS(C_RUTN,V2707,C_DEF,"Sí",C_INI,"&lt;="&amp;EOMONTH(B2707,0))),C_CLAVE,0))&amp;"","Sin contrato"))</f>
        <v/>
      </c>
      <c r="T2707" s="63" t="str">
        <f aca="false">IF(OR(B2707="",N(O2707)=0),"",N(O2707)+ROUND(MIN(N(N2707),TOPE_UF*UF_MES)*(TASA_EMP+MUTUAL),0)+ROUND(MIN(N(N2707),TOPE_AFC_UF*UF_MES)*IF(S2707="Indefinido",AFC_INDEF,AFC_PF),0))</f>
        <v/>
      </c>
      <c r="U2707" s="62" t="str">
        <f aca="false">IF(C2707="","",IF(LEFT(D2707,1)="⚠","⚠ RUT no registrado en Trabajadores",IF(B2707="","⚠ Falta el mes",IF(OR(ISTEXT(I2707),ISTEXT(J2707)),"⚠ Atrasos u horas extra como texto: escriba hh:mm (ej. 1:30)",IF(AND(ISNUMBER(Q2707),COUNTIFS(M_RUTN,V2707,M_MES,B2707,M_LIQ,"&lt;&gt;")&gt;1),"⚠ Liquidación repetida en el mes",IF(AND(ISNUMBER(O2707),ISNUMBER(P2707),ISNUMBER(Q2707),ABS(O2707-P2707-Q2707)&gt;1),"⚠ Haberes − descuentos no da el líquido","OK"))))))</f>
        <v/>
      </c>
      <c r="V2707" s="62" t="str">
        <f aca="false">IF(C2707="","",IFERROR(VALUE(LEFT(UPPER(SUBSTITUTE(SUBSTITUTE(SUBSTITUTE(TRIM(C2707),".",""),"-","")," ","")),LEN(UPPER(SUBSTITUTE(SUBSTITUTE(SUBSTITUTE(TRIM(C2707),".",""),"-","")," ","")))-1))&amp;RIGHT(UPPER(SUBSTITUTE(SUBSTITUTE(SUBSTITUTE(TRIM(C2707),".",""),"-","")," ","")),1),UPPER(SUBSTITUTE(SUBSTITUTE(SUBSTITUTE(TRIM(C2707),".",""),"-","")," ",""))))</f>
        <v/>
      </c>
    </row>
    <row r="2708" customFormat="false" ht="15" hidden="false" customHeight="false" outlineLevel="0" collapsed="false">
      <c r="B2708" s="80"/>
      <c r="C2708" s="58"/>
      <c r="D2708" s="62" t="str">
        <f aca="false">IF(C2708="","",IFERROR(INDEX(T_NOMBRE,MATCH(V2708,T_RUTN,0)),"⚠ RUT no está en Trabajadores"))</f>
        <v/>
      </c>
      <c r="E2708" s="61"/>
      <c r="F2708" s="61"/>
      <c r="G2708" s="61"/>
      <c r="H2708" s="61"/>
      <c r="I2708" s="81"/>
      <c r="J2708" s="81"/>
      <c r="K2708" s="60"/>
      <c r="L2708" s="60"/>
      <c r="M2708" s="60"/>
      <c r="N2708" s="60"/>
      <c r="O2708" s="60"/>
      <c r="P2708" s="60"/>
      <c r="Q2708" s="60"/>
      <c r="R2708" s="58"/>
      <c r="S2708" s="62" t="str">
        <f aca="false">IF(OR(B2708="",V2708=""),"",IFERROR(INDEX(C_TIPO,MATCH(V2708&amp;"-P"&amp;MAX(1,COUNTIFS(C_RUTN,V2708,C_DEF,"Sí",C_INI,"&lt;="&amp;EOMONTH(B2708,0))),C_CLAVE,0))&amp;"","Sin contrato"))</f>
        <v/>
      </c>
      <c r="T2708" s="63" t="str">
        <f aca="false">IF(OR(B2708="",N(O2708)=0),"",N(O2708)+ROUND(MIN(N(N2708),TOPE_UF*UF_MES)*(TASA_EMP+MUTUAL),0)+ROUND(MIN(N(N2708),TOPE_AFC_UF*UF_MES)*IF(S2708="Indefinido",AFC_INDEF,AFC_PF),0))</f>
        <v/>
      </c>
      <c r="U2708" s="62" t="str">
        <f aca="false">IF(C2708="","",IF(LEFT(D2708,1)="⚠","⚠ RUT no registrado en Trabajadores",IF(B2708="","⚠ Falta el mes",IF(OR(ISTEXT(I2708),ISTEXT(J2708)),"⚠ Atrasos u horas extra como texto: escriba hh:mm (ej. 1:30)",IF(AND(ISNUMBER(Q2708),COUNTIFS(M_RUTN,V2708,M_MES,B2708,M_LIQ,"&lt;&gt;")&gt;1),"⚠ Liquidación repetida en el mes",IF(AND(ISNUMBER(O2708),ISNUMBER(P2708),ISNUMBER(Q2708),ABS(O2708-P2708-Q2708)&gt;1),"⚠ Haberes − descuentos no da el líquido","OK"))))))</f>
        <v/>
      </c>
      <c r="V2708" s="62" t="str">
        <f aca="false">IF(C2708="","",IFERROR(VALUE(LEFT(UPPER(SUBSTITUTE(SUBSTITUTE(SUBSTITUTE(TRIM(C2708),".",""),"-","")," ","")),LEN(UPPER(SUBSTITUTE(SUBSTITUTE(SUBSTITUTE(TRIM(C2708),".",""),"-","")," ","")))-1))&amp;RIGHT(UPPER(SUBSTITUTE(SUBSTITUTE(SUBSTITUTE(TRIM(C2708),".",""),"-","")," ","")),1),UPPER(SUBSTITUTE(SUBSTITUTE(SUBSTITUTE(TRIM(C2708),".",""),"-","")," ",""))))</f>
        <v/>
      </c>
    </row>
    <row r="2709" customFormat="false" ht="15" hidden="false" customHeight="false" outlineLevel="0" collapsed="false">
      <c r="B2709" s="80"/>
      <c r="C2709" s="58"/>
      <c r="D2709" s="62" t="str">
        <f aca="false">IF(C2709="","",IFERROR(INDEX(T_NOMBRE,MATCH(V2709,T_RUTN,0)),"⚠ RUT no está en Trabajadores"))</f>
        <v/>
      </c>
      <c r="E2709" s="61"/>
      <c r="F2709" s="61"/>
      <c r="G2709" s="61"/>
      <c r="H2709" s="61"/>
      <c r="I2709" s="81"/>
      <c r="J2709" s="81"/>
      <c r="K2709" s="60"/>
      <c r="L2709" s="60"/>
      <c r="M2709" s="60"/>
      <c r="N2709" s="60"/>
      <c r="O2709" s="60"/>
      <c r="P2709" s="60"/>
      <c r="Q2709" s="60"/>
      <c r="R2709" s="58"/>
      <c r="S2709" s="62" t="str">
        <f aca="false">IF(OR(B2709="",V2709=""),"",IFERROR(INDEX(C_TIPO,MATCH(V2709&amp;"-P"&amp;MAX(1,COUNTIFS(C_RUTN,V2709,C_DEF,"Sí",C_INI,"&lt;="&amp;EOMONTH(B2709,0))),C_CLAVE,0))&amp;"","Sin contrato"))</f>
        <v/>
      </c>
      <c r="T2709" s="63" t="str">
        <f aca="false">IF(OR(B2709="",N(O2709)=0),"",N(O2709)+ROUND(MIN(N(N2709),TOPE_UF*UF_MES)*(TASA_EMP+MUTUAL),0)+ROUND(MIN(N(N2709),TOPE_AFC_UF*UF_MES)*IF(S2709="Indefinido",AFC_INDEF,AFC_PF),0))</f>
        <v/>
      </c>
      <c r="U2709" s="62" t="str">
        <f aca="false">IF(C2709="","",IF(LEFT(D2709,1)="⚠","⚠ RUT no registrado en Trabajadores",IF(B2709="","⚠ Falta el mes",IF(OR(ISTEXT(I2709),ISTEXT(J2709)),"⚠ Atrasos u horas extra como texto: escriba hh:mm (ej. 1:30)",IF(AND(ISNUMBER(Q2709),COUNTIFS(M_RUTN,V2709,M_MES,B2709,M_LIQ,"&lt;&gt;")&gt;1),"⚠ Liquidación repetida en el mes",IF(AND(ISNUMBER(O2709),ISNUMBER(P2709),ISNUMBER(Q2709),ABS(O2709-P2709-Q2709)&gt;1),"⚠ Haberes − descuentos no da el líquido","OK"))))))</f>
        <v/>
      </c>
      <c r="V2709" s="62" t="str">
        <f aca="false">IF(C2709="","",IFERROR(VALUE(LEFT(UPPER(SUBSTITUTE(SUBSTITUTE(SUBSTITUTE(TRIM(C2709),".",""),"-","")," ","")),LEN(UPPER(SUBSTITUTE(SUBSTITUTE(SUBSTITUTE(TRIM(C2709),".",""),"-","")," ","")))-1))&amp;RIGHT(UPPER(SUBSTITUTE(SUBSTITUTE(SUBSTITUTE(TRIM(C2709),".",""),"-","")," ","")),1),UPPER(SUBSTITUTE(SUBSTITUTE(SUBSTITUTE(TRIM(C2709),".",""),"-","")," ",""))))</f>
        <v/>
      </c>
    </row>
    <row r="2710" customFormat="false" ht="15" hidden="false" customHeight="false" outlineLevel="0" collapsed="false">
      <c r="B2710" s="80"/>
      <c r="C2710" s="58"/>
      <c r="D2710" s="62" t="str">
        <f aca="false">IF(C2710="","",IFERROR(INDEX(T_NOMBRE,MATCH(V2710,T_RUTN,0)),"⚠ RUT no está en Trabajadores"))</f>
        <v/>
      </c>
      <c r="E2710" s="61"/>
      <c r="F2710" s="61"/>
      <c r="G2710" s="61"/>
      <c r="H2710" s="61"/>
      <c r="I2710" s="81"/>
      <c r="J2710" s="81"/>
      <c r="K2710" s="60"/>
      <c r="L2710" s="60"/>
      <c r="M2710" s="60"/>
      <c r="N2710" s="60"/>
      <c r="O2710" s="60"/>
      <c r="P2710" s="60"/>
      <c r="Q2710" s="60"/>
      <c r="R2710" s="58"/>
      <c r="S2710" s="62" t="str">
        <f aca="false">IF(OR(B2710="",V2710=""),"",IFERROR(INDEX(C_TIPO,MATCH(V2710&amp;"-P"&amp;MAX(1,COUNTIFS(C_RUTN,V2710,C_DEF,"Sí",C_INI,"&lt;="&amp;EOMONTH(B2710,0))),C_CLAVE,0))&amp;"","Sin contrato"))</f>
        <v/>
      </c>
      <c r="T2710" s="63" t="str">
        <f aca="false">IF(OR(B2710="",N(O2710)=0),"",N(O2710)+ROUND(MIN(N(N2710),TOPE_UF*UF_MES)*(TASA_EMP+MUTUAL),0)+ROUND(MIN(N(N2710),TOPE_AFC_UF*UF_MES)*IF(S2710="Indefinido",AFC_INDEF,AFC_PF),0))</f>
        <v/>
      </c>
      <c r="U2710" s="62" t="str">
        <f aca="false">IF(C2710="","",IF(LEFT(D2710,1)="⚠","⚠ RUT no registrado en Trabajadores",IF(B2710="","⚠ Falta el mes",IF(OR(ISTEXT(I2710),ISTEXT(J2710)),"⚠ Atrasos u horas extra como texto: escriba hh:mm (ej. 1:30)",IF(AND(ISNUMBER(Q2710),COUNTIFS(M_RUTN,V2710,M_MES,B2710,M_LIQ,"&lt;&gt;")&gt;1),"⚠ Liquidación repetida en el mes",IF(AND(ISNUMBER(O2710),ISNUMBER(P2710),ISNUMBER(Q2710),ABS(O2710-P2710-Q2710)&gt;1),"⚠ Haberes − descuentos no da el líquido","OK"))))))</f>
        <v/>
      </c>
      <c r="V2710" s="62" t="str">
        <f aca="false">IF(C2710="","",IFERROR(VALUE(LEFT(UPPER(SUBSTITUTE(SUBSTITUTE(SUBSTITUTE(TRIM(C2710),".",""),"-","")," ","")),LEN(UPPER(SUBSTITUTE(SUBSTITUTE(SUBSTITUTE(TRIM(C2710),".",""),"-","")," ","")))-1))&amp;RIGHT(UPPER(SUBSTITUTE(SUBSTITUTE(SUBSTITUTE(TRIM(C2710),".",""),"-","")," ","")),1),UPPER(SUBSTITUTE(SUBSTITUTE(SUBSTITUTE(TRIM(C2710),".",""),"-","")," ",""))))</f>
        <v/>
      </c>
    </row>
    <row r="2711" customFormat="false" ht="15" hidden="false" customHeight="false" outlineLevel="0" collapsed="false">
      <c r="B2711" s="80"/>
      <c r="C2711" s="58"/>
      <c r="D2711" s="62" t="str">
        <f aca="false">IF(C2711="","",IFERROR(INDEX(T_NOMBRE,MATCH(V2711,T_RUTN,0)),"⚠ RUT no está en Trabajadores"))</f>
        <v/>
      </c>
      <c r="E2711" s="61"/>
      <c r="F2711" s="61"/>
      <c r="G2711" s="61"/>
      <c r="H2711" s="61"/>
      <c r="I2711" s="81"/>
      <c r="J2711" s="81"/>
      <c r="K2711" s="60"/>
      <c r="L2711" s="60"/>
      <c r="M2711" s="60"/>
      <c r="N2711" s="60"/>
      <c r="O2711" s="60"/>
      <c r="P2711" s="60"/>
      <c r="Q2711" s="60"/>
      <c r="R2711" s="58"/>
      <c r="S2711" s="62" t="str">
        <f aca="false">IF(OR(B2711="",V2711=""),"",IFERROR(INDEX(C_TIPO,MATCH(V2711&amp;"-P"&amp;MAX(1,COUNTIFS(C_RUTN,V2711,C_DEF,"Sí",C_INI,"&lt;="&amp;EOMONTH(B2711,0))),C_CLAVE,0))&amp;"","Sin contrato"))</f>
        <v/>
      </c>
      <c r="T2711" s="63" t="str">
        <f aca="false">IF(OR(B2711="",N(O2711)=0),"",N(O2711)+ROUND(MIN(N(N2711),TOPE_UF*UF_MES)*(TASA_EMP+MUTUAL),0)+ROUND(MIN(N(N2711),TOPE_AFC_UF*UF_MES)*IF(S2711="Indefinido",AFC_INDEF,AFC_PF),0))</f>
        <v/>
      </c>
      <c r="U2711" s="62" t="str">
        <f aca="false">IF(C2711="","",IF(LEFT(D2711,1)="⚠","⚠ RUT no registrado en Trabajadores",IF(B2711="","⚠ Falta el mes",IF(OR(ISTEXT(I2711),ISTEXT(J2711)),"⚠ Atrasos u horas extra como texto: escriba hh:mm (ej. 1:30)",IF(AND(ISNUMBER(Q2711),COUNTIFS(M_RUTN,V2711,M_MES,B2711,M_LIQ,"&lt;&gt;")&gt;1),"⚠ Liquidación repetida en el mes",IF(AND(ISNUMBER(O2711),ISNUMBER(P2711),ISNUMBER(Q2711),ABS(O2711-P2711-Q2711)&gt;1),"⚠ Haberes − descuentos no da el líquido","OK"))))))</f>
        <v/>
      </c>
      <c r="V2711" s="62" t="str">
        <f aca="false">IF(C2711="","",IFERROR(VALUE(LEFT(UPPER(SUBSTITUTE(SUBSTITUTE(SUBSTITUTE(TRIM(C2711),".",""),"-","")," ","")),LEN(UPPER(SUBSTITUTE(SUBSTITUTE(SUBSTITUTE(TRIM(C2711),".",""),"-","")," ","")))-1))&amp;RIGHT(UPPER(SUBSTITUTE(SUBSTITUTE(SUBSTITUTE(TRIM(C2711),".",""),"-","")," ","")),1),UPPER(SUBSTITUTE(SUBSTITUTE(SUBSTITUTE(TRIM(C2711),".",""),"-","")," ",""))))</f>
        <v/>
      </c>
    </row>
    <row r="2712" customFormat="false" ht="15" hidden="false" customHeight="false" outlineLevel="0" collapsed="false">
      <c r="B2712" s="80"/>
      <c r="C2712" s="58"/>
      <c r="D2712" s="62" t="str">
        <f aca="false">IF(C2712="","",IFERROR(INDEX(T_NOMBRE,MATCH(V2712,T_RUTN,0)),"⚠ RUT no está en Trabajadores"))</f>
        <v/>
      </c>
      <c r="E2712" s="61"/>
      <c r="F2712" s="61"/>
      <c r="G2712" s="61"/>
      <c r="H2712" s="61"/>
      <c r="I2712" s="81"/>
      <c r="J2712" s="81"/>
      <c r="K2712" s="60"/>
      <c r="L2712" s="60"/>
      <c r="M2712" s="60"/>
      <c r="N2712" s="60"/>
      <c r="O2712" s="60"/>
      <c r="P2712" s="60"/>
      <c r="Q2712" s="60"/>
      <c r="R2712" s="58"/>
      <c r="S2712" s="62" t="str">
        <f aca="false">IF(OR(B2712="",V2712=""),"",IFERROR(INDEX(C_TIPO,MATCH(V2712&amp;"-P"&amp;MAX(1,COUNTIFS(C_RUTN,V2712,C_DEF,"Sí",C_INI,"&lt;="&amp;EOMONTH(B2712,0))),C_CLAVE,0))&amp;"","Sin contrato"))</f>
        <v/>
      </c>
      <c r="T2712" s="63" t="str">
        <f aca="false">IF(OR(B2712="",N(O2712)=0),"",N(O2712)+ROUND(MIN(N(N2712),TOPE_UF*UF_MES)*(TASA_EMP+MUTUAL),0)+ROUND(MIN(N(N2712),TOPE_AFC_UF*UF_MES)*IF(S2712="Indefinido",AFC_INDEF,AFC_PF),0))</f>
        <v/>
      </c>
      <c r="U2712" s="62" t="str">
        <f aca="false">IF(C2712="","",IF(LEFT(D2712,1)="⚠","⚠ RUT no registrado en Trabajadores",IF(B2712="","⚠ Falta el mes",IF(OR(ISTEXT(I2712),ISTEXT(J2712)),"⚠ Atrasos u horas extra como texto: escriba hh:mm (ej. 1:30)",IF(AND(ISNUMBER(Q2712),COUNTIFS(M_RUTN,V2712,M_MES,B2712,M_LIQ,"&lt;&gt;")&gt;1),"⚠ Liquidación repetida en el mes",IF(AND(ISNUMBER(O2712),ISNUMBER(P2712),ISNUMBER(Q2712),ABS(O2712-P2712-Q2712)&gt;1),"⚠ Haberes − descuentos no da el líquido","OK"))))))</f>
        <v/>
      </c>
      <c r="V2712" s="62" t="str">
        <f aca="false">IF(C2712="","",IFERROR(VALUE(LEFT(UPPER(SUBSTITUTE(SUBSTITUTE(SUBSTITUTE(TRIM(C2712),".",""),"-","")," ","")),LEN(UPPER(SUBSTITUTE(SUBSTITUTE(SUBSTITUTE(TRIM(C2712),".",""),"-","")," ","")))-1))&amp;RIGHT(UPPER(SUBSTITUTE(SUBSTITUTE(SUBSTITUTE(TRIM(C2712),".",""),"-","")," ","")),1),UPPER(SUBSTITUTE(SUBSTITUTE(SUBSTITUTE(TRIM(C2712),".",""),"-","")," ",""))))</f>
        <v/>
      </c>
    </row>
    <row r="2713" customFormat="false" ht="15" hidden="false" customHeight="false" outlineLevel="0" collapsed="false">
      <c r="B2713" s="80"/>
      <c r="C2713" s="58"/>
      <c r="D2713" s="62" t="str">
        <f aca="false">IF(C2713="","",IFERROR(INDEX(T_NOMBRE,MATCH(V2713,T_RUTN,0)),"⚠ RUT no está en Trabajadores"))</f>
        <v/>
      </c>
      <c r="E2713" s="61"/>
      <c r="F2713" s="61"/>
      <c r="G2713" s="61"/>
      <c r="H2713" s="61"/>
      <c r="I2713" s="81"/>
      <c r="J2713" s="81"/>
      <c r="K2713" s="60"/>
      <c r="L2713" s="60"/>
      <c r="M2713" s="60"/>
      <c r="N2713" s="60"/>
      <c r="O2713" s="60"/>
      <c r="P2713" s="60"/>
      <c r="Q2713" s="60"/>
      <c r="R2713" s="58"/>
      <c r="S2713" s="62" t="str">
        <f aca="false">IF(OR(B2713="",V2713=""),"",IFERROR(INDEX(C_TIPO,MATCH(V2713&amp;"-P"&amp;MAX(1,COUNTIFS(C_RUTN,V2713,C_DEF,"Sí",C_INI,"&lt;="&amp;EOMONTH(B2713,0))),C_CLAVE,0))&amp;"","Sin contrato"))</f>
        <v/>
      </c>
      <c r="T2713" s="63" t="str">
        <f aca="false">IF(OR(B2713="",N(O2713)=0),"",N(O2713)+ROUND(MIN(N(N2713),TOPE_UF*UF_MES)*(TASA_EMP+MUTUAL),0)+ROUND(MIN(N(N2713),TOPE_AFC_UF*UF_MES)*IF(S2713="Indefinido",AFC_INDEF,AFC_PF),0))</f>
        <v/>
      </c>
      <c r="U2713" s="62" t="str">
        <f aca="false">IF(C2713="","",IF(LEFT(D2713,1)="⚠","⚠ RUT no registrado en Trabajadores",IF(B2713="","⚠ Falta el mes",IF(OR(ISTEXT(I2713),ISTEXT(J2713)),"⚠ Atrasos u horas extra como texto: escriba hh:mm (ej. 1:30)",IF(AND(ISNUMBER(Q2713),COUNTIFS(M_RUTN,V2713,M_MES,B2713,M_LIQ,"&lt;&gt;")&gt;1),"⚠ Liquidación repetida en el mes",IF(AND(ISNUMBER(O2713),ISNUMBER(P2713),ISNUMBER(Q2713),ABS(O2713-P2713-Q2713)&gt;1),"⚠ Haberes − descuentos no da el líquido","OK"))))))</f>
        <v/>
      </c>
      <c r="V2713" s="62" t="str">
        <f aca="false">IF(C2713="","",IFERROR(VALUE(LEFT(UPPER(SUBSTITUTE(SUBSTITUTE(SUBSTITUTE(TRIM(C2713),".",""),"-","")," ","")),LEN(UPPER(SUBSTITUTE(SUBSTITUTE(SUBSTITUTE(TRIM(C2713),".",""),"-","")," ","")))-1))&amp;RIGHT(UPPER(SUBSTITUTE(SUBSTITUTE(SUBSTITUTE(TRIM(C2713),".",""),"-","")," ","")),1),UPPER(SUBSTITUTE(SUBSTITUTE(SUBSTITUTE(TRIM(C2713),".",""),"-","")," ",""))))</f>
        <v/>
      </c>
    </row>
    <row r="2714" customFormat="false" ht="15" hidden="false" customHeight="false" outlineLevel="0" collapsed="false">
      <c r="B2714" s="80"/>
      <c r="C2714" s="58"/>
      <c r="D2714" s="62" t="str">
        <f aca="false">IF(C2714="","",IFERROR(INDEX(T_NOMBRE,MATCH(V2714,T_RUTN,0)),"⚠ RUT no está en Trabajadores"))</f>
        <v/>
      </c>
      <c r="E2714" s="61"/>
      <c r="F2714" s="61"/>
      <c r="G2714" s="61"/>
      <c r="H2714" s="61"/>
      <c r="I2714" s="81"/>
      <c r="J2714" s="81"/>
      <c r="K2714" s="60"/>
      <c r="L2714" s="60"/>
      <c r="M2714" s="60"/>
      <c r="N2714" s="60"/>
      <c r="O2714" s="60"/>
      <c r="P2714" s="60"/>
      <c r="Q2714" s="60"/>
      <c r="R2714" s="58"/>
      <c r="S2714" s="62" t="str">
        <f aca="false">IF(OR(B2714="",V2714=""),"",IFERROR(INDEX(C_TIPO,MATCH(V2714&amp;"-P"&amp;MAX(1,COUNTIFS(C_RUTN,V2714,C_DEF,"Sí",C_INI,"&lt;="&amp;EOMONTH(B2714,0))),C_CLAVE,0))&amp;"","Sin contrato"))</f>
        <v/>
      </c>
      <c r="T2714" s="63" t="str">
        <f aca="false">IF(OR(B2714="",N(O2714)=0),"",N(O2714)+ROUND(MIN(N(N2714),TOPE_UF*UF_MES)*(TASA_EMP+MUTUAL),0)+ROUND(MIN(N(N2714),TOPE_AFC_UF*UF_MES)*IF(S2714="Indefinido",AFC_INDEF,AFC_PF),0))</f>
        <v/>
      </c>
      <c r="U2714" s="62" t="str">
        <f aca="false">IF(C2714="","",IF(LEFT(D2714,1)="⚠","⚠ RUT no registrado en Trabajadores",IF(B2714="","⚠ Falta el mes",IF(OR(ISTEXT(I2714),ISTEXT(J2714)),"⚠ Atrasos u horas extra como texto: escriba hh:mm (ej. 1:30)",IF(AND(ISNUMBER(Q2714),COUNTIFS(M_RUTN,V2714,M_MES,B2714,M_LIQ,"&lt;&gt;")&gt;1),"⚠ Liquidación repetida en el mes",IF(AND(ISNUMBER(O2714),ISNUMBER(P2714),ISNUMBER(Q2714),ABS(O2714-P2714-Q2714)&gt;1),"⚠ Haberes − descuentos no da el líquido","OK"))))))</f>
        <v/>
      </c>
      <c r="V2714" s="62" t="str">
        <f aca="false">IF(C2714="","",IFERROR(VALUE(LEFT(UPPER(SUBSTITUTE(SUBSTITUTE(SUBSTITUTE(TRIM(C2714),".",""),"-","")," ","")),LEN(UPPER(SUBSTITUTE(SUBSTITUTE(SUBSTITUTE(TRIM(C2714),".",""),"-","")," ","")))-1))&amp;RIGHT(UPPER(SUBSTITUTE(SUBSTITUTE(SUBSTITUTE(TRIM(C2714),".",""),"-","")," ","")),1),UPPER(SUBSTITUTE(SUBSTITUTE(SUBSTITUTE(TRIM(C2714),".",""),"-","")," ",""))))</f>
        <v/>
      </c>
    </row>
    <row r="2715" customFormat="false" ht="15" hidden="false" customHeight="false" outlineLevel="0" collapsed="false">
      <c r="B2715" s="80"/>
      <c r="C2715" s="58"/>
      <c r="D2715" s="62" t="str">
        <f aca="false">IF(C2715="","",IFERROR(INDEX(T_NOMBRE,MATCH(V2715,T_RUTN,0)),"⚠ RUT no está en Trabajadores"))</f>
        <v/>
      </c>
      <c r="E2715" s="61"/>
      <c r="F2715" s="61"/>
      <c r="G2715" s="61"/>
      <c r="H2715" s="61"/>
      <c r="I2715" s="81"/>
      <c r="J2715" s="81"/>
      <c r="K2715" s="60"/>
      <c r="L2715" s="60"/>
      <c r="M2715" s="60"/>
      <c r="N2715" s="60"/>
      <c r="O2715" s="60"/>
      <c r="P2715" s="60"/>
      <c r="Q2715" s="60"/>
      <c r="R2715" s="58"/>
      <c r="S2715" s="62" t="str">
        <f aca="false">IF(OR(B2715="",V2715=""),"",IFERROR(INDEX(C_TIPO,MATCH(V2715&amp;"-P"&amp;MAX(1,COUNTIFS(C_RUTN,V2715,C_DEF,"Sí",C_INI,"&lt;="&amp;EOMONTH(B2715,0))),C_CLAVE,0))&amp;"","Sin contrato"))</f>
        <v/>
      </c>
      <c r="T2715" s="63" t="str">
        <f aca="false">IF(OR(B2715="",N(O2715)=0),"",N(O2715)+ROUND(MIN(N(N2715),TOPE_UF*UF_MES)*(TASA_EMP+MUTUAL),0)+ROUND(MIN(N(N2715),TOPE_AFC_UF*UF_MES)*IF(S2715="Indefinido",AFC_INDEF,AFC_PF),0))</f>
        <v/>
      </c>
      <c r="U2715" s="62" t="str">
        <f aca="false">IF(C2715="","",IF(LEFT(D2715,1)="⚠","⚠ RUT no registrado en Trabajadores",IF(B2715="","⚠ Falta el mes",IF(OR(ISTEXT(I2715),ISTEXT(J2715)),"⚠ Atrasos u horas extra como texto: escriba hh:mm (ej. 1:30)",IF(AND(ISNUMBER(Q2715),COUNTIFS(M_RUTN,V2715,M_MES,B2715,M_LIQ,"&lt;&gt;")&gt;1),"⚠ Liquidación repetida en el mes",IF(AND(ISNUMBER(O2715),ISNUMBER(P2715),ISNUMBER(Q2715),ABS(O2715-P2715-Q2715)&gt;1),"⚠ Haberes − descuentos no da el líquido","OK"))))))</f>
        <v/>
      </c>
      <c r="V2715" s="62" t="str">
        <f aca="false">IF(C2715="","",IFERROR(VALUE(LEFT(UPPER(SUBSTITUTE(SUBSTITUTE(SUBSTITUTE(TRIM(C2715),".",""),"-","")," ","")),LEN(UPPER(SUBSTITUTE(SUBSTITUTE(SUBSTITUTE(TRIM(C2715),".",""),"-","")," ","")))-1))&amp;RIGHT(UPPER(SUBSTITUTE(SUBSTITUTE(SUBSTITUTE(TRIM(C2715),".",""),"-","")," ","")),1),UPPER(SUBSTITUTE(SUBSTITUTE(SUBSTITUTE(TRIM(C2715),".",""),"-","")," ",""))))</f>
        <v/>
      </c>
    </row>
    <row r="2716" customFormat="false" ht="15" hidden="false" customHeight="false" outlineLevel="0" collapsed="false">
      <c r="B2716" s="80"/>
      <c r="C2716" s="58"/>
      <c r="D2716" s="62" t="str">
        <f aca="false">IF(C2716="","",IFERROR(INDEX(T_NOMBRE,MATCH(V2716,T_RUTN,0)),"⚠ RUT no está en Trabajadores"))</f>
        <v/>
      </c>
      <c r="E2716" s="61"/>
      <c r="F2716" s="61"/>
      <c r="G2716" s="61"/>
      <c r="H2716" s="61"/>
      <c r="I2716" s="81"/>
      <c r="J2716" s="81"/>
      <c r="K2716" s="60"/>
      <c r="L2716" s="60"/>
      <c r="M2716" s="60"/>
      <c r="N2716" s="60"/>
      <c r="O2716" s="60"/>
      <c r="P2716" s="60"/>
      <c r="Q2716" s="60"/>
      <c r="R2716" s="58"/>
      <c r="S2716" s="62" t="str">
        <f aca="false">IF(OR(B2716="",V2716=""),"",IFERROR(INDEX(C_TIPO,MATCH(V2716&amp;"-P"&amp;MAX(1,COUNTIFS(C_RUTN,V2716,C_DEF,"Sí",C_INI,"&lt;="&amp;EOMONTH(B2716,0))),C_CLAVE,0))&amp;"","Sin contrato"))</f>
        <v/>
      </c>
      <c r="T2716" s="63" t="str">
        <f aca="false">IF(OR(B2716="",N(O2716)=0),"",N(O2716)+ROUND(MIN(N(N2716),TOPE_UF*UF_MES)*(TASA_EMP+MUTUAL),0)+ROUND(MIN(N(N2716),TOPE_AFC_UF*UF_MES)*IF(S2716="Indefinido",AFC_INDEF,AFC_PF),0))</f>
        <v/>
      </c>
      <c r="U2716" s="62" t="str">
        <f aca="false">IF(C2716="","",IF(LEFT(D2716,1)="⚠","⚠ RUT no registrado en Trabajadores",IF(B2716="","⚠ Falta el mes",IF(OR(ISTEXT(I2716),ISTEXT(J2716)),"⚠ Atrasos u horas extra como texto: escriba hh:mm (ej. 1:30)",IF(AND(ISNUMBER(Q2716),COUNTIFS(M_RUTN,V2716,M_MES,B2716,M_LIQ,"&lt;&gt;")&gt;1),"⚠ Liquidación repetida en el mes",IF(AND(ISNUMBER(O2716),ISNUMBER(P2716),ISNUMBER(Q2716),ABS(O2716-P2716-Q2716)&gt;1),"⚠ Haberes − descuentos no da el líquido","OK"))))))</f>
        <v/>
      </c>
      <c r="V2716" s="62" t="str">
        <f aca="false">IF(C2716="","",IFERROR(VALUE(LEFT(UPPER(SUBSTITUTE(SUBSTITUTE(SUBSTITUTE(TRIM(C2716),".",""),"-","")," ","")),LEN(UPPER(SUBSTITUTE(SUBSTITUTE(SUBSTITUTE(TRIM(C2716),".",""),"-","")," ","")))-1))&amp;RIGHT(UPPER(SUBSTITUTE(SUBSTITUTE(SUBSTITUTE(TRIM(C2716),".",""),"-","")," ","")),1),UPPER(SUBSTITUTE(SUBSTITUTE(SUBSTITUTE(TRIM(C2716),".",""),"-","")," ",""))))</f>
        <v/>
      </c>
    </row>
    <row r="2717" customFormat="false" ht="15" hidden="false" customHeight="false" outlineLevel="0" collapsed="false">
      <c r="B2717" s="80"/>
      <c r="C2717" s="58"/>
      <c r="D2717" s="62" t="str">
        <f aca="false">IF(C2717="","",IFERROR(INDEX(T_NOMBRE,MATCH(V2717,T_RUTN,0)),"⚠ RUT no está en Trabajadores"))</f>
        <v/>
      </c>
      <c r="E2717" s="61"/>
      <c r="F2717" s="61"/>
      <c r="G2717" s="61"/>
      <c r="H2717" s="61"/>
      <c r="I2717" s="81"/>
      <c r="J2717" s="81"/>
      <c r="K2717" s="60"/>
      <c r="L2717" s="60"/>
      <c r="M2717" s="60"/>
      <c r="N2717" s="60"/>
      <c r="O2717" s="60"/>
      <c r="P2717" s="60"/>
      <c r="Q2717" s="60"/>
      <c r="R2717" s="58"/>
      <c r="S2717" s="62" t="str">
        <f aca="false">IF(OR(B2717="",V2717=""),"",IFERROR(INDEX(C_TIPO,MATCH(V2717&amp;"-P"&amp;MAX(1,COUNTIFS(C_RUTN,V2717,C_DEF,"Sí",C_INI,"&lt;="&amp;EOMONTH(B2717,0))),C_CLAVE,0))&amp;"","Sin contrato"))</f>
        <v/>
      </c>
      <c r="T2717" s="63" t="str">
        <f aca="false">IF(OR(B2717="",N(O2717)=0),"",N(O2717)+ROUND(MIN(N(N2717),TOPE_UF*UF_MES)*(TASA_EMP+MUTUAL),0)+ROUND(MIN(N(N2717),TOPE_AFC_UF*UF_MES)*IF(S2717="Indefinido",AFC_INDEF,AFC_PF),0))</f>
        <v/>
      </c>
      <c r="U2717" s="62" t="str">
        <f aca="false">IF(C2717="","",IF(LEFT(D2717,1)="⚠","⚠ RUT no registrado en Trabajadores",IF(B2717="","⚠ Falta el mes",IF(OR(ISTEXT(I2717),ISTEXT(J2717)),"⚠ Atrasos u horas extra como texto: escriba hh:mm (ej. 1:30)",IF(AND(ISNUMBER(Q2717),COUNTIFS(M_RUTN,V2717,M_MES,B2717,M_LIQ,"&lt;&gt;")&gt;1),"⚠ Liquidación repetida en el mes",IF(AND(ISNUMBER(O2717),ISNUMBER(P2717),ISNUMBER(Q2717),ABS(O2717-P2717-Q2717)&gt;1),"⚠ Haberes − descuentos no da el líquido","OK"))))))</f>
        <v/>
      </c>
      <c r="V2717" s="62" t="str">
        <f aca="false">IF(C2717="","",IFERROR(VALUE(LEFT(UPPER(SUBSTITUTE(SUBSTITUTE(SUBSTITUTE(TRIM(C2717),".",""),"-","")," ","")),LEN(UPPER(SUBSTITUTE(SUBSTITUTE(SUBSTITUTE(TRIM(C2717),".",""),"-","")," ","")))-1))&amp;RIGHT(UPPER(SUBSTITUTE(SUBSTITUTE(SUBSTITUTE(TRIM(C2717),".",""),"-","")," ","")),1),UPPER(SUBSTITUTE(SUBSTITUTE(SUBSTITUTE(TRIM(C2717),".",""),"-","")," ",""))))</f>
        <v/>
      </c>
    </row>
    <row r="2718" customFormat="false" ht="15" hidden="false" customHeight="false" outlineLevel="0" collapsed="false">
      <c r="B2718" s="80"/>
      <c r="C2718" s="58"/>
      <c r="D2718" s="62" t="str">
        <f aca="false">IF(C2718="","",IFERROR(INDEX(T_NOMBRE,MATCH(V2718,T_RUTN,0)),"⚠ RUT no está en Trabajadores"))</f>
        <v/>
      </c>
      <c r="E2718" s="61"/>
      <c r="F2718" s="61"/>
      <c r="G2718" s="61"/>
      <c r="H2718" s="61"/>
      <c r="I2718" s="81"/>
      <c r="J2718" s="81"/>
      <c r="K2718" s="60"/>
      <c r="L2718" s="60"/>
      <c r="M2718" s="60"/>
      <c r="N2718" s="60"/>
      <c r="O2718" s="60"/>
      <c r="P2718" s="60"/>
      <c r="Q2718" s="60"/>
      <c r="R2718" s="58"/>
      <c r="S2718" s="62" t="str">
        <f aca="false">IF(OR(B2718="",V2718=""),"",IFERROR(INDEX(C_TIPO,MATCH(V2718&amp;"-P"&amp;MAX(1,COUNTIFS(C_RUTN,V2718,C_DEF,"Sí",C_INI,"&lt;="&amp;EOMONTH(B2718,0))),C_CLAVE,0))&amp;"","Sin contrato"))</f>
        <v/>
      </c>
      <c r="T2718" s="63" t="str">
        <f aca="false">IF(OR(B2718="",N(O2718)=0),"",N(O2718)+ROUND(MIN(N(N2718),TOPE_UF*UF_MES)*(TASA_EMP+MUTUAL),0)+ROUND(MIN(N(N2718),TOPE_AFC_UF*UF_MES)*IF(S2718="Indefinido",AFC_INDEF,AFC_PF),0))</f>
        <v/>
      </c>
      <c r="U2718" s="62" t="str">
        <f aca="false">IF(C2718="","",IF(LEFT(D2718,1)="⚠","⚠ RUT no registrado en Trabajadores",IF(B2718="","⚠ Falta el mes",IF(OR(ISTEXT(I2718),ISTEXT(J2718)),"⚠ Atrasos u horas extra como texto: escriba hh:mm (ej. 1:30)",IF(AND(ISNUMBER(Q2718),COUNTIFS(M_RUTN,V2718,M_MES,B2718,M_LIQ,"&lt;&gt;")&gt;1),"⚠ Liquidación repetida en el mes",IF(AND(ISNUMBER(O2718),ISNUMBER(P2718),ISNUMBER(Q2718),ABS(O2718-P2718-Q2718)&gt;1),"⚠ Haberes − descuentos no da el líquido","OK"))))))</f>
        <v/>
      </c>
      <c r="V2718" s="62" t="str">
        <f aca="false">IF(C2718="","",IFERROR(VALUE(LEFT(UPPER(SUBSTITUTE(SUBSTITUTE(SUBSTITUTE(TRIM(C2718),".",""),"-","")," ","")),LEN(UPPER(SUBSTITUTE(SUBSTITUTE(SUBSTITUTE(TRIM(C2718),".",""),"-","")," ","")))-1))&amp;RIGHT(UPPER(SUBSTITUTE(SUBSTITUTE(SUBSTITUTE(TRIM(C2718),".",""),"-","")," ","")),1),UPPER(SUBSTITUTE(SUBSTITUTE(SUBSTITUTE(TRIM(C2718),".",""),"-","")," ",""))))</f>
        <v/>
      </c>
    </row>
    <row r="2719" customFormat="false" ht="15" hidden="false" customHeight="false" outlineLevel="0" collapsed="false">
      <c r="B2719" s="80"/>
      <c r="C2719" s="58"/>
      <c r="D2719" s="62" t="str">
        <f aca="false">IF(C2719="","",IFERROR(INDEX(T_NOMBRE,MATCH(V2719,T_RUTN,0)),"⚠ RUT no está en Trabajadores"))</f>
        <v/>
      </c>
      <c r="E2719" s="61"/>
      <c r="F2719" s="61"/>
      <c r="G2719" s="61"/>
      <c r="H2719" s="61"/>
      <c r="I2719" s="81"/>
      <c r="J2719" s="81"/>
      <c r="K2719" s="60"/>
      <c r="L2719" s="60"/>
      <c r="M2719" s="60"/>
      <c r="N2719" s="60"/>
      <c r="O2719" s="60"/>
      <c r="P2719" s="60"/>
      <c r="Q2719" s="60"/>
      <c r="R2719" s="58"/>
      <c r="S2719" s="62" t="str">
        <f aca="false">IF(OR(B2719="",V2719=""),"",IFERROR(INDEX(C_TIPO,MATCH(V2719&amp;"-P"&amp;MAX(1,COUNTIFS(C_RUTN,V2719,C_DEF,"Sí",C_INI,"&lt;="&amp;EOMONTH(B2719,0))),C_CLAVE,0))&amp;"","Sin contrato"))</f>
        <v/>
      </c>
      <c r="T2719" s="63" t="str">
        <f aca="false">IF(OR(B2719="",N(O2719)=0),"",N(O2719)+ROUND(MIN(N(N2719),TOPE_UF*UF_MES)*(TASA_EMP+MUTUAL),0)+ROUND(MIN(N(N2719),TOPE_AFC_UF*UF_MES)*IF(S2719="Indefinido",AFC_INDEF,AFC_PF),0))</f>
        <v/>
      </c>
      <c r="U2719" s="62" t="str">
        <f aca="false">IF(C2719="","",IF(LEFT(D2719,1)="⚠","⚠ RUT no registrado en Trabajadores",IF(B2719="","⚠ Falta el mes",IF(OR(ISTEXT(I2719),ISTEXT(J2719)),"⚠ Atrasos u horas extra como texto: escriba hh:mm (ej. 1:30)",IF(AND(ISNUMBER(Q2719),COUNTIFS(M_RUTN,V2719,M_MES,B2719,M_LIQ,"&lt;&gt;")&gt;1),"⚠ Liquidación repetida en el mes",IF(AND(ISNUMBER(O2719),ISNUMBER(P2719),ISNUMBER(Q2719),ABS(O2719-P2719-Q2719)&gt;1),"⚠ Haberes − descuentos no da el líquido","OK"))))))</f>
        <v/>
      </c>
      <c r="V2719" s="62" t="str">
        <f aca="false">IF(C2719="","",IFERROR(VALUE(LEFT(UPPER(SUBSTITUTE(SUBSTITUTE(SUBSTITUTE(TRIM(C2719),".",""),"-","")," ","")),LEN(UPPER(SUBSTITUTE(SUBSTITUTE(SUBSTITUTE(TRIM(C2719),".",""),"-","")," ","")))-1))&amp;RIGHT(UPPER(SUBSTITUTE(SUBSTITUTE(SUBSTITUTE(TRIM(C2719),".",""),"-","")," ","")),1),UPPER(SUBSTITUTE(SUBSTITUTE(SUBSTITUTE(TRIM(C2719),".",""),"-","")," ",""))))</f>
        <v/>
      </c>
    </row>
    <row r="2720" customFormat="false" ht="15" hidden="false" customHeight="false" outlineLevel="0" collapsed="false">
      <c r="B2720" s="80"/>
      <c r="C2720" s="58"/>
      <c r="D2720" s="62" t="str">
        <f aca="false">IF(C2720="","",IFERROR(INDEX(T_NOMBRE,MATCH(V2720,T_RUTN,0)),"⚠ RUT no está en Trabajadores"))</f>
        <v/>
      </c>
      <c r="E2720" s="61"/>
      <c r="F2720" s="61"/>
      <c r="G2720" s="61"/>
      <c r="H2720" s="61"/>
      <c r="I2720" s="81"/>
      <c r="J2720" s="81"/>
      <c r="K2720" s="60"/>
      <c r="L2720" s="60"/>
      <c r="M2720" s="60"/>
      <c r="N2720" s="60"/>
      <c r="O2720" s="60"/>
      <c r="P2720" s="60"/>
      <c r="Q2720" s="60"/>
      <c r="R2720" s="58"/>
      <c r="S2720" s="62" t="str">
        <f aca="false">IF(OR(B2720="",V2720=""),"",IFERROR(INDEX(C_TIPO,MATCH(V2720&amp;"-P"&amp;MAX(1,COUNTIFS(C_RUTN,V2720,C_DEF,"Sí",C_INI,"&lt;="&amp;EOMONTH(B2720,0))),C_CLAVE,0))&amp;"","Sin contrato"))</f>
        <v/>
      </c>
      <c r="T2720" s="63" t="str">
        <f aca="false">IF(OR(B2720="",N(O2720)=0),"",N(O2720)+ROUND(MIN(N(N2720),TOPE_UF*UF_MES)*(TASA_EMP+MUTUAL),0)+ROUND(MIN(N(N2720),TOPE_AFC_UF*UF_MES)*IF(S2720="Indefinido",AFC_INDEF,AFC_PF),0))</f>
        <v/>
      </c>
      <c r="U2720" s="62" t="str">
        <f aca="false">IF(C2720="","",IF(LEFT(D2720,1)="⚠","⚠ RUT no registrado en Trabajadores",IF(B2720="","⚠ Falta el mes",IF(OR(ISTEXT(I2720),ISTEXT(J2720)),"⚠ Atrasos u horas extra como texto: escriba hh:mm (ej. 1:30)",IF(AND(ISNUMBER(Q2720),COUNTIFS(M_RUTN,V2720,M_MES,B2720,M_LIQ,"&lt;&gt;")&gt;1),"⚠ Liquidación repetida en el mes",IF(AND(ISNUMBER(O2720),ISNUMBER(P2720),ISNUMBER(Q2720),ABS(O2720-P2720-Q2720)&gt;1),"⚠ Haberes − descuentos no da el líquido","OK"))))))</f>
        <v/>
      </c>
      <c r="V2720" s="62" t="str">
        <f aca="false">IF(C2720="","",IFERROR(VALUE(LEFT(UPPER(SUBSTITUTE(SUBSTITUTE(SUBSTITUTE(TRIM(C2720),".",""),"-","")," ","")),LEN(UPPER(SUBSTITUTE(SUBSTITUTE(SUBSTITUTE(TRIM(C2720),".",""),"-","")," ","")))-1))&amp;RIGHT(UPPER(SUBSTITUTE(SUBSTITUTE(SUBSTITUTE(TRIM(C2720),".",""),"-","")," ","")),1),UPPER(SUBSTITUTE(SUBSTITUTE(SUBSTITUTE(TRIM(C2720),".",""),"-","")," ",""))))</f>
        <v/>
      </c>
    </row>
    <row r="2721" customFormat="false" ht="15" hidden="false" customHeight="false" outlineLevel="0" collapsed="false">
      <c r="B2721" s="80"/>
      <c r="C2721" s="58"/>
      <c r="D2721" s="62" t="str">
        <f aca="false">IF(C2721="","",IFERROR(INDEX(T_NOMBRE,MATCH(V2721,T_RUTN,0)),"⚠ RUT no está en Trabajadores"))</f>
        <v/>
      </c>
      <c r="E2721" s="61"/>
      <c r="F2721" s="61"/>
      <c r="G2721" s="61"/>
      <c r="H2721" s="61"/>
      <c r="I2721" s="81"/>
      <c r="J2721" s="81"/>
      <c r="K2721" s="60"/>
      <c r="L2721" s="60"/>
      <c r="M2721" s="60"/>
      <c r="N2721" s="60"/>
      <c r="O2721" s="60"/>
      <c r="P2721" s="60"/>
      <c r="Q2721" s="60"/>
      <c r="R2721" s="58"/>
      <c r="S2721" s="62" t="str">
        <f aca="false">IF(OR(B2721="",V2721=""),"",IFERROR(INDEX(C_TIPO,MATCH(V2721&amp;"-P"&amp;MAX(1,COUNTIFS(C_RUTN,V2721,C_DEF,"Sí",C_INI,"&lt;="&amp;EOMONTH(B2721,0))),C_CLAVE,0))&amp;"","Sin contrato"))</f>
        <v/>
      </c>
      <c r="T2721" s="63" t="str">
        <f aca="false">IF(OR(B2721="",N(O2721)=0),"",N(O2721)+ROUND(MIN(N(N2721),TOPE_UF*UF_MES)*(TASA_EMP+MUTUAL),0)+ROUND(MIN(N(N2721),TOPE_AFC_UF*UF_MES)*IF(S2721="Indefinido",AFC_INDEF,AFC_PF),0))</f>
        <v/>
      </c>
      <c r="U2721" s="62" t="str">
        <f aca="false">IF(C2721="","",IF(LEFT(D2721,1)="⚠","⚠ RUT no registrado en Trabajadores",IF(B2721="","⚠ Falta el mes",IF(OR(ISTEXT(I2721),ISTEXT(J2721)),"⚠ Atrasos u horas extra como texto: escriba hh:mm (ej. 1:30)",IF(AND(ISNUMBER(Q2721),COUNTIFS(M_RUTN,V2721,M_MES,B2721,M_LIQ,"&lt;&gt;")&gt;1),"⚠ Liquidación repetida en el mes",IF(AND(ISNUMBER(O2721),ISNUMBER(P2721),ISNUMBER(Q2721),ABS(O2721-P2721-Q2721)&gt;1),"⚠ Haberes − descuentos no da el líquido","OK"))))))</f>
        <v/>
      </c>
      <c r="V2721" s="62" t="str">
        <f aca="false">IF(C2721="","",IFERROR(VALUE(LEFT(UPPER(SUBSTITUTE(SUBSTITUTE(SUBSTITUTE(TRIM(C2721),".",""),"-","")," ","")),LEN(UPPER(SUBSTITUTE(SUBSTITUTE(SUBSTITUTE(TRIM(C2721),".",""),"-","")," ","")))-1))&amp;RIGHT(UPPER(SUBSTITUTE(SUBSTITUTE(SUBSTITUTE(TRIM(C2721),".",""),"-","")," ","")),1),UPPER(SUBSTITUTE(SUBSTITUTE(SUBSTITUTE(TRIM(C2721),".",""),"-","")," ",""))))</f>
        <v/>
      </c>
    </row>
    <row r="2722" customFormat="false" ht="15" hidden="false" customHeight="false" outlineLevel="0" collapsed="false">
      <c r="B2722" s="80"/>
      <c r="C2722" s="58"/>
      <c r="D2722" s="62" t="str">
        <f aca="false">IF(C2722="","",IFERROR(INDEX(T_NOMBRE,MATCH(V2722,T_RUTN,0)),"⚠ RUT no está en Trabajadores"))</f>
        <v/>
      </c>
      <c r="E2722" s="61"/>
      <c r="F2722" s="61"/>
      <c r="G2722" s="61"/>
      <c r="H2722" s="61"/>
      <c r="I2722" s="81"/>
      <c r="J2722" s="81"/>
      <c r="K2722" s="60"/>
      <c r="L2722" s="60"/>
      <c r="M2722" s="60"/>
      <c r="N2722" s="60"/>
      <c r="O2722" s="60"/>
      <c r="P2722" s="60"/>
      <c r="Q2722" s="60"/>
      <c r="R2722" s="58"/>
      <c r="S2722" s="62" t="str">
        <f aca="false">IF(OR(B2722="",V2722=""),"",IFERROR(INDEX(C_TIPO,MATCH(V2722&amp;"-P"&amp;MAX(1,COUNTIFS(C_RUTN,V2722,C_DEF,"Sí",C_INI,"&lt;="&amp;EOMONTH(B2722,0))),C_CLAVE,0))&amp;"","Sin contrato"))</f>
        <v/>
      </c>
      <c r="T2722" s="63" t="str">
        <f aca="false">IF(OR(B2722="",N(O2722)=0),"",N(O2722)+ROUND(MIN(N(N2722),TOPE_UF*UF_MES)*(TASA_EMP+MUTUAL),0)+ROUND(MIN(N(N2722),TOPE_AFC_UF*UF_MES)*IF(S2722="Indefinido",AFC_INDEF,AFC_PF),0))</f>
        <v/>
      </c>
      <c r="U2722" s="62" t="str">
        <f aca="false">IF(C2722="","",IF(LEFT(D2722,1)="⚠","⚠ RUT no registrado en Trabajadores",IF(B2722="","⚠ Falta el mes",IF(OR(ISTEXT(I2722),ISTEXT(J2722)),"⚠ Atrasos u horas extra como texto: escriba hh:mm (ej. 1:30)",IF(AND(ISNUMBER(Q2722),COUNTIFS(M_RUTN,V2722,M_MES,B2722,M_LIQ,"&lt;&gt;")&gt;1),"⚠ Liquidación repetida en el mes",IF(AND(ISNUMBER(O2722),ISNUMBER(P2722),ISNUMBER(Q2722),ABS(O2722-P2722-Q2722)&gt;1),"⚠ Haberes − descuentos no da el líquido","OK"))))))</f>
        <v/>
      </c>
      <c r="V2722" s="62" t="str">
        <f aca="false">IF(C2722="","",IFERROR(VALUE(LEFT(UPPER(SUBSTITUTE(SUBSTITUTE(SUBSTITUTE(TRIM(C2722),".",""),"-","")," ","")),LEN(UPPER(SUBSTITUTE(SUBSTITUTE(SUBSTITUTE(TRIM(C2722),".",""),"-","")," ","")))-1))&amp;RIGHT(UPPER(SUBSTITUTE(SUBSTITUTE(SUBSTITUTE(TRIM(C2722),".",""),"-","")," ","")),1),UPPER(SUBSTITUTE(SUBSTITUTE(SUBSTITUTE(TRIM(C2722),".",""),"-","")," ",""))))</f>
        <v/>
      </c>
    </row>
    <row r="2723" customFormat="false" ht="15" hidden="false" customHeight="false" outlineLevel="0" collapsed="false">
      <c r="B2723" s="80"/>
      <c r="C2723" s="58"/>
      <c r="D2723" s="62" t="str">
        <f aca="false">IF(C2723="","",IFERROR(INDEX(T_NOMBRE,MATCH(V2723,T_RUTN,0)),"⚠ RUT no está en Trabajadores"))</f>
        <v/>
      </c>
      <c r="E2723" s="61"/>
      <c r="F2723" s="61"/>
      <c r="G2723" s="61"/>
      <c r="H2723" s="61"/>
      <c r="I2723" s="81"/>
      <c r="J2723" s="81"/>
      <c r="K2723" s="60"/>
      <c r="L2723" s="60"/>
      <c r="M2723" s="60"/>
      <c r="N2723" s="60"/>
      <c r="O2723" s="60"/>
      <c r="P2723" s="60"/>
      <c r="Q2723" s="60"/>
      <c r="R2723" s="58"/>
      <c r="S2723" s="62" t="str">
        <f aca="false">IF(OR(B2723="",V2723=""),"",IFERROR(INDEX(C_TIPO,MATCH(V2723&amp;"-P"&amp;MAX(1,COUNTIFS(C_RUTN,V2723,C_DEF,"Sí",C_INI,"&lt;="&amp;EOMONTH(B2723,0))),C_CLAVE,0))&amp;"","Sin contrato"))</f>
        <v/>
      </c>
      <c r="T2723" s="63" t="str">
        <f aca="false">IF(OR(B2723="",N(O2723)=0),"",N(O2723)+ROUND(MIN(N(N2723),TOPE_UF*UF_MES)*(TASA_EMP+MUTUAL),0)+ROUND(MIN(N(N2723),TOPE_AFC_UF*UF_MES)*IF(S2723="Indefinido",AFC_INDEF,AFC_PF),0))</f>
        <v/>
      </c>
      <c r="U2723" s="62" t="str">
        <f aca="false">IF(C2723="","",IF(LEFT(D2723,1)="⚠","⚠ RUT no registrado en Trabajadores",IF(B2723="","⚠ Falta el mes",IF(OR(ISTEXT(I2723),ISTEXT(J2723)),"⚠ Atrasos u horas extra como texto: escriba hh:mm (ej. 1:30)",IF(AND(ISNUMBER(Q2723),COUNTIFS(M_RUTN,V2723,M_MES,B2723,M_LIQ,"&lt;&gt;")&gt;1),"⚠ Liquidación repetida en el mes",IF(AND(ISNUMBER(O2723),ISNUMBER(P2723),ISNUMBER(Q2723),ABS(O2723-P2723-Q2723)&gt;1),"⚠ Haberes − descuentos no da el líquido","OK"))))))</f>
        <v/>
      </c>
      <c r="V2723" s="62" t="str">
        <f aca="false">IF(C2723="","",IFERROR(VALUE(LEFT(UPPER(SUBSTITUTE(SUBSTITUTE(SUBSTITUTE(TRIM(C2723),".",""),"-","")," ","")),LEN(UPPER(SUBSTITUTE(SUBSTITUTE(SUBSTITUTE(TRIM(C2723),".",""),"-","")," ","")))-1))&amp;RIGHT(UPPER(SUBSTITUTE(SUBSTITUTE(SUBSTITUTE(TRIM(C2723),".",""),"-","")," ","")),1),UPPER(SUBSTITUTE(SUBSTITUTE(SUBSTITUTE(TRIM(C2723),".",""),"-","")," ",""))))</f>
        <v/>
      </c>
    </row>
    <row r="2724" customFormat="false" ht="15" hidden="false" customHeight="false" outlineLevel="0" collapsed="false">
      <c r="B2724" s="80"/>
      <c r="C2724" s="58"/>
      <c r="D2724" s="62" t="str">
        <f aca="false">IF(C2724="","",IFERROR(INDEX(T_NOMBRE,MATCH(V2724,T_RUTN,0)),"⚠ RUT no está en Trabajadores"))</f>
        <v/>
      </c>
      <c r="E2724" s="61"/>
      <c r="F2724" s="61"/>
      <c r="G2724" s="61"/>
      <c r="H2724" s="61"/>
      <c r="I2724" s="81"/>
      <c r="J2724" s="81"/>
      <c r="K2724" s="60"/>
      <c r="L2724" s="60"/>
      <c r="M2724" s="60"/>
      <c r="N2724" s="60"/>
      <c r="O2724" s="60"/>
      <c r="P2724" s="60"/>
      <c r="Q2724" s="60"/>
      <c r="R2724" s="58"/>
      <c r="S2724" s="62" t="str">
        <f aca="false">IF(OR(B2724="",V2724=""),"",IFERROR(INDEX(C_TIPO,MATCH(V2724&amp;"-P"&amp;MAX(1,COUNTIFS(C_RUTN,V2724,C_DEF,"Sí",C_INI,"&lt;="&amp;EOMONTH(B2724,0))),C_CLAVE,0))&amp;"","Sin contrato"))</f>
        <v/>
      </c>
      <c r="T2724" s="63" t="str">
        <f aca="false">IF(OR(B2724="",N(O2724)=0),"",N(O2724)+ROUND(MIN(N(N2724),TOPE_UF*UF_MES)*(TASA_EMP+MUTUAL),0)+ROUND(MIN(N(N2724),TOPE_AFC_UF*UF_MES)*IF(S2724="Indefinido",AFC_INDEF,AFC_PF),0))</f>
        <v/>
      </c>
      <c r="U2724" s="62" t="str">
        <f aca="false">IF(C2724="","",IF(LEFT(D2724,1)="⚠","⚠ RUT no registrado en Trabajadores",IF(B2724="","⚠ Falta el mes",IF(OR(ISTEXT(I2724),ISTEXT(J2724)),"⚠ Atrasos u horas extra como texto: escriba hh:mm (ej. 1:30)",IF(AND(ISNUMBER(Q2724),COUNTIFS(M_RUTN,V2724,M_MES,B2724,M_LIQ,"&lt;&gt;")&gt;1),"⚠ Liquidación repetida en el mes",IF(AND(ISNUMBER(O2724),ISNUMBER(P2724),ISNUMBER(Q2724),ABS(O2724-P2724-Q2724)&gt;1),"⚠ Haberes − descuentos no da el líquido","OK"))))))</f>
        <v/>
      </c>
      <c r="V2724" s="62" t="str">
        <f aca="false">IF(C2724="","",IFERROR(VALUE(LEFT(UPPER(SUBSTITUTE(SUBSTITUTE(SUBSTITUTE(TRIM(C2724),".",""),"-","")," ","")),LEN(UPPER(SUBSTITUTE(SUBSTITUTE(SUBSTITUTE(TRIM(C2724),".",""),"-","")," ","")))-1))&amp;RIGHT(UPPER(SUBSTITUTE(SUBSTITUTE(SUBSTITUTE(TRIM(C2724),".",""),"-","")," ","")),1),UPPER(SUBSTITUTE(SUBSTITUTE(SUBSTITUTE(TRIM(C2724),".",""),"-","")," ",""))))</f>
        <v/>
      </c>
    </row>
    <row r="2725" customFormat="false" ht="15" hidden="false" customHeight="false" outlineLevel="0" collapsed="false">
      <c r="B2725" s="80"/>
      <c r="C2725" s="58"/>
      <c r="D2725" s="62" t="str">
        <f aca="false">IF(C2725="","",IFERROR(INDEX(T_NOMBRE,MATCH(V2725,T_RUTN,0)),"⚠ RUT no está en Trabajadores"))</f>
        <v/>
      </c>
      <c r="E2725" s="61"/>
      <c r="F2725" s="61"/>
      <c r="G2725" s="61"/>
      <c r="H2725" s="61"/>
      <c r="I2725" s="81"/>
      <c r="J2725" s="81"/>
      <c r="K2725" s="60"/>
      <c r="L2725" s="60"/>
      <c r="M2725" s="60"/>
      <c r="N2725" s="60"/>
      <c r="O2725" s="60"/>
      <c r="P2725" s="60"/>
      <c r="Q2725" s="60"/>
      <c r="R2725" s="58"/>
      <c r="S2725" s="62" t="str">
        <f aca="false">IF(OR(B2725="",V2725=""),"",IFERROR(INDEX(C_TIPO,MATCH(V2725&amp;"-P"&amp;MAX(1,COUNTIFS(C_RUTN,V2725,C_DEF,"Sí",C_INI,"&lt;="&amp;EOMONTH(B2725,0))),C_CLAVE,0))&amp;"","Sin contrato"))</f>
        <v/>
      </c>
      <c r="T2725" s="63" t="str">
        <f aca="false">IF(OR(B2725="",N(O2725)=0),"",N(O2725)+ROUND(MIN(N(N2725),TOPE_UF*UF_MES)*(TASA_EMP+MUTUAL),0)+ROUND(MIN(N(N2725),TOPE_AFC_UF*UF_MES)*IF(S2725="Indefinido",AFC_INDEF,AFC_PF),0))</f>
        <v/>
      </c>
      <c r="U2725" s="62" t="str">
        <f aca="false">IF(C2725="","",IF(LEFT(D2725,1)="⚠","⚠ RUT no registrado en Trabajadores",IF(B2725="","⚠ Falta el mes",IF(OR(ISTEXT(I2725),ISTEXT(J2725)),"⚠ Atrasos u horas extra como texto: escriba hh:mm (ej. 1:30)",IF(AND(ISNUMBER(Q2725),COUNTIFS(M_RUTN,V2725,M_MES,B2725,M_LIQ,"&lt;&gt;")&gt;1),"⚠ Liquidación repetida en el mes",IF(AND(ISNUMBER(O2725),ISNUMBER(P2725),ISNUMBER(Q2725),ABS(O2725-P2725-Q2725)&gt;1),"⚠ Haberes − descuentos no da el líquido","OK"))))))</f>
        <v/>
      </c>
      <c r="V2725" s="62" t="str">
        <f aca="false">IF(C2725="","",IFERROR(VALUE(LEFT(UPPER(SUBSTITUTE(SUBSTITUTE(SUBSTITUTE(TRIM(C2725),".",""),"-","")," ","")),LEN(UPPER(SUBSTITUTE(SUBSTITUTE(SUBSTITUTE(TRIM(C2725),".",""),"-","")," ","")))-1))&amp;RIGHT(UPPER(SUBSTITUTE(SUBSTITUTE(SUBSTITUTE(TRIM(C2725),".",""),"-","")," ","")),1),UPPER(SUBSTITUTE(SUBSTITUTE(SUBSTITUTE(TRIM(C2725),".",""),"-","")," ",""))))</f>
        <v/>
      </c>
    </row>
    <row r="2726" customFormat="false" ht="15" hidden="false" customHeight="false" outlineLevel="0" collapsed="false">
      <c r="B2726" s="80"/>
      <c r="C2726" s="58"/>
      <c r="D2726" s="62" t="str">
        <f aca="false">IF(C2726="","",IFERROR(INDEX(T_NOMBRE,MATCH(V2726,T_RUTN,0)),"⚠ RUT no está en Trabajadores"))</f>
        <v/>
      </c>
      <c r="E2726" s="61"/>
      <c r="F2726" s="61"/>
      <c r="G2726" s="61"/>
      <c r="H2726" s="61"/>
      <c r="I2726" s="81"/>
      <c r="J2726" s="81"/>
      <c r="K2726" s="60"/>
      <c r="L2726" s="60"/>
      <c r="M2726" s="60"/>
      <c r="N2726" s="60"/>
      <c r="O2726" s="60"/>
      <c r="P2726" s="60"/>
      <c r="Q2726" s="60"/>
      <c r="R2726" s="58"/>
      <c r="S2726" s="62" t="str">
        <f aca="false">IF(OR(B2726="",V2726=""),"",IFERROR(INDEX(C_TIPO,MATCH(V2726&amp;"-P"&amp;MAX(1,COUNTIFS(C_RUTN,V2726,C_DEF,"Sí",C_INI,"&lt;="&amp;EOMONTH(B2726,0))),C_CLAVE,0))&amp;"","Sin contrato"))</f>
        <v/>
      </c>
      <c r="T2726" s="63" t="str">
        <f aca="false">IF(OR(B2726="",N(O2726)=0),"",N(O2726)+ROUND(MIN(N(N2726),TOPE_UF*UF_MES)*(TASA_EMP+MUTUAL),0)+ROUND(MIN(N(N2726),TOPE_AFC_UF*UF_MES)*IF(S2726="Indefinido",AFC_INDEF,AFC_PF),0))</f>
        <v/>
      </c>
      <c r="U2726" s="62" t="str">
        <f aca="false">IF(C2726="","",IF(LEFT(D2726,1)="⚠","⚠ RUT no registrado en Trabajadores",IF(B2726="","⚠ Falta el mes",IF(OR(ISTEXT(I2726),ISTEXT(J2726)),"⚠ Atrasos u horas extra como texto: escriba hh:mm (ej. 1:30)",IF(AND(ISNUMBER(Q2726),COUNTIFS(M_RUTN,V2726,M_MES,B2726,M_LIQ,"&lt;&gt;")&gt;1),"⚠ Liquidación repetida en el mes",IF(AND(ISNUMBER(O2726),ISNUMBER(P2726),ISNUMBER(Q2726),ABS(O2726-P2726-Q2726)&gt;1),"⚠ Haberes − descuentos no da el líquido","OK"))))))</f>
        <v/>
      </c>
      <c r="V2726" s="62" t="str">
        <f aca="false">IF(C2726="","",IFERROR(VALUE(LEFT(UPPER(SUBSTITUTE(SUBSTITUTE(SUBSTITUTE(TRIM(C2726),".",""),"-","")," ","")),LEN(UPPER(SUBSTITUTE(SUBSTITUTE(SUBSTITUTE(TRIM(C2726),".",""),"-","")," ","")))-1))&amp;RIGHT(UPPER(SUBSTITUTE(SUBSTITUTE(SUBSTITUTE(TRIM(C2726),".",""),"-","")," ","")),1),UPPER(SUBSTITUTE(SUBSTITUTE(SUBSTITUTE(TRIM(C2726),".",""),"-","")," ",""))))</f>
        <v/>
      </c>
    </row>
    <row r="2727" customFormat="false" ht="15" hidden="false" customHeight="false" outlineLevel="0" collapsed="false">
      <c r="B2727" s="80"/>
      <c r="C2727" s="58"/>
      <c r="D2727" s="62" t="str">
        <f aca="false">IF(C2727="","",IFERROR(INDEX(T_NOMBRE,MATCH(V2727,T_RUTN,0)),"⚠ RUT no está en Trabajadores"))</f>
        <v/>
      </c>
      <c r="E2727" s="61"/>
      <c r="F2727" s="61"/>
      <c r="G2727" s="61"/>
      <c r="H2727" s="61"/>
      <c r="I2727" s="81"/>
      <c r="J2727" s="81"/>
      <c r="K2727" s="60"/>
      <c r="L2727" s="60"/>
      <c r="M2727" s="60"/>
      <c r="N2727" s="60"/>
      <c r="O2727" s="60"/>
      <c r="P2727" s="60"/>
      <c r="Q2727" s="60"/>
      <c r="R2727" s="58"/>
      <c r="S2727" s="62" t="str">
        <f aca="false">IF(OR(B2727="",V2727=""),"",IFERROR(INDEX(C_TIPO,MATCH(V2727&amp;"-P"&amp;MAX(1,COUNTIFS(C_RUTN,V2727,C_DEF,"Sí",C_INI,"&lt;="&amp;EOMONTH(B2727,0))),C_CLAVE,0))&amp;"","Sin contrato"))</f>
        <v/>
      </c>
      <c r="T2727" s="63" t="str">
        <f aca="false">IF(OR(B2727="",N(O2727)=0),"",N(O2727)+ROUND(MIN(N(N2727),TOPE_UF*UF_MES)*(TASA_EMP+MUTUAL),0)+ROUND(MIN(N(N2727),TOPE_AFC_UF*UF_MES)*IF(S2727="Indefinido",AFC_INDEF,AFC_PF),0))</f>
        <v/>
      </c>
      <c r="U2727" s="62" t="str">
        <f aca="false">IF(C2727="","",IF(LEFT(D2727,1)="⚠","⚠ RUT no registrado en Trabajadores",IF(B2727="","⚠ Falta el mes",IF(OR(ISTEXT(I2727),ISTEXT(J2727)),"⚠ Atrasos u horas extra como texto: escriba hh:mm (ej. 1:30)",IF(AND(ISNUMBER(Q2727),COUNTIFS(M_RUTN,V2727,M_MES,B2727,M_LIQ,"&lt;&gt;")&gt;1),"⚠ Liquidación repetida en el mes",IF(AND(ISNUMBER(O2727),ISNUMBER(P2727),ISNUMBER(Q2727),ABS(O2727-P2727-Q2727)&gt;1),"⚠ Haberes − descuentos no da el líquido","OK"))))))</f>
        <v/>
      </c>
      <c r="V2727" s="62" t="str">
        <f aca="false">IF(C2727="","",IFERROR(VALUE(LEFT(UPPER(SUBSTITUTE(SUBSTITUTE(SUBSTITUTE(TRIM(C2727),".",""),"-","")," ","")),LEN(UPPER(SUBSTITUTE(SUBSTITUTE(SUBSTITUTE(TRIM(C2727),".",""),"-","")," ","")))-1))&amp;RIGHT(UPPER(SUBSTITUTE(SUBSTITUTE(SUBSTITUTE(TRIM(C2727),".",""),"-","")," ","")),1),UPPER(SUBSTITUTE(SUBSTITUTE(SUBSTITUTE(TRIM(C2727),".",""),"-","")," ",""))))</f>
        <v/>
      </c>
    </row>
    <row r="2728" customFormat="false" ht="15" hidden="false" customHeight="false" outlineLevel="0" collapsed="false">
      <c r="B2728" s="80"/>
      <c r="C2728" s="58"/>
      <c r="D2728" s="62" t="str">
        <f aca="false">IF(C2728="","",IFERROR(INDEX(T_NOMBRE,MATCH(V2728,T_RUTN,0)),"⚠ RUT no está en Trabajadores"))</f>
        <v/>
      </c>
      <c r="E2728" s="61"/>
      <c r="F2728" s="61"/>
      <c r="G2728" s="61"/>
      <c r="H2728" s="61"/>
      <c r="I2728" s="81"/>
      <c r="J2728" s="81"/>
      <c r="K2728" s="60"/>
      <c r="L2728" s="60"/>
      <c r="M2728" s="60"/>
      <c r="N2728" s="60"/>
      <c r="O2728" s="60"/>
      <c r="P2728" s="60"/>
      <c r="Q2728" s="60"/>
      <c r="R2728" s="58"/>
      <c r="S2728" s="62" t="str">
        <f aca="false">IF(OR(B2728="",V2728=""),"",IFERROR(INDEX(C_TIPO,MATCH(V2728&amp;"-P"&amp;MAX(1,COUNTIFS(C_RUTN,V2728,C_DEF,"Sí",C_INI,"&lt;="&amp;EOMONTH(B2728,0))),C_CLAVE,0))&amp;"","Sin contrato"))</f>
        <v/>
      </c>
      <c r="T2728" s="63" t="str">
        <f aca="false">IF(OR(B2728="",N(O2728)=0),"",N(O2728)+ROUND(MIN(N(N2728),TOPE_UF*UF_MES)*(TASA_EMP+MUTUAL),0)+ROUND(MIN(N(N2728),TOPE_AFC_UF*UF_MES)*IF(S2728="Indefinido",AFC_INDEF,AFC_PF),0))</f>
        <v/>
      </c>
      <c r="U2728" s="62" t="str">
        <f aca="false">IF(C2728="","",IF(LEFT(D2728,1)="⚠","⚠ RUT no registrado en Trabajadores",IF(B2728="","⚠ Falta el mes",IF(OR(ISTEXT(I2728),ISTEXT(J2728)),"⚠ Atrasos u horas extra como texto: escriba hh:mm (ej. 1:30)",IF(AND(ISNUMBER(Q2728),COUNTIFS(M_RUTN,V2728,M_MES,B2728,M_LIQ,"&lt;&gt;")&gt;1),"⚠ Liquidación repetida en el mes",IF(AND(ISNUMBER(O2728),ISNUMBER(P2728),ISNUMBER(Q2728),ABS(O2728-P2728-Q2728)&gt;1),"⚠ Haberes − descuentos no da el líquido","OK"))))))</f>
        <v/>
      </c>
      <c r="V2728" s="62" t="str">
        <f aca="false">IF(C2728="","",IFERROR(VALUE(LEFT(UPPER(SUBSTITUTE(SUBSTITUTE(SUBSTITUTE(TRIM(C2728),".",""),"-","")," ","")),LEN(UPPER(SUBSTITUTE(SUBSTITUTE(SUBSTITUTE(TRIM(C2728),".",""),"-","")," ","")))-1))&amp;RIGHT(UPPER(SUBSTITUTE(SUBSTITUTE(SUBSTITUTE(TRIM(C2728),".",""),"-","")," ","")),1),UPPER(SUBSTITUTE(SUBSTITUTE(SUBSTITUTE(TRIM(C2728),".",""),"-","")," ",""))))</f>
        <v/>
      </c>
    </row>
    <row r="2729" customFormat="false" ht="15" hidden="false" customHeight="false" outlineLevel="0" collapsed="false">
      <c r="B2729" s="80"/>
      <c r="C2729" s="58"/>
      <c r="D2729" s="62" t="str">
        <f aca="false">IF(C2729="","",IFERROR(INDEX(T_NOMBRE,MATCH(V2729,T_RUTN,0)),"⚠ RUT no está en Trabajadores"))</f>
        <v/>
      </c>
      <c r="E2729" s="61"/>
      <c r="F2729" s="61"/>
      <c r="G2729" s="61"/>
      <c r="H2729" s="61"/>
      <c r="I2729" s="81"/>
      <c r="J2729" s="81"/>
      <c r="K2729" s="60"/>
      <c r="L2729" s="60"/>
      <c r="M2729" s="60"/>
      <c r="N2729" s="60"/>
      <c r="O2729" s="60"/>
      <c r="P2729" s="60"/>
      <c r="Q2729" s="60"/>
      <c r="R2729" s="58"/>
      <c r="S2729" s="62" t="str">
        <f aca="false">IF(OR(B2729="",V2729=""),"",IFERROR(INDEX(C_TIPO,MATCH(V2729&amp;"-P"&amp;MAX(1,COUNTIFS(C_RUTN,V2729,C_DEF,"Sí",C_INI,"&lt;="&amp;EOMONTH(B2729,0))),C_CLAVE,0))&amp;"","Sin contrato"))</f>
        <v/>
      </c>
      <c r="T2729" s="63" t="str">
        <f aca="false">IF(OR(B2729="",N(O2729)=0),"",N(O2729)+ROUND(MIN(N(N2729),TOPE_UF*UF_MES)*(TASA_EMP+MUTUAL),0)+ROUND(MIN(N(N2729),TOPE_AFC_UF*UF_MES)*IF(S2729="Indefinido",AFC_INDEF,AFC_PF),0))</f>
        <v/>
      </c>
      <c r="U2729" s="62" t="str">
        <f aca="false">IF(C2729="","",IF(LEFT(D2729,1)="⚠","⚠ RUT no registrado en Trabajadores",IF(B2729="","⚠ Falta el mes",IF(OR(ISTEXT(I2729),ISTEXT(J2729)),"⚠ Atrasos u horas extra como texto: escriba hh:mm (ej. 1:30)",IF(AND(ISNUMBER(Q2729),COUNTIFS(M_RUTN,V2729,M_MES,B2729,M_LIQ,"&lt;&gt;")&gt;1),"⚠ Liquidación repetida en el mes",IF(AND(ISNUMBER(O2729),ISNUMBER(P2729),ISNUMBER(Q2729),ABS(O2729-P2729-Q2729)&gt;1),"⚠ Haberes − descuentos no da el líquido","OK"))))))</f>
        <v/>
      </c>
      <c r="V2729" s="62" t="str">
        <f aca="false">IF(C2729="","",IFERROR(VALUE(LEFT(UPPER(SUBSTITUTE(SUBSTITUTE(SUBSTITUTE(TRIM(C2729),".",""),"-","")," ","")),LEN(UPPER(SUBSTITUTE(SUBSTITUTE(SUBSTITUTE(TRIM(C2729),".",""),"-","")," ","")))-1))&amp;RIGHT(UPPER(SUBSTITUTE(SUBSTITUTE(SUBSTITUTE(TRIM(C2729),".",""),"-","")," ","")),1),UPPER(SUBSTITUTE(SUBSTITUTE(SUBSTITUTE(TRIM(C2729),".",""),"-","")," ",""))))</f>
        <v/>
      </c>
    </row>
    <row r="2730" customFormat="false" ht="15" hidden="false" customHeight="false" outlineLevel="0" collapsed="false">
      <c r="B2730" s="80"/>
      <c r="C2730" s="58"/>
      <c r="D2730" s="62" t="str">
        <f aca="false">IF(C2730="","",IFERROR(INDEX(T_NOMBRE,MATCH(V2730,T_RUTN,0)),"⚠ RUT no está en Trabajadores"))</f>
        <v/>
      </c>
      <c r="E2730" s="61"/>
      <c r="F2730" s="61"/>
      <c r="G2730" s="61"/>
      <c r="H2730" s="61"/>
      <c r="I2730" s="81"/>
      <c r="J2730" s="81"/>
      <c r="K2730" s="60"/>
      <c r="L2730" s="60"/>
      <c r="M2730" s="60"/>
      <c r="N2730" s="60"/>
      <c r="O2730" s="60"/>
      <c r="P2730" s="60"/>
      <c r="Q2730" s="60"/>
      <c r="R2730" s="58"/>
      <c r="S2730" s="62" t="str">
        <f aca="false">IF(OR(B2730="",V2730=""),"",IFERROR(INDEX(C_TIPO,MATCH(V2730&amp;"-P"&amp;MAX(1,COUNTIFS(C_RUTN,V2730,C_DEF,"Sí",C_INI,"&lt;="&amp;EOMONTH(B2730,0))),C_CLAVE,0))&amp;"","Sin contrato"))</f>
        <v/>
      </c>
      <c r="T2730" s="63" t="str">
        <f aca="false">IF(OR(B2730="",N(O2730)=0),"",N(O2730)+ROUND(MIN(N(N2730),TOPE_UF*UF_MES)*(TASA_EMP+MUTUAL),0)+ROUND(MIN(N(N2730),TOPE_AFC_UF*UF_MES)*IF(S2730="Indefinido",AFC_INDEF,AFC_PF),0))</f>
        <v/>
      </c>
      <c r="U2730" s="62" t="str">
        <f aca="false">IF(C2730="","",IF(LEFT(D2730,1)="⚠","⚠ RUT no registrado en Trabajadores",IF(B2730="","⚠ Falta el mes",IF(OR(ISTEXT(I2730),ISTEXT(J2730)),"⚠ Atrasos u horas extra como texto: escriba hh:mm (ej. 1:30)",IF(AND(ISNUMBER(Q2730),COUNTIFS(M_RUTN,V2730,M_MES,B2730,M_LIQ,"&lt;&gt;")&gt;1),"⚠ Liquidación repetida en el mes",IF(AND(ISNUMBER(O2730),ISNUMBER(P2730),ISNUMBER(Q2730),ABS(O2730-P2730-Q2730)&gt;1),"⚠ Haberes − descuentos no da el líquido","OK"))))))</f>
        <v/>
      </c>
      <c r="V2730" s="62" t="str">
        <f aca="false">IF(C2730="","",IFERROR(VALUE(LEFT(UPPER(SUBSTITUTE(SUBSTITUTE(SUBSTITUTE(TRIM(C2730),".",""),"-","")," ","")),LEN(UPPER(SUBSTITUTE(SUBSTITUTE(SUBSTITUTE(TRIM(C2730),".",""),"-","")," ","")))-1))&amp;RIGHT(UPPER(SUBSTITUTE(SUBSTITUTE(SUBSTITUTE(TRIM(C2730),".",""),"-","")," ","")),1),UPPER(SUBSTITUTE(SUBSTITUTE(SUBSTITUTE(TRIM(C2730),".",""),"-","")," ",""))))</f>
        <v/>
      </c>
    </row>
    <row r="2731" customFormat="false" ht="15" hidden="false" customHeight="false" outlineLevel="0" collapsed="false">
      <c r="B2731" s="80"/>
      <c r="C2731" s="58"/>
      <c r="D2731" s="62" t="str">
        <f aca="false">IF(C2731="","",IFERROR(INDEX(T_NOMBRE,MATCH(V2731,T_RUTN,0)),"⚠ RUT no está en Trabajadores"))</f>
        <v/>
      </c>
      <c r="E2731" s="61"/>
      <c r="F2731" s="61"/>
      <c r="G2731" s="61"/>
      <c r="H2731" s="61"/>
      <c r="I2731" s="81"/>
      <c r="J2731" s="81"/>
      <c r="K2731" s="60"/>
      <c r="L2731" s="60"/>
      <c r="M2731" s="60"/>
      <c r="N2731" s="60"/>
      <c r="O2731" s="60"/>
      <c r="P2731" s="60"/>
      <c r="Q2731" s="60"/>
      <c r="R2731" s="58"/>
      <c r="S2731" s="62" t="str">
        <f aca="false">IF(OR(B2731="",V2731=""),"",IFERROR(INDEX(C_TIPO,MATCH(V2731&amp;"-P"&amp;MAX(1,COUNTIFS(C_RUTN,V2731,C_DEF,"Sí",C_INI,"&lt;="&amp;EOMONTH(B2731,0))),C_CLAVE,0))&amp;"","Sin contrato"))</f>
        <v/>
      </c>
      <c r="T2731" s="63" t="str">
        <f aca="false">IF(OR(B2731="",N(O2731)=0),"",N(O2731)+ROUND(MIN(N(N2731),TOPE_UF*UF_MES)*(TASA_EMP+MUTUAL),0)+ROUND(MIN(N(N2731),TOPE_AFC_UF*UF_MES)*IF(S2731="Indefinido",AFC_INDEF,AFC_PF),0))</f>
        <v/>
      </c>
      <c r="U2731" s="62" t="str">
        <f aca="false">IF(C2731="","",IF(LEFT(D2731,1)="⚠","⚠ RUT no registrado en Trabajadores",IF(B2731="","⚠ Falta el mes",IF(OR(ISTEXT(I2731),ISTEXT(J2731)),"⚠ Atrasos u horas extra como texto: escriba hh:mm (ej. 1:30)",IF(AND(ISNUMBER(Q2731),COUNTIFS(M_RUTN,V2731,M_MES,B2731,M_LIQ,"&lt;&gt;")&gt;1),"⚠ Liquidación repetida en el mes",IF(AND(ISNUMBER(O2731),ISNUMBER(P2731),ISNUMBER(Q2731),ABS(O2731-P2731-Q2731)&gt;1),"⚠ Haberes − descuentos no da el líquido","OK"))))))</f>
        <v/>
      </c>
      <c r="V2731" s="62" t="str">
        <f aca="false">IF(C2731="","",IFERROR(VALUE(LEFT(UPPER(SUBSTITUTE(SUBSTITUTE(SUBSTITUTE(TRIM(C2731),".",""),"-","")," ","")),LEN(UPPER(SUBSTITUTE(SUBSTITUTE(SUBSTITUTE(TRIM(C2731),".",""),"-","")," ","")))-1))&amp;RIGHT(UPPER(SUBSTITUTE(SUBSTITUTE(SUBSTITUTE(TRIM(C2731),".",""),"-","")," ","")),1),UPPER(SUBSTITUTE(SUBSTITUTE(SUBSTITUTE(TRIM(C2731),".",""),"-","")," ",""))))</f>
        <v/>
      </c>
    </row>
    <row r="2732" customFormat="false" ht="15" hidden="false" customHeight="false" outlineLevel="0" collapsed="false">
      <c r="B2732" s="80"/>
      <c r="C2732" s="58"/>
      <c r="D2732" s="62" t="str">
        <f aca="false">IF(C2732="","",IFERROR(INDEX(T_NOMBRE,MATCH(V2732,T_RUTN,0)),"⚠ RUT no está en Trabajadores"))</f>
        <v/>
      </c>
      <c r="E2732" s="61"/>
      <c r="F2732" s="61"/>
      <c r="G2732" s="61"/>
      <c r="H2732" s="61"/>
      <c r="I2732" s="81"/>
      <c r="J2732" s="81"/>
      <c r="K2732" s="60"/>
      <c r="L2732" s="60"/>
      <c r="M2732" s="60"/>
      <c r="N2732" s="60"/>
      <c r="O2732" s="60"/>
      <c r="P2732" s="60"/>
      <c r="Q2732" s="60"/>
      <c r="R2732" s="58"/>
      <c r="S2732" s="62" t="str">
        <f aca="false">IF(OR(B2732="",V2732=""),"",IFERROR(INDEX(C_TIPO,MATCH(V2732&amp;"-P"&amp;MAX(1,COUNTIFS(C_RUTN,V2732,C_DEF,"Sí",C_INI,"&lt;="&amp;EOMONTH(B2732,0))),C_CLAVE,0))&amp;"","Sin contrato"))</f>
        <v/>
      </c>
      <c r="T2732" s="63" t="str">
        <f aca="false">IF(OR(B2732="",N(O2732)=0),"",N(O2732)+ROUND(MIN(N(N2732),TOPE_UF*UF_MES)*(TASA_EMP+MUTUAL),0)+ROUND(MIN(N(N2732),TOPE_AFC_UF*UF_MES)*IF(S2732="Indefinido",AFC_INDEF,AFC_PF),0))</f>
        <v/>
      </c>
      <c r="U2732" s="62" t="str">
        <f aca="false">IF(C2732="","",IF(LEFT(D2732,1)="⚠","⚠ RUT no registrado en Trabajadores",IF(B2732="","⚠ Falta el mes",IF(OR(ISTEXT(I2732),ISTEXT(J2732)),"⚠ Atrasos u horas extra como texto: escriba hh:mm (ej. 1:30)",IF(AND(ISNUMBER(Q2732),COUNTIFS(M_RUTN,V2732,M_MES,B2732,M_LIQ,"&lt;&gt;")&gt;1),"⚠ Liquidación repetida en el mes",IF(AND(ISNUMBER(O2732),ISNUMBER(P2732),ISNUMBER(Q2732),ABS(O2732-P2732-Q2732)&gt;1),"⚠ Haberes − descuentos no da el líquido","OK"))))))</f>
        <v/>
      </c>
      <c r="V2732" s="62" t="str">
        <f aca="false">IF(C2732="","",IFERROR(VALUE(LEFT(UPPER(SUBSTITUTE(SUBSTITUTE(SUBSTITUTE(TRIM(C2732),".",""),"-","")," ","")),LEN(UPPER(SUBSTITUTE(SUBSTITUTE(SUBSTITUTE(TRIM(C2732),".",""),"-","")," ","")))-1))&amp;RIGHT(UPPER(SUBSTITUTE(SUBSTITUTE(SUBSTITUTE(TRIM(C2732),".",""),"-","")," ","")),1),UPPER(SUBSTITUTE(SUBSTITUTE(SUBSTITUTE(TRIM(C2732),".",""),"-","")," ",""))))</f>
        <v/>
      </c>
    </row>
    <row r="2733" customFormat="false" ht="15" hidden="false" customHeight="false" outlineLevel="0" collapsed="false">
      <c r="B2733" s="80"/>
      <c r="C2733" s="58"/>
      <c r="D2733" s="62" t="str">
        <f aca="false">IF(C2733="","",IFERROR(INDEX(T_NOMBRE,MATCH(V2733,T_RUTN,0)),"⚠ RUT no está en Trabajadores"))</f>
        <v/>
      </c>
      <c r="E2733" s="61"/>
      <c r="F2733" s="61"/>
      <c r="G2733" s="61"/>
      <c r="H2733" s="61"/>
      <c r="I2733" s="81"/>
      <c r="J2733" s="81"/>
      <c r="K2733" s="60"/>
      <c r="L2733" s="60"/>
      <c r="M2733" s="60"/>
      <c r="N2733" s="60"/>
      <c r="O2733" s="60"/>
      <c r="P2733" s="60"/>
      <c r="Q2733" s="60"/>
      <c r="R2733" s="58"/>
      <c r="S2733" s="62" t="str">
        <f aca="false">IF(OR(B2733="",V2733=""),"",IFERROR(INDEX(C_TIPO,MATCH(V2733&amp;"-P"&amp;MAX(1,COUNTIFS(C_RUTN,V2733,C_DEF,"Sí",C_INI,"&lt;="&amp;EOMONTH(B2733,0))),C_CLAVE,0))&amp;"","Sin contrato"))</f>
        <v/>
      </c>
      <c r="T2733" s="63" t="str">
        <f aca="false">IF(OR(B2733="",N(O2733)=0),"",N(O2733)+ROUND(MIN(N(N2733),TOPE_UF*UF_MES)*(TASA_EMP+MUTUAL),0)+ROUND(MIN(N(N2733),TOPE_AFC_UF*UF_MES)*IF(S2733="Indefinido",AFC_INDEF,AFC_PF),0))</f>
        <v/>
      </c>
      <c r="U2733" s="62" t="str">
        <f aca="false">IF(C2733="","",IF(LEFT(D2733,1)="⚠","⚠ RUT no registrado en Trabajadores",IF(B2733="","⚠ Falta el mes",IF(OR(ISTEXT(I2733),ISTEXT(J2733)),"⚠ Atrasos u horas extra como texto: escriba hh:mm (ej. 1:30)",IF(AND(ISNUMBER(Q2733),COUNTIFS(M_RUTN,V2733,M_MES,B2733,M_LIQ,"&lt;&gt;")&gt;1),"⚠ Liquidación repetida en el mes",IF(AND(ISNUMBER(O2733),ISNUMBER(P2733),ISNUMBER(Q2733),ABS(O2733-P2733-Q2733)&gt;1),"⚠ Haberes − descuentos no da el líquido","OK"))))))</f>
        <v/>
      </c>
      <c r="V2733" s="62" t="str">
        <f aca="false">IF(C2733="","",IFERROR(VALUE(LEFT(UPPER(SUBSTITUTE(SUBSTITUTE(SUBSTITUTE(TRIM(C2733),".",""),"-","")," ","")),LEN(UPPER(SUBSTITUTE(SUBSTITUTE(SUBSTITUTE(TRIM(C2733),".",""),"-","")," ","")))-1))&amp;RIGHT(UPPER(SUBSTITUTE(SUBSTITUTE(SUBSTITUTE(TRIM(C2733),".",""),"-","")," ","")),1),UPPER(SUBSTITUTE(SUBSTITUTE(SUBSTITUTE(TRIM(C2733),".",""),"-","")," ",""))))</f>
        <v/>
      </c>
    </row>
    <row r="2734" customFormat="false" ht="15" hidden="false" customHeight="false" outlineLevel="0" collapsed="false">
      <c r="B2734" s="80"/>
      <c r="C2734" s="58"/>
      <c r="D2734" s="62" t="str">
        <f aca="false">IF(C2734="","",IFERROR(INDEX(T_NOMBRE,MATCH(V2734,T_RUTN,0)),"⚠ RUT no está en Trabajadores"))</f>
        <v/>
      </c>
      <c r="E2734" s="61"/>
      <c r="F2734" s="61"/>
      <c r="G2734" s="61"/>
      <c r="H2734" s="61"/>
      <c r="I2734" s="81"/>
      <c r="J2734" s="81"/>
      <c r="K2734" s="60"/>
      <c r="L2734" s="60"/>
      <c r="M2734" s="60"/>
      <c r="N2734" s="60"/>
      <c r="O2734" s="60"/>
      <c r="P2734" s="60"/>
      <c r="Q2734" s="60"/>
      <c r="R2734" s="58"/>
      <c r="S2734" s="62" t="str">
        <f aca="false">IF(OR(B2734="",V2734=""),"",IFERROR(INDEX(C_TIPO,MATCH(V2734&amp;"-P"&amp;MAX(1,COUNTIFS(C_RUTN,V2734,C_DEF,"Sí",C_INI,"&lt;="&amp;EOMONTH(B2734,0))),C_CLAVE,0))&amp;"","Sin contrato"))</f>
        <v/>
      </c>
      <c r="T2734" s="63" t="str">
        <f aca="false">IF(OR(B2734="",N(O2734)=0),"",N(O2734)+ROUND(MIN(N(N2734),TOPE_UF*UF_MES)*(TASA_EMP+MUTUAL),0)+ROUND(MIN(N(N2734),TOPE_AFC_UF*UF_MES)*IF(S2734="Indefinido",AFC_INDEF,AFC_PF),0))</f>
        <v/>
      </c>
      <c r="U2734" s="62" t="str">
        <f aca="false">IF(C2734="","",IF(LEFT(D2734,1)="⚠","⚠ RUT no registrado en Trabajadores",IF(B2734="","⚠ Falta el mes",IF(OR(ISTEXT(I2734),ISTEXT(J2734)),"⚠ Atrasos u horas extra como texto: escriba hh:mm (ej. 1:30)",IF(AND(ISNUMBER(Q2734),COUNTIFS(M_RUTN,V2734,M_MES,B2734,M_LIQ,"&lt;&gt;")&gt;1),"⚠ Liquidación repetida en el mes",IF(AND(ISNUMBER(O2734),ISNUMBER(P2734),ISNUMBER(Q2734),ABS(O2734-P2734-Q2734)&gt;1),"⚠ Haberes − descuentos no da el líquido","OK"))))))</f>
        <v/>
      </c>
      <c r="V2734" s="62" t="str">
        <f aca="false">IF(C2734="","",IFERROR(VALUE(LEFT(UPPER(SUBSTITUTE(SUBSTITUTE(SUBSTITUTE(TRIM(C2734),".",""),"-","")," ","")),LEN(UPPER(SUBSTITUTE(SUBSTITUTE(SUBSTITUTE(TRIM(C2734),".",""),"-","")," ","")))-1))&amp;RIGHT(UPPER(SUBSTITUTE(SUBSTITUTE(SUBSTITUTE(TRIM(C2734),".",""),"-","")," ","")),1),UPPER(SUBSTITUTE(SUBSTITUTE(SUBSTITUTE(TRIM(C2734),".",""),"-","")," ",""))))</f>
        <v/>
      </c>
    </row>
    <row r="2735" customFormat="false" ht="15" hidden="false" customHeight="false" outlineLevel="0" collapsed="false">
      <c r="B2735" s="80"/>
      <c r="C2735" s="58"/>
      <c r="D2735" s="62" t="str">
        <f aca="false">IF(C2735="","",IFERROR(INDEX(T_NOMBRE,MATCH(V2735,T_RUTN,0)),"⚠ RUT no está en Trabajadores"))</f>
        <v/>
      </c>
      <c r="E2735" s="61"/>
      <c r="F2735" s="61"/>
      <c r="G2735" s="61"/>
      <c r="H2735" s="61"/>
      <c r="I2735" s="81"/>
      <c r="J2735" s="81"/>
      <c r="K2735" s="60"/>
      <c r="L2735" s="60"/>
      <c r="M2735" s="60"/>
      <c r="N2735" s="60"/>
      <c r="O2735" s="60"/>
      <c r="P2735" s="60"/>
      <c r="Q2735" s="60"/>
      <c r="R2735" s="58"/>
      <c r="S2735" s="62" t="str">
        <f aca="false">IF(OR(B2735="",V2735=""),"",IFERROR(INDEX(C_TIPO,MATCH(V2735&amp;"-P"&amp;MAX(1,COUNTIFS(C_RUTN,V2735,C_DEF,"Sí",C_INI,"&lt;="&amp;EOMONTH(B2735,0))),C_CLAVE,0))&amp;"","Sin contrato"))</f>
        <v/>
      </c>
      <c r="T2735" s="63" t="str">
        <f aca="false">IF(OR(B2735="",N(O2735)=0),"",N(O2735)+ROUND(MIN(N(N2735),TOPE_UF*UF_MES)*(TASA_EMP+MUTUAL),0)+ROUND(MIN(N(N2735),TOPE_AFC_UF*UF_MES)*IF(S2735="Indefinido",AFC_INDEF,AFC_PF),0))</f>
        <v/>
      </c>
      <c r="U2735" s="62" t="str">
        <f aca="false">IF(C2735="","",IF(LEFT(D2735,1)="⚠","⚠ RUT no registrado en Trabajadores",IF(B2735="","⚠ Falta el mes",IF(OR(ISTEXT(I2735),ISTEXT(J2735)),"⚠ Atrasos u horas extra como texto: escriba hh:mm (ej. 1:30)",IF(AND(ISNUMBER(Q2735),COUNTIFS(M_RUTN,V2735,M_MES,B2735,M_LIQ,"&lt;&gt;")&gt;1),"⚠ Liquidación repetida en el mes",IF(AND(ISNUMBER(O2735),ISNUMBER(P2735),ISNUMBER(Q2735),ABS(O2735-P2735-Q2735)&gt;1),"⚠ Haberes − descuentos no da el líquido","OK"))))))</f>
        <v/>
      </c>
      <c r="V2735" s="62" t="str">
        <f aca="false">IF(C2735="","",IFERROR(VALUE(LEFT(UPPER(SUBSTITUTE(SUBSTITUTE(SUBSTITUTE(TRIM(C2735),".",""),"-","")," ","")),LEN(UPPER(SUBSTITUTE(SUBSTITUTE(SUBSTITUTE(TRIM(C2735),".",""),"-","")," ","")))-1))&amp;RIGHT(UPPER(SUBSTITUTE(SUBSTITUTE(SUBSTITUTE(TRIM(C2735),".",""),"-","")," ","")),1),UPPER(SUBSTITUTE(SUBSTITUTE(SUBSTITUTE(TRIM(C2735),".",""),"-","")," ",""))))</f>
        <v/>
      </c>
    </row>
    <row r="2736" customFormat="false" ht="15" hidden="false" customHeight="false" outlineLevel="0" collapsed="false">
      <c r="B2736" s="80"/>
      <c r="C2736" s="58"/>
      <c r="D2736" s="62" t="str">
        <f aca="false">IF(C2736="","",IFERROR(INDEX(T_NOMBRE,MATCH(V2736,T_RUTN,0)),"⚠ RUT no está en Trabajadores"))</f>
        <v/>
      </c>
      <c r="E2736" s="61"/>
      <c r="F2736" s="61"/>
      <c r="G2736" s="61"/>
      <c r="H2736" s="61"/>
      <c r="I2736" s="81"/>
      <c r="J2736" s="81"/>
      <c r="K2736" s="60"/>
      <c r="L2736" s="60"/>
      <c r="M2736" s="60"/>
      <c r="N2736" s="60"/>
      <c r="O2736" s="60"/>
      <c r="P2736" s="60"/>
      <c r="Q2736" s="60"/>
      <c r="R2736" s="58"/>
      <c r="S2736" s="62" t="str">
        <f aca="false">IF(OR(B2736="",V2736=""),"",IFERROR(INDEX(C_TIPO,MATCH(V2736&amp;"-P"&amp;MAX(1,COUNTIFS(C_RUTN,V2736,C_DEF,"Sí",C_INI,"&lt;="&amp;EOMONTH(B2736,0))),C_CLAVE,0))&amp;"","Sin contrato"))</f>
        <v/>
      </c>
      <c r="T2736" s="63" t="str">
        <f aca="false">IF(OR(B2736="",N(O2736)=0),"",N(O2736)+ROUND(MIN(N(N2736),TOPE_UF*UF_MES)*(TASA_EMP+MUTUAL),0)+ROUND(MIN(N(N2736),TOPE_AFC_UF*UF_MES)*IF(S2736="Indefinido",AFC_INDEF,AFC_PF),0))</f>
        <v/>
      </c>
      <c r="U2736" s="62" t="str">
        <f aca="false">IF(C2736="","",IF(LEFT(D2736,1)="⚠","⚠ RUT no registrado en Trabajadores",IF(B2736="","⚠ Falta el mes",IF(OR(ISTEXT(I2736),ISTEXT(J2736)),"⚠ Atrasos u horas extra como texto: escriba hh:mm (ej. 1:30)",IF(AND(ISNUMBER(Q2736),COUNTIFS(M_RUTN,V2736,M_MES,B2736,M_LIQ,"&lt;&gt;")&gt;1),"⚠ Liquidación repetida en el mes",IF(AND(ISNUMBER(O2736),ISNUMBER(P2736),ISNUMBER(Q2736),ABS(O2736-P2736-Q2736)&gt;1),"⚠ Haberes − descuentos no da el líquido","OK"))))))</f>
        <v/>
      </c>
      <c r="V2736" s="62" t="str">
        <f aca="false">IF(C2736="","",IFERROR(VALUE(LEFT(UPPER(SUBSTITUTE(SUBSTITUTE(SUBSTITUTE(TRIM(C2736),".",""),"-","")," ","")),LEN(UPPER(SUBSTITUTE(SUBSTITUTE(SUBSTITUTE(TRIM(C2736),".",""),"-","")," ","")))-1))&amp;RIGHT(UPPER(SUBSTITUTE(SUBSTITUTE(SUBSTITUTE(TRIM(C2736),".",""),"-","")," ","")),1),UPPER(SUBSTITUTE(SUBSTITUTE(SUBSTITUTE(TRIM(C2736),".",""),"-","")," ",""))))</f>
        <v/>
      </c>
    </row>
    <row r="2737" customFormat="false" ht="15" hidden="false" customHeight="false" outlineLevel="0" collapsed="false">
      <c r="B2737" s="80"/>
      <c r="C2737" s="58"/>
      <c r="D2737" s="62" t="str">
        <f aca="false">IF(C2737="","",IFERROR(INDEX(T_NOMBRE,MATCH(V2737,T_RUTN,0)),"⚠ RUT no está en Trabajadores"))</f>
        <v/>
      </c>
      <c r="E2737" s="61"/>
      <c r="F2737" s="61"/>
      <c r="G2737" s="61"/>
      <c r="H2737" s="61"/>
      <c r="I2737" s="81"/>
      <c r="J2737" s="81"/>
      <c r="K2737" s="60"/>
      <c r="L2737" s="60"/>
      <c r="M2737" s="60"/>
      <c r="N2737" s="60"/>
      <c r="O2737" s="60"/>
      <c r="P2737" s="60"/>
      <c r="Q2737" s="60"/>
      <c r="R2737" s="58"/>
      <c r="S2737" s="62" t="str">
        <f aca="false">IF(OR(B2737="",V2737=""),"",IFERROR(INDEX(C_TIPO,MATCH(V2737&amp;"-P"&amp;MAX(1,COUNTIFS(C_RUTN,V2737,C_DEF,"Sí",C_INI,"&lt;="&amp;EOMONTH(B2737,0))),C_CLAVE,0))&amp;"","Sin contrato"))</f>
        <v/>
      </c>
      <c r="T2737" s="63" t="str">
        <f aca="false">IF(OR(B2737="",N(O2737)=0),"",N(O2737)+ROUND(MIN(N(N2737),TOPE_UF*UF_MES)*(TASA_EMP+MUTUAL),0)+ROUND(MIN(N(N2737),TOPE_AFC_UF*UF_MES)*IF(S2737="Indefinido",AFC_INDEF,AFC_PF),0))</f>
        <v/>
      </c>
      <c r="U2737" s="62" t="str">
        <f aca="false">IF(C2737="","",IF(LEFT(D2737,1)="⚠","⚠ RUT no registrado en Trabajadores",IF(B2737="","⚠ Falta el mes",IF(OR(ISTEXT(I2737),ISTEXT(J2737)),"⚠ Atrasos u horas extra como texto: escriba hh:mm (ej. 1:30)",IF(AND(ISNUMBER(Q2737),COUNTIFS(M_RUTN,V2737,M_MES,B2737,M_LIQ,"&lt;&gt;")&gt;1),"⚠ Liquidación repetida en el mes",IF(AND(ISNUMBER(O2737),ISNUMBER(P2737),ISNUMBER(Q2737),ABS(O2737-P2737-Q2737)&gt;1),"⚠ Haberes − descuentos no da el líquido","OK"))))))</f>
        <v/>
      </c>
      <c r="V2737" s="62" t="str">
        <f aca="false">IF(C2737="","",IFERROR(VALUE(LEFT(UPPER(SUBSTITUTE(SUBSTITUTE(SUBSTITUTE(TRIM(C2737),".",""),"-","")," ","")),LEN(UPPER(SUBSTITUTE(SUBSTITUTE(SUBSTITUTE(TRIM(C2737),".",""),"-","")," ","")))-1))&amp;RIGHT(UPPER(SUBSTITUTE(SUBSTITUTE(SUBSTITUTE(TRIM(C2737),".",""),"-","")," ","")),1),UPPER(SUBSTITUTE(SUBSTITUTE(SUBSTITUTE(TRIM(C2737),".",""),"-","")," ",""))))</f>
        <v/>
      </c>
    </row>
    <row r="2738" customFormat="false" ht="15" hidden="false" customHeight="false" outlineLevel="0" collapsed="false">
      <c r="B2738" s="80"/>
      <c r="C2738" s="58"/>
      <c r="D2738" s="62" t="str">
        <f aca="false">IF(C2738="","",IFERROR(INDEX(T_NOMBRE,MATCH(V2738,T_RUTN,0)),"⚠ RUT no está en Trabajadores"))</f>
        <v/>
      </c>
      <c r="E2738" s="61"/>
      <c r="F2738" s="61"/>
      <c r="G2738" s="61"/>
      <c r="H2738" s="61"/>
      <c r="I2738" s="81"/>
      <c r="J2738" s="81"/>
      <c r="K2738" s="60"/>
      <c r="L2738" s="60"/>
      <c r="M2738" s="60"/>
      <c r="N2738" s="60"/>
      <c r="O2738" s="60"/>
      <c r="P2738" s="60"/>
      <c r="Q2738" s="60"/>
      <c r="R2738" s="58"/>
      <c r="S2738" s="62" t="str">
        <f aca="false">IF(OR(B2738="",V2738=""),"",IFERROR(INDEX(C_TIPO,MATCH(V2738&amp;"-P"&amp;MAX(1,COUNTIFS(C_RUTN,V2738,C_DEF,"Sí",C_INI,"&lt;="&amp;EOMONTH(B2738,0))),C_CLAVE,0))&amp;"","Sin contrato"))</f>
        <v/>
      </c>
      <c r="T2738" s="63" t="str">
        <f aca="false">IF(OR(B2738="",N(O2738)=0),"",N(O2738)+ROUND(MIN(N(N2738),TOPE_UF*UF_MES)*(TASA_EMP+MUTUAL),0)+ROUND(MIN(N(N2738),TOPE_AFC_UF*UF_MES)*IF(S2738="Indefinido",AFC_INDEF,AFC_PF),0))</f>
        <v/>
      </c>
      <c r="U2738" s="62" t="str">
        <f aca="false">IF(C2738="","",IF(LEFT(D2738,1)="⚠","⚠ RUT no registrado en Trabajadores",IF(B2738="","⚠ Falta el mes",IF(OR(ISTEXT(I2738),ISTEXT(J2738)),"⚠ Atrasos u horas extra como texto: escriba hh:mm (ej. 1:30)",IF(AND(ISNUMBER(Q2738),COUNTIFS(M_RUTN,V2738,M_MES,B2738,M_LIQ,"&lt;&gt;")&gt;1),"⚠ Liquidación repetida en el mes",IF(AND(ISNUMBER(O2738),ISNUMBER(P2738),ISNUMBER(Q2738),ABS(O2738-P2738-Q2738)&gt;1),"⚠ Haberes − descuentos no da el líquido","OK"))))))</f>
        <v/>
      </c>
      <c r="V2738" s="62" t="str">
        <f aca="false">IF(C2738="","",IFERROR(VALUE(LEFT(UPPER(SUBSTITUTE(SUBSTITUTE(SUBSTITUTE(TRIM(C2738),".",""),"-","")," ","")),LEN(UPPER(SUBSTITUTE(SUBSTITUTE(SUBSTITUTE(TRIM(C2738),".",""),"-","")," ","")))-1))&amp;RIGHT(UPPER(SUBSTITUTE(SUBSTITUTE(SUBSTITUTE(TRIM(C2738),".",""),"-","")," ","")),1),UPPER(SUBSTITUTE(SUBSTITUTE(SUBSTITUTE(TRIM(C2738),".",""),"-","")," ",""))))</f>
        <v/>
      </c>
    </row>
    <row r="2739" customFormat="false" ht="15" hidden="false" customHeight="false" outlineLevel="0" collapsed="false">
      <c r="B2739" s="80"/>
      <c r="C2739" s="58"/>
      <c r="D2739" s="62" t="str">
        <f aca="false">IF(C2739="","",IFERROR(INDEX(T_NOMBRE,MATCH(V2739,T_RUTN,0)),"⚠ RUT no está en Trabajadores"))</f>
        <v/>
      </c>
      <c r="E2739" s="61"/>
      <c r="F2739" s="61"/>
      <c r="G2739" s="61"/>
      <c r="H2739" s="61"/>
      <c r="I2739" s="81"/>
      <c r="J2739" s="81"/>
      <c r="K2739" s="60"/>
      <c r="L2739" s="60"/>
      <c r="M2739" s="60"/>
      <c r="N2739" s="60"/>
      <c r="O2739" s="60"/>
      <c r="P2739" s="60"/>
      <c r="Q2739" s="60"/>
      <c r="R2739" s="58"/>
      <c r="S2739" s="62" t="str">
        <f aca="false">IF(OR(B2739="",V2739=""),"",IFERROR(INDEX(C_TIPO,MATCH(V2739&amp;"-P"&amp;MAX(1,COUNTIFS(C_RUTN,V2739,C_DEF,"Sí",C_INI,"&lt;="&amp;EOMONTH(B2739,0))),C_CLAVE,0))&amp;"","Sin contrato"))</f>
        <v/>
      </c>
      <c r="T2739" s="63" t="str">
        <f aca="false">IF(OR(B2739="",N(O2739)=0),"",N(O2739)+ROUND(MIN(N(N2739),TOPE_UF*UF_MES)*(TASA_EMP+MUTUAL),0)+ROUND(MIN(N(N2739),TOPE_AFC_UF*UF_MES)*IF(S2739="Indefinido",AFC_INDEF,AFC_PF),0))</f>
        <v/>
      </c>
      <c r="U2739" s="62" t="str">
        <f aca="false">IF(C2739="","",IF(LEFT(D2739,1)="⚠","⚠ RUT no registrado en Trabajadores",IF(B2739="","⚠ Falta el mes",IF(OR(ISTEXT(I2739),ISTEXT(J2739)),"⚠ Atrasos u horas extra como texto: escriba hh:mm (ej. 1:30)",IF(AND(ISNUMBER(Q2739),COUNTIFS(M_RUTN,V2739,M_MES,B2739,M_LIQ,"&lt;&gt;")&gt;1),"⚠ Liquidación repetida en el mes",IF(AND(ISNUMBER(O2739),ISNUMBER(P2739),ISNUMBER(Q2739),ABS(O2739-P2739-Q2739)&gt;1),"⚠ Haberes − descuentos no da el líquido","OK"))))))</f>
        <v/>
      </c>
      <c r="V2739" s="62" t="str">
        <f aca="false">IF(C2739="","",IFERROR(VALUE(LEFT(UPPER(SUBSTITUTE(SUBSTITUTE(SUBSTITUTE(TRIM(C2739),".",""),"-","")," ","")),LEN(UPPER(SUBSTITUTE(SUBSTITUTE(SUBSTITUTE(TRIM(C2739),".",""),"-","")," ","")))-1))&amp;RIGHT(UPPER(SUBSTITUTE(SUBSTITUTE(SUBSTITUTE(TRIM(C2739),".",""),"-","")," ","")),1),UPPER(SUBSTITUTE(SUBSTITUTE(SUBSTITUTE(TRIM(C2739),".",""),"-","")," ",""))))</f>
        <v/>
      </c>
    </row>
    <row r="2740" customFormat="false" ht="15" hidden="false" customHeight="false" outlineLevel="0" collapsed="false">
      <c r="B2740" s="80"/>
      <c r="C2740" s="58"/>
      <c r="D2740" s="62" t="str">
        <f aca="false">IF(C2740="","",IFERROR(INDEX(T_NOMBRE,MATCH(V2740,T_RUTN,0)),"⚠ RUT no está en Trabajadores"))</f>
        <v/>
      </c>
      <c r="E2740" s="61"/>
      <c r="F2740" s="61"/>
      <c r="G2740" s="61"/>
      <c r="H2740" s="61"/>
      <c r="I2740" s="81"/>
      <c r="J2740" s="81"/>
      <c r="K2740" s="60"/>
      <c r="L2740" s="60"/>
      <c r="M2740" s="60"/>
      <c r="N2740" s="60"/>
      <c r="O2740" s="60"/>
      <c r="P2740" s="60"/>
      <c r="Q2740" s="60"/>
      <c r="R2740" s="58"/>
      <c r="S2740" s="62" t="str">
        <f aca="false">IF(OR(B2740="",V2740=""),"",IFERROR(INDEX(C_TIPO,MATCH(V2740&amp;"-P"&amp;MAX(1,COUNTIFS(C_RUTN,V2740,C_DEF,"Sí",C_INI,"&lt;="&amp;EOMONTH(B2740,0))),C_CLAVE,0))&amp;"","Sin contrato"))</f>
        <v/>
      </c>
      <c r="T2740" s="63" t="str">
        <f aca="false">IF(OR(B2740="",N(O2740)=0),"",N(O2740)+ROUND(MIN(N(N2740),TOPE_UF*UF_MES)*(TASA_EMP+MUTUAL),0)+ROUND(MIN(N(N2740),TOPE_AFC_UF*UF_MES)*IF(S2740="Indefinido",AFC_INDEF,AFC_PF),0))</f>
        <v/>
      </c>
      <c r="U2740" s="62" t="str">
        <f aca="false">IF(C2740="","",IF(LEFT(D2740,1)="⚠","⚠ RUT no registrado en Trabajadores",IF(B2740="","⚠ Falta el mes",IF(OR(ISTEXT(I2740),ISTEXT(J2740)),"⚠ Atrasos u horas extra como texto: escriba hh:mm (ej. 1:30)",IF(AND(ISNUMBER(Q2740),COUNTIFS(M_RUTN,V2740,M_MES,B2740,M_LIQ,"&lt;&gt;")&gt;1),"⚠ Liquidación repetida en el mes",IF(AND(ISNUMBER(O2740),ISNUMBER(P2740),ISNUMBER(Q2740),ABS(O2740-P2740-Q2740)&gt;1),"⚠ Haberes − descuentos no da el líquido","OK"))))))</f>
        <v/>
      </c>
      <c r="V2740" s="62" t="str">
        <f aca="false">IF(C2740="","",IFERROR(VALUE(LEFT(UPPER(SUBSTITUTE(SUBSTITUTE(SUBSTITUTE(TRIM(C2740),".",""),"-","")," ","")),LEN(UPPER(SUBSTITUTE(SUBSTITUTE(SUBSTITUTE(TRIM(C2740),".",""),"-","")," ","")))-1))&amp;RIGHT(UPPER(SUBSTITUTE(SUBSTITUTE(SUBSTITUTE(TRIM(C2740),".",""),"-","")," ","")),1),UPPER(SUBSTITUTE(SUBSTITUTE(SUBSTITUTE(TRIM(C2740),".",""),"-","")," ",""))))</f>
        <v/>
      </c>
    </row>
    <row r="2741" customFormat="false" ht="15" hidden="false" customHeight="false" outlineLevel="0" collapsed="false">
      <c r="B2741" s="80"/>
      <c r="C2741" s="58"/>
      <c r="D2741" s="62" t="str">
        <f aca="false">IF(C2741="","",IFERROR(INDEX(T_NOMBRE,MATCH(V2741,T_RUTN,0)),"⚠ RUT no está en Trabajadores"))</f>
        <v/>
      </c>
      <c r="E2741" s="61"/>
      <c r="F2741" s="61"/>
      <c r="G2741" s="61"/>
      <c r="H2741" s="61"/>
      <c r="I2741" s="81"/>
      <c r="J2741" s="81"/>
      <c r="K2741" s="60"/>
      <c r="L2741" s="60"/>
      <c r="M2741" s="60"/>
      <c r="N2741" s="60"/>
      <c r="O2741" s="60"/>
      <c r="P2741" s="60"/>
      <c r="Q2741" s="60"/>
      <c r="R2741" s="58"/>
      <c r="S2741" s="62" t="str">
        <f aca="false">IF(OR(B2741="",V2741=""),"",IFERROR(INDEX(C_TIPO,MATCH(V2741&amp;"-P"&amp;MAX(1,COUNTIFS(C_RUTN,V2741,C_DEF,"Sí",C_INI,"&lt;="&amp;EOMONTH(B2741,0))),C_CLAVE,0))&amp;"","Sin contrato"))</f>
        <v/>
      </c>
      <c r="T2741" s="63" t="str">
        <f aca="false">IF(OR(B2741="",N(O2741)=0),"",N(O2741)+ROUND(MIN(N(N2741),TOPE_UF*UF_MES)*(TASA_EMP+MUTUAL),0)+ROUND(MIN(N(N2741),TOPE_AFC_UF*UF_MES)*IF(S2741="Indefinido",AFC_INDEF,AFC_PF),0))</f>
        <v/>
      </c>
      <c r="U2741" s="62" t="str">
        <f aca="false">IF(C2741="","",IF(LEFT(D2741,1)="⚠","⚠ RUT no registrado en Trabajadores",IF(B2741="","⚠ Falta el mes",IF(OR(ISTEXT(I2741),ISTEXT(J2741)),"⚠ Atrasos u horas extra como texto: escriba hh:mm (ej. 1:30)",IF(AND(ISNUMBER(Q2741),COUNTIFS(M_RUTN,V2741,M_MES,B2741,M_LIQ,"&lt;&gt;")&gt;1),"⚠ Liquidación repetida en el mes",IF(AND(ISNUMBER(O2741),ISNUMBER(P2741),ISNUMBER(Q2741),ABS(O2741-P2741-Q2741)&gt;1),"⚠ Haberes − descuentos no da el líquido","OK"))))))</f>
        <v/>
      </c>
      <c r="V2741" s="62" t="str">
        <f aca="false">IF(C2741="","",IFERROR(VALUE(LEFT(UPPER(SUBSTITUTE(SUBSTITUTE(SUBSTITUTE(TRIM(C2741),".",""),"-","")," ","")),LEN(UPPER(SUBSTITUTE(SUBSTITUTE(SUBSTITUTE(TRIM(C2741),".",""),"-","")," ","")))-1))&amp;RIGHT(UPPER(SUBSTITUTE(SUBSTITUTE(SUBSTITUTE(TRIM(C2741),".",""),"-","")," ","")),1),UPPER(SUBSTITUTE(SUBSTITUTE(SUBSTITUTE(TRIM(C2741),".",""),"-","")," ",""))))</f>
        <v/>
      </c>
    </row>
    <row r="2742" customFormat="false" ht="15" hidden="false" customHeight="false" outlineLevel="0" collapsed="false">
      <c r="B2742" s="80"/>
      <c r="C2742" s="58"/>
      <c r="D2742" s="62" t="str">
        <f aca="false">IF(C2742="","",IFERROR(INDEX(T_NOMBRE,MATCH(V2742,T_RUTN,0)),"⚠ RUT no está en Trabajadores"))</f>
        <v/>
      </c>
      <c r="E2742" s="61"/>
      <c r="F2742" s="61"/>
      <c r="G2742" s="61"/>
      <c r="H2742" s="61"/>
      <c r="I2742" s="81"/>
      <c r="J2742" s="81"/>
      <c r="K2742" s="60"/>
      <c r="L2742" s="60"/>
      <c r="M2742" s="60"/>
      <c r="N2742" s="60"/>
      <c r="O2742" s="60"/>
      <c r="P2742" s="60"/>
      <c r="Q2742" s="60"/>
      <c r="R2742" s="58"/>
      <c r="S2742" s="62" t="str">
        <f aca="false">IF(OR(B2742="",V2742=""),"",IFERROR(INDEX(C_TIPO,MATCH(V2742&amp;"-P"&amp;MAX(1,COUNTIFS(C_RUTN,V2742,C_DEF,"Sí",C_INI,"&lt;="&amp;EOMONTH(B2742,0))),C_CLAVE,0))&amp;"","Sin contrato"))</f>
        <v/>
      </c>
      <c r="T2742" s="63" t="str">
        <f aca="false">IF(OR(B2742="",N(O2742)=0),"",N(O2742)+ROUND(MIN(N(N2742),TOPE_UF*UF_MES)*(TASA_EMP+MUTUAL),0)+ROUND(MIN(N(N2742),TOPE_AFC_UF*UF_MES)*IF(S2742="Indefinido",AFC_INDEF,AFC_PF),0))</f>
        <v/>
      </c>
      <c r="U2742" s="62" t="str">
        <f aca="false">IF(C2742="","",IF(LEFT(D2742,1)="⚠","⚠ RUT no registrado en Trabajadores",IF(B2742="","⚠ Falta el mes",IF(OR(ISTEXT(I2742),ISTEXT(J2742)),"⚠ Atrasos u horas extra como texto: escriba hh:mm (ej. 1:30)",IF(AND(ISNUMBER(Q2742),COUNTIFS(M_RUTN,V2742,M_MES,B2742,M_LIQ,"&lt;&gt;")&gt;1),"⚠ Liquidación repetida en el mes",IF(AND(ISNUMBER(O2742),ISNUMBER(P2742),ISNUMBER(Q2742),ABS(O2742-P2742-Q2742)&gt;1),"⚠ Haberes − descuentos no da el líquido","OK"))))))</f>
        <v/>
      </c>
      <c r="V2742" s="62" t="str">
        <f aca="false">IF(C2742="","",IFERROR(VALUE(LEFT(UPPER(SUBSTITUTE(SUBSTITUTE(SUBSTITUTE(TRIM(C2742),".",""),"-","")," ","")),LEN(UPPER(SUBSTITUTE(SUBSTITUTE(SUBSTITUTE(TRIM(C2742),".",""),"-","")," ","")))-1))&amp;RIGHT(UPPER(SUBSTITUTE(SUBSTITUTE(SUBSTITUTE(TRIM(C2742),".",""),"-","")," ","")),1),UPPER(SUBSTITUTE(SUBSTITUTE(SUBSTITUTE(TRIM(C2742),".",""),"-","")," ",""))))</f>
        <v/>
      </c>
    </row>
    <row r="2743" customFormat="false" ht="15" hidden="false" customHeight="false" outlineLevel="0" collapsed="false">
      <c r="B2743" s="80"/>
      <c r="C2743" s="58"/>
      <c r="D2743" s="62" t="str">
        <f aca="false">IF(C2743="","",IFERROR(INDEX(T_NOMBRE,MATCH(V2743,T_RUTN,0)),"⚠ RUT no está en Trabajadores"))</f>
        <v/>
      </c>
      <c r="E2743" s="61"/>
      <c r="F2743" s="61"/>
      <c r="G2743" s="61"/>
      <c r="H2743" s="61"/>
      <c r="I2743" s="81"/>
      <c r="J2743" s="81"/>
      <c r="K2743" s="60"/>
      <c r="L2743" s="60"/>
      <c r="M2743" s="60"/>
      <c r="N2743" s="60"/>
      <c r="O2743" s="60"/>
      <c r="P2743" s="60"/>
      <c r="Q2743" s="60"/>
      <c r="R2743" s="58"/>
      <c r="S2743" s="62" t="str">
        <f aca="false">IF(OR(B2743="",V2743=""),"",IFERROR(INDEX(C_TIPO,MATCH(V2743&amp;"-P"&amp;MAX(1,COUNTIFS(C_RUTN,V2743,C_DEF,"Sí",C_INI,"&lt;="&amp;EOMONTH(B2743,0))),C_CLAVE,0))&amp;"","Sin contrato"))</f>
        <v/>
      </c>
      <c r="T2743" s="63" t="str">
        <f aca="false">IF(OR(B2743="",N(O2743)=0),"",N(O2743)+ROUND(MIN(N(N2743),TOPE_UF*UF_MES)*(TASA_EMP+MUTUAL),0)+ROUND(MIN(N(N2743),TOPE_AFC_UF*UF_MES)*IF(S2743="Indefinido",AFC_INDEF,AFC_PF),0))</f>
        <v/>
      </c>
      <c r="U2743" s="62" t="str">
        <f aca="false">IF(C2743="","",IF(LEFT(D2743,1)="⚠","⚠ RUT no registrado en Trabajadores",IF(B2743="","⚠ Falta el mes",IF(OR(ISTEXT(I2743),ISTEXT(J2743)),"⚠ Atrasos u horas extra como texto: escriba hh:mm (ej. 1:30)",IF(AND(ISNUMBER(Q2743),COUNTIFS(M_RUTN,V2743,M_MES,B2743,M_LIQ,"&lt;&gt;")&gt;1),"⚠ Liquidación repetida en el mes",IF(AND(ISNUMBER(O2743),ISNUMBER(P2743),ISNUMBER(Q2743),ABS(O2743-P2743-Q2743)&gt;1),"⚠ Haberes − descuentos no da el líquido","OK"))))))</f>
        <v/>
      </c>
      <c r="V2743" s="62" t="str">
        <f aca="false">IF(C2743="","",IFERROR(VALUE(LEFT(UPPER(SUBSTITUTE(SUBSTITUTE(SUBSTITUTE(TRIM(C2743),".",""),"-","")," ","")),LEN(UPPER(SUBSTITUTE(SUBSTITUTE(SUBSTITUTE(TRIM(C2743),".",""),"-","")," ","")))-1))&amp;RIGHT(UPPER(SUBSTITUTE(SUBSTITUTE(SUBSTITUTE(TRIM(C2743),".",""),"-","")," ","")),1),UPPER(SUBSTITUTE(SUBSTITUTE(SUBSTITUTE(TRIM(C2743),".",""),"-","")," ",""))))</f>
        <v/>
      </c>
    </row>
    <row r="2744" customFormat="false" ht="15" hidden="false" customHeight="false" outlineLevel="0" collapsed="false">
      <c r="B2744" s="80"/>
      <c r="C2744" s="58"/>
      <c r="D2744" s="62" t="str">
        <f aca="false">IF(C2744="","",IFERROR(INDEX(T_NOMBRE,MATCH(V2744,T_RUTN,0)),"⚠ RUT no está en Trabajadores"))</f>
        <v/>
      </c>
      <c r="E2744" s="61"/>
      <c r="F2744" s="61"/>
      <c r="G2744" s="61"/>
      <c r="H2744" s="61"/>
      <c r="I2744" s="81"/>
      <c r="J2744" s="81"/>
      <c r="K2744" s="60"/>
      <c r="L2744" s="60"/>
      <c r="M2744" s="60"/>
      <c r="N2744" s="60"/>
      <c r="O2744" s="60"/>
      <c r="P2744" s="60"/>
      <c r="Q2744" s="60"/>
      <c r="R2744" s="58"/>
      <c r="S2744" s="62" t="str">
        <f aca="false">IF(OR(B2744="",V2744=""),"",IFERROR(INDEX(C_TIPO,MATCH(V2744&amp;"-P"&amp;MAX(1,COUNTIFS(C_RUTN,V2744,C_DEF,"Sí",C_INI,"&lt;="&amp;EOMONTH(B2744,0))),C_CLAVE,0))&amp;"","Sin contrato"))</f>
        <v/>
      </c>
      <c r="T2744" s="63" t="str">
        <f aca="false">IF(OR(B2744="",N(O2744)=0),"",N(O2744)+ROUND(MIN(N(N2744),TOPE_UF*UF_MES)*(TASA_EMP+MUTUAL),0)+ROUND(MIN(N(N2744),TOPE_AFC_UF*UF_MES)*IF(S2744="Indefinido",AFC_INDEF,AFC_PF),0))</f>
        <v/>
      </c>
      <c r="U2744" s="62" t="str">
        <f aca="false">IF(C2744="","",IF(LEFT(D2744,1)="⚠","⚠ RUT no registrado en Trabajadores",IF(B2744="","⚠ Falta el mes",IF(OR(ISTEXT(I2744),ISTEXT(J2744)),"⚠ Atrasos u horas extra como texto: escriba hh:mm (ej. 1:30)",IF(AND(ISNUMBER(Q2744),COUNTIFS(M_RUTN,V2744,M_MES,B2744,M_LIQ,"&lt;&gt;")&gt;1),"⚠ Liquidación repetida en el mes",IF(AND(ISNUMBER(O2744),ISNUMBER(P2744),ISNUMBER(Q2744),ABS(O2744-P2744-Q2744)&gt;1),"⚠ Haberes − descuentos no da el líquido","OK"))))))</f>
        <v/>
      </c>
      <c r="V2744" s="62" t="str">
        <f aca="false">IF(C2744="","",IFERROR(VALUE(LEFT(UPPER(SUBSTITUTE(SUBSTITUTE(SUBSTITUTE(TRIM(C2744),".",""),"-","")," ","")),LEN(UPPER(SUBSTITUTE(SUBSTITUTE(SUBSTITUTE(TRIM(C2744),".",""),"-","")," ","")))-1))&amp;RIGHT(UPPER(SUBSTITUTE(SUBSTITUTE(SUBSTITUTE(TRIM(C2744),".",""),"-","")," ","")),1),UPPER(SUBSTITUTE(SUBSTITUTE(SUBSTITUTE(TRIM(C2744),".",""),"-","")," ",""))))</f>
        <v/>
      </c>
    </row>
    <row r="2745" customFormat="false" ht="15" hidden="false" customHeight="false" outlineLevel="0" collapsed="false">
      <c r="B2745" s="80"/>
      <c r="C2745" s="58"/>
      <c r="D2745" s="62" t="str">
        <f aca="false">IF(C2745="","",IFERROR(INDEX(T_NOMBRE,MATCH(V2745,T_RUTN,0)),"⚠ RUT no está en Trabajadores"))</f>
        <v/>
      </c>
      <c r="E2745" s="61"/>
      <c r="F2745" s="61"/>
      <c r="G2745" s="61"/>
      <c r="H2745" s="61"/>
      <c r="I2745" s="81"/>
      <c r="J2745" s="81"/>
      <c r="K2745" s="60"/>
      <c r="L2745" s="60"/>
      <c r="M2745" s="60"/>
      <c r="N2745" s="60"/>
      <c r="O2745" s="60"/>
      <c r="P2745" s="60"/>
      <c r="Q2745" s="60"/>
      <c r="R2745" s="58"/>
      <c r="S2745" s="62" t="str">
        <f aca="false">IF(OR(B2745="",V2745=""),"",IFERROR(INDEX(C_TIPO,MATCH(V2745&amp;"-P"&amp;MAX(1,COUNTIFS(C_RUTN,V2745,C_DEF,"Sí",C_INI,"&lt;="&amp;EOMONTH(B2745,0))),C_CLAVE,0))&amp;"","Sin contrato"))</f>
        <v/>
      </c>
      <c r="T2745" s="63" t="str">
        <f aca="false">IF(OR(B2745="",N(O2745)=0),"",N(O2745)+ROUND(MIN(N(N2745),TOPE_UF*UF_MES)*(TASA_EMP+MUTUAL),0)+ROUND(MIN(N(N2745),TOPE_AFC_UF*UF_MES)*IF(S2745="Indefinido",AFC_INDEF,AFC_PF),0))</f>
        <v/>
      </c>
      <c r="U2745" s="62" t="str">
        <f aca="false">IF(C2745="","",IF(LEFT(D2745,1)="⚠","⚠ RUT no registrado en Trabajadores",IF(B2745="","⚠ Falta el mes",IF(OR(ISTEXT(I2745),ISTEXT(J2745)),"⚠ Atrasos u horas extra como texto: escriba hh:mm (ej. 1:30)",IF(AND(ISNUMBER(Q2745),COUNTIFS(M_RUTN,V2745,M_MES,B2745,M_LIQ,"&lt;&gt;")&gt;1),"⚠ Liquidación repetida en el mes",IF(AND(ISNUMBER(O2745),ISNUMBER(P2745),ISNUMBER(Q2745),ABS(O2745-P2745-Q2745)&gt;1),"⚠ Haberes − descuentos no da el líquido","OK"))))))</f>
        <v/>
      </c>
      <c r="V2745" s="62" t="str">
        <f aca="false">IF(C2745="","",IFERROR(VALUE(LEFT(UPPER(SUBSTITUTE(SUBSTITUTE(SUBSTITUTE(TRIM(C2745),".",""),"-","")," ","")),LEN(UPPER(SUBSTITUTE(SUBSTITUTE(SUBSTITUTE(TRIM(C2745),".",""),"-","")," ","")))-1))&amp;RIGHT(UPPER(SUBSTITUTE(SUBSTITUTE(SUBSTITUTE(TRIM(C2745),".",""),"-","")," ","")),1),UPPER(SUBSTITUTE(SUBSTITUTE(SUBSTITUTE(TRIM(C2745),".",""),"-","")," ",""))))</f>
        <v/>
      </c>
    </row>
    <row r="2746" customFormat="false" ht="15" hidden="false" customHeight="false" outlineLevel="0" collapsed="false">
      <c r="B2746" s="80"/>
      <c r="C2746" s="58"/>
      <c r="D2746" s="62" t="str">
        <f aca="false">IF(C2746="","",IFERROR(INDEX(T_NOMBRE,MATCH(V2746,T_RUTN,0)),"⚠ RUT no está en Trabajadores"))</f>
        <v/>
      </c>
      <c r="E2746" s="61"/>
      <c r="F2746" s="61"/>
      <c r="G2746" s="61"/>
      <c r="H2746" s="61"/>
      <c r="I2746" s="81"/>
      <c r="J2746" s="81"/>
      <c r="K2746" s="60"/>
      <c r="L2746" s="60"/>
      <c r="M2746" s="60"/>
      <c r="N2746" s="60"/>
      <c r="O2746" s="60"/>
      <c r="P2746" s="60"/>
      <c r="Q2746" s="60"/>
      <c r="R2746" s="58"/>
      <c r="S2746" s="62" t="str">
        <f aca="false">IF(OR(B2746="",V2746=""),"",IFERROR(INDEX(C_TIPO,MATCH(V2746&amp;"-P"&amp;MAX(1,COUNTIFS(C_RUTN,V2746,C_DEF,"Sí",C_INI,"&lt;="&amp;EOMONTH(B2746,0))),C_CLAVE,0))&amp;"","Sin contrato"))</f>
        <v/>
      </c>
      <c r="T2746" s="63" t="str">
        <f aca="false">IF(OR(B2746="",N(O2746)=0),"",N(O2746)+ROUND(MIN(N(N2746),TOPE_UF*UF_MES)*(TASA_EMP+MUTUAL),0)+ROUND(MIN(N(N2746),TOPE_AFC_UF*UF_MES)*IF(S2746="Indefinido",AFC_INDEF,AFC_PF),0))</f>
        <v/>
      </c>
      <c r="U2746" s="62" t="str">
        <f aca="false">IF(C2746="","",IF(LEFT(D2746,1)="⚠","⚠ RUT no registrado en Trabajadores",IF(B2746="","⚠ Falta el mes",IF(OR(ISTEXT(I2746),ISTEXT(J2746)),"⚠ Atrasos u horas extra como texto: escriba hh:mm (ej. 1:30)",IF(AND(ISNUMBER(Q2746),COUNTIFS(M_RUTN,V2746,M_MES,B2746,M_LIQ,"&lt;&gt;")&gt;1),"⚠ Liquidación repetida en el mes",IF(AND(ISNUMBER(O2746),ISNUMBER(P2746),ISNUMBER(Q2746),ABS(O2746-P2746-Q2746)&gt;1),"⚠ Haberes − descuentos no da el líquido","OK"))))))</f>
        <v/>
      </c>
      <c r="V2746" s="62" t="str">
        <f aca="false">IF(C2746="","",IFERROR(VALUE(LEFT(UPPER(SUBSTITUTE(SUBSTITUTE(SUBSTITUTE(TRIM(C2746),".",""),"-","")," ","")),LEN(UPPER(SUBSTITUTE(SUBSTITUTE(SUBSTITUTE(TRIM(C2746),".",""),"-","")," ","")))-1))&amp;RIGHT(UPPER(SUBSTITUTE(SUBSTITUTE(SUBSTITUTE(TRIM(C2746),".",""),"-","")," ","")),1),UPPER(SUBSTITUTE(SUBSTITUTE(SUBSTITUTE(TRIM(C2746),".",""),"-","")," ",""))))</f>
        <v/>
      </c>
    </row>
    <row r="2747" customFormat="false" ht="15" hidden="false" customHeight="false" outlineLevel="0" collapsed="false">
      <c r="B2747" s="80"/>
      <c r="C2747" s="58"/>
      <c r="D2747" s="62" t="str">
        <f aca="false">IF(C2747="","",IFERROR(INDEX(T_NOMBRE,MATCH(V2747,T_RUTN,0)),"⚠ RUT no está en Trabajadores"))</f>
        <v/>
      </c>
      <c r="E2747" s="61"/>
      <c r="F2747" s="61"/>
      <c r="G2747" s="61"/>
      <c r="H2747" s="61"/>
      <c r="I2747" s="81"/>
      <c r="J2747" s="81"/>
      <c r="K2747" s="60"/>
      <c r="L2747" s="60"/>
      <c r="M2747" s="60"/>
      <c r="N2747" s="60"/>
      <c r="O2747" s="60"/>
      <c r="P2747" s="60"/>
      <c r="Q2747" s="60"/>
      <c r="R2747" s="58"/>
      <c r="S2747" s="62" t="str">
        <f aca="false">IF(OR(B2747="",V2747=""),"",IFERROR(INDEX(C_TIPO,MATCH(V2747&amp;"-P"&amp;MAX(1,COUNTIFS(C_RUTN,V2747,C_DEF,"Sí",C_INI,"&lt;="&amp;EOMONTH(B2747,0))),C_CLAVE,0))&amp;"","Sin contrato"))</f>
        <v/>
      </c>
      <c r="T2747" s="63" t="str">
        <f aca="false">IF(OR(B2747="",N(O2747)=0),"",N(O2747)+ROUND(MIN(N(N2747),TOPE_UF*UF_MES)*(TASA_EMP+MUTUAL),0)+ROUND(MIN(N(N2747),TOPE_AFC_UF*UF_MES)*IF(S2747="Indefinido",AFC_INDEF,AFC_PF),0))</f>
        <v/>
      </c>
      <c r="U2747" s="62" t="str">
        <f aca="false">IF(C2747="","",IF(LEFT(D2747,1)="⚠","⚠ RUT no registrado en Trabajadores",IF(B2747="","⚠ Falta el mes",IF(OR(ISTEXT(I2747),ISTEXT(J2747)),"⚠ Atrasos u horas extra como texto: escriba hh:mm (ej. 1:30)",IF(AND(ISNUMBER(Q2747),COUNTIFS(M_RUTN,V2747,M_MES,B2747,M_LIQ,"&lt;&gt;")&gt;1),"⚠ Liquidación repetida en el mes",IF(AND(ISNUMBER(O2747),ISNUMBER(P2747),ISNUMBER(Q2747),ABS(O2747-P2747-Q2747)&gt;1),"⚠ Haberes − descuentos no da el líquido","OK"))))))</f>
        <v/>
      </c>
      <c r="V2747" s="62" t="str">
        <f aca="false">IF(C2747="","",IFERROR(VALUE(LEFT(UPPER(SUBSTITUTE(SUBSTITUTE(SUBSTITUTE(TRIM(C2747),".",""),"-","")," ","")),LEN(UPPER(SUBSTITUTE(SUBSTITUTE(SUBSTITUTE(TRIM(C2747),".",""),"-","")," ","")))-1))&amp;RIGHT(UPPER(SUBSTITUTE(SUBSTITUTE(SUBSTITUTE(TRIM(C2747),".",""),"-","")," ","")),1),UPPER(SUBSTITUTE(SUBSTITUTE(SUBSTITUTE(TRIM(C2747),".",""),"-","")," ",""))))</f>
        <v/>
      </c>
    </row>
    <row r="2748" customFormat="false" ht="15" hidden="false" customHeight="false" outlineLevel="0" collapsed="false">
      <c r="B2748" s="80"/>
      <c r="C2748" s="58"/>
      <c r="D2748" s="62" t="str">
        <f aca="false">IF(C2748="","",IFERROR(INDEX(T_NOMBRE,MATCH(V2748,T_RUTN,0)),"⚠ RUT no está en Trabajadores"))</f>
        <v/>
      </c>
      <c r="E2748" s="61"/>
      <c r="F2748" s="61"/>
      <c r="G2748" s="61"/>
      <c r="H2748" s="61"/>
      <c r="I2748" s="81"/>
      <c r="J2748" s="81"/>
      <c r="K2748" s="60"/>
      <c r="L2748" s="60"/>
      <c r="M2748" s="60"/>
      <c r="N2748" s="60"/>
      <c r="O2748" s="60"/>
      <c r="P2748" s="60"/>
      <c r="Q2748" s="60"/>
      <c r="R2748" s="58"/>
      <c r="S2748" s="62" t="str">
        <f aca="false">IF(OR(B2748="",V2748=""),"",IFERROR(INDEX(C_TIPO,MATCH(V2748&amp;"-P"&amp;MAX(1,COUNTIFS(C_RUTN,V2748,C_DEF,"Sí",C_INI,"&lt;="&amp;EOMONTH(B2748,0))),C_CLAVE,0))&amp;"","Sin contrato"))</f>
        <v/>
      </c>
      <c r="T2748" s="63" t="str">
        <f aca="false">IF(OR(B2748="",N(O2748)=0),"",N(O2748)+ROUND(MIN(N(N2748),TOPE_UF*UF_MES)*(TASA_EMP+MUTUAL),0)+ROUND(MIN(N(N2748),TOPE_AFC_UF*UF_MES)*IF(S2748="Indefinido",AFC_INDEF,AFC_PF),0))</f>
        <v/>
      </c>
      <c r="U2748" s="62" t="str">
        <f aca="false">IF(C2748="","",IF(LEFT(D2748,1)="⚠","⚠ RUT no registrado en Trabajadores",IF(B2748="","⚠ Falta el mes",IF(OR(ISTEXT(I2748),ISTEXT(J2748)),"⚠ Atrasos u horas extra como texto: escriba hh:mm (ej. 1:30)",IF(AND(ISNUMBER(Q2748),COUNTIFS(M_RUTN,V2748,M_MES,B2748,M_LIQ,"&lt;&gt;")&gt;1),"⚠ Liquidación repetida en el mes",IF(AND(ISNUMBER(O2748),ISNUMBER(P2748),ISNUMBER(Q2748),ABS(O2748-P2748-Q2748)&gt;1),"⚠ Haberes − descuentos no da el líquido","OK"))))))</f>
        <v/>
      </c>
      <c r="V2748" s="62" t="str">
        <f aca="false">IF(C2748="","",IFERROR(VALUE(LEFT(UPPER(SUBSTITUTE(SUBSTITUTE(SUBSTITUTE(TRIM(C2748),".",""),"-","")," ","")),LEN(UPPER(SUBSTITUTE(SUBSTITUTE(SUBSTITUTE(TRIM(C2748),".",""),"-","")," ","")))-1))&amp;RIGHT(UPPER(SUBSTITUTE(SUBSTITUTE(SUBSTITUTE(TRIM(C2748),".",""),"-","")," ","")),1),UPPER(SUBSTITUTE(SUBSTITUTE(SUBSTITUTE(TRIM(C2748),".",""),"-","")," ",""))))</f>
        <v/>
      </c>
    </row>
    <row r="2749" customFormat="false" ht="15" hidden="false" customHeight="false" outlineLevel="0" collapsed="false">
      <c r="B2749" s="80"/>
      <c r="C2749" s="58"/>
      <c r="D2749" s="62" t="str">
        <f aca="false">IF(C2749="","",IFERROR(INDEX(T_NOMBRE,MATCH(V2749,T_RUTN,0)),"⚠ RUT no está en Trabajadores"))</f>
        <v/>
      </c>
      <c r="E2749" s="61"/>
      <c r="F2749" s="61"/>
      <c r="G2749" s="61"/>
      <c r="H2749" s="61"/>
      <c r="I2749" s="81"/>
      <c r="J2749" s="81"/>
      <c r="K2749" s="60"/>
      <c r="L2749" s="60"/>
      <c r="M2749" s="60"/>
      <c r="N2749" s="60"/>
      <c r="O2749" s="60"/>
      <c r="P2749" s="60"/>
      <c r="Q2749" s="60"/>
      <c r="R2749" s="58"/>
      <c r="S2749" s="62" t="str">
        <f aca="false">IF(OR(B2749="",V2749=""),"",IFERROR(INDEX(C_TIPO,MATCH(V2749&amp;"-P"&amp;MAX(1,COUNTIFS(C_RUTN,V2749,C_DEF,"Sí",C_INI,"&lt;="&amp;EOMONTH(B2749,0))),C_CLAVE,0))&amp;"","Sin contrato"))</f>
        <v/>
      </c>
      <c r="T2749" s="63" t="str">
        <f aca="false">IF(OR(B2749="",N(O2749)=0),"",N(O2749)+ROUND(MIN(N(N2749),TOPE_UF*UF_MES)*(TASA_EMP+MUTUAL),0)+ROUND(MIN(N(N2749),TOPE_AFC_UF*UF_MES)*IF(S2749="Indefinido",AFC_INDEF,AFC_PF),0))</f>
        <v/>
      </c>
      <c r="U2749" s="62" t="str">
        <f aca="false">IF(C2749="","",IF(LEFT(D2749,1)="⚠","⚠ RUT no registrado en Trabajadores",IF(B2749="","⚠ Falta el mes",IF(OR(ISTEXT(I2749),ISTEXT(J2749)),"⚠ Atrasos u horas extra como texto: escriba hh:mm (ej. 1:30)",IF(AND(ISNUMBER(Q2749),COUNTIFS(M_RUTN,V2749,M_MES,B2749,M_LIQ,"&lt;&gt;")&gt;1),"⚠ Liquidación repetida en el mes",IF(AND(ISNUMBER(O2749),ISNUMBER(P2749),ISNUMBER(Q2749),ABS(O2749-P2749-Q2749)&gt;1),"⚠ Haberes − descuentos no da el líquido","OK"))))))</f>
        <v/>
      </c>
      <c r="V2749" s="62" t="str">
        <f aca="false">IF(C2749="","",IFERROR(VALUE(LEFT(UPPER(SUBSTITUTE(SUBSTITUTE(SUBSTITUTE(TRIM(C2749),".",""),"-","")," ","")),LEN(UPPER(SUBSTITUTE(SUBSTITUTE(SUBSTITUTE(TRIM(C2749),".",""),"-","")," ","")))-1))&amp;RIGHT(UPPER(SUBSTITUTE(SUBSTITUTE(SUBSTITUTE(TRIM(C2749),".",""),"-","")," ","")),1),UPPER(SUBSTITUTE(SUBSTITUTE(SUBSTITUTE(TRIM(C2749),".",""),"-","")," ",""))))</f>
        <v/>
      </c>
    </row>
    <row r="2750" customFormat="false" ht="15" hidden="false" customHeight="false" outlineLevel="0" collapsed="false">
      <c r="B2750" s="80"/>
      <c r="C2750" s="58"/>
      <c r="D2750" s="62" t="str">
        <f aca="false">IF(C2750="","",IFERROR(INDEX(T_NOMBRE,MATCH(V2750,T_RUTN,0)),"⚠ RUT no está en Trabajadores"))</f>
        <v/>
      </c>
      <c r="E2750" s="61"/>
      <c r="F2750" s="61"/>
      <c r="G2750" s="61"/>
      <c r="H2750" s="61"/>
      <c r="I2750" s="81"/>
      <c r="J2750" s="81"/>
      <c r="K2750" s="60"/>
      <c r="L2750" s="60"/>
      <c r="M2750" s="60"/>
      <c r="N2750" s="60"/>
      <c r="O2750" s="60"/>
      <c r="P2750" s="60"/>
      <c r="Q2750" s="60"/>
      <c r="R2750" s="58"/>
      <c r="S2750" s="62" t="str">
        <f aca="false">IF(OR(B2750="",V2750=""),"",IFERROR(INDEX(C_TIPO,MATCH(V2750&amp;"-P"&amp;MAX(1,COUNTIFS(C_RUTN,V2750,C_DEF,"Sí",C_INI,"&lt;="&amp;EOMONTH(B2750,0))),C_CLAVE,0))&amp;"","Sin contrato"))</f>
        <v/>
      </c>
      <c r="T2750" s="63" t="str">
        <f aca="false">IF(OR(B2750="",N(O2750)=0),"",N(O2750)+ROUND(MIN(N(N2750),TOPE_UF*UF_MES)*(TASA_EMP+MUTUAL),0)+ROUND(MIN(N(N2750),TOPE_AFC_UF*UF_MES)*IF(S2750="Indefinido",AFC_INDEF,AFC_PF),0))</f>
        <v/>
      </c>
      <c r="U2750" s="62" t="str">
        <f aca="false">IF(C2750="","",IF(LEFT(D2750,1)="⚠","⚠ RUT no registrado en Trabajadores",IF(B2750="","⚠ Falta el mes",IF(OR(ISTEXT(I2750),ISTEXT(J2750)),"⚠ Atrasos u horas extra como texto: escriba hh:mm (ej. 1:30)",IF(AND(ISNUMBER(Q2750),COUNTIFS(M_RUTN,V2750,M_MES,B2750,M_LIQ,"&lt;&gt;")&gt;1),"⚠ Liquidación repetida en el mes",IF(AND(ISNUMBER(O2750),ISNUMBER(P2750),ISNUMBER(Q2750),ABS(O2750-P2750-Q2750)&gt;1),"⚠ Haberes − descuentos no da el líquido","OK"))))))</f>
        <v/>
      </c>
      <c r="V2750" s="62" t="str">
        <f aca="false">IF(C2750="","",IFERROR(VALUE(LEFT(UPPER(SUBSTITUTE(SUBSTITUTE(SUBSTITUTE(TRIM(C2750),".",""),"-","")," ","")),LEN(UPPER(SUBSTITUTE(SUBSTITUTE(SUBSTITUTE(TRIM(C2750),".",""),"-","")," ","")))-1))&amp;RIGHT(UPPER(SUBSTITUTE(SUBSTITUTE(SUBSTITUTE(TRIM(C2750),".",""),"-","")," ","")),1),UPPER(SUBSTITUTE(SUBSTITUTE(SUBSTITUTE(TRIM(C2750),".",""),"-","")," ",""))))</f>
        <v/>
      </c>
    </row>
    <row r="2751" customFormat="false" ht="15" hidden="false" customHeight="false" outlineLevel="0" collapsed="false">
      <c r="B2751" s="80"/>
      <c r="C2751" s="58"/>
      <c r="D2751" s="62" t="str">
        <f aca="false">IF(C2751="","",IFERROR(INDEX(T_NOMBRE,MATCH(V2751,T_RUTN,0)),"⚠ RUT no está en Trabajadores"))</f>
        <v/>
      </c>
      <c r="E2751" s="61"/>
      <c r="F2751" s="61"/>
      <c r="G2751" s="61"/>
      <c r="H2751" s="61"/>
      <c r="I2751" s="81"/>
      <c r="J2751" s="81"/>
      <c r="K2751" s="60"/>
      <c r="L2751" s="60"/>
      <c r="M2751" s="60"/>
      <c r="N2751" s="60"/>
      <c r="O2751" s="60"/>
      <c r="P2751" s="60"/>
      <c r="Q2751" s="60"/>
      <c r="R2751" s="58"/>
      <c r="S2751" s="62" t="str">
        <f aca="false">IF(OR(B2751="",V2751=""),"",IFERROR(INDEX(C_TIPO,MATCH(V2751&amp;"-P"&amp;MAX(1,COUNTIFS(C_RUTN,V2751,C_DEF,"Sí",C_INI,"&lt;="&amp;EOMONTH(B2751,0))),C_CLAVE,0))&amp;"","Sin contrato"))</f>
        <v/>
      </c>
      <c r="T2751" s="63" t="str">
        <f aca="false">IF(OR(B2751="",N(O2751)=0),"",N(O2751)+ROUND(MIN(N(N2751),TOPE_UF*UF_MES)*(TASA_EMP+MUTUAL),0)+ROUND(MIN(N(N2751),TOPE_AFC_UF*UF_MES)*IF(S2751="Indefinido",AFC_INDEF,AFC_PF),0))</f>
        <v/>
      </c>
      <c r="U2751" s="62" t="str">
        <f aca="false">IF(C2751="","",IF(LEFT(D2751,1)="⚠","⚠ RUT no registrado en Trabajadores",IF(B2751="","⚠ Falta el mes",IF(OR(ISTEXT(I2751),ISTEXT(J2751)),"⚠ Atrasos u horas extra como texto: escriba hh:mm (ej. 1:30)",IF(AND(ISNUMBER(Q2751),COUNTIFS(M_RUTN,V2751,M_MES,B2751,M_LIQ,"&lt;&gt;")&gt;1),"⚠ Liquidación repetida en el mes",IF(AND(ISNUMBER(O2751),ISNUMBER(P2751),ISNUMBER(Q2751),ABS(O2751-P2751-Q2751)&gt;1),"⚠ Haberes − descuentos no da el líquido","OK"))))))</f>
        <v/>
      </c>
      <c r="V2751" s="62" t="str">
        <f aca="false">IF(C2751="","",IFERROR(VALUE(LEFT(UPPER(SUBSTITUTE(SUBSTITUTE(SUBSTITUTE(TRIM(C2751),".",""),"-","")," ","")),LEN(UPPER(SUBSTITUTE(SUBSTITUTE(SUBSTITUTE(TRIM(C2751),".",""),"-","")," ","")))-1))&amp;RIGHT(UPPER(SUBSTITUTE(SUBSTITUTE(SUBSTITUTE(TRIM(C2751),".",""),"-","")," ","")),1),UPPER(SUBSTITUTE(SUBSTITUTE(SUBSTITUTE(TRIM(C2751),".",""),"-","")," ",""))))</f>
        <v/>
      </c>
    </row>
    <row r="2752" customFormat="false" ht="15" hidden="false" customHeight="false" outlineLevel="0" collapsed="false">
      <c r="B2752" s="80"/>
      <c r="C2752" s="58"/>
      <c r="D2752" s="62" t="str">
        <f aca="false">IF(C2752="","",IFERROR(INDEX(T_NOMBRE,MATCH(V2752,T_RUTN,0)),"⚠ RUT no está en Trabajadores"))</f>
        <v/>
      </c>
      <c r="E2752" s="61"/>
      <c r="F2752" s="61"/>
      <c r="G2752" s="61"/>
      <c r="H2752" s="61"/>
      <c r="I2752" s="81"/>
      <c r="J2752" s="81"/>
      <c r="K2752" s="60"/>
      <c r="L2752" s="60"/>
      <c r="M2752" s="60"/>
      <c r="N2752" s="60"/>
      <c r="O2752" s="60"/>
      <c r="P2752" s="60"/>
      <c r="Q2752" s="60"/>
      <c r="R2752" s="58"/>
      <c r="S2752" s="62" t="str">
        <f aca="false">IF(OR(B2752="",V2752=""),"",IFERROR(INDEX(C_TIPO,MATCH(V2752&amp;"-P"&amp;MAX(1,COUNTIFS(C_RUTN,V2752,C_DEF,"Sí",C_INI,"&lt;="&amp;EOMONTH(B2752,0))),C_CLAVE,0))&amp;"","Sin contrato"))</f>
        <v/>
      </c>
      <c r="T2752" s="63" t="str">
        <f aca="false">IF(OR(B2752="",N(O2752)=0),"",N(O2752)+ROUND(MIN(N(N2752),TOPE_UF*UF_MES)*(TASA_EMP+MUTUAL),0)+ROUND(MIN(N(N2752),TOPE_AFC_UF*UF_MES)*IF(S2752="Indefinido",AFC_INDEF,AFC_PF),0))</f>
        <v/>
      </c>
      <c r="U2752" s="62" t="str">
        <f aca="false">IF(C2752="","",IF(LEFT(D2752,1)="⚠","⚠ RUT no registrado en Trabajadores",IF(B2752="","⚠ Falta el mes",IF(OR(ISTEXT(I2752),ISTEXT(J2752)),"⚠ Atrasos u horas extra como texto: escriba hh:mm (ej. 1:30)",IF(AND(ISNUMBER(Q2752),COUNTIFS(M_RUTN,V2752,M_MES,B2752,M_LIQ,"&lt;&gt;")&gt;1),"⚠ Liquidación repetida en el mes",IF(AND(ISNUMBER(O2752),ISNUMBER(P2752),ISNUMBER(Q2752),ABS(O2752-P2752-Q2752)&gt;1),"⚠ Haberes − descuentos no da el líquido","OK"))))))</f>
        <v/>
      </c>
      <c r="V2752" s="62" t="str">
        <f aca="false">IF(C2752="","",IFERROR(VALUE(LEFT(UPPER(SUBSTITUTE(SUBSTITUTE(SUBSTITUTE(TRIM(C2752),".",""),"-","")," ","")),LEN(UPPER(SUBSTITUTE(SUBSTITUTE(SUBSTITUTE(TRIM(C2752),".",""),"-","")," ","")))-1))&amp;RIGHT(UPPER(SUBSTITUTE(SUBSTITUTE(SUBSTITUTE(TRIM(C2752),".",""),"-","")," ","")),1),UPPER(SUBSTITUTE(SUBSTITUTE(SUBSTITUTE(TRIM(C2752),".",""),"-","")," ",""))))</f>
        <v/>
      </c>
    </row>
    <row r="2753" customFormat="false" ht="15" hidden="false" customHeight="false" outlineLevel="0" collapsed="false">
      <c r="B2753" s="80"/>
      <c r="C2753" s="58"/>
      <c r="D2753" s="62" t="str">
        <f aca="false">IF(C2753="","",IFERROR(INDEX(T_NOMBRE,MATCH(V2753,T_RUTN,0)),"⚠ RUT no está en Trabajadores"))</f>
        <v/>
      </c>
      <c r="E2753" s="61"/>
      <c r="F2753" s="61"/>
      <c r="G2753" s="61"/>
      <c r="H2753" s="61"/>
      <c r="I2753" s="81"/>
      <c r="J2753" s="81"/>
      <c r="K2753" s="60"/>
      <c r="L2753" s="60"/>
      <c r="M2753" s="60"/>
      <c r="N2753" s="60"/>
      <c r="O2753" s="60"/>
      <c r="P2753" s="60"/>
      <c r="Q2753" s="60"/>
      <c r="R2753" s="58"/>
      <c r="S2753" s="62" t="str">
        <f aca="false">IF(OR(B2753="",V2753=""),"",IFERROR(INDEX(C_TIPO,MATCH(V2753&amp;"-P"&amp;MAX(1,COUNTIFS(C_RUTN,V2753,C_DEF,"Sí",C_INI,"&lt;="&amp;EOMONTH(B2753,0))),C_CLAVE,0))&amp;"","Sin contrato"))</f>
        <v/>
      </c>
      <c r="T2753" s="63" t="str">
        <f aca="false">IF(OR(B2753="",N(O2753)=0),"",N(O2753)+ROUND(MIN(N(N2753),TOPE_UF*UF_MES)*(TASA_EMP+MUTUAL),0)+ROUND(MIN(N(N2753),TOPE_AFC_UF*UF_MES)*IF(S2753="Indefinido",AFC_INDEF,AFC_PF),0))</f>
        <v/>
      </c>
      <c r="U2753" s="62" t="str">
        <f aca="false">IF(C2753="","",IF(LEFT(D2753,1)="⚠","⚠ RUT no registrado en Trabajadores",IF(B2753="","⚠ Falta el mes",IF(OR(ISTEXT(I2753),ISTEXT(J2753)),"⚠ Atrasos u horas extra como texto: escriba hh:mm (ej. 1:30)",IF(AND(ISNUMBER(Q2753),COUNTIFS(M_RUTN,V2753,M_MES,B2753,M_LIQ,"&lt;&gt;")&gt;1),"⚠ Liquidación repetida en el mes",IF(AND(ISNUMBER(O2753),ISNUMBER(P2753),ISNUMBER(Q2753),ABS(O2753-P2753-Q2753)&gt;1),"⚠ Haberes − descuentos no da el líquido","OK"))))))</f>
        <v/>
      </c>
      <c r="V2753" s="62" t="str">
        <f aca="false">IF(C2753="","",IFERROR(VALUE(LEFT(UPPER(SUBSTITUTE(SUBSTITUTE(SUBSTITUTE(TRIM(C2753),".",""),"-","")," ","")),LEN(UPPER(SUBSTITUTE(SUBSTITUTE(SUBSTITUTE(TRIM(C2753),".",""),"-","")," ","")))-1))&amp;RIGHT(UPPER(SUBSTITUTE(SUBSTITUTE(SUBSTITUTE(TRIM(C2753),".",""),"-","")," ","")),1),UPPER(SUBSTITUTE(SUBSTITUTE(SUBSTITUTE(TRIM(C2753),".",""),"-","")," ",""))))</f>
        <v/>
      </c>
    </row>
    <row r="2754" customFormat="false" ht="15" hidden="false" customHeight="false" outlineLevel="0" collapsed="false">
      <c r="B2754" s="80"/>
      <c r="C2754" s="58"/>
      <c r="D2754" s="62" t="str">
        <f aca="false">IF(C2754="","",IFERROR(INDEX(T_NOMBRE,MATCH(V2754,T_RUTN,0)),"⚠ RUT no está en Trabajadores"))</f>
        <v/>
      </c>
      <c r="E2754" s="61"/>
      <c r="F2754" s="61"/>
      <c r="G2754" s="61"/>
      <c r="H2754" s="61"/>
      <c r="I2754" s="81"/>
      <c r="J2754" s="81"/>
      <c r="K2754" s="60"/>
      <c r="L2754" s="60"/>
      <c r="M2754" s="60"/>
      <c r="N2754" s="60"/>
      <c r="O2754" s="60"/>
      <c r="P2754" s="60"/>
      <c r="Q2754" s="60"/>
      <c r="R2754" s="58"/>
      <c r="S2754" s="62" t="str">
        <f aca="false">IF(OR(B2754="",V2754=""),"",IFERROR(INDEX(C_TIPO,MATCH(V2754&amp;"-P"&amp;MAX(1,COUNTIFS(C_RUTN,V2754,C_DEF,"Sí",C_INI,"&lt;="&amp;EOMONTH(B2754,0))),C_CLAVE,0))&amp;"","Sin contrato"))</f>
        <v/>
      </c>
      <c r="T2754" s="63" t="str">
        <f aca="false">IF(OR(B2754="",N(O2754)=0),"",N(O2754)+ROUND(MIN(N(N2754),TOPE_UF*UF_MES)*(TASA_EMP+MUTUAL),0)+ROUND(MIN(N(N2754),TOPE_AFC_UF*UF_MES)*IF(S2754="Indefinido",AFC_INDEF,AFC_PF),0))</f>
        <v/>
      </c>
      <c r="U2754" s="62" t="str">
        <f aca="false">IF(C2754="","",IF(LEFT(D2754,1)="⚠","⚠ RUT no registrado en Trabajadores",IF(B2754="","⚠ Falta el mes",IF(OR(ISTEXT(I2754),ISTEXT(J2754)),"⚠ Atrasos u horas extra como texto: escriba hh:mm (ej. 1:30)",IF(AND(ISNUMBER(Q2754),COUNTIFS(M_RUTN,V2754,M_MES,B2754,M_LIQ,"&lt;&gt;")&gt;1),"⚠ Liquidación repetida en el mes",IF(AND(ISNUMBER(O2754),ISNUMBER(P2754),ISNUMBER(Q2754),ABS(O2754-P2754-Q2754)&gt;1),"⚠ Haberes − descuentos no da el líquido","OK"))))))</f>
        <v/>
      </c>
      <c r="V2754" s="62" t="str">
        <f aca="false">IF(C2754="","",IFERROR(VALUE(LEFT(UPPER(SUBSTITUTE(SUBSTITUTE(SUBSTITUTE(TRIM(C2754),".",""),"-","")," ","")),LEN(UPPER(SUBSTITUTE(SUBSTITUTE(SUBSTITUTE(TRIM(C2754),".",""),"-","")," ","")))-1))&amp;RIGHT(UPPER(SUBSTITUTE(SUBSTITUTE(SUBSTITUTE(TRIM(C2754),".",""),"-","")," ","")),1),UPPER(SUBSTITUTE(SUBSTITUTE(SUBSTITUTE(TRIM(C2754),".",""),"-","")," ",""))))</f>
        <v/>
      </c>
    </row>
    <row r="2755" customFormat="false" ht="15" hidden="false" customHeight="false" outlineLevel="0" collapsed="false">
      <c r="B2755" s="80"/>
      <c r="C2755" s="58"/>
      <c r="D2755" s="62" t="str">
        <f aca="false">IF(C2755="","",IFERROR(INDEX(T_NOMBRE,MATCH(V2755,T_RUTN,0)),"⚠ RUT no está en Trabajadores"))</f>
        <v/>
      </c>
      <c r="E2755" s="61"/>
      <c r="F2755" s="61"/>
      <c r="G2755" s="61"/>
      <c r="H2755" s="61"/>
      <c r="I2755" s="81"/>
      <c r="J2755" s="81"/>
      <c r="K2755" s="60"/>
      <c r="L2755" s="60"/>
      <c r="M2755" s="60"/>
      <c r="N2755" s="60"/>
      <c r="O2755" s="60"/>
      <c r="P2755" s="60"/>
      <c r="Q2755" s="60"/>
      <c r="R2755" s="58"/>
      <c r="S2755" s="62" t="str">
        <f aca="false">IF(OR(B2755="",V2755=""),"",IFERROR(INDEX(C_TIPO,MATCH(V2755&amp;"-P"&amp;MAX(1,COUNTIFS(C_RUTN,V2755,C_DEF,"Sí",C_INI,"&lt;="&amp;EOMONTH(B2755,0))),C_CLAVE,0))&amp;"","Sin contrato"))</f>
        <v/>
      </c>
      <c r="T2755" s="63" t="str">
        <f aca="false">IF(OR(B2755="",N(O2755)=0),"",N(O2755)+ROUND(MIN(N(N2755),TOPE_UF*UF_MES)*(TASA_EMP+MUTUAL),0)+ROUND(MIN(N(N2755),TOPE_AFC_UF*UF_MES)*IF(S2755="Indefinido",AFC_INDEF,AFC_PF),0))</f>
        <v/>
      </c>
      <c r="U2755" s="62" t="str">
        <f aca="false">IF(C2755="","",IF(LEFT(D2755,1)="⚠","⚠ RUT no registrado en Trabajadores",IF(B2755="","⚠ Falta el mes",IF(OR(ISTEXT(I2755),ISTEXT(J2755)),"⚠ Atrasos u horas extra como texto: escriba hh:mm (ej. 1:30)",IF(AND(ISNUMBER(Q2755),COUNTIFS(M_RUTN,V2755,M_MES,B2755,M_LIQ,"&lt;&gt;")&gt;1),"⚠ Liquidación repetida en el mes",IF(AND(ISNUMBER(O2755),ISNUMBER(P2755),ISNUMBER(Q2755),ABS(O2755-P2755-Q2755)&gt;1),"⚠ Haberes − descuentos no da el líquido","OK"))))))</f>
        <v/>
      </c>
      <c r="V2755" s="62" t="str">
        <f aca="false">IF(C2755="","",IFERROR(VALUE(LEFT(UPPER(SUBSTITUTE(SUBSTITUTE(SUBSTITUTE(TRIM(C2755),".",""),"-","")," ","")),LEN(UPPER(SUBSTITUTE(SUBSTITUTE(SUBSTITUTE(TRIM(C2755),".",""),"-","")," ","")))-1))&amp;RIGHT(UPPER(SUBSTITUTE(SUBSTITUTE(SUBSTITUTE(TRIM(C2755),".",""),"-","")," ","")),1),UPPER(SUBSTITUTE(SUBSTITUTE(SUBSTITUTE(TRIM(C2755),".",""),"-","")," ",""))))</f>
        <v/>
      </c>
    </row>
    <row r="2756" customFormat="false" ht="15" hidden="false" customHeight="false" outlineLevel="0" collapsed="false">
      <c r="B2756" s="80"/>
      <c r="C2756" s="58"/>
      <c r="D2756" s="62" t="str">
        <f aca="false">IF(C2756="","",IFERROR(INDEX(T_NOMBRE,MATCH(V2756,T_RUTN,0)),"⚠ RUT no está en Trabajadores"))</f>
        <v/>
      </c>
      <c r="E2756" s="61"/>
      <c r="F2756" s="61"/>
      <c r="G2756" s="61"/>
      <c r="H2756" s="61"/>
      <c r="I2756" s="81"/>
      <c r="J2756" s="81"/>
      <c r="K2756" s="60"/>
      <c r="L2756" s="60"/>
      <c r="M2756" s="60"/>
      <c r="N2756" s="60"/>
      <c r="O2756" s="60"/>
      <c r="P2756" s="60"/>
      <c r="Q2756" s="60"/>
      <c r="R2756" s="58"/>
      <c r="S2756" s="62" t="str">
        <f aca="false">IF(OR(B2756="",V2756=""),"",IFERROR(INDEX(C_TIPO,MATCH(V2756&amp;"-P"&amp;MAX(1,COUNTIFS(C_RUTN,V2756,C_DEF,"Sí",C_INI,"&lt;="&amp;EOMONTH(B2756,0))),C_CLAVE,0))&amp;"","Sin contrato"))</f>
        <v/>
      </c>
      <c r="T2756" s="63" t="str">
        <f aca="false">IF(OR(B2756="",N(O2756)=0),"",N(O2756)+ROUND(MIN(N(N2756),TOPE_UF*UF_MES)*(TASA_EMP+MUTUAL),0)+ROUND(MIN(N(N2756),TOPE_AFC_UF*UF_MES)*IF(S2756="Indefinido",AFC_INDEF,AFC_PF),0))</f>
        <v/>
      </c>
      <c r="U2756" s="62" t="str">
        <f aca="false">IF(C2756="","",IF(LEFT(D2756,1)="⚠","⚠ RUT no registrado en Trabajadores",IF(B2756="","⚠ Falta el mes",IF(OR(ISTEXT(I2756),ISTEXT(J2756)),"⚠ Atrasos u horas extra como texto: escriba hh:mm (ej. 1:30)",IF(AND(ISNUMBER(Q2756),COUNTIFS(M_RUTN,V2756,M_MES,B2756,M_LIQ,"&lt;&gt;")&gt;1),"⚠ Liquidación repetida en el mes",IF(AND(ISNUMBER(O2756),ISNUMBER(P2756),ISNUMBER(Q2756),ABS(O2756-P2756-Q2756)&gt;1),"⚠ Haberes − descuentos no da el líquido","OK"))))))</f>
        <v/>
      </c>
      <c r="V2756" s="62" t="str">
        <f aca="false">IF(C2756="","",IFERROR(VALUE(LEFT(UPPER(SUBSTITUTE(SUBSTITUTE(SUBSTITUTE(TRIM(C2756),".",""),"-","")," ","")),LEN(UPPER(SUBSTITUTE(SUBSTITUTE(SUBSTITUTE(TRIM(C2756),".",""),"-","")," ","")))-1))&amp;RIGHT(UPPER(SUBSTITUTE(SUBSTITUTE(SUBSTITUTE(TRIM(C2756),".",""),"-","")," ","")),1),UPPER(SUBSTITUTE(SUBSTITUTE(SUBSTITUTE(TRIM(C2756),".",""),"-","")," ",""))))</f>
        <v/>
      </c>
    </row>
    <row r="2757" customFormat="false" ht="15" hidden="false" customHeight="false" outlineLevel="0" collapsed="false">
      <c r="B2757" s="80"/>
      <c r="C2757" s="58"/>
      <c r="D2757" s="62" t="str">
        <f aca="false">IF(C2757="","",IFERROR(INDEX(T_NOMBRE,MATCH(V2757,T_RUTN,0)),"⚠ RUT no está en Trabajadores"))</f>
        <v/>
      </c>
      <c r="E2757" s="61"/>
      <c r="F2757" s="61"/>
      <c r="G2757" s="61"/>
      <c r="H2757" s="61"/>
      <c r="I2757" s="81"/>
      <c r="J2757" s="81"/>
      <c r="K2757" s="60"/>
      <c r="L2757" s="60"/>
      <c r="M2757" s="60"/>
      <c r="N2757" s="60"/>
      <c r="O2757" s="60"/>
      <c r="P2757" s="60"/>
      <c r="Q2757" s="60"/>
      <c r="R2757" s="58"/>
      <c r="S2757" s="62" t="str">
        <f aca="false">IF(OR(B2757="",V2757=""),"",IFERROR(INDEX(C_TIPO,MATCH(V2757&amp;"-P"&amp;MAX(1,COUNTIFS(C_RUTN,V2757,C_DEF,"Sí",C_INI,"&lt;="&amp;EOMONTH(B2757,0))),C_CLAVE,0))&amp;"","Sin contrato"))</f>
        <v/>
      </c>
      <c r="T2757" s="63" t="str">
        <f aca="false">IF(OR(B2757="",N(O2757)=0),"",N(O2757)+ROUND(MIN(N(N2757),TOPE_UF*UF_MES)*(TASA_EMP+MUTUAL),0)+ROUND(MIN(N(N2757),TOPE_AFC_UF*UF_MES)*IF(S2757="Indefinido",AFC_INDEF,AFC_PF),0))</f>
        <v/>
      </c>
      <c r="U2757" s="62" t="str">
        <f aca="false">IF(C2757="","",IF(LEFT(D2757,1)="⚠","⚠ RUT no registrado en Trabajadores",IF(B2757="","⚠ Falta el mes",IF(OR(ISTEXT(I2757),ISTEXT(J2757)),"⚠ Atrasos u horas extra como texto: escriba hh:mm (ej. 1:30)",IF(AND(ISNUMBER(Q2757),COUNTIFS(M_RUTN,V2757,M_MES,B2757,M_LIQ,"&lt;&gt;")&gt;1),"⚠ Liquidación repetida en el mes",IF(AND(ISNUMBER(O2757),ISNUMBER(P2757),ISNUMBER(Q2757),ABS(O2757-P2757-Q2757)&gt;1),"⚠ Haberes − descuentos no da el líquido","OK"))))))</f>
        <v/>
      </c>
      <c r="V2757" s="62" t="str">
        <f aca="false">IF(C2757="","",IFERROR(VALUE(LEFT(UPPER(SUBSTITUTE(SUBSTITUTE(SUBSTITUTE(TRIM(C2757),".",""),"-","")," ","")),LEN(UPPER(SUBSTITUTE(SUBSTITUTE(SUBSTITUTE(TRIM(C2757),".",""),"-","")," ","")))-1))&amp;RIGHT(UPPER(SUBSTITUTE(SUBSTITUTE(SUBSTITUTE(TRIM(C2757),".",""),"-","")," ","")),1),UPPER(SUBSTITUTE(SUBSTITUTE(SUBSTITUTE(TRIM(C2757),".",""),"-","")," ",""))))</f>
        <v/>
      </c>
    </row>
    <row r="2758" customFormat="false" ht="15" hidden="false" customHeight="false" outlineLevel="0" collapsed="false">
      <c r="B2758" s="80"/>
      <c r="C2758" s="58"/>
      <c r="D2758" s="62" t="str">
        <f aca="false">IF(C2758="","",IFERROR(INDEX(T_NOMBRE,MATCH(V2758,T_RUTN,0)),"⚠ RUT no está en Trabajadores"))</f>
        <v/>
      </c>
      <c r="E2758" s="61"/>
      <c r="F2758" s="61"/>
      <c r="G2758" s="61"/>
      <c r="H2758" s="61"/>
      <c r="I2758" s="81"/>
      <c r="J2758" s="81"/>
      <c r="K2758" s="60"/>
      <c r="L2758" s="60"/>
      <c r="M2758" s="60"/>
      <c r="N2758" s="60"/>
      <c r="O2758" s="60"/>
      <c r="P2758" s="60"/>
      <c r="Q2758" s="60"/>
      <c r="R2758" s="58"/>
      <c r="S2758" s="62" t="str">
        <f aca="false">IF(OR(B2758="",V2758=""),"",IFERROR(INDEX(C_TIPO,MATCH(V2758&amp;"-P"&amp;MAX(1,COUNTIFS(C_RUTN,V2758,C_DEF,"Sí",C_INI,"&lt;="&amp;EOMONTH(B2758,0))),C_CLAVE,0))&amp;"","Sin contrato"))</f>
        <v/>
      </c>
      <c r="T2758" s="63" t="str">
        <f aca="false">IF(OR(B2758="",N(O2758)=0),"",N(O2758)+ROUND(MIN(N(N2758),TOPE_UF*UF_MES)*(TASA_EMP+MUTUAL),0)+ROUND(MIN(N(N2758),TOPE_AFC_UF*UF_MES)*IF(S2758="Indefinido",AFC_INDEF,AFC_PF),0))</f>
        <v/>
      </c>
      <c r="U2758" s="62" t="str">
        <f aca="false">IF(C2758="","",IF(LEFT(D2758,1)="⚠","⚠ RUT no registrado en Trabajadores",IF(B2758="","⚠ Falta el mes",IF(OR(ISTEXT(I2758),ISTEXT(J2758)),"⚠ Atrasos u horas extra como texto: escriba hh:mm (ej. 1:30)",IF(AND(ISNUMBER(Q2758),COUNTIFS(M_RUTN,V2758,M_MES,B2758,M_LIQ,"&lt;&gt;")&gt;1),"⚠ Liquidación repetida en el mes",IF(AND(ISNUMBER(O2758),ISNUMBER(P2758),ISNUMBER(Q2758),ABS(O2758-P2758-Q2758)&gt;1),"⚠ Haberes − descuentos no da el líquido","OK"))))))</f>
        <v/>
      </c>
      <c r="V2758" s="62" t="str">
        <f aca="false">IF(C2758="","",IFERROR(VALUE(LEFT(UPPER(SUBSTITUTE(SUBSTITUTE(SUBSTITUTE(TRIM(C2758),".",""),"-","")," ","")),LEN(UPPER(SUBSTITUTE(SUBSTITUTE(SUBSTITUTE(TRIM(C2758),".",""),"-","")," ","")))-1))&amp;RIGHT(UPPER(SUBSTITUTE(SUBSTITUTE(SUBSTITUTE(TRIM(C2758),".",""),"-","")," ","")),1),UPPER(SUBSTITUTE(SUBSTITUTE(SUBSTITUTE(TRIM(C2758),".",""),"-","")," ",""))))</f>
        <v/>
      </c>
    </row>
    <row r="2759" customFormat="false" ht="15" hidden="false" customHeight="false" outlineLevel="0" collapsed="false">
      <c r="B2759" s="80"/>
      <c r="C2759" s="58"/>
      <c r="D2759" s="62" t="str">
        <f aca="false">IF(C2759="","",IFERROR(INDEX(T_NOMBRE,MATCH(V2759,T_RUTN,0)),"⚠ RUT no está en Trabajadores"))</f>
        <v/>
      </c>
      <c r="E2759" s="61"/>
      <c r="F2759" s="61"/>
      <c r="G2759" s="61"/>
      <c r="H2759" s="61"/>
      <c r="I2759" s="81"/>
      <c r="J2759" s="81"/>
      <c r="K2759" s="60"/>
      <c r="L2759" s="60"/>
      <c r="M2759" s="60"/>
      <c r="N2759" s="60"/>
      <c r="O2759" s="60"/>
      <c r="P2759" s="60"/>
      <c r="Q2759" s="60"/>
      <c r="R2759" s="58"/>
      <c r="S2759" s="62" t="str">
        <f aca="false">IF(OR(B2759="",V2759=""),"",IFERROR(INDEX(C_TIPO,MATCH(V2759&amp;"-P"&amp;MAX(1,COUNTIFS(C_RUTN,V2759,C_DEF,"Sí",C_INI,"&lt;="&amp;EOMONTH(B2759,0))),C_CLAVE,0))&amp;"","Sin contrato"))</f>
        <v/>
      </c>
      <c r="T2759" s="63" t="str">
        <f aca="false">IF(OR(B2759="",N(O2759)=0),"",N(O2759)+ROUND(MIN(N(N2759),TOPE_UF*UF_MES)*(TASA_EMP+MUTUAL),0)+ROUND(MIN(N(N2759),TOPE_AFC_UF*UF_MES)*IF(S2759="Indefinido",AFC_INDEF,AFC_PF),0))</f>
        <v/>
      </c>
      <c r="U2759" s="62" t="str">
        <f aca="false">IF(C2759="","",IF(LEFT(D2759,1)="⚠","⚠ RUT no registrado en Trabajadores",IF(B2759="","⚠ Falta el mes",IF(OR(ISTEXT(I2759),ISTEXT(J2759)),"⚠ Atrasos u horas extra como texto: escriba hh:mm (ej. 1:30)",IF(AND(ISNUMBER(Q2759),COUNTIFS(M_RUTN,V2759,M_MES,B2759,M_LIQ,"&lt;&gt;")&gt;1),"⚠ Liquidación repetida en el mes",IF(AND(ISNUMBER(O2759),ISNUMBER(P2759),ISNUMBER(Q2759),ABS(O2759-P2759-Q2759)&gt;1),"⚠ Haberes − descuentos no da el líquido","OK"))))))</f>
        <v/>
      </c>
      <c r="V2759" s="62" t="str">
        <f aca="false">IF(C2759="","",IFERROR(VALUE(LEFT(UPPER(SUBSTITUTE(SUBSTITUTE(SUBSTITUTE(TRIM(C2759),".",""),"-","")," ","")),LEN(UPPER(SUBSTITUTE(SUBSTITUTE(SUBSTITUTE(TRIM(C2759),".",""),"-","")," ","")))-1))&amp;RIGHT(UPPER(SUBSTITUTE(SUBSTITUTE(SUBSTITUTE(TRIM(C2759),".",""),"-","")," ","")),1),UPPER(SUBSTITUTE(SUBSTITUTE(SUBSTITUTE(TRIM(C2759),".",""),"-","")," ",""))))</f>
        <v/>
      </c>
    </row>
    <row r="2760" customFormat="false" ht="15" hidden="false" customHeight="false" outlineLevel="0" collapsed="false">
      <c r="B2760" s="80"/>
      <c r="C2760" s="58"/>
      <c r="D2760" s="62" t="str">
        <f aca="false">IF(C2760="","",IFERROR(INDEX(T_NOMBRE,MATCH(V2760,T_RUTN,0)),"⚠ RUT no está en Trabajadores"))</f>
        <v/>
      </c>
      <c r="E2760" s="61"/>
      <c r="F2760" s="61"/>
      <c r="G2760" s="61"/>
      <c r="H2760" s="61"/>
      <c r="I2760" s="81"/>
      <c r="J2760" s="81"/>
      <c r="K2760" s="60"/>
      <c r="L2760" s="60"/>
      <c r="M2760" s="60"/>
      <c r="N2760" s="60"/>
      <c r="O2760" s="60"/>
      <c r="P2760" s="60"/>
      <c r="Q2760" s="60"/>
      <c r="R2760" s="58"/>
      <c r="S2760" s="62" t="str">
        <f aca="false">IF(OR(B2760="",V2760=""),"",IFERROR(INDEX(C_TIPO,MATCH(V2760&amp;"-P"&amp;MAX(1,COUNTIFS(C_RUTN,V2760,C_DEF,"Sí",C_INI,"&lt;="&amp;EOMONTH(B2760,0))),C_CLAVE,0))&amp;"","Sin contrato"))</f>
        <v/>
      </c>
      <c r="T2760" s="63" t="str">
        <f aca="false">IF(OR(B2760="",N(O2760)=0),"",N(O2760)+ROUND(MIN(N(N2760),TOPE_UF*UF_MES)*(TASA_EMP+MUTUAL),0)+ROUND(MIN(N(N2760),TOPE_AFC_UF*UF_MES)*IF(S2760="Indefinido",AFC_INDEF,AFC_PF),0))</f>
        <v/>
      </c>
      <c r="U2760" s="62" t="str">
        <f aca="false">IF(C2760="","",IF(LEFT(D2760,1)="⚠","⚠ RUT no registrado en Trabajadores",IF(B2760="","⚠ Falta el mes",IF(OR(ISTEXT(I2760),ISTEXT(J2760)),"⚠ Atrasos u horas extra como texto: escriba hh:mm (ej. 1:30)",IF(AND(ISNUMBER(Q2760),COUNTIFS(M_RUTN,V2760,M_MES,B2760,M_LIQ,"&lt;&gt;")&gt;1),"⚠ Liquidación repetida en el mes",IF(AND(ISNUMBER(O2760),ISNUMBER(P2760),ISNUMBER(Q2760),ABS(O2760-P2760-Q2760)&gt;1),"⚠ Haberes − descuentos no da el líquido","OK"))))))</f>
        <v/>
      </c>
      <c r="V2760" s="62" t="str">
        <f aca="false">IF(C2760="","",IFERROR(VALUE(LEFT(UPPER(SUBSTITUTE(SUBSTITUTE(SUBSTITUTE(TRIM(C2760),".",""),"-","")," ","")),LEN(UPPER(SUBSTITUTE(SUBSTITUTE(SUBSTITUTE(TRIM(C2760),".",""),"-","")," ","")))-1))&amp;RIGHT(UPPER(SUBSTITUTE(SUBSTITUTE(SUBSTITUTE(TRIM(C2760),".",""),"-","")," ","")),1),UPPER(SUBSTITUTE(SUBSTITUTE(SUBSTITUTE(TRIM(C2760),".",""),"-","")," ",""))))</f>
        <v/>
      </c>
    </row>
    <row r="2761" customFormat="false" ht="15" hidden="false" customHeight="false" outlineLevel="0" collapsed="false">
      <c r="B2761" s="80"/>
      <c r="C2761" s="58"/>
      <c r="D2761" s="62" t="str">
        <f aca="false">IF(C2761="","",IFERROR(INDEX(T_NOMBRE,MATCH(V2761,T_RUTN,0)),"⚠ RUT no está en Trabajadores"))</f>
        <v/>
      </c>
      <c r="E2761" s="61"/>
      <c r="F2761" s="61"/>
      <c r="G2761" s="61"/>
      <c r="H2761" s="61"/>
      <c r="I2761" s="81"/>
      <c r="J2761" s="81"/>
      <c r="K2761" s="60"/>
      <c r="L2761" s="60"/>
      <c r="M2761" s="60"/>
      <c r="N2761" s="60"/>
      <c r="O2761" s="60"/>
      <c r="P2761" s="60"/>
      <c r="Q2761" s="60"/>
      <c r="R2761" s="58"/>
      <c r="S2761" s="62" t="str">
        <f aca="false">IF(OR(B2761="",V2761=""),"",IFERROR(INDEX(C_TIPO,MATCH(V2761&amp;"-P"&amp;MAX(1,COUNTIFS(C_RUTN,V2761,C_DEF,"Sí",C_INI,"&lt;="&amp;EOMONTH(B2761,0))),C_CLAVE,0))&amp;"","Sin contrato"))</f>
        <v/>
      </c>
      <c r="T2761" s="63" t="str">
        <f aca="false">IF(OR(B2761="",N(O2761)=0),"",N(O2761)+ROUND(MIN(N(N2761),TOPE_UF*UF_MES)*(TASA_EMP+MUTUAL),0)+ROUND(MIN(N(N2761),TOPE_AFC_UF*UF_MES)*IF(S2761="Indefinido",AFC_INDEF,AFC_PF),0))</f>
        <v/>
      </c>
      <c r="U2761" s="62" t="str">
        <f aca="false">IF(C2761="","",IF(LEFT(D2761,1)="⚠","⚠ RUT no registrado en Trabajadores",IF(B2761="","⚠ Falta el mes",IF(OR(ISTEXT(I2761),ISTEXT(J2761)),"⚠ Atrasos u horas extra como texto: escriba hh:mm (ej. 1:30)",IF(AND(ISNUMBER(Q2761),COUNTIFS(M_RUTN,V2761,M_MES,B2761,M_LIQ,"&lt;&gt;")&gt;1),"⚠ Liquidación repetida en el mes",IF(AND(ISNUMBER(O2761),ISNUMBER(P2761),ISNUMBER(Q2761),ABS(O2761-P2761-Q2761)&gt;1),"⚠ Haberes − descuentos no da el líquido","OK"))))))</f>
        <v/>
      </c>
      <c r="V2761" s="62" t="str">
        <f aca="false">IF(C2761="","",IFERROR(VALUE(LEFT(UPPER(SUBSTITUTE(SUBSTITUTE(SUBSTITUTE(TRIM(C2761),".",""),"-","")," ","")),LEN(UPPER(SUBSTITUTE(SUBSTITUTE(SUBSTITUTE(TRIM(C2761),".",""),"-","")," ","")))-1))&amp;RIGHT(UPPER(SUBSTITUTE(SUBSTITUTE(SUBSTITUTE(TRIM(C2761),".",""),"-","")," ","")),1),UPPER(SUBSTITUTE(SUBSTITUTE(SUBSTITUTE(TRIM(C2761),".",""),"-","")," ",""))))</f>
        <v/>
      </c>
    </row>
    <row r="2762" customFormat="false" ht="15" hidden="false" customHeight="false" outlineLevel="0" collapsed="false">
      <c r="B2762" s="80"/>
      <c r="C2762" s="58"/>
      <c r="D2762" s="62" t="str">
        <f aca="false">IF(C2762="","",IFERROR(INDEX(T_NOMBRE,MATCH(V2762,T_RUTN,0)),"⚠ RUT no está en Trabajadores"))</f>
        <v/>
      </c>
      <c r="E2762" s="61"/>
      <c r="F2762" s="61"/>
      <c r="G2762" s="61"/>
      <c r="H2762" s="61"/>
      <c r="I2762" s="81"/>
      <c r="J2762" s="81"/>
      <c r="K2762" s="60"/>
      <c r="L2762" s="60"/>
      <c r="M2762" s="60"/>
      <c r="N2762" s="60"/>
      <c r="O2762" s="60"/>
      <c r="P2762" s="60"/>
      <c r="Q2762" s="60"/>
      <c r="R2762" s="58"/>
      <c r="S2762" s="62" t="str">
        <f aca="false">IF(OR(B2762="",V2762=""),"",IFERROR(INDEX(C_TIPO,MATCH(V2762&amp;"-P"&amp;MAX(1,COUNTIFS(C_RUTN,V2762,C_DEF,"Sí",C_INI,"&lt;="&amp;EOMONTH(B2762,0))),C_CLAVE,0))&amp;"","Sin contrato"))</f>
        <v/>
      </c>
      <c r="T2762" s="63" t="str">
        <f aca="false">IF(OR(B2762="",N(O2762)=0),"",N(O2762)+ROUND(MIN(N(N2762),TOPE_UF*UF_MES)*(TASA_EMP+MUTUAL),0)+ROUND(MIN(N(N2762),TOPE_AFC_UF*UF_MES)*IF(S2762="Indefinido",AFC_INDEF,AFC_PF),0))</f>
        <v/>
      </c>
      <c r="U2762" s="62" t="str">
        <f aca="false">IF(C2762="","",IF(LEFT(D2762,1)="⚠","⚠ RUT no registrado en Trabajadores",IF(B2762="","⚠ Falta el mes",IF(OR(ISTEXT(I2762),ISTEXT(J2762)),"⚠ Atrasos u horas extra como texto: escriba hh:mm (ej. 1:30)",IF(AND(ISNUMBER(Q2762),COUNTIFS(M_RUTN,V2762,M_MES,B2762,M_LIQ,"&lt;&gt;")&gt;1),"⚠ Liquidación repetida en el mes",IF(AND(ISNUMBER(O2762),ISNUMBER(P2762),ISNUMBER(Q2762),ABS(O2762-P2762-Q2762)&gt;1),"⚠ Haberes − descuentos no da el líquido","OK"))))))</f>
        <v/>
      </c>
      <c r="V2762" s="62" t="str">
        <f aca="false">IF(C2762="","",IFERROR(VALUE(LEFT(UPPER(SUBSTITUTE(SUBSTITUTE(SUBSTITUTE(TRIM(C2762),".",""),"-","")," ","")),LEN(UPPER(SUBSTITUTE(SUBSTITUTE(SUBSTITUTE(TRIM(C2762),".",""),"-","")," ","")))-1))&amp;RIGHT(UPPER(SUBSTITUTE(SUBSTITUTE(SUBSTITUTE(TRIM(C2762),".",""),"-","")," ","")),1),UPPER(SUBSTITUTE(SUBSTITUTE(SUBSTITUTE(TRIM(C2762),".",""),"-","")," ",""))))</f>
        <v/>
      </c>
    </row>
    <row r="2763" customFormat="false" ht="15" hidden="false" customHeight="false" outlineLevel="0" collapsed="false">
      <c r="B2763" s="80"/>
      <c r="C2763" s="58"/>
      <c r="D2763" s="62" t="str">
        <f aca="false">IF(C2763="","",IFERROR(INDEX(T_NOMBRE,MATCH(V2763,T_RUTN,0)),"⚠ RUT no está en Trabajadores"))</f>
        <v/>
      </c>
      <c r="E2763" s="61"/>
      <c r="F2763" s="61"/>
      <c r="G2763" s="61"/>
      <c r="H2763" s="61"/>
      <c r="I2763" s="81"/>
      <c r="J2763" s="81"/>
      <c r="K2763" s="60"/>
      <c r="L2763" s="60"/>
      <c r="M2763" s="60"/>
      <c r="N2763" s="60"/>
      <c r="O2763" s="60"/>
      <c r="P2763" s="60"/>
      <c r="Q2763" s="60"/>
      <c r="R2763" s="58"/>
      <c r="S2763" s="62" t="str">
        <f aca="false">IF(OR(B2763="",V2763=""),"",IFERROR(INDEX(C_TIPO,MATCH(V2763&amp;"-P"&amp;MAX(1,COUNTIFS(C_RUTN,V2763,C_DEF,"Sí",C_INI,"&lt;="&amp;EOMONTH(B2763,0))),C_CLAVE,0))&amp;"","Sin contrato"))</f>
        <v/>
      </c>
      <c r="T2763" s="63" t="str">
        <f aca="false">IF(OR(B2763="",N(O2763)=0),"",N(O2763)+ROUND(MIN(N(N2763),TOPE_UF*UF_MES)*(TASA_EMP+MUTUAL),0)+ROUND(MIN(N(N2763),TOPE_AFC_UF*UF_MES)*IF(S2763="Indefinido",AFC_INDEF,AFC_PF),0))</f>
        <v/>
      </c>
      <c r="U2763" s="62" t="str">
        <f aca="false">IF(C2763="","",IF(LEFT(D2763,1)="⚠","⚠ RUT no registrado en Trabajadores",IF(B2763="","⚠ Falta el mes",IF(OR(ISTEXT(I2763),ISTEXT(J2763)),"⚠ Atrasos u horas extra como texto: escriba hh:mm (ej. 1:30)",IF(AND(ISNUMBER(Q2763),COUNTIFS(M_RUTN,V2763,M_MES,B2763,M_LIQ,"&lt;&gt;")&gt;1),"⚠ Liquidación repetida en el mes",IF(AND(ISNUMBER(O2763),ISNUMBER(P2763),ISNUMBER(Q2763),ABS(O2763-P2763-Q2763)&gt;1),"⚠ Haberes − descuentos no da el líquido","OK"))))))</f>
        <v/>
      </c>
      <c r="V2763" s="62" t="str">
        <f aca="false">IF(C2763="","",IFERROR(VALUE(LEFT(UPPER(SUBSTITUTE(SUBSTITUTE(SUBSTITUTE(TRIM(C2763),".",""),"-","")," ","")),LEN(UPPER(SUBSTITUTE(SUBSTITUTE(SUBSTITUTE(TRIM(C2763),".",""),"-","")," ","")))-1))&amp;RIGHT(UPPER(SUBSTITUTE(SUBSTITUTE(SUBSTITUTE(TRIM(C2763),".",""),"-","")," ","")),1),UPPER(SUBSTITUTE(SUBSTITUTE(SUBSTITUTE(TRIM(C2763),".",""),"-","")," ",""))))</f>
        <v/>
      </c>
    </row>
    <row r="2764" customFormat="false" ht="15" hidden="false" customHeight="false" outlineLevel="0" collapsed="false">
      <c r="B2764" s="80"/>
      <c r="C2764" s="58"/>
      <c r="D2764" s="62" t="str">
        <f aca="false">IF(C2764="","",IFERROR(INDEX(T_NOMBRE,MATCH(V2764,T_RUTN,0)),"⚠ RUT no está en Trabajadores"))</f>
        <v/>
      </c>
      <c r="E2764" s="61"/>
      <c r="F2764" s="61"/>
      <c r="G2764" s="61"/>
      <c r="H2764" s="61"/>
      <c r="I2764" s="81"/>
      <c r="J2764" s="81"/>
      <c r="K2764" s="60"/>
      <c r="L2764" s="60"/>
      <c r="M2764" s="60"/>
      <c r="N2764" s="60"/>
      <c r="O2764" s="60"/>
      <c r="P2764" s="60"/>
      <c r="Q2764" s="60"/>
      <c r="R2764" s="58"/>
      <c r="S2764" s="62" t="str">
        <f aca="false">IF(OR(B2764="",V2764=""),"",IFERROR(INDEX(C_TIPO,MATCH(V2764&amp;"-P"&amp;MAX(1,COUNTIFS(C_RUTN,V2764,C_DEF,"Sí",C_INI,"&lt;="&amp;EOMONTH(B2764,0))),C_CLAVE,0))&amp;"","Sin contrato"))</f>
        <v/>
      </c>
      <c r="T2764" s="63" t="str">
        <f aca="false">IF(OR(B2764="",N(O2764)=0),"",N(O2764)+ROUND(MIN(N(N2764),TOPE_UF*UF_MES)*(TASA_EMP+MUTUAL),0)+ROUND(MIN(N(N2764),TOPE_AFC_UF*UF_MES)*IF(S2764="Indefinido",AFC_INDEF,AFC_PF),0))</f>
        <v/>
      </c>
      <c r="U2764" s="62" t="str">
        <f aca="false">IF(C2764="","",IF(LEFT(D2764,1)="⚠","⚠ RUT no registrado en Trabajadores",IF(B2764="","⚠ Falta el mes",IF(OR(ISTEXT(I2764),ISTEXT(J2764)),"⚠ Atrasos u horas extra como texto: escriba hh:mm (ej. 1:30)",IF(AND(ISNUMBER(Q2764),COUNTIFS(M_RUTN,V2764,M_MES,B2764,M_LIQ,"&lt;&gt;")&gt;1),"⚠ Liquidación repetida en el mes",IF(AND(ISNUMBER(O2764),ISNUMBER(P2764),ISNUMBER(Q2764),ABS(O2764-P2764-Q2764)&gt;1),"⚠ Haberes − descuentos no da el líquido","OK"))))))</f>
        <v/>
      </c>
      <c r="V2764" s="62" t="str">
        <f aca="false">IF(C2764="","",IFERROR(VALUE(LEFT(UPPER(SUBSTITUTE(SUBSTITUTE(SUBSTITUTE(TRIM(C2764),".",""),"-","")," ","")),LEN(UPPER(SUBSTITUTE(SUBSTITUTE(SUBSTITUTE(TRIM(C2764),".",""),"-","")," ","")))-1))&amp;RIGHT(UPPER(SUBSTITUTE(SUBSTITUTE(SUBSTITUTE(TRIM(C2764),".",""),"-","")," ","")),1),UPPER(SUBSTITUTE(SUBSTITUTE(SUBSTITUTE(TRIM(C2764),".",""),"-","")," ",""))))</f>
        <v/>
      </c>
    </row>
    <row r="2765" customFormat="false" ht="15" hidden="false" customHeight="false" outlineLevel="0" collapsed="false">
      <c r="B2765" s="80"/>
      <c r="C2765" s="58"/>
      <c r="D2765" s="62" t="str">
        <f aca="false">IF(C2765="","",IFERROR(INDEX(T_NOMBRE,MATCH(V2765,T_RUTN,0)),"⚠ RUT no está en Trabajadores"))</f>
        <v/>
      </c>
      <c r="E2765" s="61"/>
      <c r="F2765" s="61"/>
      <c r="G2765" s="61"/>
      <c r="H2765" s="61"/>
      <c r="I2765" s="81"/>
      <c r="J2765" s="81"/>
      <c r="K2765" s="60"/>
      <c r="L2765" s="60"/>
      <c r="M2765" s="60"/>
      <c r="N2765" s="60"/>
      <c r="O2765" s="60"/>
      <c r="P2765" s="60"/>
      <c r="Q2765" s="60"/>
      <c r="R2765" s="58"/>
      <c r="S2765" s="62" t="str">
        <f aca="false">IF(OR(B2765="",V2765=""),"",IFERROR(INDEX(C_TIPO,MATCH(V2765&amp;"-P"&amp;MAX(1,COUNTIFS(C_RUTN,V2765,C_DEF,"Sí",C_INI,"&lt;="&amp;EOMONTH(B2765,0))),C_CLAVE,0))&amp;"","Sin contrato"))</f>
        <v/>
      </c>
      <c r="T2765" s="63" t="str">
        <f aca="false">IF(OR(B2765="",N(O2765)=0),"",N(O2765)+ROUND(MIN(N(N2765),TOPE_UF*UF_MES)*(TASA_EMP+MUTUAL),0)+ROUND(MIN(N(N2765),TOPE_AFC_UF*UF_MES)*IF(S2765="Indefinido",AFC_INDEF,AFC_PF),0))</f>
        <v/>
      </c>
      <c r="U2765" s="62" t="str">
        <f aca="false">IF(C2765="","",IF(LEFT(D2765,1)="⚠","⚠ RUT no registrado en Trabajadores",IF(B2765="","⚠ Falta el mes",IF(OR(ISTEXT(I2765),ISTEXT(J2765)),"⚠ Atrasos u horas extra como texto: escriba hh:mm (ej. 1:30)",IF(AND(ISNUMBER(Q2765),COUNTIFS(M_RUTN,V2765,M_MES,B2765,M_LIQ,"&lt;&gt;")&gt;1),"⚠ Liquidación repetida en el mes",IF(AND(ISNUMBER(O2765),ISNUMBER(P2765),ISNUMBER(Q2765),ABS(O2765-P2765-Q2765)&gt;1),"⚠ Haberes − descuentos no da el líquido","OK"))))))</f>
        <v/>
      </c>
      <c r="V2765" s="62" t="str">
        <f aca="false">IF(C2765="","",IFERROR(VALUE(LEFT(UPPER(SUBSTITUTE(SUBSTITUTE(SUBSTITUTE(TRIM(C2765),".",""),"-","")," ","")),LEN(UPPER(SUBSTITUTE(SUBSTITUTE(SUBSTITUTE(TRIM(C2765),".",""),"-","")," ","")))-1))&amp;RIGHT(UPPER(SUBSTITUTE(SUBSTITUTE(SUBSTITUTE(TRIM(C2765),".",""),"-","")," ","")),1),UPPER(SUBSTITUTE(SUBSTITUTE(SUBSTITUTE(TRIM(C2765),".",""),"-","")," ",""))))</f>
        <v/>
      </c>
    </row>
    <row r="2766" customFormat="false" ht="15" hidden="false" customHeight="false" outlineLevel="0" collapsed="false">
      <c r="B2766" s="80"/>
      <c r="C2766" s="58"/>
      <c r="D2766" s="62" t="str">
        <f aca="false">IF(C2766="","",IFERROR(INDEX(T_NOMBRE,MATCH(V2766,T_RUTN,0)),"⚠ RUT no está en Trabajadores"))</f>
        <v/>
      </c>
      <c r="E2766" s="61"/>
      <c r="F2766" s="61"/>
      <c r="G2766" s="61"/>
      <c r="H2766" s="61"/>
      <c r="I2766" s="81"/>
      <c r="J2766" s="81"/>
      <c r="K2766" s="60"/>
      <c r="L2766" s="60"/>
      <c r="M2766" s="60"/>
      <c r="N2766" s="60"/>
      <c r="O2766" s="60"/>
      <c r="P2766" s="60"/>
      <c r="Q2766" s="60"/>
      <c r="R2766" s="58"/>
      <c r="S2766" s="62" t="str">
        <f aca="false">IF(OR(B2766="",V2766=""),"",IFERROR(INDEX(C_TIPO,MATCH(V2766&amp;"-P"&amp;MAX(1,COUNTIFS(C_RUTN,V2766,C_DEF,"Sí",C_INI,"&lt;="&amp;EOMONTH(B2766,0))),C_CLAVE,0))&amp;"","Sin contrato"))</f>
        <v/>
      </c>
      <c r="T2766" s="63" t="str">
        <f aca="false">IF(OR(B2766="",N(O2766)=0),"",N(O2766)+ROUND(MIN(N(N2766),TOPE_UF*UF_MES)*(TASA_EMP+MUTUAL),0)+ROUND(MIN(N(N2766),TOPE_AFC_UF*UF_MES)*IF(S2766="Indefinido",AFC_INDEF,AFC_PF),0))</f>
        <v/>
      </c>
      <c r="U2766" s="62" t="str">
        <f aca="false">IF(C2766="","",IF(LEFT(D2766,1)="⚠","⚠ RUT no registrado en Trabajadores",IF(B2766="","⚠ Falta el mes",IF(OR(ISTEXT(I2766),ISTEXT(J2766)),"⚠ Atrasos u horas extra como texto: escriba hh:mm (ej. 1:30)",IF(AND(ISNUMBER(Q2766),COUNTIFS(M_RUTN,V2766,M_MES,B2766,M_LIQ,"&lt;&gt;")&gt;1),"⚠ Liquidación repetida en el mes",IF(AND(ISNUMBER(O2766),ISNUMBER(P2766),ISNUMBER(Q2766),ABS(O2766-P2766-Q2766)&gt;1),"⚠ Haberes − descuentos no da el líquido","OK"))))))</f>
        <v/>
      </c>
      <c r="V2766" s="62" t="str">
        <f aca="false">IF(C2766="","",IFERROR(VALUE(LEFT(UPPER(SUBSTITUTE(SUBSTITUTE(SUBSTITUTE(TRIM(C2766),".",""),"-","")," ","")),LEN(UPPER(SUBSTITUTE(SUBSTITUTE(SUBSTITUTE(TRIM(C2766),".",""),"-","")," ","")))-1))&amp;RIGHT(UPPER(SUBSTITUTE(SUBSTITUTE(SUBSTITUTE(TRIM(C2766),".",""),"-","")," ","")),1),UPPER(SUBSTITUTE(SUBSTITUTE(SUBSTITUTE(TRIM(C2766),".",""),"-","")," ",""))))</f>
        <v/>
      </c>
    </row>
    <row r="2767" customFormat="false" ht="15" hidden="false" customHeight="false" outlineLevel="0" collapsed="false">
      <c r="B2767" s="80"/>
      <c r="C2767" s="58"/>
      <c r="D2767" s="62" t="str">
        <f aca="false">IF(C2767="","",IFERROR(INDEX(T_NOMBRE,MATCH(V2767,T_RUTN,0)),"⚠ RUT no está en Trabajadores"))</f>
        <v/>
      </c>
      <c r="E2767" s="61"/>
      <c r="F2767" s="61"/>
      <c r="G2767" s="61"/>
      <c r="H2767" s="61"/>
      <c r="I2767" s="81"/>
      <c r="J2767" s="81"/>
      <c r="K2767" s="60"/>
      <c r="L2767" s="60"/>
      <c r="M2767" s="60"/>
      <c r="N2767" s="60"/>
      <c r="O2767" s="60"/>
      <c r="P2767" s="60"/>
      <c r="Q2767" s="60"/>
      <c r="R2767" s="58"/>
      <c r="S2767" s="62" t="str">
        <f aca="false">IF(OR(B2767="",V2767=""),"",IFERROR(INDEX(C_TIPO,MATCH(V2767&amp;"-P"&amp;MAX(1,COUNTIFS(C_RUTN,V2767,C_DEF,"Sí",C_INI,"&lt;="&amp;EOMONTH(B2767,0))),C_CLAVE,0))&amp;"","Sin contrato"))</f>
        <v/>
      </c>
      <c r="T2767" s="63" t="str">
        <f aca="false">IF(OR(B2767="",N(O2767)=0),"",N(O2767)+ROUND(MIN(N(N2767),TOPE_UF*UF_MES)*(TASA_EMP+MUTUAL),0)+ROUND(MIN(N(N2767),TOPE_AFC_UF*UF_MES)*IF(S2767="Indefinido",AFC_INDEF,AFC_PF),0))</f>
        <v/>
      </c>
      <c r="U2767" s="62" t="str">
        <f aca="false">IF(C2767="","",IF(LEFT(D2767,1)="⚠","⚠ RUT no registrado en Trabajadores",IF(B2767="","⚠ Falta el mes",IF(OR(ISTEXT(I2767),ISTEXT(J2767)),"⚠ Atrasos u horas extra como texto: escriba hh:mm (ej. 1:30)",IF(AND(ISNUMBER(Q2767),COUNTIFS(M_RUTN,V2767,M_MES,B2767,M_LIQ,"&lt;&gt;")&gt;1),"⚠ Liquidación repetida en el mes",IF(AND(ISNUMBER(O2767),ISNUMBER(P2767),ISNUMBER(Q2767),ABS(O2767-P2767-Q2767)&gt;1),"⚠ Haberes − descuentos no da el líquido","OK"))))))</f>
        <v/>
      </c>
      <c r="V2767" s="62" t="str">
        <f aca="false">IF(C2767="","",IFERROR(VALUE(LEFT(UPPER(SUBSTITUTE(SUBSTITUTE(SUBSTITUTE(TRIM(C2767),".",""),"-","")," ","")),LEN(UPPER(SUBSTITUTE(SUBSTITUTE(SUBSTITUTE(TRIM(C2767),".",""),"-","")," ","")))-1))&amp;RIGHT(UPPER(SUBSTITUTE(SUBSTITUTE(SUBSTITUTE(TRIM(C2767),".",""),"-","")," ","")),1),UPPER(SUBSTITUTE(SUBSTITUTE(SUBSTITUTE(TRIM(C2767),".",""),"-","")," ",""))))</f>
        <v/>
      </c>
    </row>
    <row r="2768" customFormat="false" ht="15" hidden="false" customHeight="false" outlineLevel="0" collapsed="false">
      <c r="B2768" s="80"/>
      <c r="C2768" s="58"/>
      <c r="D2768" s="62" t="str">
        <f aca="false">IF(C2768="","",IFERROR(INDEX(T_NOMBRE,MATCH(V2768,T_RUTN,0)),"⚠ RUT no está en Trabajadores"))</f>
        <v/>
      </c>
      <c r="E2768" s="61"/>
      <c r="F2768" s="61"/>
      <c r="G2768" s="61"/>
      <c r="H2768" s="61"/>
      <c r="I2768" s="81"/>
      <c r="J2768" s="81"/>
      <c r="K2768" s="60"/>
      <c r="L2768" s="60"/>
      <c r="M2768" s="60"/>
      <c r="N2768" s="60"/>
      <c r="O2768" s="60"/>
      <c r="P2768" s="60"/>
      <c r="Q2768" s="60"/>
      <c r="R2768" s="58"/>
      <c r="S2768" s="62" t="str">
        <f aca="false">IF(OR(B2768="",V2768=""),"",IFERROR(INDEX(C_TIPO,MATCH(V2768&amp;"-P"&amp;MAX(1,COUNTIFS(C_RUTN,V2768,C_DEF,"Sí",C_INI,"&lt;="&amp;EOMONTH(B2768,0))),C_CLAVE,0))&amp;"","Sin contrato"))</f>
        <v/>
      </c>
      <c r="T2768" s="63" t="str">
        <f aca="false">IF(OR(B2768="",N(O2768)=0),"",N(O2768)+ROUND(MIN(N(N2768),TOPE_UF*UF_MES)*(TASA_EMP+MUTUAL),0)+ROUND(MIN(N(N2768),TOPE_AFC_UF*UF_MES)*IF(S2768="Indefinido",AFC_INDEF,AFC_PF),0))</f>
        <v/>
      </c>
      <c r="U2768" s="62" t="str">
        <f aca="false">IF(C2768="","",IF(LEFT(D2768,1)="⚠","⚠ RUT no registrado en Trabajadores",IF(B2768="","⚠ Falta el mes",IF(OR(ISTEXT(I2768),ISTEXT(J2768)),"⚠ Atrasos u horas extra como texto: escriba hh:mm (ej. 1:30)",IF(AND(ISNUMBER(Q2768),COUNTIFS(M_RUTN,V2768,M_MES,B2768,M_LIQ,"&lt;&gt;")&gt;1),"⚠ Liquidación repetida en el mes",IF(AND(ISNUMBER(O2768),ISNUMBER(P2768),ISNUMBER(Q2768),ABS(O2768-P2768-Q2768)&gt;1),"⚠ Haberes − descuentos no da el líquido","OK"))))))</f>
        <v/>
      </c>
      <c r="V2768" s="62" t="str">
        <f aca="false">IF(C2768="","",IFERROR(VALUE(LEFT(UPPER(SUBSTITUTE(SUBSTITUTE(SUBSTITUTE(TRIM(C2768),".",""),"-","")," ","")),LEN(UPPER(SUBSTITUTE(SUBSTITUTE(SUBSTITUTE(TRIM(C2768),".",""),"-","")," ","")))-1))&amp;RIGHT(UPPER(SUBSTITUTE(SUBSTITUTE(SUBSTITUTE(TRIM(C2768),".",""),"-","")," ","")),1),UPPER(SUBSTITUTE(SUBSTITUTE(SUBSTITUTE(TRIM(C2768),".",""),"-","")," ",""))))</f>
        <v/>
      </c>
    </row>
    <row r="2769" customFormat="false" ht="15" hidden="false" customHeight="false" outlineLevel="0" collapsed="false">
      <c r="B2769" s="80"/>
      <c r="C2769" s="58"/>
      <c r="D2769" s="62" t="str">
        <f aca="false">IF(C2769="","",IFERROR(INDEX(T_NOMBRE,MATCH(V2769,T_RUTN,0)),"⚠ RUT no está en Trabajadores"))</f>
        <v/>
      </c>
      <c r="E2769" s="61"/>
      <c r="F2769" s="61"/>
      <c r="G2769" s="61"/>
      <c r="H2769" s="61"/>
      <c r="I2769" s="81"/>
      <c r="J2769" s="81"/>
      <c r="K2769" s="60"/>
      <c r="L2769" s="60"/>
      <c r="M2769" s="60"/>
      <c r="N2769" s="60"/>
      <c r="O2769" s="60"/>
      <c r="P2769" s="60"/>
      <c r="Q2769" s="60"/>
      <c r="R2769" s="58"/>
      <c r="S2769" s="62" t="str">
        <f aca="false">IF(OR(B2769="",V2769=""),"",IFERROR(INDEX(C_TIPO,MATCH(V2769&amp;"-P"&amp;MAX(1,COUNTIFS(C_RUTN,V2769,C_DEF,"Sí",C_INI,"&lt;="&amp;EOMONTH(B2769,0))),C_CLAVE,0))&amp;"","Sin contrato"))</f>
        <v/>
      </c>
      <c r="T2769" s="63" t="str">
        <f aca="false">IF(OR(B2769="",N(O2769)=0),"",N(O2769)+ROUND(MIN(N(N2769),TOPE_UF*UF_MES)*(TASA_EMP+MUTUAL),0)+ROUND(MIN(N(N2769),TOPE_AFC_UF*UF_MES)*IF(S2769="Indefinido",AFC_INDEF,AFC_PF),0))</f>
        <v/>
      </c>
      <c r="U2769" s="62" t="str">
        <f aca="false">IF(C2769="","",IF(LEFT(D2769,1)="⚠","⚠ RUT no registrado en Trabajadores",IF(B2769="","⚠ Falta el mes",IF(OR(ISTEXT(I2769),ISTEXT(J2769)),"⚠ Atrasos u horas extra como texto: escriba hh:mm (ej. 1:30)",IF(AND(ISNUMBER(Q2769),COUNTIFS(M_RUTN,V2769,M_MES,B2769,M_LIQ,"&lt;&gt;")&gt;1),"⚠ Liquidación repetida en el mes",IF(AND(ISNUMBER(O2769),ISNUMBER(P2769),ISNUMBER(Q2769),ABS(O2769-P2769-Q2769)&gt;1),"⚠ Haberes − descuentos no da el líquido","OK"))))))</f>
        <v/>
      </c>
      <c r="V2769" s="62" t="str">
        <f aca="false">IF(C2769="","",IFERROR(VALUE(LEFT(UPPER(SUBSTITUTE(SUBSTITUTE(SUBSTITUTE(TRIM(C2769),".",""),"-","")," ","")),LEN(UPPER(SUBSTITUTE(SUBSTITUTE(SUBSTITUTE(TRIM(C2769),".",""),"-","")," ","")))-1))&amp;RIGHT(UPPER(SUBSTITUTE(SUBSTITUTE(SUBSTITUTE(TRIM(C2769),".",""),"-","")," ","")),1),UPPER(SUBSTITUTE(SUBSTITUTE(SUBSTITUTE(TRIM(C2769),".",""),"-","")," ",""))))</f>
        <v/>
      </c>
    </row>
    <row r="2770" customFormat="false" ht="15" hidden="false" customHeight="false" outlineLevel="0" collapsed="false">
      <c r="B2770" s="80"/>
      <c r="C2770" s="58"/>
      <c r="D2770" s="62" t="str">
        <f aca="false">IF(C2770="","",IFERROR(INDEX(T_NOMBRE,MATCH(V2770,T_RUTN,0)),"⚠ RUT no está en Trabajadores"))</f>
        <v/>
      </c>
      <c r="E2770" s="61"/>
      <c r="F2770" s="61"/>
      <c r="G2770" s="61"/>
      <c r="H2770" s="61"/>
      <c r="I2770" s="81"/>
      <c r="J2770" s="81"/>
      <c r="K2770" s="60"/>
      <c r="L2770" s="60"/>
      <c r="M2770" s="60"/>
      <c r="N2770" s="60"/>
      <c r="O2770" s="60"/>
      <c r="P2770" s="60"/>
      <c r="Q2770" s="60"/>
      <c r="R2770" s="58"/>
      <c r="S2770" s="62" t="str">
        <f aca="false">IF(OR(B2770="",V2770=""),"",IFERROR(INDEX(C_TIPO,MATCH(V2770&amp;"-P"&amp;MAX(1,COUNTIFS(C_RUTN,V2770,C_DEF,"Sí",C_INI,"&lt;="&amp;EOMONTH(B2770,0))),C_CLAVE,0))&amp;"","Sin contrato"))</f>
        <v/>
      </c>
      <c r="T2770" s="63" t="str">
        <f aca="false">IF(OR(B2770="",N(O2770)=0),"",N(O2770)+ROUND(MIN(N(N2770),TOPE_UF*UF_MES)*(TASA_EMP+MUTUAL),0)+ROUND(MIN(N(N2770),TOPE_AFC_UF*UF_MES)*IF(S2770="Indefinido",AFC_INDEF,AFC_PF),0))</f>
        <v/>
      </c>
      <c r="U2770" s="62" t="str">
        <f aca="false">IF(C2770="","",IF(LEFT(D2770,1)="⚠","⚠ RUT no registrado en Trabajadores",IF(B2770="","⚠ Falta el mes",IF(OR(ISTEXT(I2770),ISTEXT(J2770)),"⚠ Atrasos u horas extra como texto: escriba hh:mm (ej. 1:30)",IF(AND(ISNUMBER(Q2770),COUNTIFS(M_RUTN,V2770,M_MES,B2770,M_LIQ,"&lt;&gt;")&gt;1),"⚠ Liquidación repetida en el mes",IF(AND(ISNUMBER(O2770),ISNUMBER(P2770),ISNUMBER(Q2770),ABS(O2770-P2770-Q2770)&gt;1),"⚠ Haberes − descuentos no da el líquido","OK"))))))</f>
        <v/>
      </c>
      <c r="V2770" s="62" t="str">
        <f aca="false">IF(C2770="","",IFERROR(VALUE(LEFT(UPPER(SUBSTITUTE(SUBSTITUTE(SUBSTITUTE(TRIM(C2770),".",""),"-","")," ","")),LEN(UPPER(SUBSTITUTE(SUBSTITUTE(SUBSTITUTE(TRIM(C2770),".",""),"-","")," ","")))-1))&amp;RIGHT(UPPER(SUBSTITUTE(SUBSTITUTE(SUBSTITUTE(TRIM(C2770),".",""),"-","")," ","")),1),UPPER(SUBSTITUTE(SUBSTITUTE(SUBSTITUTE(TRIM(C2770),".",""),"-","")," ",""))))</f>
        <v/>
      </c>
    </row>
    <row r="2771" customFormat="false" ht="15" hidden="false" customHeight="false" outlineLevel="0" collapsed="false">
      <c r="B2771" s="80"/>
      <c r="C2771" s="58"/>
      <c r="D2771" s="62" t="str">
        <f aca="false">IF(C2771="","",IFERROR(INDEX(T_NOMBRE,MATCH(V2771,T_RUTN,0)),"⚠ RUT no está en Trabajadores"))</f>
        <v/>
      </c>
      <c r="E2771" s="61"/>
      <c r="F2771" s="61"/>
      <c r="G2771" s="61"/>
      <c r="H2771" s="61"/>
      <c r="I2771" s="81"/>
      <c r="J2771" s="81"/>
      <c r="K2771" s="60"/>
      <c r="L2771" s="60"/>
      <c r="M2771" s="60"/>
      <c r="N2771" s="60"/>
      <c r="O2771" s="60"/>
      <c r="P2771" s="60"/>
      <c r="Q2771" s="60"/>
      <c r="R2771" s="58"/>
      <c r="S2771" s="62" t="str">
        <f aca="false">IF(OR(B2771="",V2771=""),"",IFERROR(INDEX(C_TIPO,MATCH(V2771&amp;"-P"&amp;MAX(1,COUNTIFS(C_RUTN,V2771,C_DEF,"Sí",C_INI,"&lt;="&amp;EOMONTH(B2771,0))),C_CLAVE,0))&amp;"","Sin contrato"))</f>
        <v/>
      </c>
      <c r="T2771" s="63" t="str">
        <f aca="false">IF(OR(B2771="",N(O2771)=0),"",N(O2771)+ROUND(MIN(N(N2771),TOPE_UF*UF_MES)*(TASA_EMP+MUTUAL),0)+ROUND(MIN(N(N2771),TOPE_AFC_UF*UF_MES)*IF(S2771="Indefinido",AFC_INDEF,AFC_PF),0))</f>
        <v/>
      </c>
      <c r="U2771" s="62" t="str">
        <f aca="false">IF(C2771="","",IF(LEFT(D2771,1)="⚠","⚠ RUT no registrado en Trabajadores",IF(B2771="","⚠ Falta el mes",IF(OR(ISTEXT(I2771),ISTEXT(J2771)),"⚠ Atrasos u horas extra como texto: escriba hh:mm (ej. 1:30)",IF(AND(ISNUMBER(Q2771),COUNTIFS(M_RUTN,V2771,M_MES,B2771,M_LIQ,"&lt;&gt;")&gt;1),"⚠ Liquidación repetida en el mes",IF(AND(ISNUMBER(O2771),ISNUMBER(P2771),ISNUMBER(Q2771),ABS(O2771-P2771-Q2771)&gt;1),"⚠ Haberes − descuentos no da el líquido","OK"))))))</f>
        <v/>
      </c>
      <c r="V2771" s="62" t="str">
        <f aca="false">IF(C2771="","",IFERROR(VALUE(LEFT(UPPER(SUBSTITUTE(SUBSTITUTE(SUBSTITUTE(TRIM(C2771),".",""),"-","")," ","")),LEN(UPPER(SUBSTITUTE(SUBSTITUTE(SUBSTITUTE(TRIM(C2771),".",""),"-","")," ","")))-1))&amp;RIGHT(UPPER(SUBSTITUTE(SUBSTITUTE(SUBSTITUTE(TRIM(C2771),".",""),"-","")," ","")),1),UPPER(SUBSTITUTE(SUBSTITUTE(SUBSTITUTE(TRIM(C2771),".",""),"-","")," ",""))))</f>
        <v/>
      </c>
    </row>
    <row r="2772" customFormat="false" ht="15" hidden="false" customHeight="false" outlineLevel="0" collapsed="false">
      <c r="B2772" s="80"/>
      <c r="C2772" s="58"/>
      <c r="D2772" s="62" t="str">
        <f aca="false">IF(C2772="","",IFERROR(INDEX(T_NOMBRE,MATCH(V2772,T_RUTN,0)),"⚠ RUT no está en Trabajadores"))</f>
        <v/>
      </c>
      <c r="E2772" s="61"/>
      <c r="F2772" s="61"/>
      <c r="G2772" s="61"/>
      <c r="H2772" s="61"/>
      <c r="I2772" s="81"/>
      <c r="J2772" s="81"/>
      <c r="K2772" s="60"/>
      <c r="L2772" s="60"/>
      <c r="M2772" s="60"/>
      <c r="N2772" s="60"/>
      <c r="O2772" s="60"/>
      <c r="P2772" s="60"/>
      <c r="Q2772" s="60"/>
      <c r="R2772" s="58"/>
      <c r="S2772" s="62" t="str">
        <f aca="false">IF(OR(B2772="",V2772=""),"",IFERROR(INDEX(C_TIPO,MATCH(V2772&amp;"-P"&amp;MAX(1,COUNTIFS(C_RUTN,V2772,C_DEF,"Sí",C_INI,"&lt;="&amp;EOMONTH(B2772,0))),C_CLAVE,0))&amp;"","Sin contrato"))</f>
        <v/>
      </c>
      <c r="T2772" s="63" t="str">
        <f aca="false">IF(OR(B2772="",N(O2772)=0),"",N(O2772)+ROUND(MIN(N(N2772),TOPE_UF*UF_MES)*(TASA_EMP+MUTUAL),0)+ROUND(MIN(N(N2772),TOPE_AFC_UF*UF_MES)*IF(S2772="Indefinido",AFC_INDEF,AFC_PF),0))</f>
        <v/>
      </c>
      <c r="U2772" s="62" t="str">
        <f aca="false">IF(C2772="","",IF(LEFT(D2772,1)="⚠","⚠ RUT no registrado en Trabajadores",IF(B2772="","⚠ Falta el mes",IF(OR(ISTEXT(I2772),ISTEXT(J2772)),"⚠ Atrasos u horas extra como texto: escriba hh:mm (ej. 1:30)",IF(AND(ISNUMBER(Q2772),COUNTIFS(M_RUTN,V2772,M_MES,B2772,M_LIQ,"&lt;&gt;")&gt;1),"⚠ Liquidación repetida en el mes",IF(AND(ISNUMBER(O2772),ISNUMBER(P2772),ISNUMBER(Q2772),ABS(O2772-P2772-Q2772)&gt;1),"⚠ Haberes − descuentos no da el líquido","OK"))))))</f>
        <v/>
      </c>
      <c r="V2772" s="62" t="str">
        <f aca="false">IF(C2772="","",IFERROR(VALUE(LEFT(UPPER(SUBSTITUTE(SUBSTITUTE(SUBSTITUTE(TRIM(C2772),".",""),"-","")," ","")),LEN(UPPER(SUBSTITUTE(SUBSTITUTE(SUBSTITUTE(TRIM(C2772),".",""),"-","")," ","")))-1))&amp;RIGHT(UPPER(SUBSTITUTE(SUBSTITUTE(SUBSTITUTE(TRIM(C2772),".",""),"-","")," ","")),1),UPPER(SUBSTITUTE(SUBSTITUTE(SUBSTITUTE(TRIM(C2772),".",""),"-","")," ",""))))</f>
        <v/>
      </c>
    </row>
    <row r="2773" customFormat="false" ht="15" hidden="false" customHeight="false" outlineLevel="0" collapsed="false">
      <c r="B2773" s="80"/>
      <c r="C2773" s="58"/>
      <c r="D2773" s="62" t="str">
        <f aca="false">IF(C2773="","",IFERROR(INDEX(T_NOMBRE,MATCH(V2773,T_RUTN,0)),"⚠ RUT no está en Trabajadores"))</f>
        <v/>
      </c>
      <c r="E2773" s="61"/>
      <c r="F2773" s="61"/>
      <c r="G2773" s="61"/>
      <c r="H2773" s="61"/>
      <c r="I2773" s="81"/>
      <c r="J2773" s="81"/>
      <c r="K2773" s="60"/>
      <c r="L2773" s="60"/>
      <c r="M2773" s="60"/>
      <c r="N2773" s="60"/>
      <c r="O2773" s="60"/>
      <c r="P2773" s="60"/>
      <c r="Q2773" s="60"/>
      <c r="R2773" s="58"/>
      <c r="S2773" s="62" t="str">
        <f aca="false">IF(OR(B2773="",V2773=""),"",IFERROR(INDEX(C_TIPO,MATCH(V2773&amp;"-P"&amp;MAX(1,COUNTIFS(C_RUTN,V2773,C_DEF,"Sí",C_INI,"&lt;="&amp;EOMONTH(B2773,0))),C_CLAVE,0))&amp;"","Sin contrato"))</f>
        <v/>
      </c>
      <c r="T2773" s="63" t="str">
        <f aca="false">IF(OR(B2773="",N(O2773)=0),"",N(O2773)+ROUND(MIN(N(N2773),TOPE_UF*UF_MES)*(TASA_EMP+MUTUAL),0)+ROUND(MIN(N(N2773),TOPE_AFC_UF*UF_MES)*IF(S2773="Indefinido",AFC_INDEF,AFC_PF),0))</f>
        <v/>
      </c>
      <c r="U2773" s="62" t="str">
        <f aca="false">IF(C2773="","",IF(LEFT(D2773,1)="⚠","⚠ RUT no registrado en Trabajadores",IF(B2773="","⚠ Falta el mes",IF(OR(ISTEXT(I2773),ISTEXT(J2773)),"⚠ Atrasos u horas extra como texto: escriba hh:mm (ej. 1:30)",IF(AND(ISNUMBER(Q2773),COUNTIFS(M_RUTN,V2773,M_MES,B2773,M_LIQ,"&lt;&gt;")&gt;1),"⚠ Liquidación repetida en el mes",IF(AND(ISNUMBER(O2773),ISNUMBER(P2773),ISNUMBER(Q2773),ABS(O2773-P2773-Q2773)&gt;1),"⚠ Haberes − descuentos no da el líquido","OK"))))))</f>
        <v/>
      </c>
      <c r="V2773" s="62" t="str">
        <f aca="false">IF(C2773="","",IFERROR(VALUE(LEFT(UPPER(SUBSTITUTE(SUBSTITUTE(SUBSTITUTE(TRIM(C2773),".",""),"-","")," ","")),LEN(UPPER(SUBSTITUTE(SUBSTITUTE(SUBSTITUTE(TRIM(C2773),".",""),"-","")," ","")))-1))&amp;RIGHT(UPPER(SUBSTITUTE(SUBSTITUTE(SUBSTITUTE(TRIM(C2773),".",""),"-","")," ","")),1),UPPER(SUBSTITUTE(SUBSTITUTE(SUBSTITUTE(TRIM(C2773),".",""),"-","")," ",""))))</f>
        <v/>
      </c>
    </row>
    <row r="2774" customFormat="false" ht="15" hidden="false" customHeight="false" outlineLevel="0" collapsed="false">
      <c r="B2774" s="80"/>
      <c r="C2774" s="58"/>
      <c r="D2774" s="62" t="str">
        <f aca="false">IF(C2774="","",IFERROR(INDEX(T_NOMBRE,MATCH(V2774,T_RUTN,0)),"⚠ RUT no está en Trabajadores"))</f>
        <v/>
      </c>
      <c r="E2774" s="61"/>
      <c r="F2774" s="61"/>
      <c r="G2774" s="61"/>
      <c r="H2774" s="61"/>
      <c r="I2774" s="81"/>
      <c r="J2774" s="81"/>
      <c r="K2774" s="60"/>
      <c r="L2774" s="60"/>
      <c r="M2774" s="60"/>
      <c r="N2774" s="60"/>
      <c r="O2774" s="60"/>
      <c r="P2774" s="60"/>
      <c r="Q2774" s="60"/>
      <c r="R2774" s="58"/>
      <c r="S2774" s="62" t="str">
        <f aca="false">IF(OR(B2774="",V2774=""),"",IFERROR(INDEX(C_TIPO,MATCH(V2774&amp;"-P"&amp;MAX(1,COUNTIFS(C_RUTN,V2774,C_DEF,"Sí",C_INI,"&lt;="&amp;EOMONTH(B2774,0))),C_CLAVE,0))&amp;"","Sin contrato"))</f>
        <v/>
      </c>
      <c r="T2774" s="63" t="str">
        <f aca="false">IF(OR(B2774="",N(O2774)=0),"",N(O2774)+ROUND(MIN(N(N2774),TOPE_UF*UF_MES)*(TASA_EMP+MUTUAL),0)+ROUND(MIN(N(N2774),TOPE_AFC_UF*UF_MES)*IF(S2774="Indefinido",AFC_INDEF,AFC_PF),0))</f>
        <v/>
      </c>
      <c r="U2774" s="62" t="str">
        <f aca="false">IF(C2774="","",IF(LEFT(D2774,1)="⚠","⚠ RUT no registrado en Trabajadores",IF(B2774="","⚠ Falta el mes",IF(OR(ISTEXT(I2774),ISTEXT(J2774)),"⚠ Atrasos u horas extra como texto: escriba hh:mm (ej. 1:30)",IF(AND(ISNUMBER(Q2774),COUNTIFS(M_RUTN,V2774,M_MES,B2774,M_LIQ,"&lt;&gt;")&gt;1),"⚠ Liquidación repetida en el mes",IF(AND(ISNUMBER(O2774),ISNUMBER(P2774),ISNUMBER(Q2774),ABS(O2774-P2774-Q2774)&gt;1),"⚠ Haberes − descuentos no da el líquido","OK"))))))</f>
        <v/>
      </c>
      <c r="V2774" s="62" t="str">
        <f aca="false">IF(C2774="","",IFERROR(VALUE(LEFT(UPPER(SUBSTITUTE(SUBSTITUTE(SUBSTITUTE(TRIM(C2774),".",""),"-","")," ","")),LEN(UPPER(SUBSTITUTE(SUBSTITUTE(SUBSTITUTE(TRIM(C2774),".",""),"-","")," ","")))-1))&amp;RIGHT(UPPER(SUBSTITUTE(SUBSTITUTE(SUBSTITUTE(TRIM(C2774),".",""),"-","")," ","")),1),UPPER(SUBSTITUTE(SUBSTITUTE(SUBSTITUTE(TRIM(C2774),".",""),"-","")," ",""))))</f>
        <v/>
      </c>
    </row>
    <row r="2775" customFormat="false" ht="15" hidden="false" customHeight="false" outlineLevel="0" collapsed="false">
      <c r="B2775" s="80"/>
      <c r="C2775" s="58"/>
      <c r="D2775" s="62" t="str">
        <f aca="false">IF(C2775="","",IFERROR(INDEX(T_NOMBRE,MATCH(V2775,T_RUTN,0)),"⚠ RUT no está en Trabajadores"))</f>
        <v/>
      </c>
      <c r="E2775" s="61"/>
      <c r="F2775" s="61"/>
      <c r="G2775" s="61"/>
      <c r="H2775" s="61"/>
      <c r="I2775" s="81"/>
      <c r="J2775" s="81"/>
      <c r="K2775" s="60"/>
      <c r="L2775" s="60"/>
      <c r="M2775" s="60"/>
      <c r="N2775" s="60"/>
      <c r="O2775" s="60"/>
      <c r="P2775" s="60"/>
      <c r="Q2775" s="60"/>
      <c r="R2775" s="58"/>
      <c r="S2775" s="62" t="str">
        <f aca="false">IF(OR(B2775="",V2775=""),"",IFERROR(INDEX(C_TIPO,MATCH(V2775&amp;"-P"&amp;MAX(1,COUNTIFS(C_RUTN,V2775,C_DEF,"Sí",C_INI,"&lt;="&amp;EOMONTH(B2775,0))),C_CLAVE,0))&amp;"","Sin contrato"))</f>
        <v/>
      </c>
      <c r="T2775" s="63" t="str">
        <f aca="false">IF(OR(B2775="",N(O2775)=0),"",N(O2775)+ROUND(MIN(N(N2775),TOPE_UF*UF_MES)*(TASA_EMP+MUTUAL),0)+ROUND(MIN(N(N2775),TOPE_AFC_UF*UF_MES)*IF(S2775="Indefinido",AFC_INDEF,AFC_PF),0))</f>
        <v/>
      </c>
      <c r="U2775" s="62" t="str">
        <f aca="false">IF(C2775="","",IF(LEFT(D2775,1)="⚠","⚠ RUT no registrado en Trabajadores",IF(B2775="","⚠ Falta el mes",IF(OR(ISTEXT(I2775),ISTEXT(J2775)),"⚠ Atrasos u horas extra como texto: escriba hh:mm (ej. 1:30)",IF(AND(ISNUMBER(Q2775),COUNTIFS(M_RUTN,V2775,M_MES,B2775,M_LIQ,"&lt;&gt;")&gt;1),"⚠ Liquidación repetida en el mes",IF(AND(ISNUMBER(O2775),ISNUMBER(P2775),ISNUMBER(Q2775),ABS(O2775-P2775-Q2775)&gt;1),"⚠ Haberes − descuentos no da el líquido","OK"))))))</f>
        <v/>
      </c>
      <c r="V2775" s="62" t="str">
        <f aca="false">IF(C2775="","",IFERROR(VALUE(LEFT(UPPER(SUBSTITUTE(SUBSTITUTE(SUBSTITUTE(TRIM(C2775),".",""),"-","")," ","")),LEN(UPPER(SUBSTITUTE(SUBSTITUTE(SUBSTITUTE(TRIM(C2775),".",""),"-","")," ","")))-1))&amp;RIGHT(UPPER(SUBSTITUTE(SUBSTITUTE(SUBSTITUTE(TRIM(C2775),".",""),"-","")," ","")),1),UPPER(SUBSTITUTE(SUBSTITUTE(SUBSTITUTE(TRIM(C2775),".",""),"-","")," ",""))))</f>
        <v/>
      </c>
    </row>
    <row r="2776" customFormat="false" ht="15" hidden="false" customHeight="false" outlineLevel="0" collapsed="false">
      <c r="B2776" s="80"/>
      <c r="C2776" s="58"/>
      <c r="D2776" s="62" t="str">
        <f aca="false">IF(C2776="","",IFERROR(INDEX(T_NOMBRE,MATCH(V2776,T_RUTN,0)),"⚠ RUT no está en Trabajadores"))</f>
        <v/>
      </c>
      <c r="E2776" s="61"/>
      <c r="F2776" s="61"/>
      <c r="G2776" s="61"/>
      <c r="H2776" s="61"/>
      <c r="I2776" s="81"/>
      <c r="J2776" s="81"/>
      <c r="K2776" s="60"/>
      <c r="L2776" s="60"/>
      <c r="M2776" s="60"/>
      <c r="N2776" s="60"/>
      <c r="O2776" s="60"/>
      <c r="P2776" s="60"/>
      <c r="Q2776" s="60"/>
      <c r="R2776" s="58"/>
      <c r="S2776" s="62" t="str">
        <f aca="false">IF(OR(B2776="",V2776=""),"",IFERROR(INDEX(C_TIPO,MATCH(V2776&amp;"-P"&amp;MAX(1,COUNTIFS(C_RUTN,V2776,C_DEF,"Sí",C_INI,"&lt;="&amp;EOMONTH(B2776,0))),C_CLAVE,0))&amp;"","Sin contrato"))</f>
        <v/>
      </c>
      <c r="T2776" s="63" t="str">
        <f aca="false">IF(OR(B2776="",N(O2776)=0),"",N(O2776)+ROUND(MIN(N(N2776),TOPE_UF*UF_MES)*(TASA_EMP+MUTUAL),0)+ROUND(MIN(N(N2776),TOPE_AFC_UF*UF_MES)*IF(S2776="Indefinido",AFC_INDEF,AFC_PF),0))</f>
        <v/>
      </c>
      <c r="U2776" s="62" t="str">
        <f aca="false">IF(C2776="","",IF(LEFT(D2776,1)="⚠","⚠ RUT no registrado en Trabajadores",IF(B2776="","⚠ Falta el mes",IF(OR(ISTEXT(I2776),ISTEXT(J2776)),"⚠ Atrasos u horas extra como texto: escriba hh:mm (ej. 1:30)",IF(AND(ISNUMBER(Q2776),COUNTIFS(M_RUTN,V2776,M_MES,B2776,M_LIQ,"&lt;&gt;")&gt;1),"⚠ Liquidación repetida en el mes",IF(AND(ISNUMBER(O2776),ISNUMBER(P2776),ISNUMBER(Q2776),ABS(O2776-P2776-Q2776)&gt;1),"⚠ Haberes − descuentos no da el líquido","OK"))))))</f>
        <v/>
      </c>
      <c r="V2776" s="62" t="str">
        <f aca="false">IF(C2776="","",IFERROR(VALUE(LEFT(UPPER(SUBSTITUTE(SUBSTITUTE(SUBSTITUTE(TRIM(C2776),".",""),"-","")," ","")),LEN(UPPER(SUBSTITUTE(SUBSTITUTE(SUBSTITUTE(TRIM(C2776),".",""),"-","")," ","")))-1))&amp;RIGHT(UPPER(SUBSTITUTE(SUBSTITUTE(SUBSTITUTE(TRIM(C2776),".",""),"-","")," ","")),1),UPPER(SUBSTITUTE(SUBSTITUTE(SUBSTITUTE(TRIM(C2776),".",""),"-","")," ",""))))</f>
        <v/>
      </c>
    </row>
    <row r="2777" customFormat="false" ht="15" hidden="false" customHeight="false" outlineLevel="0" collapsed="false">
      <c r="B2777" s="80"/>
      <c r="C2777" s="58"/>
      <c r="D2777" s="62" t="str">
        <f aca="false">IF(C2777="","",IFERROR(INDEX(T_NOMBRE,MATCH(V2777,T_RUTN,0)),"⚠ RUT no está en Trabajadores"))</f>
        <v/>
      </c>
      <c r="E2777" s="61"/>
      <c r="F2777" s="61"/>
      <c r="G2777" s="61"/>
      <c r="H2777" s="61"/>
      <c r="I2777" s="81"/>
      <c r="J2777" s="81"/>
      <c r="K2777" s="60"/>
      <c r="L2777" s="60"/>
      <c r="M2777" s="60"/>
      <c r="N2777" s="60"/>
      <c r="O2777" s="60"/>
      <c r="P2777" s="60"/>
      <c r="Q2777" s="60"/>
      <c r="R2777" s="58"/>
      <c r="S2777" s="62" t="str">
        <f aca="false">IF(OR(B2777="",V2777=""),"",IFERROR(INDEX(C_TIPO,MATCH(V2777&amp;"-P"&amp;MAX(1,COUNTIFS(C_RUTN,V2777,C_DEF,"Sí",C_INI,"&lt;="&amp;EOMONTH(B2777,0))),C_CLAVE,0))&amp;"","Sin contrato"))</f>
        <v/>
      </c>
      <c r="T2777" s="63" t="str">
        <f aca="false">IF(OR(B2777="",N(O2777)=0),"",N(O2777)+ROUND(MIN(N(N2777),TOPE_UF*UF_MES)*(TASA_EMP+MUTUAL),0)+ROUND(MIN(N(N2777),TOPE_AFC_UF*UF_MES)*IF(S2777="Indefinido",AFC_INDEF,AFC_PF),0))</f>
        <v/>
      </c>
      <c r="U2777" s="62" t="str">
        <f aca="false">IF(C2777="","",IF(LEFT(D2777,1)="⚠","⚠ RUT no registrado en Trabajadores",IF(B2777="","⚠ Falta el mes",IF(OR(ISTEXT(I2777),ISTEXT(J2777)),"⚠ Atrasos u horas extra como texto: escriba hh:mm (ej. 1:30)",IF(AND(ISNUMBER(Q2777),COUNTIFS(M_RUTN,V2777,M_MES,B2777,M_LIQ,"&lt;&gt;")&gt;1),"⚠ Liquidación repetida en el mes",IF(AND(ISNUMBER(O2777),ISNUMBER(P2777),ISNUMBER(Q2777),ABS(O2777-P2777-Q2777)&gt;1),"⚠ Haberes − descuentos no da el líquido","OK"))))))</f>
        <v/>
      </c>
      <c r="V2777" s="62" t="str">
        <f aca="false">IF(C2777="","",IFERROR(VALUE(LEFT(UPPER(SUBSTITUTE(SUBSTITUTE(SUBSTITUTE(TRIM(C2777),".",""),"-","")," ","")),LEN(UPPER(SUBSTITUTE(SUBSTITUTE(SUBSTITUTE(TRIM(C2777),".",""),"-","")," ","")))-1))&amp;RIGHT(UPPER(SUBSTITUTE(SUBSTITUTE(SUBSTITUTE(TRIM(C2777),".",""),"-","")," ","")),1),UPPER(SUBSTITUTE(SUBSTITUTE(SUBSTITUTE(TRIM(C2777),".",""),"-","")," ",""))))</f>
        <v/>
      </c>
    </row>
    <row r="2778" customFormat="false" ht="15" hidden="false" customHeight="false" outlineLevel="0" collapsed="false">
      <c r="B2778" s="80"/>
      <c r="C2778" s="58"/>
      <c r="D2778" s="62" t="str">
        <f aca="false">IF(C2778="","",IFERROR(INDEX(T_NOMBRE,MATCH(V2778,T_RUTN,0)),"⚠ RUT no está en Trabajadores"))</f>
        <v/>
      </c>
      <c r="E2778" s="61"/>
      <c r="F2778" s="61"/>
      <c r="G2778" s="61"/>
      <c r="H2778" s="61"/>
      <c r="I2778" s="81"/>
      <c r="J2778" s="81"/>
      <c r="K2778" s="60"/>
      <c r="L2778" s="60"/>
      <c r="M2778" s="60"/>
      <c r="N2778" s="60"/>
      <c r="O2778" s="60"/>
      <c r="P2778" s="60"/>
      <c r="Q2778" s="60"/>
      <c r="R2778" s="58"/>
      <c r="S2778" s="62" t="str">
        <f aca="false">IF(OR(B2778="",V2778=""),"",IFERROR(INDEX(C_TIPO,MATCH(V2778&amp;"-P"&amp;MAX(1,COUNTIFS(C_RUTN,V2778,C_DEF,"Sí",C_INI,"&lt;="&amp;EOMONTH(B2778,0))),C_CLAVE,0))&amp;"","Sin contrato"))</f>
        <v/>
      </c>
      <c r="T2778" s="63" t="str">
        <f aca="false">IF(OR(B2778="",N(O2778)=0),"",N(O2778)+ROUND(MIN(N(N2778),TOPE_UF*UF_MES)*(TASA_EMP+MUTUAL),0)+ROUND(MIN(N(N2778),TOPE_AFC_UF*UF_MES)*IF(S2778="Indefinido",AFC_INDEF,AFC_PF),0))</f>
        <v/>
      </c>
      <c r="U2778" s="62" t="str">
        <f aca="false">IF(C2778="","",IF(LEFT(D2778,1)="⚠","⚠ RUT no registrado en Trabajadores",IF(B2778="","⚠ Falta el mes",IF(OR(ISTEXT(I2778),ISTEXT(J2778)),"⚠ Atrasos u horas extra como texto: escriba hh:mm (ej. 1:30)",IF(AND(ISNUMBER(Q2778),COUNTIFS(M_RUTN,V2778,M_MES,B2778,M_LIQ,"&lt;&gt;")&gt;1),"⚠ Liquidación repetida en el mes",IF(AND(ISNUMBER(O2778),ISNUMBER(P2778),ISNUMBER(Q2778),ABS(O2778-P2778-Q2778)&gt;1),"⚠ Haberes − descuentos no da el líquido","OK"))))))</f>
        <v/>
      </c>
      <c r="V2778" s="62" t="str">
        <f aca="false">IF(C2778="","",IFERROR(VALUE(LEFT(UPPER(SUBSTITUTE(SUBSTITUTE(SUBSTITUTE(TRIM(C2778),".",""),"-","")," ","")),LEN(UPPER(SUBSTITUTE(SUBSTITUTE(SUBSTITUTE(TRIM(C2778),".",""),"-","")," ","")))-1))&amp;RIGHT(UPPER(SUBSTITUTE(SUBSTITUTE(SUBSTITUTE(TRIM(C2778),".",""),"-","")," ","")),1),UPPER(SUBSTITUTE(SUBSTITUTE(SUBSTITUTE(TRIM(C2778),".",""),"-","")," ",""))))</f>
        <v/>
      </c>
    </row>
    <row r="2779" customFormat="false" ht="15" hidden="false" customHeight="false" outlineLevel="0" collapsed="false">
      <c r="B2779" s="80"/>
      <c r="C2779" s="58"/>
      <c r="D2779" s="62" t="str">
        <f aca="false">IF(C2779="","",IFERROR(INDEX(T_NOMBRE,MATCH(V2779,T_RUTN,0)),"⚠ RUT no está en Trabajadores"))</f>
        <v/>
      </c>
      <c r="E2779" s="61"/>
      <c r="F2779" s="61"/>
      <c r="G2779" s="61"/>
      <c r="H2779" s="61"/>
      <c r="I2779" s="81"/>
      <c r="J2779" s="81"/>
      <c r="K2779" s="60"/>
      <c r="L2779" s="60"/>
      <c r="M2779" s="60"/>
      <c r="N2779" s="60"/>
      <c r="O2779" s="60"/>
      <c r="P2779" s="60"/>
      <c r="Q2779" s="60"/>
      <c r="R2779" s="58"/>
      <c r="S2779" s="62" t="str">
        <f aca="false">IF(OR(B2779="",V2779=""),"",IFERROR(INDEX(C_TIPO,MATCH(V2779&amp;"-P"&amp;MAX(1,COUNTIFS(C_RUTN,V2779,C_DEF,"Sí",C_INI,"&lt;="&amp;EOMONTH(B2779,0))),C_CLAVE,0))&amp;"","Sin contrato"))</f>
        <v/>
      </c>
      <c r="T2779" s="63" t="str">
        <f aca="false">IF(OR(B2779="",N(O2779)=0),"",N(O2779)+ROUND(MIN(N(N2779),TOPE_UF*UF_MES)*(TASA_EMP+MUTUAL),0)+ROUND(MIN(N(N2779),TOPE_AFC_UF*UF_MES)*IF(S2779="Indefinido",AFC_INDEF,AFC_PF),0))</f>
        <v/>
      </c>
      <c r="U2779" s="62" t="str">
        <f aca="false">IF(C2779="","",IF(LEFT(D2779,1)="⚠","⚠ RUT no registrado en Trabajadores",IF(B2779="","⚠ Falta el mes",IF(OR(ISTEXT(I2779),ISTEXT(J2779)),"⚠ Atrasos u horas extra como texto: escriba hh:mm (ej. 1:30)",IF(AND(ISNUMBER(Q2779),COUNTIFS(M_RUTN,V2779,M_MES,B2779,M_LIQ,"&lt;&gt;")&gt;1),"⚠ Liquidación repetida en el mes",IF(AND(ISNUMBER(O2779),ISNUMBER(P2779),ISNUMBER(Q2779),ABS(O2779-P2779-Q2779)&gt;1),"⚠ Haberes − descuentos no da el líquido","OK"))))))</f>
        <v/>
      </c>
      <c r="V2779" s="62" t="str">
        <f aca="false">IF(C2779="","",IFERROR(VALUE(LEFT(UPPER(SUBSTITUTE(SUBSTITUTE(SUBSTITUTE(TRIM(C2779),".",""),"-","")," ","")),LEN(UPPER(SUBSTITUTE(SUBSTITUTE(SUBSTITUTE(TRIM(C2779),".",""),"-","")," ","")))-1))&amp;RIGHT(UPPER(SUBSTITUTE(SUBSTITUTE(SUBSTITUTE(TRIM(C2779),".",""),"-","")," ","")),1),UPPER(SUBSTITUTE(SUBSTITUTE(SUBSTITUTE(TRIM(C2779),".",""),"-","")," ",""))))</f>
        <v/>
      </c>
    </row>
    <row r="2780" customFormat="false" ht="15" hidden="false" customHeight="false" outlineLevel="0" collapsed="false">
      <c r="B2780" s="80"/>
      <c r="C2780" s="58"/>
      <c r="D2780" s="62" t="str">
        <f aca="false">IF(C2780="","",IFERROR(INDEX(T_NOMBRE,MATCH(V2780,T_RUTN,0)),"⚠ RUT no está en Trabajadores"))</f>
        <v/>
      </c>
      <c r="E2780" s="61"/>
      <c r="F2780" s="61"/>
      <c r="G2780" s="61"/>
      <c r="H2780" s="61"/>
      <c r="I2780" s="81"/>
      <c r="J2780" s="81"/>
      <c r="K2780" s="60"/>
      <c r="L2780" s="60"/>
      <c r="M2780" s="60"/>
      <c r="N2780" s="60"/>
      <c r="O2780" s="60"/>
      <c r="P2780" s="60"/>
      <c r="Q2780" s="60"/>
      <c r="R2780" s="58"/>
      <c r="S2780" s="62" t="str">
        <f aca="false">IF(OR(B2780="",V2780=""),"",IFERROR(INDEX(C_TIPO,MATCH(V2780&amp;"-P"&amp;MAX(1,COUNTIFS(C_RUTN,V2780,C_DEF,"Sí",C_INI,"&lt;="&amp;EOMONTH(B2780,0))),C_CLAVE,0))&amp;"","Sin contrato"))</f>
        <v/>
      </c>
      <c r="T2780" s="63" t="str">
        <f aca="false">IF(OR(B2780="",N(O2780)=0),"",N(O2780)+ROUND(MIN(N(N2780),TOPE_UF*UF_MES)*(TASA_EMP+MUTUAL),0)+ROUND(MIN(N(N2780),TOPE_AFC_UF*UF_MES)*IF(S2780="Indefinido",AFC_INDEF,AFC_PF),0))</f>
        <v/>
      </c>
      <c r="U2780" s="62" t="str">
        <f aca="false">IF(C2780="","",IF(LEFT(D2780,1)="⚠","⚠ RUT no registrado en Trabajadores",IF(B2780="","⚠ Falta el mes",IF(OR(ISTEXT(I2780),ISTEXT(J2780)),"⚠ Atrasos u horas extra como texto: escriba hh:mm (ej. 1:30)",IF(AND(ISNUMBER(Q2780),COUNTIFS(M_RUTN,V2780,M_MES,B2780,M_LIQ,"&lt;&gt;")&gt;1),"⚠ Liquidación repetida en el mes",IF(AND(ISNUMBER(O2780),ISNUMBER(P2780),ISNUMBER(Q2780),ABS(O2780-P2780-Q2780)&gt;1),"⚠ Haberes − descuentos no da el líquido","OK"))))))</f>
        <v/>
      </c>
      <c r="V2780" s="62" t="str">
        <f aca="false">IF(C2780="","",IFERROR(VALUE(LEFT(UPPER(SUBSTITUTE(SUBSTITUTE(SUBSTITUTE(TRIM(C2780),".",""),"-","")," ","")),LEN(UPPER(SUBSTITUTE(SUBSTITUTE(SUBSTITUTE(TRIM(C2780),".",""),"-","")," ","")))-1))&amp;RIGHT(UPPER(SUBSTITUTE(SUBSTITUTE(SUBSTITUTE(TRIM(C2780),".",""),"-","")," ","")),1),UPPER(SUBSTITUTE(SUBSTITUTE(SUBSTITUTE(TRIM(C2780),".",""),"-","")," ",""))))</f>
        <v/>
      </c>
    </row>
    <row r="2781" customFormat="false" ht="15" hidden="false" customHeight="false" outlineLevel="0" collapsed="false">
      <c r="B2781" s="80"/>
      <c r="C2781" s="58"/>
      <c r="D2781" s="62" t="str">
        <f aca="false">IF(C2781="","",IFERROR(INDEX(T_NOMBRE,MATCH(V2781,T_RUTN,0)),"⚠ RUT no está en Trabajadores"))</f>
        <v/>
      </c>
      <c r="E2781" s="61"/>
      <c r="F2781" s="61"/>
      <c r="G2781" s="61"/>
      <c r="H2781" s="61"/>
      <c r="I2781" s="81"/>
      <c r="J2781" s="81"/>
      <c r="K2781" s="60"/>
      <c r="L2781" s="60"/>
      <c r="M2781" s="60"/>
      <c r="N2781" s="60"/>
      <c r="O2781" s="60"/>
      <c r="P2781" s="60"/>
      <c r="Q2781" s="60"/>
      <c r="R2781" s="58"/>
      <c r="S2781" s="62" t="str">
        <f aca="false">IF(OR(B2781="",V2781=""),"",IFERROR(INDEX(C_TIPO,MATCH(V2781&amp;"-P"&amp;MAX(1,COUNTIFS(C_RUTN,V2781,C_DEF,"Sí",C_INI,"&lt;="&amp;EOMONTH(B2781,0))),C_CLAVE,0))&amp;"","Sin contrato"))</f>
        <v/>
      </c>
      <c r="T2781" s="63" t="str">
        <f aca="false">IF(OR(B2781="",N(O2781)=0),"",N(O2781)+ROUND(MIN(N(N2781),TOPE_UF*UF_MES)*(TASA_EMP+MUTUAL),0)+ROUND(MIN(N(N2781),TOPE_AFC_UF*UF_MES)*IF(S2781="Indefinido",AFC_INDEF,AFC_PF),0))</f>
        <v/>
      </c>
      <c r="U2781" s="62" t="str">
        <f aca="false">IF(C2781="","",IF(LEFT(D2781,1)="⚠","⚠ RUT no registrado en Trabajadores",IF(B2781="","⚠ Falta el mes",IF(OR(ISTEXT(I2781),ISTEXT(J2781)),"⚠ Atrasos u horas extra como texto: escriba hh:mm (ej. 1:30)",IF(AND(ISNUMBER(Q2781),COUNTIFS(M_RUTN,V2781,M_MES,B2781,M_LIQ,"&lt;&gt;")&gt;1),"⚠ Liquidación repetida en el mes",IF(AND(ISNUMBER(O2781),ISNUMBER(P2781),ISNUMBER(Q2781),ABS(O2781-P2781-Q2781)&gt;1),"⚠ Haberes − descuentos no da el líquido","OK"))))))</f>
        <v/>
      </c>
      <c r="V2781" s="62" t="str">
        <f aca="false">IF(C2781="","",IFERROR(VALUE(LEFT(UPPER(SUBSTITUTE(SUBSTITUTE(SUBSTITUTE(TRIM(C2781),".",""),"-","")," ","")),LEN(UPPER(SUBSTITUTE(SUBSTITUTE(SUBSTITUTE(TRIM(C2781),".",""),"-","")," ","")))-1))&amp;RIGHT(UPPER(SUBSTITUTE(SUBSTITUTE(SUBSTITUTE(TRIM(C2781),".",""),"-","")," ","")),1),UPPER(SUBSTITUTE(SUBSTITUTE(SUBSTITUTE(TRIM(C2781),".",""),"-","")," ",""))))</f>
        <v/>
      </c>
    </row>
    <row r="2782" customFormat="false" ht="15" hidden="false" customHeight="false" outlineLevel="0" collapsed="false">
      <c r="B2782" s="80"/>
      <c r="C2782" s="58"/>
      <c r="D2782" s="62" t="str">
        <f aca="false">IF(C2782="","",IFERROR(INDEX(T_NOMBRE,MATCH(V2782,T_RUTN,0)),"⚠ RUT no está en Trabajadores"))</f>
        <v/>
      </c>
      <c r="E2782" s="61"/>
      <c r="F2782" s="61"/>
      <c r="G2782" s="61"/>
      <c r="H2782" s="61"/>
      <c r="I2782" s="81"/>
      <c r="J2782" s="81"/>
      <c r="K2782" s="60"/>
      <c r="L2782" s="60"/>
      <c r="M2782" s="60"/>
      <c r="N2782" s="60"/>
      <c r="O2782" s="60"/>
      <c r="P2782" s="60"/>
      <c r="Q2782" s="60"/>
      <c r="R2782" s="58"/>
      <c r="S2782" s="62" t="str">
        <f aca="false">IF(OR(B2782="",V2782=""),"",IFERROR(INDEX(C_TIPO,MATCH(V2782&amp;"-P"&amp;MAX(1,COUNTIFS(C_RUTN,V2782,C_DEF,"Sí",C_INI,"&lt;="&amp;EOMONTH(B2782,0))),C_CLAVE,0))&amp;"","Sin contrato"))</f>
        <v/>
      </c>
      <c r="T2782" s="63" t="str">
        <f aca="false">IF(OR(B2782="",N(O2782)=0),"",N(O2782)+ROUND(MIN(N(N2782),TOPE_UF*UF_MES)*(TASA_EMP+MUTUAL),0)+ROUND(MIN(N(N2782),TOPE_AFC_UF*UF_MES)*IF(S2782="Indefinido",AFC_INDEF,AFC_PF),0))</f>
        <v/>
      </c>
      <c r="U2782" s="62" t="str">
        <f aca="false">IF(C2782="","",IF(LEFT(D2782,1)="⚠","⚠ RUT no registrado en Trabajadores",IF(B2782="","⚠ Falta el mes",IF(OR(ISTEXT(I2782),ISTEXT(J2782)),"⚠ Atrasos u horas extra como texto: escriba hh:mm (ej. 1:30)",IF(AND(ISNUMBER(Q2782),COUNTIFS(M_RUTN,V2782,M_MES,B2782,M_LIQ,"&lt;&gt;")&gt;1),"⚠ Liquidación repetida en el mes",IF(AND(ISNUMBER(O2782),ISNUMBER(P2782),ISNUMBER(Q2782),ABS(O2782-P2782-Q2782)&gt;1),"⚠ Haberes − descuentos no da el líquido","OK"))))))</f>
        <v/>
      </c>
      <c r="V2782" s="62" t="str">
        <f aca="false">IF(C2782="","",IFERROR(VALUE(LEFT(UPPER(SUBSTITUTE(SUBSTITUTE(SUBSTITUTE(TRIM(C2782),".",""),"-","")," ","")),LEN(UPPER(SUBSTITUTE(SUBSTITUTE(SUBSTITUTE(TRIM(C2782),".",""),"-","")," ","")))-1))&amp;RIGHT(UPPER(SUBSTITUTE(SUBSTITUTE(SUBSTITUTE(TRIM(C2782),".",""),"-","")," ","")),1),UPPER(SUBSTITUTE(SUBSTITUTE(SUBSTITUTE(TRIM(C2782),".",""),"-","")," ",""))))</f>
        <v/>
      </c>
    </row>
    <row r="2783" customFormat="false" ht="15" hidden="false" customHeight="false" outlineLevel="0" collapsed="false">
      <c r="B2783" s="80"/>
      <c r="C2783" s="58"/>
      <c r="D2783" s="62" t="str">
        <f aca="false">IF(C2783="","",IFERROR(INDEX(T_NOMBRE,MATCH(V2783,T_RUTN,0)),"⚠ RUT no está en Trabajadores"))</f>
        <v/>
      </c>
      <c r="E2783" s="61"/>
      <c r="F2783" s="61"/>
      <c r="G2783" s="61"/>
      <c r="H2783" s="61"/>
      <c r="I2783" s="81"/>
      <c r="J2783" s="81"/>
      <c r="K2783" s="60"/>
      <c r="L2783" s="60"/>
      <c r="M2783" s="60"/>
      <c r="N2783" s="60"/>
      <c r="O2783" s="60"/>
      <c r="P2783" s="60"/>
      <c r="Q2783" s="60"/>
      <c r="R2783" s="58"/>
      <c r="S2783" s="62" t="str">
        <f aca="false">IF(OR(B2783="",V2783=""),"",IFERROR(INDEX(C_TIPO,MATCH(V2783&amp;"-P"&amp;MAX(1,COUNTIFS(C_RUTN,V2783,C_DEF,"Sí",C_INI,"&lt;="&amp;EOMONTH(B2783,0))),C_CLAVE,0))&amp;"","Sin contrato"))</f>
        <v/>
      </c>
      <c r="T2783" s="63" t="str">
        <f aca="false">IF(OR(B2783="",N(O2783)=0),"",N(O2783)+ROUND(MIN(N(N2783),TOPE_UF*UF_MES)*(TASA_EMP+MUTUAL),0)+ROUND(MIN(N(N2783),TOPE_AFC_UF*UF_MES)*IF(S2783="Indefinido",AFC_INDEF,AFC_PF),0))</f>
        <v/>
      </c>
      <c r="U2783" s="62" t="str">
        <f aca="false">IF(C2783="","",IF(LEFT(D2783,1)="⚠","⚠ RUT no registrado en Trabajadores",IF(B2783="","⚠ Falta el mes",IF(OR(ISTEXT(I2783),ISTEXT(J2783)),"⚠ Atrasos u horas extra como texto: escriba hh:mm (ej. 1:30)",IF(AND(ISNUMBER(Q2783),COUNTIFS(M_RUTN,V2783,M_MES,B2783,M_LIQ,"&lt;&gt;")&gt;1),"⚠ Liquidación repetida en el mes",IF(AND(ISNUMBER(O2783),ISNUMBER(P2783),ISNUMBER(Q2783),ABS(O2783-P2783-Q2783)&gt;1),"⚠ Haberes − descuentos no da el líquido","OK"))))))</f>
        <v/>
      </c>
      <c r="V2783" s="62" t="str">
        <f aca="false">IF(C2783="","",IFERROR(VALUE(LEFT(UPPER(SUBSTITUTE(SUBSTITUTE(SUBSTITUTE(TRIM(C2783),".",""),"-","")," ","")),LEN(UPPER(SUBSTITUTE(SUBSTITUTE(SUBSTITUTE(TRIM(C2783),".",""),"-","")," ","")))-1))&amp;RIGHT(UPPER(SUBSTITUTE(SUBSTITUTE(SUBSTITUTE(TRIM(C2783),".",""),"-","")," ","")),1),UPPER(SUBSTITUTE(SUBSTITUTE(SUBSTITUTE(TRIM(C2783),".",""),"-","")," ",""))))</f>
        <v/>
      </c>
    </row>
    <row r="2784" customFormat="false" ht="15" hidden="false" customHeight="false" outlineLevel="0" collapsed="false">
      <c r="B2784" s="80"/>
      <c r="C2784" s="58"/>
      <c r="D2784" s="62" t="str">
        <f aca="false">IF(C2784="","",IFERROR(INDEX(T_NOMBRE,MATCH(V2784,T_RUTN,0)),"⚠ RUT no está en Trabajadores"))</f>
        <v/>
      </c>
      <c r="E2784" s="61"/>
      <c r="F2784" s="61"/>
      <c r="G2784" s="61"/>
      <c r="H2784" s="61"/>
      <c r="I2784" s="81"/>
      <c r="J2784" s="81"/>
      <c r="K2784" s="60"/>
      <c r="L2784" s="60"/>
      <c r="M2784" s="60"/>
      <c r="N2784" s="60"/>
      <c r="O2784" s="60"/>
      <c r="P2784" s="60"/>
      <c r="Q2784" s="60"/>
      <c r="R2784" s="58"/>
      <c r="S2784" s="62" t="str">
        <f aca="false">IF(OR(B2784="",V2784=""),"",IFERROR(INDEX(C_TIPO,MATCH(V2784&amp;"-P"&amp;MAX(1,COUNTIFS(C_RUTN,V2784,C_DEF,"Sí",C_INI,"&lt;="&amp;EOMONTH(B2784,0))),C_CLAVE,0))&amp;"","Sin contrato"))</f>
        <v/>
      </c>
      <c r="T2784" s="63" t="str">
        <f aca="false">IF(OR(B2784="",N(O2784)=0),"",N(O2784)+ROUND(MIN(N(N2784),TOPE_UF*UF_MES)*(TASA_EMP+MUTUAL),0)+ROUND(MIN(N(N2784),TOPE_AFC_UF*UF_MES)*IF(S2784="Indefinido",AFC_INDEF,AFC_PF),0))</f>
        <v/>
      </c>
      <c r="U2784" s="62" t="str">
        <f aca="false">IF(C2784="","",IF(LEFT(D2784,1)="⚠","⚠ RUT no registrado en Trabajadores",IF(B2784="","⚠ Falta el mes",IF(OR(ISTEXT(I2784),ISTEXT(J2784)),"⚠ Atrasos u horas extra como texto: escriba hh:mm (ej. 1:30)",IF(AND(ISNUMBER(Q2784),COUNTIFS(M_RUTN,V2784,M_MES,B2784,M_LIQ,"&lt;&gt;")&gt;1),"⚠ Liquidación repetida en el mes",IF(AND(ISNUMBER(O2784),ISNUMBER(P2784),ISNUMBER(Q2784),ABS(O2784-P2784-Q2784)&gt;1),"⚠ Haberes − descuentos no da el líquido","OK"))))))</f>
        <v/>
      </c>
      <c r="V2784" s="62" t="str">
        <f aca="false">IF(C2784="","",IFERROR(VALUE(LEFT(UPPER(SUBSTITUTE(SUBSTITUTE(SUBSTITUTE(TRIM(C2784),".",""),"-","")," ","")),LEN(UPPER(SUBSTITUTE(SUBSTITUTE(SUBSTITUTE(TRIM(C2784),".",""),"-","")," ","")))-1))&amp;RIGHT(UPPER(SUBSTITUTE(SUBSTITUTE(SUBSTITUTE(TRIM(C2784),".",""),"-","")," ","")),1),UPPER(SUBSTITUTE(SUBSTITUTE(SUBSTITUTE(TRIM(C2784),".",""),"-","")," ",""))))</f>
        <v/>
      </c>
    </row>
    <row r="2785" customFormat="false" ht="15" hidden="false" customHeight="false" outlineLevel="0" collapsed="false">
      <c r="B2785" s="80"/>
      <c r="C2785" s="58"/>
      <c r="D2785" s="62" t="str">
        <f aca="false">IF(C2785="","",IFERROR(INDEX(T_NOMBRE,MATCH(V2785,T_RUTN,0)),"⚠ RUT no está en Trabajadores"))</f>
        <v/>
      </c>
      <c r="E2785" s="61"/>
      <c r="F2785" s="61"/>
      <c r="G2785" s="61"/>
      <c r="H2785" s="61"/>
      <c r="I2785" s="81"/>
      <c r="J2785" s="81"/>
      <c r="K2785" s="60"/>
      <c r="L2785" s="60"/>
      <c r="M2785" s="60"/>
      <c r="N2785" s="60"/>
      <c r="O2785" s="60"/>
      <c r="P2785" s="60"/>
      <c r="Q2785" s="60"/>
      <c r="R2785" s="58"/>
      <c r="S2785" s="62" t="str">
        <f aca="false">IF(OR(B2785="",V2785=""),"",IFERROR(INDEX(C_TIPO,MATCH(V2785&amp;"-P"&amp;MAX(1,COUNTIFS(C_RUTN,V2785,C_DEF,"Sí",C_INI,"&lt;="&amp;EOMONTH(B2785,0))),C_CLAVE,0))&amp;"","Sin contrato"))</f>
        <v/>
      </c>
      <c r="T2785" s="63" t="str">
        <f aca="false">IF(OR(B2785="",N(O2785)=0),"",N(O2785)+ROUND(MIN(N(N2785),TOPE_UF*UF_MES)*(TASA_EMP+MUTUAL),0)+ROUND(MIN(N(N2785),TOPE_AFC_UF*UF_MES)*IF(S2785="Indefinido",AFC_INDEF,AFC_PF),0))</f>
        <v/>
      </c>
      <c r="U2785" s="62" t="str">
        <f aca="false">IF(C2785="","",IF(LEFT(D2785,1)="⚠","⚠ RUT no registrado en Trabajadores",IF(B2785="","⚠ Falta el mes",IF(OR(ISTEXT(I2785),ISTEXT(J2785)),"⚠ Atrasos u horas extra como texto: escriba hh:mm (ej. 1:30)",IF(AND(ISNUMBER(Q2785),COUNTIFS(M_RUTN,V2785,M_MES,B2785,M_LIQ,"&lt;&gt;")&gt;1),"⚠ Liquidación repetida en el mes",IF(AND(ISNUMBER(O2785),ISNUMBER(P2785),ISNUMBER(Q2785),ABS(O2785-P2785-Q2785)&gt;1),"⚠ Haberes − descuentos no da el líquido","OK"))))))</f>
        <v/>
      </c>
      <c r="V2785" s="62" t="str">
        <f aca="false">IF(C2785="","",IFERROR(VALUE(LEFT(UPPER(SUBSTITUTE(SUBSTITUTE(SUBSTITUTE(TRIM(C2785),".",""),"-","")," ","")),LEN(UPPER(SUBSTITUTE(SUBSTITUTE(SUBSTITUTE(TRIM(C2785),".",""),"-","")," ","")))-1))&amp;RIGHT(UPPER(SUBSTITUTE(SUBSTITUTE(SUBSTITUTE(TRIM(C2785),".",""),"-","")," ","")),1),UPPER(SUBSTITUTE(SUBSTITUTE(SUBSTITUTE(TRIM(C2785),".",""),"-","")," ",""))))</f>
        <v/>
      </c>
    </row>
    <row r="2786" customFormat="false" ht="15" hidden="false" customHeight="false" outlineLevel="0" collapsed="false">
      <c r="B2786" s="80"/>
      <c r="C2786" s="58"/>
      <c r="D2786" s="62" t="str">
        <f aca="false">IF(C2786="","",IFERROR(INDEX(T_NOMBRE,MATCH(V2786,T_RUTN,0)),"⚠ RUT no está en Trabajadores"))</f>
        <v/>
      </c>
      <c r="E2786" s="61"/>
      <c r="F2786" s="61"/>
      <c r="G2786" s="61"/>
      <c r="H2786" s="61"/>
      <c r="I2786" s="81"/>
      <c r="J2786" s="81"/>
      <c r="K2786" s="60"/>
      <c r="L2786" s="60"/>
      <c r="M2786" s="60"/>
      <c r="N2786" s="60"/>
      <c r="O2786" s="60"/>
      <c r="P2786" s="60"/>
      <c r="Q2786" s="60"/>
      <c r="R2786" s="58"/>
      <c r="S2786" s="62" t="str">
        <f aca="false">IF(OR(B2786="",V2786=""),"",IFERROR(INDEX(C_TIPO,MATCH(V2786&amp;"-P"&amp;MAX(1,COUNTIFS(C_RUTN,V2786,C_DEF,"Sí",C_INI,"&lt;="&amp;EOMONTH(B2786,0))),C_CLAVE,0))&amp;"","Sin contrato"))</f>
        <v/>
      </c>
      <c r="T2786" s="63" t="str">
        <f aca="false">IF(OR(B2786="",N(O2786)=0),"",N(O2786)+ROUND(MIN(N(N2786),TOPE_UF*UF_MES)*(TASA_EMP+MUTUAL),0)+ROUND(MIN(N(N2786),TOPE_AFC_UF*UF_MES)*IF(S2786="Indefinido",AFC_INDEF,AFC_PF),0))</f>
        <v/>
      </c>
      <c r="U2786" s="62" t="str">
        <f aca="false">IF(C2786="","",IF(LEFT(D2786,1)="⚠","⚠ RUT no registrado en Trabajadores",IF(B2786="","⚠ Falta el mes",IF(OR(ISTEXT(I2786),ISTEXT(J2786)),"⚠ Atrasos u horas extra como texto: escriba hh:mm (ej. 1:30)",IF(AND(ISNUMBER(Q2786),COUNTIFS(M_RUTN,V2786,M_MES,B2786,M_LIQ,"&lt;&gt;")&gt;1),"⚠ Liquidación repetida en el mes",IF(AND(ISNUMBER(O2786),ISNUMBER(P2786),ISNUMBER(Q2786),ABS(O2786-P2786-Q2786)&gt;1),"⚠ Haberes − descuentos no da el líquido","OK"))))))</f>
        <v/>
      </c>
      <c r="V2786" s="62" t="str">
        <f aca="false">IF(C2786="","",IFERROR(VALUE(LEFT(UPPER(SUBSTITUTE(SUBSTITUTE(SUBSTITUTE(TRIM(C2786),".",""),"-","")," ","")),LEN(UPPER(SUBSTITUTE(SUBSTITUTE(SUBSTITUTE(TRIM(C2786),".",""),"-","")," ","")))-1))&amp;RIGHT(UPPER(SUBSTITUTE(SUBSTITUTE(SUBSTITUTE(TRIM(C2786),".",""),"-","")," ","")),1),UPPER(SUBSTITUTE(SUBSTITUTE(SUBSTITUTE(TRIM(C2786),".",""),"-","")," ",""))))</f>
        <v/>
      </c>
    </row>
    <row r="2787" customFormat="false" ht="15" hidden="false" customHeight="false" outlineLevel="0" collapsed="false">
      <c r="B2787" s="80"/>
      <c r="C2787" s="58"/>
      <c r="D2787" s="62" t="str">
        <f aca="false">IF(C2787="","",IFERROR(INDEX(T_NOMBRE,MATCH(V2787,T_RUTN,0)),"⚠ RUT no está en Trabajadores"))</f>
        <v/>
      </c>
      <c r="E2787" s="61"/>
      <c r="F2787" s="61"/>
      <c r="G2787" s="61"/>
      <c r="H2787" s="61"/>
      <c r="I2787" s="81"/>
      <c r="J2787" s="81"/>
      <c r="K2787" s="60"/>
      <c r="L2787" s="60"/>
      <c r="M2787" s="60"/>
      <c r="N2787" s="60"/>
      <c r="O2787" s="60"/>
      <c r="P2787" s="60"/>
      <c r="Q2787" s="60"/>
      <c r="R2787" s="58"/>
      <c r="S2787" s="62" t="str">
        <f aca="false">IF(OR(B2787="",V2787=""),"",IFERROR(INDEX(C_TIPO,MATCH(V2787&amp;"-P"&amp;MAX(1,COUNTIFS(C_RUTN,V2787,C_DEF,"Sí",C_INI,"&lt;="&amp;EOMONTH(B2787,0))),C_CLAVE,0))&amp;"","Sin contrato"))</f>
        <v/>
      </c>
      <c r="T2787" s="63" t="str">
        <f aca="false">IF(OR(B2787="",N(O2787)=0),"",N(O2787)+ROUND(MIN(N(N2787),TOPE_UF*UF_MES)*(TASA_EMP+MUTUAL),0)+ROUND(MIN(N(N2787),TOPE_AFC_UF*UF_MES)*IF(S2787="Indefinido",AFC_INDEF,AFC_PF),0))</f>
        <v/>
      </c>
      <c r="U2787" s="62" t="str">
        <f aca="false">IF(C2787="","",IF(LEFT(D2787,1)="⚠","⚠ RUT no registrado en Trabajadores",IF(B2787="","⚠ Falta el mes",IF(OR(ISTEXT(I2787),ISTEXT(J2787)),"⚠ Atrasos u horas extra como texto: escriba hh:mm (ej. 1:30)",IF(AND(ISNUMBER(Q2787),COUNTIFS(M_RUTN,V2787,M_MES,B2787,M_LIQ,"&lt;&gt;")&gt;1),"⚠ Liquidación repetida en el mes",IF(AND(ISNUMBER(O2787),ISNUMBER(P2787),ISNUMBER(Q2787),ABS(O2787-P2787-Q2787)&gt;1),"⚠ Haberes − descuentos no da el líquido","OK"))))))</f>
        <v/>
      </c>
      <c r="V2787" s="62" t="str">
        <f aca="false">IF(C2787="","",IFERROR(VALUE(LEFT(UPPER(SUBSTITUTE(SUBSTITUTE(SUBSTITUTE(TRIM(C2787),".",""),"-","")," ","")),LEN(UPPER(SUBSTITUTE(SUBSTITUTE(SUBSTITUTE(TRIM(C2787),".",""),"-","")," ","")))-1))&amp;RIGHT(UPPER(SUBSTITUTE(SUBSTITUTE(SUBSTITUTE(TRIM(C2787),".",""),"-","")," ","")),1),UPPER(SUBSTITUTE(SUBSTITUTE(SUBSTITUTE(TRIM(C2787),".",""),"-","")," ",""))))</f>
        <v/>
      </c>
    </row>
    <row r="2788" customFormat="false" ht="15" hidden="false" customHeight="false" outlineLevel="0" collapsed="false">
      <c r="B2788" s="80"/>
      <c r="C2788" s="58"/>
      <c r="D2788" s="62" t="str">
        <f aca="false">IF(C2788="","",IFERROR(INDEX(T_NOMBRE,MATCH(V2788,T_RUTN,0)),"⚠ RUT no está en Trabajadores"))</f>
        <v/>
      </c>
      <c r="E2788" s="61"/>
      <c r="F2788" s="61"/>
      <c r="G2788" s="61"/>
      <c r="H2788" s="61"/>
      <c r="I2788" s="81"/>
      <c r="J2788" s="81"/>
      <c r="K2788" s="60"/>
      <c r="L2788" s="60"/>
      <c r="M2788" s="60"/>
      <c r="N2788" s="60"/>
      <c r="O2788" s="60"/>
      <c r="P2788" s="60"/>
      <c r="Q2788" s="60"/>
      <c r="R2788" s="58"/>
      <c r="S2788" s="62" t="str">
        <f aca="false">IF(OR(B2788="",V2788=""),"",IFERROR(INDEX(C_TIPO,MATCH(V2788&amp;"-P"&amp;MAX(1,COUNTIFS(C_RUTN,V2788,C_DEF,"Sí",C_INI,"&lt;="&amp;EOMONTH(B2788,0))),C_CLAVE,0))&amp;"","Sin contrato"))</f>
        <v/>
      </c>
      <c r="T2788" s="63" t="str">
        <f aca="false">IF(OR(B2788="",N(O2788)=0),"",N(O2788)+ROUND(MIN(N(N2788),TOPE_UF*UF_MES)*(TASA_EMP+MUTUAL),0)+ROUND(MIN(N(N2788),TOPE_AFC_UF*UF_MES)*IF(S2788="Indefinido",AFC_INDEF,AFC_PF),0))</f>
        <v/>
      </c>
      <c r="U2788" s="62" t="str">
        <f aca="false">IF(C2788="","",IF(LEFT(D2788,1)="⚠","⚠ RUT no registrado en Trabajadores",IF(B2788="","⚠ Falta el mes",IF(OR(ISTEXT(I2788),ISTEXT(J2788)),"⚠ Atrasos u horas extra como texto: escriba hh:mm (ej. 1:30)",IF(AND(ISNUMBER(Q2788),COUNTIFS(M_RUTN,V2788,M_MES,B2788,M_LIQ,"&lt;&gt;")&gt;1),"⚠ Liquidación repetida en el mes",IF(AND(ISNUMBER(O2788),ISNUMBER(P2788),ISNUMBER(Q2788),ABS(O2788-P2788-Q2788)&gt;1),"⚠ Haberes − descuentos no da el líquido","OK"))))))</f>
        <v/>
      </c>
      <c r="V2788" s="62" t="str">
        <f aca="false">IF(C2788="","",IFERROR(VALUE(LEFT(UPPER(SUBSTITUTE(SUBSTITUTE(SUBSTITUTE(TRIM(C2788),".",""),"-","")," ","")),LEN(UPPER(SUBSTITUTE(SUBSTITUTE(SUBSTITUTE(TRIM(C2788),".",""),"-","")," ","")))-1))&amp;RIGHT(UPPER(SUBSTITUTE(SUBSTITUTE(SUBSTITUTE(TRIM(C2788),".",""),"-","")," ","")),1),UPPER(SUBSTITUTE(SUBSTITUTE(SUBSTITUTE(TRIM(C2788),".",""),"-","")," ",""))))</f>
        <v/>
      </c>
    </row>
    <row r="2789" customFormat="false" ht="15" hidden="false" customHeight="false" outlineLevel="0" collapsed="false">
      <c r="B2789" s="80"/>
      <c r="C2789" s="58"/>
      <c r="D2789" s="62" t="str">
        <f aca="false">IF(C2789="","",IFERROR(INDEX(T_NOMBRE,MATCH(V2789,T_RUTN,0)),"⚠ RUT no está en Trabajadores"))</f>
        <v/>
      </c>
      <c r="E2789" s="61"/>
      <c r="F2789" s="61"/>
      <c r="G2789" s="61"/>
      <c r="H2789" s="61"/>
      <c r="I2789" s="81"/>
      <c r="J2789" s="81"/>
      <c r="K2789" s="60"/>
      <c r="L2789" s="60"/>
      <c r="M2789" s="60"/>
      <c r="N2789" s="60"/>
      <c r="O2789" s="60"/>
      <c r="P2789" s="60"/>
      <c r="Q2789" s="60"/>
      <c r="R2789" s="58"/>
      <c r="S2789" s="62" t="str">
        <f aca="false">IF(OR(B2789="",V2789=""),"",IFERROR(INDEX(C_TIPO,MATCH(V2789&amp;"-P"&amp;MAX(1,COUNTIFS(C_RUTN,V2789,C_DEF,"Sí",C_INI,"&lt;="&amp;EOMONTH(B2789,0))),C_CLAVE,0))&amp;"","Sin contrato"))</f>
        <v/>
      </c>
      <c r="T2789" s="63" t="str">
        <f aca="false">IF(OR(B2789="",N(O2789)=0),"",N(O2789)+ROUND(MIN(N(N2789),TOPE_UF*UF_MES)*(TASA_EMP+MUTUAL),0)+ROUND(MIN(N(N2789),TOPE_AFC_UF*UF_MES)*IF(S2789="Indefinido",AFC_INDEF,AFC_PF),0))</f>
        <v/>
      </c>
      <c r="U2789" s="62" t="str">
        <f aca="false">IF(C2789="","",IF(LEFT(D2789,1)="⚠","⚠ RUT no registrado en Trabajadores",IF(B2789="","⚠ Falta el mes",IF(OR(ISTEXT(I2789),ISTEXT(J2789)),"⚠ Atrasos u horas extra como texto: escriba hh:mm (ej. 1:30)",IF(AND(ISNUMBER(Q2789),COUNTIFS(M_RUTN,V2789,M_MES,B2789,M_LIQ,"&lt;&gt;")&gt;1),"⚠ Liquidación repetida en el mes",IF(AND(ISNUMBER(O2789),ISNUMBER(P2789),ISNUMBER(Q2789),ABS(O2789-P2789-Q2789)&gt;1),"⚠ Haberes − descuentos no da el líquido","OK"))))))</f>
        <v/>
      </c>
      <c r="V2789" s="62" t="str">
        <f aca="false">IF(C2789="","",IFERROR(VALUE(LEFT(UPPER(SUBSTITUTE(SUBSTITUTE(SUBSTITUTE(TRIM(C2789),".",""),"-","")," ","")),LEN(UPPER(SUBSTITUTE(SUBSTITUTE(SUBSTITUTE(TRIM(C2789),".",""),"-","")," ","")))-1))&amp;RIGHT(UPPER(SUBSTITUTE(SUBSTITUTE(SUBSTITUTE(TRIM(C2789),".",""),"-","")," ","")),1),UPPER(SUBSTITUTE(SUBSTITUTE(SUBSTITUTE(TRIM(C2789),".",""),"-","")," ",""))))</f>
        <v/>
      </c>
    </row>
    <row r="2790" customFormat="false" ht="15" hidden="false" customHeight="false" outlineLevel="0" collapsed="false">
      <c r="B2790" s="80"/>
      <c r="C2790" s="58"/>
      <c r="D2790" s="62" t="str">
        <f aca="false">IF(C2790="","",IFERROR(INDEX(T_NOMBRE,MATCH(V2790,T_RUTN,0)),"⚠ RUT no está en Trabajadores"))</f>
        <v/>
      </c>
      <c r="E2790" s="61"/>
      <c r="F2790" s="61"/>
      <c r="G2790" s="61"/>
      <c r="H2790" s="61"/>
      <c r="I2790" s="81"/>
      <c r="J2790" s="81"/>
      <c r="K2790" s="60"/>
      <c r="L2790" s="60"/>
      <c r="M2790" s="60"/>
      <c r="N2790" s="60"/>
      <c r="O2790" s="60"/>
      <c r="P2790" s="60"/>
      <c r="Q2790" s="60"/>
      <c r="R2790" s="58"/>
      <c r="S2790" s="62" t="str">
        <f aca="false">IF(OR(B2790="",V2790=""),"",IFERROR(INDEX(C_TIPO,MATCH(V2790&amp;"-P"&amp;MAX(1,COUNTIFS(C_RUTN,V2790,C_DEF,"Sí",C_INI,"&lt;="&amp;EOMONTH(B2790,0))),C_CLAVE,0))&amp;"","Sin contrato"))</f>
        <v/>
      </c>
      <c r="T2790" s="63" t="str">
        <f aca="false">IF(OR(B2790="",N(O2790)=0),"",N(O2790)+ROUND(MIN(N(N2790),TOPE_UF*UF_MES)*(TASA_EMP+MUTUAL),0)+ROUND(MIN(N(N2790),TOPE_AFC_UF*UF_MES)*IF(S2790="Indefinido",AFC_INDEF,AFC_PF),0))</f>
        <v/>
      </c>
      <c r="U2790" s="62" t="str">
        <f aca="false">IF(C2790="","",IF(LEFT(D2790,1)="⚠","⚠ RUT no registrado en Trabajadores",IF(B2790="","⚠ Falta el mes",IF(OR(ISTEXT(I2790),ISTEXT(J2790)),"⚠ Atrasos u horas extra como texto: escriba hh:mm (ej. 1:30)",IF(AND(ISNUMBER(Q2790),COUNTIFS(M_RUTN,V2790,M_MES,B2790,M_LIQ,"&lt;&gt;")&gt;1),"⚠ Liquidación repetida en el mes",IF(AND(ISNUMBER(O2790),ISNUMBER(P2790),ISNUMBER(Q2790),ABS(O2790-P2790-Q2790)&gt;1),"⚠ Haberes − descuentos no da el líquido","OK"))))))</f>
        <v/>
      </c>
      <c r="V2790" s="62" t="str">
        <f aca="false">IF(C2790="","",IFERROR(VALUE(LEFT(UPPER(SUBSTITUTE(SUBSTITUTE(SUBSTITUTE(TRIM(C2790),".",""),"-","")," ","")),LEN(UPPER(SUBSTITUTE(SUBSTITUTE(SUBSTITUTE(TRIM(C2790),".",""),"-","")," ","")))-1))&amp;RIGHT(UPPER(SUBSTITUTE(SUBSTITUTE(SUBSTITUTE(TRIM(C2790),".",""),"-","")," ","")),1),UPPER(SUBSTITUTE(SUBSTITUTE(SUBSTITUTE(TRIM(C2790),".",""),"-","")," ",""))))</f>
        <v/>
      </c>
    </row>
    <row r="2791" customFormat="false" ht="15" hidden="false" customHeight="false" outlineLevel="0" collapsed="false">
      <c r="B2791" s="80"/>
      <c r="C2791" s="58"/>
      <c r="D2791" s="62" t="str">
        <f aca="false">IF(C2791="","",IFERROR(INDEX(T_NOMBRE,MATCH(V2791,T_RUTN,0)),"⚠ RUT no está en Trabajadores"))</f>
        <v/>
      </c>
      <c r="E2791" s="61"/>
      <c r="F2791" s="61"/>
      <c r="G2791" s="61"/>
      <c r="H2791" s="61"/>
      <c r="I2791" s="81"/>
      <c r="J2791" s="81"/>
      <c r="K2791" s="60"/>
      <c r="L2791" s="60"/>
      <c r="M2791" s="60"/>
      <c r="N2791" s="60"/>
      <c r="O2791" s="60"/>
      <c r="P2791" s="60"/>
      <c r="Q2791" s="60"/>
      <c r="R2791" s="58"/>
      <c r="S2791" s="62" t="str">
        <f aca="false">IF(OR(B2791="",V2791=""),"",IFERROR(INDEX(C_TIPO,MATCH(V2791&amp;"-P"&amp;MAX(1,COUNTIFS(C_RUTN,V2791,C_DEF,"Sí",C_INI,"&lt;="&amp;EOMONTH(B2791,0))),C_CLAVE,0))&amp;"","Sin contrato"))</f>
        <v/>
      </c>
      <c r="T2791" s="63" t="str">
        <f aca="false">IF(OR(B2791="",N(O2791)=0),"",N(O2791)+ROUND(MIN(N(N2791),TOPE_UF*UF_MES)*(TASA_EMP+MUTUAL),0)+ROUND(MIN(N(N2791),TOPE_AFC_UF*UF_MES)*IF(S2791="Indefinido",AFC_INDEF,AFC_PF),0))</f>
        <v/>
      </c>
      <c r="U2791" s="62" t="str">
        <f aca="false">IF(C2791="","",IF(LEFT(D2791,1)="⚠","⚠ RUT no registrado en Trabajadores",IF(B2791="","⚠ Falta el mes",IF(OR(ISTEXT(I2791),ISTEXT(J2791)),"⚠ Atrasos u horas extra como texto: escriba hh:mm (ej. 1:30)",IF(AND(ISNUMBER(Q2791),COUNTIFS(M_RUTN,V2791,M_MES,B2791,M_LIQ,"&lt;&gt;")&gt;1),"⚠ Liquidación repetida en el mes",IF(AND(ISNUMBER(O2791),ISNUMBER(P2791),ISNUMBER(Q2791),ABS(O2791-P2791-Q2791)&gt;1),"⚠ Haberes − descuentos no da el líquido","OK"))))))</f>
        <v/>
      </c>
      <c r="V2791" s="62" t="str">
        <f aca="false">IF(C2791="","",IFERROR(VALUE(LEFT(UPPER(SUBSTITUTE(SUBSTITUTE(SUBSTITUTE(TRIM(C2791),".",""),"-","")," ","")),LEN(UPPER(SUBSTITUTE(SUBSTITUTE(SUBSTITUTE(TRIM(C2791),".",""),"-","")," ","")))-1))&amp;RIGHT(UPPER(SUBSTITUTE(SUBSTITUTE(SUBSTITUTE(TRIM(C2791),".",""),"-","")," ","")),1),UPPER(SUBSTITUTE(SUBSTITUTE(SUBSTITUTE(TRIM(C2791),".",""),"-","")," ",""))))</f>
        <v/>
      </c>
    </row>
    <row r="2792" customFormat="false" ht="15" hidden="false" customHeight="false" outlineLevel="0" collapsed="false">
      <c r="B2792" s="80"/>
      <c r="C2792" s="58"/>
      <c r="D2792" s="62" t="str">
        <f aca="false">IF(C2792="","",IFERROR(INDEX(T_NOMBRE,MATCH(V2792,T_RUTN,0)),"⚠ RUT no está en Trabajadores"))</f>
        <v/>
      </c>
      <c r="E2792" s="61"/>
      <c r="F2792" s="61"/>
      <c r="G2792" s="61"/>
      <c r="H2792" s="61"/>
      <c r="I2792" s="81"/>
      <c r="J2792" s="81"/>
      <c r="K2792" s="60"/>
      <c r="L2792" s="60"/>
      <c r="M2792" s="60"/>
      <c r="N2792" s="60"/>
      <c r="O2792" s="60"/>
      <c r="P2792" s="60"/>
      <c r="Q2792" s="60"/>
      <c r="R2792" s="58"/>
      <c r="S2792" s="62" t="str">
        <f aca="false">IF(OR(B2792="",V2792=""),"",IFERROR(INDEX(C_TIPO,MATCH(V2792&amp;"-P"&amp;MAX(1,COUNTIFS(C_RUTN,V2792,C_DEF,"Sí",C_INI,"&lt;="&amp;EOMONTH(B2792,0))),C_CLAVE,0))&amp;"","Sin contrato"))</f>
        <v/>
      </c>
      <c r="T2792" s="63" t="str">
        <f aca="false">IF(OR(B2792="",N(O2792)=0),"",N(O2792)+ROUND(MIN(N(N2792),TOPE_UF*UF_MES)*(TASA_EMP+MUTUAL),0)+ROUND(MIN(N(N2792),TOPE_AFC_UF*UF_MES)*IF(S2792="Indefinido",AFC_INDEF,AFC_PF),0))</f>
        <v/>
      </c>
      <c r="U2792" s="62" t="str">
        <f aca="false">IF(C2792="","",IF(LEFT(D2792,1)="⚠","⚠ RUT no registrado en Trabajadores",IF(B2792="","⚠ Falta el mes",IF(OR(ISTEXT(I2792),ISTEXT(J2792)),"⚠ Atrasos u horas extra como texto: escriba hh:mm (ej. 1:30)",IF(AND(ISNUMBER(Q2792),COUNTIFS(M_RUTN,V2792,M_MES,B2792,M_LIQ,"&lt;&gt;")&gt;1),"⚠ Liquidación repetida en el mes",IF(AND(ISNUMBER(O2792),ISNUMBER(P2792),ISNUMBER(Q2792),ABS(O2792-P2792-Q2792)&gt;1),"⚠ Haberes − descuentos no da el líquido","OK"))))))</f>
        <v/>
      </c>
      <c r="V2792" s="62" t="str">
        <f aca="false">IF(C2792="","",IFERROR(VALUE(LEFT(UPPER(SUBSTITUTE(SUBSTITUTE(SUBSTITUTE(TRIM(C2792),".",""),"-","")," ","")),LEN(UPPER(SUBSTITUTE(SUBSTITUTE(SUBSTITUTE(TRIM(C2792),".",""),"-","")," ","")))-1))&amp;RIGHT(UPPER(SUBSTITUTE(SUBSTITUTE(SUBSTITUTE(TRIM(C2792),".",""),"-","")," ","")),1),UPPER(SUBSTITUTE(SUBSTITUTE(SUBSTITUTE(TRIM(C2792),".",""),"-","")," ",""))))</f>
        <v/>
      </c>
    </row>
    <row r="2793" customFormat="false" ht="15" hidden="false" customHeight="false" outlineLevel="0" collapsed="false">
      <c r="B2793" s="80"/>
      <c r="C2793" s="58"/>
      <c r="D2793" s="62" t="str">
        <f aca="false">IF(C2793="","",IFERROR(INDEX(T_NOMBRE,MATCH(V2793,T_RUTN,0)),"⚠ RUT no está en Trabajadores"))</f>
        <v/>
      </c>
      <c r="E2793" s="61"/>
      <c r="F2793" s="61"/>
      <c r="G2793" s="61"/>
      <c r="H2793" s="61"/>
      <c r="I2793" s="81"/>
      <c r="J2793" s="81"/>
      <c r="K2793" s="60"/>
      <c r="L2793" s="60"/>
      <c r="M2793" s="60"/>
      <c r="N2793" s="60"/>
      <c r="O2793" s="60"/>
      <c r="P2793" s="60"/>
      <c r="Q2793" s="60"/>
      <c r="R2793" s="58"/>
      <c r="S2793" s="62" t="str">
        <f aca="false">IF(OR(B2793="",V2793=""),"",IFERROR(INDEX(C_TIPO,MATCH(V2793&amp;"-P"&amp;MAX(1,COUNTIFS(C_RUTN,V2793,C_DEF,"Sí",C_INI,"&lt;="&amp;EOMONTH(B2793,0))),C_CLAVE,0))&amp;"","Sin contrato"))</f>
        <v/>
      </c>
      <c r="T2793" s="63" t="str">
        <f aca="false">IF(OR(B2793="",N(O2793)=0),"",N(O2793)+ROUND(MIN(N(N2793),TOPE_UF*UF_MES)*(TASA_EMP+MUTUAL),0)+ROUND(MIN(N(N2793),TOPE_AFC_UF*UF_MES)*IF(S2793="Indefinido",AFC_INDEF,AFC_PF),0))</f>
        <v/>
      </c>
      <c r="U2793" s="62" t="str">
        <f aca="false">IF(C2793="","",IF(LEFT(D2793,1)="⚠","⚠ RUT no registrado en Trabajadores",IF(B2793="","⚠ Falta el mes",IF(OR(ISTEXT(I2793),ISTEXT(J2793)),"⚠ Atrasos u horas extra como texto: escriba hh:mm (ej. 1:30)",IF(AND(ISNUMBER(Q2793),COUNTIFS(M_RUTN,V2793,M_MES,B2793,M_LIQ,"&lt;&gt;")&gt;1),"⚠ Liquidación repetida en el mes",IF(AND(ISNUMBER(O2793),ISNUMBER(P2793),ISNUMBER(Q2793),ABS(O2793-P2793-Q2793)&gt;1),"⚠ Haberes − descuentos no da el líquido","OK"))))))</f>
        <v/>
      </c>
      <c r="V2793" s="62" t="str">
        <f aca="false">IF(C2793="","",IFERROR(VALUE(LEFT(UPPER(SUBSTITUTE(SUBSTITUTE(SUBSTITUTE(TRIM(C2793),".",""),"-","")," ","")),LEN(UPPER(SUBSTITUTE(SUBSTITUTE(SUBSTITUTE(TRIM(C2793),".",""),"-","")," ","")))-1))&amp;RIGHT(UPPER(SUBSTITUTE(SUBSTITUTE(SUBSTITUTE(TRIM(C2793),".",""),"-","")," ","")),1),UPPER(SUBSTITUTE(SUBSTITUTE(SUBSTITUTE(TRIM(C2793),".",""),"-","")," ",""))))</f>
        <v/>
      </c>
    </row>
    <row r="2794" customFormat="false" ht="15" hidden="false" customHeight="false" outlineLevel="0" collapsed="false">
      <c r="B2794" s="80"/>
      <c r="C2794" s="58"/>
      <c r="D2794" s="62" t="str">
        <f aca="false">IF(C2794="","",IFERROR(INDEX(T_NOMBRE,MATCH(V2794,T_RUTN,0)),"⚠ RUT no está en Trabajadores"))</f>
        <v/>
      </c>
      <c r="E2794" s="61"/>
      <c r="F2794" s="61"/>
      <c r="G2794" s="61"/>
      <c r="H2794" s="61"/>
      <c r="I2794" s="81"/>
      <c r="J2794" s="81"/>
      <c r="K2794" s="60"/>
      <c r="L2794" s="60"/>
      <c r="M2794" s="60"/>
      <c r="N2794" s="60"/>
      <c r="O2794" s="60"/>
      <c r="P2794" s="60"/>
      <c r="Q2794" s="60"/>
      <c r="R2794" s="58"/>
      <c r="S2794" s="62" t="str">
        <f aca="false">IF(OR(B2794="",V2794=""),"",IFERROR(INDEX(C_TIPO,MATCH(V2794&amp;"-P"&amp;MAX(1,COUNTIFS(C_RUTN,V2794,C_DEF,"Sí",C_INI,"&lt;="&amp;EOMONTH(B2794,0))),C_CLAVE,0))&amp;"","Sin contrato"))</f>
        <v/>
      </c>
      <c r="T2794" s="63" t="str">
        <f aca="false">IF(OR(B2794="",N(O2794)=0),"",N(O2794)+ROUND(MIN(N(N2794),TOPE_UF*UF_MES)*(TASA_EMP+MUTUAL),0)+ROUND(MIN(N(N2794),TOPE_AFC_UF*UF_MES)*IF(S2794="Indefinido",AFC_INDEF,AFC_PF),0))</f>
        <v/>
      </c>
      <c r="U2794" s="62" t="str">
        <f aca="false">IF(C2794="","",IF(LEFT(D2794,1)="⚠","⚠ RUT no registrado en Trabajadores",IF(B2794="","⚠ Falta el mes",IF(OR(ISTEXT(I2794),ISTEXT(J2794)),"⚠ Atrasos u horas extra como texto: escriba hh:mm (ej. 1:30)",IF(AND(ISNUMBER(Q2794),COUNTIFS(M_RUTN,V2794,M_MES,B2794,M_LIQ,"&lt;&gt;")&gt;1),"⚠ Liquidación repetida en el mes",IF(AND(ISNUMBER(O2794),ISNUMBER(P2794),ISNUMBER(Q2794),ABS(O2794-P2794-Q2794)&gt;1),"⚠ Haberes − descuentos no da el líquido","OK"))))))</f>
        <v/>
      </c>
      <c r="V2794" s="62" t="str">
        <f aca="false">IF(C2794="","",IFERROR(VALUE(LEFT(UPPER(SUBSTITUTE(SUBSTITUTE(SUBSTITUTE(TRIM(C2794),".",""),"-","")," ","")),LEN(UPPER(SUBSTITUTE(SUBSTITUTE(SUBSTITUTE(TRIM(C2794),".",""),"-","")," ","")))-1))&amp;RIGHT(UPPER(SUBSTITUTE(SUBSTITUTE(SUBSTITUTE(TRIM(C2794),".",""),"-","")," ","")),1),UPPER(SUBSTITUTE(SUBSTITUTE(SUBSTITUTE(TRIM(C2794),".",""),"-","")," ",""))))</f>
        <v/>
      </c>
    </row>
    <row r="2795" customFormat="false" ht="15" hidden="false" customHeight="false" outlineLevel="0" collapsed="false">
      <c r="B2795" s="80"/>
      <c r="C2795" s="58"/>
      <c r="D2795" s="62" t="str">
        <f aca="false">IF(C2795="","",IFERROR(INDEX(T_NOMBRE,MATCH(V2795,T_RUTN,0)),"⚠ RUT no está en Trabajadores"))</f>
        <v/>
      </c>
      <c r="E2795" s="61"/>
      <c r="F2795" s="61"/>
      <c r="G2795" s="61"/>
      <c r="H2795" s="61"/>
      <c r="I2795" s="81"/>
      <c r="J2795" s="81"/>
      <c r="K2795" s="60"/>
      <c r="L2795" s="60"/>
      <c r="M2795" s="60"/>
      <c r="N2795" s="60"/>
      <c r="O2795" s="60"/>
      <c r="P2795" s="60"/>
      <c r="Q2795" s="60"/>
      <c r="R2795" s="58"/>
      <c r="S2795" s="62" t="str">
        <f aca="false">IF(OR(B2795="",V2795=""),"",IFERROR(INDEX(C_TIPO,MATCH(V2795&amp;"-P"&amp;MAX(1,COUNTIFS(C_RUTN,V2795,C_DEF,"Sí",C_INI,"&lt;="&amp;EOMONTH(B2795,0))),C_CLAVE,0))&amp;"","Sin contrato"))</f>
        <v/>
      </c>
      <c r="T2795" s="63" t="str">
        <f aca="false">IF(OR(B2795="",N(O2795)=0),"",N(O2795)+ROUND(MIN(N(N2795),TOPE_UF*UF_MES)*(TASA_EMP+MUTUAL),0)+ROUND(MIN(N(N2795),TOPE_AFC_UF*UF_MES)*IF(S2795="Indefinido",AFC_INDEF,AFC_PF),0))</f>
        <v/>
      </c>
      <c r="U2795" s="62" t="str">
        <f aca="false">IF(C2795="","",IF(LEFT(D2795,1)="⚠","⚠ RUT no registrado en Trabajadores",IF(B2795="","⚠ Falta el mes",IF(OR(ISTEXT(I2795),ISTEXT(J2795)),"⚠ Atrasos u horas extra como texto: escriba hh:mm (ej. 1:30)",IF(AND(ISNUMBER(Q2795),COUNTIFS(M_RUTN,V2795,M_MES,B2795,M_LIQ,"&lt;&gt;")&gt;1),"⚠ Liquidación repetida en el mes",IF(AND(ISNUMBER(O2795),ISNUMBER(P2795),ISNUMBER(Q2795),ABS(O2795-P2795-Q2795)&gt;1),"⚠ Haberes − descuentos no da el líquido","OK"))))))</f>
        <v/>
      </c>
      <c r="V2795" s="62" t="str">
        <f aca="false">IF(C2795="","",IFERROR(VALUE(LEFT(UPPER(SUBSTITUTE(SUBSTITUTE(SUBSTITUTE(TRIM(C2795),".",""),"-","")," ","")),LEN(UPPER(SUBSTITUTE(SUBSTITUTE(SUBSTITUTE(TRIM(C2795),".",""),"-","")," ","")))-1))&amp;RIGHT(UPPER(SUBSTITUTE(SUBSTITUTE(SUBSTITUTE(TRIM(C2795),".",""),"-","")," ","")),1),UPPER(SUBSTITUTE(SUBSTITUTE(SUBSTITUTE(TRIM(C2795),".",""),"-","")," ",""))))</f>
        <v/>
      </c>
    </row>
    <row r="2796" customFormat="false" ht="15" hidden="false" customHeight="false" outlineLevel="0" collapsed="false">
      <c r="B2796" s="80"/>
      <c r="C2796" s="58"/>
      <c r="D2796" s="62" t="str">
        <f aca="false">IF(C2796="","",IFERROR(INDEX(T_NOMBRE,MATCH(V2796,T_RUTN,0)),"⚠ RUT no está en Trabajadores"))</f>
        <v/>
      </c>
      <c r="E2796" s="61"/>
      <c r="F2796" s="61"/>
      <c r="G2796" s="61"/>
      <c r="H2796" s="61"/>
      <c r="I2796" s="81"/>
      <c r="J2796" s="81"/>
      <c r="K2796" s="60"/>
      <c r="L2796" s="60"/>
      <c r="M2796" s="60"/>
      <c r="N2796" s="60"/>
      <c r="O2796" s="60"/>
      <c r="P2796" s="60"/>
      <c r="Q2796" s="60"/>
      <c r="R2796" s="58"/>
      <c r="S2796" s="62" t="str">
        <f aca="false">IF(OR(B2796="",V2796=""),"",IFERROR(INDEX(C_TIPO,MATCH(V2796&amp;"-P"&amp;MAX(1,COUNTIFS(C_RUTN,V2796,C_DEF,"Sí",C_INI,"&lt;="&amp;EOMONTH(B2796,0))),C_CLAVE,0))&amp;"","Sin contrato"))</f>
        <v/>
      </c>
      <c r="T2796" s="63" t="str">
        <f aca="false">IF(OR(B2796="",N(O2796)=0),"",N(O2796)+ROUND(MIN(N(N2796),TOPE_UF*UF_MES)*(TASA_EMP+MUTUAL),0)+ROUND(MIN(N(N2796),TOPE_AFC_UF*UF_MES)*IF(S2796="Indefinido",AFC_INDEF,AFC_PF),0))</f>
        <v/>
      </c>
      <c r="U2796" s="62" t="str">
        <f aca="false">IF(C2796="","",IF(LEFT(D2796,1)="⚠","⚠ RUT no registrado en Trabajadores",IF(B2796="","⚠ Falta el mes",IF(OR(ISTEXT(I2796),ISTEXT(J2796)),"⚠ Atrasos u horas extra como texto: escriba hh:mm (ej. 1:30)",IF(AND(ISNUMBER(Q2796),COUNTIFS(M_RUTN,V2796,M_MES,B2796,M_LIQ,"&lt;&gt;")&gt;1),"⚠ Liquidación repetida en el mes",IF(AND(ISNUMBER(O2796),ISNUMBER(P2796),ISNUMBER(Q2796),ABS(O2796-P2796-Q2796)&gt;1),"⚠ Haberes − descuentos no da el líquido","OK"))))))</f>
        <v/>
      </c>
      <c r="V2796" s="62" t="str">
        <f aca="false">IF(C2796="","",IFERROR(VALUE(LEFT(UPPER(SUBSTITUTE(SUBSTITUTE(SUBSTITUTE(TRIM(C2796),".",""),"-","")," ","")),LEN(UPPER(SUBSTITUTE(SUBSTITUTE(SUBSTITUTE(TRIM(C2796),".",""),"-","")," ","")))-1))&amp;RIGHT(UPPER(SUBSTITUTE(SUBSTITUTE(SUBSTITUTE(TRIM(C2796),".",""),"-","")," ","")),1),UPPER(SUBSTITUTE(SUBSTITUTE(SUBSTITUTE(TRIM(C2796),".",""),"-","")," ",""))))</f>
        <v/>
      </c>
    </row>
    <row r="2797" customFormat="false" ht="15" hidden="false" customHeight="false" outlineLevel="0" collapsed="false">
      <c r="B2797" s="80"/>
      <c r="C2797" s="58"/>
      <c r="D2797" s="62" t="str">
        <f aca="false">IF(C2797="","",IFERROR(INDEX(T_NOMBRE,MATCH(V2797,T_RUTN,0)),"⚠ RUT no está en Trabajadores"))</f>
        <v/>
      </c>
      <c r="E2797" s="61"/>
      <c r="F2797" s="61"/>
      <c r="G2797" s="61"/>
      <c r="H2797" s="61"/>
      <c r="I2797" s="81"/>
      <c r="J2797" s="81"/>
      <c r="K2797" s="60"/>
      <c r="L2797" s="60"/>
      <c r="M2797" s="60"/>
      <c r="N2797" s="60"/>
      <c r="O2797" s="60"/>
      <c r="P2797" s="60"/>
      <c r="Q2797" s="60"/>
      <c r="R2797" s="58"/>
      <c r="S2797" s="62" t="str">
        <f aca="false">IF(OR(B2797="",V2797=""),"",IFERROR(INDEX(C_TIPO,MATCH(V2797&amp;"-P"&amp;MAX(1,COUNTIFS(C_RUTN,V2797,C_DEF,"Sí",C_INI,"&lt;="&amp;EOMONTH(B2797,0))),C_CLAVE,0))&amp;"","Sin contrato"))</f>
        <v/>
      </c>
      <c r="T2797" s="63" t="str">
        <f aca="false">IF(OR(B2797="",N(O2797)=0),"",N(O2797)+ROUND(MIN(N(N2797),TOPE_UF*UF_MES)*(TASA_EMP+MUTUAL),0)+ROUND(MIN(N(N2797),TOPE_AFC_UF*UF_MES)*IF(S2797="Indefinido",AFC_INDEF,AFC_PF),0))</f>
        <v/>
      </c>
      <c r="U2797" s="62" t="str">
        <f aca="false">IF(C2797="","",IF(LEFT(D2797,1)="⚠","⚠ RUT no registrado en Trabajadores",IF(B2797="","⚠ Falta el mes",IF(OR(ISTEXT(I2797),ISTEXT(J2797)),"⚠ Atrasos u horas extra como texto: escriba hh:mm (ej. 1:30)",IF(AND(ISNUMBER(Q2797),COUNTIFS(M_RUTN,V2797,M_MES,B2797,M_LIQ,"&lt;&gt;")&gt;1),"⚠ Liquidación repetida en el mes",IF(AND(ISNUMBER(O2797),ISNUMBER(P2797),ISNUMBER(Q2797),ABS(O2797-P2797-Q2797)&gt;1),"⚠ Haberes − descuentos no da el líquido","OK"))))))</f>
        <v/>
      </c>
      <c r="V2797" s="62" t="str">
        <f aca="false">IF(C2797="","",IFERROR(VALUE(LEFT(UPPER(SUBSTITUTE(SUBSTITUTE(SUBSTITUTE(TRIM(C2797),".",""),"-","")," ","")),LEN(UPPER(SUBSTITUTE(SUBSTITUTE(SUBSTITUTE(TRIM(C2797),".",""),"-","")," ","")))-1))&amp;RIGHT(UPPER(SUBSTITUTE(SUBSTITUTE(SUBSTITUTE(TRIM(C2797),".",""),"-","")," ","")),1),UPPER(SUBSTITUTE(SUBSTITUTE(SUBSTITUTE(TRIM(C2797),".",""),"-","")," ",""))))</f>
        <v/>
      </c>
    </row>
    <row r="2798" customFormat="false" ht="15" hidden="false" customHeight="false" outlineLevel="0" collapsed="false">
      <c r="B2798" s="80"/>
      <c r="C2798" s="58"/>
      <c r="D2798" s="62" t="str">
        <f aca="false">IF(C2798="","",IFERROR(INDEX(T_NOMBRE,MATCH(V2798,T_RUTN,0)),"⚠ RUT no está en Trabajadores"))</f>
        <v/>
      </c>
      <c r="E2798" s="61"/>
      <c r="F2798" s="61"/>
      <c r="G2798" s="61"/>
      <c r="H2798" s="61"/>
      <c r="I2798" s="81"/>
      <c r="J2798" s="81"/>
      <c r="K2798" s="60"/>
      <c r="L2798" s="60"/>
      <c r="M2798" s="60"/>
      <c r="N2798" s="60"/>
      <c r="O2798" s="60"/>
      <c r="P2798" s="60"/>
      <c r="Q2798" s="60"/>
      <c r="R2798" s="58"/>
      <c r="S2798" s="62" t="str">
        <f aca="false">IF(OR(B2798="",V2798=""),"",IFERROR(INDEX(C_TIPO,MATCH(V2798&amp;"-P"&amp;MAX(1,COUNTIFS(C_RUTN,V2798,C_DEF,"Sí",C_INI,"&lt;="&amp;EOMONTH(B2798,0))),C_CLAVE,0))&amp;"","Sin contrato"))</f>
        <v/>
      </c>
      <c r="T2798" s="63" t="str">
        <f aca="false">IF(OR(B2798="",N(O2798)=0),"",N(O2798)+ROUND(MIN(N(N2798),TOPE_UF*UF_MES)*(TASA_EMP+MUTUAL),0)+ROUND(MIN(N(N2798),TOPE_AFC_UF*UF_MES)*IF(S2798="Indefinido",AFC_INDEF,AFC_PF),0))</f>
        <v/>
      </c>
      <c r="U2798" s="62" t="str">
        <f aca="false">IF(C2798="","",IF(LEFT(D2798,1)="⚠","⚠ RUT no registrado en Trabajadores",IF(B2798="","⚠ Falta el mes",IF(OR(ISTEXT(I2798),ISTEXT(J2798)),"⚠ Atrasos u horas extra como texto: escriba hh:mm (ej. 1:30)",IF(AND(ISNUMBER(Q2798),COUNTIFS(M_RUTN,V2798,M_MES,B2798,M_LIQ,"&lt;&gt;")&gt;1),"⚠ Liquidación repetida en el mes",IF(AND(ISNUMBER(O2798),ISNUMBER(P2798),ISNUMBER(Q2798),ABS(O2798-P2798-Q2798)&gt;1),"⚠ Haberes − descuentos no da el líquido","OK"))))))</f>
        <v/>
      </c>
      <c r="V2798" s="62" t="str">
        <f aca="false">IF(C2798="","",IFERROR(VALUE(LEFT(UPPER(SUBSTITUTE(SUBSTITUTE(SUBSTITUTE(TRIM(C2798),".",""),"-","")," ","")),LEN(UPPER(SUBSTITUTE(SUBSTITUTE(SUBSTITUTE(TRIM(C2798),".",""),"-","")," ","")))-1))&amp;RIGHT(UPPER(SUBSTITUTE(SUBSTITUTE(SUBSTITUTE(TRIM(C2798),".",""),"-","")," ","")),1),UPPER(SUBSTITUTE(SUBSTITUTE(SUBSTITUTE(TRIM(C2798),".",""),"-","")," ",""))))</f>
        <v/>
      </c>
    </row>
    <row r="2799" customFormat="false" ht="15" hidden="false" customHeight="false" outlineLevel="0" collapsed="false">
      <c r="B2799" s="80"/>
      <c r="C2799" s="58"/>
      <c r="D2799" s="62" t="str">
        <f aca="false">IF(C2799="","",IFERROR(INDEX(T_NOMBRE,MATCH(V2799,T_RUTN,0)),"⚠ RUT no está en Trabajadores"))</f>
        <v/>
      </c>
      <c r="E2799" s="61"/>
      <c r="F2799" s="61"/>
      <c r="G2799" s="61"/>
      <c r="H2799" s="61"/>
      <c r="I2799" s="81"/>
      <c r="J2799" s="81"/>
      <c r="K2799" s="60"/>
      <c r="L2799" s="60"/>
      <c r="M2799" s="60"/>
      <c r="N2799" s="60"/>
      <c r="O2799" s="60"/>
      <c r="P2799" s="60"/>
      <c r="Q2799" s="60"/>
      <c r="R2799" s="58"/>
      <c r="S2799" s="62" t="str">
        <f aca="false">IF(OR(B2799="",V2799=""),"",IFERROR(INDEX(C_TIPO,MATCH(V2799&amp;"-P"&amp;MAX(1,COUNTIFS(C_RUTN,V2799,C_DEF,"Sí",C_INI,"&lt;="&amp;EOMONTH(B2799,0))),C_CLAVE,0))&amp;"","Sin contrato"))</f>
        <v/>
      </c>
      <c r="T2799" s="63" t="str">
        <f aca="false">IF(OR(B2799="",N(O2799)=0),"",N(O2799)+ROUND(MIN(N(N2799),TOPE_UF*UF_MES)*(TASA_EMP+MUTUAL),0)+ROUND(MIN(N(N2799),TOPE_AFC_UF*UF_MES)*IF(S2799="Indefinido",AFC_INDEF,AFC_PF),0))</f>
        <v/>
      </c>
      <c r="U2799" s="62" t="str">
        <f aca="false">IF(C2799="","",IF(LEFT(D2799,1)="⚠","⚠ RUT no registrado en Trabajadores",IF(B2799="","⚠ Falta el mes",IF(OR(ISTEXT(I2799),ISTEXT(J2799)),"⚠ Atrasos u horas extra como texto: escriba hh:mm (ej. 1:30)",IF(AND(ISNUMBER(Q2799),COUNTIFS(M_RUTN,V2799,M_MES,B2799,M_LIQ,"&lt;&gt;")&gt;1),"⚠ Liquidación repetida en el mes",IF(AND(ISNUMBER(O2799),ISNUMBER(P2799),ISNUMBER(Q2799),ABS(O2799-P2799-Q2799)&gt;1),"⚠ Haberes − descuentos no da el líquido","OK"))))))</f>
        <v/>
      </c>
      <c r="V2799" s="62" t="str">
        <f aca="false">IF(C2799="","",IFERROR(VALUE(LEFT(UPPER(SUBSTITUTE(SUBSTITUTE(SUBSTITUTE(TRIM(C2799),".",""),"-","")," ","")),LEN(UPPER(SUBSTITUTE(SUBSTITUTE(SUBSTITUTE(TRIM(C2799),".",""),"-","")," ","")))-1))&amp;RIGHT(UPPER(SUBSTITUTE(SUBSTITUTE(SUBSTITUTE(TRIM(C2799),".",""),"-","")," ","")),1),UPPER(SUBSTITUTE(SUBSTITUTE(SUBSTITUTE(TRIM(C2799),".",""),"-","")," ",""))))</f>
        <v/>
      </c>
    </row>
    <row r="2800" customFormat="false" ht="15" hidden="false" customHeight="false" outlineLevel="0" collapsed="false">
      <c r="B2800" s="80"/>
      <c r="C2800" s="58"/>
      <c r="D2800" s="62" t="str">
        <f aca="false">IF(C2800="","",IFERROR(INDEX(T_NOMBRE,MATCH(V2800,T_RUTN,0)),"⚠ RUT no está en Trabajadores"))</f>
        <v/>
      </c>
      <c r="E2800" s="61"/>
      <c r="F2800" s="61"/>
      <c r="G2800" s="61"/>
      <c r="H2800" s="61"/>
      <c r="I2800" s="81"/>
      <c r="J2800" s="81"/>
      <c r="K2800" s="60"/>
      <c r="L2800" s="60"/>
      <c r="M2800" s="60"/>
      <c r="N2800" s="60"/>
      <c r="O2800" s="60"/>
      <c r="P2800" s="60"/>
      <c r="Q2800" s="60"/>
      <c r="R2800" s="58"/>
      <c r="S2800" s="62" t="str">
        <f aca="false">IF(OR(B2800="",V2800=""),"",IFERROR(INDEX(C_TIPO,MATCH(V2800&amp;"-P"&amp;MAX(1,COUNTIFS(C_RUTN,V2800,C_DEF,"Sí",C_INI,"&lt;="&amp;EOMONTH(B2800,0))),C_CLAVE,0))&amp;"","Sin contrato"))</f>
        <v/>
      </c>
      <c r="T2800" s="63" t="str">
        <f aca="false">IF(OR(B2800="",N(O2800)=0),"",N(O2800)+ROUND(MIN(N(N2800),TOPE_UF*UF_MES)*(TASA_EMP+MUTUAL),0)+ROUND(MIN(N(N2800),TOPE_AFC_UF*UF_MES)*IF(S2800="Indefinido",AFC_INDEF,AFC_PF),0))</f>
        <v/>
      </c>
      <c r="U2800" s="62" t="str">
        <f aca="false">IF(C2800="","",IF(LEFT(D2800,1)="⚠","⚠ RUT no registrado en Trabajadores",IF(B2800="","⚠ Falta el mes",IF(OR(ISTEXT(I2800),ISTEXT(J2800)),"⚠ Atrasos u horas extra como texto: escriba hh:mm (ej. 1:30)",IF(AND(ISNUMBER(Q2800),COUNTIFS(M_RUTN,V2800,M_MES,B2800,M_LIQ,"&lt;&gt;")&gt;1),"⚠ Liquidación repetida en el mes",IF(AND(ISNUMBER(O2800),ISNUMBER(P2800),ISNUMBER(Q2800),ABS(O2800-P2800-Q2800)&gt;1),"⚠ Haberes − descuentos no da el líquido","OK"))))))</f>
        <v/>
      </c>
      <c r="V2800" s="62" t="str">
        <f aca="false">IF(C2800="","",IFERROR(VALUE(LEFT(UPPER(SUBSTITUTE(SUBSTITUTE(SUBSTITUTE(TRIM(C2800),".",""),"-","")," ","")),LEN(UPPER(SUBSTITUTE(SUBSTITUTE(SUBSTITUTE(TRIM(C2800),".",""),"-","")," ","")))-1))&amp;RIGHT(UPPER(SUBSTITUTE(SUBSTITUTE(SUBSTITUTE(TRIM(C2800),".",""),"-","")," ","")),1),UPPER(SUBSTITUTE(SUBSTITUTE(SUBSTITUTE(TRIM(C2800),".",""),"-","")," ",""))))</f>
        <v/>
      </c>
    </row>
    <row r="2801" customFormat="false" ht="15" hidden="false" customHeight="false" outlineLevel="0" collapsed="false">
      <c r="B2801" s="80"/>
      <c r="C2801" s="58"/>
      <c r="D2801" s="62" t="str">
        <f aca="false">IF(C2801="","",IFERROR(INDEX(T_NOMBRE,MATCH(V2801,T_RUTN,0)),"⚠ RUT no está en Trabajadores"))</f>
        <v/>
      </c>
      <c r="E2801" s="61"/>
      <c r="F2801" s="61"/>
      <c r="G2801" s="61"/>
      <c r="H2801" s="61"/>
      <c r="I2801" s="81"/>
      <c r="J2801" s="81"/>
      <c r="K2801" s="60"/>
      <c r="L2801" s="60"/>
      <c r="M2801" s="60"/>
      <c r="N2801" s="60"/>
      <c r="O2801" s="60"/>
      <c r="P2801" s="60"/>
      <c r="Q2801" s="60"/>
      <c r="R2801" s="58"/>
      <c r="S2801" s="62" t="str">
        <f aca="false">IF(OR(B2801="",V2801=""),"",IFERROR(INDEX(C_TIPO,MATCH(V2801&amp;"-P"&amp;MAX(1,COUNTIFS(C_RUTN,V2801,C_DEF,"Sí",C_INI,"&lt;="&amp;EOMONTH(B2801,0))),C_CLAVE,0))&amp;"","Sin contrato"))</f>
        <v/>
      </c>
      <c r="T2801" s="63" t="str">
        <f aca="false">IF(OR(B2801="",N(O2801)=0),"",N(O2801)+ROUND(MIN(N(N2801),TOPE_UF*UF_MES)*(TASA_EMP+MUTUAL),0)+ROUND(MIN(N(N2801),TOPE_AFC_UF*UF_MES)*IF(S2801="Indefinido",AFC_INDEF,AFC_PF),0))</f>
        <v/>
      </c>
      <c r="U2801" s="62" t="str">
        <f aca="false">IF(C2801="","",IF(LEFT(D2801,1)="⚠","⚠ RUT no registrado en Trabajadores",IF(B2801="","⚠ Falta el mes",IF(OR(ISTEXT(I2801),ISTEXT(J2801)),"⚠ Atrasos u horas extra como texto: escriba hh:mm (ej. 1:30)",IF(AND(ISNUMBER(Q2801),COUNTIFS(M_RUTN,V2801,M_MES,B2801,M_LIQ,"&lt;&gt;")&gt;1),"⚠ Liquidación repetida en el mes",IF(AND(ISNUMBER(O2801),ISNUMBER(P2801),ISNUMBER(Q2801),ABS(O2801-P2801-Q2801)&gt;1),"⚠ Haberes − descuentos no da el líquido","OK"))))))</f>
        <v/>
      </c>
      <c r="V2801" s="62" t="str">
        <f aca="false">IF(C2801="","",IFERROR(VALUE(LEFT(UPPER(SUBSTITUTE(SUBSTITUTE(SUBSTITUTE(TRIM(C2801),".",""),"-","")," ","")),LEN(UPPER(SUBSTITUTE(SUBSTITUTE(SUBSTITUTE(TRIM(C2801),".",""),"-","")," ","")))-1))&amp;RIGHT(UPPER(SUBSTITUTE(SUBSTITUTE(SUBSTITUTE(TRIM(C2801),".",""),"-","")," ","")),1),UPPER(SUBSTITUTE(SUBSTITUTE(SUBSTITUTE(TRIM(C2801),".",""),"-","")," ",""))))</f>
        <v/>
      </c>
    </row>
    <row r="2802" customFormat="false" ht="15" hidden="false" customHeight="false" outlineLevel="0" collapsed="false">
      <c r="B2802" s="80"/>
      <c r="C2802" s="58"/>
      <c r="D2802" s="62" t="str">
        <f aca="false">IF(C2802="","",IFERROR(INDEX(T_NOMBRE,MATCH(V2802,T_RUTN,0)),"⚠ RUT no está en Trabajadores"))</f>
        <v/>
      </c>
      <c r="E2802" s="61"/>
      <c r="F2802" s="61"/>
      <c r="G2802" s="61"/>
      <c r="H2802" s="61"/>
      <c r="I2802" s="81"/>
      <c r="J2802" s="81"/>
      <c r="K2802" s="60"/>
      <c r="L2802" s="60"/>
      <c r="M2802" s="60"/>
      <c r="N2802" s="60"/>
      <c r="O2802" s="60"/>
      <c r="P2802" s="60"/>
      <c r="Q2802" s="60"/>
      <c r="R2802" s="58"/>
      <c r="S2802" s="62" t="str">
        <f aca="false">IF(OR(B2802="",V2802=""),"",IFERROR(INDEX(C_TIPO,MATCH(V2802&amp;"-P"&amp;MAX(1,COUNTIFS(C_RUTN,V2802,C_DEF,"Sí",C_INI,"&lt;="&amp;EOMONTH(B2802,0))),C_CLAVE,0))&amp;"","Sin contrato"))</f>
        <v/>
      </c>
      <c r="T2802" s="63" t="str">
        <f aca="false">IF(OR(B2802="",N(O2802)=0),"",N(O2802)+ROUND(MIN(N(N2802),TOPE_UF*UF_MES)*(TASA_EMP+MUTUAL),0)+ROUND(MIN(N(N2802),TOPE_AFC_UF*UF_MES)*IF(S2802="Indefinido",AFC_INDEF,AFC_PF),0))</f>
        <v/>
      </c>
      <c r="U2802" s="62" t="str">
        <f aca="false">IF(C2802="","",IF(LEFT(D2802,1)="⚠","⚠ RUT no registrado en Trabajadores",IF(B2802="","⚠ Falta el mes",IF(OR(ISTEXT(I2802),ISTEXT(J2802)),"⚠ Atrasos u horas extra como texto: escriba hh:mm (ej. 1:30)",IF(AND(ISNUMBER(Q2802),COUNTIFS(M_RUTN,V2802,M_MES,B2802,M_LIQ,"&lt;&gt;")&gt;1),"⚠ Liquidación repetida en el mes",IF(AND(ISNUMBER(O2802),ISNUMBER(P2802),ISNUMBER(Q2802),ABS(O2802-P2802-Q2802)&gt;1),"⚠ Haberes − descuentos no da el líquido","OK"))))))</f>
        <v/>
      </c>
      <c r="V2802" s="62" t="str">
        <f aca="false">IF(C2802="","",IFERROR(VALUE(LEFT(UPPER(SUBSTITUTE(SUBSTITUTE(SUBSTITUTE(TRIM(C2802),".",""),"-","")," ","")),LEN(UPPER(SUBSTITUTE(SUBSTITUTE(SUBSTITUTE(TRIM(C2802),".",""),"-","")," ","")))-1))&amp;RIGHT(UPPER(SUBSTITUTE(SUBSTITUTE(SUBSTITUTE(TRIM(C2802),".",""),"-","")," ","")),1),UPPER(SUBSTITUTE(SUBSTITUTE(SUBSTITUTE(TRIM(C2802),".",""),"-","")," ",""))))</f>
        <v/>
      </c>
    </row>
    <row r="2803" customFormat="false" ht="15" hidden="false" customHeight="false" outlineLevel="0" collapsed="false">
      <c r="B2803" s="80"/>
      <c r="C2803" s="58"/>
      <c r="D2803" s="62" t="str">
        <f aca="false">IF(C2803="","",IFERROR(INDEX(T_NOMBRE,MATCH(V2803,T_RUTN,0)),"⚠ RUT no está en Trabajadores"))</f>
        <v/>
      </c>
      <c r="E2803" s="61"/>
      <c r="F2803" s="61"/>
      <c r="G2803" s="61"/>
      <c r="H2803" s="61"/>
      <c r="I2803" s="81"/>
      <c r="J2803" s="81"/>
      <c r="K2803" s="60"/>
      <c r="L2803" s="60"/>
      <c r="M2803" s="60"/>
      <c r="N2803" s="60"/>
      <c r="O2803" s="60"/>
      <c r="P2803" s="60"/>
      <c r="Q2803" s="60"/>
      <c r="R2803" s="58"/>
      <c r="S2803" s="62" t="str">
        <f aca="false">IF(OR(B2803="",V2803=""),"",IFERROR(INDEX(C_TIPO,MATCH(V2803&amp;"-P"&amp;MAX(1,COUNTIFS(C_RUTN,V2803,C_DEF,"Sí",C_INI,"&lt;="&amp;EOMONTH(B2803,0))),C_CLAVE,0))&amp;"","Sin contrato"))</f>
        <v/>
      </c>
      <c r="T2803" s="63" t="str">
        <f aca="false">IF(OR(B2803="",N(O2803)=0),"",N(O2803)+ROUND(MIN(N(N2803),TOPE_UF*UF_MES)*(TASA_EMP+MUTUAL),0)+ROUND(MIN(N(N2803),TOPE_AFC_UF*UF_MES)*IF(S2803="Indefinido",AFC_INDEF,AFC_PF),0))</f>
        <v/>
      </c>
      <c r="U2803" s="62" t="str">
        <f aca="false">IF(C2803="","",IF(LEFT(D2803,1)="⚠","⚠ RUT no registrado en Trabajadores",IF(B2803="","⚠ Falta el mes",IF(OR(ISTEXT(I2803),ISTEXT(J2803)),"⚠ Atrasos u horas extra como texto: escriba hh:mm (ej. 1:30)",IF(AND(ISNUMBER(Q2803),COUNTIFS(M_RUTN,V2803,M_MES,B2803,M_LIQ,"&lt;&gt;")&gt;1),"⚠ Liquidación repetida en el mes",IF(AND(ISNUMBER(O2803),ISNUMBER(P2803),ISNUMBER(Q2803),ABS(O2803-P2803-Q2803)&gt;1),"⚠ Haberes − descuentos no da el líquido","OK"))))))</f>
        <v/>
      </c>
      <c r="V2803" s="62" t="str">
        <f aca="false">IF(C2803="","",IFERROR(VALUE(LEFT(UPPER(SUBSTITUTE(SUBSTITUTE(SUBSTITUTE(TRIM(C2803),".",""),"-","")," ","")),LEN(UPPER(SUBSTITUTE(SUBSTITUTE(SUBSTITUTE(TRIM(C2803),".",""),"-","")," ","")))-1))&amp;RIGHT(UPPER(SUBSTITUTE(SUBSTITUTE(SUBSTITUTE(TRIM(C2803),".",""),"-","")," ","")),1),UPPER(SUBSTITUTE(SUBSTITUTE(SUBSTITUTE(TRIM(C2803),".",""),"-","")," ",""))))</f>
        <v/>
      </c>
    </row>
    <row r="2804" customFormat="false" ht="15" hidden="false" customHeight="false" outlineLevel="0" collapsed="false">
      <c r="B2804" s="80"/>
      <c r="C2804" s="58"/>
      <c r="D2804" s="62" t="str">
        <f aca="false">IF(C2804="","",IFERROR(INDEX(T_NOMBRE,MATCH(V2804,T_RUTN,0)),"⚠ RUT no está en Trabajadores"))</f>
        <v/>
      </c>
      <c r="E2804" s="61"/>
      <c r="F2804" s="61"/>
      <c r="G2804" s="61"/>
      <c r="H2804" s="61"/>
      <c r="I2804" s="81"/>
      <c r="J2804" s="81"/>
      <c r="K2804" s="60"/>
      <c r="L2804" s="60"/>
      <c r="M2804" s="60"/>
      <c r="N2804" s="60"/>
      <c r="O2804" s="60"/>
      <c r="P2804" s="60"/>
      <c r="Q2804" s="60"/>
      <c r="R2804" s="58"/>
      <c r="S2804" s="62" t="str">
        <f aca="false">IF(OR(B2804="",V2804=""),"",IFERROR(INDEX(C_TIPO,MATCH(V2804&amp;"-P"&amp;MAX(1,COUNTIFS(C_RUTN,V2804,C_DEF,"Sí",C_INI,"&lt;="&amp;EOMONTH(B2804,0))),C_CLAVE,0))&amp;"","Sin contrato"))</f>
        <v/>
      </c>
      <c r="T2804" s="63" t="str">
        <f aca="false">IF(OR(B2804="",N(O2804)=0),"",N(O2804)+ROUND(MIN(N(N2804),TOPE_UF*UF_MES)*(TASA_EMP+MUTUAL),0)+ROUND(MIN(N(N2804),TOPE_AFC_UF*UF_MES)*IF(S2804="Indefinido",AFC_INDEF,AFC_PF),0))</f>
        <v/>
      </c>
      <c r="U2804" s="62" t="str">
        <f aca="false">IF(C2804="","",IF(LEFT(D2804,1)="⚠","⚠ RUT no registrado en Trabajadores",IF(B2804="","⚠ Falta el mes",IF(OR(ISTEXT(I2804),ISTEXT(J2804)),"⚠ Atrasos u horas extra como texto: escriba hh:mm (ej. 1:30)",IF(AND(ISNUMBER(Q2804),COUNTIFS(M_RUTN,V2804,M_MES,B2804,M_LIQ,"&lt;&gt;")&gt;1),"⚠ Liquidación repetida en el mes",IF(AND(ISNUMBER(O2804),ISNUMBER(P2804),ISNUMBER(Q2804),ABS(O2804-P2804-Q2804)&gt;1),"⚠ Haberes − descuentos no da el líquido","OK"))))))</f>
        <v/>
      </c>
      <c r="V2804" s="62" t="str">
        <f aca="false">IF(C2804="","",IFERROR(VALUE(LEFT(UPPER(SUBSTITUTE(SUBSTITUTE(SUBSTITUTE(TRIM(C2804),".",""),"-","")," ","")),LEN(UPPER(SUBSTITUTE(SUBSTITUTE(SUBSTITUTE(TRIM(C2804),".",""),"-","")," ","")))-1))&amp;RIGHT(UPPER(SUBSTITUTE(SUBSTITUTE(SUBSTITUTE(TRIM(C2804),".",""),"-","")," ","")),1),UPPER(SUBSTITUTE(SUBSTITUTE(SUBSTITUTE(TRIM(C2804),".",""),"-","")," ",""))))</f>
        <v/>
      </c>
    </row>
    <row r="2805" customFormat="false" ht="15" hidden="false" customHeight="false" outlineLevel="0" collapsed="false">
      <c r="B2805" s="80"/>
      <c r="C2805" s="58"/>
      <c r="D2805" s="62" t="str">
        <f aca="false">IF(C2805="","",IFERROR(INDEX(T_NOMBRE,MATCH(V2805,T_RUTN,0)),"⚠ RUT no está en Trabajadores"))</f>
        <v/>
      </c>
      <c r="E2805" s="61"/>
      <c r="F2805" s="61"/>
      <c r="G2805" s="61"/>
      <c r="H2805" s="61"/>
      <c r="I2805" s="81"/>
      <c r="J2805" s="81"/>
      <c r="K2805" s="60"/>
      <c r="L2805" s="60"/>
      <c r="M2805" s="60"/>
      <c r="N2805" s="60"/>
      <c r="O2805" s="60"/>
      <c r="P2805" s="60"/>
      <c r="Q2805" s="60"/>
      <c r="R2805" s="58"/>
      <c r="S2805" s="62" t="str">
        <f aca="false">IF(OR(B2805="",V2805=""),"",IFERROR(INDEX(C_TIPO,MATCH(V2805&amp;"-P"&amp;MAX(1,COUNTIFS(C_RUTN,V2805,C_DEF,"Sí",C_INI,"&lt;="&amp;EOMONTH(B2805,0))),C_CLAVE,0))&amp;"","Sin contrato"))</f>
        <v/>
      </c>
      <c r="T2805" s="63" t="str">
        <f aca="false">IF(OR(B2805="",N(O2805)=0),"",N(O2805)+ROUND(MIN(N(N2805),TOPE_UF*UF_MES)*(TASA_EMP+MUTUAL),0)+ROUND(MIN(N(N2805),TOPE_AFC_UF*UF_MES)*IF(S2805="Indefinido",AFC_INDEF,AFC_PF),0))</f>
        <v/>
      </c>
      <c r="U2805" s="62" t="str">
        <f aca="false">IF(C2805="","",IF(LEFT(D2805,1)="⚠","⚠ RUT no registrado en Trabajadores",IF(B2805="","⚠ Falta el mes",IF(OR(ISTEXT(I2805),ISTEXT(J2805)),"⚠ Atrasos u horas extra como texto: escriba hh:mm (ej. 1:30)",IF(AND(ISNUMBER(Q2805),COUNTIFS(M_RUTN,V2805,M_MES,B2805,M_LIQ,"&lt;&gt;")&gt;1),"⚠ Liquidación repetida en el mes",IF(AND(ISNUMBER(O2805),ISNUMBER(P2805),ISNUMBER(Q2805),ABS(O2805-P2805-Q2805)&gt;1),"⚠ Haberes − descuentos no da el líquido","OK"))))))</f>
        <v/>
      </c>
      <c r="V2805" s="62" t="str">
        <f aca="false">IF(C2805="","",IFERROR(VALUE(LEFT(UPPER(SUBSTITUTE(SUBSTITUTE(SUBSTITUTE(TRIM(C2805),".",""),"-","")," ","")),LEN(UPPER(SUBSTITUTE(SUBSTITUTE(SUBSTITUTE(TRIM(C2805),".",""),"-","")," ","")))-1))&amp;RIGHT(UPPER(SUBSTITUTE(SUBSTITUTE(SUBSTITUTE(TRIM(C2805),".",""),"-","")," ","")),1),UPPER(SUBSTITUTE(SUBSTITUTE(SUBSTITUTE(TRIM(C2805),".",""),"-","")," ",""))))</f>
        <v/>
      </c>
    </row>
    <row r="2806" customFormat="false" ht="15" hidden="false" customHeight="false" outlineLevel="0" collapsed="false">
      <c r="B2806" s="80"/>
      <c r="C2806" s="58"/>
      <c r="D2806" s="62" t="str">
        <f aca="false">IF(C2806="","",IFERROR(INDEX(T_NOMBRE,MATCH(V2806,T_RUTN,0)),"⚠ RUT no está en Trabajadores"))</f>
        <v/>
      </c>
      <c r="E2806" s="61"/>
      <c r="F2806" s="61"/>
      <c r="G2806" s="61"/>
      <c r="H2806" s="61"/>
      <c r="I2806" s="81"/>
      <c r="J2806" s="81"/>
      <c r="K2806" s="60"/>
      <c r="L2806" s="60"/>
      <c r="M2806" s="60"/>
      <c r="N2806" s="60"/>
      <c r="O2806" s="60"/>
      <c r="P2806" s="60"/>
      <c r="Q2806" s="60"/>
      <c r="R2806" s="58"/>
      <c r="S2806" s="62" t="str">
        <f aca="false">IF(OR(B2806="",V2806=""),"",IFERROR(INDEX(C_TIPO,MATCH(V2806&amp;"-P"&amp;MAX(1,COUNTIFS(C_RUTN,V2806,C_DEF,"Sí",C_INI,"&lt;="&amp;EOMONTH(B2806,0))),C_CLAVE,0))&amp;"","Sin contrato"))</f>
        <v/>
      </c>
      <c r="T2806" s="63" t="str">
        <f aca="false">IF(OR(B2806="",N(O2806)=0),"",N(O2806)+ROUND(MIN(N(N2806),TOPE_UF*UF_MES)*(TASA_EMP+MUTUAL),0)+ROUND(MIN(N(N2806),TOPE_AFC_UF*UF_MES)*IF(S2806="Indefinido",AFC_INDEF,AFC_PF),0))</f>
        <v/>
      </c>
      <c r="U2806" s="62" t="str">
        <f aca="false">IF(C2806="","",IF(LEFT(D2806,1)="⚠","⚠ RUT no registrado en Trabajadores",IF(B2806="","⚠ Falta el mes",IF(OR(ISTEXT(I2806),ISTEXT(J2806)),"⚠ Atrasos u horas extra como texto: escriba hh:mm (ej. 1:30)",IF(AND(ISNUMBER(Q2806),COUNTIFS(M_RUTN,V2806,M_MES,B2806,M_LIQ,"&lt;&gt;")&gt;1),"⚠ Liquidación repetida en el mes",IF(AND(ISNUMBER(O2806),ISNUMBER(P2806),ISNUMBER(Q2806),ABS(O2806-P2806-Q2806)&gt;1),"⚠ Haberes − descuentos no da el líquido","OK"))))))</f>
        <v/>
      </c>
      <c r="V2806" s="62" t="str">
        <f aca="false">IF(C2806="","",IFERROR(VALUE(LEFT(UPPER(SUBSTITUTE(SUBSTITUTE(SUBSTITUTE(TRIM(C2806),".",""),"-","")," ","")),LEN(UPPER(SUBSTITUTE(SUBSTITUTE(SUBSTITUTE(TRIM(C2806),".",""),"-","")," ","")))-1))&amp;RIGHT(UPPER(SUBSTITUTE(SUBSTITUTE(SUBSTITUTE(TRIM(C2806),".",""),"-","")," ","")),1),UPPER(SUBSTITUTE(SUBSTITUTE(SUBSTITUTE(TRIM(C2806),".",""),"-","")," ",""))))</f>
        <v/>
      </c>
    </row>
    <row r="2807" customFormat="false" ht="15" hidden="false" customHeight="false" outlineLevel="0" collapsed="false">
      <c r="B2807" s="80"/>
      <c r="C2807" s="58"/>
      <c r="D2807" s="62" t="str">
        <f aca="false">IF(C2807="","",IFERROR(INDEX(T_NOMBRE,MATCH(V2807,T_RUTN,0)),"⚠ RUT no está en Trabajadores"))</f>
        <v/>
      </c>
      <c r="E2807" s="61"/>
      <c r="F2807" s="61"/>
      <c r="G2807" s="61"/>
      <c r="H2807" s="61"/>
      <c r="I2807" s="81"/>
      <c r="J2807" s="81"/>
      <c r="K2807" s="60"/>
      <c r="L2807" s="60"/>
      <c r="M2807" s="60"/>
      <c r="N2807" s="60"/>
      <c r="O2807" s="60"/>
      <c r="P2807" s="60"/>
      <c r="Q2807" s="60"/>
      <c r="R2807" s="58"/>
      <c r="S2807" s="62" t="str">
        <f aca="false">IF(OR(B2807="",V2807=""),"",IFERROR(INDEX(C_TIPO,MATCH(V2807&amp;"-P"&amp;MAX(1,COUNTIFS(C_RUTN,V2807,C_DEF,"Sí",C_INI,"&lt;="&amp;EOMONTH(B2807,0))),C_CLAVE,0))&amp;"","Sin contrato"))</f>
        <v/>
      </c>
      <c r="T2807" s="63" t="str">
        <f aca="false">IF(OR(B2807="",N(O2807)=0),"",N(O2807)+ROUND(MIN(N(N2807),TOPE_UF*UF_MES)*(TASA_EMP+MUTUAL),0)+ROUND(MIN(N(N2807),TOPE_AFC_UF*UF_MES)*IF(S2807="Indefinido",AFC_INDEF,AFC_PF),0))</f>
        <v/>
      </c>
      <c r="U2807" s="62" t="str">
        <f aca="false">IF(C2807="","",IF(LEFT(D2807,1)="⚠","⚠ RUT no registrado en Trabajadores",IF(B2807="","⚠ Falta el mes",IF(OR(ISTEXT(I2807),ISTEXT(J2807)),"⚠ Atrasos u horas extra como texto: escriba hh:mm (ej. 1:30)",IF(AND(ISNUMBER(Q2807),COUNTIFS(M_RUTN,V2807,M_MES,B2807,M_LIQ,"&lt;&gt;")&gt;1),"⚠ Liquidación repetida en el mes",IF(AND(ISNUMBER(O2807),ISNUMBER(P2807),ISNUMBER(Q2807),ABS(O2807-P2807-Q2807)&gt;1),"⚠ Haberes − descuentos no da el líquido","OK"))))))</f>
        <v/>
      </c>
      <c r="V2807" s="62" t="str">
        <f aca="false">IF(C2807="","",IFERROR(VALUE(LEFT(UPPER(SUBSTITUTE(SUBSTITUTE(SUBSTITUTE(TRIM(C2807),".",""),"-","")," ","")),LEN(UPPER(SUBSTITUTE(SUBSTITUTE(SUBSTITUTE(TRIM(C2807),".",""),"-","")," ","")))-1))&amp;RIGHT(UPPER(SUBSTITUTE(SUBSTITUTE(SUBSTITUTE(TRIM(C2807),".",""),"-","")," ","")),1),UPPER(SUBSTITUTE(SUBSTITUTE(SUBSTITUTE(TRIM(C2807),".",""),"-","")," ",""))))</f>
        <v/>
      </c>
    </row>
    <row r="2808" customFormat="false" ht="15" hidden="false" customHeight="false" outlineLevel="0" collapsed="false">
      <c r="B2808" s="80"/>
      <c r="C2808" s="58"/>
      <c r="D2808" s="62" t="str">
        <f aca="false">IF(C2808="","",IFERROR(INDEX(T_NOMBRE,MATCH(V2808,T_RUTN,0)),"⚠ RUT no está en Trabajadores"))</f>
        <v/>
      </c>
      <c r="E2808" s="61"/>
      <c r="F2808" s="61"/>
      <c r="G2808" s="61"/>
      <c r="H2808" s="61"/>
      <c r="I2808" s="81"/>
      <c r="J2808" s="81"/>
      <c r="K2808" s="60"/>
      <c r="L2808" s="60"/>
      <c r="M2808" s="60"/>
      <c r="N2808" s="60"/>
      <c r="O2808" s="60"/>
      <c r="P2808" s="60"/>
      <c r="Q2808" s="60"/>
      <c r="R2808" s="58"/>
      <c r="S2808" s="62" t="str">
        <f aca="false">IF(OR(B2808="",V2808=""),"",IFERROR(INDEX(C_TIPO,MATCH(V2808&amp;"-P"&amp;MAX(1,COUNTIFS(C_RUTN,V2808,C_DEF,"Sí",C_INI,"&lt;="&amp;EOMONTH(B2808,0))),C_CLAVE,0))&amp;"","Sin contrato"))</f>
        <v/>
      </c>
      <c r="T2808" s="63" t="str">
        <f aca="false">IF(OR(B2808="",N(O2808)=0),"",N(O2808)+ROUND(MIN(N(N2808),TOPE_UF*UF_MES)*(TASA_EMP+MUTUAL),0)+ROUND(MIN(N(N2808),TOPE_AFC_UF*UF_MES)*IF(S2808="Indefinido",AFC_INDEF,AFC_PF),0))</f>
        <v/>
      </c>
      <c r="U2808" s="62" t="str">
        <f aca="false">IF(C2808="","",IF(LEFT(D2808,1)="⚠","⚠ RUT no registrado en Trabajadores",IF(B2808="","⚠ Falta el mes",IF(OR(ISTEXT(I2808),ISTEXT(J2808)),"⚠ Atrasos u horas extra como texto: escriba hh:mm (ej. 1:30)",IF(AND(ISNUMBER(Q2808),COUNTIFS(M_RUTN,V2808,M_MES,B2808,M_LIQ,"&lt;&gt;")&gt;1),"⚠ Liquidación repetida en el mes",IF(AND(ISNUMBER(O2808),ISNUMBER(P2808),ISNUMBER(Q2808),ABS(O2808-P2808-Q2808)&gt;1),"⚠ Haberes − descuentos no da el líquido","OK"))))))</f>
        <v/>
      </c>
      <c r="V2808" s="62" t="str">
        <f aca="false">IF(C2808="","",IFERROR(VALUE(LEFT(UPPER(SUBSTITUTE(SUBSTITUTE(SUBSTITUTE(TRIM(C2808),".",""),"-","")," ","")),LEN(UPPER(SUBSTITUTE(SUBSTITUTE(SUBSTITUTE(TRIM(C2808),".",""),"-","")," ","")))-1))&amp;RIGHT(UPPER(SUBSTITUTE(SUBSTITUTE(SUBSTITUTE(TRIM(C2808),".",""),"-","")," ","")),1),UPPER(SUBSTITUTE(SUBSTITUTE(SUBSTITUTE(TRIM(C2808),".",""),"-","")," ",""))))</f>
        <v/>
      </c>
    </row>
    <row r="2809" customFormat="false" ht="15" hidden="false" customHeight="false" outlineLevel="0" collapsed="false">
      <c r="B2809" s="80"/>
      <c r="C2809" s="58"/>
      <c r="D2809" s="62" t="str">
        <f aca="false">IF(C2809="","",IFERROR(INDEX(T_NOMBRE,MATCH(V2809,T_RUTN,0)),"⚠ RUT no está en Trabajadores"))</f>
        <v/>
      </c>
      <c r="E2809" s="61"/>
      <c r="F2809" s="61"/>
      <c r="G2809" s="61"/>
      <c r="H2809" s="61"/>
      <c r="I2809" s="81"/>
      <c r="J2809" s="81"/>
      <c r="K2809" s="60"/>
      <c r="L2809" s="60"/>
      <c r="M2809" s="60"/>
      <c r="N2809" s="60"/>
      <c r="O2809" s="60"/>
      <c r="P2809" s="60"/>
      <c r="Q2809" s="60"/>
      <c r="R2809" s="58"/>
      <c r="S2809" s="62" t="str">
        <f aca="false">IF(OR(B2809="",V2809=""),"",IFERROR(INDEX(C_TIPO,MATCH(V2809&amp;"-P"&amp;MAX(1,COUNTIFS(C_RUTN,V2809,C_DEF,"Sí",C_INI,"&lt;="&amp;EOMONTH(B2809,0))),C_CLAVE,0))&amp;"","Sin contrato"))</f>
        <v/>
      </c>
      <c r="T2809" s="63" t="str">
        <f aca="false">IF(OR(B2809="",N(O2809)=0),"",N(O2809)+ROUND(MIN(N(N2809),TOPE_UF*UF_MES)*(TASA_EMP+MUTUAL),0)+ROUND(MIN(N(N2809),TOPE_AFC_UF*UF_MES)*IF(S2809="Indefinido",AFC_INDEF,AFC_PF),0))</f>
        <v/>
      </c>
      <c r="U2809" s="62" t="str">
        <f aca="false">IF(C2809="","",IF(LEFT(D2809,1)="⚠","⚠ RUT no registrado en Trabajadores",IF(B2809="","⚠ Falta el mes",IF(OR(ISTEXT(I2809),ISTEXT(J2809)),"⚠ Atrasos u horas extra como texto: escriba hh:mm (ej. 1:30)",IF(AND(ISNUMBER(Q2809),COUNTIFS(M_RUTN,V2809,M_MES,B2809,M_LIQ,"&lt;&gt;")&gt;1),"⚠ Liquidación repetida en el mes",IF(AND(ISNUMBER(O2809),ISNUMBER(P2809),ISNUMBER(Q2809),ABS(O2809-P2809-Q2809)&gt;1),"⚠ Haberes − descuentos no da el líquido","OK"))))))</f>
        <v/>
      </c>
      <c r="V2809" s="62" t="str">
        <f aca="false">IF(C2809="","",IFERROR(VALUE(LEFT(UPPER(SUBSTITUTE(SUBSTITUTE(SUBSTITUTE(TRIM(C2809),".",""),"-","")," ","")),LEN(UPPER(SUBSTITUTE(SUBSTITUTE(SUBSTITUTE(TRIM(C2809),".",""),"-","")," ","")))-1))&amp;RIGHT(UPPER(SUBSTITUTE(SUBSTITUTE(SUBSTITUTE(TRIM(C2809),".",""),"-","")," ","")),1),UPPER(SUBSTITUTE(SUBSTITUTE(SUBSTITUTE(TRIM(C2809),".",""),"-","")," ",""))))</f>
        <v/>
      </c>
    </row>
    <row r="2810" customFormat="false" ht="15" hidden="false" customHeight="false" outlineLevel="0" collapsed="false">
      <c r="B2810" s="80"/>
      <c r="C2810" s="58"/>
      <c r="D2810" s="62" t="str">
        <f aca="false">IF(C2810="","",IFERROR(INDEX(T_NOMBRE,MATCH(V2810,T_RUTN,0)),"⚠ RUT no está en Trabajadores"))</f>
        <v/>
      </c>
      <c r="E2810" s="61"/>
      <c r="F2810" s="61"/>
      <c r="G2810" s="61"/>
      <c r="H2810" s="61"/>
      <c r="I2810" s="81"/>
      <c r="J2810" s="81"/>
      <c r="K2810" s="60"/>
      <c r="L2810" s="60"/>
      <c r="M2810" s="60"/>
      <c r="N2810" s="60"/>
      <c r="O2810" s="60"/>
      <c r="P2810" s="60"/>
      <c r="Q2810" s="60"/>
      <c r="R2810" s="58"/>
      <c r="S2810" s="62" t="str">
        <f aca="false">IF(OR(B2810="",V2810=""),"",IFERROR(INDEX(C_TIPO,MATCH(V2810&amp;"-P"&amp;MAX(1,COUNTIFS(C_RUTN,V2810,C_DEF,"Sí",C_INI,"&lt;="&amp;EOMONTH(B2810,0))),C_CLAVE,0))&amp;"","Sin contrato"))</f>
        <v/>
      </c>
      <c r="T2810" s="63" t="str">
        <f aca="false">IF(OR(B2810="",N(O2810)=0),"",N(O2810)+ROUND(MIN(N(N2810),TOPE_UF*UF_MES)*(TASA_EMP+MUTUAL),0)+ROUND(MIN(N(N2810),TOPE_AFC_UF*UF_MES)*IF(S2810="Indefinido",AFC_INDEF,AFC_PF),0))</f>
        <v/>
      </c>
      <c r="U2810" s="62" t="str">
        <f aca="false">IF(C2810="","",IF(LEFT(D2810,1)="⚠","⚠ RUT no registrado en Trabajadores",IF(B2810="","⚠ Falta el mes",IF(OR(ISTEXT(I2810),ISTEXT(J2810)),"⚠ Atrasos u horas extra como texto: escriba hh:mm (ej. 1:30)",IF(AND(ISNUMBER(Q2810),COUNTIFS(M_RUTN,V2810,M_MES,B2810,M_LIQ,"&lt;&gt;")&gt;1),"⚠ Liquidación repetida en el mes",IF(AND(ISNUMBER(O2810),ISNUMBER(P2810),ISNUMBER(Q2810),ABS(O2810-P2810-Q2810)&gt;1),"⚠ Haberes − descuentos no da el líquido","OK"))))))</f>
        <v/>
      </c>
      <c r="V2810" s="62" t="str">
        <f aca="false">IF(C2810="","",IFERROR(VALUE(LEFT(UPPER(SUBSTITUTE(SUBSTITUTE(SUBSTITUTE(TRIM(C2810),".",""),"-","")," ","")),LEN(UPPER(SUBSTITUTE(SUBSTITUTE(SUBSTITUTE(TRIM(C2810),".",""),"-","")," ","")))-1))&amp;RIGHT(UPPER(SUBSTITUTE(SUBSTITUTE(SUBSTITUTE(TRIM(C2810),".",""),"-","")," ","")),1),UPPER(SUBSTITUTE(SUBSTITUTE(SUBSTITUTE(TRIM(C2810),".",""),"-","")," ",""))))</f>
        <v/>
      </c>
    </row>
    <row r="2811" customFormat="false" ht="15" hidden="false" customHeight="false" outlineLevel="0" collapsed="false">
      <c r="B2811" s="80"/>
      <c r="C2811" s="58"/>
      <c r="D2811" s="62" t="str">
        <f aca="false">IF(C2811="","",IFERROR(INDEX(T_NOMBRE,MATCH(V2811,T_RUTN,0)),"⚠ RUT no está en Trabajadores"))</f>
        <v/>
      </c>
      <c r="E2811" s="61"/>
      <c r="F2811" s="61"/>
      <c r="G2811" s="61"/>
      <c r="H2811" s="61"/>
      <c r="I2811" s="81"/>
      <c r="J2811" s="81"/>
      <c r="K2811" s="60"/>
      <c r="L2811" s="60"/>
      <c r="M2811" s="60"/>
      <c r="N2811" s="60"/>
      <c r="O2811" s="60"/>
      <c r="P2811" s="60"/>
      <c r="Q2811" s="60"/>
      <c r="R2811" s="58"/>
      <c r="S2811" s="62" t="str">
        <f aca="false">IF(OR(B2811="",V2811=""),"",IFERROR(INDEX(C_TIPO,MATCH(V2811&amp;"-P"&amp;MAX(1,COUNTIFS(C_RUTN,V2811,C_DEF,"Sí",C_INI,"&lt;="&amp;EOMONTH(B2811,0))),C_CLAVE,0))&amp;"","Sin contrato"))</f>
        <v/>
      </c>
      <c r="T2811" s="63" t="str">
        <f aca="false">IF(OR(B2811="",N(O2811)=0),"",N(O2811)+ROUND(MIN(N(N2811),TOPE_UF*UF_MES)*(TASA_EMP+MUTUAL),0)+ROUND(MIN(N(N2811),TOPE_AFC_UF*UF_MES)*IF(S2811="Indefinido",AFC_INDEF,AFC_PF),0))</f>
        <v/>
      </c>
      <c r="U2811" s="62" t="str">
        <f aca="false">IF(C2811="","",IF(LEFT(D2811,1)="⚠","⚠ RUT no registrado en Trabajadores",IF(B2811="","⚠ Falta el mes",IF(OR(ISTEXT(I2811),ISTEXT(J2811)),"⚠ Atrasos u horas extra como texto: escriba hh:mm (ej. 1:30)",IF(AND(ISNUMBER(Q2811),COUNTIFS(M_RUTN,V2811,M_MES,B2811,M_LIQ,"&lt;&gt;")&gt;1),"⚠ Liquidación repetida en el mes",IF(AND(ISNUMBER(O2811),ISNUMBER(P2811),ISNUMBER(Q2811),ABS(O2811-P2811-Q2811)&gt;1),"⚠ Haberes − descuentos no da el líquido","OK"))))))</f>
        <v/>
      </c>
      <c r="V2811" s="62" t="str">
        <f aca="false">IF(C2811="","",IFERROR(VALUE(LEFT(UPPER(SUBSTITUTE(SUBSTITUTE(SUBSTITUTE(TRIM(C2811),".",""),"-","")," ","")),LEN(UPPER(SUBSTITUTE(SUBSTITUTE(SUBSTITUTE(TRIM(C2811),".",""),"-","")," ","")))-1))&amp;RIGHT(UPPER(SUBSTITUTE(SUBSTITUTE(SUBSTITUTE(TRIM(C2811),".",""),"-","")," ","")),1),UPPER(SUBSTITUTE(SUBSTITUTE(SUBSTITUTE(TRIM(C2811),".",""),"-","")," ",""))))</f>
        <v/>
      </c>
    </row>
    <row r="2812" customFormat="false" ht="15" hidden="false" customHeight="false" outlineLevel="0" collapsed="false">
      <c r="B2812" s="80"/>
      <c r="C2812" s="58"/>
      <c r="D2812" s="62" t="str">
        <f aca="false">IF(C2812="","",IFERROR(INDEX(T_NOMBRE,MATCH(V2812,T_RUTN,0)),"⚠ RUT no está en Trabajadores"))</f>
        <v/>
      </c>
      <c r="E2812" s="61"/>
      <c r="F2812" s="61"/>
      <c r="G2812" s="61"/>
      <c r="H2812" s="61"/>
      <c r="I2812" s="81"/>
      <c r="J2812" s="81"/>
      <c r="K2812" s="60"/>
      <c r="L2812" s="60"/>
      <c r="M2812" s="60"/>
      <c r="N2812" s="60"/>
      <c r="O2812" s="60"/>
      <c r="P2812" s="60"/>
      <c r="Q2812" s="60"/>
      <c r="R2812" s="58"/>
      <c r="S2812" s="62" t="str">
        <f aca="false">IF(OR(B2812="",V2812=""),"",IFERROR(INDEX(C_TIPO,MATCH(V2812&amp;"-P"&amp;MAX(1,COUNTIFS(C_RUTN,V2812,C_DEF,"Sí",C_INI,"&lt;="&amp;EOMONTH(B2812,0))),C_CLAVE,0))&amp;"","Sin contrato"))</f>
        <v/>
      </c>
      <c r="T2812" s="63" t="str">
        <f aca="false">IF(OR(B2812="",N(O2812)=0),"",N(O2812)+ROUND(MIN(N(N2812),TOPE_UF*UF_MES)*(TASA_EMP+MUTUAL),0)+ROUND(MIN(N(N2812),TOPE_AFC_UF*UF_MES)*IF(S2812="Indefinido",AFC_INDEF,AFC_PF),0))</f>
        <v/>
      </c>
      <c r="U2812" s="62" t="str">
        <f aca="false">IF(C2812="","",IF(LEFT(D2812,1)="⚠","⚠ RUT no registrado en Trabajadores",IF(B2812="","⚠ Falta el mes",IF(OR(ISTEXT(I2812),ISTEXT(J2812)),"⚠ Atrasos u horas extra como texto: escriba hh:mm (ej. 1:30)",IF(AND(ISNUMBER(Q2812),COUNTIFS(M_RUTN,V2812,M_MES,B2812,M_LIQ,"&lt;&gt;")&gt;1),"⚠ Liquidación repetida en el mes",IF(AND(ISNUMBER(O2812),ISNUMBER(P2812),ISNUMBER(Q2812),ABS(O2812-P2812-Q2812)&gt;1),"⚠ Haberes − descuentos no da el líquido","OK"))))))</f>
        <v/>
      </c>
      <c r="V2812" s="62" t="str">
        <f aca="false">IF(C2812="","",IFERROR(VALUE(LEFT(UPPER(SUBSTITUTE(SUBSTITUTE(SUBSTITUTE(TRIM(C2812),".",""),"-","")," ","")),LEN(UPPER(SUBSTITUTE(SUBSTITUTE(SUBSTITUTE(TRIM(C2812),".",""),"-","")," ","")))-1))&amp;RIGHT(UPPER(SUBSTITUTE(SUBSTITUTE(SUBSTITUTE(TRIM(C2812),".",""),"-","")," ","")),1),UPPER(SUBSTITUTE(SUBSTITUTE(SUBSTITUTE(TRIM(C2812),".",""),"-","")," ",""))))</f>
        <v/>
      </c>
    </row>
    <row r="2813" customFormat="false" ht="15" hidden="false" customHeight="false" outlineLevel="0" collapsed="false">
      <c r="B2813" s="80"/>
      <c r="C2813" s="58"/>
      <c r="D2813" s="62" t="str">
        <f aca="false">IF(C2813="","",IFERROR(INDEX(T_NOMBRE,MATCH(V2813,T_RUTN,0)),"⚠ RUT no está en Trabajadores"))</f>
        <v/>
      </c>
      <c r="E2813" s="61"/>
      <c r="F2813" s="61"/>
      <c r="G2813" s="61"/>
      <c r="H2813" s="61"/>
      <c r="I2813" s="81"/>
      <c r="J2813" s="81"/>
      <c r="K2813" s="60"/>
      <c r="L2813" s="60"/>
      <c r="M2813" s="60"/>
      <c r="N2813" s="60"/>
      <c r="O2813" s="60"/>
      <c r="P2813" s="60"/>
      <c r="Q2813" s="60"/>
      <c r="R2813" s="58"/>
      <c r="S2813" s="62" t="str">
        <f aca="false">IF(OR(B2813="",V2813=""),"",IFERROR(INDEX(C_TIPO,MATCH(V2813&amp;"-P"&amp;MAX(1,COUNTIFS(C_RUTN,V2813,C_DEF,"Sí",C_INI,"&lt;="&amp;EOMONTH(B2813,0))),C_CLAVE,0))&amp;"","Sin contrato"))</f>
        <v/>
      </c>
      <c r="T2813" s="63" t="str">
        <f aca="false">IF(OR(B2813="",N(O2813)=0),"",N(O2813)+ROUND(MIN(N(N2813),TOPE_UF*UF_MES)*(TASA_EMP+MUTUAL),0)+ROUND(MIN(N(N2813),TOPE_AFC_UF*UF_MES)*IF(S2813="Indefinido",AFC_INDEF,AFC_PF),0))</f>
        <v/>
      </c>
      <c r="U2813" s="62" t="str">
        <f aca="false">IF(C2813="","",IF(LEFT(D2813,1)="⚠","⚠ RUT no registrado en Trabajadores",IF(B2813="","⚠ Falta el mes",IF(OR(ISTEXT(I2813),ISTEXT(J2813)),"⚠ Atrasos u horas extra como texto: escriba hh:mm (ej. 1:30)",IF(AND(ISNUMBER(Q2813),COUNTIFS(M_RUTN,V2813,M_MES,B2813,M_LIQ,"&lt;&gt;")&gt;1),"⚠ Liquidación repetida en el mes",IF(AND(ISNUMBER(O2813),ISNUMBER(P2813),ISNUMBER(Q2813),ABS(O2813-P2813-Q2813)&gt;1),"⚠ Haberes − descuentos no da el líquido","OK"))))))</f>
        <v/>
      </c>
      <c r="V2813" s="62" t="str">
        <f aca="false">IF(C2813="","",IFERROR(VALUE(LEFT(UPPER(SUBSTITUTE(SUBSTITUTE(SUBSTITUTE(TRIM(C2813),".",""),"-","")," ","")),LEN(UPPER(SUBSTITUTE(SUBSTITUTE(SUBSTITUTE(TRIM(C2813),".",""),"-","")," ","")))-1))&amp;RIGHT(UPPER(SUBSTITUTE(SUBSTITUTE(SUBSTITUTE(TRIM(C2813),".",""),"-","")," ","")),1),UPPER(SUBSTITUTE(SUBSTITUTE(SUBSTITUTE(TRIM(C2813),".",""),"-","")," ",""))))</f>
        <v/>
      </c>
    </row>
    <row r="2814" customFormat="false" ht="15" hidden="false" customHeight="false" outlineLevel="0" collapsed="false">
      <c r="B2814" s="80"/>
      <c r="C2814" s="58"/>
      <c r="D2814" s="62" t="str">
        <f aca="false">IF(C2814="","",IFERROR(INDEX(T_NOMBRE,MATCH(V2814,T_RUTN,0)),"⚠ RUT no está en Trabajadores"))</f>
        <v/>
      </c>
      <c r="E2814" s="61"/>
      <c r="F2814" s="61"/>
      <c r="G2814" s="61"/>
      <c r="H2814" s="61"/>
      <c r="I2814" s="81"/>
      <c r="J2814" s="81"/>
      <c r="K2814" s="60"/>
      <c r="L2814" s="60"/>
      <c r="M2814" s="60"/>
      <c r="N2814" s="60"/>
      <c r="O2814" s="60"/>
      <c r="P2814" s="60"/>
      <c r="Q2814" s="60"/>
      <c r="R2814" s="58"/>
      <c r="S2814" s="62" t="str">
        <f aca="false">IF(OR(B2814="",V2814=""),"",IFERROR(INDEX(C_TIPO,MATCH(V2814&amp;"-P"&amp;MAX(1,COUNTIFS(C_RUTN,V2814,C_DEF,"Sí",C_INI,"&lt;="&amp;EOMONTH(B2814,0))),C_CLAVE,0))&amp;"","Sin contrato"))</f>
        <v/>
      </c>
      <c r="T2814" s="63" t="str">
        <f aca="false">IF(OR(B2814="",N(O2814)=0),"",N(O2814)+ROUND(MIN(N(N2814),TOPE_UF*UF_MES)*(TASA_EMP+MUTUAL),0)+ROUND(MIN(N(N2814),TOPE_AFC_UF*UF_MES)*IF(S2814="Indefinido",AFC_INDEF,AFC_PF),0))</f>
        <v/>
      </c>
      <c r="U2814" s="62" t="str">
        <f aca="false">IF(C2814="","",IF(LEFT(D2814,1)="⚠","⚠ RUT no registrado en Trabajadores",IF(B2814="","⚠ Falta el mes",IF(OR(ISTEXT(I2814),ISTEXT(J2814)),"⚠ Atrasos u horas extra como texto: escriba hh:mm (ej. 1:30)",IF(AND(ISNUMBER(Q2814),COUNTIFS(M_RUTN,V2814,M_MES,B2814,M_LIQ,"&lt;&gt;")&gt;1),"⚠ Liquidación repetida en el mes",IF(AND(ISNUMBER(O2814),ISNUMBER(P2814),ISNUMBER(Q2814),ABS(O2814-P2814-Q2814)&gt;1),"⚠ Haberes − descuentos no da el líquido","OK"))))))</f>
        <v/>
      </c>
      <c r="V2814" s="62" t="str">
        <f aca="false">IF(C2814="","",IFERROR(VALUE(LEFT(UPPER(SUBSTITUTE(SUBSTITUTE(SUBSTITUTE(TRIM(C2814),".",""),"-","")," ","")),LEN(UPPER(SUBSTITUTE(SUBSTITUTE(SUBSTITUTE(TRIM(C2814),".",""),"-","")," ","")))-1))&amp;RIGHT(UPPER(SUBSTITUTE(SUBSTITUTE(SUBSTITUTE(TRIM(C2814),".",""),"-","")," ","")),1),UPPER(SUBSTITUTE(SUBSTITUTE(SUBSTITUTE(TRIM(C2814),".",""),"-","")," ",""))))</f>
        <v/>
      </c>
    </row>
    <row r="2815" customFormat="false" ht="15" hidden="false" customHeight="false" outlineLevel="0" collapsed="false">
      <c r="B2815" s="80"/>
      <c r="C2815" s="58"/>
      <c r="D2815" s="62" t="str">
        <f aca="false">IF(C2815="","",IFERROR(INDEX(T_NOMBRE,MATCH(V2815,T_RUTN,0)),"⚠ RUT no está en Trabajadores"))</f>
        <v/>
      </c>
      <c r="E2815" s="61"/>
      <c r="F2815" s="61"/>
      <c r="G2815" s="61"/>
      <c r="H2815" s="61"/>
      <c r="I2815" s="81"/>
      <c r="J2815" s="81"/>
      <c r="K2815" s="60"/>
      <c r="L2815" s="60"/>
      <c r="M2815" s="60"/>
      <c r="N2815" s="60"/>
      <c r="O2815" s="60"/>
      <c r="P2815" s="60"/>
      <c r="Q2815" s="60"/>
      <c r="R2815" s="58"/>
      <c r="S2815" s="62" t="str">
        <f aca="false">IF(OR(B2815="",V2815=""),"",IFERROR(INDEX(C_TIPO,MATCH(V2815&amp;"-P"&amp;MAX(1,COUNTIFS(C_RUTN,V2815,C_DEF,"Sí",C_INI,"&lt;="&amp;EOMONTH(B2815,0))),C_CLAVE,0))&amp;"","Sin contrato"))</f>
        <v/>
      </c>
      <c r="T2815" s="63" t="str">
        <f aca="false">IF(OR(B2815="",N(O2815)=0),"",N(O2815)+ROUND(MIN(N(N2815),TOPE_UF*UF_MES)*(TASA_EMP+MUTUAL),0)+ROUND(MIN(N(N2815),TOPE_AFC_UF*UF_MES)*IF(S2815="Indefinido",AFC_INDEF,AFC_PF),0))</f>
        <v/>
      </c>
      <c r="U2815" s="62" t="str">
        <f aca="false">IF(C2815="","",IF(LEFT(D2815,1)="⚠","⚠ RUT no registrado en Trabajadores",IF(B2815="","⚠ Falta el mes",IF(OR(ISTEXT(I2815),ISTEXT(J2815)),"⚠ Atrasos u horas extra como texto: escriba hh:mm (ej. 1:30)",IF(AND(ISNUMBER(Q2815),COUNTIFS(M_RUTN,V2815,M_MES,B2815,M_LIQ,"&lt;&gt;")&gt;1),"⚠ Liquidación repetida en el mes",IF(AND(ISNUMBER(O2815),ISNUMBER(P2815),ISNUMBER(Q2815),ABS(O2815-P2815-Q2815)&gt;1),"⚠ Haberes − descuentos no da el líquido","OK"))))))</f>
        <v/>
      </c>
      <c r="V2815" s="62" t="str">
        <f aca="false">IF(C2815="","",IFERROR(VALUE(LEFT(UPPER(SUBSTITUTE(SUBSTITUTE(SUBSTITUTE(TRIM(C2815),".",""),"-","")," ","")),LEN(UPPER(SUBSTITUTE(SUBSTITUTE(SUBSTITUTE(TRIM(C2815),".",""),"-","")," ","")))-1))&amp;RIGHT(UPPER(SUBSTITUTE(SUBSTITUTE(SUBSTITUTE(TRIM(C2815),".",""),"-","")," ","")),1),UPPER(SUBSTITUTE(SUBSTITUTE(SUBSTITUTE(TRIM(C2815),".",""),"-","")," ",""))))</f>
        <v/>
      </c>
    </row>
    <row r="2816" customFormat="false" ht="15" hidden="false" customHeight="false" outlineLevel="0" collapsed="false">
      <c r="B2816" s="80"/>
      <c r="C2816" s="58"/>
      <c r="D2816" s="62" t="str">
        <f aca="false">IF(C2816="","",IFERROR(INDEX(T_NOMBRE,MATCH(V2816,T_RUTN,0)),"⚠ RUT no está en Trabajadores"))</f>
        <v/>
      </c>
      <c r="E2816" s="61"/>
      <c r="F2816" s="61"/>
      <c r="G2816" s="61"/>
      <c r="H2816" s="61"/>
      <c r="I2816" s="81"/>
      <c r="J2816" s="81"/>
      <c r="K2816" s="60"/>
      <c r="L2816" s="60"/>
      <c r="M2816" s="60"/>
      <c r="N2816" s="60"/>
      <c r="O2816" s="60"/>
      <c r="P2816" s="60"/>
      <c r="Q2816" s="60"/>
      <c r="R2816" s="58"/>
      <c r="S2816" s="62" t="str">
        <f aca="false">IF(OR(B2816="",V2816=""),"",IFERROR(INDEX(C_TIPO,MATCH(V2816&amp;"-P"&amp;MAX(1,COUNTIFS(C_RUTN,V2816,C_DEF,"Sí",C_INI,"&lt;="&amp;EOMONTH(B2816,0))),C_CLAVE,0))&amp;"","Sin contrato"))</f>
        <v/>
      </c>
      <c r="T2816" s="63" t="str">
        <f aca="false">IF(OR(B2816="",N(O2816)=0),"",N(O2816)+ROUND(MIN(N(N2816),TOPE_UF*UF_MES)*(TASA_EMP+MUTUAL),0)+ROUND(MIN(N(N2816),TOPE_AFC_UF*UF_MES)*IF(S2816="Indefinido",AFC_INDEF,AFC_PF),0))</f>
        <v/>
      </c>
      <c r="U2816" s="62" t="str">
        <f aca="false">IF(C2816="","",IF(LEFT(D2816,1)="⚠","⚠ RUT no registrado en Trabajadores",IF(B2816="","⚠ Falta el mes",IF(OR(ISTEXT(I2816),ISTEXT(J2816)),"⚠ Atrasos u horas extra como texto: escriba hh:mm (ej. 1:30)",IF(AND(ISNUMBER(Q2816),COUNTIFS(M_RUTN,V2816,M_MES,B2816,M_LIQ,"&lt;&gt;")&gt;1),"⚠ Liquidación repetida en el mes",IF(AND(ISNUMBER(O2816),ISNUMBER(P2816),ISNUMBER(Q2816),ABS(O2816-P2816-Q2816)&gt;1),"⚠ Haberes − descuentos no da el líquido","OK"))))))</f>
        <v/>
      </c>
      <c r="V2816" s="62" t="str">
        <f aca="false">IF(C2816="","",IFERROR(VALUE(LEFT(UPPER(SUBSTITUTE(SUBSTITUTE(SUBSTITUTE(TRIM(C2816),".",""),"-","")," ","")),LEN(UPPER(SUBSTITUTE(SUBSTITUTE(SUBSTITUTE(TRIM(C2816),".",""),"-","")," ","")))-1))&amp;RIGHT(UPPER(SUBSTITUTE(SUBSTITUTE(SUBSTITUTE(TRIM(C2816),".",""),"-","")," ","")),1),UPPER(SUBSTITUTE(SUBSTITUTE(SUBSTITUTE(TRIM(C2816),".",""),"-","")," ",""))))</f>
        <v/>
      </c>
    </row>
    <row r="2817" customFormat="false" ht="15" hidden="false" customHeight="false" outlineLevel="0" collapsed="false">
      <c r="B2817" s="80"/>
      <c r="C2817" s="58"/>
      <c r="D2817" s="62" t="str">
        <f aca="false">IF(C2817="","",IFERROR(INDEX(T_NOMBRE,MATCH(V2817,T_RUTN,0)),"⚠ RUT no está en Trabajadores"))</f>
        <v/>
      </c>
      <c r="E2817" s="61"/>
      <c r="F2817" s="61"/>
      <c r="G2817" s="61"/>
      <c r="H2817" s="61"/>
      <c r="I2817" s="81"/>
      <c r="J2817" s="81"/>
      <c r="K2817" s="60"/>
      <c r="L2817" s="60"/>
      <c r="M2817" s="60"/>
      <c r="N2817" s="60"/>
      <c r="O2817" s="60"/>
      <c r="P2817" s="60"/>
      <c r="Q2817" s="60"/>
      <c r="R2817" s="58"/>
      <c r="S2817" s="62" t="str">
        <f aca="false">IF(OR(B2817="",V2817=""),"",IFERROR(INDEX(C_TIPO,MATCH(V2817&amp;"-P"&amp;MAX(1,COUNTIFS(C_RUTN,V2817,C_DEF,"Sí",C_INI,"&lt;="&amp;EOMONTH(B2817,0))),C_CLAVE,0))&amp;"","Sin contrato"))</f>
        <v/>
      </c>
      <c r="T2817" s="63" t="str">
        <f aca="false">IF(OR(B2817="",N(O2817)=0),"",N(O2817)+ROUND(MIN(N(N2817),TOPE_UF*UF_MES)*(TASA_EMP+MUTUAL),0)+ROUND(MIN(N(N2817),TOPE_AFC_UF*UF_MES)*IF(S2817="Indefinido",AFC_INDEF,AFC_PF),0))</f>
        <v/>
      </c>
      <c r="U2817" s="62" t="str">
        <f aca="false">IF(C2817="","",IF(LEFT(D2817,1)="⚠","⚠ RUT no registrado en Trabajadores",IF(B2817="","⚠ Falta el mes",IF(OR(ISTEXT(I2817),ISTEXT(J2817)),"⚠ Atrasos u horas extra como texto: escriba hh:mm (ej. 1:30)",IF(AND(ISNUMBER(Q2817),COUNTIFS(M_RUTN,V2817,M_MES,B2817,M_LIQ,"&lt;&gt;")&gt;1),"⚠ Liquidación repetida en el mes",IF(AND(ISNUMBER(O2817),ISNUMBER(P2817),ISNUMBER(Q2817),ABS(O2817-P2817-Q2817)&gt;1),"⚠ Haberes − descuentos no da el líquido","OK"))))))</f>
        <v/>
      </c>
      <c r="V2817" s="62" t="str">
        <f aca="false">IF(C2817="","",IFERROR(VALUE(LEFT(UPPER(SUBSTITUTE(SUBSTITUTE(SUBSTITUTE(TRIM(C2817),".",""),"-","")," ","")),LEN(UPPER(SUBSTITUTE(SUBSTITUTE(SUBSTITUTE(TRIM(C2817),".",""),"-","")," ","")))-1))&amp;RIGHT(UPPER(SUBSTITUTE(SUBSTITUTE(SUBSTITUTE(TRIM(C2817),".",""),"-","")," ","")),1),UPPER(SUBSTITUTE(SUBSTITUTE(SUBSTITUTE(TRIM(C2817),".",""),"-","")," ",""))))</f>
        <v/>
      </c>
    </row>
    <row r="2818" customFormat="false" ht="15" hidden="false" customHeight="false" outlineLevel="0" collapsed="false">
      <c r="B2818" s="80"/>
      <c r="C2818" s="58"/>
      <c r="D2818" s="62" t="str">
        <f aca="false">IF(C2818="","",IFERROR(INDEX(T_NOMBRE,MATCH(V2818,T_RUTN,0)),"⚠ RUT no está en Trabajadores"))</f>
        <v/>
      </c>
      <c r="E2818" s="61"/>
      <c r="F2818" s="61"/>
      <c r="G2818" s="61"/>
      <c r="H2818" s="61"/>
      <c r="I2818" s="81"/>
      <c r="J2818" s="81"/>
      <c r="K2818" s="60"/>
      <c r="L2818" s="60"/>
      <c r="M2818" s="60"/>
      <c r="N2818" s="60"/>
      <c r="O2818" s="60"/>
      <c r="P2818" s="60"/>
      <c r="Q2818" s="60"/>
      <c r="R2818" s="58"/>
      <c r="S2818" s="62" t="str">
        <f aca="false">IF(OR(B2818="",V2818=""),"",IFERROR(INDEX(C_TIPO,MATCH(V2818&amp;"-P"&amp;MAX(1,COUNTIFS(C_RUTN,V2818,C_DEF,"Sí",C_INI,"&lt;="&amp;EOMONTH(B2818,0))),C_CLAVE,0))&amp;"","Sin contrato"))</f>
        <v/>
      </c>
      <c r="T2818" s="63" t="str">
        <f aca="false">IF(OR(B2818="",N(O2818)=0),"",N(O2818)+ROUND(MIN(N(N2818),TOPE_UF*UF_MES)*(TASA_EMP+MUTUAL),0)+ROUND(MIN(N(N2818),TOPE_AFC_UF*UF_MES)*IF(S2818="Indefinido",AFC_INDEF,AFC_PF),0))</f>
        <v/>
      </c>
      <c r="U2818" s="62" t="str">
        <f aca="false">IF(C2818="","",IF(LEFT(D2818,1)="⚠","⚠ RUT no registrado en Trabajadores",IF(B2818="","⚠ Falta el mes",IF(OR(ISTEXT(I2818),ISTEXT(J2818)),"⚠ Atrasos u horas extra como texto: escriba hh:mm (ej. 1:30)",IF(AND(ISNUMBER(Q2818),COUNTIFS(M_RUTN,V2818,M_MES,B2818,M_LIQ,"&lt;&gt;")&gt;1),"⚠ Liquidación repetida en el mes",IF(AND(ISNUMBER(O2818),ISNUMBER(P2818),ISNUMBER(Q2818),ABS(O2818-P2818-Q2818)&gt;1),"⚠ Haberes − descuentos no da el líquido","OK"))))))</f>
        <v/>
      </c>
      <c r="V2818" s="62" t="str">
        <f aca="false">IF(C2818="","",IFERROR(VALUE(LEFT(UPPER(SUBSTITUTE(SUBSTITUTE(SUBSTITUTE(TRIM(C2818),".",""),"-","")," ","")),LEN(UPPER(SUBSTITUTE(SUBSTITUTE(SUBSTITUTE(TRIM(C2818),".",""),"-","")," ","")))-1))&amp;RIGHT(UPPER(SUBSTITUTE(SUBSTITUTE(SUBSTITUTE(TRIM(C2818),".",""),"-","")," ","")),1),UPPER(SUBSTITUTE(SUBSTITUTE(SUBSTITUTE(TRIM(C2818),".",""),"-","")," ",""))))</f>
        <v/>
      </c>
    </row>
    <row r="2819" customFormat="false" ht="15" hidden="false" customHeight="false" outlineLevel="0" collapsed="false">
      <c r="B2819" s="80"/>
      <c r="C2819" s="58"/>
      <c r="D2819" s="62" t="str">
        <f aca="false">IF(C2819="","",IFERROR(INDEX(T_NOMBRE,MATCH(V2819,T_RUTN,0)),"⚠ RUT no está en Trabajadores"))</f>
        <v/>
      </c>
      <c r="E2819" s="61"/>
      <c r="F2819" s="61"/>
      <c r="G2819" s="61"/>
      <c r="H2819" s="61"/>
      <c r="I2819" s="81"/>
      <c r="J2819" s="81"/>
      <c r="K2819" s="60"/>
      <c r="L2819" s="60"/>
      <c r="M2819" s="60"/>
      <c r="N2819" s="60"/>
      <c r="O2819" s="60"/>
      <c r="P2819" s="60"/>
      <c r="Q2819" s="60"/>
      <c r="R2819" s="58"/>
      <c r="S2819" s="62" t="str">
        <f aca="false">IF(OR(B2819="",V2819=""),"",IFERROR(INDEX(C_TIPO,MATCH(V2819&amp;"-P"&amp;MAX(1,COUNTIFS(C_RUTN,V2819,C_DEF,"Sí",C_INI,"&lt;="&amp;EOMONTH(B2819,0))),C_CLAVE,0))&amp;"","Sin contrato"))</f>
        <v/>
      </c>
      <c r="T2819" s="63" t="str">
        <f aca="false">IF(OR(B2819="",N(O2819)=0),"",N(O2819)+ROUND(MIN(N(N2819),TOPE_UF*UF_MES)*(TASA_EMP+MUTUAL),0)+ROUND(MIN(N(N2819),TOPE_AFC_UF*UF_MES)*IF(S2819="Indefinido",AFC_INDEF,AFC_PF),0))</f>
        <v/>
      </c>
      <c r="U2819" s="62" t="str">
        <f aca="false">IF(C2819="","",IF(LEFT(D2819,1)="⚠","⚠ RUT no registrado en Trabajadores",IF(B2819="","⚠ Falta el mes",IF(OR(ISTEXT(I2819),ISTEXT(J2819)),"⚠ Atrasos u horas extra como texto: escriba hh:mm (ej. 1:30)",IF(AND(ISNUMBER(Q2819),COUNTIFS(M_RUTN,V2819,M_MES,B2819,M_LIQ,"&lt;&gt;")&gt;1),"⚠ Liquidación repetida en el mes",IF(AND(ISNUMBER(O2819),ISNUMBER(P2819),ISNUMBER(Q2819),ABS(O2819-P2819-Q2819)&gt;1),"⚠ Haberes − descuentos no da el líquido","OK"))))))</f>
        <v/>
      </c>
      <c r="V2819" s="62" t="str">
        <f aca="false">IF(C2819="","",IFERROR(VALUE(LEFT(UPPER(SUBSTITUTE(SUBSTITUTE(SUBSTITUTE(TRIM(C2819),".",""),"-","")," ","")),LEN(UPPER(SUBSTITUTE(SUBSTITUTE(SUBSTITUTE(TRIM(C2819),".",""),"-","")," ","")))-1))&amp;RIGHT(UPPER(SUBSTITUTE(SUBSTITUTE(SUBSTITUTE(TRIM(C2819),".",""),"-","")," ","")),1),UPPER(SUBSTITUTE(SUBSTITUTE(SUBSTITUTE(TRIM(C2819),".",""),"-","")," ",""))))</f>
        <v/>
      </c>
    </row>
    <row r="2820" customFormat="false" ht="15" hidden="false" customHeight="false" outlineLevel="0" collapsed="false">
      <c r="B2820" s="80"/>
      <c r="C2820" s="58"/>
      <c r="D2820" s="62" t="str">
        <f aca="false">IF(C2820="","",IFERROR(INDEX(T_NOMBRE,MATCH(V2820,T_RUTN,0)),"⚠ RUT no está en Trabajadores"))</f>
        <v/>
      </c>
      <c r="E2820" s="61"/>
      <c r="F2820" s="61"/>
      <c r="G2820" s="61"/>
      <c r="H2820" s="61"/>
      <c r="I2820" s="81"/>
      <c r="J2820" s="81"/>
      <c r="K2820" s="60"/>
      <c r="L2820" s="60"/>
      <c r="M2820" s="60"/>
      <c r="N2820" s="60"/>
      <c r="O2820" s="60"/>
      <c r="P2820" s="60"/>
      <c r="Q2820" s="60"/>
      <c r="R2820" s="58"/>
      <c r="S2820" s="62" t="str">
        <f aca="false">IF(OR(B2820="",V2820=""),"",IFERROR(INDEX(C_TIPO,MATCH(V2820&amp;"-P"&amp;MAX(1,COUNTIFS(C_RUTN,V2820,C_DEF,"Sí",C_INI,"&lt;="&amp;EOMONTH(B2820,0))),C_CLAVE,0))&amp;"","Sin contrato"))</f>
        <v/>
      </c>
      <c r="T2820" s="63" t="str">
        <f aca="false">IF(OR(B2820="",N(O2820)=0),"",N(O2820)+ROUND(MIN(N(N2820),TOPE_UF*UF_MES)*(TASA_EMP+MUTUAL),0)+ROUND(MIN(N(N2820),TOPE_AFC_UF*UF_MES)*IF(S2820="Indefinido",AFC_INDEF,AFC_PF),0))</f>
        <v/>
      </c>
      <c r="U2820" s="62" t="str">
        <f aca="false">IF(C2820="","",IF(LEFT(D2820,1)="⚠","⚠ RUT no registrado en Trabajadores",IF(B2820="","⚠ Falta el mes",IF(OR(ISTEXT(I2820),ISTEXT(J2820)),"⚠ Atrasos u horas extra como texto: escriba hh:mm (ej. 1:30)",IF(AND(ISNUMBER(Q2820),COUNTIFS(M_RUTN,V2820,M_MES,B2820,M_LIQ,"&lt;&gt;")&gt;1),"⚠ Liquidación repetida en el mes",IF(AND(ISNUMBER(O2820),ISNUMBER(P2820),ISNUMBER(Q2820),ABS(O2820-P2820-Q2820)&gt;1),"⚠ Haberes − descuentos no da el líquido","OK"))))))</f>
        <v/>
      </c>
      <c r="V2820" s="62" t="str">
        <f aca="false">IF(C2820="","",IFERROR(VALUE(LEFT(UPPER(SUBSTITUTE(SUBSTITUTE(SUBSTITUTE(TRIM(C2820),".",""),"-","")," ","")),LEN(UPPER(SUBSTITUTE(SUBSTITUTE(SUBSTITUTE(TRIM(C2820),".",""),"-","")," ","")))-1))&amp;RIGHT(UPPER(SUBSTITUTE(SUBSTITUTE(SUBSTITUTE(TRIM(C2820),".",""),"-","")," ","")),1),UPPER(SUBSTITUTE(SUBSTITUTE(SUBSTITUTE(TRIM(C2820),".",""),"-","")," ",""))))</f>
        <v/>
      </c>
    </row>
    <row r="2821" customFormat="false" ht="15" hidden="false" customHeight="false" outlineLevel="0" collapsed="false">
      <c r="B2821" s="80"/>
      <c r="C2821" s="58"/>
      <c r="D2821" s="62" t="str">
        <f aca="false">IF(C2821="","",IFERROR(INDEX(T_NOMBRE,MATCH(V2821,T_RUTN,0)),"⚠ RUT no está en Trabajadores"))</f>
        <v/>
      </c>
      <c r="E2821" s="61"/>
      <c r="F2821" s="61"/>
      <c r="G2821" s="61"/>
      <c r="H2821" s="61"/>
      <c r="I2821" s="81"/>
      <c r="J2821" s="81"/>
      <c r="K2821" s="60"/>
      <c r="L2821" s="60"/>
      <c r="M2821" s="60"/>
      <c r="N2821" s="60"/>
      <c r="O2821" s="60"/>
      <c r="P2821" s="60"/>
      <c r="Q2821" s="60"/>
      <c r="R2821" s="58"/>
      <c r="S2821" s="62" t="str">
        <f aca="false">IF(OR(B2821="",V2821=""),"",IFERROR(INDEX(C_TIPO,MATCH(V2821&amp;"-P"&amp;MAX(1,COUNTIFS(C_RUTN,V2821,C_DEF,"Sí",C_INI,"&lt;="&amp;EOMONTH(B2821,0))),C_CLAVE,0))&amp;"","Sin contrato"))</f>
        <v/>
      </c>
      <c r="T2821" s="63" t="str">
        <f aca="false">IF(OR(B2821="",N(O2821)=0),"",N(O2821)+ROUND(MIN(N(N2821),TOPE_UF*UF_MES)*(TASA_EMP+MUTUAL),0)+ROUND(MIN(N(N2821),TOPE_AFC_UF*UF_MES)*IF(S2821="Indefinido",AFC_INDEF,AFC_PF),0))</f>
        <v/>
      </c>
      <c r="U2821" s="62" t="str">
        <f aca="false">IF(C2821="","",IF(LEFT(D2821,1)="⚠","⚠ RUT no registrado en Trabajadores",IF(B2821="","⚠ Falta el mes",IF(OR(ISTEXT(I2821),ISTEXT(J2821)),"⚠ Atrasos u horas extra como texto: escriba hh:mm (ej. 1:30)",IF(AND(ISNUMBER(Q2821),COUNTIFS(M_RUTN,V2821,M_MES,B2821,M_LIQ,"&lt;&gt;")&gt;1),"⚠ Liquidación repetida en el mes",IF(AND(ISNUMBER(O2821),ISNUMBER(P2821),ISNUMBER(Q2821),ABS(O2821-P2821-Q2821)&gt;1),"⚠ Haberes − descuentos no da el líquido","OK"))))))</f>
        <v/>
      </c>
      <c r="V2821" s="62" t="str">
        <f aca="false">IF(C2821="","",IFERROR(VALUE(LEFT(UPPER(SUBSTITUTE(SUBSTITUTE(SUBSTITUTE(TRIM(C2821),".",""),"-","")," ","")),LEN(UPPER(SUBSTITUTE(SUBSTITUTE(SUBSTITUTE(TRIM(C2821),".",""),"-","")," ","")))-1))&amp;RIGHT(UPPER(SUBSTITUTE(SUBSTITUTE(SUBSTITUTE(TRIM(C2821),".",""),"-","")," ","")),1),UPPER(SUBSTITUTE(SUBSTITUTE(SUBSTITUTE(TRIM(C2821),".",""),"-","")," ",""))))</f>
        <v/>
      </c>
    </row>
    <row r="2822" customFormat="false" ht="15" hidden="false" customHeight="false" outlineLevel="0" collapsed="false">
      <c r="B2822" s="80"/>
      <c r="C2822" s="58"/>
      <c r="D2822" s="62" t="str">
        <f aca="false">IF(C2822="","",IFERROR(INDEX(T_NOMBRE,MATCH(V2822,T_RUTN,0)),"⚠ RUT no está en Trabajadores"))</f>
        <v/>
      </c>
      <c r="E2822" s="61"/>
      <c r="F2822" s="61"/>
      <c r="G2822" s="61"/>
      <c r="H2822" s="61"/>
      <c r="I2822" s="81"/>
      <c r="J2822" s="81"/>
      <c r="K2822" s="60"/>
      <c r="L2822" s="60"/>
      <c r="M2822" s="60"/>
      <c r="N2822" s="60"/>
      <c r="O2822" s="60"/>
      <c r="P2822" s="60"/>
      <c r="Q2822" s="60"/>
      <c r="R2822" s="58"/>
      <c r="S2822" s="62" t="str">
        <f aca="false">IF(OR(B2822="",V2822=""),"",IFERROR(INDEX(C_TIPO,MATCH(V2822&amp;"-P"&amp;MAX(1,COUNTIFS(C_RUTN,V2822,C_DEF,"Sí",C_INI,"&lt;="&amp;EOMONTH(B2822,0))),C_CLAVE,0))&amp;"","Sin contrato"))</f>
        <v/>
      </c>
      <c r="T2822" s="63" t="str">
        <f aca="false">IF(OR(B2822="",N(O2822)=0),"",N(O2822)+ROUND(MIN(N(N2822),TOPE_UF*UF_MES)*(TASA_EMP+MUTUAL),0)+ROUND(MIN(N(N2822),TOPE_AFC_UF*UF_MES)*IF(S2822="Indefinido",AFC_INDEF,AFC_PF),0))</f>
        <v/>
      </c>
      <c r="U2822" s="62" t="str">
        <f aca="false">IF(C2822="","",IF(LEFT(D2822,1)="⚠","⚠ RUT no registrado en Trabajadores",IF(B2822="","⚠ Falta el mes",IF(OR(ISTEXT(I2822),ISTEXT(J2822)),"⚠ Atrasos u horas extra como texto: escriba hh:mm (ej. 1:30)",IF(AND(ISNUMBER(Q2822),COUNTIFS(M_RUTN,V2822,M_MES,B2822,M_LIQ,"&lt;&gt;")&gt;1),"⚠ Liquidación repetida en el mes",IF(AND(ISNUMBER(O2822),ISNUMBER(P2822),ISNUMBER(Q2822),ABS(O2822-P2822-Q2822)&gt;1),"⚠ Haberes − descuentos no da el líquido","OK"))))))</f>
        <v/>
      </c>
      <c r="V2822" s="62" t="str">
        <f aca="false">IF(C2822="","",IFERROR(VALUE(LEFT(UPPER(SUBSTITUTE(SUBSTITUTE(SUBSTITUTE(TRIM(C2822),".",""),"-","")," ","")),LEN(UPPER(SUBSTITUTE(SUBSTITUTE(SUBSTITUTE(TRIM(C2822),".",""),"-","")," ","")))-1))&amp;RIGHT(UPPER(SUBSTITUTE(SUBSTITUTE(SUBSTITUTE(TRIM(C2822),".",""),"-","")," ","")),1),UPPER(SUBSTITUTE(SUBSTITUTE(SUBSTITUTE(TRIM(C2822),".",""),"-","")," ",""))))</f>
        <v/>
      </c>
    </row>
    <row r="2823" customFormat="false" ht="15" hidden="false" customHeight="false" outlineLevel="0" collapsed="false">
      <c r="B2823" s="80"/>
      <c r="C2823" s="58"/>
      <c r="D2823" s="62" t="str">
        <f aca="false">IF(C2823="","",IFERROR(INDEX(T_NOMBRE,MATCH(V2823,T_RUTN,0)),"⚠ RUT no está en Trabajadores"))</f>
        <v/>
      </c>
      <c r="E2823" s="61"/>
      <c r="F2823" s="61"/>
      <c r="G2823" s="61"/>
      <c r="H2823" s="61"/>
      <c r="I2823" s="81"/>
      <c r="J2823" s="81"/>
      <c r="K2823" s="60"/>
      <c r="L2823" s="60"/>
      <c r="M2823" s="60"/>
      <c r="N2823" s="60"/>
      <c r="O2823" s="60"/>
      <c r="P2823" s="60"/>
      <c r="Q2823" s="60"/>
      <c r="R2823" s="58"/>
      <c r="S2823" s="62" t="str">
        <f aca="false">IF(OR(B2823="",V2823=""),"",IFERROR(INDEX(C_TIPO,MATCH(V2823&amp;"-P"&amp;MAX(1,COUNTIFS(C_RUTN,V2823,C_DEF,"Sí",C_INI,"&lt;="&amp;EOMONTH(B2823,0))),C_CLAVE,0))&amp;"","Sin contrato"))</f>
        <v/>
      </c>
      <c r="T2823" s="63" t="str">
        <f aca="false">IF(OR(B2823="",N(O2823)=0),"",N(O2823)+ROUND(MIN(N(N2823),TOPE_UF*UF_MES)*(TASA_EMP+MUTUAL),0)+ROUND(MIN(N(N2823),TOPE_AFC_UF*UF_MES)*IF(S2823="Indefinido",AFC_INDEF,AFC_PF),0))</f>
        <v/>
      </c>
      <c r="U2823" s="62" t="str">
        <f aca="false">IF(C2823="","",IF(LEFT(D2823,1)="⚠","⚠ RUT no registrado en Trabajadores",IF(B2823="","⚠ Falta el mes",IF(OR(ISTEXT(I2823),ISTEXT(J2823)),"⚠ Atrasos u horas extra como texto: escriba hh:mm (ej. 1:30)",IF(AND(ISNUMBER(Q2823),COUNTIFS(M_RUTN,V2823,M_MES,B2823,M_LIQ,"&lt;&gt;")&gt;1),"⚠ Liquidación repetida en el mes",IF(AND(ISNUMBER(O2823),ISNUMBER(P2823),ISNUMBER(Q2823),ABS(O2823-P2823-Q2823)&gt;1),"⚠ Haberes − descuentos no da el líquido","OK"))))))</f>
        <v/>
      </c>
      <c r="V2823" s="62" t="str">
        <f aca="false">IF(C2823="","",IFERROR(VALUE(LEFT(UPPER(SUBSTITUTE(SUBSTITUTE(SUBSTITUTE(TRIM(C2823),".",""),"-","")," ","")),LEN(UPPER(SUBSTITUTE(SUBSTITUTE(SUBSTITUTE(TRIM(C2823),".",""),"-","")," ","")))-1))&amp;RIGHT(UPPER(SUBSTITUTE(SUBSTITUTE(SUBSTITUTE(TRIM(C2823),".",""),"-","")," ","")),1),UPPER(SUBSTITUTE(SUBSTITUTE(SUBSTITUTE(TRIM(C2823),".",""),"-","")," ",""))))</f>
        <v/>
      </c>
    </row>
    <row r="2824" customFormat="false" ht="15" hidden="false" customHeight="false" outlineLevel="0" collapsed="false">
      <c r="B2824" s="80"/>
      <c r="C2824" s="58"/>
      <c r="D2824" s="62" t="str">
        <f aca="false">IF(C2824="","",IFERROR(INDEX(T_NOMBRE,MATCH(V2824,T_RUTN,0)),"⚠ RUT no está en Trabajadores"))</f>
        <v/>
      </c>
      <c r="E2824" s="61"/>
      <c r="F2824" s="61"/>
      <c r="G2824" s="61"/>
      <c r="H2824" s="61"/>
      <c r="I2824" s="81"/>
      <c r="J2824" s="81"/>
      <c r="K2824" s="60"/>
      <c r="L2824" s="60"/>
      <c r="M2824" s="60"/>
      <c r="N2824" s="60"/>
      <c r="O2824" s="60"/>
      <c r="P2824" s="60"/>
      <c r="Q2824" s="60"/>
      <c r="R2824" s="58"/>
      <c r="S2824" s="62" t="str">
        <f aca="false">IF(OR(B2824="",V2824=""),"",IFERROR(INDEX(C_TIPO,MATCH(V2824&amp;"-P"&amp;MAX(1,COUNTIFS(C_RUTN,V2824,C_DEF,"Sí",C_INI,"&lt;="&amp;EOMONTH(B2824,0))),C_CLAVE,0))&amp;"","Sin contrato"))</f>
        <v/>
      </c>
      <c r="T2824" s="63" t="str">
        <f aca="false">IF(OR(B2824="",N(O2824)=0),"",N(O2824)+ROUND(MIN(N(N2824),TOPE_UF*UF_MES)*(TASA_EMP+MUTUAL),0)+ROUND(MIN(N(N2824),TOPE_AFC_UF*UF_MES)*IF(S2824="Indefinido",AFC_INDEF,AFC_PF),0))</f>
        <v/>
      </c>
      <c r="U2824" s="62" t="str">
        <f aca="false">IF(C2824="","",IF(LEFT(D2824,1)="⚠","⚠ RUT no registrado en Trabajadores",IF(B2824="","⚠ Falta el mes",IF(OR(ISTEXT(I2824),ISTEXT(J2824)),"⚠ Atrasos u horas extra como texto: escriba hh:mm (ej. 1:30)",IF(AND(ISNUMBER(Q2824),COUNTIFS(M_RUTN,V2824,M_MES,B2824,M_LIQ,"&lt;&gt;")&gt;1),"⚠ Liquidación repetida en el mes",IF(AND(ISNUMBER(O2824),ISNUMBER(P2824),ISNUMBER(Q2824),ABS(O2824-P2824-Q2824)&gt;1),"⚠ Haberes − descuentos no da el líquido","OK"))))))</f>
        <v/>
      </c>
      <c r="V2824" s="62" t="str">
        <f aca="false">IF(C2824="","",IFERROR(VALUE(LEFT(UPPER(SUBSTITUTE(SUBSTITUTE(SUBSTITUTE(TRIM(C2824),".",""),"-","")," ","")),LEN(UPPER(SUBSTITUTE(SUBSTITUTE(SUBSTITUTE(TRIM(C2824),".",""),"-","")," ","")))-1))&amp;RIGHT(UPPER(SUBSTITUTE(SUBSTITUTE(SUBSTITUTE(TRIM(C2824),".",""),"-","")," ","")),1),UPPER(SUBSTITUTE(SUBSTITUTE(SUBSTITUTE(TRIM(C2824),".",""),"-","")," ",""))))</f>
        <v/>
      </c>
    </row>
    <row r="2825" customFormat="false" ht="15" hidden="false" customHeight="false" outlineLevel="0" collapsed="false">
      <c r="B2825" s="80"/>
      <c r="C2825" s="58"/>
      <c r="D2825" s="62" t="str">
        <f aca="false">IF(C2825="","",IFERROR(INDEX(T_NOMBRE,MATCH(V2825,T_RUTN,0)),"⚠ RUT no está en Trabajadores"))</f>
        <v/>
      </c>
      <c r="E2825" s="61"/>
      <c r="F2825" s="61"/>
      <c r="G2825" s="61"/>
      <c r="H2825" s="61"/>
      <c r="I2825" s="81"/>
      <c r="J2825" s="81"/>
      <c r="K2825" s="60"/>
      <c r="L2825" s="60"/>
      <c r="M2825" s="60"/>
      <c r="N2825" s="60"/>
      <c r="O2825" s="60"/>
      <c r="P2825" s="60"/>
      <c r="Q2825" s="60"/>
      <c r="R2825" s="58"/>
      <c r="S2825" s="62" t="str">
        <f aca="false">IF(OR(B2825="",V2825=""),"",IFERROR(INDEX(C_TIPO,MATCH(V2825&amp;"-P"&amp;MAX(1,COUNTIFS(C_RUTN,V2825,C_DEF,"Sí",C_INI,"&lt;="&amp;EOMONTH(B2825,0))),C_CLAVE,0))&amp;"","Sin contrato"))</f>
        <v/>
      </c>
      <c r="T2825" s="63" t="str">
        <f aca="false">IF(OR(B2825="",N(O2825)=0),"",N(O2825)+ROUND(MIN(N(N2825),TOPE_UF*UF_MES)*(TASA_EMP+MUTUAL),0)+ROUND(MIN(N(N2825),TOPE_AFC_UF*UF_MES)*IF(S2825="Indefinido",AFC_INDEF,AFC_PF),0))</f>
        <v/>
      </c>
      <c r="U2825" s="62" t="str">
        <f aca="false">IF(C2825="","",IF(LEFT(D2825,1)="⚠","⚠ RUT no registrado en Trabajadores",IF(B2825="","⚠ Falta el mes",IF(OR(ISTEXT(I2825),ISTEXT(J2825)),"⚠ Atrasos u horas extra como texto: escriba hh:mm (ej. 1:30)",IF(AND(ISNUMBER(Q2825),COUNTIFS(M_RUTN,V2825,M_MES,B2825,M_LIQ,"&lt;&gt;")&gt;1),"⚠ Liquidación repetida en el mes",IF(AND(ISNUMBER(O2825),ISNUMBER(P2825),ISNUMBER(Q2825),ABS(O2825-P2825-Q2825)&gt;1),"⚠ Haberes − descuentos no da el líquido","OK"))))))</f>
        <v/>
      </c>
      <c r="V2825" s="62" t="str">
        <f aca="false">IF(C2825="","",IFERROR(VALUE(LEFT(UPPER(SUBSTITUTE(SUBSTITUTE(SUBSTITUTE(TRIM(C2825),".",""),"-","")," ","")),LEN(UPPER(SUBSTITUTE(SUBSTITUTE(SUBSTITUTE(TRIM(C2825),".",""),"-","")," ","")))-1))&amp;RIGHT(UPPER(SUBSTITUTE(SUBSTITUTE(SUBSTITUTE(TRIM(C2825),".",""),"-","")," ","")),1),UPPER(SUBSTITUTE(SUBSTITUTE(SUBSTITUTE(TRIM(C2825),".",""),"-","")," ",""))))</f>
        <v/>
      </c>
    </row>
    <row r="2826" customFormat="false" ht="15" hidden="false" customHeight="false" outlineLevel="0" collapsed="false">
      <c r="B2826" s="80"/>
      <c r="C2826" s="58"/>
      <c r="D2826" s="62" t="str">
        <f aca="false">IF(C2826="","",IFERROR(INDEX(T_NOMBRE,MATCH(V2826,T_RUTN,0)),"⚠ RUT no está en Trabajadores"))</f>
        <v/>
      </c>
      <c r="E2826" s="61"/>
      <c r="F2826" s="61"/>
      <c r="G2826" s="61"/>
      <c r="H2826" s="61"/>
      <c r="I2826" s="81"/>
      <c r="J2826" s="81"/>
      <c r="K2826" s="60"/>
      <c r="L2826" s="60"/>
      <c r="M2826" s="60"/>
      <c r="N2826" s="60"/>
      <c r="O2826" s="60"/>
      <c r="P2826" s="60"/>
      <c r="Q2826" s="60"/>
      <c r="R2826" s="58"/>
      <c r="S2826" s="62" t="str">
        <f aca="false">IF(OR(B2826="",V2826=""),"",IFERROR(INDEX(C_TIPO,MATCH(V2826&amp;"-P"&amp;MAX(1,COUNTIFS(C_RUTN,V2826,C_DEF,"Sí",C_INI,"&lt;="&amp;EOMONTH(B2826,0))),C_CLAVE,0))&amp;"","Sin contrato"))</f>
        <v/>
      </c>
      <c r="T2826" s="63" t="str">
        <f aca="false">IF(OR(B2826="",N(O2826)=0),"",N(O2826)+ROUND(MIN(N(N2826),TOPE_UF*UF_MES)*(TASA_EMP+MUTUAL),0)+ROUND(MIN(N(N2826),TOPE_AFC_UF*UF_MES)*IF(S2826="Indefinido",AFC_INDEF,AFC_PF),0))</f>
        <v/>
      </c>
      <c r="U2826" s="62" t="str">
        <f aca="false">IF(C2826="","",IF(LEFT(D2826,1)="⚠","⚠ RUT no registrado en Trabajadores",IF(B2826="","⚠ Falta el mes",IF(OR(ISTEXT(I2826),ISTEXT(J2826)),"⚠ Atrasos u horas extra como texto: escriba hh:mm (ej. 1:30)",IF(AND(ISNUMBER(Q2826),COUNTIFS(M_RUTN,V2826,M_MES,B2826,M_LIQ,"&lt;&gt;")&gt;1),"⚠ Liquidación repetida en el mes",IF(AND(ISNUMBER(O2826),ISNUMBER(P2826),ISNUMBER(Q2826),ABS(O2826-P2826-Q2826)&gt;1),"⚠ Haberes − descuentos no da el líquido","OK"))))))</f>
        <v/>
      </c>
      <c r="V2826" s="62" t="str">
        <f aca="false">IF(C2826="","",IFERROR(VALUE(LEFT(UPPER(SUBSTITUTE(SUBSTITUTE(SUBSTITUTE(TRIM(C2826),".",""),"-","")," ","")),LEN(UPPER(SUBSTITUTE(SUBSTITUTE(SUBSTITUTE(TRIM(C2826),".",""),"-","")," ","")))-1))&amp;RIGHT(UPPER(SUBSTITUTE(SUBSTITUTE(SUBSTITUTE(TRIM(C2826),".",""),"-","")," ","")),1),UPPER(SUBSTITUTE(SUBSTITUTE(SUBSTITUTE(TRIM(C2826),".",""),"-","")," ",""))))</f>
        <v/>
      </c>
    </row>
    <row r="2827" customFormat="false" ht="15" hidden="false" customHeight="false" outlineLevel="0" collapsed="false">
      <c r="B2827" s="80"/>
      <c r="C2827" s="58"/>
      <c r="D2827" s="62" t="str">
        <f aca="false">IF(C2827="","",IFERROR(INDEX(T_NOMBRE,MATCH(V2827,T_RUTN,0)),"⚠ RUT no está en Trabajadores"))</f>
        <v/>
      </c>
      <c r="E2827" s="61"/>
      <c r="F2827" s="61"/>
      <c r="G2827" s="61"/>
      <c r="H2827" s="61"/>
      <c r="I2827" s="81"/>
      <c r="J2827" s="81"/>
      <c r="K2827" s="60"/>
      <c r="L2827" s="60"/>
      <c r="M2827" s="60"/>
      <c r="N2827" s="60"/>
      <c r="O2827" s="60"/>
      <c r="P2827" s="60"/>
      <c r="Q2827" s="60"/>
      <c r="R2827" s="58"/>
      <c r="S2827" s="62" t="str">
        <f aca="false">IF(OR(B2827="",V2827=""),"",IFERROR(INDEX(C_TIPO,MATCH(V2827&amp;"-P"&amp;MAX(1,COUNTIFS(C_RUTN,V2827,C_DEF,"Sí",C_INI,"&lt;="&amp;EOMONTH(B2827,0))),C_CLAVE,0))&amp;"","Sin contrato"))</f>
        <v/>
      </c>
      <c r="T2827" s="63" t="str">
        <f aca="false">IF(OR(B2827="",N(O2827)=0),"",N(O2827)+ROUND(MIN(N(N2827),TOPE_UF*UF_MES)*(TASA_EMP+MUTUAL),0)+ROUND(MIN(N(N2827),TOPE_AFC_UF*UF_MES)*IF(S2827="Indefinido",AFC_INDEF,AFC_PF),0))</f>
        <v/>
      </c>
      <c r="U2827" s="62" t="str">
        <f aca="false">IF(C2827="","",IF(LEFT(D2827,1)="⚠","⚠ RUT no registrado en Trabajadores",IF(B2827="","⚠ Falta el mes",IF(OR(ISTEXT(I2827),ISTEXT(J2827)),"⚠ Atrasos u horas extra como texto: escriba hh:mm (ej. 1:30)",IF(AND(ISNUMBER(Q2827),COUNTIFS(M_RUTN,V2827,M_MES,B2827,M_LIQ,"&lt;&gt;")&gt;1),"⚠ Liquidación repetida en el mes",IF(AND(ISNUMBER(O2827),ISNUMBER(P2827),ISNUMBER(Q2827),ABS(O2827-P2827-Q2827)&gt;1),"⚠ Haberes − descuentos no da el líquido","OK"))))))</f>
        <v/>
      </c>
      <c r="V2827" s="62" t="str">
        <f aca="false">IF(C2827="","",IFERROR(VALUE(LEFT(UPPER(SUBSTITUTE(SUBSTITUTE(SUBSTITUTE(TRIM(C2827),".",""),"-","")," ","")),LEN(UPPER(SUBSTITUTE(SUBSTITUTE(SUBSTITUTE(TRIM(C2827),".",""),"-","")," ","")))-1))&amp;RIGHT(UPPER(SUBSTITUTE(SUBSTITUTE(SUBSTITUTE(TRIM(C2827),".",""),"-","")," ","")),1),UPPER(SUBSTITUTE(SUBSTITUTE(SUBSTITUTE(TRIM(C2827),".",""),"-","")," ",""))))</f>
        <v/>
      </c>
    </row>
    <row r="2828" customFormat="false" ht="15" hidden="false" customHeight="false" outlineLevel="0" collapsed="false">
      <c r="B2828" s="80"/>
      <c r="C2828" s="58"/>
      <c r="D2828" s="62" t="str">
        <f aca="false">IF(C2828="","",IFERROR(INDEX(T_NOMBRE,MATCH(V2828,T_RUTN,0)),"⚠ RUT no está en Trabajadores"))</f>
        <v/>
      </c>
      <c r="E2828" s="61"/>
      <c r="F2828" s="61"/>
      <c r="G2828" s="61"/>
      <c r="H2828" s="61"/>
      <c r="I2828" s="81"/>
      <c r="J2828" s="81"/>
      <c r="K2828" s="60"/>
      <c r="L2828" s="60"/>
      <c r="M2828" s="60"/>
      <c r="N2828" s="60"/>
      <c r="O2828" s="60"/>
      <c r="P2828" s="60"/>
      <c r="Q2828" s="60"/>
      <c r="R2828" s="58"/>
      <c r="S2828" s="62" t="str">
        <f aca="false">IF(OR(B2828="",V2828=""),"",IFERROR(INDEX(C_TIPO,MATCH(V2828&amp;"-P"&amp;MAX(1,COUNTIFS(C_RUTN,V2828,C_DEF,"Sí",C_INI,"&lt;="&amp;EOMONTH(B2828,0))),C_CLAVE,0))&amp;"","Sin contrato"))</f>
        <v/>
      </c>
      <c r="T2828" s="63" t="str">
        <f aca="false">IF(OR(B2828="",N(O2828)=0),"",N(O2828)+ROUND(MIN(N(N2828),TOPE_UF*UF_MES)*(TASA_EMP+MUTUAL),0)+ROUND(MIN(N(N2828),TOPE_AFC_UF*UF_MES)*IF(S2828="Indefinido",AFC_INDEF,AFC_PF),0))</f>
        <v/>
      </c>
      <c r="U2828" s="62" t="str">
        <f aca="false">IF(C2828="","",IF(LEFT(D2828,1)="⚠","⚠ RUT no registrado en Trabajadores",IF(B2828="","⚠ Falta el mes",IF(OR(ISTEXT(I2828),ISTEXT(J2828)),"⚠ Atrasos u horas extra como texto: escriba hh:mm (ej. 1:30)",IF(AND(ISNUMBER(Q2828),COUNTIFS(M_RUTN,V2828,M_MES,B2828,M_LIQ,"&lt;&gt;")&gt;1),"⚠ Liquidación repetida en el mes",IF(AND(ISNUMBER(O2828),ISNUMBER(P2828),ISNUMBER(Q2828),ABS(O2828-P2828-Q2828)&gt;1),"⚠ Haberes − descuentos no da el líquido","OK"))))))</f>
        <v/>
      </c>
      <c r="V2828" s="62" t="str">
        <f aca="false">IF(C2828="","",IFERROR(VALUE(LEFT(UPPER(SUBSTITUTE(SUBSTITUTE(SUBSTITUTE(TRIM(C2828),".",""),"-","")," ","")),LEN(UPPER(SUBSTITUTE(SUBSTITUTE(SUBSTITUTE(TRIM(C2828),".",""),"-","")," ","")))-1))&amp;RIGHT(UPPER(SUBSTITUTE(SUBSTITUTE(SUBSTITUTE(TRIM(C2828),".",""),"-","")," ","")),1),UPPER(SUBSTITUTE(SUBSTITUTE(SUBSTITUTE(TRIM(C2828),".",""),"-","")," ",""))))</f>
        <v/>
      </c>
    </row>
    <row r="2829" customFormat="false" ht="15" hidden="false" customHeight="false" outlineLevel="0" collapsed="false">
      <c r="B2829" s="80"/>
      <c r="C2829" s="58"/>
      <c r="D2829" s="62" t="str">
        <f aca="false">IF(C2829="","",IFERROR(INDEX(T_NOMBRE,MATCH(V2829,T_RUTN,0)),"⚠ RUT no está en Trabajadores"))</f>
        <v/>
      </c>
      <c r="E2829" s="61"/>
      <c r="F2829" s="61"/>
      <c r="G2829" s="61"/>
      <c r="H2829" s="61"/>
      <c r="I2829" s="81"/>
      <c r="J2829" s="81"/>
      <c r="K2829" s="60"/>
      <c r="L2829" s="60"/>
      <c r="M2829" s="60"/>
      <c r="N2829" s="60"/>
      <c r="O2829" s="60"/>
      <c r="P2829" s="60"/>
      <c r="Q2829" s="60"/>
      <c r="R2829" s="58"/>
      <c r="S2829" s="62" t="str">
        <f aca="false">IF(OR(B2829="",V2829=""),"",IFERROR(INDEX(C_TIPO,MATCH(V2829&amp;"-P"&amp;MAX(1,COUNTIFS(C_RUTN,V2829,C_DEF,"Sí",C_INI,"&lt;="&amp;EOMONTH(B2829,0))),C_CLAVE,0))&amp;"","Sin contrato"))</f>
        <v/>
      </c>
      <c r="T2829" s="63" t="str">
        <f aca="false">IF(OR(B2829="",N(O2829)=0),"",N(O2829)+ROUND(MIN(N(N2829),TOPE_UF*UF_MES)*(TASA_EMP+MUTUAL),0)+ROUND(MIN(N(N2829),TOPE_AFC_UF*UF_MES)*IF(S2829="Indefinido",AFC_INDEF,AFC_PF),0))</f>
        <v/>
      </c>
      <c r="U2829" s="62" t="str">
        <f aca="false">IF(C2829="","",IF(LEFT(D2829,1)="⚠","⚠ RUT no registrado en Trabajadores",IF(B2829="","⚠ Falta el mes",IF(OR(ISTEXT(I2829),ISTEXT(J2829)),"⚠ Atrasos u horas extra como texto: escriba hh:mm (ej. 1:30)",IF(AND(ISNUMBER(Q2829),COUNTIFS(M_RUTN,V2829,M_MES,B2829,M_LIQ,"&lt;&gt;")&gt;1),"⚠ Liquidación repetida en el mes",IF(AND(ISNUMBER(O2829),ISNUMBER(P2829),ISNUMBER(Q2829),ABS(O2829-P2829-Q2829)&gt;1),"⚠ Haberes − descuentos no da el líquido","OK"))))))</f>
        <v/>
      </c>
      <c r="V2829" s="62" t="str">
        <f aca="false">IF(C2829="","",IFERROR(VALUE(LEFT(UPPER(SUBSTITUTE(SUBSTITUTE(SUBSTITUTE(TRIM(C2829),".",""),"-","")," ","")),LEN(UPPER(SUBSTITUTE(SUBSTITUTE(SUBSTITUTE(TRIM(C2829),".",""),"-","")," ","")))-1))&amp;RIGHT(UPPER(SUBSTITUTE(SUBSTITUTE(SUBSTITUTE(TRIM(C2829),".",""),"-","")," ","")),1),UPPER(SUBSTITUTE(SUBSTITUTE(SUBSTITUTE(TRIM(C2829),".",""),"-","")," ",""))))</f>
        <v/>
      </c>
    </row>
    <row r="2830" customFormat="false" ht="15" hidden="false" customHeight="false" outlineLevel="0" collapsed="false">
      <c r="B2830" s="80"/>
      <c r="C2830" s="58"/>
      <c r="D2830" s="62" t="str">
        <f aca="false">IF(C2830="","",IFERROR(INDEX(T_NOMBRE,MATCH(V2830,T_RUTN,0)),"⚠ RUT no está en Trabajadores"))</f>
        <v/>
      </c>
      <c r="E2830" s="61"/>
      <c r="F2830" s="61"/>
      <c r="G2830" s="61"/>
      <c r="H2830" s="61"/>
      <c r="I2830" s="81"/>
      <c r="J2830" s="81"/>
      <c r="K2830" s="60"/>
      <c r="L2830" s="60"/>
      <c r="M2830" s="60"/>
      <c r="N2830" s="60"/>
      <c r="O2830" s="60"/>
      <c r="P2830" s="60"/>
      <c r="Q2830" s="60"/>
      <c r="R2830" s="58"/>
      <c r="S2830" s="62" t="str">
        <f aca="false">IF(OR(B2830="",V2830=""),"",IFERROR(INDEX(C_TIPO,MATCH(V2830&amp;"-P"&amp;MAX(1,COUNTIFS(C_RUTN,V2830,C_DEF,"Sí",C_INI,"&lt;="&amp;EOMONTH(B2830,0))),C_CLAVE,0))&amp;"","Sin contrato"))</f>
        <v/>
      </c>
      <c r="T2830" s="63" t="str">
        <f aca="false">IF(OR(B2830="",N(O2830)=0),"",N(O2830)+ROUND(MIN(N(N2830),TOPE_UF*UF_MES)*(TASA_EMP+MUTUAL),0)+ROUND(MIN(N(N2830),TOPE_AFC_UF*UF_MES)*IF(S2830="Indefinido",AFC_INDEF,AFC_PF),0))</f>
        <v/>
      </c>
      <c r="U2830" s="62" t="str">
        <f aca="false">IF(C2830="","",IF(LEFT(D2830,1)="⚠","⚠ RUT no registrado en Trabajadores",IF(B2830="","⚠ Falta el mes",IF(OR(ISTEXT(I2830),ISTEXT(J2830)),"⚠ Atrasos u horas extra como texto: escriba hh:mm (ej. 1:30)",IF(AND(ISNUMBER(Q2830),COUNTIFS(M_RUTN,V2830,M_MES,B2830,M_LIQ,"&lt;&gt;")&gt;1),"⚠ Liquidación repetida en el mes",IF(AND(ISNUMBER(O2830),ISNUMBER(P2830),ISNUMBER(Q2830),ABS(O2830-P2830-Q2830)&gt;1),"⚠ Haberes − descuentos no da el líquido","OK"))))))</f>
        <v/>
      </c>
      <c r="V2830" s="62" t="str">
        <f aca="false">IF(C2830="","",IFERROR(VALUE(LEFT(UPPER(SUBSTITUTE(SUBSTITUTE(SUBSTITUTE(TRIM(C2830),".",""),"-","")," ","")),LEN(UPPER(SUBSTITUTE(SUBSTITUTE(SUBSTITUTE(TRIM(C2830),".",""),"-","")," ","")))-1))&amp;RIGHT(UPPER(SUBSTITUTE(SUBSTITUTE(SUBSTITUTE(TRIM(C2830),".",""),"-","")," ","")),1),UPPER(SUBSTITUTE(SUBSTITUTE(SUBSTITUTE(TRIM(C2830),".",""),"-","")," ",""))))</f>
        <v/>
      </c>
    </row>
    <row r="2831" customFormat="false" ht="15" hidden="false" customHeight="false" outlineLevel="0" collapsed="false">
      <c r="B2831" s="80"/>
      <c r="C2831" s="58"/>
      <c r="D2831" s="62" t="str">
        <f aca="false">IF(C2831="","",IFERROR(INDEX(T_NOMBRE,MATCH(V2831,T_RUTN,0)),"⚠ RUT no está en Trabajadores"))</f>
        <v/>
      </c>
      <c r="E2831" s="61"/>
      <c r="F2831" s="61"/>
      <c r="G2831" s="61"/>
      <c r="H2831" s="61"/>
      <c r="I2831" s="81"/>
      <c r="J2831" s="81"/>
      <c r="K2831" s="60"/>
      <c r="L2831" s="60"/>
      <c r="M2831" s="60"/>
      <c r="N2831" s="60"/>
      <c r="O2831" s="60"/>
      <c r="P2831" s="60"/>
      <c r="Q2831" s="60"/>
      <c r="R2831" s="58"/>
      <c r="S2831" s="62" t="str">
        <f aca="false">IF(OR(B2831="",V2831=""),"",IFERROR(INDEX(C_TIPO,MATCH(V2831&amp;"-P"&amp;MAX(1,COUNTIFS(C_RUTN,V2831,C_DEF,"Sí",C_INI,"&lt;="&amp;EOMONTH(B2831,0))),C_CLAVE,0))&amp;"","Sin contrato"))</f>
        <v/>
      </c>
      <c r="T2831" s="63" t="str">
        <f aca="false">IF(OR(B2831="",N(O2831)=0),"",N(O2831)+ROUND(MIN(N(N2831),TOPE_UF*UF_MES)*(TASA_EMP+MUTUAL),0)+ROUND(MIN(N(N2831),TOPE_AFC_UF*UF_MES)*IF(S2831="Indefinido",AFC_INDEF,AFC_PF),0))</f>
        <v/>
      </c>
      <c r="U2831" s="62" t="str">
        <f aca="false">IF(C2831="","",IF(LEFT(D2831,1)="⚠","⚠ RUT no registrado en Trabajadores",IF(B2831="","⚠ Falta el mes",IF(OR(ISTEXT(I2831),ISTEXT(J2831)),"⚠ Atrasos u horas extra como texto: escriba hh:mm (ej. 1:30)",IF(AND(ISNUMBER(Q2831),COUNTIFS(M_RUTN,V2831,M_MES,B2831,M_LIQ,"&lt;&gt;")&gt;1),"⚠ Liquidación repetida en el mes",IF(AND(ISNUMBER(O2831),ISNUMBER(P2831),ISNUMBER(Q2831),ABS(O2831-P2831-Q2831)&gt;1),"⚠ Haberes − descuentos no da el líquido","OK"))))))</f>
        <v/>
      </c>
      <c r="V2831" s="62" t="str">
        <f aca="false">IF(C2831="","",IFERROR(VALUE(LEFT(UPPER(SUBSTITUTE(SUBSTITUTE(SUBSTITUTE(TRIM(C2831),".",""),"-","")," ","")),LEN(UPPER(SUBSTITUTE(SUBSTITUTE(SUBSTITUTE(TRIM(C2831),".",""),"-","")," ","")))-1))&amp;RIGHT(UPPER(SUBSTITUTE(SUBSTITUTE(SUBSTITUTE(TRIM(C2831),".",""),"-","")," ","")),1),UPPER(SUBSTITUTE(SUBSTITUTE(SUBSTITUTE(TRIM(C2831),".",""),"-","")," ",""))))</f>
        <v/>
      </c>
    </row>
    <row r="2832" customFormat="false" ht="15" hidden="false" customHeight="false" outlineLevel="0" collapsed="false">
      <c r="B2832" s="80"/>
      <c r="C2832" s="58"/>
      <c r="D2832" s="62" t="str">
        <f aca="false">IF(C2832="","",IFERROR(INDEX(T_NOMBRE,MATCH(V2832,T_RUTN,0)),"⚠ RUT no está en Trabajadores"))</f>
        <v/>
      </c>
      <c r="E2832" s="61"/>
      <c r="F2832" s="61"/>
      <c r="G2832" s="61"/>
      <c r="H2832" s="61"/>
      <c r="I2832" s="81"/>
      <c r="J2832" s="81"/>
      <c r="K2832" s="60"/>
      <c r="L2832" s="60"/>
      <c r="M2832" s="60"/>
      <c r="N2832" s="60"/>
      <c r="O2832" s="60"/>
      <c r="P2832" s="60"/>
      <c r="Q2832" s="60"/>
      <c r="R2832" s="58"/>
      <c r="S2832" s="62" t="str">
        <f aca="false">IF(OR(B2832="",V2832=""),"",IFERROR(INDEX(C_TIPO,MATCH(V2832&amp;"-P"&amp;MAX(1,COUNTIFS(C_RUTN,V2832,C_DEF,"Sí",C_INI,"&lt;="&amp;EOMONTH(B2832,0))),C_CLAVE,0))&amp;"","Sin contrato"))</f>
        <v/>
      </c>
      <c r="T2832" s="63" t="str">
        <f aca="false">IF(OR(B2832="",N(O2832)=0),"",N(O2832)+ROUND(MIN(N(N2832),TOPE_UF*UF_MES)*(TASA_EMP+MUTUAL),0)+ROUND(MIN(N(N2832),TOPE_AFC_UF*UF_MES)*IF(S2832="Indefinido",AFC_INDEF,AFC_PF),0))</f>
        <v/>
      </c>
      <c r="U2832" s="62" t="str">
        <f aca="false">IF(C2832="","",IF(LEFT(D2832,1)="⚠","⚠ RUT no registrado en Trabajadores",IF(B2832="","⚠ Falta el mes",IF(OR(ISTEXT(I2832),ISTEXT(J2832)),"⚠ Atrasos u horas extra como texto: escriba hh:mm (ej. 1:30)",IF(AND(ISNUMBER(Q2832),COUNTIFS(M_RUTN,V2832,M_MES,B2832,M_LIQ,"&lt;&gt;")&gt;1),"⚠ Liquidación repetida en el mes",IF(AND(ISNUMBER(O2832),ISNUMBER(P2832),ISNUMBER(Q2832),ABS(O2832-P2832-Q2832)&gt;1),"⚠ Haberes − descuentos no da el líquido","OK"))))))</f>
        <v/>
      </c>
      <c r="V2832" s="62" t="str">
        <f aca="false">IF(C2832="","",IFERROR(VALUE(LEFT(UPPER(SUBSTITUTE(SUBSTITUTE(SUBSTITUTE(TRIM(C2832),".",""),"-","")," ","")),LEN(UPPER(SUBSTITUTE(SUBSTITUTE(SUBSTITUTE(TRIM(C2832),".",""),"-","")," ","")))-1))&amp;RIGHT(UPPER(SUBSTITUTE(SUBSTITUTE(SUBSTITUTE(TRIM(C2832),".",""),"-","")," ","")),1),UPPER(SUBSTITUTE(SUBSTITUTE(SUBSTITUTE(TRIM(C2832),".",""),"-","")," ",""))))</f>
        <v/>
      </c>
    </row>
    <row r="2833" customFormat="false" ht="15" hidden="false" customHeight="false" outlineLevel="0" collapsed="false">
      <c r="B2833" s="80"/>
      <c r="C2833" s="58"/>
      <c r="D2833" s="62" t="str">
        <f aca="false">IF(C2833="","",IFERROR(INDEX(T_NOMBRE,MATCH(V2833,T_RUTN,0)),"⚠ RUT no está en Trabajadores"))</f>
        <v/>
      </c>
      <c r="E2833" s="61"/>
      <c r="F2833" s="61"/>
      <c r="G2833" s="61"/>
      <c r="H2833" s="61"/>
      <c r="I2833" s="81"/>
      <c r="J2833" s="81"/>
      <c r="K2833" s="60"/>
      <c r="L2833" s="60"/>
      <c r="M2833" s="60"/>
      <c r="N2833" s="60"/>
      <c r="O2833" s="60"/>
      <c r="P2833" s="60"/>
      <c r="Q2833" s="60"/>
      <c r="R2833" s="58"/>
      <c r="S2833" s="62" t="str">
        <f aca="false">IF(OR(B2833="",V2833=""),"",IFERROR(INDEX(C_TIPO,MATCH(V2833&amp;"-P"&amp;MAX(1,COUNTIFS(C_RUTN,V2833,C_DEF,"Sí",C_INI,"&lt;="&amp;EOMONTH(B2833,0))),C_CLAVE,0))&amp;"","Sin contrato"))</f>
        <v/>
      </c>
      <c r="T2833" s="63" t="str">
        <f aca="false">IF(OR(B2833="",N(O2833)=0),"",N(O2833)+ROUND(MIN(N(N2833),TOPE_UF*UF_MES)*(TASA_EMP+MUTUAL),0)+ROUND(MIN(N(N2833),TOPE_AFC_UF*UF_MES)*IF(S2833="Indefinido",AFC_INDEF,AFC_PF),0))</f>
        <v/>
      </c>
      <c r="U2833" s="62" t="str">
        <f aca="false">IF(C2833="","",IF(LEFT(D2833,1)="⚠","⚠ RUT no registrado en Trabajadores",IF(B2833="","⚠ Falta el mes",IF(OR(ISTEXT(I2833),ISTEXT(J2833)),"⚠ Atrasos u horas extra como texto: escriba hh:mm (ej. 1:30)",IF(AND(ISNUMBER(Q2833),COUNTIFS(M_RUTN,V2833,M_MES,B2833,M_LIQ,"&lt;&gt;")&gt;1),"⚠ Liquidación repetida en el mes",IF(AND(ISNUMBER(O2833),ISNUMBER(P2833),ISNUMBER(Q2833),ABS(O2833-P2833-Q2833)&gt;1),"⚠ Haberes − descuentos no da el líquido","OK"))))))</f>
        <v/>
      </c>
      <c r="V2833" s="62" t="str">
        <f aca="false">IF(C2833="","",IFERROR(VALUE(LEFT(UPPER(SUBSTITUTE(SUBSTITUTE(SUBSTITUTE(TRIM(C2833),".",""),"-","")," ","")),LEN(UPPER(SUBSTITUTE(SUBSTITUTE(SUBSTITUTE(TRIM(C2833),".",""),"-","")," ","")))-1))&amp;RIGHT(UPPER(SUBSTITUTE(SUBSTITUTE(SUBSTITUTE(TRIM(C2833),".",""),"-","")," ","")),1),UPPER(SUBSTITUTE(SUBSTITUTE(SUBSTITUTE(TRIM(C2833),".",""),"-","")," ",""))))</f>
        <v/>
      </c>
    </row>
    <row r="2834" customFormat="false" ht="15" hidden="false" customHeight="false" outlineLevel="0" collapsed="false">
      <c r="B2834" s="80"/>
      <c r="C2834" s="58"/>
      <c r="D2834" s="62" t="str">
        <f aca="false">IF(C2834="","",IFERROR(INDEX(T_NOMBRE,MATCH(V2834,T_RUTN,0)),"⚠ RUT no está en Trabajadores"))</f>
        <v/>
      </c>
      <c r="E2834" s="61"/>
      <c r="F2834" s="61"/>
      <c r="G2834" s="61"/>
      <c r="H2834" s="61"/>
      <c r="I2834" s="81"/>
      <c r="J2834" s="81"/>
      <c r="K2834" s="60"/>
      <c r="L2834" s="60"/>
      <c r="M2834" s="60"/>
      <c r="N2834" s="60"/>
      <c r="O2834" s="60"/>
      <c r="P2834" s="60"/>
      <c r="Q2834" s="60"/>
      <c r="R2834" s="58"/>
      <c r="S2834" s="62" t="str">
        <f aca="false">IF(OR(B2834="",V2834=""),"",IFERROR(INDEX(C_TIPO,MATCH(V2834&amp;"-P"&amp;MAX(1,COUNTIFS(C_RUTN,V2834,C_DEF,"Sí",C_INI,"&lt;="&amp;EOMONTH(B2834,0))),C_CLAVE,0))&amp;"","Sin contrato"))</f>
        <v/>
      </c>
      <c r="T2834" s="63" t="str">
        <f aca="false">IF(OR(B2834="",N(O2834)=0),"",N(O2834)+ROUND(MIN(N(N2834),TOPE_UF*UF_MES)*(TASA_EMP+MUTUAL),0)+ROUND(MIN(N(N2834),TOPE_AFC_UF*UF_MES)*IF(S2834="Indefinido",AFC_INDEF,AFC_PF),0))</f>
        <v/>
      </c>
      <c r="U2834" s="62" t="str">
        <f aca="false">IF(C2834="","",IF(LEFT(D2834,1)="⚠","⚠ RUT no registrado en Trabajadores",IF(B2834="","⚠ Falta el mes",IF(OR(ISTEXT(I2834),ISTEXT(J2834)),"⚠ Atrasos u horas extra como texto: escriba hh:mm (ej. 1:30)",IF(AND(ISNUMBER(Q2834),COUNTIFS(M_RUTN,V2834,M_MES,B2834,M_LIQ,"&lt;&gt;")&gt;1),"⚠ Liquidación repetida en el mes",IF(AND(ISNUMBER(O2834),ISNUMBER(P2834),ISNUMBER(Q2834),ABS(O2834-P2834-Q2834)&gt;1),"⚠ Haberes − descuentos no da el líquido","OK"))))))</f>
        <v/>
      </c>
      <c r="V2834" s="62" t="str">
        <f aca="false">IF(C2834="","",IFERROR(VALUE(LEFT(UPPER(SUBSTITUTE(SUBSTITUTE(SUBSTITUTE(TRIM(C2834),".",""),"-","")," ","")),LEN(UPPER(SUBSTITUTE(SUBSTITUTE(SUBSTITUTE(TRIM(C2834),".",""),"-","")," ","")))-1))&amp;RIGHT(UPPER(SUBSTITUTE(SUBSTITUTE(SUBSTITUTE(TRIM(C2834),".",""),"-","")," ","")),1),UPPER(SUBSTITUTE(SUBSTITUTE(SUBSTITUTE(TRIM(C2834),".",""),"-","")," ",""))))</f>
        <v/>
      </c>
    </row>
    <row r="2835" customFormat="false" ht="15" hidden="false" customHeight="false" outlineLevel="0" collapsed="false">
      <c r="B2835" s="80"/>
      <c r="C2835" s="58"/>
      <c r="D2835" s="62" t="str">
        <f aca="false">IF(C2835="","",IFERROR(INDEX(T_NOMBRE,MATCH(V2835,T_RUTN,0)),"⚠ RUT no está en Trabajadores"))</f>
        <v/>
      </c>
      <c r="E2835" s="61"/>
      <c r="F2835" s="61"/>
      <c r="G2835" s="61"/>
      <c r="H2835" s="61"/>
      <c r="I2835" s="81"/>
      <c r="J2835" s="81"/>
      <c r="K2835" s="60"/>
      <c r="L2835" s="60"/>
      <c r="M2835" s="60"/>
      <c r="N2835" s="60"/>
      <c r="O2835" s="60"/>
      <c r="P2835" s="60"/>
      <c r="Q2835" s="60"/>
      <c r="R2835" s="58"/>
      <c r="S2835" s="62" t="str">
        <f aca="false">IF(OR(B2835="",V2835=""),"",IFERROR(INDEX(C_TIPO,MATCH(V2835&amp;"-P"&amp;MAX(1,COUNTIFS(C_RUTN,V2835,C_DEF,"Sí",C_INI,"&lt;="&amp;EOMONTH(B2835,0))),C_CLAVE,0))&amp;"","Sin contrato"))</f>
        <v/>
      </c>
      <c r="T2835" s="63" t="str">
        <f aca="false">IF(OR(B2835="",N(O2835)=0),"",N(O2835)+ROUND(MIN(N(N2835),TOPE_UF*UF_MES)*(TASA_EMP+MUTUAL),0)+ROUND(MIN(N(N2835),TOPE_AFC_UF*UF_MES)*IF(S2835="Indefinido",AFC_INDEF,AFC_PF),0))</f>
        <v/>
      </c>
      <c r="U2835" s="62" t="str">
        <f aca="false">IF(C2835="","",IF(LEFT(D2835,1)="⚠","⚠ RUT no registrado en Trabajadores",IF(B2835="","⚠ Falta el mes",IF(OR(ISTEXT(I2835),ISTEXT(J2835)),"⚠ Atrasos u horas extra como texto: escriba hh:mm (ej. 1:30)",IF(AND(ISNUMBER(Q2835),COUNTIFS(M_RUTN,V2835,M_MES,B2835,M_LIQ,"&lt;&gt;")&gt;1),"⚠ Liquidación repetida en el mes",IF(AND(ISNUMBER(O2835),ISNUMBER(P2835),ISNUMBER(Q2835),ABS(O2835-P2835-Q2835)&gt;1),"⚠ Haberes − descuentos no da el líquido","OK"))))))</f>
        <v/>
      </c>
      <c r="V2835" s="62" t="str">
        <f aca="false">IF(C2835="","",IFERROR(VALUE(LEFT(UPPER(SUBSTITUTE(SUBSTITUTE(SUBSTITUTE(TRIM(C2835),".",""),"-","")," ","")),LEN(UPPER(SUBSTITUTE(SUBSTITUTE(SUBSTITUTE(TRIM(C2835),".",""),"-","")," ","")))-1))&amp;RIGHT(UPPER(SUBSTITUTE(SUBSTITUTE(SUBSTITUTE(TRIM(C2835),".",""),"-","")," ","")),1),UPPER(SUBSTITUTE(SUBSTITUTE(SUBSTITUTE(TRIM(C2835),".",""),"-","")," ",""))))</f>
        <v/>
      </c>
    </row>
    <row r="2836" customFormat="false" ht="15" hidden="false" customHeight="false" outlineLevel="0" collapsed="false">
      <c r="B2836" s="80"/>
      <c r="C2836" s="58"/>
      <c r="D2836" s="62" t="str">
        <f aca="false">IF(C2836="","",IFERROR(INDEX(T_NOMBRE,MATCH(V2836,T_RUTN,0)),"⚠ RUT no está en Trabajadores"))</f>
        <v/>
      </c>
      <c r="E2836" s="61"/>
      <c r="F2836" s="61"/>
      <c r="G2836" s="61"/>
      <c r="H2836" s="61"/>
      <c r="I2836" s="81"/>
      <c r="J2836" s="81"/>
      <c r="K2836" s="60"/>
      <c r="L2836" s="60"/>
      <c r="M2836" s="60"/>
      <c r="N2836" s="60"/>
      <c r="O2836" s="60"/>
      <c r="P2836" s="60"/>
      <c r="Q2836" s="60"/>
      <c r="R2836" s="58"/>
      <c r="S2836" s="62" t="str">
        <f aca="false">IF(OR(B2836="",V2836=""),"",IFERROR(INDEX(C_TIPO,MATCH(V2836&amp;"-P"&amp;MAX(1,COUNTIFS(C_RUTN,V2836,C_DEF,"Sí",C_INI,"&lt;="&amp;EOMONTH(B2836,0))),C_CLAVE,0))&amp;"","Sin contrato"))</f>
        <v/>
      </c>
      <c r="T2836" s="63" t="str">
        <f aca="false">IF(OR(B2836="",N(O2836)=0),"",N(O2836)+ROUND(MIN(N(N2836),TOPE_UF*UF_MES)*(TASA_EMP+MUTUAL),0)+ROUND(MIN(N(N2836),TOPE_AFC_UF*UF_MES)*IF(S2836="Indefinido",AFC_INDEF,AFC_PF),0))</f>
        <v/>
      </c>
      <c r="U2836" s="62" t="str">
        <f aca="false">IF(C2836="","",IF(LEFT(D2836,1)="⚠","⚠ RUT no registrado en Trabajadores",IF(B2836="","⚠ Falta el mes",IF(OR(ISTEXT(I2836),ISTEXT(J2836)),"⚠ Atrasos u horas extra como texto: escriba hh:mm (ej. 1:30)",IF(AND(ISNUMBER(Q2836),COUNTIFS(M_RUTN,V2836,M_MES,B2836,M_LIQ,"&lt;&gt;")&gt;1),"⚠ Liquidación repetida en el mes",IF(AND(ISNUMBER(O2836),ISNUMBER(P2836),ISNUMBER(Q2836),ABS(O2836-P2836-Q2836)&gt;1),"⚠ Haberes − descuentos no da el líquido","OK"))))))</f>
        <v/>
      </c>
      <c r="V2836" s="62" t="str">
        <f aca="false">IF(C2836="","",IFERROR(VALUE(LEFT(UPPER(SUBSTITUTE(SUBSTITUTE(SUBSTITUTE(TRIM(C2836),".",""),"-","")," ","")),LEN(UPPER(SUBSTITUTE(SUBSTITUTE(SUBSTITUTE(TRIM(C2836),".",""),"-","")," ","")))-1))&amp;RIGHT(UPPER(SUBSTITUTE(SUBSTITUTE(SUBSTITUTE(TRIM(C2836),".",""),"-","")," ","")),1),UPPER(SUBSTITUTE(SUBSTITUTE(SUBSTITUTE(TRIM(C2836),".",""),"-","")," ",""))))</f>
        <v/>
      </c>
    </row>
    <row r="2837" customFormat="false" ht="15" hidden="false" customHeight="false" outlineLevel="0" collapsed="false">
      <c r="B2837" s="80"/>
      <c r="C2837" s="58"/>
      <c r="D2837" s="62" t="str">
        <f aca="false">IF(C2837="","",IFERROR(INDEX(T_NOMBRE,MATCH(V2837,T_RUTN,0)),"⚠ RUT no está en Trabajadores"))</f>
        <v/>
      </c>
      <c r="E2837" s="61"/>
      <c r="F2837" s="61"/>
      <c r="G2837" s="61"/>
      <c r="H2837" s="61"/>
      <c r="I2837" s="81"/>
      <c r="J2837" s="81"/>
      <c r="K2837" s="60"/>
      <c r="L2837" s="60"/>
      <c r="M2837" s="60"/>
      <c r="N2837" s="60"/>
      <c r="O2837" s="60"/>
      <c r="P2837" s="60"/>
      <c r="Q2837" s="60"/>
      <c r="R2837" s="58"/>
      <c r="S2837" s="62" t="str">
        <f aca="false">IF(OR(B2837="",V2837=""),"",IFERROR(INDEX(C_TIPO,MATCH(V2837&amp;"-P"&amp;MAX(1,COUNTIFS(C_RUTN,V2837,C_DEF,"Sí",C_INI,"&lt;="&amp;EOMONTH(B2837,0))),C_CLAVE,0))&amp;"","Sin contrato"))</f>
        <v/>
      </c>
      <c r="T2837" s="63" t="str">
        <f aca="false">IF(OR(B2837="",N(O2837)=0),"",N(O2837)+ROUND(MIN(N(N2837),TOPE_UF*UF_MES)*(TASA_EMP+MUTUAL),0)+ROUND(MIN(N(N2837),TOPE_AFC_UF*UF_MES)*IF(S2837="Indefinido",AFC_INDEF,AFC_PF),0))</f>
        <v/>
      </c>
      <c r="U2837" s="62" t="str">
        <f aca="false">IF(C2837="","",IF(LEFT(D2837,1)="⚠","⚠ RUT no registrado en Trabajadores",IF(B2837="","⚠ Falta el mes",IF(OR(ISTEXT(I2837),ISTEXT(J2837)),"⚠ Atrasos u horas extra como texto: escriba hh:mm (ej. 1:30)",IF(AND(ISNUMBER(Q2837),COUNTIFS(M_RUTN,V2837,M_MES,B2837,M_LIQ,"&lt;&gt;")&gt;1),"⚠ Liquidación repetida en el mes",IF(AND(ISNUMBER(O2837),ISNUMBER(P2837),ISNUMBER(Q2837),ABS(O2837-P2837-Q2837)&gt;1),"⚠ Haberes − descuentos no da el líquido","OK"))))))</f>
        <v/>
      </c>
      <c r="V2837" s="62" t="str">
        <f aca="false">IF(C2837="","",IFERROR(VALUE(LEFT(UPPER(SUBSTITUTE(SUBSTITUTE(SUBSTITUTE(TRIM(C2837),".",""),"-","")," ","")),LEN(UPPER(SUBSTITUTE(SUBSTITUTE(SUBSTITUTE(TRIM(C2837),".",""),"-","")," ","")))-1))&amp;RIGHT(UPPER(SUBSTITUTE(SUBSTITUTE(SUBSTITUTE(TRIM(C2837),".",""),"-","")," ","")),1),UPPER(SUBSTITUTE(SUBSTITUTE(SUBSTITUTE(TRIM(C2837),".",""),"-","")," ",""))))</f>
        <v/>
      </c>
    </row>
    <row r="2838" customFormat="false" ht="15" hidden="false" customHeight="false" outlineLevel="0" collapsed="false">
      <c r="B2838" s="80"/>
      <c r="C2838" s="58"/>
      <c r="D2838" s="62" t="str">
        <f aca="false">IF(C2838="","",IFERROR(INDEX(T_NOMBRE,MATCH(V2838,T_RUTN,0)),"⚠ RUT no está en Trabajadores"))</f>
        <v/>
      </c>
      <c r="E2838" s="61"/>
      <c r="F2838" s="61"/>
      <c r="G2838" s="61"/>
      <c r="H2838" s="61"/>
      <c r="I2838" s="81"/>
      <c r="J2838" s="81"/>
      <c r="K2838" s="60"/>
      <c r="L2838" s="60"/>
      <c r="M2838" s="60"/>
      <c r="N2838" s="60"/>
      <c r="O2838" s="60"/>
      <c r="P2838" s="60"/>
      <c r="Q2838" s="60"/>
      <c r="R2838" s="58"/>
      <c r="S2838" s="62" t="str">
        <f aca="false">IF(OR(B2838="",V2838=""),"",IFERROR(INDEX(C_TIPO,MATCH(V2838&amp;"-P"&amp;MAX(1,COUNTIFS(C_RUTN,V2838,C_DEF,"Sí",C_INI,"&lt;="&amp;EOMONTH(B2838,0))),C_CLAVE,0))&amp;"","Sin contrato"))</f>
        <v/>
      </c>
      <c r="T2838" s="63" t="str">
        <f aca="false">IF(OR(B2838="",N(O2838)=0),"",N(O2838)+ROUND(MIN(N(N2838),TOPE_UF*UF_MES)*(TASA_EMP+MUTUAL),0)+ROUND(MIN(N(N2838),TOPE_AFC_UF*UF_MES)*IF(S2838="Indefinido",AFC_INDEF,AFC_PF),0))</f>
        <v/>
      </c>
      <c r="U2838" s="62" t="str">
        <f aca="false">IF(C2838="","",IF(LEFT(D2838,1)="⚠","⚠ RUT no registrado en Trabajadores",IF(B2838="","⚠ Falta el mes",IF(OR(ISTEXT(I2838),ISTEXT(J2838)),"⚠ Atrasos u horas extra como texto: escriba hh:mm (ej. 1:30)",IF(AND(ISNUMBER(Q2838),COUNTIFS(M_RUTN,V2838,M_MES,B2838,M_LIQ,"&lt;&gt;")&gt;1),"⚠ Liquidación repetida en el mes",IF(AND(ISNUMBER(O2838),ISNUMBER(P2838),ISNUMBER(Q2838),ABS(O2838-P2838-Q2838)&gt;1),"⚠ Haberes − descuentos no da el líquido","OK"))))))</f>
        <v/>
      </c>
      <c r="V2838" s="62" t="str">
        <f aca="false">IF(C2838="","",IFERROR(VALUE(LEFT(UPPER(SUBSTITUTE(SUBSTITUTE(SUBSTITUTE(TRIM(C2838),".",""),"-","")," ","")),LEN(UPPER(SUBSTITUTE(SUBSTITUTE(SUBSTITUTE(TRIM(C2838),".",""),"-","")," ","")))-1))&amp;RIGHT(UPPER(SUBSTITUTE(SUBSTITUTE(SUBSTITUTE(TRIM(C2838),".",""),"-","")," ","")),1),UPPER(SUBSTITUTE(SUBSTITUTE(SUBSTITUTE(TRIM(C2838),".",""),"-","")," ",""))))</f>
        <v/>
      </c>
    </row>
    <row r="2839" customFormat="false" ht="15" hidden="false" customHeight="false" outlineLevel="0" collapsed="false">
      <c r="B2839" s="80"/>
      <c r="C2839" s="58"/>
      <c r="D2839" s="62" t="str">
        <f aca="false">IF(C2839="","",IFERROR(INDEX(T_NOMBRE,MATCH(V2839,T_RUTN,0)),"⚠ RUT no está en Trabajadores"))</f>
        <v/>
      </c>
      <c r="E2839" s="61"/>
      <c r="F2839" s="61"/>
      <c r="G2839" s="61"/>
      <c r="H2839" s="61"/>
      <c r="I2839" s="81"/>
      <c r="J2839" s="81"/>
      <c r="K2839" s="60"/>
      <c r="L2839" s="60"/>
      <c r="M2839" s="60"/>
      <c r="N2839" s="60"/>
      <c r="O2839" s="60"/>
      <c r="P2839" s="60"/>
      <c r="Q2839" s="60"/>
      <c r="R2839" s="58"/>
      <c r="S2839" s="62" t="str">
        <f aca="false">IF(OR(B2839="",V2839=""),"",IFERROR(INDEX(C_TIPO,MATCH(V2839&amp;"-P"&amp;MAX(1,COUNTIFS(C_RUTN,V2839,C_DEF,"Sí",C_INI,"&lt;="&amp;EOMONTH(B2839,0))),C_CLAVE,0))&amp;"","Sin contrato"))</f>
        <v/>
      </c>
      <c r="T2839" s="63" t="str">
        <f aca="false">IF(OR(B2839="",N(O2839)=0),"",N(O2839)+ROUND(MIN(N(N2839),TOPE_UF*UF_MES)*(TASA_EMP+MUTUAL),0)+ROUND(MIN(N(N2839),TOPE_AFC_UF*UF_MES)*IF(S2839="Indefinido",AFC_INDEF,AFC_PF),0))</f>
        <v/>
      </c>
      <c r="U2839" s="62" t="str">
        <f aca="false">IF(C2839="","",IF(LEFT(D2839,1)="⚠","⚠ RUT no registrado en Trabajadores",IF(B2839="","⚠ Falta el mes",IF(OR(ISTEXT(I2839),ISTEXT(J2839)),"⚠ Atrasos u horas extra como texto: escriba hh:mm (ej. 1:30)",IF(AND(ISNUMBER(Q2839),COUNTIFS(M_RUTN,V2839,M_MES,B2839,M_LIQ,"&lt;&gt;")&gt;1),"⚠ Liquidación repetida en el mes",IF(AND(ISNUMBER(O2839),ISNUMBER(P2839),ISNUMBER(Q2839),ABS(O2839-P2839-Q2839)&gt;1),"⚠ Haberes − descuentos no da el líquido","OK"))))))</f>
        <v/>
      </c>
      <c r="V2839" s="62" t="str">
        <f aca="false">IF(C2839="","",IFERROR(VALUE(LEFT(UPPER(SUBSTITUTE(SUBSTITUTE(SUBSTITUTE(TRIM(C2839),".",""),"-","")," ","")),LEN(UPPER(SUBSTITUTE(SUBSTITUTE(SUBSTITUTE(TRIM(C2839),".",""),"-","")," ","")))-1))&amp;RIGHT(UPPER(SUBSTITUTE(SUBSTITUTE(SUBSTITUTE(TRIM(C2839),".",""),"-","")," ","")),1),UPPER(SUBSTITUTE(SUBSTITUTE(SUBSTITUTE(TRIM(C2839),".",""),"-","")," ",""))))</f>
        <v/>
      </c>
    </row>
    <row r="2840" customFormat="false" ht="15" hidden="false" customHeight="false" outlineLevel="0" collapsed="false">
      <c r="B2840" s="80"/>
      <c r="C2840" s="58"/>
      <c r="D2840" s="62" t="str">
        <f aca="false">IF(C2840="","",IFERROR(INDEX(T_NOMBRE,MATCH(V2840,T_RUTN,0)),"⚠ RUT no está en Trabajadores"))</f>
        <v/>
      </c>
      <c r="E2840" s="61"/>
      <c r="F2840" s="61"/>
      <c r="G2840" s="61"/>
      <c r="H2840" s="61"/>
      <c r="I2840" s="81"/>
      <c r="J2840" s="81"/>
      <c r="K2840" s="60"/>
      <c r="L2840" s="60"/>
      <c r="M2840" s="60"/>
      <c r="N2840" s="60"/>
      <c r="O2840" s="60"/>
      <c r="P2840" s="60"/>
      <c r="Q2840" s="60"/>
      <c r="R2840" s="58"/>
      <c r="S2840" s="62" t="str">
        <f aca="false">IF(OR(B2840="",V2840=""),"",IFERROR(INDEX(C_TIPO,MATCH(V2840&amp;"-P"&amp;MAX(1,COUNTIFS(C_RUTN,V2840,C_DEF,"Sí",C_INI,"&lt;="&amp;EOMONTH(B2840,0))),C_CLAVE,0))&amp;"","Sin contrato"))</f>
        <v/>
      </c>
      <c r="T2840" s="63" t="str">
        <f aca="false">IF(OR(B2840="",N(O2840)=0),"",N(O2840)+ROUND(MIN(N(N2840),TOPE_UF*UF_MES)*(TASA_EMP+MUTUAL),0)+ROUND(MIN(N(N2840),TOPE_AFC_UF*UF_MES)*IF(S2840="Indefinido",AFC_INDEF,AFC_PF),0))</f>
        <v/>
      </c>
      <c r="U2840" s="62" t="str">
        <f aca="false">IF(C2840="","",IF(LEFT(D2840,1)="⚠","⚠ RUT no registrado en Trabajadores",IF(B2840="","⚠ Falta el mes",IF(OR(ISTEXT(I2840),ISTEXT(J2840)),"⚠ Atrasos u horas extra como texto: escriba hh:mm (ej. 1:30)",IF(AND(ISNUMBER(Q2840),COUNTIFS(M_RUTN,V2840,M_MES,B2840,M_LIQ,"&lt;&gt;")&gt;1),"⚠ Liquidación repetida en el mes",IF(AND(ISNUMBER(O2840),ISNUMBER(P2840),ISNUMBER(Q2840),ABS(O2840-P2840-Q2840)&gt;1),"⚠ Haberes − descuentos no da el líquido","OK"))))))</f>
        <v/>
      </c>
      <c r="V2840" s="62" t="str">
        <f aca="false">IF(C2840="","",IFERROR(VALUE(LEFT(UPPER(SUBSTITUTE(SUBSTITUTE(SUBSTITUTE(TRIM(C2840),".",""),"-","")," ","")),LEN(UPPER(SUBSTITUTE(SUBSTITUTE(SUBSTITUTE(TRIM(C2840),".",""),"-","")," ","")))-1))&amp;RIGHT(UPPER(SUBSTITUTE(SUBSTITUTE(SUBSTITUTE(TRIM(C2840),".",""),"-","")," ","")),1),UPPER(SUBSTITUTE(SUBSTITUTE(SUBSTITUTE(TRIM(C2840),".",""),"-","")," ",""))))</f>
        <v/>
      </c>
    </row>
    <row r="2841" customFormat="false" ht="15" hidden="false" customHeight="false" outlineLevel="0" collapsed="false">
      <c r="B2841" s="80"/>
      <c r="C2841" s="58"/>
      <c r="D2841" s="62" t="str">
        <f aca="false">IF(C2841="","",IFERROR(INDEX(T_NOMBRE,MATCH(V2841,T_RUTN,0)),"⚠ RUT no está en Trabajadores"))</f>
        <v/>
      </c>
      <c r="E2841" s="61"/>
      <c r="F2841" s="61"/>
      <c r="G2841" s="61"/>
      <c r="H2841" s="61"/>
      <c r="I2841" s="81"/>
      <c r="J2841" s="81"/>
      <c r="K2841" s="60"/>
      <c r="L2841" s="60"/>
      <c r="M2841" s="60"/>
      <c r="N2841" s="60"/>
      <c r="O2841" s="60"/>
      <c r="P2841" s="60"/>
      <c r="Q2841" s="60"/>
      <c r="R2841" s="58"/>
      <c r="S2841" s="62" t="str">
        <f aca="false">IF(OR(B2841="",V2841=""),"",IFERROR(INDEX(C_TIPO,MATCH(V2841&amp;"-P"&amp;MAX(1,COUNTIFS(C_RUTN,V2841,C_DEF,"Sí",C_INI,"&lt;="&amp;EOMONTH(B2841,0))),C_CLAVE,0))&amp;"","Sin contrato"))</f>
        <v/>
      </c>
      <c r="T2841" s="63" t="str">
        <f aca="false">IF(OR(B2841="",N(O2841)=0),"",N(O2841)+ROUND(MIN(N(N2841),TOPE_UF*UF_MES)*(TASA_EMP+MUTUAL),0)+ROUND(MIN(N(N2841),TOPE_AFC_UF*UF_MES)*IF(S2841="Indefinido",AFC_INDEF,AFC_PF),0))</f>
        <v/>
      </c>
      <c r="U2841" s="62" t="str">
        <f aca="false">IF(C2841="","",IF(LEFT(D2841,1)="⚠","⚠ RUT no registrado en Trabajadores",IF(B2841="","⚠ Falta el mes",IF(OR(ISTEXT(I2841),ISTEXT(J2841)),"⚠ Atrasos u horas extra como texto: escriba hh:mm (ej. 1:30)",IF(AND(ISNUMBER(Q2841),COUNTIFS(M_RUTN,V2841,M_MES,B2841,M_LIQ,"&lt;&gt;")&gt;1),"⚠ Liquidación repetida en el mes",IF(AND(ISNUMBER(O2841),ISNUMBER(P2841),ISNUMBER(Q2841),ABS(O2841-P2841-Q2841)&gt;1),"⚠ Haberes − descuentos no da el líquido","OK"))))))</f>
        <v/>
      </c>
      <c r="V2841" s="62" t="str">
        <f aca="false">IF(C2841="","",IFERROR(VALUE(LEFT(UPPER(SUBSTITUTE(SUBSTITUTE(SUBSTITUTE(TRIM(C2841),".",""),"-","")," ","")),LEN(UPPER(SUBSTITUTE(SUBSTITUTE(SUBSTITUTE(TRIM(C2841),".",""),"-","")," ","")))-1))&amp;RIGHT(UPPER(SUBSTITUTE(SUBSTITUTE(SUBSTITUTE(TRIM(C2841),".",""),"-","")," ","")),1),UPPER(SUBSTITUTE(SUBSTITUTE(SUBSTITUTE(TRIM(C2841),".",""),"-","")," ",""))))</f>
        <v/>
      </c>
    </row>
    <row r="2842" customFormat="false" ht="15" hidden="false" customHeight="false" outlineLevel="0" collapsed="false">
      <c r="B2842" s="80"/>
      <c r="C2842" s="58"/>
      <c r="D2842" s="62" t="str">
        <f aca="false">IF(C2842="","",IFERROR(INDEX(T_NOMBRE,MATCH(V2842,T_RUTN,0)),"⚠ RUT no está en Trabajadores"))</f>
        <v/>
      </c>
      <c r="E2842" s="61"/>
      <c r="F2842" s="61"/>
      <c r="G2842" s="61"/>
      <c r="H2842" s="61"/>
      <c r="I2842" s="81"/>
      <c r="J2842" s="81"/>
      <c r="K2842" s="60"/>
      <c r="L2842" s="60"/>
      <c r="M2842" s="60"/>
      <c r="N2842" s="60"/>
      <c r="O2842" s="60"/>
      <c r="P2842" s="60"/>
      <c r="Q2842" s="60"/>
      <c r="R2842" s="58"/>
      <c r="S2842" s="62" t="str">
        <f aca="false">IF(OR(B2842="",V2842=""),"",IFERROR(INDEX(C_TIPO,MATCH(V2842&amp;"-P"&amp;MAX(1,COUNTIFS(C_RUTN,V2842,C_DEF,"Sí",C_INI,"&lt;="&amp;EOMONTH(B2842,0))),C_CLAVE,0))&amp;"","Sin contrato"))</f>
        <v/>
      </c>
      <c r="T2842" s="63" t="str">
        <f aca="false">IF(OR(B2842="",N(O2842)=0),"",N(O2842)+ROUND(MIN(N(N2842),TOPE_UF*UF_MES)*(TASA_EMP+MUTUAL),0)+ROUND(MIN(N(N2842),TOPE_AFC_UF*UF_MES)*IF(S2842="Indefinido",AFC_INDEF,AFC_PF),0))</f>
        <v/>
      </c>
      <c r="U2842" s="62" t="str">
        <f aca="false">IF(C2842="","",IF(LEFT(D2842,1)="⚠","⚠ RUT no registrado en Trabajadores",IF(B2842="","⚠ Falta el mes",IF(OR(ISTEXT(I2842),ISTEXT(J2842)),"⚠ Atrasos u horas extra como texto: escriba hh:mm (ej. 1:30)",IF(AND(ISNUMBER(Q2842),COUNTIFS(M_RUTN,V2842,M_MES,B2842,M_LIQ,"&lt;&gt;")&gt;1),"⚠ Liquidación repetida en el mes",IF(AND(ISNUMBER(O2842),ISNUMBER(P2842),ISNUMBER(Q2842),ABS(O2842-P2842-Q2842)&gt;1),"⚠ Haberes − descuentos no da el líquido","OK"))))))</f>
        <v/>
      </c>
      <c r="V2842" s="62" t="str">
        <f aca="false">IF(C2842="","",IFERROR(VALUE(LEFT(UPPER(SUBSTITUTE(SUBSTITUTE(SUBSTITUTE(TRIM(C2842),".",""),"-","")," ","")),LEN(UPPER(SUBSTITUTE(SUBSTITUTE(SUBSTITUTE(TRIM(C2842),".",""),"-","")," ","")))-1))&amp;RIGHT(UPPER(SUBSTITUTE(SUBSTITUTE(SUBSTITUTE(TRIM(C2842),".",""),"-","")," ","")),1),UPPER(SUBSTITUTE(SUBSTITUTE(SUBSTITUTE(TRIM(C2842),".",""),"-","")," ",""))))</f>
        <v/>
      </c>
    </row>
    <row r="2843" customFormat="false" ht="15" hidden="false" customHeight="false" outlineLevel="0" collapsed="false">
      <c r="B2843" s="80"/>
      <c r="C2843" s="58"/>
      <c r="D2843" s="62" t="str">
        <f aca="false">IF(C2843="","",IFERROR(INDEX(T_NOMBRE,MATCH(V2843,T_RUTN,0)),"⚠ RUT no está en Trabajadores"))</f>
        <v/>
      </c>
      <c r="E2843" s="61"/>
      <c r="F2843" s="61"/>
      <c r="G2843" s="61"/>
      <c r="H2843" s="61"/>
      <c r="I2843" s="81"/>
      <c r="J2843" s="81"/>
      <c r="K2843" s="60"/>
      <c r="L2843" s="60"/>
      <c r="M2843" s="60"/>
      <c r="N2843" s="60"/>
      <c r="O2843" s="60"/>
      <c r="P2843" s="60"/>
      <c r="Q2843" s="60"/>
      <c r="R2843" s="58"/>
      <c r="S2843" s="62" t="str">
        <f aca="false">IF(OR(B2843="",V2843=""),"",IFERROR(INDEX(C_TIPO,MATCH(V2843&amp;"-P"&amp;MAX(1,COUNTIFS(C_RUTN,V2843,C_DEF,"Sí",C_INI,"&lt;="&amp;EOMONTH(B2843,0))),C_CLAVE,0))&amp;"","Sin contrato"))</f>
        <v/>
      </c>
      <c r="T2843" s="63" t="str">
        <f aca="false">IF(OR(B2843="",N(O2843)=0),"",N(O2843)+ROUND(MIN(N(N2843),TOPE_UF*UF_MES)*(TASA_EMP+MUTUAL),0)+ROUND(MIN(N(N2843),TOPE_AFC_UF*UF_MES)*IF(S2843="Indefinido",AFC_INDEF,AFC_PF),0))</f>
        <v/>
      </c>
      <c r="U2843" s="62" t="str">
        <f aca="false">IF(C2843="","",IF(LEFT(D2843,1)="⚠","⚠ RUT no registrado en Trabajadores",IF(B2843="","⚠ Falta el mes",IF(OR(ISTEXT(I2843),ISTEXT(J2843)),"⚠ Atrasos u horas extra como texto: escriba hh:mm (ej. 1:30)",IF(AND(ISNUMBER(Q2843),COUNTIFS(M_RUTN,V2843,M_MES,B2843,M_LIQ,"&lt;&gt;")&gt;1),"⚠ Liquidación repetida en el mes",IF(AND(ISNUMBER(O2843),ISNUMBER(P2843),ISNUMBER(Q2843),ABS(O2843-P2843-Q2843)&gt;1),"⚠ Haberes − descuentos no da el líquido","OK"))))))</f>
        <v/>
      </c>
      <c r="V2843" s="62" t="str">
        <f aca="false">IF(C2843="","",IFERROR(VALUE(LEFT(UPPER(SUBSTITUTE(SUBSTITUTE(SUBSTITUTE(TRIM(C2843),".",""),"-","")," ","")),LEN(UPPER(SUBSTITUTE(SUBSTITUTE(SUBSTITUTE(TRIM(C2843),".",""),"-","")," ","")))-1))&amp;RIGHT(UPPER(SUBSTITUTE(SUBSTITUTE(SUBSTITUTE(TRIM(C2843),".",""),"-","")," ","")),1),UPPER(SUBSTITUTE(SUBSTITUTE(SUBSTITUTE(TRIM(C2843),".",""),"-","")," ",""))))</f>
        <v/>
      </c>
    </row>
    <row r="2844" customFormat="false" ht="15" hidden="false" customHeight="false" outlineLevel="0" collapsed="false">
      <c r="B2844" s="80"/>
      <c r="C2844" s="58"/>
      <c r="D2844" s="62" t="str">
        <f aca="false">IF(C2844="","",IFERROR(INDEX(T_NOMBRE,MATCH(V2844,T_RUTN,0)),"⚠ RUT no está en Trabajadores"))</f>
        <v/>
      </c>
      <c r="E2844" s="61"/>
      <c r="F2844" s="61"/>
      <c r="G2844" s="61"/>
      <c r="H2844" s="61"/>
      <c r="I2844" s="81"/>
      <c r="J2844" s="81"/>
      <c r="K2844" s="60"/>
      <c r="L2844" s="60"/>
      <c r="M2844" s="60"/>
      <c r="N2844" s="60"/>
      <c r="O2844" s="60"/>
      <c r="P2844" s="60"/>
      <c r="Q2844" s="60"/>
      <c r="R2844" s="58"/>
      <c r="S2844" s="62" t="str">
        <f aca="false">IF(OR(B2844="",V2844=""),"",IFERROR(INDEX(C_TIPO,MATCH(V2844&amp;"-P"&amp;MAX(1,COUNTIFS(C_RUTN,V2844,C_DEF,"Sí",C_INI,"&lt;="&amp;EOMONTH(B2844,0))),C_CLAVE,0))&amp;"","Sin contrato"))</f>
        <v/>
      </c>
      <c r="T2844" s="63" t="str">
        <f aca="false">IF(OR(B2844="",N(O2844)=0),"",N(O2844)+ROUND(MIN(N(N2844),TOPE_UF*UF_MES)*(TASA_EMP+MUTUAL),0)+ROUND(MIN(N(N2844),TOPE_AFC_UF*UF_MES)*IF(S2844="Indefinido",AFC_INDEF,AFC_PF),0))</f>
        <v/>
      </c>
      <c r="U2844" s="62" t="str">
        <f aca="false">IF(C2844="","",IF(LEFT(D2844,1)="⚠","⚠ RUT no registrado en Trabajadores",IF(B2844="","⚠ Falta el mes",IF(OR(ISTEXT(I2844),ISTEXT(J2844)),"⚠ Atrasos u horas extra como texto: escriba hh:mm (ej. 1:30)",IF(AND(ISNUMBER(Q2844),COUNTIFS(M_RUTN,V2844,M_MES,B2844,M_LIQ,"&lt;&gt;")&gt;1),"⚠ Liquidación repetida en el mes",IF(AND(ISNUMBER(O2844),ISNUMBER(P2844),ISNUMBER(Q2844),ABS(O2844-P2844-Q2844)&gt;1),"⚠ Haberes − descuentos no da el líquido","OK"))))))</f>
        <v/>
      </c>
      <c r="V2844" s="62" t="str">
        <f aca="false">IF(C2844="","",IFERROR(VALUE(LEFT(UPPER(SUBSTITUTE(SUBSTITUTE(SUBSTITUTE(TRIM(C2844),".",""),"-","")," ","")),LEN(UPPER(SUBSTITUTE(SUBSTITUTE(SUBSTITUTE(TRIM(C2844),".",""),"-","")," ","")))-1))&amp;RIGHT(UPPER(SUBSTITUTE(SUBSTITUTE(SUBSTITUTE(TRIM(C2844),".",""),"-","")," ","")),1),UPPER(SUBSTITUTE(SUBSTITUTE(SUBSTITUTE(TRIM(C2844),".",""),"-","")," ",""))))</f>
        <v/>
      </c>
    </row>
    <row r="2845" customFormat="false" ht="15" hidden="false" customHeight="false" outlineLevel="0" collapsed="false">
      <c r="B2845" s="80"/>
      <c r="C2845" s="58"/>
      <c r="D2845" s="62" t="str">
        <f aca="false">IF(C2845="","",IFERROR(INDEX(T_NOMBRE,MATCH(V2845,T_RUTN,0)),"⚠ RUT no está en Trabajadores"))</f>
        <v/>
      </c>
      <c r="E2845" s="61"/>
      <c r="F2845" s="61"/>
      <c r="G2845" s="61"/>
      <c r="H2845" s="61"/>
      <c r="I2845" s="81"/>
      <c r="J2845" s="81"/>
      <c r="K2845" s="60"/>
      <c r="L2845" s="60"/>
      <c r="M2845" s="60"/>
      <c r="N2845" s="60"/>
      <c r="O2845" s="60"/>
      <c r="P2845" s="60"/>
      <c r="Q2845" s="60"/>
      <c r="R2845" s="58"/>
      <c r="S2845" s="62" t="str">
        <f aca="false">IF(OR(B2845="",V2845=""),"",IFERROR(INDEX(C_TIPO,MATCH(V2845&amp;"-P"&amp;MAX(1,COUNTIFS(C_RUTN,V2845,C_DEF,"Sí",C_INI,"&lt;="&amp;EOMONTH(B2845,0))),C_CLAVE,0))&amp;"","Sin contrato"))</f>
        <v/>
      </c>
      <c r="T2845" s="63" t="str">
        <f aca="false">IF(OR(B2845="",N(O2845)=0),"",N(O2845)+ROUND(MIN(N(N2845),TOPE_UF*UF_MES)*(TASA_EMP+MUTUAL),0)+ROUND(MIN(N(N2845),TOPE_AFC_UF*UF_MES)*IF(S2845="Indefinido",AFC_INDEF,AFC_PF),0))</f>
        <v/>
      </c>
      <c r="U2845" s="62" t="str">
        <f aca="false">IF(C2845="","",IF(LEFT(D2845,1)="⚠","⚠ RUT no registrado en Trabajadores",IF(B2845="","⚠ Falta el mes",IF(OR(ISTEXT(I2845),ISTEXT(J2845)),"⚠ Atrasos u horas extra como texto: escriba hh:mm (ej. 1:30)",IF(AND(ISNUMBER(Q2845),COUNTIFS(M_RUTN,V2845,M_MES,B2845,M_LIQ,"&lt;&gt;")&gt;1),"⚠ Liquidación repetida en el mes",IF(AND(ISNUMBER(O2845),ISNUMBER(P2845),ISNUMBER(Q2845),ABS(O2845-P2845-Q2845)&gt;1),"⚠ Haberes − descuentos no da el líquido","OK"))))))</f>
        <v/>
      </c>
      <c r="V2845" s="62" t="str">
        <f aca="false">IF(C2845="","",IFERROR(VALUE(LEFT(UPPER(SUBSTITUTE(SUBSTITUTE(SUBSTITUTE(TRIM(C2845),".",""),"-","")," ","")),LEN(UPPER(SUBSTITUTE(SUBSTITUTE(SUBSTITUTE(TRIM(C2845),".",""),"-","")," ","")))-1))&amp;RIGHT(UPPER(SUBSTITUTE(SUBSTITUTE(SUBSTITUTE(TRIM(C2845),".",""),"-","")," ","")),1),UPPER(SUBSTITUTE(SUBSTITUTE(SUBSTITUTE(TRIM(C2845),".",""),"-","")," ",""))))</f>
        <v/>
      </c>
    </row>
    <row r="2846" customFormat="false" ht="15" hidden="false" customHeight="false" outlineLevel="0" collapsed="false">
      <c r="B2846" s="80"/>
      <c r="C2846" s="58"/>
      <c r="D2846" s="62" t="str">
        <f aca="false">IF(C2846="","",IFERROR(INDEX(T_NOMBRE,MATCH(V2846,T_RUTN,0)),"⚠ RUT no está en Trabajadores"))</f>
        <v/>
      </c>
      <c r="E2846" s="61"/>
      <c r="F2846" s="61"/>
      <c r="G2846" s="61"/>
      <c r="H2846" s="61"/>
      <c r="I2846" s="81"/>
      <c r="J2846" s="81"/>
      <c r="K2846" s="60"/>
      <c r="L2846" s="60"/>
      <c r="M2846" s="60"/>
      <c r="N2846" s="60"/>
      <c r="O2846" s="60"/>
      <c r="P2846" s="60"/>
      <c r="Q2846" s="60"/>
      <c r="R2846" s="58"/>
      <c r="S2846" s="62" t="str">
        <f aca="false">IF(OR(B2846="",V2846=""),"",IFERROR(INDEX(C_TIPO,MATCH(V2846&amp;"-P"&amp;MAX(1,COUNTIFS(C_RUTN,V2846,C_DEF,"Sí",C_INI,"&lt;="&amp;EOMONTH(B2846,0))),C_CLAVE,0))&amp;"","Sin contrato"))</f>
        <v/>
      </c>
      <c r="T2846" s="63" t="str">
        <f aca="false">IF(OR(B2846="",N(O2846)=0),"",N(O2846)+ROUND(MIN(N(N2846),TOPE_UF*UF_MES)*(TASA_EMP+MUTUAL),0)+ROUND(MIN(N(N2846),TOPE_AFC_UF*UF_MES)*IF(S2846="Indefinido",AFC_INDEF,AFC_PF),0))</f>
        <v/>
      </c>
      <c r="U2846" s="62" t="str">
        <f aca="false">IF(C2846="","",IF(LEFT(D2846,1)="⚠","⚠ RUT no registrado en Trabajadores",IF(B2846="","⚠ Falta el mes",IF(OR(ISTEXT(I2846),ISTEXT(J2846)),"⚠ Atrasos u horas extra como texto: escriba hh:mm (ej. 1:30)",IF(AND(ISNUMBER(Q2846),COUNTIFS(M_RUTN,V2846,M_MES,B2846,M_LIQ,"&lt;&gt;")&gt;1),"⚠ Liquidación repetida en el mes",IF(AND(ISNUMBER(O2846),ISNUMBER(P2846),ISNUMBER(Q2846),ABS(O2846-P2846-Q2846)&gt;1),"⚠ Haberes − descuentos no da el líquido","OK"))))))</f>
        <v/>
      </c>
      <c r="V2846" s="62" t="str">
        <f aca="false">IF(C2846="","",IFERROR(VALUE(LEFT(UPPER(SUBSTITUTE(SUBSTITUTE(SUBSTITUTE(TRIM(C2846),".",""),"-","")," ","")),LEN(UPPER(SUBSTITUTE(SUBSTITUTE(SUBSTITUTE(TRIM(C2846),".",""),"-","")," ","")))-1))&amp;RIGHT(UPPER(SUBSTITUTE(SUBSTITUTE(SUBSTITUTE(TRIM(C2846),".",""),"-","")," ","")),1),UPPER(SUBSTITUTE(SUBSTITUTE(SUBSTITUTE(TRIM(C2846),".",""),"-","")," ",""))))</f>
        <v/>
      </c>
    </row>
    <row r="2847" customFormat="false" ht="15" hidden="false" customHeight="false" outlineLevel="0" collapsed="false">
      <c r="B2847" s="80"/>
      <c r="C2847" s="58"/>
      <c r="D2847" s="62" t="str">
        <f aca="false">IF(C2847="","",IFERROR(INDEX(T_NOMBRE,MATCH(V2847,T_RUTN,0)),"⚠ RUT no está en Trabajadores"))</f>
        <v/>
      </c>
      <c r="E2847" s="61"/>
      <c r="F2847" s="61"/>
      <c r="G2847" s="61"/>
      <c r="H2847" s="61"/>
      <c r="I2847" s="81"/>
      <c r="J2847" s="81"/>
      <c r="K2847" s="60"/>
      <c r="L2847" s="60"/>
      <c r="M2847" s="60"/>
      <c r="N2847" s="60"/>
      <c r="O2847" s="60"/>
      <c r="P2847" s="60"/>
      <c r="Q2847" s="60"/>
      <c r="R2847" s="58"/>
      <c r="S2847" s="62" t="str">
        <f aca="false">IF(OR(B2847="",V2847=""),"",IFERROR(INDEX(C_TIPO,MATCH(V2847&amp;"-P"&amp;MAX(1,COUNTIFS(C_RUTN,V2847,C_DEF,"Sí",C_INI,"&lt;="&amp;EOMONTH(B2847,0))),C_CLAVE,0))&amp;"","Sin contrato"))</f>
        <v/>
      </c>
      <c r="T2847" s="63" t="str">
        <f aca="false">IF(OR(B2847="",N(O2847)=0),"",N(O2847)+ROUND(MIN(N(N2847),TOPE_UF*UF_MES)*(TASA_EMP+MUTUAL),0)+ROUND(MIN(N(N2847),TOPE_AFC_UF*UF_MES)*IF(S2847="Indefinido",AFC_INDEF,AFC_PF),0))</f>
        <v/>
      </c>
      <c r="U2847" s="62" t="str">
        <f aca="false">IF(C2847="","",IF(LEFT(D2847,1)="⚠","⚠ RUT no registrado en Trabajadores",IF(B2847="","⚠ Falta el mes",IF(OR(ISTEXT(I2847),ISTEXT(J2847)),"⚠ Atrasos u horas extra como texto: escriba hh:mm (ej. 1:30)",IF(AND(ISNUMBER(Q2847),COUNTIFS(M_RUTN,V2847,M_MES,B2847,M_LIQ,"&lt;&gt;")&gt;1),"⚠ Liquidación repetida en el mes",IF(AND(ISNUMBER(O2847),ISNUMBER(P2847),ISNUMBER(Q2847),ABS(O2847-P2847-Q2847)&gt;1),"⚠ Haberes − descuentos no da el líquido","OK"))))))</f>
        <v/>
      </c>
      <c r="V2847" s="62" t="str">
        <f aca="false">IF(C2847="","",IFERROR(VALUE(LEFT(UPPER(SUBSTITUTE(SUBSTITUTE(SUBSTITUTE(TRIM(C2847),".",""),"-","")," ","")),LEN(UPPER(SUBSTITUTE(SUBSTITUTE(SUBSTITUTE(TRIM(C2847),".",""),"-","")," ","")))-1))&amp;RIGHT(UPPER(SUBSTITUTE(SUBSTITUTE(SUBSTITUTE(TRIM(C2847),".",""),"-","")," ","")),1),UPPER(SUBSTITUTE(SUBSTITUTE(SUBSTITUTE(TRIM(C2847),".",""),"-","")," ",""))))</f>
        <v/>
      </c>
    </row>
    <row r="2848" customFormat="false" ht="15" hidden="false" customHeight="false" outlineLevel="0" collapsed="false">
      <c r="B2848" s="80"/>
      <c r="C2848" s="58"/>
      <c r="D2848" s="62" t="str">
        <f aca="false">IF(C2848="","",IFERROR(INDEX(T_NOMBRE,MATCH(V2848,T_RUTN,0)),"⚠ RUT no está en Trabajadores"))</f>
        <v/>
      </c>
      <c r="E2848" s="61"/>
      <c r="F2848" s="61"/>
      <c r="G2848" s="61"/>
      <c r="H2848" s="61"/>
      <c r="I2848" s="81"/>
      <c r="J2848" s="81"/>
      <c r="K2848" s="60"/>
      <c r="L2848" s="60"/>
      <c r="M2848" s="60"/>
      <c r="N2848" s="60"/>
      <c r="O2848" s="60"/>
      <c r="P2848" s="60"/>
      <c r="Q2848" s="60"/>
      <c r="R2848" s="58"/>
      <c r="S2848" s="62" t="str">
        <f aca="false">IF(OR(B2848="",V2848=""),"",IFERROR(INDEX(C_TIPO,MATCH(V2848&amp;"-P"&amp;MAX(1,COUNTIFS(C_RUTN,V2848,C_DEF,"Sí",C_INI,"&lt;="&amp;EOMONTH(B2848,0))),C_CLAVE,0))&amp;"","Sin contrato"))</f>
        <v/>
      </c>
      <c r="T2848" s="63" t="str">
        <f aca="false">IF(OR(B2848="",N(O2848)=0),"",N(O2848)+ROUND(MIN(N(N2848),TOPE_UF*UF_MES)*(TASA_EMP+MUTUAL),0)+ROUND(MIN(N(N2848),TOPE_AFC_UF*UF_MES)*IF(S2848="Indefinido",AFC_INDEF,AFC_PF),0))</f>
        <v/>
      </c>
      <c r="U2848" s="62" t="str">
        <f aca="false">IF(C2848="","",IF(LEFT(D2848,1)="⚠","⚠ RUT no registrado en Trabajadores",IF(B2848="","⚠ Falta el mes",IF(OR(ISTEXT(I2848),ISTEXT(J2848)),"⚠ Atrasos u horas extra como texto: escriba hh:mm (ej. 1:30)",IF(AND(ISNUMBER(Q2848),COUNTIFS(M_RUTN,V2848,M_MES,B2848,M_LIQ,"&lt;&gt;")&gt;1),"⚠ Liquidación repetida en el mes",IF(AND(ISNUMBER(O2848),ISNUMBER(P2848),ISNUMBER(Q2848),ABS(O2848-P2848-Q2848)&gt;1),"⚠ Haberes − descuentos no da el líquido","OK"))))))</f>
        <v/>
      </c>
      <c r="V2848" s="62" t="str">
        <f aca="false">IF(C2848="","",IFERROR(VALUE(LEFT(UPPER(SUBSTITUTE(SUBSTITUTE(SUBSTITUTE(TRIM(C2848),".",""),"-","")," ","")),LEN(UPPER(SUBSTITUTE(SUBSTITUTE(SUBSTITUTE(TRIM(C2848),".",""),"-","")," ","")))-1))&amp;RIGHT(UPPER(SUBSTITUTE(SUBSTITUTE(SUBSTITUTE(TRIM(C2848),".",""),"-","")," ","")),1),UPPER(SUBSTITUTE(SUBSTITUTE(SUBSTITUTE(TRIM(C2848),".",""),"-","")," ",""))))</f>
        <v/>
      </c>
    </row>
    <row r="2849" customFormat="false" ht="15" hidden="false" customHeight="false" outlineLevel="0" collapsed="false">
      <c r="B2849" s="80"/>
      <c r="C2849" s="58"/>
      <c r="D2849" s="62" t="str">
        <f aca="false">IF(C2849="","",IFERROR(INDEX(T_NOMBRE,MATCH(V2849,T_RUTN,0)),"⚠ RUT no está en Trabajadores"))</f>
        <v/>
      </c>
      <c r="E2849" s="61"/>
      <c r="F2849" s="61"/>
      <c r="G2849" s="61"/>
      <c r="H2849" s="61"/>
      <c r="I2849" s="81"/>
      <c r="J2849" s="81"/>
      <c r="K2849" s="60"/>
      <c r="L2849" s="60"/>
      <c r="M2849" s="60"/>
      <c r="N2849" s="60"/>
      <c r="O2849" s="60"/>
      <c r="P2849" s="60"/>
      <c r="Q2849" s="60"/>
      <c r="R2849" s="58"/>
      <c r="S2849" s="62" t="str">
        <f aca="false">IF(OR(B2849="",V2849=""),"",IFERROR(INDEX(C_TIPO,MATCH(V2849&amp;"-P"&amp;MAX(1,COUNTIFS(C_RUTN,V2849,C_DEF,"Sí",C_INI,"&lt;="&amp;EOMONTH(B2849,0))),C_CLAVE,0))&amp;"","Sin contrato"))</f>
        <v/>
      </c>
      <c r="T2849" s="63" t="str">
        <f aca="false">IF(OR(B2849="",N(O2849)=0),"",N(O2849)+ROUND(MIN(N(N2849),TOPE_UF*UF_MES)*(TASA_EMP+MUTUAL),0)+ROUND(MIN(N(N2849),TOPE_AFC_UF*UF_MES)*IF(S2849="Indefinido",AFC_INDEF,AFC_PF),0))</f>
        <v/>
      </c>
      <c r="U2849" s="62" t="str">
        <f aca="false">IF(C2849="","",IF(LEFT(D2849,1)="⚠","⚠ RUT no registrado en Trabajadores",IF(B2849="","⚠ Falta el mes",IF(OR(ISTEXT(I2849),ISTEXT(J2849)),"⚠ Atrasos u horas extra como texto: escriba hh:mm (ej. 1:30)",IF(AND(ISNUMBER(Q2849),COUNTIFS(M_RUTN,V2849,M_MES,B2849,M_LIQ,"&lt;&gt;")&gt;1),"⚠ Liquidación repetida en el mes",IF(AND(ISNUMBER(O2849),ISNUMBER(P2849),ISNUMBER(Q2849),ABS(O2849-P2849-Q2849)&gt;1),"⚠ Haberes − descuentos no da el líquido","OK"))))))</f>
        <v/>
      </c>
      <c r="V2849" s="62" t="str">
        <f aca="false">IF(C2849="","",IFERROR(VALUE(LEFT(UPPER(SUBSTITUTE(SUBSTITUTE(SUBSTITUTE(TRIM(C2849),".",""),"-","")," ","")),LEN(UPPER(SUBSTITUTE(SUBSTITUTE(SUBSTITUTE(TRIM(C2849),".",""),"-","")," ","")))-1))&amp;RIGHT(UPPER(SUBSTITUTE(SUBSTITUTE(SUBSTITUTE(TRIM(C2849),".",""),"-","")," ","")),1),UPPER(SUBSTITUTE(SUBSTITUTE(SUBSTITUTE(TRIM(C2849),".",""),"-","")," ",""))))</f>
        <v/>
      </c>
    </row>
    <row r="2850" customFormat="false" ht="15" hidden="false" customHeight="false" outlineLevel="0" collapsed="false">
      <c r="B2850" s="80"/>
      <c r="C2850" s="58"/>
      <c r="D2850" s="62" t="str">
        <f aca="false">IF(C2850="","",IFERROR(INDEX(T_NOMBRE,MATCH(V2850,T_RUTN,0)),"⚠ RUT no está en Trabajadores"))</f>
        <v/>
      </c>
      <c r="E2850" s="61"/>
      <c r="F2850" s="61"/>
      <c r="G2850" s="61"/>
      <c r="H2850" s="61"/>
      <c r="I2850" s="81"/>
      <c r="J2850" s="81"/>
      <c r="K2850" s="60"/>
      <c r="L2850" s="60"/>
      <c r="M2850" s="60"/>
      <c r="N2850" s="60"/>
      <c r="O2850" s="60"/>
      <c r="P2850" s="60"/>
      <c r="Q2850" s="60"/>
      <c r="R2850" s="58"/>
      <c r="S2850" s="62" t="str">
        <f aca="false">IF(OR(B2850="",V2850=""),"",IFERROR(INDEX(C_TIPO,MATCH(V2850&amp;"-P"&amp;MAX(1,COUNTIFS(C_RUTN,V2850,C_DEF,"Sí",C_INI,"&lt;="&amp;EOMONTH(B2850,0))),C_CLAVE,0))&amp;"","Sin contrato"))</f>
        <v/>
      </c>
      <c r="T2850" s="63" t="str">
        <f aca="false">IF(OR(B2850="",N(O2850)=0),"",N(O2850)+ROUND(MIN(N(N2850),TOPE_UF*UF_MES)*(TASA_EMP+MUTUAL),0)+ROUND(MIN(N(N2850),TOPE_AFC_UF*UF_MES)*IF(S2850="Indefinido",AFC_INDEF,AFC_PF),0))</f>
        <v/>
      </c>
      <c r="U2850" s="62" t="str">
        <f aca="false">IF(C2850="","",IF(LEFT(D2850,1)="⚠","⚠ RUT no registrado en Trabajadores",IF(B2850="","⚠ Falta el mes",IF(OR(ISTEXT(I2850),ISTEXT(J2850)),"⚠ Atrasos u horas extra como texto: escriba hh:mm (ej. 1:30)",IF(AND(ISNUMBER(Q2850),COUNTIFS(M_RUTN,V2850,M_MES,B2850,M_LIQ,"&lt;&gt;")&gt;1),"⚠ Liquidación repetida en el mes",IF(AND(ISNUMBER(O2850),ISNUMBER(P2850),ISNUMBER(Q2850),ABS(O2850-P2850-Q2850)&gt;1),"⚠ Haberes − descuentos no da el líquido","OK"))))))</f>
        <v/>
      </c>
      <c r="V2850" s="62" t="str">
        <f aca="false">IF(C2850="","",IFERROR(VALUE(LEFT(UPPER(SUBSTITUTE(SUBSTITUTE(SUBSTITUTE(TRIM(C2850),".",""),"-","")," ","")),LEN(UPPER(SUBSTITUTE(SUBSTITUTE(SUBSTITUTE(TRIM(C2850),".",""),"-","")," ","")))-1))&amp;RIGHT(UPPER(SUBSTITUTE(SUBSTITUTE(SUBSTITUTE(TRIM(C2850),".",""),"-","")," ","")),1),UPPER(SUBSTITUTE(SUBSTITUTE(SUBSTITUTE(TRIM(C2850),".",""),"-","")," ",""))))</f>
        <v/>
      </c>
    </row>
    <row r="2851" customFormat="false" ht="15" hidden="false" customHeight="false" outlineLevel="0" collapsed="false">
      <c r="B2851" s="80"/>
      <c r="C2851" s="58"/>
      <c r="D2851" s="62" t="str">
        <f aca="false">IF(C2851="","",IFERROR(INDEX(T_NOMBRE,MATCH(V2851,T_RUTN,0)),"⚠ RUT no está en Trabajadores"))</f>
        <v/>
      </c>
      <c r="E2851" s="61"/>
      <c r="F2851" s="61"/>
      <c r="G2851" s="61"/>
      <c r="H2851" s="61"/>
      <c r="I2851" s="81"/>
      <c r="J2851" s="81"/>
      <c r="K2851" s="60"/>
      <c r="L2851" s="60"/>
      <c r="M2851" s="60"/>
      <c r="N2851" s="60"/>
      <c r="O2851" s="60"/>
      <c r="P2851" s="60"/>
      <c r="Q2851" s="60"/>
      <c r="R2851" s="58"/>
      <c r="S2851" s="62" t="str">
        <f aca="false">IF(OR(B2851="",V2851=""),"",IFERROR(INDEX(C_TIPO,MATCH(V2851&amp;"-P"&amp;MAX(1,COUNTIFS(C_RUTN,V2851,C_DEF,"Sí",C_INI,"&lt;="&amp;EOMONTH(B2851,0))),C_CLAVE,0))&amp;"","Sin contrato"))</f>
        <v/>
      </c>
      <c r="T2851" s="63" t="str">
        <f aca="false">IF(OR(B2851="",N(O2851)=0),"",N(O2851)+ROUND(MIN(N(N2851),TOPE_UF*UF_MES)*(TASA_EMP+MUTUAL),0)+ROUND(MIN(N(N2851),TOPE_AFC_UF*UF_MES)*IF(S2851="Indefinido",AFC_INDEF,AFC_PF),0))</f>
        <v/>
      </c>
      <c r="U2851" s="62" t="str">
        <f aca="false">IF(C2851="","",IF(LEFT(D2851,1)="⚠","⚠ RUT no registrado en Trabajadores",IF(B2851="","⚠ Falta el mes",IF(OR(ISTEXT(I2851),ISTEXT(J2851)),"⚠ Atrasos u horas extra como texto: escriba hh:mm (ej. 1:30)",IF(AND(ISNUMBER(Q2851),COUNTIFS(M_RUTN,V2851,M_MES,B2851,M_LIQ,"&lt;&gt;")&gt;1),"⚠ Liquidación repetida en el mes",IF(AND(ISNUMBER(O2851),ISNUMBER(P2851),ISNUMBER(Q2851),ABS(O2851-P2851-Q2851)&gt;1),"⚠ Haberes − descuentos no da el líquido","OK"))))))</f>
        <v/>
      </c>
      <c r="V2851" s="62" t="str">
        <f aca="false">IF(C2851="","",IFERROR(VALUE(LEFT(UPPER(SUBSTITUTE(SUBSTITUTE(SUBSTITUTE(TRIM(C2851),".",""),"-","")," ","")),LEN(UPPER(SUBSTITUTE(SUBSTITUTE(SUBSTITUTE(TRIM(C2851),".",""),"-","")," ","")))-1))&amp;RIGHT(UPPER(SUBSTITUTE(SUBSTITUTE(SUBSTITUTE(TRIM(C2851),".",""),"-","")," ","")),1),UPPER(SUBSTITUTE(SUBSTITUTE(SUBSTITUTE(TRIM(C2851),".",""),"-","")," ",""))))</f>
        <v/>
      </c>
    </row>
    <row r="2852" customFormat="false" ht="15" hidden="false" customHeight="false" outlineLevel="0" collapsed="false">
      <c r="B2852" s="80"/>
      <c r="C2852" s="58"/>
      <c r="D2852" s="62" t="str">
        <f aca="false">IF(C2852="","",IFERROR(INDEX(T_NOMBRE,MATCH(V2852,T_RUTN,0)),"⚠ RUT no está en Trabajadores"))</f>
        <v/>
      </c>
      <c r="E2852" s="61"/>
      <c r="F2852" s="61"/>
      <c r="G2852" s="61"/>
      <c r="H2852" s="61"/>
      <c r="I2852" s="81"/>
      <c r="J2852" s="81"/>
      <c r="K2852" s="60"/>
      <c r="L2852" s="60"/>
      <c r="M2852" s="60"/>
      <c r="N2852" s="60"/>
      <c r="O2852" s="60"/>
      <c r="P2852" s="60"/>
      <c r="Q2852" s="60"/>
      <c r="R2852" s="58"/>
      <c r="S2852" s="62" t="str">
        <f aca="false">IF(OR(B2852="",V2852=""),"",IFERROR(INDEX(C_TIPO,MATCH(V2852&amp;"-P"&amp;MAX(1,COUNTIFS(C_RUTN,V2852,C_DEF,"Sí",C_INI,"&lt;="&amp;EOMONTH(B2852,0))),C_CLAVE,0))&amp;"","Sin contrato"))</f>
        <v/>
      </c>
      <c r="T2852" s="63" t="str">
        <f aca="false">IF(OR(B2852="",N(O2852)=0),"",N(O2852)+ROUND(MIN(N(N2852),TOPE_UF*UF_MES)*(TASA_EMP+MUTUAL),0)+ROUND(MIN(N(N2852),TOPE_AFC_UF*UF_MES)*IF(S2852="Indefinido",AFC_INDEF,AFC_PF),0))</f>
        <v/>
      </c>
      <c r="U2852" s="62" t="str">
        <f aca="false">IF(C2852="","",IF(LEFT(D2852,1)="⚠","⚠ RUT no registrado en Trabajadores",IF(B2852="","⚠ Falta el mes",IF(OR(ISTEXT(I2852),ISTEXT(J2852)),"⚠ Atrasos u horas extra como texto: escriba hh:mm (ej. 1:30)",IF(AND(ISNUMBER(Q2852),COUNTIFS(M_RUTN,V2852,M_MES,B2852,M_LIQ,"&lt;&gt;")&gt;1),"⚠ Liquidación repetida en el mes",IF(AND(ISNUMBER(O2852),ISNUMBER(P2852),ISNUMBER(Q2852),ABS(O2852-P2852-Q2852)&gt;1),"⚠ Haberes − descuentos no da el líquido","OK"))))))</f>
        <v/>
      </c>
      <c r="V2852" s="62" t="str">
        <f aca="false">IF(C2852="","",IFERROR(VALUE(LEFT(UPPER(SUBSTITUTE(SUBSTITUTE(SUBSTITUTE(TRIM(C2852),".",""),"-","")," ","")),LEN(UPPER(SUBSTITUTE(SUBSTITUTE(SUBSTITUTE(TRIM(C2852),".",""),"-","")," ","")))-1))&amp;RIGHT(UPPER(SUBSTITUTE(SUBSTITUTE(SUBSTITUTE(TRIM(C2852),".",""),"-","")," ","")),1),UPPER(SUBSTITUTE(SUBSTITUTE(SUBSTITUTE(TRIM(C2852),".",""),"-","")," ",""))))</f>
        <v/>
      </c>
    </row>
    <row r="2853" customFormat="false" ht="15" hidden="false" customHeight="false" outlineLevel="0" collapsed="false">
      <c r="B2853" s="80"/>
      <c r="C2853" s="58"/>
      <c r="D2853" s="62" t="str">
        <f aca="false">IF(C2853="","",IFERROR(INDEX(T_NOMBRE,MATCH(V2853,T_RUTN,0)),"⚠ RUT no está en Trabajadores"))</f>
        <v/>
      </c>
      <c r="E2853" s="61"/>
      <c r="F2853" s="61"/>
      <c r="G2853" s="61"/>
      <c r="H2853" s="61"/>
      <c r="I2853" s="81"/>
      <c r="J2853" s="81"/>
      <c r="K2853" s="60"/>
      <c r="L2853" s="60"/>
      <c r="M2853" s="60"/>
      <c r="N2853" s="60"/>
      <c r="O2853" s="60"/>
      <c r="P2853" s="60"/>
      <c r="Q2853" s="60"/>
      <c r="R2853" s="58"/>
      <c r="S2853" s="62" t="str">
        <f aca="false">IF(OR(B2853="",V2853=""),"",IFERROR(INDEX(C_TIPO,MATCH(V2853&amp;"-P"&amp;MAX(1,COUNTIFS(C_RUTN,V2853,C_DEF,"Sí",C_INI,"&lt;="&amp;EOMONTH(B2853,0))),C_CLAVE,0))&amp;"","Sin contrato"))</f>
        <v/>
      </c>
      <c r="T2853" s="63" t="str">
        <f aca="false">IF(OR(B2853="",N(O2853)=0),"",N(O2853)+ROUND(MIN(N(N2853),TOPE_UF*UF_MES)*(TASA_EMP+MUTUAL),0)+ROUND(MIN(N(N2853),TOPE_AFC_UF*UF_MES)*IF(S2853="Indefinido",AFC_INDEF,AFC_PF),0))</f>
        <v/>
      </c>
      <c r="U2853" s="62" t="str">
        <f aca="false">IF(C2853="","",IF(LEFT(D2853,1)="⚠","⚠ RUT no registrado en Trabajadores",IF(B2853="","⚠ Falta el mes",IF(OR(ISTEXT(I2853),ISTEXT(J2853)),"⚠ Atrasos u horas extra como texto: escriba hh:mm (ej. 1:30)",IF(AND(ISNUMBER(Q2853),COUNTIFS(M_RUTN,V2853,M_MES,B2853,M_LIQ,"&lt;&gt;")&gt;1),"⚠ Liquidación repetida en el mes",IF(AND(ISNUMBER(O2853),ISNUMBER(P2853),ISNUMBER(Q2853),ABS(O2853-P2853-Q2853)&gt;1),"⚠ Haberes − descuentos no da el líquido","OK"))))))</f>
        <v/>
      </c>
      <c r="V2853" s="62" t="str">
        <f aca="false">IF(C2853="","",IFERROR(VALUE(LEFT(UPPER(SUBSTITUTE(SUBSTITUTE(SUBSTITUTE(TRIM(C2853),".",""),"-","")," ","")),LEN(UPPER(SUBSTITUTE(SUBSTITUTE(SUBSTITUTE(TRIM(C2853),".",""),"-","")," ","")))-1))&amp;RIGHT(UPPER(SUBSTITUTE(SUBSTITUTE(SUBSTITUTE(TRIM(C2853),".",""),"-","")," ","")),1),UPPER(SUBSTITUTE(SUBSTITUTE(SUBSTITUTE(TRIM(C2853),".",""),"-","")," ",""))))</f>
        <v/>
      </c>
    </row>
    <row r="2854" customFormat="false" ht="15" hidden="false" customHeight="false" outlineLevel="0" collapsed="false">
      <c r="B2854" s="80"/>
      <c r="C2854" s="58"/>
      <c r="D2854" s="62" t="str">
        <f aca="false">IF(C2854="","",IFERROR(INDEX(T_NOMBRE,MATCH(V2854,T_RUTN,0)),"⚠ RUT no está en Trabajadores"))</f>
        <v/>
      </c>
      <c r="E2854" s="61"/>
      <c r="F2854" s="61"/>
      <c r="G2854" s="61"/>
      <c r="H2854" s="61"/>
      <c r="I2854" s="81"/>
      <c r="J2854" s="81"/>
      <c r="K2854" s="60"/>
      <c r="L2854" s="60"/>
      <c r="M2854" s="60"/>
      <c r="N2854" s="60"/>
      <c r="O2854" s="60"/>
      <c r="P2854" s="60"/>
      <c r="Q2854" s="60"/>
      <c r="R2854" s="58"/>
      <c r="S2854" s="62" t="str">
        <f aca="false">IF(OR(B2854="",V2854=""),"",IFERROR(INDEX(C_TIPO,MATCH(V2854&amp;"-P"&amp;MAX(1,COUNTIFS(C_RUTN,V2854,C_DEF,"Sí",C_INI,"&lt;="&amp;EOMONTH(B2854,0))),C_CLAVE,0))&amp;"","Sin contrato"))</f>
        <v/>
      </c>
      <c r="T2854" s="63" t="str">
        <f aca="false">IF(OR(B2854="",N(O2854)=0),"",N(O2854)+ROUND(MIN(N(N2854),TOPE_UF*UF_MES)*(TASA_EMP+MUTUAL),0)+ROUND(MIN(N(N2854),TOPE_AFC_UF*UF_MES)*IF(S2854="Indefinido",AFC_INDEF,AFC_PF),0))</f>
        <v/>
      </c>
      <c r="U2854" s="62" t="str">
        <f aca="false">IF(C2854="","",IF(LEFT(D2854,1)="⚠","⚠ RUT no registrado en Trabajadores",IF(B2854="","⚠ Falta el mes",IF(OR(ISTEXT(I2854),ISTEXT(J2854)),"⚠ Atrasos u horas extra como texto: escriba hh:mm (ej. 1:30)",IF(AND(ISNUMBER(Q2854),COUNTIFS(M_RUTN,V2854,M_MES,B2854,M_LIQ,"&lt;&gt;")&gt;1),"⚠ Liquidación repetida en el mes",IF(AND(ISNUMBER(O2854),ISNUMBER(P2854),ISNUMBER(Q2854),ABS(O2854-P2854-Q2854)&gt;1),"⚠ Haberes − descuentos no da el líquido","OK"))))))</f>
        <v/>
      </c>
      <c r="V2854" s="62" t="str">
        <f aca="false">IF(C2854="","",IFERROR(VALUE(LEFT(UPPER(SUBSTITUTE(SUBSTITUTE(SUBSTITUTE(TRIM(C2854),".",""),"-","")," ","")),LEN(UPPER(SUBSTITUTE(SUBSTITUTE(SUBSTITUTE(TRIM(C2854),".",""),"-","")," ","")))-1))&amp;RIGHT(UPPER(SUBSTITUTE(SUBSTITUTE(SUBSTITUTE(TRIM(C2854),".",""),"-","")," ","")),1),UPPER(SUBSTITUTE(SUBSTITUTE(SUBSTITUTE(TRIM(C2854),".",""),"-","")," ",""))))</f>
        <v/>
      </c>
    </row>
    <row r="2855" customFormat="false" ht="15" hidden="false" customHeight="false" outlineLevel="0" collapsed="false">
      <c r="B2855" s="80"/>
      <c r="C2855" s="58"/>
      <c r="D2855" s="62" t="str">
        <f aca="false">IF(C2855="","",IFERROR(INDEX(T_NOMBRE,MATCH(V2855,T_RUTN,0)),"⚠ RUT no está en Trabajadores"))</f>
        <v/>
      </c>
      <c r="E2855" s="61"/>
      <c r="F2855" s="61"/>
      <c r="G2855" s="61"/>
      <c r="H2855" s="61"/>
      <c r="I2855" s="81"/>
      <c r="J2855" s="81"/>
      <c r="K2855" s="60"/>
      <c r="L2855" s="60"/>
      <c r="M2855" s="60"/>
      <c r="N2855" s="60"/>
      <c r="O2855" s="60"/>
      <c r="P2855" s="60"/>
      <c r="Q2855" s="60"/>
      <c r="R2855" s="58"/>
      <c r="S2855" s="62" t="str">
        <f aca="false">IF(OR(B2855="",V2855=""),"",IFERROR(INDEX(C_TIPO,MATCH(V2855&amp;"-P"&amp;MAX(1,COUNTIFS(C_RUTN,V2855,C_DEF,"Sí",C_INI,"&lt;="&amp;EOMONTH(B2855,0))),C_CLAVE,0))&amp;"","Sin contrato"))</f>
        <v/>
      </c>
      <c r="T2855" s="63" t="str">
        <f aca="false">IF(OR(B2855="",N(O2855)=0),"",N(O2855)+ROUND(MIN(N(N2855),TOPE_UF*UF_MES)*(TASA_EMP+MUTUAL),0)+ROUND(MIN(N(N2855),TOPE_AFC_UF*UF_MES)*IF(S2855="Indefinido",AFC_INDEF,AFC_PF),0))</f>
        <v/>
      </c>
      <c r="U2855" s="62" t="str">
        <f aca="false">IF(C2855="","",IF(LEFT(D2855,1)="⚠","⚠ RUT no registrado en Trabajadores",IF(B2855="","⚠ Falta el mes",IF(OR(ISTEXT(I2855),ISTEXT(J2855)),"⚠ Atrasos u horas extra como texto: escriba hh:mm (ej. 1:30)",IF(AND(ISNUMBER(Q2855),COUNTIFS(M_RUTN,V2855,M_MES,B2855,M_LIQ,"&lt;&gt;")&gt;1),"⚠ Liquidación repetida en el mes",IF(AND(ISNUMBER(O2855),ISNUMBER(P2855),ISNUMBER(Q2855),ABS(O2855-P2855-Q2855)&gt;1),"⚠ Haberes − descuentos no da el líquido","OK"))))))</f>
        <v/>
      </c>
      <c r="V2855" s="62" t="str">
        <f aca="false">IF(C2855="","",IFERROR(VALUE(LEFT(UPPER(SUBSTITUTE(SUBSTITUTE(SUBSTITUTE(TRIM(C2855),".",""),"-","")," ","")),LEN(UPPER(SUBSTITUTE(SUBSTITUTE(SUBSTITUTE(TRIM(C2855),".",""),"-","")," ","")))-1))&amp;RIGHT(UPPER(SUBSTITUTE(SUBSTITUTE(SUBSTITUTE(TRIM(C2855),".",""),"-","")," ","")),1),UPPER(SUBSTITUTE(SUBSTITUTE(SUBSTITUTE(TRIM(C2855),".",""),"-","")," ",""))))</f>
        <v/>
      </c>
    </row>
    <row r="2856" customFormat="false" ht="15" hidden="false" customHeight="false" outlineLevel="0" collapsed="false">
      <c r="B2856" s="80"/>
      <c r="C2856" s="58"/>
      <c r="D2856" s="62" t="str">
        <f aca="false">IF(C2856="","",IFERROR(INDEX(T_NOMBRE,MATCH(V2856,T_RUTN,0)),"⚠ RUT no está en Trabajadores"))</f>
        <v/>
      </c>
      <c r="E2856" s="61"/>
      <c r="F2856" s="61"/>
      <c r="G2856" s="61"/>
      <c r="H2856" s="61"/>
      <c r="I2856" s="81"/>
      <c r="J2856" s="81"/>
      <c r="K2856" s="60"/>
      <c r="L2856" s="60"/>
      <c r="M2856" s="60"/>
      <c r="N2856" s="60"/>
      <c r="O2856" s="60"/>
      <c r="P2856" s="60"/>
      <c r="Q2856" s="60"/>
      <c r="R2856" s="58"/>
      <c r="S2856" s="62" t="str">
        <f aca="false">IF(OR(B2856="",V2856=""),"",IFERROR(INDEX(C_TIPO,MATCH(V2856&amp;"-P"&amp;MAX(1,COUNTIFS(C_RUTN,V2856,C_DEF,"Sí",C_INI,"&lt;="&amp;EOMONTH(B2856,0))),C_CLAVE,0))&amp;"","Sin contrato"))</f>
        <v/>
      </c>
      <c r="T2856" s="63" t="str">
        <f aca="false">IF(OR(B2856="",N(O2856)=0),"",N(O2856)+ROUND(MIN(N(N2856),TOPE_UF*UF_MES)*(TASA_EMP+MUTUAL),0)+ROUND(MIN(N(N2856),TOPE_AFC_UF*UF_MES)*IF(S2856="Indefinido",AFC_INDEF,AFC_PF),0))</f>
        <v/>
      </c>
      <c r="U2856" s="62" t="str">
        <f aca="false">IF(C2856="","",IF(LEFT(D2856,1)="⚠","⚠ RUT no registrado en Trabajadores",IF(B2856="","⚠ Falta el mes",IF(OR(ISTEXT(I2856),ISTEXT(J2856)),"⚠ Atrasos u horas extra como texto: escriba hh:mm (ej. 1:30)",IF(AND(ISNUMBER(Q2856),COUNTIFS(M_RUTN,V2856,M_MES,B2856,M_LIQ,"&lt;&gt;")&gt;1),"⚠ Liquidación repetida en el mes",IF(AND(ISNUMBER(O2856),ISNUMBER(P2856),ISNUMBER(Q2856),ABS(O2856-P2856-Q2856)&gt;1),"⚠ Haberes − descuentos no da el líquido","OK"))))))</f>
        <v/>
      </c>
      <c r="V2856" s="62" t="str">
        <f aca="false">IF(C2856="","",IFERROR(VALUE(LEFT(UPPER(SUBSTITUTE(SUBSTITUTE(SUBSTITUTE(TRIM(C2856),".",""),"-","")," ","")),LEN(UPPER(SUBSTITUTE(SUBSTITUTE(SUBSTITUTE(TRIM(C2856),".",""),"-","")," ","")))-1))&amp;RIGHT(UPPER(SUBSTITUTE(SUBSTITUTE(SUBSTITUTE(TRIM(C2856),".",""),"-","")," ","")),1),UPPER(SUBSTITUTE(SUBSTITUTE(SUBSTITUTE(TRIM(C2856),".",""),"-","")," ",""))))</f>
        <v/>
      </c>
    </row>
    <row r="2857" customFormat="false" ht="15" hidden="false" customHeight="false" outlineLevel="0" collapsed="false">
      <c r="B2857" s="80"/>
      <c r="C2857" s="58"/>
      <c r="D2857" s="62" t="str">
        <f aca="false">IF(C2857="","",IFERROR(INDEX(T_NOMBRE,MATCH(V2857,T_RUTN,0)),"⚠ RUT no está en Trabajadores"))</f>
        <v/>
      </c>
      <c r="E2857" s="61"/>
      <c r="F2857" s="61"/>
      <c r="G2857" s="61"/>
      <c r="H2857" s="61"/>
      <c r="I2857" s="81"/>
      <c r="J2857" s="81"/>
      <c r="K2857" s="60"/>
      <c r="L2857" s="60"/>
      <c r="M2857" s="60"/>
      <c r="N2857" s="60"/>
      <c r="O2857" s="60"/>
      <c r="P2857" s="60"/>
      <c r="Q2857" s="60"/>
      <c r="R2857" s="58"/>
      <c r="S2857" s="62" t="str">
        <f aca="false">IF(OR(B2857="",V2857=""),"",IFERROR(INDEX(C_TIPO,MATCH(V2857&amp;"-P"&amp;MAX(1,COUNTIFS(C_RUTN,V2857,C_DEF,"Sí",C_INI,"&lt;="&amp;EOMONTH(B2857,0))),C_CLAVE,0))&amp;"","Sin contrato"))</f>
        <v/>
      </c>
      <c r="T2857" s="63" t="str">
        <f aca="false">IF(OR(B2857="",N(O2857)=0),"",N(O2857)+ROUND(MIN(N(N2857),TOPE_UF*UF_MES)*(TASA_EMP+MUTUAL),0)+ROUND(MIN(N(N2857),TOPE_AFC_UF*UF_MES)*IF(S2857="Indefinido",AFC_INDEF,AFC_PF),0))</f>
        <v/>
      </c>
      <c r="U2857" s="62" t="str">
        <f aca="false">IF(C2857="","",IF(LEFT(D2857,1)="⚠","⚠ RUT no registrado en Trabajadores",IF(B2857="","⚠ Falta el mes",IF(OR(ISTEXT(I2857),ISTEXT(J2857)),"⚠ Atrasos u horas extra como texto: escriba hh:mm (ej. 1:30)",IF(AND(ISNUMBER(Q2857),COUNTIFS(M_RUTN,V2857,M_MES,B2857,M_LIQ,"&lt;&gt;")&gt;1),"⚠ Liquidación repetida en el mes",IF(AND(ISNUMBER(O2857),ISNUMBER(P2857),ISNUMBER(Q2857),ABS(O2857-P2857-Q2857)&gt;1),"⚠ Haberes − descuentos no da el líquido","OK"))))))</f>
        <v/>
      </c>
      <c r="V2857" s="62" t="str">
        <f aca="false">IF(C2857="","",IFERROR(VALUE(LEFT(UPPER(SUBSTITUTE(SUBSTITUTE(SUBSTITUTE(TRIM(C2857),".",""),"-","")," ","")),LEN(UPPER(SUBSTITUTE(SUBSTITUTE(SUBSTITUTE(TRIM(C2857),".",""),"-","")," ","")))-1))&amp;RIGHT(UPPER(SUBSTITUTE(SUBSTITUTE(SUBSTITUTE(TRIM(C2857),".",""),"-","")," ","")),1),UPPER(SUBSTITUTE(SUBSTITUTE(SUBSTITUTE(TRIM(C2857),".",""),"-","")," ",""))))</f>
        <v/>
      </c>
    </row>
    <row r="2858" customFormat="false" ht="15" hidden="false" customHeight="false" outlineLevel="0" collapsed="false">
      <c r="B2858" s="80"/>
      <c r="C2858" s="58"/>
      <c r="D2858" s="62" t="str">
        <f aca="false">IF(C2858="","",IFERROR(INDEX(T_NOMBRE,MATCH(V2858,T_RUTN,0)),"⚠ RUT no está en Trabajadores"))</f>
        <v/>
      </c>
      <c r="E2858" s="61"/>
      <c r="F2858" s="61"/>
      <c r="G2858" s="61"/>
      <c r="H2858" s="61"/>
      <c r="I2858" s="81"/>
      <c r="J2858" s="81"/>
      <c r="K2858" s="60"/>
      <c r="L2858" s="60"/>
      <c r="M2858" s="60"/>
      <c r="N2858" s="60"/>
      <c r="O2858" s="60"/>
      <c r="P2858" s="60"/>
      <c r="Q2858" s="60"/>
      <c r="R2858" s="58"/>
      <c r="S2858" s="62" t="str">
        <f aca="false">IF(OR(B2858="",V2858=""),"",IFERROR(INDEX(C_TIPO,MATCH(V2858&amp;"-P"&amp;MAX(1,COUNTIFS(C_RUTN,V2858,C_DEF,"Sí",C_INI,"&lt;="&amp;EOMONTH(B2858,0))),C_CLAVE,0))&amp;"","Sin contrato"))</f>
        <v/>
      </c>
      <c r="T2858" s="63" t="str">
        <f aca="false">IF(OR(B2858="",N(O2858)=0),"",N(O2858)+ROUND(MIN(N(N2858),TOPE_UF*UF_MES)*(TASA_EMP+MUTUAL),0)+ROUND(MIN(N(N2858),TOPE_AFC_UF*UF_MES)*IF(S2858="Indefinido",AFC_INDEF,AFC_PF),0))</f>
        <v/>
      </c>
      <c r="U2858" s="62" t="str">
        <f aca="false">IF(C2858="","",IF(LEFT(D2858,1)="⚠","⚠ RUT no registrado en Trabajadores",IF(B2858="","⚠ Falta el mes",IF(OR(ISTEXT(I2858),ISTEXT(J2858)),"⚠ Atrasos u horas extra como texto: escriba hh:mm (ej. 1:30)",IF(AND(ISNUMBER(Q2858),COUNTIFS(M_RUTN,V2858,M_MES,B2858,M_LIQ,"&lt;&gt;")&gt;1),"⚠ Liquidación repetida en el mes",IF(AND(ISNUMBER(O2858),ISNUMBER(P2858),ISNUMBER(Q2858),ABS(O2858-P2858-Q2858)&gt;1),"⚠ Haberes − descuentos no da el líquido","OK"))))))</f>
        <v/>
      </c>
      <c r="V2858" s="62" t="str">
        <f aca="false">IF(C2858="","",IFERROR(VALUE(LEFT(UPPER(SUBSTITUTE(SUBSTITUTE(SUBSTITUTE(TRIM(C2858),".",""),"-","")," ","")),LEN(UPPER(SUBSTITUTE(SUBSTITUTE(SUBSTITUTE(TRIM(C2858),".",""),"-","")," ","")))-1))&amp;RIGHT(UPPER(SUBSTITUTE(SUBSTITUTE(SUBSTITUTE(TRIM(C2858),".",""),"-","")," ","")),1),UPPER(SUBSTITUTE(SUBSTITUTE(SUBSTITUTE(TRIM(C2858),".",""),"-","")," ",""))))</f>
        <v/>
      </c>
    </row>
    <row r="2859" customFormat="false" ht="15" hidden="false" customHeight="false" outlineLevel="0" collapsed="false">
      <c r="B2859" s="80"/>
      <c r="C2859" s="58"/>
      <c r="D2859" s="62" t="str">
        <f aca="false">IF(C2859="","",IFERROR(INDEX(T_NOMBRE,MATCH(V2859,T_RUTN,0)),"⚠ RUT no está en Trabajadores"))</f>
        <v/>
      </c>
      <c r="E2859" s="61"/>
      <c r="F2859" s="61"/>
      <c r="G2859" s="61"/>
      <c r="H2859" s="61"/>
      <c r="I2859" s="81"/>
      <c r="J2859" s="81"/>
      <c r="K2859" s="60"/>
      <c r="L2859" s="60"/>
      <c r="M2859" s="60"/>
      <c r="N2859" s="60"/>
      <c r="O2859" s="60"/>
      <c r="P2859" s="60"/>
      <c r="Q2859" s="60"/>
      <c r="R2859" s="58"/>
      <c r="S2859" s="62" t="str">
        <f aca="false">IF(OR(B2859="",V2859=""),"",IFERROR(INDEX(C_TIPO,MATCH(V2859&amp;"-P"&amp;MAX(1,COUNTIFS(C_RUTN,V2859,C_DEF,"Sí",C_INI,"&lt;="&amp;EOMONTH(B2859,0))),C_CLAVE,0))&amp;"","Sin contrato"))</f>
        <v/>
      </c>
      <c r="T2859" s="63" t="str">
        <f aca="false">IF(OR(B2859="",N(O2859)=0),"",N(O2859)+ROUND(MIN(N(N2859),TOPE_UF*UF_MES)*(TASA_EMP+MUTUAL),0)+ROUND(MIN(N(N2859),TOPE_AFC_UF*UF_MES)*IF(S2859="Indefinido",AFC_INDEF,AFC_PF),0))</f>
        <v/>
      </c>
      <c r="U2859" s="62" t="str">
        <f aca="false">IF(C2859="","",IF(LEFT(D2859,1)="⚠","⚠ RUT no registrado en Trabajadores",IF(B2859="","⚠ Falta el mes",IF(OR(ISTEXT(I2859),ISTEXT(J2859)),"⚠ Atrasos u horas extra como texto: escriba hh:mm (ej. 1:30)",IF(AND(ISNUMBER(Q2859),COUNTIFS(M_RUTN,V2859,M_MES,B2859,M_LIQ,"&lt;&gt;")&gt;1),"⚠ Liquidación repetida en el mes",IF(AND(ISNUMBER(O2859),ISNUMBER(P2859),ISNUMBER(Q2859),ABS(O2859-P2859-Q2859)&gt;1),"⚠ Haberes − descuentos no da el líquido","OK"))))))</f>
        <v/>
      </c>
      <c r="V2859" s="62" t="str">
        <f aca="false">IF(C2859="","",IFERROR(VALUE(LEFT(UPPER(SUBSTITUTE(SUBSTITUTE(SUBSTITUTE(TRIM(C2859),".",""),"-","")," ","")),LEN(UPPER(SUBSTITUTE(SUBSTITUTE(SUBSTITUTE(TRIM(C2859),".",""),"-","")," ","")))-1))&amp;RIGHT(UPPER(SUBSTITUTE(SUBSTITUTE(SUBSTITUTE(TRIM(C2859),".",""),"-","")," ","")),1),UPPER(SUBSTITUTE(SUBSTITUTE(SUBSTITUTE(TRIM(C2859),".",""),"-","")," ",""))))</f>
        <v/>
      </c>
    </row>
    <row r="2860" customFormat="false" ht="15" hidden="false" customHeight="false" outlineLevel="0" collapsed="false">
      <c r="B2860" s="80"/>
      <c r="C2860" s="58"/>
      <c r="D2860" s="62" t="str">
        <f aca="false">IF(C2860="","",IFERROR(INDEX(T_NOMBRE,MATCH(V2860,T_RUTN,0)),"⚠ RUT no está en Trabajadores"))</f>
        <v/>
      </c>
      <c r="E2860" s="61"/>
      <c r="F2860" s="61"/>
      <c r="G2860" s="61"/>
      <c r="H2860" s="61"/>
      <c r="I2860" s="81"/>
      <c r="J2860" s="81"/>
      <c r="K2860" s="60"/>
      <c r="L2860" s="60"/>
      <c r="M2860" s="60"/>
      <c r="N2860" s="60"/>
      <c r="O2860" s="60"/>
      <c r="P2860" s="60"/>
      <c r="Q2860" s="60"/>
      <c r="R2860" s="58"/>
      <c r="S2860" s="62" t="str">
        <f aca="false">IF(OR(B2860="",V2860=""),"",IFERROR(INDEX(C_TIPO,MATCH(V2860&amp;"-P"&amp;MAX(1,COUNTIFS(C_RUTN,V2860,C_DEF,"Sí",C_INI,"&lt;="&amp;EOMONTH(B2860,0))),C_CLAVE,0))&amp;"","Sin contrato"))</f>
        <v/>
      </c>
      <c r="T2860" s="63" t="str">
        <f aca="false">IF(OR(B2860="",N(O2860)=0),"",N(O2860)+ROUND(MIN(N(N2860),TOPE_UF*UF_MES)*(TASA_EMP+MUTUAL),0)+ROUND(MIN(N(N2860),TOPE_AFC_UF*UF_MES)*IF(S2860="Indefinido",AFC_INDEF,AFC_PF),0))</f>
        <v/>
      </c>
      <c r="U2860" s="62" t="str">
        <f aca="false">IF(C2860="","",IF(LEFT(D2860,1)="⚠","⚠ RUT no registrado en Trabajadores",IF(B2860="","⚠ Falta el mes",IF(OR(ISTEXT(I2860),ISTEXT(J2860)),"⚠ Atrasos u horas extra como texto: escriba hh:mm (ej. 1:30)",IF(AND(ISNUMBER(Q2860),COUNTIFS(M_RUTN,V2860,M_MES,B2860,M_LIQ,"&lt;&gt;")&gt;1),"⚠ Liquidación repetida en el mes",IF(AND(ISNUMBER(O2860),ISNUMBER(P2860),ISNUMBER(Q2860),ABS(O2860-P2860-Q2860)&gt;1),"⚠ Haberes − descuentos no da el líquido","OK"))))))</f>
        <v/>
      </c>
      <c r="V2860" s="62" t="str">
        <f aca="false">IF(C2860="","",IFERROR(VALUE(LEFT(UPPER(SUBSTITUTE(SUBSTITUTE(SUBSTITUTE(TRIM(C2860),".",""),"-","")," ","")),LEN(UPPER(SUBSTITUTE(SUBSTITUTE(SUBSTITUTE(TRIM(C2860),".",""),"-","")," ","")))-1))&amp;RIGHT(UPPER(SUBSTITUTE(SUBSTITUTE(SUBSTITUTE(TRIM(C2860),".",""),"-","")," ","")),1),UPPER(SUBSTITUTE(SUBSTITUTE(SUBSTITUTE(TRIM(C2860),".",""),"-","")," ",""))))</f>
        <v/>
      </c>
    </row>
    <row r="2861" customFormat="false" ht="15" hidden="false" customHeight="false" outlineLevel="0" collapsed="false">
      <c r="B2861" s="80"/>
      <c r="C2861" s="58"/>
      <c r="D2861" s="62" t="str">
        <f aca="false">IF(C2861="","",IFERROR(INDEX(T_NOMBRE,MATCH(V2861,T_RUTN,0)),"⚠ RUT no está en Trabajadores"))</f>
        <v/>
      </c>
      <c r="E2861" s="61"/>
      <c r="F2861" s="61"/>
      <c r="G2861" s="61"/>
      <c r="H2861" s="61"/>
      <c r="I2861" s="81"/>
      <c r="J2861" s="81"/>
      <c r="K2861" s="60"/>
      <c r="L2861" s="60"/>
      <c r="M2861" s="60"/>
      <c r="N2861" s="60"/>
      <c r="O2861" s="60"/>
      <c r="P2861" s="60"/>
      <c r="Q2861" s="60"/>
      <c r="R2861" s="58"/>
      <c r="S2861" s="62" t="str">
        <f aca="false">IF(OR(B2861="",V2861=""),"",IFERROR(INDEX(C_TIPO,MATCH(V2861&amp;"-P"&amp;MAX(1,COUNTIFS(C_RUTN,V2861,C_DEF,"Sí",C_INI,"&lt;="&amp;EOMONTH(B2861,0))),C_CLAVE,0))&amp;"","Sin contrato"))</f>
        <v/>
      </c>
      <c r="T2861" s="63" t="str">
        <f aca="false">IF(OR(B2861="",N(O2861)=0),"",N(O2861)+ROUND(MIN(N(N2861),TOPE_UF*UF_MES)*(TASA_EMP+MUTUAL),0)+ROUND(MIN(N(N2861),TOPE_AFC_UF*UF_MES)*IF(S2861="Indefinido",AFC_INDEF,AFC_PF),0))</f>
        <v/>
      </c>
      <c r="U2861" s="62" t="str">
        <f aca="false">IF(C2861="","",IF(LEFT(D2861,1)="⚠","⚠ RUT no registrado en Trabajadores",IF(B2861="","⚠ Falta el mes",IF(OR(ISTEXT(I2861),ISTEXT(J2861)),"⚠ Atrasos u horas extra como texto: escriba hh:mm (ej. 1:30)",IF(AND(ISNUMBER(Q2861),COUNTIFS(M_RUTN,V2861,M_MES,B2861,M_LIQ,"&lt;&gt;")&gt;1),"⚠ Liquidación repetida en el mes",IF(AND(ISNUMBER(O2861),ISNUMBER(P2861),ISNUMBER(Q2861),ABS(O2861-P2861-Q2861)&gt;1),"⚠ Haberes − descuentos no da el líquido","OK"))))))</f>
        <v/>
      </c>
      <c r="V2861" s="62" t="str">
        <f aca="false">IF(C2861="","",IFERROR(VALUE(LEFT(UPPER(SUBSTITUTE(SUBSTITUTE(SUBSTITUTE(TRIM(C2861),".",""),"-","")," ","")),LEN(UPPER(SUBSTITUTE(SUBSTITUTE(SUBSTITUTE(TRIM(C2861),".",""),"-","")," ","")))-1))&amp;RIGHT(UPPER(SUBSTITUTE(SUBSTITUTE(SUBSTITUTE(TRIM(C2861),".",""),"-","")," ","")),1),UPPER(SUBSTITUTE(SUBSTITUTE(SUBSTITUTE(TRIM(C2861),".",""),"-","")," ",""))))</f>
        <v/>
      </c>
    </row>
    <row r="2862" customFormat="false" ht="15" hidden="false" customHeight="false" outlineLevel="0" collapsed="false">
      <c r="B2862" s="80"/>
      <c r="C2862" s="58"/>
      <c r="D2862" s="62" t="str">
        <f aca="false">IF(C2862="","",IFERROR(INDEX(T_NOMBRE,MATCH(V2862,T_RUTN,0)),"⚠ RUT no está en Trabajadores"))</f>
        <v/>
      </c>
      <c r="E2862" s="61"/>
      <c r="F2862" s="61"/>
      <c r="G2862" s="61"/>
      <c r="H2862" s="61"/>
      <c r="I2862" s="81"/>
      <c r="J2862" s="81"/>
      <c r="K2862" s="60"/>
      <c r="L2862" s="60"/>
      <c r="M2862" s="60"/>
      <c r="N2862" s="60"/>
      <c r="O2862" s="60"/>
      <c r="P2862" s="60"/>
      <c r="Q2862" s="60"/>
      <c r="R2862" s="58"/>
      <c r="S2862" s="62" t="str">
        <f aca="false">IF(OR(B2862="",V2862=""),"",IFERROR(INDEX(C_TIPO,MATCH(V2862&amp;"-P"&amp;MAX(1,COUNTIFS(C_RUTN,V2862,C_DEF,"Sí",C_INI,"&lt;="&amp;EOMONTH(B2862,0))),C_CLAVE,0))&amp;"","Sin contrato"))</f>
        <v/>
      </c>
      <c r="T2862" s="63" t="str">
        <f aca="false">IF(OR(B2862="",N(O2862)=0),"",N(O2862)+ROUND(MIN(N(N2862),TOPE_UF*UF_MES)*(TASA_EMP+MUTUAL),0)+ROUND(MIN(N(N2862),TOPE_AFC_UF*UF_MES)*IF(S2862="Indefinido",AFC_INDEF,AFC_PF),0))</f>
        <v/>
      </c>
      <c r="U2862" s="62" t="str">
        <f aca="false">IF(C2862="","",IF(LEFT(D2862,1)="⚠","⚠ RUT no registrado en Trabajadores",IF(B2862="","⚠ Falta el mes",IF(OR(ISTEXT(I2862),ISTEXT(J2862)),"⚠ Atrasos u horas extra como texto: escriba hh:mm (ej. 1:30)",IF(AND(ISNUMBER(Q2862),COUNTIFS(M_RUTN,V2862,M_MES,B2862,M_LIQ,"&lt;&gt;")&gt;1),"⚠ Liquidación repetida en el mes",IF(AND(ISNUMBER(O2862),ISNUMBER(P2862),ISNUMBER(Q2862),ABS(O2862-P2862-Q2862)&gt;1),"⚠ Haberes − descuentos no da el líquido","OK"))))))</f>
        <v/>
      </c>
      <c r="V2862" s="62" t="str">
        <f aca="false">IF(C2862="","",IFERROR(VALUE(LEFT(UPPER(SUBSTITUTE(SUBSTITUTE(SUBSTITUTE(TRIM(C2862),".",""),"-","")," ","")),LEN(UPPER(SUBSTITUTE(SUBSTITUTE(SUBSTITUTE(TRIM(C2862),".",""),"-","")," ","")))-1))&amp;RIGHT(UPPER(SUBSTITUTE(SUBSTITUTE(SUBSTITUTE(TRIM(C2862),".",""),"-","")," ","")),1),UPPER(SUBSTITUTE(SUBSTITUTE(SUBSTITUTE(TRIM(C2862),".",""),"-","")," ",""))))</f>
        <v/>
      </c>
    </row>
    <row r="2863" customFormat="false" ht="15" hidden="false" customHeight="false" outlineLevel="0" collapsed="false">
      <c r="B2863" s="80"/>
      <c r="C2863" s="58"/>
      <c r="D2863" s="62" t="str">
        <f aca="false">IF(C2863="","",IFERROR(INDEX(T_NOMBRE,MATCH(V2863,T_RUTN,0)),"⚠ RUT no está en Trabajadores"))</f>
        <v/>
      </c>
      <c r="E2863" s="61"/>
      <c r="F2863" s="61"/>
      <c r="G2863" s="61"/>
      <c r="H2863" s="61"/>
      <c r="I2863" s="81"/>
      <c r="J2863" s="81"/>
      <c r="K2863" s="60"/>
      <c r="L2863" s="60"/>
      <c r="M2863" s="60"/>
      <c r="N2863" s="60"/>
      <c r="O2863" s="60"/>
      <c r="P2863" s="60"/>
      <c r="Q2863" s="60"/>
      <c r="R2863" s="58"/>
      <c r="S2863" s="62" t="str">
        <f aca="false">IF(OR(B2863="",V2863=""),"",IFERROR(INDEX(C_TIPO,MATCH(V2863&amp;"-P"&amp;MAX(1,COUNTIFS(C_RUTN,V2863,C_DEF,"Sí",C_INI,"&lt;="&amp;EOMONTH(B2863,0))),C_CLAVE,0))&amp;"","Sin contrato"))</f>
        <v/>
      </c>
      <c r="T2863" s="63" t="str">
        <f aca="false">IF(OR(B2863="",N(O2863)=0),"",N(O2863)+ROUND(MIN(N(N2863),TOPE_UF*UF_MES)*(TASA_EMP+MUTUAL),0)+ROUND(MIN(N(N2863),TOPE_AFC_UF*UF_MES)*IF(S2863="Indefinido",AFC_INDEF,AFC_PF),0))</f>
        <v/>
      </c>
      <c r="U2863" s="62" t="str">
        <f aca="false">IF(C2863="","",IF(LEFT(D2863,1)="⚠","⚠ RUT no registrado en Trabajadores",IF(B2863="","⚠ Falta el mes",IF(OR(ISTEXT(I2863),ISTEXT(J2863)),"⚠ Atrasos u horas extra como texto: escriba hh:mm (ej. 1:30)",IF(AND(ISNUMBER(Q2863),COUNTIFS(M_RUTN,V2863,M_MES,B2863,M_LIQ,"&lt;&gt;")&gt;1),"⚠ Liquidación repetida en el mes",IF(AND(ISNUMBER(O2863),ISNUMBER(P2863),ISNUMBER(Q2863),ABS(O2863-P2863-Q2863)&gt;1),"⚠ Haberes − descuentos no da el líquido","OK"))))))</f>
        <v/>
      </c>
      <c r="V2863" s="62" t="str">
        <f aca="false">IF(C2863="","",IFERROR(VALUE(LEFT(UPPER(SUBSTITUTE(SUBSTITUTE(SUBSTITUTE(TRIM(C2863),".",""),"-","")," ","")),LEN(UPPER(SUBSTITUTE(SUBSTITUTE(SUBSTITUTE(TRIM(C2863),".",""),"-","")," ","")))-1))&amp;RIGHT(UPPER(SUBSTITUTE(SUBSTITUTE(SUBSTITUTE(TRIM(C2863),".",""),"-","")," ","")),1),UPPER(SUBSTITUTE(SUBSTITUTE(SUBSTITUTE(TRIM(C2863),".",""),"-","")," ",""))))</f>
        <v/>
      </c>
    </row>
    <row r="2864" customFormat="false" ht="15" hidden="false" customHeight="false" outlineLevel="0" collapsed="false">
      <c r="B2864" s="80"/>
      <c r="C2864" s="58"/>
      <c r="D2864" s="62" t="str">
        <f aca="false">IF(C2864="","",IFERROR(INDEX(T_NOMBRE,MATCH(V2864,T_RUTN,0)),"⚠ RUT no está en Trabajadores"))</f>
        <v/>
      </c>
      <c r="E2864" s="61"/>
      <c r="F2864" s="61"/>
      <c r="G2864" s="61"/>
      <c r="H2864" s="61"/>
      <c r="I2864" s="81"/>
      <c r="J2864" s="81"/>
      <c r="K2864" s="60"/>
      <c r="L2864" s="60"/>
      <c r="M2864" s="60"/>
      <c r="N2864" s="60"/>
      <c r="O2864" s="60"/>
      <c r="P2864" s="60"/>
      <c r="Q2864" s="60"/>
      <c r="R2864" s="58"/>
      <c r="S2864" s="62" t="str">
        <f aca="false">IF(OR(B2864="",V2864=""),"",IFERROR(INDEX(C_TIPO,MATCH(V2864&amp;"-P"&amp;MAX(1,COUNTIFS(C_RUTN,V2864,C_DEF,"Sí",C_INI,"&lt;="&amp;EOMONTH(B2864,0))),C_CLAVE,0))&amp;"","Sin contrato"))</f>
        <v/>
      </c>
      <c r="T2864" s="63" t="str">
        <f aca="false">IF(OR(B2864="",N(O2864)=0),"",N(O2864)+ROUND(MIN(N(N2864),TOPE_UF*UF_MES)*(TASA_EMP+MUTUAL),0)+ROUND(MIN(N(N2864),TOPE_AFC_UF*UF_MES)*IF(S2864="Indefinido",AFC_INDEF,AFC_PF),0))</f>
        <v/>
      </c>
      <c r="U2864" s="62" t="str">
        <f aca="false">IF(C2864="","",IF(LEFT(D2864,1)="⚠","⚠ RUT no registrado en Trabajadores",IF(B2864="","⚠ Falta el mes",IF(OR(ISTEXT(I2864),ISTEXT(J2864)),"⚠ Atrasos u horas extra como texto: escriba hh:mm (ej. 1:30)",IF(AND(ISNUMBER(Q2864),COUNTIFS(M_RUTN,V2864,M_MES,B2864,M_LIQ,"&lt;&gt;")&gt;1),"⚠ Liquidación repetida en el mes",IF(AND(ISNUMBER(O2864),ISNUMBER(P2864),ISNUMBER(Q2864),ABS(O2864-P2864-Q2864)&gt;1),"⚠ Haberes − descuentos no da el líquido","OK"))))))</f>
        <v/>
      </c>
      <c r="V2864" s="62" t="str">
        <f aca="false">IF(C2864="","",IFERROR(VALUE(LEFT(UPPER(SUBSTITUTE(SUBSTITUTE(SUBSTITUTE(TRIM(C2864),".",""),"-","")," ","")),LEN(UPPER(SUBSTITUTE(SUBSTITUTE(SUBSTITUTE(TRIM(C2864),".",""),"-","")," ","")))-1))&amp;RIGHT(UPPER(SUBSTITUTE(SUBSTITUTE(SUBSTITUTE(TRIM(C2864),".",""),"-","")," ","")),1),UPPER(SUBSTITUTE(SUBSTITUTE(SUBSTITUTE(TRIM(C2864),".",""),"-","")," ",""))))</f>
        <v/>
      </c>
    </row>
    <row r="2865" customFormat="false" ht="15" hidden="false" customHeight="false" outlineLevel="0" collapsed="false">
      <c r="B2865" s="80"/>
      <c r="C2865" s="58"/>
      <c r="D2865" s="62" t="str">
        <f aca="false">IF(C2865="","",IFERROR(INDEX(T_NOMBRE,MATCH(V2865,T_RUTN,0)),"⚠ RUT no está en Trabajadores"))</f>
        <v/>
      </c>
      <c r="E2865" s="61"/>
      <c r="F2865" s="61"/>
      <c r="G2865" s="61"/>
      <c r="H2865" s="61"/>
      <c r="I2865" s="81"/>
      <c r="J2865" s="81"/>
      <c r="K2865" s="60"/>
      <c r="L2865" s="60"/>
      <c r="M2865" s="60"/>
      <c r="N2865" s="60"/>
      <c r="O2865" s="60"/>
      <c r="P2865" s="60"/>
      <c r="Q2865" s="60"/>
      <c r="R2865" s="58"/>
      <c r="S2865" s="62" t="str">
        <f aca="false">IF(OR(B2865="",V2865=""),"",IFERROR(INDEX(C_TIPO,MATCH(V2865&amp;"-P"&amp;MAX(1,COUNTIFS(C_RUTN,V2865,C_DEF,"Sí",C_INI,"&lt;="&amp;EOMONTH(B2865,0))),C_CLAVE,0))&amp;"","Sin contrato"))</f>
        <v/>
      </c>
      <c r="T2865" s="63" t="str">
        <f aca="false">IF(OR(B2865="",N(O2865)=0),"",N(O2865)+ROUND(MIN(N(N2865),TOPE_UF*UF_MES)*(TASA_EMP+MUTUAL),0)+ROUND(MIN(N(N2865),TOPE_AFC_UF*UF_MES)*IF(S2865="Indefinido",AFC_INDEF,AFC_PF),0))</f>
        <v/>
      </c>
      <c r="U2865" s="62" t="str">
        <f aca="false">IF(C2865="","",IF(LEFT(D2865,1)="⚠","⚠ RUT no registrado en Trabajadores",IF(B2865="","⚠ Falta el mes",IF(OR(ISTEXT(I2865),ISTEXT(J2865)),"⚠ Atrasos u horas extra como texto: escriba hh:mm (ej. 1:30)",IF(AND(ISNUMBER(Q2865),COUNTIFS(M_RUTN,V2865,M_MES,B2865,M_LIQ,"&lt;&gt;")&gt;1),"⚠ Liquidación repetida en el mes",IF(AND(ISNUMBER(O2865),ISNUMBER(P2865),ISNUMBER(Q2865),ABS(O2865-P2865-Q2865)&gt;1),"⚠ Haberes − descuentos no da el líquido","OK"))))))</f>
        <v/>
      </c>
      <c r="V2865" s="62" t="str">
        <f aca="false">IF(C2865="","",IFERROR(VALUE(LEFT(UPPER(SUBSTITUTE(SUBSTITUTE(SUBSTITUTE(TRIM(C2865),".",""),"-","")," ","")),LEN(UPPER(SUBSTITUTE(SUBSTITUTE(SUBSTITUTE(TRIM(C2865),".",""),"-","")," ","")))-1))&amp;RIGHT(UPPER(SUBSTITUTE(SUBSTITUTE(SUBSTITUTE(TRIM(C2865),".",""),"-","")," ","")),1),UPPER(SUBSTITUTE(SUBSTITUTE(SUBSTITUTE(TRIM(C2865),".",""),"-","")," ",""))))</f>
        <v/>
      </c>
    </row>
    <row r="2866" customFormat="false" ht="15" hidden="false" customHeight="false" outlineLevel="0" collapsed="false">
      <c r="B2866" s="80"/>
      <c r="C2866" s="58"/>
      <c r="D2866" s="62" t="str">
        <f aca="false">IF(C2866="","",IFERROR(INDEX(T_NOMBRE,MATCH(V2866,T_RUTN,0)),"⚠ RUT no está en Trabajadores"))</f>
        <v/>
      </c>
      <c r="E2866" s="61"/>
      <c r="F2866" s="61"/>
      <c r="G2866" s="61"/>
      <c r="H2866" s="61"/>
      <c r="I2866" s="81"/>
      <c r="J2866" s="81"/>
      <c r="K2866" s="60"/>
      <c r="L2866" s="60"/>
      <c r="M2866" s="60"/>
      <c r="N2866" s="60"/>
      <c r="O2866" s="60"/>
      <c r="P2866" s="60"/>
      <c r="Q2866" s="60"/>
      <c r="R2866" s="58"/>
      <c r="S2866" s="62" t="str">
        <f aca="false">IF(OR(B2866="",V2866=""),"",IFERROR(INDEX(C_TIPO,MATCH(V2866&amp;"-P"&amp;MAX(1,COUNTIFS(C_RUTN,V2866,C_DEF,"Sí",C_INI,"&lt;="&amp;EOMONTH(B2866,0))),C_CLAVE,0))&amp;"","Sin contrato"))</f>
        <v/>
      </c>
      <c r="T2866" s="63" t="str">
        <f aca="false">IF(OR(B2866="",N(O2866)=0),"",N(O2866)+ROUND(MIN(N(N2866),TOPE_UF*UF_MES)*(TASA_EMP+MUTUAL),0)+ROUND(MIN(N(N2866),TOPE_AFC_UF*UF_MES)*IF(S2866="Indefinido",AFC_INDEF,AFC_PF),0))</f>
        <v/>
      </c>
      <c r="U2866" s="62" t="str">
        <f aca="false">IF(C2866="","",IF(LEFT(D2866,1)="⚠","⚠ RUT no registrado en Trabajadores",IF(B2866="","⚠ Falta el mes",IF(OR(ISTEXT(I2866),ISTEXT(J2866)),"⚠ Atrasos u horas extra como texto: escriba hh:mm (ej. 1:30)",IF(AND(ISNUMBER(Q2866),COUNTIFS(M_RUTN,V2866,M_MES,B2866,M_LIQ,"&lt;&gt;")&gt;1),"⚠ Liquidación repetida en el mes",IF(AND(ISNUMBER(O2866),ISNUMBER(P2866),ISNUMBER(Q2866),ABS(O2866-P2866-Q2866)&gt;1),"⚠ Haberes − descuentos no da el líquido","OK"))))))</f>
        <v/>
      </c>
      <c r="V2866" s="62" t="str">
        <f aca="false">IF(C2866="","",IFERROR(VALUE(LEFT(UPPER(SUBSTITUTE(SUBSTITUTE(SUBSTITUTE(TRIM(C2866),".",""),"-","")," ","")),LEN(UPPER(SUBSTITUTE(SUBSTITUTE(SUBSTITUTE(TRIM(C2866),".",""),"-","")," ","")))-1))&amp;RIGHT(UPPER(SUBSTITUTE(SUBSTITUTE(SUBSTITUTE(TRIM(C2866),".",""),"-","")," ","")),1),UPPER(SUBSTITUTE(SUBSTITUTE(SUBSTITUTE(TRIM(C2866),".",""),"-","")," ",""))))</f>
        <v/>
      </c>
    </row>
    <row r="2867" customFormat="false" ht="15" hidden="false" customHeight="false" outlineLevel="0" collapsed="false">
      <c r="B2867" s="80"/>
      <c r="C2867" s="58"/>
      <c r="D2867" s="62" t="str">
        <f aca="false">IF(C2867="","",IFERROR(INDEX(T_NOMBRE,MATCH(V2867,T_RUTN,0)),"⚠ RUT no está en Trabajadores"))</f>
        <v/>
      </c>
      <c r="E2867" s="61"/>
      <c r="F2867" s="61"/>
      <c r="G2867" s="61"/>
      <c r="H2867" s="61"/>
      <c r="I2867" s="81"/>
      <c r="J2867" s="81"/>
      <c r="K2867" s="60"/>
      <c r="L2867" s="60"/>
      <c r="M2867" s="60"/>
      <c r="N2867" s="60"/>
      <c r="O2867" s="60"/>
      <c r="P2867" s="60"/>
      <c r="Q2867" s="60"/>
      <c r="R2867" s="58"/>
      <c r="S2867" s="62" t="str">
        <f aca="false">IF(OR(B2867="",V2867=""),"",IFERROR(INDEX(C_TIPO,MATCH(V2867&amp;"-P"&amp;MAX(1,COUNTIFS(C_RUTN,V2867,C_DEF,"Sí",C_INI,"&lt;="&amp;EOMONTH(B2867,0))),C_CLAVE,0))&amp;"","Sin contrato"))</f>
        <v/>
      </c>
      <c r="T2867" s="63" t="str">
        <f aca="false">IF(OR(B2867="",N(O2867)=0),"",N(O2867)+ROUND(MIN(N(N2867),TOPE_UF*UF_MES)*(TASA_EMP+MUTUAL),0)+ROUND(MIN(N(N2867),TOPE_AFC_UF*UF_MES)*IF(S2867="Indefinido",AFC_INDEF,AFC_PF),0))</f>
        <v/>
      </c>
      <c r="U2867" s="62" t="str">
        <f aca="false">IF(C2867="","",IF(LEFT(D2867,1)="⚠","⚠ RUT no registrado en Trabajadores",IF(B2867="","⚠ Falta el mes",IF(OR(ISTEXT(I2867),ISTEXT(J2867)),"⚠ Atrasos u horas extra como texto: escriba hh:mm (ej. 1:30)",IF(AND(ISNUMBER(Q2867),COUNTIFS(M_RUTN,V2867,M_MES,B2867,M_LIQ,"&lt;&gt;")&gt;1),"⚠ Liquidación repetida en el mes",IF(AND(ISNUMBER(O2867),ISNUMBER(P2867),ISNUMBER(Q2867),ABS(O2867-P2867-Q2867)&gt;1),"⚠ Haberes − descuentos no da el líquido","OK"))))))</f>
        <v/>
      </c>
      <c r="V2867" s="62" t="str">
        <f aca="false">IF(C2867="","",IFERROR(VALUE(LEFT(UPPER(SUBSTITUTE(SUBSTITUTE(SUBSTITUTE(TRIM(C2867),".",""),"-","")," ","")),LEN(UPPER(SUBSTITUTE(SUBSTITUTE(SUBSTITUTE(TRIM(C2867),".",""),"-","")," ","")))-1))&amp;RIGHT(UPPER(SUBSTITUTE(SUBSTITUTE(SUBSTITUTE(TRIM(C2867),".",""),"-","")," ","")),1),UPPER(SUBSTITUTE(SUBSTITUTE(SUBSTITUTE(TRIM(C2867),".",""),"-","")," ",""))))</f>
        <v/>
      </c>
    </row>
    <row r="2868" customFormat="false" ht="15" hidden="false" customHeight="false" outlineLevel="0" collapsed="false">
      <c r="B2868" s="80"/>
      <c r="C2868" s="58"/>
      <c r="D2868" s="62" t="str">
        <f aca="false">IF(C2868="","",IFERROR(INDEX(T_NOMBRE,MATCH(V2868,T_RUTN,0)),"⚠ RUT no está en Trabajadores"))</f>
        <v/>
      </c>
      <c r="E2868" s="61"/>
      <c r="F2868" s="61"/>
      <c r="G2868" s="61"/>
      <c r="H2868" s="61"/>
      <c r="I2868" s="81"/>
      <c r="J2868" s="81"/>
      <c r="K2868" s="60"/>
      <c r="L2868" s="60"/>
      <c r="M2868" s="60"/>
      <c r="N2868" s="60"/>
      <c r="O2868" s="60"/>
      <c r="P2868" s="60"/>
      <c r="Q2868" s="60"/>
      <c r="R2868" s="58"/>
      <c r="S2868" s="62" t="str">
        <f aca="false">IF(OR(B2868="",V2868=""),"",IFERROR(INDEX(C_TIPO,MATCH(V2868&amp;"-P"&amp;MAX(1,COUNTIFS(C_RUTN,V2868,C_DEF,"Sí",C_INI,"&lt;="&amp;EOMONTH(B2868,0))),C_CLAVE,0))&amp;"","Sin contrato"))</f>
        <v/>
      </c>
      <c r="T2868" s="63" t="str">
        <f aca="false">IF(OR(B2868="",N(O2868)=0),"",N(O2868)+ROUND(MIN(N(N2868),TOPE_UF*UF_MES)*(TASA_EMP+MUTUAL),0)+ROUND(MIN(N(N2868),TOPE_AFC_UF*UF_MES)*IF(S2868="Indefinido",AFC_INDEF,AFC_PF),0))</f>
        <v/>
      </c>
      <c r="U2868" s="62" t="str">
        <f aca="false">IF(C2868="","",IF(LEFT(D2868,1)="⚠","⚠ RUT no registrado en Trabajadores",IF(B2868="","⚠ Falta el mes",IF(OR(ISTEXT(I2868),ISTEXT(J2868)),"⚠ Atrasos u horas extra como texto: escriba hh:mm (ej. 1:30)",IF(AND(ISNUMBER(Q2868),COUNTIFS(M_RUTN,V2868,M_MES,B2868,M_LIQ,"&lt;&gt;")&gt;1),"⚠ Liquidación repetida en el mes",IF(AND(ISNUMBER(O2868),ISNUMBER(P2868),ISNUMBER(Q2868),ABS(O2868-P2868-Q2868)&gt;1),"⚠ Haberes − descuentos no da el líquido","OK"))))))</f>
        <v/>
      </c>
      <c r="V2868" s="62" t="str">
        <f aca="false">IF(C2868="","",IFERROR(VALUE(LEFT(UPPER(SUBSTITUTE(SUBSTITUTE(SUBSTITUTE(TRIM(C2868),".",""),"-","")," ","")),LEN(UPPER(SUBSTITUTE(SUBSTITUTE(SUBSTITUTE(TRIM(C2868),".",""),"-","")," ","")))-1))&amp;RIGHT(UPPER(SUBSTITUTE(SUBSTITUTE(SUBSTITUTE(TRIM(C2868),".",""),"-","")," ","")),1),UPPER(SUBSTITUTE(SUBSTITUTE(SUBSTITUTE(TRIM(C2868),".",""),"-","")," ",""))))</f>
        <v/>
      </c>
    </row>
    <row r="2869" customFormat="false" ht="15" hidden="false" customHeight="false" outlineLevel="0" collapsed="false">
      <c r="B2869" s="80"/>
      <c r="C2869" s="58"/>
      <c r="D2869" s="62" t="str">
        <f aca="false">IF(C2869="","",IFERROR(INDEX(T_NOMBRE,MATCH(V2869,T_RUTN,0)),"⚠ RUT no está en Trabajadores"))</f>
        <v/>
      </c>
      <c r="E2869" s="61"/>
      <c r="F2869" s="61"/>
      <c r="G2869" s="61"/>
      <c r="H2869" s="61"/>
      <c r="I2869" s="81"/>
      <c r="J2869" s="81"/>
      <c r="K2869" s="60"/>
      <c r="L2869" s="60"/>
      <c r="M2869" s="60"/>
      <c r="N2869" s="60"/>
      <c r="O2869" s="60"/>
      <c r="P2869" s="60"/>
      <c r="Q2869" s="60"/>
      <c r="R2869" s="58"/>
      <c r="S2869" s="62" t="str">
        <f aca="false">IF(OR(B2869="",V2869=""),"",IFERROR(INDEX(C_TIPO,MATCH(V2869&amp;"-P"&amp;MAX(1,COUNTIFS(C_RUTN,V2869,C_DEF,"Sí",C_INI,"&lt;="&amp;EOMONTH(B2869,0))),C_CLAVE,0))&amp;"","Sin contrato"))</f>
        <v/>
      </c>
      <c r="T2869" s="63" t="str">
        <f aca="false">IF(OR(B2869="",N(O2869)=0),"",N(O2869)+ROUND(MIN(N(N2869),TOPE_UF*UF_MES)*(TASA_EMP+MUTUAL),0)+ROUND(MIN(N(N2869),TOPE_AFC_UF*UF_MES)*IF(S2869="Indefinido",AFC_INDEF,AFC_PF),0))</f>
        <v/>
      </c>
      <c r="U2869" s="62" t="str">
        <f aca="false">IF(C2869="","",IF(LEFT(D2869,1)="⚠","⚠ RUT no registrado en Trabajadores",IF(B2869="","⚠ Falta el mes",IF(OR(ISTEXT(I2869),ISTEXT(J2869)),"⚠ Atrasos u horas extra como texto: escriba hh:mm (ej. 1:30)",IF(AND(ISNUMBER(Q2869),COUNTIFS(M_RUTN,V2869,M_MES,B2869,M_LIQ,"&lt;&gt;")&gt;1),"⚠ Liquidación repetida en el mes",IF(AND(ISNUMBER(O2869),ISNUMBER(P2869),ISNUMBER(Q2869),ABS(O2869-P2869-Q2869)&gt;1),"⚠ Haberes − descuentos no da el líquido","OK"))))))</f>
        <v/>
      </c>
      <c r="V2869" s="62" t="str">
        <f aca="false">IF(C2869="","",IFERROR(VALUE(LEFT(UPPER(SUBSTITUTE(SUBSTITUTE(SUBSTITUTE(TRIM(C2869),".",""),"-","")," ","")),LEN(UPPER(SUBSTITUTE(SUBSTITUTE(SUBSTITUTE(TRIM(C2869),".",""),"-","")," ","")))-1))&amp;RIGHT(UPPER(SUBSTITUTE(SUBSTITUTE(SUBSTITUTE(TRIM(C2869),".",""),"-","")," ","")),1),UPPER(SUBSTITUTE(SUBSTITUTE(SUBSTITUTE(TRIM(C2869),".",""),"-","")," ",""))))</f>
        <v/>
      </c>
    </row>
    <row r="2870" customFormat="false" ht="15" hidden="false" customHeight="false" outlineLevel="0" collapsed="false">
      <c r="B2870" s="80"/>
      <c r="C2870" s="58"/>
      <c r="D2870" s="62" t="str">
        <f aca="false">IF(C2870="","",IFERROR(INDEX(T_NOMBRE,MATCH(V2870,T_RUTN,0)),"⚠ RUT no está en Trabajadores"))</f>
        <v/>
      </c>
      <c r="E2870" s="61"/>
      <c r="F2870" s="61"/>
      <c r="G2870" s="61"/>
      <c r="H2870" s="61"/>
      <c r="I2870" s="81"/>
      <c r="J2870" s="81"/>
      <c r="K2870" s="60"/>
      <c r="L2870" s="60"/>
      <c r="M2870" s="60"/>
      <c r="N2870" s="60"/>
      <c r="O2870" s="60"/>
      <c r="P2870" s="60"/>
      <c r="Q2870" s="60"/>
      <c r="R2870" s="58"/>
      <c r="S2870" s="62" t="str">
        <f aca="false">IF(OR(B2870="",V2870=""),"",IFERROR(INDEX(C_TIPO,MATCH(V2870&amp;"-P"&amp;MAX(1,COUNTIFS(C_RUTN,V2870,C_DEF,"Sí",C_INI,"&lt;="&amp;EOMONTH(B2870,0))),C_CLAVE,0))&amp;"","Sin contrato"))</f>
        <v/>
      </c>
      <c r="T2870" s="63" t="str">
        <f aca="false">IF(OR(B2870="",N(O2870)=0),"",N(O2870)+ROUND(MIN(N(N2870),TOPE_UF*UF_MES)*(TASA_EMP+MUTUAL),0)+ROUND(MIN(N(N2870),TOPE_AFC_UF*UF_MES)*IF(S2870="Indefinido",AFC_INDEF,AFC_PF),0))</f>
        <v/>
      </c>
      <c r="U2870" s="62" t="str">
        <f aca="false">IF(C2870="","",IF(LEFT(D2870,1)="⚠","⚠ RUT no registrado en Trabajadores",IF(B2870="","⚠ Falta el mes",IF(OR(ISTEXT(I2870),ISTEXT(J2870)),"⚠ Atrasos u horas extra como texto: escriba hh:mm (ej. 1:30)",IF(AND(ISNUMBER(Q2870),COUNTIFS(M_RUTN,V2870,M_MES,B2870,M_LIQ,"&lt;&gt;")&gt;1),"⚠ Liquidación repetida en el mes",IF(AND(ISNUMBER(O2870),ISNUMBER(P2870),ISNUMBER(Q2870),ABS(O2870-P2870-Q2870)&gt;1),"⚠ Haberes − descuentos no da el líquido","OK"))))))</f>
        <v/>
      </c>
      <c r="V2870" s="62" t="str">
        <f aca="false">IF(C2870="","",IFERROR(VALUE(LEFT(UPPER(SUBSTITUTE(SUBSTITUTE(SUBSTITUTE(TRIM(C2870),".",""),"-","")," ","")),LEN(UPPER(SUBSTITUTE(SUBSTITUTE(SUBSTITUTE(TRIM(C2870),".",""),"-","")," ","")))-1))&amp;RIGHT(UPPER(SUBSTITUTE(SUBSTITUTE(SUBSTITUTE(TRIM(C2870),".",""),"-","")," ","")),1),UPPER(SUBSTITUTE(SUBSTITUTE(SUBSTITUTE(TRIM(C2870),".",""),"-","")," ",""))))</f>
        <v/>
      </c>
    </row>
    <row r="2871" customFormat="false" ht="15" hidden="false" customHeight="false" outlineLevel="0" collapsed="false">
      <c r="B2871" s="80"/>
      <c r="C2871" s="58"/>
      <c r="D2871" s="62" t="str">
        <f aca="false">IF(C2871="","",IFERROR(INDEX(T_NOMBRE,MATCH(V2871,T_RUTN,0)),"⚠ RUT no está en Trabajadores"))</f>
        <v/>
      </c>
      <c r="E2871" s="61"/>
      <c r="F2871" s="61"/>
      <c r="G2871" s="61"/>
      <c r="H2871" s="61"/>
      <c r="I2871" s="81"/>
      <c r="J2871" s="81"/>
      <c r="K2871" s="60"/>
      <c r="L2871" s="60"/>
      <c r="M2871" s="60"/>
      <c r="N2871" s="60"/>
      <c r="O2871" s="60"/>
      <c r="P2871" s="60"/>
      <c r="Q2871" s="60"/>
      <c r="R2871" s="58"/>
      <c r="S2871" s="62" t="str">
        <f aca="false">IF(OR(B2871="",V2871=""),"",IFERROR(INDEX(C_TIPO,MATCH(V2871&amp;"-P"&amp;MAX(1,COUNTIFS(C_RUTN,V2871,C_DEF,"Sí",C_INI,"&lt;="&amp;EOMONTH(B2871,0))),C_CLAVE,0))&amp;"","Sin contrato"))</f>
        <v/>
      </c>
      <c r="T2871" s="63" t="str">
        <f aca="false">IF(OR(B2871="",N(O2871)=0),"",N(O2871)+ROUND(MIN(N(N2871),TOPE_UF*UF_MES)*(TASA_EMP+MUTUAL),0)+ROUND(MIN(N(N2871),TOPE_AFC_UF*UF_MES)*IF(S2871="Indefinido",AFC_INDEF,AFC_PF),0))</f>
        <v/>
      </c>
      <c r="U2871" s="62" t="str">
        <f aca="false">IF(C2871="","",IF(LEFT(D2871,1)="⚠","⚠ RUT no registrado en Trabajadores",IF(B2871="","⚠ Falta el mes",IF(OR(ISTEXT(I2871),ISTEXT(J2871)),"⚠ Atrasos u horas extra como texto: escriba hh:mm (ej. 1:30)",IF(AND(ISNUMBER(Q2871),COUNTIFS(M_RUTN,V2871,M_MES,B2871,M_LIQ,"&lt;&gt;")&gt;1),"⚠ Liquidación repetida en el mes",IF(AND(ISNUMBER(O2871),ISNUMBER(P2871),ISNUMBER(Q2871),ABS(O2871-P2871-Q2871)&gt;1),"⚠ Haberes − descuentos no da el líquido","OK"))))))</f>
        <v/>
      </c>
      <c r="V2871" s="62" t="str">
        <f aca="false">IF(C2871="","",IFERROR(VALUE(LEFT(UPPER(SUBSTITUTE(SUBSTITUTE(SUBSTITUTE(TRIM(C2871),".",""),"-","")," ","")),LEN(UPPER(SUBSTITUTE(SUBSTITUTE(SUBSTITUTE(TRIM(C2871),".",""),"-","")," ","")))-1))&amp;RIGHT(UPPER(SUBSTITUTE(SUBSTITUTE(SUBSTITUTE(TRIM(C2871),".",""),"-","")," ","")),1),UPPER(SUBSTITUTE(SUBSTITUTE(SUBSTITUTE(TRIM(C2871),".",""),"-","")," ",""))))</f>
        <v/>
      </c>
    </row>
    <row r="2872" customFormat="false" ht="15" hidden="false" customHeight="false" outlineLevel="0" collapsed="false">
      <c r="B2872" s="80"/>
      <c r="C2872" s="58"/>
      <c r="D2872" s="62" t="str">
        <f aca="false">IF(C2872="","",IFERROR(INDEX(T_NOMBRE,MATCH(V2872,T_RUTN,0)),"⚠ RUT no está en Trabajadores"))</f>
        <v/>
      </c>
      <c r="E2872" s="61"/>
      <c r="F2872" s="61"/>
      <c r="G2872" s="61"/>
      <c r="H2872" s="61"/>
      <c r="I2872" s="81"/>
      <c r="J2872" s="81"/>
      <c r="K2872" s="60"/>
      <c r="L2872" s="60"/>
      <c r="M2872" s="60"/>
      <c r="N2872" s="60"/>
      <c r="O2872" s="60"/>
      <c r="P2872" s="60"/>
      <c r="Q2872" s="60"/>
      <c r="R2872" s="58"/>
      <c r="S2872" s="62" t="str">
        <f aca="false">IF(OR(B2872="",V2872=""),"",IFERROR(INDEX(C_TIPO,MATCH(V2872&amp;"-P"&amp;MAX(1,COUNTIFS(C_RUTN,V2872,C_DEF,"Sí",C_INI,"&lt;="&amp;EOMONTH(B2872,0))),C_CLAVE,0))&amp;"","Sin contrato"))</f>
        <v/>
      </c>
      <c r="T2872" s="63" t="str">
        <f aca="false">IF(OR(B2872="",N(O2872)=0),"",N(O2872)+ROUND(MIN(N(N2872),TOPE_UF*UF_MES)*(TASA_EMP+MUTUAL),0)+ROUND(MIN(N(N2872),TOPE_AFC_UF*UF_MES)*IF(S2872="Indefinido",AFC_INDEF,AFC_PF),0))</f>
        <v/>
      </c>
      <c r="U2872" s="62" t="str">
        <f aca="false">IF(C2872="","",IF(LEFT(D2872,1)="⚠","⚠ RUT no registrado en Trabajadores",IF(B2872="","⚠ Falta el mes",IF(OR(ISTEXT(I2872),ISTEXT(J2872)),"⚠ Atrasos u horas extra como texto: escriba hh:mm (ej. 1:30)",IF(AND(ISNUMBER(Q2872),COUNTIFS(M_RUTN,V2872,M_MES,B2872,M_LIQ,"&lt;&gt;")&gt;1),"⚠ Liquidación repetida en el mes",IF(AND(ISNUMBER(O2872),ISNUMBER(P2872),ISNUMBER(Q2872),ABS(O2872-P2872-Q2872)&gt;1),"⚠ Haberes − descuentos no da el líquido","OK"))))))</f>
        <v/>
      </c>
      <c r="V2872" s="62" t="str">
        <f aca="false">IF(C2872="","",IFERROR(VALUE(LEFT(UPPER(SUBSTITUTE(SUBSTITUTE(SUBSTITUTE(TRIM(C2872),".",""),"-","")," ","")),LEN(UPPER(SUBSTITUTE(SUBSTITUTE(SUBSTITUTE(TRIM(C2872),".",""),"-","")," ","")))-1))&amp;RIGHT(UPPER(SUBSTITUTE(SUBSTITUTE(SUBSTITUTE(TRIM(C2872),".",""),"-","")," ","")),1),UPPER(SUBSTITUTE(SUBSTITUTE(SUBSTITUTE(TRIM(C2872),".",""),"-","")," ",""))))</f>
        <v/>
      </c>
    </row>
    <row r="2873" customFormat="false" ht="15" hidden="false" customHeight="false" outlineLevel="0" collapsed="false">
      <c r="B2873" s="80"/>
      <c r="C2873" s="58"/>
      <c r="D2873" s="62" t="str">
        <f aca="false">IF(C2873="","",IFERROR(INDEX(T_NOMBRE,MATCH(V2873,T_RUTN,0)),"⚠ RUT no está en Trabajadores"))</f>
        <v/>
      </c>
      <c r="E2873" s="61"/>
      <c r="F2873" s="61"/>
      <c r="G2873" s="61"/>
      <c r="H2873" s="61"/>
      <c r="I2873" s="81"/>
      <c r="J2873" s="81"/>
      <c r="K2873" s="60"/>
      <c r="L2873" s="60"/>
      <c r="M2873" s="60"/>
      <c r="N2873" s="60"/>
      <c r="O2873" s="60"/>
      <c r="P2873" s="60"/>
      <c r="Q2873" s="60"/>
      <c r="R2873" s="58"/>
      <c r="S2873" s="62" t="str">
        <f aca="false">IF(OR(B2873="",V2873=""),"",IFERROR(INDEX(C_TIPO,MATCH(V2873&amp;"-P"&amp;MAX(1,COUNTIFS(C_RUTN,V2873,C_DEF,"Sí",C_INI,"&lt;="&amp;EOMONTH(B2873,0))),C_CLAVE,0))&amp;"","Sin contrato"))</f>
        <v/>
      </c>
      <c r="T2873" s="63" t="str">
        <f aca="false">IF(OR(B2873="",N(O2873)=0),"",N(O2873)+ROUND(MIN(N(N2873),TOPE_UF*UF_MES)*(TASA_EMP+MUTUAL),0)+ROUND(MIN(N(N2873),TOPE_AFC_UF*UF_MES)*IF(S2873="Indefinido",AFC_INDEF,AFC_PF),0))</f>
        <v/>
      </c>
      <c r="U2873" s="62" t="str">
        <f aca="false">IF(C2873="","",IF(LEFT(D2873,1)="⚠","⚠ RUT no registrado en Trabajadores",IF(B2873="","⚠ Falta el mes",IF(OR(ISTEXT(I2873),ISTEXT(J2873)),"⚠ Atrasos u horas extra como texto: escriba hh:mm (ej. 1:30)",IF(AND(ISNUMBER(Q2873),COUNTIFS(M_RUTN,V2873,M_MES,B2873,M_LIQ,"&lt;&gt;")&gt;1),"⚠ Liquidación repetida en el mes",IF(AND(ISNUMBER(O2873),ISNUMBER(P2873),ISNUMBER(Q2873),ABS(O2873-P2873-Q2873)&gt;1),"⚠ Haberes − descuentos no da el líquido","OK"))))))</f>
        <v/>
      </c>
      <c r="V2873" s="62" t="str">
        <f aca="false">IF(C2873="","",IFERROR(VALUE(LEFT(UPPER(SUBSTITUTE(SUBSTITUTE(SUBSTITUTE(TRIM(C2873),".",""),"-","")," ","")),LEN(UPPER(SUBSTITUTE(SUBSTITUTE(SUBSTITUTE(TRIM(C2873),".",""),"-","")," ","")))-1))&amp;RIGHT(UPPER(SUBSTITUTE(SUBSTITUTE(SUBSTITUTE(TRIM(C2873),".",""),"-","")," ","")),1),UPPER(SUBSTITUTE(SUBSTITUTE(SUBSTITUTE(TRIM(C2873),".",""),"-","")," ",""))))</f>
        <v/>
      </c>
    </row>
    <row r="2874" customFormat="false" ht="15" hidden="false" customHeight="false" outlineLevel="0" collapsed="false">
      <c r="B2874" s="80"/>
      <c r="C2874" s="58"/>
      <c r="D2874" s="62" t="str">
        <f aca="false">IF(C2874="","",IFERROR(INDEX(T_NOMBRE,MATCH(V2874,T_RUTN,0)),"⚠ RUT no está en Trabajadores"))</f>
        <v/>
      </c>
      <c r="E2874" s="61"/>
      <c r="F2874" s="61"/>
      <c r="G2874" s="61"/>
      <c r="H2874" s="61"/>
      <c r="I2874" s="81"/>
      <c r="J2874" s="81"/>
      <c r="K2874" s="60"/>
      <c r="L2874" s="60"/>
      <c r="M2874" s="60"/>
      <c r="N2874" s="60"/>
      <c r="O2874" s="60"/>
      <c r="P2874" s="60"/>
      <c r="Q2874" s="60"/>
      <c r="R2874" s="58"/>
      <c r="S2874" s="62" t="str">
        <f aca="false">IF(OR(B2874="",V2874=""),"",IFERROR(INDEX(C_TIPO,MATCH(V2874&amp;"-P"&amp;MAX(1,COUNTIFS(C_RUTN,V2874,C_DEF,"Sí",C_INI,"&lt;="&amp;EOMONTH(B2874,0))),C_CLAVE,0))&amp;"","Sin contrato"))</f>
        <v/>
      </c>
      <c r="T2874" s="63" t="str">
        <f aca="false">IF(OR(B2874="",N(O2874)=0),"",N(O2874)+ROUND(MIN(N(N2874),TOPE_UF*UF_MES)*(TASA_EMP+MUTUAL),0)+ROUND(MIN(N(N2874),TOPE_AFC_UF*UF_MES)*IF(S2874="Indefinido",AFC_INDEF,AFC_PF),0))</f>
        <v/>
      </c>
      <c r="U2874" s="62" t="str">
        <f aca="false">IF(C2874="","",IF(LEFT(D2874,1)="⚠","⚠ RUT no registrado en Trabajadores",IF(B2874="","⚠ Falta el mes",IF(OR(ISTEXT(I2874),ISTEXT(J2874)),"⚠ Atrasos u horas extra como texto: escriba hh:mm (ej. 1:30)",IF(AND(ISNUMBER(Q2874),COUNTIFS(M_RUTN,V2874,M_MES,B2874,M_LIQ,"&lt;&gt;")&gt;1),"⚠ Liquidación repetida en el mes",IF(AND(ISNUMBER(O2874),ISNUMBER(P2874),ISNUMBER(Q2874),ABS(O2874-P2874-Q2874)&gt;1),"⚠ Haberes − descuentos no da el líquido","OK"))))))</f>
        <v/>
      </c>
      <c r="V2874" s="62" t="str">
        <f aca="false">IF(C2874="","",IFERROR(VALUE(LEFT(UPPER(SUBSTITUTE(SUBSTITUTE(SUBSTITUTE(TRIM(C2874),".",""),"-","")," ","")),LEN(UPPER(SUBSTITUTE(SUBSTITUTE(SUBSTITUTE(TRIM(C2874),".",""),"-","")," ","")))-1))&amp;RIGHT(UPPER(SUBSTITUTE(SUBSTITUTE(SUBSTITUTE(TRIM(C2874),".",""),"-","")," ","")),1),UPPER(SUBSTITUTE(SUBSTITUTE(SUBSTITUTE(TRIM(C2874),".",""),"-","")," ",""))))</f>
        <v/>
      </c>
    </row>
    <row r="2875" customFormat="false" ht="15" hidden="false" customHeight="false" outlineLevel="0" collapsed="false">
      <c r="B2875" s="80"/>
      <c r="C2875" s="58"/>
      <c r="D2875" s="62" t="str">
        <f aca="false">IF(C2875="","",IFERROR(INDEX(T_NOMBRE,MATCH(V2875,T_RUTN,0)),"⚠ RUT no está en Trabajadores"))</f>
        <v/>
      </c>
      <c r="E2875" s="61"/>
      <c r="F2875" s="61"/>
      <c r="G2875" s="61"/>
      <c r="H2875" s="61"/>
      <c r="I2875" s="81"/>
      <c r="J2875" s="81"/>
      <c r="K2875" s="60"/>
      <c r="L2875" s="60"/>
      <c r="M2875" s="60"/>
      <c r="N2875" s="60"/>
      <c r="O2875" s="60"/>
      <c r="P2875" s="60"/>
      <c r="Q2875" s="60"/>
      <c r="R2875" s="58"/>
      <c r="S2875" s="62" t="str">
        <f aca="false">IF(OR(B2875="",V2875=""),"",IFERROR(INDEX(C_TIPO,MATCH(V2875&amp;"-P"&amp;MAX(1,COUNTIFS(C_RUTN,V2875,C_DEF,"Sí",C_INI,"&lt;="&amp;EOMONTH(B2875,0))),C_CLAVE,0))&amp;"","Sin contrato"))</f>
        <v/>
      </c>
      <c r="T2875" s="63" t="str">
        <f aca="false">IF(OR(B2875="",N(O2875)=0),"",N(O2875)+ROUND(MIN(N(N2875),TOPE_UF*UF_MES)*(TASA_EMP+MUTUAL),0)+ROUND(MIN(N(N2875),TOPE_AFC_UF*UF_MES)*IF(S2875="Indefinido",AFC_INDEF,AFC_PF),0))</f>
        <v/>
      </c>
      <c r="U2875" s="62" t="str">
        <f aca="false">IF(C2875="","",IF(LEFT(D2875,1)="⚠","⚠ RUT no registrado en Trabajadores",IF(B2875="","⚠ Falta el mes",IF(OR(ISTEXT(I2875),ISTEXT(J2875)),"⚠ Atrasos u horas extra como texto: escriba hh:mm (ej. 1:30)",IF(AND(ISNUMBER(Q2875),COUNTIFS(M_RUTN,V2875,M_MES,B2875,M_LIQ,"&lt;&gt;")&gt;1),"⚠ Liquidación repetida en el mes",IF(AND(ISNUMBER(O2875),ISNUMBER(P2875),ISNUMBER(Q2875),ABS(O2875-P2875-Q2875)&gt;1),"⚠ Haberes − descuentos no da el líquido","OK"))))))</f>
        <v/>
      </c>
      <c r="V2875" s="62" t="str">
        <f aca="false">IF(C2875="","",IFERROR(VALUE(LEFT(UPPER(SUBSTITUTE(SUBSTITUTE(SUBSTITUTE(TRIM(C2875),".",""),"-","")," ","")),LEN(UPPER(SUBSTITUTE(SUBSTITUTE(SUBSTITUTE(TRIM(C2875),".",""),"-","")," ","")))-1))&amp;RIGHT(UPPER(SUBSTITUTE(SUBSTITUTE(SUBSTITUTE(TRIM(C2875),".",""),"-","")," ","")),1),UPPER(SUBSTITUTE(SUBSTITUTE(SUBSTITUTE(TRIM(C2875),".",""),"-","")," ",""))))</f>
        <v/>
      </c>
    </row>
    <row r="2876" customFormat="false" ht="15" hidden="false" customHeight="false" outlineLevel="0" collapsed="false">
      <c r="B2876" s="80"/>
      <c r="C2876" s="58"/>
      <c r="D2876" s="62" t="str">
        <f aca="false">IF(C2876="","",IFERROR(INDEX(T_NOMBRE,MATCH(V2876,T_RUTN,0)),"⚠ RUT no está en Trabajadores"))</f>
        <v/>
      </c>
      <c r="E2876" s="61"/>
      <c r="F2876" s="61"/>
      <c r="G2876" s="61"/>
      <c r="H2876" s="61"/>
      <c r="I2876" s="81"/>
      <c r="J2876" s="81"/>
      <c r="K2876" s="60"/>
      <c r="L2876" s="60"/>
      <c r="M2876" s="60"/>
      <c r="N2876" s="60"/>
      <c r="O2876" s="60"/>
      <c r="P2876" s="60"/>
      <c r="Q2876" s="60"/>
      <c r="R2876" s="58"/>
      <c r="S2876" s="62" t="str">
        <f aca="false">IF(OR(B2876="",V2876=""),"",IFERROR(INDEX(C_TIPO,MATCH(V2876&amp;"-P"&amp;MAX(1,COUNTIFS(C_RUTN,V2876,C_DEF,"Sí",C_INI,"&lt;="&amp;EOMONTH(B2876,0))),C_CLAVE,0))&amp;"","Sin contrato"))</f>
        <v/>
      </c>
      <c r="T2876" s="63" t="str">
        <f aca="false">IF(OR(B2876="",N(O2876)=0),"",N(O2876)+ROUND(MIN(N(N2876),TOPE_UF*UF_MES)*(TASA_EMP+MUTUAL),0)+ROUND(MIN(N(N2876),TOPE_AFC_UF*UF_MES)*IF(S2876="Indefinido",AFC_INDEF,AFC_PF),0))</f>
        <v/>
      </c>
      <c r="U2876" s="62" t="str">
        <f aca="false">IF(C2876="","",IF(LEFT(D2876,1)="⚠","⚠ RUT no registrado en Trabajadores",IF(B2876="","⚠ Falta el mes",IF(OR(ISTEXT(I2876),ISTEXT(J2876)),"⚠ Atrasos u horas extra como texto: escriba hh:mm (ej. 1:30)",IF(AND(ISNUMBER(Q2876),COUNTIFS(M_RUTN,V2876,M_MES,B2876,M_LIQ,"&lt;&gt;")&gt;1),"⚠ Liquidación repetida en el mes",IF(AND(ISNUMBER(O2876),ISNUMBER(P2876),ISNUMBER(Q2876),ABS(O2876-P2876-Q2876)&gt;1),"⚠ Haberes − descuentos no da el líquido","OK"))))))</f>
        <v/>
      </c>
      <c r="V2876" s="62" t="str">
        <f aca="false">IF(C2876="","",IFERROR(VALUE(LEFT(UPPER(SUBSTITUTE(SUBSTITUTE(SUBSTITUTE(TRIM(C2876),".",""),"-","")," ","")),LEN(UPPER(SUBSTITUTE(SUBSTITUTE(SUBSTITUTE(TRIM(C2876),".",""),"-","")," ","")))-1))&amp;RIGHT(UPPER(SUBSTITUTE(SUBSTITUTE(SUBSTITUTE(TRIM(C2876),".",""),"-","")," ","")),1),UPPER(SUBSTITUTE(SUBSTITUTE(SUBSTITUTE(TRIM(C2876),".",""),"-","")," ",""))))</f>
        <v/>
      </c>
    </row>
    <row r="2877" customFormat="false" ht="15" hidden="false" customHeight="false" outlineLevel="0" collapsed="false">
      <c r="B2877" s="80"/>
      <c r="C2877" s="58"/>
      <c r="D2877" s="62" t="str">
        <f aca="false">IF(C2877="","",IFERROR(INDEX(T_NOMBRE,MATCH(V2877,T_RUTN,0)),"⚠ RUT no está en Trabajadores"))</f>
        <v/>
      </c>
      <c r="E2877" s="61"/>
      <c r="F2877" s="61"/>
      <c r="G2877" s="61"/>
      <c r="H2877" s="61"/>
      <c r="I2877" s="81"/>
      <c r="J2877" s="81"/>
      <c r="K2877" s="60"/>
      <c r="L2877" s="60"/>
      <c r="M2877" s="60"/>
      <c r="N2877" s="60"/>
      <c r="O2877" s="60"/>
      <c r="P2877" s="60"/>
      <c r="Q2877" s="60"/>
      <c r="R2877" s="58"/>
      <c r="S2877" s="62" t="str">
        <f aca="false">IF(OR(B2877="",V2877=""),"",IFERROR(INDEX(C_TIPO,MATCH(V2877&amp;"-P"&amp;MAX(1,COUNTIFS(C_RUTN,V2877,C_DEF,"Sí",C_INI,"&lt;="&amp;EOMONTH(B2877,0))),C_CLAVE,0))&amp;"","Sin contrato"))</f>
        <v/>
      </c>
      <c r="T2877" s="63" t="str">
        <f aca="false">IF(OR(B2877="",N(O2877)=0),"",N(O2877)+ROUND(MIN(N(N2877),TOPE_UF*UF_MES)*(TASA_EMP+MUTUAL),0)+ROUND(MIN(N(N2877),TOPE_AFC_UF*UF_MES)*IF(S2877="Indefinido",AFC_INDEF,AFC_PF),0))</f>
        <v/>
      </c>
      <c r="U2877" s="62" t="str">
        <f aca="false">IF(C2877="","",IF(LEFT(D2877,1)="⚠","⚠ RUT no registrado en Trabajadores",IF(B2877="","⚠ Falta el mes",IF(OR(ISTEXT(I2877),ISTEXT(J2877)),"⚠ Atrasos u horas extra como texto: escriba hh:mm (ej. 1:30)",IF(AND(ISNUMBER(Q2877),COUNTIFS(M_RUTN,V2877,M_MES,B2877,M_LIQ,"&lt;&gt;")&gt;1),"⚠ Liquidación repetida en el mes",IF(AND(ISNUMBER(O2877),ISNUMBER(P2877),ISNUMBER(Q2877),ABS(O2877-P2877-Q2877)&gt;1),"⚠ Haberes − descuentos no da el líquido","OK"))))))</f>
        <v/>
      </c>
      <c r="V2877" s="62" t="str">
        <f aca="false">IF(C2877="","",IFERROR(VALUE(LEFT(UPPER(SUBSTITUTE(SUBSTITUTE(SUBSTITUTE(TRIM(C2877),".",""),"-","")," ","")),LEN(UPPER(SUBSTITUTE(SUBSTITUTE(SUBSTITUTE(TRIM(C2877),".",""),"-","")," ","")))-1))&amp;RIGHT(UPPER(SUBSTITUTE(SUBSTITUTE(SUBSTITUTE(TRIM(C2877),".",""),"-","")," ","")),1),UPPER(SUBSTITUTE(SUBSTITUTE(SUBSTITUTE(TRIM(C2877),".",""),"-","")," ",""))))</f>
        <v/>
      </c>
    </row>
    <row r="2878" customFormat="false" ht="15" hidden="false" customHeight="false" outlineLevel="0" collapsed="false">
      <c r="B2878" s="80"/>
      <c r="C2878" s="58"/>
      <c r="D2878" s="62" t="str">
        <f aca="false">IF(C2878="","",IFERROR(INDEX(T_NOMBRE,MATCH(V2878,T_RUTN,0)),"⚠ RUT no está en Trabajadores"))</f>
        <v/>
      </c>
      <c r="E2878" s="61"/>
      <c r="F2878" s="61"/>
      <c r="G2878" s="61"/>
      <c r="H2878" s="61"/>
      <c r="I2878" s="81"/>
      <c r="J2878" s="81"/>
      <c r="K2878" s="60"/>
      <c r="L2878" s="60"/>
      <c r="M2878" s="60"/>
      <c r="N2878" s="60"/>
      <c r="O2878" s="60"/>
      <c r="P2878" s="60"/>
      <c r="Q2878" s="60"/>
      <c r="R2878" s="58"/>
      <c r="S2878" s="62" t="str">
        <f aca="false">IF(OR(B2878="",V2878=""),"",IFERROR(INDEX(C_TIPO,MATCH(V2878&amp;"-P"&amp;MAX(1,COUNTIFS(C_RUTN,V2878,C_DEF,"Sí",C_INI,"&lt;="&amp;EOMONTH(B2878,0))),C_CLAVE,0))&amp;"","Sin contrato"))</f>
        <v/>
      </c>
      <c r="T2878" s="63" t="str">
        <f aca="false">IF(OR(B2878="",N(O2878)=0),"",N(O2878)+ROUND(MIN(N(N2878),TOPE_UF*UF_MES)*(TASA_EMP+MUTUAL),0)+ROUND(MIN(N(N2878),TOPE_AFC_UF*UF_MES)*IF(S2878="Indefinido",AFC_INDEF,AFC_PF),0))</f>
        <v/>
      </c>
      <c r="U2878" s="62" t="str">
        <f aca="false">IF(C2878="","",IF(LEFT(D2878,1)="⚠","⚠ RUT no registrado en Trabajadores",IF(B2878="","⚠ Falta el mes",IF(OR(ISTEXT(I2878),ISTEXT(J2878)),"⚠ Atrasos u horas extra como texto: escriba hh:mm (ej. 1:30)",IF(AND(ISNUMBER(Q2878),COUNTIFS(M_RUTN,V2878,M_MES,B2878,M_LIQ,"&lt;&gt;")&gt;1),"⚠ Liquidación repetida en el mes",IF(AND(ISNUMBER(O2878),ISNUMBER(P2878),ISNUMBER(Q2878),ABS(O2878-P2878-Q2878)&gt;1),"⚠ Haberes − descuentos no da el líquido","OK"))))))</f>
        <v/>
      </c>
      <c r="V2878" s="62" t="str">
        <f aca="false">IF(C2878="","",IFERROR(VALUE(LEFT(UPPER(SUBSTITUTE(SUBSTITUTE(SUBSTITUTE(TRIM(C2878),".",""),"-","")," ","")),LEN(UPPER(SUBSTITUTE(SUBSTITUTE(SUBSTITUTE(TRIM(C2878),".",""),"-","")," ","")))-1))&amp;RIGHT(UPPER(SUBSTITUTE(SUBSTITUTE(SUBSTITUTE(TRIM(C2878),".",""),"-","")," ","")),1),UPPER(SUBSTITUTE(SUBSTITUTE(SUBSTITUTE(TRIM(C2878),".",""),"-","")," ",""))))</f>
        <v/>
      </c>
    </row>
    <row r="2879" customFormat="false" ht="15" hidden="false" customHeight="false" outlineLevel="0" collapsed="false">
      <c r="B2879" s="80"/>
      <c r="C2879" s="58"/>
      <c r="D2879" s="62" t="str">
        <f aca="false">IF(C2879="","",IFERROR(INDEX(T_NOMBRE,MATCH(V2879,T_RUTN,0)),"⚠ RUT no está en Trabajadores"))</f>
        <v/>
      </c>
      <c r="E2879" s="61"/>
      <c r="F2879" s="61"/>
      <c r="G2879" s="61"/>
      <c r="H2879" s="61"/>
      <c r="I2879" s="81"/>
      <c r="J2879" s="81"/>
      <c r="K2879" s="60"/>
      <c r="L2879" s="60"/>
      <c r="M2879" s="60"/>
      <c r="N2879" s="60"/>
      <c r="O2879" s="60"/>
      <c r="P2879" s="60"/>
      <c r="Q2879" s="60"/>
      <c r="R2879" s="58"/>
      <c r="S2879" s="62" t="str">
        <f aca="false">IF(OR(B2879="",V2879=""),"",IFERROR(INDEX(C_TIPO,MATCH(V2879&amp;"-P"&amp;MAX(1,COUNTIFS(C_RUTN,V2879,C_DEF,"Sí",C_INI,"&lt;="&amp;EOMONTH(B2879,0))),C_CLAVE,0))&amp;"","Sin contrato"))</f>
        <v/>
      </c>
      <c r="T2879" s="63" t="str">
        <f aca="false">IF(OR(B2879="",N(O2879)=0),"",N(O2879)+ROUND(MIN(N(N2879),TOPE_UF*UF_MES)*(TASA_EMP+MUTUAL),0)+ROUND(MIN(N(N2879),TOPE_AFC_UF*UF_MES)*IF(S2879="Indefinido",AFC_INDEF,AFC_PF),0))</f>
        <v/>
      </c>
      <c r="U2879" s="62" t="str">
        <f aca="false">IF(C2879="","",IF(LEFT(D2879,1)="⚠","⚠ RUT no registrado en Trabajadores",IF(B2879="","⚠ Falta el mes",IF(OR(ISTEXT(I2879),ISTEXT(J2879)),"⚠ Atrasos u horas extra como texto: escriba hh:mm (ej. 1:30)",IF(AND(ISNUMBER(Q2879),COUNTIFS(M_RUTN,V2879,M_MES,B2879,M_LIQ,"&lt;&gt;")&gt;1),"⚠ Liquidación repetida en el mes",IF(AND(ISNUMBER(O2879),ISNUMBER(P2879),ISNUMBER(Q2879),ABS(O2879-P2879-Q2879)&gt;1),"⚠ Haberes − descuentos no da el líquido","OK"))))))</f>
        <v/>
      </c>
      <c r="V2879" s="62" t="str">
        <f aca="false">IF(C2879="","",IFERROR(VALUE(LEFT(UPPER(SUBSTITUTE(SUBSTITUTE(SUBSTITUTE(TRIM(C2879),".",""),"-","")," ","")),LEN(UPPER(SUBSTITUTE(SUBSTITUTE(SUBSTITUTE(TRIM(C2879),".",""),"-","")," ","")))-1))&amp;RIGHT(UPPER(SUBSTITUTE(SUBSTITUTE(SUBSTITUTE(TRIM(C2879),".",""),"-","")," ","")),1),UPPER(SUBSTITUTE(SUBSTITUTE(SUBSTITUTE(TRIM(C2879),".",""),"-","")," ",""))))</f>
        <v/>
      </c>
    </row>
    <row r="2880" customFormat="false" ht="15" hidden="false" customHeight="false" outlineLevel="0" collapsed="false">
      <c r="B2880" s="80"/>
      <c r="C2880" s="58"/>
      <c r="D2880" s="62" t="str">
        <f aca="false">IF(C2880="","",IFERROR(INDEX(T_NOMBRE,MATCH(V2880,T_RUTN,0)),"⚠ RUT no está en Trabajadores"))</f>
        <v/>
      </c>
      <c r="E2880" s="61"/>
      <c r="F2880" s="61"/>
      <c r="G2880" s="61"/>
      <c r="H2880" s="61"/>
      <c r="I2880" s="81"/>
      <c r="J2880" s="81"/>
      <c r="K2880" s="60"/>
      <c r="L2880" s="60"/>
      <c r="M2880" s="60"/>
      <c r="N2880" s="60"/>
      <c r="O2880" s="60"/>
      <c r="P2880" s="60"/>
      <c r="Q2880" s="60"/>
      <c r="R2880" s="58"/>
      <c r="S2880" s="62" t="str">
        <f aca="false">IF(OR(B2880="",V2880=""),"",IFERROR(INDEX(C_TIPO,MATCH(V2880&amp;"-P"&amp;MAX(1,COUNTIFS(C_RUTN,V2880,C_DEF,"Sí",C_INI,"&lt;="&amp;EOMONTH(B2880,0))),C_CLAVE,0))&amp;"","Sin contrato"))</f>
        <v/>
      </c>
      <c r="T2880" s="63" t="str">
        <f aca="false">IF(OR(B2880="",N(O2880)=0),"",N(O2880)+ROUND(MIN(N(N2880),TOPE_UF*UF_MES)*(TASA_EMP+MUTUAL),0)+ROUND(MIN(N(N2880),TOPE_AFC_UF*UF_MES)*IF(S2880="Indefinido",AFC_INDEF,AFC_PF),0))</f>
        <v/>
      </c>
      <c r="U2880" s="62" t="str">
        <f aca="false">IF(C2880="","",IF(LEFT(D2880,1)="⚠","⚠ RUT no registrado en Trabajadores",IF(B2880="","⚠ Falta el mes",IF(OR(ISTEXT(I2880),ISTEXT(J2880)),"⚠ Atrasos u horas extra como texto: escriba hh:mm (ej. 1:30)",IF(AND(ISNUMBER(Q2880),COUNTIFS(M_RUTN,V2880,M_MES,B2880,M_LIQ,"&lt;&gt;")&gt;1),"⚠ Liquidación repetida en el mes",IF(AND(ISNUMBER(O2880),ISNUMBER(P2880),ISNUMBER(Q2880),ABS(O2880-P2880-Q2880)&gt;1),"⚠ Haberes − descuentos no da el líquido","OK"))))))</f>
        <v/>
      </c>
      <c r="V2880" s="62" t="str">
        <f aca="false">IF(C2880="","",IFERROR(VALUE(LEFT(UPPER(SUBSTITUTE(SUBSTITUTE(SUBSTITUTE(TRIM(C2880),".",""),"-","")," ","")),LEN(UPPER(SUBSTITUTE(SUBSTITUTE(SUBSTITUTE(TRIM(C2880),".",""),"-","")," ","")))-1))&amp;RIGHT(UPPER(SUBSTITUTE(SUBSTITUTE(SUBSTITUTE(TRIM(C2880),".",""),"-","")," ","")),1),UPPER(SUBSTITUTE(SUBSTITUTE(SUBSTITUTE(TRIM(C2880),".",""),"-","")," ",""))))</f>
        <v/>
      </c>
    </row>
    <row r="2881" customFormat="false" ht="15" hidden="false" customHeight="false" outlineLevel="0" collapsed="false">
      <c r="B2881" s="80"/>
      <c r="C2881" s="58"/>
      <c r="D2881" s="62" t="str">
        <f aca="false">IF(C2881="","",IFERROR(INDEX(T_NOMBRE,MATCH(V2881,T_RUTN,0)),"⚠ RUT no está en Trabajadores"))</f>
        <v/>
      </c>
      <c r="E2881" s="61"/>
      <c r="F2881" s="61"/>
      <c r="G2881" s="61"/>
      <c r="H2881" s="61"/>
      <c r="I2881" s="81"/>
      <c r="J2881" s="81"/>
      <c r="K2881" s="60"/>
      <c r="L2881" s="60"/>
      <c r="M2881" s="60"/>
      <c r="N2881" s="60"/>
      <c r="O2881" s="60"/>
      <c r="P2881" s="60"/>
      <c r="Q2881" s="60"/>
      <c r="R2881" s="58"/>
      <c r="S2881" s="62" t="str">
        <f aca="false">IF(OR(B2881="",V2881=""),"",IFERROR(INDEX(C_TIPO,MATCH(V2881&amp;"-P"&amp;MAX(1,COUNTIFS(C_RUTN,V2881,C_DEF,"Sí",C_INI,"&lt;="&amp;EOMONTH(B2881,0))),C_CLAVE,0))&amp;"","Sin contrato"))</f>
        <v/>
      </c>
      <c r="T2881" s="63" t="str">
        <f aca="false">IF(OR(B2881="",N(O2881)=0),"",N(O2881)+ROUND(MIN(N(N2881),TOPE_UF*UF_MES)*(TASA_EMP+MUTUAL),0)+ROUND(MIN(N(N2881),TOPE_AFC_UF*UF_MES)*IF(S2881="Indefinido",AFC_INDEF,AFC_PF),0))</f>
        <v/>
      </c>
      <c r="U2881" s="62" t="str">
        <f aca="false">IF(C2881="","",IF(LEFT(D2881,1)="⚠","⚠ RUT no registrado en Trabajadores",IF(B2881="","⚠ Falta el mes",IF(OR(ISTEXT(I2881),ISTEXT(J2881)),"⚠ Atrasos u horas extra como texto: escriba hh:mm (ej. 1:30)",IF(AND(ISNUMBER(Q2881),COUNTIFS(M_RUTN,V2881,M_MES,B2881,M_LIQ,"&lt;&gt;")&gt;1),"⚠ Liquidación repetida en el mes",IF(AND(ISNUMBER(O2881),ISNUMBER(P2881),ISNUMBER(Q2881),ABS(O2881-P2881-Q2881)&gt;1),"⚠ Haberes − descuentos no da el líquido","OK"))))))</f>
        <v/>
      </c>
      <c r="V2881" s="62" t="str">
        <f aca="false">IF(C2881="","",IFERROR(VALUE(LEFT(UPPER(SUBSTITUTE(SUBSTITUTE(SUBSTITUTE(TRIM(C2881),".",""),"-","")," ","")),LEN(UPPER(SUBSTITUTE(SUBSTITUTE(SUBSTITUTE(TRIM(C2881),".",""),"-","")," ","")))-1))&amp;RIGHT(UPPER(SUBSTITUTE(SUBSTITUTE(SUBSTITUTE(TRIM(C2881),".",""),"-","")," ","")),1),UPPER(SUBSTITUTE(SUBSTITUTE(SUBSTITUTE(TRIM(C2881),".",""),"-","")," ",""))))</f>
        <v/>
      </c>
    </row>
    <row r="2882" customFormat="false" ht="15" hidden="false" customHeight="false" outlineLevel="0" collapsed="false">
      <c r="B2882" s="80"/>
      <c r="C2882" s="58"/>
      <c r="D2882" s="62" t="str">
        <f aca="false">IF(C2882="","",IFERROR(INDEX(T_NOMBRE,MATCH(V2882,T_RUTN,0)),"⚠ RUT no está en Trabajadores"))</f>
        <v/>
      </c>
      <c r="E2882" s="61"/>
      <c r="F2882" s="61"/>
      <c r="G2882" s="61"/>
      <c r="H2882" s="61"/>
      <c r="I2882" s="81"/>
      <c r="J2882" s="81"/>
      <c r="K2882" s="60"/>
      <c r="L2882" s="60"/>
      <c r="M2882" s="60"/>
      <c r="N2882" s="60"/>
      <c r="O2882" s="60"/>
      <c r="P2882" s="60"/>
      <c r="Q2882" s="60"/>
      <c r="R2882" s="58"/>
      <c r="S2882" s="62" t="str">
        <f aca="false">IF(OR(B2882="",V2882=""),"",IFERROR(INDEX(C_TIPO,MATCH(V2882&amp;"-P"&amp;MAX(1,COUNTIFS(C_RUTN,V2882,C_DEF,"Sí",C_INI,"&lt;="&amp;EOMONTH(B2882,0))),C_CLAVE,0))&amp;"","Sin contrato"))</f>
        <v/>
      </c>
      <c r="T2882" s="63" t="str">
        <f aca="false">IF(OR(B2882="",N(O2882)=0),"",N(O2882)+ROUND(MIN(N(N2882),TOPE_UF*UF_MES)*(TASA_EMP+MUTUAL),0)+ROUND(MIN(N(N2882),TOPE_AFC_UF*UF_MES)*IF(S2882="Indefinido",AFC_INDEF,AFC_PF),0))</f>
        <v/>
      </c>
      <c r="U2882" s="62" t="str">
        <f aca="false">IF(C2882="","",IF(LEFT(D2882,1)="⚠","⚠ RUT no registrado en Trabajadores",IF(B2882="","⚠ Falta el mes",IF(OR(ISTEXT(I2882),ISTEXT(J2882)),"⚠ Atrasos u horas extra como texto: escriba hh:mm (ej. 1:30)",IF(AND(ISNUMBER(Q2882),COUNTIFS(M_RUTN,V2882,M_MES,B2882,M_LIQ,"&lt;&gt;")&gt;1),"⚠ Liquidación repetida en el mes",IF(AND(ISNUMBER(O2882),ISNUMBER(P2882),ISNUMBER(Q2882),ABS(O2882-P2882-Q2882)&gt;1),"⚠ Haberes − descuentos no da el líquido","OK"))))))</f>
        <v/>
      </c>
      <c r="V2882" s="62" t="str">
        <f aca="false">IF(C2882="","",IFERROR(VALUE(LEFT(UPPER(SUBSTITUTE(SUBSTITUTE(SUBSTITUTE(TRIM(C2882),".",""),"-","")," ","")),LEN(UPPER(SUBSTITUTE(SUBSTITUTE(SUBSTITUTE(TRIM(C2882),".",""),"-","")," ","")))-1))&amp;RIGHT(UPPER(SUBSTITUTE(SUBSTITUTE(SUBSTITUTE(TRIM(C2882),".",""),"-","")," ","")),1),UPPER(SUBSTITUTE(SUBSTITUTE(SUBSTITUTE(TRIM(C2882),".",""),"-","")," ",""))))</f>
        <v/>
      </c>
    </row>
    <row r="2883" customFormat="false" ht="15" hidden="false" customHeight="false" outlineLevel="0" collapsed="false">
      <c r="B2883" s="80"/>
      <c r="C2883" s="58"/>
      <c r="D2883" s="62" t="str">
        <f aca="false">IF(C2883="","",IFERROR(INDEX(T_NOMBRE,MATCH(V2883,T_RUTN,0)),"⚠ RUT no está en Trabajadores"))</f>
        <v/>
      </c>
      <c r="E2883" s="61"/>
      <c r="F2883" s="61"/>
      <c r="G2883" s="61"/>
      <c r="H2883" s="61"/>
      <c r="I2883" s="81"/>
      <c r="J2883" s="81"/>
      <c r="K2883" s="60"/>
      <c r="L2883" s="60"/>
      <c r="M2883" s="60"/>
      <c r="N2883" s="60"/>
      <c r="O2883" s="60"/>
      <c r="P2883" s="60"/>
      <c r="Q2883" s="60"/>
      <c r="R2883" s="58"/>
      <c r="S2883" s="62" t="str">
        <f aca="false">IF(OR(B2883="",V2883=""),"",IFERROR(INDEX(C_TIPO,MATCH(V2883&amp;"-P"&amp;MAX(1,COUNTIFS(C_RUTN,V2883,C_DEF,"Sí",C_INI,"&lt;="&amp;EOMONTH(B2883,0))),C_CLAVE,0))&amp;"","Sin contrato"))</f>
        <v/>
      </c>
      <c r="T2883" s="63" t="str">
        <f aca="false">IF(OR(B2883="",N(O2883)=0),"",N(O2883)+ROUND(MIN(N(N2883),TOPE_UF*UF_MES)*(TASA_EMP+MUTUAL),0)+ROUND(MIN(N(N2883),TOPE_AFC_UF*UF_MES)*IF(S2883="Indefinido",AFC_INDEF,AFC_PF),0))</f>
        <v/>
      </c>
      <c r="U2883" s="62" t="str">
        <f aca="false">IF(C2883="","",IF(LEFT(D2883,1)="⚠","⚠ RUT no registrado en Trabajadores",IF(B2883="","⚠ Falta el mes",IF(OR(ISTEXT(I2883),ISTEXT(J2883)),"⚠ Atrasos u horas extra como texto: escriba hh:mm (ej. 1:30)",IF(AND(ISNUMBER(Q2883),COUNTIFS(M_RUTN,V2883,M_MES,B2883,M_LIQ,"&lt;&gt;")&gt;1),"⚠ Liquidación repetida en el mes",IF(AND(ISNUMBER(O2883),ISNUMBER(P2883),ISNUMBER(Q2883),ABS(O2883-P2883-Q2883)&gt;1),"⚠ Haberes − descuentos no da el líquido","OK"))))))</f>
        <v/>
      </c>
      <c r="V2883" s="62" t="str">
        <f aca="false">IF(C2883="","",IFERROR(VALUE(LEFT(UPPER(SUBSTITUTE(SUBSTITUTE(SUBSTITUTE(TRIM(C2883),".",""),"-","")," ","")),LEN(UPPER(SUBSTITUTE(SUBSTITUTE(SUBSTITUTE(TRIM(C2883),".",""),"-","")," ","")))-1))&amp;RIGHT(UPPER(SUBSTITUTE(SUBSTITUTE(SUBSTITUTE(TRIM(C2883),".",""),"-","")," ","")),1),UPPER(SUBSTITUTE(SUBSTITUTE(SUBSTITUTE(TRIM(C2883),".",""),"-","")," ",""))))</f>
        <v/>
      </c>
    </row>
    <row r="2884" customFormat="false" ht="15" hidden="false" customHeight="false" outlineLevel="0" collapsed="false">
      <c r="B2884" s="80"/>
      <c r="C2884" s="58"/>
      <c r="D2884" s="62" t="str">
        <f aca="false">IF(C2884="","",IFERROR(INDEX(T_NOMBRE,MATCH(V2884,T_RUTN,0)),"⚠ RUT no está en Trabajadores"))</f>
        <v/>
      </c>
      <c r="E2884" s="61"/>
      <c r="F2884" s="61"/>
      <c r="G2884" s="61"/>
      <c r="H2884" s="61"/>
      <c r="I2884" s="81"/>
      <c r="J2884" s="81"/>
      <c r="K2884" s="60"/>
      <c r="L2884" s="60"/>
      <c r="M2884" s="60"/>
      <c r="N2884" s="60"/>
      <c r="O2884" s="60"/>
      <c r="P2884" s="60"/>
      <c r="Q2884" s="60"/>
      <c r="R2884" s="58"/>
      <c r="S2884" s="62" t="str">
        <f aca="false">IF(OR(B2884="",V2884=""),"",IFERROR(INDEX(C_TIPO,MATCH(V2884&amp;"-P"&amp;MAX(1,COUNTIFS(C_RUTN,V2884,C_DEF,"Sí",C_INI,"&lt;="&amp;EOMONTH(B2884,0))),C_CLAVE,0))&amp;"","Sin contrato"))</f>
        <v/>
      </c>
      <c r="T2884" s="63" t="str">
        <f aca="false">IF(OR(B2884="",N(O2884)=0),"",N(O2884)+ROUND(MIN(N(N2884),TOPE_UF*UF_MES)*(TASA_EMP+MUTUAL),0)+ROUND(MIN(N(N2884),TOPE_AFC_UF*UF_MES)*IF(S2884="Indefinido",AFC_INDEF,AFC_PF),0))</f>
        <v/>
      </c>
      <c r="U2884" s="62" t="str">
        <f aca="false">IF(C2884="","",IF(LEFT(D2884,1)="⚠","⚠ RUT no registrado en Trabajadores",IF(B2884="","⚠ Falta el mes",IF(OR(ISTEXT(I2884),ISTEXT(J2884)),"⚠ Atrasos u horas extra como texto: escriba hh:mm (ej. 1:30)",IF(AND(ISNUMBER(Q2884),COUNTIFS(M_RUTN,V2884,M_MES,B2884,M_LIQ,"&lt;&gt;")&gt;1),"⚠ Liquidación repetida en el mes",IF(AND(ISNUMBER(O2884),ISNUMBER(P2884),ISNUMBER(Q2884),ABS(O2884-P2884-Q2884)&gt;1),"⚠ Haberes − descuentos no da el líquido","OK"))))))</f>
        <v/>
      </c>
      <c r="V2884" s="62" t="str">
        <f aca="false">IF(C2884="","",IFERROR(VALUE(LEFT(UPPER(SUBSTITUTE(SUBSTITUTE(SUBSTITUTE(TRIM(C2884),".",""),"-","")," ","")),LEN(UPPER(SUBSTITUTE(SUBSTITUTE(SUBSTITUTE(TRIM(C2884),".",""),"-","")," ","")))-1))&amp;RIGHT(UPPER(SUBSTITUTE(SUBSTITUTE(SUBSTITUTE(TRIM(C2884),".",""),"-","")," ","")),1),UPPER(SUBSTITUTE(SUBSTITUTE(SUBSTITUTE(TRIM(C2884),".",""),"-","")," ",""))))</f>
        <v/>
      </c>
    </row>
    <row r="2885" customFormat="false" ht="15" hidden="false" customHeight="false" outlineLevel="0" collapsed="false">
      <c r="B2885" s="80"/>
      <c r="C2885" s="58"/>
      <c r="D2885" s="62" t="str">
        <f aca="false">IF(C2885="","",IFERROR(INDEX(T_NOMBRE,MATCH(V2885,T_RUTN,0)),"⚠ RUT no está en Trabajadores"))</f>
        <v/>
      </c>
      <c r="E2885" s="61"/>
      <c r="F2885" s="61"/>
      <c r="G2885" s="61"/>
      <c r="H2885" s="61"/>
      <c r="I2885" s="81"/>
      <c r="J2885" s="81"/>
      <c r="K2885" s="60"/>
      <c r="L2885" s="60"/>
      <c r="M2885" s="60"/>
      <c r="N2885" s="60"/>
      <c r="O2885" s="60"/>
      <c r="P2885" s="60"/>
      <c r="Q2885" s="60"/>
      <c r="R2885" s="58"/>
      <c r="S2885" s="62" t="str">
        <f aca="false">IF(OR(B2885="",V2885=""),"",IFERROR(INDEX(C_TIPO,MATCH(V2885&amp;"-P"&amp;MAX(1,COUNTIFS(C_RUTN,V2885,C_DEF,"Sí",C_INI,"&lt;="&amp;EOMONTH(B2885,0))),C_CLAVE,0))&amp;"","Sin contrato"))</f>
        <v/>
      </c>
      <c r="T2885" s="63" t="str">
        <f aca="false">IF(OR(B2885="",N(O2885)=0),"",N(O2885)+ROUND(MIN(N(N2885),TOPE_UF*UF_MES)*(TASA_EMP+MUTUAL),0)+ROUND(MIN(N(N2885),TOPE_AFC_UF*UF_MES)*IF(S2885="Indefinido",AFC_INDEF,AFC_PF),0))</f>
        <v/>
      </c>
      <c r="U2885" s="62" t="str">
        <f aca="false">IF(C2885="","",IF(LEFT(D2885,1)="⚠","⚠ RUT no registrado en Trabajadores",IF(B2885="","⚠ Falta el mes",IF(OR(ISTEXT(I2885),ISTEXT(J2885)),"⚠ Atrasos u horas extra como texto: escriba hh:mm (ej. 1:30)",IF(AND(ISNUMBER(Q2885),COUNTIFS(M_RUTN,V2885,M_MES,B2885,M_LIQ,"&lt;&gt;")&gt;1),"⚠ Liquidación repetida en el mes",IF(AND(ISNUMBER(O2885),ISNUMBER(P2885),ISNUMBER(Q2885),ABS(O2885-P2885-Q2885)&gt;1),"⚠ Haberes − descuentos no da el líquido","OK"))))))</f>
        <v/>
      </c>
      <c r="V2885" s="62" t="str">
        <f aca="false">IF(C2885="","",IFERROR(VALUE(LEFT(UPPER(SUBSTITUTE(SUBSTITUTE(SUBSTITUTE(TRIM(C2885),".",""),"-","")," ","")),LEN(UPPER(SUBSTITUTE(SUBSTITUTE(SUBSTITUTE(TRIM(C2885),".",""),"-","")," ","")))-1))&amp;RIGHT(UPPER(SUBSTITUTE(SUBSTITUTE(SUBSTITUTE(TRIM(C2885),".",""),"-","")," ","")),1),UPPER(SUBSTITUTE(SUBSTITUTE(SUBSTITUTE(TRIM(C2885),".",""),"-","")," ",""))))</f>
        <v/>
      </c>
    </row>
    <row r="2886" customFormat="false" ht="15" hidden="false" customHeight="false" outlineLevel="0" collapsed="false">
      <c r="B2886" s="80"/>
      <c r="C2886" s="58"/>
      <c r="D2886" s="62" t="str">
        <f aca="false">IF(C2886="","",IFERROR(INDEX(T_NOMBRE,MATCH(V2886,T_RUTN,0)),"⚠ RUT no está en Trabajadores"))</f>
        <v/>
      </c>
      <c r="E2886" s="61"/>
      <c r="F2886" s="61"/>
      <c r="G2886" s="61"/>
      <c r="H2886" s="61"/>
      <c r="I2886" s="81"/>
      <c r="J2886" s="81"/>
      <c r="K2886" s="60"/>
      <c r="L2886" s="60"/>
      <c r="M2886" s="60"/>
      <c r="N2886" s="60"/>
      <c r="O2886" s="60"/>
      <c r="P2886" s="60"/>
      <c r="Q2886" s="60"/>
      <c r="R2886" s="58"/>
      <c r="S2886" s="62" t="str">
        <f aca="false">IF(OR(B2886="",V2886=""),"",IFERROR(INDEX(C_TIPO,MATCH(V2886&amp;"-P"&amp;MAX(1,COUNTIFS(C_RUTN,V2886,C_DEF,"Sí",C_INI,"&lt;="&amp;EOMONTH(B2886,0))),C_CLAVE,0))&amp;"","Sin contrato"))</f>
        <v/>
      </c>
      <c r="T2886" s="63" t="str">
        <f aca="false">IF(OR(B2886="",N(O2886)=0),"",N(O2886)+ROUND(MIN(N(N2886),TOPE_UF*UF_MES)*(TASA_EMP+MUTUAL),0)+ROUND(MIN(N(N2886),TOPE_AFC_UF*UF_MES)*IF(S2886="Indefinido",AFC_INDEF,AFC_PF),0))</f>
        <v/>
      </c>
      <c r="U2886" s="62" t="str">
        <f aca="false">IF(C2886="","",IF(LEFT(D2886,1)="⚠","⚠ RUT no registrado en Trabajadores",IF(B2886="","⚠ Falta el mes",IF(OR(ISTEXT(I2886),ISTEXT(J2886)),"⚠ Atrasos u horas extra como texto: escriba hh:mm (ej. 1:30)",IF(AND(ISNUMBER(Q2886),COUNTIFS(M_RUTN,V2886,M_MES,B2886,M_LIQ,"&lt;&gt;")&gt;1),"⚠ Liquidación repetida en el mes",IF(AND(ISNUMBER(O2886),ISNUMBER(P2886),ISNUMBER(Q2886),ABS(O2886-P2886-Q2886)&gt;1),"⚠ Haberes − descuentos no da el líquido","OK"))))))</f>
        <v/>
      </c>
      <c r="V2886" s="62" t="str">
        <f aca="false">IF(C2886="","",IFERROR(VALUE(LEFT(UPPER(SUBSTITUTE(SUBSTITUTE(SUBSTITUTE(TRIM(C2886),".",""),"-","")," ","")),LEN(UPPER(SUBSTITUTE(SUBSTITUTE(SUBSTITUTE(TRIM(C2886),".",""),"-","")," ","")))-1))&amp;RIGHT(UPPER(SUBSTITUTE(SUBSTITUTE(SUBSTITUTE(TRIM(C2886),".",""),"-","")," ","")),1),UPPER(SUBSTITUTE(SUBSTITUTE(SUBSTITUTE(TRIM(C2886),".",""),"-","")," ",""))))</f>
        <v/>
      </c>
    </row>
    <row r="2887" customFormat="false" ht="15" hidden="false" customHeight="false" outlineLevel="0" collapsed="false">
      <c r="B2887" s="80"/>
      <c r="C2887" s="58"/>
      <c r="D2887" s="62" t="str">
        <f aca="false">IF(C2887="","",IFERROR(INDEX(T_NOMBRE,MATCH(V2887,T_RUTN,0)),"⚠ RUT no está en Trabajadores"))</f>
        <v/>
      </c>
      <c r="E2887" s="61"/>
      <c r="F2887" s="61"/>
      <c r="G2887" s="61"/>
      <c r="H2887" s="61"/>
      <c r="I2887" s="81"/>
      <c r="J2887" s="81"/>
      <c r="K2887" s="60"/>
      <c r="L2887" s="60"/>
      <c r="M2887" s="60"/>
      <c r="N2887" s="60"/>
      <c r="O2887" s="60"/>
      <c r="P2887" s="60"/>
      <c r="Q2887" s="60"/>
      <c r="R2887" s="58"/>
      <c r="S2887" s="62" t="str">
        <f aca="false">IF(OR(B2887="",V2887=""),"",IFERROR(INDEX(C_TIPO,MATCH(V2887&amp;"-P"&amp;MAX(1,COUNTIFS(C_RUTN,V2887,C_DEF,"Sí",C_INI,"&lt;="&amp;EOMONTH(B2887,0))),C_CLAVE,0))&amp;"","Sin contrato"))</f>
        <v/>
      </c>
      <c r="T2887" s="63" t="str">
        <f aca="false">IF(OR(B2887="",N(O2887)=0),"",N(O2887)+ROUND(MIN(N(N2887),TOPE_UF*UF_MES)*(TASA_EMP+MUTUAL),0)+ROUND(MIN(N(N2887),TOPE_AFC_UF*UF_MES)*IF(S2887="Indefinido",AFC_INDEF,AFC_PF),0))</f>
        <v/>
      </c>
      <c r="U2887" s="62" t="str">
        <f aca="false">IF(C2887="","",IF(LEFT(D2887,1)="⚠","⚠ RUT no registrado en Trabajadores",IF(B2887="","⚠ Falta el mes",IF(OR(ISTEXT(I2887),ISTEXT(J2887)),"⚠ Atrasos u horas extra como texto: escriba hh:mm (ej. 1:30)",IF(AND(ISNUMBER(Q2887),COUNTIFS(M_RUTN,V2887,M_MES,B2887,M_LIQ,"&lt;&gt;")&gt;1),"⚠ Liquidación repetida en el mes",IF(AND(ISNUMBER(O2887),ISNUMBER(P2887),ISNUMBER(Q2887),ABS(O2887-P2887-Q2887)&gt;1),"⚠ Haberes − descuentos no da el líquido","OK"))))))</f>
        <v/>
      </c>
      <c r="V2887" s="62" t="str">
        <f aca="false">IF(C2887="","",IFERROR(VALUE(LEFT(UPPER(SUBSTITUTE(SUBSTITUTE(SUBSTITUTE(TRIM(C2887),".",""),"-","")," ","")),LEN(UPPER(SUBSTITUTE(SUBSTITUTE(SUBSTITUTE(TRIM(C2887),".",""),"-","")," ","")))-1))&amp;RIGHT(UPPER(SUBSTITUTE(SUBSTITUTE(SUBSTITUTE(TRIM(C2887),".",""),"-","")," ","")),1),UPPER(SUBSTITUTE(SUBSTITUTE(SUBSTITUTE(TRIM(C2887),".",""),"-","")," ",""))))</f>
        <v/>
      </c>
    </row>
    <row r="2888" customFormat="false" ht="15" hidden="false" customHeight="false" outlineLevel="0" collapsed="false">
      <c r="B2888" s="80"/>
      <c r="C2888" s="58"/>
      <c r="D2888" s="62" t="str">
        <f aca="false">IF(C2888="","",IFERROR(INDEX(T_NOMBRE,MATCH(V2888,T_RUTN,0)),"⚠ RUT no está en Trabajadores"))</f>
        <v/>
      </c>
      <c r="E2888" s="61"/>
      <c r="F2888" s="61"/>
      <c r="G2888" s="61"/>
      <c r="H2888" s="61"/>
      <c r="I2888" s="81"/>
      <c r="J2888" s="81"/>
      <c r="K2888" s="60"/>
      <c r="L2888" s="60"/>
      <c r="M2888" s="60"/>
      <c r="N2888" s="60"/>
      <c r="O2888" s="60"/>
      <c r="P2888" s="60"/>
      <c r="Q2888" s="60"/>
      <c r="R2888" s="58"/>
      <c r="S2888" s="62" t="str">
        <f aca="false">IF(OR(B2888="",V2888=""),"",IFERROR(INDEX(C_TIPO,MATCH(V2888&amp;"-P"&amp;MAX(1,COUNTIFS(C_RUTN,V2888,C_DEF,"Sí",C_INI,"&lt;="&amp;EOMONTH(B2888,0))),C_CLAVE,0))&amp;"","Sin contrato"))</f>
        <v/>
      </c>
      <c r="T2888" s="63" t="str">
        <f aca="false">IF(OR(B2888="",N(O2888)=0),"",N(O2888)+ROUND(MIN(N(N2888),TOPE_UF*UF_MES)*(TASA_EMP+MUTUAL),0)+ROUND(MIN(N(N2888),TOPE_AFC_UF*UF_MES)*IF(S2888="Indefinido",AFC_INDEF,AFC_PF),0))</f>
        <v/>
      </c>
      <c r="U2888" s="62" t="str">
        <f aca="false">IF(C2888="","",IF(LEFT(D2888,1)="⚠","⚠ RUT no registrado en Trabajadores",IF(B2888="","⚠ Falta el mes",IF(OR(ISTEXT(I2888),ISTEXT(J2888)),"⚠ Atrasos u horas extra como texto: escriba hh:mm (ej. 1:30)",IF(AND(ISNUMBER(Q2888),COUNTIFS(M_RUTN,V2888,M_MES,B2888,M_LIQ,"&lt;&gt;")&gt;1),"⚠ Liquidación repetida en el mes",IF(AND(ISNUMBER(O2888),ISNUMBER(P2888),ISNUMBER(Q2888),ABS(O2888-P2888-Q2888)&gt;1),"⚠ Haberes − descuentos no da el líquido","OK"))))))</f>
        <v/>
      </c>
      <c r="V2888" s="62" t="str">
        <f aca="false">IF(C2888="","",IFERROR(VALUE(LEFT(UPPER(SUBSTITUTE(SUBSTITUTE(SUBSTITUTE(TRIM(C2888),".",""),"-","")," ","")),LEN(UPPER(SUBSTITUTE(SUBSTITUTE(SUBSTITUTE(TRIM(C2888),".",""),"-","")," ","")))-1))&amp;RIGHT(UPPER(SUBSTITUTE(SUBSTITUTE(SUBSTITUTE(TRIM(C2888),".",""),"-","")," ","")),1),UPPER(SUBSTITUTE(SUBSTITUTE(SUBSTITUTE(TRIM(C2888),".",""),"-","")," ",""))))</f>
        <v/>
      </c>
    </row>
    <row r="2889" customFormat="false" ht="15" hidden="false" customHeight="false" outlineLevel="0" collapsed="false">
      <c r="B2889" s="80"/>
      <c r="C2889" s="58"/>
      <c r="D2889" s="62" t="str">
        <f aca="false">IF(C2889="","",IFERROR(INDEX(T_NOMBRE,MATCH(V2889,T_RUTN,0)),"⚠ RUT no está en Trabajadores"))</f>
        <v/>
      </c>
      <c r="E2889" s="61"/>
      <c r="F2889" s="61"/>
      <c r="G2889" s="61"/>
      <c r="H2889" s="61"/>
      <c r="I2889" s="81"/>
      <c r="J2889" s="81"/>
      <c r="K2889" s="60"/>
      <c r="L2889" s="60"/>
      <c r="M2889" s="60"/>
      <c r="N2889" s="60"/>
      <c r="O2889" s="60"/>
      <c r="P2889" s="60"/>
      <c r="Q2889" s="60"/>
      <c r="R2889" s="58"/>
      <c r="S2889" s="62" t="str">
        <f aca="false">IF(OR(B2889="",V2889=""),"",IFERROR(INDEX(C_TIPO,MATCH(V2889&amp;"-P"&amp;MAX(1,COUNTIFS(C_RUTN,V2889,C_DEF,"Sí",C_INI,"&lt;="&amp;EOMONTH(B2889,0))),C_CLAVE,0))&amp;"","Sin contrato"))</f>
        <v/>
      </c>
      <c r="T2889" s="63" t="str">
        <f aca="false">IF(OR(B2889="",N(O2889)=0),"",N(O2889)+ROUND(MIN(N(N2889),TOPE_UF*UF_MES)*(TASA_EMP+MUTUAL),0)+ROUND(MIN(N(N2889),TOPE_AFC_UF*UF_MES)*IF(S2889="Indefinido",AFC_INDEF,AFC_PF),0))</f>
        <v/>
      </c>
      <c r="U2889" s="62" t="str">
        <f aca="false">IF(C2889="","",IF(LEFT(D2889,1)="⚠","⚠ RUT no registrado en Trabajadores",IF(B2889="","⚠ Falta el mes",IF(OR(ISTEXT(I2889),ISTEXT(J2889)),"⚠ Atrasos u horas extra como texto: escriba hh:mm (ej. 1:30)",IF(AND(ISNUMBER(Q2889),COUNTIFS(M_RUTN,V2889,M_MES,B2889,M_LIQ,"&lt;&gt;")&gt;1),"⚠ Liquidación repetida en el mes",IF(AND(ISNUMBER(O2889),ISNUMBER(P2889),ISNUMBER(Q2889),ABS(O2889-P2889-Q2889)&gt;1),"⚠ Haberes − descuentos no da el líquido","OK"))))))</f>
        <v/>
      </c>
      <c r="V2889" s="62" t="str">
        <f aca="false">IF(C2889="","",IFERROR(VALUE(LEFT(UPPER(SUBSTITUTE(SUBSTITUTE(SUBSTITUTE(TRIM(C2889),".",""),"-","")," ","")),LEN(UPPER(SUBSTITUTE(SUBSTITUTE(SUBSTITUTE(TRIM(C2889),".",""),"-","")," ","")))-1))&amp;RIGHT(UPPER(SUBSTITUTE(SUBSTITUTE(SUBSTITUTE(TRIM(C2889),".",""),"-","")," ","")),1),UPPER(SUBSTITUTE(SUBSTITUTE(SUBSTITUTE(TRIM(C2889),".",""),"-","")," ",""))))</f>
        <v/>
      </c>
    </row>
    <row r="2890" customFormat="false" ht="15" hidden="false" customHeight="false" outlineLevel="0" collapsed="false">
      <c r="B2890" s="80"/>
      <c r="C2890" s="58"/>
      <c r="D2890" s="62" t="str">
        <f aca="false">IF(C2890="","",IFERROR(INDEX(T_NOMBRE,MATCH(V2890,T_RUTN,0)),"⚠ RUT no está en Trabajadores"))</f>
        <v/>
      </c>
      <c r="E2890" s="61"/>
      <c r="F2890" s="61"/>
      <c r="G2890" s="61"/>
      <c r="H2890" s="61"/>
      <c r="I2890" s="81"/>
      <c r="J2890" s="81"/>
      <c r="K2890" s="60"/>
      <c r="L2890" s="60"/>
      <c r="M2890" s="60"/>
      <c r="N2890" s="60"/>
      <c r="O2890" s="60"/>
      <c r="P2890" s="60"/>
      <c r="Q2890" s="60"/>
      <c r="R2890" s="58"/>
      <c r="S2890" s="62" t="str">
        <f aca="false">IF(OR(B2890="",V2890=""),"",IFERROR(INDEX(C_TIPO,MATCH(V2890&amp;"-P"&amp;MAX(1,COUNTIFS(C_RUTN,V2890,C_DEF,"Sí",C_INI,"&lt;="&amp;EOMONTH(B2890,0))),C_CLAVE,0))&amp;"","Sin contrato"))</f>
        <v/>
      </c>
      <c r="T2890" s="63" t="str">
        <f aca="false">IF(OR(B2890="",N(O2890)=0),"",N(O2890)+ROUND(MIN(N(N2890),TOPE_UF*UF_MES)*(TASA_EMP+MUTUAL),0)+ROUND(MIN(N(N2890),TOPE_AFC_UF*UF_MES)*IF(S2890="Indefinido",AFC_INDEF,AFC_PF),0))</f>
        <v/>
      </c>
      <c r="U2890" s="62" t="str">
        <f aca="false">IF(C2890="","",IF(LEFT(D2890,1)="⚠","⚠ RUT no registrado en Trabajadores",IF(B2890="","⚠ Falta el mes",IF(OR(ISTEXT(I2890),ISTEXT(J2890)),"⚠ Atrasos u horas extra como texto: escriba hh:mm (ej. 1:30)",IF(AND(ISNUMBER(Q2890),COUNTIFS(M_RUTN,V2890,M_MES,B2890,M_LIQ,"&lt;&gt;")&gt;1),"⚠ Liquidación repetida en el mes",IF(AND(ISNUMBER(O2890),ISNUMBER(P2890),ISNUMBER(Q2890),ABS(O2890-P2890-Q2890)&gt;1),"⚠ Haberes − descuentos no da el líquido","OK"))))))</f>
        <v/>
      </c>
      <c r="V2890" s="62" t="str">
        <f aca="false">IF(C2890="","",IFERROR(VALUE(LEFT(UPPER(SUBSTITUTE(SUBSTITUTE(SUBSTITUTE(TRIM(C2890),".",""),"-","")," ","")),LEN(UPPER(SUBSTITUTE(SUBSTITUTE(SUBSTITUTE(TRIM(C2890),".",""),"-","")," ","")))-1))&amp;RIGHT(UPPER(SUBSTITUTE(SUBSTITUTE(SUBSTITUTE(TRIM(C2890),".",""),"-","")," ","")),1),UPPER(SUBSTITUTE(SUBSTITUTE(SUBSTITUTE(TRIM(C2890),".",""),"-","")," ",""))))</f>
        <v/>
      </c>
    </row>
    <row r="2891" customFormat="false" ht="15" hidden="false" customHeight="false" outlineLevel="0" collapsed="false">
      <c r="B2891" s="80"/>
      <c r="C2891" s="58"/>
      <c r="D2891" s="62" t="str">
        <f aca="false">IF(C2891="","",IFERROR(INDEX(T_NOMBRE,MATCH(V2891,T_RUTN,0)),"⚠ RUT no está en Trabajadores"))</f>
        <v/>
      </c>
      <c r="E2891" s="61"/>
      <c r="F2891" s="61"/>
      <c r="G2891" s="61"/>
      <c r="H2891" s="61"/>
      <c r="I2891" s="81"/>
      <c r="J2891" s="81"/>
      <c r="K2891" s="60"/>
      <c r="L2891" s="60"/>
      <c r="M2891" s="60"/>
      <c r="N2891" s="60"/>
      <c r="O2891" s="60"/>
      <c r="P2891" s="60"/>
      <c r="Q2891" s="60"/>
      <c r="R2891" s="58"/>
      <c r="S2891" s="62" t="str">
        <f aca="false">IF(OR(B2891="",V2891=""),"",IFERROR(INDEX(C_TIPO,MATCH(V2891&amp;"-P"&amp;MAX(1,COUNTIFS(C_RUTN,V2891,C_DEF,"Sí",C_INI,"&lt;="&amp;EOMONTH(B2891,0))),C_CLAVE,0))&amp;"","Sin contrato"))</f>
        <v/>
      </c>
      <c r="T2891" s="63" t="str">
        <f aca="false">IF(OR(B2891="",N(O2891)=0),"",N(O2891)+ROUND(MIN(N(N2891),TOPE_UF*UF_MES)*(TASA_EMP+MUTUAL),0)+ROUND(MIN(N(N2891),TOPE_AFC_UF*UF_MES)*IF(S2891="Indefinido",AFC_INDEF,AFC_PF),0))</f>
        <v/>
      </c>
      <c r="U2891" s="62" t="str">
        <f aca="false">IF(C2891="","",IF(LEFT(D2891,1)="⚠","⚠ RUT no registrado en Trabajadores",IF(B2891="","⚠ Falta el mes",IF(OR(ISTEXT(I2891),ISTEXT(J2891)),"⚠ Atrasos u horas extra como texto: escriba hh:mm (ej. 1:30)",IF(AND(ISNUMBER(Q2891),COUNTIFS(M_RUTN,V2891,M_MES,B2891,M_LIQ,"&lt;&gt;")&gt;1),"⚠ Liquidación repetida en el mes",IF(AND(ISNUMBER(O2891),ISNUMBER(P2891),ISNUMBER(Q2891),ABS(O2891-P2891-Q2891)&gt;1),"⚠ Haberes − descuentos no da el líquido","OK"))))))</f>
        <v/>
      </c>
      <c r="V2891" s="62" t="str">
        <f aca="false">IF(C2891="","",IFERROR(VALUE(LEFT(UPPER(SUBSTITUTE(SUBSTITUTE(SUBSTITUTE(TRIM(C2891),".",""),"-","")," ","")),LEN(UPPER(SUBSTITUTE(SUBSTITUTE(SUBSTITUTE(TRIM(C2891),".",""),"-","")," ","")))-1))&amp;RIGHT(UPPER(SUBSTITUTE(SUBSTITUTE(SUBSTITUTE(TRIM(C2891),".",""),"-","")," ","")),1),UPPER(SUBSTITUTE(SUBSTITUTE(SUBSTITUTE(TRIM(C2891),".",""),"-","")," ",""))))</f>
        <v/>
      </c>
    </row>
    <row r="2892" customFormat="false" ht="15" hidden="false" customHeight="false" outlineLevel="0" collapsed="false">
      <c r="B2892" s="80"/>
      <c r="C2892" s="58"/>
      <c r="D2892" s="62" t="str">
        <f aca="false">IF(C2892="","",IFERROR(INDEX(T_NOMBRE,MATCH(V2892,T_RUTN,0)),"⚠ RUT no está en Trabajadores"))</f>
        <v/>
      </c>
      <c r="E2892" s="61"/>
      <c r="F2892" s="61"/>
      <c r="G2892" s="61"/>
      <c r="H2892" s="61"/>
      <c r="I2892" s="81"/>
      <c r="J2892" s="81"/>
      <c r="K2892" s="60"/>
      <c r="L2892" s="60"/>
      <c r="M2892" s="60"/>
      <c r="N2892" s="60"/>
      <c r="O2892" s="60"/>
      <c r="P2892" s="60"/>
      <c r="Q2892" s="60"/>
      <c r="R2892" s="58"/>
      <c r="S2892" s="62" t="str">
        <f aca="false">IF(OR(B2892="",V2892=""),"",IFERROR(INDEX(C_TIPO,MATCH(V2892&amp;"-P"&amp;MAX(1,COUNTIFS(C_RUTN,V2892,C_DEF,"Sí",C_INI,"&lt;="&amp;EOMONTH(B2892,0))),C_CLAVE,0))&amp;"","Sin contrato"))</f>
        <v/>
      </c>
      <c r="T2892" s="63" t="str">
        <f aca="false">IF(OR(B2892="",N(O2892)=0),"",N(O2892)+ROUND(MIN(N(N2892),TOPE_UF*UF_MES)*(TASA_EMP+MUTUAL),0)+ROUND(MIN(N(N2892),TOPE_AFC_UF*UF_MES)*IF(S2892="Indefinido",AFC_INDEF,AFC_PF),0))</f>
        <v/>
      </c>
      <c r="U2892" s="62" t="str">
        <f aca="false">IF(C2892="","",IF(LEFT(D2892,1)="⚠","⚠ RUT no registrado en Trabajadores",IF(B2892="","⚠ Falta el mes",IF(OR(ISTEXT(I2892),ISTEXT(J2892)),"⚠ Atrasos u horas extra como texto: escriba hh:mm (ej. 1:30)",IF(AND(ISNUMBER(Q2892),COUNTIFS(M_RUTN,V2892,M_MES,B2892,M_LIQ,"&lt;&gt;")&gt;1),"⚠ Liquidación repetida en el mes",IF(AND(ISNUMBER(O2892),ISNUMBER(P2892),ISNUMBER(Q2892),ABS(O2892-P2892-Q2892)&gt;1),"⚠ Haberes − descuentos no da el líquido","OK"))))))</f>
        <v/>
      </c>
      <c r="V2892" s="62" t="str">
        <f aca="false">IF(C2892="","",IFERROR(VALUE(LEFT(UPPER(SUBSTITUTE(SUBSTITUTE(SUBSTITUTE(TRIM(C2892),".",""),"-","")," ","")),LEN(UPPER(SUBSTITUTE(SUBSTITUTE(SUBSTITUTE(TRIM(C2892),".",""),"-","")," ","")))-1))&amp;RIGHT(UPPER(SUBSTITUTE(SUBSTITUTE(SUBSTITUTE(TRIM(C2892),".",""),"-","")," ","")),1),UPPER(SUBSTITUTE(SUBSTITUTE(SUBSTITUTE(TRIM(C2892),".",""),"-","")," ",""))))</f>
        <v/>
      </c>
    </row>
    <row r="2893" customFormat="false" ht="15" hidden="false" customHeight="false" outlineLevel="0" collapsed="false">
      <c r="B2893" s="80"/>
      <c r="C2893" s="58"/>
      <c r="D2893" s="62" t="str">
        <f aca="false">IF(C2893="","",IFERROR(INDEX(T_NOMBRE,MATCH(V2893,T_RUTN,0)),"⚠ RUT no está en Trabajadores"))</f>
        <v/>
      </c>
      <c r="E2893" s="61"/>
      <c r="F2893" s="61"/>
      <c r="G2893" s="61"/>
      <c r="H2893" s="61"/>
      <c r="I2893" s="81"/>
      <c r="J2893" s="81"/>
      <c r="K2893" s="60"/>
      <c r="L2893" s="60"/>
      <c r="M2893" s="60"/>
      <c r="N2893" s="60"/>
      <c r="O2893" s="60"/>
      <c r="P2893" s="60"/>
      <c r="Q2893" s="60"/>
      <c r="R2893" s="58"/>
      <c r="S2893" s="62" t="str">
        <f aca="false">IF(OR(B2893="",V2893=""),"",IFERROR(INDEX(C_TIPO,MATCH(V2893&amp;"-P"&amp;MAX(1,COUNTIFS(C_RUTN,V2893,C_DEF,"Sí",C_INI,"&lt;="&amp;EOMONTH(B2893,0))),C_CLAVE,0))&amp;"","Sin contrato"))</f>
        <v/>
      </c>
      <c r="T2893" s="63" t="str">
        <f aca="false">IF(OR(B2893="",N(O2893)=0),"",N(O2893)+ROUND(MIN(N(N2893),TOPE_UF*UF_MES)*(TASA_EMP+MUTUAL),0)+ROUND(MIN(N(N2893),TOPE_AFC_UF*UF_MES)*IF(S2893="Indefinido",AFC_INDEF,AFC_PF),0))</f>
        <v/>
      </c>
      <c r="U2893" s="62" t="str">
        <f aca="false">IF(C2893="","",IF(LEFT(D2893,1)="⚠","⚠ RUT no registrado en Trabajadores",IF(B2893="","⚠ Falta el mes",IF(OR(ISTEXT(I2893),ISTEXT(J2893)),"⚠ Atrasos u horas extra como texto: escriba hh:mm (ej. 1:30)",IF(AND(ISNUMBER(Q2893),COUNTIFS(M_RUTN,V2893,M_MES,B2893,M_LIQ,"&lt;&gt;")&gt;1),"⚠ Liquidación repetida en el mes",IF(AND(ISNUMBER(O2893),ISNUMBER(P2893),ISNUMBER(Q2893),ABS(O2893-P2893-Q2893)&gt;1),"⚠ Haberes − descuentos no da el líquido","OK"))))))</f>
        <v/>
      </c>
      <c r="V2893" s="62" t="str">
        <f aca="false">IF(C2893="","",IFERROR(VALUE(LEFT(UPPER(SUBSTITUTE(SUBSTITUTE(SUBSTITUTE(TRIM(C2893),".",""),"-","")," ","")),LEN(UPPER(SUBSTITUTE(SUBSTITUTE(SUBSTITUTE(TRIM(C2893),".",""),"-","")," ","")))-1))&amp;RIGHT(UPPER(SUBSTITUTE(SUBSTITUTE(SUBSTITUTE(TRIM(C2893),".",""),"-","")," ","")),1),UPPER(SUBSTITUTE(SUBSTITUTE(SUBSTITUTE(TRIM(C2893),".",""),"-","")," ",""))))</f>
        <v/>
      </c>
    </row>
    <row r="2894" customFormat="false" ht="15" hidden="false" customHeight="false" outlineLevel="0" collapsed="false">
      <c r="B2894" s="80"/>
      <c r="C2894" s="58"/>
      <c r="D2894" s="62" t="str">
        <f aca="false">IF(C2894="","",IFERROR(INDEX(T_NOMBRE,MATCH(V2894,T_RUTN,0)),"⚠ RUT no está en Trabajadores"))</f>
        <v/>
      </c>
      <c r="E2894" s="61"/>
      <c r="F2894" s="61"/>
      <c r="G2894" s="61"/>
      <c r="H2894" s="61"/>
      <c r="I2894" s="81"/>
      <c r="J2894" s="81"/>
      <c r="K2894" s="60"/>
      <c r="L2894" s="60"/>
      <c r="M2894" s="60"/>
      <c r="N2894" s="60"/>
      <c r="O2894" s="60"/>
      <c r="P2894" s="60"/>
      <c r="Q2894" s="60"/>
      <c r="R2894" s="58"/>
      <c r="S2894" s="62" t="str">
        <f aca="false">IF(OR(B2894="",V2894=""),"",IFERROR(INDEX(C_TIPO,MATCH(V2894&amp;"-P"&amp;MAX(1,COUNTIFS(C_RUTN,V2894,C_DEF,"Sí",C_INI,"&lt;="&amp;EOMONTH(B2894,0))),C_CLAVE,0))&amp;"","Sin contrato"))</f>
        <v/>
      </c>
      <c r="T2894" s="63" t="str">
        <f aca="false">IF(OR(B2894="",N(O2894)=0),"",N(O2894)+ROUND(MIN(N(N2894),TOPE_UF*UF_MES)*(TASA_EMP+MUTUAL),0)+ROUND(MIN(N(N2894),TOPE_AFC_UF*UF_MES)*IF(S2894="Indefinido",AFC_INDEF,AFC_PF),0))</f>
        <v/>
      </c>
      <c r="U2894" s="62" t="str">
        <f aca="false">IF(C2894="","",IF(LEFT(D2894,1)="⚠","⚠ RUT no registrado en Trabajadores",IF(B2894="","⚠ Falta el mes",IF(OR(ISTEXT(I2894),ISTEXT(J2894)),"⚠ Atrasos u horas extra como texto: escriba hh:mm (ej. 1:30)",IF(AND(ISNUMBER(Q2894),COUNTIFS(M_RUTN,V2894,M_MES,B2894,M_LIQ,"&lt;&gt;")&gt;1),"⚠ Liquidación repetida en el mes",IF(AND(ISNUMBER(O2894),ISNUMBER(P2894),ISNUMBER(Q2894),ABS(O2894-P2894-Q2894)&gt;1),"⚠ Haberes − descuentos no da el líquido","OK"))))))</f>
        <v/>
      </c>
      <c r="V2894" s="62" t="str">
        <f aca="false">IF(C2894="","",IFERROR(VALUE(LEFT(UPPER(SUBSTITUTE(SUBSTITUTE(SUBSTITUTE(TRIM(C2894),".",""),"-","")," ","")),LEN(UPPER(SUBSTITUTE(SUBSTITUTE(SUBSTITUTE(TRIM(C2894),".",""),"-","")," ","")))-1))&amp;RIGHT(UPPER(SUBSTITUTE(SUBSTITUTE(SUBSTITUTE(TRIM(C2894),".",""),"-","")," ","")),1),UPPER(SUBSTITUTE(SUBSTITUTE(SUBSTITUTE(TRIM(C2894),".",""),"-","")," ",""))))</f>
        <v/>
      </c>
    </row>
    <row r="2895" customFormat="false" ht="15" hidden="false" customHeight="false" outlineLevel="0" collapsed="false">
      <c r="B2895" s="80"/>
      <c r="C2895" s="58"/>
      <c r="D2895" s="62" t="str">
        <f aca="false">IF(C2895="","",IFERROR(INDEX(T_NOMBRE,MATCH(V2895,T_RUTN,0)),"⚠ RUT no está en Trabajadores"))</f>
        <v/>
      </c>
      <c r="E2895" s="61"/>
      <c r="F2895" s="61"/>
      <c r="G2895" s="61"/>
      <c r="H2895" s="61"/>
      <c r="I2895" s="81"/>
      <c r="J2895" s="81"/>
      <c r="K2895" s="60"/>
      <c r="L2895" s="60"/>
      <c r="M2895" s="60"/>
      <c r="N2895" s="60"/>
      <c r="O2895" s="60"/>
      <c r="P2895" s="60"/>
      <c r="Q2895" s="60"/>
      <c r="R2895" s="58"/>
      <c r="S2895" s="62" t="str">
        <f aca="false">IF(OR(B2895="",V2895=""),"",IFERROR(INDEX(C_TIPO,MATCH(V2895&amp;"-P"&amp;MAX(1,COUNTIFS(C_RUTN,V2895,C_DEF,"Sí",C_INI,"&lt;="&amp;EOMONTH(B2895,0))),C_CLAVE,0))&amp;"","Sin contrato"))</f>
        <v/>
      </c>
      <c r="T2895" s="63" t="str">
        <f aca="false">IF(OR(B2895="",N(O2895)=0),"",N(O2895)+ROUND(MIN(N(N2895),TOPE_UF*UF_MES)*(TASA_EMP+MUTUAL),0)+ROUND(MIN(N(N2895),TOPE_AFC_UF*UF_MES)*IF(S2895="Indefinido",AFC_INDEF,AFC_PF),0))</f>
        <v/>
      </c>
      <c r="U2895" s="62" t="str">
        <f aca="false">IF(C2895="","",IF(LEFT(D2895,1)="⚠","⚠ RUT no registrado en Trabajadores",IF(B2895="","⚠ Falta el mes",IF(OR(ISTEXT(I2895),ISTEXT(J2895)),"⚠ Atrasos u horas extra como texto: escriba hh:mm (ej. 1:30)",IF(AND(ISNUMBER(Q2895),COUNTIFS(M_RUTN,V2895,M_MES,B2895,M_LIQ,"&lt;&gt;")&gt;1),"⚠ Liquidación repetida en el mes",IF(AND(ISNUMBER(O2895),ISNUMBER(P2895),ISNUMBER(Q2895),ABS(O2895-P2895-Q2895)&gt;1),"⚠ Haberes − descuentos no da el líquido","OK"))))))</f>
        <v/>
      </c>
      <c r="V2895" s="62" t="str">
        <f aca="false">IF(C2895="","",IFERROR(VALUE(LEFT(UPPER(SUBSTITUTE(SUBSTITUTE(SUBSTITUTE(TRIM(C2895),".",""),"-","")," ","")),LEN(UPPER(SUBSTITUTE(SUBSTITUTE(SUBSTITUTE(TRIM(C2895),".",""),"-","")," ","")))-1))&amp;RIGHT(UPPER(SUBSTITUTE(SUBSTITUTE(SUBSTITUTE(TRIM(C2895),".",""),"-","")," ","")),1),UPPER(SUBSTITUTE(SUBSTITUTE(SUBSTITUTE(TRIM(C2895),".",""),"-","")," ",""))))</f>
        <v/>
      </c>
    </row>
    <row r="2896" customFormat="false" ht="15" hidden="false" customHeight="false" outlineLevel="0" collapsed="false">
      <c r="B2896" s="80"/>
      <c r="C2896" s="58"/>
      <c r="D2896" s="62" t="str">
        <f aca="false">IF(C2896="","",IFERROR(INDEX(T_NOMBRE,MATCH(V2896,T_RUTN,0)),"⚠ RUT no está en Trabajadores"))</f>
        <v/>
      </c>
      <c r="E2896" s="61"/>
      <c r="F2896" s="61"/>
      <c r="G2896" s="61"/>
      <c r="H2896" s="61"/>
      <c r="I2896" s="81"/>
      <c r="J2896" s="81"/>
      <c r="K2896" s="60"/>
      <c r="L2896" s="60"/>
      <c r="M2896" s="60"/>
      <c r="N2896" s="60"/>
      <c r="O2896" s="60"/>
      <c r="P2896" s="60"/>
      <c r="Q2896" s="60"/>
      <c r="R2896" s="58"/>
      <c r="S2896" s="62" t="str">
        <f aca="false">IF(OR(B2896="",V2896=""),"",IFERROR(INDEX(C_TIPO,MATCH(V2896&amp;"-P"&amp;MAX(1,COUNTIFS(C_RUTN,V2896,C_DEF,"Sí",C_INI,"&lt;="&amp;EOMONTH(B2896,0))),C_CLAVE,0))&amp;"","Sin contrato"))</f>
        <v/>
      </c>
      <c r="T2896" s="63" t="str">
        <f aca="false">IF(OR(B2896="",N(O2896)=0),"",N(O2896)+ROUND(MIN(N(N2896),TOPE_UF*UF_MES)*(TASA_EMP+MUTUAL),0)+ROUND(MIN(N(N2896),TOPE_AFC_UF*UF_MES)*IF(S2896="Indefinido",AFC_INDEF,AFC_PF),0))</f>
        <v/>
      </c>
      <c r="U2896" s="62" t="str">
        <f aca="false">IF(C2896="","",IF(LEFT(D2896,1)="⚠","⚠ RUT no registrado en Trabajadores",IF(B2896="","⚠ Falta el mes",IF(OR(ISTEXT(I2896),ISTEXT(J2896)),"⚠ Atrasos u horas extra como texto: escriba hh:mm (ej. 1:30)",IF(AND(ISNUMBER(Q2896),COUNTIFS(M_RUTN,V2896,M_MES,B2896,M_LIQ,"&lt;&gt;")&gt;1),"⚠ Liquidación repetida en el mes",IF(AND(ISNUMBER(O2896),ISNUMBER(P2896),ISNUMBER(Q2896),ABS(O2896-P2896-Q2896)&gt;1),"⚠ Haberes − descuentos no da el líquido","OK"))))))</f>
        <v/>
      </c>
      <c r="V2896" s="62" t="str">
        <f aca="false">IF(C2896="","",IFERROR(VALUE(LEFT(UPPER(SUBSTITUTE(SUBSTITUTE(SUBSTITUTE(TRIM(C2896),".",""),"-","")," ","")),LEN(UPPER(SUBSTITUTE(SUBSTITUTE(SUBSTITUTE(TRIM(C2896),".",""),"-","")," ","")))-1))&amp;RIGHT(UPPER(SUBSTITUTE(SUBSTITUTE(SUBSTITUTE(TRIM(C2896),".",""),"-","")," ","")),1),UPPER(SUBSTITUTE(SUBSTITUTE(SUBSTITUTE(TRIM(C2896),".",""),"-","")," ",""))))</f>
        <v/>
      </c>
    </row>
    <row r="2897" customFormat="false" ht="15" hidden="false" customHeight="false" outlineLevel="0" collapsed="false">
      <c r="B2897" s="80"/>
      <c r="C2897" s="58"/>
      <c r="D2897" s="62" t="str">
        <f aca="false">IF(C2897="","",IFERROR(INDEX(T_NOMBRE,MATCH(V2897,T_RUTN,0)),"⚠ RUT no está en Trabajadores"))</f>
        <v/>
      </c>
      <c r="E2897" s="61"/>
      <c r="F2897" s="61"/>
      <c r="G2897" s="61"/>
      <c r="H2897" s="61"/>
      <c r="I2897" s="81"/>
      <c r="J2897" s="81"/>
      <c r="K2897" s="60"/>
      <c r="L2897" s="60"/>
      <c r="M2897" s="60"/>
      <c r="N2897" s="60"/>
      <c r="O2897" s="60"/>
      <c r="P2897" s="60"/>
      <c r="Q2897" s="60"/>
      <c r="R2897" s="58"/>
      <c r="S2897" s="62" t="str">
        <f aca="false">IF(OR(B2897="",V2897=""),"",IFERROR(INDEX(C_TIPO,MATCH(V2897&amp;"-P"&amp;MAX(1,COUNTIFS(C_RUTN,V2897,C_DEF,"Sí",C_INI,"&lt;="&amp;EOMONTH(B2897,0))),C_CLAVE,0))&amp;"","Sin contrato"))</f>
        <v/>
      </c>
      <c r="T2897" s="63" t="str">
        <f aca="false">IF(OR(B2897="",N(O2897)=0),"",N(O2897)+ROUND(MIN(N(N2897),TOPE_UF*UF_MES)*(TASA_EMP+MUTUAL),0)+ROUND(MIN(N(N2897),TOPE_AFC_UF*UF_MES)*IF(S2897="Indefinido",AFC_INDEF,AFC_PF),0))</f>
        <v/>
      </c>
      <c r="U2897" s="62" t="str">
        <f aca="false">IF(C2897="","",IF(LEFT(D2897,1)="⚠","⚠ RUT no registrado en Trabajadores",IF(B2897="","⚠ Falta el mes",IF(OR(ISTEXT(I2897),ISTEXT(J2897)),"⚠ Atrasos u horas extra como texto: escriba hh:mm (ej. 1:30)",IF(AND(ISNUMBER(Q2897),COUNTIFS(M_RUTN,V2897,M_MES,B2897,M_LIQ,"&lt;&gt;")&gt;1),"⚠ Liquidación repetida en el mes",IF(AND(ISNUMBER(O2897),ISNUMBER(P2897),ISNUMBER(Q2897),ABS(O2897-P2897-Q2897)&gt;1),"⚠ Haberes − descuentos no da el líquido","OK"))))))</f>
        <v/>
      </c>
      <c r="V2897" s="62" t="str">
        <f aca="false">IF(C2897="","",IFERROR(VALUE(LEFT(UPPER(SUBSTITUTE(SUBSTITUTE(SUBSTITUTE(TRIM(C2897),".",""),"-","")," ","")),LEN(UPPER(SUBSTITUTE(SUBSTITUTE(SUBSTITUTE(TRIM(C2897),".",""),"-","")," ","")))-1))&amp;RIGHT(UPPER(SUBSTITUTE(SUBSTITUTE(SUBSTITUTE(TRIM(C2897),".",""),"-","")," ","")),1),UPPER(SUBSTITUTE(SUBSTITUTE(SUBSTITUTE(TRIM(C2897),".",""),"-","")," ",""))))</f>
        <v/>
      </c>
    </row>
    <row r="2898" customFormat="false" ht="15" hidden="false" customHeight="false" outlineLevel="0" collapsed="false">
      <c r="B2898" s="80"/>
      <c r="C2898" s="58"/>
      <c r="D2898" s="62" t="str">
        <f aca="false">IF(C2898="","",IFERROR(INDEX(T_NOMBRE,MATCH(V2898,T_RUTN,0)),"⚠ RUT no está en Trabajadores"))</f>
        <v/>
      </c>
      <c r="E2898" s="61"/>
      <c r="F2898" s="61"/>
      <c r="G2898" s="61"/>
      <c r="H2898" s="61"/>
      <c r="I2898" s="81"/>
      <c r="J2898" s="81"/>
      <c r="K2898" s="60"/>
      <c r="L2898" s="60"/>
      <c r="M2898" s="60"/>
      <c r="N2898" s="60"/>
      <c r="O2898" s="60"/>
      <c r="P2898" s="60"/>
      <c r="Q2898" s="60"/>
      <c r="R2898" s="58"/>
      <c r="S2898" s="62" t="str">
        <f aca="false">IF(OR(B2898="",V2898=""),"",IFERROR(INDEX(C_TIPO,MATCH(V2898&amp;"-P"&amp;MAX(1,COUNTIFS(C_RUTN,V2898,C_DEF,"Sí",C_INI,"&lt;="&amp;EOMONTH(B2898,0))),C_CLAVE,0))&amp;"","Sin contrato"))</f>
        <v/>
      </c>
      <c r="T2898" s="63" t="str">
        <f aca="false">IF(OR(B2898="",N(O2898)=0),"",N(O2898)+ROUND(MIN(N(N2898),TOPE_UF*UF_MES)*(TASA_EMP+MUTUAL),0)+ROUND(MIN(N(N2898),TOPE_AFC_UF*UF_MES)*IF(S2898="Indefinido",AFC_INDEF,AFC_PF),0))</f>
        <v/>
      </c>
      <c r="U2898" s="62" t="str">
        <f aca="false">IF(C2898="","",IF(LEFT(D2898,1)="⚠","⚠ RUT no registrado en Trabajadores",IF(B2898="","⚠ Falta el mes",IF(OR(ISTEXT(I2898),ISTEXT(J2898)),"⚠ Atrasos u horas extra como texto: escriba hh:mm (ej. 1:30)",IF(AND(ISNUMBER(Q2898),COUNTIFS(M_RUTN,V2898,M_MES,B2898,M_LIQ,"&lt;&gt;")&gt;1),"⚠ Liquidación repetida en el mes",IF(AND(ISNUMBER(O2898),ISNUMBER(P2898),ISNUMBER(Q2898),ABS(O2898-P2898-Q2898)&gt;1),"⚠ Haberes − descuentos no da el líquido","OK"))))))</f>
        <v/>
      </c>
      <c r="V2898" s="62" t="str">
        <f aca="false">IF(C2898="","",IFERROR(VALUE(LEFT(UPPER(SUBSTITUTE(SUBSTITUTE(SUBSTITUTE(TRIM(C2898),".",""),"-","")," ","")),LEN(UPPER(SUBSTITUTE(SUBSTITUTE(SUBSTITUTE(TRIM(C2898),".",""),"-","")," ","")))-1))&amp;RIGHT(UPPER(SUBSTITUTE(SUBSTITUTE(SUBSTITUTE(TRIM(C2898),".",""),"-","")," ","")),1),UPPER(SUBSTITUTE(SUBSTITUTE(SUBSTITUTE(TRIM(C2898),".",""),"-","")," ",""))))</f>
        <v/>
      </c>
    </row>
    <row r="2899" customFormat="false" ht="15" hidden="false" customHeight="false" outlineLevel="0" collapsed="false">
      <c r="B2899" s="80"/>
      <c r="C2899" s="58"/>
      <c r="D2899" s="62" t="str">
        <f aca="false">IF(C2899="","",IFERROR(INDEX(T_NOMBRE,MATCH(V2899,T_RUTN,0)),"⚠ RUT no está en Trabajadores"))</f>
        <v/>
      </c>
      <c r="E2899" s="61"/>
      <c r="F2899" s="61"/>
      <c r="G2899" s="61"/>
      <c r="H2899" s="61"/>
      <c r="I2899" s="81"/>
      <c r="J2899" s="81"/>
      <c r="K2899" s="60"/>
      <c r="L2899" s="60"/>
      <c r="M2899" s="60"/>
      <c r="N2899" s="60"/>
      <c r="O2899" s="60"/>
      <c r="P2899" s="60"/>
      <c r="Q2899" s="60"/>
      <c r="R2899" s="58"/>
      <c r="S2899" s="62" t="str">
        <f aca="false">IF(OR(B2899="",V2899=""),"",IFERROR(INDEX(C_TIPO,MATCH(V2899&amp;"-P"&amp;MAX(1,COUNTIFS(C_RUTN,V2899,C_DEF,"Sí",C_INI,"&lt;="&amp;EOMONTH(B2899,0))),C_CLAVE,0))&amp;"","Sin contrato"))</f>
        <v/>
      </c>
      <c r="T2899" s="63" t="str">
        <f aca="false">IF(OR(B2899="",N(O2899)=0),"",N(O2899)+ROUND(MIN(N(N2899),TOPE_UF*UF_MES)*(TASA_EMP+MUTUAL),0)+ROUND(MIN(N(N2899),TOPE_AFC_UF*UF_MES)*IF(S2899="Indefinido",AFC_INDEF,AFC_PF),0))</f>
        <v/>
      </c>
      <c r="U2899" s="62" t="str">
        <f aca="false">IF(C2899="","",IF(LEFT(D2899,1)="⚠","⚠ RUT no registrado en Trabajadores",IF(B2899="","⚠ Falta el mes",IF(OR(ISTEXT(I2899),ISTEXT(J2899)),"⚠ Atrasos u horas extra como texto: escriba hh:mm (ej. 1:30)",IF(AND(ISNUMBER(Q2899),COUNTIFS(M_RUTN,V2899,M_MES,B2899,M_LIQ,"&lt;&gt;")&gt;1),"⚠ Liquidación repetida en el mes",IF(AND(ISNUMBER(O2899),ISNUMBER(P2899),ISNUMBER(Q2899),ABS(O2899-P2899-Q2899)&gt;1),"⚠ Haberes − descuentos no da el líquido","OK"))))))</f>
        <v/>
      </c>
      <c r="V2899" s="62" t="str">
        <f aca="false">IF(C2899="","",IFERROR(VALUE(LEFT(UPPER(SUBSTITUTE(SUBSTITUTE(SUBSTITUTE(TRIM(C2899),".",""),"-","")," ","")),LEN(UPPER(SUBSTITUTE(SUBSTITUTE(SUBSTITUTE(TRIM(C2899),".",""),"-","")," ","")))-1))&amp;RIGHT(UPPER(SUBSTITUTE(SUBSTITUTE(SUBSTITUTE(TRIM(C2899),".",""),"-","")," ","")),1),UPPER(SUBSTITUTE(SUBSTITUTE(SUBSTITUTE(TRIM(C2899),".",""),"-","")," ",""))))</f>
        <v/>
      </c>
    </row>
    <row r="2900" customFormat="false" ht="15" hidden="false" customHeight="false" outlineLevel="0" collapsed="false">
      <c r="B2900" s="80"/>
      <c r="C2900" s="58"/>
      <c r="D2900" s="62" t="str">
        <f aca="false">IF(C2900="","",IFERROR(INDEX(T_NOMBRE,MATCH(V2900,T_RUTN,0)),"⚠ RUT no está en Trabajadores"))</f>
        <v/>
      </c>
      <c r="E2900" s="61"/>
      <c r="F2900" s="61"/>
      <c r="G2900" s="61"/>
      <c r="H2900" s="61"/>
      <c r="I2900" s="81"/>
      <c r="J2900" s="81"/>
      <c r="K2900" s="60"/>
      <c r="L2900" s="60"/>
      <c r="M2900" s="60"/>
      <c r="N2900" s="60"/>
      <c r="O2900" s="60"/>
      <c r="P2900" s="60"/>
      <c r="Q2900" s="60"/>
      <c r="R2900" s="58"/>
      <c r="S2900" s="62" t="str">
        <f aca="false">IF(OR(B2900="",V2900=""),"",IFERROR(INDEX(C_TIPO,MATCH(V2900&amp;"-P"&amp;MAX(1,COUNTIFS(C_RUTN,V2900,C_DEF,"Sí",C_INI,"&lt;="&amp;EOMONTH(B2900,0))),C_CLAVE,0))&amp;"","Sin contrato"))</f>
        <v/>
      </c>
      <c r="T2900" s="63" t="str">
        <f aca="false">IF(OR(B2900="",N(O2900)=0),"",N(O2900)+ROUND(MIN(N(N2900),TOPE_UF*UF_MES)*(TASA_EMP+MUTUAL),0)+ROUND(MIN(N(N2900),TOPE_AFC_UF*UF_MES)*IF(S2900="Indefinido",AFC_INDEF,AFC_PF),0))</f>
        <v/>
      </c>
      <c r="U2900" s="62" t="str">
        <f aca="false">IF(C2900="","",IF(LEFT(D2900,1)="⚠","⚠ RUT no registrado en Trabajadores",IF(B2900="","⚠ Falta el mes",IF(OR(ISTEXT(I2900),ISTEXT(J2900)),"⚠ Atrasos u horas extra como texto: escriba hh:mm (ej. 1:30)",IF(AND(ISNUMBER(Q2900),COUNTIFS(M_RUTN,V2900,M_MES,B2900,M_LIQ,"&lt;&gt;")&gt;1),"⚠ Liquidación repetida en el mes",IF(AND(ISNUMBER(O2900),ISNUMBER(P2900),ISNUMBER(Q2900),ABS(O2900-P2900-Q2900)&gt;1),"⚠ Haberes − descuentos no da el líquido","OK"))))))</f>
        <v/>
      </c>
      <c r="V2900" s="62" t="str">
        <f aca="false">IF(C2900="","",IFERROR(VALUE(LEFT(UPPER(SUBSTITUTE(SUBSTITUTE(SUBSTITUTE(TRIM(C2900),".",""),"-","")," ","")),LEN(UPPER(SUBSTITUTE(SUBSTITUTE(SUBSTITUTE(TRIM(C2900),".",""),"-","")," ","")))-1))&amp;RIGHT(UPPER(SUBSTITUTE(SUBSTITUTE(SUBSTITUTE(TRIM(C2900),".",""),"-","")," ","")),1),UPPER(SUBSTITUTE(SUBSTITUTE(SUBSTITUTE(TRIM(C2900),".",""),"-","")," ",""))))</f>
        <v/>
      </c>
    </row>
    <row r="2901" customFormat="false" ht="15" hidden="false" customHeight="false" outlineLevel="0" collapsed="false">
      <c r="B2901" s="80"/>
      <c r="C2901" s="58"/>
      <c r="D2901" s="62" t="str">
        <f aca="false">IF(C2901="","",IFERROR(INDEX(T_NOMBRE,MATCH(V2901,T_RUTN,0)),"⚠ RUT no está en Trabajadores"))</f>
        <v/>
      </c>
      <c r="E2901" s="61"/>
      <c r="F2901" s="61"/>
      <c r="G2901" s="61"/>
      <c r="H2901" s="61"/>
      <c r="I2901" s="81"/>
      <c r="J2901" s="81"/>
      <c r="K2901" s="60"/>
      <c r="L2901" s="60"/>
      <c r="M2901" s="60"/>
      <c r="N2901" s="60"/>
      <c r="O2901" s="60"/>
      <c r="P2901" s="60"/>
      <c r="Q2901" s="60"/>
      <c r="R2901" s="58"/>
      <c r="S2901" s="62" t="str">
        <f aca="false">IF(OR(B2901="",V2901=""),"",IFERROR(INDEX(C_TIPO,MATCH(V2901&amp;"-P"&amp;MAX(1,COUNTIFS(C_RUTN,V2901,C_DEF,"Sí",C_INI,"&lt;="&amp;EOMONTH(B2901,0))),C_CLAVE,0))&amp;"","Sin contrato"))</f>
        <v/>
      </c>
      <c r="T2901" s="63" t="str">
        <f aca="false">IF(OR(B2901="",N(O2901)=0),"",N(O2901)+ROUND(MIN(N(N2901),TOPE_UF*UF_MES)*(TASA_EMP+MUTUAL),0)+ROUND(MIN(N(N2901),TOPE_AFC_UF*UF_MES)*IF(S2901="Indefinido",AFC_INDEF,AFC_PF),0))</f>
        <v/>
      </c>
      <c r="U2901" s="62" t="str">
        <f aca="false">IF(C2901="","",IF(LEFT(D2901,1)="⚠","⚠ RUT no registrado en Trabajadores",IF(B2901="","⚠ Falta el mes",IF(OR(ISTEXT(I2901),ISTEXT(J2901)),"⚠ Atrasos u horas extra como texto: escriba hh:mm (ej. 1:30)",IF(AND(ISNUMBER(Q2901),COUNTIFS(M_RUTN,V2901,M_MES,B2901,M_LIQ,"&lt;&gt;")&gt;1),"⚠ Liquidación repetida en el mes",IF(AND(ISNUMBER(O2901),ISNUMBER(P2901),ISNUMBER(Q2901),ABS(O2901-P2901-Q2901)&gt;1),"⚠ Haberes − descuentos no da el líquido","OK"))))))</f>
        <v/>
      </c>
      <c r="V2901" s="62" t="str">
        <f aca="false">IF(C2901="","",IFERROR(VALUE(LEFT(UPPER(SUBSTITUTE(SUBSTITUTE(SUBSTITUTE(TRIM(C2901),".",""),"-","")," ","")),LEN(UPPER(SUBSTITUTE(SUBSTITUTE(SUBSTITUTE(TRIM(C2901),".",""),"-","")," ","")))-1))&amp;RIGHT(UPPER(SUBSTITUTE(SUBSTITUTE(SUBSTITUTE(TRIM(C2901),".",""),"-","")," ","")),1),UPPER(SUBSTITUTE(SUBSTITUTE(SUBSTITUTE(TRIM(C2901),".",""),"-","")," ",""))))</f>
        <v/>
      </c>
    </row>
    <row r="2902" customFormat="false" ht="15" hidden="false" customHeight="false" outlineLevel="0" collapsed="false">
      <c r="B2902" s="80"/>
      <c r="C2902" s="58"/>
      <c r="D2902" s="62" t="str">
        <f aca="false">IF(C2902="","",IFERROR(INDEX(T_NOMBRE,MATCH(V2902,T_RUTN,0)),"⚠ RUT no está en Trabajadores"))</f>
        <v/>
      </c>
      <c r="E2902" s="61"/>
      <c r="F2902" s="61"/>
      <c r="G2902" s="61"/>
      <c r="H2902" s="61"/>
      <c r="I2902" s="81"/>
      <c r="J2902" s="81"/>
      <c r="K2902" s="60"/>
      <c r="L2902" s="60"/>
      <c r="M2902" s="60"/>
      <c r="N2902" s="60"/>
      <c r="O2902" s="60"/>
      <c r="P2902" s="60"/>
      <c r="Q2902" s="60"/>
      <c r="R2902" s="58"/>
      <c r="S2902" s="62" t="str">
        <f aca="false">IF(OR(B2902="",V2902=""),"",IFERROR(INDEX(C_TIPO,MATCH(V2902&amp;"-P"&amp;MAX(1,COUNTIFS(C_RUTN,V2902,C_DEF,"Sí",C_INI,"&lt;="&amp;EOMONTH(B2902,0))),C_CLAVE,0))&amp;"","Sin contrato"))</f>
        <v/>
      </c>
      <c r="T2902" s="63" t="str">
        <f aca="false">IF(OR(B2902="",N(O2902)=0),"",N(O2902)+ROUND(MIN(N(N2902),TOPE_UF*UF_MES)*(TASA_EMP+MUTUAL),0)+ROUND(MIN(N(N2902),TOPE_AFC_UF*UF_MES)*IF(S2902="Indefinido",AFC_INDEF,AFC_PF),0))</f>
        <v/>
      </c>
      <c r="U2902" s="62" t="str">
        <f aca="false">IF(C2902="","",IF(LEFT(D2902,1)="⚠","⚠ RUT no registrado en Trabajadores",IF(B2902="","⚠ Falta el mes",IF(OR(ISTEXT(I2902),ISTEXT(J2902)),"⚠ Atrasos u horas extra como texto: escriba hh:mm (ej. 1:30)",IF(AND(ISNUMBER(Q2902),COUNTIFS(M_RUTN,V2902,M_MES,B2902,M_LIQ,"&lt;&gt;")&gt;1),"⚠ Liquidación repetida en el mes",IF(AND(ISNUMBER(O2902),ISNUMBER(P2902),ISNUMBER(Q2902),ABS(O2902-P2902-Q2902)&gt;1),"⚠ Haberes − descuentos no da el líquido","OK"))))))</f>
        <v/>
      </c>
      <c r="V2902" s="62" t="str">
        <f aca="false">IF(C2902="","",IFERROR(VALUE(LEFT(UPPER(SUBSTITUTE(SUBSTITUTE(SUBSTITUTE(TRIM(C2902),".",""),"-","")," ","")),LEN(UPPER(SUBSTITUTE(SUBSTITUTE(SUBSTITUTE(TRIM(C2902),".",""),"-","")," ","")))-1))&amp;RIGHT(UPPER(SUBSTITUTE(SUBSTITUTE(SUBSTITUTE(TRIM(C2902),".",""),"-","")," ","")),1),UPPER(SUBSTITUTE(SUBSTITUTE(SUBSTITUTE(TRIM(C2902),".",""),"-","")," ",""))))</f>
        <v/>
      </c>
    </row>
    <row r="2903" customFormat="false" ht="15" hidden="false" customHeight="false" outlineLevel="0" collapsed="false">
      <c r="B2903" s="80"/>
      <c r="C2903" s="58"/>
      <c r="D2903" s="62" t="str">
        <f aca="false">IF(C2903="","",IFERROR(INDEX(T_NOMBRE,MATCH(V2903,T_RUTN,0)),"⚠ RUT no está en Trabajadores"))</f>
        <v/>
      </c>
      <c r="E2903" s="61"/>
      <c r="F2903" s="61"/>
      <c r="G2903" s="61"/>
      <c r="H2903" s="61"/>
      <c r="I2903" s="81"/>
      <c r="J2903" s="81"/>
      <c r="K2903" s="60"/>
      <c r="L2903" s="60"/>
      <c r="M2903" s="60"/>
      <c r="N2903" s="60"/>
      <c r="O2903" s="60"/>
      <c r="P2903" s="60"/>
      <c r="Q2903" s="60"/>
      <c r="R2903" s="58"/>
      <c r="S2903" s="62" t="str">
        <f aca="false">IF(OR(B2903="",V2903=""),"",IFERROR(INDEX(C_TIPO,MATCH(V2903&amp;"-P"&amp;MAX(1,COUNTIFS(C_RUTN,V2903,C_DEF,"Sí",C_INI,"&lt;="&amp;EOMONTH(B2903,0))),C_CLAVE,0))&amp;"","Sin contrato"))</f>
        <v/>
      </c>
      <c r="T2903" s="63" t="str">
        <f aca="false">IF(OR(B2903="",N(O2903)=0),"",N(O2903)+ROUND(MIN(N(N2903),TOPE_UF*UF_MES)*(TASA_EMP+MUTUAL),0)+ROUND(MIN(N(N2903),TOPE_AFC_UF*UF_MES)*IF(S2903="Indefinido",AFC_INDEF,AFC_PF),0))</f>
        <v/>
      </c>
      <c r="U2903" s="62" t="str">
        <f aca="false">IF(C2903="","",IF(LEFT(D2903,1)="⚠","⚠ RUT no registrado en Trabajadores",IF(B2903="","⚠ Falta el mes",IF(OR(ISTEXT(I2903),ISTEXT(J2903)),"⚠ Atrasos u horas extra como texto: escriba hh:mm (ej. 1:30)",IF(AND(ISNUMBER(Q2903),COUNTIFS(M_RUTN,V2903,M_MES,B2903,M_LIQ,"&lt;&gt;")&gt;1),"⚠ Liquidación repetida en el mes",IF(AND(ISNUMBER(O2903),ISNUMBER(P2903),ISNUMBER(Q2903),ABS(O2903-P2903-Q2903)&gt;1),"⚠ Haberes − descuentos no da el líquido","OK"))))))</f>
        <v/>
      </c>
      <c r="V2903" s="62" t="str">
        <f aca="false">IF(C2903="","",IFERROR(VALUE(LEFT(UPPER(SUBSTITUTE(SUBSTITUTE(SUBSTITUTE(TRIM(C2903),".",""),"-","")," ","")),LEN(UPPER(SUBSTITUTE(SUBSTITUTE(SUBSTITUTE(TRIM(C2903),".",""),"-","")," ","")))-1))&amp;RIGHT(UPPER(SUBSTITUTE(SUBSTITUTE(SUBSTITUTE(TRIM(C2903),".",""),"-","")," ","")),1),UPPER(SUBSTITUTE(SUBSTITUTE(SUBSTITUTE(TRIM(C2903),".",""),"-","")," ",""))))</f>
        <v/>
      </c>
    </row>
    <row r="2904" customFormat="false" ht="15" hidden="false" customHeight="false" outlineLevel="0" collapsed="false">
      <c r="B2904" s="80"/>
      <c r="C2904" s="58"/>
      <c r="D2904" s="62" t="str">
        <f aca="false">IF(C2904="","",IFERROR(INDEX(T_NOMBRE,MATCH(V2904,T_RUTN,0)),"⚠ RUT no está en Trabajadores"))</f>
        <v/>
      </c>
      <c r="E2904" s="61"/>
      <c r="F2904" s="61"/>
      <c r="G2904" s="61"/>
      <c r="H2904" s="61"/>
      <c r="I2904" s="81"/>
      <c r="J2904" s="81"/>
      <c r="K2904" s="60"/>
      <c r="L2904" s="60"/>
      <c r="M2904" s="60"/>
      <c r="N2904" s="60"/>
      <c r="O2904" s="60"/>
      <c r="P2904" s="60"/>
      <c r="Q2904" s="60"/>
      <c r="R2904" s="58"/>
      <c r="S2904" s="62" t="str">
        <f aca="false">IF(OR(B2904="",V2904=""),"",IFERROR(INDEX(C_TIPO,MATCH(V2904&amp;"-P"&amp;MAX(1,COUNTIFS(C_RUTN,V2904,C_DEF,"Sí",C_INI,"&lt;="&amp;EOMONTH(B2904,0))),C_CLAVE,0))&amp;"","Sin contrato"))</f>
        <v/>
      </c>
      <c r="T2904" s="63" t="str">
        <f aca="false">IF(OR(B2904="",N(O2904)=0),"",N(O2904)+ROUND(MIN(N(N2904),TOPE_UF*UF_MES)*(TASA_EMP+MUTUAL),0)+ROUND(MIN(N(N2904),TOPE_AFC_UF*UF_MES)*IF(S2904="Indefinido",AFC_INDEF,AFC_PF),0))</f>
        <v/>
      </c>
      <c r="U2904" s="62" t="str">
        <f aca="false">IF(C2904="","",IF(LEFT(D2904,1)="⚠","⚠ RUT no registrado en Trabajadores",IF(B2904="","⚠ Falta el mes",IF(OR(ISTEXT(I2904),ISTEXT(J2904)),"⚠ Atrasos u horas extra como texto: escriba hh:mm (ej. 1:30)",IF(AND(ISNUMBER(Q2904),COUNTIFS(M_RUTN,V2904,M_MES,B2904,M_LIQ,"&lt;&gt;")&gt;1),"⚠ Liquidación repetida en el mes",IF(AND(ISNUMBER(O2904),ISNUMBER(P2904),ISNUMBER(Q2904),ABS(O2904-P2904-Q2904)&gt;1),"⚠ Haberes − descuentos no da el líquido","OK"))))))</f>
        <v/>
      </c>
      <c r="V2904" s="62" t="str">
        <f aca="false">IF(C2904="","",IFERROR(VALUE(LEFT(UPPER(SUBSTITUTE(SUBSTITUTE(SUBSTITUTE(TRIM(C2904),".",""),"-","")," ","")),LEN(UPPER(SUBSTITUTE(SUBSTITUTE(SUBSTITUTE(TRIM(C2904),".",""),"-","")," ","")))-1))&amp;RIGHT(UPPER(SUBSTITUTE(SUBSTITUTE(SUBSTITUTE(TRIM(C2904),".",""),"-","")," ","")),1),UPPER(SUBSTITUTE(SUBSTITUTE(SUBSTITUTE(TRIM(C2904),".",""),"-","")," ",""))))</f>
        <v/>
      </c>
    </row>
    <row r="2905" customFormat="false" ht="15" hidden="false" customHeight="false" outlineLevel="0" collapsed="false">
      <c r="B2905" s="80"/>
      <c r="C2905" s="58"/>
      <c r="D2905" s="62" t="str">
        <f aca="false">IF(C2905="","",IFERROR(INDEX(T_NOMBRE,MATCH(V2905,T_RUTN,0)),"⚠ RUT no está en Trabajadores"))</f>
        <v/>
      </c>
      <c r="E2905" s="61"/>
      <c r="F2905" s="61"/>
      <c r="G2905" s="61"/>
      <c r="H2905" s="61"/>
      <c r="I2905" s="81"/>
      <c r="J2905" s="81"/>
      <c r="K2905" s="60"/>
      <c r="L2905" s="60"/>
      <c r="M2905" s="60"/>
      <c r="N2905" s="60"/>
      <c r="O2905" s="60"/>
      <c r="P2905" s="60"/>
      <c r="Q2905" s="60"/>
      <c r="R2905" s="58"/>
      <c r="S2905" s="62" t="str">
        <f aca="false">IF(OR(B2905="",V2905=""),"",IFERROR(INDEX(C_TIPO,MATCH(V2905&amp;"-P"&amp;MAX(1,COUNTIFS(C_RUTN,V2905,C_DEF,"Sí",C_INI,"&lt;="&amp;EOMONTH(B2905,0))),C_CLAVE,0))&amp;"","Sin contrato"))</f>
        <v/>
      </c>
      <c r="T2905" s="63" t="str">
        <f aca="false">IF(OR(B2905="",N(O2905)=0),"",N(O2905)+ROUND(MIN(N(N2905),TOPE_UF*UF_MES)*(TASA_EMP+MUTUAL),0)+ROUND(MIN(N(N2905),TOPE_AFC_UF*UF_MES)*IF(S2905="Indefinido",AFC_INDEF,AFC_PF),0))</f>
        <v/>
      </c>
      <c r="U2905" s="62" t="str">
        <f aca="false">IF(C2905="","",IF(LEFT(D2905,1)="⚠","⚠ RUT no registrado en Trabajadores",IF(B2905="","⚠ Falta el mes",IF(OR(ISTEXT(I2905),ISTEXT(J2905)),"⚠ Atrasos u horas extra como texto: escriba hh:mm (ej. 1:30)",IF(AND(ISNUMBER(Q2905),COUNTIFS(M_RUTN,V2905,M_MES,B2905,M_LIQ,"&lt;&gt;")&gt;1),"⚠ Liquidación repetida en el mes",IF(AND(ISNUMBER(O2905),ISNUMBER(P2905),ISNUMBER(Q2905),ABS(O2905-P2905-Q2905)&gt;1),"⚠ Haberes − descuentos no da el líquido","OK"))))))</f>
        <v/>
      </c>
      <c r="V2905" s="62" t="str">
        <f aca="false">IF(C2905="","",IFERROR(VALUE(LEFT(UPPER(SUBSTITUTE(SUBSTITUTE(SUBSTITUTE(TRIM(C2905),".",""),"-","")," ","")),LEN(UPPER(SUBSTITUTE(SUBSTITUTE(SUBSTITUTE(TRIM(C2905),".",""),"-","")," ","")))-1))&amp;RIGHT(UPPER(SUBSTITUTE(SUBSTITUTE(SUBSTITUTE(TRIM(C2905),".",""),"-","")," ","")),1),UPPER(SUBSTITUTE(SUBSTITUTE(SUBSTITUTE(TRIM(C2905),".",""),"-","")," ",""))))</f>
        <v/>
      </c>
    </row>
    <row r="2906" customFormat="false" ht="15" hidden="false" customHeight="false" outlineLevel="0" collapsed="false">
      <c r="B2906" s="80"/>
      <c r="C2906" s="58"/>
      <c r="D2906" s="62" t="str">
        <f aca="false">IF(C2906="","",IFERROR(INDEX(T_NOMBRE,MATCH(V2906,T_RUTN,0)),"⚠ RUT no está en Trabajadores"))</f>
        <v/>
      </c>
      <c r="E2906" s="61"/>
      <c r="F2906" s="61"/>
      <c r="G2906" s="61"/>
      <c r="H2906" s="61"/>
      <c r="I2906" s="81"/>
      <c r="J2906" s="81"/>
      <c r="K2906" s="60"/>
      <c r="L2906" s="60"/>
      <c r="M2906" s="60"/>
      <c r="N2906" s="60"/>
      <c r="O2906" s="60"/>
      <c r="P2906" s="60"/>
      <c r="Q2906" s="60"/>
      <c r="R2906" s="58"/>
      <c r="S2906" s="62" t="str">
        <f aca="false">IF(OR(B2906="",V2906=""),"",IFERROR(INDEX(C_TIPO,MATCH(V2906&amp;"-P"&amp;MAX(1,COUNTIFS(C_RUTN,V2906,C_DEF,"Sí",C_INI,"&lt;="&amp;EOMONTH(B2906,0))),C_CLAVE,0))&amp;"","Sin contrato"))</f>
        <v/>
      </c>
      <c r="T2906" s="63" t="str">
        <f aca="false">IF(OR(B2906="",N(O2906)=0),"",N(O2906)+ROUND(MIN(N(N2906),TOPE_UF*UF_MES)*(TASA_EMP+MUTUAL),0)+ROUND(MIN(N(N2906),TOPE_AFC_UF*UF_MES)*IF(S2906="Indefinido",AFC_INDEF,AFC_PF),0))</f>
        <v/>
      </c>
      <c r="U2906" s="62" t="str">
        <f aca="false">IF(C2906="","",IF(LEFT(D2906,1)="⚠","⚠ RUT no registrado en Trabajadores",IF(B2906="","⚠ Falta el mes",IF(OR(ISTEXT(I2906),ISTEXT(J2906)),"⚠ Atrasos u horas extra como texto: escriba hh:mm (ej. 1:30)",IF(AND(ISNUMBER(Q2906),COUNTIFS(M_RUTN,V2906,M_MES,B2906,M_LIQ,"&lt;&gt;")&gt;1),"⚠ Liquidación repetida en el mes",IF(AND(ISNUMBER(O2906),ISNUMBER(P2906),ISNUMBER(Q2906),ABS(O2906-P2906-Q2906)&gt;1),"⚠ Haberes − descuentos no da el líquido","OK"))))))</f>
        <v/>
      </c>
      <c r="V2906" s="62" t="str">
        <f aca="false">IF(C2906="","",IFERROR(VALUE(LEFT(UPPER(SUBSTITUTE(SUBSTITUTE(SUBSTITUTE(TRIM(C2906),".",""),"-","")," ","")),LEN(UPPER(SUBSTITUTE(SUBSTITUTE(SUBSTITUTE(TRIM(C2906),".",""),"-","")," ","")))-1))&amp;RIGHT(UPPER(SUBSTITUTE(SUBSTITUTE(SUBSTITUTE(TRIM(C2906),".",""),"-","")," ","")),1),UPPER(SUBSTITUTE(SUBSTITUTE(SUBSTITUTE(TRIM(C2906),".",""),"-","")," ",""))))</f>
        <v/>
      </c>
    </row>
    <row r="2907" customFormat="false" ht="15" hidden="false" customHeight="false" outlineLevel="0" collapsed="false">
      <c r="B2907" s="80"/>
      <c r="C2907" s="58"/>
      <c r="D2907" s="62" t="str">
        <f aca="false">IF(C2907="","",IFERROR(INDEX(T_NOMBRE,MATCH(V2907,T_RUTN,0)),"⚠ RUT no está en Trabajadores"))</f>
        <v/>
      </c>
      <c r="E2907" s="61"/>
      <c r="F2907" s="61"/>
      <c r="G2907" s="61"/>
      <c r="H2907" s="61"/>
      <c r="I2907" s="81"/>
      <c r="J2907" s="81"/>
      <c r="K2907" s="60"/>
      <c r="L2907" s="60"/>
      <c r="M2907" s="60"/>
      <c r="N2907" s="60"/>
      <c r="O2907" s="60"/>
      <c r="P2907" s="60"/>
      <c r="Q2907" s="60"/>
      <c r="R2907" s="58"/>
      <c r="S2907" s="62" t="str">
        <f aca="false">IF(OR(B2907="",V2907=""),"",IFERROR(INDEX(C_TIPO,MATCH(V2907&amp;"-P"&amp;MAX(1,COUNTIFS(C_RUTN,V2907,C_DEF,"Sí",C_INI,"&lt;="&amp;EOMONTH(B2907,0))),C_CLAVE,0))&amp;"","Sin contrato"))</f>
        <v/>
      </c>
      <c r="T2907" s="63" t="str">
        <f aca="false">IF(OR(B2907="",N(O2907)=0),"",N(O2907)+ROUND(MIN(N(N2907),TOPE_UF*UF_MES)*(TASA_EMP+MUTUAL),0)+ROUND(MIN(N(N2907),TOPE_AFC_UF*UF_MES)*IF(S2907="Indefinido",AFC_INDEF,AFC_PF),0))</f>
        <v/>
      </c>
      <c r="U2907" s="62" t="str">
        <f aca="false">IF(C2907="","",IF(LEFT(D2907,1)="⚠","⚠ RUT no registrado en Trabajadores",IF(B2907="","⚠ Falta el mes",IF(OR(ISTEXT(I2907),ISTEXT(J2907)),"⚠ Atrasos u horas extra como texto: escriba hh:mm (ej. 1:30)",IF(AND(ISNUMBER(Q2907),COUNTIFS(M_RUTN,V2907,M_MES,B2907,M_LIQ,"&lt;&gt;")&gt;1),"⚠ Liquidación repetida en el mes",IF(AND(ISNUMBER(O2907),ISNUMBER(P2907),ISNUMBER(Q2907),ABS(O2907-P2907-Q2907)&gt;1),"⚠ Haberes − descuentos no da el líquido","OK"))))))</f>
        <v/>
      </c>
      <c r="V2907" s="62" t="str">
        <f aca="false">IF(C2907="","",IFERROR(VALUE(LEFT(UPPER(SUBSTITUTE(SUBSTITUTE(SUBSTITUTE(TRIM(C2907),".",""),"-","")," ","")),LEN(UPPER(SUBSTITUTE(SUBSTITUTE(SUBSTITUTE(TRIM(C2907),".",""),"-","")," ","")))-1))&amp;RIGHT(UPPER(SUBSTITUTE(SUBSTITUTE(SUBSTITUTE(TRIM(C2907),".",""),"-","")," ","")),1),UPPER(SUBSTITUTE(SUBSTITUTE(SUBSTITUTE(TRIM(C2907),".",""),"-","")," ",""))))</f>
        <v/>
      </c>
    </row>
    <row r="2908" customFormat="false" ht="15" hidden="false" customHeight="false" outlineLevel="0" collapsed="false">
      <c r="B2908" s="80"/>
      <c r="C2908" s="58"/>
      <c r="D2908" s="62" t="str">
        <f aca="false">IF(C2908="","",IFERROR(INDEX(T_NOMBRE,MATCH(V2908,T_RUTN,0)),"⚠ RUT no está en Trabajadores"))</f>
        <v/>
      </c>
      <c r="E2908" s="61"/>
      <c r="F2908" s="61"/>
      <c r="G2908" s="61"/>
      <c r="H2908" s="61"/>
      <c r="I2908" s="81"/>
      <c r="J2908" s="81"/>
      <c r="K2908" s="60"/>
      <c r="L2908" s="60"/>
      <c r="M2908" s="60"/>
      <c r="N2908" s="60"/>
      <c r="O2908" s="60"/>
      <c r="P2908" s="60"/>
      <c r="Q2908" s="60"/>
      <c r="R2908" s="58"/>
      <c r="S2908" s="62" t="str">
        <f aca="false">IF(OR(B2908="",V2908=""),"",IFERROR(INDEX(C_TIPO,MATCH(V2908&amp;"-P"&amp;MAX(1,COUNTIFS(C_RUTN,V2908,C_DEF,"Sí",C_INI,"&lt;="&amp;EOMONTH(B2908,0))),C_CLAVE,0))&amp;"","Sin contrato"))</f>
        <v/>
      </c>
      <c r="T2908" s="63" t="str">
        <f aca="false">IF(OR(B2908="",N(O2908)=0),"",N(O2908)+ROUND(MIN(N(N2908),TOPE_UF*UF_MES)*(TASA_EMP+MUTUAL),0)+ROUND(MIN(N(N2908),TOPE_AFC_UF*UF_MES)*IF(S2908="Indefinido",AFC_INDEF,AFC_PF),0))</f>
        <v/>
      </c>
      <c r="U2908" s="62" t="str">
        <f aca="false">IF(C2908="","",IF(LEFT(D2908,1)="⚠","⚠ RUT no registrado en Trabajadores",IF(B2908="","⚠ Falta el mes",IF(OR(ISTEXT(I2908),ISTEXT(J2908)),"⚠ Atrasos u horas extra como texto: escriba hh:mm (ej. 1:30)",IF(AND(ISNUMBER(Q2908),COUNTIFS(M_RUTN,V2908,M_MES,B2908,M_LIQ,"&lt;&gt;")&gt;1),"⚠ Liquidación repetida en el mes",IF(AND(ISNUMBER(O2908),ISNUMBER(P2908),ISNUMBER(Q2908),ABS(O2908-P2908-Q2908)&gt;1),"⚠ Haberes − descuentos no da el líquido","OK"))))))</f>
        <v/>
      </c>
      <c r="V2908" s="62" t="str">
        <f aca="false">IF(C2908="","",IFERROR(VALUE(LEFT(UPPER(SUBSTITUTE(SUBSTITUTE(SUBSTITUTE(TRIM(C2908),".",""),"-","")," ","")),LEN(UPPER(SUBSTITUTE(SUBSTITUTE(SUBSTITUTE(TRIM(C2908),".",""),"-","")," ","")))-1))&amp;RIGHT(UPPER(SUBSTITUTE(SUBSTITUTE(SUBSTITUTE(TRIM(C2908),".",""),"-","")," ","")),1),UPPER(SUBSTITUTE(SUBSTITUTE(SUBSTITUTE(TRIM(C2908),".",""),"-","")," ",""))))</f>
        <v/>
      </c>
    </row>
    <row r="2909" customFormat="false" ht="15" hidden="false" customHeight="false" outlineLevel="0" collapsed="false">
      <c r="B2909" s="80"/>
      <c r="C2909" s="58"/>
      <c r="D2909" s="62" t="str">
        <f aca="false">IF(C2909="","",IFERROR(INDEX(T_NOMBRE,MATCH(V2909,T_RUTN,0)),"⚠ RUT no está en Trabajadores"))</f>
        <v/>
      </c>
      <c r="E2909" s="61"/>
      <c r="F2909" s="61"/>
      <c r="G2909" s="61"/>
      <c r="H2909" s="61"/>
      <c r="I2909" s="81"/>
      <c r="J2909" s="81"/>
      <c r="K2909" s="60"/>
      <c r="L2909" s="60"/>
      <c r="M2909" s="60"/>
      <c r="N2909" s="60"/>
      <c r="O2909" s="60"/>
      <c r="P2909" s="60"/>
      <c r="Q2909" s="60"/>
      <c r="R2909" s="58"/>
      <c r="S2909" s="62" t="str">
        <f aca="false">IF(OR(B2909="",V2909=""),"",IFERROR(INDEX(C_TIPO,MATCH(V2909&amp;"-P"&amp;MAX(1,COUNTIFS(C_RUTN,V2909,C_DEF,"Sí",C_INI,"&lt;="&amp;EOMONTH(B2909,0))),C_CLAVE,0))&amp;"","Sin contrato"))</f>
        <v/>
      </c>
      <c r="T2909" s="63" t="str">
        <f aca="false">IF(OR(B2909="",N(O2909)=0),"",N(O2909)+ROUND(MIN(N(N2909),TOPE_UF*UF_MES)*(TASA_EMP+MUTUAL),0)+ROUND(MIN(N(N2909),TOPE_AFC_UF*UF_MES)*IF(S2909="Indefinido",AFC_INDEF,AFC_PF),0))</f>
        <v/>
      </c>
      <c r="U2909" s="62" t="str">
        <f aca="false">IF(C2909="","",IF(LEFT(D2909,1)="⚠","⚠ RUT no registrado en Trabajadores",IF(B2909="","⚠ Falta el mes",IF(OR(ISTEXT(I2909),ISTEXT(J2909)),"⚠ Atrasos u horas extra como texto: escriba hh:mm (ej. 1:30)",IF(AND(ISNUMBER(Q2909),COUNTIFS(M_RUTN,V2909,M_MES,B2909,M_LIQ,"&lt;&gt;")&gt;1),"⚠ Liquidación repetida en el mes",IF(AND(ISNUMBER(O2909),ISNUMBER(P2909),ISNUMBER(Q2909),ABS(O2909-P2909-Q2909)&gt;1),"⚠ Haberes − descuentos no da el líquido","OK"))))))</f>
        <v/>
      </c>
      <c r="V2909" s="62" t="str">
        <f aca="false">IF(C2909="","",IFERROR(VALUE(LEFT(UPPER(SUBSTITUTE(SUBSTITUTE(SUBSTITUTE(TRIM(C2909),".",""),"-","")," ","")),LEN(UPPER(SUBSTITUTE(SUBSTITUTE(SUBSTITUTE(TRIM(C2909),".",""),"-","")," ","")))-1))&amp;RIGHT(UPPER(SUBSTITUTE(SUBSTITUTE(SUBSTITUTE(TRIM(C2909),".",""),"-","")," ","")),1),UPPER(SUBSTITUTE(SUBSTITUTE(SUBSTITUTE(TRIM(C2909),".",""),"-","")," ",""))))</f>
        <v/>
      </c>
    </row>
    <row r="2910" customFormat="false" ht="15" hidden="false" customHeight="false" outlineLevel="0" collapsed="false">
      <c r="B2910" s="80"/>
      <c r="C2910" s="58"/>
      <c r="D2910" s="62" t="str">
        <f aca="false">IF(C2910="","",IFERROR(INDEX(T_NOMBRE,MATCH(V2910,T_RUTN,0)),"⚠ RUT no está en Trabajadores"))</f>
        <v/>
      </c>
      <c r="E2910" s="61"/>
      <c r="F2910" s="61"/>
      <c r="G2910" s="61"/>
      <c r="H2910" s="61"/>
      <c r="I2910" s="81"/>
      <c r="J2910" s="81"/>
      <c r="K2910" s="60"/>
      <c r="L2910" s="60"/>
      <c r="M2910" s="60"/>
      <c r="N2910" s="60"/>
      <c r="O2910" s="60"/>
      <c r="P2910" s="60"/>
      <c r="Q2910" s="60"/>
      <c r="R2910" s="58"/>
      <c r="S2910" s="62" t="str">
        <f aca="false">IF(OR(B2910="",V2910=""),"",IFERROR(INDEX(C_TIPO,MATCH(V2910&amp;"-P"&amp;MAX(1,COUNTIFS(C_RUTN,V2910,C_DEF,"Sí",C_INI,"&lt;="&amp;EOMONTH(B2910,0))),C_CLAVE,0))&amp;"","Sin contrato"))</f>
        <v/>
      </c>
      <c r="T2910" s="63" t="str">
        <f aca="false">IF(OR(B2910="",N(O2910)=0),"",N(O2910)+ROUND(MIN(N(N2910),TOPE_UF*UF_MES)*(TASA_EMP+MUTUAL),0)+ROUND(MIN(N(N2910),TOPE_AFC_UF*UF_MES)*IF(S2910="Indefinido",AFC_INDEF,AFC_PF),0))</f>
        <v/>
      </c>
      <c r="U2910" s="62" t="str">
        <f aca="false">IF(C2910="","",IF(LEFT(D2910,1)="⚠","⚠ RUT no registrado en Trabajadores",IF(B2910="","⚠ Falta el mes",IF(OR(ISTEXT(I2910),ISTEXT(J2910)),"⚠ Atrasos u horas extra como texto: escriba hh:mm (ej. 1:30)",IF(AND(ISNUMBER(Q2910),COUNTIFS(M_RUTN,V2910,M_MES,B2910,M_LIQ,"&lt;&gt;")&gt;1),"⚠ Liquidación repetida en el mes",IF(AND(ISNUMBER(O2910),ISNUMBER(P2910),ISNUMBER(Q2910),ABS(O2910-P2910-Q2910)&gt;1),"⚠ Haberes − descuentos no da el líquido","OK"))))))</f>
        <v/>
      </c>
      <c r="V2910" s="62" t="str">
        <f aca="false">IF(C2910="","",IFERROR(VALUE(LEFT(UPPER(SUBSTITUTE(SUBSTITUTE(SUBSTITUTE(TRIM(C2910),".",""),"-","")," ","")),LEN(UPPER(SUBSTITUTE(SUBSTITUTE(SUBSTITUTE(TRIM(C2910),".",""),"-","")," ","")))-1))&amp;RIGHT(UPPER(SUBSTITUTE(SUBSTITUTE(SUBSTITUTE(TRIM(C2910),".",""),"-","")," ","")),1),UPPER(SUBSTITUTE(SUBSTITUTE(SUBSTITUTE(TRIM(C2910),".",""),"-","")," ",""))))</f>
        <v/>
      </c>
    </row>
    <row r="2911" customFormat="false" ht="15" hidden="false" customHeight="false" outlineLevel="0" collapsed="false">
      <c r="B2911" s="80"/>
      <c r="C2911" s="58"/>
      <c r="D2911" s="62" t="str">
        <f aca="false">IF(C2911="","",IFERROR(INDEX(T_NOMBRE,MATCH(V2911,T_RUTN,0)),"⚠ RUT no está en Trabajadores"))</f>
        <v/>
      </c>
      <c r="E2911" s="61"/>
      <c r="F2911" s="61"/>
      <c r="G2911" s="61"/>
      <c r="H2911" s="61"/>
      <c r="I2911" s="81"/>
      <c r="J2911" s="81"/>
      <c r="K2911" s="60"/>
      <c r="L2911" s="60"/>
      <c r="M2911" s="60"/>
      <c r="N2911" s="60"/>
      <c r="O2911" s="60"/>
      <c r="P2911" s="60"/>
      <c r="Q2911" s="60"/>
      <c r="R2911" s="58"/>
      <c r="S2911" s="62" t="str">
        <f aca="false">IF(OR(B2911="",V2911=""),"",IFERROR(INDEX(C_TIPO,MATCH(V2911&amp;"-P"&amp;MAX(1,COUNTIFS(C_RUTN,V2911,C_DEF,"Sí",C_INI,"&lt;="&amp;EOMONTH(B2911,0))),C_CLAVE,0))&amp;"","Sin contrato"))</f>
        <v/>
      </c>
      <c r="T2911" s="63" t="str">
        <f aca="false">IF(OR(B2911="",N(O2911)=0),"",N(O2911)+ROUND(MIN(N(N2911),TOPE_UF*UF_MES)*(TASA_EMP+MUTUAL),0)+ROUND(MIN(N(N2911),TOPE_AFC_UF*UF_MES)*IF(S2911="Indefinido",AFC_INDEF,AFC_PF),0))</f>
        <v/>
      </c>
      <c r="U2911" s="62" t="str">
        <f aca="false">IF(C2911="","",IF(LEFT(D2911,1)="⚠","⚠ RUT no registrado en Trabajadores",IF(B2911="","⚠ Falta el mes",IF(OR(ISTEXT(I2911),ISTEXT(J2911)),"⚠ Atrasos u horas extra como texto: escriba hh:mm (ej. 1:30)",IF(AND(ISNUMBER(Q2911),COUNTIFS(M_RUTN,V2911,M_MES,B2911,M_LIQ,"&lt;&gt;")&gt;1),"⚠ Liquidación repetida en el mes",IF(AND(ISNUMBER(O2911),ISNUMBER(P2911),ISNUMBER(Q2911),ABS(O2911-P2911-Q2911)&gt;1),"⚠ Haberes − descuentos no da el líquido","OK"))))))</f>
        <v/>
      </c>
      <c r="V2911" s="62" t="str">
        <f aca="false">IF(C2911="","",IFERROR(VALUE(LEFT(UPPER(SUBSTITUTE(SUBSTITUTE(SUBSTITUTE(TRIM(C2911),".",""),"-","")," ","")),LEN(UPPER(SUBSTITUTE(SUBSTITUTE(SUBSTITUTE(TRIM(C2911),".",""),"-","")," ","")))-1))&amp;RIGHT(UPPER(SUBSTITUTE(SUBSTITUTE(SUBSTITUTE(TRIM(C2911),".",""),"-","")," ","")),1),UPPER(SUBSTITUTE(SUBSTITUTE(SUBSTITUTE(TRIM(C2911),".",""),"-","")," ",""))))</f>
        <v/>
      </c>
    </row>
    <row r="2912" customFormat="false" ht="15" hidden="false" customHeight="false" outlineLevel="0" collapsed="false">
      <c r="B2912" s="80"/>
      <c r="C2912" s="58"/>
      <c r="D2912" s="62" t="str">
        <f aca="false">IF(C2912="","",IFERROR(INDEX(T_NOMBRE,MATCH(V2912,T_RUTN,0)),"⚠ RUT no está en Trabajadores"))</f>
        <v/>
      </c>
      <c r="E2912" s="61"/>
      <c r="F2912" s="61"/>
      <c r="G2912" s="61"/>
      <c r="H2912" s="61"/>
      <c r="I2912" s="81"/>
      <c r="J2912" s="81"/>
      <c r="K2912" s="60"/>
      <c r="L2912" s="60"/>
      <c r="M2912" s="60"/>
      <c r="N2912" s="60"/>
      <c r="O2912" s="60"/>
      <c r="P2912" s="60"/>
      <c r="Q2912" s="60"/>
      <c r="R2912" s="58"/>
      <c r="S2912" s="62" t="str">
        <f aca="false">IF(OR(B2912="",V2912=""),"",IFERROR(INDEX(C_TIPO,MATCH(V2912&amp;"-P"&amp;MAX(1,COUNTIFS(C_RUTN,V2912,C_DEF,"Sí",C_INI,"&lt;="&amp;EOMONTH(B2912,0))),C_CLAVE,0))&amp;"","Sin contrato"))</f>
        <v/>
      </c>
      <c r="T2912" s="63" t="str">
        <f aca="false">IF(OR(B2912="",N(O2912)=0),"",N(O2912)+ROUND(MIN(N(N2912),TOPE_UF*UF_MES)*(TASA_EMP+MUTUAL),0)+ROUND(MIN(N(N2912),TOPE_AFC_UF*UF_MES)*IF(S2912="Indefinido",AFC_INDEF,AFC_PF),0))</f>
        <v/>
      </c>
      <c r="U2912" s="62" t="str">
        <f aca="false">IF(C2912="","",IF(LEFT(D2912,1)="⚠","⚠ RUT no registrado en Trabajadores",IF(B2912="","⚠ Falta el mes",IF(OR(ISTEXT(I2912),ISTEXT(J2912)),"⚠ Atrasos u horas extra como texto: escriba hh:mm (ej. 1:30)",IF(AND(ISNUMBER(Q2912),COUNTIFS(M_RUTN,V2912,M_MES,B2912,M_LIQ,"&lt;&gt;")&gt;1),"⚠ Liquidación repetida en el mes",IF(AND(ISNUMBER(O2912),ISNUMBER(P2912),ISNUMBER(Q2912),ABS(O2912-P2912-Q2912)&gt;1),"⚠ Haberes − descuentos no da el líquido","OK"))))))</f>
        <v/>
      </c>
      <c r="V2912" s="62" t="str">
        <f aca="false">IF(C2912="","",IFERROR(VALUE(LEFT(UPPER(SUBSTITUTE(SUBSTITUTE(SUBSTITUTE(TRIM(C2912),".",""),"-","")," ","")),LEN(UPPER(SUBSTITUTE(SUBSTITUTE(SUBSTITUTE(TRIM(C2912),".",""),"-","")," ","")))-1))&amp;RIGHT(UPPER(SUBSTITUTE(SUBSTITUTE(SUBSTITUTE(TRIM(C2912),".",""),"-","")," ","")),1),UPPER(SUBSTITUTE(SUBSTITUTE(SUBSTITUTE(TRIM(C2912),".",""),"-","")," ",""))))</f>
        <v/>
      </c>
    </row>
    <row r="2913" customFormat="false" ht="15" hidden="false" customHeight="false" outlineLevel="0" collapsed="false">
      <c r="B2913" s="80"/>
      <c r="C2913" s="58"/>
      <c r="D2913" s="62" t="str">
        <f aca="false">IF(C2913="","",IFERROR(INDEX(T_NOMBRE,MATCH(V2913,T_RUTN,0)),"⚠ RUT no está en Trabajadores"))</f>
        <v/>
      </c>
      <c r="E2913" s="61"/>
      <c r="F2913" s="61"/>
      <c r="G2913" s="61"/>
      <c r="H2913" s="61"/>
      <c r="I2913" s="81"/>
      <c r="J2913" s="81"/>
      <c r="K2913" s="60"/>
      <c r="L2913" s="60"/>
      <c r="M2913" s="60"/>
      <c r="N2913" s="60"/>
      <c r="O2913" s="60"/>
      <c r="P2913" s="60"/>
      <c r="Q2913" s="60"/>
      <c r="R2913" s="58"/>
      <c r="S2913" s="62" t="str">
        <f aca="false">IF(OR(B2913="",V2913=""),"",IFERROR(INDEX(C_TIPO,MATCH(V2913&amp;"-P"&amp;MAX(1,COUNTIFS(C_RUTN,V2913,C_DEF,"Sí",C_INI,"&lt;="&amp;EOMONTH(B2913,0))),C_CLAVE,0))&amp;"","Sin contrato"))</f>
        <v/>
      </c>
      <c r="T2913" s="63" t="str">
        <f aca="false">IF(OR(B2913="",N(O2913)=0),"",N(O2913)+ROUND(MIN(N(N2913),TOPE_UF*UF_MES)*(TASA_EMP+MUTUAL),0)+ROUND(MIN(N(N2913),TOPE_AFC_UF*UF_MES)*IF(S2913="Indefinido",AFC_INDEF,AFC_PF),0))</f>
        <v/>
      </c>
      <c r="U2913" s="62" t="str">
        <f aca="false">IF(C2913="","",IF(LEFT(D2913,1)="⚠","⚠ RUT no registrado en Trabajadores",IF(B2913="","⚠ Falta el mes",IF(OR(ISTEXT(I2913),ISTEXT(J2913)),"⚠ Atrasos u horas extra como texto: escriba hh:mm (ej. 1:30)",IF(AND(ISNUMBER(Q2913),COUNTIFS(M_RUTN,V2913,M_MES,B2913,M_LIQ,"&lt;&gt;")&gt;1),"⚠ Liquidación repetida en el mes",IF(AND(ISNUMBER(O2913),ISNUMBER(P2913),ISNUMBER(Q2913),ABS(O2913-P2913-Q2913)&gt;1),"⚠ Haberes − descuentos no da el líquido","OK"))))))</f>
        <v/>
      </c>
      <c r="V2913" s="62" t="str">
        <f aca="false">IF(C2913="","",IFERROR(VALUE(LEFT(UPPER(SUBSTITUTE(SUBSTITUTE(SUBSTITUTE(TRIM(C2913),".",""),"-","")," ","")),LEN(UPPER(SUBSTITUTE(SUBSTITUTE(SUBSTITUTE(TRIM(C2913),".",""),"-","")," ","")))-1))&amp;RIGHT(UPPER(SUBSTITUTE(SUBSTITUTE(SUBSTITUTE(TRIM(C2913),".",""),"-","")," ","")),1),UPPER(SUBSTITUTE(SUBSTITUTE(SUBSTITUTE(TRIM(C2913),".",""),"-","")," ",""))))</f>
        <v/>
      </c>
    </row>
    <row r="2914" customFormat="false" ht="15" hidden="false" customHeight="false" outlineLevel="0" collapsed="false">
      <c r="B2914" s="80"/>
      <c r="C2914" s="58"/>
      <c r="D2914" s="62" t="str">
        <f aca="false">IF(C2914="","",IFERROR(INDEX(T_NOMBRE,MATCH(V2914,T_RUTN,0)),"⚠ RUT no está en Trabajadores"))</f>
        <v/>
      </c>
      <c r="E2914" s="61"/>
      <c r="F2914" s="61"/>
      <c r="G2914" s="61"/>
      <c r="H2914" s="61"/>
      <c r="I2914" s="81"/>
      <c r="J2914" s="81"/>
      <c r="K2914" s="60"/>
      <c r="L2914" s="60"/>
      <c r="M2914" s="60"/>
      <c r="N2914" s="60"/>
      <c r="O2914" s="60"/>
      <c r="P2914" s="60"/>
      <c r="Q2914" s="60"/>
      <c r="R2914" s="58"/>
      <c r="S2914" s="62" t="str">
        <f aca="false">IF(OR(B2914="",V2914=""),"",IFERROR(INDEX(C_TIPO,MATCH(V2914&amp;"-P"&amp;MAX(1,COUNTIFS(C_RUTN,V2914,C_DEF,"Sí",C_INI,"&lt;="&amp;EOMONTH(B2914,0))),C_CLAVE,0))&amp;"","Sin contrato"))</f>
        <v/>
      </c>
      <c r="T2914" s="63" t="str">
        <f aca="false">IF(OR(B2914="",N(O2914)=0),"",N(O2914)+ROUND(MIN(N(N2914),TOPE_UF*UF_MES)*(TASA_EMP+MUTUAL),0)+ROUND(MIN(N(N2914),TOPE_AFC_UF*UF_MES)*IF(S2914="Indefinido",AFC_INDEF,AFC_PF),0))</f>
        <v/>
      </c>
      <c r="U2914" s="62" t="str">
        <f aca="false">IF(C2914="","",IF(LEFT(D2914,1)="⚠","⚠ RUT no registrado en Trabajadores",IF(B2914="","⚠ Falta el mes",IF(OR(ISTEXT(I2914),ISTEXT(J2914)),"⚠ Atrasos u horas extra como texto: escriba hh:mm (ej. 1:30)",IF(AND(ISNUMBER(Q2914),COUNTIFS(M_RUTN,V2914,M_MES,B2914,M_LIQ,"&lt;&gt;")&gt;1),"⚠ Liquidación repetida en el mes",IF(AND(ISNUMBER(O2914),ISNUMBER(P2914),ISNUMBER(Q2914),ABS(O2914-P2914-Q2914)&gt;1),"⚠ Haberes − descuentos no da el líquido","OK"))))))</f>
        <v/>
      </c>
      <c r="V2914" s="62" t="str">
        <f aca="false">IF(C2914="","",IFERROR(VALUE(LEFT(UPPER(SUBSTITUTE(SUBSTITUTE(SUBSTITUTE(TRIM(C2914),".",""),"-","")," ","")),LEN(UPPER(SUBSTITUTE(SUBSTITUTE(SUBSTITUTE(TRIM(C2914),".",""),"-","")," ","")))-1))&amp;RIGHT(UPPER(SUBSTITUTE(SUBSTITUTE(SUBSTITUTE(TRIM(C2914),".",""),"-","")," ","")),1),UPPER(SUBSTITUTE(SUBSTITUTE(SUBSTITUTE(TRIM(C2914),".",""),"-","")," ",""))))</f>
        <v/>
      </c>
    </row>
    <row r="2915" customFormat="false" ht="15" hidden="false" customHeight="false" outlineLevel="0" collapsed="false">
      <c r="B2915" s="80"/>
      <c r="C2915" s="58"/>
      <c r="D2915" s="62" t="str">
        <f aca="false">IF(C2915="","",IFERROR(INDEX(T_NOMBRE,MATCH(V2915,T_RUTN,0)),"⚠ RUT no está en Trabajadores"))</f>
        <v/>
      </c>
      <c r="E2915" s="61"/>
      <c r="F2915" s="61"/>
      <c r="G2915" s="61"/>
      <c r="H2915" s="61"/>
      <c r="I2915" s="81"/>
      <c r="J2915" s="81"/>
      <c r="K2915" s="60"/>
      <c r="L2915" s="60"/>
      <c r="M2915" s="60"/>
      <c r="N2915" s="60"/>
      <c r="O2915" s="60"/>
      <c r="P2915" s="60"/>
      <c r="Q2915" s="60"/>
      <c r="R2915" s="58"/>
      <c r="S2915" s="62" t="str">
        <f aca="false">IF(OR(B2915="",V2915=""),"",IFERROR(INDEX(C_TIPO,MATCH(V2915&amp;"-P"&amp;MAX(1,COUNTIFS(C_RUTN,V2915,C_DEF,"Sí",C_INI,"&lt;="&amp;EOMONTH(B2915,0))),C_CLAVE,0))&amp;"","Sin contrato"))</f>
        <v/>
      </c>
      <c r="T2915" s="63" t="str">
        <f aca="false">IF(OR(B2915="",N(O2915)=0),"",N(O2915)+ROUND(MIN(N(N2915),TOPE_UF*UF_MES)*(TASA_EMP+MUTUAL),0)+ROUND(MIN(N(N2915),TOPE_AFC_UF*UF_MES)*IF(S2915="Indefinido",AFC_INDEF,AFC_PF),0))</f>
        <v/>
      </c>
      <c r="U2915" s="62" t="str">
        <f aca="false">IF(C2915="","",IF(LEFT(D2915,1)="⚠","⚠ RUT no registrado en Trabajadores",IF(B2915="","⚠ Falta el mes",IF(OR(ISTEXT(I2915),ISTEXT(J2915)),"⚠ Atrasos u horas extra como texto: escriba hh:mm (ej. 1:30)",IF(AND(ISNUMBER(Q2915),COUNTIFS(M_RUTN,V2915,M_MES,B2915,M_LIQ,"&lt;&gt;")&gt;1),"⚠ Liquidación repetida en el mes",IF(AND(ISNUMBER(O2915),ISNUMBER(P2915),ISNUMBER(Q2915),ABS(O2915-P2915-Q2915)&gt;1),"⚠ Haberes − descuentos no da el líquido","OK"))))))</f>
        <v/>
      </c>
      <c r="V2915" s="62" t="str">
        <f aca="false">IF(C2915="","",IFERROR(VALUE(LEFT(UPPER(SUBSTITUTE(SUBSTITUTE(SUBSTITUTE(TRIM(C2915),".",""),"-","")," ","")),LEN(UPPER(SUBSTITUTE(SUBSTITUTE(SUBSTITUTE(TRIM(C2915),".",""),"-","")," ","")))-1))&amp;RIGHT(UPPER(SUBSTITUTE(SUBSTITUTE(SUBSTITUTE(TRIM(C2915),".",""),"-","")," ","")),1),UPPER(SUBSTITUTE(SUBSTITUTE(SUBSTITUTE(TRIM(C2915),".",""),"-","")," ",""))))</f>
        <v/>
      </c>
    </row>
    <row r="2916" customFormat="false" ht="15" hidden="false" customHeight="false" outlineLevel="0" collapsed="false">
      <c r="B2916" s="80"/>
      <c r="C2916" s="58"/>
      <c r="D2916" s="62" t="str">
        <f aca="false">IF(C2916="","",IFERROR(INDEX(T_NOMBRE,MATCH(V2916,T_RUTN,0)),"⚠ RUT no está en Trabajadores"))</f>
        <v/>
      </c>
      <c r="E2916" s="61"/>
      <c r="F2916" s="61"/>
      <c r="G2916" s="61"/>
      <c r="H2916" s="61"/>
      <c r="I2916" s="81"/>
      <c r="J2916" s="81"/>
      <c r="K2916" s="60"/>
      <c r="L2916" s="60"/>
      <c r="M2916" s="60"/>
      <c r="N2916" s="60"/>
      <c r="O2916" s="60"/>
      <c r="P2916" s="60"/>
      <c r="Q2916" s="60"/>
      <c r="R2916" s="58"/>
      <c r="S2916" s="62" t="str">
        <f aca="false">IF(OR(B2916="",V2916=""),"",IFERROR(INDEX(C_TIPO,MATCH(V2916&amp;"-P"&amp;MAX(1,COUNTIFS(C_RUTN,V2916,C_DEF,"Sí",C_INI,"&lt;="&amp;EOMONTH(B2916,0))),C_CLAVE,0))&amp;"","Sin contrato"))</f>
        <v/>
      </c>
      <c r="T2916" s="63" t="str">
        <f aca="false">IF(OR(B2916="",N(O2916)=0),"",N(O2916)+ROUND(MIN(N(N2916),TOPE_UF*UF_MES)*(TASA_EMP+MUTUAL),0)+ROUND(MIN(N(N2916),TOPE_AFC_UF*UF_MES)*IF(S2916="Indefinido",AFC_INDEF,AFC_PF),0))</f>
        <v/>
      </c>
      <c r="U2916" s="62" t="str">
        <f aca="false">IF(C2916="","",IF(LEFT(D2916,1)="⚠","⚠ RUT no registrado en Trabajadores",IF(B2916="","⚠ Falta el mes",IF(OR(ISTEXT(I2916),ISTEXT(J2916)),"⚠ Atrasos u horas extra como texto: escriba hh:mm (ej. 1:30)",IF(AND(ISNUMBER(Q2916),COUNTIFS(M_RUTN,V2916,M_MES,B2916,M_LIQ,"&lt;&gt;")&gt;1),"⚠ Liquidación repetida en el mes",IF(AND(ISNUMBER(O2916),ISNUMBER(P2916),ISNUMBER(Q2916),ABS(O2916-P2916-Q2916)&gt;1),"⚠ Haberes − descuentos no da el líquido","OK"))))))</f>
        <v/>
      </c>
      <c r="V2916" s="62" t="str">
        <f aca="false">IF(C2916="","",IFERROR(VALUE(LEFT(UPPER(SUBSTITUTE(SUBSTITUTE(SUBSTITUTE(TRIM(C2916),".",""),"-","")," ","")),LEN(UPPER(SUBSTITUTE(SUBSTITUTE(SUBSTITUTE(TRIM(C2916),".",""),"-","")," ","")))-1))&amp;RIGHT(UPPER(SUBSTITUTE(SUBSTITUTE(SUBSTITUTE(TRIM(C2916),".",""),"-","")," ","")),1),UPPER(SUBSTITUTE(SUBSTITUTE(SUBSTITUTE(TRIM(C2916),".",""),"-","")," ",""))))</f>
        <v/>
      </c>
    </row>
    <row r="2917" customFormat="false" ht="15" hidden="false" customHeight="false" outlineLevel="0" collapsed="false">
      <c r="B2917" s="80"/>
      <c r="C2917" s="58"/>
      <c r="D2917" s="62" t="str">
        <f aca="false">IF(C2917="","",IFERROR(INDEX(T_NOMBRE,MATCH(V2917,T_RUTN,0)),"⚠ RUT no está en Trabajadores"))</f>
        <v/>
      </c>
      <c r="E2917" s="61"/>
      <c r="F2917" s="61"/>
      <c r="G2917" s="61"/>
      <c r="H2917" s="61"/>
      <c r="I2917" s="81"/>
      <c r="J2917" s="81"/>
      <c r="K2917" s="60"/>
      <c r="L2917" s="60"/>
      <c r="M2917" s="60"/>
      <c r="N2917" s="60"/>
      <c r="O2917" s="60"/>
      <c r="P2917" s="60"/>
      <c r="Q2917" s="60"/>
      <c r="R2917" s="58"/>
      <c r="S2917" s="62" t="str">
        <f aca="false">IF(OR(B2917="",V2917=""),"",IFERROR(INDEX(C_TIPO,MATCH(V2917&amp;"-P"&amp;MAX(1,COUNTIFS(C_RUTN,V2917,C_DEF,"Sí",C_INI,"&lt;="&amp;EOMONTH(B2917,0))),C_CLAVE,0))&amp;"","Sin contrato"))</f>
        <v/>
      </c>
      <c r="T2917" s="63" t="str">
        <f aca="false">IF(OR(B2917="",N(O2917)=0),"",N(O2917)+ROUND(MIN(N(N2917),TOPE_UF*UF_MES)*(TASA_EMP+MUTUAL),0)+ROUND(MIN(N(N2917),TOPE_AFC_UF*UF_MES)*IF(S2917="Indefinido",AFC_INDEF,AFC_PF),0))</f>
        <v/>
      </c>
      <c r="U2917" s="62" t="str">
        <f aca="false">IF(C2917="","",IF(LEFT(D2917,1)="⚠","⚠ RUT no registrado en Trabajadores",IF(B2917="","⚠ Falta el mes",IF(OR(ISTEXT(I2917),ISTEXT(J2917)),"⚠ Atrasos u horas extra como texto: escriba hh:mm (ej. 1:30)",IF(AND(ISNUMBER(Q2917),COUNTIFS(M_RUTN,V2917,M_MES,B2917,M_LIQ,"&lt;&gt;")&gt;1),"⚠ Liquidación repetida en el mes",IF(AND(ISNUMBER(O2917),ISNUMBER(P2917),ISNUMBER(Q2917),ABS(O2917-P2917-Q2917)&gt;1),"⚠ Haberes − descuentos no da el líquido","OK"))))))</f>
        <v/>
      </c>
      <c r="V2917" s="62" t="str">
        <f aca="false">IF(C2917="","",IFERROR(VALUE(LEFT(UPPER(SUBSTITUTE(SUBSTITUTE(SUBSTITUTE(TRIM(C2917),".",""),"-","")," ","")),LEN(UPPER(SUBSTITUTE(SUBSTITUTE(SUBSTITUTE(TRIM(C2917),".",""),"-","")," ","")))-1))&amp;RIGHT(UPPER(SUBSTITUTE(SUBSTITUTE(SUBSTITUTE(TRIM(C2917),".",""),"-","")," ","")),1),UPPER(SUBSTITUTE(SUBSTITUTE(SUBSTITUTE(TRIM(C2917),".",""),"-","")," ",""))))</f>
        <v/>
      </c>
    </row>
    <row r="2918" customFormat="false" ht="15" hidden="false" customHeight="false" outlineLevel="0" collapsed="false">
      <c r="B2918" s="80"/>
      <c r="C2918" s="58"/>
      <c r="D2918" s="62" t="str">
        <f aca="false">IF(C2918="","",IFERROR(INDEX(T_NOMBRE,MATCH(V2918,T_RUTN,0)),"⚠ RUT no está en Trabajadores"))</f>
        <v/>
      </c>
      <c r="E2918" s="61"/>
      <c r="F2918" s="61"/>
      <c r="G2918" s="61"/>
      <c r="H2918" s="61"/>
      <c r="I2918" s="81"/>
      <c r="J2918" s="81"/>
      <c r="K2918" s="60"/>
      <c r="L2918" s="60"/>
      <c r="M2918" s="60"/>
      <c r="N2918" s="60"/>
      <c r="O2918" s="60"/>
      <c r="P2918" s="60"/>
      <c r="Q2918" s="60"/>
      <c r="R2918" s="58"/>
      <c r="S2918" s="62" t="str">
        <f aca="false">IF(OR(B2918="",V2918=""),"",IFERROR(INDEX(C_TIPO,MATCH(V2918&amp;"-P"&amp;MAX(1,COUNTIFS(C_RUTN,V2918,C_DEF,"Sí",C_INI,"&lt;="&amp;EOMONTH(B2918,0))),C_CLAVE,0))&amp;"","Sin contrato"))</f>
        <v/>
      </c>
      <c r="T2918" s="63" t="str">
        <f aca="false">IF(OR(B2918="",N(O2918)=0),"",N(O2918)+ROUND(MIN(N(N2918),TOPE_UF*UF_MES)*(TASA_EMP+MUTUAL),0)+ROUND(MIN(N(N2918),TOPE_AFC_UF*UF_MES)*IF(S2918="Indefinido",AFC_INDEF,AFC_PF),0))</f>
        <v/>
      </c>
      <c r="U2918" s="62" t="str">
        <f aca="false">IF(C2918="","",IF(LEFT(D2918,1)="⚠","⚠ RUT no registrado en Trabajadores",IF(B2918="","⚠ Falta el mes",IF(OR(ISTEXT(I2918),ISTEXT(J2918)),"⚠ Atrasos u horas extra como texto: escriba hh:mm (ej. 1:30)",IF(AND(ISNUMBER(Q2918),COUNTIFS(M_RUTN,V2918,M_MES,B2918,M_LIQ,"&lt;&gt;")&gt;1),"⚠ Liquidación repetida en el mes",IF(AND(ISNUMBER(O2918),ISNUMBER(P2918),ISNUMBER(Q2918),ABS(O2918-P2918-Q2918)&gt;1),"⚠ Haberes − descuentos no da el líquido","OK"))))))</f>
        <v/>
      </c>
      <c r="V2918" s="62" t="str">
        <f aca="false">IF(C2918="","",IFERROR(VALUE(LEFT(UPPER(SUBSTITUTE(SUBSTITUTE(SUBSTITUTE(TRIM(C2918),".",""),"-","")," ","")),LEN(UPPER(SUBSTITUTE(SUBSTITUTE(SUBSTITUTE(TRIM(C2918),".",""),"-","")," ","")))-1))&amp;RIGHT(UPPER(SUBSTITUTE(SUBSTITUTE(SUBSTITUTE(TRIM(C2918),".",""),"-","")," ","")),1),UPPER(SUBSTITUTE(SUBSTITUTE(SUBSTITUTE(TRIM(C2918),".",""),"-","")," ",""))))</f>
        <v/>
      </c>
    </row>
    <row r="2919" customFormat="false" ht="15" hidden="false" customHeight="false" outlineLevel="0" collapsed="false">
      <c r="B2919" s="80"/>
      <c r="C2919" s="58"/>
      <c r="D2919" s="62" t="str">
        <f aca="false">IF(C2919="","",IFERROR(INDEX(T_NOMBRE,MATCH(V2919,T_RUTN,0)),"⚠ RUT no está en Trabajadores"))</f>
        <v/>
      </c>
      <c r="E2919" s="61"/>
      <c r="F2919" s="61"/>
      <c r="G2919" s="61"/>
      <c r="H2919" s="61"/>
      <c r="I2919" s="81"/>
      <c r="J2919" s="81"/>
      <c r="K2919" s="60"/>
      <c r="L2919" s="60"/>
      <c r="M2919" s="60"/>
      <c r="N2919" s="60"/>
      <c r="O2919" s="60"/>
      <c r="P2919" s="60"/>
      <c r="Q2919" s="60"/>
      <c r="R2919" s="58"/>
      <c r="S2919" s="62" t="str">
        <f aca="false">IF(OR(B2919="",V2919=""),"",IFERROR(INDEX(C_TIPO,MATCH(V2919&amp;"-P"&amp;MAX(1,COUNTIFS(C_RUTN,V2919,C_DEF,"Sí",C_INI,"&lt;="&amp;EOMONTH(B2919,0))),C_CLAVE,0))&amp;"","Sin contrato"))</f>
        <v/>
      </c>
      <c r="T2919" s="63" t="str">
        <f aca="false">IF(OR(B2919="",N(O2919)=0),"",N(O2919)+ROUND(MIN(N(N2919),TOPE_UF*UF_MES)*(TASA_EMP+MUTUAL),0)+ROUND(MIN(N(N2919),TOPE_AFC_UF*UF_MES)*IF(S2919="Indefinido",AFC_INDEF,AFC_PF),0))</f>
        <v/>
      </c>
      <c r="U2919" s="62" t="str">
        <f aca="false">IF(C2919="","",IF(LEFT(D2919,1)="⚠","⚠ RUT no registrado en Trabajadores",IF(B2919="","⚠ Falta el mes",IF(OR(ISTEXT(I2919),ISTEXT(J2919)),"⚠ Atrasos u horas extra como texto: escriba hh:mm (ej. 1:30)",IF(AND(ISNUMBER(Q2919),COUNTIFS(M_RUTN,V2919,M_MES,B2919,M_LIQ,"&lt;&gt;")&gt;1),"⚠ Liquidación repetida en el mes",IF(AND(ISNUMBER(O2919),ISNUMBER(P2919),ISNUMBER(Q2919),ABS(O2919-P2919-Q2919)&gt;1),"⚠ Haberes − descuentos no da el líquido","OK"))))))</f>
        <v/>
      </c>
      <c r="V2919" s="62" t="str">
        <f aca="false">IF(C2919="","",IFERROR(VALUE(LEFT(UPPER(SUBSTITUTE(SUBSTITUTE(SUBSTITUTE(TRIM(C2919),".",""),"-","")," ","")),LEN(UPPER(SUBSTITUTE(SUBSTITUTE(SUBSTITUTE(TRIM(C2919),".",""),"-","")," ","")))-1))&amp;RIGHT(UPPER(SUBSTITUTE(SUBSTITUTE(SUBSTITUTE(TRIM(C2919),".",""),"-","")," ","")),1),UPPER(SUBSTITUTE(SUBSTITUTE(SUBSTITUTE(TRIM(C2919),".",""),"-","")," ",""))))</f>
        <v/>
      </c>
    </row>
    <row r="2920" customFormat="false" ht="15" hidden="false" customHeight="false" outlineLevel="0" collapsed="false">
      <c r="B2920" s="80"/>
      <c r="C2920" s="58"/>
      <c r="D2920" s="62" t="str">
        <f aca="false">IF(C2920="","",IFERROR(INDEX(T_NOMBRE,MATCH(V2920,T_RUTN,0)),"⚠ RUT no está en Trabajadores"))</f>
        <v/>
      </c>
      <c r="E2920" s="61"/>
      <c r="F2920" s="61"/>
      <c r="G2920" s="61"/>
      <c r="H2920" s="61"/>
      <c r="I2920" s="81"/>
      <c r="J2920" s="81"/>
      <c r="K2920" s="60"/>
      <c r="L2920" s="60"/>
      <c r="M2920" s="60"/>
      <c r="N2920" s="60"/>
      <c r="O2920" s="60"/>
      <c r="P2920" s="60"/>
      <c r="Q2920" s="60"/>
      <c r="R2920" s="58"/>
      <c r="S2920" s="62" t="str">
        <f aca="false">IF(OR(B2920="",V2920=""),"",IFERROR(INDEX(C_TIPO,MATCH(V2920&amp;"-P"&amp;MAX(1,COUNTIFS(C_RUTN,V2920,C_DEF,"Sí",C_INI,"&lt;="&amp;EOMONTH(B2920,0))),C_CLAVE,0))&amp;"","Sin contrato"))</f>
        <v/>
      </c>
      <c r="T2920" s="63" t="str">
        <f aca="false">IF(OR(B2920="",N(O2920)=0),"",N(O2920)+ROUND(MIN(N(N2920),TOPE_UF*UF_MES)*(TASA_EMP+MUTUAL),0)+ROUND(MIN(N(N2920),TOPE_AFC_UF*UF_MES)*IF(S2920="Indefinido",AFC_INDEF,AFC_PF),0))</f>
        <v/>
      </c>
      <c r="U2920" s="62" t="str">
        <f aca="false">IF(C2920="","",IF(LEFT(D2920,1)="⚠","⚠ RUT no registrado en Trabajadores",IF(B2920="","⚠ Falta el mes",IF(OR(ISTEXT(I2920),ISTEXT(J2920)),"⚠ Atrasos u horas extra como texto: escriba hh:mm (ej. 1:30)",IF(AND(ISNUMBER(Q2920),COUNTIFS(M_RUTN,V2920,M_MES,B2920,M_LIQ,"&lt;&gt;")&gt;1),"⚠ Liquidación repetida en el mes",IF(AND(ISNUMBER(O2920),ISNUMBER(P2920),ISNUMBER(Q2920),ABS(O2920-P2920-Q2920)&gt;1),"⚠ Haberes − descuentos no da el líquido","OK"))))))</f>
        <v/>
      </c>
      <c r="V2920" s="62" t="str">
        <f aca="false">IF(C2920="","",IFERROR(VALUE(LEFT(UPPER(SUBSTITUTE(SUBSTITUTE(SUBSTITUTE(TRIM(C2920),".",""),"-","")," ","")),LEN(UPPER(SUBSTITUTE(SUBSTITUTE(SUBSTITUTE(TRIM(C2920),".",""),"-","")," ","")))-1))&amp;RIGHT(UPPER(SUBSTITUTE(SUBSTITUTE(SUBSTITUTE(TRIM(C2920),".",""),"-","")," ","")),1),UPPER(SUBSTITUTE(SUBSTITUTE(SUBSTITUTE(TRIM(C2920),".",""),"-","")," ",""))))</f>
        <v/>
      </c>
    </row>
    <row r="2921" customFormat="false" ht="15" hidden="false" customHeight="false" outlineLevel="0" collapsed="false">
      <c r="B2921" s="80"/>
      <c r="C2921" s="58"/>
      <c r="D2921" s="62" t="str">
        <f aca="false">IF(C2921="","",IFERROR(INDEX(T_NOMBRE,MATCH(V2921,T_RUTN,0)),"⚠ RUT no está en Trabajadores"))</f>
        <v/>
      </c>
      <c r="E2921" s="61"/>
      <c r="F2921" s="61"/>
      <c r="G2921" s="61"/>
      <c r="H2921" s="61"/>
      <c r="I2921" s="81"/>
      <c r="J2921" s="81"/>
      <c r="K2921" s="60"/>
      <c r="L2921" s="60"/>
      <c r="M2921" s="60"/>
      <c r="N2921" s="60"/>
      <c r="O2921" s="60"/>
      <c r="P2921" s="60"/>
      <c r="Q2921" s="60"/>
      <c r="R2921" s="58"/>
      <c r="S2921" s="62" t="str">
        <f aca="false">IF(OR(B2921="",V2921=""),"",IFERROR(INDEX(C_TIPO,MATCH(V2921&amp;"-P"&amp;MAX(1,COUNTIFS(C_RUTN,V2921,C_DEF,"Sí",C_INI,"&lt;="&amp;EOMONTH(B2921,0))),C_CLAVE,0))&amp;"","Sin contrato"))</f>
        <v/>
      </c>
      <c r="T2921" s="63" t="str">
        <f aca="false">IF(OR(B2921="",N(O2921)=0),"",N(O2921)+ROUND(MIN(N(N2921),TOPE_UF*UF_MES)*(TASA_EMP+MUTUAL),0)+ROUND(MIN(N(N2921),TOPE_AFC_UF*UF_MES)*IF(S2921="Indefinido",AFC_INDEF,AFC_PF),0))</f>
        <v/>
      </c>
      <c r="U2921" s="62" t="str">
        <f aca="false">IF(C2921="","",IF(LEFT(D2921,1)="⚠","⚠ RUT no registrado en Trabajadores",IF(B2921="","⚠ Falta el mes",IF(OR(ISTEXT(I2921),ISTEXT(J2921)),"⚠ Atrasos u horas extra como texto: escriba hh:mm (ej. 1:30)",IF(AND(ISNUMBER(Q2921),COUNTIFS(M_RUTN,V2921,M_MES,B2921,M_LIQ,"&lt;&gt;")&gt;1),"⚠ Liquidación repetida en el mes",IF(AND(ISNUMBER(O2921),ISNUMBER(P2921),ISNUMBER(Q2921),ABS(O2921-P2921-Q2921)&gt;1),"⚠ Haberes − descuentos no da el líquido","OK"))))))</f>
        <v/>
      </c>
      <c r="V2921" s="62" t="str">
        <f aca="false">IF(C2921="","",IFERROR(VALUE(LEFT(UPPER(SUBSTITUTE(SUBSTITUTE(SUBSTITUTE(TRIM(C2921),".",""),"-","")," ","")),LEN(UPPER(SUBSTITUTE(SUBSTITUTE(SUBSTITUTE(TRIM(C2921),".",""),"-","")," ","")))-1))&amp;RIGHT(UPPER(SUBSTITUTE(SUBSTITUTE(SUBSTITUTE(TRIM(C2921),".",""),"-","")," ","")),1),UPPER(SUBSTITUTE(SUBSTITUTE(SUBSTITUTE(TRIM(C2921),".",""),"-","")," ",""))))</f>
        <v/>
      </c>
    </row>
    <row r="2922" customFormat="false" ht="15" hidden="false" customHeight="false" outlineLevel="0" collapsed="false">
      <c r="B2922" s="80"/>
      <c r="C2922" s="58"/>
      <c r="D2922" s="62" t="str">
        <f aca="false">IF(C2922="","",IFERROR(INDEX(T_NOMBRE,MATCH(V2922,T_RUTN,0)),"⚠ RUT no está en Trabajadores"))</f>
        <v/>
      </c>
      <c r="E2922" s="61"/>
      <c r="F2922" s="61"/>
      <c r="G2922" s="61"/>
      <c r="H2922" s="61"/>
      <c r="I2922" s="81"/>
      <c r="J2922" s="81"/>
      <c r="K2922" s="60"/>
      <c r="L2922" s="60"/>
      <c r="M2922" s="60"/>
      <c r="N2922" s="60"/>
      <c r="O2922" s="60"/>
      <c r="P2922" s="60"/>
      <c r="Q2922" s="60"/>
      <c r="R2922" s="58"/>
      <c r="S2922" s="62" t="str">
        <f aca="false">IF(OR(B2922="",V2922=""),"",IFERROR(INDEX(C_TIPO,MATCH(V2922&amp;"-P"&amp;MAX(1,COUNTIFS(C_RUTN,V2922,C_DEF,"Sí",C_INI,"&lt;="&amp;EOMONTH(B2922,0))),C_CLAVE,0))&amp;"","Sin contrato"))</f>
        <v/>
      </c>
      <c r="T2922" s="63" t="str">
        <f aca="false">IF(OR(B2922="",N(O2922)=0),"",N(O2922)+ROUND(MIN(N(N2922),TOPE_UF*UF_MES)*(TASA_EMP+MUTUAL),0)+ROUND(MIN(N(N2922),TOPE_AFC_UF*UF_MES)*IF(S2922="Indefinido",AFC_INDEF,AFC_PF),0))</f>
        <v/>
      </c>
      <c r="U2922" s="62" t="str">
        <f aca="false">IF(C2922="","",IF(LEFT(D2922,1)="⚠","⚠ RUT no registrado en Trabajadores",IF(B2922="","⚠ Falta el mes",IF(OR(ISTEXT(I2922),ISTEXT(J2922)),"⚠ Atrasos u horas extra como texto: escriba hh:mm (ej. 1:30)",IF(AND(ISNUMBER(Q2922),COUNTIFS(M_RUTN,V2922,M_MES,B2922,M_LIQ,"&lt;&gt;")&gt;1),"⚠ Liquidación repetida en el mes",IF(AND(ISNUMBER(O2922),ISNUMBER(P2922),ISNUMBER(Q2922),ABS(O2922-P2922-Q2922)&gt;1),"⚠ Haberes − descuentos no da el líquido","OK"))))))</f>
        <v/>
      </c>
      <c r="V2922" s="62" t="str">
        <f aca="false">IF(C2922="","",IFERROR(VALUE(LEFT(UPPER(SUBSTITUTE(SUBSTITUTE(SUBSTITUTE(TRIM(C2922),".",""),"-","")," ","")),LEN(UPPER(SUBSTITUTE(SUBSTITUTE(SUBSTITUTE(TRIM(C2922),".",""),"-","")," ","")))-1))&amp;RIGHT(UPPER(SUBSTITUTE(SUBSTITUTE(SUBSTITUTE(TRIM(C2922),".",""),"-","")," ","")),1),UPPER(SUBSTITUTE(SUBSTITUTE(SUBSTITUTE(TRIM(C2922),".",""),"-","")," ",""))))</f>
        <v/>
      </c>
    </row>
    <row r="2923" customFormat="false" ht="15" hidden="false" customHeight="false" outlineLevel="0" collapsed="false">
      <c r="B2923" s="80"/>
      <c r="C2923" s="58"/>
      <c r="D2923" s="62" t="str">
        <f aca="false">IF(C2923="","",IFERROR(INDEX(T_NOMBRE,MATCH(V2923,T_RUTN,0)),"⚠ RUT no está en Trabajadores"))</f>
        <v/>
      </c>
      <c r="E2923" s="61"/>
      <c r="F2923" s="61"/>
      <c r="G2923" s="61"/>
      <c r="H2923" s="61"/>
      <c r="I2923" s="81"/>
      <c r="J2923" s="81"/>
      <c r="K2923" s="60"/>
      <c r="L2923" s="60"/>
      <c r="M2923" s="60"/>
      <c r="N2923" s="60"/>
      <c r="O2923" s="60"/>
      <c r="P2923" s="60"/>
      <c r="Q2923" s="60"/>
      <c r="R2923" s="58"/>
      <c r="S2923" s="62" t="str">
        <f aca="false">IF(OR(B2923="",V2923=""),"",IFERROR(INDEX(C_TIPO,MATCH(V2923&amp;"-P"&amp;MAX(1,COUNTIFS(C_RUTN,V2923,C_DEF,"Sí",C_INI,"&lt;="&amp;EOMONTH(B2923,0))),C_CLAVE,0))&amp;"","Sin contrato"))</f>
        <v/>
      </c>
      <c r="T2923" s="63" t="str">
        <f aca="false">IF(OR(B2923="",N(O2923)=0),"",N(O2923)+ROUND(MIN(N(N2923),TOPE_UF*UF_MES)*(TASA_EMP+MUTUAL),0)+ROUND(MIN(N(N2923),TOPE_AFC_UF*UF_MES)*IF(S2923="Indefinido",AFC_INDEF,AFC_PF),0))</f>
        <v/>
      </c>
      <c r="U2923" s="62" t="str">
        <f aca="false">IF(C2923="","",IF(LEFT(D2923,1)="⚠","⚠ RUT no registrado en Trabajadores",IF(B2923="","⚠ Falta el mes",IF(OR(ISTEXT(I2923),ISTEXT(J2923)),"⚠ Atrasos u horas extra como texto: escriba hh:mm (ej. 1:30)",IF(AND(ISNUMBER(Q2923),COUNTIFS(M_RUTN,V2923,M_MES,B2923,M_LIQ,"&lt;&gt;")&gt;1),"⚠ Liquidación repetida en el mes",IF(AND(ISNUMBER(O2923),ISNUMBER(P2923),ISNUMBER(Q2923),ABS(O2923-P2923-Q2923)&gt;1),"⚠ Haberes − descuentos no da el líquido","OK"))))))</f>
        <v/>
      </c>
      <c r="V2923" s="62" t="str">
        <f aca="false">IF(C2923="","",IFERROR(VALUE(LEFT(UPPER(SUBSTITUTE(SUBSTITUTE(SUBSTITUTE(TRIM(C2923),".",""),"-","")," ","")),LEN(UPPER(SUBSTITUTE(SUBSTITUTE(SUBSTITUTE(TRIM(C2923),".",""),"-","")," ","")))-1))&amp;RIGHT(UPPER(SUBSTITUTE(SUBSTITUTE(SUBSTITUTE(TRIM(C2923),".",""),"-","")," ","")),1),UPPER(SUBSTITUTE(SUBSTITUTE(SUBSTITUTE(TRIM(C2923),".",""),"-","")," ",""))))</f>
        <v/>
      </c>
    </row>
    <row r="2924" customFormat="false" ht="15" hidden="false" customHeight="false" outlineLevel="0" collapsed="false">
      <c r="B2924" s="80"/>
      <c r="C2924" s="58"/>
      <c r="D2924" s="62" t="str">
        <f aca="false">IF(C2924="","",IFERROR(INDEX(T_NOMBRE,MATCH(V2924,T_RUTN,0)),"⚠ RUT no está en Trabajadores"))</f>
        <v/>
      </c>
      <c r="E2924" s="61"/>
      <c r="F2924" s="61"/>
      <c r="G2924" s="61"/>
      <c r="H2924" s="61"/>
      <c r="I2924" s="81"/>
      <c r="J2924" s="81"/>
      <c r="K2924" s="60"/>
      <c r="L2924" s="60"/>
      <c r="M2924" s="60"/>
      <c r="N2924" s="60"/>
      <c r="O2924" s="60"/>
      <c r="P2924" s="60"/>
      <c r="Q2924" s="60"/>
      <c r="R2924" s="58"/>
      <c r="S2924" s="62" t="str">
        <f aca="false">IF(OR(B2924="",V2924=""),"",IFERROR(INDEX(C_TIPO,MATCH(V2924&amp;"-P"&amp;MAX(1,COUNTIFS(C_RUTN,V2924,C_DEF,"Sí",C_INI,"&lt;="&amp;EOMONTH(B2924,0))),C_CLAVE,0))&amp;"","Sin contrato"))</f>
        <v/>
      </c>
      <c r="T2924" s="63" t="str">
        <f aca="false">IF(OR(B2924="",N(O2924)=0),"",N(O2924)+ROUND(MIN(N(N2924),TOPE_UF*UF_MES)*(TASA_EMP+MUTUAL),0)+ROUND(MIN(N(N2924),TOPE_AFC_UF*UF_MES)*IF(S2924="Indefinido",AFC_INDEF,AFC_PF),0))</f>
        <v/>
      </c>
      <c r="U2924" s="62" t="str">
        <f aca="false">IF(C2924="","",IF(LEFT(D2924,1)="⚠","⚠ RUT no registrado en Trabajadores",IF(B2924="","⚠ Falta el mes",IF(OR(ISTEXT(I2924),ISTEXT(J2924)),"⚠ Atrasos u horas extra como texto: escriba hh:mm (ej. 1:30)",IF(AND(ISNUMBER(Q2924),COUNTIFS(M_RUTN,V2924,M_MES,B2924,M_LIQ,"&lt;&gt;")&gt;1),"⚠ Liquidación repetida en el mes",IF(AND(ISNUMBER(O2924),ISNUMBER(P2924),ISNUMBER(Q2924),ABS(O2924-P2924-Q2924)&gt;1),"⚠ Haberes − descuentos no da el líquido","OK"))))))</f>
        <v/>
      </c>
      <c r="V2924" s="62" t="str">
        <f aca="false">IF(C2924="","",IFERROR(VALUE(LEFT(UPPER(SUBSTITUTE(SUBSTITUTE(SUBSTITUTE(TRIM(C2924),".",""),"-","")," ","")),LEN(UPPER(SUBSTITUTE(SUBSTITUTE(SUBSTITUTE(TRIM(C2924),".",""),"-","")," ","")))-1))&amp;RIGHT(UPPER(SUBSTITUTE(SUBSTITUTE(SUBSTITUTE(TRIM(C2924),".",""),"-","")," ","")),1),UPPER(SUBSTITUTE(SUBSTITUTE(SUBSTITUTE(TRIM(C2924),".",""),"-","")," ",""))))</f>
        <v/>
      </c>
    </row>
    <row r="2925" customFormat="false" ht="15" hidden="false" customHeight="false" outlineLevel="0" collapsed="false">
      <c r="B2925" s="80"/>
      <c r="C2925" s="58"/>
      <c r="D2925" s="62" t="str">
        <f aca="false">IF(C2925="","",IFERROR(INDEX(T_NOMBRE,MATCH(V2925,T_RUTN,0)),"⚠ RUT no está en Trabajadores"))</f>
        <v/>
      </c>
      <c r="E2925" s="61"/>
      <c r="F2925" s="61"/>
      <c r="G2925" s="61"/>
      <c r="H2925" s="61"/>
      <c r="I2925" s="81"/>
      <c r="J2925" s="81"/>
      <c r="K2925" s="60"/>
      <c r="L2925" s="60"/>
      <c r="M2925" s="60"/>
      <c r="N2925" s="60"/>
      <c r="O2925" s="60"/>
      <c r="P2925" s="60"/>
      <c r="Q2925" s="60"/>
      <c r="R2925" s="58"/>
      <c r="S2925" s="62" t="str">
        <f aca="false">IF(OR(B2925="",V2925=""),"",IFERROR(INDEX(C_TIPO,MATCH(V2925&amp;"-P"&amp;MAX(1,COUNTIFS(C_RUTN,V2925,C_DEF,"Sí",C_INI,"&lt;="&amp;EOMONTH(B2925,0))),C_CLAVE,0))&amp;"","Sin contrato"))</f>
        <v/>
      </c>
      <c r="T2925" s="63" t="str">
        <f aca="false">IF(OR(B2925="",N(O2925)=0),"",N(O2925)+ROUND(MIN(N(N2925),TOPE_UF*UF_MES)*(TASA_EMP+MUTUAL),0)+ROUND(MIN(N(N2925),TOPE_AFC_UF*UF_MES)*IF(S2925="Indefinido",AFC_INDEF,AFC_PF),0))</f>
        <v/>
      </c>
      <c r="U2925" s="62" t="str">
        <f aca="false">IF(C2925="","",IF(LEFT(D2925,1)="⚠","⚠ RUT no registrado en Trabajadores",IF(B2925="","⚠ Falta el mes",IF(OR(ISTEXT(I2925),ISTEXT(J2925)),"⚠ Atrasos u horas extra como texto: escriba hh:mm (ej. 1:30)",IF(AND(ISNUMBER(Q2925),COUNTIFS(M_RUTN,V2925,M_MES,B2925,M_LIQ,"&lt;&gt;")&gt;1),"⚠ Liquidación repetida en el mes",IF(AND(ISNUMBER(O2925),ISNUMBER(P2925),ISNUMBER(Q2925),ABS(O2925-P2925-Q2925)&gt;1),"⚠ Haberes − descuentos no da el líquido","OK"))))))</f>
        <v/>
      </c>
      <c r="V2925" s="62" t="str">
        <f aca="false">IF(C2925="","",IFERROR(VALUE(LEFT(UPPER(SUBSTITUTE(SUBSTITUTE(SUBSTITUTE(TRIM(C2925),".",""),"-","")," ","")),LEN(UPPER(SUBSTITUTE(SUBSTITUTE(SUBSTITUTE(TRIM(C2925),".",""),"-","")," ","")))-1))&amp;RIGHT(UPPER(SUBSTITUTE(SUBSTITUTE(SUBSTITUTE(TRIM(C2925),".",""),"-","")," ","")),1),UPPER(SUBSTITUTE(SUBSTITUTE(SUBSTITUTE(TRIM(C2925),".",""),"-","")," ",""))))</f>
        <v/>
      </c>
    </row>
    <row r="2926" customFormat="false" ht="15" hidden="false" customHeight="false" outlineLevel="0" collapsed="false">
      <c r="B2926" s="80"/>
      <c r="C2926" s="58"/>
      <c r="D2926" s="62" t="str">
        <f aca="false">IF(C2926="","",IFERROR(INDEX(T_NOMBRE,MATCH(V2926,T_RUTN,0)),"⚠ RUT no está en Trabajadores"))</f>
        <v/>
      </c>
      <c r="E2926" s="61"/>
      <c r="F2926" s="61"/>
      <c r="G2926" s="61"/>
      <c r="H2926" s="61"/>
      <c r="I2926" s="81"/>
      <c r="J2926" s="81"/>
      <c r="K2926" s="60"/>
      <c r="L2926" s="60"/>
      <c r="M2926" s="60"/>
      <c r="N2926" s="60"/>
      <c r="O2926" s="60"/>
      <c r="P2926" s="60"/>
      <c r="Q2926" s="60"/>
      <c r="R2926" s="58"/>
      <c r="S2926" s="62" t="str">
        <f aca="false">IF(OR(B2926="",V2926=""),"",IFERROR(INDEX(C_TIPO,MATCH(V2926&amp;"-P"&amp;MAX(1,COUNTIFS(C_RUTN,V2926,C_DEF,"Sí",C_INI,"&lt;="&amp;EOMONTH(B2926,0))),C_CLAVE,0))&amp;"","Sin contrato"))</f>
        <v/>
      </c>
      <c r="T2926" s="63" t="str">
        <f aca="false">IF(OR(B2926="",N(O2926)=0),"",N(O2926)+ROUND(MIN(N(N2926),TOPE_UF*UF_MES)*(TASA_EMP+MUTUAL),0)+ROUND(MIN(N(N2926),TOPE_AFC_UF*UF_MES)*IF(S2926="Indefinido",AFC_INDEF,AFC_PF),0))</f>
        <v/>
      </c>
      <c r="U2926" s="62" t="str">
        <f aca="false">IF(C2926="","",IF(LEFT(D2926,1)="⚠","⚠ RUT no registrado en Trabajadores",IF(B2926="","⚠ Falta el mes",IF(OR(ISTEXT(I2926),ISTEXT(J2926)),"⚠ Atrasos u horas extra como texto: escriba hh:mm (ej. 1:30)",IF(AND(ISNUMBER(Q2926),COUNTIFS(M_RUTN,V2926,M_MES,B2926,M_LIQ,"&lt;&gt;")&gt;1),"⚠ Liquidación repetida en el mes",IF(AND(ISNUMBER(O2926),ISNUMBER(P2926),ISNUMBER(Q2926),ABS(O2926-P2926-Q2926)&gt;1),"⚠ Haberes − descuentos no da el líquido","OK"))))))</f>
        <v/>
      </c>
      <c r="V2926" s="62" t="str">
        <f aca="false">IF(C2926="","",IFERROR(VALUE(LEFT(UPPER(SUBSTITUTE(SUBSTITUTE(SUBSTITUTE(TRIM(C2926),".",""),"-","")," ","")),LEN(UPPER(SUBSTITUTE(SUBSTITUTE(SUBSTITUTE(TRIM(C2926),".",""),"-","")," ","")))-1))&amp;RIGHT(UPPER(SUBSTITUTE(SUBSTITUTE(SUBSTITUTE(TRIM(C2926),".",""),"-","")," ","")),1),UPPER(SUBSTITUTE(SUBSTITUTE(SUBSTITUTE(TRIM(C2926),".",""),"-","")," ",""))))</f>
        <v/>
      </c>
    </row>
    <row r="2927" customFormat="false" ht="15" hidden="false" customHeight="false" outlineLevel="0" collapsed="false">
      <c r="B2927" s="80"/>
      <c r="C2927" s="58"/>
      <c r="D2927" s="62" t="str">
        <f aca="false">IF(C2927="","",IFERROR(INDEX(T_NOMBRE,MATCH(V2927,T_RUTN,0)),"⚠ RUT no está en Trabajadores"))</f>
        <v/>
      </c>
      <c r="E2927" s="61"/>
      <c r="F2927" s="61"/>
      <c r="G2927" s="61"/>
      <c r="H2927" s="61"/>
      <c r="I2927" s="81"/>
      <c r="J2927" s="81"/>
      <c r="K2927" s="60"/>
      <c r="L2927" s="60"/>
      <c r="M2927" s="60"/>
      <c r="N2927" s="60"/>
      <c r="O2927" s="60"/>
      <c r="P2927" s="60"/>
      <c r="Q2927" s="60"/>
      <c r="R2927" s="58"/>
      <c r="S2927" s="62" t="str">
        <f aca="false">IF(OR(B2927="",V2927=""),"",IFERROR(INDEX(C_TIPO,MATCH(V2927&amp;"-P"&amp;MAX(1,COUNTIFS(C_RUTN,V2927,C_DEF,"Sí",C_INI,"&lt;="&amp;EOMONTH(B2927,0))),C_CLAVE,0))&amp;"","Sin contrato"))</f>
        <v/>
      </c>
      <c r="T2927" s="63" t="str">
        <f aca="false">IF(OR(B2927="",N(O2927)=0),"",N(O2927)+ROUND(MIN(N(N2927),TOPE_UF*UF_MES)*(TASA_EMP+MUTUAL),0)+ROUND(MIN(N(N2927),TOPE_AFC_UF*UF_MES)*IF(S2927="Indefinido",AFC_INDEF,AFC_PF),0))</f>
        <v/>
      </c>
      <c r="U2927" s="62" t="str">
        <f aca="false">IF(C2927="","",IF(LEFT(D2927,1)="⚠","⚠ RUT no registrado en Trabajadores",IF(B2927="","⚠ Falta el mes",IF(OR(ISTEXT(I2927),ISTEXT(J2927)),"⚠ Atrasos u horas extra como texto: escriba hh:mm (ej. 1:30)",IF(AND(ISNUMBER(Q2927),COUNTIFS(M_RUTN,V2927,M_MES,B2927,M_LIQ,"&lt;&gt;")&gt;1),"⚠ Liquidación repetida en el mes",IF(AND(ISNUMBER(O2927),ISNUMBER(P2927),ISNUMBER(Q2927),ABS(O2927-P2927-Q2927)&gt;1),"⚠ Haberes − descuentos no da el líquido","OK"))))))</f>
        <v/>
      </c>
      <c r="V2927" s="62" t="str">
        <f aca="false">IF(C2927="","",IFERROR(VALUE(LEFT(UPPER(SUBSTITUTE(SUBSTITUTE(SUBSTITUTE(TRIM(C2927),".",""),"-","")," ","")),LEN(UPPER(SUBSTITUTE(SUBSTITUTE(SUBSTITUTE(TRIM(C2927),".",""),"-","")," ","")))-1))&amp;RIGHT(UPPER(SUBSTITUTE(SUBSTITUTE(SUBSTITUTE(TRIM(C2927),".",""),"-","")," ","")),1),UPPER(SUBSTITUTE(SUBSTITUTE(SUBSTITUTE(TRIM(C2927),".",""),"-","")," ",""))))</f>
        <v/>
      </c>
    </row>
    <row r="2928" customFormat="false" ht="15" hidden="false" customHeight="false" outlineLevel="0" collapsed="false">
      <c r="B2928" s="80"/>
      <c r="C2928" s="58"/>
      <c r="D2928" s="62" t="str">
        <f aca="false">IF(C2928="","",IFERROR(INDEX(T_NOMBRE,MATCH(V2928,T_RUTN,0)),"⚠ RUT no está en Trabajadores"))</f>
        <v/>
      </c>
      <c r="E2928" s="61"/>
      <c r="F2928" s="61"/>
      <c r="G2928" s="61"/>
      <c r="H2928" s="61"/>
      <c r="I2928" s="81"/>
      <c r="J2928" s="81"/>
      <c r="K2928" s="60"/>
      <c r="L2928" s="60"/>
      <c r="M2928" s="60"/>
      <c r="N2928" s="60"/>
      <c r="O2928" s="60"/>
      <c r="P2928" s="60"/>
      <c r="Q2928" s="60"/>
      <c r="R2928" s="58"/>
      <c r="S2928" s="62" t="str">
        <f aca="false">IF(OR(B2928="",V2928=""),"",IFERROR(INDEX(C_TIPO,MATCH(V2928&amp;"-P"&amp;MAX(1,COUNTIFS(C_RUTN,V2928,C_DEF,"Sí",C_INI,"&lt;="&amp;EOMONTH(B2928,0))),C_CLAVE,0))&amp;"","Sin contrato"))</f>
        <v/>
      </c>
      <c r="T2928" s="63" t="str">
        <f aca="false">IF(OR(B2928="",N(O2928)=0),"",N(O2928)+ROUND(MIN(N(N2928),TOPE_UF*UF_MES)*(TASA_EMP+MUTUAL),0)+ROUND(MIN(N(N2928),TOPE_AFC_UF*UF_MES)*IF(S2928="Indefinido",AFC_INDEF,AFC_PF),0))</f>
        <v/>
      </c>
      <c r="U2928" s="62" t="str">
        <f aca="false">IF(C2928="","",IF(LEFT(D2928,1)="⚠","⚠ RUT no registrado en Trabajadores",IF(B2928="","⚠ Falta el mes",IF(OR(ISTEXT(I2928),ISTEXT(J2928)),"⚠ Atrasos u horas extra como texto: escriba hh:mm (ej. 1:30)",IF(AND(ISNUMBER(Q2928),COUNTIFS(M_RUTN,V2928,M_MES,B2928,M_LIQ,"&lt;&gt;")&gt;1),"⚠ Liquidación repetida en el mes",IF(AND(ISNUMBER(O2928),ISNUMBER(P2928),ISNUMBER(Q2928),ABS(O2928-P2928-Q2928)&gt;1),"⚠ Haberes − descuentos no da el líquido","OK"))))))</f>
        <v/>
      </c>
      <c r="V2928" s="62" t="str">
        <f aca="false">IF(C2928="","",IFERROR(VALUE(LEFT(UPPER(SUBSTITUTE(SUBSTITUTE(SUBSTITUTE(TRIM(C2928),".",""),"-","")," ","")),LEN(UPPER(SUBSTITUTE(SUBSTITUTE(SUBSTITUTE(TRIM(C2928),".",""),"-","")," ","")))-1))&amp;RIGHT(UPPER(SUBSTITUTE(SUBSTITUTE(SUBSTITUTE(TRIM(C2928),".",""),"-","")," ","")),1),UPPER(SUBSTITUTE(SUBSTITUTE(SUBSTITUTE(TRIM(C2928),".",""),"-","")," ",""))))</f>
        <v/>
      </c>
    </row>
    <row r="2929" customFormat="false" ht="15" hidden="false" customHeight="false" outlineLevel="0" collapsed="false">
      <c r="B2929" s="80"/>
      <c r="C2929" s="58"/>
      <c r="D2929" s="62" t="str">
        <f aca="false">IF(C2929="","",IFERROR(INDEX(T_NOMBRE,MATCH(V2929,T_RUTN,0)),"⚠ RUT no está en Trabajadores"))</f>
        <v/>
      </c>
      <c r="E2929" s="61"/>
      <c r="F2929" s="61"/>
      <c r="G2929" s="61"/>
      <c r="H2929" s="61"/>
      <c r="I2929" s="81"/>
      <c r="J2929" s="81"/>
      <c r="K2929" s="60"/>
      <c r="L2929" s="60"/>
      <c r="M2929" s="60"/>
      <c r="N2929" s="60"/>
      <c r="O2929" s="60"/>
      <c r="P2929" s="60"/>
      <c r="Q2929" s="60"/>
      <c r="R2929" s="58"/>
      <c r="S2929" s="62" t="str">
        <f aca="false">IF(OR(B2929="",V2929=""),"",IFERROR(INDEX(C_TIPO,MATCH(V2929&amp;"-P"&amp;MAX(1,COUNTIFS(C_RUTN,V2929,C_DEF,"Sí",C_INI,"&lt;="&amp;EOMONTH(B2929,0))),C_CLAVE,0))&amp;"","Sin contrato"))</f>
        <v/>
      </c>
      <c r="T2929" s="63" t="str">
        <f aca="false">IF(OR(B2929="",N(O2929)=0),"",N(O2929)+ROUND(MIN(N(N2929),TOPE_UF*UF_MES)*(TASA_EMP+MUTUAL),0)+ROUND(MIN(N(N2929),TOPE_AFC_UF*UF_MES)*IF(S2929="Indefinido",AFC_INDEF,AFC_PF),0))</f>
        <v/>
      </c>
      <c r="U2929" s="62" t="str">
        <f aca="false">IF(C2929="","",IF(LEFT(D2929,1)="⚠","⚠ RUT no registrado en Trabajadores",IF(B2929="","⚠ Falta el mes",IF(OR(ISTEXT(I2929),ISTEXT(J2929)),"⚠ Atrasos u horas extra como texto: escriba hh:mm (ej. 1:30)",IF(AND(ISNUMBER(Q2929),COUNTIFS(M_RUTN,V2929,M_MES,B2929,M_LIQ,"&lt;&gt;")&gt;1),"⚠ Liquidación repetida en el mes",IF(AND(ISNUMBER(O2929),ISNUMBER(P2929),ISNUMBER(Q2929),ABS(O2929-P2929-Q2929)&gt;1),"⚠ Haberes − descuentos no da el líquido","OK"))))))</f>
        <v/>
      </c>
      <c r="V2929" s="62" t="str">
        <f aca="false">IF(C2929="","",IFERROR(VALUE(LEFT(UPPER(SUBSTITUTE(SUBSTITUTE(SUBSTITUTE(TRIM(C2929),".",""),"-","")," ","")),LEN(UPPER(SUBSTITUTE(SUBSTITUTE(SUBSTITUTE(TRIM(C2929),".",""),"-","")," ","")))-1))&amp;RIGHT(UPPER(SUBSTITUTE(SUBSTITUTE(SUBSTITUTE(TRIM(C2929),".",""),"-","")," ","")),1),UPPER(SUBSTITUTE(SUBSTITUTE(SUBSTITUTE(TRIM(C2929),".",""),"-","")," ",""))))</f>
        <v/>
      </c>
    </row>
    <row r="2930" customFormat="false" ht="15" hidden="false" customHeight="false" outlineLevel="0" collapsed="false">
      <c r="B2930" s="80"/>
      <c r="C2930" s="58"/>
      <c r="D2930" s="62" t="str">
        <f aca="false">IF(C2930="","",IFERROR(INDEX(T_NOMBRE,MATCH(V2930,T_RUTN,0)),"⚠ RUT no está en Trabajadores"))</f>
        <v/>
      </c>
      <c r="E2930" s="61"/>
      <c r="F2930" s="61"/>
      <c r="G2930" s="61"/>
      <c r="H2930" s="61"/>
      <c r="I2930" s="81"/>
      <c r="J2930" s="81"/>
      <c r="K2930" s="60"/>
      <c r="L2930" s="60"/>
      <c r="M2930" s="60"/>
      <c r="N2930" s="60"/>
      <c r="O2930" s="60"/>
      <c r="P2930" s="60"/>
      <c r="Q2930" s="60"/>
      <c r="R2930" s="58"/>
      <c r="S2930" s="62" t="str">
        <f aca="false">IF(OR(B2930="",V2930=""),"",IFERROR(INDEX(C_TIPO,MATCH(V2930&amp;"-P"&amp;MAX(1,COUNTIFS(C_RUTN,V2930,C_DEF,"Sí",C_INI,"&lt;="&amp;EOMONTH(B2930,0))),C_CLAVE,0))&amp;"","Sin contrato"))</f>
        <v/>
      </c>
      <c r="T2930" s="63" t="str">
        <f aca="false">IF(OR(B2930="",N(O2930)=0),"",N(O2930)+ROUND(MIN(N(N2930),TOPE_UF*UF_MES)*(TASA_EMP+MUTUAL),0)+ROUND(MIN(N(N2930),TOPE_AFC_UF*UF_MES)*IF(S2930="Indefinido",AFC_INDEF,AFC_PF),0))</f>
        <v/>
      </c>
      <c r="U2930" s="62" t="str">
        <f aca="false">IF(C2930="","",IF(LEFT(D2930,1)="⚠","⚠ RUT no registrado en Trabajadores",IF(B2930="","⚠ Falta el mes",IF(OR(ISTEXT(I2930),ISTEXT(J2930)),"⚠ Atrasos u horas extra como texto: escriba hh:mm (ej. 1:30)",IF(AND(ISNUMBER(Q2930),COUNTIFS(M_RUTN,V2930,M_MES,B2930,M_LIQ,"&lt;&gt;")&gt;1),"⚠ Liquidación repetida en el mes",IF(AND(ISNUMBER(O2930),ISNUMBER(P2930),ISNUMBER(Q2930),ABS(O2930-P2930-Q2930)&gt;1),"⚠ Haberes − descuentos no da el líquido","OK"))))))</f>
        <v/>
      </c>
      <c r="V2930" s="62" t="str">
        <f aca="false">IF(C2930="","",IFERROR(VALUE(LEFT(UPPER(SUBSTITUTE(SUBSTITUTE(SUBSTITUTE(TRIM(C2930),".",""),"-","")," ","")),LEN(UPPER(SUBSTITUTE(SUBSTITUTE(SUBSTITUTE(TRIM(C2930),".",""),"-","")," ","")))-1))&amp;RIGHT(UPPER(SUBSTITUTE(SUBSTITUTE(SUBSTITUTE(TRIM(C2930),".",""),"-","")," ","")),1),UPPER(SUBSTITUTE(SUBSTITUTE(SUBSTITUTE(TRIM(C2930),".",""),"-","")," ",""))))</f>
        <v/>
      </c>
    </row>
    <row r="2931" customFormat="false" ht="15" hidden="false" customHeight="false" outlineLevel="0" collapsed="false">
      <c r="B2931" s="80"/>
      <c r="C2931" s="58"/>
      <c r="D2931" s="62" t="str">
        <f aca="false">IF(C2931="","",IFERROR(INDEX(T_NOMBRE,MATCH(V2931,T_RUTN,0)),"⚠ RUT no está en Trabajadores"))</f>
        <v/>
      </c>
      <c r="E2931" s="61"/>
      <c r="F2931" s="61"/>
      <c r="G2931" s="61"/>
      <c r="H2931" s="61"/>
      <c r="I2931" s="81"/>
      <c r="J2931" s="81"/>
      <c r="K2931" s="60"/>
      <c r="L2931" s="60"/>
      <c r="M2931" s="60"/>
      <c r="N2931" s="60"/>
      <c r="O2931" s="60"/>
      <c r="P2931" s="60"/>
      <c r="Q2931" s="60"/>
      <c r="R2931" s="58"/>
      <c r="S2931" s="62" t="str">
        <f aca="false">IF(OR(B2931="",V2931=""),"",IFERROR(INDEX(C_TIPO,MATCH(V2931&amp;"-P"&amp;MAX(1,COUNTIFS(C_RUTN,V2931,C_DEF,"Sí",C_INI,"&lt;="&amp;EOMONTH(B2931,0))),C_CLAVE,0))&amp;"","Sin contrato"))</f>
        <v/>
      </c>
      <c r="T2931" s="63" t="str">
        <f aca="false">IF(OR(B2931="",N(O2931)=0),"",N(O2931)+ROUND(MIN(N(N2931),TOPE_UF*UF_MES)*(TASA_EMP+MUTUAL),0)+ROUND(MIN(N(N2931),TOPE_AFC_UF*UF_MES)*IF(S2931="Indefinido",AFC_INDEF,AFC_PF),0))</f>
        <v/>
      </c>
      <c r="U2931" s="62" t="str">
        <f aca="false">IF(C2931="","",IF(LEFT(D2931,1)="⚠","⚠ RUT no registrado en Trabajadores",IF(B2931="","⚠ Falta el mes",IF(OR(ISTEXT(I2931),ISTEXT(J2931)),"⚠ Atrasos u horas extra como texto: escriba hh:mm (ej. 1:30)",IF(AND(ISNUMBER(Q2931),COUNTIFS(M_RUTN,V2931,M_MES,B2931,M_LIQ,"&lt;&gt;")&gt;1),"⚠ Liquidación repetida en el mes",IF(AND(ISNUMBER(O2931),ISNUMBER(P2931),ISNUMBER(Q2931),ABS(O2931-P2931-Q2931)&gt;1),"⚠ Haberes − descuentos no da el líquido","OK"))))))</f>
        <v/>
      </c>
      <c r="V2931" s="62" t="str">
        <f aca="false">IF(C2931="","",IFERROR(VALUE(LEFT(UPPER(SUBSTITUTE(SUBSTITUTE(SUBSTITUTE(TRIM(C2931),".",""),"-","")," ","")),LEN(UPPER(SUBSTITUTE(SUBSTITUTE(SUBSTITUTE(TRIM(C2931),".",""),"-","")," ","")))-1))&amp;RIGHT(UPPER(SUBSTITUTE(SUBSTITUTE(SUBSTITUTE(TRIM(C2931),".",""),"-","")," ","")),1),UPPER(SUBSTITUTE(SUBSTITUTE(SUBSTITUTE(TRIM(C2931),".",""),"-","")," ",""))))</f>
        <v/>
      </c>
    </row>
    <row r="2932" customFormat="false" ht="15" hidden="false" customHeight="false" outlineLevel="0" collapsed="false">
      <c r="B2932" s="80"/>
      <c r="C2932" s="58"/>
      <c r="D2932" s="62" t="str">
        <f aca="false">IF(C2932="","",IFERROR(INDEX(T_NOMBRE,MATCH(V2932,T_RUTN,0)),"⚠ RUT no está en Trabajadores"))</f>
        <v/>
      </c>
      <c r="E2932" s="61"/>
      <c r="F2932" s="61"/>
      <c r="G2932" s="61"/>
      <c r="H2932" s="61"/>
      <c r="I2932" s="81"/>
      <c r="J2932" s="81"/>
      <c r="K2932" s="60"/>
      <c r="L2932" s="60"/>
      <c r="M2932" s="60"/>
      <c r="N2932" s="60"/>
      <c r="O2932" s="60"/>
      <c r="P2932" s="60"/>
      <c r="Q2932" s="60"/>
      <c r="R2932" s="58"/>
      <c r="S2932" s="62" t="str">
        <f aca="false">IF(OR(B2932="",V2932=""),"",IFERROR(INDEX(C_TIPO,MATCH(V2932&amp;"-P"&amp;MAX(1,COUNTIFS(C_RUTN,V2932,C_DEF,"Sí",C_INI,"&lt;="&amp;EOMONTH(B2932,0))),C_CLAVE,0))&amp;"","Sin contrato"))</f>
        <v/>
      </c>
      <c r="T2932" s="63" t="str">
        <f aca="false">IF(OR(B2932="",N(O2932)=0),"",N(O2932)+ROUND(MIN(N(N2932),TOPE_UF*UF_MES)*(TASA_EMP+MUTUAL),0)+ROUND(MIN(N(N2932),TOPE_AFC_UF*UF_MES)*IF(S2932="Indefinido",AFC_INDEF,AFC_PF),0))</f>
        <v/>
      </c>
      <c r="U2932" s="62" t="str">
        <f aca="false">IF(C2932="","",IF(LEFT(D2932,1)="⚠","⚠ RUT no registrado en Trabajadores",IF(B2932="","⚠ Falta el mes",IF(OR(ISTEXT(I2932),ISTEXT(J2932)),"⚠ Atrasos u horas extra como texto: escriba hh:mm (ej. 1:30)",IF(AND(ISNUMBER(Q2932),COUNTIFS(M_RUTN,V2932,M_MES,B2932,M_LIQ,"&lt;&gt;")&gt;1),"⚠ Liquidación repetida en el mes",IF(AND(ISNUMBER(O2932),ISNUMBER(P2932),ISNUMBER(Q2932),ABS(O2932-P2932-Q2932)&gt;1),"⚠ Haberes − descuentos no da el líquido","OK"))))))</f>
        <v/>
      </c>
      <c r="V2932" s="62" t="str">
        <f aca="false">IF(C2932="","",IFERROR(VALUE(LEFT(UPPER(SUBSTITUTE(SUBSTITUTE(SUBSTITUTE(TRIM(C2932),".",""),"-","")," ","")),LEN(UPPER(SUBSTITUTE(SUBSTITUTE(SUBSTITUTE(TRIM(C2932),".",""),"-","")," ","")))-1))&amp;RIGHT(UPPER(SUBSTITUTE(SUBSTITUTE(SUBSTITUTE(TRIM(C2932),".",""),"-","")," ","")),1),UPPER(SUBSTITUTE(SUBSTITUTE(SUBSTITUTE(TRIM(C2932),".",""),"-","")," ",""))))</f>
        <v/>
      </c>
    </row>
    <row r="2933" customFormat="false" ht="15" hidden="false" customHeight="false" outlineLevel="0" collapsed="false">
      <c r="B2933" s="80"/>
      <c r="C2933" s="58"/>
      <c r="D2933" s="62" t="str">
        <f aca="false">IF(C2933="","",IFERROR(INDEX(T_NOMBRE,MATCH(V2933,T_RUTN,0)),"⚠ RUT no está en Trabajadores"))</f>
        <v/>
      </c>
      <c r="E2933" s="61"/>
      <c r="F2933" s="61"/>
      <c r="G2933" s="61"/>
      <c r="H2933" s="61"/>
      <c r="I2933" s="81"/>
      <c r="J2933" s="81"/>
      <c r="K2933" s="60"/>
      <c r="L2933" s="60"/>
      <c r="M2933" s="60"/>
      <c r="N2933" s="60"/>
      <c r="O2933" s="60"/>
      <c r="P2933" s="60"/>
      <c r="Q2933" s="60"/>
      <c r="R2933" s="58"/>
      <c r="S2933" s="62" t="str">
        <f aca="false">IF(OR(B2933="",V2933=""),"",IFERROR(INDEX(C_TIPO,MATCH(V2933&amp;"-P"&amp;MAX(1,COUNTIFS(C_RUTN,V2933,C_DEF,"Sí",C_INI,"&lt;="&amp;EOMONTH(B2933,0))),C_CLAVE,0))&amp;"","Sin contrato"))</f>
        <v/>
      </c>
      <c r="T2933" s="63" t="str">
        <f aca="false">IF(OR(B2933="",N(O2933)=0),"",N(O2933)+ROUND(MIN(N(N2933),TOPE_UF*UF_MES)*(TASA_EMP+MUTUAL),0)+ROUND(MIN(N(N2933),TOPE_AFC_UF*UF_MES)*IF(S2933="Indefinido",AFC_INDEF,AFC_PF),0))</f>
        <v/>
      </c>
      <c r="U2933" s="62" t="str">
        <f aca="false">IF(C2933="","",IF(LEFT(D2933,1)="⚠","⚠ RUT no registrado en Trabajadores",IF(B2933="","⚠ Falta el mes",IF(OR(ISTEXT(I2933),ISTEXT(J2933)),"⚠ Atrasos u horas extra como texto: escriba hh:mm (ej. 1:30)",IF(AND(ISNUMBER(Q2933),COUNTIFS(M_RUTN,V2933,M_MES,B2933,M_LIQ,"&lt;&gt;")&gt;1),"⚠ Liquidación repetida en el mes",IF(AND(ISNUMBER(O2933),ISNUMBER(P2933),ISNUMBER(Q2933),ABS(O2933-P2933-Q2933)&gt;1),"⚠ Haberes − descuentos no da el líquido","OK"))))))</f>
        <v/>
      </c>
      <c r="V2933" s="62" t="str">
        <f aca="false">IF(C2933="","",IFERROR(VALUE(LEFT(UPPER(SUBSTITUTE(SUBSTITUTE(SUBSTITUTE(TRIM(C2933),".",""),"-","")," ","")),LEN(UPPER(SUBSTITUTE(SUBSTITUTE(SUBSTITUTE(TRIM(C2933),".",""),"-","")," ","")))-1))&amp;RIGHT(UPPER(SUBSTITUTE(SUBSTITUTE(SUBSTITUTE(TRIM(C2933),".",""),"-","")," ","")),1),UPPER(SUBSTITUTE(SUBSTITUTE(SUBSTITUTE(TRIM(C2933),".",""),"-","")," ",""))))</f>
        <v/>
      </c>
    </row>
    <row r="2934" customFormat="false" ht="15" hidden="false" customHeight="false" outlineLevel="0" collapsed="false">
      <c r="B2934" s="80"/>
      <c r="C2934" s="58"/>
      <c r="D2934" s="62" t="str">
        <f aca="false">IF(C2934="","",IFERROR(INDEX(T_NOMBRE,MATCH(V2934,T_RUTN,0)),"⚠ RUT no está en Trabajadores"))</f>
        <v/>
      </c>
      <c r="E2934" s="61"/>
      <c r="F2934" s="61"/>
      <c r="G2934" s="61"/>
      <c r="H2934" s="61"/>
      <c r="I2934" s="81"/>
      <c r="J2934" s="81"/>
      <c r="K2934" s="60"/>
      <c r="L2934" s="60"/>
      <c r="M2934" s="60"/>
      <c r="N2934" s="60"/>
      <c r="O2934" s="60"/>
      <c r="P2934" s="60"/>
      <c r="Q2934" s="60"/>
      <c r="R2934" s="58"/>
      <c r="S2934" s="62" t="str">
        <f aca="false">IF(OR(B2934="",V2934=""),"",IFERROR(INDEX(C_TIPO,MATCH(V2934&amp;"-P"&amp;MAX(1,COUNTIFS(C_RUTN,V2934,C_DEF,"Sí",C_INI,"&lt;="&amp;EOMONTH(B2934,0))),C_CLAVE,0))&amp;"","Sin contrato"))</f>
        <v/>
      </c>
      <c r="T2934" s="63" t="str">
        <f aca="false">IF(OR(B2934="",N(O2934)=0),"",N(O2934)+ROUND(MIN(N(N2934),TOPE_UF*UF_MES)*(TASA_EMP+MUTUAL),0)+ROUND(MIN(N(N2934),TOPE_AFC_UF*UF_MES)*IF(S2934="Indefinido",AFC_INDEF,AFC_PF),0))</f>
        <v/>
      </c>
      <c r="U2934" s="62" t="str">
        <f aca="false">IF(C2934="","",IF(LEFT(D2934,1)="⚠","⚠ RUT no registrado en Trabajadores",IF(B2934="","⚠ Falta el mes",IF(OR(ISTEXT(I2934),ISTEXT(J2934)),"⚠ Atrasos u horas extra como texto: escriba hh:mm (ej. 1:30)",IF(AND(ISNUMBER(Q2934),COUNTIFS(M_RUTN,V2934,M_MES,B2934,M_LIQ,"&lt;&gt;")&gt;1),"⚠ Liquidación repetida en el mes",IF(AND(ISNUMBER(O2934),ISNUMBER(P2934),ISNUMBER(Q2934),ABS(O2934-P2934-Q2934)&gt;1),"⚠ Haberes − descuentos no da el líquido","OK"))))))</f>
        <v/>
      </c>
      <c r="V2934" s="62" t="str">
        <f aca="false">IF(C2934="","",IFERROR(VALUE(LEFT(UPPER(SUBSTITUTE(SUBSTITUTE(SUBSTITUTE(TRIM(C2934),".",""),"-","")," ","")),LEN(UPPER(SUBSTITUTE(SUBSTITUTE(SUBSTITUTE(TRIM(C2934),".",""),"-","")," ","")))-1))&amp;RIGHT(UPPER(SUBSTITUTE(SUBSTITUTE(SUBSTITUTE(TRIM(C2934),".",""),"-","")," ","")),1),UPPER(SUBSTITUTE(SUBSTITUTE(SUBSTITUTE(TRIM(C2934),".",""),"-","")," ",""))))</f>
        <v/>
      </c>
    </row>
    <row r="2935" customFormat="false" ht="15" hidden="false" customHeight="false" outlineLevel="0" collapsed="false">
      <c r="B2935" s="80"/>
      <c r="C2935" s="58"/>
      <c r="D2935" s="62" t="str">
        <f aca="false">IF(C2935="","",IFERROR(INDEX(T_NOMBRE,MATCH(V2935,T_RUTN,0)),"⚠ RUT no está en Trabajadores"))</f>
        <v/>
      </c>
      <c r="E2935" s="61"/>
      <c r="F2935" s="61"/>
      <c r="G2935" s="61"/>
      <c r="H2935" s="61"/>
      <c r="I2935" s="81"/>
      <c r="J2935" s="81"/>
      <c r="K2935" s="60"/>
      <c r="L2935" s="60"/>
      <c r="M2935" s="60"/>
      <c r="N2935" s="60"/>
      <c r="O2935" s="60"/>
      <c r="P2935" s="60"/>
      <c r="Q2935" s="60"/>
      <c r="R2935" s="58"/>
      <c r="S2935" s="62" t="str">
        <f aca="false">IF(OR(B2935="",V2935=""),"",IFERROR(INDEX(C_TIPO,MATCH(V2935&amp;"-P"&amp;MAX(1,COUNTIFS(C_RUTN,V2935,C_DEF,"Sí",C_INI,"&lt;="&amp;EOMONTH(B2935,0))),C_CLAVE,0))&amp;"","Sin contrato"))</f>
        <v/>
      </c>
      <c r="T2935" s="63" t="str">
        <f aca="false">IF(OR(B2935="",N(O2935)=0),"",N(O2935)+ROUND(MIN(N(N2935),TOPE_UF*UF_MES)*(TASA_EMP+MUTUAL),0)+ROUND(MIN(N(N2935),TOPE_AFC_UF*UF_MES)*IF(S2935="Indefinido",AFC_INDEF,AFC_PF),0))</f>
        <v/>
      </c>
      <c r="U2935" s="62" t="str">
        <f aca="false">IF(C2935="","",IF(LEFT(D2935,1)="⚠","⚠ RUT no registrado en Trabajadores",IF(B2935="","⚠ Falta el mes",IF(OR(ISTEXT(I2935),ISTEXT(J2935)),"⚠ Atrasos u horas extra como texto: escriba hh:mm (ej. 1:30)",IF(AND(ISNUMBER(Q2935),COUNTIFS(M_RUTN,V2935,M_MES,B2935,M_LIQ,"&lt;&gt;")&gt;1),"⚠ Liquidación repetida en el mes",IF(AND(ISNUMBER(O2935),ISNUMBER(P2935),ISNUMBER(Q2935),ABS(O2935-P2935-Q2935)&gt;1),"⚠ Haberes − descuentos no da el líquido","OK"))))))</f>
        <v/>
      </c>
      <c r="V2935" s="62" t="str">
        <f aca="false">IF(C2935="","",IFERROR(VALUE(LEFT(UPPER(SUBSTITUTE(SUBSTITUTE(SUBSTITUTE(TRIM(C2935),".",""),"-","")," ","")),LEN(UPPER(SUBSTITUTE(SUBSTITUTE(SUBSTITUTE(TRIM(C2935),".",""),"-","")," ","")))-1))&amp;RIGHT(UPPER(SUBSTITUTE(SUBSTITUTE(SUBSTITUTE(TRIM(C2935),".",""),"-","")," ","")),1),UPPER(SUBSTITUTE(SUBSTITUTE(SUBSTITUTE(TRIM(C2935),".",""),"-","")," ",""))))</f>
        <v/>
      </c>
    </row>
    <row r="2936" customFormat="false" ht="15" hidden="false" customHeight="false" outlineLevel="0" collapsed="false">
      <c r="B2936" s="80"/>
      <c r="C2936" s="58"/>
      <c r="D2936" s="62" t="str">
        <f aca="false">IF(C2936="","",IFERROR(INDEX(T_NOMBRE,MATCH(V2936,T_RUTN,0)),"⚠ RUT no está en Trabajadores"))</f>
        <v/>
      </c>
      <c r="E2936" s="61"/>
      <c r="F2936" s="61"/>
      <c r="G2936" s="61"/>
      <c r="H2936" s="61"/>
      <c r="I2936" s="81"/>
      <c r="J2936" s="81"/>
      <c r="K2936" s="60"/>
      <c r="L2936" s="60"/>
      <c r="M2936" s="60"/>
      <c r="N2936" s="60"/>
      <c r="O2936" s="60"/>
      <c r="P2936" s="60"/>
      <c r="Q2936" s="60"/>
      <c r="R2936" s="58"/>
      <c r="S2936" s="62" t="str">
        <f aca="false">IF(OR(B2936="",V2936=""),"",IFERROR(INDEX(C_TIPO,MATCH(V2936&amp;"-P"&amp;MAX(1,COUNTIFS(C_RUTN,V2936,C_DEF,"Sí",C_INI,"&lt;="&amp;EOMONTH(B2936,0))),C_CLAVE,0))&amp;"","Sin contrato"))</f>
        <v/>
      </c>
      <c r="T2936" s="63" t="str">
        <f aca="false">IF(OR(B2936="",N(O2936)=0),"",N(O2936)+ROUND(MIN(N(N2936),TOPE_UF*UF_MES)*(TASA_EMP+MUTUAL),0)+ROUND(MIN(N(N2936),TOPE_AFC_UF*UF_MES)*IF(S2936="Indefinido",AFC_INDEF,AFC_PF),0))</f>
        <v/>
      </c>
      <c r="U2936" s="62" t="str">
        <f aca="false">IF(C2936="","",IF(LEFT(D2936,1)="⚠","⚠ RUT no registrado en Trabajadores",IF(B2936="","⚠ Falta el mes",IF(OR(ISTEXT(I2936),ISTEXT(J2936)),"⚠ Atrasos u horas extra como texto: escriba hh:mm (ej. 1:30)",IF(AND(ISNUMBER(Q2936),COUNTIFS(M_RUTN,V2936,M_MES,B2936,M_LIQ,"&lt;&gt;")&gt;1),"⚠ Liquidación repetida en el mes",IF(AND(ISNUMBER(O2936),ISNUMBER(P2936),ISNUMBER(Q2936),ABS(O2936-P2936-Q2936)&gt;1),"⚠ Haberes − descuentos no da el líquido","OK"))))))</f>
        <v/>
      </c>
      <c r="V2936" s="62" t="str">
        <f aca="false">IF(C2936="","",IFERROR(VALUE(LEFT(UPPER(SUBSTITUTE(SUBSTITUTE(SUBSTITUTE(TRIM(C2936),".",""),"-","")," ","")),LEN(UPPER(SUBSTITUTE(SUBSTITUTE(SUBSTITUTE(TRIM(C2936),".",""),"-","")," ","")))-1))&amp;RIGHT(UPPER(SUBSTITUTE(SUBSTITUTE(SUBSTITUTE(TRIM(C2936),".",""),"-","")," ","")),1),UPPER(SUBSTITUTE(SUBSTITUTE(SUBSTITUTE(TRIM(C2936),".",""),"-","")," ",""))))</f>
        <v/>
      </c>
    </row>
    <row r="2937" customFormat="false" ht="15" hidden="false" customHeight="false" outlineLevel="0" collapsed="false">
      <c r="B2937" s="80"/>
      <c r="C2937" s="58"/>
      <c r="D2937" s="62" t="str">
        <f aca="false">IF(C2937="","",IFERROR(INDEX(T_NOMBRE,MATCH(V2937,T_RUTN,0)),"⚠ RUT no está en Trabajadores"))</f>
        <v/>
      </c>
      <c r="E2937" s="61"/>
      <c r="F2937" s="61"/>
      <c r="G2937" s="61"/>
      <c r="H2937" s="61"/>
      <c r="I2937" s="81"/>
      <c r="J2937" s="81"/>
      <c r="K2937" s="60"/>
      <c r="L2937" s="60"/>
      <c r="M2937" s="60"/>
      <c r="N2937" s="60"/>
      <c r="O2937" s="60"/>
      <c r="P2937" s="60"/>
      <c r="Q2937" s="60"/>
      <c r="R2937" s="58"/>
      <c r="S2937" s="62" t="str">
        <f aca="false">IF(OR(B2937="",V2937=""),"",IFERROR(INDEX(C_TIPO,MATCH(V2937&amp;"-P"&amp;MAX(1,COUNTIFS(C_RUTN,V2937,C_DEF,"Sí",C_INI,"&lt;="&amp;EOMONTH(B2937,0))),C_CLAVE,0))&amp;"","Sin contrato"))</f>
        <v/>
      </c>
      <c r="T2937" s="63" t="str">
        <f aca="false">IF(OR(B2937="",N(O2937)=0),"",N(O2937)+ROUND(MIN(N(N2937),TOPE_UF*UF_MES)*(TASA_EMP+MUTUAL),0)+ROUND(MIN(N(N2937),TOPE_AFC_UF*UF_MES)*IF(S2937="Indefinido",AFC_INDEF,AFC_PF),0))</f>
        <v/>
      </c>
      <c r="U2937" s="62" t="str">
        <f aca="false">IF(C2937="","",IF(LEFT(D2937,1)="⚠","⚠ RUT no registrado en Trabajadores",IF(B2937="","⚠ Falta el mes",IF(OR(ISTEXT(I2937),ISTEXT(J2937)),"⚠ Atrasos u horas extra como texto: escriba hh:mm (ej. 1:30)",IF(AND(ISNUMBER(Q2937),COUNTIFS(M_RUTN,V2937,M_MES,B2937,M_LIQ,"&lt;&gt;")&gt;1),"⚠ Liquidación repetida en el mes",IF(AND(ISNUMBER(O2937),ISNUMBER(P2937),ISNUMBER(Q2937),ABS(O2937-P2937-Q2937)&gt;1),"⚠ Haberes − descuentos no da el líquido","OK"))))))</f>
        <v/>
      </c>
      <c r="V2937" s="62" t="str">
        <f aca="false">IF(C2937="","",IFERROR(VALUE(LEFT(UPPER(SUBSTITUTE(SUBSTITUTE(SUBSTITUTE(TRIM(C2937),".",""),"-","")," ","")),LEN(UPPER(SUBSTITUTE(SUBSTITUTE(SUBSTITUTE(TRIM(C2937),".",""),"-","")," ","")))-1))&amp;RIGHT(UPPER(SUBSTITUTE(SUBSTITUTE(SUBSTITUTE(TRIM(C2937),".",""),"-","")," ","")),1),UPPER(SUBSTITUTE(SUBSTITUTE(SUBSTITUTE(TRIM(C2937),".",""),"-","")," ",""))))</f>
        <v/>
      </c>
    </row>
    <row r="2938" customFormat="false" ht="15" hidden="false" customHeight="false" outlineLevel="0" collapsed="false">
      <c r="B2938" s="80"/>
      <c r="C2938" s="58"/>
      <c r="D2938" s="62" t="str">
        <f aca="false">IF(C2938="","",IFERROR(INDEX(T_NOMBRE,MATCH(V2938,T_RUTN,0)),"⚠ RUT no está en Trabajadores"))</f>
        <v/>
      </c>
      <c r="E2938" s="61"/>
      <c r="F2938" s="61"/>
      <c r="G2938" s="61"/>
      <c r="H2938" s="61"/>
      <c r="I2938" s="81"/>
      <c r="J2938" s="81"/>
      <c r="K2938" s="60"/>
      <c r="L2938" s="60"/>
      <c r="M2938" s="60"/>
      <c r="N2938" s="60"/>
      <c r="O2938" s="60"/>
      <c r="P2938" s="60"/>
      <c r="Q2938" s="60"/>
      <c r="R2938" s="58"/>
      <c r="S2938" s="62" t="str">
        <f aca="false">IF(OR(B2938="",V2938=""),"",IFERROR(INDEX(C_TIPO,MATCH(V2938&amp;"-P"&amp;MAX(1,COUNTIFS(C_RUTN,V2938,C_DEF,"Sí",C_INI,"&lt;="&amp;EOMONTH(B2938,0))),C_CLAVE,0))&amp;"","Sin contrato"))</f>
        <v/>
      </c>
      <c r="T2938" s="63" t="str">
        <f aca="false">IF(OR(B2938="",N(O2938)=0),"",N(O2938)+ROUND(MIN(N(N2938),TOPE_UF*UF_MES)*(TASA_EMP+MUTUAL),0)+ROUND(MIN(N(N2938),TOPE_AFC_UF*UF_MES)*IF(S2938="Indefinido",AFC_INDEF,AFC_PF),0))</f>
        <v/>
      </c>
      <c r="U2938" s="62" t="str">
        <f aca="false">IF(C2938="","",IF(LEFT(D2938,1)="⚠","⚠ RUT no registrado en Trabajadores",IF(B2938="","⚠ Falta el mes",IF(OR(ISTEXT(I2938),ISTEXT(J2938)),"⚠ Atrasos u horas extra como texto: escriba hh:mm (ej. 1:30)",IF(AND(ISNUMBER(Q2938),COUNTIFS(M_RUTN,V2938,M_MES,B2938,M_LIQ,"&lt;&gt;")&gt;1),"⚠ Liquidación repetida en el mes",IF(AND(ISNUMBER(O2938),ISNUMBER(P2938),ISNUMBER(Q2938),ABS(O2938-P2938-Q2938)&gt;1),"⚠ Haberes − descuentos no da el líquido","OK"))))))</f>
        <v/>
      </c>
      <c r="V2938" s="62" t="str">
        <f aca="false">IF(C2938="","",IFERROR(VALUE(LEFT(UPPER(SUBSTITUTE(SUBSTITUTE(SUBSTITUTE(TRIM(C2938),".",""),"-","")," ","")),LEN(UPPER(SUBSTITUTE(SUBSTITUTE(SUBSTITUTE(TRIM(C2938),".",""),"-","")," ","")))-1))&amp;RIGHT(UPPER(SUBSTITUTE(SUBSTITUTE(SUBSTITUTE(TRIM(C2938),".",""),"-","")," ","")),1),UPPER(SUBSTITUTE(SUBSTITUTE(SUBSTITUTE(TRIM(C2938),".",""),"-","")," ",""))))</f>
        <v/>
      </c>
    </row>
    <row r="2939" customFormat="false" ht="15" hidden="false" customHeight="false" outlineLevel="0" collapsed="false">
      <c r="B2939" s="80"/>
      <c r="C2939" s="58"/>
      <c r="D2939" s="62" t="str">
        <f aca="false">IF(C2939="","",IFERROR(INDEX(T_NOMBRE,MATCH(V2939,T_RUTN,0)),"⚠ RUT no está en Trabajadores"))</f>
        <v/>
      </c>
      <c r="E2939" s="61"/>
      <c r="F2939" s="61"/>
      <c r="G2939" s="61"/>
      <c r="H2939" s="61"/>
      <c r="I2939" s="81"/>
      <c r="J2939" s="81"/>
      <c r="K2939" s="60"/>
      <c r="L2939" s="60"/>
      <c r="M2939" s="60"/>
      <c r="N2939" s="60"/>
      <c r="O2939" s="60"/>
      <c r="P2939" s="60"/>
      <c r="Q2939" s="60"/>
      <c r="R2939" s="58"/>
      <c r="S2939" s="62" t="str">
        <f aca="false">IF(OR(B2939="",V2939=""),"",IFERROR(INDEX(C_TIPO,MATCH(V2939&amp;"-P"&amp;MAX(1,COUNTIFS(C_RUTN,V2939,C_DEF,"Sí",C_INI,"&lt;="&amp;EOMONTH(B2939,0))),C_CLAVE,0))&amp;"","Sin contrato"))</f>
        <v/>
      </c>
      <c r="T2939" s="63" t="str">
        <f aca="false">IF(OR(B2939="",N(O2939)=0),"",N(O2939)+ROUND(MIN(N(N2939),TOPE_UF*UF_MES)*(TASA_EMP+MUTUAL),0)+ROUND(MIN(N(N2939),TOPE_AFC_UF*UF_MES)*IF(S2939="Indefinido",AFC_INDEF,AFC_PF),0))</f>
        <v/>
      </c>
      <c r="U2939" s="62" t="str">
        <f aca="false">IF(C2939="","",IF(LEFT(D2939,1)="⚠","⚠ RUT no registrado en Trabajadores",IF(B2939="","⚠ Falta el mes",IF(OR(ISTEXT(I2939),ISTEXT(J2939)),"⚠ Atrasos u horas extra como texto: escriba hh:mm (ej. 1:30)",IF(AND(ISNUMBER(Q2939),COUNTIFS(M_RUTN,V2939,M_MES,B2939,M_LIQ,"&lt;&gt;")&gt;1),"⚠ Liquidación repetida en el mes",IF(AND(ISNUMBER(O2939),ISNUMBER(P2939),ISNUMBER(Q2939),ABS(O2939-P2939-Q2939)&gt;1),"⚠ Haberes − descuentos no da el líquido","OK"))))))</f>
        <v/>
      </c>
      <c r="V2939" s="62" t="str">
        <f aca="false">IF(C2939="","",IFERROR(VALUE(LEFT(UPPER(SUBSTITUTE(SUBSTITUTE(SUBSTITUTE(TRIM(C2939),".",""),"-","")," ","")),LEN(UPPER(SUBSTITUTE(SUBSTITUTE(SUBSTITUTE(TRIM(C2939),".",""),"-","")," ","")))-1))&amp;RIGHT(UPPER(SUBSTITUTE(SUBSTITUTE(SUBSTITUTE(TRIM(C2939),".",""),"-","")," ","")),1),UPPER(SUBSTITUTE(SUBSTITUTE(SUBSTITUTE(TRIM(C2939),".",""),"-","")," ",""))))</f>
        <v/>
      </c>
    </row>
    <row r="2940" customFormat="false" ht="15" hidden="false" customHeight="false" outlineLevel="0" collapsed="false">
      <c r="B2940" s="80"/>
      <c r="C2940" s="58"/>
      <c r="D2940" s="62" t="str">
        <f aca="false">IF(C2940="","",IFERROR(INDEX(T_NOMBRE,MATCH(V2940,T_RUTN,0)),"⚠ RUT no está en Trabajadores"))</f>
        <v/>
      </c>
      <c r="E2940" s="61"/>
      <c r="F2940" s="61"/>
      <c r="G2940" s="61"/>
      <c r="H2940" s="61"/>
      <c r="I2940" s="81"/>
      <c r="J2940" s="81"/>
      <c r="K2940" s="60"/>
      <c r="L2940" s="60"/>
      <c r="M2940" s="60"/>
      <c r="N2940" s="60"/>
      <c r="O2940" s="60"/>
      <c r="P2940" s="60"/>
      <c r="Q2940" s="60"/>
      <c r="R2940" s="58"/>
      <c r="S2940" s="62" t="str">
        <f aca="false">IF(OR(B2940="",V2940=""),"",IFERROR(INDEX(C_TIPO,MATCH(V2940&amp;"-P"&amp;MAX(1,COUNTIFS(C_RUTN,V2940,C_DEF,"Sí",C_INI,"&lt;="&amp;EOMONTH(B2940,0))),C_CLAVE,0))&amp;"","Sin contrato"))</f>
        <v/>
      </c>
      <c r="T2940" s="63" t="str">
        <f aca="false">IF(OR(B2940="",N(O2940)=0),"",N(O2940)+ROUND(MIN(N(N2940),TOPE_UF*UF_MES)*(TASA_EMP+MUTUAL),0)+ROUND(MIN(N(N2940),TOPE_AFC_UF*UF_MES)*IF(S2940="Indefinido",AFC_INDEF,AFC_PF),0))</f>
        <v/>
      </c>
      <c r="U2940" s="62" t="str">
        <f aca="false">IF(C2940="","",IF(LEFT(D2940,1)="⚠","⚠ RUT no registrado en Trabajadores",IF(B2940="","⚠ Falta el mes",IF(OR(ISTEXT(I2940),ISTEXT(J2940)),"⚠ Atrasos u horas extra como texto: escriba hh:mm (ej. 1:30)",IF(AND(ISNUMBER(Q2940),COUNTIFS(M_RUTN,V2940,M_MES,B2940,M_LIQ,"&lt;&gt;")&gt;1),"⚠ Liquidación repetida en el mes",IF(AND(ISNUMBER(O2940),ISNUMBER(P2940),ISNUMBER(Q2940),ABS(O2940-P2940-Q2940)&gt;1),"⚠ Haberes − descuentos no da el líquido","OK"))))))</f>
        <v/>
      </c>
      <c r="V2940" s="62" t="str">
        <f aca="false">IF(C2940="","",IFERROR(VALUE(LEFT(UPPER(SUBSTITUTE(SUBSTITUTE(SUBSTITUTE(TRIM(C2940),".",""),"-","")," ","")),LEN(UPPER(SUBSTITUTE(SUBSTITUTE(SUBSTITUTE(TRIM(C2940),".",""),"-","")," ","")))-1))&amp;RIGHT(UPPER(SUBSTITUTE(SUBSTITUTE(SUBSTITUTE(TRIM(C2940),".",""),"-","")," ","")),1),UPPER(SUBSTITUTE(SUBSTITUTE(SUBSTITUTE(TRIM(C2940),".",""),"-","")," ",""))))</f>
        <v/>
      </c>
    </row>
    <row r="2941" customFormat="false" ht="15" hidden="false" customHeight="false" outlineLevel="0" collapsed="false">
      <c r="B2941" s="80"/>
      <c r="C2941" s="58"/>
      <c r="D2941" s="62" t="str">
        <f aca="false">IF(C2941="","",IFERROR(INDEX(T_NOMBRE,MATCH(V2941,T_RUTN,0)),"⚠ RUT no está en Trabajadores"))</f>
        <v/>
      </c>
      <c r="E2941" s="61"/>
      <c r="F2941" s="61"/>
      <c r="G2941" s="61"/>
      <c r="H2941" s="61"/>
      <c r="I2941" s="81"/>
      <c r="J2941" s="81"/>
      <c r="K2941" s="60"/>
      <c r="L2941" s="60"/>
      <c r="M2941" s="60"/>
      <c r="N2941" s="60"/>
      <c r="O2941" s="60"/>
      <c r="P2941" s="60"/>
      <c r="Q2941" s="60"/>
      <c r="R2941" s="58"/>
      <c r="S2941" s="62" t="str">
        <f aca="false">IF(OR(B2941="",V2941=""),"",IFERROR(INDEX(C_TIPO,MATCH(V2941&amp;"-P"&amp;MAX(1,COUNTIFS(C_RUTN,V2941,C_DEF,"Sí",C_INI,"&lt;="&amp;EOMONTH(B2941,0))),C_CLAVE,0))&amp;"","Sin contrato"))</f>
        <v/>
      </c>
      <c r="T2941" s="63" t="str">
        <f aca="false">IF(OR(B2941="",N(O2941)=0),"",N(O2941)+ROUND(MIN(N(N2941),TOPE_UF*UF_MES)*(TASA_EMP+MUTUAL),0)+ROUND(MIN(N(N2941),TOPE_AFC_UF*UF_MES)*IF(S2941="Indefinido",AFC_INDEF,AFC_PF),0))</f>
        <v/>
      </c>
      <c r="U2941" s="62" t="str">
        <f aca="false">IF(C2941="","",IF(LEFT(D2941,1)="⚠","⚠ RUT no registrado en Trabajadores",IF(B2941="","⚠ Falta el mes",IF(OR(ISTEXT(I2941),ISTEXT(J2941)),"⚠ Atrasos u horas extra como texto: escriba hh:mm (ej. 1:30)",IF(AND(ISNUMBER(Q2941),COUNTIFS(M_RUTN,V2941,M_MES,B2941,M_LIQ,"&lt;&gt;")&gt;1),"⚠ Liquidación repetida en el mes",IF(AND(ISNUMBER(O2941),ISNUMBER(P2941),ISNUMBER(Q2941),ABS(O2941-P2941-Q2941)&gt;1),"⚠ Haberes − descuentos no da el líquido","OK"))))))</f>
        <v/>
      </c>
      <c r="V2941" s="62" t="str">
        <f aca="false">IF(C2941="","",IFERROR(VALUE(LEFT(UPPER(SUBSTITUTE(SUBSTITUTE(SUBSTITUTE(TRIM(C2941),".",""),"-","")," ","")),LEN(UPPER(SUBSTITUTE(SUBSTITUTE(SUBSTITUTE(TRIM(C2941),".",""),"-","")," ","")))-1))&amp;RIGHT(UPPER(SUBSTITUTE(SUBSTITUTE(SUBSTITUTE(TRIM(C2941),".",""),"-","")," ","")),1),UPPER(SUBSTITUTE(SUBSTITUTE(SUBSTITUTE(TRIM(C2941),".",""),"-","")," ",""))))</f>
        <v/>
      </c>
    </row>
    <row r="2942" customFormat="false" ht="15" hidden="false" customHeight="false" outlineLevel="0" collapsed="false">
      <c r="B2942" s="80"/>
      <c r="C2942" s="58"/>
      <c r="D2942" s="62" t="str">
        <f aca="false">IF(C2942="","",IFERROR(INDEX(T_NOMBRE,MATCH(V2942,T_RUTN,0)),"⚠ RUT no está en Trabajadores"))</f>
        <v/>
      </c>
      <c r="E2942" s="61"/>
      <c r="F2942" s="61"/>
      <c r="G2942" s="61"/>
      <c r="H2942" s="61"/>
      <c r="I2942" s="81"/>
      <c r="J2942" s="81"/>
      <c r="K2942" s="60"/>
      <c r="L2942" s="60"/>
      <c r="M2942" s="60"/>
      <c r="N2942" s="60"/>
      <c r="O2942" s="60"/>
      <c r="P2942" s="60"/>
      <c r="Q2942" s="60"/>
      <c r="R2942" s="58"/>
      <c r="S2942" s="62" t="str">
        <f aca="false">IF(OR(B2942="",V2942=""),"",IFERROR(INDEX(C_TIPO,MATCH(V2942&amp;"-P"&amp;MAX(1,COUNTIFS(C_RUTN,V2942,C_DEF,"Sí",C_INI,"&lt;="&amp;EOMONTH(B2942,0))),C_CLAVE,0))&amp;"","Sin contrato"))</f>
        <v/>
      </c>
      <c r="T2942" s="63" t="str">
        <f aca="false">IF(OR(B2942="",N(O2942)=0),"",N(O2942)+ROUND(MIN(N(N2942),TOPE_UF*UF_MES)*(TASA_EMP+MUTUAL),0)+ROUND(MIN(N(N2942),TOPE_AFC_UF*UF_MES)*IF(S2942="Indefinido",AFC_INDEF,AFC_PF),0))</f>
        <v/>
      </c>
      <c r="U2942" s="62" t="str">
        <f aca="false">IF(C2942="","",IF(LEFT(D2942,1)="⚠","⚠ RUT no registrado en Trabajadores",IF(B2942="","⚠ Falta el mes",IF(OR(ISTEXT(I2942),ISTEXT(J2942)),"⚠ Atrasos u horas extra como texto: escriba hh:mm (ej. 1:30)",IF(AND(ISNUMBER(Q2942),COUNTIFS(M_RUTN,V2942,M_MES,B2942,M_LIQ,"&lt;&gt;")&gt;1),"⚠ Liquidación repetida en el mes",IF(AND(ISNUMBER(O2942),ISNUMBER(P2942),ISNUMBER(Q2942),ABS(O2942-P2942-Q2942)&gt;1),"⚠ Haberes − descuentos no da el líquido","OK"))))))</f>
        <v/>
      </c>
      <c r="V2942" s="62" t="str">
        <f aca="false">IF(C2942="","",IFERROR(VALUE(LEFT(UPPER(SUBSTITUTE(SUBSTITUTE(SUBSTITUTE(TRIM(C2942),".",""),"-","")," ","")),LEN(UPPER(SUBSTITUTE(SUBSTITUTE(SUBSTITUTE(TRIM(C2942),".",""),"-","")," ","")))-1))&amp;RIGHT(UPPER(SUBSTITUTE(SUBSTITUTE(SUBSTITUTE(TRIM(C2942),".",""),"-","")," ","")),1),UPPER(SUBSTITUTE(SUBSTITUTE(SUBSTITUTE(TRIM(C2942),".",""),"-","")," ",""))))</f>
        <v/>
      </c>
    </row>
    <row r="2943" customFormat="false" ht="15" hidden="false" customHeight="false" outlineLevel="0" collapsed="false">
      <c r="B2943" s="80"/>
      <c r="C2943" s="58"/>
      <c r="D2943" s="62" t="str">
        <f aca="false">IF(C2943="","",IFERROR(INDEX(T_NOMBRE,MATCH(V2943,T_RUTN,0)),"⚠ RUT no está en Trabajadores"))</f>
        <v/>
      </c>
      <c r="E2943" s="61"/>
      <c r="F2943" s="61"/>
      <c r="G2943" s="61"/>
      <c r="H2943" s="61"/>
      <c r="I2943" s="81"/>
      <c r="J2943" s="81"/>
      <c r="K2943" s="60"/>
      <c r="L2943" s="60"/>
      <c r="M2943" s="60"/>
      <c r="N2943" s="60"/>
      <c r="O2943" s="60"/>
      <c r="P2943" s="60"/>
      <c r="Q2943" s="60"/>
      <c r="R2943" s="58"/>
      <c r="S2943" s="62" t="str">
        <f aca="false">IF(OR(B2943="",V2943=""),"",IFERROR(INDEX(C_TIPO,MATCH(V2943&amp;"-P"&amp;MAX(1,COUNTIFS(C_RUTN,V2943,C_DEF,"Sí",C_INI,"&lt;="&amp;EOMONTH(B2943,0))),C_CLAVE,0))&amp;"","Sin contrato"))</f>
        <v/>
      </c>
      <c r="T2943" s="63" t="str">
        <f aca="false">IF(OR(B2943="",N(O2943)=0),"",N(O2943)+ROUND(MIN(N(N2943),TOPE_UF*UF_MES)*(TASA_EMP+MUTUAL),0)+ROUND(MIN(N(N2943),TOPE_AFC_UF*UF_MES)*IF(S2943="Indefinido",AFC_INDEF,AFC_PF),0))</f>
        <v/>
      </c>
      <c r="U2943" s="62" t="str">
        <f aca="false">IF(C2943="","",IF(LEFT(D2943,1)="⚠","⚠ RUT no registrado en Trabajadores",IF(B2943="","⚠ Falta el mes",IF(OR(ISTEXT(I2943),ISTEXT(J2943)),"⚠ Atrasos u horas extra como texto: escriba hh:mm (ej. 1:30)",IF(AND(ISNUMBER(Q2943),COUNTIFS(M_RUTN,V2943,M_MES,B2943,M_LIQ,"&lt;&gt;")&gt;1),"⚠ Liquidación repetida en el mes",IF(AND(ISNUMBER(O2943),ISNUMBER(P2943),ISNUMBER(Q2943),ABS(O2943-P2943-Q2943)&gt;1),"⚠ Haberes − descuentos no da el líquido","OK"))))))</f>
        <v/>
      </c>
      <c r="V2943" s="62" t="str">
        <f aca="false">IF(C2943="","",IFERROR(VALUE(LEFT(UPPER(SUBSTITUTE(SUBSTITUTE(SUBSTITUTE(TRIM(C2943),".",""),"-","")," ","")),LEN(UPPER(SUBSTITUTE(SUBSTITUTE(SUBSTITUTE(TRIM(C2943),".",""),"-","")," ","")))-1))&amp;RIGHT(UPPER(SUBSTITUTE(SUBSTITUTE(SUBSTITUTE(TRIM(C2943),".",""),"-","")," ","")),1),UPPER(SUBSTITUTE(SUBSTITUTE(SUBSTITUTE(TRIM(C2943),".",""),"-","")," ",""))))</f>
        <v/>
      </c>
    </row>
    <row r="2944" customFormat="false" ht="15" hidden="false" customHeight="false" outlineLevel="0" collapsed="false">
      <c r="B2944" s="80"/>
      <c r="C2944" s="58"/>
      <c r="D2944" s="62" t="str">
        <f aca="false">IF(C2944="","",IFERROR(INDEX(T_NOMBRE,MATCH(V2944,T_RUTN,0)),"⚠ RUT no está en Trabajadores"))</f>
        <v/>
      </c>
      <c r="E2944" s="61"/>
      <c r="F2944" s="61"/>
      <c r="G2944" s="61"/>
      <c r="H2944" s="61"/>
      <c r="I2944" s="81"/>
      <c r="J2944" s="81"/>
      <c r="K2944" s="60"/>
      <c r="L2944" s="60"/>
      <c r="M2944" s="60"/>
      <c r="N2944" s="60"/>
      <c r="O2944" s="60"/>
      <c r="P2944" s="60"/>
      <c r="Q2944" s="60"/>
      <c r="R2944" s="58"/>
      <c r="S2944" s="62" t="str">
        <f aca="false">IF(OR(B2944="",V2944=""),"",IFERROR(INDEX(C_TIPO,MATCH(V2944&amp;"-P"&amp;MAX(1,COUNTIFS(C_RUTN,V2944,C_DEF,"Sí",C_INI,"&lt;="&amp;EOMONTH(B2944,0))),C_CLAVE,0))&amp;"","Sin contrato"))</f>
        <v/>
      </c>
      <c r="T2944" s="63" t="str">
        <f aca="false">IF(OR(B2944="",N(O2944)=0),"",N(O2944)+ROUND(MIN(N(N2944),TOPE_UF*UF_MES)*(TASA_EMP+MUTUAL),0)+ROUND(MIN(N(N2944),TOPE_AFC_UF*UF_MES)*IF(S2944="Indefinido",AFC_INDEF,AFC_PF),0))</f>
        <v/>
      </c>
      <c r="U2944" s="62" t="str">
        <f aca="false">IF(C2944="","",IF(LEFT(D2944,1)="⚠","⚠ RUT no registrado en Trabajadores",IF(B2944="","⚠ Falta el mes",IF(OR(ISTEXT(I2944),ISTEXT(J2944)),"⚠ Atrasos u horas extra como texto: escriba hh:mm (ej. 1:30)",IF(AND(ISNUMBER(Q2944),COUNTIFS(M_RUTN,V2944,M_MES,B2944,M_LIQ,"&lt;&gt;")&gt;1),"⚠ Liquidación repetida en el mes",IF(AND(ISNUMBER(O2944),ISNUMBER(P2944),ISNUMBER(Q2944),ABS(O2944-P2944-Q2944)&gt;1),"⚠ Haberes − descuentos no da el líquido","OK"))))))</f>
        <v/>
      </c>
      <c r="V2944" s="62" t="str">
        <f aca="false">IF(C2944="","",IFERROR(VALUE(LEFT(UPPER(SUBSTITUTE(SUBSTITUTE(SUBSTITUTE(TRIM(C2944),".",""),"-","")," ","")),LEN(UPPER(SUBSTITUTE(SUBSTITUTE(SUBSTITUTE(TRIM(C2944),".",""),"-","")," ","")))-1))&amp;RIGHT(UPPER(SUBSTITUTE(SUBSTITUTE(SUBSTITUTE(TRIM(C2944),".",""),"-","")," ","")),1),UPPER(SUBSTITUTE(SUBSTITUTE(SUBSTITUTE(TRIM(C2944),".",""),"-","")," ",""))))</f>
        <v/>
      </c>
    </row>
    <row r="2945" customFormat="false" ht="15" hidden="false" customHeight="false" outlineLevel="0" collapsed="false">
      <c r="B2945" s="80"/>
      <c r="C2945" s="58"/>
      <c r="D2945" s="62" t="str">
        <f aca="false">IF(C2945="","",IFERROR(INDEX(T_NOMBRE,MATCH(V2945,T_RUTN,0)),"⚠ RUT no está en Trabajadores"))</f>
        <v/>
      </c>
      <c r="E2945" s="61"/>
      <c r="F2945" s="61"/>
      <c r="G2945" s="61"/>
      <c r="H2945" s="61"/>
      <c r="I2945" s="81"/>
      <c r="J2945" s="81"/>
      <c r="K2945" s="60"/>
      <c r="L2945" s="60"/>
      <c r="M2945" s="60"/>
      <c r="N2945" s="60"/>
      <c r="O2945" s="60"/>
      <c r="P2945" s="60"/>
      <c r="Q2945" s="60"/>
      <c r="R2945" s="58"/>
      <c r="S2945" s="62" t="str">
        <f aca="false">IF(OR(B2945="",V2945=""),"",IFERROR(INDEX(C_TIPO,MATCH(V2945&amp;"-P"&amp;MAX(1,COUNTIFS(C_RUTN,V2945,C_DEF,"Sí",C_INI,"&lt;="&amp;EOMONTH(B2945,0))),C_CLAVE,0))&amp;"","Sin contrato"))</f>
        <v/>
      </c>
      <c r="T2945" s="63" t="str">
        <f aca="false">IF(OR(B2945="",N(O2945)=0),"",N(O2945)+ROUND(MIN(N(N2945),TOPE_UF*UF_MES)*(TASA_EMP+MUTUAL),0)+ROUND(MIN(N(N2945),TOPE_AFC_UF*UF_MES)*IF(S2945="Indefinido",AFC_INDEF,AFC_PF),0))</f>
        <v/>
      </c>
      <c r="U2945" s="62" t="str">
        <f aca="false">IF(C2945="","",IF(LEFT(D2945,1)="⚠","⚠ RUT no registrado en Trabajadores",IF(B2945="","⚠ Falta el mes",IF(OR(ISTEXT(I2945),ISTEXT(J2945)),"⚠ Atrasos u horas extra como texto: escriba hh:mm (ej. 1:30)",IF(AND(ISNUMBER(Q2945),COUNTIFS(M_RUTN,V2945,M_MES,B2945,M_LIQ,"&lt;&gt;")&gt;1),"⚠ Liquidación repetida en el mes",IF(AND(ISNUMBER(O2945),ISNUMBER(P2945),ISNUMBER(Q2945),ABS(O2945-P2945-Q2945)&gt;1),"⚠ Haberes − descuentos no da el líquido","OK"))))))</f>
        <v/>
      </c>
      <c r="V2945" s="62" t="str">
        <f aca="false">IF(C2945="","",IFERROR(VALUE(LEFT(UPPER(SUBSTITUTE(SUBSTITUTE(SUBSTITUTE(TRIM(C2945),".",""),"-","")," ","")),LEN(UPPER(SUBSTITUTE(SUBSTITUTE(SUBSTITUTE(TRIM(C2945),".",""),"-","")," ","")))-1))&amp;RIGHT(UPPER(SUBSTITUTE(SUBSTITUTE(SUBSTITUTE(TRIM(C2945),".",""),"-","")," ","")),1),UPPER(SUBSTITUTE(SUBSTITUTE(SUBSTITUTE(TRIM(C2945),".",""),"-","")," ",""))))</f>
        <v/>
      </c>
    </row>
    <row r="2946" customFormat="false" ht="15" hidden="false" customHeight="false" outlineLevel="0" collapsed="false">
      <c r="B2946" s="80"/>
      <c r="C2946" s="58"/>
      <c r="D2946" s="62" t="str">
        <f aca="false">IF(C2946="","",IFERROR(INDEX(T_NOMBRE,MATCH(V2946,T_RUTN,0)),"⚠ RUT no está en Trabajadores"))</f>
        <v/>
      </c>
      <c r="E2946" s="61"/>
      <c r="F2946" s="61"/>
      <c r="G2946" s="61"/>
      <c r="H2946" s="61"/>
      <c r="I2946" s="81"/>
      <c r="J2946" s="81"/>
      <c r="K2946" s="60"/>
      <c r="L2946" s="60"/>
      <c r="M2946" s="60"/>
      <c r="N2946" s="60"/>
      <c r="O2946" s="60"/>
      <c r="P2946" s="60"/>
      <c r="Q2946" s="60"/>
      <c r="R2946" s="58"/>
      <c r="S2946" s="62" t="str">
        <f aca="false">IF(OR(B2946="",V2946=""),"",IFERROR(INDEX(C_TIPO,MATCH(V2946&amp;"-P"&amp;MAX(1,COUNTIFS(C_RUTN,V2946,C_DEF,"Sí",C_INI,"&lt;="&amp;EOMONTH(B2946,0))),C_CLAVE,0))&amp;"","Sin contrato"))</f>
        <v/>
      </c>
      <c r="T2946" s="63" t="str">
        <f aca="false">IF(OR(B2946="",N(O2946)=0),"",N(O2946)+ROUND(MIN(N(N2946),TOPE_UF*UF_MES)*(TASA_EMP+MUTUAL),0)+ROUND(MIN(N(N2946),TOPE_AFC_UF*UF_MES)*IF(S2946="Indefinido",AFC_INDEF,AFC_PF),0))</f>
        <v/>
      </c>
      <c r="U2946" s="62" t="str">
        <f aca="false">IF(C2946="","",IF(LEFT(D2946,1)="⚠","⚠ RUT no registrado en Trabajadores",IF(B2946="","⚠ Falta el mes",IF(OR(ISTEXT(I2946),ISTEXT(J2946)),"⚠ Atrasos u horas extra como texto: escriba hh:mm (ej. 1:30)",IF(AND(ISNUMBER(Q2946),COUNTIFS(M_RUTN,V2946,M_MES,B2946,M_LIQ,"&lt;&gt;")&gt;1),"⚠ Liquidación repetida en el mes",IF(AND(ISNUMBER(O2946),ISNUMBER(P2946),ISNUMBER(Q2946),ABS(O2946-P2946-Q2946)&gt;1),"⚠ Haberes − descuentos no da el líquido","OK"))))))</f>
        <v/>
      </c>
      <c r="V2946" s="62" t="str">
        <f aca="false">IF(C2946="","",IFERROR(VALUE(LEFT(UPPER(SUBSTITUTE(SUBSTITUTE(SUBSTITUTE(TRIM(C2946),".",""),"-","")," ","")),LEN(UPPER(SUBSTITUTE(SUBSTITUTE(SUBSTITUTE(TRIM(C2946),".",""),"-","")," ","")))-1))&amp;RIGHT(UPPER(SUBSTITUTE(SUBSTITUTE(SUBSTITUTE(TRIM(C2946),".",""),"-","")," ","")),1),UPPER(SUBSTITUTE(SUBSTITUTE(SUBSTITUTE(TRIM(C2946),".",""),"-","")," ",""))))</f>
        <v/>
      </c>
    </row>
    <row r="2947" customFormat="false" ht="15" hidden="false" customHeight="false" outlineLevel="0" collapsed="false">
      <c r="B2947" s="80"/>
      <c r="C2947" s="58"/>
      <c r="D2947" s="62" t="str">
        <f aca="false">IF(C2947="","",IFERROR(INDEX(T_NOMBRE,MATCH(V2947,T_RUTN,0)),"⚠ RUT no está en Trabajadores"))</f>
        <v/>
      </c>
      <c r="E2947" s="61"/>
      <c r="F2947" s="61"/>
      <c r="G2947" s="61"/>
      <c r="H2947" s="61"/>
      <c r="I2947" s="81"/>
      <c r="J2947" s="81"/>
      <c r="K2947" s="60"/>
      <c r="L2947" s="60"/>
      <c r="M2947" s="60"/>
      <c r="N2947" s="60"/>
      <c r="O2947" s="60"/>
      <c r="P2947" s="60"/>
      <c r="Q2947" s="60"/>
      <c r="R2947" s="58"/>
      <c r="S2947" s="62" t="str">
        <f aca="false">IF(OR(B2947="",V2947=""),"",IFERROR(INDEX(C_TIPO,MATCH(V2947&amp;"-P"&amp;MAX(1,COUNTIFS(C_RUTN,V2947,C_DEF,"Sí",C_INI,"&lt;="&amp;EOMONTH(B2947,0))),C_CLAVE,0))&amp;"","Sin contrato"))</f>
        <v/>
      </c>
      <c r="T2947" s="63" t="str">
        <f aca="false">IF(OR(B2947="",N(O2947)=0),"",N(O2947)+ROUND(MIN(N(N2947),TOPE_UF*UF_MES)*(TASA_EMP+MUTUAL),0)+ROUND(MIN(N(N2947),TOPE_AFC_UF*UF_MES)*IF(S2947="Indefinido",AFC_INDEF,AFC_PF),0))</f>
        <v/>
      </c>
      <c r="U2947" s="62" t="str">
        <f aca="false">IF(C2947="","",IF(LEFT(D2947,1)="⚠","⚠ RUT no registrado en Trabajadores",IF(B2947="","⚠ Falta el mes",IF(OR(ISTEXT(I2947),ISTEXT(J2947)),"⚠ Atrasos u horas extra como texto: escriba hh:mm (ej. 1:30)",IF(AND(ISNUMBER(Q2947),COUNTIFS(M_RUTN,V2947,M_MES,B2947,M_LIQ,"&lt;&gt;")&gt;1),"⚠ Liquidación repetida en el mes",IF(AND(ISNUMBER(O2947),ISNUMBER(P2947),ISNUMBER(Q2947),ABS(O2947-P2947-Q2947)&gt;1),"⚠ Haberes − descuentos no da el líquido","OK"))))))</f>
        <v/>
      </c>
      <c r="V2947" s="62" t="str">
        <f aca="false">IF(C2947="","",IFERROR(VALUE(LEFT(UPPER(SUBSTITUTE(SUBSTITUTE(SUBSTITUTE(TRIM(C2947),".",""),"-","")," ","")),LEN(UPPER(SUBSTITUTE(SUBSTITUTE(SUBSTITUTE(TRIM(C2947),".",""),"-","")," ","")))-1))&amp;RIGHT(UPPER(SUBSTITUTE(SUBSTITUTE(SUBSTITUTE(TRIM(C2947),".",""),"-","")," ","")),1),UPPER(SUBSTITUTE(SUBSTITUTE(SUBSTITUTE(TRIM(C2947),".",""),"-","")," ",""))))</f>
        <v/>
      </c>
    </row>
    <row r="2948" customFormat="false" ht="15" hidden="false" customHeight="false" outlineLevel="0" collapsed="false">
      <c r="B2948" s="80"/>
      <c r="C2948" s="58"/>
      <c r="D2948" s="62" t="str">
        <f aca="false">IF(C2948="","",IFERROR(INDEX(T_NOMBRE,MATCH(V2948,T_RUTN,0)),"⚠ RUT no está en Trabajadores"))</f>
        <v/>
      </c>
      <c r="E2948" s="61"/>
      <c r="F2948" s="61"/>
      <c r="G2948" s="61"/>
      <c r="H2948" s="61"/>
      <c r="I2948" s="81"/>
      <c r="J2948" s="81"/>
      <c r="K2948" s="60"/>
      <c r="L2948" s="60"/>
      <c r="M2948" s="60"/>
      <c r="N2948" s="60"/>
      <c r="O2948" s="60"/>
      <c r="P2948" s="60"/>
      <c r="Q2948" s="60"/>
      <c r="R2948" s="58"/>
      <c r="S2948" s="62" t="str">
        <f aca="false">IF(OR(B2948="",V2948=""),"",IFERROR(INDEX(C_TIPO,MATCH(V2948&amp;"-P"&amp;MAX(1,COUNTIFS(C_RUTN,V2948,C_DEF,"Sí",C_INI,"&lt;="&amp;EOMONTH(B2948,0))),C_CLAVE,0))&amp;"","Sin contrato"))</f>
        <v/>
      </c>
      <c r="T2948" s="63" t="str">
        <f aca="false">IF(OR(B2948="",N(O2948)=0),"",N(O2948)+ROUND(MIN(N(N2948),TOPE_UF*UF_MES)*(TASA_EMP+MUTUAL),0)+ROUND(MIN(N(N2948),TOPE_AFC_UF*UF_MES)*IF(S2948="Indefinido",AFC_INDEF,AFC_PF),0))</f>
        <v/>
      </c>
      <c r="U2948" s="62" t="str">
        <f aca="false">IF(C2948="","",IF(LEFT(D2948,1)="⚠","⚠ RUT no registrado en Trabajadores",IF(B2948="","⚠ Falta el mes",IF(OR(ISTEXT(I2948),ISTEXT(J2948)),"⚠ Atrasos u horas extra como texto: escriba hh:mm (ej. 1:30)",IF(AND(ISNUMBER(Q2948),COUNTIFS(M_RUTN,V2948,M_MES,B2948,M_LIQ,"&lt;&gt;")&gt;1),"⚠ Liquidación repetida en el mes",IF(AND(ISNUMBER(O2948),ISNUMBER(P2948),ISNUMBER(Q2948),ABS(O2948-P2948-Q2948)&gt;1),"⚠ Haberes − descuentos no da el líquido","OK"))))))</f>
        <v/>
      </c>
      <c r="V2948" s="62" t="str">
        <f aca="false">IF(C2948="","",IFERROR(VALUE(LEFT(UPPER(SUBSTITUTE(SUBSTITUTE(SUBSTITUTE(TRIM(C2948),".",""),"-","")," ","")),LEN(UPPER(SUBSTITUTE(SUBSTITUTE(SUBSTITUTE(TRIM(C2948),".",""),"-","")," ","")))-1))&amp;RIGHT(UPPER(SUBSTITUTE(SUBSTITUTE(SUBSTITUTE(TRIM(C2948),".",""),"-","")," ","")),1),UPPER(SUBSTITUTE(SUBSTITUTE(SUBSTITUTE(TRIM(C2948),".",""),"-","")," ",""))))</f>
        <v/>
      </c>
    </row>
    <row r="2949" customFormat="false" ht="15" hidden="false" customHeight="false" outlineLevel="0" collapsed="false">
      <c r="B2949" s="80"/>
      <c r="C2949" s="58"/>
      <c r="D2949" s="62" t="str">
        <f aca="false">IF(C2949="","",IFERROR(INDEX(T_NOMBRE,MATCH(V2949,T_RUTN,0)),"⚠ RUT no está en Trabajadores"))</f>
        <v/>
      </c>
      <c r="E2949" s="61"/>
      <c r="F2949" s="61"/>
      <c r="G2949" s="61"/>
      <c r="H2949" s="61"/>
      <c r="I2949" s="81"/>
      <c r="J2949" s="81"/>
      <c r="K2949" s="60"/>
      <c r="L2949" s="60"/>
      <c r="M2949" s="60"/>
      <c r="N2949" s="60"/>
      <c r="O2949" s="60"/>
      <c r="P2949" s="60"/>
      <c r="Q2949" s="60"/>
      <c r="R2949" s="58"/>
      <c r="S2949" s="62" t="str">
        <f aca="false">IF(OR(B2949="",V2949=""),"",IFERROR(INDEX(C_TIPO,MATCH(V2949&amp;"-P"&amp;MAX(1,COUNTIFS(C_RUTN,V2949,C_DEF,"Sí",C_INI,"&lt;="&amp;EOMONTH(B2949,0))),C_CLAVE,0))&amp;"","Sin contrato"))</f>
        <v/>
      </c>
      <c r="T2949" s="63" t="str">
        <f aca="false">IF(OR(B2949="",N(O2949)=0),"",N(O2949)+ROUND(MIN(N(N2949),TOPE_UF*UF_MES)*(TASA_EMP+MUTUAL),0)+ROUND(MIN(N(N2949),TOPE_AFC_UF*UF_MES)*IF(S2949="Indefinido",AFC_INDEF,AFC_PF),0))</f>
        <v/>
      </c>
      <c r="U2949" s="62" t="str">
        <f aca="false">IF(C2949="","",IF(LEFT(D2949,1)="⚠","⚠ RUT no registrado en Trabajadores",IF(B2949="","⚠ Falta el mes",IF(OR(ISTEXT(I2949),ISTEXT(J2949)),"⚠ Atrasos u horas extra como texto: escriba hh:mm (ej. 1:30)",IF(AND(ISNUMBER(Q2949),COUNTIFS(M_RUTN,V2949,M_MES,B2949,M_LIQ,"&lt;&gt;")&gt;1),"⚠ Liquidación repetida en el mes",IF(AND(ISNUMBER(O2949),ISNUMBER(P2949),ISNUMBER(Q2949),ABS(O2949-P2949-Q2949)&gt;1),"⚠ Haberes − descuentos no da el líquido","OK"))))))</f>
        <v/>
      </c>
      <c r="V2949" s="62" t="str">
        <f aca="false">IF(C2949="","",IFERROR(VALUE(LEFT(UPPER(SUBSTITUTE(SUBSTITUTE(SUBSTITUTE(TRIM(C2949),".",""),"-","")," ","")),LEN(UPPER(SUBSTITUTE(SUBSTITUTE(SUBSTITUTE(TRIM(C2949),".",""),"-","")," ","")))-1))&amp;RIGHT(UPPER(SUBSTITUTE(SUBSTITUTE(SUBSTITUTE(TRIM(C2949),".",""),"-","")," ","")),1),UPPER(SUBSTITUTE(SUBSTITUTE(SUBSTITUTE(TRIM(C2949),".",""),"-","")," ",""))))</f>
        <v/>
      </c>
    </row>
    <row r="2950" customFormat="false" ht="15" hidden="false" customHeight="false" outlineLevel="0" collapsed="false">
      <c r="B2950" s="80"/>
      <c r="C2950" s="58"/>
      <c r="D2950" s="62" t="str">
        <f aca="false">IF(C2950="","",IFERROR(INDEX(T_NOMBRE,MATCH(V2950,T_RUTN,0)),"⚠ RUT no está en Trabajadores"))</f>
        <v/>
      </c>
      <c r="E2950" s="61"/>
      <c r="F2950" s="61"/>
      <c r="G2950" s="61"/>
      <c r="H2950" s="61"/>
      <c r="I2950" s="81"/>
      <c r="J2950" s="81"/>
      <c r="K2950" s="60"/>
      <c r="L2950" s="60"/>
      <c r="M2950" s="60"/>
      <c r="N2950" s="60"/>
      <c r="O2950" s="60"/>
      <c r="P2950" s="60"/>
      <c r="Q2950" s="60"/>
      <c r="R2950" s="58"/>
      <c r="S2950" s="62" t="str">
        <f aca="false">IF(OR(B2950="",V2950=""),"",IFERROR(INDEX(C_TIPO,MATCH(V2950&amp;"-P"&amp;MAX(1,COUNTIFS(C_RUTN,V2950,C_DEF,"Sí",C_INI,"&lt;="&amp;EOMONTH(B2950,0))),C_CLAVE,0))&amp;"","Sin contrato"))</f>
        <v/>
      </c>
      <c r="T2950" s="63" t="str">
        <f aca="false">IF(OR(B2950="",N(O2950)=0),"",N(O2950)+ROUND(MIN(N(N2950),TOPE_UF*UF_MES)*(TASA_EMP+MUTUAL),0)+ROUND(MIN(N(N2950),TOPE_AFC_UF*UF_MES)*IF(S2950="Indefinido",AFC_INDEF,AFC_PF),0))</f>
        <v/>
      </c>
      <c r="U2950" s="62" t="str">
        <f aca="false">IF(C2950="","",IF(LEFT(D2950,1)="⚠","⚠ RUT no registrado en Trabajadores",IF(B2950="","⚠ Falta el mes",IF(OR(ISTEXT(I2950),ISTEXT(J2950)),"⚠ Atrasos u horas extra como texto: escriba hh:mm (ej. 1:30)",IF(AND(ISNUMBER(Q2950),COUNTIFS(M_RUTN,V2950,M_MES,B2950,M_LIQ,"&lt;&gt;")&gt;1),"⚠ Liquidación repetida en el mes",IF(AND(ISNUMBER(O2950),ISNUMBER(P2950),ISNUMBER(Q2950),ABS(O2950-P2950-Q2950)&gt;1),"⚠ Haberes − descuentos no da el líquido","OK"))))))</f>
        <v/>
      </c>
      <c r="V2950" s="62" t="str">
        <f aca="false">IF(C2950="","",IFERROR(VALUE(LEFT(UPPER(SUBSTITUTE(SUBSTITUTE(SUBSTITUTE(TRIM(C2950),".",""),"-","")," ","")),LEN(UPPER(SUBSTITUTE(SUBSTITUTE(SUBSTITUTE(TRIM(C2950),".",""),"-","")," ","")))-1))&amp;RIGHT(UPPER(SUBSTITUTE(SUBSTITUTE(SUBSTITUTE(TRIM(C2950),".",""),"-","")," ","")),1),UPPER(SUBSTITUTE(SUBSTITUTE(SUBSTITUTE(TRIM(C2950),".",""),"-","")," ",""))))</f>
        <v/>
      </c>
    </row>
    <row r="2951" customFormat="false" ht="15" hidden="false" customHeight="false" outlineLevel="0" collapsed="false">
      <c r="B2951" s="80"/>
      <c r="C2951" s="58"/>
      <c r="D2951" s="62" t="str">
        <f aca="false">IF(C2951="","",IFERROR(INDEX(T_NOMBRE,MATCH(V2951,T_RUTN,0)),"⚠ RUT no está en Trabajadores"))</f>
        <v/>
      </c>
      <c r="E2951" s="61"/>
      <c r="F2951" s="61"/>
      <c r="G2951" s="61"/>
      <c r="H2951" s="61"/>
      <c r="I2951" s="81"/>
      <c r="J2951" s="81"/>
      <c r="K2951" s="60"/>
      <c r="L2951" s="60"/>
      <c r="M2951" s="60"/>
      <c r="N2951" s="60"/>
      <c r="O2951" s="60"/>
      <c r="P2951" s="60"/>
      <c r="Q2951" s="60"/>
      <c r="R2951" s="58"/>
      <c r="S2951" s="62" t="str">
        <f aca="false">IF(OR(B2951="",V2951=""),"",IFERROR(INDEX(C_TIPO,MATCH(V2951&amp;"-P"&amp;MAX(1,COUNTIFS(C_RUTN,V2951,C_DEF,"Sí",C_INI,"&lt;="&amp;EOMONTH(B2951,0))),C_CLAVE,0))&amp;"","Sin contrato"))</f>
        <v/>
      </c>
      <c r="T2951" s="63" t="str">
        <f aca="false">IF(OR(B2951="",N(O2951)=0),"",N(O2951)+ROUND(MIN(N(N2951),TOPE_UF*UF_MES)*(TASA_EMP+MUTUAL),0)+ROUND(MIN(N(N2951),TOPE_AFC_UF*UF_MES)*IF(S2951="Indefinido",AFC_INDEF,AFC_PF),0))</f>
        <v/>
      </c>
      <c r="U2951" s="62" t="str">
        <f aca="false">IF(C2951="","",IF(LEFT(D2951,1)="⚠","⚠ RUT no registrado en Trabajadores",IF(B2951="","⚠ Falta el mes",IF(OR(ISTEXT(I2951),ISTEXT(J2951)),"⚠ Atrasos u horas extra como texto: escriba hh:mm (ej. 1:30)",IF(AND(ISNUMBER(Q2951),COUNTIFS(M_RUTN,V2951,M_MES,B2951,M_LIQ,"&lt;&gt;")&gt;1),"⚠ Liquidación repetida en el mes",IF(AND(ISNUMBER(O2951),ISNUMBER(P2951),ISNUMBER(Q2951),ABS(O2951-P2951-Q2951)&gt;1),"⚠ Haberes − descuentos no da el líquido","OK"))))))</f>
        <v/>
      </c>
      <c r="V2951" s="62" t="str">
        <f aca="false">IF(C2951="","",IFERROR(VALUE(LEFT(UPPER(SUBSTITUTE(SUBSTITUTE(SUBSTITUTE(TRIM(C2951),".",""),"-","")," ","")),LEN(UPPER(SUBSTITUTE(SUBSTITUTE(SUBSTITUTE(TRIM(C2951),".",""),"-","")," ","")))-1))&amp;RIGHT(UPPER(SUBSTITUTE(SUBSTITUTE(SUBSTITUTE(TRIM(C2951),".",""),"-","")," ","")),1),UPPER(SUBSTITUTE(SUBSTITUTE(SUBSTITUTE(TRIM(C2951),".",""),"-","")," ",""))))</f>
        <v/>
      </c>
    </row>
    <row r="2952" customFormat="false" ht="15" hidden="false" customHeight="false" outlineLevel="0" collapsed="false">
      <c r="B2952" s="80"/>
      <c r="C2952" s="58"/>
      <c r="D2952" s="62" t="str">
        <f aca="false">IF(C2952="","",IFERROR(INDEX(T_NOMBRE,MATCH(V2952,T_RUTN,0)),"⚠ RUT no está en Trabajadores"))</f>
        <v/>
      </c>
      <c r="E2952" s="61"/>
      <c r="F2952" s="61"/>
      <c r="G2952" s="61"/>
      <c r="H2952" s="61"/>
      <c r="I2952" s="81"/>
      <c r="J2952" s="81"/>
      <c r="K2952" s="60"/>
      <c r="L2952" s="60"/>
      <c r="M2952" s="60"/>
      <c r="N2952" s="60"/>
      <c r="O2952" s="60"/>
      <c r="P2952" s="60"/>
      <c r="Q2952" s="60"/>
      <c r="R2952" s="58"/>
      <c r="S2952" s="62" t="str">
        <f aca="false">IF(OR(B2952="",V2952=""),"",IFERROR(INDEX(C_TIPO,MATCH(V2952&amp;"-P"&amp;MAX(1,COUNTIFS(C_RUTN,V2952,C_DEF,"Sí",C_INI,"&lt;="&amp;EOMONTH(B2952,0))),C_CLAVE,0))&amp;"","Sin contrato"))</f>
        <v/>
      </c>
      <c r="T2952" s="63" t="str">
        <f aca="false">IF(OR(B2952="",N(O2952)=0),"",N(O2952)+ROUND(MIN(N(N2952),TOPE_UF*UF_MES)*(TASA_EMP+MUTUAL),0)+ROUND(MIN(N(N2952),TOPE_AFC_UF*UF_MES)*IF(S2952="Indefinido",AFC_INDEF,AFC_PF),0))</f>
        <v/>
      </c>
      <c r="U2952" s="62" t="str">
        <f aca="false">IF(C2952="","",IF(LEFT(D2952,1)="⚠","⚠ RUT no registrado en Trabajadores",IF(B2952="","⚠ Falta el mes",IF(OR(ISTEXT(I2952),ISTEXT(J2952)),"⚠ Atrasos u horas extra como texto: escriba hh:mm (ej. 1:30)",IF(AND(ISNUMBER(Q2952),COUNTIFS(M_RUTN,V2952,M_MES,B2952,M_LIQ,"&lt;&gt;")&gt;1),"⚠ Liquidación repetida en el mes",IF(AND(ISNUMBER(O2952),ISNUMBER(P2952),ISNUMBER(Q2952),ABS(O2952-P2952-Q2952)&gt;1),"⚠ Haberes − descuentos no da el líquido","OK"))))))</f>
        <v/>
      </c>
      <c r="V2952" s="62" t="str">
        <f aca="false">IF(C2952="","",IFERROR(VALUE(LEFT(UPPER(SUBSTITUTE(SUBSTITUTE(SUBSTITUTE(TRIM(C2952),".",""),"-","")," ","")),LEN(UPPER(SUBSTITUTE(SUBSTITUTE(SUBSTITUTE(TRIM(C2952),".",""),"-","")," ","")))-1))&amp;RIGHT(UPPER(SUBSTITUTE(SUBSTITUTE(SUBSTITUTE(TRIM(C2952),".",""),"-","")," ","")),1),UPPER(SUBSTITUTE(SUBSTITUTE(SUBSTITUTE(TRIM(C2952),".",""),"-","")," ",""))))</f>
        <v/>
      </c>
    </row>
    <row r="2953" customFormat="false" ht="15" hidden="false" customHeight="false" outlineLevel="0" collapsed="false">
      <c r="B2953" s="80"/>
      <c r="C2953" s="58"/>
      <c r="D2953" s="62" t="str">
        <f aca="false">IF(C2953="","",IFERROR(INDEX(T_NOMBRE,MATCH(V2953,T_RUTN,0)),"⚠ RUT no está en Trabajadores"))</f>
        <v/>
      </c>
      <c r="E2953" s="61"/>
      <c r="F2953" s="61"/>
      <c r="G2953" s="61"/>
      <c r="H2953" s="61"/>
      <c r="I2953" s="81"/>
      <c r="J2953" s="81"/>
      <c r="K2953" s="60"/>
      <c r="L2953" s="60"/>
      <c r="M2953" s="60"/>
      <c r="N2953" s="60"/>
      <c r="O2953" s="60"/>
      <c r="P2953" s="60"/>
      <c r="Q2953" s="60"/>
      <c r="R2953" s="58"/>
      <c r="S2953" s="62" t="str">
        <f aca="false">IF(OR(B2953="",V2953=""),"",IFERROR(INDEX(C_TIPO,MATCH(V2953&amp;"-P"&amp;MAX(1,COUNTIFS(C_RUTN,V2953,C_DEF,"Sí",C_INI,"&lt;="&amp;EOMONTH(B2953,0))),C_CLAVE,0))&amp;"","Sin contrato"))</f>
        <v/>
      </c>
      <c r="T2953" s="63" t="str">
        <f aca="false">IF(OR(B2953="",N(O2953)=0),"",N(O2953)+ROUND(MIN(N(N2953),TOPE_UF*UF_MES)*(TASA_EMP+MUTUAL),0)+ROUND(MIN(N(N2953),TOPE_AFC_UF*UF_MES)*IF(S2953="Indefinido",AFC_INDEF,AFC_PF),0))</f>
        <v/>
      </c>
      <c r="U2953" s="62" t="str">
        <f aca="false">IF(C2953="","",IF(LEFT(D2953,1)="⚠","⚠ RUT no registrado en Trabajadores",IF(B2953="","⚠ Falta el mes",IF(OR(ISTEXT(I2953),ISTEXT(J2953)),"⚠ Atrasos u horas extra como texto: escriba hh:mm (ej. 1:30)",IF(AND(ISNUMBER(Q2953),COUNTIFS(M_RUTN,V2953,M_MES,B2953,M_LIQ,"&lt;&gt;")&gt;1),"⚠ Liquidación repetida en el mes",IF(AND(ISNUMBER(O2953),ISNUMBER(P2953),ISNUMBER(Q2953),ABS(O2953-P2953-Q2953)&gt;1),"⚠ Haberes − descuentos no da el líquido","OK"))))))</f>
        <v/>
      </c>
      <c r="V2953" s="62" t="str">
        <f aca="false">IF(C2953="","",IFERROR(VALUE(LEFT(UPPER(SUBSTITUTE(SUBSTITUTE(SUBSTITUTE(TRIM(C2953),".",""),"-","")," ","")),LEN(UPPER(SUBSTITUTE(SUBSTITUTE(SUBSTITUTE(TRIM(C2953),".",""),"-","")," ","")))-1))&amp;RIGHT(UPPER(SUBSTITUTE(SUBSTITUTE(SUBSTITUTE(TRIM(C2953),".",""),"-","")," ","")),1),UPPER(SUBSTITUTE(SUBSTITUTE(SUBSTITUTE(TRIM(C2953),".",""),"-","")," ",""))))</f>
        <v/>
      </c>
    </row>
    <row r="2954" customFormat="false" ht="15" hidden="false" customHeight="false" outlineLevel="0" collapsed="false">
      <c r="B2954" s="80"/>
      <c r="C2954" s="58"/>
      <c r="D2954" s="62" t="str">
        <f aca="false">IF(C2954="","",IFERROR(INDEX(T_NOMBRE,MATCH(V2954,T_RUTN,0)),"⚠ RUT no está en Trabajadores"))</f>
        <v/>
      </c>
      <c r="E2954" s="61"/>
      <c r="F2954" s="61"/>
      <c r="G2954" s="61"/>
      <c r="H2954" s="61"/>
      <c r="I2954" s="81"/>
      <c r="J2954" s="81"/>
      <c r="K2954" s="60"/>
      <c r="L2954" s="60"/>
      <c r="M2954" s="60"/>
      <c r="N2954" s="60"/>
      <c r="O2954" s="60"/>
      <c r="P2954" s="60"/>
      <c r="Q2954" s="60"/>
      <c r="R2954" s="58"/>
      <c r="S2954" s="62" t="str">
        <f aca="false">IF(OR(B2954="",V2954=""),"",IFERROR(INDEX(C_TIPO,MATCH(V2954&amp;"-P"&amp;MAX(1,COUNTIFS(C_RUTN,V2954,C_DEF,"Sí",C_INI,"&lt;="&amp;EOMONTH(B2954,0))),C_CLAVE,0))&amp;"","Sin contrato"))</f>
        <v/>
      </c>
      <c r="T2954" s="63" t="str">
        <f aca="false">IF(OR(B2954="",N(O2954)=0),"",N(O2954)+ROUND(MIN(N(N2954),TOPE_UF*UF_MES)*(TASA_EMP+MUTUAL),0)+ROUND(MIN(N(N2954),TOPE_AFC_UF*UF_MES)*IF(S2954="Indefinido",AFC_INDEF,AFC_PF),0))</f>
        <v/>
      </c>
      <c r="U2954" s="62" t="str">
        <f aca="false">IF(C2954="","",IF(LEFT(D2954,1)="⚠","⚠ RUT no registrado en Trabajadores",IF(B2954="","⚠ Falta el mes",IF(OR(ISTEXT(I2954),ISTEXT(J2954)),"⚠ Atrasos u horas extra como texto: escriba hh:mm (ej. 1:30)",IF(AND(ISNUMBER(Q2954),COUNTIFS(M_RUTN,V2954,M_MES,B2954,M_LIQ,"&lt;&gt;")&gt;1),"⚠ Liquidación repetida en el mes",IF(AND(ISNUMBER(O2954),ISNUMBER(P2954),ISNUMBER(Q2954),ABS(O2954-P2954-Q2954)&gt;1),"⚠ Haberes − descuentos no da el líquido","OK"))))))</f>
        <v/>
      </c>
      <c r="V2954" s="62" t="str">
        <f aca="false">IF(C2954="","",IFERROR(VALUE(LEFT(UPPER(SUBSTITUTE(SUBSTITUTE(SUBSTITUTE(TRIM(C2954),".",""),"-","")," ","")),LEN(UPPER(SUBSTITUTE(SUBSTITUTE(SUBSTITUTE(TRIM(C2954),".",""),"-","")," ","")))-1))&amp;RIGHT(UPPER(SUBSTITUTE(SUBSTITUTE(SUBSTITUTE(TRIM(C2954),".",""),"-","")," ","")),1),UPPER(SUBSTITUTE(SUBSTITUTE(SUBSTITUTE(TRIM(C2954),".",""),"-","")," ",""))))</f>
        <v/>
      </c>
    </row>
    <row r="2955" customFormat="false" ht="15" hidden="false" customHeight="false" outlineLevel="0" collapsed="false">
      <c r="B2955" s="80"/>
      <c r="C2955" s="58"/>
      <c r="D2955" s="62" t="str">
        <f aca="false">IF(C2955="","",IFERROR(INDEX(T_NOMBRE,MATCH(V2955,T_RUTN,0)),"⚠ RUT no está en Trabajadores"))</f>
        <v/>
      </c>
      <c r="E2955" s="61"/>
      <c r="F2955" s="61"/>
      <c r="G2955" s="61"/>
      <c r="H2955" s="61"/>
      <c r="I2955" s="81"/>
      <c r="J2955" s="81"/>
      <c r="K2955" s="60"/>
      <c r="L2955" s="60"/>
      <c r="M2955" s="60"/>
      <c r="N2955" s="60"/>
      <c r="O2955" s="60"/>
      <c r="P2955" s="60"/>
      <c r="Q2955" s="60"/>
      <c r="R2955" s="58"/>
      <c r="S2955" s="62" t="str">
        <f aca="false">IF(OR(B2955="",V2955=""),"",IFERROR(INDEX(C_TIPO,MATCH(V2955&amp;"-P"&amp;MAX(1,COUNTIFS(C_RUTN,V2955,C_DEF,"Sí",C_INI,"&lt;="&amp;EOMONTH(B2955,0))),C_CLAVE,0))&amp;"","Sin contrato"))</f>
        <v/>
      </c>
      <c r="T2955" s="63" t="str">
        <f aca="false">IF(OR(B2955="",N(O2955)=0),"",N(O2955)+ROUND(MIN(N(N2955),TOPE_UF*UF_MES)*(TASA_EMP+MUTUAL),0)+ROUND(MIN(N(N2955),TOPE_AFC_UF*UF_MES)*IF(S2955="Indefinido",AFC_INDEF,AFC_PF),0))</f>
        <v/>
      </c>
      <c r="U2955" s="62" t="str">
        <f aca="false">IF(C2955="","",IF(LEFT(D2955,1)="⚠","⚠ RUT no registrado en Trabajadores",IF(B2955="","⚠ Falta el mes",IF(OR(ISTEXT(I2955),ISTEXT(J2955)),"⚠ Atrasos u horas extra como texto: escriba hh:mm (ej. 1:30)",IF(AND(ISNUMBER(Q2955),COUNTIFS(M_RUTN,V2955,M_MES,B2955,M_LIQ,"&lt;&gt;")&gt;1),"⚠ Liquidación repetida en el mes",IF(AND(ISNUMBER(O2955),ISNUMBER(P2955),ISNUMBER(Q2955),ABS(O2955-P2955-Q2955)&gt;1),"⚠ Haberes − descuentos no da el líquido","OK"))))))</f>
        <v/>
      </c>
      <c r="V2955" s="62" t="str">
        <f aca="false">IF(C2955="","",IFERROR(VALUE(LEFT(UPPER(SUBSTITUTE(SUBSTITUTE(SUBSTITUTE(TRIM(C2955),".",""),"-","")," ","")),LEN(UPPER(SUBSTITUTE(SUBSTITUTE(SUBSTITUTE(TRIM(C2955),".",""),"-","")," ","")))-1))&amp;RIGHT(UPPER(SUBSTITUTE(SUBSTITUTE(SUBSTITUTE(TRIM(C2955),".",""),"-","")," ","")),1),UPPER(SUBSTITUTE(SUBSTITUTE(SUBSTITUTE(TRIM(C2955),".",""),"-","")," ",""))))</f>
        <v/>
      </c>
    </row>
    <row r="2956" customFormat="false" ht="15" hidden="false" customHeight="false" outlineLevel="0" collapsed="false">
      <c r="B2956" s="80"/>
      <c r="C2956" s="58"/>
      <c r="D2956" s="62" t="str">
        <f aca="false">IF(C2956="","",IFERROR(INDEX(T_NOMBRE,MATCH(V2956,T_RUTN,0)),"⚠ RUT no está en Trabajadores"))</f>
        <v/>
      </c>
      <c r="E2956" s="61"/>
      <c r="F2956" s="61"/>
      <c r="G2956" s="61"/>
      <c r="H2956" s="61"/>
      <c r="I2956" s="81"/>
      <c r="J2956" s="81"/>
      <c r="K2956" s="60"/>
      <c r="L2956" s="60"/>
      <c r="M2956" s="60"/>
      <c r="N2956" s="60"/>
      <c r="O2956" s="60"/>
      <c r="P2956" s="60"/>
      <c r="Q2956" s="60"/>
      <c r="R2956" s="58"/>
      <c r="S2956" s="62" t="str">
        <f aca="false">IF(OR(B2956="",V2956=""),"",IFERROR(INDEX(C_TIPO,MATCH(V2956&amp;"-P"&amp;MAX(1,COUNTIFS(C_RUTN,V2956,C_DEF,"Sí",C_INI,"&lt;="&amp;EOMONTH(B2956,0))),C_CLAVE,0))&amp;"","Sin contrato"))</f>
        <v/>
      </c>
      <c r="T2956" s="63" t="str">
        <f aca="false">IF(OR(B2956="",N(O2956)=0),"",N(O2956)+ROUND(MIN(N(N2956),TOPE_UF*UF_MES)*(TASA_EMP+MUTUAL),0)+ROUND(MIN(N(N2956),TOPE_AFC_UF*UF_MES)*IF(S2956="Indefinido",AFC_INDEF,AFC_PF),0))</f>
        <v/>
      </c>
      <c r="U2956" s="62" t="str">
        <f aca="false">IF(C2956="","",IF(LEFT(D2956,1)="⚠","⚠ RUT no registrado en Trabajadores",IF(B2956="","⚠ Falta el mes",IF(OR(ISTEXT(I2956),ISTEXT(J2956)),"⚠ Atrasos u horas extra como texto: escriba hh:mm (ej. 1:30)",IF(AND(ISNUMBER(Q2956),COUNTIFS(M_RUTN,V2956,M_MES,B2956,M_LIQ,"&lt;&gt;")&gt;1),"⚠ Liquidación repetida en el mes",IF(AND(ISNUMBER(O2956),ISNUMBER(P2956),ISNUMBER(Q2956),ABS(O2956-P2956-Q2956)&gt;1),"⚠ Haberes − descuentos no da el líquido","OK"))))))</f>
        <v/>
      </c>
      <c r="V2956" s="62" t="str">
        <f aca="false">IF(C2956="","",IFERROR(VALUE(LEFT(UPPER(SUBSTITUTE(SUBSTITUTE(SUBSTITUTE(TRIM(C2956),".",""),"-","")," ","")),LEN(UPPER(SUBSTITUTE(SUBSTITUTE(SUBSTITUTE(TRIM(C2956),".",""),"-","")," ","")))-1))&amp;RIGHT(UPPER(SUBSTITUTE(SUBSTITUTE(SUBSTITUTE(TRIM(C2956),".",""),"-","")," ","")),1),UPPER(SUBSTITUTE(SUBSTITUTE(SUBSTITUTE(TRIM(C2956),".",""),"-","")," ",""))))</f>
        <v/>
      </c>
    </row>
    <row r="2957" customFormat="false" ht="15" hidden="false" customHeight="false" outlineLevel="0" collapsed="false">
      <c r="B2957" s="80"/>
      <c r="C2957" s="58"/>
      <c r="D2957" s="62" t="str">
        <f aca="false">IF(C2957="","",IFERROR(INDEX(T_NOMBRE,MATCH(V2957,T_RUTN,0)),"⚠ RUT no está en Trabajadores"))</f>
        <v/>
      </c>
      <c r="E2957" s="61"/>
      <c r="F2957" s="61"/>
      <c r="G2957" s="61"/>
      <c r="H2957" s="61"/>
      <c r="I2957" s="81"/>
      <c r="J2957" s="81"/>
      <c r="K2957" s="60"/>
      <c r="L2957" s="60"/>
      <c r="M2957" s="60"/>
      <c r="N2957" s="60"/>
      <c r="O2957" s="60"/>
      <c r="P2957" s="60"/>
      <c r="Q2957" s="60"/>
      <c r="R2957" s="58"/>
      <c r="S2957" s="62" t="str">
        <f aca="false">IF(OR(B2957="",V2957=""),"",IFERROR(INDEX(C_TIPO,MATCH(V2957&amp;"-P"&amp;MAX(1,COUNTIFS(C_RUTN,V2957,C_DEF,"Sí",C_INI,"&lt;="&amp;EOMONTH(B2957,0))),C_CLAVE,0))&amp;"","Sin contrato"))</f>
        <v/>
      </c>
      <c r="T2957" s="63" t="str">
        <f aca="false">IF(OR(B2957="",N(O2957)=0),"",N(O2957)+ROUND(MIN(N(N2957),TOPE_UF*UF_MES)*(TASA_EMP+MUTUAL),0)+ROUND(MIN(N(N2957),TOPE_AFC_UF*UF_MES)*IF(S2957="Indefinido",AFC_INDEF,AFC_PF),0))</f>
        <v/>
      </c>
      <c r="U2957" s="62" t="str">
        <f aca="false">IF(C2957="","",IF(LEFT(D2957,1)="⚠","⚠ RUT no registrado en Trabajadores",IF(B2957="","⚠ Falta el mes",IF(OR(ISTEXT(I2957),ISTEXT(J2957)),"⚠ Atrasos u horas extra como texto: escriba hh:mm (ej. 1:30)",IF(AND(ISNUMBER(Q2957),COUNTIFS(M_RUTN,V2957,M_MES,B2957,M_LIQ,"&lt;&gt;")&gt;1),"⚠ Liquidación repetida en el mes",IF(AND(ISNUMBER(O2957),ISNUMBER(P2957),ISNUMBER(Q2957),ABS(O2957-P2957-Q2957)&gt;1),"⚠ Haberes − descuentos no da el líquido","OK"))))))</f>
        <v/>
      </c>
      <c r="V2957" s="62" t="str">
        <f aca="false">IF(C2957="","",IFERROR(VALUE(LEFT(UPPER(SUBSTITUTE(SUBSTITUTE(SUBSTITUTE(TRIM(C2957),".",""),"-","")," ","")),LEN(UPPER(SUBSTITUTE(SUBSTITUTE(SUBSTITUTE(TRIM(C2957),".",""),"-","")," ","")))-1))&amp;RIGHT(UPPER(SUBSTITUTE(SUBSTITUTE(SUBSTITUTE(TRIM(C2957),".",""),"-","")," ","")),1),UPPER(SUBSTITUTE(SUBSTITUTE(SUBSTITUTE(TRIM(C2957),".",""),"-","")," ",""))))</f>
        <v/>
      </c>
    </row>
    <row r="2958" customFormat="false" ht="15" hidden="false" customHeight="false" outlineLevel="0" collapsed="false">
      <c r="B2958" s="80"/>
      <c r="C2958" s="58"/>
      <c r="D2958" s="62" t="str">
        <f aca="false">IF(C2958="","",IFERROR(INDEX(T_NOMBRE,MATCH(V2958,T_RUTN,0)),"⚠ RUT no está en Trabajadores"))</f>
        <v/>
      </c>
      <c r="E2958" s="61"/>
      <c r="F2958" s="61"/>
      <c r="G2958" s="61"/>
      <c r="H2958" s="61"/>
      <c r="I2958" s="81"/>
      <c r="J2958" s="81"/>
      <c r="K2958" s="60"/>
      <c r="L2958" s="60"/>
      <c r="M2958" s="60"/>
      <c r="N2958" s="60"/>
      <c r="O2958" s="60"/>
      <c r="P2958" s="60"/>
      <c r="Q2958" s="60"/>
      <c r="R2958" s="58"/>
      <c r="S2958" s="62" t="str">
        <f aca="false">IF(OR(B2958="",V2958=""),"",IFERROR(INDEX(C_TIPO,MATCH(V2958&amp;"-P"&amp;MAX(1,COUNTIFS(C_RUTN,V2958,C_DEF,"Sí",C_INI,"&lt;="&amp;EOMONTH(B2958,0))),C_CLAVE,0))&amp;"","Sin contrato"))</f>
        <v/>
      </c>
      <c r="T2958" s="63" t="str">
        <f aca="false">IF(OR(B2958="",N(O2958)=0),"",N(O2958)+ROUND(MIN(N(N2958),TOPE_UF*UF_MES)*(TASA_EMP+MUTUAL),0)+ROUND(MIN(N(N2958),TOPE_AFC_UF*UF_MES)*IF(S2958="Indefinido",AFC_INDEF,AFC_PF),0))</f>
        <v/>
      </c>
      <c r="U2958" s="62" t="str">
        <f aca="false">IF(C2958="","",IF(LEFT(D2958,1)="⚠","⚠ RUT no registrado en Trabajadores",IF(B2958="","⚠ Falta el mes",IF(OR(ISTEXT(I2958),ISTEXT(J2958)),"⚠ Atrasos u horas extra como texto: escriba hh:mm (ej. 1:30)",IF(AND(ISNUMBER(Q2958),COUNTIFS(M_RUTN,V2958,M_MES,B2958,M_LIQ,"&lt;&gt;")&gt;1),"⚠ Liquidación repetida en el mes",IF(AND(ISNUMBER(O2958),ISNUMBER(P2958),ISNUMBER(Q2958),ABS(O2958-P2958-Q2958)&gt;1),"⚠ Haberes − descuentos no da el líquido","OK"))))))</f>
        <v/>
      </c>
      <c r="V2958" s="62" t="str">
        <f aca="false">IF(C2958="","",IFERROR(VALUE(LEFT(UPPER(SUBSTITUTE(SUBSTITUTE(SUBSTITUTE(TRIM(C2958),".",""),"-","")," ","")),LEN(UPPER(SUBSTITUTE(SUBSTITUTE(SUBSTITUTE(TRIM(C2958),".",""),"-","")," ","")))-1))&amp;RIGHT(UPPER(SUBSTITUTE(SUBSTITUTE(SUBSTITUTE(TRIM(C2958),".",""),"-","")," ","")),1),UPPER(SUBSTITUTE(SUBSTITUTE(SUBSTITUTE(TRIM(C2958),".",""),"-","")," ",""))))</f>
        <v/>
      </c>
    </row>
    <row r="2959" customFormat="false" ht="15" hidden="false" customHeight="false" outlineLevel="0" collapsed="false">
      <c r="B2959" s="80"/>
      <c r="C2959" s="58"/>
      <c r="D2959" s="62" t="str">
        <f aca="false">IF(C2959="","",IFERROR(INDEX(T_NOMBRE,MATCH(V2959,T_RUTN,0)),"⚠ RUT no está en Trabajadores"))</f>
        <v/>
      </c>
      <c r="E2959" s="61"/>
      <c r="F2959" s="61"/>
      <c r="G2959" s="61"/>
      <c r="H2959" s="61"/>
      <c r="I2959" s="81"/>
      <c r="J2959" s="81"/>
      <c r="K2959" s="60"/>
      <c r="L2959" s="60"/>
      <c r="M2959" s="60"/>
      <c r="N2959" s="60"/>
      <c r="O2959" s="60"/>
      <c r="P2959" s="60"/>
      <c r="Q2959" s="60"/>
      <c r="R2959" s="58"/>
      <c r="S2959" s="62" t="str">
        <f aca="false">IF(OR(B2959="",V2959=""),"",IFERROR(INDEX(C_TIPO,MATCH(V2959&amp;"-P"&amp;MAX(1,COUNTIFS(C_RUTN,V2959,C_DEF,"Sí",C_INI,"&lt;="&amp;EOMONTH(B2959,0))),C_CLAVE,0))&amp;"","Sin contrato"))</f>
        <v/>
      </c>
      <c r="T2959" s="63" t="str">
        <f aca="false">IF(OR(B2959="",N(O2959)=0),"",N(O2959)+ROUND(MIN(N(N2959),TOPE_UF*UF_MES)*(TASA_EMP+MUTUAL),0)+ROUND(MIN(N(N2959),TOPE_AFC_UF*UF_MES)*IF(S2959="Indefinido",AFC_INDEF,AFC_PF),0))</f>
        <v/>
      </c>
      <c r="U2959" s="62" t="str">
        <f aca="false">IF(C2959="","",IF(LEFT(D2959,1)="⚠","⚠ RUT no registrado en Trabajadores",IF(B2959="","⚠ Falta el mes",IF(OR(ISTEXT(I2959),ISTEXT(J2959)),"⚠ Atrasos u horas extra como texto: escriba hh:mm (ej. 1:30)",IF(AND(ISNUMBER(Q2959),COUNTIFS(M_RUTN,V2959,M_MES,B2959,M_LIQ,"&lt;&gt;")&gt;1),"⚠ Liquidación repetida en el mes",IF(AND(ISNUMBER(O2959),ISNUMBER(P2959),ISNUMBER(Q2959),ABS(O2959-P2959-Q2959)&gt;1),"⚠ Haberes − descuentos no da el líquido","OK"))))))</f>
        <v/>
      </c>
      <c r="V2959" s="62" t="str">
        <f aca="false">IF(C2959="","",IFERROR(VALUE(LEFT(UPPER(SUBSTITUTE(SUBSTITUTE(SUBSTITUTE(TRIM(C2959),".",""),"-","")," ","")),LEN(UPPER(SUBSTITUTE(SUBSTITUTE(SUBSTITUTE(TRIM(C2959),".",""),"-","")," ","")))-1))&amp;RIGHT(UPPER(SUBSTITUTE(SUBSTITUTE(SUBSTITUTE(TRIM(C2959),".",""),"-","")," ","")),1),UPPER(SUBSTITUTE(SUBSTITUTE(SUBSTITUTE(TRIM(C2959),".",""),"-","")," ",""))))</f>
        <v/>
      </c>
    </row>
    <row r="2960" customFormat="false" ht="15" hidden="false" customHeight="false" outlineLevel="0" collapsed="false">
      <c r="B2960" s="80"/>
      <c r="C2960" s="58"/>
      <c r="D2960" s="62" t="str">
        <f aca="false">IF(C2960="","",IFERROR(INDEX(T_NOMBRE,MATCH(V2960,T_RUTN,0)),"⚠ RUT no está en Trabajadores"))</f>
        <v/>
      </c>
      <c r="E2960" s="61"/>
      <c r="F2960" s="61"/>
      <c r="G2960" s="61"/>
      <c r="H2960" s="61"/>
      <c r="I2960" s="81"/>
      <c r="J2960" s="81"/>
      <c r="K2960" s="60"/>
      <c r="L2960" s="60"/>
      <c r="M2960" s="60"/>
      <c r="N2960" s="60"/>
      <c r="O2960" s="60"/>
      <c r="P2960" s="60"/>
      <c r="Q2960" s="60"/>
      <c r="R2960" s="58"/>
      <c r="S2960" s="62" t="str">
        <f aca="false">IF(OR(B2960="",V2960=""),"",IFERROR(INDEX(C_TIPO,MATCH(V2960&amp;"-P"&amp;MAX(1,COUNTIFS(C_RUTN,V2960,C_DEF,"Sí",C_INI,"&lt;="&amp;EOMONTH(B2960,0))),C_CLAVE,0))&amp;"","Sin contrato"))</f>
        <v/>
      </c>
      <c r="T2960" s="63" t="str">
        <f aca="false">IF(OR(B2960="",N(O2960)=0),"",N(O2960)+ROUND(MIN(N(N2960),TOPE_UF*UF_MES)*(TASA_EMP+MUTUAL),0)+ROUND(MIN(N(N2960),TOPE_AFC_UF*UF_MES)*IF(S2960="Indefinido",AFC_INDEF,AFC_PF),0))</f>
        <v/>
      </c>
      <c r="U2960" s="62" t="str">
        <f aca="false">IF(C2960="","",IF(LEFT(D2960,1)="⚠","⚠ RUT no registrado en Trabajadores",IF(B2960="","⚠ Falta el mes",IF(OR(ISTEXT(I2960),ISTEXT(J2960)),"⚠ Atrasos u horas extra como texto: escriba hh:mm (ej. 1:30)",IF(AND(ISNUMBER(Q2960),COUNTIFS(M_RUTN,V2960,M_MES,B2960,M_LIQ,"&lt;&gt;")&gt;1),"⚠ Liquidación repetida en el mes",IF(AND(ISNUMBER(O2960),ISNUMBER(P2960),ISNUMBER(Q2960),ABS(O2960-P2960-Q2960)&gt;1),"⚠ Haberes − descuentos no da el líquido","OK"))))))</f>
        <v/>
      </c>
      <c r="V2960" s="62" t="str">
        <f aca="false">IF(C2960="","",IFERROR(VALUE(LEFT(UPPER(SUBSTITUTE(SUBSTITUTE(SUBSTITUTE(TRIM(C2960),".",""),"-","")," ","")),LEN(UPPER(SUBSTITUTE(SUBSTITUTE(SUBSTITUTE(TRIM(C2960),".",""),"-","")," ","")))-1))&amp;RIGHT(UPPER(SUBSTITUTE(SUBSTITUTE(SUBSTITUTE(TRIM(C2960),".",""),"-","")," ","")),1),UPPER(SUBSTITUTE(SUBSTITUTE(SUBSTITUTE(TRIM(C2960),".",""),"-","")," ",""))))</f>
        <v/>
      </c>
    </row>
    <row r="2961" customFormat="false" ht="15" hidden="false" customHeight="false" outlineLevel="0" collapsed="false">
      <c r="B2961" s="80"/>
      <c r="C2961" s="58"/>
      <c r="D2961" s="62" t="str">
        <f aca="false">IF(C2961="","",IFERROR(INDEX(T_NOMBRE,MATCH(V2961,T_RUTN,0)),"⚠ RUT no está en Trabajadores"))</f>
        <v/>
      </c>
      <c r="E2961" s="61"/>
      <c r="F2961" s="61"/>
      <c r="G2961" s="61"/>
      <c r="H2961" s="61"/>
      <c r="I2961" s="81"/>
      <c r="J2961" s="81"/>
      <c r="K2961" s="60"/>
      <c r="L2961" s="60"/>
      <c r="M2961" s="60"/>
      <c r="N2961" s="60"/>
      <c r="O2961" s="60"/>
      <c r="P2961" s="60"/>
      <c r="Q2961" s="60"/>
      <c r="R2961" s="58"/>
      <c r="S2961" s="62" t="str">
        <f aca="false">IF(OR(B2961="",V2961=""),"",IFERROR(INDEX(C_TIPO,MATCH(V2961&amp;"-P"&amp;MAX(1,COUNTIFS(C_RUTN,V2961,C_DEF,"Sí",C_INI,"&lt;="&amp;EOMONTH(B2961,0))),C_CLAVE,0))&amp;"","Sin contrato"))</f>
        <v/>
      </c>
      <c r="T2961" s="63" t="str">
        <f aca="false">IF(OR(B2961="",N(O2961)=0),"",N(O2961)+ROUND(MIN(N(N2961),TOPE_UF*UF_MES)*(TASA_EMP+MUTUAL),0)+ROUND(MIN(N(N2961),TOPE_AFC_UF*UF_MES)*IF(S2961="Indefinido",AFC_INDEF,AFC_PF),0))</f>
        <v/>
      </c>
      <c r="U2961" s="62" t="str">
        <f aca="false">IF(C2961="","",IF(LEFT(D2961,1)="⚠","⚠ RUT no registrado en Trabajadores",IF(B2961="","⚠ Falta el mes",IF(OR(ISTEXT(I2961),ISTEXT(J2961)),"⚠ Atrasos u horas extra como texto: escriba hh:mm (ej. 1:30)",IF(AND(ISNUMBER(Q2961),COUNTIFS(M_RUTN,V2961,M_MES,B2961,M_LIQ,"&lt;&gt;")&gt;1),"⚠ Liquidación repetida en el mes",IF(AND(ISNUMBER(O2961),ISNUMBER(P2961),ISNUMBER(Q2961),ABS(O2961-P2961-Q2961)&gt;1),"⚠ Haberes − descuentos no da el líquido","OK"))))))</f>
        <v/>
      </c>
      <c r="V2961" s="62" t="str">
        <f aca="false">IF(C2961="","",IFERROR(VALUE(LEFT(UPPER(SUBSTITUTE(SUBSTITUTE(SUBSTITUTE(TRIM(C2961),".",""),"-","")," ","")),LEN(UPPER(SUBSTITUTE(SUBSTITUTE(SUBSTITUTE(TRIM(C2961),".",""),"-","")," ","")))-1))&amp;RIGHT(UPPER(SUBSTITUTE(SUBSTITUTE(SUBSTITUTE(TRIM(C2961),".",""),"-","")," ","")),1),UPPER(SUBSTITUTE(SUBSTITUTE(SUBSTITUTE(TRIM(C2961),".",""),"-","")," ",""))))</f>
        <v/>
      </c>
    </row>
    <row r="2962" customFormat="false" ht="15" hidden="false" customHeight="false" outlineLevel="0" collapsed="false">
      <c r="B2962" s="80"/>
      <c r="C2962" s="58"/>
      <c r="D2962" s="62" t="str">
        <f aca="false">IF(C2962="","",IFERROR(INDEX(T_NOMBRE,MATCH(V2962,T_RUTN,0)),"⚠ RUT no está en Trabajadores"))</f>
        <v/>
      </c>
      <c r="E2962" s="61"/>
      <c r="F2962" s="61"/>
      <c r="G2962" s="61"/>
      <c r="H2962" s="61"/>
      <c r="I2962" s="81"/>
      <c r="J2962" s="81"/>
      <c r="K2962" s="60"/>
      <c r="L2962" s="60"/>
      <c r="M2962" s="60"/>
      <c r="N2962" s="60"/>
      <c r="O2962" s="60"/>
      <c r="P2962" s="60"/>
      <c r="Q2962" s="60"/>
      <c r="R2962" s="58"/>
      <c r="S2962" s="62" t="str">
        <f aca="false">IF(OR(B2962="",V2962=""),"",IFERROR(INDEX(C_TIPO,MATCH(V2962&amp;"-P"&amp;MAX(1,COUNTIFS(C_RUTN,V2962,C_DEF,"Sí",C_INI,"&lt;="&amp;EOMONTH(B2962,0))),C_CLAVE,0))&amp;"","Sin contrato"))</f>
        <v/>
      </c>
      <c r="T2962" s="63" t="str">
        <f aca="false">IF(OR(B2962="",N(O2962)=0),"",N(O2962)+ROUND(MIN(N(N2962),TOPE_UF*UF_MES)*(TASA_EMP+MUTUAL),0)+ROUND(MIN(N(N2962),TOPE_AFC_UF*UF_MES)*IF(S2962="Indefinido",AFC_INDEF,AFC_PF),0))</f>
        <v/>
      </c>
      <c r="U2962" s="62" t="str">
        <f aca="false">IF(C2962="","",IF(LEFT(D2962,1)="⚠","⚠ RUT no registrado en Trabajadores",IF(B2962="","⚠ Falta el mes",IF(OR(ISTEXT(I2962),ISTEXT(J2962)),"⚠ Atrasos u horas extra como texto: escriba hh:mm (ej. 1:30)",IF(AND(ISNUMBER(Q2962),COUNTIFS(M_RUTN,V2962,M_MES,B2962,M_LIQ,"&lt;&gt;")&gt;1),"⚠ Liquidación repetida en el mes",IF(AND(ISNUMBER(O2962),ISNUMBER(P2962),ISNUMBER(Q2962),ABS(O2962-P2962-Q2962)&gt;1),"⚠ Haberes − descuentos no da el líquido","OK"))))))</f>
        <v/>
      </c>
      <c r="V2962" s="62" t="str">
        <f aca="false">IF(C2962="","",IFERROR(VALUE(LEFT(UPPER(SUBSTITUTE(SUBSTITUTE(SUBSTITUTE(TRIM(C2962),".",""),"-","")," ","")),LEN(UPPER(SUBSTITUTE(SUBSTITUTE(SUBSTITUTE(TRIM(C2962),".",""),"-","")," ","")))-1))&amp;RIGHT(UPPER(SUBSTITUTE(SUBSTITUTE(SUBSTITUTE(TRIM(C2962),".",""),"-","")," ","")),1),UPPER(SUBSTITUTE(SUBSTITUTE(SUBSTITUTE(TRIM(C2962),".",""),"-","")," ",""))))</f>
        <v/>
      </c>
    </row>
    <row r="2963" customFormat="false" ht="15" hidden="false" customHeight="false" outlineLevel="0" collapsed="false">
      <c r="B2963" s="80"/>
      <c r="C2963" s="58"/>
      <c r="D2963" s="62" t="str">
        <f aca="false">IF(C2963="","",IFERROR(INDEX(T_NOMBRE,MATCH(V2963,T_RUTN,0)),"⚠ RUT no está en Trabajadores"))</f>
        <v/>
      </c>
      <c r="E2963" s="61"/>
      <c r="F2963" s="61"/>
      <c r="G2963" s="61"/>
      <c r="H2963" s="61"/>
      <c r="I2963" s="81"/>
      <c r="J2963" s="81"/>
      <c r="K2963" s="60"/>
      <c r="L2963" s="60"/>
      <c r="M2963" s="60"/>
      <c r="N2963" s="60"/>
      <c r="O2963" s="60"/>
      <c r="P2963" s="60"/>
      <c r="Q2963" s="60"/>
      <c r="R2963" s="58"/>
      <c r="S2963" s="62" t="str">
        <f aca="false">IF(OR(B2963="",V2963=""),"",IFERROR(INDEX(C_TIPO,MATCH(V2963&amp;"-P"&amp;MAX(1,COUNTIFS(C_RUTN,V2963,C_DEF,"Sí",C_INI,"&lt;="&amp;EOMONTH(B2963,0))),C_CLAVE,0))&amp;"","Sin contrato"))</f>
        <v/>
      </c>
      <c r="T2963" s="63" t="str">
        <f aca="false">IF(OR(B2963="",N(O2963)=0),"",N(O2963)+ROUND(MIN(N(N2963),TOPE_UF*UF_MES)*(TASA_EMP+MUTUAL),0)+ROUND(MIN(N(N2963),TOPE_AFC_UF*UF_MES)*IF(S2963="Indefinido",AFC_INDEF,AFC_PF),0))</f>
        <v/>
      </c>
      <c r="U2963" s="62" t="str">
        <f aca="false">IF(C2963="","",IF(LEFT(D2963,1)="⚠","⚠ RUT no registrado en Trabajadores",IF(B2963="","⚠ Falta el mes",IF(OR(ISTEXT(I2963),ISTEXT(J2963)),"⚠ Atrasos u horas extra como texto: escriba hh:mm (ej. 1:30)",IF(AND(ISNUMBER(Q2963),COUNTIFS(M_RUTN,V2963,M_MES,B2963,M_LIQ,"&lt;&gt;")&gt;1),"⚠ Liquidación repetida en el mes",IF(AND(ISNUMBER(O2963),ISNUMBER(P2963),ISNUMBER(Q2963),ABS(O2963-P2963-Q2963)&gt;1),"⚠ Haberes − descuentos no da el líquido","OK"))))))</f>
        <v/>
      </c>
      <c r="V2963" s="62" t="str">
        <f aca="false">IF(C2963="","",IFERROR(VALUE(LEFT(UPPER(SUBSTITUTE(SUBSTITUTE(SUBSTITUTE(TRIM(C2963),".",""),"-","")," ","")),LEN(UPPER(SUBSTITUTE(SUBSTITUTE(SUBSTITUTE(TRIM(C2963),".",""),"-","")," ","")))-1))&amp;RIGHT(UPPER(SUBSTITUTE(SUBSTITUTE(SUBSTITUTE(TRIM(C2963),".",""),"-","")," ","")),1),UPPER(SUBSTITUTE(SUBSTITUTE(SUBSTITUTE(TRIM(C2963),".",""),"-","")," ",""))))</f>
        <v/>
      </c>
    </row>
    <row r="2964" customFormat="false" ht="15" hidden="false" customHeight="false" outlineLevel="0" collapsed="false">
      <c r="B2964" s="80"/>
      <c r="C2964" s="58"/>
      <c r="D2964" s="62" t="str">
        <f aca="false">IF(C2964="","",IFERROR(INDEX(T_NOMBRE,MATCH(V2964,T_RUTN,0)),"⚠ RUT no está en Trabajadores"))</f>
        <v/>
      </c>
      <c r="E2964" s="61"/>
      <c r="F2964" s="61"/>
      <c r="G2964" s="61"/>
      <c r="H2964" s="61"/>
      <c r="I2964" s="81"/>
      <c r="J2964" s="81"/>
      <c r="K2964" s="60"/>
      <c r="L2964" s="60"/>
      <c r="M2964" s="60"/>
      <c r="N2964" s="60"/>
      <c r="O2964" s="60"/>
      <c r="P2964" s="60"/>
      <c r="Q2964" s="60"/>
      <c r="R2964" s="58"/>
      <c r="S2964" s="62" t="str">
        <f aca="false">IF(OR(B2964="",V2964=""),"",IFERROR(INDEX(C_TIPO,MATCH(V2964&amp;"-P"&amp;MAX(1,COUNTIFS(C_RUTN,V2964,C_DEF,"Sí",C_INI,"&lt;="&amp;EOMONTH(B2964,0))),C_CLAVE,0))&amp;"","Sin contrato"))</f>
        <v/>
      </c>
      <c r="T2964" s="63" t="str">
        <f aca="false">IF(OR(B2964="",N(O2964)=0),"",N(O2964)+ROUND(MIN(N(N2964),TOPE_UF*UF_MES)*(TASA_EMP+MUTUAL),0)+ROUND(MIN(N(N2964),TOPE_AFC_UF*UF_MES)*IF(S2964="Indefinido",AFC_INDEF,AFC_PF),0))</f>
        <v/>
      </c>
      <c r="U2964" s="62" t="str">
        <f aca="false">IF(C2964="","",IF(LEFT(D2964,1)="⚠","⚠ RUT no registrado en Trabajadores",IF(B2964="","⚠ Falta el mes",IF(OR(ISTEXT(I2964),ISTEXT(J2964)),"⚠ Atrasos u horas extra como texto: escriba hh:mm (ej. 1:30)",IF(AND(ISNUMBER(Q2964),COUNTIFS(M_RUTN,V2964,M_MES,B2964,M_LIQ,"&lt;&gt;")&gt;1),"⚠ Liquidación repetida en el mes",IF(AND(ISNUMBER(O2964),ISNUMBER(P2964),ISNUMBER(Q2964),ABS(O2964-P2964-Q2964)&gt;1),"⚠ Haberes − descuentos no da el líquido","OK"))))))</f>
        <v/>
      </c>
      <c r="V2964" s="62" t="str">
        <f aca="false">IF(C2964="","",IFERROR(VALUE(LEFT(UPPER(SUBSTITUTE(SUBSTITUTE(SUBSTITUTE(TRIM(C2964),".",""),"-","")," ","")),LEN(UPPER(SUBSTITUTE(SUBSTITUTE(SUBSTITUTE(TRIM(C2964),".",""),"-","")," ","")))-1))&amp;RIGHT(UPPER(SUBSTITUTE(SUBSTITUTE(SUBSTITUTE(TRIM(C2964),".",""),"-","")," ","")),1),UPPER(SUBSTITUTE(SUBSTITUTE(SUBSTITUTE(TRIM(C2964),".",""),"-","")," ",""))))</f>
        <v/>
      </c>
    </row>
    <row r="2965" customFormat="false" ht="15" hidden="false" customHeight="false" outlineLevel="0" collapsed="false">
      <c r="B2965" s="80"/>
      <c r="C2965" s="58"/>
      <c r="D2965" s="62" t="str">
        <f aca="false">IF(C2965="","",IFERROR(INDEX(T_NOMBRE,MATCH(V2965,T_RUTN,0)),"⚠ RUT no está en Trabajadores"))</f>
        <v/>
      </c>
      <c r="E2965" s="61"/>
      <c r="F2965" s="61"/>
      <c r="G2965" s="61"/>
      <c r="H2965" s="61"/>
      <c r="I2965" s="81"/>
      <c r="J2965" s="81"/>
      <c r="K2965" s="60"/>
      <c r="L2965" s="60"/>
      <c r="M2965" s="60"/>
      <c r="N2965" s="60"/>
      <c r="O2965" s="60"/>
      <c r="P2965" s="60"/>
      <c r="Q2965" s="60"/>
      <c r="R2965" s="58"/>
      <c r="S2965" s="62" t="str">
        <f aca="false">IF(OR(B2965="",V2965=""),"",IFERROR(INDEX(C_TIPO,MATCH(V2965&amp;"-P"&amp;MAX(1,COUNTIFS(C_RUTN,V2965,C_DEF,"Sí",C_INI,"&lt;="&amp;EOMONTH(B2965,0))),C_CLAVE,0))&amp;"","Sin contrato"))</f>
        <v/>
      </c>
      <c r="T2965" s="63" t="str">
        <f aca="false">IF(OR(B2965="",N(O2965)=0),"",N(O2965)+ROUND(MIN(N(N2965),TOPE_UF*UF_MES)*(TASA_EMP+MUTUAL),0)+ROUND(MIN(N(N2965),TOPE_AFC_UF*UF_MES)*IF(S2965="Indefinido",AFC_INDEF,AFC_PF),0))</f>
        <v/>
      </c>
      <c r="U2965" s="62" t="str">
        <f aca="false">IF(C2965="","",IF(LEFT(D2965,1)="⚠","⚠ RUT no registrado en Trabajadores",IF(B2965="","⚠ Falta el mes",IF(OR(ISTEXT(I2965),ISTEXT(J2965)),"⚠ Atrasos u horas extra como texto: escriba hh:mm (ej. 1:30)",IF(AND(ISNUMBER(Q2965),COUNTIFS(M_RUTN,V2965,M_MES,B2965,M_LIQ,"&lt;&gt;")&gt;1),"⚠ Liquidación repetida en el mes",IF(AND(ISNUMBER(O2965),ISNUMBER(P2965),ISNUMBER(Q2965),ABS(O2965-P2965-Q2965)&gt;1),"⚠ Haberes − descuentos no da el líquido","OK"))))))</f>
        <v/>
      </c>
      <c r="V2965" s="62" t="str">
        <f aca="false">IF(C2965="","",IFERROR(VALUE(LEFT(UPPER(SUBSTITUTE(SUBSTITUTE(SUBSTITUTE(TRIM(C2965),".",""),"-","")," ","")),LEN(UPPER(SUBSTITUTE(SUBSTITUTE(SUBSTITUTE(TRIM(C2965),".",""),"-","")," ","")))-1))&amp;RIGHT(UPPER(SUBSTITUTE(SUBSTITUTE(SUBSTITUTE(TRIM(C2965),".",""),"-","")," ","")),1),UPPER(SUBSTITUTE(SUBSTITUTE(SUBSTITUTE(TRIM(C2965),".",""),"-","")," ",""))))</f>
        <v/>
      </c>
    </row>
    <row r="2966" customFormat="false" ht="15" hidden="false" customHeight="false" outlineLevel="0" collapsed="false">
      <c r="B2966" s="80"/>
      <c r="C2966" s="58"/>
      <c r="D2966" s="62" t="str">
        <f aca="false">IF(C2966="","",IFERROR(INDEX(T_NOMBRE,MATCH(V2966,T_RUTN,0)),"⚠ RUT no está en Trabajadores"))</f>
        <v/>
      </c>
      <c r="E2966" s="61"/>
      <c r="F2966" s="61"/>
      <c r="G2966" s="61"/>
      <c r="H2966" s="61"/>
      <c r="I2966" s="81"/>
      <c r="J2966" s="81"/>
      <c r="K2966" s="60"/>
      <c r="L2966" s="60"/>
      <c r="M2966" s="60"/>
      <c r="N2966" s="60"/>
      <c r="O2966" s="60"/>
      <c r="P2966" s="60"/>
      <c r="Q2966" s="60"/>
      <c r="R2966" s="58"/>
      <c r="S2966" s="62" t="str">
        <f aca="false">IF(OR(B2966="",V2966=""),"",IFERROR(INDEX(C_TIPO,MATCH(V2966&amp;"-P"&amp;MAX(1,COUNTIFS(C_RUTN,V2966,C_DEF,"Sí",C_INI,"&lt;="&amp;EOMONTH(B2966,0))),C_CLAVE,0))&amp;"","Sin contrato"))</f>
        <v/>
      </c>
      <c r="T2966" s="63" t="str">
        <f aca="false">IF(OR(B2966="",N(O2966)=0),"",N(O2966)+ROUND(MIN(N(N2966),TOPE_UF*UF_MES)*(TASA_EMP+MUTUAL),0)+ROUND(MIN(N(N2966),TOPE_AFC_UF*UF_MES)*IF(S2966="Indefinido",AFC_INDEF,AFC_PF),0))</f>
        <v/>
      </c>
      <c r="U2966" s="62" t="str">
        <f aca="false">IF(C2966="","",IF(LEFT(D2966,1)="⚠","⚠ RUT no registrado en Trabajadores",IF(B2966="","⚠ Falta el mes",IF(OR(ISTEXT(I2966),ISTEXT(J2966)),"⚠ Atrasos u horas extra como texto: escriba hh:mm (ej. 1:30)",IF(AND(ISNUMBER(Q2966),COUNTIFS(M_RUTN,V2966,M_MES,B2966,M_LIQ,"&lt;&gt;")&gt;1),"⚠ Liquidación repetida en el mes",IF(AND(ISNUMBER(O2966),ISNUMBER(P2966),ISNUMBER(Q2966),ABS(O2966-P2966-Q2966)&gt;1),"⚠ Haberes − descuentos no da el líquido","OK"))))))</f>
        <v/>
      </c>
      <c r="V2966" s="62" t="str">
        <f aca="false">IF(C2966="","",IFERROR(VALUE(LEFT(UPPER(SUBSTITUTE(SUBSTITUTE(SUBSTITUTE(TRIM(C2966),".",""),"-","")," ","")),LEN(UPPER(SUBSTITUTE(SUBSTITUTE(SUBSTITUTE(TRIM(C2966),".",""),"-","")," ","")))-1))&amp;RIGHT(UPPER(SUBSTITUTE(SUBSTITUTE(SUBSTITUTE(TRIM(C2966),".",""),"-","")," ","")),1),UPPER(SUBSTITUTE(SUBSTITUTE(SUBSTITUTE(TRIM(C2966),".",""),"-","")," ",""))))</f>
        <v/>
      </c>
    </row>
    <row r="2967" customFormat="false" ht="15" hidden="false" customHeight="false" outlineLevel="0" collapsed="false">
      <c r="B2967" s="80"/>
      <c r="C2967" s="58"/>
      <c r="D2967" s="62" t="str">
        <f aca="false">IF(C2967="","",IFERROR(INDEX(T_NOMBRE,MATCH(V2967,T_RUTN,0)),"⚠ RUT no está en Trabajadores"))</f>
        <v/>
      </c>
      <c r="E2967" s="61"/>
      <c r="F2967" s="61"/>
      <c r="G2967" s="61"/>
      <c r="H2967" s="61"/>
      <c r="I2967" s="81"/>
      <c r="J2967" s="81"/>
      <c r="K2967" s="60"/>
      <c r="L2967" s="60"/>
      <c r="M2967" s="60"/>
      <c r="N2967" s="60"/>
      <c r="O2967" s="60"/>
      <c r="P2967" s="60"/>
      <c r="Q2967" s="60"/>
      <c r="R2967" s="58"/>
      <c r="S2967" s="62" t="str">
        <f aca="false">IF(OR(B2967="",V2967=""),"",IFERROR(INDEX(C_TIPO,MATCH(V2967&amp;"-P"&amp;MAX(1,COUNTIFS(C_RUTN,V2967,C_DEF,"Sí",C_INI,"&lt;="&amp;EOMONTH(B2967,0))),C_CLAVE,0))&amp;"","Sin contrato"))</f>
        <v/>
      </c>
      <c r="T2967" s="63" t="str">
        <f aca="false">IF(OR(B2967="",N(O2967)=0),"",N(O2967)+ROUND(MIN(N(N2967),TOPE_UF*UF_MES)*(TASA_EMP+MUTUAL),0)+ROUND(MIN(N(N2967),TOPE_AFC_UF*UF_MES)*IF(S2967="Indefinido",AFC_INDEF,AFC_PF),0))</f>
        <v/>
      </c>
      <c r="U2967" s="62" t="str">
        <f aca="false">IF(C2967="","",IF(LEFT(D2967,1)="⚠","⚠ RUT no registrado en Trabajadores",IF(B2967="","⚠ Falta el mes",IF(OR(ISTEXT(I2967),ISTEXT(J2967)),"⚠ Atrasos u horas extra como texto: escriba hh:mm (ej. 1:30)",IF(AND(ISNUMBER(Q2967),COUNTIFS(M_RUTN,V2967,M_MES,B2967,M_LIQ,"&lt;&gt;")&gt;1),"⚠ Liquidación repetida en el mes",IF(AND(ISNUMBER(O2967),ISNUMBER(P2967),ISNUMBER(Q2967),ABS(O2967-P2967-Q2967)&gt;1),"⚠ Haberes − descuentos no da el líquido","OK"))))))</f>
        <v/>
      </c>
      <c r="V2967" s="62" t="str">
        <f aca="false">IF(C2967="","",IFERROR(VALUE(LEFT(UPPER(SUBSTITUTE(SUBSTITUTE(SUBSTITUTE(TRIM(C2967),".",""),"-","")," ","")),LEN(UPPER(SUBSTITUTE(SUBSTITUTE(SUBSTITUTE(TRIM(C2967),".",""),"-","")," ","")))-1))&amp;RIGHT(UPPER(SUBSTITUTE(SUBSTITUTE(SUBSTITUTE(TRIM(C2967),".",""),"-","")," ","")),1),UPPER(SUBSTITUTE(SUBSTITUTE(SUBSTITUTE(TRIM(C2967),".",""),"-","")," ",""))))</f>
        <v/>
      </c>
    </row>
    <row r="2968" customFormat="false" ht="15" hidden="false" customHeight="false" outlineLevel="0" collapsed="false">
      <c r="B2968" s="80"/>
      <c r="C2968" s="58"/>
      <c r="D2968" s="62" t="str">
        <f aca="false">IF(C2968="","",IFERROR(INDEX(T_NOMBRE,MATCH(V2968,T_RUTN,0)),"⚠ RUT no está en Trabajadores"))</f>
        <v/>
      </c>
      <c r="E2968" s="61"/>
      <c r="F2968" s="61"/>
      <c r="G2968" s="61"/>
      <c r="H2968" s="61"/>
      <c r="I2968" s="81"/>
      <c r="J2968" s="81"/>
      <c r="K2968" s="60"/>
      <c r="L2968" s="60"/>
      <c r="M2968" s="60"/>
      <c r="N2968" s="60"/>
      <c r="O2968" s="60"/>
      <c r="P2968" s="60"/>
      <c r="Q2968" s="60"/>
      <c r="R2968" s="58"/>
      <c r="S2968" s="62" t="str">
        <f aca="false">IF(OR(B2968="",V2968=""),"",IFERROR(INDEX(C_TIPO,MATCH(V2968&amp;"-P"&amp;MAX(1,COUNTIFS(C_RUTN,V2968,C_DEF,"Sí",C_INI,"&lt;="&amp;EOMONTH(B2968,0))),C_CLAVE,0))&amp;"","Sin contrato"))</f>
        <v/>
      </c>
      <c r="T2968" s="63" t="str">
        <f aca="false">IF(OR(B2968="",N(O2968)=0),"",N(O2968)+ROUND(MIN(N(N2968),TOPE_UF*UF_MES)*(TASA_EMP+MUTUAL),0)+ROUND(MIN(N(N2968),TOPE_AFC_UF*UF_MES)*IF(S2968="Indefinido",AFC_INDEF,AFC_PF),0))</f>
        <v/>
      </c>
      <c r="U2968" s="62" t="str">
        <f aca="false">IF(C2968="","",IF(LEFT(D2968,1)="⚠","⚠ RUT no registrado en Trabajadores",IF(B2968="","⚠ Falta el mes",IF(OR(ISTEXT(I2968),ISTEXT(J2968)),"⚠ Atrasos u horas extra como texto: escriba hh:mm (ej. 1:30)",IF(AND(ISNUMBER(Q2968),COUNTIFS(M_RUTN,V2968,M_MES,B2968,M_LIQ,"&lt;&gt;")&gt;1),"⚠ Liquidación repetida en el mes",IF(AND(ISNUMBER(O2968),ISNUMBER(P2968),ISNUMBER(Q2968),ABS(O2968-P2968-Q2968)&gt;1),"⚠ Haberes − descuentos no da el líquido","OK"))))))</f>
        <v/>
      </c>
      <c r="V2968" s="62" t="str">
        <f aca="false">IF(C2968="","",IFERROR(VALUE(LEFT(UPPER(SUBSTITUTE(SUBSTITUTE(SUBSTITUTE(TRIM(C2968),".",""),"-","")," ","")),LEN(UPPER(SUBSTITUTE(SUBSTITUTE(SUBSTITUTE(TRIM(C2968),".",""),"-","")," ","")))-1))&amp;RIGHT(UPPER(SUBSTITUTE(SUBSTITUTE(SUBSTITUTE(TRIM(C2968),".",""),"-","")," ","")),1),UPPER(SUBSTITUTE(SUBSTITUTE(SUBSTITUTE(TRIM(C2968),".",""),"-","")," ",""))))</f>
        <v/>
      </c>
    </row>
    <row r="2969" customFormat="false" ht="15" hidden="false" customHeight="false" outlineLevel="0" collapsed="false">
      <c r="B2969" s="80"/>
      <c r="C2969" s="58"/>
      <c r="D2969" s="62" t="str">
        <f aca="false">IF(C2969="","",IFERROR(INDEX(T_NOMBRE,MATCH(V2969,T_RUTN,0)),"⚠ RUT no está en Trabajadores"))</f>
        <v/>
      </c>
      <c r="E2969" s="61"/>
      <c r="F2969" s="61"/>
      <c r="G2969" s="61"/>
      <c r="H2969" s="61"/>
      <c r="I2969" s="81"/>
      <c r="J2969" s="81"/>
      <c r="K2969" s="60"/>
      <c r="L2969" s="60"/>
      <c r="M2969" s="60"/>
      <c r="N2969" s="60"/>
      <c r="O2969" s="60"/>
      <c r="P2969" s="60"/>
      <c r="Q2969" s="60"/>
      <c r="R2969" s="58"/>
      <c r="S2969" s="62" t="str">
        <f aca="false">IF(OR(B2969="",V2969=""),"",IFERROR(INDEX(C_TIPO,MATCH(V2969&amp;"-P"&amp;MAX(1,COUNTIFS(C_RUTN,V2969,C_DEF,"Sí",C_INI,"&lt;="&amp;EOMONTH(B2969,0))),C_CLAVE,0))&amp;"","Sin contrato"))</f>
        <v/>
      </c>
      <c r="T2969" s="63" t="str">
        <f aca="false">IF(OR(B2969="",N(O2969)=0),"",N(O2969)+ROUND(MIN(N(N2969),TOPE_UF*UF_MES)*(TASA_EMP+MUTUAL),0)+ROUND(MIN(N(N2969),TOPE_AFC_UF*UF_MES)*IF(S2969="Indefinido",AFC_INDEF,AFC_PF),0))</f>
        <v/>
      </c>
      <c r="U2969" s="62" t="str">
        <f aca="false">IF(C2969="","",IF(LEFT(D2969,1)="⚠","⚠ RUT no registrado en Trabajadores",IF(B2969="","⚠ Falta el mes",IF(OR(ISTEXT(I2969),ISTEXT(J2969)),"⚠ Atrasos u horas extra como texto: escriba hh:mm (ej. 1:30)",IF(AND(ISNUMBER(Q2969),COUNTIFS(M_RUTN,V2969,M_MES,B2969,M_LIQ,"&lt;&gt;")&gt;1),"⚠ Liquidación repetida en el mes",IF(AND(ISNUMBER(O2969),ISNUMBER(P2969),ISNUMBER(Q2969),ABS(O2969-P2969-Q2969)&gt;1),"⚠ Haberes − descuentos no da el líquido","OK"))))))</f>
        <v/>
      </c>
      <c r="V2969" s="62" t="str">
        <f aca="false">IF(C2969="","",IFERROR(VALUE(LEFT(UPPER(SUBSTITUTE(SUBSTITUTE(SUBSTITUTE(TRIM(C2969),".",""),"-","")," ","")),LEN(UPPER(SUBSTITUTE(SUBSTITUTE(SUBSTITUTE(TRIM(C2969),".",""),"-","")," ","")))-1))&amp;RIGHT(UPPER(SUBSTITUTE(SUBSTITUTE(SUBSTITUTE(TRIM(C2969),".",""),"-","")," ","")),1),UPPER(SUBSTITUTE(SUBSTITUTE(SUBSTITUTE(TRIM(C2969),".",""),"-","")," ",""))))</f>
        <v/>
      </c>
    </row>
    <row r="2970" customFormat="false" ht="15" hidden="false" customHeight="false" outlineLevel="0" collapsed="false">
      <c r="B2970" s="80"/>
      <c r="C2970" s="58"/>
      <c r="D2970" s="62" t="str">
        <f aca="false">IF(C2970="","",IFERROR(INDEX(T_NOMBRE,MATCH(V2970,T_RUTN,0)),"⚠ RUT no está en Trabajadores"))</f>
        <v/>
      </c>
      <c r="E2970" s="61"/>
      <c r="F2970" s="61"/>
      <c r="G2970" s="61"/>
      <c r="H2970" s="61"/>
      <c r="I2970" s="81"/>
      <c r="J2970" s="81"/>
      <c r="K2970" s="60"/>
      <c r="L2970" s="60"/>
      <c r="M2970" s="60"/>
      <c r="N2970" s="60"/>
      <c r="O2970" s="60"/>
      <c r="P2970" s="60"/>
      <c r="Q2970" s="60"/>
      <c r="R2970" s="58"/>
      <c r="S2970" s="62" t="str">
        <f aca="false">IF(OR(B2970="",V2970=""),"",IFERROR(INDEX(C_TIPO,MATCH(V2970&amp;"-P"&amp;MAX(1,COUNTIFS(C_RUTN,V2970,C_DEF,"Sí",C_INI,"&lt;="&amp;EOMONTH(B2970,0))),C_CLAVE,0))&amp;"","Sin contrato"))</f>
        <v/>
      </c>
      <c r="T2970" s="63" t="str">
        <f aca="false">IF(OR(B2970="",N(O2970)=0),"",N(O2970)+ROUND(MIN(N(N2970),TOPE_UF*UF_MES)*(TASA_EMP+MUTUAL),0)+ROUND(MIN(N(N2970),TOPE_AFC_UF*UF_MES)*IF(S2970="Indefinido",AFC_INDEF,AFC_PF),0))</f>
        <v/>
      </c>
      <c r="U2970" s="62" t="str">
        <f aca="false">IF(C2970="","",IF(LEFT(D2970,1)="⚠","⚠ RUT no registrado en Trabajadores",IF(B2970="","⚠ Falta el mes",IF(OR(ISTEXT(I2970),ISTEXT(J2970)),"⚠ Atrasos u horas extra como texto: escriba hh:mm (ej. 1:30)",IF(AND(ISNUMBER(Q2970),COUNTIFS(M_RUTN,V2970,M_MES,B2970,M_LIQ,"&lt;&gt;")&gt;1),"⚠ Liquidación repetida en el mes",IF(AND(ISNUMBER(O2970),ISNUMBER(P2970),ISNUMBER(Q2970),ABS(O2970-P2970-Q2970)&gt;1),"⚠ Haberes − descuentos no da el líquido","OK"))))))</f>
        <v/>
      </c>
      <c r="V2970" s="62" t="str">
        <f aca="false">IF(C2970="","",IFERROR(VALUE(LEFT(UPPER(SUBSTITUTE(SUBSTITUTE(SUBSTITUTE(TRIM(C2970),".",""),"-","")," ","")),LEN(UPPER(SUBSTITUTE(SUBSTITUTE(SUBSTITUTE(TRIM(C2970),".",""),"-","")," ","")))-1))&amp;RIGHT(UPPER(SUBSTITUTE(SUBSTITUTE(SUBSTITUTE(TRIM(C2970),".",""),"-","")," ","")),1),UPPER(SUBSTITUTE(SUBSTITUTE(SUBSTITUTE(TRIM(C2970),".",""),"-","")," ",""))))</f>
        <v/>
      </c>
    </row>
    <row r="2971" customFormat="false" ht="15" hidden="false" customHeight="false" outlineLevel="0" collapsed="false">
      <c r="B2971" s="80"/>
      <c r="C2971" s="58"/>
      <c r="D2971" s="62" t="str">
        <f aca="false">IF(C2971="","",IFERROR(INDEX(T_NOMBRE,MATCH(V2971,T_RUTN,0)),"⚠ RUT no está en Trabajadores"))</f>
        <v/>
      </c>
      <c r="E2971" s="61"/>
      <c r="F2971" s="61"/>
      <c r="G2971" s="61"/>
      <c r="H2971" s="61"/>
      <c r="I2971" s="81"/>
      <c r="J2971" s="81"/>
      <c r="K2971" s="60"/>
      <c r="L2971" s="60"/>
      <c r="M2971" s="60"/>
      <c r="N2971" s="60"/>
      <c r="O2971" s="60"/>
      <c r="P2971" s="60"/>
      <c r="Q2971" s="60"/>
      <c r="R2971" s="58"/>
      <c r="S2971" s="62" t="str">
        <f aca="false">IF(OR(B2971="",V2971=""),"",IFERROR(INDEX(C_TIPO,MATCH(V2971&amp;"-P"&amp;MAX(1,COUNTIFS(C_RUTN,V2971,C_DEF,"Sí",C_INI,"&lt;="&amp;EOMONTH(B2971,0))),C_CLAVE,0))&amp;"","Sin contrato"))</f>
        <v/>
      </c>
      <c r="T2971" s="63" t="str">
        <f aca="false">IF(OR(B2971="",N(O2971)=0),"",N(O2971)+ROUND(MIN(N(N2971),TOPE_UF*UF_MES)*(TASA_EMP+MUTUAL),0)+ROUND(MIN(N(N2971),TOPE_AFC_UF*UF_MES)*IF(S2971="Indefinido",AFC_INDEF,AFC_PF),0))</f>
        <v/>
      </c>
      <c r="U2971" s="62" t="str">
        <f aca="false">IF(C2971="","",IF(LEFT(D2971,1)="⚠","⚠ RUT no registrado en Trabajadores",IF(B2971="","⚠ Falta el mes",IF(OR(ISTEXT(I2971),ISTEXT(J2971)),"⚠ Atrasos u horas extra como texto: escriba hh:mm (ej. 1:30)",IF(AND(ISNUMBER(Q2971),COUNTIFS(M_RUTN,V2971,M_MES,B2971,M_LIQ,"&lt;&gt;")&gt;1),"⚠ Liquidación repetida en el mes",IF(AND(ISNUMBER(O2971),ISNUMBER(P2971),ISNUMBER(Q2971),ABS(O2971-P2971-Q2971)&gt;1),"⚠ Haberes − descuentos no da el líquido","OK"))))))</f>
        <v/>
      </c>
      <c r="V2971" s="62" t="str">
        <f aca="false">IF(C2971="","",IFERROR(VALUE(LEFT(UPPER(SUBSTITUTE(SUBSTITUTE(SUBSTITUTE(TRIM(C2971),".",""),"-","")," ","")),LEN(UPPER(SUBSTITUTE(SUBSTITUTE(SUBSTITUTE(TRIM(C2971),".",""),"-","")," ","")))-1))&amp;RIGHT(UPPER(SUBSTITUTE(SUBSTITUTE(SUBSTITUTE(TRIM(C2971),".",""),"-","")," ","")),1),UPPER(SUBSTITUTE(SUBSTITUTE(SUBSTITUTE(TRIM(C2971),".",""),"-","")," ",""))))</f>
        <v/>
      </c>
    </row>
    <row r="2972" customFormat="false" ht="15" hidden="false" customHeight="false" outlineLevel="0" collapsed="false">
      <c r="B2972" s="80"/>
      <c r="C2972" s="58"/>
      <c r="D2972" s="62" t="str">
        <f aca="false">IF(C2972="","",IFERROR(INDEX(T_NOMBRE,MATCH(V2972,T_RUTN,0)),"⚠ RUT no está en Trabajadores"))</f>
        <v/>
      </c>
      <c r="E2972" s="61"/>
      <c r="F2972" s="61"/>
      <c r="G2972" s="61"/>
      <c r="H2972" s="61"/>
      <c r="I2972" s="81"/>
      <c r="J2972" s="81"/>
      <c r="K2972" s="60"/>
      <c r="L2972" s="60"/>
      <c r="M2972" s="60"/>
      <c r="N2972" s="60"/>
      <c r="O2972" s="60"/>
      <c r="P2972" s="60"/>
      <c r="Q2972" s="60"/>
      <c r="R2972" s="58"/>
      <c r="S2972" s="62" t="str">
        <f aca="false">IF(OR(B2972="",V2972=""),"",IFERROR(INDEX(C_TIPO,MATCH(V2972&amp;"-P"&amp;MAX(1,COUNTIFS(C_RUTN,V2972,C_DEF,"Sí",C_INI,"&lt;="&amp;EOMONTH(B2972,0))),C_CLAVE,0))&amp;"","Sin contrato"))</f>
        <v/>
      </c>
      <c r="T2972" s="63" t="str">
        <f aca="false">IF(OR(B2972="",N(O2972)=0),"",N(O2972)+ROUND(MIN(N(N2972),TOPE_UF*UF_MES)*(TASA_EMP+MUTUAL),0)+ROUND(MIN(N(N2972),TOPE_AFC_UF*UF_MES)*IF(S2972="Indefinido",AFC_INDEF,AFC_PF),0))</f>
        <v/>
      </c>
      <c r="U2972" s="62" t="str">
        <f aca="false">IF(C2972="","",IF(LEFT(D2972,1)="⚠","⚠ RUT no registrado en Trabajadores",IF(B2972="","⚠ Falta el mes",IF(OR(ISTEXT(I2972),ISTEXT(J2972)),"⚠ Atrasos u horas extra como texto: escriba hh:mm (ej. 1:30)",IF(AND(ISNUMBER(Q2972),COUNTIFS(M_RUTN,V2972,M_MES,B2972,M_LIQ,"&lt;&gt;")&gt;1),"⚠ Liquidación repetida en el mes",IF(AND(ISNUMBER(O2972),ISNUMBER(P2972),ISNUMBER(Q2972),ABS(O2972-P2972-Q2972)&gt;1),"⚠ Haberes − descuentos no da el líquido","OK"))))))</f>
        <v/>
      </c>
      <c r="V2972" s="62" t="str">
        <f aca="false">IF(C2972="","",IFERROR(VALUE(LEFT(UPPER(SUBSTITUTE(SUBSTITUTE(SUBSTITUTE(TRIM(C2972),".",""),"-","")," ","")),LEN(UPPER(SUBSTITUTE(SUBSTITUTE(SUBSTITUTE(TRIM(C2972),".",""),"-","")," ","")))-1))&amp;RIGHT(UPPER(SUBSTITUTE(SUBSTITUTE(SUBSTITUTE(TRIM(C2972),".",""),"-","")," ","")),1),UPPER(SUBSTITUTE(SUBSTITUTE(SUBSTITUTE(TRIM(C2972),".",""),"-","")," ",""))))</f>
        <v/>
      </c>
    </row>
    <row r="2973" customFormat="false" ht="15" hidden="false" customHeight="false" outlineLevel="0" collapsed="false">
      <c r="B2973" s="80"/>
      <c r="C2973" s="58"/>
      <c r="D2973" s="62" t="str">
        <f aca="false">IF(C2973="","",IFERROR(INDEX(T_NOMBRE,MATCH(V2973,T_RUTN,0)),"⚠ RUT no está en Trabajadores"))</f>
        <v/>
      </c>
      <c r="E2973" s="61"/>
      <c r="F2973" s="61"/>
      <c r="G2973" s="61"/>
      <c r="H2973" s="61"/>
      <c r="I2973" s="81"/>
      <c r="J2973" s="81"/>
      <c r="K2973" s="60"/>
      <c r="L2973" s="60"/>
      <c r="M2973" s="60"/>
      <c r="N2973" s="60"/>
      <c r="O2973" s="60"/>
      <c r="P2973" s="60"/>
      <c r="Q2973" s="60"/>
      <c r="R2973" s="58"/>
      <c r="S2973" s="62" t="str">
        <f aca="false">IF(OR(B2973="",V2973=""),"",IFERROR(INDEX(C_TIPO,MATCH(V2973&amp;"-P"&amp;MAX(1,COUNTIFS(C_RUTN,V2973,C_DEF,"Sí",C_INI,"&lt;="&amp;EOMONTH(B2973,0))),C_CLAVE,0))&amp;"","Sin contrato"))</f>
        <v/>
      </c>
      <c r="T2973" s="63" t="str">
        <f aca="false">IF(OR(B2973="",N(O2973)=0),"",N(O2973)+ROUND(MIN(N(N2973),TOPE_UF*UF_MES)*(TASA_EMP+MUTUAL),0)+ROUND(MIN(N(N2973),TOPE_AFC_UF*UF_MES)*IF(S2973="Indefinido",AFC_INDEF,AFC_PF),0))</f>
        <v/>
      </c>
      <c r="U2973" s="62" t="str">
        <f aca="false">IF(C2973="","",IF(LEFT(D2973,1)="⚠","⚠ RUT no registrado en Trabajadores",IF(B2973="","⚠ Falta el mes",IF(OR(ISTEXT(I2973),ISTEXT(J2973)),"⚠ Atrasos u horas extra como texto: escriba hh:mm (ej. 1:30)",IF(AND(ISNUMBER(Q2973),COUNTIFS(M_RUTN,V2973,M_MES,B2973,M_LIQ,"&lt;&gt;")&gt;1),"⚠ Liquidación repetida en el mes",IF(AND(ISNUMBER(O2973),ISNUMBER(P2973),ISNUMBER(Q2973),ABS(O2973-P2973-Q2973)&gt;1),"⚠ Haberes − descuentos no da el líquido","OK"))))))</f>
        <v/>
      </c>
      <c r="V2973" s="62" t="str">
        <f aca="false">IF(C2973="","",IFERROR(VALUE(LEFT(UPPER(SUBSTITUTE(SUBSTITUTE(SUBSTITUTE(TRIM(C2973),".",""),"-","")," ","")),LEN(UPPER(SUBSTITUTE(SUBSTITUTE(SUBSTITUTE(TRIM(C2973),".",""),"-","")," ","")))-1))&amp;RIGHT(UPPER(SUBSTITUTE(SUBSTITUTE(SUBSTITUTE(TRIM(C2973),".",""),"-","")," ","")),1),UPPER(SUBSTITUTE(SUBSTITUTE(SUBSTITUTE(TRIM(C2973),".",""),"-","")," ",""))))</f>
        <v/>
      </c>
    </row>
    <row r="2974" customFormat="false" ht="15" hidden="false" customHeight="false" outlineLevel="0" collapsed="false">
      <c r="B2974" s="80"/>
      <c r="C2974" s="58"/>
      <c r="D2974" s="62" t="str">
        <f aca="false">IF(C2974="","",IFERROR(INDEX(T_NOMBRE,MATCH(V2974,T_RUTN,0)),"⚠ RUT no está en Trabajadores"))</f>
        <v/>
      </c>
      <c r="E2974" s="61"/>
      <c r="F2974" s="61"/>
      <c r="G2974" s="61"/>
      <c r="H2974" s="61"/>
      <c r="I2974" s="81"/>
      <c r="J2974" s="81"/>
      <c r="K2974" s="60"/>
      <c r="L2974" s="60"/>
      <c r="M2974" s="60"/>
      <c r="N2974" s="60"/>
      <c r="O2974" s="60"/>
      <c r="P2974" s="60"/>
      <c r="Q2974" s="60"/>
      <c r="R2974" s="58"/>
      <c r="S2974" s="62" t="str">
        <f aca="false">IF(OR(B2974="",V2974=""),"",IFERROR(INDEX(C_TIPO,MATCH(V2974&amp;"-P"&amp;MAX(1,COUNTIFS(C_RUTN,V2974,C_DEF,"Sí",C_INI,"&lt;="&amp;EOMONTH(B2974,0))),C_CLAVE,0))&amp;"","Sin contrato"))</f>
        <v/>
      </c>
      <c r="T2974" s="63" t="str">
        <f aca="false">IF(OR(B2974="",N(O2974)=0),"",N(O2974)+ROUND(MIN(N(N2974),TOPE_UF*UF_MES)*(TASA_EMP+MUTUAL),0)+ROUND(MIN(N(N2974),TOPE_AFC_UF*UF_MES)*IF(S2974="Indefinido",AFC_INDEF,AFC_PF),0))</f>
        <v/>
      </c>
      <c r="U2974" s="62" t="str">
        <f aca="false">IF(C2974="","",IF(LEFT(D2974,1)="⚠","⚠ RUT no registrado en Trabajadores",IF(B2974="","⚠ Falta el mes",IF(OR(ISTEXT(I2974),ISTEXT(J2974)),"⚠ Atrasos u horas extra como texto: escriba hh:mm (ej. 1:30)",IF(AND(ISNUMBER(Q2974),COUNTIFS(M_RUTN,V2974,M_MES,B2974,M_LIQ,"&lt;&gt;")&gt;1),"⚠ Liquidación repetida en el mes",IF(AND(ISNUMBER(O2974),ISNUMBER(P2974),ISNUMBER(Q2974),ABS(O2974-P2974-Q2974)&gt;1),"⚠ Haberes − descuentos no da el líquido","OK"))))))</f>
        <v/>
      </c>
      <c r="V2974" s="62" t="str">
        <f aca="false">IF(C2974="","",IFERROR(VALUE(LEFT(UPPER(SUBSTITUTE(SUBSTITUTE(SUBSTITUTE(TRIM(C2974),".",""),"-","")," ","")),LEN(UPPER(SUBSTITUTE(SUBSTITUTE(SUBSTITUTE(TRIM(C2974),".",""),"-","")," ","")))-1))&amp;RIGHT(UPPER(SUBSTITUTE(SUBSTITUTE(SUBSTITUTE(TRIM(C2974),".",""),"-","")," ","")),1),UPPER(SUBSTITUTE(SUBSTITUTE(SUBSTITUTE(TRIM(C2974),".",""),"-","")," ",""))))</f>
        <v/>
      </c>
    </row>
    <row r="2975" customFormat="false" ht="15" hidden="false" customHeight="false" outlineLevel="0" collapsed="false">
      <c r="B2975" s="80"/>
      <c r="C2975" s="58"/>
      <c r="D2975" s="62" t="str">
        <f aca="false">IF(C2975="","",IFERROR(INDEX(T_NOMBRE,MATCH(V2975,T_RUTN,0)),"⚠ RUT no está en Trabajadores"))</f>
        <v/>
      </c>
      <c r="E2975" s="61"/>
      <c r="F2975" s="61"/>
      <c r="G2975" s="61"/>
      <c r="H2975" s="61"/>
      <c r="I2975" s="81"/>
      <c r="J2975" s="81"/>
      <c r="K2975" s="60"/>
      <c r="L2975" s="60"/>
      <c r="M2975" s="60"/>
      <c r="N2975" s="60"/>
      <c r="O2975" s="60"/>
      <c r="P2975" s="60"/>
      <c r="Q2975" s="60"/>
      <c r="R2975" s="58"/>
      <c r="S2975" s="62" t="str">
        <f aca="false">IF(OR(B2975="",V2975=""),"",IFERROR(INDEX(C_TIPO,MATCH(V2975&amp;"-P"&amp;MAX(1,COUNTIFS(C_RUTN,V2975,C_DEF,"Sí",C_INI,"&lt;="&amp;EOMONTH(B2975,0))),C_CLAVE,0))&amp;"","Sin contrato"))</f>
        <v/>
      </c>
      <c r="T2975" s="63" t="str">
        <f aca="false">IF(OR(B2975="",N(O2975)=0),"",N(O2975)+ROUND(MIN(N(N2975),TOPE_UF*UF_MES)*(TASA_EMP+MUTUAL),0)+ROUND(MIN(N(N2975),TOPE_AFC_UF*UF_MES)*IF(S2975="Indefinido",AFC_INDEF,AFC_PF),0))</f>
        <v/>
      </c>
      <c r="U2975" s="62" t="str">
        <f aca="false">IF(C2975="","",IF(LEFT(D2975,1)="⚠","⚠ RUT no registrado en Trabajadores",IF(B2975="","⚠ Falta el mes",IF(OR(ISTEXT(I2975),ISTEXT(J2975)),"⚠ Atrasos u horas extra como texto: escriba hh:mm (ej. 1:30)",IF(AND(ISNUMBER(Q2975),COUNTIFS(M_RUTN,V2975,M_MES,B2975,M_LIQ,"&lt;&gt;")&gt;1),"⚠ Liquidación repetida en el mes",IF(AND(ISNUMBER(O2975),ISNUMBER(P2975),ISNUMBER(Q2975),ABS(O2975-P2975-Q2975)&gt;1),"⚠ Haberes − descuentos no da el líquido","OK"))))))</f>
        <v/>
      </c>
      <c r="V2975" s="62" t="str">
        <f aca="false">IF(C2975="","",IFERROR(VALUE(LEFT(UPPER(SUBSTITUTE(SUBSTITUTE(SUBSTITUTE(TRIM(C2975),".",""),"-","")," ","")),LEN(UPPER(SUBSTITUTE(SUBSTITUTE(SUBSTITUTE(TRIM(C2975),".",""),"-","")," ","")))-1))&amp;RIGHT(UPPER(SUBSTITUTE(SUBSTITUTE(SUBSTITUTE(TRIM(C2975),".",""),"-","")," ","")),1),UPPER(SUBSTITUTE(SUBSTITUTE(SUBSTITUTE(TRIM(C2975),".",""),"-","")," ",""))))</f>
        <v/>
      </c>
    </row>
    <row r="2976" customFormat="false" ht="15" hidden="false" customHeight="false" outlineLevel="0" collapsed="false">
      <c r="B2976" s="80"/>
      <c r="C2976" s="58"/>
      <c r="D2976" s="62" t="str">
        <f aca="false">IF(C2976="","",IFERROR(INDEX(T_NOMBRE,MATCH(V2976,T_RUTN,0)),"⚠ RUT no está en Trabajadores"))</f>
        <v/>
      </c>
      <c r="E2976" s="61"/>
      <c r="F2976" s="61"/>
      <c r="G2976" s="61"/>
      <c r="H2976" s="61"/>
      <c r="I2976" s="81"/>
      <c r="J2976" s="81"/>
      <c r="K2976" s="60"/>
      <c r="L2976" s="60"/>
      <c r="M2976" s="60"/>
      <c r="N2976" s="60"/>
      <c r="O2976" s="60"/>
      <c r="P2976" s="60"/>
      <c r="Q2976" s="60"/>
      <c r="R2976" s="58"/>
      <c r="S2976" s="62" t="str">
        <f aca="false">IF(OR(B2976="",V2976=""),"",IFERROR(INDEX(C_TIPO,MATCH(V2976&amp;"-P"&amp;MAX(1,COUNTIFS(C_RUTN,V2976,C_DEF,"Sí",C_INI,"&lt;="&amp;EOMONTH(B2976,0))),C_CLAVE,0))&amp;"","Sin contrato"))</f>
        <v/>
      </c>
      <c r="T2976" s="63" t="str">
        <f aca="false">IF(OR(B2976="",N(O2976)=0),"",N(O2976)+ROUND(MIN(N(N2976),TOPE_UF*UF_MES)*(TASA_EMP+MUTUAL),0)+ROUND(MIN(N(N2976),TOPE_AFC_UF*UF_MES)*IF(S2976="Indefinido",AFC_INDEF,AFC_PF),0))</f>
        <v/>
      </c>
      <c r="U2976" s="62" t="str">
        <f aca="false">IF(C2976="","",IF(LEFT(D2976,1)="⚠","⚠ RUT no registrado en Trabajadores",IF(B2976="","⚠ Falta el mes",IF(OR(ISTEXT(I2976),ISTEXT(J2976)),"⚠ Atrasos u horas extra como texto: escriba hh:mm (ej. 1:30)",IF(AND(ISNUMBER(Q2976),COUNTIFS(M_RUTN,V2976,M_MES,B2976,M_LIQ,"&lt;&gt;")&gt;1),"⚠ Liquidación repetida en el mes",IF(AND(ISNUMBER(O2976),ISNUMBER(P2976),ISNUMBER(Q2976),ABS(O2976-P2976-Q2976)&gt;1),"⚠ Haberes − descuentos no da el líquido","OK"))))))</f>
        <v/>
      </c>
      <c r="V2976" s="62" t="str">
        <f aca="false">IF(C2976="","",IFERROR(VALUE(LEFT(UPPER(SUBSTITUTE(SUBSTITUTE(SUBSTITUTE(TRIM(C2976),".",""),"-","")," ","")),LEN(UPPER(SUBSTITUTE(SUBSTITUTE(SUBSTITUTE(TRIM(C2976),".",""),"-","")," ","")))-1))&amp;RIGHT(UPPER(SUBSTITUTE(SUBSTITUTE(SUBSTITUTE(TRIM(C2976),".",""),"-","")," ","")),1),UPPER(SUBSTITUTE(SUBSTITUTE(SUBSTITUTE(TRIM(C2976),".",""),"-","")," ",""))))</f>
        <v/>
      </c>
    </row>
    <row r="2977" customFormat="false" ht="15" hidden="false" customHeight="false" outlineLevel="0" collapsed="false">
      <c r="B2977" s="80"/>
      <c r="C2977" s="58"/>
      <c r="D2977" s="62" t="str">
        <f aca="false">IF(C2977="","",IFERROR(INDEX(T_NOMBRE,MATCH(V2977,T_RUTN,0)),"⚠ RUT no está en Trabajadores"))</f>
        <v/>
      </c>
      <c r="E2977" s="61"/>
      <c r="F2977" s="61"/>
      <c r="G2977" s="61"/>
      <c r="H2977" s="61"/>
      <c r="I2977" s="81"/>
      <c r="J2977" s="81"/>
      <c r="K2977" s="60"/>
      <c r="L2977" s="60"/>
      <c r="M2977" s="60"/>
      <c r="N2977" s="60"/>
      <c r="O2977" s="60"/>
      <c r="P2977" s="60"/>
      <c r="Q2977" s="60"/>
      <c r="R2977" s="58"/>
      <c r="S2977" s="62" t="str">
        <f aca="false">IF(OR(B2977="",V2977=""),"",IFERROR(INDEX(C_TIPO,MATCH(V2977&amp;"-P"&amp;MAX(1,COUNTIFS(C_RUTN,V2977,C_DEF,"Sí",C_INI,"&lt;="&amp;EOMONTH(B2977,0))),C_CLAVE,0))&amp;"","Sin contrato"))</f>
        <v/>
      </c>
      <c r="T2977" s="63" t="str">
        <f aca="false">IF(OR(B2977="",N(O2977)=0),"",N(O2977)+ROUND(MIN(N(N2977),TOPE_UF*UF_MES)*(TASA_EMP+MUTUAL),0)+ROUND(MIN(N(N2977),TOPE_AFC_UF*UF_MES)*IF(S2977="Indefinido",AFC_INDEF,AFC_PF),0))</f>
        <v/>
      </c>
      <c r="U2977" s="62" t="str">
        <f aca="false">IF(C2977="","",IF(LEFT(D2977,1)="⚠","⚠ RUT no registrado en Trabajadores",IF(B2977="","⚠ Falta el mes",IF(OR(ISTEXT(I2977),ISTEXT(J2977)),"⚠ Atrasos u horas extra como texto: escriba hh:mm (ej. 1:30)",IF(AND(ISNUMBER(Q2977),COUNTIFS(M_RUTN,V2977,M_MES,B2977,M_LIQ,"&lt;&gt;")&gt;1),"⚠ Liquidación repetida en el mes",IF(AND(ISNUMBER(O2977),ISNUMBER(P2977),ISNUMBER(Q2977),ABS(O2977-P2977-Q2977)&gt;1),"⚠ Haberes − descuentos no da el líquido","OK"))))))</f>
        <v/>
      </c>
      <c r="V2977" s="62" t="str">
        <f aca="false">IF(C2977="","",IFERROR(VALUE(LEFT(UPPER(SUBSTITUTE(SUBSTITUTE(SUBSTITUTE(TRIM(C2977),".",""),"-","")," ","")),LEN(UPPER(SUBSTITUTE(SUBSTITUTE(SUBSTITUTE(TRIM(C2977),".",""),"-","")," ","")))-1))&amp;RIGHT(UPPER(SUBSTITUTE(SUBSTITUTE(SUBSTITUTE(TRIM(C2977),".",""),"-","")," ","")),1),UPPER(SUBSTITUTE(SUBSTITUTE(SUBSTITUTE(TRIM(C2977),".",""),"-","")," ",""))))</f>
        <v/>
      </c>
    </row>
    <row r="2978" customFormat="false" ht="15" hidden="false" customHeight="false" outlineLevel="0" collapsed="false">
      <c r="B2978" s="80"/>
      <c r="C2978" s="58"/>
      <c r="D2978" s="62" t="str">
        <f aca="false">IF(C2978="","",IFERROR(INDEX(T_NOMBRE,MATCH(V2978,T_RUTN,0)),"⚠ RUT no está en Trabajadores"))</f>
        <v/>
      </c>
      <c r="E2978" s="61"/>
      <c r="F2978" s="61"/>
      <c r="G2978" s="61"/>
      <c r="H2978" s="61"/>
      <c r="I2978" s="81"/>
      <c r="J2978" s="81"/>
      <c r="K2978" s="60"/>
      <c r="L2978" s="60"/>
      <c r="M2978" s="60"/>
      <c r="N2978" s="60"/>
      <c r="O2978" s="60"/>
      <c r="P2978" s="60"/>
      <c r="Q2978" s="60"/>
      <c r="R2978" s="58"/>
      <c r="S2978" s="62" t="str">
        <f aca="false">IF(OR(B2978="",V2978=""),"",IFERROR(INDEX(C_TIPO,MATCH(V2978&amp;"-P"&amp;MAX(1,COUNTIFS(C_RUTN,V2978,C_DEF,"Sí",C_INI,"&lt;="&amp;EOMONTH(B2978,0))),C_CLAVE,0))&amp;"","Sin contrato"))</f>
        <v/>
      </c>
      <c r="T2978" s="63" t="str">
        <f aca="false">IF(OR(B2978="",N(O2978)=0),"",N(O2978)+ROUND(MIN(N(N2978),TOPE_UF*UF_MES)*(TASA_EMP+MUTUAL),0)+ROUND(MIN(N(N2978),TOPE_AFC_UF*UF_MES)*IF(S2978="Indefinido",AFC_INDEF,AFC_PF),0))</f>
        <v/>
      </c>
      <c r="U2978" s="62" t="str">
        <f aca="false">IF(C2978="","",IF(LEFT(D2978,1)="⚠","⚠ RUT no registrado en Trabajadores",IF(B2978="","⚠ Falta el mes",IF(OR(ISTEXT(I2978),ISTEXT(J2978)),"⚠ Atrasos u horas extra como texto: escriba hh:mm (ej. 1:30)",IF(AND(ISNUMBER(Q2978),COUNTIFS(M_RUTN,V2978,M_MES,B2978,M_LIQ,"&lt;&gt;")&gt;1),"⚠ Liquidación repetida en el mes",IF(AND(ISNUMBER(O2978),ISNUMBER(P2978),ISNUMBER(Q2978),ABS(O2978-P2978-Q2978)&gt;1),"⚠ Haberes − descuentos no da el líquido","OK"))))))</f>
        <v/>
      </c>
      <c r="V2978" s="62" t="str">
        <f aca="false">IF(C2978="","",IFERROR(VALUE(LEFT(UPPER(SUBSTITUTE(SUBSTITUTE(SUBSTITUTE(TRIM(C2978),".",""),"-","")," ","")),LEN(UPPER(SUBSTITUTE(SUBSTITUTE(SUBSTITUTE(TRIM(C2978),".",""),"-","")," ","")))-1))&amp;RIGHT(UPPER(SUBSTITUTE(SUBSTITUTE(SUBSTITUTE(TRIM(C2978),".",""),"-","")," ","")),1),UPPER(SUBSTITUTE(SUBSTITUTE(SUBSTITUTE(TRIM(C2978),".",""),"-","")," ",""))))</f>
        <v/>
      </c>
    </row>
    <row r="2979" customFormat="false" ht="15" hidden="false" customHeight="false" outlineLevel="0" collapsed="false">
      <c r="B2979" s="80"/>
      <c r="C2979" s="58"/>
      <c r="D2979" s="62" t="str">
        <f aca="false">IF(C2979="","",IFERROR(INDEX(T_NOMBRE,MATCH(V2979,T_RUTN,0)),"⚠ RUT no está en Trabajadores"))</f>
        <v/>
      </c>
      <c r="E2979" s="61"/>
      <c r="F2979" s="61"/>
      <c r="G2979" s="61"/>
      <c r="H2979" s="61"/>
      <c r="I2979" s="81"/>
      <c r="J2979" s="81"/>
      <c r="K2979" s="60"/>
      <c r="L2979" s="60"/>
      <c r="M2979" s="60"/>
      <c r="N2979" s="60"/>
      <c r="O2979" s="60"/>
      <c r="P2979" s="60"/>
      <c r="Q2979" s="60"/>
      <c r="R2979" s="58"/>
      <c r="S2979" s="62" t="str">
        <f aca="false">IF(OR(B2979="",V2979=""),"",IFERROR(INDEX(C_TIPO,MATCH(V2979&amp;"-P"&amp;MAX(1,COUNTIFS(C_RUTN,V2979,C_DEF,"Sí",C_INI,"&lt;="&amp;EOMONTH(B2979,0))),C_CLAVE,0))&amp;"","Sin contrato"))</f>
        <v/>
      </c>
      <c r="T2979" s="63" t="str">
        <f aca="false">IF(OR(B2979="",N(O2979)=0),"",N(O2979)+ROUND(MIN(N(N2979),TOPE_UF*UF_MES)*(TASA_EMP+MUTUAL),0)+ROUND(MIN(N(N2979),TOPE_AFC_UF*UF_MES)*IF(S2979="Indefinido",AFC_INDEF,AFC_PF),0))</f>
        <v/>
      </c>
      <c r="U2979" s="62" t="str">
        <f aca="false">IF(C2979="","",IF(LEFT(D2979,1)="⚠","⚠ RUT no registrado en Trabajadores",IF(B2979="","⚠ Falta el mes",IF(OR(ISTEXT(I2979),ISTEXT(J2979)),"⚠ Atrasos u horas extra como texto: escriba hh:mm (ej. 1:30)",IF(AND(ISNUMBER(Q2979),COUNTIFS(M_RUTN,V2979,M_MES,B2979,M_LIQ,"&lt;&gt;")&gt;1),"⚠ Liquidación repetida en el mes",IF(AND(ISNUMBER(O2979),ISNUMBER(P2979),ISNUMBER(Q2979),ABS(O2979-P2979-Q2979)&gt;1),"⚠ Haberes − descuentos no da el líquido","OK"))))))</f>
        <v/>
      </c>
      <c r="V2979" s="62" t="str">
        <f aca="false">IF(C2979="","",IFERROR(VALUE(LEFT(UPPER(SUBSTITUTE(SUBSTITUTE(SUBSTITUTE(TRIM(C2979),".",""),"-","")," ","")),LEN(UPPER(SUBSTITUTE(SUBSTITUTE(SUBSTITUTE(TRIM(C2979),".",""),"-","")," ","")))-1))&amp;RIGHT(UPPER(SUBSTITUTE(SUBSTITUTE(SUBSTITUTE(TRIM(C2979),".",""),"-","")," ","")),1),UPPER(SUBSTITUTE(SUBSTITUTE(SUBSTITUTE(TRIM(C2979),".",""),"-","")," ",""))))</f>
        <v/>
      </c>
    </row>
    <row r="2980" customFormat="false" ht="15" hidden="false" customHeight="false" outlineLevel="0" collapsed="false">
      <c r="B2980" s="80"/>
      <c r="C2980" s="58"/>
      <c r="D2980" s="62" t="str">
        <f aca="false">IF(C2980="","",IFERROR(INDEX(T_NOMBRE,MATCH(V2980,T_RUTN,0)),"⚠ RUT no está en Trabajadores"))</f>
        <v/>
      </c>
      <c r="E2980" s="61"/>
      <c r="F2980" s="61"/>
      <c r="G2980" s="61"/>
      <c r="H2980" s="61"/>
      <c r="I2980" s="81"/>
      <c r="J2980" s="81"/>
      <c r="K2980" s="60"/>
      <c r="L2980" s="60"/>
      <c r="M2980" s="60"/>
      <c r="N2980" s="60"/>
      <c r="O2980" s="60"/>
      <c r="P2980" s="60"/>
      <c r="Q2980" s="60"/>
      <c r="R2980" s="58"/>
      <c r="S2980" s="62" t="str">
        <f aca="false">IF(OR(B2980="",V2980=""),"",IFERROR(INDEX(C_TIPO,MATCH(V2980&amp;"-P"&amp;MAX(1,COUNTIFS(C_RUTN,V2980,C_DEF,"Sí",C_INI,"&lt;="&amp;EOMONTH(B2980,0))),C_CLAVE,0))&amp;"","Sin contrato"))</f>
        <v/>
      </c>
      <c r="T2980" s="63" t="str">
        <f aca="false">IF(OR(B2980="",N(O2980)=0),"",N(O2980)+ROUND(MIN(N(N2980),TOPE_UF*UF_MES)*(TASA_EMP+MUTUAL),0)+ROUND(MIN(N(N2980),TOPE_AFC_UF*UF_MES)*IF(S2980="Indefinido",AFC_INDEF,AFC_PF),0))</f>
        <v/>
      </c>
      <c r="U2980" s="62" t="str">
        <f aca="false">IF(C2980="","",IF(LEFT(D2980,1)="⚠","⚠ RUT no registrado en Trabajadores",IF(B2980="","⚠ Falta el mes",IF(OR(ISTEXT(I2980),ISTEXT(J2980)),"⚠ Atrasos u horas extra como texto: escriba hh:mm (ej. 1:30)",IF(AND(ISNUMBER(Q2980),COUNTIFS(M_RUTN,V2980,M_MES,B2980,M_LIQ,"&lt;&gt;")&gt;1),"⚠ Liquidación repetida en el mes",IF(AND(ISNUMBER(O2980),ISNUMBER(P2980),ISNUMBER(Q2980),ABS(O2980-P2980-Q2980)&gt;1),"⚠ Haberes − descuentos no da el líquido","OK"))))))</f>
        <v/>
      </c>
      <c r="V2980" s="62" t="str">
        <f aca="false">IF(C2980="","",IFERROR(VALUE(LEFT(UPPER(SUBSTITUTE(SUBSTITUTE(SUBSTITUTE(TRIM(C2980),".",""),"-","")," ","")),LEN(UPPER(SUBSTITUTE(SUBSTITUTE(SUBSTITUTE(TRIM(C2980),".",""),"-","")," ","")))-1))&amp;RIGHT(UPPER(SUBSTITUTE(SUBSTITUTE(SUBSTITUTE(TRIM(C2980),".",""),"-","")," ","")),1),UPPER(SUBSTITUTE(SUBSTITUTE(SUBSTITUTE(TRIM(C2980),".",""),"-","")," ",""))))</f>
        <v/>
      </c>
    </row>
    <row r="2981" customFormat="false" ht="15" hidden="false" customHeight="false" outlineLevel="0" collapsed="false">
      <c r="B2981" s="80"/>
      <c r="C2981" s="58"/>
      <c r="D2981" s="62" t="str">
        <f aca="false">IF(C2981="","",IFERROR(INDEX(T_NOMBRE,MATCH(V2981,T_RUTN,0)),"⚠ RUT no está en Trabajadores"))</f>
        <v/>
      </c>
      <c r="E2981" s="61"/>
      <c r="F2981" s="61"/>
      <c r="G2981" s="61"/>
      <c r="H2981" s="61"/>
      <c r="I2981" s="81"/>
      <c r="J2981" s="81"/>
      <c r="K2981" s="60"/>
      <c r="L2981" s="60"/>
      <c r="M2981" s="60"/>
      <c r="N2981" s="60"/>
      <c r="O2981" s="60"/>
      <c r="P2981" s="60"/>
      <c r="Q2981" s="60"/>
      <c r="R2981" s="58"/>
      <c r="S2981" s="62" t="str">
        <f aca="false">IF(OR(B2981="",V2981=""),"",IFERROR(INDEX(C_TIPO,MATCH(V2981&amp;"-P"&amp;MAX(1,COUNTIFS(C_RUTN,V2981,C_DEF,"Sí",C_INI,"&lt;="&amp;EOMONTH(B2981,0))),C_CLAVE,0))&amp;"","Sin contrato"))</f>
        <v/>
      </c>
      <c r="T2981" s="63" t="str">
        <f aca="false">IF(OR(B2981="",N(O2981)=0),"",N(O2981)+ROUND(MIN(N(N2981),TOPE_UF*UF_MES)*(TASA_EMP+MUTUAL),0)+ROUND(MIN(N(N2981),TOPE_AFC_UF*UF_MES)*IF(S2981="Indefinido",AFC_INDEF,AFC_PF),0))</f>
        <v/>
      </c>
      <c r="U2981" s="62" t="str">
        <f aca="false">IF(C2981="","",IF(LEFT(D2981,1)="⚠","⚠ RUT no registrado en Trabajadores",IF(B2981="","⚠ Falta el mes",IF(OR(ISTEXT(I2981),ISTEXT(J2981)),"⚠ Atrasos u horas extra como texto: escriba hh:mm (ej. 1:30)",IF(AND(ISNUMBER(Q2981),COUNTIFS(M_RUTN,V2981,M_MES,B2981,M_LIQ,"&lt;&gt;")&gt;1),"⚠ Liquidación repetida en el mes",IF(AND(ISNUMBER(O2981),ISNUMBER(P2981),ISNUMBER(Q2981),ABS(O2981-P2981-Q2981)&gt;1),"⚠ Haberes − descuentos no da el líquido","OK"))))))</f>
        <v/>
      </c>
      <c r="V2981" s="62" t="str">
        <f aca="false">IF(C2981="","",IFERROR(VALUE(LEFT(UPPER(SUBSTITUTE(SUBSTITUTE(SUBSTITUTE(TRIM(C2981),".",""),"-","")," ","")),LEN(UPPER(SUBSTITUTE(SUBSTITUTE(SUBSTITUTE(TRIM(C2981),".",""),"-","")," ","")))-1))&amp;RIGHT(UPPER(SUBSTITUTE(SUBSTITUTE(SUBSTITUTE(TRIM(C2981),".",""),"-","")," ","")),1),UPPER(SUBSTITUTE(SUBSTITUTE(SUBSTITUTE(TRIM(C2981),".",""),"-","")," ",""))))</f>
        <v/>
      </c>
    </row>
    <row r="2982" customFormat="false" ht="15" hidden="false" customHeight="false" outlineLevel="0" collapsed="false">
      <c r="B2982" s="80"/>
      <c r="C2982" s="58"/>
      <c r="D2982" s="62" t="str">
        <f aca="false">IF(C2982="","",IFERROR(INDEX(T_NOMBRE,MATCH(V2982,T_RUTN,0)),"⚠ RUT no está en Trabajadores"))</f>
        <v/>
      </c>
      <c r="E2982" s="61"/>
      <c r="F2982" s="61"/>
      <c r="G2982" s="61"/>
      <c r="H2982" s="61"/>
      <c r="I2982" s="81"/>
      <c r="J2982" s="81"/>
      <c r="K2982" s="60"/>
      <c r="L2982" s="60"/>
      <c r="M2982" s="60"/>
      <c r="N2982" s="60"/>
      <c r="O2982" s="60"/>
      <c r="P2982" s="60"/>
      <c r="Q2982" s="60"/>
      <c r="R2982" s="58"/>
      <c r="S2982" s="62" t="str">
        <f aca="false">IF(OR(B2982="",V2982=""),"",IFERROR(INDEX(C_TIPO,MATCH(V2982&amp;"-P"&amp;MAX(1,COUNTIFS(C_RUTN,V2982,C_DEF,"Sí",C_INI,"&lt;="&amp;EOMONTH(B2982,0))),C_CLAVE,0))&amp;"","Sin contrato"))</f>
        <v/>
      </c>
      <c r="T2982" s="63" t="str">
        <f aca="false">IF(OR(B2982="",N(O2982)=0),"",N(O2982)+ROUND(MIN(N(N2982),TOPE_UF*UF_MES)*(TASA_EMP+MUTUAL),0)+ROUND(MIN(N(N2982),TOPE_AFC_UF*UF_MES)*IF(S2982="Indefinido",AFC_INDEF,AFC_PF),0))</f>
        <v/>
      </c>
      <c r="U2982" s="62" t="str">
        <f aca="false">IF(C2982="","",IF(LEFT(D2982,1)="⚠","⚠ RUT no registrado en Trabajadores",IF(B2982="","⚠ Falta el mes",IF(OR(ISTEXT(I2982),ISTEXT(J2982)),"⚠ Atrasos u horas extra como texto: escriba hh:mm (ej. 1:30)",IF(AND(ISNUMBER(Q2982),COUNTIFS(M_RUTN,V2982,M_MES,B2982,M_LIQ,"&lt;&gt;")&gt;1),"⚠ Liquidación repetida en el mes",IF(AND(ISNUMBER(O2982),ISNUMBER(P2982),ISNUMBER(Q2982),ABS(O2982-P2982-Q2982)&gt;1),"⚠ Haberes − descuentos no da el líquido","OK"))))))</f>
        <v/>
      </c>
      <c r="V2982" s="62" t="str">
        <f aca="false">IF(C2982="","",IFERROR(VALUE(LEFT(UPPER(SUBSTITUTE(SUBSTITUTE(SUBSTITUTE(TRIM(C2982),".",""),"-","")," ","")),LEN(UPPER(SUBSTITUTE(SUBSTITUTE(SUBSTITUTE(TRIM(C2982),".",""),"-","")," ","")))-1))&amp;RIGHT(UPPER(SUBSTITUTE(SUBSTITUTE(SUBSTITUTE(TRIM(C2982),".",""),"-","")," ","")),1),UPPER(SUBSTITUTE(SUBSTITUTE(SUBSTITUTE(TRIM(C2982),".",""),"-","")," ",""))))</f>
        <v/>
      </c>
    </row>
    <row r="2983" customFormat="false" ht="15" hidden="false" customHeight="false" outlineLevel="0" collapsed="false">
      <c r="B2983" s="80"/>
      <c r="C2983" s="58"/>
      <c r="D2983" s="62" t="str">
        <f aca="false">IF(C2983="","",IFERROR(INDEX(T_NOMBRE,MATCH(V2983,T_RUTN,0)),"⚠ RUT no está en Trabajadores"))</f>
        <v/>
      </c>
      <c r="E2983" s="61"/>
      <c r="F2983" s="61"/>
      <c r="G2983" s="61"/>
      <c r="H2983" s="61"/>
      <c r="I2983" s="81"/>
      <c r="J2983" s="81"/>
      <c r="K2983" s="60"/>
      <c r="L2983" s="60"/>
      <c r="M2983" s="60"/>
      <c r="N2983" s="60"/>
      <c r="O2983" s="60"/>
      <c r="P2983" s="60"/>
      <c r="Q2983" s="60"/>
      <c r="R2983" s="58"/>
      <c r="S2983" s="62" t="str">
        <f aca="false">IF(OR(B2983="",V2983=""),"",IFERROR(INDEX(C_TIPO,MATCH(V2983&amp;"-P"&amp;MAX(1,COUNTIFS(C_RUTN,V2983,C_DEF,"Sí",C_INI,"&lt;="&amp;EOMONTH(B2983,0))),C_CLAVE,0))&amp;"","Sin contrato"))</f>
        <v/>
      </c>
      <c r="T2983" s="63" t="str">
        <f aca="false">IF(OR(B2983="",N(O2983)=0),"",N(O2983)+ROUND(MIN(N(N2983),TOPE_UF*UF_MES)*(TASA_EMP+MUTUAL),0)+ROUND(MIN(N(N2983),TOPE_AFC_UF*UF_MES)*IF(S2983="Indefinido",AFC_INDEF,AFC_PF),0))</f>
        <v/>
      </c>
      <c r="U2983" s="62" t="str">
        <f aca="false">IF(C2983="","",IF(LEFT(D2983,1)="⚠","⚠ RUT no registrado en Trabajadores",IF(B2983="","⚠ Falta el mes",IF(OR(ISTEXT(I2983),ISTEXT(J2983)),"⚠ Atrasos u horas extra como texto: escriba hh:mm (ej. 1:30)",IF(AND(ISNUMBER(Q2983),COUNTIFS(M_RUTN,V2983,M_MES,B2983,M_LIQ,"&lt;&gt;")&gt;1),"⚠ Liquidación repetida en el mes",IF(AND(ISNUMBER(O2983),ISNUMBER(P2983),ISNUMBER(Q2983),ABS(O2983-P2983-Q2983)&gt;1),"⚠ Haberes − descuentos no da el líquido","OK"))))))</f>
        <v/>
      </c>
      <c r="V2983" s="62" t="str">
        <f aca="false">IF(C2983="","",IFERROR(VALUE(LEFT(UPPER(SUBSTITUTE(SUBSTITUTE(SUBSTITUTE(TRIM(C2983),".",""),"-","")," ","")),LEN(UPPER(SUBSTITUTE(SUBSTITUTE(SUBSTITUTE(TRIM(C2983),".",""),"-","")," ","")))-1))&amp;RIGHT(UPPER(SUBSTITUTE(SUBSTITUTE(SUBSTITUTE(TRIM(C2983),".",""),"-","")," ","")),1),UPPER(SUBSTITUTE(SUBSTITUTE(SUBSTITUTE(TRIM(C2983),".",""),"-","")," ",""))))</f>
        <v/>
      </c>
    </row>
    <row r="2984" customFormat="false" ht="15" hidden="false" customHeight="false" outlineLevel="0" collapsed="false">
      <c r="B2984" s="80"/>
      <c r="C2984" s="58"/>
      <c r="D2984" s="62" t="str">
        <f aca="false">IF(C2984="","",IFERROR(INDEX(T_NOMBRE,MATCH(V2984,T_RUTN,0)),"⚠ RUT no está en Trabajadores"))</f>
        <v/>
      </c>
      <c r="E2984" s="61"/>
      <c r="F2984" s="61"/>
      <c r="G2984" s="61"/>
      <c r="H2984" s="61"/>
      <c r="I2984" s="81"/>
      <c r="J2984" s="81"/>
      <c r="K2984" s="60"/>
      <c r="L2984" s="60"/>
      <c r="M2984" s="60"/>
      <c r="N2984" s="60"/>
      <c r="O2984" s="60"/>
      <c r="P2984" s="60"/>
      <c r="Q2984" s="60"/>
      <c r="R2984" s="58"/>
      <c r="S2984" s="62" t="str">
        <f aca="false">IF(OR(B2984="",V2984=""),"",IFERROR(INDEX(C_TIPO,MATCH(V2984&amp;"-P"&amp;MAX(1,COUNTIFS(C_RUTN,V2984,C_DEF,"Sí",C_INI,"&lt;="&amp;EOMONTH(B2984,0))),C_CLAVE,0))&amp;"","Sin contrato"))</f>
        <v/>
      </c>
      <c r="T2984" s="63" t="str">
        <f aca="false">IF(OR(B2984="",N(O2984)=0),"",N(O2984)+ROUND(MIN(N(N2984),TOPE_UF*UF_MES)*(TASA_EMP+MUTUAL),0)+ROUND(MIN(N(N2984),TOPE_AFC_UF*UF_MES)*IF(S2984="Indefinido",AFC_INDEF,AFC_PF),0))</f>
        <v/>
      </c>
      <c r="U2984" s="62" t="str">
        <f aca="false">IF(C2984="","",IF(LEFT(D2984,1)="⚠","⚠ RUT no registrado en Trabajadores",IF(B2984="","⚠ Falta el mes",IF(OR(ISTEXT(I2984),ISTEXT(J2984)),"⚠ Atrasos u horas extra como texto: escriba hh:mm (ej. 1:30)",IF(AND(ISNUMBER(Q2984),COUNTIFS(M_RUTN,V2984,M_MES,B2984,M_LIQ,"&lt;&gt;")&gt;1),"⚠ Liquidación repetida en el mes",IF(AND(ISNUMBER(O2984),ISNUMBER(P2984),ISNUMBER(Q2984),ABS(O2984-P2984-Q2984)&gt;1),"⚠ Haberes − descuentos no da el líquido","OK"))))))</f>
        <v/>
      </c>
      <c r="V2984" s="62" t="str">
        <f aca="false">IF(C2984="","",IFERROR(VALUE(LEFT(UPPER(SUBSTITUTE(SUBSTITUTE(SUBSTITUTE(TRIM(C2984),".",""),"-","")," ","")),LEN(UPPER(SUBSTITUTE(SUBSTITUTE(SUBSTITUTE(TRIM(C2984),".",""),"-","")," ","")))-1))&amp;RIGHT(UPPER(SUBSTITUTE(SUBSTITUTE(SUBSTITUTE(TRIM(C2984),".",""),"-","")," ","")),1),UPPER(SUBSTITUTE(SUBSTITUTE(SUBSTITUTE(TRIM(C2984),".",""),"-","")," ",""))))</f>
        <v/>
      </c>
    </row>
    <row r="2985" customFormat="false" ht="15" hidden="false" customHeight="false" outlineLevel="0" collapsed="false">
      <c r="B2985" s="80"/>
      <c r="C2985" s="58"/>
      <c r="D2985" s="62" t="str">
        <f aca="false">IF(C2985="","",IFERROR(INDEX(T_NOMBRE,MATCH(V2985,T_RUTN,0)),"⚠ RUT no está en Trabajadores"))</f>
        <v/>
      </c>
      <c r="E2985" s="61"/>
      <c r="F2985" s="61"/>
      <c r="G2985" s="61"/>
      <c r="H2985" s="61"/>
      <c r="I2985" s="81"/>
      <c r="J2985" s="81"/>
      <c r="K2985" s="60"/>
      <c r="L2985" s="60"/>
      <c r="M2985" s="60"/>
      <c r="N2985" s="60"/>
      <c r="O2985" s="60"/>
      <c r="P2985" s="60"/>
      <c r="Q2985" s="60"/>
      <c r="R2985" s="58"/>
      <c r="S2985" s="62" t="str">
        <f aca="false">IF(OR(B2985="",V2985=""),"",IFERROR(INDEX(C_TIPO,MATCH(V2985&amp;"-P"&amp;MAX(1,COUNTIFS(C_RUTN,V2985,C_DEF,"Sí",C_INI,"&lt;="&amp;EOMONTH(B2985,0))),C_CLAVE,0))&amp;"","Sin contrato"))</f>
        <v/>
      </c>
      <c r="T2985" s="63" t="str">
        <f aca="false">IF(OR(B2985="",N(O2985)=0),"",N(O2985)+ROUND(MIN(N(N2985),TOPE_UF*UF_MES)*(TASA_EMP+MUTUAL),0)+ROUND(MIN(N(N2985),TOPE_AFC_UF*UF_MES)*IF(S2985="Indefinido",AFC_INDEF,AFC_PF),0))</f>
        <v/>
      </c>
      <c r="U2985" s="62" t="str">
        <f aca="false">IF(C2985="","",IF(LEFT(D2985,1)="⚠","⚠ RUT no registrado en Trabajadores",IF(B2985="","⚠ Falta el mes",IF(OR(ISTEXT(I2985),ISTEXT(J2985)),"⚠ Atrasos u horas extra como texto: escriba hh:mm (ej. 1:30)",IF(AND(ISNUMBER(Q2985),COUNTIFS(M_RUTN,V2985,M_MES,B2985,M_LIQ,"&lt;&gt;")&gt;1),"⚠ Liquidación repetida en el mes",IF(AND(ISNUMBER(O2985),ISNUMBER(P2985),ISNUMBER(Q2985),ABS(O2985-P2985-Q2985)&gt;1),"⚠ Haberes − descuentos no da el líquido","OK"))))))</f>
        <v/>
      </c>
      <c r="V2985" s="62" t="str">
        <f aca="false">IF(C2985="","",IFERROR(VALUE(LEFT(UPPER(SUBSTITUTE(SUBSTITUTE(SUBSTITUTE(TRIM(C2985),".",""),"-","")," ","")),LEN(UPPER(SUBSTITUTE(SUBSTITUTE(SUBSTITUTE(TRIM(C2985),".",""),"-","")," ","")))-1))&amp;RIGHT(UPPER(SUBSTITUTE(SUBSTITUTE(SUBSTITUTE(TRIM(C2985),".",""),"-","")," ","")),1),UPPER(SUBSTITUTE(SUBSTITUTE(SUBSTITUTE(TRIM(C2985),".",""),"-","")," ",""))))</f>
        <v/>
      </c>
    </row>
    <row r="2986" customFormat="false" ht="15" hidden="false" customHeight="false" outlineLevel="0" collapsed="false">
      <c r="B2986" s="80"/>
      <c r="C2986" s="58"/>
      <c r="D2986" s="62" t="str">
        <f aca="false">IF(C2986="","",IFERROR(INDEX(T_NOMBRE,MATCH(V2986,T_RUTN,0)),"⚠ RUT no está en Trabajadores"))</f>
        <v/>
      </c>
      <c r="E2986" s="61"/>
      <c r="F2986" s="61"/>
      <c r="G2986" s="61"/>
      <c r="H2986" s="61"/>
      <c r="I2986" s="81"/>
      <c r="J2986" s="81"/>
      <c r="K2986" s="60"/>
      <c r="L2986" s="60"/>
      <c r="M2986" s="60"/>
      <c r="N2986" s="60"/>
      <c r="O2986" s="60"/>
      <c r="P2986" s="60"/>
      <c r="Q2986" s="60"/>
      <c r="R2986" s="58"/>
      <c r="S2986" s="62" t="str">
        <f aca="false">IF(OR(B2986="",V2986=""),"",IFERROR(INDEX(C_TIPO,MATCH(V2986&amp;"-P"&amp;MAX(1,COUNTIFS(C_RUTN,V2986,C_DEF,"Sí",C_INI,"&lt;="&amp;EOMONTH(B2986,0))),C_CLAVE,0))&amp;"","Sin contrato"))</f>
        <v/>
      </c>
      <c r="T2986" s="63" t="str">
        <f aca="false">IF(OR(B2986="",N(O2986)=0),"",N(O2986)+ROUND(MIN(N(N2986),TOPE_UF*UF_MES)*(TASA_EMP+MUTUAL),0)+ROUND(MIN(N(N2986),TOPE_AFC_UF*UF_MES)*IF(S2986="Indefinido",AFC_INDEF,AFC_PF),0))</f>
        <v/>
      </c>
      <c r="U2986" s="62" t="str">
        <f aca="false">IF(C2986="","",IF(LEFT(D2986,1)="⚠","⚠ RUT no registrado en Trabajadores",IF(B2986="","⚠ Falta el mes",IF(OR(ISTEXT(I2986),ISTEXT(J2986)),"⚠ Atrasos u horas extra como texto: escriba hh:mm (ej. 1:30)",IF(AND(ISNUMBER(Q2986),COUNTIFS(M_RUTN,V2986,M_MES,B2986,M_LIQ,"&lt;&gt;")&gt;1),"⚠ Liquidación repetida en el mes",IF(AND(ISNUMBER(O2986),ISNUMBER(P2986),ISNUMBER(Q2986),ABS(O2986-P2986-Q2986)&gt;1),"⚠ Haberes − descuentos no da el líquido","OK"))))))</f>
        <v/>
      </c>
      <c r="V2986" s="62" t="str">
        <f aca="false">IF(C2986="","",IFERROR(VALUE(LEFT(UPPER(SUBSTITUTE(SUBSTITUTE(SUBSTITUTE(TRIM(C2986),".",""),"-","")," ","")),LEN(UPPER(SUBSTITUTE(SUBSTITUTE(SUBSTITUTE(TRIM(C2986),".",""),"-","")," ","")))-1))&amp;RIGHT(UPPER(SUBSTITUTE(SUBSTITUTE(SUBSTITUTE(TRIM(C2986),".",""),"-","")," ","")),1),UPPER(SUBSTITUTE(SUBSTITUTE(SUBSTITUTE(TRIM(C2986),".",""),"-","")," ",""))))</f>
        <v/>
      </c>
    </row>
    <row r="2987" customFormat="false" ht="15" hidden="false" customHeight="false" outlineLevel="0" collapsed="false">
      <c r="B2987" s="80"/>
      <c r="C2987" s="58"/>
      <c r="D2987" s="62" t="str">
        <f aca="false">IF(C2987="","",IFERROR(INDEX(T_NOMBRE,MATCH(V2987,T_RUTN,0)),"⚠ RUT no está en Trabajadores"))</f>
        <v/>
      </c>
      <c r="E2987" s="61"/>
      <c r="F2987" s="61"/>
      <c r="G2987" s="61"/>
      <c r="H2987" s="61"/>
      <c r="I2987" s="81"/>
      <c r="J2987" s="81"/>
      <c r="K2987" s="60"/>
      <c r="L2987" s="60"/>
      <c r="M2987" s="60"/>
      <c r="N2987" s="60"/>
      <c r="O2987" s="60"/>
      <c r="P2987" s="60"/>
      <c r="Q2987" s="60"/>
      <c r="R2987" s="58"/>
      <c r="S2987" s="62" t="str">
        <f aca="false">IF(OR(B2987="",V2987=""),"",IFERROR(INDEX(C_TIPO,MATCH(V2987&amp;"-P"&amp;MAX(1,COUNTIFS(C_RUTN,V2987,C_DEF,"Sí",C_INI,"&lt;="&amp;EOMONTH(B2987,0))),C_CLAVE,0))&amp;"","Sin contrato"))</f>
        <v/>
      </c>
      <c r="T2987" s="63" t="str">
        <f aca="false">IF(OR(B2987="",N(O2987)=0),"",N(O2987)+ROUND(MIN(N(N2987),TOPE_UF*UF_MES)*(TASA_EMP+MUTUAL),0)+ROUND(MIN(N(N2987),TOPE_AFC_UF*UF_MES)*IF(S2987="Indefinido",AFC_INDEF,AFC_PF),0))</f>
        <v/>
      </c>
      <c r="U2987" s="62" t="str">
        <f aca="false">IF(C2987="","",IF(LEFT(D2987,1)="⚠","⚠ RUT no registrado en Trabajadores",IF(B2987="","⚠ Falta el mes",IF(OR(ISTEXT(I2987),ISTEXT(J2987)),"⚠ Atrasos u horas extra como texto: escriba hh:mm (ej. 1:30)",IF(AND(ISNUMBER(Q2987),COUNTIFS(M_RUTN,V2987,M_MES,B2987,M_LIQ,"&lt;&gt;")&gt;1),"⚠ Liquidación repetida en el mes",IF(AND(ISNUMBER(O2987),ISNUMBER(P2987),ISNUMBER(Q2987),ABS(O2987-P2987-Q2987)&gt;1),"⚠ Haberes − descuentos no da el líquido","OK"))))))</f>
        <v/>
      </c>
      <c r="V2987" s="62" t="str">
        <f aca="false">IF(C2987="","",IFERROR(VALUE(LEFT(UPPER(SUBSTITUTE(SUBSTITUTE(SUBSTITUTE(TRIM(C2987),".",""),"-","")," ","")),LEN(UPPER(SUBSTITUTE(SUBSTITUTE(SUBSTITUTE(TRIM(C2987),".",""),"-","")," ","")))-1))&amp;RIGHT(UPPER(SUBSTITUTE(SUBSTITUTE(SUBSTITUTE(TRIM(C2987),".",""),"-","")," ","")),1),UPPER(SUBSTITUTE(SUBSTITUTE(SUBSTITUTE(TRIM(C2987),".",""),"-","")," ",""))))</f>
        <v/>
      </c>
    </row>
    <row r="2988" customFormat="false" ht="15" hidden="false" customHeight="false" outlineLevel="0" collapsed="false">
      <c r="B2988" s="80"/>
      <c r="C2988" s="58"/>
      <c r="D2988" s="62" t="str">
        <f aca="false">IF(C2988="","",IFERROR(INDEX(T_NOMBRE,MATCH(V2988,T_RUTN,0)),"⚠ RUT no está en Trabajadores"))</f>
        <v/>
      </c>
      <c r="E2988" s="61"/>
      <c r="F2988" s="61"/>
      <c r="G2988" s="61"/>
      <c r="H2988" s="61"/>
      <c r="I2988" s="81"/>
      <c r="J2988" s="81"/>
      <c r="K2988" s="60"/>
      <c r="L2988" s="60"/>
      <c r="M2988" s="60"/>
      <c r="N2988" s="60"/>
      <c r="O2988" s="60"/>
      <c r="P2988" s="60"/>
      <c r="Q2988" s="60"/>
      <c r="R2988" s="58"/>
      <c r="S2988" s="62" t="str">
        <f aca="false">IF(OR(B2988="",V2988=""),"",IFERROR(INDEX(C_TIPO,MATCH(V2988&amp;"-P"&amp;MAX(1,COUNTIFS(C_RUTN,V2988,C_DEF,"Sí",C_INI,"&lt;="&amp;EOMONTH(B2988,0))),C_CLAVE,0))&amp;"","Sin contrato"))</f>
        <v/>
      </c>
      <c r="T2988" s="63" t="str">
        <f aca="false">IF(OR(B2988="",N(O2988)=0),"",N(O2988)+ROUND(MIN(N(N2988),TOPE_UF*UF_MES)*(TASA_EMP+MUTUAL),0)+ROUND(MIN(N(N2988),TOPE_AFC_UF*UF_MES)*IF(S2988="Indefinido",AFC_INDEF,AFC_PF),0))</f>
        <v/>
      </c>
      <c r="U2988" s="62" t="str">
        <f aca="false">IF(C2988="","",IF(LEFT(D2988,1)="⚠","⚠ RUT no registrado en Trabajadores",IF(B2988="","⚠ Falta el mes",IF(OR(ISTEXT(I2988),ISTEXT(J2988)),"⚠ Atrasos u horas extra como texto: escriba hh:mm (ej. 1:30)",IF(AND(ISNUMBER(Q2988),COUNTIFS(M_RUTN,V2988,M_MES,B2988,M_LIQ,"&lt;&gt;")&gt;1),"⚠ Liquidación repetida en el mes",IF(AND(ISNUMBER(O2988),ISNUMBER(P2988),ISNUMBER(Q2988),ABS(O2988-P2988-Q2988)&gt;1),"⚠ Haberes − descuentos no da el líquido","OK"))))))</f>
        <v/>
      </c>
      <c r="V2988" s="62" t="str">
        <f aca="false">IF(C2988="","",IFERROR(VALUE(LEFT(UPPER(SUBSTITUTE(SUBSTITUTE(SUBSTITUTE(TRIM(C2988),".",""),"-","")," ","")),LEN(UPPER(SUBSTITUTE(SUBSTITUTE(SUBSTITUTE(TRIM(C2988),".",""),"-","")," ","")))-1))&amp;RIGHT(UPPER(SUBSTITUTE(SUBSTITUTE(SUBSTITUTE(TRIM(C2988),".",""),"-","")," ","")),1),UPPER(SUBSTITUTE(SUBSTITUTE(SUBSTITUTE(TRIM(C2988),".",""),"-","")," ",""))))</f>
        <v/>
      </c>
    </row>
    <row r="2989" customFormat="false" ht="15" hidden="false" customHeight="false" outlineLevel="0" collapsed="false">
      <c r="B2989" s="80"/>
      <c r="C2989" s="58"/>
      <c r="D2989" s="62" t="str">
        <f aca="false">IF(C2989="","",IFERROR(INDEX(T_NOMBRE,MATCH(V2989,T_RUTN,0)),"⚠ RUT no está en Trabajadores"))</f>
        <v/>
      </c>
      <c r="E2989" s="61"/>
      <c r="F2989" s="61"/>
      <c r="G2989" s="61"/>
      <c r="H2989" s="61"/>
      <c r="I2989" s="81"/>
      <c r="J2989" s="81"/>
      <c r="K2989" s="60"/>
      <c r="L2989" s="60"/>
      <c r="M2989" s="60"/>
      <c r="N2989" s="60"/>
      <c r="O2989" s="60"/>
      <c r="P2989" s="60"/>
      <c r="Q2989" s="60"/>
      <c r="R2989" s="58"/>
      <c r="S2989" s="62" t="str">
        <f aca="false">IF(OR(B2989="",V2989=""),"",IFERROR(INDEX(C_TIPO,MATCH(V2989&amp;"-P"&amp;MAX(1,COUNTIFS(C_RUTN,V2989,C_DEF,"Sí",C_INI,"&lt;="&amp;EOMONTH(B2989,0))),C_CLAVE,0))&amp;"","Sin contrato"))</f>
        <v/>
      </c>
      <c r="T2989" s="63" t="str">
        <f aca="false">IF(OR(B2989="",N(O2989)=0),"",N(O2989)+ROUND(MIN(N(N2989),TOPE_UF*UF_MES)*(TASA_EMP+MUTUAL),0)+ROUND(MIN(N(N2989),TOPE_AFC_UF*UF_MES)*IF(S2989="Indefinido",AFC_INDEF,AFC_PF),0))</f>
        <v/>
      </c>
      <c r="U2989" s="62" t="str">
        <f aca="false">IF(C2989="","",IF(LEFT(D2989,1)="⚠","⚠ RUT no registrado en Trabajadores",IF(B2989="","⚠ Falta el mes",IF(OR(ISTEXT(I2989),ISTEXT(J2989)),"⚠ Atrasos u horas extra como texto: escriba hh:mm (ej. 1:30)",IF(AND(ISNUMBER(Q2989),COUNTIFS(M_RUTN,V2989,M_MES,B2989,M_LIQ,"&lt;&gt;")&gt;1),"⚠ Liquidación repetida en el mes",IF(AND(ISNUMBER(O2989),ISNUMBER(P2989),ISNUMBER(Q2989),ABS(O2989-P2989-Q2989)&gt;1),"⚠ Haberes − descuentos no da el líquido","OK"))))))</f>
        <v/>
      </c>
      <c r="V2989" s="62" t="str">
        <f aca="false">IF(C2989="","",IFERROR(VALUE(LEFT(UPPER(SUBSTITUTE(SUBSTITUTE(SUBSTITUTE(TRIM(C2989),".",""),"-","")," ","")),LEN(UPPER(SUBSTITUTE(SUBSTITUTE(SUBSTITUTE(TRIM(C2989),".",""),"-","")," ","")))-1))&amp;RIGHT(UPPER(SUBSTITUTE(SUBSTITUTE(SUBSTITUTE(TRIM(C2989),".",""),"-","")," ","")),1),UPPER(SUBSTITUTE(SUBSTITUTE(SUBSTITUTE(TRIM(C2989),".",""),"-","")," ",""))))</f>
        <v/>
      </c>
    </row>
    <row r="2990" customFormat="false" ht="15" hidden="false" customHeight="false" outlineLevel="0" collapsed="false">
      <c r="B2990" s="80"/>
      <c r="C2990" s="58"/>
      <c r="D2990" s="62" t="str">
        <f aca="false">IF(C2990="","",IFERROR(INDEX(T_NOMBRE,MATCH(V2990,T_RUTN,0)),"⚠ RUT no está en Trabajadores"))</f>
        <v/>
      </c>
      <c r="E2990" s="61"/>
      <c r="F2990" s="61"/>
      <c r="G2990" s="61"/>
      <c r="H2990" s="61"/>
      <c r="I2990" s="81"/>
      <c r="J2990" s="81"/>
      <c r="K2990" s="60"/>
      <c r="L2990" s="60"/>
      <c r="M2990" s="60"/>
      <c r="N2990" s="60"/>
      <c r="O2990" s="60"/>
      <c r="P2990" s="60"/>
      <c r="Q2990" s="60"/>
      <c r="R2990" s="58"/>
      <c r="S2990" s="62" t="str">
        <f aca="false">IF(OR(B2990="",V2990=""),"",IFERROR(INDEX(C_TIPO,MATCH(V2990&amp;"-P"&amp;MAX(1,COUNTIFS(C_RUTN,V2990,C_DEF,"Sí",C_INI,"&lt;="&amp;EOMONTH(B2990,0))),C_CLAVE,0))&amp;"","Sin contrato"))</f>
        <v/>
      </c>
      <c r="T2990" s="63" t="str">
        <f aca="false">IF(OR(B2990="",N(O2990)=0),"",N(O2990)+ROUND(MIN(N(N2990),TOPE_UF*UF_MES)*(TASA_EMP+MUTUAL),0)+ROUND(MIN(N(N2990),TOPE_AFC_UF*UF_MES)*IF(S2990="Indefinido",AFC_INDEF,AFC_PF),0))</f>
        <v/>
      </c>
      <c r="U2990" s="62" t="str">
        <f aca="false">IF(C2990="","",IF(LEFT(D2990,1)="⚠","⚠ RUT no registrado en Trabajadores",IF(B2990="","⚠ Falta el mes",IF(OR(ISTEXT(I2990),ISTEXT(J2990)),"⚠ Atrasos u horas extra como texto: escriba hh:mm (ej. 1:30)",IF(AND(ISNUMBER(Q2990),COUNTIFS(M_RUTN,V2990,M_MES,B2990,M_LIQ,"&lt;&gt;")&gt;1),"⚠ Liquidación repetida en el mes",IF(AND(ISNUMBER(O2990),ISNUMBER(P2990),ISNUMBER(Q2990),ABS(O2990-P2990-Q2990)&gt;1),"⚠ Haberes − descuentos no da el líquido","OK"))))))</f>
        <v/>
      </c>
      <c r="V2990" s="62" t="str">
        <f aca="false">IF(C2990="","",IFERROR(VALUE(LEFT(UPPER(SUBSTITUTE(SUBSTITUTE(SUBSTITUTE(TRIM(C2990),".",""),"-","")," ","")),LEN(UPPER(SUBSTITUTE(SUBSTITUTE(SUBSTITUTE(TRIM(C2990),".",""),"-","")," ","")))-1))&amp;RIGHT(UPPER(SUBSTITUTE(SUBSTITUTE(SUBSTITUTE(TRIM(C2990),".",""),"-","")," ","")),1),UPPER(SUBSTITUTE(SUBSTITUTE(SUBSTITUTE(TRIM(C2990),".",""),"-","")," ",""))))</f>
        <v/>
      </c>
    </row>
    <row r="2991" customFormat="false" ht="15" hidden="false" customHeight="false" outlineLevel="0" collapsed="false">
      <c r="B2991" s="80"/>
      <c r="C2991" s="58"/>
      <c r="D2991" s="62" t="str">
        <f aca="false">IF(C2991="","",IFERROR(INDEX(T_NOMBRE,MATCH(V2991,T_RUTN,0)),"⚠ RUT no está en Trabajadores"))</f>
        <v/>
      </c>
      <c r="E2991" s="61"/>
      <c r="F2991" s="61"/>
      <c r="G2991" s="61"/>
      <c r="H2991" s="61"/>
      <c r="I2991" s="81"/>
      <c r="J2991" s="81"/>
      <c r="K2991" s="60"/>
      <c r="L2991" s="60"/>
      <c r="M2991" s="60"/>
      <c r="N2991" s="60"/>
      <c r="O2991" s="60"/>
      <c r="P2991" s="60"/>
      <c r="Q2991" s="60"/>
      <c r="R2991" s="58"/>
      <c r="S2991" s="62" t="str">
        <f aca="false">IF(OR(B2991="",V2991=""),"",IFERROR(INDEX(C_TIPO,MATCH(V2991&amp;"-P"&amp;MAX(1,COUNTIFS(C_RUTN,V2991,C_DEF,"Sí",C_INI,"&lt;="&amp;EOMONTH(B2991,0))),C_CLAVE,0))&amp;"","Sin contrato"))</f>
        <v/>
      </c>
      <c r="T2991" s="63" t="str">
        <f aca="false">IF(OR(B2991="",N(O2991)=0),"",N(O2991)+ROUND(MIN(N(N2991),TOPE_UF*UF_MES)*(TASA_EMP+MUTUAL),0)+ROUND(MIN(N(N2991),TOPE_AFC_UF*UF_MES)*IF(S2991="Indefinido",AFC_INDEF,AFC_PF),0))</f>
        <v/>
      </c>
      <c r="U2991" s="62" t="str">
        <f aca="false">IF(C2991="","",IF(LEFT(D2991,1)="⚠","⚠ RUT no registrado en Trabajadores",IF(B2991="","⚠ Falta el mes",IF(OR(ISTEXT(I2991),ISTEXT(J2991)),"⚠ Atrasos u horas extra como texto: escriba hh:mm (ej. 1:30)",IF(AND(ISNUMBER(Q2991),COUNTIFS(M_RUTN,V2991,M_MES,B2991,M_LIQ,"&lt;&gt;")&gt;1),"⚠ Liquidación repetida en el mes",IF(AND(ISNUMBER(O2991),ISNUMBER(P2991),ISNUMBER(Q2991),ABS(O2991-P2991-Q2991)&gt;1),"⚠ Haberes − descuentos no da el líquido","OK"))))))</f>
        <v/>
      </c>
      <c r="V2991" s="62" t="str">
        <f aca="false">IF(C2991="","",IFERROR(VALUE(LEFT(UPPER(SUBSTITUTE(SUBSTITUTE(SUBSTITUTE(TRIM(C2991),".",""),"-","")," ","")),LEN(UPPER(SUBSTITUTE(SUBSTITUTE(SUBSTITUTE(TRIM(C2991),".",""),"-","")," ","")))-1))&amp;RIGHT(UPPER(SUBSTITUTE(SUBSTITUTE(SUBSTITUTE(TRIM(C2991),".",""),"-","")," ","")),1),UPPER(SUBSTITUTE(SUBSTITUTE(SUBSTITUTE(TRIM(C2991),".",""),"-","")," ",""))))</f>
        <v/>
      </c>
    </row>
    <row r="2992" customFormat="false" ht="15" hidden="false" customHeight="false" outlineLevel="0" collapsed="false">
      <c r="B2992" s="80"/>
      <c r="C2992" s="58"/>
      <c r="D2992" s="62" t="str">
        <f aca="false">IF(C2992="","",IFERROR(INDEX(T_NOMBRE,MATCH(V2992,T_RUTN,0)),"⚠ RUT no está en Trabajadores"))</f>
        <v/>
      </c>
      <c r="E2992" s="61"/>
      <c r="F2992" s="61"/>
      <c r="G2992" s="61"/>
      <c r="H2992" s="61"/>
      <c r="I2992" s="81"/>
      <c r="J2992" s="81"/>
      <c r="K2992" s="60"/>
      <c r="L2992" s="60"/>
      <c r="M2992" s="60"/>
      <c r="N2992" s="60"/>
      <c r="O2992" s="60"/>
      <c r="P2992" s="60"/>
      <c r="Q2992" s="60"/>
      <c r="R2992" s="58"/>
      <c r="S2992" s="62" t="str">
        <f aca="false">IF(OR(B2992="",V2992=""),"",IFERROR(INDEX(C_TIPO,MATCH(V2992&amp;"-P"&amp;MAX(1,COUNTIFS(C_RUTN,V2992,C_DEF,"Sí",C_INI,"&lt;="&amp;EOMONTH(B2992,0))),C_CLAVE,0))&amp;"","Sin contrato"))</f>
        <v/>
      </c>
      <c r="T2992" s="63" t="str">
        <f aca="false">IF(OR(B2992="",N(O2992)=0),"",N(O2992)+ROUND(MIN(N(N2992),TOPE_UF*UF_MES)*(TASA_EMP+MUTUAL),0)+ROUND(MIN(N(N2992),TOPE_AFC_UF*UF_MES)*IF(S2992="Indefinido",AFC_INDEF,AFC_PF),0))</f>
        <v/>
      </c>
      <c r="U2992" s="62" t="str">
        <f aca="false">IF(C2992="","",IF(LEFT(D2992,1)="⚠","⚠ RUT no registrado en Trabajadores",IF(B2992="","⚠ Falta el mes",IF(OR(ISTEXT(I2992),ISTEXT(J2992)),"⚠ Atrasos u horas extra como texto: escriba hh:mm (ej. 1:30)",IF(AND(ISNUMBER(Q2992),COUNTIFS(M_RUTN,V2992,M_MES,B2992,M_LIQ,"&lt;&gt;")&gt;1),"⚠ Liquidación repetida en el mes",IF(AND(ISNUMBER(O2992),ISNUMBER(P2992),ISNUMBER(Q2992),ABS(O2992-P2992-Q2992)&gt;1),"⚠ Haberes − descuentos no da el líquido","OK"))))))</f>
        <v/>
      </c>
      <c r="V2992" s="62" t="str">
        <f aca="false">IF(C2992="","",IFERROR(VALUE(LEFT(UPPER(SUBSTITUTE(SUBSTITUTE(SUBSTITUTE(TRIM(C2992),".",""),"-","")," ","")),LEN(UPPER(SUBSTITUTE(SUBSTITUTE(SUBSTITUTE(TRIM(C2992),".",""),"-","")," ","")))-1))&amp;RIGHT(UPPER(SUBSTITUTE(SUBSTITUTE(SUBSTITUTE(TRIM(C2992),".",""),"-","")," ","")),1),UPPER(SUBSTITUTE(SUBSTITUTE(SUBSTITUTE(TRIM(C2992),".",""),"-","")," ",""))))</f>
        <v/>
      </c>
    </row>
    <row r="2993" customFormat="false" ht="15" hidden="false" customHeight="false" outlineLevel="0" collapsed="false">
      <c r="B2993" s="80"/>
      <c r="C2993" s="58"/>
      <c r="D2993" s="62" t="str">
        <f aca="false">IF(C2993="","",IFERROR(INDEX(T_NOMBRE,MATCH(V2993,T_RUTN,0)),"⚠ RUT no está en Trabajadores"))</f>
        <v/>
      </c>
      <c r="E2993" s="61"/>
      <c r="F2993" s="61"/>
      <c r="G2993" s="61"/>
      <c r="H2993" s="61"/>
      <c r="I2993" s="81"/>
      <c r="J2993" s="81"/>
      <c r="K2993" s="60"/>
      <c r="L2993" s="60"/>
      <c r="M2993" s="60"/>
      <c r="N2993" s="60"/>
      <c r="O2993" s="60"/>
      <c r="P2993" s="60"/>
      <c r="Q2993" s="60"/>
      <c r="R2993" s="58"/>
      <c r="S2993" s="62" t="str">
        <f aca="false">IF(OR(B2993="",V2993=""),"",IFERROR(INDEX(C_TIPO,MATCH(V2993&amp;"-P"&amp;MAX(1,COUNTIFS(C_RUTN,V2993,C_DEF,"Sí",C_INI,"&lt;="&amp;EOMONTH(B2993,0))),C_CLAVE,0))&amp;"","Sin contrato"))</f>
        <v/>
      </c>
      <c r="T2993" s="63" t="str">
        <f aca="false">IF(OR(B2993="",N(O2993)=0),"",N(O2993)+ROUND(MIN(N(N2993),TOPE_UF*UF_MES)*(TASA_EMP+MUTUAL),0)+ROUND(MIN(N(N2993),TOPE_AFC_UF*UF_MES)*IF(S2993="Indefinido",AFC_INDEF,AFC_PF),0))</f>
        <v/>
      </c>
      <c r="U2993" s="62" t="str">
        <f aca="false">IF(C2993="","",IF(LEFT(D2993,1)="⚠","⚠ RUT no registrado en Trabajadores",IF(B2993="","⚠ Falta el mes",IF(OR(ISTEXT(I2993),ISTEXT(J2993)),"⚠ Atrasos u horas extra como texto: escriba hh:mm (ej. 1:30)",IF(AND(ISNUMBER(Q2993),COUNTIFS(M_RUTN,V2993,M_MES,B2993,M_LIQ,"&lt;&gt;")&gt;1),"⚠ Liquidación repetida en el mes",IF(AND(ISNUMBER(O2993),ISNUMBER(P2993),ISNUMBER(Q2993),ABS(O2993-P2993-Q2993)&gt;1),"⚠ Haberes − descuentos no da el líquido","OK"))))))</f>
        <v/>
      </c>
      <c r="V2993" s="62" t="str">
        <f aca="false">IF(C2993="","",IFERROR(VALUE(LEFT(UPPER(SUBSTITUTE(SUBSTITUTE(SUBSTITUTE(TRIM(C2993),".",""),"-","")," ","")),LEN(UPPER(SUBSTITUTE(SUBSTITUTE(SUBSTITUTE(TRIM(C2993),".",""),"-","")," ","")))-1))&amp;RIGHT(UPPER(SUBSTITUTE(SUBSTITUTE(SUBSTITUTE(TRIM(C2993),".",""),"-","")," ","")),1),UPPER(SUBSTITUTE(SUBSTITUTE(SUBSTITUTE(TRIM(C2993),".",""),"-","")," ",""))))</f>
        <v/>
      </c>
    </row>
    <row r="2994" customFormat="false" ht="15" hidden="false" customHeight="false" outlineLevel="0" collapsed="false">
      <c r="B2994" s="80"/>
      <c r="C2994" s="58"/>
      <c r="D2994" s="62" t="str">
        <f aca="false">IF(C2994="","",IFERROR(INDEX(T_NOMBRE,MATCH(V2994,T_RUTN,0)),"⚠ RUT no está en Trabajadores"))</f>
        <v/>
      </c>
      <c r="E2994" s="61"/>
      <c r="F2994" s="61"/>
      <c r="G2994" s="61"/>
      <c r="H2994" s="61"/>
      <c r="I2994" s="81"/>
      <c r="J2994" s="81"/>
      <c r="K2994" s="60"/>
      <c r="L2994" s="60"/>
      <c r="M2994" s="60"/>
      <c r="N2994" s="60"/>
      <c r="O2994" s="60"/>
      <c r="P2994" s="60"/>
      <c r="Q2994" s="60"/>
      <c r="R2994" s="58"/>
      <c r="S2994" s="62" t="str">
        <f aca="false">IF(OR(B2994="",V2994=""),"",IFERROR(INDEX(C_TIPO,MATCH(V2994&amp;"-P"&amp;MAX(1,COUNTIFS(C_RUTN,V2994,C_DEF,"Sí",C_INI,"&lt;="&amp;EOMONTH(B2994,0))),C_CLAVE,0))&amp;"","Sin contrato"))</f>
        <v/>
      </c>
      <c r="T2994" s="63" t="str">
        <f aca="false">IF(OR(B2994="",N(O2994)=0),"",N(O2994)+ROUND(MIN(N(N2994),TOPE_UF*UF_MES)*(TASA_EMP+MUTUAL),0)+ROUND(MIN(N(N2994),TOPE_AFC_UF*UF_MES)*IF(S2994="Indefinido",AFC_INDEF,AFC_PF),0))</f>
        <v/>
      </c>
      <c r="U2994" s="62" t="str">
        <f aca="false">IF(C2994="","",IF(LEFT(D2994,1)="⚠","⚠ RUT no registrado en Trabajadores",IF(B2994="","⚠ Falta el mes",IF(OR(ISTEXT(I2994),ISTEXT(J2994)),"⚠ Atrasos u horas extra como texto: escriba hh:mm (ej. 1:30)",IF(AND(ISNUMBER(Q2994),COUNTIFS(M_RUTN,V2994,M_MES,B2994,M_LIQ,"&lt;&gt;")&gt;1),"⚠ Liquidación repetida en el mes",IF(AND(ISNUMBER(O2994),ISNUMBER(P2994),ISNUMBER(Q2994),ABS(O2994-P2994-Q2994)&gt;1),"⚠ Haberes − descuentos no da el líquido","OK"))))))</f>
        <v/>
      </c>
      <c r="V2994" s="62" t="str">
        <f aca="false">IF(C2994="","",IFERROR(VALUE(LEFT(UPPER(SUBSTITUTE(SUBSTITUTE(SUBSTITUTE(TRIM(C2994),".",""),"-","")," ","")),LEN(UPPER(SUBSTITUTE(SUBSTITUTE(SUBSTITUTE(TRIM(C2994),".",""),"-","")," ","")))-1))&amp;RIGHT(UPPER(SUBSTITUTE(SUBSTITUTE(SUBSTITUTE(TRIM(C2994),".",""),"-","")," ","")),1),UPPER(SUBSTITUTE(SUBSTITUTE(SUBSTITUTE(TRIM(C2994),".",""),"-","")," ",""))))</f>
        <v/>
      </c>
    </row>
    <row r="2995" customFormat="false" ht="15" hidden="false" customHeight="false" outlineLevel="0" collapsed="false">
      <c r="B2995" s="80"/>
      <c r="C2995" s="58"/>
      <c r="D2995" s="62" t="str">
        <f aca="false">IF(C2995="","",IFERROR(INDEX(T_NOMBRE,MATCH(V2995,T_RUTN,0)),"⚠ RUT no está en Trabajadores"))</f>
        <v/>
      </c>
      <c r="E2995" s="61"/>
      <c r="F2995" s="61"/>
      <c r="G2995" s="61"/>
      <c r="H2995" s="61"/>
      <c r="I2995" s="81"/>
      <c r="J2995" s="81"/>
      <c r="K2995" s="60"/>
      <c r="L2995" s="60"/>
      <c r="M2995" s="60"/>
      <c r="N2995" s="60"/>
      <c r="O2995" s="60"/>
      <c r="P2995" s="60"/>
      <c r="Q2995" s="60"/>
      <c r="R2995" s="58"/>
      <c r="S2995" s="62" t="str">
        <f aca="false">IF(OR(B2995="",V2995=""),"",IFERROR(INDEX(C_TIPO,MATCH(V2995&amp;"-P"&amp;MAX(1,COUNTIFS(C_RUTN,V2995,C_DEF,"Sí",C_INI,"&lt;="&amp;EOMONTH(B2995,0))),C_CLAVE,0))&amp;"","Sin contrato"))</f>
        <v/>
      </c>
      <c r="T2995" s="63" t="str">
        <f aca="false">IF(OR(B2995="",N(O2995)=0),"",N(O2995)+ROUND(MIN(N(N2995),TOPE_UF*UF_MES)*(TASA_EMP+MUTUAL),0)+ROUND(MIN(N(N2995),TOPE_AFC_UF*UF_MES)*IF(S2995="Indefinido",AFC_INDEF,AFC_PF),0))</f>
        <v/>
      </c>
      <c r="U2995" s="62" t="str">
        <f aca="false">IF(C2995="","",IF(LEFT(D2995,1)="⚠","⚠ RUT no registrado en Trabajadores",IF(B2995="","⚠ Falta el mes",IF(OR(ISTEXT(I2995),ISTEXT(J2995)),"⚠ Atrasos u horas extra como texto: escriba hh:mm (ej. 1:30)",IF(AND(ISNUMBER(Q2995),COUNTIFS(M_RUTN,V2995,M_MES,B2995,M_LIQ,"&lt;&gt;")&gt;1),"⚠ Liquidación repetida en el mes",IF(AND(ISNUMBER(O2995),ISNUMBER(P2995),ISNUMBER(Q2995),ABS(O2995-P2995-Q2995)&gt;1),"⚠ Haberes − descuentos no da el líquido","OK"))))))</f>
        <v/>
      </c>
      <c r="V2995" s="62" t="str">
        <f aca="false">IF(C2995="","",IFERROR(VALUE(LEFT(UPPER(SUBSTITUTE(SUBSTITUTE(SUBSTITUTE(TRIM(C2995),".",""),"-","")," ","")),LEN(UPPER(SUBSTITUTE(SUBSTITUTE(SUBSTITUTE(TRIM(C2995),".",""),"-","")," ","")))-1))&amp;RIGHT(UPPER(SUBSTITUTE(SUBSTITUTE(SUBSTITUTE(TRIM(C2995),".",""),"-","")," ","")),1),UPPER(SUBSTITUTE(SUBSTITUTE(SUBSTITUTE(TRIM(C2995),".",""),"-","")," ",""))))</f>
        <v/>
      </c>
    </row>
    <row r="2996" customFormat="false" ht="15" hidden="false" customHeight="false" outlineLevel="0" collapsed="false">
      <c r="B2996" s="80"/>
      <c r="C2996" s="58"/>
      <c r="D2996" s="62" t="str">
        <f aca="false">IF(C2996="","",IFERROR(INDEX(T_NOMBRE,MATCH(V2996,T_RUTN,0)),"⚠ RUT no está en Trabajadores"))</f>
        <v/>
      </c>
      <c r="E2996" s="61"/>
      <c r="F2996" s="61"/>
      <c r="G2996" s="61"/>
      <c r="H2996" s="61"/>
      <c r="I2996" s="81"/>
      <c r="J2996" s="81"/>
      <c r="K2996" s="60"/>
      <c r="L2996" s="60"/>
      <c r="M2996" s="60"/>
      <c r="N2996" s="60"/>
      <c r="O2996" s="60"/>
      <c r="P2996" s="60"/>
      <c r="Q2996" s="60"/>
      <c r="R2996" s="58"/>
      <c r="S2996" s="62" t="str">
        <f aca="false">IF(OR(B2996="",V2996=""),"",IFERROR(INDEX(C_TIPO,MATCH(V2996&amp;"-P"&amp;MAX(1,COUNTIFS(C_RUTN,V2996,C_DEF,"Sí",C_INI,"&lt;="&amp;EOMONTH(B2996,0))),C_CLAVE,0))&amp;"","Sin contrato"))</f>
        <v/>
      </c>
      <c r="T2996" s="63" t="str">
        <f aca="false">IF(OR(B2996="",N(O2996)=0),"",N(O2996)+ROUND(MIN(N(N2996),TOPE_UF*UF_MES)*(TASA_EMP+MUTUAL),0)+ROUND(MIN(N(N2996),TOPE_AFC_UF*UF_MES)*IF(S2996="Indefinido",AFC_INDEF,AFC_PF),0))</f>
        <v/>
      </c>
      <c r="U2996" s="62" t="str">
        <f aca="false">IF(C2996="","",IF(LEFT(D2996,1)="⚠","⚠ RUT no registrado en Trabajadores",IF(B2996="","⚠ Falta el mes",IF(OR(ISTEXT(I2996),ISTEXT(J2996)),"⚠ Atrasos u horas extra como texto: escriba hh:mm (ej. 1:30)",IF(AND(ISNUMBER(Q2996),COUNTIFS(M_RUTN,V2996,M_MES,B2996,M_LIQ,"&lt;&gt;")&gt;1),"⚠ Liquidación repetida en el mes",IF(AND(ISNUMBER(O2996),ISNUMBER(P2996),ISNUMBER(Q2996),ABS(O2996-P2996-Q2996)&gt;1),"⚠ Haberes − descuentos no da el líquido","OK"))))))</f>
        <v/>
      </c>
      <c r="V2996" s="62" t="str">
        <f aca="false">IF(C2996="","",IFERROR(VALUE(LEFT(UPPER(SUBSTITUTE(SUBSTITUTE(SUBSTITUTE(TRIM(C2996),".",""),"-","")," ","")),LEN(UPPER(SUBSTITUTE(SUBSTITUTE(SUBSTITUTE(TRIM(C2996),".",""),"-","")," ","")))-1))&amp;RIGHT(UPPER(SUBSTITUTE(SUBSTITUTE(SUBSTITUTE(TRIM(C2996),".",""),"-","")," ","")),1),UPPER(SUBSTITUTE(SUBSTITUTE(SUBSTITUTE(TRIM(C2996),".",""),"-","")," ",""))))</f>
        <v/>
      </c>
    </row>
    <row r="2997" customFormat="false" ht="15" hidden="false" customHeight="false" outlineLevel="0" collapsed="false">
      <c r="B2997" s="80"/>
      <c r="C2997" s="58"/>
      <c r="D2997" s="62" t="str">
        <f aca="false">IF(C2997="","",IFERROR(INDEX(T_NOMBRE,MATCH(V2997,T_RUTN,0)),"⚠ RUT no está en Trabajadores"))</f>
        <v/>
      </c>
      <c r="E2997" s="61"/>
      <c r="F2997" s="61"/>
      <c r="G2997" s="61"/>
      <c r="H2997" s="61"/>
      <c r="I2997" s="81"/>
      <c r="J2997" s="81"/>
      <c r="K2997" s="60"/>
      <c r="L2997" s="60"/>
      <c r="M2997" s="60"/>
      <c r="N2997" s="60"/>
      <c r="O2997" s="60"/>
      <c r="P2997" s="60"/>
      <c r="Q2997" s="60"/>
      <c r="R2997" s="58"/>
      <c r="S2997" s="62" t="str">
        <f aca="false">IF(OR(B2997="",V2997=""),"",IFERROR(INDEX(C_TIPO,MATCH(V2997&amp;"-P"&amp;MAX(1,COUNTIFS(C_RUTN,V2997,C_DEF,"Sí",C_INI,"&lt;="&amp;EOMONTH(B2997,0))),C_CLAVE,0))&amp;"","Sin contrato"))</f>
        <v/>
      </c>
      <c r="T2997" s="63" t="str">
        <f aca="false">IF(OR(B2997="",N(O2997)=0),"",N(O2997)+ROUND(MIN(N(N2997),TOPE_UF*UF_MES)*(TASA_EMP+MUTUAL),0)+ROUND(MIN(N(N2997),TOPE_AFC_UF*UF_MES)*IF(S2997="Indefinido",AFC_INDEF,AFC_PF),0))</f>
        <v/>
      </c>
      <c r="U2997" s="62" t="str">
        <f aca="false">IF(C2997="","",IF(LEFT(D2997,1)="⚠","⚠ RUT no registrado en Trabajadores",IF(B2997="","⚠ Falta el mes",IF(OR(ISTEXT(I2997),ISTEXT(J2997)),"⚠ Atrasos u horas extra como texto: escriba hh:mm (ej. 1:30)",IF(AND(ISNUMBER(Q2997),COUNTIFS(M_RUTN,V2997,M_MES,B2997,M_LIQ,"&lt;&gt;")&gt;1),"⚠ Liquidación repetida en el mes",IF(AND(ISNUMBER(O2997),ISNUMBER(P2997),ISNUMBER(Q2997),ABS(O2997-P2997-Q2997)&gt;1),"⚠ Haberes − descuentos no da el líquido","OK"))))))</f>
        <v/>
      </c>
      <c r="V2997" s="62" t="str">
        <f aca="false">IF(C2997="","",IFERROR(VALUE(LEFT(UPPER(SUBSTITUTE(SUBSTITUTE(SUBSTITUTE(TRIM(C2997),".",""),"-","")," ","")),LEN(UPPER(SUBSTITUTE(SUBSTITUTE(SUBSTITUTE(TRIM(C2997),".",""),"-","")," ","")))-1))&amp;RIGHT(UPPER(SUBSTITUTE(SUBSTITUTE(SUBSTITUTE(TRIM(C2997),".",""),"-","")," ","")),1),UPPER(SUBSTITUTE(SUBSTITUTE(SUBSTITUTE(TRIM(C2997),".",""),"-","")," ",""))))</f>
        <v/>
      </c>
    </row>
    <row r="2998" customFormat="false" ht="15" hidden="false" customHeight="false" outlineLevel="0" collapsed="false">
      <c r="B2998" s="80"/>
      <c r="C2998" s="58"/>
      <c r="D2998" s="62" t="str">
        <f aca="false">IF(C2998="","",IFERROR(INDEX(T_NOMBRE,MATCH(V2998,T_RUTN,0)),"⚠ RUT no está en Trabajadores"))</f>
        <v/>
      </c>
      <c r="E2998" s="61"/>
      <c r="F2998" s="61"/>
      <c r="G2998" s="61"/>
      <c r="H2998" s="61"/>
      <c r="I2998" s="81"/>
      <c r="J2998" s="81"/>
      <c r="K2998" s="60"/>
      <c r="L2998" s="60"/>
      <c r="M2998" s="60"/>
      <c r="N2998" s="60"/>
      <c r="O2998" s="60"/>
      <c r="P2998" s="60"/>
      <c r="Q2998" s="60"/>
      <c r="R2998" s="58"/>
      <c r="S2998" s="62" t="str">
        <f aca="false">IF(OR(B2998="",V2998=""),"",IFERROR(INDEX(C_TIPO,MATCH(V2998&amp;"-P"&amp;MAX(1,COUNTIFS(C_RUTN,V2998,C_DEF,"Sí",C_INI,"&lt;="&amp;EOMONTH(B2998,0))),C_CLAVE,0))&amp;"","Sin contrato"))</f>
        <v/>
      </c>
      <c r="T2998" s="63" t="str">
        <f aca="false">IF(OR(B2998="",N(O2998)=0),"",N(O2998)+ROUND(MIN(N(N2998),TOPE_UF*UF_MES)*(TASA_EMP+MUTUAL),0)+ROUND(MIN(N(N2998),TOPE_AFC_UF*UF_MES)*IF(S2998="Indefinido",AFC_INDEF,AFC_PF),0))</f>
        <v/>
      </c>
      <c r="U2998" s="62" t="str">
        <f aca="false">IF(C2998="","",IF(LEFT(D2998,1)="⚠","⚠ RUT no registrado en Trabajadores",IF(B2998="","⚠ Falta el mes",IF(OR(ISTEXT(I2998),ISTEXT(J2998)),"⚠ Atrasos u horas extra como texto: escriba hh:mm (ej. 1:30)",IF(AND(ISNUMBER(Q2998),COUNTIFS(M_RUTN,V2998,M_MES,B2998,M_LIQ,"&lt;&gt;")&gt;1),"⚠ Liquidación repetida en el mes",IF(AND(ISNUMBER(O2998),ISNUMBER(P2998),ISNUMBER(Q2998),ABS(O2998-P2998-Q2998)&gt;1),"⚠ Haberes − descuentos no da el líquido","OK"))))))</f>
        <v/>
      </c>
      <c r="V2998" s="62" t="str">
        <f aca="false">IF(C2998="","",IFERROR(VALUE(LEFT(UPPER(SUBSTITUTE(SUBSTITUTE(SUBSTITUTE(TRIM(C2998),".",""),"-","")," ","")),LEN(UPPER(SUBSTITUTE(SUBSTITUTE(SUBSTITUTE(TRIM(C2998),".",""),"-","")," ","")))-1))&amp;RIGHT(UPPER(SUBSTITUTE(SUBSTITUTE(SUBSTITUTE(TRIM(C2998),".",""),"-","")," ","")),1),UPPER(SUBSTITUTE(SUBSTITUTE(SUBSTITUTE(TRIM(C2998),".",""),"-","")," ",""))))</f>
        <v/>
      </c>
    </row>
    <row r="2999" customFormat="false" ht="15" hidden="false" customHeight="false" outlineLevel="0" collapsed="false">
      <c r="B2999" s="80"/>
      <c r="C2999" s="58"/>
      <c r="D2999" s="62" t="str">
        <f aca="false">IF(C2999="","",IFERROR(INDEX(T_NOMBRE,MATCH(V2999,T_RUTN,0)),"⚠ RUT no está en Trabajadores"))</f>
        <v/>
      </c>
      <c r="E2999" s="61"/>
      <c r="F2999" s="61"/>
      <c r="G2999" s="61"/>
      <c r="H2999" s="61"/>
      <c r="I2999" s="81"/>
      <c r="J2999" s="81"/>
      <c r="K2999" s="60"/>
      <c r="L2999" s="60"/>
      <c r="M2999" s="60"/>
      <c r="N2999" s="60"/>
      <c r="O2999" s="60"/>
      <c r="P2999" s="60"/>
      <c r="Q2999" s="60"/>
      <c r="R2999" s="58"/>
      <c r="S2999" s="62" t="str">
        <f aca="false">IF(OR(B2999="",V2999=""),"",IFERROR(INDEX(C_TIPO,MATCH(V2999&amp;"-P"&amp;MAX(1,COUNTIFS(C_RUTN,V2999,C_DEF,"Sí",C_INI,"&lt;="&amp;EOMONTH(B2999,0))),C_CLAVE,0))&amp;"","Sin contrato"))</f>
        <v/>
      </c>
      <c r="T2999" s="63" t="str">
        <f aca="false">IF(OR(B2999="",N(O2999)=0),"",N(O2999)+ROUND(MIN(N(N2999),TOPE_UF*UF_MES)*(TASA_EMP+MUTUAL),0)+ROUND(MIN(N(N2999),TOPE_AFC_UF*UF_MES)*IF(S2999="Indefinido",AFC_INDEF,AFC_PF),0))</f>
        <v/>
      </c>
      <c r="U2999" s="62" t="str">
        <f aca="false">IF(C2999="","",IF(LEFT(D2999,1)="⚠","⚠ RUT no registrado en Trabajadores",IF(B2999="","⚠ Falta el mes",IF(OR(ISTEXT(I2999),ISTEXT(J2999)),"⚠ Atrasos u horas extra como texto: escriba hh:mm (ej. 1:30)",IF(AND(ISNUMBER(Q2999),COUNTIFS(M_RUTN,V2999,M_MES,B2999,M_LIQ,"&lt;&gt;")&gt;1),"⚠ Liquidación repetida en el mes",IF(AND(ISNUMBER(O2999),ISNUMBER(P2999),ISNUMBER(Q2999),ABS(O2999-P2999-Q2999)&gt;1),"⚠ Haberes − descuentos no da el líquido","OK"))))))</f>
        <v/>
      </c>
      <c r="V2999" s="62" t="str">
        <f aca="false">IF(C2999="","",IFERROR(VALUE(LEFT(UPPER(SUBSTITUTE(SUBSTITUTE(SUBSTITUTE(TRIM(C2999),".",""),"-","")," ","")),LEN(UPPER(SUBSTITUTE(SUBSTITUTE(SUBSTITUTE(TRIM(C2999),".",""),"-","")," ","")))-1))&amp;RIGHT(UPPER(SUBSTITUTE(SUBSTITUTE(SUBSTITUTE(TRIM(C2999),".",""),"-","")," ","")),1),UPPER(SUBSTITUTE(SUBSTITUTE(SUBSTITUTE(TRIM(C2999),".",""),"-","")," ",""))))</f>
        <v/>
      </c>
    </row>
    <row r="3000" customFormat="false" ht="15" hidden="false" customHeight="false" outlineLevel="0" collapsed="false">
      <c r="B3000" s="80"/>
      <c r="C3000" s="58"/>
      <c r="D3000" s="62" t="str">
        <f aca="false">IF(C3000="","",IFERROR(INDEX(T_NOMBRE,MATCH(V3000,T_RUTN,0)),"⚠ RUT no está en Trabajadores"))</f>
        <v/>
      </c>
      <c r="E3000" s="61"/>
      <c r="F3000" s="61"/>
      <c r="G3000" s="61"/>
      <c r="H3000" s="61"/>
      <c r="I3000" s="81"/>
      <c r="J3000" s="81"/>
      <c r="K3000" s="60"/>
      <c r="L3000" s="60"/>
      <c r="M3000" s="60"/>
      <c r="N3000" s="60"/>
      <c r="O3000" s="60"/>
      <c r="P3000" s="60"/>
      <c r="Q3000" s="60"/>
      <c r="R3000" s="58"/>
      <c r="S3000" s="62" t="str">
        <f aca="false">IF(OR(B3000="",V3000=""),"",IFERROR(INDEX(C_TIPO,MATCH(V3000&amp;"-P"&amp;MAX(1,COUNTIFS(C_RUTN,V3000,C_DEF,"Sí",C_INI,"&lt;="&amp;EOMONTH(B3000,0))),C_CLAVE,0))&amp;"","Sin contrato"))</f>
        <v/>
      </c>
      <c r="T3000" s="63" t="str">
        <f aca="false">IF(OR(B3000="",N(O3000)=0),"",N(O3000)+ROUND(MIN(N(N3000),TOPE_UF*UF_MES)*(TASA_EMP+MUTUAL),0)+ROUND(MIN(N(N3000),TOPE_AFC_UF*UF_MES)*IF(S3000="Indefinido",AFC_INDEF,AFC_PF),0))</f>
        <v/>
      </c>
      <c r="U3000" s="62" t="str">
        <f aca="false">IF(C3000="","",IF(LEFT(D3000,1)="⚠","⚠ RUT no registrado en Trabajadores",IF(B3000="","⚠ Falta el mes",IF(OR(ISTEXT(I3000),ISTEXT(J3000)),"⚠ Atrasos u horas extra como texto: escriba hh:mm (ej. 1:30)",IF(AND(ISNUMBER(Q3000),COUNTIFS(M_RUTN,V3000,M_MES,B3000,M_LIQ,"&lt;&gt;")&gt;1),"⚠ Liquidación repetida en el mes",IF(AND(ISNUMBER(O3000),ISNUMBER(P3000),ISNUMBER(Q3000),ABS(O3000-P3000-Q3000)&gt;1),"⚠ Haberes − descuentos no da el líquido","OK"))))))</f>
        <v/>
      </c>
      <c r="V3000" s="62" t="str">
        <f aca="false">IF(C3000="","",IFERROR(VALUE(LEFT(UPPER(SUBSTITUTE(SUBSTITUTE(SUBSTITUTE(TRIM(C3000),".",""),"-","")," ","")),LEN(UPPER(SUBSTITUTE(SUBSTITUTE(SUBSTITUTE(TRIM(C3000),".",""),"-","")," ","")))-1))&amp;RIGHT(UPPER(SUBSTITUTE(SUBSTITUTE(SUBSTITUTE(TRIM(C3000),".",""),"-","")," ","")),1),UPPER(SUBSTITUTE(SUBSTITUTE(SUBSTITUTE(TRIM(C3000),".",""),"-","")," ",""))))</f>
        <v/>
      </c>
    </row>
    <row r="3001" customFormat="false" ht="15" hidden="false" customHeight="false" outlineLevel="0" collapsed="false">
      <c r="B3001" s="80"/>
      <c r="C3001" s="58"/>
      <c r="D3001" s="62" t="str">
        <f aca="false">IF(C3001="","",IFERROR(INDEX(T_NOMBRE,MATCH(V3001,T_RUTN,0)),"⚠ RUT no está en Trabajadores"))</f>
        <v/>
      </c>
      <c r="E3001" s="61"/>
      <c r="F3001" s="61"/>
      <c r="G3001" s="61"/>
      <c r="H3001" s="61"/>
      <c r="I3001" s="81"/>
      <c r="J3001" s="81"/>
      <c r="K3001" s="60"/>
      <c r="L3001" s="60"/>
      <c r="M3001" s="60"/>
      <c r="N3001" s="60"/>
      <c r="O3001" s="60"/>
      <c r="P3001" s="60"/>
      <c r="Q3001" s="60"/>
      <c r="R3001" s="58"/>
      <c r="S3001" s="62" t="str">
        <f aca="false">IF(OR(B3001="",V3001=""),"",IFERROR(INDEX(C_TIPO,MATCH(V3001&amp;"-P"&amp;MAX(1,COUNTIFS(C_RUTN,V3001,C_DEF,"Sí",C_INI,"&lt;="&amp;EOMONTH(B3001,0))),C_CLAVE,0))&amp;"","Sin contrato"))</f>
        <v/>
      </c>
      <c r="T3001" s="63" t="str">
        <f aca="false">IF(OR(B3001="",N(O3001)=0),"",N(O3001)+ROUND(MIN(N(N3001),TOPE_UF*UF_MES)*(TASA_EMP+MUTUAL),0)+ROUND(MIN(N(N3001),TOPE_AFC_UF*UF_MES)*IF(S3001="Indefinido",AFC_INDEF,AFC_PF),0))</f>
        <v/>
      </c>
      <c r="U3001" s="62" t="str">
        <f aca="false">IF(C3001="","",IF(LEFT(D3001,1)="⚠","⚠ RUT no registrado en Trabajadores",IF(B3001="","⚠ Falta el mes",IF(OR(ISTEXT(I3001),ISTEXT(J3001)),"⚠ Atrasos u horas extra como texto: escriba hh:mm (ej. 1:30)",IF(AND(ISNUMBER(Q3001),COUNTIFS(M_RUTN,V3001,M_MES,B3001,M_LIQ,"&lt;&gt;")&gt;1),"⚠ Liquidación repetida en el mes",IF(AND(ISNUMBER(O3001),ISNUMBER(P3001),ISNUMBER(Q3001),ABS(O3001-P3001-Q3001)&gt;1),"⚠ Haberes − descuentos no da el líquido","OK"))))))</f>
        <v/>
      </c>
      <c r="V3001" s="62" t="str">
        <f aca="false">IF(C3001="","",IFERROR(VALUE(LEFT(UPPER(SUBSTITUTE(SUBSTITUTE(SUBSTITUTE(TRIM(C3001),".",""),"-","")," ","")),LEN(UPPER(SUBSTITUTE(SUBSTITUTE(SUBSTITUTE(TRIM(C3001),".",""),"-","")," ","")))-1))&amp;RIGHT(UPPER(SUBSTITUTE(SUBSTITUTE(SUBSTITUTE(TRIM(C3001),".",""),"-","")," ","")),1),UPPER(SUBSTITUTE(SUBSTITUTE(SUBSTITUTE(TRIM(C3001),".",""),"-","")," ",""))))</f>
        <v/>
      </c>
    </row>
    <row r="3002" customFormat="false" ht="15" hidden="false" customHeight="false" outlineLevel="0" collapsed="false">
      <c r="B3002" s="80"/>
      <c r="C3002" s="58"/>
      <c r="D3002" s="62" t="str">
        <f aca="false">IF(C3002="","",IFERROR(INDEX(T_NOMBRE,MATCH(V3002,T_RUTN,0)),"⚠ RUT no está en Trabajadores"))</f>
        <v/>
      </c>
      <c r="E3002" s="61"/>
      <c r="F3002" s="61"/>
      <c r="G3002" s="61"/>
      <c r="H3002" s="61"/>
      <c r="I3002" s="81"/>
      <c r="J3002" s="81"/>
      <c r="K3002" s="60"/>
      <c r="L3002" s="60"/>
      <c r="M3002" s="60"/>
      <c r="N3002" s="60"/>
      <c r="O3002" s="60"/>
      <c r="P3002" s="60"/>
      <c r="Q3002" s="60"/>
      <c r="R3002" s="58"/>
      <c r="S3002" s="62" t="str">
        <f aca="false">IF(OR(B3002="",V3002=""),"",IFERROR(INDEX(C_TIPO,MATCH(V3002&amp;"-P"&amp;MAX(1,COUNTIFS(C_RUTN,V3002,C_DEF,"Sí",C_INI,"&lt;="&amp;EOMONTH(B3002,0))),C_CLAVE,0))&amp;"","Sin contrato"))</f>
        <v/>
      </c>
      <c r="T3002" s="63" t="str">
        <f aca="false">IF(OR(B3002="",N(O3002)=0),"",N(O3002)+ROUND(MIN(N(N3002),TOPE_UF*UF_MES)*(TASA_EMP+MUTUAL),0)+ROUND(MIN(N(N3002),TOPE_AFC_UF*UF_MES)*IF(S3002="Indefinido",AFC_INDEF,AFC_PF),0))</f>
        <v/>
      </c>
      <c r="U3002" s="62" t="str">
        <f aca="false">IF(C3002="","",IF(LEFT(D3002,1)="⚠","⚠ RUT no registrado en Trabajadores",IF(B3002="","⚠ Falta el mes",IF(OR(ISTEXT(I3002),ISTEXT(J3002)),"⚠ Atrasos u horas extra como texto: escriba hh:mm (ej. 1:30)",IF(AND(ISNUMBER(Q3002),COUNTIFS(M_RUTN,V3002,M_MES,B3002,M_LIQ,"&lt;&gt;")&gt;1),"⚠ Liquidación repetida en el mes",IF(AND(ISNUMBER(O3002),ISNUMBER(P3002),ISNUMBER(Q3002),ABS(O3002-P3002-Q3002)&gt;1),"⚠ Haberes − descuentos no da el líquido","OK"))))))</f>
        <v/>
      </c>
      <c r="V3002" s="62" t="str">
        <f aca="false">IF(C3002="","",IFERROR(VALUE(LEFT(UPPER(SUBSTITUTE(SUBSTITUTE(SUBSTITUTE(TRIM(C3002),".",""),"-","")," ","")),LEN(UPPER(SUBSTITUTE(SUBSTITUTE(SUBSTITUTE(TRIM(C3002),".",""),"-","")," ","")))-1))&amp;RIGHT(UPPER(SUBSTITUTE(SUBSTITUTE(SUBSTITUTE(TRIM(C3002),".",""),"-","")," ","")),1),UPPER(SUBSTITUTE(SUBSTITUTE(SUBSTITUTE(TRIM(C3002),".",""),"-","")," ",""))))</f>
        <v/>
      </c>
    </row>
    <row r="3003" customFormat="false" ht="15" hidden="false" customHeight="false" outlineLevel="0" collapsed="false">
      <c r="B3003" s="80"/>
      <c r="C3003" s="58"/>
      <c r="D3003" s="62" t="str">
        <f aca="false">IF(C3003="","",IFERROR(INDEX(T_NOMBRE,MATCH(V3003,T_RUTN,0)),"⚠ RUT no está en Trabajadores"))</f>
        <v/>
      </c>
      <c r="E3003" s="61"/>
      <c r="F3003" s="61"/>
      <c r="G3003" s="61"/>
      <c r="H3003" s="61"/>
      <c r="I3003" s="81"/>
      <c r="J3003" s="81"/>
      <c r="K3003" s="60"/>
      <c r="L3003" s="60"/>
      <c r="M3003" s="60"/>
      <c r="N3003" s="60"/>
      <c r="O3003" s="60"/>
      <c r="P3003" s="60"/>
      <c r="Q3003" s="60"/>
      <c r="R3003" s="58"/>
      <c r="S3003" s="62" t="str">
        <f aca="false">IF(OR(B3003="",V3003=""),"",IFERROR(INDEX(C_TIPO,MATCH(V3003&amp;"-P"&amp;MAX(1,COUNTIFS(C_RUTN,V3003,C_DEF,"Sí",C_INI,"&lt;="&amp;EOMONTH(B3003,0))),C_CLAVE,0))&amp;"","Sin contrato"))</f>
        <v/>
      </c>
      <c r="T3003" s="63" t="str">
        <f aca="false">IF(OR(B3003="",N(O3003)=0),"",N(O3003)+ROUND(MIN(N(N3003),TOPE_UF*UF_MES)*(TASA_EMP+MUTUAL),0)+ROUND(MIN(N(N3003),TOPE_AFC_UF*UF_MES)*IF(S3003="Indefinido",AFC_INDEF,AFC_PF),0))</f>
        <v/>
      </c>
      <c r="U3003" s="62" t="str">
        <f aca="false">IF(C3003="","",IF(LEFT(D3003,1)="⚠","⚠ RUT no registrado en Trabajadores",IF(B3003="","⚠ Falta el mes",IF(OR(ISTEXT(I3003),ISTEXT(J3003)),"⚠ Atrasos u horas extra como texto: escriba hh:mm (ej. 1:30)",IF(AND(ISNUMBER(Q3003),COUNTIFS(M_RUTN,V3003,M_MES,B3003,M_LIQ,"&lt;&gt;")&gt;1),"⚠ Liquidación repetida en el mes",IF(AND(ISNUMBER(O3003),ISNUMBER(P3003),ISNUMBER(Q3003),ABS(O3003-P3003-Q3003)&gt;1),"⚠ Haberes − descuentos no da el líquido","OK"))))))</f>
        <v/>
      </c>
      <c r="V3003" s="62" t="str">
        <f aca="false">IF(C3003="","",IFERROR(VALUE(LEFT(UPPER(SUBSTITUTE(SUBSTITUTE(SUBSTITUTE(TRIM(C3003),".",""),"-","")," ","")),LEN(UPPER(SUBSTITUTE(SUBSTITUTE(SUBSTITUTE(TRIM(C3003),".",""),"-","")," ","")))-1))&amp;RIGHT(UPPER(SUBSTITUTE(SUBSTITUTE(SUBSTITUTE(TRIM(C3003),".",""),"-","")," ","")),1),UPPER(SUBSTITUTE(SUBSTITUTE(SUBSTITUTE(TRIM(C3003),".",""),"-","")," ",""))))</f>
        <v/>
      </c>
    </row>
    <row r="3004" customFormat="false" ht="15" hidden="false" customHeight="false" outlineLevel="0" collapsed="false">
      <c r="B3004" s="80"/>
      <c r="C3004" s="58"/>
      <c r="D3004" s="62" t="str">
        <f aca="false">IF(C3004="","",IFERROR(INDEX(T_NOMBRE,MATCH(V3004,T_RUTN,0)),"⚠ RUT no está en Trabajadores"))</f>
        <v/>
      </c>
      <c r="E3004" s="61"/>
      <c r="F3004" s="61"/>
      <c r="G3004" s="61"/>
      <c r="H3004" s="61"/>
      <c r="I3004" s="81"/>
      <c r="J3004" s="81"/>
      <c r="K3004" s="60"/>
      <c r="L3004" s="60"/>
      <c r="M3004" s="60"/>
      <c r="N3004" s="60"/>
      <c r="O3004" s="60"/>
      <c r="P3004" s="60"/>
      <c r="Q3004" s="60"/>
      <c r="R3004" s="58"/>
      <c r="S3004" s="62" t="str">
        <f aca="false">IF(OR(B3004="",V3004=""),"",IFERROR(INDEX(C_TIPO,MATCH(V3004&amp;"-P"&amp;MAX(1,COUNTIFS(C_RUTN,V3004,C_DEF,"Sí",C_INI,"&lt;="&amp;EOMONTH(B3004,0))),C_CLAVE,0))&amp;"","Sin contrato"))</f>
        <v/>
      </c>
      <c r="T3004" s="63" t="str">
        <f aca="false">IF(OR(B3004="",N(O3004)=0),"",N(O3004)+ROUND(MIN(N(N3004),TOPE_UF*UF_MES)*(TASA_EMP+MUTUAL),0)+ROUND(MIN(N(N3004),TOPE_AFC_UF*UF_MES)*IF(S3004="Indefinido",AFC_INDEF,AFC_PF),0))</f>
        <v/>
      </c>
      <c r="U3004" s="62" t="str">
        <f aca="false">IF(C3004="","",IF(LEFT(D3004,1)="⚠","⚠ RUT no registrado en Trabajadores",IF(B3004="","⚠ Falta el mes",IF(OR(ISTEXT(I3004),ISTEXT(J3004)),"⚠ Atrasos u horas extra como texto: escriba hh:mm (ej. 1:30)",IF(AND(ISNUMBER(Q3004),COUNTIFS(M_RUTN,V3004,M_MES,B3004,M_LIQ,"&lt;&gt;")&gt;1),"⚠ Liquidación repetida en el mes",IF(AND(ISNUMBER(O3004),ISNUMBER(P3004),ISNUMBER(Q3004),ABS(O3004-P3004-Q3004)&gt;1),"⚠ Haberes − descuentos no da el líquido","OK"))))))</f>
        <v/>
      </c>
      <c r="V3004" s="62" t="str">
        <f aca="false">IF(C3004="","",IFERROR(VALUE(LEFT(UPPER(SUBSTITUTE(SUBSTITUTE(SUBSTITUTE(TRIM(C3004),".",""),"-","")," ","")),LEN(UPPER(SUBSTITUTE(SUBSTITUTE(SUBSTITUTE(TRIM(C3004),".",""),"-","")," ","")))-1))&amp;RIGHT(UPPER(SUBSTITUTE(SUBSTITUTE(SUBSTITUTE(TRIM(C3004),".",""),"-","")," ","")),1),UPPER(SUBSTITUTE(SUBSTITUTE(SUBSTITUTE(TRIM(C3004),".",""),"-","")," ",""))))</f>
        <v/>
      </c>
    </row>
    <row r="3005" customFormat="false" ht="15" hidden="false" customHeight="false" outlineLevel="0" collapsed="false">
      <c r="B3005" s="80"/>
      <c r="C3005" s="58"/>
      <c r="D3005" s="62" t="str">
        <f aca="false">IF(C3005="","",IFERROR(INDEX(T_NOMBRE,MATCH(V3005,T_RUTN,0)),"⚠ RUT no está en Trabajadores"))</f>
        <v/>
      </c>
      <c r="E3005" s="61"/>
      <c r="F3005" s="61"/>
      <c r="G3005" s="61"/>
      <c r="H3005" s="61"/>
      <c r="I3005" s="81"/>
      <c r="J3005" s="81"/>
      <c r="K3005" s="60"/>
      <c r="L3005" s="60"/>
      <c r="M3005" s="60"/>
      <c r="N3005" s="60"/>
      <c r="O3005" s="60"/>
      <c r="P3005" s="60"/>
      <c r="Q3005" s="60"/>
      <c r="R3005" s="58"/>
      <c r="S3005" s="62" t="str">
        <f aca="false">IF(OR(B3005="",V3005=""),"",IFERROR(INDEX(C_TIPO,MATCH(V3005&amp;"-P"&amp;MAX(1,COUNTIFS(C_RUTN,V3005,C_DEF,"Sí",C_INI,"&lt;="&amp;EOMONTH(B3005,0))),C_CLAVE,0))&amp;"","Sin contrato"))</f>
        <v/>
      </c>
      <c r="T3005" s="63" t="str">
        <f aca="false">IF(OR(B3005="",N(O3005)=0),"",N(O3005)+ROUND(MIN(N(N3005),TOPE_UF*UF_MES)*(TASA_EMP+MUTUAL),0)+ROUND(MIN(N(N3005),TOPE_AFC_UF*UF_MES)*IF(S3005="Indefinido",AFC_INDEF,AFC_PF),0))</f>
        <v/>
      </c>
      <c r="U3005" s="62" t="str">
        <f aca="false">IF(C3005="","",IF(LEFT(D3005,1)="⚠","⚠ RUT no registrado en Trabajadores",IF(B3005="","⚠ Falta el mes",IF(OR(ISTEXT(I3005),ISTEXT(J3005)),"⚠ Atrasos u horas extra como texto: escriba hh:mm (ej. 1:30)",IF(AND(ISNUMBER(Q3005),COUNTIFS(M_RUTN,V3005,M_MES,B3005,M_LIQ,"&lt;&gt;")&gt;1),"⚠ Liquidación repetida en el mes",IF(AND(ISNUMBER(O3005),ISNUMBER(P3005),ISNUMBER(Q3005),ABS(O3005-P3005-Q3005)&gt;1),"⚠ Haberes − descuentos no da el líquido","OK"))))))</f>
        <v/>
      </c>
      <c r="V3005" s="62" t="str">
        <f aca="false">IF(C3005="","",IFERROR(VALUE(LEFT(UPPER(SUBSTITUTE(SUBSTITUTE(SUBSTITUTE(TRIM(C3005),".",""),"-","")," ","")),LEN(UPPER(SUBSTITUTE(SUBSTITUTE(SUBSTITUTE(TRIM(C3005),".",""),"-","")," ","")))-1))&amp;RIGHT(UPPER(SUBSTITUTE(SUBSTITUTE(SUBSTITUTE(TRIM(C3005),".",""),"-","")," ","")),1),UPPER(SUBSTITUTE(SUBSTITUTE(SUBSTITUTE(TRIM(C3005),".",""),"-","")," ",""))))</f>
        <v/>
      </c>
    </row>
    <row r="3006" customFormat="false" ht="15" hidden="false" customHeight="false" outlineLevel="0" collapsed="false">
      <c r="B3006" s="80"/>
      <c r="C3006" s="58"/>
      <c r="D3006" s="62" t="str">
        <f aca="false">IF(C3006="","",IFERROR(INDEX(T_NOMBRE,MATCH(V3006,T_RUTN,0)),"⚠ RUT no está en Trabajadores"))</f>
        <v/>
      </c>
      <c r="E3006" s="61"/>
      <c r="F3006" s="61"/>
      <c r="G3006" s="61"/>
      <c r="H3006" s="61"/>
      <c r="I3006" s="81"/>
      <c r="J3006" s="81"/>
      <c r="K3006" s="60"/>
      <c r="L3006" s="60"/>
      <c r="M3006" s="60"/>
      <c r="N3006" s="60"/>
      <c r="O3006" s="60"/>
      <c r="P3006" s="60"/>
      <c r="Q3006" s="60"/>
      <c r="R3006" s="58"/>
      <c r="S3006" s="62" t="str">
        <f aca="false">IF(OR(B3006="",V3006=""),"",IFERROR(INDEX(C_TIPO,MATCH(V3006&amp;"-P"&amp;MAX(1,COUNTIFS(C_RUTN,V3006,C_DEF,"Sí",C_INI,"&lt;="&amp;EOMONTH(B3006,0))),C_CLAVE,0))&amp;"","Sin contrato"))</f>
        <v/>
      </c>
      <c r="T3006" s="63" t="str">
        <f aca="false">IF(OR(B3006="",N(O3006)=0),"",N(O3006)+ROUND(MIN(N(N3006),TOPE_UF*UF_MES)*(TASA_EMP+MUTUAL),0)+ROUND(MIN(N(N3006),TOPE_AFC_UF*UF_MES)*IF(S3006="Indefinido",AFC_INDEF,AFC_PF),0))</f>
        <v/>
      </c>
      <c r="U3006" s="62" t="str">
        <f aca="false">IF(C3006="","",IF(LEFT(D3006,1)="⚠","⚠ RUT no registrado en Trabajadores",IF(B3006="","⚠ Falta el mes",IF(OR(ISTEXT(I3006),ISTEXT(J3006)),"⚠ Atrasos u horas extra como texto: escriba hh:mm (ej. 1:30)",IF(AND(ISNUMBER(Q3006),COUNTIFS(M_RUTN,V3006,M_MES,B3006,M_LIQ,"&lt;&gt;")&gt;1),"⚠ Liquidación repetida en el mes",IF(AND(ISNUMBER(O3006),ISNUMBER(P3006),ISNUMBER(Q3006),ABS(O3006-P3006-Q3006)&gt;1),"⚠ Haberes − descuentos no da el líquido","OK"))))))</f>
        <v/>
      </c>
      <c r="V3006" s="62" t="str">
        <f aca="false">IF(C3006="","",IFERROR(VALUE(LEFT(UPPER(SUBSTITUTE(SUBSTITUTE(SUBSTITUTE(TRIM(C3006),".",""),"-","")," ","")),LEN(UPPER(SUBSTITUTE(SUBSTITUTE(SUBSTITUTE(TRIM(C3006),".",""),"-","")," ","")))-1))&amp;RIGHT(UPPER(SUBSTITUTE(SUBSTITUTE(SUBSTITUTE(TRIM(C3006),".",""),"-","")," ","")),1),UPPER(SUBSTITUTE(SUBSTITUTE(SUBSTITUTE(TRIM(C3006),".",""),"-","")," ",""))))</f>
        <v/>
      </c>
    </row>
  </sheetData>
  <autoFilter ref="B6:U3006"/>
  <conditionalFormatting sqref="U7:U3006">
    <cfRule type="expression" priority="2" aboveAverage="0" equalAverage="0" bottom="0" percent="0" rank="0" text="" dxfId="1">
      <formula>LEFT($U7,1)="⚠"</formula>
    </cfRule>
    <cfRule type="expression" priority="3" aboveAverage="0" equalAverage="0" bottom="0" percent="0" rank="0" text="" dxfId="24">
      <formula>$U7="OK"</formula>
    </cfRule>
  </conditionalFormatting>
  <conditionalFormatting sqref="D7:D3006">
    <cfRule type="expression" priority="4" aboveAverage="0" equalAverage="0" bottom="0" percent="0" rank="0" text="" dxfId="25">
      <formula>LEFT($D7,1)="⚠"</formula>
    </cfRule>
  </conditionalFormatting>
  <dataValidations count="2">
    <dataValidation allowBlank="true" error="Seleccione un valor de la lista desplegable." errorStyle="stop" errorTitle="Valor no válido" operator="between" showDropDown="false" showErrorMessage="true" showInputMessage="false" sqref="B7:B3006" type="list">
      <formula1>LS_MESES</formula1>
      <formula2>0</formula2>
    </dataValidation>
    <dataValidation allowBlank="true" error="Escriba el tiempo como horas:minutos, por ejemplo 0:45 o 6:30." errorStyle="stop" errorTitle="Formato hh:mm" operator="between" showDropDown="false" showErrorMessage="true" showInputMessage="false" sqref="I7:J3006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6C23"/>
    <pageSetUpPr fitToPage="false"/>
  </sheetPr>
  <dimension ref="B2:S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2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34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50"/>
    <col collapsed="false" customWidth="true" hidden="true" outlineLevel="0" max="13" min="13" style="0" width="10"/>
    <col collapsed="false" customWidth="true" hidden="true" outlineLevel="0" max="15" min="14" style="0" width="6"/>
    <col collapsed="false" customWidth="true" hidden="true" outlineLevel="0" max="16" min="16" style="0" width="10"/>
    <col collapsed="false" customWidth="true" hidden="true" outlineLevel="0" max="18" min="17" style="0" width="6"/>
    <col collapsed="false" customWidth="true" hidden="true" outlineLevel="0" max="19" min="19" style="0" width="10"/>
  </cols>
  <sheetData>
    <row r="2" customFormat="false" ht="24" hidden="false" customHeight="true" outlineLevel="0" collapsed="false">
      <c r="B2" s="1" t="s">
        <v>159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.75" hidden="false" customHeight="true" outlineLevel="0" collapsed="false">
      <c r="B3" s="3" t="s">
        <v>160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B4" s="52" t="s">
        <v>161</v>
      </c>
    </row>
    <row r="6" customFormat="false" ht="43.5" hidden="false" customHeight="true" outlineLevel="0" collapsed="false">
      <c r="B6" s="57" t="s">
        <v>162</v>
      </c>
      <c r="C6" s="40" t="s">
        <v>136</v>
      </c>
      <c r="D6" s="57" t="s">
        <v>163</v>
      </c>
      <c r="E6" s="57" t="s">
        <v>164</v>
      </c>
      <c r="F6" s="57" t="s">
        <v>165</v>
      </c>
      <c r="G6" s="57" t="s">
        <v>166</v>
      </c>
      <c r="H6" s="57" t="s">
        <v>167</v>
      </c>
      <c r="I6" s="57" t="s">
        <v>168</v>
      </c>
      <c r="J6" s="57" t="s">
        <v>169</v>
      </c>
      <c r="K6" s="57" t="s">
        <v>170</v>
      </c>
      <c r="L6" s="40" t="s">
        <v>171</v>
      </c>
      <c r="M6" s="40" t="s">
        <v>91</v>
      </c>
      <c r="N6" s="40" t="s">
        <v>172</v>
      </c>
      <c r="O6" s="40" t="s">
        <v>97</v>
      </c>
      <c r="P6" s="40" t="s">
        <v>173</v>
      </c>
      <c r="Q6" s="40" t="s">
        <v>174</v>
      </c>
      <c r="R6" s="40" t="s">
        <v>175</v>
      </c>
      <c r="S6" s="40" t="s">
        <v>176</v>
      </c>
    </row>
    <row r="7" customFormat="false" ht="15" hidden="false" customHeight="false" outlineLevel="0" collapsed="false">
      <c r="B7" s="58" t="s">
        <v>100</v>
      </c>
      <c r="C7" s="62" t="str">
        <f aca="false">IF(B7="","",IFERROR(INDEX(T_NOMBRE,MATCH(M7,T_RUTN,0)),"⚠ RUT no está en Trabajadores"))</f>
        <v>María Soto (EJEMPLO)</v>
      </c>
      <c r="D7" s="58" t="s">
        <v>177</v>
      </c>
      <c r="E7" s="58" t="s">
        <v>178</v>
      </c>
      <c r="F7" s="59" t="n">
        <v>44256</v>
      </c>
      <c r="G7" s="59" t="n">
        <v>44347</v>
      </c>
      <c r="H7" s="60" t="n">
        <v>750000</v>
      </c>
      <c r="I7" s="58" t="s">
        <v>179</v>
      </c>
      <c r="J7" s="58" t="s">
        <v>104</v>
      </c>
      <c r="K7" s="58" t="s">
        <v>180</v>
      </c>
      <c r="L7" s="62" t="str">
        <f aca="false">IF(B7="","",IF(LEFT(C7,1)="⚠","⚠ Registre primero al trabajador en la hoja Trabajadores",IF(AND(N7="Sí",OR(E7="",NOT(ISNUMBER(F7)))),"⚠ Falta tipo de contrato o fecha de inicio",IF(NOT(ISNUMBER(F7)),"⚠ Falta fecha de inicio",IF(AND(N7="Sí",E7&lt;&gt;"Indefinido",NOT(ISNUMBER(G7))),"⚠ Falta fecha de término",IF(AND(D7="Paso a indefinido",E7&lt;&gt;"Indefinido"),"⚠ Un paso a indefinido debe tener tipo Indefinido",IF(N(Q7)&gt;=3,"⚠ 3er contrato a plazo fijo: por ley ya es INDEFINIDO (Art. 159 N°4)",IF(AND(E7="Plazo fijo",ISNUMBER(G7),(G7-F7+1)/30.4375&gt;12),"⚠ Plazo fijo mayor a 1 año (máximo legal)",IF(J7&lt;&gt;"Sí","Pendiente de firma","OK")))))))))</f>
        <v>OK</v>
      </c>
      <c r="M7" s="62" t="str">
        <f aca="false">IF(B7="","",IFERROR(VALUE(LEFT(UPPER(SUBSTITUTE(SUBSTITUTE(SUBSTITUTE(TRIM(B7),".",""),"-","")," ","")),LEN(UPPER(SUBSTITUTE(SUBSTITUTE(SUBSTITUTE(TRIM(B7),".",""),"-","")," ","")))-1))&amp;RIGHT(UPPER(SUBSTITUTE(SUBSTITUTE(SUBSTITUTE(TRIM(B7),".",""),"-","")," ","")),1),UPPER(SUBSTITUTE(SUBSTITUTE(SUBSTITUTE(TRIM(B7),".",""),"-","")," ",""))))</f>
        <v>111111111</v>
      </c>
      <c r="N7" s="62" t="str">
        <f aca="false">IF(B7="","",IF(D7="Anexo de modificación","No","Sí"))</f>
        <v>Sí</v>
      </c>
      <c r="O7" s="62" t="n">
        <f aca="false">IF(AND(N7="Sí",ISNUMBER(F7)),COUNTIFS(C_RUTN,M7,C_DEF,"Sí",C_INI,"&lt;"&amp;F7)+COUNTIFS(M$7:M7,M7,N$7:N7,"Sí",F$7:F7,F7),"")</f>
        <v>1</v>
      </c>
      <c r="P7" s="62" t="str">
        <f aca="false">IF(O7="","",M7&amp;"-P"&amp;O7)</f>
        <v>111111111-P1</v>
      </c>
      <c r="Q7" s="62" t="n">
        <f aca="false">IF(AND(N7="Sí",E7="Plazo fijo",ISNUMBER(F7)),COUNTIFS(C_RUTN,M7,C_TIPO,"Plazo fijo",C_DEF,"Sí",C_INI,"&lt;"&amp;F7)+COUNTIFS(M$7:M7,M7,E$7:E7,"Plazo fijo",N$7:N7,"Sí",F$7:F7,F7),"")</f>
        <v>1</v>
      </c>
      <c r="R7" s="62" t="n">
        <f aca="false">IF(AND(B7&lt;&gt;"",ISNUMBER(H7),ISNUMBER(F7)),COUNTIFS(C_RUTN,M7,C_SUELDO,"&lt;&gt;",C_INI,"&lt;"&amp;F7)+COUNTIFS(M$7:M7,M7,H$7:H7,"&lt;&gt;",F$7:F7,F7),"")</f>
        <v>1</v>
      </c>
      <c r="S7" s="62" t="str">
        <f aca="false">IF(R7="","",M7&amp;"-S"&amp;R7)</f>
        <v>111111111-S1</v>
      </c>
    </row>
    <row r="8" customFormat="false" ht="15" hidden="false" customHeight="false" outlineLevel="0" collapsed="false">
      <c r="B8" s="58" t="s">
        <v>100</v>
      </c>
      <c r="C8" s="62" t="str">
        <f aca="false">IF(B8="","",IFERROR(INDEX(T_NOMBRE,MATCH(M8,T_RUTN,0)),"⚠ RUT no está en Trabajadores"))</f>
        <v>María Soto (EJEMPLO)</v>
      </c>
      <c r="D8" s="58" t="s">
        <v>181</v>
      </c>
      <c r="E8" s="58" t="s">
        <v>178</v>
      </c>
      <c r="F8" s="59" t="n">
        <v>44348</v>
      </c>
      <c r="G8" s="59" t="n">
        <v>44439</v>
      </c>
      <c r="H8" s="60"/>
      <c r="I8" s="58" t="s">
        <v>182</v>
      </c>
      <c r="J8" s="58" t="s">
        <v>104</v>
      </c>
      <c r="K8" s="58" t="s">
        <v>183</v>
      </c>
      <c r="L8" s="62" t="str">
        <f aca="false">IF(B8="","",IF(LEFT(C8,1)="⚠","⚠ Registre primero al trabajador en la hoja Trabajadores",IF(AND(N8="Sí",OR(E8="",NOT(ISNUMBER(F8)))),"⚠ Falta tipo de contrato o fecha de inicio",IF(NOT(ISNUMBER(F8)),"⚠ Falta fecha de inicio",IF(AND(N8="Sí",E8&lt;&gt;"Indefinido",NOT(ISNUMBER(G8))),"⚠ Falta fecha de término",IF(AND(D8="Paso a indefinido",E8&lt;&gt;"Indefinido"),"⚠ Un paso a indefinido debe tener tipo Indefinido",IF(N(Q8)&gt;=3,"⚠ 3er contrato a plazo fijo: por ley ya es INDEFINIDO (Art. 159 N°4)",IF(AND(E8="Plazo fijo",ISNUMBER(G8),(G8-F8+1)/30.4375&gt;12),"⚠ Plazo fijo mayor a 1 año (máximo legal)",IF(J8&lt;&gt;"Sí","Pendiente de firma","OK")))))))))</f>
        <v>OK</v>
      </c>
      <c r="M8" s="62" t="str">
        <f aca="false">IF(B8="","",IFERROR(VALUE(LEFT(UPPER(SUBSTITUTE(SUBSTITUTE(SUBSTITUTE(TRIM(B8),".",""),"-","")," ","")),LEN(UPPER(SUBSTITUTE(SUBSTITUTE(SUBSTITUTE(TRIM(B8),".",""),"-","")," ","")))-1))&amp;RIGHT(UPPER(SUBSTITUTE(SUBSTITUTE(SUBSTITUTE(TRIM(B8),".",""),"-","")," ","")),1),UPPER(SUBSTITUTE(SUBSTITUTE(SUBSTITUTE(TRIM(B8),".",""),"-","")," ",""))))</f>
        <v>111111111</v>
      </c>
      <c r="N8" s="62" t="str">
        <f aca="false">IF(B8="","",IF(D8="Anexo de modificación","No","Sí"))</f>
        <v>Sí</v>
      </c>
      <c r="O8" s="62" t="n">
        <f aca="false">IF(AND(N8="Sí",ISNUMBER(F8)),COUNTIFS(C_RUTN,M8,C_DEF,"Sí",C_INI,"&lt;"&amp;F8)+COUNTIFS(M$7:M8,M8,N$7:N8,"Sí",F$7:F8,F8),"")</f>
        <v>2</v>
      </c>
      <c r="P8" s="62" t="str">
        <f aca="false">IF(O8="","",M8&amp;"-P"&amp;O8)</f>
        <v>111111111-P2</v>
      </c>
      <c r="Q8" s="62" t="n">
        <f aca="false">IF(AND(N8="Sí",E8="Plazo fijo",ISNUMBER(F8)),COUNTIFS(C_RUTN,M8,C_TIPO,"Plazo fijo",C_DEF,"Sí",C_INI,"&lt;"&amp;F8)+COUNTIFS(M$7:M8,M8,E$7:E8,"Plazo fijo",N$7:N8,"Sí",F$7:F8,F8),"")</f>
        <v>2</v>
      </c>
      <c r="R8" s="62" t="str">
        <f aca="false">IF(AND(B8&lt;&gt;"",ISNUMBER(H8),ISNUMBER(F8)),COUNTIFS(C_RUTN,M8,C_SUELDO,"&lt;&gt;",C_INI,"&lt;"&amp;F8)+COUNTIFS(M$7:M8,M8,H$7:H8,"&lt;&gt;",F$7:F8,F8),"")</f>
        <v/>
      </c>
      <c r="S8" s="62" t="str">
        <f aca="false">IF(R8="","",M8&amp;"-S"&amp;R8)</f>
        <v/>
      </c>
    </row>
    <row r="9" customFormat="false" ht="15" hidden="false" customHeight="false" outlineLevel="0" collapsed="false">
      <c r="B9" s="58" t="s">
        <v>100</v>
      </c>
      <c r="C9" s="62" t="str">
        <f aca="false">IF(B9="","",IFERROR(INDEX(T_NOMBRE,MATCH(M9,T_RUTN,0)),"⚠ RUT no está en Trabajadores"))</f>
        <v>María Soto (EJEMPLO)</v>
      </c>
      <c r="D9" s="58" t="s">
        <v>184</v>
      </c>
      <c r="E9" s="58" t="s">
        <v>185</v>
      </c>
      <c r="F9" s="59" t="n">
        <v>44440</v>
      </c>
      <c r="G9" s="59"/>
      <c r="H9" s="60"/>
      <c r="I9" s="58" t="s">
        <v>186</v>
      </c>
      <c r="J9" s="58" t="s">
        <v>104</v>
      </c>
      <c r="K9" s="58" t="s">
        <v>187</v>
      </c>
      <c r="L9" s="62" t="str">
        <f aca="false">IF(B9="","",IF(LEFT(C9,1)="⚠","⚠ Registre primero al trabajador en la hoja Trabajadores",IF(AND(N9="Sí",OR(E9="",NOT(ISNUMBER(F9)))),"⚠ Falta tipo de contrato o fecha de inicio",IF(NOT(ISNUMBER(F9)),"⚠ Falta fecha de inicio",IF(AND(N9="Sí",E9&lt;&gt;"Indefinido",NOT(ISNUMBER(G9))),"⚠ Falta fecha de término",IF(AND(D9="Paso a indefinido",E9&lt;&gt;"Indefinido"),"⚠ Un paso a indefinido debe tener tipo Indefinido",IF(N(Q9)&gt;=3,"⚠ 3er contrato a plazo fijo: por ley ya es INDEFINIDO (Art. 159 N°4)",IF(AND(E9="Plazo fijo",ISNUMBER(G9),(G9-F9+1)/30.4375&gt;12),"⚠ Plazo fijo mayor a 1 año (máximo legal)",IF(J9&lt;&gt;"Sí","Pendiente de firma","OK")))))))))</f>
        <v>OK</v>
      </c>
      <c r="M9" s="62" t="str">
        <f aca="false">IF(B9="","",IFERROR(VALUE(LEFT(UPPER(SUBSTITUTE(SUBSTITUTE(SUBSTITUTE(TRIM(B9),".",""),"-","")," ","")),LEN(UPPER(SUBSTITUTE(SUBSTITUTE(SUBSTITUTE(TRIM(B9),".",""),"-","")," ","")))-1))&amp;RIGHT(UPPER(SUBSTITUTE(SUBSTITUTE(SUBSTITUTE(TRIM(B9),".",""),"-","")," ","")),1),UPPER(SUBSTITUTE(SUBSTITUTE(SUBSTITUTE(TRIM(B9),".",""),"-","")," ",""))))</f>
        <v>111111111</v>
      </c>
      <c r="N9" s="62" t="str">
        <f aca="false">IF(B9="","",IF(D9="Anexo de modificación","No","Sí"))</f>
        <v>Sí</v>
      </c>
      <c r="O9" s="62" t="n">
        <f aca="false">IF(AND(N9="Sí",ISNUMBER(F9)),COUNTIFS(C_RUTN,M9,C_DEF,"Sí",C_INI,"&lt;"&amp;F9)+COUNTIFS(M$7:M9,M9,N$7:N9,"Sí",F$7:F9,F9),"")</f>
        <v>3</v>
      </c>
      <c r="P9" s="62" t="str">
        <f aca="false">IF(O9="","",M9&amp;"-P"&amp;O9)</f>
        <v>111111111-P3</v>
      </c>
      <c r="Q9" s="62" t="str">
        <f aca="false">IF(AND(N9="Sí",E9="Plazo fijo",ISNUMBER(F9)),COUNTIFS(C_RUTN,M9,C_TIPO,"Plazo fijo",C_DEF,"Sí",C_INI,"&lt;"&amp;F9)+COUNTIFS(M$7:M9,M9,E$7:E9,"Plazo fijo",N$7:N9,"Sí",F$7:F9,F9),"")</f>
        <v/>
      </c>
      <c r="R9" s="62" t="str">
        <f aca="false">IF(AND(B9&lt;&gt;"",ISNUMBER(H9),ISNUMBER(F9)),COUNTIFS(C_RUTN,M9,C_SUELDO,"&lt;&gt;",C_INI,"&lt;"&amp;F9)+COUNTIFS(M$7:M9,M9,H$7:H9,"&lt;&gt;",F$7:F9,F9),"")</f>
        <v/>
      </c>
      <c r="S9" s="62" t="str">
        <f aca="false">IF(R9="","",M9&amp;"-S"&amp;R9)</f>
        <v/>
      </c>
    </row>
    <row r="10" customFormat="false" ht="15" hidden="false" customHeight="false" outlineLevel="0" collapsed="false">
      <c r="B10" s="58" t="s">
        <v>100</v>
      </c>
      <c r="C10" s="62" t="str">
        <f aca="false">IF(B10="","",IFERROR(INDEX(T_NOMBRE,MATCH(M10,T_RUTN,0)),"⚠ RUT no está en Trabajadores"))</f>
        <v>María Soto (EJEMPLO)</v>
      </c>
      <c r="D10" s="58" t="s">
        <v>188</v>
      </c>
      <c r="E10" s="58"/>
      <c r="F10" s="59" t="n">
        <v>45352</v>
      </c>
      <c r="G10" s="59"/>
      <c r="H10" s="60" t="n">
        <v>1100000</v>
      </c>
      <c r="I10" s="58" t="s">
        <v>189</v>
      </c>
      <c r="J10" s="58" t="s">
        <v>104</v>
      </c>
      <c r="K10" s="58" t="s">
        <v>190</v>
      </c>
      <c r="L10" s="62" t="str">
        <f aca="false">IF(B10="","",IF(LEFT(C10,1)="⚠","⚠ Registre primero al trabajador en la hoja Trabajadores",IF(AND(N10="Sí",OR(E10="",NOT(ISNUMBER(F10)))),"⚠ Falta tipo de contrato o fecha de inicio",IF(NOT(ISNUMBER(F10)),"⚠ Falta fecha de inicio",IF(AND(N10="Sí",E10&lt;&gt;"Indefinido",NOT(ISNUMBER(G10))),"⚠ Falta fecha de término",IF(AND(D10="Paso a indefinido",E10&lt;&gt;"Indefinido"),"⚠ Un paso a indefinido debe tener tipo Indefinido",IF(N(Q10)&gt;=3,"⚠ 3er contrato a plazo fijo: por ley ya es INDEFINIDO (Art. 159 N°4)",IF(AND(E10="Plazo fijo",ISNUMBER(G10),(G10-F10+1)/30.4375&gt;12),"⚠ Plazo fijo mayor a 1 año (máximo legal)",IF(J10&lt;&gt;"Sí","Pendiente de firma","OK")))))))))</f>
        <v>OK</v>
      </c>
      <c r="M10" s="62" t="str">
        <f aca="false">IF(B10="","",IFERROR(VALUE(LEFT(UPPER(SUBSTITUTE(SUBSTITUTE(SUBSTITUTE(TRIM(B10),".",""),"-","")," ","")),LEN(UPPER(SUBSTITUTE(SUBSTITUTE(SUBSTITUTE(TRIM(B10),".",""),"-","")," ","")))-1))&amp;RIGHT(UPPER(SUBSTITUTE(SUBSTITUTE(SUBSTITUTE(TRIM(B10),".",""),"-","")," ","")),1),UPPER(SUBSTITUTE(SUBSTITUTE(SUBSTITUTE(TRIM(B10),".",""),"-","")," ",""))))</f>
        <v>111111111</v>
      </c>
      <c r="N10" s="62" t="str">
        <f aca="false">IF(B10="","",IF(D10="Anexo de modificación","No","Sí"))</f>
        <v>No</v>
      </c>
      <c r="O10" s="62" t="str">
        <f aca="false">IF(AND(N10="Sí",ISNUMBER(F10)),COUNTIFS(C_RUTN,M10,C_DEF,"Sí",C_INI,"&lt;"&amp;F10)+COUNTIFS(M$7:M10,M10,N$7:N10,"Sí",F$7:F10,F10),"")</f>
        <v/>
      </c>
      <c r="P10" s="62" t="str">
        <f aca="false">IF(O10="","",M10&amp;"-P"&amp;O10)</f>
        <v/>
      </c>
      <c r="Q10" s="62" t="str">
        <f aca="false">IF(AND(N10="Sí",E10="Plazo fijo",ISNUMBER(F10)),COUNTIFS(C_RUTN,M10,C_TIPO,"Plazo fijo",C_DEF,"Sí",C_INI,"&lt;"&amp;F10)+COUNTIFS(M$7:M10,M10,E$7:E10,"Plazo fijo",N$7:N10,"Sí",F$7:F10,F10),"")</f>
        <v/>
      </c>
      <c r="R10" s="62" t="n">
        <f aca="false">IF(AND(B10&lt;&gt;"",ISNUMBER(H10),ISNUMBER(F10)),COUNTIFS(C_RUTN,M10,C_SUELDO,"&lt;&gt;",C_INI,"&lt;"&amp;F10)+COUNTIFS(M$7:M10,M10,H$7:H10,"&lt;&gt;",F$7:F10,F10),"")</f>
        <v>2</v>
      </c>
      <c r="S10" s="62" t="str">
        <f aca="false">IF(R10="","",M10&amp;"-S"&amp;R10)</f>
        <v>111111111-S2</v>
      </c>
    </row>
    <row r="11" customFormat="false" ht="15" hidden="false" customHeight="false" outlineLevel="0" collapsed="false">
      <c r="B11" s="58" t="s">
        <v>100</v>
      </c>
      <c r="C11" s="62" t="str">
        <f aca="false">IF(B11="","",IFERROR(INDEX(T_NOMBRE,MATCH(M11,T_RUTN,0)),"⚠ RUT no está en Trabajadores"))</f>
        <v>María Soto (EJEMPLO)</v>
      </c>
      <c r="D11" s="58" t="s">
        <v>188</v>
      </c>
      <c r="E11" s="58"/>
      <c r="F11" s="59" t="n">
        <v>46143</v>
      </c>
      <c r="G11" s="59"/>
      <c r="H11" s="60" t="n">
        <v>1250000</v>
      </c>
      <c r="I11" s="58" t="s">
        <v>191</v>
      </c>
      <c r="J11" s="58" t="s">
        <v>104</v>
      </c>
      <c r="K11" s="58" t="s">
        <v>192</v>
      </c>
      <c r="L11" s="62" t="str">
        <f aca="false">IF(B11="","",IF(LEFT(C11,1)="⚠","⚠ Registre primero al trabajador en la hoja Trabajadores",IF(AND(N11="Sí",OR(E11="",NOT(ISNUMBER(F11)))),"⚠ Falta tipo de contrato o fecha de inicio",IF(NOT(ISNUMBER(F11)),"⚠ Falta fecha de inicio",IF(AND(N11="Sí",E11&lt;&gt;"Indefinido",NOT(ISNUMBER(G11))),"⚠ Falta fecha de término",IF(AND(D11="Paso a indefinido",E11&lt;&gt;"Indefinido"),"⚠ Un paso a indefinido debe tener tipo Indefinido",IF(N(Q11)&gt;=3,"⚠ 3er contrato a plazo fijo: por ley ya es INDEFINIDO (Art. 159 N°4)",IF(AND(E11="Plazo fijo",ISNUMBER(G11),(G11-F11+1)/30.4375&gt;12),"⚠ Plazo fijo mayor a 1 año (máximo legal)",IF(J11&lt;&gt;"Sí","Pendiente de firma","OK")))))))))</f>
        <v>OK</v>
      </c>
      <c r="M11" s="62" t="str">
        <f aca="false">IF(B11="","",IFERROR(VALUE(LEFT(UPPER(SUBSTITUTE(SUBSTITUTE(SUBSTITUTE(TRIM(B11),".",""),"-","")," ","")),LEN(UPPER(SUBSTITUTE(SUBSTITUTE(SUBSTITUTE(TRIM(B11),".",""),"-","")," ","")))-1))&amp;RIGHT(UPPER(SUBSTITUTE(SUBSTITUTE(SUBSTITUTE(TRIM(B11),".",""),"-","")," ","")),1),UPPER(SUBSTITUTE(SUBSTITUTE(SUBSTITUTE(TRIM(B11),".",""),"-","")," ",""))))</f>
        <v>111111111</v>
      </c>
      <c r="N11" s="62" t="str">
        <f aca="false">IF(B11="","",IF(D11="Anexo de modificación","No","Sí"))</f>
        <v>No</v>
      </c>
      <c r="O11" s="62" t="str">
        <f aca="false">IF(AND(N11="Sí",ISNUMBER(F11)),COUNTIFS(C_RUTN,M11,C_DEF,"Sí",C_INI,"&lt;"&amp;F11)+COUNTIFS(M$7:M11,M11,N$7:N11,"Sí",F$7:F11,F11),"")</f>
        <v/>
      </c>
      <c r="P11" s="62" t="str">
        <f aca="false">IF(O11="","",M11&amp;"-P"&amp;O11)</f>
        <v/>
      </c>
      <c r="Q11" s="62" t="str">
        <f aca="false">IF(AND(N11="Sí",E11="Plazo fijo",ISNUMBER(F11)),COUNTIFS(C_RUTN,M11,C_TIPO,"Plazo fijo",C_DEF,"Sí",C_INI,"&lt;"&amp;F11)+COUNTIFS(M$7:M11,M11,E$7:E11,"Plazo fijo",N$7:N11,"Sí",F$7:F11,F11),"")</f>
        <v/>
      </c>
      <c r="R11" s="62" t="n">
        <f aca="false">IF(AND(B11&lt;&gt;"",ISNUMBER(H11),ISNUMBER(F11)),COUNTIFS(C_RUTN,M11,C_SUELDO,"&lt;&gt;",C_INI,"&lt;"&amp;F11)+COUNTIFS(M$7:M11,M11,H$7:H11,"&lt;&gt;",F$7:F11,F11),"")</f>
        <v>3</v>
      </c>
      <c r="S11" s="62" t="str">
        <f aca="false">IF(R11="","",M11&amp;"-S"&amp;R11)</f>
        <v>111111111-S3</v>
      </c>
    </row>
    <row r="12" customFormat="false" ht="15" hidden="false" customHeight="false" outlineLevel="0" collapsed="false">
      <c r="B12" s="58" t="s">
        <v>106</v>
      </c>
      <c r="C12" s="62" t="str">
        <f aca="false">IF(B12="","",IFERROR(INDEX(T_NOMBRE,MATCH(M12,T_RUTN,0)),"⚠ RUT no está en Trabajadores"))</f>
        <v>Juan Pérez (EJEMPLO)</v>
      </c>
      <c r="D12" s="58" t="s">
        <v>177</v>
      </c>
      <c r="E12" s="58" t="s">
        <v>178</v>
      </c>
      <c r="F12" s="59" t="n">
        <v>46237</v>
      </c>
      <c r="G12" s="59" t="n">
        <v>46328</v>
      </c>
      <c r="H12" s="60" t="n">
        <v>580000</v>
      </c>
      <c r="I12" s="58" t="s">
        <v>193</v>
      </c>
      <c r="J12" s="58" t="s">
        <v>104</v>
      </c>
      <c r="K12" s="58" t="s">
        <v>194</v>
      </c>
      <c r="L12" s="62" t="str">
        <f aca="false">IF(B12="","",IF(LEFT(C12,1)="⚠","⚠ Registre primero al trabajador en la hoja Trabajadores",IF(AND(N12="Sí",OR(E12="",NOT(ISNUMBER(F12)))),"⚠ Falta tipo de contrato o fecha de inicio",IF(NOT(ISNUMBER(F12)),"⚠ Falta fecha de inicio",IF(AND(N12="Sí",E12&lt;&gt;"Indefinido",NOT(ISNUMBER(G12))),"⚠ Falta fecha de término",IF(AND(D12="Paso a indefinido",E12&lt;&gt;"Indefinido"),"⚠ Un paso a indefinido debe tener tipo Indefinido",IF(N(Q12)&gt;=3,"⚠ 3er contrato a plazo fijo: por ley ya es INDEFINIDO (Art. 159 N°4)",IF(AND(E12="Plazo fijo",ISNUMBER(G12),(G12-F12+1)/30.4375&gt;12),"⚠ Plazo fijo mayor a 1 año (máximo legal)",IF(J12&lt;&gt;"Sí","Pendiente de firma","OK")))))))))</f>
        <v>OK</v>
      </c>
      <c r="M12" s="62" t="str">
        <f aca="false">IF(B12="","",IFERROR(VALUE(LEFT(UPPER(SUBSTITUTE(SUBSTITUTE(SUBSTITUTE(TRIM(B12),".",""),"-","")," ","")),LEN(UPPER(SUBSTITUTE(SUBSTITUTE(SUBSTITUTE(TRIM(B12),".",""),"-","")," ","")))-1))&amp;RIGHT(UPPER(SUBSTITUTE(SUBSTITUTE(SUBSTITUTE(TRIM(B12),".",""),"-","")," ","")),1),UPPER(SUBSTITUTE(SUBSTITUTE(SUBSTITUTE(TRIM(B12),".",""),"-","")," ",""))))</f>
        <v>222222222</v>
      </c>
      <c r="N12" s="62" t="str">
        <f aca="false">IF(B12="","",IF(D12="Anexo de modificación","No","Sí"))</f>
        <v>Sí</v>
      </c>
      <c r="O12" s="62" t="n">
        <f aca="false">IF(AND(N12="Sí",ISNUMBER(F12)),COUNTIFS(C_RUTN,M12,C_DEF,"Sí",C_INI,"&lt;"&amp;F12)+COUNTIFS(M$7:M12,M12,N$7:N12,"Sí",F$7:F12,F12),"")</f>
        <v>1</v>
      </c>
      <c r="P12" s="62" t="str">
        <f aca="false">IF(O12="","",M12&amp;"-P"&amp;O12)</f>
        <v>222222222-P1</v>
      </c>
      <c r="Q12" s="62" t="n">
        <f aca="false">IF(AND(N12="Sí",E12="Plazo fijo",ISNUMBER(F12)),COUNTIFS(C_RUTN,M12,C_TIPO,"Plazo fijo",C_DEF,"Sí",C_INI,"&lt;"&amp;F12)+COUNTIFS(M$7:M12,M12,E$7:E12,"Plazo fijo",N$7:N12,"Sí",F$7:F12,F12),"")</f>
        <v>1</v>
      </c>
      <c r="R12" s="62" t="n">
        <f aca="false">IF(AND(B12&lt;&gt;"",ISNUMBER(H12),ISNUMBER(F12)),COUNTIFS(C_RUTN,M12,C_SUELDO,"&lt;&gt;",C_INI,"&lt;"&amp;F12)+COUNTIFS(M$7:M12,M12,H$7:H12,"&lt;&gt;",F$7:F12,F12),"")</f>
        <v>1</v>
      </c>
      <c r="S12" s="62" t="str">
        <f aca="false">IF(R12="","",M12&amp;"-S"&amp;R12)</f>
        <v>222222222-S1</v>
      </c>
    </row>
    <row r="13" customFormat="false" ht="15" hidden="false" customHeight="false" outlineLevel="0" collapsed="false">
      <c r="B13" s="58" t="s">
        <v>110</v>
      </c>
      <c r="C13" s="62" t="str">
        <f aca="false">IF(B13="","",IFERROR(INDEX(T_NOMBRE,MATCH(M13,T_RUTN,0)),"⚠ RUT no está en Trabajadores"))</f>
        <v>Camila Rojas (EJEMPLO)</v>
      </c>
      <c r="D13" s="58" t="s">
        <v>177</v>
      </c>
      <c r="E13" s="58" t="s">
        <v>178</v>
      </c>
      <c r="F13" s="59" t="n">
        <v>46097</v>
      </c>
      <c r="G13" s="59" t="n">
        <v>46188</v>
      </c>
      <c r="H13" s="60" t="n">
        <v>850000</v>
      </c>
      <c r="I13" s="58" t="s">
        <v>195</v>
      </c>
      <c r="J13" s="58" t="s">
        <v>104</v>
      </c>
      <c r="K13" s="58" t="s">
        <v>196</v>
      </c>
      <c r="L13" s="62" t="str">
        <f aca="false">IF(B13="","",IF(LEFT(C13,1)="⚠","⚠ Registre primero al trabajador en la hoja Trabajadores",IF(AND(N13="Sí",OR(E13="",NOT(ISNUMBER(F13)))),"⚠ Falta tipo de contrato o fecha de inicio",IF(NOT(ISNUMBER(F13)),"⚠ Falta fecha de inicio",IF(AND(N13="Sí",E13&lt;&gt;"Indefinido",NOT(ISNUMBER(G13))),"⚠ Falta fecha de término",IF(AND(D13="Paso a indefinido",E13&lt;&gt;"Indefinido"),"⚠ Un paso a indefinido debe tener tipo Indefinido",IF(N(Q13)&gt;=3,"⚠ 3er contrato a plazo fijo: por ley ya es INDEFINIDO (Art. 159 N°4)",IF(AND(E13="Plazo fijo",ISNUMBER(G13),(G13-F13+1)/30.4375&gt;12),"⚠ Plazo fijo mayor a 1 año (máximo legal)",IF(J13&lt;&gt;"Sí","Pendiente de firma","OK")))))))))</f>
        <v>OK</v>
      </c>
      <c r="M13" s="62" t="str">
        <f aca="false">IF(B13="","",IFERROR(VALUE(LEFT(UPPER(SUBSTITUTE(SUBSTITUTE(SUBSTITUTE(TRIM(B13),".",""),"-","")," ","")),LEN(UPPER(SUBSTITUTE(SUBSTITUTE(SUBSTITUTE(TRIM(B13),".",""),"-","")," ","")))-1))&amp;RIGHT(UPPER(SUBSTITUTE(SUBSTITUTE(SUBSTITUTE(TRIM(B13),".",""),"-","")," ","")),1),UPPER(SUBSTITUTE(SUBSTITUTE(SUBSTITUTE(TRIM(B13),".",""),"-","")," ",""))))</f>
        <v>333333333</v>
      </c>
      <c r="N13" s="62" t="str">
        <f aca="false">IF(B13="","",IF(D13="Anexo de modificación","No","Sí"))</f>
        <v>Sí</v>
      </c>
      <c r="O13" s="62" t="n">
        <f aca="false">IF(AND(N13="Sí",ISNUMBER(F13)),COUNTIFS(C_RUTN,M13,C_DEF,"Sí",C_INI,"&lt;"&amp;F13)+COUNTIFS(M$7:M13,M13,N$7:N13,"Sí",F$7:F13,F13),"")</f>
        <v>1</v>
      </c>
      <c r="P13" s="62" t="str">
        <f aca="false">IF(O13="","",M13&amp;"-P"&amp;O13)</f>
        <v>333333333-P1</v>
      </c>
      <c r="Q13" s="62" t="n">
        <f aca="false">IF(AND(N13="Sí",E13="Plazo fijo",ISNUMBER(F13)),COUNTIFS(C_RUTN,M13,C_TIPO,"Plazo fijo",C_DEF,"Sí",C_INI,"&lt;"&amp;F13)+COUNTIFS(M$7:M13,M13,E$7:E13,"Plazo fijo",N$7:N13,"Sí",F$7:F13,F13),"")</f>
        <v>1</v>
      </c>
      <c r="R13" s="62" t="n">
        <f aca="false">IF(AND(B13&lt;&gt;"",ISNUMBER(H13),ISNUMBER(F13)),COUNTIFS(C_RUTN,M13,C_SUELDO,"&lt;&gt;",C_INI,"&lt;"&amp;F13)+COUNTIFS(M$7:M13,M13,H$7:H13,"&lt;&gt;",F$7:F13,F13),"")</f>
        <v>1</v>
      </c>
      <c r="S13" s="62" t="str">
        <f aca="false">IF(R13="","",M13&amp;"-S"&amp;R13)</f>
        <v>333333333-S1</v>
      </c>
    </row>
    <row r="14" customFormat="false" ht="15" hidden="false" customHeight="false" outlineLevel="0" collapsed="false">
      <c r="B14" s="58" t="s">
        <v>110</v>
      </c>
      <c r="C14" s="62" t="str">
        <f aca="false">IF(B14="","",IFERROR(INDEX(T_NOMBRE,MATCH(M14,T_RUTN,0)),"⚠ RUT no está en Trabajadores"))</f>
        <v>Camila Rojas (EJEMPLO)</v>
      </c>
      <c r="D14" s="58" t="s">
        <v>181</v>
      </c>
      <c r="E14" s="58" t="s">
        <v>178</v>
      </c>
      <c r="F14" s="59" t="n">
        <v>46189</v>
      </c>
      <c r="G14" s="59" t="n">
        <v>46371</v>
      </c>
      <c r="H14" s="60"/>
      <c r="I14" s="58" t="s">
        <v>197</v>
      </c>
      <c r="J14" s="58" t="s">
        <v>104</v>
      </c>
      <c r="K14" s="58" t="s">
        <v>198</v>
      </c>
      <c r="L14" s="62" t="str">
        <f aca="false">IF(B14="","",IF(LEFT(C14,1)="⚠","⚠ Registre primero al trabajador en la hoja Trabajadores",IF(AND(N14="Sí",OR(E14="",NOT(ISNUMBER(F14)))),"⚠ Falta tipo de contrato o fecha de inicio",IF(NOT(ISNUMBER(F14)),"⚠ Falta fecha de inicio",IF(AND(N14="Sí",E14&lt;&gt;"Indefinido",NOT(ISNUMBER(G14))),"⚠ Falta fecha de término",IF(AND(D14="Paso a indefinido",E14&lt;&gt;"Indefinido"),"⚠ Un paso a indefinido debe tener tipo Indefinido",IF(N(Q14)&gt;=3,"⚠ 3er contrato a plazo fijo: por ley ya es INDEFINIDO (Art. 159 N°4)",IF(AND(E14="Plazo fijo",ISNUMBER(G14),(G14-F14+1)/30.4375&gt;12),"⚠ Plazo fijo mayor a 1 año (máximo legal)",IF(J14&lt;&gt;"Sí","Pendiente de firma","OK")))))))))</f>
        <v>OK</v>
      </c>
      <c r="M14" s="62" t="str">
        <f aca="false">IF(B14="","",IFERROR(VALUE(LEFT(UPPER(SUBSTITUTE(SUBSTITUTE(SUBSTITUTE(TRIM(B14),".",""),"-","")," ","")),LEN(UPPER(SUBSTITUTE(SUBSTITUTE(SUBSTITUTE(TRIM(B14),".",""),"-","")," ","")))-1))&amp;RIGHT(UPPER(SUBSTITUTE(SUBSTITUTE(SUBSTITUTE(TRIM(B14),".",""),"-","")," ","")),1),UPPER(SUBSTITUTE(SUBSTITUTE(SUBSTITUTE(TRIM(B14),".",""),"-","")," ",""))))</f>
        <v>333333333</v>
      </c>
      <c r="N14" s="62" t="str">
        <f aca="false">IF(B14="","",IF(D14="Anexo de modificación","No","Sí"))</f>
        <v>Sí</v>
      </c>
      <c r="O14" s="62" t="n">
        <f aca="false">IF(AND(N14="Sí",ISNUMBER(F14)),COUNTIFS(C_RUTN,M14,C_DEF,"Sí",C_INI,"&lt;"&amp;F14)+COUNTIFS(M$7:M14,M14,N$7:N14,"Sí",F$7:F14,F14),"")</f>
        <v>2</v>
      </c>
      <c r="P14" s="62" t="str">
        <f aca="false">IF(O14="","",M14&amp;"-P"&amp;O14)</f>
        <v>333333333-P2</v>
      </c>
      <c r="Q14" s="62" t="n">
        <f aca="false">IF(AND(N14="Sí",E14="Plazo fijo",ISNUMBER(F14)),COUNTIFS(C_RUTN,M14,C_TIPO,"Plazo fijo",C_DEF,"Sí",C_INI,"&lt;"&amp;F14)+COUNTIFS(M$7:M14,M14,E$7:E14,"Plazo fijo",N$7:N14,"Sí",F$7:F14,F14),"")</f>
        <v>2</v>
      </c>
      <c r="R14" s="62" t="str">
        <f aca="false">IF(AND(B14&lt;&gt;"",ISNUMBER(H14),ISNUMBER(F14)),COUNTIFS(C_RUTN,M14,C_SUELDO,"&lt;&gt;",C_INI,"&lt;"&amp;F14)+COUNTIFS(M$7:M14,M14,H$7:H14,"&lt;&gt;",F$7:F14,F14),"")</f>
        <v/>
      </c>
      <c r="S14" s="62" t="str">
        <f aca="false">IF(R14="","",M14&amp;"-S"&amp;R14)</f>
        <v/>
      </c>
    </row>
    <row r="15" customFormat="false" ht="15" hidden="false" customHeight="false" outlineLevel="0" collapsed="false">
      <c r="B15" s="58" t="s">
        <v>114</v>
      </c>
      <c r="C15" s="62" t="str">
        <f aca="false">IF(B15="","",IFERROR(INDEX(T_NOMBRE,MATCH(M15,T_RUTN,0)),"⚠ RUT no está en Trabajadores"))</f>
        <v>Pedro Muñoz (EJEMPLO)</v>
      </c>
      <c r="D15" s="58" t="s">
        <v>177</v>
      </c>
      <c r="E15" s="58" t="s">
        <v>185</v>
      </c>
      <c r="F15" s="59" t="n">
        <v>45110</v>
      </c>
      <c r="G15" s="59"/>
      <c r="H15" s="60" t="n">
        <v>650000</v>
      </c>
      <c r="I15" s="58" t="s">
        <v>116</v>
      </c>
      <c r="J15" s="58" t="s">
        <v>104</v>
      </c>
      <c r="K15" s="58" t="s">
        <v>199</v>
      </c>
      <c r="L15" s="62" t="str">
        <f aca="false">IF(B15="","",IF(LEFT(C15,1)="⚠","⚠ Registre primero al trabajador en la hoja Trabajadores",IF(AND(N15="Sí",OR(E15="",NOT(ISNUMBER(F15)))),"⚠ Falta tipo de contrato o fecha de inicio",IF(NOT(ISNUMBER(F15)),"⚠ Falta fecha de inicio",IF(AND(N15="Sí",E15&lt;&gt;"Indefinido",NOT(ISNUMBER(G15))),"⚠ Falta fecha de término",IF(AND(D15="Paso a indefinido",E15&lt;&gt;"Indefinido"),"⚠ Un paso a indefinido debe tener tipo Indefinido",IF(N(Q15)&gt;=3,"⚠ 3er contrato a plazo fijo: por ley ya es INDEFINIDO (Art. 159 N°4)",IF(AND(E15="Plazo fijo",ISNUMBER(G15),(G15-F15+1)/30.4375&gt;12),"⚠ Plazo fijo mayor a 1 año (máximo legal)",IF(J15&lt;&gt;"Sí","Pendiente de firma","OK")))))))))</f>
        <v>OK</v>
      </c>
      <c r="M15" s="62" t="str">
        <f aca="false">IF(B15="","",IFERROR(VALUE(LEFT(UPPER(SUBSTITUTE(SUBSTITUTE(SUBSTITUTE(TRIM(B15),".",""),"-","")," ","")),LEN(UPPER(SUBSTITUTE(SUBSTITUTE(SUBSTITUTE(TRIM(B15),".",""),"-","")," ","")))-1))&amp;RIGHT(UPPER(SUBSTITUTE(SUBSTITUTE(SUBSTITUTE(TRIM(B15),".",""),"-","")," ","")),1),UPPER(SUBSTITUTE(SUBSTITUTE(SUBSTITUTE(TRIM(B15),".",""),"-","")," ",""))))</f>
        <v>444444444</v>
      </c>
      <c r="N15" s="62" t="str">
        <f aca="false">IF(B15="","",IF(D15="Anexo de modificación","No","Sí"))</f>
        <v>Sí</v>
      </c>
      <c r="O15" s="62" t="n">
        <f aca="false">IF(AND(N15="Sí",ISNUMBER(F15)),COUNTIFS(C_RUTN,M15,C_DEF,"Sí",C_INI,"&lt;"&amp;F15)+COUNTIFS(M$7:M15,M15,N$7:N15,"Sí",F$7:F15,F15),"")</f>
        <v>1</v>
      </c>
      <c r="P15" s="62" t="str">
        <f aca="false">IF(O15="","",M15&amp;"-P"&amp;O15)</f>
        <v>444444444-P1</v>
      </c>
      <c r="Q15" s="62" t="str">
        <f aca="false">IF(AND(N15="Sí",E15="Plazo fijo",ISNUMBER(F15)),COUNTIFS(C_RUTN,M15,C_TIPO,"Plazo fijo",C_DEF,"Sí",C_INI,"&lt;"&amp;F15)+COUNTIFS(M$7:M15,M15,E$7:E15,"Plazo fijo",N$7:N15,"Sí",F$7:F15,F15),"")</f>
        <v/>
      </c>
      <c r="R15" s="62" t="n">
        <f aca="false">IF(AND(B15&lt;&gt;"",ISNUMBER(H15),ISNUMBER(F15)),COUNTIFS(C_RUTN,M15,C_SUELDO,"&lt;&gt;",C_INI,"&lt;"&amp;F15)+COUNTIFS(M$7:M15,M15,H$7:H15,"&lt;&gt;",F$7:F15,F15),"")</f>
        <v>1</v>
      </c>
      <c r="S15" s="62" t="str">
        <f aca="false">IF(R15="","",M15&amp;"-S"&amp;R15)</f>
        <v>444444444-S1</v>
      </c>
    </row>
    <row r="16" customFormat="false" ht="15" hidden="false" customHeight="false" outlineLevel="0" collapsed="false">
      <c r="B16" s="58" t="s">
        <v>114</v>
      </c>
      <c r="C16" s="62" t="str">
        <f aca="false">IF(B16="","",IFERROR(INDEX(T_NOMBRE,MATCH(M16,T_RUTN,0)),"⚠ RUT no está en Trabajadores"))</f>
        <v>Pedro Muñoz (EJEMPLO)</v>
      </c>
      <c r="D16" s="58" t="s">
        <v>188</v>
      </c>
      <c r="E16" s="58"/>
      <c r="F16" s="59" t="n">
        <v>45839</v>
      </c>
      <c r="G16" s="59"/>
      <c r="H16" s="60" t="n">
        <v>720000</v>
      </c>
      <c r="I16" s="58" t="s">
        <v>191</v>
      </c>
      <c r="J16" s="58" t="s">
        <v>104</v>
      </c>
      <c r="K16" s="58" t="s">
        <v>200</v>
      </c>
      <c r="L16" s="62" t="str">
        <f aca="false">IF(B16="","",IF(LEFT(C16,1)="⚠","⚠ Registre primero al trabajador en la hoja Trabajadores",IF(AND(N16="Sí",OR(E16="",NOT(ISNUMBER(F16)))),"⚠ Falta tipo de contrato o fecha de inicio",IF(NOT(ISNUMBER(F16)),"⚠ Falta fecha de inicio",IF(AND(N16="Sí",E16&lt;&gt;"Indefinido",NOT(ISNUMBER(G16))),"⚠ Falta fecha de término",IF(AND(D16="Paso a indefinido",E16&lt;&gt;"Indefinido"),"⚠ Un paso a indefinido debe tener tipo Indefinido",IF(N(Q16)&gt;=3,"⚠ 3er contrato a plazo fijo: por ley ya es INDEFINIDO (Art. 159 N°4)",IF(AND(E16="Plazo fijo",ISNUMBER(G16),(G16-F16+1)/30.4375&gt;12),"⚠ Plazo fijo mayor a 1 año (máximo legal)",IF(J16&lt;&gt;"Sí","Pendiente de firma","OK")))))))))</f>
        <v>OK</v>
      </c>
      <c r="M16" s="62" t="str">
        <f aca="false">IF(B16="","",IFERROR(VALUE(LEFT(UPPER(SUBSTITUTE(SUBSTITUTE(SUBSTITUTE(TRIM(B16),".",""),"-","")," ","")),LEN(UPPER(SUBSTITUTE(SUBSTITUTE(SUBSTITUTE(TRIM(B16),".",""),"-","")," ","")))-1))&amp;RIGHT(UPPER(SUBSTITUTE(SUBSTITUTE(SUBSTITUTE(TRIM(B16),".",""),"-","")," ","")),1),UPPER(SUBSTITUTE(SUBSTITUTE(SUBSTITUTE(TRIM(B16),".",""),"-","")," ",""))))</f>
        <v>444444444</v>
      </c>
      <c r="N16" s="62" t="str">
        <f aca="false">IF(B16="","",IF(D16="Anexo de modificación","No","Sí"))</f>
        <v>No</v>
      </c>
      <c r="O16" s="62" t="str">
        <f aca="false">IF(AND(N16="Sí",ISNUMBER(F16)),COUNTIFS(C_RUTN,M16,C_DEF,"Sí",C_INI,"&lt;"&amp;F16)+COUNTIFS(M$7:M16,M16,N$7:N16,"Sí",F$7:F16,F16),"")</f>
        <v/>
      </c>
      <c r="P16" s="62" t="str">
        <f aca="false">IF(O16="","",M16&amp;"-P"&amp;O16)</f>
        <v/>
      </c>
      <c r="Q16" s="62" t="str">
        <f aca="false">IF(AND(N16="Sí",E16="Plazo fijo",ISNUMBER(F16)),COUNTIFS(C_RUTN,M16,C_TIPO,"Plazo fijo",C_DEF,"Sí",C_INI,"&lt;"&amp;F16)+COUNTIFS(M$7:M16,M16,E$7:E16,"Plazo fijo",N$7:N16,"Sí",F$7:F16,F16),"")</f>
        <v/>
      </c>
      <c r="R16" s="62" t="n">
        <f aca="false">IF(AND(B16&lt;&gt;"",ISNUMBER(H16),ISNUMBER(F16)),COUNTIFS(C_RUTN,M16,C_SUELDO,"&lt;&gt;",C_INI,"&lt;"&amp;F16)+COUNTIFS(M$7:M16,M16,H$7:H16,"&lt;&gt;",F$7:F16,F16),"")</f>
        <v>2</v>
      </c>
      <c r="S16" s="62" t="str">
        <f aca="false">IF(R16="","",M16&amp;"-S"&amp;R16)</f>
        <v>444444444-S2</v>
      </c>
    </row>
    <row r="17" customFormat="false" ht="15" hidden="false" customHeight="false" outlineLevel="0" collapsed="false">
      <c r="B17" s="58" t="s">
        <v>118</v>
      </c>
      <c r="C17" s="62" t="str">
        <f aca="false">IF(B17="","",IFERROR(INDEX(T_NOMBRE,MATCH(M17,T_RUTN,0)),"⚠ RUT no está en Trabajadores"))</f>
        <v>Ana Díaz (EJEMPLO)</v>
      </c>
      <c r="D17" s="58" t="s">
        <v>177</v>
      </c>
      <c r="E17" s="58" t="s">
        <v>201</v>
      </c>
      <c r="F17" s="59" t="n">
        <v>46266</v>
      </c>
      <c r="G17" s="59" t="n">
        <v>46387</v>
      </c>
      <c r="H17" s="60" t="n">
        <v>560000</v>
      </c>
      <c r="I17" s="58" t="s">
        <v>202</v>
      </c>
      <c r="J17" s="58" t="s">
        <v>203</v>
      </c>
      <c r="K17" s="58"/>
      <c r="L17" s="62" t="str">
        <f aca="false">IF(B17="","",IF(LEFT(C17,1)="⚠","⚠ Registre primero al trabajador en la hoja Trabajadores",IF(AND(N17="Sí",OR(E17="",NOT(ISNUMBER(F17)))),"⚠ Falta tipo de contrato o fecha de inicio",IF(NOT(ISNUMBER(F17)),"⚠ Falta fecha de inicio",IF(AND(N17="Sí",E17&lt;&gt;"Indefinido",NOT(ISNUMBER(G17))),"⚠ Falta fecha de término",IF(AND(D17="Paso a indefinido",E17&lt;&gt;"Indefinido"),"⚠ Un paso a indefinido debe tener tipo Indefinido",IF(N(Q17)&gt;=3,"⚠ 3er contrato a plazo fijo: por ley ya es INDEFINIDO (Art. 159 N°4)",IF(AND(E17="Plazo fijo",ISNUMBER(G17),(G17-F17+1)/30.4375&gt;12),"⚠ Plazo fijo mayor a 1 año (máximo legal)",IF(J17&lt;&gt;"Sí","Pendiente de firma","OK")))))))))</f>
        <v>Pendiente de firma</v>
      </c>
      <c r="M17" s="62" t="str">
        <f aca="false">IF(B17="","",IFERROR(VALUE(LEFT(UPPER(SUBSTITUTE(SUBSTITUTE(SUBSTITUTE(TRIM(B17),".",""),"-","")," ","")),LEN(UPPER(SUBSTITUTE(SUBSTITUTE(SUBSTITUTE(TRIM(B17),".",""),"-","")," ","")))-1))&amp;RIGHT(UPPER(SUBSTITUTE(SUBSTITUTE(SUBSTITUTE(TRIM(B17),".",""),"-","")," ","")),1),UPPER(SUBSTITUTE(SUBSTITUTE(SUBSTITUTE(TRIM(B17),".",""),"-","")," ",""))))</f>
        <v>555555555</v>
      </c>
      <c r="N17" s="62" t="str">
        <f aca="false">IF(B17="","",IF(D17="Anexo de modificación","No","Sí"))</f>
        <v>Sí</v>
      </c>
      <c r="O17" s="62" t="n">
        <f aca="false">IF(AND(N17="Sí",ISNUMBER(F17)),COUNTIFS(C_RUTN,M17,C_DEF,"Sí",C_INI,"&lt;"&amp;F17)+COUNTIFS(M$7:M17,M17,N$7:N17,"Sí",F$7:F17,F17),"")</f>
        <v>1</v>
      </c>
      <c r="P17" s="62" t="str">
        <f aca="false">IF(O17="","",M17&amp;"-P"&amp;O17)</f>
        <v>555555555-P1</v>
      </c>
      <c r="Q17" s="62" t="str">
        <f aca="false">IF(AND(N17="Sí",E17="Plazo fijo",ISNUMBER(F17)),COUNTIFS(C_RUTN,M17,C_TIPO,"Plazo fijo",C_DEF,"Sí",C_INI,"&lt;"&amp;F17)+COUNTIFS(M$7:M17,M17,E$7:E17,"Plazo fijo",N$7:N17,"Sí",F$7:F17,F17),"")</f>
        <v/>
      </c>
      <c r="R17" s="62" t="n">
        <f aca="false">IF(AND(B17&lt;&gt;"",ISNUMBER(H17),ISNUMBER(F17)),COUNTIFS(C_RUTN,M17,C_SUELDO,"&lt;&gt;",C_INI,"&lt;"&amp;F17)+COUNTIFS(M$7:M17,M17,H$7:H17,"&lt;&gt;",F$7:F17,F17),"")</f>
        <v>1</v>
      </c>
      <c r="S17" s="62" t="str">
        <f aca="false">IF(R17="","",M17&amp;"-S"&amp;R17)</f>
        <v>555555555-S1</v>
      </c>
    </row>
    <row r="18" customFormat="false" ht="15" hidden="false" customHeight="false" outlineLevel="0" collapsed="false">
      <c r="B18" s="58" t="s">
        <v>122</v>
      </c>
      <c r="C18" s="62" t="str">
        <f aca="false">IF(B18="","",IFERROR(INDEX(T_NOMBRE,MATCH(M18,T_RUTN,0)),"⚠ RUT no está en Trabajadores"))</f>
        <v>Luis Vega (EJEMPLO)</v>
      </c>
      <c r="D18" s="58" t="s">
        <v>177</v>
      </c>
      <c r="E18" s="58" t="s">
        <v>178</v>
      </c>
      <c r="F18" s="59" t="n">
        <v>45964</v>
      </c>
      <c r="G18" s="59" t="n">
        <v>46055</v>
      </c>
      <c r="H18" s="60" t="n">
        <v>540000</v>
      </c>
      <c r="I18" s="58" t="s">
        <v>124</v>
      </c>
      <c r="J18" s="58" t="s">
        <v>104</v>
      </c>
      <c r="K18" s="58" t="s">
        <v>204</v>
      </c>
      <c r="L18" s="62" t="str">
        <f aca="false">IF(B18="","",IF(LEFT(C18,1)="⚠","⚠ Registre primero al trabajador en la hoja Trabajadores",IF(AND(N18="Sí",OR(E18="",NOT(ISNUMBER(F18)))),"⚠ Falta tipo de contrato o fecha de inicio",IF(NOT(ISNUMBER(F18)),"⚠ Falta fecha de inicio",IF(AND(N18="Sí",E18&lt;&gt;"Indefinido",NOT(ISNUMBER(G18))),"⚠ Falta fecha de término",IF(AND(D18="Paso a indefinido",E18&lt;&gt;"Indefinido"),"⚠ Un paso a indefinido debe tener tipo Indefinido",IF(N(Q18)&gt;=3,"⚠ 3er contrato a plazo fijo: por ley ya es INDEFINIDO (Art. 159 N°4)",IF(AND(E18="Plazo fijo",ISNUMBER(G18),(G18-F18+1)/30.4375&gt;12),"⚠ Plazo fijo mayor a 1 año (máximo legal)",IF(J18&lt;&gt;"Sí","Pendiente de firma","OK")))))))))</f>
        <v>OK</v>
      </c>
      <c r="M18" s="62" t="str">
        <f aca="false">IF(B18="","",IFERROR(VALUE(LEFT(UPPER(SUBSTITUTE(SUBSTITUTE(SUBSTITUTE(TRIM(B18),".",""),"-","")," ","")),LEN(UPPER(SUBSTITUTE(SUBSTITUTE(SUBSTITUTE(TRIM(B18),".",""),"-","")," ","")))-1))&amp;RIGHT(UPPER(SUBSTITUTE(SUBSTITUTE(SUBSTITUTE(TRIM(B18),".",""),"-","")," ","")),1),UPPER(SUBSTITUTE(SUBSTITUTE(SUBSTITUTE(TRIM(B18),".",""),"-","")," ",""))))</f>
        <v>666666666</v>
      </c>
      <c r="N18" s="62" t="str">
        <f aca="false">IF(B18="","",IF(D18="Anexo de modificación","No","Sí"))</f>
        <v>Sí</v>
      </c>
      <c r="O18" s="62" t="n">
        <f aca="false">IF(AND(N18="Sí",ISNUMBER(F18)),COUNTIFS(C_RUTN,M18,C_DEF,"Sí",C_INI,"&lt;"&amp;F18)+COUNTIFS(M$7:M18,M18,N$7:N18,"Sí",F$7:F18,F18),"")</f>
        <v>1</v>
      </c>
      <c r="P18" s="62" t="str">
        <f aca="false">IF(O18="","",M18&amp;"-P"&amp;O18)</f>
        <v>666666666-P1</v>
      </c>
      <c r="Q18" s="62" t="n">
        <f aca="false">IF(AND(N18="Sí",E18="Plazo fijo",ISNUMBER(F18)),COUNTIFS(C_RUTN,M18,C_TIPO,"Plazo fijo",C_DEF,"Sí",C_INI,"&lt;"&amp;F18)+COUNTIFS(M$7:M18,M18,E$7:E18,"Plazo fijo",N$7:N18,"Sí",F$7:F18,F18),"")</f>
        <v>1</v>
      </c>
      <c r="R18" s="62" t="n">
        <f aca="false">IF(AND(B18&lt;&gt;"",ISNUMBER(H18),ISNUMBER(F18)),COUNTIFS(C_RUTN,M18,C_SUELDO,"&lt;&gt;",C_INI,"&lt;"&amp;F18)+COUNTIFS(M$7:M18,M18,H$7:H18,"&lt;&gt;",F$7:F18,F18),"")</f>
        <v>1</v>
      </c>
      <c r="S18" s="62" t="str">
        <f aca="false">IF(R18="","",M18&amp;"-S"&amp;R18)</f>
        <v>666666666-S1</v>
      </c>
    </row>
    <row r="19" customFormat="false" ht="15" hidden="false" customHeight="false" outlineLevel="0" collapsed="false">
      <c r="B19" s="58"/>
      <c r="C19" s="62" t="str">
        <f aca="false">IF(B19="","",IFERROR(INDEX(T_NOMBRE,MATCH(M19,T_RUTN,0)),"⚠ RUT no está en Trabajadores"))</f>
        <v/>
      </c>
      <c r="D19" s="58"/>
      <c r="E19" s="58"/>
      <c r="F19" s="59"/>
      <c r="G19" s="59"/>
      <c r="H19" s="60"/>
      <c r="I19" s="58"/>
      <c r="J19" s="58"/>
      <c r="K19" s="58"/>
      <c r="L19" s="62" t="str">
        <f aca="false">IF(B19="","",IF(LEFT(C19,1)="⚠","⚠ Registre primero al trabajador en la hoja Trabajadores",IF(AND(N19="Sí",OR(E19="",NOT(ISNUMBER(F19)))),"⚠ Falta tipo de contrato o fecha de inicio",IF(NOT(ISNUMBER(F19)),"⚠ Falta fecha de inicio",IF(AND(N19="Sí",E19&lt;&gt;"Indefinido",NOT(ISNUMBER(G19))),"⚠ Falta fecha de término",IF(AND(D19="Paso a indefinido",E19&lt;&gt;"Indefinido"),"⚠ Un paso a indefinido debe tener tipo Indefinido",IF(N(Q19)&gt;=3,"⚠ 3er contrato a plazo fijo: por ley ya es INDEFINIDO (Art. 159 N°4)",IF(AND(E19="Plazo fijo",ISNUMBER(G19),(G19-F19+1)/30.4375&gt;12),"⚠ Plazo fijo mayor a 1 año (máximo legal)",IF(J19&lt;&gt;"Sí","Pendiente de firma","OK")))))))))</f>
        <v/>
      </c>
      <c r="M19" s="62" t="str">
        <f aca="false">IF(B19="","",IFERROR(VALUE(LEFT(UPPER(SUBSTITUTE(SUBSTITUTE(SUBSTITUTE(TRIM(B19),".",""),"-","")," ","")),LEN(UPPER(SUBSTITUTE(SUBSTITUTE(SUBSTITUTE(TRIM(B19),".",""),"-","")," ","")))-1))&amp;RIGHT(UPPER(SUBSTITUTE(SUBSTITUTE(SUBSTITUTE(TRIM(B19),".",""),"-","")," ","")),1),UPPER(SUBSTITUTE(SUBSTITUTE(SUBSTITUTE(TRIM(B19),".",""),"-","")," ",""))))</f>
        <v/>
      </c>
      <c r="N19" s="62" t="str">
        <f aca="false">IF(B19="","",IF(D19="Anexo de modificación","No","Sí"))</f>
        <v/>
      </c>
      <c r="O19" s="62" t="str">
        <f aca="false">IF(AND(N19="Sí",ISNUMBER(F19)),COUNTIFS(C_RUTN,M19,C_DEF,"Sí",C_INI,"&lt;"&amp;F19)+COUNTIFS(M$7:M19,M19,N$7:N19,"Sí",F$7:F19,F19),"")</f>
        <v/>
      </c>
      <c r="P19" s="62" t="str">
        <f aca="false">IF(O19="","",M19&amp;"-P"&amp;O19)</f>
        <v/>
      </c>
      <c r="Q19" s="62" t="str">
        <f aca="false">IF(AND(N19="Sí",E19="Plazo fijo",ISNUMBER(F19)),COUNTIFS(C_RUTN,M19,C_TIPO,"Plazo fijo",C_DEF,"Sí",C_INI,"&lt;"&amp;F19)+COUNTIFS(M$7:M19,M19,E$7:E19,"Plazo fijo",N$7:N19,"Sí",F$7:F19,F19),"")</f>
        <v/>
      </c>
      <c r="R19" s="62" t="str">
        <f aca="false">IF(AND(B19&lt;&gt;"",ISNUMBER(H19),ISNUMBER(F19)),COUNTIFS(C_RUTN,M19,C_SUELDO,"&lt;&gt;",C_INI,"&lt;"&amp;F19)+COUNTIFS(M$7:M19,M19,H$7:H19,"&lt;&gt;",F$7:F19,F19),"")</f>
        <v/>
      </c>
      <c r="S19" s="62" t="str">
        <f aca="false">IF(R19="","",M19&amp;"-S"&amp;R19)</f>
        <v/>
      </c>
    </row>
    <row r="20" customFormat="false" ht="15" hidden="false" customHeight="false" outlineLevel="0" collapsed="false">
      <c r="B20" s="58"/>
      <c r="C20" s="62" t="str">
        <f aca="false">IF(B20="","",IFERROR(INDEX(T_NOMBRE,MATCH(M20,T_RUTN,0)),"⚠ RUT no está en Trabajadores"))</f>
        <v/>
      </c>
      <c r="D20" s="58"/>
      <c r="E20" s="58"/>
      <c r="F20" s="59"/>
      <c r="G20" s="59"/>
      <c r="H20" s="60"/>
      <c r="I20" s="58"/>
      <c r="J20" s="58"/>
      <c r="K20" s="58"/>
      <c r="L20" s="62" t="str">
        <f aca="false">IF(B20="","",IF(LEFT(C20,1)="⚠","⚠ Registre primero al trabajador en la hoja Trabajadores",IF(AND(N20="Sí",OR(E20="",NOT(ISNUMBER(F20)))),"⚠ Falta tipo de contrato o fecha de inicio",IF(NOT(ISNUMBER(F20)),"⚠ Falta fecha de inicio",IF(AND(N20="Sí",E20&lt;&gt;"Indefinido",NOT(ISNUMBER(G20))),"⚠ Falta fecha de término",IF(AND(D20="Paso a indefinido",E20&lt;&gt;"Indefinido"),"⚠ Un paso a indefinido debe tener tipo Indefinido",IF(N(Q20)&gt;=3,"⚠ 3er contrato a plazo fijo: por ley ya es INDEFINIDO (Art. 159 N°4)",IF(AND(E20="Plazo fijo",ISNUMBER(G20),(G20-F20+1)/30.4375&gt;12),"⚠ Plazo fijo mayor a 1 año (máximo legal)",IF(J20&lt;&gt;"Sí","Pendiente de firma","OK")))))))))</f>
        <v/>
      </c>
      <c r="M20" s="62" t="str">
        <f aca="false">IF(B20="","",IFERROR(VALUE(LEFT(UPPER(SUBSTITUTE(SUBSTITUTE(SUBSTITUTE(TRIM(B20),".",""),"-","")," ","")),LEN(UPPER(SUBSTITUTE(SUBSTITUTE(SUBSTITUTE(TRIM(B20),".",""),"-","")," ","")))-1))&amp;RIGHT(UPPER(SUBSTITUTE(SUBSTITUTE(SUBSTITUTE(TRIM(B20),".",""),"-","")," ","")),1),UPPER(SUBSTITUTE(SUBSTITUTE(SUBSTITUTE(TRIM(B20),".",""),"-","")," ",""))))</f>
        <v/>
      </c>
      <c r="N20" s="62" t="str">
        <f aca="false">IF(B20="","",IF(D20="Anexo de modificación","No","Sí"))</f>
        <v/>
      </c>
      <c r="O20" s="62" t="str">
        <f aca="false">IF(AND(N20="Sí",ISNUMBER(F20)),COUNTIFS(C_RUTN,M20,C_DEF,"Sí",C_INI,"&lt;"&amp;F20)+COUNTIFS(M$7:M20,M20,N$7:N20,"Sí",F$7:F20,F20),"")</f>
        <v/>
      </c>
      <c r="P20" s="62" t="str">
        <f aca="false">IF(O20="","",M20&amp;"-P"&amp;O20)</f>
        <v/>
      </c>
      <c r="Q20" s="62" t="str">
        <f aca="false">IF(AND(N20="Sí",E20="Plazo fijo",ISNUMBER(F20)),COUNTIFS(C_RUTN,M20,C_TIPO,"Plazo fijo",C_DEF,"Sí",C_INI,"&lt;"&amp;F20)+COUNTIFS(M$7:M20,M20,E$7:E20,"Plazo fijo",N$7:N20,"Sí",F$7:F20,F20),"")</f>
        <v/>
      </c>
      <c r="R20" s="62" t="str">
        <f aca="false">IF(AND(B20&lt;&gt;"",ISNUMBER(H20),ISNUMBER(F20)),COUNTIFS(C_RUTN,M20,C_SUELDO,"&lt;&gt;",C_INI,"&lt;"&amp;F20)+COUNTIFS(M$7:M20,M20,H$7:H20,"&lt;&gt;",F$7:F20,F20),"")</f>
        <v/>
      </c>
      <c r="S20" s="62" t="str">
        <f aca="false">IF(R20="","",M20&amp;"-S"&amp;R20)</f>
        <v/>
      </c>
    </row>
    <row r="21" customFormat="false" ht="15" hidden="false" customHeight="false" outlineLevel="0" collapsed="false">
      <c r="B21" s="58"/>
      <c r="C21" s="62" t="str">
        <f aca="false">IF(B21="","",IFERROR(INDEX(T_NOMBRE,MATCH(M21,T_RUTN,0)),"⚠ RUT no está en Trabajadores"))</f>
        <v/>
      </c>
      <c r="D21" s="58"/>
      <c r="E21" s="58"/>
      <c r="F21" s="59"/>
      <c r="G21" s="59"/>
      <c r="H21" s="60"/>
      <c r="I21" s="58"/>
      <c r="J21" s="58"/>
      <c r="K21" s="58"/>
      <c r="L21" s="62" t="str">
        <f aca="false">IF(B21="","",IF(LEFT(C21,1)="⚠","⚠ Registre primero al trabajador en la hoja Trabajadores",IF(AND(N21="Sí",OR(E21="",NOT(ISNUMBER(F21)))),"⚠ Falta tipo de contrato o fecha de inicio",IF(NOT(ISNUMBER(F21)),"⚠ Falta fecha de inicio",IF(AND(N21="Sí",E21&lt;&gt;"Indefinido",NOT(ISNUMBER(G21))),"⚠ Falta fecha de término",IF(AND(D21="Paso a indefinido",E21&lt;&gt;"Indefinido"),"⚠ Un paso a indefinido debe tener tipo Indefinido",IF(N(Q21)&gt;=3,"⚠ 3er contrato a plazo fijo: por ley ya es INDEFINIDO (Art. 159 N°4)",IF(AND(E21="Plazo fijo",ISNUMBER(G21),(G21-F21+1)/30.4375&gt;12),"⚠ Plazo fijo mayor a 1 año (máximo legal)",IF(J21&lt;&gt;"Sí","Pendiente de firma","OK")))))))))</f>
        <v/>
      </c>
      <c r="M21" s="62" t="str">
        <f aca="false">IF(B21="","",IFERROR(VALUE(LEFT(UPPER(SUBSTITUTE(SUBSTITUTE(SUBSTITUTE(TRIM(B21),".",""),"-","")," ","")),LEN(UPPER(SUBSTITUTE(SUBSTITUTE(SUBSTITUTE(TRIM(B21),".",""),"-","")," ","")))-1))&amp;RIGHT(UPPER(SUBSTITUTE(SUBSTITUTE(SUBSTITUTE(TRIM(B21),".",""),"-","")," ","")),1),UPPER(SUBSTITUTE(SUBSTITUTE(SUBSTITUTE(TRIM(B21),".",""),"-","")," ",""))))</f>
        <v/>
      </c>
      <c r="N21" s="62" t="str">
        <f aca="false">IF(B21="","",IF(D21="Anexo de modificación","No","Sí"))</f>
        <v/>
      </c>
      <c r="O21" s="62" t="str">
        <f aca="false">IF(AND(N21="Sí",ISNUMBER(F21)),COUNTIFS(C_RUTN,M21,C_DEF,"Sí",C_INI,"&lt;"&amp;F21)+COUNTIFS(M$7:M21,M21,N$7:N21,"Sí",F$7:F21,F21),"")</f>
        <v/>
      </c>
      <c r="P21" s="62" t="str">
        <f aca="false">IF(O21="","",M21&amp;"-P"&amp;O21)</f>
        <v/>
      </c>
      <c r="Q21" s="62" t="str">
        <f aca="false">IF(AND(N21="Sí",E21="Plazo fijo",ISNUMBER(F21)),COUNTIFS(C_RUTN,M21,C_TIPO,"Plazo fijo",C_DEF,"Sí",C_INI,"&lt;"&amp;F21)+COUNTIFS(M$7:M21,M21,E$7:E21,"Plazo fijo",N$7:N21,"Sí",F$7:F21,F21),"")</f>
        <v/>
      </c>
      <c r="R21" s="62" t="str">
        <f aca="false">IF(AND(B21&lt;&gt;"",ISNUMBER(H21),ISNUMBER(F21)),COUNTIFS(C_RUTN,M21,C_SUELDO,"&lt;&gt;",C_INI,"&lt;"&amp;F21)+COUNTIFS(M$7:M21,M21,H$7:H21,"&lt;&gt;",F$7:F21,F21),"")</f>
        <v/>
      </c>
      <c r="S21" s="62" t="str">
        <f aca="false">IF(R21="","",M21&amp;"-S"&amp;R21)</f>
        <v/>
      </c>
    </row>
    <row r="22" customFormat="false" ht="15" hidden="false" customHeight="false" outlineLevel="0" collapsed="false">
      <c r="B22" s="58"/>
      <c r="C22" s="62" t="str">
        <f aca="false">IF(B22="","",IFERROR(INDEX(T_NOMBRE,MATCH(M22,T_RUTN,0)),"⚠ RUT no está en Trabajadores"))</f>
        <v/>
      </c>
      <c r="D22" s="58"/>
      <c r="E22" s="58"/>
      <c r="F22" s="59"/>
      <c r="G22" s="59"/>
      <c r="H22" s="60"/>
      <c r="I22" s="58"/>
      <c r="J22" s="58"/>
      <c r="K22" s="58"/>
      <c r="L22" s="62" t="str">
        <f aca="false">IF(B22="","",IF(LEFT(C22,1)="⚠","⚠ Registre primero al trabajador en la hoja Trabajadores",IF(AND(N22="Sí",OR(E22="",NOT(ISNUMBER(F22)))),"⚠ Falta tipo de contrato o fecha de inicio",IF(NOT(ISNUMBER(F22)),"⚠ Falta fecha de inicio",IF(AND(N22="Sí",E22&lt;&gt;"Indefinido",NOT(ISNUMBER(G22))),"⚠ Falta fecha de término",IF(AND(D22="Paso a indefinido",E22&lt;&gt;"Indefinido"),"⚠ Un paso a indefinido debe tener tipo Indefinido",IF(N(Q22)&gt;=3,"⚠ 3er contrato a plazo fijo: por ley ya es INDEFINIDO (Art. 159 N°4)",IF(AND(E22="Plazo fijo",ISNUMBER(G22),(G22-F22+1)/30.4375&gt;12),"⚠ Plazo fijo mayor a 1 año (máximo legal)",IF(J22&lt;&gt;"Sí","Pendiente de firma","OK")))))))))</f>
        <v/>
      </c>
      <c r="M22" s="62" t="str">
        <f aca="false">IF(B22="","",IFERROR(VALUE(LEFT(UPPER(SUBSTITUTE(SUBSTITUTE(SUBSTITUTE(TRIM(B22),".",""),"-","")," ","")),LEN(UPPER(SUBSTITUTE(SUBSTITUTE(SUBSTITUTE(TRIM(B22),".",""),"-","")," ","")))-1))&amp;RIGHT(UPPER(SUBSTITUTE(SUBSTITUTE(SUBSTITUTE(TRIM(B22),".",""),"-","")," ","")),1),UPPER(SUBSTITUTE(SUBSTITUTE(SUBSTITUTE(TRIM(B22),".",""),"-","")," ",""))))</f>
        <v/>
      </c>
      <c r="N22" s="62" t="str">
        <f aca="false">IF(B22="","",IF(D22="Anexo de modificación","No","Sí"))</f>
        <v/>
      </c>
      <c r="O22" s="62" t="str">
        <f aca="false">IF(AND(N22="Sí",ISNUMBER(F22)),COUNTIFS(C_RUTN,M22,C_DEF,"Sí",C_INI,"&lt;"&amp;F22)+COUNTIFS(M$7:M22,M22,N$7:N22,"Sí",F$7:F22,F22),"")</f>
        <v/>
      </c>
      <c r="P22" s="62" t="str">
        <f aca="false">IF(O22="","",M22&amp;"-P"&amp;O22)</f>
        <v/>
      </c>
      <c r="Q22" s="62" t="str">
        <f aca="false">IF(AND(N22="Sí",E22="Plazo fijo",ISNUMBER(F22)),COUNTIFS(C_RUTN,M22,C_TIPO,"Plazo fijo",C_DEF,"Sí",C_INI,"&lt;"&amp;F22)+COUNTIFS(M$7:M22,M22,E$7:E22,"Plazo fijo",N$7:N22,"Sí",F$7:F22,F22),"")</f>
        <v/>
      </c>
      <c r="R22" s="62" t="str">
        <f aca="false">IF(AND(B22&lt;&gt;"",ISNUMBER(H22),ISNUMBER(F22)),COUNTIFS(C_RUTN,M22,C_SUELDO,"&lt;&gt;",C_INI,"&lt;"&amp;F22)+COUNTIFS(M$7:M22,M22,H$7:H22,"&lt;&gt;",F$7:F22,F22),"")</f>
        <v/>
      </c>
      <c r="S22" s="62" t="str">
        <f aca="false">IF(R22="","",M22&amp;"-S"&amp;R22)</f>
        <v/>
      </c>
    </row>
    <row r="23" customFormat="false" ht="15" hidden="false" customHeight="false" outlineLevel="0" collapsed="false">
      <c r="B23" s="58"/>
      <c r="C23" s="62" t="str">
        <f aca="false">IF(B23="","",IFERROR(INDEX(T_NOMBRE,MATCH(M23,T_RUTN,0)),"⚠ RUT no está en Trabajadores"))</f>
        <v/>
      </c>
      <c r="D23" s="58"/>
      <c r="E23" s="58"/>
      <c r="F23" s="59"/>
      <c r="G23" s="59"/>
      <c r="H23" s="60"/>
      <c r="I23" s="58"/>
      <c r="J23" s="58"/>
      <c r="K23" s="58"/>
      <c r="L23" s="62" t="str">
        <f aca="false">IF(B23="","",IF(LEFT(C23,1)="⚠","⚠ Registre primero al trabajador en la hoja Trabajadores",IF(AND(N23="Sí",OR(E23="",NOT(ISNUMBER(F23)))),"⚠ Falta tipo de contrato o fecha de inicio",IF(NOT(ISNUMBER(F23)),"⚠ Falta fecha de inicio",IF(AND(N23="Sí",E23&lt;&gt;"Indefinido",NOT(ISNUMBER(G23))),"⚠ Falta fecha de término",IF(AND(D23="Paso a indefinido",E23&lt;&gt;"Indefinido"),"⚠ Un paso a indefinido debe tener tipo Indefinido",IF(N(Q23)&gt;=3,"⚠ 3er contrato a plazo fijo: por ley ya es INDEFINIDO (Art. 159 N°4)",IF(AND(E23="Plazo fijo",ISNUMBER(G23),(G23-F23+1)/30.4375&gt;12),"⚠ Plazo fijo mayor a 1 año (máximo legal)",IF(J23&lt;&gt;"Sí","Pendiente de firma","OK")))))))))</f>
        <v/>
      </c>
      <c r="M23" s="62" t="str">
        <f aca="false">IF(B23="","",IFERROR(VALUE(LEFT(UPPER(SUBSTITUTE(SUBSTITUTE(SUBSTITUTE(TRIM(B23),".",""),"-","")," ","")),LEN(UPPER(SUBSTITUTE(SUBSTITUTE(SUBSTITUTE(TRIM(B23),".",""),"-","")," ","")))-1))&amp;RIGHT(UPPER(SUBSTITUTE(SUBSTITUTE(SUBSTITUTE(TRIM(B23),".",""),"-","")," ","")),1),UPPER(SUBSTITUTE(SUBSTITUTE(SUBSTITUTE(TRIM(B23),".",""),"-","")," ",""))))</f>
        <v/>
      </c>
      <c r="N23" s="62" t="str">
        <f aca="false">IF(B23="","",IF(D23="Anexo de modificación","No","Sí"))</f>
        <v/>
      </c>
      <c r="O23" s="62" t="str">
        <f aca="false">IF(AND(N23="Sí",ISNUMBER(F23)),COUNTIFS(C_RUTN,M23,C_DEF,"Sí",C_INI,"&lt;"&amp;F23)+COUNTIFS(M$7:M23,M23,N$7:N23,"Sí",F$7:F23,F23),"")</f>
        <v/>
      </c>
      <c r="P23" s="62" t="str">
        <f aca="false">IF(O23="","",M23&amp;"-P"&amp;O23)</f>
        <v/>
      </c>
      <c r="Q23" s="62" t="str">
        <f aca="false">IF(AND(N23="Sí",E23="Plazo fijo",ISNUMBER(F23)),COUNTIFS(C_RUTN,M23,C_TIPO,"Plazo fijo",C_DEF,"Sí",C_INI,"&lt;"&amp;F23)+COUNTIFS(M$7:M23,M23,E$7:E23,"Plazo fijo",N$7:N23,"Sí",F$7:F23,F23),"")</f>
        <v/>
      </c>
      <c r="R23" s="62" t="str">
        <f aca="false">IF(AND(B23&lt;&gt;"",ISNUMBER(H23),ISNUMBER(F23)),COUNTIFS(C_RUTN,M23,C_SUELDO,"&lt;&gt;",C_INI,"&lt;"&amp;F23)+COUNTIFS(M$7:M23,M23,H$7:H23,"&lt;&gt;",F$7:F23,F23),"")</f>
        <v/>
      </c>
      <c r="S23" s="62" t="str">
        <f aca="false">IF(R23="","",M23&amp;"-S"&amp;R23)</f>
        <v/>
      </c>
    </row>
    <row r="24" customFormat="false" ht="15" hidden="false" customHeight="false" outlineLevel="0" collapsed="false">
      <c r="B24" s="58"/>
      <c r="C24" s="62" t="str">
        <f aca="false">IF(B24="","",IFERROR(INDEX(T_NOMBRE,MATCH(M24,T_RUTN,0)),"⚠ RUT no está en Trabajadores"))</f>
        <v/>
      </c>
      <c r="D24" s="58"/>
      <c r="E24" s="58"/>
      <c r="F24" s="59"/>
      <c r="G24" s="59"/>
      <c r="H24" s="60"/>
      <c r="I24" s="58"/>
      <c r="J24" s="58"/>
      <c r="K24" s="58"/>
      <c r="L24" s="62" t="str">
        <f aca="false">IF(B24="","",IF(LEFT(C24,1)="⚠","⚠ Registre primero al trabajador en la hoja Trabajadores",IF(AND(N24="Sí",OR(E24="",NOT(ISNUMBER(F24)))),"⚠ Falta tipo de contrato o fecha de inicio",IF(NOT(ISNUMBER(F24)),"⚠ Falta fecha de inicio",IF(AND(N24="Sí",E24&lt;&gt;"Indefinido",NOT(ISNUMBER(G24))),"⚠ Falta fecha de término",IF(AND(D24="Paso a indefinido",E24&lt;&gt;"Indefinido"),"⚠ Un paso a indefinido debe tener tipo Indefinido",IF(N(Q24)&gt;=3,"⚠ 3er contrato a plazo fijo: por ley ya es INDEFINIDO (Art. 159 N°4)",IF(AND(E24="Plazo fijo",ISNUMBER(G24),(G24-F24+1)/30.4375&gt;12),"⚠ Plazo fijo mayor a 1 año (máximo legal)",IF(J24&lt;&gt;"Sí","Pendiente de firma","OK")))))))))</f>
        <v/>
      </c>
      <c r="M24" s="62" t="str">
        <f aca="false">IF(B24="","",IFERROR(VALUE(LEFT(UPPER(SUBSTITUTE(SUBSTITUTE(SUBSTITUTE(TRIM(B24),".",""),"-","")," ","")),LEN(UPPER(SUBSTITUTE(SUBSTITUTE(SUBSTITUTE(TRIM(B24),".",""),"-","")," ","")))-1))&amp;RIGHT(UPPER(SUBSTITUTE(SUBSTITUTE(SUBSTITUTE(TRIM(B24),".",""),"-","")," ","")),1),UPPER(SUBSTITUTE(SUBSTITUTE(SUBSTITUTE(TRIM(B24),".",""),"-","")," ",""))))</f>
        <v/>
      </c>
      <c r="N24" s="62" t="str">
        <f aca="false">IF(B24="","",IF(D24="Anexo de modificación","No","Sí"))</f>
        <v/>
      </c>
      <c r="O24" s="62" t="str">
        <f aca="false">IF(AND(N24="Sí",ISNUMBER(F24)),COUNTIFS(C_RUTN,M24,C_DEF,"Sí",C_INI,"&lt;"&amp;F24)+COUNTIFS(M$7:M24,M24,N$7:N24,"Sí",F$7:F24,F24),"")</f>
        <v/>
      </c>
      <c r="P24" s="62" t="str">
        <f aca="false">IF(O24="","",M24&amp;"-P"&amp;O24)</f>
        <v/>
      </c>
      <c r="Q24" s="62" t="str">
        <f aca="false">IF(AND(N24="Sí",E24="Plazo fijo",ISNUMBER(F24)),COUNTIFS(C_RUTN,M24,C_TIPO,"Plazo fijo",C_DEF,"Sí",C_INI,"&lt;"&amp;F24)+COUNTIFS(M$7:M24,M24,E$7:E24,"Plazo fijo",N$7:N24,"Sí",F$7:F24,F24),"")</f>
        <v/>
      </c>
      <c r="R24" s="62" t="str">
        <f aca="false">IF(AND(B24&lt;&gt;"",ISNUMBER(H24),ISNUMBER(F24)),COUNTIFS(C_RUTN,M24,C_SUELDO,"&lt;&gt;",C_INI,"&lt;"&amp;F24)+COUNTIFS(M$7:M24,M24,H$7:H24,"&lt;&gt;",F$7:F24,F24),"")</f>
        <v/>
      </c>
      <c r="S24" s="62" t="str">
        <f aca="false">IF(R24="","",M24&amp;"-S"&amp;R24)</f>
        <v/>
      </c>
    </row>
    <row r="25" customFormat="false" ht="15" hidden="false" customHeight="false" outlineLevel="0" collapsed="false">
      <c r="B25" s="58"/>
      <c r="C25" s="62" t="str">
        <f aca="false">IF(B25="","",IFERROR(INDEX(T_NOMBRE,MATCH(M25,T_RUTN,0)),"⚠ RUT no está en Trabajadores"))</f>
        <v/>
      </c>
      <c r="D25" s="58"/>
      <c r="E25" s="58"/>
      <c r="F25" s="59"/>
      <c r="G25" s="59"/>
      <c r="H25" s="60"/>
      <c r="I25" s="58"/>
      <c r="J25" s="58"/>
      <c r="K25" s="58"/>
      <c r="L25" s="62" t="str">
        <f aca="false">IF(B25="","",IF(LEFT(C25,1)="⚠","⚠ Registre primero al trabajador en la hoja Trabajadores",IF(AND(N25="Sí",OR(E25="",NOT(ISNUMBER(F25)))),"⚠ Falta tipo de contrato o fecha de inicio",IF(NOT(ISNUMBER(F25)),"⚠ Falta fecha de inicio",IF(AND(N25="Sí",E25&lt;&gt;"Indefinido",NOT(ISNUMBER(G25))),"⚠ Falta fecha de término",IF(AND(D25="Paso a indefinido",E25&lt;&gt;"Indefinido"),"⚠ Un paso a indefinido debe tener tipo Indefinido",IF(N(Q25)&gt;=3,"⚠ 3er contrato a plazo fijo: por ley ya es INDEFINIDO (Art. 159 N°4)",IF(AND(E25="Plazo fijo",ISNUMBER(G25),(G25-F25+1)/30.4375&gt;12),"⚠ Plazo fijo mayor a 1 año (máximo legal)",IF(J25&lt;&gt;"Sí","Pendiente de firma","OK")))))))))</f>
        <v/>
      </c>
      <c r="M25" s="62" t="str">
        <f aca="false">IF(B25="","",IFERROR(VALUE(LEFT(UPPER(SUBSTITUTE(SUBSTITUTE(SUBSTITUTE(TRIM(B25),".",""),"-","")," ","")),LEN(UPPER(SUBSTITUTE(SUBSTITUTE(SUBSTITUTE(TRIM(B25),".",""),"-","")," ","")))-1))&amp;RIGHT(UPPER(SUBSTITUTE(SUBSTITUTE(SUBSTITUTE(TRIM(B25),".",""),"-","")," ","")),1),UPPER(SUBSTITUTE(SUBSTITUTE(SUBSTITUTE(TRIM(B25),".",""),"-","")," ",""))))</f>
        <v/>
      </c>
      <c r="N25" s="62" t="str">
        <f aca="false">IF(B25="","",IF(D25="Anexo de modificación","No","Sí"))</f>
        <v/>
      </c>
      <c r="O25" s="62" t="str">
        <f aca="false">IF(AND(N25="Sí",ISNUMBER(F25)),COUNTIFS(C_RUTN,M25,C_DEF,"Sí",C_INI,"&lt;"&amp;F25)+COUNTIFS(M$7:M25,M25,N$7:N25,"Sí",F$7:F25,F25),"")</f>
        <v/>
      </c>
      <c r="P25" s="62" t="str">
        <f aca="false">IF(O25="","",M25&amp;"-P"&amp;O25)</f>
        <v/>
      </c>
      <c r="Q25" s="62" t="str">
        <f aca="false">IF(AND(N25="Sí",E25="Plazo fijo",ISNUMBER(F25)),COUNTIFS(C_RUTN,M25,C_TIPO,"Plazo fijo",C_DEF,"Sí",C_INI,"&lt;"&amp;F25)+COUNTIFS(M$7:M25,M25,E$7:E25,"Plazo fijo",N$7:N25,"Sí",F$7:F25,F25),"")</f>
        <v/>
      </c>
      <c r="R25" s="62" t="str">
        <f aca="false">IF(AND(B25&lt;&gt;"",ISNUMBER(H25),ISNUMBER(F25)),COUNTIFS(C_RUTN,M25,C_SUELDO,"&lt;&gt;",C_INI,"&lt;"&amp;F25)+COUNTIFS(M$7:M25,M25,H$7:H25,"&lt;&gt;",F$7:F25,F25),"")</f>
        <v/>
      </c>
      <c r="S25" s="62" t="str">
        <f aca="false">IF(R25="","",M25&amp;"-S"&amp;R25)</f>
        <v/>
      </c>
    </row>
    <row r="26" customFormat="false" ht="15" hidden="false" customHeight="false" outlineLevel="0" collapsed="false">
      <c r="B26" s="58"/>
      <c r="C26" s="62" t="str">
        <f aca="false">IF(B26="","",IFERROR(INDEX(T_NOMBRE,MATCH(M26,T_RUTN,0)),"⚠ RUT no está en Trabajadores"))</f>
        <v/>
      </c>
      <c r="D26" s="58"/>
      <c r="E26" s="58"/>
      <c r="F26" s="59"/>
      <c r="G26" s="59"/>
      <c r="H26" s="60"/>
      <c r="I26" s="58"/>
      <c r="J26" s="58"/>
      <c r="K26" s="58"/>
      <c r="L26" s="62" t="str">
        <f aca="false">IF(B26="","",IF(LEFT(C26,1)="⚠","⚠ Registre primero al trabajador en la hoja Trabajadores",IF(AND(N26="Sí",OR(E26="",NOT(ISNUMBER(F26)))),"⚠ Falta tipo de contrato o fecha de inicio",IF(NOT(ISNUMBER(F26)),"⚠ Falta fecha de inicio",IF(AND(N26="Sí",E26&lt;&gt;"Indefinido",NOT(ISNUMBER(G26))),"⚠ Falta fecha de término",IF(AND(D26="Paso a indefinido",E26&lt;&gt;"Indefinido"),"⚠ Un paso a indefinido debe tener tipo Indefinido",IF(N(Q26)&gt;=3,"⚠ 3er contrato a plazo fijo: por ley ya es INDEFINIDO (Art. 159 N°4)",IF(AND(E26="Plazo fijo",ISNUMBER(G26),(G26-F26+1)/30.4375&gt;12),"⚠ Plazo fijo mayor a 1 año (máximo legal)",IF(J26&lt;&gt;"Sí","Pendiente de firma","OK")))))))))</f>
        <v/>
      </c>
      <c r="M26" s="62" t="str">
        <f aca="false">IF(B26="","",IFERROR(VALUE(LEFT(UPPER(SUBSTITUTE(SUBSTITUTE(SUBSTITUTE(TRIM(B26),".",""),"-","")," ","")),LEN(UPPER(SUBSTITUTE(SUBSTITUTE(SUBSTITUTE(TRIM(B26),".",""),"-","")," ","")))-1))&amp;RIGHT(UPPER(SUBSTITUTE(SUBSTITUTE(SUBSTITUTE(TRIM(B26),".",""),"-","")," ","")),1),UPPER(SUBSTITUTE(SUBSTITUTE(SUBSTITUTE(TRIM(B26),".",""),"-","")," ",""))))</f>
        <v/>
      </c>
      <c r="N26" s="62" t="str">
        <f aca="false">IF(B26="","",IF(D26="Anexo de modificación","No","Sí"))</f>
        <v/>
      </c>
      <c r="O26" s="62" t="str">
        <f aca="false">IF(AND(N26="Sí",ISNUMBER(F26)),COUNTIFS(C_RUTN,M26,C_DEF,"Sí",C_INI,"&lt;"&amp;F26)+COUNTIFS(M$7:M26,M26,N$7:N26,"Sí",F$7:F26,F26),"")</f>
        <v/>
      </c>
      <c r="P26" s="62" t="str">
        <f aca="false">IF(O26="","",M26&amp;"-P"&amp;O26)</f>
        <v/>
      </c>
      <c r="Q26" s="62" t="str">
        <f aca="false">IF(AND(N26="Sí",E26="Plazo fijo",ISNUMBER(F26)),COUNTIFS(C_RUTN,M26,C_TIPO,"Plazo fijo",C_DEF,"Sí",C_INI,"&lt;"&amp;F26)+COUNTIFS(M$7:M26,M26,E$7:E26,"Plazo fijo",N$7:N26,"Sí",F$7:F26,F26),"")</f>
        <v/>
      </c>
      <c r="R26" s="62" t="str">
        <f aca="false">IF(AND(B26&lt;&gt;"",ISNUMBER(H26),ISNUMBER(F26)),COUNTIFS(C_RUTN,M26,C_SUELDO,"&lt;&gt;",C_INI,"&lt;"&amp;F26)+COUNTIFS(M$7:M26,M26,H$7:H26,"&lt;&gt;",F$7:F26,F26),"")</f>
        <v/>
      </c>
      <c r="S26" s="62" t="str">
        <f aca="false">IF(R26="","",M26&amp;"-S"&amp;R26)</f>
        <v/>
      </c>
    </row>
    <row r="27" customFormat="false" ht="15" hidden="false" customHeight="false" outlineLevel="0" collapsed="false">
      <c r="B27" s="58"/>
      <c r="C27" s="62" t="str">
        <f aca="false">IF(B27="","",IFERROR(INDEX(T_NOMBRE,MATCH(M27,T_RUTN,0)),"⚠ RUT no está en Trabajadores"))</f>
        <v/>
      </c>
      <c r="D27" s="58"/>
      <c r="E27" s="58"/>
      <c r="F27" s="59"/>
      <c r="G27" s="59"/>
      <c r="H27" s="60"/>
      <c r="I27" s="58"/>
      <c r="J27" s="58"/>
      <c r="K27" s="58"/>
      <c r="L27" s="62" t="str">
        <f aca="false">IF(B27="","",IF(LEFT(C27,1)="⚠","⚠ Registre primero al trabajador en la hoja Trabajadores",IF(AND(N27="Sí",OR(E27="",NOT(ISNUMBER(F27)))),"⚠ Falta tipo de contrato o fecha de inicio",IF(NOT(ISNUMBER(F27)),"⚠ Falta fecha de inicio",IF(AND(N27="Sí",E27&lt;&gt;"Indefinido",NOT(ISNUMBER(G27))),"⚠ Falta fecha de término",IF(AND(D27="Paso a indefinido",E27&lt;&gt;"Indefinido"),"⚠ Un paso a indefinido debe tener tipo Indefinido",IF(N(Q27)&gt;=3,"⚠ 3er contrato a plazo fijo: por ley ya es INDEFINIDO (Art. 159 N°4)",IF(AND(E27="Plazo fijo",ISNUMBER(G27),(G27-F27+1)/30.4375&gt;12),"⚠ Plazo fijo mayor a 1 año (máximo legal)",IF(J27&lt;&gt;"Sí","Pendiente de firma","OK")))))))))</f>
        <v/>
      </c>
      <c r="M27" s="62" t="str">
        <f aca="false">IF(B27="","",IFERROR(VALUE(LEFT(UPPER(SUBSTITUTE(SUBSTITUTE(SUBSTITUTE(TRIM(B27),".",""),"-","")," ","")),LEN(UPPER(SUBSTITUTE(SUBSTITUTE(SUBSTITUTE(TRIM(B27),".",""),"-","")," ","")))-1))&amp;RIGHT(UPPER(SUBSTITUTE(SUBSTITUTE(SUBSTITUTE(TRIM(B27),".",""),"-","")," ","")),1),UPPER(SUBSTITUTE(SUBSTITUTE(SUBSTITUTE(TRIM(B27),".",""),"-","")," ",""))))</f>
        <v/>
      </c>
      <c r="N27" s="62" t="str">
        <f aca="false">IF(B27="","",IF(D27="Anexo de modificación","No","Sí"))</f>
        <v/>
      </c>
      <c r="O27" s="62" t="str">
        <f aca="false">IF(AND(N27="Sí",ISNUMBER(F27)),COUNTIFS(C_RUTN,M27,C_DEF,"Sí",C_INI,"&lt;"&amp;F27)+COUNTIFS(M$7:M27,M27,N$7:N27,"Sí",F$7:F27,F27),"")</f>
        <v/>
      </c>
      <c r="P27" s="62" t="str">
        <f aca="false">IF(O27="","",M27&amp;"-P"&amp;O27)</f>
        <v/>
      </c>
      <c r="Q27" s="62" t="str">
        <f aca="false">IF(AND(N27="Sí",E27="Plazo fijo",ISNUMBER(F27)),COUNTIFS(C_RUTN,M27,C_TIPO,"Plazo fijo",C_DEF,"Sí",C_INI,"&lt;"&amp;F27)+COUNTIFS(M$7:M27,M27,E$7:E27,"Plazo fijo",N$7:N27,"Sí",F$7:F27,F27),"")</f>
        <v/>
      </c>
      <c r="R27" s="62" t="str">
        <f aca="false">IF(AND(B27&lt;&gt;"",ISNUMBER(H27),ISNUMBER(F27)),COUNTIFS(C_RUTN,M27,C_SUELDO,"&lt;&gt;",C_INI,"&lt;"&amp;F27)+COUNTIFS(M$7:M27,M27,H$7:H27,"&lt;&gt;",F$7:F27,F27),"")</f>
        <v/>
      </c>
      <c r="S27" s="62" t="str">
        <f aca="false">IF(R27="","",M27&amp;"-S"&amp;R27)</f>
        <v/>
      </c>
    </row>
    <row r="28" customFormat="false" ht="15" hidden="false" customHeight="false" outlineLevel="0" collapsed="false">
      <c r="B28" s="58"/>
      <c r="C28" s="62" t="str">
        <f aca="false">IF(B28="","",IFERROR(INDEX(T_NOMBRE,MATCH(M28,T_RUTN,0)),"⚠ RUT no está en Trabajadores"))</f>
        <v/>
      </c>
      <c r="D28" s="58"/>
      <c r="E28" s="58"/>
      <c r="F28" s="59"/>
      <c r="G28" s="59"/>
      <c r="H28" s="60"/>
      <c r="I28" s="58"/>
      <c r="J28" s="58"/>
      <c r="K28" s="58"/>
      <c r="L28" s="62" t="str">
        <f aca="false">IF(B28="","",IF(LEFT(C28,1)="⚠","⚠ Registre primero al trabajador en la hoja Trabajadores",IF(AND(N28="Sí",OR(E28="",NOT(ISNUMBER(F28)))),"⚠ Falta tipo de contrato o fecha de inicio",IF(NOT(ISNUMBER(F28)),"⚠ Falta fecha de inicio",IF(AND(N28="Sí",E28&lt;&gt;"Indefinido",NOT(ISNUMBER(G28))),"⚠ Falta fecha de término",IF(AND(D28="Paso a indefinido",E28&lt;&gt;"Indefinido"),"⚠ Un paso a indefinido debe tener tipo Indefinido",IF(N(Q28)&gt;=3,"⚠ 3er contrato a plazo fijo: por ley ya es INDEFINIDO (Art. 159 N°4)",IF(AND(E28="Plazo fijo",ISNUMBER(G28),(G28-F28+1)/30.4375&gt;12),"⚠ Plazo fijo mayor a 1 año (máximo legal)",IF(J28&lt;&gt;"Sí","Pendiente de firma","OK")))))))))</f>
        <v/>
      </c>
      <c r="M28" s="62" t="str">
        <f aca="false">IF(B28="","",IFERROR(VALUE(LEFT(UPPER(SUBSTITUTE(SUBSTITUTE(SUBSTITUTE(TRIM(B28),".",""),"-","")," ","")),LEN(UPPER(SUBSTITUTE(SUBSTITUTE(SUBSTITUTE(TRIM(B28),".",""),"-","")," ","")))-1))&amp;RIGHT(UPPER(SUBSTITUTE(SUBSTITUTE(SUBSTITUTE(TRIM(B28),".",""),"-","")," ","")),1),UPPER(SUBSTITUTE(SUBSTITUTE(SUBSTITUTE(TRIM(B28),".",""),"-","")," ",""))))</f>
        <v/>
      </c>
      <c r="N28" s="62" t="str">
        <f aca="false">IF(B28="","",IF(D28="Anexo de modificación","No","Sí"))</f>
        <v/>
      </c>
      <c r="O28" s="62" t="str">
        <f aca="false">IF(AND(N28="Sí",ISNUMBER(F28)),COUNTIFS(C_RUTN,M28,C_DEF,"Sí",C_INI,"&lt;"&amp;F28)+COUNTIFS(M$7:M28,M28,N$7:N28,"Sí",F$7:F28,F28),"")</f>
        <v/>
      </c>
      <c r="P28" s="62" t="str">
        <f aca="false">IF(O28="","",M28&amp;"-P"&amp;O28)</f>
        <v/>
      </c>
      <c r="Q28" s="62" t="str">
        <f aca="false">IF(AND(N28="Sí",E28="Plazo fijo",ISNUMBER(F28)),COUNTIFS(C_RUTN,M28,C_TIPO,"Plazo fijo",C_DEF,"Sí",C_INI,"&lt;"&amp;F28)+COUNTIFS(M$7:M28,M28,E$7:E28,"Plazo fijo",N$7:N28,"Sí",F$7:F28,F28),"")</f>
        <v/>
      </c>
      <c r="R28" s="62" t="str">
        <f aca="false">IF(AND(B28&lt;&gt;"",ISNUMBER(H28),ISNUMBER(F28)),COUNTIFS(C_RUTN,M28,C_SUELDO,"&lt;&gt;",C_INI,"&lt;"&amp;F28)+COUNTIFS(M$7:M28,M28,H$7:H28,"&lt;&gt;",F$7:F28,F28),"")</f>
        <v/>
      </c>
      <c r="S28" s="62" t="str">
        <f aca="false">IF(R28="","",M28&amp;"-S"&amp;R28)</f>
        <v/>
      </c>
    </row>
    <row r="29" customFormat="false" ht="15" hidden="false" customHeight="false" outlineLevel="0" collapsed="false">
      <c r="B29" s="58"/>
      <c r="C29" s="62" t="str">
        <f aca="false">IF(B29="","",IFERROR(INDEX(T_NOMBRE,MATCH(M29,T_RUTN,0)),"⚠ RUT no está en Trabajadores"))</f>
        <v/>
      </c>
      <c r="D29" s="58"/>
      <c r="E29" s="58"/>
      <c r="F29" s="59"/>
      <c r="G29" s="59"/>
      <c r="H29" s="60"/>
      <c r="I29" s="58"/>
      <c r="J29" s="58"/>
      <c r="K29" s="58"/>
      <c r="L29" s="62" t="str">
        <f aca="false">IF(B29="","",IF(LEFT(C29,1)="⚠","⚠ Registre primero al trabajador en la hoja Trabajadores",IF(AND(N29="Sí",OR(E29="",NOT(ISNUMBER(F29)))),"⚠ Falta tipo de contrato o fecha de inicio",IF(NOT(ISNUMBER(F29)),"⚠ Falta fecha de inicio",IF(AND(N29="Sí",E29&lt;&gt;"Indefinido",NOT(ISNUMBER(G29))),"⚠ Falta fecha de término",IF(AND(D29="Paso a indefinido",E29&lt;&gt;"Indefinido"),"⚠ Un paso a indefinido debe tener tipo Indefinido",IF(N(Q29)&gt;=3,"⚠ 3er contrato a plazo fijo: por ley ya es INDEFINIDO (Art. 159 N°4)",IF(AND(E29="Plazo fijo",ISNUMBER(G29),(G29-F29+1)/30.4375&gt;12),"⚠ Plazo fijo mayor a 1 año (máximo legal)",IF(J29&lt;&gt;"Sí","Pendiente de firma","OK")))))))))</f>
        <v/>
      </c>
      <c r="M29" s="62" t="str">
        <f aca="false">IF(B29="","",IFERROR(VALUE(LEFT(UPPER(SUBSTITUTE(SUBSTITUTE(SUBSTITUTE(TRIM(B29),".",""),"-","")," ","")),LEN(UPPER(SUBSTITUTE(SUBSTITUTE(SUBSTITUTE(TRIM(B29),".",""),"-","")," ","")))-1))&amp;RIGHT(UPPER(SUBSTITUTE(SUBSTITUTE(SUBSTITUTE(TRIM(B29),".",""),"-","")," ","")),1),UPPER(SUBSTITUTE(SUBSTITUTE(SUBSTITUTE(TRIM(B29),".",""),"-","")," ",""))))</f>
        <v/>
      </c>
      <c r="N29" s="62" t="str">
        <f aca="false">IF(B29="","",IF(D29="Anexo de modificación","No","Sí"))</f>
        <v/>
      </c>
      <c r="O29" s="62" t="str">
        <f aca="false">IF(AND(N29="Sí",ISNUMBER(F29)),COUNTIFS(C_RUTN,M29,C_DEF,"Sí",C_INI,"&lt;"&amp;F29)+COUNTIFS(M$7:M29,M29,N$7:N29,"Sí",F$7:F29,F29),"")</f>
        <v/>
      </c>
      <c r="P29" s="62" t="str">
        <f aca="false">IF(O29="","",M29&amp;"-P"&amp;O29)</f>
        <v/>
      </c>
      <c r="Q29" s="62" t="str">
        <f aca="false">IF(AND(N29="Sí",E29="Plazo fijo",ISNUMBER(F29)),COUNTIFS(C_RUTN,M29,C_TIPO,"Plazo fijo",C_DEF,"Sí",C_INI,"&lt;"&amp;F29)+COUNTIFS(M$7:M29,M29,E$7:E29,"Plazo fijo",N$7:N29,"Sí",F$7:F29,F29),"")</f>
        <v/>
      </c>
      <c r="R29" s="62" t="str">
        <f aca="false">IF(AND(B29&lt;&gt;"",ISNUMBER(H29),ISNUMBER(F29)),COUNTIFS(C_RUTN,M29,C_SUELDO,"&lt;&gt;",C_INI,"&lt;"&amp;F29)+COUNTIFS(M$7:M29,M29,H$7:H29,"&lt;&gt;",F$7:F29,F29),"")</f>
        <v/>
      </c>
      <c r="S29" s="62" t="str">
        <f aca="false">IF(R29="","",M29&amp;"-S"&amp;R29)</f>
        <v/>
      </c>
    </row>
    <row r="30" customFormat="false" ht="15" hidden="false" customHeight="false" outlineLevel="0" collapsed="false">
      <c r="B30" s="58"/>
      <c r="C30" s="62" t="str">
        <f aca="false">IF(B30="","",IFERROR(INDEX(T_NOMBRE,MATCH(M30,T_RUTN,0)),"⚠ RUT no está en Trabajadores"))</f>
        <v/>
      </c>
      <c r="D30" s="58"/>
      <c r="E30" s="58"/>
      <c r="F30" s="59"/>
      <c r="G30" s="59"/>
      <c r="H30" s="60"/>
      <c r="I30" s="58"/>
      <c r="J30" s="58"/>
      <c r="K30" s="58"/>
      <c r="L30" s="62" t="str">
        <f aca="false">IF(B30="","",IF(LEFT(C30,1)="⚠","⚠ Registre primero al trabajador en la hoja Trabajadores",IF(AND(N30="Sí",OR(E30="",NOT(ISNUMBER(F30)))),"⚠ Falta tipo de contrato o fecha de inicio",IF(NOT(ISNUMBER(F30)),"⚠ Falta fecha de inicio",IF(AND(N30="Sí",E30&lt;&gt;"Indefinido",NOT(ISNUMBER(G30))),"⚠ Falta fecha de término",IF(AND(D30="Paso a indefinido",E30&lt;&gt;"Indefinido"),"⚠ Un paso a indefinido debe tener tipo Indefinido",IF(N(Q30)&gt;=3,"⚠ 3er contrato a plazo fijo: por ley ya es INDEFINIDO (Art. 159 N°4)",IF(AND(E30="Plazo fijo",ISNUMBER(G30),(G30-F30+1)/30.4375&gt;12),"⚠ Plazo fijo mayor a 1 año (máximo legal)",IF(J30&lt;&gt;"Sí","Pendiente de firma","OK")))))))))</f>
        <v/>
      </c>
      <c r="M30" s="62" t="str">
        <f aca="false">IF(B30="","",IFERROR(VALUE(LEFT(UPPER(SUBSTITUTE(SUBSTITUTE(SUBSTITUTE(TRIM(B30),".",""),"-","")," ","")),LEN(UPPER(SUBSTITUTE(SUBSTITUTE(SUBSTITUTE(TRIM(B30),".",""),"-","")," ","")))-1))&amp;RIGHT(UPPER(SUBSTITUTE(SUBSTITUTE(SUBSTITUTE(TRIM(B30),".",""),"-","")," ","")),1),UPPER(SUBSTITUTE(SUBSTITUTE(SUBSTITUTE(TRIM(B30),".",""),"-","")," ",""))))</f>
        <v/>
      </c>
      <c r="N30" s="62" t="str">
        <f aca="false">IF(B30="","",IF(D30="Anexo de modificación","No","Sí"))</f>
        <v/>
      </c>
      <c r="O30" s="62" t="str">
        <f aca="false">IF(AND(N30="Sí",ISNUMBER(F30)),COUNTIFS(C_RUTN,M30,C_DEF,"Sí",C_INI,"&lt;"&amp;F30)+COUNTIFS(M$7:M30,M30,N$7:N30,"Sí",F$7:F30,F30),"")</f>
        <v/>
      </c>
      <c r="P30" s="62" t="str">
        <f aca="false">IF(O30="","",M30&amp;"-P"&amp;O30)</f>
        <v/>
      </c>
      <c r="Q30" s="62" t="str">
        <f aca="false">IF(AND(N30="Sí",E30="Plazo fijo",ISNUMBER(F30)),COUNTIFS(C_RUTN,M30,C_TIPO,"Plazo fijo",C_DEF,"Sí",C_INI,"&lt;"&amp;F30)+COUNTIFS(M$7:M30,M30,E$7:E30,"Plazo fijo",N$7:N30,"Sí",F$7:F30,F30),"")</f>
        <v/>
      </c>
      <c r="R30" s="62" t="str">
        <f aca="false">IF(AND(B30&lt;&gt;"",ISNUMBER(H30),ISNUMBER(F30)),COUNTIFS(C_RUTN,M30,C_SUELDO,"&lt;&gt;",C_INI,"&lt;"&amp;F30)+COUNTIFS(M$7:M30,M30,H$7:H30,"&lt;&gt;",F$7:F30,F30),"")</f>
        <v/>
      </c>
      <c r="S30" s="62" t="str">
        <f aca="false">IF(R30="","",M30&amp;"-S"&amp;R30)</f>
        <v/>
      </c>
    </row>
    <row r="31" customFormat="false" ht="15" hidden="false" customHeight="false" outlineLevel="0" collapsed="false">
      <c r="B31" s="58"/>
      <c r="C31" s="62" t="str">
        <f aca="false">IF(B31="","",IFERROR(INDEX(T_NOMBRE,MATCH(M31,T_RUTN,0)),"⚠ RUT no está en Trabajadores"))</f>
        <v/>
      </c>
      <c r="D31" s="58"/>
      <c r="E31" s="58"/>
      <c r="F31" s="59"/>
      <c r="G31" s="59"/>
      <c r="H31" s="60"/>
      <c r="I31" s="58"/>
      <c r="J31" s="58"/>
      <c r="K31" s="58"/>
      <c r="L31" s="62" t="str">
        <f aca="false">IF(B31="","",IF(LEFT(C31,1)="⚠","⚠ Registre primero al trabajador en la hoja Trabajadores",IF(AND(N31="Sí",OR(E31="",NOT(ISNUMBER(F31)))),"⚠ Falta tipo de contrato o fecha de inicio",IF(NOT(ISNUMBER(F31)),"⚠ Falta fecha de inicio",IF(AND(N31="Sí",E31&lt;&gt;"Indefinido",NOT(ISNUMBER(G31))),"⚠ Falta fecha de término",IF(AND(D31="Paso a indefinido",E31&lt;&gt;"Indefinido"),"⚠ Un paso a indefinido debe tener tipo Indefinido",IF(N(Q31)&gt;=3,"⚠ 3er contrato a plazo fijo: por ley ya es INDEFINIDO (Art. 159 N°4)",IF(AND(E31="Plazo fijo",ISNUMBER(G31),(G31-F31+1)/30.4375&gt;12),"⚠ Plazo fijo mayor a 1 año (máximo legal)",IF(J31&lt;&gt;"Sí","Pendiente de firma","OK")))))))))</f>
        <v/>
      </c>
      <c r="M31" s="62" t="str">
        <f aca="false">IF(B31="","",IFERROR(VALUE(LEFT(UPPER(SUBSTITUTE(SUBSTITUTE(SUBSTITUTE(TRIM(B31),".",""),"-","")," ","")),LEN(UPPER(SUBSTITUTE(SUBSTITUTE(SUBSTITUTE(TRIM(B31),".",""),"-","")," ","")))-1))&amp;RIGHT(UPPER(SUBSTITUTE(SUBSTITUTE(SUBSTITUTE(TRIM(B31),".",""),"-","")," ","")),1),UPPER(SUBSTITUTE(SUBSTITUTE(SUBSTITUTE(TRIM(B31),".",""),"-","")," ",""))))</f>
        <v/>
      </c>
      <c r="N31" s="62" t="str">
        <f aca="false">IF(B31="","",IF(D31="Anexo de modificación","No","Sí"))</f>
        <v/>
      </c>
      <c r="O31" s="62" t="str">
        <f aca="false">IF(AND(N31="Sí",ISNUMBER(F31)),COUNTIFS(C_RUTN,M31,C_DEF,"Sí",C_INI,"&lt;"&amp;F31)+COUNTIFS(M$7:M31,M31,N$7:N31,"Sí",F$7:F31,F31),"")</f>
        <v/>
      </c>
      <c r="P31" s="62" t="str">
        <f aca="false">IF(O31="","",M31&amp;"-P"&amp;O31)</f>
        <v/>
      </c>
      <c r="Q31" s="62" t="str">
        <f aca="false">IF(AND(N31="Sí",E31="Plazo fijo",ISNUMBER(F31)),COUNTIFS(C_RUTN,M31,C_TIPO,"Plazo fijo",C_DEF,"Sí",C_INI,"&lt;"&amp;F31)+COUNTIFS(M$7:M31,M31,E$7:E31,"Plazo fijo",N$7:N31,"Sí",F$7:F31,F31),"")</f>
        <v/>
      </c>
      <c r="R31" s="62" t="str">
        <f aca="false">IF(AND(B31&lt;&gt;"",ISNUMBER(H31),ISNUMBER(F31)),COUNTIFS(C_RUTN,M31,C_SUELDO,"&lt;&gt;",C_INI,"&lt;"&amp;F31)+COUNTIFS(M$7:M31,M31,H$7:H31,"&lt;&gt;",F$7:F31,F31),"")</f>
        <v/>
      </c>
      <c r="S31" s="62" t="str">
        <f aca="false">IF(R31="","",M31&amp;"-S"&amp;R31)</f>
        <v/>
      </c>
    </row>
    <row r="32" customFormat="false" ht="15" hidden="false" customHeight="false" outlineLevel="0" collapsed="false">
      <c r="B32" s="58"/>
      <c r="C32" s="62" t="str">
        <f aca="false">IF(B32="","",IFERROR(INDEX(T_NOMBRE,MATCH(M32,T_RUTN,0)),"⚠ RUT no está en Trabajadores"))</f>
        <v/>
      </c>
      <c r="D32" s="58"/>
      <c r="E32" s="58"/>
      <c r="F32" s="59"/>
      <c r="G32" s="59"/>
      <c r="H32" s="60"/>
      <c r="I32" s="58"/>
      <c r="J32" s="58"/>
      <c r="K32" s="58"/>
      <c r="L32" s="62" t="str">
        <f aca="false">IF(B32="","",IF(LEFT(C32,1)="⚠","⚠ Registre primero al trabajador en la hoja Trabajadores",IF(AND(N32="Sí",OR(E32="",NOT(ISNUMBER(F32)))),"⚠ Falta tipo de contrato o fecha de inicio",IF(NOT(ISNUMBER(F32)),"⚠ Falta fecha de inicio",IF(AND(N32="Sí",E32&lt;&gt;"Indefinido",NOT(ISNUMBER(G32))),"⚠ Falta fecha de término",IF(AND(D32="Paso a indefinido",E32&lt;&gt;"Indefinido"),"⚠ Un paso a indefinido debe tener tipo Indefinido",IF(N(Q32)&gt;=3,"⚠ 3er contrato a plazo fijo: por ley ya es INDEFINIDO (Art. 159 N°4)",IF(AND(E32="Plazo fijo",ISNUMBER(G32),(G32-F32+1)/30.4375&gt;12),"⚠ Plazo fijo mayor a 1 año (máximo legal)",IF(J32&lt;&gt;"Sí","Pendiente de firma","OK")))))))))</f>
        <v/>
      </c>
      <c r="M32" s="62" t="str">
        <f aca="false">IF(B32="","",IFERROR(VALUE(LEFT(UPPER(SUBSTITUTE(SUBSTITUTE(SUBSTITUTE(TRIM(B32),".",""),"-","")," ","")),LEN(UPPER(SUBSTITUTE(SUBSTITUTE(SUBSTITUTE(TRIM(B32),".",""),"-","")," ","")))-1))&amp;RIGHT(UPPER(SUBSTITUTE(SUBSTITUTE(SUBSTITUTE(TRIM(B32),".",""),"-","")," ","")),1),UPPER(SUBSTITUTE(SUBSTITUTE(SUBSTITUTE(TRIM(B32),".",""),"-","")," ",""))))</f>
        <v/>
      </c>
      <c r="N32" s="62" t="str">
        <f aca="false">IF(B32="","",IF(D32="Anexo de modificación","No","Sí"))</f>
        <v/>
      </c>
      <c r="O32" s="62" t="str">
        <f aca="false">IF(AND(N32="Sí",ISNUMBER(F32)),COUNTIFS(C_RUTN,M32,C_DEF,"Sí",C_INI,"&lt;"&amp;F32)+COUNTIFS(M$7:M32,M32,N$7:N32,"Sí",F$7:F32,F32),"")</f>
        <v/>
      </c>
      <c r="P32" s="62" t="str">
        <f aca="false">IF(O32="","",M32&amp;"-P"&amp;O32)</f>
        <v/>
      </c>
      <c r="Q32" s="62" t="str">
        <f aca="false">IF(AND(N32="Sí",E32="Plazo fijo",ISNUMBER(F32)),COUNTIFS(C_RUTN,M32,C_TIPO,"Plazo fijo",C_DEF,"Sí",C_INI,"&lt;"&amp;F32)+COUNTIFS(M$7:M32,M32,E$7:E32,"Plazo fijo",N$7:N32,"Sí",F$7:F32,F32),"")</f>
        <v/>
      </c>
      <c r="R32" s="62" t="str">
        <f aca="false">IF(AND(B32&lt;&gt;"",ISNUMBER(H32),ISNUMBER(F32)),COUNTIFS(C_RUTN,M32,C_SUELDO,"&lt;&gt;",C_INI,"&lt;"&amp;F32)+COUNTIFS(M$7:M32,M32,H$7:H32,"&lt;&gt;",F$7:F32,F32),"")</f>
        <v/>
      </c>
      <c r="S32" s="62" t="str">
        <f aca="false">IF(R32="","",M32&amp;"-S"&amp;R32)</f>
        <v/>
      </c>
    </row>
    <row r="33" customFormat="false" ht="15" hidden="false" customHeight="false" outlineLevel="0" collapsed="false">
      <c r="B33" s="58"/>
      <c r="C33" s="62" t="str">
        <f aca="false">IF(B33="","",IFERROR(INDEX(T_NOMBRE,MATCH(M33,T_RUTN,0)),"⚠ RUT no está en Trabajadores"))</f>
        <v/>
      </c>
      <c r="D33" s="58"/>
      <c r="E33" s="58"/>
      <c r="F33" s="59"/>
      <c r="G33" s="59"/>
      <c r="H33" s="60"/>
      <c r="I33" s="58"/>
      <c r="J33" s="58"/>
      <c r="K33" s="58"/>
      <c r="L33" s="62" t="str">
        <f aca="false">IF(B33="","",IF(LEFT(C33,1)="⚠","⚠ Registre primero al trabajador en la hoja Trabajadores",IF(AND(N33="Sí",OR(E33="",NOT(ISNUMBER(F33)))),"⚠ Falta tipo de contrato o fecha de inicio",IF(NOT(ISNUMBER(F33)),"⚠ Falta fecha de inicio",IF(AND(N33="Sí",E33&lt;&gt;"Indefinido",NOT(ISNUMBER(G33))),"⚠ Falta fecha de término",IF(AND(D33="Paso a indefinido",E33&lt;&gt;"Indefinido"),"⚠ Un paso a indefinido debe tener tipo Indefinido",IF(N(Q33)&gt;=3,"⚠ 3er contrato a plazo fijo: por ley ya es INDEFINIDO (Art. 159 N°4)",IF(AND(E33="Plazo fijo",ISNUMBER(G33),(G33-F33+1)/30.4375&gt;12),"⚠ Plazo fijo mayor a 1 año (máximo legal)",IF(J33&lt;&gt;"Sí","Pendiente de firma","OK")))))))))</f>
        <v/>
      </c>
      <c r="M33" s="62" t="str">
        <f aca="false">IF(B33="","",IFERROR(VALUE(LEFT(UPPER(SUBSTITUTE(SUBSTITUTE(SUBSTITUTE(TRIM(B33),".",""),"-","")," ","")),LEN(UPPER(SUBSTITUTE(SUBSTITUTE(SUBSTITUTE(TRIM(B33),".",""),"-","")," ","")))-1))&amp;RIGHT(UPPER(SUBSTITUTE(SUBSTITUTE(SUBSTITUTE(TRIM(B33),".",""),"-","")," ","")),1),UPPER(SUBSTITUTE(SUBSTITUTE(SUBSTITUTE(TRIM(B33),".",""),"-","")," ",""))))</f>
        <v/>
      </c>
      <c r="N33" s="62" t="str">
        <f aca="false">IF(B33="","",IF(D33="Anexo de modificación","No","Sí"))</f>
        <v/>
      </c>
      <c r="O33" s="62" t="str">
        <f aca="false">IF(AND(N33="Sí",ISNUMBER(F33)),COUNTIFS(C_RUTN,M33,C_DEF,"Sí",C_INI,"&lt;"&amp;F33)+COUNTIFS(M$7:M33,M33,N$7:N33,"Sí",F$7:F33,F33),"")</f>
        <v/>
      </c>
      <c r="P33" s="62" t="str">
        <f aca="false">IF(O33="","",M33&amp;"-P"&amp;O33)</f>
        <v/>
      </c>
      <c r="Q33" s="62" t="str">
        <f aca="false">IF(AND(N33="Sí",E33="Plazo fijo",ISNUMBER(F33)),COUNTIFS(C_RUTN,M33,C_TIPO,"Plazo fijo",C_DEF,"Sí",C_INI,"&lt;"&amp;F33)+COUNTIFS(M$7:M33,M33,E$7:E33,"Plazo fijo",N$7:N33,"Sí",F$7:F33,F33),"")</f>
        <v/>
      </c>
      <c r="R33" s="62" t="str">
        <f aca="false">IF(AND(B33&lt;&gt;"",ISNUMBER(H33),ISNUMBER(F33)),COUNTIFS(C_RUTN,M33,C_SUELDO,"&lt;&gt;",C_INI,"&lt;"&amp;F33)+COUNTIFS(M$7:M33,M33,H$7:H33,"&lt;&gt;",F$7:F33,F33),"")</f>
        <v/>
      </c>
      <c r="S33" s="62" t="str">
        <f aca="false">IF(R33="","",M33&amp;"-S"&amp;R33)</f>
        <v/>
      </c>
    </row>
    <row r="34" customFormat="false" ht="15" hidden="false" customHeight="false" outlineLevel="0" collapsed="false">
      <c r="B34" s="58"/>
      <c r="C34" s="62" t="str">
        <f aca="false">IF(B34="","",IFERROR(INDEX(T_NOMBRE,MATCH(M34,T_RUTN,0)),"⚠ RUT no está en Trabajadores"))</f>
        <v/>
      </c>
      <c r="D34" s="58"/>
      <c r="E34" s="58"/>
      <c r="F34" s="59"/>
      <c r="G34" s="59"/>
      <c r="H34" s="60"/>
      <c r="I34" s="58"/>
      <c r="J34" s="58"/>
      <c r="K34" s="58"/>
      <c r="L34" s="62" t="str">
        <f aca="false">IF(B34="","",IF(LEFT(C34,1)="⚠","⚠ Registre primero al trabajador en la hoja Trabajadores",IF(AND(N34="Sí",OR(E34="",NOT(ISNUMBER(F34)))),"⚠ Falta tipo de contrato o fecha de inicio",IF(NOT(ISNUMBER(F34)),"⚠ Falta fecha de inicio",IF(AND(N34="Sí",E34&lt;&gt;"Indefinido",NOT(ISNUMBER(G34))),"⚠ Falta fecha de término",IF(AND(D34="Paso a indefinido",E34&lt;&gt;"Indefinido"),"⚠ Un paso a indefinido debe tener tipo Indefinido",IF(N(Q34)&gt;=3,"⚠ 3er contrato a plazo fijo: por ley ya es INDEFINIDO (Art. 159 N°4)",IF(AND(E34="Plazo fijo",ISNUMBER(G34),(G34-F34+1)/30.4375&gt;12),"⚠ Plazo fijo mayor a 1 año (máximo legal)",IF(J34&lt;&gt;"Sí","Pendiente de firma","OK")))))))))</f>
        <v/>
      </c>
      <c r="M34" s="62" t="str">
        <f aca="false">IF(B34="","",IFERROR(VALUE(LEFT(UPPER(SUBSTITUTE(SUBSTITUTE(SUBSTITUTE(TRIM(B34),".",""),"-","")," ","")),LEN(UPPER(SUBSTITUTE(SUBSTITUTE(SUBSTITUTE(TRIM(B34),".",""),"-","")," ","")))-1))&amp;RIGHT(UPPER(SUBSTITUTE(SUBSTITUTE(SUBSTITUTE(TRIM(B34),".",""),"-","")," ","")),1),UPPER(SUBSTITUTE(SUBSTITUTE(SUBSTITUTE(TRIM(B34),".",""),"-","")," ",""))))</f>
        <v/>
      </c>
      <c r="N34" s="62" t="str">
        <f aca="false">IF(B34="","",IF(D34="Anexo de modificación","No","Sí"))</f>
        <v/>
      </c>
      <c r="O34" s="62" t="str">
        <f aca="false">IF(AND(N34="Sí",ISNUMBER(F34)),COUNTIFS(C_RUTN,M34,C_DEF,"Sí",C_INI,"&lt;"&amp;F34)+COUNTIFS(M$7:M34,M34,N$7:N34,"Sí",F$7:F34,F34),"")</f>
        <v/>
      </c>
      <c r="P34" s="62" t="str">
        <f aca="false">IF(O34="","",M34&amp;"-P"&amp;O34)</f>
        <v/>
      </c>
      <c r="Q34" s="62" t="str">
        <f aca="false">IF(AND(N34="Sí",E34="Plazo fijo",ISNUMBER(F34)),COUNTIFS(C_RUTN,M34,C_TIPO,"Plazo fijo",C_DEF,"Sí",C_INI,"&lt;"&amp;F34)+COUNTIFS(M$7:M34,M34,E$7:E34,"Plazo fijo",N$7:N34,"Sí",F$7:F34,F34),"")</f>
        <v/>
      </c>
      <c r="R34" s="62" t="str">
        <f aca="false">IF(AND(B34&lt;&gt;"",ISNUMBER(H34),ISNUMBER(F34)),COUNTIFS(C_RUTN,M34,C_SUELDO,"&lt;&gt;",C_INI,"&lt;"&amp;F34)+COUNTIFS(M$7:M34,M34,H$7:H34,"&lt;&gt;",F$7:F34,F34),"")</f>
        <v/>
      </c>
      <c r="S34" s="62" t="str">
        <f aca="false">IF(R34="","",M34&amp;"-S"&amp;R34)</f>
        <v/>
      </c>
    </row>
    <row r="35" customFormat="false" ht="15" hidden="false" customHeight="false" outlineLevel="0" collapsed="false">
      <c r="B35" s="58"/>
      <c r="C35" s="62" t="str">
        <f aca="false">IF(B35="","",IFERROR(INDEX(T_NOMBRE,MATCH(M35,T_RUTN,0)),"⚠ RUT no está en Trabajadores"))</f>
        <v/>
      </c>
      <c r="D35" s="58"/>
      <c r="E35" s="58"/>
      <c r="F35" s="59"/>
      <c r="G35" s="59"/>
      <c r="H35" s="60"/>
      <c r="I35" s="58"/>
      <c r="J35" s="58"/>
      <c r="K35" s="58"/>
      <c r="L35" s="62" t="str">
        <f aca="false">IF(B35="","",IF(LEFT(C35,1)="⚠","⚠ Registre primero al trabajador en la hoja Trabajadores",IF(AND(N35="Sí",OR(E35="",NOT(ISNUMBER(F35)))),"⚠ Falta tipo de contrato o fecha de inicio",IF(NOT(ISNUMBER(F35)),"⚠ Falta fecha de inicio",IF(AND(N35="Sí",E35&lt;&gt;"Indefinido",NOT(ISNUMBER(G35))),"⚠ Falta fecha de término",IF(AND(D35="Paso a indefinido",E35&lt;&gt;"Indefinido"),"⚠ Un paso a indefinido debe tener tipo Indefinido",IF(N(Q35)&gt;=3,"⚠ 3er contrato a plazo fijo: por ley ya es INDEFINIDO (Art. 159 N°4)",IF(AND(E35="Plazo fijo",ISNUMBER(G35),(G35-F35+1)/30.4375&gt;12),"⚠ Plazo fijo mayor a 1 año (máximo legal)",IF(J35&lt;&gt;"Sí","Pendiente de firma","OK")))))))))</f>
        <v/>
      </c>
      <c r="M35" s="62" t="str">
        <f aca="false">IF(B35="","",IFERROR(VALUE(LEFT(UPPER(SUBSTITUTE(SUBSTITUTE(SUBSTITUTE(TRIM(B35),".",""),"-","")," ","")),LEN(UPPER(SUBSTITUTE(SUBSTITUTE(SUBSTITUTE(TRIM(B35),".",""),"-","")," ","")))-1))&amp;RIGHT(UPPER(SUBSTITUTE(SUBSTITUTE(SUBSTITUTE(TRIM(B35),".",""),"-","")," ","")),1),UPPER(SUBSTITUTE(SUBSTITUTE(SUBSTITUTE(TRIM(B35),".",""),"-","")," ",""))))</f>
        <v/>
      </c>
      <c r="N35" s="62" t="str">
        <f aca="false">IF(B35="","",IF(D35="Anexo de modificación","No","Sí"))</f>
        <v/>
      </c>
      <c r="O35" s="62" t="str">
        <f aca="false">IF(AND(N35="Sí",ISNUMBER(F35)),COUNTIFS(C_RUTN,M35,C_DEF,"Sí",C_INI,"&lt;"&amp;F35)+COUNTIFS(M$7:M35,M35,N$7:N35,"Sí",F$7:F35,F35),"")</f>
        <v/>
      </c>
      <c r="P35" s="62" t="str">
        <f aca="false">IF(O35="","",M35&amp;"-P"&amp;O35)</f>
        <v/>
      </c>
      <c r="Q35" s="62" t="str">
        <f aca="false">IF(AND(N35="Sí",E35="Plazo fijo",ISNUMBER(F35)),COUNTIFS(C_RUTN,M35,C_TIPO,"Plazo fijo",C_DEF,"Sí",C_INI,"&lt;"&amp;F35)+COUNTIFS(M$7:M35,M35,E$7:E35,"Plazo fijo",N$7:N35,"Sí",F$7:F35,F35),"")</f>
        <v/>
      </c>
      <c r="R35" s="62" t="str">
        <f aca="false">IF(AND(B35&lt;&gt;"",ISNUMBER(H35),ISNUMBER(F35)),COUNTIFS(C_RUTN,M35,C_SUELDO,"&lt;&gt;",C_INI,"&lt;"&amp;F35)+COUNTIFS(M$7:M35,M35,H$7:H35,"&lt;&gt;",F$7:F35,F35),"")</f>
        <v/>
      </c>
      <c r="S35" s="62" t="str">
        <f aca="false">IF(R35="","",M35&amp;"-S"&amp;R35)</f>
        <v/>
      </c>
    </row>
    <row r="36" customFormat="false" ht="15" hidden="false" customHeight="false" outlineLevel="0" collapsed="false">
      <c r="B36" s="58"/>
      <c r="C36" s="62" t="str">
        <f aca="false">IF(B36="","",IFERROR(INDEX(T_NOMBRE,MATCH(M36,T_RUTN,0)),"⚠ RUT no está en Trabajadores"))</f>
        <v/>
      </c>
      <c r="D36" s="58"/>
      <c r="E36" s="58"/>
      <c r="F36" s="59"/>
      <c r="G36" s="59"/>
      <c r="H36" s="60"/>
      <c r="I36" s="58"/>
      <c r="J36" s="58"/>
      <c r="K36" s="58"/>
      <c r="L36" s="62" t="str">
        <f aca="false">IF(B36="","",IF(LEFT(C36,1)="⚠","⚠ Registre primero al trabajador en la hoja Trabajadores",IF(AND(N36="Sí",OR(E36="",NOT(ISNUMBER(F36)))),"⚠ Falta tipo de contrato o fecha de inicio",IF(NOT(ISNUMBER(F36)),"⚠ Falta fecha de inicio",IF(AND(N36="Sí",E36&lt;&gt;"Indefinido",NOT(ISNUMBER(G36))),"⚠ Falta fecha de término",IF(AND(D36="Paso a indefinido",E36&lt;&gt;"Indefinido"),"⚠ Un paso a indefinido debe tener tipo Indefinido",IF(N(Q36)&gt;=3,"⚠ 3er contrato a plazo fijo: por ley ya es INDEFINIDO (Art. 159 N°4)",IF(AND(E36="Plazo fijo",ISNUMBER(G36),(G36-F36+1)/30.4375&gt;12),"⚠ Plazo fijo mayor a 1 año (máximo legal)",IF(J36&lt;&gt;"Sí","Pendiente de firma","OK")))))))))</f>
        <v/>
      </c>
      <c r="M36" s="62" t="str">
        <f aca="false">IF(B36="","",IFERROR(VALUE(LEFT(UPPER(SUBSTITUTE(SUBSTITUTE(SUBSTITUTE(TRIM(B36),".",""),"-","")," ","")),LEN(UPPER(SUBSTITUTE(SUBSTITUTE(SUBSTITUTE(TRIM(B36),".",""),"-","")," ","")))-1))&amp;RIGHT(UPPER(SUBSTITUTE(SUBSTITUTE(SUBSTITUTE(TRIM(B36),".",""),"-","")," ","")),1),UPPER(SUBSTITUTE(SUBSTITUTE(SUBSTITUTE(TRIM(B36),".",""),"-","")," ",""))))</f>
        <v/>
      </c>
      <c r="N36" s="62" t="str">
        <f aca="false">IF(B36="","",IF(D36="Anexo de modificación","No","Sí"))</f>
        <v/>
      </c>
      <c r="O36" s="62" t="str">
        <f aca="false">IF(AND(N36="Sí",ISNUMBER(F36)),COUNTIFS(C_RUTN,M36,C_DEF,"Sí",C_INI,"&lt;"&amp;F36)+COUNTIFS(M$7:M36,M36,N$7:N36,"Sí",F$7:F36,F36),"")</f>
        <v/>
      </c>
      <c r="P36" s="62" t="str">
        <f aca="false">IF(O36="","",M36&amp;"-P"&amp;O36)</f>
        <v/>
      </c>
      <c r="Q36" s="62" t="str">
        <f aca="false">IF(AND(N36="Sí",E36="Plazo fijo",ISNUMBER(F36)),COUNTIFS(C_RUTN,M36,C_TIPO,"Plazo fijo",C_DEF,"Sí",C_INI,"&lt;"&amp;F36)+COUNTIFS(M$7:M36,M36,E$7:E36,"Plazo fijo",N$7:N36,"Sí",F$7:F36,F36),"")</f>
        <v/>
      </c>
      <c r="R36" s="62" t="str">
        <f aca="false">IF(AND(B36&lt;&gt;"",ISNUMBER(H36),ISNUMBER(F36)),COUNTIFS(C_RUTN,M36,C_SUELDO,"&lt;&gt;",C_INI,"&lt;"&amp;F36)+COUNTIFS(M$7:M36,M36,H$7:H36,"&lt;&gt;",F$7:F36,F36),"")</f>
        <v/>
      </c>
      <c r="S36" s="62" t="str">
        <f aca="false">IF(R36="","",M36&amp;"-S"&amp;R36)</f>
        <v/>
      </c>
    </row>
    <row r="37" customFormat="false" ht="15" hidden="false" customHeight="false" outlineLevel="0" collapsed="false">
      <c r="B37" s="58"/>
      <c r="C37" s="62" t="str">
        <f aca="false">IF(B37="","",IFERROR(INDEX(T_NOMBRE,MATCH(M37,T_RUTN,0)),"⚠ RUT no está en Trabajadores"))</f>
        <v/>
      </c>
      <c r="D37" s="58"/>
      <c r="E37" s="58"/>
      <c r="F37" s="59"/>
      <c r="G37" s="59"/>
      <c r="H37" s="60"/>
      <c r="I37" s="58"/>
      <c r="J37" s="58"/>
      <c r="K37" s="58"/>
      <c r="L37" s="62" t="str">
        <f aca="false">IF(B37="","",IF(LEFT(C37,1)="⚠","⚠ Registre primero al trabajador en la hoja Trabajadores",IF(AND(N37="Sí",OR(E37="",NOT(ISNUMBER(F37)))),"⚠ Falta tipo de contrato o fecha de inicio",IF(NOT(ISNUMBER(F37)),"⚠ Falta fecha de inicio",IF(AND(N37="Sí",E37&lt;&gt;"Indefinido",NOT(ISNUMBER(G37))),"⚠ Falta fecha de término",IF(AND(D37="Paso a indefinido",E37&lt;&gt;"Indefinido"),"⚠ Un paso a indefinido debe tener tipo Indefinido",IF(N(Q37)&gt;=3,"⚠ 3er contrato a plazo fijo: por ley ya es INDEFINIDO (Art. 159 N°4)",IF(AND(E37="Plazo fijo",ISNUMBER(G37),(G37-F37+1)/30.4375&gt;12),"⚠ Plazo fijo mayor a 1 año (máximo legal)",IF(J37&lt;&gt;"Sí","Pendiente de firma","OK")))))))))</f>
        <v/>
      </c>
      <c r="M37" s="62" t="str">
        <f aca="false">IF(B37="","",IFERROR(VALUE(LEFT(UPPER(SUBSTITUTE(SUBSTITUTE(SUBSTITUTE(TRIM(B37),".",""),"-","")," ","")),LEN(UPPER(SUBSTITUTE(SUBSTITUTE(SUBSTITUTE(TRIM(B37),".",""),"-","")," ","")))-1))&amp;RIGHT(UPPER(SUBSTITUTE(SUBSTITUTE(SUBSTITUTE(TRIM(B37),".",""),"-","")," ","")),1),UPPER(SUBSTITUTE(SUBSTITUTE(SUBSTITUTE(TRIM(B37),".",""),"-","")," ",""))))</f>
        <v/>
      </c>
      <c r="N37" s="62" t="str">
        <f aca="false">IF(B37="","",IF(D37="Anexo de modificación","No","Sí"))</f>
        <v/>
      </c>
      <c r="O37" s="62" t="str">
        <f aca="false">IF(AND(N37="Sí",ISNUMBER(F37)),COUNTIFS(C_RUTN,M37,C_DEF,"Sí",C_INI,"&lt;"&amp;F37)+COUNTIFS(M$7:M37,M37,N$7:N37,"Sí",F$7:F37,F37),"")</f>
        <v/>
      </c>
      <c r="P37" s="62" t="str">
        <f aca="false">IF(O37="","",M37&amp;"-P"&amp;O37)</f>
        <v/>
      </c>
      <c r="Q37" s="62" t="str">
        <f aca="false">IF(AND(N37="Sí",E37="Plazo fijo",ISNUMBER(F37)),COUNTIFS(C_RUTN,M37,C_TIPO,"Plazo fijo",C_DEF,"Sí",C_INI,"&lt;"&amp;F37)+COUNTIFS(M$7:M37,M37,E$7:E37,"Plazo fijo",N$7:N37,"Sí",F$7:F37,F37),"")</f>
        <v/>
      </c>
      <c r="R37" s="62" t="str">
        <f aca="false">IF(AND(B37&lt;&gt;"",ISNUMBER(H37),ISNUMBER(F37)),COUNTIFS(C_RUTN,M37,C_SUELDO,"&lt;&gt;",C_INI,"&lt;"&amp;F37)+COUNTIFS(M$7:M37,M37,H$7:H37,"&lt;&gt;",F$7:F37,F37),"")</f>
        <v/>
      </c>
      <c r="S37" s="62" t="str">
        <f aca="false">IF(R37="","",M37&amp;"-S"&amp;R37)</f>
        <v/>
      </c>
    </row>
    <row r="38" customFormat="false" ht="15" hidden="false" customHeight="false" outlineLevel="0" collapsed="false">
      <c r="B38" s="58"/>
      <c r="C38" s="62" t="str">
        <f aca="false">IF(B38="","",IFERROR(INDEX(T_NOMBRE,MATCH(M38,T_RUTN,0)),"⚠ RUT no está en Trabajadores"))</f>
        <v/>
      </c>
      <c r="D38" s="58"/>
      <c r="E38" s="58"/>
      <c r="F38" s="59"/>
      <c r="G38" s="59"/>
      <c r="H38" s="60"/>
      <c r="I38" s="58"/>
      <c r="J38" s="58"/>
      <c r="K38" s="58"/>
      <c r="L38" s="62" t="str">
        <f aca="false">IF(B38="","",IF(LEFT(C38,1)="⚠","⚠ Registre primero al trabajador en la hoja Trabajadores",IF(AND(N38="Sí",OR(E38="",NOT(ISNUMBER(F38)))),"⚠ Falta tipo de contrato o fecha de inicio",IF(NOT(ISNUMBER(F38)),"⚠ Falta fecha de inicio",IF(AND(N38="Sí",E38&lt;&gt;"Indefinido",NOT(ISNUMBER(G38))),"⚠ Falta fecha de término",IF(AND(D38="Paso a indefinido",E38&lt;&gt;"Indefinido"),"⚠ Un paso a indefinido debe tener tipo Indefinido",IF(N(Q38)&gt;=3,"⚠ 3er contrato a plazo fijo: por ley ya es INDEFINIDO (Art. 159 N°4)",IF(AND(E38="Plazo fijo",ISNUMBER(G38),(G38-F38+1)/30.4375&gt;12),"⚠ Plazo fijo mayor a 1 año (máximo legal)",IF(J38&lt;&gt;"Sí","Pendiente de firma","OK")))))))))</f>
        <v/>
      </c>
      <c r="M38" s="62" t="str">
        <f aca="false">IF(B38="","",IFERROR(VALUE(LEFT(UPPER(SUBSTITUTE(SUBSTITUTE(SUBSTITUTE(TRIM(B38),".",""),"-","")," ","")),LEN(UPPER(SUBSTITUTE(SUBSTITUTE(SUBSTITUTE(TRIM(B38),".",""),"-","")," ","")))-1))&amp;RIGHT(UPPER(SUBSTITUTE(SUBSTITUTE(SUBSTITUTE(TRIM(B38),".",""),"-","")," ","")),1),UPPER(SUBSTITUTE(SUBSTITUTE(SUBSTITUTE(TRIM(B38),".",""),"-","")," ",""))))</f>
        <v/>
      </c>
      <c r="N38" s="62" t="str">
        <f aca="false">IF(B38="","",IF(D38="Anexo de modificación","No","Sí"))</f>
        <v/>
      </c>
      <c r="O38" s="62" t="str">
        <f aca="false">IF(AND(N38="Sí",ISNUMBER(F38)),COUNTIFS(C_RUTN,M38,C_DEF,"Sí",C_INI,"&lt;"&amp;F38)+COUNTIFS(M$7:M38,M38,N$7:N38,"Sí",F$7:F38,F38),"")</f>
        <v/>
      </c>
      <c r="P38" s="62" t="str">
        <f aca="false">IF(O38="","",M38&amp;"-P"&amp;O38)</f>
        <v/>
      </c>
      <c r="Q38" s="62" t="str">
        <f aca="false">IF(AND(N38="Sí",E38="Plazo fijo",ISNUMBER(F38)),COUNTIFS(C_RUTN,M38,C_TIPO,"Plazo fijo",C_DEF,"Sí",C_INI,"&lt;"&amp;F38)+COUNTIFS(M$7:M38,M38,E$7:E38,"Plazo fijo",N$7:N38,"Sí",F$7:F38,F38),"")</f>
        <v/>
      </c>
      <c r="R38" s="62" t="str">
        <f aca="false">IF(AND(B38&lt;&gt;"",ISNUMBER(H38),ISNUMBER(F38)),COUNTIFS(C_RUTN,M38,C_SUELDO,"&lt;&gt;",C_INI,"&lt;"&amp;F38)+COUNTIFS(M$7:M38,M38,H$7:H38,"&lt;&gt;",F$7:F38,F38),"")</f>
        <v/>
      </c>
      <c r="S38" s="62" t="str">
        <f aca="false">IF(R38="","",M38&amp;"-S"&amp;R38)</f>
        <v/>
      </c>
    </row>
    <row r="39" customFormat="false" ht="15" hidden="false" customHeight="false" outlineLevel="0" collapsed="false">
      <c r="B39" s="58"/>
      <c r="C39" s="62" t="str">
        <f aca="false">IF(B39="","",IFERROR(INDEX(T_NOMBRE,MATCH(M39,T_RUTN,0)),"⚠ RUT no está en Trabajadores"))</f>
        <v/>
      </c>
      <c r="D39" s="58"/>
      <c r="E39" s="58"/>
      <c r="F39" s="59"/>
      <c r="G39" s="59"/>
      <c r="H39" s="60"/>
      <c r="I39" s="58"/>
      <c r="J39" s="58"/>
      <c r="K39" s="58"/>
      <c r="L39" s="62" t="str">
        <f aca="false">IF(B39="","",IF(LEFT(C39,1)="⚠","⚠ Registre primero al trabajador en la hoja Trabajadores",IF(AND(N39="Sí",OR(E39="",NOT(ISNUMBER(F39)))),"⚠ Falta tipo de contrato o fecha de inicio",IF(NOT(ISNUMBER(F39)),"⚠ Falta fecha de inicio",IF(AND(N39="Sí",E39&lt;&gt;"Indefinido",NOT(ISNUMBER(G39))),"⚠ Falta fecha de término",IF(AND(D39="Paso a indefinido",E39&lt;&gt;"Indefinido"),"⚠ Un paso a indefinido debe tener tipo Indefinido",IF(N(Q39)&gt;=3,"⚠ 3er contrato a plazo fijo: por ley ya es INDEFINIDO (Art. 159 N°4)",IF(AND(E39="Plazo fijo",ISNUMBER(G39),(G39-F39+1)/30.4375&gt;12),"⚠ Plazo fijo mayor a 1 año (máximo legal)",IF(J39&lt;&gt;"Sí","Pendiente de firma","OK")))))))))</f>
        <v/>
      </c>
      <c r="M39" s="62" t="str">
        <f aca="false">IF(B39="","",IFERROR(VALUE(LEFT(UPPER(SUBSTITUTE(SUBSTITUTE(SUBSTITUTE(TRIM(B39),".",""),"-","")," ","")),LEN(UPPER(SUBSTITUTE(SUBSTITUTE(SUBSTITUTE(TRIM(B39),".",""),"-","")," ","")))-1))&amp;RIGHT(UPPER(SUBSTITUTE(SUBSTITUTE(SUBSTITUTE(TRIM(B39),".",""),"-","")," ","")),1),UPPER(SUBSTITUTE(SUBSTITUTE(SUBSTITUTE(TRIM(B39),".",""),"-","")," ",""))))</f>
        <v/>
      </c>
      <c r="N39" s="62" t="str">
        <f aca="false">IF(B39="","",IF(D39="Anexo de modificación","No","Sí"))</f>
        <v/>
      </c>
      <c r="O39" s="62" t="str">
        <f aca="false">IF(AND(N39="Sí",ISNUMBER(F39)),COUNTIFS(C_RUTN,M39,C_DEF,"Sí",C_INI,"&lt;"&amp;F39)+COUNTIFS(M$7:M39,M39,N$7:N39,"Sí",F$7:F39,F39),"")</f>
        <v/>
      </c>
      <c r="P39" s="62" t="str">
        <f aca="false">IF(O39="","",M39&amp;"-P"&amp;O39)</f>
        <v/>
      </c>
      <c r="Q39" s="62" t="str">
        <f aca="false">IF(AND(N39="Sí",E39="Plazo fijo",ISNUMBER(F39)),COUNTIFS(C_RUTN,M39,C_TIPO,"Plazo fijo",C_DEF,"Sí",C_INI,"&lt;"&amp;F39)+COUNTIFS(M$7:M39,M39,E$7:E39,"Plazo fijo",N$7:N39,"Sí",F$7:F39,F39),"")</f>
        <v/>
      </c>
      <c r="R39" s="62" t="str">
        <f aca="false">IF(AND(B39&lt;&gt;"",ISNUMBER(H39),ISNUMBER(F39)),COUNTIFS(C_RUTN,M39,C_SUELDO,"&lt;&gt;",C_INI,"&lt;"&amp;F39)+COUNTIFS(M$7:M39,M39,H$7:H39,"&lt;&gt;",F$7:F39,F39),"")</f>
        <v/>
      </c>
      <c r="S39" s="62" t="str">
        <f aca="false">IF(R39="","",M39&amp;"-S"&amp;R39)</f>
        <v/>
      </c>
    </row>
    <row r="40" customFormat="false" ht="15" hidden="false" customHeight="false" outlineLevel="0" collapsed="false">
      <c r="B40" s="58"/>
      <c r="C40" s="62" t="str">
        <f aca="false">IF(B40="","",IFERROR(INDEX(T_NOMBRE,MATCH(M40,T_RUTN,0)),"⚠ RUT no está en Trabajadores"))</f>
        <v/>
      </c>
      <c r="D40" s="58"/>
      <c r="E40" s="58"/>
      <c r="F40" s="59"/>
      <c r="G40" s="59"/>
      <c r="H40" s="60"/>
      <c r="I40" s="58"/>
      <c r="J40" s="58"/>
      <c r="K40" s="58"/>
      <c r="L40" s="62" t="str">
        <f aca="false">IF(B40="","",IF(LEFT(C40,1)="⚠","⚠ Registre primero al trabajador en la hoja Trabajadores",IF(AND(N40="Sí",OR(E40="",NOT(ISNUMBER(F40)))),"⚠ Falta tipo de contrato o fecha de inicio",IF(NOT(ISNUMBER(F40)),"⚠ Falta fecha de inicio",IF(AND(N40="Sí",E40&lt;&gt;"Indefinido",NOT(ISNUMBER(G40))),"⚠ Falta fecha de término",IF(AND(D40="Paso a indefinido",E40&lt;&gt;"Indefinido"),"⚠ Un paso a indefinido debe tener tipo Indefinido",IF(N(Q40)&gt;=3,"⚠ 3er contrato a plazo fijo: por ley ya es INDEFINIDO (Art. 159 N°4)",IF(AND(E40="Plazo fijo",ISNUMBER(G40),(G40-F40+1)/30.4375&gt;12),"⚠ Plazo fijo mayor a 1 año (máximo legal)",IF(J40&lt;&gt;"Sí","Pendiente de firma","OK")))))))))</f>
        <v/>
      </c>
      <c r="M40" s="62" t="str">
        <f aca="false">IF(B40="","",IFERROR(VALUE(LEFT(UPPER(SUBSTITUTE(SUBSTITUTE(SUBSTITUTE(TRIM(B40),".",""),"-","")," ","")),LEN(UPPER(SUBSTITUTE(SUBSTITUTE(SUBSTITUTE(TRIM(B40),".",""),"-","")," ","")))-1))&amp;RIGHT(UPPER(SUBSTITUTE(SUBSTITUTE(SUBSTITUTE(TRIM(B40),".",""),"-","")," ","")),1),UPPER(SUBSTITUTE(SUBSTITUTE(SUBSTITUTE(TRIM(B40),".",""),"-","")," ",""))))</f>
        <v/>
      </c>
      <c r="N40" s="62" t="str">
        <f aca="false">IF(B40="","",IF(D40="Anexo de modificación","No","Sí"))</f>
        <v/>
      </c>
      <c r="O40" s="62" t="str">
        <f aca="false">IF(AND(N40="Sí",ISNUMBER(F40)),COUNTIFS(C_RUTN,M40,C_DEF,"Sí",C_INI,"&lt;"&amp;F40)+COUNTIFS(M$7:M40,M40,N$7:N40,"Sí",F$7:F40,F40),"")</f>
        <v/>
      </c>
      <c r="P40" s="62" t="str">
        <f aca="false">IF(O40="","",M40&amp;"-P"&amp;O40)</f>
        <v/>
      </c>
      <c r="Q40" s="62" t="str">
        <f aca="false">IF(AND(N40="Sí",E40="Plazo fijo",ISNUMBER(F40)),COUNTIFS(C_RUTN,M40,C_TIPO,"Plazo fijo",C_DEF,"Sí",C_INI,"&lt;"&amp;F40)+COUNTIFS(M$7:M40,M40,E$7:E40,"Plazo fijo",N$7:N40,"Sí",F$7:F40,F40),"")</f>
        <v/>
      </c>
      <c r="R40" s="62" t="str">
        <f aca="false">IF(AND(B40&lt;&gt;"",ISNUMBER(H40),ISNUMBER(F40)),COUNTIFS(C_RUTN,M40,C_SUELDO,"&lt;&gt;",C_INI,"&lt;"&amp;F40)+COUNTIFS(M$7:M40,M40,H$7:H40,"&lt;&gt;",F$7:F40,F40),"")</f>
        <v/>
      </c>
      <c r="S40" s="62" t="str">
        <f aca="false">IF(R40="","",M40&amp;"-S"&amp;R40)</f>
        <v/>
      </c>
    </row>
    <row r="41" customFormat="false" ht="15" hidden="false" customHeight="false" outlineLevel="0" collapsed="false">
      <c r="B41" s="58"/>
      <c r="C41" s="62" t="str">
        <f aca="false">IF(B41="","",IFERROR(INDEX(T_NOMBRE,MATCH(M41,T_RUTN,0)),"⚠ RUT no está en Trabajadores"))</f>
        <v/>
      </c>
      <c r="D41" s="58"/>
      <c r="E41" s="58"/>
      <c r="F41" s="59"/>
      <c r="G41" s="59"/>
      <c r="H41" s="60"/>
      <c r="I41" s="58"/>
      <c r="J41" s="58"/>
      <c r="K41" s="58"/>
      <c r="L41" s="62" t="str">
        <f aca="false">IF(B41="","",IF(LEFT(C41,1)="⚠","⚠ Registre primero al trabajador en la hoja Trabajadores",IF(AND(N41="Sí",OR(E41="",NOT(ISNUMBER(F41)))),"⚠ Falta tipo de contrato o fecha de inicio",IF(NOT(ISNUMBER(F41)),"⚠ Falta fecha de inicio",IF(AND(N41="Sí",E41&lt;&gt;"Indefinido",NOT(ISNUMBER(G41))),"⚠ Falta fecha de término",IF(AND(D41="Paso a indefinido",E41&lt;&gt;"Indefinido"),"⚠ Un paso a indefinido debe tener tipo Indefinido",IF(N(Q41)&gt;=3,"⚠ 3er contrato a plazo fijo: por ley ya es INDEFINIDO (Art. 159 N°4)",IF(AND(E41="Plazo fijo",ISNUMBER(G41),(G41-F41+1)/30.4375&gt;12),"⚠ Plazo fijo mayor a 1 año (máximo legal)",IF(J41&lt;&gt;"Sí","Pendiente de firma","OK")))))))))</f>
        <v/>
      </c>
      <c r="M41" s="62" t="str">
        <f aca="false">IF(B41="","",IFERROR(VALUE(LEFT(UPPER(SUBSTITUTE(SUBSTITUTE(SUBSTITUTE(TRIM(B41),".",""),"-","")," ","")),LEN(UPPER(SUBSTITUTE(SUBSTITUTE(SUBSTITUTE(TRIM(B41),".",""),"-","")," ","")))-1))&amp;RIGHT(UPPER(SUBSTITUTE(SUBSTITUTE(SUBSTITUTE(TRIM(B41),".",""),"-","")," ","")),1),UPPER(SUBSTITUTE(SUBSTITUTE(SUBSTITUTE(TRIM(B41),".",""),"-","")," ",""))))</f>
        <v/>
      </c>
      <c r="N41" s="62" t="str">
        <f aca="false">IF(B41="","",IF(D41="Anexo de modificación","No","Sí"))</f>
        <v/>
      </c>
      <c r="O41" s="62" t="str">
        <f aca="false">IF(AND(N41="Sí",ISNUMBER(F41)),COUNTIFS(C_RUTN,M41,C_DEF,"Sí",C_INI,"&lt;"&amp;F41)+COUNTIFS(M$7:M41,M41,N$7:N41,"Sí",F$7:F41,F41),"")</f>
        <v/>
      </c>
      <c r="P41" s="62" t="str">
        <f aca="false">IF(O41="","",M41&amp;"-P"&amp;O41)</f>
        <v/>
      </c>
      <c r="Q41" s="62" t="str">
        <f aca="false">IF(AND(N41="Sí",E41="Plazo fijo",ISNUMBER(F41)),COUNTIFS(C_RUTN,M41,C_TIPO,"Plazo fijo",C_DEF,"Sí",C_INI,"&lt;"&amp;F41)+COUNTIFS(M$7:M41,M41,E$7:E41,"Plazo fijo",N$7:N41,"Sí",F$7:F41,F41),"")</f>
        <v/>
      </c>
      <c r="R41" s="62" t="str">
        <f aca="false">IF(AND(B41&lt;&gt;"",ISNUMBER(H41),ISNUMBER(F41)),COUNTIFS(C_RUTN,M41,C_SUELDO,"&lt;&gt;",C_INI,"&lt;"&amp;F41)+COUNTIFS(M$7:M41,M41,H$7:H41,"&lt;&gt;",F$7:F41,F41),"")</f>
        <v/>
      </c>
      <c r="S41" s="62" t="str">
        <f aca="false">IF(R41="","",M41&amp;"-S"&amp;R41)</f>
        <v/>
      </c>
    </row>
    <row r="42" customFormat="false" ht="15" hidden="false" customHeight="false" outlineLevel="0" collapsed="false">
      <c r="B42" s="58"/>
      <c r="C42" s="62" t="str">
        <f aca="false">IF(B42="","",IFERROR(INDEX(T_NOMBRE,MATCH(M42,T_RUTN,0)),"⚠ RUT no está en Trabajadores"))</f>
        <v/>
      </c>
      <c r="D42" s="58"/>
      <c r="E42" s="58"/>
      <c r="F42" s="59"/>
      <c r="G42" s="59"/>
      <c r="H42" s="60"/>
      <c r="I42" s="58"/>
      <c r="J42" s="58"/>
      <c r="K42" s="58"/>
      <c r="L42" s="62" t="str">
        <f aca="false">IF(B42="","",IF(LEFT(C42,1)="⚠","⚠ Registre primero al trabajador en la hoja Trabajadores",IF(AND(N42="Sí",OR(E42="",NOT(ISNUMBER(F42)))),"⚠ Falta tipo de contrato o fecha de inicio",IF(NOT(ISNUMBER(F42)),"⚠ Falta fecha de inicio",IF(AND(N42="Sí",E42&lt;&gt;"Indefinido",NOT(ISNUMBER(G42))),"⚠ Falta fecha de término",IF(AND(D42="Paso a indefinido",E42&lt;&gt;"Indefinido"),"⚠ Un paso a indefinido debe tener tipo Indefinido",IF(N(Q42)&gt;=3,"⚠ 3er contrato a plazo fijo: por ley ya es INDEFINIDO (Art. 159 N°4)",IF(AND(E42="Plazo fijo",ISNUMBER(G42),(G42-F42+1)/30.4375&gt;12),"⚠ Plazo fijo mayor a 1 año (máximo legal)",IF(J42&lt;&gt;"Sí","Pendiente de firma","OK")))))))))</f>
        <v/>
      </c>
      <c r="M42" s="62" t="str">
        <f aca="false">IF(B42="","",IFERROR(VALUE(LEFT(UPPER(SUBSTITUTE(SUBSTITUTE(SUBSTITUTE(TRIM(B42),".",""),"-","")," ","")),LEN(UPPER(SUBSTITUTE(SUBSTITUTE(SUBSTITUTE(TRIM(B42),".",""),"-","")," ","")))-1))&amp;RIGHT(UPPER(SUBSTITUTE(SUBSTITUTE(SUBSTITUTE(TRIM(B42),".",""),"-","")," ","")),1),UPPER(SUBSTITUTE(SUBSTITUTE(SUBSTITUTE(TRIM(B42),".",""),"-","")," ",""))))</f>
        <v/>
      </c>
      <c r="N42" s="62" t="str">
        <f aca="false">IF(B42="","",IF(D42="Anexo de modificación","No","Sí"))</f>
        <v/>
      </c>
      <c r="O42" s="62" t="str">
        <f aca="false">IF(AND(N42="Sí",ISNUMBER(F42)),COUNTIFS(C_RUTN,M42,C_DEF,"Sí",C_INI,"&lt;"&amp;F42)+COUNTIFS(M$7:M42,M42,N$7:N42,"Sí",F$7:F42,F42),"")</f>
        <v/>
      </c>
      <c r="P42" s="62" t="str">
        <f aca="false">IF(O42="","",M42&amp;"-P"&amp;O42)</f>
        <v/>
      </c>
      <c r="Q42" s="62" t="str">
        <f aca="false">IF(AND(N42="Sí",E42="Plazo fijo",ISNUMBER(F42)),COUNTIFS(C_RUTN,M42,C_TIPO,"Plazo fijo",C_DEF,"Sí",C_INI,"&lt;"&amp;F42)+COUNTIFS(M$7:M42,M42,E$7:E42,"Plazo fijo",N$7:N42,"Sí",F$7:F42,F42),"")</f>
        <v/>
      </c>
      <c r="R42" s="62" t="str">
        <f aca="false">IF(AND(B42&lt;&gt;"",ISNUMBER(H42),ISNUMBER(F42)),COUNTIFS(C_RUTN,M42,C_SUELDO,"&lt;&gt;",C_INI,"&lt;"&amp;F42)+COUNTIFS(M$7:M42,M42,H$7:H42,"&lt;&gt;",F$7:F42,F42),"")</f>
        <v/>
      </c>
      <c r="S42" s="62" t="str">
        <f aca="false">IF(R42="","",M42&amp;"-S"&amp;R42)</f>
        <v/>
      </c>
    </row>
    <row r="43" customFormat="false" ht="15" hidden="false" customHeight="false" outlineLevel="0" collapsed="false">
      <c r="B43" s="58"/>
      <c r="C43" s="62" t="str">
        <f aca="false">IF(B43="","",IFERROR(INDEX(T_NOMBRE,MATCH(M43,T_RUTN,0)),"⚠ RUT no está en Trabajadores"))</f>
        <v/>
      </c>
      <c r="D43" s="58"/>
      <c r="E43" s="58"/>
      <c r="F43" s="59"/>
      <c r="G43" s="59"/>
      <c r="H43" s="60"/>
      <c r="I43" s="58"/>
      <c r="J43" s="58"/>
      <c r="K43" s="58"/>
      <c r="L43" s="62" t="str">
        <f aca="false">IF(B43="","",IF(LEFT(C43,1)="⚠","⚠ Registre primero al trabajador en la hoja Trabajadores",IF(AND(N43="Sí",OR(E43="",NOT(ISNUMBER(F43)))),"⚠ Falta tipo de contrato o fecha de inicio",IF(NOT(ISNUMBER(F43)),"⚠ Falta fecha de inicio",IF(AND(N43="Sí",E43&lt;&gt;"Indefinido",NOT(ISNUMBER(G43))),"⚠ Falta fecha de término",IF(AND(D43="Paso a indefinido",E43&lt;&gt;"Indefinido"),"⚠ Un paso a indefinido debe tener tipo Indefinido",IF(N(Q43)&gt;=3,"⚠ 3er contrato a plazo fijo: por ley ya es INDEFINIDO (Art. 159 N°4)",IF(AND(E43="Plazo fijo",ISNUMBER(G43),(G43-F43+1)/30.4375&gt;12),"⚠ Plazo fijo mayor a 1 año (máximo legal)",IF(J43&lt;&gt;"Sí","Pendiente de firma","OK")))))))))</f>
        <v/>
      </c>
      <c r="M43" s="62" t="str">
        <f aca="false">IF(B43="","",IFERROR(VALUE(LEFT(UPPER(SUBSTITUTE(SUBSTITUTE(SUBSTITUTE(TRIM(B43),".",""),"-","")," ","")),LEN(UPPER(SUBSTITUTE(SUBSTITUTE(SUBSTITUTE(TRIM(B43),".",""),"-","")," ","")))-1))&amp;RIGHT(UPPER(SUBSTITUTE(SUBSTITUTE(SUBSTITUTE(TRIM(B43),".",""),"-","")," ","")),1),UPPER(SUBSTITUTE(SUBSTITUTE(SUBSTITUTE(TRIM(B43),".",""),"-","")," ",""))))</f>
        <v/>
      </c>
      <c r="N43" s="62" t="str">
        <f aca="false">IF(B43="","",IF(D43="Anexo de modificación","No","Sí"))</f>
        <v/>
      </c>
      <c r="O43" s="62" t="str">
        <f aca="false">IF(AND(N43="Sí",ISNUMBER(F43)),COUNTIFS(C_RUTN,M43,C_DEF,"Sí",C_INI,"&lt;"&amp;F43)+COUNTIFS(M$7:M43,M43,N$7:N43,"Sí",F$7:F43,F43),"")</f>
        <v/>
      </c>
      <c r="P43" s="62" t="str">
        <f aca="false">IF(O43="","",M43&amp;"-P"&amp;O43)</f>
        <v/>
      </c>
      <c r="Q43" s="62" t="str">
        <f aca="false">IF(AND(N43="Sí",E43="Plazo fijo",ISNUMBER(F43)),COUNTIFS(C_RUTN,M43,C_TIPO,"Plazo fijo",C_DEF,"Sí",C_INI,"&lt;"&amp;F43)+COUNTIFS(M$7:M43,M43,E$7:E43,"Plazo fijo",N$7:N43,"Sí",F$7:F43,F43),"")</f>
        <v/>
      </c>
      <c r="R43" s="62" t="str">
        <f aca="false">IF(AND(B43&lt;&gt;"",ISNUMBER(H43),ISNUMBER(F43)),COUNTIFS(C_RUTN,M43,C_SUELDO,"&lt;&gt;",C_INI,"&lt;"&amp;F43)+COUNTIFS(M$7:M43,M43,H$7:H43,"&lt;&gt;",F$7:F43,F43),"")</f>
        <v/>
      </c>
      <c r="S43" s="62" t="str">
        <f aca="false">IF(R43="","",M43&amp;"-S"&amp;R43)</f>
        <v/>
      </c>
    </row>
    <row r="44" customFormat="false" ht="15" hidden="false" customHeight="false" outlineLevel="0" collapsed="false">
      <c r="B44" s="58"/>
      <c r="C44" s="62" t="str">
        <f aca="false">IF(B44="","",IFERROR(INDEX(T_NOMBRE,MATCH(M44,T_RUTN,0)),"⚠ RUT no está en Trabajadores"))</f>
        <v/>
      </c>
      <c r="D44" s="58"/>
      <c r="E44" s="58"/>
      <c r="F44" s="59"/>
      <c r="G44" s="59"/>
      <c r="H44" s="60"/>
      <c r="I44" s="58"/>
      <c r="J44" s="58"/>
      <c r="K44" s="58"/>
      <c r="L44" s="62" t="str">
        <f aca="false">IF(B44="","",IF(LEFT(C44,1)="⚠","⚠ Registre primero al trabajador en la hoja Trabajadores",IF(AND(N44="Sí",OR(E44="",NOT(ISNUMBER(F44)))),"⚠ Falta tipo de contrato o fecha de inicio",IF(NOT(ISNUMBER(F44)),"⚠ Falta fecha de inicio",IF(AND(N44="Sí",E44&lt;&gt;"Indefinido",NOT(ISNUMBER(G44))),"⚠ Falta fecha de término",IF(AND(D44="Paso a indefinido",E44&lt;&gt;"Indefinido"),"⚠ Un paso a indefinido debe tener tipo Indefinido",IF(N(Q44)&gt;=3,"⚠ 3er contrato a plazo fijo: por ley ya es INDEFINIDO (Art. 159 N°4)",IF(AND(E44="Plazo fijo",ISNUMBER(G44),(G44-F44+1)/30.4375&gt;12),"⚠ Plazo fijo mayor a 1 año (máximo legal)",IF(J44&lt;&gt;"Sí","Pendiente de firma","OK")))))))))</f>
        <v/>
      </c>
      <c r="M44" s="62" t="str">
        <f aca="false">IF(B44="","",IFERROR(VALUE(LEFT(UPPER(SUBSTITUTE(SUBSTITUTE(SUBSTITUTE(TRIM(B44),".",""),"-","")," ","")),LEN(UPPER(SUBSTITUTE(SUBSTITUTE(SUBSTITUTE(TRIM(B44),".",""),"-","")," ","")))-1))&amp;RIGHT(UPPER(SUBSTITUTE(SUBSTITUTE(SUBSTITUTE(TRIM(B44),".",""),"-","")," ","")),1),UPPER(SUBSTITUTE(SUBSTITUTE(SUBSTITUTE(TRIM(B44),".",""),"-","")," ",""))))</f>
        <v/>
      </c>
      <c r="N44" s="62" t="str">
        <f aca="false">IF(B44="","",IF(D44="Anexo de modificación","No","Sí"))</f>
        <v/>
      </c>
      <c r="O44" s="62" t="str">
        <f aca="false">IF(AND(N44="Sí",ISNUMBER(F44)),COUNTIFS(C_RUTN,M44,C_DEF,"Sí",C_INI,"&lt;"&amp;F44)+COUNTIFS(M$7:M44,M44,N$7:N44,"Sí",F$7:F44,F44),"")</f>
        <v/>
      </c>
      <c r="P44" s="62" t="str">
        <f aca="false">IF(O44="","",M44&amp;"-P"&amp;O44)</f>
        <v/>
      </c>
      <c r="Q44" s="62" t="str">
        <f aca="false">IF(AND(N44="Sí",E44="Plazo fijo",ISNUMBER(F44)),COUNTIFS(C_RUTN,M44,C_TIPO,"Plazo fijo",C_DEF,"Sí",C_INI,"&lt;"&amp;F44)+COUNTIFS(M$7:M44,M44,E$7:E44,"Plazo fijo",N$7:N44,"Sí",F$7:F44,F44),"")</f>
        <v/>
      </c>
      <c r="R44" s="62" t="str">
        <f aca="false">IF(AND(B44&lt;&gt;"",ISNUMBER(H44),ISNUMBER(F44)),COUNTIFS(C_RUTN,M44,C_SUELDO,"&lt;&gt;",C_INI,"&lt;"&amp;F44)+COUNTIFS(M$7:M44,M44,H$7:H44,"&lt;&gt;",F$7:F44,F44),"")</f>
        <v/>
      </c>
      <c r="S44" s="62" t="str">
        <f aca="false">IF(R44="","",M44&amp;"-S"&amp;R44)</f>
        <v/>
      </c>
    </row>
    <row r="45" customFormat="false" ht="15" hidden="false" customHeight="false" outlineLevel="0" collapsed="false">
      <c r="B45" s="58"/>
      <c r="C45" s="62" t="str">
        <f aca="false">IF(B45="","",IFERROR(INDEX(T_NOMBRE,MATCH(M45,T_RUTN,0)),"⚠ RUT no está en Trabajadores"))</f>
        <v/>
      </c>
      <c r="D45" s="58"/>
      <c r="E45" s="58"/>
      <c r="F45" s="59"/>
      <c r="G45" s="59"/>
      <c r="H45" s="60"/>
      <c r="I45" s="58"/>
      <c r="J45" s="58"/>
      <c r="K45" s="58"/>
      <c r="L45" s="62" t="str">
        <f aca="false">IF(B45="","",IF(LEFT(C45,1)="⚠","⚠ Registre primero al trabajador en la hoja Trabajadores",IF(AND(N45="Sí",OR(E45="",NOT(ISNUMBER(F45)))),"⚠ Falta tipo de contrato o fecha de inicio",IF(NOT(ISNUMBER(F45)),"⚠ Falta fecha de inicio",IF(AND(N45="Sí",E45&lt;&gt;"Indefinido",NOT(ISNUMBER(G45))),"⚠ Falta fecha de término",IF(AND(D45="Paso a indefinido",E45&lt;&gt;"Indefinido"),"⚠ Un paso a indefinido debe tener tipo Indefinido",IF(N(Q45)&gt;=3,"⚠ 3er contrato a plazo fijo: por ley ya es INDEFINIDO (Art. 159 N°4)",IF(AND(E45="Plazo fijo",ISNUMBER(G45),(G45-F45+1)/30.4375&gt;12),"⚠ Plazo fijo mayor a 1 año (máximo legal)",IF(J45&lt;&gt;"Sí","Pendiente de firma","OK")))))))))</f>
        <v/>
      </c>
      <c r="M45" s="62" t="str">
        <f aca="false">IF(B45="","",IFERROR(VALUE(LEFT(UPPER(SUBSTITUTE(SUBSTITUTE(SUBSTITUTE(TRIM(B45),".",""),"-","")," ","")),LEN(UPPER(SUBSTITUTE(SUBSTITUTE(SUBSTITUTE(TRIM(B45),".",""),"-","")," ","")))-1))&amp;RIGHT(UPPER(SUBSTITUTE(SUBSTITUTE(SUBSTITUTE(TRIM(B45),".",""),"-","")," ","")),1),UPPER(SUBSTITUTE(SUBSTITUTE(SUBSTITUTE(TRIM(B45),".",""),"-","")," ",""))))</f>
        <v/>
      </c>
      <c r="N45" s="62" t="str">
        <f aca="false">IF(B45="","",IF(D45="Anexo de modificación","No","Sí"))</f>
        <v/>
      </c>
      <c r="O45" s="62" t="str">
        <f aca="false">IF(AND(N45="Sí",ISNUMBER(F45)),COUNTIFS(C_RUTN,M45,C_DEF,"Sí",C_INI,"&lt;"&amp;F45)+COUNTIFS(M$7:M45,M45,N$7:N45,"Sí",F$7:F45,F45),"")</f>
        <v/>
      </c>
      <c r="P45" s="62" t="str">
        <f aca="false">IF(O45="","",M45&amp;"-P"&amp;O45)</f>
        <v/>
      </c>
      <c r="Q45" s="62" t="str">
        <f aca="false">IF(AND(N45="Sí",E45="Plazo fijo",ISNUMBER(F45)),COUNTIFS(C_RUTN,M45,C_TIPO,"Plazo fijo",C_DEF,"Sí",C_INI,"&lt;"&amp;F45)+COUNTIFS(M$7:M45,M45,E$7:E45,"Plazo fijo",N$7:N45,"Sí",F$7:F45,F45),"")</f>
        <v/>
      </c>
      <c r="R45" s="62" t="str">
        <f aca="false">IF(AND(B45&lt;&gt;"",ISNUMBER(H45),ISNUMBER(F45)),COUNTIFS(C_RUTN,M45,C_SUELDO,"&lt;&gt;",C_INI,"&lt;"&amp;F45)+COUNTIFS(M$7:M45,M45,H$7:H45,"&lt;&gt;",F$7:F45,F45),"")</f>
        <v/>
      </c>
      <c r="S45" s="62" t="str">
        <f aca="false">IF(R45="","",M45&amp;"-S"&amp;R45)</f>
        <v/>
      </c>
    </row>
    <row r="46" customFormat="false" ht="15" hidden="false" customHeight="false" outlineLevel="0" collapsed="false">
      <c r="B46" s="58"/>
      <c r="C46" s="62" t="str">
        <f aca="false">IF(B46="","",IFERROR(INDEX(T_NOMBRE,MATCH(M46,T_RUTN,0)),"⚠ RUT no está en Trabajadores"))</f>
        <v/>
      </c>
      <c r="D46" s="58"/>
      <c r="E46" s="58"/>
      <c r="F46" s="59"/>
      <c r="G46" s="59"/>
      <c r="H46" s="60"/>
      <c r="I46" s="58"/>
      <c r="J46" s="58"/>
      <c r="K46" s="58"/>
      <c r="L46" s="62" t="str">
        <f aca="false">IF(B46="","",IF(LEFT(C46,1)="⚠","⚠ Registre primero al trabajador en la hoja Trabajadores",IF(AND(N46="Sí",OR(E46="",NOT(ISNUMBER(F46)))),"⚠ Falta tipo de contrato o fecha de inicio",IF(NOT(ISNUMBER(F46)),"⚠ Falta fecha de inicio",IF(AND(N46="Sí",E46&lt;&gt;"Indefinido",NOT(ISNUMBER(G46))),"⚠ Falta fecha de término",IF(AND(D46="Paso a indefinido",E46&lt;&gt;"Indefinido"),"⚠ Un paso a indefinido debe tener tipo Indefinido",IF(N(Q46)&gt;=3,"⚠ 3er contrato a plazo fijo: por ley ya es INDEFINIDO (Art. 159 N°4)",IF(AND(E46="Plazo fijo",ISNUMBER(G46),(G46-F46+1)/30.4375&gt;12),"⚠ Plazo fijo mayor a 1 año (máximo legal)",IF(J46&lt;&gt;"Sí","Pendiente de firma","OK")))))))))</f>
        <v/>
      </c>
      <c r="M46" s="62" t="str">
        <f aca="false">IF(B46="","",IFERROR(VALUE(LEFT(UPPER(SUBSTITUTE(SUBSTITUTE(SUBSTITUTE(TRIM(B46),".",""),"-","")," ","")),LEN(UPPER(SUBSTITUTE(SUBSTITUTE(SUBSTITUTE(TRIM(B46),".",""),"-","")," ","")))-1))&amp;RIGHT(UPPER(SUBSTITUTE(SUBSTITUTE(SUBSTITUTE(TRIM(B46),".",""),"-","")," ","")),1),UPPER(SUBSTITUTE(SUBSTITUTE(SUBSTITUTE(TRIM(B46),".",""),"-","")," ",""))))</f>
        <v/>
      </c>
      <c r="N46" s="62" t="str">
        <f aca="false">IF(B46="","",IF(D46="Anexo de modificación","No","Sí"))</f>
        <v/>
      </c>
      <c r="O46" s="62" t="str">
        <f aca="false">IF(AND(N46="Sí",ISNUMBER(F46)),COUNTIFS(C_RUTN,M46,C_DEF,"Sí",C_INI,"&lt;"&amp;F46)+COUNTIFS(M$7:M46,M46,N$7:N46,"Sí",F$7:F46,F46),"")</f>
        <v/>
      </c>
      <c r="P46" s="62" t="str">
        <f aca="false">IF(O46="","",M46&amp;"-P"&amp;O46)</f>
        <v/>
      </c>
      <c r="Q46" s="62" t="str">
        <f aca="false">IF(AND(N46="Sí",E46="Plazo fijo",ISNUMBER(F46)),COUNTIFS(C_RUTN,M46,C_TIPO,"Plazo fijo",C_DEF,"Sí",C_INI,"&lt;"&amp;F46)+COUNTIFS(M$7:M46,M46,E$7:E46,"Plazo fijo",N$7:N46,"Sí",F$7:F46,F46),"")</f>
        <v/>
      </c>
      <c r="R46" s="62" t="str">
        <f aca="false">IF(AND(B46&lt;&gt;"",ISNUMBER(H46),ISNUMBER(F46)),COUNTIFS(C_RUTN,M46,C_SUELDO,"&lt;&gt;",C_INI,"&lt;"&amp;F46)+COUNTIFS(M$7:M46,M46,H$7:H46,"&lt;&gt;",F$7:F46,F46),"")</f>
        <v/>
      </c>
      <c r="S46" s="62" t="str">
        <f aca="false">IF(R46="","",M46&amp;"-S"&amp;R46)</f>
        <v/>
      </c>
    </row>
    <row r="47" customFormat="false" ht="15" hidden="false" customHeight="false" outlineLevel="0" collapsed="false">
      <c r="B47" s="58"/>
      <c r="C47" s="62" t="str">
        <f aca="false">IF(B47="","",IFERROR(INDEX(T_NOMBRE,MATCH(M47,T_RUTN,0)),"⚠ RUT no está en Trabajadores"))</f>
        <v/>
      </c>
      <c r="D47" s="58"/>
      <c r="E47" s="58"/>
      <c r="F47" s="59"/>
      <c r="G47" s="59"/>
      <c r="H47" s="60"/>
      <c r="I47" s="58"/>
      <c r="J47" s="58"/>
      <c r="K47" s="58"/>
      <c r="L47" s="62" t="str">
        <f aca="false">IF(B47="","",IF(LEFT(C47,1)="⚠","⚠ Registre primero al trabajador en la hoja Trabajadores",IF(AND(N47="Sí",OR(E47="",NOT(ISNUMBER(F47)))),"⚠ Falta tipo de contrato o fecha de inicio",IF(NOT(ISNUMBER(F47)),"⚠ Falta fecha de inicio",IF(AND(N47="Sí",E47&lt;&gt;"Indefinido",NOT(ISNUMBER(G47))),"⚠ Falta fecha de término",IF(AND(D47="Paso a indefinido",E47&lt;&gt;"Indefinido"),"⚠ Un paso a indefinido debe tener tipo Indefinido",IF(N(Q47)&gt;=3,"⚠ 3er contrato a plazo fijo: por ley ya es INDEFINIDO (Art. 159 N°4)",IF(AND(E47="Plazo fijo",ISNUMBER(G47),(G47-F47+1)/30.4375&gt;12),"⚠ Plazo fijo mayor a 1 año (máximo legal)",IF(J47&lt;&gt;"Sí","Pendiente de firma","OK")))))))))</f>
        <v/>
      </c>
      <c r="M47" s="62" t="str">
        <f aca="false">IF(B47="","",IFERROR(VALUE(LEFT(UPPER(SUBSTITUTE(SUBSTITUTE(SUBSTITUTE(TRIM(B47),".",""),"-","")," ","")),LEN(UPPER(SUBSTITUTE(SUBSTITUTE(SUBSTITUTE(TRIM(B47),".",""),"-","")," ","")))-1))&amp;RIGHT(UPPER(SUBSTITUTE(SUBSTITUTE(SUBSTITUTE(TRIM(B47),".",""),"-","")," ","")),1),UPPER(SUBSTITUTE(SUBSTITUTE(SUBSTITUTE(TRIM(B47),".",""),"-","")," ",""))))</f>
        <v/>
      </c>
      <c r="N47" s="62" t="str">
        <f aca="false">IF(B47="","",IF(D47="Anexo de modificación","No","Sí"))</f>
        <v/>
      </c>
      <c r="O47" s="62" t="str">
        <f aca="false">IF(AND(N47="Sí",ISNUMBER(F47)),COUNTIFS(C_RUTN,M47,C_DEF,"Sí",C_INI,"&lt;"&amp;F47)+COUNTIFS(M$7:M47,M47,N$7:N47,"Sí",F$7:F47,F47),"")</f>
        <v/>
      </c>
      <c r="P47" s="62" t="str">
        <f aca="false">IF(O47="","",M47&amp;"-P"&amp;O47)</f>
        <v/>
      </c>
      <c r="Q47" s="62" t="str">
        <f aca="false">IF(AND(N47="Sí",E47="Plazo fijo",ISNUMBER(F47)),COUNTIFS(C_RUTN,M47,C_TIPO,"Plazo fijo",C_DEF,"Sí",C_INI,"&lt;"&amp;F47)+COUNTIFS(M$7:M47,M47,E$7:E47,"Plazo fijo",N$7:N47,"Sí",F$7:F47,F47),"")</f>
        <v/>
      </c>
      <c r="R47" s="62" t="str">
        <f aca="false">IF(AND(B47&lt;&gt;"",ISNUMBER(H47),ISNUMBER(F47)),COUNTIFS(C_RUTN,M47,C_SUELDO,"&lt;&gt;",C_INI,"&lt;"&amp;F47)+COUNTIFS(M$7:M47,M47,H$7:H47,"&lt;&gt;",F$7:F47,F47),"")</f>
        <v/>
      </c>
      <c r="S47" s="62" t="str">
        <f aca="false">IF(R47="","",M47&amp;"-S"&amp;R47)</f>
        <v/>
      </c>
    </row>
    <row r="48" customFormat="false" ht="15" hidden="false" customHeight="false" outlineLevel="0" collapsed="false">
      <c r="B48" s="58"/>
      <c r="C48" s="62" t="str">
        <f aca="false">IF(B48="","",IFERROR(INDEX(T_NOMBRE,MATCH(M48,T_RUTN,0)),"⚠ RUT no está en Trabajadores"))</f>
        <v/>
      </c>
      <c r="D48" s="58"/>
      <c r="E48" s="58"/>
      <c r="F48" s="59"/>
      <c r="G48" s="59"/>
      <c r="H48" s="60"/>
      <c r="I48" s="58"/>
      <c r="J48" s="58"/>
      <c r="K48" s="58"/>
      <c r="L48" s="62" t="str">
        <f aca="false">IF(B48="","",IF(LEFT(C48,1)="⚠","⚠ Registre primero al trabajador en la hoja Trabajadores",IF(AND(N48="Sí",OR(E48="",NOT(ISNUMBER(F48)))),"⚠ Falta tipo de contrato o fecha de inicio",IF(NOT(ISNUMBER(F48)),"⚠ Falta fecha de inicio",IF(AND(N48="Sí",E48&lt;&gt;"Indefinido",NOT(ISNUMBER(G48))),"⚠ Falta fecha de término",IF(AND(D48="Paso a indefinido",E48&lt;&gt;"Indefinido"),"⚠ Un paso a indefinido debe tener tipo Indefinido",IF(N(Q48)&gt;=3,"⚠ 3er contrato a plazo fijo: por ley ya es INDEFINIDO (Art. 159 N°4)",IF(AND(E48="Plazo fijo",ISNUMBER(G48),(G48-F48+1)/30.4375&gt;12),"⚠ Plazo fijo mayor a 1 año (máximo legal)",IF(J48&lt;&gt;"Sí","Pendiente de firma","OK")))))))))</f>
        <v/>
      </c>
      <c r="M48" s="62" t="str">
        <f aca="false">IF(B48="","",IFERROR(VALUE(LEFT(UPPER(SUBSTITUTE(SUBSTITUTE(SUBSTITUTE(TRIM(B48),".",""),"-","")," ","")),LEN(UPPER(SUBSTITUTE(SUBSTITUTE(SUBSTITUTE(TRIM(B48),".",""),"-","")," ","")))-1))&amp;RIGHT(UPPER(SUBSTITUTE(SUBSTITUTE(SUBSTITUTE(TRIM(B48),".",""),"-","")," ","")),1),UPPER(SUBSTITUTE(SUBSTITUTE(SUBSTITUTE(TRIM(B48),".",""),"-","")," ",""))))</f>
        <v/>
      </c>
      <c r="N48" s="62" t="str">
        <f aca="false">IF(B48="","",IF(D48="Anexo de modificación","No","Sí"))</f>
        <v/>
      </c>
      <c r="O48" s="62" t="str">
        <f aca="false">IF(AND(N48="Sí",ISNUMBER(F48)),COUNTIFS(C_RUTN,M48,C_DEF,"Sí",C_INI,"&lt;"&amp;F48)+COUNTIFS(M$7:M48,M48,N$7:N48,"Sí",F$7:F48,F48),"")</f>
        <v/>
      </c>
      <c r="P48" s="62" t="str">
        <f aca="false">IF(O48="","",M48&amp;"-P"&amp;O48)</f>
        <v/>
      </c>
      <c r="Q48" s="62" t="str">
        <f aca="false">IF(AND(N48="Sí",E48="Plazo fijo",ISNUMBER(F48)),COUNTIFS(C_RUTN,M48,C_TIPO,"Plazo fijo",C_DEF,"Sí",C_INI,"&lt;"&amp;F48)+COUNTIFS(M$7:M48,M48,E$7:E48,"Plazo fijo",N$7:N48,"Sí",F$7:F48,F48),"")</f>
        <v/>
      </c>
      <c r="R48" s="62" t="str">
        <f aca="false">IF(AND(B48&lt;&gt;"",ISNUMBER(H48),ISNUMBER(F48)),COUNTIFS(C_RUTN,M48,C_SUELDO,"&lt;&gt;",C_INI,"&lt;"&amp;F48)+COUNTIFS(M$7:M48,M48,H$7:H48,"&lt;&gt;",F$7:F48,F48),"")</f>
        <v/>
      </c>
      <c r="S48" s="62" t="str">
        <f aca="false">IF(R48="","",M48&amp;"-S"&amp;R48)</f>
        <v/>
      </c>
    </row>
    <row r="49" customFormat="false" ht="15" hidden="false" customHeight="false" outlineLevel="0" collapsed="false">
      <c r="B49" s="58"/>
      <c r="C49" s="62" t="str">
        <f aca="false">IF(B49="","",IFERROR(INDEX(T_NOMBRE,MATCH(M49,T_RUTN,0)),"⚠ RUT no está en Trabajadores"))</f>
        <v/>
      </c>
      <c r="D49" s="58"/>
      <c r="E49" s="58"/>
      <c r="F49" s="59"/>
      <c r="G49" s="59"/>
      <c r="H49" s="60"/>
      <c r="I49" s="58"/>
      <c r="J49" s="58"/>
      <c r="K49" s="58"/>
      <c r="L49" s="62" t="str">
        <f aca="false">IF(B49="","",IF(LEFT(C49,1)="⚠","⚠ Registre primero al trabajador en la hoja Trabajadores",IF(AND(N49="Sí",OR(E49="",NOT(ISNUMBER(F49)))),"⚠ Falta tipo de contrato o fecha de inicio",IF(NOT(ISNUMBER(F49)),"⚠ Falta fecha de inicio",IF(AND(N49="Sí",E49&lt;&gt;"Indefinido",NOT(ISNUMBER(G49))),"⚠ Falta fecha de término",IF(AND(D49="Paso a indefinido",E49&lt;&gt;"Indefinido"),"⚠ Un paso a indefinido debe tener tipo Indefinido",IF(N(Q49)&gt;=3,"⚠ 3er contrato a plazo fijo: por ley ya es INDEFINIDO (Art. 159 N°4)",IF(AND(E49="Plazo fijo",ISNUMBER(G49),(G49-F49+1)/30.4375&gt;12),"⚠ Plazo fijo mayor a 1 año (máximo legal)",IF(J49&lt;&gt;"Sí","Pendiente de firma","OK")))))))))</f>
        <v/>
      </c>
      <c r="M49" s="62" t="str">
        <f aca="false">IF(B49="","",IFERROR(VALUE(LEFT(UPPER(SUBSTITUTE(SUBSTITUTE(SUBSTITUTE(TRIM(B49),".",""),"-","")," ","")),LEN(UPPER(SUBSTITUTE(SUBSTITUTE(SUBSTITUTE(TRIM(B49),".",""),"-","")," ","")))-1))&amp;RIGHT(UPPER(SUBSTITUTE(SUBSTITUTE(SUBSTITUTE(TRIM(B49),".",""),"-","")," ","")),1),UPPER(SUBSTITUTE(SUBSTITUTE(SUBSTITUTE(TRIM(B49),".",""),"-","")," ",""))))</f>
        <v/>
      </c>
      <c r="N49" s="62" t="str">
        <f aca="false">IF(B49="","",IF(D49="Anexo de modificación","No","Sí"))</f>
        <v/>
      </c>
      <c r="O49" s="62" t="str">
        <f aca="false">IF(AND(N49="Sí",ISNUMBER(F49)),COUNTIFS(C_RUTN,M49,C_DEF,"Sí",C_INI,"&lt;"&amp;F49)+COUNTIFS(M$7:M49,M49,N$7:N49,"Sí",F$7:F49,F49),"")</f>
        <v/>
      </c>
      <c r="P49" s="62" t="str">
        <f aca="false">IF(O49="","",M49&amp;"-P"&amp;O49)</f>
        <v/>
      </c>
      <c r="Q49" s="62" t="str">
        <f aca="false">IF(AND(N49="Sí",E49="Plazo fijo",ISNUMBER(F49)),COUNTIFS(C_RUTN,M49,C_TIPO,"Plazo fijo",C_DEF,"Sí",C_INI,"&lt;"&amp;F49)+COUNTIFS(M$7:M49,M49,E$7:E49,"Plazo fijo",N$7:N49,"Sí",F$7:F49,F49),"")</f>
        <v/>
      </c>
      <c r="R49" s="62" t="str">
        <f aca="false">IF(AND(B49&lt;&gt;"",ISNUMBER(H49),ISNUMBER(F49)),COUNTIFS(C_RUTN,M49,C_SUELDO,"&lt;&gt;",C_INI,"&lt;"&amp;F49)+COUNTIFS(M$7:M49,M49,H$7:H49,"&lt;&gt;",F$7:F49,F49),"")</f>
        <v/>
      </c>
      <c r="S49" s="62" t="str">
        <f aca="false">IF(R49="","",M49&amp;"-S"&amp;R49)</f>
        <v/>
      </c>
    </row>
    <row r="50" customFormat="false" ht="15" hidden="false" customHeight="false" outlineLevel="0" collapsed="false">
      <c r="B50" s="58"/>
      <c r="C50" s="62" t="str">
        <f aca="false">IF(B50="","",IFERROR(INDEX(T_NOMBRE,MATCH(M50,T_RUTN,0)),"⚠ RUT no está en Trabajadores"))</f>
        <v/>
      </c>
      <c r="D50" s="58"/>
      <c r="E50" s="58"/>
      <c r="F50" s="59"/>
      <c r="G50" s="59"/>
      <c r="H50" s="60"/>
      <c r="I50" s="58"/>
      <c r="J50" s="58"/>
      <c r="K50" s="58"/>
      <c r="L50" s="62" t="str">
        <f aca="false">IF(B50="","",IF(LEFT(C50,1)="⚠","⚠ Registre primero al trabajador en la hoja Trabajadores",IF(AND(N50="Sí",OR(E50="",NOT(ISNUMBER(F50)))),"⚠ Falta tipo de contrato o fecha de inicio",IF(NOT(ISNUMBER(F50)),"⚠ Falta fecha de inicio",IF(AND(N50="Sí",E50&lt;&gt;"Indefinido",NOT(ISNUMBER(G50))),"⚠ Falta fecha de término",IF(AND(D50="Paso a indefinido",E50&lt;&gt;"Indefinido"),"⚠ Un paso a indefinido debe tener tipo Indefinido",IF(N(Q50)&gt;=3,"⚠ 3er contrato a plazo fijo: por ley ya es INDEFINIDO (Art. 159 N°4)",IF(AND(E50="Plazo fijo",ISNUMBER(G50),(G50-F50+1)/30.4375&gt;12),"⚠ Plazo fijo mayor a 1 año (máximo legal)",IF(J50&lt;&gt;"Sí","Pendiente de firma","OK")))))))))</f>
        <v/>
      </c>
      <c r="M50" s="62" t="str">
        <f aca="false">IF(B50="","",IFERROR(VALUE(LEFT(UPPER(SUBSTITUTE(SUBSTITUTE(SUBSTITUTE(TRIM(B50),".",""),"-","")," ","")),LEN(UPPER(SUBSTITUTE(SUBSTITUTE(SUBSTITUTE(TRIM(B50),".",""),"-","")," ","")))-1))&amp;RIGHT(UPPER(SUBSTITUTE(SUBSTITUTE(SUBSTITUTE(TRIM(B50),".",""),"-","")," ","")),1),UPPER(SUBSTITUTE(SUBSTITUTE(SUBSTITUTE(TRIM(B50),".",""),"-","")," ",""))))</f>
        <v/>
      </c>
      <c r="N50" s="62" t="str">
        <f aca="false">IF(B50="","",IF(D50="Anexo de modificación","No","Sí"))</f>
        <v/>
      </c>
      <c r="O50" s="62" t="str">
        <f aca="false">IF(AND(N50="Sí",ISNUMBER(F50)),COUNTIFS(C_RUTN,M50,C_DEF,"Sí",C_INI,"&lt;"&amp;F50)+COUNTIFS(M$7:M50,M50,N$7:N50,"Sí",F$7:F50,F50),"")</f>
        <v/>
      </c>
      <c r="P50" s="62" t="str">
        <f aca="false">IF(O50="","",M50&amp;"-P"&amp;O50)</f>
        <v/>
      </c>
      <c r="Q50" s="62" t="str">
        <f aca="false">IF(AND(N50="Sí",E50="Plazo fijo",ISNUMBER(F50)),COUNTIFS(C_RUTN,M50,C_TIPO,"Plazo fijo",C_DEF,"Sí",C_INI,"&lt;"&amp;F50)+COUNTIFS(M$7:M50,M50,E$7:E50,"Plazo fijo",N$7:N50,"Sí",F$7:F50,F50),"")</f>
        <v/>
      </c>
      <c r="R50" s="62" t="str">
        <f aca="false">IF(AND(B50&lt;&gt;"",ISNUMBER(H50),ISNUMBER(F50)),COUNTIFS(C_RUTN,M50,C_SUELDO,"&lt;&gt;",C_INI,"&lt;"&amp;F50)+COUNTIFS(M$7:M50,M50,H$7:H50,"&lt;&gt;",F$7:F50,F50),"")</f>
        <v/>
      </c>
      <c r="S50" s="62" t="str">
        <f aca="false">IF(R50="","",M50&amp;"-S"&amp;R50)</f>
        <v/>
      </c>
    </row>
    <row r="51" customFormat="false" ht="15" hidden="false" customHeight="false" outlineLevel="0" collapsed="false">
      <c r="B51" s="58"/>
      <c r="C51" s="62" t="str">
        <f aca="false">IF(B51="","",IFERROR(INDEX(T_NOMBRE,MATCH(M51,T_RUTN,0)),"⚠ RUT no está en Trabajadores"))</f>
        <v/>
      </c>
      <c r="D51" s="58"/>
      <c r="E51" s="58"/>
      <c r="F51" s="59"/>
      <c r="G51" s="59"/>
      <c r="H51" s="60"/>
      <c r="I51" s="58"/>
      <c r="J51" s="58"/>
      <c r="K51" s="58"/>
      <c r="L51" s="62" t="str">
        <f aca="false">IF(B51="","",IF(LEFT(C51,1)="⚠","⚠ Registre primero al trabajador en la hoja Trabajadores",IF(AND(N51="Sí",OR(E51="",NOT(ISNUMBER(F51)))),"⚠ Falta tipo de contrato o fecha de inicio",IF(NOT(ISNUMBER(F51)),"⚠ Falta fecha de inicio",IF(AND(N51="Sí",E51&lt;&gt;"Indefinido",NOT(ISNUMBER(G51))),"⚠ Falta fecha de término",IF(AND(D51="Paso a indefinido",E51&lt;&gt;"Indefinido"),"⚠ Un paso a indefinido debe tener tipo Indefinido",IF(N(Q51)&gt;=3,"⚠ 3er contrato a plazo fijo: por ley ya es INDEFINIDO (Art. 159 N°4)",IF(AND(E51="Plazo fijo",ISNUMBER(G51),(G51-F51+1)/30.4375&gt;12),"⚠ Plazo fijo mayor a 1 año (máximo legal)",IF(J51&lt;&gt;"Sí","Pendiente de firma","OK")))))))))</f>
        <v/>
      </c>
      <c r="M51" s="62" t="str">
        <f aca="false">IF(B51="","",IFERROR(VALUE(LEFT(UPPER(SUBSTITUTE(SUBSTITUTE(SUBSTITUTE(TRIM(B51),".",""),"-","")," ","")),LEN(UPPER(SUBSTITUTE(SUBSTITUTE(SUBSTITUTE(TRIM(B51),".",""),"-","")," ","")))-1))&amp;RIGHT(UPPER(SUBSTITUTE(SUBSTITUTE(SUBSTITUTE(TRIM(B51),".",""),"-","")," ","")),1),UPPER(SUBSTITUTE(SUBSTITUTE(SUBSTITUTE(TRIM(B51),".",""),"-","")," ",""))))</f>
        <v/>
      </c>
      <c r="N51" s="62" t="str">
        <f aca="false">IF(B51="","",IF(D51="Anexo de modificación","No","Sí"))</f>
        <v/>
      </c>
      <c r="O51" s="62" t="str">
        <f aca="false">IF(AND(N51="Sí",ISNUMBER(F51)),COUNTIFS(C_RUTN,M51,C_DEF,"Sí",C_INI,"&lt;"&amp;F51)+COUNTIFS(M$7:M51,M51,N$7:N51,"Sí",F$7:F51,F51),"")</f>
        <v/>
      </c>
      <c r="P51" s="62" t="str">
        <f aca="false">IF(O51="","",M51&amp;"-P"&amp;O51)</f>
        <v/>
      </c>
      <c r="Q51" s="62" t="str">
        <f aca="false">IF(AND(N51="Sí",E51="Plazo fijo",ISNUMBER(F51)),COUNTIFS(C_RUTN,M51,C_TIPO,"Plazo fijo",C_DEF,"Sí",C_INI,"&lt;"&amp;F51)+COUNTIFS(M$7:M51,M51,E$7:E51,"Plazo fijo",N$7:N51,"Sí",F$7:F51,F51),"")</f>
        <v/>
      </c>
      <c r="R51" s="62" t="str">
        <f aca="false">IF(AND(B51&lt;&gt;"",ISNUMBER(H51),ISNUMBER(F51)),COUNTIFS(C_RUTN,M51,C_SUELDO,"&lt;&gt;",C_INI,"&lt;"&amp;F51)+COUNTIFS(M$7:M51,M51,H$7:H51,"&lt;&gt;",F$7:F51,F51),"")</f>
        <v/>
      </c>
      <c r="S51" s="62" t="str">
        <f aca="false">IF(R51="","",M51&amp;"-S"&amp;R51)</f>
        <v/>
      </c>
    </row>
    <row r="52" customFormat="false" ht="15" hidden="false" customHeight="false" outlineLevel="0" collapsed="false">
      <c r="B52" s="58"/>
      <c r="C52" s="62" t="str">
        <f aca="false">IF(B52="","",IFERROR(INDEX(T_NOMBRE,MATCH(M52,T_RUTN,0)),"⚠ RUT no está en Trabajadores"))</f>
        <v/>
      </c>
      <c r="D52" s="58"/>
      <c r="E52" s="58"/>
      <c r="F52" s="59"/>
      <c r="G52" s="59"/>
      <c r="H52" s="60"/>
      <c r="I52" s="58"/>
      <c r="J52" s="58"/>
      <c r="K52" s="58"/>
      <c r="L52" s="62" t="str">
        <f aca="false">IF(B52="","",IF(LEFT(C52,1)="⚠","⚠ Registre primero al trabajador en la hoja Trabajadores",IF(AND(N52="Sí",OR(E52="",NOT(ISNUMBER(F52)))),"⚠ Falta tipo de contrato o fecha de inicio",IF(NOT(ISNUMBER(F52)),"⚠ Falta fecha de inicio",IF(AND(N52="Sí",E52&lt;&gt;"Indefinido",NOT(ISNUMBER(G52))),"⚠ Falta fecha de término",IF(AND(D52="Paso a indefinido",E52&lt;&gt;"Indefinido"),"⚠ Un paso a indefinido debe tener tipo Indefinido",IF(N(Q52)&gt;=3,"⚠ 3er contrato a plazo fijo: por ley ya es INDEFINIDO (Art. 159 N°4)",IF(AND(E52="Plazo fijo",ISNUMBER(G52),(G52-F52+1)/30.4375&gt;12),"⚠ Plazo fijo mayor a 1 año (máximo legal)",IF(J52&lt;&gt;"Sí","Pendiente de firma","OK")))))))))</f>
        <v/>
      </c>
      <c r="M52" s="62" t="str">
        <f aca="false">IF(B52="","",IFERROR(VALUE(LEFT(UPPER(SUBSTITUTE(SUBSTITUTE(SUBSTITUTE(TRIM(B52),".",""),"-","")," ","")),LEN(UPPER(SUBSTITUTE(SUBSTITUTE(SUBSTITUTE(TRIM(B52),".",""),"-","")," ","")))-1))&amp;RIGHT(UPPER(SUBSTITUTE(SUBSTITUTE(SUBSTITUTE(TRIM(B52),".",""),"-","")," ","")),1),UPPER(SUBSTITUTE(SUBSTITUTE(SUBSTITUTE(TRIM(B52),".",""),"-","")," ",""))))</f>
        <v/>
      </c>
      <c r="N52" s="62" t="str">
        <f aca="false">IF(B52="","",IF(D52="Anexo de modificación","No","Sí"))</f>
        <v/>
      </c>
      <c r="O52" s="62" t="str">
        <f aca="false">IF(AND(N52="Sí",ISNUMBER(F52)),COUNTIFS(C_RUTN,M52,C_DEF,"Sí",C_INI,"&lt;"&amp;F52)+COUNTIFS(M$7:M52,M52,N$7:N52,"Sí",F$7:F52,F52),"")</f>
        <v/>
      </c>
      <c r="P52" s="62" t="str">
        <f aca="false">IF(O52="","",M52&amp;"-P"&amp;O52)</f>
        <v/>
      </c>
      <c r="Q52" s="62" t="str">
        <f aca="false">IF(AND(N52="Sí",E52="Plazo fijo",ISNUMBER(F52)),COUNTIFS(C_RUTN,M52,C_TIPO,"Plazo fijo",C_DEF,"Sí",C_INI,"&lt;"&amp;F52)+COUNTIFS(M$7:M52,M52,E$7:E52,"Plazo fijo",N$7:N52,"Sí",F$7:F52,F52),"")</f>
        <v/>
      </c>
      <c r="R52" s="62" t="str">
        <f aca="false">IF(AND(B52&lt;&gt;"",ISNUMBER(H52),ISNUMBER(F52)),COUNTIFS(C_RUTN,M52,C_SUELDO,"&lt;&gt;",C_INI,"&lt;"&amp;F52)+COUNTIFS(M$7:M52,M52,H$7:H52,"&lt;&gt;",F$7:F52,F52),"")</f>
        <v/>
      </c>
      <c r="S52" s="62" t="str">
        <f aca="false">IF(R52="","",M52&amp;"-S"&amp;R52)</f>
        <v/>
      </c>
    </row>
    <row r="53" customFormat="false" ht="15" hidden="false" customHeight="false" outlineLevel="0" collapsed="false">
      <c r="B53" s="58"/>
      <c r="C53" s="62" t="str">
        <f aca="false">IF(B53="","",IFERROR(INDEX(T_NOMBRE,MATCH(M53,T_RUTN,0)),"⚠ RUT no está en Trabajadores"))</f>
        <v/>
      </c>
      <c r="D53" s="58"/>
      <c r="E53" s="58"/>
      <c r="F53" s="59"/>
      <c r="G53" s="59"/>
      <c r="H53" s="60"/>
      <c r="I53" s="58"/>
      <c r="J53" s="58"/>
      <c r="K53" s="58"/>
      <c r="L53" s="62" t="str">
        <f aca="false">IF(B53="","",IF(LEFT(C53,1)="⚠","⚠ Registre primero al trabajador en la hoja Trabajadores",IF(AND(N53="Sí",OR(E53="",NOT(ISNUMBER(F53)))),"⚠ Falta tipo de contrato o fecha de inicio",IF(NOT(ISNUMBER(F53)),"⚠ Falta fecha de inicio",IF(AND(N53="Sí",E53&lt;&gt;"Indefinido",NOT(ISNUMBER(G53))),"⚠ Falta fecha de término",IF(AND(D53="Paso a indefinido",E53&lt;&gt;"Indefinido"),"⚠ Un paso a indefinido debe tener tipo Indefinido",IF(N(Q53)&gt;=3,"⚠ 3er contrato a plazo fijo: por ley ya es INDEFINIDO (Art. 159 N°4)",IF(AND(E53="Plazo fijo",ISNUMBER(G53),(G53-F53+1)/30.4375&gt;12),"⚠ Plazo fijo mayor a 1 año (máximo legal)",IF(J53&lt;&gt;"Sí","Pendiente de firma","OK")))))))))</f>
        <v/>
      </c>
      <c r="M53" s="62" t="str">
        <f aca="false">IF(B53="","",IFERROR(VALUE(LEFT(UPPER(SUBSTITUTE(SUBSTITUTE(SUBSTITUTE(TRIM(B53),".",""),"-","")," ","")),LEN(UPPER(SUBSTITUTE(SUBSTITUTE(SUBSTITUTE(TRIM(B53),".",""),"-","")," ","")))-1))&amp;RIGHT(UPPER(SUBSTITUTE(SUBSTITUTE(SUBSTITUTE(TRIM(B53),".",""),"-","")," ","")),1),UPPER(SUBSTITUTE(SUBSTITUTE(SUBSTITUTE(TRIM(B53),".",""),"-","")," ",""))))</f>
        <v/>
      </c>
      <c r="N53" s="62" t="str">
        <f aca="false">IF(B53="","",IF(D53="Anexo de modificación","No","Sí"))</f>
        <v/>
      </c>
      <c r="O53" s="62" t="str">
        <f aca="false">IF(AND(N53="Sí",ISNUMBER(F53)),COUNTIFS(C_RUTN,M53,C_DEF,"Sí",C_INI,"&lt;"&amp;F53)+COUNTIFS(M$7:M53,M53,N$7:N53,"Sí",F$7:F53,F53),"")</f>
        <v/>
      </c>
      <c r="P53" s="62" t="str">
        <f aca="false">IF(O53="","",M53&amp;"-P"&amp;O53)</f>
        <v/>
      </c>
      <c r="Q53" s="62" t="str">
        <f aca="false">IF(AND(N53="Sí",E53="Plazo fijo",ISNUMBER(F53)),COUNTIFS(C_RUTN,M53,C_TIPO,"Plazo fijo",C_DEF,"Sí",C_INI,"&lt;"&amp;F53)+COUNTIFS(M$7:M53,M53,E$7:E53,"Plazo fijo",N$7:N53,"Sí",F$7:F53,F53),"")</f>
        <v/>
      </c>
      <c r="R53" s="62" t="str">
        <f aca="false">IF(AND(B53&lt;&gt;"",ISNUMBER(H53),ISNUMBER(F53)),COUNTIFS(C_RUTN,M53,C_SUELDO,"&lt;&gt;",C_INI,"&lt;"&amp;F53)+COUNTIFS(M$7:M53,M53,H$7:H53,"&lt;&gt;",F$7:F53,F53),"")</f>
        <v/>
      </c>
      <c r="S53" s="62" t="str">
        <f aca="false">IF(R53="","",M53&amp;"-S"&amp;R53)</f>
        <v/>
      </c>
    </row>
    <row r="54" customFormat="false" ht="15" hidden="false" customHeight="false" outlineLevel="0" collapsed="false">
      <c r="B54" s="58"/>
      <c r="C54" s="62" t="str">
        <f aca="false">IF(B54="","",IFERROR(INDEX(T_NOMBRE,MATCH(M54,T_RUTN,0)),"⚠ RUT no está en Trabajadores"))</f>
        <v/>
      </c>
      <c r="D54" s="58"/>
      <c r="E54" s="58"/>
      <c r="F54" s="59"/>
      <c r="G54" s="59"/>
      <c r="H54" s="60"/>
      <c r="I54" s="58"/>
      <c r="J54" s="58"/>
      <c r="K54" s="58"/>
      <c r="L54" s="62" t="str">
        <f aca="false">IF(B54="","",IF(LEFT(C54,1)="⚠","⚠ Registre primero al trabajador en la hoja Trabajadores",IF(AND(N54="Sí",OR(E54="",NOT(ISNUMBER(F54)))),"⚠ Falta tipo de contrato o fecha de inicio",IF(NOT(ISNUMBER(F54)),"⚠ Falta fecha de inicio",IF(AND(N54="Sí",E54&lt;&gt;"Indefinido",NOT(ISNUMBER(G54))),"⚠ Falta fecha de término",IF(AND(D54="Paso a indefinido",E54&lt;&gt;"Indefinido"),"⚠ Un paso a indefinido debe tener tipo Indefinido",IF(N(Q54)&gt;=3,"⚠ 3er contrato a plazo fijo: por ley ya es INDEFINIDO (Art. 159 N°4)",IF(AND(E54="Plazo fijo",ISNUMBER(G54),(G54-F54+1)/30.4375&gt;12),"⚠ Plazo fijo mayor a 1 año (máximo legal)",IF(J54&lt;&gt;"Sí","Pendiente de firma","OK")))))))))</f>
        <v/>
      </c>
      <c r="M54" s="62" t="str">
        <f aca="false">IF(B54="","",IFERROR(VALUE(LEFT(UPPER(SUBSTITUTE(SUBSTITUTE(SUBSTITUTE(TRIM(B54),".",""),"-","")," ","")),LEN(UPPER(SUBSTITUTE(SUBSTITUTE(SUBSTITUTE(TRIM(B54),".",""),"-","")," ","")))-1))&amp;RIGHT(UPPER(SUBSTITUTE(SUBSTITUTE(SUBSTITUTE(TRIM(B54),".",""),"-","")," ","")),1),UPPER(SUBSTITUTE(SUBSTITUTE(SUBSTITUTE(TRIM(B54),".",""),"-","")," ",""))))</f>
        <v/>
      </c>
      <c r="N54" s="62" t="str">
        <f aca="false">IF(B54="","",IF(D54="Anexo de modificación","No","Sí"))</f>
        <v/>
      </c>
      <c r="O54" s="62" t="str">
        <f aca="false">IF(AND(N54="Sí",ISNUMBER(F54)),COUNTIFS(C_RUTN,M54,C_DEF,"Sí",C_INI,"&lt;"&amp;F54)+COUNTIFS(M$7:M54,M54,N$7:N54,"Sí",F$7:F54,F54),"")</f>
        <v/>
      </c>
      <c r="P54" s="62" t="str">
        <f aca="false">IF(O54="","",M54&amp;"-P"&amp;O54)</f>
        <v/>
      </c>
      <c r="Q54" s="62" t="str">
        <f aca="false">IF(AND(N54="Sí",E54="Plazo fijo",ISNUMBER(F54)),COUNTIFS(C_RUTN,M54,C_TIPO,"Plazo fijo",C_DEF,"Sí",C_INI,"&lt;"&amp;F54)+COUNTIFS(M$7:M54,M54,E$7:E54,"Plazo fijo",N$7:N54,"Sí",F$7:F54,F54),"")</f>
        <v/>
      </c>
      <c r="R54" s="62" t="str">
        <f aca="false">IF(AND(B54&lt;&gt;"",ISNUMBER(H54),ISNUMBER(F54)),COUNTIFS(C_RUTN,M54,C_SUELDO,"&lt;&gt;",C_INI,"&lt;"&amp;F54)+COUNTIFS(M$7:M54,M54,H$7:H54,"&lt;&gt;",F$7:F54,F54),"")</f>
        <v/>
      </c>
      <c r="S54" s="62" t="str">
        <f aca="false">IF(R54="","",M54&amp;"-S"&amp;R54)</f>
        <v/>
      </c>
    </row>
    <row r="55" customFormat="false" ht="15" hidden="false" customHeight="false" outlineLevel="0" collapsed="false">
      <c r="B55" s="58"/>
      <c r="C55" s="62" t="str">
        <f aca="false">IF(B55="","",IFERROR(INDEX(T_NOMBRE,MATCH(M55,T_RUTN,0)),"⚠ RUT no está en Trabajadores"))</f>
        <v/>
      </c>
      <c r="D55" s="58"/>
      <c r="E55" s="58"/>
      <c r="F55" s="59"/>
      <c r="G55" s="59"/>
      <c r="H55" s="60"/>
      <c r="I55" s="58"/>
      <c r="J55" s="58"/>
      <c r="K55" s="58"/>
      <c r="L55" s="62" t="str">
        <f aca="false">IF(B55="","",IF(LEFT(C55,1)="⚠","⚠ Registre primero al trabajador en la hoja Trabajadores",IF(AND(N55="Sí",OR(E55="",NOT(ISNUMBER(F55)))),"⚠ Falta tipo de contrato o fecha de inicio",IF(NOT(ISNUMBER(F55)),"⚠ Falta fecha de inicio",IF(AND(N55="Sí",E55&lt;&gt;"Indefinido",NOT(ISNUMBER(G55))),"⚠ Falta fecha de término",IF(AND(D55="Paso a indefinido",E55&lt;&gt;"Indefinido"),"⚠ Un paso a indefinido debe tener tipo Indefinido",IF(N(Q55)&gt;=3,"⚠ 3er contrato a plazo fijo: por ley ya es INDEFINIDO (Art. 159 N°4)",IF(AND(E55="Plazo fijo",ISNUMBER(G55),(G55-F55+1)/30.4375&gt;12),"⚠ Plazo fijo mayor a 1 año (máximo legal)",IF(J55&lt;&gt;"Sí","Pendiente de firma","OK")))))))))</f>
        <v/>
      </c>
      <c r="M55" s="62" t="str">
        <f aca="false">IF(B55="","",IFERROR(VALUE(LEFT(UPPER(SUBSTITUTE(SUBSTITUTE(SUBSTITUTE(TRIM(B55),".",""),"-","")," ","")),LEN(UPPER(SUBSTITUTE(SUBSTITUTE(SUBSTITUTE(TRIM(B55),".",""),"-","")," ","")))-1))&amp;RIGHT(UPPER(SUBSTITUTE(SUBSTITUTE(SUBSTITUTE(TRIM(B55),".",""),"-","")," ","")),1),UPPER(SUBSTITUTE(SUBSTITUTE(SUBSTITUTE(TRIM(B55),".",""),"-","")," ",""))))</f>
        <v/>
      </c>
      <c r="N55" s="62" t="str">
        <f aca="false">IF(B55="","",IF(D55="Anexo de modificación","No","Sí"))</f>
        <v/>
      </c>
      <c r="O55" s="62" t="str">
        <f aca="false">IF(AND(N55="Sí",ISNUMBER(F55)),COUNTIFS(C_RUTN,M55,C_DEF,"Sí",C_INI,"&lt;"&amp;F55)+COUNTIFS(M$7:M55,M55,N$7:N55,"Sí",F$7:F55,F55),"")</f>
        <v/>
      </c>
      <c r="P55" s="62" t="str">
        <f aca="false">IF(O55="","",M55&amp;"-P"&amp;O55)</f>
        <v/>
      </c>
      <c r="Q55" s="62" t="str">
        <f aca="false">IF(AND(N55="Sí",E55="Plazo fijo",ISNUMBER(F55)),COUNTIFS(C_RUTN,M55,C_TIPO,"Plazo fijo",C_DEF,"Sí",C_INI,"&lt;"&amp;F55)+COUNTIFS(M$7:M55,M55,E$7:E55,"Plazo fijo",N$7:N55,"Sí",F$7:F55,F55),"")</f>
        <v/>
      </c>
      <c r="R55" s="62" t="str">
        <f aca="false">IF(AND(B55&lt;&gt;"",ISNUMBER(H55),ISNUMBER(F55)),COUNTIFS(C_RUTN,M55,C_SUELDO,"&lt;&gt;",C_INI,"&lt;"&amp;F55)+COUNTIFS(M$7:M55,M55,H$7:H55,"&lt;&gt;",F$7:F55,F55),"")</f>
        <v/>
      </c>
      <c r="S55" s="62" t="str">
        <f aca="false">IF(R55="","",M55&amp;"-S"&amp;R55)</f>
        <v/>
      </c>
    </row>
    <row r="56" customFormat="false" ht="15" hidden="false" customHeight="false" outlineLevel="0" collapsed="false">
      <c r="B56" s="58"/>
      <c r="C56" s="62" t="str">
        <f aca="false">IF(B56="","",IFERROR(INDEX(T_NOMBRE,MATCH(M56,T_RUTN,0)),"⚠ RUT no está en Trabajadores"))</f>
        <v/>
      </c>
      <c r="D56" s="58"/>
      <c r="E56" s="58"/>
      <c r="F56" s="59"/>
      <c r="G56" s="59"/>
      <c r="H56" s="60"/>
      <c r="I56" s="58"/>
      <c r="J56" s="58"/>
      <c r="K56" s="58"/>
      <c r="L56" s="62" t="str">
        <f aca="false">IF(B56="","",IF(LEFT(C56,1)="⚠","⚠ Registre primero al trabajador en la hoja Trabajadores",IF(AND(N56="Sí",OR(E56="",NOT(ISNUMBER(F56)))),"⚠ Falta tipo de contrato o fecha de inicio",IF(NOT(ISNUMBER(F56)),"⚠ Falta fecha de inicio",IF(AND(N56="Sí",E56&lt;&gt;"Indefinido",NOT(ISNUMBER(G56))),"⚠ Falta fecha de término",IF(AND(D56="Paso a indefinido",E56&lt;&gt;"Indefinido"),"⚠ Un paso a indefinido debe tener tipo Indefinido",IF(N(Q56)&gt;=3,"⚠ 3er contrato a plazo fijo: por ley ya es INDEFINIDO (Art. 159 N°4)",IF(AND(E56="Plazo fijo",ISNUMBER(G56),(G56-F56+1)/30.4375&gt;12),"⚠ Plazo fijo mayor a 1 año (máximo legal)",IF(J56&lt;&gt;"Sí","Pendiente de firma","OK")))))))))</f>
        <v/>
      </c>
      <c r="M56" s="62" t="str">
        <f aca="false">IF(B56="","",IFERROR(VALUE(LEFT(UPPER(SUBSTITUTE(SUBSTITUTE(SUBSTITUTE(TRIM(B56),".",""),"-","")," ","")),LEN(UPPER(SUBSTITUTE(SUBSTITUTE(SUBSTITUTE(TRIM(B56),".",""),"-","")," ","")))-1))&amp;RIGHT(UPPER(SUBSTITUTE(SUBSTITUTE(SUBSTITUTE(TRIM(B56),".",""),"-","")," ","")),1),UPPER(SUBSTITUTE(SUBSTITUTE(SUBSTITUTE(TRIM(B56),".",""),"-","")," ",""))))</f>
        <v/>
      </c>
      <c r="N56" s="62" t="str">
        <f aca="false">IF(B56="","",IF(D56="Anexo de modificación","No","Sí"))</f>
        <v/>
      </c>
      <c r="O56" s="62" t="str">
        <f aca="false">IF(AND(N56="Sí",ISNUMBER(F56)),COUNTIFS(C_RUTN,M56,C_DEF,"Sí",C_INI,"&lt;"&amp;F56)+COUNTIFS(M$7:M56,M56,N$7:N56,"Sí",F$7:F56,F56),"")</f>
        <v/>
      </c>
      <c r="P56" s="62" t="str">
        <f aca="false">IF(O56="","",M56&amp;"-P"&amp;O56)</f>
        <v/>
      </c>
      <c r="Q56" s="62" t="str">
        <f aca="false">IF(AND(N56="Sí",E56="Plazo fijo",ISNUMBER(F56)),COUNTIFS(C_RUTN,M56,C_TIPO,"Plazo fijo",C_DEF,"Sí",C_INI,"&lt;"&amp;F56)+COUNTIFS(M$7:M56,M56,E$7:E56,"Plazo fijo",N$7:N56,"Sí",F$7:F56,F56),"")</f>
        <v/>
      </c>
      <c r="R56" s="62" t="str">
        <f aca="false">IF(AND(B56&lt;&gt;"",ISNUMBER(H56),ISNUMBER(F56)),COUNTIFS(C_RUTN,M56,C_SUELDO,"&lt;&gt;",C_INI,"&lt;"&amp;F56)+COUNTIFS(M$7:M56,M56,H$7:H56,"&lt;&gt;",F$7:F56,F56),"")</f>
        <v/>
      </c>
      <c r="S56" s="62" t="str">
        <f aca="false">IF(R56="","",M56&amp;"-S"&amp;R56)</f>
        <v/>
      </c>
    </row>
    <row r="57" customFormat="false" ht="15" hidden="false" customHeight="false" outlineLevel="0" collapsed="false">
      <c r="B57" s="58"/>
      <c r="C57" s="62" t="str">
        <f aca="false">IF(B57="","",IFERROR(INDEX(T_NOMBRE,MATCH(M57,T_RUTN,0)),"⚠ RUT no está en Trabajadores"))</f>
        <v/>
      </c>
      <c r="D57" s="58"/>
      <c r="E57" s="58"/>
      <c r="F57" s="59"/>
      <c r="G57" s="59"/>
      <c r="H57" s="60"/>
      <c r="I57" s="58"/>
      <c r="J57" s="58"/>
      <c r="K57" s="58"/>
      <c r="L57" s="62" t="str">
        <f aca="false">IF(B57="","",IF(LEFT(C57,1)="⚠","⚠ Registre primero al trabajador en la hoja Trabajadores",IF(AND(N57="Sí",OR(E57="",NOT(ISNUMBER(F57)))),"⚠ Falta tipo de contrato o fecha de inicio",IF(NOT(ISNUMBER(F57)),"⚠ Falta fecha de inicio",IF(AND(N57="Sí",E57&lt;&gt;"Indefinido",NOT(ISNUMBER(G57))),"⚠ Falta fecha de término",IF(AND(D57="Paso a indefinido",E57&lt;&gt;"Indefinido"),"⚠ Un paso a indefinido debe tener tipo Indefinido",IF(N(Q57)&gt;=3,"⚠ 3er contrato a plazo fijo: por ley ya es INDEFINIDO (Art. 159 N°4)",IF(AND(E57="Plazo fijo",ISNUMBER(G57),(G57-F57+1)/30.4375&gt;12),"⚠ Plazo fijo mayor a 1 año (máximo legal)",IF(J57&lt;&gt;"Sí","Pendiente de firma","OK")))))))))</f>
        <v/>
      </c>
      <c r="M57" s="62" t="str">
        <f aca="false">IF(B57="","",IFERROR(VALUE(LEFT(UPPER(SUBSTITUTE(SUBSTITUTE(SUBSTITUTE(TRIM(B57),".",""),"-","")," ","")),LEN(UPPER(SUBSTITUTE(SUBSTITUTE(SUBSTITUTE(TRIM(B57),".",""),"-","")," ","")))-1))&amp;RIGHT(UPPER(SUBSTITUTE(SUBSTITUTE(SUBSTITUTE(TRIM(B57),".",""),"-","")," ","")),1),UPPER(SUBSTITUTE(SUBSTITUTE(SUBSTITUTE(TRIM(B57),".",""),"-","")," ",""))))</f>
        <v/>
      </c>
      <c r="N57" s="62" t="str">
        <f aca="false">IF(B57="","",IF(D57="Anexo de modificación","No","Sí"))</f>
        <v/>
      </c>
      <c r="O57" s="62" t="str">
        <f aca="false">IF(AND(N57="Sí",ISNUMBER(F57)),COUNTIFS(C_RUTN,M57,C_DEF,"Sí",C_INI,"&lt;"&amp;F57)+COUNTIFS(M$7:M57,M57,N$7:N57,"Sí",F$7:F57,F57),"")</f>
        <v/>
      </c>
      <c r="P57" s="62" t="str">
        <f aca="false">IF(O57="","",M57&amp;"-P"&amp;O57)</f>
        <v/>
      </c>
      <c r="Q57" s="62" t="str">
        <f aca="false">IF(AND(N57="Sí",E57="Plazo fijo",ISNUMBER(F57)),COUNTIFS(C_RUTN,M57,C_TIPO,"Plazo fijo",C_DEF,"Sí",C_INI,"&lt;"&amp;F57)+COUNTIFS(M$7:M57,M57,E$7:E57,"Plazo fijo",N$7:N57,"Sí",F$7:F57,F57),"")</f>
        <v/>
      </c>
      <c r="R57" s="62" t="str">
        <f aca="false">IF(AND(B57&lt;&gt;"",ISNUMBER(H57),ISNUMBER(F57)),COUNTIFS(C_RUTN,M57,C_SUELDO,"&lt;&gt;",C_INI,"&lt;"&amp;F57)+COUNTIFS(M$7:M57,M57,H$7:H57,"&lt;&gt;",F$7:F57,F57),"")</f>
        <v/>
      </c>
      <c r="S57" s="62" t="str">
        <f aca="false">IF(R57="","",M57&amp;"-S"&amp;R57)</f>
        <v/>
      </c>
    </row>
    <row r="58" customFormat="false" ht="15" hidden="false" customHeight="false" outlineLevel="0" collapsed="false">
      <c r="B58" s="58"/>
      <c r="C58" s="62" t="str">
        <f aca="false">IF(B58="","",IFERROR(INDEX(T_NOMBRE,MATCH(M58,T_RUTN,0)),"⚠ RUT no está en Trabajadores"))</f>
        <v/>
      </c>
      <c r="D58" s="58"/>
      <c r="E58" s="58"/>
      <c r="F58" s="59"/>
      <c r="G58" s="59"/>
      <c r="H58" s="60"/>
      <c r="I58" s="58"/>
      <c r="J58" s="58"/>
      <c r="K58" s="58"/>
      <c r="L58" s="62" t="str">
        <f aca="false">IF(B58="","",IF(LEFT(C58,1)="⚠","⚠ Registre primero al trabajador en la hoja Trabajadores",IF(AND(N58="Sí",OR(E58="",NOT(ISNUMBER(F58)))),"⚠ Falta tipo de contrato o fecha de inicio",IF(NOT(ISNUMBER(F58)),"⚠ Falta fecha de inicio",IF(AND(N58="Sí",E58&lt;&gt;"Indefinido",NOT(ISNUMBER(G58))),"⚠ Falta fecha de término",IF(AND(D58="Paso a indefinido",E58&lt;&gt;"Indefinido"),"⚠ Un paso a indefinido debe tener tipo Indefinido",IF(N(Q58)&gt;=3,"⚠ 3er contrato a plazo fijo: por ley ya es INDEFINIDO (Art. 159 N°4)",IF(AND(E58="Plazo fijo",ISNUMBER(G58),(G58-F58+1)/30.4375&gt;12),"⚠ Plazo fijo mayor a 1 año (máximo legal)",IF(J58&lt;&gt;"Sí","Pendiente de firma","OK")))))))))</f>
        <v/>
      </c>
      <c r="M58" s="62" t="str">
        <f aca="false">IF(B58="","",IFERROR(VALUE(LEFT(UPPER(SUBSTITUTE(SUBSTITUTE(SUBSTITUTE(TRIM(B58),".",""),"-","")," ","")),LEN(UPPER(SUBSTITUTE(SUBSTITUTE(SUBSTITUTE(TRIM(B58),".",""),"-","")," ","")))-1))&amp;RIGHT(UPPER(SUBSTITUTE(SUBSTITUTE(SUBSTITUTE(TRIM(B58),".",""),"-","")," ","")),1),UPPER(SUBSTITUTE(SUBSTITUTE(SUBSTITUTE(TRIM(B58),".",""),"-","")," ",""))))</f>
        <v/>
      </c>
      <c r="N58" s="62" t="str">
        <f aca="false">IF(B58="","",IF(D58="Anexo de modificación","No","Sí"))</f>
        <v/>
      </c>
      <c r="O58" s="62" t="str">
        <f aca="false">IF(AND(N58="Sí",ISNUMBER(F58)),COUNTIFS(C_RUTN,M58,C_DEF,"Sí",C_INI,"&lt;"&amp;F58)+COUNTIFS(M$7:M58,M58,N$7:N58,"Sí",F$7:F58,F58),"")</f>
        <v/>
      </c>
      <c r="P58" s="62" t="str">
        <f aca="false">IF(O58="","",M58&amp;"-P"&amp;O58)</f>
        <v/>
      </c>
      <c r="Q58" s="62" t="str">
        <f aca="false">IF(AND(N58="Sí",E58="Plazo fijo",ISNUMBER(F58)),COUNTIFS(C_RUTN,M58,C_TIPO,"Plazo fijo",C_DEF,"Sí",C_INI,"&lt;"&amp;F58)+COUNTIFS(M$7:M58,M58,E$7:E58,"Plazo fijo",N$7:N58,"Sí",F$7:F58,F58),"")</f>
        <v/>
      </c>
      <c r="R58" s="62" t="str">
        <f aca="false">IF(AND(B58&lt;&gt;"",ISNUMBER(H58),ISNUMBER(F58)),COUNTIFS(C_RUTN,M58,C_SUELDO,"&lt;&gt;",C_INI,"&lt;"&amp;F58)+COUNTIFS(M$7:M58,M58,H$7:H58,"&lt;&gt;",F$7:F58,F58),"")</f>
        <v/>
      </c>
      <c r="S58" s="62" t="str">
        <f aca="false">IF(R58="","",M58&amp;"-S"&amp;R58)</f>
        <v/>
      </c>
    </row>
    <row r="59" customFormat="false" ht="15" hidden="false" customHeight="false" outlineLevel="0" collapsed="false">
      <c r="B59" s="58"/>
      <c r="C59" s="62" t="str">
        <f aca="false">IF(B59="","",IFERROR(INDEX(T_NOMBRE,MATCH(M59,T_RUTN,0)),"⚠ RUT no está en Trabajadores"))</f>
        <v/>
      </c>
      <c r="D59" s="58"/>
      <c r="E59" s="58"/>
      <c r="F59" s="59"/>
      <c r="G59" s="59"/>
      <c r="H59" s="60"/>
      <c r="I59" s="58"/>
      <c r="J59" s="58"/>
      <c r="K59" s="58"/>
      <c r="L59" s="62" t="str">
        <f aca="false">IF(B59="","",IF(LEFT(C59,1)="⚠","⚠ Registre primero al trabajador en la hoja Trabajadores",IF(AND(N59="Sí",OR(E59="",NOT(ISNUMBER(F59)))),"⚠ Falta tipo de contrato o fecha de inicio",IF(NOT(ISNUMBER(F59)),"⚠ Falta fecha de inicio",IF(AND(N59="Sí",E59&lt;&gt;"Indefinido",NOT(ISNUMBER(G59))),"⚠ Falta fecha de término",IF(AND(D59="Paso a indefinido",E59&lt;&gt;"Indefinido"),"⚠ Un paso a indefinido debe tener tipo Indefinido",IF(N(Q59)&gt;=3,"⚠ 3er contrato a plazo fijo: por ley ya es INDEFINIDO (Art. 159 N°4)",IF(AND(E59="Plazo fijo",ISNUMBER(G59),(G59-F59+1)/30.4375&gt;12),"⚠ Plazo fijo mayor a 1 año (máximo legal)",IF(J59&lt;&gt;"Sí","Pendiente de firma","OK")))))))))</f>
        <v/>
      </c>
      <c r="M59" s="62" t="str">
        <f aca="false">IF(B59="","",IFERROR(VALUE(LEFT(UPPER(SUBSTITUTE(SUBSTITUTE(SUBSTITUTE(TRIM(B59),".",""),"-","")," ","")),LEN(UPPER(SUBSTITUTE(SUBSTITUTE(SUBSTITUTE(TRIM(B59),".",""),"-","")," ","")))-1))&amp;RIGHT(UPPER(SUBSTITUTE(SUBSTITUTE(SUBSTITUTE(TRIM(B59),".",""),"-","")," ","")),1),UPPER(SUBSTITUTE(SUBSTITUTE(SUBSTITUTE(TRIM(B59),".",""),"-","")," ",""))))</f>
        <v/>
      </c>
      <c r="N59" s="62" t="str">
        <f aca="false">IF(B59="","",IF(D59="Anexo de modificación","No","Sí"))</f>
        <v/>
      </c>
      <c r="O59" s="62" t="str">
        <f aca="false">IF(AND(N59="Sí",ISNUMBER(F59)),COUNTIFS(C_RUTN,M59,C_DEF,"Sí",C_INI,"&lt;"&amp;F59)+COUNTIFS(M$7:M59,M59,N$7:N59,"Sí",F$7:F59,F59),"")</f>
        <v/>
      </c>
      <c r="P59" s="62" t="str">
        <f aca="false">IF(O59="","",M59&amp;"-P"&amp;O59)</f>
        <v/>
      </c>
      <c r="Q59" s="62" t="str">
        <f aca="false">IF(AND(N59="Sí",E59="Plazo fijo",ISNUMBER(F59)),COUNTIFS(C_RUTN,M59,C_TIPO,"Plazo fijo",C_DEF,"Sí",C_INI,"&lt;"&amp;F59)+COUNTIFS(M$7:M59,M59,E$7:E59,"Plazo fijo",N$7:N59,"Sí",F$7:F59,F59),"")</f>
        <v/>
      </c>
      <c r="R59" s="62" t="str">
        <f aca="false">IF(AND(B59&lt;&gt;"",ISNUMBER(H59),ISNUMBER(F59)),COUNTIFS(C_RUTN,M59,C_SUELDO,"&lt;&gt;",C_INI,"&lt;"&amp;F59)+COUNTIFS(M$7:M59,M59,H$7:H59,"&lt;&gt;",F$7:F59,F59),"")</f>
        <v/>
      </c>
      <c r="S59" s="62" t="str">
        <f aca="false">IF(R59="","",M59&amp;"-S"&amp;R59)</f>
        <v/>
      </c>
    </row>
    <row r="60" customFormat="false" ht="15" hidden="false" customHeight="false" outlineLevel="0" collapsed="false">
      <c r="B60" s="58"/>
      <c r="C60" s="62" t="str">
        <f aca="false">IF(B60="","",IFERROR(INDEX(T_NOMBRE,MATCH(M60,T_RUTN,0)),"⚠ RUT no está en Trabajadores"))</f>
        <v/>
      </c>
      <c r="D60" s="58"/>
      <c r="E60" s="58"/>
      <c r="F60" s="59"/>
      <c r="G60" s="59"/>
      <c r="H60" s="60"/>
      <c r="I60" s="58"/>
      <c r="J60" s="58"/>
      <c r="K60" s="58"/>
      <c r="L60" s="62" t="str">
        <f aca="false">IF(B60="","",IF(LEFT(C60,1)="⚠","⚠ Registre primero al trabajador en la hoja Trabajadores",IF(AND(N60="Sí",OR(E60="",NOT(ISNUMBER(F60)))),"⚠ Falta tipo de contrato o fecha de inicio",IF(NOT(ISNUMBER(F60)),"⚠ Falta fecha de inicio",IF(AND(N60="Sí",E60&lt;&gt;"Indefinido",NOT(ISNUMBER(G60))),"⚠ Falta fecha de término",IF(AND(D60="Paso a indefinido",E60&lt;&gt;"Indefinido"),"⚠ Un paso a indefinido debe tener tipo Indefinido",IF(N(Q60)&gt;=3,"⚠ 3er contrato a plazo fijo: por ley ya es INDEFINIDO (Art. 159 N°4)",IF(AND(E60="Plazo fijo",ISNUMBER(G60),(G60-F60+1)/30.4375&gt;12),"⚠ Plazo fijo mayor a 1 año (máximo legal)",IF(J60&lt;&gt;"Sí","Pendiente de firma","OK")))))))))</f>
        <v/>
      </c>
      <c r="M60" s="62" t="str">
        <f aca="false">IF(B60="","",IFERROR(VALUE(LEFT(UPPER(SUBSTITUTE(SUBSTITUTE(SUBSTITUTE(TRIM(B60),".",""),"-","")," ","")),LEN(UPPER(SUBSTITUTE(SUBSTITUTE(SUBSTITUTE(TRIM(B60),".",""),"-","")," ","")))-1))&amp;RIGHT(UPPER(SUBSTITUTE(SUBSTITUTE(SUBSTITUTE(TRIM(B60),".",""),"-","")," ","")),1),UPPER(SUBSTITUTE(SUBSTITUTE(SUBSTITUTE(TRIM(B60),".",""),"-","")," ",""))))</f>
        <v/>
      </c>
      <c r="N60" s="62" t="str">
        <f aca="false">IF(B60="","",IF(D60="Anexo de modificación","No","Sí"))</f>
        <v/>
      </c>
      <c r="O60" s="62" t="str">
        <f aca="false">IF(AND(N60="Sí",ISNUMBER(F60)),COUNTIFS(C_RUTN,M60,C_DEF,"Sí",C_INI,"&lt;"&amp;F60)+COUNTIFS(M$7:M60,M60,N$7:N60,"Sí",F$7:F60,F60),"")</f>
        <v/>
      </c>
      <c r="P60" s="62" t="str">
        <f aca="false">IF(O60="","",M60&amp;"-P"&amp;O60)</f>
        <v/>
      </c>
      <c r="Q60" s="62" t="str">
        <f aca="false">IF(AND(N60="Sí",E60="Plazo fijo",ISNUMBER(F60)),COUNTIFS(C_RUTN,M60,C_TIPO,"Plazo fijo",C_DEF,"Sí",C_INI,"&lt;"&amp;F60)+COUNTIFS(M$7:M60,M60,E$7:E60,"Plazo fijo",N$7:N60,"Sí",F$7:F60,F60),"")</f>
        <v/>
      </c>
      <c r="R60" s="62" t="str">
        <f aca="false">IF(AND(B60&lt;&gt;"",ISNUMBER(H60),ISNUMBER(F60)),COUNTIFS(C_RUTN,M60,C_SUELDO,"&lt;&gt;",C_INI,"&lt;"&amp;F60)+COUNTIFS(M$7:M60,M60,H$7:H60,"&lt;&gt;",F$7:F60,F60),"")</f>
        <v/>
      </c>
      <c r="S60" s="62" t="str">
        <f aca="false">IF(R60="","",M60&amp;"-S"&amp;R60)</f>
        <v/>
      </c>
    </row>
    <row r="61" customFormat="false" ht="15" hidden="false" customHeight="false" outlineLevel="0" collapsed="false">
      <c r="B61" s="58"/>
      <c r="C61" s="62" t="str">
        <f aca="false">IF(B61="","",IFERROR(INDEX(T_NOMBRE,MATCH(M61,T_RUTN,0)),"⚠ RUT no está en Trabajadores"))</f>
        <v/>
      </c>
      <c r="D61" s="58"/>
      <c r="E61" s="58"/>
      <c r="F61" s="59"/>
      <c r="G61" s="59"/>
      <c r="H61" s="60"/>
      <c r="I61" s="58"/>
      <c r="J61" s="58"/>
      <c r="K61" s="58"/>
      <c r="L61" s="62" t="str">
        <f aca="false">IF(B61="","",IF(LEFT(C61,1)="⚠","⚠ Registre primero al trabajador en la hoja Trabajadores",IF(AND(N61="Sí",OR(E61="",NOT(ISNUMBER(F61)))),"⚠ Falta tipo de contrato o fecha de inicio",IF(NOT(ISNUMBER(F61)),"⚠ Falta fecha de inicio",IF(AND(N61="Sí",E61&lt;&gt;"Indefinido",NOT(ISNUMBER(G61))),"⚠ Falta fecha de término",IF(AND(D61="Paso a indefinido",E61&lt;&gt;"Indefinido"),"⚠ Un paso a indefinido debe tener tipo Indefinido",IF(N(Q61)&gt;=3,"⚠ 3er contrato a plazo fijo: por ley ya es INDEFINIDO (Art. 159 N°4)",IF(AND(E61="Plazo fijo",ISNUMBER(G61),(G61-F61+1)/30.4375&gt;12),"⚠ Plazo fijo mayor a 1 año (máximo legal)",IF(J61&lt;&gt;"Sí","Pendiente de firma","OK")))))))))</f>
        <v/>
      </c>
      <c r="M61" s="62" t="str">
        <f aca="false">IF(B61="","",IFERROR(VALUE(LEFT(UPPER(SUBSTITUTE(SUBSTITUTE(SUBSTITUTE(TRIM(B61),".",""),"-","")," ","")),LEN(UPPER(SUBSTITUTE(SUBSTITUTE(SUBSTITUTE(TRIM(B61),".",""),"-","")," ","")))-1))&amp;RIGHT(UPPER(SUBSTITUTE(SUBSTITUTE(SUBSTITUTE(TRIM(B61),".",""),"-","")," ","")),1),UPPER(SUBSTITUTE(SUBSTITUTE(SUBSTITUTE(TRIM(B61),".",""),"-","")," ",""))))</f>
        <v/>
      </c>
      <c r="N61" s="62" t="str">
        <f aca="false">IF(B61="","",IF(D61="Anexo de modificación","No","Sí"))</f>
        <v/>
      </c>
      <c r="O61" s="62" t="str">
        <f aca="false">IF(AND(N61="Sí",ISNUMBER(F61)),COUNTIFS(C_RUTN,M61,C_DEF,"Sí",C_INI,"&lt;"&amp;F61)+COUNTIFS(M$7:M61,M61,N$7:N61,"Sí",F$7:F61,F61),"")</f>
        <v/>
      </c>
      <c r="P61" s="62" t="str">
        <f aca="false">IF(O61="","",M61&amp;"-P"&amp;O61)</f>
        <v/>
      </c>
      <c r="Q61" s="62" t="str">
        <f aca="false">IF(AND(N61="Sí",E61="Plazo fijo",ISNUMBER(F61)),COUNTIFS(C_RUTN,M61,C_TIPO,"Plazo fijo",C_DEF,"Sí",C_INI,"&lt;"&amp;F61)+COUNTIFS(M$7:M61,M61,E$7:E61,"Plazo fijo",N$7:N61,"Sí",F$7:F61,F61),"")</f>
        <v/>
      </c>
      <c r="R61" s="62" t="str">
        <f aca="false">IF(AND(B61&lt;&gt;"",ISNUMBER(H61),ISNUMBER(F61)),COUNTIFS(C_RUTN,M61,C_SUELDO,"&lt;&gt;",C_INI,"&lt;"&amp;F61)+COUNTIFS(M$7:M61,M61,H$7:H61,"&lt;&gt;",F$7:F61,F61),"")</f>
        <v/>
      </c>
      <c r="S61" s="62" t="str">
        <f aca="false">IF(R61="","",M61&amp;"-S"&amp;R61)</f>
        <v/>
      </c>
    </row>
    <row r="62" customFormat="false" ht="15" hidden="false" customHeight="false" outlineLevel="0" collapsed="false">
      <c r="B62" s="58"/>
      <c r="C62" s="62" t="str">
        <f aca="false">IF(B62="","",IFERROR(INDEX(T_NOMBRE,MATCH(M62,T_RUTN,0)),"⚠ RUT no está en Trabajadores"))</f>
        <v/>
      </c>
      <c r="D62" s="58"/>
      <c r="E62" s="58"/>
      <c r="F62" s="59"/>
      <c r="G62" s="59"/>
      <c r="H62" s="60"/>
      <c r="I62" s="58"/>
      <c r="J62" s="58"/>
      <c r="K62" s="58"/>
      <c r="L62" s="62" t="str">
        <f aca="false">IF(B62="","",IF(LEFT(C62,1)="⚠","⚠ Registre primero al trabajador en la hoja Trabajadores",IF(AND(N62="Sí",OR(E62="",NOT(ISNUMBER(F62)))),"⚠ Falta tipo de contrato o fecha de inicio",IF(NOT(ISNUMBER(F62)),"⚠ Falta fecha de inicio",IF(AND(N62="Sí",E62&lt;&gt;"Indefinido",NOT(ISNUMBER(G62))),"⚠ Falta fecha de término",IF(AND(D62="Paso a indefinido",E62&lt;&gt;"Indefinido"),"⚠ Un paso a indefinido debe tener tipo Indefinido",IF(N(Q62)&gt;=3,"⚠ 3er contrato a plazo fijo: por ley ya es INDEFINIDO (Art. 159 N°4)",IF(AND(E62="Plazo fijo",ISNUMBER(G62),(G62-F62+1)/30.4375&gt;12),"⚠ Plazo fijo mayor a 1 año (máximo legal)",IF(J62&lt;&gt;"Sí","Pendiente de firma","OK")))))))))</f>
        <v/>
      </c>
      <c r="M62" s="62" t="str">
        <f aca="false">IF(B62="","",IFERROR(VALUE(LEFT(UPPER(SUBSTITUTE(SUBSTITUTE(SUBSTITUTE(TRIM(B62),".",""),"-","")," ","")),LEN(UPPER(SUBSTITUTE(SUBSTITUTE(SUBSTITUTE(TRIM(B62),".",""),"-","")," ","")))-1))&amp;RIGHT(UPPER(SUBSTITUTE(SUBSTITUTE(SUBSTITUTE(TRIM(B62),".",""),"-","")," ","")),1),UPPER(SUBSTITUTE(SUBSTITUTE(SUBSTITUTE(TRIM(B62),".",""),"-","")," ",""))))</f>
        <v/>
      </c>
      <c r="N62" s="62" t="str">
        <f aca="false">IF(B62="","",IF(D62="Anexo de modificación","No","Sí"))</f>
        <v/>
      </c>
      <c r="O62" s="62" t="str">
        <f aca="false">IF(AND(N62="Sí",ISNUMBER(F62)),COUNTIFS(C_RUTN,M62,C_DEF,"Sí",C_INI,"&lt;"&amp;F62)+COUNTIFS(M$7:M62,M62,N$7:N62,"Sí",F$7:F62,F62),"")</f>
        <v/>
      </c>
      <c r="P62" s="62" t="str">
        <f aca="false">IF(O62="","",M62&amp;"-P"&amp;O62)</f>
        <v/>
      </c>
      <c r="Q62" s="62" t="str">
        <f aca="false">IF(AND(N62="Sí",E62="Plazo fijo",ISNUMBER(F62)),COUNTIFS(C_RUTN,M62,C_TIPO,"Plazo fijo",C_DEF,"Sí",C_INI,"&lt;"&amp;F62)+COUNTIFS(M$7:M62,M62,E$7:E62,"Plazo fijo",N$7:N62,"Sí",F$7:F62,F62),"")</f>
        <v/>
      </c>
      <c r="R62" s="62" t="str">
        <f aca="false">IF(AND(B62&lt;&gt;"",ISNUMBER(H62),ISNUMBER(F62)),COUNTIFS(C_RUTN,M62,C_SUELDO,"&lt;&gt;",C_INI,"&lt;"&amp;F62)+COUNTIFS(M$7:M62,M62,H$7:H62,"&lt;&gt;",F$7:F62,F62),"")</f>
        <v/>
      </c>
      <c r="S62" s="62" t="str">
        <f aca="false">IF(R62="","",M62&amp;"-S"&amp;R62)</f>
        <v/>
      </c>
    </row>
    <row r="63" customFormat="false" ht="15" hidden="false" customHeight="false" outlineLevel="0" collapsed="false">
      <c r="B63" s="58"/>
      <c r="C63" s="62" t="str">
        <f aca="false">IF(B63="","",IFERROR(INDEX(T_NOMBRE,MATCH(M63,T_RUTN,0)),"⚠ RUT no está en Trabajadores"))</f>
        <v/>
      </c>
      <c r="D63" s="58"/>
      <c r="E63" s="58"/>
      <c r="F63" s="59"/>
      <c r="G63" s="59"/>
      <c r="H63" s="60"/>
      <c r="I63" s="58"/>
      <c r="J63" s="58"/>
      <c r="K63" s="58"/>
      <c r="L63" s="62" t="str">
        <f aca="false">IF(B63="","",IF(LEFT(C63,1)="⚠","⚠ Registre primero al trabajador en la hoja Trabajadores",IF(AND(N63="Sí",OR(E63="",NOT(ISNUMBER(F63)))),"⚠ Falta tipo de contrato o fecha de inicio",IF(NOT(ISNUMBER(F63)),"⚠ Falta fecha de inicio",IF(AND(N63="Sí",E63&lt;&gt;"Indefinido",NOT(ISNUMBER(G63))),"⚠ Falta fecha de término",IF(AND(D63="Paso a indefinido",E63&lt;&gt;"Indefinido"),"⚠ Un paso a indefinido debe tener tipo Indefinido",IF(N(Q63)&gt;=3,"⚠ 3er contrato a plazo fijo: por ley ya es INDEFINIDO (Art. 159 N°4)",IF(AND(E63="Plazo fijo",ISNUMBER(G63),(G63-F63+1)/30.4375&gt;12),"⚠ Plazo fijo mayor a 1 año (máximo legal)",IF(J63&lt;&gt;"Sí","Pendiente de firma","OK")))))))))</f>
        <v/>
      </c>
      <c r="M63" s="62" t="str">
        <f aca="false">IF(B63="","",IFERROR(VALUE(LEFT(UPPER(SUBSTITUTE(SUBSTITUTE(SUBSTITUTE(TRIM(B63),".",""),"-","")," ","")),LEN(UPPER(SUBSTITUTE(SUBSTITUTE(SUBSTITUTE(TRIM(B63),".",""),"-","")," ","")))-1))&amp;RIGHT(UPPER(SUBSTITUTE(SUBSTITUTE(SUBSTITUTE(TRIM(B63),".",""),"-","")," ","")),1),UPPER(SUBSTITUTE(SUBSTITUTE(SUBSTITUTE(TRIM(B63),".",""),"-","")," ",""))))</f>
        <v/>
      </c>
      <c r="N63" s="62" t="str">
        <f aca="false">IF(B63="","",IF(D63="Anexo de modificación","No","Sí"))</f>
        <v/>
      </c>
      <c r="O63" s="62" t="str">
        <f aca="false">IF(AND(N63="Sí",ISNUMBER(F63)),COUNTIFS(C_RUTN,M63,C_DEF,"Sí",C_INI,"&lt;"&amp;F63)+COUNTIFS(M$7:M63,M63,N$7:N63,"Sí",F$7:F63,F63),"")</f>
        <v/>
      </c>
      <c r="P63" s="62" t="str">
        <f aca="false">IF(O63="","",M63&amp;"-P"&amp;O63)</f>
        <v/>
      </c>
      <c r="Q63" s="62" t="str">
        <f aca="false">IF(AND(N63="Sí",E63="Plazo fijo",ISNUMBER(F63)),COUNTIFS(C_RUTN,M63,C_TIPO,"Plazo fijo",C_DEF,"Sí",C_INI,"&lt;"&amp;F63)+COUNTIFS(M$7:M63,M63,E$7:E63,"Plazo fijo",N$7:N63,"Sí",F$7:F63,F63),"")</f>
        <v/>
      </c>
      <c r="R63" s="62" t="str">
        <f aca="false">IF(AND(B63&lt;&gt;"",ISNUMBER(H63),ISNUMBER(F63)),COUNTIFS(C_RUTN,M63,C_SUELDO,"&lt;&gt;",C_INI,"&lt;"&amp;F63)+COUNTIFS(M$7:M63,M63,H$7:H63,"&lt;&gt;",F$7:F63,F63),"")</f>
        <v/>
      </c>
      <c r="S63" s="62" t="str">
        <f aca="false">IF(R63="","",M63&amp;"-S"&amp;R63)</f>
        <v/>
      </c>
    </row>
    <row r="64" customFormat="false" ht="15" hidden="false" customHeight="false" outlineLevel="0" collapsed="false">
      <c r="B64" s="58"/>
      <c r="C64" s="62" t="str">
        <f aca="false">IF(B64="","",IFERROR(INDEX(T_NOMBRE,MATCH(M64,T_RUTN,0)),"⚠ RUT no está en Trabajadores"))</f>
        <v/>
      </c>
      <c r="D64" s="58"/>
      <c r="E64" s="58"/>
      <c r="F64" s="59"/>
      <c r="G64" s="59"/>
      <c r="H64" s="60"/>
      <c r="I64" s="58"/>
      <c r="J64" s="58"/>
      <c r="K64" s="58"/>
      <c r="L64" s="62" t="str">
        <f aca="false">IF(B64="","",IF(LEFT(C64,1)="⚠","⚠ Registre primero al trabajador en la hoja Trabajadores",IF(AND(N64="Sí",OR(E64="",NOT(ISNUMBER(F64)))),"⚠ Falta tipo de contrato o fecha de inicio",IF(NOT(ISNUMBER(F64)),"⚠ Falta fecha de inicio",IF(AND(N64="Sí",E64&lt;&gt;"Indefinido",NOT(ISNUMBER(G64))),"⚠ Falta fecha de término",IF(AND(D64="Paso a indefinido",E64&lt;&gt;"Indefinido"),"⚠ Un paso a indefinido debe tener tipo Indefinido",IF(N(Q64)&gt;=3,"⚠ 3er contrato a plazo fijo: por ley ya es INDEFINIDO (Art. 159 N°4)",IF(AND(E64="Plazo fijo",ISNUMBER(G64),(G64-F64+1)/30.4375&gt;12),"⚠ Plazo fijo mayor a 1 año (máximo legal)",IF(J64&lt;&gt;"Sí","Pendiente de firma","OK")))))))))</f>
        <v/>
      </c>
      <c r="M64" s="62" t="str">
        <f aca="false">IF(B64="","",IFERROR(VALUE(LEFT(UPPER(SUBSTITUTE(SUBSTITUTE(SUBSTITUTE(TRIM(B64),".",""),"-","")," ","")),LEN(UPPER(SUBSTITUTE(SUBSTITUTE(SUBSTITUTE(TRIM(B64),".",""),"-","")," ","")))-1))&amp;RIGHT(UPPER(SUBSTITUTE(SUBSTITUTE(SUBSTITUTE(TRIM(B64),".",""),"-","")," ","")),1),UPPER(SUBSTITUTE(SUBSTITUTE(SUBSTITUTE(TRIM(B64),".",""),"-","")," ",""))))</f>
        <v/>
      </c>
      <c r="N64" s="62" t="str">
        <f aca="false">IF(B64="","",IF(D64="Anexo de modificación","No","Sí"))</f>
        <v/>
      </c>
      <c r="O64" s="62" t="str">
        <f aca="false">IF(AND(N64="Sí",ISNUMBER(F64)),COUNTIFS(C_RUTN,M64,C_DEF,"Sí",C_INI,"&lt;"&amp;F64)+COUNTIFS(M$7:M64,M64,N$7:N64,"Sí",F$7:F64,F64),"")</f>
        <v/>
      </c>
      <c r="P64" s="62" t="str">
        <f aca="false">IF(O64="","",M64&amp;"-P"&amp;O64)</f>
        <v/>
      </c>
      <c r="Q64" s="62" t="str">
        <f aca="false">IF(AND(N64="Sí",E64="Plazo fijo",ISNUMBER(F64)),COUNTIFS(C_RUTN,M64,C_TIPO,"Plazo fijo",C_DEF,"Sí",C_INI,"&lt;"&amp;F64)+COUNTIFS(M$7:M64,M64,E$7:E64,"Plazo fijo",N$7:N64,"Sí",F$7:F64,F64),"")</f>
        <v/>
      </c>
      <c r="R64" s="62" t="str">
        <f aca="false">IF(AND(B64&lt;&gt;"",ISNUMBER(H64),ISNUMBER(F64)),COUNTIFS(C_RUTN,M64,C_SUELDO,"&lt;&gt;",C_INI,"&lt;"&amp;F64)+COUNTIFS(M$7:M64,M64,H$7:H64,"&lt;&gt;",F$7:F64,F64),"")</f>
        <v/>
      </c>
      <c r="S64" s="62" t="str">
        <f aca="false">IF(R64="","",M64&amp;"-S"&amp;R64)</f>
        <v/>
      </c>
    </row>
    <row r="65" customFormat="false" ht="15" hidden="false" customHeight="false" outlineLevel="0" collapsed="false">
      <c r="B65" s="58"/>
      <c r="C65" s="62" t="str">
        <f aca="false">IF(B65="","",IFERROR(INDEX(T_NOMBRE,MATCH(M65,T_RUTN,0)),"⚠ RUT no está en Trabajadores"))</f>
        <v/>
      </c>
      <c r="D65" s="58"/>
      <c r="E65" s="58"/>
      <c r="F65" s="59"/>
      <c r="G65" s="59"/>
      <c r="H65" s="60"/>
      <c r="I65" s="58"/>
      <c r="J65" s="58"/>
      <c r="K65" s="58"/>
      <c r="L65" s="62" t="str">
        <f aca="false">IF(B65="","",IF(LEFT(C65,1)="⚠","⚠ Registre primero al trabajador en la hoja Trabajadores",IF(AND(N65="Sí",OR(E65="",NOT(ISNUMBER(F65)))),"⚠ Falta tipo de contrato o fecha de inicio",IF(NOT(ISNUMBER(F65)),"⚠ Falta fecha de inicio",IF(AND(N65="Sí",E65&lt;&gt;"Indefinido",NOT(ISNUMBER(G65))),"⚠ Falta fecha de término",IF(AND(D65="Paso a indefinido",E65&lt;&gt;"Indefinido"),"⚠ Un paso a indefinido debe tener tipo Indefinido",IF(N(Q65)&gt;=3,"⚠ 3er contrato a plazo fijo: por ley ya es INDEFINIDO (Art. 159 N°4)",IF(AND(E65="Plazo fijo",ISNUMBER(G65),(G65-F65+1)/30.4375&gt;12),"⚠ Plazo fijo mayor a 1 año (máximo legal)",IF(J65&lt;&gt;"Sí","Pendiente de firma","OK")))))))))</f>
        <v/>
      </c>
      <c r="M65" s="62" t="str">
        <f aca="false">IF(B65="","",IFERROR(VALUE(LEFT(UPPER(SUBSTITUTE(SUBSTITUTE(SUBSTITUTE(TRIM(B65),".",""),"-","")," ","")),LEN(UPPER(SUBSTITUTE(SUBSTITUTE(SUBSTITUTE(TRIM(B65),".",""),"-","")," ","")))-1))&amp;RIGHT(UPPER(SUBSTITUTE(SUBSTITUTE(SUBSTITUTE(TRIM(B65),".",""),"-","")," ","")),1),UPPER(SUBSTITUTE(SUBSTITUTE(SUBSTITUTE(TRIM(B65),".",""),"-","")," ",""))))</f>
        <v/>
      </c>
      <c r="N65" s="62" t="str">
        <f aca="false">IF(B65="","",IF(D65="Anexo de modificación","No","Sí"))</f>
        <v/>
      </c>
      <c r="O65" s="62" t="str">
        <f aca="false">IF(AND(N65="Sí",ISNUMBER(F65)),COUNTIFS(C_RUTN,M65,C_DEF,"Sí",C_INI,"&lt;"&amp;F65)+COUNTIFS(M$7:M65,M65,N$7:N65,"Sí",F$7:F65,F65),"")</f>
        <v/>
      </c>
      <c r="P65" s="62" t="str">
        <f aca="false">IF(O65="","",M65&amp;"-P"&amp;O65)</f>
        <v/>
      </c>
      <c r="Q65" s="62" t="str">
        <f aca="false">IF(AND(N65="Sí",E65="Plazo fijo",ISNUMBER(F65)),COUNTIFS(C_RUTN,M65,C_TIPO,"Plazo fijo",C_DEF,"Sí",C_INI,"&lt;"&amp;F65)+COUNTIFS(M$7:M65,M65,E$7:E65,"Plazo fijo",N$7:N65,"Sí",F$7:F65,F65),"")</f>
        <v/>
      </c>
      <c r="R65" s="62" t="str">
        <f aca="false">IF(AND(B65&lt;&gt;"",ISNUMBER(H65),ISNUMBER(F65)),COUNTIFS(C_RUTN,M65,C_SUELDO,"&lt;&gt;",C_INI,"&lt;"&amp;F65)+COUNTIFS(M$7:M65,M65,H$7:H65,"&lt;&gt;",F$7:F65,F65),"")</f>
        <v/>
      </c>
      <c r="S65" s="62" t="str">
        <f aca="false">IF(R65="","",M65&amp;"-S"&amp;R65)</f>
        <v/>
      </c>
    </row>
    <row r="66" customFormat="false" ht="15" hidden="false" customHeight="false" outlineLevel="0" collapsed="false">
      <c r="B66" s="58"/>
      <c r="C66" s="62" t="str">
        <f aca="false">IF(B66="","",IFERROR(INDEX(T_NOMBRE,MATCH(M66,T_RUTN,0)),"⚠ RUT no está en Trabajadores"))</f>
        <v/>
      </c>
      <c r="D66" s="58"/>
      <c r="E66" s="58"/>
      <c r="F66" s="59"/>
      <c r="G66" s="59"/>
      <c r="H66" s="60"/>
      <c r="I66" s="58"/>
      <c r="J66" s="58"/>
      <c r="K66" s="58"/>
      <c r="L66" s="62" t="str">
        <f aca="false">IF(B66="","",IF(LEFT(C66,1)="⚠","⚠ Registre primero al trabajador en la hoja Trabajadores",IF(AND(N66="Sí",OR(E66="",NOT(ISNUMBER(F66)))),"⚠ Falta tipo de contrato o fecha de inicio",IF(NOT(ISNUMBER(F66)),"⚠ Falta fecha de inicio",IF(AND(N66="Sí",E66&lt;&gt;"Indefinido",NOT(ISNUMBER(G66))),"⚠ Falta fecha de término",IF(AND(D66="Paso a indefinido",E66&lt;&gt;"Indefinido"),"⚠ Un paso a indefinido debe tener tipo Indefinido",IF(N(Q66)&gt;=3,"⚠ 3er contrato a plazo fijo: por ley ya es INDEFINIDO (Art. 159 N°4)",IF(AND(E66="Plazo fijo",ISNUMBER(G66),(G66-F66+1)/30.4375&gt;12),"⚠ Plazo fijo mayor a 1 año (máximo legal)",IF(J66&lt;&gt;"Sí","Pendiente de firma","OK")))))))))</f>
        <v/>
      </c>
      <c r="M66" s="62" t="str">
        <f aca="false">IF(B66="","",IFERROR(VALUE(LEFT(UPPER(SUBSTITUTE(SUBSTITUTE(SUBSTITUTE(TRIM(B66),".",""),"-","")," ","")),LEN(UPPER(SUBSTITUTE(SUBSTITUTE(SUBSTITUTE(TRIM(B66),".",""),"-","")," ","")))-1))&amp;RIGHT(UPPER(SUBSTITUTE(SUBSTITUTE(SUBSTITUTE(TRIM(B66),".",""),"-","")," ","")),1),UPPER(SUBSTITUTE(SUBSTITUTE(SUBSTITUTE(TRIM(B66),".",""),"-","")," ",""))))</f>
        <v/>
      </c>
      <c r="N66" s="62" t="str">
        <f aca="false">IF(B66="","",IF(D66="Anexo de modificación","No","Sí"))</f>
        <v/>
      </c>
      <c r="O66" s="62" t="str">
        <f aca="false">IF(AND(N66="Sí",ISNUMBER(F66)),COUNTIFS(C_RUTN,M66,C_DEF,"Sí",C_INI,"&lt;"&amp;F66)+COUNTIFS(M$7:M66,M66,N$7:N66,"Sí",F$7:F66,F66),"")</f>
        <v/>
      </c>
      <c r="P66" s="62" t="str">
        <f aca="false">IF(O66="","",M66&amp;"-P"&amp;O66)</f>
        <v/>
      </c>
      <c r="Q66" s="62" t="str">
        <f aca="false">IF(AND(N66="Sí",E66="Plazo fijo",ISNUMBER(F66)),COUNTIFS(C_RUTN,M66,C_TIPO,"Plazo fijo",C_DEF,"Sí",C_INI,"&lt;"&amp;F66)+COUNTIFS(M$7:M66,M66,E$7:E66,"Plazo fijo",N$7:N66,"Sí",F$7:F66,F66),"")</f>
        <v/>
      </c>
      <c r="R66" s="62" t="str">
        <f aca="false">IF(AND(B66&lt;&gt;"",ISNUMBER(H66),ISNUMBER(F66)),COUNTIFS(C_RUTN,M66,C_SUELDO,"&lt;&gt;",C_INI,"&lt;"&amp;F66)+COUNTIFS(M$7:M66,M66,H$7:H66,"&lt;&gt;",F$7:F66,F66),"")</f>
        <v/>
      </c>
      <c r="S66" s="62" t="str">
        <f aca="false">IF(R66="","",M66&amp;"-S"&amp;R66)</f>
        <v/>
      </c>
    </row>
    <row r="67" customFormat="false" ht="15" hidden="false" customHeight="false" outlineLevel="0" collapsed="false">
      <c r="B67" s="58"/>
      <c r="C67" s="62" t="str">
        <f aca="false">IF(B67="","",IFERROR(INDEX(T_NOMBRE,MATCH(M67,T_RUTN,0)),"⚠ RUT no está en Trabajadores"))</f>
        <v/>
      </c>
      <c r="D67" s="58"/>
      <c r="E67" s="58"/>
      <c r="F67" s="59"/>
      <c r="G67" s="59"/>
      <c r="H67" s="60"/>
      <c r="I67" s="58"/>
      <c r="J67" s="58"/>
      <c r="K67" s="58"/>
      <c r="L67" s="62" t="str">
        <f aca="false">IF(B67="","",IF(LEFT(C67,1)="⚠","⚠ Registre primero al trabajador en la hoja Trabajadores",IF(AND(N67="Sí",OR(E67="",NOT(ISNUMBER(F67)))),"⚠ Falta tipo de contrato o fecha de inicio",IF(NOT(ISNUMBER(F67)),"⚠ Falta fecha de inicio",IF(AND(N67="Sí",E67&lt;&gt;"Indefinido",NOT(ISNUMBER(G67))),"⚠ Falta fecha de término",IF(AND(D67="Paso a indefinido",E67&lt;&gt;"Indefinido"),"⚠ Un paso a indefinido debe tener tipo Indefinido",IF(N(Q67)&gt;=3,"⚠ 3er contrato a plazo fijo: por ley ya es INDEFINIDO (Art. 159 N°4)",IF(AND(E67="Plazo fijo",ISNUMBER(G67),(G67-F67+1)/30.4375&gt;12),"⚠ Plazo fijo mayor a 1 año (máximo legal)",IF(J67&lt;&gt;"Sí","Pendiente de firma","OK")))))))))</f>
        <v/>
      </c>
      <c r="M67" s="62" t="str">
        <f aca="false">IF(B67="","",IFERROR(VALUE(LEFT(UPPER(SUBSTITUTE(SUBSTITUTE(SUBSTITUTE(TRIM(B67),".",""),"-","")," ","")),LEN(UPPER(SUBSTITUTE(SUBSTITUTE(SUBSTITUTE(TRIM(B67),".",""),"-","")," ","")))-1))&amp;RIGHT(UPPER(SUBSTITUTE(SUBSTITUTE(SUBSTITUTE(TRIM(B67),".",""),"-","")," ","")),1),UPPER(SUBSTITUTE(SUBSTITUTE(SUBSTITUTE(TRIM(B67),".",""),"-","")," ",""))))</f>
        <v/>
      </c>
      <c r="N67" s="62" t="str">
        <f aca="false">IF(B67="","",IF(D67="Anexo de modificación","No","Sí"))</f>
        <v/>
      </c>
      <c r="O67" s="62" t="str">
        <f aca="false">IF(AND(N67="Sí",ISNUMBER(F67)),COUNTIFS(C_RUTN,M67,C_DEF,"Sí",C_INI,"&lt;"&amp;F67)+COUNTIFS(M$7:M67,M67,N$7:N67,"Sí",F$7:F67,F67),"")</f>
        <v/>
      </c>
      <c r="P67" s="62" t="str">
        <f aca="false">IF(O67="","",M67&amp;"-P"&amp;O67)</f>
        <v/>
      </c>
      <c r="Q67" s="62" t="str">
        <f aca="false">IF(AND(N67="Sí",E67="Plazo fijo",ISNUMBER(F67)),COUNTIFS(C_RUTN,M67,C_TIPO,"Plazo fijo",C_DEF,"Sí",C_INI,"&lt;"&amp;F67)+COUNTIFS(M$7:M67,M67,E$7:E67,"Plazo fijo",N$7:N67,"Sí",F$7:F67,F67),"")</f>
        <v/>
      </c>
      <c r="R67" s="62" t="str">
        <f aca="false">IF(AND(B67&lt;&gt;"",ISNUMBER(H67),ISNUMBER(F67)),COUNTIFS(C_RUTN,M67,C_SUELDO,"&lt;&gt;",C_INI,"&lt;"&amp;F67)+COUNTIFS(M$7:M67,M67,H$7:H67,"&lt;&gt;",F$7:F67,F67),"")</f>
        <v/>
      </c>
      <c r="S67" s="62" t="str">
        <f aca="false">IF(R67="","",M67&amp;"-S"&amp;R67)</f>
        <v/>
      </c>
    </row>
    <row r="68" customFormat="false" ht="15" hidden="false" customHeight="false" outlineLevel="0" collapsed="false">
      <c r="B68" s="58"/>
      <c r="C68" s="62" t="str">
        <f aca="false">IF(B68="","",IFERROR(INDEX(T_NOMBRE,MATCH(M68,T_RUTN,0)),"⚠ RUT no está en Trabajadores"))</f>
        <v/>
      </c>
      <c r="D68" s="58"/>
      <c r="E68" s="58"/>
      <c r="F68" s="59"/>
      <c r="G68" s="59"/>
      <c r="H68" s="60"/>
      <c r="I68" s="58"/>
      <c r="J68" s="58"/>
      <c r="K68" s="58"/>
      <c r="L68" s="62" t="str">
        <f aca="false">IF(B68="","",IF(LEFT(C68,1)="⚠","⚠ Registre primero al trabajador en la hoja Trabajadores",IF(AND(N68="Sí",OR(E68="",NOT(ISNUMBER(F68)))),"⚠ Falta tipo de contrato o fecha de inicio",IF(NOT(ISNUMBER(F68)),"⚠ Falta fecha de inicio",IF(AND(N68="Sí",E68&lt;&gt;"Indefinido",NOT(ISNUMBER(G68))),"⚠ Falta fecha de término",IF(AND(D68="Paso a indefinido",E68&lt;&gt;"Indefinido"),"⚠ Un paso a indefinido debe tener tipo Indefinido",IF(N(Q68)&gt;=3,"⚠ 3er contrato a plazo fijo: por ley ya es INDEFINIDO (Art. 159 N°4)",IF(AND(E68="Plazo fijo",ISNUMBER(G68),(G68-F68+1)/30.4375&gt;12),"⚠ Plazo fijo mayor a 1 año (máximo legal)",IF(J68&lt;&gt;"Sí","Pendiente de firma","OK")))))))))</f>
        <v/>
      </c>
      <c r="M68" s="62" t="str">
        <f aca="false">IF(B68="","",IFERROR(VALUE(LEFT(UPPER(SUBSTITUTE(SUBSTITUTE(SUBSTITUTE(TRIM(B68),".",""),"-","")," ","")),LEN(UPPER(SUBSTITUTE(SUBSTITUTE(SUBSTITUTE(TRIM(B68),".",""),"-","")," ","")))-1))&amp;RIGHT(UPPER(SUBSTITUTE(SUBSTITUTE(SUBSTITUTE(TRIM(B68),".",""),"-","")," ","")),1),UPPER(SUBSTITUTE(SUBSTITUTE(SUBSTITUTE(TRIM(B68),".",""),"-","")," ",""))))</f>
        <v/>
      </c>
      <c r="N68" s="62" t="str">
        <f aca="false">IF(B68="","",IF(D68="Anexo de modificación","No","Sí"))</f>
        <v/>
      </c>
      <c r="O68" s="62" t="str">
        <f aca="false">IF(AND(N68="Sí",ISNUMBER(F68)),COUNTIFS(C_RUTN,M68,C_DEF,"Sí",C_INI,"&lt;"&amp;F68)+COUNTIFS(M$7:M68,M68,N$7:N68,"Sí",F$7:F68,F68),"")</f>
        <v/>
      </c>
      <c r="P68" s="62" t="str">
        <f aca="false">IF(O68="","",M68&amp;"-P"&amp;O68)</f>
        <v/>
      </c>
      <c r="Q68" s="62" t="str">
        <f aca="false">IF(AND(N68="Sí",E68="Plazo fijo",ISNUMBER(F68)),COUNTIFS(C_RUTN,M68,C_TIPO,"Plazo fijo",C_DEF,"Sí",C_INI,"&lt;"&amp;F68)+COUNTIFS(M$7:M68,M68,E$7:E68,"Plazo fijo",N$7:N68,"Sí",F$7:F68,F68),"")</f>
        <v/>
      </c>
      <c r="R68" s="62" t="str">
        <f aca="false">IF(AND(B68&lt;&gt;"",ISNUMBER(H68),ISNUMBER(F68)),COUNTIFS(C_RUTN,M68,C_SUELDO,"&lt;&gt;",C_INI,"&lt;"&amp;F68)+COUNTIFS(M$7:M68,M68,H$7:H68,"&lt;&gt;",F$7:F68,F68),"")</f>
        <v/>
      </c>
      <c r="S68" s="62" t="str">
        <f aca="false">IF(R68="","",M68&amp;"-S"&amp;R68)</f>
        <v/>
      </c>
    </row>
    <row r="69" customFormat="false" ht="15" hidden="false" customHeight="false" outlineLevel="0" collapsed="false">
      <c r="B69" s="58"/>
      <c r="C69" s="62" t="str">
        <f aca="false">IF(B69="","",IFERROR(INDEX(T_NOMBRE,MATCH(M69,T_RUTN,0)),"⚠ RUT no está en Trabajadores"))</f>
        <v/>
      </c>
      <c r="D69" s="58"/>
      <c r="E69" s="58"/>
      <c r="F69" s="59"/>
      <c r="G69" s="59"/>
      <c r="H69" s="60"/>
      <c r="I69" s="58"/>
      <c r="J69" s="58"/>
      <c r="K69" s="58"/>
      <c r="L69" s="62" t="str">
        <f aca="false">IF(B69="","",IF(LEFT(C69,1)="⚠","⚠ Registre primero al trabajador en la hoja Trabajadores",IF(AND(N69="Sí",OR(E69="",NOT(ISNUMBER(F69)))),"⚠ Falta tipo de contrato o fecha de inicio",IF(NOT(ISNUMBER(F69)),"⚠ Falta fecha de inicio",IF(AND(N69="Sí",E69&lt;&gt;"Indefinido",NOT(ISNUMBER(G69))),"⚠ Falta fecha de término",IF(AND(D69="Paso a indefinido",E69&lt;&gt;"Indefinido"),"⚠ Un paso a indefinido debe tener tipo Indefinido",IF(N(Q69)&gt;=3,"⚠ 3er contrato a plazo fijo: por ley ya es INDEFINIDO (Art. 159 N°4)",IF(AND(E69="Plazo fijo",ISNUMBER(G69),(G69-F69+1)/30.4375&gt;12),"⚠ Plazo fijo mayor a 1 año (máximo legal)",IF(J69&lt;&gt;"Sí","Pendiente de firma","OK")))))))))</f>
        <v/>
      </c>
      <c r="M69" s="62" t="str">
        <f aca="false">IF(B69="","",IFERROR(VALUE(LEFT(UPPER(SUBSTITUTE(SUBSTITUTE(SUBSTITUTE(TRIM(B69),".",""),"-","")," ","")),LEN(UPPER(SUBSTITUTE(SUBSTITUTE(SUBSTITUTE(TRIM(B69),".",""),"-","")," ","")))-1))&amp;RIGHT(UPPER(SUBSTITUTE(SUBSTITUTE(SUBSTITUTE(TRIM(B69),".",""),"-","")," ","")),1),UPPER(SUBSTITUTE(SUBSTITUTE(SUBSTITUTE(TRIM(B69),".",""),"-","")," ",""))))</f>
        <v/>
      </c>
      <c r="N69" s="62" t="str">
        <f aca="false">IF(B69="","",IF(D69="Anexo de modificación","No","Sí"))</f>
        <v/>
      </c>
      <c r="O69" s="62" t="str">
        <f aca="false">IF(AND(N69="Sí",ISNUMBER(F69)),COUNTIFS(C_RUTN,M69,C_DEF,"Sí",C_INI,"&lt;"&amp;F69)+COUNTIFS(M$7:M69,M69,N$7:N69,"Sí",F$7:F69,F69),"")</f>
        <v/>
      </c>
      <c r="P69" s="62" t="str">
        <f aca="false">IF(O69="","",M69&amp;"-P"&amp;O69)</f>
        <v/>
      </c>
      <c r="Q69" s="62" t="str">
        <f aca="false">IF(AND(N69="Sí",E69="Plazo fijo",ISNUMBER(F69)),COUNTIFS(C_RUTN,M69,C_TIPO,"Plazo fijo",C_DEF,"Sí",C_INI,"&lt;"&amp;F69)+COUNTIFS(M$7:M69,M69,E$7:E69,"Plazo fijo",N$7:N69,"Sí",F$7:F69,F69),"")</f>
        <v/>
      </c>
      <c r="R69" s="62" t="str">
        <f aca="false">IF(AND(B69&lt;&gt;"",ISNUMBER(H69),ISNUMBER(F69)),COUNTIFS(C_RUTN,M69,C_SUELDO,"&lt;&gt;",C_INI,"&lt;"&amp;F69)+COUNTIFS(M$7:M69,M69,H$7:H69,"&lt;&gt;",F$7:F69,F69),"")</f>
        <v/>
      </c>
      <c r="S69" s="62" t="str">
        <f aca="false">IF(R69="","",M69&amp;"-S"&amp;R69)</f>
        <v/>
      </c>
    </row>
    <row r="70" customFormat="false" ht="15" hidden="false" customHeight="false" outlineLevel="0" collapsed="false">
      <c r="B70" s="58"/>
      <c r="C70" s="62" t="str">
        <f aca="false">IF(B70="","",IFERROR(INDEX(T_NOMBRE,MATCH(M70,T_RUTN,0)),"⚠ RUT no está en Trabajadores"))</f>
        <v/>
      </c>
      <c r="D70" s="58"/>
      <c r="E70" s="58"/>
      <c r="F70" s="59"/>
      <c r="G70" s="59"/>
      <c r="H70" s="60"/>
      <c r="I70" s="58"/>
      <c r="J70" s="58"/>
      <c r="K70" s="58"/>
      <c r="L70" s="62" t="str">
        <f aca="false">IF(B70="","",IF(LEFT(C70,1)="⚠","⚠ Registre primero al trabajador en la hoja Trabajadores",IF(AND(N70="Sí",OR(E70="",NOT(ISNUMBER(F70)))),"⚠ Falta tipo de contrato o fecha de inicio",IF(NOT(ISNUMBER(F70)),"⚠ Falta fecha de inicio",IF(AND(N70="Sí",E70&lt;&gt;"Indefinido",NOT(ISNUMBER(G70))),"⚠ Falta fecha de término",IF(AND(D70="Paso a indefinido",E70&lt;&gt;"Indefinido"),"⚠ Un paso a indefinido debe tener tipo Indefinido",IF(N(Q70)&gt;=3,"⚠ 3er contrato a plazo fijo: por ley ya es INDEFINIDO (Art. 159 N°4)",IF(AND(E70="Plazo fijo",ISNUMBER(G70),(G70-F70+1)/30.4375&gt;12),"⚠ Plazo fijo mayor a 1 año (máximo legal)",IF(J70&lt;&gt;"Sí","Pendiente de firma","OK")))))))))</f>
        <v/>
      </c>
      <c r="M70" s="62" t="str">
        <f aca="false">IF(B70="","",IFERROR(VALUE(LEFT(UPPER(SUBSTITUTE(SUBSTITUTE(SUBSTITUTE(TRIM(B70),".",""),"-","")," ","")),LEN(UPPER(SUBSTITUTE(SUBSTITUTE(SUBSTITUTE(TRIM(B70),".",""),"-","")," ","")))-1))&amp;RIGHT(UPPER(SUBSTITUTE(SUBSTITUTE(SUBSTITUTE(TRIM(B70),".",""),"-","")," ","")),1),UPPER(SUBSTITUTE(SUBSTITUTE(SUBSTITUTE(TRIM(B70),".",""),"-","")," ",""))))</f>
        <v/>
      </c>
      <c r="N70" s="62" t="str">
        <f aca="false">IF(B70="","",IF(D70="Anexo de modificación","No","Sí"))</f>
        <v/>
      </c>
      <c r="O70" s="62" t="str">
        <f aca="false">IF(AND(N70="Sí",ISNUMBER(F70)),COUNTIFS(C_RUTN,M70,C_DEF,"Sí",C_INI,"&lt;"&amp;F70)+COUNTIFS(M$7:M70,M70,N$7:N70,"Sí",F$7:F70,F70),"")</f>
        <v/>
      </c>
      <c r="P70" s="62" t="str">
        <f aca="false">IF(O70="","",M70&amp;"-P"&amp;O70)</f>
        <v/>
      </c>
      <c r="Q70" s="62" t="str">
        <f aca="false">IF(AND(N70="Sí",E70="Plazo fijo",ISNUMBER(F70)),COUNTIFS(C_RUTN,M70,C_TIPO,"Plazo fijo",C_DEF,"Sí",C_INI,"&lt;"&amp;F70)+COUNTIFS(M$7:M70,M70,E$7:E70,"Plazo fijo",N$7:N70,"Sí",F$7:F70,F70),"")</f>
        <v/>
      </c>
      <c r="R70" s="62" t="str">
        <f aca="false">IF(AND(B70&lt;&gt;"",ISNUMBER(H70),ISNUMBER(F70)),COUNTIFS(C_RUTN,M70,C_SUELDO,"&lt;&gt;",C_INI,"&lt;"&amp;F70)+COUNTIFS(M$7:M70,M70,H$7:H70,"&lt;&gt;",F$7:F70,F70),"")</f>
        <v/>
      </c>
      <c r="S70" s="62" t="str">
        <f aca="false">IF(R70="","",M70&amp;"-S"&amp;R70)</f>
        <v/>
      </c>
    </row>
    <row r="71" customFormat="false" ht="15" hidden="false" customHeight="false" outlineLevel="0" collapsed="false">
      <c r="B71" s="58"/>
      <c r="C71" s="62" t="str">
        <f aca="false">IF(B71="","",IFERROR(INDEX(T_NOMBRE,MATCH(M71,T_RUTN,0)),"⚠ RUT no está en Trabajadores"))</f>
        <v/>
      </c>
      <c r="D71" s="58"/>
      <c r="E71" s="58"/>
      <c r="F71" s="59"/>
      <c r="G71" s="59"/>
      <c r="H71" s="60"/>
      <c r="I71" s="58"/>
      <c r="J71" s="58"/>
      <c r="K71" s="58"/>
      <c r="L71" s="62" t="str">
        <f aca="false">IF(B71="","",IF(LEFT(C71,1)="⚠","⚠ Registre primero al trabajador en la hoja Trabajadores",IF(AND(N71="Sí",OR(E71="",NOT(ISNUMBER(F71)))),"⚠ Falta tipo de contrato o fecha de inicio",IF(NOT(ISNUMBER(F71)),"⚠ Falta fecha de inicio",IF(AND(N71="Sí",E71&lt;&gt;"Indefinido",NOT(ISNUMBER(G71))),"⚠ Falta fecha de término",IF(AND(D71="Paso a indefinido",E71&lt;&gt;"Indefinido"),"⚠ Un paso a indefinido debe tener tipo Indefinido",IF(N(Q71)&gt;=3,"⚠ 3er contrato a plazo fijo: por ley ya es INDEFINIDO (Art. 159 N°4)",IF(AND(E71="Plazo fijo",ISNUMBER(G71),(G71-F71+1)/30.4375&gt;12),"⚠ Plazo fijo mayor a 1 año (máximo legal)",IF(J71&lt;&gt;"Sí","Pendiente de firma","OK")))))))))</f>
        <v/>
      </c>
      <c r="M71" s="62" t="str">
        <f aca="false">IF(B71="","",IFERROR(VALUE(LEFT(UPPER(SUBSTITUTE(SUBSTITUTE(SUBSTITUTE(TRIM(B71),".",""),"-","")," ","")),LEN(UPPER(SUBSTITUTE(SUBSTITUTE(SUBSTITUTE(TRIM(B71),".",""),"-","")," ","")))-1))&amp;RIGHT(UPPER(SUBSTITUTE(SUBSTITUTE(SUBSTITUTE(TRIM(B71),".",""),"-","")," ","")),1),UPPER(SUBSTITUTE(SUBSTITUTE(SUBSTITUTE(TRIM(B71),".",""),"-","")," ",""))))</f>
        <v/>
      </c>
      <c r="N71" s="62" t="str">
        <f aca="false">IF(B71="","",IF(D71="Anexo de modificación","No","Sí"))</f>
        <v/>
      </c>
      <c r="O71" s="62" t="str">
        <f aca="false">IF(AND(N71="Sí",ISNUMBER(F71)),COUNTIFS(C_RUTN,M71,C_DEF,"Sí",C_INI,"&lt;"&amp;F71)+COUNTIFS(M$7:M71,M71,N$7:N71,"Sí",F$7:F71,F71),"")</f>
        <v/>
      </c>
      <c r="P71" s="62" t="str">
        <f aca="false">IF(O71="","",M71&amp;"-P"&amp;O71)</f>
        <v/>
      </c>
      <c r="Q71" s="62" t="str">
        <f aca="false">IF(AND(N71="Sí",E71="Plazo fijo",ISNUMBER(F71)),COUNTIFS(C_RUTN,M71,C_TIPO,"Plazo fijo",C_DEF,"Sí",C_INI,"&lt;"&amp;F71)+COUNTIFS(M$7:M71,M71,E$7:E71,"Plazo fijo",N$7:N71,"Sí",F$7:F71,F71),"")</f>
        <v/>
      </c>
      <c r="R71" s="62" t="str">
        <f aca="false">IF(AND(B71&lt;&gt;"",ISNUMBER(H71),ISNUMBER(F71)),COUNTIFS(C_RUTN,M71,C_SUELDO,"&lt;&gt;",C_INI,"&lt;"&amp;F71)+COUNTIFS(M$7:M71,M71,H$7:H71,"&lt;&gt;",F$7:F71,F71),"")</f>
        <v/>
      </c>
      <c r="S71" s="62" t="str">
        <f aca="false">IF(R71="","",M71&amp;"-S"&amp;R71)</f>
        <v/>
      </c>
    </row>
    <row r="72" customFormat="false" ht="15" hidden="false" customHeight="false" outlineLevel="0" collapsed="false">
      <c r="B72" s="58"/>
      <c r="C72" s="62" t="str">
        <f aca="false">IF(B72="","",IFERROR(INDEX(T_NOMBRE,MATCH(M72,T_RUTN,0)),"⚠ RUT no está en Trabajadores"))</f>
        <v/>
      </c>
      <c r="D72" s="58"/>
      <c r="E72" s="58"/>
      <c r="F72" s="59"/>
      <c r="G72" s="59"/>
      <c r="H72" s="60"/>
      <c r="I72" s="58"/>
      <c r="J72" s="58"/>
      <c r="K72" s="58"/>
      <c r="L72" s="62" t="str">
        <f aca="false">IF(B72="","",IF(LEFT(C72,1)="⚠","⚠ Registre primero al trabajador en la hoja Trabajadores",IF(AND(N72="Sí",OR(E72="",NOT(ISNUMBER(F72)))),"⚠ Falta tipo de contrato o fecha de inicio",IF(NOT(ISNUMBER(F72)),"⚠ Falta fecha de inicio",IF(AND(N72="Sí",E72&lt;&gt;"Indefinido",NOT(ISNUMBER(G72))),"⚠ Falta fecha de término",IF(AND(D72="Paso a indefinido",E72&lt;&gt;"Indefinido"),"⚠ Un paso a indefinido debe tener tipo Indefinido",IF(N(Q72)&gt;=3,"⚠ 3er contrato a plazo fijo: por ley ya es INDEFINIDO (Art. 159 N°4)",IF(AND(E72="Plazo fijo",ISNUMBER(G72),(G72-F72+1)/30.4375&gt;12),"⚠ Plazo fijo mayor a 1 año (máximo legal)",IF(J72&lt;&gt;"Sí","Pendiente de firma","OK")))))))))</f>
        <v/>
      </c>
      <c r="M72" s="62" t="str">
        <f aca="false">IF(B72="","",IFERROR(VALUE(LEFT(UPPER(SUBSTITUTE(SUBSTITUTE(SUBSTITUTE(TRIM(B72),".",""),"-","")," ","")),LEN(UPPER(SUBSTITUTE(SUBSTITUTE(SUBSTITUTE(TRIM(B72),".",""),"-","")," ","")))-1))&amp;RIGHT(UPPER(SUBSTITUTE(SUBSTITUTE(SUBSTITUTE(TRIM(B72),".",""),"-","")," ","")),1),UPPER(SUBSTITUTE(SUBSTITUTE(SUBSTITUTE(TRIM(B72),".",""),"-","")," ",""))))</f>
        <v/>
      </c>
      <c r="N72" s="62" t="str">
        <f aca="false">IF(B72="","",IF(D72="Anexo de modificación","No","Sí"))</f>
        <v/>
      </c>
      <c r="O72" s="62" t="str">
        <f aca="false">IF(AND(N72="Sí",ISNUMBER(F72)),COUNTIFS(C_RUTN,M72,C_DEF,"Sí",C_INI,"&lt;"&amp;F72)+COUNTIFS(M$7:M72,M72,N$7:N72,"Sí",F$7:F72,F72),"")</f>
        <v/>
      </c>
      <c r="P72" s="62" t="str">
        <f aca="false">IF(O72="","",M72&amp;"-P"&amp;O72)</f>
        <v/>
      </c>
      <c r="Q72" s="62" t="str">
        <f aca="false">IF(AND(N72="Sí",E72="Plazo fijo",ISNUMBER(F72)),COUNTIFS(C_RUTN,M72,C_TIPO,"Plazo fijo",C_DEF,"Sí",C_INI,"&lt;"&amp;F72)+COUNTIFS(M$7:M72,M72,E$7:E72,"Plazo fijo",N$7:N72,"Sí",F$7:F72,F72),"")</f>
        <v/>
      </c>
      <c r="R72" s="62" t="str">
        <f aca="false">IF(AND(B72&lt;&gt;"",ISNUMBER(H72),ISNUMBER(F72)),COUNTIFS(C_RUTN,M72,C_SUELDO,"&lt;&gt;",C_INI,"&lt;"&amp;F72)+COUNTIFS(M$7:M72,M72,H$7:H72,"&lt;&gt;",F$7:F72,F72),"")</f>
        <v/>
      </c>
      <c r="S72" s="62" t="str">
        <f aca="false">IF(R72="","",M72&amp;"-S"&amp;R72)</f>
        <v/>
      </c>
    </row>
    <row r="73" customFormat="false" ht="15" hidden="false" customHeight="false" outlineLevel="0" collapsed="false">
      <c r="B73" s="58"/>
      <c r="C73" s="62" t="str">
        <f aca="false">IF(B73="","",IFERROR(INDEX(T_NOMBRE,MATCH(M73,T_RUTN,0)),"⚠ RUT no está en Trabajadores"))</f>
        <v/>
      </c>
      <c r="D73" s="58"/>
      <c r="E73" s="58"/>
      <c r="F73" s="59"/>
      <c r="G73" s="59"/>
      <c r="H73" s="60"/>
      <c r="I73" s="58"/>
      <c r="J73" s="58"/>
      <c r="K73" s="58"/>
      <c r="L73" s="62" t="str">
        <f aca="false">IF(B73="","",IF(LEFT(C73,1)="⚠","⚠ Registre primero al trabajador en la hoja Trabajadores",IF(AND(N73="Sí",OR(E73="",NOT(ISNUMBER(F73)))),"⚠ Falta tipo de contrato o fecha de inicio",IF(NOT(ISNUMBER(F73)),"⚠ Falta fecha de inicio",IF(AND(N73="Sí",E73&lt;&gt;"Indefinido",NOT(ISNUMBER(G73))),"⚠ Falta fecha de término",IF(AND(D73="Paso a indefinido",E73&lt;&gt;"Indefinido"),"⚠ Un paso a indefinido debe tener tipo Indefinido",IF(N(Q73)&gt;=3,"⚠ 3er contrato a plazo fijo: por ley ya es INDEFINIDO (Art. 159 N°4)",IF(AND(E73="Plazo fijo",ISNUMBER(G73),(G73-F73+1)/30.4375&gt;12),"⚠ Plazo fijo mayor a 1 año (máximo legal)",IF(J73&lt;&gt;"Sí","Pendiente de firma","OK")))))))))</f>
        <v/>
      </c>
      <c r="M73" s="62" t="str">
        <f aca="false">IF(B73="","",IFERROR(VALUE(LEFT(UPPER(SUBSTITUTE(SUBSTITUTE(SUBSTITUTE(TRIM(B73),".",""),"-","")," ","")),LEN(UPPER(SUBSTITUTE(SUBSTITUTE(SUBSTITUTE(TRIM(B73),".",""),"-","")," ","")))-1))&amp;RIGHT(UPPER(SUBSTITUTE(SUBSTITUTE(SUBSTITUTE(TRIM(B73),".",""),"-","")," ","")),1),UPPER(SUBSTITUTE(SUBSTITUTE(SUBSTITUTE(TRIM(B73),".",""),"-","")," ",""))))</f>
        <v/>
      </c>
      <c r="N73" s="62" t="str">
        <f aca="false">IF(B73="","",IF(D73="Anexo de modificación","No","Sí"))</f>
        <v/>
      </c>
      <c r="O73" s="62" t="str">
        <f aca="false">IF(AND(N73="Sí",ISNUMBER(F73)),COUNTIFS(C_RUTN,M73,C_DEF,"Sí",C_INI,"&lt;"&amp;F73)+COUNTIFS(M$7:M73,M73,N$7:N73,"Sí",F$7:F73,F73),"")</f>
        <v/>
      </c>
      <c r="P73" s="62" t="str">
        <f aca="false">IF(O73="","",M73&amp;"-P"&amp;O73)</f>
        <v/>
      </c>
      <c r="Q73" s="62" t="str">
        <f aca="false">IF(AND(N73="Sí",E73="Plazo fijo",ISNUMBER(F73)),COUNTIFS(C_RUTN,M73,C_TIPO,"Plazo fijo",C_DEF,"Sí",C_INI,"&lt;"&amp;F73)+COUNTIFS(M$7:M73,M73,E$7:E73,"Plazo fijo",N$7:N73,"Sí",F$7:F73,F73),"")</f>
        <v/>
      </c>
      <c r="R73" s="62" t="str">
        <f aca="false">IF(AND(B73&lt;&gt;"",ISNUMBER(H73),ISNUMBER(F73)),COUNTIFS(C_RUTN,M73,C_SUELDO,"&lt;&gt;",C_INI,"&lt;"&amp;F73)+COUNTIFS(M$7:M73,M73,H$7:H73,"&lt;&gt;",F$7:F73,F73),"")</f>
        <v/>
      </c>
      <c r="S73" s="62" t="str">
        <f aca="false">IF(R73="","",M73&amp;"-S"&amp;R73)</f>
        <v/>
      </c>
    </row>
    <row r="74" customFormat="false" ht="15" hidden="false" customHeight="false" outlineLevel="0" collapsed="false">
      <c r="B74" s="58"/>
      <c r="C74" s="62" t="str">
        <f aca="false">IF(B74="","",IFERROR(INDEX(T_NOMBRE,MATCH(M74,T_RUTN,0)),"⚠ RUT no está en Trabajadores"))</f>
        <v/>
      </c>
      <c r="D74" s="58"/>
      <c r="E74" s="58"/>
      <c r="F74" s="59"/>
      <c r="G74" s="59"/>
      <c r="H74" s="60"/>
      <c r="I74" s="58"/>
      <c r="J74" s="58"/>
      <c r="K74" s="58"/>
      <c r="L74" s="62" t="str">
        <f aca="false">IF(B74="","",IF(LEFT(C74,1)="⚠","⚠ Registre primero al trabajador en la hoja Trabajadores",IF(AND(N74="Sí",OR(E74="",NOT(ISNUMBER(F74)))),"⚠ Falta tipo de contrato o fecha de inicio",IF(NOT(ISNUMBER(F74)),"⚠ Falta fecha de inicio",IF(AND(N74="Sí",E74&lt;&gt;"Indefinido",NOT(ISNUMBER(G74))),"⚠ Falta fecha de término",IF(AND(D74="Paso a indefinido",E74&lt;&gt;"Indefinido"),"⚠ Un paso a indefinido debe tener tipo Indefinido",IF(N(Q74)&gt;=3,"⚠ 3er contrato a plazo fijo: por ley ya es INDEFINIDO (Art. 159 N°4)",IF(AND(E74="Plazo fijo",ISNUMBER(G74),(G74-F74+1)/30.4375&gt;12),"⚠ Plazo fijo mayor a 1 año (máximo legal)",IF(J74&lt;&gt;"Sí","Pendiente de firma","OK")))))))))</f>
        <v/>
      </c>
      <c r="M74" s="62" t="str">
        <f aca="false">IF(B74="","",IFERROR(VALUE(LEFT(UPPER(SUBSTITUTE(SUBSTITUTE(SUBSTITUTE(TRIM(B74),".",""),"-","")," ","")),LEN(UPPER(SUBSTITUTE(SUBSTITUTE(SUBSTITUTE(TRIM(B74),".",""),"-","")," ","")))-1))&amp;RIGHT(UPPER(SUBSTITUTE(SUBSTITUTE(SUBSTITUTE(TRIM(B74),".",""),"-","")," ","")),1),UPPER(SUBSTITUTE(SUBSTITUTE(SUBSTITUTE(TRIM(B74),".",""),"-","")," ",""))))</f>
        <v/>
      </c>
      <c r="N74" s="62" t="str">
        <f aca="false">IF(B74="","",IF(D74="Anexo de modificación","No","Sí"))</f>
        <v/>
      </c>
      <c r="O74" s="62" t="str">
        <f aca="false">IF(AND(N74="Sí",ISNUMBER(F74)),COUNTIFS(C_RUTN,M74,C_DEF,"Sí",C_INI,"&lt;"&amp;F74)+COUNTIFS(M$7:M74,M74,N$7:N74,"Sí",F$7:F74,F74),"")</f>
        <v/>
      </c>
      <c r="P74" s="62" t="str">
        <f aca="false">IF(O74="","",M74&amp;"-P"&amp;O74)</f>
        <v/>
      </c>
      <c r="Q74" s="62" t="str">
        <f aca="false">IF(AND(N74="Sí",E74="Plazo fijo",ISNUMBER(F74)),COUNTIFS(C_RUTN,M74,C_TIPO,"Plazo fijo",C_DEF,"Sí",C_INI,"&lt;"&amp;F74)+COUNTIFS(M$7:M74,M74,E$7:E74,"Plazo fijo",N$7:N74,"Sí",F$7:F74,F74),"")</f>
        <v/>
      </c>
      <c r="R74" s="62" t="str">
        <f aca="false">IF(AND(B74&lt;&gt;"",ISNUMBER(H74),ISNUMBER(F74)),COUNTIFS(C_RUTN,M74,C_SUELDO,"&lt;&gt;",C_INI,"&lt;"&amp;F74)+COUNTIFS(M$7:M74,M74,H$7:H74,"&lt;&gt;",F$7:F74,F74),"")</f>
        <v/>
      </c>
      <c r="S74" s="62" t="str">
        <f aca="false">IF(R74="","",M74&amp;"-S"&amp;R74)</f>
        <v/>
      </c>
    </row>
    <row r="75" customFormat="false" ht="15" hidden="false" customHeight="false" outlineLevel="0" collapsed="false">
      <c r="B75" s="58"/>
      <c r="C75" s="62" t="str">
        <f aca="false">IF(B75="","",IFERROR(INDEX(T_NOMBRE,MATCH(M75,T_RUTN,0)),"⚠ RUT no está en Trabajadores"))</f>
        <v/>
      </c>
      <c r="D75" s="58"/>
      <c r="E75" s="58"/>
      <c r="F75" s="59"/>
      <c r="G75" s="59"/>
      <c r="H75" s="60"/>
      <c r="I75" s="58"/>
      <c r="J75" s="58"/>
      <c r="K75" s="58"/>
      <c r="L75" s="62" t="str">
        <f aca="false">IF(B75="","",IF(LEFT(C75,1)="⚠","⚠ Registre primero al trabajador en la hoja Trabajadores",IF(AND(N75="Sí",OR(E75="",NOT(ISNUMBER(F75)))),"⚠ Falta tipo de contrato o fecha de inicio",IF(NOT(ISNUMBER(F75)),"⚠ Falta fecha de inicio",IF(AND(N75="Sí",E75&lt;&gt;"Indefinido",NOT(ISNUMBER(G75))),"⚠ Falta fecha de término",IF(AND(D75="Paso a indefinido",E75&lt;&gt;"Indefinido"),"⚠ Un paso a indefinido debe tener tipo Indefinido",IF(N(Q75)&gt;=3,"⚠ 3er contrato a plazo fijo: por ley ya es INDEFINIDO (Art. 159 N°4)",IF(AND(E75="Plazo fijo",ISNUMBER(G75),(G75-F75+1)/30.4375&gt;12),"⚠ Plazo fijo mayor a 1 año (máximo legal)",IF(J75&lt;&gt;"Sí","Pendiente de firma","OK")))))))))</f>
        <v/>
      </c>
      <c r="M75" s="62" t="str">
        <f aca="false">IF(B75="","",IFERROR(VALUE(LEFT(UPPER(SUBSTITUTE(SUBSTITUTE(SUBSTITUTE(TRIM(B75),".",""),"-","")," ","")),LEN(UPPER(SUBSTITUTE(SUBSTITUTE(SUBSTITUTE(TRIM(B75),".",""),"-","")," ","")))-1))&amp;RIGHT(UPPER(SUBSTITUTE(SUBSTITUTE(SUBSTITUTE(TRIM(B75),".",""),"-","")," ","")),1),UPPER(SUBSTITUTE(SUBSTITUTE(SUBSTITUTE(TRIM(B75),".",""),"-","")," ",""))))</f>
        <v/>
      </c>
      <c r="N75" s="62" t="str">
        <f aca="false">IF(B75="","",IF(D75="Anexo de modificación","No","Sí"))</f>
        <v/>
      </c>
      <c r="O75" s="62" t="str">
        <f aca="false">IF(AND(N75="Sí",ISNUMBER(F75)),COUNTIFS(C_RUTN,M75,C_DEF,"Sí",C_INI,"&lt;"&amp;F75)+COUNTIFS(M$7:M75,M75,N$7:N75,"Sí",F$7:F75,F75),"")</f>
        <v/>
      </c>
      <c r="P75" s="62" t="str">
        <f aca="false">IF(O75="","",M75&amp;"-P"&amp;O75)</f>
        <v/>
      </c>
      <c r="Q75" s="62" t="str">
        <f aca="false">IF(AND(N75="Sí",E75="Plazo fijo",ISNUMBER(F75)),COUNTIFS(C_RUTN,M75,C_TIPO,"Plazo fijo",C_DEF,"Sí",C_INI,"&lt;"&amp;F75)+COUNTIFS(M$7:M75,M75,E$7:E75,"Plazo fijo",N$7:N75,"Sí",F$7:F75,F75),"")</f>
        <v/>
      </c>
      <c r="R75" s="62" t="str">
        <f aca="false">IF(AND(B75&lt;&gt;"",ISNUMBER(H75),ISNUMBER(F75)),COUNTIFS(C_RUTN,M75,C_SUELDO,"&lt;&gt;",C_INI,"&lt;"&amp;F75)+COUNTIFS(M$7:M75,M75,H$7:H75,"&lt;&gt;",F$7:F75,F75),"")</f>
        <v/>
      </c>
      <c r="S75" s="62" t="str">
        <f aca="false">IF(R75="","",M75&amp;"-S"&amp;R75)</f>
        <v/>
      </c>
    </row>
    <row r="76" customFormat="false" ht="15" hidden="false" customHeight="false" outlineLevel="0" collapsed="false">
      <c r="B76" s="58"/>
      <c r="C76" s="62" t="str">
        <f aca="false">IF(B76="","",IFERROR(INDEX(T_NOMBRE,MATCH(M76,T_RUTN,0)),"⚠ RUT no está en Trabajadores"))</f>
        <v/>
      </c>
      <c r="D76" s="58"/>
      <c r="E76" s="58"/>
      <c r="F76" s="59"/>
      <c r="G76" s="59"/>
      <c r="H76" s="60"/>
      <c r="I76" s="58"/>
      <c r="J76" s="58"/>
      <c r="K76" s="58"/>
      <c r="L76" s="62" t="str">
        <f aca="false">IF(B76="","",IF(LEFT(C76,1)="⚠","⚠ Registre primero al trabajador en la hoja Trabajadores",IF(AND(N76="Sí",OR(E76="",NOT(ISNUMBER(F76)))),"⚠ Falta tipo de contrato o fecha de inicio",IF(NOT(ISNUMBER(F76)),"⚠ Falta fecha de inicio",IF(AND(N76="Sí",E76&lt;&gt;"Indefinido",NOT(ISNUMBER(G76))),"⚠ Falta fecha de término",IF(AND(D76="Paso a indefinido",E76&lt;&gt;"Indefinido"),"⚠ Un paso a indefinido debe tener tipo Indefinido",IF(N(Q76)&gt;=3,"⚠ 3er contrato a plazo fijo: por ley ya es INDEFINIDO (Art. 159 N°4)",IF(AND(E76="Plazo fijo",ISNUMBER(G76),(G76-F76+1)/30.4375&gt;12),"⚠ Plazo fijo mayor a 1 año (máximo legal)",IF(J76&lt;&gt;"Sí","Pendiente de firma","OK")))))))))</f>
        <v/>
      </c>
      <c r="M76" s="62" t="str">
        <f aca="false">IF(B76="","",IFERROR(VALUE(LEFT(UPPER(SUBSTITUTE(SUBSTITUTE(SUBSTITUTE(TRIM(B76),".",""),"-","")," ","")),LEN(UPPER(SUBSTITUTE(SUBSTITUTE(SUBSTITUTE(TRIM(B76),".",""),"-","")," ","")))-1))&amp;RIGHT(UPPER(SUBSTITUTE(SUBSTITUTE(SUBSTITUTE(TRIM(B76),".",""),"-","")," ","")),1),UPPER(SUBSTITUTE(SUBSTITUTE(SUBSTITUTE(TRIM(B76),".",""),"-","")," ",""))))</f>
        <v/>
      </c>
      <c r="N76" s="62" t="str">
        <f aca="false">IF(B76="","",IF(D76="Anexo de modificación","No","Sí"))</f>
        <v/>
      </c>
      <c r="O76" s="62" t="str">
        <f aca="false">IF(AND(N76="Sí",ISNUMBER(F76)),COUNTIFS(C_RUTN,M76,C_DEF,"Sí",C_INI,"&lt;"&amp;F76)+COUNTIFS(M$7:M76,M76,N$7:N76,"Sí",F$7:F76,F76),"")</f>
        <v/>
      </c>
      <c r="P76" s="62" t="str">
        <f aca="false">IF(O76="","",M76&amp;"-P"&amp;O76)</f>
        <v/>
      </c>
      <c r="Q76" s="62" t="str">
        <f aca="false">IF(AND(N76="Sí",E76="Plazo fijo",ISNUMBER(F76)),COUNTIFS(C_RUTN,M76,C_TIPO,"Plazo fijo",C_DEF,"Sí",C_INI,"&lt;"&amp;F76)+COUNTIFS(M$7:M76,M76,E$7:E76,"Plazo fijo",N$7:N76,"Sí",F$7:F76,F76),"")</f>
        <v/>
      </c>
      <c r="R76" s="62" t="str">
        <f aca="false">IF(AND(B76&lt;&gt;"",ISNUMBER(H76),ISNUMBER(F76)),COUNTIFS(C_RUTN,M76,C_SUELDO,"&lt;&gt;",C_INI,"&lt;"&amp;F76)+COUNTIFS(M$7:M76,M76,H$7:H76,"&lt;&gt;",F$7:F76,F76),"")</f>
        <v/>
      </c>
      <c r="S76" s="62" t="str">
        <f aca="false">IF(R76="","",M76&amp;"-S"&amp;R76)</f>
        <v/>
      </c>
    </row>
    <row r="77" customFormat="false" ht="15" hidden="false" customHeight="false" outlineLevel="0" collapsed="false">
      <c r="B77" s="58"/>
      <c r="C77" s="62" t="str">
        <f aca="false">IF(B77="","",IFERROR(INDEX(T_NOMBRE,MATCH(M77,T_RUTN,0)),"⚠ RUT no está en Trabajadores"))</f>
        <v/>
      </c>
      <c r="D77" s="58"/>
      <c r="E77" s="58"/>
      <c r="F77" s="59"/>
      <c r="G77" s="59"/>
      <c r="H77" s="60"/>
      <c r="I77" s="58"/>
      <c r="J77" s="58"/>
      <c r="K77" s="58"/>
      <c r="L77" s="62" t="str">
        <f aca="false">IF(B77="","",IF(LEFT(C77,1)="⚠","⚠ Registre primero al trabajador en la hoja Trabajadores",IF(AND(N77="Sí",OR(E77="",NOT(ISNUMBER(F77)))),"⚠ Falta tipo de contrato o fecha de inicio",IF(NOT(ISNUMBER(F77)),"⚠ Falta fecha de inicio",IF(AND(N77="Sí",E77&lt;&gt;"Indefinido",NOT(ISNUMBER(G77))),"⚠ Falta fecha de término",IF(AND(D77="Paso a indefinido",E77&lt;&gt;"Indefinido"),"⚠ Un paso a indefinido debe tener tipo Indefinido",IF(N(Q77)&gt;=3,"⚠ 3er contrato a plazo fijo: por ley ya es INDEFINIDO (Art. 159 N°4)",IF(AND(E77="Plazo fijo",ISNUMBER(G77),(G77-F77+1)/30.4375&gt;12),"⚠ Plazo fijo mayor a 1 año (máximo legal)",IF(J77&lt;&gt;"Sí","Pendiente de firma","OK")))))))))</f>
        <v/>
      </c>
      <c r="M77" s="62" t="str">
        <f aca="false">IF(B77="","",IFERROR(VALUE(LEFT(UPPER(SUBSTITUTE(SUBSTITUTE(SUBSTITUTE(TRIM(B77),".",""),"-","")," ","")),LEN(UPPER(SUBSTITUTE(SUBSTITUTE(SUBSTITUTE(TRIM(B77),".",""),"-","")," ","")))-1))&amp;RIGHT(UPPER(SUBSTITUTE(SUBSTITUTE(SUBSTITUTE(TRIM(B77),".",""),"-","")," ","")),1),UPPER(SUBSTITUTE(SUBSTITUTE(SUBSTITUTE(TRIM(B77),".",""),"-","")," ",""))))</f>
        <v/>
      </c>
      <c r="N77" s="62" t="str">
        <f aca="false">IF(B77="","",IF(D77="Anexo de modificación","No","Sí"))</f>
        <v/>
      </c>
      <c r="O77" s="62" t="str">
        <f aca="false">IF(AND(N77="Sí",ISNUMBER(F77)),COUNTIFS(C_RUTN,M77,C_DEF,"Sí",C_INI,"&lt;"&amp;F77)+COUNTIFS(M$7:M77,M77,N$7:N77,"Sí",F$7:F77,F77),"")</f>
        <v/>
      </c>
      <c r="P77" s="62" t="str">
        <f aca="false">IF(O77="","",M77&amp;"-P"&amp;O77)</f>
        <v/>
      </c>
      <c r="Q77" s="62" t="str">
        <f aca="false">IF(AND(N77="Sí",E77="Plazo fijo",ISNUMBER(F77)),COUNTIFS(C_RUTN,M77,C_TIPO,"Plazo fijo",C_DEF,"Sí",C_INI,"&lt;"&amp;F77)+COUNTIFS(M$7:M77,M77,E$7:E77,"Plazo fijo",N$7:N77,"Sí",F$7:F77,F77),"")</f>
        <v/>
      </c>
      <c r="R77" s="62" t="str">
        <f aca="false">IF(AND(B77&lt;&gt;"",ISNUMBER(H77),ISNUMBER(F77)),COUNTIFS(C_RUTN,M77,C_SUELDO,"&lt;&gt;",C_INI,"&lt;"&amp;F77)+COUNTIFS(M$7:M77,M77,H$7:H77,"&lt;&gt;",F$7:F77,F77),"")</f>
        <v/>
      </c>
      <c r="S77" s="62" t="str">
        <f aca="false">IF(R77="","",M77&amp;"-S"&amp;R77)</f>
        <v/>
      </c>
    </row>
    <row r="78" customFormat="false" ht="15" hidden="false" customHeight="false" outlineLevel="0" collapsed="false">
      <c r="B78" s="58"/>
      <c r="C78" s="62" t="str">
        <f aca="false">IF(B78="","",IFERROR(INDEX(T_NOMBRE,MATCH(M78,T_RUTN,0)),"⚠ RUT no está en Trabajadores"))</f>
        <v/>
      </c>
      <c r="D78" s="58"/>
      <c r="E78" s="58"/>
      <c r="F78" s="59"/>
      <c r="G78" s="59"/>
      <c r="H78" s="60"/>
      <c r="I78" s="58"/>
      <c r="J78" s="58"/>
      <c r="K78" s="58"/>
      <c r="L78" s="62" t="str">
        <f aca="false">IF(B78="","",IF(LEFT(C78,1)="⚠","⚠ Registre primero al trabajador en la hoja Trabajadores",IF(AND(N78="Sí",OR(E78="",NOT(ISNUMBER(F78)))),"⚠ Falta tipo de contrato o fecha de inicio",IF(NOT(ISNUMBER(F78)),"⚠ Falta fecha de inicio",IF(AND(N78="Sí",E78&lt;&gt;"Indefinido",NOT(ISNUMBER(G78))),"⚠ Falta fecha de término",IF(AND(D78="Paso a indefinido",E78&lt;&gt;"Indefinido"),"⚠ Un paso a indefinido debe tener tipo Indefinido",IF(N(Q78)&gt;=3,"⚠ 3er contrato a plazo fijo: por ley ya es INDEFINIDO (Art. 159 N°4)",IF(AND(E78="Plazo fijo",ISNUMBER(G78),(G78-F78+1)/30.4375&gt;12),"⚠ Plazo fijo mayor a 1 año (máximo legal)",IF(J78&lt;&gt;"Sí","Pendiente de firma","OK")))))))))</f>
        <v/>
      </c>
      <c r="M78" s="62" t="str">
        <f aca="false">IF(B78="","",IFERROR(VALUE(LEFT(UPPER(SUBSTITUTE(SUBSTITUTE(SUBSTITUTE(TRIM(B78),".",""),"-","")," ","")),LEN(UPPER(SUBSTITUTE(SUBSTITUTE(SUBSTITUTE(TRIM(B78),".",""),"-","")," ","")))-1))&amp;RIGHT(UPPER(SUBSTITUTE(SUBSTITUTE(SUBSTITUTE(TRIM(B78),".",""),"-","")," ","")),1),UPPER(SUBSTITUTE(SUBSTITUTE(SUBSTITUTE(TRIM(B78),".",""),"-","")," ",""))))</f>
        <v/>
      </c>
      <c r="N78" s="62" t="str">
        <f aca="false">IF(B78="","",IF(D78="Anexo de modificación","No","Sí"))</f>
        <v/>
      </c>
      <c r="O78" s="62" t="str">
        <f aca="false">IF(AND(N78="Sí",ISNUMBER(F78)),COUNTIFS(C_RUTN,M78,C_DEF,"Sí",C_INI,"&lt;"&amp;F78)+COUNTIFS(M$7:M78,M78,N$7:N78,"Sí",F$7:F78,F78),"")</f>
        <v/>
      </c>
      <c r="P78" s="62" t="str">
        <f aca="false">IF(O78="","",M78&amp;"-P"&amp;O78)</f>
        <v/>
      </c>
      <c r="Q78" s="62" t="str">
        <f aca="false">IF(AND(N78="Sí",E78="Plazo fijo",ISNUMBER(F78)),COUNTIFS(C_RUTN,M78,C_TIPO,"Plazo fijo",C_DEF,"Sí",C_INI,"&lt;"&amp;F78)+COUNTIFS(M$7:M78,M78,E$7:E78,"Plazo fijo",N$7:N78,"Sí",F$7:F78,F78),"")</f>
        <v/>
      </c>
      <c r="R78" s="62" t="str">
        <f aca="false">IF(AND(B78&lt;&gt;"",ISNUMBER(H78),ISNUMBER(F78)),COUNTIFS(C_RUTN,M78,C_SUELDO,"&lt;&gt;",C_INI,"&lt;"&amp;F78)+COUNTIFS(M$7:M78,M78,H$7:H78,"&lt;&gt;",F$7:F78,F78),"")</f>
        <v/>
      </c>
      <c r="S78" s="62" t="str">
        <f aca="false">IF(R78="","",M78&amp;"-S"&amp;R78)</f>
        <v/>
      </c>
    </row>
    <row r="79" customFormat="false" ht="15" hidden="false" customHeight="false" outlineLevel="0" collapsed="false">
      <c r="B79" s="58"/>
      <c r="C79" s="62" t="str">
        <f aca="false">IF(B79="","",IFERROR(INDEX(T_NOMBRE,MATCH(M79,T_RUTN,0)),"⚠ RUT no está en Trabajadores"))</f>
        <v/>
      </c>
      <c r="D79" s="58"/>
      <c r="E79" s="58"/>
      <c r="F79" s="59"/>
      <c r="G79" s="59"/>
      <c r="H79" s="60"/>
      <c r="I79" s="58"/>
      <c r="J79" s="58"/>
      <c r="K79" s="58"/>
      <c r="L79" s="62" t="str">
        <f aca="false">IF(B79="","",IF(LEFT(C79,1)="⚠","⚠ Registre primero al trabajador en la hoja Trabajadores",IF(AND(N79="Sí",OR(E79="",NOT(ISNUMBER(F79)))),"⚠ Falta tipo de contrato o fecha de inicio",IF(NOT(ISNUMBER(F79)),"⚠ Falta fecha de inicio",IF(AND(N79="Sí",E79&lt;&gt;"Indefinido",NOT(ISNUMBER(G79))),"⚠ Falta fecha de término",IF(AND(D79="Paso a indefinido",E79&lt;&gt;"Indefinido"),"⚠ Un paso a indefinido debe tener tipo Indefinido",IF(N(Q79)&gt;=3,"⚠ 3er contrato a plazo fijo: por ley ya es INDEFINIDO (Art. 159 N°4)",IF(AND(E79="Plazo fijo",ISNUMBER(G79),(G79-F79+1)/30.4375&gt;12),"⚠ Plazo fijo mayor a 1 año (máximo legal)",IF(J79&lt;&gt;"Sí","Pendiente de firma","OK")))))))))</f>
        <v/>
      </c>
      <c r="M79" s="62" t="str">
        <f aca="false">IF(B79="","",IFERROR(VALUE(LEFT(UPPER(SUBSTITUTE(SUBSTITUTE(SUBSTITUTE(TRIM(B79),".",""),"-","")," ","")),LEN(UPPER(SUBSTITUTE(SUBSTITUTE(SUBSTITUTE(TRIM(B79),".",""),"-","")," ","")))-1))&amp;RIGHT(UPPER(SUBSTITUTE(SUBSTITUTE(SUBSTITUTE(TRIM(B79),".",""),"-","")," ","")),1),UPPER(SUBSTITUTE(SUBSTITUTE(SUBSTITUTE(TRIM(B79),".",""),"-","")," ",""))))</f>
        <v/>
      </c>
      <c r="N79" s="62" t="str">
        <f aca="false">IF(B79="","",IF(D79="Anexo de modificación","No","Sí"))</f>
        <v/>
      </c>
      <c r="O79" s="62" t="str">
        <f aca="false">IF(AND(N79="Sí",ISNUMBER(F79)),COUNTIFS(C_RUTN,M79,C_DEF,"Sí",C_INI,"&lt;"&amp;F79)+COUNTIFS(M$7:M79,M79,N$7:N79,"Sí",F$7:F79,F79),"")</f>
        <v/>
      </c>
      <c r="P79" s="62" t="str">
        <f aca="false">IF(O79="","",M79&amp;"-P"&amp;O79)</f>
        <v/>
      </c>
      <c r="Q79" s="62" t="str">
        <f aca="false">IF(AND(N79="Sí",E79="Plazo fijo",ISNUMBER(F79)),COUNTIFS(C_RUTN,M79,C_TIPO,"Plazo fijo",C_DEF,"Sí",C_INI,"&lt;"&amp;F79)+COUNTIFS(M$7:M79,M79,E$7:E79,"Plazo fijo",N$7:N79,"Sí",F$7:F79,F79),"")</f>
        <v/>
      </c>
      <c r="R79" s="62" t="str">
        <f aca="false">IF(AND(B79&lt;&gt;"",ISNUMBER(H79),ISNUMBER(F79)),COUNTIFS(C_RUTN,M79,C_SUELDO,"&lt;&gt;",C_INI,"&lt;"&amp;F79)+COUNTIFS(M$7:M79,M79,H$7:H79,"&lt;&gt;",F$7:F79,F79),"")</f>
        <v/>
      </c>
      <c r="S79" s="62" t="str">
        <f aca="false">IF(R79="","",M79&amp;"-S"&amp;R79)</f>
        <v/>
      </c>
    </row>
    <row r="80" customFormat="false" ht="15" hidden="false" customHeight="false" outlineLevel="0" collapsed="false">
      <c r="B80" s="58"/>
      <c r="C80" s="62" t="str">
        <f aca="false">IF(B80="","",IFERROR(INDEX(T_NOMBRE,MATCH(M80,T_RUTN,0)),"⚠ RUT no está en Trabajadores"))</f>
        <v/>
      </c>
      <c r="D80" s="58"/>
      <c r="E80" s="58"/>
      <c r="F80" s="59"/>
      <c r="G80" s="59"/>
      <c r="H80" s="60"/>
      <c r="I80" s="58"/>
      <c r="J80" s="58"/>
      <c r="K80" s="58"/>
      <c r="L80" s="62" t="str">
        <f aca="false">IF(B80="","",IF(LEFT(C80,1)="⚠","⚠ Registre primero al trabajador en la hoja Trabajadores",IF(AND(N80="Sí",OR(E80="",NOT(ISNUMBER(F80)))),"⚠ Falta tipo de contrato o fecha de inicio",IF(NOT(ISNUMBER(F80)),"⚠ Falta fecha de inicio",IF(AND(N80="Sí",E80&lt;&gt;"Indefinido",NOT(ISNUMBER(G80))),"⚠ Falta fecha de término",IF(AND(D80="Paso a indefinido",E80&lt;&gt;"Indefinido"),"⚠ Un paso a indefinido debe tener tipo Indefinido",IF(N(Q80)&gt;=3,"⚠ 3er contrato a plazo fijo: por ley ya es INDEFINIDO (Art. 159 N°4)",IF(AND(E80="Plazo fijo",ISNUMBER(G80),(G80-F80+1)/30.4375&gt;12),"⚠ Plazo fijo mayor a 1 año (máximo legal)",IF(J80&lt;&gt;"Sí","Pendiente de firma","OK")))))))))</f>
        <v/>
      </c>
      <c r="M80" s="62" t="str">
        <f aca="false">IF(B80="","",IFERROR(VALUE(LEFT(UPPER(SUBSTITUTE(SUBSTITUTE(SUBSTITUTE(TRIM(B80),".",""),"-","")," ","")),LEN(UPPER(SUBSTITUTE(SUBSTITUTE(SUBSTITUTE(TRIM(B80),".",""),"-","")," ","")))-1))&amp;RIGHT(UPPER(SUBSTITUTE(SUBSTITUTE(SUBSTITUTE(TRIM(B80),".",""),"-","")," ","")),1),UPPER(SUBSTITUTE(SUBSTITUTE(SUBSTITUTE(TRIM(B80),".",""),"-","")," ",""))))</f>
        <v/>
      </c>
      <c r="N80" s="62" t="str">
        <f aca="false">IF(B80="","",IF(D80="Anexo de modificación","No","Sí"))</f>
        <v/>
      </c>
      <c r="O80" s="62" t="str">
        <f aca="false">IF(AND(N80="Sí",ISNUMBER(F80)),COUNTIFS(C_RUTN,M80,C_DEF,"Sí",C_INI,"&lt;"&amp;F80)+COUNTIFS(M$7:M80,M80,N$7:N80,"Sí",F$7:F80,F80),"")</f>
        <v/>
      </c>
      <c r="P80" s="62" t="str">
        <f aca="false">IF(O80="","",M80&amp;"-P"&amp;O80)</f>
        <v/>
      </c>
      <c r="Q80" s="62" t="str">
        <f aca="false">IF(AND(N80="Sí",E80="Plazo fijo",ISNUMBER(F80)),COUNTIFS(C_RUTN,M80,C_TIPO,"Plazo fijo",C_DEF,"Sí",C_INI,"&lt;"&amp;F80)+COUNTIFS(M$7:M80,M80,E$7:E80,"Plazo fijo",N$7:N80,"Sí",F$7:F80,F80),"")</f>
        <v/>
      </c>
      <c r="R80" s="62" t="str">
        <f aca="false">IF(AND(B80&lt;&gt;"",ISNUMBER(H80),ISNUMBER(F80)),COUNTIFS(C_RUTN,M80,C_SUELDO,"&lt;&gt;",C_INI,"&lt;"&amp;F80)+COUNTIFS(M$7:M80,M80,H$7:H80,"&lt;&gt;",F$7:F80,F80),"")</f>
        <v/>
      </c>
      <c r="S80" s="62" t="str">
        <f aca="false">IF(R80="","",M80&amp;"-S"&amp;R80)</f>
        <v/>
      </c>
    </row>
    <row r="81" customFormat="false" ht="15" hidden="false" customHeight="false" outlineLevel="0" collapsed="false">
      <c r="B81" s="58"/>
      <c r="C81" s="62" t="str">
        <f aca="false">IF(B81="","",IFERROR(INDEX(T_NOMBRE,MATCH(M81,T_RUTN,0)),"⚠ RUT no está en Trabajadores"))</f>
        <v/>
      </c>
      <c r="D81" s="58"/>
      <c r="E81" s="58"/>
      <c r="F81" s="59"/>
      <c r="G81" s="59"/>
      <c r="H81" s="60"/>
      <c r="I81" s="58"/>
      <c r="J81" s="58"/>
      <c r="K81" s="58"/>
      <c r="L81" s="62" t="str">
        <f aca="false">IF(B81="","",IF(LEFT(C81,1)="⚠","⚠ Registre primero al trabajador en la hoja Trabajadores",IF(AND(N81="Sí",OR(E81="",NOT(ISNUMBER(F81)))),"⚠ Falta tipo de contrato o fecha de inicio",IF(NOT(ISNUMBER(F81)),"⚠ Falta fecha de inicio",IF(AND(N81="Sí",E81&lt;&gt;"Indefinido",NOT(ISNUMBER(G81))),"⚠ Falta fecha de término",IF(AND(D81="Paso a indefinido",E81&lt;&gt;"Indefinido"),"⚠ Un paso a indefinido debe tener tipo Indefinido",IF(N(Q81)&gt;=3,"⚠ 3er contrato a plazo fijo: por ley ya es INDEFINIDO (Art. 159 N°4)",IF(AND(E81="Plazo fijo",ISNUMBER(G81),(G81-F81+1)/30.4375&gt;12),"⚠ Plazo fijo mayor a 1 año (máximo legal)",IF(J81&lt;&gt;"Sí","Pendiente de firma","OK")))))))))</f>
        <v/>
      </c>
      <c r="M81" s="62" t="str">
        <f aca="false">IF(B81="","",IFERROR(VALUE(LEFT(UPPER(SUBSTITUTE(SUBSTITUTE(SUBSTITUTE(TRIM(B81),".",""),"-","")," ","")),LEN(UPPER(SUBSTITUTE(SUBSTITUTE(SUBSTITUTE(TRIM(B81),".",""),"-","")," ","")))-1))&amp;RIGHT(UPPER(SUBSTITUTE(SUBSTITUTE(SUBSTITUTE(TRIM(B81),".",""),"-","")," ","")),1),UPPER(SUBSTITUTE(SUBSTITUTE(SUBSTITUTE(TRIM(B81),".",""),"-","")," ",""))))</f>
        <v/>
      </c>
      <c r="N81" s="62" t="str">
        <f aca="false">IF(B81="","",IF(D81="Anexo de modificación","No","Sí"))</f>
        <v/>
      </c>
      <c r="O81" s="62" t="str">
        <f aca="false">IF(AND(N81="Sí",ISNUMBER(F81)),COUNTIFS(C_RUTN,M81,C_DEF,"Sí",C_INI,"&lt;"&amp;F81)+COUNTIFS(M$7:M81,M81,N$7:N81,"Sí",F$7:F81,F81),"")</f>
        <v/>
      </c>
      <c r="P81" s="62" t="str">
        <f aca="false">IF(O81="","",M81&amp;"-P"&amp;O81)</f>
        <v/>
      </c>
      <c r="Q81" s="62" t="str">
        <f aca="false">IF(AND(N81="Sí",E81="Plazo fijo",ISNUMBER(F81)),COUNTIFS(C_RUTN,M81,C_TIPO,"Plazo fijo",C_DEF,"Sí",C_INI,"&lt;"&amp;F81)+COUNTIFS(M$7:M81,M81,E$7:E81,"Plazo fijo",N$7:N81,"Sí",F$7:F81,F81),"")</f>
        <v/>
      </c>
      <c r="R81" s="62" t="str">
        <f aca="false">IF(AND(B81&lt;&gt;"",ISNUMBER(H81),ISNUMBER(F81)),COUNTIFS(C_RUTN,M81,C_SUELDO,"&lt;&gt;",C_INI,"&lt;"&amp;F81)+COUNTIFS(M$7:M81,M81,H$7:H81,"&lt;&gt;",F$7:F81,F81),"")</f>
        <v/>
      </c>
      <c r="S81" s="62" t="str">
        <f aca="false">IF(R81="","",M81&amp;"-S"&amp;R81)</f>
        <v/>
      </c>
    </row>
    <row r="82" customFormat="false" ht="15" hidden="false" customHeight="false" outlineLevel="0" collapsed="false">
      <c r="B82" s="58"/>
      <c r="C82" s="62" t="str">
        <f aca="false">IF(B82="","",IFERROR(INDEX(T_NOMBRE,MATCH(M82,T_RUTN,0)),"⚠ RUT no está en Trabajadores"))</f>
        <v/>
      </c>
      <c r="D82" s="58"/>
      <c r="E82" s="58"/>
      <c r="F82" s="59"/>
      <c r="G82" s="59"/>
      <c r="H82" s="60"/>
      <c r="I82" s="58"/>
      <c r="J82" s="58"/>
      <c r="K82" s="58"/>
      <c r="L82" s="62" t="str">
        <f aca="false">IF(B82="","",IF(LEFT(C82,1)="⚠","⚠ Registre primero al trabajador en la hoja Trabajadores",IF(AND(N82="Sí",OR(E82="",NOT(ISNUMBER(F82)))),"⚠ Falta tipo de contrato o fecha de inicio",IF(NOT(ISNUMBER(F82)),"⚠ Falta fecha de inicio",IF(AND(N82="Sí",E82&lt;&gt;"Indefinido",NOT(ISNUMBER(G82))),"⚠ Falta fecha de término",IF(AND(D82="Paso a indefinido",E82&lt;&gt;"Indefinido"),"⚠ Un paso a indefinido debe tener tipo Indefinido",IF(N(Q82)&gt;=3,"⚠ 3er contrato a plazo fijo: por ley ya es INDEFINIDO (Art. 159 N°4)",IF(AND(E82="Plazo fijo",ISNUMBER(G82),(G82-F82+1)/30.4375&gt;12),"⚠ Plazo fijo mayor a 1 año (máximo legal)",IF(J82&lt;&gt;"Sí","Pendiente de firma","OK")))))))))</f>
        <v/>
      </c>
      <c r="M82" s="62" t="str">
        <f aca="false">IF(B82="","",IFERROR(VALUE(LEFT(UPPER(SUBSTITUTE(SUBSTITUTE(SUBSTITUTE(TRIM(B82),".",""),"-","")," ","")),LEN(UPPER(SUBSTITUTE(SUBSTITUTE(SUBSTITUTE(TRIM(B82),".",""),"-","")," ","")))-1))&amp;RIGHT(UPPER(SUBSTITUTE(SUBSTITUTE(SUBSTITUTE(TRIM(B82),".",""),"-","")," ","")),1),UPPER(SUBSTITUTE(SUBSTITUTE(SUBSTITUTE(TRIM(B82),".",""),"-","")," ",""))))</f>
        <v/>
      </c>
      <c r="N82" s="62" t="str">
        <f aca="false">IF(B82="","",IF(D82="Anexo de modificación","No","Sí"))</f>
        <v/>
      </c>
      <c r="O82" s="62" t="str">
        <f aca="false">IF(AND(N82="Sí",ISNUMBER(F82)),COUNTIFS(C_RUTN,M82,C_DEF,"Sí",C_INI,"&lt;"&amp;F82)+COUNTIFS(M$7:M82,M82,N$7:N82,"Sí",F$7:F82,F82),"")</f>
        <v/>
      </c>
      <c r="P82" s="62" t="str">
        <f aca="false">IF(O82="","",M82&amp;"-P"&amp;O82)</f>
        <v/>
      </c>
      <c r="Q82" s="62" t="str">
        <f aca="false">IF(AND(N82="Sí",E82="Plazo fijo",ISNUMBER(F82)),COUNTIFS(C_RUTN,M82,C_TIPO,"Plazo fijo",C_DEF,"Sí",C_INI,"&lt;"&amp;F82)+COUNTIFS(M$7:M82,M82,E$7:E82,"Plazo fijo",N$7:N82,"Sí",F$7:F82,F82),"")</f>
        <v/>
      </c>
      <c r="R82" s="62" t="str">
        <f aca="false">IF(AND(B82&lt;&gt;"",ISNUMBER(H82),ISNUMBER(F82)),COUNTIFS(C_RUTN,M82,C_SUELDO,"&lt;&gt;",C_INI,"&lt;"&amp;F82)+COUNTIFS(M$7:M82,M82,H$7:H82,"&lt;&gt;",F$7:F82,F82),"")</f>
        <v/>
      </c>
      <c r="S82" s="62" t="str">
        <f aca="false">IF(R82="","",M82&amp;"-S"&amp;R82)</f>
        <v/>
      </c>
    </row>
    <row r="83" customFormat="false" ht="15" hidden="false" customHeight="false" outlineLevel="0" collapsed="false">
      <c r="B83" s="58"/>
      <c r="C83" s="62" t="str">
        <f aca="false">IF(B83="","",IFERROR(INDEX(T_NOMBRE,MATCH(M83,T_RUTN,0)),"⚠ RUT no está en Trabajadores"))</f>
        <v/>
      </c>
      <c r="D83" s="58"/>
      <c r="E83" s="58"/>
      <c r="F83" s="59"/>
      <c r="G83" s="59"/>
      <c r="H83" s="60"/>
      <c r="I83" s="58"/>
      <c r="J83" s="58"/>
      <c r="K83" s="58"/>
      <c r="L83" s="62" t="str">
        <f aca="false">IF(B83="","",IF(LEFT(C83,1)="⚠","⚠ Registre primero al trabajador en la hoja Trabajadores",IF(AND(N83="Sí",OR(E83="",NOT(ISNUMBER(F83)))),"⚠ Falta tipo de contrato o fecha de inicio",IF(NOT(ISNUMBER(F83)),"⚠ Falta fecha de inicio",IF(AND(N83="Sí",E83&lt;&gt;"Indefinido",NOT(ISNUMBER(G83))),"⚠ Falta fecha de término",IF(AND(D83="Paso a indefinido",E83&lt;&gt;"Indefinido"),"⚠ Un paso a indefinido debe tener tipo Indefinido",IF(N(Q83)&gt;=3,"⚠ 3er contrato a plazo fijo: por ley ya es INDEFINIDO (Art. 159 N°4)",IF(AND(E83="Plazo fijo",ISNUMBER(G83),(G83-F83+1)/30.4375&gt;12),"⚠ Plazo fijo mayor a 1 año (máximo legal)",IF(J83&lt;&gt;"Sí","Pendiente de firma","OK")))))))))</f>
        <v/>
      </c>
      <c r="M83" s="62" t="str">
        <f aca="false">IF(B83="","",IFERROR(VALUE(LEFT(UPPER(SUBSTITUTE(SUBSTITUTE(SUBSTITUTE(TRIM(B83),".",""),"-","")," ","")),LEN(UPPER(SUBSTITUTE(SUBSTITUTE(SUBSTITUTE(TRIM(B83),".",""),"-","")," ","")))-1))&amp;RIGHT(UPPER(SUBSTITUTE(SUBSTITUTE(SUBSTITUTE(TRIM(B83),".",""),"-","")," ","")),1),UPPER(SUBSTITUTE(SUBSTITUTE(SUBSTITUTE(TRIM(B83),".",""),"-","")," ",""))))</f>
        <v/>
      </c>
      <c r="N83" s="62" t="str">
        <f aca="false">IF(B83="","",IF(D83="Anexo de modificación","No","Sí"))</f>
        <v/>
      </c>
      <c r="O83" s="62" t="str">
        <f aca="false">IF(AND(N83="Sí",ISNUMBER(F83)),COUNTIFS(C_RUTN,M83,C_DEF,"Sí",C_INI,"&lt;"&amp;F83)+COUNTIFS(M$7:M83,M83,N$7:N83,"Sí",F$7:F83,F83),"")</f>
        <v/>
      </c>
      <c r="P83" s="62" t="str">
        <f aca="false">IF(O83="","",M83&amp;"-P"&amp;O83)</f>
        <v/>
      </c>
      <c r="Q83" s="62" t="str">
        <f aca="false">IF(AND(N83="Sí",E83="Plazo fijo",ISNUMBER(F83)),COUNTIFS(C_RUTN,M83,C_TIPO,"Plazo fijo",C_DEF,"Sí",C_INI,"&lt;"&amp;F83)+COUNTIFS(M$7:M83,M83,E$7:E83,"Plazo fijo",N$7:N83,"Sí",F$7:F83,F83),"")</f>
        <v/>
      </c>
      <c r="R83" s="62" t="str">
        <f aca="false">IF(AND(B83&lt;&gt;"",ISNUMBER(H83),ISNUMBER(F83)),COUNTIFS(C_RUTN,M83,C_SUELDO,"&lt;&gt;",C_INI,"&lt;"&amp;F83)+COUNTIFS(M$7:M83,M83,H$7:H83,"&lt;&gt;",F$7:F83,F83),"")</f>
        <v/>
      </c>
      <c r="S83" s="62" t="str">
        <f aca="false">IF(R83="","",M83&amp;"-S"&amp;R83)</f>
        <v/>
      </c>
    </row>
    <row r="84" customFormat="false" ht="15" hidden="false" customHeight="false" outlineLevel="0" collapsed="false">
      <c r="B84" s="58"/>
      <c r="C84" s="62" t="str">
        <f aca="false">IF(B84="","",IFERROR(INDEX(T_NOMBRE,MATCH(M84,T_RUTN,0)),"⚠ RUT no está en Trabajadores"))</f>
        <v/>
      </c>
      <c r="D84" s="58"/>
      <c r="E84" s="58"/>
      <c r="F84" s="59"/>
      <c r="G84" s="59"/>
      <c r="H84" s="60"/>
      <c r="I84" s="58"/>
      <c r="J84" s="58"/>
      <c r="K84" s="58"/>
      <c r="L84" s="62" t="str">
        <f aca="false">IF(B84="","",IF(LEFT(C84,1)="⚠","⚠ Registre primero al trabajador en la hoja Trabajadores",IF(AND(N84="Sí",OR(E84="",NOT(ISNUMBER(F84)))),"⚠ Falta tipo de contrato o fecha de inicio",IF(NOT(ISNUMBER(F84)),"⚠ Falta fecha de inicio",IF(AND(N84="Sí",E84&lt;&gt;"Indefinido",NOT(ISNUMBER(G84))),"⚠ Falta fecha de término",IF(AND(D84="Paso a indefinido",E84&lt;&gt;"Indefinido"),"⚠ Un paso a indefinido debe tener tipo Indefinido",IF(N(Q84)&gt;=3,"⚠ 3er contrato a plazo fijo: por ley ya es INDEFINIDO (Art. 159 N°4)",IF(AND(E84="Plazo fijo",ISNUMBER(G84),(G84-F84+1)/30.4375&gt;12),"⚠ Plazo fijo mayor a 1 año (máximo legal)",IF(J84&lt;&gt;"Sí","Pendiente de firma","OK")))))))))</f>
        <v/>
      </c>
      <c r="M84" s="62" t="str">
        <f aca="false">IF(B84="","",IFERROR(VALUE(LEFT(UPPER(SUBSTITUTE(SUBSTITUTE(SUBSTITUTE(TRIM(B84),".",""),"-","")," ","")),LEN(UPPER(SUBSTITUTE(SUBSTITUTE(SUBSTITUTE(TRIM(B84),".",""),"-","")," ","")))-1))&amp;RIGHT(UPPER(SUBSTITUTE(SUBSTITUTE(SUBSTITUTE(TRIM(B84),".",""),"-","")," ","")),1),UPPER(SUBSTITUTE(SUBSTITUTE(SUBSTITUTE(TRIM(B84),".",""),"-","")," ",""))))</f>
        <v/>
      </c>
      <c r="N84" s="62" t="str">
        <f aca="false">IF(B84="","",IF(D84="Anexo de modificación","No","Sí"))</f>
        <v/>
      </c>
      <c r="O84" s="62" t="str">
        <f aca="false">IF(AND(N84="Sí",ISNUMBER(F84)),COUNTIFS(C_RUTN,M84,C_DEF,"Sí",C_INI,"&lt;"&amp;F84)+COUNTIFS(M$7:M84,M84,N$7:N84,"Sí",F$7:F84,F84),"")</f>
        <v/>
      </c>
      <c r="P84" s="62" t="str">
        <f aca="false">IF(O84="","",M84&amp;"-P"&amp;O84)</f>
        <v/>
      </c>
      <c r="Q84" s="62" t="str">
        <f aca="false">IF(AND(N84="Sí",E84="Plazo fijo",ISNUMBER(F84)),COUNTIFS(C_RUTN,M84,C_TIPO,"Plazo fijo",C_DEF,"Sí",C_INI,"&lt;"&amp;F84)+COUNTIFS(M$7:M84,M84,E$7:E84,"Plazo fijo",N$7:N84,"Sí",F$7:F84,F84),"")</f>
        <v/>
      </c>
      <c r="R84" s="62" t="str">
        <f aca="false">IF(AND(B84&lt;&gt;"",ISNUMBER(H84),ISNUMBER(F84)),COUNTIFS(C_RUTN,M84,C_SUELDO,"&lt;&gt;",C_INI,"&lt;"&amp;F84)+COUNTIFS(M$7:M84,M84,H$7:H84,"&lt;&gt;",F$7:F84,F84),"")</f>
        <v/>
      </c>
      <c r="S84" s="62" t="str">
        <f aca="false">IF(R84="","",M84&amp;"-S"&amp;R84)</f>
        <v/>
      </c>
    </row>
    <row r="85" customFormat="false" ht="15" hidden="false" customHeight="false" outlineLevel="0" collapsed="false">
      <c r="B85" s="58"/>
      <c r="C85" s="62" t="str">
        <f aca="false">IF(B85="","",IFERROR(INDEX(T_NOMBRE,MATCH(M85,T_RUTN,0)),"⚠ RUT no está en Trabajadores"))</f>
        <v/>
      </c>
      <c r="D85" s="58"/>
      <c r="E85" s="58"/>
      <c r="F85" s="59"/>
      <c r="G85" s="59"/>
      <c r="H85" s="60"/>
      <c r="I85" s="58"/>
      <c r="J85" s="58"/>
      <c r="K85" s="58"/>
      <c r="L85" s="62" t="str">
        <f aca="false">IF(B85="","",IF(LEFT(C85,1)="⚠","⚠ Registre primero al trabajador en la hoja Trabajadores",IF(AND(N85="Sí",OR(E85="",NOT(ISNUMBER(F85)))),"⚠ Falta tipo de contrato o fecha de inicio",IF(NOT(ISNUMBER(F85)),"⚠ Falta fecha de inicio",IF(AND(N85="Sí",E85&lt;&gt;"Indefinido",NOT(ISNUMBER(G85))),"⚠ Falta fecha de término",IF(AND(D85="Paso a indefinido",E85&lt;&gt;"Indefinido"),"⚠ Un paso a indefinido debe tener tipo Indefinido",IF(N(Q85)&gt;=3,"⚠ 3er contrato a plazo fijo: por ley ya es INDEFINIDO (Art. 159 N°4)",IF(AND(E85="Plazo fijo",ISNUMBER(G85),(G85-F85+1)/30.4375&gt;12),"⚠ Plazo fijo mayor a 1 año (máximo legal)",IF(J85&lt;&gt;"Sí","Pendiente de firma","OK")))))))))</f>
        <v/>
      </c>
      <c r="M85" s="62" t="str">
        <f aca="false">IF(B85="","",IFERROR(VALUE(LEFT(UPPER(SUBSTITUTE(SUBSTITUTE(SUBSTITUTE(TRIM(B85),".",""),"-","")," ","")),LEN(UPPER(SUBSTITUTE(SUBSTITUTE(SUBSTITUTE(TRIM(B85),".",""),"-","")," ","")))-1))&amp;RIGHT(UPPER(SUBSTITUTE(SUBSTITUTE(SUBSTITUTE(TRIM(B85),".",""),"-","")," ","")),1),UPPER(SUBSTITUTE(SUBSTITUTE(SUBSTITUTE(TRIM(B85),".",""),"-","")," ",""))))</f>
        <v/>
      </c>
      <c r="N85" s="62" t="str">
        <f aca="false">IF(B85="","",IF(D85="Anexo de modificación","No","Sí"))</f>
        <v/>
      </c>
      <c r="O85" s="62" t="str">
        <f aca="false">IF(AND(N85="Sí",ISNUMBER(F85)),COUNTIFS(C_RUTN,M85,C_DEF,"Sí",C_INI,"&lt;"&amp;F85)+COUNTIFS(M$7:M85,M85,N$7:N85,"Sí",F$7:F85,F85),"")</f>
        <v/>
      </c>
      <c r="P85" s="62" t="str">
        <f aca="false">IF(O85="","",M85&amp;"-P"&amp;O85)</f>
        <v/>
      </c>
      <c r="Q85" s="62" t="str">
        <f aca="false">IF(AND(N85="Sí",E85="Plazo fijo",ISNUMBER(F85)),COUNTIFS(C_RUTN,M85,C_TIPO,"Plazo fijo",C_DEF,"Sí",C_INI,"&lt;"&amp;F85)+COUNTIFS(M$7:M85,M85,E$7:E85,"Plazo fijo",N$7:N85,"Sí",F$7:F85,F85),"")</f>
        <v/>
      </c>
      <c r="R85" s="62" t="str">
        <f aca="false">IF(AND(B85&lt;&gt;"",ISNUMBER(H85),ISNUMBER(F85)),COUNTIFS(C_RUTN,M85,C_SUELDO,"&lt;&gt;",C_INI,"&lt;"&amp;F85)+COUNTIFS(M$7:M85,M85,H$7:H85,"&lt;&gt;",F$7:F85,F85),"")</f>
        <v/>
      </c>
      <c r="S85" s="62" t="str">
        <f aca="false">IF(R85="","",M85&amp;"-S"&amp;R85)</f>
        <v/>
      </c>
    </row>
    <row r="86" customFormat="false" ht="15" hidden="false" customHeight="false" outlineLevel="0" collapsed="false">
      <c r="B86" s="58"/>
      <c r="C86" s="62" t="str">
        <f aca="false">IF(B86="","",IFERROR(INDEX(T_NOMBRE,MATCH(M86,T_RUTN,0)),"⚠ RUT no está en Trabajadores"))</f>
        <v/>
      </c>
      <c r="D86" s="58"/>
      <c r="E86" s="58"/>
      <c r="F86" s="59"/>
      <c r="G86" s="59"/>
      <c r="H86" s="60"/>
      <c r="I86" s="58"/>
      <c r="J86" s="58"/>
      <c r="K86" s="58"/>
      <c r="L86" s="62" t="str">
        <f aca="false">IF(B86="","",IF(LEFT(C86,1)="⚠","⚠ Registre primero al trabajador en la hoja Trabajadores",IF(AND(N86="Sí",OR(E86="",NOT(ISNUMBER(F86)))),"⚠ Falta tipo de contrato o fecha de inicio",IF(NOT(ISNUMBER(F86)),"⚠ Falta fecha de inicio",IF(AND(N86="Sí",E86&lt;&gt;"Indefinido",NOT(ISNUMBER(G86))),"⚠ Falta fecha de término",IF(AND(D86="Paso a indefinido",E86&lt;&gt;"Indefinido"),"⚠ Un paso a indefinido debe tener tipo Indefinido",IF(N(Q86)&gt;=3,"⚠ 3er contrato a plazo fijo: por ley ya es INDEFINIDO (Art. 159 N°4)",IF(AND(E86="Plazo fijo",ISNUMBER(G86),(G86-F86+1)/30.4375&gt;12),"⚠ Plazo fijo mayor a 1 año (máximo legal)",IF(J86&lt;&gt;"Sí","Pendiente de firma","OK")))))))))</f>
        <v/>
      </c>
      <c r="M86" s="62" t="str">
        <f aca="false">IF(B86="","",IFERROR(VALUE(LEFT(UPPER(SUBSTITUTE(SUBSTITUTE(SUBSTITUTE(TRIM(B86),".",""),"-","")," ","")),LEN(UPPER(SUBSTITUTE(SUBSTITUTE(SUBSTITUTE(TRIM(B86),".",""),"-","")," ","")))-1))&amp;RIGHT(UPPER(SUBSTITUTE(SUBSTITUTE(SUBSTITUTE(TRIM(B86),".",""),"-","")," ","")),1),UPPER(SUBSTITUTE(SUBSTITUTE(SUBSTITUTE(TRIM(B86),".",""),"-","")," ",""))))</f>
        <v/>
      </c>
      <c r="N86" s="62" t="str">
        <f aca="false">IF(B86="","",IF(D86="Anexo de modificación","No","Sí"))</f>
        <v/>
      </c>
      <c r="O86" s="62" t="str">
        <f aca="false">IF(AND(N86="Sí",ISNUMBER(F86)),COUNTIFS(C_RUTN,M86,C_DEF,"Sí",C_INI,"&lt;"&amp;F86)+COUNTIFS(M$7:M86,M86,N$7:N86,"Sí",F$7:F86,F86),"")</f>
        <v/>
      </c>
      <c r="P86" s="62" t="str">
        <f aca="false">IF(O86="","",M86&amp;"-P"&amp;O86)</f>
        <v/>
      </c>
      <c r="Q86" s="62" t="str">
        <f aca="false">IF(AND(N86="Sí",E86="Plazo fijo",ISNUMBER(F86)),COUNTIFS(C_RUTN,M86,C_TIPO,"Plazo fijo",C_DEF,"Sí",C_INI,"&lt;"&amp;F86)+COUNTIFS(M$7:M86,M86,E$7:E86,"Plazo fijo",N$7:N86,"Sí",F$7:F86,F86),"")</f>
        <v/>
      </c>
      <c r="R86" s="62" t="str">
        <f aca="false">IF(AND(B86&lt;&gt;"",ISNUMBER(H86),ISNUMBER(F86)),COUNTIFS(C_RUTN,M86,C_SUELDO,"&lt;&gt;",C_INI,"&lt;"&amp;F86)+COUNTIFS(M$7:M86,M86,H$7:H86,"&lt;&gt;",F$7:F86,F86),"")</f>
        <v/>
      </c>
      <c r="S86" s="62" t="str">
        <f aca="false">IF(R86="","",M86&amp;"-S"&amp;R86)</f>
        <v/>
      </c>
    </row>
    <row r="87" customFormat="false" ht="15" hidden="false" customHeight="false" outlineLevel="0" collapsed="false">
      <c r="B87" s="58"/>
      <c r="C87" s="62" t="str">
        <f aca="false">IF(B87="","",IFERROR(INDEX(T_NOMBRE,MATCH(M87,T_RUTN,0)),"⚠ RUT no está en Trabajadores"))</f>
        <v/>
      </c>
      <c r="D87" s="58"/>
      <c r="E87" s="58"/>
      <c r="F87" s="59"/>
      <c r="G87" s="59"/>
      <c r="H87" s="60"/>
      <c r="I87" s="58"/>
      <c r="J87" s="58"/>
      <c r="K87" s="58"/>
      <c r="L87" s="62" t="str">
        <f aca="false">IF(B87="","",IF(LEFT(C87,1)="⚠","⚠ Registre primero al trabajador en la hoja Trabajadores",IF(AND(N87="Sí",OR(E87="",NOT(ISNUMBER(F87)))),"⚠ Falta tipo de contrato o fecha de inicio",IF(NOT(ISNUMBER(F87)),"⚠ Falta fecha de inicio",IF(AND(N87="Sí",E87&lt;&gt;"Indefinido",NOT(ISNUMBER(G87))),"⚠ Falta fecha de término",IF(AND(D87="Paso a indefinido",E87&lt;&gt;"Indefinido"),"⚠ Un paso a indefinido debe tener tipo Indefinido",IF(N(Q87)&gt;=3,"⚠ 3er contrato a plazo fijo: por ley ya es INDEFINIDO (Art. 159 N°4)",IF(AND(E87="Plazo fijo",ISNUMBER(G87),(G87-F87+1)/30.4375&gt;12),"⚠ Plazo fijo mayor a 1 año (máximo legal)",IF(J87&lt;&gt;"Sí","Pendiente de firma","OK")))))))))</f>
        <v/>
      </c>
      <c r="M87" s="62" t="str">
        <f aca="false">IF(B87="","",IFERROR(VALUE(LEFT(UPPER(SUBSTITUTE(SUBSTITUTE(SUBSTITUTE(TRIM(B87),".",""),"-","")," ","")),LEN(UPPER(SUBSTITUTE(SUBSTITUTE(SUBSTITUTE(TRIM(B87),".",""),"-","")," ","")))-1))&amp;RIGHT(UPPER(SUBSTITUTE(SUBSTITUTE(SUBSTITUTE(TRIM(B87),".",""),"-","")," ","")),1),UPPER(SUBSTITUTE(SUBSTITUTE(SUBSTITUTE(TRIM(B87),".",""),"-","")," ",""))))</f>
        <v/>
      </c>
      <c r="N87" s="62" t="str">
        <f aca="false">IF(B87="","",IF(D87="Anexo de modificación","No","Sí"))</f>
        <v/>
      </c>
      <c r="O87" s="62" t="str">
        <f aca="false">IF(AND(N87="Sí",ISNUMBER(F87)),COUNTIFS(C_RUTN,M87,C_DEF,"Sí",C_INI,"&lt;"&amp;F87)+COUNTIFS(M$7:M87,M87,N$7:N87,"Sí",F$7:F87,F87),"")</f>
        <v/>
      </c>
      <c r="P87" s="62" t="str">
        <f aca="false">IF(O87="","",M87&amp;"-P"&amp;O87)</f>
        <v/>
      </c>
      <c r="Q87" s="62" t="str">
        <f aca="false">IF(AND(N87="Sí",E87="Plazo fijo",ISNUMBER(F87)),COUNTIFS(C_RUTN,M87,C_TIPO,"Plazo fijo",C_DEF,"Sí",C_INI,"&lt;"&amp;F87)+COUNTIFS(M$7:M87,M87,E$7:E87,"Plazo fijo",N$7:N87,"Sí",F$7:F87,F87),"")</f>
        <v/>
      </c>
      <c r="R87" s="62" t="str">
        <f aca="false">IF(AND(B87&lt;&gt;"",ISNUMBER(H87),ISNUMBER(F87)),COUNTIFS(C_RUTN,M87,C_SUELDO,"&lt;&gt;",C_INI,"&lt;"&amp;F87)+COUNTIFS(M$7:M87,M87,H$7:H87,"&lt;&gt;",F$7:F87,F87),"")</f>
        <v/>
      </c>
      <c r="S87" s="62" t="str">
        <f aca="false">IF(R87="","",M87&amp;"-S"&amp;R87)</f>
        <v/>
      </c>
    </row>
    <row r="88" customFormat="false" ht="15" hidden="false" customHeight="false" outlineLevel="0" collapsed="false">
      <c r="B88" s="58"/>
      <c r="C88" s="62" t="str">
        <f aca="false">IF(B88="","",IFERROR(INDEX(T_NOMBRE,MATCH(M88,T_RUTN,0)),"⚠ RUT no está en Trabajadores"))</f>
        <v/>
      </c>
      <c r="D88" s="58"/>
      <c r="E88" s="58"/>
      <c r="F88" s="59"/>
      <c r="G88" s="59"/>
      <c r="H88" s="60"/>
      <c r="I88" s="58"/>
      <c r="J88" s="58"/>
      <c r="K88" s="58"/>
      <c r="L88" s="62" t="str">
        <f aca="false">IF(B88="","",IF(LEFT(C88,1)="⚠","⚠ Registre primero al trabajador en la hoja Trabajadores",IF(AND(N88="Sí",OR(E88="",NOT(ISNUMBER(F88)))),"⚠ Falta tipo de contrato o fecha de inicio",IF(NOT(ISNUMBER(F88)),"⚠ Falta fecha de inicio",IF(AND(N88="Sí",E88&lt;&gt;"Indefinido",NOT(ISNUMBER(G88))),"⚠ Falta fecha de término",IF(AND(D88="Paso a indefinido",E88&lt;&gt;"Indefinido"),"⚠ Un paso a indefinido debe tener tipo Indefinido",IF(N(Q88)&gt;=3,"⚠ 3er contrato a plazo fijo: por ley ya es INDEFINIDO (Art. 159 N°4)",IF(AND(E88="Plazo fijo",ISNUMBER(G88),(G88-F88+1)/30.4375&gt;12),"⚠ Plazo fijo mayor a 1 año (máximo legal)",IF(J88&lt;&gt;"Sí","Pendiente de firma","OK")))))))))</f>
        <v/>
      </c>
      <c r="M88" s="62" t="str">
        <f aca="false">IF(B88="","",IFERROR(VALUE(LEFT(UPPER(SUBSTITUTE(SUBSTITUTE(SUBSTITUTE(TRIM(B88),".",""),"-","")," ","")),LEN(UPPER(SUBSTITUTE(SUBSTITUTE(SUBSTITUTE(TRIM(B88),".",""),"-","")," ","")))-1))&amp;RIGHT(UPPER(SUBSTITUTE(SUBSTITUTE(SUBSTITUTE(TRIM(B88),".",""),"-","")," ","")),1),UPPER(SUBSTITUTE(SUBSTITUTE(SUBSTITUTE(TRIM(B88),".",""),"-","")," ",""))))</f>
        <v/>
      </c>
      <c r="N88" s="62" t="str">
        <f aca="false">IF(B88="","",IF(D88="Anexo de modificación","No","Sí"))</f>
        <v/>
      </c>
      <c r="O88" s="62" t="str">
        <f aca="false">IF(AND(N88="Sí",ISNUMBER(F88)),COUNTIFS(C_RUTN,M88,C_DEF,"Sí",C_INI,"&lt;"&amp;F88)+COUNTIFS(M$7:M88,M88,N$7:N88,"Sí",F$7:F88,F88),"")</f>
        <v/>
      </c>
      <c r="P88" s="62" t="str">
        <f aca="false">IF(O88="","",M88&amp;"-P"&amp;O88)</f>
        <v/>
      </c>
      <c r="Q88" s="62" t="str">
        <f aca="false">IF(AND(N88="Sí",E88="Plazo fijo",ISNUMBER(F88)),COUNTIFS(C_RUTN,M88,C_TIPO,"Plazo fijo",C_DEF,"Sí",C_INI,"&lt;"&amp;F88)+COUNTIFS(M$7:M88,M88,E$7:E88,"Plazo fijo",N$7:N88,"Sí",F$7:F88,F88),"")</f>
        <v/>
      </c>
      <c r="R88" s="62" t="str">
        <f aca="false">IF(AND(B88&lt;&gt;"",ISNUMBER(H88),ISNUMBER(F88)),COUNTIFS(C_RUTN,M88,C_SUELDO,"&lt;&gt;",C_INI,"&lt;"&amp;F88)+COUNTIFS(M$7:M88,M88,H$7:H88,"&lt;&gt;",F$7:F88,F88),"")</f>
        <v/>
      </c>
      <c r="S88" s="62" t="str">
        <f aca="false">IF(R88="","",M88&amp;"-S"&amp;R88)</f>
        <v/>
      </c>
    </row>
    <row r="89" customFormat="false" ht="15" hidden="false" customHeight="false" outlineLevel="0" collapsed="false">
      <c r="B89" s="58"/>
      <c r="C89" s="62" t="str">
        <f aca="false">IF(B89="","",IFERROR(INDEX(T_NOMBRE,MATCH(M89,T_RUTN,0)),"⚠ RUT no está en Trabajadores"))</f>
        <v/>
      </c>
      <c r="D89" s="58"/>
      <c r="E89" s="58"/>
      <c r="F89" s="59"/>
      <c r="G89" s="59"/>
      <c r="H89" s="60"/>
      <c r="I89" s="58"/>
      <c r="J89" s="58"/>
      <c r="K89" s="58"/>
      <c r="L89" s="62" t="str">
        <f aca="false">IF(B89="","",IF(LEFT(C89,1)="⚠","⚠ Registre primero al trabajador en la hoja Trabajadores",IF(AND(N89="Sí",OR(E89="",NOT(ISNUMBER(F89)))),"⚠ Falta tipo de contrato o fecha de inicio",IF(NOT(ISNUMBER(F89)),"⚠ Falta fecha de inicio",IF(AND(N89="Sí",E89&lt;&gt;"Indefinido",NOT(ISNUMBER(G89))),"⚠ Falta fecha de término",IF(AND(D89="Paso a indefinido",E89&lt;&gt;"Indefinido"),"⚠ Un paso a indefinido debe tener tipo Indefinido",IF(N(Q89)&gt;=3,"⚠ 3er contrato a plazo fijo: por ley ya es INDEFINIDO (Art. 159 N°4)",IF(AND(E89="Plazo fijo",ISNUMBER(G89),(G89-F89+1)/30.4375&gt;12),"⚠ Plazo fijo mayor a 1 año (máximo legal)",IF(J89&lt;&gt;"Sí","Pendiente de firma","OK")))))))))</f>
        <v/>
      </c>
      <c r="M89" s="62" t="str">
        <f aca="false">IF(B89="","",IFERROR(VALUE(LEFT(UPPER(SUBSTITUTE(SUBSTITUTE(SUBSTITUTE(TRIM(B89),".",""),"-","")," ","")),LEN(UPPER(SUBSTITUTE(SUBSTITUTE(SUBSTITUTE(TRIM(B89),".",""),"-","")," ","")))-1))&amp;RIGHT(UPPER(SUBSTITUTE(SUBSTITUTE(SUBSTITUTE(TRIM(B89),".",""),"-","")," ","")),1),UPPER(SUBSTITUTE(SUBSTITUTE(SUBSTITUTE(TRIM(B89),".",""),"-","")," ",""))))</f>
        <v/>
      </c>
      <c r="N89" s="62" t="str">
        <f aca="false">IF(B89="","",IF(D89="Anexo de modificación","No","Sí"))</f>
        <v/>
      </c>
      <c r="O89" s="62" t="str">
        <f aca="false">IF(AND(N89="Sí",ISNUMBER(F89)),COUNTIFS(C_RUTN,M89,C_DEF,"Sí",C_INI,"&lt;"&amp;F89)+COUNTIFS(M$7:M89,M89,N$7:N89,"Sí",F$7:F89,F89),"")</f>
        <v/>
      </c>
      <c r="P89" s="62" t="str">
        <f aca="false">IF(O89="","",M89&amp;"-P"&amp;O89)</f>
        <v/>
      </c>
      <c r="Q89" s="62" t="str">
        <f aca="false">IF(AND(N89="Sí",E89="Plazo fijo",ISNUMBER(F89)),COUNTIFS(C_RUTN,M89,C_TIPO,"Plazo fijo",C_DEF,"Sí",C_INI,"&lt;"&amp;F89)+COUNTIFS(M$7:M89,M89,E$7:E89,"Plazo fijo",N$7:N89,"Sí",F$7:F89,F89),"")</f>
        <v/>
      </c>
      <c r="R89" s="62" t="str">
        <f aca="false">IF(AND(B89&lt;&gt;"",ISNUMBER(H89),ISNUMBER(F89)),COUNTIFS(C_RUTN,M89,C_SUELDO,"&lt;&gt;",C_INI,"&lt;"&amp;F89)+COUNTIFS(M$7:M89,M89,H$7:H89,"&lt;&gt;",F$7:F89,F89),"")</f>
        <v/>
      </c>
      <c r="S89" s="62" t="str">
        <f aca="false">IF(R89="","",M89&amp;"-S"&amp;R89)</f>
        <v/>
      </c>
    </row>
    <row r="90" customFormat="false" ht="15" hidden="false" customHeight="false" outlineLevel="0" collapsed="false">
      <c r="B90" s="58"/>
      <c r="C90" s="62" t="str">
        <f aca="false">IF(B90="","",IFERROR(INDEX(T_NOMBRE,MATCH(M90,T_RUTN,0)),"⚠ RUT no está en Trabajadores"))</f>
        <v/>
      </c>
      <c r="D90" s="58"/>
      <c r="E90" s="58"/>
      <c r="F90" s="59"/>
      <c r="G90" s="59"/>
      <c r="H90" s="60"/>
      <c r="I90" s="58"/>
      <c r="J90" s="58"/>
      <c r="K90" s="58"/>
      <c r="L90" s="62" t="str">
        <f aca="false">IF(B90="","",IF(LEFT(C90,1)="⚠","⚠ Registre primero al trabajador en la hoja Trabajadores",IF(AND(N90="Sí",OR(E90="",NOT(ISNUMBER(F90)))),"⚠ Falta tipo de contrato o fecha de inicio",IF(NOT(ISNUMBER(F90)),"⚠ Falta fecha de inicio",IF(AND(N90="Sí",E90&lt;&gt;"Indefinido",NOT(ISNUMBER(G90))),"⚠ Falta fecha de término",IF(AND(D90="Paso a indefinido",E90&lt;&gt;"Indefinido"),"⚠ Un paso a indefinido debe tener tipo Indefinido",IF(N(Q90)&gt;=3,"⚠ 3er contrato a plazo fijo: por ley ya es INDEFINIDO (Art. 159 N°4)",IF(AND(E90="Plazo fijo",ISNUMBER(G90),(G90-F90+1)/30.4375&gt;12),"⚠ Plazo fijo mayor a 1 año (máximo legal)",IF(J90&lt;&gt;"Sí","Pendiente de firma","OK")))))))))</f>
        <v/>
      </c>
      <c r="M90" s="62" t="str">
        <f aca="false">IF(B90="","",IFERROR(VALUE(LEFT(UPPER(SUBSTITUTE(SUBSTITUTE(SUBSTITUTE(TRIM(B90),".",""),"-","")," ","")),LEN(UPPER(SUBSTITUTE(SUBSTITUTE(SUBSTITUTE(TRIM(B90),".",""),"-","")," ","")))-1))&amp;RIGHT(UPPER(SUBSTITUTE(SUBSTITUTE(SUBSTITUTE(TRIM(B90),".",""),"-","")," ","")),1),UPPER(SUBSTITUTE(SUBSTITUTE(SUBSTITUTE(TRIM(B90),".",""),"-","")," ",""))))</f>
        <v/>
      </c>
      <c r="N90" s="62" t="str">
        <f aca="false">IF(B90="","",IF(D90="Anexo de modificación","No","Sí"))</f>
        <v/>
      </c>
      <c r="O90" s="62" t="str">
        <f aca="false">IF(AND(N90="Sí",ISNUMBER(F90)),COUNTIFS(C_RUTN,M90,C_DEF,"Sí",C_INI,"&lt;"&amp;F90)+COUNTIFS(M$7:M90,M90,N$7:N90,"Sí",F$7:F90,F90),"")</f>
        <v/>
      </c>
      <c r="P90" s="62" t="str">
        <f aca="false">IF(O90="","",M90&amp;"-P"&amp;O90)</f>
        <v/>
      </c>
      <c r="Q90" s="62" t="str">
        <f aca="false">IF(AND(N90="Sí",E90="Plazo fijo",ISNUMBER(F90)),COUNTIFS(C_RUTN,M90,C_TIPO,"Plazo fijo",C_DEF,"Sí",C_INI,"&lt;"&amp;F90)+COUNTIFS(M$7:M90,M90,E$7:E90,"Plazo fijo",N$7:N90,"Sí",F$7:F90,F90),"")</f>
        <v/>
      </c>
      <c r="R90" s="62" t="str">
        <f aca="false">IF(AND(B90&lt;&gt;"",ISNUMBER(H90),ISNUMBER(F90)),COUNTIFS(C_RUTN,M90,C_SUELDO,"&lt;&gt;",C_INI,"&lt;"&amp;F90)+COUNTIFS(M$7:M90,M90,H$7:H90,"&lt;&gt;",F$7:F90,F90),"")</f>
        <v/>
      </c>
      <c r="S90" s="62" t="str">
        <f aca="false">IF(R90="","",M90&amp;"-S"&amp;R90)</f>
        <v/>
      </c>
    </row>
    <row r="91" customFormat="false" ht="15" hidden="false" customHeight="false" outlineLevel="0" collapsed="false">
      <c r="B91" s="58"/>
      <c r="C91" s="62" t="str">
        <f aca="false">IF(B91="","",IFERROR(INDEX(T_NOMBRE,MATCH(M91,T_RUTN,0)),"⚠ RUT no está en Trabajadores"))</f>
        <v/>
      </c>
      <c r="D91" s="58"/>
      <c r="E91" s="58"/>
      <c r="F91" s="59"/>
      <c r="G91" s="59"/>
      <c r="H91" s="60"/>
      <c r="I91" s="58"/>
      <c r="J91" s="58"/>
      <c r="K91" s="58"/>
      <c r="L91" s="62" t="str">
        <f aca="false">IF(B91="","",IF(LEFT(C91,1)="⚠","⚠ Registre primero al trabajador en la hoja Trabajadores",IF(AND(N91="Sí",OR(E91="",NOT(ISNUMBER(F91)))),"⚠ Falta tipo de contrato o fecha de inicio",IF(NOT(ISNUMBER(F91)),"⚠ Falta fecha de inicio",IF(AND(N91="Sí",E91&lt;&gt;"Indefinido",NOT(ISNUMBER(G91))),"⚠ Falta fecha de término",IF(AND(D91="Paso a indefinido",E91&lt;&gt;"Indefinido"),"⚠ Un paso a indefinido debe tener tipo Indefinido",IF(N(Q91)&gt;=3,"⚠ 3er contrato a plazo fijo: por ley ya es INDEFINIDO (Art. 159 N°4)",IF(AND(E91="Plazo fijo",ISNUMBER(G91),(G91-F91+1)/30.4375&gt;12),"⚠ Plazo fijo mayor a 1 año (máximo legal)",IF(J91&lt;&gt;"Sí","Pendiente de firma","OK")))))))))</f>
        <v/>
      </c>
      <c r="M91" s="62" t="str">
        <f aca="false">IF(B91="","",IFERROR(VALUE(LEFT(UPPER(SUBSTITUTE(SUBSTITUTE(SUBSTITUTE(TRIM(B91),".",""),"-","")," ","")),LEN(UPPER(SUBSTITUTE(SUBSTITUTE(SUBSTITUTE(TRIM(B91),".",""),"-","")," ","")))-1))&amp;RIGHT(UPPER(SUBSTITUTE(SUBSTITUTE(SUBSTITUTE(TRIM(B91),".",""),"-","")," ","")),1),UPPER(SUBSTITUTE(SUBSTITUTE(SUBSTITUTE(TRIM(B91),".",""),"-","")," ",""))))</f>
        <v/>
      </c>
      <c r="N91" s="62" t="str">
        <f aca="false">IF(B91="","",IF(D91="Anexo de modificación","No","Sí"))</f>
        <v/>
      </c>
      <c r="O91" s="62" t="str">
        <f aca="false">IF(AND(N91="Sí",ISNUMBER(F91)),COUNTIFS(C_RUTN,M91,C_DEF,"Sí",C_INI,"&lt;"&amp;F91)+COUNTIFS(M$7:M91,M91,N$7:N91,"Sí",F$7:F91,F91),"")</f>
        <v/>
      </c>
      <c r="P91" s="62" t="str">
        <f aca="false">IF(O91="","",M91&amp;"-P"&amp;O91)</f>
        <v/>
      </c>
      <c r="Q91" s="62" t="str">
        <f aca="false">IF(AND(N91="Sí",E91="Plazo fijo",ISNUMBER(F91)),COUNTIFS(C_RUTN,M91,C_TIPO,"Plazo fijo",C_DEF,"Sí",C_INI,"&lt;"&amp;F91)+COUNTIFS(M$7:M91,M91,E$7:E91,"Plazo fijo",N$7:N91,"Sí",F$7:F91,F91),"")</f>
        <v/>
      </c>
      <c r="R91" s="62" t="str">
        <f aca="false">IF(AND(B91&lt;&gt;"",ISNUMBER(H91),ISNUMBER(F91)),COUNTIFS(C_RUTN,M91,C_SUELDO,"&lt;&gt;",C_INI,"&lt;"&amp;F91)+COUNTIFS(M$7:M91,M91,H$7:H91,"&lt;&gt;",F$7:F91,F91),"")</f>
        <v/>
      </c>
      <c r="S91" s="62" t="str">
        <f aca="false">IF(R91="","",M91&amp;"-S"&amp;R91)</f>
        <v/>
      </c>
    </row>
    <row r="92" customFormat="false" ht="15" hidden="false" customHeight="false" outlineLevel="0" collapsed="false">
      <c r="B92" s="58"/>
      <c r="C92" s="62" t="str">
        <f aca="false">IF(B92="","",IFERROR(INDEX(T_NOMBRE,MATCH(M92,T_RUTN,0)),"⚠ RUT no está en Trabajadores"))</f>
        <v/>
      </c>
      <c r="D92" s="58"/>
      <c r="E92" s="58"/>
      <c r="F92" s="59"/>
      <c r="G92" s="59"/>
      <c r="H92" s="60"/>
      <c r="I92" s="58"/>
      <c r="J92" s="58"/>
      <c r="K92" s="58"/>
      <c r="L92" s="62" t="str">
        <f aca="false">IF(B92="","",IF(LEFT(C92,1)="⚠","⚠ Registre primero al trabajador en la hoja Trabajadores",IF(AND(N92="Sí",OR(E92="",NOT(ISNUMBER(F92)))),"⚠ Falta tipo de contrato o fecha de inicio",IF(NOT(ISNUMBER(F92)),"⚠ Falta fecha de inicio",IF(AND(N92="Sí",E92&lt;&gt;"Indefinido",NOT(ISNUMBER(G92))),"⚠ Falta fecha de término",IF(AND(D92="Paso a indefinido",E92&lt;&gt;"Indefinido"),"⚠ Un paso a indefinido debe tener tipo Indefinido",IF(N(Q92)&gt;=3,"⚠ 3er contrato a plazo fijo: por ley ya es INDEFINIDO (Art. 159 N°4)",IF(AND(E92="Plazo fijo",ISNUMBER(G92),(G92-F92+1)/30.4375&gt;12),"⚠ Plazo fijo mayor a 1 año (máximo legal)",IF(J92&lt;&gt;"Sí","Pendiente de firma","OK")))))))))</f>
        <v/>
      </c>
      <c r="M92" s="62" t="str">
        <f aca="false">IF(B92="","",IFERROR(VALUE(LEFT(UPPER(SUBSTITUTE(SUBSTITUTE(SUBSTITUTE(TRIM(B92),".",""),"-","")," ","")),LEN(UPPER(SUBSTITUTE(SUBSTITUTE(SUBSTITUTE(TRIM(B92),".",""),"-","")," ","")))-1))&amp;RIGHT(UPPER(SUBSTITUTE(SUBSTITUTE(SUBSTITUTE(TRIM(B92),".",""),"-","")," ","")),1),UPPER(SUBSTITUTE(SUBSTITUTE(SUBSTITUTE(TRIM(B92),".",""),"-","")," ",""))))</f>
        <v/>
      </c>
      <c r="N92" s="62" t="str">
        <f aca="false">IF(B92="","",IF(D92="Anexo de modificación","No","Sí"))</f>
        <v/>
      </c>
      <c r="O92" s="62" t="str">
        <f aca="false">IF(AND(N92="Sí",ISNUMBER(F92)),COUNTIFS(C_RUTN,M92,C_DEF,"Sí",C_INI,"&lt;"&amp;F92)+COUNTIFS(M$7:M92,M92,N$7:N92,"Sí",F$7:F92,F92),"")</f>
        <v/>
      </c>
      <c r="P92" s="62" t="str">
        <f aca="false">IF(O92="","",M92&amp;"-P"&amp;O92)</f>
        <v/>
      </c>
      <c r="Q92" s="62" t="str">
        <f aca="false">IF(AND(N92="Sí",E92="Plazo fijo",ISNUMBER(F92)),COUNTIFS(C_RUTN,M92,C_TIPO,"Plazo fijo",C_DEF,"Sí",C_INI,"&lt;"&amp;F92)+COUNTIFS(M$7:M92,M92,E$7:E92,"Plazo fijo",N$7:N92,"Sí",F$7:F92,F92),"")</f>
        <v/>
      </c>
      <c r="R92" s="62" t="str">
        <f aca="false">IF(AND(B92&lt;&gt;"",ISNUMBER(H92),ISNUMBER(F92)),COUNTIFS(C_RUTN,M92,C_SUELDO,"&lt;&gt;",C_INI,"&lt;"&amp;F92)+COUNTIFS(M$7:M92,M92,H$7:H92,"&lt;&gt;",F$7:F92,F92),"")</f>
        <v/>
      </c>
      <c r="S92" s="62" t="str">
        <f aca="false">IF(R92="","",M92&amp;"-S"&amp;R92)</f>
        <v/>
      </c>
    </row>
    <row r="93" customFormat="false" ht="15" hidden="false" customHeight="false" outlineLevel="0" collapsed="false">
      <c r="B93" s="58"/>
      <c r="C93" s="62" t="str">
        <f aca="false">IF(B93="","",IFERROR(INDEX(T_NOMBRE,MATCH(M93,T_RUTN,0)),"⚠ RUT no está en Trabajadores"))</f>
        <v/>
      </c>
      <c r="D93" s="58"/>
      <c r="E93" s="58"/>
      <c r="F93" s="59"/>
      <c r="G93" s="59"/>
      <c r="H93" s="60"/>
      <c r="I93" s="58"/>
      <c r="J93" s="58"/>
      <c r="K93" s="58"/>
      <c r="L93" s="62" t="str">
        <f aca="false">IF(B93="","",IF(LEFT(C93,1)="⚠","⚠ Registre primero al trabajador en la hoja Trabajadores",IF(AND(N93="Sí",OR(E93="",NOT(ISNUMBER(F93)))),"⚠ Falta tipo de contrato o fecha de inicio",IF(NOT(ISNUMBER(F93)),"⚠ Falta fecha de inicio",IF(AND(N93="Sí",E93&lt;&gt;"Indefinido",NOT(ISNUMBER(G93))),"⚠ Falta fecha de término",IF(AND(D93="Paso a indefinido",E93&lt;&gt;"Indefinido"),"⚠ Un paso a indefinido debe tener tipo Indefinido",IF(N(Q93)&gt;=3,"⚠ 3er contrato a plazo fijo: por ley ya es INDEFINIDO (Art. 159 N°4)",IF(AND(E93="Plazo fijo",ISNUMBER(G93),(G93-F93+1)/30.4375&gt;12),"⚠ Plazo fijo mayor a 1 año (máximo legal)",IF(J93&lt;&gt;"Sí","Pendiente de firma","OK")))))))))</f>
        <v/>
      </c>
      <c r="M93" s="62" t="str">
        <f aca="false">IF(B93="","",IFERROR(VALUE(LEFT(UPPER(SUBSTITUTE(SUBSTITUTE(SUBSTITUTE(TRIM(B93),".",""),"-","")," ","")),LEN(UPPER(SUBSTITUTE(SUBSTITUTE(SUBSTITUTE(TRIM(B93),".",""),"-","")," ","")))-1))&amp;RIGHT(UPPER(SUBSTITUTE(SUBSTITUTE(SUBSTITUTE(TRIM(B93),".",""),"-","")," ","")),1),UPPER(SUBSTITUTE(SUBSTITUTE(SUBSTITUTE(TRIM(B93),".",""),"-","")," ",""))))</f>
        <v/>
      </c>
      <c r="N93" s="62" t="str">
        <f aca="false">IF(B93="","",IF(D93="Anexo de modificación","No","Sí"))</f>
        <v/>
      </c>
      <c r="O93" s="62" t="str">
        <f aca="false">IF(AND(N93="Sí",ISNUMBER(F93)),COUNTIFS(C_RUTN,M93,C_DEF,"Sí",C_INI,"&lt;"&amp;F93)+COUNTIFS(M$7:M93,M93,N$7:N93,"Sí",F$7:F93,F93),"")</f>
        <v/>
      </c>
      <c r="P93" s="62" t="str">
        <f aca="false">IF(O93="","",M93&amp;"-P"&amp;O93)</f>
        <v/>
      </c>
      <c r="Q93" s="62" t="str">
        <f aca="false">IF(AND(N93="Sí",E93="Plazo fijo",ISNUMBER(F93)),COUNTIFS(C_RUTN,M93,C_TIPO,"Plazo fijo",C_DEF,"Sí",C_INI,"&lt;"&amp;F93)+COUNTIFS(M$7:M93,M93,E$7:E93,"Plazo fijo",N$7:N93,"Sí",F$7:F93,F93),"")</f>
        <v/>
      </c>
      <c r="R93" s="62" t="str">
        <f aca="false">IF(AND(B93&lt;&gt;"",ISNUMBER(H93),ISNUMBER(F93)),COUNTIFS(C_RUTN,M93,C_SUELDO,"&lt;&gt;",C_INI,"&lt;"&amp;F93)+COUNTIFS(M$7:M93,M93,H$7:H93,"&lt;&gt;",F$7:F93,F93),"")</f>
        <v/>
      </c>
      <c r="S93" s="62" t="str">
        <f aca="false">IF(R93="","",M93&amp;"-S"&amp;R93)</f>
        <v/>
      </c>
    </row>
    <row r="94" customFormat="false" ht="15" hidden="false" customHeight="false" outlineLevel="0" collapsed="false">
      <c r="B94" s="58"/>
      <c r="C94" s="62" t="str">
        <f aca="false">IF(B94="","",IFERROR(INDEX(T_NOMBRE,MATCH(M94,T_RUTN,0)),"⚠ RUT no está en Trabajadores"))</f>
        <v/>
      </c>
      <c r="D94" s="58"/>
      <c r="E94" s="58"/>
      <c r="F94" s="59"/>
      <c r="G94" s="59"/>
      <c r="H94" s="60"/>
      <c r="I94" s="58"/>
      <c r="J94" s="58"/>
      <c r="K94" s="58"/>
      <c r="L94" s="62" t="str">
        <f aca="false">IF(B94="","",IF(LEFT(C94,1)="⚠","⚠ Registre primero al trabajador en la hoja Trabajadores",IF(AND(N94="Sí",OR(E94="",NOT(ISNUMBER(F94)))),"⚠ Falta tipo de contrato o fecha de inicio",IF(NOT(ISNUMBER(F94)),"⚠ Falta fecha de inicio",IF(AND(N94="Sí",E94&lt;&gt;"Indefinido",NOT(ISNUMBER(G94))),"⚠ Falta fecha de término",IF(AND(D94="Paso a indefinido",E94&lt;&gt;"Indefinido"),"⚠ Un paso a indefinido debe tener tipo Indefinido",IF(N(Q94)&gt;=3,"⚠ 3er contrato a plazo fijo: por ley ya es INDEFINIDO (Art. 159 N°4)",IF(AND(E94="Plazo fijo",ISNUMBER(G94),(G94-F94+1)/30.4375&gt;12),"⚠ Plazo fijo mayor a 1 año (máximo legal)",IF(J94&lt;&gt;"Sí","Pendiente de firma","OK")))))))))</f>
        <v/>
      </c>
      <c r="M94" s="62" t="str">
        <f aca="false">IF(B94="","",IFERROR(VALUE(LEFT(UPPER(SUBSTITUTE(SUBSTITUTE(SUBSTITUTE(TRIM(B94),".",""),"-","")," ","")),LEN(UPPER(SUBSTITUTE(SUBSTITUTE(SUBSTITUTE(TRIM(B94),".",""),"-","")," ","")))-1))&amp;RIGHT(UPPER(SUBSTITUTE(SUBSTITUTE(SUBSTITUTE(TRIM(B94),".",""),"-","")," ","")),1),UPPER(SUBSTITUTE(SUBSTITUTE(SUBSTITUTE(TRIM(B94),".",""),"-","")," ",""))))</f>
        <v/>
      </c>
      <c r="N94" s="62" t="str">
        <f aca="false">IF(B94="","",IF(D94="Anexo de modificación","No","Sí"))</f>
        <v/>
      </c>
      <c r="O94" s="62" t="str">
        <f aca="false">IF(AND(N94="Sí",ISNUMBER(F94)),COUNTIFS(C_RUTN,M94,C_DEF,"Sí",C_INI,"&lt;"&amp;F94)+COUNTIFS(M$7:M94,M94,N$7:N94,"Sí",F$7:F94,F94),"")</f>
        <v/>
      </c>
      <c r="P94" s="62" t="str">
        <f aca="false">IF(O94="","",M94&amp;"-P"&amp;O94)</f>
        <v/>
      </c>
      <c r="Q94" s="62" t="str">
        <f aca="false">IF(AND(N94="Sí",E94="Plazo fijo",ISNUMBER(F94)),COUNTIFS(C_RUTN,M94,C_TIPO,"Plazo fijo",C_DEF,"Sí",C_INI,"&lt;"&amp;F94)+COUNTIFS(M$7:M94,M94,E$7:E94,"Plazo fijo",N$7:N94,"Sí",F$7:F94,F94),"")</f>
        <v/>
      </c>
      <c r="R94" s="62" t="str">
        <f aca="false">IF(AND(B94&lt;&gt;"",ISNUMBER(H94),ISNUMBER(F94)),COUNTIFS(C_RUTN,M94,C_SUELDO,"&lt;&gt;",C_INI,"&lt;"&amp;F94)+COUNTIFS(M$7:M94,M94,H$7:H94,"&lt;&gt;",F$7:F94,F94),"")</f>
        <v/>
      </c>
      <c r="S94" s="62" t="str">
        <f aca="false">IF(R94="","",M94&amp;"-S"&amp;R94)</f>
        <v/>
      </c>
    </row>
    <row r="95" customFormat="false" ht="15" hidden="false" customHeight="false" outlineLevel="0" collapsed="false">
      <c r="B95" s="58"/>
      <c r="C95" s="62" t="str">
        <f aca="false">IF(B95="","",IFERROR(INDEX(T_NOMBRE,MATCH(M95,T_RUTN,0)),"⚠ RUT no está en Trabajadores"))</f>
        <v/>
      </c>
      <c r="D95" s="58"/>
      <c r="E95" s="58"/>
      <c r="F95" s="59"/>
      <c r="G95" s="59"/>
      <c r="H95" s="60"/>
      <c r="I95" s="58"/>
      <c r="J95" s="58"/>
      <c r="K95" s="58"/>
      <c r="L95" s="62" t="str">
        <f aca="false">IF(B95="","",IF(LEFT(C95,1)="⚠","⚠ Registre primero al trabajador en la hoja Trabajadores",IF(AND(N95="Sí",OR(E95="",NOT(ISNUMBER(F95)))),"⚠ Falta tipo de contrato o fecha de inicio",IF(NOT(ISNUMBER(F95)),"⚠ Falta fecha de inicio",IF(AND(N95="Sí",E95&lt;&gt;"Indefinido",NOT(ISNUMBER(G95))),"⚠ Falta fecha de término",IF(AND(D95="Paso a indefinido",E95&lt;&gt;"Indefinido"),"⚠ Un paso a indefinido debe tener tipo Indefinido",IF(N(Q95)&gt;=3,"⚠ 3er contrato a plazo fijo: por ley ya es INDEFINIDO (Art. 159 N°4)",IF(AND(E95="Plazo fijo",ISNUMBER(G95),(G95-F95+1)/30.4375&gt;12),"⚠ Plazo fijo mayor a 1 año (máximo legal)",IF(J95&lt;&gt;"Sí","Pendiente de firma","OK")))))))))</f>
        <v/>
      </c>
      <c r="M95" s="62" t="str">
        <f aca="false">IF(B95="","",IFERROR(VALUE(LEFT(UPPER(SUBSTITUTE(SUBSTITUTE(SUBSTITUTE(TRIM(B95),".",""),"-","")," ","")),LEN(UPPER(SUBSTITUTE(SUBSTITUTE(SUBSTITUTE(TRIM(B95),".",""),"-","")," ","")))-1))&amp;RIGHT(UPPER(SUBSTITUTE(SUBSTITUTE(SUBSTITUTE(TRIM(B95),".",""),"-","")," ","")),1),UPPER(SUBSTITUTE(SUBSTITUTE(SUBSTITUTE(TRIM(B95),".",""),"-","")," ",""))))</f>
        <v/>
      </c>
      <c r="N95" s="62" t="str">
        <f aca="false">IF(B95="","",IF(D95="Anexo de modificación","No","Sí"))</f>
        <v/>
      </c>
      <c r="O95" s="62" t="str">
        <f aca="false">IF(AND(N95="Sí",ISNUMBER(F95)),COUNTIFS(C_RUTN,M95,C_DEF,"Sí",C_INI,"&lt;"&amp;F95)+COUNTIFS(M$7:M95,M95,N$7:N95,"Sí",F$7:F95,F95),"")</f>
        <v/>
      </c>
      <c r="P95" s="62" t="str">
        <f aca="false">IF(O95="","",M95&amp;"-P"&amp;O95)</f>
        <v/>
      </c>
      <c r="Q95" s="62" t="str">
        <f aca="false">IF(AND(N95="Sí",E95="Plazo fijo",ISNUMBER(F95)),COUNTIFS(C_RUTN,M95,C_TIPO,"Plazo fijo",C_DEF,"Sí",C_INI,"&lt;"&amp;F95)+COUNTIFS(M$7:M95,M95,E$7:E95,"Plazo fijo",N$7:N95,"Sí",F$7:F95,F95),"")</f>
        <v/>
      </c>
      <c r="R95" s="62" t="str">
        <f aca="false">IF(AND(B95&lt;&gt;"",ISNUMBER(H95),ISNUMBER(F95)),COUNTIFS(C_RUTN,M95,C_SUELDO,"&lt;&gt;",C_INI,"&lt;"&amp;F95)+COUNTIFS(M$7:M95,M95,H$7:H95,"&lt;&gt;",F$7:F95,F95),"")</f>
        <v/>
      </c>
      <c r="S95" s="62" t="str">
        <f aca="false">IF(R95="","",M95&amp;"-S"&amp;R95)</f>
        <v/>
      </c>
    </row>
    <row r="96" customFormat="false" ht="15" hidden="false" customHeight="false" outlineLevel="0" collapsed="false">
      <c r="B96" s="58"/>
      <c r="C96" s="62" t="str">
        <f aca="false">IF(B96="","",IFERROR(INDEX(T_NOMBRE,MATCH(M96,T_RUTN,0)),"⚠ RUT no está en Trabajadores"))</f>
        <v/>
      </c>
      <c r="D96" s="58"/>
      <c r="E96" s="58"/>
      <c r="F96" s="59"/>
      <c r="G96" s="59"/>
      <c r="H96" s="60"/>
      <c r="I96" s="58"/>
      <c r="J96" s="58"/>
      <c r="K96" s="58"/>
      <c r="L96" s="62" t="str">
        <f aca="false">IF(B96="","",IF(LEFT(C96,1)="⚠","⚠ Registre primero al trabajador en la hoja Trabajadores",IF(AND(N96="Sí",OR(E96="",NOT(ISNUMBER(F96)))),"⚠ Falta tipo de contrato o fecha de inicio",IF(NOT(ISNUMBER(F96)),"⚠ Falta fecha de inicio",IF(AND(N96="Sí",E96&lt;&gt;"Indefinido",NOT(ISNUMBER(G96))),"⚠ Falta fecha de término",IF(AND(D96="Paso a indefinido",E96&lt;&gt;"Indefinido"),"⚠ Un paso a indefinido debe tener tipo Indefinido",IF(N(Q96)&gt;=3,"⚠ 3er contrato a plazo fijo: por ley ya es INDEFINIDO (Art. 159 N°4)",IF(AND(E96="Plazo fijo",ISNUMBER(G96),(G96-F96+1)/30.4375&gt;12),"⚠ Plazo fijo mayor a 1 año (máximo legal)",IF(J96&lt;&gt;"Sí","Pendiente de firma","OK")))))))))</f>
        <v/>
      </c>
      <c r="M96" s="62" t="str">
        <f aca="false">IF(B96="","",IFERROR(VALUE(LEFT(UPPER(SUBSTITUTE(SUBSTITUTE(SUBSTITUTE(TRIM(B96),".",""),"-","")," ","")),LEN(UPPER(SUBSTITUTE(SUBSTITUTE(SUBSTITUTE(TRIM(B96),".",""),"-","")," ","")))-1))&amp;RIGHT(UPPER(SUBSTITUTE(SUBSTITUTE(SUBSTITUTE(TRIM(B96),".",""),"-","")," ","")),1),UPPER(SUBSTITUTE(SUBSTITUTE(SUBSTITUTE(TRIM(B96),".",""),"-","")," ",""))))</f>
        <v/>
      </c>
      <c r="N96" s="62" t="str">
        <f aca="false">IF(B96="","",IF(D96="Anexo de modificación","No","Sí"))</f>
        <v/>
      </c>
      <c r="O96" s="62" t="str">
        <f aca="false">IF(AND(N96="Sí",ISNUMBER(F96)),COUNTIFS(C_RUTN,M96,C_DEF,"Sí",C_INI,"&lt;"&amp;F96)+COUNTIFS(M$7:M96,M96,N$7:N96,"Sí",F$7:F96,F96),"")</f>
        <v/>
      </c>
      <c r="P96" s="62" t="str">
        <f aca="false">IF(O96="","",M96&amp;"-P"&amp;O96)</f>
        <v/>
      </c>
      <c r="Q96" s="62" t="str">
        <f aca="false">IF(AND(N96="Sí",E96="Plazo fijo",ISNUMBER(F96)),COUNTIFS(C_RUTN,M96,C_TIPO,"Plazo fijo",C_DEF,"Sí",C_INI,"&lt;"&amp;F96)+COUNTIFS(M$7:M96,M96,E$7:E96,"Plazo fijo",N$7:N96,"Sí",F$7:F96,F96),"")</f>
        <v/>
      </c>
      <c r="R96" s="62" t="str">
        <f aca="false">IF(AND(B96&lt;&gt;"",ISNUMBER(H96),ISNUMBER(F96)),COUNTIFS(C_RUTN,M96,C_SUELDO,"&lt;&gt;",C_INI,"&lt;"&amp;F96)+COUNTIFS(M$7:M96,M96,H$7:H96,"&lt;&gt;",F$7:F96,F96),"")</f>
        <v/>
      </c>
      <c r="S96" s="62" t="str">
        <f aca="false">IF(R96="","",M96&amp;"-S"&amp;R96)</f>
        <v/>
      </c>
    </row>
    <row r="97" customFormat="false" ht="15" hidden="false" customHeight="false" outlineLevel="0" collapsed="false">
      <c r="B97" s="58"/>
      <c r="C97" s="62" t="str">
        <f aca="false">IF(B97="","",IFERROR(INDEX(T_NOMBRE,MATCH(M97,T_RUTN,0)),"⚠ RUT no está en Trabajadores"))</f>
        <v/>
      </c>
      <c r="D97" s="58"/>
      <c r="E97" s="58"/>
      <c r="F97" s="59"/>
      <c r="G97" s="59"/>
      <c r="H97" s="60"/>
      <c r="I97" s="58"/>
      <c r="J97" s="58"/>
      <c r="K97" s="58"/>
      <c r="L97" s="62" t="str">
        <f aca="false">IF(B97="","",IF(LEFT(C97,1)="⚠","⚠ Registre primero al trabajador en la hoja Trabajadores",IF(AND(N97="Sí",OR(E97="",NOT(ISNUMBER(F97)))),"⚠ Falta tipo de contrato o fecha de inicio",IF(NOT(ISNUMBER(F97)),"⚠ Falta fecha de inicio",IF(AND(N97="Sí",E97&lt;&gt;"Indefinido",NOT(ISNUMBER(G97))),"⚠ Falta fecha de término",IF(AND(D97="Paso a indefinido",E97&lt;&gt;"Indefinido"),"⚠ Un paso a indefinido debe tener tipo Indefinido",IF(N(Q97)&gt;=3,"⚠ 3er contrato a plazo fijo: por ley ya es INDEFINIDO (Art. 159 N°4)",IF(AND(E97="Plazo fijo",ISNUMBER(G97),(G97-F97+1)/30.4375&gt;12),"⚠ Plazo fijo mayor a 1 año (máximo legal)",IF(J97&lt;&gt;"Sí","Pendiente de firma","OK")))))))))</f>
        <v/>
      </c>
      <c r="M97" s="62" t="str">
        <f aca="false">IF(B97="","",IFERROR(VALUE(LEFT(UPPER(SUBSTITUTE(SUBSTITUTE(SUBSTITUTE(TRIM(B97),".",""),"-","")," ","")),LEN(UPPER(SUBSTITUTE(SUBSTITUTE(SUBSTITUTE(TRIM(B97),".",""),"-","")," ","")))-1))&amp;RIGHT(UPPER(SUBSTITUTE(SUBSTITUTE(SUBSTITUTE(TRIM(B97),".",""),"-","")," ","")),1),UPPER(SUBSTITUTE(SUBSTITUTE(SUBSTITUTE(TRIM(B97),".",""),"-","")," ",""))))</f>
        <v/>
      </c>
      <c r="N97" s="62" t="str">
        <f aca="false">IF(B97="","",IF(D97="Anexo de modificación","No","Sí"))</f>
        <v/>
      </c>
      <c r="O97" s="62" t="str">
        <f aca="false">IF(AND(N97="Sí",ISNUMBER(F97)),COUNTIFS(C_RUTN,M97,C_DEF,"Sí",C_INI,"&lt;"&amp;F97)+COUNTIFS(M$7:M97,M97,N$7:N97,"Sí",F$7:F97,F97),"")</f>
        <v/>
      </c>
      <c r="P97" s="62" t="str">
        <f aca="false">IF(O97="","",M97&amp;"-P"&amp;O97)</f>
        <v/>
      </c>
      <c r="Q97" s="62" t="str">
        <f aca="false">IF(AND(N97="Sí",E97="Plazo fijo",ISNUMBER(F97)),COUNTIFS(C_RUTN,M97,C_TIPO,"Plazo fijo",C_DEF,"Sí",C_INI,"&lt;"&amp;F97)+COUNTIFS(M$7:M97,M97,E$7:E97,"Plazo fijo",N$7:N97,"Sí",F$7:F97,F97),"")</f>
        <v/>
      </c>
      <c r="R97" s="62" t="str">
        <f aca="false">IF(AND(B97&lt;&gt;"",ISNUMBER(H97),ISNUMBER(F97)),COUNTIFS(C_RUTN,M97,C_SUELDO,"&lt;&gt;",C_INI,"&lt;"&amp;F97)+COUNTIFS(M$7:M97,M97,H$7:H97,"&lt;&gt;",F$7:F97,F97),"")</f>
        <v/>
      </c>
      <c r="S97" s="62" t="str">
        <f aca="false">IF(R97="","",M97&amp;"-S"&amp;R97)</f>
        <v/>
      </c>
    </row>
    <row r="98" customFormat="false" ht="15" hidden="false" customHeight="false" outlineLevel="0" collapsed="false">
      <c r="B98" s="58"/>
      <c r="C98" s="62" t="str">
        <f aca="false">IF(B98="","",IFERROR(INDEX(T_NOMBRE,MATCH(M98,T_RUTN,0)),"⚠ RUT no está en Trabajadores"))</f>
        <v/>
      </c>
      <c r="D98" s="58"/>
      <c r="E98" s="58"/>
      <c r="F98" s="59"/>
      <c r="G98" s="59"/>
      <c r="H98" s="60"/>
      <c r="I98" s="58"/>
      <c r="J98" s="58"/>
      <c r="K98" s="58"/>
      <c r="L98" s="62" t="str">
        <f aca="false">IF(B98="","",IF(LEFT(C98,1)="⚠","⚠ Registre primero al trabajador en la hoja Trabajadores",IF(AND(N98="Sí",OR(E98="",NOT(ISNUMBER(F98)))),"⚠ Falta tipo de contrato o fecha de inicio",IF(NOT(ISNUMBER(F98)),"⚠ Falta fecha de inicio",IF(AND(N98="Sí",E98&lt;&gt;"Indefinido",NOT(ISNUMBER(G98))),"⚠ Falta fecha de término",IF(AND(D98="Paso a indefinido",E98&lt;&gt;"Indefinido"),"⚠ Un paso a indefinido debe tener tipo Indefinido",IF(N(Q98)&gt;=3,"⚠ 3er contrato a plazo fijo: por ley ya es INDEFINIDO (Art. 159 N°4)",IF(AND(E98="Plazo fijo",ISNUMBER(G98),(G98-F98+1)/30.4375&gt;12),"⚠ Plazo fijo mayor a 1 año (máximo legal)",IF(J98&lt;&gt;"Sí","Pendiente de firma","OK")))))))))</f>
        <v/>
      </c>
      <c r="M98" s="62" t="str">
        <f aca="false">IF(B98="","",IFERROR(VALUE(LEFT(UPPER(SUBSTITUTE(SUBSTITUTE(SUBSTITUTE(TRIM(B98),".",""),"-","")," ","")),LEN(UPPER(SUBSTITUTE(SUBSTITUTE(SUBSTITUTE(TRIM(B98),".",""),"-","")," ","")))-1))&amp;RIGHT(UPPER(SUBSTITUTE(SUBSTITUTE(SUBSTITUTE(TRIM(B98),".",""),"-","")," ","")),1),UPPER(SUBSTITUTE(SUBSTITUTE(SUBSTITUTE(TRIM(B98),".",""),"-","")," ",""))))</f>
        <v/>
      </c>
      <c r="N98" s="62" t="str">
        <f aca="false">IF(B98="","",IF(D98="Anexo de modificación","No","Sí"))</f>
        <v/>
      </c>
      <c r="O98" s="62" t="str">
        <f aca="false">IF(AND(N98="Sí",ISNUMBER(F98)),COUNTIFS(C_RUTN,M98,C_DEF,"Sí",C_INI,"&lt;"&amp;F98)+COUNTIFS(M$7:M98,M98,N$7:N98,"Sí",F$7:F98,F98),"")</f>
        <v/>
      </c>
      <c r="P98" s="62" t="str">
        <f aca="false">IF(O98="","",M98&amp;"-P"&amp;O98)</f>
        <v/>
      </c>
      <c r="Q98" s="62" t="str">
        <f aca="false">IF(AND(N98="Sí",E98="Plazo fijo",ISNUMBER(F98)),COUNTIFS(C_RUTN,M98,C_TIPO,"Plazo fijo",C_DEF,"Sí",C_INI,"&lt;"&amp;F98)+COUNTIFS(M$7:M98,M98,E$7:E98,"Plazo fijo",N$7:N98,"Sí",F$7:F98,F98),"")</f>
        <v/>
      </c>
      <c r="R98" s="62" t="str">
        <f aca="false">IF(AND(B98&lt;&gt;"",ISNUMBER(H98),ISNUMBER(F98)),COUNTIFS(C_RUTN,M98,C_SUELDO,"&lt;&gt;",C_INI,"&lt;"&amp;F98)+COUNTIFS(M$7:M98,M98,H$7:H98,"&lt;&gt;",F$7:F98,F98),"")</f>
        <v/>
      </c>
      <c r="S98" s="62" t="str">
        <f aca="false">IF(R98="","",M98&amp;"-S"&amp;R98)</f>
        <v/>
      </c>
    </row>
    <row r="99" customFormat="false" ht="15" hidden="false" customHeight="false" outlineLevel="0" collapsed="false">
      <c r="B99" s="58"/>
      <c r="C99" s="62" t="str">
        <f aca="false">IF(B99="","",IFERROR(INDEX(T_NOMBRE,MATCH(M99,T_RUTN,0)),"⚠ RUT no está en Trabajadores"))</f>
        <v/>
      </c>
      <c r="D99" s="58"/>
      <c r="E99" s="58"/>
      <c r="F99" s="59"/>
      <c r="G99" s="59"/>
      <c r="H99" s="60"/>
      <c r="I99" s="58"/>
      <c r="J99" s="58"/>
      <c r="K99" s="58"/>
      <c r="L99" s="62" t="str">
        <f aca="false">IF(B99="","",IF(LEFT(C99,1)="⚠","⚠ Registre primero al trabajador en la hoja Trabajadores",IF(AND(N99="Sí",OR(E99="",NOT(ISNUMBER(F99)))),"⚠ Falta tipo de contrato o fecha de inicio",IF(NOT(ISNUMBER(F99)),"⚠ Falta fecha de inicio",IF(AND(N99="Sí",E99&lt;&gt;"Indefinido",NOT(ISNUMBER(G99))),"⚠ Falta fecha de término",IF(AND(D99="Paso a indefinido",E99&lt;&gt;"Indefinido"),"⚠ Un paso a indefinido debe tener tipo Indefinido",IF(N(Q99)&gt;=3,"⚠ 3er contrato a plazo fijo: por ley ya es INDEFINIDO (Art. 159 N°4)",IF(AND(E99="Plazo fijo",ISNUMBER(G99),(G99-F99+1)/30.4375&gt;12),"⚠ Plazo fijo mayor a 1 año (máximo legal)",IF(J99&lt;&gt;"Sí","Pendiente de firma","OK")))))))))</f>
        <v/>
      </c>
      <c r="M99" s="62" t="str">
        <f aca="false">IF(B99="","",IFERROR(VALUE(LEFT(UPPER(SUBSTITUTE(SUBSTITUTE(SUBSTITUTE(TRIM(B99),".",""),"-","")," ","")),LEN(UPPER(SUBSTITUTE(SUBSTITUTE(SUBSTITUTE(TRIM(B99),".",""),"-","")," ","")))-1))&amp;RIGHT(UPPER(SUBSTITUTE(SUBSTITUTE(SUBSTITUTE(TRIM(B99),".",""),"-","")," ","")),1),UPPER(SUBSTITUTE(SUBSTITUTE(SUBSTITUTE(TRIM(B99),".",""),"-","")," ",""))))</f>
        <v/>
      </c>
      <c r="N99" s="62" t="str">
        <f aca="false">IF(B99="","",IF(D99="Anexo de modificación","No","Sí"))</f>
        <v/>
      </c>
      <c r="O99" s="62" t="str">
        <f aca="false">IF(AND(N99="Sí",ISNUMBER(F99)),COUNTIFS(C_RUTN,M99,C_DEF,"Sí",C_INI,"&lt;"&amp;F99)+COUNTIFS(M$7:M99,M99,N$7:N99,"Sí",F$7:F99,F99),"")</f>
        <v/>
      </c>
      <c r="P99" s="62" t="str">
        <f aca="false">IF(O99="","",M99&amp;"-P"&amp;O99)</f>
        <v/>
      </c>
      <c r="Q99" s="62" t="str">
        <f aca="false">IF(AND(N99="Sí",E99="Plazo fijo",ISNUMBER(F99)),COUNTIFS(C_RUTN,M99,C_TIPO,"Plazo fijo",C_DEF,"Sí",C_INI,"&lt;"&amp;F99)+COUNTIFS(M$7:M99,M99,E$7:E99,"Plazo fijo",N$7:N99,"Sí",F$7:F99,F99),"")</f>
        <v/>
      </c>
      <c r="R99" s="62" t="str">
        <f aca="false">IF(AND(B99&lt;&gt;"",ISNUMBER(H99),ISNUMBER(F99)),COUNTIFS(C_RUTN,M99,C_SUELDO,"&lt;&gt;",C_INI,"&lt;"&amp;F99)+COUNTIFS(M$7:M99,M99,H$7:H99,"&lt;&gt;",F$7:F99,F99),"")</f>
        <v/>
      </c>
      <c r="S99" s="62" t="str">
        <f aca="false">IF(R99="","",M99&amp;"-S"&amp;R99)</f>
        <v/>
      </c>
    </row>
    <row r="100" customFormat="false" ht="15" hidden="false" customHeight="false" outlineLevel="0" collapsed="false">
      <c r="B100" s="58"/>
      <c r="C100" s="62" t="str">
        <f aca="false">IF(B100="","",IFERROR(INDEX(T_NOMBRE,MATCH(M100,T_RUTN,0)),"⚠ RUT no está en Trabajadores"))</f>
        <v/>
      </c>
      <c r="D100" s="58"/>
      <c r="E100" s="58"/>
      <c r="F100" s="59"/>
      <c r="G100" s="59"/>
      <c r="H100" s="60"/>
      <c r="I100" s="58"/>
      <c r="J100" s="58"/>
      <c r="K100" s="58"/>
      <c r="L100" s="62" t="str">
        <f aca="false">IF(B100="","",IF(LEFT(C100,1)="⚠","⚠ Registre primero al trabajador en la hoja Trabajadores",IF(AND(N100="Sí",OR(E100="",NOT(ISNUMBER(F100)))),"⚠ Falta tipo de contrato o fecha de inicio",IF(NOT(ISNUMBER(F100)),"⚠ Falta fecha de inicio",IF(AND(N100="Sí",E100&lt;&gt;"Indefinido",NOT(ISNUMBER(G100))),"⚠ Falta fecha de término",IF(AND(D100="Paso a indefinido",E100&lt;&gt;"Indefinido"),"⚠ Un paso a indefinido debe tener tipo Indefinido",IF(N(Q100)&gt;=3,"⚠ 3er contrato a plazo fijo: por ley ya es INDEFINIDO (Art. 159 N°4)",IF(AND(E100="Plazo fijo",ISNUMBER(G100),(G100-F100+1)/30.4375&gt;12),"⚠ Plazo fijo mayor a 1 año (máximo legal)",IF(J100&lt;&gt;"Sí","Pendiente de firma","OK")))))))))</f>
        <v/>
      </c>
      <c r="M100" s="62" t="str">
        <f aca="false">IF(B100="","",IFERROR(VALUE(LEFT(UPPER(SUBSTITUTE(SUBSTITUTE(SUBSTITUTE(TRIM(B100),".",""),"-","")," ","")),LEN(UPPER(SUBSTITUTE(SUBSTITUTE(SUBSTITUTE(TRIM(B100),".",""),"-","")," ","")))-1))&amp;RIGHT(UPPER(SUBSTITUTE(SUBSTITUTE(SUBSTITUTE(TRIM(B100),".",""),"-","")," ","")),1),UPPER(SUBSTITUTE(SUBSTITUTE(SUBSTITUTE(TRIM(B100),".",""),"-","")," ",""))))</f>
        <v/>
      </c>
      <c r="N100" s="62" t="str">
        <f aca="false">IF(B100="","",IF(D100="Anexo de modificación","No","Sí"))</f>
        <v/>
      </c>
      <c r="O100" s="62" t="str">
        <f aca="false">IF(AND(N100="Sí",ISNUMBER(F100)),COUNTIFS(C_RUTN,M100,C_DEF,"Sí",C_INI,"&lt;"&amp;F100)+COUNTIFS(M$7:M100,M100,N$7:N100,"Sí",F$7:F100,F100),"")</f>
        <v/>
      </c>
      <c r="P100" s="62" t="str">
        <f aca="false">IF(O100="","",M100&amp;"-P"&amp;O100)</f>
        <v/>
      </c>
      <c r="Q100" s="62" t="str">
        <f aca="false">IF(AND(N100="Sí",E100="Plazo fijo",ISNUMBER(F100)),COUNTIFS(C_RUTN,M100,C_TIPO,"Plazo fijo",C_DEF,"Sí",C_INI,"&lt;"&amp;F100)+COUNTIFS(M$7:M100,M100,E$7:E100,"Plazo fijo",N$7:N100,"Sí",F$7:F100,F100),"")</f>
        <v/>
      </c>
      <c r="R100" s="62" t="str">
        <f aca="false">IF(AND(B100&lt;&gt;"",ISNUMBER(H100),ISNUMBER(F100)),COUNTIFS(C_RUTN,M100,C_SUELDO,"&lt;&gt;",C_INI,"&lt;"&amp;F100)+COUNTIFS(M$7:M100,M100,H$7:H100,"&lt;&gt;",F$7:F100,F100),"")</f>
        <v/>
      </c>
      <c r="S100" s="62" t="str">
        <f aca="false">IF(R100="","",M100&amp;"-S"&amp;R100)</f>
        <v/>
      </c>
    </row>
    <row r="101" customFormat="false" ht="15" hidden="false" customHeight="false" outlineLevel="0" collapsed="false">
      <c r="B101" s="58"/>
      <c r="C101" s="62" t="str">
        <f aca="false">IF(B101="","",IFERROR(INDEX(T_NOMBRE,MATCH(M101,T_RUTN,0)),"⚠ RUT no está en Trabajadores"))</f>
        <v/>
      </c>
      <c r="D101" s="58"/>
      <c r="E101" s="58"/>
      <c r="F101" s="59"/>
      <c r="G101" s="59"/>
      <c r="H101" s="60"/>
      <c r="I101" s="58"/>
      <c r="J101" s="58"/>
      <c r="K101" s="58"/>
      <c r="L101" s="62" t="str">
        <f aca="false">IF(B101="","",IF(LEFT(C101,1)="⚠","⚠ Registre primero al trabajador en la hoja Trabajadores",IF(AND(N101="Sí",OR(E101="",NOT(ISNUMBER(F101)))),"⚠ Falta tipo de contrato o fecha de inicio",IF(NOT(ISNUMBER(F101)),"⚠ Falta fecha de inicio",IF(AND(N101="Sí",E101&lt;&gt;"Indefinido",NOT(ISNUMBER(G101))),"⚠ Falta fecha de término",IF(AND(D101="Paso a indefinido",E101&lt;&gt;"Indefinido"),"⚠ Un paso a indefinido debe tener tipo Indefinido",IF(N(Q101)&gt;=3,"⚠ 3er contrato a plazo fijo: por ley ya es INDEFINIDO (Art. 159 N°4)",IF(AND(E101="Plazo fijo",ISNUMBER(G101),(G101-F101+1)/30.4375&gt;12),"⚠ Plazo fijo mayor a 1 año (máximo legal)",IF(J101&lt;&gt;"Sí","Pendiente de firma","OK")))))))))</f>
        <v/>
      </c>
      <c r="M101" s="62" t="str">
        <f aca="false">IF(B101="","",IFERROR(VALUE(LEFT(UPPER(SUBSTITUTE(SUBSTITUTE(SUBSTITUTE(TRIM(B101),".",""),"-","")," ","")),LEN(UPPER(SUBSTITUTE(SUBSTITUTE(SUBSTITUTE(TRIM(B101),".",""),"-","")," ","")))-1))&amp;RIGHT(UPPER(SUBSTITUTE(SUBSTITUTE(SUBSTITUTE(TRIM(B101),".",""),"-","")," ","")),1),UPPER(SUBSTITUTE(SUBSTITUTE(SUBSTITUTE(TRIM(B101),".",""),"-","")," ",""))))</f>
        <v/>
      </c>
      <c r="N101" s="62" t="str">
        <f aca="false">IF(B101="","",IF(D101="Anexo de modificación","No","Sí"))</f>
        <v/>
      </c>
      <c r="O101" s="62" t="str">
        <f aca="false">IF(AND(N101="Sí",ISNUMBER(F101)),COUNTIFS(C_RUTN,M101,C_DEF,"Sí",C_INI,"&lt;"&amp;F101)+COUNTIFS(M$7:M101,M101,N$7:N101,"Sí",F$7:F101,F101),"")</f>
        <v/>
      </c>
      <c r="P101" s="62" t="str">
        <f aca="false">IF(O101="","",M101&amp;"-P"&amp;O101)</f>
        <v/>
      </c>
      <c r="Q101" s="62" t="str">
        <f aca="false">IF(AND(N101="Sí",E101="Plazo fijo",ISNUMBER(F101)),COUNTIFS(C_RUTN,M101,C_TIPO,"Plazo fijo",C_DEF,"Sí",C_INI,"&lt;"&amp;F101)+COUNTIFS(M$7:M101,M101,E$7:E101,"Plazo fijo",N$7:N101,"Sí",F$7:F101,F101),"")</f>
        <v/>
      </c>
      <c r="R101" s="62" t="str">
        <f aca="false">IF(AND(B101&lt;&gt;"",ISNUMBER(H101),ISNUMBER(F101)),COUNTIFS(C_RUTN,M101,C_SUELDO,"&lt;&gt;",C_INI,"&lt;"&amp;F101)+COUNTIFS(M$7:M101,M101,H$7:H101,"&lt;&gt;",F$7:F101,F101),"")</f>
        <v/>
      </c>
      <c r="S101" s="62" t="str">
        <f aca="false">IF(R101="","",M101&amp;"-S"&amp;R101)</f>
        <v/>
      </c>
    </row>
    <row r="102" customFormat="false" ht="15" hidden="false" customHeight="false" outlineLevel="0" collapsed="false">
      <c r="B102" s="58"/>
      <c r="C102" s="62" t="str">
        <f aca="false">IF(B102="","",IFERROR(INDEX(T_NOMBRE,MATCH(M102,T_RUTN,0)),"⚠ RUT no está en Trabajadores"))</f>
        <v/>
      </c>
      <c r="D102" s="58"/>
      <c r="E102" s="58"/>
      <c r="F102" s="59"/>
      <c r="G102" s="59"/>
      <c r="H102" s="60"/>
      <c r="I102" s="58"/>
      <c r="J102" s="58"/>
      <c r="K102" s="58"/>
      <c r="L102" s="62" t="str">
        <f aca="false">IF(B102="","",IF(LEFT(C102,1)="⚠","⚠ Registre primero al trabajador en la hoja Trabajadores",IF(AND(N102="Sí",OR(E102="",NOT(ISNUMBER(F102)))),"⚠ Falta tipo de contrato o fecha de inicio",IF(NOT(ISNUMBER(F102)),"⚠ Falta fecha de inicio",IF(AND(N102="Sí",E102&lt;&gt;"Indefinido",NOT(ISNUMBER(G102))),"⚠ Falta fecha de término",IF(AND(D102="Paso a indefinido",E102&lt;&gt;"Indefinido"),"⚠ Un paso a indefinido debe tener tipo Indefinido",IF(N(Q102)&gt;=3,"⚠ 3er contrato a plazo fijo: por ley ya es INDEFINIDO (Art. 159 N°4)",IF(AND(E102="Plazo fijo",ISNUMBER(G102),(G102-F102+1)/30.4375&gt;12),"⚠ Plazo fijo mayor a 1 año (máximo legal)",IF(J102&lt;&gt;"Sí","Pendiente de firma","OK")))))))))</f>
        <v/>
      </c>
      <c r="M102" s="62" t="str">
        <f aca="false">IF(B102="","",IFERROR(VALUE(LEFT(UPPER(SUBSTITUTE(SUBSTITUTE(SUBSTITUTE(TRIM(B102),".",""),"-","")," ","")),LEN(UPPER(SUBSTITUTE(SUBSTITUTE(SUBSTITUTE(TRIM(B102),".",""),"-","")," ","")))-1))&amp;RIGHT(UPPER(SUBSTITUTE(SUBSTITUTE(SUBSTITUTE(TRIM(B102),".",""),"-","")," ","")),1),UPPER(SUBSTITUTE(SUBSTITUTE(SUBSTITUTE(TRIM(B102),".",""),"-","")," ",""))))</f>
        <v/>
      </c>
      <c r="N102" s="62" t="str">
        <f aca="false">IF(B102="","",IF(D102="Anexo de modificación","No","Sí"))</f>
        <v/>
      </c>
      <c r="O102" s="62" t="str">
        <f aca="false">IF(AND(N102="Sí",ISNUMBER(F102)),COUNTIFS(C_RUTN,M102,C_DEF,"Sí",C_INI,"&lt;"&amp;F102)+COUNTIFS(M$7:M102,M102,N$7:N102,"Sí",F$7:F102,F102),"")</f>
        <v/>
      </c>
      <c r="P102" s="62" t="str">
        <f aca="false">IF(O102="","",M102&amp;"-P"&amp;O102)</f>
        <v/>
      </c>
      <c r="Q102" s="62" t="str">
        <f aca="false">IF(AND(N102="Sí",E102="Plazo fijo",ISNUMBER(F102)),COUNTIFS(C_RUTN,M102,C_TIPO,"Plazo fijo",C_DEF,"Sí",C_INI,"&lt;"&amp;F102)+COUNTIFS(M$7:M102,M102,E$7:E102,"Plazo fijo",N$7:N102,"Sí",F$7:F102,F102),"")</f>
        <v/>
      </c>
      <c r="R102" s="62" t="str">
        <f aca="false">IF(AND(B102&lt;&gt;"",ISNUMBER(H102),ISNUMBER(F102)),COUNTIFS(C_RUTN,M102,C_SUELDO,"&lt;&gt;",C_INI,"&lt;"&amp;F102)+COUNTIFS(M$7:M102,M102,H$7:H102,"&lt;&gt;",F$7:F102,F102),"")</f>
        <v/>
      </c>
      <c r="S102" s="62" t="str">
        <f aca="false">IF(R102="","",M102&amp;"-S"&amp;R102)</f>
        <v/>
      </c>
    </row>
    <row r="103" customFormat="false" ht="15" hidden="false" customHeight="false" outlineLevel="0" collapsed="false">
      <c r="B103" s="58"/>
      <c r="C103" s="62" t="str">
        <f aca="false">IF(B103="","",IFERROR(INDEX(T_NOMBRE,MATCH(M103,T_RUTN,0)),"⚠ RUT no está en Trabajadores"))</f>
        <v/>
      </c>
      <c r="D103" s="58"/>
      <c r="E103" s="58"/>
      <c r="F103" s="59"/>
      <c r="G103" s="59"/>
      <c r="H103" s="60"/>
      <c r="I103" s="58"/>
      <c r="J103" s="58"/>
      <c r="K103" s="58"/>
      <c r="L103" s="62" t="str">
        <f aca="false">IF(B103="","",IF(LEFT(C103,1)="⚠","⚠ Registre primero al trabajador en la hoja Trabajadores",IF(AND(N103="Sí",OR(E103="",NOT(ISNUMBER(F103)))),"⚠ Falta tipo de contrato o fecha de inicio",IF(NOT(ISNUMBER(F103)),"⚠ Falta fecha de inicio",IF(AND(N103="Sí",E103&lt;&gt;"Indefinido",NOT(ISNUMBER(G103))),"⚠ Falta fecha de término",IF(AND(D103="Paso a indefinido",E103&lt;&gt;"Indefinido"),"⚠ Un paso a indefinido debe tener tipo Indefinido",IF(N(Q103)&gt;=3,"⚠ 3er contrato a plazo fijo: por ley ya es INDEFINIDO (Art. 159 N°4)",IF(AND(E103="Plazo fijo",ISNUMBER(G103),(G103-F103+1)/30.4375&gt;12),"⚠ Plazo fijo mayor a 1 año (máximo legal)",IF(J103&lt;&gt;"Sí","Pendiente de firma","OK")))))))))</f>
        <v/>
      </c>
      <c r="M103" s="62" t="str">
        <f aca="false">IF(B103="","",IFERROR(VALUE(LEFT(UPPER(SUBSTITUTE(SUBSTITUTE(SUBSTITUTE(TRIM(B103),".",""),"-","")," ","")),LEN(UPPER(SUBSTITUTE(SUBSTITUTE(SUBSTITUTE(TRIM(B103),".",""),"-","")," ","")))-1))&amp;RIGHT(UPPER(SUBSTITUTE(SUBSTITUTE(SUBSTITUTE(TRIM(B103),".",""),"-","")," ","")),1),UPPER(SUBSTITUTE(SUBSTITUTE(SUBSTITUTE(TRIM(B103),".",""),"-","")," ",""))))</f>
        <v/>
      </c>
      <c r="N103" s="62" t="str">
        <f aca="false">IF(B103="","",IF(D103="Anexo de modificación","No","Sí"))</f>
        <v/>
      </c>
      <c r="O103" s="62" t="str">
        <f aca="false">IF(AND(N103="Sí",ISNUMBER(F103)),COUNTIFS(C_RUTN,M103,C_DEF,"Sí",C_INI,"&lt;"&amp;F103)+COUNTIFS(M$7:M103,M103,N$7:N103,"Sí",F$7:F103,F103),"")</f>
        <v/>
      </c>
      <c r="P103" s="62" t="str">
        <f aca="false">IF(O103="","",M103&amp;"-P"&amp;O103)</f>
        <v/>
      </c>
      <c r="Q103" s="62" t="str">
        <f aca="false">IF(AND(N103="Sí",E103="Plazo fijo",ISNUMBER(F103)),COUNTIFS(C_RUTN,M103,C_TIPO,"Plazo fijo",C_DEF,"Sí",C_INI,"&lt;"&amp;F103)+COUNTIFS(M$7:M103,M103,E$7:E103,"Plazo fijo",N$7:N103,"Sí",F$7:F103,F103),"")</f>
        <v/>
      </c>
      <c r="R103" s="62" t="str">
        <f aca="false">IF(AND(B103&lt;&gt;"",ISNUMBER(H103),ISNUMBER(F103)),COUNTIFS(C_RUTN,M103,C_SUELDO,"&lt;&gt;",C_INI,"&lt;"&amp;F103)+COUNTIFS(M$7:M103,M103,H$7:H103,"&lt;&gt;",F$7:F103,F103),"")</f>
        <v/>
      </c>
      <c r="S103" s="62" t="str">
        <f aca="false">IF(R103="","",M103&amp;"-S"&amp;R103)</f>
        <v/>
      </c>
    </row>
    <row r="104" customFormat="false" ht="15" hidden="false" customHeight="false" outlineLevel="0" collapsed="false">
      <c r="B104" s="58"/>
      <c r="C104" s="62" t="str">
        <f aca="false">IF(B104="","",IFERROR(INDEX(T_NOMBRE,MATCH(M104,T_RUTN,0)),"⚠ RUT no está en Trabajadores"))</f>
        <v/>
      </c>
      <c r="D104" s="58"/>
      <c r="E104" s="58"/>
      <c r="F104" s="59"/>
      <c r="G104" s="59"/>
      <c r="H104" s="60"/>
      <c r="I104" s="58"/>
      <c r="J104" s="58"/>
      <c r="K104" s="58"/>
      <c r="L104" s="62" t="str">
        <f aca="false">IF(B104="","",IF(LEFT(C104,1)="⚠","⚠ Registre primero al trabajador en la hoja Trabajadores",IF(AND(N104="Sí",OR(E104="",NOT(ISNUMBER(F104)))),"⚠ Falta tipo de contrato o fecha de inicio",IF(NOT(ISNUMBER(F104)),"⚠ Falta fecha de inicio",IF(AND(N104="Sí",E104&lt;&gt;"Indefinido",NOT(ISNUMBER(G104))),"⚠ Falta fecha de término",IF(AND(D104="Paso a indefinido",E104&lt;&gt;"Indefinido"),"⚠ Un paso a indefinido debe tener tipo Indefinido",IF(N(Q104)&gt;=3,"⚠ 3er contrato a plazo fijo: por ley ya es INDEFINIDO (Art. 159 N°4)",IF(AND(E104="Plazo fijo",ISNUMBER(G104),(G104-F104+1)/30.4375&gt;12),"⚠ Plazo fijo mayor a 1 año (máximo legal)",IF(J104&lt;&gt;"Sí","Pendiente de firma","OK")))))))))</f>
        <v/>
      </c>
      <c r="M104" s="62" t="str">
        <f aca="false">IF(B104="","",IFERROR(VALUE(LEFT(UPPER(SUBSTITUTE(SUBSTITUTE(SUBSTITUTE(TRIM(B104),".",""),"-","")," ","")),LEN(UPPER(SUBSTITUTE(SUBSTITUTE(SUBSTITUTE(TRIM(B104),".",""),"-","")," ","")))-1))&amp;RIGHT(UPPER(SUBSTITUTE(SUBSTITUTE(SUBSTITUTE(TRIM(B104),".",""),"-","")," ","")),1),UPPER(SUBSTITUTE(SUBSTITUTE(SUBSTITUTE(TRIM(B104),".",""),"-","")," ",""))))</f>
        <v/>
      </c>
      <c r="N104" s="62" t="str">
        <f aca="false">IF(B104="","",IF(D104="Anexo de modificación","No","Sí"))</f>
        <v/>
      </c>
      <c r="O104" s="62" t="str">
        <f aca="false">IF(AND(N104="Sí",ISNUMBER(F104)),COUNTIFS(C_RUTN,M104,C_DEF,"Sí",C_INI,"&lt;"&amp;F104)+COUNTIFS(M$7:M104,M104,N$7:N104,"Sí",F$7:F104,F104),"")</f>
        <v/>
      </c>
      <c r="P104" s="62" t="str">
        <f aca="false">IF(O104="","",M104&amp;"-P"&amp;O104)</f>
        <v/>
      </c>
      <c r="Q104" s="62" t="str">
        <f aca="false">IF(AND(N104="Sí",E104="Plazo fijo",ISNUMBER(F104)),COUNTIFS(C_RUTN,M104,C_TIPO,"Plazo fijo",C_DEF,"Sí",C_INI,"&lt;"&amp;F104)+COUNTIFS(M$7:M104,M104,E$7:E104,"Plazo fijo",N$7:N104,"Sí",F$7:F104,F104),"")</f>
        <v/>
      </c>
      <c r="R104" s="62" t="str">
        <f aca="false">IF(AND(B104&lt;&gt;"",ISNUMBER(H104),ISNUMBER(F104)),COUNTIFS(C_RUTN,M104,C_SUELDO,"&lt;&gt;",C_INI,"&lt;"&amp;F104)+COUNTIFS(M$7:M104,M104,H$7:H104,"&lt;&gt;",F$7:F104,F104),"")</f>
        <v/>
      </c>
      <c r="S104" s="62" t="str">
        <f aca="false">IF(R104="","",M104&amp;"-S"&amp;R104)</f>
        <v/>
      </c>
    </row>
    <row r="105" customFormat="false" ht="15" hidden="false" customHeight="false" outlineLevel="0" collapsed="false">
      <c r="B105" s="58"/>
      <c r="C105" s="62" t="str">
        <f aca="false">IF(B105="","",IFERROR(INDEX(T_NOMBRE,MATCH(M105,T_RUTN,0)),"⚠ RUT no está en Trabajadores"))</f>
        <v/>
      </c>
      <c r="D105" s="58"/>
      <c r="E105" s="58"/>
      <c r="F105" s="59"/>
      <c r="G105" s="59"/>
      <c r="H105" s="60"/>
      <c r="I105" s="58"/>
      <c r="J105" s="58"/>
      <c r="K105" s="58"/>
      <c r="L105" s="62" t="str">
        <f aca="false">IF(B105="","",IF(LEFT(C105,1)="⚠","⚠ Registre primero al trabajador en la hoja Trabajadores",IF(AND(N105="Sí",OR(E105="",NOT(ISNUMBER(F105)))),"⚠ Falta tipo de contrato o fecha de inicio",IF(NOT(ISNUMBER(F105)),"⚠ Falta fecha de inicio",IF(AND(N105="Sí",E105&lt;&gt;"Indefinido",NOT(ISNUMBER(G105))),"⚠ Falta fecha de término",IF(AND(D105="Paso a indefinido",E105&lt;&gt;"Indefinido"),"⚠ Un paso a indefinido debe tener tipo Indefinido",IF(N(Q105)&gt;=3,"⚠ 3er contrato a plazo fijo: por ley ya es INDEFINIDO (Art. 159 N°4)",IF(AND(E105="Plazo fijo",ISNUMBER(G105),(G105-F105+1)/30.4375&gt;12),"⚠ Plazo fijo mayor a 1 año (máximo legal)",IF(J105&lt;&gt;"Sí","Pendiente de firma","OK")))))))))</f>
        <v/>
      </c>
      <c r="M105" s="62" t="str">
        <f aca="false">IF(B105="","",IFERROR(VALUE(LEFT(UPPER(SUBSTITUTE(SUBSTITUTE(SUBSTITUTE(TRIM(B105),".",""),"-","")," ","")),LEN(UPPER(SUBSTITUTE(SUBSTITUTE(SUBSTITUTE(TRIM(B105),".",""),"-","")," ","")))-1))&amp;RIGHT(UPPER(SUBSTITUTE(SUBSTITUTE(SUBSTITUTE(TRIM(B105),".",""),"-","")," ","")),1),UPPER(SUBSTITUTE(SUBSTITUTE(SUBSTITUTE(TRIM(B105),".",""),"-","")," ",""))))</f>
        <v/>
      </c>
      <c r="N105" s="62" t="str">
        <f aca="false">IF(B105="","",IF(D105="Anexo de modificación","No","Sí"))</f>
        <v/>
      </c>
      <c r="O105" s="62" t="str">
        <f aca="false">IF(AND(N105="Sí",ISNUMBER(F105)),COUNTIFS(C_RUTN,M105,C_DEF,"Sí",C_INI,"&lt;"&amp;F105)+COUNTIFS(M$7:M105,M105,N$7:N105,"Sí",F$7:F105,F105),"")</f>
        <v/>
      </c>
      <c r="P105" s="62" t="str">
        <f aca="false">IF(O105="","",M105&amp;"-P"&amp;O105)</f>
        <v/>
      </c>
      <c r="Q105" s="62" t="str">
        <f aca="false">IF(AND(N105="Sí",E105="Plazo fijo",ISNUMBER(F105)),COUNTIFS(C_RUTN,M105,C_TIPO,"Plazo fijo",C_DEF,"Sí",C_INI,"&lt;"&amp;F105)+COUNTIFS(M$7:M105,M105,E$7:E105,"Plazo fijo",N$7:N105,"Sí",F$7:F105,F105),"")</f>
        <v/>
      </c>
      <c r="R105" s="62" t="str">
        <f aca="false">IF(AND(B105&lt;&gt;"",ISNUMBER(H105),ISNUMBER(F105)),COUNTIFS(C_RUTN,M105,C_SUELDO,"&lt;&gt;",C_INI,"&lt;"&amp;F105)+COUNTIFS(M$7:M105,M105,H$7:H105,"&lt;&gt;",F$7:F105,F105),"")</f>
        <v/>
      </c>
      <c r="S105" s="62" t="str">
        <f aca="false">IF(R105="","",M105&amp;"-S"&amp;R105)</f>
        <v/>
      </c>
    </row>
    <row r="106" customFormat="false" ht="15" hidden="false" customHeight="false" outlineLevel="0" collapsed="false">
      <c r="B106" s="58"/>
      <c r="C106" s="62" t="str">
        <f aca="false">IF(B106="","",IFERROR(INDEX(T_NOMBRE,MATCH(M106,T_RUTN,0)),"⚠ RUT no está en Trabajadores"))</f>
        <v/>
      </c>
      <c r="D106" s="58"/>
      <c r="E106" s="58"/>
      <c r="F106" s="59"/>
      <c r="G106" s="59"/>
      <c r="H106" s="60"/>
      <c r="I106" s="58"/>
      <c r="J106" s="58"/>
      <c r="K106" s="58"/>
      <c r="L106" s="62" t="str">
        <f aca="false">IF(B106="","",IF(LEFT(C106,1)="⚠","⚠ Registre primero al trabajador en la hoja Trabajadores",IF(AND(N106="Sí",OR(E106="",NOT(ISNUMBER(F106)))),"⚠ Falta tipo de contrato o fecha de inicio",IF(NOT(ISNUMBER(F106)),"⚠ Falta fecha de inicio",IF(AND(N106="Sí",E106&lt;&gt;"Indefinido",NOT(ISNUMBER(G106))),"⚠ Falta fecha de término",IF(AND(D106="Paso a indefinido",E106&lt;&gt;"Indefinido"),"⚠ Un paso a indefinido debe tener tipo Indefinido",IF(N(Q106)&gt;=3,"⚠ 3er contrato a plazo fijo: por ley ya es INDEFINIDO (Art. 159 N°4)",IF(AND(E106="Plazo fijo",ISNUMBER(G106),(G106-F106+1)/30.4375&gt;12),"⚠ Plazo fijo mayor a 1 año (máximo legal)",IF(J106&lt;&gt;"Sí","Pendiente de firma","OK")))))))))</f>
        <v/>
      </c>
      <c r="M106" s="62" t="str">
        <f aca="false">IF(B106="","",IFERROR(VALUE(LEFT(UPPER(SUBSTITUTE(SUBSTITUTE(SUBSTITUTE(TRIM(B106),".",""),"-","")," ","")),LEN(UPPER(SUBSTITUTE(SUBSTITUTE(SUBSTITUTE(TRIM(B106),".",""),"-","")," ","")))-1))&amp;RIGHT(UPPER(SUBSTITUTE(SUBSTITUTE(SUBSTITUTE(TRIM(B106),".",""),"-","")," ","")),1),UPPER(SUBSTITUTE(SUBSTITUTE(SUBSTITUTE(TRIM(B106),".",""),"-","")," ",""))))</f>
        <v/>
      </c>
      <c r="N106" s="62" t="str">
        <f aca="false">IF(B106="","",IF(D106="Anexo de modificación","No","Sí"))</f>
        <v/>
      </c>
      <c r="O106" s="62" t="str">
        <f aca="false">IF(AND(N106="Sí",ISNUMBER(F106)),COUNTIFS(C_RUTN,M106,C_DEF,"Sí",C_INI,"&lt;"&amp;F106)+COUNTIFS(M$7:M106,M106,N$7:N106,"Sí",F$7:F106,F106),"")</f>
        <v/>
      </c>
      <c r="P106" s="62" t="str">
        <f aca="false">IF(O106="","",M106&amp;"-P"&amp;O106)</f>
        <v/>
      </c>
      <c r="Q106" s="62" t="str">
        <f aca="false">IF(AND(N106="Sí",E106="Plazo fijo",ISNUMBER(F106)),COUNTIFS(C_RUTN,M106,C_TIPO,"Plazo fijo",C_DEF,"Sí",C_INI,"&lt;"&amp;F106)+COUNTIFS(M$7:M106,M106,E$7:E106,"Plazo fijo",N$7:N106,"Sí",F$7:F106,F106),"")</f>
        <v/>
      </c>
      <c r="R106" s="62" t="str">
        <f aca="false">IF(AND(B106&lt;&gt;"",ISNUMBER(H106),ISNUMBER(F106)),COUNTIFS(C_RUTN,M106,C_SUELDO,"&lt;&gt;",C_INI,"&lt;"&amp;F106)+COUNTIFS(M$7:M106,M106,H$7:H106,"&lt;&gt;",F$7:F106,F106),"")</f>
        <v/>
      </c>
      <c r="S106" s="62" t="str">
        <f aca="false">IF(R106="","",M106&amp;"-S"&amp;R106)</f>
        <v/>
      </c>
    </row>
    <row r="107" customFormat="false" ht="15" hidden="false" customHeight="false" outlineLevel="0" collapsed="false">
      <c r="B107" s="58"/>
      <c r="C107" s="62" t="str">
        <f aca="false">IF(B107="","",IFERROR(INDEX(T_NOMBRE,MATCH(M107,T_RUTN,0)),"⚠ RUT no está en Trabajadores"))</f>
        <v/>
      </c>
      <c r="D107" s="58"/>
      <c r="E107" s="58"/>
      <c r="F107" s="59"/>
      <c r="G107" s="59"/>
      <c r="H107" s="60"/>
      <c r="I107" s="58"/>
      <c r="J107" s="58"/>
      <c r="K107" s="58"/>
      <c r="L107" s="62" t="str">
        <f aca="false">IF(B107="","",IF(LEFT(C107,1)="⚠","⚠ Registre primero al trabajador en la hoja Trabajadores",IF(AND(N107="Sí",OR(E107="",NOT(ISNUMBER(F107)))),"⚠ Falta tipo de contrato o fecha de inicio",IF(NOT(ISNUMBER(F107)),"⚠ Falta fecha de inicio",IF(AND(N107="Sí",E107&lt;&gt;"Indefinido",NOT(ISNUMBER(G107))),"⚠ Falta fecha de término",IF(AND(D107="Paso a indefinido",E107&lt;&gt;"Indefinido"),"⚠ Un paso a indefinido debe tener tipo Indefinido",IF(N(Q107)&gt;=3,"⚠ 3er contrato a plazo fijo: por ley ya es INDEFINIDO (Art. 159 N°4)",IF(AND(E107="Plazo fijo",ISNUMBER(G107),(G107-F107+1)/30.4375&gt;12),"⚠ Plazo fijo mayor a 1 año (máximo legal)",IF(J107&lt;&gt;"Sí","Pendiente de firma","OK")))))))))</f>
        <v/>
      </c>
      <c r="M107" s="62" t="str">
        <f aca="false">IF(B107="","",IFERROR(VALUE(LEFT(UPPER(SUBSTITUTE(SUBSTITUTE(SUBSTITUTE(TRIM(B107),".",""),"-","")," ","")),LEN(UPPER(SUBSTITUTE(SUBSTITUTE(SUBSTITUTE(TRIM(B107),".",""),"-","")," ","")))-1))&amp;RIGHT(UPPER(SUBSTITUTE(SUBSTITUTE(SUBSTITUTE(TRIM(B107),".",""),"-","")," ","")),1),UPPER(SUBSTITUTE(SUBSTITUTE(SUBSTITUTE(TRIM(B107),".",""),"-","")," ",""))))</f>
        <v/>
      </c>
      <c r="N107" s="62" t="str">
        <f aca="false">IF(B107="","",IF(D107="Anexo de modificación","No","Sí"))</f>
        <v/>
      </c>
      <c r="O107" s="62" t="str">
        <f aca="false">IF(AND(N107="Sí",ISNUMBER(F107)),COUNTIFS(C_RUTN,M107,C_DEF,"Sí",C_INI,"&lt;"&amp;F107)+COUNTIFS(M$7:M107,M107,N$7:N107,"Sí",F$7:F107,F107),"")</f>
        <v/>
      </c>
      <c r="P107" s="62" t="str">
        <f aca="false">IF(O107="","",M107&amp;"-P"&amp;O107)</f>
        <v/>
      </c>
      <c r="Q107" s="62" t="str">
        <f aca="false">IF(AND(N107="Sí",E107="Plazo fijo",ISNUMBER(F107)),COUNTIFS(C_RUTN,M107,C_TIPO,"Plazo fijo",C_DEF,"Sí",C_INI,"&lt;"&amp;F107)+COUNTIFS(M$7:M107,M107,E$7:E107,"Plazo fijo",N$7:N107,"Sí",F$7:F107,F107),"")</f>
        <v/>
      </c>
      <c r="R107" s="62" t="str">
        <f aca="false">IF(AND(B107&lt;&gt;"",ISNUMBER(H107),ISNUMBER(F107)),COUNTIFS(C_RUTN,M107,C_SUELDO,"&lt;&gt;",C_INI,"&lt;"&amp;F107)+COUNTIFS(M$7:M107,M107,H$7:H107,"&lt;&gt;",F$7:F107,F107),"")</f>
        <v/>
      </c>
      <c r="S107" s="62" t="str">
        <f aca="false">IF(R107="","",M107&amp;"-S"&amp;R107)</f>
        <v/>
      </c>
    </row>
    <row r="108" customFormat="false" ht="15" hidden="false" customHeight="false" outlineLevel="0" collapsed="false">
      <c r="B108" s="58"/>
      <c r="C108" s="62" t="str">
        <f aca="false">IF(B108="","",IFERROR(INDEX(T_NOMBRE,MATCH(M108,T_RUTN,0)),"⚠ RUT no está en Trabajadores"))</f>
        <v/>
      </c>
      <c r="D108" s="58"/>
      <c r="E108" s="58"/>
      <c r="F108" s="59"/>
      <c r="G108" s="59"/>
      <c r="H108" s="60"/>
      <c r="I108" s="58"/>
      <c r="J108" s="58"/>
      <c r="K108" s="58"/>
      <c r="L108" s="62" t="str">
        <f aca="false">IF(B108="","",IF(LEFT(C108,1)="⚠","⚠ Registre primero al trabajador en la hoja Trabajadores",IF(AND(N108="Sí",OR(E108="",NOT(ISNUMBER(F108)))),"⚠ Falta tipo de contrato o fecha de inicio",IF(NOT(ISNUMBER(F108)),"⚠ Falta fecha de inicio",IF(AND(N108="Sí",E108&lt;&gt;"Indefinido",NOT(ISNUMBER(G108))),"⚠ Falta fecha de término",IF(AND(D108="Paso a indefinido",E108&lt;&gt;"Indefinido"),"⚠ Un paso a indefinido debe tener tipo Indefinido",IF(N(Q108)&gt;=3,"⚠ 3er contrato a plazo fijo: por ley ya es INDEFINIDO (Art. 159 N°4)",IF(AND(E108="Plazo fijo",ISNUMBER(G108),(G108-F108+1)/30.4375&gt;12),"⚠ Plazo fijo mayor a 1 año (máximo legal)",IF(J108&lt;&gt;"Sí","Pendiente de firma","OK")))))))))</f>
        <v/>
      </c>
      <c r="M108" s="62" t="str">
        <f aca="false">IF(B108="","",IFERROR(VALUE(LEFT(UPPER(SUBSTITUTE(SUBSTITUTE(SUBSTITUTE(TRIM(B108),".",""),"-","")," ","")),LEN(UPPER(SUBSTITUTE(SUBSTITUTE(SUBSTITUTE(TRIM(B108),".",""),"-","")," ","")))-1))&amp;RIGHT(UPPER(SUBSTITUTE(SUBSTITUTE(SUBSTITUTE(TRIM(B108),".",""),"-","")," ","")),1),UPPER(SUBSTITUTE(SUBSTITUTE(SUBSTITUTE(TRIM(B108),".",""),"-","")," ",""))))</f>
        <v/>
      </c>
      <c r="N108" s="62" t="str">
        <f aca="false">IF(B108="","",IF(D108="Anexo de modificación","No","Sí"))</f>
        <v/>
      </c>
      <c r="O108" s="62" t="str">
        <f aca="false">IF(AND(N108="Sí",ISNUMBER(F108)),COUNTIFS(C_RUTN,M108,C_DEF,"Sí",C_INI,"&lt;"&amp;F108)+COUNTIFS(M$7:M108,M108,N$7:N108,"Sí",F$7:F108,F108),"")</f>
        <v/>
      </c>
      <c r="P108" s="62" t="str">
        <f aca="false">IF(O108="","",M108&amp;"-P"&amp;O108)</f>
        <v/>
      </c>
      <c r="Q108" s="62" t="str">
        <f aca="false">IF(AND(N108="Sí",E108="Plazo fijo",ISNUMBER(F108)),COUNTIFS(C_RUTN,M108,C_TIPO,"Plazo fijo",C_DEF,"Sí",C_INI,"&lt;"&amp;F108)+COUNTIFS(M$7:M108,M108,E$7:E108,"Plazo fijo",N$7:N108,"Sí",F$7:F108,F108),"")</f>
        <v/>
      </c>
      <c r="R108" s="62" t="str">
        <f aca="false">IF(AND(B108&lt;&gt;"",ISNUMBER(H108),ISNUMBER(F108)),COUNTIFS(C_RUTN,M108,C_SUELDO,"&lt;&gt;",C_INI,"&lt;"&amp;F108)+COUNTIFS(M$7:M108,M108,H$7:H108,"&lt;&gt;",F$7:F108,F108),"")</f>
        <v/>
      </c>
      <c r="S108" s="62" t="str">
        <f aca="false">IF(R108="","",M108&amp;"-S"&amp;R108)</f>
        <v/>
      </c>
    </row>
    <row r="109" customFormat="false" ht="15" hidden="false" customHeight="false" outlineLevel="0" collapsed="false">
      <c r="B109" s="58"/>
      <c r="C109" s="62" t="str">
        <f aca="false">IF(B109="","",IFERROR(INDEX(T_NOMBRE,MATCH(M109,T_RUTN,0)),"⚠ RUT no está en Trabajadores"))</f>
        <v/>
      </c>
      <c r="D109" s="58"/>
      <c r="E109" s="58"/>
      <c r="F109" s="59"/>
      <c r="G109" s="59"/>
      <c r="H109" s="60"/>
      <c r="I109" s="58"/>
      <c r="J109" s="58"/>
      <c r="K109" s="58"/>
      <c r="L109" s="62" t="str">
        <f aca="false">IF(B109="","",IF(LEFT(C109,1)="⚠","⚠ Registre primero al trabajador en la hoja Trabajadores",IF(AND(N109="Sí",OR(E109="",NOT(ISNUMBER(F109)))),"⚠ Falta tipo de contrato o fecha de inicio",IF(NOT(ISNUMBER(F109)),"⚠ Falta fecha de inicio",IF(AND(N109="Sí",E109&lt;&gt;"Indefinido",NOT(ISNUMBER(G109))),"⚠ Falta fecha de término",IF(AND(D109="Paso a indefinido",E109&lt;&gt;"Indefinido"),"⚠ Un paso a indefinido debe tener tipo Indefinido",IF(N(Q109)&gt;=3,"⚠ 3er contrato a plazo fijo: por ley ya es INDEFINIDO (Art. 159 N°4)",IF(AND(E109="Plazo fijo",ISNUMBER(G109),(G109-F109+1)/30.4375&gt;12),"⚠ Plazo fijo mayor a 1 año (máximo legal)",IF(J109&lt;&gt;"Sí","Pendiente de firma","OK")))))))))</f>
        <v/>
      </c>
      <c r="M109" s="62" t="str">
        <f aca="false">IF(B109="","",IFERROR(VALUE(LEFT(UPPER(SUBSTITUTE(SUBSTITUTE(SUBSTITUTE(TRIM(B109),".",""),"-","")," ","")),LEN(UPPER(SUBSTITUTE(SUBSTITUTE(SUBSTITUTE(TRIM(B109),".",""),"-","")," ","")))-1))&amp;RIGHT(UPPER(SUBSTITUTE(SUBSTITUTE(SUBSTITUTE(TRIM(B109),".",""),"-","")," ","")),1),UPPER(SUBSTITUTE(SUBSTITUTE(SUBSTITUTE(TRIM(B109),".",""),"-","")," ",""))))</f>
        <v/>
      </c>
      <c r="N109" s="62" t="str">
        <f aca="false">IF(B109="","",IF(D109="Anexo de modificación","No","Sí"))</f>
        <v/>
      </c>
      <c r="O109" s="62" t="str">
        <f aca="false">IF(AND(N109="Sí",ISNUMBER(F109)),COUNTIFS(C_RUTN,M109,C_DEF,"Sí",C_INI,"&lt;"&amp;F109)+COUNTIFS(M$7:M109,M109,N$7:N109,"Sí",F$7:F109,F109),"")</f>
        <v/>
      </c>
      <c r="P109" s="62" t="str">
        <f aca="false">IF(O109="","",M109&amp;"-P"&amp;O109)</f>
        <v/>
      </c>
      <c r="Q109" s="62" t="str">
        <f aca="false">IF(AND(N109="Sí",E109="Plazo fijo",ISNUMBER(F109)),COUNTIFS(C_RUTN,M109,C_TIPO,"Plazo fijo",C_DEF,"Sí",C_INI,"&lt;"&amp;F109)+COUNTIFS(M$7:M109,M109,E$7:E109,"Plazo fijo",N$7:N109,"Sí",F$7:F109,F109),"")</f>
        <v/>
      </c>
      <c r="R109" s="62" t="str">
        <f aca="false">IF(AND(B109&lt;&gt;"",ISNUMBER(H109),ISNUMBER(F109)),COUNTIFS(C_RUTN,M109,C_SUELDO,"&lt;&gt;",C_INI,"&lt;"&amp;F109)+COUNTIFS(M$7:M109,M109,H$7:H109,"&lt;&gt;",F$7:F109,F109),"")</f>
        <v/>
      </c>
      <c r="S109" s="62" t="str">
        <f aca="false">IF(R109="","",M109&amp;"-S"&amp;R109)</f>
        <v/>
      </c>
    </row>
    <row r="110" customFormat="false" ht="15" hidden="false" customHeight="false" outlineLevel="0" collapsed="false">
      <c r="B110" s="58"/>
      <c r="C110" s="62" t="str">
        <f aca="false">IF(B110="","",IFERROR(INDEX(T_NOMBRE,MATCH(M110,T_RUTN,0)),"⚠ RUT no está en Trabajadores"))</f>
        <v/>
      </c>
      <c r="D110" s="58"/>
      <c r="E110" s="58"/>
      <c r="F110" s="59"/>
      <c r="G110" s="59"/>
      <c r="H110" s="60"/>
      <c r="I110" s="58"/>
      <c r="J110" s="58"/>
      <c r="K110" s="58"/>
      <c r="L110" s="62" t="str">
        <f aca="false">IF(B110="","",IF(LEFT(C110,1)="⚠","⚠ Registre primero al trabajador en la hoja Trabajadores",IF(AND(N110="Sí",OR(E110="",NOT(ISNUMBER(F110)))),"⚠ Falta tipo de contrato o fecha de inicio",IF(NOT(ISNUMBER(F110)),"⚠ Falta fecha de inicio",IF(AND(N110="Sí",E110&lt;&gt;"Indefinido",NOT(ISNUMBER(G110))),"⚠ Falta fecha de término",IF(AND(D110="Paso a indefinido",E110&lt;&gt;"Indefinido"),"⚠ Un paso a indefinido debe tener tipo Indefinido",IF(N(Q110)&gt;=3,"⚠ 3er contrato a plazo fijo: por ley ya es INDEFINIDO (Art. 159 N°4)",IF(AND(E110="Plazo fijo",ISNUMBER(G110),(G110-F110+1)/30.4375&gt;12),"⚠ Plazo fijo mayor a 1 año (máximo legal)",IF(J110&lt;&gt;"Sí","Pendiente de firma","OK")))))))))</f>
        <v/>
      </c>
      <c r="M110" s="62" t="str">
        <f aca="false">IF(B110="","",IFERROR(VALUE(LEFT(UPPER(SUBSTITUTE(SUBSTITUTE(SUBSTITUTE(TRIM(B110),".",""),"-","")," ","")),LEN(UPPER(SUBSTITUTE(SUBSTITUTE(SUBSTITUTE(TRIM(B110),".",""),"-","")," ","")))-1))&amp;RIGHT(UPPER(SUBSTITUTE(SUBSTITUTE(SUBSTITUTE(TRIM(B110),".",""),"-","")," ","")),1),UPPER(SUBSTITUTE(SUBSTITUTE(SUBSTITUTE(TRIM(B110),".",""),"-","")," ",""))))</f>
        <v/>
      </c>
      <c r="N110" s="62" t="str">
        <f aca="false">IF(B110="","",IF(D110="Anexo de modificación","No","Sí"))</f>
        <v/>
      </c>
      <c r="O110" s="62" t="str">
        <f aca="false">IF(AND(N110="Sí",ISNUMBER(F110)),COUNTIFS(C_RUTN,M110,C_DEF,"Sí",C_INI,"&lt;"&amp;F110)+COUNTIFS(M$7:M110,M110,N$7:N110,"Sí",F$7:F110,F110),"")</f>
        <v/>
      </c>
      <c r="P110" s="62" t="str">
        <f aca="false">IF(O110="","",M110&amp;"-P"&amp;O110)</f>
        <v/>
      </c>
      <c r="Q110" s="62" t="str">
        <f aca="false">IF(AND(N110="Sí",E110="Plazo fijo",ISNUMBER(F110)),COUNTIFS(C_RUTN,M110,C_TIPO,"Plazo fijo",C_DEF,"Sí",C_INI,"&lt;"&amp;F110)+COUNTIFS(M$7:M110,M110,E$7:E110,"Plazo fijo",N$7:N110,"Sí",F$7:F110,F110),"")</f>
        <v/>
      </c>
      <c r="R110" s="62" t="str">
        <f aca="false">IF(AND(B110&lt;&gt;"",ISNUMBER(H110),ISNUMBER(F110)),COUNTIFS(C_RUTN,M110,C_SUELDO,"&lt;&gt;",C_INI,"&lt;"&amp;F110)+COUNTIFS(M$7:M110,M110,H$7:H110,"&lt;&gt;",F$7:F110,F110),"")</f>
        <v/>
      </c>
      <c r="S110" s="62" t="str">
        <f aca="false">IF(R110="","",M110&amp;"-S"&amp;R110)</f>
        <v/>
      </c>
    </row>
    <row r="111" customFormat="false" ht="15" hidden="false" customHeight="false" outlineLevel="0" collapsed="false">
      <c r="B111" s="58"/>
      <c r="C111" s="62" t="str">
        <f aca="false">IF(B111="","",IFERROR(INDEX(T_NOMBRE,MATCH(M111,T_RUTN,0)),"⚠ RUT no está en Trabajadores"))</f>
        <v/>
      </c>
      <c r="D111" s="58"/>
      <c r="E111" s="58"/>
      <c r="F111" s="59"/>
      <c r="G111" s="59"/>
      <c r="H111" s="60"/>
      <c r="I111" s="58"/>
      <c r="J111" s="58"/>
      <c r="K111" s="58"/>
      <c r="L111" s="62" t="str">
        <f aca="false">IF(B111="","",IF(LEFT(C111,1)="⚠","⚠ Registre primero al trabajador en la hoja Trabajadores",IF(AND(N111="Sí",OR(E111="",NOT(ISNUMBER(F111)))),"⚠ Falta tipo de contrato o fecha de inicio",IF(NOT(ISNUMBER(F111)),"⚠ Falta fecha de inicio",IF(AND(N111="Sí",E111&lt;&gt;"Indefinido",NOT(ISNUMBER(G111))),"⚠ Falta fecha de término",IF(AND(D111="Paso a indefinido",E111&lt;&gt;"Indefinido"),"⚠ Un paso a indefinido debe tener tipo Indefinido",IF(N(Q111)&gt;=3,"⚠ 3er contrato a plazo fijo: por ley ya es INDEFINIDO (Art. 159 N°4)",IF(AND(E111="Plazo fijo",ISNUMBER(G111),(G111-F111+1)/30.4375&gt;12),"⚠ Plazo fijo mayor a 1 año (máximo legal)",IF(J111&lt;&gt;"Sí","Pendiente de firma","OK")))))))))</f>
        <v/>
      </c>
      <c r="M111" s="62" t="str">
        <f aca="false">IF(B111="","",IFERROR(VALUE(LEFT(UPPER(SUBSTITUTE(SUBSTITUTE(SUBSTITUTE(TRIM(B111),".",""),"-","")," ","")),LEN(UPPER(SUBSTITUTE(SUBSTITUTE(SUBSTITUTE(TRIM(B111),".",""),"-","")," ","")))-1))&amp;RIGHT(UPPER(SUBSTITUTE(SUBSTITUTE(SUBSTITUTE(TRIM(B111),".",""),"-","")," ","")),1),UPPER(SUBSTITUTE(SUBSTITUTE(SUBSTITUTE(TRIM(B111),".",""),"-","")," ",""))))</f>
        <v/>
      </c>
      <c r="N111" s="62" t="str">
        <f aca="false">IF(B111="","",IF(D111="Anexo de modificación","No","Sí"))</f>
        <v/>
      </c>
      <c r="O111" s="62" t="str">
        <f aca="false">IF(AND(N111="Sí",ISNUMBER(F111)),COUNTIFS(C_RUTN,M111,C_DEF,"Sí",C_INI,"&lt;"&amp;F111)+COUNTIFS(M$7:M111,M111,N$7:N111,"Sí",F$7:F111,F111),"")</f>
        <v/>
      </c>
      <c r="P111" s="62" t="str">
        <f aca="false">IF(O111="","",M111&amp;"-P"&amp;O111)</f>
        <v/>
      </c>
      <c r="Q111" s="62" t="str">
        <f aca="false">IF(AND(N111="Sí",E111="Plazo fijo",ISNUMBER(F111)),COUNTIFS(C_RUTN,M111,C_TIPO,"Plazo fijo",C_DEF,"Sí",C_INI,"&lt;"&amp;F111)+COUNTIFS(M$7:M111,M111,E$7:E111,"Plazo fijo",N$7:N111,"Sí",F$7:F111,F111),"")</f>
        <v/>
      </c>
      <c r="R111" s="62" t="str">
        <f aca="false">IF(AND(B111&lt;&gt;"",ISNUMBER(H111),ISNUMBER(F111)),COUNTIFS(C_RUTN,M111,C_SUELDO,"&lt;&gt;",C_INI,"&lt;"&amp;F111)+COUNTIFS(M$7:M111,M111,H$7:H111,"&lt;&gt;",F$7:F111,F111),"")</f>
        <v/>
      </c>
      <c r="S111" s="62" t="str">
        <f aca="false">IF(R111="","",M111&amp;"-S"&amp;R111)</f>
        <v/>
      </c>
    </row>
    <row r="112" customFormat="false" ht="15" hidden="false" customHeight="false" outlineLevel="0" collapsed="false">
      <c r="B112" s="58"/>
      <c r="C112" s="62" t="str">
        <f aca="false">IF(B112="","",IFERROR(INDEX(T_NOMBRE,MATCH(M112,T_RUTN,0)),"⚠ RUT no está en Trabajadores"))</f>
        <v/>
      </c>
      <c r="D112" s="58"/>
      <c r="E112" s="58"/>
      <c r="F112" s="59"/>
      <c r="G112" s="59"/>
      <c r="H112" s="60"/>
      <c r="I112" s="58"/>
      <c r="J112" s="58"/>
      <c r="K112" s="58"/>
      <c r="L112" s="62" t="str">
        <f aca="false">IF(B112="","",IF(LEFT(C112,1)="⚠","⚠ Registre primero al trabajador en la hoja Trabajadores",IF(AND(N112="Sí",OR(E112="",NOT(ISNUMBER(F112)))),"⚠ Falta tipo de contrato o fecha de inicio",IF(NOT(ISNUMBER(F112)),"⚠ Falta fecha de inicio",IF(AND(N112="Sí",E112&lt;&gt;"Indefinido",NOT(ISNUMBER(G112))),"⚠ Falta fecha de término",IF(AND(D112="Paso a indefinido",E112&lt;&gt;"Indefinido"),"⚠ Un paso a indefinido debe tener tipo Indefinido",IF(N(Q112)&gt;=3,"⚠ 3er contrato a plazo fijo: por ley ya es INDEFINIDO (Art. 159 N°4)",IF(AND(E112="Plazo fijo",ISNUMBER(G112),(G112-F112+1)/30.4375&gt;12),"⚠ Plazo fijo mayor a 1 año (máximo legal)",IF(J112&lt;&gt;"Sí","Pendiente de firma","OK")))))))))</f>
        <v/>
      </c>
      <c r="M112" s="62" t="str">
        <f aca="false">IF(B112="","",IFERROR(VALUE(LEFT(UPPER(SUBSTITUTE(SUBSTITUTE(SUBSTITUTE(TRIM(B112),".",""),"-","")," ","")),LEN(UPPER(SUBSTITUTE(SUBSTITUTE(SUBSTITUTE(TRIM(B112),".",""),"-","")," ","")))-1))&amp;RIGHT(UPPER(SUBSTITUTE(SUBSTITUTE(SUBSTITUTE(TRIM(B112),".",""),"-","")," ","")),1),UPPER(SUBSTITUTE(SUBSTITUTE(SUBSTITUTE(TRIM(B112),".",""),"-","")," ",""))))</f>
        <v/>
      </c>
      <c r="N112" s="62" t="str">
        <f aca="false">IF(B112="","",IF(D112="Anexo de modificación","No","Sí"))</f>
        <v/>
      </c>
      <c r="O112" s="62" t="str">
        <f aca="false">IF(AND(N112="Sí",ISNUMBER(F112)),COUNTIFS(C_RUTN,M112,C_DEF,"Sí",C_INI,"&lt;"&amp;F112)+COUNTIFS(M$7:M112,M112,N$7:N112,"Sí",F$7:F112,F112),"")</f>
        <v/>
      </c>
      <c r="P112" s="62" t="str">
        <f aca="false">IF(O112="","",M112&amp;"-P"&amp;O112)</f>
        <v/>
      </c>
      <c r="Q112" s="62" t="str">
        <f aca="false">IF(AND(N112="Sí",E112="Plazo fijo",ISNUMBER(F112)),COUNTIFS(C_RUTN,M112,C_TIPO,"Plazo fijo",C_DEF,"Sí",C_INI,"&lt;"&amp;F112)+COUNTIFS(M$7:M112,M112,E$7:E112,"Plazo fijo",N$7:N112,"Sí",F$7:F112,F112),"")</f>
        <v/>
      </c>
      <c r="R112" s="62" t="str">
        <f aca="false">IF(AND(B112&lt;&gt;"",ISNUMBER(H112),ISNUMBER(F112)),COUNTIFS(C_RUTN,M112,C_SUELDO,"&lt;&gt;",C_INI,"&lt;"&amp;F112)+COUNTIFS(M$7:M112,M112,H$7:H112,"&lt;&gt;",F$7:F112,F112),"")</f>
        <v/>
      </c>
      <c r="S112" s="62" t="str">
        <f aca="false">IF(R112="","",M112&amp;"-S"&amp;R112)</f>
        <v/>
      </c>
    </row>
    <row r="113" customFormat="false" ht="15" hidden="false" customHeight="false" outlineLevel="0" collapsed="false">
      <c r="B113" s="58"/>
      <c r="C113" s="62" t="str">
        <f aca="false">IF(B113="","",IFERROR(INDEX(T_NOMBRE,MATCH(M113,T_RUTN,0)),"⚠ RUT no está en Trabajadores"))</f>
        <v/>
      </c>
      <c r="D113" s="58"/>
      <c r="E113" s="58"/>
      <c r="F113" s="59"/>
      <c r="G113" s="59"/>
      <c r="H113" s="60"/>
      <c r="I113" s="58"/>
      <c r="J113" s="58"/>
      <c r="K113" s="58"/>
      <c r="L113" s="62" t="str">
        <f aca="false">IF(B113="","",IF(LEFT(C113,1)="⚠","⚠ Registre primero al trabajador en la hoja Trabajadores",IF(AND(N113="Sí",OR(E113="",NOT(ISNUMBER(F113)))),"⚠ Falta tipo de contrato o fecha de inicio",IF(NOT(ISNUMBER(F113)),"⚠ Falta fecha de inicio",IF(AND(N113="Sí",E113&lt;&gt;"Indefinido",NOT(ISNUMBER(G113))),"⚠ Falta fecha de término",IF(AND(D113="Paso a indefinido",E113&lt;&gt;"Indefinido"),"⚠ Un paso a indefinido debe tener tipo Indefinido",IF(N(Q113)&gt;=3,"⚠ 3er contrato a plazo fijo: por ley ya es INDEFINIDO (Art. 159 N°4)",IF(AND(E113="Plazo fijo",ISNUMBER(G113),(G113-F113+1)/30.4375&gt;12),"⚠ Plazo fijo mayor a 1 año (máximo legal)",IF(J113&lt;&gt;"Sí","Pendiente de firma","OK")))))))))</f>
        <v/>
      </c>
      <c r="M113" s="62" t="str">
        <f aca="false">IF(B113="","",IFERROR(VALUE(LEFT(UPPER(SUBSTITUTE(SUBSTITUTE(SUBSTITUTE(TRIM(B113),".",""),"-","")," ","")),LEN(UPPER(SUBSTITUTE(SUBSTITUTE(SUBSTITUTE(TRIM(B113),".",""),"-","")," ","")))-1))&amp;RIGHT(UPPER(SUBSTITUTE(SUBSTITUTE(SUBSTITUTE(TRIM(B113),".",""),"-","")," ","")),1),UPPER(SUBSTITUTE(SUBSTITUTE(SUBSTITUTE(TRIM(B113),".",""),"-","")," ",""))))</f>
        <v/>
      </c>
      <c r="N113" s="62" t="str">
        <f aca="false">IF(B113="","",IF(D113="Anexo de modificación","No","Sí"))</f>
        <v/>
      </c>
      <c r="O113" s="62" t="str">
        <f aca="false">IF(AND(N113="Sí",ISNUMBER(F113)),COUNTIFS(C_RUTN,M113,C_DEF,"Sí",C_INI,"&lt;"&amp;F113)+COUNTIFS(M$7:M113,M113,N$7:N113,"Sí",F$7:F113,F113),"")</f>
        <v/>
      </c>
      <c r="P113" s="62" t="str">
        <f aca="false">IF(O113="","",M113&amp;"-P"&amp;O113)</f>
        <v/>
      </c>
      <c r="Q113" s="62" t="str">
        <f aca="false">IF(AND(N113="Sí",E113="Plazo fijo",ISNUMBER(F113)),COUNTIFS(C_RUTN,M113,C_TIPO,"Plazo fijo",C_DEF,"Sí",C_INI,"&lt;"&amp;F113)+COUNTIFS(M$7:M113,M113,E$7:E113,"Plazo fijo",N$7:N113,"Sí",F$7:F113,F113),"")</f>
        <v/>
      </c>
      <c r="R113" s="62" t="str">
        <f aca="false">IF(AND(B113&lt;&gt;"",ISNUMBER(H113),ISNUMBER(F113)),COUNTIFS(C_RUTN,M113,C_SUELDO,"&lt;&gt;",C_INI,"&lt;"&amp;F113)+COUNTIFS(M$7:M113,M113,H$7:H113,"&lt;&gt;",F$7:F113,F113),"")</f>
        <v/>
      </c>
      <c r="S113" s="62" t="str">
        <f aca="false">IF(R113="","",M113&amp;"-S"&amp;R113)</f>
        <v/>
      </c>
    </row>
    <row r="114" customFormat="false" ht="15" hidden="false" customHeight="false" outlineLevel="0" collapsed="false">
      <c r="B114" s="58"/>
      <c r="C114" s="62" t="str">
        <f aca="false">IF(B114="","",IFERROR(INDEX(T_NOMBRE,MATCH(M114,T_RUTN,0)),"⚠ RUT no está en Trabajadores"))</f>
        <v/>
      </c>
      <c r="D114" s="58"/>
      <c r="E114" s="58"/>
      <c r="F114" s="59"/>
      <c r="G114" s="59"/>
      <c r="H114" s="60"/>
      <c r="I114" s="58"/>
      <c r="J114" s="58"/>
      <c r="K114" s="58"/>
      <c r="L114" s="62" t="str">
        <f aca="false">IF(B114="","",IF(LEFT(C114,1)="⚠","⚠ Registre primero al trabajador en la hoja Trabajadores",IF(AND(N114="Sí",OR(E114="",NOT(ISNUMBER(F114)))),"⚠ Falta tipo de contrato o fecha de inicio",IF(NOT(ISNUMBER(F114)),"⚠ Falta fecha de inicio",IF(AND(N114="Sí",E114&lt;&gt;"Indefinido",NOT(ISNUMBER(G114))),"⚠ Falta fecha de término",IF(AND(D114="Paso a indefinido",E114&lt;&gt;"Indefinido"),"⚠ Un paso a indefinido debe tener tipo Indefinido",IF(N(Q114)&gt;=3,"⚠ 3er contrato a plazo fijo: por ley ya es INDEFINIDO (Art. 159 N°4)",IF(AND(E114="Plazo fijo",ISNUMBER(G114),(G114-F114+1)/30.4375&gt;12),"⚠ Plazo fijo mayor a 1 año (máximo legal)",IF(J114&lt;&gt;"Sí","Pendiente de firma","OK")))))))))</f>
        <v/>
      </c>
      <c r="M114" s="62" t="str">
        <f aca="false">IF(B114="","",IFERROR(VALUE(LEFT(UPPER(SUBSTITUTE(SUBSTITUTE(SUBSTITUTE(TRIM(B114),".",""),"-","")," ","")),LEN(UPPER(SUBSTITUTE(SUBSTITUTE(SUBSTITUTE(TRIM(B114),".",""),"-","")," ","")))-1))&amp;RIGHT(UPPER(SUBSTITUTE(SUBSTITUTE(SUBSTITUTE(TRIM(B114),".",""),"-","")," ","")),1),UPPER(SUBSTITUTE(SUBSTITUTE(SUBSTITUTE(TRIM(B114),".",""),"-","")," ",""))))</f>
        <v/>
      </c>
      <c r="N114" s="62" t="str">
        <f aca="false">IF(B114="","",IF(D114="Anexo de modificación","No","Sí"))</f>
        <v/>
      </c>
      <c r="O114" s="62" t="str">
        <f aca="false">IF(AND(N114="Sí",ISNUMBER(F114)),COUNTIFS(C_RUTN,M114,C_DEF,"Sí",C_INI,"&lt;"&amp;F114)+COUNTIFS(M$7:M114,M114,N$7:N114,"Sí",F$7:F114,F114),"")</f>
        <v/>
      </c>
      <c r="P114" s="62" t="str">
        <f aca="false">IF(O114="","",M114&amp;"-P"&amp;O114)</f>
        <v/>
      </c>
      <c r="Q114" s="62" t="str">
        <f aca="false">IF(AND(N114="Sí",E114="Plazo fijo",ISNUMBER(F114)),COUNTIFS(C_RUTN,M114,C_TIPO,"Plazo fijo",C_DEF,"Sí",C_INI,"&lt;"&amp;F114)+COUNTIFS(M$7:M114,M114,E$7:E114,"Plazo fijo",N$7:N114,"Sí",F$7:F114,F114),"")</f>
        <v/>
      </c>
      <c r="R114" s="62" t="str">
        <f aca="false">IF(AND(B114&lt;&gt;"",ISNUMBER(H114),ISNUMBER(F114)),COUNTIFS(C_RUTN,M114,C_SUELDO,"&lt;&gt;",C_INI,"&lt;"&amp;F114)+COUNTIFS(M$7:M114,M114,H$7:H114,"&lt;&gt;",F$7:F114,F114),"")</f>
        <v/>
      </c>
      <c r="S114" s="62" t="str">
        <f aca="false">IF(R114="","",M114&amp;"-S"&amp;R114)</f>
        <v/>
      </c>
    </row>
    <row r="115" customFormat="false" ht="15" hidden="false" customHeight="false" outlineLevel="0" collapsed="false">
      <c r="B115" s="58"/>
      <c r="C115" s="62" t="str">
        <f aca="false">IF(B115="","",IFERROR(INDEX(T_NOMBRE,MATCH(M115,T_RUTN,0)),"⚠ RUT no está en Trabajadores"))</f>
        <v/>
      </c>
      <c r="D115" s="58"/>
      <c r="E115" s="58"/>
      <c r="F115" s="59"/>
      <c r="G115" s="59"/>
      <c r="H115" s="60"/>
      <c r="I115" s="58"/>
      <c r="J115" s="58"/>
      <c r="K115" s="58"/>
      <c r="L115" s="62" t="str">
        <f aca="false">IF(B115="","",IF(LEFT(C115,1)="⚠","⚠ Registre primero al trabajador en la hoja Trabajadores",IF(AND(N115="Sí",OR(E115="",NOT(ISNUMBER(F115)))),"⚠ Falta tipo de contrato o fecha de inicio",IF(NOT(ISNUMBER(F115)),"⚠ Falta fecha de inicio",IF(AND(N115="Sí",E115&lt;&gt;"Indefinido",NOT(ISNUMBER(G115))),"⚠ Falta fecha de término",IF(AND(D115="Paso a indefinido",E115&lt;&gt;"Indefinido"),"⚠ Un paso a indefinido debe tener tipo Indefinido",IF(N(Q115)&gt;=3,"⚠ 3er contrato a plazo fijo: por ley ya es INDEFINIDO (Art. 159 N°4)",IF(AND(E115="Plazo fijo",ISNUMBER(G115),(G115-F115+1)/30.4375&gt;12),"⚠ Plazo fijo mayor a 1 año (máximo legal)",IF(J115&lt;&gt;"Sí","Pendiente de firma","OK")))))))))</f>
        <v/>
      </c>
      <c r="M115" s="62" t="str">
        <f aca="false">IF(B115="","",IFERROR(VALUE(LEFT(UPPER(SUBSTITUTE(SUBSTITUTE(SUBSTITUTE(TRIM(B115),".",""),"-","")," ","")),LEN(UPPER(SUBSTITUTE(SUBSTITUTE(SUBSTITUTE(TRIM(B115),".",""),"-","")," ","")))-1))&amp;RIGHT(UPPER(SUBSTITUTE(SUBSTITUTE(SUBSTITUTE(TRIM(B115),".",""),"-","")," ","")),1),UPPER(SUBSTITUTE(SUBSTITUTE(SUBSTITUTE(TRIM(B115),".",""),"-","")," ",""))))</f>
        <v/>
      </c>
      <c r="N115" s="62" t="str">
        <f aca="false">IF(B115="","",IF(D115="Anexo de modificación","No","Sí"))</f>
        <v/>
      </c>
      <c r="O115" s="62" t="str">
        <f aca="false">IF(AND(N115="Sí",ISNUMBER(F115)),COUNTIFS(C_RUTN,M115,C_DEF,"Sí",C_INI,"&lt;"&amp;F115)+COUNTIFS(M$7:M115,M115,N$7:N115,"Sí",F$7:F115,F115),"")</f>
        <v/>
      </c>
      <c r="P115" s="62" t="str">
        <f aca="false">IF(O115="","",M115&amp;"-P"&amp;O115)</f>
        <v/>
      </c>
      <c r="Q115" s="62" t="str">
        <f aca="false">IF(AND(N115="Sí",E115="Plazo fijo",ISNUMBER(F115)),COUNTIFS(C_RUTN,M115,C_TIPO,"Plazo fijo",C_DEF,"Sí",C_INI,"&lt;"&amp;F115)+COUNTIFS(M$7:M115,M115,E$7:E115,"Plazo fijo",N$7:N115,"Sí",F$7:F115,F115),"")</f>
        <v/>
      </c>
      <c r="R115" s="62" t="str">
        <f aca="false">IF(AND(B115&lt;&gt;"",ISNUMBER(H115),ISNUMBER(F115)),COUNTIFS(C_RUTN,M115,C_SUELDO,"&lt;&gt;",C_INI,"&lt;"&amp;F115)+COUNTIFS(M$7:M115,M115,H$7:H115,"&lt;&gt;",F$7:F115,F115),"")</f>
        <v/>
      </c>
      <c r="S115" s="62" t="str">
        <f aca="false">IF(R115="","",M115&amp;"-S"&amp;R115)</f>
        <v/>
      </c>
    </row>
    <row r="116" customFormat="false" ht="15" hidden="false" customHeight="false" outlineLevel="0" collapsed="false">
      <c r="B116" s="58"/>
      <c r="C116" s="62" t="str">
        <f aca="false">IF(B116="","",IFERROR(INDEX(T_NOMBRE,MATCH(M116,T_RUTN,0)),"⚠ RUT no está en Trabajadores"))</f>
        <v/>
      </c>
      <c r="D116" s="58"/>
      <c r="E116" s="58"/>
      <c r="F116" s="59"/>
      <c r="G116" s="59"/>
      <c r="H116" s="60"/>
      <c r="I116" s="58"/>
      <c r="J116" s="58"/>
      <c r="K116" s="58"/>
      <c r="L116" s="62" t="str">
        <f aca="false">IF(B116="","",IF(LEFT(C116,1)="⚠","⚠ Registre primero al trabajador en la hoja Trabajadores",IF(AND(N116="Sí",OR(E116="",NOT(ISNUMBER(F116)))),"⚠ Falta tipo de contrato o fecha de inicio",IF(NOT(ISNUMBER(F116)),"⚠ Falta fecha de inicio",IF(AND(N116="Sí",E116&lt;&gt;"Indefinido",NOT(ISNUMBER(G116))),"⚠ Falta fecha de término",IF(AND(D116="Paso a indefinido",E116&lt;&gt;"Indefinido"),"⚠ Un paso a indefinido debe tener tipo Indefinido",IF(N(Q116)&gt;=3,"⚠ 3er contrato a plazo fijo: por ley ya es INDEFINIDO (Art. 159 N°4)",IF(AND(E116="Plazo fijo",ISNUMBER(G116),(G116-F116+1)/30.4375&gt;12),"⚠ Plazo fijo mayor a 1 año (máximo legal)",IF(J116&lt;&gt;"Sí","Pendiente de firma","OK")))))))))</f>
        <v/>
      </c>
      <c r="M116" s="62" t="str">
        <f aca="false">IF(B116="","",IFERROR(VALUE(LEFT(UPPER(SUBSTITUTE(SUBSTITUTE(SUBSTITUTE(TRIM(B116),".",""),"-","")," ","")),LEN(UPPER(SUBSTITUTE(SUBSTITUTE(SUBSTITUTE(TRIM(B116),".",""),"-","")," ","")))-1))&amp;RIGHT(UPPER(SUBSTITUTE(SUBSTITUTE(SUBSTITUTE(TRIM(B116),".",""),"-","")," ","")),1),UPPER(SUBSTITUTE(SUBSTITUTE(SUBSTITUTE(TRIM(B116),".",""),"-","")," ",""))))</f>
        <v/>
      </c>
      <c r="N116" s="62" t="str">
        <f aca="false">IF(B116="","",IF(D116="Anexo de modificación","No","Sí"))</f>
        <v/>
      </c>
      <c r="O116" s="62" t="str">
        <f aca="false">IF(AND(N116="Sí",ISNUMBER(F116)),COUNTIFS(C_RUTN,M116,C_DEF,"Sí",C_INI,"&lt;"&amp;F116)+COUNTIFS(M$7:M116,M116,N$7:N116,"Sí",F$7:F116,F116),"")</f>
        <v/>
      </c>
      <c r="P116" s="62" t="str">
        <f aca="false">IF(O116="","",M116&amp;"-P"&amp;O116)</f>
        <v/>
      </c>
      <c r="Q116" s="62" t="str">
        <f aca="false">IF(AND(N116="Sí",E116="Plazo fijo",ISNUMBER(F116)),COUNTIFS(C_RUTN,M116,C_TIPO,"Plazo fijo",C_DEF,"Sí",C_INI,"&lt;"&amp;F116)+COUNTIFS(M$7:M116,M116,E$7:E116,"Plazo fijo",N$7:N116,"Sí",F$7:F116,F116),"")</f>
        <v/>
      </c>
      <c r="R116" s="62" t="str">
        <f aca="false">IF(AND(B116&lt;&gt;"",ISNUMBER(H116),ISNUMBER(F116)),COUNTIFS(C_RUTN,M116,C_SUELDO,"&lt;&gt;",C_INI,"&lt;"&amp;F116)+COUNTIFS(M$7:M116,M116,H$7:H116,"&lt;&gt;",F$7:F116,F116),"")</f>
        <v/>
      </c>
      <c r="S116" s="62" t="str">
        <f aca="false">IF(R116="","",M116&amp;"-S"&amp;R116)</f>
        <v/>
      </c>
    </row>
    <row r="117" customFormat="false" ht="15" hidden="false" customHeight="false" outlineLevel="0" collapsed="false">
      <c r="B117" s="58"/>
      <c r="C117" s="62" t="str">
        <f aca="false">IF(B117="","",IFERROR(INDEX(T_NOMBRE,MATCH(M117,T_RUTN,0)),"⚠ RUT no está en Trabajadores"))</f>
        <v/>
      </c>
      <c r="D117" s="58"/>
      <c r="E117" s="58"/>
      <c r="F117" s="59"/>
      <c r="G117" s="59"/>
      <c r="H117" s="60"/>
      <c r="I117" s="58"/>
      <c r="J117" s="58"/>
      <c r="K117" s="58"/>
      <c r="L117" s="62" t="str">
        <f aca="false">IF(B117="","",IF(LEFT(C117,1)="⚠","⚠ Registre primero al trabajador en la hoja Trabajadores",IF(AND(N117="Sí",OR(E117="",NOT(ISNUMBER(F117)))),"⚠ Falta tipo de contrato o fecha de inicio",IF(NOT(ISNUMBER(F117)),"⚠ Falta fecha de inicio",IF(AND(N117="Sí",E117&lt;&gt;"Indefinido",NOT(ISNUMBER(G117))),"⚠ Falta fecha de término",IF(AND(D117="Paso a indefinido",E117&lt;&gt;"Indefinido"),"⚠ Un paso a indefinido debe tener tipo Indefinido",IF(N(Q117)&gt;=3,"⚠ 3er contrato a plazo fijo: por ley ya es INDEFINIDO (Art. 159 N°4)",IF(AND(E117="Plazo fijo",ISNUMBER(G117),(G117-F117+1)/30.4375&gt;12),"⚠ Plazo fijo mayor a 1 año (máximo legal)",IF(J117&lt;&gt;"Sí","Pendiente de firma","OK")))))))))</f>
        <v/>
      </c>
      <c r="M117" s="62" t="str">
        <f aca="false">IF(B117="","",IFERROR(VALUE(LEFT(UPPER(SUBSTITUTE(SUBSTITUTE(SUBSTITUTE(TRIM(B117),".",""),"-","")," ","")),LEN(UPPER(SUBSTITUTE(SUBSTITUTE(SUBSTITUTE(TRIM(B117),".",""),"-","")," ","")))-1))&amp;RIGHT(UPPER(SUBSTITUTE(SUBSTITUTE(SUBSTITUTE(TRIM(B117),".",""),"-","")," ","")),1),UPPER(SUBSTITUTE(SUBSTITUTE(SUBSTITUTE(TRIM(B117),".",""),"-","")," ",""))))</f>
        <v/>
      </c>
      <c r="N117" s="62" t="str">
        <f aca="false">IF(B117="","",IF(D117="Anexo de modificación","No","Sí"))</f>
        <v/>
      </c>
      <c r="O117" s="62" t="str">
        <f aca="false">IF(AND(N117="Sí",ISNUMBER(F117)),COUNTIFS(C_RUTN,M117,C_DEF,"Sí",C_INI,"&lt;"&amp;F117)+COUNTIFS(M$7:M117,M117,N$7:N117,"Sí",F$7:F117,F117),"")</f>
        <v/>
      </c>
      <c r="P117" s="62" t="str">
        <f aca="false">IF(O117="","",M117&amp;"-P"&amp;O117)</f>
        <v/>
      </c>
      <c r="Q117" s="62" t="str">
        <f aca="false">IF(AND(N117="Sí",E117="Plazo fijo",ISNUMBER(F117)),COUNTIFS(C_RUTN,M117,C_TIPO,"Plazo fijo",C_DEF,"Sí",C_INI,"&lt;"&amp;F117)+COUNTIFS(M$7:M117,M117,E$7:E117,"Plazo fijo",N$7:N117,"Sí",F$7:F117,F117),"")</f>
        <v/>
      </c>
      <c r="R117" s="62" t="str">
        <f aca="false">IF(AND(B117&lt;&gt;"",ISNUMBER(H117),ISNUMBER(F117)),COUNTIFS(C_RUTN,M117,C_SUELDO,"&lt;&gt;",C_INI,"&lt;"&amp;F117)+COUNTIFS(M$7:M117,M117,H$7:H117,"&lt;&gt;",F$7:F117,F117),"")</f>
        <v/>
      </c>
      <c r="S117" s="62" t="str">
        <f aca="false">IF(R117="","",M117&amp;"-S"&amp;R117)</f>
        <v/>
      </c>
    </row>
    <row r="118" customFormat="false" ht="15" hidden="false" customHeight="false" outlineLevel="0" collapsed="false">
      <c r="B118" s="58"/>
      <c r="C118" s="62" t="str">
        <f aca="false">IF(B118="","",IFERROR(INDEX(T_NOMBRE,MATCH(M118,T_RUTN,0)),"⚠ RUT no está en Trabajadores"))</f>
        <v/>
      </c>
      <c r="D118" s="58"/>
      <c r="E118" s="58"/>
      <c r="F118" s="59"/>
      <c r="G118" s="59"/>
      <c r="H118" s="60"/>
      <c r="I118" s="58"/>
      <c r="J118" s="58"/>
      <c r="K118" s="58"/>
      <c r="L118" s="62" t="str">
        <f aca="false">IF(B118="","",IF(LEFT(C118,1)="⚠","⚠ Registre primero al trabajador en la hoja Trabajadores",IF(AND(N118="Sí",OR(E118="",NOT(ISNUMBER(F118)))),"⚠ Falta tipo de contrato o fecha de inicio",IF(NOT(ISNUMBER(F118)),"⚠ Falta fecha de inicio",IF(AND(N118="Sí",E118&lt;&gt;"Indefinido",NOT(ISNUMBER(G118))),"⚠ Falta fecha de término",IF(AND(D118="Paso a indefinido",E118&lt;&gt;"Indefinido"),"⚠ Un paso a indefinido debe tener tipo Indefinido",IF(N(Q118)&gt;=3,"⚠ 3er contrato a plazo fijo: por ley ya es INDEFINIDO (Art. 159 N°4)",IF(AND(E118="Plazo fijo",ISNUMBER(G118),(G118-F118+1)/30.4375&gt;12),"⚠ Plazo fijo mayor a 1 año (máximo legal)",IF(J118&lt;&gt;"Sí","Pendiente de firma","OK")))))))))</f>
        <v/>
      </c>
      <c r="M118" s="62" t="str">
        <f aca="false">IF(B118="","",IFERROR(VALUE(LEFT(UPPER(SUBSTITUTE(SUBSTITUTE(SUBSTITUTE(TRIM(B118),".",""),"-","")," ","")),LEN(UPPER(SUBSTITUTE(SUBSTITUTE(SUBSTITUTE(TRIM(B118),".",""),"-","")," ","")))-1))&amp;RIGHT(UPPER(SUBSTITUTE(SUBSTITUTE(SUBSTITUTE(TRIM(B118),".",""),"-","")," ","")),1),UPPER(SUBSTITUTE(SUBSTITUTE(SUBSTITUTE(TRIM(B118),".",""),"-","")," ",""))))</f>
        <v/>
      </c>
      <c r="N118" s="62" t="str">
        <f aca="false">IF(B118="","",IF(D118="Anexo de modificación","No","Sí"))</f>
        <v/>
      </c>
      <c r="O118" s="62" t="str">
        <f aca="false">IF(AND(N118="Sí",ISNUMBER(F118)),COUNTIFS(C_RUTN,M118,C_DEF,"Sí",C_INI,"&lt;"&amp;F118)+COUNTIFS(M$7:M118,M118,N$7:N118,"Sí",F$7:F118,F118),"")</f>
        <v/>
      </c>
      <c r="P118" s="62" t="str">
        <f aca="false">IF(O118="","",M118&amp;"-P"&amp;O118)</f>
        <v/>
      </c>
      <c r="Q118" s="62" t="str">
        <f aca="false">IF(AND(N118="Sí",E118="Plazo fijo",ISNUMBER(F118)),COUNTIFS(C_RUTN,M118,C_TIPO,"Plazo fijo",C_DEF,"Sí",C_INI,"&lt;"&amp;F118)+COUNTIFS(M$7:M118,M118,E$7:E118,"Plazo fijo",N$7:N118,"Sí",F$7:F118,F118),"")</f>
        <v/>
      </c>
      <c r="R118" s="62" t="str">
        <f aca="false">IF(AND(B118&lt;&gt;"",ISNUMBER(H118),ISNUMBER(F118)),COUNTIFS(C_RUTN,M118,C_SUELDO,"&lt;&gt;",C_INI,"&lt;"&amp;F118)+COUNTIFS(M$7:M118,M118,H$7:H118,"&lt;&gt;",F$7:F118,F118),"")</f>
        <v/>
      </c>
      <c r="S118" s="62" t="str">
        <f aca="false">IF(R118="","",M118&amp;"-S"&amp;R118)</f>
        <v/>
      </c>
    </row>
    <row r="119" customFormat="false" ht="15" hidden="false" customHeight="false" outlineLevel="0" collapsed="false">
      <c r="B119" s="58"/>
      <c r="C119" s="62" t="str">
        <f aca="false">IF(B119="","",IFERROR(INDEX(T_NOMBRE,MATCH(M119,T_RUTN,0)),"⚠ RUT no está en Trabajadores"))</f>
        <v/>
      </c>
      <c r="D119" s="58"/>
      <c r="E119" s="58"/>
      <c r="F119" s="59"/>
      <c r="G119" s="59"/>
      <c r="H119" s="60"/>
      <c r="I119" s="58"/>
      <c r="J119" s="58"/>
      <c r="K119" s="58"/>
      <c r="L119" s="62" t="str">
        <f aca="false">IF(B119="","",IF(LEFT(C119,1)="⚠","⚠ Registre primero al trabajador en la hoja Trabajadores",IF(AND(N119="Sí",OR(E119="",NOT(ISNUMBER(F119)))),"⚠ Falta tipo de contrato o fecha de inicio",IF(NOT(ISNUMBER(F119)),"⚠ Falta fecha de inicio",IF(AND(N119="Sí",E119&lt;&gt;"Indefinido",NOT(ISNUMBER(G119))),"⚠ Falta fecha de término",IF(AND(D119="Paso a indefinido",E119&lt;&gt;"Indefinido"),"⚠ Un paso a indefinido debe tener tipo Indefinido",IF(N(Q119)&gt;=3,"⚠ 3er contrato a plazo fijo: por ley ya es INDEFINIDO (Art. 159 N°4)",IF(AND(E119="Plazo fijo",ISNUMBER(G119),(G119-F119+1)/30.4375&gt;12),"⚠ Plazo fijo mayor a 1 año (máximo legal)",IF(J119&lt;&gt;"Sí","Pendiente de firma","OK")))))))))</f>
        <v/>
      </c>
      <c r="M119" s="62" t="str">
        <f aca="false">IF(B119="","",IFERROR(VALUE(LEFT(UPPER(SUBSTITUTE(SUBSTITUTE(SUBSTITUTE(TRIM(B119),".",""),"-","")," ","")),LEN(UPPER(SUBSTITUTE(SUBSTITUTE(SUBSTITUTE(TRIM(B119),".",""),"-","")," ","")))-1))&amp;RIGHT(UPPER(SUBSTITUTE(SUBSTITUTE(SUBSTITUTE(TRIM(B119),".",""),"-","")," ","")),1),UPPER(SUBSTITUTE(SUBSTITUTE(SUBSTITUTE(TRIM(B119),".",""),"-","")," ",""))))</f>
        <v/>
      </c>
      <c r="N119" s="62" t="str">
        <f aca="false">IF(B119="","",IF(D119="Anexo de modificación","No","Sí"))</f>
        <v/>
      </c>
      <c r="O119" s="62" t="str">
        <f aca="false">IF(AND(N119="Sí",ISNUMBER(F119)),COUNTIFS(C_RUTN,M119,C_DEF,"Sí",C_INI,"&lt;"&amp;F119)+COUNTIFS(M$7:M119,M119,N$7:N119,"Sí",F$7:F119,F119),"")</f>
        <v/>
      </c>
      <c r="P119" s="62" t="str">
        <f aca="false">IF(O119="","",M119&amp;"-P"&amp;O119)</f>
        <v/>
      </c>
      <c r="Q119" s="62" t="str">
        <f aca="false">IF(AND(N119="Sí",E119="Plazo fijo",ISNUMBER(F119)),COUNTIFS(C_RUTN,M119,C_TIPO,"Plazo fijo",C_DEF,"Sí",C_INI,"&lt;"&amp;F119)+COUNTIFS(M$7:M119,M119,E$7:E119,"Plazo fijo",N$7:N119,"Sí",F$7:F119,F119),"")</f>
        <v/>
      </c>
      <c r="R119" s="62" t="str">
        <f aca="false">IF(AND(B119&lt;&gt;"",ISNUMBER(H119),ISNUMBER(F119)),COUNTIFS(C_RUTN,M119,C_SUELDO,"&lt;&gt;",C_INI,"&lt;"&amp;F119)+COUNTIFS(M$7:M119,M119,H$7:H119,"&lt;&gt;",F$7:F119,F119),"")</f>
        <v/>
      </c>
      <c r="S119" s="62" t="str">
        <f aca="false">IF(R119="","",M119&amp;"-S"&amp;R119)</f>
        <v/>
      </c>
    </row>
    <row r="120" customFormat="false" ht="15" hidden="false" customHeight="false" outlineLevel="0" collapsed="false">
      <c r="B120" s="58"/>
      <c r="C120" s="62" t="str">
        <f aca="false">IF(B120="","",IFERROR(INDEX(T_NOMBRE,MATCH(M120,T_RUTN,0)),"⚠ RUT no está en Trabajadores"))</f>
        <v/>
      </c>
      <c r="D120" s="58"/>
      <c r="E120" s="58"/>
      <c r="F120" s="59"/>
      <c r="G120" s="59"/>
      <c r="H120" s="60"/>
      <c r="I120" s="58"/>
      <c r="J120" s="58"/>
      <c r="K120" s="58"/>
      <c r="L120" s="62" t="str">
        <f aca="false">IF(B120="","",IF(LEFT(C120,1)="⚠","⚠ Registre primero al trabajador en la hoja Trabajadores",IF(AND(N120="Sí",OR(E120="",NOT(ISNUMBER(F120)))),"⚠ Falta tipo de contrato o fecha de inicio",IF(NOT(ISNUMBER(F120)),"⚠ Falta fecha de inicio",IF(AND(N120="Sí",E120&lt;&gt;"Indefinido",NOT(ISNUMBER(G120))),"⚠ Falta fecha de término",IF(AND(D120="Paso a indefinido",E120&lt;&gt;"Indefinido"),"⚠ Un paso a indefinido debe tener tipo Indefinido",IF(N(Q120)&gt;=3,"⚠ 3er contrato a plazo fijo: por ley ya es INDEFINIDO (Art. 159 N°4)",IF(AND(E120="Plazo fijo",ISNUMBER(G120),(G120-F120+1)/30.4375&gt;12),"⚠ Plazo fijo mayor a 1 año (máximo legal)",IF(J120&lt;&gt;"Sí","Pendiente de firma","OK")))))))))</f>
        <v/>
      </c>
      <c r="M120" s="62" t="str">
        <f aca="false">IF(B120="","",IFERROR(VALUE(LEFT(UPPER(SUBSTITUTE(SUBSTITUTE(SUBSTITUTE(TRIM(B120),".",""),"-","")," ","")),LEN(UPPER(SUBSTITUTE(SUBSTITUTE(SUBSTITUTE(TRIM(B120),".",""),"-","")," ","")))-1))&amp;RIGHT(UPPER(SUBSTITUTE(SUBSTITUTE(SUBSTITUTE(TRIM(B120),".",""),"-","")," ","")),1),UPPER(SUBSTITUTE(SUBSTITUTE(SUBSTITUTE(TRIM(B120),".",""),"-","")," ",""))))</f>
        <v/>
      </c>
      <c r="N120" s="62" t="str">
        <f aca="false">IF(B120="","",IF(D120="Anexo de modificación","No","Sí"))</f>
        <v/>
      </c>
      <c r="O120" s="62" t="str">
        <f aca="false">IF(AND(N120="Sí",ISNUMBER(F120)),COUNTIFS(C_RUTN,M120,C_DEF,"Sí",C_INI,"&lt;"&amp;F120)+COUNTIFS(M$7:M120,M120,N$7:N120,"Sí",F$7:F120,F120),"")</f>
        <v/>
      </c>
      <c r="P120" s="62" t="str">
        <f aca="false">IF(O120="","",M120&amp;"-P"&amp;O120)</f>
        <v/>
      </c>
      <c r="Q120" s="62" t="str">
        <f aca="false">IF(AND(N120="Sí",E120="Plazo fijo",ISNUMBER(F120)),COUNTIFS(C_RUTN,M120,C_TIPO,"Plazo fijo",C_DEF,"Sí",C_INI,"&lt;"&amp;F120)+COUNTIFS(M$7:M120,M120,E$7:E120,"Plazo fijo",N$7:N120,"Sí",F$7:F120,F120),"")</f>
        <v/>
      </c>
      <c r="R120" s="62" t="str">
        <f aca="false">IF(AND(B120&lt;&gt;"",ISNUMBER(H120),ISNUMBER(F120)),COUNTIFS(C_RUTN,M120,C_SUELDO,"&lt;&gt;",C_INI,"&lt;"&amp;F120)+COUNTIFS(M$7:M120,M120,H$7:H120,"&lt;&gt;",F$7:F120,F120),"")</f>
        <v/>
      </c>
      <c r="S120" s="62" t="str">
        <f aca="false">IF(R120="","",M120&amp;"-S"&amp;R120)</f>
        <v/>
      </c>
    </row>
    <row r="121" customFormat="false" ht="15" hidden="false" customHeight="false" outlineLevel="0" collapsed="false">
      <c r="B121" s="58"/>
      <c r="C121" s="62" t="str">
        <f aca="false">IF(B121="","",IFERROR(INDEX(T_NOMBRE,MATCH(M121,T_RUTN,0)),"⚠ RUT no está en Trabajadores"))</f>
        <v/>
      </c>
      <c r="D121" s="58"/>
      <c r="E121" s="58"/>
      <c r="F121" s="59"/>
      <c r="G121" s="59"/>
      <c r="H121" s="60"/>
      <c r="I121" s="58"/>
      <c r="J121" s="58"/>
      <c r="K121" s="58"/>
      <c r="L121" s="62" t="str">
        <f aca="false">IF(B121="","",IF(LEFT(C121,1)="⚠","⚠ Registre primero al trabajador en la hoja Trabajadores",IF(AND(N121="Sí",OR(E121="",NOT(ISNUMBER(F121)))),"⚠ Falta tipo de contrato o fecha de inicio",IF(NOT(ISNUMBER(F121)),"⚠ Falta fecha de inicio",IF(AND(N121="Sí",E121&lt;&gt;"Indefinido",NOT(ISNUMBER(G121))),"⚠ Falta fecha de término",IF(AND(D121="Paso a indefinido",E121&lt;&gt;"Indefinido"),"⚠ Un paso a indefinido debe tener tipo Indefinido",IF(N(Q121)&gt;=3,"⚠ 3er contrato a plazo fijo: por ley ya es INDEFINIDO (Art. 159 N°4)",IF(AND(E121="Plazo fijo",ISNUMBER(G121),(G121-F121+1)/30.4375&gt;12),"⚠ Plazo fijo mayor a 1 año (máximo legal)",IF(J121&lt;&gt;"Sí","Pendiente de firma","OK")))))))))</f>
        <v/>
      </c>
      <c r="M121" s="62" t="str">
        <f aca="false">IF(B121="","",IFERROR(VALUE(LEFT(UPPER(SUBSTITUTE(SUBSTITUTE(SUBSTITUTE(TRIM(B121),".",""),"-","")," ","")),LEN(UPPER(SUBSTITUTE(SUBSTITUTE(SUBSTITUTE(TRIM(B121),".",""),"-","")," ","")))-1))&amp;RIGHT(UPPER(SUBSTITUTE(SUBSTITUTE(SUBSTITUTE(TRIM(B121),".",""),"-","")," ","")),1),UPPER(SUBSTITUTE(SUBSTITUTE(SUBSTITUTE(TRIM(B121),".",""),"-","")," ",""))))</f>
        <v/>
      </c>
      <c r="N121" s="62" t="str">
        <f aca="false">IF(B121="","",IF(D121="Anexo de modificación","No","Sí"))</f>
        <v/>
      </c>
      <c r="O121" s="62" t="str">
        <f aca="false">IF(AND(N121="Sí",ISNUMBER(F121)),COUNTIFS(C_RUTN,M121,C_DEF,"Sí",C_INI,"&lt;"&amp;F121)+COUNTIFS(M$7:M121,M121,N$7:N121,"Sí",F$7:F121,F121),"")</f>
        <v/>
      </c>
      <c r="P121" s="62" t="str">
        <f aca="false">IF(O121="","",M121&amp;"-P"&amp;O121)</f>
        <v/>
      </c>
      <c r="Q121" s="62" t="str">
        <f aca="false">IF(AND(N121="Sí",E121="Plazo fijo",ISNUMBER(F121)),COUNTIFS(C_RUTN,M121,C_TIPO,"Plazo fijo",C_DEF,"Sí",C_INI,"&lt;"&amp;F121)+COUNTIFS(M$7:M121,M121,E$7:E121,"Plazo fijo",N$7:N121,"Sí",F$7:F121,F121),"")</f>
        <v/>
      </c>
      <c r="R121" s="62" t="str">
        <f aca="false">IF(AND(B121&lt;&gt;"",ISNUMBER(H121),ISNUMBER(F121)),COUNTIFS(C_RUTN,M121,C_SUELDO,"&lt;&gt;",C_INI,"&lt;"&amp;F121)+COUNTIFS(M$7:M121,M121,H$7:H121,"&lt;&gt;",F$7:F121,F121),"")</f>
        <v/>
      </c>
      <c r="S121" s="62" t="str">
        <f aca="false">IF(R121="","",M121&amp;"-S"&amp;R121)</f>
        <v/>
      </c>
    </row>
    <row r="122" customFormat="false" ht="15" hidden="false" customHeight="false" outlineLevel="0" collapsed="false">
      <c r="B122" s="58"/>
      <c r="C122" s="62" t="str">
        <f aca="false">IF(B122="","",IFERROR(INDEX(T_NOMBRE,MATCH(M122,T_RUTN,0)),"⚠ RUT no está en Trabajadores"))</f>
        <v/>
      </c>
      <c r="D122" s="58"/>
      <c r="E122" s="58"/>
      <c r="F122" s="59"/>
      <c r="G122" s="59"/>
      <c r="H122" s="60"/>
      <c r="I122" s="58"/>
      <c r="J122" s="58"/>
      <c r="K122" s="58"/>
      <c r="L122" s="62" t="str">
        <f aca="false">IF(B122="","",IF(LEFT(C122,1)="⚠","⚠ Registre primero al trabajador en la hoja Trabajadores",IF(AND(N122="Sí",OR(E122="",NOT(ISNUMBER(F122)))),"⚠ Falta tipo de contrato o fecha de inicio",IF(NOT(ISNUMBER(F122)),"⚠ Falta fecha de inicio",IF(AND(N122="Sí",E122&lt;&gt;"Indefinido",NOT(ISNUMBER(G122))),"⚠ Falta fecha de término",IF(AND(D122="Paso a indefinido",E122&lt;&gt;"Indefinido"),"⚠ Un paso a indefinido debe tener tipo Indefinido",IF(N(Q122)&gt;=3,"⚠ 3er contrato a plazo fijo: por ley ya es INDEFINIDO (Art. 159 N°4)",IF(AND(E122="Plazo fijo",ISNUMBER(G122),(G122-F122+1)/30.4375&gt;12),"⚠ Plazo fijo mayor a 1 año (máximo legal)",IF(J122&lt;&gt;"Sí","Pendiente de firma","OK")))))))))</f>
        <v/>
      </c>
      <c r="M122" s="62" t="str">
        <f aca="false">IF(B122="","",IFERROR(VALUE(LEFT(UPPER(SUBSTITUTE(SUBSTITUTE(SUBSTITUTE(TRIM(B122),".",""),"-","")," ","")),LEN(UPPER(SUBSTITUTE(SUBSTITUTE(SUBSTITUTE(TRIM(B122),".",""),"-","")," ","")))-1))&amp;RIGHT(UPPER(SUBSTITUTE(SUBSTITUTE(SUBSTITUTE(TRIM(B122),".",""),"-","")," ","")),1),UPPER(SUBSTITUTE(SUBSTITUTE(SUBSTITUTE(TRIM(B122),".",""),"-","")," ",""))))</f>
        <v/>
      </c>
      <c r="N122" s="62" t="str">
        <f aca="false">IF(B122="","",IF(D122="Anexo de modificación","No","Sí"))</f>
        <v/>
      </c>
      <c r="O122" s="62" t="str">
        <f aca="false">IF(AND(N122="Sí",ISNUMBER(F122)),COUNTIFS(C_RUTN,M122,C_DEF,"Sí",C_INI,"&lt;"&amp;F122)+COUNTIFS(M$7:M122,M122,N$7:N122,"Sí",F$7:F122,F122),"")</f>
        <v/>
      </c>
      <c r="P122" s="62" t="str">
        <f aca="false">IF(O122="","",M122&amp;"-P"&amp;O122)</f>
        <v/>
      </c>
      <c r="Q122" s="62" t="str">
        <f aca="false">IF(AND(N122="Sí",E122="Plazo fijo",ISNUMBER(F122)),COUNTIFS(C_RUTN,M122,C_TIPO,"Plazo fijo",C_DEF,"Sí",C_INI,"&lt;"&amp;F122)+COUNTIFS(M$7:M122,M122,E$7:E122,"Plazo fijo",N$7:N122,"Sí",F$7:F122,F122),"")</f>
        <v/>
      </c>
      <c r="R122" s="62" t="str">
        <f aca="false">IF(AND(B122&lt;&gt;"",ISNUMBER(H122),ISNUMBER(F122)),COUNTIFS(C_RUTN,M122,C_SUELDO,"&lt;&gt;",C_INI,"&lt;"&amp;F122)+COUNTIFS(M$7:M122,M122,H$7:H122,"&lt;&gt;",F$7:F122,F122),"")</f>
        <v/>
      </c>
      <c r="S122" s="62" t="str">
        <f aca="false">IF(R122="","",M122&amp;"-S"&amp;R122)</f>
        <v/>
      </c>
    </row>
    <row r="123" customFormat="false" ht="15" hidden="false" customHeight="false" outlineLevel="0" collapsed="false">
      <c r="B123" s="58"/>
      <c r="C123" s="62" t="str">
        <f aca="false">IF(B123="","",IFERROR(INDEX(T_NOMBRE,MATCH(M123,T_RUTN,0)),"⚠ RUT no está en Trabajadores"))</f>
        <v/>
      </c>
      <c r="D123" s="58"/>
      <c r="E123" s="58"/>
      <c r="F123" s="59"/>
      <c r="G123" s="59"/>
      <c r="H123" s="60"/>
      <c r="I123" s="58"/>
      <c r="J123" s="58"/>
      <c r="K123" s="58"/>
      <c r="L123" s="62" t="str">
        <f aca="false">IF(B123="","",IF(LEFT(C123,1)="⚠","⚠ Registre primero al trabajador en la hoja Trabajadores",IF(AND(N123="Sí",OR(E123="",NOT(ISNUMBER(F123)))),"⚠ Falta tipo de contrato o fecha de inicio",IF(NOT(ISNUMBER(F123)),"⚠ Falta fecha de inicio",IF(AND(N123="Sí",E123&lt;&gt;"Indefinido",NOT(ISNUMBER(G123))),"⚠ Falta fecha de término",IF(AND(D123="Paso a indefinido",E123&lt;&gt;"Indefinido"),"⚠ Un paso a indefinido debe tener tipo Indefinido",IF(N(Q123)&gt;=3,"⚠ 3er contrato a plazo fijo: por ley ya es INDEFINIDO (Art. 159 N°4)",IF(AND(E123="Plazo fijo",ISNUMBER(G123),(G123-F123+1)/30.4375&gt;12),"⚠ Plazo fijo mayor a 1 año (máximo legal)",IF(J123&lt;&gt;"Sí","Pendiente de firma","OK")))))))))</f>
        <v/>
      </c>
      <c r="M123" s="62" t="str">
        <f aca="false">IF(B123="","",IFERROR(VALUE(LEFT(UPPER(SUBSTITUTE(SUBSTITUTE(SUBSTITUTE(TRIM(B123),".",""),"-","")," ","")),LEN(UPPER(SUBSTITUTE(SUBSTITUTE(SUBSTITUTE(TRIM(B123),".",""),"-","")," ","")))-1))&amp;RIGHT(UPPER(SUBSTITUTE(SUBSTITUTE(SUBSTITUTE(TRIM(B123),".",""),"-","")," ","")),1),UPPER(SUBSTITUTE(SUBSTITUTE(SUBSTITUTE(TRIM(B123),".",""),"-","")," ",""))))</f>
        <v/>
      </c>
      <c r="N123" s="62" t="str">
        <f aca="false">IF(B123="","",IF(D123="Anexo de modificación","No","Sí"))</f>
        <v/>
      </c>
      <c r="O123" s="62" t="str">
        <f aca="false">IF(AND(N123="Sí",ISNUMBER(F123)),COUNTIFS(C_RUTN,M123,C_DEF,"Sí",C_INI,"&lt;"&amp;F123)+COUNTIFS(M$7:M123,M123,N$7:N123,"Sí",F$7:F123,F123),"")</f>
        <v/>
      </c>
      <c r="P123" s="62" t="str">
        <f aca="false">IF(O123="","",M123&amp;"-P"&amp;O123)</f>
        <v/>
      </c>
      <c r="Q123" s="62" t="str">
        <f aca="false">IF(AND(N123="Sí",E123="Plazo fijo",ISNUMBER(F123)),COUNTIFS(C_RUTN,M123,C_TIPO,"Plazo fijo",C_DEF,"Sí",C_INI,"&lt;"&amp;F123)+COUNTIFS(M$7:M123,M123,E$7:E123,"Plazo fijo",N$7:N123,"Sí",F$7:F123,F123),"")</f>
        <v/>
      </c>
      <c r="R123" s="62" t="str">
        <f aca="false">IF(AND(B123&lt;&gt;"",ISNUMBER(H123),ISNUMBER(F123)),COUNTIFS(C_RUTN,M123,C_SUELDO,"&lt;&gt;",C_INI,"&lt;"&amp;F123)+COUNTIFS(M$7:M123,M123,H$7:H123,"&lt;&gt;",F$7:F123,F123),"")</f>
        <v/>
      </c>
      <c r="S123" s="62" t="str">
        <f aca="false">IF(R123="","",M123&amp;"-S"&amp;R123)</f>
        <v/>
      </c>
    </row>
    <row r="124" customFormat="false" ht="15" hidden="false" customHeight="false" outlineLevel="0" collapsed="false">
      <c r="B124" s="58"/>
      <c r="C124" s="62" t="str">
        <f aca="false">IF(B124="","",IFERROR(INDEX(T_NOMBRE,MATCH(M124,T_RUTN,0)),"⚠ RUT no está en Trabajadores"))</f>
        <v/>
      </c>
      <c r="D124" s="58"/>
      <c r="E124" s="58"/>
      <c r="F124" s="59"/>
      <c r="G124" s="59"/>
      <c r="H124" s="60"/>
      <c r="I124" s="58"/>
      <c r="J124" s="58"/>
      <c r="K124" s="58"/>
      <c r="L124" s="62" t="str">
        <f aca="false">IF(B124="","",IF(LEFT(C124,1)="⚠","⚠ Registre primero al trabajador en la hoja Trabajadores",IF(AND(N124="Sí",OR(E124="",NOT(ISNUMBER(F124)))),"⚠ Falta tipo de contrato o fecha de inicio",IF(NOT(ISNUMBER(F124)),"⚠ Falta fecha de inicio",IF(AND(N124="Sí",E124&lt;&gt;"Indefinido",NOT(ISNUMBER(G124))),"⚠ Falta fecha de término",IF(AND(D124="Paso a indefinido",E124&lt;&gt;"Indefinido"),"⚠ Un paso a indefinido debe tener tipo Indefinido",IF(N(Q124)&gt;=3,"⚠ 3er contrato a plazo fijo: por ley ya es INDEFINIDO (Art. 159 N°4)",IF(AND(E124="Plazo fijo",ISNUMBER(G124),(G124-F124+1)/30.4375&gt;12),"⚠ Plazo fijo mayor a 1 año (máximo legal)",IF(J124&lt;&gt;"Sí","Pendiente de firma","OK")))))))))</f>
        <v/>
      </c>
      <c r="M124" s="62" t="str">
        <f aca="false">IF(B124="","",IFERROR(VALUE(LEFT(UPPER(SUBSTITUTE(SUBSTITUTE(SUBSTITUTE(TRIM(B124),".",""),"-","")," ","")),LEN(UPPER(SUBSTITUTE(SUBSTITUTE(SUBSTITUTE(TRIM(B124),".",""),"-","")," ","")))-1))&amp;RIGHT(UPPER(SUBSTITUTE(SUBSTITUTE(SUBSTITUTE(TRIM(B124),".",""),"-","")," ","")),1),UPPER(SUBSTITUTE(SUBSTITUTE(SUBSTITUTE(TRIM(B124),".",""),"-","")," ",""))))</f>
        <v/>
      </c>
      <c r="N124" s="62" t="str">
        <f aca="false">IF(B124="","",IF(D124="Anexo de modificación","No","Sí"))</f>
        <v/>
      </c>
      <c r="O124" s="62" t="str">
        <f aca="false">IF(AND(N124="Sí",ISNUMBER(F124)),COUNTIFS(C_RUTN,M124,C_DEF,"Sí",C_INI,"&lt;"&amp;F124)+COUNTIFS(M$7:M124,M124,N$7:N124,"Sí",F$7:F124,F124),"")</f>
        <v/>
      </c>
      <c r="P124" s="62" t="str">
        <f aca="false">IF(O124="","",M124&amp;"-P"&amp;O124)</f>
        <v/>
      </c>
      <c r="Q124" s="62" t="str">
        <f aca="false">IF(AND(N124="Sí",E124="Plazo fijo",ISNUMBER(F124)),COUNTIFS(C_RUTN,M124,C_TIPO,"Plazo fijo",C_DEF,"Sí",C_INI,"&lt;"&amp;F124)+COUNTIFS(M$7:M124,M124,E$7:E124,"Plazo fijo",N$7:N124,"Sí",F$7:F124,F124),"")</f>
        <v/>
      </c>
      <c r="R124" s="62" t="str">
        <f aca="false">IF(AND(B124&lt;&gt;"",ISNUMBER(H124),ISNUMBER(F124)),COUNTIFS(C_RUTN,M124,C_SUELDO,"&lt;&gt;",C_INI,"&lt;"&amp;F124)+COUNTIFS(M$7:M124,M124,H$7:H124,"&lt;&gt;",F$7:F124,F124),"")</f>
        <v/>
      </c>
      <c r="S124" s="62" t="str">
        <f aca="false">IF(R124="","",M124&amp;"-S"&amp;R124)</f>
        <v/>
      </c>
    </row>
    <row r="125" customFormat="false" ht="15" hidden="false" customHeight="false" outlineLevel="0" collapsed="false">
      <c r="B125" s="58"/>
      <c r="C125" s="62" t="str">
        <f aca="false">IF(B125="","",IFERROR(INDEX(T_NOMBRE,MATCH(M125,T_RUTN,0)),"⚠ RUT no está en Trabajadores"))</f>
        <v/>
      </c>
      <c r="D125" s="58"/>
      <c r="E125" s="58"/>
      <c r="F125" s="59"/>
      <c r="G125" s="59"/>
      <c r="H125" s="60"/>
      <c r="I125" s="58"/>
      <c r="J125" s="58"/>
      <c r="K125" s="58"/>
      <c r="L125" s="62" t="str">
        <f aca="false">IF(B125="","",IF(LEFT(C125,1)="⚠","⚠ Registre primero al trabajador en la hoja Trabajadores",IF(AND(N125="Sí",OR(E125="",NOT(ISNUMBER(F125)))),"⚠ Falta tipo de contrato o fecha de inicio",IF(NOT(ISNUMBER(F125)),"⚠ Falta fecha de inicio",IF(AND(N125="Sí",E125&lt;&gt;"Indefinido",NOT(ISNUMBER(G125))),"⚠ Falta fecha de término",IF(AND(D125="Paso a indefinido",E125&lt;&gt;"Indefinido"),"⚠ Un paso a indefinido debe tener tipo Indefinido",IF(N(Q125)&gt;=3,"⚠ 3er contrato a plazo fijo: por ley ya es INDEFINIDO (Art. 159 N°4)",IF(AND(E125="Plazo fijo",ISNUMBER(G125),(G125-F125+1)/30.4375&gt;12),"⚠ Plazo fijo mayor a 1 año (máximo legal)",IF(J125&lt;&gt;"Sí","Pendiente de firma","OK")))))))))</f>
        <v/>
      </c>
      <c r="M125" s="62" t="str">
        <f aca="false">IF(B125="","",IFERROR(VALUE(LEFT(UPPER(SUBSTITUTE(SUBSTITUTE(SUBSTITUTE(TRIM(B125),".",""),"-","")," ","")),LEN(UPPER(SUBSTITUTE(SUBSTITUTE(SUBSTITUTE(TRIM(B125),".",""),"-","")," ","")))-1))&amp;RIGHT(UPPER(SUBSTITUTE(SUBSTITUTE(SUBSTITUTE(TRIM(B125),".",""),"-","")," ","")),1),UPPER(SUBSTITUTE(SUBSTITUTE(SUBSTITUTE(TRIM(B125),".",""),"-","")," ",""))))</f>
        <v/>
      </c>
      <c r="N125" s="62" t="str">
        <f aca="false">IF(B125="","",IF(D125="Anexo de modificación","No","Sí"))</f>
        <v/>
      </c>
      <c r="O125" s="62" t="str">
        <f aca="false">IF(AND(N125="Sí",ISNUMBER(F125)),COUNTIFS(C_RUTN,M125,C_DEF,"Sí",C_INI,"&lt;"&amp;F125)+COUNTIFS(M$7:M125,M125,N$7:N125,"Sí",F$7:F125,F125),"")</f>
        <v/>
      </c>
      <c r="P125" s="62" t="str">
        <f aca="false">IF(O125="","",M125&amp;"-P"&amp;O125)</f>
        <v/>
      </c>
      <c r="Q125" s="62" t="str">
        <f aca="false">IF(AND(N125="Sí",E125="Plazo fijo",ISNUMBER(F125)),COUNTIFS(C_RUTN,M125,C_TIPO,"Plazo fijo",C_DEF,"Sí",C_INI,"&lt;"&amp;F125)+COUNTIFS(M$7:M125,M125,E$7:E125,"Plazo fijo",N$7:N125,"Sí",F$7:F125,F125),"")</f>
        <v/>
      </c>
      <c r="R125" s="62" t="str">
        <f aca="false">IF(AND(B125&lt;&gt;"",ISNUMBER(H125),ISNUMBER(F125)),COUNTIFS(C_RUTN,M125,C_SUELDO,"&lt;&gt;",C_INI,"&lt;"&amp;F125)+COUNTIFS(M$7:M125,M125,H$7:H125,"&lt;&gt;",F$7:F125,F125),"")</f>
        <v/>
      </c>
      <c r="S125" s="62" t="str">
        <f aca="false">IF(R125="","",M125&amp;"-S"&amp;R125)</f>
        <v/>
      </c>
    </row>
    <row r="126" customFormat="false" ht="15" hidden="false" customHeight="false" outlineLevel="0" collapsed="false">
      <c r="B126" s="58"/>
      <c r="C126" s="62" t="str">
        <f aca="false">IF(B126="","",IFERROR(INDEX(T_NOMBRE,MATCH(M126,T_RUTN,0)),"⚠ RUT no está en Trabajadores"))</f>
        <v/>
      </c>
      <c r="D126" s="58"/>
      <c r="E126" s="58"/>
      <c r="F126" s="59"/>
      <c r="G126" s="59"/>
      <c r="H126" s="60"/>
      <c r="I126" s="58"/>
      <c r="J126" s="58"/>
      <c r="K126" s="58"/>
      <c r="L126" s="62" t="str">
        <f aca="false">IF(B126="","",IF(LEFT(C126,1)="⚠","⚠ Registre primero al trabajador en la hoja Trabajadores",IF(AND(N126="Sí",OR(E126="",NOT(ISNUMBER(F126)))),"⚠ Falta tipo de contrato o fecha de inicio",IF(NOT(ISNUMBER(F126)),"⚠ Falta fecha de inicio",IF(AND(N126="Sí",E126&lt;&gt;"Indefinido",NOT(ISNUMBER(G126))),"⚠ Falta fecha de término",IF(AND(D126="Paso a indefinido",E126&lt;&gt;"Indefinido"),"⚠ Un paso a indefinido debe tener tipo Indefinido",IF(N(Q126)&gt;=3,"⚠ 3er contrato a plazo fijo: por ley ya es INDEFINIDO (Art. 159 N°4)",IF(AND(E126="Plazo fijo",ISNUMBER(G126),(G126-F126+1)/30.4375&gt;12),"⚠ Plazo fijo mayor a 1 año (máximo legal)",IF(J126&lt;&gt;"Sí","Pendiente de firma","OK")))))))))</f>
        <v/>
      </c>
      <c r="M126" s="62" t="str">
        <f aca="false">IF(B126="","",IFERROR(VALUE(LEFT(UPPER(SUBSTITUTE(SUBSTITUTE(SUBSTITUTE(TRIM(B126),".",""),"-","")," ","")),LEN(UPPER(SUBSTITUTE(SUBSTITUTE(SUBSTITUTE(TRIM(B126),".",""),"-","")," ","")))-1))&amp;RIGHT(UPPER(SUBSTITUTE(SUBSTITUTE(SUBSTITUTE(TRIM(B126),".",""),"-","")," ","")),1),UPPER(SUBSTITUTE(SUBSTITUTE(SUBSTITUTE(TRIM(B126),".",""),"-","")," ",""))))</f>
        <v/>
      </c>
      <c r="N126" s="62" t="str">
        <f aca="false">IF(B126="","",IF(D126="Anexo de modificación","No","Sí"))</f>
        <v/>
      </c>
      <c r="O126" s="62" t="str">
        <f aca="false">IF(AND(N126="Sí",ISNUMBER(F126)),COUNTIFS(C_RUTN,M126,C_DEF,"Sí",C_INI,"&lt;"&amp;F126)+COUNTIFS(M$7:M126,M126,N$7:N126,"Sí",F$7:F126,F126),"")</f>
        <v/>
      </c>
      <c r="P126" s="62" t="str">
        <f aca="false">IF(O126="","",M126&amp;"-P"&amp;O126)</f>
        <v/>
      </c>
      <c r="Q126" s="62" t="str">
        <f aca="false">IF(AND(N126="Sí",E126="Plazo fijo",ISNUMBER(F126)),COUNTIFS(C_RUTN,M126,C_TIPO,"Plazo fijo",C_DEF,"Sí",C_INI,"&lt;"&amp;F126)+COUNTIFS(M$7:M126,M126,E$7:E126,"Plazo fijo",N$7:N126,"Sí",F$7:F126,F126),"")</f>
        <v/>
      </c>
      <c r="R126" s="62" t="str">
        <f aca="false">IF(AND(B126&lt;&gt;"",ISNUMBER(H126),ISNUMBER(F126)),COUNTIFS(C_RUTN,M126,C_SUELDO,"&lt;&gt;",C_INI,"&lt;"&amp;F126)+COUNTIFS(M$7:M126,M126,H$7:H126,"&lt;&gt;",F$7:F126,F126),"")</f>
        <v/>
      </c>
      <c r="S126" s="62" t="str">
        <f aca="false">IF(R126="","",M126&amp;"-S"&amp;R126)</f>
        <v/>
      </c>
    </row>
    <row r="127" customFormat="false" ht="15" hidden="false" customHeight="false" outlineLevel="0" collapsed="false">
      <c r="B127" s="58"/>
      <c r="C127" s="62" t="str">
        <f aca="false">IF(B127="","",IFERROR(INDEX(T_NOMBRE,MATCH(M127,T_RUTN,0)),"⚠ RUT no está en Trabajadores"))</f>
        <v/>
      </c>
      <c r="D127" s="58"/>
      <c r="E127" s="58"/>
      <c r="F127" s="59"/>
      <c r="G127" s="59"/>
      <c r="H127" s="60"/>
      <c r="I127" s="58"/>
      <c r="J127" s="58"/>
      <c r="K127" s="58"/>
      <c r="L127" s="62" t="str">
        <f aca="false">IF(B127="","",IF(LEFT(C127,1)="⚠","⚠ Registre primero al trabajador en la hoja Trabajadores",IF(AND(N127="Sí",OR(E127="",NOT(ISNUMBER(F127)))),"⚠ Falta tipo de contrato o fecha de inicio",IF(NOT(ISNUMBER(F127)),"⚠ Falta fecha de inicio",IF(AND(N127="Sí",E127&lt;&gt;"Indefinido",NOT(ISNUMBER(G127))),"⚠ Falta fecha de término",IF(AND(D127="Paso a indefinido",E127&lt;&gt;"Indefinido"),"⚠ Un paso a indefinido debe tener tipo Indefinido",IF(N(Q127)&gt;=3,"⚠ 3er contrato a plazo fijo: por ley ya es INDEFINIDO (Art. 159 N°4)",IF(AND(E127="Plazo fijo",ISNUMBER(G127),(G127-F127+1)/30.4375&gt;12),"⚠ Plazo fijo mayor a 1 año (máximo legal)",IF(J127&lt;&gt;"Sí","Pendiente de firma","OK")))))))))</f>
        <v/>
      </c>
      <c r="M127" s="62" t="str">
        <f aca="false">IF(B127="","",IFERROR(VALUE(LEFT(UPPER(SUBSTITUTE(SUBSTITUTE(SUBSTITUTE(TRIM(B127),".",""),"-","")," ","")),LEN(UPPER(SUBSTITUTE(SUBSTITUTE(SUBSTITUTE(TRIM(B127),".",""),"-","")," ","")))-1))&amp;RIGHT(UPPER(SUBSTITUTE(SUBSTITUTE(SUBSTITUTE(TRIM(B127),".",""),"-","")," ","")),1),UPPER(SUBSTITUTE(SUBSTITUTE(SUBSTITUTE(TRIM(B127),".",""),"-","")," ",""))))</f>
        <v/>
      </c>
      <c r="N127" s="62" t="str">
        <f aca="false">IF(B127="","",IF(D127="Anexo de modificación","No","Sí"))</f>
        <v/>
      </c>
      <c r="O127" s="62" t="str">
        <f aca="false">IF(AND(N127="Sí",ISNUMBER(F127)),COUNTIFS(C_RUTN,M127,C_DEF,"Sí",C_INI,"&lt;"&amp;F127)+COUNTIFS(M$7:M127,M127,N$7:N127,"Sí",F$7:F127,F127),"")</f>
        <v/>
      </c>
      <c r="P127" s="62" t="str">
        <f aca="false">IF(O127="","",M127&amp;"-P"&amp;O127)</f>
        <v/>
      </c>
      <c r="Q127" s="62" t="str">
        <f aca="false">IF(AND(N127="Sí",E127="Plazo fijo",ISNUMBER(F127)),COUNTIFS(C_RUTN,M127,C_TIPO,"Plazo fijo",C_DEF,"Sí",C_INI,"&lt;"&amp;F127)+COUNTIFS(M$7:M127,M127,E$7:E127,"Plazo fijo",N$7:N127,"Sí",F$7:F127,F127),"")</f>
        <v/>
      </c>
      <c r="R127" s="62" t="str">
        <f aca="false">IF(AND(B127&lt;&gt;"",ISNUMBER(H127),ISNUMBER(F127)),COUNTIFS(C_RUTN,M127,C_SUELDO,"&lt;&gt;",C_INI,"&lt;"&amp;F127)+COUNTIFS(M$7:M127,M127,H$7:H127,"&lt;&gt;",F$7:F127,F127),"")</f>
        <v/>
      </c>
      <c r="S127" s="62" t="str">
        <f aca="false">IF(R127="","",M127&amp;"-S"&amp;R127)</f>
        <v/>
      </c>
    </row>
    <row r="128" customFormat="false" ht="15" hidden="false" customHeight="false" outlineLevel="0" collapsed="false">
      <c r="B128" s="58"/>
      <c r="C128" s="62" t="str">
        <f aca="false">IF(B128="","",IFERROR(INDEX(T_NOMBRE,MATCH(M128,T_RUTN,0)),"⚠ RUT no está en Trabajadores"))</f>
        <v/>
      </c>
      <c r="D128" s="58"/>
      <c r="E128" s="58"/>
      <c r="F128" s="59"/>
      <c r="G128" s="59"/>
      <c r="H128" s="60"/>
      <c r="I128" s="58"/>
      <c r="J128" s="58"/>
      <c r="K128" s="58"/>
      <c r="L128" s="62" t="str">
        <f aca="false">IF(B128="","",IF(LEFT(C128,1)="⚠","⚠ Registre primero al trabajador en la hoja Trabajadores",IF(AND(N128="Sí",OR(E128="",NOT(ISNUMBER(F128)))),"⚠ Falta tipo de contrato o fecha de inicio",IF(NOT(ISNUMBER(F128)),"⚠ Falta fecha de inicio",IF(AND(N128="Sí",E128&lt;&gt;"Indefinido",NOT(ISNUMBER(G128))),"⚠ Falta fecha de término",IF(AND(D128="Paso a indefinido",E128&lt;&gt;"Indefinido"),"⚠ Un paso a indefinido debe tener tipo Indefinido",IF(N(Q128)&gt;=3,"⚠ 3er contrato a plazo fijo: por ley ya es INDEFINIDO (Art. 159 N°4)",IF(AND(E128="Plazo fijo",ISNUMBER(G128),(G128-F128+1)/30.4375&gt;12),"⚠ Plazo fijo mayor a 1 año (máximo legal)",IF(J128&lt;&gt;"Sí","Pendiente de firma","OK")))))))))</f>
        <v/>
      </c>
      <c r="M128" s="62" t="str">
        <f aca="false">IF(B128="","",IFERROR(VALUE(LEFT(UPPER(SUBSTITUTE(SUBSTITUTE(SUBSTITUTE(TRIM(B128),".",""),"-","")," ","")),LEN(UPPER(SUBSTITUTE(SUBSTITUTE(SUBSTITUTE(TRIM(B128),".",""),"-","")," ","")))-1))&amp;RIGHT(UPPER(SUBSTITUTE(SUBSTITUTE(SUBSTITUTE(TRIM(B128),".",""),"-","")," ","")),1),UPPER(SUBSTITUTE(SUBSTITUTE(SUBSTITUTE(TRIM(B128),".",""),"-","")," ",""))))</f>
        <v/>
      </c>
      <c r="N128" s="62" t="str">
        <f aca="false">IF(B128="","",IF(D128="Anexo de modificación","No","Sí"))</f>
        <v/>
      </c>
      <c r="O128" s="62" t="str">
        <f aca="false">IF(AND(N128="Sí",ISNUMBER(F128)),COUNTIFS(C_RUTN,M128,C_DEF,"Sí",C_INI,"&lt;"&amp;F128)+COUNTIFS(M$7:M128,M128,N$7:N128,"Sí",F$7:F128,F128),"")</f>
        <v/>
      </c>
      <c r="P128" s="62" t="str">
        <f aca="false">IF(O128="","",M128&amp;"-P"&amp;O128)</f>
        <v/>
      </c>
      <c r="Q128" s="62" t="str">
        <f aca="false">IF(AND(N128="Sí",E128="Plazo fijo",ISNUMBER(F128)),COUNTIFS(C_RUTN,M128,C_TIPO,"Plazo fijo",C_DEF,"Sí",C_INI,"&lt;"&amp;F128)+COUNTIFS(M$7:M128,M128,E$7:E128,"Plazo fijo",N$7:N128,"Sí",F$7:F128,F128),"")</f>
        <v/>
      </c>
      <c r="R128" s="62" t="str">
        <f aca="false">IF(AND(B128&lt;&gt;"",ISNUMBER(H128),ISNUMBER(F128)),COUNTIFS(C_RUTN,M128,C_SUELDO,"&lt;&gt;",C_INI,"&lt;"&amp;F128)+COUNTIFS(M$7:M128,M128,H$7:H128,"&lt;&gt;",F$7:F128,F128),"")</f>
        <v/>
      </c>
      <c r="S128" s="62" t="str">
        <f aca="false">IF(R128="","",M128&amp;"-S"&amp;R128)</f>
        <v/>
      </c>
    </row>
    <row r="129" customFormat="false" ht="15" hidden="false" customHeight="false" outlineLevel="0" collapsed="false">
      <c r="B129" s="58"/>
      <c r="C129" s="62" t="str">
        <f aca="false">IF(B129="","",IFERROR(INDEX(T_NOMBRE,MATCH(M129,T_RUTN,0)),"⚠ RUT no está en Trabajadores"))</f>
        <v/>
      </c>
      <c r="D129" s="58"/>
      <c r="E129" s="58"/>
      <c r="F129" s="59"/>
      <c r="G129" s="59"/>
      <c r="H129" s="60"/>
      <c r="I129" s="58"/>
      <c r="J129" s="58"/>
      <c r="K129" s="58"/>
      <c r="L129" s="62" t="str">
        <f aca="false">IF(B129="","",IF(LEFT(C129,1)="⚠","⚠ Registre primero al trabajador en la hoja Trabajadores",IF(AND(N129="Sí",OR(E129="",NOT(ISNUMBER(F129)))),"⚠ Falta tipo de contrato o fecha de inicio",IF(NOT(ISNUMBER(F129)),"⚠ Falta fecha de inicio",IF(AND(N129="Sí",E129&lt;&gt;"Indefinido",NOT(ISNUMBER(G129))),"⚠ Falta fecha de término",IF(AND(D129="Paso a indefinido",E129&lt;&gt;"Indefinido"),"⚠ Un paso a indefinido debe tener tipo Indefinido",IF(N(Q129)&gt;=3,"⚠ 3er contrato a plazo fijo: por ley ya es INDEFINIDO (Art. 159 N°4)",IF(AND(E129="Plazo fijo",ISNUMBER(G129),(G129-F129+1)/30.4375&gt;12),"⚠ Plazo fijo mayor a 1 año (máximo legal)",IF(J129&lt;&gt;"Sí","Pendiente de firma","OK")))))))))</f>
        <v/>
      </c>
      <c r="M129" s="62" t="str">
        <f aca="false">IF(B129="","",IFERROR(VALUE(LEFT(UPPER(SUBSTITUTE(SUBSTITUTE(SUBSTITUTE(TRIM(B129),".",""),"-","")," ","")),LEN(UPPER(SUBSTITUTE(SUBSTITUTE(SUBSTITUTE(TRIM(B129),".",""),"-","")," ","")))-1))&amp;RIGHT(UPPER(SUBSTITUTE(SUBSTITUTE(SUBSTITUTE(TRIM(B129),".",""),"-","")," ","")),1),UPPER(SUBSTITUTE(SUBSTITUTE(SUBSTITUTE(TRIM(B129),".",""),"-","")," ",""))))</f>
        <v/>
      </c>
      <c r="N129" s="62" t="str">
        <f aca="false">IF(B129="","",IF(D129="Anexo de modificación","No","Sí"))</f>
        <v/>
      </c>
      <c r="O129" s="62" t="str">
        <f aca="false">IF(AND(N129="Sí",ISNUMBER(F129)),COUNTIFS(C_RUTN,M129,C_DEF,"Sí",C_INI,"&lt;"&amp;F129)+COUNTIFS(M$7:M129,M129,N$7:N129,"Sí",F$7:F129,F129),"")</f>
        <v/>
      </c>
      <c r="P129" s="62" t="str">
        <f aca="false">IF(O129="","",M129&amp;"-P"&amp;O129)</f>
        <v/>
      </c>
      <c r="Q129" s="62" t="str">
        <f aca="false">IF(AND(N129="Sí",E129="Plazo fijo",ISNUMBER(F129)),COUNTIFS(C_RUTN,M129,C_TIPO,"Plazo fijo",C_DEF,"Sí",C_INI,"&lt;"&amp;F129)+COUNTIFS(M$7:M129,M129,E$7:E129,"Plazo fijo",N$7:N129,"Sí",F$7:F129,F129),"")</f>
        <v/>
      </c>
      <c r="R129" s="62" t="str">
        <f aca="false">IF(AND(B129&lt;&gt;"",ISNUMBER(H129),ISNUMBER(F129)),COUNTIFS(C_RUTN,M129,C_SUELDO,"&lt;&gt;",C_INI,"&lt;"&amp;F129)+COUNTIFS(M$7:M129,M129,H$7:H129,"&lt;&gt;",F$7:F129,F129),"")</f>
        <v/>
      </c>
      <c r="S129" s="62" t="str">
        <f aca="false">IF(R129="","",M129&amp;"-S"&amp;R129)</f>
        <v/>
      </c>
    </row>
    <row r="130" customFormat="false" ht="15" hidden="false" customHeight="false" outlineLevel="0" collapsed="false">
      <c r="B130" s="58"/>
      <c r="C130" s="62" t="str">
        <f aca="false">IF(B130="","",IFERROR(INDEX(T_NOMBRE,MATCH(M130,T_RUTN,0)),"⚠ RUT no está en Trabajadores"))</f>
        <v/>
      </c>
      <c r="D130" s="58"/>
      <c r="E130" s="58"/>
      <c r="F130" s="59"/>
      <c r="G130" s="59"/>
      <c r="H130" s="60"/>
      <c r="I130" s="58"/>
      <c r="J130" s="58"/>
      <c r="K130" s="58"/>
      <c r="L130" s="62" t="str">
        <f aca="false">IF(B130="","",IF(LEFT(C130,1)="⚠","⚠ Registre primero al trabajador en la hoja Trabajadores",IF(AND(N130="Sí",OR(E130="",NOT(ISNUMBER(F130)))),"⚠ Falta tipo de contrato o fecha de inicio",IF(NOT(ISNUMBER(F130)),"⚠ Falta fecha de inicio",IF(AND(N130="Sí",E130&lt;&gt;"Indefinido",NOT(ISNUMBER(G130))),"⚠ Falta fecha de término",IF(AND(D130="Paso a indefinido",E130&lt;&gt;"Indefinido"),"⚠ Un paso a indefinido debe tener tipo Indefinido",IF(N(Q130)&gt;=3,"⚠ 3er contrato a plazo fijo: por ley ya es INDEFINIDO (Art. 159 N°4)",IF(AND(E130="Plazo fijo",ISNUMBER(G130),(G130-F130+1)/30.4375&gt;12),"⚠ Plazo fijo mayor a 1 año (máximo legal)",IF(J130&lt;&gt;"Sí","Pendiente de firma","OK")))))))))</f>
        <v/>
      </c>
      <c r="M130" s="62" t="str">
        <f aca="false">IF(B130="","",IFERROR(VALUE(LEFT(UPPER(SUBSTITUTE(SUBSTITUTE(SUBSTITUTE(TRIM(B130),".",""),"-","")," ","")),LEN(UPPER(SUBSTITUTE(SUBSTITUTE(SUBSTITUTE(TRIM(B130),".",""),"-","")," ","")))-1))&amp;RIGHT(UPPER(SUBSTITUTE(SUBSTITUTE(SUBSTITUTE(TRIM(B130),".",""),"-","")," ","")),1),UPPER(SUBSTITUTE(SUBSTITUTE(SUBSTITUTE(TRIM(B130),".",""),"-","")," ",""))))</f>
        <v/>
      </c>
      <c r="N130" s="62" t="str">
        <f aca="false">IF(B130="","",IF(D130="Anexo de modificación","No","Sí"))</f>
        <v/>
      </c>
      <c r="O130" s="62" t="str">
        <f aca="false">IF(AND(N130="Sí",ISNUMBER(F130)),COUNTIFS(C_RUTN,M130,C_DEF,"Sí",C_INI,"&lt;"&amp;F130)+COUNTIFS(M$7:M130,M130,N$7:N130,"Sí",F$7:F130,F130),"")</f>
        <v/>
      </c>
      <c r="P130" s="62" t="str">
        <f aca="false">IF(O130="","",M130&amp;"-P"&amp;O130)</f>
        <v/>
      </c>
      <c r="Q130" s="62" t="str">
        <f aca="false">IF(AND(N130="Sí",E130="Plazo fijo",ISNUMBER(F130)),COUNTIFS(C_RUTN,M130,C_TIPO,"Plazo fijo",C_DEF,"Sí",C_INI,"&lt;"&amp;F130)+COUNTIFS(M$7:M130,M130,E$7:E130,"Plazo fijo",N$7:N130,"Sí",F$7:F130,F130),"")</f>
        <v/>
      </c>
      <c r="R130" s="62" t="str">
        <f aca="false">IF(AND(B130&lt;&gt;"",ISNUMBER(H130),ISNUMBER(F130)),COUNTIFS(C_RUTN,M130,C_SUELDO,"&lt;&gt;",C_INI,"&lt;"&amp;F130)+COUNTIFS(M$7:M130,M130,H$7:H130,"&lt;&gt;",F$7:F130,F130),"")</f>
        <v/>
      </c>
      <c r="S130" s="62" t="str">
        <f aca="false">IF(R130="","",M130&amp;"-S"&amp;R130)</f>
        <v/>
      </c>
    </row>
    <row r="131" customFormat="false" ht="15" hidden="false" customHeight="false" outlineLevel="0" collapsed="false">
      <c r="B131" s="58"/>
      <c r="C131" s="62" t="str">
        <f aca="false">IF(B131="","",IFERROR(INDEX(T_NOMBRE,MATCH(M131,T_RUTN,0)),"⚠ RUT no está en Trabajadores"))</f>
        <v/>
      </c>
      <c r="D131" s="58"/>
      <c r="E131" s="58"/>
      <c r="F131" s="59"/>
      <c r="G131" s="59"/>
      <c r="H131" s="60"/>
      <c r="I131" s="58"/>
      <c r="J131" s="58"/>
      <c r="K131" s="58"/>
      <c r="L131" s="62" t="str">
        <f aca="false">IF(B131="","",IF(LEFT(C131,1)="⚠","⚠ Registre primero al trabajador en la hoja Trabajadores",IF(AND(N131="Sí",OR(E131="",NOT(ISNUMBER(F131)))),"⚠ Falta tipo de contrato o fecha de inicio",IF(NOT(ISNUMBER(F131)),"⚠ Falta fecha de inicio",IF(AND(N131="Sí",E131&lt;&gt;"Indefinido",NOT(ISNUMBER(G131))),"⚠ Falta fecha de término",IF(AND(D131="Paso a indefinido",E131&lt;&gt;"Indefinido"),"⚠ Un paso a indefinido debe tener tipo Indefinido",IF(N(Q131)&gt;=3,"⚠ 3er contrato a plazo fijo: por ley ya es INDEFINIDO (Art. 159 N°4)",IF(AND(E131="Plazo fijo",ISNUMBER(G131),(G131-F131+1)/30.4375&gt;12),"⚠ Plazo fijo mayor a 1 año (máximo legal)",IF(J131&lt;&gt;"Sí","Pendiente de firma","OK")))))))))</f>
        <v/>
      </c>
      <c r="M131" s="62" t="str">
        <f aca="false">IF(B131="","",IFERROR(VALUE(LEFT(UPPER(SUBSTITUTE(SUBSTITUTE(SUBSTITUTE(TRIM(B131),".",""),"-","")," ","")),LEN(UPPER(SUBSTITUTE(SUBSTITUTE(SUBSTITUTE(TRIM(B131),".",""),"-","")," ","")))-1))&amp;RIGHT(UPPER(SUBSTITUTE(SUBSTITUTE(SUBSTITUTE(TRIM(B131),".",""),"-","")," ","")),1),UPPER(SUBSTITUTE(SUBSTITUTE(SUBSTITUTE(TRIM(B131),".",""),"-","")," ",""))))</f>
        <v/>
      </c>
      <c r="N131" s="62" t="str">
        <f aca="false">IF(B131="","",IF(D131="Anexo de modificación","No","Sí"))</f>
        <v/>
      </c>
      <c r="O131" s="62" t="str">
        <f aca="false">IF(AND(N131="Sí",ISNUMBER(F131)),COUNTIFS(C_RUTN,M131,C_DEF,"Sí",C_INI,"&lt;"&amp;F131)+COUNTIFS(M$7:M131,M131,N$7:N131,"Sí",F$7:F131,F131),"")</f>
        <v/>
      </c>
      <c r="P131" s="62" t="str">
        <f aca="false">IF(O131="","",M131&amp;"-P"&amp;O131)</f>
        <v/>
      </c>
      <c r="Q131" s="62" t="str">
        <f aca="false">IF(AND(N131="Sí",E131="Plazo fijo",ISNUMBER(F131)),COUNTIFS(C_RUTN,M131,C_TIPO,"Plazo fijo",C_DEF,"Sí",C_INI,"&lt;"&amp;F131)+COUNTIFS(M$7:M131,M131,E$7:E131,"Plazo fijo",N$7:N131,"Sí",F$7:F131,F131),"")</f>
        <v/>
      </c>
      <c r="R131" s="62" t="str">
        <f aca="false">IF(AND(B131&lt;&gt;"",ISNUMBER(H131),ISNUMBER(F131)),COUNTIFS(C_RUTN,M131,C_SUELDO,"&lt;&gt;",C_INI,"&lt;"&amp;F131)+COUNTIFS(M$7:M131,M131,H$7:H131,"&lt;&gt;",F$7:F131,F131),"")</f>
        <v/>
      </c>
      <c r="S131" s="62" t="str">
        <f aca="false">IF(R131="","",M131&amp;"-S"&amp;R131)</f>
        <v/>
      </c>
    </row>
    <row r="132" customFormat="false" ht="15" hidden="false" customHeight="false" outlineLevel="0" collapsed="false">
      <c r="B132" s="58"/>
      <c r="C132" s="62" t="str">
        <f aca="false">IF(B132="","",IFERROR(INDEX(T_NOMBRE,MATCH(M132,T_RUTN,0)),"⚠ RUT no está en Trabajadores"))</f>
        <v/>
      </c>
      <c r="D132" s="58"/>
      <c r="E132" s="58"/>
      <c r="F132" s="59"/>
      <c r="G132" s="59"/>
      <c r="H132" s="60"/>
      <c r="I132" s="58"/>
      <c r="J132" s="58"/>
      <c r="K132" s="58"/>
      <c r="L132" s="62" t="str">
        <f aca="false">IF(B132="","",IF(LEFT(C132,1)="⚠","⚠ Registre primero al trabajador en la hoja Trabajadores",IF(AND(N132="Sí",OR(E132="",NOT(ISNUMBER(F132)))),"⚠ Falta tipo de contrato o fecha de inicio",IF(NOT(ISNUMBER(F132)),"⚠ Falta fecha de inicio",IF(AND(N132="Sí",E132&lt;&gt;"Indefinido",NOT(ISNUMBER(G132))),"⚠ Falta fecha de término",IF(AND(D132="Paso a indefinido",E132&lt;&gt;"Indefinido"),"⚠ Un paso a indefinido debe tener tipo Indefinido",IF(N(Q132)&gt;=3,"⚠ 3er contrato a plazo fijo: por ley ya es INDEFINIDO (Art. 159 N°4)",IF(AND(E132="Plazo fijo",ISNUMBER(G132),(G132-F132+1)/30.4375&gt;12),"⚠ Plazo fijo mayor a 1 año (máximo legal)",IF(J132&lt;&gt;"Sí","Pendiente de firma","OK")))))))))</f>
        <v/>
      </c>
      <c r="M132" s="62" t="str">
        <f aca="false">IF(B132="","",IFERROR(VALUE(LEFT(UPPER(SUBSTITUTE(SUBSTITUTE(SUBSTITUTE(TRIM(B132),".",""),"-","")," ","")),LEN(UPPER(SUBSTITUTE(SUBSTITUTE(SUBSTITUTE(TRIM(B132),".",""),"-","")," ","")))-1))&amp;RIGHT(UPPER(SUBSTITUTE(SUBSTITUTE(SUBSTITUTE(TRIM(B132),".",""),"-","")," ","")),1),UPPER(SUBSTITUTE(SUBSTITUTE(SUBSTITUTE(TRIM(B132),".",""),"-","")," ",""))))</f>
        <v/>
      </c>
      <c r="N132" s="62" t="str">
        <f aca="false">IF(B132="","",IF(D132="Anexo de modificación","No","Sí"))</f>
        <v/>
      </c>
      <c r="O132" s="62" t="str">
        <f aca="false">IF(AND(N132="Sí",ISNUMBER(F132)),COUNTIFS(C_RUTN,M132,C_DEF,"Sí",C_INI,"&lt;"&amp;F132)+COUNTIFS(M$7:M132,M132,N$7:N132,"Sí",F$7:F132,F132),"")</f>
        <v/>
      </c>
      <c r="P132" s="62" t="str">
        <f aca="false">IF(O132="","",M132&amp;"-P"&amp;O132)</f>
        <v/>
      </c>
      <c r="Q132" s="62" t="str">
        <f aca="false">IF(AND(N132="Sí",E132="Plazo fijo",ISNUMBER(F132)),COUNTIFS(C_RUTN,M132,C_TIPO,"Plazo fijo",C_DEF,"Sí",C_INI,"&lt;"&amp;F132)+COUNTIFS(M$7:M132,M132,E$7:E132,"Plazo fijo",N$7:N132,"Sí",F$7:F132,F132),"")</f>
        <v/>
      </c>
      <c r="R132" s="62" t="str">
        <f aca="false">IF(AND(B132&lt;&gt;"",ISNUMBER(H132),ISNUMBER(F132)),COUNTIFS(C_RUTN,M132,C_SUELDO,"&lt;&gt;",C_INI,"&lt;"&amp;F132)+COUNTIFS(M$7:M132,M132,H$7:H132,"&lt;&gt;",F$7:F132,F132),"")</f>
        <v/>
      </c>
      <c r="S132" s="62" t="str">
        <f aca="false">IF(R132="","",M132&amp;"-S"&amp;R132)</f>
        <v/>
      </c>
    </row>
    <row r="133" customFormat="false" ht="15" hidden="false" customHeight="false" outlineLevel="0" collapsed="false">
      <c r="B133" s="58"/>
      <c r="C133" s="62" t="str">
        <f aca="false">IF(B133="","",IFERROR(INDEX(T_NOMBRE,MATCH(M133,T_RUTN,0)),"⚠ RUT no está en Trabajadores"))</f>
        <v/>
      </c>
      <c r="D133" s="58"/>
      <c r="E133" s="58"/>
      <c r="F133" s="59"/>
      <c r="G133" s="59"/>
      <c r="H133" s="60"/>
      <c r="I133" s="58"/>
      <c r="J133" s="58"/>
      <c r="K133" s="58"/>
      <c r="L133" s="62" t="str">
        <f aca="false">IF(B133="","",IF(LEFT(C133,1)="⚠","⚠ Registre primero al trabajador en la hoja Trabajadores",IF(AND(N133="Sí",OR(E133="",NOT(ISNUMBER(F133)))),"⚠ Falta tipo de contrato o fecha de inicio",IF(NOT(ISNUMBER(F133)),"⚠ Falta fecha de inicio",IF(AND(N133="Sí",E133&lt;&gt;"Indefinido",NOT(ISNUMBER(G133))),"⚠ Falta fecha de término",IF(AND(D133="Paso a indefinido",E133&lt;&gt;"Indefinido"),"⚠ Un paso a indefinido debe tener tipo Indefinido",IF(N(Q133)&gt;=3,"⚠ 3er contrato a plazo fijo: por ley ya es INDEFINIDO (Art. 159 N°4)",IF(AND(E133="Plazo fijo",ISNUMBER(G133),(G133-F133+1)/30.4375&gt;12),"⚠ Plazo fijo mayor a 1 año (máximo legal)",IF(J133&lt;&gt;"Sí","Pendiente de firma","OK")))))))))</f>
        <v/>
      </c>
      <c r="M133" s="62" t="str">
        <f aca="false">IF(B133="","",IFERROR(VALUE(LEFT(UPPER(SUBSTITUTE(SUBSTITUTE(SUBSTITUTE(TRIM(B133),".",""),"-","")," ","")),LEN(UPPER(SUBSTITUTE(SUBSTITUTE(SUBSTITUTE(TRIM(B133),".",""),"-","")," ","")))-1))&amp;RIGHT(UPPER(SUBSTITUTE(SUBSTITUTE(SUBSTITUTE(TRIM(B133),".",""),"-","")," ","")),1),UPPER(SUBSTITUTE(SUBSTITUTE(SUBSTITUTE(TRIM(B133),".",""),"-","")," ",""))))</f>
        <v/>
      </c>
      <c r="N133" s="62" t="str">
        <f aca="false">IF(B133="","",IF(D133="Anexo de modificación","No","Sí"))</f>
        <v/>
      </c>
      <c r="O133" s="62" t="str">
        <f aca="false">IF(AND(N133="Sí",ISNUMBER(F133)),COUNTIFS(C_RUTN,M133,C_DEF,"Sí",C_INI,"&lt;"&amp;F133)+COUNTIFS(M$7:M133,M133,N$7:N133,"Sí",F$7:F133,F133),"")</f>
        <v/>
      </c>
      <c r="P133" s="62" t="str">
        <f aca="false">IF(O133="","",M133&amp;"-P"&amp;O133)</f>
        <v/>
      </c>
      <c r="Q133" s="62" t="str">
        <f aca="false">IF(AND(N133="Sí",E133="Plazo fijo",ISNUMBER(F133)),COUNTIFS(C_RUTN,M133,C_TIPO,"Plazo fijo",C_DEF,"Sí",C_INI,"&lt;"&amp;F133)+COUNTIFS(M$7:M133,M133,E$7:E133,"Plazo fijo",N$7:N133,"Sí",F$7:F133,F133),"")</f>
        <v/>
      </c>
      <c r="R133" s="62" t="str">
        <f aca="false">IF(AND(B133&lt;&gt;"",ISNUMBER(H133),ISNUMBER(F133)),COUNTIFS(C_RUTN,M133,C_SUELDO,"&lt;&gt;",C_INI,"&lt;"&amp;F133)+COUNTIFS(M$7:M133,M133,H$7:H133,"&lt;&gt;",F$7:F133,F133),"")</f>
        <v/>
      </c>
      <c r="S133" s="62" t="str">
        <f aca="false">IF(R133="","",M133&amp;"-S"&amp;R133)</f>
        <v/>
      </c>
    </row>
    <row r="134" customFormat="false" ht="15" hidden="false" customHeight="false" outlineLevel="0" collapsed="false">
      <c r="B134" s="58"/>
      <c r="C134" s="62" t="str">
        <f aca="false">IF(B134="","",IFERROR(INDEX(T_NOMBRE,MATCH(M134,T_RUTN,0)),"⚠ RUT no está en Trabajadores"))</f>
        <v/>
      </c>
      <c r="D134" s="58"/>
      <c r="E134" s="58"/>
      <c r="F134" s="59"/>
      <c r="G134" s="59"/>
      <c r="H134" s="60"/>
      <c r="I134" s="58"/>
      <c r="J134" s="58"/>
      <c r="K134" s="58"/>
      <c r="L134" s="62" t="str">
        <f aca="false">IF(B134="","",IF(LEFT(C134,1)="⚠","⚠ Registre primero al trabajador en la hoja Trabajadores",IF(AND(N134="Sí",OR(E134="",NOT(ISNUMBER(F134)))),"⚠ Falta tipo de contrato o fecha de inicio",IF(NOT(ISNUMBER(F134)),"⚠ Falta fecha de inicio",IF(AND(N134="Sí",E134&lt;&gt;"Indefinido",NOT(ISNUMBER(G134))),"⚠ Falta fecha de término",IF(AND(D134="Paso a indefinido",E134&lt;&gt;"Indefinido"),"⚠ Un paso a indefinido debe tener tipo Indefinido",IF(N(Q134)&gt;=3,"⚠ 3er contrato a plazo fijo: por ley ya es INDEFINIDO (Art. 159 N°4)",IF(AND(E134="Plazo fijo",ISNUMBER(G134),(G134-F134+1)/30.4375&gt;12),"⚠ Plazo fijo mayor a 1 año (máximo legal)",IF(J134&lt;&gt;"Sí","Pendiente de firma","OK")))))))))</f>
        <v/>
      </c>
      <c r="M134" s="62" t="str">
        <f aca="false">IF(B134="","",IFERROR(VALUE(LEFT(UPPER(SUBSTITUTE(SUBSTITUTE(SUBSTITUTE(TRIM(B134),".",""),"-","")," ","")),LEN(UPPER(SUBSTITUTE(SUBSTITUTE(SUBSTITUTE(TRIM(B134),".",""),"-","")," ","")))-1))&amp;RIGHT(UPPER(SUBSTITUTE(SUBSTITUTE(SUBSTITUTE(TRIM(B134),".",""),"-","")," ","")),1),UPPER(SUBSTITUTE(SUBSTITUTE(SUBSTITUTE(TRIM(B134),".",""),"-","")," ",""))))</f>
        <v/>
      </c>
      <c r="N134" s="62" t="str">
        <f aca="false">IF(B134="","",IF(D134="Anexo de modificación","No","Sí"))</f>
        <v/>
      </c>
      <c r="O134" s="62" t="str">
        <f aca="false">IF(AND(N134="Sí",ISNUMBER(F134)),COUNTIFS(C_RUTN,M134,C_DEF,"Sí",C_INI,"&lt;"&amp;F134)+COUNTIFS(M$7:M134,M134,N$7:N134,"Sí",F$7:F134,F134),"")</f>
        <v/>
      </c>
      <c r="P134" s="62" t="str">
        <f aca="false">IF(O134="","",M134&amp;"-P"&amp;O134)</f>
        <v/>
      </c>
      <c r="Q134" s="62" t="str">
        <f aca="false">IF(AND(N134="Sí",E134="Plazo fijo",ISNUMBER(F134)),COUNTIFS(C_RUTN,M134,C_TIPO,"Plazo fijo",C_DEF,"Sí",C_INI,"&lt;"&amp;F134)+COUNTIFS(M$7:M134,M134,E$7:E134,"Plazo fijo",N$7:N134,"Sí",F$7:F134,F134),"")</f>
        <v/>
      </c>
      <c r="R134" s="62" t="str">
        <f aca="false">IF(AND(B134&lt;&gt;"",ISNUMBER(H134),ISNUMBER(F134)),COUNTIFS(C_RUTN,M134,C_SUELDO,"&lt;&gt;",C_INI,"&lt;"&amp;F134)+COUNTIFS(M$7:M134,M134,H$7:H134,"&lt;&gt;",F$7:F134,F134),"")</f>
        <v/>
      </c>
      <c r="S134" s="62" t="str">
        <f aca="false">IF(R134="","",M134&amp;"-S"&amp;R134)</f>
        <v/>
      </c>
    </row>
    <row r="135" customFormat="false" ht="15" hidden="false" customHeight="false" outlineLevel="0" collapsed="false">
      <c r="B135" s="58"/>
      <c r="C135" s="62" t="str">
        <f aca="false">IF(B135="","",IFERROR(INDEX(T_NOMBRE,MATCH(M135,T_RUTN,0)),"⚠ RUT no está en Trabajadores"))</f>
        <v/>
      </c>
      <c r="D135" s="58"/>
      <c r="E135" s="58"/>
      <c r="F135" s="59"/>
      <c r="G135" s="59"/>
      <c r="H135" s="60"/>
      <c r="I135" s="58"/>
      <c r="J135" s="58"/>
      <c r="K135" s="58"/>
      <c r="L135" s="62" t="str">
        <f aca="false">IF(B135="","",IF(LEFT(C135,1)="⚠","⚠ Registre primero al trabajador en la hoja Trabajadores",IF(AND(N135="Sí",OR(E135="",NOT(ISNUMBER(F135)))),"⚠ Falta tipo de contrato o fecha de inicio",IF(NOT(ISNUMBER(F135)),"⚠ Falta fecha de inicio",IF(AND(N135="Sí",E135&lt;&gt;"Indefinido",NOT(ISNUMBER(G135))),"⚠ Falta fecha de término",IF(AND(D135="Paso a indefinido",E135&lt;&gt;"Indefinido"),"⚠ Un paso a indefinido debe tener tipo Indefinido",IF(N(Q135)&gt;=3,"⚠ 3er contrato a plazo fijo: por ley ya es INDEFINIDO (Art. 159 N°4)",IF(AND(E135="Plazo fijo",ISNUMBER(G135),(G135-F135+1)/30.4375&gt;12),"⚠ Plazo fijo mayor a 1 año (máximo legal)",IF(J135&lt;&gt;"Sí","Pendiente de firma","OK")))))))))</f>
        <v/>
      </c>
      <c r="M135" s="62" t="str">
        <f aca="false">IF(B135="","",IFERROR(VALUE(LEFT(UPPER(SUBSTITUTE(SUBSTITUTE(SUBSTITUTE(TRIM(B135),".",""),"-","")," ","")),LEN(UPPER(SUBSTITUTE(SUBSTITUTE(SUBSTITUTE(TRIM(B135),".",""),"-","")," ","")))-1))&amp;RIGHT(UPPER(SUBSTITUTE(SUBSTITUTE(SUBSTITUTE(TRIM(B135),".",""),"-","")," ","")),1),UPPER(SUBSTITUTE(SUBSTITUTE(SUBSTITUTE(TRIM(B135),".",""),"-","")," ",""))))</f>
        <v/>
      </c>
      <c r="N135" s="62" t="str">
        <f aca="false">IF(B135="","",IF(D135="Anexo de modificación","No","Sí"))</f>
        <v/>
      </c>
      <c r="O135" s="62" t="str">
        <f aca="false">IF(AND(N135="Sí",ISNUMBER(F135)),COUNTIFS(C_RUTN,M135,C_DEF,"Sí",C_INI,"&lt;"&amp;F135)+COUNTIFS(M$7:M135,M135,N$7:N135,"Sí",F$7:F135,F135),"")</f>
        <v/>
      </c>
      <c r="P135" s="62" t="str">
        <f aca="false">IF(O135="","",M135&amp;"-P"&amp;O135)</f>
        <v/>
      </c>
      <c r="Q135" s="62" t="str">
        <f aca="false">IF(AND(N135="Sí",E135="Plazo fijo",ISNUMBER(F135)),COUNTIFS(C_RUTN,M135,C_TIPO,"Plazo fijo",C_DEF,"Sí",C_INI,"&lt;"&amp;F135)+COUNTIFS(M$7:M135,M135,E$7:E135,"Plazo fijo",N$7:N135,"Sí",F$7:F135,F135),"")</f>
        <v/>
      </c>
      <c r="R135" s="62" t="str">
        <f aca="false">IF(AND(B135&lt;&gt;"",ISNUMBER(H135),ISNUMBER(F135)),COUNTIFS(C_RUTN,M135,C_SUELDO,"&lt;&gt;",C_INI,"&lt;"&amp;F135)+COUNTIFS(M$7:M135,M135,H$7:H135,"&lt;&gt;",F$7:F135,F135),"")</f>
        <v/>
      </c>
      <c r="S135" s="62" t="str">
        <f aca="false">IF(R135="","",M135&amp;"-S"&amp;R135)</f>
        <v/>
      </c>
    </row>
    <row r="136" customFormat="false" ht="15" hidden="false" customHeight="false" outlineLevel="0" collapsed="false">
      <c r="B136" s="58"/>
      <c r="C136" s="62" t="str">
        <f aca="false">IF(B136="","",IFERROR(INDEX(T_NOMBRE,MATCH(M136,T_RUTN,0)),"⚠ RUT no está en Trabajadores"))</f>
        <v/>
      </c>
      <c r="D136" s="58"/>
      <c r="E136" s="58"/>
      <c r="F136" s="59"/>
      <c r="G136" s="59"/>
      <c r="H136" s="60"/>
      <c r="I136" s="58"/>
      <c r="J136" s="58"/>
      <c r="K136" s="58"/>
      <c r="L136" s="62" t="str">
        <f aca="false">IF(B136="","",IF(LEFT(C136,1)="⚠","⚠ Registre primero al trabajador en la hoja Trabajadores",IF(AND(N136="Sí",OR(E136="",NOT(ISNUMBER(F136)))),"⚠ Falta tipo de contrato o fecha de inicio",IF(NOT(ISNUMBER(F136)),"⚠ Falta fecha de inicio",IF(AND(N136="Sí",E136&lt;&gt;"Indefinido",NOT(ISNUMBER(G136))),"⚠ Falta fecha de término",IF(AND(D136="Paso a indefinido",E136&lt;&gt;"Indefinido"),"⚠ Un paso a indefinido debe tener tipo Indefinido",IF(N(Q136)&gt;=3,"⚠ 3er contrato a plazo fijo: por ley ya es INDEFINIDO (Art. 159 N°4)",IF(AND(E136="Plazo fijo",ISNUMBER(G136),(G136-F136+1)/30.4375&gt;12),"⚠ Plazo fijo mayor a 1 año (máximo legal)",IF(J136&lt;&gt;"Sí","Pendiente de firma","OK")))))))))</f>
        <v/>
      </c>
      <c r="M136" s="62" t="str">
        <f aca="false">IF(B136="","",IFERROR(VALUE(LEFT(UPPER(SUBSTITUTE(SUBSTITUTE(SUBSTITUTE(TRIM(B136),".",""),"-","")," ","")),LEN(UPPER(SUBSTITUTE(SUBSTITUTE(SUBSTITUTE(TRIM(B136),".",""),"-","")," ","")))-1))&amp;RIGHT(UPPER(SUBSTITUTE(SUBSTITUTE(SUBSTITUTE(TRIM(B136),".",""),"-","")," ","")),1),UPPER(SUBSTITUTE(SUBSTITUTE(SUBSTITUTE(TRIM(B136),".",""),"-","")," ",""))))</f>
        <v/>
      </c>
      <c r="N136" s="62" t="str">
        <f aca="false">IF(B136="","",IF(D136="Anexo de modificación","No","Sí"))</f>
        <v/>
      </c>
      <c r="O136" s="62" t="str">
        <f aca="false">IF(AND(N136="Sí",ISNUMBER(F136)),COUNTIFS(C_RUTN,M136,C_DEF,"Sí",C_INI,"&lt;"&amp;F136)+COUNTIFS(M$7:M136,M136,N$7:N136,"Sí",F$7:F136,F136),"")</f>
        <v/>
      </c>
      <c r="P136" s="62" t="str">
        <f aca="false">IF(O136="","",M136&amp;"-P"&amp;O136)</f>
        <v/>
      </c>
      <c r="Q136" s="62" t="str">
        <f aca="false">IF(AND(N136="Sí",E136="Plazo fijo",ISNUMBER(F136)),COUNTIFS(C_RUTN,M136,C_TIPO,"Plazo fijo",C_DEF,"Sí",C_INI,"&lt;"&amp;F136)+COUNTIFS(M$7:M136,M136,E$7:E136,"Plazo fijo",N$7:N136,"Sí",F$7:F136,F136),"")</f>
        <v/>
      </c>
      <c r="R136" s="62" t="str">
        <f aca="false">IF(AND(B136&lt;&gt;"",ISNUMBER(H136),ISNUMBER(F136)),COUNTIFS(C_RUTN,M136,C_SUELDO,"&lt;&gt;",C_INI,"&lt;"&amp;F136)+COUNTIFS(M$7:M136,M136,H$7:H136,"&lt;&gt;",F$7:F136,F136),"")</f>
        <v/>
      </c>
      <c r="S136" s="62" t="str">
        <f aca="false">IF(R136="","",M136&amp;"-S"&amp;R136)</f>
        <v/>
      </c>
    </row>
    <row r="137" customFormat="false" ht="15" hidden="false" customHeight="false" outlineLevel="0" collapsed="false">
      <c r="B137" s="58"/>
      <c r="C137" s="62" t="str">
        <f aca="false">IF(B137="","",IFERROR(INDEX(T_NOMBRE,MATCH(M137,T_RUTN,0)),"⚠ RUT no está en Trabajadores"))</f>
        <v/>
      </c>
      <c r="D137" s="58"/>
      <c r="E137" s="58"/>
      <c r="F137" s="59"/>
      <c r="G137" s="59"/>
      <c r="H137" s="60"/>
      <c r="I137" s="58"/>
      <c r="J137" s="58"/>
      <c r="K137" s="58"/>
      <c r="L137" s="62" t="str">
        <f aca="false">IF(B137="","",IF(LEFT(C137,1)="⚠","⚠ Registre primero al trabajador en la hoja Trabajadores",IF(AND(N137="Sí",OR(E137="",NOT(ISNUMBER(F137)))),"⚠ Falta tipo de contrato o fecha de inicio",IF(NOT(ISNUMBER(F137)),"⚠ Falta fecha de inicio",IF(AND(N137="Sí",E137&lt;&gt;"Indefinido",NOT(ISNUMBER(G137))),"⚠ Falta fecha de término",IF(AND(D137="Paso a indefinido",E137&lt;&gt;"Indefinido"),"⚠ Un paso a indefinido debe tener tipo Indefinido",IF(N(Q137)&gt;=3,"⚠ 3er contrato a plazo fijo: por ley ya es INDEFINIDO (Art. 159 N°4)",IF(AND(E137="Plazo fijo",ISNUMBER(G137),(G137-F137+1)/30.4375&gt;12),"⚠ Plazo fijo mayor a 1 año (máximo legal)",IF(J137&lt;&gt;"Sí","Pendiente de firma","OK")))))))))</f>
        <v/>
      </c>
      <c r="M137" s="62" t="str">
        <f aca="false">IF(B137="","",IFERROR(VALUE(LEFT(UPPER(SUBSTITUTE(SUBSTITUTE(SUBSTITUTE(TRIM(B137),".",""),"-","")," ","")),LEN(UPPER(SUBSTITUTE(SUBSTITUTE(SUBSTITUTE(TRIM(B137),".",""),"-","")," ","")))-1))&amp;RIGHT(UPPER(SUBSTITUTE(SUBSTITUTE(SUBSTITUTE(TRIM(B137),".",""),"-","")," ","")),1),UPPER(SUBSTITUTE(SUBSTITUTE(SUBSTITUTE(TRIM(B137),".",""),"-","")," ",""))))</f>
        <v/>
      </c>
      <c r="N137" s="62" t="str">
        <f aca="false">IF(B137="","",IF(D137="Anexo de modificación","No","Sí"))</f>
        <v/>
      </c>
      <c r="O137" s="62" t="str">
        <f aca="false">IF(AND(N137="Sí",ISNUMBER(F137)),COUNTIFS(C_RUTN,M137,C_DEF,"Sí",C_INI,"&lt;"&amp;F137)+COUNTIFS(M$7:M137,M137,N$7:N137,"Sí",F$7:F137,F137),"")</f>
        <v/>
      </c>
      <c r="P137" s="62" t="str">
        <f aca="false">IF(O137="","",M137&amp;"-P"&amp;O137)</f>
        <v/>
      </c>
      <c r="Q137" s="62" t="str">
        <f aca="false">IF(AND(N137="Sí",E137="Plazo fijo",ISNUMBER(F137)),COUNTIFS(C_RUTN,M137,C_TIPO,"Plazo fijo",C_DEF,"Sí",C_INI,"&lt;"&amp;F137)+COUNTIFS(M$7:M137,M137,E$7:E137,"Plazo fijo",N$7:N137,"Sí",F$7:F137,F137),"")</f>
        <v/>
      </c>
      <c r="R137" s="62" t="str">
        <f aca="false">IF(AND(B137&lt;&gt;"",ISNUMBER(H137),ISNUMBER(F137)),COUNTIFS(C_RUTN,M137,C_SUELDO,"&lt;&gt;",C_INI,"&lt;"&amp;F137)+COUNTIFS(M$7:M137,M137,H$7:H137,"&lt;&gt;",F$7:F137,F137),"")</f>
        <v/>
      </c>
      <c r="S137" s="62" t="str">
        <f aca="false">IF(R137="","",M137&amp;"-S"&amp;R137)</f>
        <v/>
      </c>
    </row>
    <row r="138" customFormat="false" ht="15" hidden="false" customHeight="false" outlineLevel="0" collapsed="false">
      <c r="B138" s="58"/>
      <c r="C138" s="62" t="str">
        <f aca="false">IF(B138="","",IFERROR(INDEX(T_NOMBRE,MATCH(M138,T_RUTN,0)),"⚠ RUT no está en Trabajadores"))</f>
        <v/>
      </c>
      <c r="D138" s="58"/>
      <c r="E138" s="58"/>
      <c r="F138" s="59"/>
      <c r="G138" s="59"/>
      <c r="H138" s="60"/>
      <c r="I138" s="58"/>
      <c r="J138" s="58"/>
      <c r="K138" s="58"/>
      <c r="L138" s="62" t="str">
        <f aca="false">IF(B138="","",IF(LEFT(C138,1)="⚠","⚠ Registre primero al trabajador en la hoja Trabajadores",IF(AND(N138="Sí",OR(E138="",NOT(ISNUMBER(F138)))),"⚠ Falta tipo de contrato o fecha de inicio",IF(NOT(ISNUMBER(F138)),"⚠ Falta fecha de inicio",IF(AND(N138="Sí",E138&lt;&gt;"Indefinido",NOT(ISNUMBER(G138))),"⚠ Falta fecha de término",IF(AND(D138="Paso a indefinido",E138&lt;&gt;"Indefinido"),"⚠ Un paso a indefinido debe tener tipo Indefinido",IF(N(Q138)&gt;=3,"⚠ 3er contrato a plazo fijo: por ley ya es INDEFINIDO (Art. 159 N°4)",IF(AND(E138="Plazo fijo",ISNUMBER(G138),(G138-F138+1)/30.4375&gt;12),"⚠ Plazo fijo mayor a 1 año (máximo legal)",IF(J138&lt;&gt;"Sí","Pendiente de firma","OK")))))))))</f>
        <v/>
      </c>
      <c r="M138" s="62" t="str">
        <f aca="false">IF(B138="","",IFERROR(VALUE(LEFT(UPPER(SUBSTITUTE(SUBSTITUTE(SUBSTITUTE(TRIM(B138),".",""),"-","")," ","")),LEN(UPPER(SUBSTITUTE(SUBSTITUTE(SUBSTITUTE(TRIM(B138),".",""),"-","")," ","")))-1))&amp;RIGHT(UPPER(SUBSTITUTE(SUBSTITUTE(SUBSTITUTE(TRIM(B138),".",""),"-","")," ","")),1),UPPER(SUBSTITUTE(SUBSTITUTE(SUBSTITUTE(TRIM(B138),".",""),"-","")," ",""))))</f>
        <v/>
      </c>
      <c r="N138" s="62" t="str">
        <f aca="false">IF(B138="","",IF(D138="Anexo de modificación","No","Sí"))</f>
        <v/>
      </c>
      <c r="O138" s="62" t="str">
        <f aca="false">IF(AND(N138="Sí",ISNUMBER(F138)),COUNTIFS(C_RUTN,M138,C_DEF,"Sí",C_INI,"&lt;"&amp;F138)+COUNTIFS(M$7:M138,M138,N$7:N138,"Sí",F$7:F138,F138),"")</f>
        <v/>
      </c>
      <c r="P138" s="62" t="str">
        <f aca="false">IF(O138="","",M138&amp;"-P"&amp;O138)</f>
        <v/>
      </c>
      <c r="Q138" s="62" t="str">
        <f aca="false">IF(AND(N138="Sí",E138="Plazo fijo",ISNUMBER(F138)),COUNTIFS(C_RUTN,M138,C_TIPO,"Plazo fijo",C_DEF,"Sí",C_INI,"&lt;"&amp;F138)+COUNTIFS(M$7:M138,M138,E$7:E138,"Plazo fijo",N$7:N138,"Sí",F$7:F138,F138),"")</f>
        <v/>
      </c>
      <c r="R138" s="62" t="str">
        <f aca="false">IF(AND(B138&lt;&gt;"",ISNUMBER(H138),ISNUMBER(F138)),COUNTIFS(C_RUTN,M138,C_SUELDO,"&lt;&gt;",C_INI,"&lt;"&amp;F138)+COUNTIFS(M$7:M138,M138,H$7:H138,"&lt;&gt;",F$7:F138,F138),"")</f>
        <v/>
      </c>
      <c r="S138" s="62" t="str">
        <f aca="false">IF(R138="","",M138&amp;"-S"&amp;R138)</f>
        <v/>
      </c>
    </row>
    <row r="139" customFormat="false" ht="15" hidden="false" customHeight="false" outlineLevel="0" collapsed="false">
      <c r="B139" s="58"/>
      <c r="C139" s="62" t="str">
        <f aca="false">IF(B139="","",IFERROR(INDEX(T_NOMBRE,MATCH(M139,T_RUTN,0)),"⚠ RUT no está en Trabajadores"))</f>
        <v/>
      </c>
      <c r="D139" s="58"/>
      <c r="E139" s="58"/>
      <c r="F139" s="59"/>
      <c r="G139" s="59"/>
      <c r="H139" s="60"/>
      <c r="I139" s="58"/>
      <c r="J139" s="58"/>
      <c r="K139" s="58"/>
      <c r="L139" s="62" t="str">
        <f aca="false">IF(B139="","",IF(LEFT(C139,1)="⚠","⚠ Registre primero al trabajador en la hoja Trabajadores",IF(AND(N139="Sí",OR(E139="",NOT(ISNUMBER(F139)))),"⚠ Falta tipo de contrato o fecha de inicio",IF(NOT(ISNUMBER(F139)),"⚠ Falta fecha de inicio",IF(AND(N139="Sí",E139&lt;&gt;"Indefinido",NOT(ISNUMBER(G139))),"⚠ Falta fecha de término",IF(AND(D139="Paso a indefinido",E139&lt;&gt;"Indefinido"),"⚠ Un paso a indefinido debe tener tipo Indefinido",IF(N(Q139)&gt;=3,"⚠ 3er contrato a plazo fijo: por ley ya es INDEFINIDO (Art. 159 N°4)",IF(AND(E139="Plazo fijo",ISNUMBER(G139),(G139-F139+1)/30.4375&gt;12),"⚠ Plazo fijo mayor a 1 año (máximo legal)",IF(J139&lt;&gt;"Sí","Pendiente de firma","OK")))))))))</f>
        <v/>
      </c>
      <c r="M139" s="62" t="str">
        <f aca="false">IF(B139="","",IFERROR(VALUE(LEFT(UPPER(SUBSTITUTE(SUBSTITUTE(SUBSTITUTE(TRIM(B139),".",""),"-","")," ","")),LEN(UPPER(SUBSTITUTE(SUBSTITUTE(SUBSTITUTE(TRIM(B139),".",""),"-","")," ","")))-1))&amp;RIGHT(UPPER(SUBSTITUTE(SUBSTITUTE(SUBSTITUTE(TRIM(B139),".",""),"-","")," ","")),1),UPPER(SUBSTITUTE(SUBSTITUTE(SUBSTITUTE(TRIM(B139),".",""),"-","")," ",""))))</f>
        <v/>
      </c>
      <c r="N139" s="62" t="str">
        <f aca="false">IF(B139="","",IF(D139="Anexo de modificación","No","Sí"))</f>
        <v/>
      </c>
      <c r="O139" s="62" t="str">
        <f aca="false">IF(AND(N139="Sí",ISNUMBER(F139)),COUNTIFS(C_RUTN,M139,C_DEF,"Sí",C_INI,"&lt;"&amp;F139)+COUNTIFS(M$7:M139,M139,N$7:N139,"Sí",F$7:F139,F139),"")</f>
        <v/>
      </c>
      <c r="P139" s="62" t="str">
        <f aca="false">IF(O139="","",M139&amp;"-P"&amp;O139)</f>
        <v/>
      </c>
      <c r="Q139" s="62" t="str">
        <f aca="false">IF(AND(N139="Sí",E139="Plazo fijo",ISNUMBER(F139)),COUNTIFS(C_RUTN,M139,C_TIPO,"Plazo fijo",C_DEF,"Sí",C_INI,"&lt;"&amp;F139)+COUNTIFS(M$7:M139,M139,E$7:E139,"Plazo fijo",N$7:N139,"Sí",F$7:F139,F139),"")</f>
        <v/>
      </c>
      <c r="R139" s="62" t="str">
        <f aca="false">IF(AND(B139&lt;&gt;"",ISNUMBER(H139),ISNUMBER(F139)),COUNTIFS(C_RUTN,M139,C_SUELDO,"&lt;&gt;",C_INI,"&lt;"&amp;F139)+COUNTIFS(M$7:M139,M139,H$7:H139,"&lt;&gt;",F$7:F139,F139),"")</f>
        <v/>
      </c>
      <c r="S139" s="62" t="str">
        <f aca="false">IF(R139="","",M139&amp;"-S"&amp;R139)</f>
        <v/>
      </c>
    </row>
    <row r="140" customFormat="false" ht="15" hidden="false" customHeight="false" outlineLevel="0" collapsed="false">
      <c r="B140" s="58"/>
      <c r="C140" s="62" t="str">
        <f aca="false">IF(B140="","",IFERROR(INDEX(T_NOMBRE,MATCH(M140,T_RUTN,0)),"⚠ RUT no está en Trabajadores"))</f>
        <v/>
      </c>
      <c r="D140" s="58"/>
      <c r="E140" s="58"/>
      <c r="F140" s="59"/>
      <c r="G140" s="59"/>
      <c r="H140" s="60"/>
      <c r="I140" s="58"/>
      <c r="J140" s="58"/>
      <c r="K140" s="58"/>
      <c r="L140" s="62" t="str">
        <f aca="false">IF(B140="","",IF(LEFT(C140,1)="⚠","⚠ Registre primero al trabajador en la hoja Trabajadores",IF(AND(N140="Sí",OR(E140="",NOT(ISNUMBER(F140)))),"⚠ Falta tipo de contrato o fecha de inicio",IF(NOT(ISNUMBER(F140)),"⚠ Falta fecha de inicio",IF(AND(N140="Sí",E140&lt;&gt;"Indefinido",NOT(ISNUMBER(G140))),"⚠ Falta fecha de término",IF(AND(D140="Paso a indefinido",E140&lt;&gt;"Indefinido"),"⚠ Un paso a indefinido debe tener tipo Indefinido",IF(N(Q140)&gt;=3,"⚠ 3er contrato a plazo fijo: por ley ya es INDEFINIDO (Art. 159 N°4)",IF(AND(E140="Plazo fijo",ISNUMBER(G140),(G140-F140+1)/30.4375&gt;12),"⚠ Plazo fijo mayor a 1 año (máximo legal)",IF(J140&lt;&gt;"Sí","Pendiente de firma","OK")))))))))</f>
        <v/>
      </c>
      <c r="M140" s="62" t="str">
        <f aca="false">IF(B140="","",IFERROR(VALUE(LEFT(UPPER(SUBSTITUTE(SUBSTITUTE(SUBSTITUTE(TRIM(B140),".",""),"-","")," ","")),LEN(UPPER(SUBSTITUTE(SUBSTITUTE(SUBSTITUTE(TRIM(B140),".",""),"-","")," ","")))-1))&amp;RIGHT(UPPER(SUBSTITUTE(SUBSTITUTE(SUBSTITUTE(TRIM(B140),".",""),"-","")," ","")),1),UPPER(SUBSTITUTE(SUBSTITUTE(SUBSTITUTE(TRIM(B140),".",""),"-","")," ",""))))</f>
        <v/>
      </c>
      <c r="N140" s="62" t="str">
        <f aca="false">IF(B140="","",IF(D140="Anexo de modificación","No","Sí"))</f>
        <v/>
      </c>
      <c r="O140" s="62" t="str">
        <f aca="false">IF(AND(N140="Sí",ISNUMBER(F140)),COUNTIFS(C_RUTN,M140,C_DEF,"Sí",C_INI,"&lt;"&amp;F140)+COUNTIFS(M$7:M140,M140,N$7:N140,"Sí",F$7:F140,F140),"")</f>
        <v/>
      </c>
      <c r="P140" s="62" t="str">
        <f aca="false">IF(O140="","",M140&amp;"-P"&amp;O140)</f>
        <v/>
      </c>
      <c r="Q140" s="62" t="str">
        <f aca="false">IF(AND(N140="Sí",E140="Plazo fijo",ISNUMBER(F140)),COUNTIFS(C_RUTN,M140,C_TIPO,"Plazo fijo",C_DEF,"Sí",C_INI,"&lt;"&amp;F140)+COUNTIFS(M$7:M140,M140,E$7:E140,"Plazo fijo",N$7:N140,"Sí",F$7:F140,F140),"")</f>
        <v/>
      </c>
      <c r="R140" s="62" t="str">
        <f aca="false">IF(AND(B140&lt;&gt;"",ISNUMBER(H140),ISNUMBER(F140)),COUNTIFS(C_RUTN,M140,C_SUELDO,"&lt;&gt;",C_INI,"&lt;"&amp;F140)+COUNTIFS(M$7:M140,M140,H$7:H140,"&lt;&gt;",F$7:F140,F140),"")</f>
        <v/>
      </c>
      <c r="S140" s="62" t="str">
        <f aca="false">IF(R140="","",M140&amp;"-S"&amp;R140)</f>
        <v/>
      </c>
    </row>
    <row r="141" customFormat="false" ht="15" hidden="false" customHeight="false" outlineLevel="0" collapsed="false">
      <c r="B141" s="58"/>
      <c r="C141" s="62" t="str">
        <f aca="false">IF(B141="","",IFERROR(INDEX(T_NOMBRE,MATCH(M141,T_RUTN,0)),"⚠ RUT no está en Trabajadores"))</f>
        <v/>
      </c>
      <c r="D141" s="58"/>
      <c r="E141" s="58"/>
      <c r="F141" s="59"/>
      <c r="G141" s="59"/>
      <c r="H141" s="60"/>
      <c r="I141" s="58"/>
      <c r="J141" s="58"/>
      <c r="K141" s="58"/>
      <c r="L141" s="62" t="str">
        <f aca="false">IF(B141="","",IF(LEFT(C141,1)="⚠","⚠ Registre primero al trabajador en la hoja Trabajadores",IF(AND(N141="Sí",OR(E141="",NOT(ISNUMBER(F141)))),"⚠ Falta tipo de contrato o fecha de inicio",IF(NOT(ISNUMBER(F141)),"⚠ Falta fecha de inicio",IF(AND(N141="Sí",E141&lt;&gt;"Indefinido",NOT(ISNUMBER(G141))),"⚠ Falta fecha de término",IF(AND(D141="Paso a indefinido",E141&lt;&gt;"Indefinido"),"⚠ Un paso a indefinido debe tener tipo Indefinido",IF(N(Q141)&gt;=3,"⚠ 3er contrato a plazo fijo: por ley ya es INDEFINIDO (Art. 159 N°4)",IF(AND(E141="Plazo fijo",ISNUMBER(G141),(G141-F141+1)/30.4375&gt;12),"⚠ Plazo fijo mayor a 1 año (máximo legal)",IF(J141&lt;&gt;"Sí","Pendiente de firma","OK")))))))))</f>
        <v/>
      </c>
      <c r="M141" s="62" t="str">
        <f aca="false">IF(B141="","",IFERROR(VALUE(LEFT(UPPER(SUBSTITUTE(SUBSTITUTE(SUBSTITUTE(TRIM(B141),".",""),"-","")," ","")),LEN(UPPER(SUBSTITUTE(SUBSTITUTE(SUBSTITUTE(TRIM(B141),".",""),"-","")," ","")))-1))&amp;RIGHT(UPPER(SUBSTITUTE(SUBSTITUTE(SUBSTITUTE(TRIM(B141),".",""),"-","")," ","")),1),UPPER(SUBSTITUTE(SUBSTITUTE(SUBSTITUTE(TRIM(B141),".",""),"-","")," ",""))))</f>
        <v/>
      </c>
      <c r="N141" s="62" t="str">
        <f aca="false">IF(B141="","",IF(D141="Anexo de modificación","No","Sí"))</f>
        <v/>
      </c>
      <c r="O141" s="62" t="str">
        <f aca="false">IF(AND(N141="Sí",ISNUMBER(F141)),COUNTIFS(C_RUTN,M141,C_DEF,"Sí",C_INI,"&lt;"&amp;F141)+COUNTIFS(M$7:M141,M141,N$7:N141,"Sí",F$7:F141,F141),"")</f>
        <v/>
      </c>
      <c r="P141" s="62" t="str">
        <f aca="false">IF(O141="","",M141&amp;"-P"&amp;O141)</f>
        <v/>
      </c>
      <c r="Q141" s="62" t="str">
        <f aca="false">IF(AND(N141="Sí",E141="Plazo fijo",ISNUMBER(F141)),COUNTIFS(C_RUTN,M141,C_TIPO,"Plazo fijo",C_DEF,"Sí",C_INI,"&lt;"&amp;F141)+COUNTIFS(M$7:M141,M141,E$7:E141,"Plazo fijo",N$7:N141,"Sí",F$7:F141,F141),"")</f>
        <v/>
      </c>
      <c r="R141" s="62" t="str">
        <f aca="false">IF(AND(B141&lt;&gt;"",ISNUMBER(H141),ISNUMBER(F141)),COUNTIFS(C_RUTN,M141,C_SUELDO,"&lt;&gt;",C_INI,"&lt;"&amp;F141)+COUNTIFS(M$7:M141,M141,H$7:H141,"&lt;&gt;",F$7:F141,F141),"")</f>
        <v/>
      </c>
      <c r="S141" s="62" t="str">
        <f aca="false">IF(R141="","",M141&amp;"-S"&amp;R141)</f>
        <v/>
      </c>
    </row>
    <row r="142" customFormat="false" ht="15" hidden="false" customHeight="false" outlineLevel="0" collapsed="false">
      <c r="B142" s="58"/>
      <c r="C142" s="62" t="str">
        <f aca="false">IF(B142="","",IFERROR(INDEX(T_NOMBRE,MATCH(M142,T_RUTN,0)),"⚠ RUT no está en Trabajadores"))</f>
        <v/>
      </c>
      <c r="D142" s="58"/>
      <c r="E142" s="58"/>
      <c r="F142" s="59"/>
      <c r="G142" s="59"/>
      <c r="H142" s="60"/>
      <c r="I142" s="58"/>
      <c r="J142" s="58"/>
      <c r="K142" s="58"/>
      <c r="L142" s="62" t="str">
        <f aca="false">IF(B142="","",IF(LEFT(C142,1)="⚠","⚠ Registre primero al trabajador en la hoja Trabajadores",IF(AND(N142="Sí",OR(E142="",NOT(ISNUMBER(F142)))),"⚠ Falta tipo de contrato o fecha de inicio",IF(NOT(ISNUMBER(F142)),"⚠ Falta fecha de inicio",IF(AND(N142="Sí",E142&lt;&gt;"Indefinido",NOT(ISNUMBER(G142))),"⚠ Falta fecha de término",IF(AND(D142="Paso a indefinido",E142&lt;&gt;"Indefinido"),"⚠ Un paso a indefinido debe tener tipo Indefinido",IF(N(Q142)&gt;=3,"⚠ 3er contrato a plazo fijo: por ley ya es INDEFINIDO (Art. 159 N°4)",IF(AND(E142="Plazo fijo",ISNUMBER(G142),(G142-F142+1)/30.4375&gt;12),"⚠ Plazo fijo mayor a 1 año (máximo legal)",IF(J142&lt;&gt;"Sí","Pendiente de firma","OK")))))))))</f>
        <v/>
      </c>
      <c r="M142" s="62" t="str">
        <f aca="false">IF(B142="","",IFERROR(VALUE(LEFT(UPPER(SUBSTITUTE(SUBSTITUTE(SUBSTITUTE(TRIM(B142),".",""),"-","")," ","")),LEN(UPPER(SUBSTITUTE(SUBSTITUTE(SUBSTITUTE(TRIM(B142),".",""),"-","")," ","")))-1))&amp;RIGHT(UPPER(SUBSTITUTE(SUBSTITUTE(SUBSTITUTE(TRIM(B142),".",""),"-","")," ","")),1),UPPER(SUBSTITUTE(SUBSTITUTE(SUBSTITUTE(TRIM(B142),".",""),"-","")," ",""))))</f>
        <v/>
      </c>
      <c r="N142" s="62" t="str">
        <f aca="false">IF(B142="","",IF(D142="Anexo de modificación","No","Sí"))</f>
        <v/>
      </c>
      <c r="O142" s="62" t="str">
        <f aca="false">IF(AND(N142="Sí",ISNUMBER(F142)),COUNTIFS(C_RUTN,M142,C_DEF,"Sí",C_INI,"&lt;"&amp;F142)+COUNTIFS(M$7:M142,M142,N$7:N142,"Sí",F$7:F142,F142),"")</f>
        <v/>
      </c>
      <c r="P142" s="62" t="str">
        <f aca="false">IF(O142="","",M142&amp;"-P"&amp;O142)</f>
        <v/>
      </c>
      <c r="Q142" s="62" t="str">
        <f aca="false">IF(AND(N142="Sí",E142="Plazo fijo",ISNUMBER(F142)),COUNTIFS(C_RUTN,M142,C_TIPO,"Plazo fijo",C_DEF,"Sí",C_INI,"&lt;"&amp;F142)+COUNTIFS(M$7:M142,M142,E$7:E142,"Plazo fijo",N$7:N142,"Sí",F$7:F142,F142),"")</f>
        <v/>
      </c>
      <c r="R142" s="62" t="str">
        <f aca="false">IF(AND(B142&lt;&gt;"",ISNUMBER(H142),ISNUMBER(F142)),COUNTIFS(C_RUTN,M142,C_SUELDO,"&lt;&gt;",C_INI,"&lt;"&amp;F142)+COUNTIFS(M$7:M142,M142,H$7:H142,"&lt;&gt;",F$7:F142,F142),"")</f>
        <v/>
      </c>
      <c r="S142" s="62" t="str">
        <f aca="false">IF(R142="","",M142&amp;"-S"&amp;R142)</f>
        <v/>
      </c>
    </row>
    <row r="143" customFormat="false" ht="15" hidden="false" customHeight="false" outlineLevel="0" collapsed="false">
      <c r="B143" s="58"/>
      <c r="C143" s="62" t="str">
        <f aca="false">IF(B143="","",IFERROR(INDEX(T_NOMBRE,MATCH(M143,T_RUTN,0)),"⚠ RUT no está en Trabajadores"))</f>
        <v/>
      </c>
      <c r="D143" s="58"/>
      <c r="E143" s="58"/>
      <c r="F143" s="59"/>
      <c r="G143" s="59"/>
      <c r="H143" s="60"/>
      <c r="I143" s="58"/>
      <c r="J143" s="58"/>
      <c r="K143" s="58"/>
      <c r="L143" s="62" t="str">
        <f aca="false">IF(B143="","",IF(LEFT(C143,1)="⚠","⚠ Registre primero al trabajador en la hoja Trabajadores",IF(AND(N143="Sí",OR(E143="",NOT(ISNUMBER(F143)))),"⚠ Falta tipo de contrato o fecha de inicio",IF(NOT(ISNUMBER(F143)),"⚠ Falta fecha de inicio",IF(AND(N143="Sí",E143&lt;&gt;"Indefinido",NOT(ISNUMBER(G143))),"⚠ Falta fecha de término",IF(AND(D143="Paso a indefinido",E143&lt;&gt;"Indefinido"),"⚠ Un paso a indefinido debe tener tipo Indefinido",IF(N(Q143)&gt;=3,"⚠ 3er contrato a plazo fijo: por ley ya es INDEFINIDO (Art. 159 N°4)",IF(AND(E143="Plazo fijo",ISNUMBER(G143),(G143-F143+1)/30.4375&gt;12),"⚠ Plazo fijo mayor a 1 año (máximo legal)",IF(J143&lt;&gt;"Sí","Pendiente de firma","OK")))))))))</f>
        <v/>
      </c>
      <c r="M143" s="62" t="str">
        <f aca="false">IF(B143="","",IFERROR(VALUE(LEFT(UPPER(SUBSTITUTE(SUBSTITUTE(SUBSTITUTE(TRIM(B143),".",""),"-","")," ","")),LEN(UPPER(SUBSTITUTE(SUBSTITUTE(SUBSTITUTE(TRIM(B143),".",""),"-","")," ","")))-1))&amp;RIGHT(UPPER(SUBSTITUTE(SUBSTITUTE(SUBSTITUTE(TRIM(B143),".",""),"-","")," ","")),1),UPPER(SUBSTITUTE(SUBSTITUTE(SUBSTITUTE(TRIM(B143),".",""),"-","")," ",""))))</f>
        <v/>
      </c>
      <c r="N143" s="62" t="str">
        <f aca="false">IF(B143="","",IF(D143="Anexo de modificación","No","Sí"))</f>
        <v/>
      </c>
      <c r="O143" s="62" t="str">
        <f aca="false">IF(AND(N143="Sí",ISNUMBER(F143)),COUNTIFS(C_RUTN,M143,C_DEF,"Sí",C_INI,"&lt;"&amp;F143)+COUNTIFS(M$7:M143,M143,N$7:N143,"Sí",F$7:F143,F143),"")</f>
        <v/>
      </c>
      <c r="P143" s="62" t="str">
        <f aca="false">IF(O143="","",M143&amp;"-P"&amp;O143)</f>
        <v/>
      </c>
      <c r="Q143" s="62" t="str">
        <f aca="false">IF(AND(N143="Sí",E143="Plazo fijo",ISNUMBER(F143)),COUNTIFS(C_RUTN,M143,C_TIPO,"Plazo fijo",C_DEF,"Sí",C_INI,"&lt;"&amp;F143)+COUNTIFS(M$7:M143,M143,E$7:E143,"Plazo fijo",N$7:N143,"Sí",F$7:F143,F143),"")</f>
        <v/>
      </c>
      <c r="R143" s="62" t="str">
        <f aca="false">IF(AND(B143&lt;&gt;"",ISNUMBER(H143),ISNUMBER(F143)),COUNTIFS(C_RUTN,M143,C_SUELDO,"&lt;&gt;",C_INI,"&lt;"&amp;F143)+COUNTIFS(M$7:M143,M143,H$7:H143,"&lt;&gt;",F$7:F143,F143),"")</f>
        <v/>
      </c>
      <c r="S143" s="62" t="str">
        <f aca="false">IF(R143="","",M143&amp;"-S"&amp;R143)</f>
        <v/>
      </c>
    </row>
    <row r="144" customFormat="false" ht="15" hidden="false" customHeight="false" outlineLevel="0" collapsed="false">
      <c r="B144" s="58"/>
      <c r="C144" s="62" t="str">
        <f aca="false">IF(B144="","",IFERROR(INDEX(T_NOMBRE,MATCH(M144,T_RUTN,0)),"⚠ RUT no está en Trabajadores"))</f>
        <v/>
      </c>
      <c r="D144" s="58"/>
      <c r="E144" s="58"/>
      <c r="F144" s="59"/>
      <c r="G144" s="59"/>
      <c r="H144" s="60"/>
      <c r="I144" s="58"/>
      <c r="J144" s="58"/>
      <c r="K144" s="58"/>
      <c r="L144" s="62" t="str">
        <f aca="false">IF(B144="","",IF(LEFT(C144,1)="⚠","⚠ Registre primero al trabajador en la hoja Trabajadores",IF(AND(N144="Sí",OR(E144="",NOT(ISNUMBER(F144)))),"⚠ Falta tipo de contrato o fecha de inicio",IF(NOT(ISNUMBER(F144)),"⚠ Falta fecha de inicio",IF(AND(N144="Sí",E144&lt;&gt;"Indefinido",NOT(ISNUMBER(G144))),"⚠ Falta fecha de término",IF(AND(D144="Paso a indefinido",E144&lt;&gt;"Indefinido"),"⚠ Un paso a indefinido debe tener tipo Indefinido",IF(N(Q144)&gt;=3,"⚠ 3er contrato a plazo fijo: por ley ya es INDEFINIDO (Art. 159 N°4)",IF(AND(E144="Plazo fijo",ISNUMBER(G144),(G144-F144+1)/30.4375&gt;12),"⚠ Plazo fijo mayor a 1 año (máximo legal)",IF(J144&lt;&gt;"Sí","Pendiente de firma","OK")))))))))</f>
        <v/>
      </c>
      <c r="M144" s="62" t="str">
        <f aca="false">IF(B144="","",IFERROR(VALUE(LEFT(UPPER(SUBSTITUTE(SUBSTITUTE(SUBSTITUTE(TRIM(B144),".",""),"-","")," ","")),LEN(UPPER(SUBSTITUTE(SUBSTITUTE(SUBSTITUTE(TRIM(B144),".",""),"-","")," ","")))-1))&amp;RIGHT(UPPER(SUBSTITUTE(SUBSTITUTE(SUBSTITUTE(TRIM(B144),".",""),"-","")," ","")),1),UPPER(SUBSTITUTE(SUBSTITUTE(SUBSTITUTE(TRIM(B144),".",""),"-","")," ",""))))</f>
        <v/>
      </c>
      <c r="N144" s="62" t="str">
        <f aca="false">IF(B144="","",IF(D144="Anexo de modificación","No","Sí"))</f>
        <v/>
      </c>
      <c r="O144" s="62" t="str">
        <f aca="false">IF(AND(N144="Sí",ISNUMBER(F144)),COUNTIFS(C_RUTN,M144,C_DEF,"Sí",C_INI,"&lt;"&amp;F144)+COUNTIFS(M$7:M144,M144,N$7:N144,"Sí",F$7:F144,F144),"")</f>
        <v/>
      </c>
      <c r="P144" s="62" t="str">
        <f aca="false">IF(O144="","",M144&amp;"-P"&amp;O144)</f>
        <v/>
      </c>
      <c r="Q144" s="62" t="str">
        <f aca="false">IF(AND(N144="Sí",E144="Plazo fijo",ISNUMBER(F144)),COUNTIFS(C_RUTN,M144,C_TIPO,"Plazo fijo",C_DEF,"Sí",C_INI,"&lt;"&amp;F144)+COUNTIFS(M$7:M144,M144,E$7:E144,"Plazo fijo",N$7:N144,"Sí",F$7:F144,F144),"")</f>
        <v/>
      </c>
      <c r="R144" s="62" t="str">
        <f aca="false">IF(AND(B144&lt;&gt;"",ISNUMBER(H144),ISNUMBER(F144)),COUNTIFS(C_RUTN,M144,C_SUELDO,"&lt;&gt;",C_INI,"&lt;"&amp;F144)+COUNTIFS(M$7:M144,M144,H$7:H144,"&lt;&gt;",F$7:F144,F144),"")</f>
        <v/>
      </c>
      <c r="S144" s="62" t="str">
        <f aca="false">IF(R144="","",M144&amp;"-S"&amp;R144)</f>
        <v/>
      </c>
    </row>
    <row r="145" customFormat="false" ht="15" hidden="false" customHeight="false" outlineLevel="0" collapsed="false">
      <c r="B145" s="58"/>
      <c r="C145" s="62" t="str">
        <f aca="false">IF(B145="","",IFERROR(INDEX(T_NOMBRE,MATCH(M145,T_RUTN,0)),"⚠ RUT no está en Trabajadores"))</f>
        <v/>
      </c>
      <c r="D145" s="58"/>
      <c r="E145" s="58"/>
      <c r="F145" s="59"/>
      <c r="G145" s="59"/>
      <c r="H145" s="60"/>
      <c r="I145" s="58"/>
      <c r="J145" s="58"/>
      <c r="K145" s="58"/>
      <c r="L145" s="62" t="str">
        <f aca="false">IF(B145="","",IF(LEFT(C145,1)="⚠","⚠ Registre primero al trabajador en la hoja Trabajadores",IF(AND(N145="Sí",OR(E145="",NOT(ISNUMBER(F145)))),"⚠ Falta tipo de contrato o fecha de inicio",IF(NOT(ISNUMBER(F145)),"⚠ Falta fecha de inicio",IF(AND(N145="Sí",E145&lt;&gt;"Indefinido",NOT(ISNUMBER(G145))),"⚠ Falta fecha de término",IF(AND(D145="Paso a indefinido",E145&lt;&gt;"Indefinido"),"⚠ Un paso a indefinido debe tener tipo Indefinido",IF(N(Q145)&gt;=3,"⚠ 3er contrato a plazo fijo: por ley ya es INDEFINIDO (Art. 159 N°4)",IF(AND(E145="Plazo fijo",ISNUMBER(G145),(G145-F145+1)/30.4375&gt;12),"⚠ Plazo fijo mayor a 1 año (máximo legal)",IF(J145&lt;&gt;"Sí","Pendiente de firma","OK")))))))))</f>
        <v/>
      </c>
      <c r="M145" s="62" t="str">
        <f aca="false">IF(B145="","",IFERROR(VALUE(LEFT(UPPER(SUBSTITUTE(SUBSTITUTE(SUBSTITUTE(TRIM(B145),".",""),"-","")," ","")),LEN(UPPER(SUBSTITUTE(SUBSTITUTE(SUBSTITUTE(TRIM(B145),".",""),"-","")," ","")))-1))&amp;RIGHT(UPPER(SUBSTITUTE(SUBSTITUTE(SUBSTITUTE(TRIM(B145),".",""),"-","")," ","")),1),UPPER(SUBSTITUTE(SUBSTITUTE(SUBSTITUTE(TRIM(B145),".",""),"-","")," ",""))))</f>
        <v/>
      </c>
      <c r="N145" s="62" t="str">
        <f aca="false">IF(B145="","",IF(D145="Anexo de modificación","No","Sí"))</f>
        <v/>
      </c>
      <c r="O145" s="62" t="str">
        <f aca="false">IF(AND(N145="Sí",ISNUMBER(F145)),COUNTIFS(C_RUTN,M145,C_DEF,"Sí",C_INI,"&lt;"&amp;F145)+COUNTIFS(M$7:M145,M145,N$7:N145,"Sí",F$7:F145,F145),"")</f>
        <v/>
      </c>
      <c r="P145" s="62" t="str">
        <f aca="false">IF(O145="","",M145&amp;"-P"&amp;O145)</f>
        <v/>
      </c>
      <c r="Q145" s="62" t="str">
        <f aca="false">IF(AND(N145="Sí",E145="Plazo fijo",ISNUMBER(F145)),COUNTIFS(C_RUTN,M145,C_TIPO,"Plazo fijo",C_DEF,"Sí",C_INI,"&lt;"&amp;F145)+COUNTIFS(M$7:M145,M145,E$7:E145,"Plazo fijo",N$7:N145,"Sí",F$7:F145,F145),"")</f>
        <v/>
      </c>
      <c r="R145" s="62" t="str">
        <f aca="false">IF(AND(B145&lt;&gt;"",ISNUMBER(H145),ISNUMBER(F145)),COUNTIFS(C_RUTN,M145,C_SUELDO,"&lt;&gt;",C_INI,"&lt;"&amp;F145)+COUNTIFS(M$7:M145,M145,H$7:H145,"&lt;&gt;",F$7:F145,F145),"")</f>
        <v/>
      </c>
      <c r="S145" s="62" t="str">
        <f aca="false">IF(R145="","",M145&amp;"-S"&amp;R145)</f>
        <v/>
      </c>
    </row>
    <row r="146" customFormat="false" ht="15" hidden="false" customHeight="false" outlineLevel="0" collapsed="false">
      <c r="B146" s="58"/>
      <c r="C146" s="62" t="str">
        <f aca="false">IF(B146="","",IFERROR(INDEX(T_NOMBRE,MATCH(M146,T_RUTN,0)),"⚠ RUT no está en Trabajadores"))</f>
        <v/>
      </c>
      <c r="D146" s="58"/>
      <c r="E146" s="58"/>
      <c r="F146" s="59"/>
      <c r="G146" s="59"/>
      <c r="H146" s="60"/>
      <c r="I146" s="58"/>
      <c r="J146" s="58"/>
      <c r="K146" s="58"/>
      <c r="L146" s="62" t="str">
        <f aca="false">IF(B146="","",IF(LEFT(C146,1)="⚠","⚠ Registre primero al trabajador en la hoja Trabajadores",IF(AND(N146="Sí",OR(E146="",NOT(ISNUMBER(F146)))),"⚠ Falta tipo de contrato o fecha de inicio",IF(NOT(ISNUMBER(F146)),"⚠ Falta fecha de inicio",IF(AND(N146="Sí",E146&lt;&gt;"Indefinido",NOT(ISNUMBER(G146))),"⚠ Falta fecha de término",IF(AND(D146="Paso a indefinido",E146&lt;&gt;"Indefinido"),"⚠ Un paso a indefinido debe tener tipo Indefinido",IF(N(Q146)&gt;=3,"⚠ 3er contrato a plazo fijo: por ley ya es INDEFINIDO (Art. 159 N°4)",IF(AND(E146="Plazo fijo",ISNUMBER(G146),(G146-F146+1)/30.4375&gt;12),"⚠ Plazo fijo mayor a 1 año (máximo legal)",IF(J146&lt;&gt;"Sí","Pendiente de firma","OK")))))))))</f>
        <v/>
      </c>
      <c r="M146" s="62" t="str">
        <f aca="false">IF(B146="","",IFERROR(VALUE(LEFT(UPPER(SUBSTITUTE(SUBSTITUTE(SUBSTITUTE(TRIM(B146),".",""),"-","")," ","")),LEN(UPPER(SUBSTITUTE(SUBSTITUTE(SUBSTITUTE(TRIM(B146),".",""),"-","")," ","")))-1))&amp;RIGHT(UPPER(SUBSTITUTE(SUBSTITUTE(SUBSTITUTE(TRIM(B146),".",""),"-","")," ","")),1),UPPER(SUBSTITUTE(SUBSTITUTE(SUBSTITUTE(TRIM(B146),".",""),"-","")," ",""))))</f>
        <v/>
      </c>
      <c r="N146" s="62" t="str">
        <f aca="false">IF(B146="","",IF(D146="Anexo de modificación","No","Sí"))</f>
        <v/>
      </c>
      <c r="O146" s="62" t="str">
        <f aca="false">IF(AND(N146="Sí",ISNUMBER(F146)),COUNTIFS(C_RUTN,M146,C_DEF,"Sí",C_INI,"&lt;"&amp;F146)+COUNTIFS(M$7:M146,M146,N$7:N146,"Sí",F$7:F146,F146),"")</f>
        <v/>
      </c>
      <c r="P146" s="62" t="str">
        <f aca="false">IF(O146="","",M146&amp;"-P"&amp;O146)</f>
        <v/>
      </c>
      <c r="Q146" s="62" t="str">
        <f aca="false">IF(AND(N146="Sí",E146="Plazo fijo",ISNUMBER(F146)),COUNTIFS(C_RUTN,M146,C_TIPO,"Plazo fijo",C_DEF,"Sí",C_INI,"&lt;"&amp;F146)+COUNTIFS(M$7:M146,M146,E$7:E146,"Plazo fijo",N$7:N146,"Sí",F$7:F146,F146),"")</f>
        <v/>
      </c>
      <c r="R146" s="62" t="str">
        <f aca="false">IF(AND(B146&lt;&gt;"",ISNUMBER(H146),ISNUMBER(F146)),COUNTIFS(C_RUTN,M146,C_SUELDO,"&lt;&gt;",C_INI,"&lt;"&amp;F146)+COUNTIFS(M$7:M146,M146,H$7:H146,"&lt;&gt;",F$7:F146,F146),"")</f>
        <v/>
      </c>
      <c r="S146" s="62" t="str">
        <f aca="false">IF(R146="","",M146&amp;"-S"&amp;R146)</f>
        <v/>
      </c>
    </row>
    <row r="147" customFormat="false" ht="15" hidden="false" customHeight="false" outlineLevel="0" collapsed="false">
      <c r="B147" s="58"/>
      <c r="C147" s="62" t="str">
        <f aca="false">IF(B147="","",IFERROR(INDEX(T_NOMBRE,MATCH(M147,T_RUTN,0)),"⚠ RUT no está en Trabajadores"))</f>
        <v/>
      </c>
      <c r="D147" s="58"/>
      <c r="E147" s="58"/>
      <c r="F147" s="59"/>
      <c r="G147" s="59"/>
      <c r="H147" s="60"/>
      <c r="I147" s="58"/>
      <c r="J147" s="58"/>
      <c r="K147" s="58"/>
      <c r="L147" s="62" t="str">
        <f aca="false">IF(B147="","",IF(LEFT(C147,1)="⚠","⚠ Registre primero al trabajador en la hoja Trabajadores",IF(AND(N147="Sí",OR(E147="",NOT(ISNUMBER(F147)))),"⚠ Falta tipo de contrato o fecha de inicio",IF(NOT(ISNUMBER(F147)),"⚠ Falta fecha de inicio",IF(AND(N147="Sí",E147&lt;&gt;"Indefinido",NOT(ISNUMBER(G147))),"⚠ Falta fecha de término",IF(AND(D147="Paso a indefinido",E147&lt;&gt;"Indefinido"),"⚠ Un paso a indefinido debe tener tipo Indefinido",IF(N(Q147)&gt;=3,"⚠ 3er contrato a plazo fijo: por ley ya es INDEFINIDO (Art. 159 N°4)",IF(AND(E147="Plazo fijo",ISNUMBER(G147),(G147-F147+1)/30.4375&gt;12),"⚠ Plazo fijo mayor a 1 año (máximo legal)",IF(J147&lt;&gt;"Sí","Pendiente de firma","OK")))))))))</f>
        <v/>
      </c>
      <c r="M147" s="62" t="str">
        <f aca="false">IF(B147="","",IFERROR(VALUE(LEFT(UPPER(SUBSTITUTE(SUBSTITUTE(SUBSTITUTE(TRIM(B147),".",""),"-","")," ","")),LEN(UPPER(SUBSTITUTE(SUBSTITUTE(SUBSTITUTE(TRIM(B147),".",""),"-","")," ","")))-1))&amp;RIGHT(UPPER(SUBSTITUTE(SUBSTITUTE(SUBSTITUTE(TRIM(B147),".",""),"-","")," ","")),1),UPPER(SUBSTITUTE(SUBSTITUTE(SUBSTITUTE(TRIM(B147),".",""),"-","")," ",""))))</f>
        <v/>
      </c>
      <c r="N147" s="62" t="str">
        <f aca="false">IF(B147="","",IF(D147="Anexo de modificación","No","Sí"))</f>
        <v/>
      </c>
      <c r="O147" s="62" t="str">
        <f aca="false">IF(AND(N147="Sí",ISNUMBER(F147)),COUNTIFS(C_RUTN,M147,C_DEF,"Sí",C_INI,"&lt;"&amp;F147)+COUNTIFS(M$7:M147,M147,N$7:N147,"Sí",F$7:F147,F147),"")</f>
        <v/>
      </c>
      <c r="P147" s="62" t="str">
        <f aca="false">IF(O147="","",M147&amp;"-P"&amp;O147)</f>
        <v/>
      </c>
      <c r="Q147" s="62" t="str">
        <f aca="false">IF(AND(N147="Sí",E147="Plazo fijo",ISNUMBER(F147)),COUNTIFS(C_RUTN,M147,C_TIPO,"Plazo fijo",C_DEF,"Sí",C_INI,"&lt;"&amp;F147)+COUNTIFS(M$7:M147,M147,E$7:E147,"Plazo fijo",N$7:N147,"Sí",F$7:F147,F147),"")</f>
        <v/>
      </c>
      <c r="R147" s="62" t="str">
        <f aca="false">IF(AND(B147&lt;&gt;"",ISNUMBER(H147),ISNUMBER(F147)),COUNTIFS(C_RUTN,M147,C_SUELDO,"&lt;&gt;",C_INI,"&lt;"&amp;F147)+COUNTIFS(M$7:M147,M147,H$7:H147,"&lt;&gt;",F$7:F147,F147),"")</f>
        <v/>
      </c>
      <c r="S147" s="62" t="str">
        <f aca="false">IF(R147="","",M147&amp;"-S"&amp;R147)</f>
        <v/>
      </c>
    </row>
    <row r="148" customFormat="false" ht="15" hidden="false" customHeight="false" outlineLevel="0" collapsed="false">
      <c r="B148" s="58"/>
      <c r="C148" s="62" t="str">
        <f aca="false">IF(B148="","",IFERROR(INDEX(T_NOMBRE,MATCH(M148,T_RUTN,0)),"⚠ RUT no está en Trabajadores"))</f>
        <v/>
      </c>
      <c r="D148" s="58"/>
      <c r="E148" s="58"/>
      <c r="F148" s="59"/>
      <c r="G148" s="59"/>
      <c r="H148" s="60"/>
      <c r="I148" s="58"/>
      <c r="J148" s="58"/>
      <c r="K148" s="58"/>
      <c r="L148" s="62" t="str">
        <f aca="false">IF(B148="","",IF(LEFT(C148,1)="⚠","⚠ Registre primero al trabajador en la hoja Trabajadores",IF(AND(N148="Sí",OR(E148="",NOT(ISNUMBER(F148)))),"⚠ Falta tipo de contrato o fecha de inicio",IF(NOT(ISNUMBER(F148)),"⚠ Falta fecha de inicio",IF(AND(N148="Sí",E148&lt;&gt;"Indefinido",NOT(ISNUMBER(G148))),"⚠ Falta fecha de término",IF(AND(D148="Paso a indefinido",E148&lt;&gt;"Indefinido"),"⚠ Un paso a indefinido debe tener tipo Indefinido",IF(N(Q148)&gt;=3,"⚠ 3er contrato a plazo fijo: por ley ya es INDEFINIDO (Art. 159 N°4)",IF(AND(E148="Plazo fijo",ISNUMBER(G148),(G148-F148+1)/30.4375&gt;12),"⚠ Plazo fijo mayor a 1 año (máximo legal)",IF(J148&lt;&gt;"Sí","Pendiente de firma","OK")))))))))</f>
        <v/>
      </c>
      <c r="M148" s="62" t="str">
        <f aca="false">IF(B148="","",IFERROR(VALUE(LEFT(UPPER(SUBSTITUTE(SUBSTITUTE(SUBSTITUTE(TRIM(B148),".",""),"-","")," ","")),LEN(UPPER(SUBSTITUTE(SUBSTITUTE(SUBSTITUTE(TRIM(B148),".",""),"-","")," ","")))-1))&amp;RIGHT(UPPER(SUBSTITUTE(SUBSTITUTE(SUBSTITUTE(TRIM(B148),".",""),"-","")," ","")),1),UPPER(SUBSTITUTE(SUBSTITUTE(SUBSTITUTE(TRIM(B148),".",""),"-","")," ",""))))</f>
        <v/>
      </c>
      <c r="N148" s="62" t="str">
        <f aca="false">IF(B148="","",IF(D148="Anexo de modificación","No","Sí"))</f>
        <v/>
      </c>
      <c r="O148" s="62" t="str">
        <f aca="false">IF(AND(N148="Sí",ISNUMBER(F148)),COUNTIFS(C_RUTN,M148,C_DEF,"Sí",C_INI,"&lt;"&amp;F148)+COUNTIFS(M$7:M148,M148,N$7:N148,"Sí",F$7:F148,F148),"")</f>
        <v/>
      </c>
      <c r="P148" s="62" t="str">
        <f aca="false">IF(O148="","",M148&amp;"-P"&amp;O148)</f>
        <v/>
      </c>
      <c r="Q148" s="62" t="str">
        <f aca="false">IF(AND(N148="Sí",E148="Plazo fijo",ISNUMBER(F148)),COUNTIFS(C_RUTN,M148,C_TIPO,"Plazo fijo",C_DEF,"Sí",C_INI,"&lt;"&amp;F148)+COUNTIFS(M$7:M148,M148,E$7:E148,"Plazo fijo",N$7:N148,"Sí",F$7:F148,F148),"")</f>
        <v/>
      </c>
      <c r="R148" s="62" t="str">
        <f aca="false">IF(AND(B148&lt;&gt;"",ISNUMBER(H148),ISNUMBER(F148)),COUNTIFS(C_RUTN,M148,C_SUELDO,"&lt;&gt;",C_INI,"&lt;"&amp;F148)+COUNTIFS(M$7:M148,M148,H$7:H148,"&lt;&gt;",F$7:F148,F148),"")</f>
        <v/>
      </c>
      <c r="S148" s="62" t="str">
        <f aca="false">IF(R148="","",M148&amp;"-S"&amp;R148)</f>
        <v/>
      </c>
    </row>
    <row r="149" customFormat="false" ht="15" hidden="false" customHeight="false" outlineLevel="0" collapsed="false">
      <c r="B149" s="58"/>
      <c r="C149" s="62" t="str">
        <f aca="false">IF(B149="","",IFERROR(INDEX(T_NOMBRE,MATCH(M149,T_RUTN,0)),"⚠ RUT no está en Trabajadores"))</f>
        <v/>
      </c>
      <c r="D149" s="58"/>
      <c r="E149" s="58"/>
      <c r="F149" s="59"/>
      <c r="G149" s="59"/>
      <c r="H149" s="60"/>
      <c r="I149" s="58"/>
      <c r="J149" s="58"/>
      <c r="K149" s="58"/>
      <c r="L149" s="62" t="str">
        <f aca="false">IF(B149="","",IF(LEFT(C149,1)="⚠","⚠ Registre primero al trabajador en la hoja Trabajadores",IF(AND(N149="Sí",OR(E149="",NOT(ISNUMBER(F149)))),"⚠ Falta tipo de contrato o fecha de inicio",IF(NOT(ISNUMBER(F149)),"⚠ Falta fecha de inicio",IF(AND(N149="Sí",E149&lt;&gt;"Indefinido",NOT(ISNUMBER(G149))),"⚠ Falta fecha de término",IF(AND(D149="Paso a indefinido",E149&lt;&gt;"Indefinido"),"⚠ Un paso a indefinido debe tener tipo Indefinido",IF(N(Q149)&gt;=3,"⚠ 3er contrato a plazo fijo: por ley ya es INDEFINIDO (Art. 159 N°4)",IF(AND(E149="Plazo fijo",ISNUMBER(G149),(G149-F149+1)/30.4375&gt;12),"⚠ Plazo fijo mayor a 1 año (máximo legal)",IF(J149&lt;&gt;"Sí","Pendiente de firma","OK")))))))))</f>
        <v/>
      </c>
      <c r="M149" s="62" t="str">
        <f aca="false">IF(B149="","",IFERROR(VALUE(LEFT(UPPER(SUBSTITUTE(SUBSTITUTE(SUBSTITUTE(TRIM(B149),".",""),"-","")," ","")),LEN(UPPER(SUBSTITUTE(SUBSTITUTE(SUBSTITUTE(TRIM(B149),".",""),"-","")," ","")))-1))&amp;RIGHT(UPPER(SUBSTITUTE(SUBSTITUTE(SUBSTITUTE(TRIM(B149),".",""),"-","")," ","")),1),UPPER(SUBSTITUTE(SUBSTITUTE(SUBSTITUTE(TRIM(B149),".",""),"-","")," ",""))))</f>
        <v/>
      </c>
      <c r="N149" s="62" t="str">
        <f aca="false">IF(B149="","",IF(D149="Anexo de modificación","No","Sí"))</f>
        <v/>
      </c>
      <c r="O149" s="62" t="str">
        <f aca="false">IF(AND(N149="Sí",ISNUMBER(F149)),COUNTIFS(C_RUTN,M149,C_DEF,"Sí",C_INI,"&lt;"&amp;F149)+COUNTIFS(M$7:M149,M149,N$7:N149,"Sí",F$7:F149,F149),"")</f>
        <v/>
      </c>
      <c r="P149" s="62" t="str">
        <f aca="false">IF(O149="","",M149&amp;"-P"&amp;O149)</f>
        <v/>
      </c>
      <c r="Q149" s="62" t="str">
        <f aca="false">IF(AND(N149="Sí",E149="Plazo fijo",ISNUMBER(F149)),COUNTIFS(C_RUTN,M149,C_TIPO,"Plazo fijo",C_DEF,"Sí",C_INI,"&lt;"&amp;F149)+COUNTIFS(M$7:M149,M149,E$7:E149,"Plazo fijo",N$7:N149,"Sí",F$7:F149,F149),"")</f>
        <v/>
      </c>
      <c r="R149" s="62" t="str">
        <f aca="false">IF(AND(B149&lt;&gt;"",ISNUMBER(H149),ISNUMBER(F149)),COUNTIFS(C_RUTN,M149,C_SUELDO,"&lt;&gt;",C_INI,"&lt;"&amp;F149)+COUNTIFS(M$7:M149,M149,H$7:H149,"&lt;&gt;",F$7:F149,F149),"")</f>
        <v/>
      </c>
      <c r="S149" s="62" t="str">
        <f aca="false">IF(R149="","",M149&amp;"-S"&amp;R149)</f>
        <v/>
      </c>
    </row>
    <row r="150" customFormat="false" ht="15" hidden="false" customHeight="false" outlineLevel="0" collapsed="false">
      <c r="B150" s="58"/>
      <c r="C150" s="62" t="str">
        <f aca="false">IF(B150="","",IFERROR(INDEX(T_NOMBRE,MATCH(M150,T_RUTN,0)),"⚠ RUT no está en Trabajadores"))</f>
        <v/>
      </c>
      <c r="D150" s="58"/>
      <c r="E150" s="58"/>
      <c r="F150" s="59"/>
      <c r="G150" s="59"/>
      <c r="H150" s="60"/>
      <c r="I150" s="58"/>
      <c r="J150" s="58"/>
      <c r="K150" s="58"/>
      <c r="L150" s="62" t="str">
        <f aca="false">IF(B150="","",IF(LEFT(C150,1)="⚠","⚠ Registre primero al trabajador en la hoja Trabajadores",IF(AND(N150="Sí",OR(E150="",NOT(ISNUMBER(F150)))),"⚠ Falta tipo de contrato o fecha de inicio",IF(NOT(ISNUMBER(F150)),"⚠ Falta fecha de inicio",IF(AND(N150="Sí",E150&lt;&gt;"Indefinido",NOT(ISNUMBER(G150))),"⚠ Falta fecha de término",IF(AND(D150="Paso a indefinido",E150&lt;&gt;"Indefinido"),"⚠ Un paso a indefinido debe tener tipo Indefinido",IF(N(Q150)&gt;=3,"⚠ 3er contrato a plazo fijo: por ley ya es INDEFINIDO (Art. 159 N°4)",IF(AND(E150="Plazo fijo",ISNUMBER(G150),(G150-F150+1)/30.4375&gt;12),"⚠ Plazo fijo mayor a 1 año (máximo legal)",IF(J150&lt;&gt;"Sí","Pendiente de firma","OK")))))))))</f>
        <v/>
      </c>
      <c r="M150" s="62" t="str">
        <f aca="false">IF(B150="","",IFERROR(VALUE(LEFT(UPPER(SUBSTITUTE(SUBSTITUTE(SUBSTITUTE(TRIM(B150),".",""),"-","")," ","")),LEN(UPPER(SUBSTITUTE(SUBSTITUTE(SUBSTITUTE(TRIM(B150),".",""),"-","")," ","")))-1))&amp;RIGHT(UPPER(SUBSTITUTE(SUBSTITUTE(SUBSTITUTE(TRIM(B150),".",""),"-","")," ","")),1),UPPER(SUBSTITUTE(SUBSTITUTE(SUBSTITUTE(TRIM(B150),".",""),"-","")," ",""))))</f>
        <v/>
      </c>
      <c r="N150" s="62" t="str">
        <f aca="false">IF(B150="","",IF(D150="Anexo de modificación","No","Sí"))</f>
        <v/>
      </c>
      <c r="O150" s="62" t="str">
        <f aca="false">IF(AND(N150="Sí",ISNUMBER(F150)),COUNTIFS(C_RUTN,M150,C_DEF,"Sí",C_INI,"&lt;"&amp;F150)+COUNTIFS(M$7:M150,M150,N$7:N150,"Sí",F$7:F150,F150),"")</f>
        <v/>
      </c>
      <c r="P150" s="62" t="str">
        <f aca="false">IF(O150="","",M150&amp;"-P"&amp;O150)</f>
        <v/>
      </c>
      <c r="Q150" s="62" t="str">
        <f aca="false">IF(AND(N150="Sí",E150="Plazo fijo",ISNUMBER(F150)),COUNTIFS(C_RUTN,M150,C_TIPO,"Plazo fijo",C_DEF,"Sí",C_INI,"&lt;"&amp;F150)+COUNTIFS(M$7:M150,M150,E$7:E150,"Plazo fijo",N$7:N150,"Sí",F$7:F150,F150),"")</f>
        <v/>
      </c>
      <c r="R150" s="62" t="str">
        <f aca="false">IF(AND(B150&lt;&gt;"",ISNUMBER(H150),ISNUMBER(F150)),COUNTIFS(C_RUTN,M150,C_SUELDO,"&lt;&gt;",C_INI,"&lt;"&amp;F150)+COUNTIFS(M$7:M150,M150,H$7:H150,"&lt;&gt;",F$7:F150,F150),"")</f>
        <v/>
      </c>
      <c r="S150" s="62" t="str">
        <f aca="false">IF(R150="","",M150&amp;"-S"&amp;R150)</f>
        <v/>
      </c>
    </row>
    <row r="151" customFormat="false" ht="15" hidden="false" customHeight="false" outlineLevel="0" collapsed="false">
      <c r="B151" s="58"/>
      <c r="C151" s="62" t="str">
        <f aca="false">IF(B151="","",IFERROR(INDEX(T_NOMBRE,MATCH(M151,T_RUTN,0)),"⚠ RUT no está en Trabajadores"))</f>
        <v/>
      </c>
      <c r="D151" s="58"/>
      <c r="E151" s="58"/>
      <c r="F151" s="59"/>
      <c r="G151" s="59"/>
      <c r="H151" s="60"/>
      <c r="I151" s="58"/>
      <c r="J151" s="58"/>
      <c r="K151" s="58"/>
      <c r="L151" s="62" t="str">
        <f aca="false">IF(B151="","",IF(LEFT(C151,1)="⚠","⚠ Registre primero al trabajador en la hoja Trabajadores",IF(AND(N151="Sí",OR(E151="",NOT(ISNUMBER(F151)))),"⚠ Falta tipo de contrato o fecha de inicio",IF(NOT(ISNUMBER(F151)),"⚠ Falta fecha de inicio",IF(AND(N151="Sí",E151&lt;&gt;"Indefinido",NOT(ISNUMBER(G151))),"⚠ Falta fecha de término",IF(AND(D151="Paso a indefinido",E151&lt;&gt;"Indefinido"),"⚠ Un paso a indefinido debe tener tipo Indefinido",IF(N(Q151)&gt;=3,"⚠ 3er contrato a plazo fijo: por ley ya es INDEFINIDO (Art. 159 N°4)",IF(AND(E151="Plazo fijo",ISNUMBER(G151),(G151-F151+1)/30.4375&gt;12),"⚠ Plazo fijo mayor a 1 año (máximo legal)",IF(J151&lt;&gt;"Sí","Pendiente de firma","OK")))))))))</f>
        <v/>
      </c>
      <c r="M151" s="62" t="str">
        <f aca="false">IF(B151="","",IFERROR(VALUE(LEFT(UPPER(SUBSTITUTE(SUBSTITUTE(SUBSTITUTE(TRIM(B151),".",""),"-","")," ","")),LEN(UPPER(SUBSTITUTE(SUBSTITUTE(SUBSTITUTE(TRIM(B151),".",""),"-","")," ","")))-1))&amp;RIGHT(UPPER(SUBSTITUTE(SUBSTITUTE(SUBSTITUTE(TRIM(B151),".",""),"-","")," ","")),1),UPPER(SUBSTITUTE(SUBSTITUTE(SUBSTITUTE(TRIM(B151),".",""),"-","")," ",""))))</f>
        <v/>
      </c>
      <c r="N151" s="62" t="str">
        <f aca="false">IF(B151="","",IF(D151="Anexo de modificación","No","Sí"))</f>
        <v/>
      </c>
      <c r="O151" s="62" t="str">
        <f aca="false">IF(AND(N151="Sí",ISNUMBER(F151)),COUNTIFS(C_RUTN,M151,C_DEF,"Sí",C_INI,"&lt;"&amp;F151)+COUNTIFS(M$7:M151,M151,N$7:N151,"Sí",F$7:F151,F151),"")</f>
        <v/>
      </c>
      <c r="P151" s="62" t="str">
        <f aca="false">IF(O151="","",M151&amp;"-P"&amp;O151)</f>
        <v/>
      </c>
      <c r="Q151" s="62" t="str">
        <f aca="false">IF(AND(N151="Sí",E151="Plazo fijo",ISNUMBER(F151)),COUNTIFS(C_RUTN,M151,C_TIPO,"Plazo fijo",C_DEF,"Sí",C_INI,"&lt;"&amp;F151)+COUNTIFS(M$7:M151,M151,E$7:E151,"Plazo fijo",N$7:N151,"Sí",F$7:F151,F151),"")</f>
        <v/>
      </c>
      <c r="R151" s="62" t="str">
        <f aca="false">IF(AND(B151&lt;&gt;"",ISNUMBER(H151),ISNUMBER(F151)),COUNTIFS(C_RUTN,M151,C_SUELDO,"&lt;&gt;",C_INI,"&lt;"&amp;F151)+COUNTIFS(M$7:M151,M151,H$7:H151,"&lt;&gt;",F$7:F151,F151),"")</f>
        <v/>
      </c>
      <c r="S151" s="62" t="str">
        <f aca="false">IF(R151="","",M151&amp;"-S"&amp;R151)</f>
        <v/>
      </c>
    </row>
    <row r="152" customFormat="false" ht="15" hidden="false" customHeight="false" outlineLevel="0" collapsed="false">
      <c r="B152" s="58"/>
      <c r="C152" s="62" t="str">
        <f aca="false">IF(B152="","",IFERROR(INDEX(T_NOMBRE,MATCH(M152,T_RUTN,0)),"⚠ RUT no está en Trabajadores"))</f>
        <v/>
      </c>
      <c r="D152" s="58"/>
      <c r="E152" s="58"/>
      <c r="F152" s="59"/>
      <c r="G152" s="59"/>
      <c r="H152" s="60"/>
      <c r="I152" s="58"/>
      <c r="J152" s="58"/>
      <c r="K152" s="58"/>
      <c r="L152" s="62" t="str">
        <f aca="false">IF(B152="","",IF(LEFT(C152,1)="⚠","⚠ Registre primero al trabajador en la hoja Trabajadores",IF(AND(N152="Sí",OR(E152="",NOT(ISNUMBER(F152)))),"⚠ Falta tipo de contrato o fecha de inicio",IF(NOT(ISNUMBER(F152)),"⚠ Falta fecha de inicio",IF(AND(N152="Sí",E152&lt;&gt;"Indefinido",NOT(ISNUMBER(G152))),"⚠ Falta fecha de término",IF(AND(D152="Paso a indefinido",E152&lt;&gt;"Indefinido"),"⚠ Un paso a indefinido debe tener tipo Indefinido",IF(N(Q152)&gt;=3,"⚠ 3er contrato a plazo fijo: por ley ya es INDEFINIDO (Art. 159 N°4)",IF(AND(E152="Plazo fijo",ISNUMBER(G152),(G152-F152+1)/30.4375&gt;12),"⚠ Plazo fijo mayor a 1 año (máximo legal)",IF(J152&lt;&gt;"Sí","Pendiente de firma","OK")))))))))</f>
        <v/>
      </c>
      <c r="M152" s="62" t="str">
        <f aca="false">IF(B152="","",IFERROR(VALUE(LEFT(UPPER(SUBSTITUTE(SUBSTITUTE(SUBSTITUTE(TRIM(B152),".",""),"-","")," ","")),LEN(UPPER(SUBSTITUTE(SUBSTITUTE(SUBSTITUTE(TRIM(B152),".",""),"-","")," ","")))-1))&amp;RIGHT(UPPER(SUBSTITUTE(SUBSTITUTE(SUBSTITUTE(TRIM(B152),".",""),"-","")," ","")),1),UPPER(SUBSTITUTE(SUBSTITUTE(SUBSTITUTE(TRIM(B152),".",""),"-","")," ",""))))</f>
        <v/>
      </c>
      <c r="N152" s="62" t="str">
        <f aca="false">IF(B152="","",IF(D152="Anexo de modificación","No","Sí"))</f>
        <v/>
      </c>
      <c r="O152" s="62" t="str">
        <f aca="false">IF(AND(N152="Sí",ISNUMBER(F152)),COUNTIFS(C_RUTN,M152,C_DEF,"Sí",C_INI,"&lt;"&amp;F152)+COUNTIFS(M$7:M152,M152,N$7:N152,"Sí",F$7:F152,F152),"")</f>
        <v/>
      </c>
      <c r="P152" s="62" t="str">
        <f aca="false">IF(O152="","",M152&amp;"-P"&amp;O152)</f>
        <v/>
      </c>
      <c r="Q152" s="62" t="str">
        <f aca="false">IF(AND(N152="Sí",E152="Plazo fijo",ISNUMBER(F152)),COUNTIFS(C_RUTN,M152,C_TIPO,"Plazo fijo",C_DEF,"Sí",C_INI,"&lt;"&amp;F152)+COUNTIFS(M$7:M152,M152,E$7:E152,"Plazo fijo",N$7:N152,"Sí",F$7:F152,F152),"")</f>
        <v/>
      </c>
      <c r="R152" s="62" t="str">
        <f aca="false">IF(AND(B152&lt;&gt;"",ISNUMBER(H152),ISNUMBER(F152)),COUNTIFS(C_RUTN,M152,C_SUELDO,"&lt;&gt;",C_INI,"&lt;"&amp;F152)+COUNTIFS(M$7:M152,M152,H$7:H152,"&lt;&gt;",F$7:F152,F152),"")</f>
        <v/>
      </c>
      <c r="S152" s="62" t="str">
        <f aca="false">IF(R152="","",M152&amp;"-S"&amp;R152)</f>
        <v/>
      </c>
    </row>
    <row r="153" customFormat="false" ht="15" hidden="false" customHeight="false" outlineLevel="0" collapsed="false">
      <c r="B153" s="58"/>
      <c r="C153" s="62" t="str">
        <f aca="false">IF(B153="","",IFERROR(INDEX(T_NOMBRE,MATCH(M153,T_RUTN,0)),"⚠ RUT no está en Trabajadores"))</f>
        <v/>
      </c>
      <c r="D153" s="58"/>
      <c r="E153" s="58"/>
      <c r="F153" s="59"/>
      <c r="G153" s="59"/>
      <c r="H153" s="60"/>
      <c r="I153" s="58"/>
      <c r="J153" s="58"/>
      <c r="K153" s="58"/>
      <c r="L153" s="62" t="str">
        <f aca="false">IF(B153="","",IF(LEFT(C153,1)="⚠","⚠ Registre primero al trabajador en la hoja Trabajadores",IF(AND(N153="Sí",OR(E153="",NOT(ISNUMBER(F153)))),"⚠ Falta tipo de contrato o fecha de inicio",IF(NOT(ISNUMBER(F153)),"⚠ Falta fecha de inicio",IF(AND(N153="Sí",E153&lt;&gt;"Indefinido",NOT(ISNUMBER(G153))),"⚠ Falta fecha de término",IF(AND(D153="Paso a indefinido",E153&lt;&gt;"Indefinido"),"⚠ Un paso a indefinido debe tener tipo Indefinido",IF(N(Q153)&gt;=3,"⚠ 3er contrato a plazo fijo: por ley ya es INDEFINIDO (Art. 159 N°4)",IF(AND(E153="Plazo fijo",ISNUMBER(G153),(G153-F153+1)/30.4375&gt;12),"⚠ Plazo fijo mayor a 1 año (máximo legal)",IF(J153&lt;&gt;"Sí","Pendiente de firma","OK")))))))))</f>
        <v/>
      </c>
      <c r="M153" s="62" t="str">
        <f aca="false">IF(B153="","",IFERROR(VALUE(LEFT(UPPER(SUBSTITUTE(SUBSTITUTE(SUBSTITUTE(TRIM(B153),".",""),"-","")," ","")),LEN(UPPER(SUBSTITUTE(SUBSTITUTE(SUBSTITUTE(TRIM(B153),".",""),"-","")," ","")))-1))&amp;RIGHT(UPPER(SUBSTITUTE(SUBSTITUTE(SUBSTITUTE(TRIM(B153),".",""),"-","")," ","")),1),UPPER(SUBSTITUTE(SUBSTITUTE(SUBSTITUTE(TRIM(B153),".",""),"-","")," ",""))))</f>
        <v/>
      </c>
      <c r="N153" s="62" t="str">
        <f aca="false">IF(B153="","",IF(D153="Anexo de modificación","No","Sí"))</f>
        <v/>
      </c>
      <c r="O153" s="62" t="str">
        <f aca="false">IF(AND(N153="Sí",ISNUMBER(F153)),COUNTIFS(C_RUTN,M153,C_DEF,"Sí",C_INI,"&lt;"&amp;F153)+COUNTIFS(M$7:M153,M153,N$7:N153,"Sí",F$7:F153,F153),"")</f>
        <v/>
      </c>
      <c r="P153" s="62" t="str">
        <f aca="false">IF(O153="","",M153&amp;"-P"&amp;O153)</f>
        <v/>
      </c>
      <c r="Q153" s="62" t="str">
        <f aca="false">IF(AND(N153="Sí",E153="Plazo fijo",ISNUMBER(F153)),COUNTIFS(C_RUTN,M153,C_TIPO,"Plazo fijo",C_DEF,"Sí",C_INI,"&lt;"&amp;F153)+COUNTIFS(M$7:M153,M153,E$7:E153,"Plazo fijo",N$7:N153,"Sí",F$7:F153,F153),"")</f>
        <v/>
      </c>
      <c r="R153" s="62" t="str">
        <f aca="false">IF(AND(B153&lt;&gt;"",ISNUMBER(H153),ISNUMBER(F153)),COUNTIFS(C_RUTN,M153,C_SUELDO,"&lt;&gt;",C_INI,"&lt;"&amp;F153)+COUNTIFS(M$7:M153,M153,H$7:H153,"&lt;&gt;",F$7:F153,F153),"")</f>
        <v/>
      </c>
      <c r="S153" s="62" t="str">
        <f aca="false">IF(R153="","",M153&amp;"-S"&amp;R153)</f>
        <v/>
      </c>
    </row>
    <row r="154" customFormat="false" ht="15" hidden="false" customHeight="false" outlineLevel="0" collapsed="false">
      <c r="B154" s="58"/>
      <c r="C154" s="62" t="str">
        <f aca="false">IF(B154="","",IFERROR(INDEX(T_NOMBRE,MATCH(M154,T_RUTN,0)),"⚠ RUT no está en Trabajadores"))</f>
        <v/>
      </c>
      <c r="D154" s="58"/>
      <c r="E154" s="58"/>
      <c r="F154" s="59"/>
      <c r="G154" s="59"/>
      <c r="H154" s="60"/>
      <c r="I154" s="58"/>
      <c r="J154" s="58"/>
      <c r="K154" s="58"/>
      <c r="L154" s="62" t="str">
        <f aca="false">IF(B154="","",IF(LEFT(C154,1)="⚠","⚠ Registre primero al trabajador en la hoja Trabajadores",IF(AND(N154="Sí",OR(E154="",NOT(ISNUMBER(F154)))),"⚠ Falta tipo de contrato o fecha de inicio",IF(NOT(ISNUMBER(F154)),"⚠ Falta fecha de inicio",IF(AND(N154="Sí",E154&lt;&gt;"Indefinido",NOT(ISNUMBER(G154))),"⚠ Falta fecha de término",IF(AND(D154="Paso a indefinido",E154&lt;&gt;"Indefinido"),"⚠ Un paso a indefinido debe tener tipo Indefinido",IF(N(Q154)&gt;=3,"⚠ 3er contrato a plazo fijo: por ley ya es INDEFINIDO (Art. 159 N°4)",IF(AND(E154="Plazo fijo",ISNUMBER(G154),(G154-F154+1)/30.4375&gt;12),"⚠ Plazo fijo mayor a 1 año (máximo legal)",IF(J154&lt;&gt;"Sí","Pendiente de firma","OK")))))))))</f>
        <v/>
      </c>
      <c r="M154" s="62" t="str">
        <f aca="false">IF(B154="","",IFERROR(VALUE(LEFT(UPPER(SUBSTITUTE(SUBSTITUTE(SUBSTITUTE(TRIM(B154),".",""),"-","")," ","")),LEN(UPPER(SUBSTITUTE(SUBSTITUTE(SUBSTITUTE(TRIM(B154),".",""),"-","")," ","")))-1))&amp;RIGHT(UPPER(SUBSTITUTE(SUBSTITUTE(SUBSTITUTE(TRIM(B154),".",""),"-","")," ","")),1),UPPER(SUBSTITUTE(SUBSTITUTE(SUBSTITUTE(TRIM(B154),".",""),"-","")," ",""))))</f>
        <v/>
      </c>
      <c r="N154" s="62" t="str">
        <f aca="false">IF(B154="","",IF(D154="Anexo de modificación","No","Sí"))</f>
        <v/>
      </c>
      <c r="O154" s="62" t="str">
        <f aca="false">IF(AND(N154="Sí",ISNUMBER(F154)),COUNTIFS(C_RUTN,M154,C_DEF,"Sí",C_INI,"&lt;"&amp;F154)+COUNTIFS(M$7:M154,M154,N$7:N154,"Sí",F$7:F154,F154),"")</f>
        <v/>
      </c>
      <c r="P154" s="62" t="str">
        <f aca="false">IF(O154="","",M154&amp;"-P"&amp;O154)</f>
        <v/>
      </c>
      <c r="Q154" s="62" t="str">
        <f aca="false">IF(AND(N154="Sí",E154="Plazo fijo",ISNUMBER(F154)),COUNTIFS(C_RUTN,M154,C_TIPO,"Plazo fijo",C_DEF,"Sí",C_INI,"&lt;"&amp;F154)+COUNTIFS(M$7:M154,M154,E$7:E154,"Plazo fijo",N$7:N154,"Sí",F$7:F154,F154),"")</f>
        <v/>
      </c>
      <c r="R154" s="62" t="str">
        <f aca="false">IF(AND(B154&lt;&gt;"",ISNUMBER(H154),ISNUMBER(F154)),COUNTIFS(C_RUTN,M154,C_SUELDO,"&lt;&gt;",C_INI,"&lt;"&amp;F154)+COUNTIFS(M$7:M154,M154,H$7:H154,"&lt;&gt;",F$7:F154,F154),"")</f>
        <v/>
      </c>
      <c r="S154" s="62" t="str">
        <f aca="false">IF(R154="","",M154&amp;"-S"&amp;R154)</f>
        <v/>
      </c>
    </row>
    <row r="155" customFormat="false" ht="15" hidden="false" customHeight="false" outlineLevel="0" collapsed="false">
      <c r="B155" s="58"/>
      <c r="C155" s="62" t="str">
        <f aca="false">IF(B155="","",IFERROR(INDEX(T_NOMBRE,MATCH(M155,T_RUTN,0)),"⚠ RUT no está en Trabajadores"))</f>
        <v/>
      </c>
      <c r="D155" s="58"/>
      <c r="E155" s="58"/>
      <c r="F155" s="59"/>
      <c r="G155" s="59"/>
      <c r="H155" s="60"/>
      <c r="I155" s="58"/>
      <c r="J155" s="58"/>
      <c r="K155" s="58"/>
      <c r="L155" s="62" t="str">
        <f aca="false">IF(B155="","",IF(LEFT(C155,1)="⚠","⚠ Registre primero al trabajador en la hoja Trabajadores",IF(AND(N155="Sí",OR(E155="",NOT(ISNUMBER(F155)))),"⚠ Falta tipo de contrato o fecha de inicio",IF(NOT(ISNUMBER(F155)),"⚠ Falta fecha de inicio",IF(AND(N155="Sí",E155&lt;&gt;"Indefinido",NOT(ISNUMBER(G155))),"⚠ Falta fecha de término",IF(AND(D155="Paso a indefinido",E155&lt;&gt;"Indefinido"),"⚠ Un paso a indefinido debe tener tipo Indefinido",IF(N(Q155)&gt;=3,"⚠ 3er contrato a plazo fijo: por ley ya es INDEFINIDO (Art. 159 N°4)",IF(AND(E155="Plazo fijo",ISNUMBER(G155),(G155-F155+1)/30.4375&gt;12),"⚠ Plazo fijo mayor a 1 año (máximo legal)",IF(J155&lt;&gt;"Sí","Pendiente de firma","OK")))))))))</f>
        <v/>
      </c>
      <c r="M155" s="62" t="str">
        <f aca="false">IF(B155="","",IFERROR(VALUE(LEFT(UPPER(SUBSTITUTE(SUBSTITUTE(SUBSTITUTE(TRIM(B155),".",""),"-","")," ","")),LEN(UPPER(SUBSTITUTE(SUBSTITUTE(SUBSTITUTE(TRIM(B155),".",""),"-","")," ","")))-1))&amp;RIGHT(UPPER(SUBSTITUTE(SUBSTITUTE(SUBSTITUTE(TRIM(B155),".",""),"-","")," ","")),1),UPPER(SUBSTITUTE(SUBSTITUTE(SUBSTITUTE(TRIM(B155),".",""),"-","")," ",""))))</f>
        <v/>
      </c>
      <c r="N155" s="62" t="str">
        <f aca="false">IF(B155="","",IF(D155="Anexo de modificación","No","Sí"))</f>
        <v/>
      </c>
      <c r="O155" s="62" t="str">
        <f aca="false">IF(AND(N155="Sí",ISNUMBER(F155)),COUNTIFS(C_RUTN,M155,C_DEF,"Sí",C_INI,"&lt;"&amp;F155)+COUNTIFS(M$7:M155,M155,N$7:N155,"Sí",F$7:F155,F155),"")</f>
        <v/>
      </c>
      <c r="P155" s="62" t="str">
        <f aca="false">IF(O155="","",M155&amp;"-P"&amp;O155)</f>
        <v/>
      </c>
      <c r="Q155" s="62" t="str">
        <f aca="false">IF(AND(N155="Sí",E155="Plazo fijo",ISNUMBER(F155)),COUNTIFS(C_RUTN,M155,C_TIPO,"Plazo fijo",C_DEF,"Sí",C_INI,"&lt;"&amp;F155)+COUNTIFS(M$7:M155,M155,E$7:E155,"Plazo fijo",N$7:N155,"Sí",F$7:F155,F155),"")</f>
        <v/>
      </c>
      <c r="R155" s="62" t="str">
        <f aca="false">IF(AND(B155&lt;&gt;"",ISNUMBER(H155),ISNUMBER(F155)),COUNTIFS(C_RUTN,M155,C_SUELDO,"&lt;&gt;",C_INI,"&lt;"&amp;F155)+COUNTIFS(M$7:M155,M155,H$7:H155,"&lt;&gt;",F$7:F155,F155),"")</f>
        <v/>
      </c>
      <c r="S155" s="62" t="str">
        <f aca="false">IF(R155="","",M155&amp;"-S"&amp;R155)</f>
        <v/>
      </c>
    </row>
    <row r="156" customFormat="false" ht="15" hidden="false" customHeight="false" outlineLevel="0" collapsed="false">
      <c r="B156" s="58"/>
      <c r="C156" s="62" t="str">
        <f aca="false">IF(B156="","",IFERROR(INDEX(T_NOMBRE,MATCH(M156,T_RUTN,0)),"⚠ RUT no está en Trabajadores"))</f>
        <v/>
      </c>
      <c r="D156" s="58"/>
      <c r="E156" s="58"/>
      <c r="F156" s="59"/>
      <c r="G156" s="59"/>
      <c r="H156" s="60"/>
      <c r="I156" s="58"/>
      <c r="J156" s="58"/>
      <c r="K156" s="58"/>
      <c r="L156" s="62" t="str">
        <f aca="false">IF(B156="","",IF(LEFT(C156,1)="⚠","⚠ Registre primero al trabajador en la hoja Trabajadores",IF(AND(N156="Sí",OR(E156="",NOT(ISNUMBER(F156)))),"⚠ Falta tipo de contrato o fecha de inicio",IF(NOT(ISNUMBER(F156)),"⚠ Falta fecha de inicio",IF(AND(N156="Sí",E156&lt;&gt;"Indefinido",NOT(ISNUMBER(G156))),"⚠ Falta fecha de término",IF(AND(D156="Paso a indefinido",E156&lt;&gt;"Indefinido"),"⚠ Un paso a indefinido debe tener tipo Indefinido",IF(N(Q156)&gt;=3,"⚠ 3er contrato a plazo fijo: por ley ya es INDEFINIDO (Art. 159 N°4)",IF(AND(E156="Plazo fijo",ISNUMBER(G156),(G156-F156+1)/30.4375&gt;12),"⚠ Plazo fijo mayor a 1 año (máximo legal)",IF(J156&lt;&gt;"Sí","Pendiente de firma","OK")))))))))</f>
        <v/>
      </c>
      <c r="M156" s="62" t="str">
        <f aca="false">IF(B156="","",IFERROR(VALUE(LEFT(UPPER(SUBSTITUTE(SUBSTITUTE(SUBSTITUTE(TRIM(B156),".",""),"-","")," ","")),LEN(UPPER(SUBSTITUTE(SUBSTITUTE(SUBSTITUTE(TRIM(B156),".",""),"-","")," ","")))-1))&amp;RIGHT(UPPER(SUBSTITUTE(SUBSTITUTE(SUBSTITUTE(TRIM(B156),".",""),"-","")," ","")),1),UPPER(SUBSTITUTE(SUBSTITUTE(SUBSTITUTE(TRIM(B156),".",""),"-","")," ",""))))</f>
        <v/>
      </c>
      <c r="N156" s="62" t="str">
        <f aca="false">IF(B156="","",IF(D156="Anexo de modificación","No","Sí"))</f>
        <v/>
      </c>
      <c r="O156" s="62" t="str">
        <f aca="false">IF(AND(N156="Sí",ISNUMBER(F156)),COUNTIFS(C_RUTN,M156,C_DEF,"Sí",C_INI,"&lt;"&amp;F156)+COUNTIFS(M$7:M156,M156,N$7:N156,"Sí",F$7:F156,F156),"")</f>
        <v/>
      </c>
      <c r="P156" s="62" t="str">
        <f aca="false">IF(O156="","",M156&amp;"-P"&amp;O156)</f>
        <v/>
      </c>
      <c r="Q156" s="62" t="str">
        <f aca="false">IF(AND(N156="Sí",E156="Plazo fijo",ISNUMBER(F156)),COUNTIFS(C_RUTN,M156,C_TIPO,"Plazo fijo",C_DEF,"Sí",C_INI,"&lt;"&amp;F156)+COUNTIFS(M$7:M156,M156,E$7:E156,"Plazo fijo",N$7:N156,"Sí",F$7:F156,F156),"")</f>
        <v/>
      </c>
      <c r="R156" s="62" t="str">
        <f aca="false">IF(AND(B156&lt;&gt;"",ISNUMBER(H156),ISNUMBER(F156)),COUNTIFS(C_RUTN,M156,C_SUELDO,"&lt;&gt;",C_INI,"&lt;"&amp;F156)+COUNTIFS(M$7:M156,M156,H$7:H156,"&lt;&gt;",F$7:F156,F156),"")</f>
        <v/>
      </c>
      <c r="S156" s="62" t="str">
        <f aca="false">IF(R156="","",M156&amp;"-S"&amp;R156)</f>
        <v/>
      </c>
    </row>
    <row r="157" customFormat="false" ht="15" hidden="false" customHeight="false" outlineLevel="0" collapsed="false">
      <c r="B157" s="58"/>
      <c r="C157" s="62" t="str">
        <f aca="false">IF(B157="","",IFERROR(INDEX(T_NOMBRE,MATCH(M157,T_RUTN,0)),"⚠ RUT no está en Trabajadores"))</f>
        <v/>
      </c>
      <c r="D157" s="58"/>
      <c r="E157" s="58"/>
      <c r="F157" s="59"/>
      <c r="G157" s="59"/>
      <c r="H157" s="60"/>
      <c r="I157" s="58"/>
      <c r="J157" s="58"/>
      <c r="K157" s="58"/>
      <c r="L157" s="62" t="str">
        <f aca="false">IF(B157="","",IF(LEFT(C157,1)="⚠","⚠ Registre primero al trabajador en la hoja Trabajadores",IF(AND(N157="Sí",OR(E157="",NOT(ISNUMBER(F157)))),"⚠ Falta tipo de contrato o fecha de inicio",IF(NOT(ISNUMBER(F157)),"⚠ Falta fecha de inicio",IF(AND(N157="Sí",E157&lt;&gt;"Indefinido",NOT(ISNUMBER(G157))),"⚠ Falta fecha de término",IF(AND(D157="Paso a indefinido",E157&lt;&gt;"Indefinido"),"⚠ Un paso a indefinido debe tener tipo Indefinido",IF(N(Q157)&gt;=3,"⚠ 3er contrato a plazo fijo: por ley ya es INDEFINIDO (Art. 159 N°4)",IF(AND(E157="Plazo fijo",ISNUMBER(G157),(G157-F157+1)/30.4375&gt;12),"⚠ Plazo fijo mayor a 1 año (máximo legal)",IF(J157&lt;&gt;"Sí","Pendiente de firma","OK")))))))))</f>
        <v/>
      </c>
      <c r="M157" s="62" t="str">
        <f aca="false">IF(B157="","",IFERROR(VALUE(LEFT(UPPER(SUBSTITUTE(SUBSTITUTE(SUBSTITUTE(TRIM(B157),".",""),"-","")," ","")),LEN(UPPER(SUBSTITUTE(SUBSTITUTE(SUBSTITUTE(TRIM(B157),".",""),"-","")," ","")))-1))&amp;RIGHT(UPPER(SUBSTITUTE(SUBSTITUTE(SUBSTITUTE(TRIM(B157),".",""),"-","")," ","")),1),UPPER(SUBSTITUTE(SUBSTITUTE(SUBSTITUTE(TRIM(B157),".",""),"-","")," ",""))))</f>
        <v/>
      </c>
      <c r="N157" s="62" t="str">
        <f aca="false">IF(B157="","",IF(D157="Anexo de modificación","No","Sí"))</f>
        <v/>
      </c>
      <c r="O157" s="62" t="str">
        <f aca="false">IF(AND(N157="Sí",ISNUMBER(F157)),COUNTIFS(C_RUTN,M157,C_DEF,"Sí",C_INI,"&lt;"&amp;F157)+COUNTIFS(M$7:M157,M157,N$7:N157,"Sí",F$7:F157,F157),"")</f>
        <v/>
      </c>
      <c r="P157" s="62" t="str">
        <f aca="false">IF(O157="","",M157&amp;"-P"&amp;O157)</f>
        <v/>
      </c>
      <c r="Q157" s="62" t="str">
        <f aca="false">IF(AND(N157="Sí",E157="Plazo fijo",ISNUMBER(F157)),COUNTIFS(C_RUTN,M157,C_TIPO,"Plazo fijo",C_DEF,"Sí",C_INI,"&lt;"&amp;F157)+COUNTIFS(M$7:M157,M157,E$7:E157,"Plazo fijo",N$7:N157,"Sí",F$7:F157,F157),"")</f>
        <v/>
      </c>
      <c r="R157" s="62" t="str">
        <f aca="false">IF(AND(B157&lt;&gt;"",ISNUMBER(H157),ISNUMBER(F157)),COUNTIFS(C_RUTN,M157,C_SUELDO,"&lt;&gt;",C_INI,"&lt;"&amp;F157)+COUNTIFS(M$7:M157,M157,H$7:H157,"&lt;&gt;",F$7:F157,F157),"")</f>
        <v/>
      </c>
      <c r="S157" s="62" t="str">
        <f aca="false">IF(R157="","",M157&amp;"-S"&amp;R157)</f>
        <v/>
      </c>
    </row>
    <row r="158" customFormat="false" ht="15" hidden="false" customHeight="false" outlineLevel="0" collapsed="false">
      <c r="B158" s="58"/>
      <c r="C158" s="62" t="str">
        <f aca="false">IF(B158="","",IFERROR(INDEX(T_NOMBRE,MATCH(M158,T_RUTN,0)),"⚠ RUT no está en Trabajadores"))</f>
        <v/>
      </c>
      <c r="D158" s="58"/>
      <c r="E158" s="58"/>
      <c r="F158" s="59"/>
      <c r="G158" s="59"/>
      <c r="H158" s="60"/>
      <c r="I158" s="58"/>
      <c r="J158" s="58"/>
      <c r="K158" s="58"/>
      <c r="L158" s="62" t="str">
        <f aca="false">IF(B158="","",IF(LEFT(C158,1)="⚠","⚠ Registre primero al trabajador en la hoja Trabajadores",IF(AND(N158="Sí",OR(E158="",NOT(ISNUMBER(F158)))),"⚠ Falta tipo de contrato o fecha de inicio",IF(NOT(ISNUMBER(F158)),"⚠ Falta fecha de inicio",IF(AND(N158="Sí",E158&lt;&gt;"Indefinido",NOT(ISNUMBER(G158))),"⚠ Falta fecha de término",IF(AND(D158="Paso a indefinido",E158&lt;&gt;"Indefinido"),"⚠ Un paso a indefinido debe tener tipo Indefinido",IF(N(Q158)&gt;=3,"⚠ 3er contrato a plazo fijo: por ley ya es INDEFINIDO (Art. 159 N°4)",IF(AND(E158="Plazo fijo",ISNUMBER(G158),(G158-F158+1)/30.4375&gt;12),"⚠ Plazo fijo mayor a 1 año (máximo legal)",IF(J158&lt;&gt;"Sí","Pendiente de firma","OK")))))))))</f>
        <v/>
      </c>
      <c r="M158" s="62" t="str">
        <f aca="false">IF(B158="","",IFERROR(VALUE(LEFT(UPPER(SUBSTITUTE(SUBSTITUTE(SUBSTITUTE(TRIM(B158),".",""),"-","")," ","")),LEN(UPPER(SUBSTITUTE(SUBSTITUTE(SUBSTITUTE(TRIM(B158),".",""),"-","")," ","")))-1))&amp;RIGHT(UPPER(SUBSTITUTE(SUBSTITUTE(SUBSTITUTE(TRIM(B158),".",""),"-","")," ","")),1),UPPER(SUBSTITUTE(SUBSTITUTE(SUBSTITUTE(TRIM(B158),".",""),"-","")," ",""))))</f>
        <v/>
      </c>
      <c r="N158" s="62" t="str">
        <f aca="false">IF(B158="","",IF(D158="Anexo de modificación","No","Sí"))</f>
        <v/>
      </c>
      <c r="O158" s="62" t="str">
        <f aca="false">IF(AND(N158="Sí",ISNUMBER(F158)),COUNTIFS(C_RUTN,M158,C_DEF,"Sí",C_INI,"&lt;"&amp;F158)+COUNTIFS(M$7:M158,M158,N$7:N158,"Sí",F$7:F158,F158),"")</f>
        <v/>
      </c>
      <c r="P158" s="62" t="str">
        <f aca="false">IF(O158="","",M158&amp;"-P"&amp;O158)</f>
        <v/>
      </c>
      <c r="Q158" s="62" t="str">
        <f aca="false">IF(AND(N158="Sí",E158="Plazo fijo",ISNUMBER(F158)),COUNTIFS(C_RUTN,M158,C_TIPO,"Plazo fijo",C_DEF,"Sí",C_INI,"&lt;"&amp;F158)+COUNTIFS(M$7:M158,M158,E$7:E158,"Plazo fijo",N$7:N158,"Sí",F$7:F158,F158),"")</f>
        <v/>
      </c>
      <c r="R158" s="62" t="str">
        <f aca="false">IF(AND(B158&lt;&gt;"",ISNUMBER(H158),ISNUMBER(F158)),COUNTIFS(C_RUTN,M158,C_SUELDO,"&lt;&gt;",C_INI,"&lt;"&amp;F158)+COUNTIFS(M$7:M158,M158,H$7:H158,"&lt;&gt;",F$7:F158,F158),"")</f>
        <v/>
      </c>
      <c r="S158" s="62" t="str">
        <f aca="false">IF(R158="","",M158&amp;"-S"&amp;R158)</f>
        <v/>
      </c>
    </row>
    <row r="159" customFormat="false" ht="15" hidden="false" customHeight="false" outlineLevel="0" collapsed="false">
      <c r="B159" s="58"/>
      <c r="C159" s="62" t="str">
        <f aca="false">IF(B159="","",IFERROR(INDEX(T_NOMBRE,MATCH(M159,T_RUTN,0)),"⚠ RUT no está en Trabajadores"))</f>
        <v/>
      </c>
      <c r="D159" s="58"/>
      <c r="E159" s="58"/>
      <c r="F159" s="59"/>
      <c r="G159" s="59"/>
      <c r="H159" s="60"/>
      <c r="I159" s="58"/>
      <c r="J159" s="58"/>
      <c r="K159" s="58"/>
      <c r="L159" s="62" t="str">
        <f aca="false">IF(B159="","",IF(LEFT(C159,1)="⚠","⚠ Registre primero al trabajador en la hoja Trabajadores",IF(AND(N159="Sí",OR(E159="",NOT(ISNUMBER(F159)))),"⚠ Falta tipo de contrato o fecha de inicio",IF(NOT(ISNUMBER(F159)),"⚠ Falta fecha de inicio",IF(AND(N159="Sí",E159&lt;&gt;"Indefinido",NOT(ISNUMBER(G159))),"⚠ Falta fecha de término",IF(AND(D159="Paso a indefinido",E159&lt;&gt;"Indefinido"),"⚠ Un paso a indefinido debe tener tipo Indefinido",IF(N(Q159)&gt;=3,"⚠ 3er contrato a plazo fijo: por ley ya es INDEFINIDO (Art. 159 N°4)",IF(AND(E159="Plazo fijo",ISNUMBER(G159),(G159-F159+1)/30.4375&gt;12),"⚠ Plazo fijo mayor a 1 año (máximo legal)",IF(J159&lt;&gt;"Sí","Pendiente de firma","OK")))))))))</f>
        <v/>
      </c>
      <c r="M159" s="62" t="str">
        <f aca="false">IF(B159="","",IFERROR(VALUE(LEFT(UPPER(SUBSTITUTE(SUBSTITUTE(SUBSTITUTE(TRIM(B159),".",""),"-","")," ","")),LEN(UPPER(SUBSTITUTE(SUBSTITUTE(SUBSTITUTE(TRIM(B159),".",""),"-","")," ","")))-1))&amp;RIGHT(UPPER(SUBSTITUTE(SUBSTITUTE(SUBSTITUTE(TRIM(B159),".",""),"-","")," ","")),1),UPPER(SUBSTITUTE(SUBSTITUTE(SUBSTITUTE(TRIM(B159),".",""),"-","")," ",""))))</f>
        <v/>
      </c>
      <c r="N159" s="62" t="str">
        <f aca="false">IF(B159="","",IF(D159="Anexo de modificación","No","Sí"))</f>
        <v/>
      </c>
      <c r="O159" s="62" t="str">
        <f aca="false">IF(AND(N159="Sí",ISNUMBER(F159)),COUNTIFS(C_RUTN,M159,C_DEF,"Sí",C_INI,"&lt;"&amp;F159)+COUNTIFS(M$7:M159,M159,N$7:N159,"Sí",F$7:F159,F159),"")</f>
        <v/>
      </c>
      <c r="P159" s="62" t="str">
        <f aca="false">IF(O159="","",M159&amp;"-P"&amp;O159)</f>
        <v/>
      </c>
      <c r="Q159" s="62" t="str">
        <f aca="false">IF(AND(N159="Sí",E159="Plazo fijo",ISNUMBER(F159)),COUNTIFS(C_RUTN,M159,C_TIPO,"Plazo fijo",C_DEF,"Sí",C_INI,"&lt;"&amp;F159)+COUNTIFS(M$7:M159,M159,E$7:E159,"Plazo fijo",N$7:N159,"Sí",F$7:F159,F159),"")</f>
        <v/>
      </c>
      <c r="R159" s="62" t="str">
        <f aca="false">IF(AND(B159&lt;&gt;"",ISNUMBER(H159),ISNUMBER(F159)),COUNTIFS(C_RUTN,M159,C_SUELDO,"&lt;&gt;",C_INI,"&lt;"&amp;F159)+COUNTIFS(M$7:M159,M159,H$7:H159,"&lt;&gt;",F$7:F159,F159),"")</f>
        <v/>
      </c>
      <c r="S159" s="62" t="str">
        <f aca="false">IF(R159="","",M159&amp;"-S"&amp;R159)</f>
        <v/>
      </c>
    </row>
    <row r="160" customFormat="false" ht="15" hidden="false" customHeight="false" outlineLevel="0" collapsed="false">
      <c r="B160" s="58"/>
      <c r="C160" s="62" t="str">
        <f aca="false">IF(B160="","",IFERROR(INDEX(T_NOMBRE,MATCH(M160,T_RUTN,0)),"⚠ RUT no está en Trabajadores"))</f>
        <v/>
      </c>
      <c r="D160" s="58"/>
      <c r="E160" s="58"/>
      <c r="F160" s="59"/>
      <c r="G160" s="59"/>
      <c r="H160" s="60"/>
      <c r="I160" s="58"/>
      <c r="J160" s="58"/>
      <c r="K160" s="58"/>
      <c r="L160" s="62" t="str">
        <f aca="false">IF(B160="","",IF(LEFT(C160,1)="⚠","⚠ Registre primero al trabajador en la hoja Trabajadores",IF(AND(N160="Sí",OR(E160="",NOT(ISNUMBER(F160)))),"⚠ Falta tipo de contrato o fecha de inicio",IF(NOT(ISNUMBER(F160)),"⚠ Falta fecha de inicio",IF(AND(N160="Sí",E160&lt;&gt;"Indefinido",NOT(ISNUMBER(G160))),"⚠ Falta fecha de término",IF(AND(D160="Paso a indefinido",E160&lt;&gt;"Indefinido"),"⚠ Un paso a indefinido debe tener tipo Indefinido",IF(N(Q160)&gt;=3,"⚠ 3er contrato a plazo fijo: por ley ya es INDEFINIDO (Art. 159 N°4)",IF(AND(E160="Plazo fijo",ISNUMBER(G160),(G160-F160+1)/30.4375&gt;12),"⚠ Plazo fijo mayor a 1 año (máximo legal)",IF(J160&lt;&gt;"Sí","Pendiente de firma","OK")))))))))</f>
        <v/>
      </c>
      <c r="M160" s="62" t="str">
        <f aca="false">IF(B160="","",IFERROR(VALUE(LEFT(UPPER(SUBSTITUTE(SUBSTITUTE(SUBSTITUTE(TRIM(B160),".",""),"-","")," ","")),LEN(UPPER(SUBSTITUTE(SUBSTITUTE(SUBSTITUTE(TRIM(B160),".",""),"-","")," ","")))-1))&amp;RIGHT(UPPER(SUBSTITUTE(SUBSTITUTE(SUBSTITUTE(TRIM(B160),".",""),"-","")," ","")),1),UPPER(SUBSTITUTE(SUBSTITUTE(SUBSTITUTE(TRIM(B160),".",""),"-","")," ",""))))</f>
        <v/>
      </c>
      <c r="N160" s="62" t="str">
        <f aca="false">IF(B160="","",IF(D160="Anexo de modificación","No","Sí"))</f>
        <v/>
      </c>
      <c r="O160" s="62" t="str">
        <f aca="false">IF(AND(N160="Sí",ISNUMBER(F160)),COUNTIFS(C_RUTN,M160,C_DEF,"Sí",C_INI,"&lt;"&amp;F160)+COUNTIFS(M$7:M160,M160,N$7:N160,"Sí",F$7:F160,F160),"")</f>
        <v/>
      </c>
      <c r="P160" s="62" t="str">
        <f aca="false">IF(O160="","",M160&amp;"-P"&amp;O160)</f>
        <v/>
      </c>
      <c r="Q160" s="62" t="str">
        <f aca="false">IF(AND(N160="Sí",E160="Plazo fijo",ISNUMBER(F160)),COUNTIFS(C_RUTN,M160,C_TIPO,"Plazo fijo",C_DEF,"Sí",C_INI,"&lt;"&amp;F160)+COUNTIFS(M$7:M160,M160,E$7:E160,"Plazo fijo",N$7:N160,"Sí",F$7:F160,F160),"")</f>
        <v/>
      </c>
      <c r="R160" s="62" t="str">
        <f aca="false">IF(AND(B160&lt;&gt;"",ISNUMBER(H160),ISNUMBER(F160)),COUNTIFS(C_RUTN,M160,C_SUELDO,"&lt;&gt;",C_INI,"&lt;"&amp;F160)+COUNTIFS(M$7:M160,M160,H$7:H160,"&lt;&gt;",F$7:F160,F160),"")</f>
        <v/>
      </c>
      <c r="S160" s="62" t="str">
        <f aca="false">IF(R160="","",M160&amp;"-S"&amp;R160)</f>
        <v/>
      </c>
    </row>
    <row r="161" customFormat="false" ht="15" hidden="false" customHeight="false" outlineLevel="0" collapsed="false">
      <c r="B161" s="58"/>
      <c r="C161" s="62" t="str">
        <f aca="false">IF(B161="","",IFERROR(INDEX(T_NOMBRE,MATCH(M161,T_RUTN,0)),"⚠ RUT no está en Trabajadores"))</f>
        <v/>
      </c>
      <c r="D161" s="58"/>
      <c r="E161" s="58"/>
      <c r="F161" s="59"/>
      <c r="G161" s="59"/>
      <c r="H161" s="60"/>
      <c r="I161" s="58"/>
      <c r="J161" s="58"/>
      <c r="K161" s="58"/>
      <c r="L161" s="62" t="str">
        <f aca="false">IF(B161="","",IF(LEFT(C161,1)="⚠","⚠ Registre primero al trabajador en la hoja Trabajadores",IF(AND(N161="Sí",OR(E161="",NOT(ISNUMBER(F161)))),"⚠ Falta tipo de contrato o fecha de inicio",IF(NOT(ISNUMBER(F161)),"⚠ Falta fecha de inicio",IF(AND(N161="Sí",E161&lt;&gt;"Indefinido",NOT(ISNUMBER(G161))),"⚠ Falta fecha de término",IF(AND(D161="Paso a indefinido",E161&lt;&gt;"Indefinido"),"⚠ Un paso a indefinido debe tener tipo Indefinido",IF(N(Q161)&gt;=3,"⚠ 3er contrato a plazo fijo: por ley ya es INDEFINIDO (Art. 159 N°4)",IF(AND(E161="Plazo fijo",ISNUMBER(G161),(G161-F161+1)/30.4375&gt;12),"⚠ Plazo fijo mayor a 1 año (máximo legal)",IF(J161&lt;&gt;"Sí","Pendiente de firma","OK")))))))))</f>
        <v/>
      </c>
      <c r="M161" s="62" t="str">
        <f aca="false">IF(B161="","",IFERROR(VALUE(LEFT(UPPER(SUBSTITUTE(SUBSTITUTE(SUBSTITUTE(TRIM(B161),".",""),"-","")," ","")),LEN(UPPER(SUBSTITUTE(SUBSTITUTE(SUBSTITUTE(TRIM(B161),".",""),"-","")," ","")))-1))&amp;RIGHT(UPPER(SUBSTITUTE(SUBSTITUTE(SUBSTITUTE(TRIM(B161),".",""),"-","")," ","")),1),UPPER(SUBSTITUTE(SUBSTITUTE(SUBSTITUTE(TRIM(B161),".",""),"-","")," ",""))))</f>
        <v/>
      </c>
      <c r="N161" s="62" t="str">
        <f aca="false">IF(B161="","",IF(D161="Anexo de modificación","No","Sí"))</f>
        <v/>
      </c>
      <c r="O161" s="62" t="str">
        <f aca="false">IF(AND(N161="Sí",ISNUMBER(F161)),COUNTIFS(C_RUTN,M161,C_DEF,"Sí",C_INI,"&lt;"&amp;F161)+COUNTIFS(M$7:M161,M161,N$7:N161,"Sí",F$7:F161,F161),"")</f>
        <v/>
      </c>
      <c r="P161" s="62" t="str">
        <f aca="false">IF(O161="","",M161&amp;"-P"&amp;O161)</f>
        <v/>
      </c>
      <c r="Q161" s="62" t="str">
        <f aca="false">IF(AND(N161="Sí",E161="Plazo fijo",ISNUMBER(F161)),COUNTIFS(C_RUTN,M161,C_TIPO,"Plazo fijo",C_DEF,"Sí",C_INI,"&lt;"&amp;F161)+COUNTIFS(M$7:M161,M161,E$7:E161,"Plazo fijo",N$7:N161,"Sí",F$7:F161,F161),"")</f>
        <v/>
      </c>
      <c r="R161" s="62" t="str">
        <f aca="false">IF(AND(B161&lt;&gt;"",ISNUMBER(H161),ISNUMBER(F161)),COUNTIFS(C_RUTN,M161,C_SUELDO,"&lt;&gt;",C_INI,"&lt;"&amp;F161)+COUNTIFS(M$7:M161,M161,H$7:H161,"&lt;&gt;",F$7:F161,F161),"")</f>
        <v/>
      </c>
      <c r="S161" s="62" t="str">
        <f aca="false">IF(R161="","",M161&amp;"-S"&amp;R161)</f>
        <v/>
      </c>
    </row>
    <row r="162" customFormat="false" ht="15" hidden="false" customHeight="false" outlineLevel="0" collapsed="false">
      <c r="B162" s="58"/>
      <c r="C162" s="62" t="str">
        <f aca="false">IF(B162="","",IFERROR(INDEX(T_NOMBRE,MATCH(M162,T_RUTN,0)),"⚠ RUT no está en Trabajadores"))</f>
        <v/>
      </c>
      <c r="D162" s="58"/>
      <c r="E162" s="58"/>
      <c r="F162" s="59"/>
      <c r="G162" s="59"/>
      <c r="H162" s="60"/>
      <c r="I162" s="58"/>
      <c r="J162" s="58"/>
      <c r="K162" s="58"/>
      <c r="L162" s="62" t="str">
        <f aca="false">IF(B162="","",IF(LEFT(C162,1)="⚠","⚠ Registre primero al trabajador en la hoja Trabajadores",IF(AND(N162="Sí",OR(E162="",NOT(ISNUMBER(F162)))),"⚠ Falta tipo de contrato o fecha de inicio",IF(NOT(ISNUMBER(F162)),"⚠ Falta fecha de inicio",IF(AND(N162="Sí",E162&lt;&gt;"Indefinido",NOT(ISNUMBER(G162))),"⚠ Falta fecha de término",IF(AND(D162="Paso a indefinido",E162&lt;&gt;"Indefinido"),"⚠ Un paso a indefinido debe tener tipo Indefinido",IF(N(Q162)&gt;=3,"⚠ 3er contrato a plazo fijo: por ley ya es INDEFINIDO (Art. 159 N°4)",IF(AND(E162="Plazo fijo",ISNUMBER(G162),(G162-F162+1)/30.4375&gt;12),"⚠ Plazo fijo mayor a 1 año (máximo legal)",IF(J162&lt;&gt;"Sí","Pendiente de firma","OK")))))))))</f>
        <v/>
      </c>
      <c r="M162" s="62" t="str">
        <f aca="false">IF(B162="","",IFERROR(VALUE(LEFT(UPPER(SUBSTITUTE(SUBSTITUTE(SUBSTITUTE(TRIM(B162),".",""),"-","")," ","")),LEN(UPPER(SUBSTITUTE(SUBSTITUTE(SUBSTITUTE(TRIM(B162),".",""),"-","")," ","")))-1))&amp;RIGHT(UPPER(SUBSTITUTE(SUBSTITUTE(SUBSTITUTE(TRIM(B162),".",""),"-","")," ","")),1),UPPER(SUBSTITUTE(SUBSTITUTE(SUBSTITUTE(TRIM(B162),".",""),"-","")," ",""))))</f>
        <v/>
      </c>
      <c r="N162" s="62" t="str">
        <f aca="false">IF(B162="","",IF(D162="Anexo de modificación","No","Sí"))</f>
        <v/>
      </c>
      <c r="O162" s="62" t="str">
        <f aca="false">IF(AND(N162="Sí",ISNUMBER(F162)),COUNTIFS(C_RUTN,M162,C_DEF,"Sí",C_INI,"&lt;"&amp;F162)+COUNTIFS(M$7:M162,M162,N$7:N162,"Sí",F$7:F162,F162),"")</f>
        <v/>
      </c>
      <c r="P162" s="62" t="str">
        <f aca="false">IF(O162="","",M162&amp;"-P"&amp;O162)</f>
        <v/>
      </c>
      <c r="Q162" s="62" t="str">
        <f aca="false">IF(AND(N162="Sí",E162="Plazo fijo",ISNUMBER(F162)),COUNTIFS(C_RUTN,M162,C_TIPO,"Plazo fijo",C_DEF,"Sí",C_INI,"&lt;"&amp;F162)+COUNTIFS(M$7:M162,M162,E$7:E162,"Plazo fijo",N$7:N162,"Sí",F$7:F162,F162),"")</f>
        <v/>
      </c>
      <c r="R162" s="62" t="str">
        <f aca="false">IF(AND(B162&lt;&gt;"",ISNUMBER(H162),ISNUMBER(F162)),COUNTIFS(C_RUTN,M162,C_SUELDO,"&lt;&gt;",C_INI,"&lt;"&amp;F162)+COUNTIFS(M$7:M162,M162,H$7:H162,"&lt;&gt;",F$7:F162,F162),"")</f>
        <v/>
      </c>
      <c r="S162" s="62" t="str">
        <f aca="false">IF(R162="","",M162&amp;"-S"&amp;R162)</f>
        <v/>
      </c>
    </row>
    <row r="163" customFormat="false" ht="15" hidden="false" customHeight="false" outlineLevel="0" collapsed="false">
      <c r="B163" s="58"/>
      <c r="C163" s="62" t="str">
        <f aca="false">IF(B163="","",IFERROR(INDEX(T_NOMBRE,MATCH(M163,T_RUTN,0)),"⚠ RUT no está en Trabajadores"))</f>
        <v/>
      </c>
      <c r="D163" s="58"/>
      <c r="E163" s="58"/>
      <c r="F163" s="59"/>
      <c r="G163" s="59"/>
      <c r="H163" s="60"/>
      <c r="I163" s="58"/>
      <c r="J163" s="58"/>
      <c r="K163" s="58"/>
      <c r="L163" s="62" t="str">
        <f aca="false">IF(B163="","",IF(LEFT(C163,1)="⚠","⚠ Registre primero al trabajador en la hoja Trabajadores",IF(AND(N163="Sí",OR(E163="",NOT(ISNUMBER(F163)))),"⚠ Falta tipo de contrato o fecha de inicio",IF(NOT(ISNUMBER(F163)),"⚠ Falta fecha de inicio",IF(AND(N163="Sí",E163&lt;&gt;"Indefinido",NOT(ISNUMBER(G163))),"⚠ Falta fecha de término",IF(AND(D163="Paso a indefinido",E163&lt;&gt;"Indefinido"),"⚠ Un paso a indefinido debe tener tipo Indefinido",IF(N(Q163)&gt;=3,"⚠ 3er contrato a plazo fijo: por ley ya es INDEFINIDO (Art. 159 N°4)",IF(AND(E163="Plazo fijo",ISNUMBER(G163),(G163-F163+1)/30.4375&gt;12),"⚠ Plazo fijo mayor a 1 año (máximo legal)",IF(J163&lt;&gt;"Sí","Pendiente de firma","OK")))))))))</f>
        <v/>
      </c>
      <c r="M163" s="62" t="str">
        <f aca="false">IF(B163="","",IFERROR(VALUE(LEFT(UPPER(SUBSTITUTE(SUBSTITUTE(SUBSTITUTE(TRIM(B163),".",""),"-","")," ","")),LEN(UPPER(SUBSTITUTE(SUBSTITUTE(SUBSTITUTE(TRIM(B163),".",""),"-","")," ","")))-1))&amp;RIGHT(UPPER(SUBSTITUTE(SUBSTITUTE(SUBSTITUTE(TRIM(B163),".",""),"-","")," ","")),1),UPPER(SUBSTITUTE(SUBSTITUTE(SUBSTITUTE(TRIM(B163),".",""),"-","")," ",""))))</f>
        <v/>
      </c>
      <c r="N163" s="62" t="str">
        <f aca="false">IF(B163="","",IF(D163="Anexo de modificación","No","Sí"))</f>
        <v/>
      </c>
      <c r="O163" s="62" t="str">
        <f aca="false">IF(AND(N163="Sí",ISNUMBER(F163)),COUNTIFS(C_RUTN,M163,C_DEF,"Sí",C_INI,"&lt;"&amp;F163)+COUNTIFS(M$7:M163,M163,N$7:N163,"Sí",F$7:F163,F163),"")</f>
        <v/>
      </c>
      <c r="P163" s="62" t="str">
        <f aca="false">IF(O163="","",M163&amp;"-P"&amp;O163)</f>
        <v/>
      </c>
      <c r="Q163" s="62" t="str">
        <f aca="false">IF(AND(N163="Sí",E163="Plazo fijo",ISNUMBER(F163)),COUNTIFS(C_RUTN,M163,C_TIPO,"Plazo fijo",C_DEF,"Sí",C_INI,"&lt;"&amp;F163)+COUNTIFS(M$7:M163,M163,E$7:E163,"Plazo fijo",N$7:N163,"Sí",F$7:F163,F163),"")</f>
        <v/>
      </c>
      <c r="R163" s="62" t="str">
        <f aca="false">IF(AND(B163&lt;&gt;"",ISNUMBER(H163),ISNUMBER(F163)),COUNTIFS(C_RUTN,M163,C_SUELDO,"&lt;&gt;",C_INI,"&lt;"&amp;F163)+COUNTIFS(M$7:M163,M163,H$7:H163,"&lt;&gt;",F$7:F163,F163),"")</f>
        <v/>
      </c>
      <c r="S163" s="62" t="str">
        <f aca="false">IF(R163="","",M163&amp;"-S"&amp;R163)</f>
        <v/>
      </c>
    </row>
    <row r="164" customFormat="false" ht="15" hidden="false" customHeight="false" outlineLevel="0" collapsed="false">
      <c r="B164" s="58"/>
      <c r="C164" s="62" t="str">
        <f aca="false">IF(B164="","",IFERROR(INDEX(T_NOMBRE,MATCH(M164,T_RUTN,0)),"⚠ RUT no está en Trabajadores"))</f>
        <v/>
      </c>
      <c r="D164" s="58"/>
      <c r="E164" s="58"/>
      <c r="F164" s="59"/>
      <c r="G164" s="59"/>
      <c r="H164" s="60"/>
      <c r="I164" s="58"/>
      <c r="J164" s="58"/>
      <c r="K164" s="58"/>
      <c r="L164" s="62" t="str">
        <f aca="false">IF(B164="","",IF(LEFT(C164,1)="⚠","⚠ Registre primero al trabajador en la hoja Trabajadores",IF(AND(N164="Sí",OR(E164="",NOT(ISNUMBER(F164)))),"⚠ Falta tipo de contrato o fecha de inicio",IF(NOT(ISNUMBER(F164)),"⚠ Falta fecha de inicio",IF(AND(N164="Sí",E164&lt;&gt;"Indefinido",NOT(ISNUMBER(G164))),"⚠ Falta fecha de término",IF(AND(D164="Paso a indefinido",E164&lt;&gt;"Indefinido"),"⚠ Un paso a indefinido debe tener tipo Indefinido",IF(N(Q164)&gt;=3,"⚠ 3er contrato a plazo fijo: por ley ya es INDEFINIDO (Art. 159 N°4)",IF(AND(E164="Plazo fijo",ISNUMBER(G164),(G164-F164+1)/30.4375&gt;12),"⚠ Plazo fijo mayor a 1 año (máximo legal)",IF(J164&lt;&gt;"Sí","Pendiente de firma","OK")))))))))</f>
        <v/>
      </c>
      <c r="M164" s="62" t="str">
        <f aca="false">IF(B164="","",IFERROR(VALUE(LEFT(UPPER(SUBSTITUTE(SUBSTITUTE(SUBSTITUTE(TRIM(B164),".",""),"-","")," ","")),LEN(UPPER(SUBSTITUTE(SUBSTITUTE(SUBSTITUTE(TRIM(B164),".",""),"-","")," ","")))-1))&amp;RIGHT(UPPER(SUBSTITUTE(SUBSTITUTE(SUBSTITUTE(TRIM(B164),".",""),"-","")," ","")),1),UPPER(SUBSTITUTE(SUBSTITUTE(SUBSTITUTE(TRIM(B164),".",""),"-","")," ",""))))</f>
        <v/>
      </c>
      <c r="N164" s="62" t="str">
        <f aca="false">IF(B164="","",IF(D164="Anexo de modificación","No","Sí"))</f>
        <v/>
      </c>
      <c r="O164" s="62" t="str">
        <f aca="false">IF(AND(N164="Sí",ISNUMBER(F164)),COUNTIFS(C_RUTN,M164,C_DEF,"Sí",C_INI,"&lt;"&amp;F164)+COUNTIFS(M$7:M164,M164,N$7:N164,"Sí",F$7:F164,F164),"")</f>
        <v/>
      </c>
      <c r="P164" s="62" t="str">
        <f aca="false">IF(O164="","",M164&amp;"-P"&amp;O164)</f>
        <v/>
      </c>
      <c r="Q164" s="62" t="str">
        <f aca="false">IF(AND(N164="Sí",E164="Plazo fijo",ISNUMBER(F164)),COUNTIFS(C_RUTN,M164,C_TIPO,"Plazo fijo",C_DEF,"Sí",C_INI,"&lt;"&amp;F164)+COUNTIFS(M$7:M164,M164,E$7:E164,"Plazo fijo",N$7:N164,"Sí",F$7:F164,F164),"")</f>
        <v/>
      </c>
      <c r="R164" s="62" t="str">
        <f aca="false">IF(AND(B164&lt;&gt;"",ISNUMBER(H164),ISNUMBER(F164)),COUNTIFS(C_RUTN,M164,C_SUELDO,"&lt;&gt;",C_INI,"&lt;"&amp;F164)+COUNTIFS(M$7:M164,M164,H$7:H164,"&lt;&gt;",F$7:F164,F164),"")</f>
        <v/>
      </c>
      <c r="S164" s="62" t="str">
        <f aca="false">IF(R164="","",M164&amp;"-S"&amp;R164)</f>
        <v/>
      </c>
    </row>
    <row r="165" customFormat="false" ht="15" hidden="false" customHeight="false" outlineLevel="0" collapsed="false">
      <c r="B165" s="58"/>
      <c r="C165" s="62" t="str">
        <f aca="false">IF(B165="","",IFERROR(INDEX(T_NOMBRE,MATCH(M165,T_RUTN,0)),"⚠ RUT no está en Trabajadores"))</f>
        <v/>
      </c>
      <c r="D165" s="58"/>
      <c r="E165" s="58"/>
      <c r="F165" s="59"/>
      <c r="G165" s="59"/>
      <c r="H165" s="60"/>
      <c r="I165" s="58"/>
      <c r="J165" s="58"/>
      <c r="K165" s="58"/>
      <c r="L165" s="62" t="str">
        <f aca="false">IF(B165="","",IF(LEFT(C165,1)="⚠","⚠ Registre primero al trabajador en la hoja Trabajadores",IF(AND(N165="Sí",OR(E165="",NOT(ISNUMBER(F165)))),"⚠ Falta tipo de contrato o fecha de inicio",IF(NOT(ISNUMBER(F165)),"⚠ Falta fecha de inicio",IF(AND(N165="Sí",E165&lt;&gt;"Indefinido",NOT(ISNUMBER(G165))),"⚠ Falta fecha de término",IF(AND(D165="Paso a indefinido",E165&lt;&gt;"Indefinido"),"⚠ Un paso a indefinido debe tener tipo Indefinido",IF(N(Q165)&gt;=3,"⚠ 3er contrato a plazo fijo: por ley ya es INDEFINIDO (Art. 159 N°4)",IF(AND(E165="Plazo fijo",ISNUMBER(G165),(G165-F165+1)/30.4375&gt;12),"⚠ Plazo fijo mayor a 1 año (máximo legal)",IF(J165&lt;&gt;"Sí","Pendiente de firma","OK")))))))))</f>
        <v/>
      </c>
      <c r="M165" s="62" t="str">
        <f aca="false">IF(B165="","",IFERROR(VALUE(LEFT(UPPER(SUBSTITUTE(SUBSTITUTE(SUBSTITUTE(TRIM(B165),".",""),"-","")," ","")),LEN(UPPER(SUBSTITUTE(SUBSTITUTE(SUBSTITUTE(TRIM(B165),".",""),"-","")," ","")))-1))&amp;RIGHT(UPPER(SUBSTITUTE(SUBSTITUTE(SUBSTITUTE(TRIM(B165),".",""),"-","")," ","")),1),UPPER(SUBSTITUTE(SUBSTITUTE(SUBSTITUTE(TRIM(B165),".",""),"-","")," ",""))))</f>
        <v/>
      </c>
      <c r="N165" s="62" t="str">
        <f aca="false">IF(B165="","",IF(D165="Anexo de modificación","No","Sí"))</f>
        <v/>
      </c>
      <c r="O165" s="62" t="str">
        <f aca="false">IF(AND(N165="Sí",ISNUMBER(F165)),COUNTIFS(C_RUTN,M165,C_DEF,"Sí",C_INI,"&lt;"&amp;F165)+COUNTIFS(M$7:M165,M165,N$7:N165,"Sí",F$7:F165,F165),"")</f>
        <v/>
      </c>
      <c r="P165" s="62" t="str">
        <f aca="false">IF(O165="","",M165&amp;"-P"&amp;O165)</f>
        <v/>
      </c>
      <c r="Q165" s="62" t="str">
        <f aca="false">IF(AND(N165="Sí",E165="Plazo fijo",ISNUMBER(F165)),COUNTIFS(C_RUTN,M165,C_TIPO,"Plazo fijo",C_DEF,"Sí",C_INI,"&lt;"&amp;F165)+COUNTIFS(M$7:M165,M165,E$7:E165,"Plazo fijo",N$7:N165,"Sí",F$7:F165,F165),"")</f>
        <v/>
      </c>
      <c r="R165" s="62" t="str">
        <f aca="false">IF(AND(B165&lt;&gt;"",ISNUMBER(H165),ISNUMBER(F165)),COUNTIFS(C_RUTN,M165,C_SUELDO,"&lt;&gt;",C_INI,"&lt;"&amp;F165)+COUNTIFS(M$7:M165,M165,H$7:H165,"&lt;&gt;",F$7:F165,F165),"")</f>
        <v/>
      </c>
      <c r="S165" s="62" t="str">
        <f aca="false">IF(R165="","",M165&amp;"-S"&amp;R165)</f>
        <v/>
      </c>
    </row>
    <row r="166" customFormat="false" ht="15" hidden="false" customHeight="false" outlineLevel="0" collapsed="false">
      <c r="B166" s="58"/>
      <c r="C166" s="62" t="str">
        <f aca="false">IF(B166="","",IFERROR(INDEX(T_NOMBRE,MATCH(M166,T_RUTN,0)),"⚠ RUT no está en Trabajadores"))</f>
        <v/>
      </c>
      <c r="D166" s="58"/>
      <c r="E166" s="58"/>
      <c r="F166" s="59"/>
      <c r="G166" s="59"/>
      <c r="H166" s="60"/>
      <c r="I166" s="58"/>
      <c r="J166" s="58"/>
      <c r="K166" s="58"/>
      <c r="L166" s="62" t="str">
        <f aca="false">IF(B166="","",IF(LEFT(C166,1)="⚠","⚠ Registre primero al trabajador en la hoja Trabajadores",IF(AND(N166="Sí",OR(E166="",NOT(ISNUMBER(F166)))),"⚠ Falta tipo de contrato o fecha de inicio",IF(NOT(ISNUMBER(F166)),"⚠ Falta fecha de inicio",IF(AND(N166="Sí",E166&lt;&gt;"Indefinido",NOT(ISNUMBER(G166))),"⚠ Falta fecha de término",IF(AND(D166="Paso a indefinido",E166&lt;&gt;"Indefinido"),"⚠ Un paso a indefinido debe tener tipo Indefinido",IF(N(Q166)&gt;=3,"⚠ 3er contrato a plazo fijo: por ley ya es INDEFINIDO (Art. 159 N°4)",IF(AND(E166="Plazo fijo",ISNUMBER(G166),(G166-F166+1)/30.4375&gt;12),"⚠ Plazo fijo mayor a 1 año (máximo legal)",IF(J166&lt;&gt;"Sí","Pendiente de firma","OK")))))))))</f>
        <v/>
      </c>
      <c r="M166" s="62" t="str">
        <f aca="false">IF(B166="","",IFERROR(VALUE(LEFT(UPPER(SUBSTITUTE(SUBSTITUTE(SUBSTITUTE(TRIM(B166),".",""),"-","")," ","")),LEN(UPPER(SUBSTITUTE(SUBSTITUTE(SUBSTITUTE(TRIM(B166),".",""),"-","")," ","")))-1))&amp;RIGHT(UPPER(SUBSTITUTE(SUBSTITUTE(SUBSTITUTE(TRIM(B166),".",""),"-","")," ","")),1),UPPER(SUBSTITUTE(SUBSTITUTE(SUBSTITUTE(TRIM(B166),".",""),"-","")," ",""))))</f>
        <v/>
      </c>
      <c r="N166" s="62" t="str">
        <f aca="false">IF(B166="","",IF(D166="Anexo de modificación","No","Sí"))</f>
        <v/>
      </c>
      <c r="O166" s="62" t="str">
        <f aca="false">IF(AND(N166="Sí",ISNUMBER(F166)),COUNTIFS(C_RUTN,M166,C_DEF,"Sí",C_INI,"&lt;"&amp;F166)+COUNTIFS(M$7:M166,M166,N$7:N166,"Sí",F$7:F166,F166),"")</f>
        <v/>
      </c>
      <c r="P166" s="62" t="str">
        <f aca="false">IF(O166="","",M166&amp;"-P"&amp;O166)</f>
        <v/>
      </c>
      <c r="Q166" s="62" t="str">
        <f aca="false">IF(AND(N166="Sí",E166="Plazo fijo",ISNUMBER(F166)),COUNTIFS(C_RUTN,M166,C_TIPO,"Plazo fijo",C_DEF,"Sí",C_INI,"&lt;"&amp;F166)+COUNTIFS(M$7:M166,M166,E$7:E166,"Plazo fijo",N$7:N166,"Sí",F$7:F166,F166),"")</f>
        <v/>
      </c>
      <c r="R166" s="62" t="str">
        <f aca="false">IF(AND(B166&lt;&gt;"",ISNUMBER(H166),ISNUMBER(F166)),COUNTIFS(C_RUTN,M166,C_SUELDO,"&lt;&gt;",C_INI,"&lt;"&amp;F166)+COUNTIFS(M$7:M166,M166,H$7:H166,"&lt;&gt;",F$7:F166,F166),"")</f>
        <v/>
      </c>
      <c r="S166" s="62" t="str">
        <f aca="false">IF(R166="","",M166&amp;"-S"&amp;R166)</f>
        <v/>
      </c>
    </row>
    <row r="167" customFormat="false" ht="15" hidden="false" customHeight="false" outlineLevel="0" collapsed="false">
      <c r="B167" s="58"/>
      <c r="C167" s="62" t="str">
        <f aca="false">IF(B167="","",IFERROR(INDEX(T_NOMBRE,MATCH(M167,T_RUTN,0)),"⚠ RUT no está en Trabajadores"))</f>
        <v/>
      </c>
      <c r="D167" s="58"/>
      <c r="E167" s="58"/>
      <c r="F167" s="59"/>
      <c r="G167" s="59"/>
      <c r="H167" s="60"/>
      <c r="I167" s="58"/>
      <c r="J167" s="58"/>
      <c r="K167" s="58"/>
      <c r="L167" s="62" t="str">
        <f aca="false">IF(B167="","",IF(LEFT(C167,1)="⚠","⚠ Registre primero al trabajador en la hoja Trabajadores",IF(AND(N167="Sí",OR(E167="",NOT(ISNUMBER(F167)))),"⚠ Falta tipo de contrato o fecha de inicio",IF(NOT(ISNUMBER(F167)),"⚠ Falta fecha de inicio",IF(AND(N167="Sí",E167&lt;&gt;"Indefinido",NOT(ISNUMBER(G167))),"⚠ Falta fecha de término",IF(AND(D167="Paso a indefinido",E167&lt;&gt;"Indefinido"),"⚠ Un paso a indefinido debe tener tipo Indefinido",IF(N(Q167)&gt;=3,"⚠ 3er contrato a plazo fijo: por ley ya es INDEFINIDO (Art. 159 N°4)",IF(AND(E167="Plazo fijo",ISNUMBER(G167),(G167-F167+1)/30.4375&gt;12),"⚠ Plazo fijo mayor a 1 año (máximo legal)",IF(J167&lt;&gt;"Sí","Pendiente de firma","OK")))))))))</f>
        <v/>
      </c>
      <c r="M167" s="62" t="str">
        <f aca="false">IF(B167="","",IFERROR(VALUE(LEFT(UPPER(SUBSTITUTE(SUBSTITUTE(SUBSTITUTE(TRIM(B167),".",""),"-","")," ","")),LEN(UPPER(SUBSTITUTE(SUBSTITUTE(SUBSTITUTE(TRIM(B167),".",""),"-","")," ","")))-1))&amp;RIGHT(UPPER(SUBSTITUTE(SUBSTITUTE(SUBSTITUTE(TRIM(B167),".",""),"-","")," ","")),1),UPPER(SUBSTITUTE(SUBSTITUTE(SUBSTITUTE(TRIM(B167),".",""),"-","")," ",""))))</f>
        <v/>
      </c>
      <c r="N167" s="62" t="str">
        <f aca="false">IF(B167="","",IF(D167="Anexo de modificación","No","Sí"))</f>
        <v/>
      </c>
      <c r="O167" s="62" t="str">
        <f aca="false">IF(AND(N167="Sí",ISNUMBER(F167)),COUNTIFS(C_RUTN,M167,C_DEF,"Sí",C_INI,"&lt;"&amp;F167)+COUNTIFS(M$7:M167,M167,N$7:N167,"Sí",F$7:F167,F167),"")</f>
        <v/>
      </c>
      <c r="P167" s="62" t="str">
        <f aca="false">IF(O167="","",M167&amp;"-P"&amp;O167)</f>
        <v/>
      </c>
      <c r="Q167" s="62" t="str">
        <f aca="false">IF(AND(N167="Sí",E167="Plazo fijo",ISNUMBER(F167)),COUNTIFS(C_RUTN,M167,C_TIPO,"Plazo fijo",C_DEF,"Sí",C_INI,"&lt;"&amp;F167)+COUNTIFS(M$7:M167,M167,E$7:E167,"Plazo fijo",N$7:N167,"Sí",F$7:F167,F167),"")</f>
        <v/>
      </c>
      <c r="R167" s="62" t="str">
        <f aca="false">IF(AND(B167&lt;&gt;"",ISNUMBER(H167),ISNUMBER(F167)),COUNTIFS(C_RUTN,M167,C_SUELDO,"&lt;&gt;",C_INI,"&lt;"&amp;F167)+COUNTIFS(M$7:M167,M167,H$7:H167,"&lt;&gt;",F$7:F167,F167),"")</f>
        <v/>
      </c>
      <c r="S167" s="62" t="str">
        <f aca="false">IF(R167="","",M167&amp;"-S"&amp;R167)</f>
        <v/>
      </c>
    </row>
    <row r="168" customFormat="false" ht="15" hidden="false" customHeight="false" outlineLevel="0" collapsed="false">
      <c r="B168" s="58"/>
      <c r="C168" s="62" t="str">
        <f aca="false">IF(B168="","",IFERROR(INDEX(T_NOMBRE,MATCH(M168,T_RUTN,0)),"⚠ RUT no está en Trabajadores"))</f>
        <v/>
      </c>
      <c r="D168" s="58"/>
      <c r="E168" s="58"/>
      <c r="F168" s="59"/>
      <c r="G168" s="59"/>
      <c r="H168" s="60"/>
      <c r="I168" s="58"/>
      <c r="J168" s="58"/>
      <c r="K168" s="58"/>
      <c r="L168" s="62" t="str">
        <f aca="false">IF(B168="","",IF(LEFT(C168,1)="⚠","⚠ Registre primero al trabajador en la hoja Trabajadores",IF(AND(N168="Sí",OR(E168="",NOT(ISNUMBER(F168)))),"⚠ Falta tipo de contrato o fecha de inicio",IF(NOT(ISNUMBER(F168)),"⚠ Falta fecha de inicio",IF(AND(N168="Sí",E168&lt;&gt;"Indefinido",NOT(ISNUMBER(G168))),"⚠ Falta fecha de término",IF(AND(D168="Paso a indefinido",E168&lt;&gt;"Indefinido"),"⚠ Un paso a indefinido debe tener tipo Indefinido",IF(N(Q168)&gt;=3,"⚠ 3er contrato a plazo fijo: por ley ya es INDEFINIDO (Art. 159 N°4)",IF(AND(E168="Plazo fijo",ISNUMBER(G168),(G168-F168+1)/30.4375&gt;12),"⚠ Plazo fijo mayor a 1 año (máximo legal)",IF(J168&lt;&gt;"Sí","Pendiente de firma","OK")))))))))</f>
        <v/>
      </c>
      <c r="M168" s="62" t="str">
        <f aca="false">IF(B168="","",IFERROR(VALUE(LEFT(UPPER(SUBSTITUTE(SUBSTITUTE(SUBSTITUTE(TRIM(B168),".",""),"-","")," ","")),LEN(UPPER(SUBSTITUTE(SUBSTITUTE(SUBSTITUTE(TRIM(B168),".",""),"-","")," ","")))-1))&amp;RIGHT(UPPER(SUBSTITUTE(SUBSTITUTE(SUBSTITUTE(TRIM(B168),".",""),"-","")," ","")),1),UPPER(SUBSTITUTE(SUBSTITUTE(SUBSTITUTE(TRIM(B168),".",""),"-","")," ",""))))</f>
        <v/>
      </c>
      <c r="N168" s="62" t="str">
        <f aca="false">IF(B168="","",IF(D168="Anexo de modificación","No","Sí"))</f>
        <v/>
      </c>
      <c r="O168" s="62" t="str">
        <f aca="false">IF(AND(N168="Sí",ISNUMBER(F168)),COUNTIFS(C_RUTN,M168,C_DEF,"Sí",C_INI,"&lt;"&amp;F168)+COUNTIFS(M$7:M168,M168,N$7:N168,"Sí",F$7:F168,F168),"")</f>
        <v/>
      </c>
      <c r="P168" s="62" t="str">
        <f aca="false">IF(O168="","",M168&amp;"-P"&amp;O168)</f>
        <v/>
      </c>
      <c r="Q168" s="62" t="str">
        <f aca="false">IF(AND(N168="Sí",E168="Plazo fijo",ISNUMBER(F168)),COUNTIFS(C_RUTN,M168,C_TIPO,"Plazo fijo",C_DEF,"Sí",C_INI,"&lt;"&amp;F168)+COUNTIFS(M$7:M168,M168,E$7:E168,"Plazo fijo",N$7:N168,"Sí",F$7:F168,F168),"")</f>
        <v/>
      </c>
      <c r="R168" s="62" t="str">
        <f aca="false">IF(AND(B168&lt;&gt;"",ISNUMBER(H168),ISNUMBER(F168)),COUNTIFS(C_RUTN,M168,C_SUELDO,"&lt;&gt;",C_INI,"&lt;"&amp;F168)+COUNTIFS(M$7:M168,M168,H$7:H168,"&lt;&gt;",F$7:F168,F168),"")</f>
        <v/>
      </c>
      <c r="S168" s="62" t="str">
        <f aca="false">IF(R168="","",M168&amp;"-S"&amp;R168)</f>
        <v/>
      </c>
    </row>
    <row r="169" customFormat="false" ht="15" hidden="false" customHeight="false" outlineLevel="0" collapsed="false">
      <c r="B169" s="58"/>
      <c r="C169" s="62" t="str">
        <f aca="false">IF(B169="","",IFERROR(INDEX(T_NOMBRE,MATCH(M169,T_RUTN,0)),"⚠ RUT no está en Trabajadores"))</f>
        <v/>
      </c>
      <c r="D169" s="58"/>
      <c r="E169" s="58"/>
      <c r="F169" s="59"/>
      <c r="G169" s="59"/>
      <c r="H169" s="60"/>
      <c r="I169" s="58"/>
      <c r="J169" s="58"/>
      <c r="K169" s="58"/>
      <c r="L169" s="62" t="str">
        <f aca="false">IF(B169="","",IF(LEFT(C169,1)="⚠","⚠ Registre primero al trabajador en la hoja Trabajadores",IF(AND(N169="Sí",OR(E169="",NOT(ISNUMBER(F169)))),"⚠ Falta tipo de contrato o fecha de inicio",IF(NOT(ISNUMBER(F169)),"⚠ Falta fecha de inicio",IF(AND(N169="Sí",E169&lt;&gt;"Indefinido",NOT(ISNUMBER(G169))),"⚠ Falta fecha de término",IF(AND(D169="Paso a indefinido",E169&lt;&gt;"Indefinido"),"⚠ Un paso a indefinido debe tener tipo Indefinido",IF(N(Q169)&gt;=3,"⚠ 3er contrato a plazo fijo: por ley ya es INDEFINIDO (Art. 159 N°4)",IF(AND(E169="Plazo fijo",ISNUMBER(G169),(G169-F169+1)/30.4375&gt;12),"⚠ Plazo fijo mayor a 1 año (máximo legal)",IF(J169&lt;&gt;"Sí","Pendiente de firma","OK")))))))))</f>
        <v/>
      </c>
      <c r="M169" s="62" t="str">
        <f aca="false">IF(B169="","",IFERROR(VALUE(LEFT(UPPER(SUBSTITUTE(SUBSTITUTE(SUBSTITUTE(TRIM(B169),".",""),"-","")," ","")),LEN(UPPER(SUBSTITUTE(SUBSTITUTE(SUBSTITUTE(TRIM(B169),".",""),"-","")," ","")))-1))&amp;RIGHT(UPPER(SUBSTITUTE(SUBSTITUTE(SUBSTITUTE(TRIM(B169),".",""),"-","")," ","")),1),UPPER(SUBSTITUTE(SUBSTITUTE(SUBSTITUTE(TRIM(B169),".",""),"-","")," ",""))))</f>
        <v/>
      </c>
      <c r="N169" s="62" t="str">
        <f aca="false">IF(B169="","",IF(D169="Anexo de modificación","No","Sí"))</f>
        <v/>
      </c>
      <c r="O169" s="62" t="str">
        <f aca="false">IF(AND(N169="Sí",ISNUMBER(F169)),COUNTIFS(C_RUTN,M169,C_DEF,"Sí",C_INI,"&lt;"&amp;F169)+COUNTIFS(M$7:M169,M169,N$7:N169,"Sí",F$7:F169,F169),"")</f>
        <v/>
      </c>
      <c r="P169" s="62" t="str">
        <f aca="false">IF(O169="","",M169&amp;"-P"&amp;O169)</f>
        <v/>
      </c>
      <c r="Q169" s="62" t="str">
        <f aca="false">IF(AND(N169="Sí",E169="Plazo fijo",ISNUMBER(F169)),COUNTIFS(C_RUTN,M169,C_TIPO,"Plazo fijo",C_DEF,"Sí",C_INI,"&lt;"&amp;F169)+COUNTIFS(M$7:M169,M169,E$7:E169,"Plazo fijo",N$7:N169,"Sí",F$7:F169,F169),"")</f>
        <v/>
      </c>
      <c r="R169" s="62" t="str">
        <f aca="false">IF(AND(B169&lt;&gt;"",ISNUMBER(H169),ISNUMBER(F169)),COUNTIFS(C_RUTN,M169,C_SUELDO,"&lt;&gt;",C_INI,"&lt;"&amp;F169)+COUNTIFS(M$7:M169,M169,H$7:H169,"&lt;&gt;",F$7:F169,F169),"")</f>
        <v/>
      </c>
      <c r="S169" s="62" t="str">
        <f aca="false">IF(R169="","",M169&amp;"-S"&amp;R169)</f>
        <v/>
      </c>
    </row>
    <row r="170" customFormat="false" ht="15" hidden="false" customHeight="false" outlineLevel="0" collapsed="false">
      <c r="B170" s="58"/>
      <c r="C170" s="62" t="str">
        <f aca="false">IF(B170="","",IFERROR(INDEX(T_NOMBRE,MATCH(M170,T_RUTN,0)),"⚠ RUT no está en Trabajadores"))</f>
        <v/>
      </c>
      <c r="D170" s="58"/>
      <c r="E170" s="58"/>
      <c r="F170" s="59"/>
      <c r="G170" s="59"/>
      <c r="H170" s="60"/>
      <c r="I170" s="58"/>
      <c r="J170" s="58"/>
      <c r="K170" s="58"/>
      <c r="L170" s="62" t="str">
        <f aca="false">IF(B170="","",IF(LEFT(C170,1)="⚠","⚠ Registre primero al trabajador en la hoja Trabajadores",IF(AND(N170="Sí",OR(E170="",NOT(ISNUMBER(F170)))),"⚠ Falta tipo de contrato o fecha de inicio",IF(NOT(ISNUMBER(F170)),"⚠ Falta fecha de inicio",IF(AND(N170="Sí",E170&lt;&gt;"Indefinido",NOT(ISNUMBER(G170))),"⚠ Falta fecha de término",IF(AND(D170="Paso a indefinido",E170&lt;&gt;"Indefinido"),"⚠ Un paso a indefinido debe tener tipo Indefinido",IF(N(Q170)&gt;=3,"⚠ 3er contrato a plazo fijo: por ley ya es INDEFINIDO (Art. 159 N°4)",IF(AND(E170="Plazo fijo",ISNUMBER(G170),(G170-F170+1)/30.4375&gt;12),"⚠ Plazo fijo mayor a 1 año (máximo legal)",IF(J170&lt;&gt;"Sí","Pendiente de firma","OK")))))))))</f>
        <v/>
      </c>
      <c r="M170" s="62" t="str">
        <f aca="false">IF(B170="","",IFERROR(VALUE(LEFT(UPPER(SUBSTITUTE(SUBSTITUTE(SUBSTITUTE(TRIM(B170),".",""),"-","")," ","")),LEN(UPPER(SUBSTITUTE(SUBSTITUTE(SUBSTITUTE(TRIM(B170),".",""),"-","")," ","")))-1))&amp;RIGHT(UPPER(SUBSTITUTE(SUBSTITUTE(SUBSTITUTE(TRIM(B170),".",""),"-","")," ","")),1),UPPER(SUBSTITUTE(SUBSTITUTE(SUBSTITUTE(TRIM(B170),".",""),"-","")," ",""))))</f>
        <v/>
      </c>
      <c r="N170" s="62" t="str">
        <f aca="false">IF(B170="","",IF(D170="Anexo de modificación","No","Sí"))</f>
        <v/>
      </c>
      <c r="O170" s="62" t="str">
        <f aca="false">IF(AND(N170="Sí",ISNUMBER(F170)),COUNTIFS(C_RUTN,M170,C_DEF,"Sí",C_INI,"&lt;"&amp;F170)+COUNTIFS(M$7:M170,M170,N$7:N170,"Sí",F$7:F170,F170),"")</f>
        <v/>
      </c>
      <c r="P170" s="62" t="str">
        <f aca="false">IF(O170="","",M170&amp;"-P"&amp;O170)</f>
        <v/>
      </c>
      <c r="Q170" s="62" t="str">
        <f aca="false">IF(AND(N170="Sí",E170="Plazo fijo",ISNUMBER(F170)),COUNTIFS(C_RUTN,M170,C_TIPO,"Plazo fijo",C_DEF,"Sí",C_INI,"&lt;"&amp;F170)+COUNTIFS(M$7:M170,M170,E$7:E170,"Plazo fijo",N$7:N170,"Sí",F$7:F170,F170),"")</f>
        <v/>
      </c>
      <c r="R170" s="62" t="str">
        <f aca="false">IF(AND(B170&lt;&gt;"",ISNUMBER(H170),ISNUMBER(F170)),COUNTIFS(C_RUTN,M170,C_SUELDO,"&lt;&gt;",C_INI,"&lt;"&amp;F170)+COUNTIFS(M$7:M170,M170,H$7:H170,"&lt;&gt;",F$7:F170,F170),"")</f>
        <v/>
      </c>
      <c r="S170" s="62" t="str">
        <f aca="false">IF(R170="","",M170&amp;"-S"&amp;R170)</f>
        <v/>
      </c>
    </row>
    <row r="171" customFormat="false" ht="15" hidden="false" customHeight="false" outlineLevel="0" collapsed="false">
      <c r="B171" s="58"/>
      <c r="C171" s="62" t="str">
        <f aca="false">IF(B171="","",IFERROR(INDEX(T_NOMBRE,MATCH(M171,T_RUTN,0)),"⚠ RUT no está en Trabajadores"))</f>
        <v/>
      </c>
      <c r="D171" s="58"/>
      <c r="E171" s="58"/>
      <c r="F171" s="59"/>
      <c r="G171" s="59"/>
      <c r="H171" s="60"/>
      <c r="I171" s="58"/>
      <c r="J171" s="58"/>
      <c r="K171" s="58"/>
      <c r="L171" s="62" t="str">
        <f aca="false">IF(B171="","",IF(LEFT(C171,1)="⚠","⚠ Registre primero al trabajador en la hoja Trabajadores",IF(AND(N171="Sí",OR(E171="",NOT(ISNUMBER(F171)))),"⚠ Falta tipo de contrato o fecha de inicio",IF(NOT(ISNUMBER(F171)),"⚠ Falta fecha de inicio",IF(AND(N171="Sí",E171&lt;&gt;"Indefinido",NOT(ISNUMBER(G171))),"⚠ Falta fecha de término",IF(AND(D171="Paso a indefinido",E171&lt;&gt;"Indefinido"),"⚠ Un paso a indefinido debe tener tipo Indefinido",IF(N(Q171)&gt;=3,"⚠ 3er contrato a plazo fijo: por ley ya es INDEFINIDO (Art. 159 N°4)",IF(AND(E171="Plazo fijo",ISNUMBER(G171),(G171-F171+1)/30.4375&gt;12),"⚠ Plazo fijo mayor a 1 año (máximo legal)",IF(J171&lt;&gt;"Sí","Pendiente de firma","OK")))))))))</f>
        <v/>
      </c>
      <c r="M171" s="62" t="str">
        <f aca="false">IF(B171="","",IFERROR(VALUE(LEFT(UPPER(SUBSTITUTE(SUBSTITUTE(SUBSTITUTE(TRIM(B171),".",""),"-","")," ","")),LEN(UPPER(SUBSTITUTE(SUBSTITUTE(SUBSTITUTE(TRIM(B171),".",""),"-","")," ","")))-1))&amp;RIGHT(UPPER(SUBSTITUTE(SUBSTITUTE(SUBSTITUTE(TRIM(B171),".",""),"-","")," ","")),1),UPPER(SUBSTITUTE(SUBSTITUTE(SUBSTITUTE(TRIM(B171),".",""),"-","")," ",""))))</f>
        <v/>
      </c>
      <c r="N171" s="62" t="str">
        <f aca="false">IF(B171="","",IF(D171="Anexo de modificación","No","Sí"))</f>
        <v/>
      </c>
      <c r="O171" s="62" t="str">
        <f aca="false">IF(AND(N171="Sí",ISNUMBER(F171)),COUNTIFS(C_RUTN,M171,C_DEF,"Sí",C_INI,"&lt;"&amp;F171)+COUNTIFS(M$7:M171,M171,N$7:N171,"Sí",F$7:F171,F171),"")</f>
        <v/>
      </c>
      <c r="P171" s="62" t="str">
        <f aca="false">IF(O171="","",M171&amp;"-P"&amp;O171)</f>
        <v/>
      </c>
      <c r="Q171" s="62" t="str">
        <f aca="false">IF(AND(N171="Sí",E171="Plazo fijo",ISNUMBER(F171)),COUNTIFS(C_RUTN,M171,C_TIPO,"Plazo fijo",C_DEF,"Sí",C_INI,"&lt;"&amp;F171)+COUNTIFS(M$7:M171,M171,E$7:E171,"Plazo fijo",N$7:N171,"Sí",F$7:F171,F171),"")</f>
        <v/>
      </c>
      <c r="R171" s="62" t="str">
        <f aca="false">IF(AND(B171&lt;&gt;"",ISNUMBER(H171),ISNUMBER(F171)),COUNTIFS(C_RUTN,M171,C_SUELDO,"&lt;&gt;",C_INI,"&lt;"&amp;F171)+COUNTIFS(M$7:M171,M171,H$7:H171,"&lt;&gt;",F$7:F171,F171),"")</f>
        <v/>
      </c>
      <c r="S171" s="62" t="str">
        <f aca="false">IF(R171="","",M171&amp;"-S"&amp;R171)</f>
        <v/>
      </c>
    </row>
    <row r="172" customFormat="false" ht="15" hidden="false" customHeight="false" outlineLevel="0" collapsed="false">
      <c r="B172" s="58"/>
      <c r="C172" s="62" t="str">
        <f aca="false">IF(B172="","",IFERROR(INDEX(T_NOMBRE,MATCH(M172,T_RUTN,0)),"⚠ RUT no está en Trabajadores"))</f>
        <v/>
      </c>
      <c r="D172" s="58"/>
      <c r="E172" s="58"/>
      <c r="F172" s="59"/>
      <c r="G172" s="59"/>
      <c r="H172" s="60"/>
      <c r="I172" s="58"/>
      <c r="J172" s="58"/>
      <c r="K172" s="58"/>
      <c r="L172" s="62" t="str">
        <f aca="false">IF(B172="","",IF(LEFT(C172,1)="⚠","⚠ Registre primero al trabajador en la hoja Trabajadores",IF(AND(N172="Sí",OR(E172="",NOT(ISNUMBER(F172)))),"⚠ Falta tipo de contrato o fecha de inicio",IF(NOT(ISNUMBER(F172)),"⚠ Falta fecha de inicio",IF(AND(N172="Sí",E172&lt;&gt;"Indefinido",NOT(ISNUMBER(G172))),"⚠ Falta fecha de término",IF(AND(D172="Paso a indefinido",E172&lt;&gt;"Indefinido"),"⚠ Un paso a indefinido debe tener tipo Indefinido",IF(N(Q172)&gt;=3,"⚠ 3er contrato a plazo fijo: por ley ya es INDEFINIDO (Art. 159 N°4)",IF(AND(E172="Plazo fijo",ISNUMBER(G172),(G172-F172+1)/30.4375&gt;12),"⚠ Plazo fijo mayor a 1 año (máximo legal)",IF(J172&lt;&gt;"Sí","Pendiente de firma","OK")))))))))</f>
        <v/>
      </c>
      <c r="M172" s="62" t="str">
        <f aca="false">IF(B172="","",IFERROR(VALUE(LEFT(UPPER(SUBSTITUTE(SUBSTITUTE(SUBSTITUTE(TRIM(B172),".",""),"-","")," ","")),LEN(UPPER(SUBSTITUTE(SUBSTITUTE(SUBSTITUTE(TRIM(B172),".",""),"-","")," ","")))-1))&amp;RIGHT(UPPER(SUBSTITUTE(SUBSTITUTE(SUBSTITUTE(TRIM(B172),".",""),"-","")," ","")),1),UPPER(SUBSTITUTE(SUBSTITUTE(SUBSTITUTE(TRIM(B172),".",""),"-","")," ",""))))</f>
        <v/>
      </c>
      <c r="N172" s="62" t="str">
        <f aca="false">IF(B172="","",IF(D172="Anexo de modificación","No","Sí"))</f>
        <v/>
      </c>
      <c r="O172" s="62" t="str">
        <f aca="false">IF(AND(N172="Sí",ISNUMBER(F172)),COUNTIFS(C_RUTN,M172,C_DEF,"Sí",C_INI,"&lt;"&amp;F172)+COUNTIFS(M$7:M172,M172,N$7:N172,"Sí",F$7:F172,F172),"")</f>
        <v/>
      </c>
      <c r="P172" s="62" t="str">
        <f aca="false">IF(O172="","",M172&amp;"-P"&amp;O172)</f>
        <v/>
      </c>
      <c r="Q172" s="62" t="str">
        <f aca="false">IF(AND(N172="Sí",E172="Plazo fijo",ISNUMBER(F172)),COUNTIFS(C_RUTN,M172,C_TIPO,"Plazo fijo",C_DEF,"Sí",C_INI,"&lt;"&amp;F172)+COUNTIFS(M$7:M172,M172,E$7:E172,"Plazo fijo",N$7:N172,"Sí",F$7:F172,F172),"")</f>
        <v/>
      </c>
      <c r="R172" s="62" t="str">
        <f aca="false">IF(AND(B172&lt;&gt;"",ISNUMBER(H172),ISNUMBER(F172)),COUNTIFS(C_RUTN,M172,C_SUELDO,"&lt;&gt;",C_INI,"&lt;"&amp;F172)+COUNTIFS(M$7:M172,M172,H$7:H172,"&lt;&gt;",F$7:F172,F172),"")</f>
        <v/>
      </c>
      <c r="S172" s="62" t="str">
        <f aca="false">IF(R172="","",M172&amp;"-S"&amp;R172)</f>
        <v/>
      </c>
    </row>
    <row r="173" customFormat="false" ht="15" hidden="false" customHeight="false" outlineLevel="0" collapsed="false">
      <c r="B173" s="58"/>
      <c r="C173" s="62" t="str">
        <f aca="false">IF(B173="","",IFERROR(INDEX(T_NOMBRE,MATCH(M173,T_RUTN,0)),"⚠ RUT no está en Trabajadores"))</f>
        <v/>
      </c>
      <c r="D173" s="58"/>
      <c r="E173" s="58"/>
      <c r="F173" s="59"/>
      <c r="G173" s="59"/>
      <c r="H173" s="60"/>
      <c r="I173" s="58"/>
      <c r="J173" s="58"/>
      <c r="K173" s="58"/>
      <c r="L173" s="62" t="str">
        <f aca="false">IF(B173="","",IF(LEFT(C173,1)="⚠","⚠ Registre primero al trabajador en la hoja Trabajadores",IF(AND(N173="Sí",OR(E173="",NOT(ISNUMBER(F173)))),"⚠ Falta tipo de contrato o fecha de inicio",IF(NOT(ISNUMBER(F173)),"⚠ Falta fecha de inicio",IF(AND(N173="Sí",E173&lt;&gt;"Indefinido",NOT(ISNUMBER(G173))),"⚠ Falta fecha de término",IF(AND(D173="Paso a indefinido",E173&lt;&gt;"Indefinido"),"⚠ Un paso a indefinido debe tener tipo Indefinido",IF(N(Q173)&gt;=3,"⚠ 3er contrato a plazo fijo: por ley ya es INDEFINIDO (Art. 159 N°4)",IF(AND(E173="Plazo fijo",ISNUMBER(G173),(G173-F173+1)/30.4375&gt;12),"⚠ Plazo fijo mayor a 1 año (máximo legal)",IF(J173&lt;&gt;"Sí","Pendiente de firma","OK")))))))))</f>
        <v/>
      </c>
      <c r="M173" s="62" t="str">
        <f aca="false">IF(B173="","",IFERROR(VALUE(LEFT(UPPER(SUBSTITUTE(SUBSTITUTE(SUBSTITUTE(TRIM(B173),".",""),"-","")," ","")),LEN(UPPER(SUBSTITUTE(SUBSTITUTE(SUBSTITUTE(TRIM(B173),".",""),"-","")," ","")))-1))&amp;RIGHT(UPPER(SUBSTITUTE(SUBSTITUTE(SUBSTITUTE(TRIM(B173),".",""),"-","")," ","")),1),UPPER(SUBSTITUTE(SUBSTITUTE(SUBSTITUTE(TRIM(B173),".",""),"-","")," ",""))))</f>
        <v/>
      </c>
      <c r="N173" s="62" t="str">
        <f aca="false">IF(B173="","",IF(D173="Anexo de modificación","No","Sí"))</f>
        <v/>
      </c>
      <c r="O173" s="62" t="str">
        <f aca="false">IF(AND(N173="Sí",ISNUMBER(F173)),COUNTIFS(C_RUTN,M173,C_DEF,"Sí",C_INI,"&lt;"&amp;F173)+COUNTIFS(M$7:M173,M173,N$7:N173,"Sí",F$7:F173,F173),"")</f>
        <v/>
      </c>
      <c r="P173" s="62" t="str">
        <f aca="false">IF(O173="","",M173&amp;"-P"&amp;O173)</f>
        <v/>
      </c>
      <c r="Q173" s="62" t="str">
        <f aca="false">IF(AND(N173="Sí",E173="Plazo fijo",ISNUMBER(F173)),COUNTIFS(C_RUTN,M173,C_TIPO,"Plazo fijo",C_DEF,"Sí",C_INI,"&lt;"&amp;F173)+COUNTIFS(M$7:M173,M173,E$7:E173,"Plazo fijo",N$7:N173,"Sí",F$7:F173,F173),"")</f>
        <v/>
      </c>
      <c r="R173" s="62" t="str">
        <f aca="false">IF(AND(B173&lt;&gt;"",ISNUMBER(H173),ISNUMBER(F173)),COUNTIFS(C_RUTN,M173,C_SUELDO,"&lt;&gt;",C_INI,"&lt;"&amp;F173)+COUNTIFS(M$7:M173,M173,H$7:H173,"&lt;&gt;",F$7:F173,F173),"")</f>
        <v/>
      </c>
      <c r="S173" s="62" t="str">
        <f aca="false">IF(R173="","",M173&amp;"-S"&amp;R173)</f>
        <v/>
      </c>
    </row>
    <row r="174" customFormat="false" ht="15" hidden="false" customHeight="false" outlineLevel="0" collapsed="false">
      <c r="B174" s="58"/>
      <c r="C174" s="62" t="str">
        <f aca="false">IF(B174="","",IFERROR(INDEX(T_NOMBRE,MATCH(M174,T_RUTN,0)),"⚠ RUT no está en Trabajadores"))</f>
        <v/>
      </c>
      <c r="D174" s="58"/>
      <c r="E174" s="58"/>
      <c r="F174" s="59"/>
      <c r="G174" s="59"/>
      <c r="H174" s="60"/>
      <c r="I174" s="58"/>
      <c r="J174" s="58"/>
      <c r="K174" s="58"/>
      <c r="L174" s="62" t="str">
        <f aca="false">IF(B174="","",IF(LEFT(C174,1)="⚠","⚠ Registre primero al trabajador en la hoja Trabajadores",IF(AND(N174="Sí",OR(E174="",NOT(ISNUMBER(F174)))),"⚠ Falta tipo de contrato o fecha de inicio",IF(NOT(ISNUMBER(F174)),"⚠ Falta fecha de inicio",IF(AND(N174="Sí",E174&lt;&gt;"Indefinido",NOT(ISNUMBER(G174))),"⚠ Falta fecha de término",IF(AND(D174="Paso a indefinido",E174&lt;&gt;"Indefinido"),"⚠ Un paso a indefinido debe tener tipo Indefinido",IF(N(Q174)&gt;=3,"⚠ 3er contrato a plazo fijo: por ley ya es INDEFINIDO (Art. 159 N°4)",IF(AND(E174="Plazo fijo",ISNUMBER(G174),(G174-F174+1)/30.4375&gt;12),"⚠ Plazo fijo mayor a 1 año (máximo legal)",IF(J174&lt;&gt;"Sí","Pendiente de firma","OK")))))))))</f>
        <v/>
      </c>
      <c r="M174" s="62" t="str">
        <f aca="false">IF(B174="","",IFERROR(VALUE(LEFT(UPPER(SUBSTITUTE(SUBSTITUTE(SUBSTITUTE(TRIM(B174),".",""),"-","")," ","")),LEN(UPPER(SUBSTITUTE(SUBSTITUTE(SUBSTITUTE(TRIM(B174),".",""),"-","")," ","")))-1))&amp;RIGHT(UPPER(SUBSTITUTE(SUBSTITUTE(SUBSTITUTE(TRIM(B174),".",""),"-","")," ","")),1),UPPER(SUBSTITUTE(SUBSTITUTE(SUBSTITUTE(TRIM(B174),".",""),"-","")," ",""))))</f>
        <v/>
      </c>
      <c r="N174" s="62" t="str">
        <f aca="false">IF(B174="","",IF(D174="Anexo de modificación","No","Sí"))</f>
        <v/>
      </c>
      <c r="O174" s="62" t="str">
        <f aca="false">IF(AND(N174="Sí",ISNUMBER(F174)),COUNTIFS(C_RUTN,M174,C_DEF,"Sí",C_INI,"&lt;"&amp;F174)+COUNTIFS(M$7:M174,M174,N$7:N174,"Sí",F$7:F174,F174),"")</f>
        <v/>
      </c>
      <c r="P174" s="62" t="str">
        <f aca="false">IF(O174="","",M174&amp;"-P"&amp;O174)</f>
        <v/>
      </c>
      <c r="Q174" s="62" t="str">
        <f aca="false">IF(AND(N174="Sí",E174="Plazo fijo",ISNUMBER(F174)),COUNTIFS(C_RUTN,M174,C_TIPO,"Plazo fijo",C_DEF,"Sí",C_INI,"&lt;"&amp;F174)+COUNTIFS(M$7:M174,M174,E$7:E174,"Plazo fijo",N$7:N174,"Sí",F$7:F174,F174),"")</f>
        <v/>
      </c>
      <c r="R174" s="62" t="str">
        <f aca="false">IF(AND(B174&lt;&gt;"",ISNUMBER(H174),ISNUMBER(F174)),COUNTIFS(C_RUTN,M174,C_SUELDO,"&lt;&gt;",C_INI,"&lt;"&amp;F174)+COUNTIFS(M$7:M174,M174,H$7:H174,"&lt;&gt;",F$7:F174,F174),"")</f>
        <v/>
      </c>
      <c r="S174" s="62" t="str">
        <f aca="false">IF(R174="","",M174&amp;"-S"&amp;R174)</f>
        <v/>
      </c>
    </row>
    <row r="175" customFormat="false" ht="15" hidden="false" customHeight="false" outlineLevel="0" collapsed="false">
      <c r="B175" s="58"/>
      <c r="C175" s="62" t="str">
        <f aca="false">IF(B175="","",IFERROR(INDEX(T_NOMBRE,MATCH(M175,T_RUTN,0)),"⚠ RUT no está en Trabajadores"))</f>
        <v/>
      </c>
      <c r="D175" s="58"/>
      <c r="E175" s="58"/>
      <c r="F175" s="59"/>
      <c r="G175" s="59"/>
      <c r="H175" s="60"/>
      <c r="I175" s="58"/>
      <c r="J175" s="58"/>
      <c r="K175" s="58"/>
      <c r="L175" s="62" t="str">
        <f aca="false">IF(B175="","",IF(LEFT(C175,1)="⚠","⚠ Registre primero al trabajador en la hoja Trabajadores",IF(AND(N175="Sí",OR(E175="",NOT(ISNUMBER(F175)))),"⚠ Falta tipo de contrato o fecha de inicio",IF(NOT(ISNUMBER(F175)),"⚠ Falta fecha de inicio",IF(AND(N175="Sí",E175&lt;&gt;"Indefinido",NOT(ISNUMBER(G175))),"⚠ Falta fecha de término",IF(AND(D175="Paso a indefinido",E175&lt;&gt;"Indefinido"),"⚠ Un paso a indefinido debe tener tipo Indefinido",IF(N(Q175)&gt;=3,"⚠ 3er contrato a plazo fijo: por ley ya es INDEFINIDO (Art. 159 N°4)",IF(AND(E175="Plazo fijo",ISNUMBER(G175),(G175-F175+1)/30.4375&gt;12),"⚠ Plazo fijo mayor a 1 año (máximo legal)",IF(J175&lt;&gt;"Sí","Pendiente de firma","OK")))))))))</f>
        <v/>
      </c>
      <c r="M175" s="62" t="str">
        <f aca="false">IF(B175="","",IFERROR(VALUE(LEFT(UPPER(SUBSTITUTE(SUBSTITUTE(SUBSTITUTE(TRIM(B175),".",""),"-","")," ","")),LEN(UPPER(SUBSTITUTE(SUBSTITUTE(SUBSTITUTE(TRIM(B175),".",""),"-","")," ","")))-1))&amp;RIGHT(UPPER(SUBSTITUTE(SUBSTITUTE(SUBSTITUTE(TRIM(B175),".",""),"-","")," ","")),1),UPPER(SUBSTITUTE(SUBSTITUTE(SUBSTITUTE(TRIM(B175),".",""),"-","")," ",""))))</f>
        <v/>
      </c>
      <c r="N175" s="62" t="str">
        <f aca="false">IF(B175="","",IF(D175="Anexo de modificación","No","Sí"))</f>
        <v/>
      </c>
      <c r="O175" s="62" t="str">
        <f aca="false">IF(AND(N175="Sí",ISNUMBER(F175)),COUNTIFS(C_RUTN,M175,C_DEF,"Sí",C_INI,"&lt;"&amp;F175)+COUNTIFS(M$7:M175,M175,N$7:N175,"Sí",F$7:F175,F175),"")</f>
        <v/>
      </c>
      <c r="P175" s="62" t="str">
        <f aca="false">IF(O175="","",M175&amp;"-P"&amp;O175)</f>
        <v/>
      </c>
      <c r="Q175" s="62" t="str">
        <f aca="false">IF(AND(N175="Sí",E175="Plazo fijo",ISNUMBER(F175)),COUNTIFS(C_RUTN,M175,C_TIPO,"Plazo fijo",C_DEF,"Sí",C_INI,"&lt;"&amp;F175)+COUNTIFS(M$7:M175,M175,E$7:E175,"Plazo fijo",N$7:N175,"Sí",F$7:F175,F175),"")</f>
        <v/>
      </c>
      <c r="R175" s="62" t="str">
        <f aca="false">IF(AND(B175&lt;&gt;"",ISNUMBER(H175),ISNUMBER(F175)),COUNTIFS(C_RUTN,M175,C_SUELDO,"&lt;&gt;",C_INI,"&lt;"&amp;F175)+COUNTIFS(M$7:M175,M175,H$7:H175,"&lt;&gt;",F$7:F175,F175),"")</f>
        <v/>
      </c>
      <c r="S175" s="62" t="str">
        <f aca="false">IF(R175="","",M175&amp;"-S"&amp;R175)</f>
        <v/>
      </c>
    </row>
    <row r="176" customFormat="false" ht="15" hidden="false" customHeight="false" outlineLevel="0" collapsed="false">
      <c r="B176" s="58"/>
      <c r="C176" s="62" t="str">
        <f aca="false">IF(B176="","",IFERROR(INDEX(T_NOMBRE,MATCH(M176,T_RUTN,0)),"⚠ RUT no está en Trabajadores"))</f>
        <v/>
      </c>
      <c r="D176" s="58"/>
      <c r="E176" s="58"/>
      <c r="F176" s="59"/>
      <c r="G176" s="59"/>
      <c r="H176" s="60"/>
      <c r="I176" s="58"/>
      <c r="J176" s="58"/>
      <c r="K176" s="58"/>
      <c r="L176" s="62" t="str">
        <f aca="false">IF(B176="","",IF(LEFT(C176,1)="⚠","⚠ Registre primero al trabajador en la hoja Trabajadores",IF(AND(N176="Sí",OR(E176="",NOT(ISNUMBER(F176)))),"⚠ Falta tipo de contrato o fecha de inicio",IF(NOT(ISNUMBER(F176)),"⚠ Falta fecha de inicio",IF(AND(N176="Sí",E176&lt;&gt;"Indefinido",NOT(ISNUMBER(G176))),"⚠ Falta fecha de término",IF(AND(D176="Paso a indefinido",E176&lt;&gt;"Indefinido"),"⚠ Un paso a indefinido debe tener tipo Indefinido",IF(N(Q176)&gt;=3,"⚠ 3er contrato a plazo fijo: por ley ya es INDEFINIDO (Art. 159 N°4)",IF(AND(E176="Plazo fijo",ISNUMBER(G176),(G176-F176+1)/30.4375&gt;12),"⚠ Plazo fijo mayor a 1 año (máximo legal)",IF(J176&lt;&gt;"Sí","Pendiente de firma","OK")))))))))</f>
        <v/>
      </c>
      <c r="M176" s="62" t="str">
        <f aca="false">IF(B176="","",IFERROR(VALUE(LEFT(UPPER(SUBSTITUTE(SUBSTITUTE(SUBSTITUTE(TRIM(B176),".",""),"-","")," ","")),LEN(UPPER(SUBSTITUTE(SUBSTITUTE(SUBSTITUTE(TRIM(B176),".",""),"-","")," ","")))-1))&amp;RIGHT(UPPER(SUBSTITUTE(SUBSTITUTE(SUBSTITUTE(TRIM(B176),".",""),"-","")," ","")),1),UPPER(SUBSTITUTE(SUBSTITUTE(SUBSTITUTE(TRIM(B176),".",""),"-","")," ",""))))</f>
        <v/>
      </c>
      <c r="N176" s="62" t="str">
        <f aca="false">IF(B176="","",IF(D176="Anexo de modificación","No","Sí"))</f>
        <v/>
      </c>
      <c r="O176" s="62" t="str">
        <f aca="false">IF(AND(N176="Sí",ISNUMBER(F176)),COUNTIFS(C_RUTN,M176,C_DEF,"Sí",C_INI,"&lt;"&amp;F176)+COUNTIFS(M$7:M176,M176,N$7:N176,"Sí",F$7:F176,F176),"")</f>
        <v/>
      </c>
      <c r="P176" s="62" t="str">
        <f aca="false">IF(O176="","",M176&amp;"-P"&amp;O176)</f>
        <v/>
      </c>
      <c r="Q176" s="62" t="str">
        <f aca="false">IF(AND(N176="Sí",E176="Plazo fijo",ISNUMBER(F176)),COUNTIFS(C_RUTN,M176,C_TIPO,"Plazo fijo",C_DEF,"Sí",C_INI,"&lt;"&amp;F176)+COUNTIFS(M$7:M176,M176,E$7:E176,"Plazo fijo",N$7:N176,"Sí",F$7:F176,F176),"")</f>
        <v/>
      </c>
      <c r="R176" s="62" t="str">
        <f aca="false">IF(AND(B176&lt;&gt;"",ISNUMBER(H176),ISNUMBER(F176)),COUNTIFS(C_RUTN,M176,C_SUELDO,"&lt;&gt;",C_INI,"&lt;"&amp;F176)+COUNTIFS(M$7:M176,M176,H$7:H176,"&lt;&gt;",F$7:F176,F176),"")</f>
        <v/>
      </c>
      <c r="S176" s="62" t="str">
        <f aca="false">IF(R176="","",M176&amp;"-S"&amp;R176)</f>
        <v/>
      </c>
    </row>
    <row r="177" customFormat="false" ht="15" hidden="false" customHeight="false" outlineLevel="0" collapsed="false">
      <c r="B177" s="58"/>
      <c r="C177" s="62" t="str">
        <f aca="false">IF(B177="","",IFERROR(INDEX(T_NOMBRE,MATCH(M177,T_RUTN,0)),"⚠ RUT no está en Trabajadores"))</f>
        <v/>
      </c>
      <c r="D177" s="58"/>
      <c r="E177" s="58"/>
      <c r="F177" s="59"/>
      <c r="G177" s="59"/>
      <c r="H177" s="60"/>
      <c r="I177" s="58"/>
      <c r="J177" s="58"/>
      <c r="K177" s="58"/>
      <c r="L177" s="62" t="str">
        <f aca="false">IF(B177="","",IF(LEFT(C177,1)="⚠","⚠ Registre primero al trabajador en la hoja Trabajadores",IF(AND(N177="Sí",OR(E177="",NOT(ISNUMBER(F177)))),"⚠ Falta tipo de contrato o fecha de inicio",IF(NOT(ISNUMBER(F177)),"⚠ Falta fecha de inicio",IF(AND(N177="Sí",E177&lt;&gt;"Indefinido",NOT(ISNUMBER(G177))),"⚠ Falta fecha de término",IF(AND(D177="Paso a indefinido",E177&lt;&gt;"Indefinido"),"⚠ Un paso a indefinido debe tener tipo Indefinido",IF(N(Q177)&gt;=3,"⚠ 3er contrato a plazo fijo: por ley ya es INDEFINIDO (Art. 159 N°4)",IF(AND(E177="Plazo fijo",ISNUMBER(G177),(G177-F177+1)/30.4375&gt;12),"⚠ Plazo fijo mayor a 1 año (máximo legal)",IF(J177&lt;&gt;"Sí","Pendiente de firma","OK")))))))))</f>
        <v/>
      </c>
      <c r="M177" s="62" t="str">
        <f aca="false">IF(B177="","",IFERROR(VALUE(LEFT(UPPER(SUBSTITUTE(SUBSTITUTE(SUBSTITUTE(TRIM(B177),".",""),"-","")," ","")),LEN(UPPER(SUBSTITUTE(SUBSTITUTE(SUBSTITUTE(TRIM(B177),".",""),"-","")," ","")))-1))&amp;RIGHT(UPPER(SUBSTITUTE(SUBSTITUTE(SUBSTITUTE(TRIM(B177),".",""),"-","")," ","")),1),UPPER(SUBSTITUTE(SUBSTITUTE(SUBSTITUTE(TRIM(B177),".",""),"-","")," ",""))))</f>
        <v/>
      </c>
      <c r="N177" s="62" t="str">
        <f aca="false">IF(B177="","",IF(D177="Anexo de modificación","No","Sí"))</f>
        <v/>
      </c>
      <c r="O177" s="62" t="str">
        <f aca="false">IF(AND(N177="Sí",ISNUMBER(F177)),COUNTIFS(C_RUTN,M177,C_DEF,"Sí",C_INI,"&lt;"&amp;F177)+COUNTIFS(M$7:M177,M177,N$7:N177,"Sí",F$7:F177,F177),"")</f>
        <v/>
      </c>
      <c r="P177" s="62" t="str">
        <f aca="false">IF(O177="","",M177&amp;"-P"&amp;O177)</f>
        <v/>
      </c>
      <c r="Q177" s="62" t="str">
        <f aca="false">IF(AND(N177="Sí",E177="Plazo fijo",ISNUMBER(F177)),COUNTIFS(C_RUTN,M177,C_TIPO,"Plazo fijo",C_DEF,"Sí",C_INI,"&lt;"&amp;F177)+COUNTIFS(M$7:M177,M177,E$7:E177,"Plazo fijo",N$7:N177,"Sí",F$7:F177,F177),"")</f>
        <v/>
      </c>
      <c r="R177" s="62" t="str">
        <f aca="false">IF(AND(B177&lt;&gt;"",ISNUMBER(H177),ISNUMBER(F177)),COUNTIFS(C_RUTN,M177,C_SUELDO,"&lt;&gt;",C_INI,"&lt;"&amp;F177)+COUNTIFS(M$7:M177,M177,H$7:H177,"&lt;&gt;",F$7:F177,F177),"")</f>
        <v/>
      </c>
      <c r="S177" s="62" t="str">
        <f aca="false">IF(R177="","",M177&amp;"-S"&amp;R177)</f>
        <v/>
      </c>
    </row>
    <row r="178" customFormat="false" ht="15" hidden="false" customHeight="false" outlineLevel="0" collapsed="false">
      <c r="B178" s="58"/>
      <c r="C178" s="62" t="str">
        <f aca="false">IF(B178="","",IFERROR(INDEX(T_NOMBRE,MATCH(M178,T_RUTN,0)),"⚠ RUT no está en Trabajadores"))</f>
        <v/>
      </c>
      <c r="D178" s="58"/>
      <c r="E178" s="58"/>
      <c r="F178" s="59"/>
      <c r="G178" s="59"/>
      <c r="H178" s="60"/>
      <c r="I178" s="58"/>
      <c r="J178" s="58"/>
      <c r="K178" s="58"/>
      <c r="L178" s="62" t="str">
        <f aca="false">IF(B178="","",IF(LEFT(C178,1)="⚠","⚠ Registre primero al trabajador en la hoja Trabajadores",IF(AND(N178="Sí",OR(E178="",NOT(ISNUMBER(F178)))),"⚠ Falta tipo de contrato o fecha de inicio",IF(NOT(ISNUMBER(F178)),"⚠ Falta fecha de inicio",IF(AND(N178="Sí",E178&lt;&gt;"Indefinido",NOT(ISNUMBER(G178))),"⚠ Falta fecha de término",IF(AND(D178="Paso a indefinido",E178&lt;&gt;"Indefinido"),"⚠ Un paso a indefinido debe tener tipo Indefinido",IF(N(Q178)&gt;=3,"⚠ 3er contrato a plazo fijo: por ley ya es INDEFINIDO (Art. 159 N°4)",IF(AND(E178="Plazo fijo",ISNUMBER(G178),(G178-F178+1)/30.4375&gt;12),"⚠ Plazo fijo mayor a 1 año (máximo legal)",IF(J178&lt;&gt;"Sí","Pendiente de firma","OK")))))))))</f>
        <v/>
      </c>
      <c r="M178" s="62" t="str">
        <f aca="false">IF(B178="","",IFERROR(VALUE(LEFT(UPPER(SUBSTITUTE(SUBSTITUTE(SUBSTITUTE(TRIM(B178),".",""),"-","")," ","")),LEN(UPPER(SUBSTITUTE(SUBSTITUTE(SUBSTITUTE(TRIM(B178),".",""),"-","")," ","")))-1))&amp;RIGHT(UPPER(SUBSTITUTE(SUBSTITUTE(SUBSTITUTE(TRIM(B178),".",""),"-","")," ","")),1),UPPER(SUBSTITUTE(SUBSTITUTE(SUBSTITUTE(TRIM(B178),".",""),"-","")," ",""))))</f>
        <v/>
      </c>
      <c r="N178" s="62" t="str">
        <f aca="false">IF(B178="","",IF(D178="Anexo de modificación","No","Sí"))</f>
        <v/>
      </c>
      <c r="O178" s="62" t="str">
        <f aca="false">IF(AND(N178="Sí",ISNUMBER(F178)),COUNTIFS(C_RUTN,M178,C_DEF,"Sí",C_INI,"&lt;"&amp;F178)+COUNTIFS(M$7:M178,M178,N$7:N178,"Sí",F$7:F178,F178),"")</f>
        <v/>
      </c>
      <c r="P178" s="62" t="str">
        <f aca="false">IF(O178="","",M178&amp;"-P"&amp;O178)</f>
        <v/>
      </c>
      <c r="Q178" s="62" t="str">
        <f aca="false">IF(AND(N178="Sí",E178="Plazo fijo",ISNUMBER(F178)),COUNTIFS(C_RUTN,M178,C_TIPO,"Plazo fijo",C_DEF,"Sí",C_INI,"&lt;"&amp;F178)+COUNTIFS(M$7:M178,M178,E$7:E178,"Plazo fijo",N$7:N178,"Sí",F$7:F178,F178),"")</f>
        <v/>
      </c>
      <c r="R178" s="62" t="str">
        <f aca="false">IF(AND(B178&lt;&gt;"",ISNUMBER(H178),ISNUMBER(F178)),COUNTIFS(C_RUTN,M178,C_SUELDO,"&lt;&gt;",C_INI,"&lt;"&amp;F178)+COUNTIFS(M$7:M178,M178,H$7:H178,"&lt;&gt;",F$7:F178,F178),"")</f>
        <v/>
      </c>
      <c r="S178" s="62" t="str">
        <f aca="false">IF(R178="","",M178&amp;"-S"&amp;R178)</f>
        <v/>
      </c>
    </row>
    <row r="179" customFormat="false" ht="15" hidden="false" customHeight="false" outlineLevel="0" collapsed="false">
      <c r="B179" s="58"/>
      <c r="C179" s="62" t="str">
        <f aca="false">IF(B179="","",IFERROR(INDEX(T_NOMBRE,MATCH(M179,T_RUTN,0)),"⚠ RUT no está en Trabajadores"))</f>
        <v/>
      </c>
      <c r="D179" s="58"/>
      <c r="E179" s="58"/>
      <c r="F179" s="59"/>
      <c r="G179" s="59"/>
      <c r="H179" s="60"/>
      <c r="I179" s="58"/>
      <c r="J179" s="58"/>
      <c r="K179" s="58"/>
      <c r="L179" s="62" t="str">
        <f aca="false">IF(B179="","",IF(LEFT(C179,1)="⚠","⚠ Registre primero al trabajador en la hoja Trabajadores",IF(AND(N179="Sí",OR(E179="",NOT(ISNUMBER(F179)))),"⚠ Falta tipo de contrato o fecha de inicio",IF(NOT(ISNUMBER(F179)),"⚠ Falta fecha de inicio",IF(AND(N179="Sí",E179&lt;&gt;"Indefinido",NOT(ISNUMBER(G179))),"⚠ Falta fecha de término",IF(AND(D179="Paso a indefinido",E179&lt;&gt;"Indefinido"),"⚠ Un paso a indefinido debe tener tipo Indefinido",IF(N(Q179)&gt;=3,"⚠ 3er contrato a plazo fijo: por ley ya es INDEFINIDO (Art. 159 N°4)",IF(AND(E179="Plazo fijo",ISNUMBER(G179),(G179-F179+1)/30.4375&gt;12),"⚠ Plazo fijo mayor a 1 año (máximo legal)",IF(J179&lt;&gt;"Sí","Pendiente de firma","OK")))))))))</f>
        <v/>
      </c>
      <c r="M179" s="62" t="str">
        <f aca="false">IF(B179="","",IFERROR(VALUE(LEFT(UPPER(SUBSTITUTE(SUBSTITUTE(SUBSTITUTE(TRIM(B179),".",""),"-","")," ","")),LEN(UPPER(SUBSTITUTE(SUBSTITUTE(SUBSTITUTE(TRIM(B179),".",""),"-","")," ","")))-1))&amp;RIGHT(UPPER(SUBSTITUTE(SUBSTITUTE(SUBSTITUTE(TRIM(B179),".",""),"-","")," ","")),1),UPPER(SUBSTITUTE(SUBSTITUTE(SUBSTITUTE(TRIM(B179),".",""),"-","")," ",""))))</f>
        <v/>
      </c>
      <c r="N179" s="62" t="str">
        <f aca="false">IF(B179="","",IF(D179="Anexo de modificación","No","Sí"))</f>
        <v/>
      </c>
      <c r="O179" s="62" t="str">
        <f aca="false">IF(AND(N179="Sí",ISNUMBER(F179)),COUNTIFS(C_RUTN,M179,C_DEF,"Sí",C_INI,"&lt;"&amp;F179)+COUNTIFS(M$7:M179,M179,N$7:N179,"Sí",F$7:F179,F179),"")</f>
        <v/>
      </c>
      <c r="P179" s="62" t="str">
        <f aca="false">IF(O179="","",M179&amp;"-P"&amp;O179)</f>
        <v/>
      </c>
      <c r="Q179" s="62" t="str">
        <f aca="false">IF(AND(N179="Sí",E179="Plazo fijo",ISNUMBER(F179)),COUNTIFS(C_RUTN,M179,C_TIPO,"Plazo fijo",C_DEF,"Sí",C_INI,"&lt;"&amp;F179)+COUNTIFS(M$7:M179,M179,E$7:E179,"Plazo fijo",N$7:N179,"Sí",F$7:F179,F179),"")</f>
        <v/>
      </c>
      <c r="R179" s="62" t="str">
        <f aca="false">IF(AND(B179&lt;&gt;"",ISNUMBER(H179),ISNUMBER(F179)),COUNTIFS(C_RUTN,M179,C_SUELDO,"&lt;&gt;",C_INI,"&lt;"&amp;F179)+COUNTIFS(M$7:M179,M179,H$7:H179,"&lt;&gt;",F$7:F179,F179),"")</f>
        <v/>
      </c>
      <c r="S179" s="62" t="str">
        <f aca="false">IF(R179="","",M179&amp;"-S"&amp;R179)</f>
        <v/>
      </c>
    </row>
    <row r="180" customFormat="false" ht="15" hidden="false" customHeight="false" outlineLevel="0" collapsed="false">
      <c r="B180" s="58"/>
      <c r="C180" s="62" t="str">
        <f aca="false">IF(B180="","",IFERROR(INDEX(T_NOMBRE,MATCH(M180,T_RUTN,0)),"⚠ RUT no está en Trabajadores"))</f>
        <v/>
      </c>
      <c r="D180" s="58"/>
      <c r="E180" s="58"/>
      <c r="F180" s="59"/>
      <c r="G180" s="59"/>
      <c r="H180" s="60"/>
      <c r="I180" s="58"/>
      <c r="J180" s="58"/>
      <c r="K180" s="58"/>
      <c r="L180" s="62" t="str">
        <f aca="false">IF(B180="","",IF(LEFT(C180,1)="⚠","⚠ Registre primero al trabajador en la hoja Trabajadores",IF(AND(N180="Sí",OR(E180="",NOT(ISNUMBER(F180)))),"⚠ Falta tipo de contrato o fecha de inicio",IF(NOT(ISNUMBER(F180)),"⚠ Falta fecha de inicio",IF(AND(N180="Sí",E180&lt;&gt;"Indefinido",NOT(ISNUMBER(G180))),"⚠ Falta fecha de término",IF(AND(D180="Paso a indefinido",E180&lt;&gt;"Indefinido"),"⚠ Un paso a indefinido debe tener tipo Indefinido",IF(N(Q180)&gt;=3,"⚠ 3er contrato a plazo fijo: por ley ya es INDEFINIDO (Art. 159 N°4)",IF(AND(E180="Plazo fijo",ISNUMBER(G180),(G180-F180+1)/30.4375&gt;12),"⚠ Plazo fijo mayor a 1 año (máximo legal)",IF(J180&lt;&gt;"Sí","Pendiente de firma","OK")))))))))</f>
        <v/>
      </c>
      <c r="M180" s="62" t="str">
        <f aca="false">IF(B180="","",IFERROR(VALUE(LEFT(UPPER(SUBSTITUTE(SUBSTITUTE(SUBSTITUTE(TRIM(B180),".",""),"-","")," ","")),LEN(UPPER(SUBSTITUTE(SUBSTITUTE(SUBSTITUTE(TRIM(B180),".",""),"-","")," ","")))-1))&amp;RIGHT(UPPER(SUBSTITUTE(SUBSTITUTE(SUBSTITUTE(TRIM(B180),".",""),"-","")," ","")),1),UPPER(SUBSTITUTE(SUBSTITUTE(SUBSTITUTE(TRIM(B180),".",""),"-","")," ",""))))</f>
        <v/>
      </c>
      <c r="N180" s="62" t="str">
        <f aca="false">IF(B180="","",IF(D180="Anexo de modificación","No","Sí"))</f>
        <v/>
      </c>
      <c r="O180" s="62" t="str">
        <f aca="false">IF(AND(N180="Sí",ISNUMBER(F180)),COUNTIFS(C_RUTN,M180,C_DEF,"Sí",C_INI,"&lt;"&amp;F180)+COUNTIFS(M$7:M180,M180,N$7:N180,"Sí",F$7:F180,F180),"")</f>
        <v/>
      </c>
      <c r="P180" s="62" t="str">
        <f aca="false">IF(O180="","",M180&amp;"-P"&amp;O180)</f>
        <v/>
      </c>
      <c r="Q180" s="62" t="str">
        <f aca="false">IF(AND(N180="Sí",E180="Plazo fijo",ISNUMBER(F180)),COUNTIFS(C_RUTN,M180,C_TIPO,"Plazo fijo",C_DEF,"Sí",C_INI,"&lt;"&amp;F180)+COUNTIFS(M$7:M180,M180,E$7:E180,"Plazo fijo",N$7:N180,"Sí",F$7:F180,F180),"")</f>
        <v/>
      </c>
      <c r="R180" s="62" t="str">
        <f aca="false">IF(AND(B180&lt;&gt;"",ISNUMBER(H180),ISNUMBER(F180)),COUNTIFS(C_RUTN,M180,C_SUELDO,"&lt;&gt;",C_INI,"&lt;"&amp;F180)+COUNTIFS(M$7:M180,M180,H$7:H180,"&lt;&gt;",F$7:F180,F180),"")</f>
        <v/>
      </c>
      <c r="S180" s="62" t="str">
        <f aca="false">IF(R180="","",M180&amp;"-S"&amp;R180)</f>
        <v/>
      </c>
    </row>
    <row r="181" customFormat="false" ht="15" hidden="false" customHeight="false" outlineLevel="0" collapsed="false">
      <c r="B181" s="58"/>
      <c r="C181" s="62" t="str">
        <f aca="false">IF(B181="","",IFERROR(INDEX(T_NOMBRE,MATCH(M181,T_RUTN,0)),"⚠ RUT no está en Trabajadores"))</f>
        <v/>
      </c>
      <c r="D181" s="58"/>
      <c r="E181" s="58"/>
      <c r="F181" s="59"/>
      <c r="G181" s="59"/>
      <c r="H181" s="60"/>
      <c r="I181" s="58"/>
      <c r="J181" s="58"/>
      <c r="K181" s="58"/>
      <c r="L181" s="62" t="str">
        <f aca="false">IF(B181="","",IF(LEFT(C181,1)="⚠","⚠ Registre primero al trabajador en la hoja Trabajadores",IF(AND(N181="Sí",OR(E181="",NOT(ISNUMBER(F181)))),"⚠ Falta tipo de contrato o fecha de inicio",IF(NOT(ISNUMBER(F181)),"⚠ Falta fecha de inicio",IF(AND(N181="Sí",E181&lt;&gt;"Indefinido",NOT(ISNUMBER(G181))),"⚠ Falta fecha de término",IF(AND(D181="Paso a indefinido",E181&lt;&gt;"Indefinido"),"⚠ Un paso a indefinido debe tener tipo Indefinido",IF(N(Q181)&gt;=3,"⚠ 3er contrato a plazo fijo: por ley ya es INDEFINIDO (Art. 159 N°4)",IF(AND(E181="Plazo fijo",ISNUMBER(G181),(G181-F181+1)/30.4375&gt;12),"⚠ Plazo fijo mayor a 1 año (máximo legal)",IF(J181&lt;&gt;"Sí","Pendiente de firma","OK")))))))))</f>
        <v/>
      </c>
      <c r="M181" s="62" t="str">
        <f aca="false">IF(B181="","",IFERROR(VALUE(LEFT(UPPER(SUBSTITUTE(SUBSTITUTE(SUBSTITUTE(TRIM(B181),".",""),"-","")," ","")),LEN(UPPER(SUBSTITUTE(SUBSTITUTE(SUBSTITUTE(TRIM(B181),".",""),"-","")," ","")))-1))&amp;RIGHT(UPPER(SUBSTITUTE(SUBSTITUTE(SUBSTITUTE(TRIM(B181),".",""),"-","")," ","")),1),UPPER(SUBSTITUTE(SUBSTITUTE(SUBSTITUTE(TRIM(B181),".",""),"-","")," ",""))))</f>
        <v/>
      </c>
      <c r="N181" s="62" t="str">
        <f aca="false">IF(B181="","",IF(D181="Anexo de modificación","No","Sí"))</f>
        <v/>
      </c>
      <c r="O181" s="62" t="str">
        <f aca="false">IF(AND(N181="Sí",ISNUMBER(F181)),COUNTIFS(C_RUTN,M181,C_DEF,"Sí",C_INI,"&lt;"&amp;F181)+COUNTIFS(M$7:M181,M181,N$7:N181,"Sí",F$7:F181,F181),"")</f>
        <v/>
      </c>
      <c r="P181" s="62" t="str">
        <f aca="false">IF(O181="","",M181&amp;"-P"&amp;O181)</f>
        <v/>
      </c>
      <c r="Q181" s="62" t="str">
        <f aca="false">IF(AND(N181="Sí",E181="Plazo fijo",ISNUMBER(F181)),COUNTIFS(C_RUTN,M181,C_TIPO,"Plazo fijo",C_DEF,"Sí",C_INI,"&lt;"&amp;F181)+COUNTIFS(M$7:M181,M181,E$7:E181,"Plazo fijo",N$7:N181,"Sí",F$7:F181,F181),"")</f>
        <v/>
      </c>
      <c r="R181" s="62" t="str">
        <f aca="false">IF(AND(B181&lt;&gt;"",ISNUMBER(H181),ISNUMBER(F181)),COUNTIFS(C_RUTN,M181,C_SUELDO,"&lt;&gt;",C_INI,"&lt;"&amp;F181)+COUNTIFS(M$7:M181,M181,H$7:H181,"&lt;&gt;",F$7:F181,F181),"")</f>
        <v/>
      </c>
      <c r="S181" s="62" t="str">
        <f aca="false">IF(R181="","",M181&amp;"-S"&amp;R181)</f>
        <v/>
      </c>
    </row>
    <row r="182" customFormat="false" ht="15" hidden="false" customHeight="false" outlineLevel="0" collapsed="false">
      <c r="B182" s="58"/>
      <c r="C182" s="62" t="str">
        <f aca="false">IF(B182="","",IFERROR(INDEX(T_NOMBRE,MATCH(M182,T_RUTN,0)),"⚠ RUT no está en Trabajadores"))</f>
        <v/>
      </c>
      <c r="D182" s="58"/>
      <c r="E182" s="58"/>
      <c r="F182" s="59"/>
      <c r="G182" s="59"/>
      <c r="H182" s="60"/>
      <c r="I182" s="58"/>
      <c r="J182" s="58"/>
      <c r="K182" s="58"/>
      <c r="L182" s="62" t="str">
        <f aca="false">IF(B182="","",IF(LEFT(C182,1)="⚠","⚠ Registre primero al trabajador en la hoja Trabajadores",IF(AND(N182="Sí",OR(E182="",NOT(ISNUMBER(F182)))),"⚠ Falta tipo de contrato o fecha de inicio",IF(NOT(ISNUMBER(F182)),"⚠ Falta fecha de inicio",IF(AND(N182="Sí",E182&lt;&gt;"Indefinido",NOT(ISNUMBER(G182))),"⚠ Falta fecha de término",IF(AND(D182="Paso a indefinido",E182&lt;&gt;"Indefinido"),"⚠ Un paso a indefinido debe tener tipo Indefinido",IF(N(Q182)&gt;=3,"⚠ 3er contrato a plazo fijo: por ley ya es INDEFINIDO (Art. 159 N°4)",IF(AND(E182="Plazo fijo",ISNUMBER(G182),(G182-F182+1)/30.4375&gt;12),"⚠ Plazo fijo mayor a 1 año (máximo legal)",IF(J182&lt;&gt;"Sí","Pendiente de firma","OK")))))))))</f>
        <v/>
      </c>
      <c r="M182" s="62" t="str">
        <f aca="false">IF(B182="","",IFERROR(VALUE(LEFT(UPPER(SUBSTITUTE(SUBSTITUTE(SUBSTITUTE(TRIM(B182),".",""),"-","")," ","")),LEN(UPPER(SUBSTITUTE(SUBSTITUTE(SUBSTITUTE(TRIM(B182),".",""),"-","")," ","")))-1))&amp;RIGHT(UPPER(SUBSTITUTE(SUBSTITUTE(SUBSTITUTE(TRIM(B182),".",""),"-","")," ","")),1),UPPER(SUBSTITUTE(SUBSTITUTE(SUBSTITUTE(TRIM(B182),".",""),"-","")," ",""))))</f>
        <v/>
      </c>
      <c r="N182" s="62" t="str">
        <f aca="false">IF(B182="","",IF(D182="Anexo de modificación","No","Sí"))</f>
        <v/>
      </c>
      <c r="O182" s="62" t="str">
        <f aca="false">IF(AND(N182="Sí",ISNUMBER(F182)),COUNTIFS(C_RUTN,M182,C_DEF,"Sí",C_INI,"&lt;"&amp;F182)+COUNTIFS(M$7:M182,M182,N$7:N182,"Sí",F$7:F182,F182),"")</f>
        <v/>
      </c>
      <c r="P182" s="62" t="str">
        <f aca="false">IF(O182="","",M182&amp;"-P"&amp;O182)</f>
        <v/>
      </c>
      <c r="Q182" s="62" t="str">
        <f aca="false">IF(AND(N182="Sí",E182="Plazo fijo",ISNUMBER(F182)),COUNTIFS(C_RUTN,M182,C_TIPO,"Plazo fijo",C_DEF,"Sí",C_INI,"&lt;"&amp;F182)+COUNTIFS(M$7:M182,M182,E$7:E182,"Plazo fijo",N$7:N182,"Sí",F$7:F182,F182),"")</f>
        <v/>
      </c>
      <c r="R182" s="62" t="str">
        <f aca="false">IF(AND(B182&lt;&gt;"",ISNUMBER(H182),ISNUMBER(F182)),COUNTIFS(C_RUTN,M182,C_SUELDO,"&lt;&gt;",C_INI,"&lt;"&amp;F182)+COUNTIFS(M$7:M182,M182,H$7:H182,"&lt;&gt;",F$7:F182,F182),"")</f>
        <v/>
      </c>
      <c r="S182" s="62" t="str">
        <f aca="false">IF(R182="","",M182&amp;"-S"&amp;R182)</f>
        <v/>
      </c>
    </row>
    <row r="183" customFormat="false" ht="15" hidden="false" customHeight="false" outlineLevel="0" collapsed="false">
      <c r="B183" s="58"/>
      <c r="C183" s="62" t="str">
        <f aca="false">IF(B183="","",IFERROR(INDEX(T_NOMBRE,MATCH(M183,T_RUTN,0)),"⚠ RUT no está en Trabajadores"))</f>
        <v/>
      </c>
      <c r="D183" s="58"/>
      <c r="E183" s="58"/>
      <c r="F183" s="59"/>
      <c r="G183" s="59"/>
      <c r="H183" s="60"/>
      <c r="I183" s="58"/>
      <c r="J183" s="58"/>
      <c r="K183" s="58"/>
      <c r="L183" s="62" t="str">
        <f aca="false">IF(B183="","",IF(LEFT(C183,1)="⚠","⚠ Registre primero al trabajador en la hoja Trabajadores",IF(AND(N183="Sí",OR(E183="",NOT(ISNUMBER(F183)))),"⚠ Falta tipo de contrato o fecha de inicio",IF(NOT(ISNUMBER(F183)),"⚠ Falta fecha de inicio",IF(AND(N183="Sí",E183&lt;&gt;"Indefinido",NOT(ISNUMBER(G183))),"⚠ Falta fecha de término",IF(AND(D183="Paso a indefinido",E183&lt;&gt;"Indefinido"),"⚠ Un paso a indefinido debe tener tipo Indefinido",IF(N(Q183)&gt;=3,"⚠ 3er contrato a plazo fijo: por ley ya es INDEFINIDO (Art. 159 N°4)",IF(AND(E183="Plazo fijo",ISNUMBER(G183),(G183-F183+1)/30.4375&gt;12),"⚠ Plazo fijo mayor a 1 año (máximo legal)",IF(J183&lt;&gt;"Sí","Pendiente de firma","OK")))))))))</f>
        <v/>
      </c>
      <c r="M183" s="62" t="str">
        <f aca="false">IF(B183="","",IFERROR(VALUE(LEFT(UPPER(SUBSTITUTE(SUBSTITUTE(SUBSTITUTE(TRIM(B183),".",""),"-","")," ","")),LEN(UPPER(SUBSTITUTE(SUBSTITUTE(SUBSTITUTE(TRIM(B183),".",""),"-","")," ","")))-1))&amp;RIGHT(UPPER(SUBSTITUTE(SUBSTITUTE(SUBSTITUTE(TRIM(B183),".",""),"-","")," ","")),1),UPPER(SUBSTITUTE(SUBSTITUTE(SUBSTITUTE(TRIM(B183),".",""),"-","")," ",""))))</f>
        <v/>
      </c>
      <c r="N183" s="62" t="str">
        <f aca="false">IF(B183="","",IF(D183="Anexo de modificación","No","Sí"))</f>
        <v/>
      </c>
      <c r="O183" s="62" t="str">
        <f aca="false">IF(AND(N183="Sí",ISNUMBER(F183)),COUNTIFS(C_RUTN,M183,C_DEF,"Sí",C_INI,"&lt;"&amp;F183)+COUNTIFS(M$7:M183,M183,N$7:N183,"Sí",F$7:F183,F183),"")</f>
        <v/>
      </c>
      <c r="P183" s="62" t="str">
        <f aca="false">IF(O183="","",M183&amp;"-P"&amp;O183)</f>
        <v/>
      </c>
      <c r="Q183" s="62" t="str">
        <f aca="false">IF(AND(N183="Sí",E183="Plazo fijo",ISNUMBER(F183)),COUNTIFS(C_RUTN,M183,C_TIPO,"Plazo fijo",C_DEF,"Sí",C_INI,"&lt;"&amp;F183)+COUNTIFS(M$7:M183,M183,E$7:E183,"Plazo fijo",N$7:N183,"Sí",F$7:F183,F183),"")</f>
        <v/>
      </c>
      <c r="R183" s="62" t="str">
        <f aca="false">IF(AND(B183&lt;&gt;"",ISNUMBER(H183),ISNUMBER(F183)),COUNTIFS(C_RUTN,M183,C_SUELDO,"&lt;&gt;",C_INI,"&lt;"&amp;F183)+COUNTIFS(M$7:M183,M183,H$7:H183,"&lt;&gt;",F$7:F183,F183),"")</f>
        <v/>
      </c>
      <c r="S183" s="62" t="str">
        <f aca="false">IF(R183="","",M183&amp;"-S"&amp;R183)</f>
        <v/>
      </c>
    </row>
    <row r="184" customFormat="false" ht="15" hidden="false" customHeight="false" outlineLevel="0" collapsed="false">
      <c r="B184" s="58"/>
      <c r="C184" s="62" t="str">
        <f aca="false">IF(B184="","",IFERROR(INDEX(T_NOMBRE,MATCH(M184,T_RUTN,0)),"⚠ RUT no está en Trabajadores"))</f>
        <v/>
      </c>
      <c r="D184" s="58"/>
      <c r="E184" s="58"/>
      <c r="F184" s="59"/>
      <c r="G184" s="59"/>
      <c r="H184" s="60"/>
      <c r="I184" s="58"/>
      <c r="J184" s="58"/>
      <c r="K184" s="58"/>
      <c r="L184" s="62" t="str">
        <f aca="false">IF(B184="","",IF(LEFT(C184,1)="⚠","⚠ Registre primero al trabajador en la hoja Trabajadores",IF(AND(N184="Sí",OR(E184="",NOT(ISNUMBER(F184)))),"⚠ Falta tipo de contrato o fecha de inicio",IF(NOT(ISNUMBER(F184)),"⚠ Falta fecha de inicio",IF(AND(N184="Sí",E184&lt;&gt;"Indefinido",NOT(ISNUMBER(G184))),"⚠ Falta fecha de término",IF(AND(D184="Paso a indefinido",E184&lt;&gt;"Indefinido"),"⚠ Un paso a indefinido debe tener tipo Indefinido",IF(N(Q184)&gt;=3,"⚠ 3er contrato a plazo fijo: por ley ya es INDEFINIDO (Art. 159 N°4)",IF(AND(E184="Plazo fijo",ISNUMBER(G184),(G184-F184+1)/30.4375&gt;12),"⚠ Plazo fijo mayor a 1 año (máximo legal)",IF(J184&lt;&gt;"Sí","Pendiente de firma","OK")))))))))</f>
        <v/>
      </c>
      <c r="M184" s="62" t="str">
        <f aca="false">IF(B184="","",IFERROR(VALUE(LEFT(UPPER(SUBSTITUTE(SUBSTITUTE(SUBSTITUTE(TRIM(B184),".",""),"-","")," ","")),LEN(UPPER(SUBSTITUTE(SUBSTITUTE(SUBSTITUTE(TRIM(B184),".",""),"-","")," ","")))-1))&amp;RIGHT(UPPER(SUBSTITUTE(SUBSTITUTE(SUBSTITUTE(TRIM(B184),".",""),"-","")," ","")),1),UPPER(SUBSTITUTE(SUBSTITUTE(SUBSTITUTE(TRIM(B184),".",""),"-","")," ",""))))</f>
        <v/>
      </c>
      <c r="N184" s="62" t="str">
        <f aca="false">IF(B184="","",IF(D184="Anexo de modificación","No","Sí"))</f>
        <v/>
      </c>
      <c r="O184" s="62" t="str">
        <f aca="false">IF(AND(N184="Sí",ISNUMBER(F184)),COUNTIFS(C_RUTN,M184,C_DEF,"Sí",C_INI,"&lt;"&amp;F184)+COUNTIFS(M$7:M184,M184,N$7:N184,"Sí",F$7:F184,F184),"")</f>
        <v/>
      </c>
      <c r="P184" s="62" t="str">
        <f aca="false">IF(O184="","",M184&amp;"-P"&amp;O184)</f>
        <v/>
      </c>
      <c r="Q184" s="62" t="str">
        <f aca="false">IF(AND(N184="Sí",E184="Plazo fijo",ISNUMBER(F184)),COUNTIFS(C_RUTN,M184,C_TIPO,"Plazo fijo",C_DEF,"Sí",C_INI,"&lt;"&amp;F184)+COUNTIFS(M$7:M184,M184,E$7:E184,"Plazo fijo",N$7:N184,"Sí",F$7:F184,F184),"")</f>
        <v/>
      </c>
      <c r="R184" s="62" t="str">
        <f aca="false">IF(AND(B184&lt;&gt;"",ISNUMBER(H184),ISNUMBER(F184)),COUNTIFS(C_RUTN,M184,C_SUELDO,"&lt;&gt;",C_INI,"&lt;"&amp;F184)+COUNTIFS(M$7:M184,M184,H$7:H184,"&lt;&gt;",F$7:F184,F184),"")</f>
        <v/>
      </c>
      <c r="S184" s="62" t="str">
        <f aca="false">IF(R184="","",M184&amp;"-S"&amp;R184)</f>
        <v/>
      </c>
    </row>
    <row r="185" customFormat="false" ht="15" hidden="false" customHeight="false" outlineLevel="0" collapsed="false">
      <c r="B185" s="58"/>
      <c r="C185" s="62" t="str">
        <f aca="false">IF(B185="","",IFERROR(INDEX(T_NOMBRE,MATCH(M185,T_RUTN,0)),"⚠ RUT no está en Trabajadores"))</f>
        <v/>
      </c>
      <c r="D185" s="58"/>
      <c r="E185" s="58"/>
      <c r="F185" s="59"/>
      <c r="G185" s="59"/>
      <c r="H185" s="60"/>
      <c r="I185" s="58"/>
      <c r="J185" s="58"/>
      <c r="K185" s="58"/>
      <c r="L185" s="62" t="str">
        <f aca="false">IF(B185="","",IF(LEFT(C185,1)="⚠","⚠ Registre primero al trabajador en la hoja Trabajadores",IF(AND(N185="Sí",OR(E185="",NOT(ISNUMBER(F185)))),"⚠ Falta tipo de contrato o fecha de inicio",IF(NOT(ISNUMBER(F185)),"⚠ Falta fecha de inicio",IF(AND(N185="Sí",E185&lt;&gt;"Indefinido",NOT(ISNUMBER(G185))),"⚠ Falta fecha de término",IF(AND(D185="Paso a indefinido",E185&lt;&gt;"Indefinido"),"⚠ Un paso a indefinido debe tener tipo Indefinido",IF(N(Q185)&gt;=3,"⚠ 3er contrato a plazo fijo: por ley ya es INDEFINIDO (Art. 159 N°4)",IF(AND(E185="Plazo fijo",ISNUMBER(G185),(G185-F185+1)/30.4375&gt;12),"⚠ Plazo fijo mayor a 1 año (máximo legal)",IF(J185&lt;&gt;"Sí","Pendiente de firma","OK")))))))))</f>
        <v/>
      </c>
      <c r="M185" s="62" t="str">
        <f aca="false">IF(B185="","",IFERROR(VALUE(LEFT(UPPER(SUBSTITUTE(SUBSTITUTE(SUBSTITUTE(TRIM(B185),".",""),"-","")," ","")),LEN(UPPER(SUBSTITUTE(SUBSTITUTE(SUBSTITUTE(TRIM(B185),".",""),"-","")," ","")))-1))&amp;RIGHT(UPPER(SUBSTITUTE(SUBSTITUTE(SUBSTITUTE(TRIM(B185),".",""),"-","")," ","")),1),UPPER(SUBSTITUTE(SUBSTITUTE(SUBSTITUTE(TRIM(B185),".",""),"-","")," ",""))))</f>
        <v/>
      </c>
      <c r="N185" s="62" t="str">
        <f aca="false">IF(B185="","",IF(D185="Anexo de modificación","No","Sí"))</f>
        <v/>
      </c>
      <c r="O185" s="62" t="str">
        <f aca="false">IF(AND(N185="Sí",ISNUMBER(F185)),COUNTIFS(C_RUTN,M185,C_DEF,"Sí",C_INI,"&lt;"&amp;F185)+COUNTIFS(M$7:M185,M185,N$7:N185,"Sí",F$7:F185,F185),"")</f>
        <v/>
      </c>
      <c r="P185" s="62" t="str">
        <f aca="false">IF(O185="","",M185&amp;"-P"&amp;O185)</f>
        <v/>
      </c>
      <c r="Q185" s="62" t="str">
        <f aca="false">IF(AND(N185="Sí",E185="Plazo fijo",ISNUMBER(F185)),COUNTIFS(C_RUTN,M185,C_TIPO,"Plazo fijo",C_DEF,"Sí",C_INI,"&lt;"&amp;F185)+COUNTIFS(M$7:M185,M185,E$7:E185,"Plazo fijo",N$7:N185,"Sí",F$7:F185,F185),"")</f>
        <v/>
      </c>
      <c r="R185" s="62" t="str">
        <f aca="false">IF(AND(B185&lt;&gt;"",ISNUMBER(H185),ISNUMBER(F185)),COUNTIFS(C_RUTN,M185,C_SUELDO,"&lt;&gt;",C_INI,"&lt;"&amp;F185)+COUNTIFS(M$7:M185,M185,H$7:H185,"&lt;&gt;",F$7:F185,F185),"")</f>
        <v/>
      </c>
      <c r="S185" s="62" t="str">
        <f aca="false">IF(R185="","",M185&amp;"-S"&amp;R185)</f>
        <v/>
      </c>
    </row>
    <row r="186" customFormat="false" ht="15" hidden="false" customHeight="false" outlineLevel="0" collapsed="false">
      <c r="B186" s="58"/>
      <c r="C186" s="62" t="str">
        <f aca="false">IF(B186="","",IFERROR(INDEX(T_NOMBRE,MATCH(M186,T_RUTN,0)),"⚠ RUT no está en Trabajadores"))</f>
        <v/>
      </c>
      <c r="D186" s="58"/>
      <c r="E186" s="58"/>
      <c r="F186" s="59"/>
      <c r="G186" s="59"/>
      <c r="H186" s="60"/>
      <c r="I186" s="58"/>
      <c r="J186" s="58"/>
      <c r="K186" s="58"/>
      <c r="L186" s="62" t="str">
        <f aca="false">IF(B186="","",IF(LEFT(C186,1)="⚠","⚠ Registre primero al trabajador en la hoja Trabajadores",IF(AND(N186="Sí",OR(E186="",NOT(ISNUMBER(F186)))),"⚠ Falta tipo de contrato o fecha de inicio",IF(NOT(ISNUMBER(F186)),"⚠ Falta fecha de inicio",IF(AND(N186="Sí",E186&lt;&gt;"Indefinido",NOT(ISNUMBER(G186))),"⚠ Falta fecha de término",IF(AND(D186="Paso a indefinido",E186&lt;&gt;"Indefinido"),"⚠ Un paso a indefinido debe tener tipo Indefinido",IF(N(Q186)&gt;=3,"⚠ 3er contrato a plazo fijo: por ley ya es INDEFINIDO (Art. 159 N°4)",IF(AND(E186="Plazo fijo",ISNUMBER(G186),(G186-F186+1)/30.4375&gt;12),"⚠ Plazo fijo mayor a 1 año (máximo legal)",IF(J186&lt;&gt;"Sí","Pendiente de firma","OK")))))))))</f>
        <v/>
      </c>
      <c r="M186" s="62" t="str">
        <f aca="false">IF(B186="","",IFERROR(VALUE(LEFT(UPPER(SUBSTITUTE(SUBSTITUTE(SUBSTITUTE(TRIM(B186),".",""),"-","")," ","")),LEN(UPPER(SUBSTITUTE(SUBSTITUTE(SUBSTITUTE(TRIM(B186),".",""),"-","")," ","")))-1))&amp;RIGHT(UPPER(SUBSTITUTE(SUBSTITUTE(SUBSTITUTE(TRIM(B186),".",""),"-","")," ","")),1),UPPER(SUBSTITUTE(SUBSTITUTE(SUBSTITUTE(TRIM(B186),".",""),"-","")," ",""))))</f>
        <v/>
      </c>
      <c r="N186" s="62" t="str">
        <f aca="false">IF(B186="","",IF(D186="Anexo de modificación","No","Sí"))</f>
        <v/>
      </c>
      <c r="O186" s="62" t="str">
        <f aca="false">IF(AND(N186="Sí",ISNUMBER(F186)),COUNTIFS(C_RUTN,M186,C_DEF,"Sí",C_INI,"&lt;"&amp;F186)+COUNTIFS(M$7:M186,M186,N$7:N186,"Sí",F$7:F186,F186),"")</f>
        <v/>
      </c>
      <c r="P186" s="62" t="str">
        <f aca="false">IF(O186="","",M186&amp;"-P"&amp;O186)</f>
        <v/>
      </c>
      <c r="Q186" s="62" t="str">
        <f aca="false">IF(AND(N186="Sí",E186="Plazo fijo",ISNUMBER(F186)),COUNTIFS(C_RUTN,M186,C_TIPO,"Plazo fijo",C_DEF,"Sí",C_INI,"&lt;"&amp;F186)+COUNTIFS(M$7:M186,M186,E$7:E186,"Plazo fijo",N$7:N186,"Sí",F$7:F186,F186),"")</f>
        <v/>
      </c>
      <c r="R186" s="62" t="str">
        <f aca="false">IF(AND(B186&lt;&gt;"",ISNUMBER(H186),ISNUMBER(F186)),COUNTIFS(C_RUTN,M186,C_SUELDO,"&lt;&gt;",C_INI,"&lt;"&amp;F186)+COUNTIFS(M$7:M186,M186,H$7:H186,"&lt;&gt;",F$7:F186,F186),"")</f>
        <v/>
      </c>
      <c r="S186" s="62" t="str">
        <f aca="false">IF(R186="","",M186&amp;"-S"&amp;R186)</f>
        <v/>
      </c>
    </row>
    <row r="187" customFormat="false" ht="15" hidden="false" customHeight="false" outlineLevel="0" collapsed="false">
      <c r="B187" s="58"/>
      <c r="C187" s="62" t="str">
        <f aca="false">IF(B187="","",IFERROR(INDEX(T_NOMBRE,MATCH(M187,T_RUTN,0)),"⚠ RUT no está en Trabajadores"))</f>
        <v/>
      </c>
      <c r="D187" s="58"/>
      <c r="E187" s="58"/>
      <c r="F187" s="59"/>
      <c r="G187" s="59"/>
      <c r="H187" s="60"/>
      <c r="I187" s="58"/>
      <c r="J187" s="58"/>
      <c r="K187" s="58"/>
      <c r="L187" s="62" t="str">
        <f aca="false">IF(B187="","",IF(LEFT(C187,1)="⚠","⚠ Registre primero al trabajador en la hoja Trabajadores",IF(AND(N187="Sí",OR(E187="",NOT(ISNUMBER(F187)))),"⚠ Falta tipo de contrato o fecha de inicio",IF(NOT(ISNUMBER(F187)),"⚠ Falta fecha de inicio",IF(AND(N187="Sí",E187&lt;&gt;"Indefinido",NOT(ISNUMBER(G187))),"⚠ Falta fecha de término",IF(AND(D187="Paso a indefinido",E187&lt;&gt;"Indefinido"),"⚠ Un paso a indefinido debe tener tipo Indefinido",IF(N(Q187)&gt;=3,"⚠ 3er contrato a plazo fijo: por ley ya es INDEFINIDO (Art. 159 N°4)",IF(AND(E187="Plazo fijo",ISNUMBER(G187),(G187-F187+1)/30.4375&gt;12),"⚠ Plazo fijo mayor a 1 año (máximo legal)",IF(J187&lt;&gt;"Sí","Pendiente de firma","OK")))))))))</f>
        <v/>
      </c>
      <c r="M187" s="62" t="str">
        <f aca="false">IF(B187="","",IFERROR(VALUE(LEFT(UPPER(SUBSTITUTE(SUBSTITUTE(SUBSTITUTE(TRIM(B187),".",""),"-","")," ","")),LEN(UPPER(SUBSTITUTE(SUBSTITUTE(SUBSTITUTE(TRIM(B187),".",""),"-","")," ","")))-1))&amp;RIGHT(UPPER(SUBSTITUTE(SUBSTITUTE(SUBSTITUTE(TRIM(B187),".",""),"-","")," ","")),1),UPPER(SUBSTITUTE(SUBSTITUTE(SUBSTITUTE(TRIM(B187),".",""),"-","")," ",""))))</f>
        <v/>
      </c>
      <c r="N187" s="62" t="str">
        <f aca="false">IF(B187="","",IF(D187="Anexo de modificación","No","Sí"))</f>
        <v/>
      </c>
      <c r="O187" s="62" t="str">
        <f aca="false">IF(AND(N187="Sí",ISNUMBER(F187)),COUNTIFS(C_RUTN,M187,C_DEF,"Sí",C_INI,"&lt;"&amp;F187)+COUNTIFS(M$7:M187,M187,N$7:N187,"Sí",F$7:F187,F187),"")</f>
        <v/>
      </c>
      <c r="P187" s="62" t="str">
        <f aca="false">IF(O187="","",M187&amp;"-P"&amp;O187)</f>
        <v/>
      </c>
      <c r="Q187" s="62" t="str">
        <f aca="false">IF(AND(N187="Sí",E187="Plazo fijo",ISNUMBER(F187)),COUNTIFS(C_RUTN,M187,C_TIPO,"Plazo fijo",C_DEF,"Sí",C_INI,"&lt;"&amp;F187)+COUNTIFS(M$7:M187,M187,E$7:E187,"Plazo fijo",N$7:N187,"Sí",F$7:F187,F187),"")</f>
        <v/>
      </c>
      <c r="R187" s="62" t="str">
        <f aca="false">IF(AND(B187&lt;&gt;"",ISNUMBER(H187),ISNUMBER(F187)),COUNTIFS(C_RUTN,M187,C_SUELDO,"&lt;&gt;",C_INI,"&lt;"&amp;F187)+COUNTIFS(M$7:M187,M187,H$7:H187,"&lt;&gt;",F$7:F187,F187),"")</f>
        <v/>
      </c>
      <c r="S187" s="62" t="str">
        <f aca="false">IF(R187="","",M187&amp;"-S"&amp;R187)</f>
        <v/>
      </c>
    </row>
    <row r="188" customFormat="false" ht="15" hidden="false" customHeight="false" outlineLevel="0" collapsed="false">
      <c r="B188" s="58"/>
      <c r="C188" s="62" t="str">
        <f aca="false">IF(B188="","",IFERROR(INDEX(T_NOMBRE,MATCH(M188,T_RUTN,0)),"⚠ RUT no está en Trabajadores"))</f>
        <v/>
      </c>
      <c r="D188" s="58"/>
      <c r="E188" s="58"/>
      <c r="F188" s="59"/>
      <c r="G188" s="59"/>
      <c r="H188" s="60"/>
      <c r="I188" s="58"/>
      <c r="J188" s="58"/>
      <c r="K188" s="58"/>
      <c r="L188" s="62" t="str">
        <f aca="false">IF(B188="","",IF(LEFT(C188,1)="⚠","⚠ Registre primero al trabajador en la hoja Trabajadores",IF(AND(N188="Sí",OR(E188="",NOT(ISNUMBER(F188)))),"⚠ Falta tipo de contrato o fecha de inicio",IF(NOT(ISNUMBER(F188)),"⚠ Falta fecha de inicio",IF(AND(N188="Sí",E188&lt;&gt;"Indefinido",NOT(ISNUMBER(G188))),"⚠ Falta fecha de término",IF(AND(D188="Paso a indefinido",E188&lt;&gt;"Indefinido"),"⚠ Un paso a indefinido debe tener tipo Indefinido",IF(N(Q188)&gt;=3,"⚠ 3er contrato a plazo fijo: por ley ya es INDEFINIDO (Art. 159 N°4)",IF(AND(E188="Plazo fijo",ISNUMBER(G188),(G188-F188+1)/30.4375&gt;12),"⚠ Plazo fijo mayor a 1 año (máximo legal)",IF(J188&lt;&gt;"Sí","Pendiente de firma","OK")))))))))</f>
        <v/>
      </c>
      <c r="M188" s="62" t="str">
        <f aca="false">IF(B188="","",IFERROR(VALUE(LEFT(UPPER(SUBSTITUTE(SUBSTITUTE(SUBSTITUTE(TRIM(B188),".",""),"-","")," ","")),LEN(UPPER(SUBSTITUTE(SUBSTITUTE(SUBSTITUTE(TRIM(B188),".",""),"-","")," ","")))-1))&amp;RIGHT(UPPER(SUBSTITUTE(SUBSTITUTE(SUBSTITUTE(TRIM(B188),".",""),"-","")," ","")),1),UPPER(SUBSTITUTE(SUBSTITUTE(SUBSTITUTE(TRIM(B188),".",""),"-","")," ",""))))</f>
        <v/>
      </c>
      <c r="N188" s="62" t="str">
        <f aca="false">IF(B188="","",IF(D188="Anexo de modificación","No","Sí"))</f>
        <v/>
      </c>
      <c r="O188" s="62" t="str">
        <f aca="false">IF(AND(N188="Sí",ISNUMBER(F188)),COUNTIFS(C_RUTN,M188,C_DEF,"Sí",C_INI,"&lt;"&amp;F188)+COUNTIFS(M$7:M188,M188,N$7:N188,"Sí",F$7:F188,F188),"")</f>
        <v/>
      </c>
      <c r="P188" s="62" t="str">
        <f aca="false">IF(O188="","",M188&amp;"-P"&amp;O188)</f>
        <v/>
      </c>
      <c r="Q188" s="62" t="str">
        <f aca="false">IF(AND(N188="Sí",E188="Plazo fijo",ISNUMBER(F188)),COUNTIFS(C_RUTN,M188,C_TIPO,"Plazo fijo",C_DEF,"Sí",C_INI,"&lt;"&amp;F188)+COUNTIFS(M$7:M188,M188,E$7:E188,"Plazo fijo",N$7:N188,"Sí",F$7:F188,F188),"")</f>
        <v/>
      </c>
      <c r="R188" s="62" t="str">
        <f aca="false">IF(AND(B188&lt;&gt;"",ISNUMBER(H188),ISNUMBER(F188)),COUNTIFS(C_RUTN,M188,C_SUELDO,"&lt;&gt;",C_INI,"&lt;"&amp;F188)+COUNTIFS(M$7:M188,M188,H$7:H188,"&lt;&gt;",F$7:F188,F188),"")</f>
        <v/>
      </c>
      <c r="S188" s="62" t="str">
        <f aca="false">IF(R188="","",M188&amp;"-S"&amp;R188)</f>
        <v/>
      </c>
    </row>
    <row r="189" customFormat="false" ht="15" hidden="false" customHeight="false" outlineLevel="0" collapsed="false">
      <c r="B189" s="58"/>
      <c r="C189" s="62" t="str">
        <f aca="false">IF(B189="","",IFERROR(INDEX(T_NOMBRE,MATCH(M189,T_RUTN,0)),"⚠ RUT no está en Trabajadores"))</f>
        <v/>
      </c>
      <c r="D189" s="58"/>
      <c r="E189" s="58"/>
      <c r="F189" s="59"/>
      <c r="G189" s="59"/>
      <c r="H189" s="60"/>
      <c r="I189" s="58"/>
      <c r="J189" s="58"/>
      <c r="K189" s="58"/>
      <c r="L189" s="62" t="str">
        <f aca="false">IF(B189="","",IF(LEFT(C189,1)="⚠","⚠ Registre primero al trabajador en la hoja Trabajadores",IF(AND(N189="Sí",OR(E189="",NOT(ISNUMBER(F189)))),"⚠ Falta tipo de contrato o fecha de inicio",IF(NOT(ISNUMBER(F189)),"⚠ Falta fecha de inicio",IF(AND(N189="Sí",E189&lt;&gt;"Indefinido",NOT(ISNUMBER(G189))),"⚠ Falta fecha de término",IF(AND(D189="Paso a indefinido",E189&lt;&gt;"Indefinido"),"⚠ Un paso a indefinido debe tener tipo Indefinido",IF(N(Q189)&gt;=3,"⚠ 3er contrato a plazo fijo: por ley ya es INDEFINIDO (Art. 159 N°4)",IF(AND(E189="Plazo fijo",ISNUMBER(G189),(G189-F189+1)/30.4375&gt;12),"⚠ Plazo fijo mayor a 1 año (máximo legal)",IF(J189&lt;&gt;"Sí","Pendiente de firma","OK")))))))))</f>
        <v/>
      </c>
      <c r="M189" s="62" t="str">
        <f aca="false">IF(B189="","",IFERROR(VALUE(LEFT(UPPER(SUBSTITUTE(SUBSTITUTE(SUBSTITUTE(TRIM(B189),".",""),"-","")," ","")),LEN(UPPER(SUBSTITUTE(SUBSTITUTE(SUBSTITUTE(TRIM(B189),".",""),"-","")," ","")))-1))&amp;RIGHT(UPPER(SUBSTITUTE(SUBSTITUTE(SUBSTITUTE(TRIM(B189),".",""),"-","")," ","")),1),UPPER(SUBSTITUTE(SUBSTITUTE(SUBSTITUTE(TRIM(B189),".",""),"-","")," ",""))))</f>
        <v/>
      </c>
      <c r="N189" s="62" t="str">
        <f aca="false">IF(B189="","",IF(D189="Anexo de modificación","No","Sí"))</f>
        <v/>
      </c>
      <c r="O189" s="62" t="str">
        <f aca="false">IF(AND(N189="Sí",ISNUMBER(F189)),COUNTIFS(C_RUTN,M189,C_DEF,"Sí",C_INI,"&lt;"&amp;F189)+COUNTIFS(M$7:M189,M189,N$7:N189,"Sí",F$7:F189,F189),"")</f>
        <v/>
      </c>
      <c r="P189" s="62" t="str">
        <f aca="false">IF(O189="","",M189&amp;"-P"&amp;O189)</f>
        <v/>
      </c>
      <c r="Q189" s="62" t="str">
        <f aca="false">IF(AND(N189="Sí",E189="Plazo fijo",ISNUMBER(F189)),COUNTIFS(C_RUTN,M189,C_TIPO,"Plazo fijo",C_DEF,"Sí",C_INI,"&lt;"&amp;F189)+COUNTIFS(M$7:M189,M189,E$7:E189,"Plazo fijo",N$7:N189,"Sí",F$7:F189,F189),"")</f>
        <v/>
      </c>
      <c r="R189" s="62" t="str">
        <f aca="false">IF(AND(B189&lt;&gt;"",ISNUMBER(H189),ISNUMBER(F189)),COUNTIFS(C_RUTN,M189,C_SUELDO,"&lt;&gt;",C_INI,"&lt;"&amp;F189)+COUNTIFS(M$7:M189,M189,H$7:H189,"&lt;&gt;",F$7:F189,F189),"")</f>
        <v/>
      </c>
      <c r="S189" s="62" t="str">
        <f aca="false">IF(R189="","",M189&amp;"-S"&amp;R189)</f>
        <v/>
      </c>
    </row>
    <row r="190" customFormat="false" ht="15" hidden="false" customHeight="false" outlineLevel="0" collapsed="false">
      <c r="B190" s="58"/>
      <c r="C190" s="62" t="str">
        <f aca="false">IF(B190="","",IFERROR(INDEX(T_NOMBRE,MATCH(M190,T_RUTN,0)),"⚠ RUT no está en Trabajadores"))</f>
        <v/>
      </c>
      <c r="D190" s="58"/>
      <c r="E190" s="58"/>
      <c r="F190" s="59"/>
      <c r="G190" s="59"/>
      <c r="H190" s="60"/>
      <c r="I190" s="58"/>
      <c r="J190" s="58"/>
      <c r="K190" s="58"/>
      <c r="L190" s="62" t="str">
        <f aca="false">IF(B190="","",IF(LEFT(C190,1)="⚠","⚠ Registre primero al trabajador en la hoja Trabajadores",IF(AND(N190="Sí",OR(E190="",NOT(ISNUMBER(F190)))),"⚠ Falta tipo de contrato o fecha de inicio",IF(NOT(ISNUMBER(F190)),"⚠ Falta fecha de inicio",IF(AND(N190="Sí",E190&lt;&gt;"Indefinido",NOT(ISNUMBER(G190))),"⚠ Falta fecha de término",IF(AND(D190="Paso a indefinido",E190&lt;&gt;"Indefinido"),"⚠ Un paso a indefinido debe tener tipo Indefinido",IF(N(Q190)&gt;=3,"⚠ 3er contrato a plazo fijo: por ley ya es INDEFINIDO (Art. 159 N°4)",IF(AND(E190="Plazo fijo",ISNUMBER(G190),(G190-F190+1)/30.4375&gt;12),"⚠ Plazo fijo mayor a 1 año (máximo legal)",IF(J190&lt;&gt;"Sí","Pendiente de firma","OK")))))))))</f>
        <v/>
      </c>
      <c r="M190" s="62" t="str">
        <f aca="false">IF(B190="","",IFERROR(VALUE(LEFT(UPPER(SUBSTITUTE(SUBSTITUTE(SUBSTITUTE(TRIM(B190),".",""),"-","")," ","")),LEN(UPPER(SUBSTITUTE(SUBSTITUTE(SUBSTITUTE(TRIM(B190),".",""),"-","")," ","")))-1))&amp;RIGHT(UPPER(SUBSTITUTE(SUBSTITUTE(SUBSTITUTE(TRIM(B190),".",""),"-","")," ","")),1),UPPER(SUBSTITUTE(SUBSTITUTE(SUBSTITUTE(TRIM(B190),".",""),"-","")," ",""))))</f>
        <v/>
      </c>
      <c r="N190" s="62" t="str">
        <f aca="false">IF(B190="","",IF(D190="Anexo de modificación","No","Sí"))</f>
        <v/>
      </c>
      <c r="O190" s="62" t="str">
        <f aca="false">IF(AND(N190="Sí",ISNUMBER(F190)),COUNTIFS(C_RUTN,M190,C_DEF,"Sí",C_INI,"&lt;"&amp;F190)+COUNTIFS(M$7:M190,M190,N$7:N190,"Sí",F$7:F190,F190),"")</f>
        <v/>
      </c>
      <c r="P190" s="62" t="str">
        <f aca="false">IF(O190="","",M190&amp;"-P"&amp;O190)</f>
        <v/>
      </c>
      <c r="Q190" s="62" t="str">
        <f aca="false">IF(AND(N190="Sí",E190="Plazo fijo",ISNUMBER(F190)),COUNTIFS(C_RUTN,M190,C_TIPO,"Plazo fijo",C_DEF,"Sí",C_INI,"&lt;"&amp;F190)+COUNTIFS(M$7:M190,M190,E$7:E190,"Plazo fijo",N$7:N190,"Sí",F$7:F190,F190),"")</f>
        <v/>
      </c>
      <c r="R190" s="62" t="str">
        <f aca="false">IF(AND(B190&lt;&gt;"",ISNUMBER(H190),ISNUMBER(F190)),COUNTIFS(C_RUTN,M190,C_SUELDO,"&lt;&gt;",C_INI,"&lt;"&amp;F190)+COUNTIFS(M$7:M190,M190,H$7:H190,"&lt;&gt;",F$7:F190,F190),"")</f>
        <v/>
      </c>
      <c r="S190" s="62" t="str">
        <f aca="false">IF(R190="","",M190&amp;"-S"&amp;R190)</f>
        <v/>
      </c>
    </row>
    <row r="191" customFormat="false" ht="15" hidden="false" customHeight="false" outlineLevel="0" collapsed="false">
      <c r="B191" s="58"/>
      <c r="C191" s="62" t="str">
        <f aca="false">IF(B191="","",IFERROR(INDEX(T_NOMBRE,MATCH(M191,T_RUTN,0)),"⚠ RUT no está en Trabajadores"))</f>
        <v/>
      </c>
      <c r="D191" s="58"/>
      <c r="E191" s="58"/>
      <c r="F191" s="59"/>
      <c r="G191" s="59"/>
      <c r="H191" s="60"/>
      <c r="I191" s="58"/>
      <c r="J191" s="58"/>
      <c r="K191" s="58"/>
      <c r="L191" s="62" t="str">
        <f aca="false">IF(B191="","",IF(LEFT(C191,1)="⚠","⚠ Registre primero al trabajador en la hoja Trabajadores",IF(AND(N191="Sí",OR(E191="",NOT(ISNUMBER(F191)))),"⚠ Falta tipo de contrato o fecha de inicio",IF(NOT(ISNUMBER(F191)),"⚠ Falta fecha de inicio",IF(AND(N191="Sí",E191&lt;&gt;"Indefinido",NOT(ISNUMBER(G191))),"⚠ Falta fecha de término",IF(AND(D191="Paso a indefinido",E191&lt;&gt;"Indefinido"),"⚠ Un paso a indefinido debe tener tipo Indefinido",IF(N(Q191)&gt;=3,"⚠ 3er contrato a plazo fijo: por ley ya es INDEFINIDO (Art. 159 N°4)",IF(AND(E191="Plazo fijo",ISNUMBER(G191),(G191-F191+1)/30.4375&gt;12),"⚠ Plazo fijo mayor a 1 año (máximo legal)",IF(J191&lt;&gt;"Sí","Pendiente de firma","OK")))))))))</f>
        <v/>
      </c>
      <c r="M191" s="62" t="str">
        <f aca="false">IF(B191="","",IFERROR(VALUE(LEFT(UPPER(SUBSTITUTE(SUBSTITUTE(SUBSTITUTE(TRIM(B191),".",""),"-","")," ","")),LEN(UPPER(SUBSTITUTE(SUBSTITUTE(SUBSTITUTE(TRIM(B191),".",""),"-","")," ","")))-1))&amp;RIGHT(UPPER(SUBSTITUTE(SUBSTITUTE(SUBSTITUTE(TRIM(B191),".",""),"-","")," ","")),1),UPPER(SUBSTITUTE(SUBSTITUTE(SUBSTITUTE(TRIM(B191),".",""),"-","")," ",""))))</f>
        <v/>
      </c>
      <c r="N191" s="62" t="str">
        <f aca="false">IF(B191="","",IF(D191="Anexo de modificación","No","Sí"))</f>
        <v/>
      </c>
      <c r="O191" s="62" t="str">
        <f aca="false">IF(AND(N191="Sí",ISNUMBER(F191)),COUNTIFS(C_RUTN,M191,C_DEF,"Sí",C_INI,"&lt;"&amp;F191)+COUNTIFS(M$7:M191,M191,N$7:N191,"Sí",F$7:F191,F191),"")</f>
        <v/>
      </c>
      <c r="P191" s="62" t="str">
        <f aca="false">IF(O191="","",M191&amp;"-P"&amp;O191)</f>
        <v/>
      </c>
      <c r="Q191" s="62" t="str">
        <f aca="false">IF(AND(N191="Sí",E191="Plazo fijo",ISNUMBER(F191)),COUNTIFS(C_RUTN,M191,C_TIPO,"Plazo fijo",C_DEF,"Sí",C_INI,"&lt;"&amp;F191)+COUNTIFS(M$7:M191,M191,E$7:E191,"Plazo fijo",N$7:N191,"Sí",F$7:F191,F191),"")</f>
        <v/>
      </c>
      <c r="R191" s="62" t="str">
        <f aca="false">IF(AND(B191&lt;&gt;"",ISNUMBER(H191),ISNUMBER(F191)),COUNTIFS(C_RUTN,M191,C_SUELDO,"&lt;&gt;",C_INI,"&lt;"&amp;F191)+COUNTIFS(M$7:M191,M191,H$7:H191,"&lt;&gt;",F$7:F191,F191),"")</f>
        <v/>
      </c>
      <c r="S191" s="62" t="str">
        <f aca="false">IF(R191="","",M191&amp;"-S"&amp;R191)</f>
        <v/>
      </c>
    </row>
    <row r="192" customFormat="false" ht="15" hidden="false" customHeight="false" outlineLevel="0" collapsed="false">
      <c r="B192" s="58"/>
      <c r="C192" s="62" t="str">
        <f aca="false">IF(B192="","",IFERROR(INDEX(T_NOMBRE,MATCH(M192,T_RUTN,0)),"⚠ RUT no está en Trabajadores"))</f>
        <v/>
      </c>
      <c r="D192" s="58"/>
      <c r="E192" s="58"/>
      <c r="F192" s="59"/>
      <c r="G192" s="59"/>
      <c r="H192" s="60"/>
      <c r="I192" s="58"/>
      <c r="J192" s="58"/>
      <c r="K192" s="58"/>
      <c r="L192" s="62" t="str">
        <f aca="false">IF(B192="","",IF(LEFT(C192,1)="⚠","⚠ Registre primero al trabajador en la hoja Trabajadores",IF(AND(N192="Sí",OR(E192="",NOT(ISNUMBER(F192)))),"⚠ Falta tipo de contrato o fecha de inicio",IF(NOT(ISNUMBER(F192)),"⚠ Falta fecha de inicio",IF(AND(N192="Sí",E192&lt;&gt;"Indefinido",NOT(ISNUMBER(G192))),"⚠ Falta fecha de término",IF(AND(D192="Paso a indefinido",E192&lt;&gt;"Indefinido"),"⚠ Un paso a indefinido debe tener tipo Indefinido",IF(N(Q192)&gt;=3,"⚠ 3er contrato a plazo fijo: por ley ya es INDEFINIDO (Art. 159 N°4)",IF(AND(E192="Plazo fijo",ISNUMBER(G192),(G192-F192+1)/30.4375&gt;12),"⚠ Plazo fijo mayor a 1 año (máximo legal)",IF(J192&lt;&gt;"Sí","Pendiente de firma","OK")))))))))</f>
        <v/>
      </c>
      <c r="M192" s="62" t="str">
        <f aca="false">IF(B192="","",IFERROR(VALUE(LEFT(UPPER(SUBSTITUTE(SUBSTITUTE(SUBSTITUTE(TRIM(B192),".",""),"-","")," ","")),LEN(UPPER(SUBSTITUTE(SUBSTITUTE(SUBSTITUTE(TRIM(B192),".",""),"-","")," ","")))-1))&amp;RIGHT(UPPER(SUBSTITUTE(SUBSTITUTE(SUBSTITUTE(TRIM(B192),".",""),"-","")," ","")),1),UPPER(SUBSTITUTE(SUBSTITUTE(SUBSTITUTE(TRIM(B192),".",""),"-","")," ",""))))</f>
        <v/>
      </c>
      <c r="N192" s="62" t="str">
        <f aca="false">IF(B192="","",IF(D192="Anexo de modificación","No","Sí"))</f>
        <v/>
      </c>
      <c r="O192" s="62" t="str">
        <f aca="false">IF(AND(N192="Sí",ISNUMBER(F192)),COUNTIFS(C_RUTN,M192,C_DEF,"Sí",C_INI,"&lt;"&amp;F192)+COUNTIFS(M$7:M192,M192,N$7:N192,"Sí",F$7:F192,F192),"")</f>
        <v/>
      </c>
      <c r="P192" s="62" t="str">
        <f aca="false">IF(O192="","",M192&amp;"-P"&amp;O192)</f>
        <v/>
      </c>
      <c r="Q192" s="62" t="str">
        <f aca="false">IF(AND(N192="Sí",E192="Plazo fijo",ISNUMBER(F192)),COUNTIFS(C_RUTN,M192,C_TIPO,"Plazo fijo",C_DEF,"Sí",C_INI,"&lt;"&amp;F192)+COUNTIFS(M$7:M192,M192,E$7:E192,"Plazo fijo",N$7:N192,"Sí",F$7:F192,F192),"")</f>
        <v/>
      </c>
      <c r="R192" s="62" t="str">
        <f aca="false">IF(AND(B192&lt;&gt;"",ISNUMBER(H192),ISNUMBER(F192)),COUNTIFS(C_RUTN,M192,C_SUELDO,"&lt;&gt;",C_INI,"&lt;"&amp;F192)+COUNTIFS(M$7:M192,M192,H$7:H192,"&lt;&gt;",F$7:F192,F192),"")</f>
        <v/>
      </c>
      <c r="S192" s="62" t="str">
        <f aca="false">IF(R192="","",M192&amp;"-S"&amp;R192)</f>
        <v/>
      </c>
    </row>
    <row r="193" customFormat="false" ht="15" hidden="false" customHeight="false" outlineLevel="0" collapsed="false">
      <c r="B193" s="58"/>
      <c r="C193" s="62" t="str">
        <f aca="false">IF(B193="","",IFERROR(INDEX(T_NOMBRE,MATCH(M193,T_RUTN,0)),"⚠ RUT no está en Trabajadores"))</f>
        <v/>
      </c>
      <c r="D193" s="58"/>
      <c r="E193" s="58"/>
      <c r="F193" s="59"/>
      <c r="G193" s="59"/>
      <c r="H193" s="60"/>
      <c r="I193" s="58"/>
      <c r="J193" s="58"/>
      <c r="K193" s="58"/>
      <c r="L193" s="62" t="str">
        <f aca="false">IF(B193="","",IF(LEFT(C193,1)="⚠","⚠ Registre primero al trabajador en la hoja Trabajadores",IF(AND(N193="Sí",OR(E193="",NOT(ISNUMBER(F193)))),"⚠ Falta tipo de contrato o fecha de inicio",IF(NOT(ISNUMBER(F193)),"⚠ Falta fecha de inicio",IF(AND(N193="Sí",E193&lt;&gt;"Indefinido",NOT(ISNUMBER(G193))),"⚠ Falta fecha de término",IF(AND(D193="Paso a indefinido",E193&lt;&gt;"Indefinido"),"⚠ Un paso a indefinido debe tener tipo Indefinido",IF(N(Q193)&gt;=3,"⚠ 3er contrato a plazo fijo: por ley ya es INDEFINIDO (Art. 159 N°4)",IF(AND(E193="Plazo fijo",ISNUMBER(G193),(G193-F193+1)/30.4375&gt;12),"⚠ Plazo fijo mayor a 1 año (máximo legal)",IF(J193&lt;&gt;"Sí","Pendiente de firma","OK")))))))))</f>
        <v/>
      </c>
      <c r="M193" s="62" t="str">
        <f aca="false">IF(B193="","",IFERROR(VALUE(LEFT(UPPER(SUBSTITUTE(SUBSTITUTE(SUBSTITUTE(TRIM(B193),".",""),"-","")," ","")),LEN(UPPER(SUBSTITUTE(SUBSTITUTE(SUBSTITUTE(TRIM(B193),".",""),"-","")," ","")))-1))&amp;RIGHT(UPPER(SUBSTITUTE(SUBSTITUTE(SUBSTITUTE(TRIM(B193),".",""),"-","")," ","")),1),UPPER(SUBSTITUTE(SUBSTITUTE(SUBSTITUTE(TRIM(B193),".",""),"-","")," ",""))))</f>
        <v/>
      </c>
      <c r="N193" s="62" t="str">
        <f aca="false">IF(B193="","",IF(D193="Anexo de modificación","No","Sí"))</f>
        <v/>
      </c>
      <c r="O193" s="62" t="str">
        <f aca="false">IF(AND(N193="Sí",ISNUMBER(F193)),COUNTIFS(C_RUTN,M193,C_DEF,"Sí",C_INI,"&lt;"&amp;F193)+COUNTIFS(M$7:M193,M193,N$7:N193,"Sí",F$7:F193,F193),"")</f>
        <v/>
      </c>
      <c r="P193" s="62" t="str">
        <f aca="false">IF(O193="","",M193&amp;"-P"&amp;O193)</f>
        <v/>
      </c>
      <c r="Q193" s="62" t="str">
        <f aca="false">IF(AND(N193="Sí",E193="Plazo fijo",ISNUMBER(F193)),COUNTIFS(C_RUTN,M193,C_TIPO,"Plazo fijo",C_DEF,"Sí",C_INI,"&lt;"&amp;F193)+COUNTIFS(M$7:M193,M193,E$7:E193,"Plazo fijo",N$7:N193,"Sí",F$7:F193,F193),"")</f>
        <v/>
      </c>
      <c r="R193" s="62" t="str">
        <f aca="false">IF(AND(B193&lt;&gt;"",ISNUMBER(H193),ISNUMBER(F193)),COUNTIFS(C_RUTN,M193,C_SUELDO,"&lt;&gt;",C_INI,"&lt;"&amp;F193)+COUNTIFS(M$7:M193,M193,H$7:H193,"&lt;&gt;",F$7:F193,F193),"")</f>
        <v/>
      </c>
      <c r="S193" s="62" t="str">
        <f aca="false">IF(R193="","",M193&amp;"-S"&amp;R193)</f>
        <v/>
      </c>
    </row>
    <row r="194" customFormat="false" ht="15" hidden="false" customHeight="false" outlineLevel="0" collapsed="false">
      <c r="B194" s="58"/>
      <c r="C194" s="62" t="str">
        <f aca="false">IF(B194="","",IFERROR(INDEX(T_NOMBRE,MATCH(M194,T_RUTN,0)),"⚠ RUT no está en Trabajadores"))</f>
        <v/>
      </c>
      <c r="D194" s="58"/>
      <c r="E194" s="58"/>
      <c r="F194" s="59"/>
      <c r="G194" s="59"/>
      <c r="H194" s="60"/>
      <c r="I194" s="58"/>
      <c r="J194" s="58"/>
      <c r="K194" s="58"/>
      <c r="L194" s="62" t="str">
        <f aca="false">IF(B194="","",IF(LEFT(C194,1)="⚠","⚠ Registre primero al trabajador en la hoja Trabajadores",IF(AND(N194="Sí",OR(E194="",NOT(ISNUMBER(F194)))),"⚠ Falta tipo de contrato o fecha de inicio",IF(NOT(ISNUMBER(F194)),"⚠ Falta fecha de inicio",IF(AND(N194="Sí",E194&lt;&gt;"Indefinido",NOT(ISNUMBER(G194))),"⚠ Falta fecha de término",IF(AND(D194="Paso a indefinido",E194&lt;&gt;"Indefinido"),"⚠ Un paso a indefinido debe tener tipo Indefinido",IF(N(Q194)&gt;=3,"⚠ 3er contrato a plazo fijo: por ley ya es INDEFINIDO (Art. 159 N°4)",IF(AND(E194="Plazo fijo",ISNUMBER(G194),(G194-F194+1)/30.4375&gt;12),"⚠ Plazo fijo mayor a 1 año (máximo legal)",IF(J194&lt;&gt;"Sí","Pendiente de firma","OK")))))))))</f>
        <v/>
      </c>
      <c r="M194" s="62" t="str">
        <f aca="false">IF(B194="","",IFERROR(VALUE(LEFT(UPPER(SUBSTITUTE(SUBSTITUTE(SUBSTITUTE(TRIM(B194),".",""),"-","")," ","")),LEN(UPPER(SUBSTITUTE(SUBSTITUTE(SUBSTITUTE(TRIM(B194),".",""),"-","")," ","")))-1))&amp;RIGHT(UPPER(SUBSTITUTE(SUBSTITUTE(SUBSTITUTE(TRIM(B194),".",""),"-","")," ","")),1),UPPER(SUBSTITUTE(SUBSTITUTE(SUBSTITUTE(TRIM(B194),".",""),"-","")," ",""))))</f>
        <v/>
      </c>
      <c r="N194" s="62" t="str">
        <f aca="false">IF(B194="","",IF(D194="Anexo de modificación","No","Sí"))</f>
        <v/>
      </c>
      <c r="O194" s="62" t="str">
        <f aca="false">IF(AND(N194="Sí",ISNUMBER(F194)),COUNTIFS(C_RUTN,M194,C_DEF,"Sí",C_INI,"&lt;"&amp;F194)+COUNTIFS(M$7:M194,M194,N$7:N194,"Sí",F$7:F194,F194),"")</f>
        <v/>
      </c>
      <c r="P194" s="62" t="str">
        <f aca="false">IF(O194="","",M194&amp;"-P"&amp;O194)</f>
        <v/>
      </c>
      <c r="Q194" s="62" t="str">
        <f aca="false">IF(AND(N194="Sí",E194="Plazo fijo",ISNUMBER(F194)),COUNTIFS(C_RUTN,M194,C_TIPO,"Plazo fijo",C_DEF,"Sí",C_INI,"&lt;"&amp;F194)+COUNTIFS(M$7:M194,M194,E$7:E194,"Plazo fijo",N$7:N194,"Sí",F$7:F194,F194),"")</f>
        <v/>
      </c>
      <c r="R194" s="62" t="str">
        <f aca="false">IF(AND(B194&lt;&gt;"",ISNUMBER(H194),ISNUMBER(F194)),COUNTIFS(C_RUTN,M194,C_SUELDO,"&lt;&gt;",C_INI,"&lt;"&amp;F194)+COUNTIFS(M$7:M194,M194,H$7:H194,"&lt;&gt;",F$7:F194,F194),"")</f>
        <v/>
      </c>
      <c r="S194" s="62" t="str">
        <f aca="false">IF(R194="","",M194&amp;"-S"&amp;R194)</f>
        <v/>
      </c>
    </row>
    <row r="195" customFormat="false" ht="15" hidden="false" customHeight="false" outlineLevel="0" collapsed="false">
      <c r="B195" s="58"/>
      <c r="C195" s="62" t="str">
        <f aca="false">IF(B195="","",IFERROR(INDEX(T_NOMBRE,MATCH(M195,T_RUTN,0)),"⚠ RUT no está en Trabajadores"))</f>
        <v/>
      </c>
      <c r="D195" s="58"/>
      <c r="E195" s="58"/>
      <c r="F195" s="59"/>
      <c r="G195" s="59"/>
      <c r="H195" s="60"/>
      <c r="I195" s="58"/>
      <c r="J195" s="58"/>
      <c r="K195" s="58"/>
      <c r="L195" s="62" t="str">
        <f aca="false">IF(B195="","",IF(LEFT(C195,1)="⚠","⚠ Registre primero al trabajador en la hoja Trabajadores",IF(AND(N195="Sí",OR(E195="",NOT(ISNUMBER(F195)))),"⚠ Falta tipo de contrato o fecha de inicio",IF(NOT(ISNUMBER(F195)),"⚠ Falta fecha de inicio",IF(AND(N195="Sí",E195&lt;&gt;"Indefinido",NOT(ISNUMBER(G195))),"⚠ Falta fecha de término",IF(AND(D195="Paso a indefinido",E195&lt;&gt;"Indefinido"),"⚠ Un paso a indefinido debe tener tipo Indefinido",IF(N(Q195)&gt;=3,"⚠ 3er contrato a plazo fijo: por ley ya es INDEFINIDO (Art. 159 N°4)",IF(AND(E195="Plazo fijo",ISNUMBER(G195),(G195-F195+1)/30.4375&gt;12),"⚠ Plazo fijo mayor a 1 año (máximo legal)",IF(J195&lt;&gt;"Sí","Pendiente de firma","OK")))))))))</f>
        <v/>
      </c>
      <c r="M195" s="62" t="str">
        <f aca="false">IF(B195="","",IFERROR(VALUE(LEFT(UPPER(SUBSTITUTE(SUBSTITUTE(SUBSTITUTE(TRIM(B195),".",""),"-","")," ","")),LEN(UPPER(SUBSTITUTE(SUBSTITUTE(SUBSTITUTE(TRIM(B195),".",""),"-","")," ","")))-1))&amp;RIGHT(UPPER(SUBSTITUTE(SUBSTITUTE(SUBSTITUTE(TRIM(B195),".",""),"-","")," ","")),1),UPPER(SUBSTITUTE(SUBSTITUTE(SUBSTITUTE(TRIM(B195),".",""),"-","")," ",""))))</f>
        <v/>
      </c>
      <c r="N195" s="62" t="str">
        <f aca="false">IF(B195="","",IF(D195="Anexo de modificación","No","Sí"))</f>
        <v/>
      </c>
      <c r="O195" s="62" t="str">
        <f aca="false">IF(AND(N195="Sí",ISNUMBER(F195)),COUNTIFS(C_RUTN,M195,C_DEF,"Sí",C_INI,"&lt;"&amp;F195)+COUNTIFS(M$7:M195,M195,N$7:N195,"Sí",F$7:F195,F195),"")</f>
        <v/>
      </c>
      <c r="P195" s="62" t="str">
        <f aca="false">IF(O195="","",M195&amp;"-P"&amp;O195)</f>
        <v/>
      </c>
      <c r="Q195" s="62" t="str">
        <f aca="false">IF(AND(N195="Sí",E195="Plazo fijo",ISNUMBER(F195)),COUNTIFS(C_RUTN,M195,C_TIPO,"Plazo fijo",C_DEF,"Sí",C_INI,"&lt;"&amp;F195)+COUNTIFS(M$7:M195,M195,E$7:E195,"Plazo fijo",N$7:N195,"Sí",F$7:F195,F195),"")</f>
        <v/>
      </c>
      <c r="R195" s="62" t="str">
        <f aca="false">IF(AND(B195&lt;&gt;"",ISNUMBER(H195),ISNUMBER(F195)),COUNTIFS(C_RUTN,M195,C_SUELDO,"&lt;&gt;",C_INI,"&lt;"&amp;F195)+COUNTIFS(M$7:M195,M195,H$7:H195,"&lt;&gt;",F$7:F195,F195),"")</f>
        <v/>
      </c>
      <c r="S195" s="62" t="str">
        <f aca="false">IF(R195="","",M195&amp;"-S"&amp;R195)</f>
        <v/>
      </c>
    </row>
    <row r="196" customFormat="false" ht="15" hidden="false" customHeight="false" outlineLevel="0" collapsed="false">
      <c r="B196" s="58"/>
      <c r="C196" s="62" t="str">
        <f aca="false">IF(B196="","",IFERROR(INDEX(T_NOMBRE,MATCH(M196,T_RUTN,0)),"⚠ RUT no está en Trabajadores"))</f>
        <v/>
      </c>
      <c r="D196" s="58"/>
      <c r="E196" s="58"/>
      <c r="F196" s="59"/>
      <c r="G196" s="59"/>
      <c r="H196" s="60"/>
      <c r="I196" s="58"/>
      <c r="J196" s="58"/>
      <c r="K196" s="58"/>
      <c r="L196" s="62" t="str">
        <f aca="false">IF(B196="","",IF(LEFT(C196,1)="⚠","⚠ Registre primero al trabajador en la hoja Trabajadores",IF(AND(N196="Sí",OR(E196="",NOT(ISNUMBER(F196)))),"⚠ Falta tipo de contrato o fecha de inicio",IF(NOT(ISNUMBER(F196)),"⚠ Falta fecha de inicio",IF(AND(N196="Sí",E196&lt;&gt;"Indefinido",NOT(ISNUMBER(G196))),"⚠ Falta fecha de término",IF(AND(D196="Paso a indefinido",E196&lt;&gt;"Indefinido"),"⚠ Un paso a indefinido debe tener tipo Indefinido",IF(N(Q196)&gt;=3,"⚠ 3er contrato a plazo fijo: por ley ya es INDEFINIDO (Art. 159 N°4)",IF(AND(E196="Plazo fijo",ISNUMBER(G196),(G196-F196+1)/30.4375&gt;12),"⚠ Plazo fijo mayor a 1 año (máximo legal)",IF(J196&lt;&gt;"Sí","Pendiente de firma","OK")))))))))</f>
        <v/>
      </c>
      <c r="M196" s="62" t="str">
        <f aca="false">IF(B196="","",IFERROR(VALUE(LEFT(UPPER(SUBSTITUTE(SUBSTITUTE(SUBSTITUTE(TRIM(B196),".",""),"-","")," ","")),LEN(UPPER(SUBSTITUTE(SUBSTITUTE(SUBSTITUTE(TRIM(B196),".",""),"-","")," ","")))-1))&amp;RIGHT(UPPER(SUBSTITUTE(SUBSTITUTE(SUBSTITUTE(TRIM(B196),".",""),"-","")," ","")),1),UPPER(SUBSTITUTE(SUBSTITUTE(SUBSTITUTE(TRIM(B196),".",""),"-","")," ",""))))</f>
        <v/>
      </c>
      <c r="N196" s="62" t="str">
        <f aca="false">IF(B196="","",IF(D196="Anexo de modificación","No","Sí"))</f>
        <v/>
      </c>
      <c r="O196" s="62" t="str">
        <f aca="false">IF(AND(N196="Sí",ISNUMBER(F196)),COUNTIFS(C_RUTN,M196,C_DEF,"Sí",C_INI,"&lt;"&amp;F196)+COUNTIFS(M$7:M196,M196,N$7:N196,"Sí",F$7:F196,F196),"")</f>
        <v/>
      </c>
      <c r="P196" s="62" t="str">
        <f aca="false">IF(O196="","",M196&amp;"-P"&amp;O196)</f>
        <v/>
      </c>
      <c r="Q196" s="62" t="str">
        <f aca="false">IF(AND(N196="Sí",E196="Plazo fijo",ISNUMBER(F196)),COUNTIFS(C_RUTN,M196,C_TIPO,"Plazo fijo",C_DEF,"Sí",C_INI,"&lt;"&amp;F196)+COUNTIFS(M$7:M196,M196,E$7:E196,"Plazo fijo",N$7:N196,"Sí",F$7:F196,F196),"")</f>
        <v/>
      </c>
      <c r="R196" s="62" t="str">
        <f aca="false">IF(AND(B196&lt;&gt;"",ISNUMBER(H196),ISNUMBER(F196)),COUNTIFS(C_RUTN,M196,C_SUELDO,"&lt;&gt;",C_INI,"&lt;"&amp;F196)+COUNTIFS(M$7:M196,M196,H$7:H196,"&lt;&gt;",F$7:F196,F196),"")</f>
        <v/>
      </c>
      <c r="S196" s="62" t="str">
        <f aca="false">IF(R196="","",M196&amp;"-S"&amp;R196)</f>
        <v/>
      </c>
    </row>
    <row r="197" customFormat="false" ht="15" hidden="false" customHeight="false" outlineLevel="0" collapsed="false">
      <c r="B197" s="58"/>
      <c r="C197" s="62" t="str">
        <f aca="false">IF(B197="","",IFERROR(INDEX(T_NOMBRE,MATCH(M197,T_RUTN,0)),"⚠ RUT no está en Trabajadores"))</f>
        <v/>
      </c>
      <c r="D197" s="58"/>
      <c r="E197" s="58"/>
      <c r="F197" s="59"/>
      <c r="G197" s="59"/>
      <c r="H197" s="60"/>
      <c r="I197" s="58"/>
      <c r="J197" s="58"/>
      <c r="K197" s="58"/>
      <c r="L197" s="62" t="str">
        <f aca="false">IF(B197="","",IF(LEFT(C197,1)="⚠","⚠ Registre primero al trabajador en la hoja Trabajadores",IF(AND(N197="Sí",OR(E197="",NOT(ISNUMBER(F197)))),"⚠ Falta tipo de contrato o fecha de inicio",IF(NOT(ISNUMBER(F197)),"⚠ Falta fecha de inicio",IF(AND(N197="Sí",E197&lt;&gt;"Indefinido",NOT(ISNUMBER(G197))),"⚠ Falta fecha de término",IF(AND(D197="Paso a indefinido",E197&lt;&gt;"Indefinido"),"⚠ Un paso a indefinido debe tener tipo Indefinido",IF(N(Q197)&gt;=3,"⚠ 3er contrato a plazo fijo: por ley ya es INDEFINIDO (Art. 159 N°4)",IF(AND(E197="Plazo fijo",ISNUMBER(G197),(G197-F197+1)/30.4375&gt;12),"⚠ Plazo fijo mayor a 1 año (máximo legal)",IF(J197&lt;&gt;"Sí","Pendiente de firma","OK")))))))))</f>
        <v/>
      </c>
      <c r="M197" s="62" t="str">
        <f aca="false">IF(B197="","",IFERROR(VALUE(LEFT(UPPER(SUBSTITUTE(SUBSTITUTE(SUBSTITUTE(TRIM(B197),".",""),"-","")," ","")),LEN(UPPER(SUBSTITUTE(SUBSTITUTE(SUBSTITUTE(TRIM(B197),".",""),"-","")," ","")))-1))&amp;RIGHT(UPPER(SUBSTITUTE(SUBSTITUTE(SUBSTITUTE(TRIM(B197),".",""),"-","")," ","")),1),UPPER(SUBSTITUTE(SUBSTITUTE(SUBSTITUTE(TRIM(B197),".",""),"-","")," ",""))))</f>
        <v/>
      </c>
      <c r="N197" s="62" t="str">
        <f aca="false">IF(B197="","",IF(D197="Anexo de modificación","No","Sí"))</f>
        <v/>
      </c>
      <c r="O197" s="62" t="str">
        <f aca="false">IF(AND(N197="Sí",ISNUMBER(F197)),COUNTIFS(C_RUTN,M197,C_DEF,"Sí",C_INI,"&lt;"&amp;F197)+COUNTIFS(M$7:M197,M197,N$7:N197,"Sí",F$7:F197,F197),"")</f>
        <v/>
      </c>
      <c r="P197" s="62" t="str">
        <f aca="false">IF(O197="","",M197&amp;"-P"&amp;O197)</f>
        <v/>
      </c>
      <c r="Q197" s="62" t="str">
        <f aca="false">IF(AND(N197="Sí",E197="Plazo fijo",ISNUMBER(F197)),COUNTIFS(C_RUTN,M197,C_TIPO,"Plazo fijo",C_DEF,"Sí",C_INI,"&lt;"&amp;F197)+COUNTIFS(M$7:M197,M197,E$7:E197,"Plazo fijo",N$7:N197,"Sí",F$7:F197,F197),"")</f>
        <v/>
      </c>
      <c r="R197" s="62" t="str">
        <f aca="false">IF(AND(B197&lt;&gt;"",ISNUMBER(H197),ISNUMBER(F197)),COUNTIFS(C_RUTN,M197,C_SUELDO,"&lt;&gt;",C_INI,"&lt;"&amp;F197)+COUNTIFS(M$7:M197,M197,H$7:H197,"&lt;&gt;",F$7:F197,F197),"")</f>
        <v/>
      </c>
      <c r="S197" s="62" t="str">
        <f aca="false">IF(R197="","",M197&amp;"-S"&amp;R197)</f>
        <v/>
      </c>
    </row>
    <row r="198" customFormat="false" ht="15" hidden="false" customHeight="false" outlineLevel="0" collapsed="false">
      <c r="B198" s="58"/>
      <c r="C198" s="62" t="str">
        <f aca="false">IF(B198="","",IFERROR(INDEX(T_NOMBRE,MATCH(M198,T_RUTN,0)),"⚠ RUT no está en Trabajadores"))</f>
        <v/>
      </c>
      <c r="D198" s="58"/>
      <c r="E198" s="58"/>
      <c r="F198" s="59"/>
      <c r="G198" s="59"/>
      <c r="H198" s="60"/>
      <c r="I198" s="58"/>
      <c r="J198" s="58"/>
      <c r="K198" s="58"/>
      <c r="L198" s="62" t="str">
        <f aca="false">IF(B198="","",IF(LEFT(C198,1)="⚠","⚠ Registre primero al trabajador en la hoja Trabajadores",IF(AND(N198="Sí",OR(E198="",NOT(ISNUMBER(F198)))),"⚠ Falta tipo de contrato o fecha de inicio",IF(NOT(ISNUMBER(F198)),"⚠ Falta fecha de inicio",IF(AND(N198="Sí",E198&lt;&gt;"Indefinido",NOT(ISNUMBER(G198))),"⚠ Falta fecha de término",IF(AND(D198="Paso a indefinido",E198&lt;&gt;"Indefinido"),"⚠ Un paso a indefinido debe tener tipo Indefinido",IF(N(Q198)&gt;=3,"⚠ 3er contrato a plazo fijo: por ley ya es INDEFINIDO (Art. 159 N°4)",IF(AND(E198="Plazo fijo",ISNUMBER(G198),(G198-F198+1)/30.4375&gt;12),"⚠ Plazo fijo mayor a 1 año (máximo legal)",IF(J198&lt;&gt;"Sí","Pendiente de firma","OK")))))))))</f>
        <v/>
      </c>
      <c r="M198" s="62" t="str">
        <f aca="false">IF(B198="","",IFERROR(VALUE(LEFT(UPPER(SUBSTITUTE(SUBSTITUTE(SUBSTITUTE(TRIM(B198),".",""),"-","")," ","")),LEN(UPPER(SUBSTITUTE(SUBSTITUTE(SUBSTITUTE(TRIM(B198),".",""),"-","")," ","")))-1))&amp;RIGHT(UPPER(SUBSTITUTE(SUBSTITUTE(SUBSTITUTE(TRIM(B198),".",""),"-","")," ","")),1),UPPER(SUBSTITUTE(SUBSTITUTE(SUBSTITUTE(TRIM(B198),".",""),"-","")," ",""))))</f>
        <v/>
      </c>
      <c r="N198" s="62" t="str">
        <f aca="false">IF(B198="","",IF(D198="Anexo de modificación","No","Sí"))</f>
        <v/>
      </c>
      <c r="O198" s="62" t="str">
        <f aca="false">IF(AND(N198="Sí",ISNUMBER(F198)),COUNTIFS(C_RUTN,M198,C_DEF,"Sí",C_INI,"&lt;"&amp;F198)+COUNTIFS(M$7:M198,M198,N$7:N198,"Sí",F$7:F198,F198),"")</f>
        <v/>
      </c>
      <c r="P198" s="62" t="str">
        <f aca="false">IF(O198="","",M198&amp;"-P"&amp;O198)</f>
        <v/>
      </c>
      <c r="Q198" s="62" t="str">
        <f aca="false">IF(AND(N198="Sí",E198="Plazo fijo",ISNUMBER(F198)),COUNTIFS(C_RUTN,M198,C_TIPO,"Plazo fijo",C_DEF,"Sí",C_INI,"&lt;"&amp;F198)+COUNTIFS(M$7:M198,M198,E$7:E198,"Plazo fijo",N$7:N198,"Sí",F$7:F198,F198),"")</f>
        <v/>
      </c>
      <c r="R198" s="62" t="str">
        <f aca="false">IF(AND(B198&lt;&gt;"",ISNUMBER(H198),ISNUMBER(F198)),COUNTIFS(C_RUTN,M198,C_SUELDO,"&lt;&gt;",C_INI,"&lt;"&amp;F198)+COUNTIFS(M$7:M198,M198,H$7:H198,"&lt;&gt;",F$7:F198,F198),"")</f>
        <v/>
      </c>
      <c r="S198" s="62" t="str">
        <f aca="false">IF(R198="","",M198&amp;"-S"&amp;R198)</f>
        <v/>
      </c>
    </row>
    <row r="199" customFormat="false" ht="15" hidden="false" customHeight="false" outlineLevel="0" collapsed="false">
      <c r="B199" s="58"/>
      <c r="C199" s="62" t="str">
        <f aca="false">IF(B199="","",IFERROR(INDEX(T_NOMBRE,MATCH(M199,T_RUTN,0)),"⚠ RUT no está en Trabajadores"))</f>
        <v/>
      </c>
      <c r="D199" s="58"/>
      <c r="E199" s="58"/>
      <c r="F199" s="59"/>
      <c r="G199" s="59"/>
      <c r="H199" s="60"/>
      <c r="I199" s="58"/>
      <c r="J199" s="58"/>
      <c r="K199" s="58"/>
      <c r="L199" s="62" t="str">
        <f aca="false">IF(B199="","",IF(LEFT(C199,1)="⚠","⚠ Registre primero al trabajador en la hoja Trabajadores",IF(AND(N199="Sí",OR(E199="",NOT(ISNUMBER(F199)))),"⚠ Falta tipo de contrato o fecha de inicio",IF(NOT(ISNUMBER(F199)),"⚠ Falta fecha de inicio",IF(AND(N199="Sí",E199&lt;&gt;"Indefinido",NOT(ISNUMBER(G199))),"⚠ Falta fecha de término",IF(AND(D199="Paso a indefinido",E199&lt;&gt;"Indefinido"),"⚠ Un paso a indefinido debe tener tipo Indefinido",IF(N(Q199)&gt;=3,"⚠ 3er contrato a plazo fijo: por ley ya es INDEFINIDO (Art. 159 N°4)",IF(AND(E199="Plazo fijo",ISNUMBER(G199),(G199-F199+1)/30.4375&gt;12),"⚠ Plazo fijo mayor a 1 año (máximo legal)",IF(J199&lt;&gt;"Sí","Pendiente de firma","OK")))))))))</f>
        <v/>
      </c>
      <c r="M199" s="62" t="str">
        <f aca="false">IF(B199="","",IFERROR(VALUE(LEFT(UPPER(SUBSTITUTE(SUBSTITUTE(SUBSTITUTE(TRIM(B199),".",""),"-","")," ","")),LEN(UPPER(SUBSTITUTE(SUBSTITUTE(SUBSTITUTE(TRIM(B199),".",""),"-","")," ","")))-1))&amp;RIGHT(UPPER(SUBSTITUTE(SUBSTITUTE(SUBSTITUTE(TRIM(B199),".",""),"-","")," ","")),1),UPPER(SUBSTITUTE(SUBSTITUTE(SUBSTITUTE(TRIM(B199),".",""),"-","")," ",""))))</f>
        <v/>
      </c>
      <c r="N199" s="62" t="str">
        <f aca="false">IF(B199="","",IF(D199="Anexo de modificación","No","Sí"))</f>
        <v/>
      </c>
      <c r="O199" s="62" t="str">
        <f aca="false">IF(AND(N199="Sí",ISNUMBER(F199)),COUNTIFS(C_RUTN,M199,C_DEF,"Sí",C_INI,"&lt;"&amp;F199)+COUNTIFS(M$7:M199,M199,N$7:N199,"Sí",F$7:F199,F199),"")</f>
        <v/>
      </c>
      <c r="P199" s="62" t="str">
        <f aca="false">IF(O199="","",M199&amp;"-P"&amp;O199)</f>
        <v/>
      </c>
      <c r="Q199" s="62" t="str">
        <f aca="false">IF(AND(N199="Sí",E199="Plazo fijo",ISNUMBER(F199)),COUNTIFS(C_RUTN,M199,C_TIPO,"Plazo fijo",C_DEF,"Sí",C_INI,"&lt;"&amp;F199)+COUNTIFS(M$7:M199,M199,E$7:E199,"Plazo fijo",N$7:N199,"Sí",F$7:F199,F199),"")</f>
        <v/>
      </c>
      <c r="R199" s="62" t="str">
        <f aca="false">IF(AND(B199&lt;&gt;"",ISNUMBER(H199),ISNUMBER(F199)),COUNTIFS(C_RUTN,M199,C_SUELDO,"&lt;&gt;",C_INI,"&lt;"&amp;F199)+COUNTIFS(M$7:M199,M199,H$7:H199,"&lt;&gt;",F$7:F199,F199),"")</f>
        <v/>
      </c>
      <c r="S199" s="62" t="str">
        <f aca="false">IF(R199="","",M199&amp;"-S"&amp;R199)</f>
        <v/>
      </c>
    </row>
    <row r="200" customFormat="false" ht="15" hidden="false" customHeight="false" outlineLevel="0" collapsed="false">
      <c r="B200" s="58"/>
      <c r="C200" s="62" t="str">
        <f aca="false">IF(B200="","",IFERROR(INDEX(T_NOMBRE,MATCH(M200,T_RUTN,0)),"⚠ RUT no está en Trabajadores"))</f>
        <v/>
      </c>
      <c r="D200" s="58"/>
      <c r="E200" s="58"/>
      <c r="F200" s="59"/>
      <c r="G200" s="59"/>
      <c r="H200" s="60"/>
      <c r="I200" s="58"/>
      <c r="J200" s="58"/>
      <c r="K200" s="58"/>
      <c r="L200" s="62" t="str">
        <f aca="false">IF(B200="","",IF(LEFT(C200,1)="⚠","⚠ Registre primero al trabajador en la hoja Trabajadores",IF(AND(N200="Sí",OR(E200="",NOT(ISNUMBER(F200)))),"⚠ Falta tipo de contrato o fecha de inicio",IF(NOT(ISNUMBER(F200)),"⚠ Falta fecha de inicio",IF(AND(N200="Sí",E200&lt;&gt;"Indefinido",NOT(ISNUMBER(G200))),"⚠ Falta fecha de término",IF(AND(D200="Paso a indefinido",E200&lt;&gt;"Indefinido"),"⚠ Un paso a indefinido debe tener tipo Indefinido",IF(N(Q200)&gt;=3,"⚠ 3er contrato a plazo fijo: por ley ya es INDEFINIDO (Art. 159 N°4)",IF(AND(E200="Plazo fijo",ISNUMBER(G200),(G200-F200+1)/30.4375&gt;12),"⚠ Plazo fijo mayor a 1 año (máximo legal)",IF(J200&lt;&gt;"Sí","Pendiente de firma","OK")))))))))</f>
        <v/>
      </c>
      <c r="M200" s="62" t="str">
        <f aca="false">IF(B200="","",IFERROR(VALUE(LEFT(UPPER(SUBSTITUTE(SUBSTITUTE(SUBSTITUTE(TRIM(B200),".",""),"-","")," ","")),LEN(UPPER(SUBSTITUTE(SUBSTITUTE(SUBSTITUTE(TRIM(B200),".",""),"-","")," ","")))-1))&amp;RIGHT(UPPER(SUBSTITUTE(SUBSTITUTE(SUBSTITUTE(TRIM(B200),".",""),"-","")," ","")),1),UPPER(SUBSTITUTE(SUBSTITUTE(SUBSTITUTE(TRIM(B200),".",""),"-","")," ",""))))</f>
        <v/>
      </c>
      <c r="N200" s="62" t="str">
        <f aca="false">IF(B200="","",IF(D200="Anexo de modificación","No","Sí"))</f>
        <v/>
      </c>
      <c r="O200" s="62" t="str">
        <f aca="false">IF(AND(N200="Sí",ISNUMBER(F200)),COUNTIFS(C_RUTN,M200,C_DEF,"Sí",C_INI,"&lt;"&amp;F200)+COUNTIFS(M$7:M200,M200,N$7:N200,"Sí",F$7:F200,F200),"")</f>
        <v/>
      </c>
      <c r="P200" s="62" t="str">
        <f aca="false">IF(O200="","",M200&amp;"-P"&amp;O200)</f>
        <v/>
      </c>
      <c r="Q200" s="62" t="str">
        <f aca="false">IF(AND(N200="Sí",E200="Plazo fijo",ISNUMBER(F200)),COUNTIFS(C_RUTN,M200,C_TIPO,"Plazo fijo",C_DEF,"Sí",C_INI,"&lt;"&amp;F200)+COUNTIFS(M$7:M200,M200,E$7:E200,"Plazo fijo",N$7:N200,"Sí",F$7:F200,F200),"")</f>
        <v/>
      </c>
      <c r="R200" s="62" t="str">
        <f aca="false">IF(AND(B200&lt;&gt;"",ISNUMBER(H200),ISNUMBER(F200)),COUNTIFS(C_RUTN,M200,C_SUELDO,"&lt;&gt;",C_INI,"&lt;"&amp;F200)+COUNTIFS(M$7:M200,M200,H$7:H200,"&lt;&gt;",F$7:F200,F200),"")</f>
        <v/>
      </c>
      <c r="S200" s="62" t="str">
        <f aca="false">IF(R200="","",M200&amp;"-S"&amp;R200)</f>
        <v/>
      </c>
    </row>
    <row r="201" customFormat="false" ht="15" hidden="false" customHeight="false" outlineLevel="0" collapsed="false">
      <c r="B201" s="58"/>
      <c r="C201" s="62" t="str">
        <f aca="false">IF(B201="","",IFERROR(INDEX(T_NOMBRE,MATCH(M201,T_RUTN,0)),"⚠ RUT no está en Trabajadores"))</f>
        <v/>
      </c>
      <c r="D201" s="58"/>
      <c r="E201" s="58"/>
      <c r="F201" s="59"/>
      <c r="G201" s="59"/>
      <c r="H201" s="60"/>
      <c r="I201" s="58"/>
      <c r="J201" s="58"/>
      <c r="K201" s="58"/>
      <c r="L201" s="62" t="str">
        <f aca="false">IF(B201="","",IF(LEFT(C201,1)="⚠","⚠ Registre primero al trabajador en la hoja Trabajadores",IF(AND(N201="Sí",OR(E201="",NOT(ISNUMBER(F201)))),"⚠ Falta tipo de contrato o fecha de inicio",IF(NOT(ISNUMBER(F201)),"⚠ Falta fecha de inicio",IF(AND(N201="Sí",E201&lt;&gt;"Indefinido",NOT(ISNUMBER(G201))),"⚠ Falta fecha de término",IF(AND(D201="Paso a indefinido",E201&lt;&gt;"Indefinido"),"⚠ Un paso a indefinido debe tener tipo Indefinido",IF(N(Q201)&gt;=3,"⚠ 3er contrato a plazo fijo: por ley ya es INDEFINIDO (Art. 159 N°4)",IF(AND(E201="Plazo fijo",ISNUMBER(G201),(G201-F201+1)/30.4375&gt;12),"⚠ Plazo fijo mayor a 1 año (máximo legal)",IF(J201&lt;&gt;"Sí","Pendiente de firma","OK")))))))))</f>
        <v/>
      </c>
      <c r="M201" s="62" t="str">
        <f aca="false">IF(B201="","",IFERROR(VALUE(LEFT(UPPER(SUBSTITUTE(SUBSTITUTE(SUBSTITUTE(TRIM(B201),".",""),"-","")," ","")),LEN(UPPER(SUBSTITUTE(SUBSTITUTE(SUBSTITUTE(TRIM(B201),".",""),"-","")," ","")))-1))&amp;RIGHT(UPPER(SUBSTITUTE(SUBSTITUTE(SUBSTITUTE(TRIM(B201),".",""),"-","")," ","")),1),UPPER(SUBSTITUTE(SUBSTITUTE(SUBSTITUTE(TRIM(B201),".",""),"-","")," ",""))))</f>
        <v/>
      </c>
      <c r="N201" s="62" t="str">
        <f aca="false">IF(B201="","",IF(D201="Anexo de modificación","No","Sí"))</f>
        <v/>
      </c>
      <c r="O201" s="62" t="str">
        <f aca="false">IF(AND(N201="Sí",ISNUMBER(F201)),COUNTIFS(C_RUTN,M201,C_DEF,"Sí",C_INI,"&lt;"&amp;F201)+COUNTIFS(M$7:M201,M201,N$7:N201,"Sí",F$7:F201,F201),"")</f>
        <v/>
      </c>
      <c r="P201" s="62" t="str">
        <f aca="false">IF(O201="","",M201&amp;"-P"&amp;O201)</f>
        <v/>
      </c>
      <c r="Q201" s="62" t="str">
        <f aca="false">IF(AND(N201="Sí",E201="Plazo fijo",ISNUMBER(F201)),COUNTIFS(C_RUTN,M201,C_TIPO,"Plazo fijo",C_DEF,"Sí",C_INI,"&lt;"&amp;F201)+COUNTIFS(M$7:M201,M201,E$7:E201,"Plazo fijo",N$7:N201,"Sí",F$7:F201,F201),"")</f>
        <v/>
      </c>
      <c r="R201" s="62" t="str">
        <f aca="false">IF(AND(B201&lt;&gt;"",ISNUMBER(H201),ISNUMBER(F201)),COUNTIFS(C_RUTN,M201,C_SUELDO,"&lt;&gt;",C_INI,"&lt;"&amp;F201)+COUNTIFS(M$7:M201,M201,H$7:H201,"&lt;&gt;",F$7:F201,F201),"")</f>
        <v/>
      </c>
      <c r="S201" s="62" t="str">
        <f aca="false">IF(R201="","",M201&amp;"-S"&amp;R201)</f>
        <v/>
      </c>
    </row>
    <row r="202" customFormat="false" ht="15" hidden="false" customHeight="false" outlineLevel="0" collapsed="false">
      <c r="B202" s="58"/>
      <c r="C202" s="62" t="str">
        <f aca="false">IF(B202="","",IFERROR(INDEX(T_NOMBRE,MATCH(M202,T_RUTN,0)),"⚠ RUT no está en Trabajadores"))</f>
        <v/>
      </c>
      <c r="D202" s="58"/>
      <c r="E202" s="58"/>
      <c r="F202" s="59"/>
      <c r="G202" s="59"/>
      <c r="H202" s="60"/>
      <c r="I202" s="58"/>
      <c r="J202" s="58"/>
      <c r="K202" s="58"/>
      <c r="L202" s="62" t="str">
        <f aca="false">IF(B202="","",IF(LEFT(C202,1)="⚠","⚠ Registre primero al trabajador en la hoja Trabajadores",IF(AND(N202="Sí",OR(E202="",NOT(ISNUMBER(F202)))),"⚠ Falta tipo de contrato o fecha de inicio",IF(NOT(ISNUMBER(F202)),"⚠ Falta fecha de inicio",IF(AND(N202="Sí",E202&lt;&gt;"Indefinido",NOT(ISNUMBER(G202))),"⚠ Falta fecha de término",IF(AND(D202="Paso a indefinido",E202&lt;&gt;"Indefinido"),"⚠ Un paso a indefinido debe tener tipo Indefinido",IF(N(Q202)&gt;=3,"⚠ 3er contrato a plazo fijo: por ley ya es INDEFINIDO (Art. 159 N°4)",IF(AND(E202="Plazo fijo",ISNUMBER(G202),(G202-F202+1)/30.4375&gt;12),"⚠ Plazo fijo mayor a 1 año (máximo legal)",IF(J202&lt;&gt;"Sí","Pendiente de firma","OK")))))))))</f>
        <v/>
      </c>
      <c r="M202" s="62" t="str">
        <f aca="false">IF(B202="","",IFERROR(VALUE(LEFT(UPPER(SUBSTITUTE(SUBSTITUTE(SUBSTITUTE(TRIM(B202),".",""),"-","")," ","")),LEN(UPPER(SUBSTITUTE(SUBSTITUTE(SUBSTITUTE(TRIM(B202),".",""),"-","")," ","")))-1))&amp;RIGHT(UPPER(SUBSTITUTE(SUBSTITUTE(SUBSTITUTE(TRIM(B202),".",""),"-","")," ","")),1),UPPER(SUBSTITUTE(SUBSTITUTE(SUBSTITUTE(TRIM(B202),".",""),"-","")," ",""))))</f>
        <v/>
      </c>
      <c r="N202" s="62" t="str">
        <f aca="false">IF(B202="","",IF(D202="Anexo de modificación","No","Sí"))</f>
        <v/>
      </c>
      <c r="O202" s="62" t="str">
        <f aca="false">IF(AND(N202="Sí",ISNUMBER(F202)),COUNTIFS(C_RUTN,M202,C_DEF,"Sí",C_INI,"&lt;"&amp;F202)+COUNTIFS(M$7:M202,M202,N$7:N202,"Sí",F$7:F202,F202),"")</f>
        <v/>
      </c>
      <c r="P202" s="62" t="str">
        <f aca="false">IF(O202="","",M202&amp;"-P"&amp;O202)</f>
        <v/>
      </c>
      <c r="Q202" s="62" t="str">
        <f aca="false">IF(AND(N202="Sí",E202="Plazo fijo",ISNUMBER(F202)),COUNTIFS(C_RUTN,M202,C_TIPO,"Plazo fijo",C_DEF,"Sí",C_INI,"&lt;"&amp;F202)+COUNTIFS(M$7:M202,M202,E$7:E202,"Plazo fijo",N$7:N202,"Sí",F$7:F202,F202),"")</f>
        <v/>
      </c>
      <c r="R202" s="62" t="str">
        <f aca="false">IF(AND(B202&lt;&gt;"",ISNUMBER(H202),ISNUMBER(F202)),COUNTIFS(C_RUTN,M202,C_SUELDO,"&lt;&gt;",C_INI,"&lt;"&amp;F202)+COUNTIFS(M$7:M202,M202,H$7:H202,"&lt;&gt;",F$7:F202,F202),"")</f>
        <v/>
      </c>
      <c r="S202" s="62" t="str">
        <f aca="false">IF(R202="","",M202&amp;"-S"&amp;R202)</f>
        <v/>
      </c>
    </row>
    <row r="203" customFormat="false" ht="15" hidden="false" customHeight="false" outlineLevel="0" collapsed="false">
      <c r="B203" s="58"/>
      <c r="C203" s="62" t="str">
        <f aca="false">IF(B203="","",IFERROR(INDEX(T_NOMBRE,MATCH(M203,T_RUTN,0)),"⚠ RUT no está en Trabajadores"))</f>
        <v/>
      </c>
      <c r="D203" s="58"/>
      <c r="E203" s="58"/>
      <c r="F203" s="59"/>
      <c r="G203" s="59"/>
      <c r="H203" s="60"/>
      <c r="I203" s="58"/>
      <c r="J203" s="58"/>
      <c r="K203" s="58"/>
      <c r="L203" s="62" t="str">
        <f aca="false">IF(B203="","",IF(LEFT(C203,1)="⚠","⚠ Registre primero al trabajador en la hoja Trabajadores",IF(AND(N203="Sí",OR(E203="",NOT(ISNUMBER(F203)))),"⚠ Falta tipo de contrato o fecha de inicio",IF(NOT(ISNUMBER(F203)),"⚠ Falta fecha de inicio",IF(AND(N203="Sí",E203&lt;&gt;"Indefinido",NOT(ISNUMBER(G203))),"⚠ Falta fecha de término",IF(AND(D203="Paso a indefinido",E203&lt;&gt;"Indefinido"),"⚠ Un paso a indefinido debe tener tipo Indefinido",IF(N(Q203)&gt;=3,"⚠ 3er contrato a plazo fijo: por ley ya es INDEFINIDO (Art. 159 N°4)",IF(AND(E203="Plazo fijo",ISNUMBER(G203),(G203-F203+1)/30.4375&gt;12),"⚠ Plazo fijo mayor a 1 año (máximo legal)",IF(J203&lt;&gt;"Sí","Pendiente de firma","OK")))))))))</f>
        <v/>
      </c>
      <c r="M203" s="62" t="str">
        <f aca="false">IF(B203="","",IFERROR(VALUE(LEFT(UPPER(SUBSTITUTE(SUBSTITUTE(SUBSTITUTE(TRIM(B203),".",""),"-","")," ","")),LEN(UPPER(SUBSTITUTE(SUBSTITUTE(SUBSTITUTE(TRIM(B203),".",""),"-","")," ","")))-1))&amp;RIGHT(UPPER(SUBSTITUTE(SUBSTITUTE(SUBSTITUTE(TRIM(B203),".",""),"-","")," ","")),1),UPPER(SUBSTITUTE(SUBSTITUTE(SUBSTITUTE(TRIM(B203),".",""),"-","")," ",""))))</f>
        <v/>
      </c>
      <c r="N203" s="62" t="str">
        <f aca="false">IF(B203="","",IF(D203="Anexo de modificación","No","Sí"))</f>
        <v/>
      </c>
      <c r="O203" s="62" t="str">
        <f aca="false">IF(AND(N203="Sí",ISNUMBER(F203)),COUNTIFS(C_RUTN,M203,C_DEF,"Sí",C_INI,"&lt;"&amp;F203)+COUNTIFS(M$7:M203,M203,N$7:N203,"Sí",F$7:F203,F203),"")</f>
        <v/>
      </c>
      <c r="P203" s="62" t="str">
        <f aca="false">IF(O203="","",M203&amp;"-P"&amp;O203)</f>
        <v/>
      </c>
      <c r="Q203" s="62" t="str">
        <f aca="false">IF(AND(N203="Sí",E203="Plazo fijo",ISNUMBER(F203)),COUNTIFS(C_RUTN,M203,C_TIPO,"Plazo fijo",C_DEF,"Sí",C_INI,"&lt;"&amp;F203)+COUNTIFS(M$7:M203,M203,E$7:E203,"Plazo fijo",N$7:N203,"Sí",F$7:F203,F203),"")</f>
        <v/>
      </c>
      <c r="R203" s="62" t="str">
        <f aca="false">IF(AND(B203&lt;&gt;"",ISNUMBER(H203),ISNUMBER(F203)),COUNTIFS(C_RUTN,M203,C_SUELDO,"&lt;&gt;",C_INI,"&lt;"&amp;F203)+COUNTIFS(M$7:M203,M203,H$7:H203,"&lt;&gt;",F$7:F203,F203),"")</f>
        <v/>
      </c>
      <c r="S203" s="62" t="str">
        <f aca="false">IF(R203="","",M203&amp;"-S"&amp;R203)</f>
        <v/>
      </c>
    </row>
    <row r="204" customFormat="false" ht="15" hidden="false" customHeight="false" outlineLevel="0" collapsed="false">
      <c r="B204" s="58"/>
      <c r="C204" s="62" t="str">
        <f aca="false">IF(B204="","",IFERROR(INDEX(T_NOMBRE,MATCH(M204,T_RUTN,0)),"⚠ RUT no está en Trabajadores"))</f>
        <v/>
      </c>
      <c r="D204" s="58"/>
      <c r="E204" s="58"/>
      <c r="F204" s="59"/>
      <c r="G204" s="59"/>
      <c r="H204" s="60"/>
      <c r="I204" s="58"/>
      <c r="J204" s="58"/>
      <c r="K204" s="58"/>
      <c r="L204" s="62" t="str">
        <f aca="false">IF(B204="","",IF(LEFT(C204,1)="⚠","⚠ Registre primero al trabajador en la hoja Trabajadores",IF(AND(N204="Sí",OR(E204="",NOT(ISNUMBER(F204)))),"⚠ Falta tipo de contrato o fecha de inicio",IF(NOT(ISNUMBER(F204)),"⚠ Falta fecha de inicio",IF(AND(N204="Sí",E204&lt;&gt;"Indefinido",NOT(ISNUMBER(G204))),"⚠ Falta fecha de término",IF(AND(D204="Paso a indefinido",E204&lt;&gt;"Indefinido"),"⚠ Un paso a indefinido debe tener tipo Indefinido",IF(N(Q204)&gt;=3,"⚠ 3er contrato a plazo fijo: por ley ya es INDEFINIDO (Art. 159 N°4)",IF(AND(E204="Plazo fijo",ISNUMBER(G204),(G204-F204+1)/30.4375&gt;12),"⚠ Plazo fijo mayor a 1 año (máximo legal)",IF(J204&lt;&gt;"Sí","Pendiente de firma","OK")))))))))</f>
        <v/>
      </c>
      <c r="M204" s="62" t="str">
        <f aca="false">IF(B204="","",IFERROR(VALUE(LEFT(UPPER(SUBSTITUTE(SUBSTITUTE(SUBSTITUTE(TRIM(B204),".",""),"-","")," ","")),LEN(UPPER(SUBSTITUTE(SUBSTITUTE(SUBSTITUTE(TRIM(B204),".",""),"-","")," ","")))-1))&amp;RIGHT(UPPER(SUBSTITUTE(SUBSTITUTE(SUBSTITUTE(TRIM(B204),".",""),"-","")," ","")),1),UPPER(SUBSTITUTE(SUBSTITUTE(SUBSTITUTE(TRIM(B204),".",""),"-","")," ",""))))</f>
        <v/>
      </c>
      <c r="N204" s="62" t="str">
        <f aca="false">IF(B204="","",IF(D204="Anexo de modificación","No","Sí"))</f>
        <v/>
      </c>
      <c r="O204" s="62" t="str">
        <f aca="false">IF(AND(N204="Sí",ISNUMBER(F204)),COUNTIFS(C_RUTN,M204,C_DEF,"Sí",C_INI,"&lt;"&amp;F204)+COUNTIFS(M$7:M204,M204,N$7:N204,"Sí",F$7:F204,F204),"")</f>
        <v/>
      </c>
      <c r="P204" s="62" t="str">
        <f aca="false">IF(O204="","",M204&amp;"-P"&amp;O204)</f>
        <v/>
      </c>
      <c r="Q204" s="62" t="str">
        <f aca="false">IF(AND(N204="Sí",E204="Plazo fijo",ISNUMBER(F204)),COUNTIFS(C_RUTN,M204,C_TIPO,"Plazo fijo",C_DEF,"Sí",C_INI,"&lt;"&amp;F204)+COUNTIFS(M$7:M204,M204,E$7:E204,"Plazo fijo",N$7:N204,"Sí",F$7:F204,F204),"")</f>
        <v/>
      </c>
      <c r="R204" s="62" t="str">
        <f aca="false">IF(AND(B204&lt;&gt;"",ISNUMBER(H204),ISNUMBER(F204)),COUNTIFS(C_RUTN,M204,C_SUELDO,"&lt;&gt;",C_INI,"&lt;"&amp;F204)+COUNTIFS(M$7:M204,M204,H$7:H204,"&lt;&gt;",F$7:F204,F204),"")</f>
        <v/>
      </c>
      <c r="S204" s="62" t="str">
        <f aca="false">IF(R204="","",M204&amp;"-S"&amp;R204)</f>
        <v/>
      </c>
    </row>
    <row r="205" customFormat="false" ht="15" hidden="false" customHeight="false" outlineLevel="0" collapsed="false">
      <c r="B205" s="58"/>
      <c r="C205" s="62" t="str">
        <f aca="false">IF(B205="","",IFERROR(INDEX(T_NOMBRE,MATCH(M205,T_RUTN,0)),"⚠ RUT no está en Trabajadores"))</f>
        <v/>
      </c>
      <c r="D205" s="58"/>
      <c r="E205" s="58"/>
      <c r="F205" s="59"/>
      <c r="G205" s="59"/>
      <c r="H205" s="60"/>
      <c r="I205" s="58"/>
      <c r="J205" s="58"/>
      <c r="K205" s="58"/>
      <c r="L205" s="62" t="str">
        <f aca="false">IF(B205="","",IF(LEFT(C205,1)="⚠","⚠ Registre primero al trabajador en la hoja Trabajadores",IF(AND(N205="Sí",OR(E205="",NOT(ISNUMBER(F205)))),"⚠ Falta tipo de contrato o fecha de inicio",IF(NOT(ISNUMBER(F205)),"⚠ Falta fecha de inicio",IF(AND(N205="Sí",E205&lt;&gt;"Indefinido",NOT(ISNUMBER(G205))),"⚠ Falta fecha de término",IF(AND(D205="Paso a indefinido",E205&lt;&gt;"Indefinido"),"⚠ Un paso a indefinido debe tener tipo Indefinido",IF(N(Q205)&gt;=3,"⚠ 3er contrato a plazo fijo: por ley ya es INDEFINIDO (Art. 159 N°4)",IF(AND(E205="Plazo fijo",ISNUMBER(G205),(G205-F205+1)/30.4375&gt;12),"⚠ Plazo fijo mayor a 1 año (máximo legal)",IF(J205&lt;&gt;"Sí","Pendiente de firma","OK")))))))))</f>
        <v/>
      </c>
      <c r="M205" s="62" t="str">
        <f aca="false">IF(B205="","",IFERROR(VALUE(LEFT(UPPER(SUBSTITUTE(SUBSTITUTE(SUBSTITUTE(TRIM(B205),".",""),"-","")," ","")),LEN(UPPER(SUBSTITUTE(SUBSTITUTE(SUBSTITUTE(TRIM(B205),".",""),"-","")," ","")))-1))&amp;RIGHT(UPPER(SUBSTITUTE(SUBSTITUTE(SUBSTITUTE(TRIM(B205),".",""),"-","")," ","")),1),UPPER(SUBSTITUTE(SUBSTITUTE(SUBSTITUTE(TRIM(B205),".",""),"-","")," ",""))))</f>
        <v/>
      </c>
      <c r="N205" s="62" t="str">
        <f aca="false">IF(B205="","",IF(D205="Anexo de modificación","No","Sí"))</f>
        <v/>
      </c>
      <c r="O205" s="62" t="str">
        <f aca="false">IF(AND(N205="Sí",ISNUMBER(F205)),COUNTIFS(C_RUTN,M205,C_DEF,"Sí",C_INI,"&lt;"&amp;F205)+COUNTIFS(M$7:M205,M205,N$7:N205,"Sí",F$7:F205,F205),"")</f>
        <v/>
      </c>
      <c r="P205" s="62" t="str">
        <f aca="false">IF(O205="","",M205&amp;"-P"&amp;O205)</f>
        <v/>
      </c>
      <c r="Q205" s="62" t="str">
        <f aca="false">IF(AND(N205="Sí",E205="Plazo fijo",ISNUMBER(F205)),COUNTIFS(C_RUTN,M205,C_TIPO,"Plazo fijo",C_DEF,"Sí",C_INI,"&lt;"&amp;F205)+COUNTIFS(M$7:M205,M205,E$7:E205,"Plazo fijo",N$7:N205,"Sí",F$7:F205,F205),"")</f>
        <v/>
      </c>
      <c r="R205" s="62" t="str">
        <f aca="false">IF(AND(B205&lt;&gt;"",ISNUMBER(H205),ISNUMBER(F205)),COUNTIFS(C_RUTN,M205,C_SUELDO,"&lt;&gt;",C_INI,"&lt;"&amp;F205)+COUNTIFS(M$7:M205,M205,H$7:H205,"&lt;&gt;",F$7:F205,F205),"")</f>
        <v/>
      </c>
      <c r="S205" s="62" t="str">
        <f aca="false">IF(R205="","",M205&amp;"-S"&amp;R205)</f>
        <v/>
      </c>
    </row>
    <row r="206" customFormat="false" ht="15" hidden="false" customHeight="false" outlineLevel="0" collapsed="false">
      <c r="B206" s="58"/>
      <c r="C206" s="62" t="str">
        <f aca="false">IF(B206="","",IFERROR(INDEX(T_NOMBRE,MATCH(M206,T_RUTN,0)),"⚠ RUT no está en Trabajadores"))</f>
        <v/>
      </c>
      <c r="D206" s="58"/>
      <c r="E206" s="58"/>
      <c r="F206" s="59"/>
      <c r="G206" s="59"/>
      <c r="H206" s="60"/>
      <c r="I206" s="58"/>
      <c r="J206" s="58"/>
      <c r="K206" s="58"/>
      <c r="L206" s="62" t="str">
        <f aca="false">IF(B206="","",IF(LEFT(C206,1)="⚠","⚠ Registre primero al trabajador en la hoja Trabajadores",IF(AND(N206="Sí",OR(E206="",NOT(ISNUMBER(F206)))),"⚠ Falta tipo de contrato o fecha de inicio",IF(NOT(ISNUMBER(F206)),"⚠ Falta fecha de inicio",IF(AND(N206="Sí",E206&lt;&gt;"Indefinido",NOT(ISNUMBER(G206))),"⚠ Falta fecha de término",IF(AND(D206="Paso a indefinido",E206&lt;&gt;"Indefinido"),"⚠ Un paso a indefinido debe tener tipo Indefinido",IF(N(Q206)&gt;=3,"⚠ 3er contrato a plazo fijo: por ley ya es INDEFINIDO (Art. 159 N°4)",IF(AND(E206="Plazo fijo",ISNUMBER(G206),(G206-F206+1)/30.4375&gt;12),"⚠ Plazo fijo mayor a 1 año (máximo legal)",IF(J206&lt;&gt;"Sí","Pendiente de firma","OK")))))))))</f>
        <v/>
      </c>
      <c r="M206" s="62" t="str">
        <f aca="false">IF(B206="","",IFERROR(VALUE(LEFT(UPPER(SUBSTITUTE(SUBSTITUTE(SUBSTITUTE(TRIM(B206),".",""),"-","")," ","")),LEN(UPPER(SUBSTITUTE(SUBSTITUTE(SUBSTITUTE(TRIM(B206),".",""),"-","")," ","")))-1))&amp;RIGHT(UPPER(SUBSTITUTE(SUBSTITUTE(SUBSTITUTE(TRIM(B206),".",""),"-","")," ","")),1),UPPER(SUBSTITUTE(SUBSTITUTE(SUBSTITUTE(TRIM(B206),".",""),"-","")," ",""))))</f>
        <v/>
      </c>
      <c r="N206" s="62" t="str">
        <f aca="false">IF(B206="","",IF(D206="Anexo de modificación","No","Sí"))</f>
        <v/>
      </c>
      <c r="O206" s="62" t="str">
        <f aca="false">IF(AND(N206="Sí",ISNUMBER(F206)),COUNTIFS(C_RUTN,M206,C_DEF,"Sí",C_INI,"&lt;"&amp;F206)+COUNTIFS(M$7:M206,M206,N$7:N206,"Sí",F$7:F206,F206),"")</f>
        <v/>
      </c>
      <c r="P206" s="62" t="str">
        <f aca="false">IF(O206="","",M206&amp;"-P"&amp;O206)</f>
        <v/>
      </c>
      <c r="Q206" s="62" t="str">
        <f aca="false">IF(AND(N206="Sí",E206="Plazo fijo",ISNUMBER(F206)),COUNTIFS(C_RUTN,M206,C_TIPO,"Plazo fijo",C_DEF,"Sí",C_INI,"&lt;"&amp;F206)+COUNTIFS(M$7:M206,M206,E$7:E206,"Plazo fijo",N$7:N206,"Sí",F$7:F206,F206),"")</f>
        <v/>
      </c>
      <c r="R206" s="62" t="str">
        <f aca="false">IF(AND(B206&lt;&gt;"",ISNUMBER(H206),ISNUMBER(F206)),COUNTIFS(C_RUTN,M206,C_SUELDO,"&lt;&gt;",C_INI,"&lt;"&amp;F206)+COUNTIFS(M$7:M206,M206,H$7:H206,"&lt;&gt;",F$7:F206,F206),"")</f>
        <v/>
      </c>
      <c r="S206" s="62" t="str">
        <f aca="false">IF(R206="","",M206&amp;"-S"&amp;R206)</f>
        <v/>
      </c>
    </row>
    <row r="207" customFormat="false" ht="15" hidden="false" customHeight="false" outlineLevel="0" collapsed="false">
      <c r="B207" s="58"/>
      <c r="C207" s="62" t="str">
        <f aca="false">IF(B207="","",IFERROR(INDEX(T_NOMBRE,MATCH(M207,T_RUTN,0)),"⚠ RUT no está en Trabajadores"))</f>
        <v/>
      </c>
      <c r="D207" s="58"/>
      <c r="E207" s="58"/>
      <c r="F207" s="59"/>
      <c r="G207" s="59"/>
      <c r="H207" s="60"/>
      <c r="I207" s="58"/>
      <c r="J207" s="58"/>
      <c r="K207" s="58"/>
      <c r="L207" s="62" t="str">
        <f aca="false">IF(B207="","",IF(LEFT(C207,1)="⚠","⚠ Registre primero al trabajador en la hoja Trabajadores",IF(AND(N207="Sí",OR(E207="",NOT(ISNUMBER(F207)))),"⚠ Falta tipo de contrato o fecha de inicio",IF(NOT(ISNUMBER(F207)),"⚠ Falta fecha de inicio",IF(AND(N207="Sí",E207&lt;&gt;"Indefinido",NOT(ISNUMBER(G207))),"⚠ Falta fecha de término",IF(AND(D207="Paso a indefinido",E207&lt;&gt;"Indefinido"),"⚠ Un paso a indefinido debe tener tipo Indefinido",IF(N(Q207)&gt;=3,"⚠ 3er contrato a plazo fijo: por ley ya es INDEFINIDO (Art. 159 N°4)",IF(AND(E207="Plazo fijo",ISNUMBER(G207),(G207-F207+1)/30.4375&gt;12),"⚠ Plazo fijo mayor a 1 año (máximo legal)",IF(J207&lt;&gt;"Sí","Pendiente de firma","OK")))))))))</f>
        <v/>
      </c>
      <c r="M207" s="62" t="str">
        <f aca="false">IF(B207="","",IFERROR(VALUE(LEFT(UPPER(SUBSTITUTE(SUBSTITUTE(SUBSTITUTE(TRIM(B207),".",""),"-","")," ","")),LEN(UPPER(SUBSTITUTE(SUBSTITUTE(SUBSTITUTE(TRIM(B207),".",""),"-","")," ","")))-1))&amp;RIGHT(UPPER(SUBSTITUTE(SUBSTITUTE(SUBSTITUTE(TRIM(B207),".",""),"-","")," ","")),1),UPPER(SUBSTITUTE(SUBSTITUTE(SUBSTITUTE(TRIM(B207),".",""),"-","")," ",""))))</f>
        <v/>
      </c>
      <c r="N207" s="62" t="str">
        <f aca="false">IF(B207="","",IF(D207="Anexo de modificación","No","Sí"))</f>
        <v/>
      </c>
      <c r="O207" s="62" t="str">
        <f aca="false">IF(AND(N207="Sí",ISNUMBER(F207)),COUNTIFS(C_RUTN,M207,C_DEF,"Sí",C_INI,"&lt;"&amp;F207)+COUNTIFS(M$7:M207,M207,N$7:N207,"Sí",F$7:F207,F207),"")</f>
        <v/>
      </c>
      <c r="P207" s="62" t="str">
        <f aca="false">IF(O207="","",M207&amp;"-P"&amp;O207)</f>
        <v/>
      </c>
      <c r="Q207" s="62" t="str">
        <f aca="false">IF(AND(N207="Sí",E207="Plazo fijo",ISNUMBER(F207)),COUNTIFS(C_RUTN,M207,C_TIPO,"Plazo fijo",C_DEF,"Sí",C_INI,"&lt;"&amp;F207)+COUNTIFS(M$7:M207,M207,E$7:E207,"Plazo fijo",N$7:N207,"Sí",F$7:F207,F207),"")</f>
        <v/>
      </c>
      <c r="R207" s="62" t="str">
        <f aca="false">IF(AND(B207&lt;&gt;"",ISNUMBER(H207),ISNUMBER(F207)),COUNTIFS(C_RUTN,M207,C_SUELDO,"&lt;&gt;",C_INI,"&lt;"&amp;F207)+COUNTIFS(M$7:M207,M207,H$7:H207,"&lt;&gt;",F$7:F207,F207),"")</f>
        <v/>
      </c>
      <c r="S207" s="62" t="str">
        <f aca="false">IF(R207="","",M207&amp;"-S"&amp;R207)</f>
        <v/>
      </c>
    </row>
    <row r="208" customFormat="false" ht="15" hidden="false" customHeight="false" outlineLevel="0" collapsed="false">
      <c r="B208" s="58"/>
      <c r="C208" s="62" t="str">
        <f aca="false">IF(B208="","",IFERROR(INDEX(T_NOMBRE,MATCH(M208,T_RUTN,0)),"⚠ RUT no está en Trabajadores"))</f>
        <v/>
      </c>
      <c r="D208" s="58"/>
      <c r="E208" s="58"/>
      <c r="F208" s="59"/>
      <c r="G208" s="59"/>
      <c r="H208" s="60"/>
      <c r="I208" s="58"/>
      <c r="J208" s="58"/>
      <c r="K208" s="58"/>
      <c r="L208" s="62" t="str">
        <f aca="false">IF(B208="","",IF(LEFT(C208,1)="⚠","⚠ Registre primero al trabajador en la hoja Trabajadores",IF(AND(N208="Sí",OR(E208="",NOT(ISNUMBER(F208)))),"⚠ Falta tipo de contrato o fecha de inicio",IF(NOT(ISNUMBER(F208)),"⚠ Falta fecha de inicio",IF(AND(N208="Sí",E208&lt;&gt;"Indefinido",NOT(ISNUMBER(G208))),"⚠ Falta fecha de término",IF(AND(D208="Paso a indefinido",E208&lt;&gt;"Indefinido"),"⚠ Un paso a indefinido debe tener tipo Indefinido",IF(N(Q208)&gt;=3,"⚠ 3er contrato a plazo fijo: por ley ya es INDEFINIDO (Art. 159 N°4)",IF(AND(E208="Plazo fijo",ISNUMBER(G208),(G208-F208+1)/30.4375&gt;12),"⚠ Plazo fijo mayor a 1 año (máximo legal)",IF(J208&lt;&gt;"Sí","Pendiente de firma","OK")))))))))</f>
        <v/>
      </c>
      <c r="M208" s="62" t="str">
        <f aca="false">IF(B208="","",IFERROR(VALUE(LEFT(UPPER(SUBSTITUTE(SUBSTITUTE(SUBSTITUTE(TRIM(B208),".",""),"-","")," ","")),LEN(UPPER(SUBSTITUTE(SUBSTITUTE(SUBSTITUTE(TRIM(B208),".",""),"-","")," ","")))-1))&amp;RIGHT(UPPER(SUBSTITUTE(SUBSTITUTE(SUBSTITUTE(TRIM(B208),".",""),"-","")," ","")),1),UPPER(SUBSTITUTE(SUBSTITUTE(SUBSTITUTE(TRIM(B208),".",""),"-","")," ",""))))</f>
        <v/>
      </c>
      <c r="N208" s="62" t="str">
        <f aca="false">IF(B208="","",IF(D208="Anexo de modificación","No","Sí"))</f>
        <v/>
      </c>
      <c r="O208" s="62" t="str">
        <f aca="false">IF(AND(N208="Sí",ISNUMBER(F208)),COUNTIFS(C_RUTN,M208,C_DEF,"Sí",C_INI,"&lt;"&amp;F208)+COUNTIFS(M$7:M208,M208,N$7:N208,"Sí",F$7:F208,F208),"")</f>
        <v/>
      </c>
      <c r="P208" s="62" t="str">
        <f aca="false">IF(O208="","",M208&amp;"-P"&amp;O208)</f>
        <v/>
      </c>
      <c r="Q208" s="62" t="str">
        <f aca="false">IF(AND(N208="Sí",E208="Plazo fijo",ISNUMBER(F208)),COUNTIFS(C_RUTN,M208,C_TIPO,"Plazo fijo",C_DEF,"Sí",C_INI,"&lt;"&amp;F208)+COUNTIFS(M$7:M208,M208,E$7:E208,"Plazo fijo",N$7:N208,"Sí",F$7:F208,F208),"")</f>
        <v/>
      </c>
      <c r="R208" s="62" t="str">
        <f aca="false">IF(AND(B208&lt;&gt;"",ISNUMBER(H208),ISNUMBER(F208)),COUNTIFS(C_RUTN,M208,C_SUELDO,"&lt;&gt;",C_INI,"&lt;"&amp;F208)+COUNTIFS(M$7:M208,M208,H$7:H208,"&lt;&gt;",F$7:F208,F208),"")</f>
        <v/>
      </c>
      <c r="S208" s="62" t="str">
        <f aca="false">IF(R208="","",M208&amp;"-S"&amp;R208)</f>
        <v/>
      </c>
    </row>
    <row r="209" customFormat="false" ht="15" hidden="false" customHeight="false" outlineLevel="0" collapsed="false">
      <c r="B209" s="58"/>
      <c r="C209" s="62" t="str">
        <f aca="false">IF(B209="","",IFERROR(INDEX(T_NOMBRE,MATCH(M209,T_RUTN,0)),"⚠ RUT no está en Trabajadores"))</f>
        <v/>
      </c>
      <c r="D209" s="58"/>
      <c r="E209" s="58"/>
      <c r="F209" s="59"/>
      <c r="G209" s="59"/>
      <c r="H209" s="60"/>
      <c r="I209" s="58"/>
      <c r="J209" s="58"/>
      <c r="K209" s="58"/>
      <c r="L209" s="62" t="str">
        <f aca="false">IF(B209="","",IF(LEFT(C209,1)="⚠","⚠ Registre primero al trabajador en la hoja Trabajadores",IF(AND(N209="Sí",OR(E209="",NOT(ISNUMBER(F209)))),"⚠ Falta tipo de contrato o fecha de inicio",IF(NOT(ISNUMBER(F209)),"⚠ Falta fecha de inicio",IF(AND(N209="Sí",E209&lt;&gt;"Indefinido",NOT(ISNUMBER(G209))),"⚠ Falta fecha de término",IF(AND(D209="Paso a indefinido",E209&lt;&gt;"Indefinido"),"⚠ Un paso a indefinido debe tener tipo Indefinido",IF(N(Q209)&gt;=3,"⚠ 3er contrato a plazo fijo: por ley ya es INDEFINIDO (Art. 159 N°4)",IF(AND(E209="Plazo fijo",ISNUMBER(G209),(G209-F209+1)/30.4375&gt;12),"⚠ Plazo fijo mayor a 1 año (máximo legal)",IF(J209&lt;&gt;"Sí","Pendiente de firma","OK")))))))))</f>
        <v/>
      </c>
      <c r="M209" s="62" t="str">
        <f aca="false">IF(B209="","",IFERROR(VALUE(LEFT(UPPER(SUBSTITUTE(SUBSTITUTE(SUBSTITUTE(TRIM(B209),".",""),"-","")," ","")),LEN(UPPER(SUBSTITUTE(SUBSTITUTE(SUBSTITUTE(TRIM(B209),".",""),"-","")," ","")))-1))&amp;RIGHT(UPPER(SUBSTITUTE(SUBSTITUTE(SUBSTITUTE(TRIM(B209),".",""),"-","")," ","")),1),UPPER(SUBSTITUTE(SUBSTITUTE(SUBSTITUTE(TRIM(B209),".",""),"-","")," ",""))))</f>
        <v/>
      </c>
      <c r="N209" s="62" t="str">
        <f aca="false">IF(B209="","",IF(D209="Anexo de modificación","No","Sí"))</f>
        <v/>
      </c>
      <c r="O209" s="62" t="str">
        <f aca="false">IF(AND(N209="Sí",ISNUMBER(F209)),COUNTIFS(C_RUTN,M209,C_DEF,"Sí",C_INI,"&lt;"&amp;F209)+COUNTIFS(M$7:M209,M209,N$7:N209,"Sí",F$7:F209,F209),"")</f>
        <v/>
      </c>
      <c r="P209" s="62" t="str">
        <f aca="false">IF(O209="","",M209&amp;"-P"&amp;O209)</f>
        <v/>
      </c>
      <c r="Q209" s="62" t="str">
        <f aca="false">IF(AND(N209="Sí",E209="Plazo fijo",ISNUMBER(F209)),COUNTIFS(C_RUTN,M209,C_TIPO,"Plazo fijo",C_DEF,"Sí",C_INI,"&lt;"&amp;F209)+COUNTIFS(M$7:M209,M209,E$7:E209,"Plazo fijo",N$7:N209,"Sí",F$7:F209,F209),"")</f>
        <v/>
      </c>
      <c r="R209" s="62" t="str">
        <f aca="false">IF(AND(B209&lt;&gt;"",ISNUMBER(H209),ISNUMBER(F209)),COUNTIFS(C_RUTN,M209,C_SUELDO,"&lt;&gt;",C_INI,"&lt;"&amp;F209)+COUNTIFS(M$7:M209,M209,H$7:H209,"&lt;&gt;",F$7:F209,F209),"")</f>
        <v/>
      </c>
      <c r="S209" s="62" t="str">
        <f aca="false">IF(R209="","",M209&amp;"-S"&amp;R209)</f>
        <v/>
      </c>
    </row>
    <row r="210" customFormat="false" ht="15" hidden="false" customHeight="false" outlineLevel="0" collapsed="false">
      <c r="B210" s="58"/>
      <c r="C210" s="62" t="str">
        <f aca="false">IF(B210="","",IFERROR(INDEX(T_NOMBRE,MATCH(M210,T_RUTN,0)),"⚠ RUT no está en Trabajadores"))</f>
        <v/>
      </c>
      <c r="D210" s="58"/>
      <c r="E210" s="58"/>
      <c r="F210" s="59"/>
      <c r="G210" s="59"/>
      <c r="H210" s="60"/>
      <c r="I210" s="58"/>
      <c r="J210" s="58"/>
      <c r="K210" s="58"/>
      <c r="L210" s="62" t="str">
        <f aca="false">IF(B210="","",IF(LEFT(C210,1)="⚠","⚠ Registre primero al trabajador en la hoja Trabajadores",IF(AND(N210="Sí",OR(E210="",NOT(ISNUMBER(F210)))),"⚠ Falta tipo de contrato o fecha de inicio",IF(NOT(ISNUMBER(F210)),"⚠ Falta fecha de inicio",IF(AND(N210="Sí",E210&lt;&gt;"Indefinido",NOT(ISNUMBER(G210))),"⚠ Falta fecha de término",IF(AND(D210="Paso a indefinido",E210&lt;&gt;"Indefinido"),"⚠ Un paso a indefinido debe tener tipo Indefinido",IF(N(Q210)&gt;=3,"⚠ 3er contrato a plazo fijo: por ley ya es INDEFINIDO (Art. 159 N°4)",IF(AND(E210="Plazo fijo",ISNUMBER(G210),(G210-F210+1)/30.4375&gt;12),"⚠ Plazo fijo mayor a 1 año (máximo legal)",IF(J210&lt;&gt;"Sí","Pendiente de firma","OK")))))))))</f>
        <v/>
      </c>
      <c r="M210" s="62" t="str">
        <f aca="false">IF(B210="","",IFERROR(VALUE(LEFT(UPPER(SUBSTITUTE(SUBSTITUTE(SUBSTITUTE(TRIM(B210),".",""),"-","")," ","")),LEN(UPPER(SUBSTITUTE(SUBSTITUTE(SUBSTITUTE(TRIM(B210),".",""),"-","")," ","")))-1))&amp;RIGHT(UPPER(SUBSTITUTE(SUBSTITUTE(SUBSTITUTE(TRIM(B210),".",""),"-","")," ","")),1),UPPER(SUBSTITUTE(SUBSTITUTE(SUBSTITUTE(TRIM(B210),".",""),"-","")," ",""))))</f>
        <v/>
      </c>
      <c r="N210" s="62" t="str">
        <f aca="false">IF(B210="","",IF(D210="Anexo de modificación","No","Sí"))</f>
        <v/>
      </c>
      <c r="O210" s="62" t="str">
        <f aca="false">IF(AND(N210="Sí",ISNUMBER(F210)),COUNTIFS(C_RUTN,M210,C_DEF,"Sí",C_INI,"&lt;"&amp;F210)+COUNTIFS(M$7:M210,M210,N$7:N210,"Sí",F$7:F210,F210),"")</f>
        <v/>
      </c>
      <c r="P210" s="62" t="str">
        <f aca="false">IF(O210="","",M210&amp;"-P"&amp;O210)</f>
        <v/>
      </c>
      <c r="Q210" s="62" t="str">
        <f aca="false">IF(AND(N210="Sí",E210="Plazo fijo",ISNUMBER(F210)),COUNTIFS(C_RUTN,M210,C_TIPO,"Plazo fijo",C_DEF,"Sí",C_INI,"&lt;"&amp;F210)+COUNTIFS(M$7:M210,M210,E$7:E210,"Plazo fijo",N$7:N210,"Sí",F$7:F210,F210),"")</f>
        <v/>
      </c>
      <c r="R210" s="62" t="str">
        <f aca="false">IF(AND(B210&lt;&gt;"",ISNUMBER(H210),ISNUMBER(F210)),COUNTIFS(C_RUTN,M210,C_SUELDO,"&lt;&gt;",C_INI,"&lt;"&amp;F210)+COUNTIFS(M$7:M210,M210,H$7:H210,"&lt;&gt;",F$7:F210,F210),"")</f>
        <v/>
      </c>
      <c r="S210" s="62" t="str">
        <f aca="false">IF(R210="","",M210&amp;"-S"&amp;R210)</f>
        <v/>
      </c>
    </row>
    <row r="211" customFormat="false" ht="15" hidden="false" customHeight="false" outlineLevel="0" collapsed="false">
      <c r="B211" s="58"/>
      <c r="C211" s="62" t="str">
        <f aca="false">IF(B211="","",IFERROR(INDEX(T_NOMBRE,MATCH(M211,T_RUTN,0)),"⚠ RUT no está en Trabajadores"))</f>
        <v/>
      </c>
      <c r="D211" s="58"/>
      <c r="E211" s="58"/>
      <c r="F211" s="59"/>
      <c r="G211" s="59"/>
      <c r="H211" s="60"/>
      <c r="I211" s="58"/>
      <c r="J211" s="58"/>
      <c r="K211" s="58"/>
      <c r="L211" s="62" t="str">
        <f aca="false">IF(B211="","",IF(LEFT(C211,1)="⚠","⚠ Registre primero al trabajador en la hoja Trabajadores",IF(AND(N211="Sí",OR(E211="",NOT(ISNUMBER(F211)))),"⚠ Falta tipo de contrato o fecha de inicio",IF(NOT(ISNUMBER(F211)),"⚠ Falta fecha de inicio",IF(AND(N211="Sí",E211&lt;&gt;"Indefinido",NOT(ISNUMBER(G211))),"⚠ Falta fecha de término",IF(AND(D211="Paso a indefinido",E211&lt;&gt;"Indefinido"),"⚠ Un paso a indefinido debe tener tipo Indefinido",IF(N(Q211)&gt;=3,"⚠ 3er contrato a plazo fijo: por ley ya es INDEFINIDO (Art. 159 N°4)",IF(AND(E211="Plazo fijo",ISNUMBER(G211),(G211-F211+1)/30.4375&gt;12),"⚠ Plazo fijo mayor a 1 año (máximo legal)",IF(J211&lt;&gt;"Sí","Pendiente de firma","OK")))))))))</f>
        <v/>
      </c>
      <c r="M211" s="62" t="str">
        <f aca="false">IF(B211="","",IFERROR(VALUE(LEFT(UPPER(SUBSTITUTE(SUBSTITUTE(SUBSTITUTE(TRIM(B211),".",""),"-","")," ","")),LEN(UPPER(SUBSTITUTE(SUBSTITUTE(SUBSTITUTE(TRIM(B211),".",""),"-","")," ","")))-1))&amp;RIGHT(UPPER(SUBSTITUTE(SUBSTITUTE(SUBSTITUTE(TRIM(B211),".",""),"-","")," ","")),1),UPPER(SUBSTITUTE(SUBSTITUTE(SUBSTITUTE(TRIM(B211),".",""),"-","")," ",""))))</f>
        <v/>
      </c>
      <c r="N211" s="62" t="str">
        <f aca="false">IF(B211="","",IF(D211="Anexo de modificación","No","Sí"))</f>
        <v/>
      </c>
      <c r="O211" s="62" t="str">
        <f aca="false">IF(AND(N211="Sí",ISNUMBER(F211)),COUNTIFS(C_RUTN,M211,C_DEF,"Sí",C_INI,"&lt;"&amp;F211)+COUNTIFS(M$7:M211,M211,N$7:N211,"Sí",F$7:F211,F211),"")</f>
        <v/>
      </c>
      <c r="P211" s="62" t="str">
        <f aca="false">IF(O211="","",M211&amp;"-P"&amp;O211)</f>
        <v/>
      </c>
      <c r="Q211" s="62" t="str">
        <f aca="false">IF(AND(N211="Sí",E211="Plazo fijo",ISNUMBER(F211)),COUNTIFS(C_RUTN,M211,C_TIPO,"Plazo fijo",C_DEF,"Sí",C_INI,"&lt;"&amp;F211)+COUNTIFS(M$7:M211,M211,E$7:E211,"Plazo fijo",N$7:N211,"Sí",F$7:F211,F211),"")</f>
        <v/>
      </c>
      <c r="R211" s="62" t="str">
        <f aca="false">IF(AND(B211&lt;&gt;"",ISNUMBER(H211),ISNUMBER(F211)),COUNTIFS(C_RUTN,M211,C_SUELDO,"&lt;&gt;",C_INI,"&lt;"&amp;F211)+COUNTIFS(M$7:M211,M211,H$7:H211,"&lt;&gt;",F$7:F211,F211),"")</f>
        <v/>
      </c>
      <c r="S211" s="62" t="str">
        <f aca="false">IF(R211="","",M211&amp;"-S"&amp;R211)</f>
        <v/>
      </c>
    </row>
    <row r="212" customFormat="false" ht="15" hidden="false" customHeight="false" outlineLevel="0" collapsed="false">
      <c r="B212" s="58"/>
      <c r="C212" s="62" t="str">
        <f aca="false">IF(B212="","",IFERROR(INDEX(T_NOMBRE,MATCH(M212,T_RUTN,0)),"⚠ RUT no está en Trabajadores"))</f>
        <v/>
      </c>
      <c r="D212" s="58"/>
      <c r="E212" s="58"/>
      <c r="F212" s="59"/>
      <c r="G212" s="59"/>
      <c r="H212" s="60"/>
      <c r="I212" s="58"/>
      <c r="J212" s="58"/>
      <c r="K212" s="58"/>
      <c r="L212" s="62" t="str">
        <f aca="false">IF(B212="","",IF(LEFT(C212,1)="⚠","⚠ Registre primero al trabajador en la hoja Trabajadores",IF(AND(N212="Sí",OR(E212="",NOT(ISNUMBER(F212)))),"⚠ Falta tipo de contrato o fecha de inicio",IF(NOT(ISNUMBER(F212)),"⚠ Falta fecha de inicio",IF(AND(N212="Sí",E212&lt;&gt;"Indefinido",NOT(ISNUMBER(G212))),"⚠ Falta fecha de término",IF(AND(D212="Paso a indefinido",E212&lt;&gt;"Indefinido"),"⚠ Un paso a indefinido debe tener tipo Indefinido",IF(N(Q212)&gt;=3,"⚠ 3er contrato a plazo fijo: por ley ya es INDEFINIDO (Art. 159 N°4)",IF(AND(E212="Plazo fijo",ISNUMBER(G212),(G212-F212+1)/30.4375&gt;12),"⚠ Plazo fijo mayor a 1 año (máximo legal)",IF(J212&lt;&gt;"Sí","Pendiente de firma","OK")))))))))</f>
        <v/>
      </c>
      <c r="M212" s="62" t="str">
        <f aca="false">IF(B212="","",IFERROR(VALUE(LEFT(UPPER(SUBSTITUTE(SUBSTITUTE(SUBSTITUTE(TRIM(B212),".",""),"-","")," ","")),LEN(UPPER(SUBSTITUTE(SUBSTITUTE(SUBSTITUTE(TRIM(B212),".",""),"-","")," ","")))-1))&amp;RIGHT(UPPER(SUBSTITUTE(SUBSTITUTE(SUBSTITUTE(TRIM(B212),".",""),"-","")," ","")),1),UPPER(SUBSTITUTE(SUBSTITUTE(SUBSTITUTE(TRIM(B212),".",""),"-","")," ",""))))</f>
        <v/>
      </c>
      <c r="N212" s="62" t="str">
        <f aca="false">IF(B212="","",IF(D212="Anexo de modificación","No","Sí"))</f>
        <v/>
      </c>
      <c r="O212" s="62" t="str">
        <f aca="false">IF(AND(N212="Sí",ISNUMBER(F212)),COUNTIFS(C_RUTN,M212,C_DEF,"Sí",C_INI,"&lt;"&amp;F212)+COUNTIFS(M$7:M212,M212,N$7:N212,"Sí",F$7:F212,F212),"")</f>
        <v/>
      </c>
      <c r="P212" s="62" t="str">
        <f aca="false">IF(O212="","",M212&amp;"-P"&amp;O212)</f>
        <v/>
      </c>
      <c r="Q212" s="62" t="str">
        <f aca="false">IF(AND(N212="Sí",E212="Plazo fijo",ISNUMBER(F212)),COUNTIFS(C_RUTN,M212,C_TIPO,"Plazo fijo",C_DEF,"Sí",C_INI,"&lt;"&amp;F212)+COUNTIFS(M$7:M212,M212,E$7:E212,"Plazo fijo",N$7:N212,"Sí",F$7:F212,F212),"")</f>
        <v/>
      </c>
      <c r="R212" s="62" t="str">
        <f aca="false">IF(AND(B212&lt;&gt;"",ISNUMBER(H212),ISNUMBER(F212)),COUNTIFS(C_RUTN,M212,C_SUELDO,"&lt;&gt;",C_INI,"&lt;"&amp;F212)+COUNTIFS(M$7:M212,M212,H$7:H212,"&lt;&gt;",F$7:F212,F212),"")</f>
        <v/>
      </c>
      <c r="S212" s="62" t="str">
        <f aca="false">IF(R212="","",M212&amp;"-S"&amp;R212)</f>
        <v/>
      </c>
    </row>
    <row r="213" customFormat="false" ht="15" hidden="false" customHeight="false" outlineLevel="0" collapsed="false">
      <c r="B213" s="58"/>
      <c r="C213" s="62" t="str">
        <f aca="false">IF(B213="","",IFERROR(INDEX(T_NOMBRE,MATCH(M213,T_RUTN,0)),"⚠ RUT no está en Trabajadores"))</f>
        <v/>
      </c>
      <c r="D213" s="58"/>
      <c r="E213" s="58"/>
      <c r="F213" s="59"/>
      <c r="G213" s="59"/>
      <c r="H213" s="60"/>
      <c r="I213" s="58"/>
      <c r="J213" s="58"/>
      <c r="K213" s="58"/>
      <c r="L213" s="62" t="str">
        <f aca="false">IF(B213="","",IF(LEFT(C213,1)="⚠","⚠ Registre primero al trabajador en la hoja Trabajadores",IF(AND(N213="Sí",OR(E213="",NOT(ISNUMBER(F213)))),"⚠ Falta tipo de contrato o fecha de inicio",IF(NOT(ISNUMBER(F213)),"⚠ Falta fecha de inicio",IF(AND(N213="Sí",E213&lt;&gt;"Indefinido",NOT(ISNUMBER(G213))),"⚠ Falta fecha de término",IF(AND(D213="Paso a indefinido",E213&lt;&gt;"Indefinido"),"⚠ Un paso a indefinido debe tener tipo Indefinido",IF(N(Q213)&gt;=3,"⚠ 3er contrato a plazo fijo: por ley ya es INDEFINIDO (Art. 159 N°4)",IF(AND(E213="Plazo fijo",ISNUMBER(G213),(G213-F213+1)/30.4375&gt;12),"⚠ Plazo fijo mayor a 1 año (máximo legal)",IF(J213&lt;&gt;"Sí","Pendiente de firma","OK")))))))))</f>
        <v/>
      </c>
      <c r="M213" s="62" t="str">
        <f aca="false">IF(B213="","",IFERROR(VALUE(LEFT(UPPER(SUBSTITUTE(SUBSTITUTE(SUBSTITUTE(TRIM(B213),".",""),"-","")," ","")),LEN(UPPER(SUBSTITUTE(SUBSTITUTE(SUBSTITUTE(TRIM(B213),".",""),"-","")," ","")))-1))&amp;RIGHT(UPPER(SUBSTITUTE(SUBSTITUTE(SUBSTITUTE(TRIM(B213),".",""),"-","")," ","")),1),UPPER(SUBSTITUTE(SUBSTITUTE(SUBSTITUTE(TRIM(B213),".",""),"-","")," ",""))))</f>
        <v/>
      </c>
      <c r="N213" s="62" t="str">
        <f aca="false">IF(B213="","",IF(D213="Anexo de modificación","No","Sí"))</f>
        <v/>
      </c>
      <c r="O213" s="62" t="str">
        <f aca="false">IF(AND(N213="Sí",ISNUMBER(F213)),COUNTIFS(C_RUTN,M213,C_DEF,"Sí",C_INI,"&lt;"&amp;F213)+COUNTIFS(M$7:M213,M213,N$7:N213,"Sí",F$7:F213,F213),"")</f>
        <v/>
      </c>
      <c r="P213" s="62" t="str">
        <f aca="false">IF(O213="","",M213&amp;"-P"&amp;O213)</f>
        <v/>
      </c>
      <c r="Q213" s="62" t="str">
        <f aca="false">IF(AND(N213="Sí",E213="Plazo fijo",ISNUMBER(F213)),COUNTIFS(C_RUTN,M213,C_TIPO,"Plazo fijo",C_DEF,"Sí",C_INI,"&lt;"&amp;F213)+COUNTIFS(M$7:M213,M213,E$7:E213,"Plazo fijo",N$7:N213,"Sí",F$7:F213,F213),"")</f>
        <v/>
      </c>
      <c r="R213" s="62" t="str">
        <f aca="false">IF(AND(B213&lt;&gt;"",ISNUMBER(H213),ISNUMBER(F213)),COUNTIFS(C_RUTN,M213,C_SUELDO,"&lt;&gt;",C_INI,"&lt;"&amp;F213)+COUNTIFS(M$7:M213,M213,H$7:H213,"&lt;&gt;",F$7:F213,F213),"")</f>
        <v/>
      </c>
      <c r="S213" s="62" t="str">
        <f aca="false">IF(R213="","",M213&amp;"-S"&amp;R213)</f>
        <v/>
      </c>
    </row>
    <row r="214" customFormat="false" ht="15" hidden="false" customHeight="false" outlineLevel="0" collapsed="false">
      <c r="B214" s="58"/>
      <c r="C214" s="62" t="str">
        <f aca="false">IF(B214="","",IFERROR(INDEX(T_NOMBRE,MATCH(M214,T_RUTN,0)),"⚠ RUT no está en Trabajadores"))</f>
        <v/>
      </c>
      <c r="D214" s="58"/>
      <c r="E214" s="58"/>
      <c r="F214" s="59"/>
      <c r="G214" s="59"/>
      <c r="H214" s="60"/>
      <c r="I214" s="58"/>
      <c r="J214" s="58"/>
      <c r="K214" s="58"/>
      <c r="L214" s="62" t="str">
        <f aca="false">IF(B214="","",IF(LEFT(C214,1)="⚠","⚠ Registre primero al trabajador en la hoja Trabajadores",IF(AND(N214="Sí",OR(E214="",NOT(ISNUMBER(F214)))),"⚠ Falta tipo de contrato o fecha de inicio",IF(NOT(ISNUMBER(F214)),"⚠ Falta fecha de inicio",IF(AND(N214="Sí",E214&lt;&gt;"Indefinido",NOT(ISNUMBER(G214))),"⚠ Falta fecha de término",IF(AND(D214="Paso a indefinido",E214&lt;&gt;"Indefinido"),"⚠ Un paso a indefinido debe tener tipo Indefinido",IF(N(Q214)&gt;=3,"⚠ 3er contrato a plazo fijo: por ley ya es INDEFINIDO (Art. 159 N°4)",IF(AND(E214="Plazo fijo",ISNUMBER(G214),(G214-F214+1)/30.4375&gt;12),"⚠ Plazo fijo mayor a 1 año (máximo legal)",IF(J214&lt;&gt;"Sí","Pendiente de firma","OK")))))))))</f>
        <v/>
      </c>
      <c r="M214" s="62" t="str">
        <f aca="false">IF(B214="","",IFERROR(VALUE(LEFT(UPPER(SUBSTITUTE(SUBSTITUTE(SUBSTITUTE(TRIM(B214),".",""),"-","")," ","")),LEN(UPPER(SUBSTITUTE(SUBSTITUTE(SUBSTITUTE(TRIM(B214),".",""),"-","")," ","")))-1))&amp;RIGHT(UPPER(SUBSTITUTE(SUBSTITUTE(SUBSTITUTE(TRIM(B214),".",""),"-","")," ","")),1),UPPER(SUBSTITUTE(SUBSTITUTE(SUBSTITUTE(TRIM(B214),".",""),"-","")," ",""))))</f>
        <v/>
      </c>
      <c r="N214" s="62" t="str">
        <f aca="false">IF(B214="","",IF(D214="Anexo de modificación","No","Sí"))</f>
        <v/>
      </c>
      <c r="O214" s="62" t="str">
        <f aca="false">IF(AND(N214="Sí",ISNUMBER(F214)),COUNTIFS(C_RUTN,M214,C_DEF,"Sí",C_INI,"&lt;"&amp;F214)+COUNTIFS(M$7:M214,M214,N$7:N214,"Sí",F$7:F214,F214),"")</f>
        <v/>
      </c>
      <c r="P214" s="62" t="str">
        <f aca="false">IF(O214="","",M214&amp;"-P"&amp;O214)</f>
        <v/>
      </c>
      <c r="Q214" s="62" t="str">
        <f aca="false">IF(AND(N214="Sí",E214="Plazo fijo",ISNUMBER(F214)),COUNTIFS(C_RUTN,M214,C_TIPO,"Plazo fijo",C_DEF,"Sí",C_INI,"&lt;"&amp;F214)+COUNTIFS(M$7:M214,M214,E$7:E214,"Plazo fijo",N$7:N214,"Sí",F$7:F214,F214),"")</f>
        <v/>
      </c>
      <c r="R214" s="62" t="str">
        <f aca="false">IF(AND(B214&lt;&gt;"",ISNUMBER(H214),ISNUMBER(F214)),COUNTIFS(C_RUTN,M214,C_SUELDO,"&lt;&gt;",C_INI,"&lt;"&amp;F214)+COUNTIFS(M$7:M214,M214,H$7:H214,"&lt;&gt;",F$7:F214,F214),"")</f>
        <v/>
      </c>
      <c r="S214" s="62" t="str">
        <f aca="false">IF(R214="","",M214&amp;"-S"&amp;R214)</f>
        <v/>
      </c>
    </row>
    <row r="215" customFormat="false" ht="15" hidden="false" customHeight="false" outlineLevel="0" collapsed="false">
      <c r="B215" s="58"/>
      <c r="C215" s="62" t="str">
        <f aca="false">IF(B215="","",IFERROR(INDEX(T_NOMBRE,MATCH(M215,T_RUTN,0)),"⚠ RUT no está en Trabajadores"))</f>
        <v/>
      </c>
      <c r="D215" s="58"/>
      <c r="E215" s="58"/>
      <c r="F215" s="59"/>
      <c r="G215" s="59"/>
      <c r="H215" s="60"/>
      <c r="I215" s="58"/>
      <c r="J215" s="58"/>
      <c r="K215" s="58"/>
      <c r="L215" s="62" t="str">
        <f aca="false">IF(B215="","",IF(LEFT(C215,1)="⚠","⚠ Registre primero al trabajador en la hoja Trabajadores",IF(AND(N215="Sí",OR(E215="",NOT(ISNUMBER(F215)))),"⚠ Falta tipo de contrato o fecha de inicio",IF(NOT(ISNUMBER(F215)),"⚠ Falta fecha de inicio",IF(AND(N215="Sí",E215&lt;&gt;"Indefinido",NOT(ISNUMBER(G215))),"⚠ Falta fecha de término",IF(AND(D215="Paso a indefinido",E215&lt;&gt;"Indefinido"),"⚠ Un paso a indefinido debe tener tipo Indefinido",IF(N(Q215)&gt;=3,"⚠ 3er contrato a plazo fijo: por ley ya es INDEFINIDO (Art. 159 N°4)",IF(AND(E215="Plazo fijo",ISNUMBER(G215),(G215-F215+1)/30.4375&gt;12),"⚠ Plazo fijo mayor a 1 año (máximo legal)",IF(J215&lt;&gt;"Sí","Pendiente de firma","OK")))))))))</f>
        <v/>
      </c>
      <c r="M215" s="62" t="str">
        <f aca="false">IF(B215="","",IFERROR(VALUE(LEFT(UPPER(SUBSTITUTE(SUBSTITUTE(SUBSTITUTE(TRIM(B215),".",""),"-","")," ","")),LEN(UPPER(SUBSTITUTE(SUBSTITUTE(SUBSTITUTE(TRIM(B215),".",""),"-","")," ","")))-1))&amp;RIGHT(UPPER(SUBSTITUTE(SUBSTITUTE(SUBSTITUTE(TRIM(B215),".",""),"-","")," ","")),1),UPPER(SUBSTITUTE(SUBSTITUTE(SUBSTITUTE(TRIM(B215),".",""),"-","")," ",""))))</f>
        <v/>
      </c>
      <c r="N215" s="62" t="str">
        <f aca="false">IF(B215="","",IF(D215="Anexo de modificación","No","Sí"))</f>
        <v/>
      </c>
      <c r="O215" s="62" t="str">
        <f aca="false">IF(AND(N215="Sí",ISNUMBER(F215)),COUNTIFS(C_RUTN,M215,C_DEF,"Sí",C_INI,"&lt;"&amp;F215)+COUNTIFS(M$7:M215,M215,N$7:N215,"Sí",F$7:F215,F215),"")</f>
        <v/>
      </c>
      <c r="P215" s="62" t="str">
        <f aca="false">IF(O215="","",M215&amp;"-P"&amp;O215)</f>
        <v/>
      </c>
      <c r="Q215" s="62" t="str">
        <f aca="false">IF(AND(N215="Sí",E215="Plazo fijo",ISNUMBER(F215)),COUNTIFS(C_RUTN,M215,C_TIPO,"Plazo fijo",C_DEF,"Sí",C_INI,"&lt;"&amp;F215)+COUNTIFS(M$7:M215,M215,E$7:E215,"Plazo fijo",N$7:N215,"Sí",F$7:F215,F215),"")</f>
        <v/>
      </c>
      <c r="R215" s="62" t="str">
        <f aca="false">IF(AND(B215&lt;&gt;"",ISNUMBER(H215),ISNUMBER(F215)),COUNTIFS(C_RUTN,M215,C_SUELDO,"&lt;&gt;",C_INI,"&lt;"&amp;F215)+COUNTIFS(M$7:M215,M215,H$7:H215,"&lt;&gt;",F$7:F215,F215),"")</f>
        <v/>
      </c>
      <c r="S215" s="62" t="str">
        <f aca="false">IF(R215="","",M215&amp;"-S"&amp;R215)</f>
        <v/>
      </c>
    </row>
    <row r="216" customFormat="false" ht="15" hidden="false" customHeight="false" outlineLevel="0" collapsed="false">
      <c r="B216" s="58"/>
      <c r="C216" s="62" t="str">
        <f aca="false">IF(B216="","",IFERROR(INDEX(T_NOMBRE,MATCH(M216,T_RUTN,0)),"⚠ RUT no está en Trabajadores"))</f>
        <v/>
      </c>
      <c r="D216" s="58"/>
      <c r="E216" s="58"/>
      <c r="F216" s="59"/>
      <c r="G216" s="59"/>
      <c r="H216" s="60"/>
      <c r="I216" s="58"/>
      <c r="J216" s="58"/>
      <c r="K216" s="58"/>
      <c r="L216" s="62" t="str">
        <f aca="false">IF(B216="","",IF(LEFT(C216,1)="⚠","⚠ Registre primero al trabajador en la hoja Trabajadores",IF(AND(N216="Sí",OR(E216="",NOT(ISNUMBER(F216)))),"⚠ Falta tipo de contrato o fecha de inicio",IF(NOT(ISNUMBER(F216)),"⚠ Falta fecha de inicio",IF(AND(N216="Sí",E216&lt;&gt;"Indefinido",NOT(ISNUMBER(G216))),"⚠ Falta fecha de término",IF(AND(D216="Paso a indefinido",E216&lt;&gt;"Indefinido"),"⚠ Un paso a indefinido debe tener tipo Indefinido",IF(N(Q216)&gt;=3,"⚠ 3er contrato a plazo fijo: por ley ya es INDEFINIDO (Art. 159 N°4)",IF(AND(E216="Plazo fijo",ISNUMBER(G216),(G216-F216+1)/30.4375&gt;12),"⚠ Plazo fijo mayor a 1 año (máximo legal)",IF(J216&lt;&gt;"Sí","Pendiente de firma","OK")))))))))</f>
        <v/>
      </c>
      <c r="M216" s="62" t="str">
        <f aca="false">IF(B216="","",IFERROR(VALUE(LEFT(UPPER(SUBSTITUTE(SUBSTITUTE(SUBSTITUTE(TRIM(B216),".",""),"-","")," ","")),LEN(UPPER(SUBSTITUTE(SUBSTITUTE(SUBSTITUTE(TRIM(B216),".",""),"-","")," ","")))-1))&amp;RIGHT(UPPER(SUBSTITUTE(SUBSTITUTE(SUBSTITUTE(TRIM(B216),".",""),"-","")," ","")),1),UPPER(SUBSTITUTE(SUBSTITUTE(SUBSTITUTE(TRIM(B216),".",""),"-","")," ",""))))</f>
        <v/>
      </c>
      <c r="N216" s="62" t="str">
        <f aca="false">IF(B216="","",IF(D216="Anexo de modificación","No","Sí"))</f>
        <v/>
      </c>
      <c r="O216" s="62" t="str">
        <f aca="false">IF(AND(N216="Sí",ISNUMBER(F216)),COUNTIFS(C_RUTN,M216,C_DEF,"Sí",C_INI,"&lt;"&amp;F216)+COUNTIFS(M$7:M216,M216,N$7:N216,"Sí",F$7:F216,F216),"")</f>
        <v/>
      </c>
      <c r="P216" s="62" t="str">
        <f aca="false">IF(O216="","",M216&amp;"-P"&amp;O216)</f>
        <v/>
      </c>
      <c r="Q216" s="62" t="str">
        <f aca="false">IF(AND(N216="Sí",E216="Plazo fijo",ISNUMBER(F216)),COUNTIFS(C_RUTN,M216,C_TIPO,"Plazo fijo",C_DEF,"Sí",C_INI,"&lt;"&amp;F216)+COUNTIFS(M$7:M216,M216,E$7:E216,"Plazo fijo",N$7:N216,"Sí",F$7:F216,F216),"")</f>
        <v/>
      </c>
      <c r="R216" s="62" t="str">
        <f aca="false">IF(AND(B216&lt;&gt;"",ISNUMBER(H216),ISNUMBER(F216)),COUNTIFS(C_RUTN,M216,C_SUELDO,"&lt;&gt;",C_INI,"&lt;"&amp;F216)+COUNTIFS(M$7:M216,M216,H$7:H216,"&lt;&gt;",F$7:F216,F216),"")</f>
        <v/>
      </c>
      <c r="S216" s="62" t="str">
        <f aca="false">IF(R216="","",M216&amp;"-S"&amp;R216)</f>
        <v/>
      </c>
    </row>
    <row r="217" customFormat="false" ht="15" hidden="false" customHeight="false" outlineLevel="0" collapsed="false">
      <c r="B217" s="58"/>
      <c r="C217" s="62" t="str">
        <f aca="false">IF(B217="","",IFERROR(INDEX(T_NOMBRE,MATCH(M217,T_RUTN,0)),"⚠ RUT no está en Trabajadores"))</f>
        <v/>
      </c>
      <c r="D217" s="58"/>
      <c r="E217" s="58"/>
      <c r="F217" s="59"/>
      <c r="G217" s="59"/>
      <c r="H217" s="60"/>
      <c r="I217" s="58"/>
      <c r="J217" s="58"/>
      <c r="K217" s="58"/>
      <c r="L217" s="62" t="str">
        <f aca="false">IF(B217="","",IF(LEFT(C217,1)="⚠","⚠ Registre primero al trabajador en la hoja Trabajadores",IF(AND(N217="Sí",OR(E217="",NOT(ISNUMBER(F217)))),"⚠ Falta tipo de contrato o fecha de inicio",IF(NOT(ISNUMBER(F217)),"⚠ Falta fecha de inicio",IF(AND(N217="Sí",E217&lt;&gt;"Indefinido",NOT(ISNUMBER(G217))),"⚠ Falta fecha de término",IF(AND(D217="Paso a indefinido",E217&lt;&gt;"Indefinido"),"⚠ Un paso a indefinido debe tener tipo Indefinido",IF(N(Q217)&gt;=3,"⚠ 3er contrato a plazo fijo: por ley ya es INDEFINIDO (Art. 159 N°4)",IF(AND(E217="Plazo fijo",ISNUMBER(G217),(G217-F217+1)/30.4375&gt;12),"⚠ Plazo fijo mayor a 1 año (máximo legal)",IF(J217&lt;&gt;"Sí","Pendiente de firma","OK")))))))))</f>
        <v/>
      </c>
      <c r="M217" s="62" t="str">
        <f aca="false">IF(B217="","",IFERROR(VALUE(LEFT(UPPER(SUBSTITUTE(SUBSTITUTE(SUBSTITUTE(TRIM(B217),".",""),"-","")," ","")),LEN(UPPER(SUBSTITUTE(SUBSTITUTE(SUBSTITUTE(TRIM(B217),".",""),"-","")," ","")))-1))&amp;RIGHT(UPPER(SUBSTITUTE(SUBSTITUTE(SUBSTITUTE(TRIM(B217),".",""),"-","")," ","")),1),UPPER(SUBSTITUTE(SUBSTITUTE(SUBSTITUTE(TRIM(B217),".",""),"-","")," ",""))))</f>
        <v/>
      </c>
      <c r="N217" s="62" t="str">
        <f aca="false">IF(B217="","",IF(D217="Anexo de modificación","No","Sí"))</f>
        <v/>
      </c>
      <c r="O217" s="62" t="str">
        <f aca="false">IF(AND(N217="Sí",ISNUMBER(F217)),COUNTIFS(C_RUTN,M217,C_DEF,"Sí",C_INI,"&lt;"&amp;F217)+COUNTIFS(M$7:M217,M217,N$7:N217,"Sí",F$7:F217,F217),"")</f>
        <v/>
      </c>
      <c r="P217" s="62" t="str">
        <f aca="false">IF(O217="","",M217&amp;"-P"&amp;O217)</f>
        <v/>
      </c>
      <c r="Q217" s="62" t="str">
        <f aca="false">IF(AND(N217="Sí",E217="Plazo fijo",ISNUMBER(F217)),COUNTIFS(C_RUTN,M217,C_TIPO,"Plazo fijo",C_DEF,"Sí",C_INI,"&lt;"&amp;F217)+COUNTIFS(M$7:M217,M217,E$7:E217,"Plazo fijo",N$7:N217,"Sí",F$7:F217,F217),"")</f>
        <v/>
      </c>
      <c r="R217" s="62" t="str">
        <f aca="false">IF(AND(B217&lt;&gt;"",ISNUMBER(H217),ISNUMBER(F217)),COUNTIFS(C_RUTN,M217,C_SUELDO,"&lt;&gt;",C_INI,"&lt;"&amp;F217)+COUNTIFS(M$7:M217,M217,H$7:H217,"&lt;&gt;",F$7:F217,F217),"")</f>
        <v/>
      </c>
      <c r="S217" s="62" t="str">
        <f aca="false">IF(R217="","",M217&amp;"-S"&amp;R217)</f>
        <v/>
      </c>
    </row>
    <row r="218" customFormat="false" ht="15" hidden="false" customHeight="false" outlineLevel="0" collapsed="false">
      <c r="B218" s="58"/>
      <c r="C218" s="62" t="str">
        <f aca="false">IF(B218="","",IFERROR(INDEX(T_NOMBRE,MATCH(M218,T_RUTN,0)),"⚠ RUT no está en Trabajadores"))</f>
        <v/>
      </c>
      <c r="D218" s="58"/>
      <c r="E218" s="58"/>
      <c r="F218" s="59"/>
      <c r="G218" s="59"/>
      <c r="H218" s="60"/>
      <c r="I218" s="58"/>
      <c r="J218" s="58"/>
      <c r="K218" s="58"/>
      <c r="L218" s="62" t="str">
        <f aca="false">IF(B218="","",IF(LEFT(C218,1)="⚠","⚠ Registre primero al trabajador en la hoja Trabajadores",IF(AND(N218="Sí",OR(E218="",NOT(ISNUMBER(F218)))),"⚠ Falta tipo de contrato o fecha de inicio",IF(NOT(ISNUMBER(F218)),"⚠ Falta fecha de inicio",IF(AND(N218="Sí",E218&lt;&gt;"Indefinido",NOT(ISNUMBER(G218))),"⚠ Falta fecha de término",IF(AND(D218="Paso a indefinido",E218&lt;&gt;"Indefinido"),"⚠ Un paso a indefinido debe tener tipo Indefinido",IF(N(Q218)&gt;=3,"⚠ 3er contrato a plazo fijo: por ley ya es INDEFINIDO (Art. 159 N°4)",IF(AND(E218="Plazo fijo",ISNUMBER(G218),(G218-F218+1)/30.4375&gt;12),"⚠ Plazo fijo mayor a 1 año (máximo legal)",IF(J218&lt;&gt;"Sí","Pendiente de firma","OK")))))))))</f>
        <v/>
      </c>
      <c r="M218" s="62" t="str">
        <f aca="false">IF(B218="","",IFERROR(VALUE(LEFT(UPPER(SUBSTITUTE(SUBSTITUTE(SUBSTITUTE(TRIM(B218),".",""),"-","")," ","")),LEN(UPPER(SUBSTITUTE(SUBSTITUTE(SUBSTITUTE(TRIM(B218),".",""),"-","")," ","")))-1))&amp;RIGHT(UPPER(SUBSTITUTE(SUBSTITUTE(SUBSTITUTE(TRIM(B218),".",""),"-","")," ","")),1),UPPER(SUBSTITUTE(SUBSTITUTE(SUBSTITUTE(TRIM(B218),".",""),"-","")," ",""))))</f>
        <v/>
      </c>
      <c r="N218" s="62" t="str">
        <f aca="false">IF(B218="","",IF(D218="Anexo de modificación","No","Sí"))</f>
        <v/>
      </c>
      <c r="O218" s="62" t="str">
        <f aca="false">IF(AND(N218="Sí",ISNUMBER(F218)),COUNTIFS(C_RUTN,M218,C_DEF,"Sí",C_INI,"&lt;"&amp;F218)+COUNTIFS(M$7:M218,M218,N$7:N218,"Sí",F$7:F218,F218),"")</f>
        <v/>
      </c>
      <c r="P218" s="62" t="str">
        <f aca="false">IF(O218="","",M218&amp;"-P"&amp;O218)</f>
        <v/>
      </c>
      <c r="Q218" s="62" t="str">
        <f aca="false">IF(AND(N218="Sí",E218="Plazo fijo",ISNUMBER(F218)),COUNTIFS(C_RUTN,M218,C_TIPO,"Plazo fijo",C_DEF,"Sí",C_INI,"&lt;"&amp;F218)+COUNTIFS(M$7:M218,M218,E$7:E218,"Plazo fijo",N$7:N218,"Sí",F$7:F218,F218),"")</f>
        <v/>
      </c>
      <c r="R218" s="62" t="str">
        <f aca="false">IF(AND(B218&lt;&gt;"",ISNUMBER(H218),ISNUMBER(F218)),COUNTIFS(C_RUTN,M218,C_SUELDO,"&lt;&gt;",C_INI,"&lt;"&amp;F218)+COUNTIFS(M$7:M218,M218,H$7:H218,"&lt;&gt;",F$7:F218,F218),"")</f>
        <v/>
      </c>
      <c r="S218" s="62" t="str">
        <f aca="false">IF(R218="","",M218&amp;"-S"&amp;R218)</f>
        <v/>
      </c>
    </row>
    <row r="219" customFormat="false" ht="15" hidden="false" customHeight="false" outlineLevel="0" collapsed="false">
      <c r="B219" s="58"/>
      <c r="C219" s="62" t="str">
        <f aca="false">IF(B219="","",IFERROR(INDEX(T_NOMBRE,MATCH(M219,T_RUTN,0)),"⚠ RUT no está en Trabajadores"))</f>
        <v/>
      </c>
      <c r="D219" s="58"/>
      <c r="E219" s="58"/>
      <c r="F219" s="59"/>
      <c r="G219" s="59"/>
      <c r="H219" s="60"/>
      <c r="I219" s="58"/>
      <c r="J219" s="58"/>
      <c r="K219" s="58"/>
      <c r="L219" s="62" t="str">
        <f aca="false">IF(B219="","",IF(LEFT(C219,1)="⚠","⚠ Registre primero al trabajador en la hoja Trabajadores",IF(AND(N219="Sí",OR(E219="",NOT(ISNUMBER(F219)))),"⚠ Falta tipo de contrato o fecha de inicio",IF(NOT(ISNUMBER(F219)),"⚠ Falta fecha de inicio",IF(AND(N219="Sí",E219&lt;&gt;"Indefinido",NOT(ISNUMBER(G219))),"⚠ Falta fecha de término",IF(AND(D219="Paso a indefinido",E219&lt;&gt;"Indefinido"),"⚠ Un paso a indefinido debe tener tipo Indefinido",IF(N(Q219)&gt;=3,"⚠ 3er contrato a plazo fijo: por ley ya es INDEFINIDO (Art. 159 N°4)",IF(AND(E219="Plazo fijo",ISNUMBER(G219),(G219-F219+1)/30.4375&gt;12),"⚠ Plazo fijo mayor a 1 año (máximo legal)",IF(J219&lt;&gt;"Sí","Pendiente de firma","OK")))))))))</f>
        <v/>
      </c>
      <c r="M219" s="62" t="str">
        <f aca="false">IF(B219="","",IFERROR(VALUE(LEFT(UPPER(SUBSTITUTE(SUBSTITUTE(SUBSTITUTE(TRIM(B219),".",""),"-","")," ","")),LEN(UPPER(SUBSTITUTE(SUBSTITUTE(SUBSTITUTE(TRIM(B219),".",""),"-","")," ","")))-1))&amp;RIGHT(UPPER(SUBSTITUTE(SUBSTITUTE(SUBSTITUTE(TRIM(B219),".",""),"-","")," ","")),1),UPPER(SUBSTITUTE(SUBSTITUTE(SUBSTITUTE(TRIM(B219),".",""),"-","")," ",""))))</f>
        <v/>
      </c>
      <c r="N219" s="62" t="str">
        <f aca="false">IF(B219="","",IF(D219="Anexo de modificación","No","Sí"))</f>
        <v/>
      </c>
      <c r="O219" s="62" t="str">
        <f aca="false">IF(AND(N219="Sí",ISNUMBER(F219)),COUNTIFS(C_RUTN,M219,C_DEF,"Sí",C_INI,"&lt;"&amp;F219)+COUNTIFS(M$7:M219,M219,N$7:N219,"Sí",F$7:F219,F219),"")</f>
        <v/>
      </c>
      <c r="P219" s="62" t="str">
        <f aca="false">IF(O219="","",M219&amp;"-P"&amp;O219)</f>
        <v/>
      </c>
      <c r="Q219" s="62" t="str">
        <f aca="false">IF(AND(N219="Sí",E219="Plazo fijo",ISNUMBER(F219)),COUNTIFS(C_RUTN,M219,C_TIPO,"Plazo fijo",C_DEF,"Sí",C_INI,"&lt;"&amp;F219)+COUNTIFS(M$7:M219,M219,E$7:E219,"Plazo fijo",N$7:N219,"Sí",F$7:F219,F219),"")</f>
        <v/>
      </c>
      <c r="R219" s="62" t="str">
        <f aca="false">IF(AND(B219&lt;&gt;"",ISNUMBER(H219),ISNUMBER(F219)),COUNTIFS(C_RUTN,M219,C_SUELDO,"&lt;&gt;",C_INI,"&lt;"&amp;F219)+COUNTIFS(M$7:M219,M219,H$7:H219,"&lt;&gt;",F$7:F219,F219),"")</f>
        <v/>
      </c>
      <c r="S219" s="62" t="str">
        <f aca="false">IF(R219="","",M219&amp;"-S"&amp;R219)</f>
        <v/>
      </c>
    </row>
    <row r="220" customFormat="false" ht="15" hidden="false" customHeight="false" outlineLevel="0" collapsed="false">
      <c r="B220" s="58"/>
      <c r="C220" s="62" t="str">
        <f aca="false">IF(B220="","",IFERROR(INDEX(T_NOMBRE,MATCH(M220,T_RUTN,0)),"⚠ RUT no está en Trabajadores"))</f>
        <v/>
      </c>
      <c r="D220" s="58"/>
      <c r="E220" s="58"/>
      <c r="F220" s="59"/>
      <c r="G220" s="59"/>
      <c r="H220" s="60"/>
      <c r="I220" s="58"/>
      <c r="J220" s="58"/>
      <c r="K220" s="58"/>
      <c r="L220" s="62" t="str">
        <f aca="false">IF(B220="","",IF(LEFT(C220,1)="⚠","⚠ Registre primero al trabajador en la hoja Trabajadores",IF(AND(N220="Sí",OR(E220="",NOT(ISNUMBER(F220)))),"⚠ Falta tipo de contrato o fecha de inicio",IF(NOT(ISNUMBER(F220)),"⚠ Falta fecha de inicio",IF(AND(N220="Sí",E220&lt;&gt;"Indefinido",NOT(ISNUMBER(G220))),"⚠ Falta fecha de término",IF(AND(D220="Paso a indefinido",E220&lt;&gt;"Indefinido"),"⚠ Un paso a indefinido debe tener tipo Indefinido",IF(N(Q220)&gt;=3,"⚠ 3er contrato a plazo fijo: por ley ya es INDEFINIDO (Art. 159 N°4)",IF(AND(E220="Plazo fijo",ISNUMBER(G220),(G220-F220+1)/30.4375&gt;12),"⚠ Plazo fijo mayor a 1 año (máximo legal)",IF(J220&lt;&gt;"Sí","Pendiente de firma","OK")))))))))</f>
        <v/>
      </c>
      <c r="M220" s="62" t="str">
        <f aca="false">IF(B220="","",IFERROR(VALUE(LEFT(UPPER(SUBSTITUTE(SUBSTITUTE(SUBSTITUTE(TRIM(B220),".",""),"-","")," ","")),LEN(UPPER(SUBSTITUTE(SUBSTITUTE(SUBSTITUTE(TRIM(B220),".",""),"-","")," ","")))-1))&amp;RIGHT(UPPER(SUBSTITUTE(SUBSTITUTE(SUBSTITUTE(TRIM(B220),".",""),"-","")," ","")),1),UPPER(SUBSTITUTE(SUBSTITUTE(SUBSTITUTE(TRIM(B220),".",""),"-","")," ",""))))</f>
        <v/>
      </c>
      <c r="N220" s="62" t="str">
        <f aca="false">IF(B220="","",IF(D220="Anexo de modificación","No","Sí"))</f>
        <v/>
      </c>
      <c r="O220" s="62" t="str">
        <f aca="false">IF(AND(N220="Sí",ISNUMBER(F220)),COUNTIFS(C_RUTN,M220,C_DEF,"Sí",C_INI,"&lt;"&amp;F220)+COUNTIFS(M$7:M220,M220,N$7:N220,"Sí",F$7:F220,F220),"")</f>
        <v/>
      </c>
      <c r="P220" s="62" t="str">
        <f aca="false">IF(O220="","",M220&amp;"-P"&amp;O220)</f>
        <v/>
      </c>
      <c r="Q220" s="62" t="str">
        <f aca="false">IF(AND(N220="Sí",E220="Plazo fijo",ISNUMBER(F220)),COUNTIFS(C_RUTN,M220,C_TIPO,"Plazo fijo",C_DEF,"Sí",C_INI,"&lt;"&amp;F220)+COUNTIFS(M$7:M220,M220,E$7:E220,"Plazo fijo",N$7:N220,"Sí",F$7:F220,F220),"")</f>
        <v/>
      </c>
      <c r="R220" s="62" t="str">
        <f aca="false">IF(AND(B220&lt;&gt;"",ISNUMBER(H220),ISNUMBER(F220)),COUNTIFS(C_RUTN,M220,C_SUELDO,"&lt;&gt;",C_INI,"&lt;"&amp;F220)+COUNTIFS(M$7:M220,M220,H$7:H220,"&lt;&gt;",F$7:F220,F220),"")</f>
        <v/>
      </c>
      <c r="S220" s="62" t="str">
        <f aca="false">IF(R220="","",M220&amp;"-S"&amp;R220)</f>
        <v/>
      </c>
    </row>
    <row r="221" customFormat="false" ht="15" hidden="false" customHeight="false" outlineLevel="0" collapsed="false">
      <c r="B221" s="58"/>
      <c r="C221" s="62" t="str">
        <f aca="false">IF(B221="","",IFERROR(INDEX(T_NOMBRE,MATCH(M221,T_RUTN,0)),"⚠ RUT no está en Trabajadores"))</f>
        <v/>
      </c>
      <c r="D221" s="58"/>
      <c r="E221" s="58"/>
      <c r="F221" s="59"/>
      <c r="G221" s="59"/>
      <c r="H221" s="60"/>
      <c r="I221" s="58"/>
      <c r="J221" s="58"/>
      <c r="K221" s="58"/>
      <c r="L221" s="62" t="str">
        <f aca="false">IF(B221="","",IF(LEFT(C221,1)="⚠","⚠ Registre primero al trabajador en la hoja Trabajadores",IF(AND(N221="Sí",OR(E221="",NOT(ISNUMBER(F221)))),"⚠ Falta tipo de contrato o fecha de inicio",IF(NOT(ISNUMBER(F221)),"⚠ Falta fecha de inicio",IF(AND(N221="Sí",E221&lt;&gt;"Indefinido",NOT(ISNUMBER(G221))),"⚠ Falta fecha de término",IF(AND(D221="Paso a indefinido",E221&lt;&gt;"Indefinido"),"⚠ Un paso a indefinido debe tener tipo Indefinido",IF(N(Q221)&gt;=3,"⚠ 3er contrato a plazo fijo: por ley ya es INDEFINIDO (Art. 159 N°4)",IF(AND(E221="Plazo fijo",ISNUMBER(G221),(G221-F221+1)/30.4375&gt;12),"⚠ Plazo fijo mayor a 1 año (máximo legal)",IF(J221&lt;&gt;"Sí","Pendiente de firma","OK")))))))))</f>
        <v/>
      </c>
      <c r="M221" s="62" t="str">
        <f aca="false">IF(B221="","",IFERROR(VALUE(LEFT(UPPER(SUBSTITUTE(SUBSTITUTE(SUBSTITUTE(TRIM(B221),".",""),"-","")," ","")),LEN(UPPER(SUBSTITUTE(SUBSTITUTE(SUBSTITUTE(TRIM(B221),".",""),"-","")," ","")))-1))&amp;RIGHT(UPPER(SUBSTITUTE(SUBSTITUTE(SUBSTITUTE(TRIM(B221),".",""),"-","")," ","")),1),UPPER(SUBSTITUTE(SUBSTITUTE(SUBSTITUTE(TRIM(B221),".",""),"-","")," ",""))))</f>
        <v/>
      </c>
      <c r="N221" s="62" t="str">
        <f aca="false">IF(B221="","",IF(D221="Anexo de modificación","No","Sí"))</f>
        <v/>
      </c>
      <c r="O221" s="62" t="str">
        <f aca="false">IF(AND(N221="Sí",ISNUMBER(F221)),COUNTIFS(C_RUTN,M221,C_DEF,"Sí",C_INI,"&lt;"&amp;F221)+COUNTIFS(M$7:M221,M221,N$7:N221,"Sí",F$7:F221,F221),"")</f>
        <v/>
      </c>
      <c r="P221" s="62" t="str">
        <f aca="false">IF(O221="","",M221&amp;"-P"&amp;O221)</f>
        <v/>
      </c>
      <c r="Q221" s="62" t="str">
        <f aca="false">IF(AND(N221="Sí",E221="Plazo fijo",ISNUMBER(F221)),COUNTIFS(C_RUTN,M221,C_TIPO,"Plazo fijo",C_DEF,"Sí",C_INI,"&lt;"&amp;F221)+COUNTIFS(M$7:M221,M221,E$7:E221,"Plazo fijo",N$7:N221,"Sí",F$7:F221,F221),"")</f>
        <v/>
      </c>
      <c r="R221" s="62" t="str">
        <f aca="false">IF(AND(B221&lt;&gt;"",ISNUMBER(H221),ISNUMBER(F221)),COUNTIFS(C_RUTN,M221,C_SUELDO,"&lt;&gt;",C_INI,"&lt;"&amp;F221)+COUNTIFS(M$7:M221,M221,H$7:H221,"&lt;&gt;",F$7:F221,F221),"")</f>
        <v/>
      </c>
      <c r="S221" s="62" t="str">
        <f aca="false">IF(R221="","",M221&amp;"-S"&amp;R221)</f>
        <v/>
      </c>
    </row>
    <row r="222" customFormat="false" ht="15" hidden="false" customHeight="false" outlineLevel="0" collapsed="false">
      <c r="B222" s="58"/>
      <c r="C222" s="62" t="str">
        <f aca="false">IF(B222="","",IFERROR(INDEX(T_NOMBRE,MATCH(M222,T_RUTN,0)),"⚠ RUT no está en Trabajadores"))</f>
        <v/>
      </c>
      <c r="D222" s="58"/>
      <c r="E222" s="58"/>
      <c r="F222" s="59"/>
      <c r="G222" s="59"/>
      <c r="H222" s="60"/>
      <c r="I222" s="58"/>
      <c r="J222" s="58"/>
      <c r="K222" s="58"/>
      <c r="L222" s="62" t="str">
        <f aca="false">IF(B222="","",IF(LEFT(C222,1)="⚠","⚠ Registre primero al trabajador en la hoja Trabajadores",IF(AND(N222="Sí",OR(E222="",NOT(ISNUMBER(F222)))),"⚠ Falta tipo de contrato o fecha de inicio",IF(NOT(ISNUMBER(F222)),"⚠ Falta fecha de inicio",IF(AND(N222="Sí",E222&lt;&gt;"Indefinido",NOT(ISNUMBER(G222))),"⚠ Falta fecha de término",IF(AND(D222="Paso a indefinido",E222&lt;&gt;"Indefinido"),"⚠ Un paso a indefinido debe tener tipo Indefinido",IF(N(Q222)&gt;=3,"⚠ 3er contrato a plazo fijo: por ley ya es INDEFINIDO (Art. 159 N°4)",IF(AND(E222="Plazo fijo",ISNUMBER(G222),(G222-F222+1)/30.4375&gt;12),"⚠ Plazo fijo mayor a 1 año (máximo legal)",IF(J222&lt;&gt;"Sí","Pendiente de firma","OK")))))))))</f>
        <v/>
      </c>
      <c r="M222" s="62" t="str">
        <f aca="false">IF(B222="","",IFERROR(VALUE(LEFT(UPPER(SUBSTITUTE(SUBSTITUTE(SUBSTITUTE(TRIM(B222),".",""),"-","")," ","")),LEN(UPPER(SUBSTITUTE(SUBSTITUTE(SUBSTITUTE(TRIM(B222),".",""),"-","")," ","")))-1))&amp;RIGHT(UPPER(SUBSTITUTE(SUBSTITUTE(SUBSTITUTE(TRIM(B222),".",""),"-","")," ","")),1),UPPER(SUBSTITUTE(SUBSTITUTE(SUBSTITUTE(TRIM(B222),".",""),"-","")," ",""))))</f>
        <v/>
      </c>
      <c r="N222" s="62" t="str">
        <f aca="false">IF(B222="","",IF(D222="Anexo de modificación","No","Sí"))</f>
        <v/>
      </c>
      <c r="O222" s="62" t="str">
        <f aca="false">IF(AND(N222="Sí",ISNUMBER(F222)),COUNTIFS(C_RUTN,M222,C_DEF,"Sí",C_INI,"&lt;"&amp;F222)+COUNTIFS(M$7:M222,M222,N$7:N222,"Sí",F$7:F222,F222),"")</f>
        <v/>
      </c>
      <c r="P222" s="62" t="str">
        <f aca="false">IF(O222="","",M222&amp;"-P"&amp;O222)</f>
        <v/>
      </c>
      <c r="Q222" s="62" t="str">
        <f aca="false">IF(AND(N222="Sí",E222="Plazo fijo",ISNUMBER(F222)),COUNTIFS(C_RUTN,M222,C_TIPO,"Plazo fijo",C_DEF,"Sí",C_INI,"&lt;"&amp;F222)+COUNTIFS(M$7:M222,M222,E$7:E222,"Plazo fijo",N$7:N222,"Sí",F$7:F222,F222),"")</f>
        <v/>
      </c>
      <c r="R222" s="62" t="str">
        <f aca="false">IF(AND(B222&lt;&gt;"",ISNUMBER(H222),ISNUMBER(F222)),COUNTIFS(C_RUTN,M222,C_SUELDO,"&lt;&gt;",C_INI,"&lt;"&amp;F222)+COUNTIFS(M$7:M222,M222,H$7:H222,"&lt;&gt;",F$7:F222,F222),"")</f>
        <v/>
      </c>
      <c r="S222" s="62" t="str">
        <f aca="false">IF(R222="","",M222&amp;"-S"&amp;R222)</f>
        <v/>
      </c>
    </row>
    <row r="223" customFormat="false" ht="15" hidden="false" customHeight="false" outlineLevel="0" collapsed="false">
      <c r="B223" s="58"/>
      <c r="C223" s="62" t="str">
        <f aca="false">IF(B223="","",IFERROR(INDEX(T_NOMBRE,MATCH(M223,T_RUTN,0)),"⚠ RUT no está en Trabajadores"))</f>
        <v/>
      </c>
      <c r="D223" s="58"/>
      <c r="E223" s="58"/>
      <c r="F223" s="59"/>
      <c r="G223" s="59"/>
      <c r="H223" s="60"/>
      <c r="I223" s="58"/>
      <c r="J223" s="58"/>
      <c r="K223" s="58"/>
      <c r="L223" s="62" t="str">
        <f aca="false">IF(B223="","",IF(LEFT(C223,1)="⚠","⚠ Registre primero al trabajador en la hoja Trabajadores",IF(AND(N223="Sí",OR(E223="",NOT(ISNUMBER(F223)))),"⚠ Falta tipo de contrato o fecha de inicio",IF(NOT(ISNUMBER(F223)),"⚠ Falta fecha de inicio",IF(AND(N223="Sí",E223&lt;&gt;"Indefinido",NOT(ISNUMBER(G223))),"⚠ Falta fecha de término",IF(AND(D223="Paso a indefinido",E223&lt;&gt;"Indefinido"),"⚠ Un paso a indefinido debe tener tipo Indefinido",IF(N(Q223)&gt;=3,"⚠ 3er contrato a plazo fijo: por ley ya es INDEFINIDO (Art. 159 N°4)",IF(AND(E223="Plazo fijo",ISNUMBER(G223),(G223-F223+1)/30.4375&gt;12),"⚠ Plazo fijo mayor a 1 año (máximo legal)",IF(J223&lt;&gt;"Sí","Pendiente de firma","OK")))))))))</f>
        <v/>
      </c>
      <c r="M223" s="62" t="str">
        <f aca="false">IF(B223="","",IFERROR(VALUE(LEFT(UPPER(SUBSTITUTE(SUBSTITUTE(SUBSTITUTE(TRIM(B223),".",""),"-","")," ","")),LEN(UPPER(SUBSTITUTE(SUBSTITUTE(SUBSTITUTE(TRIM(B223),".",""),"-","")," ","")))-1))&amp;RIGHT(UPPER(SUBSTITUTE(SUBSTITUTE(SUBSTITUTE(TRIM(B223),".",""),"-","")," ","")),1),UPPER(SUBSTITUTE(SUBSTITUTE(SUBSTITUTE(TRIM(B223),".",""),"-","")," ",""))))</f>
        <v/>
      </c>
      <c r="N223" s="62" t="str">
        <f aca="false">IF(B223="","",IF(D223="Anexo de modificación","No","Sí"))</f>
        <v/>
      </c>
      <c r="O223" s="62" t="str">
        <f aca="false">IF(AND(N223="Sí",ISNUMBER(F223)),COUNTIFS(C_RUTN,M223,C_DEF,"Sí",C_INI,"&lt;"&amp;F223)+COUNTIFS(M$7:M223,M223,N$7:N223,"Sí",F$7:F223,F223),"")</f>
        <v/>
      </c>
      <c r="P223" s="62" t="str">
        <f aca="false">IF(O223="","",M223&amp;"-P"&amp;O223)</f>
        <v/>
      </c>
      <c r="Q223" s="62" t="str">
        <f aca="false">IF(AND(N223="Sí",E223="Plazo fijo",ISNUMBER(F223)),COUNTIFS(C_RUTN,M223,C_TIPO,"Plazo fijo",C_DEF,"Sí",C_INI,"&lt;"&amp;F223)+COUNTIFS(M$7:M223,M223,E$7:E223,"Plazo fijo",N$7:N223,"Sí",F$7:F223,F223),"")</f>
        <v/>
      </c>
      <c r="R223" s="62" t="str">
        <f aca="false">IF(AND(B223&lt;&gt;"",ISNUMBER(H223),ISNUMBER(F223)),COUNTIFS(C_RUTN,M223,C_SUELDO,"&lt;&gt;",C_INI,"&lt;"&amp;F223)+COUNTIFS(M$7:M223,M223,H$7:H223,"&lt;&gt;",F$7:F223,F223),"")</f>
        <v/>
      </c>
      <c r="S223" s="62" t="str">
        <f aca="false">IF(R223="","",M223&amp;"-S"&amp;R223)</f>
        <v/>
      </c>
    </row>
    <row r="224" customFormat="false" ht="15" hidden="false" customHeight="false" outlineLevel="0" collapsed="false">
      <c r="B224" s="58"/>
      <c r="C224" s="62" t="str">
        <f aca="false">IF(B224="","",IFERROR(INDEX(T_NOMBRE,MATCH(M224,T_RUTN,0)),"⚠ RUT no está en Trabajadores"))</f>
        <v/>
      </c>
      <c r="D224" s="58"/>
      <c r="E224" s="58"/>
      <c r="F224" s="59"/>
      <c r="G224" s="59"/>
      <c r="H224" s="60"/>
      <c r="I224" s="58"/>
      <c r="J224" s="58"/>
      <c r="K224" s="58"/>
      <c r="L224" s="62" t="str">
        <f aca="false">IF(B224="","",IF(LEFT(C224,1)="⚠","⚠ Registre primero al trabajador en la hoja Trabajadores",IF(AND(N224="Sí",OR(E224="",NOT(ISNUMBER(F224)))),"⚠ Falta tipo de contrato o fecha de inicio",IF(NOT(ISNUMBER(F224)),"⚠ Falta fecha de inicio",IF(AND(N224="Sí",E224&lt;&gt;"Indefinido",NOT(ISNUMBER(G224))),"⚠ Falta fecha de término",IF(AND(D224="Paso a indefinido",E224&lt;&gt;"Indefinido"),"⚠ Un paso a indefinido debe tener tipo Indefinido",IF(N(Q224)&gt;=3,"⚠ 3er contrato a plazo fijo: por ley ya es INDEFINIDO (Art. 159 N°4)",IF(AND(E224="Plazo fijo",ISNUMBER(G224),(G224-F224+1)/30.4375&gt;12),"⚠ Plazo fijo mayor a 1 año (máximo legal)",IF(J224&lt;&gt;"Sí","Pendiente de firma","OK")))))))))</f>
        <v/>
      </c>
      <c r="M224" s="62" t="str">
        <f aca="false">IF(B224="","",IFERROR(VALUE(LEFT(UPPER(SUBSTITUTE(SUBSTITUTE(SUBSTITUTE(TRIM(B224),".",""),"-","")," ","")),LEN(UPPER(SUBSTITUTE(SUBSTITUTE(SUBSTITUTE(TRIM(B224),".",""),"-","")," ","")))-1))&amp;RIGHT(UPPER(SUBSTITUTE(SUBSTITUTE(SUBSTITUTE(TRIM(B224),".",""),"-","")," ","")),1),UPPER(SUBSTITUTE(SUBSTITUTE(SUBSTITUTE(TRIM(B224),".",""),"-","")," ",""))))</f>
        <v/>
      </c>
      <c r="N224" s="62" t="str">
        <f aca="false">IF(B224="","",IF(D224="Anexo de modificación","No","Sí"))</f>
        <v/>
      </c>
      <c r="O224" s="62" t="str">
        <f aca="false">IF(AND(N224="Sí",ISNUMBER(F224)),COUNTIFS(C_RUTN,M224,C_DEF,"Sí",C_INI,"&lt;"&amp;F224)+COUNTIFS(M$7:M224,M224,N$7:N224,"Sí",F$7:F224,F224),"")</f>
        <v/>
      </c>
      <c r="P224" s="62" t="str">
        <f aca="false">IF(O224="","",M224&amp;"-P"&amp;O224)</f>
        <v/>
      </c>
      <c r="Q224" s="62" t="str">
        <f aca="false">IF(AND(N224="Sí",E224="Plazo fijo",ISNUMBER(F224)),COUNTIFS(C_RUTN,M224,C_TIPO,"Plazo fijo",C_DEF,"Sí",C_INI,"&lt;"&amp;F224)+COUNTIFS(M$7:M224,M224,E$7:E224,"Plazo fijo",N$7:N224,"Sí",F$7:F224,F224),"")</f>
        <v/>
      </c>
      <c r="R224" s="62" t="str">
        <f aca="false">IF(AND(B224&lt;&gt;"",ISNUMBER(H224),ISNUMBER(F224)),COUNTIFS(C_RUTN,M224,C_SUELDO,"&lt;&gt;",C_INI,"&lt;"&amp;F224)+COUNTIFS(M$7:M224,M224,H$7:H224,"&lt;&gt;",F$7:F224,F224),"")</f>
        <v/>
      </c>
      <c r="S224" s="62" t="str">
        <f aca="false">IF(R224="","",M224&amp;"-S"&amp;R224)</f>
        <v/>
      </c>
    </row>
    <row r="225" customFormat="false" ht="15" hidden="false" customHeight="false" outlineLevel="0" collapsed="false">
      <c r="B225" s="58"/>
      <c r="C225" s="62" t="str">
        <f aca="false">IF(B225="","",IFERROR(INDEX(T_NOMBRE,MATCH(M225,T_RUTN,0)),"⚠ RUT no está en Trabajadores"))</f>
        <v/>
      </c>
      <c r="D225" s="58"/>
      <c r="E225" s="58"/>
      <c r="F225" s="59"/>
      <c r="G225" s="59"/>
      <c r="H225" s="60"/>
      <c r="I225" s="58"/>
      <c r="J225" s="58"/>
      <c r="K225" s="58"/>
      <c r="L225" s="62" t="str">
        <f aca="false">IF(B225="","",IF(LEFT(C225,1)="⚠","⚠ Registre primero al trabajador en la hoja Trabajadores",IF(AND(N225="Sí",OR(E225="",NOT(ISNUMBER(F225)))),"⚠ Falta tipo de contrato o fecha de inicio",IF(NOT(ISNUMBER(F225)),"⚠ Falta fecha de inicio",IF(AND(N225="Sí",E225&lt;&gt;"Indefinido",NOT(ISNUMBER(G225))),"⚠ Falta fecha de término",IF(AND(D225="Paso a indefinido",E225&lt;&gt;"Indefinido"),"⚠ Un paso a indefinido debe tener tipo Indefinido",IF(N(Q225)&gt;=3,"⚠ 3er contrato a plazo fijo: por ley ya es INDEFINIDO (Art. 159 N°4)",IF(AND(E225="Plazo fijo",ISNUMBER(G225),(G225-F225+1)/30.4375&gt;12),"⚠ Plazo fijo mayor a 1 año (máximo legal)",IF(J225&lt;&gt;"Sí","Pendiente de firma","OK")))))))))</f>
        <v/>
      </c>
      <c r="M225" s="62" t="str">
        <f aca="false">IF(B225="","",IFERROR(VALUE(LEFT(UPPER(SUBSTITUTE(SUBSTITUTE(SUBSTITUTE(TRIM(B225),".",""),"-","")," ","")),LEN(UPPER(SUBSTITUTE(SUBSTITUTE(SUBSTITUTE(TRIM(B225),".",""),"-","")," ","")))-1))&amp;RIGHT(UPPER(SUBSTITUTE(SUBSTITUTE(SUBSTITUTE(TRIM(B225),".",""),"-","")," ","")),1),UPPER(SUBSTITUTE(SUBSTITUTE(SUBSTITUTE(TRIM(B225),".",""),"-","")," ",""))))</f>
        <v/>
      </c>
      <c r="N225" s="62" t="str">
        <f aca="false">IF(B225="","",IF(D225="Anexo de modificación","No","Sí"))</f>
        <v/>
      </c>
      <c r="O225" s="62" t="str">
        <f aca="false">IF(AND(N225="Sí",ISNUMBER(F225)),COUNTIFS(C_RUTN,M225,C_DEF,"Sí",C_INI,"&lt;"&amp;F225)+COUNTIFS(M$7:M225,M225,N$7:N225,"Sí",F$7:F225,F225),"")</f>
        <v/>
      </c>
      <c r="P225" s="62" t="str">
        <f aca="false">IF(O225="","",M225&amp;"-P"&amp;O225)</f>
        <v/>
      </c>
      <c r="Q225" s="62" t="str">
        <f aca="false">IF(AND(N225="Sí",E225="Plazo fijo",ISNUMBER(F225)),COUNTIFS(C_RUTN,M225,C_TIPO,"Plazo fijo",C_DEF,"Sí",C_INI,"&lt;"&amp;F225)+COUNTIFS(M$7:M225,M225,E$7:E225,"Plazo fijo",N$7:N225,"Sí",F$7:F225,F225),"")</f>
        <v/>
      </c>
      <c r="R225" s="62" t="str">
        <f aca="false">IF(AND(B225&lt;&gt;"",ISNUMBER(H225),ISNUMBER(F225)),COUNTIFS(C_RUTN,M225,C_SUELDO,"&lt;&gt;",C_INI,"&lt;"&amp;F225)+COUNTIFS(M$7:M225,M225,H$7:H225,"&lt;&gt;",F$7:F225,F225),"")</f>
        <v/>
      </c>
      <c r="S225" s="62" t="str">
        <f aca="false">IF(R225="","",M225&amp;"-S"&amp;R225)</f>
        <v/>
      </c>
    </row>
    <row r="226" customFormat="false" ht="15" hidden="false" customHeight="false" outlineLevel="0" collapsed="false">
      <c r="B226" s="58"/>
      <c r="C226" s="62" t="str">
        <f aca="false">IF(B226="","",IFERROR(INDEX(T_NOMBRE,MATCH(M226,T_RUTN,0)),"⚠ RUT no está en Trabajadores"))</f>
        <v/>
      </c>
      <c r="D226" s="58"/>
      <c r="E226" s="58"/>
      <c r="F226" s="59"/>
      <c r="G226" s="59"/>
      <c r="H226" s="60"/>
      <c r="I226" s="58"/>
      <c r="J226" s="58"/>
      <c r="K226" s="58"/>
      <c r="L226" s="62" t="str">
        <f aca="false">IF(B226="","",IF(LEFT(C226,1)="⚠","⚠ Registre primero al trabajador en la hoja Trabajadores",IF(AND(N226="Sí",OR(E226="",NOT(ISNUMBER(F226)))),"⚠ Falta tipo de contrato o fecha de inicio",IF(NOT(ISNUMBER(F226)),"⚠ Falta fecha de inicio",IF(AND(N226="Sí",E226&lt;&gt;"Indefinido",NOT(ISNUMBER(G226))),"⚠ Falta fecha de término",IF(AND(D226="Paso a indefinido",E226&lt;&gt;"Indefinido"),"⚠ Un paso a indefinido debe tener tipo Indefinido",IF(N(Q226)&gt;=3,"⚠ 3er contrato a plazo fijo: por ley ya es INDEFINIDO (Art. 159 N°4)",IF(AND(E226="Plazo fijo",ISNUMBER(G226),(G226-F226+1)/30.4375&gt;12),"⚠ Plazo fijo mayor a 1 año (máximo legal)",IF(J226&lt;&gt;"Sí","Pendiente de firma","OK")))))))))</f>
        <v/>
      </c>
      <c r="M226" s="62" t="str">
        <f aca="false">IF(B226="","",IFERROR(VALUE(LEFT(UPPER(SUBSTITUTE(SUBSTITUTE(SUBSTITUTE(TRIM(B226),".",""),"-","")," ","")),LEN(UPPER(SUBSTITUTE(SUBSTITUTE(SUBSTITUTE(TRIM(B226),".",""),"-","")," ","")))-1))&amp;RIGHT(UPPER(SUBSTITUTE(SUBSTITUTE(SUBSTITUTE(TRIM(B226),".",""),"-","")," ","")),1),UPPER(SUBSTITUTE(SUBSTITUTE(SUBSTITUTE(TRIM(B226),".",""),"-","")," ",""))))</f>
        <v/>
      </c>
      <c r="N226" s="62" t="str">
        <f aca="false">IF(B226="","",IF(D226="Anexo de modificación","No","Sí"))</f>
        <v/>
      </c>
      <c r="O226" s="62" t="str">
        <f aca="false">IF(AND(N226="Sí",ISNUMBER(F226)),COUNTIFS(C_RUTN,M226,C_DEF,"Sí",C_INI,"&lt;"&amp;F226)+COUNTIFS(M$7:M226,M226,N$7:N226,"Sí",F$7:F226,F226),"")</f>
        <v/>
      </c>
      <c r="P226" s="62" t="str">
        <f aca="false">IF(O226="","",M226&amp;"-P"&amp;O226)</f>
        <v/>
      </c>
      <c r="Q226" s="62" t="str">
        <f aca="false">IF(AND(N226="Sí",E226="Plazo fijo",ISNUMBER(F226)),COUNTIFS(C_RUTN,M226,C_TIPO,"Plazo fijo",C_DEF,"Sí",C_INI,"&lt;"&amp;F226)+COUNTIFS(M$7:M226,M226,E$7:E226,"Plazo fijo",N$7:N226,"Sí",F$7:F226,F226),"")</f>
        <v/>
      </c>
      <c r="R226" s="62" t="str">
        <f aca="false">IF(AND(B226&lt;&gt;"",ISNUMBER(H226),ISNUMBER(F226)),COUNTIFS(C_RUTN,M226,C_SUELDO,"&lt;&gt;",C_INI,"&lt;"&amp;F226)+COUNTIFS(M$7:M226,M226,H$7:H226,"&lt;&gt;",F$7:F226,F226),"")</f>
        <v/>
      </c>
      <c r="S226" s="62" t="str">
        <f aca="false">IF(R226="","",M226&amp;"-S"&amp;R226)</f>
        <v/>
      </c>
    </row>
    <row r="227" customFormat="false" ht="15" hidden="false" customHeight="false" outlineLevel="0" collapsed="false">
      <c r="B227" s="58"/>
      <c r="C227" s="62" t="str">
        <f aca="false">IF(B227="","",IFERROR(INDEX(T_NOMBRE,MATCH(M227,T_RUTN,0)),"⚠ RUT no está en Trabajadores"))</f>
        <v/>
      </c>
      <c r="D227" s="58"/>
      <c r="E227" s="58"/>
      <c r="F227" s="59"/>
      <c r="G227" s="59"/>
      <c r="H227" s="60"/>
      <c r="I227" s="58"/>
      <c r="J227" s="58"/>
      <c r="K227" s="58"/>
      <c r="L227" s="62" t="str">
        <f aca="false">IF(B227="","",IF(LEFT(C227,1)="⚠","⚠ Registre primero al trabajador en la hoja Trabajadores",IF(AND(N227="Sí",OR(E227="",NOT(ISNUMBER(F227)))),"⚠ Falta tipo de contrato o fecha de inicio",IF(NOT(ISNUMBER(F227)),"⚠ Falta fecha de inicio",IF(AND(N227="Sí",E227&lt;&gt;"Indefinido",NOT(ISNUMBER(G227))),"⚠ Falta fecha de término",IF(AND(D227="Paso a indefinido",E227&lt;&gt;"Indefinido"),"⚠ Un paso a indefinido debe tener tipo Indefinido",IF(N(Q227)&gt;=3,"⚠ 3er contrato a plazo fijo: por ley ya es INDEFINIDO (Art. 159 N°4)",IF(AND(E227="Plazo fijo",ISNUMBER(G227),(G227-F227+1)/30.4375&gt;12),"⚠ Plazo fijo mayor a 1 año (máximo legal)",IF(J227&lt;&gt;"Sí","Pendiente de firma","OK")))))))))</f>
        <v/>
      </c>
      <c r="M227" s="62" t="str">
        <f aca="false">IF(B227="","",IFERROR(VALUE(LEFT(UPPER(SUBSTITUTE(SUBSTITUTE(SUBSTITUTE(TRIM(B227),".",""),"-","")," ","")),LEN(UPPER(SUBSTITUTE(SUBSTITUTE(SUBSTITUTE(TRIM(B227),".",""),"-","")," ","")))-1))&amp;RIGHT(UPPER(SUBSTITUTE(SUBSTITUTE(SUBSTITUTE(TRIM(B227),".",""),"-","")," ","")),1),UPPER(SUBSTITUTE(SUBSTITUTE(SUBSTITUTE(TRIM(B227),".",""),"-","")," ",""))))</f>
        <v/>
      </c>
      <c r="N227" s="62" t="str">
        <f aca="false">IF(B227="","",IF(D227="Anexo de modificación","No","Sí"))</f>
        <v/>
      </c>
      <c r="O227" s="62" t="str">
        <f aca="false">IF(AND(N227="Sí",ISNUMBER(F227)),COUNTIFS(C_RUTN,M227,C_DEF,"Sí",C_INI,"&lt;"&amp;F227)+COUNTIFS(M$7:M227,M227,N$7:N227,"Sí",F$7:F227,F227),"")</f>
        <v/>
      </c>
      <c r="P227" s="62" t="str">
        <f aca="false">IF(O227="","",M227&amp;"-P"&amp;O227)</f>
        <v/>
      </c>
      <c r="Q227" s="62" t="str">
        <f aca="false">IF(AND(N227="Sí",E227="Plazo fijo",ISNUMBER(F227)),COUNTIFS(C_RUTN,M227,C_TIPO,"Plazo fijo",C_DEF,"Sí",C_INI,"&lt;"&amp;F227)+COUNTIFS(M$7:M227,M227,E$7:E227,"Plazo fijo",N$7:N227,"Sí",F$7:F227,F227),"")</f>
        <v/>
      </c>
      <c r="R227" s="62" t="str">
        <f aca="false">IF(AND(B227&lt;&gt;"",ISNUMBER(H227),ISNUMBER(F227)),COUNTIFS(C_RUTN,M227,C_SUELDO,"&lt;&gt;",C_INI,"&lt;"&amp;F227)+COUNTIFS(M$7:M227,M227,H$7:H227,"&lt;&gt;",F$7:F227,F227),"")</f>
        <v/>
      </c>
      <c r="S227" s="62" t="str">
        <f aca="false">IF(R227="","",M227&amp;"-S"&amp;R227)</f>
        <v/>
      </c>
    </row>
    <row r="228" customFormat="false" ht="15" hidden="false" customHeight="false" outlineLevel="0" collapsed="false">
      <c r="B228" s="58"/>
      <c r="C228" s="62" t="str">
        <f aca="false">IF(B228="","",IFERROR(INDEX(T_NOMBRE,MATCH(M228,T_RUTN,0)),"⚠ RUT no está en Trabajadores"))</f>
        <v/>
      </c>
      <c r="D228" s="58"/>
      <c r="E228" s="58"/>
      <c r="F228" s="59"/>
      <c r="G228" s="59"/>
      <c r="H228" s="60"/>
      <c r="I228" s="58"/>
      <c r="J228" s="58"/>
      <c r="K228" s="58"/>
      <c r="L228" s="62" t="str">
        <f aca="false">IF(B228="","",IF(LEFT(C228,1)="⚠","⚠ Registre primero al trabajador en la hoja Trabajadores",IF(AND(N228="Sí",OR(E228="",NOT(ISNUMBER(F228)))),"⚠ Falta tipo de contrato o fecha de inicio",IF(NOT(ISNUMBER(F228)),"⚠ Falta fecha de inicio",IF(AND(N228="Sí",E228&lt;&gt;"Indefinido",NOT(ISNUMBER(G228))),"⚠ Falta fecha de término",IF(AND(D228="Paso a indefinido",E228&lt;&gt;"Indefinido"),"⚠ Un paso a indefinido debe tener tipo Indefinido",IF(N(Q228)&gt;=3,"⚠ 3er contrato a plazo fijo: por ley ya es INDEFINIDO (Art. 159 N°4)",IF(AND(E228="Plazo fijo",ISNUMBER(G228),(G228-F228+1)/30.4375&gt;12),"⚠ Plazo fijo mayor a 1 año (máximo legal)",IF(J228&lt;&gt;"Sí","Pendiente de firma","OK")))))))))</f>
        <v/>
      </c>
      <c r="M228" s="62" t="str">
        <f aca="false">IF(B228="","",IFERROR(VALUE(LEFT(UPPER(SUBSTITUTE(SUBSTITUTE(SUBSTITUTE(TRIM(B228),".",""),"-","")," ","")),LEN(UPPER(SUBSTITUTE(SUBSTITUTE(SUBSTITUTE(TRIM(B228),".",""),"-","")," ","")))-1))&amp;RIGHT(UPPER(SUBSTITUTE(SUBSTITUTE(SUBSTITUTE(TRIM(B228),".",""),"-","")," ","")),1),UPPER(SUBSTITUTE(SUBSTITUTE(SUBSTITUTE(TRIM(B228),".",""),"-","")," ",""))))</f>
        <v/>
      </c>
      <c r="N228" s="62" t="str">
        <f aca="false">IF(B228="","",IF(D228="Anexo de modificación","No","Sí"))</f>
        <v/>
      </c>
      <c r="O228" s="62" t="str">
        <f aca="false">IF(AND(N228="Sí",ISNUMBER(F228)),COUNTIFS(C_RUTN,M228,C_DEF,"Sí",C_INI,"&lt;"&amp;F228)+COUNTIFS(M$7:M228,M228,N$7:N228,"Sí",F$7:F228,F228),"")</f>
        <v/>
      </c>
      <c r="P228" s="62" t="str">
        <f aca="false">IF(O228="","",M228&amp;"-P"&amp;O228)</f>
        <v/>
      </c>
      <c r="Q228" s="62" t="str">
        <f aca="false">IF(AND(N228="Sí",E228="Plazo fijo",ISNUMBER(F228)),COUNTIFS(C_RUTN,M228,C_TIPO,"Plazo fijo",C_DEF,"Sí",C_INI,"&lt;"&amp;F228)+COUNTIFS(M$7:M228,M228,E$7:E228,"Plazo fijo",N$7:N228,"Sí",F$7:F228,F228),"")</f>
        <v/>
      </c>
      <c r="R228" s="62" t="str">
        <f aca="false">IF(AND(B228&lt;&gt;"",ISNUMBER(H228),ISNUMBER(F228)),COUNTIFS(C_RUTN,M228,C_SUELDO,"&lt;&gt;",C_INI,"&lt;"&amp;F228)+COUNTIFS(M$7:M228,M228,H$7:H228,"&lt;&gt;",F$7:F228,F228),"")</f>
        <v/>
      </c>
      <c r="S228" s="62" t="str">
        <f aca="false">IF(R228="","",M228&amp;"-S"&amp;R228)</f>
        <v/>
      </c>
    </row>
    <row r="229" customFormat="false" ht="15" hidden="false" customHeight="false" outlineLevel="0" collapsed="false">
      <c r="B229" s="58"/>
      <c r="C229" s="62" t="str">
        <f aca="false">IF(B229="","",IFERROR(INDEX(T_NOMBRE,MATCH(M229,T_RUTN,0)),"⚠ RUT no está en Trabajadores"))</f>
        <v/>
      </c>
      <c r="D229" s="58"/>
      <c r="E229" s="58"/>
      <c r="F229" s="59"/>
      <c r="G229" s="59"/>
      <c r="H229" s="60"/>
      <c r="I229" s="58"/>
      <c r="J229" s="58"/>
      <c r="K229" s="58"/>
      <c r="L229" s="62" t="str">
        <f aca="false">IF(B229="","",IF(LEFT(C229,1)="⚠","⚠ Registre primero al trabajador en la hoja Trabajadores",IF(AND(N229="Sí",OR(E229="",NOT(ISNUMBER(F229)))),"⚠ Falta tipo de contrato o fecha de inicio",IF(NOT(ISNUMBER(F229)),"⚠ Falta fecha de inicio",IF(AND(N229="Sí",E229&lt;&gt;"Indefinido",NOT(ISNUMBER(G229))),"⚠ Falta fecha de término",IF(AND(D229="Paso a indefinido",E229&lt;&gt;"Indefinido"),"⚠ Un paso a indefinido debe tener tipo Indefinido",IF(N(Q229)&gt;=3,"⚠ 3er contrato a plazo fijo: por ley ya es INDEFINIDO (Art. 159 N°4)",IF(AND(E229="Plazo fijo",ISNUMBER(G229),(G229-F229+1)/30.4375&gt;12),"⚠ Plazo fijo mayor a 1 año (máximo legal)",IF(J229&lt;&gt;"Sí","Pendiente de firma","OK")))))))))</f>
        <v/>
      </c>
      <c r="M229" s="62" t="str">
        <f aca="false">IF(B229="","",IFERROR(VALUE(LEFT(UPPER(SUBSTITUTE(SUBSTITUTE(SUBSTITUTE(TRIM(B229),".",""),"-","")," ","")),LEN(UPPER(SUBSTITUTE(SUBSTITUTE(SUBSTITUTE(TRIM(B229),".",""),"-","")," ","")))-1))&amp;RIGHT(UPPER(SUBSTITUTE(SUBSTITUTE(SUBSTITUTE(TRIM(B229),".",""),"-","")," ","")),1),UPPER(SUBSTITUTE(SUBSTITUTE(SUBSTITUTE(TRIM(B229),".",""),"-","")," ",""))))</f>
        <v/>
      </c>
      <c r="N229" s="62" t="str">
        <f aca="false">IF(B229="","",IF(D229="Anexo de modificación","No","Sí"))</f>
        <v/>
      </c>
      <c r="O229" s="62" t="str">
        <f aca="false">IF(AND(N229="Sí",ISNUMBER(F229)),COUNTIFS(C_RUTN,M229,C_DEF,"Sí",C_INI,"&lt;"&amp;F229)+COUNTIFS(M$7:M229,M229,N$7:N229,"Sí",F$7:F229,F229),"")</f>
        <v/>
      </c>
      <c r="P229" s="62" t="str">
        <f aca="false">IF(O229="","",M229&amp;"-P"&amp;O229)</f>
        <v/>
      </c>
      <c r="Q229" s="62" t="str">
        <f aca="false">IF(AND(N229="Sí",E229="Plazo fijo",ISNUMBER(F229)),COUNTIFS(C_RUTN,M229,C_TIPO,"Plazo fijo",C_DEF,"Sí",C_INI,"&lt;"&amp;F229)+COUNTIFS(M$7:M229,M229,E$7:E229,"Plazo fijo",N$7:N229,"Sí",F$7:F229,F229),"")</f>
        <v/>
      </c>
      <c r="R229" s="62" t="str">
        <f aca="false">IF(AND(B229&lt;&gt;"",ISNUMBER(H229),ISNUMBER(F229)),COUNTIFS(C_RUTN,M229,C_SUELDO,"&lt;&gt;",C_INI,"&lt;"&amp;F229)+COUNTIFS(M$7:M229,M229,H$7:H229,"&lt;&gt;",F$7:F229,F229),"")</f>
        <v/>
      </c>
      <c r="S229" s="62" t="str">
        <f aca="false">IF(R229="","",M229&amp;"-S"&amp;R229)</f>
        <v/>
      </c>
    </row>
    <row r="230" customFormat="false" ht="15" hidden="false" customHeight="false" outlineLevel="0" collapsed="false">
      <c r="B230" s="58"/>
      <c r="C230" s="62" t="str">
        <f aca="false">IF(B230="","",IFERROR(INDEX(T_NOMBRE,MATCH(M230,T_RUTN,0)),"⚠ RUT no está en Trabajadores"))</f>
        <v/>
      </c>
      <c r="D230" s="58"/>
      <c r="E230" s="58"/>
      <c r="F230" s="59"/>
      <c r="G230" s="59"/>
      <c r="H230" s="60"/>
      <c r="I230" s="58"/>
      <c r="J230" s="58"/>
      <c r="K230" s="58"/>
      <c r="L230" s="62" t="str">
        <f aca="false">IF(B230="","",IF(LEFT(C230,1)="⚠","⚠ Registre primero al trabajador en la hoja Trabajadores",IF(AND(N230="Sí",OR(E230="",NOT(ISNUMBER(F230)))),"⚠ Falta tipo de contrato o fecha de inicio",IF(NOT(ISNUMBER(F230)),"⚠ Falta fecha de inicio",IF(AND(N230="Sí",E230&lt;&gt;"Indefinido",NOT(ISNUMBER(G230))),"⚠ Falta fecha de término",IF(AND(D230="Paso a indefinido",E230&lt;&gt;"Indefinido"),"⚠ Un paso a indefinido debe tener tipo Indefinido",IF(N(Q230)&gt;=3,"⚠ 3er contrato a plazo fijo: por ley ya es INDEFINIDO (Art. 159 N°4)",IF(AND(E230="Plazo fijo",ISNUMBER(G230),(G230-F230+1)/30.4375&gt;12),"⚠ Plazo fijo mayor a 1 año (máximo legal)",IF(J230&lt;&gt;"Sí","Pendiente de firma","OK")))))))))</f>
        <v/>
      </c>
      <c r="M230" s="62" t="str">
        <f aca="false">IF(B230="","",IFERROR(VALUE(LEFT(UPPER(SUBSTITUTE(SUBSTITUTE(SUBSTITUTE(TRIM(B230),".",""),"-","")," ","")),LEN(UPPER(SUBSTITUTE(SUBSTITUTE(SUBSTITUTE(TRIM(B230),".",""),"-","")," ","")))-1))&amp;RIGHT(UPPER(SUBSTITUTE(SUBSTITUTE(SUBSTITUTE(TRIM(B230),".",""),"-","")," ","")),1),UPPER(SUBSTITUTE(SUBSTITUTE(SUBSTITUTE(TRIM(B230),".",""),"-","")," ",""))))</f>
        <v/>
      </c>
      <c r="N230" s="62" t="str">
        <f aca="false">IF(B230="","",IF(D230="Anexo de modificación","No","Sí"))</f>
        <v/>
      </c>
      <c r="O230" s="62" t="str">
        <f aca="false">IF(AND(N230="Sí",ISNUMBER(F230)),COUNTIFS(C_RUTN,M230,C_DEF,"Sí",C_INI,"&lt;"&amp;F230)+COUNTIFS(M$7:M230,M230,N$7:N230,"Sí",F$7:F230,F230),"")</f>
        <v/>
      </c>
      <c r="P230" s="62" t="str">
        <f aca="false">IF(O230="","",M230&amp;"-P"&amp;O230)</f>
        <v/>
      </c>
      <c r="Q230" s="62" t="str">
        <f aca="false">IF(AND(N230="Sí",E230="Plazo fijo",ISNUMBER(F230)),COUNTIFS(C_RUTN,M230,C_TIPO,"Plazo fijo",C_DEF,"Sí",C_INI,"&lt;"&amp;F230)+COUNTIFS(M$7:M230,M230,E$7:E230,"Plazo fijo",N$7:N230,"Sí",F$7:F230,F230),"")</f>
        <v/>
      </c>
      <c r="R230" s="62" t="str">
        <f aca="false">IF(AND(B230&lt;&gt;"",ISNUMBER(H230),ISNUMBER(F230)),COUNTIFS(C_RUTN,M230,C_SUELDO,"&lt;&gt;",C_INI,"&lt;"&amp;F230)+COUNTIFS(M$7:M230,M230,H$7:H230,"&lt;&gt;",F$7:F230,F230),"")</f>
        <v/>
      </c>
      <c r="S230" s="62" t="str">
        <f aca="false">IF(R230="","",M230&amp;"-S"&amp;R230)</f>
        <v/>
      </c>
    </row>
    <row r="231" customFormat="false" ht="15" hidden="false" customHeight="false" outlineLevel="0" collapsed="false">
      <c r="B231" s="58"/>
      <c r="C231" s="62" t="str">
        <f aca="false">IF(B231="","",IFERROR(INDEX(T_NOMBRE,MATCH(M231,T_RUTN,0)),"⚠ RUT no está en Trabajadores"))</f>
        <v/>
      </c>
      <c r="D231" s="58"/>
      <c r="E231" s="58"/>
      <c r="F231" s="59"/>
      <c r="G231" s="59"/>
      <c r="H231" s="60"/>
      <c r="I231" s="58"/>
      <c r="J231" s="58"/>
      <c r="K231" s="58"/>
      <c r="L231" s="62" t="str">
        <f aca="false">IF(B231="","",IF(LEFT(C231,1)="⚠","⚠ Registre primero al trabajador en la hoja Trabajadores",IF(AND(N231="Sí",OR(E231="",NOT(ISNUMBER(F231)))),"⚠ Falta tipo de contrato o fecha de inicio",IF(NOT(ISNUMBER(F231)),"⚠ Falta fecha de inicio",IF(AND(N231="Sí",E231&lt;&gt;"Indefinido",NOT(ISNUMBER(G231))),"⚠ Falta fecha de término",IF(AND(D231="Paso a indefinido",E231&lt;&gt;"Indefinido"),"⚠ Un paso a indefinido debe tener tipo Indefinido",IF(N(Q231)&gt;=3,"⚠ 3er contrato a plazo fijo: por ley ya es INDEFINIDO (Art. 159 N°4)",IF(AND(E231="Plazo fijo",ISNUMBER(G231),(G231-F231+1)/30.4375&gt;12),"⚠ Plazo fijo mayor a 1 año (máximo legal)",IF(J231&lt;&gt;"Sí","Pendiente de firma","OK")))))))))</f>
        <v/>
      </c>
      <c r="M231" s="62" t="str">
        <f aca="false">IF(B231="","",IFERROR(VALUE(LEFT(UPPER(SUBSTITUTE(SUBSTITUTE(SUBSTITUTE(TRIM(B231),".",""),"-","")," ","")),LEN(UPPER(SUBSTITUTE(SUBSTITUTE(SUBSTITUTE(TRIM(B231),".",""),"-","")," ","")))-1))&amp;RIGHT(UPPER(SUBSTITUTE(SUBSTITUTE(SUBSTITUTE(TRIM(B231),".",""),"-","")," ","")),1),UPPER(SUBSTITUTE(SUBSTITUTE(SUBSTITUTE(TRIM(B231),".",""),"-","")," ",""))))</f>
        <v/>
      </c>
      <c r="N231" s="62" t="str">
        <f aca="false">IF(B231="","",IF(D231="Anexo de modificación","No","Sí"))</f>
        <v/>
      </c>
      <c r="O231" s="62" t="str">
        <f aca="false">IF(AND(N231="Sí",ISNUMBER(F231)),COUNTIFS(C_RUTN,M231,C_DEF,"Sí",C_INI,"&lt;"&amp;F231)+COUNTIFS(M$7:M231,M231,N$7:N231,"Sí",F$7:F231,F231),"")</f>
        <v/>
      </c>
      <c r="P231" s="62" t="str">
        <f aca="false">IF(O231="","",M231&amp;"-P"&amp;O231)</f>
        <v/>
      </c>
      <c r="Q231" s="62" t="str">
        <f aca="false">IF(AND(N231="Sí",E231="Plazo fijo",ISNUMBER(F231)),COUNTIFS(C_RUTN,M231,C_TIPO,"Plazo fijo",C_DEF,"Sí",C_INI,"&lt;"&amp;F231)+COUNTIFS(M$7:M231,M231,E$7:E231,"Plazo fijo",N$7:N231,"Sí",F$7:F231,F231),"")</f>
        <v/>
      </c>
      <c r="R231" s="62" t="str">
        <f aca="false">IF(AND(B231&lt;&gt;"",ISNUMBER(H231),ISNUMBER(F231)),COUNTIFS(C_RUTN,M231,C_SUELDO,"&lt;&gt;",C_INI,"&lt;"&amp;F231)+COUNTIFS(M$7:M231,M231,H$7:H231,"&lt;&gt;",F$7:F231,F231),"")</f>
        <v/>
      </c>
      <c r="S231" s="62" t="str">
        <f aca="false">IF(R231="","",M231&amp;"-S"&amp;R231)</f>
        <v/>
      </c>
    </row>
    <row r="232" customFormat="false" ht="15" hidden="false" customHeight="false" outlineLevel="0" collapsed="false">
      <c r="B232" s="58"/>
      <c r="C232" s="62" t="str">
        <f aca="false">IF(B232="","",IFERROR(INDEX(T_NOMBRE,MATCH(M232,T_RUTN,0)),"⚠ RUT no está en Trabajadores"))</f>
        <v/>
      </c>
      <c r="D232" s="58"/>
      <c r="E232" s="58"/>
      <c r="F232" s="59"/>
      <c r="G232" s="59"/>
      <c r="H232" s="60"/>
      <c r="I232" s="58"/>
      <c r="J232" s="58"/>
      <c r="K232" s="58"/>
      <c r="L232" s="62" t="str">
        <f aca="false">IF(B232="","",IF(LEFT(C232,1)="⚠","⚠ Registre primero al trabajador en la hoja Trabajadores",IF(AND(N232="Sí",OR(E232="",NOT(ISNUMBER(F232)))),"⚠ Falta tipo de contrato o fecha de inicio",IF(NOT(ISNUMBER(F232)),"⚠ Falta fecha de inicio",IF(AND(N232="Sí",E232&lt;&gt;"Indefinido",NOT(ISNUMBER(G232))),"⚠ Falta fecha de término",IF(AND(D232="Paso a indefinido",E232&lt;&gt;"Indefinido"),"⚠ Un paso a indefinido debe tener tipo Indefinido",IF(N(Q232)&gt;=3,"⚠ 3er contrato a plazo fijo: por ley ya es INDEFINIDO (Art. 159 N°4)",IF(AND(E232="Plazo fijo",ISNUMBER(G232),(G232-F232+1)/30.4375&gt;12),"⚠ Plazo fijo mayor a 1 año (máximo legal)",IF(J232&lt;&gt;"Sí","Pendiente de firma","OK")))))))))</f>
        <v/>
      </c>
      <c r="M232" s="62" t="str">
        <f aca="false">IF(B232="","",IFERROR(VALUE(LEFT(UPPER(SUBSTITUTE(SUBSTITUTE(SUBSTITUTE(TRIM(B232),".",""),"-","")," ","")),LEN(UPPER(SUBSTITUTE(SUBSTITUTE(SUBSTITUTE(TRIM(B232),".",""),"-","")," ","")))-1))&amp;RIGHT(UPPER(SUBSTITUTE(SUBSTITUTE(SUBSTITUTE(TRIM(B232),".",""),"-","")," ","")),1),UPPER(SUBSTITUTE(SUBSTITUTE(SUBSTITUTE(TRIM(B232),".",""),"-","")," ",""))))</f>
        <v/>
      </c>
      <c r="N232" s="62" t="str">
        <f aca="false">IF(B232="","",IF(D232="Anexo de modificación","No","Sí"))</f>
        <v/>
      </c>
      <c r="O232" s="62" t="str">
        <f aca="false">IF(AND(N232="Sí",ISNUMBER(F232)),COUNTIFS(C_RUTN,M232,C_DEF,"Sí",C_INI,"&lt;"&amp;F232)+COUNTIFS(M$7:M232,M232,N$7:N232,"Sí",F$7:F232,F232),"")</f>
        <v/>
      </c>
      <c r="P232" s="62" t="str">
        <f aca="false">IF(O232="","",M232&amp;"-P"&amp;O232)</f>
        <v/>
      </c>
      <c r="Q232" s="62" t="str">
        <f aca="false">IF(AND(N232="Sí",E232="Plazo fijo",ISNUMBER(F232)),COUNTIFS(C_RUTN,M232,C_TIPO,"Plazo fijo",C_DEF,"Sí",C_INI,"&lt;"&amp;F232)+COUNTIFS(M$7:M232,M232,E$7:E232,"Plazo fijo",N$7:N232,"Sí",F$7:F232,F232),"")</f>
        <v/>
      </c>
      <c r="R232" s="62" t="str">
        <f aca="false">IF(AND(B232&lt;&gt;"",ISNUMBER(H232),ISNUMBER(F232)),COUNTIFS(C_RUTN,M232,C_SUELDO,"&lt;&gt;",C_INI,"&lt;"&amp;F232)+COUNTIFS(M$7:M232,M232,H$7:H232,"&lt;&gt;",F$7:F232,F232),"")</f>
        <v/>
      </c>
      <c r="S232" s="62" t="str">
        <f aca="false">IF(R232="","",M232&amp;"-S"&amp;R232)</f>
        <v/>
      </c>
    </row>
    <row r="233" customFormat="false" ht="15" hidden="false" customHeight="false" outlineLevel="0" collapsed="false">
      <c r="B233" s="58"/>
      <c r="C233" s="62" t="str">
        <f aca="false">IF(B233="","",IFERROR(INDEX(T_NOMBRE,MATCH(M233,T_RUTN,0)),"⚠ RUT no está en Trabajadores"))</f>
        <v/>
      </c>
      <c r="D233" s="58"/>
      <c r="E233" s="58"/>
      <c r="F233" s="59"/>
      <c r="G233" s="59"/>
      <c r="H233" s="60"/>
      <c r="I233" s="58"/>
      <c r="J233" s="58"/>
      <c r="K233" s="58"/>
      <c r="L233" s="62" t="str">
        <f aca="false">IF(B233="","",IF(LEFT(C233,1)="⚠","⚠ Registre primero al trabajador en la hoja Trabajadores",IF(AND(N233="Sí",OR(E233="",NOT(ISNUMBER(F233)))),"⚠ Falta tipo de contrato o fecha de inicio",IF(NOT(ISNUMBER(F233)),"⚠ Falta fecha de inicio",IF(AND(N233="Sí",E233&lt;&gt;"Indefinido",NOT(ISNUMBER(G233))),"⚠ Falta fecha de término",IF(AND(D233="Paso a indefinido",E233&lt;&gt;"Indefinido"),"⚠ Un paso a indefinido debe tener tipo Indefinido",IF(N(Q233)&gt;=3,"⚠ 3er contrato a plazo fijo: por ley ya es INDEFINIDO (Art. 159 N°4)",IF(AND(E233="Plazo fijo",ISNUMBER(G233),(G233-F233+1)/30.4375&gt;12),"⚠ Plazo fijo mayor a 1 año (máximo legal)",IF(J233&lt;&gt;"Sí","Pendiente de firma","OK")))))))))</f>
        <v/>
      </c>
      <c r="M233" s="62" t="str">
        <f aca="false">IF(B233="","",IFERROR(VALUE(LEFT(UPPER(SUBSTITUTE(SUBSTITUTE(SUBSTITUTE(TRIM(B233),".",""),"-","")," ","")),LEN(UPPER(SUBSTITUTE(SUBSTITUTE(SUBSTITUTE(TRIM(B233),".",""),"-","")," ","")))-1))&amp;RIGHT(UPPER(SUBSTITUTE(SUBSTITUTE(SUBSTITUTE(TRIM(B233),".",""),"-","")," ","")),1),UPPER(SUBSTITUTE(SUBSTITUTE(SUBSTITUTE(TRIM(B233),".",""),"-","")," ",""))))</f>
        <v/>
      </c>
      <c r="N233" s="62" t="str">
        <f aca="false">IF(B233="","",IF(D233="Anexo de modificación","No","Sí"))</f>
        <v/>
      </c>
      <c r="O233" s="62" t="str">
        <f aca="false">IF(AND(N233="Sí",ISNUMBER(F233)),COUNTIFS(C_RUTN,M233,C_DEF,"Sí",C_INI,"&lt;"&amp;F233)+COUNTIFS(M$7:M233,M233,N$7:N233,"Sí",F$7:F233,F233),"")</f>
        <v/>
      </c>
      <c r="P233" s="62" t="str">
        <f aca="false">IF(O233="","",M233&amp;"-P"&amp;O233)</f>
        <v/>
      </c>
      <c r="Q233" s="62" t="str">
        <f aca="false">IF(AND(N233="Sí",E233="Plazo fijo",ISNUMBER(F233)),COUNTIFS(C_RUTN,M233,C_TIPO,"Plazo fijo",C_DEF,"Sí",C_INI,"&lt;"&amp;F233)+COUNTIFS(M$7:M233,M233,E$7:E233,"Plazo fijo",N$7:N233,"Sí",F$7:F233,F233),"")</f>
        <v/>
      </c>
      <c r="R233" s="62" t="str">
        <f aca="false">IF(AND(B233&lt;&gt;"",ISNUMBER(H233),ISNUMBER(F233)),COUNTIFS(C_RUTN,M233,C_SUELDO,"&lt;&gt;",C_INI,"&lt;"&amp;F233)+COUNTIFS(M$7:M233,M233,H$7:H233,"&lt;&gt;",F$7:F233,F233),"")</f>
        <v/>
      </c>
      <c r="S233" s="62" t="str">
        <f aca="false">IF(R233="","",M233&amp;"-S"&amp;R233)</f>
        <v/>
      </c>
    </row>
    <row r="234" customFormat="false" ht="15" hidden="false" customHeight="false" outlineLevel="0" collapsed="false">
      <c r="B234" s="58"/>
      <c r="C234" s="62" t="str">
        <f aca="false">IF(B234="","",IFERROR(INDEX(T_NOMBRE,MATCH(M234,T_RUTN,0)),"⚠ RUT no está en Trabajadores"))</f>
        <v/>
      </c>
      <c r="D234" s="58"/>
      <c r="E234" s="58"/>
      <c r="F234" s="59"/>
      <c r="G234" s="59"/>
      <c r="H234" s="60"/>
      <c r="I234" s="58"/>
      <c r="J234" s="58"/>
      <c r="K234" s="58"/>
      <c r="L234" s="62" t="str">
        <f aca="false">IF(B234="","",IF(LEFT(C234,1)="⚠","⚠ Registre primero al trabajador en la hoja Trabajadores",IF(AND(N234="Sí",OR(E234="",NOT(ISNUMBER(F234)))),"⚠ Falta tipo de contrato o fecha de inicio",IF(NOT(ISNUMBER(F234)),"⚠ Falta fecha de inicio",IF(AND(N234="Sí",E234&lt;&gt;"Indefinido",NOT(ISNUMBER(G234))),"⚠ Falta fecha de término",IF(AND(D234="Paso a indefinido",E234&lt;&gt;"Indefinido"),"⚠ Un paso a indefinido debe tener tipo Indefinido",IF(N(Q234)&gt;=3,"⚠ 3er contrato a plazo fijo: por ley ya es INDEFINIDO (Art. 159 N°4)",IF(AND(E234="Plazo fijo",ISNUMBER(G234),(G234-F234+1)/30.4375&gt;12),"⚠ Plazo fijo mayor a 1 año (máximo legal)",IF(J234&lt;&gt;"Sí","Pendiente de firma","OK")))))))))</f>
        <v/>
      </c>
      <c r="M234" s="62" t="str">
        <f aca="false">IF(B234="","",IFERROR(VALUE(LEFT(UPPER(SUBSTITUTE(SUBSTITUTE(SUBSTITUTE(TRIM(B234),".",""),"-","")," ","")),LEN(UPPER(SUBSTITUTE(SUBSTITUTE(SUBSTITUTE(TRIM(B234),".",""),"-","")," ","")))-1))&amp;RIGHT(UPPER(SUBSTITUTE(SUBSTITUTE(SUBSTITUTE(TRIM(B234),".",""),"-","")," ","")),1),UPPER(SUBSTITUTE(SUBSTITUTE(SUBSTITUTE(TRIM(B234),".",""),"-","")," ",""))))</f>
        <v/>
      </c>
      <c r="N234" s="62" t="str">
        <f aca="false">IF(B234="","",IF(D234="Anexo de modificación","No","Sí"))</f>
        <v/>
      </c>
      <c r="O234" s="62" t="str">
        <f aca="false">IF(AND(N234="Sí",ISNUMBER(F234)),COUNTIFS(C_RUTN,M234,C_DEF,"Sí",C_INI,"&lt;"&amp;F234)+COUNTIFS(M$7:M234,M234,N$7:N234,"Sí",F$7:F234,F234),"")</f>
        <v/>
      </c>
      <c r="P234" s="62" t="str">
        <f aca="false">IF(O234="","",M234&amp;"-P"&amp;O234)</f>
        <v/>
      </c>
      <c r="Q234" s="62" t="str">
        <f aca="false">IF(AND(N234="Sí",E234="Plazo fijo",ISNUMBER(F234)),COUNTIFS(C_RUTN,M234,C_TIPO,"Plazo fijo",C_DEF,"Sí",C_INI,"&lt;"&amp;F234)+COUNTIFS(M$7:M234,M234,E$7:E234,"Plazo fijo",N$7:N234,"Sí",F$7:F234,F234),"")</f>
        <v/>
      </c>
      <c r="R234" s="62" t="str">
        <f aca="false">IF(AND(B234&lt;&gt;"",ISNUMBER(H234),ISNUMBER(F234)),COUNTIFS(C_RUTN,M234,C_SUELDO,"&lt;&gt;",C_INI,"&lt;"&amp;F234)+COUNTIFS(M$7:M234,M234,H$7:H234,"&lt;&gt;",F$7:F234,F234),"")</f>
        <v/>
      </c>
      <c r="S234" s="62" t="str">
        <f aca="false">IF(R234="","",M234&amp;"-S"&amp;R234)</f>
        <v/>
      </c>
    </row>
    <row r="235" customFormat="false" ht="15" hidden="false" customHeight="false" outlineLevel="0" collapsed="false">
      <c r="B235" s="58"/>
      <c r="C235" s="62" t="str">
        <f aca="false">IF(B235="","",IFERROR(INDEX(T_NOMBRE,MATCH(M235,T_RUTN,0)),"⚠ RUT no está en Trabajadores"))</f>
        <v/>
      </c>
      <c r="D235" s="58"/>
      <c r="E235" s="58"/>
      <c r="F235" s="59"/>
      <c r="G235" s="59"/>
      <c r="H235" s="60"/>
      <c r="I235" s="58"/>
      <c r="J235" s="58"/>
      <c r="K235" s="58"/>
      <c r="L235" s="62" t="str">
        <f aca="false">IF(B235="","",IF(LEFT(C235,1)="⚠","⚠ Registre primero al trabajador en la hoja Trabajadores",IF(AND(N235="Sí",OR(E235="",NOT(ISNUMBER(F235)))),"⚠ Falta tipo de contrato o fecha de inicio",IF(NOT(ISNUMBER(F235)),"⚠ Falta fecha de inicio",IF(AND(N235="Sí",E235&lt;&gt;"Indefinido",NOT(ISNUMBER(G235))),"⚠ Falta fecha de término",IF(AND(D235="Paso a indefinido",E235&lt;&gt;"Indefinido"),"⚠ Un paso a indefinido debe tener tipo Indefinido",IF(N(Q235)&gt;=3,"⚠ 3er contrato a plazo fijo: por ley ya es INDEFINIDO (Art. 159 N°4)",IF(AND(E235="Plazo fijo",ISNUMBER(G235),(G235-F235+1)/30.4375&gt;12),"⚠ Plazo fijo mayor a 1 año (máximo legal)",IF(J235&lt;&gt;"Sí","Pendiente de firma","OK")))))))))</f>
        <v/>
      </c>
      <c r="M235" s="62" t="str">
        <f aca="false">IF(B235="","",IFERROR(VALUE(LEFT(UPPER(SUBSTITUTE(SUBSTITUTE(SUBSTITUTE(TRIM(B235),".",""),"-","")," ","")),LEN(UPPER(SUBSTITUTE(SUBSTITUTE(SUBSTITUTE(TRIM(B235),".",""),"-","")," ","")))-1))&amp;RIGHT(UPPER(SUBSTITUTE(SUBSTITUTE(SUBSTITUTE(TRIM(B235),".",""),"-","")," ","")),1),UPPER(SUBSTITUTE(SUBSTITUTE(SUBSTITUTE(TRIM(B235),".",""),"-","")," ",""))))</f>
        <v/>
      </c>
      <c r="N235" s="62" t="str">
        <f aca="false">IF(B235="","",IF(D235="Anexo de modificación","No","Sí"))</f>
        <v/>
      </c>
      <c r="O235" s="62" t="str">
        <f aca="false">IF(AND(N235="Sí",ISNUMBER(F235)),COUNTIFS(C_RUTN,M235,C_DEF,"Sí",C_INI,"&lt;"&amp;F235)+COUNTIFS(M$7:M235,M235,N$7:N235,"Sí",F$7:F235,F235),"")</f>
        <v/>
      </c>
      <c r="P235" s="62" t="str">
        <f aca="false">IF(O235="","",M235&amp;"-P"&amp;O235)</f>
        <v/>
      </c>
      <c r="Q235" s="62" t="str">
        <f aca="false">IF(AND(N235="Sí",E235="Plazo fijo",ISNUMBER(F235)),COUNTIFS(C_RUTN,M235,C_TIPO,"Plazo fijo",C_DEF,"Sí",C_INI,"&lt;"&amp;F235)+COUNTIFS(M$7:M235,M235,E$7:E235,"Plazo fijo",N$7:N235,"Sí",F$7:F235,F235),"")</f>
        <v/>
      </c>
      <c r="R235" s="62" t="str">
        <f aca="false">IF(AND(B235&lt;&gt;"",ISNUMBER(H235),ISNUMBER(F235)),COUNTIFS(C_RUTN,M235,C_SUELDO,"&lt;&gt;",C_INI,"&lt;"&amp;F235)+COUNTIFS(M$7:M235,M235,H$7:H235,"&lt;&gt;",F$7:F235,F235),"")</f>
        <v/>
      </c>
      <c r="S235" s="62" t="str">
        <f aca="false">IF(R235="","",M235&amp;"-S"&amp;R235)</f>
        <v/>
      </c>
    </row>
    <row r="236" customFormat="false" ht="15" hidden="false" customHeight="false" outlineLevel="0" collapsed="false">
      <c r="B236" s="58"/>
      <c r="C236" s="62" t="str">
        <f aca="false">IF(B236="","",IFERROR(INDEX(T_NOMBRE,MATCH(M236,T_RUTN,0)),"⚠ RUT no está en Trabajadores"))</f>
        <v/>
      </c>
      <c r="D236" s="58"/>
      <c r="E236" s="58"/>
      <c r="F236" s="59"/>
      <c r="G236" s="59"/>
      <c r="H236" s="60"/>
      <c r="I236" s="58"/>
      <c r="J236" s="58"/>
      <c r="K236" s="58"/>
      <c r="L236" s="62" t="str">
        <f aca="false">IF(B236="","",IF(LEFT(C236,1)="⚠","⚠ Registre primero al trabajador en la hoja Trabajadores",IF(AND(N236="Sí",OR(E236="",NOT(ISNUMBER(F236)))),"⚠ Falta tipo de contrato o fecha de inicio",IF(NOT(ISNUMBER(F236)),"⚠ Falta fecha de inicio",IF(AND(N236="Sí",E236&lt;&gt;"Indefinido",NOT(ISNUMBER(G236))),"⚠ Falta fecha de término",IF(AND(D236="Paso a indefinido",E236&lt;&gt;"Indefinido"),"⚠ Un paso a indefinido debe tener tipo Indefinido",IF(N(Q236)&gt;=3,"⚠ 3er contrato a plazo fijo: por ley ya es INDEFINIDO (Art. 159 N°4)",IF(AND(E236="Plazo fijo",ISNUMBER(G236),(G236-F236+1)/30.4375&gt;12),"⚠ Plazo fijo mayor a 1 año (máximo legal)",IF(J236&lt;&gt;"Sí","Pendiente de firma","OK")))))))))</f>
        <v/>
      </c>
      <c r="M236" s="62" t="str">
        <f aca="false">IF(B236="","",IFERROR(VALUE(LEFT(UPPER(SUBSTITUTE(SUBSTITUTE(SUBSTITUTE(TRIM(B236),".",""),"-","")," ","")),LEN(UPPER(SUBSTITUTE(SUBSTITUTE(SUBSTITUTE(TRIM(B236),".",""),"-","")," ","")))-1))&amp;RIGHT(UPPER(SUBSTITUTE(SUBSTITUTE(SUBSTITUTE(TRIM(B236),".",""),"-","")," ","")),1),UPPER(SUBSTITUTE(SUBSTITUTE(SUBSTITUTE(TRIM(B236),".",""),"-","")," ",""))))</f>
        <v/>
      </c>
      <c r="N236" s="62" t="str">
        <f aca="false">IF(B236="","",IF(D236="Anexo de modificación","No","Sí"))</f>
        <v/>
      </c>
      <c r="O236" s="62" t="str">
        <f aca="false">IF(AND(N236="Sí",ISNUMBER(F236)),COUNTIFS(C_RUTN,M236,C_DEF,"Sí",C_INI,"&lt;"&amp;F236)+COUNTIFS(M$7:M236,M236,N$7:N236,"Sí",F$7:F236,F236),"")</f>
        <v/>
      </c>
      <c r="P236" s="62" t="str">
        <f aca="false">IF(O236="","",M236&amp;"-P"&amp;O236)</f>
        <v/>
      </c>
      <c r="Q236" s="62" t="str">
        <f aca="false">IF(AND(N236="Sí",E236="Plazo fijo",ISNUMBER(F236)),COUNTIFS(C_RUTN,M236,C_TIPO,"Plazo fijo",C_DEF,"Sí",C_INI,"&lt;"&amp;F236)+COUNTIFS(M$7:M236,M236,E$7:E236,"Plazo fijo",N$7:N236,"Sí",F$7:F236,F236),"")</f>
        <v/>
      </c>
      <c r="R236" s="62" t="str">
        <f aca="false">IF(AND(B236&lt;&gt;"",ISNUMBER(H236),ISNUMBER(F236)),COUNTIFS(C_RUTN,M236,C_SUELDO,"&lt;&gt;",C_INI,"&lt;"&amp;F236)+COUNTIFS(M$7:M236,M236,H$7:H236,"&lt;&gt;",F$7:F236,F236),"")</f>
        <v/>
      </c>
      <c r="S236" s="62" t="str">
        <f aca="false">IF(R236="","",M236&amp;"-S"&amp;R236)</f>
        <v/>
      </c>
    </row>
    <row r="237" customFormat="false" ht="15" hidden="false" customHeight="false" outlineLevel="0" collapsed="false">
      <c r="B237" s="58"/>
      <c r="C237" s="62" t="str">
        <f aca="false">IF(B237="","",IFERROR(INDEX(T_NOMBRE,MATCH(M237,T_RUTN,0)),"⚠ RUT no está en Trabajadores"))</f>
        <v/>
      </c>
      <c r="D237" s="58"/>
      <c r="E237" s="58"/>
      <c r="F237" s="59"/>
      <c r="G237" s="59"/>
      <c r="H237" s="60"/>
      <c r="I237" s="58"/>
      <c r="J237" s="58"/>
      <c r="K237" s="58"/>
      <c r="L237" s="62" t="str">
        <f aca="false">IF(B237="","",IF(LEFT(C237,1)="⚠","⚠ Registre primero al trabajador en la hoja Trabajadores",IF(AND(N237="Sí",OR(E237="",NOT(ISNUMBER(F237)))),"⚠ Falta tipo de contrato o fecha de inicio",IF(NOT(ISNUMBER(F237)),"⚠ Falta fecha de inicio",IF(AND(N237="Sí",E237&lt;&gt;"Indefinido",NOT(ISNUMBER(G237))),"⚠ Falta fecha de término",IF(AND(D237="Paso a indefinido",E237&lt;&gt;"Indefinido"),"⚠ Un paso a indefinido debe tener tipo Indefinido",IF(N(Q237)&gt;=3,"⚠ 3er contrato a plazo fijo: por ley ya es INDEFINIDO (Art. 159 N°4)",IF(AND(E237="Plazo fijo",ISNUMBER(G237),(G237-F237+1)/30.4375&gt;12),"⚠ Plazo fijo mayor a 1 año (máximo legal)",IF(J237&lt;&gt;"Sí","Pendiente de firma","OK")))))))))</f>
        <v/>
      </c>
      <c r="M237" s="62" t="str">
        <f aca="false">IF(B237="","",IFERROR(VALUE(LEFT(UPPER(SUBSTITUTE(SUBSTITUTE(SUBSTITUTE(TRIM(B237),".",""),"-","")," ","")),LEN(UPPER(SUBSTITUTE(SUBSTITUTE(SUBSTITUTE(TRIM(B237),".",""),"-","")," ","")))-1))&amp;RIGHT(UPPER(SUBSTITUTE(SUBSTITUTE(SUBSTITUTE(TRIM(B237),".",""),"-","")," ","")),1),UPPER(SUBSTITUTE(SUBSTITUTE(SUBSTITUTE(TRIM(B237),".",""),"-","")," ",""))))</f>
        <v/>
      </c>
      <c r="N237" s="62" t="str">
        <f aca="false">IF(B237="","",IF(D237="Anexo de modificación","No","Sí"))</f>
        <v/>
      </c>
      <c r="O237" s="62" t="str">
        <f aca="false">IF(AND(N237="Sí",ISNUMBER(F237)),COUNTIFS(C_RUTN,M237,C_DEF,"Sí",C_INI,"&lt;"&amp;F237)+COUNTIFS(M$7:M237,M237,N$7:N237,"Sí",F$7:F237,F237),"")</f>
        <v/>
      </c>
      <c r="P237" s="62" t="str">
        <f aca="false">IF(O237="","",M237&amp;"-P"&amp;O237)</f>
        <v/>
      </c>
      <c r="Q237" s="62" t="str">
        <f aca="false">IF(AND(N237="Sí",E237="Plazo fijo",ISNUMBER(F237)),COUNTIFS(C_RUTN,M237,C_TIPO,"Plazo fijo",C_DEF,"Sí",C_INI,"&lt;"&amp;F237)+COUNTIFS(M$7:M237,M237,E$7:E237,"Plazo fijo",N$7:N237,"Sí",F$7:F237,F237),"")</f>
        <v/>
      </c>
      <c r="R237" s="62" t="str">
        <f aca="false">IF(AND(B237&lt;&gt;"",ISNUMBER(H237),ISNUMBER(F237)),COUNTIFS(C_RUTN,M237,C_SUELDO,"&lt;&gt;",C_INI,"&lt;"&amp;F237)+COUNTIFS(M$7:M237,M237,H$7:H237,"&lt;&gt;",F$7:F237,F237),"")</f>
        <v/>
      </c>
      <c r="S237" s="62" t="str">
        <f aca="false">IF(R237="","",M237&amp;"-S"&amp;R237)</f>
        <v/>
      </c>
    </row>
    <row r="238" customFormat="false" ht="15" hidden="false" customHeight="false" outlineLevel="0" collapsed="false">
      <c r="B238" s="58"/>
      <c r="C238" s="62" t="str">
        <f aca="false">IF(B238="","",IFERROR(INDEX(T_NOMBRE,MATCH(M238,T_RUTN,0)),"⚠ RUT no está en Trabajadores"))</f>
        <v/>
      </c>
      <c r="D238" s="58"/>
      <c r="E238" s="58"/>
      <c r="F238" s="59"/>
      <c r="G238" s="59"/>
      <c r="H238" s="60"/>
      <c r="I238" s="58"/>
      <c r="J238" s="58"/>
      <c r="K238" s="58"/>
      <c r="L238" s="62" t="str">
        <f aca="false">IF(B238="","",IF(LEFT(C238,1)="⚠","⚠ Registre primero al trabajador en la hoja Trabajadores",IF(AND(N238="Sí",OR(E238="",NOT(ISNUMBER(F238)))),"⚠ Falta tipo de contrato o fecha de inicio",IF(NOT(ISNUMBER(F238)),"⚠ Falta fecha de inicio",IF(AND(N238="Sí",E238&lt;&gt;"Indefinido",NOT(ISNUMBER(G238))),"⚠ Falta fecha de término",IF(AND(D238="Paso a indefinido",E238&lt;&gt;"Indefinido"),"⚠ Un paso a indefinido debe tener tipo Indefinido",IF(N(Q238)&gt;=3,"⚠ 3er contrato a plazo fijo: por ley ya es INDEFINIDO (Art. 159 N°4)",IF(AND(E238="Plazo fijo",ISNUMBER(G238),(G238-F238+1)/30.4375&gt;12),"⚠ Plazo fijo mayor a 1 año (máximo legal)",IF(J238&lt;&gt;"Sí","Pendiente de firma","OK")))))))))</f>
        <v/>
      </c>
      <c r="M238" s="62" t="str">
        <f aca="false">IF(B238="","",IFERROR(VALUE(LEFT(UPPER(SUBSTITUTE(SUBSTITUTE(SUBSTITUTE(TRIM(B238),".",""),"-","")," ","")),LEN(UPPER(SUBSTITUTE(SUBSTITUTE(SUBSTITUTE(TRIM(B238),".",""),"-","")," ","")))-1))&amp;RIGHT(UPPER(SUBSTITUTE(SUBSTITUTE(SUBSTITUTE(TRIM(B238),".",""),"-","")," ","")),1),UPPER(SUBSTITUTE(SUBSTITUTE(SUBSTITUTE(TRIM(B238),".",""),"-","")," ",""))))</f>
        <v/>
      </c>
      <c r="N238" s="62" t="str">
        <f aca="false">IF(B238="","",IF(D238="Anexo de modificación","No","Sí"))</f>
        <v/>
      </c>
      <c r="O238" s="62" t="str">
        <f aca="false">IF(AND(N238="Sí",ISNUMBER(F238)),COUNTIFS(C_RUTN,M238,C_DEF,"Sí",C_INI,"&lt;"&amp;F238)+COUNTIFS(M$7:M238,M238,N$7:N238,"Sí",F$7:F238,F238),"")</f>
        <v/>
      </c>
      <c r="P238" s="62" t="str">
        <f aca="false">IF(O238="","",M238&amp;"-P"&amp;O238)</f>
        <v/>
      </c>
      <c r="Q238" s="62" t="str">
        <f aca="false">IF(AND(N238="Sí",E238="Plazo fijo",ISNUMBER(F238)),COUNTIFS(C_RUTN,M238,C_TIPO,"Plazo fijo",C_DEF,"Sí",C_INI,"&lt;"&amp;F238)+COUNTIFS(M$7:M238,M238,E$7:E238,"Plazo fijo",N$7:N238,"Sí",F$7:F238,F238),"")</f>
        <v/>
      </c>
      <c r="R238" s="62" t="str">
        <f aca="false">IF(AND(B238&lt;&gt;"",ISNUMBER(H238),ISNUMBER(F238)),COUNTIFS(C_RUTN,M238,C_SUELDO,"&lt;&gt;",C_INI,"&lt;"&amp;F238)+COUNTIFS(M$7:M238,M238,H$7:H238,"&lt;&gt;",F$7:F238,F238),"")</f>
        <v/>
      </c>
      <c r="S238" s="62" t="str">
        <f aca="false">IF(R238="","",M238&amp;"-S"&amp;R238)</f>
        <v/>
      </c>
    </row>
    <row r="239" customFormat="false" ht="15" hidden="false" customHeight="false" outlineLevel="0" collapsed="false">
      <c r="B239" s="58"/>
      <c r="C239" s="62" t="str">
        <f aca="false">IF(B239="","",IFERROR(INDEX(T_NOMBRE,MATCH(M239,T_RUTN,0)),"⚠ RUT no está en Trabajadores"))</f>
        <v/>
      </c>
      <c r="D239" s="58"/>
      <c r="E239" s="58"/>
      <c r="F239" s="59"/>
      <c r="G239" s="59"/>
      <c r="H239" s="60"/>
      <c r="I239" s="58"/>
      <c r="J239" s="58"/>
      <c r="K239" s="58"/>
      <c r="L239" s="62" t="str">
        <f aca="false">IF(B239="","",IF(LEFT(C239,1)="⚠","⚠ Registre primero al trabajador en la hoja Trabajadores",IF(AND(N239="Sí",OR(E239="",NOT(ISNUMBER(F239)))),"⚠ Falta tipo de contrato o fecha de inicio",IF(NOT(ISNUMBER(F239)),"⚠ Falta fecha de inicio",IF(AND(N239="Sí",E239&lt;&gt;"Indefinido",NOT(ISNUMBER(G239))),"⚠ Falta fecha de término",IF(AND(D239="Paso a indefinido",E239&lt;&gt;"Indefinido"),"⚠ Un paso a indefinido debe tener tipo Indefinido",IF(N(Q239)&gt;=3,"⚠ 3er contrato a plazo fijo: por ley ya es INDEFINIDO (Art. 159 N°4)",IF(AND(E239="Plazo fijo",ISNUMBER(G239),(G239-F239+1)/30.4375&gt;12),"⚠ Plazo fijo mayor a 1 año (máximo legal)",IF(J239&lt;&gt;"Sí","Pendiente de firma","OK")))))))))</f>
        <v/>
      </c>
      <c r="M239" s="62" t="str">
        <f aca="false">IF(B239="","",IFERROR(VALUE(LEFT(UPPER(SUBSTITUTE(SUBSTITUTE(SUBSTITUTE(TRIM(B239),".",""),"-","")," ","")),LEN(UPPER(SUBSTITUTE(SUBSTITUTE(SUBSTITUTE(TRIM(B239),".",""),"-","")," ","")))-1))&amp;RIGHT(UPPER(SUBSTITUTE(SUBSTITUTE(SUBSTITUTE(TRIM(B239),".",""),"-","")," ","")),1),UPPER(SUBSTITUTE(SUBSTITUTE(SUBSTITUTE(TRIM(B239),".",""),"-","")," ",""))))</f>
        <v/>
      </c>
      <c r="N239" s="62" t="str">
        <f aca="false">IF(B239="","",IF(D239="Anexo de modificación","No","Sí"))</f>
        <v/>
      </c>
      <c r="O239" s="62" t="str">
        <f aca="false">IF(AND(N239="Sí",ISNUMBER(F239)),COUNTIFS(C_RUTN,M239,C_DEF,"Sí",C_INI,"&lt;"&amp;F239)+COUNTIFS(M$7:M239,M239,N$7:N239,"Sí",F$7:F239,F239),"")</f>
        <v/>
      </c>
      <c r="P239" s="62" t="str">
        <f aca="false">IF(O239="","",M239&amp;"-P"&amp;O239)</f>
        <v/>
      </c>
      <c r="Q239" s="62" t="str">
        <f aca="false">IF(AND(N239="Sí",E239="Plazo fijo",ISNUMBER(F239)),COUNTIFS(C_RUTN,M239,C_TIPO,"Plazo fijo",C_DEF,"Sí",C_INI,"&lt;"&amp;F239)+COUNTIFS(M$7:M239,M239,E$7:E239,"Plazo fijo",N$7:N239,"Sí",F$7:F239,F239),"")</f>
        <v/>
      </c>
      <c r="R239" s="62" t="str">
        <f aca="false">IF(AND(B239&lt;&gt;"",ISNUMBER(H239),ISNUMBER(F239)),COUNTIFS(C_RUTN,M239,C_SUELDO,"&lt;&gt;",C_INI,"&lt;"&amp;F239)+COUNTIFS(M$7:M239,M239,H$7:H239,"&lt;&gt;",F$7:F239,F239),"")</f>
        <v/>
      </c>
      <c r="S239" s="62" t="str">
        <f aca="false">IF(R239="","",M239&amp;"-S"&amp;R239)</f>
        <v/>
      </c>
    </row>
    <row r="240" customFormat="false" ht="15" hidden="false" customHeight="false" outlineLevel="0" collapsed="false">
      <c r="B240" s="58"/>
      <c r="C240" s="62" t="str">
        <f aca="false">IF(B240="","",IFERROR(INDEX(T_NOMBRE,MATCH(M240,T_RUTN,0)),"⚠ RUT no está en Trabajadores"))</f>
        <v/>
      </c>
      <c r="D240" s="58"/>
      <c r="E240" s="58"/>
      <c r="F240" s="59"/>
      <c r="G240" s="59"/>
      <c r="H240" s="60"/>
      <c r="I240" s="58"/>
      <c r="J240" s="58"/>
      <c r="K240" s="58"/>
      <c r="L240" s="62" t="str">
        <f aca="false">IF(B240="","",IF(LEFT(C240,1)="⚠","⚠ Registre primero al trabajador en la hoja Trabajadores",IF(AND(N240="Sí",OR(E240="",NOT(ISNUMBER(F240)))),"⚠ Falta tipo de contrato o fecha de inicio",IF(NOT(ISNUMBER(F240)),"⚠ Falta fecha de inicio",IF(AND(N240="Sí",E240&lt;&gt;"Indefinido",NOT(ISNUMBER(G240))),"⚠ Falta fecha de término",IF(AND(D240="Paso a indefinido",E240&lt;&gt;"Indefinido"),"⚠ Un paso a indefinido debe tener tipo Indefinido",IF(N(Q240)&gt;=3,"⚠ 3er contrato a plazo fijo: por ley ya es INDEFINIDO (Art. 159 N°4)",IF(AND(E240="Plazo fijo",ISNUMBER(G240),(G240-F240+1)/30.4375&gt;12),"⚠ Plazo fijo mayor a 1 año (máximo legal)",IF(J240&lt;&gt;"Sí","Pendiente de firma","OK")))))))))</f>
        <v/>
      </c>
      <c r="M240" s="62" t="str">
        <f aca="false">IF(B240="","",IFERROR(VALUE(LEFT(UPPER(SUBSTITUTE(SUBSTITUTE(SUBSTITUTE(TRIM(B240),".",""),"-","")," ","")),LEN(UPPER(SUBSTITUTE(SUBSTITUTE(SUBSTITUTE(TRIM(B240),".",""),"-","")," ","")))-1))&amp;RIGHT(UPPER(SUBSTITUTE(SUBSTITUTE(SUBSTITUTE(TRIM(B240),".",""),"-","")," ","")),1),UPPER(SUBSTITUTE(SUBSTITUTE(SUBSTITUTE(TRIM(B240),".",""),"-","")," ",""))))</f>
        <v/>
      </c>
      <c r="N240" s="62" t="str">
        <f aca="false">IF(B240="","",IF(D240="Anexo de modificación","No","Sí"))</f>
        <v/>
      </c>
      <c r="O240" s="62" t="str">
        <f aca="false">IF(AND(N240="Sí",ISNUMBER(F240)),COUNTIFS(C_RUTN,M240,C_DEF,"Sí",C_INI,"&lt;"&amp;F240)+COUNTIFS(M$7:M240,M240,N$7:N240,"Sí",F$7:F240,F240),"")</f>
        <v/>
      </c>
      <c r="P240" s="62" t="str">
        <f aca="false">IF(O240="","",M240&amp;"-P"&amp;O240)</f>
        <v/>
      </c>
      <c r="Q240" s="62" t="str">
        <f aca="false">IF(AND(N240="Sí",E240="Plazo fijo",ISNUMBER(F240)),COUNTIFS(C_RUTN,M240,C_TIPO,"Plazo fijo",C_DEF,"Sí",C_INI,"&lt;"&amp;F240)+COUNTIFS(M$7:M240,M240,E$7:E240,"Plazo fijo",N$7:N240,"Sí",F$7:F240,F240),"")</f>
        <v/>
      </c>
      <c r="R240" s="62" t="str">
        <f aca="false">IF(AND(B240&lt;&gt;"",ISNUMBER(H240),ISNUMBER(F240)),COUNTIFS(C_RUTN,M240,C_SUELDO,"&lt;&gt;",C_INI,"&lt;"&amp;F240)+COUNTIFS(M$7:M240,M240,H$7:H240,"&lt;&gt;",F$7:F240,F240),"")</f>
        <v/>
      </c>
      <c r="S240" s="62" t="str">
        <f aca="false">IF(R240="","",M240&amp;"-S"&amp;R240)</f>
        <v/>
      </c>
    </row>
    <row r="241" customFormat="false" ht="15" hidden="false" customHeight="false" outlineLevel="0" collapsed="false">
      <c r="B241" s="58"/>
      <c r="C241" s="62" t="str">
        <f aca="false">IF(B241="","",IFERROR(INDEX(T_NOMBRE,MATCH(M241,T_RUTN,0)),"⚠ RUT no está en Trabajadores"))</f>
        <v/>
      </c>
      <c r="D241" s="58"/>
      <c r="E241" s="58"/>
      <c r="F241" s="59"/>
      <c r="G241" s="59"/>
      <c r="H241" s="60"/>
      <c r="I241" s="58"/>
      <c r="J241" s="58"/>
      <c r="K241" s="58"/>
      <c r="L241" s="62" t="str">
        <f aca="false">IF(B241="","",IF(LEFT(C241,1)="⚠","⚠ Registre primero al trabajador en la hoja Trabajadores",IF(AND(N241="Sí",OR(E241="",NOT(ISNUMBER(F241)))),"⚠ Falta tipo de contrato o fecha de inicio",IF(NOT(ISNUMBER(F241)),"⚠ Falta fecha de inicio",IF(AND(N241="Sí",E241&lt;&gt;"Indefinido",NOT(ISNUMBER(G241))),"⚠ Falta fecha de término",IF(AND(D241="Paso a indefinido",E241&lt;&gt;"Indefinido"),"⚠ Un paso a indefinido debe tener tipo Indefinido",IF(N(Q241)&gt;=3,"⚠ 3er contrato a plazo fijo: por ley ya es INDEFINIDO (Art. 159 N°4)",IF(AND(E241="Plazo fijo",ISNUMBER(G241),(G241-F241+1)/30.4375&gt;12),"⚠ Plazo fijo mayor a 1 año (máximo legal)",IF(J241&lt;&gt;"Sí","Pendiente de firma","OK")))))))))</f>
        <v/>
      </c>
      <c r="M241" s="62" t="str">
        <f aca="false">IF(B241="","",IFERROR(VALUE(LEFT(UPPER(SUBSTITUTE(SUBSTITUTE(SUBSTITUTE(TRIM(B241),".",""),"-","")," ","")),LEN(UPPER(SUBSTITUTE(SUBSTITUTE(SUBSTITUTE(TRIM(B241),".",""),"-","")," ","")))-1))&amp;RIGHT(UPPER(SUBSTITUTE(SUBSTITUTE(SUBSTITUTE(TRIM(B241),".",""),"-","")," ","")),1),UPPER(SUBSTITUTE(SUBSTITUTE(SUBSTITUTE(TRIM(B241),".",""),"-","")," ",""))))</f>
        <v/>
      </c>
      <c r="N241" s="62" t="str">
        <f aca="false">IF(B241="","",IF(D241="Anexo de modificación","No","Sí"))</f>
        <v/>
      </c>
      <c r="O241" s="62" t="str">
        <f aca="false">IF(AND(N241="Sí",ISNUMBER(F241)),COUNTIFS(C_RUTN,M241,C_DEF,"Sí",C_INI,"&lt;"&amp;F241)+COUNTIFS(M$7:M241,M241,N$7:N241,"Sí",F$7:F241,F241),"")</f>
        <v/>
      </c>
      <c r="P241" s="62" t="str">
        <f aca="false">IF(O241="","",M241&amp;"-P"&amp;O241)</f>
        <v/>
      </c>
      <c r="Q241" s="62" t="str">
        <f aca="false">IF(AND(N241="Sí",E241="Plazo fijo",ISNUMBER(F241)),COUNTIFS(C_RUTN,M241,C_TIPO,"Plazo fijo",C_DEF,"Sí",C_INI,"&lt;"&amp;F241)+COUNTIFS(M$7:M241,M241,E$7:E241,"Plazo fijo",N$7:N241,"Sí",F$7:F241,F241),"")</f>
        <v/>
      </c>
      <c r="R241" s="62" t="str">
        <f aca="false">IF(AND(B241&lt;&gt;"",ISNUMBER(H241),ISNUMBER(F241)),COUNTIFS(C_RUTN,M241,C_SUELDO,"&lt;&gt;",C_INI,"&lt;"&amp;F241)+COUNTIFS(M$7:M241,M241,H$7:H241,"&lt;&gt;",F$7:F241,F241),"")</f>
        <v/>
      </c>
      <c r="S241" s="62" t="str">
        <f aca="false">IF(R241="","",M241&amp;"-S"&amp;R241)</f>
        <v/>
      </c>
    </row>
    <row r="242" customFormat="false" ht="15" hidden="false" customHeight="false" outlineLevel="0" collapsed="false">
      <c r="B242" s="58"/>
      <c r="C242" s="62" t="str">
        <f aca="false">IF(B242="","",IFERROR(INDEX(T_NOMBRE,MATCH(M242,T_RUTN,0)),"⚠ RUT no está en Trabajadores"))</f>
        <v/>
      </c>
      <c r="D242" s="58"/>
      <c r="E242" s="58"/>
      <c r="F242" s="59"/>
      <c r="G242" s="59"/>
      <c r="H242" s="60"/>
      <c r="I242" s="58"/>
      <c r="J242" s="58"/>
      <c r="K242" s="58"/>
      <c r="L242" s="62" t="str">
        <f aca="false">IF(B242="","",IF(LEFT(C242,1)="⚠","⚠ Registre primero al trabajador en la hoja Trabajadores",IF(AND(N242="Sí",OR(E242="",NOT(ISNUMBER(F242)))),"⚠ Falta tipo de contrato o fecha de inicio",IF(NOT(ISNUMBER(F242)),"⚠ Falta fecha de inicio",IF(AND(N242="Sí",E242&lt;&gt;"Indefinido",NOT(ISNUMBER(G242))),"⚠ Falta fecha de término",IF(AND(D242="Paso a indefinido",E242&lt;&gt;"Indefinido"),"⚠ Un paso a indefinido debe tener tipo Indefinido",IF(N(Q242)&gt;=3,"⚠ 3er contrato a plazo fijo: por ley ya es INDEFINIDO (Art. 159 N°4)",IF(AND(E242="Plazo fijo",ISNUMBER(G242),(G242-F242+1)/30.4375&gt;12),"⚠ Plazo fijo mayor a 1 año (máximo legal)",IF(J242&lt;&gt;"Sí","Pendiente de firma","OK")))))))))</f>
        <v/>
      </c>
      <c r="M242" s="62" t="str">
        <f aca="false">IF(B242="","",IFERROR(VALUE(LEFT(UPPER(SUBSTITUTE(SUBSTITUTE(SUBSTITUTE(TRIM(B242),".",""),"-","")," ","")),LEN(UPPER(SUBSTITUTE(SUBSTITUTE(SUBSTITUTE(TRIM(B242),".",""),"-","")," ","")))-1))&amp;RIGHT(UPPER(SUBSTITUTE(SUBSTITUTE(SUBSTITUTE(TRIM(B242),".",""),"-","")," ","")),1),UPPER(SUBSTITUTE(SUBSTITUTE(SUBSTITUTE(TRIM(B242),".",""),"-","")," ",""))))</f>
        <v/>
      </c>
      <c r="N242" s="62" t="str">
        <f aca="false">IF(B242="","",IF(D242="Anexo de modificación","No","Sí"))</f>
        <v/>
      </c>
      <c r="O242" s="62" t="str">
        <f aca="false">IF(AND(N242="Sí",ISNUMBER(F242)),COUNTIFS(C_RUTN,M242,C_DEF,"Sí",C_INI,"&lt;"&amp;F242)+COUNTIFS(M$7:M242,M242,N$7:N242,"Sí",F$7:F242,F242),"")</f>
        <v/>
      </c>
      <c r="P242" s="62" t="str">
        <f aca="false">IF(O242="","",M242&amp;"-P"&amp;O242)</f>
        <v/>
      </c>
      <c r="Q242" s="62" t="str">
        <f aca="false">IF(AND(N242="Sí",E242="Plazo fijo",ISNUMBER(F242)),COUNTIFS(C_RUTN,M242,C_TIPO,"Plazo fijo",C_DEF,"Sí",C_INI,"&lt;"&amp;F242)+COUNTIFS(M$7:M242,M242,E$7:E242,"Plazo fijo",N$7:N242,"Sí",F$7:F242,F242),"")</f>
        <v/>
      </c>
      <c r="R242" s="62" t="str">
        <f aca="false">IF(AND(B242&lt;&gt;"",ISNUMBER(H242),ISNUMBER(F242)),COUNTIFS(C_RUTN,M242,C_SUELDO,"&lt;&gt;",C_INI,"&lt;"&amp;F242)+COUNTIFS(M$7:M242,M242,H$7:H242,"&lt;&gt;",F$7:F242,F242),"")</f>
        <v/>
      </c>
      <c r="S242" s="62" t="str">
        <f aca="false">IF(R242="","",M242&amp;"-S"&amp;R242)</f>
        <v/>
      </c>
    </row>
    <row r="243" customFormat="false" ht="15" hidden="false" customHeight="false" outlineLevel="0" collapsed="false">
      <c r="B243" s="58"/>
      <c r="C243" s="62" t="str">
        <f aca="false">IF(B243="","",IFERROR(INDEX(T_NOMBRE,MATCH(M243,T_RUTN,0)),"⚠ RUT no está en Trabajadores"))</f>
        <v/>
      </c>
      <c r="D243" s="58"/>
      <c r="E243" s="58"/>
      <c r="F243" s="59"/>
      <c r="G243" s="59"/>
      <c r="H243" s="60"/>
      <c r="I243" s="58"/>
      <c r="J243" s="58"/>
      <c r="K243" s="58"/>
      <c r="L243" s="62" t="str">
        <f aca="false">IF(B243="","",IF(LEFT(C243,1)="⚠","⚠ Registre primero al trabajador en la hoja Trabajadores",IF(AND(N243="Sí",OR(E243="",NOT(ISNUMBER(F243)))),"⚠ Falta tipo de contrato o fecha de inicio",IF(NOT(ISNUMBER(F243)),"⚠ Falta fecha de inicio",IF(AND(N243="Sí",E243&lt;&gt;"Indefinido",NOT(ISNUMBER(G243))),"⚠ Falta fecha de término",IF(AND(D243="Paso a indefinido",E243&lt;&gt;"Indefinido"),"⚠ Un paso a indefinido debe tener tipo Indefinido",IF(N(Q243)&gt;=3,"⚠ 3er contrato a plazo fijo: por ley ya es INDEFINIDO (Art. 159 N°4)",IF(AND(E243="Plazo fijo",ISNUMBER(G243),(G243-F243+1)/30.4375&gt;12),"⚠ Plazo fijo mayor a 1 año (máximo legal)",IF(J243&lt;&gt;"Sí","Pendiente de firma","OK")))))))))</f>
        <v/>
      </c>
      <c r="M243" s="62" t="str">
        <f aca="false">IF(B243="","",IFERROR(VALUE(LEFT(UPPER(SUBSTITUTE(SUBSTITUTE(SUBSTITUTE(TRIM(B243),".",""),"-","")," ","")),LEN(UPPER(SUBSTITUTE(SUBSTITUTE(SUBSTITUTE(TRIM(B243),".",""),"-","")," ","")))-1))&amp;RIGHT(UPPER(SUBSTITUTE(SUBSTITUTE(SUBSTITUTE(TRIM(B243),".",""),"-","")," ","")),1),UPPER(SUBSTITUTE(SUBSTITUTE(SUBSTITUTE(TRIM(B243),".",""),"-","")," ",""))))</f>
        <v/>
      </c>
      <c r="N243" s="62" t="str">
        <f aca="false">IF(B243="","",IF(D243="Anexo de modificación","No","Sí"))</f>
        <v/>
      </c>
      <c r="O243" s="62" t="str">
        <f aca="false">IF(AND(N243="Sí",ISNUMBER(F243)),COUNTIFS(C_RUTN,M243,C_DEF,"Sí",C_INI,"&lt;"&amp;F243)+COUNTIFS(M$7:M243,M243,N$7:N243,"Sí",F$7:F243,F243),"")</f>
        <v/>
      </c>
      <c r="P243" s="62" t="str">
        <f aca="false">IF(O243="","",M243&amp;"-P"&amp;O243)</f>
        <v/>
      </c>
      <c r="Q243" s="62" t="str">
        <f aca="false">IF(AND(N243="Sí",E243="Plazo fijo",ISNUMBER(F243)),COUNTIFS(C_RUTN,M243,C_TIPO,"Plazo fijo",C_DEF,"Sí",C_INI,"&lt;"&amp;F243)+COUNTIFS(M$7:M243,M243,E$7:E243,"Plazo fijo",N$7:N243,"Sí",F$7:F243,F243),"")</f>
        <v/>
      </c>
      <c r="R243" s="62" t="str">
        <f aca="false">IF(AND(B243&lt;&gt;"",ISNUMBER(H243),ISNUMBER(F243)),COUNTIFS(C_RUTN,M243,C_SUELDO,"&lt;&gt;",C_INI,"&lt;"&amp;F243)+COUNTIFS(M$7:M243,M243,H$7:H243,"&lt;&gt;",F$7:F243,F243),"")</f>
        <v/>
      </c>
      <c r="S243" s="62" t="str">
        <f aca="false">IF(R243="","",M243&amp;"-S"&amp;R243)</f>
        <v/>
      </c>
    </row>
    <row r="244" customFormat="false" ht="15" hidden="false" customHeight="false" outlineLevel="0" collapsed="false">
      <c r="B244" s="58"/>
      <c r="C244" s="62" t="str">
        <f aca="false">IF(B244="","",IFERROR(INDEX(T_NOMBRE,MATCH(M244,T_RUTN,0)),"⚠ RUT no está en Trabajadores"))</f>
        <v/>
      </c>
      <c r="D244" s="58"/>
      <c r="E244" s="58"/>
      <c r="F244" s="59"/>
      <c r="G244" s="59"/>
      <c r="H244" s="60"/>
      <c r="I244" s="58"/>
      <c r="J244" s="58"/>
      <c r="K244" s="58"/>
      <c r="L244" s="62" t="str">
        <f aca="false">IF(B244="","",IF(LEFT(C244,1)="⚠","⚠ Registre primero al trabajador en la hoja Trabajadores",IF(AND(N244="Sí",OR(E244="",NOT(ISNUMBER(F244)))),"⚠ Falta tipo de contrato o fecha de inicio",IF(NOT(ISNUMBER(F244)),"⚠ Falta fecha de inicio",IF(AND(N244="Sí",E244&lt;&gt;"Indefinido",NOT(ISNUMBER(G244))),"⚠ Falta fecha de término",IF(AND(D244="Paso a indefinido",E244&lt;&gt;"Indefinido"),"⚠ Un paso a indefinido debe tener tipo Indefinido",IF(N(Q244)&gt;=3,"⚠ 3er contrato a plazo fijo: por ley ya es INDEFINIDO (Art. 159 N°4)",IF(AND(E244="Plazo fijo",ISNUMBER(G244),(G244-F244+1)/30.4375&gt;12),"⚠ Plazo fijo mayor a 1 año (máximo legal)",IF(J244&lt;&gt;"Sí","Pendiente de firma","OK")))))))))</f>
        <v/>
      </c>
      <c r="M244" s="62" t="str">
        <f aca="false">IF(B244="","",IFERROR(VALUE(LEFT(UPPER(SUBSTITUTE(SUBSTITUTE(SUBSTITUTE(TRIM(B244),".",""),"-","")," ","")),LEN(UPPER(SUBSTITUTE(SUBSTITUTE(SUBSTITUTE(TRIM(B244),".",""),"-","")," ","")))-1))&amp;RIGHT(UPPER(SUBSTITUTE(SUBSTITUTE(SUBSTITUTE(TRIM(B244),".",""),"-","")," ","")),1),UPPER(SUBSTITUTE(SUBSTITUTE(SUBSTITUTE(TRIM(B244),".",""),"-","")," ",""))))</f>
        <v/>
      </c>
      <c r="N244" s="62" t="str">
        <f aca="false">IF(B244="","",IF(D244="Anexo de modificación","No","Sí"))</f>
        <v/>
      </c>
      <c r="O244" s="62" t="str">
        <f aca="false">IF(AND(N244="Sí",ISNUMBER(F244)),COUNTIFS(C_RUTN,M244,C_DEF,"Sí",C_INI,"&lt;"&amp;F244)+COUNTIFS(M$7:M244,M244,N$7:N244,"Sí",F$7:F244,F244),"")</f>
        <v/>
      </c>
      <c r="P244" s="62" t="str">
        <f aca="false">IF(O244="","",M244&amp;"-P"&amp;O244)</f>
        <v/>
      </c>
      <c r="Q244" s="62" t="str">
        <f aca="false">IF(AND(N244="Sí",E244="Plazo fijo",ISNUMBER(F244)),COUNTIFS(C_RUTN,M244,C_TIPO,"Plazo fijo",C_DEF,"Sí",C_INI,"&lt;"&amp;F244)+COUNTIFS(M$7:M244,M244,E$7:E244,"Plazo fijo",N$7:N244,"Sí",F$7:F244,F244),"")</f>
        <v/>
      </c>
      <c r="R244" s="62" t="str">
        <f aca="false">IF(AND(B244&lt;&gt;"",ISNUMBER(H244),ISNUMBER(F244)),COUNTIFS(C_RUTN,M244,C_SUELDO,"&lt;&gt;",C_INI,"&lt;"&amp;F244)+COUNTIFS(M$7:M244,M244,H$7:H244,"&lt;&gt;",F$7:F244,F244),"")</f>
        <v/>
      </c>
      <c r="S244" s="62" t="str">
        <f aca="false">IF(R244="","",M244&amp;"-S"&amp;R244)</f>
        <v/>
      </c>
    </row>
    <row r="245" customFormat="false" ht="15" hidden="false" customHeight="false" outlineLevel="0" collapsed="false">
      <c r="B245" s="58"/>
      <c r="C245" s="62" t="str">
        <f aca="false">IF(B245="","",IFERROR(INDEX(T_NOMBRE,MATCH(M245,T_RUTN,0)),"⚠ RUT no está en Trabajadores"))</f>
        <v/>
      </c>
      <c r="D245" s="58"/>
      <c r="E245" s="58"/>
      <c r="F245" s="59"/>
      <c r="G245" s="59"/>
      <c r="H245" s="60"/>
      <c r="I245" s="58"/>
      <c r="J245" s="58"/>
      <c r="K245" s="58"/>
      <c r="L245" s="62" t="str">
        <f aca="false">IF(B245="","",IF(LEFT(C245,1)="⚠","⚠ Registre primero al trabajador en la hoja Trabajadores",IF(AND(N245="Sí",OR(E245="",NOT(ISNUMBER(F245)))),"⚠ Falta tipo de contrato o fecha de inicio",IF(NOT(ISNUMBER(F245)),"⚠ Falta fecha de inicio",IF(AND(N245="Sí",E245&lt;&gt;"Indefinido",NOT(ISNUMBER(G245))),"⚠ Falta fecha de término",IF(AND(D245="Paso a indefinido",E245&lt;&gt;"Indefinido"),"⚠ Un paso a indefinido debe tener tipo Indefinido",IF(N(Q245)&gt;=3,"⚠ 3er contrato a plazo fijo: por ley ya es INDEFINIDO (Art. 159 N°4)",IF(AND(E245="Plazo fijo",ISNUMBER(G245),(G245-F245+1)/30.4375&gt;12),"⚠ Plazo fijo mayor a 1 año (máximo legal)",IF(J245&lt;&gt;"Sí","Pendiente de firma","OK")))))))))</f>
        <v/>
      </c>
      <c r="M245" s="62" t="str">
        <f aca="false">IF(B245="","",IFERROR(VALUE(LEFT(UPPER(SUBSTITUTE(SUBSTITUTE(SUBSTITUTE(TRIM(B245),".",""),"-","")," ","")),LEN(UPPER(SUBSTITUTE(SUBSTITUTE(SUBSTITUTE(TRIM(B245),".",""),"-","")," ","")))-1))&amp;RIGHT(UPPER(SUBSTITUTE(SUBSTITUTE(SUBSTITUTE(TRIM(B245),".",""),"-","")," ","")),1),UPPER(SUBSTITUTE(SUBSTITUTE(SUBSTITUTE(TRIM(B245),".",""),"-","")," ",""))))</f>
        <v/>
      </c>
      <c r="N245" s="62" t="str">
        <f aca="false">IF(B245="","",IF(D245="Anexo de modificación","No","Sí"))</f>
        <v/>
      </c>
      <c r="O245" s="62" t="str">
        <f aca="false">IF(AND(N245="Sí",ISNUMBER(F245)),COUNTIFS(C_RUTN,M245,C_DEF,"Sí",C_INI,"&lt;"&amp;F245)+COUNTIFS(M$7:M245,M245,N$7:N245,"Sí",F$7:F245,F245),"")</f>
        <v/>
      </c>
      <c r="P245" s="62" t="str">
        <f aca="false">IF(O245="","",M245&amp;"-P"&amp;O245)</f>
        <v/>
      </c>
      <c r="Q245" s="62" t="str">
        <f aca="false">IF(AND(N245="Sí",E245="Plazo fijo",ISNUMBER(F245)),COUNTIFS(C_RUTN,M245,C_TIPO,"Plazo fijo",C_DEF,"Sí",C_INI,"&lt;"&amp;F245)+COUNTIFS(M$7:M245,M245,E$7:E245,"Plazo fijo",N$7:N245,"Sí",F$7:F245,F245),"")</f>
        <v/>
      </c>
      <c r="R245" s="62" t="str">
        <f aca="false">IF(AND(B245&lt;&gt;"",ISNUMBER(H245),ISNUMBER(F245)),COUNTIFS(C_RUTN,M245,C_SUELDO,"&lt;&gt;",C_INI,"&lt;"&amp;F245)+COUNTIFS(M$7:M245,M245,H$7:H245,"&lt;&gt;",F$7:F245,F245),"")</f>
        <v/>
      </c>
      <c r="S245" s="62" t="str">
        <f aca="false">IF(R245="","",M245&amp;"-S"&amp;R245)</f>
        <v/>
      </c>
    </row>
    <row r="246" customFormat="false" ht="15" hidden="false" customHeight="false" outlineLevel="0" collapsed="false">
      <c r="B246" s="58"/>
      <c r="C246" s="62" t="str">
        <f aca="false">IF(B246="","",IFERROR(INDEX(T_NOMBRE,MATCH(M246,T_RUTN,0)),"⚠ RUT no está en Trabajadores"))</f>
        <v/>
      </c>
      <c r="D246" s="58"/>
      <c r="E246" s="58"/>
      <c r="F246" s="59"/>
      <c r="G246" s="59"/>
      <c r="H246" s="60"/>
      <c r="I246" s="58"/>
      <c r="J246" s="58"/>
      <c r="K246" s="58"/>
      <c r="L246" s="62" t="str">
        <f aca="false">IF(B246="","",IF(LEFT(C246,1)="⚠","⚠ Registre primero al trabajador en la hoja Trabajadores",IF(AND(N246="Sí",OR(E246="",NOT(ISNUMBER(F246)))),"⚠ Falta tipo de contrato o fecha de inicio",IF(NOT(ISNUMBER(F246)),"⚠ Falta fecha de inicio",IF(AND(N246="Sí",E246&lt;&gt;"Indefinido",NOT(ISNUMBER(G246))),"⚠ Falta fecha de término",IF(AND(D246="Paso a indefinido",E246&lt;&gt;"Indefinido"),"⚠ Un paso a indefinido debe tener tipo Indefinido",IF(N(Q246)&gt;=3,"⚠ 3er contrato a plazo fijo: por ley ya es INDEFINIDO (Art. 159 N°4)",IF(AND(E246="Plazo fijo",ISNUMBER(G246),(G246-F246+1)/30.4375&gt;12),"⚠ Plazo fijo mayor a 1 año (máximo legal)",IF(J246&lt;&gt;"Sí","Pendiente de firma","OK")))))))))</f>
        <v/>
      </c>
      <c r="M246" s="62" t="str">
        <f aca="false">IF(B246="","",IFERROR(VALUE(LEFT(UPPER(SUBSTITUTE(SUBSTITUTE(SUBSTITUTE(TRIM(B246),".",""),"-","")," ","")),LEN(UPPER(SUBSTITUTE(SUBSTITUTE(SUBSTITUTE(TRIM(B246),".",""),"-","")," ","")))-1))&amp;RIGHT(UPPER(SUBSTITUTE(SUBSTITUTE(SUBSTITUTE(TRIM(B246),".",""),"-","")," ","")),1),UPPER(SUBSTITUTE(SUBSTITUTE(SUBSTITUTE(TRIM(B246),".",""),"-","")," ",""))))</f>
        <v/>
      </c>
      <c r="N246" s="62" t="str">
        <f aca="false">IF(B246="","",IF(D246="Anexo de modificación","No","Sí"))</f>
        <v/>
      </c>
      <c r="O246" s="62" t="str">
        <f aca="false">IF(AND(N246="Sí",ISNUMBER(F246)),COUNTIFS(C_RUTN,M246,C_DEF,"Sí",C_INI,"&lt;"&amp;F246)+COUNTIFS(M$7:M246,M246,N$7:N246,"Sí",F$7:F246,F246),"")</f>
        <v/>
      </c>
      <c r="P246" s="62" t="str">
        <f aca="false">IF(O246="","",M246&amp;"-P"&amp;O246)</f>
        <v/>
      </c>
      <c r="Q246" s="62" t="str">
        <f aca="false">IF(AND(N246="Sí",E246="Plazo fijo",ISNUMBER(F246)),COUNTIFS(C_RUTN,M246,C_TIPO,"Plazo fijo",C_DEF,"Sí",C_INI,"&lt;"&amp;F246)+COUNTIFS(M$7:M246,M246,E$7:E246,"Plazo fijo",N$7:N246,"Sí",F$7:F246,F246),"")</f>
        <v/>
      </c>
      <c r="R246" s="62" t="str">
        <f aca="false">IF(AND(B246&lt;&gt;"",ISNUMBER(H246),ISNUMBER(F246)),COUNTIFS(C_RUTN,M246,C_SUELDO,"&lt;&gt;",C_INI,"&lt;"&amp;F246)+COUNTIFS(M$7:M246,M246,H$7:H246,"&lt;&gt;",F$7:F246,F246),"")</f>
        <v/>
      </c>
      <c r="S246" s="62" t="str">
        <f aca="false">IF(R246="","",M246&amp;"-S"&amp;R246)</f>
        <v/>
      </c>
    </row>
    <row r="247" customFormat="false" ht="15" hidden="false" customHeight="false" outlineLevel="0" collapsed="false">
      <c r="B247" s="58"/>
      <c r="C247" s="62" t="str">
        <f aca="false">IF(B247="","",IFERROR(INDEX(T_NOMBRE,MATCH(M247,T_RUTN,0)),"⚠ RUT no está en Trabajadores"))</f>
        <v/>
      </c>
      <c r="D247" s="58"/>
      <c r="E247" s="58"/>
      <c r="F247" s="59"/>
      <c r="G247" s="59"/>
      <c r="H247" s="60"/>
      <c r="I247" s="58"/>
      <c r="J247" s="58"/>
      <c r="K247" s="58"/>
      <c r="L247" s="62" t="str">
        <f aca="false">IF(B247="","",IF(LEFT(C247,1)="⚠","⚠ Registre primero al trabajador en la hoja Trabajadores",IF(AND(N247="Sí",OR(E247="",NOT(ISNUMBER(F247)))),"⚠ Falta tipo de contrato o fecha de inicio",IF(NOT(ISNUMBER(F247)),"⚠ Falta fecha de inicio",IF(AND(N247="Sí",E247&lt;&gt;"Indefinido",NOT(ISNUMBER(G247))),"⚠ Falta fecha de término",IF(AND(D247="Paso a indefinido",E247&lt;&gt;"Indefinido"),"⚠ Un paso a indefinido debe tener tipo Indefinido",IF(N(Q247)&gt;=3,"⚠ 3er contrato a plazo fijo: por ley ya es INDEFINIDO (Art. 159 N°4)",IF(AND(E247="Plazo fijo",ISNUMBER(G247),(G247-F247+1)/30.4375&gt;12),"⚠ Plazo fijo mayor a 1 año (máximo legal)",IF(J247&lt;&gt;"Sí","Pendiente de firma","OK")))))))))</f>
        <v/>
      </c>
      <c r="M247" s="62" t="str">
        <f aca="false">IF(B247="","",IFERROR(VALUE(LEFT(UPPER(SUBSTITUTE(SUBSTITUTE(SUBSTITUTE(TRIM(B247),".",""),"-","")," ","")),LEN(UPPER(SUBSTITUTE(SUBSTITUTE(SUBSTITUTE(TRIM(B247),".",""),"-","")," ","")))-1))&amp;RIGHT(UPPER(SUBSTITUTE(SUBSTITUTE(SUBSTITUTE(TRIM(B247),".",""),"-","")," ","")),1),UPPER(SUBSTITUTE(SUBSTITUTE(SUBSTITUTE(TRIM(B247),".",""),"-","")," ",""))))</f>
        <v/>
      </c>
      <c r="N247" s="62" t="str">
        <f aca="false">IF(B247="","",IF(D247="Anexo de modificación","No","Sí"))</f>
        <v/>
      </c>
      <c r="O247" s="62" t="str">
        <f aca="false">IF(AND(N247="Sí",ISNUMBER(F247)),COUNTIFS(C_RUTN,M247,C_DEF,"Sí",C_INI,"&lt;"&amp;F247)+COUNTIFS(M$7:M247,M247,N$7:N247,"Sí",F$7:F247,F247),"")</f>
        <v/>
      </c>
      <c r="P247" s="62" t="str">
        <f aca="false">IF(O247="","",M247&amp;"-P"&amp;O247)</f>
        <v/>
      </c>
      <c r="Q247" s="62" t="str">
        <f aca="false">IF(AND(N247="Sí",E247="Plazo fijo",ISNUMBER(F247)),COUNTIFS(C_RUTN,M247,C_TIPO,"Plazo fijo",C_DEF,"Sí",C_INI,"&lt;"&amp;F247)+COUNTIFS(M$7:M247,M247,E$7:E247,"Plazo fijo",N$7:N247,"Sí",F$7:F247,F247),"")</f>
        <v/>
      </c>
      <c r="R247" s="62" t="str">
        <f aca="false">IF(AND(B247&lt;&gt;"",ISNUMBER(H247),ISNUMBER(F247)),COUNTIFS(C_RUTN,M247,C_SUELDO,"&lt;&gt;",C_INI,"&lt;"&amp;F247)+COUNTIFS(M$7:M247,M247,H$7:H247,"&lt;&gt;",F$7:F247,F247),"")</f>
        <v/>
      </c>
      <c r="S247" s="62" t="str">
        <f aca="false">IF(R247="","",M247&amp;"-S"&amp;R247)</f>
        <v/>
      </c>
    </row>
    <row r="248" customFormat="false" ht="15" hidden="false" customHeight="false" outlineLevel="0" collapsed="false">
      <c r="B248" s="58"/>
      <c r="C248" s="62" t="str">
        <f aca="false">IF(B248="","",IFERROR(INDEX(T_NOMBRE,MATCH(M248,T_RUTN,0)),"⚠ RUT no está en Trabajadores"))</f>
        <v/>
      </c>
      <c r="D248" s="58"/>
      <c r="E248" s="58"/>
      <c r="F248" s="59"/>
      <c r="G248" s="59"/>
      <c r="H248" s="60"/>
      <c r="I248" s="58"/>
      <c r="J248" s="58"/>
      <c r="K248" s="58"/>
      <c r="L248" s="62" t="str">
        <f aca="false">IF(B248="","",IF(LEFT(C248,1)="⚠","⚠ Registre primero al trabajador en la hoja Trabajadores",IF(AND(N248="Sí",OR(E248="",NOT(ISNUMBER(F248)))),"⚠ Falta tipo de contrato o fecha de inicio",IF(NOT(ISNUMBER(F248)),"⚠ Falta fecha de inicio",IF(AND(N248="Sí",E248&lt;&gt;"Indefinido",NOT(ISNUMBER(G248))),"⚠ Falta fecha de término",IF(AND(D248="Paso a indefinido",E248&lt;&gt;"Indefinido"),"⚠ Un paso a indefinido debe tener tipo Indefinido",IF(N(Q248)&gt;=3,"⚠ 3er contrato a plazo fijo: por ley ya es INDEFINIDO (Art. 159 N°4)",IF(AND(E248="Plazo fijo",ISNUMBER(G248),(G248-F248+1)/30.4375&gt;12),"⚠ Plazo fijo mayor a 1 año (máximo legal)",IF(J248&lt;&gt;"Sí","Pendiente de firma","OK")))))))))</f>
        <v/>
      </c>
      <c r="M248" s="62" t="str">
        <f aca="false">IF(B248="","",IFERROR(VALUE(LEFT(UPPER(SUBSTITUTE(SUBSTITUTE(SUBSTITUTE(TRIM(B248),".",""),"-","")," ","")),LEN(UPPER(SUBSTITUTE(SUBSTITUTE(SUBSTITUTE(TRIM(B248),".",""),"-","")," ","")))-1))&amp;RIGHT(UPPER(SUBSTITUTE(SUBSTITUTE(SUBSTITUTE(TRIM(B248),".",""),"-","")," ","")),1),UPPER(SUBSTITUTE(SUBSTITUTE(SUBSTITUTE(TRIM(B248),".",""),"-","")," ",""))))</f>
        <v/>
      </c>
      <c r="N248" s="62" t="str">
        <f aca="false">IF(B248="","",IF(D248="Anexo de modificación","No","Sí"))</f>
        <v/>
      </c>
      <c r="O248" s="62" t="str">
        <f aca="false">IF(AND(N248="Sí",ISNUMBER(F248)),COUNTIFS(C_RUTN,M248,C_DEF,"Sí",C_INI,"&lt;"&amp;F248)+COUNTIFS(M$7:M248,M248,N$7:N248,"Sí",F$7:F248,F248),"")</f>
        <v/>
      </c>
      <c r="P248" s="62" t="str">
        <f aca="false">IF(O248="","",M248&amp;"-P"&amp;O248)</f>
        <v/>
      </c>
      <c r="Q248" s="62" t="str">
        <f aca="false">IF(AND(N248="Sí",E248="Plazo fijo",ISNUMBER(F248)),COUNTIFS(C_RUTN,M248,C_TIPO,"Plazo fijo",C_DEF,"Sí",C_INI,"&lt;"&amp;F248)+COUNTIFS(M$7:M248,M248,E$7:E248,"Plazo fijo",N$7:N248,"Sí",F$7:F248,F248),"")</f>
        <v/>
      </c>
      <c r="R248" s="62" t="str">
        <f aca="false">IF(AND(B248&lt;&gt;"",ISNUMBER(H248),ISNUMBER(F248)),COUNTIFS(C_RUTN,M248,C_SUELDO,"&lt;&gt;",C_INI,"&lt;"&amp;F248)+COUNTIFS(M$7:M248,M248,H$7:H248,"&lt;&gt;",F$7:F248,F248),"")</f>
        <v/>
      </c>
      <c r="S248" s="62" t="str">
        <f aca="false">IF(R248="","",M248&amp;"-S"&amp;R248)</f>
        <v/>
      </c>
    </row>
    <row r="249" customFormat="false" ht="15" hidden="false" customHeight="false" outlineLevel="0" collapsed="false">
      <c r="B249" s="58"/>
      <c r="C249" s="62" t="str">
        <f aca="false">IF(B249="","",IFERROR(INDEX(T_NOMBRE,MATCH(M249,T_RUTN,0)),"⚠ RUT no está en Trabajadores"))</f>
        <v/>
      </c>
      <c r="D249" s="58"/>
      <c r="E249" s="58"/>
      <c r="F249" s="59"/>
      <c r="G249" s="59"/>
      <c r="H249" s="60"/>
      <c r="I249" s="58"/>
      <c r="J249" s="58"/>
      <c r="K249" s="58"/>
      <c r="L249" s="62" t="str">
        <f aca="false">IF(B249="","",IF(LEFT(C249,1)="⚠","⚠ Registre primero al trabajador en la hoja Trabajadores",IF(AND(N249="Sí",OR(E249="",NOT(ISNUMBER(F249)))),"⚠ Falta tipo de contrato o fecha de inicio",IF(NOT(ISNUMBER(F249)),"⚠ Falta fecha de inicio",IF(AND(N249="Sí",E249&lt;&gt;"Indefinido",NOT(ISNUMBER(G249))),"⚠ Falta fecha de término",IF(AND(D249="Paso a indefinido",E249&lt;&gt;"Indefinido"),"⚠ Un paso a indefinido debe tener tipo Indefinido",IF(N(Q249)&gt;=3,"⚠ 3er contrato a plazo fijo: por ley ya es INDEFINIDO (Art. 159 N°4)",IF(AND(E249="Plazo fijo",ISNUMBER(G249),(G249-F249+1)/30.4375&gt;12),"⚠ Plazo fijo mayor a 1 año (máximo legal)",IF(J249&lt;&gt;"Sí","Pendiente de firma","OK")))))))))</f>
        <v/>
      </c>
      <c r="M249" s="62" t="str">
        <f aca="false">IF(B249="","",IFERROR(VALUE(LEFT(UPPER(SUBSTITUTE(SUBSTITUTE(SUBSTITUTE(TRIM(B249),".",""),"-","")," ","")),LEN(UPPER(SUBSTITUTE(SUBSTITUTE(SUBSTITUTE(TRIM(B249),".",""),"-","")," ","")))-1))&amp;RIGHT(UPPER(SUBSTITUTE(SUBSTITUTE(SUBSTITUTE(TRIM(B249),".",""),"-","")," ","")),1),UPPER(SUBSTITUTE(SUBSTITUTE(SUBSTITUTE(TRIM(B249),".",""),"-","")," ",""))))</f>
        <v/>
      </c>
      <c r="N249" s="62" t="str">
        <f aca="false">IF(B249="","",IF(D249="Anexo de modificación","No","Sí"))</f>
        <v/>
      </c>
      <c r="O249" s="62" t="str">
        <f aca="false">IF(AND(N249="Sí",ISNUMBER(F249)),COUNTIFS(C_RUTN,M249,C_DEF,"Sí",C_INI,"&lt;"&amp;F249)+COUNTIFS(M$7:M249,M249,N$7:N249,"Sí",F$7:F249,F249),"")</f>
        <v/>
      </c>
      <c r="P249" s="62" t="str">
        <f aca="false">IF(O249="","",M249&amp;"-P"&amp;O249)</f>
        <v/>
      </c>
      <c r="Q249" s="62" t="str">
        <f aca="false">IF(AND(N249="Sí",E249="Plazo fijo",ISNUMBER(F249)),COUNTIFS(C_RUTN,M249,C_TIPO,"Plazo fijo",C_DEF,"Sí",C_INI,"&lt;"&amp;F249)+COUNTIFS(M$7:M249,M249,E$7:E249,"Plazo fijo",N$7:N249,"Sí",F$7:F249,F249),"")</f>
        <v/>
      </c>
      <c r="R249" s="62" t="str">
        <f aca="false">IF(AND(B249&lt;&gt;"",ISNUMBER(H249),ISNUMBER(F249)),COUNTIFS(C_RUTN,M249,C_SUELDO,"&lt;&gt;",C_INI,"&lt;"&amp;F249)+COUNTIFS(M$7:M249,M249,H$7:H249,"&lt;&gt;",F$7:F249,F249),"")</f>
        <v/>
      </c>
      <c r="S249" s="62" t="str">
        <f aca="false">IF(R249="","",M249&amp;"-S"&amp;R249)</f>
        <v/>
      </c>
    </row>
    <row r="250" customFormat="false" ht="15" hidden="false" customHeight="false" outlineLevel="0" collapsed="false">
      <c r="B250" s="58"/>
      <c r="C250" s="62" t="str">
        <f aca="false">IF(B250="","",IFERROR(INDEX(T_NOMBRE,MATCH(M250,T_RUTN,0)),"⚠ RUT no está en Trabajadores"))</f>
        <v/>
      </c>
      <c r="D250" s="58"/>
      <c r="E250" s="58"/>
      <c r="F250" s="59"/>
      <c r="G250" s="59"/>
      <c r="H250" s="60"/>
      <c r="I250" s="58"/>
      <c r="J250" s="58"/>
      <c r="K250" s="58"/>
      <c r="L250" s="62" t="str">
        <f aca="false">IF(B250="","",IF(LEFT(C250,1)="⚠","⚠ Registre primero al trabajador en la hoja Trabajadores",IF(AND(N250="Sí",OR(E250="",NOT(ISNUMBER(F250)))),"⚠ Falta tipo de contrato o fecha de inicio",IF(NOT(ISNUMBER(F250)),"⚠ Falta fecha de inicio",IF(AND(N250="Sí",E250&lt;&gt;"Indefinido",NOT(ISNUMBER(G250))),"⚠ Falta fecha de término",IF(AND(D250="Paso a indefinido",E250&lt;&gt;"Indefinido"),"⚠ Un paso a indefinido debe tener tipo Indefinido",IF(N(Q250)&gt;=3,"⚠ 3er contrato a plazo fijo: por ley ya es INDEFINIDO (Art. 159 N°4)",IF(AND(E250="Plazo fijo",ISNUMBER(G250),(G250-F250+1)/30.4375&gt;12),"⚠ Plazo fijo mayor a 1 año (máximo legal)",IF(J250&lt;&gt;"Sí","Pendiente de firma","OK")))))))))</f>
        <v/>
      </c>
      <c r="M250" s="62" t="str">
        <f aca="false">IF(B250="","",IFERROR(VALUE(LEFT(UPPER(SUBSTITUTE(SUBSTITUTE(SUBSTITUTE(TRIM(B250),".",""),"-","")," ","")),LEN(UPPER(SUBSTITUTE(SUBSTITUTE(SUBSTITUTE(TRIM(B250),".",""),"-","")," ","")))-1))&amp;RIGHT(UPPER(SUBSTITUTE(SUBSTITUTE(SUBSTITUTE(TRIM(B250),".",""),"-","")," ","")),1),UPPER(SUBSTITUTE(SUBSTITUTE(SUBSTITUTE(TRIM(B250),".",""),"-","")," ",""))))</f>
        <v/>
      </c>
      <c r="N250" s="62" t="str">
        <f aca="false">IF(B250="","",IF(D250="Anexo de modificación","No","Sí"))</f>
        <v/>
      </c>
      <c r="O250" s="62" t="str">
        <f aca="false">IF(AND(N250="Sí",ISNUMBER(F250)),COUNTIFS(C_RUTN,M250,C_DEF,"Sí",C_INI,"&lt;"&amp;F250)+COUNTIFS(M$7:M250,M250,N$7:N250,"Sí",F$7:F250,F250),"")</f>
        <v/>
      </c>
      <c r="P250" s="62" t="str">
        <f aca="false">IF(O250="","",M250&amp;"-P"&amp;O250)</f>
        <v/>
      </c>
      <c r="Q250" s="62" t="str">
        <f aca="false">IF(AND(N250="Sí",E250="Plazo fijo",ISNUMBER(F250)),COUNTIFS(C_RUTN,M250,C_TIPO,"Plazo fijo",C_DEF,"Sí",C_INI,"&lt;"&amp;F250)+COUNTIFS(M$7:M250,M250,E$7:E250,"Plazo fijo",N$7:N250,"Sí",F$7:F250,F250),"")</f>
        <v/>
      </c>
      <c r="R250" s="62" t="str">
        <f aca="false">IF(AND(B250&lt;&gt;"",ISNUMBER(H250),ISNUMBER(F250)),COUNTIFS(C_RUTN,M250,C_SUELDO,"&lt;&gt;",C_INI,"&lt;"&amp;F250)+COUNTIFS(M$7:M250,M250,H$7:H250,"&lt;&gt;",F$7:F250,F250),"")</f>
        <v/>
      </c>
      <c r="S250" s="62" t="str">
        <f aca="false">IF(R250="","",M250&amp;"-S"&amp;R250)</f>
        <v/>
      </c>
    </row>
    <row r="251" customFormat="false" ht="15" hidden="false" customHeight="false" outlineLevel="0" collapsed="false">
      <c r="B251" s="58"/>
      <c r="C251" s="62" t="str">
        <f aca="false">IF(B251="","",IFERROR(INDEX(T_NOMBRE,MATCH(M251,T_RUTN,0)),"⚠ RUT no está en Trabajadores"))</f>
        <v/>
      </c>
      <c r="D251" s="58"/>
      <c r="E251" s="58"/>
      <c r="F251" s="59"/>
      <c r="G251" s="59"/>
      <c r="H251" s="60"/>
      <c r="I251" s="58"/>
      <c r="J251" s="58"/>
      <c r="K251" s="58"/>
      <c r="L251" s="62" t="str">
        <f aca="false">IF(B251="","",IF(LEFT(C251,1)="⚠","⚠ Registre primero al trabajador en la hoja Trabajadores",IF(AND(N251="Sí",OR(E251="",NOT(ISNUMBER(F251)))),"⚠ Falta tipo de contrato o fecha de inicio",IF(NOT(ISNUMBER(F251)),"⚠ Falta fecha de inicio",IF(AND(N251="Sí",E251&lt;&gt;"Indefinido",NOT(ISNUMBER(G251))),"⚠ Falta fecha de término",IF(AND(D251="Paso a indefinido",E251&lt;&gt;"Indefinido"),"⚠ Un paso a indefinido debe tener tipo Indefinido",IF(N(Q251)&gt;=3,"⚠ 3er contrato a plazo fijo: por ley ya es INDEFINIDO (Art. 159 N°4)",IF(AND(E251="Plazo fijo",ISNUMBER(G251),(G251-F251+1)/30.4375&gt;12),"⚠ Plazo fijo mayor a 1 año (máximo legal)",IF(J251&lt;&gt;"Sí","Pendiente de firma","OK")))))))))</f>
        <v/>
      </c>
      <c r="M251" s="62" t="str">
        <f aca="false">IF(B251="","",IFERROR(VALUE(LEFT(UPPER(SUBSTITUTE(SUBSTITUTE(SUBSTITUTE(TRIM(B251),".",""),"-","")," ","")),LEN(UPPER(SUBSTITUTE(SUBSTITUTE(SUBSTITUTE(TRIM(B251),".",""),"-","")," ","")))-1))&amp;RIGHT(UPPER(SUBSTITUTE(SUBSTITUTE(SUBSTITUTE(TRIM(B251),".",""),"-","")," ","")),1),UPPER(SUBSTITUTE(SUBSTITUTE(SUBSTITUTE(TRIM(B251),".",""),"-","")," ",""))))</f>
        <v/>
      </c>
      <c r="N251" s="62" t="str">
        <f aca="false">IF(B251="","",IF(D251="Anexo de modificación","No","Sí"))</f>
        <v/>
      </c>
      <c r="O251" s="62" t="str">
        <f aca="false">IF(AND(N251="Sí",ISNUMBER(F251)),COUNTIFS(C_RUTN,M251,C_DEF,"Sí",C_INI,"&lt;"&amp;F251)+COUNTIFS(M$7:M251,M251,N$7:N251,"Sí",F$7:F251,F251),"")</f>
        <v/>
      </c>
      <c r="P251" s="62" t="str">
        <f aca="false">IF(O251="","",M251&amp;"-P"&amp;O251)</f>
        <v/>
      </c>
      <c r="Q251" s="62" t="str">
        <f aca="false">IF(AND(N251="Sí",E251="Plazo fijo",ISNUMBER(F251)),COUNTIFS(C_RUTN,M251,C_TIPO,"Plazo fijo",C_DEF,"Sí",C_INI,"&lt;"&amp;F251)+COUNTIFS(M$7:M251,M251,E$7:E251,"Plazo fijo",N$7:N251,"Sí",F$7:F251,F251),"")</f>
        <v/>
      </c>
      <c r="R251" s="62" t="str">
        <f aca="false">IF(AND(B251&lt;&gt;"",ISNUMBER(H251),ISNUMBER(F251)),COUNTIFS(C_RUTN,M251,C_SUELDO,"&lt;&gt;",C_INI,"&lt;"&amp;F251)+COUNTIFS(M$7:M251,M251,H$7:H251,"&lt;&gt;",F$7:F251,F251),"")</f>
        <v/>
      </c>
      <c r="S251" s="62" t="str">
        <f aca="false">IF(R251="","",M251&amp;"-S"&amp;R251)</f>
        <v/>
      </c>
    </row>
    <row r="252" customFormat="false" ht="15" hidden="false" customHeight="false" outlineLevel="0" collapsed="false">
      <c r="B252" s="58"/>
      <c r="C252" s="62" t="str">
        <f aca="false">IF(B252="","",IFERROR(INDEX(T_NOMBRE,MATCH(M252,T_RUTN,0)),"⚠ RUT no está en Trabajadores"))</f>
        <v/>
      </c>
      <c r="D252" s="58"/>
      <c r="E252" s="58"/>
      <c r="F252" s="59"/>
      <c r="G252" s="59"/>
      <c r="H252" s="60"/>
      <c r="I252" s="58"/>
      <c r="J252" s="58"/>
      <c r="K252" s="58"/>
      <c r="L252" s="62" t="str">
        <f aca="false">IF(B252="","",IF(LEFT(C252,1)="⚠","⚠ Registre primero al trabajador en la hoja Trabajadores",IF(AND(N252="Sí",OR(E252="",NOT(ISNUMBER(F252)))),"⚠ Falta tipo de contrato o fecha de inicio",IF(NOT(ISNUMBER(F252)),"⚠ Falta fecha de inicio",IF(AND(N252="Sí",E252&lt;&gt;"Indefinido",NOT(ISNUMBER(G252))),"⚠ Falta fecha de término",IF(AND(D252="Paso a indefinido",E252&lt;&gt;"Indefinido"),"⚠ Un paso a indefinido debe tener tipo Indefinido",IF(N(Q252)&gt;=3,"⚠ 3er contrato a plazo fijo: por ley ya es INDEFINIDO (Art. 159 N°4)",IF(AND(E252="Plazo fijo",ISNUMBER(G252),(G252-F252+1)/30.4375&gt;12),"⚠ Plazo fijo mayor a 1 año (máximo legal)",IF(J252&lt;&gt;"Sí","Pendiente de firma","OK")))))))))</f>
        <v/>
      </c>
      <c r="M252" s="62" t="str">
        <f aca="false">IF(B252="","",IFERROR(VALUE(LEFT(UPPER(SUBSTITUTE(SUBSTITUTE(SUBSTITUTE(TRIM(B252),".",""),"-","")," ","")),LEN(UPPER(SUBSTITUTE(SUBSTITUTE(SUBSTITUTE(TRIM(B252),".",""),"-","")," ","")))-1))&amp;RIGHT(UPPER(SUBSTITUTE(SUBSTITUTE(SUBSTITUTE(TRIM(B252),".",""),"-","")," ","")),1),UPPER(SUBSTITUTE(SUBSTITUTE(SUBSTITUTE(TRIM(B252),".",""),"-","")," ",""))))</f>
        <v/>
      </c>
      <c r="N252" s="62" t="str">
        <f aca="false">IF(B252="","",IF(D252="Anexo de modificación","No","Sí"))</f>
        <v/>
      </c>
      <c r="O252" s="62" t="str">
        <f aca="false">IF(AND(N252="Sí",ISNUMBER(F252)),COUNTIFS(C_RUTN,M252,C_DEF,"Sí",C_INI,"&lt;"&amp;F252)+COUNTIFS(M$7:M252,M252,N$7:N252,"Sí",F$7:F252,F252),"")</f>
        <v/>
      </c>
      <c r="P252" s="62" t="str">
        <f aca="false">IF(O252="","",M252&amp;"-P"&amp;O252)</f>
        <v/>
      </c>
      <c r="Q252" s="62" t="str">
        <f aca="false">IF(AND(N252="Sí",E252="Plazo fijo",ISNUMBER(F252)),COUNTIFS(C_RUTN,M252,C_TIPO,"Plazo fijo",C_DEF,"Sí",C_INI,"&lt;"&amp;F252)+COUNTIFS(M$7:M252,M252,E$7:E252,"Plazo fijo",N$7:N252,"Sí",F$7:F252,F252),"")</f>
        <v/>
      </c>
      <c r="R252" s="62" t="str">
        <f aca="false">IF(AND(B252&lt;&gt;"",ISNUMBER(H252),ISNUMBER(F252)),COUNTIFS(C_RUTN,M252,C_SUELDO,"&lt;&gt;",C_INI,"&lt;"&amp;F252)+COUNTIFS(M$7:M252,M252,H$7:H252,"&lt;&gt;",F$7:F252,F252),"")</f>
        <v/>
      </c>
      <c r="S252" s="62" t="str">
        <f aca="false">IF(R252="","",M252&amp;"-S"&amp;R252)</f>
        <v/>
      </c>
    </row>
    <row r="253" customFormat="false" ht="15" hidden="false" customHeight="false" outlineLevel="0" collapsed="false">
      <c r="B253" s="58"/>
      <c r="C253" s="62" t="str">
        <f aca="false">IF(B253="","",IFERROR(INDEX(T_NOMBRE,MATCH(M253,T_RUTN,0)),"⚠ RUT no está en Trabajadores"))</f>
        <v/>
      </c>
      <c r="D253" s="58"/>
      <c r="E253" s="58"/>
      <c r="F253" s="59"/>
      <c r="G253" s="59"/>
      <c r="H253" s="60"/>
      <c r="I253" s="58"/>
      <c r="J253" s="58"/>
      <c r="K253" s="58"/>
      <c r="L253" s="62" t="str">
        <f aca="false">IF(B253="","",IF(LEFT(C253,1)="⚠","⚠ Registre primero al trabajador en la hoja Trabajadores",IF(AND(N253="Sí",OR(E253="",NOT(ISNUMBER(F253)))),"⚠ Falta tipo de contrato o fecha de inicio",IF(NOT(ISNUMBER(F253)),"⚠ Falta fecha de inicio",IF(AND(N253="Sí",E253&lt;&gt;"Indefinido",NOT(ISNUMBER(G253))),"⚠ Falta fecha de término",IF(AND(D253="Paso a indefinido",E253&lt;&gt;"Indefinido"),"⚠ Un paso a indefinido debe tener tipo Indefinido",IF(N(Q253)&gt;=3,"⚠ 3er contrato a plazo fijo: por ley ya es INDEFINIDO (Art. 159 N°4)",IF(AND(E253="Plazo fijo",ISNUMBER(G253),(G253-F253+1)/30.4375&gt;12),"⚠ Plazo fijo mayor a 1 año (máximo legal)",IF(J253&lt;&gt;"Sí","Pendiente de firma","OK")))))))))</f>
        <v/>
      </c>
      <c r="M253" s="62" t="str">
        <f aca="false">IF(B253="","",IFERROR(VALUE(LEFT(UPPER(SUBSTITUTE(SUBSTITUTE(SUBSTITUTE(TRIM(B253),".",""),"-","")," ","")),LEN(UPPER(SUBSTITUTE(SUBSTITUTE(SUBSTITUTE(TRIM(B253),".",""),"-","")," ","")))-1))&amp;RIGHT(UPPER(SUBSTITUTE(SUBSTITUTE(SUBSTITUTE(TRIM(B253),".",""),"-","")," ","")),1),UPPER(SUBSTITUTE(SUBSTITUTE(SUBSTITUTE(TRIM(B253),".",""),"-","")," ",""))))</f>
        <v/>
      </c>
      <c r="N253" s="62" t="str">
        <f aca="false">IF(B253="","",IF(D253="Anexo de modificación","No","Sí"))</f>
        <v/>
      </c>
      <c r="O253" s="62" t="str">
        <f aca="false">IF(AND(N253="Sí",ISNUMBER(F253)),COUNTIFS(C_RUTN,M253,C_DEF,"Sí",C_INI,"&lt;"&amp;F253)+COUNTIFS(M$7:M253,M253,N$7:N253,"Sí",F$7:F253,F253),"")</f>
        <v/>
      </c>
      <c r="P253" s="62" t="str">
        <f aca="false">IF(O253="","",M253&amp;"-P"&amp;O253)</f>
        <v/>
      </c>
      <c r="Q253" s="62" t="str">
        <f aca="false">IF(AND(N253="Sí",E253="Plazo fijo",ISNUMBER(F253)),COUNTIFS(C_RUTN,M253,C_TIPO,"Plazo fijo",C_DEF,"Sí",C_INI,"&lt;"&amp;F253)+COUNTIFS(M$7:M253,M253,E$7:E253,"Plazo fijo",N$7:N253,"Sí",F$7:F253,F253),"")</f>
        <v/>
      </c>
      <c r="R253" s="62" t="str">
        <f aca="false">IF(AND(B253&lt;&gt;"",ISNUMBER(H253),ISNUMBER(F253)),COUNTIFS(C_RUTN,M253,C_SUELDO,"&lt;&gt;",C_INI,"&lt;"&amp;F253)+COUNTIFS(M$7:M253,M253,H$7:H253,"&lt;&gt;",F$7:F253,F253),"")</f>
        <v/>
      </c>
      <c r="S253" s="62" t="str">
        <f aca="false">IF(R253="","",M253&amp;"-S"&amp;R253)</f>
        <v/>
      </c>
    </row>
    <row r="254" customFormat="false" ht="15" hidden="false" customHeight="false" outlineLevel="0" collapsed="false">
      <c r="B254" s="58"/>
      <c r="C254" s="62" t="str">
        <f aca="false">IF(B254="","",IFERROR(INDEX(T_NOMBRE,MATCH(M254,T_RUTN,0)),"⚠ RUT no está en Trabajadores"))</f>
        <v/>
      </c>
      <c r="D254" s="58"/>
      <c r="E254" s="58"/>
      <c r="F254" s="59"/>
      <c r="G254" s="59"/>
      <c r="H254" s="60"/>
      <c r="I254" s="58"/>
      <c r="J254" s="58"/>
      <c r="K254" s="58"/>
      <c r="L254" s="62" t="str">
        <f aca="false">IF(B254="","",IF(LEFT(C254,1)="⚠","⚠ Registre primero al trabajador en la hoja Trabajadores",IF(AND(N254="Sí",OR(E254="",NOT(ISNUMBER(F254)))),"⚠ Falta tipo de contrato o fecha de inicio",IF(NOT(ISNUMBER(F254)),"⚠ Falta fecha de inicio",IF(AND(N254="Sí",E254&lt;&gt;"Indefinido",NOT(ISNUMBER(G254))),"⚠ Falta fecha de término",IF(AND(D254="Paso a indefinido",E254&lt;&gt;"Indefinido"),"⚠ Un paso a indefinido debe tener tipo Indefinido",IF(N(Q254)&gt;=3,"⚠ 3er contrato a plazo fijo: por ley ya es INDEFINIDO (Art. 159 N°4)",IF(AND(E254="Plazo fijo",ISNUMBER(G254),(G254-F254+1)/30.4375&gt;12),"⚠ Plazo fijo mayor a 1 año (máximo legal)",IF(J254&lt;&gt;"Sí","Pendiente de firma","OK")))))))))</f>
        <v/>
      </c>
      <c r="M254" s="62" t="str">
        <f aca="false">IF(B254="","",IFERROR(VALUE(LEFT(UPPER(SUBSTITUTE(SUBSTITUTE(SUBSTITUTE(TRIM(B254),".",""),"-","")," ","")),LEN(UPPER(SUBSTITUTE(SUBSTITUTE(SUBSTITUTE(TRIM(B254),".",""),"-","")," ","")))-1))&amp;RIGHT(UPPER(SUBSTITUTE(SUBSTITUTE(SUBSTITUTE(TRIM(B254),".",""),"-","")," ","")),1),UPPER(SUBSTITUTE(SUBSTITUTE(SUBSTITUTE(TRIM(B254),".",""),"-","")," ",""))))</f>
        <v/>
      </c>
      <c r="N254" s="62" t="str">
        <f aca="false">IF(B254="","",IF(D254="Anexo de modificación","No","Sí"))</f>
        <v/>
      </c>
      <c r="O254" s="62" t="str">
        <f aca="false">IF(AND(N254="Sí",ISNUMBER(F254)),COUNTIFS(C_RUTN,M254,C_DEF,"Sí",C_INI,"&lt;"&amp;F254)+COUNTIFS(M$7:M254,M254,N$7:N254,"Sí",F$7:F254,F254),"")</f>
        <v/>
      </c>
      <c r="P254" s="62" t="str">
        <f aca="false">IF(O254="","",M254&amp;"-P"&amp;O254)</f>
        <v/>
      </c>
      <c r="Q254" s="62" t="str">
        <f aca="false">IF(AND(N254="Sí",E254="Plazo fijo",ISNUMBER(F254)),COUNTIFS(C_RUTN,M254,C_TIPO,"Plazo fijo",C_DEF,"Sí",C_INI,"&lt;"&amp;F254)+COUNTIFS(M$7:M254,M254,E$7:E254,"Plazo fijo",N$7:N254,"Sí",F$7:F254,F254),"")</f>
        <v/>
      </c>
      <c r="R254" s="62" t="str">
        <f aca="false">IF(AND(B254&lt;&gt;"",ISNUMBER(H254),ISNUMBER(F254)),COUNTIFS(C_RUTN,M254,C_SUELDO,"&lt;&gt;",C_INI,"&lt;"&amp;F254)+COUNTIFS(M$7:M254,M254,H$7:H254,"&lt;&gt;",F$7:F254,F254),"")</f>
        <v/>
      </c>
      <c r="S254" s="62" t="str">
        <f aca="false">IF(R254="","",M254&amp;"-S"&amp;R254)</f>
        <v/>
      </c>
    </row>
    <row r="255" customFormat="false" ht="15" hidden="false" customHeight="false" outlineLevel="0" collapsed="false">
      <c r="B255" s="58"/>
      <c r="C255" s="62" t="str">
        <f aca="false">IF(B255="","",IFERROR(INDEX(T_NOMBRE,MATCH(M255,T_RUTN,0)),"⚠ RUT no está en Trabajadores"))</f>
        <v/>
      </c>
      <c r="D255" s="58"/>
      <c r="E255" s="58"/>
      <c r="F255" s="59"/>
      <c r="G255" s="59"/>
      <c r="H255" s="60"/>
      <c r="I255" s="58"/>
      <c r="J255" s="58"/>
      <c r="K255" s="58"/>
      <c r="L255" s="62" t="str">
        <f aca="false">IF(B255="","",IF(LEFT(C255,1)="⚠","⚠ Registre primero al trabajador en la hoja Trabajadores",IF(AND(N255="Sí",OR(E255="",NOT(ISNUMBER(F255)))),"⚠ Falta tipo de contrato o fecha de inicio",IF(NOT(ISNUMBER(F255)),"⚠ Falta fecha de inicio",IF(AND(N255="Sí",E255&lt;&gt;"Indefinido",NOT(ISNUMBER(G255))),"⚠ Falta fecha de término",IF(AND(D255="Paso a indefinido",E255&lt;&gt;"Indefinido"),"⚠ Un paso a indefinido debe tener tipo Indefinido",IF(N(Q255)&gt;=3,"⚠ 3er contrato a plazo fijo: por ley ya es INDEFINIDO (Art. 159 N°4)",IF(AND(E255="Plazo fijo",ISNUMBER(G255),(G255-F255+1)/30.4375&gt;12),"⚠ Plazo fijo mayor a 1 año (máximo legal)",IF(J255&lt;&gt;"Sí","Pendiente de firma","OK")))))))))</f>
        <v/>
      </c>
      <c r="M255" s="62" t="str">
        <f aca="false">IF(B255="","",IFERROR(VALUE(LEFT(UPPER(SUBSTITUTE(SUBSTITUTE(SUBSTITUTE(TRIM(B255),".",""),"-","")," ","")),LEN(UPPER(SUBSTITUTE(SUBSTITUTE(SUBSTITUTE(TRIM(B255),".",""),"-","")," ","")))-1))&amp;RIGHT(UPPER(SUBSTITUTE(SUBSTITUTE(SUBSTITUTE(TRIM(B255),".",""),"-","")," ","")),1),UPPER(SUBSTITUTE(SUBSTITUTE(SUBSTITUTE(TRIM(B255),".",""),"-","")," ",""))))</f>
        <v/>
      </c>
      <c r="N255" s="62" t="str">
        <f aca="false">IF(B255="","",IF(D255="Anexo de modificación","No","Sí"))</f>
        <v/>
      </c>
      <c r="O255" s="62" t="str">
        <f aca="false">IF(AND(N255="Sí",ISNUMBER(F255)),COUNTIFS(C_RUTN,M255,C_DEF,"Sí",C_INI,"&lt;"&amp;F255)+COUNTIFS(M$7:M255,M255,N$7:N255,"Sí",F$7:F255,F255),"")</f>
        <v/>
      </c>
      <c r="P255" s="62" t="str">
        <f aca="false">IF(O255="","",M255&amp;"-P"&amp;O255)</f>
        <v/>
      </c>
      <c r="Q255" s="62" t="str">
        <f aca="false">IF(AND(N255="Sí",E255="Plazo fijo",ISNUMBER(F255)),COUNTIFS(C_RUTN,M255,C_TIPO,"Plazo fijo",C_DEF,"Sí",C_INI,"&lt;"&amp;F255)+COUNTIFS(M$7:M255,M255,E$7:E255,"Plazo fijo",N$7:N255,"Sí",F$7:F255,F255),"")</f>
        <v/>
      </c>
      <c r="R255" s="62" t="str">
        <f aca="false">IF(AND(B255&lt;&gt;"",ISNUMBER(H255),ISNUMBER(F255)),COUNTIFS(C_RUTN,M255,C_SUELDO,"&lt;&gt;",C_INI,"&lt;"&amp;F255)+COUNTIFS(M$7:M255,M255,H$7:H255,"&lt;&gt;",F$7:F255,F255),"")</f>
        <v/>
      </c>
      <c r="S255" s="62" t="str">
        <f aca="false">IF(R255="","",M255&amp;"-S"&amp;R255)</f>
        <v/>
      </c>
    </row>
    <row r="256" customFormat="false" ht="15" hidden="false" customHeight="false" outlineLevel="0" collapsed="false">
      <c r="B256" s="58"/>
      <c r="C256" s="62" t="str">
        <f aca="false">IF(B256="","",IFERROR(INDEX(T_NOMBRE,MATCH(M256,T_RUTN,0)),"⚠ RUT no está en Trabajadores"))</f>
        <v/>
      </c>
      <c r="D256" s="58"/>
      <c r="E256" s="58"/>
      <c r="F256" s="59"/>
      <c r="G256" s="59"/>
      <c r="H256" s="60"/>
      <c r="I256" s="58"/>
      <c r="J256" s="58"/>
      <c r="K256" s="58"/>
      <c r="L256" s="62" t="str">
        <f aca="false">IF(B256="","",IF(LEFT(C256,1)="⚠","⚠ Registre primero al trabajador en la hoja Trabajadores",IF(AND(N256="Sí",OR(E256="",NOT(ISNUMBER(F256)))),"⚠ Falta tipo de contrato o fecha de inicio",IF(NOT(ISNUMBER(F256)),"⚠ Falta fecha de inicio",IF(AND(N256="Sí",E256&lt;&gt;"Indefinido",NOT(ISNUMBER(G256))),"⚠ Falta fecha de término",IF(AND(D256="Paso a indefinido",E256&lt;&gt;"Indefinido"),"⚠ Un paso a indefinido debe tener tipo Indefinido",IF(N(Q256)&gt;=3,"⚠ 3er contrato a plazo fijo: por ley ya es INDEFINIDO (Art. 159 N°4)",IF(AND(E256="Plazo fijo",ISNUMBER(G256),(G256-F256+1)/30.4375&gt;12),"⚠ Plazo fijo mayor a 1 año (máximo legal)",IF(J256&lt;&gt;"Sí","Pendiente de firma","OK")))))))))</f>
        <v/>
      </c>
      <c r="M256" s="62" t="str">
        <f aca="false">IF(B256="","",IFERROR(VALUE(LEFT(UPPER(SUBSTITUTE(SUBSTITUTE(SUBSTITUTE(TRIM(B256),".",""),"-","")," ","")),LEN(UPPER(SUBSTITUTE(SUBSTITUTE(SUBSTITUTE(TRIM(B256),".",""),"-","")," ","")))-1))&amp;RIGHT(UPPER(SUBSTITUTE(SUBSTITUTE(SUBSTITUTE(TRIM(B256),".",""),"-","")," ","")),1),UPPER(SUBSTITUTE(SUBSTITUTE(SUBSTITUTE(TRIM(B256),".",""),"-","")," ",""))))</f>
        <v/>
      </c>
      <c r="N256" s="62" t="str">
        <f aca="false">IF(B256="","",IF(D256="Anexo de modificación","No","Sí"))</f>
        <v/>
      </c>
      <c r="O256" s="62" t="str">
        <f aca="false">IF(AND(N256="Sí",ISNUMBER(F256)),COUNTIFS(C_RUTN,M256,C_DEF,"Sí",C_INI,"&lt;"&amp;F256)+COUNTIFS(M$7:M256,M256,N$7:N256,"Sí",F$7:F256,F256),"")</f>
        <v/>
      </c>
      <c r="P256" s="62" t="str">
        <f aca="false">IF(O256="","",M256&amp;"-P"&amp;O256)</f>
        <v/>
      </c>
      <c r="Q256" s="62" t="str">
        <f aca="false">IF(AND(N256="Sí",E256="Plazo fijo",ISNUMBER(F256)),COUNTIFS(C_RUTN,M256,C_TIPO,"Plazo fijo",C_DEF,"Sí",C_INI,"&lt;"&amp;F256)+COUNTIFS(M$7:M256,M256,E$7:E256,"Plazo fijo",N$7:N256,"Sí",F$7:F256,F256),"")</f>
        <v/>
      </c>
      <c r="R256" s="62" t="str">
        <f aca="false">IF(AND(B256&lt;&gt;"",ISNUMBER(H256),ISNUMBER(F256)),COUNTIFS(C_RUTN,M256,C_SUELDO,"&lt;&gt;",C_INI,"&lt;"&amp;F256)+COUNTIFS(M$7:M256,M256,H$7:H256,"&lt;&gt;",F$7:F256,F256),"")</f>
        <v/>
      </c>
      <c r="S256" s="62" t="str">
        <f aca="false">IF(R256="","",M256&amp;"-S"&amp;R256)</f>
        <v/>
      </c>
    </row>
    <row r="257" customFormat="false" ht="15" hidden="false" customHeight="false" outlineLevel="0" collapsed="false">
      <c r="B257" s="58"/>
      <c r="C257" s="62" t="str">
        <f aca="false">IF(B257="","",IFERROR(INDEX(T_NOMBRE,MATCH(M257,T_RUTN,0)),"⚠ RUT no está en Trabajadores"))</f>
        <v/>
      </c>
      <c r="D257" s="58"/>
      <c r="E257" s="58"/>
      <c r="F257" s="59"/>
      <c r="G257" s="59"/>
      <c r="H257" s="60"/>
      <c r="I257" s="58"/>
      <c r="J257" s="58"/>
      <c r="K257" s="58"/>
      <c r="L257" s="62" t="str">
        <f aca="false">IF(B257="","",IF(LEFT(C257,1)="⚠","⚠ Registre primero al trabajador en la hoja Trabajadores",IF(AND(N257="Sí",OR(E257="",NOT(ISNUMBER(F257)))),"⚠ Falta tipo de contrato o fecha de inicio",IF(NOT(ISNUMBER(F257)),"⚠ Falta fecha de inicio",IF(AND(N257="Sí",E257&lt;&gt;"Indefinido",NOT(ISNUMBER(G257))),"⚠ Falta fecha de término",IF(AND(D257="Paso a indefinido",E257&lt;&gt;"Indefinido"),"⚠ Un paso a indefinido debe tener tipo Indefinido",IF(N(Q257)&gt;=3,"⚠ 3er contrato a plazo fijo: por ley ya es INDEFINIDO (Art. 159 N°4)",IF(AND(E257="Plazo fijo",ISNUMBER(G257),(G257-F257+1)/30.4375&gt;12),"⚠ Plazo fijo mayor a 1 año (máximo legal)",IF(J257&lt;&gt;"Sí","Pendiente de firma","OK")))))))))</f>
        <v/>
      </c>
      <c r="M257" s="62" t="str">
        <f aca="false">IF(B257="","",IFERROR(VALUE(LEFT(UPPER(SUBSTITUTE(SUBSTITUTE(SUBSTITUTE(TRIM(B257),".",""),"-","")," ","")),LEN(UPPER(SUBSTITUTE(SUBSTITUTE(SUBSTITUTE(TRIM(B257),".",""),"-","")," ","")))-1))&amp;RIGHT(UPPER(SUBSTITUTE(SUBSTITUTE(SUBSTITUTE(TRIM(B257),".",""),"-","")," ","")),1),UPPER(SUBSTITUTE(SUBSTITUTE(SUBSTITUTE(TRIM(B257),".",""),"-","")," ",""))))</f>
        <v/>
      </c>
      <c r="N257" s="62" t="str">
        <f aca="false">IF(B257="","",IF(D257="Anexo de modificación","No","Sí"))</f>
        <v/>
      </c>
      <c r="O257" s="62" t="str">
        <f aca="false">IF(AND(N257="Sí",ISNUMBER(F257)),COUNTIFS(C_RUTN,M257,C_DEF,"Sí",C_INI,"&lt;"&amp;F257)+COUNTIFS(M$7:M257,M257,N$7:N257,"Sí",F$7:F257,F257),"")</f>
        <v/>
      </c>
      <c r="P257" s="62" t="str">
        <f aca="false">IF(O257="","",M257&amp;"-P"&amp;O257)</f>
        <v/>
      </c>
      <c r="Q257" s="62" t="str">
        <f aca="false">IF(AND(N257="Sí",E257="Plazo fijo",ISNUMBER(F257)),COUNTIFS(C_RUTN,M257,C_TIPO,"Plazo fijo",C_DEF,"Sí",C_INI,"&lt;"&amp;F257)+COUNTIFS(M$7:M257,M257,E$7:E257,"Plazo fijo",N$7:N257,"Sí",F$7:F257,F257),"")</f>
        <v/>
      </c>
      <c r="R257" s="62" t="str">
        <f aca="false">IF(AND(B257&lt;&gt;"",ISNUMBER(H257),ISNUMBER(F257)),COUNTIFS(C_RUTN,M257,C_SUELDO,"&lt;&gt;",C_INI,"&lt;"&amp;F257)+COUNTIFS(M$7:M257,M257,H$7:H257,"&lt;&gt;",F$7:F257,F257),"")</f>
        <v/>
      </c>
      <c r="S257" s="62" t="str">
        <f aca="false">IF(R257="","",M257&amp;"-S"&amp;R257)</f>
        <v/>
      </c>
    </row>
    <row r="258" customFormat="false" ht="15" hidden="false" customHeight="false" outlineLevel="0" collapsed="false">
      <c r="B258" s="58"/>
      <c r="C258" s="62" t="str">
        <f aca="false">IF(B258="","",IFERROR(INDEX(T_NOMBRE,MATCH(M258,T_RUTN,0)),"⚠ RUT no está en Trabajadores"))</f>
        <v/>
      </c>
      <c r="D258" s="58"/>
      <c r="E258" s="58"/>
      <c r="F258" s="59"/>
      <c r="G258" s="59"/>
      <c r="H258" s="60"/>
      <c r="I258" s="58"/>
      <c r="J258" s="58"/>
      <c r="K258" s="58"/>
      <c r="L258" s="62" t="str">
        <f aca="false">IF(B258="","",IF(LEFT(C258,1)="⚠","⚠ Registre primero al trabajador en la hoja Trabajadores",IF(AND(N258="Sí",OR(E258="",NOT(ISNUMBER(F258)))),"⚠ Falta tipo de contrato o fecha de inicio",IF(NOT(ISNUMBER(F258)),"⚠ Falta fecha de inicio",IF(AND(N258="Sí",E258&lt;&gt;"Indefinido",NOT(ISNUMBER(G258))),"⚠ Falta fecha de término",IF(AND(D258="Paso a indefinido",E258&lt;&gt;"Indefinido"),"⚠ Un paso a indefinido debe tener tipo Indefinido",IF(N(Q258)&gt;=3,"⚠ 3er contrato a plazo fijo: por ley ya es INDEFINIDO (Art. 159 N°4)",IF(AND(E258="Plazo fijo",ISNUMBER(G258),(G258-F258+1)/30.4375&gt;12),"⚠ Plazo fijo mayor a 1 año (máximo legal)",IF(J258&lt;&gt;"Sí","Pendiente de firma","OK")))))))))</f>
        <v/>
      </c>
      <c r="M258" s="62" t="str">
        <f aca="false">IF(B258="","",IFERROR(VALUE(LEFT(UPPER(SUBSTITUTE(SUBSTITUTE(SUBSTITUTE(TRIM(B258),".",""),"-","")," ","")),LEN(UPPER(SUBSTITUTE(SUBSTITUTE(SUBSTITUTE(TRIM(B258),".",""),"-","")," ","")))-1))&amp;RIGHT(UPPER(SUBSTITUTE(SUBSTITUTE(SUBSTITUTE(TRIM(B258),".",""),"-","")," ","")),1),UPPER(SUBSTITUTE(SUBSTITUTE(SUBSTITUTE(TRIM(B258),".",""),"-","")," ",""))))</f>
        <v/>
      </c>
      <c r="N258" s="62" t="str">
        <f aca="false">IF(B258="","",IF(D258="Anexo de modificación","No","Sí"))</f>
        <v/>
      </c>
      <c r="O258" s="62" t="str">
        <f aca="false">IF(AND(N258="Sí",ISNUMBER(F258)),COUNTIFS(C_RUTN,M258,C_DEF,"Sí",C_INI,"&lt;"&amp;F258)+COUNTIFS(M$7:M258,M258,N$7:N258,"Sí",F$7:F258,F258),"")</f>
        <v/>
      </c>
      <c r="P258" s="62" t="str">
        <f aca="false">IF(O258="","",M258&amp;"-P"&amp;O258)</f>
        <v/>
      </c>
      <c r="Q258" s="62" t="str">
        <f aca="false">IF(AND(N258="Sí",E258="Plazo fijo",ISNUMBER(F258)),COUNTIFS(C_RUTN,M258,C_TIPO,"Plazo fijo",C_DEF,"Sí",C_INI,"&lt;"&amp;F258)+COUNTIFS(M$7:M258,M258,E$7:E258,"Plazo fijo",N$7:N258,"Sí",F$7:F258,F258),"")</f>
        <v/>
      </c>
      <c r="R258" s="62" t="str">
        <f aca="false">IF(AND(B258&lt;&gt;"",ISNUMBER(H258),ISNUMBER(F258)),COUNTIFS(C_RUTN,M258,C_SUELDO,"&lt;&gt;",C_INI,"&lt;"&amp;F258)+COUNTIFS(M$7:M258,M258,H$7:H258,"&lt;&gt;",F$7:F258,F258),"")</f>
        <v/>
      </c>
      <c r="S258" s="62" t="str">
        <f aca="false">IF(R258="","",M258&amp;"-S"&amp;R258)</f>
        <v/>
      </c>
    </row>
    <row r="259" customFormat="false" ht="15" hidden="false" customHeight="false" outlineLevel="0" collapsed="false">
      <c r="B259" s="58"/>
      <c r="C259" s="62" t="str">
        <f aca="false">IF(B259="","",IFERROR(INDEX(T_NOMBRE,MATCH(M259,T_RUTN,0)),"⚠ RUT no está en Trabajadores"))</f>
        <v/>
      </c>
      <c r="D259" s="58"/>
      <c r="E259" s="58"/>
      <c r="F259" s="59"/>
      <c r="G259" s="59"/>
      <c r="H259" s="60"/>
      <c r="I259" s="58"/>
      <c r="J259" s="58"/>
      <c r="K259" s="58"/>
      <c r="L259" s="62" t="str">
        <f aca="false">IF(B259="","",IF(LEFT(C259,1)="⚠","⚠ Registre primero al trabajador en la hoja Trabajadores",IF(AND(N259="Sí",OR(E259="",NOT(ISNUMBER(F259)))),"⚠ Falta tipo de contrato o fecha de inicio",IF(NOT(ISNUMBER(F259)),"⚠ Falta fecha de inicio",IF(AND(N259="Sí",E259&lt;&gt;"Indefinido",NOT(ISNUMBER(G259))),"⚠ Falta fecha de término",IF(AND(D259="Paso a indefinido",E259&lt;&gt;"Indefinido"),"⚠ Un paso a indefinido debe tener tipo Indefinido",IF(N(Q259)&gt;=3,"⚠ 3er contrato a plazo fijo: por ley ya es INDEFINIDO (Art. 159 N°4)",IF(AND(E259="Plazo fijo",ISNUMBER(G259),(G259-F259+1)/30.4375&gt;12),"⚠ Plazo fijo mayor a 1 año (máximo legal)",IF(J259&lt;&gt;"Sí","Pendiente de firma","OK")))))))))</f>
        <v/>
      </c>
      <c r="M259" s="62" t="str">
        <f aca="false">IF(B259="","",IFERROR(VALUE(LEFT(UPPER(SUBSTITUTE(SUBSTITUTE(SUBSTITUTE(TRIM(B259),".",""),"-","")," ","")),LEN(UPPER(SUBSTITUTE(SUBSTITUTE(SUBSTITUTE(TRIM(B259),".",""),"-","")," ","")))-1))&amp;RIGHT(UPPER(SUBSTITUTE(SUBSTITUTE(SUBSTITUTE(TRIM(B259),".",""),"-","")," ","")),1),UPPER(SUBSTITUTE(SUBSTITUTE(SUBSTITUTE(TRIM(B259),".",""),"-","")," ",""))))</f>
        <v/>
      </c>
      <c r="N259" s="62" t="str">
        <f aca="false">IF(B259="","",IF(D259="Anexo de modificación","No","Sí"))</f>
        <v/>
      </c>
      <c r="O259" s="62" t="str">
        <f aca="false">IF(AND(N259="Sí",ISNUMBER(F259)),COUNTIFS(C_RUTN,M259,C_DEF,"Sí",C_INI,"&lt;"&amp;F259)+COUNTIFS(M$7:M259,M259,N$7:N259,"Sí",F$7:F259,F259),"")</f>
        <v/>
      </c>
      <c r="P259" s="62" t="str">
        <f aca="false">IF(O259="","",M259&amp;"-P"&amp;O259)</f>
        <v/>
      </c>
      <c r="Q259" s="62" t="str">
        <f aca="false">IF(AND(N259="Sí",E259="Plazo fijo",ISNUMBER(F259)),COUNTIFS(C_RUTN,M259,C_TIPO,"Plazo fijo",C_DEF,"Sí",C_INI,"&lt;"&amp;F259)+COUNTIFS(M$7:M259,M259,E$7:E259,"Plazo fijo",N$7:N259,"Sí",F$7:F259,F259),"")</f>
        <v/>
      </c>
      <c r="R259" s="62" t="str">
        <f aca="false">IF(AND(B259&lt;&gt;"",ISNUMBER(H259),ISNUMBER(F259)),COUNTIFS(C_RUTN,M259,C_SUELDO,"&lt;&gt;",C_INI,"&lt;"&amp;F259)+COUNTIFS(M$7:M259,M259,H$7:H259,"&lt;&gt;",F$7:F259,F259),"")</f>
        <v/>
      </c>
      <c r="S259" s="62" t="str">
        <f aca="false">IF(R259="","",M259&amp;"-S"&amp;R259)</f>
        <v/>
      </c>
    </row>
    <row r="260" customFormat="false" ht="15" hidden="false" customHeight="false" outlineLevel="0" collapsed="false">
      <c r="B260" s="58"/>
      <c r="C260" s="62" t="str">
        <f aca="false">IF(B260="","",IFERROR(INDEX(T_NOMBRE,MATCH(M260,T_RUTN,0)),"⚠ RUT no está en Trabajadores"))</f>
        <v/>
      </c>
      <c r="D260" s="58"/>
      <c r="E260" s="58"/>
      <c r="F260" s="59"/>
      <c r="G260" s="59"/>
      <c r="H260" s="60"/>
      <c r="I260" s="58"/>
      <c r="J260" s="58"/>
      <c r="K260" s="58"/>
      <c r="L260" s="62" t="str">
        <f aca="false">IF(B260="","",IF(LEFT(C260,1)="⚠","⚠ Registre primero al trabajador en la hoja Trabajadores",IF(AND(N260="Sí",OR(E260="",NOT(ISNUMBER(F260)))),"⚠ Falta tipo de contrato o fecha de inicio",IF(NOT(ISNUMBER(F260)),"⚠ Falta fecha de inicio",IF(AND(N260="Sí",E260&lt;&gt;"Indefinido",NOT(ISNUMBER(G260))),"⚠ Falta fecha de término",IF(AND(D260="Paso a indefinido",E260&lt;&gt;"Indefinido"),"⚠ Un paso a indefinido debe tener tipo Indefinido",IF(N(Q260)&gt;=3,"⚠ 3er contrato a plazo fijo: por ley ya es INDEFINIDO (Art. 159 N°4)",IF(AND(E260="Plazo fijo",ISNUMBER(G260),(G260-F260+1)/30.4375&gt;12),"⚠ Plazo fijo mayor a 1 año (máximo legal)",IF(J260&lt;&gt;"Sí","Pendiente de firma","OK")))))))))</f>
        <v/>
      </c>
      <c r="M260" s="62" t="str">
        <f aca="false">IF(B260="","",IFERROR(VALUE(LEFT(UPPER(SUBSTITUTE(SUBSTITUTE(SUBSTITUTE(TRIM(B260),".",""),"-","")," ","")),LEN(UPPER(SUBSTITUTE(SUBSTITUTE(SUBSTITUTE(TRIM(B260),".",""),"-","")," ","")))-1))&amp;RIGHT(UPPER(SUBSTITUTE(SUBSTITUTE(SUBSTITUTE(TRIM(B260),".",""),"-","")," ","")),1),UPPER(SUBSTITUTE(SUBSTITUTE(SUBSTITUTE(TRIM(B260),".",""),"-","")," ",""))))</f>
        <v/>
      </c>
      <c r="N260" s="62" t="str">
        <f aca="false">IF(B260="","",IF(D260="Anexo de modificación","No","Sí"))</f>
        <v/>
      </c>
      <c r="O260" s="62" t="str">
        <f aca="false">IF(AND(N260="Sí",ISNUMBER(F260)),COUNTIFS(C_RUTN,M260,C_DEF,"Sí",C_INI,"&lt;"&amp;F260)+COUNTIFS(M$7:M260,M260,N$7:N260,"Sí",F$7:F260,F260),"")</f>
        <v/>
      </c>
      <c r="P260" s="62" t="str">
        <f aca="false">IF(O260="","",M260&amp;"-P"&amp;O260)</f>
        <v/>
      </c>
      <c r="Q260" s="62" t="str">
        <f aca="false">IF(AND(N260="Sí",E260="Plazo fijo",ISNUMBER(F260)),COUNTIFS(C_RUTN,M260,C_TIPO,"Plazo fijo",C_DEF,"Sí",C_INI,"&lt;"&amp;F260)+COUNTIFS(M$7:M260,M260,E$7:E260,"Plazo fijo",N$7:N260,"Sí",F$7:F260,F260),"")</f>
        <v/>
      </c>
      <c r="R260" s="62" t="str">
        <f aca="false">IF(AND(B260&lt;&gt;"",ISNUMBER(H260),ISNUMBER(F260)),COUNTIFS(C_RUTN,M260,C_SUELDO,"&lt;&gt;",C_INI,"&lt;"&amp;F260)+COUNTIFS(M$7:M260,M260,H$7:H260,"&lt;&gt;",F$7:F260,F260),"")</f>
        <v/>
      </c>
      <c r="S260" s="62" t="str">
        <f aca="false">IF(R260="","",M260&amp;"-S"&amp;R260)</f>
        <v/>
      </c>
    </row>
    <row r="261" customFormat="false" ht="15" hidden="false" customHeight="false" outlineLevel="0" collapsed="false">
      <c r="B261" s="58"/>
      <c r="C261" s="62" t="str">
        <f aca="false">IF(B261="","",IFERROR(INDEX(T_NOMBRE,MATCH(M261,T_RUTN,0)),"⚠ RUT no está en Trabajadores"))</f>
        <v/>
      </c>
      <c r="D261" s="58"/>
      <c r="E261" s="58"/>
      <c r="F261" s="59"/>
      <c r="G261" s="59"/>
      <c r="H261" s="60"/>
      <c r="I261" s="58"/>
      <c r="J261" s="58"/>
      <c r="K261" s="58"/>
      <c r="L261" s="62" t="str">
        <f aca="false">IF(B261="","",IF(LEFT(C261,1)="⚠","⚠ Registre primero al trabajador en la hoja Trabajadores",IF(AND(N261="Sí",OR(E261="",NOT(ISNUMBER(F261)))),"⚠ Falta tipo de contrato o fecha de inicio",IF(NOT(ISNUMBER(F261)),"⚠ Falta fecha de inicio",IF(AND(N261="Sí",E261&lt;&gt;"Indefinido",NOT(ISNUMBER(G261))),"⚠ Falta fecha de término",IF(AND(D261="Paso a indefinido",E261&lt;&gt;"Indefinido"),"⚠ Un paso a indefinido debe tener tipo Indefinido",IF(N(Q261)&gt;=3,"⚠ 3er contrato a plazo fijo: por ley ya es INDEFINIDO (Art. 159 N°4)",IF(AND(E261="Plazo fijo",ISNUMBER(G261),(G261-F261+1)/30.4375&gt;12),"⚠ Plazo fijo mayor a 1 año (máximo legal)",IF(J261&lt;&gt;"Sí","Pendiente de firma","OK")))))))))</f>
        <v/>
      </c>
      <c r="M261" s="62" t="str">
        <f aca="false">IF(B261="","",IFERROR(VALUE(LEFT(UPPER(SUBSTITUTE(SUBSTITUTE(SUBSTITUTE(TRIM(B261),".",""),"-","")," ","")),LEN(UPPER(SUBSTITUTE(SUBSTITUTE(SUBSTITUTE(TRIM(B261),".",""),"-","")," ","")))-1))&amp;RIGHT(UPPER(SUBSTITUTE(SUBSTITUTE(SUBSTITUTE(TRIM(B261),".",""),"-","")," ","")),1),UPPER(SUBSTITUTE(SUBSTITUTE(SUBSTITUTE(TRIM(B261),".",""),"-","")," ",""))))</f>
        <v/>
      </c>
      <c r="N261" s="62" t="str">
        <f aca="false">IF(B261="","",IF(D261="Anexo de modificación","No","Sí"))</f>
        <v/>
      </c>
      <c r="O261" s="62" t="str">
        <f aca="false">IF(AND(N261="Sí",ISNUMBER(F261)),COUNTIFS(C_RUTN,M261,C_DEF,"Sí",C_INI,"&lt;"&amp;F261)+COUNTIFS(M$7:M261,M261,N$7:N261,"Sí",F$7:F261,F261),"")</f>
        <v/>
      </c>
      <c r="P261" s="62" t="str">
        <f aca="false">IF(O261="","",M261&amp;"-P"&amp;O261)</f>
        <v/>
      </c>
      <c r="Q261" s="62" t="str">
        <f aca="false">IF(AND(N261="Sí",E261="Plazo fijo",ISNUMBER(F261)),COUNTIFS(C_RUTN,M261,C_TIPO,"Plazo fijo",C_DEF,"Sí",C_INI,"&lt;"&amp;F261)+COUNTIFS(M$7:M261,M261,E$7:E261,"Plazo fijo",N$7:N261,"Sí",F$7:F261,F261),"")</f>
        <v/>
      </c>
      <c r="R261" s="62" t="str">
        <f aca="false">IF(AND(B261&lt;&gt;"",ISNUMBER(H261),ISNUMBER(F261)),COUNTIFS(C_RUTN,M261,C_SUELDO,"&lt;&gt;",C_INI,"&lt;"&amp;F261)+COUNTIFS(M$7:M261,M261,H$7:H261,"&lt;&gt;",F$7:F261,F261),"")</f>
        <v/>
      </c>
      <c r="S261" s="62" t="str">
        <f aca="false">IF(R261="","",M261&amp;"-S"&amp;R261)</f>
        <v/>
      </c>
    </row>
    <row r="262" customFormat="false" ht="15" hidden="false" customHeight="false" outlineLevel="0" collapsed="false">
      <c r="B262" s="58"/>
      <c r="C262" s="62" t="str">
        <f aca="false">IF(B262="","",IFERROR(INDEX(T_NOMBRE,MATCH(M262,T_RUTN,0)),"⚠ RUT no está en Trabajadores"))</f>
        <v/>
      </c>
      <c r="D262" s="58"/>
      <c r="E262" s="58"/>
      <c r="F262" s="59"/>
      <c r="G262" s="59"/>
      <c r="H262" s="60"/>
      <c r="I262" s="58"/>
      <c r="J262" s="58"/>
      <c r="K262" s="58"/>
      <c r="L262" s="62" t="str">
        <f aca="false">IF(B262="","",IF(LEFT(C262,1)="⚠","⚠ Registre primero al trabajador en la hoja Trabajadores",IF(AND(N262="Sí",OR(E262="",NOT(ISNUMBER(F262)))),"⚠ Falta tipo de contrato o fecha de inicio",IF(NOT(ISNUMBER(F262)),"⚠ Falta fecha de inicio",IF(AND(N262="Sí",E262&lt;&gt;"Indefinido",NOT(ISNUMBER(G262))),"⚠ Falta fecha de término",IF(AND(D262="Paso a indefinido",E262&lt;&gt;"Indefinido"),"⚠ Un paso a indefinido debe tener tipo Indefinido",IF(N(Q262)&gt;=3,"⚠ 3er contrato a plazo fijo: por ley ya es INDEFINIDO (Art. 159 N°4)",IF(AND(E262="Plazo fijo",ISNUMBER(G262),(G262-F262+1)/30.4375&gt;12),"⚠ Plazo fijo mayor a 1 año (máximo legal)",IF(J262&lt;&gt;"Sí","Pendiente de firma","OK")))))))))</f>
        <v/>
      </c>
      <c r="M262" s="62" t="str">
        <f aca="false">IF(B262="","",IFERROR(VALUE(LEFT(UPPER(SUBSTITUTE(SUBSTITUTE(SUBSTITUTE(TRIM(B262),".",""),"-","")," ","")),LEN(UPPER(SUBSTITUTE(SUBSTITUTE(SUBSTITUTE(TRIM(B262),".",""),"-","")," ","")))-1))&amp;RIGHT(UPPER(SUBSTITUTE(SUBSTITUTE(SUBSTITUTE(TRIM(B262),".",""),"-","")," ","")),1),UPPER(SUBSTITUTE(SUBSTITUTE(SUBSTITUTE(TRIM(B262),".",""),"-","")," ",""))))</f>
        <v/>
      </c>
      <c r="N262" s="62" t="str">
        <f aca="false">IF(B262="","",IF(D262="Anexo de modificación","No","Sí"))</f>
        <v/>
      </c>
      <c r="O262" s="62" t="str">
        <f aca="false">IF(AND(N262="Sí",ISNUMBER(F262)),COUNTIFS(C_RUTN,M262,C_DEF,"Sí",C_INI,"&lt;"&amp;F262)+COUNTIFS(M$7:M262,M262,N$7:N262,"Sí",F$7:F262,F262),"")</f>
        <v/>
      </c>
      <c r="P262" s="62" t="str">
        <f aca="false">IF(O262="","",M262&amp;"-P"&amp;O262)</f>
        <v/>
      </c>
      <c r="Q262" s="62" t="str">
        <f aca="false">IF(AND(N262="Sí",E262="Plazo fijo",ISNUMBER(F262)),COUNTIFS(C_RUTN,M262,C_TIPO,"Plazo fijo",C_DEF,"Sí",C_INI,"&lt;"&amp;F262)+COUNTIFS(M$7:M262,M262,E$7:E262,"Plazo fijo",N$7:N262,"Sí",F$7:F262,F262),"")</f>
        <v/>
      </c>
      <c r="R262" s="62" t="str">
        <f aca="false">IF(AND(B262&lt;&gt;"",ISNUMBER(H262),ISNUMBER(F262)),COUNTIFS(C_RUTN,M262,C_SUELDO,"&lt;&gt;",C_INI,"&lt;"&amp;F262)+COUNTIFS(M$7:M262,M262,H$7:H262,"&lt;&gt;",F$7:F262,F262),"")</f>
        <v/>
      </c>
      <c r="S262" s="62" t="str">
        <f aca="false">IF(R262="","",M262&amp;"-S"&amp;R262)</f>
        <v/>
      </c>
    </row>
    <row r="263" customFormat="false" ht="15" hidden="false" customHeight="false" outlineLevel="0" collapsed="false">
      <c r="B263" s="58"/>
      <c r="C263" s="62" t="str">
        <f aca="false">IF(B263="","",IFERROR(INDEX(T_NOMBRE,MATCH(M263,T_RUTN,0)),"⚠ RUT no está en Trabajadores"))</f>
        <v/>
      </c>
      <c r="D263" s="58"/>
      <c r="E263" s="58"/>
      <c r="F263" s="59"/>
      <c r="G263" s="59"/>
      <c r="H263" s="60"/>
      <c r="I263" s="58"/>
      <c r="J263" s="58"/>
      <c r="K263" s="58"/>
      <c r="L263" s="62" t="str">
        <f aca="false">IF(B263="","",IF(LEFT(C263,1)="⚠","⚠ Registre primero al trabajador en la hoja Trabajadores",IF(AND(N263="Sí",OR(E263="",NOT(ISNUMBER(F263)))),"⚠ Falta tipo de contrato o fecha de inicio",IF(NOT(ISNUMBER(F263)),"⚠ Falta fecha de inicio",IF(AND(N263="Sí",E263&lt;&gt;"Indefinido",NOT(ISNUMBER(G263))),"⚠ Falta fecha de término",IF(AND(D263="Paso a indefinido",E263&lt;&gt;"Indefinido"),"⚠ Un paso a indefinido debe tener tipo Indefinido",IF(N(Q263)&gt;=3,"⚠ 3er contrato a plazo fijo: por ley ya es INDEFINIDO (Art. 159 N°4)",IF(AND(E263="Plazo fijo",ISNUMBER(G263),(G263-F263+1)/30.4375&gt;12),"⚠ Plazo fijo mayor a 1 año (máximo legal)",IF(J263&lt;&gt;"Sí","Pendiente de firma","OK")))))))))</f>
        <v/>
      </c>
      <c r="M263" s="62" t="str">
        <f aca="false">IF(B263="","",IFERROR(VALUE(LEFT(UPPER(SUBSTITUTE(SUBSTITUTE(SUBSTITUTE(TRIM(B263),".",""),"-","")," ","")),LEN(UPPER(SUBSTITUTE(SUBSTITUTE(SUBSTITUTE(TRIM(B263),".",""),"-","")," ","")))-1))&amp;RIGHT(UPPER(SUBSTITUTE(SUBSTITUTE(SUBSTITUTE(TRIM(B263),".",""),"-","")," ","")),1),UPPER(SUBSTITUTE(SUBSTITUTE(SUBSTITUTE(TRIM(B263),".",""),"-","")," ",""))))</f>
        <v/>
      </c>
      <c r="N263" s="62" t="str">
        <f aca="false">IF(B263="","",IF(D263="Anexo de modificación","No","Sí"))</f>
        <v/>
      </c>
      <c r="O263" s="62" t="str">
        <f aca="false">IF(AND(N263="Sí",ISNUMBER(F263)),COUNTIFS(C_RUTN,M263,C_DEF,"Sí",C_INI,"&lt;"&amp;F263)+COUNTIFS(M$7:M263,M263,N$7:N263,"Sí",F$7:F263,F263),"")</f>
        <v/>
      </c>
      <c r="P263" s="62" t="str">
        <f aca="false">IF(O263="","",M263&amp;"-P"&amp;O263)</f>
        <v/>
      </c>
      <c r="Q263" s="62" t="str">
        <f aca="false">IF(AND(N263="Sí",E263="Plazo fijo",ISNUMBER(F263)),COUNTIFS(C_RUTN,M263,C_TIPO,"Plazo fijo",C_DEF,"Sí",C_INI,"&lt;"&amp;F263)+COUNTIFS(M$7:M263,M263,E$7:E263,"Plazo fijo",N$7:N263,"Sí",F$7:F263,F263),"")</f>
        <v/>
      </c>
      <c r="R263" s="62" t="str">
        <f aca="false">IF(AND(B263&lt;&gt;"",ISNUMBER(H263),ISNUMBER(F263)),COUNTIFS(C_RUTN,M263,C_SUELDO,"&lt;&gt;",C_INI,"&lt;"&amp;F263)+COUNTIFS(M$7:M263,M263,H$7:H263,"&lt;&gt;",F$7:F263,F263),"")</f>
        <v/>
      </c>
      <c r="S263" s="62" t="str">
        <f aca="false">IF(R263="","",M263&amp;"-S"&amp;R263)</f>
        <v/>
      </c>
    </row>
    <row r="264" customFormat="false" ht="15" hidden="false" customHeight="false" outlineLevel="0" collapsed="false">
      <c r="B264" s="58"/>
      <c r="C264" s="62" t="str">
        <f aca="false">IF(B264="","",IFERROR(INDEX(T_NOMBRE,MATCH(M264,T_RUTN,0)),"⚠ RUT no está en Trabajadores"))</f>
        <v/>
      </c>
      <c r="D264" s="58"/>
      <c r="E264" s="58"/>
      <c r="F264" s="59"/>
      <c r="G264" s="59"/>
      <c r="H264" s="60"/>
      <c r="I264" s="58"/>
      <c r="J264" s="58"/>
      <c r="K264" s="58"/>
      <c r="L264" s="62" t="str">
        <f aca="false">IF(B264="","",IF(LEFT(C264,1)="⚠","⚠ Registre primero al trabajador en la hoja Trabajadores",IF(AND(N264="Sí",OR(E264="",NOT(ISNUMBER(F264)))),"⚠ Falta tipo de contrato o fecha de inicio",IF(NOT(ISNUMBER(F264)),"⚠ Falta fecha de inicio",IF(AND(N264="Sí",E264&lt;&gt;"Indefinido",NOT(ISNUMBER(G264))),"⚠ Falta fecha de término",IF(AND(D264="Paso a indefinido",E264&lt;&gt;"Indefinido"),"⚠ Un paso a indefinido debe tener tipo Indefinido",IF(N(Q264)&gt;=3,"⚠ 3er contrato a plazo fijo: por ley ya es INDEFINIDO (Art. 159 N°4)",IF(AND(E264="Plazo fijo",ISNUMBER(G264),(G264-F264+1)/30.4375&gt;12),"⚠ Plazo fijo mayor a 1 año (máximo legal)",IF(J264&lt;&gt;"Sí","Pendiente de firma","OK")))))))))</f>
        <v/>
      </c>
      <c r="M264" s="62" t="str">
        <f aca="false">IF(B264="","",IFERROR(VALUE(LEFT(UPPER(SUBSTITUTE(SUBSTITUTE(SUBSTITUTE(TRIM(B264),".",""),"-","")," ","")),LEN(UPPER(SUBSTITUTE(SUBSTITUTE(SUBSTITUTE(TRIM(B264),".",""),"-","")," ","")))-1))&amp;RIGHT(UPPER(SUBSTITUTE(SUBSTITUTE(SUBSTITUTE(TRIM(B264),".",""),"-","")," ","")),1),UPPER(SUBSTITUTE(SUBSTITUTE(SUBSTITUTE(TRIM(B264),".",""),"-","")," ",""))))</f>
        <v/>
      </c>
      <c r="N264" s="62" t="str">
        <f aca="false">IF(B264="","",IF(D264="Anexo de modificación","No","Sí"))</f>
        <v/>
      </c>
      <c r="O264" s="62" t="str">
        <f aca="false">IF(AND(N264="Sí",ISNUMBER(F264)),COUNTIFS(C_RUTN,M264,C_DEF,"Sí",C_INI,"&lt;"&amp;F264)+COUNTIFS(M$7:M264,M264,N$7:N264,"Sí",F$7:F264,F264),"")</f>
        <v/>
      </c>
      <c r="P264" s="62" t="str">
        <f aca="false">IF(O264="","",M264&amp;"-P"&amp;O264)</f>
        <v/>
      </c>
      <c r="Q264" s="62" t="str">
        <f aca="false">IF(AND(N264="Sí",E264="Plazo fijo",ISNUMBER(F264)),COUNTIFS(C_RUTN,M264,C_TIPO,"Plazo fijo",C_DEF,"Sí",C_INI,"&lt;"&amp;F264)+COUNTIFS(M$7:M264,M264,E$7:E264,"Plazo fijo",N$7:N264,"Sí",F$7:F264,F264),"")</f>
        <v/>
      </c>
      <c r="R264" s="62" t="str">
        <f aca="false">IF(AND(B264&lt;&gt;"",ISNUMBER(H264),ISNUMBER(F264)),COUNTIFS(C_RUTN,M264,C_SUELDO,"&lt;&gt;",C_INI,"&lt;"&amp;F264)+COUNTIFS(M$7:M264,M264,H$7:H264,"&lt;&gt;",F$7:F264,F264),"")</f>
        <v/>
      </c>
      <c r="S264" s="62" t="str">
        <f aca="false">IF(R264="","",M264&amp;"-S"&amp;R264)</f>
        <v/>
      </c>
    </row>
    <row r="265" customFormat="false" ht="15" hidden="false" customHeight="false" outlineLevel="0" collapsed="false">
      <c r="B265" s="58"/>
      <c r="C265" s="62" t="str">
        <f aca="false">IF(B265="","",IFERROR(INDEX(T_NOMBRE,MATCH(M265,T_RUTN,0)),"⚠ RUT no está en Trabajadores"))</f>
        <v/>
      </c>
      <c r="D265" s="58"/>
      <c r="E265" s="58"/>
      <c r="F265" s="59"/>
      <c r="G265" s="59"/>
      <c r="H265" s="60"/>
      <c r="I265" s="58"/>
      <c r="J265" s="58"/>
      <c r="K265" s="58"/>
      <c r="L265" s="62" t="str">
        <f aca="false">IF(B265="","",IF(LEFT(C265,1)="⚠","⚠ Registre primero al trabajador en la hoja Trabajadores",IF(AND(N265="Sí",OR(E265="",NOT(ISNUMBER(F265)))),"⚠ Falta tipo de contrato o fecha de inicio",IF(NOT(ISNUMBER(F265)),"⚠ Falta fecha de inicio",IF(AND(N265="Sí",E265&lt;&gt;"Indefinido",NOT(ISNUMBER(G265))),"⚠ Falta fecha de término",IF(AND(D265="Paso a indefinido",E265&lt;&gt;"Indefinido"),"⚠ Un paso a indefinido debe tener tipo Indefinido",IF(N(Q265)&gt;=3,"⚠ 3er contrato a plazo fijo: por ley ya es INDEFINIDO (Art. 159 N°4)",IF(AND(E265="Plazo fijo",ISNUMBER(G265),(G265-F265+1)/30.4375&gt;12),"⚠ Plazo fijo mayor a 1 año (máximo legal)",IF(J265&lt;&gt;"Sí","Pendiente de firma","OK")))))))))</f>
        <v/>
      </c>
      <c r="M265" s="62" t="str">
        <f aca="false">IF(B265="","",IFERROR(VALUE(LEFT(UPPER(SUBSTITUTE(SUBSTITUTE(SUBSTITUTE(TRIM(B265),".",""),"-","")," ","")),LEN(UPPER(SUBSTITUTE(SUBSTITUTE(SUBSTITUTE(TRIM(B265),".",""),"-","")," ","")))-1))&amp;RIGHT(UPPER(SUBSTITUTE(SUBSTITUTE(SUBSTITUTE(TRIM(B265),".",""),"-","")," ","")),1),UPPER(SUBSTITUTE(SUBSTITUTE(SUBSTITUTE(TRIM(B265),".",""),"-","")," ",""))))</f>
        <v/>
      </c>
      <c r="N265" s="62" t="str">
        <f aca="false">IF(B265="","",IF(D265="Anexo de modificación","No","Sí"))</f>
        <v/>
      </c>
      <c r="O265" s="62" t="str">
        <f aca="false">IF(AND(N265="Sí",ISNUMBER(F265)),COUNTIFS(C_RUTN,M265,C_DEF,"Sí",C_INI,"&lt;"&amp;F265)+COUNTIFS(M$7:M265,M265,N$7:N265,"Sí",F$7:F265,F265),"")</f>
        <v/>
      </c>
      <c r="P265" s="62" t="str">
        <f aca="false">IF(O265="","",M265&amp;"-P"&amp;O265)</f>
        <v/>
      </c>
      <c r="Q265" s="62" t="str">
        <f aca="false">IF(AND(N265="Sí",E265="Plazo fijo",ISNUMBER(F265)),COUNTIFS(C_RUTN,M265,C_TIPO,"Plazo fijo",C_DEF,"Sí",C_INI,"&lt;"&amp;F265)+COUNTIFS(M$7:M265,M265,E$7:E265,"Plazo fijo",N$7:N265,"Sí",F$7:F265,F265),"")</f>
        <v/>
      </c>
      <c r="R265" s="62" t="str">
        <f aca="false">IF(AND(B265&lt;&gt;"",ISNUMBER(H265),ISNUMBER(F265)),COUNTIFS(C_RUTN,M265,C_SUELDO,"&lt;&gt;",C_INI,"&lt;"&amp;F265)+COUNTIFS(M$7:M265,M265,H$7:H265,"&lt;&gt;",F$7:F265,F265),"")</f>
        <v/>
      </c>
      <c r="S265" s="62" t="str">
        <f aca="false">IF(R265="","",M265&amp;"-S"&amp;R265)</f>
        <v/>
      </c>
    </row>
    <row r="266" customFormat="false" ht="15" hidden="false" customHeight="false" outlineLevel="0" collapsed="false">
      <c r="B266" s="58"/>
      <c r="C266" s="62" t="str">
        <f aca="false">IF(B266="","",IFERROR(INDEX(T_NOMBRE,MATCH(M266,T_RUTN,0)),"⚠ RUT no está en Trabajadores"))</f>
        <v/>
      </c>
      <c r="D266" s="58"/>
      <c r="E266" s="58"/>
      <c r="F266" s="59"/>
      <c r="G266" s="59"/>
      <c r="H266" s="60"/>
      <c r="I266" s="58"/>
      <c r="J266" s="58"/>
      <c r="K266" s="58"/>
      <c r="L266" s="62" t="str">
        <f aca="false">IF(B266="","",IF(LEFT(C266,1)="⚠","⚠ Registre primero al trabajador en la hoja Trabajadores",IF(AND(N266="Sí",OR(E266="",NOT(ISNUMBER(F266)))),"⚠ Falta tipo de contrato o fecha de inicio",IF(NOT(ISNUMBER(F266)),"⚠ Falta fecha de inicio",IF(AND(N266="Sí",E266&lt;&gt;"Indefinido",NOT(ISNUMBER(G266))),"⚠ Falta fecha de término",IF(AND(D266="Paso a indefinido",E266&lt;&gt;"Indefinido"),"⚠ Un paso a indefinido debe tener tipo Indefinido",IF(N(Q266)&gt;=3,"⚠ 3er contrato a plazo fijo: por ley ya es INDEFINIDO (Art. 159 N°4)",IF(AND(E266="Plazo fijo",ISNUMBER(G266),(G266-F266+1)/30.4375&gt;12),"⚠ Plazo fijo mayor a 1 año (máximo legal)",IF(J266&lt;&gt;"Sí","Pendiente de firma","OK")))))))))</f>
        <v/>
      </c>
      <c r="M266" s="62" t="str">
        <f aca="false">IF(B266="","",IFERROR(VALUE(LEFT(UPPER(SUBSTITUTE(SUBSTITUTE(SUBSTITUTE(TRIM(B266),".",""),"-","")," ","")),LEN(UPPER(SUBSTITUTE(SUBSTITUTE(SUBSTITUTE(TRIM(B266),".",""),"-","")," ","")))-1))&amp;RIGHT(UPPER(SUBSTITUTE(SUBSTITUTE(SUBSTITUTE(TRIM(B266),".",""),"-","")," ","")),1),UPPER(SUBSTITUTE(SUBSTITUTE(SUBSTITUTE(TRIM(B266),".",""),"-","")," ",""))))</f>
        <v/>
      </c>
      <c r="N266" s="62" t="str">
        <f aca="false">IF(B266="","",IF(D266="Anexo de modificación","No","Sí"))</f>
        <v/>
      </c>
      <c r="O266" s="62" t="str">
        <f aca="false">IF(AND(N266="Sí",ISNUMBER(F266)),COUNTIFS(C_RUTN,M266,C_DEF,"Sí",C_INI,"&lt;"&amp;F266)+COUNTIFS(M$7:M266,M266,N$7:N266,"Sí",F$7:F266,F266),"")</f>
        <v/>
      </c>
      <c r="P266" s="62" t="str">
        <f aca="false">IF(O266="","",M266&amp;"-P"&amp;O266)</f>
        <v/>
      </c>
      <c r="Q266" s="62" t="str">
        <f aca="false">IF(AND(N266="Sí",E266="Plazo fijo",ISNUMBER(F266)),COUNTIFS(C_RUTN,M266,C_TIPO,"Plazo fijo",C_DEF,"Sí",C_INI,"&lt;"&amp;F266)+COUNTIFS(M$7:M266,M266,E$7:E266,"Plazo fijo",N$7:N266,"Sí",F$7:F266,F266),"")</f>
        <v/>
      </c>
      <c r="R266" s="62" t="str">
        <f aca="false">IF(AND(B266&lt;&gt;"",ISNUMBER(H266),ISNUMBER(F266)),COUNTIFS(C_RUTN,M266,C_SUELDO,"&lt;&gt;",C_INI,"&lt;"&amp;F266)+COUNTIFS(M$7:M266,M266,H$7:H266,"&lt;&gt;",F$7:F266,F266),"")</f>
        <v/>
      </c>
      <c r="S266" s="62" t="str">
        <f aca="false">IF(R266="","",M266&amp;"-S"&amp;R266)</f>
        <v/>
      </c>
    </row>
    <row r="267" customFormat="false" ht="15" hidden="false" customHeight="false" outlineLevel="0" collapsed="false">
      <c r="B267" s="58"/>
      <c r="C267" s="62" t="str">
        <f aca="false">IF(B267="","",IFERROR(INDEX(T_NOMBRE,MATCH(M267,T_RUTN,0)),"⚠ RUT no está en Trabajadores"))</f>
        <v/>
      </c>
      <c r="D267" s="58"/>
      <c r="E267" s="58"/>
      <c r="F267" s="59"/>
      <c r="G267" s="59"/>
      <c r="H267" s="60"/>
      <c r="I267" s="58"/>
      <c r="J267" s="58"/>
      <c r="K267" s="58"/>
      <c r="L267" s="62" t="str">
        <f aca="false">IF(B267="","",IF(LEFT(C267,1)="⚠","⚠ Registre primero al trabajador en la hoja Trabajadores",IF(AND(N267="Sí",OR(E267="",NOT(ISNUMBER(F267)))),"⚠ Falta tipo de contrato o fecha de inicio",IF(NOT(ISNUMBER(F267)),"⚠ Falta fecha de inicio",IF(AND(N267="Sí",E267&lt;&gt;"Indefinido",NOT(ISNUMBER(G267))),"⚠ Falta fecha de término",IF(AND(D267="Paso a indefinido",E267&lt;&gt;"Indefinido"),"⚠ Un paso a indefinido debe tener tipo Indefinido",IF(N(Q267)&gt;=3,"⚠ 3er contrato a plazo fijo: por ley ya es INDEFINIDO (Art. 159 N°4)",IF(AND(E267="Plazo fijo",ISNUMBER(G267),(G267-F267+1)/30.4375&gt;12),"⚠ Plazo fijo mayor a 1 año (máximo legal)",IF(J267&lt;&gt;"Sí","Pendiente de firma","OK")))))))))</f>
        <v/>
      </c>
      <c r="M267" s="62" t="str">
        <f aca="false">IF(B267="","",IFERROR(VALUE(LEFT(UPPER(SUBSTITUTE(SUBSTITUTE(SUBSTITUTE(TRIM(B267),".",""),"-","")," ","")),LEN(UPPER(SUBSTITUTE(SUBSTITUTE(SUBSTITUTE(TRIM(B267),".",""),"-","")," ","")))-1))&amp;RIGHT(UPPER(SUBSTITUTE(SUBSTITUTE(SUBSTITUTE(TRIM(B267),".",""),"-","")," ","")),1),UPPER(SUBSTITUTE(SUBSTITUTE(SUBSTITUTE(TRIM(B267),".",""),"-","")," ",""))))</f>
        <v/>
      </c>
      <c r="N267" s="62" t="str">
        <f aca="false">IF(B267="","",IF(D267="Anexo de modificación","No","Sí"))</f>
        <v/>
      </c>
      <c r="O267" s="62" t="str">
        <f aca="false">IF(AND(N267="Sí",ISNUMBER(F267)),COUNTIFS(C_RUTN,M267,C_DEF,"Sí",C_INI,"&lt;"&amp;F267)+COUNTIFS(M$7:M267,M267,N$7:N267,"Sí",F$7:F267,F267),"")</f>
        <v/>
      </c>
      <c r="P267" s="62" t="str">
        <f aca="false">IF(O267="","",M267&amp;"-P"&amp;O267)</f>
        <v/>
      </c>
      <c r="Q267" s="62" t="str">
        <f aca="false">IF(AND(N267="Sí",E267="Plazo fijo",ISNUMBER(F267)),COUNTIFS(C_RUTN,M267,C_TIPO,"Plazo fijo",C_DEF,"Sí",C_INI,"&lt;"&amp;F267)+COUNTIFS(M$7:M267,M267,E$7:E267,"Plazo fijo",N$7:N267,"Sí",F$7:F267,F267),"")</f>
        <v/>
      </c>
      <c r="R267" s="62" t="str">
        <f aca="false">IF(AND(B267&lt;&gt;"",ISNUMBER(H267),ISNUMBER(F267)),COUNTIFS(C_RUTN,M267,C_SUELDO,"&lt;&gt;",C_INI,"&lt;"&amp;F267)+COUNTIFS(M$7:M267,M267,H$7:H267,"&lt;&gt;",F$7:F267,F267),"")</f>
        <v/>
      </c>
      <c r="S267" s="62" t="str">
        <f aca="false">IF(R267="","",M267&amp;"-S"&amp;R267)</f>
        <v/>
      </c>
    </row>
    <row r="268" customFormat="false" ht="15" hidden="false" customHeight="false" outlineLevel="0" collapsed="false">
      <c r="B268" s="58"/>
      <c r="C268" s="62" t="str">
        <f aca="false">IF(B268="","",IFERROR(INDEX(T_NOMBRE,MATCH(M268,T_RUTN,0)),"⚠ RUT no está en Trabajadores"))</f>
        <v/>
      </c>
      <c r="D268" s="58"/>
      <c r="E268" s="58"/>
      <c r="F268" s="59"/>
      <c r="G268" s="59"/>
      <c r="H268" s="60"/>
      <c r="I268" s="58"/>
      <c r="J268" s="58"/>
      <c r="K268" s="58"/>
      <c r="L268" s="62" t="str">
        <f aca="false">IF(B268="","",IF(LEFT(C268,1)="⚠","⚠ Registre primero al trabajador en la hoja Trabajadores",IF(AND(N268="Sí",OR(E268="",NOT(ISNUMBER(F268)))),"⚠ Falta tipo de contrato o fecha de inicio",IF(NOT(ISNUMBER(F268)),"⚠ Falta fecha de inicio",IF(AND(N268="Sí",E268&lt;&gt;"Indefinido",NOT(ISNUMBER(G268))),"⚠ Falta fecha de término",IF(AND(D268="Paso a indefinido",E268&lt;&gt;"Indefinido"),"⚠ Un paso a indefinido debe tener tipo Indefinido",IF(N(Q268)&gt;=3,"⚠ 3er contrato a plazo fijo: por ley ya es INDEFINIDO (Art. 159 N°4)",IF(AND(E268="Plazo fijo",ISNUMBER(G268),(G268-F268+1)/30.4375&gt;12),"⚠ Plazo fijo mayor a 1 año (máximo legal)",IF(J268&lt;&gt;"Sí","Pendiente de firma","OK")))))))))</f>
        <v/>
      </c>
      <c r="M268" s="62" t="str">
        <f aca="false">IF(B268="","",IFERROR(VALUE(LEFT(UPPER(SUBSTITUTE(SUBSTITUTE(SUBSTITUTE(TRIM(B268),".",""),"-","")," ","")),LEN(UPPER(SUBSTITUTE(SUBSTITUTE(SUBSTITUTE(TRIM(B268),".",""),"-","")," ","")))-1))&amp;RIGHT(UPPER(SUBSTITUTE(SUBSTITUTE(SUBSTITUTE(TRIM(B268),".",""),"-","")," ","")),1),UPPER(SUBSTITUTE(SUBSTITUTE(SUBSTITUTE(TRIM(B268),".",""),"-","")," ",""))))</f>
        <v/>
      </c>
      <c r="N268" s="62" t="str">
        <f aca="false">IF(B268="","",IF(D268="Anexo de modificación","No","Sí"))</f>
        <v/>
      </c>
      <c r="O268" s="62" t="str">
        <f aca="false">IF(AND(N268="Sí",ISNUMBER(F268)),COUNTIFS(C_RUTN,M268,C_DEF,"Sí",C_INI,"&lt;"&amp;F268)+COUNTIFS(M$7:M268,M268,N$7:N268,"Sí",F$7:F268,F268),"")</f>
        <v/>
      </c>
      <c r="P268" s="62" t="str">
        <f aca="false">IF(O268="","",M268&amp;"-P"&amp;O268)</f>
        <v/>
      </c>
      <c r="Q268" s="62" t="str">
        <f aca="false">IF(AND(N268="Sí",E268="Plazo fijo",ISNUMBER(F268)),COUNTIFS(C_RUTN,M268,C_TIPO,"Plazo fijo",C_DEF,"Sí",C_INI,"&lt;"&amp;F268)+COUNTIFS(M$7:M268,M268,E$7:E268,"Plazo fijo",N$7:N268,"Sí",F$7:F268,F268),"")</f>
        <v/>
      </c>
      <c r="R268" s="62" t="str">
        <f aca="false">IF(AND(B268&lt;&gt;"",ISNUMBER(H268),ISNUMBER(F268)),COUNTIFS(C_RUTN,M268,C_SUELDO,"&lt;&gt;",C_INI,"&lt;"&amp;F268)+COUNTIFS(M$7:M268,M268,H$7:H268,"&lt;&gt;",F$7:F268,F268),"")</f>
        <v/>
      </c>
      <c r="S268" s="62" t="str">
        <f aca="false">IF(R268="","",M268&amp;"-S"&amp;R268)</f>
        <v/>
      </c>
    </row>
    <row r="269" customFormat="false" ht="15" hidden="false" customHeight="false" outlineLevel="0" collapsed="false">
      <c r="B269" s="58"/>
      <c r="C269" s="62" t="str">
        <f aca="false">IF(B269="","",IFERROR(INDEX(T_NOMBRE,MATCH(M269,T_RUTN,0)),"⚠ RUT no está en Trabajadores"))</f>
        <v/>
      </c>
      <c r="D269" s="58"/>
      <c r="E269" s="58"/>
      <c r="F269" s="59"/>
      <c r="G269" s="59"/>
      <c r="H269" s="60"/>
      <c r="I269" s="58"/>
      <c r="J269" s="58"/>
      <c r="K269" s="58"/>
      <c r="L269" s="62" t="str">
        <f aca="false">IF(B269="","",IF(LEFT(C269,1)="⚠","⚠ Registre primero al trabajador en la hoja Trabajadores",IF(AND(N269="Sí",OR(E269="",NOT(ISNUMBER(F269)))),"⚠ Falta tipo de contrato o fecha de inicio",IF(NOT(ISNUMBER(F269)),"⚠ Falta fecha de inicio",IF(AND(N269="Sí",E269&lt;&gt;"Indefinido",NOT(ISNUMBER(G269))),"⚠ Falta fecha de término",IF(AND(D269="Paso a indefinido",E269&lt;&gt;"Indefinido"),"⚠ Un paso a indefinido debe tener tipo Indefinido",IF(N(Q269)&gt;=3,"⚠ 3er contrato a plazo fijo: por ley ya es INDEFINIDO (Art. 159 N°4)",IF(AND(E269="Plazo fijo",ISNUMBER(G269),(G269-F269+1)/30.4375&gt;12),"⚠ Plazo fijo mayor a 1 año (máximo legal)",IF(J269&lt;&gt;"Sí","Pendiente de firma","OK")))))))))</f>
        <v/>
      </c>
      <c r="M269" s="62" t="str">
        <f aca="false">IF(B269="","",IFERROR(VALUE(LEFT(UPPER(SUBSTITUTE(SUBSTITUTE(SUBSTITUTE(TRIM(B269),".",""),"-","")," ","")),LEN(UPPER(SUBSTITUTE(SUBSTITUTE(SUBSTITUTE(TRIM(B269),".",""),"-","")," ","")))-1))&amp;RIGHT(UPPER(SUBSTITUTE(SUBSTITUTE(SUBSTITUTE(TRIM(B269),".",""),"-","")," ","")),1),UPPER(SUBSTITUTE(SUBSTITUTE(SUBSTITUTE(TRIM(B269),".",""),"-","")," ",""))))</f>
        <v/>
      </c>
      <c r="N269" s="62" t="str">
        <f aca="false">IF(B269="","",IF(D269="Anexo de modificación","No","Sí"))</f>
        <v/>
      </c>
      <c r="O269" s="62" t="str">
        <f aca="false">IF(AND(N269="Sí",ISNUMBER(F269)),COUNTIFS(C_RUTN,M269,C_DEF,"Sí",C_INI,"&lt;"&amp;F269)+COUNTIFS(M$7:M269,M269,N$7:N269,"Sí",F$7:F269,F269),"")</f>
        <v/>
      </c>
      <c r="P269" s="62" t="str">
        <f aca="false">IF(O269="","",M269&amp;"-P"&amp;O269)</f>
        <v/>
      </c>
      <c r="Q269" s="62" t="str">
        <f aca="false">IF(AND(N269="Sí",E269="Plazo fijo",ISNUMBER(F269)),COUNTIFS(C_RUTN,M269,C_TIPO,"Plazo fijo",C_DEF,"Sí",C_INI,"&lt;"&amp;F269)+COUNTIFS(M$7:M269,M269,E$7:E269,"Plazo fijo",N$7:N269,"Sí",F$7:F269,F269),"")</f>
        <v/>
      </c>
      <c r="R269" s="62" t="str">
        <f aca="false">IF(AND(B269&lt;&gt;"",ISNUMBER(H269),ISNUMBER(F269)),COUNTIFS(C_RUTN,M269,C_SUELDO,"&lt;&gt;",C_INI,"&lt;"&amp;F269)+COUNTIFS(M$7:M269,M269,H$7:H269,"&lt;&gt;",F$7:F269,F269),"")</f>
        <v/>
      </c>
      <c r="S269" s="62" t="str">
        <f aca="false">IF(R269="","",M269&amp;"-S"&amp;R269)</f>
        <v/>
      </c>
    </row>
    <row r="270" customFormat="false" ht="15" hidden="false" customHeight="false" outlineLevel="0" collapsed="false">
      <c r="B270" s="58"/>
      <c r="C270" s="62" t="str">
        <f aca="false">IF(B270="","",IFERROR(INDEX(T_NOMBRE,MATCH(M270,T_RUTN,0)),"⚠ RUT no está en Trabajadores"))</f>
        <v/>
      </c>
      <c r="D270" s="58"/>
      <c r="E270" s="58"/>
      <c r="F270" s="59"/>
      <c r="G270" s="59"/>
      <c r="H270" s="60"/>
      <c r="I270" s="58"/>
      <c r="J270" s="58"/>
      <c r="K270" s="58"/>
      <c r="L270" s="62" t="str">
        <f aca="false">IF(B270="","",IF(LEFT(C270,1)="⚠","⚠ Registre primero al trabajador en la hoja Trabajadores",IF(AND(N270="Sí",OR(E270="",NOT(ISNUMBER(F270)))),"⚠ Falta tipo de contrato o fecha de inicio",IF(NOT(ISNUMBER(F270)),"⚠ Falta fecha de inicio",IF(AND(N270="Sí",E270&lt;&gt;"Indefinido",NOT(ISNUMBER(G270))),"⚠ Falta fecha de término",IF(AND(D270="Paso a indefinido",E270&lt;&gt;"Indefinido"),"⚠ Un paso a indefinido debe tener tipo Indefinido",IF(N(Q270)&gt;=3,"⚠ 3er contrato a plazo fijo: por ley ya es INDEFINIDO (Art. 159 N°4)",IF(AND(E270="Plazo fijo",ISNUMBER(G270),(G270-F270+1)/30.4375&gt;12),"⚠ Plazo fijo mayor a 1 año (máximo legal)",IF(J270&lt;&gt;"Sí","Pendiente de firma","OK")))))))))</f>
        <v/>
      </c>
      <c r="M270" s="62" t="str">
        <f aca="false">IF(B270="","",IFERROR(VALUE(LEFT(UPPER(SUBSTITUTE(SUBSTITUTE(SUBSTITUTE(TRIM(B270),".",""),"-","")," ","")),LEN(UPPER(SUBSTITUTE(SUBSTITUTE(SUBSTITUTE(TRIM(B270),".",""),"-","")," ","")))-1))&amp;RIGHT(UPPER(SUBSTITUTE(SUBSTITUTE(SUBSTITUTE(TRIM(B270),".",""),"-","")," ","")),1),UPPER(SUBSTITUTE(SUBSTITUTE(SUBSTITUTE(TRIM(B270),".",""),"-","")," ",""))))</f>
        <v/>
      </c>
      <c r="N270" s="62" t="str">
        <f aca="false">IF(B270="","",IF(D270="Anexo de modificación","No","Sí"))</f>
        <v/>
      </c>
      <c r="O270" s="62" t="str">
        <f aca="false">IF(AND(N270="Sí",ISNUMBER(F270)),COUNTIFS(C_RUTN,M270,C_DEF,"Sí",C_INI,"&lt;"&amp;F270)+COUNTIFS(M$7:M270,M270,N$7:N270,"Sí",F$7:F270,F270),"")</f>
        <v/>
      </c>
      <c r="P270" s="62" t="str">
        <f aca="false">IF(O270="","",M270&amp;"-P"&amp;O270)</f>
        <v/>
      </c>
      <c r="Q270" s="62" t="str">
        <f aca="false">IF(AND(N270="Sí",E270="Plazo fijo",ISNUMBER(F270)),COUNTIFS(C_RUTN,M270,C_TIPO,"Plazo fijo",C_DEF,"Sí",C_INI,"&lt;"&amp;F270)+COUNTIFS(M$7:M270,M270,E$7:E270,"Plazo fijo",N$7:N270,"Sí",F$7:F270,F270),"")</f>
        <v/>
      </c>
      <c r="R270" s="62" t="str">
        <f aca="false">IF(AND(B270&lt;&gt;"",ISNUMBER(H270),ISNUMBER(F270)),COUNTIFS(C_RUTN,M270,C_SUELDO,"&lt;&gt;",C_INI,"&lt;"&amp;F270)+COUNTIFS(M$7:M270,M270,H$7:H270,"&lt;&gt;",F$7:F270,F270),"")</f>
        <v/>
      </c>
      <c r="S270" s="62" t="str">
        <f aca="false">IF(R270="","",M270&amp;"-S"&amp;R270)</f>
        <v/>
      </c>
    </row>
    <row r="271" customFormat="false" ht="15" hidden="false" customHeight="false" outlineLevel="0" collapsed="false">
      <c r="B271" s="58"/>
      <c r="C271" s="62" t="str">
        <f aca="false">IF(B271="","",IFERROR(INDEX(T_NOMBRE,MATCH(M271,T_RUTN,0)),"⚠ RUT no está en Trabajadores"))</f>
        <v/>
      </c>
      <c r="D271" s="58"/>
      <c r="E271" s="58"/>
      <c r="F271" s="59"/>
      <c r="G271" s="59"/>
      <c r="H271" s="60"/>
      <c r="I271" s="58"/>
      <c r="J271" s="58"/>
      <c r="K271" s="58"/>
      <c r="L271" s="62" t="str">
        <f aca="false">IF(B271="","",IF(LEFT(C271,1)="⚠","⚠ Registre primero al trabajador en la hoja Trabajadores",IF(AND(N271="Sí",OR(E271="",NOT(ISNUMBER(F271)))),"⚠ Falta tipo de contrato o fecha de inicio",IF(NOT(ISNUMBER(F271)),"⚠ Falta fecha de inicio",IF(AND(N271="Sí",E271&lt;&gt;"Indefinido",NOT(ISNUMBER(G271))),"⚠ Falta fecha de término",IF(AND(D271="Paso a indefinido",E271&lt;&gt;"Indefinido"),"⚠ Un paso a indefinido debe tener tipo Indefinido",IF(N(Q271)&gt;=3,"⚠ 3er contrato a plazo fijo: por ley ya es INDEFINIDO (Art. 159 N°4)",IF(AND(E271="Plazo fijo",ISNUMBER(G271),(G271-F271+1)/30.4375&gt;12),"⚠ Plazo fijo mayor a 1 año (máximo legal)",IF(J271&lt;&gt;"Sí","Pendiente de firma","OK")))))))))</f>
        <v/>
      </c>
      <c r="M271" s="62" t="str">
        <f aca="false">IF(B271="","",IFERROR(VALUE(LEFT(UPPER(SUBSTITUTE(SUBSTITUTE(SUBSTITUTE(TRIM(B271),".",""),"-","")," ","")),LEN(UPPER(SUBSTITUTE(SUBSTITUTE(SUBSTITUTE(TRIM(B271),".",""),"-","")," ","")))-1))&amp;RIGHT(UPPER(SUBSTITUTE(SUBSTITUTE(SUBSTITUTE(TRIM(B271),".",""),"-","")," ","")),1),UPPER(SUBSTITUTE(SUBSTITUTE(SUBSTITUTE(TRIM(B271),".",""),"-","")," ",""))))</f>
        <v/>
      </c>
      <c r="N271" s="62" t="str">
        <f aca="false">IF(B271="","",IF(D271="Anexo de modificación","No","Sí"))</f>
        <v/>
      </c>
      <c r="O271" s="62" t="str">
        <f aca="false">IF(AND(N271="Sí",ISNUMBER(F271)),COUNTIFS(C_RUTN,M271,C_DEF,"Sí",C_INI,"&lt;"&amp;F271)+COUNTIFS(M$7:M271,M271,N$7:N271,"Sí",F$7:F271,F271),"")</f>
        <v/>
      </c>
      <c r="P271" s="62" t="str">
        <f aca="false">IF(O271="","",M271&amp;"-P"&amp;O271)</f>
        <v/>
      </c>
      <c r="Q271" s="62" t="str">
        <f aca="false">IF(AND(N271="Sí",E271="Plazo fijo",ISNUMBER(F271)),COUNTIFS(C_RUTN,M271,C_TIPO,"Plazo fijo",C_DEF,"Sí",C_INI,"&lt;"&amp;F271)+COUNTIFS(M$7:M271,M271,E$7:E271,"Plazo fijo",N$7:N271,"Sí",F$7:F271,F271),"")</f>
        <v/>
      </c>
      <c r="R271" s="62" t="str">
        <f aca="false">IF(AND(B271&lt;&gt;"",ISNUMBER(H271),ISNUMBER(F271)),COUNTIFS(C_RUTN,M271,C_SUELDO,"&lt;&gt;",C_INI,"&lt;"&amp;F271)+COUNTIFS(M$7:M271,M271,H$7:H271,"&lt;&gt;",F$7:F271,F271),"")</f>
        <v/>
      </c>
      <c r="S271" s="62" t="str">
        <f aca="false">IF(R271="","",M271&amp;"-S"&amp;R271)</f>
        <v/>
      </c>
    </row>
    <row r="272" customFormat="false" ht="15" hidden="false" customHeight="false" outlineLevel="0" collapsed="false">
      <c r="B272" s="58"/>
      <c r="C272" s="62" t="str">
        <f aca="false">IF(B272="","",IFERROR(INDEX(T_NOMBRE,MATCH(M272,T_RUTN,0)),"⚠ RUT no está en Trabajadores"))</f>
        <v/>
      </c>
      <c r="D272" s="58"/>
      <c r="E272" s="58"/>
      <c r="F272" s="59"/>
      <c r="G272" s="59"/>
      <c r="H272" s="60"/>
      <c r="I272" s="58"/>
      <c r="J272" s="58"/>
      <c r="K272" s="58"/>
      <c r="L272" s="62" t="str">
        <f aca="false">IF(B272="","",IF(LEFT(C272,1)="⚠","⚠ Registre primero al trabajador en la hoja Trabajadores",IF(AND(N272="Sí",OR(E272="",NOT(ISNUMBER(F272)))),"⚠ Falta tipo de contrato o fecha de inicio",IF(NOT(ISNUMBER(F272)),"⚠ Falta fecha de inicio",IF(AND(N272="Sí",E272&lt;&gt;"Indefinido",NOT(ISNUMBER(G272))),"⚠ Falta fecha de término",IF(AND(D272="Paso a indefinido",E272&lt;&gt;"Indefinido"),"⚠ Un paso a indefinido debe tener tipo Indefinido",IF(N(Q272)&gt;=3,"⚠ 3er contrato a plazo fijo: por ley ya es INDEFINIDO (Art. 159 N°4)",IF(AND(E272="Plazo fijo",ISNUMBER(G272),(G272-F272+1)/30.4375&gt;12),"⚠ Plazo fijo mayor a 1 año (máximo legal)",IF(J272&lt;&gt;"Sí","Pendiente de firma","OK")))))))))</f>
        <v/>
      </c>
      <c r="M272" s="62" t="str">
        <f aca="false">IF(B272="","",IFERROR(VALUE(LEFT(UPPER(SUBSTITUTE(SUBSTITUTE(SUBSTITUTE(TRIM(B272),".",""),"-","")," ","")),LEN(UPPER(SUBSTITUTE(SUBSTITUTE(SUBSTITUTE(TRIM(B272),".",""),"-","")," ","")))-1))&amp;RIGHT(UPPER(SUBSTITUTE(SUBSTITUTE(SUBSTITUTE(TRIM(B272),".",""),"-","")," ","")),1),UPPER(SUBSTITUTE(SUBSTITUTE(SUBSTITUTE(TRIM(B272),".",""),"-","")," ",""))))</f>
        <v/>
      </c>
      <c r="N272" s="62" t="str">
        <f aca="false">IF(B272="","",IF(D272="Anexo de modificación","No","Sí"))</f>
        <v/>
      </c>
      <c r="O272" s="62" t="str">
        <f aca="false">IF(AND(N272="Sí",ISNUMBER(F272)),COUNTIFS(C_RUTN,M272,C_DEF,"Sí",C_INI,"&lt;"&amp;F272)+COUNTIFS(M$7:M272,M272,N$7:N272,"Sí",F$7:F272,F272),"")</f>
        <v/>
      </c>
      <c r="P272" s="62" t="str">
        <f aca="false">IF(O272="","",M272&amp;"-P"&amp;O272)</f>
        <v/>
      </c>
      <c r="Q272" s="62" t="str">
        <f aca="false">IF(AND(N272="Sí",E272="Plazo fijo",ISNUMBER(F272)),COUNTIFS(C_RUTN,M272,C_TIPO,"Plazo fijo",C_DEF,"Sí",C_INI,"&lt;"&amp;F272)+COUNTIFS(M$7:M272,M272,E$7:E272,"Plazo fijo",N$7:N272,"Sí",F$7:F272,F272),"")</f>
        <v/>
      </c>
      <c r="R272" s="62" t="str">
        <f aca="false">IF(AND(B272&lt;&gt;"",ISNUMBER(H272),ISNUMBER(F272)),COUNTIFS(C_RUTN,M272,C_SUELDO,"&lt;&gt;",C_INI,"&lt;"&amp;F272)+COUNTIFS(M$7:M272,M272,H$7:H272,"&lt;&gt;",F$7:F272,F272),"")</f>
        <v/>
      </c>
      <c r="S272" s="62" t="str">
        <f aca="false">IF(R272="","",M272&amp;"-S"&amp;R272)</f>
        <v/>
      </c>
    </row>
    <row r="273" customFormat="false" ht="15" hidden="false" customHeight="false" outlineLevel="0" collapsed="false">
      <c r="B273" s="58"/>
      <c r="C273" s="62" t="str">
        <f aca="false">IF(B273="","",IFERROR(INDEX(T_NOMBRE,MATCH(M273,T_RUTN,0)),"⚠ RUT no está en Trabajadores"))</f>
        <v/>
      </c>
      <c r="D273" s="58"/>
      <c r="E273" s="58"/>
      <c r="F273" s="59"/>
      <c r="G273" s="59"/>
      <c r="H273" s="60"/>
      <c r="I273" s="58"/>
      <c r="J273" s="58"/>
      <c r="K273" s="58"/>
      <c r="L273" s="62" t="str">
        <f aca="false">IF(B273="","",IF(LEFT(C273,1)="⚠","⚠ Registre primero al trabajador en la hoja Trabajadores",IF(AND(N273="Sí",OR(E273="",NOT(ISNUMBER(F273)))),"⚠ Falta tipo de contrato o fecha de inicio",IF(NOT(ISNUMBER(F273)),"⚠ Falta fecha de inicio",IF(AND(N273="Sí",E273&lt;&gt;"Indefinido",NOT(ISNUMBER(G273))),"⚠ Falta fecha de término",IF(AND(D273="Paso a indefinido",E273&lt;&gt;"Indefinido"),"⚠ Un paso a indefinido debe tener tipo Indefinido",IF(N(Q273)&gt;=3,"⚠ 3er contrato a plazo fijo: por ley ya es INDEFINIDO (Art. 159 N°4)",IF(AND(E273="Plazo fijo",ISNUMBER(G273),(G273-F273+1)/30.4375&gt;12),"⚠ Plazo fijo mayor a 1 año (máximo legal)",IF(J273&lt;&gt;"Sí","Pendiente de firma","OK")))))))))</f>
        <v/>
      </c>
      <c r="M273" s="62" t="str">
        <f aca="false">IF(B273="","",IFERROR(VALUE(LEFT(UPPER(SUBSTITUTE(SUBSTITUTE(SUBSTITUTE(TRIM(B273),".",""),"-","")," ","")),LEN(UPPER(SUBSTITUTE(SUBSTITUTE(SUBSTITUTE(TRIM(B273),".",""),"-","")," ","")))-1))&amp;RIGHT(UPPER(SUBSTITUTE(SUBSTITUTE(SUBSTITUTE(TRIM(B273),".",""),"-","")," ","")),1),UPPER(SUBSTITUTE(SUBSTITUTE(SUBSTITUTE(TRIM(B273),".",""),"-","")," ",""))))</f>
        <v/>
      </c>
      <c r="N273" s="62" t="str">
        <f aca="false">IF(B273="","",IF(D273="Anexo de modificación","No","Sí"))</f>
        <v/>
      </c>
      <c r="O273" s="62" t="str">
        <f aca="false">IF(AND(N273="Sí",ISNUMBER(F273)),COUNTIFS(C_RUTN,M273,C_DEF,"Sí",C_INI,"&lt;"&amp;F273)+COUNTIFS(M$7:M273,M273,N$7:N273,"Sí",F$7:F273,F273),"")</f>
        <v/>
      </c>
      <c r="P273" s="62" t="str">
        <f aca="false">IF(O273="","",M273&amp;"-P"&amp;O273)</f>
        <v/>
      </c>
      <c r="Q273" s="62" t="str">
        <f aca="false">IF(AND(N273="Sí",E273="Plazo fijo",ISNUMBER(F273)),COUNTIFS(C_RUTN,M273,C_TIPO,"Plazo fijo",C_DEF,"Sí",C_INI,"&lt;"&amp;F273)+COUNTIFS(M$7:M273,M273,E$7:E273,"Plazo fijo",N$7:N273,"Sí",F$7:F273,F273),"")</f>
        <v/>
      </c>
      <c r="R273" s="62" t="str">
        <f aca="false">IF(AND(B273&lt;&gt;"",ISNUMBER(H273),ISNUMBER(F273)),COUNTIFS(C_RUTN,M273,C_SUELDO,"&lt;&gt;",C_INI,"&lt;"&amp;F273)+COUNTIFS(M$7:M273,M273,H$7:H273,"&lt;&gt;",F$7:F273,F273),"")</f>
        <v/>
      </c>
      <c r="S273" s="62" t="str">
        <f aca="false">IF(R273="","",M273&amp;"-S"&amp;R273)</f>
        <v/>
      </c>
    </row>
    <row r="274" customFormat="false" ht="15" hidden="false" customHeight="false" outlineLevel="0" collapsed="false">
      <c r="B274" s="58"/>
      <c r="C274" s="62" t="str">
        <f aca="false">IF(B274="","",IFERROR(INDEX(T_NOMBRE,MATCH(M274,T_RUTN,0)),"⚠ RUT no está en Trabajadores"))</f>
        <v/>
      </c>
      <c r="D274" s="58"/>
      <c r="E274" s="58"/>
      <c r="F274" s="59"/>
      <c r="G274" s="59"/>
      <c r="H274" s="60"/>
      <c r="I274" s="58"/>
      <c r="J274" s="58"/>
      <c r="K274" s="58"/>
      <c r="L274" s="62" t="str">
        <f aca="false">IF(B274="","",IF(LEFT(C274,1)="⚠","⚠ Registre primero al trabajador en la hoja Trabajadores",IF(AND(N274="Sí",OR(E274="",NOT(ISNUMBER(F274)))),"⚠ Falta tipo de contrato o fecha de inicio",IF(NOT(ISNUMBER(F274)),"⚠ Falta fecha de inicio",IF(AND(N274="Sí",E274&lt;&gt;"Indefinido",NOT(ISNUMBER(G274))),"⚠ Falta fecha de término",IF(AND(D274="Paso a indefinido",E274&lt;&gt;"Indefinido"),"⚠ Un paso a indefinido debe tener tipo Indefinido",IF(N(Q274)&gt;=3,"⚠ 3er contrato a plazo fijo: por ley ya es INDEFINIDO (Art. 159 N°4)",IF(AND(E274="Plazo fijo",ISNUMBER(G274),(G274-F274+1)/30.4375&gt;12),"⚠ Plazo fijo mayor a 1 año (máximo legal)",IF(J274&lt;&gt;"Sí","Pendiente de firma","OK")))))))))</f>
        <v/>
      </c>
      <c r="M274" s="62" t="str">
        <f aca="false">IF(B274="","",IFERROR(VALUE(LEFT(UPPER(SUBSTITUTE(SUBSTITUTE(SUBSTITUTE(TRIM(B274),".",""),"-","")," ","")),LEN(UPPER(SUBSTITUTE(SUBSTITUTE(SUBSTITUTE(TRIM(B274),".",""),"-","")," ","")))-1))&amp;RIGHT(UPPER(SUBSTITUTE(SUBSTITUTE(SUBSTITUTE(TRIM(B274),".",""),"-","")," ","")),1),UPPER(SUBSTITUTE(SUBSTITUTE(SUBSTITUTE(TRIM(B274),".",""),"-","")," ",""))))</f>
        <v/>
      </c>
      <c r="N274" s="62" t="str">
        <f aca="false">IF(B274="","",IF(D274="Anexo de modificación","No","Sí"))</f>
        <v/>
      </c>
      <c r="O274" s="62" t="str">
        <f aca="false">IF(AND(N274="Sí",ISNUMBER(F274)),COUNTIFS(C_RUTN,M274,C_DEF,"Sí",C_INI,"&lt;"&amp;F274)+COUNTIFS(M$7:M274,M274,N$7:N274,"Sí",F$7:F274,F274),"")</f>
        <v/>
      </c>
      <c r="P274" s="62" t="str">
        <f aca="false">IF(O274="","",M274&amp;"-P"&amp;O274)</f>
        <v/>
      </c>
      <c r="Q274" s="62" t="str">
        <f aca="false">IF(AND(N274="Sí",E274="Plazo fijo",ISNUMBER(F274)),COUNTIFS(C_RUTN,M274,C_TIPO,"Plazo fijo",C_DEF,"Sí",C_INI,"&lt;"&amp;F274)+COUNTIFS(M$7:M274,M274,E$7:E274,"Plazo fijo",N$7:N274,"Sí",F$7:F274,F274),"")</f>
        <v/>
      </c>
      <c r="R274" s="62" t="str">
        <f aca="false">IF(AND(B274&lt;&gt;"",ISNUMBER(H274),ISNUMBER(F274)),COUNTIFS(C_RUTN,M274,C_SUELDO,"&lt;&gt;",C_INI,"&lt;"&amp;F274)+COUNTIFS(M$7:M274,M274,H$7:H274,"&lt;&gt;",F$7:F274,F274),"")</f>
        <v/>
      </c>
      <c r="S274" s="62" t="str">
        <f aca="false">IF(R274="","",M274&amp;"-S"&amp;R274)</f>
        <v/>
      </c>
    </row>
    <row r="275" customFormat="false" ht="15" hidden="false" customHeight="false" outlineLevel="0" collapsed="false">
      <c r="B275" s="58"/>
      <c r="C275" s="62" t="str">
        <f aca="false">IF(B275="","",IFERROR(INDEX(T_NOMBRE,MATCH(M275,T_RUTN,0)),"⚠ RUT no está en Trabajadores"))</f>
        <v/>
      </c>
      <c r="D275" s="58"/>
      <c r="E275" s="58"/>
      <c r="F275" s="59"/>
      <c r="G275" s="59"/>
      <c r="H275" s="60"/>
      <c r="I275" s="58"/>
      <c r="J275" s="58"/>
      <c r="K275" s="58"/>
      <c r="L275" s="62" t="str">
        <f aca="false">IF(B275="","",IF(LEFT(C275,1)="⚠","⚠ Registre primero al trabajador en la hoja Trabajadores",IF(AND(N275="Sí",OR(E275="",NOT(ISNUMBER(F275)))),"⚠ Falta tipo de contrato o fecha de inicio",IF(NOT(ISNUMBER(F275)),"⚠ Falta fecha de inicio",IF(AND(N275="Sí",E275&lt;&gt;"Indefinido",NOT(ISNUMBER(G275))),"⚠ Falta fecha de término",IF(AND(D275="Paso a indefinido",E275&lt;&gt;"Indefinido"),"⚠ Un paso a indefinido debe tener tipo Indefinido",IF(N(Q275)&gt;=3,"⚠ 3er contrato a plazo fijo: por ley ya es INDEFINIDO (Art. 159 N°4)",IF(AND(E275="Plazo fijo",ISNUMBER(G275),(G275-F275+1)/30.4375&gt;12),"⚠ Plazo fijo mayor a 1 año (máximo legal)",IF(J275&lt;&gt;"Sí","Pendiente de firma","OK")))))))))</f>
        <v/>
      </c>
      <c r="M275" s="62" t="str">
        <f aca="false">IF(B275="","",IFERROR(VALUE(LEFT(UPPER(SUBSTITUTE(SUBSTITUTE(SUBSTITUTE(TRIM(B275),".",""),"-","")," ","")),LEN(UPPER(SUBSTITUTE(SUBSTITUTE(SUBSTITUTE(TRIM(B275),".",""),"-","")," ","")))-1))&amp;RIGHT(UPPER(SUBSTITUTE(SUBSTITUTE(SUBSTITUTE(TRIM(B275),".",""),"-","")," ","")),1),UPPER(SUBSTITUTE(SUBSTITUTE(SUBSTITUTE(TRIM(B275),".",""),"-","")," ",""))))</f>
        <v/>
      </c>
      <c r="N275" s="62" t="str">
        <f aca="false">IF(B275="","",IF(D275="Anexo de modificación","No","Sí"))</f>
        <v/>
      </c>
      <c r="O275" s="62" t="str">
        <f aca="false">IF(AND(N275="Sí",ISNUMBER(F275)),COUNTIFS(C_RUTN,M275,C_DEF,"Sí",C_INI,"&lt;"&amp;F275)+COUNTIFS(M$7:M275,M275,N$7:N275,"Sí",F$7:F275,F275),"")</f>
        <v/>
      </c>
      <c r="P275" s="62" t="str">
        <f aca="false">IF(O275="","",M275&amp;"-P"&amp;O275)</f>
        <v/>
      </c>
      <c r="Q275" s="62" t="str">
        <f aca="false">IF(AND(N275="Sí",E275="Plazo fijo",ISNUMBER(F275)),COUNTIFS(C_RUTN,M275,C_TIPO,"Plazo fijo",C_DEF,"Sí",C_INI,"&lt;"&amp;F275)+COUNTIFS(M$7:M275,M275,E$7:E275,"Plazo fijo",N$7:N275,"Sí",F$7:F275,F275),"")</f>
        <v/>
      </c>
      <c r="R275" s="62" t="str">
        <f aca="false">IF(AND(B275&lt;&gt;"",ISNUMBER(H275),ISNUMBER(F275)),COUNTIFS(C_RUTN,M275,C_SUELDO,"&lt;&gt;",C_INI,"&lt;"&amp;F275)+COUNTIFS(M$7:M275,M275,H$7:H275,"&lt;&gt;",F$7:F275,F275),"")</f>
        <v/>
      </c>
      <c r="S275" s="62" t="str">
        <f aca="false">IF(R275="","",M275&amp;"-S"&amp;R275)</f>
        <v/>
      </c>
    </row>
    <row r="276" customFormat="false" ht="15" hidden="false" customHeight="false" outlineLevel="0" collapsed="false">
      <c r="B276" s="58"/>
      <c r="C276" s="62" t="str">
        <f aca="false">IF(B276="","",IFERROR(INDEX(T_NOMBRE,MATCH(M276,T_RUTN,0)),"⚠ RUT no está en Trabajadores"))</f>
        <v/>
      </c>
      <c r="D276" s="58"/>
      <c r="E276" s="58"/>
      <c r="F276" s="59"/>
      <c r="G276" s="59"/>
      <c r="H276" s="60"/>
      <c r="I276" s="58"/>
      <c r="J276" s="58"/>
      <c r="K276" s="58"/>
      <c r="L276" s="62" t="str">
        <f aca="false">IF(B276="","",IF(LEFT(C276,1)="⚠","⚠ Registre primero al trabajador en la hoja Trabajadores",IF(AND(N276="Sí",OR(E276="",NOT(ISNUMBER(F276)))),"⚠ Falta tipo de contrato o fecha de inicio",IF(NOT(ISNUMBER(F276)),"⚠ Falta fecha de inicio",IF(AND(N276="Sí",E276&lt;&gt;"Indefinido",NOT(ISNUMBER(G276))),"⚠ Falta fecha de término",IF(AND(D276="Paso a indefinido",E276&lt;&gt;"Indefinido"),"⚠ Un paso a indefinido debe tener tipo Indefinido",IF(N(Q276)&gt;=3,"⚠ 3er contrato a plazo fijo: por ley ya es INDEFINIDO (Art. 159 N°4)",IF(AND(E276="Plazo fijo",ISNUMBER(G276),(G276-F276+1)/30.4375&gt;12),"⚠ Plazo fijo mayor a 1 año (máximo legal)",IF(J276&lt;&gt;"Sí","Pendiente de firma","OK")))))))))</f>
        <v/>
      </c>
      <c r="M276" s="62" t="str">
        <f aca="false">IF(B276="","",IFERROR(VALUE(LEFT(UPPER(SUBSTITUTE(SUBSTITUTE(SUBSTITUTE(TRIM(B276),".",""),"-","")," ","")),LEN(UPPER(SUBSTITUTE(SUBSTITUTE(SUBSTITUTE(TRIM(B276),".",""),"-","")," ","")))-1))&amp;RIGHT(UPPER(SUBSTITUTE(SUBSTITUTE(SUBSTITUTE(TRIM(B276),".",""),"-","")," ","")),1),UPPER(SUBSTITUTE(SUBSTITUTE(SUBSTITUTE(TRIM(B276),".",""),"-","")," ",""))))</f>
        <v/>
      </c>
      <c r="N276" s="62" t="str">
        <f aca="false">IF(B276="","",IF(D276="Anexo de modificación","No","Sí"))</f>
        <v/>
      </c>
      <c r="O276" s="62" t="str">
        <f aca="false">IF(AND(N276="Sí",ISNUMBER(F276)),COUNTIFS(C_RUTN,M276,C_DEF,"Sí",C_INI,"&lt;"&amp;F276)+COUNTIFS(M$7:M276,M276,N$7:N276,"Sí",F$7:F276,F276),"")</f>
        <v/>
      </c>
      <c r="P276" s="62" t="str">
        <f aca="false">IF(O276="","",M276&amp;"-P"&amp;O276)</f>
        <v/>
      </c>
      <c r="Q276" s="62" t="str">
        <f aca="false">IF(AND(N276="Sí",E276="Plazo fijo",ISNUMBER(F276)),COUNTIFS(C_RUTN,M276,C_TIPO,"Plazo fijo",C_DEF,"Sí",C_INI,"&lt;"&amp;F276)+COUNTIFS(M$7:M276,M276,E$7:E276,"Plazo fijo",N$7:N276,"Sí",F$7:F276,F276),"")</f>
        <v/>
      </c>
      <c r="R276" s="62" t="str">
        <f aca="false">IF(AND(B276&lt;&gt;"",ISNUMBER(H276),ISNUMBER(F276)),COUNTIFS(C_RUTN,M276,C_SUELDO,"&lt;&gt;",C_INI,"&lt;"&amp;F276)+COUNTIFS(M$7:M276,M276,H$7:H276,"&lt;&gt;",F$7:F276,F276),"")</f>
        <v/>
      </c>
      <c r="S276" s="62" t="str">
        <f aca="false">IF(R276="","",M276&amp;"-S"&amp;R276)</f>
        <v/>
      </c>
    </row>
    <row r="277" customFormat="false" ht="15" hidden="false" customHeight="false" outlineLevel="0" collapsed="false">
      <c r="B277" s="58"/>
      <c r="C277" s="62" t="str">
        <f aca="false">IF(B277="","",IFERROR(INDEX(T_NOMBRE,MATCH(M277,T_RUTN,0)),"⚠ RUT no está en Trabajadores"))</f>
        <v/>
      </c>
      <c r="D277" s="58"/>
      <c r="E277" s="58"/>
      <c r="F277" s="59"/>
      <c r="G277" s="59"/>
      <c r="H277" s="60"/>
      <c r="I277" s="58"/>
      <c r="J277" s="58"/>
      <c r="K277" s="58"/>
      <c r="L277" s="62" t="str">
        <f aca="false">IF(B277="","",IF(LEFT(C277,1)="⚠","⚠ Registre primero al trabajador en la hoja Trabajadores",IF(AND(N277="Sí",OR(E277="",NOT(ISNUMBER(F277)))),"⚠ Falta tipo de contrato o fecha de inicio",IF(NOT(ISNUMBER(F277)),"⚠ Falta fecha de inicio",IF(AND(N277="Sí",E277&lt;&gt;"Indefinido",NOT(ISNUMBER(G277))),"⚠ Falta fecha de término",IF(AND(D277="Paso a indefinido",E277&lt;&gt;"Indefinido"),"⚠ Un paso a indefinido debe tener tipo Indefinido",IF(N(Q277)&gt;=3,"⚠ 3er contrato a plazo fijo: por ley ya es INDEFINIDO (Art. 159 N°4)",IF(AND(E277="Plazo fijo",ISNUMBER(G277),(G277-F277+1)/30.4375&gt;12),"⚠ Plazo fijo mayor a 1 año (máximo legal)",IF(J277&lt;&gt;"Sí","Pendiente de firma","OK")))))))))</f>
        <v/>
      </c>
      <c r="M277" s="62" t="str">
        <f aca="false">IF(B277="","",IFERROR(VALUE(LEFT(UPPER(SUBSTITUTE(SUBSTITUTE(SUBSTITUTE(TRIM(B277),".",""),"-","")," ","")),LEN(UPPER(SUBSTITUTE(SUBSTITUTE(SUBSTITUTE(TRIM(B277),".",""),"-","")," ","")))-1))&amp;RIGHT(UPPER(SUBSTITUTE(SUBSTITUTE(SUBSTITUTE(TRIM(B277),".",""),"-","")," ","")),1),UPPER(SUBSTITUTE(SUBSTITUTE(SUBSTITUTE(TRIM(B277),".",""),"-","")," ",""))))</f>
        <v/>
      </c>
      <c r="N277" s="62" t="str">
        <f aca="false">IF(B277="","",IF(D277="Anexo de modificación","No","Sí"))</f>
        <v/>
      </c>
      <c r="O277" s="62" t="str">
        <f aca="false">IF(AND(N277="Sí",ISNUMBER(F277)),COUNTIFS(C_RUTN,M277,C_DEF,"Sí",C_INI,"&lt;"&amp;F277)+COUNTIFS(M$7:M277,M277,N$7:N277,"Sí",F$7:F277,F277),"")</f>
        <v/>
      </c>
      <c r="P277" s="62" t="str">
        <f aca="false">IF(O277="","",M277&amp;"-P"&amp;O277)</f>
        <v/>
      </c>
      <c r="Q277" s="62" t="str">
        <f aca="false">IF(AND(N277="Sí",E277="Plazo fijo",ISNUMBER(F277)),COUNTIFS(C_RUTN,M277,C_TIPO,"Plazo fijo",C_DEF,"Sí",C_INI,"&lt;"&amp;F277)+COUNTIFS(M$7:M277,M277,E$7:E277,"Plazo fijo",N$7:N277,"Sí",F$7:F277,F277),"")</f>
        <v/>
      </c>
      <c r="R277" s="62" t="str">
        <f aca="false">IF(AND(B277&lt;&gt;"",ISNUMBER(H277),ISNUMBER(F277)),COUNTIFS(C_RUTN,M277,C_SUELDO,"&lt;&gt;",C_INI,"&lt;"&amp;F277)+COUNTIFS(M$7:M277,M277,H$7:H277,"&lt;&gt;",F$7:F277,F277),"")</f>
        <v/>
      </c>
      <c r="S277" s="62" t="str">
        <f aca="false">IF(R277="","",M277&amp;"-S"&amp;R277)</f>
        <v/>
      </c>
    </row>
    <row r="278" customFormat="false" ht="15" hidden="false" customHeight="false" outlineLevel="0" collapsed="false">
      <c r="B278" s="58"/>
      <c r="C278" s="62" t="str">
        <f aca="false">IF(B278="","",IFERROR(INDEX(T_NOMBRE,MATCH(M278,T_RUTN,0)),"⚠ RUT no está en Trabajadores"))</f>
        <v/>
      </c>
      <c r="D278" s="58"/>
      <c r="E278" s="58"/>
      <c r="F278" s="59"/>
      <c r="G278" s="59"/>
      <c r="H278" s="60"/>
      <c r="I278" s="58"/>
      <c r="J278" s="58"/>
      <c r="K278" s="58"/>
      <c r="L278" s="62" t="str">
        <f aca="false">IF(B278="","",IF(LEFT(C278,1)="⚠","⚠ Registre primero al trabajador en la hoja Trabajadores",IF(AND(N278="Sí",OR(E278="",NOT(ISNUMBER(F278)))),"⚠ Falta tipo de contrato o fecha de inicio",IF(NOT(ISNUMBER(F278)),"⚠ Falta fecha de inicio",IF(AND(N278="Sí",E278&lt;&gt;"Indefinido",NOT(ISNUMBER(G278))),"⚠ Falta fecha de término",IF(AND(D278="Paso a indefinido",E278&lt;&gt;"Indefinido"),"⚠ Un paso a indefinido debe tener tipo Indefinido",IF(N(Q278)&gt;=3,"⚠ 3er contrato a plazo fijo: por ley ya es INDEFINIDO (Art. 159 N°4)",IF(AND(E278="Plazo fijo",ISNUMBER(G278),(G278-F278+1)/30.4375&gt;12),"⚠ Plazo fijo mayor a 1 año (máximo legal)",IF(J278&lt;&gt;"Sí","Pendiente de firma","OK")))))))))</f>
        <v/>
      </c>
      <c r="M278" s="62" t="str">
        <f aca="false">IF(B278="","",IFERROR(VALUE(LEFT(UPPER(SUBSTITUTE(SUBSTITUTE(SUBSTITUTE(TRIM(B278),".",""),"-","")," ","")),LEN(UPPER(SUBSTITUTE(SUBSTITUTE(SUBSTITUTE(TRIM(B278),".",""),"-","")," ","")))-1))&amp;RIGHT(UPPER(SUBSTITUTE(SUBSTITUTE(SUBSTITUTE(TRIM(B278),".",""),"-","")," ","")),1),UPPER(SUBSTITUTE(SUBSTITUTE(SUBSTITUTE(TRIM(B278),".",""),"-","")," ",""))))</f>
        <v/>
      </c>
      <c r="N278" s="62" t="str">
        <f aca="false">IF(B278="","",IF(D278="Anexo de modificación","No","Sí"))</f>
        <v/>
      </c>
      <c r="O278" s="62" t="str">
        <f aca="false">IF(AND(N278="Sí",ISNUMBER(F278)),COUNTIFS(C_RUTN,M278,C_DEF,"Sí",C_INI,"&lt;"&amp;F278)+COUNTIFS(M$7:M278,M278,N$7:N278,"Sí",F$7:F278,F278),"")</f>
        <v/>
      </c>
      <c r="P278" s="62" t="str">
        <f aca="false">IF(O278="","",M278&amp;"-P"&amp;O278)</f>
        <v/>
      </c>
      <c r="Q278" s="62" t="str">
        <f aca="false">IF(AND(N278="Sí",E278="Plazo fijo",ISNUMBER(F278)),COUNTIFS(C_RUTN,M278,C_TIPO,"Plazo fijo",C_DEF,"Sí",C_INI,"&lt;"&amp;F278)+COUNTIFS(M$7:M278,M278,E$7:E278,"Plazo fijo",N$7:N278,"Sí",F$7:F278,F278),"")</f>
        <v/>
      </c>
      <c r="R278" s="62" t="str">
        <f aca="false">IF(AND(B278&lt;&gt;"",ISNUMBER(H278),ISNUMBER(F278)),COUNTIFS(C_RUTN,M278,C_SUELDO,"&lt;&gt;",C_INI,"&lt;"&amp;F278)+COUNTIFS(M$7:M278,M278,H$7:H278,"&lt;&gt;",F$7:F278,F278),"")</f>
        <v/>
      </c>
      <c r="S278" s="62" t="str">
        <f aca="false">IF(R278="","",M278&amp;"-S"&amp;R278)</f>
        <v/>
      </c>
    </row>
    <row r="279" customFormat="false" ht="15" hidden="false" customHeight="false" outlineLevel="0" collapsed="false">
      <c r="B279" s="58"/>
      <c r="C279" s="62" t="str">
        <f aca="false">IF(B279="","",IFERROR(INDEX(T_NOMBRE,MATCH(M279,T_RUTN,0)),"⚠ RUT no está en Trabajadores"))</f>
        <v/>
      </c>
      <c r="D279" s="58"/>
      <c r="E279" s="58"/>
      <c r="F279" s="59"/>
      <c r="G279" s="59"/>
      <c r="H279" s="60"/>
      <c r="I279" s="58"/>
      <c r="J279" s="58"/>
      <c r="K279" s="58"/>
      <c r="L279" s="62" t="str">
        <f aca="false">IF(B279="","",IF(LEFT(C279,1)="⚠","⚠ Registre primero al trabajador en la hoja Trabajadores",IF(AND(N279="Sí",OR(E279="",NOT(ISNUMBER(F279)))),"⚠ Falta tipo de contrato o fecha de inicio",IF(NOT(ISNUMBER(F279)),"⚠ Falta fecha de inicio",IF(AND(N279="Sí",E279&lt;&gt;"Indefinido",NOT(ISNUMBER(G279))),"⚠ Falta fecha de término",IF(AND(D279="Paso a indefinido",E279&lt;&gt;"Indefinido"),"⚠ Un paso a indefinido debe tener tipo Indefinido",IF(N(Q279)&gt;=3,"⚠ 3er contrato a plazo fijo: por ley ya es INDEFINIDO (Art. 159 N°4)",IF(AND(E279="Plazo fijo",ISNUMBER(G279),(G279-F279+1)/30.4375&gt;12),"⚠ Plazo fijo mayor a 1 año (máximo legal)",IF(J279&lt;&gt;"Sí","Pendiente de firma","OK")))))))))</f>
        <v/>
      </c>
      <c r="M279" s="62" t="str">
        <f aca="false">IF(B279="","",IFERROR(VALUE(LEFT(UPPER(SUBSTITUTE(SUBSTITUTE(SUBSTITUTE(TRIM(B279),".",""),"-","")," ","")),LEN(UPPER(SUBSTITUTE(SUBSTITUTE(SUBSTITUTE(TRIM(B279),".",""),"-","")," ","")))-1))&amp;RIGHT(UPPER(SUBSTITUTE(SUBSTITUTE(SUBSTITUTE(TRIM(B279),".",""),"-","")," ","")),1),UPPER(SUBSTITUTE(SUBSTITUTE(SUBSTITUTE(TRIM(B279),".",""),"-","")," ",""))))</f>
        <v/>
      </c>
      <c r="N279" s="62" t="str">
        <f aca="false">IF(B279="","",IF(D279="Anexo de modificación","No","Sí"))</f>
        <v/>
      </c>
      <c r="O279" s="62" t="str">
        <f aca="false">IF(AND(N279="Sí",ISNUMBER(F279)),COUNTIFS(C_RUTN,M279,C_DEF,"Sí",C_INI,"&lt;"&amp;F279)+COUNTIFS(M$7:M279,M279,N$7:N279,"Sí",F$7:F279,F279),"")</f>
        <v/>
      </c>
      <c r="P279" s="62" t="str">
        <f aca="false">IF(O279="","",M279&amp;"-P"&amp;O279)</f>
        <v/>
      </c>
      <c r="Q279" s="62" t="str">
        <f aca="false">IF(AND(N279="Sí",E279="Plazo fijo",ISNUMBER(F279)),COUNTIFS(C_RUTN,M279,C_TIPO,"Plazo fijo",C_DEF,"Sí",C_INI,"&lt;"&amp;F279)+COUNTIFS(M$7:M279,M279,E$7:E279,"Plazo fijo",N$7:N279,"Sí",F$7:F279,F279),"")</f>
        <v/>
      </c>
      <c r="R279" s="62" t="str">
        <f aca="false">IF(AND(B279&lt;&gt;"",ISNUMBER(H279),ISNUMBER(F279)),COUNTIFS(C_RUTN,M279,C_SUELDO,"&lt;&gt;",C_INI,"&lt;"&amp;F279)+COUNTIFS(M$7:M279,M279,H$7:H279,"&lt;&gt;",F$7:F279,F279),"")</f>
        <v/>
      </c>
      <c r="S279" s="62" t="str">
        <f aca="false">IF(R279="","",M279&amp;"-S"&amp;R279)</f>
        <v/>
      </c>
    </row>
    <row r="280" customFormat="false" ht="15" hidden="false" customHeight="false" outlineLevel="0" collapsed="false">
      <c r="B280" s="58"/>
      <c r="C280" s="62" t="str">
        <f aca="false">IF(B280="","",IFERROR(INDEX(T_NOMBRE,MATCH(M280,T_RUTN,0)),"⚠ RUT no está en Trabajadores"))</f>
        <v/>
      </c>
      <c r="D280" s="58"/>
      <c r="E280" s="58"/>
      <c r="F280" s="59"/>
      <c r="G280" s="59"/>
      <c r="H280" s="60"/>
      <c r="I280" s="58"/>
      <c r="J280" s="58"/>
      <c r="K280" s="58"/>
      <c r="L280" s="62" t="str">
        <f aca="false">IF(B280="","",IF(LEFT(C280,1)="⚠","⚠ Registre primero al trabajador en la hoja Trabajadores",IF(AND(N280="Sí",OR(E280="",NOT(ISNUMBER(F280)))),"⚠ Falta tipo de contrato o fecha de inicio",IF(NOT(ISNUMBER(F280)),"⚠ Falta fecha de inicio",IF(AND(N280="Sí",E280&lt;&gt;"Indefinido",NOT(ISNUMBER(G280))),"⚠ Falta fecha de término",IF(AND(D280="Paso a indefinido",E280&lt;&gt;"Indefinido"),"⚠ Un paso a indefinido debe tener tipo Indefinido",IF(N(Q280)&gt;=3,"⚠ 3er contrato a plazo fijo: por ley ya es INDEFINIDO (Art. 159 N°4)",IF(AND(E280="Plazo fijo",ISNUMBER(G280),(G280-F280+1)/30.4375&gt;12),"⚠ Plazo fijo mayor a 1 año (máximo legal)",IF(J280&lt;&gt;"Sí","Pendiente de firma","OK")))))))))</f>
        <v/>
      </c>
      <c r="M280" s="62" t="str">
        <f aca="false">IF(B280="","",IFERROR(VALUE(LEFT(UPPER(SUBSTITUTE(SUBSTITUTE(SUBSTITUTE(TRIM(B280),".",""),"-","")," ","")),LEN(UPPER(SUBSTITUTE(SUBSTITUTE(SUBSTITUTE(TRIM(B280),".",""),"-","")," ","")))-1))&amp;RIGHT(UPPER(SUBSTITUTE(SUBSTITUTE(SUBSTITUTE(TRIM(B280),".",""),"-","")," ","")),1),UPPER(SUBSTITUTE(SUBSTITUTE(SUBSTITUTE(TRIM(B280),".",""),"-","")," ",""))))</f>
        <v/>
      </c>
      <c r="N280" s="62" t="str">
        <f aca="false">IF(B280="","",IF(D280="Anexo de modificación","No","Sí"))</f>
        <v/>
      </c>
      <c r="O280" s="62" t="str">
        <f aca="false">IF(AND(N280="Sí",ISNUMBER(F280)),COUNTIFS(C_RUTN,M280,C_DEF,"Sí",C_INI,"&lt;"&amp;F280)+COUNTIFS(M$7:M280,M280,N$7:N280,"Sí",F$7:F280,F280),"")</f>
        <v/>
      </c>
      <c r="P280" s="62" t="str">
        <f aca="false">IF(O280="","",M280&amp;"-P"&amp;O280)</f>
        <v/>
      </c>
      <c r="Q280" s="62" t="str">
        <f aca="false">IF(AND(N280="Sí",E280="Plazo fijo",ISNUMBER(F280)),COUNTIFS(C_RUTN,M280,C_TIPO,"Plazo fijo",C_DEF,"Sí",C_INI,"&lt;"&amp;F280)+COUNTIFS(M$7:M280,M280,E$7:E280,"Plazo fijo",N$7:N280,"Sí",F$7:F280,F280),"")</f>
        <v/>
      </c>
      <c r="R280" s="62" t="str">
        <f aca="false">IF(AND(B280&lt;&gt;"",ISNUMBER(H280),ISNUMBER(F280)),COUNTIFS(C_RUTN,M280,C_SUELDO,"&lt;&gt;",C_INI,"&lt;"&amp;F280)+COUNTIFS(M$7:M280,M280,H$7:H280,"&lt;&gt;",F$7:F280,F280),"")</f>
        <v/>
      </c>
      <c r="S280" s="62" t="str">
        <f aca="false">IF(R280="","",M280&amp;"-S"&amp;R280)</f>
        <v/>
      </c>
    </row>
    <row r="281" customFormat="false" ht="15" hidden="false" customHeight="false" outlineLevel="0" collapsed="false">
      <c r="B281" s="58"/>
      <c r="C281" s="62" t="str">
        <f aca="false">IF(B281="","",IFERROR(INDEX(T_NOMBRE,MATCH(M281,T_RUTN,0)),"⚠ RUT no está en Trabajadores"))</f>
        <v/>
      </c>
      <c r="D281" s="58"/>
      <c r="E281" s="58"/>
      <c r="F281" s="59"/>
      <c r="G281" s="59"/>
      <c r="H281" s="60"/>
      <c r="I281" s="58"/>
      <c r="J281" s="58"/>
      <c r="K281" s="58"/>
      <c r="L281" s="62" t="str">
        <f aca="false">IF(B281="","",IF(LEFT(C281,1)="⚠","⚠ Registre primero al trabajador en la hoja Trabajadores",IF(AND(N281="Sí",OR(E281="",NOT(ISNUMBER(F281)))),"⚠ Falta tipo de contrato o fecha de inicio",IF(NOT(ISNUMBER(F281)),"⚠ Falta fecha de inicio",IF(AND(N281="Sí",E281&lt;&gt;"Indefinido",NOT(ISNUMBER(G281))),"⚠ Falta fecha de término",IF(AND(D281="Paso a indefinido",E281&lt;&gt;"Indefinido"),"⚠ Un paso a indefinido debe tener tipo Indefinido",IF(N(Q281)&gt;=3,"⚠ 3er contrato a plazo fijo: por ley ya es INDEFINIDO (Art. 159 N°4)",IF(AND(E281="Plazo fijo",ISNUMBER(G281),(G281-F281+1)/30.4375&gt;12),"⚠ Plazo fijo mayor a 1 año (máximo legal)",IF(J281&lt;&gt;"Sí","Pendiente de firma","OK")))))))))</f>
        <v/>
      </c>
      <c r="M281" s="62" t="str">
        <f aca="false">IF(B281="","",IFERROR(VALUE(LEFT(UPPER(SUBSTITUTE(SUBSTITUTE(SUBSTITUTE(TRIM(B281),".",""),"-","")," ","")),LEN(UPPER(SUBSTITUTE(SUBSTITUTE(SUBSTITUTE(TRIM(B281),".",""),"-","")," ","")))-1))&amp;RIGHT(UPPER(SUBSTITUTE(SUBSTITUTE(SUBSTITUTE(TRIM(B281),".",""),"-","")," ","")),1),UPPER(SUBSTITUTE(SUBSTITUTE(SUBSTITUTE(TRIM(B281),".",""),"-","")," ",""))))</f>
        <v/>
      </c>
      <c r="N281" s="62" t="str">
        <f aca="false">IF(B281="","",IF(D281="Anexo de modificación","No","Sí"))</f>
        <v/>
      </c>
      <c r="O281" s="62" t="str">
        <f aca="false">IF(AND(N281="Sí",ISNUMBER(F281)),COUNTIFS(C_RUTN,M281,C_DEF,"Sí",C_INI,"&lt;"&amp;F281)+COUNTIFS(M$7:M281,M281,N$7:N281,"Sí",F$7:F281,F281),"")</f>
        <v/>
      </c>
      <c r="P281" s="62" t="str">
        <f aca="false">IF(O281="","",M281&amp;"-P"&amp;O281)</f>
        <v/>
      </c>
      <c r="Q281" s="62" t="str">
        <f aca="false">IF(AND(N281="Sí",E281="Plazo fijo",ISNUMBER(F281)),COUNTIFS(C_RUTN,M281,C_TIPO,"Plazo fijo",C_DEF,"Sí",C_INI,"&lt;"&amp;F281)+COUNTIFS(M$7:M281,M281,E$7:E281,"Plazo fijo",N$7:N281,"Sí",F$7:F281,F281),"")</f>
        <v/>
      </c>
      <c r="R281" s="62" t="str">
        <f aca="false">IF(AND(B281&lt;&gt;"",ISNUMBER(H281),ISNUMBER(F281)),COUNTIFS(C_RUTN,M281,C_SUELDO,"&lt;&gt;",C_INI,"&lt;"&amp;F281)+COUNTIFS(M$7:M281,M281,H$7:H281,"&lt;&gt;",F$7:F281,F281),"")</f>
        <v/>
      </c>
      <c r="S281" s="62" t="str">
        <f aca="false">IF(R281="","",M281&amp;"-S"&amp;R281)</f>
        <v/>
      </c>
    </row>
    <row r="282" customFormat="false" ht="15" hidden="false" customHeight="false" outlineLevel="0" collapsed="false">
      <c r="B282" s="58"/>
      <c r="C282" s="62" t="str">
        <f aca="false">IF(B282="","",IFERROR(INDEX(T_NOMBRE,MATCH(M282,T_RUTN,0)),"⚠ RUT no está en Trabajadores"))</f>
        <v/>
      </c>
      <c r="D282" s="58"/>
      <c r="E282" s="58"/>
      <c r="F282" s="59"/>
      <c r="G282" s="59"/>
      <c r="H282" s="60"/>
      <c r="I282" s="58"/>
      <c r="J282" s="58"/>
      <c r="K282" s="58"/>
      <c r="L282" s="62" t="str">
        <f aca="false">IF(B282="","",IF(LEFT(C282,1)="⚠","⚠ Registre primero al trabajador en la hoja Trabajadores",IF(AND(N282="Sí",OR(E282="",NOT(ISNUMBER(F282)))),"⚠ Falta tipo de contrato o fecha de inicio",IF(NOT(ISNUMBER(F282)),"⚠ Falta fecha de inicio",IF(AND(N282="Sí",E282&lt;&gt;"Indefinido",NOT(ISNUMBER(G282))),"⚠ Falta fecha de término",IF(AND(D282="Paso a indefinido",E282&lt;&gt;"Indefinido"),"⚠ Un paso a indefinido debe tener tipo Indefinido",IF(N(Q282)&gt;=3,"⚠ 3er contrato a plazo fijo: por ley ya es INDEFINIDO (Art. 159 N°4)",IF(AND(E282="Plazo fijo",ISNUMBER(G282),(G282-F282+1)/30.4375&gt;12),"⚠ Plazo fijo mayor a 1 año (máximo legal)",IF(J282&lt;&gt;"Sí","Pendiente de firma","OK")))))))))</f>
        <v/>
      </c>
      <c r="M282" s="62" t="str">
        <f aca="false">IF(B282="","",IFERROR(VALUE(LEFT(UPPER(SUBSTITUTE(SUBSTITUTE(SUBSTITUTE(TRIM(B282),".",""),"-","")," ","")),LEN(UPPER(SUBSTITUTE(SUBSTITUTE(SUBSTITUTE(TRIM(B282),".",""),"-","")," ","")))-1))&amp;RIGHT(UPPER(SUBSTITUTE(SUBSTITUTE(SUBSTITUTE(TRIM(B282),".",""),"-","")," ","")),1),UPPER(SUBSTITUTE(SUBSTITUTE(SUBSTITUTE(TRIM(B282),".",""),"-","")," ",""))))</f>
        <v/>
      </c>
      <c r="N282" s="62" t="str">
        <f aca="false">IF(B282="","",IF(D282="Anexo de modificación","No","Sí"))</f>
        <v/>
      </c>
      <c r="O282" s="62" t="str">
        <f aca="false">IF(AND(N282="Sí",ISNUMBER(F282)),COUNTIFS(C_RUTN,M282,C_DEF,"Sí",C_INI,"&lt;"&amp;F282)+COUNTIFS(M$7:M282,M282,N$7:N282,"Sí",F$7:F282,F282),"")</f>
        <v/>
      </c>
      <c r="P282" s="62" t="str">
        <f aca="false">IF(O282="","",M282&amp;"-P"&amp;O282)</f>
        <v/>
      </c>
      <c r="Q282" s="62" t="str">
        <f aca="false">IF(AND(N282="Sí",E282="Plazo fijo",ISNUMBER(F282)),COUNTIFS(C_RUTN,M282,C_TIPO,"Plazo fijo",C_DEF,"Sí",C_INI,"&lt;"&amp;F282)+COUNTIFS(M$7:M282,M282,E$7:E282,"Plazo fijo",N$7:N282,"Sí",F$7:F282,F282),"")</f>
        <v/>
      </c>
      <c r="R282" s="62" t="str">
        <f aca="false">IF(AND(B282&lt;&gt;"",ISNUMBER(H282),ISNUMBER(F282)),COUNTIFS(C_RUTN,M282,C_SUELDO,"&lt;&gt;",C_INI,"&lt;"&amp;F282)+COUNTIFS(M$7:M282,M282,H$7:H282,"&lt;&gt;",F$7:F282,F282),"")</f>
        <v/>
      </c>
      <c r="S282" s="62" t="str">
        <f aca="false">IF(R282="","",M282&amp;"-S"&amp;R282)</f>
        <v/>
      </c>
    </row>
    <row r="283" customFormat="false" ht="15" hidden="false" customHeight="false" outlineLevel="0" collapsed="false">
      <c r="B283" s="58"/>
      <c r="C283" s="62" t="str">
        <f aca="false">IF(B283="","",IFERROR(INDEX(T_NOMBRE,MATCH(M283,T_RUTN,0)),"⚠ RUT no está en Trabajadores"))</f>
        <v/>
      </c>
      <c r="D283" s="58"/>
      <c r="E283" s="58"/>
      <c r="F283" s="59"/>
      <c r="G283" s="59"/>
      <c r="H283" s="60"/>
      <c r="I283" s="58"/>
      <c r="J283" s="58"/>
      <c r="K283" s="58"/>
      <c r="L283" s="62" t="str">
        <f aca="false">IF(B283="","",IF(LEFT(C283,1)="⚠","⚠ Registre primero al trabajador en la hoja Trabajadores",IF(AND(N283="Sí",OR(E283="",NOT(ISNUMBER(F283)))),"⚠ Falta tipo de contrato o fecha de inicio",IF(NOT(ISNUMBER(F283)),"⚠ Falta fecha de inicio",IF(AND(N283="Sí",E283&lt;&gt;"Indefinido",NOT(ISNUMBER(G283))),"⚠ Falta fecha de término",IF(AND(D283="Paso a indefinido",E283&lt;&gt;"Indefinido"),"⚠ Un paso a indefinido debe tener tipo Indefinido",IF(N(Q283)&gt;=3,"⚠ 3er contrato a plazo fijo: por ley ya es INDEFINIDO (Art. 159 N°4)",IF(AND(E283="Plazo fijo",ISNUMBER(G283),(G283-F283+1)/30.4375&gt;12),"⚠ Plazo fijo mayor a 1 año (máximo legal)",IF(J283&lt;&gt;"Sí","Pendiente de firma","OK")))))))))</f>
        <v/>
      </c>
      <c r="M283" s="62" t="str">
        <f aca="false">IF(B283="","",IFERROR(VALUE(LEFT(UPPER(SUBSTITUTE(SUBSTITUTE(SUBSTITUTE(TRIM(B283),".",""),"-","")," ","")),LEN(UPPER(SUBSTITUTE(SUBSTITUTE(SUBSTITUTE(TRIM(B283),".",""),"-","")," ","")))-1))&amp;RIGHT(UPPER(SUBSTITUTE(SUBSTITUTE(SUBSTITUTE(TRIM(B283),".",""),"-","")," ","")),1),UPPER(SUBSTITUTE(SUBSTITUTE(SUBSTITUTE(TRIM(B283),".",""),"-","")," ",""))))</f>
        <v/>
      </c>
      <c r="N283" s="62" t="str">
        <f aca="false">IF(B283="","",IF(D283="Anexo de modificación","No","Sí"))</f>
        <v/>
      </c>
      <c r="O283" s="62" t="str">
        <f aca="false">IF(AND(N283="Sí",ISNUMBER(F283)),COUNTIFS(C_RUTN,M283,C_DEF,"Sí",C_INI,"&lt;"&amp;F283)+COUNTIFS(M$7:M283,M283,N$7:N283,"Sí",F$7:F283,F283),"")</f>
        <v/>
      </c>
      <c r="P283" s="62" t="str">
        <f aca="false">IF(O283="","",M283&amp;"-P"&amp;O283)</f>
        <v/>
      </c>
      <c r="Q283" s="62" t="str">
        <f aca="false">IF(AND(N283="Sí",E283="Plazo fijo",ISNUMBER(F283)),COUNTIFS(C_RUTN,M283,C_TIPO,"Plazo fijo",C_DEF,"Sí",C_INI,"&lt;"&amp;F283)+COUNTIFS(M$7:M283,M283,E$7:E283,"Plazo fijo",N$7:N283,"Sí",F$7:F283,F283),"")</f>
        <v/>
      </c>
      <c r="R283" s="62" t="str">
        <f aca="false">IF(AND(B283&lt;&gt;"",ISNUMBER(H283),ISNUMBER(F283)),COUNTIFS(C_RUTN,M283,C_SUELDO,"&lt;&gt;",C_INI,"&lt;"&amp;F283)+COUNTIFS(M$7:M283,M283,H$7:H283,"&lt;&gt;",F$7:F283,F283),"")</f>
        <v/>
      </c>
      <c r="S283" s="62" t="str">
        <f aca="false">IF(R283="","",M283&amp;"-S"&amp;R283)</f>
        <v/>
      </c>
    </row>
    <row r="284" customFormat="false" ht="15" hidden="false" customHeight="false" outlineLevel="0" collapsed="false">
      <c r="B284" s="58"/>
      <c r="C284" s="62" t="str">
        <f aca="false">IF(B284="","",IFERROR(INDEX(T_NOMBRE,MATCH(M284,T_RUTN,0)),"⚠ RUT no está en Trabajadores"))</f>
        <v/>
      </c>
      <c r="D284" s="58"/>
      <c r="E284" s="58"/>
      <c r="F284" s="59"/>
      <c r="G284" s="59"/>
      <c r="H284" s="60"/>
      <c r="I284" s="58"/>
      <c r="J284" s="58"/>
      <c r="K284" s="58"/>
      <c r="L284" s="62" t="str">
        <f aca="false">IF(B284="","",IF(LEFT(C284,1)="⚠","⚠ Registre primero al trabajador en la hoja Trabajadores",IF(AND(N284="Sí",OR(E284="",NOT(ISNUMBER(F284)))),"⚠ Falta tipo de contrato o fecha de inicio",IF(NOT(ISNUMBER(F284)),"⚠ Falta fecha de inicio",IF(AND(N284="Sí",E284&lt;&gt;"Indefinido",NOT(ISNUMBER(G284))),"⚠ Falta fecha de término",IF(AND(D284="Paso a indefinido",E284&lt;&gt;"Indefinido"),"⚠ Un paso a indefinido debe tener tipo Indefinido",IF(N(Q284)&gt;=3,"⚠ 3er contrato a plazo fijo: por ley ya es INDEFINIDO (Art. 159 N°4)",IF(AND(E284="Plazo fijo",ISNUMBER(G284),(G284-F284+1)/30.4375&gt;12),"⚠ Plazo fijo mayor a 1 año (máximo legal)",IF(J284&lt;&gt;"Sí","Pendiente de firma","OK")))))))))</f>
        <v/>
      </c>
      <c r="M284" s="62" t="str">
        <f aca="false">IF(B284="","",IFERROR(VALUE(LEFT(UPPER(SUBSTITUTE(SUBSTITUTE(SUBSTITUTE(TRIM(B284),".",""),"-","")," ","")),LEN(UPPER(SUBSTITUTE(SUBSTITUTE(SUBSTITUTE(TRIM(B284),".",""),"-","")," ","")))-1))&amp;RIGHT(UPPER(SUBSTITUTE(SUBSTITUTE(SUBSTITUTE(TRIM(B284),".",""),"-","")," ","")),1),UPPER(SUBSTITUTE(SUBSTITUTE(SUBSTITUTE(TRIM(B284),".",""),"-","")," ",""))))</f>
        <v/>
      </c>
      <c r="N284" s="62" t="str">
        <f aca="false">IF(B284="","",IF(D284="Anexo de modificación","No","Sí"))</f>
        <v/>
      </c>
      <c r="O284" s="62" t="str">
        <f aca="false">IF(AND(N284="Sí",ISNUMBER(F284)),COUNTIFS(C_RUTN,M284,C_DEF,"Sí",C_INI,"&lt;"&amp;F284)+COUNTIFS(M$7:M284,M284,N$7:N284,"Sí",F$7:F284,F284),"")</f>
        <v/>
      </c>
      <c r="P284" s="62" t="str">
        <f aca="false">IF(O284="","",M284&amp;"-P"&amp;O284)</f>
        <v/>
      </c>
      <c r="Q284" s="62" t="str">
        <f aca="false">IF(AND(N284="Sí",E284="Plazo fijo",ISNUMBER(F284)),COUNTIFS(C_RUTN,M284,C_TIPO,"Plazo fijo",C_DEF,"Sí",C_INI,"&lt;"&amp;F284)+COUNTIFS(M$7:M284,M284,E$7:E284,"Plazo fijo",N$7:N284,"Sí",F$7:F284,F284),"")</f>
        <v/>
      </c>
      <c r="R284" s="62" t="str">
        <f aca="false">IF(AND(B284&lt;&gt;"",ISNUMBER(H284),ISNUMBER(F284)),COUNTIFS(C_RUTN,M284,C_SUELDO,"&lt;&gt;",C_INI,"&lt;"&amp;F284)+COUNTIFS(M$7:M284,M284,H$7:H284,"&lt;&gt;",F$7:F284,F284),"")</f>
        <v/>
      </c>
      <c r="S284" s="62" t="str">
        <f aca="false">IF(R284="","",M284&amp;"-S"&amp;R284)</f>
        <v/>
      </c>
    </row>
    <row r="285" customFormat="false" ht="15" hidden="false" customHeight="false" outlineLevel="0" collapsed="false">
      <c r="B285" s="58"/>
      <c r="C285" s="62" t="str">
        <f aca="false">IF(B285="","",IFERROR(INDEX(T_NOMBRE,MATCH(M285,T_RUTN,0)),"⚠ RUT no está en Trabajadores"))</f>
        <v/>
      </c>
      <c r="D285" s="58"/>
      <c r="E285" s="58"/>
      <c r="F285" s="59"/>
      <c r="G285" s="59"/>
      <c r="H285" s="60"/>
      <c r="I285" s="58"/>
      <c r="J285" s="58"/>
      <c r="K285" s="58"/>
      <c r="L285" s="62" t="str">
        <f aca="false">IF(B285="","",IF(LEFT(C285,1)="⚠","⚠ Registre primero al trabajador en la hoja Trabajadores",IF(AND(N285="Sí",OR(E285="",NOT(ISNUMBER(F285)))),"⚠ Falta tipo de contrato o fecha de inicio",IF(NOT(ISNUMBER(F285)),"⚠ Falta fecha de inicio",IF(AND(N285="Sí",E285&lt;&gt;"Indefinido",NOT(ISNUMBER(G285))),"⚠ Falta fecha de término",IF(AND(D285="Paso a indefinido",E285&lt;&gt;"Indefinido"),"⚠ Un paso a indefinido debe tener tipo Indefinido",IF(N(Q285)&gt;=3,"⚠ 3er contrato a plazo fijo: por ley ya es INDEFINIDO (Art. 159 N°4)",IF(AND(E285="Plazo fijo",ISNUMBER(G285),(G285-F285+1)/30.4375&gt;12),"⚠ Plazo fijo mayor a 1 año (máximo legal)",IF(J285&lt;&gt;"Sí","Pendiente de firma","OK")))))))))</f>
        <v/>
      </c>
      <c r="M285" s="62" t="str">
        <f aca="false">IF(B285="","",IFERROR(VALUE(LEFT(UPPER(SUBSTITUTE(SUBSTITUTE(SUBSTITUTE(TRIM(B285),".",""),"-","")," ","")),LEN(UPPER(SUBSTITUTE(SUBSTITUTE(SUBSTITUTE(TRIM(B285),".",""),"-","")," ","")))-1))&amp;RIGHT(UPPER(SUBSTITUTE(SUBSTITUTE(SUBSTITUTE(TRIM(B285),".",""),"-","")," ","")),1),UPPER(SUBSTITUTE(SUBSTITUTE(SUBSTITUTE(TRIM(B285),".",""),"-","")," ",""))))</f>
        <v/>
      </c>
      <c r="N285" s="62" t="str">
        <f aca="false">IF(B285="","",IF(D285="Anexo de modificación","No","Sí"))</f>
        <v/>
      </c>
      <c r="O285" s="62" t="str">
        <f aca="false">IF(AND(N285="Sí",ISNUMBER(F285)),COUNTIFS(C_RUTN,M285,C_DEF,"Sí",C_INI,"&lt;"&amp;F285)+COUNTIFS(M$7:M285,M285,N$7:N285,"Sí",F$7:F285,F285),"")</f>
        <v/>
      </c>
      <c r="P285" s="62" t="str">
        <f aca="false">IF(O285="","",M285&amp;"-P"&amp;O285)</f>
        <v/>
      </c>
      <c r="Q285" s="62" t="str">
        <f aca="false">IF(AND(N285="Sí",E285="Plazo fijo",ISNUMBER(F285)),COUNTIFS(C_RUTN,M285,C_TIPO,"Plazo fijo",C_DEF,"Sí",C_INI,"&lt;"&amp;F285)+COUNTIFS(M$7:M285,M285,E$7:E285,"Plazo fijo",N$7:N285,"Sí",F$7:F285,F285),"")</f>
        <v/>
      </c>
      <c r="R285" s="62" t="str">
        <f aca="false">IF(AND(B285&lt;&gt;"",ISNUMBER(H285),ISNUMBER(F285)),COUNTIFS(C_RUTN,M285,C_SUELDO,"&lt;&gt;",C_INI,"&lt;"&amp;F285)+COUNTIFS(M$7:M285,M285,H$7:H285,"&lt;&gt;",F$7:F285,F285),"")</f>
        <v/>
      </c>
      <c r="S285" s="62" t="str">
        <f aca="false">IF(R285="","",M285&amp;"-S"&amp;R285)</f>
        <v/>
      </c>
    </row>
    <row r="286" customFormat="false" ht="15" hidden="false" customHeight="false" outlineLevel="0" collapsed="false">
      <c r="B286" s="58"/>
      <c r="C286" s="62" t="str">
        <f aca="false">IF(B286="","",IFERROR(INDEX(T_NOMBRE,MATCH(M286,T_RUTN,0)),"⚠ RUT no está en Trabajadores"))</f>
        <v/>
      </c>
      <c r="D286" s="58"/>
      <c r="E286" s="58"/>
      <c r="F286" s="59"/>
      <c r="G286" s="59"/>
      <c r="H286" s="60"/>
      <c r="I286" s="58"/>
      <c r="J286" s="58"/>
      <c r="K286" s="58"/>
      <c r="L286" s="62" t="str">
        <f aca="false">IF(B286="","",IF(LEFT(C286,1)="⚠","⚠ Registre primero al trabajador en la hoja Trabajadores",IF(AND(N286="Sí",OR(E286="",NOT(ISNUMBER(F286)))),"⚠ Falta tipo de contrato o fecha de inicio",IF(NOT(ISNUMBER(F286)),"⚠ Falta fecha de inicio",IF(AND(N286="Sí",E286&lt;&gt;"Indefinido",NOT(ISNUMBER(G286))),"⚠ Falta fecha de término",IF(AND(D286="Paso a indefinido",E286&lt;&gt;"Indefinido"),"⚠ Un paso a indefinido debe tener tipo Indefinido",IF(N(Q286)&gt;=3,"⚠ 3er contrato a plazo fijo: por ley ya es INDEFINIDO (Art. 159 N°4)",IF(AND(E286="Plazo fijo",ISNUMBER(G286),(G286-F286+1)/30.4375&gt;12),"⚠ Plazo fijo mayor a 1 año (máximo legal)",IF(J286&lt;&gt;"Sí","Pendiente de firma","OK")))))))))</f>
        <v/>
      </c>
      <c r="M286" s="62" t="str">
        <f aca="false">IF(B286="","",IFERROR(VALUE(LEFT(UPPER(SUBSTITUTE(SUBSTITUTE(SUBSTITUTE(TRIM(B286),".",""),"-","")," ","")),LEN(UPPER(SUBSTITUTE(SUBSTITUTE(SUBSTITUTE(TRIM(B286),".",""),"-","")," ","")))-1))&amp;RIGHT(UPPER(SUBSTITUTE(SUBSTITUTE(SUBSTITUTE(TRIM(B286),".",""),"-","")," ","")),1),UPPER(SUBSTITUTE(SUBSTITUTE(SUBSTITUTE(TRIM(B286),".",""),"-","")," ",""))))</f>
        <v/>
      </c>
      <c r="N286" s="62" t="str">
        <f aca="false">IF(B286="","",IF(D286="Anexo de modificación","No","Sí"))</f>
        <v/>
      </c>
      <c r="O286" s="62" t="str">
        <f aca="false">IF(AND(N286="Sí",ISNUMBER(F286)),COUNTIFS(C_RUTN,M286,C_DEF,"Sí",C_INI,"&lt;"&amp;F286)+COUNTIFS(M$7:M286,M286,N$7:N286,"Sí",F$7:F286,F286),"")</f>
        <v/>
      </c>
      <c r="P286" s="62" t="str">
        <f aca="false">IF(O286="","",M286&amp;"-P"&amp;O286)</f>
        <v/>
      </c>
      <c r="Q286" s="62" t="str">
        <f aca="false">IF(AND(N286="Sí",E286="Plazo fijo",ISNUMBER(F286)),COUNTIFS(C_RUTN,M286,C_TIPO,"Plazo fijo",C_DEF,"Sí",C_INI,"&lt;"&amp;F286)+COUNTIFS(M$7:M286,M286,E$7:E286,"Plazo fijo",N$7:N286,"Sí",F$7:F286,F286),"")</f>
        <v/>
      </c>
      <c r="R286" s="62" t="str">
        <f aca="false">IF(AND(B286&lt;&gt;"",ISNUMBER(H286),ISNUMBER(F286)),COUNTIFS(C_RUTN,M286,C_SUELDO,"&lt;&gt;",C_INI,"&lt;"&amp;F286)+COUNTIFS(M$7:M286,M286,H$7:H286,"&lt;&gt;",F$7:F286,F286),"")</f>
        <v/>
      </c>
      <c r="S286" s="62" t="str">
        <f aca="false">IF(R286="","",M286&amp;"-S"&amp;R286)</f>
        <v/>
      </c>
    </row>
    <row r="287" customFormat="false" ht="15" hidden="false" customHeight="false" outlineLevel="0" collapsed="false">
      <c r="B287" s="58"/>
      <c r="C287" s="62" t="str">
        <f aca="false">IF(B287="","",IFERROR(INDEX(T_NOMBRE,MATCH(M287,T_RUTN,0)),"⚠ RUT no está en Trabajadores"))</f>
        <v/>
      </c>
      <c r="D287" s="58"/>
      <c r="E287" s="58"/>
      <c r="F287" s="59"/>
      <c r="G287" s="59"/>
      <c r="H287" s="60"/>
      <c r="I287" s="58"/>
      <c r="J287" s="58"/>
      <c r="K287" s="58"/>
      <c r="L287" s="62" t="str">
        <f aca="false">IF(B287="","",IF(LEFT(C287,1)="⚠","⚠ Registre primero al trabajador en la hoja Trabajadores",IF(AND(N287="Sí",OR(E287="",NOT(ISNUMBER(F287)))),"⚠ Falta tipo de contrato o fecha de inicio",IF(NOT(ISNUMBER(F287)),"⚠ Falta fecha de inicio",IF(AND(N287="Sí",E287&lt;&gt;"Indefinido",NOT(ISNUMBER(G287))),"⚠ Falta fecha de término",IF(AND(D287="Paso a indefinido",E287&lt;&gt;"Indefinido"),"⚠ Un paso a indefinido debe tener tipo Indefinido",IF(N(Q287)&gt;=3,"⚠ 3er contrato a plazo fijo: por ley ya es INDEFINIDO (Art. 159 N°4)",IF(AND(E287="Plazo fijo",ISNUMBER(G287),(G287-F287+1)/30.4375&gt;12),"⚠ Plazo fijo mayor a 1 año (máximo legal)",IF(J287&lt;&gt;"Sí","Pendiente de firma","OK")))))))))</f>
        <v/>
      </c>
      <c r="M287" s="62" t="str">
        <f aca="false">IF(B287="","",IFERROR(VALUE(LEFT(UPPER(SUBSTITUTE(SUBSTITUTE(SUBSTITUTE(TRIM(B287),".",""),"-","")," ","")),LEN(UPPER(SUBSTITUTE(SUBSTITUTE(SUBSTITUTE(TRIM(B287),".",""),"-","")," ","")))-1))&amp;RIGHT(UPPER(SUBSTITUTE(SUBSTITUTE(SUBSTITUTE(TRIM(B287),".",""),"-","")," ","")),1),UPPER(SUBSTITUTE(SUBSTITUTE(SUBSTITUTE(TRIM(B287),".",""),"-","")," ",""))))</f>
        <v/>
      </c>
      <c r="N287" s="62" t="str">
        <f aca="false">IF(B287="","",IF(D287="Anexo de modificación","No","Sí"))</f>
        <v/>
      </c>
      <c r="O287" s="62" t="str">
        <f aca="false">IF(AND(N287="Sí",ISNUMBER(F287)),COUNTIFS(C_RUTN,M287,C_DEF,"Sí",C_INI,"&lt;"&amp;F287)+COUNTIFS(M$7:M287,M287,N$7:N287,"Sí",F$7:F287,F287),"")</f>
        <v/>
      </c>
      <c r="P287" s="62" t="str">
        <f aca="false">IF(O287="","",M287&amp;"-P"&amp;O287)</f>
        <v/>
      </c>
      <c r="Q287" s="62" t="str">
        <f aca="false">IF(AND(N287="Sí",E287="Plazo fijo",ISNUMBER(F287)),COUNTIFS(C_RUTN,M287,C_TIPO,"Plazo fijo",C_DEF,"Sí",C_INI,"&lt;"&amp;F287)+COUNTIFS(M$7:M287,M287,E$7:E287,"Plazo fijo",N$7:N287,"Sí",F$7:F287,F287),"")</f>
        <v/>
      </c>
      <c r="R287" s="62" t="str">
        <f aca="false">IF(AND(B287&lt;&gt;"",ISNUMBER(H287),ISNUMBER(F287)),COUNTIFS(C_RUTN,M287,C_SUELDO,"&lt;&gt;",C_INI,"&lt;"&amp;F287)+COUNTIFS(M$7:M287,M287,H$7:H287,"&lt;&gt;",F$7:F287,F287),"")</f>
        <v/>
      </c>
      <c r="S287" s="62" t="str">
        <f aca="false">IF(R287="","",M287&amp;"-S"&amp;R287)</f>
        <v/>
      </c>
    </row>
    <row r="288" customFormat="false" ht="15" hidden="false" customHeight="false" outlineLevel="0" collapsed="false">
      <c r="B288" s="58"/>
      <c r="C288" s="62" t="str">
        <f aca="false">IF(B288="","",IFERROR(INDEX(T_NOMBRE,MATCH(M288,T_RUTN,0)),"⚠ RUT no está en Trabajadores"))</f>
        <v/>
      </c>
      <c r="D288" s="58"/>
      <c r="E288" s="58"/>
      <c r="F288" s="59"/>
      <c r="G288" s="59"/>
      <c r="H288" s="60"/>
      <c r="I288" s="58"/>
      <c r="J288" s="58"/>
      <c r="K288" s="58"/>
      <c r="L288" s="62" t="str">
        <f aca="false">IF(B288="","",IF(LEFT(C288,1)="⚠","⚠ Registre primero al trabajador en la hoja Trabajadores",IF(AND(N288="Sí",OR(E288="",NOT(ISNUMBER(F288)))),"⚠ Falta tipo de contrato o fecha de inicio",IF(NOT(ISNUMBER(F288)),"⚠ Falta fecha de inicio",IF(AND(N288="Sí",E288&lt;&gt;"Indefinido",NOT(ISNUMBER(G288))),"⚠ Falta fecha de término",IF(AND(D288="Paso a indefinido",E288&lt;&gt;"Indefinido"),"⚠ Un paso a indefinido debe tener tipo Indefinido",IF(N(Q288)&gt;=3,"⚠ 3er contrato a plazo fijo: por ley ya es INDEFINIDO (Art. 159 N°4)",IF(AND(E288="Plazo fijo",ISNUMBER(G288),(G288-F288+1)/30.4375&gt;12),"⚠ Plazo fijo mayor a 1 año (máximo legal)",IF(J288&lt;&gt;"Sí","Pendiente de firma","OK")))))))))</f>
        <v/>
      </c>
      <c r="M288" s="62" t="str">
        <f aca="false">IF(B288="","",IFERROR(VALUE(LEFT(UPPER(SUBSTITUTE(SUBSTITUTE(SUBSTITUTE(TRIM(B288),".",""),"-","")," ","")),LEN(UPPER(SUBSTITUTE(SUBSTITUTE(SUBSTITUTE(TRIM(B288),".",""),"-","")," ","")))-1))&amp;RIGHT(UPPER(SUBSTITUTE(SUBSTITUTE(SUBSTITUTE(TRIM(B288),".",""),"-","")," ","")),1),UPPER(SUBSTITUTE(SUBSTITUTE(SUBSTITUTE(TRIM(B288),".",""),"-","")," ",""))))</f>
        <v/>
      </c>
      <c r="N288" s="62" t="str">
        <f aca="false">IF(B288="","",IF(D288="Anexo de modificación","No","Sí"))</f>
        <v/>
      </c>
      <c r="O288" s="62" t="str">
        <f aca="false">IF(AND(N288="Sí",ISNUMBER(F288)),COUNTIFS(C_RUTN,M288,C_DEF,"Sí",C_INI,"&lt;"&amp;F288)+COUNTIFS(M$7:M288,M288,N$7:N288,"Sí",F$7:F288,F288),"")</f>
        <v/>
      </c>
      <c r="P288" s="62" t="str">
        <f aca="false">IF(O288="","",M288&amp;"-P"&amp;O288)</f>
        <v/>
      </c>
      <c r="Q288" s="62" t="str">
        <f aca="false">IF(AND(N288="Sí",E288="Plazo fijo",ISNUMBER(F288)),COUNTIFS(C_RUTN,M288,C_TIPO,"Plazo fijo",C_DEF,"Sí",C_INI,"&lt;"&amp;F288)+COUNTIFS(M$7:M288,M288,E$7:E288,"Plazo fijo",N$7:N288,"Sí",F$7:F288,F288),"")</f>
        <v/>
      </c>
      <c r="R288" s="62" t="str">
        <f aca="false">IF(AND(B288&lt;&gt;"",ISNUMBER(H288),ISNUMBER(F288)),COUNTIFS(C_RUTN,M288,C_SUELDO,"&lt;&gt;",C_INI,"&lt;"&amp;F288)+COUNTIFS(M$7:M288,M288,H$7:H288,"&lt;&gt;",F$7:F288,F288),"")</f>
        <v/>
      </c>
      <c r="S288" s="62" t="str">
        <f aca="false">IF(R288="","",M288&amp;"-S"&amp;R288)</f>
        <v/>
      </c>
    </row>
    <row r="289" customFormat="false" ht="15" hidden="false" customHeight="false" outlineLevel="0" collapsed="false">
      <c r="B289" s="58"/>
      <c r="C289" s="62" t="str">
        <f aca="false">IF(B289="","",IFERROR(INDEX(T_NOMBRE,MATCH(M289,T_RUTN,0)),"⚠ RUT no está en Trabajadores"))</f>
        <v/>
      </c>
      <c r="D289" s="58"/>
      <c r="E289" s="58"/>
      <c r="F289" s="59"/>
      <c r="G289" s="59"/>
      <c r="H289" s="60"/>
      <c r="I289" s="58"/>
      <c r="J289" s="58"/>
      <c r="K289" s="58"/>
      <c r="L289" s="62" t="str">
        <f aca="false">IF(B289="","",IF(LEFT(C289,1)="⚠","⚠ Registre primero al trabajador en la hoja Trabajadores",IF(AND(N289="Sí",OR(E289="",NOT(ISNUMBER(F289)))),"⚠ Falta tipo de contrato o fecha de inicio",IF(NOT(ISNUMBER(F289)),"⚠ Falta fecha de inicio",IF(AND(N289="Sí",E289&lt;&gt;"Indefinido",NOT(ISNUMBER(G289))),"⚠ Falta fecha de término",IF(AND(D289="Paso a indefinido",E289&lt;&gt;"Indefinido"),"⚠ Un paso a indefinido debe tener tipo Indefinido",IF(N(Q289)&gt;=3,"⚠ 3er contrato a plazo fijo: por ley ya es INDEFINIDO (Art. 159 N°4)",IF(AND(E289="Plazo fijo",ISNUMBER(G289),(G289-F289+1)/30.4375&gt;12),"⚠ Plazo fijo mayor a 1 año (máximo legal)",IF(J289&lt;&gt;"Sí","Pendiente de firma","OK")))))))))</f>
        <v/>
      </c>
      <c r="M289" s="62" t="str">
        <f aca="false">IF(B289="","",IFERROR(VALUE(LEFT(UPPER(SUBSTITUTE(SUBSTITUTE(SUBSTITUTE(TRIM(B289),".",""),"-","")," ","")),LEN(UPPER(SUBSTITUTE(SUBSTITUTE(SUBSTITUTE(TRIM(B289),".",""),"-","")," ","")))-1))&amp;RIGHT(UPPER(SUBSTITUTE(SUBSTITUTE(SUBSTITUTE(TRIM(B289),".",""),"-","")," ","")),1),UPPER(SUBSTITUTE(SUBSTITUTE(SUBSTITUTE(TRIM(B289),".",""),"-","")," ",""))))</f>
        <v/>
      </c>
      <c r="N289" s="62" t="str">
        <f aca="false">IF(B289="","",IF(D289="Anexo de modificación","No","Sí"))</f>
        <v/>
      </c>
      <c r="O289" s="62" t="str">
        <f aca="false">IF(AND(N289="Sí",ISNUMBER(F289)),COUNTIFS(C_RUTN,M289,C_DEF,"Sí",C_INI,"&lt;"&amp;F289)+COUNTIFS(M$7:M289,M289,N$7:N289,"Sí",F$7:F289,F289),"")</f>
        <v/>
      </c>
      <c r="P289" s="62" t="str">
        <f aca="false">IF(O289="","",M289&amp;"-P"&amp;O289)</f>
        <v/>
      </c>
      <c r="Q289" s="62" t="str">
        <f aca="false">IF(AND(N289="Sí",E289="Plazo fijo",ISNUMBER(F289)),COUNTIFS(C_RUTN,M289,C_TIPO,"Plazo fijo",C_DEF,"Sí",C_INI,"&lt;"&amp;F289)+COUNTIFS(M$7:M289,M289,E$7:E289,"Plazo fijo",N$7:N289,"Sí",F$7:F289,F289),"")</f>
        <v/>
      </c>
      <c r="R289" s="62" t="str">
        <f aca="false">IF(AND(B289&lt;&gt;"",ISNUMBER(H289),ISNUMBER(F289)),COUNTIFS(C_RUTN,M289,C_SUELDO,"&lt;&gt;",C_INI,"&lt;"&amp;F289)+COUNTIFS(M$7:M289,M289,H$7:H289,"&lt;&gt;",F$7:F289,F289),"")</f>
        <v/>
      </c>
      <c r="S289" s="62" t="str">
        <f aca="false">IF(R289="","",M289&amp;"-S"&amp;R289)</f>
        <v/>
      </c>
    </row>
    <row r="290" customFormat="false" ht="15" hidden="false" customHeight="false" outlineLevel="0" collapsed="false">
      <c r="B290" s="58"/>
      <c r="C290" s="62" t="str">
        <f aca="false">IF(B290="","",IFERROR(INDEX(T_NOMBRE,MATCH(M290,T_RUTN,0)),"⚠ RUT no está en Trabajadores"))</f>
        <v/>
      </c>
      <c r="D290" s="58"/>
      <c r="E290" s="58"/>
      <c r="F290" s="59"/>
      <c r="G290" s="59"/>
      <c r="H290" s="60"/>
      <c r="I290" s="58"/>
      <c r="J290" s="58"/>
      <c r="K290" s="58"/>
      <c r="L290" s="62" t="str">
        <f aca="false">IF(B290="","",IF(LEFT(C290,1)="⚠","⚠ Registre primero al trabajador en la hoja Trabajadores",IF(AND(N290="Sí",OR(E290="",NOT(ISNUMBER(F290)))),"⚠ Falta tipo de contrato o fecha de inicio",IF(NOT(ISNUMBER(F290)),"⚠ Falta fecha de inicio",IF(AND(N290="Sí",E290&lt;&gt;"Indefinido",NOT(ISNUMBER(G290))),"⚠ Falta fecha de término",IF(AND(D290="Paso a indefinido",E290&lt;&gt;"Indefinido"),"⚠ Un paso a indefinido debe tener tipo Indefinido",IF(N(Q290)&gt;=3,"⚠ 3er contrato a plazo fijo: por ley ya es INDEFINIDO (Art. 159 N°4)",IF(AND(E290="Plazo fijo",ISNUMBER(G290),(G290-F290+1)/30.4375&gt;12),"⚠ Plazo fijo mayor a 1 año (máximo legal)",IF(J290&lt;&gt;"Sí","Pendiente de firma","OK")))))))))</f>
        <v/>
      </c>
      <c r="M290" s="62" t="str">
        <f aca="false">IF(B290="","",IFERROR(VALUE(LEFT(UPPER(SUBSTITUTE(SUBSTITUTE(SUBSTITUTE(TRIM(B290),".",""),"-","")," ","")),LEN(UPPER(SUBSTITUTE(SUBSTITUTE(SUBSTITUTE(TRIM(B290),".",""),"-","")," ","")))-1))&amp;RIGHT(UPPER(SUBSTITUTE(SUBSTITUTE(SUBSTITUTE(TRIM(B290),".",""),"-","")," ","")),1),UPPER(SUBSTITUTE(SUBSTITUTE(SUBSTITUTE(TRIM(B290),".",""),"-","")," ",""))))</f>
        <v/>
      </c>
      <c r="N290" s="62" t="str">
        <f aca="false">IF(B290="","",IF(D290="Anexo de modificación","No","Sí"))</f>
        <v/>
      </c>
      <c r="O290" s="62" t="str">
        <f aca="false">IF(AND(N290="Sí",ISNUMBER(F290)),COUNTIFS(C_RUTN,M290,C_DEF,"Sí",C_INI,"&lt;"&amp;F290)+COUNTIFS(M$7:M290,M290,N$7:N290,"Sí",F$7:F290,F290),"")</f>
        <v/>
      </c>
      <c r="P290" s="62" t="str">
        <f aca="false">IF(O290="","",M290&amp;"-P"&amp;O290)</f>
        <v/>
      </c>
      <c r="Q290" s="62" t="str">
        <f aca="false">IF(AND(N290="Sí",E290="Plazo fijo",ISNUMBER(F290)),COUNTIFS(C_RUTN,M290,C_TIPO,"Plazo fijo",C_DEF,"Sí",C_INI,"&lt;"&amp;F290)+COUNTIFS(M$7:M290,M290,E$7:E290,"Plazo fijo",N$7:N290,"Sí",F$7:F290,F290),"")</f>
        <v/>
      </c>
      <c r="R290" s="62" t="str">
        <f aca="false">IF(AND(B290&lt;&gt;"",ISNUMBER(H290),ISNUMBER(F290)),COUNTIFS(C_RUTN,M290,C_SUELDO,"&lt;&gt;",C_INI,"&lt;"&amp;F290)+COUNTIFS(M$7:M290,M290,H$7:H290,"&lt;&gt;",F$7:F290,F290),"")</f>
        <v/>
      </c>
      <c r="S290" s="62" t="str">
        <f aca="false">IF(R290="","",M290&amp;"-S"&amp;R290)</f>
        <v/>
      </c>
    </row>
    <row r="291" customFormat="false" ht="15" hidden="false" customHeight="false" outlineLevel="0" collapsed="false">
      <c r="B291" s="58"/>
      <c r="C291" s="62" t="str">
        <f aca="false">IF(B291="","",IFERROR(INDEX(T_NOMBRE,MATCH(M291,T_RUTN,0)),"⚠ RUT no está en Trabajadores"))</f>
        <v/>
      </c>
      <c r="D291" s="58"/>
      <c r="E291" s="58"/>
      <c r="F291" s="59"/>
      <c r="G291" s="59"/>
      <c r="H291" s="60"/>
      <c r="I291" s="58"/>
      <c r="J291" s="58"/>
      <c r="K291" s="58"/>
      <c r="L291" s="62" t="str">
        <f aca="false">IF(B291="","",IF(LEFT(C291,1)="⚠","⚠ Registre primero al trabajador en la hoja Trabajadores",IF(AND(N291="Sí",OR(E291="",NOT(ISNUMBER(F291)))),"⚠ Falta tipo de contrato o fecha de inicio",IF(NOT(ISNUMBER(F291)),"⚠ Falta fecha de inicio",IF(AND(N291="Sí",E291&lt;&gt;"Indefinido",NOT(ISNUMBER(G291))),"⚠ Falta fecha de término",IF(AND(D291="Paso a indefinido",E291&lt;&gt;"Indefinido"),"⚠ Un paso a indefinido debe tener tipo Indefinido",IF(N(Q291)&gt;=3,"⚠ 3er contrato a plazo fijo: por ley ya es INDEFINIDO (Art. 159 N°4)",IF(AND(E291="Plazo fijo",ISNUMBER(G291),(G291-F291+1)/30.4375&gt;12),"⚠ Plazo fijo mayor a 1 año (máximo legal)",IF(J291&lt;&gt;"Sí","Pendiente de firma","OK")))))))))</f>
        <v/>
      </c>
      <c r="M291" s="62" t="str">
        <f aca="false">IF(B291="","",IFERROR(VALUE(LEFT(UPPER(SUBSTITUTE(SUBSTITUTE(SUBSTITUTE(TRIM(B291),".",""),"-","")," ","")),LEN(UPPER(SUBSTITUTE(SUBSTITUTE(SUBSTITUTE(TRIM(B291),".",""),"-","")," ","")))-1))&amp;RIGHT(UPPER(SUBSTITUTE(SUBSTITUTE(SUBSTITUTE(TRIM(B291),".",""),"-","")," ","")),1),UPPER(SUBSTITUTE(SUBSTITUTE(SUBSTITUTE(TRIM(B291),".",""),"-","")," ",""))))</f>
        <v/>
      </c>
      <c r="N291" s="62" t="str">
        <f aca="false">IF(B291="","",IF(D291="Anexo de modificación","No","Sí"))</f>
        <v/>
      </c>
      <c r="O291" s="62" t="str">
        <f aca="false">IF(AND(N291="Sí",ISNUMBER(F291)),COUNTIFS(C_RUTN,M291,C_DEF,"Sí",C_INI,"&lt;"&amp;F291)+COUNTIFS(M$7:M291,M291,N$7:N291,"Sí",F$7:F291,F291),"")</f>
        <v/>
      </c>
      <c r="P291" s="62" t="str">
        <f aca="false">IF(O291="","",M291&amp;"-P"&amp;O291)</f>
        <v/>
      </c>
      <c r="Q291" s="62" t="str">
        <f aca="false">IF(AND(N291="Sí",E291="Plazo fijo",ISNUMBER(F291)),COUNTIFS(C_RUTN,M291,C_TIPO,"Plazo fijo",C_DEF,"Sí",C_INI,"&lt;"&amp;F291)+COUNTIFS(M$7:M291,M291,E$7:E291,"Plazo fijo",N$7:N291,"Sí",F$7:F291,F291),"")</f>
        <v/>
      </c>
      <c r="R291" s="62" t="str">
        <f aca="false">IF(AND(B291&lt;&gt;"",ISNUMBER(H291),ISNUMBER(F291)),COUNTIFS(C_RUTN,M291,C_SUELDO,"&lt;&gt;",C_INI,"&lt;"&amp;F291)+COUNTIFS(M$7:M291,M291,H$7:H291,"&lt;&gt;",F$7:F291,F291),"")</f>
        <v/>
      </c>
      <c r="S291" s="62" t="str">
        <f aca="false">IF(R291="","",M291&amp;"-S"&amp;R291)</f>
        <v/>
      </c>
    </row>
    <row r="292" customFormat="false" ht="15" hidden="false" customHeight="false" outlineLevel="0" collapsed="false">
      <c r="B292" s="58"/>
      <c r="C292" s="62" t="str">
        <f aca="false">IF(B292="","",IFERROR(INDEX(T_NOMBRE,MATCH(M292,T_RUTN,0)),"⚠ RUT no está en Trabajadores"))</f>
        <v/>
      </c>
      <c r="D292" s="58"/>
      <c r="E292" s="58"/>
      <c r="F292" s="59"/>
      <c r="G292" s="59"/>
      <c r="H292" s="60"/>
      <c r="I292" s="58"/>
      <c r="J292" s="58"/>
      <c r="K292" s="58"/>
      <c r="L292" s="62" t="str">
        <f aca="false">IF(B292="","",IF(LEFT(C292,1)="⚠","⚠ Registre primero al trabajador en la hoja Trabajadores",IF(AND(N292="Sí",OR(E292="",NOT(ISNUMBER(F292)))),"⚠ Falta tipo de contrato o fecha de inicio",IF(NOT(ISNUMBER(F292)),"⚠ Falta fecha de inicio",IF(AND(N292="Sí",E292&lt;&gt;"Indefinido",NOT(ISNUMBER(G292))),"⚠ Falta fecha de término",IF(AND(D292="Paso a indefinido",E292&lt;&gt;"Indefinido"),"⚠ Un paso a indefinido debe tener tipo Indefinido",IF(N(Q292)&gt;=3,"⚠ 3er contrato a plazo fijo: por ley ya es INDEFINIDO (Art. 159 N°4)",IF(AND(E292="Plazo fijo",ISNUMBER(G292),(G292-F292+1)/30.4375&gt;12),"⚠ Plazo fijo mayor a 1 año (máximo legal)",IF(J292&lt;&gt;"Sí","Pendiente de firma","OK")))))))))</f>
        <v/>
      </c>
      <c r="M292" s="62" t="str">
        <f aca="false">IF(B292="","",IFERROR(VALUE(LEFT(UPPER(SUBSTITUTE(SUBSTITUTE(SUBSTITUTE(TRIM(B292),".",""),"-","")," ","")),LEN(UPPER(SUBSTITUTE(SUBSTITUTE(SUBSTITUTE(TRIM(B292),".",""),"-","")," ","")))-1))&amp;RIGHT(UPPER(SUBSTITUTE(SUBSTITUTE(SUBSTITUTE(TRIM(B292),".",""),"-","")," ","")),1),UPPER(SUBSTITUTE(SUBSTITUTE(SUBSTITUTE(TRIM(B292),".",""),"-","")," ",""))))</f>
        <v/>
      </c>
      <c r="N292" s="62" t="str">
        <f aca="false">IF(B292="","",IF(D292="Anexo de modificación","No","Sí"))</f>
        <v/>
      </c>
      <c r="O292" s="62" t="str">
        <f aca="false">IF(AND(N292="Sí",ISNUMBER(F292)),COUNTIFS(C_RUTN,M292,C_DEF,"Sí",C_INI,"&lt;"&amp;F292)+COUNTIFS(M$7:M292,M292,N$7:N292,"Sí",F$7:F292,F292),"")</f>
        <v/>
      </c>
      <c r="P292" s="62" t="str">
        <f aca="false">IF(O292="","",M292&amp;"-P"&amp;O292)</f>
        <v/>
      </c>
      <c r="Q292" s="62" t="str">
        <f aca="false">IF(AND(N292="Sí",E292="Plazo fijo",ISNUMBER(F292)),COUNTIFS(C_RUTN,M292,C_TIPO,"Plazo fijo",C_DEF,"Sí",C_INI,"&lt;"&amp;F292)+COUNTIFS(M$7:M292,M292,E$7:E292,"Plazo fijo",N$7:N292,"Sí",F$7:F292,F292),"")</f>
        <v/>
      </c>
      <c r="R292" s="62" t="str">
        <f aca="false">IF(AND(B292&lt;&gt;"",ISNUMBER(H292),ISNUMBER(F292)),COUNTIFS(C_RUTN,M292,C_SUELDO,"&lt;&gt;",C_INI,"&lt;"&amp;F292)+COUNTIFS(M$7:M292,M292,H$7:H292,"&lt;&gt;",F$7:F292,F292),"")</f>
        <v/>
      </c>
      <c r="S292" s="62" t="str">
        <f aca="false">IF(R292="","",M292&amp;"-S"&amp;R292)</f>
        <v/>
      </c>
    </row>
    <row r="293" customFormat="false" ht="15" hidden="false" customHeight="false" outlineLevel="0" collapsed="false">
      <c r="B293" s="58"/>
      <c r="C293" s="62" t="str">
        <f aca="false">IF(B293="","",IFERROR(INDEX(T_NOMBRE,MATCH(M293,T_RUTN,0)),"⚠ RUT no está en Trabajadores"))</f>
        <v/>
      </c>
      <c r="D293" s="58"/>
      <c r="E293" s="58"/>
      <c r="F293" s="59"/>
      <c r="G293" s="59"/>
      <c r="H293" s="60"/>
      <c r="I293" s="58"/>
      <c r="J293" s="58"/>
      <c r="K293" s="58"/>
      <c r="L293" s="62" t="str">
        <f aca="false">IF(B293="","",IF(LEFT(C293,1)="⚠","⚠ Registre primero al trabajador en la hoja Trabajadores",IF(AND(N293="Sí",OR(E293="",NOT(ISNUMBER(F293)))),"⚠ Falta tipo de contrato o fecha de inicio",IF(NOT(ISNUMBER(F293)),"⚠ Falta fecha de inicio",IF(AND(N293="Sí",E293&lt;&gt;"Indefinido",NOT(ISNUMBER(G293))),"⚠ Falta fecha de término",IF(AND(D293="Paso a indefinido",E293&lt;&gt;"Indefinido"),"⚠ Un paso a indefinido debe tener tipo Indefinido",IF(N(Q293)&gt;=3,"⚠ 3er contrato a plazo fijo: por ley ya es INDEFINIDO (Art. 159 N°4)",IF(AND(E293="Plazo fijo",ISNUMBER(G293),(G293-F293+1)/30.4375&gt;12),"⚠ Plazo fijo mayor a 1 año (máximo legal)",IF(J293&lt;&gt;"Sí","Pendiente de firma","OK")))))))))</f>
        <v/>
      </c>
      <c r="M293" s="62" t="str">
        <f aca="false">IF(B293="","",IFERROR(VALUE(LEFT(UPPER(SUBSTITUTE(SUBSTITUTE(SUBSTITUTE(TRIM(B293),".",""),"-","")," ","")),LEN(UPPER(SUBSTITUTE(SUBSTITUTE(SUBSTITUTE(TRIM(B293),".",""),"-","")," ","")))-1))&amp;RIGHT(UPPER(SUBSTITUTE(SUBSTITUTE(SUBSTITUTE(TRIM(B293),".",""),"-","")," ","")),1),UPPER(SUBSTITUTE(SUBSTITUTE(SUBSTITUTE(TRIM(B293),".",""),"-","")," ",""))))</f>
        <v/>
      </c>
      <c r="N293" s="62" t="str">
        <f aca="false">IF(B293="","",IF(D293="Anexo de modificación","No","Sí"))</f>
        <v/>
      </c>
      <c r="O293" s="62" t="str">
        <f aca="false">IF(AND(N293="Sí",ISNUMBER(F293)),COUNTIFS(C_RUTN,M293,C_DEF,"Sí",C_INI,"&lt;"&amp;F293)+COUNTIFS(M$7:M293,M293,N$7:N293,"Sí",F$7:F293,F293),"")</f>
        <v/>
      </c>
      <c r="P293" s="62" t="str">
        <f aca="false">IF(O293="","",M293&amp;"-P"&amp;O293)</f>
        <v/>
      </c>
      <c r="Q293" s="62" t="str">
        <f aca="false">IF(AND(N293="Sí",E293="Plazo fijo",ISNUMBER(F293)),COUNTIFS(C_RUTN,M293,C_TIPO,"Plazo fijo",C_DEF,"Sí",C_INI,"&lt;"&amp;F293)+COUNTIFS(M$7:M293,M293,E$7:E293,"Plazo fijo",N$7:N293,"Sí",F$7:F293,F293),"")</f>
        <v/>
      </c>
      <c r="R293" s="62" t="str">
        <f aca="false">IF(AND(B293&lt;&gt;"",ISNUMBER(H293),ISNUMBER(F293)),COUNTIFS(C_RUTN,M293,C_SUELDO,"&lt;&gt;",C_INI,"&lt;"&amp;F293)+COUNTIFS(M$7:M293,M293,H$7:H293,"&lt;&gt;",F$7:F293,F293),"")</f>
        <v/>
      </c>
      <c r="S293" s="62" t="str">
        <f aca="false">IF(R293="","",M293&amp;"-S"&amp;R293)</f>
        <v/>
      </c>
    </row>
    <row r="294" customFormat="false" ht="15" hidden="false" customHeight="false" outlineLevel="0" collapsed="false">
      <c r="B294" s="58"/>
      <c r="C294" s="62" t="str">
        <f aca="false">IF(B294="","",IFERROR(INDEX(T_NOMBRE,MATCH(M294,T_RUTN,0)),"⚠ RUT no está en Trabajadores"))</f>
        <v/>
      </c>
      <c r="D294" s="58"/>
      <c r="E294" s="58"/>
      <c r="F294" s="59"/>
      <c r="G294" s="59"/>
      <c r="H294" s="60"/>
      <c r="I294" s="58"/>
      <c r="J294" s="58"/>
      <c r="K294" s="58"/>
      <c r="L294" s="62" t="str">
        <f aca="false">IF(B294="","",IF(LEFT(C294,1)="⚠","⚠ Registre primero al trabajador en la hoja Trabajadores",IF(AND(N294="Sí",OR(E294="",NOT(ISNUMBER(F294)))),"⚠ Falta tipo de contrato o fecha de inicio",IF(NOT(ISNUMBER(F294)),"⚠ Falta fecha de inicio",IF(AND(N294="Sí",E294&lt;&gt;"Indefinido",NOT(ISNUMBER(G294))),"⚠ Falta fecha de término",IF(AND(D294="Paso a indefinido",E294&lt;&gt;"Indefinido"),"⚠ Un paso a indefinido debe tener tipo Indefinido",IF(N(Q294)&gt;=3,"⚠ 3er contrato a plazo fijo: por ley ya es INDEFINIDO (Art. 159 N°4)",IF(AND(E294="Plazo fijo",ISNUMBER(G294),(G294-F294+1)/30.4375&gt;12),"⚠ Plazo fijo mayor a 1 año (máximo legal)",IF(J294&lt;&gt;"Sí","Pendiente de firma","OK")))))))))</f>
        <v/>
      </c>
      <c r="M294" s="62" t="str">
        <f aca="false">IF(B294="","",IFERROR(VALUE(LEFT(UPPER(SUBSTITUTE(SUBSTITUTE(SUBSTITUTE(TRIM(B294),".",""),"-","")," ","")),LEN(UPPER(SUBSTITUTE(SUBSTITUTE(SUBSTITUTE(TRIM(B294),".",""),"-","")," ","")))-1))&amp;RIGHT(UPPER(SUBSTITUTE(SUBSTITUTE(SUBSTITUTE(TRIM(B294),".",""),"-","")," ","")),1),UPPER(SUBSTITUTE(SUBSTITUTE(SUBSTITUTE(TRIM(B294),".",""),"-","")," ",""))))</f>
        <v/>
      </c>
      <c r="N294" s="62" t="str">
        <f aca="false">IF(B294="","",IF(D294="Anexo de modificación","No","Sí"))</f>
        <v/>
      </c>
      <c r="O294" s="62" t="str">
        <f aca="false">IF(AND(N294="Sí",ISNUMBER(F294)),COUNTIFS(C_RUTN,M294,C_DEF,"Sí",C_INI,"&lt;"&amp;F294)+COUNTIFS(M$7:M294,M294,N$7:N294,"Sí",F$7:F294,F294),"")</f>
        <v/>
      </c>
      <c r="P294" s="62" t="str">
        <f aca="false">IF(O294="","",M294&amp;"-P"&amp;O294)</f>
        <v/>
      </c>
      <c r="Q294" s="62" t="str">
        <f aca="false">IF(AND(N294="Sí",E294="Plazo fijo",ISNUMBER(F294)),COUNTIFS(C_RUTN,M294,C_TIPO,"Plazo fijo",C_DEF,"Sí",C_INI,"&lt;"&amp;F294)+COUNTIFS(M$7:M294,M294,E$7:E294,"Plazo fijo",N$7:N294,"Sí",F$7:F294,F294),"")</f>
        <v/>
      </c>
      <c r="R294" s="62" t="str">
        <f aca="false">IF(AND(B294&lt;&gt;"",ISNUMBER(H294),ISNUMBER(F294)),COUNTIFS(C_RUTN,M294,C_SUELDO,"&lt;&gt;",C_INI,"&lt;"&amp;F294)+COUNTIFS(M$7:M294,M294,H$7:H294,"&lt;&gt;",F$7:F294,F294),"")</f>
        <v/>
      </c>
      <c r="S294" s="62" t="str">
        <f aca="false">IF(R294="","",M294&amp;"-S"&amp;R294)</f>
        <v/>
      </c>
    </row>
    <row r="295" customFormat="false" ht="15" hidden="false" customHeight="false" outlineLevel="0" collapsed="false">
      <c r="B295" s="58"/>
      <c r="C295" s="62" t="str">
        <f aca="false">IF(B295="","",IFERROR(INDEX(T_NOMBRE,MATCH(M295,T_RUTN,0)),"⚠ RUT no está en Trabajadores"))</f>
        <v/>
      </c>
      <c r="D295" s="58"/>
      <c r="E295" s="58"/>
      <c r="F295" s="59"/>
      <c r="G295" s="59"/>
      <c r="H295" s="60"/>
      <c r="I295" s="58"/>
      <c r="J295" s="58"/>
      <c r="K295" s="58"/>
      <c r="L295" s="62" t="str">
        <f aca="false">IF(B295="","",IF(LEFT(C295,1)="⚠","⚠ Registre primero al trabajador en la hoja Trabajadores",IF(AND(N295="Sí",OR(E295="",NOT(ISNUMBER(F295)))),"⚠ Falta tipo de contrato o fecha de inicio",IF(NOT(ISNUMBER(F295)),"⚠ Falta fecha de inicio",IF(AND(N295="Sí",E295&lt;&gt;"Indefinido",NOT(ISNUMBER(G295))),"⚠ Falta fecha de término",IF(AND(D295="Paso a indefinido",E295&lt;&gt;"Indefinido"),"⚠ Un paso a indefinido debe tener tipo Indefinido",IF(N(Q295)&gt;=3,"⚠ 3er contrato a plazo fijo: por ley ya es INDEFINIDO (Art. 159 N°4)",IF(AND(E295="Plazo fijo",ISNUMBER(G295),(G295-F295+1)/30.4375&gt;12),"⚠ Plazo fijo mayor a 1 año (máximo legal)",IF(J295&lt;&gt;"Sí","Pendiente de firma","OK")))))))))</f>
        <v/>
      </c>
      <c r="M295" s="62" t="str">
        <f aca="false">IF(B295="","",IFERROR(VALUE(LEFT(UPPER(SUBSTITUTE(SUBSTITUTE(SUBSTITUTE(TRIM(B295),".",""),"-","")," ","")),LEN(UPPER(SUBSTITUTE(SUBSTITUTE(SUBSTITUTE(TRIM(B295),".",""),"-","")," ","")))-1))&amp;RIGHT(UPPER(SUBSTITUTE(SUBSTITUTE(SUBSTITUTE(TRIM(B295),".",""),"-","")," ","")),1),UPPER(SUBSTITUTE(SUBSTITUTE(SUBSTITUTE(TRIM(B295),".",""),"-","")," ",""))))</f>
        <v/>
      </c>
      <c r="N295" s="62" t="str">
        <f aca="false">IF(B295="","",IF(D295="Anexo de modificación","No","Sí"))</f>
        <v/>
      </c>
      <c r="O295" s="62" t="str">
        <f aca="false">IF(AND(N295="Sí",ISNUMBER(F295)),COUNTIFS(C_RUTN,M295,C_DEF,"Sí",C_INI,"&lt;"&amp;F295)+COUNTIFS(M$7:M295,M295,N$7:N295,"Sí",F$7:F295,F295),"")</f>
        <v/>
      </c>
      <c r="P295" s="62" t="str">
        <f aca="false">IF(O295="","",M295&amp;"-P"&amp;O295)</f>
        <v/>
      </c>
      <c r="Q295" s="62" t="str">
        <f aca="false">IF(AND(N295="Sí",E295="Plazo fijo",ISNUMBER(F295)),COUNTIFS(C_RUTN,M295,C_TIPO,"Plazo fijo",C_DEF,"Sí",C_INI,"&lt;"&amp;F295)+COUNTIFS(M$7:M295,M295,E$7:E295,"Plazo fijo",N$7:N295,"Sí",F$7:F295,F295),"")</f>
        <v/>
      </c>
      <c r="R295" s="62" t="str">
        <f aca="false">IF(AND(B295&lt;&gt;"",ISNUMBER(H295),ISNUMBER(F295)),COUNTIFS(C_RUTN,M295,C_SUELDO,"&lt;&gt;",C_INI,"&lt;"&amp;F295)+COUNTIFS(M$7:M295,M295,H$7:H295,"&lt;&gt;",F$7:F295,F295),"")</f>
        <v/>
      </c>
      <c r="S295" s="62" t="str">
        <f aca="false">IF(R295="","",M295&amp;"-S"&amp;R295)</f>
        <v/>
      </c>
    </row>
    <row r="296" customFormat="false" ht="15" hidden="false" customHeight="false" outlineLevel="0" collapsed="false">
      <c r="B296" s="58"/>
      <c r="C296" s="62" t="str">
        <f aca="false">IF(B296="","",IFERROR(INDEX(T_NOMBRE,MATCH(M296,T_RUTN,0)),"⚠ RUT no está en Trabajadores"))</f>
        <v/>
      </c>
      <c r="D296" s="58"/>
      <c r="E296" s="58"/>
      <c r="F296" s="59"/>
      <c r="G296" s="59"/>
      <c r="H296" s="60"/>
      <c r="I296" s="58"/>
      <c r="J296" s="58"/>
      <c r="K296" s="58"/>
      <c r="L296" s="62" t="str">
        <f aca="false">IF(B296="","",IF(LEFT(C296,1)="⚠","⚠ Registre primero al trabajador en la hoja Trabajadores",IF(AND(N296="Sí",OR(E296="",NOT(ISNUMBER(F296)))),"⚠ Falta tipo de contrato o fecha de inicio",IF(NOT(ISNUMBER(F296)),"⚠ Falta fecha de inicio",IF(AND(N296="Sí",E296&lt;&gt;"Indefinido",NOT(ISNUMBER(G296))),"⚠ Falta fecha de término",IF(AND(D296="Paso a indefinido",E296&lt;&gt;"Indefinido"),"⚠ Un paso a indefinido debe tener tipo Indefinido",IF(N(Q296)&gt;=3,"⚠ 3er contrato a plazo fijo: por ley ya es INDEFINIDO (Art. 159 N°4)",IF(AND(E296="Plazo fijo",ISNUMBER(G296),(G296-F296+1)/30.4375&gt;12),"⚠ Plazo fijo mayor a 1 año (máximo legal)",IF(J296&lt;&gt;"Sí","Pendiente de firma","OK")))))))))</f>
        <v/>
      </c>
      <c r="M296" s="62" t="str">
        <f aca="false">IF(B296="","",IFERROR(VALUE(LEFT(UPPER(SUBSTITUTE(SUBSTITUTE(SUBSTITUTE(TRIM(B296),".",""),"-","")," ","")),LEN(UPPER(SUBSTITUTE(SUBSTITUTE(SUBSTITUTE(TRIM(B296),".",""),"-","")," ","")))-1))&amp;RIGHT(UPPER(SUBSTITUTE(SUBSTITUTE(SUBSTITUTE(TRIM(B296),".",""),"-","")," ","")),1),UPPER(SUBSTITUTE(SUBSTITUTE(SUBSTITUTE(TRIM(B296),".",""),"-","")," ",""))))</f>
        <v/>
      </c>
      <c r="N296" s="62" t="str">
        <f aca="false">IF(B296="","",IF(D296="Anexo de modificación","No","Sí"))</f>
        <v/>
      </c>
      <c r="O296" s="62" t="str">
        <f aca="false">IF(AND(N296="Sí",ISNUMBER(F296)),COUNTIFS(C_RUTN,M296,C_DEF,"Sí",C_INI,"&lt;"&amp;F296)+COUNTIFS(M$7:M296,M296,N$7:N296,"Sí",F$7:F296,F296),"")</f>
        <v/>
      </c>
      <c r="P296" s="62" t="str">
        <f aca="false">IF(O296="","",M296&amp;"-P"&amp;O296)</f>
        <v/>
      </c>
      <c r="Q296" s="62" t="str">
        <f aca="false">IF(AND(N296="Sí",E296="Plazo fijo",ISNUMBER(F296)),COUNTIFS(C_RUTN,M296,C_TIPO,"Plazo fijo",C_DEF,"Sí",C_INI,"&lt;"&amp;F296)+COUNTIFS(M$7:M296,M296,E$7:E296,"Plazo fijo",N$7:N296,"Sí",F$7:F296,F296),"")</f>
        <v/>
      </c>
      <c r="R296" s="62" t="str">
        <f aca="false">IF(AND(B296&lt;&gt;"",ISNUMBER(H296),ISNUMBER(F296)),COUNTIFS(C_RUTN,M296,C_SUELDO,"&lt;&gt;",C_INI,"&lt;"&amp;F296)+COUNTIFS(M$7:M296,M296,H$7:H296,"&lt;&gt;",F$7:F296,F296),"")</f>
        <v/>
      </c>
      <c r="S296" s="62" t="str">
        <f aca="false">IF(R296="","",M296&amp;"-S"&amp;R296)</f>
        <v/>
      </c>
    </row>
    <row r="297" customFormat="false" ht="15" hidden="false" customHeight="false" outlineLevel="0" collapsed="false">
      <c r="B297" s="58"/>
      <c r="C297" s="62" t="str">
        <f aca="false">IF(B297="","",IFERROR(INDEX(T_NOMBRE,MATCH(M297,T_RUTN,0)),"⚠ RUT no está en Trabajadores"))</f>
        <v/>
      </c>
      <c r="D297" s="58"/>
      <c r="E297" s="58"/>
      <c r="F297" s="59"/>
      <c r="G297" s="59"/>
      <c r="H297" s="60"/>
      <c r="I297" s="58"/>
      <c r="J297" s="58"/>
      <c r="K297" s="58"/>
      <c r="L297" s="62" t="str">
        <f aca="false">IF(B297="","",IF(LEFT(C297,1)="⚠","⚠ Registre primero al trabajador en la hoja Trabajadores",IF(AND(N297="Sí",OR(E297="",NOT(ISNUMBER(F297)))),"⚠ Falta tipo de contrato o fecha de inicio",IF(NOT(ISNUMBER(F297)),"⚠ Falta fecha de inicio",IF(AND(N297="Sí",E297&lt;&gt;"Indefinido",NOT(ISNUMBER(G297))),"⚠ Falta fecha de término",IF(AND(D297="Paso a indefinido",E297&lt;&gt;"Indefinido"),"⚠ Un paso a indefinido debe tener tipo Indefinido",IF(N(Q297)&gt;=3,"⚠ 3er contrato a plazo fijo: por ley ya es INDEFINIDO (Art. 159 N°4)",IF(AND(E297="Plazo fijo",ISNUMBER(G297),(G297-F297+1)/30.4375&gt;12),"⚠ Plazo fijo mayor a 1 año (máximo legal)",IF(J297&lt;&gt;"Sí","Pendiente de firma","OK")))))))))</f>
        <v/>
      </c>
      <c r="M297" s="62" t="str">
        <f aca="false">IF(B297="","",IFERROR(VALUE(LEFT(UPPER(SUBSTITUTE(SUBSTITUTE(SUBSTITUTE(TRIM(B297),".",""),"-","")," ","")),LEN(UPPER(SUBSTITUTE(SUBSTITUTE(SUBSTITUTE(TRIM(B297),".",""),"-","")," ","")))-1))&amp;RIGHT(UPPER(SUBSTITUTE(SUBSTITUTE(SUBSTITUTE(TRIM(B297),".",""),"-","")," ","")),1),UPPER(SUBSTITUTE(SUBSTITUTE(SUBSTITUTE(TRIM(B297),".",""),"-","")," ",""))))</f>
        <v/>
      </c>
      <c r="N297" s="62" t="str">
        <f aca="false">IF(B297="","",IF(D297="Anexo de modificación","No","Sí"))</f>
        <v/>
      </c>
      <c r="O297" s="62" t="str">
        <f aca="false">IF(AND(N297="Sí",ISNUMBER(F297)),COUNTIFS(C_RUTN,M297,C_DEF,"Sí",C_INI,"&lt;"&amp;F297)+COUNTIFS(M$7:M297,M297,N$7:N297,"Sí",F$7:F297,F297),"")</f>
        <v/>
      </c>
      <c r="P297" s="62" t="str">
        <f aca="false">IF(O297="","",M297&amp;"-P"&amp;O297)</f>
        <v/>
      </c>
      <c r="Q297" s="62" t="str">
        <f aca="false">IF(AND(N297="Sí",E297="Plazo fijo",ISNUMBER(F297)),COUNTIFS(C_RUTN,M297,C_TIPO,"Plazo fijo",C_DEF,"Sí",C_INI,"&lt;"&amp;F297)+COUNTIFS(M$7:M297,M297,E$7:E297,"Plazo fijo",N$7:N297,"Sí",F$7:F297,F297),"")</f>
        <v/>
      </c>
      <c r="R297" s="62" t="str">
        <f aca="false">IF(AND(B297&lt;&gt;"",ISNUMBER(H297),ISNUMBER(F297)),COUNTIFS(C_RUTN,M297,C_SUELDO,"&lt;&gt;",C_INI,"&lt;"&amp;F297)+COUNTIFS(M$7:M297,M297,H$7:H297,"&lt;&gt;",F$7:F297,F297),"")</f>
        <v/>
      </c>
      <c r="S297" s="62" t="str">
        <f aca="false">IF(R297="","",M297&amp;"-S"&amp;R297)</f>
        <v/>
      </c>
    </row>
    <row r="298" customFormat="false" ht="15" hidden="false" customHeight="false" outlineLevel="0" collapsed="false">
      <c r="B298" s="58"/>
      <c r="C298" s="62" t="str">
        <f aca="false">IF(B298="","",IFERROR(INDEX(T_NOMBRE,MATCH(M298,T_RUTN,0)),"⚠ RUT no está en Trabajadores"))</f>
        <v/>
      </c>
      <c r="D298" s="58"/>
      <c r="E298" s="58"/>
      <c r="F298" s="59"/>
      <c r="G298" s="59"/>
      <c r="H298" s="60"/>
      <c r="I298" s="58"/>
      <c r="J298" s="58"/>
      <c r="K298" s="58"/>
      <c r="L298" s="62" t="str">
        <f aca="false">IF(B298="","",IF(LEFT(C298,1)="⚠","⚠ Registre primero al trabajador en la hoja Trabajadores",IF(AND(N298="Sí",OR(E298="",NOT(ISNUMBER(F298)))),"⚠ Falta tipo de contrato o fecha de inicio",IF(NOT(ISNUMBER(F298)),"⚠ Falta fecha de inicio",IF(AND(N298="Sí",E298&lt;&gt;"Indefinido",NOT(ISNUMBER(G298))),"⚠ Falta fecha de término",IF(AND(D298="Paso a indefinido",E298&lt;&gt;"Indefinido"),"⚠ Un paso a indefinido debe tener tipo Indefinido",IF(N(Q298)&gt;=3,"⚠ 3er contrato a plazo fijo: por ley ya es INDEFINIDO (Art. 159 N°4)",IF(AND(E298="Plazo fijo",ISNUMBER(G298),(G298-F298+1)/30.4375&gt;12),"⚠ Plazo fijo mayor a 1 año (máximo legal)",IF(J298&lt;&gt;"Sí","Pendiente de firma","OK")))))))))</f>
        <v/>
      </c>
      <c r="M298" s="62" t="str">
        <f aca="false">IF(B298="","",IFERROR(VALUE(LEFT(UPPER(SUBSTITUTE(SUBSTITUTE(SUBSTITUTE(TRIM(B298),".",""),"-","")," ","")),LEN(UPPER(SUBSTITUTE(SUBSTITUTE(SUBSTITUTE(TRIM(B298),".",""),"-","")," ","")))-1))&amp;RIGHT(UPPER(SUBSTITUTE(SUBSTITUTE(SUBSTITUTE(TRIM(B298),".",""),"-","")," ","")),1),UPPER(SUBSTITUTE(SUBSTITUTE(SUBSTITUTE(TRIM(B298),".",""),"-","")," ",""))))</f>
        <v/>
      </c>
      <c r="N298" s="62" t="str">
        <f aca="false">IF(B298="","",IF(D298="Anexo de modificación","No","Sí"))</f>
        <v/>
      </c>
      <c r="O298" s="62" t="str">
        <f aca="false">IF(AND(N298="Sí",ISNUMBER(F298)),COUNTIFS(C_RUTN,M298,C_DEF,"Sí",C_INI,"&lt;"&amp;F298)+COUNTIFS(M$7:M298,M298,N$7:N298,"Sí",F$7:F298,F298),"")</f>
        <v/>
      </c>
      <c r="P298" s="62" t="str">
        <f aca="false">IF(O298="","",M298&amp;"-P"&amp;O298)</f>
        <v/>
      </c>
      <c r="Q298" s="62" t="str">
        <f aca="false">IF(AND(N298="Sí",E298="Plazo fijo",ISNUMBER(F298)),COUNTIFS(C_RUTN,M298,C_TIPO,"Plazo fijo",C_DEF,"Sí",C_INI,"&lt;"&amp;F298)+COUNTIFS(M$7:M298,M298,E$7:E298,"Plazo fijo",N$7:N298,"Sí",F$7:F298,F298),"")</f>
        <v/>
      </c>
      <c r="R298" s="62" t="str">
        <f aca="false">IF(AND(B298&lt;&gt;"",ISNUMBER(H298),ISNUMBER(F298)),COUNTIFS(C_RUTN,M298,C_SUELDO,"&lt;&gt;",C_INI,"&lt;"&amp;F298)+COUNTIFS(M$7:M298,M298,H$7:H298,"&lt;&gt;",F$7:F298,F298),"")</f>
        <v/>
      </c>
      <c r="S298" s="62" t="str">
        <f aca="false">IF(R298="","",M298&amp;"-S"&amp;R298)</f>
        <v/>
      </c>
    </row>
    <row r="299" customFormat="false" ht="15" hidden="false" customHeight="false" outlineLevel="0" collapsed="false">
      <c r="B299" s="58"/>
      <c r="C299" s="62" t="str">
        <f aca="false">IF(B299="","",IFERROR(INDEX(T_NOMBRE,MATCH(M299,T_RUTN,0)),"⚠ RUT no está en Trabajadores"))</f>
        <v/>
      </c>
      <c r="D299" s="58"/>
      <c r="E299" s="58"/>
      <c r="F299" s="59"/>
      <c r="G299" s="59"/>
      <c r="H299" s="60"/>
      <c r="I299" s="58"/>
      <c r="J299" s="58"/>
      <c r="K299" s="58"/>
      <c r="L299" s="62" t="str">
        <f aca="false">IF(B299="","",IF(LEFT(C299,1)="⚠","⚠ Registre primero al trabajador en la hoja Trabajadores",IF(AND(N299="Sí",OR(E299="",NOT(ISNUMBER(F299)))),"⚠ Falta tipo de contrato o fecha de inicio",IF(NOT(ISNUMBER(F299)),"⚠ Falta fecha de inicio",IF(AND(N299="Sí",E299&lt;&gt;"Indefinido",NOT(ISNUMBER(G299))),"⚠ Falta fecha de término",IF(AND(D299="Paso a indefinido",E299&lt;&gt;"Indefinido"),"⚠ Un paso a indefinido debe tener tipo Indefinido",IF(N(Q299)&gt;=3,"⚠ 3er contrato a plazo fijo: por ley ya es INDEFINIDO (Art. 159 N°4)",IF(AND(E299="Plazo fijo",ISNUMBER(G299),(G299-F299+1)/30.4375&gt;12),"⚠ Plazo fijo mayor a 1 año (máximo legal)",IF(J299&lt;&gt;"Sí","Pendiente de firma","OK")))))))))</f>
        <v/>
      </c>
      <c r="M299" s="62" t="str">
        <f aca="false">IF(B299="","",IFERROR(VALUE(LEFT(UPPER(SUBSTITUTE(SUBSTITUTE(SUBSTITUTE(TRIM(B299),".",""),"-","")," ","")),LEN(UPPER(SUBSTITUTE(SUBSTITUTE(SUBSTITUTE(TRIM(B299),".",""),"-","")," ","")))-1))&amp;RIGHT(UPPER(SUBSTITUTE(SUBSTITUTE(SUBSTITUTE(TRIM(B299),".",""),"-","")," ","")),1),UPPER(SUBSTITUTE(SUBSTITUTE(SUBSTITUTE(TRIM(B299),".",""),"-","")," ",""))))</f>
        <v/>
      </c>
      <c r="N299" s="62" t="str">
        <f aca="false">IF(B299="","",IF(D299="Anexo de modificación","No","Sí"))</f>
        <v/>
      </c>
      <c r="O299" s="62" t="str">
        <f aca="false">IF(AND(N299="Sí",ISNUMBER(F299)),COUNTIFS(C_RUTN,M299,C_DEF,"Sí",C_INI,"&lt;"&amp;F299)+COUNTIFS(M$7:M299,M299,N$7:N299,"Sí",F$7:F299,F299),"")</f>
        <v/>
      </c>
      <c r="P299" s="62" t="str">
        <f aca="false">IF(O299="","",M299&amp;"-P"&amp;O299)</f>
        <v/>
      </c>
      <c r="Q299" s="62" t="str">
        <f aca="false">IF(AND(N299="Sí",E299="Plazo fijo",ISNUMBER(F299)),COUNTIFS(C_RUTN,M299,C_TIPO,"Plazo fijo",C_DEF,"Sí",C_INI,"&lt;"&amp;F299)+COUNTIFS(M$7:M299,M299,E$7:E299,"Plazo fijo",N$7:N299,"Sí",F$7:F299,F299),"")</f>
        <v/>
      </c>
      <c r="R299" s="62" t="str">
        <f aca="false">IF(AND(B299&lt;&gt;"",ISNUMBER(H299),ISNUMBER(F299)),COUNTIFS(C_RUTN,M299,C_SUELDO,"&lt;&gt;",C_INI,"&lt;"&amp;F299)+COUNTIFS(M$7:M299,M299,H$7:H299,"&lt;&gt;",F$7:F299,F299),"")</f>
        <v/>
      </c>
      <c r="S299" s="62" t="str">
        <f aca="false">IF(R299="","",M299&amp;"-S"&amp;R299)</f>
        <v/>
      </c>
    </row>
    <row r="300" customFormat="false" ht="15" hidden="false" customHeight="false" outlineLevel="0" collapsed="false">
      <c r="B300" s="58"/>
      <c r="C300" s="62" t="str">
        <f aca="false">IF(B300="","",IFERROR(INDEX(T_NOMBRE,MATCH(M300,T_RUTN,0)),"⚠ RUT no está en Trabajadores"))</f>
        <v/>
      </c>
      <c r="D300" s="58"/>
      <c r="E300" s="58"/>
      <c r="F300" s="59"/>
      <c r="G300" s="59"/>
      <c r="H300" s="60"/>
      <c r="I300" s="58"/>
      <c r="J300" s="58"/>
      <c r="K300" s="58"/>
      <c r="L300" s="62" t="str">
        <f aca="false">IF(B300="","",IF(LEFT(C300,1)="⚠","⚠ Registre primero al trabajador en la hoja Trabajadores",IF(AND(N300="Sí",OR(E300="",NOT(ISNUMBER(F300)))),"⚠ Falta tipo de contrato o fecha de inicio",IF(NOT(ISNUMBER(F300)),"⚠ Falta fecha de inicio",IF(AND(N300="Sí",E300&lt;&gt;"Indefinido",NOT(ISNUMBER(G300))),"⚠ Falta fecha de término",IF(AND(D300="Paso a indefinido",E300&lt;&gt;"Indefinido"),"⚠ Un paso a indefinido debe tener tipo Indefinido",IF(N(Q300)&gt;=3,"⚠ 3er contrato a plazo fijo: por ley ya es INDEFINIDO (Art. 159 N°4)",IF(AND(E300="Plazo fijo",ISNUMBER(G300),(G300-F300+1)/30.4375&gt;12),"⚠ Plazo fijo mayor a 1 año (máximo legal)",IF(J300&lt;&gt;"Sí","Pendiente de firma","OK")))))))))</f>
        <v/>
      </c>
      <c r="M300" s="62" t="str">
        <f aca="false">IF(B300="","",IFERROR(VALUE(LEFT(UPPER(SUBSTITUTE(SUBSTITUTE(SUBSTITUTE(TRIM(B300),".",""),"-","")," ","")),LEN(UPPER(SUBSTITUTE(SUBSTITUTE(SUBSTITUTE(TRIM(B300),".",""),"-","")," ","")))-1))&amp;RIGHT(UPPER(SUBSTITUTE(SUBSTITUTE(SUBSTITUTE(TRIM(B300),".",""),"-","")," ","")),1),UPPER(SUBSTITUTE(SUBSTITUTE(SUBSTITUTE(TRIM(B300),".",""),"-","")," ",""))))</f>
        <v/>
      </c>
      <c r="N300" s="62" t="str">
        <f aca="false">IF(B300="","",IF(D300="Anexo de modificación","No","Sí"))</f>
        <v/>
      </c>
      <c r="O300" s="62" t="str">
        <f aca="false">IF(AND(N300="Sí",ISNUMBER(F300)),COUNTIFS(C_RUTN,M300,C_DEF,"Sí",C_INI,"&lt;"&amp;F300)+COUNTIFS(M$7:M300,M300,N$7:N300,"Sí",F$7:F300,F300),"")</f>
        <v/>
      </c>
      <c r="P300" s="62" t="str">
        <f aca="false">IF(O300="","",M300&amp;"-P"&amp;O300)</f>
        <v/>
      </c>
      <c r="Q300" s="62" t="str">
        <f aca="false">IF(AND(N300="Sí",E300="Plazo fijo",ISNUMBER(F300)),COUNTIFS(C_RUTN,M300,C_TIPO,"Plazo fijo",C_DEF,"Sí",C_INI,"&lt;"&amp;F300)+COUNTIFS(M$7:M300,M300,E$7:E300,"Plazo fijo",N$7:N300,"Sí",F$7:F300,F300),"")</f>
        <v/>
      </c>
      <c r="R300" s="62" t="str">
        <f aca="false">IF(AND(B300&lt;&gt;"",ISNUMBER(H300),ISNUMBER(F300)),COUNTIFS(C_RUTN,M300,C_SUELDO,"&lt;&gt;",C_INI,"&lt;"&amp;F300)+COUNTIFS(M$7:M300,M300,H$7:H300,"&lt;&gt;",F$7:F300,F300),"")</f>
        <v/>
      </c>
      <c r="S300" s="62" t="str">
        <f aca="false">IF(R300="","",M300&amp;"-S"&amp;R300)</f>
        <v/>
      </c>
    </row>
    <row r="301" customFormat="false" ht="15" hidden="false" customHeight="false" outlineLevel="0" collapsed="false">
      <c r="B301" s="58"/>
      <c r="C301" s="62" t="str">
        <f aca="false">IF(B301="","",IFERROR(INDEX(T_NOMBRE,MATCH(M301,T_RUTN,0)),"⚠ RUT no está en Trabajadores"))</f>
        <v/>
      </c>
      <c r="D301" s="58"/>
      <c r="E301" s="58"/>
      <c r="F301" s="59"/>
      <c r="G301" s="59"/>
      <c r="H301" s="60"/>
      <c r="I301" s="58"/>
      <c r="J301" s="58"/>
      <c r="K301" s="58"/>
      <c r="L301" s="62" t="str">
        <f aca="false">IF(B301="","",IF(LEFT(C301,1)="⚠","⚠ Registre primero al trabajador en la hoja Trabajadores",IF(AND(N301="Sí",OR(E301="",NOT(ISNUMBER(F301)))),"⚠ Falta tipo de contrato o fecha de inicio",IF(NOT(ISNUMBER(F301)),"⚠ Falta fecha de inicio",IF(AND(N301="Sí",E301&lt;&gt;"Indefinido",NOT(ISNUMBER(G301))),"⚠ Falta fecha de término",IF(AND(D301="Paso a indefinido",E301&lt;&gt;"Indefinido"),"⚠ Un paso a indefinido debe tener tipo Indefinido",IF(N(Q301)&gt;=3,"⚠ 3er contrato a plazo fijo: por ley ya es INDEFINIDO (Art. 159 N°4)",IF(AND(E301="Plazo fijo",ISNUMBER(G301),(G301-F301+1)/30.4375&gt;12),"⚠ Plazo fijo mayor a 1 año (máximo legal)",IF(J301&lt;&gt;"Sí","Pendiente de firma","OK")))))))))</f>
        <v/>
      </c>
      <c r="M301" s="62" t="str">
        <f aca="false">IF(B301="","",IFERROR(VALUE(LEFT(UPPER(SUBSTITUTE(SUBSTITUTE(SUBSTITUTE(TRIM(B301),".",""),"-","")," ","")),LEN(UPPER(SUBSTITUTE(SUBSTITUTE(SUBSTITUTE(TRIM(B301),".",""),"-","")," ","")))-1))&amp;RIGHT(UPPER(SUBSTITUTE(SUBSTITUTE(SUBSTITUTE(TRIM(B301),".",""),"-","")," ","")),1),UPPER(SUBSTITUTE(SUBSTITUTE(SUBSTITUTE(TRIM(B301),".",""),"-","")," ",""))))</f>
        <v/>
      </c>
      <c r="N301" s="62" t="str">
        <f aca="false">IF(B301="","",IF(D301="Anexo de modificación","No","Sí"))</f>
        <v/>
      </c>
      <c r="O301" s="62" t="str">
        <f aca="false">IF(AND(N301="Sí",ISNUMBER(F301)),COUNTIFS(C_RUTN,M301,C_DEF,"Sí",C_INI,"&lt;"&amp;F301)+COUNTIFS(M$7:M301,M301,N$7:N301,"Sí",F$7:F301,F301),"")</f>
        <v/>
      </c>
      <c r="P301" s="62" t="str">
        <f aca="false">IF(O301="","",M301&amp;"-P"&amp;O301)</f>
        <v/>
      </c>
      <c r="Q301" s="62" t="str">
        <f aca="false">IF(AND(N301="Sí",E301="Plazo fijo",ISNUMBER(F301)),COUNTIFS(C_RUTN,M301,C_TIPO,"Plazo fijo",C_DEF,"Sí",C_INI,"&lt;"&amp;F301)+COUNTIFS(M$7:M301,M301,E$7:E301,"Plazo fijo",N$7:N301,"Sí",F$7:F301,F301),"")</f>
        <v/>
      </c>
      <c r="R301" s="62" t="str">
        <f aca="false">IF(AND(B301&lt;&gt;"",ISNUMBER(H301),ISNUMBER(F301)),COUNTIFS(C_RUTN,M301,C_SUELDO,"&lt;&gt;",C_INI,"&lt;"&amp;F301)+COUNTIFS(M$7:M301,M301,H$7:H301,"&lt;&gt;",F$7:F301,F301),"")</f>
        <v/>
      </c>
      <c r="S301" s="62" t="str">
        <f aca="false">IF(R301="","",M301&amp;"-S"&amp;R301)</f>
        <v/>
      </c>
    </row>
    <row r="302" customFormat="false" ht="15" hidden="false" customHeight="false" outlineLevel="0" collapsed="false">
      <c r="B302" s="58"/>
      <c r="C302" s="62" t="str">
        <f aca="false">IF(B302="","",IFERROR(INDEX(T_NOMBRE,MATCH(M302,T_RUTN,0)),"⚠ RUT no está en Trabajadores"))</f>
        <v/>
      </c>
      <c r="D302" s="58"/>
      <c r="E302" s="58"/>
      <c r="F302" s="59"/>
      <c r="G302" s="59"/>
      <c r="H302" s="60"/>
      <c r="I302" s="58"/>
      <c r="J302" s="58"/>
      <c r="K302" s="58"/>
      <c r="L302" s="62" t="str">
        <f aca="false">IF(B302="","",IF(LEFT(C302,1)="⚠","⚠ Registre primero al trabajador en la hoja Trabajadores",IF(AND(N302="Sí",OR(E302="",NOT(ISNUMBER(F302)))),"⚠ Falta tipo de contrato o fecha de inicio",IF(NOT(ISNUMBER(F302)),"⚠ Falta fecha de inicio",IF(AND(N302="Sí",E302&lt;&gt;"Indefinido",NOT(ISNUMBER(G302))),"⚠ Falta fecha de término",IF(AND(D302="Paso a indefinido",E302&lt;&gt;"Indefinido"),"⚠ Un paso a indefinido debe tener tipo Indefinido",IF(N(Q302)&gt;=3,"⚠ 3er contrato a plazo fijo: por ley ya es INDEFINIDO (Art. 159 N°4)",IF(AND(E302="Plazo fijo",ISNUMBER(G302),(G302-F302+1)/30.4375&gt;12),"⚠ Plazo fijo mayor a 1 año (máximo legal)",IF(J302&lt;&gt;"Sí","Pendiente de firma","OK")))))))))</f>
        <v/>
      </c>
      <c r="M302" s="62" t="str">
        <f aca="false">IF(B302="","",IFERROR(VALUE(LEFT(UPPER(SUBSTITUTE(SUBSTITUTE(SUBSTITUTE(TRIM(B302),".",""),"-","")," ","")),LEN(UPPER(SUBSTITUTE(SUBSTITUTE(SUBSTITUTE(TRIM(B302),".",""),"-","")," ","")))-1))&amp;RIGHT(UPPER(SUBSTITUTE(SUBSTITUTE(SUBSTITUTE(TRIM(B302),".",""),"-","")," ","")),1),UPPER(SUBSTITUTE(SUBSTITUTE(SUBSTITUTE(TRIM(B302),".",""),"-","")," ",""))))</f>
        <v/>
      </c>
      <c r="N302" s="62" t="str">
        <f aca="false">IF(B302="","",IF(D302="Anexo de modificación","No","Sí"))</f>
        <v/>
      </c>
      <c r="O302" s="62" t="str">
        <f aca="false">IF(AND(N302="Sí",ISNUMBER(F302)),COUNTIFS(C_RUTN,M302,C_DEF,"Sí",C_INI,"&lt;"&amp;F302)+COUNTIFS(M$7:M302,M302,N$7:N302,"Sí",F$7:F302,F302),"")</f>
        <v/>
      </c>
      <c r="P302" s="62" t="str">
        <f aca="false">IF(O302="","",M302&amp;"-P"&amp;O302)</f>
        <v/>
      </c>
      <c r="Q302" s="62" t="str">
        <f aca="false">IF(AND(N302="Sí",E302="Plazo fijo",ISNUMBER(F302)),COUNTIFS(C_RUTN,M302,C_TIPO,"Plazo fijo",C_DEF,"Sí",C_INI,"&lt;"&amp;F302)+COUNTIFS(M$7:M302,M302,E$7:E302,"Plazo fijo",N$7:N302,"Sí",F$7:F302,F302),"")</f>
        <v/>
      </c>
      <c r="R302" s="62" t="str">
        <f aca="false">IF(AND(B302&lt;&gt;"",ISNUMBER(H302),ISNUMBER(F302)),COUNTIFS(C_RUTN,M302,C_SUELDO,"&lt;&gt;",C_INI,"&lt;"&amp;F302)+COUNTIFS(M$7:M302,M302,H$7:H302,"&lt;&gt;",F$7:F302,F302),"")</f>
        <v/>
      </c>
      <c r="S302" s="62" t="str">
        <f aca="false">IF(R302="","",M302&amp;"-S"&amp;R302)</f>
        <v/>
      </c>
    </row>
    <row r="303" customFormat="false" ht="15" hidden="false" customHeight="false" outlineLevel="0" collapsed="false">
      <c r="B303" s="58"/>
      <c r="C303" s="62" t="str">
        <f aca="false">IF(B303="","",IFERROR(INDEX(T_NOMBRE,MATCH(M303,T_RUTN,0)),"⚠ RUT no está en Trabajadores"))</f>
        <v/>
      </c>
      <c r="D303" s="58"/>
      <c r="E303" s="58"/>
      <c r="F303" s="59"/>
      <c r="G303" s="59"/>
      <c r="H303" s="60"/>
      <c r="I303" s="58"/>
      <c r="J303" s="58"/>
      <c r="K303" s="58"/>
      <c r="L303" s="62" t="str">
        <f aca="false">IF(B303="","",IF(LEFT(C303,1)="⚠","⚠ Registre primero al trabajador en la hoja Trabajadores",IF(AND(N303="Sí",OR(E303="",NOT(ISNUMBER(F303)))),"⚠ Falta tipo de contrato o fecha de inicio",IF(NOT(ISNUMBER(F303)),"⚠ Falta fecha de inicio",IF(AND(N303="Sí",E303&lt;&gt;"Indefinido",NOT(ISNUMBER(G303))),"⚠ Falta fecha de término",IF(AND(D303="Paso a indefinido",E303&lt;&gt;"Indefinido"),"⚠ Un paso a indefinido debe tener tipo Indefinido",IF(N(Q303)&gt;=3,"⚠ 3er contrato a plazo fijo: por ley ya es INDEFINIDO (Art. 159 N°4)",IF(AND(E303="Plazo fijo",ISNUMBER(G303),(G303-F303+1)/30.4375&gt;12),"⚠ Plazo fijo mayor a 1 año (máximo legal)",IF(J303&lt;&gt;"Sí","Pendiente de firma","OK")))))))))</f>
        <v/>
      </c>
      <c r="M303" s="62" t="str">
        <f aca="false">IF(B303="","",IFERROR(VALUE(LEFT(UPPER(SUBSTITUTE(SUBSTITUTE(SUBSTITUTE(TRIM(B303),".",""),"-","")," ","")),LEN(UPPER(SUBSTITUTE(SUBSTITUTE(SUBSTITUTE(TRIM(B303),".",""),"-","")," ","")))-1))&amp;RIGHT(UPPER(SUBSTITUTE(SUBSTITUTE(SUBSTITUTE(TRIM(B303),".",""),"-","")," ","")),1),UPPER(SUBSTITUTE(SUBSTITUTE(SUBSTITUTE(TRIM(B303),".",""),"-","")," ",""))))</f>
        <v/>
      </c>
      <c r="N303" s="62" t="str">
        <f aca="false">IF(B303="","",IF(D303="Anexo de modificación","No","Sí"))</f>
        <v/>
      </c>
      <c r="O303" s="62" t="str">
        <f aca="false">IF(AND(N303="Sí",ISNUMBER(F303)),COUNTIFS(C_RUTN,M303,C_DEF,"Sí",C_INI,"&lt;"&amp;F303)+COUNTIFS(M$7:M303,M303,N$7:N303,"Sí",F$7:F303,F303),"")</f>
        <v/>
      </c>
      <c r="P303" s="62" t="str">
        <f aca="false">IF(O303="","",M303&amp;"-P"&amp;O303)</f>
        <v/>
      </c>
      <c r="Q303" s="62" t="str">
        <f aca="false">IF(AND(N303="Sí",E303="Plazo fijo",ISNUMBER(F303)),COUNTIFS(C_RUTN,M303,C_TIPO,"Plazo fijo",C_DEF,"Sí",C_INI,"&lt;"&amp;F303)+COUNTIFS(M$7:M303,M303,E$7:E303,"Plazo fijo",N$7:N303,"Sí",F$7:F303,F303),"")</f>
        <v/>
      </c>
      <c r="R303" s="62" t="str">
        <f aca="false">IF(AND(B303&lt;&gt;"",ISNUMBER(H303),ISNUMBER(F303)),COUNTIFS(C_RUTN,M303,C_SUELDO,"&lt;&gt;",C_INI,"&lt;"&amp;F303)+COUNTIFS(M$7:M303,M303,H$7:H303,"&lt;&gt;",F$7:F303,F303),"")</f>
        <v/>
      </c>
      <c r="S303" s="62" t="str">
        <f aca="false">IF(R303="","",M303&amp;"-S"&amp;R303)</f>
        <v/>
      </c>
    </row>
    <row r="304" customFormat="false" ht="15" hidden="false" customHeight="false" outlineLevel="0" collapsed="false">
      <c r="B304" s="58"/>
      <c r="C304" s="62" t="str">
        <f aca="false">IF(B304="","",IFERROR(INDEX(T_NOMBRE,MATCH(M304,T_RUTN,0)),"⚠ RUT no está en Trabajadores"))</f>
        <v/>
      </c>
      <c r="D304" s="58"/>
      <c r="E304" s="58"/>
      <c r="F304" s="59"/>
      <c r="G304" s="59"/>
      <c r="H304" s="60"/>
      <c r="I304" s="58"/>
      <c r="J304" s="58"/>
      <c r="K304" s="58"/>
      <c r="L304" s="62" t="str">
        <f aca="false">IF(B304="","",IF(LEFT(C304,1)="⚠","⚠ Registre primero al trabajador en la hoja Trabajadores",IF(AND(N304="Sí",OR(E304="",NOT(ISNUMBER(F304)))),"⚠ Falta tipo de contrato o fecha de inicio",IF(NOT(ISNUMBER(F304)),"⚠ Falta fecha de inicio",IF(AND(N304="Sí",E304&lt;&gt;"Indefinido",NOT(ISNUMBER(G304))),"⚠ Falta fecha de término",IF(AND(D304="Paso a indefinido",E304&lt;&gt;"Indefinido"),"⚠ Un paso a indefinido debe tener tipo Indefinido",IF(N(Q304)&gt;=3,"⚠ 3er contrato a plazo fijo: por ley ya es INDEFINIDO (Art. 159 N°4)",IF(AND(E304="Plazo fijo",ISNUMBER(G304),(G304-F304+1)/30.4375&gt;12),"⚠ Plazo fijo mayor a 1 año (máximo legal)",IF(J304&lt;&gt;"Sí","Pendiente de firma","OK")))))))))</f>
        <v/>
      </c>
      <c r="M304" s="62" t="str">
        <f aca="false">IF(B304="","",IFERROR(VALUE(LEFT(UPPER(SUBSTITUTE(SUBSTITUTE(SUBSTITUTE(TRIM(B304),".",""),"-","")," ","")),LEN(UPPER(SUBSTITUTE(SUBSTITUTE(SUBSTITUTE(TRIM(B304),".",""),"-","")," ","")))-1))&amp;RIGHT(UPPER(SUBSTITUTE(SUBSTITUTE(SUBSTITUTE(TRIM(B304),".",""),"-","")," ","")),1),UPPER(SUBSTITUTE(SUBSTITUTE(SUBSTITUTE(TRIM(B304),".",""),"-","")," ",""))))</f>
        <v/>
      </c>
      <c r="N304" s="62" t="str">
        <f aca="false">IF(B304="","",IF(D304="Anexo de modificación","No","Sí"))</f>
        <v/>
      </c>
      <c r="O304" s="62" t="str">
        <f aca="false">IF(AND(N304="Sí",ISNUMBER(F304)),COUNTIFS(C_RUTN,M304,C_DEF,"Sí",C_INI,"&lt;"&amp;F304)+COUNTIFS(M$7:M304,M304,N$7:N304,"Sí",F$7:F304,F304),"")</f>
        <v/>
      </c>
      <c r="P304" s="62" t="str">
        <f aca="false">IF(O304="","",M304&amp;"-P"&amp;O304)</f>
        <v/>
      </c>
      <c r="Q304" s="62" t="str">
        <f aca="false">IF(AND(N304="Sí",E304="Plazo fijo",ISNUMBER(F304)),COUNTIFS(C_RUTN,M304,C_TIPO,"Plazo fijo",C_DEF,"Sí",C_INI,"&lt;"&amp;F304)+COUNTIFS(M$7:M304,M304,E$7:E304,"Plazo fijo",N$7:N304,"Sí",F$7:F304,F304),"")</f>
        <v/>
      </c>
      <c r="R304" s="62" t="str">
        <f aca="false">IF(AND(B304&lt;&gt;"",ISNUMBER(H304),ISNUMBER(F304)),COUNTIFS(C_RUTN,M304,C_SUELDO,"&lt;&gt;",C_INI,"&lt;"&amp;F304)+COUNTIFS(M$7:M304,M304,H$7:H304,"&lt;&gt;",F$7:F304,F304),"")</f>
        <v/>
      </c>
      <c r="S304" s="62" t="str">
        <f aca="false">IF(R304="","",M304&amp;"-S"&amp;R304)</f>
        <v/>
      </c>
    </row>
    <row r="305" customFormat="false" ht="15" hidden="false" customHeight="false" outlineLevel="0" collapsed="false">
      <c r="B305" s="58"/>
      <c r="C305" s="62" t="str">
        <f aca="false">IF(B305="","",IFERROR(INDEX(T_NOMBRE,MATCH(M305,T_RUTN,0)),"⚠ RUT no está en Trabajadores"))</f>
        <v/>
      </c>
      <c r="D305" s="58"/>
      <c r="E305" s="58"/>
      <c r="F305" s="59"/>
      <c r="G305" s="59"/>
      <c r="H305" s="60"/>
      <c r="I305" s="58"/>
      <c r="J305" s="58"/>
      <c r="K305" s="58"/>
      <c r="L305" s="62" t="str">
        <f aca="false">IF(B305="","",IF(LEFT(C305,1)="⚠","⚠ Registre primero al trabajador en la hoja Trabajadores",IF(AND(N305="Sí",OR(E305="",NOT(ISNUMBER(F305)))),"⚠ Falta tipo de contrato o fecha de inicio",IF(NOT(ISNUMBER(F305)),"⚠ Falta fecha de inicio",IF(AND(N305="Sí",E305&lt;&gt;"Indefinido",NOT(ISNUMBER(G305))),"⚠ Falta fecha de término",IF(AND(D305="Paso a indefinido",E305&lt;&gt;"Indefinido"),"⚠ Un paso a indefinido debe tener tipo Indefinido",IF(N(Q305)&gt;=3,"⚠ 3er contrato a plazo fijo: por ley ya es INDEFINIDO (Art. 159 N°4)",IF(AND(E305="Plazo fijo",ISNUMBER(G305),(G305-F305+1)/30.4375&gt;12),"⚠ Plazo fijo mayor a 1 año (máximo legal)",IF(J305&lt;&gt;"Sí","Pendiente de firma","OK")))))))))</f>
        <v/>
      </c>
      <c r="M305" s="62" t="str">
        <f aca="false">IF(B305="","",IFERROR(VALUE(LEFT(UPPER(SUBSTITUTE(SUBSTITUTE(SUBSTITUTE(TRIM(B305),".",""),"-","")," ","")),LEN(UPPER(SUBSTITUTE(SUBSTITUTE(SUBSTITUTE(TRIM(B305),".",""),"-","")," ","")))-1))&amp;RIGHT(UPPER(SUBSTITUTE(SUBSTITUTE(SUBSTITUTE(TRIM(B305),".",""),"-","")," ","")),1),UPPER(SUBSTITUTE(SUBSTITUTE(SUBSTITUTE(TRIM(B305),".",""),"-","")," ",""))))</f>
        <v/>
      </c>
      <c r="N305" s="62" t="str">
        <f aca="false">IF(B305="","",IF(D305="Anexo de modificación","No","Sí"))</f>
        <v/>
      </c>
      <c r="O305" s="62" t="str">
        <f aca="false">IF(AND(N305="Sí",ISNUMBER(F305)),COUNTIFS(C_RUTN,M305,C_DEF,"Sí",C_INI,"&lt;"&amp;F305)+COUNTIFS(M$7:M305,M305,N$7:N305,"Sí",F$7:F305,F305),"")</f>
        <v/>
      </c>
      <c r="P305" s="62" t="str">
        <f aca="false">IF(O305="","",M305&amp;"-P"&amp;O305)</f>
        <v/>
      </c>
      <c r="Q305" s="62" t="str">
        <f aca="false">IF(AND(N305="Sí",E305="Plazo fijo",ISNUMBER(F305)),COUNTIFS(C_RUTN,M305,C_TIPO,"Plazo fijo",C_DEF,"Sí",C_INI,"&lt;"&amp;F305)+COUNTIFS(M$7:M305,M305,E$7:E305,"Plazo fijo",N$7:N305,"Sí",F$7:F305,F305),"")</f>
        <v/>
      </c>
      <c r="R305" s="62" t="str">
        <f aca="false">IF(AND(B305&lt;&gt;"",ISNUMBER(H305),ISNUMBER(F305)),COUNTIFS(C_RUTN,M305,C_SUELDO,"&lt;&gt;",C_INI,"&lt;"&amp;F305)+COUNTIFS(M$7:M305,M305,H$7:H305,"&lt;&gt;",F$7:F305,F305),"")</f>
        <v/>
      </c>
      <c r="S305" s="62" t="str">
        <f aca="false">IF(R305="","",M305&amp;"-S"&amp;R305)</f>
        <v/>
      </c>
    </row>
    <row r="306" customFormat="false" ht="15" hidden="false" customHeight="false" outlineLevel="0" collapsed="false">
      <c r="B306" s="58"/>
      <c r="C306" s="62" t="str">
        <f aca="false">IF(B306="","",IFERROR(INDEX(T_NOMBRE,MATCH(M306,T_RUTN,0)),"⚠ RUT no está en Trabajadores"))</f>
        <v/>
      </c>
      <c r="D306" s="58"/>
      <c r="E306" s="58"/>
      <c r="F306" s="59"/>
      <c r="G306" s="59"/>
      <c r="H306" s="60"/>
      <c r="I306" s="58"/>
      <c r="J306" s="58"/>
      <c r="K306" s="58"/>
      <c r="L306" s="62" t="str">
        <f aca="false">IF(B306="","",IF(LEFT(C306,1)="⚠","⚠ Registre primero al trabajador en la hoja Trabajadores",IF(AND(N306="Sí",OR(E306="",NOT(ISNUMBER(F306)))),"⚠ Falta tipo de contrato o fecha de inicio",IF(NOT(ISNUMBER(F306)),"⚠ Falta fecha de inicio",IF(AND(N306="Sí",E306&lt;&gt;"Indefinido",NOT(ISNUMBER(G306))),"⚠ Falta fecha de término",IF(AND(D306="Paso a indefinido",E306&lt;&gt;"Indefinido"),"⚠ Un paso a indefinido debe tener tipo Indefinido",IF(N(Q306)&gt;=3,"⚠ 3er contrato a plazo fijo: por ley ya es INDEFINIDO (Art. 159 N°4)",IF(AND(E306="Plazo fijo",ISNUMBER(G306),(G306-F306+1)/30.4375&gt;12),"⚠ Plazo fijo mayor a 1 año (máximo legal)",IF(J306&lt;&gt;"Sí","Pendiente de firma","OK")))))))))</f>
        <v/>
      </c>
      <c r="M306" s="62" t="str">
        <f aca="false">IF(B306="","",IFERROR(VALUE(LEFT(UPPER(SUBSTITUTE(SUBSTITUTE(SUBSTITUTE(TRIM(B306),".",""),"-","")," ","")),LEN(UPPER(SUBSTITUTE(SUBSTITUTE(SUBSTITUTE(TRIM(B306),".",""),"-","")," ","")))-1))&amp;RIGHT(UPPER(SUBSTITUTE(SUBSTITUTE(SUBSTITUTE(TRIM(B306),".",""),"-","")," ","")),1),UPPER(SUBSTITUTE(SUBSTITUTE(SUBSTITUTE(TRIM(B306),".",""),"-","")," ",""))))</f>
        <v/>
      </c>
      <c r="N306" s="62" t="str">
        <f aca="false">IF(B306="","",IF(D306="Anexo de modificación","No","Sí"))</f>
        <v/>
      </c>
      <c r="O306" s="62" t="str">
        <f aca="false">IF(AND(N306="Sí",ISNUMBER(F306)),COUNTIFS(C_RUTN,M306,C_DEF,"Sí",C_INI,"&lt;"&amp;F306)+COUNTIFS(M$7:M306,M306,N$7:N306,"Sí",F$7:F306,F306),"")</f>
        <v/>
      </c>
      <c r="P306" s="62" t="str">
        <f aca="false">IF(O306="","",M306&amp;"-P"&amp;O306)</f>
        <v/>
      </c>
      <c r="Q306" s="62" t="str">
        <f aca="false">IF(AND(N306="Sí",E306="Plazo fijo",ISNUMBER(F306)),COUNTIFS(C_RUTN,M306,C_TIPO,"Plazo fijo",C_DEF,"Sí",C_INI,"&lt;"&amp;F306)+COUNTIFS(M$7:M306,M306,E$7:E306,"Plazo fijo",N$7:N306,"Sí",F$7:F306,F306),"")</f>
        <v/>
      </c>
      <c r="R306" s="62" t="str">
        <f aca="false">IF(AND(B306&lt;&gt;"",ISNUMBER(H306),ISNUMBER(F306)),COUNTIFS(C_RUTN,M306,C_SUELDO,"&lt;&gt;",C_INI,"&lt;"&amp;F306)+COUNTIFS(M$7:M306,M306,H$7:H306,"&lt;&gt;",F$7:F306,F306),"")</f>
        <v/>
      </c>
      <c r="S306" s="62" t="str">
        <f aca="false">IF(R306="","",M306&amp;"-S"&amp;R306)</f>
        <v/>
      </c>
    </row>
    <row r="307" customFormat="false" ht="15" hidden="false" customHeight="false" outlineLevel="0" collapsed="false">
      <c r="B307" s="58"/>
      <c r="C307" s="62" t="str">
        <f aca="false">IF(B307="","",IFERROR(INDEX(T_NOMBRE,MATCH(M307,T_RUTN,0)),"⚠ RUT no está en Trabajadores"))</f>
        <v/>
      </c>
      <c r="D307" s="58"/>
      <c r="E307" s="58"/>
      <c r="F307" s="59"/>
      <c r="G307" s="59"/>
      <c r="H307" s="60"/>
      <c r="I307" s="58"/>
      <c r="J307" s="58"/>
      <c r="K307" s="58"/>
      <c r="L307" s="62" t="str">
        <f aca="false">IF(B307="","",IF(LEFT(C307,1)="⚠","⚠ Registre primero al trabajador en la hoja Trabajadores",IF(AND(N307="Sí",OR(E307="",NOT(ISNUMBER(F307)))),"⚠ Falta tipo de contrato o fecha de inicio",IF(NOT(ISNUMBER(F307)),"⚠ Falta fecha de inicio",IF(AND(N307="Sí",E307&lt;&gt;"Indefinido",NOT(ISNUMBER(G307))),"⚠ Falta fecha de término",IF(AND(D307="Paso a indefinido",E307&lt;&gt;"Indefinido"),"⚠ Un paso a indefinido debe tener tipo Indefinido",IF(N(Q307)&gt;=3,"⚠ 3er contrato a plazo fijo: por ley ya es INDEFINIDO (Art. 159 N°4)",IF(AND(E307="Plazo fijo",ISNUMBER(G307),(G307-F307+1)/30.4375&gt;12),"⚠ Plazo fijo mayor a 1 año (máximo legal)",IF(J307&lt;&gt;"Sí","Pendiente de firma","OK")))))))))</f>
        <v/>
      </c>
      <c r="M307" s="62" t="str">
        <f aca="false">IF(B307="","",IFERROR(VALUE(LEFT(UPPER(SUBSTITUTE(SUBSTITUTE(SUBSTITUTE(TRIM(B307),".",""),"-","")," ","")),LEN(UPPER(SUBSTITUTE(SUBSTITUTE(SUBSTITUTE(TRIM(B307),".",""),"-","")," ","")))-1))&amp;RIGHT(UPPER(SUBSTITUTE(SUBSTITUTE(SUBSTITUTE(TRIM(B307),".",""),"-","")," ","")),1),UPPER(SUBSTITUTE(SUBSTITUTE(SUBSTITUTE(TRIM(B307),".",""),"-","")," ",""))))</f>
        <v/>
      </c>
      <c r="N307" s="62" t="str">
        <f aca="false">IF(B307="","",IF(D307="Anexo de modificación","No","Sí"))</f>
        <v/>
      </c>
      <c r="O307" s="62" t="str">
        <f aca="false">IF(AND(N307="Sí",ISNUMBER(F307)),COUNTIFS(C_RUTN,M307,C_DEF,"Sí",C_INI,"&lt;"&amp;F307)+COUNTIFS(M$7:M307,M307,N$7:N307,"Sí",F$7:F307,F307),"")</f>
        <v/>
      </c>
      <c r="P307" s="62" t="str">
        <f aca="false">IF(O307="","",M307&amp;"-P"&amp;O307)</f>
        <v/>
      </c>
      <c r="Q307" s="62" t="str">
        <f aca="false">IF(AND(N307="Sí",E307="Plazo fijo",ISNUMBER(F307)),COUNTIFS(C_RUTN,M307,C_TIPO,"Plazo fijo",C_DEF,"Sí",C_INI,"&lt;"&amp;F307)+COUNTIFS(M$7:M307,M307,E$7:E307,"Plazo fijo",N$7:N307,"Sí",F$7:F307,F307),"")</f>
        <v/>
      </c>
      <c r="R307" s="62" t="str">
        <f aca="false">IF(AND(B307&lt;&gt;"",ISNUMBER(H307),ISNUMBER(F307)),COUNTIFS(C_RUTN,M307,C_SUELDO,"&lt;&gt;",C_INI,"&lt;"&amp;F307)+COUNTIFS(M$7:M307,M307,H$7:H307,"&lt;&gt;",F$7:F307,F307),"")</f>
        <v/>
      </c>
      <c r="S307" s="62" t="str">
        <f aca="false">IF(R307="","",M307&amp;"-S"&amp;R307)</f>
        <v/>
      </c>
    </row>
    <row r="308" customFormat="false" ht="15" hidden="false" customHeight="false" outlineLevel="0" collapsed="false">
      <c r="B308" s="58"/>
      <c r="C308" s="62" t="str">
        <f aca="false">IF(B308="","",IFERROR(INDEX(T_NOMBRE,MATCH(M308,T_RUTN,0)),"⚠ RUT no está en Trabajadores"))</f>
        <v/>
      </c>
      <c r="D308" s="58"/>
      <c r="E308" s="58"/>
      <c r="F308" s="59"/>
      <c r="G308" s="59"/>
      <c r="H308" s="60"/>
      <c r="I308" s="58"/>
      <c r="J308" s="58"/>
      <c r="K308" s="58"/>
      <c r="L308" s="62" t="str">
        <f aca="false">IF(B308="","",IF(LEFT(C308,1)="⚠","⚠ Registre primero al trabajador en la hoja Trabajadores",IF(AND(N308="Sí",OR(E308="",NOT(ISNUMBER(F308)))),"⚠ Falta tipo de contrato o fecha de inicio",IF(NOT(ISNUMBER(F308)),"⚠ Falta fecha de inicio",IF(AND(N308="Sí",E308&lt;&gt;"Indefinido",NOT(ISNUMBER(G308))),"⚠ Falta fecha de término",IF(AND(D308="Paso a indefinido",E308&lt;&gt;"Indefinido"),"⚠ Un paso a indefinido debe tener tipo Indefinido",IF(N(Q308)&gt;=3,"⚠ 3er contrato a plazo fijo: por ley ya es INDEFINIDO (Art. 159 N°4)",IF(AND(E308="Plazo fijo",ISNUMBER(G308),(G308-F308+1)/30.4375&gt;12),"⚠ Plazo fijo mayor a 1 año (máximo legal)",IF(J308&lt;&gt;"Sí","Pendiente de firma","OK")))))))))</f>
        <v/>
      </c>
      <c r="M308" s="62" t="str">
        <f aca="false">IF(B308="","",IFERROR(VALUE(LEFT(UPPER(SUBSTITUTE(SUBSTITUTE(SUBSTITUTE(TRIM(B308),".",""),"-","")," ","")),LEN(UPPER(SUBSTITUTE(SUBSTITUTE(SUBSTITUTE(TRIM(B308),".",""),"-","")," ","")))-1))&amp;RIGHT(UPPER(SUBSTITUTE(SUBSTITUTE(SUBSTITUTE(TRIM(B308),".",""),"-","")," ","")),1),UPPER(SUBSTITUTE(SUBSTITUTE(SUBSTITUTE(TRIM(B308),".",""),"-","")," ",""))))</f>
        <v/>
      </c>
      <c r="N308" s="62" t="str">
        <f aca="false">IF(B308="","",IF(D308="Anexo de modificación","No","Sí"))</f>
        <v/>
      </c>
      <c r="O308" s="62" t="str">
        <f aca="false">IF(AND(N308="Sí",ISNUMBER(F308)),COUNTIFS(C_RUTN,M308,C_DEF,"Sí",C_INI,"&lt;"&amp;F308)+COUNTIFS(M$7:M308,M308,N$7:N308,"Sí",F$7:F308,F308),"")</f>
        <v/>
      </c>
      <c r="P308" s="62" t="str">
        <f aca="false">IF(O308="","",M308&amp;"-P"&amp;O308)</f>
        <v/>
      </c>
      <c r="Q308" s="62" t="str">
        <f aca="false">IF(AND(N308="Sí",E308="Plazo fijo",ISNUMBER(F308)),COUNTIFS(C_RUTN,M308,C_TIPO,"Plazo fijo",C_DEF,"Sí",C_INI,"&lt;"&amp;F308)+COUNTIFS(M$7:M308,M308,E$7:E308,"Plazo fijo",N$7:N308,"Sí",F$7:F308,F308),"")</f>
        <v/>
      </c>
      <c r="R308" s="62" t="str">
        <f aca="false">IF(AND(B308&lt;&gt;"",ISNUMBER(H308),ISNUMBER(F308)),COUNTIFS(C_RUTN,M308,C_SUELDO,"&lt;&gt;",C_INI,"&lt;"&amp;F308)+COUNTIFS(M$7:M308,M308,H$7:H308,"&lt;&gt;",F$7:F308,F308),"")</f>
        <v/>
      </c>
      <c r="S308" s="62" t="str">
        <f aca="false">IF(R308="","",M308&amp;"-S"&amp;R308)</f>
        <v/>
      </c>
    </row>
    <row r="309" customFormat="false" ht="15" hidden="false" customHeight="false" outlineLevel="0" collapsed="false">
      <c r="B309" s="58"/>
      <c r="C309" s="62" t="str">
        <f aca="false">IF(B309="","",IFERROR(INDEX(T_NOMBRE,MATCH(M309,T_RUTN,0)),"⚠ RUT no está en Trabajadores"))</f>
        <v/>
      </c>
      <c r="D309" s="58"/>
      <c r="E309" s="58"/>
      <c r="F309" s="59"/>
      <c r="G309" s="59"/>
      <c r="H309" s="60"/>
      <c r="I309" s="58"/>
      <c r="J309" s="58"/>
      <c r="K309" s="58"/>
      <c r="L309" s="62" t="str">
        <f aca="false">IF(B309="","",IF(LEFT(C309,1)="⚠","⚠ Registre primero al trabajador en la hoja Trabajadores",IF(AND(N309="Sí",OR(E309="",NOT(ISNUMBER(F309)))),"⚠ Falta tipo de contrato o fecha de inicio",IF(NOT(ISNUMBER(F309)),"⚠ Falta fecha de inicio",IF(AND(N309="Sí",E309&lt;&gt;"Indefinido",NOT(ISNUMBER(G309))),"⚠ Falta fecha de término",IF(AND(D309="Paso a indefinido",E309&lt;&gt;"Indefinido"),"⚠ Un paso a indefinido debe tener tipo Indefinido",IF(N(Q309)&gt;=3,"⚠ 3er contrato a plazo fijo: por ley ya es INDEFINIDO (Art. 159 N°4)",IF(AND(E309="Plazo fijo",ISNUMBER(G309),(G309-F309+1)/30.4375&gt;12),"⚠ Plazo fijo mayor a 1 año (máximo legal)",IF(J309&lt;&gt;"Sí","Pendiente de firma","OK")))))))))</f>
        <v/>
      </c>
      <c r="M309" s="62" t="str">
        <f aca="false">IF(B309="","",IFERROR(VALUE(LEFT(UPPER(SUBSTITUTE(SUBSTITUTE(SUBSTITUTE(TRIM(B309),".",""),"-","")," ","")),LEN(UPPER(SUBSTITUTE(SUBSTITUTE(SUBSTITUTE(TRIM(B309),".",""),"-","")," ","")))-1))&amp;RIGHT(UPPER(SUBSTITUTE(SUBSTITUTE(SUBSTITUTE(TRIM(B309),".",""),"-","")," ","")),1),UPPER(SUBSTITUTE(SUBSTITUTE(SUBSTITUTE(TRIM(B309),".",""),"-","")," ",""))))</f>
        <v/>
      </c>
      <c r="N309" s="62" t="str">
        <f aca="false">IF(B309="","",IF(D309="Anexo de modificación","No","Sí"))</f>
        <v/>
      </c>
      <c r="O309" s="62" t="str">
        <f aca="false">IF(AND(N309="Sí",ISNUMBER(F309)),COUNTIFS(C_RUTN,M309,C_DEF,"Sí",C_INI,"&lt;"&amp;F309)+COUNTIFS(M$7:M309,M309,N$7:N309,"Sí",F$7:F309,F309),"")</f>
        <v/>
      </c>
      <c r="P309" s="62" t="str">
        <f aca="false">IF(O309="","",M309&amp;"-P"&amp;O309)</f>
        <v/>
      </c>
      <c r="Q309" s="62" t="str">
        <f aca="false">IF(AND(N309="Sí",E309="Plazo fijo",ISNUMBER(F309)),COUNTIFS(C_RUTN,M309,C_TIPO,"Plazo fijo",C_DEF,"Sí",C_INI,"&lt;"&amp;F309)+COUNTIFS(M$7:M309,M309,E$7:E309,"Plazo fijo",N$7:N309,"Sí",F$7:F309,F309),"")</f>
        <v/>
      </c>
      <c r="R309" s="62" t="str">
        <f aca="false">IF(AND(B309&lt;&gt;"",ISNUMBER(H309),ISNUMBER(F309)),COUNTIFS(C_RUTN,M309,C_SUELDO,"&lt;&gt;",C_INI,"&lt;"&amp;F309)+COUNTIFS(M$7:M309,M309,H$7:H309,"&lt;&gt;",F$7:F309,F309),"")</f>
        <v/>
      </c>
      <c r="S309" s="62" t="str">
        <f aca="false">IF(R309="","",M309&amp;"-S"&amp;R309)</f>
        <v/>
      </c>
    </row>
    <row r="310" customFormat="false" ht="15" hidden="false" customHeight="false" outlineLevel="0" collapsed="false">
      <c r="B310" s="58"/>
      <c r="C310" s="62" t="str">
        <f aca="false">IF(B310="","",IFERROR(INDEX(T_NOMBRE,MATCH(M310,T_RUTN,0)),"⚠ RUT no está en Trabajadores"))</f>
        <v/>
      </c>
      <c r="D310" s="58"/>
      <c r="E310" s="58"/>
      <c r="F310" s="59"/>
      <c r="G310" s="59"/>
      <c r="H310" s="60"/>
      <c r="I310" s="58"/>
      <c r="J310" s="58"/>
      <c r="K310" s="58"/>
      <c r="L310" s="62" t="str">
        <f aca="false">IF(B310="","",IF(LEFT(C310,1)="⚠","⚠ Registre primero al trabajador en la hoja Trabajadores",IF(AND(N310="Sí",OR(E310="",NOT(ISNUMBER(F310)))),"⚠ Falta tipo de contrato o fecha de inicio",IF(NOT(ISNUMBER(F310)),"⚠ Falta fecha de inicio",IF(AND(N310="Sí",E310&lt;&gt;"Indefinido",NOT(ISNUMBER(G310))),"⚠ Falta fecha de término",IF(AND(D310="Paso a indefinido",E310&lt;&gt;"Indefinido"),"⚠ Un paso a indefinido debe tener tipo Indefinido",IF(N(Q310)&gt;=3,"⚠ 3er contrato a plazo fijo: por ley ya es INDEFINIDO (Art. 159 N°4)",IF(AND(E310="Plazo fijo",ISNUMBER(G310),(G310-F310+1)/30.4375&gt;12),"⚠ Plazo fijo mayor a 1 año (máximo legal)",IF(J310&lt;&gt;"Sí","Pendiente de firma","OK")))))))))</f>
        <v/>
      </c>
      <c r="M310" s="62" t="str">
        <f aca="false">IF(B310="","",IFERROR(VALUE(LEFT(UPPER(SUBSTITUTE(SUBSTITUTE(SUBSTITUTE(TRIM(B310),".",""),"-","")," ","")),LEN(UPPER(SUBSTITUTE(SUBSTITUTE(SUBSTITUTE(TRIM(B310),".",""),"-","")," ","")))-1))&amp;RIGHT(UPPER(SUBSTITUTE(SUBSTITUTE(SUBSTITUTE(TRIM(B310),".",""),"-","")," ","")),1),UPPER(SUBSTITUTE(SUBSTITUTE(SUBSTITUTE(TRIM(B310),".",""),"-","")," ",""))))</f>
        <v/>
      </c>
      <c r="N310" s="62" t="str">
        <f aca="false">IF(B310="","",IF(D310="Anexo de modificación","No","Sí"))</f>
        <v/>
      </c>
      <c r="O310" s="62" t="str">
        <f aca="false">IF(AND(N310="Sí",ISNUMBER(F310)),COUNTIFS(C_RUTN,M310,C_DEF,"Sí",C_INI,"&lt;"&amp;F310)+COUNTIFS(M$7:M310,M310,N$7:N310,"Sí",F$7:F310,F310),"")</f>
        <v/>
      </c>
      <c r="P310" s="62" t="str">
        <f aca="false">IF(O310="","",M310&amp;"-P"&amp;O310)</f>
        <v/>
      </c>
      <c r="Q310" s="62" t="str">
        <f aca="false">IF(AND(N310="Sí",E310="Plazo fijo",ISNUMBER(F310)),COUNTIFS(C_RUTN,M310,C_TIPO,"Plazo fijo",C_DEF,"Sí",C_INI,"&lt;"&amp;F310)+COUNTIFS(M$7:M310,M310,E$7:E310,"Plazo fijo",N$7:N310,"Sí",F$7:F310,F310),"")</f>
        <v/>
      </c>
      <c r="R310" s="62" t="str">
        <f aca="false">IF(AND(B310&lt;&gt;"",ISNUMBER(H310),ISNUMBER(F310)),COUNTIFS(C_RUTN,M310,C_SUELDO,"&lt;&gt;",C_INI,"&lt;"&amp;F310)+COUNTIFS(M$7:M310,M310,H$7:H310,"&lt;&gt;",F$7:F310,F310),"")</f>
        <v/>
      </c>
      <c r="S310" s="62" t="str">
        <f aca="false">IF(R310="","",M310&amp;"-S"&amp;R310)</f>
        <v/>
      </c>
    </row>
    <row r="311" customFormat="false" ht="15" hidden="false" customHeight="false" outlineLevel="0" collapsed="false">
      <c r="B311" s="58"/>
      <c r="C311" s="62" t="str">
        <f aca="false">IF(B311="","",IFERROR(INDEX(T_NOMBRE,MATCH(M311,T_RUTN,0)),"⚠ RUT no está en Trabajadores"))</f>
        <v/>
      </c>
      <c r="D311" s="58"/>
      <c r="E311" s="58"/>
      <c r="F311" s="59"/>
      <c r="G311" s="59"/>
      <c r="H311" s="60"/>
      <c r="I311" s="58"/>
      <c r="J311" s="58"/>
      <c r="K311" s="58"/>
      <c r="L311" s="62" t="str">
        <f aca="false">IF(B311="","",IF(LEFT(C311,1)="⚠","⚠ Registre primero al trabajador en la hoja Trabajadores",IF(AND(N311="Sí",OR(E311="",NOT(ISNUMBER(F311)))),"⚠ Falta tipo de contrato o fecha de inicio",IF(NOT(ISNUMBER(F311)),"⚠ Falta fecha de inicio",IF(AND(N311="Sí",E311&lt;&gt;"Indefinido",NOT(ISNUMBER(G311))),"⚠ Falta fecha de término",IF(AND(D311="Paso a indefinido",E311&lt;&gt;"Indefinido"),"⚠ Un paso a indefinido debe tener tipo Indefinido",IF(N(Q311)&gt;=3,"⚠ 3er contrato a plazo fijo: por ley ya es INDEFINIDO (Art. 159 N°4)",IF(AND(E311="Plazo fijo",ISNUMBER(G311),(G311-F311+1)/30.4375&gt;12),"⚠ Plazo fijo mayor a 1 año (máximo legal)",IF(J311&lt;&gt;"Sí","Pendiente de firma","OK")))))))))</f>
        <v/>
      </c>
      <c r="M311" s="62" t="str">
        <f aca="false">IF(B311="","",IFERROR(VALUE(LEFT(UPPER(SUBSTITUTE(SUBSTITUTE(SUBSTITUTE(TRIM(B311),".",""),"-","")," ","")),LEN(UPPER(SUBSTITUTE(SUBSTITUTE(SUBSTITUTE(TRIM(B311),".",""),"-","")," ","")))-1))&amp;RIGHT(UPPER(SUBSTITUTE(SUBSTITUTE(SUBSTITUTE(TRIM(B311),".",""),"-","")," ","")),1),UPPER(SUBSTITUTE(SUBSTITUTE(SUBSTITUTE(TRIM(B311),".",""),"-","")," ",""))))</f>
        <v/>
      </c>
      <c r="N311" s="62" t="str">
        <f aca="false">IF(B311="","",IF(D311="Anexo de modificación","No","Sí"))</f>
        <v/>
      </c>
      <c r="O311" s="62" t="str">
        <f aca="false">IF(AND(N311="Sí",ISNUMBER(F311)),COUNTIFS(C_RUTN,M311,C_DEF,"Sí",C_INI,"&lt;"&amp;F311)+COUNTIFS(M$7:M311,M311,N$7:N311,"Sí",F$7:F311,F311),"")</f>
        <v/>
      </c>
      <c r="P311" s="62" t="str">
        <f aca="false">IF(O311="","",M311&amp;"-P"&amp;O311)</f>
        <v/>
      </c>
      <c r="Q311" s="62" t="str">
        <f aca="false">IF(AND(N311="Sí",E311="Plazo fijo",ISNUMBER(F311)),COUNTIFS(C_RUTN,M311,C_TIPO,"Plazo fijo",C_DEF,"Sí",C_INI,"&lt;"&amp;F311)+COUNTIFS(M$7:M311,M311,E$7:E311,"Plazo fijo",N$7:N311,"Sí",F$7:F311,F311),"")</f>
        <v/>
      </c>
      <c r="R311" s="62" t="str">
        <f aca="false">IF(AND(B311&lt;&gt;"",ISNUMBER(H311),ISNUMBER(F311)),COUNTIFS(C_RUTN,M311,C_SUELDO,"&lt;&gt;",C_INI,"&lt;"&amp;F311)+COUNTIFS(M$7:M311,M311,H$7:H311,"&lt;&gt;",F$7:F311,F311),"")</f>
        <v/>
      </c>
      <c r="S311" s="62" t="str">
        <f aca="false">IF(R311="","",M311&amp;"-S"&amp;R311)</f>
        <v/>
      </c>
    </row>
    <row r="312" customFormat="false" ht="15" hidden="false" customHeight="false" outlineLevel="0" collapsed="false">
      <c r="B312" s="58"/>
      <c r="C312" s="62" t="str">
        <f aca="false">IF(B312="","",IFERROR(INDEX(T_NOMBRE,MATCH(M312,T_RUTN,0)),"⚠ RUT no está en Trabajadores"))</f>
        <v/>
      </c>
      <c r="D312" s="58"/>
      <c r="E312" s="58"/>
      <c r="F312" s="59"/>
      <c r="G312" s="59"/>
      <c r="H312" s="60"/>
      <c r="I312" s="58"/>
      <c r="J312" s="58"/>
      <c r="K312" s="58"/>
      <c r="L312" s="62" t="str">
        <f aca="false">IF(B312="","",IF(LEFT(C312,1)="⚠","⚠ Registre primero al trabajador en la hoja Trabajadores",IF(AND(N312="Sí",OR(E312="",NOT(ISNUMBER(F312)))),"⚠ Falta tipo de contrato o fecha de inicio",IF(NOT(ISNUMBER(F312)),"⚠ Falta fecha de inicio",IF(AND(N312="Sí",E312&lt;&gt;"Indefinido",NOT(ISNUMBER(G312))),"⚠ Falta fecha de término",IF(AND(D312="Paso a indefinido",E312&lt;&gt;"Indefinido"),"⚠ Un paso a indefinido debe tener tipo Indefinido",IF(N(Q312)&gt;=3,"⚠ 3er contrato a plazo fijo: por ley ya es INDEFINIDO (Art. 159 N°4)",IF(AND(E312="Plazo fijo",ISNUMBER(G312),(G312-F312+1)/30.4375&gt;12),"⚠ Plazo fijo mayor a 1 año (máximo legal)",IF(J312&lt;&gt;"Sí","Pendiente de firma","OK")))))))))</f>
        <v/>
      </c>
      <c r="M312" s="62" t="str">
        <f aca="false">IF(B312="","",IFERROR(VALUE(LEFT(UPPER(SUBSTITUTE(SUBSTITUTE(SUBSTITUTE(TRIM(B312),".",""),"-","")," ","")),LEN(UPPER(SUBSTITUTE(SUBSTITUTE(SUBSTITUTE(TRIM(B312),".",""),"-","")," ","")))-1))&amp;RIGHT(UPPER(SUBSTITUTE(SUBSTITUTE(SUBSTITUTE(TRIM(B312),".",""),"-","")," ","")),1),UPPER(SUBSTITUTE(SUBSTITUTE(SUBSTITUTE(TRIM(B312),".",""),"-","")," ",""))))</f>
        <v/>
      </c>
      <c r="N312" s="62" t="str">
        <f aca="false">IF(B312="","",IF(D312="Anexo de modificación","No","Sí"))</f>
        <v/>
      </c>
      <c r="O312" s="62" t="str">
        <f aca="false">IF(AND(N312="Sí",ISNUMBER(F312)),COUNTIFS(C_RUTN,M312,C_DEF,"Sí",C_INI,"&lt;"&amp;F312)+COUNTIFS(M$7:M312,M312,N$7:N312,"Sí",F$7:F312,F312),"")</f>
        <v/>
      </c>
      <c r="P312" s="62" t="str">
        <f aca="false">IF(O312="","",M312&amp;"-P"&amp;O312)</f>
        <v/>
      </c>
      <c r="Q312" s="62" t="str">
        <f aca="false">IF(AND(N312="Sí",E312="Plazo fijo",ISNUMBER(F312)),COUNTIFS(C_RUTN,M312,C_TIPO,"Plazo fijo",C_DEF,"Sí",C_INI,"&lt;"&amp;F312)+COUNTIFS(M$7:M312,M312,E$7:E312,"Plazo fijo",N$7:N312,"Sí",F$7:F312,F312),"")</f>
        <v/>
      </c>
      <c r="R312" s="62" t="str">
        <f aca="false">IF(AND(B312&lt;&gt;"",ISNUMBER(H312),ISNUMBER(F312)),COUNTIFS(C_RUTN,M312,C_SUELDO,"&lt;&gt;",C_INI,"&lt;"&amp;F312)+COUNTIFS(M$7:M312,M312,H$7:H312,"&lt;&gt;",F$7:F312,F312),"")</f>
        <v/>
      </c>
      <c r="S312" s="62" t="str">
        <f aca="false">IF(R312="","",M312&amp;"-S"&amp;R312)</f>
        <v/>
      </c>
    </row>
    <row r="313" customFormat="false" ht="15" hidden="false" customHeight="false" outlineLevel="0" collapsed="false">
      <c r="B313" s="58"/>
      <c r="C313" s="62" t="str">
        <f aca="false">IF(B313="","",IFERROR(INDEX(T_NOMBRE,MATCH(M313,T_RUTN,0)),"⚠ RUT no está en Trabajadores"))</f>
        <v/>
      </c>
      <c r="D313" s="58"/>
      <c r="E313" s="58"/>
      <c r="F313" s="59"/>
      <c r="G313" s="59"/>
      <c r="H313" s="60"/>
      <c r="I313" s="58"/>
      <c r="J313" s="58"/>
      <c r="K313" s="58"/>
      <c r="L313" s="62" t="str">
        <f aca="false">IF(B313="","",IF(LEFT(C313,1)="⚠","⚠ Registre primero al trabajador en la hoja Trabajadores",IF(AND(N313="Sí",OR(E313="",NOT(ISNUMBER(F313)))),"⚠ Falta tipo de contrato o fecha de inicio",IF(NOT(ISNUMBER(F313)),"⚠ Falta fecha de inicio",IF(AND(N313="Sí",E313&lt;&gt;"Indefinido",NOT(ISNUMBER(G313))),"⚠ Falta fecha de término",IF(AND(D313="Paso a indefinido",E313&lt;&gt;"Indefinido"),"⚠ Un paso a indefinido debe tener tipo Indefinido",IF(N(Q313)&gt;=3,"⚠ 3er contrato a plazo fijo: por ley ya es INDEFINIDO (Art. 159 N°4)",IF(AND(E313="Plazo fijo",ISNUMBER(G313),(G313-F313+1)/30.4375&gt;12),"⚠ Plazo fijo mayor a 1 año (máximo legal)",IF(J313&lt;&gt;"Sí","Pendiente de firma","OK")))))))))</f>
        <v/>
      </c>
      <c r="M313" s="62" t="str">
        <f aca="false">IF(B313="","",IFERROR(VALUE(LEFT(UPPER(SUBSTITUTE(SUBSTITUTE(SUBSTITUTE(TRIM(B313),".",""),"-","")," ","")),LEN(UPPER(SUBSTITUTE(SUBSTITUTE(SUBSTITUTE(TRIM(B313),".",""),"-","")," ","")))-1))&amp;RIGHT(UPPER(SUBSTITUTE(SUBSTITUTE(SUBSTITUTE(TRIM(B313),".",""),"-","")," ","")),1),UPPER(SUBSTITUTE(SUBSTITUTE(SUBSTITUTE(TRIM(B313),".",""),"-","")," ",""))))</f>
        <v/>
      </c>
      <c r="N313" s="62" t="str">
        <f aca="false">IF(B313="","",IF(D313="Anexo de modificación","No","Sí"))</f>
        <v/>
      </c>
      <c r="O313" s="62" t="str">
        <f aca="false">IF(AND(N313="Sí",ISNUMBER(F313)),COUNTIFS(C_RUTN,M313,C_DEF,"Sí",C_INI,"&lt;"&amp;F313)+COUNTIFS(M$7:M313,M313,N$7:N313,"Sí",F$7:F313,F313),"")</f>
        <v/>
      </c>
      <c r="P313" s="62" t="str">
        <f aca="false">IF(O313="","",M313&amp;"-P"&amp;O313)</f>
        <v/>
      </c>
      <c r="Q313" s="62" t="str">
        <f aca="false">IF(AND(N313="Sí",E313="Plazo fijo",ISNUMBER(F313)),COUNTIFS(C_RUTN,M313,C_TIPO,"Plazo fijo",C_DEF,"Sí",C_INI,"&lt;"&amp;F313)+COUNTIFS(M$7:M313,M313,E$7:E313,"Plazo fijo",N$7:N313,"Sí",F$7:F313,F313),"")</f>
        <v/>
      </c>
      <c r="R313" s="62" t="str">
        <f aca="false">IF(AND(B313&lt;&gt;"",ISNUMBER(H313),ISNUMBER(F313)),COUNTIFS(C_RUTN,M313,C_SUELDO,"&lt;&gt;",C_INI,"&lt;"&amp;F313)+COUNTIFS(M$7:M313,M313,H$7:H313,"&lt;&gt;",F$7:F313,F313),"")</f>
        <v/>
      </c>
      <c r="S313" s="62" t="str">
        <f aca="false">IF(R313="","",M313&amp;"-S"&amp;R313)</f>
        <v/>
      </c>
    </row>
    <row r="314" customFormat="false" ht="15" hidden="false" customHeight="false" outlineLevel="0" collapsed="false">
      <c r="B314" s="58"/>
      <c r="C314" s="62" t="str">
        <f aca="false">IF(B314="","",IFERROR(INDEX(T_NOMBRE,MATCH(M314,T_RUTN,0)),"⚠ RUT no está en Trabajadores"))</f>
        <v/>
      </c>
      <c r="D314" s="58"/>
      <c r="E314" s="58"/>
      <c r="F314" s="59"/>
      <c r="G314" s="59"/>
      <c r="H314" s="60"/>
      <c r="I314" s="58"/>
      <c r="J314" s="58"/>
      <c r="K314" s="58"/>
      <c r="L314" s="62" t="str">
        <f aca="false">IF(B314="","",IF(LEFT(C314,1)="⚠","⚠ Registre primero al trabajador en la hoja Trabajadores",IF(AND(N314="Sí",OR(E314="",NOT(ISNUMBER(F314)))),"⚠ Falta tipo de contrato o fecha de inicio",IF(NOT(ISNUMBER(F314)),"⚠ Falta fecha de inicio",IF(AND(N314="Sí",E314&lt;&gt;"Indefinido",NOT(ISNUMBER(G314))),"⚠ Falta fecha de término",IF(AND(D314="Paso a indefinido",E314&lt;&gt;"Indefinido"),"⚠ Un paso a indefinido debe tener tipo Indefinido",IF(N(Q314)&gt;=3,"⚠ 3er contrato a plazo fijo: por ley ya es INDEFINIDO (Art. 159 N°4)",IF(AND(E314="Plazo fijo",ISNUMBER(G314),(G314-F314+1)/30.4375&gt;12),"⚠ Plazo fijo mayor a 1 año (máximo legal)",IF(J314&lt;&gt;"Sí","Pendiente de firma","OK")))))))))</f>
        <v/>
      </c>
      <c r="M314" s="62" t="str">
        <f aca="false">IF(B314="","",IFERROR(VALUE(LEFT(UPPER(SUBSTITUTE(SUBSTITUTE(SUBSTITUTE(TRIM(B314),".",""),"-","")," ","")),LEN(UPPER(SUBSTITUTE(SUBSTITUTE(SUBSTITUTE(TRIM(B314),".",""),"-","")," ","")))-1))&amp;RIGHT(UPPER(SUBSTITUTE(SUBSTITUTE(SUBSTITUTE(TRIM(B314),".",""),"-","")," ","")),1),UPPER(SUBSTITUTE(SUBSTITUTE(SUBSTITUTE(TRIM(B314),".",""),"-","")," ",""))))</f>
        <v/>
      </c>
      <c r="N314" s="62" t="str">
        <f aca="false">IF(B314="","",IF(D314="Anexo de modificación","No","Sí"))</f>
        <v/>
      </c>
      <c r="O314" s="62" t="str">
        <f aca="false">IF(AND(N314="Sí",ISNUMBER(F314)),COUNTIFS(C_RUTN,M314,C_DEF,"Sí",C_INI,"&lt;"&amp;F314)+COUNTIFS(M$7:M314,M314,N$7:N314,"Sí",F$7:F314,F314),"")</f>
        <v/>
      </c>
      <c r="P314" s="62" t="str">
        <f aca="false">IF(O314="","",M314&amp;"-P"&amp;O314)</f>
        <v/>
      </c>
      <c r="Q314" s="62" t="str">
        <f aca="false">IF(AND(N314="Sí",E314="Plazo fijo",ISNUMBER(F314)),COUNTIFS(C_RUTN,M314,C_TIPO,"Plazo fijo",C_DEF,"Sí",C_INI,"&lt;"&amp;F314)+COUNTIFS(M$7:M314,M314,E$7:E314,"Plazo fijo",N$7:N314,"Sí",F$7:F314,F314),"")</f>
        <v/>
      </c>
      <c r="R314" s="62" t="str">
        <f aca="false">IF(AND(B314&lt;&gt;"",ISNUMBER(H314),ISNUMBER(F314)),COUNTIFS(C_RUTN,M314,C_SUELDO,"&lt;&gt;",C_INI,"&lt;"&amp;F314)+COUNTIFS(M$7:M314,M314,H$7:H314,"&lt;&gt;",F$7:F314,F314),"")</f>
        <v/>
      </c>
      <c r="S314" s="62" t="str">
        <f aca="false">IF(R314="","",M314&amp;"-S"&amp;R314)</f>
        <v/>
      </c>
    </row>
    <row r="315" customFormat="false" ht="15" hidden="false" customHeight="false" outlineLevel="0" collapsed="false">
      <c r="B315" s="58"/>
      <c r="C315" s="62" t="str">
        <f aca="false">IF(B315="","",IFERROR(INDEX(T_NOMBRE,MATCH(M315,T_RUTN,0)),"⚠ RUT no está en Trabajadores"))</f>
        <v/>
      </c>
      <c r="D315" s="58"/>
      <c r="E315" s="58"/>
      <c r="F315" s="59"/>
      <c r="G315" s="59"/>
      <c r="H315" s="60"/>
      <c r="I315" s="58"/>
      <c r="J315" s="58"/>
      <c r="K315" s="58"/>
      <c r="L315" s="62" t="str">
        <f aca="false">IF(B315="","",IF(LEFT(C315,1)="⚠","⚠ Registre primero al trabajador en la hoja Trabajadores",IF(AND(N315="Sí",OR(E315="",NOT(ISNUMBER(F315)))),"⚠ Falta tipo de contrato o fecha de inicio",IF(NOT(ISNUMBER(F315)),"⚠ Falta fecha de inicio",IF(AND(N315="Sí",E315&lt;&gt;"Indefinido",NOT(ISNUMBER(G315))),"⚠ Falta fecha de término",IF(AND(D315="Paso a indefinido",E315&lt;&gt;"Indefinido"),"⚠ Un paso a indefinido debe tener tipo Indefinido",IF(N(Q315)&gt;=3,"⚠ 3er contrato a plazo fijo: por ley ya es INDEFINIDO (Art. 159 N°4)",IF(AND(E315="Plazo fijo",ISNUMBER(G315),(G315-F315+1)/30.4375&gt;12),"⚠ Plazo fijo mayor a 1 año (máximo legal)",IF(J315&lt;&gt;"Sí","Pendiente de firma","OK")))))))))</f>
        <v/>
      </c>
      <c r="M315" s="62" t="str">
        <f aca="false">IF(B315="","",IFERROR(VALUE(LEFT(UPPER(SUBSTITUTE(SUBSTITUTE(SUBSTITUTE(TRIM(B315),".",""),"-","")," ","")),LEN(UPPER(SUBSTITUTE(SUBSTITUTE(SUBSTITUTE(TRIM(B315),".",""),"-","")," ","")))-1))&amp;RIGHT(UPPER(SUBSTITUTE(SUBSTITUTE(SUBSTITUTE(TRIM(B315),".",""),"-","")," ","")),1),UPPER(SUBSTITUTE(SUBSTITUTE(SUBSTITUTE(TRIM(B315),".",""),"-","")," ",""))))</f>
        <v/>
      </c>
      <c r="N315" s="62" t="str">
        <f aca="false">IF(B315="","",IF(D315="Anexo de modificación","No","Sí"))</f>
        <v/>
      </c>
      <c r="O315" s="62" t="str">
        <f aca="false">IF(AND(N315="Sí",ISNUMBER(F315)),COUNTIFS(C_RUTN,M315,C_DEF,"Sí",C_INI,"&lt;"&amp;F315)+COUNTIFS(M$7:M315,M315,N$7:N315,"Sí",F$7:F315,F315),"")</f>
        <v/>
      </c>
      <c r="P315" s="62" t="str">
        <f aca="false">IF(O315="","",M315&amp;"-P"&amp;O315)</f>
        <v/>
      </c>
      <c r="Q315" s="62" t="str">
        <f aca="false">IF(AND(N315="Sí",E315="Plazo fijo",ISNUMBER(F315)),COUNTIFS(C_RUTN,M315,C_TIPO,"Plazo fijo",C_DEF,"Sí",C_INI,"&lt;"&amp;F315)+COUNTIFS(M$7:M315,M315,E$7:E315,"Plazo fijo",N$7:N315,"Sí",F$7:F315,F315),"")</f>
        <v/>
      </c>
      <c r="R315" s="62" t="str">
        <f aca="false">IF(AND(B315&lt;&gt;"",ISNUMBER(H315),ISNUMBER(F315)),COUNTIFS(C_RUTN,M315,C_SUELDO,"&lt;&gt;",C_INI,"&lt;"&amp;F315)+COUNTIFS(M$7:M315,M315,H$7:H315,"&lt;&gt;",F$7:F315,F315),"")</f>
        <v/>
      </c>
      <c r="S315" s="62" t="str">
        <f aca="false">IF(R315="","",M315&amp;"-S"&amp;R315)</f>
        <v/>
      </c>
    </row>
    <row r="316" customFormat="false" ht="15" hidden="false" customHeight="false" outlineLevel="0" collapsed="false">
      <c r="B316" s="58"/>
      <c r="C316" s="62" t="str">
        <f aca="false">IF(B316="","",IFERROR(INDEX(T_NOMBRE,MATCH(M316,T_RUTN,0)),"⚠ RUT no está en Trabajadores"))</f>
        <v/>
      </c>
      <c r="D316" s="58"/>
      <c r="E316" s="58"/>
      <c r="F316" s="59"/>
      <c r="G316" s="59"/>
      <c r="H316" s="60"/>
      <c r="I316" s="58"/>
      <c r="J316" s="58"/>
      <c r="K316" s="58"/>
      <c r="L316" s="62" t="str">
        <f aca="false">IF(B316="","",IF(LEFT(C316,1)="⚠","⚠ Registre primero al trabajador en la hoja Trabajadores",IF(AND(N316="Sí",OR(E316="",NOT(ISNUMBER(F316)))),"⚠ Falta tipo de contrato o fecha de inicio",IF(NOT(ISNUMBER(F316)),"⚠ Falta fecha de inicio",IF(AND(N316="Sí",E316&lt;&gt;"Indefinido",NOT(ISNUMBER(G316))),"⚠ Falta fecha de término",IF(AND(D316="Paso a indefinido",E316&lt;&gt;"Indefinido"),"⚠ Un paso a indefinido debe tener tipo Indefinido",IF(N(Q316)&gt;=3,"⚠ 3er contrato a plazo fijo: por ley ya es INDEFINIDO (Art. 159 N°4)",IF(AND(E316="Plazo fijo",ISNUMBER(G316),(G316-F316+1)/30.4375&gt;12),"⚠ Plazo fijo mayor a 1 año (máximo legal)",IF(J316&lt;&gt;"Sí","Pendiente de firma","OK")))))))))</f>
        <v/>
      </c>
      <c r="M316" s="62" t="str">
        <f aca="false">IF(B316="","",IFERROR(VALUE(LEFT(UPPER(SUBSTITUTE(SUBSTITUTE(SUBSTITUTE(TRIM(B316),".",""),"-","")," ","")),LEN(UPPER(SUBSTITUTE(SUBSTITUTE(SUBSTITUTE(TRIM(B316),".",""),"-","")," ","")))-1))&amp;RIGHT(UPPER(SUBSTITUTE(SUBSTITUTE(SUBSTITUTE(TRIM(B316),".",""),"-","")," ","")),1),UPPER(SUBSTITUTE(SUBSTITUTE(SUBSTITUTE(TRIM(B316),".",""),"-","")," ",""))))</f>
        <v/>
      </c>
      <c r="N316" s="62" t="str">
        <f aca="false">IF(B316="","",IF(D316="Anexo de modificación","No","Sí"))</f>
        <v/>
      </c>
      <c r="O316" s="62" t="str">
        <f aca="false">IF(AND(N316="Sí",ISNUMBER(F316)),COUNTIFS(C_RUTN,M316,C_DEF,"Sí",C_INI,"&lt;"&amp;F316)+COUNTIFS(M$7:M316,M316,N$7:N316,"Sí",F$7:F316,F316),"")</f>
        <v/>
      </c>
      <c r="P316" s="62" t="str">
        <f aca="false">IF(O316="","",M316&amp;"-P"&amp;O316)</f>
        <v/>
      </c>
      <c r="Q316" s="62" t="str">
        <f aca="false">IF(AND(N316="Sí",E316="Plazo fijo",ISNUMBER(F316)),COUNTIFS(C_RUTN,M316,C_TIPO,"Plazo fijo",C_DEF,"Sí",C_INI,"&lt;"&amp;F316)+COUNTIFS(M$7:M316,M316,E$7:E316,"Plazo fijo",N$7:N316,"Sí",F$7:F316,F316),"")</f>
        <v/>
      </c>
      <c r="R316" s="62" t="str">
        <f aca="false">IF(AND(B316&lt;&gt;"",ISNUMBER(H316),ISNUMBER(F316)),COUNTIFS(C_RUTN,M316,C_SUELDO,"&lt;&gt;",C_INI,"&lt;"&amp;F316)+COUNTIFS(M$7:M316,M316,H$7:H316,"&lt;&gt;",F$7:F316,F316),"")</f>
        <v/>
      </c>
      <c r="S316" s="62" t="str">
        <f aca="false">IF(R316="","",M316&amp;"-S"&amp;R316)</f>
        <v/>
      </c>
    </row>
    <row r="317" customFormat="false" ht="15" hidden="false" customHeight="false" outlineLevel="0" collapsed="false">
      <c r="B317" s="58"/>
      <c r="C317" s="62" t="str">
        <f aca="false">IF(B317="","",IFERROR(INDEX(T_NOMBRE,MATCH(M317,T_RUTN,0)),"⚠ RUT no está en Trabajadores"))</f>
        <v/>
      </c>
      <c r="D317" s="58"/>
      <c r="E317" s="58"/>
      <c r="F317" s="59"/>
      <c r="G317" s="59"/>
      <c r="H317" s="60"/>
      <c r="I317" s="58"/>
      <c r="J317" s="58"/>
      <c r="K317" s="58"/>
      <c r="L317" s="62" t="str">
        <f aca="false">IF(B317="","",IF(LEFT(C317,1)="⚠","⚠ Registre primero al trabajador en la hoja Trabajadores",IF(AND(N317="Sí",OR(E317="",NOT(ISNUMBER(F317)))),"⚠ Falta tipo de contrato o fecha de inicio",IF(NOT(ISNUMBER(F317)),"⚠ Falta fecha de inicio",IF(AND(N317="Sí",E317&lt;&gt;"Indefinido",NOT(ISNUMBER(G317))),"⚠ Falta fecha de término",IF(AND(D317="Paso a indefinido",E317&lt;&gt;"Indefinido"),"⚠ Un paso a indefinido debe tener tipo Indefinido",IF(N(Q317)&gt;=3,"⚠ 3er contrato a plazo fijo: por ley ya es INDEFINIDO (Art. 159 N°4)",IF(AND(E317="Plazo fijo",ISNUMBER(G317),(G317-F317+1)/30.4375&gt;12),"⚠ Plazo fijo mayor a 1 año (máximo legal)",IF(J317&lt;&gt;"Sí","Pendiente de firma","OK")))))))))</f>
        <v/>
      </c>
      <c r="M317" s="62" t="str">
        <f aca="false">IF(B317="","",IFERROR(VALUE(LEFT(UPPER(SUBSTITUTE(SUBSTITUTE(SUBSTITUTE(TRIM(B317),".",""),"-","")," ","")),LEN(UPPER(SUBSTITUTE(SUBSTITUTE(SUBSTITUTE(TRIM(B317),".",""),"-","")," ","")))-1))&amp;RIGHT(UPPER(SUBSTITUTE(SUBSTITUTE(SUBSTITUTE(TRIM(B317),".",""),"-","")," ","")),1),UPPER(SUBSTITUTE(SUBSTITUTE(SUBSTITUTE(TRIM(B317),".",""),"-","")," ",""))))</f>
        <v/>
      </c>
      <c r="N317" s="62" t="str">
        <f aca="false">IF(B317="","",IF(D317="Anexo de modificación","No","Sí"))</f>
        <v/>
      </c>
      <c r="O317" s="62" t="str">
        <f aca="false">IF(AND(N317="Sí",ISNUMBER(F317)),COUNTIFS(C_RUTN,M317,C_DEF,"Sí",C_INI,"&lt;"&amp;F317)+COUNTIFS(M$7:M317,M317,N$7:N317,"Sí",F$7:F317,F317),"")</f>
        <v/>
      </c>
      <c r="P317" s="62" t="str">
        <f aca="false">IF(O317="","",M317&amp;"-P"&amp;O317)</f>
        <v/>
      </c>
      <c r="Q317" s="62" t="str">
        <f aca="false">IF(AND(N317="Sí",E317="Plazo fijo",ISNUMBER(F317)),COUNTIFS(C_RUTN,M317,C_TIPO,"Plazo fijo",C_DEF,"Sí",C_INI,"&lt;"&amp;F317)+COUNTIFS(M$7:M317,M317,E$7:E317,"Plazo fijo",N$7:N317,"Sí",F$7:F317,F317),"")</f>
        <v/>
      </c>
      <c r="R317" s="62" t="str">
        <f aca="false">IF(AND(B317&lt;&gt;"",ISNUMBER(H317),ISNUMBER(F317)),COUNTIFS(C_RUTN,M317,C_SUELDO,"&lt;&gt;",C_INI,"&lt;"&amp;F317)+COUNTIFS(M$7:M317,M317,H$7:H317,"&lt;&gt;",F$7:F317,F317),"")</f>
        <v/>
      </c>
      <c r="S317" s="62" t="str">
        <f aca="false">IF(R317="","",M317&amp;"-S"&amp;R317)</f>
        <v/>
      </c>
    </row>
    <row r="318" customFormat="false" ht="15" hidden="false" customHeight="false" outlineLevel="0" collapsed="false">
      <c r="B318" s="58"/>
      <c r="C318" s="62" t="str">
        <f aca="false">IF(B318="","",IFERROR(INDEX(T_NOMBRE,MATCH(M318,T_RUTN,0)),"⚠ RUT no está en Trabajadores"))</f>
        <v/>
      </c>
      <c r="D318" s="58"/>
      <c r="E318" s="58"/>
      <c r="F318" s="59"/>
      <c r="G318" s="59"/>
      <c r="H318" s="60"/>
      <c r="I318" s="58"/>
      <c r="J318" s="58"/>
      <c r="K318" s="58"/>
      <c r="L318" s="62" t="str">
        <f aca="false">IF(B318="","",IF(LEFT(C318,1)="⚠","⚠ Registre primero al trabajador en la hoja Trabajadores",IF(AND(N318="Sí",OR(E318="",NOT(ISNUMBER(F318)))),"⚠ Falta tipo de contrato o fecha de inicio",IF(NOT(ISNUMBER(F318)),"⚠ Falta fecha de inicio",IF(AND(N318="Sí",E318&lt;&gt;"Indefinido",NOT(ISNUMBER(G318))),"⚠ Falta fecha de término",IF(AND(D318="Paso a indefinido",E318&lt;&gt;"Indefinido"),"⚠ Un paso a indefinido debe tener tipo Indefinido",IF(N(Q318)&gt;=3,"⚠ 3er contrato a plazo fijo: por ley ya es INDEFINIDO (Art. 159 N°4)",IF(AND(E318="Plazo fijo",ISNUMBER(G318),(G318-F318+1)/30.4375&gt;12),"⚠ Plazo fijo mayor a 1 año (máximo legal)",IF(J318&lt;&gt;"Sí","Pendiente de firma","OK")))))))))</f>
        <v/>
      </c>
      <c r="M318" s="62" t="str">
        <f aca="false">IF(B318="","",IFERROR(VALUE(LEFT(UPPER(SUBSTITUTE(SUBSTITUTE(SUBSTITUTE(TRIM(B318),".",""),"-","")," ","")),LEN(UPPER(SUBSTITUTE(SUBSTITUTE(SUBSTITUTE(TRIM(B318),".",""),"-","")," ","")))-1))&amp;RIGHT(UPPER(SUBSTITUTE(SUBSTITUTE(SUBSTITUTE(TRIM(B318),".",""),"-","")," ","")),1),UPPER(SUBSTITUTE(SUBSTITUTE(SUBSTITUTE(TRIM(B318),".",""),"-","")," ",""))))</f>
        <v/>
      </c>
      <c r="N318" s="62" t="str">
        <f aca="false">IF(B318="","",IF(D318="Anexo de modificación","No","Sí"))</f>
        <v/>
      </c>
      <c r="O318" s="62" t="str">
        <f aca="false">IF(AND(N318="Sí",ISNUMBER(F318)),COUNTIFS(C_RUTN,M318,C_DEF,"Sí",C_INI,"&lt;"&amp;F318)+COUNTIFS(M$7:M318,M318,N$7:N318,"Sí",F$7:F318,F318),"")</f>
        <v/>
      </c>
      <c r="P318" s="62" t="str">
        <f aca="false">IF(O318="","",M318&amp;"-P"&amp;O318)</f>
        <v/>
      </c>
      <c r="Q318" s="62" t="str">
        <f aca="false">IF(AND(N318="Sí",E318="Plazo fijo",ISNUMBER(F318)),COUNTIFS(C_RUTN,M318,C_TIPO,"Plazo fijo",C_DEF,"Sí",C_INI,"&lt;"&amp;F318)+COUNTIFS(M$7:M318,M318,E$7:E318,"Plazo fijo",N$7:N318,"Sí",F$7:F318,F318),"")</f>
        <v/>
      </c>
      <c r="R318" s="62" t="str">
        <f aca="false">IF(AND(B318&lt;&gt;"",ISNUMBER(H318),ISNUMBER(F318)),COUNTIFS(C_RUTN,M318,C_SUELDO,"&lt;&gt;",C_INI,"&lt;"&amp;F318)+COUNTIFS(M$7:M318,M318,H$7:H318,"&lt;&gt;",F$7:F318,F318),"")</f>
        <v/>
      </c>
      <c r="S318" s="62" t="str">
        <f aca="false">IF(R318="","",M318&amp;"-S"&amp;R318)</f>
        <v/>
      </c>
    </row>
    <row r="319" customFormat="false" ht="15" hidden="false" customHeight="false" outlineLevel="0" collapsed="false">
      <c r="B319" s="58"/>
      <c r="C319" s="62" t="str">
        <f aca="false">IF(B319="","",IFERROR(INDEX(T_NOMBRE,MATCH(M319,T_RUTN,0)),"⚠ RUT no está en Trabajadores"))</f>
        <v/>
      </c>
      <c r="D319" s="58"/>
      <c r="E319" s="58"/>
      <c r="F319" s="59"/>
      <c r="G319" s="59"/>
      <c r="H319" s="60"/>
      <c r="I319" s="58"/>
      <c r="J319" s="58"/>
      <c r="K319" s="58"/>
      <c r="L319" s="62" t="str">
        <f aca="false">IF(B319="","",IF(LEFT(C319,1)="⚠","⚠ Registre primero al trabajador en la hoja Trabajadores",IF(AND(N319="Sí",OR(E319="",NOT(ISNUMBER(F319)))),"⚠ Falta tipo de contrato o fecha de inicio",IF(NOT(ISNUMBER(F319)),"⚠ Falta fecha de inicio",IF(AND(N319="Sí",E319&lt;&gt;"Indefinido",NOT(ISNUMBER(G319))),"⚠ Falta fecha de término",IF(AND(D319="Paso a indefinido",E319&lt;&gt;"Indefinido"),"⚠ Un paso a indefinido debe tener tipo Indefinido",IF(N(Q319)&gt;=3,"⚠ 3er contrato a plazo fijo: por ley ya es INDEFINIDO (Art. 159 N°4)",IF(AND(E319="Plazo fijo",ISNUMBER(G319),(G319-F319+1)/30.4375&gt;12),"⚠ Plazo fijo mayor a 1 año (máximo legal)",IF(J319&lt;&gt;"Sí","Pendiente de firma","OK")))))))))</f>
        <v/>
      </c>
      <c r="M319" s="62" t="str">
        <f aca="false">IF(B319="","",IFERROR(VALUE(LEFT(UPPER(SUBSTITUTE(SUBSTITUTE(SUBSTITUTE(TRIM(B319),".",""),"-","")," ","")),LEN(UPPER(SUBSTITUTE(SUBSTITUTE(SUBSTITUTE(TRIM(B319),".",""),"-","")," ","")))-1))&amp;RIGHT(UPPER(SUBSTITUTE(SUBSTITUTE(SUBSTITUTE(TRIM(B319),".",""),"-","")," ","")),1),UPPER(SUBSTITUTE(SUBSTITUTE(SUBSTITUTE(TRIM(B319),".",""),"-","")," ",""))))</f>
        <v/>
      </c>
      <c r="N319" s="62" t="str">
        <f aca="false">IF(B319="","",IF(D319="Anexo de modificación","No","Sí"))</f>
        <v/>
      </c>
      <c r="O319" s="62" t="str">
        <f aca="false">IF(AND(N319="Sí",ISNUMBER(F319)),COUNTIFS(C_RUTN,M319,C_DEF,"Sí",C_INI,"&lt;"&amp;F319)+COUNTIFS(M$7:M319,M319,N$7:N319,"Sí",F$7:F319,F319),"")</f>
        <v/>
      </c>
      <c r="P319" s="62" t="str">
        <f aca="false">IF(O319="","",M319&amp;"-P"&amp;O319)</f>
        <v/>
      </c>
      <c r="Q319" s="62" t="str">
        <f aca="false">IF(AND(N319="Sí",E319="Plazo fijo",ISNUMBER(F319)),COUNTIFS(C_RUTN,M319,C_TIPO,"Plazo fijo",C_DEF,"Sí",C_INI,"&lt;"&amp;F319)+COUNTIFS(M$7:M319,M319,E$7:E319,"Plazo fijo",N$7:N319,"Sí",F$7:F319,F319),"")</f>
        <v/>
      </c>
      <c r="R319" s="62" t="str">
        <f aca="false">IF(AND(B319&lt;&gt;"",ISNUMBER(H319),ISNUMBER(F319)),COUNTIFS(C_RUTN,M319,C_SUELDO,"&lt;&gt;",C_INI,"&lt;"&amp;F319)+COUNTIFS(M$7:M319,M319,H$7:H319,"&lt;&gt;",F$7:F319,F319),"")</f>
        <v/>
      </c>
      <c r="S319" s="62" t="str">
        <f aca="false">IF(R319="","",M319&amp;"-S"&amp;R319)</f>
        <v/>
      </c>
    </row>
    <row r="320" customFormat="false" ht="15" hidden="false" customHeight="false" outlineLevel="0" collapsed="false">
      <c r="B320" s="58"/>
      <c r="C320" s="62" t="str">
        <f aca="false">IF(B320="","",IFERROR(INDEX(T_NOMBRE,MATCH(M320,T_RUTN,0)),"⚠ RUT no está en Trabajadores"))</f>
        <v/>
      </c>
      <c r="D320" s="58"/>
      <c r="E320" s="58"/>
      <c r="F320" s="59"/>
      <c r="G320" s="59"/>
      <c r="H320" s="60"/>
      <c r="I320" s="58"/>
      <c r="J320" s="58"/>
      <c r="K320" s="58"/>
      <c r="L320" s="62" t="str">
        <f aca="false">IF(B320="","",IF(LEFT(C320,1)="⚠","⚠ Registre primero al trabajador en la hoja Trabajadores",IF(AND(N320="Sí",OR(E320="",NOT(ISNUMBER(F320)))),"⚠ Falta tipo de contrato o fecha de inicio",IF(NOT(ISNUMBER(F320)),"⚠ Falta fecha de inicio",IF(AND(N320="Sí",E320&lt;&gt;"Indefinido",NOT(ISNUMBER(G320))),"⚠ Falta fecha de término",IF(AND(D320="Paso a indefinido",E320&lt;&gt;"Indefinido"),"⚠ Un paso a indefinido debe tener tipo Indefinido",IF(N(Q320)&gt;=3,"⚠ 3er contrato a plazo fijo: por ley ya es INDEFINIDO (Art. 159 N°4)",IF(AND(E320="Plazo fijo",ISNUMBER(G320),(G320-F320+1)/30.4375&gt;12),"⚠ Plazo fijo mayor a 1 año (máximo legal)",IF(J320&lt;&gt;"Sí","Pendiente de firma","OK")))))))))</f>
        <v/>
      </c>
      <c r="M320" s="62" t="str">
        <f aca="false">IF(B320="","",IFERROR(VALUE(LEFT(UPPER(SUBSTITUTE(SUBSTITUTE(SUBSTITUTE(TRIM(B320),".",""),"-","")," ","")),LEN(UPPER(SUBSTITUTE(SUBSTITUTE(SUBSTITUTE(TRIM(B320),".",""),"-","")," ","")))-1))&amp;RIGHT(UPPER(SUBSTITUTE(SUBSTITUTE(SUBSTITUTE(TRIM(B320),".",""),"-","")," ","")),1),UPPER(SUBSTITUTE(SUBSTITUTE(SUBSTITUTE(TRIM(B320),".",""),"-","")," ",""))))</f>
        <v/>
      </c>
      <c r="N320" s="62" t="str">
        <f aca="false">IF(B320="","",IF(D320="Anexo de modificación","No","Sí"))</f>
        <v/>
      </c>
      <c r="O320" s="62" t="str">
        <f aca="false">IF(AND(N320="Sí",ISNUMBER(F320)),COUNTIFS(C_RUTN,M320,C_DEF,"Sí",C_INI,"&lt;"&amp;F320)+COUNTIFS(M$7:M320,M320,N$7:N320,"Sí",F$7:F320,F320),"")</f>
        <v/>
      </c>
      <c r="P320" s="62" t="str">
        <f aca="false">IF(O320="","",M320&amp;"-P"&amp;O320)</f>
        <v/>
      </c>
      <c r="Q320" s="62" t="str">
        <f aca="false">IF(AND(N320="Sí",E320="Plazo fijo",ISNUMBER(F320)),COUNTIFS(C_RUTN,M320,C_TIPO,"Plazo fijo",C_DEF,"Sí",C_INI,"&lt;"&amp;F320)+COUNTIFS(M$7:M320,M320,E$7:E320,"Plazo fijo",N$7:N320,"Sí",F$7:F320,F320),"")</f>
        <v/>
      </c>
      <c r="R320" s="62" t="str">
        <f aca="false">IF(AND(B320&lt;&gt;"",ISNUMBER(H320),ISNUMBER(F320)),COUNTIFS(C_RUTN,M320,C_SUELDO,"&lt;&gt;",C_INI,"&lt;"&amp;F320)+COUNTIFS(M$7:M320,M320,H$7:H320,"&lt;&gt;",F$7:F320,F320),"")</f>
        <v/>
      </c>
      <c r="S320" s="62" t="str">
        <f aca="false">IF(R320="","",M320&amp;"-S"&amp;R320)</f>
        <v/>
      </c>
    </row>
    <row r="321" customFormat="false" ht="15" hidden="false" customHeight="false" outlineLevel="0" collapsed="false">
      <c r="B321" s="58"/>
      <c r="C321" s="62" t="str">
        <f aca="false">IF(B321="","",IFERROR(INDEX(T_NOMBRE,MATCH(M321,T_RUTN,0)),"⚠ RUT no está en Trabajadores"))</f>
        <v/>
      </c>
      <c r="D321" s="58"/>
      <c r="E321" s="58"/>
      <c r="F321" s="59"/>
      <c r="G321" s="59"/>
      <c r="H321" s="60"/>
      <c r="I321" s="58"/>
      <c r="J321" s="58"/>
      <c r="K321" s="58"/>
      <c r="L321" s="62" t="str">
        <f aca="false">IF(B321="","",IF(LEFT(C321,1)="⚠","⚠ Registre primero al trabajador en la hoja Trabajadores",IF(AND(N321="Sí",OR(E321="",NOT(ISNUMBER(F321)))),"⚠ Falta tipo de contrato o fecha de inicio",IF(NOT(ISNUMBER(F321)),"⚠ Falta fecha de inicio",IF(AND(N321="Sí",E321&lt;&gt;"Indefinido",NOT(ISNUMBER(G321))),"⚠ Falta fecha de término",IF(AND(D321="Paso a indefinido",E321&lt;&gt;"Indefinido"),"⚠ Un paso a indefinido debe tener tipo Indefinido",IF(N(Q321)&gt;=3,"⚠ 3er contrato a plazo fijo: por ley ya es INDEFINIDO (Art. 159 N°4)",IF(AND(E321="Plazo fijo",ISNUMBER(G321),(G321-F321+1)/30.4375&gt;12),"⚠ Plazo fijo mayor a 1 año (máximo legal)",IF(J321&lt;&gt;"Sí","Pendiente de firma","OK")))))))))</f>
        <v/>
      </c>
      <c r="M321" s="62" t="str">
        <f aca="false">IF(B321="","",IFERROR(VALUE(LEFT(UPPER(SUBSTITUTE(SUBSTITUTE(SUBSTITUTE(TRIM(B321),".",""),"-","")," ","")),LEN(UPPER(SUBSTITUTE(SUBSTITUTE(SUBSTITUTE(TRIM(B321),".",""),"-","")," ","")))-1))&amp;RIGHT(UPPER(SUBSTITUTE(SUBSTITUTE(SUBSTITUTE(TRIM(B321),".",""),"-","")," ","")),1),UPPER(SUBSTITUTE(SUBSTITUTE(SUBSTITUTE(TRIM(B321),".",""),"-","")," ",""))))</f>
        <v/>
      </c>
      <c r="N321" s="62" t="str">
        <f aca="false">IF(B321="","",IF(D321="Anexo de modificación","No","Sí"))</f>
        <v/>
      </c>
      <c r="O321" s="62" t="str">
        <f aca="false">IF(AND(N321="Sí",ISNUMBER(F321)),COUNTIFS(C_RUTN,M321,C_DEF,"Sí",C_INI,"&lt;"&amp;F321)+COUNTIFS(M$7:M321,M321,N$7:N321,"Sí",F$7:F321,F321),"")</f>
        <v/>
      </c>
      <c r="P321" s="62" t="str">
        <f aca="false">IF(O321="","",M321&amp;"-P"&amp;O321)</f>
        <v/>
      </c>
      <c r="Q321" s="62" t="str">
        <f aca="false">IF(AND(N321="Sí",E321="Plazo fijo",ISNUMBER(F321)),COUNTIFS(C_RUTN,M321,C_TIPO,"Plazo fijo",C_DEF,"Sí",C_INI,"&lt;"&amp;F321)+COUNTIFS(M$7:M321,M321,E$7:E321,"Plazo fijo",N$7:N321,"Sí",F$7:F321,F321),"")</f>
        <v/>
      </c>
      <c r="R321" s="62" t="str">
        <f aca="false">IF(AND(B321&lt;&gt;"",ISNUMBER(H321),ISNUMBER(F321)),COUNTIFS(C_RUTN,M321,C_SUELDO,"&lt;&gt;",C_INI,"&lt;"&amp;F321)+COUNTIFS(M$7:M321,M321,H$7:H321,"&lt;&gt;",F$7:F321,F321),"")</f>
        <v/>
      </c>
      <c r="S321" s="62" t="str">
        <f aca="false">IF(R321="","",M321&amp;"-S"&amp;R321)</f>
        <v/>
      </c>
    </row>
    <row r="322" customFormat="false" ht="15" hidden="false" customHeight="false" outlineLevel="0" collapsed="false">
      <c r="B322" s="58"/>
      <c r="C322" s="62" t="str">
        <f aca="false">IF(B322="","",IFERROR(INDEX(T_NOMBRE,MATCH(M322,T_RUTN,0)),"⚠ RUT no está en Trabajadores"))</f>
        <v/>
      </c>
      <c r="D322" s="58"/>
      <c r="E322" s="58"/>
      <c r="F322" s="59"/>
      <c r="G322" s="59"/>
      <c r="H322" s="60"/>
      <c r="I322" s="58"/>
      <c r="J322" s="58"/>
      <c r="K322" s="58"/>
      <c r="L322" s="62" t="str">
        <f aca="false">IF(B322="","",IF(LEFT(C322,1)="⚠","⚠ Registre primero al trabajador en la hoja Trabajadores",IF(AND(N322="Sí",OR(E322="",NOT(ISNUMBER(F322)))),"⚠ Falta tipo de contrato o fecha de inicio",IF(NOT(ISNUMBER(F322)),"⚠ Falta fecha de inicio",IF(AND(N322="Sí",E322&lt;&gt;"Indefinido",NOT(ISNUMBER(G322))),"⚠ Falta fecha de término",IF(AND(D322="Paso a indefinido",E322&lt;&gt;"Indefinido"),"⚠ Un paso a indefinido debe tener tipo Indefinido",IF(N(Q322)&gt;=3,"⚠ 3er contrato a plazo fijo: por ley ya es INDEFINIDO (Art. 159 N°4)",IF(AND(E322="Plazo fijo",ISNUMBER(G322),(G322-F322+1)/30.4375&gt;12),"⚠ Plazo fijo mayor a 1 año (máximo legal)",IF(J322&lt;&gt;"Sí","Pendiente de firma","OK")))))))))</f>
        <v/>
      </c>
      <c r="M322" s="62" t="str">
        <f aca="false">IF(B322="","",IFERROR(VALUE(LEFT(UPPER(SUBSTITUTE(SUBSTITUTE(SUBSTITUTE(TRIM(B322),".",""),"-","")," ","")),LEN(UPPER(SUBSTITUTE(SUBSTITUTE(SUBSTITUTE(TRIM(B322),".",""),"-","")," ","")))-1))&amp;RIGHT(UPPER(SUBSTITUTE(SUBSTITUTE(SUBSTITUTE(TRIM(B322),".",""),"-","")," ","")),1),UPPER(SUBSTITUTE(SUBSTITUTE(SUBSTITUTE(TRIM(B322),".",""),"-","")," ",""))))</f>
        <v/>
      </c>
      <c r="N322" s="62" t="str">
        <f aca="false">IF(B322="","",IF(D322="Anexo de modificación","No","Sí"))</f>
        <v/>
      </c>
      <c r="O322" s="62" t="str">
        <f aca="false">IF(AND(N322="Sí",ISNUMBER(F322)),COUNTIFS(C_RUTN,M322,C_DEF,"Sí",C_INI,"&lt;"&amp;F322)+COUNTIFS(M$7:M322,M322,N$7:N322,"Sí",F$7:F322,F322),"")</f>
        <v/>
      </c>
      <c r="P322" s="62" t="str">
        <f aca="false">IF(O322="","",M322&amp;"-P"&amp;O322)</f>
        <v/>
      </c>
      <c r="Q322" s="62" t="str">
        <f aca="false">IF(AND(N322="Sí",E322="Plazo fijo",ISNUMBER(F322)),COUNTIFS(C_RUTN,M322,C_TIPO,"Plazo fijo",C_DEF,"Sí",C_INI,"&lt;"&amp;F322)+COUNTIFS(M$7:M322,M322,E$7:E322,"Plazo fijo",N$7:N322,"Sí",F$7:F322,F322),"")</f>
        <v/>
      </c>
      <c r="R322" s="62" t="str">
        <f aca="false">IF(AND(B322&lt;&gt;"",ISNUMBER(H322),ISNUMBER(F322)),COUNTIFS(C_RUTN,M322,C_SUELDO,"&lt;&gt;",C_INI,"&lt;"&amp;F322)+COUNTIFS(M$7:M322,M322,H$7:H322,"&lt;&gt;",F$7:F322,F322),"")</f>
        <v/>
      </c>
      <c r="S322" s="62" t="str">
        <f aca="false">IF(R322="","",M322&amp;"-S"&amp;R322)</f>
        <v/>
      </c>
    </row>
    <row r="323" customFormat="false" ht="15" hidden="false" customHeight="false" outlineLevel="0" collapsed="false">
      <c r="B323" s="58"/>
      <c r="C323" s="62" t="str">
        <f aca="false">IF(B323="","",IFERROR(INDEX(T_NOMBRE,MATCH(M323,T_RUTN,0)),"⚠ RUT no está en Trabajadores"))</f>
        <v/>
      </c>
      <c r="D323" s="58"/>
      <c r="E323" s="58"/>
      <c r="F323" s="59"/>
      <c r="G323" s="59"/>
      <c r="H323" s="60"/>
      <c r="I323" s="58"/>
      <c r="J323" s="58"/>
      <c r="K323" s="58"/>
      <c r="L323" s="62" t="str">
        <f aca="false">IF(B323="","",IF(LEFT(C323,1)="⚠","⚠ Registre primero al trabajador en la hoja Trabajadores",IF(AND(N323="Sí",OR(E323="",NOT(ISNUMBER(F323)))),"⚠ Falta tipo de contrato o fecha de inicio",IF(NOT(ISNUMBER(F323)),"⚠ Falta fecha de inicio",IF(AND(N323="Sí",E323&lt;&gt;"Indefinido",NOT(ISNUMBER(G323))),"⚠ Falta fecha de término",IF(AND(D323="Paso a indefinido",E323&lt;&gt;"Indefinido"),"⚠ Un paso a indefinido debe tener tipo Indefinido",IF(N(Q323)&gt;=3,"⚠ 3er contrato a plazo fijo: por ley ya es INDEFINIDO (Art. 159 N°4)",IF(AND(E323="Plazo fijo",ISNUMBER(G323),(G323-F323+1)/30.4375&gt;12),"⚠ Plazo fijo mayor a 1 año (máximo legal)",IF(J323&lt;&gt;"Sí","Pendiente de firma","OK")))))))))</f>
        <v/>
      </c>
      <c r="M323" s="62" t="str">
        <f aca="false">IF(B323="","",IFERROR(VALUE(LEFT(UPPER(SUBSTITUTE(SUBSTITUTE(SUBSTITUTE(TRIM(B323),".",""),"-","")," ","")),LEN(UPPER(SUBSTITUTE(SUBSTITUTE(SUBSTITUTE(TRIM(B323),".",""),"-","")," ","")))-1))&amp;RIGHT(UPPER(SUBSTITUTE(SUBSTITUTE(SUBSTITUTE(TRIM(B323),".",""),"-","")," ","")),1),UPPER(SUBSTITUTE(SUBSTITUTE(SUBSTITUTE(TRIM(B323),".",""),"-","")," ",""))))</f>
        <v/>
      </c>
      <c r="N323" s="62" t="str">
        <f aca="false">IF(B323="","",IF(D323="Anexo de modificación","No","Sí"))</f>
        <v/>
      </c>
      <c r="O323" s="62" t="str">
        <f aca="false">IF(AND(N323="Sí",ISNUMBER(F323)),COUNTIFS(C_RUTN,M323,C_DEF,"Sí",C_INI,"&lt;"&amp;F323)+COUNTIFS(M$7:M323,M323,N$7:N323,"Sí",F$7:F323,F323),"")</f>
        <v/>
      </c>
      <c r="P323" s="62" t="str">
        <f aca="false">IF(O323="","",M323&amp;"-P"&amp;O323)</f>
        <v/>
      </c>
      <c r="Q323" s="62" t="str">
        <f aca="false">IF(AND(N323="Sí",E323="Plazo fijo",ISNUMBER(F323)),COUNTIFS(C_RUTN,M323,C_TIPO,"Plazo fijo",C_DEF,"Sí",C_INI,"&lt;"&amp;F323)+COUNTIFS(M$7:M323,M323,E$7:E323,"Plazo fijo",N$7:N323,"Sí",F$7:F323,F323),"")</f>
        <v/>
      </c>
      <c r="R323" s="62" t="str">
        <f aca="false">IF(AND(B323&lt;&gt;"",ISNUMBER(H323),ISNUMBER(F323)),COUNTIFS(C_RUTN,M323,C_SUELDO,"&lt;&gt;",C_INI,"&lt;"&amp;F323)+COUNTIFS(M$7:M323,M323,H$7:H323,"&lt;&gt;",F$7:F323,F323),"")</f>
        <v/>
      </c>
      <c r="S323" s="62" t="str">
        <f aca="false">IF(R323="","",M323&amp;"-S"&amp;R323)</f>
        <v/>
      </c>
    </row>
    <row r="324" customFormat="false" ht="15" hidden="false" customHeight="false" outlineLevel="0" collapsed="false">
      <c r="B324" s="58"/>
      <c r="C324" s="62" t="str">
        <f aca="false">IF(B324="","",IFERROR(INDEX(T_NOMBRE,MATCH(M324,T_RUTN,0)),"⚠ RUT no está en Trabajadores"))</f>
        <v/>
      </c>
      <c r="D324" s="58"/>
      <c r="E324" s="58"/>
      <c r="F324" s="59"/>
      <c r="G324" s="59"/>
      <c r="H324" s="60"/>
      <c r="I324" s="58"/>
      <c r="J324" s="58"/>
      <c r="K324" s="58"/>
      <c r="L324" s="62" t="str">
        <f aca="false">IF(B324="","",IF(LEFT(C324,1)="⚠","⚠ Registre primero al trabajador en la hoja Trabajadores",IF(AND(N324="Sí",OR(E324="",NOT(ISNUMBER(F324)))),"⚠ Falta tipo de contrato o fecha de inicio",IF(NOT(ISNUMBER(F324)),"⚠ Falta fecha de inicio",IF(AND(N324="Sí",E324&lt;&gt;"Indefinido",NOT(ISNUMBER(G324))),"⚠ Falta fecha de término",IF(AND(D324="Paso a indefinido",E324&lt;&gt;"Indefinido"),"⚠ Un paso a indefinido debe tener tipo Indefinido",IF(N(Q324)&gt;=3,"⚠ 3er contrato a plazo fijo: por ley ya es INDEFINIDO (Art. 159 N°4)",IF(AND(E324="Plazo fijo",ISNUMBER(G324),(G324-F324+1)/30.4375&gt;12),"⚠ Plazo fijo mayor a 1 año (máximo legal)",IF(J324&lt;&gt;"Sí","Pendiente de firma","OK")))))))))</f>
        <v/>
      </c>
      <c r="M324" s="62" t="str">
        <f aca="false">IF(B324="","",IFERROR(VALUE(LEFT(UPPER(SUBSTITUTE(SUBSTITUTE(SUBSTITUTE(TRIM(B324),".",""),"-","")," ","")),LEN(UPPER(SUBSTITUTE(SUBSTITUTE(SUBSTITUTE(TRIM(B324),".",""),"-","")," ","")))-1))&amp;RIGHT(UPPER(SUBSTITUTE(SUBSTITUTE(SUBSTITUTE(TRIM(B324),".",""),"-","")," ","")),1),UPPER(SUBSTITUTE(SUBSTITUTE(SUBSTITUTE(TRIM(B324),".",""),"-","")," ",""))))</f>
        <v/>
      </c>
      <c r="N324" s="62" t="str">
        <f aca="false">IF(B324="","",IF(D324="Anexo de modificación","No","Sí"))</f>
        <v/>
      </c>
      <c r="O324" s="62" t="str">
        <f aca="false">IF(AND(N324="Sí",ISNUMBER(F324)),COUNTIFS(C_RUTN,M324,C_DEF,"Sí",C_INI,"&lt;"&amp;F324)+COUNTIFS(M$7:M324,M324,N$7:N324,"Sí",F$7:F324,F324),"")</f>
        <v/>
      </c>
      <c r="P324" s="62" t="str">
        <f aca="false">IF(O324="","",M324&amp;"-P"&amp;O324)</f>
        <v/>
      </c>
      <c r="Q324" s="62" t="str">
        <f aca="false">IF(AND(N324="Sí",E324="Plazo fijo",ISNUMBER(F324)),COUNTIFS(C_RUTN,M324,C_TIPO,"Plazo fijo",C_DEF,"Sí",C_INI,"&lt;"&amp;F324)+COUNTIFS(M$7:M324,M324,E$7:E324,"Plazo fijo",N$7:N324,"Sí",F$7:F324,F324),"")</f>
        <v/>
      </c>
      <c r="R324" s="62" t="str">
        <f aca="false">IF(AND(B324&lt;&gt;"",ISNUMBER(H324),ISNUMBER(F324)),COUNTIFS(C_RUTN,M324,C_SUELDO,"&lt;&gt;",C_INI,"&lt;"&amp;F324)+COUNTIFS(M$7:M324,M324,H$7:H324,"&lt;&gt;",F$7:F324,F324),"")</f>
        <v/>
      </c>
      <c r="S324" s="62" t="str">
        <f aca="false">IF(R324="","",M324&amp;"-S"&amp;R324)</f>
        <v/>
      </c>
    </row>
    <row r="325" customFormat="false" ht="15" hidden="false" customHeight="false" outlineLevel="0" collapsed="false">
      <c r="B325" s="58"/>
      <c r="C325" s="62" t="str">
        <f aca="false">IF(B325="","",IFERROR(INDEX(T_NOMBRE,MATCH(M325,T_RUTN,0)),"⚠ RUT no está en Trabajadores"))</f>
        <v/>
      </c>
      <c r="D325" s="58"/>
      <c r="E325" s="58"/>
      <c r="F325" s="59"/>
      <c r="G325" s="59"/>
      <c r="H325" s="60"/>
      <c r="I325" s="58"/>
      <c r="J325" s="58"/>
      <c r="K325" s="58"/>
      <c r="L325" s="62" t="str">
        <f aca="false">IF(B325="","",IF(LEFT(C325,1)="⚠","⚠ Registre primero al trabajador en la hoja Trabajadores",IF(AND(N325="Sí",OR(E325="",NOT(ISNUMBER(F325)))),"⚠ Falta tipo de contrato o fecha de inicio",IF(NOT(ISNUMBER(F325)),"⚠ Falta fecha de inicio",IF(AND(N325="Sí",E325&lt;&gt;"Indefinido",NOT(ISNUMBER(G325))),"⚠ Falta fecha de término",IF(AND(D325="Paso a indefinido",E325&lt;&gt;"Indefinido"),"⚠ Un paso a indefinido debe tener tipo Indefinido",IF(N(Q325)&gt;=3,"⚠ 3er contrato a plazo fijo: por ley ya es INDEFINIDO (Art. 159 N°4)",IF(AND(E325="Plazo fijo",ISNUMBER(G325),(G325-F325+1)/30.4375&gt;12),"⚠ Plazo fijo mayor a 1 año (máximo legal)",IF(J325&lt;&gt;"Sí","Pendiente de firma","OK")))))))))</f>
        <v/>
      </c>
      <c r="M325" s="62" t="str">
        <f aca="false">IF(B325="","",IFERROR(VALUE(LEFT(UPPER(SUBSTITUTE(SUBSTITUTE(SUBSTITUTE(TRIM(B325),".",""),"-","")," ","")),LEN(UPPER(SUBSTITUTE(SUBSTITUTE(SUBSTITUTE(TRIM(B325),".",""),"-","")," ","")))-1))&amp;RIGHT(UPPER(SUBSTITUTE(SUBSTITUTE(SUBSTITUTE(TRIM(B325),".",""),"-","")," ","")),1),UPPER(SUBSTITUTE(SUBSTITUTE(SUBSTITUTE(TRIM(B325),".",""),"-","")," ",""))))</f>
        <v/>
      </c>
      <c r="N325" s="62" t="str">
        <f aca="false">IF(B325="","",IF(D325="Anexo de modificación","No","Sí"))</f>
        <v/>
      </c>
      <c r="O325" s="62" t="str">
        <f aca="false">IF(AND(N325="Sí",ISNUMBER(F325)),COUNTIFS(C_RUTN,M325,C_DEF,"Sí",C_INI,"&lt;"&amp;F325)+COUNTIFS(M$7:M325,M325,N$7:N325,"Sí",F$7:F325,F325),"")</f>
        <v/>
      </c>
      <c r="P325" s="62" t="str">
        <f aca="false">IF(O325="","",M325&amp;"-P"&amp;O325)</f>
        <v/>
      </c>
      <c r="Q325" s="62" t="str">
        <f aca="false">IF(AND(N325="Sí",E325="Plazo fijo",ISNUMBER(F325)),COUNTIFS(C_RUTN,M325,C_TIPO,"Plazo fijo",C_DEF,"Sí",C_INI,"&lt;"&amp;F325)+COUNTIFS(M$7:M325,M325,E$7:E325,"Plazo fijo",N$7:N325,"Sí",F$7:F325,F325),"")</f>
        <v/>
      </c>
      <c r="R325" s="62" t="str">
        <f aca="false">IF(AND(B325&lt;&gt;"",ISNUMBER(H325),ISNUMBER(F325)),COUNTIFS(C_RUTN,M325,C_SUELDO,"&lt;&gt;",C_INI,"&lt;"&amp;F325)+COUNTIFS(M$7:M325,M325,H$7:H325,"&lt;&gt;",F$7:F325,F325),"")</f>
        <v/>
      </c>
      <c r="S325" s="62" t="str">
        <f aca="false">IF(R325="","",M325&amp;"-S"&amp;R325)</f>
        <v/>
      </c>
    </row>
    <row r="326" customFormat="false" ht="15" hidden="false" customHeight="false" outlineLevel="0" collapsed="false">
      <c r="B326" s="58"/>
      <c r="C326" s="62" t="str">
        <f aca="false">IF(B326="","",IFERROR(INDEX(T_NOMBRE,MATCH(M326,T_RUTN,0)),"⚠ RUT no está en Trabajadores"))</f>
        <v/>
      </c>
      <c r="D326" s="58"/>
      <c r="E326" s="58"/>
      <c r="F326" s="59"/>
      <c r="G326" s="59"/>
      <c r="H326" s="60"/>
      <c r="I326" s="58"/>
      <c r="J326" s="58"/>
      <c r="K326" s="58"/>
      <c r="L326" s="62" t="str">
        <f aca="false">IF(B326="","",IF(LEFT(C326,1)="⚠","⚠ Registre primero al trabajador en la hoja Trabajadores",IF(AND(N326="Sí",OR(E326="",NOT(ISNUMBER(F326)))),"⚠ Falta tipo de contrato o fecha de inicio",IF(NOT(ISNUMBER(F326)),"⚠ Falta fecha de inicio",IF(AND(N326="Sí",E326&lt;&gt;"Indefinido",NOT(ISNUMBER(G326))),"⚠ Falta fecha de término",IF(AND(D326="Paso a indefinido",E326&lt;&gt;"Indefinido"),"⚠ Un paso a indefinido debe tener tipo Indefinido",IF(N(Q326)&gt;=3,"⚠ 3er contrato a plazo fijo: por ley ya es INDEFINIDO (Art. 159 N°4)",IF(AND(E326="Plazo fijo",ISNUMBER(G326),(G326-F326+1)/30.4375&gt;12),"⚠ Plazo fijo mayor a 1 año (máximo legal)",IF(J326&lt;&gt;"Sí","Pendiente de firma","OK")))))))))</f>
        <v/>
      </c>
      <c r="M326" s="62" t="str">
        <f aca="false">IF(B326="","",IFERROR(VALUE(LEFT(UPPER(SUBSTITUTE(SUBSTITUTE(SUBSTITUTE(TRIM(B326),".",""),"-","")," ","")),LEN(UPPER(SUBSTITUTE(SUBSTITUTE(SUBSTITUTE(TRIM(B326),".",""),"-","")," ","")))-1))&amp;RIGHT(UPPER(SUBSTITUTE(SUBSTITUTE(SUBSTITUTE(TRIM(B326),".",""),"-","")," ","")),1),UPPER(SUBSTITUTE(SUBSTITUTE(SUBSTITUTE(TRIM(B326),".",""),"-","")," ",""))))</f>
        <v/>
      </c>
      <c r="N326" s="62" t="str">
        <f aca="false">IF(B326="","",IF(D326="Anexo de modificación","No","Sí"))</f>
        <v/>
      </c>
      <c r="O326" s="62" t="str">
        <f aca="false">IF(AND(N326="Sí",ISNUMBER(F326)),COUNTIFS(C_RUTN,M326,C_DEF,"Sí",C_INI,"&lt;"&amp;F326)+COUNTIFS(M$7:M326,M326,N$7:N326,"Sí",F$7:F326,F326),"")</f>
        <v/>
      </c>
      <c r="P326" s="62" t="str">
        <f aca="false">IF(O326="","",M326&amp;"-P"&amp;O326)</f>
        <v/>
      </c>
      <c r="Q326" s="62" t="str">
        <f aca="false">IF(AND(N326="Sí",E326="Plazo fijo",ISNUMBER(F326)),COUNTIFS(C_RUTN,M326,C_TIPO,"Plazo fijo",C_DEF,"Sí",C_INI,"&lt;"&amp;F326)+COUNTIFS(M$7:M326,M326,E$7:E326,"Plazo fijo",N$7:N326,"Sí",F$7:F326,F326),"")</f>
        <v/>
      </c>
      <c r="R326" s="62" t="str">
        <f aca="false">IF(AND(B326&lt;&gt;"",ISNUMBER(H326),ISNUMBER(F326)),COUNTIFS(C_RUTN,M326,C_SUELDO,"&lt;&gt;",C_INI,"&lt;"&amp;F326)+COUNTIFS(M$7:M326,M326,H$7:H326,"&lt;&gt;",F$7:F326,F326),"")</f>
        <v/>
      </c>
      <c r="S326" s="62" t="str">
        <f aca="false">IF(R326="","",M326&amp;"-S"&amp;R326)</f>
        <v/>
      </c>
    </row>
    <row r="327" customFormat="false" ht="15" hidden="false" customHeight="false" outlineLevel="0" collapsed="false">
      <c r="B327" s="58"/>
      <c r="C327" s="62" t="str">
        <f aca="false">IF(B327="","",IFERROR(INDEX(T_NOMBRE,MATCH(M327,T_RUTN,0)),"⚠ RUT no está en Trabajadores"))</f>
        <v/>
      </c>
      <c r="D327" s="58"/>
      <c r="E327" s="58"/>
      <c r="F327" s="59"/>
      <c r="G327" s="59"/>
      <c r="H327" s="60"/>
      <c r="I327" s="58"/>
      <c r="J327" s="58"/>
      <c r="K327" s="58"/>
      <c r="L327" s="62" t="str">
        <f aca="false">IF(B327="","",IF(LEFT(C327,1)="⚠","⚠ Registre primero al trabajador en la hoja Trabajadores",IF(AND(N327="Sí",OR(E327="",NOT(ISNUMBER(F327)))),"⚠ Falta tipo de contrato o fecha de inicio",IF(NOT(ISNUMBER(F327)),"⚠ Falta fecha de inicio",IF(AND(N327="Sí",E327&lt;&gt;"Indefinido",NOT(ISNUMBER(G327))),"⚠ Falta fecha de término",IF(AND(D327="Paso a indefinido",E327&lt;&gt;"Indefinido"),"⚠ Un paso a indefinido debe tener tipo Indefinido",IF(N(Q327)&gt;=3,"⚠ 3er contrato a plazo fijo: por ley ya es INDEFINIDO (Art. 159 N°4)",IF(AND(E327="Plazo fijo",ISNUMBER(G327),(G327-F327+1)/30.4375&gt;12),"⚠ Plazo fijo mayor a 1 año (máximo legal)",IF(J327&lt;&gt;"Sí","Pendiente de firma","OK")))))))))</f>
        <v/>
      </c>
      <c r="M327" s="62" t="str">
        <f aca="false">IF(B327="","",IFERROR(VALUE(LEFT(UPPER(SUBSTITUTE(SUBSTITUTE(SUBSTITUTE(TRIM(B327),".",""),"-","")," ","")),LEN(UPPER(SUBSTITUTE(SUBSTITUTE(SUBSTITUTE(TRIM(B327),".",""),"-","")," ","")))-1))&amp;RIGHT(UPPER(SUBSTITUTE(SUBSTITUTE(SUBSTITUTE(TRIM(B327),".",""),"-","")," ","")),1),UPPER(SUBSTITUTE(SUBSTITUTE(SUBSTITUTE(TRIM(B327),".",""),"-","")," ",""))))</f>
        <v/>
      </c>
      <c r="N327" s="62" t="str">
        <f aca="false">IF(B327="","",IF(D327="Anexo de modificación","No","Sí"))</f>
        <v/>
      </c>
      <c r="O327" s="62" t="str">
        <f aca="false">IF(AND(N327="Sí",ISNUMBER(F327)),COUNTIFS(C_RUTN,M327,C_DEF,"Sí",C_INI,"&lt;"&amp;F327)+COUNTIFS(M$7:M327,M327,N$7:N327,"Sí",F$7:F327,F327),"")</f>
        <v/>
      </c>
      <c r="P327" s="62" t="str">
        <f aca="false">IF(O327="","",M327&amp;"-P"&amp;O327)</f>
        <v/>
      </c>
      <c r="Q327" s="62" t="str">
        <f aca="false">IF(AND(N327="Sí",E327="Plazo fijo",ISNUMBER(F327)),COUNTIFS(C_RUTN,M327,C_TIPO,"Plazo fijo",C_DEF,"Sí",C_INI,"&lt;"&amp;F327)+COUNTIFS(M$7:M327,M327,E$7:E327,"Plazo fijo",N$7:N327,"Sí",F$7:F327,F327),"")</f>
        <v/>
      </c>
      <c r="R327" s="62" t="str">
        <f aca="false">IF(AND(B327&lt;&gt;"",ISNUMBER(H327),ISNUMBER(F327)),COUNTIFS(C_RUTN,M327,C_SUELDO,"&lt;&gt;",C_INI,"&lt;"&amp;F327)+COUNTIFS(M$7:M327,M327,H$7:H327,"&lt;&gt;",F$7:F327,F327),"")</f>
        <v/>
      </c>
      <c r="S327" s="62" t="str">
        <f aca="false">IF(R327="","",M327&amp;"-S"&amp;R327)</f>
        <v/>
      </c>
    </row>
    <row r="328" customFormat="false" ht="15" hidden="false" customHeight="false" outlineLevel="0" collapsed="false">
      <c r="B328" s="58"/>
      <c r="C328" s="62" t="str">
        <f aca="false">IF(B328="","",IFERROR(INDEX(T_NOMBRE,MATCH(M328,T_RUTN,0)),"⚠ RUT no está en Trabajadores"))</f>
        <v/>
      </c>
      <c r="D328" s="58"/>
      <c r="E328" s="58"/>
      <c r="F328" s="59"/>
      <c r="G328" s="59"/>
      <c r="H328" s="60"/>
      <c r="I328" s="58"/>
      <c r="J328" s="58"/>
      <c r="K328" s="58"/>
      <c r="L328" s="62" t="str">
        <f aca="false">IF(B328="","",IF(LEFT(C328,1)="⚠","⚠ Registre primero al trabajador en la hoja Trabajadores",IF(AND(N328="Sí",OR(E328="",NOT(ISNUMBER(F328)))),"⚠ Falta tipo de contrato o fecha de inicio",IF(NOT(ISNUMBER(F328)),"⚠ Falta fecha de inicio",IF(AND(N328="Sí",E328&lt;&gt;"Indefinido",NOT(ISNUMBER(G328))),"⚠ Falta fecha de término",IF(AND(D328="Paso a indefinido",E328&lt;&gt;"Indefinido"),"⚠ Un paso a indefinido debe tener tipo Indefinido",IF(N(Q328)&gt;=3,"⚠ 3er contrato a plazo fijo: por ley ya es INDEFINIDO (Art. 159 N°4)",IF(AND(E328="Plazo fijo",ISNUMBER(G328),(G328-F328+1)/30.4375&gt;12),"⚠ Plazo fijo mayor a 1 año (máximo legal)",IF(J328&lt;&gt;"Sí","Pendiente de firma","OK")))))))))</f>
        <v/>
      </c>
      <c r="M328" s="62" t="str">
        <f aca="false">IF(B328="","",IFERROR(VALUE(LEFT(UPPER(SUBSTITUTE(SUBSTITUTE(SUBSTITUTE(TRIM(B328),".",""),"-","")," ","")),LEN(UPPER(SUBSTITUTE(SUBSTITUTE(SUBSTITUTE(TRIM(B328),".",""),"-","")," ","")))-1))&amp;RIGHT(UPPER(SUBSTITUTE(SUBSTITUTE(SUBSTITUTE(TRIM(B328),".",""),"-","")," ","")),1),UPPER(SUBSTITUTE(SUBSTITUTE(SUBSTITUTE(TRIM(B328),".",""),"-","")," ",""))))</f>
        <v/>
      </c>
      <c r="N328" s="62" t="str">
        <f aca="false">IF(B328="","",IF(D328="Anexo de modificación","No","Sí"))</f>
        <v/>
      </c>
      <c r="O328" s="62" t="str">
        <f aca="false">IF(AND(N328="Sí",ISNUMBER(F328)),COUNTIFS(C_RUTN,M328,C_DEF,"Sí",C_INI,"&lt;"&amp;F328)+COUNTIFS(M$7:M328,M328,N$7:N328,"Sí",F$7:F328,F328),"")</f>
        <v/>
      </c>
      <c r="P328" s="62" t="str">
        <f aca="false">IF(O328="","",M328&amp;"-P"&amp;O328)</f>
        <v/>
      </c>
      <c r="Q328" s="62" t="str">
        <f aca="false">IF(AND(N328="Sí",E328="Plazo fijo",ISNUMBER(F328)),COUNTIFS(C_RUTN,M328,C_TIPO,"Plazo fijo",C_DEF,"Sí",C_INI,"&lt;"&amp;F328)+COUNTIFS(M$7:M328,M328,E$7:E328,"Plazo fijo",N$7:N328,"Sí",F$7:F328,F328),"")</f>
        <v/>
      </c>
      <c r="R328" s="62" t="str">
        <f aca="false">IF(AND(B328&lt;&gt;"",ISNUMBER(H328),ISNUMBER(F328)),COUNTIFS(C_RUTN,M328,C_SUELDO,"&lt;&gt;",C_INI,"&lt;"&amp;F328)+COUNTIFS(M$7:M328,M328,H$7:H328,"&lt;&gt;",F$7:F328,F328),"")</f>
        <v/>
      </c>
      <c r="S328" s="62" t="str">
        <f aca="false">IF(R328="","",M328&amp;"-S"&amp;R328)</f>
        <v/>
      </c>
    </row>
    <row r="329" customFormat="false" ht="15" hidden="false" customHeight="false" outlineLevel="0" collapsed="false">
      <c r="B329" s="58"/>
      <c r="C329" s="62" t="str">
        <f aca="false">IF(B329="","",IFERROR(INDEX(T_NOMBRE,MATCH(M329,T_RUTN,0)),"⚠ RUT no está en Trabajadores"))</f>
        <v/>
      </c>
      <c r="D329" s="58"/>
      <c r="E329" s="58"/>
      <c r="F329" s="59"/>
      <c r="G329" s="59"/>
      <c r="H329" s="60"/>
      <c r="I329" s="58"/>
      <c r="J329" s="58"/>
      <c r="K329" s="58"/>
      <c r="L329" s="62" t="str">
        <f aca="false">IF(B329="","",IF(LEFT(C329,1)="⚠","⚠ Registre primero al trabajador en la hoja Trabajadores",IF(AND(N329="Sí",OR(E329="",NOT(ISNUMBER(F329)))),"⚠ Falta tipo de contrato o fecha de inicio",IF(NOT(ISNUMBER(F329)),"⚠ Falta fecha de inicio",IF(AND(N329="Sí",E329&lt;&gt;"Indefinido",NOT(ISNUMBER(G329))),"⚠ Falta fecha de término",IF(AND(D329="Paso a indefinido",E329&lt;&gt;"Indefinido"),"⚠ Un paso a indefinido debe tener tipo Indefinido",IF(N(Q329)&gt;=3,"⚠ 3er contrato a plazo fijo: por ley ya es INDEFINIDO (Art. 159 N°4)",IF(AND(E329="Plazo fijo",ISNUMBER(G329),(G329-F329+1)/30.4375&gt;12),"⚠ Plazo fijo mayor a 1 año (máximo legal)",IF(J329&lt;&gt;"Sí","Pendiente de firma","OK")))))))))</f>
        <v/>
      </c>
      <c r="M329" s="62" t="str">
        <f aca="false">IF(B329="","",IFERROR(VALUE(LEFT(UPPER(SUBSTITUTE(SUBSTITUTE(SUBSTITUTE(TRIM(B329),".",""),"-","")," ","")),LEN(UPPER(SUBSTITUTE(SUBSTITUTE(SUBSTITUTE(TRIM(B329),".",""),"-","")," ","")))-1))&amp;RIGHT(UPPER(SUBSTITUTE(SUBSTITUTE(SUBSTITUTE(TRIM(B329),".",""),"-","")," ","")),1),UPPER(SUBSTITUTE(SUBSTITUTE(SUBSTITUTE(TRIM(B329),".",""),"-","")," ",""))))</f>
        <v/>
      </c>
      <c r="N329" s="62" t="str">
        <f aca="false">IF(B329="","",IF(D329="Anexo de modificación","No","Sí"))</f>
        <v/>
      </c>
      <c r="O329" s="62" t="str">
        <f aca="false">IF(AND(N329="Sí",ISNUMBER(F329)),COUNTIFS(C_RUTN,M329,C_DEF,"Sí",C_INI,"&lt;"&amp;F329)+COUNTIFS(M$7:M329,M329,N$7:N329,"Sí",F$7:F329,F329),"")</f>
        <v/>
      </c>
      <c r="P329" s="62" t="str">
        <f aca="false">IF(O329="","",M329&amp;"-P"&amp;O329)</f>
        <v/>
      </c>
      <c r="Q329" s="62" t="str">
        <f aca="false">IF(AND(N329="Sí",E329="Plazo fijo",ISNUMBER(F329)),COUNTIFS(C_RUTN,M329,C_TIPO,"Plazo fijo",C_DEF,"Sí",C_INI,"&lt;"&amp;F329)+COUNTIFS(M$7:M329,M329,E$7:E329,"Plazo fijo",N$7:N329,"Sí",F$7:F329,F329),"")</f>
        <v/>
      </c>
      <c r="R329" s="62" t="str">
        <f aca="false">IF(AND(B329&lt;&gt;"",ISNUMBER(H329),ISNUMBER(F329)),COUNTIFS(C_RUTN,M329,C_SUELDO,"&lt;&gt;",C_INI,"&lt;"&amp;F329)+COUNTIFS(M$7:M329,M329,H$7:H329,"&lt;&gt;",F$7:F329,F329),"")</f>
        <v/>
      </c>
      <c r="S329" s="62" t="str">
        <f aca="false">IF(R329="","",M329&amp;"-S"&amp;R329)</f>
        <v/>
      </c>
    </row>
    <row r="330" customFormat="false" ht="15" hidden="false" customHeight="false" outlineLevel="0" collapsed="false">
      <c r="B330" s="58"/>
      <c r="C330" s="62" t="str">
        <f aca="false">IF(B330="","",IFERROR(INDEX(T_NOMBRE,MATCH(M330,T_RUTN,0)),"⚠ RUT no está en Trabajadores"))</f>
        <v/>
      </c>
      <c r="D330" s="58"/>
      <c r="E330" s="58"/>
      <c r="F330" s="59"/>
      <c r="G330" s="59"/>
      <c r="H330" s="60"/>
      <c r="I330" s="58"/>
      <c r="J330" s="58"/>
      <c r="K330" s="58"/>
      <c r="L330" s="62" t="str">
        <f aca="false">IF(B330="","",IF(LEFT(C330,1)="⚠","⚠ Registre primero al trabajador en la hoja Trabajadores",IF(AND(N330="Sí",OR(E330="",NOT(ISNUMBER(F330)))),"⚠ Falta tipo de contrato o fecha de inicio",IF(NOT(ISNUMBER(F330)),"⚠ Falta fecha de inicio",IF(AND(N330="Sí",E330&lt;&gt;"Indefinido",NOT(ISNUMBER(G330))),"⚠ Falta fecha de término",IF(AND(D330="Paso a indefinido",E330&lt;&gt;"Indefinido"),"⚠ Un paso a indefinido debe tener tipo Indefinido",IF(N(Q330)&gt;=3,"⚠ 3er contrato a plazo fijo: por ley ya es INDEFINIDO (Art. 159 N°4)",IF(AND(E330="Plazo fijo",ISNUMBER(G330),(G330-F330+1)/30.4375&gt;12),"⚠ Plazo fijo mayor a 1 año (máximo legal)",IF(J330&lt;&gt;"Sí","Pendiente de firma","OK")))))))))</f>
        <v/>
      </c>
      <c r="M330" s="62" t="str">
        <f aca="false">IF(B330="","",IFERROR(VALUE(LEFT(UPPER(SUBSTITUTE(SUBSTITUTE(SUBSTITUTE(TRIM(B330),".",""),"-","")," ","")),LEN(UPPER(SUBSTITUTE(SUBSTITUTE(SUBSTITUTE(TRIM(B330),".",""),"-","")," ","")))-1))&amp;RIGHT(UPPER(SUBSTITUTE(SUBSTITUTE(SUBSTITUTE(TRIM(B330),".",""),"-","")," ","")),1),UPPER(SUBSTITUTE(SUBSTITUTE(SUBSTITUTE(TRIM(B330),".",""),"-","")," ",""))))</f>
        <v/>
      </c>
      <c r="N330" s="62" t="str">
        <f aca="false">IF(B330="","",IF(D330="Anexo de modificación","No","Sí"))</f>
        <v/>
      </c>
      <c r="O330" s="62" t="str">
        <f aca="false">IF(AND(N330="Sí",ISNUMBER(F330)),COUNTIFS(C_RUTN,M330,C_DEF,"Sí",C_INI,"&lt;"&amp;F330)+COUNTIFS(M$7:M330,M330,N$7:N330,"Sí",F$7:F330,F330),"")</f>
        <v/>
      </c>
      <c r="P330" s="62" t="str">
        <f aca="false">IF(O330="","",M330&amp;"-P"&amp;O330)</f>
        <v/>
      </c>
      <c r="Q330" s="62" t="str">
        <f aca="false">IF(AND(N330="Sí",E330="Plazo fijo",ISNUMBER(F330)),COUNTIFS(C_RUTN,M330,C_TIPO,"Plazo fijo",C_DEF,"Sí",C_INI,"&lt;"&amp;F330)+COUNTIFS(M$7:M330,M330,E$7:E330,"Plazo fijo",N$7:N330,"Sí",F$7:F330,F330),"")</f>
        <v/>
      </c>
      <c r="R330" s="62" t="str">
        <f aca="false">IF(AND(B330&lt;&gt;"",ISNUMBER(H330),ISNUMBER(F330)),COUNTIFS(C_RUTN,M330,C_SUELDO,"&lt;&gt;",C_INI,"&lt;"&amp;F330)+COUNTIFS(M$7:M330,M330,H$7:H330,"&lt;&gt;",F$7:F330,F330),"")</f>
        <v/>
      </c>
      <c r="S330" s="62" t="str">
        <f aca="false">IF(R330="","",M330&amp;"-S"&amp;R330)</f>
        <v/>
      </c>
    </row>
    <row r="331" customFormat="false" ht="15" hidden="false" customHeight="false" outlineLevel="0" collapsed="false">
      <c r="B331" s="58"/>
      <c r="C331" s="62" t="str">
        <f aca="false">IF(B331="","",IFERROR(INDEX(T_NOMBRE,MATCH(M331,T_RUTN,0)),"⚠ RUT no está en Trabajadores"))</f>
        <v/>
      </c>
      <c r="D331" s="58"/>
      <c r="E331" s="58"/>
      <c r="F331" s="59"/>
      <c r="G331" s="59"/>
      <c r="H331" s="60"/>
      <c r="I331" s="58"/>
      <c r="J331" s="58"/>
      <c r="K331" s="58"/>
      <c r="L331" s="62" t="str">
        <f aca="false">IF(B331="","",IF(LEFT(C331,1)="⚠","⚠ Registre primero al trabajador en la hoja Trabajadores",IF(AND(N331="Sí",OR(E331="",NOT(ISNUMBER(F331)))),"⚠ Falta tipo de contrato o fecha de inicio",IF(NOT(ISNUMBER(F331)),"⚠ Falta fecha de inicio",IF(AND(N331="Sí",E331&lt;&gt;"Indefinido",NOT(ISNUMBER(G331))),"⚠ Falta fecha de término",IF(AND(D331="Paso a indefinido",E331&lt;&gt;"Indefinido"),"⚠ Un paso a indefinido debe tener tipo Indefinido",IF(N(Q331)&gt;=3,"⚠ 3er contrato a plazo fijo: por ley ya es INDEFINIDO (Art. 159 N°4)",IF(AND(E331="Plazo fijo",ISNUMBER(G331),(G331-F331+1)/30.4375&gt;12),"⚠ Plazo fijo mayor a 1 año (máximo legal)",IF(J331&lt;&gt;"Sí","Pendiente de firma","OK")))))))))</f>
        <v/>
      </c>
      <c r="M331" s="62" t="str">
        <f aca="false">IF(B331="","",IFERROR(VALUE(LEFT(UPPER(SUBSTITUTE(SUBSTITUTE(SUBSTITUTE(TRIM(B331),".",""),"-","")," ","")),LEN(UPPER(SUBSTITUTE(SUBSTITUTE(SUBSTITUTE(TRIM(B331),".",""),"-","")," ","")))-1))&amp;RIGHT(UPPER(SUBSTITUTE(SUBSTITUTE(SUBSTITUTE(TRIM(B331),".",""),"-","")," ","")),1),UPPER(SUBSTITUTE(SUBSTITUTE(SUBSTITUTE(TRIM(B331),".",""),"-","")," ",""))))</f>
        <v/>
      </c>
      <c r="N331" s="62" t="str">
        <f aca="false">IF(B331="","",IF(D331="Anexo de modificación","No","Sí"))</f>
        <v/>
      </c>
      <c r="O331" s="62" t="str">
        <f aca="false">IF(AND(N331="Sí",ISNUMBER(F331)),COUNTIFS(C_RUTN,M331,C_DEF,"Sí",C_INI,"&lt;"&amp;F331)+COUNTIFS(M$7:M331,M331,N$7:N331,"Sí",F$7:F331,F331),"")</f>
        <v/>
      </c>
      <c r="P331" s="62" t="str">
        <f aca="false">IF(O331="","",M331&amp;"-P"&amp;O331)</f>
        <v/>
      </c>
      <c r="Q331" s="62" t="str">
        <f aca="false">IF(AND(N331="Sí",E331="Plazo fijo",ISNUMBER(F331)),COUNTIFS(C_RUTN,M331,C_TIPO,"Plazo fijo",C_DEF,"Sí",C_INI,"&lt;"&amp;F331)+COUNTIFS(M$7:M331,M331,E$7:E331,"Plazo fijo",N$7:N331,"Sí",F$7:F331,F331),"")</f>
        <v/>
      </c>
      <c r="R331" s="62" t="str">
        <f aca="false">IF(AND(B331&lt;&gt;"",ISNUMBER(H331),ISNUMBER(F331)),COUNTIFS(C_RUTN,M331,C_SUELDO,"&lt;&gt;",C_INI,"&lt;"&amp;F331)+COUNTIFS(M$7:M331,M331,H$7:H331,"&lt;&gt;",F$7:F331,F331),"")</f>
        <v/>
      </c>
      <c r="S331" s="62" t="str">
        <f aca="false">IF(R331="","",M331&amp;"-S"&amp;R331)</f>
        <v/>
      </c>
    </row>
    <row r="332" customFormat="false" ht="15" hidden="false" customHeight="false" outlineLevel="0" collapsed="false">
      <c r="B332" s="58"/>
      <c r="C332" s="62" t="str">
        <f aca="false">IF(B332="","",IFERROR(INDEX(T_NOMBRE,MATCH(M332,T_RUTN,0)),"⚠ RUT no está en Trabajadores"))</f>
        <v/>
      </c>
      <c r="D332" s="58"/>
      <c r="E332" s="58"/>
      <c r="F332" s="59"/>
      <c r="G332" s="59"/>
      <c r="H332" s="60"/>
      <c r="I332" s="58"/>
      <c r="J332" s="58"/>
      <c r="K332" s="58"/>
      <c r="L332" s="62" t="str">
        <f aca="false">IF(B332="","",IF(LEFT(C332,1)="⚠","⚠ Registre primero al trabajador en la hoja Trabajadores",IF(AND(N332="Sí",OR(E332="",NOT(ISNUMBER(F332)))),"⚠ Falta tipo de contrato o fecha de inicio",IF(NOT(ISNUMBER(F332)),"⚠ Falta fecha de inicio",IF(AND(N332="Sí",E332&lt;&gt;"Indefinido",NOT(ISNUMBER(G332))),"⚠ Falta fecha de término",IF(AND(D332="Paso a indefinido",E332&lt;&gt;"Indefinido"),"⚠ Un paso a indefinido debe tener tipo Indefinido",IF(N(Q332)&gt;=3,"⚠ 3er contrato a plazo fijo: por ley ya es INDEFINIDO (Art. 159 N°4)",IF(AND(E332="Plazo fijo",ISNUMBER(G332),(G332-F332+1)/30.4375&gt;12),"⚠ Plazo fijo mayor a 1 año (máximo legal)",IF(J332&lt;&gt;"Sí","Pendiente de firma","OK")))))))))</f>
        <v/>
      </c>
      <c r="M332" s="62" t="str">
        <f aca="false">IF(B332="","",IFERROR(VALUE(LEFT(UPPER(SUBSTITUTE(SUBSTITUTE(SUBSTITUTE(TRIM(B332),".",""),"-","")," ","")),LEN(UPPER(SUBSTITUTE(SUBSTITUTE(SUBSTITUTE(TRIM(B332),".",""),"-","")," ","")))-1))&amp;RIGHT(UPPER(SUBSTITUTE(SUBSTITUTE(SUBSTITUTE(TRIM(B332),".",""),"-","")," ","")),1),UPPER(SUBSTITUTE(SUBSTITUTE(SUBSTITUTE(TRIM(B332),".",""),"-","")," ",""))))</f>
        <v/>
      </c>
      <c r="N332" s="62" t="str">
        <f aca="false">IF(B332="","",IF(D332="Anexo de modificación","No","Sí"))</f>
        <v/>
      </c>
      <c r="O332" s="62" t="str">
        <f aca="false">IF(AND(N332="Sí",ISNUMBER(F332)),COUNTIFS(C_RUTN,M332,C_DEF,"Sí",C_INI,"&lt;"&amp;F332)+COUNTIFS(M$7:M332,M332,N$7:N332,"Sí",F$7:F332,F332),"")</f>
        <v/>
      </c>
      <c r="P332" s="62" t="str">
        <f aca="false">IF(O332="","",M332&amp;"-P"&amp;O332)</f>
        <v/>
      </c>
      <c r="Q332" s="62" t="str">
        <f aca="false">IF(AND(N332="Sí",E332="Plazo fijo",ISNUMBER(F332)),COUNTIFS(C_RUTN,M332,C_TIPO,"Plazo fijo",C_DEF,"Sí",C_INI,"&lt;"&amp;F332)+COUNTIFS(M$7:M332,M332,E$7:E332,"Plazo fijo",N$7:N332,"Sí",F$7:F332,F332),"")</f>
        <v/>
      </c>
      <c r="R332" s="62" t="str">
        <f aca="false">IF(AND(B332&lt;&gt;"",ISNUMBER(H332),ISNUMBER(F332)),COUNTIFS(C_RUTN,M332,C_SUELDO,"&lt;&gt;",C_INI,"&lt;"&amp;F332)+COUNTIFS(M$7:M332,M332,H$7:H332,"&lt;&gt;",F$7:F332,F332),"")</f>
        <v/>
      </c>
      <c r="S332" s="62" t="str">
        <f aca="false">IF(R332="","",M332&amp;"-S"&amp;R332)</f>
        <v/>
      </c>
    </row>
    <row r="333" customFormat="false" ht="15" hidden="false" customHeight="false" outlineLevel="0" collapsed="false">
      <c r="B333" s="58"/>
      <c r="C333" s="62" t="str">
        <f aca="false">IF(B333="","",IFERROR(INDEX(T_NOMBRE,MATCH(M333,T_RUTN,0)),"⚠ RUT no está en Trabajadores"))</f>
        <v/>
      </c>
      <c r="D333" s="58"/>
      <c r="E333" s="58"/>
      <c r="F333" s="59"/>
      <c r="G333" s="59"/>
      <c r="H333" s="60"/>
      <c r="I333" s="58"/>
      <c r="J333" s="58"/>
      <c r="K333" s="58"/>
      <c r="L333" s="62" t="str">
        <f aca="false">IF(B333="","",IF(LEFT(C333,1)="⚠","⚠ Registre primero al trabajador en la hoja Trabajadores",IF(AND(N333="Sí",OR(E333="",NOT(ISNUMBER(F333)))),"⚠ Falta tipo de contrato o fecha de inicio",IF(NOT(ISNUMBER(F333)),"⚠ Falta fecha de inicio",IF(AND(N333="Sí",E333&lt;&gt;"Indefinido",NOT(ISNUMBER(G333))),"⚠ Falta fecha de término",IF(AND(D333="Paso a indefinido",E333&lt;&gt;"Indefinido"),"⚠ Un paso a indefinido debe tener tipo Indefinido",IF(N(Q333)&gt;=3,"⚠ 3er contrato a plazo fijo: por ley ya es INDEFINIDO (Art. 159 N°4)",IF(AND(E333="Plazo fijo",ISNUMBER(G333),(G333-F333+1)/30.4375&gt;12),"⚠ Plazo fijo mayor a 1 año (máximo legal)",IF(J333&lt;&gt;"Sí","Pendiente de firma","OK")))))))))</f>
        <v/>
      </c>
      <c r="M333" s="62" t="str">
        <f aca="false">IF(B333="","",IFERROR(VALUE(LEFT(UPPER(SUBSTITUTE(SUBSTITUTE(SUBSTITUTE(TRIM(B333),".",""),"-","")," ","")),LEN(UPPER(SUBSTITUTE(SUBSTITUTE(SUBSTITUTE(TRIM(B333),".",""),"-","")," ","")))-1))&amp;RIGHT(UPPER(SUBSTITUTE(SUBSTITUTE(SUBSTITUTE(TRIM(B333),".",""),"-","")," ","")),1),UPPER(SUBSTITUTE(SUBSTITUTE(SUBSTITUTE(TRIM(B333),".",""),"-","")," ",""))))</f>
        <v/>
      </c>
      <c r="N333" s="62" t="str">
        <f aca="false">IF(B333="","",IF(D333="Anexo de modificación","No","Sí"))</f>
        <v/>
      </c>
      <c r="O333" s="62" t="str">
        <f aca="false">IF(AND(N333="Sí",ISNUMBER(F333)),COUNTIFS(C_RUTN,M333,C_DEF,"Sí",C_INI,"&lt;"&amp;F333)+COUNTIFS(M$7:M333,M333,N$7:N333,"Sí",F$7:F333,F333),"")</f>
        <v/>
      </c>
      <c r="P333" s="62" t="str">
        <f aca="false">IF(O333="","",M333&amp;"-P"&amp;O333)</f>
        <v/>
      </c>
      <c r="Q333" s="62" t="str">
        <f aca="false">IF(AND(N333="Sí",E333="Plazo fijo",ISNUMBER(F333)),COUNTIFS(C_RUTN,M333,C_TIPO,"Plazo fijo",C_DEF,"Sí",C_INI,"&lt;"&amp;F333)+COUNTIFS(M$7:M333,M333,E$7:E333,"Plazo fijo",N$7:N333,"Sí",F$7:F333,F333),"")</f>
        <v/>
      </c>
      <c r="R333" s="62" t="str">
        <f aca="false">IF(AND(B333&lt;&gt;"",ISNUMBER(H333),ISNUMBER(F333)),COUNTIFS(C_RUTN,M333,C_SUELDO,"&lt;&gt;",C_INI,"&lt;"&amp;F333)+COUNTIFS(M$7:M333,M333,H$7:H333,"&lt;&gt;",F$7:F333,F333),"")</f>
        <v/>
      </c>
      <c r="S333" s="62" t="str">
        <f aca="false">IF(R333="","",M333&amp;"-S"&amp;R333)</f>
        <v/>
      </c>
    </row>
    <row r="334" customFormat="false" ht="15" hidden="false" customHeight="false" outlineLevel="0" collapsed="false">
      <c r="B334" s="58"/>
      <c r="C334" s="62" t="str">
        <f aca="false">IF(B334="","",IFERROR(INDEX(T_NOMBRE,MATCH(M334,T_RUTN,0)),"⚠ RUT no está en Trabajadores"))</f>
        <v/>
      </c>
      <c r="D334" s="58"/>
      <c r="E334" s="58"/>
      <c r="F334" s="59"/>
      <c r="G334" s="59"/>
      <c r="H334" s="60"/>
      <c r="I334" s="58"/>
      <c r="J334" s="58"/>
      <c r="K334" s="58"/>
      <c r="L334" s="62" t="str">
        <f aca="false">IF(B334="","",IF(LEFT(C334,1)="⚠","⚠ Registre primero al trabajador en la hoja Trabajadores",IF(AND(N334="Sí",OR(E334="",NOT(ISNUMBER(F334)))),"⚠ Falta tipo de contrato o fecha de inicio",IF(NOT(ISNUMBER(F334)),"⚠ Falta fecha de inicio",IF(AND(N334="Sí",E334&lt;&gt;"Indefinido",NOT(ISNUMBER(G334))),"⚠ Falta fecha de término",IF(AND(D334="Paso a indefinido",E334&lt;&gt;"Indefinido"),"⚠ Un paso a indefinido debe tener tipo Indefinido",IF(N(Q334)&gt;=3,"⚠ 3er contrato a plazo fijo: por ley ya es INDEFINIDO (Art. 159 N°4)",IF(AND(E334="Plazo fijo",ISNUMBER(G334),(G334-F334+1)/30.4375&gt;12),"⚠ Plazo fijo mayor a 1 año (máximo legal)",IF(J334&lt;&gt;"Sí","Pendiente de firma","OK")))))))))</f>
        <v/>
      </c>
      <c r="M334" s="62" t="str">
        <f aca="false">IF(B334="","",IFERROR(VALUE(LEFT(UPPER(SUBSTITUTE(SUBSTITUTE(SUBSTITUTE(TRIM(B334),".",""),"-","")," ","")),LEN(UPPER(SUBSTITUTE(SUBSTITUTE(SUBSTITUTE(TRIM(B334),".",""),"-","")," ","")))-1))&amp;RIGHT(UPPER(SUBSTITUTE(SUBSTITUTE(SUBSTITUTE(TRIM(B334),".",""),"-","")," ","")),1),UPPER(SUBSTITUTE(SUBSTITUTE(SUBSTITUTE(TRIM(B334),".",""),"-","")," ",""))))</f>
        <v/>
      </c>
      <c r="N334" s="62" t="str">
        <f aca="false">IF(B334="","",IF(D334="Anexo de modificación","No","Sí"))</f>
        <v/>
      </c>
      <c r="O334" s="62" t="str">
        <f aca="false">IF(AND(N334="Sí",ISNUMBER(F334)),COUNTIFS(C_RUTN,M334,C_DEF,"Sí",C_INI,"&lt;"&amp;F334)+COUNTIFS(M$7:M334,M334,N$7:N334,"Sí",F$7:F334,F334),"")</f>
        <v/>
      </c>
      <c r="P334" s="62" t="str">
        <f aca="false">IF(O334="","",M334&amp;"-P"&amp;O334)</f>
        <v/>
      </c>
      <c r="Q334" s="62" t="str">
        <f aca="false">IF(AND(N334="Sí",E334="Plazo fijo",ISNUMBER(F334)),COUNTIFS(C_RUTN,M334,C_TIPO,"Plazo fijo",C_DEF,"Sí",C_INI,"&lt;"&amp;F334)+COUNTIFS(M$7:M334,M334,E$7:E334,"Plazo fijo",N$7:N334,"Sí",F$7:F334,F334),"")</f>
        <v/>
      </c>
      <c r="R334" s="62" t="str">
        <f aca="false">IF(AND(B334&lt;&gt;"",ISNUMBER(H334),ISNUMBER(F334)),COUNTIFS(C_RUTN,M334,C_SUELDO,"&lt;&gt;",C_INI,"&lt;"&amp;F334)+COUNTIFS(M$7:M334,M334,H$7:H334,"&lt;&gt;",F$7:F334,F334),"")</f>
        <v/>
      </c>
      <c r="S334" s="62" t="str">
        <f aca="false">IF(R334="","",M334&amp;"-S"&amp;R334)</f>
        <v/>
      </c>
    </row>
    <row r="335" customFormat="false" ht="15" hidden="false" customHeight="false" outlineLevel="0" collapsed="false">
      <c r="B335" s="58"/>
      <c r="C335" s="62" t="str">
        <f aca="false">IF(B335="","",IFERROR(INDEX(T_NOMBRE,MATCH(M335,T_RUTN,0)),"⚠ RUT no está en Trabajadores"))</f>
        <v/>
      </c>
      <c r="D335" s="58"/>
      <c r="E335" s="58"/>
      <c r="F335" s="59"/>
      <c r="G335" s="59"/>
      <c r="H335" s="60"/>
      <c r="I335" s="58"/>
      <c r="J335" s="58"/>
      <c r="K335" s="58"/>
      <c r="L335" s="62" t="str">
        <f aca="false">IF(B335="","",IF(LEFT(C335,1)="⚠","⚠ Registre primero al trabajador en la hoja Trabajadores",IF(AND(N335="Sí",OR(E335="",NOT(ISNUMBER(F335)))),"⚠ Falta tipo de contrato o fecha de inicio",IF(NOT(ISNUMBER(F335)),"⚠ Falta fecha de inicio",IF(AND(N335="Sí",E335&lt;&gt;"Indefinido",NOT(ISNUMBER(G335))),"⚠ Falta fecha de término",IF(AND(D335="Paso a indefinido",E335&lt;&gt;"Indefinido"),"⚠ Un paso a indefinido debe tener tipo Indefinido",IF(N(Q335)&gt;=3,"⚠ 3er contrato a plazo fijo: por ley ya es INDEFINIDO (Art. 159 N°4)",IF(AND(E335="Plazo fijo",ISNUMBER(G335),(G335-F335+1)/30.4375&gt;12),"⚠ Plazo fijo mayor a 1 año (máximo legal)",IF(J335&lt;&gt;"Sí","Pendiente de firma","OK")))))))))</f>
        <v/>
      </c>
      <c r="M335" s="62" t="str">
        <f aca="false">IF(B335="","",IFERROR(VALUE(LEFT(UPPER(SUBSTITUTE(SUBSTITUTE(SUBSTITUTE(TRIM(B335),".",""),"-","")," ","")),LEN(UPPER(SUBSTITUTE(SUBSTITUTE(SUBSTITUTE(TRIM(B335),".",""),"-","")," ","")))-1))&amp;RIGHT(UPPER(SUBSTITUTE(SUBSTITUTE(SUBSTITUTE(TRIM(B335),".",""),"-","")," ","")),1),UPPER(SUBSTITUTE(SUBSTITUTE(SUBSTITUTE(TRIM(B335),".",""),"-","")," ",""))))</f>
        <v/>
      </c>
      <c r="N335" s="62" t="str">
        <f aca="false">IF(B335="","",IF(D335="Anexo de modificación","No","Sí"))</f>
        <v/>
      </c>
      <c r="O335" s="62" t="str">
        <f aca="false">IF(AND(N335="Sí",ISNUMBER(F335)),COUNTIFS(C_RUTN,M335,C_DEF,"Sí",C_INI,"&lt;"&amp;F335)+COUNTIFS(M$7:M335,M335,N$7:N335,"Sí",F$7:F335,F335),"")</f>
        <v/>
      </c>
      <c r="P335" s="62" t="str">
        <f aca="false">IF(O335="","",M335&amp;"-P"&amp;O335)</f>
        <v/>
      </c>
      <c r="Q335" s="62" t="str">
        <f aca="false">IF(AND(N335="Sí",E335="Plazo fijo",ISNUMBER(F335)),COUNTIFS(C_RUTN,M335,C_TIPO,"Plazo fijo",C_DEF,"Sí",C_INI,"&lt;"&amp;F335)+COUNTIFS(M$7:M335,M335,E$7:E335,"Plazo fijo",N$7:N335,"Sí",F$7:F335,F335),"")</f>
        <v/>
      </c>
      <c r="R335" s="62" t="str">
        <f aca="false">IF(AND(B335&lt;&gt;"",ISNUMBER(H335),ISNUMBER(F335)),COUNTIFS(C_RUTN,M335,C_SUELDO,"&lt;&gt;",C_INI,"&lt;"&amp;F335)+COUNTIFS(M$7:M335,M335,H$7:H335,"&lt;&gt;",F$7:F335,F335),"")</f>
        <v/>
      </c>
      <c r="S335" s="62" t="str">
        <f aca="false">IF(R335="","",M335&amp;"-S"&amp;R335)</f>
        <v/>
      </c>
    </row>
    <row r="336" customFormat="false" ht="15" hidden="false" customHeight="false" outlineLevel="0" collapsed="false">
      <c r="B336" s="58"/>
      <c r="C336" s="62" t="str">
        <f aca="false">IF(B336="","",IFERROR(INDEX(T_NOMBRE,MATCH(M336,T_RUTN,0)),"⚠ RUT no está en Trabajadores"))</f>
        <v/>
      </c>
      <c r="D336" s="58"/>
      <c r="E336" s="58"/>
      <c r="F336" s="59"/>
      <c r="G336" s="59"/>
      <c r="H336" s="60"/>
      <c r="I336" s="58"/>
      <c r="J336" s="58"/>
      <c r="K336" s="58"/>
      <c r="L336" s="62" t="str">
        <f aca="false">IF(B336="","",IF(LEFT(C336,1)="⚠","⚠ Registre primero al trabajador en la hoja Trabajadores",IF(AND(N336="Sí",OR(E336="",NOT(ISNUMBER(F336)))),"⚠ Falta tipo de contrato o fecha de inicio",IF(NOT(ISNUMBER(F336)),"⚠ Falta fecha de inicio",IF(AND(N336="Sí",E336&lt;&gt;"Indefinido",NOT(ISNUMBER(G336))),"⚠ Falta fecha de término",IF(AND(D336="Paso a indefinido",E336&lt;&gt;"Indefinido"),"⚠ Un paso a indefinido debe tener tipo Indefinido",IF(N(Q336)&gt;=3,"⚠ 3er contrato a plazo fijo: por ley ya es INDEFINIDO (Art. 159 N°4)",IF(AND(E336="Plazo fijo",ISNUMBER(G336),(G336-F336+1)/30.4375&gt;12),"⚠ Plazo fijo mayor a 1 año (máximo legal)",IF(J336&lt;&gt;"Sí","Pendiente de firma","OK")))))))))</f>
        <v/>
      </c>
      <c r="M336" s="62" t="str">
        <f aca="false">IF(B336="","",IFERROR(VALUE(LEFT(UPPER(SUBSTITUTE(SUBSTITUTE(SUBSTITUTE(TRIM(B336),".",""),"-","")," ","")),LEN(UPPER(SUBSTITUTE(SUBSTITUTE(SUBSTITUTE(TRIM(B336),".",""),"-","")," ","")))-1))&amp;RIGHT(UPPER(SUBSTITUTE(SUBSTITUTE(SUBSTITUTE(TRIM(B336),".",""),"-","")," ","")),1),UPPER(SUBSTITUTE(SUBSTITUTE(SUBSTITUTE(TRIM(B336),".",""),"-","")," ",""))))</f>
        <v/>
      </c>
      <c r="N336" s="62" t="str">
        <f aca="false">IF(B336="","",IF(D336="Anexo de modificación","No","Sí"))</f>
        <v/>
      </c>
      <c r="O336" s="62" t="str">
        <f aca="false">IF(AND(N336="Sí",ISNUMBER(F336)),COUNTIFS(C_RUTN,M336,C_DEF,"Sí",C_INI,"&lt;"&amp;F336)+COUNTIFS(M$7:M336,M336,N$7:N336,"Sí",F$7:F336,F336),"")</f>
        <v/>
      </c>
      <c r="P336" s="62" t="str">
        <f aca="false">IF(O336="","",M336&amp;"-P"&amp;O336)</f>
        <v/>
      </c>
      <c r="Q336" s="62" t="str">
        <f aca="false">IF(AND(N336="Sí",E336="Plazo fijo",ISNUMBER(F336)),COUNTIFS(C_RUTN,M336,C_TIPO,"Plazo fijo",C_DEF,"Sí",C_INI,"&lt;"&amp;F336)+COUNTIFS(M$7:M336,M336,E$7:E336,"Plazo fijo",N$7:N336,"Sí",F$7:F336,F336),"")</f>
        <v/>
      </c>
      <c r="R336" s="62" t="str">
        <f aca="false">IF(AND(B336&lt;&gt;"",ISNUMBER(H336),ISNUMBER(F336)),COUNTIFS(C_RUTN,M336,C_SUELDO,"&lt;&gt;",C_INI,"&lt;"&amp;F336)+COUNTIFS(M$7:M336,M336,H$7:H336,"&lt;&gt;",F$7:F336,F336),"")</f>
        <v/>
      </c>
      <c r="S336" s="62" t="str">
        <f aca="false">IF(R336="","",M336&amp;"-S"&amp;R336)</f>
        <v/>
      </c>
    </row>
    <row r="337" customFormat="false" ht="15" hidden="false" customHeight="false" outlineLevel="0" collapsed="false">
      <c r="B337" s="58"/>
      <c r="C337" s="62" t="str">
        <f aca="false">IF(B337="","",IFERROR(INDEX(T_NOMBRE,MATCH(M337,T_RUTN,0)),"⚠ RUT no está en Trabajadores"))</f>
        <v/>
      </c>
      <c r="D337" s="58"/>
      <c r="E337" s="58"/>
      <c r="F337" s="59"/>
      <c r="G337" s="59"/>
      <c r="H337" s="60"/>
      <c r="I337" s="58"/>
      <c r="J337" s="58"/>
      <c r="K337" s="58"/>
      <c r="L337" s="62" t="str">
        <f aca="false">IF(B337="","",IF(LEFT(C337,1)="⚠","⚠ Registre primero al trabajador en la hoja Trabajadores",IF(AND(N337="Sí",OR(E337="",NOT(ISNUMBER(F337)))),"⚠ Falta tipo de contrato o fecha de inicio",IF(NOT(ISNUMBER(F337)),"⚠ Falta fecha de inicio",IF(AND(N337="Sí",E337&lt;&gt;"Indefinido",NOT(ISNUMBER(G337))),"⚠ Falta fecha de término",IF(AND(D337="Paso a indefinido",E337&lt;&gt;"Indefinido"),"⚠ Un paso a indefinido debe tener tipo Indefinido",IF(N(Q337)&gt;=3,"⚠ 3er contrato a plazo fijo: por ley ya es INDEFINIDO (Art. 159 N°4)",IF(AND(E337="Plazo fijo",ISNUMBER(G337),(G337-F337+1)/30.4375&gt;12),"⚠ Plazo fijo mayor a 1 año (máximo legal)",IF(J337&lt;&gt;"Sí","Pendiente de firma","OK")))))))))</f>
        <v/>
      </c>
      <c r="M337" s="62" t="str">
        <f aca="false">IF(B337="","",IFERROR(VALUE(LEFT(UPPER(SUBSTITUTE(SUBSTITUTE(SUBSTITUTE(TRIM(B337),".",""),"-","")," ","")),LEN(UPPER(SUBSTITUTE(SUBSTITUTE(SUBSTITUTE(TRIM(B337),".",""),"-","")," ","")))-1))&amp;RIGHT(UPPER(SUBSTITUTE(SUBSTITUTE(SUBSTITUTE(TRIM(B337),".",""),"-","")," ","")),1),UPPER(SUBSTITUTE(SUBSTITUTE(SUBSTITUTE(TRIM(B337),".",""),"-","")," ",""))))</f>
        <v/>
      </c>
      <c r="N337" s="62" t="str">
        <f aca="false">IF(B337="","",IF(D337="Anexo de modificación","No","Sí"))</f>
        <v/>
      </c>
      <c r="O337" s="62" t="str">
        <f aca="false">IF(AND(N337="Sí",ISNUMBER(F337)),COUNTIFS(C_RUTN,M337,C_DEF,"Sí",C_INI,"&lt;"&amp;F337)+COUNTIFS(M$7:M337,M337,N$7:N337,"Sí",F$7:F337,F337),"")</f>
        <v/>
      </c>
      <c r="P337" s="62" t="str">
        <f aca="false">IF(O337="","",M337&amp;"-P"&amp;O337)</f>
        <v/>
      </c>
      <c r="Q337" s="62" t="str">
        <f aca="false">IF(AND(N337="Sí",E337="Plazo fijo",ISNUMBER(F337)),COUNTIFS(C_RUTN,M337,C_TIPO,"Plazo fijo",C_DEF,"Sí",C_INI,"&lt;"&amp;F337)+COUNTIFS(M$7:M337,M337,E$7:E337,"Plazo fijo",N$7:N337,"Sí",F$7:F337,F337),"")</f>
        <v/>
      </c>
      <c r="R337" s="62" t="str">
        <f aca="false">IF(AND(B337&lt;&gt;"",ISNUMBER(H337),ISNUMBER(F337)),COUNTIFS(C_RUTN,M337,C_SUELDO,"&lt;&gt;",C_INI,"&lt;"&amp;F337)+COUNTIFS(M$7:M337,M337,H$7:H337,"&lt;&gt;",F$7:F337,F337),"")</f>
        <v/>
      </c>
      <c r="S337" s="62" t="str">
        <f aca="false">IF(R337="","",M337&amp;"-S"&amp;R337)</f>
        <v/>
      </c>
    </row>
    <row r="338" customFormat="false" ht="15" hidden="false" customHeight="false" outlineLevel="0" collapsed="false">
      <c r="B338" s="58"/>
      <c r="C338" s="62" t="str">
        <f aca="false">IF(B338="","",IFERROR(INDEX(T_NOMBRE,MATCH(M338,T_RUTN,0)),"⚠ RUT no está en Trabajadores"))</f>
        <v/>
      </c>
      <c r="D338" s="58"/>
      <c r="E338" s="58"/>
      <c r="F338" s="59"/>
      <c r="G338" s="59"/>
      <c r="H338" s="60"/>
      <c r="I338" s="58"/>
      <c r="J338" s="58"/>
      <c r="K338" s="58"/>
      <c r="L338" s="62" t="str">
        <f aca="false">IF(B338="","",IF(LEFT(C338,1)="⚠","⚠ Registre primero al trabajador en la hoja Trabajadores",IF(AND(N338="Sí",OR(E338="",NOT(ISNUMBER(F338)))),"⚠ Falta tipo de contrato o fecha de inicio",IF(NOT(ISNUMBER(F338)),"⚠ Falta fecha de inicio",IF(AND(N338="Sí",E338&lt;&gt;"Indefinido",NOT(ISNUMBER(G338))),"⚠ Falta fecha de término",IF(AND(D338="Paso a indefinido",E338&lt;&gt;"Indefinido"),"⚠ Un paso a indefinido debe tener tipo Indefinido",IF(N(Q338)&gt;=3,"⚠ 3er contrato a plazo fijo: por ley ya es INDEFINIDO (Art. 159 N°4)",IF(AND(E338="Plazo fijo",ISNUMBER(G338),(G338-F338+1)/30.4375&gt;12),"⚠ Plazo fijo mayor a 1 año (máximo legal)",IF(J338&lt;&gt;"Sí","Pendiente de firma","OK")))))))))</f>
        <v/>
      </c>
      <c r="M338" s="62" t="str">
        <f aca="false">IF(B338="","",IFERROR(VALUE(LEFT(UPPER(SUBSTITUTE(SUBSTITUTE(SUBSTITUTE(TRIM(B338),".",""),"-","")," ","")),LEN(UPPER(SUBSTITUTE(SUBSTITUTE(SUBSTITUTE(TRIM(B338),".",""),"-","")," ","")))-1))&amp;RIGHT(UPPER(SUBSTITUTE(SUBSTITUTE(SUBSTITUTE(TRIM(B338),".",""),"-","")," ","")),1),UPPER(SUBSTITUTE(SUBSTITUTE(SUBSTITUTE(TRIM(B338),".",""),"-","")," ",""))))</f>
        <v/>
      </c>
      <c r="N338" s="62" t="str">
        <f aca="false">IF(B338="","",IF(D338="Anexo de modificación","No","Sí"))</f>
        <v/>
      </c>
      <c r="O338" s="62" t="str">
        <f aca="false">IF(AND(N338="Sí",ISNUMBER(F338)),COUNTIFS(C_RUTN,M338,C_DEF,"Sí",C_INI,"&lt;"&amp;F338)+COUNTIFS(M$7:M338,M338,N$7:N338,"Sí",F$7:F338,F338),"")</f>
        <v/>
      </c>
      <c r="P338" s="62" t="str">
        <f aca="false">IF(O338="","",M338&amp;"-P"&amp;O338)</f>
        <v/>
      </c>
      <c r="Q338" s="62" t="str">
        <f aca="false">IF(AND(N338="Sí",E338="Plazo fijo",ISNUMBER(F338)),COUNTIFS(C_RUTN,M338,C_TIPO,"Plazo fijo",C_DEF,"Sí",C_INI,"&lt;"&amp;F338)+COUNTIFS(M$7:M338,M338,E$7:E338,"Plazo fijo",N$7:N338,"Sí",F$7:F338,F338),"")</f>
        <v/>
      </c>
      <c r="R338" s="62" t="str">
        <f aca="false">IF(AND(B338&lt;&gt;"",ISNUMBER(H338),ISNUMBER(F338)),COUNTIFS(C_RUTN,M338,C_SUELDO,"&lt;&gt;",C_INI,"&lt;"&amp;F338)+COUNTIFS(M$7:M338,M338,H$7:H338,"&lt;&gt;",F$7:F338,F338),"")</f>
        <v/>
      </c>
      <c r="S338" s="62" t="str">
        <f aca="false">IF(R338="","",M338&amp;"-S"&amp;R338)</f>
        <v/>
      </c>
    </row>
    <row r="339" customFormat="false" ht="15" hidden="false" customHeight="false" outlineLevel="0" collapsed="false">
      <c r="B339" s="58"/>
      <c r="C339" s="62" t="str">
        <f aca="false">IF(B339="","",IFERROR(INDEX(T_NOMBRE,MATCH(M339,T_RUTN,0)),"⚠ RUT no está en Trabajadores"))</f>
        <v/>
      </c>
      <c r="D339" s="58"/>
      <c r="E339" s="58"/>
      <c r="F339" s="59"/>
      <c r="G339" s="59"/>
      <c r="H339" s="60"/>
      <c r="I339" s="58"/>
      <c r="J339" s="58"/>
      <c r="K339" s="58"/>
      <c r="L339" s="62" t="str">
        <f aca="false">IF(B339="","",IF(LEFT(C339,1)="⚠","⚠ Registre primero al trabajador en la hoja Trabajadores",IF(AND(N339="Sí",OR(E339="",NOT(ISNUMBER(F339)))),"⚠ Falta tipo de contrato o fecha de inicio",IF(NOT(ISNUMBER(F339)),"⚠ Falta fecha de inicio",IF(AND(N339="Sí",E339&lt;&gt;"Indefinido",NOT(ISNUMBER(G339))),"⚠ Falta fecha de término",IF(AND(D339="Paso a indefinido",E339&lt;&gt;"Indefinido"),"⚠ Un paso a indefinido debe tener tipo Indefinido",IF(N(Q339)&gt;=3,"⚠ 3er contrato a plazo fijo: por ley ya es INDEFINIDO (Art. 159 N°4)",IF(AND(E339="Plazo fijo",ISNUMBER(G339),(G339-F339+1)/30.4375&gt;12),"⚠ Plazo fijo mayor a 1 año (máximo legal)",IF(J339&lt;&gt;"Sí","Pendiente de firma","OK")))))))))</f>
        <v/>
      </c>
      <c r="M339" s="62" t="str">
        <f aca="false">IF(B339="","",IFERROR(VALUE(LEFT(UPPER(SUBSTITUTE(SUBSTITUTE(SUBSTITUTE(TRIM(B339),".",""),"-","")," ","")),LEN(UPPER(SUBSTITUTE(SUBSTITUTE(SUBSTITUTE(TRIM(B339),".",""),"-","")," ","")))-1))&amp;RIGHT(UPPER(SUBSTITUTE(SUBSTITUTE(SUBSTITUTE(TRIM(B339),".",""),"-","")," ","")),1),UPPER(SUBSTITUTE(SUBSTITUTE(SUBSTITUTE(TRIM(B339),".",""),"-","")," ",""))))</f>
        <v/>
      </c>
      <c r="N339" s="62" t="str">
        <f aca="false">IF(B339="","",IF(D339="Anexo de modificación","No","Sí"))</f>
        <v/>
      </c>
      <c r="O339" s="62" t="str">
        <f aca="false">IF(AND(N339="Sí",ISNUMBER(F339)),COUNTIFS(C_RUTN,M339,C_DEF,"Sí",C_INI,"&lt;"&amp;F339)+COUNTIFS(M$7:M339,M339,N$7:N339,"Sí",F$7:F339,F339),"")</f>
        <v/>
      </c>
      <c r="P339" s="62" t="str">
        <f aca="false">IF(O339="","",M339&amp;"-P"&amp;O339)</f>
        <v/>
      </c>
      <c r="Q339" s="62" t="str">
        <f aca="false">IF(AND(N339="Sí",E339="Plazo fijo",ISNUMBER(F339)),COUNTIFS(C_RUTN,M339,C_TIPO,"Plazo fijo",C_DEF,"Sí",C_INI,"&lt;"&amp;F339)+COUNTIFS(M$7:M339,M339,E$7:E339,"Plazo fijo",N$7:N339,"Sí",F$7:F339,F339),"")</f>
        <v/>
      </c>
      <c r="R339" s="62" t="str">
        <f aca="false">IF(AND(B339&lt;&gt;"",ISNUMBER(H339),ISNUMBER(F339)),COUNTIFS(C_RUTN,M339,C_SUELDO,"&lt;&gt;",C_INI,"&lt;"&amp;F339)+COUNTIFS(M$7:M339,M339,H$7:H339,"&lt;&gt;",F$7:F339,F339),"")</f>
        <v/>
      </c>
      <c r="S339" s="62" t="str">
        <f aca="false">IF(R339="","",M339&amp;"-S"&amp;R339)</f>
        <v/>
      </c>
    </row>
    <row r="340" customFormat="false" ht="15" hidden="false" customHeight="false" outlineLevel="0" collapsed="false">
      <c r="B340" s="58"/>
      <c r="C340" s="62" t="str">
        <f aca="false">IF(B340="","",IFERROR(INDEX(T_NOMBRE,MATCH(M340,T_RUTN,0)),"⚠ RUT no está en Trabajadores"))</f>
        <v/>
      </c>
      <c r="D340" s="58"/>
      <c r="E340" s="58"/>
      <c r="F340" s="59"/>
      <c r="G340" s="59"/>
      <c r="H340" s="60"/>
      <c r="I340" s="58"/>
      <c r="J340" s="58"/>
      <c r="K340" s="58"/>
      <c r="L340" s="62" t="str">
        <f aca="false">IF(B340="","",IF(LEFT(C340,1)="⚠","⚠ Registre primero al trabajador en la hoja Trabajadores",IF(AND(N340="Sí",OR(E340="",NOT(ISNUMBER(F340)))),"⚠ Falta tipo de contrato o fecha de inicio",IF(NOT(ISNUMBER(F340)),"⚠ Falta fecha de inicio",IF(AND(N340="Sí",E340&lt;&gt;"Indefinido",NOT(ISNUMBER(G340))),"⚠ Falta fecha de término",IF(AND(D340="Paso a indefinido",E340&lt;&gt;"Indefinido"),"⚠ Un paso a indefinido debe tener tipo Indefinido",IF(N(Q340)&gt;=3,"⚠ 3er contrato a plazo fijo: por ley ya es INDEFINIDO (Art. 159 N°4)",IF(AND(E340="Plazo fijo",ISNUMBER(G340),(G340-F340+1)/30.4375&gt;12),"⚠ Plazo fijo mayor a 1 año (máximo legal)",IF(J340&lt;&gt;"Sí","Pendiente de firma","OK")))))))))</f>
        <v/>
      </c>
      <c r="M340" s="62" t="str">
        <f aca="false">IF(B340="","",IFERROR(VALUE(LEFT(UPPER(SUBSTITUTE(SUBSTITUTE(SUBSTITUTE(TRIM(B340),".",""),"-","")," ","")),LEN(UPPER(SUBSTITUTE(SUBSTITUTE(SUBSTITUTE(TRIM(B340),".",""),"-","")," ","")))-1))&amp;RIGHT(UPPER(SUBSTITUTE(SUBSTITUTE(SUBSTITUTE(TRIM(B340),".",""),"-","")," ","")),1),UPPER(SUBSTITUTE(SUBSTITUTE(SUBSTITUTE(TRIM(B340),".",""),"-","")," ",""))))</f>
        <v/>
      </c>
      <c r="N340" s="62" t="str">
        <f aca="false">IF(B340="","",IF(D340="Anexo de modificación","No","Sí"))</f>
        <v/>
      </c>
      <c r="O340" s="62" t="str">
        <f aca="false">IF(AND(N340="Sí",ISNUMBER(F340)),COUNTIFS(C_RUTN,M340,C_DEF,"Sí",C_INI,"&lt;"&amp;F340)+COUNTIFS(M$7:M340,M340,N$7:N340,"Sí",F$7:F340,F340),"")</f>
        <v/>
      </c>
      <c r="P340" s="62" t="str">
        <f aca="false">IF(O340="","",M340&amp;"-P"&amp;O340)</f>
        <v/>
      </c>
      <c r="Q340" s="62" t="str">
        <f aca="false">IF(AND(N340="Sí",E340="Plazo fijo",ISNUMBER(F340)),COUNTIFS(C_RUTN,M340,C_TIPO,"Plazo fijo",C_DEF,"Sí",C_INI,"&lt;"&amp;F340)+COUNTIFS(M$7:M340,M340,E$7:E340,"Plazo fijo",N$7:N340,"Sí",F$7:F340,F340),"")</f>
        <v/>
      </c>
      <c r="R340" s="62" t="str">
        <f aca="false">IF(AND(B340&lt;&gt;"",ISNUMBER(H340),ISNUMBER(F340)),COUNTIFS(C_RUTN,M340,C_SUELDO,"&lt;&gt;",C_INI,"&lt;"&amp;F340)+COUNTIFS(M$7:M340,M340,H$7:H340,"&lt;&gt;",F$7:F340,F340),"")</f>
        <v/>
      </c>
      <c r="S340" s="62" t="str">
        <f aca="false">IF(R340="","",M340&amp;"-S"&amp;R340)</f>
        <v/>
      </c>
    </row>
    <row r="341" customFormat="false" ht="15" hidden="false" customHeight="false" outlineLevel="0" collapsed="false">
      <c r="B341" s="58"/>
      <c r="C341" s="62" t="str">
        <f aca="false">IF(B341="","",IFERROR(INDEX(T_NOMBRE,MATCH(M341,T_RUTN,0)),"⚠ RUT no está en Trabajadores"))</f>
        <v/>
      </c>
      <c r="D341" s="58"/>
      <c r="E341" s="58"/>
      <c r="F341" s="59"/>
      <c r="G341" s="59"/>
      <c r="H341" s="60"/>
      <c r="I341" s="58"/>
      <c r="J341" s="58"/>
      <c r="K341" s="58"/>
      <c r="L341" s="62" t="str">
        <f aca="false">IF(B341="","",IF(LEFT(C341,1)="⚠","⚠ Registre primero al trabajador en la hoja Trabajadores",IF(AND(N341="Sí",OR(E341="",NOT(ISNUMBER(F341)))),"⚠ Falta tipo de contrato o fecha de inicio",IF(NOT(ISNUMBER(F341)),"⚠ Falta fecha de inicio",IF(AND(N341="Sí",E341&lt;&gt;"Indefinido",NOT(ISNUMBER(G341))),"⚠ Falta fecha de término",IF(AND(D341="Paso a indefinido",E341&lt;&gt;"Indefinido"),"⚠ Un paso a indefinido debe tener tipo Indefinido",IF(N(Q341)&gt;=3,"⚠ 3er contrato a plazo fijo: por ley ya es INDEFINIDO (Art. 159 N°4)",IF(AND(E341="Plazo fijo",ISNUMBER(G341),(G341-F341+1)/30.4375&gt;12),"⚠ Plazo fijo mayor a 1 año (máximo legal)",IF(J341&lt;&gt;"Sí","Pendiente de firma","OK")))))))))</f>
        <v/>
      </c>
      <c r="M341" s="62" t="str">
        <f aca="false">IF(B341="","",IFERROR(VALUE(LEFT(UPPER(SUBSTITUTE(SUBSTITUTE(SUBSTITUTE(TRIM(B341),".",""),"-","")," ","")),LEN(UPPER(SUBSTITUTE(SUBSTITUTE(SUBSTITUTE(TRIM(B341),".",""),"-","")," ","")))-1))&amp;RIGHT(UPPER(SUBSTITUTE(SUBSTITUTE(SUBSTITUTE(TRIM(B341),".",""),"-","")," ","")),1),UPPER(SUBSTITUTE(SUBSTITUTE(SUBSTITUTE(TRIM(B341),".",""),"-","")," ",""))))</f>
        <v/>
      </c>
      <c r="N341" s="62" t="str">
        <f aca="false">IF(B341="","",IF(D341="Anexo de modificación","No","Sí"))</f>
        <v/>
      </c>
      <c r="O341" s="62" t="str">
        <f aca="false">IF(AND(N341="Sí",ISNUMBER(F341)),COUNTIFS(C_RUTN,M341,C_DEF,"Sí",C_INI,"&lt;"&amp;F341)+COUNTIFS(M$7:M341,M341,N$7:N341,"Sí",F$7:F341,F341),"")</f>
        <v/>
      </c>
      <c r="P341" s="62" t="str">
        <f aca="false">IF(O341="","",M341&amp;"-P"&amp;O341)</f>
        <v/>
      </c>
      <c r="Q341" s="62" t="str">
        <f aca="false">IF(AND(N341="Sí",E341="Plazo fijo",ISNUMBER(F341)),COUNTIFS(C_RUTN,M341,C_TIPO,"Plazo fijo",C_DEF,"Sí",C_INI,"&lt;"&amp;F341)+COUNTIFS(M$7:M341,M341,E$7:E341,"Plazo fijo",N$7:N341,"Sí",F$7:F341,F341),"")</f>
        <v/>
      </c>
      <c r="R341" s="62" t="str">
        <f aca="false">IF(AND(B341&lt;&gt;"",ISNUMBER(H341),ISNUMBER(F341)),COUNTIFS(C_RUTN,M341,C_SUELDO,"&lt;&gt;",C_INI,"&lt;"&amp;F341)+COUNTIFS(M$7:M341,M341,H$7:H341,"&lt;&gt;",F$7:F341,F341),"")</f>
        <v/>
      </c>
      <c r="S341" s="62" t="str">
        <f aca="false">IF(R341="","",M341&amp;"-S"&amp;R341)</f>
        <v/>
      </c>
    </row>
    <row r="342" customFormat="false" ht="15" hidden="false" customHeight="false" outlineLevel="0" collapsed="false">
      <c r="B342" s="58"/>
      <c r="C342" s="62" t="str">
        <f aca="false">IF(B342="","",IFERROR(INDEX(T_NOMBRE,MATCH(M342,T_RUTN,0)),"⚠ RUT no está en Trabajadores"))</f>
        <v/>
      </c>
      <c r="D342" s="58"/>
      <c r="E342" s="58"/>
      <c r="F342" s="59"/>
      <c r="G342" s="59"/>
      <c r="H342" s="60"/>
      <c r="I342" s="58"/>
      <c r="J342" s="58"/>
      <c r="K342" s="58"/>
      <c r="L342" s="62" t="str">
        <f aca="false">IF(B342="","",IF(LEFT(C342,1)="⚠","⚠ Registre primero al trabajador en la hoja Trabajadores",IF(AND(N342="Sí",OR(E342="",NOT(ISNUMBER(F342)))),"⚠ Falta tipo de contrato o fecha de inicio",IF(NOT(ISNUMBER(F342)),"⚠ Falta fecha de inicio",IF(AND(N342="Sí",E342&lt;&gt;"Indefinido",NOT(ISNUMBER(G342))),"⚠ Falta fecha de término",IF(AND(D342="Paso a indefinido",E342&lt;&gt;"Indefinido"),"⚠ Un paso a indefinido debe tener tipo Indefinido",IF(N(Q342)&gt;=3,"⚠ 3er contrato a plazo fijo: por ley ya es INDEFINIDO (Art. 159 N°4)",IF(AND(E342="Plazo fijo",ISNUMBER(G342),(G342-F342+1)/30.4375&gt;12),"⚠ Plazo fijo mayor a 1 año (máximo legal)",IF(J342&lt;&gt;"Sí","Pendiente de firma","OK")))))))))</f>
        <v/>
      </c>
      <c r="M342" s="62" t="str">
        <f aca="false">IF(B342="","",IFERROR(VALUE(LEFT(UPPER(SUBSTITUTE(SUBSTITUTE(SUBSTITUTE(TRIM(B342),".",""),"-","")," ","")),LEN(UPPER(SUBSTITUTE(SUBSTITUTE(SUBSTITUTE(TRIM(B342),".",""),"-","")," ","")))-1))&amp;RIGHT(UPPER(SUBSTITUTE(SUBSTITUTE(SUBSTITUTE(TRIM(B342),".",""),"-","")," ","")),1),UPPER(SUBSTITUTE(SUBSTITUTE(SUBSTITUTE(TRIM(B342),".",""),"-","")," ",""))))</f>
        <v/>
      </c>
      <c r="N342" s="62" t="str">
        <f aca="false">IF(B342="","",IF(D342="Anexo de modificación","No","Sí"))</f>
        <v/>
      </c>
      <c r="O342" s="62" t="str">
        <f aca="false">IF(AND(N342="Sí",ISNUMBER(F342)),COUNTIFS(C_RUTN,M342,C_DEF,"Sí",C_INI,"&lt;"&amp;F342)+COUNTIFS(M$7:M342,M342,N$7:N342,"Sí",F$7:F342,F342),"")</f>
        <v/>
      </c>
      <c r="P342" s="62" t="str">
        <f aca="false">IF(O342="","",M342&amp;"-P"&amp;O342)</f>
        <v/>
      </c>
      <c r="Q342" s="62" t="str">
        <f aca="false">IF(AND(N342="Sí",E342="Plazo fijo",ISNUMBER(F342)),COUNTIFS(C_RUTN,M342,C_TIPO,"Plazo fijo",C_DEF,"Sí",C_INI,"&lt;"&amp;F342)+COUNTIFS(M$7:M342,M342,E$7:E342,"Plazo fijo",N$7:N342,"Sí",F$7:F342,F342),"")</f>
        <v/>
      </c>
      <c r="R342" s="62" t="str">
        <f aca="false">IF(AND(B342&lt;&gt;"",ISNUMBER(H342),ISNUMBER(F342)),COUNTIFS(C_RUTN,M342,C_SUELDO,"&lt;&gt;",C_INI,"&lt;"&amp;F342)+COUNTIFS(M$7:M342,M342,H$7:H342,"&lt;&gt;",F$7:F342,F342),"")</f>
        <v/>
      </c>
      <c r="S342" s="62" t="str">
        <f aca="false">IF(R342="","",M342&amp;"-S"&amp;R342)</f>
        <v/>
      </c>
    </row>
    <row r="343" customFormat="false" ht="15" hidden="false" customHeight="false" outlineLevel="0" collapsed="false">
      <c r="B343" s="58"/>
      <c r="C343" s="62" t="str">
        <f aca="false">IF(B343="","",IFERROR(INDEX(T_NOMBRE,MATCH(M343,T_RUTN,0)),"⚠ RUT no está en Trabajadores"))</f>
        <v/>
      </c>
      <c r="D343" s="58"/>
      <c r="E343" s="58"/>
      <c r="F343" s="59"/>
      <c r="G343" s="59"/>
      <c r="H343" s="60"/>
      <c r="I343" s="58"/>
      <c r="J343" s="58"/>
      <c r="K343" s="58"/>
      <c r="L343" s="62" t="str">
        <f aca="false">IF(B343="","",IF(LEFT(C343,1)="⚠","⚠ Registre primero al trabajador en la hoja Trabajadores",IF(AND(N343="Sí",OR(E343="",NOT(ISNUMBER(F343)))),"⚠ Falta tipo de contrato o fecha de inicio",IF(NOT(ISNUMBER(F343)),"⚠ Falta fecha de inicio",IF(AND(N343="Sí",E343&lt;&gt;"Indefinido",NOT(ISNUMBER(G343))),"⚠ Falta fecha de término",IF(AND(D343="Paso a indefinido",E343&lt;&gt;"Indefinido"),"⚠ Un paso a indefinido debe tener tipo Indefinido",IF(N(Q343)&gt;=3,"⚠ 3er contrato a plazo fijo: por ley ya es INDEFINIDO (Art. 159 N°4)",IF(AND(E343="Plazo fijo",ISNUMBER(G343),(G343-F343+1)/30.4375&gt;12),"⚠ Plazo fijo mayor a 1 año (máximo legal)",IF(J343&lt;&gt;"Sí","Pendiente de firma","OK")))))))))</f>
        <v/>
      </c>
      <c r="M343" s="62" t="str">
        <f aca="false">IF(B343="","",IFERROR(VALUE(LEFT(UPPER(SUBSTITUTE(SUBSTITUTE(SUBSTITUTE(TRIM(B343),".",""),"-","")," ","")),LEN(UPPER(SUBSTITUTE(SUBSTITUTE(SUBSTITUTE(TRIM(B343),".",""),"-","")," ","")))-1))&amp;RIGHT(UPPER(SUBSTITUTE(SUBSTITUTE(SUBSTITUTE(TRIM(B343),".",""),"-","")," ","")),1),UPPER(SUBSTITUTE(SUBSTITUTE(SUBSTITUTE(TRIM(B343),".",""),"-","")," ",""))))</f>
        <v/>
      </c>
      <c r="N343" s="62" t="str">
        <f aca="false">IF(B343="","",IF(D343="Anexo de modificación","No","Sí"))</f>
        <v/>
      </c>
      <c r="O343" s="62" t="str">
        <f aca="false">IF(AND(N343="Sí",ISNUMBER(F343)),COUNTIFS(C_RUTN,M343,C_DEF,"Sí",C_INI,"&lt;"&amp;F343)+COUNTIFS(M$7:M343,M343,N$7:N343,"Sí",F$7:F343,F343),"")</f>
        <v/>
      </c>
      <c r="P343" s="62" t="str">
        <f aca="false">IF(O343="","",M343&amp;"-P"&amp;O343)</f>
        <v/>
      </c>
      <c r="Q343" s="62" t="str">
        <f aca="false">IF(AND(N343="Sí",E343="Plazo fijo",ISNUMBER(F343)),COUNTIFS(C_RUTN,M343,C_TIPO,"Plazo fijo",C_DEF,"Sí",C_INI,"&lt;"&amp;F343)+COUNTIFS(M$7:M343,M343,E$7:E343,"Plazo fijo",N$7:N343,"Sí",F$7:F343,F343),"")</f>
        <v/>
      </c>
      <c r="R343" s="62" t="str">
        <f aca="false">IF(AND(B343&lt;&gt;"",ISNUMBER(H343),ISNUMBER(F343)),COUNTIFS(C_RUTN,M343,C_SUELDO,"&lt;&gt;",C_INI,"&lt;"&amp;F343)+COUNTIFS(M$7:M343,M343,H$7:H343,"&lt;&gt;",F$7:F343,F343),"")</f>
        <v/>
      </c>
      <c r="S343" s="62" t="str">
        <f aca="false">IF(R343="","",M343&amp;"-S"&amp;R343)</f>
        <v/>
      </c>
    </row>
    <row r="344" customFormat="false" ht="15" hidden="false" customHeight="false" outlineLevel="0" collapsed="false">
      <c r="B344" s="58"/>
      <c r="C344" s="62" t="str">
        <f aca="false">IF(B344="","",IFERROR(INDEX(T_NOMBRE,MATCH(M344,T_RUTN,0)),"⚠ RUT no está en Trabajadores"))</f>
        <v/>
      </c>
      <c r="D344" s="58"/>
      <c r="E344" s="58"/>
      <c r="F344" s="59"/>
      <c r="G344" s="59"/>
      <c r="H344" s="60"/>
      <c r="I344" s="58"/>
      <c r="J344" s="58"/>
      <c r="K344" s="58"/>
      <c r="L344" s="62" t="str">
        <f aca="false">IF(B344="","",IF(LEFT(C344,1)="⚠","⚠ Registre primero al trabajador en la hoja Trabajadores",IF(AND(N344="Sí",OR(E344="",NOT(ISNUMBER(F344)))),"⚠ Falta tipo de contrato o fecha de inicio",IF(NOT(ISNUMBER(F344)),"⚠ Falta fecha de inicio",IF(AND(N344="Sí",E344&lt;&gt;"Indefinido",NOT(ISNUMBER(G344))),"⚠ Falta fecha de término",IF(AND(D344="Paso a indefinido",E344&lt;&gt;"Indefinido"),"⚠ Un paso a indefinido debe tener tipo Indefinido",IF(N(Q344)&gt;=3,"⚠ 3er contrato a plazo fijo: por ley ya es INDEFINIDO (Art. 159 N°4)",IF(AND(E344="Plazo fijo",ISNUMBER(G344),(G344-F344+1)/30.4375&gt;12),"⚠ Plazo fijo mayor a 1 año (máximo legal)",IF(J344&lt;&gt;"Sí","Pendiente de firma","OK")))))))))</f>
        <v/>
      </c>
      <c r="M344" s="62" t="str">
        <f aca="false">IF(B344="","",IFERROR(VALUE(LEFT(UPPER(SUBSTITUTE(SUBSTITUTE(SUBSTITUTE(TRIM(B344),".",""),"-","")," ","")),LEN(UPPER(SUBSTITUTE(SUBSTITUTE(SUBSTITUTE(TRIM(B344),".",""),"-","")," ","")))-1))&amp;RIGHT(UPPER(SUBSTITUTE(SUBSTITUTE(SUBSTITUTE(TRIM(B344),".",""),"-","")," ","")),1),UPPER(SUBSTITUTE(SUBSTITUTE(SUBSTITUTE(TRIM(B344),".",""),"-","")," ",""))))</f>
        <v/>
      </c>
      <c r="N344" s="62" t="str">
        <f aca="false">IF(B344="","",IF(D344="Anexo de modificación","No","Sí"))</f>
        <v/>
      </c>
      <c r="O344" s="62" t="str">
        <f aca="false">IF(AND(N344="Sí",ISNUMBER(F344)),COUNTIFS(C_RUTN,M344,C_DEF,"Sí",C_INI,"&lt;"&amp;F344)+COUNTIFS(M$7:M344,M344,N$7:N344,"Sí",F$7:F344,F344),"")</f>
        <v/>
      </c>
      <c r="P344" s="62" t="str">
        <f aca="false">IF(O344="","",M344&amp;"-P"&amp;O344)</f>
        <v/>
      </c>
      <c r="Q344" s="62" t="str">
        <f aca="false">IF(AND(N344="Sí",E344="Plazo fijo",ISNUMBER(F344)),COUNTIFS(C_RUTN,M344,C_TIPO,"Plazo fijo",C_DEF,"Sí",C_INI,"&lt;"&amp;F344)+COUNTIFS(M$7:M344,M344,E$7:E344,"Plazo fijo",N$7:N344,"Sí",F$7:F344,F344),"")</f>
        <v/>
      </c>
      <c r="R344" s="62" t="str">
        <f aca="false">IF(AND(B344&lt;&gt;"",ISNUMBER(H344),ISNUMBER(F344)),COUNTIFS(C_RUTN,M344,C_SUELDO,"&lt;&gt;",C_INI,"&lt;"&amp;F344)+COUNTIFS(M$7:M344,M344,H$7:H344,"&lt;&gt;",F$7:F344,F344),"")</f>
        <v/>
      </c>
      <c r="S344" s="62" t="str">
        <f aca="false">IF(R344="","",M344&amp;"-S"&amp;R344)</f>
        <v/>
      </c>
    </row>
    <row r="345" customFormat="false" ht="15" hidden="false" customHeight="false" outlineLevel="0" collapsed="false">
      <c r="B345" s="58"/>
      <c r="C345" s="62" t="str">
        <f aca="false">IF(B345="","",IFERROR(INDEX(T_NOMBRE,MATCH(M345,T_RUTN,0)),"⚠ RUT no está en Trabajadores"))</f>
        <v/>
      </c>
      <c r="D345" s="58"/>
      <c r="E345" s="58"/>
      <c r="F345" s="59"/>
      <c r="G345" s="59"/>
      <c r="H345" s="60"/>
      <c r="I345" s="58"/>
      <c r="J345" s="58"/>
      <c r="K345" s="58"/>
      <c r="L345" s="62" t="str">
        <f aca="false">IF(B345="","",IF(LEFT(C345,1)="⚠","⚠ Registre primero al trabajador en la hoja Trabajadores",IF(AND(N345="Sí",OR(E345="",NOT(ISNUMBER(F345)))),"⚠ Falta tipo de contrato o fecha de inicio",IF(NOT(ISNUMBER(F345)),"⚠ Falta fecha de inicio",IF(AND(N345="Sí",E345&lt;&gt;"Indefinido",NOT(ISNUMBER(G345))),"⚠ Falta fecha de término",IF(AND(D345="Paso a indefinido",E345&lt;&gt;"Indefinido"),"⚠ Un paso a indefinido debe tener tipo Indefinido",IF(N(Q345)&gt;=3,"⚠ 3er contrato a plazo fijo: por ley ya es INDEFINIDO (Art. 159 N°4)",IF(AND(E345="Plazo fijo",ISNUMBER(G345),(G345-F345+1)/30.4375&gt;12),"⚠ Plazo fijo mayor a 1 año (máximo legal)",IF(J345&lt;&gt;"Sí","Pendiente de firma","OK")))))))))</f>
        <v/>
      </c>
      <c r="M345" s="62" t="str">
        <f aca="false">IF(B345="","",IFERROR(VALUE(LEFT(UPPER(SUBSTITUTE(SUBSTITUTE(SUBSTITUTE(TRIM(B345),".",""),"-","")," ","")),LEN(UPPER(SUBSTITUTE(SUBSTITUTE(SUBSTITUTE(TRIM(B345),".",""),"-","")," ","")))-1))&amp;RIGHT(UPPER(SUBSTITUTE(SUBSTITUTE(SUBSTITUTE(TRIM(B345),".",""),"-","")," ","")),1),UPPER(SUBSTITUTE(SUBSTITUTE(SUBSTITUTE(TRIM(B345),".",""),"-","")," ",""))))</f>
        <v/>
      </c>
      <c r="N345" s="62" t="str">
        <f aca="false">IF(B345="","",IF(D345="Anexo de modificación","No","Sí"))</f>
        <v/>
      </c>
      <c r="O345" s="62" t="str">
        <f aca="false">IF(AND(N345="Sí",ISNUMBER(F345)),COUNTIFS(C_RUTN,M345,C_DEF,"Sí",C_INI,"&lt;"&amp;F345)+COUNTIFS(M$7:M345,M345,N$7:N345,"Sí",F$7:F345,F345),"")</f>
        <v/>
      </c>
      <c r="P345" s="62" t="str">
        <f aca="false">IF(O345="","",M345&amp;"-P"&amp;O345)</f>
        <v/>
      </c>
      <c r="Q345" s="62" t="str">
        <f aca="false">IF(AND(N345="Sí",E345="Plazo fijo",ISNUMBER(F345)),COUNTIFS(C_RUTN,M345,C_TIPO,"Plazo fijo",C_DEF,"Sí",C_INI,"&lt;"&amp;F345)+COUNTIFS(M$7:M345,M345,E$7:E345,"Plazo fijo",N$7:N345,"Sí",F$7:F345,F345),"")</f>
        <v/>
      </c>
      <c r="R345" s="62" t="str">
        <f aca="false">IF(AND(B345&lt;&gt;"",ISNUMBER(H345),ISNUMBER(F345)),COUNTIFS(C_RUTN,M345,C_SUELDO,"&lt;&gt;",C_INI,"&lt;"&amp;F345)+COUNTIFS(M$7:M345,M345,H$7:H345,"&lt;&gt;",F$7:F345,F345),"")</f>
        <v/>
      </c>
      <c r="S345" s="62" t="str">
        <f aca="false">IF(R345="","",M345&amp;"-S"&amp;R345)</f>
        <v/>
      </c>
    </row>
    <row r="346" customFormat="false" ht="15" hidden="false" customHeight="false" outlineLevel="0" collapsed="false">
      <c r="B346" s="58"/>
      <c r="C346" s="62" t="str">
        <f aca="false">IF(B346="","",IFERROR(INDEX(T_NOMBRE,MATCH(M346,T_RUTN,0)),"⚠ RUT no está en Trabajadores"))</f>
        <v/>
      </c>
      <c r="D346" s="58"/>
      <c r="E346" s="58"/>
      <c r="F346" s="59"/>
      <c r="G346" s="59"/>
      <c r="H346" s="60"/>
      <c r="I346" s="58"/>
      <c r="J346" s="58"/>
      <c r="K346" s="58"/>
      <c r="L346" s="62" t="str">
        <f aca="false">IF(B346="","",IF(LEFT(C346,1)="⚠","⚠ Registre primero al trabajador en la hoja Trabajadores",IF(AND(N346="Sí",OR(E346="",NOT(ISNUMBER(F346)))),"⚠ Falta tipo de contrato o fecha de inicio",IF(NOT(ISNUMBER(F346)),"⚠ Falta fecha de inicio",IF(AND(N346="Sí",E346&lt;&gt;"Indefinido",NOT(ISNUMBER(G346))),"⚠ Falta fecha de término",IF(AND(D346="Paso a indefinido",E346&lt;&gt;"Indefinido"),"⚠ Un paso a indefinido debe tener tipo Indefinido",IF(N(Q346)&gt;=3,"⚠ 3er contrato a plazo fijo: por ley ya es INDEFINIDO (Art. 159 N°4)",IF(AND(E346="Plazo fijo",ISNUMBER(G346),(G346-F346+1)/30.4375&gt;12),"⚠ Plazo fijo mayor a 1 año (máximo legal)",IF(J346&lt;&gt;"Sí","Pendiente de firma","OK")))))))))</f>
        <v/>
      </c>
      <c r="M346" s="62" t="str">
        <f aca="false">IF(B346="","",IFERROR(VALUE(LEFT(UPPER(SUBSTITUTE(SUBSTITUTE(SUBSTITUTE(TRIM(B346),".",""),"-","")," ","")),LEN(UPPER(SUBSTITUTE(SUBSTITUTE(SUBSTITUTE(TRIM(B346),".",""),"-","")," ","")))-1))&amp;RIGHT(UPPER(SUBSTITUTE(SUBSTITUTE(SUBSTITUTE(TRIM(B346),".",""),"-","")," ","")),1),UPPER(SUBSTITUTE(SUBSTITUTE(SUBSTITUTE(TRIM(B346),".",""),"-","")," ",""))))</f>
        <v/>
      </c>
      <c r="N346" s="62" t="str">
        <f aca="false">IF(B346="","",IF(D346="Anexo de modificación","No","Sí"))</f>
        <v/>
      </c>
      <c r="O346" s="62" t="str">
        <f aca="false">IF(AND(N346="Sí",ISNUMBER(F346)),COUNTIFS(C_RUTN,M346,C_DEF,"Sí",C_INI,"&lt;"&amp;F346)+COUNTIFS(M$7:M346,M346,N$7:N346,"Sí",F$7:F346,F346),"")</f>
        <v/>
      </c>
      <c r="P346" s="62" t="str">
        <f aca="false">IF(O346="","",M346&amp;"-P"&amp;O346)</f>
        <v/>
      </c>
      <c r="Q346" s="62" t="str">
        <f aca="false">IF(AND(N346="Sí",E346="Plazo fijo",ISNUMBER(F346)),COUNTIFS(C_RUTN,M346,C_TIPO,"Plazo fijo",C_DEF,"Sí",C_INI,"&lt;"&amp;F346)+COUNTIFS(M$7:M346,M346,E$7:E346,"Plazo fijo",N$7:N346,"Sí",F$7:F346,F346),"")</f>
        <v/>
      </c>
      <c r="R346" s="62" t="str">
        <f aca="false">IF(AND(B346&lt;&gt;"",ISNUMBER(H346),ISNUMBER(F346)),COUNTIFS(C_RUTN,M346,C_SUELDO,"&lt;&gt;",C_INI,"&lt;"&amp;F346)+COUNTIFS(M$7:M346,M346,H$7:H346,"&lt;&gt;",F$7:F346,F346),"")</f>
        <v/>
      </c>
      <c r="S346" s="62" t="str">
        <f aca="false">IF(R346="","",M346&amp;"-S"&amp;R346)</f>
        <v/>
      </c>
    </row>
    <row r="347" customFormat="false" ht="15" hidden="false" customHeight="false" outlineLevel="0" collapsed="false">
      <c r="B347" s="58"/>
      <c r="C347" s="62" t="str">
        <f aca="false">IF(B347="","",IFERROR(INDEX(T_NOMBRE,MATCH(M347,T_RUTN,0)),"⚠ RUT no está en Trabajadores"))</f>
        <v/>
      </c>
      <c r="D347" s="58"/>
      <c r="E347" s="58"/>
      <c r="F347" s="59"/>
      <c r="G347" s="59"/>
      <c r="H347" s="60"/>
      <c r="I347" s="58"/>
      <c r="J347" s="58"/>
      <c r="K347" s="58"/>
      <c r="L347" s="62" t="str">
        <f aca="false">IF(B347="","",IF(LEFT(C347,1)="⚠","⚠ Registre primero al trabajador en la hoja Trabajadores",IF(AND(N347="Sí",OR(E347="",NOT(ISNUMBER(F347)))),"⚠ Falta tipo de contrato o fecha de inicio",IF(NOT(ISNUMBER(F347)),"⚠ Falta fecha de inicio",IF(AND(N347="Sí",E347&lt;&gt;"Indefinido",NOT(ISNUMBER(G347))),"⚠ Falta fecha de término",IF(AND(D347="Paso a indefinido",E347&lt;&gt;"Indefinido"),"⚠ Un paso a indefinido debe tener tipo Indefinido",IF(N(Q347)&gt;=3,"⚠ 3er contrato a plazo fijo: por ley ya es INDEFINIDO (Art. 159 N°4)",IF(AND(E347="Plazo fijo",ISNUMBER(G347),(G347-F347+1)/30.4375&gt;12),"⚠ Plazo fijo mayor a 1 año (máximo legal)",IF(J347&lt;&gt;"Sí","Pendiente de firma","OK")))))))))</f>
        <v/>
      </c>
      <c r="M347" s="62" t="str">
        <f aca="false">IF(B347="","",IFERROR(VALUE(LEFT(UPPER(SUBSTITUTE(SUBSTITUTE(SUBSTITUTE(TRIM(B347),".",""),"-","")," ","")),LEN(UPPER(SUBSTITUTE(SUBSTITUTE(SUBSTITUTE(TRIM(B347),".",""),"-","")," ","")))-1))&amp;RIGHT(UPPER(SUBSTITUTE(SUBSTITUTE(SUBSTITUTE(TRIM(B347),".",""),"-","")," ","")),1),UPPER(SUBSTITUTE(SUBSTITUTE(SUBSTITUTE(TRIM(B347),".",""),"-","")," ",""))))</f>
        <v/>
      </c>
      <c r="N347" s="62" t="str">
        <f aca="false">IF(B347="","",IF(D347="Anexo de modificación","No","Sí"))</f>
        <v/>
      </c>
      <c r="O347" s="62" t="str">
        <f aca="false">IF(AND(N347="Sí",ISNUMBER(F347)),COUNTIFS(C_RUTN,M347,C_DEF,"Sí",C_INI,"&lt;"&amp;F347)+COUNTIFS(M$7:M347,M347,N$7:N347,"Sí",F$7:F347,F347),"")</f>
        <v/>
      </c>
      <c r="P347" s="62" t="str">
        <f aca="false">IF(O347="","",M347&amp;"-P"&amp;O347)</f>
        <v/>
      </c>
      <c r="Q347" s="62" t="str">
        <f aca="false">IF(AND(N347="Sí",E347="Plazo fijo",ISNUMBER(F347)),COUNTIFS(C_RUTN,M347,C_TIPO,"Plazo fijo",C_DEF,"Sí",C_INI,"&lt;"&amp;F347)+COUNTIFS(M$7:M347,M347,E$7:E347,"Plazo fijo",N$7:N347,"Sí",F$7:F347,F347),"")</f>
        <v/>
      </c>
      <c r="R347" s="62" t="str">
        <f aca="false">IF(AND(B347&lt;&gt;"",ISNUMBER(H347),ISNUMBER(F347)),COUNTIFS(C_RUTN,M347,C_SUELDO,"&lt;&gt;",C_INI,"&lt;"&amp;F347)+COUNTIFS(M$7:M347,M347,H$7:H347,"&lt;&gt;",F$7:F347,F347),"")</f>
        <v/>
      </c>
      <c r="S347" s="62" t="str">
        <f aca="false">IF(R347="","",M347&amp;"-S"&amp;R347)</f>
        <v/>
      </c>
    </row>
    <row r="348" customFormat="false" ht="15" hidden="false" customHeight="false" outlineLevel="0" collapsed="false">
      <c r="B348" s="58"/>
      <c r="C348" s="62" t="str">
        <f aca="false">IF(B348="","",IFERROR(INDEX(T_NOMBRE,MATCH(M348,T_RUTN,0)),"⚠ RUT no está en Trabajadores"))</f>
        <v/>
      </c>
      <c r="D348" s="58"/>
      <c r="E348" s="58"/>
      <c r="F348" s="59"/>
      <c r="G348" s="59"/>
      <c r="H348" s="60"/>
      <c r="I348" s="58"/>
      <c r="J348" s="58"/>
      <c r="K348" s="58"/>
      <c r="L348" s="62" t="str">
        <f aca="false">IF(B348="","",IF(LEFT(C348,1)="⚠","⚠ Registre primero al trabajador en la hoja Trabajadores",IF(AND(N348="Sí",OR(E348="",NOT(ISNUMBER(F348)))),"⚠ Falta tipo de contrato o fecha de inicio",IF(NOT(ISNUMBER(F348)),"⚠ Falta fecha de inicio",IF(AND(N348="Sí",E348&lt;&gt;"Indefinido",NOT(ISNUMBER(G348))),"⚠ Falta fecha de término",IF(AND(D348="Paso a indefinido",E348&lt;&gt;"Indefinido"),"⚠ Un paso a indefinido debe tener tipo Indefinido",IF(N(Q348)&gt;=3,"⚠ 3er contrato a plazo fijo: por ley ya es INDEFINIDO (Art. 159 N°4)",IF(AND(E348="Plazo fijo",ISNUMBER(G348),(G348-F348+1)/30.4375&gt;12),"⚠ Plazo fijo mayor a 1 año (máximo legal)",IF(J348&lt;&gt;"Sí","Pendiente de firma","OK")))))))))</f>
        <v/>
      </c>
      <c r="M348" s="62" t="str">
        <f aca="false">IF(B348="","",IFERROR(VALUE(LEFT(UPPER(SUBSTITUTE(SUBSTITUTE(SUBSTITUTE(TRIM(B348),".",""),"-","")," ","")),LEN(UPPER(SUBSTITUTE(SUBSTITUTE(SUBSTITUTE(TRIM(B348),".",""),"-","")," ","")))-1))&amp;RIGHT(UPPER(SUBSTITUTE(SUBSTITUTE(SUBSTITUTE(TRIM(B348),".",""),"-","")," ","")),1),UPPER(SUBSTITUTE(SUBSTITUTE(SUBSTITUTE(TRIM(B348),".",""),"-","")," ",""))))</f>
        <v/>
      </c>
      <c r="N348" s="62" t="str">
        <f aca="false">IF(B348="","",IF(D348="Anexo de modificación","No","Sí"))</f>
        <v/>
      </c>
      <c r="O348" s="62" t="str">
        <f aca="false">IF(AND(N348="Sí",ISNUMBER(F348)),COUNTIFS(C_RUTN,M348,C_DEF,"Sí",C_INI,"&lt;"&amp;F348)+COUNTIFS(M$7:M348,M348,N$7:N348,"Sí",F$7:F348,F348),"")</f>
        <v/>
      </c>
      <c r="P348" s="62" t="str">
        <f aca="false">IF(O348="","",M348&amp;"-P"&amp;O348)</f>
        <v/>
      </c>
      <c r="Q348" s="62" t="str">
        <f aca="false">IF(AND(N348="Sí",E348="Plazo fijo",ISNUMBER(F348)),COUNTIFS(C_RUTN,M348,C_TIPO,"Plazo fijo",C_DEF,"Sí",C_INI,"&lt;"&amp;F348)+COUNTIFS(M$7:M348,M348,E$7:E348,"Plazo fijo",N$7:N348,"Sí",F$7:F348,F348),"")</f>
        <v/>
      </c>
      <c r="R348" s="62" t="str">
        <f aca="false">IF(AND(B348&lt;&gt;"",ISNUMBER(H348),ISNUMBER(F348)),COUNTIFS(C_RUTN,M348,C_SUELDO,"&lt;&gt;",C_INI,"&lt;"&amp;F348)+COUNTIFS(M$7:M348,M348,H$7:H348,"&lt;&gt;",F$7:F348,F348),"")</f>
        <v/>
      </c>
      <c r="S348" s="62" t="str">
        <f aca="false">IF(R348="","",M348&amp;"-S"&amp;R348)</f>
        <v/>
      </c>
    </row>
    <row r="349" customFormat="false" ht="15" hidden="false" customHeight="false" outlineLevel="0" collapsed="false">
      <c r="B349" s="58"/>
      <c r="C349" s="62" t="str">
        <f aca="false">IF(B349="","",IFERROR(INDEX(T_NOMBRE,MATCH(M349,T_RUTN,0)),"⚠ RUT no está en Trabajadores"))</f>
        <v/>
      </c>
      <c r="D349" s="58"/>
      <c r="E349" s="58"/>
      <c r="F349" s="59"/>
      <c r="G349" s="59"/>
      <c r="H349" s="60"/>
      <c r="I349" s="58"/>
      <c r="J349" s="58"/>
      <c r="K349" s="58"/>
      <c r="L349" s="62" t="str">
        <f aca="false">IF(B349="","",IF(LEFT(C349,1)="⚠","⚠ Registre primero al trabajador en la hoja Trabajadores",IF(AND(N349="Sí",OR(E349="",NOT(ISNUMBER(F349)))),"⚠ Falta tipo de contrato o fecha de inicio",IF(NOT(ISNUMBER(F349)),"⚠ Falta fecha de inicio",IF(AND(N349="Sí",E349&lt;&gt;"Indefinido",NOT(ISNUMBER(G349))),"⚠ Falta fecha de término",IF(AND(D349="Paso a indefinido",E349&lt;&gt;"Indefinido"),"⚠ Un paso a indefinido debe tener tipo Indefinido",IF(N(Q349)&gt;=3,"⚠ 3er contrato a plazo fijo: por ley ya es INDEFINIDO (Art. 159 N°4)",IF(AND(E349="Plazo fijo",ISNUMBER(G349),(G349-F349+1)/30.4375&gt;12),"⚠ Plazo fijo mayor a 1 año (máximo legal)",IF(J349&lt;&gt;"Sí","Pendiente de firma","OK")))))))))</f>
        <v/>
      </c>
      <c r="M349" s="62" t="str">
        <f aca="false">IF(B349="","",IFERROR(VALUE(LEFT(UPPER(SUBSTITUTE(SUBSTITUTE(SUBSTITUTE(TRIM(B349),".",""),"-","")," ","")),LEN(UPPER(SUBSTITUTE(SUBSTITUTE(SUBSTITUTE(TRIM(B349),".",""),"-","")," ","")))-1))&amp;RIGHT(UPPER(SUBSTITUTE(SUBSTITUTE(SUBSTITUTE(TRIM(B349),".",""),"-","")," ","")),1),UPPER(SUBSTITUTE(SUBSTITUTE(SUBSTITUTE(TRIM(B349),".",""),"-","")," ",""))))</f>
        <v/>
      </c>
      <c r="N349" s="62" t="str">
        <f aca="false">IF(B349="","",IF(D349="Anexo de modificación","No","Sí"))</f>
        <v/>
      </c>
      <c r="O349" s="62" t="str">
        <f aca="false">IF(AND(N349="Sí",ISNUMBER(F349)),COUNTIFS(C_RUTN,M349,C_DEF,"Sí",C_INI,"&lt;"&amp;F349)+COUNTIFS(M$7:M349,M349,N$7:N349,"Sí",F$7:F349,F349),"")</f>
        <v/>
      </c>
      <c r="P349" s="62" t="str">
        <f aca="false">IF(O349="","",M349&amp;"-P"&amp;O349)</f>
        <v/>
      </c>
      <c r="Q349" s="62" t="str">
        <f aca="false">IF(AND(N349="Sí",E349="Plazo fijo",ISNUMBER(F349)),COUNTIFS(C_RUTN,M349,C_TIPO,"Plazo fijo",C_DEF,"Sí",C_INI,"&lt;"&amp;F349)+COUNTIFS(M$7:M349,M349,E$7:E349,"Plazo fijo",N$7:N349,"Sí",F$7:F349,F349),"")</f>
        <v/>
      </c>
      <c r="R349" s="62" t="str">
        <f aca="false">IF(AND(B349&lt;&gt;"",ISNUMBER(H349),ISNUMBER(F349)),COUNTIFS(C_RUTN,M349,C_SUELDO,"&lt;&gt;",C_INI,"&lt;"&amp;F349)+COUNTIFS(M$7:M349,M349,H$7:H349,"&lt;&gt;",F$7:F349,F349),"")</f>
        <v/>
      </c>
      <c r="S349" s="62" t="str">
        <f aca="false">IF(R349="","",M349&amp;"-S"&amp;R349)</f>
        <v/>
      </c>
    </row>
    <row r="350" customFormat="false" ht="15" hidden="false" customHeight="false" outlineLevel="0" collapsed="false">
      <c r="B350" s="58"/>
      <c r="C350" s="62" t="str">
        <f aca="false">IF(B350="","",IFERROR(INDEX(T_NOMBRE,MATCH(M350,T_RUTN,0)),"⚠ RUT no está en Trabajadores"))</f>
        <v/>
      </c>
      <c r="D350" s="58"/>
      <c r="E350" s="58"/>
      <c r="F350" s="59"/>
      <c r="G350" s="59"/>
      <c r="H350" s="60"/>
      <c r="I350" s="58"/>
      <c r="J350" s="58"/>
      <c r="K350" s="58"/>
      <c r="L350" s="62" t="str">
        <f aca="false">IF(B350="","",IF(LEFT(C350,1)="⚠","⚠ Registre primero al trabajador en la hoja Trabajadores",IF(AND(N350="Sí",OR(E350="",NOT(ISNUMBER(F350)))),"⚠ Falta tipo de contrato o fecha de inicio",IF(NOT(ISNUMBER(F350)),"⚠ Falta fecha de inicio",IF(AND(N350="Sí",E350&lt;&gt;"Indefinido",NOT(ISNUMBER(G350))),"⚠ Falta fecha de término",IF(AND(D350="Paso a indefinido",E350&lt;&gt;"Indefinido"),"⚠ Un paso a indefinido debe tener tipo Indefinido",IF(N(Q350)&gt;=3,"⚠ 3er contrato a plazo fijo: por ley ya es INDEFINIDO (Art. 159 N°4)",IF(AND(E350="Plazo fijo",ISNUMBER(G350),(G350-F350+1)/30.4375&gt;12),"⚠ Plazo fijo mayor a 1 año (máximo legal)",IF(J350&lt;&gt;"Sí","Pendiente de firma","OK")))))))))</f>
        <v/>
      </c>
      <c r="M350" s="62" t="str">
        <f aca="false">IF(B350="","",IFERROR(VALUE(LEFT(UPPER(SUBSTITUTE(SUBSTITUTE(SUBSTITUTE(TRIM(B350),".",""),"-","")," ","")),LEN(UPPER(SUBSTITUTE(SUBSTITUTE(SUBSTITUTE(TRIM(B350),".",""),"-","")," ","")))-1))&amp;RIGHT(UPPER(SUBSTITUTE(SUBSTITUTE(SUBSTITUTE(TRIM(B350),".",""),"-","")," ","")),1),UPPER(SUBSTITUTE(SUBSTITUTE(SUBSTITUTE(TRIM(B350),".",""),"-","")," ",""))))</f>
        <v/>
      </c>
      <c r="N350" s="62" t="str">
        <f aca="false">IF(B350="","",IF(D350="Anexo de modificación","No","Sí"))</f>
        <v/>
      </c>
      <c r="O350" s="62" t="str">
        <f aca="false">IF(AND(N350="Sí",ISNUMBER(F350)),COUNTIFS(C_RUTN,M350,C_DEF,"Sí",C_INI,"&lt;"&amp;F350)+COUNTIFS(M$7:M350,M350,N$7:N350,"Sí",F$7:F350,F350),"")</f>
        <v/>
      </c>
      <c r="P350" s="62" t="str">
        <f aca="false">IF(O350="","",M350&amp;"-P"&amp;O350)</f>
        <v/>
      </c>
      <c r="Q350" s="62" t="str">
        <f aca="false">IF(AND(N350="Sí",E350="Plazo fijo",ISNUMBER(F350)),COUNTIFS(C_RUTN,M350,C_TIPO,"Plazo fijo",C_DEF,"Sí",C_INI,"&lt;"&amp;F350)+COUNTIFS(M$7:M350,M350,E$7:E350,"Plazo fijo",N$7:N350,"Sí",F$7:F350,F350),"")</f>
        <v/>
      </c>
      <c r="R350" s="62" t="str">
        <f aca="false">IF(AND(B350&lt;&gt;"",ISNUMBER(H350),ISNUMBER(F350)),COUNTIFS(C_RUTN,M350,C_SUELDO,"&lt;&gt;",C_INI,"&lt;"&amp;F350)+COUNTIFS(M$7:M350,M350,H$7:H350,"&lt;&gt;",F$7:F350,F350),"")</f>
        <v/>
      </c>
      <c r="S350" s="62" t="str">
        <f aca="false">IF(R350="","",M350&amp;"-S"&amp;R350)</f>
        <v/>
      </c>
    </row>
    <row r="351" customFormat="false" ht="15" hidden="false" customHeight="false" outlineLevel="0" collapsed="false">
      <c r="B351" s="58"/>
      <c r="C351" s="62" t="str">
        <f aca="false">IF(B351="","",IFERROR(INDEX(T_NOMBRE,MATCH(M351,T_RUTN,0)),"⚠ RUT no está en Trabajadores"))</f>
        <v/>
      </c>
      <c r="D351" s="58"/>
      <c r="E351" s="58"/>
      <c r="F351" s="59"/>
      <c r="G351" s="59"/>
      <c r="H351" s="60"/>
      <c r="I351" s="58"/>
      <c r="J351" s="58"/>
      <c r="K351" s="58"/>
      <c r="L351" s="62" t="str">
        <f aca="false">IF(B351="","",IF(LEFT(C351,1)="⚠","⚠ Registre primero al trabajador en la hoja Trabajadores",IF(AND(N351="Sí",OR(E351="",NOT(ISNUMBER(F351)))),"⚠ Falta tipo de contrato o fecha de inicio",IF(NOT(ISNUMBER(F351)),"⚠ Falta fecha de inicio",IF(AND(N351="Sí",E351&lt;&gt;"Indefinido",NOT(ISNUMBER(G351))),"⚠ Falta fecha de término",IF(AND(D351="Paso a indefinido",E351&lt;&gt;"Indefinido"),"⚠ Un paso a indefinido debe tener tipo Indefinido",IF(N(Q351)&gt;=3,"⚠ 3er contrato a plazo fijo: por ley ya es INDEFINIDO (Art. 159 N°4)",IF(AND(E351="Plazo fijo",ISNUMBER(G351),(G351-F351+1)/30.4375&gt;12),"⚠ Plazo fijo mayor a 1 año (máximo legal)",IF(J351&lt;&gt;"Sí","Pendiente de firma","OK")))))))))</f>
        <v/>
      </c>
      <c r="M351" s="62" t="str">
        <f aca="false">IF(B351="","",IFERROR(VALUE(LEFT(UPPER(SUBSTITUTE(SUBSTITUTE(SUBSTITUTE(TRIM(B351),".",""),"-","")," ","")),LEN(UPPER(SUBSTITUTE(SUBSTITUTE(SUBSTITUTE(TRIM(B351),".",""),"-","")," ","")))-1))&amp;RIGHT(UPPER(SUBSTITUTE(SUBSTITUTE(SUBSTITUTE(TRIM(B351),".",""),"-","")," ","")),1),UPPER(SUBSTITUTE(SUBSTITUTE(SUBSTITUTE(TRIM(B351),".",""),"-","")," ",""))))</f>
        <v/>
      </c>
      <c r="N351" s="62" t="str">
        <f aca="false">IF(B351="","",IF(D351="Anexo de modificación","No","Sí"))</f>
        <v/>
      </c>
      <c r="O351" s="62" t="str">
        <f aca="false">IF(AND(N351="Sí",ISNUMBER(F351)),COUNTIFS(C_RUTN,M351,C_DEF,"Sí",C_INI,"&lt;"&amp;F351)+COUNTIFS(M$7:M351,M351,N$7:N351,"Sí",F$7:F351,F351),"")</f>
        <v/>
      </c>
      <c r="P351" s="62" t="str">
        <f aca="false">IF(O351="","",M351&amp;"-P"&amp;O351)</f>
        <v/>
      </c>
      <c r="Q351" s="62" t="str">
        <f aca="false">IF(AND(N351="Sí",E351="Plazo fijo",ISNUMBER(F351)),COUNTIFS(C_RUTN,M351,C_TIPO,"Plazo fijo",C_DEF,"Sí",C_INI,"&lt;"&amp;F351)+COUNTIFS(M$7:M351,M351,E$7:E351,"Plazo fijo",N$7:N351,"Sí",F$7:F351,F351),"")</f>
        <v/>
      </c>
      <c r="R351" s="62" t="str">
        <f aca="false">IF(AND(B351&lt;&gt;"",ISNUMBER(H351),ISNUMBER(F351)),COUNTIFS(C_RUTN,M351,C_SUELDO,"&lt;&gt;",C_INI,"&lt;"&amp;F351)+COUNTIFS(M$7:M351,M351,H$7:H351,"&lt;&gt;",F$7:F351,F351),"")</f>
        <v/>
      </c>
      <c r="S351" s="62" t="str">
        <f aca="false">IF(R351="","",M351&amp;"-S"&amp;R351)</f>
        <v/>
      </c>
    </row>
    <row r="352" customFormat="false" ht="15" hidden="false" customHeight="false" outlineLevel="0" collapsed="false">
      <c r="B352" s="58"/>
      <c r="C352" s="62" t="str">
        <f aca="false">IF(B352="","",IFERROR(INDEX(T_NOMBRE,MATCH(M352,T_RUTN,0)),"⚠ RUT no está en Trabajadores"))</f>
        <v/>
      </c>
      <c r="D352" s="58"/>
      <c r="E352" s="58"/>
      <c r="F352" s="59"/>
      <c r="G352" s="59"/>
      <c r="H352" s="60"/>
      <c r="I352" s="58"/>
      <c r="J352" s="58"/>
      <c r="K352" s="58"/>
      <c r="L352" s="62" t="str">
        <f aca="false">IF(B352="","",IF(LEFT(C352,1)="⚠","⚠ Registre primero al trabajador en la hoja Trabajadores",IF(AND(N352="Sí",OR(E352="",NOT(ISNUMBER(F352)))),"⚠ Falta tipo de contrato o fecha de inicio",IF(NOT(ISNUMBER(F352)),"⚠ Falta fecha de inicio",IF(AND(N352="Sí",E352&lt;&gt;"Indefinido",NOT(ISNUMBER(G352))),"⚠ Falta fecha de término",IF(AND(D352="Paso a indefinido",E352&lt;&gt;"Indefinido"),"⚠ Un paso a indefinido debe tener tipo Indefinido",IF(N(Q352)&gt;=3,"⚠ 3er contrato a plazo fijo: por ley ya es INDEFINIDO (Art. 159 N°4)",IF(AND(E352="Plazo fijo",ISNUMBER(G352),(G352-F352+1)/30.4375&gt;12),"⚠ Plazo fijo mayor a 1 año (máximo legal)",IF(J352&lt;&gt;"Sí","Pendiente de firma","OK")))))))))</f>
        <v/>
      </c>
      <c r="M352" s="62" t="str">
        <f aca="false">IF(B352="","",IFERROR(VALUE(LEFT(UPPER(SUBSTITUTE(SUBSTITUTE(SUBSTITUTE(TRIM(B352),".",""),"-","")," ","")),LEN(UPPER(SUBSTITUTE(SUBSTITUTE(SUBSTITUTE(TRIM(B352),".",""),"-","")," ","")))-1))&amp;RIGHT(UPPER(SUBSTITUTE(SUBSTITUTE(SUBSTITUTE(TRIM(B352),".",""),"-","")," ","")),1),UPPER(SUBSTITUTE(SUBSTITUTE(SUBSTITUTE(TRIM(B352),".",""),"-","")," ",""))))</f>
        <v/>
      </c>
      <c r="N352" s="62" t="str">
        <f aca="false">IF(B352="","",IF(D352="Anexo de modificación","No","Sí"))</f>
        <v/>
      </c>
      <c r="O352" s="62" t="str">
        <f aca="false">IF(AND(N352="Sí",ISNUMBER(F352)),COUNTIFS(C_RUTN,M352,C_DEF,"Sí",C_INI,"&lt;"&amp;F352)+COUNTIFS(M$7:M352,M352,N$7:N352,"Sí",F$7:F352,F352),"")</f>
        <v/>
      </c>
      <c r="P352" s="62" t="str">
        <f aca="false">IF(O352="","",M352&amp;"-P"&amp;O352)</f>
        <v/>
      </c>
      <c r="Q352" s="62" t="str">
        <f aca="false">IF(AND(N352="Sí",E352="Plazo fijo",ISNUMBER(F352)),COUNTIFS(C_RUTN,M352,C_TIPO,"Plazo fijo",C_DEF,"Sí",C_INI,"&lt;"&amp;F352)+COUNTIFS(M$7:M352,M352,E$7:E352,"Plazo fijo",N$7:N352,"Sí",F$7:F352,F352),"")</f>
        <v/>
      </c>
      <c r="R352" s="62" t="str">
        <f aca="false">IF(AND(B352&lt;&gt;"",ISNUMBER(H352),ISNUMBER(F352)),COUNTIFS(C_RUTN,M352,C_SUELDO,"&lt;&gt;",C_INI,"&lt;"&amp;F352)+COUNTIFS(M$7:M352,M352,H$7:H352,"&lt;&gt;",F$7:F352,F352),"")</f>
        <v/>
      </c>
      <c r="S352" s="62" t="str">
        <f aca="false">IF(R352="","",M352&amp;"-S"&amp;R352)</f>
        <v/>
      </c>
    </row>
    <row r="353" customFormat="false" ht="15" hidden="false" customHeight="false" outlineLevel="0" collapsed="false">
      <c r="B353" s="58"/>
      <c r="C353" s="62" t="str">
        <f aca="false">IF(B353="","",IFERROR(INDEX(T_NOMBRE,MATCH(M353,T_RUTN,0)),"⚠ RUT no está en Trabajadores"))</f>
        <v/>
      </c>
      <c r="D353" s="58"/>
      <c r="E353" s="58"/>
      <c r="F353" s="59"/>
      <c r="G353" s="59"/>
      <c r="H353" s="60"/>
      <c r="I353" s="58"/>
      <c r="J353" s="58"/>
      <c r="K353" s="58"/>
      <c r="L353" s="62" t="str">
        <f aca="false">IF(B353="","",IF(LEFT(C353,1)="⚠","⚠ Registre primero al trabajador en la hoja Trabajadores",IF(AND(N353="Sí",OR(E353="",NOT(ISNUMBER(F353)))),"⚠ Falta tipo de contrato o fecha de inicio",IF(NOT(ISNUMBER(F353)),"⚠ Falta fecha de inicio",IF(AND(N353="Sí",E353&lt;&gt;"Indefinido",NOT(ISNUMBER(G353))),"⚠ Falta fecha de término",IF(AND(D353="Paso a indefinido",E353&lt;&gt;"Indefinido"),"⚠ Un paso a indefinido debe tener tipo Indefinido",IF(N(Q353)&gt;=3,"⚠ 3er contrato a plazo fijo: por ley ya es INDEFINIDO (Art. 159 N°4)",IF(AND(E353="Plazo fijo",ISNUMBER(G353),(G353-F353+1)/30.4375&gt;12),"⚠ Plazo fijo mayor a 1 año (máximo legal)",IF(J353&lt;&gt;"Sí","Pendiente de firma","OK")))))))))</f>
        <v/>
      </c>
      <c r="M353" s="62" t="str">
        <f aca="false">IF(B353="","",IFERROR(VALUE(LEFT(UPPER(SUBSTITUTE(SUBSTITUTE(SUBSTITUTE(TRIM(B353),".",""),"-","")," ","")),LEN(UPPER(SUBSTITUTE(SUBSTITUTE(SUBSTITUTE(TRIM(B353),".",""),"-","")," ","")))-1))&amp;RIGHT(UPPER(SUBSTITUTE(SUBSTITUTE(SUBSTITUTE(TRIM(B353),".",""),"-","")," ","")),1),UPPER(SUBSTITUTE(SUBSTITUTE(SUBSTITUTE(TRIM(B353),".",""),"-","")," ",""))))</f>
        <v/>
      </c>
      <c r="N353" s="62" t="str">
        <f aca="false">IF(B353="","",IF(D353="Anexo de modificación","No","Sí"))</f>
        <v/>
      </c>
      <c r="O353" s="62" t="str">
        <f aca="false">IF(AND(N353="Sí",ISNUMBER(F353)),COUNTIFS(C_RUTN,M353,C_DEF,"Sí",C_INI,"&lt;"&amp;F353)+COUNTIFS(M$7:M353,M353,N$7:N353,"Sí",F$7:F353,F353),"")</f>
        <v/>
      </c>
      <c r="P353" s="62" t="str">
        <f aca="false">IF(O353="","",M353&amp;"-P"&amp;O353)</f>
        <v/>
      </c>
      <c r="Q353" s="62" t="str">
        <f aca="false">IF(AND(N353="Sí",E353="Plazo fijo",ISNUMBER(F353)),COUNTIFS(C_RUTN,M353,C_TIPO,"Plazo fijo",C_DEF,"Sí",C_INI,"&lt;"&amp;F353)+COUNTIFS(M$7:M353,M353,E$7:E353,"Plazo fijo",N$7:N353,"Sí",F$7:F353,F353),"")</f>
        <v/>
      </c>
      <c r="R353" s="62" t="str">
        <f aca="false">IF(AND(B353&lt;&gt;"",ISNUMBER(H353),ISNUMBER(F353)),COUNTIFS(C_RUTN,M353,C_SUELDO,"&lt;&gt;",C_INI,"&lt;"&amp;F353)+COUNTIFS(M$7:M353,M353,H$7:H353,"&lt;&gt;",F$7:F353,F353),"")</f>
        <v/>
      </c>
      <c r="S353" s="62" t="str">
        <f aca="false">IF(R353="","",M353&amp;"-S"&amp;R353)</f>
        <v/>
      </c>
    </row>
    <row r="354" customFormat="false" ht="15" hidden="false" customHeight="false" outlineLevel="0" collapsed="false">
      <c r="B354" s="58"/>
      <c r="C354" s="62" t="str">
        <f aca="false">IF(B354="","",IFERROR(INDEX(T_NOMBRE,MATCH(M354,T_RUTN,0)),"⚠ RUT no está en Trabajadores"))</f>
        <v/>
      </c>
      <c r="D354" s="58"/>
      <c r="E354" s="58"/>
      <c r="F354" s="59"/>
      <c r="G354" s="59"/>
      <c r="H354" s="60"/>
      <c r="I354" s="58"/>
      <c r="J354" s="58"/>
      <c r="K354" s="58"/>
      <c r="L354" s="62" t="str">
        <f aca="false">IF(B354="","",IF(LEFT(C354,1)="⚠","⚠ Registre primero al trabajador en la hoja Trabajadores",IF(AND(N354="Sí",OR(E354="",NOT(ISNUMBER(F354)))),"⚠ Falta tipo de contrato o fecha de inicio",IF(NOT(ISNUMBER(F354)),"⚠ Falta fecha de inicio",IF(AND(N354="Sí",E354&lt;&gt;"Indefinido",NOT(ISNUMBER(G354))),"⚠ Falta fecha de término",IF(AND(D354="Paso a indefinido",E354&lt;&gt;"Indefinido"),"⚠ Un paso a indefinido debe tener tipo Indefinido",IF(N(Q354)&gt;=3,"⚠ 3er contrato a plazo fijo: por ley ya es INDEFINIDO (Art. 159 N°4)",IF(AND(E354="Plazo fijo",ISNUMBER(G354),(G354-F354+1)/30.4375&gt;12),"⚠ Plazo fijo mayor a 1 año (máximo legal)",IF(J354&lt;&gt;"Sí","Pendiente de firma","OK")))))))))</f>
        <v/>
      </c>
      <c r="M354" s="62" t="str">
        <f aca="false">IF(B354="","",IFERROR(VALUE(LEFT(UPPER(SUBSTITUTE(SUBSTITUTE(SUBSTITUTE(TRIM(B354),".",""),"-","")," ","")),LEN(UPPER(SUBSTITUTE(SUBSTITUTE(SUBSTITUTE(TRIM(B354),".",""),"-","")," ","")))-1))&amp;RIGHT(UPPER(SUBSTITUTE(SUBSTITUTE(SUBSTITUTE(TRIM(B354),".",""),"-","")," ","")),1),UPPER(SUBSTITUTE(SUBSTITUTE(SUBSTITUTE(TRIM(B354),".",""),"-","")," ",""))))</f>
        <v/>
      </c>
      <c r="N354" s="62" t="str">
        <f aca="false">IF(B354="","",IF(D354="Anexo de modificación","No","Sí"))</f>
        <v/>
      </c>
      <c r="O354" s="62" t="str">
        <f aca="false">IF(AND(N354="Sí",ISNUMBER(F354)),COUNTIFS(C_RUTN,M354,C_DEF,"Sí",C_INI,"&lt;"&amp;F354)+COUNTIFS(M$7:M354,M354,N$7:N354,"Sí",F$7:F354,F354),"")</f>
        <v/>
      </c>
      <c r="P354" s="62" t="str">
        <f aca="false">IF(O354="","",M354&amp;"-P"&amp;O354)</f>
        <v/>
      </c>
      <c r="Q354" s="62" t="str">
        <f aca="false">IF(AND(N354="Sí",E354="Plazo fijo",ISNUMBER(F354)),COUNTIFS(C_RUTN,M354,C_TIPO,"Plazo fijo",C_DEF,"Sí",C_INI,"&lt;"&amp;F354)+COUNTIFS(M$7:M354,M354,E$7:E354,"Plazo fijo",N$7:N354,"Sí",F$7:F354,F354),"")</f>
        <v/>
      </c>
      <c r="R354" s="62" t="str">
        <f aca="false">IF(AND(B354&lt;&gt;"",ISNUMBER(H354),ISNUMBER(F354)),COUNTIFS(C_RUTN,M354,C_SUELDO,"&lt;&gt;",C_INI,"&lt;"&amp;F354)+COUNTIFS(M$7:M354,M354,H$7:H354,"&lt;&gt;",F$7:F354,F354),"")</f>
        <v/>
      </c>
      <c r="S354" s="62" t="str">
        <f aca="false">IF(R354="","",M354&amp;"-S"&amp;R354)</f>
        <v/>
      </c>
    </row>
    <row r="355" customFormat="false" ht="15" hidden="false" customHeight="false" outlineLevel="0" collapsed="false">
      <c r="B355" s="58"/>
      <c r="C355" s="62" t="str">
        <f aca="false">IF(B355="","",IFERROR(INDEX(T_NOMBRE,MATCH(M355,T_RUTN,0)),"⚠ RUT no está en Trabajadores"))</f>
        <v/>
      </c>
      <c r="D355" s="58"/>
      <c r="E355" s="58"/>
      <c r="F355" s="59"/>
      <c r="G355" s="59"/>
      <c r="H355" s="60"/>
      <c r="I355" s="58"/>
      <c r="J355" s="58"/>
      <c r="K355" s="58"/>
      <c r="L355" s="62" t="str">
        <f aca="false">IF(B355="","",IF(LEFT(C355,1)="⚠","⚠ Registre primero al trabajador en la hoja Trabajadores",IF(AND(N355="Sí",OR(E355="",NOT(ISNUMBER(F355)))),"⚠ Falta tipo de contrato o fecha de inicio",IF(NOT(ISNUMBER(F355)),"⚠ Falta fecha de inicio",IF(AND(N355="Sí",E355&lt;&gt;"Indefinido",NOT(ISNUMBER(G355))),"⚠ Falta fecha de término",IF(AND(D355="Paso a indefinido",E355&lt;&gt;"Indefinido"),"⚠ Un paso a indefinido debe tener tipo Indefinido",IF(N(Q355)&gt;=3,"⚠ 3er contrato a plazo fijo: por ley ya es INDEFINIDO (Art. 159 N°4)",IF(AND(E355="Plazo fijo",ISNUMBER(G355),(G355-F355+1)/30.4375&gt;12),"⚠ Plazo fijo mayor a 1 año (máximo legal)",IF(J355&lt;&gt;"Sí","Pendiente de firma","OK")))))))))</f>
        <v/>
      </c>
      <c r="M355" s="62" t="str">
        <f aca="false">IF(B355="","",IFERROR(VALUE(LEFT(UPPER(SUBSTITUTE(SUBSTITUTE(SUBSTITUTE(TRIM(B355),".",""),"-","")," ","")),LEN(UPPER(SUBSTITUTE(SUBSTITUTE(SUBSTITUTE(TRIM(B355),".",""),"-","")," ","")))-1))&amp;RIGHT(UPPER(SUBSTITUTE(SUBSTITUTE(SUBSTITUTE(TRIM(B355),".",""),"-","")," ","")),1),UPPER(SUBSTITUTE(SUBSTITUTE(SUBSTITUTE(TRIM(B355),".",""),"-","")," ",""))))</f>
        <v/>
      </c>
      <c r="N355" s="62" t="str">
        <f aca="false">IF(B355="","",IF(D355="Anexo de modificación","No","Sí"))</f>
        <v/>
      </c>
      <c r="O355" s="62" t="str">
        <f aca="false">IF(AND(N355="Sí",ISNUMBER(F355)),COUNTIFS(C_RUTN,M355,C_DEF,"Sí",C_INI,"&lt;"&amp;F355)+COUNTIFS(M$7:M355,M355,N$7:N355,"Sí",F$7:F355,F355),"")</f>
        <v/>
      </c>
      <c r="P355" s="62" t="str">
        <f aca="false">IF(O355="","",M355&amp;"-P"&amp;O355)</f>
        <v/>
      </c>
      <c r="Q355" s="62" t="str">
        <f aca="false">IF(AND(N355="Sí",E355="Plazo fijo",ISNUMBER(F355)),COUNTIFS(C_RUTN,M355,C_TIPO,"Plazo fijo",C_DEF,"Sí",C_INI,"&lt;"&amp;F355)+COUNTIFS(M$7:M355,M355,E$7:E355,"Plazo fijo",N$7:N355,"Sí",F$7:F355,F355),"")</f>
        <v/>
      </c>
      <c r="R355" s="62" t="str">
        <f aca="false">IF(AND(B355&lt;&gt;"",ISNUMBER(H355),ISNUMBER(F355)),COUNTIFS(C_RUTN,M355,C_SUELDO,"&lt;&gt;",C_INI,"&lt;"&amp;F355)+COUNTIFS(M$7:M355,M355,H$7:H355,"&lt;&gt;",F$7:F355,F355),"")</f>
        <v/>
      </c>
      <c r="S355" s="62" t="str">
        <f aca="false">IF(R355="","",M355&amp;"-S"&amp;R355)</f>
        <v/>
      </c>
    </row>
    <row r="356" customFormat="false" ht="15" hidden="false" customHeight="false" outlineLevel="0" collapsed="false">
      <c r="B356" s="58"/>
      <c r="C356" s="62" t="str">
        <f aca="false">IF(B356="","",IFERROR(INDEX(T_NOMBRE,MATCH(M356,T_RUTN,0)),"⚠ RUT no está en Trabajadores"))</f>
        <v/>
      </c>
      <c r="D356" s="58"/>
      <c r="E356" s="58"/>
      <c r="F356" s="59"/>
      <c r="G356" s="59"/>
      <c r="H356" s="60"/>
      <c r="I356" s="58"/>
      <c r="J356" s="58"/>
      <c r="K356" s="58"/>
      <c r="L356" s="62" t="str">
        <f aca="false">IF(B356="","",IF(LEFT(C356,1)="⚠","⚠ Registre primero al trabajador en la hoja Trabajadores",IF(AND(N356="Sí",OR(E356="",NOT(ISNUMBER(F356)))),"⚠ Falta tipo de contrato o fecha de inicio",IF(NOT(ISNUMBER(F356)),"⚠ Falta fecha de inicio",IF(AND(N356="Sí",E356&lt;&gt;"Indefinido",NOT(ISNUMBER(G356))),"⚠ Falta fecha de término",IF(AND(D356="Paso a indefinido",E356&lt;&gt;"Indefinido"),"⚠ Un paso a indefinido debe tener tipo Indefinido",IF(N(Q356)&gt;=3,"⚠ 3er contrato a plazo fijo: por ley ya es INDEFINIDO (Art. 159 N°4)",IF(AND(E356="Plazo fijo",ISNUMBER(G356),(G356-F356+1)/30.4375&gt;12),"⚠ Plazo fijo mayor a 1 año (máximo legal)",IF(J356&lt;&gt;"Sí","Pendiente de firma","OK")))))))))</f>
        <v/>
      </c>
      <c r="M356" s="62" t="str">
        <f aca="false">IF(B356="","",IFERROR(VALUE(LEFT(UPPER(SUBSTITUTE(SUBSTITUTE(SUBSTITUTE(TRIM(B356),".",""),"-","")," ","")),LEN(UPPER(SUBSTITUTE(SUBSTITUTE(SUBSTITUTE(TRIM(B356),".",""),"-","")," ","")))-1))&amp;RIGHT(UPPER(SUBSTITUTE(SUBSTITUTE(SUBSTITUTE(TRIM(B356),".",""),"-","")," ","")),1),UPPER(SUBSTITUTE(SUBSTITUTE(SUBSTITUTE(TRIM(B356),".",""),"-","")," ",""))))</f>
        <v/>
      </c>
      <c r="N356" s="62" t="str">
        <f aca="false">IF(B356="","",IF(D356="Anexo de modificación","No","Sí"))</f>
        <v/>
      </c>
      <c r="O356" s="62" t="str">
        <f aca="false">IF(AND(N356="Sí",ISNUMBER(F356)),COUNTIFS(C_RUTN,M356,C_DEF,"Sí",C_INI,"&lt;"&amp;F356)+COUNTIFS(M$7:M356,M356,N$7:N356,"Sí",F$7:F356,F356),"")</f>
        <v/>
      </c>
      <c r="P356" s="62" t="str">
        <f aca="false">IF(O356="","",M356&amp;"-P"&amp;O356)</f>
        <v/>
      </c>
      <c r="Q356" s="62" t="str">
        <f aca="false">IF(AND(N356="Sí",E356="Plazo fijo",ISNUMBER(F356)),COUNTIFS(C_RUTN,M356,C_TIPO,"Plazo fijo",C_DEF,"Sí",C_INI,"&lt;"&amp;F356)+COUNTIFS(M$7:M356,M356,E$7:E356,"Plazo fijo",N$7:N356,"Sí",F$7:F356,F356),"")</f>
        <v/>
      </c>
      <c r="R356" s="62" t="str">
        <f aca="false">IF(AND(B356&lt;&gt;"",ISNUMBER(H356),ISNUMBER(F356)),COUNTIFS(C_RUTN,M356,C_SUELDO,"&lt;&gt;",C_INI,"&lt;"&amp;F356)+COUNTIFS(M$7:M356,M356,H$7:H356,"&lt;&gt;",F$7:F356,F356),"")</f>
        <v/>
      </c>
      <c r="S356" s="62" t="str">
        <f aca="false">IF(R356="","",M356&amp;"-S"&amp;R356)</f>
        <v/>
      </c>
    </row>
    <row r="357" customFormat="false" ht="15" hidden="false" customHeight="false" outlineLevel="0" collapsed="false">
      <c r="B357" s="58"/>
      <c r="C357" s="62" t="str">
        <f aca="false">IF(B357="","",IFERROR(INDEX(T_NOMBRE,MATCH(M357,T_RUTN,0)),"⚠ RUT no está en Trabajadores"))</f>
        <v/>
      </c>
      <c r="D357" s="58"/>
      <c r="E357" s="58"/>
      <c r="F357" s="59"/>
      <c r="G357" s="59"/>
      <c r="H357" s="60"/>
      <c r="I357" s="58"/>
      <c r="J357" s="58"/>
      <c r="K357" s="58"/>
      <c r="L357" s="62" t="str">
        <f aca="false">IF(B357="","",IF(LEFT(C357,1)="⚠","⚠ Registre primero al trabajador en la hoja Trabajadores",IF(AND(N357="Sí",OR(E357="",NOT(ISNUMBER(F357)))),"⚠ Falta tipo de contrato o fecha de inicio",IF(NOT(ISNUMBER(F357)),"⚠ Falta fecha de inicio",IF(AND(N357="Sí",E357&lt;&gt;"Indefinido",NOT(ISNUMBER(G357))),"⚠ Falta fecha de término",IF(AND(D357="Paso a indefinido",E357&lt;&gt;"Indefinido"),"⚠ Un paso a indefinido debe tener tipo Indefinido",IF(N(Q357)&gt;=3,"⚠ 3er contrato a plazo fijo: por ley ya es INDEFINIDO (Art. 159 N°4)",IF(AND(E357="Plazo fijo",ISNUMBER(G357),(G357-F357+1)/30.4375&gt;12),"⚠ Plazo fijo mayor a 1 año (máximo legal)",IF(J357&lt;&gt;"Sí","Pendiente de firma","OK")))))))))</f>
        <v/>
      </c>
      <c r="M357" s="62" t="str">
        <f aca="false">IF(B357="","",IFERROR(VALUE(LEFT(UPPER(SUBSTITUTE(SUBSTITUTE(SUBSTITUTE(TRIM(B357),".",""),"-","")," ","")),LEN(UPPER(SUBSTITUTE(SUBSTITUTE(SUBSTITUTE(TRIM(B357),".",""),"-","")," ","")))-1))&amp;RIGHT(UPPER(SUBSTITUTE(SUBSTITUTE(SUBSTITUTE(TRIM(B357),".",""),"-","")," ","")),1),UPPER(SUBSTITUTE(SUBSTITUTE(SUBSTITUTE(TRIM(B357),".",""),"-","")," ",""))))</f>
        <v/>
      </c>
      <c r="N357" s="62" t="str">
        <f aca="false">IF(B357="","",IF(D357="Anexo de modificación","No","Sí"))</f>
        <v/>
      </c>
      <c r="O357" s="62" t="str">
        <f aca="false">IF(AND(N357="Sí",ISNUMBER(F357)),COUNTIFS(C_RUTN,M357,C_DEF,"Sí",C_INI,"&lt;"&amp;F357)+COUNTIFS(M$7:M357,M357,N$7:N357,"Sí",F$7:F357,F357),"")</f>
        <v/>
      </c>
      <c r="P357" s="62" t="str">
        <f aca="false">IF(O357="","",M357&amp;"-P"&amp;O357)</f>
        <v/>
      </c>
      <c r="Q357" s="62" t="str">
        <f aca="false">IF(AND(N357="Sí",E357="Plazo fijo",ISNUMBER(F357)),COUNTIFS(C_RUTN,M357,C_TIPO,"Plazo fijo",C_DEF,"Sí",C_INI,"&lt;"&amp;F357)+COUNTIFS(M$7:M357,M357,E$7:E357,"Plazo fijo",N$7:N357,"Sí",F$7:F357,F357),"")</f>
        <v/>
      </c>
      <c r="R357" s="62" t="str">
        <f aca="false">IF(AND(B357&lt;&gt;"",ISNUMBER(H357),ISNUMBER(F357)),COUNTIFS(C_RUTN,M357,C_SUELDO,"&lt;&gt;",C_INI,"&lt;"&amp;F357)+COUNTIFS(M$7:M357,M357,H$7:H357,"&lt;&gt;",F$7:F357,F357),"")</f>
        <v/>
      </c>
      <c r="S357" s="62" t="str">
        <f aca="false">IF(R357="","",M357&amp;"-S"&amp;R357)</f>
        <v/>
      </c>
    </row>
    <row r="358" customFormat="false" ht="15" hidden="false" customHeight="false" outlineLevel="0" collapsed="false">
      <c r="B358" s="58"/>
      <c r="C358" s="62" t="str">
        <f aca="false">IF(B358="","",IFERROR(INDEX(T_NOMBRE,MATCH(M358,T_RUTN,0)),"⚠ RUT no está en Trabajadores"))</f>
        <v/>
      </c>
      <c r="D358" s="58"/>
      <c r="E358" s="58"/>
      <c r="F358" s="59"/>
      <c r="G358" s="59"/>
      <c r="H358" s="60"/>
      <c r="I358" s="58"/>
      <c r="J358" s="58"/>
      <c r="K358" s="58"/>
      <c r="L358" s="62" t="str">
        <f aca="false">IF(B358="","",IF(LEFT(C358,1)="⚠","⚠ Registre primero al trabajador en la hoja Trabajadores",IF(AND(N358="Sí",OR(E358="",NOT(ISNUMBER(F358)))),"⚠ Falta tipo de contrato o fecha de inicio",IF(NOT(ISNUMBER(F358)),"⚠ Falta fecha de inicio",IF(AND(N358="Sí",E358&lt;&gt;"Indefinido",NOT(ISNUMBER(G358))),"⚠ Falta fecha de término",IF(AND(D358="Paso a indefinido",E358&lt;&gt;"Indefinido"),"⚠ Un paso a indefinido debe tener tipo Indefinido",IF(N(Q358)&gt;=3,"⚠ 3er contrato a plazo fijo: por ley ya es INDEFINIDO (Art. 159 N°4)",IF(AND(E358="Plazo fijo",ISNUMBER(G358),(G358-F358+1)/30.4375&gt;12),"⚠ Plazo fijo mayor a 1 año (máximo legal)",IF(J358&lt;&gt;"Sí","Pendiente de firma","OK")))))))))</f>
        <v/>
      </c>
      <c r="M358" s="62" t="str">
        <f aca="false">IF(B358="","",IFERROR(VALUE(LEFT(UPPER(SUBSTITUTE(SUBSTITUTE(SUBSTITUTE(TRIM(B358),".",""),"-","")," ","")),LEN(UPPER(SUBSTITUTE(SUBSTITUTE(SUBSTITUTE(TRIM(B358),".",""),"-","")," ","")))-1))&amp;RIGHT(UPPER(SUBSTITUTE(SUBSTITUTE(SUBSTITUTE(TRIM(B358),".",""),"-","")," ","")),1),UPPER(SUBSTITUTE(SUBSTITUTE(SUBSTITUTE(TRIM(B358),".",""),"-","")," ",""))))</f>
        <v/>
      </c>
      <c r="N358" s="62" t="str">
        <f aca="false">IF(B358="","",IF(D358="Anexo de modificación","No","Sí"))</f>
        <v/>
      </c>
      <c r="O358" s="62" t="str">
        <f aca="false">IF(AND(N358="Sí",ISNUMBER(F358)),COUNTIFS(C_RUTN,M358,C_DEF,"Sí",C_INI,"&lt;"&amp;F358)+COUNTIFS(M$7:M358,M358,N$7:N358,"Sí",F$7:F358,F358),"")</f>
        <v/>
      </c>
      <c r="P358" s="62" t="str">
        <f aca="false">IF(O358="","",M358&amp;"-P"&amp;O358)</f>
        <v/>
      </c>
      <c r="Q358" s="62" t="str">
        <f aca="false">IF(AND(N358="Sí",E358="Plazo fijo",ISNUMBER(F358)),COUNTIFS(C_RUTN,M358,C_TIPO,"Plazo fijo",C_DEF,"Sí",C_INI,"&lt;"&amp;F358)+COUNTIFS(M$7:M358,M358,E$7:E358,"Plazo fijo",N$7:N358,"Sí",F$7:F358,F358),"")</f>
        <v/>
      </c>
      <c r="R358" s="62" t="str">
        <f aca="false">IF(AND(B358&lt;&gt;"",ISNUMBER(H358),ISNUMBER(F358)),COUNTIFS(C_RUTN,M358,C_SUELDO,"&lt;&gt;",C_INI,"&lt;"&amp;F358)+COUNTIFS(M$7:M358,M358,H$7:H358,"&lt;&gt;",F$7:F358,F358),"")</f>
        <v/>
      </c>
      <c r="S358" s="62" t="str">
        <f aca="false">IF(R358="","",M358&amp;"-S"&amp;R358)</f>
        <v/>
      </c>
    </row>
    <row r="359" customFormat="false" ht="15" hidden="false" customHeight="false" outlineLevel="0" collapsed="false">
      <c r="B359" s="58"/>
      <c r="C359" s="62" t="str">
        <f aca="false">IF(B359="","",IFERROR(INDEX(T_NOMBRE,MATCH(M359,T_RUTN,0)),"⚠ RUT no está en Trabajadores"))</f>
        <v/>
      </c>
      <c r="D359" s="58"/>
      <c r="E359" s="58"/>
      <c r="F359" s="59"/>
      <c r="G359" s="59"/>
      <c r="H359" s="60"/>
      <c r="I359" s="58"/>
      <c r="J359" s="58"/>
      <c r="K359" s="58"/>
      <c r="L359" s="62" t="str">
        <f aca="false">IF(B359="","",IF(LEFT(C359,1)="⚠","⚠ Registre primero al trabajador en la hoja Trabajadores",IF(AND(N359="Sí",OR(E359="",NOT(ISNUMBER(F359)))),"⚠ Falta tipo de contrato o fecha de inicio",IF(NOT(ISNUMBER(F359)),"⚠ Falta fecha de inicio",IF(AND(N359="Sí",E359&lt;&gt;"Indefinido",NOT(ISNUMBER(G359))),"⚠ Falta fecha de término",IF(AND(D359="Paso a indefinido",E359&lt;&gt;"Indefinido"),"⚠ Un paso a indefinido debe tener tipo Indefinido",IF(N(Q359)&gt;=3,"⚠ 3er contrato a plazo fijo: por ley ya es INDEFINIDO (Art. 159 N°4)",IF(AND(E359="Plazo fijo",ISNUMBER(G359),(G359-F359+1)/30.4375&gt;12),"⚠ Plazo fijo mayor a 1 año (máximo legal)",IF(J359&lt;&gt;"Sí","Pendiente de firma","OK")))))))))</f>
        <v/>
      </c>
      <c r="M359" s="62" t="str">
        <f aca="false">IF(B359="","",IFERROR(VALUE(LEFT(UPPER(SUBSTITUTE(SUBSTITUTE(SUBSTITUTE(TRIM(B359),".",""),"-","")," ","")),LEN(UPPER(SUBSTITUTE(SUBSTITUTE(SUBSTITUTE(TRIM(B359),".",""),"-","")," ","")))-1))&amp;RIGHT(UPPER(SUBSTITUTE(SUBSTITUTE(SUBSTITUTE(TRIM(B359),".",""),"-","")," ","")),1),UPPER(SUBSTITUTE(SUBSTITUTE(SUBSTITUTE(TRIM(B359),".",""),"-","")," ",""))))</f>
        <v/>
      </c>
      <c r="N359" s="62" t="str">
        <f aca="false">IF(B359="","",IF(D359="Anexo de modificación","No","Sí"))</f>
        <v/>
      </c>
      <c r="O359" s="62" t="str">
        <f aca="false">IF(AND(N359="Sí",ISNUMBER(F359)),COUNTIFS(C_RUTN,M359,C_DEF,"Sí",C_INI,"&lt;"&amp;F359)+COUNTIFS(M$7:M359,M359,N$7:N359,"Sí",F$7:F359,F359),"")</f>
        <v/>
      </c>
      <c r="P359" s="62" t="str">
        <f aca="false">IF(O359="","",M359&amp;"-P"&amp;O359)</f>
        <v/>
      </c>
      <c r="Q359" s="62" t="str">
        <f aca="false">IF(AND(N359="Sí",E359="Plazo fijo",ISNUMBER(F359)),COUNTIFS(C_RUTN,M359,C_TIPO,"Plazo fijo",C_DEF,"Sí",C_INI,"&lt;"&amp;F359)+COUNTIFS(M$7:M359,M359,E$7:E359,"Plazo fijo",N$7:N359,"Sí",F$7:F359,F359),"")</f>
        <v/>
      </c>
      <c r="R359" s="62" t="str">
        <f aca="false">IF(AND(B359&lt;&gt;"",ISNUMBER(H359),ISNUMBER(F359)),COUNTIFS(C_RUTN,M359,C_SUELDO,"&lt;&gt;",C_INI,"&lt;"&amp;F359)+COUNTIFS(M$7:M359,M359,H$7:H359,"&lt;&gt;",F$7:F359,F359),"")</f>
        <v/>
      </c>
      <c r="S359" s="62" t="str">
        <f aca="false">IF(R359="","",M359&amp;"-S"&amp;R359)</f>
        <v/>
      </c>
    </row>
    <row r="360" customFormat="false" ht="15" hidden="false" customHeight="false" outlineLevel="0" collapsed="false">
      <c r="B360" s="58"/>
      <c r="C360" s="62" t="str">
        <f aca="false">IF(B360="","",IFERROR(INDEX(T_NOMBRE,MATCH(M360,T_RUTN,0)),"⚠ RUT no está en Trabajadores"))</f>
        <v/>
      </c>
      <c r="D360" s="58"/>
      <c r="E360" s="58"/>
      <c r="F360" s="59"/>
      <c r="G360" s="59"/>
      <c r="H360" s="60"/>
      <c r="I360" s="58"/>
      <c r="J360" s="58"/>
      <c r="K360" s="58"/>
      <c r="L360" s="62" t="str">
        <f aca="false">IF(B360="","",IF(LEFT(C360,1)="⚠","⚠ Registre primero al trabajador en la hoja Trabajadores",IF(AND(N360="Sí",OR(E360="",NOT(ISNUMBER(F360)))),"⚠ Falta tipo de contrato o fecha de inicio",IF(NOT(ISNUMBER(F360)),"⚠ Falta fecha de inicio",IF(AND(N360="Sí",E360&lt;&gt;"Indefinido",NOT(ISNUMBER(G360))),"⚠ Falta fecha de término",IF(AND(D360="Paso a indefinido",E360&lt;&gt;"Indefinido"),"⚠ Un paso a indefinido debe tener tipo Indefinido",IF(N(Q360)&gt;=3,"⚠ 3er contrato a plazo fijo: por ley ya es INDEFINIDO (Art. 159 N°4)",IF(AND(E360="Plazo fijo",ISNUMBER(G360),(G360-F360+1)/30.4375&gt;12),"⚠ Plazo fijo mayor a 1 año (máximo legal)",IF(J360&lt;&gt;"Sí","Pendiente de firma","OK")))))))))</f>
        <v/>
      </c>
      <c r="M360" s="62" t="str">
        <f aca="false">IF(B360="","",IFERROR(VALUE(LEFT(UPPER(SUBSTITUTE(SUBSTITUTE(SUBSTITUTE(TRIM(B360),".",""),"-","")," ","")),LEN(UPPER(SUBSTITUTE(SUBSTITUTE(SUBSTITUTE(TRIM(B360),".",""),"-","")," ","")))-1))&amp;RIGHT(UPPER(SUBSTITUTE(SUBSTITUTE(SUBSTITUTE(TRIM(B360),".",""),"-","")," ","")),1),UPPER(SUBSTITUTE(SUBSTITUTE(SUBSTITUTE(TRIM(B360),".",""),"-","")," ",""))))</f>
        <v/>
      </c>
      <c r="N360" s="62" t="str">
        <f aca="false">IF(B360="","",IF(D360="Anexo de modificación","No","Sí"))</f>
        <v/>
      </c>
      <c r="O360" s="62" t="str">
        <f aca="false">IF(AND(N360="Sí",ISNUMBER(F360)),COUNTIFS(C_RUTN,M360,C_DEF,"Sí",C_INI,"&lt;"&amp;F360)+COUNTIFS(M$7:M360,M360,N$7:N360,"Sí",F$7:F360,F360),"")</f>
        <v/>
      </c>
      <c r="P360" s="62" t="str">
        <f aca="false">IF(O360="","",M360&amp;"-P"&amp;O360)</f>
        <v/>
      </c>
      <c r="Q360" s="62" t="str">
        <f aca="false">IF(AND(N360="Sí",E360="Plazo fijo",ISNUMBER(F360)),COUNTIFS(C_RUTN,M360,C_TIPO,"Plazo fijo",C_DEF,"Sí",C_INI,"&lt;"&amp;F360)+COUNTIFS(M$7:M360,M360,E$7:E360,"Plazo fijo",N$7:N360,"Sí",F$7:F360,F360),"")</f>
        <v/>
      </c>
      <c r="R360" s="62" t="str">
        <f aca="false">IF(AND(B360&lt;&gt;"",ISNUMBER(H360),ISNUMBER(F360)),COUNTIFS(C_RUTN,M360,C_SUELDO,"&lt;&gt;",C_INI,"&lt;"&amp;F360)+COUNTIFS(M$7:M360,M360,H$7:H360,"&lt;&gt;",F$7:F360,F360),"")</f>
        <v/>
      </c>
      <c r="S360" s="62" t="str">
        <f aca="false">IF(R360="","",M360&amp;"-S"&amp;R360)</f>
        <v/>
      </c>
    </row>
    <row r="361" customFormat="false" ht="15" hidden="false" customHeight="false" outlineLevel="0" collapsed="false">
      <c r="B361" s="58"/>
      <c r="C361" s="62" t="str">
        <f aca="false">IF(B361="","",IFERROR(INDEX(T_NOMBRE,MATCH(M361,T_RUTN,0)),"⚠ RUT no está en Trabajadores"))</f>
        <v/>
      </c>
      <c r="D361" s="58"/>
      <c r="E361" s="58"/>
      <c r="F361" s="59"/>
      <c r="G361" s="59"/>
      <c r="H361" s="60"/>
      <c r="I361" s="58"/>
      <c r="J361" s="58"/>
      <c r="K361" s="58"/>
      <c r="L361" s="62" t="str">
        <f aca="false">IF(B361="","",IF(LEFT(C361,1)="⚠","⚠ Registre primero al trabajador en la hoja Trabajadores",IF(AND(N361="Sí",OR(E361="",NOT(ISNUMBER(F361)))),"⚠ Falta tipo de contrato o fecha de inicio",IF(NOT(ISNUMBER(F361)),"⚠ Falta fecha de inicio",IF(AND(N361="Sí",E361&lt;&gt;"Indefinido",NOT(ISNUMBER(G361))),"⚠ Falta fecha de término",IF(AND(D361="Paso a indefinido",E361&lt;&gt;"Indefinido"),"⚠ Un paso a indefinido debe tener tipo Indefinido",IF(N(Q361)&gt;=3,"⚠ 3er contrato a plazo fijo: por ley ya es INDEFINIDO (Art. 159 N°4)",IF(AND(E361="Plazo fijo",ISNUMBER(G361),(G361-F361+1)/30.4375&gt;12),"⚠ Plazo fijo mayor a 1 año (máximo legal)",IF(J361&lt;&gt;"Sí","Pendiente de firma","OK")))))))))</f>
        <v/>
      </c>
      <c r="M361" s="62" t="str">
        <f aca="false">IF(B361="","",IFERROR(VALUE(LEFT(UPPER(SUBSTITUTE(SUBSTITUTE(SUBSTITUTE(TRIM(B361),".",""),"-","")," ","")),LEN(UPPER(SUBSTITUTE(SUBSTITUTE(SUBSTITUTE(TRIM(B361),".",""),"-","")," ","")))-1))&amp;RIGHT(UPPER(SUBSTITUTE(SUBSTITUTE(SUBSTITUTE(TRIM(B361),".",""),"-","")," ","")),1),UPPER(SUBSTITUTE(SUBSTITUTE(SUBSTITUTE(TRIM(B361),".",""),"-","")," ",""))))</f>
        <v/>
      </c>
      <c r="N361" s="62" t="str">
        <f aca="false">IF(B361="","",IF(D361="Anexo de modificación","No","Sí"))</f>
        <v/>
      </c>
      <c r="O361" s="62" t="str">
        <f aca="false">IF(AND(N361="Sí",ISNUMBER(F361)),COUNTIFS(C_RUTN,M361,C_DEF,"Sí",C_INI,"&lt;"&amp;F361)+COUNTIFS(M$7:M361,M361,N$7:N361,"Sí",F$7:F361,F361),"")</f>
        <v/>
      </c>
      <c r="P361" s="62" t="str">
        <f aca="false">IF(O361="","",M361&amp;"-P"&amp;O361)</f>
        <v/>
      </c>
      <c r="Q361" s="62" t="str">
        <f aca="false">IF(AND(N361="Sí",E361="Plazo fijo",ISNUMBER(F361)),COUNTIFS(C_RUTN,M361,C_TIPO,"Plazo fijo",C_DEF,"Sí",C_INI,"&lt;"&amp;F361)+COUNTIFS(M$7:M361,M361,E$7:E361,"Plazo fijo",N$7:N361,"Sí",F$7:F361,F361),"")</f>
        <v/>
      </c>
      <c r="R361" s="62" t="str">
        <f aca="false">IF(AND(B361&lt;&gt;"",ISNUMBER(H361),ISNUMBER(F361)),COUNTIFS(C_RUTN,M361,C_SUELDO,"&lt;&gt;",C_INI,"&lt;"&amp;F361)+COUNTIFS(M$7:M361,M361,H$7:H361,"&lt;&gt;",F$7:F361,F361),"")</f>
        <v/>
      </c>
      <c r="S361" s="62" t="str">
        <f aca="false">IF(R361="","",M361&amp;"-S"&amp;R361)</f>
        <v/>
      </c>
    </row>
    <row r="362" customFormat="false" ht="15" hidden="false" customHeight="false" outlineLevel="0" collapsed="false">
      <c r="B362" s="58"/>
      <c r="C362" s="62" t="str">
        <f aca="false">IF(B362="","",IFERROR(INDEX(T_NOMBRE,MATCH(M362,T_RUTN,0)),"⚠ RUT no está en Trabajadores"))</f>
        <v/>
      </c>
      <c r="D362" s="58"/>
      <c r="E362" s="58"/>
      <c r="F362" s="59"/>
      <c r="G362" s="59"/>
      <c r="H362" s="60"/>
      <c r="I362" s="58"/>
      <c r="J362" s="58"/>
      <c r="K362" s="58"/>
      <c r="L362" s="62" t="str">
        <f aca="false">IF(B362="","",IF(LEFT(C362,1)="⚠","⚠ Registre primero al trabajador en la hoja Trabajadores",IF(AND(N362="Sí",OR(E362="",NOT(ISNUMBER(F362)))),"⚠ Falta tipo de contrato o fecha de inicio",IF(NOT(ISNUMBER(F362)),"⚠ Falta fecha de inicio",IF(AND(N362="Sí",E362&lt;&gt;"Indefinido",NOT(ISNUMBER(G362))),"⚠ Falta fecha de término",IF(AND(D362="Paso a indefinido",E362&lt;&gt;"Indefinido"),"⚠ Un paso a indefinido debe tener tipo Indefinido",IF(N(Q362)&gt;=3,"⚠ 3er contrato a plazo fijo: por ley ya es INDEFINIDO (Art. 159 N°4)",IF(AND(E362="Plazo fijo",ISNUMBER(G362),(G362-F362+1)/30.4375&gt;12),"⚠ Plazo fijo mayor a 1 año (máximo legal)",IF(J362&lt;&gt;"Sí","Pendiente de firma","OK")))))))))</f>
        <v/>
      </c>
      <c r="M362" s="62" t="str">
        <f aca="false">IF(B362="","",IFERROR(VALUE(LEFT(UPPER(SUBSTITUTE(SUBSTITUTE(SUBSTITUTE(TRIM(B362),".",""),"-","")," ","")),LEN(UPPER(SUBSTITUTE(SUBSTITUTE(SUBSTITUTE(TRIM(B362),".",""),"-","")," ","")))-1))&amp;RIGHT(UPPER(SUBSTITUTE(SUBSTITUTE(SUBSTITUTE(TRIM(B362),".",""),"-","")," ","")),1),UPPER(SUBSTITUTE(SUBSTITUTE(SUBSTITUTE(TRIM(B362),".",""),"-","")," ",""))))</f>
        <v/>
      </c>
      <c r="N362" s="62" t="str">
        <f aca="false">IF(B362="","",IF(D362="Anexo de modificación","No","Sí"))</f>
        <v/>
      </c>
      <c r="O362" s="62" t="str">
        <f aca="false">IF(AND(N362="Sí",ISNUMBER(F362)),COUNTIFS(C_RUTN,M362,C_DEF,"Sí",C_INI,"&lt;"&amp;F362)+COUNTIFS(M$7:M362,M362,N$7:N362,"Sí",F$7:F362,F362),"")</f>
        <v/>
      </c>
      <c r="P362" s="62" t="str">
        <f aca="false">IF(O362="","",M362&amp;"-P"&amp;O362)</f>
        <v/>
      </c>
      <c r="Q362" s="62" t="str">
        <f aca="false">IF(AND(N362="Sí",E362="Plazo fijo",ISNUMBER(F362)),COUNTIFS(C_RUTN,M362,C_TIPO,"Plazo fijo",C_DEF,"Sí",C_INI,"&lt;"&amp;F362)+COUNTIFS(M$7:M362,M362,E$7:E362,"Plazo fijo",N$7:N362,"Sí",F$7:F362,F362),"")</f>
        <v/>
      </c>
      <c r="R362" s="62" t="str">
        <f aca="false">IF(AND(B362&lt;&gt;"",ISNUMBER(H362),ISNUMBER(F362)),COUNTIFS(C_RUTN,M362,C_SUELDO,"&lt;&gt;",C_INI,"&lt;"&amp;F362)+COUNTIFS(M$7:M362,M362,H$7:H362,"&lt;&gt;",F$7:F362,F362),"")</f>
        <v/>
      </c>
      <c r="S362" s="62" t="str">
        <f aca="false">IF(R362="","",M362&amp;"-S"&amp;R362)</f>
        <v/>
      </c>
    </row>
    <row r="363" customFormat="false" ht="15" hidden="false" customHeight="false" outlineLevel="0" collapsed="false">
      <c r="B363" s="58"/>
      <c r="C363" s="62" t="str">
        <f aca="false">IF(B363="","",IFERROR(INDEX(T_NOMBRE,MATCH(M363,T_RUTN,0)),"⚠ RUT no está en Trabajadores"))</f>
        <v/>
      </c>
      <c r="D363" s="58"/>
      <c r="E363" s="58"/>
      <c r="F363" s="59"/>
      <c r="G363" s="59"/>
      <c r="H363" s="60"/>
      <c r="I363" s="58"/>
      <c r="J363" s="58"/>
      <c r="K363" s="58"/>
      <c r="L363" s="62" t="str">
        <f aca="false">IF(B363="","",IF(LEFT(C363,1)="⚠","⚠ Registre primero al trabajador en la hoja Trabajadores",IF(AND(N363="Sí",OR(E363="",NOT(ISNUMBER(F363)))),"⚠ Falta tipo de contrato o fecha de inicio",IF(NOT(ISNUMBER(F363)),"⚠ Falta fecha de inicio",IF(AND(N363="Sí",E363&lt;&gt;"Indefinido",NOT(ISNUMBER(G363))),"⚠ Falta fecha de término",IF(AND(D363="Paso a indefinido",E363&lt;&gt;"Indefinido"),"⚠ Un paso a indefinido debe tener tipo Indefinido",IF(N(Q363)&gt;=3,"⚠ 3er contrato a plazo fijo: por ley ya es INDEFINIDO (Art. 159 N°4)",IF(AND(E363="Plazo fijo",ISNUMBER(G363),(G363-F363+1)/30.4375&gt;12),"⚠ Plazo fijo mayor a 1 año (máximo legal)",IF(J363&lt;&gt;"Sí","Pendiente de firma","OK")))))))))</f>
        <v/>
      </c>
      <c r="M363" s="62" t="str">
        <f aca="false">IF(B363="","",IFERROR(VALUE(LEFT(UPPER(SUBSTITUTE(SUBSTITUTE(SUBSTITUTE(TRIM(B363),".",""),"-","")," ","")),LEN(UPPER(SUBSTITUTE(SUBSTITUTE(SUBSTITUTE(TRIM(B363),".",""),"-","")," ","")))-1))&amp;RIGHT(UPPER(SUBSTITUTE(SUBSTITUTE(SUBSTITUTE(TRIM(B363),".",""),"-","")," ","")),1),UPPER(SUBSTITUTE(SUBSTITUTE(SUBSTITUTE(TRIM(B363),".",""),"-","")," ",""))))</f>
        <v/>
      </c>
      <c r="N363" s="62" t="str">
        <f aca="false">IF(B363="","",IF(D363="Anexo de modificación","No","Sí"))</f>
        <v/>
      </c>
      <c r="O363" s="62" t="str">
        <f aca="false">IF(AND(N363="Sí",ISNUMBER(F363)),COUNTIFS(C_RUTN,M363,C_DEF,"Sí",C_INI,"&lt;"&amp;F363)+COUNTIFS(M$7:M363,M363,N$7:N363,"Sí",F$7:F363,F363),"")</f>
        <v/>
      </c>
      <c r="P363" s="62" t="str">
        <f aca="false">IF(O363="","",M363&amp;"-P"&amp;O363)</f>
        <v/>
      </c>
      <c r="Q363" s="62" t="str">
        <f aca="false">IF(AND(N363="Sí",E363="Plazo fijo",ISNUMBER(F363)),COUNTIFS(C_RUTN,M363,C_TIPO,"Plazo fijo",C_DEF,"Sí",C_INI,"&lt;"&amp;F363)+COUNTIFS(M$7:M363,M363,E$7:E363,"Plazo fijo",N$7:N363,"Sí",F$7:F363,F363),"")</f>
        <v/>
      </c>
      <c r="R363" s="62" t="str">
        <f aca="false">IF(AND(B363&lt;&gt;"",ISNUMBER(H363),ISNUMBER(F363)),COUNTIFS(C_RUTN,M363,C_SUELDO,"&lt;&gt;",C_INI,"&lt;"&amp;F363)+COUNTIFS(M$7:M363,M363,H$7:H363,"&lt;&gt;",F$7:F363,F363),"")</f>
        <v/>
      </c>
      <c r="S363" s="62" t="str">
        <f aca="false">IF(R363="","",M363&amp;"-S"&amp;R363)</f>
        <v/>
      </c>
    </row>
    <row r="364" customFormat="false" ht="15" hidden="false" customHeight="false" outlineLevel="0" collapsed="false">
      <c r="B364" s="58"/>
      <c r="C364" s="62" t="str">
        <f aca="false">IF(B364="","",IFERROR(INDEX(T_NOMBRE,MATCH(M364,T_RUTN,0)),"⚠ RUT no está en Trabajadores"))</f>
        <v/>
      </c>
      <c r="D364" s="58"/>
      <c r="E364" s="58"/>
      <c r="F364" s="59"/>
      <c r="G364" s="59"/>
      <c r="H364" s="60"/>
      <c r="I364" s="58"/>
      <c r="J364" s="58"/>
      <c r="K364" s="58"/>
      <c r="L364" s="62" t="str">
        <f aca="false">IF(B364="","",IF(LEFT(C364,1)="⚠","⚠ Registre primero al trabajador en la hoja Trabajadores",IF(AND(N364="Sí",OR(E364="",NOT(ISNUMBER(F364)))),"⚠ Falta tipo de contrato o fecha de inicio",IF(NOT(ISNUMBER(F364)),"⚠ Falta fecha de inicio",IF(AND(N364="Sí",E364&lt;&gt;"Indefinido",NOT(ISNUMBER(G364))),"⚠ Falta fecha de término",IF(AND(D364="Paso a indefinido",E364&lt;&gt;"Indefinido"),"⚠ Un paso a indefinido debe tener tipo Indefinido",IF(N(Q364)&gt;=3,"⚠ 3er contrato a plazo fijo: por ley ya es INDEFINIDO (Art. 159 N°4)",IF(AND(E364="Plazo fijo",ISNUMBER(G364),(G364-F364+1)/30.4375&gt;12),"⚠ Plazo fijo mayor a 1 año (máximo legal)",IF(J364&lt;&gt;"Sí","Pendiente de firma","OK")))))))))</f>
        <v/>
      </c>
      <c r="M364" s="62" t="str">
        <f aca="false">IF(B364="","",IFERROR(VALUE(LEFT(UPPER(SUBSTITUTE(SUBSTITUTE(SUBSTITUTE(TRIM(B364),".",""),"-","")," ","")),LEN(UPPER(SUBSTITUTE(SUBSTITUTE(SUBSTITUTE(TRIM(B364),".",""),"-","")," ","")))-1))&amp;RIGHT(UPPER(SUBSTITUTE(SUBSTITUTE(SUBSTITUTE(TRIM(B364),".",""),"-","")," ","")),1),UPPER(SUBSTITUTE(SUBSTITUTE(SUBSTITUTE(TRIM(B364),".",""),"-","")," ",""))))</f>
        <v/>
      </c>
      <c r="N364" s="62" t="str">
        <f aca="false">IF(B364="","",IF(D364="Anexo de modificación","No","Sí"))</f>
        <v/>
      </c>
      <c r="O364" s="62" t="str">
        <f aca="false">IF(AND(N364="Sí",ISNUMBER(F364)),COUNTIFS(C_RUTN,M364,C_DEF,"Sí",C_INI,"&lt;"&amp;F364)+COUNTIFS(M$7:M364,M364,N$7:N364,"Sí",F$7:F364,F364),"")</f>
        <v/>
      </c>
      <c r="P364" s="62" t="str">
        <f aca="false">IF(O364="","",M364&amp;"-P"&amp;O364)</f>
        <v/>
      </c>
      <c r="Q364" s="62" t="str">
        <f aca="false">IF(AND(N364="Sí",E364="Plazo fijo",ISNUMBER(F364)),COUNTIFS(C_RUTN,M364,C_TIPO,"Plazo fijo",C_DEF,"Sí",C_INI,"&lt;"&amp;F364)+COUNTIFS(M$7:M364,M364,E$7:E364,"Plazo fijo",N$7:N364,"Sí",F$7:F364,F364),"")</f>
        <v/>
      </c>
      <c r="R364" s="62" t="str">
        <f aca="false">IF(AND(B364&lt;&gt;"",ISNUMBER(H364),ISNUMBER(F364)),COUNTIFS(C_RUTN,M364,C_SUELDO,"&lt;&gt;",C_INI,"&lt;"&amp;F364)+COUNTIFS(M$7:M364,M364,H$7:H364,"&lt;&gt;",F$7:F364,F364),"")</f>
        <v/>
      </c>
      <c r="S364" s="62" t="str">
        <f aca="false">IF(R364="","",M364&amp;"-S"&amp;R364)</f>
        <v/>
      </c>
    </row>
    <row r="365" customFormat="false" ht="15" hidden="false" customHeight="false" outlineLevel="0" collapsed="false">
      <c r="B365" s="58"/>
      <c r="C365" s="62" t="str">
        <f aca="false">IF(B365="","",IFERROR(INDEX(T_NOMBRE,MATCH(M365,T_RUTN,0)),"⚠ RUT no está en Trabajadores"))</f>
        <v/>
      </c>
      <c r="D365" s="58"/>
      <c r="E365" s="58"/>
      <c r="F365" s="59"/>
      <c r="G365" s="59"/>
      <c r="H365" s="60"/>
      <c r="I365" s="58"/>
      <c r="J365" s="58"/>
      <c r="K365" s="58"/>
      <c r="L365" s="62" t="str">
        <f aca="false">IF(B365="","",IF(LEFT(C365,1)="⚠","⚠ Registre primero al trabajador en la hoja Trabajadores",IF(AND(N365="Sí",OR(E365="",NOT(ISNUMBER(F365)))),"⚠ Falta tipo de contrato o fecha de inicio",IF(NOT(ISNUMBER(F365)),"⚠ Falta fecha de inicio",IF(AND(N365="Sí",E365&lt;&gt;"Indefinido",NOT(ISNUMBER(G365))),"⚠ Falta fecha de término",IF(AND(D365="Paso a indefinido",E365&lt;&gt;"Indefinido"),"⚠ Un paso a indefinido debe tener tipo Indefinido",IF(N(Q365)&gt;=3,"⚠ 3er contrato a plazo fijo: por ley ya es INDEFINIDO (Art. 159 N°4)",IF(AND(E365="Plazo fijo",ISNUMBER(G365),(G365-F365+1)/30.4375&gt;12),"⚠ Plazo fijo mayor a 1 año (máximo legal)",IF(J365&lt;&gt;"Sí","Pendiente de firma","OK")))))))))</f>
        <v/>
      </c>
      <c r="M365" s="62" t="str">
        <f aca="false">IF(B365="","",IFERROR(VALUE(LEFT(UPPER(SUBSTITUTE(SUBSTITUTE(SUBSTITUTE(TRIM(B365),".",""),"-","")," ","")),LEN(UPPER(SUBSTITUTE(SUBSTITUTE(SUBSTITUTE(TRIM(B365),".",""),"-","")," ","")))-1))&amp;RIGHT(UPPER(SUBSTITUTE(SUBSTITUTE(SUBSTITUTE(TRIM(B365),".",""),"-","")," ","")),1),UPPER(SUBSTITUTE(SUBSTITUTE(SUBSTITUTE(TRIM(B365),".",""),"-","")," ",""))))</f>
        <v/>
      </c>
      <c r="N365" s="62" t="str">
        <f aca="false">IF(B365="","",IF(D365="Anexo de modificación","No","Sí"))</f>
        <v/>
      </c>
      <c r="O365" s="62" t="str">
        <f aca="false">IF(AND(N365="Sí",ISNUMBER(F365)),COUNTIFS(C_RUTN,M365,C_DEF,"Sí",C_INI,"&lt;"&amp;F365)+COUNTIFS(M$7:M365,M365,N$7:N365,"Sí",F$7:F365,F365),"")</f>
        <v/>
      </c>
      <c r="P365" s="62" t="str">
        <f aca="false">IF(O365="","",M365&amp;"-P"&amp;O365)</f>
        <v/>
      </c>
      <c r="Q365" s="62" t="str">
        <f aca="false">IF(AND(N365="Sí",E365="Plazo fijo",ISNUMBER(F365)),COUNTIFS(C_RUTN,M365,C_TIPO,"Plazo fijo",C_DEF,"Sí",C_INI,"&lt;"&amp;F365)+COUNTIFS(M$7:M365,M365,E$7:E365,"Plazo fijo",N$7:N365,"Sí",F$7:F365,F365),"")</f>
        <v/>
      </c>
      <c r="R365" s="62" t="str">
        <f aca="false">IF(AND(B365&lt;&gt;"",ISNUMBER(H365),ISNUMBER(F365)),COUNTIFS(C_RUTN,M365,C_SUELDO,"&lt;&gt;",C_INI,"&lt;"&amp;F365)+COUNTIFS(M$7:M365,M365,H$7:H365,"&lt;&gt;",F$7:F365,F365),"")</f>
        <v/>
      </c>
      <c r="S365" s="62" t="str">
        <f aca="false">IF(R365="","",M365&amp;"-S"&amp;R365)</f>
        <v/>
      </c>
    </row>
    <row r="366" customFormat="false" ht="15" hidden="false" customHeight="false" outlineLevel="0" collapsed="false">
      <c r="B366" s="58"/>
      <c r="C366" s="62" t="str">
        <f aca="false">IF(B366="","",IFERROR(INDEX(T_NOMBRE,MATCH(M366,T_RUTN,0)),"⚠ RUT no está en Trabajadores"))</f>
        <v/>
      </c>
      <c r="D366" s="58"/>
      <c r="E366" s="58"/>
      <c r="F366" s="59"/>
      <c r="G366" s="59"/>
      <c r="H366" s="60"/>
      <c r="I366" s="58"/>
      <c r="J366" s="58"/>
      <c r="K366" s="58"/>
      <c r="L366" s="62" t="str">
        <f aca="false">IF(B366="","",IF(LEFT(C366,1)="⚠","⚠ Registre primero al trabajador en la hoja Trabajadores",IF(AND(N366="Sí",OR(E366="",NOT(ISNUMBER(F366)))),"⚠ Falta tipo de contrato o fecha de inicio",IF(NOT(ISNUMBER(F366)),"⚠ Falta fecha de inicio",IF(AND(N366="Sí",E366&lt;&gt;"Indefinido",NOT(ISNUMBER(G366))),"⚠ Falta fecha de término",IF(AND(D366="Paso a indefinido",E366&lt;&gt;"Indefinido"),"⚠ Un paso a indefinido debe tener tipo Indefinido",IF(N(Q366)&gt;=3,"⚠ 3er contrato a plazo fijo: por ley ya es INDEFINIDO (Art. 159 N°4)",IF(AND(E366="Plazo fijo",ISNUMBER(G366),(G366-F366+1)/30.4375&gt;12),"⚠ Plazo fijo mayor a 1 año (máximo legal)",IF(J366&lt;&gt;"Sí","Pendiente de firma","OK")))))))))</f>
        <v/>
      </c>
      <c r="M366" s="62" t="str">
        <f aca="false">IF(B366="","",IFERROR(VALUE(LEFT(UPPER(SUBSTITUTE(SUBSTITUTE(SUBSTITUTE(TRIM(B366),".",""),"-","")," ","")),LEN(UPPER(SUBSTITUTE(SUBSTITUTE(SUBSTITUTE(TRIM(B366),".",""),"-","")," ","")))-1))&amp;RIGHT(UPPER(SUBSTITUTE(SUBSTITUTE(SUBSTITUTE(TRIM(B366),".",""),"-","")," ","")),1),UPPER(SUBSTITUTE(SUBSTITUTE(SUBSTITUTE(TRIM(B366),".",""),"-","")," ",""))))</f>
        <v/>
      </c>
      <c r="N366" s="62" t="str">
        <f aca="false">IF(B366="","",IF(D366="Anexo de modificación","No","Sí"))</f>
        <v/>
      </c>
      <c r="O366" s="62" t="str">
        <f aca="false">IF(AND(N366="Sí",ISNUMBER(F366)),COUNTIFS(C_RUTN,M366,C_DEF,"Sí",C_INI,"&lt;"&amp;F366)+COUNTIFS(M$7:M366,M366,N$7:N366,"Sí",F$7:F366,F366),"")</f>
        <v/>
      </c>
      <c r="P366" s="62" t="str">
        <f aca="false">IF(O366="","",M366&amp;"-P"&amp;O366)</f>
        <v/>
      </c>
      <c r="Q366" s="62" t="str">
        <f aca="false">IF(AND(N366="Sí",E366="Plazo fijo",ISNUMBER(F366)),COUNTIFS(C_RUTN,M366,C_TIPO,"Plazo fijo",C_DEF,"Sí",C_INI,"&lt;"&amp;F366)+COUNTIFS(M$7:M366,M366,E$7:E366,"Plazo fijo",N$7:N366,"Sí",F$7:F366,F366),"")</f>
        <v/>
      </c>
      <c r="R366" s="62" t="str">
        <f aca="false">IF(AND(B366&lt;&gt;"",ISNUMBER(H366),ISNUMBER(F366)),COUNTIFS(C_RUTN,M366,C_SUELDO,"&lt;&gt;",C_INI,"&lt;"&amp;F366)+COUNTIFS(M$7:M366,M366,H$7:H366,"&lt;&gt;",F$7:F366,F366),"")</f>
        <v/>
      </c>
      <c r="S366" s="62" t="str">
        <f aca="false">IF(R366="","",M366&amp;"-S"&amp;R366)</f>
        <v/>
      </c>
    </row>
    <row r="367" customFormat="false" ht="15" hidden="false" customHeight="false" outlineLevel="0" collapsed="false">
      <c r="B367" s="58"/>
      <c r="C367" s="62" t="str">
        <f aca="false">IF(B367="","",IFERROR(INDEX(T_NOMBRE,MATCH(M367,T_RUTN,0)),"⚠ RUT no está en Trabajadores"))</f>
        <v/>
      </c>
      <c r="D367" s="58"/>
      <c r="E367" s="58"/>
      <c r="F367" s="59"/>
      <c r="G367" s="59"/>
      <c r="H367" s="60"/>
      <c r="I367" s="58"/>
      <c r="J367" s="58"/>
      <c r="K367" s="58"/>
      <c r="L367" s="62" t="str">
        <f aca="false">IF(B367="","",IF(LEFT(C367,1)="⚠","⚠ Registre primero al trabajador en la hoja Trabajadores",IF(AND(N367="Sí",OR(E367="",NOT(ISNUMBER(F367)))),"⚠ Falta tipo de contrato o fecha de inicio",IF(NOT(ISNUMBER(F367)),"⚠ Falta fecha de inicio",IF(AND(N367="Sí",E367&lt;&gt;"Indefinido",NOT(ISNUMBER(G367))),"⚠ Falta fecha de término",IF(AND(D367="Paso a indefinido",E367&lt;&gt;"Indefinido"),"⚠ Un paso a indefinido debe tener tipo Indefinido",IF(N(Q367)&gt;=3,"⚠ 3er contrato a plazo fijo: por ley ya es INDEFINIDO (Art. 159 N°4)",IF(AND(E367="Plazo fijo",ISNUMBER(G367),(G367-F367+1)/30.4375&gt;12),"⚠ Plazo fijo mayor a 1 año (máximo legal)",IF(J367&lt;&gt;"Sí","Pendiente de firma","OK")))))))))</f>
        <v/>
      </c>
      <c r="M367" s="62" t="str">
        <f aca="false">IF(B367="","",IFERROR(VALUE(LEFT(UPPER(SUBSTITUTE(SUBSTITUTE(SUBSTITUTE(TRIM(B367),".",""),"-","")," ","")),LEN(UPPER(SUBSTITUTE(SUBSTITUTE(SUBSTITUTE(TRIM(B367),".",""),"-","")," ","")))-1))&amp;RIGHT(UPPER(SUBSTITUTE(SUBSTITUTE(SUBSTITUTE(TRIM(B367),".",""),"-","")," ","")),1),UPPER(SUBSTITUTE(SUBSTITUTE(SUBSTITUTE(TRIM(B367),".",""),"-","")," ",""))))</f>
        <v/>
      </c>
      <c r="N367" s="62" t="str">
        <f aca="false">IF(B367="","",IF(D367="Anexo de modificación","No","Sí"))</f>
        <v/>
      </c>
      <c r="O367" s="62" t="str">
        <f aca="false">IF(AND(N367="Sí",ISNUMBER(F367)),COUNTIFS(C_RUTN,M367,C_DEF,"Sí",C_INI,"&lt;"&amp;F367)+COUNTIFS(M$7:M367,M367,N$7:N367,"Sí",F$7:F367,F367),"")</f>
        <v/>
      </c>
      <c r="P367" s="62" t="str">
        <f aca="false">IF(O367="","",M367&amp;"-P"&amp;O367)</f>
        <v/>
      </c>
      <c r="Q367" s="62" t="str">
        <f aca="false">IF(AND(N367="Sí",E367="Plazo fijo",ISNUMBER(F367)),COUNTIFS(C_RUTN,M367,C_TIPO,"Plazo fijo",C_DEF,"Sí",C_INI,"&lt;"&amp;F367)+COUNTIFS(M$7:M367,M367,E$7:E367,"Plazo fijo",N$7:N367,"Sí",F$7:F367,F367),"")</f>
        <v/>
      </c>
      <c r="R367" s="62" t="str">
        <f aca="false">IF(AND(B367&lt;&gt;"",ISNUMBER(H367),ISNUMBER(F367)),COUNTIFS(C_RUTN,M367,C_SUELDO,"&lt;&gt;",C_INI,"&lt;"&amp;F367)+COUNTIFS(M$7:M367,M367,H$7:H367,"&lt;&gt;",F$7:F367,F367),"")</f>
        <v/>
      </c>
      <c r="S367" s="62" t="str">
        <f aca="false">IF(R367="","",M367&amp;"-S"&amp;R367)</f>
        <v/>
      </c>
    </row>
    <row r="368" customFormat="false" ht="15" hidden="false" customHeight="false" outlineLevel="0" collapsed="false">
      <c r="B368" s="58"/>
      <c r="C368" s="62" t="str">
        <f aca="false">IF(B368="","",IFERROR(INDEX(T_NOMBRE,MATCH(M368,T_RUTN,0)),"⚠ RUT no está en Trabajadores"))</f>
        <v/>
      </c>
      <c r="D368" s="58"/>
      <c r="E368" s="58"/>
      <c r="F368" s="59"/>
      <c r="G368" s="59"/>
      <c r="H368" s="60"/>
      <c r="I368" s="58"/>
      <c r="J368" s="58"/>
      <c r="K368" s="58"/>
      <c r="L368" s="62" t="str">
        <f aca="false">IF(B368="","",IF(LEFT(C368,1)="⚠","⚠ Registre primero al trabajador en la hoja Trabajadores",IF(AND(N368="Sí",OR(E368="",NOT(ISNUMBER(F368)))),"⚠ Falta tipo de contrato o fecha de inicio",IF(NOT(ISNUMBER(F368)),"⚠ Falta fecha de inicio",IF(AND(N368="Sí",E368&lt;&gt;"Indefinido",NOT(ISNUMBER(G368))),"⚠ Falta fecha de término",IF(AND(D368="Paso a indefinido",E368&lt;&gt;"Indefinido"),"⚠ Un paso a indefinido debe tener tipo Indefinido",IF(N(Q368)&gt;=3,"⚠ 3er contrato a plazo fijo: por ley ya es INDEFINIDO (Art. 159 N°4)",IF(AND(E368="Plazo fijo",ISNUMBER(G368),(G368-F368+1)/30.4375&gt;12),"⚠ Plazo fijo mayor a 1 año (máximo legal)",IF(J368&lt;&gt;"Sí","Pendiente de firma","OK")))))))))</f>
        <v/>
      </c>
      <c r="M368" s="62" t="str">
        <f aca="false">IF(B368="","",IFERROR(VALUE(LEFT(UPPER(SUBSTITUTE(SUBSTITUTE(SUBSTITUTE(TRIM(B368),".",""),"-","")," ","")),LEN(UPPER(SUBSTITUTE(SUBSTITUTE(SUBSTITUTE(TRIM(B368),".",""),"-","")," ","")))-1))&amp;RIGHT(UPPER(SUBSTITUTE(SUBSTITUTE(SUBSTITUTE(TRIM(B368),".",""),"-","")," ","")),1),UPPER(SUBSTITUTE(SUBSTITUTE(SUBSTITUTE(TRIM(B368),".",""),"-","")," ",""))))</f>
        <v/>
      </c>
      <c r="N368" s="62" t="str">
        <f aca="false">IF(B368="","",IF(D368="Anexo de modificación","No","Sí"))</f>
        <v/>
      </c>
      <c r="O368" s="62" t="str">
        <f aca="false">IF(AND(N368="Sí",ISNUMBER(F368)),COUNTIFS(C_RUTN,M368,C_DEF,"Sí",C_INI,"&lt;"&amp;F368)+COUNTIFS(M$7:M368,M368,N$7:N368,"Sí",F$7:F368,F368),"")</f>
        <v/>
      </c>
      <c r="P368" s="62" t="str">
        <f aca="false">IF(O368="","",M368&amp;"-P"&amp;O368)</f>
        <v/>
      </c>
      <c r="Q368" s="62" t="str">
        <f aca="false">IF(AND(N368="Sí",E368="Plazo fijo",ISNUMBER(F368)),COUNTIFS(C_RUTN,M368,C_TIPO,"Plazo fijo",C_DEF,"Sí",C_INI,"&lt;"&amp;F368)+COUNTIFS(M$7:M368,M368,E$7:E368,"Plazo fijo",N$7:N368,"Sí",F$7:F368,F368),"")</f>
        <v/>
      </c>
      <c r="R368" s="62" t="str">
        <f aca="false">IF(AND(B368&lt;&gt;"",ISNUMBER(H368),ISNUMBER(F368)),COUNTIFS(C_RUTN,M368,C_SUELDO,"&lt;&gt;",C_INI,"&lt;"&amp;F368)+COUNTIFS(M$7:M368,M368,H$7:H368,"&lt;&gt;",F$7:F368,F368),"")</f>
        <v/>
      </c>
      <c r="S368" s="62" t="str">
        <f aca="false">IF(R368="","",M368&amp;"-S"&amp;R368)</f>
        <v/>
      </c>
    </row>
    <row r="369" customFormat="false" ht="15" hidden="false" customHeight="false" outlineLevel="0" collapsed="false">
      <c r="B369" s="58"/>
      <c r="C369" s="62" t="str">
        <f aca="false">IF(B369="","",IFERROR(INDEX(T_NOMBRE,MATCH(M369,T_RUTN,0)),"⚠ RUT no está en Trabajadores"))</f>
        <v/>
      </c>
      <c r="D369" s="58"/>
      <c r="E369" s="58"/>
      <c r="F369" s="59"/>
      <c r="G369" s="59"/>
      <c r="H369" s="60"/>
      <c r="I369" s="58"/>
      <c r="J369" s="58"/>
      <c r="K369" s="58"/>
      <c r="L369" s="62" t="str">
        <f aca="false">IF(B369="","",IF(LEFT(C369,1)="⚠","⚠ Registre primero al trabajador en la hoja Trabajadores",IF(AND(N369="Sí",OR(E369="",NOT(ISNUMBER(F369)))),"⚠ Falta tipo de contrato o fecha de inicio",IF(NOT(ISNUMBER(F369)),"⚠ Falta fecha de inicio",IF(AND(N369="Sí",E369&lt;&gt;"Indefinido",NOT(ISNUMBER(G369))),"⚠ Falta fecha de término",IF(AND(D369="Paso a indefinido",E369&lt;&gt;"Indefinido"),"⚠ Un paso a indefinido debe tener tipo Indefinido",IF(N(Q369)&gt;=3,"⚠ 3er contrato a plazo fijo: por ley ya es INDEFINIDO (Art. 159 N°4)",IF(AND(E369="Plazo fijo",ISNUMBER(G369),(G369-F369+1)/30.4375&gt;12),"⚠ Plazo fijo mayor a 1 año (máximo legal)",IF(J369&lt;&gt;"Sí","Pendiente de firma","OK")))))))))</f>
        <v/>
      </c>
      <c r="M369" s="62" t="str">
        <f aca="false">IF(B369="","",IFERROR(VALUE(LEFT(UPPER(SUBSTITUTE(SUBSTITUTE(SUBSTITUTE(TRIM(B369),".",""),"-","")," ","")),LEN(UPPER(SUBSTITUTE(SUBSTITUTE(SUBSTITUTE(TRIM(B369),".",""),"-","")," ","")))-1))&amp;RIGHT(UPPER(SUBSTITUTE(SUBSTITUTE(SUBSTITUTE(TRIM(B369),".",""),"-","")," ","")),1),UPPER(SUBSTITUTE(SUBSTITUTE(SUBSTITUTE(TRIM(B369),".",""),"-","")," ",""))))</f>
        <v/>
      </c>
      <c r="N369" s="62" t="str">
        <f aca="false">IF(B369="","",IF(D369="Anexo de modificación","No","Sí"))</f>
        <v/>
      </c>
      <c r="O369" s="62" t="str">
        <f aca="false">IF(AND(N369="Sí",ISNUMBER(F369)),COUNTIFS(C_RUTN,M369,C_DEF,"Sí",C_INI,"&lt;"&amp;F369)+COUNTIFS(M$7:M369,M369,N$7:N369,"Sí",F$7:F369,F369),"")</f>
        <v/>
      </c>
      <c r="P369" s="62" t="str">
        <f aca="false">IF(O369="","",M369&amp;"-P"&amp;O369)</f>
        <v/>
      </c>
      <c r="Q369" s="62" t="str">
        <f aca="false">IF(AND(N369="Sí",E369="Plazo fijo",ISNUMBER(F369)),COUNTIFS(C_RUTN,M369,C_TIPO,"Plazo fijo",C_DEF,"Sí",C_INI,"&lt;"&amp;F369)+COUNTIFS(M$7:M369,M369,E$7:E369,"Plazo fijo",N$7:N369,"Sí",F$7:F369,F369),"")</f>
        <v/>
      </c>
      <c r="R369" s="62" t="str">
        <f aca="false">IF(AND(B369&lt;&gt;"",ISNUMBER(H369),ISNUMBER(F369)),COUNTIFS(C_RUTN,M369,C_SUELDO,"&lt;&gt;",C_INI,"&lt;"&amp;F369)+COUNTIFS(M$7:M369,M369,H$7:H369,"&lt;&gt;",F$7:F369,F369),"")</f>
        <v/>
      </c>
      <c r="S369" s="62" t="str">
        <f aca="false">IF(R369="","",M369&amp;"-S"&amp;R369)</f>
        <v/>
      </c>
    </row>
    <row r="370" customFormat="false" ht="15" hidden="false" customHeight="false" outlineLevel="0" collapsed="false">
      <c r="B370" s="58"/>
      <c r="C370" s="62" t="str">
        <f aca="false">IF(B370="","",IFERROR(INDEX(T_NOMBRE,MATCH(M370,T_RUTN,0)),"⚠ RUT no está en Trabajadores"))</f>
        <v/>
      </c>
      <c r="D370" s="58"/>
      <c r="E370" s="58"/>
      <c r="F370" s="59"/>
      <c r="G370" s="59"/>
      <c r="H370" s="60"/>
      <c r="I370" s="58"/>
      <c r="J370" s="58"/>
      <c r="K370" s="58"/>
      <c r="L370" s="62" t="str">
        <f aca="false">IF(B370="","",IF(LEFT(C370,1)="⚠","⚠ Registre primero al trabajador en la hoja Trabajadores",IF(AND(N370="Sí",OR(E370="",NOT(ISNUMBER(F370)))),"⚠ Falta tipo de contrato o fecha de inicio",IF(NOT(ISNUMBER(F370)),"⚠ Falta fecha de inicio",IF(AND(N370="Sí",E370&lt;&gt;"Indefinido",NOT(ISNUMBER(G370))),"⚠ Falta fecha de término",IF(AND(D370="Paso a indefinido",E370&lt;&gt;"Indefinido"),"⚠ Un paso a indefinido debe tener tipo Indefinido",IF(N(Q370)&gt;=3,"⚠ 3er contrato a plazo fijo: por ley ya es INDEFINIDO (Art. 159 N°4)",IF(AND(E370="Plazo fijo",ISNUMBER(G370),(G370-F370+1)/30.4375&gt;12),"⚠ Plazo fijo mayor a 1 año (máximo legal)",IF(J370&lt;&gt;"Sí","Pendiente de firma","OK")))))))))</f>
        <v/>
      </c>
      <c r="M370" s="62" t="str">
        <f aca="false">IF(B370="","",IFERROR(VALUE(LEFT(UPPER(SUBSTITUTE(SUBSTITUTE(SUBSTITUTE(TRIM(B370),".",""),"-","")," ","")),LEN(UPPER(SUBSTITUTE(SUBSTITUTE(SUBSTITUTE(TRIM(B370),".",""),"-","")," ","")))-1))&amp;RIGHT(UPPER(SUBSTITUTE(SUBSTITUTE(SUBSTITUTE(TRIM(B370),".",""),"-","")," ","")),1),UPPER(SUBSTITUTE(SUBSTITUTE(SUBSTITUTE(TRIM(B370),".",""),"-","")," ",""))))</f>
        <v/>
      </c>
      <c r="N370" s="62" t="str">
        <f aca="false">IF(B370="","",IF(D370="Anexo de modificación","No","Sí"))</f>
        <v/>
      </c>
      <c r="O370" s="62" t="str">
        <f aca="false">IF(AND(N370="Sí",ISNUMBER(F370)),COUNTIFS(C_RUTN,M370,C_DEF,"Sí",C_INI,"&lt;"&amp;F370)+COUNTIFS(M$7:M370,M370,N$7:N370,"Sí",F$7:F370,F370),"")</f>
        <v/>
      </c>
      <c r="P370" s="62" t="str">
        <f aca="false">IF(O370="","",M370&amp;"-P"&amp;O370)</f>
        <v/>
      </c>
      <c r="Q370" s="62" t="str">
        <f aca="false">IF(AND(N370="Sí",E370="Plazo fijo",ISNUMBER(F370)),COUNTIFS(C_RUTN,M370,C_TIPO,"Plazo fijo",C_DEF,"Sí",C_INI,"&lt;"&amp;F370)+COUNTIFS(M$7:M370,M370,E$7:E370,"Plazo fijo",N$7:N370,"Sí",F$7:F370,F370),"")</f>
        <v/>
      </c>
      <c r="R370" s="62" t="str">
        <f aca="false">IF(AND(B370&lt;&gt;"",ISNUMBER(H370),ISNUMBER(F370)),COUNTIFS(C_RUTN,M370,C_SUELDO,"&lt;&gt;",C_INI,"&lt;"&amp;F370)+COUNTIFS(M$7:M370,M370,H$7:H370,"&lt;&gt;",F$7:F370,F370),"")</f>
        <v/>
      </c>
      <c r="S370" s="62" t="str">
        <f aca="false">IF(R370="","",M370&amp;"-S"&amp;R370)</f>
        <v/>
      </c>
    </row>
    <row r="371" customFormat="false" ht="15" hidden="false" customHeight="false" outlineLevel="0" collapsed="false">
      <c r="B371" s="58"/>
      <c r="C371" s="62" t="str">
        <f aca="false">IF(B371="","",IFERROR(INDEX(T_NOMBRE,MATCH(M371,T_RUTN,0)),"⚠ RUT no está en Trabajadores"))</f>
        <v/>
      </c>
      <c r="D371" s="58"/>
      <c r="E371" s="58"/>
      <c r="F371" s="59"/>
      <c r="G371" s="59"/>
      <c r="H371" s="60"/>
      <c r="I371" s="58"/>
      <c r="J371" s="58"/>
      <c r="K371" s="58"/>
      <c r="L371" s="62" t="str">
        <f aca="false">IF(B371="","",IF(LEFT(C371,1)="⚠","⚠ Registre primero al trabajador en la hoja Trabajadores",IF(AND(N371="Sí",OR(E371="",NOT(ISNUMBER(F371)))),"⚠ Falta tipo de contrato o fecha de inicio",IF(NOT(ISNUMBER(F371)),"⚠ Falta fecha de inicio",IF(AND(N371="Sí",E371&lt;&gt;"Indefinido",NOT(ISNUMBER(G371))),"⚠ Falta fecha de término",IF(AND(D371="Paso a indefinido",E371&lt;&gt;"Indefinido"),"⚠ Un paso a indefinido debe tener tipo Indefinido",IF(N(Q371)&gt;=3,"⚠ 3er contrato a plazo fijo: por ley ya es INDEFINIDO (Art. 159 N°4)",IF(AND(E371="Plazo fijo",ISNUMBER(G371),(G371-F371+1)/30.4375&gt;12),"⚠ Plazo fijo mayor a 1 año (máximo legal)",IF(J371&lt;&gt;"Sí","Pendiente de firma","OK")))))))))</f>
        <v/>
      </c>
      <c r="M371" s="62" t="str">
        <f aca="false">IF(B371="","",IFERROR(VALUE(LEFT(UPPER(SUBSTITUTE(SUBSTITUTE(SUBSTITUTE(TRIM(B371),".",""),"-","")," ","")),LEN(UPPER(SUBSTITUTE(SUBSTITUTE(SUBSTITUTE(TRIM(B371),".",""),"-","")," ","")))-1))&amp;RIGHT(UPPER(SUBSTITUTE(SUBSTITUTE(SUBSTITUTE(TRIM(B371),".",""),"-","")," ","")),1),UPPER(SUBSTITUTE(SUBSTITUTE(SUBSTITUTE(TRIM(B371),".",""),"-","")," ",""))))</f>
        <v/>
      </c>
      <c r="N371" s="62" t="str">
        <f aca="false">IF(B371="","",IF(D371="Anexo de modificación","No","Sí"))</f>
        <v/>
      </c>
      <c r="O371" s="62" t="str">
        <f aca="false">IF(AND(N371="Sí",ISNUMBER(F371)),COUNTIFS(C_RUTN,M371,C_DEF,"Sí",C_INI,"&lt;"&amp;F371)+COUNTIFS(M$7:M371,M371,N$7:N371,"Sí",F$7:F371,F371),"")</f>
        <v/>
      </c>
      <c r="P371" s="62" t="str">
        <f aca="false">IF(O371="","",M371&amp;"-P"&amp;O371)</f>
        <v/>
      </c>
      <c r="Q371" s="62" t="str">
        <f aca="false">IF(AND(N371="Sí",E371="Plazo fijo",ISNUMBER(F371)),COUNTIFS(C_RUTN,M371,C_TIPO,"Plazo fijo",C_DEF,"Sí",C_INI,"&lt;"&amp;F371)+COUNTIFS(M$7:M371,M371,E$7:E371,"Plazo fijo",N$7:N371,"Sí",F$7:F371,F371),"")</f>
        <v/>
      </c>
      <c r="R371" s="62" t="str">
        <f aca="false">IF(AND(B371&lt;&gt;"",ISNUMBER(H371),ISNUMBER(F371)),COUNTIFS(C_RUTN,M371,C_SUELDO,"&lt;&gt;",C_INI,"&lt;"&amp;F371)+COUNTIFS(M$7:M371,M371,H$7:H371,"&lt;&gt;",F$7:F371,F371),"")</f>
        <v/>
      </c>
      <c r="S371" s="62" t="str">
        <f aca="false">IF(R371="","",M371&amp;"-S"&amp;R371)</f>
        <v/>
      </c>
    </row>
    <row r="372" customFormat="false" ht="15" hidden="false" customHeight="false" outlineLevel="0" collapsed="false">
      <c r="B372" s="58"/>
      <c r="C372" s="62" t="str">
        <f aca="false">IF(B372="","",IFERROR(INDEX(T_NOMBRE,MATCH(M372,T_RUTN,0)),"⚠ RUT no está en Trabajadores"))</f>
        <v/>
      </c>
      <c r="D372" s="58"/>
      <c r="E372" s="58"/>
      <c r="F372" s="59"/>
      <c r="G372" s="59"/>
      <c r="H372" s="60"/>
      <c r="I372" s="58"/>
      <c r="J372" s="58"/>
      <c r="K372" s="58"/>
      <c r="L372" s="62" t="str">
        <f aca="false">IF(B372="","",IF(LEFT(C372,1)="⚠","⚠ Registre primero al trabajador en la hoja Trabajadores",IF(AND(N372="Sí",OR(E372="",NOT(ISNUMBER(F372)))),"⚠ Falta tipo de contrato o fecha de inicio",IF(NOT(ISNUMBER(F372)),"⚠ Falta fecha de inicio",IF(AND(N372="Sí",E372&lt;&gt;"Indefinido",NOT(ISNUMBER(G372))),"⚠ Falta fecha de término",IF(AND(D372="Paso a indefinido",E372&lt;&gt;"Indefinido"),"⚠ Un paso a indefinido debe tener tipo Indefinido",IF(N(Q372)&gt;=3,"⚠ 3er contrato a plazo fijo: por ley ya es INDEFINIDO (Art. 159 N°4)",IF(AND(E372="Plazo fijo",ISNUMBER(G372),(G372-F372+1)/30.4375&gt;12),"⚠ Plazo fijo mayor a 1 año (máximo legal)",IF(J372&lt;&gt;"Sí","Pendiente de firma","OK")))))))))</f>
        <v/>
      </c>
      <c r="M372" s="62" t="str">
        <f aca="false">IF(B372="","",IFERROR(VALUE(LEFT(UPPER(SUBSTITUTE(SUBSTITUTE(SUBSTITUTE(TRIM(B372),".",""),"-","")," ","")),LEN(UPPER(SUBSTITUTE(SUBSTITUTE(SUBSTITUTE(TRIM(B372),".",""),"-","")," ","")))-1))&amp;RIGHT(UPPER(SUBSTITUTE(SUBSTITUTE(SUBSTITUTE(TRIM(B372),".",""),"-","")," ","")),1),UPPER(SUBSTITUTE(SUBSTITUTE(SUBSTITUTE(TRIM(B372),".",""),"-","")," ",""))))</f>
        <v/>
      </c>
      <c r="N372" s="62" t="str">
        <f aca="false">IF(B372="","",IF(D372="Anexo de modificación","No","Sí"))</f>
        <v/>
      </c>
      <c r="O372" s="62" t="str">
        <f aca="false">IF(AND(N372="Sí",ISNUMBER(F372)),COUNTIFS(C_RUTN,M372,C_DEF,"Sí",C_INI,"&lt;"&amp;F372)+COUNTIFS(M$7:M372,M372,N$7:N372,"Sí",F$7:F372,F372),"")</f>
        <v/>
      </c>
      <c r="P372" s="62" t="str">
        <f aca="false">IF(O372="","",M372&amp;"-P"&amp;O372)</f>
        <v/>
      </c>
      <c r="Q372" s="62" t="str">
        <f aca="false">IF(AND(N372="Sí",E372="Plazo fijo",ISNUMBER(F372)),COUNTIFS(C_RUTN,M372,C_TIPO,"Plazo fijo",C_DEF,"Sí",C_INI,"&lt;"&amp;F372)+COUNTIFS(M$7:M372,M372,E$7:E372,"Plazo fijo",N$7:N372,"Sí",F$7:F372,F372),"")</f>
        <v/>
      </c>
      <c r="R372" s="62" t="str">
        <f aca="false">IF(AND(B372&lt;&gt;"",ISNUMBER(H372),ISNUMBER(F372)),COUNTIFS(C_RUTN,M372,C_SUELDO,"&lt;&gt;",C_INI,"&lt;"&amp;F372)+COUNTIFS(M$7:M372,M372,H$7:H372,"&lt;&gt;",F$7:F372,F372),"")</f>
        <v/>
      </c>
      <c r="S372" s="62" t="str">
        <f aca="false">IF(R372="","",M372&amp;"-S"&amp;R372)</f>
        <v/>
      </c>
    </row>
    <row r="373" customFormat="false" ht="15" hidden="false" customHeight="false" outlineLevel="0" collapsed="false">
      <c r="B373" s="58"/>
      <c r="C373" s="62" t="str">
        <f aca="false">IF(B373="","",IFERROR(INDEX(T_NOMBRE,MATCH(M373,T_RUTN,0)),"⚠ RUT no está en Trabajadores"))</f>
        <v/>
      </c>
      <c r="D373" s="58"/>
      <c r="E373" s="58"/>
      <c r="F373" s="59"/>
      <c r="G373" s="59"/>
      <c r="H373" s="60"/>
      <c r="I373" s="58"/>
      <c r="J373" s="58"/>
      <c r="K373" s="58"/>
      <c r="L373" s="62" t="str">
        <f aca="false">IF(B373="","",IF(LEFT(C373,1)="⚠","⚠ Registre primero al trabajador en la hoja Trabajadores",IF(AND(N373="Sí",OR(E373="",NOT(ISNUMBER(F373)))),"⚠ Falta tipo de contrato o fecha de inicio",IF(NOT(ISNUMBER(F373)),"⚠ Falta fecha de inicio",IF(AND(N373="Sí",E373&lt;&gt;"Indefinido",NOT(ISNUMBER(G373))),"⚠ Falta fecha de término",IF(AND(D373="Paso a indefinido",E373&lt;&gt;"Indefinido"),"⚠ Un paso a indefinido debe tener tipo Indefinido",IF(N(Q373)&gt;=3,"⚠ 3er contrato a plazo fijo: por ley ya es INDEFINIDO (Art. 159 N°4)",IF(AND(E373="Plazo fijo",ISNUMBER(G373),(G373-F373+1)/30.4375&gt;12),"⚠ Plazo fijo mayor a 1 año (máximo legal)",IF(J373&lt;&gt;"Sí","Pendiente de firma","OK")))))))))</f>
        <v/>
      </c>
      <c r="M373" s="62" t="str">
        <f aca="false">IF(B373="","",IFERROR(VALUE(LEFT(UPPER(SUBSTITUTE(SUBSTITUTE(SUBSTITUTE(TRIM(B373),".",""),"-","")," ","")),LEN(UPPER(SUBSTITUTE(SUBSTITUTE(SUBSTITUTE(TRIM(B373),".",""),"-","")," ","")))-1))&amp;RIGHT(UPPER(SUBSTITUTE(SUBSTITUTE(SUBSTITUTE(TRIM(B373),".",""),"-","")," ","")),1),UPPER(SUBSTITUTE(SUBSTITUTE(SUBSTITUTE(TRIM(B373),".",""),"-","")," ",""))))</f>
        <v/>
      </c>
      <c r="N373" s="62" t="str">
        <f aca="false">IF(B373="","",IF(D373="Anexo de modificación","No","Sí"))</f>
        <v/>
      </c>
      <c r="O373" s="62" t="str">
        <f aca="false">IF(AND(N373="Sí",ISNUMBER(F373)),COUNTIFS(C_RUTN,M373,C_DEF,"Sí",C_INI,"&lt;"&amp;F373)+COUNTIFS(M$7:M373,M373,N$7:N373,"Sí",F$7:F373,F373),"")</f>
        <v/>
      </c>
      <c r="P373" s="62" t="str">
        <f aca="false">IF(O373="","",M373&amp;"-P"&amp;O373)</f>
        <v/>
      </c>
      <c r="Q373" s="62" t="str">
        <f aca="false">IF(AND(N373="Sí",E373="Plazo fijo",ISNUMBER(F373)),COUNTIFS(C_RUTN,M373,C_TIPO,"Plazo fijo",C_DEF,"Sí",C_INI,"&lt;"&amp;F373)+COUNTIFS(M$7:M373,M373,E$7:E373,"Plazo fijo",N$7:N373,"Sí",F$7:F373,F373),"")</f>
        <v/>
      </c>
      <c r="R373" s="62" t="str">
        <f aca="false">IF(AND(B373&lt;&gt;"",ISNUMBER(H373),ISNUMBER(F373)),COUNTIFS(C_RUTN,M373,C_SUELDO,"&lt;&gt;",C_INI,"&lt;"&amp;F373)+COUNTIFS(M$7:M373,M373,H$7:H373,"&lt;&gt;",F$7:F373,F373),"")</f>
        <v/>
      </c>
      <c r="S373" s="62" t="str">
        <f aca="false">IF(R373="","",M373&amp;"-S"&amp;R373)</f>
        <v/>
      </c>
    </row>
    <row r="374" customFormat="false" ht="15" hidden="false" customHeight="false" outlineLevel="0" collapsed="false">
      <c r="B374" s="58"/>
      <c r="C374" s="62" t="str">
        <f aca="false">IF(B374="","",IFERROR(INDEX(T_NOMBRE,MATCH(M374,T_RUTN,0)),"⚠ RUT no está en Trabajadores"))</f>
        <v/>
      </c>
      <c r="D374" s="58"/>
      <c r="E374" s="58"/>
      <c r="F374" s="59"/>
      <c r="G374" s="59"/>
      <c r="H374" s="60"/>
      <c r="I374" s="58"/>
      <c r="J374" s="58"/>
      <c r="K374" s="58"/>
      <c r="L374" s="62" t="str">
        <f aca="false">IF(B374="","",IF(LEFT(C374,1)="⚠","⚠ Registre primero al trabajador en la hoja Trabajadores",IF(AND(N374="Sí",OR(E374="",NOT(ISNUMBER(F374)))),"⚠ Falta tipo de contrato o fecha de inicio",IF(NOT(ISNUMBER(F374)),"⚠ Falta fecha de inicio",IF(AND(N374="Sí",E374&lt;&gt;"Indefinido",NOT(ISNUMBER(G374))),"⚠ Falta fecha de término",IF(AND(D374="Paso a indefinido",E374&lt;&gt;"Indefinido"),"⚠ Un paso a indefinido debe tener tipo Indefinido",IF(N(Q374)&gt;=3,"⚠ 3er contrato a plazo fijo: por ley ya es INDEFINIDO (Art. 159 N°4)",IF(AND(E374="Plazo fijo",ISNUMBER(G374),(G374-F374+1)/30.4375&gt;12),"⚠ Plazo fijo mayor a 1 año (máximo legal)",IF(J374&lt;&gt;"Sí","Pendiente de firma","OK")))))))))</f>
        <v/>
      </c>
      <c r="M374" s="62" t="str">
        <f aca="false">IF(B374="","",IFERROR(VALUE(LEFT(UPPER(SUBSTITUTE(SUBSTITUTE(SUBSTITUTE(TRIM(B374),".",""),"-","")," ","")),LEN(UPPER(SUBSTITUTE(SUBSTITUTE(SUBSTITUTE(TRIM(B374),".",""),"-","")," ","")))-1))&amp;RIGHT(UPPER(SUBSTITUTE(SUBSTITUTE(SUBSTITUTE(TRIM(B374),".",""),"-","")," ","")),1),UPPER(SUBSTITUTE(SUBSTITUTE(SUBSTITUTE(TRIM(B374),".",""),"-","")," ",""))))</f>
        <v/>
      </c>
      <c r="N374" s="62" t="str">
        <f aca="false">IF(B374="","",IF(D374="Anexo de modificación","No","Sí"))</f>
        <v/>
      </c>
      <c r="O374" s="62" t="str">
        <f aca="false">IF(AND(N374="Sí",ISNUMBER(F374)),COUNTIFS(C_RUTN,M374,C_DEF,"Sí",C_INI,"&lt;"&amp;F374)+COUNTIFS(M$7:M374,M374,N$7:N374,"Sí",F$7:F374,F374),"")</f>
        <v/>
      </c>
      <c r="P374" s="62" t="str">
        <f aca="false">IF(O374="","",M374&amp;"-P"&amp;O374)</f>
        <v/>
      </c>
      <c r="Q374" s="62" t="str">
        <f aca="false">IF(AND(N374="Sí",E374="Plazo fijo",ISNUMBER(F374)),COUNTIFS(C_RUTN,M374,C_TIPO,"Plazo fijo",C_DEF,"Sí",C_INI,"&lt;"&amp;F374)+COUNTIFS(M$7:M374,M374,E$7:E374,"Plazo fijo",N$7:N374,"Sí",F$7:F374,F374),"")</f>
        <v/>
      </c>
      <c r="R374" s="62" t="str">
        <f aca="false">IF(AND(B374&lt;&gt;"",ISNUMBER(H374),ISNUMBER(F374)),COUNTIFS(C_RUTN,M374,C_SUELDO,"&lt;&gt;",C_INI,"&lt;"&amp;F374)+COUNTIFS(M$7:M374,M374,H$7:H374,"&lt;&gt;",F$7:F374,F374),"")</f>
        <v/>
      </c>
      <c r="S374" s="62" t="str">
        <f aca="false">IF(R374="","",M374&amp;"-S"&amp;R374)</f>
        <v/>
      </c>
    </row>
    <row r="375" customFormat="false" ht="15" hidden="false" customHeight="false" outlineLevel="0" collapsed="false">
      <c r="B375" s="58"/>
      <c r="C375" s="62" t="str">
        <f aca="false">IF(B375="","",IFERROR(INDEX(T_NOMBRE,MATCH(M375,T_RUTN,0)),"⚠ RUT no está en Trabajadores"))</f>
        <v/>
      </c>
      <c r="D375" s="58"/>
      <c r="E375" s="58"/>
      <c r="F375" s="59"/>
      <c r="G375" s="59"/>
      <c r="H375" s="60"/>
      <c r="I375" s="58"/>
      <c r="J375" s="58"/>
      <c r="K375" s="58"/>
      <c r="L375" s="62" t="str">
        <f aca="false">IF(B375="","",IF(LEFT(C375,1)="⚠","⚠ Registre primero al trabajador en la hoja Trabajadores",IF(AND(N375="Sí",OR(E375="",NOT(ISNUMBER(F375)))),"⚠ Falta tipo de contrato o fecha de inicio",IF(NOT(ISNUMBER(F375)),"⚠ Falta fecha de inicio",IF(AND(N375="Sí",E375&lt;&gt;"Indefinido",NOT(ISNUMBER(G375))),"⚠ Falta fecha de término",IF(AND(D375="Paso a indefinido",E375&lt;&gt;"Indefinido"),"⚠ Un paso a indefinido debe tener tipo Indefinido",IF(N(Q375)&gt;=3,"⚠ 3er contrato a plazo fijo: por ley ya es INDEFINIDO (Art. 159 N°4)",IF(AND(E375="Plazo fijo",ISNUMBER(G375),(G375-F375+1)/30.4375&gt;12),"⚠ Plazo fijo mayor a 1 año (máximo legal)",IF(J375&lt;&gt;"Sí","Pendiente de firma","OK")))))))))</f>
        <v/>
      </c>
      <c r="M375" s="62" t="str">
        <f aca="false">IF(B375="","",IFERROR(VALUE(LEFT(UPPER(SUBSTITUTE(SUBSTITUTE(SUBSTITUTE(TRIM(B375),".",""),"-","")," ","")),LEN(UPPER(SUBSTITUTE(SUBSTITUTE(SUBSTITUTE(TRIM(B375),".",""),"-","")," ","")))-1))&amp;RIGHT(UPPER(SUBSTITUTE(SUBSTITUTE(SUBSTITUTE(TRIM(B375),".",""),"-","")," ","")),1),UPPER(SUBSTITUTE(SUBSTITUTE(SUBSTITUTE(TRIM(B375),".",""),"-","")," ",""))))</f>
        <v/>
      </c>
      <c r="N375" s="62" t="str">
        <f aca="false">IF(B375="","",IF(D375="Anexo de modificación","No","Sí"))</f>
        <v/>
      </c>
      <c r="O375" s="62" t="str">
        <f aca="false">IF(AND(N375="Sí",ISNUMBER(F375)),COUNTIFS(C_RUTN,M375,C_DEF,"Sí",C_INI,"&lt;"&amp;F375)+COUNTIFS(M$7:M375,M375,N$7:N375,"Sí",F$7:F375,F375),"")</f>
        <v/>
      </c>
      <c r="P375" s="62" t="str">
        <f aca="false">IF(O375="","",M375&amp;"-P"&amp;O375)</f>
        <v/>
      </c>
      <c r="Q375" s="62" t="str">
        <f aca="false">IF(AND(N375="Sí",E375="Plazo fijo",ISNUMBER(F375)),COUNTIFS(C_RUTN,M375,C_TIPO,"Plazo fijo",C_DEF,"Sí",C_INI,"&lt;"&amp;F375)+COUNTIFS(M$7:M375,M375,E$7:E375,"Plazo fijo",N$7:N375,"Sí",F$7:F375,F375),"")</f>
        <v/>
      </c>
      <c r="R375" s="62" t="str">
        <f aca="false">IF(AND(B375&lt;&gt;"",ISNUMBER(H375),ISNUMBER(F375)),COUNTIFS(C_RUTN,M375,C_SUELDO,"&lt;&gt;",C_INI,"&lt;"&amp;F375)+COUNTIFS(M$7:M375,M375,H$7:H375,"&lt;&gt;",F$7:F375,F375),"")</f>
        <v/>
      </c>
      <c r="S375" s="62" t="str">
        <f aca="false">IF(R375="","",M375&amp;"-S"&amp;R375)</f>
        <v/>
      </c>
    </row>
    <row r="376" customFormat="false" ht="15" hidden="false" customHeight="false" outlineLevel="0" collapsed="false">
      <c r="B376" s="58"/>
      <c r="C376" s="62" t="str">
        <f aca="false">IF(B376="","",IFERROR(INDEX(T_NOMBRE,MATCH(M376,T_RUTN,0)),"⚠ RUT no está en Trabajadores"))</f>
        <v/>
      </c>
      <c r="D376" s="58"/>
      <c r="E376" s="58"/>
      <c r="F376" s="59"/>
      <c r="G376" s="59"/>
      <c r="H376" s="60"/>
      <c r="I376" s="58"/>
      <c r="J376" s="58"/>
      <c r="K376" s="58"/>
      <c r="L376" s="62" t="str">
        <f aca="false">IF(B376="","",IF(LEFT(C376,1)="⚠","⚠ Registre primero al trabajador en la hoja Trabajadores",IF(AND(N376="Sí",OR(E376="",NOT(ISNUMBER(F376)))),"⚠ Falta tipo de contrato o fecha de inicio",IF(NOT(ISNUMBER(F376)),"⚠ Falta fecha de inicio",IF(AND(N376="Sí",E376&lt;&gt;"Indefinido",NOT(ISNUMBER(G376))),"⚠ Falta fecha de término",IF(AND(D376="Paso a indefinido",E376&lt;&gt;"Indefinido"),"⚠ Un paso a indefinido debe tener tipo Indefinido",IF(N(Q376)&gt;=3,"⚠ 3er contrato a plazo fijo: por ley ya es INDEFINIDO (Art. 159 N°4)",IF(AND(E376="Plazo fijo",ISNUMBER(G376),(G376-F376+1)/30.4375&gt;12),"⚠ Plazo fijo mayor a 1 año (máximo legal)",IF(J376&lt;&gt;"Sí","Pendiente de firma","OK")))))))))</f>
        <v/>
      </c>
      <c r="M376" s="62" t="str">
        <f aca="false">IF(B376="","",IFERROR(VALUE(LEFT(UPPER(SUBSTITUTE(SUBSTITUTE(SUBSTITUTE(TRIM(B376),".",""),"-","")," ","")),LEN(UPPER(SUBSTITUTE(SUBSTITUTE(SUBSTITUTE(TRIM(B376),".",""),"-","")," ","")))-1))&amp;RIGHT(UPPER(SUBSTITUTE(SUBSTITUTE(SUBSTITUTE(TRIM(B376),".",""),"-","")," ","")),1),UPPER(SUBSTITUTE(SUBSTITUTE(SUBSTITUTE(TRIM(B376),".",""),"-","")," ",""))))</f>
        <v/>
      </c>
      <c r="N376" s="62" t="str">
        <f aca="false">IF(B376="","",IF(D376="Anexo de modificación","No","Sí"))</f>
        <v/>
      </c>
      <c r="O376" s="62" t="str">
        <f aca="false">IF(AND(N376="Sí",ISNUMBER(F376)),COUNTIFS(C_RUTN,M376,C_DEF,"Sí",C_INI,"&lt;"&amp;F376)+COUNTIFS(M$7:M376,M376,N$7:N376,"Sí",F$7:F376,F376),"")</f>
        <v/>
      </c>
      <c r="P376" s="62" t="str">
        <f aca="false">IF(O376="","",M376&amp;"-P"&amp;O376)</f>
        <v/>
      </c>
      <c r="Q376" s="62" t="str">
        <f aca="false">IF(AND(N376="Sí",E376="Plazo fijo",ISNUMBER(F376)),COUNTIFS(C_RUTN,M376,C_TIPO,"Plazo fijo",C_DEF,"Sí",C_INI,"&lt;"&amp;F376)+COUNTIFS(M$7:M376,M376,E$7:E376,"Plazo fijo",N$7:N376,"Sí",F$7:F376,F376),"")</f>
        <v/>
      </c>
      <c r="R376" s="62" t="str">
        <f aca="false">IF(AND(B376&lt;&gt;"",ISNUMBER(H376),ISNUMBER(F376)),COUNTIFS(C_RUTN,M376,C_SUELDO,"&lt;&gt;",C_INI,"&lt;"&amp;F376)+COUNTIFS(M$7:M376,M376,H$7:H376,"&lt;&gt;",F$7:F376,F376),"")</f>
        <v/>
      </c>
      <c r="S376" s="62" t="str">
        <f aca="false">IF(R376="","",M376&amp;"-S"&amp;R376)</f>
        <v/>
      </c>
    </row>
    <row r="377" customFormat="false" ht="15" hidden="false" customHeight="false" outlineLevel="0" collapsed="false">
      <c r="B377" s="58"/>
      <c r="C377" s="62" t="str">
        <f aca="false">IF(B377="","",IFERROR(INDEX(T_NOMBRE,MATCH(M377,T_RUTN,0)),"⚠ RUT no está en Trabajadores"))</f>
        <v/>
      </c>
      <c r="D377" s="58"/>
      <c r="E377" s="58"/>
      <c r="F377" s="59"/>
      <c r="G377" s="59"/>
      <c r="H377" s="60"/>
      <c r="I377" s="58"/>
      <c r="J377" s="58"/>
      <c r="K377" s="58"/>
      <c r="L377" s="62" t="str">
        <f aca="false">IF(B377="","",IF(LEFT(C377,1)="⚠","⚠ Registre primero al trabajador en la hoja Trabajadores",IF(AND(N377="Sí",OR(E377="",NOT(ISNUMBER(F377)))),"⚠ Falta tipo de contrato o fecha de inicio",IF(NOT(ISNUMBER(F377)),"⚠ Falta fecha de inicio",IF(AND(N377="Sí",E377&lt;&gt;"Indefinido",NOT(ISNUMBER(G377))),"⚠ Falta fecha de término",IF(AND(D377="Paso a indefinido",E377&lt;&gt;"Indefinido"),"⚠ Un paso a indefinido debe tener tipo Indefinido",IF(N(Q377)&gt;=3,"⚠ 3er contrato a plazo fijo: por ley ya es INDEFINIDO (Art. 159 N°4)",IF(AND(E377="Plazo fijo",ISNUMBER(G377),(G377-F377+1)/30.4375&gt;12),"⚠ Plazo fijo mayor a 1 año (máximo legal)",IF(J377&lt;&gt;"Sí","Pendiente de firma","OK")))))))))</f>
        <v/>
      </c>
      <c r="M377" s="62" t="str">
        <f aca="false">IF(B377="","",IFERROR(VALUE(LEFT(UPPER(SUBSTITUTE(SUBSTITUTE(SUBSTITUTE(TRIM(B377),".",""),"-","")," ","")),LEN(UPPER(SUBSTITUTE(SUBSTITUTE(SUBSTITUTE(TRIM(B377),".",""),"-","")," ","")))-1))&amp;RIGHT(UPPER(SUBSTITUTE(SUBSTITUTE(SUBSTITUTE(TRIM(B377),".",""),"-","")," ","")),1),UPPER(SUBSTITUTE(SUBSTITUTE(SUBSTITUTE(TRIM(B377),".",""),"-","")," ",""))))</f>
        <v/>
      </c>
      <c r="N377" s="62" t="str">
        <f aca="false">IF(B377="","",IF(D377="Anexo de modificación","No","Sí"))</f>
        <v/>
      </c>
      <c r="O377" s="62" t="str">
        <f aca="false">IF(AND(N377="Sí",ISNUMBER(F377)),COUNTIFS(C_RUTN,M377,C_DEF,"Sí",C_INI,"&lt;"&amp;F377)+COUNTIFS(M$7:M377,M377,N$7:N377,"Sí",F$7:F377,F377),"")</f>
        <v/>
      </c>
      <c r="P377" s="62" t="str">
        <f aca="false">IF(O377="","",M377&amp;"-P"&amp;O377)</f>
        <v/>
      </c>
      <c r="Q377" s="62" t="str">
        <f aca="false">IF(AND(N377="Sí",E377="Plazo fijo",ISNUMBER(F377)),COUNTIFS(C_RUTN,M377,C_TIPO,"Plazo fijo",C_DEF,"Sí",C_INI,"&lt;"&amp;F377)+COUNTIFS(M$7:M377,M377,E$7:E377,"Plazo fijo",N$7:N377,"Sí",F$7:F377,F377),"")</f>
        <v/>
      </c>
      <c r="R377" s="62" t="str">
        <f aca="false">IF(AND(B377&lt;&gt;"",ISNUMBER(H377),ISNUMBER(F377)),COUNTIFS(C_RUTN,M377,C_SUELDO,"&lt;&gt;",C_INI,"&lt;"&amp;F377)+COUNTIFS(M$7:M377,M377,H$7:H377,"&lt;&gt;",F$7:F377,F377),"")</f>
        <v/>
      </c>
      <c r="S377" s="62" t="str">
        <f aca="false">IF(R377="","",M377&amp;"-S"&amp;R377)</f>
        <v/>
      </c>
    </row>
    <row r="378" customFormat="false" ht="15" hidden="false" customHeight="false" outlineLevel="0" collapsed="false">
      <c r="B378" s="58"/>
      <c r="C378" s="62" t="str">
        <f aca="false">IF(B378="","",IFERROR(INDEX(T_NOMBRE,MATCH(M378,T_RUTN,0)),"⚠ RUT no está en Trabajadores"))</f>
        <v/>
      </c>
      <c r="D378" s="58"/>
      <c r="E378" s="58"/>
      <c r="F378" s="59"/>
      <c r="G378" s="59"/>
      <c r="H378" s="60"/>
      <c r="I378" s="58"/>
      <c r="J378" s="58"/>
      <c r="K378" s="58"/>
      <c r="L378" s="62" t="str">
        <f aca="false">IF(B378="","",IF(LEFT(C378,1)="⚠","⚠ Registre primero al trabajador en la hoja Trabajadores",IF(AND(N378="Sí",OR(E378="",NOT(ISNUMBER(F378)))),"⚠ Falta tipo de contrato o fecha de inicio",IF(NOT(ISNUMBER(F378)),"⚠ Falta fecha de inicio",IF(AND(N378="Sí",E378&lt;&gt;"Indefinido",NOT(ISNUMBER(G378))),"⚠ Falta fecha de término",IF(AND(D378="Paso a indefinido",E378&lt;&gt;"Indefinido"),"⚠ Un paso a indefinido debe tener tipo Indefinido",IF(N(Q378)&gt;=3,"⚠ 3er contrato a plazo fijo: por ley ya es INDEFINIDO (Art. 159 N°4)",IF(AND(E378="Plazo fijo",ISNUMBER(G378),(G378-F378+1)/30.4375&gt;12),"⚠ Plazo fijo mayor a 1 año (máximo legal)",IF(J378&lt;&gt;"Sí","Pendiente de firma","OK")))))))))</f>
        <v/>
      </c>
      <c r="M378" s="62" t="str">
        <f aca="false">IF(B378="","",IFERROR(VALUE(LEFT(UPPER(SUBSTITUTE(SUBSTITUTE(SUBSTITUTE(TRIM(B378),".",""),"-","")," ","")),LEN(UPPER(SUBSTITUTE(SUBSTITUTE(SUBSTITUTE(TRIM(B378),".",""),"-","")," ","")))-1))&amp;RIGHT(UPPER(SUBSTITUTE(SUBSTITUTE(SUBSTITUTE(TRIM(B378),".",""),"-","")," ","")),1),UPPER(SUBSTITUTE(SUBSTITUTE(SUBSTITUTE(TRIM(B378),".",""),"-","")," ",""))))</f>
        <v/>
      </c>
      <c r="N378" s="62" t="str">
        <f aca="false">IF(B378="","",IF(D378="Anexo de modificación","No","Sí"))</f>
        <v/>
      </c>
      <c r="O378" s="62" t="str">
        <f aca="false">IF(AND(N378="Sí",ISNUMBER(F378)),COUNTIFS(C_RUTN,M378,C_DEF,"Sí",C_INI,"&lt;"&amp;F378)+COUNTIFS(M$7:M378,M378,N$7:N378,"Sí",F$7:F378,F378),"")</f>
        <v/>
      </c>
      <c r="P378" s="62" t="str">
        <f aca="false">IF(O378="","",M378&amp;"-P"&amp;O378)</f>
        <v/>
      </c>
      <c r="Q378" s="62" t="str">
        <f aca="false">IF(AND(N378="Sí",E378="Plazo fijo",ISNUMBER(F378)),COUNTIFS(C_RUTN,M378,C_TIPO,"Plazo fijo",C_DEF,"Sí",C_INI,"&lt;"&amp;F378)+COUNTIFS(M$7:M378,M378,E$7:E378,"Plazo fijo",N$7:N378,"Sí",F$7:F378,F378),"")</f>
        <v/>
      </c>
      <c r="R378" s="62" t="str">
        <f aca="false">IF(AND(B378&lt;&gt;"",ISNUMBER(H378),ISNUMBER(F378)),COUNTIFS(C_RUTN,M378,C_SUELDO,"&lt;&gt;",C_INI,"&lt;"&amp;F378)+COUNTIFS(M$7:M378,M378,H$7:H378,"&lt;&gt;",F$7:F378,F378),"")</f>
        <v/>
      </c>
      <c r="S378" s="62" t="str">
        <f aca="false">IF(R378="","",M378&amp;"-S"&amp;R378)</f>
        <v/>
      </c>
    </row>
    <row r="379" customFormat="false" ht="15" hidden="false" customHeight="false" outlineLevel="0" collapsed="false">
      <c r="B379" s="58"/>
      <c r="C379" s="62" t="str">
        <f aca="false">IF(B379="","",IFERROR(INDEX(T_NOMBRE,MATCH(M379,T_RUTN,0)),"⚠ RUT no está en Trabajadores"))</f>
        <v/>
      </c>
      <c r="D379" s="58"/>
      <c r="E379" s="58"/>
      <c r="F379" s="59"/>
      <c r="G379" s="59"/>
      <c r="H379" s="60"/>
      <c r="I379" s="58"/>
      <c r="J379" s="58"/>
      <c r="K379" s="58"/>
      <c r="L379" s="62" t="str">
        <f aca="false">IF(B379="","",IF(LEFT(C379,1)="⚠","⚠ Registre primero al trabajador en la hoja Trabajadores",IF(AND(N379="Sí",OR(E379="",NOT(ISNUMBER(F379)))),"⚠ Falta tipo de contrato o fecha de inicio",IF(NOT(ISNUMBER(F379)),"⚠ Falta fecha de inicio",IF(AND(N379="Sí",E379&lt;&gt;"Indefinido",NOT(ISNUMBER(G379))),"⚠ Falta fecha de término",IF(AND(D379="Paso a indefinido",E379&lt;&gt;"Indefinido"),"⚠ Un paso a indefinido debe tener tipo Indefinido",IF(N(Q379)&gt;=3,"⚠ 3er contrato a plazo fijo: por ley ya es INDEFINIDO (Art. 159 N°4)",IF(AND(E379="Plazo fijo",ISNUMBER(G379),(G379-F379+1)/30.4375&gt;12),"⚠ Plazo fijo mayor a 1 año (máximo legal)",IF(J379&lt;&gt;"Sí","Pendiente de firma","OK")))))))))</f>
        <v/>
      </c>
      <c r="M379" s="62" t="str">
        <f aca="false">IF(B379="","",IFERROR(VALUE(LEFT(UPPER(SUBSTITUTE(SUBSTITUTE(SUBSTITUTE(TRIM(B379),".",""),"-","")," ","")),LEN(UPPER(SUBSTITUTE(SUBSTITUTE(SUBSTITUTE(TRIM(B379),".",""),"-","")," ","")))-1))&amp;RIGHT(UPPER(SUBSTITUTE(SUBSTITUTE(SUBSTITUTE(TRIM(B379),".",""),"-","")," ","")),1),UPPER(SUBSTITUTE(SUBSTITUTE(SUBSTITUTE(TRIM(B379),".",""),"-","")," ",""))))</f>
        <v/>
      </c>
      <c r="N379" s="62" t="str">
        <f aca="false">IF(B379="","",IF(D379="Anexo de modificación","No","Sí"))</f>
        <v/>
      </c>
      <c r="O379" s="62" t="str">
        <f aca="false">IF(AND(N379="Sí",ISNUMBER(F379)),COUNTIFS(C_RUTN,M379,C_DEF,"Sí",C_INI,"&lt;"&amp;F379)+COUNTIFS(M$7:M379,M379,N$7:N379,"Sí",F$7:F379,F379),"")</f>
        <v/>
      </c>
      <c r="P379" s="62" t="str">
        <f aca="false">IF(O379="","",M379&amp;"-P"&amp;O379)</f>
        <v/>
      </c>
      <c r="Q379" s="62" t="str">
        <f aca="false">IF(AND(N379="Sí",E379="Plazo fijo",ISNUMBER(F379)),COUNTIFS(C_RUTN,M379,C_TIPO,"Plazo fijo",C_DEF,"Sí",C_INI,"&lt;"&amp;F379)+COUNTIFS(M$7:M379,M379,E$7:E379,"Plazo fijo",N$7:N379,"Sí",F$7:F379,F379),"")</f>
        <v/>
      </c>
      <c r="R379" s="62" t="str">
        <f aca="false">IF(AND(B379&lt;&gt;"",ISNUMBER(H379),ISNUMBER(F379)),COUNTIFS(C_RUTN,M379,C_SUELDO,"&lt;&gt;",C_INI,"&lt;"&amp;F379)+COUNTIFS(M$7:M379,M379,H$7:H379,"&lt;&gt;",F$7:F379,F379),"")</f>
        <v/>
      </c>
      <c r="S379" s="62" t="str">
        <f aca="false">IF(R379="","",M379&amp;"-S"&amp;R379)</f>
        <v/>
      </c>
    </row>
    <row r="380" customFormat="false" ht="15" hidden="false" customHeight="false" outlineLevel="0" collapsed="false">
      <c r="B380" s="58"/>
      <c r="C380" s="62" t="str">
        <f aca="false">IF(B380="","",IFERROR(INDEX(T_NOMBRE,MATCH(M380,T_RUTN,0)),"⚠ RUT no está en Trabajadores"))</f>
        <v/>
      </c>
      <c r="D380" s="58"/>
      <c r="E380" s="58"/>
      <c r="F380" s="59"/>
      <c r="G380" s="59"/>
      <c r="H380" s="60"/>
      <c r="I380" s="58"/>
      <c r="J380" s="58"/>
      <c r="K380" s="58"/>
      <c r="L380" s="62" t="str">
        <f aca="false">IF(B380="","",IF(LEFT(C380,1)="⚠","⚠ Registre primero al trabajador en la hoja Trabajadores",IF(AND(N380="Sí",OR(E380="",NOT(ISNUMBER(F380)))),"⚠ Falta tipo de contrato o fecha de inicio",IF(NOT(ISNUMBER(F380)),"⚠ Falta fecha de inicio",IF(AND(N380="Sí",E380&lt;&gt;"Indefinido",NOT(ISNUMBER(G380))),"⚠ Falta fecha de término",IF(AND(D380="Paso a indefinido",E380&lt;&gt;"Indefinido"),"⚠ Un paso a indefinido debe tener tipo Indefinido",IF(N(Q380)&gt;=3,"⚠ 3er contrato a plazo fijo: por ley ya es INDEFINIDO (Art. 159 N°4)",IF(AND(E380="Plazo fijo",ISNUMBER(G380),(G380-F380+1)/30.4375&gt;12),"⚠ Plazo fijo mayor a 1 año (máximo legal)",IF(J380&lt;&gt;"Sí","Pendiente de firma","OK")))))))))</f>
        <v/>
      </c>
      <c r="M380" s="62" t="str">
        <f aca="false">IF(B380="","",IFERROR(VALUE(LEFT(UPPER(SUBSTITUTE(SUBSTITUTE(SUBSTITUTE(TRIM(B380),".",""),"-","")," ","")),LEN(UPPER(SUBSTITUTE(SUBSTITUTE(SUBSTITUTE(TRIM(B380),".",""),"-","")," ","")))-1))&amp;RIGHT(UPPER(SUBSTITUTE(SUBSTITUTE(SUBSTITUTE(TRIM(B380),".",""),"-","")," ","")),1),UPPER(SUBSTITUTE(SUBSTITUTE(SUBSTITUTE(TRIM(B380),".",""),"-","")," ",""))))</f>
        <v/>
      </c>
      <c r="N380" s="62" t="str">
        <f aca="false">IF(B380="","",IF(D380="Anexo de modificación","No","Sí"))</f>
        <v/>
      </c>
      <c r="O380" s="62" t="str">
        <f aca="false">IF(AND(N380="Sí",ISNUMBER(F380)),COUNTIFS(C_RUTN,M380,C_DEF,"Sí",C_INI,"&lt;"&amp;F380)+COUNTIFS(M$7:M380,M380,N$7:N380,"Sí",F$7:F380,F380),"")</f>
        <v/>
      </c>
      <c r="P380" s="62" t="str">
        <f aca="false">IF(O380="","",M380&amp;"-P"&amp;O380)</f>
        <v/>
      </c>
      <c r="Q380" s="62" t="str">
        <f aca="false">IF(AND(N380="Sí",E380="Plazo fijo",ISNUMBER(F380)),COUNTIFS(C_RUTN,M380,C_TIPO,"Plazo fijo",C_DEF,"Sí",C_INI,"&lt;"&amp;F380)+COUNTIFS(M$7:M380,M380,E$7:E380,"Plazo fijo",N$7:N380,"Sí",F$7:F380,F380),"")</f>
        <v/>
      </c>
      <c r="R380" s="62" t="str">
        <f aca="false">IF(AND(B380&lt;&gt;"",ISNUMBER(H380),ISNUMBER(F380)),COUNTIFS(C_RUTN,M380,C_SUELDO,"&lt;&gt;",C_INI,"&lt;"&amp;F380)+COUNTIFS(M$7:M380,M380,H$7:H380,"&lt;&gt;",F$7:F380,F380),"")</f>
        <v/>
      </c>
      <c r="S380" s="62" t="str">
        <f aca="false">IF(R380="","",M380&amp;"-S"&amp;R380)</f>
        <v/>
      </c>
    </row>
    <row r="381" customFormat="false" ht="15" hidden="false" customHeight="false" outlineLevel="0" collapsed="false">
      <c r="B381" s="58"/>
      <c r="C381" s="62" t="str">
        <f aca="false">IF(B381="","",IFERROR(INDEX(T_NOMBRE,MATCH(M381,T_RUTN,0)),"⚠ RUT no está en Trabajadores"))</f>
        <v/>
      </c>
      <c r="D381" s="58"/>
      <c r="E381" s="58"/>
      <c r="F381" s="59"/>
      <c r="G381" s="59"/>
      <c r="H381" s="60"/>
      <c r="I381" s="58"/>
      <c r="J381" s="58"/>
      <c r="K381" s="58"/>
      <c r="L381" s="62" t="str">
        <f aca="false">IF(B381="","",IF(LEFT(C381,1)="⚠","⚠ Registre primero al trabajador en la hoja Trabajadores",IF(AND(N381="Sí",OR(E381="",NOT(ISNUMBER(F381)))),"⚠ Falta tipo de contrato o fecha de inicio",IF(NOT(ISNUMBER(F381)),"⚠ Falta fecha de inicio",IF(AND(N381="Sí",E381&lt;&gt;"Indefinido",NOT(ISNUMBER(G381))),"⚠ Falta fecha de término",IF(AND(D381="Paso a indefinido",E381&lt;&gt;"Indefinido"),"⚠ Un paso a indefinido debe tener tipo Indefinido",IF(N(Q381)&gt;=3,"⚠ 3er contrato a plazo fijo: por ley ya es INDEFINIDO (Art. 159 N°4)",IF(AND(E381="Plazo fijo",ISNUMBER(G381),(G381-F381+1)/30.4375&gt;12),"⚠ Plazo fijo mayor a 1 año (máximo legal)",IF(J381&lt;&gt;"Sí","Pendiente de firma","OK")))))))))</f>
        <v/>
      </c>
      <c r="M381" s="62" t="str">
        <f aca="false">IF(B381="","",IFERROR(VALUE(LEFT(UPPER(SUBSTITUTE(SUBSTITUTE(SUBSTITUTE(TRIM(B381),".",""),"-","")," ","")),LEN(UPPER(SUBSTITUTE(SUBSTITUTE(SUBSTITUTE(TRIM(B381),".",""),"-","")," ","")))-1))&amp;RIGHT(UPPER(SUBSTITUTE(SUBSTITUTE(SUBSTITUTE(TRIM(B381),".",""),"-","")," ","")),1),UPPER(SUBSTITUTE(SUBSTITUTE(SUBSTITUTE(TRIM(B381),".",""),"-","")," ",""))))</f>
        <v/>
      </c>
      <c r="N381" s="62" t="str">
        <f aca="false">IF(B381="","",IF(D381="Anexo de modificación","No","Sí"))</f>
        <v/>
      </c>
      <c r="O381" s="62" t="str">
        <f aca="false">IF(AND(N381="Sí",ISNUMBER(F381)),COUNTIFS(C_RUTN,M381,C_DEF,"Sí",C_INI,"&lt;"&amp;F381)+COUNTIFS(M$7:M381,M381,N$7:N381,"Sí",F$7:F381,F381),"")</f>
        <v/>
      </c>
      <c r="P381" s="62" t="str">
        <f aca="false">IF(O381="","",M381&amp;"-P"&amp;O381)</f>
        <v/>
      </c>
      <c r="Q381" s="62" t="str">
        <f aca="false">IF(AND(N381="Sí",E381="Plazo fijo",ISNUMBER(F381)),COUNTIFS(C_RUTN,M381,C_TIPO,"Plazo fijo",C_DEF,"Sí",C_INI,"&lt;"&amp;F381)+COUNTIFS(M$7:M381,M381,E$7:E381,"Plazo fijo",N$7:N381,"Sí",F$7:F381,F381),"")</f>
        <v/>
      </c>
      <c r="R381" s="62" t="str">
        <f aca="false">IF(AND(B381&lt;&gt;"",ISNUMBER(H381),ISNUMBER(F381)),COUNTIFS(C_RUTN,M381,C_SUELDO,"&lt;&gt;",C_INI,"&lt;"&amp;F381)+COUNTIFS(M$7:M381,M381,H$7:H381,"&lt;&gt;",F$7:F381,F381),"")</f>
        <v/>
      </c>
      <c r="S381" s="62" t="str">
        <f aca="false">IF(R381="","",M381&amp;"-S"&amp;R381)</f>
        <v/>
      </c>
    </row>
    <row r="382" customFormat="false" ht="15" hidden="false" customHeight="false" outlineLevel="0" collapsed="false">
      <c r="B382" s="58"/>
      <c r="C382" s="62" t="str">
        <f aca="false">IF(B382="","",IFERROR(INDEX(T_NOMBRE,MATCH(M382,T_RUTN,0)),"⚠ RUT no está en Trabajadores"))</f>
        <v/>
      </c>
      <c r="D382" s="58"/>
      <c r="E382" s="58"/>
      <c r="F382" s="59"/>
      <c r="G382" s="59"/>
      <c r="H382" s="60"/>
      <c r="I382" s="58"/>
      <c r="J382" s="58"/>
      <c r="K382" s="58"/>
      <c r="L382" s="62" t="str">
        <f aca="false">IF(B382="","",IF(LEFT(C382,1)="⚠","⚠ Registre primero al trabajador en la hoja Trabajadores",IF(AND(N382="Sí",OR(E382="",NOT(ISNUMBER(F382)))),"⚠ Falta tipo de contrato o fecha de inicio",IF(NOT(ISNUMBER(F382)),"⚠ Falta fecha de inicio",IF(AND(N382="Sí",E382&lt;&gt;"Indefinido",NOT(ISNUMBER(G382))),"⚠ Falta fecha de término",IF(AND(D382="Paso a indefinido",E382&lt;&gt;"Indefinido"),"⚠ Un paso a indefinido debe tener tipo Indefinido",IF(N(Q382)&gt;=3,"⚠ 3er contrato a plazo fijo: por ley ya es INDEFINIDO (Art. 159 N°4)",IF(AND(E382="Plazo fijo",ISNUMBER(G382),(G382-F382+1)/30.4375&gt;12),"⚠ Plazo fijo mayor a 1 año (máximo legal)",IF(J382&lt;&gt;"Sí","Pendiente de firma","OK")))))))))</f>
        <v/>
      </c>
      <c r="M382" s="62" t="str">
        <f aca="false">IF(B382="","",IFERROR(VALUE(LEFT(UPPER(SUBSTITUTE(SUBSTITUTE(SUBSTITUTE(TRIM(B382),".",""),"-","")," ","")),LEN(UPPER(SUBSTITUTE(SUBSTITUTE(SUBSTITUTE(TRIM(B382),".",""),"-","")," ","")))-1))&amp;RIGHT(UPPER(SUBSTITUTE(SUBSTITUTE(SUBSTITUTE(TRIM(B382),".",""),"-","")," ","")),1),UPPER(SUBSTITUTE(SUBSTITUTE(SUBSTITUTE(TRIM(B382),".",""),"-","")," ",""))))</f>
        <v/>
      </c>
      <c r="N382" s="62" t="str">
        <f aca="false">IF(B382="","",IF(D382="Anexo de modificación","No","Sí"))</f>
        <v/>
      </c>
      <c r="O382" s="62" t="str">
        <f aca="false">IF(AND(N382="Sí",ISNUMBER(F382)),COUNTIFS(C_RUTN,M382,C_DEF,"Sí",C_INI,"&lt;"&amp;F382)+COUNTIFS(M$7:M382,M382,N$7:N382,"Sí",F$7:F382,F382),"")</f>
        <v/>
      </c>
      <c r="P382" s="62" t="str">
        <f aca="false">IF(O382="","",M382&amp;"-P"&amp;O382)</f>
        <v/>
      </c>
      <c r="Q382" s="62" t="str">
        <f aca="false">IF(AND(N382="Sí",E382="Plazo fijo",ISNUMBER(F382)),COUNTIFS(C_RUTN,M382,C_TIPO,"Plazo fijo",C_DEF,"Sí",C_INI,"&lt;"&amp;F382)+COUNTIFS(M$7:M382,M382,E$7:E382,"Plazo fijo",N$7:N382,"Sí",F$7:F382,F382),"")</f>
        <v/>
      </c>
      <c r="R382" s="62" t="str">
        <f aca="false">IF(AND(B382&lt;&gt;"",ISNUMBER(H382),ISNUMBER(F382)),COUNTIFS(C_RUTN,M382,C_SUELDO,"&lt;&gt;",C_INI,"&lt;"&amp;F382)+COUNTIFS(M$7:M382,M382,H$7:H382,"&lt;&gt;",F$7:F382,F382),"")</f>
        <v/>
      </c>
      <c r="S382" s="62" t="str">
        <f aca="false">IF(R382="","",M382&amp;"-S"&amp;R382)</f>
        <v/>
      </c>
    </row>
    <row r="383" customFormat="false" ht="15" hidden="false" customHeight="false" outlineLevel="0" collapsed="false">
      <c r="B383" s="58"/>
      <c r="C383" s="62" t="str">
        <f aca="false">IF(B383="","",IFERROR(INDEX(T_NOMBRE,MATCH(M383,T_RUTN,0)),"⚠ RUT no está en Trabajadores"))</f>
        <v/>
      </c>
      <c r="D383" s="58"/>
      <c r="E383" s="58"/>
      <c r="F383" s="59"/>
      <c r="G383" s="59"/>
      <c r="H383" s="60"/>
      <c r="I383" s="58"/>
      <c r="J383" s="58"/>
      <c r="K383" s="58"/>
      <c r="L383" s="62" t="str">
        <f aca="false">IF(B383="","",IF(LEFT(C383,1)="⚠","⚠ Registre primero al trabajador en la hoja Trabajadores",IF(AND(N383="Sí",OR(E383="",NOT(ISNUMBER(F383)))),"⚠ Falta tipo de contrato o fecha de inicio",IF(NOT(ISNUMBER(F383)),"⚠ Falta fecha de inicio",IF(AND(N383="Sí",E383&lt;&gt;"Indefinido",NOT(ISNUMBER(G383))),"⚠ Falta fecha de término",IF(AND(D383="Paso a indefinido",E383&lt;&gt;"Indefinido"),"⚠ Un paso a indefinido debe tener tipo Indefinido",IF(N(Q383)&gt;=3,"⚠ 3er contrato a plazo fijo: por ley ya es INDEFINIDO (Art. 159 N°4)",IF(AND(E383="Plazo fijo",ISNUMBER(G383),(G383-F383+1)/30.4375&gt;12),"⚠ Plazo fijo mayor a 1 año (máximo legal)",IF(J383&lt;&gt;"Sí","Pendiente de firma","OK")))))))))</f>
        <v/>
      </c>
      <c r="M383" s="62" t="str">
        <f aca="false">IF(B383="","",IFERROR(VALUE(LEFT(UPPER(SUBSTITUTE(SUBSTITUTE(SUBSTITUTE(TRIM(B383),".",""),"-","")," ","")),LEN(UPPER(SUBSTITUTE(SUBSTITUTE(SUBSTITUTE(TRIM(B383),".",""),"-","")," ","")))-1))&amp;RIGHT(UPPER(SUBSTITUTE(SUBSTITUTE(SUBSTITUTE(TRIM(B383),".",""),"-","")," ","")),1),UPPER(SUBSTITUTE(SUBSTITUTE(SUBSTITUTE(TRIM(B383),".",""),"-","")," ",""))))</f>
        <v/>
      </c>
      <c r="N383" s="62" t="str">
        <f aca="false">IF(B383="","",IF(D383="Anexo de modificación","No","Sí"))</f>
        <v/>
      </c>
      <c r="O383" s="62" t="str">
        <f aca="false">IF(AND(N383="Sí",ISNUMBER(F383)),COUNTIFS(C_RUTN,M383,C_DEF,"Sí",C_INI,"&lt;"&amp;F383)+COUNTIFS(M$7:M383,M383,N$7:N383,"Sí",F$7:F383,F383),"")</f>
        <v/>
      </c>
      <c r="P383" s="62" t="str">
        <f aca="false">IF(O383="","",M383&amp;"-P"&amp;O383)</f>
        <v/>
      </c>
      <c r="Q383" s="62" t="str">
        <f aca="false">IF(AND(N383="Sí",E383="Plazo fijo",ISNUMBER(F383)),COUNTIFS(C_RUTN,M383,C_TIPO,"Plazo fijo",C_DEF,"Sí",C_INI,"&lt;"&amp;F383)+COUNTIFS(M$7:M383,M383,E$7:E383,"Plazo fijo",N$7:N383,"Sí",F$7:F383,F383),"")</f>
        <v/>
      </c>
      <c r="R383" s="62" t="str">
        <f aca="false">IF(AND(B383&lt;&gt;"",ISNUMBER(H383),ISNUMBER(F383)),COUNTIFS(C_RUTN,M383,C_SUELDO,"&lt;&gt;",C_INI,"&lt;"&amp;F383)+COUNTIFS(M$7:M383,M383,H$7:H383,"&lt;&gt;",F$7:F383,F383),"")</f>
        <v/>
      </c>
      <c r="S383" s="62" t="str">
        <f aca="false">IF(R383="","",M383&amp;"-S"&amp;R383)</f>
        <v/>
      </c>
    </row>
    <row r="384" customFormat="false" ht="15" hidden="false" customHeight="false" outlineLevel="0" collapsed="false">
      <c r="B384" s="58"/>
      <c r="C384" s="62" t="str">
        <f aca="false">IF(B384="","",IFERROR(INDEX(T_NOMBRE,MATCH(M384,T_RUTN,0)),"⚠ RUT no está en Trabajadores"))</f>
        <v/>
      </c>
      <c r="D384" s="58"/>
      <c r="E384" s="58"/>
      <c r="F384" s="59"/>
      <c r="G384" s="59"/>
      <c r="H384" s="60"/>
      <c r="I384" s="58"/>
      <c r="J384" s="58"/>
      <c r="K384" s="58"/>
      <c r="L384" s="62" t="str">
        <f aca="false">IF(B384="","",IF(LEFT(C384,1)="⚠","⚠ Registre primero al trabajador en la hoja Trabajadores",IF(AND(N384="Sí",OR(E384="",NOT(ISNUMBER(F384)))),"⚠ Falta tipo de contrato o fecha de inicio",IF(NOT(ISNUMBER(F384)),"⚠ Falta fecha de inicio",IF(AND(N384="Sí",E384&lt;&gt;"Indefinido",NOT(ISNUMBER(G384))),"⚠ Falta fecha de término",IF(AND(D384="Paso a indefinido",E384&lt;&gt;"Indefinido"),"⚠ Un paso a indefinido debe tener tipo Indefinido",IF(N(Q384)&gt;=3,"⚠ 3er contrato a plazo fijo: por ley ya es INDEFINIDO (Art. 159 N°4)",IF(AND(E384="Plazo fijo",ISNUMBER(G384),(G384-F384+1)/30.4375&gt;12),"⚠ Plazo fijo mayor a 1 año (máximo legal)",IF(J384&lt;&gt;"Sí","Pendiente de firma","OK")))))))))</f>
        <v/>
      </c>
      <c r="M384" s="62" t="str">
        <f aca="false">IF(B384="","",IFERROR(VALUE(LEFT(UPPER(SUBSTITUTE(SUBSTITUTE(SUBSTITUTE(TRIM(B384),".",""),"-","")," ","")),LEN(UPPER(SUBSTITUTE(SUBSTITUTE(SUBSTITUTE(TRIM(B384),".",""),"-","")," ","")))-1))&amp;RIGHT(UPPER(SUBSTITUTE(SUBSTITUTE(SUBSTITUTE(TRIM(B384),".",""),"-","")," ","")),1),UPPER(SUBSTITUTE(SUBSTITUTE(SUBSTITUTE(TRIM(B384),".",""),"-","")," ",""))))</f>
        <v/>
      </c>
      <c r="N384" s="62" t="str">
        <f aca="false">IF(B384="","",IF(D384="Anexo de modificación","No","Sí"))</f>
        <v/>
      </c>
      <c r="O384" s="62" t="str">
        <f aca="false">IF(AND(N384="Sí",ISNUMBER(F384)),COUNTIFS(C_RUTN,M384,C_DEF,"Sí",C_INI,"&lt;"&amp;F384)+COUNTIFS(M$7:M384,M384,N$7:N384,"Sí",F$7:F384,F384),"")</f>
        <v/>
      </c>
      <c r="P384" s="62" t="str">
        <f aca="false">IF(O384="","",M384&amp;"-P"&amp;O384)</f>
        <v/>
      </c>
      <c r="Q384" s="62" t="str">
        <f aca="false">IF(AND(N384="Sí",E384="Plazo fijo",ISNUMBER(F384)),COUNTIFS(C_RUTN,M384,C_TIPO,"Plazo fijo",C_DEF,"Sí",C_INI,"&lt;"&amp;F384)+COUNTIFS(M$7:M384,M384,E$7:E384,"Plazo fijo",N$7:N384,"Sí",F$7:F384,F384),"")</f>
        <v/>
      </c>
      <c r="R384" s="62" t="str">
        <f aca="false">IF(AND(B384&lt;&gt;"",ISNUMBER(H384),ISNUMBER(F384)),COUNTIFS(C_RUTN,M384,C_SUELDO,"&lt;&gt;",C_INI,"&lt;"&amp;F384)+COUNTIFS(M$7:M384,M384,H$7:H384,"&lt;&gt;",F$7:F384,F384),"")</f>
        <v/>
      </c>
      <c r="S384" s="62" t="str">
        <f aca="false">IF(R384="","",M384&amp;"-S"&amp;R384)</f>
        <v/>
      </c>
    </row>
    <row r="385" customFormat="false" ht="15" hidden="false" customHeight="false" outlineLevel="0" collapsed="false">
      <c r="B385" s="58"/>
      <c r="C385" s="62" t="str">
        <f aca="false">IF(B385="","",IFERROR(INDEX(T_NOMBRE,MATCH(M385,T_RUTN,0)),"⚠ RUT no está en Trabajadores"))</f>
        <v/>
      </c>
      <c r="D385" s="58"/>
      <c r="E385" s="58"/>
      <c r="F385" s="59"/>
      <c r="G385" s="59"/>
      <c r="H385" s="60"/>
      <c r="I385" s="58"/>
      <c r="J385" s="58"/>
      <c r="K385" s="58"/>
      <c r="L385" s="62" t="str">
        <f aca="false">IF(B385="","",IF(LEFT(C385,1)="⚠","⚠ Registre primero al trabajador en la hoja Trabajadores",IF(AND(N385="Sí",OR(E385="",NOT(ISNUMBER(F385)))),"⚠ Falta tipo de contrato o fecha de inicio",IF(NOT(ISNUMBER(F385)),"⚠ Falta fecha de inicio",IF(AND(N385="Sí",E385&lt;&gt;"Indefinido",NOT(ISNUMBER(G385))),"⚠ Falta fecha de término",IF(AND(D385="Paso a indefinido",E385&lt;&gt;"Indefinido"),"⚠ Un paso a indefinido debe tener tipo Indefinido",IF(N(Q385)&gt;=3,"⚠ 3er contrato a plazo fijo: por ley ya es INDEFINIDO (Art. 159 N°4)",IF(AND(E385="Plazo fijo",ISNUMBER(G385),(G385-F385+1)/30.4375&gt;12),"⚠ Plazo fijo mayor a 1 año (máximo legal)",IF(J385&lt;&gt;"Sí","Pendiente de firma","OK")))))))))</f>
        <v/>
      </c>
      <c r="M385" s="62" t="str">
        <f aca="false">IF(B385="","",IFERROR(VALUE(LEFT(UPPER(SUBSTITUTE(SUBSTITUTE(SUBSTITUTE(TRIM(B385),".",""),"-","")," ","")),LEN(UPPER(SUBSTITUTE(SUBSTITUTE(SUBSTITUTE(TRIM(B385),".",""),"-","")," ","")))-1))&amp;RIGHT(UPPER(SUBSTITUTE(SUBSTITUTE(SUBSTITUTE(TRIM(B385),".",""),"-","")," ","")),1),UPPER(SUBSTITUTE(SUBSTITUTE(SUBSTITUTE(TRIM(B385),".",""),"-","")," ",""))))</f>
        <v/>
      </c>
      <c r="N385" s="62" t="str">
        <f aca="false">IF(B385="","",IF(D385="Anexo de modificación","No","Sí"))</f>
        <v/>
      </c>
      <c r="O385" s="62" t="str">
        <f aca="false">IF(AND(N385="Sí",ISNUMBER(F385)),COUNTIFS(C_RUTN,M385,C_DEF,"Sí",C_INI,"&lt;"&amp;F385)+COUNTIFS(M$7:M385,M385,N$7:N385,"Sí",F$7:F385,F385),"")</f>
        <v/>
      </c>
      <c r="P385" s="62" t="str">
        <f aca="false">IF(O385="","",M385&amp;"-P"&amp;O385)</f>
        <v/>
      </c>
      <c r="Q385" s="62" t="str">
        <f aca="false">IF(AND(N385="Sí",E385="Plazo fijo",ISNUMBER(F385)),COUNTIFS(C_RUTN,M385,C_TIPO,"Plazo fijo",C_DEF,"Sí",C_INI,"&lt;"&amp;F385)+COUNTIFS(M$7:M385,M385,E$7:E385,"Plazo fijo",N$7:N385,"Sí",F$7:F385,F385),"")</f>
        <v/>
      </c>
      <c r="R385" s="62" t="str">
        <f aca="false">IF(AND(B385&lt;&gt;"",ISNUMBER(H385),ISNUMBER(F385)),COUNTIFS(C_RUTN,M385,C_SUELDO,"&lt;&gt;",C_INI,"&lt;"&amp;F385)+COUNTIFS(M$7:M385,M385,H$7:H385,"&lt;&gt;",F$7:F385,F385),"")</f>
        <v/>
      </c>
      <c r="S385" s="62" t="str">
        <f aca="false">IF(R385="","",M385&amp;"-S"&amp;R385)</f>
        <v/>
      </c>
    </row>
    <row r="386" customFormat="false" ht="15" hidden="false" customHeight="false" outlineLevel="0" collapsed="false">
      <c r="B386" s="58"/>
      <c r="C386" s="62" t="str">
        <f aca="false">IF(B386="","",IFERROR(INDEX(T_NOMBRE,MATCH(M386,T_RUTN,0)),"⚠ RUT no está en Trabajadores"))</f>
        <v/>
      </c>
      <c r="D386" s="58"/>
      <c r="E386" s="58"/>
      <c r="F386" s="59"/>
      <c r="G386" s="59"/>
      <c r="H386" s="60"/>
      <c r="I386" s="58"/>
      <c r="J386" s="58"/>
      <c r="K386" s="58"/>
      <c r="L386" s="62" t="str">
        <f aca="false">IF(B386="","",IF(LEFT(C386,1)="⚠","⚠ Registre primero al trabajador en la hoja Trabajadores",IF(AND(N386="Sí",OR(E386="",NOT(ISNUMBER(F386)))),"⚠ Falta tipo de contrato o fecha de inicio",IF(NOT(ISNUMBER(F386)),"⚠ Falta fecha de inicio",IF(AND(N386="Sí",E386&lt;&gt;"Indefinido",NOT(ISNUMBER(G386))),"⚠ Falta fecha de término",IF(AND(D386="Paso a indefinido",E386&lt;&gt;"Indefinido"),"⚠ Un paso a indefinido debe tener tipo Indefinido",IF(N(Q386)&gt;=3,"⚠ 3er contrato a plazo fijo: por ley ya es INDEFINIDO (Art. 159 N°4)",IF(AND(E386="Plazo fijo",ISNUMBER(G386),(G386-F386+1)/30.4375&gt;12),"⚠ Plazo fijo mayor a 1 año (máximo legal)",IF(J386&lt;&gt;"Sí","Pendiente de firma","OK")))))))))</f>
        <v/>
      </c>
      <c r="M386" s="62" t="str">
        <f aca="false">IF(B386="","",IFERROR(VALUE(LEFT(UPPER(SUBSTITUTE(SUBSTITUTE(SUBSTITUTE(TRIM(B386),".",""),"-","")," ","")),LEN(UPPER(SUBSTITUTE(SUBSTITUTE(SUBSTITUTE(TRIM(B386),".",""),"-","")," ","")))-1))&amp;RIGHT(UPPER(SUBSTITUTE(SUBSTITUTE(SUBSTITUTE(TRIM(B386),".",""),"-","")," ","")),1),UPPER(SUBSTITUTE(SUBSTITUTE(SUBSTITUTE(TRIM(B386),".",""),"-","")," ",""))))</f>
        <v/>
      </c>
      <c r="N386" s="62" t="str">
        <f aca="false">IF(B386="","",IF(D386="Anexo de modificación","No","Sí"))</f>
        <v/>
      </c>
      <c r="O386" s="62" t="str">
        <f aca="false">IF(AND(N386="Sí",ISNUMBER(F386)),COUNTIFS(C_RUTN,M386,C_DEF,"Sí",C_INI,"&lt;"&amp;F386)+COUNTIFS(M$7:M386,M386,N$7:N386,"Sí",F$7:F386,F386),"")</f>
        <v/>
      </c>
      <c r="P386" s="62" t="str">
        <f aca="false">IF(O386="","",M386&amp;"-P"&amp;O386)</f>
        <v/>
      </c>
      <c r="Q386" s="62" t="str">
        <f aca="false">IF(AND(N386="Sí",E386="Plazo fijo",ISNUMBER(F386)),COUNTIFS(C_RUTN,M386,C_TIPO,"Plazo fijo",C_DEF,"Sí",C_INI,"&lt;"&amp;F386)+COUNTIFS(M$7:M386,M386,E$7:E386,"Plazo fijo",N$7:N386,"Sí",F$7:F386,F386),"")</f>
        <v/>
      </c>
      <c r="R386" s="62" t="str">
        <f aca="false">IF(AND(B386&lt;&gt;"",ISNUMBER(H386),ISNUMBER(F386)),COUNTIFS(C_RUTN,M386,C_SUELDO,"&lt;&gt;",C_INI,"&lt;"&amp;F386)+COUNTIFS(M$7:M386,M386,H$7:H386,"&lt;&gt;",F$7:F386,F386),"")</f>
        <v/>
      </c>
      <c r="S386" s="62" t="str">
        <f aca="false">IF(R386="","",M386&amp;"-S"&amp;R386)</f>
        <v/>
      </c>
    </row>
    <row r="387" customFormat="false" ht="15" hidden="false" customHeight="false" outlineLevel="0" collapsed="false">
      <c r="B387" s="58"/>
      <c r="C387" s="62" t="str">
        <f aca="false">IF(B387="","",IFERROR(INDEX(T_NOMBRE,MATCH(M387,T_RUTN,0)),"⚠ RUT no está en Trabajadores"))</f>
        <v/>
      </c>
      <c r="D387" s="58"/>
      <c r="E387" s="58"/>
      <c r="F387" s="59"/>
      <c r="G387" s="59"/>
      <c r="H387" s="60"/>
      <c r="I387" s="58"/>
      <c r="J387" s="58"/>
      <c r="K387" s="58"/>
      <c r="L387" s="62" t="str">
        <f aca="false">IF(B387="","",IF(LEFT(C387,1)="⚠","⚠ Registre primero al trabajador en la hoja Trabajadores",IF(AND(N387="Sí",OR(E387="",NOT(ISNUMBER(F387)))),"⚠ Falta tipo de contrato o fecha de inicio",IF(NOT(ISNUMBER(F387)),"⚠ Falta fecha de inicio",IF(AND(N387="Sí",E387&lt;&gt;"Indefinido",NOT(ISNUMBER(G387))),"⚠ Falta fecha de término",IF(AND(D387="Paso a indefinido",E387&lt;&gt;"Indefinido"),"⚠ Un paso a indefinido debe tener tipo Indefinido",IF(N(Q387)&gt;=3,"⚠ 3er contrato a plazo fijo: por ley ya es INDEFINIDO (Art. 159 N°4)",IF(AND(E387="Plazo fijo",ISNUMBER(G387),(G387-F387+1)/30.4375&gt;12),"⚠ Plazo fijo mayor a 1 año (máximo legal)",IF(J387&lt;&gt;"Sí","Pendiente de firma","OK")))))))))</f>
        <v/>
      </c>
      <c r="M387" s="62" t="str">
        <f aca="false">IF(B387="","",IFERROR(VALUE(LEFT(UPPER(SUBSTITUTE(SUBSTITUTE(SUBSTITUTE(TRIM(B387),".",""),"-","")," ","")),LEN(UPPER(SUBSTITUTE(SUBSTITUTE(SUBSTITUTE(TRIM(B387),".",""),"-","")," ","")))-1))&amp;RIGHT(UPPER(SUBSTITUTE(SUBSTITUTE(SUBSTITUTE(TRIM(B387),".",""),"-","")," ","")),1),UPPER(SUBSTITUTE(SUBSTITUTE(SUBSTITUTE(TRIM(B387),".",""),"-","")," ",""))))</f>
        <v/>
      </c>
      <c r="N387" s="62" t="str">
        <f aca="false">IF(B387="","",IF(D387="Anexo de modificación","No","Sí"))</f>
        <v/>
      </c>
      <c r="O387" s="62" t="str">
        <f aca="false">IF(AND(N387="Sí",ISNUMBER(F387)),COUNTIFS(C_RUTN,M387,C_DEF,"Sí",C_INI,"&lt;"&amp;F387)+COUNTIFS(M$7:M387,M387,N$7:N387,"Sí",F$7:F387,F387),"")</f>
        <v/>
      </c>
      <c r="P387" s="62" t="str">
        <f aca="false">IF(O387="","",M387&amp;"-P"&amp;O387)</f>
        <v/>
      </c>
      <c r="Q387" s="62" t="str">
        <f aca="false">IF(AND(N387="Sí",E387="Plazo fijo",ISNUMBER(F387)),COUNTIFS(C_RUTN,M387,C_TIPO,"Plazo fijo",C_DEF,"Sí",C_INI,"&lt;"&amp;F387)+COUNTIFS(M$7:M387,M387,E$7:E387,"Plazo fijo",N$7:N387,"Sí",F$7:F387,F387),"")</f>
        <v/>
      </c>
      <c r="R387" s="62" t="str">
        <f aca="false">IF(AND(B387&lt;&gt;"",ISNUMBER(H387),ISNUMBER(F387)),COUNTIFS(C_RUTN,M387,C_SUELDO,"&lt;&gt;",C_INI,"&lt;"&amp;F387)+COUNTIFS(M$7:M387,M387,H$7:H387,"&lt;&gt;",F$7:F387,F387),"")</f>
        <v/>
      </c>
      <c r="S387" s="62" t="str">
        <f aca="false">IF(R387="","",M387&amp;"-S"&amp;R387)</f>
        <v/>
      </c>
    </row>
    <row r="388" customFormat="false" ht="15" hidden="false" customHeight="false" outlineLevel="0" collapsed="false">
      <c r="B388" s="58"/>
      <c r="C388" s="62" t="str">
        <f aca="false">IF(B388="","",IFERROR(INDEX(T_NOMBRE,MATCH(M388,T_RUTN,0)),"⚠ RUT no está en Trabajadores"))</f>
        <v/>
      </c>
      <c r="D388" s="58"/>
      <c r="E388" s="58"/>
      <c r="F388" s="59"/>
      <c r="G388" s="59"/>
      <c r="H388" s="60"/>
      <c r="I388" s="58"/>
      <c r="J388" s="58"/>
      <c r="K388" s="58"/>
      <c r="L388" s="62" t="str">
        <f aca="false">IF(B388="","",IF(LEFT(C388,1)="⚠","⚠ Registre primero al trabajador en la hoja Trabajadores",IF(AND(N388="Sí",OR(E388="",NOT(ISNUMBER(F388)))),"⚠ Falta tipo de contrato o fecha de inicio",IF(NOT(ISNUMBER(F388)),"⚠ Falta fecha de inicio",IF(AND(N388="Sí",E388&lt;&gt;"Indefinido",NOT(ISNUMBER(G388))),"⚠ Falta fecha de término",IF(AND(D388="Paso a indefinido",E388&lt;&gt;"Indefinido"),"⚠ Un paso a indefinido debe tener tipo Indefinido",IF(N(Q388)&gt;=3,"⚠ 3er contrato a plazo fijo: por ley ya es INDEFINIDO (Art. 159 N°4)",IF(AND(E388="Plazo fijo",ISNUMBER(G388),(G388-F388+1)/30.4375&gt;12),"⚠ Plazo fijo mayor a 1 año (máximo legal)",IF(J388&lt;&gt;"Sí","Pendiente de firma","OK")))))))))</f>
        <v/>
      </c>
      <c r="M388" s="62" t="str">
        <f aca="false">IF(B388="","",IFERROR(VALUE(LEFT(UPPER(SUBSTITUTE(SUBSTITUTE(SUBSTITUTE(TRIM(B388),".",""),"-","")," ","")),LEN(UPPER(SUBSTITUTE(SUBSTITUTE(SUBSTITUTE(TRIM(B388),".",""),"-","")," ","")))-1))&amp;RIGHT(UPPER(SUBSTITUTE(SUBSTITUTE(SUBSTITUTE(TRIM(B388),".",""),"-","")," ","")),1),UPPER(SUBSTITUTE(SUBSTITUTE(SUBSTITUTE(TRIM(B388),".",""),"-","")," ",""))))</f>
        <v/>
      </c>
      <c r="N388" s="62" t="str">
        <f aca="false">IF(B388="","",IF(D388="Anexo de modificación","No","Sí"))</f>
        <v/>
      </c>
      <c r="O388" s="62" t="str">
        <f aca="false">IF(AND(N388="Sí",ISNUMBER(F388)),COUNTIFS(C_RUTN,M388,C_DEF,"Sí",C_INI,"&lt;"&amp;F388)+COUNTIFS(M$7:M388,M388,N$7:N388,"Sí",F$7:F388,F388),"")</f>
        <v/>
      </c>
      <c r="P388" s="62" t="str">
        <f aca="false">IF(O388="","",M388&amp;"-P"&amp;O388)</f>
        <v/>
      </c>
      <c r="Q388" s="62" t="str">
        <f aca="false">IF(AND(N388="Sí",E388="Plazo fijo",ISNUMBER(F388)),COUNTIFS(C_RUTN,M388,C_TIPO,"Plazo fijo",C_DEF,"Sí",C_INI,"&lt;"&amp;F388)+COUNTIFS(M$7:M388,M388,E$7:E388,"Plazo fijo",N$7:N388,"Sí",F$7:F388,F388),"")</f>
        <v/>
      </c>
      <c r="R388" s="62" t="str">
        <f aca="false">IF(AND(B388&lt;&gt;"",ISNUMBER(H388),ISNUMBER(F388)),COUNTIFS(C_RUTN,M388,C_SUELDO,"&lt;&gt;",C_INI,"&lt;"&amp;F388)+COUNTIFS(M$7:M388,M388,H$7:H388,"&lt;&gt;",F$7:F388,F388),"")</f>
        <v/>
      </c>
      <c r="S388" s="62" t="str">
        <f aca="false">IF(R388="","",M388&amp;"-S"&amp;R388)</f>
        <v/>
      </c>
    </row>
    <row r="389" customFormat="false" ht="15" hidden="false" customHeight="false" outlineLevel="0" collapsed="false">
      <c r="B389" s="58"/>
      <c r="C389" s="62" t="str">
        <f aca="false">IF(B389="","",IFERROR(INDEX(T_NOMBRE,MATCH(M389,T_RUTN,0)),"⚠ RUT no está en Trabajadores"))</f>
        <v/>
      </c>
      <c r="D389" s="58"/>
      <c r="E389" s="58"/>
      <c r="F389" s="59"/>
      <c r="G389" s="59"/>
      <c r="H389" s="60"/>
      <c r="I389" s="58"/>
      <c r="J389" s="58"/>
      <c r="K389" s="58"/>
      <c r="L389" s="62" t="str">
        <f aca="false">IF(B389="","",IF(LEFT(C389,1)="⚠","⚠ Registre primero al trabajador en la hoja Trabajadores",IF(AND(N389="Sí",OR(E389="",NOT(ISNUMBER(F389)))),"⚠ Falta tipo de contrato o fecha de inicio",IF(NOT(ISNUMBER(F389)),"⚠ Falta fecha de inicio",IF(AND(N389="Sí",E389&lt;&gt;"Indefinido",NOT(ISNUMBER(G389))),"⚠ Falta fecha de término",IF(AND(D389="Paso a indefinido",E389&lt;&gt;"Indefinido"),"⚠ Un paso a indefinido debe tener tipo Indefinido",IF(N(Q389)&gt;=3,"⚠ 3er contrato a plazo fijo: por ley ya es INDEFINIDO (Art. 159 N°4)",IF(AND(E389="Plazo fijo",ISNUMBER(G389),(G389-F389+1)/30.4375&gt;12),"⚠ Plazo fijo mayor a 1 año (máximo legal)",IF(J389&lt;&gt;"Sí","Pendiente de firma","OK")))))))))</f>
        <v/>
      </c>
      <c r="M389" s="62" t="str">
        <f aca="false">IF(B389="","",IFERROR(VALUE(LEFT(UPPER(SUBSTITUTE(SUBSTITUTE(SUBSTITUTE(TRIM(B389),".",""),"-","")," ","")),LEN(UPPER(SUBSTITUTE(SUBSTITUTE(SUBSTITUTE(TRIM(B389),".",""),"-","")," ","")))-1))&amp;RIGHT(UPPER(SUBSTITUTE(SUBSTITUTE(SUBSTITUTE(TRIM(B389),".",""),"-","")," ","")),1),UPPER(SUBSTITUTE(SUBSTITUTE(SUBSTITUTE(TRIM(B389),".",""),"-","")," ",""))))</f>
        <v/>
      </c>
      <c r="N389" s="62" t="str">
        <f aca="false">IF(B389="","",IF(D389="Anexo de modificación","No","Sí"))</f>
        <v/>
      </c>
      <c r="O389" s="62" t="str">
        <f aca="false">IF(AND(N389="Sí",ISNUMBER(F389)),COUNTIFS(C_RUTN,M389,C_DEF,"Sí",C_INI,"&lt;"&amp;F389)+COUNTIFS(M$7:M389,M389,N$7:N389,"Sí",F$7:F389,F389),"")</f>
        <v/>
      </c>
      <c r="P389" s="62" t="str">
        <f aca="false">IF(O389="","",M389&amp;"-P"&amp;O389)</f>
        <v/>
      </c>
      <c r="Q389" s="62" t="str">
        <f aca="false">IF(AND(N389="Sí",E389="Plazo fijo",ISNUMBER(F389)),COUNTIFS(C_RUTN,M389,C_TIPO,"Plazo fijo",C_DEF,"Sí",C_INI,"&lt;"&amp;F389)+COUNTIFS(M$7:M389,M389,E$7:E389,"Plazo fijo",N$7:N389,"Sí",F$7:F389,F389),"")</f>
        <v/>
      </c>
      <c r="R389" s="62" t="str">
        <f aca="false">IF(AND(B389&lt;&gt;"",ISNUMBER(H389),ISNUMBER(F389)),COUNTIFS(C_RUTN,M389,C_SUELDO,"&lt;&gt;",C_INI,"&lt;"&amp;F389)+COUNTIFS(M$7:M389,M389,H$7:H389,"&lt;&gt;",F$7:F389,F389),"")</f>
        <v/>
      </c>
      <c r="S389" s="62" t="str">
        <f aca="false">IF(R389="","",M389&amp;"-S"&amp;R389)</f>
        <v/>
      </c>
    </row>
    <row r="390" customFormat="false" ht="15" hidden="false" customHeight="false" outlineLevel="0" collapsed="false">
      <c r="B390" s="58"/>
      <c r="C390" s="62" t="str">
        <f aca="false">IF(B390="","",IFERROR(INDEX(T_NOMBRE,MATCH(M390,T_RUTN,0)),"⚠ RUT no está en Trabajadores"))</f>
        <v/>
      </c>
      <c r="D390" s="58"/>
      <c r="E390" s="58"/>
      <c r="F390" s="59"/>
      <c r="G390" s="59"/>
      <c r="H390" s="60"/>
      <c r="I390" s="58"/>
      <c r="J390" s="58"/>
      <c r="K390" s="58"/>
      <c r="L390" s="62" t="str">
        <f aca="false">IF(B390="","",IF(LEFT(C390,1)="⚠","⚠ Registre primero al trabajador en la hoja Trabajadores",IF(AND(N390="Sí",OR(E390="",NOT(ISNUMBER(F390)))),"⚠ Falta tipo de contrato o fecha de inicio",IF(NOT(ISNUMBER(F390)),"⚠ Falta fecha de inicio",IF(AND(N390="Sí",E390&lt;&gt;"Indefinido",NOT(ISNUMBER(G390))),"⚠ Falta fecha de término",IF(AND(D390="Paso a indefinido",E390&lt;&gt;"Indefinido"),"⚠ Un paso a indefinido debe tener tipo Indefinido",IF(N(Q390)&gt;=3,"⚠ 3er contrato a plazo fijo: por ley ya es INDEFINIDO (Art. 159 N°4)",IF(AND(E390="Plazo fijo",ISNUMBER(G390),(G390-F390+1)/30.4375&gt;12),"⚠ Plazo fijo mayor a 1 año (máximo legal)",IF(J390&lt;&gt;"Sí","Pendiente de firma","OK")))))))))</f>
        <v/>
      </c>
      <c r="M390" s="62" t="str">
        <f aca="false">IF(B390="","",IFERROR(VALUE(LEFT(UPPER(SUBSTITUTE(SUBSTITUTE(SUBSTITUTE(TRIM(B390),".",""),"-","")," ","")),LEN(UPPER(SUBSTITUTE(SUBSTITUTE(SUBSTITUTE(TRIM(B390),".",""),"-","")," ","")))-1))&amp;RIGHT(UPPER(SUBSTITUTE(SUBSTITUTE(SUBSTITUTE(TRIM(B390),".",""),"-","")," ","")),1),UPPER(SUBSTITUTE(SUBSTITUTE(SUBSTITUTE(TRIM(B390),".",""),"-","")," ",""))))</f>
        <v/>
      </c>
      <c r="N390" s="62" t="str">
        <f aca="false">IF(B390="","",IF(D390="Anexo de modificación","No","Sí"))</f>
        <v/>
      </c>
      <c r="O390" s="62" t="str">
        <f aca="false">IF(AND(N390="Sí",ISNUMBER(F390)),COUNTIFS(C_RUTN,M390,C_DEF,"Sí",C_INI,"&lt;"&amp;F390)+COUNTIFS(M$7:M390,M390,N$7:N390,"Sí",F$7:F390,F390),"")</f>
        <v/>
      </c>
      <c r="P390" s="62" t="str">
        <f aca="false">IF(O390="","",M390&amp;"-P"&amp;O390)</f>
        <v/>
      </c>
      <c r="Q390" s="62" t="str">
        <f aca="false">IF(AND(N390="Sí",E390="Plazo fijo",ISNUMBER(F390)),COUNTIFS(C_RUTN,M390,C_TIPO,"Plazo fijo",C_DEF,"Sí",C_INI,"&lt;"&amp;F390)+COUNTIFS(M$7:M390,M390,E$7:E390,"Plazo fijo",N$7:N390,"Sí",F$7:F390,F390),"")</f>
        <v/>
      </c>
      <c r="R390" s="62" t="str">
        <f aca="false">IF(AND(B390&lt;&gt;"",ISNUMBER(H390),ISNUMBER(F390)),COUNTIFS(C_RUTN,M390,C_SUELDO,"&lt;&gt;",C_INI,"&lt;"&amp;F390)+COUNTIFS(M$7:M390,M390,H$7:H390,"&lt;&gt;",F$7:F390,F390),"")</f>
        <v/>
      </c>
      <c r="S390" s="62" t="str">
        <f aca="false">IF(R390="","",M390&amp;"-S"&amp;R390)</f>
        <v/>
      </c>
    </row>
    <row r="391" customFormat="false" ht="15" hidden="false" customHeight="false" outlineLevel="0" collapsed="false">
      <c r="B391" s="58"/>
      <c r="C391" s="62" t="str">
        <f aca="false">IF(B391="","",IFERROR(INDEX(T_NOMBRE,MATCH(M391,T_RUTN,0)),"⚠ RUT no está en Trabajadores"))</f>
        <v/>
      </c>
      <c r="D391" s="58"/>
      <c r="E391" s="58"/>
      <c r="F391" s="59"/>
      <c r="G391" s="59"/>
      <c r="H391" s="60"/>
      <c r="I391" s="58"/>
      <c r="J391" s="58"/>
      <c r="K391" s="58"/>
      <c r="L391" s="62" t="str">
        <f aca="false">IF(B391="","",IF(LEFT(C391,1)="⚠","⚠ Registre primero al trabajador en la hoja Trabajadores",IF(AND(N391="Sí",OR(E391="",NOT(ISNUMBER(F391)))),"⚠ Falta tipo de contrato o fecha de inicio",IF(NOT(ISNUMBER(F391)),"⚠ Falta fecha de inicio",IF(AND(N391="Sí",E391&lt;&gt;"Indefinido",NOT(ISNUMBER(G391))),"⚠ Falta fecha de término",IF(AND(D391="Paso a indefinido",E391&lt;&gt;"Indefinido"),"⚠ Un paso a indefinido debe tener tipo Indefinido",IF(N(Q391)&gt;=3,"⚠ 3er contrato a plazo fijo: por ley ya es INDEFINIDO (Art. 159 N°4)",IF(AND(E391="Plazo fijo",ISNUMBER(G391),(G391-F391+1)/30.4375&gt;12),"⚠ Plazo fijo mayor a 1 año (máximo legal)",IF(J391&lt;&gt;"Sí","Pendiente de firma","OK")))))))))</f>
        <v/>
      </c>
      <c r="M391" s="62" t="str">
        <f aca="false">IF(B391="","",IFERROR(VALUE(LEFT(UPPER(SUBSTITUTE(SUBSTITUTE(SUBSTITUTE(TRIM(B391),".",""),"-","")," ","")),LEN(UPPER(SUBSTITUTE(SUBSTITUTE(SUBSTITUTE(TRIM(B391),".",""),"-","")," ","")))-1))&amp;RIGHT(UPPER(SUBSTITUTE(SUBSTITUTE(SUBSTITUTE(TRIM(B391),".",""),"-","")," ","")),1),UPPER(SUBSTITUTE(SUBSTITUTE(SUBSTITUTE(TRIM(B391),".",""),"-","")," ",""))))</f>
        <v/>
      </c>
      <c r="N391" s="62" t="str">
        <f aca="false">IF(B391="","",IF(D391="Anexo de modificación","No","Sí"))</f>
        <v/>
      </c>
      <c r="O391" s="62" t="str">
        <f aca="false">IF(AND(N391="Sí",ISNUMBER(F391)),COUNTIFS(C_RUTN,M391,C_DEF,"Sí",C_INI,"&lt;"&amp;F391)+COUNTIFS(M$7:M391,M391,N$7:N391,"Sí",F$7:F391,F391),"")</f>
        <v/>
      </c>
      <c r="P391" s="62" t="str">
        <f aca="false">IF(O391="","",M391&amp;"-P"&amp;O391)</f>
        <v/>
      </c>
      <c r="Q391" s="62" t="str">
        <f aca="false">IF(AND(N391="Sí",E391="Plazo fijo",ISNUMBER(F391)),COUNTIFS(C_RUTN,M391,C_TIPO,"Plazo fijo",C_DEF,"Sí",C_INI,"&lt;"&amp;F391)+COUNTIFS(M$7:M391,M391,E$7:E391,"Plazo fijo",N$7:N391,"Sí",F$7:F391,F391),"")</f>
        <v/>
      </c>
      <c r="R391" s="62" t="str">
        <f aca="false">IF(AND(B391&lt;&gt;"",ISNUMBER(H391),ISNUMBER(F391)),COUNTIFS(C_RUTN,M391,C_SUELDO,"&lt;&gt;",C_INI,"&lt;"&amp;F391)+COUNTIFS(M$7:M391,M391,H$7:H391,"&lt;&gt;",F$7:F391,F391),"")</f>
        <v/>
      </c>
      <c r="S391" s="62" t="str">
        <f aca="false">IF(R391="","",M391&amp;"-S"&amp;R391)</f>
        <v/>
      </c>
    </row>
    <row r="392" customFormat="false" ht="15" hidden="false" customHeight="false" outlineLevel="0" collapsed="false">
      <c r="B392" s="58"/>
      <c r="C392" s="62" t="str">
        <f aca="false">IF(B392="","",IFERROR(INDEX(T_NOMBRE,MATCH(M392,T_RUTN,0)),"⚠ RUT no está en Trabajadores"))</f>
        <v/>
      </c>
      <c r="D392" s="58"/>
      <c r="E392" s="58"/>
      <c r="F392" s="59"/>
      <c r="G392" s="59"/>
      <c r="H392" s="60"/>
      <c r="I392" s="58"/>
      <c r="J392" s="58"/>
      <c r="K392" s="58"/>
      <c r="L392" s="62" t="str">
        <f aca="false">IF(B392="","",IF(LEFT(C392,1)="⚠","⚠ Registre primero al trabajador en la hoja Trabajadores",IF(AND(N392="Sí",OR(E392="",NOT(ISNUMBER(F392)))),"⚠ Falta tipo de contrato o fecha de inicio",IF(NOT(ISNUMBER(F392)),"⚠ Falta fecha de inicio",IF(AND(N392="Sí",E392&lt;&gt;"Indefinido",NOT(ISNUMBER(G392))),"⚠ Falta fecha de término",IF(AND(D392="Paso a indefinido",E392&lt;&gt;"Indefinido"),"⚠ Un paso a indefinido debe tener tipo Indefinido",IF(N(Q392)&gt;=3,"⚠ 3er contrato a plazo fijo: por ley ya es INDEFINIDO (Art. 159 N°4)",IF(AND(E392="Plazo fijo",ISNUMBER(G392),(G392-F392+1)/30.4375&gt;12),"⚠ Plazo fijo mayor a 1 año (máximo legal)",IF(J392&lt;&gt;"Sí","Pendiente de firma","OK")))))))))</f>
        <v/>
      </c>
      <c r="M392" s="62" t="str">
        <f aca="false">IF(B392="","",IFERROR(VALUE(LEFT(UPPER(SUBSTITUTE(SUBSTITUTE(SUBSTITUTE(TRIM(B392),".",""),"-","")," ","")),LEN(UPPER(SUBSTITUTE(SUBSTITUTE(SUBSTITUTE(TRIM(B392),".",""),"-","")," ","")))-1))&amp;RIGHT(UPPER(SUBSTITUTE(SUBSTITUTE(SUBSTITUTE(TRIM(B392),".",""),"-","")," ","")),1),UPPER(SUBSTITUTE(SUBSTITUTE(SUBSTITUTE(TRIM(B392),".",""),"-","")," ",""))))</f>
        <v/>
      </c>
      <c r="N392" s="62" t="str">
        <f aca="false">IF(B392="","",IF(D392="Anexo de modificación","No","Sí"))</f>
        <v/>
      </c>
      <c r="O392" s="62" t="str">
        <f aca="false">IF(AND(N392="Sí",ISNUMBER(F392)),COUNTIFS(C_RUTN,M392,C_DEF,"Sí",C_INI,"&lt;"&amp;F392)+COUNTIFS(M$7:M392,M392,N$7:N392,"Sí",F$7:F392,F392),"")</f>
        <v/>
      </c>
      <c r="P392" s="62" t="str">
        <f aca="false">IF(O392="","",M392&amp;"-P"&amp;O392)</f>
        <v/>
      </c>
      <c r="Q392" s="62" t="str">
        <f aca="false">IF(AND(N392="Sí",E392="Plazo fijo",ISNUMBER(F392)),COUNTIFS(C_RUTN,M392,C_TIPO,"Plazo fijo",C_DEF,"Sí",C_INI,"&lt;"&amp;F392)+COUNTIFS(M$7:M392,M392,E$7:E392,"Plazo fijo",N$7:N392,"Sí",F$7:F392,F392),"")</f>
        <v/>
      </c>
      <c r="R392" s="62" t="str">
        <f aca="false">IF(AND(B392&lt;&gt;"",ISNUMBER(H392),ISNUMBER(F392)),COUNTIFS(C_RUTN,M392,C_SUELDO,"&lt;&gt;",C_INI,"&lt;"&amp;F392)+COUNTIFS(M$7:M392,M392,H$7:H392,"&lt;&gt;",F$7:F392,F392),"")</f>
        <v/>
      </c>
      <c r="S392" s="62" t="str">
        <f aca="false">IF(R392="","",M392&amp;"-S"&amp;R392)</f>
        <v/>
      </c>
    </row>
    <row r="393" customFormat="false" ht="15" hidden="false" customHeight="false" outlineLevel="0" collapsed="false">
      <c r="B393" s="58"/>
      <c r="C393" s="62" t="str">
        <f aca="false">IF(B393="","",IFERROR(INDEX(T_NOMBRE,MATCH(M393,T_RUTN,0)),"⚠ RUT no está en Trabajadores"))</f>
        <v/>
      </c>
      <c r="D393" s="58"/>
      <c r="E393" s="58"/>
      <c r="F393" s="59"/>
      <c r="G393" s="59"/>
      <c r="H393" s="60"/>
      <c r="I393" s="58"/>
      <c r="J393" s="58"/>
      <c r="K393" s="58"/>
      <c r="L393" s="62" t="str">
        <f aca="false">IF(B393="","",IF(LEFT(C393,1)="⚠","⚠ Registre primero al trabajador en la hoja Trabajadores",IF(AND(N393="Sí",OR(E393="",NOT(ISNUMBER(F393)))),"⚠ Falta tipo de contrato o fecha de inicio",IF(NOT(ISNUMBER(F393)),"⚠ Falta fecha de inicio",IF(AND(N393="Sí",E393&lt;&gt;"Indefinido",NOT(ISNUMBER(G393))),"⚠ Falta fecha de término",IF(AND(D393="Paso a indefinido",E393&lt;&gt;"Indefinido"),"⚠ Un paso a indefinido debe tener tipo Indefinido",IF(N(Q393)&gt;=3,"⚠ 3er contrato a plazo fijo: por ley ya es INDEFINIDO (Art. 159 N°4)",IF(AND(E393="Plazo fijo",ISNUMBER(G393),(G393-F393+1)/30.4375&gt;12),"⚠ Plazo fijo mayor a 1 año (máximo legal)",IF(J393&lt;&gt;"Sí","Pendiente de firma","OK")))))))))</f>
        <v/>
      </c>
      <c r="M393" s="62" t="str">
        <f aca="false">IF(B393="","",IFERROR(VALUE(LEFT(UPPER(SUBSTITUTE(SUBSTITUTE(SUBSTITUTE(TRIM(B393),".",""),"-","")," ","")),LEN(UPPER(SUBSTITUTE(SUBSTITUTE(SUBSTITUTE(TRIM(B393),".",""),"-","")," ","")))-1))&amp;RIGHT(UPPER(SUBSTITUTE(SUBSTITUTE(SUBSTITUTE(TRIM(B393),".",""),"-","")," ","")),1),UPPER(SUBSTITUTE(SUBSTITUTE(SUBSTITUTE(TRIM(B393),".",""),"-","")," ",""))))</f>
        <v/>
      </c>
      <c r="N393" s="62" t="str">
        <f aca="false">IF(B393="","",IF(D393="Anexo de modificación","No","Sí"))</f>
        <v/>
      </c>
      <c r="O393" s="62" t="str">
        <f aca="false">IF(AND(N393="Sí",ISNUMBER(F393)),COUNTIFS(C_RUTN,M393,C_DEF,"Sí",C_INI,"&lt;"&amp;F393)+COUNTIFS(M$7:M393,M393,N$7:N393,"Sí",F$7:F393,F393),"")</f>
        <v/>
      </c>
      <c r="P393" s="62" t="str">
        <f aca="false">IF(O393="","",M393&amp;"-P"&amp;O393)</f>
        <v/>
      </c>
      <c r="Q393" s="62" t="str">
        <f aca="false">IF(AND(N393="Sí",E393="Plazo fijo",ISNUMBER(F393)),COUNTIFS(C_RUTN,M393,C_TIPO,"Plazo fijo",C_DEF,"Sí",C_INI,"&lt;"&amp;F393)+COUNTIFS(M$7:M393,M393,E$7:E393,"Plazo fijo",N$7:N393,"Sí",F$7:F393,F393),"")</f>
        <v/>
      </c>
      <c r="R393" s="62" t="str">
        <f aca="false">IF(AND(B393&lt;&gt;"",ISNUMBER(H393),ISNUMBER(F393)),COUNTIFS(C_RUTN,M393,C_SUELDO,"&lt;&gt;",C_INI,"&lt;"&amp;F393)+COUNTIFS(M$7:M393,M393,H$7:H393,"&lt;&gt;",F$7:F393,F393),"")</f>
        <v/>
      </c>
      <c r="S393" s="62" t="str">
        <f aca="false">IF(R393="","",M393&amp;"-S"&amp;R393)</f>
        <v/>
      </c>
    </row>
    <row r="394" customFormat="false" ht="15" hidden="false" customHeight="false" outlineLevel="0" collapsed="false">
      <c r="B394" s="58"/>
      <c r="C394" s="62" t="str">
        <f aca="false">IF(B394="","",IFERROR(INDEX(T_NOMBRE,MATCH(M394,T_RUTN,0)),"⚠ RUT no está en Trabajadores"))</f>
        <v/>
      </c>
      <c r="D394" s="58"/>
      <c r="E394" s="58"/>
      <c r="F394" s="59"/>
      <c r="G394" s="59"/>
      <c r="H394" s="60"/>
      <c r="I394" s="58"/>
      <c r="J394" s="58"/>
      <c r="K394" s="58"/>
      <c r="L394" s="62" t="str">
        <f aca="false">IF(B394="","",IF(LEFT(C394,1)="⚠","⚠ Registre primero al trabajador en la hoja Trabajadores",IF(AND(N394="Sí",OR(E394="",NOT(ISNUMBER(F394)))),"⚠ Falta tipo de contrato o fecha de inicio",IF(NOT(ISNUMBER(F394)),"⚠ Falta fecha de inicio",IF(AND(N394="Sí",E394&lt;&gt;"Indefinido",NOT(ISNUMBER(G394))),"⚠ Falta fecha de término",IF(AND(D394="Paso a indefinido",E394&lt;&gt;"Indefinido"),"⚠ Un paso a indefinido debe tener tipo Indefinido",IF(N(Q394)&gt;=3,"⚠ 3er contrato a plazo fijo: por ley ya es INDEFINIDO (Art. 159 N°4)",IF(AND(E394="Plazo fijo",ISNUMBER(G394),(G394-F394+1)/30.4375&gt;12),"⚠ Plazo fijo mayor a 1 año (máximo legal)",IF(J394&lt;&gt;"Sí","Pendiente de firma","OK")))))))))</f>
        <v/>
      </c>
      <c r="M394" s="62" t="str">
        <f aca="false">IF(B394="","",IFERROR(VALUE(LEFT(UPPER(SUBSTITUTE(SUBSTITUTE(SUBSTITUTE(TRIM(B394),".",""),"-","")," ","")),LEN(UPPER(SUBSTITUTE(SUBSTITUTE(SUBSTITUTE(TRIM(B394),".",""),"-","")," ","")))-1))&amp;RIGHT(UPPER(SUBSTITUTE(SUBSTITUTE(SUBSTITUTE(TRIM(B394),".",""),"-","")," ","")),1),UPPER(SUBSTITUTE(SUBSTITUTE(SUBSTITUTE(TRIM(B394),".",""),"-","")," ",""))))</f>
        <v/>
      </c>
      <c r="N394" s="62" t="str">
        <f aca="false">IF(B394="","",IF(D394="Anexo de modificación","No","Sí"))</f>
        <v/>
      </c>
      <c r="O394" s="62" t="str">
        <f aca="false">IF(AND(N394="Sí",ISNUMBER(F394)),COUNTIFS(C_RUTN,M394,C_DEF,"Sí",C_INI,"&lt;"&amp;F394)+COUNTIFS(M$7:M394,M394,N$7:N394,"Sí",F$7:F394,F394),"")</f>
        <v/>
      </c>
      <c r="P394" s="62" t="str">
        <f aca="false">IF(O394="","",M394&amp;"-P"&amp;O394)</f>
        <v/>
      </c>
      <c r="Q394" s="62" t="str">
        <f aca="false">IF(AND(N394="Sí",E394="Plazo fijo",ISNUMBER(F394)),COUNTIFS(C_RUTN,M394,C_TIPO,"Plazo fijo",C_DEF,"Sí",C_INI,"&lt;"&amp;F394)+COUNTIFS(M$7:M394,M394,E$7:E394,"Plazo fijo",N$7:N394,"Sí",F$7:F394,F394),"")</f>
        <v/>
      </c>
      <c r="R394" s="62" t="str">
        <f aca="false">IF(AND(B394&lt;&gt;"",ISNUMBER(H394),ISNUMBER(F394)),COUNTIFS(C_RUTN,M394,C_SUELDO,"&lt;&gt;",C_INI,"&lt;"&amp;F394)+COUNTIFS(M$7:M394,M394,H$7:H394,"&lt;&gt;",F$7:F394,F394),"")</f>
        <v/>
      </c>
      <c r="S394" s="62" t="str">
        <f aca="false">IF(R394="","",M394&amp;"-S"&amp;R394)</f>
        <v/>
      </c>
    </row>
    <row r="395" customFormat="false" ht="15" hidden="false" customHeight="false" outlineLevel="0" collapsed="false">
      <c r="B395" s="58"/>
      <c r="C395" s="62" t="str">
        <f aca="false">IF(B395="","",IFERROR(INDEX(T_NOMBRE,MATCH(M395,T_RUTN,0)),"⚠ RUT no está en Trabajadores"))</f>
        <v/>
      </c>
      <c r="D395" s="58"/>
      <c r="E395" s="58"/>
      <c r="F395" s="59"/>
      <c r="G395" s="59"/>
      <c r="H395" s="60"/>
      <c r="I395" s="58"/>
      <c r="J395" s="58"/>
      <c r="K395" s="58"/>
      <c r="L395" s="62" t="str">
        <f aca="false">IF(B395="","",IF(LEFT(C395,1)="⚠","⚠ Registre primero al trabajador en la hoja Trabajadores",IF(AND(N395="Sí",OR(E395="",NOT(ISNUMBER(F395)))),"⚠ Falta tipo de contrato o fecha de inicio",IF(NOT(ISNUMBER(F395)),"⚠ Falta fecha de inicio",IF(AND(N395="Sí",E395&lt;&gt;"Indefinido",NOT(ISNUMBER(G395))),"⚠ Falta fecha de término",IF(AND(D395="Paso a indefinido",E395&lt;&gt;"Indefinido"),"⚠ Un paso a indefinido debe tener tipo Indefinido",IF(N(Q395)&gt;=3,"⚠ 3er contrato a plazo fijo: por ley ya es INDEFINIDO (Art. 159 N°4)",IF(AND(E395="Plazo fijo",ISNUMBER(G395),(G395-F395+1)/30.4375&gt;12),"⚠ Plazo fijo mayor a 1 año (máximo legal)",IF(J395&lt;&gt;"Sí","Pendiente de firma","OK")))))))))</f>
        <v/>
      </c>
      <c r="M395" s="62" t="str">
        <f aca="false">IF(B395="","",IFERROR(VALUE(LEFT(UPPER(SUBSTITUTE(SUBSTITUTE(SUBSTITUTE(TRIM(B395),".",""),"-","")," ","")),LEN(UPPER(SUBSTITUTE(SUBSTITUTE(SUBSTITUTE(TRIM(B395),".",""),"-","")," ","")))-1))&amp;RIGHT(UPPER(SUBSTITUTE(SUBSTITUTE(SUBSTITUTE(TRIM(B395),".",""),"-","")," ","")),1),UPPER(SUBSTITUTE(SUBSTITUTE(SUBSTITUTE(TRIM(B395),".",""),"-","")," ",""))))</f>
        <v/>
      </c>
      <c r="N395" s="62" t="str">
        <f aca="false">IF(B395="","",IF(D395="Anexo de modificación","No","Sí"))</f>
        <v/>
      </c>
      <c r="O395" s="62" t="str">
        <f aca="false">IF(AND(N395="Sí",ISNUMBER(F395)),COUNTIFS(C_RUTN,M395,C_DEF,"Sí",C_INI,"&lt;"&amp;F395)+COUNTIFS(M$7:M395,M395,N$7:N395,"Sí",F$7:F395,F395),"")</f>
        <v/>
      </c>
      <c r="P395" s="62" t="str">
        <f aca="false">IF(O395="","",M395&amp;"-P"&amp;O395)</f>
        <v/>
      </c>
      <c r="Q395" s="62" t="str">
        <f aca="false">IF(AND(N395="Sí",E395="Plazo fijo",ISNUMBER(F395)),COUNTIFS(C_RUTN,M395,C_TIPO,"Plazo fijo",C_DEF,"Sí",C_INI,"&lt;"&amp;F395)+COUNTIFS(M$7:M395,M395,E$7:E395,"Plazo fijo",N$7:N395,"Sí",F$7:F395,F395),"")</f>
        <v/>
      </c>
      <c r="R395" s="62" t="str">
        <f aca="false">IF(AND(B395&lt;&gt;"",ISNUMBER(H395),ISNUMBER(F395)),COUNTIFS(C_RUTN,M395,C_SUELDO,"&lt;&gt;",C_INI,"&lt;"&amp;F395)+COUNTIFS(M$7:M395,M395,H$7:H395,"&lt;&gt;",F$7:F395,F395),"")</f>
        <v/>
      </c>
      <c r="S395" s="62" t="str">
        <f aca="false">IF(R395="","",M395&amp;"-S"&amp;R395)</f>
        <v/>
      </c>
    </row>
    <row r="396" customFormat="false" ht="15" hidden="false" customHeight="false" outlineLevel="0" collapsed="false">
      <c r="B396" s="58"/>
      <c r="C396" s="62" t="str">
        <f aca="false">IF(B396="","",IFERROR(INDEX(T_NOMBRE,MATCH(M396,T_RUTN,0)),"⚠ RUT no está en Trabajadores"))</f>
        <v/>
      </c>
      <c r="D396" s="58"/>
      <c r="E396" s="58"/>
      <c r="F396" s="59"/>
      <c r="G396" s="59"/>
      <c r="H396" s="60"/>
      <c r="I396" s="58"/>
      <c r="J396" s="58"/>
      <c r="K396" s="58"/>
      <c r="L396" s="62" t="str">
        <f aca="false">IF(B396="","",IF(LEFT(C396,1)="⚠","⚠ Registre primero al trabajador en la hoja Trabajadores",IF(AND(N396="Sí",OR(E396="",NOT(ISNUMBER(F396)))),"⚠ Falta tipo de contrato o fecha de inicio",IF(NOT(ISNUMBER(F396)),"⚠ Falta fecha de inicio",IF(AND(N396="Sí",E396&lt;&gt;"Indefinido",NOT(ISNUMBER(G396))),"⚠ Falta fecha de término",IF(AND(D396="Paso a indefinido",E396&lt;&gt;"Indefinido"),"⚠ Un paso a indefinido debe tener tipo Indefinido",IF(N(Q396)&gt;=3,"⚠ 3er contrato a plazo fijo: por ley ya es INDEFINIDO (Art. 159 N°4)",IF(AND(E396="Plazo fijo",ISNUMBER(G396),(G396-F396+1)/30.4375&gt;12),"⚠ Plazo fijo mayor a 1 año (máximo legal)",IF(J396&lt;&gt;"Sí","Pendiente de firma","OK")))))))))</f>
        <v/>
      </c>
      <c r="M396" s="62" t="str">
        <f aca="false">IF(B396="","",IFERROR(VALUE(LEFT(UPPER(SUBSTITUTE(SUBSTITUTE(SUBSTITUTE(TRIM(B396),".",""),"-","")," ","")),LEN(UPPER(SUBSTITUTE(SUBSTITUTE(SUBSTITUTE(TRIM(B396),".",""),"-","")," ","")))-1))&amp;RIGHT(UPPER(SUBSTITUTE(SUBSTITUTE(SUBSTITUTE(TRIM(B396),".",""),"-","")," ","")),1),UPPER(SUBSTITUTE(SUBSTITUTE(SUBSTITUTE(TRIM(B396),".",""),"-","")," ",""))))</f>
        <v/>
      </c>
      <c r="N396" s="62" t="str">
        <f aca="false">IF(B396="","",IF(D396="Anexo de modificación","No","Sí"))</f>
        <v/>
      </c>
      <c r="O396" s="62" t="str">
        <f aca="false">IF(AND(N396="Sí",ISNUMBER(F396)),COUNTIFS(C_RUTN,M396,C_DEF,"Sí",C_INI,"&lt;"&amp;F396)+COUNTIFS(M$7:M396,M396,N$7:N396,"Sí",F$7:F396,F396),"")</f>
        <v/>
      </c>
      <c r="P396" s="62" t="str">
        <f aca="false">IF(O396="","",M396&amp;"-P"&amp;O396)</f>
        <v/>
      </c>
      <c r="Q396" s="62" t="str">
        <f aca="false">IF(AND(N396="Sí",E396="Plazo fijo",ISNUMBER(F396)),COUNTIFS(C_RUTN,M396,C_TIPO,"Plazo fijo",C_DEF,"Sí",C_INI,"&lt;"&amp;F396)+COUNTIFS(M$7:M396,M396,E$7:E396,"Plazo fijo",N$7:N396,"Sí",F$7:F396,F396),"")</f>
        <v/>
      </c>
      <c r="R396" s="62" t="str">
        <f aca="false">IF(AND(B396&lt;&gt;"",ISNUMBER(H396),ISNUMBER(F396)),COUNTIFS(C_RUTN,M396,C_SUELDO,"&lt;&gt;",C_INI,"&lt;"&amp;F396)+COUNTIFS(M$7:M396,M396,H$7:H396,"&lt;&gt;",F$7:F396,F396),"")</f>
        <v/>
      </c>
      <c r="S396" s="62" t="str">
        <f aca="false">IF(R396="","",M396&amp;"-S"&amp;R396)</f>
        <v/>
      </c>
    </row>
    <row r="397" customFormat="false" ht="15" hidden="false" customHeight="false" outlineLevel="0" collapsed="false">
      <c r="B397" s="58"/>
      <c r="C397" s="62" t="str">
        <f aca="false">IF(B397="","",IFERROR(INDEX(T_NOMBRE,MATCH(M397,T_RUTN,0)),"⚠ RUT no está en Trabajadores"))</f>
        <v/>
      </c>
      <c r="D397" s="58"/>
      <c r="E397" s="58"/>
      <c r="F397" s="59"/>
      <c r="G397" s="59"/>
      <c r="H397" s="60"/>
      <c r="I397" s="58"/>
      <c r="J397" s="58"/>
      <c r="K397" s="58"/>
      <c r="L397" s="62" t="str">
        <f aca="false">IF(B397="","",IF(LEFT(C397,1)="⚠","⚠ Registre primero al trabajador en la hoja Trabajadores",IF(AND(N397="Sí",OR(E397="",NOT(ISNUMBER(F397)))),"⚠ Falta tipo de contrato o fecha de inicio",IF(NOT(ISNUMBER(F397)),"⚠ Falta fecha de inicio",IF(AND(N397="Sí",E397&lt;&gt;"Indefinido",NOT(ISNUMBER(G397))),"⚠ Falta fecha de término",IF(AND(D397="Paso a indefinido",E397&lt;&gt;"Indefinido"),"⚠ Un paso a indefinido debe tener tipo Indefinido",IF(N(Q397)&gt;=3,"⚠ 3er contrato a plazo fijo: por ley ya es INDEFINIDO (Art. 159 N°4)",IF(AND(E397="Plazo fijo",ISNUMBER(G397),(G397-F397+1)/30.4375&gt;12),"⚠ Plazo fijo mayor a 1 año (máximo legal)",IF(J397&lt;&gt;"Sí","Pendiente de firma","OK")))))))))</f>
        <v/>
      </c>
      <c r="M397" s="62" t="str">
        <f aca="false">IF(B397="","",IFERROR(VALUE(LEFT(UPPER(SUBSTITUTE(SUBSTITUTE(SUBSTITUTE(TRIM(B397),".",""),"-","")," ","")),LEN(UPPER(SUBSTITUTE(SUBSTITUTE(SUBSTITUTE(TRIM(B397),".",""),"-","")," ","")))-1))&amp;RIGHT(UPPER(SUBSTITUTE(SUBSTITUTE(SUBSTITUTE(TRIM(B397),".",""),"-","")," ","")),1),UPPER(SUBSTITUTE(SUBSTITUTE(SUBSTITUTE(TRIM(B397),".",""),"-","")," ",""))))</f>
        <v/>
      </c>
      <c r="N397" s="62" t="str">
        <f aca="false">IF(B397="","",IF(D397="Anexo de modificación","No","Sí"))</f>
        <v/>
      </c>
      <c r="O397" s="62" t="str">
        <f aca="false">IF(AND(N397="Sí",ISNUMBER(F397)),COUNTIFS(C_RUTN,M397,C_DEF,"Sí",C_INI,"&lt;"&amp;F397)+COUNTIFS(M$7:M397,M397,N$7:N397,"Sí",F$7:F397,F397),"")</f>
        <v/>
      </c>
      <c r="P397" s="62" t="str">
        <f aca="false">IF(O397="","",M397&amp;"-P"&amp;O397)</f>
        <v/>
      </c>
      <c r="Q397" s="62" t="str">
        <f aca="false">IF(AND(N397="Sí",E397="Plazo fijo",ISNUMBER(F397)),COUNTIFS(C_RUTN,M397,C_TIPO,"Plazo fijo",C_DEF,"Sí",C_INI,"&lt;"&amp;F397)+COUNTIFS(M$7:M397,M397,E$7:E397,"Plazo fijo",N$7:N397,"Sí",F$7:F397,F397),"")</f>
        <v/>
      </c>
      <c r="R397" s="62" t="str">
        <f aca="false">IF(AND(B397&lt;&gt;"",ISNUMBER(H397),ISNUMBER(F397)),COUNTIFS(C_RUTN,M397,C_SUELDO,"&lt;&gt;",C_INI,"&lt;"&amp;F397)+COUNTIFS(M$7:M397,M397,H$7:H397,"&lt;&gt;",F$7:F397,F397),"")</f>
        <v/>
      </c>
      <c r="S397" s="62" t="str">
        <f aca="false">IF(R397="","",M397&amp;"-S"&amp;R397)</f>
        <v/>
      </c>
    </row>
    <row r="398" customFormat="false" ht="15" hidden="false" customHeight="false" outlineLevel="0" collapsed="false">
      <c r="B398" s="58"/>
      <c r="C398" s="62" t="str">
        <f aca="false">IF(B398="","",IFERROR(INDEX(T_NOMBRE,MATCH(M398,T_RUTN,0)),"⚠ RUT no está en Trabajadores"))</f>
        <v/>
      </c>
      <c r="D398" s="58"/>
      <c r="E398" s="58"/>
      <c r="F398" s="59"/>
      <c r="G398" s="59"/>
      <c r="H398" s="60"/>
      <c r="I398" s="58"/>
      <c r="J398" s="58"/>
      <c r="K398" s="58"/>
      <c r="L398" s="62" t="str">
        <f aca="false">IF(B398="","",IF(LEFT(C398,1)="⚠","⚠ Registre primero al trabajador en la hoja Trabajadores",IF(AND(N398="Sí",OR(E398="",NOT(ISNUMBER(F398)))),"⚠ Falta tipo de contrato o fecha de inicio",IF(NOT(ISNUMBER(F398)),"⚠ Falta fecha de inicio",IF(AND(N398="Sí",E398&lt;&gt;"Indefinido",NOT(ISNUMBER(G398))),"⚠ Falta fecha de término",IF(AND(D398="Paso a indefinido",E398&lt;&gt;"Indefinido"),"⚠ Un paso a indefinido debe tener tipo Indefinido",IF(N(Q398)&gt;=3,"⚠ 3er contrato a plazo fijo: por ley ya es INDEFINIDO (Art. 159 N°4)",IF(AND(E398="Plazo fijo",ISNUMBER(G398),(G398-F398+1)/30.4375&gt;12),"⚠ Plazo fijo mayor a 1 año (máximo legal)",IF(J398&lt;&gt;"Sí","Pendiente de firma","OK")))))))))</f>
        <v/>
      </c>
      <c r="M398" s="62" t="str">
        <f aca="false">IF(B398="","",IFERROR(VALUE(LEFT(UPPER(SUBSTITUTE(SUBSTITUTE(SUBSTITUTE(TRIM(B398),".",""),"-","")," ","")),LEN(UPPER(SUBSTITUTE(SUBSTITUTE(SUBSTITUTE(TRIM(B398),".",""),"-","")," ","")))-1))&amp;RIGHT(UPPER(SUBSTITUTE(SUBSTITUTE(SUBSTITUTE(TRIM(B398),".",""),"-","")," ","")),1),UPPER(SUBSTITUTE(SUBSTITUTE(SUBSTITUTE(TRIM(B398),".",""),"-","")," ",""))))</f>
        <v/>
      </c>
      <c r="N398" s="62" t="str">
        <f aca="false">IF(B398="","",IF(D398="Anexo de modificación","No","Sí"))</f>
        <v/>
      </c>
      <c r="O398" s="62" t="str">
        <f aca="false">IF(AND(N398="Sí",ISNUMBER(F398)),COUNTIFS(C_RUTN,M398,C_DEF,"Sí",C_INI,"&lt;"&amp;F398)+COUNTIFS(M$7:M398,M398,N$7:N398,"Sí",F$7:F398,F398),"")</f>
        <v/>
      </c>
      <c r="P398" s="62" t="str">
        <f aca="false">IF(O398="","",M398&amp;"-P"&amp;O398)</f>
        <v/>
      </c>
      <c r="Q398" s="62" t="str">
        <f aca="false">IF(AND(N398="Sí",E398="Plazo fijo",ISNUMBER(F398)),COUNTIFS(C_RUTN,M398,C_TIPO,"Plazo fijo",C_DEF,"Sí",C_INI,"&lt;"&amp;F398)+COUNTIFS(M$7:M398,M398,E$7:E398,"Plazo fijo",N$7:N398,"Sí",F$7:F398,F398),"")</f>
        <v/>
      </c>
      <c r="R398" s="62" t="str">
        <f aca="false">IF(AND(B398&lt;&gt;"",ISNUMBER(H398),ISNUMBER(F398)),COUNTIFS(C_RUTN,M398,C_SUELDO,"&lt;&gt;",C_INI,"&lt;"&amp;F398)+COUNTIFS(M$7:M398,M398,H$7:H398,"&lt;&gt;",F$7:F398,F398),"")</f>
        <v/>
      </c>
      <c r="S398" s="62" t="str">
        <f aca="false">IF(R398="","",M398&amp;"-S"&amp;R398)</f>
        <v/>
      </c>
    </row>
    <row r="399" customFormat="false" ht="15" hidden="false" customHeight="false" outlineLevel="0" collapsed="false">
      <c r="B399" s="58"/>
      <c r="C399" s="62" t="str">
        <f aca="false">IF(B399="","",IFERROR(INDEX(T_NOMBRE,MATCH(M399,T_RUTN,0)),"⚠ RUT no está en Trabajadores"))</f>
        <v/>
      </c>
      <c r="D399" s="58"/>
      <c r="E399" s="58"/>
      <c r="F399" s="59"/>
      <c r="G399" s="59"/>
      <c r="H399" s="60"/>
      <c r="I399" s="58"/>
      <c r="J399" s="58"/>
      <c r="K399" s="58"/>
      <c r="L399" s="62" t="str">
        <f aca="false">IF(B399="","",IF(LEFT(C399,1)="⚠","⚠ Registre primero al trabajador en la hoja Trabajadores",IF(AND(N399="Sí",OR(E399="",NOT(ISNUMBER(F399)))),"⚠ Falta tipo de contrato o fecha de inicio",IF(NOT(ISNUMBER(F399)),"⚠ Falta fecha de inicio",IF(AND(N399="Sí",E399&lt;&gt;"Indefinido",NOT(ISNUMBER(G399))),"⚠ Falta fecha de término",IF(AND(D399="Paso a indefinido",E399&lt;&gt;"Indefinido"),"⚠ Un paso a indefinido debe tener tipo Indefinido",IF(N(Q399)&gt;=3,"⚠ 3er contrato a plazo fijo: por ley ya es INDEFINIDO (Art. 159 N°4)",IF(AND(E399="Plazo fijo",ISNUMBER(G399),(G399-F399+1)/30.4375&gt;12),"⚠ Plazo fijo mayor a 1 año (máximo legal)",IF(J399&lt;&gt;"Sí","Pendiente de firma","OK")))))))))</f>
        <v/>
      </c>
      <c r="M399" s="62" t="str">
        <f aca="false">IF(B399="","",IFERROR(VALUE(LEFT(UPPER(SUBSTITUTE(SUBSTITUTE(SUBSTITUTE(TRIM(B399),".",""),"-","")," ","")),LEN(UPPER(SUBSTITUTE(SUBSTITUTE(SUBSTITUTE(TRIM(B399),".",""),"-","")," ","")))-1))&amp;RIGHT(UPPER(SUBSTITUTE(SUBSTITUTE(SUBSTITUTE(TRIM(B399),".",""),"-","")," ","")),1),UPPER(SUBSTITUTE(SUBSTITUTE(SUBSTITUTE(TRIM(B399),".",""),"-","")," ",""))))</f>
        <v/>
      </c>
      <c r="N399" s="62" t="str">
        <f aca="false">IF(B399="","",IF(D399="Anexo de modificación","No","Sí"))</f>
        <v/>
      </c>
      <c r="O399" s="62" t="str">
        <f aca="false">IF(AND(N399="Sí",ISNUMBER(F399)),COUNTIFS(C_RUTN,M399,C_DEF,"Sí",C_INI,"&lt;"&amp;F399)+COUNTIFS(M$7:M399,M399,N$7:N399,"Sí",F$7:F399,F399),"")</f>
        <v/>
      </c>
      <c r="P399" s="62" t="str">
        <f aca="false">IF(O399="","",M399&amp;"-P"&amp;O399)</f>
        <v/>
      </c>
      <c r="Q399" s="62" t="str">
        <f aca="false">IF(AND(N399="Sí",E399="Plazo fijo",ISNUMBER(F399)),COUNTIFS(C_RUTN,M399,C_TIPO,"Plazo fijo",C_DEF,"Sí",C_INI,"&lt;"&amp;F399)+COUNTIFS(M$7:M399,M399,E$7:E399,"Plazo fijo",N$7:N399,"Sí",F$7:F399,F399),"")</f>
        <v/>
      </c>
      <c r="R399" s="62" t="str">
        <f aca="false">IF(AND(B399&lt;&gt;"",ISNUMBER(H399),ISNUMBER(F399)),COUNTIFS(C_RUTN,M399,C_SUELDO,"&lt;&gt;",C_INI,"&lt;"&amp;F399)+COUNTIFS(M$7:M399,M399,H$7:H399,"&lt;&gt;",F$7:F399,F399),"")</f>
        <v/>
      </c>
      <c r="S399" s="62" t="str">
        <f aca="false">IF(R399="","",M399&amp;"-S"&amp;R399)</f>
        <v/>
      </c>
    </row>
    <row r="400" customFormat="false" ht="15" hidden="false" customHeight="false" outlineLevel="0" collapsed="false">
      <c r="B400" s="58"/>
      <c r="C400" s="62" t="str">
        <f aca="false">IF(B400="","",IFERROR(INDEX(T_NOMBRE,MATCH(M400,T_RUTN,0)),"⚠ RUT no está en Trabajadores"))</f>
        <v/>
      </c>
      <c r="D400" s="58"/>
      <c r="E400" s="58"/>
      <c r="F400" s="59"/>
      <c r="G400" s="59"/>
      <c r="H400" s="60"/>
      <c r="I400" s="58"/>
      <c r="J400" s="58"/>
      <c r="K400" s="58"/>
      <c r="L400" s="62" t="str">
        <f aca="false">IF(B400="","",IF(LEFT(C400,1)="⚠","⚠ Registre primero al trabajador en la hoja Trabajadores",IF(AND(N400="Sí",OR(E400="",NOT(ISNUMBER(F400)))),"⚠ Falta tipo de contrato o fecha de inicio",IF(NOT(ISNUMBER(F400)),"⚠ Falta fecha de inicio",IF(AND(N400="Sí",E400&lt;&gt;"Indefinido",NOT(ISNUMBER(G400))),"⚠ Falta fecha de término",IF(AND(D400="Paso a indefinido",E400&lt;&gt;"Indefinido"),"⚠ Un paso a indefinido debe tener tipo Indefinido",IF(N(Q400)&gt;=3,"⚠ 3er contrato a plazo fijo: por ley ya es INDEFINIDO (Art. 159 N°4)",IF(AND(E400="Plazo fijo",ISNUMBER(G400),(G400-F400+1)/30.4375&gt;12),"⚠ Plazo fijo mayor a 1 año (máximo legal)",IF(J400&lt;&gt;"Sí","Pendiente de firma","OK")))))))))</f>
        <v/>
      </c>
      <c r="M400" s="62" t="str">
        <f aca="false">IF(B400="","",IFERROR(VALUE(LEFT(UPPER(SUBSTITUTE(SUBSTITUTE(SUBSTITUTE(TRIM(B400),".",""),"-","")," ","")),LEN(UPPER(SUBSTITUTE(SUBSTITUTE(SUBSTITUTE(TRIM(B400),".",""),"-","")," ","")))-1))&amp;RIGHT(UPPER(SUBSTITUTE(SUBSTITUTE(SUBSTITUTE(TRIM(B400),".",""),"-","")," ","")),1),UPPER(SUBSTITUTE(SUBSTITUTE(SUBSTITUTE(TRIM(B400),".",""),"-","")," ",""))))</f>
        <v/>
      </c>
      <c r="N400" s="62" t="str">
        <f aca="false">IF(B400="","",IF(D400="Anexo de modificación","No","Sí"))</f>
        <v/>
      </c>
      <c r="O400" s="62" t="str">
        <f aca="false">IF(AND(N400="Sí",ISNUMBER(F400)),COUNTIFS(C_RUTN,M400,C_DEF,"Sí",C_INI,"&lt;"&amp;F400)+COUNTIFS(M$7:M400,M400,N$7:N400,"Sí",F$7:F400,F400),"")</f>
        <v/>
      </c>
      <c r="P400" s="62" t="str">
        <f aca="false">IF(O400="","",M400&amp;"-P"&amp;O400)</f>
        <v/>
      </c>
      <c r="Q400" s="62" t="str">
        <f aca="false">IF(AND(N400="Sí",E400="Plazo fijo",ISNUMBER(F400)),COUNTIFS(C_RUTN,M400,C_TIPO,"Plazo fijo",C_DEF,"Sí",C_INI,"&lt;"&amp;F400)+COUNTIFS(M$7:M400,M400,E$7:E400,"Plazo fijo",N$7:N400,"Sí",F$7:F400,F400),"")</f>
        <v/>
      </c>
      <c r="R400" s="62" t="str">
        <f aca="false">IF(AND(B400&lt;&gt;"",ISNUMBER(H400),ISNUMBER(F400)),COUNTIFS(C_RUTN,M400,C_SUELDO,"&lt;&gt;",C_INI,"&lt;"&amp;F400)+COUNTIFS(M$7:M400,M400,H$7:H400,"&lt;&gt;",F$7:F400,F400),"")</f>
        <v/>
      </c>
      <c r="S400" s="62" t="str">
        <f aca="false">IF(R400="","",M400&amp;"-S"&amp;R400)</f>
        <v/>
      </c>
    </row>
    <row r="401" customFormat="false" ht="15" hidden="false" customHeight="false" outlineLevel="0" collapsed="false">
      <c r="B401" s="58"/>
      <c r="C401" s="62" t="str">
        <f aca="false">IF(B401="","",IFERROR(INDEX(T_NOMBRE,MATCH(M401,T_RUTN,0)),"⚠ RUT no está en Trabajadores"))</f>
        <v/>
      </c>
      <c r="D401" s="58"/>
      <c r="E401" s="58"/>
      <c r="F401" s="59"/>
      <c r="G401" s="59"/>
      <c r="H401" s="60"/>
      <c r="I401" s="58"/>
      <c r="J401" s="58"/>
      <c r="K401" s="58"/>
      <c r="L401" s="62" t="str">
        <f aca="false">IF(B401="","",IF(LEFT(C401,1)="⚠","⚠ Registre primero al trabajador en la hoja Trabajadores",IF(AND(N401="Sí",OR(E401="",NOT(ISNUMBER(F401)))),"⚠ Falta tipo de contrato o fecha de inicio",IF(NOT(ISNUMBER(F401)),"⚠ Falta fecha de inicio",IF(AND(N401="Sí",E401&lt;&gt;"Indefinido",NOT(ISNUMBER(G401))),"⚠ Falta fecha de término",IF(AND(D401="Paso a indefinido",E401&lt;&gt;"Indefinido"),"⚠ Un paso a indefinido debe tener tipo Indefinido",IF(N(Q401)&gt;=3,"⚠ 3er contrato a plazo fijo: por ley ya es INDEFINIDO (Art. 159 N°4)",IF(AND(E401="Plazo fijo",ISNUMBER(G401),(G401-F401+1)/30.4375&gt;12),"⚠ Plazo fijo mayor a 1 año (máximo legal)",IF(J401&lt;&gt;"Sí","Pendiente de firma","OK")))))))))</f>
        <v/>
      </c>
      <c r="M401" s="62" t="str">
        <f aca="false">IF(B401="","",IFERROR(VALUE(LEFT(UPPER(SUBSTITUTE(SUBSTITUTE(SUBSTITUTE(TRIM(B401),".",""),"-","")," ","")),LEN(UPPER(SUBSTITUTE(SUBSTITUTE(SUBSTITUTE(TRIM(B401),".",""),"-","")," ","")))-1))&amp;RIGHT(UPPER(SUBSTITUTE(SUBSTITUTE(SUBSTITUTE(TRIM(B401),".",""),"-","")," ","")),1),UPPER(SUBSTITUTE(SUBSTITUTE(SUBSTITUTE(TRIM(B401),".",""),"-","")," ",""))))</f>
        <v/>
      </c>
      <c r="N401" s="62" t="str">
        <f aca="false">IF(B401="","",IF(D401="Anexo de modificación","No","Sí"))</f>
        <v/>
      </c>
      <c r="O401" s="62" t="str">
        <f aca="false">IF(AND(N401="Sí",ISNUMBER(F401)),COUNTIFS(C_RUTN,M401,C_DEF,"Sí",C_INI,"&lt;"&amp;F401)+COUNTIFS(M$7:M401,M401,N$7:N401,"Sí",F$7:F401,F401),"")</f>
        <v/>
      </c>
      <c r="P401" s="62" t="str">
        <f aca="false">IF(O401="","",M401&amp;"-P"&amp;O401)</f>
        <v/>
      </c>
      <c r="Q401" s="62" t="str">
        <f aca="false">IF(AND(N401="Sí",E401="Plazo fijo",ISNUMBER(F401)),COUNTIFS(C_RUTN,M401,C_TIPO,"Plazo fijo",C_DEF,"Sí",C_INI,"&lt;"&amp;F401)+COUNTIFS(M$7:M401,M401,E$7:E401,"Plazo fijo",N$7:N401,"Sí",F$7:F401,F401),"")</f>
        <v/>
      </c>
      <c r="R401" s="62" t="str">
        <f aca="false">IF(AND(B401&lt;&gt;"",ISNUMBER(H401),ISNUMBER(F401)),COUNTIFS(C_RUTN,M401,C_SUELDO,"&lt;&gt;",C_INI,"&lt;"&amp;F401)+COUNTIFS(M$7:M401,M401,H$7:H401,"&lt;&gt;",F$7:F401,F401),"")</f>
        <v/>
      </c>
      <c r="S401" s="62" t="str">
        <f aca="false">IF(R401="","",M401&amp;"-S"&amp;R401)</f>
        <v/>
      </c>
    </row>
    <row r="402" customFormat="false" ht="15" hidden="false" customHeight="false" outlineLevel="0" collapsed="false">
      <c r="B402" s="58"/>
      <c r="C402" s="62" t="str">
        <f aca="false">IF(B402="","",IFERROR(INDEX(T_NOMBRE,MATCH(M402,T_RUTN,0)),"⚠ RUT no está en Trabajadores"))</f>
        <v/>
      </c>
      <c r="D402" s="58"/>
      <c r="E402" s="58"/>
      <c r="F402" s="59"/>
      <c r="G402" s="59"/>
      <c r="H402" s="60"/>
      <c r="I402" s="58"/>
      <c r="J402" s="58"/>
      <c r="K402" s="58"/>
      <c r="L402" s="62" t="str">
        <f aca="false">IF(B402="","",IF(LEFT(C402,1)="⚠","⚠ Registre primero al trabajador en la hoja Trabajadores",IF(AND(N402="Sí",OR(E402="",NOT(ISNUMBER(F402)))),"⚠ Falta tipo de contrato o fecha de inicio",IF(NOT(ISNUMBER(F402)),"⚠ Falta fecha de inicio",IF(AND(N402="Sí",E402&lt;&gt;"Indefinido",NOT(ISNUMBER(G402))),"⚠ Falta fecha de término",IF(AND(D402="Paso a indefinido",E402&lt;&gt;"Indefinido"),"⚠ Un paso a indefinido debe tener tipo Indefinido",IF(N(Q402)&gt;=3,"⚠ 3er contrato a plazo fijo: por ley ya es INDEFINIDO (Art. 159 N°4)",IF(AND(E402="Plazo fijo",ISNUMBER(G402),(G402-F402+1)/30.4375&gt;12),"⚠ Plazo fijo mayor a 1 año (máximo legal)",IF(J402&lt;&gt;"Sí","Pendiente de firma","OK")))))))))</f>
        <v/>
      </c>
      <c r="M402" s="62" t="str">
        <f aca="false">IF(B402="","",IFERROR(VALUE(LEFT(UPPER(SUBSTITUTE(SUBSTITUTE(SUBSTITUTE(TRIM(B402),".",""),"-","")," ","")),LEN(UPPER(SUBSTITUTE(SUBSTITUTE(SUBSTITUTE(TRIM(B402),".",""),"-","")," ","")))-1))&amp;RIGHT(UPPER(SUBSTITUTE(SUBSTITUTE(SUBSTITUTE(TRIM(B402),".",""),"-","")," ","")),1),UPPER(SUBSTITUTE(SUBSTITUTE(SUBSTITUTE(TRIM(B402),".",""),"-","")," ",""))))</f>
        <v/>
      </c>
      <c r="N402" s="62" t="str">
        <f aca="false">IF(B402="","",IF(D402="Anexo de modificación","No","Sí"))</f>
        <v/>
      </c>
      <c r="O402" s="62" t="str">
        <f aca="false">IF(AND(N402="Sí",ISNUMBER(F402)),COUNTIFS(C_RUTN,M402,C_DEF,"Sí",C_INI,"&lt;"&amp;F402)+COUNTIFS(M$7:M402,M402,N$7:N402,"Sí",F$7:F402,F402),"")</f>
        <v/>
      </c>
      <c r="P402" s="62" t="str">
        <f aca="false">IF(O402="","",M402&amp;"-P"&amp;O402)</f>
        <v/>
      </c>
      <c r="Q402" s="62" t="str">
        <f aca="false">IF(AND(N402="Sí",E402="Plazo fijo",ISNUMBER(F402)),COUNTIFS(C_RUTN,M402,C_TIPO,"Plazo fijo",C_DEF,"Sí",C_INI,"&lt;"&amp;F402)+COUNTIFS(M$7:M402,M402,E$7:E402,"Plazo fijo",N$7:N402,"Sí",F$7:F402,F402),"")</f>
        <v/>
      </c>
      <c r="R402" s="62" t="str">
        <f aca="false">IF(AND(B402&lt;&gt;"",ISNUMBER(H402),ISNUMBER(F402)),COUNTIFS(C_RUTN,M402,C_SUELDO,"&lt;&gt;",C_INI,"&lt;"&amp;F402)+COUNTIFS(M$7:M402,M402,H$7:H402,"&lt;&gt;",F$7:F402,F402),"")</f>
        <v/>
      </c>
      <c r="S402" s="62" t="str">
        <f aca="false">IF(R402="","",M402&amp;"-S"&amp;R402)</f>
        <v/>
      </c>
    </row>
    <row r="403" customFormat="false" ht="15" hidden="false" customHeight="false" outlineLevel="0" collapsed="false">
      <c r="B403" s="58"/>
      <c r="C403" s="62" t="str">
        <f aca="false">IF(B403="","",IFERROR(INDEX(T_NOMBRE,MATCH(M403,T_RUTN,0)),"⚠ RUT no está en Trabajadores"))</f>
        <v/>
      </c>
      <c r="D403" s="58"/>
      <c r="E403" s="58"/>
      <c r="F403" s="59"/>
      <c r="G403" s="59"/>
      <c r="H403" s="60"/>
      <c r="I403" s="58"/>
      <c r="J403" s="58"/>
      <c r="K403" s="58"/>
      <c r="L403" s="62" t="str">
        <f aca="false">IF(B403="","",IF(LEFT(C403,1)="⚠","⚠ Registre primero al trabajador en la hoja Trabajadores",IF(AND(N403="Sí",OR(E403="",NOT(ISNUMBER(F403)))),"⚠ Falta tipo de contrato o fecha de inicio",IF(NOT(ISNUMBER(F403)),"⚠ Falta fecha de inicio",IF(AND(N403="Sí",E403&lt;&gt;"Indefinido",NOT(ISNUMBER(G403))),"⚠ Falta fecha de término",IF(AND(D403="Paso a indefinido",E403&lt;&gt;"Indefinido"),"⚠ Un paso a indefinido debe tener tipo Indefinido",IF(N(Q403)&gt;=3,"⚠ 3er contrato a plazo fijo: por ley ya es INDEFINIDO (Art. 159 N°4)",IF(AND(E403="Plazo fijo",ISNUMBER(G403),(G403-F403+1)/30.4375&gt;12),"⚠ Plazo fijo mayor a 1 año (máximo legal)",IF(J403&lt;&gt;"Sí","Pendiente de firma","OK")))))))))</f>
        <v/>
      </c>
      <c r="M403" s="62" t="str">
        <f aca="false">IF(B403="","",IFERROR(VALUE(LEFT(UPPER(SUBSTITUTE(SUBSTITUTE(SUBSTITUTE(TRIM(B403),".",""),"-","")," ","")),LEN(UPPER(SUBSTITUTE(SUBSTITUTE(SUBSTITUTE(TRIM(B403),".",""),"-","")," ","")))-1))&amp;RIGHT(UPPER(SUBSTITUTE(SUBSTITUTE(SUBSTITUTE(TRIM(B403),".",""),"-","")," ","")),1),UPPER(SUBSTITUTE(SUBSTITUTE(SUBSTITUTE(TRIM(B403),".",""),"-","")," ",""))))</f>
        <v/>
      </c>
      <c r="N403" s="62" t="str">
        <f aca="false">IF(B403="","",IF(D403="Anexo de modificación","No","Sí"))</f>
        <v/>
      </c>
      <c r="O403" s="62" t="str">
        <f aca="false">IF(AND(N403="Sí",ISNUMBER(F403)),COUNTIFS(C_RUTN,M403,C_DEF,"Sí",C_INI,"&lt;"&amp;F403)+COUNTIFS(M$7:M403,M403,N$7:N403,"Sí",F$7:F403,F403),"")</f>
        <v/>
      </c>
      <c r="P403" s="62" t="str">
        <f aca="false">IF(O403="","",M403&amp;"-P"&amp;O403)</f>
        <v/>
      </c>
      <c r="Q403" s="62" t="str">
        <f aca="false">IF(AND(N403="Sí",E403="Plazo fijo",ISNUMBER(F403)),COUNTIFS(C_RUTN,M403,C_TIPO,"Plazo fijo",C_DEF,"Sí",C_INI,"&lt;"&amp;F403)+COUNTIFS(M$7:M403,M403,E$7:E403,"Plazo fijo",N$7:N403,"Sí",F$7:F403,F403),"")</f>
        <v/>
      </c>
      <c r="R403" s="62" t="str">
        <f aca="false">IF(AND(B403&lt;&gt;"",ISNUMBER(H403),ISNUMBER(F403)),COUNTIFS(C_RUTN,M403,C_SUELDO,"&lt;&gt;",C_INI,"&lt;"&amp;F403)+COUNTIFS(M$7:M403,M403,H$7:H403,"&lt;&gt;",F$7:F403,F403),"")</f>
        <v/>
      </c>
      <c r="S403" s="62" t="str">
        <f aca="false">IF(R403="","",M403&amp;"-S"&amp;R403)</f>
        <v/>
      </c>
    </row>
    <row r="404" customFormat="false" ht="15" hidden="false" customHeight="false" outlineLevel="0" collapsed="false">
      <c r="B404" s="58"/>
      <c r="C404" s="62" t="str">
        <f aca="false">IF(B404="","",IFERROR(INDEX(T_NOMBRE,MATCH(M404,T_RUTN,0)),"⚠ RUT no está en Trabajadores"))</f>
        <v/>
      </c>
      <c r="D404" s="58"/>
      <c r="E404" s="58"/>
      <c r="F404" s="59"/>
      <c r="G404" s="59"/>
      <c r="H404" s="60"/>
      <c r="I404" s="58"/>
      <c r="J404" s="58"/>
      <c r="K404" s="58"/>
      <c r="L404" s="62" t="str">
        <f aca="false">IF(B404="","",IF(LEFT(C404,1)="⚠","⚠ Registre primero al trabajador en la hoja Trabajadores",IF(AND(N404="Sí",OR(E404="",NOT(ISNUMBER(F404)))),"⚠ Falta tipo de contrato o fecha de inicio",IF(NOT(ISNUMBER(F404)),"⚠ Falta fecha de inicio",IF(AND(N404="Sí",E404&lt;&gt;"Indefinido",NOT(ISNUMBER(G404))),"⚠ Falta fecha de término",IF(AND(D404="Paso a indefinido",E404&lt;&gt;"Indefinido"),"⚠ Un paso a indefinido debe tener tipo Indefinido",IF(N(Q404)&gt;=3,"⚠ 3er contrato a plazo fijo: por ley ya es INDEFINIDO (Art. 159 N°4)",IF(AND(E404="Plazo fijo",ISNUMBER(G404),(G404-F404+1)/30.4375&gt;12),"⚠ Plazo fijo mayor a 1 año (máximo legal)",IF(J404&lt;&gt;"Sí","Pendiente de firma","OK")))))))))</f>
        <v/>
      </c>
      <c r="M404" s="62" t="str">
        <f aca="false">IF(B404="","",IFERROR(VALUE(LEFT(UPPER(SUBSTITUTE(SUBSTITUTE(SUBSTITUTE(TRIM(B404),".",""),"-","")," ","")),LEN(UPPER(SUBSTITUTE(SUBSTITUTE(SUBSTITUTE(TRIM(B404),".",""),"-","")," ","")))-1))&amp;RIGHT(UPPER(SUBSTITUTE(SUBSTITUTE(SUBSTITUTE(TRIM(B404),".",""),"-","")," ","")),1),UPPER(SUBSTITUTE(SUBSTITUTE(SUBSTITUTE(TRIM(B404),".",""),"-","")," ",""))))</f>
        <v/>
      </c>
      <c r="N404" s="62" t="str">
        <f aca="false">IF(B404="","",IF(D404="Anexo de modificación","No","Sí"))</f>
        <v/>
      </c>
      <c r="O404" s="62" t="str">
        <f aca="false">IF(AND(N404="Sí",ISNUMBER(F404)),COUNTIFS(C_RUTN,M404,C_DEF,"Sí",C_INI,"&lt;"&amp;F404)+COUNTIFS(M$7:M404,M404,N$7:N404,"Sí",F$7:F404,F404),"")</f>
        <v/>
      </c>
      <c r="P404" s="62" t="str">
        <f aca="false">IF(O404="","",M404&amp;"-P"&amp;O404)</f>
        <v/>
      </c>
      <c r="Q404" s="62" t="str">
        <f aca="false">IF(AND(N404="Sí",E404="Plazo fijo",ISNUMBER(F404)),COUNTIFS(C_RUTN,M404,C_TIPO,"Plazo fijo",C_DEF,"Sí",C_INI,"&lt;"&amp;F404)+COUNTIFS(M$7:M404,M404,E$7:E404,"Plazo fijo",N$7:N404,"Sí",F$7:F404,F404),"")</f>
        <v/>
      </c>
      <c r="R404" s="62" t="str">
        <f aca="false">IF(AND(B404&lt;&gt;"",ISNUMBER(H404),ISNUMBER(F404)),COUNTIFS(C_RUTN,M404,C_SUELDO,"&lt;&gt;",C_INI,"&lt;"&amp;F404)+COUNTIFS(M$7:M404,M404,H$7:H404,"&lt;&gt;",F$7:F404,F404),"")</f>
        <v/>
      </c>
      <c r="S404" s="62" t="str">
        <f aca="false">IF(R404="","",M404&amp;"-S"&amp;R404)</f>
        <v/>
      </c>
    </row>
    <row r="405" customFormat="false" ht="15" hidden="false" customHeight="false" outlineLevel="0" collapsed="false">
      <c r="B405" s="58"/>
      <c r="C405" s="62" t="str">
        <f aca="false">IF(B405="","",IFERROR(INDEX(T_NOMBRE,MATCH(M405,T_RUTN,0)),"⚠ RUT no está en Trabajadores"))</f>
        <v/>
      </c>
      <c r="D405" s="58"/>
      <c r="E405" s="58"/>
      <c r="F405" s="59"/>
      <c r="G405" s="59"/>
      <c r="H405" s="60"/>
      <c r="I405" s="58"/>
      <c r="J405" s="58"/>
      <c r="K405" s="58"/>
      <c r="L405" s="62" t="str">
        <f aca="false">IF(B405="","",IF(LEFT(C405,1)="⚠","⚠ Registre primero al trabajador en la hoja Trabajadores",IF(AND(N405="Sí",OR(E405="",NOT(ISNUMBER(F405)))),"⚠ Falta tipo de contrato o fecha de inicio",IF(NOT(ISNUMBER(F405)),"⚠ Falta fecha de inicio",IF(AND(N405="Sí",E405&lt;&gt;"Indefinido",NOT(ISNUMBER(G405))),"⚠ Falta fecha de término",IF(AND(D405="Paso a indefinido",E405&lt;&gt;"Indefinido"),"⚠ Un paso a indefinido debe tener tipo Indefinido",IF(N(Q405)&gt;=3,"⚠ 3er contrato a plazo fijo: por ley ya es INDEFINIDO (Art. 159 N°4)",IF(AND(E405="Plazo fijo",ISNUMBER(G405),(G405-F405+1)/30.4375&gt;12),"⚠ Plazo fijo mayor a 1 año (máximo legal)",IF(J405&lt;&gt;"Sí","Pendiente de firma","OK")))))))))</f>
        <v/>
      </c>
      <c r="M405" s="62" t="str">
        <f aca="false">IF(B405="","",IFERROR(VALUE(LEFT(UPPER(SUBSTITUTE(SUBSTITUTE(SUBSTITUTE(TRIM(B405),".",""),"-","")," ","")),LEN(UPPER(SUBSTITUTE(SUBSTITUTE(SUBSTITUTE(TRIM(B405),".",""),"-","")," ","")))-1))&amp;RIGHT(UPPER(SUBSTITUTE(SUBSTITUTE(SUBSTITUTE(TRIM(B405),".",""),"-","")," ","")),1),UPPER(SUBSTITUTE(SUBSTITUTE(SUBSTITUTE(TRIM(B405),".",""),"-","")," ",""))))</f>
        <v/>
      </c>
      <c r="N405" s="62" t="str">
        <f aca="false">IF(B405="","",IF(D405="Anexo de modificación","No","Sí"))</f>
        <v/>
      </c>
      <c r="O405" s="62" t="str">
        <f aca="false">IF(AND(N405="Sí",ISNUMBER(F405)),COUNTIFS(C_RUTN,M405,C_DEF,"Sí",C_INI,"&lt;"&amp;F405)+COUNTIFS(M$7:M405,M405,N$7:N405,"Sí",F$7:F405,F405),"")</f>
        <v/>
      </c>
      <c r="P405" s="62" t="str">
        <f aca="false">IF(O405="","",M405&amp;"-P"&amp;O405)</f>
        <v/>
      </c>
      <c r="Q405" s="62" t="str">
        <f aca="false">IF(AND(N405="Sí",E405="Plazo fijo",ISNUMBER(F405)),COUNTIFS(C_RUTN,M405,C_TIPO,"Plazo fijo",C_DEF,"Sí",C_INI,"&lt;"&amp;F405)+COUNTIFS(M$7:M405,M405,E$7:E405,"Plazo fijo",N$7:N405,"Sí",F$7:F405,F405),"")</f>
        <v/>
      </c>
      <c r="R405" s="62" t="str">
        <f aca="false">IF(AND(B405&lt;&gt;"",ISNUMBER(H405),ISNUMBER(F405)),COUNTIFS(C_RUTN,M405,C_SUELDO,"&lt;&gt;",C_INI,"&lt;"&amp;F405)+COUNTIFS(M$7:M405,M405,H$7:H405,"&lt;&gt;",F$7:F405,F405),"")</f>
        <v/>
      </c>
      <c r="S405" s="62" t="str">
        <f aca="false">IF(R405="","",M405&amp;"-S"&amp;R405)</f>
        <v/>
      </c>
    </row>
    <row r="406" customFormat="false" ht="15" hidden="false" customHeight="false" outlineLevel="0" collapsed="false">
      <c r="B406" s="58"/>
      <c r="C406" s="62" t="str">
        <f aca="false">IF(B406="","",IFERROR(INDEX(T_NOMBRE,MATCH(M406,T_RUTN,0)),"⚠ RUT no está en Trabajadores"))</f>
        <v/>
      </c>
      <c r="D406" s="58"/>
      <c r="E406" s="58"/>
      <c r="F406" s="59"/>
      <c r="G406" s="59"/>
      <c r="H406" s="60"/>
      <c r="I406" s="58"/>
      <c r="J406" s="58"/>
      <c r="K406" s="58"/>
      <c r="L406" s="62" t="str">
        <f aca="false">IF(B406="","",IF(LEFT(C406,1)="⚠","⚠ Registre primero al trabajador en la hoja Trabajadores",IF(AND(N406="Sí",OR(E406="",NOT(ISNUMBER(F406)))),"⚠ Falta tipo de contrato o fecha de inicio",IF(NOT(ISNUMBER(F406)),"⚠ Falta fecha de inicio",IF(AND(N406="Sí",E406&lt;&gt;"Indefinido",NOT(ISNUMBER(G406))),"⚠ Falta fecha de término",IF(AND(D406="Paso a indefinido",E406&lt;&gt;"Indefinido"),"⚠ Un paso a indefinido debe tener tipo Indefinido",IF(N(Q406)&gt;=3,"⚠ 3er contrato a plazo fijo: por ley ya es INDEFINIDO (Art. 159 N°4)",IF(AND(E406="Plazo fijo",ISNUMBER(G406),(G406-F406+1)/30.4375&gt;12),"⚠ Plazo fijo mayor a 1 año (máximo legal)",IF(J406&lt;&gt;"Sí","Pendiente de firma","OK")))))))))</f>
        <v/>
      </c>
      <c r="M406" s="62" t="str">
        <f aca="false">IF(B406="","",IFERROR(VALUE(LEFT(UPPER(SUBSTITUTE(SUBSTITUTE(SUBSTITUTE(TRIM(B406),".",""),"-","")," ","")),LEN(UPPER(SUBSTITUTE(SUBSTITUTE(SUBSTITUTE(TRIM(B406),".",""),"-","")," ","")))-1))&amp;RIGHT(UPPER(SUBSTITUTE(SUBSTITUTE(SUBSTITUTE(TRIM(B406),".",""),"-","")," ","")),1),UPPER(SUBSTITUTE(SUBSTITUTE(SUBSTITUTE(TRIM(B406),".",""),"-","")," ",""))))</f>
        <v/>
      </c>
      <c r="N406" s="62" t="str">
        <f aca="false">IF(B406="","",IF(D406="Anexo de modificación","No","Sí"))</f>
        <v/>
      </c>
      <c r="O406" s="62" t="str">
        <f aca="false">IF(AND(N406="Sí",ISNUMBER(F406)),COUNTIFS(C_RUTN,M406,C_DEF,"Sí",C_INI,"&lt;"&amp;F406)+COUNTIFS(M$7:M406,M406,N$7:N406,"Sí",F$7:F406,F406),"")</f>
        <v/>
      </c>
      <c r="P406" s="62" t="str">
        <f aca="false">IF(O406="","",M406&amp;"-P"&amp;O406)</f>
        <v/>
      </c>
      <c r="Q406" s="62" t="str">
        <f aca="false">IF(AND(N406="Sí",E406="Plazo fijo",ISNUMBER(F406)),COUNTIFS(C_RUTN,M406,C_TIPO,"Plazo fijo",C_DEF,"Sí",C_INI,"&lt;"&amp;F406)+COUNTIFS(M$7:M406,M406,E$7:E406,"Plazo fijo",N$7:N406,"Sí",F$7:F406,F406),"")</f>
        <v/>
      </c>
      <c r="R406" s="62" t="str">
        <f aca="false">IF(AND(B406&lt;&gt;"",ISNUMBER(H406),ISNUMBER(F406)),COUNTIFS(C_RUTN,M406,C_SUELDO,"&lt;&gt;",C_INI,"&lt;"&amp;F406)+COUNTIFS(M$7:M406,M406,H$7:H406,"&lt;&gt;",F$7:F406,F406),"")</f>
        <v/>
      </c>
      <c r="S406" s="62" t="str">
        <f aca="false">IF(R406="","",M406&amp;"-S"&amp;R406)</f>
        <v/>
      </c>
    </row>
    <row r="407" customFormat="false" ht="15" hidden="false" customHeight="false" outlineLevel="0" collapsed="false">
      <c r="B407" s="58"/>
      <c r="C407" s="62" t="str">
        <f aca="false">IF(B407="","",IFERROR(INDEX(T_NOMBRE,MATCH(M407,T_RUTN,0)),"⚠ RUT no está en Trabajadores"))</f>
        <v/>
      </c>
      <c r="D407" s="58"/>
      <c r="E407" s="58"/>
      <c r="F407" s="59"/>
      <c r="G407" s="59"/>
      <c r="H407" s="60"/>
      <c r="I407" s="58"/>
      <c r="J407" s="58"/>
      <c r="K407" s="58"/>
      <c r="L407" s="62" t="str">
        <f aca="false">IF(B407="","",IF(LEFT(C407,1)="⚠","⚠ Registre primero al trabajador en la hoja Trabajadores",IF(AND(N407="Sí",OR(E407="",NOT(ISNUMBER(F407)))),"⚠ Falta tipo de contrato o fecha de inicio",IF(NOT(ISNUMBER(F407)),"⚠ Falta fecha de inicio",IF(AND(N407="Sí",E407&lt;&gt;"Indefinido",NOT(ISNUMBER(G407))),"⚠ Falta fecha de término",IF(AND(D407="Paso a indefinido",E407&lt;&gt;"Indefinido"),"⚠ Un paso a indefinido debe tener tipo Indefinido",IF(N(Q407)&gt;=3,"⚠ 3er contrato a plazo fijo: por ley ya es INDEFINIDO (Art. 159 N°4)",IF(AND(E407="Plazo fijo",ISNUMBER(G407),(G407-F407+1)/30.4375&gt;12),"⚠ Plazo fijo mayor a 1 año (máximo legal)",IF(J407&lt;&gt;"Sí","Pendiente de firma","OK")))))))))</f>
        <v/>
      </c>
      <c r="M407" s="62" t="str">
        <f aca="false">IF(B407="","",IFERROR(VALUE(LEFT(UPPER(SUBSTITUTE(SUBSTITUTE(SUBSTITUTE(TRIM(B407),".",""),"-","")," ","")),LEN(UPPER(SUBSTITUTE(SUBSTITUTE(SUBSTITUTE(TRIM(B407),".",""),"-","")," ","")))-1))&amp;RIGHT(UPPER(SUBSTITUTE(SUBSTITUTE(SUBSTITUTE(TRIM(B407),".",""),"-","")," ","")),1),UPPER(SUBSTITUTE(SUBSTITUTE(SUBSTITUTE(TRIM(B407),".",""),"-","")," ",""))))</f>
        <v/>
      </c>
      <c r="N407" s="62" t="str">
        <f aca="false">IF(B407="","",IF(D407="Anexo de modificación","No","Sí"))</f>
        <v/>
      </c>
      <c r="O407" s="62" t="str">
        <f aca="false">IF(AND(N407="Sí",ISNUMBER(F407)),COUNTIFS(C_RUTN,M407,C_DEF,"Sí",C_INI,"&lt;"&amp;F407)+COUNTIFS(M$7:M407,M407,N$7:N407,"Sí",F$7:F407,F407),"")</f>
        <v/>
      </c>
      <c r="P407" s="62" t="str">
        <f aca="false">IF(O407="","",M407&amp;"-P"&amp;O407)</f>
        <v/>
      </c>
      <c r="Q407" s="62" t="str">
        <f aca="false">IF(AND(N407="Sí",E407="Plazo fijo",ISNUMBER(F407)),COUNTIFS(C_RUTN,M407,C_TIPO,"Plazo fijo",C_DEF,"Sí",C_INI,"&lt;"&amp;F407)+COUNTIFS(M$7:M407,M407,E$7:E407,"Plazo fijo",N$7:N407,"Sí",F$7:F407,F407),"")</f>
        <v/>
      </c>
      <c r="R407" s="62" t="str">
        <f aca="false">IF(AND(B407&lt;&gt;"",ISNUMBER(H407),ISNUMBER(F407)),COUNTIFS(C_RUTN,M407,C_SUELDO,"&lt;&gt;",C_INI,"&lt;"&amp;F407)+COUNTIFS(M$7:M407,M407,H$7:H407,"&lt;&gt;",F$7:F407,F407),"")</f>
        <v/>
      </c>
      <c r="S407" s="62" t="str">
        <f aca="false">IF(R407="","",M407&amp;"-S"&amp;R407)</f>
        <v/>
      </c>
    </row>
    <row r="408" customFormat="false" ht="15" hidden="false" customHeight="false" outlineLevel="0" collapsed="false">
      <c r="B408" s="58"/>
      <c r="C408" s="62" t="str">
        <f aca="false">IF(B408="","",IFERROR(INDEX(T_NOMBRE,MATCH(M408,T_RUTN,0)),"⚠ RUT no está en Trabajadores"))</f>
        <v/>
      </c>
      <c r="D408" s="58"/>
      <c r="E408" s="58"/>
      <c r="F408" s="59"/>
      <c r="G408" s="59"/>
      <c r="H408" s="60"/>
      <c r="I408" s="58"/>
      <c r="J408" s="58"/>
      <c r="K408" s="58"/>
      <c r="L408" s="62" t="str">
        <f aca="false">IF(B408="","",IF(LEFT(C408,1)="⚠","⚠ Registre primero al trabajador en la hoja Trabajadores",IF(AND(N408="Sí",OR(E408="",NOT(ISNUMBER(F408)))),"⚠ Falta tipo de contrato o fecha de inicio",IF(NOT(ISNUMBER(F408)),"⚠ Falta fecha de inicio",IF(AND(N408="Sí",E408&lt;&gt;"Indefinido",NOT(ISNUMBER(G408))),"⚠ Falta fecha de término",IF(AND(D408="Paso a indefinido",E408&lt;&gt;"Indefinido"),"⚠ Un paso a indefinido debe tener tipo Indefinido",IF(N(Q408)&gt;=3,"⚠ 3er contrato a plazo fijo: por ley ya es INDEFINIDO (Art. 159 N°4)",IF(AND(E408="Plazo fijo",ISNUMBER(G408),(G408-F408+1)/30.4375&gt;12),"⚠ Plazo fijo mayor a 1 año (máximo legal)",IF(J408&lt;&gt;"Sí","Pendiente de firma","OK")))))))))</f>
        <v/>
      </c>
      <c r="M408" s="62" t="str">
        <f aca="false">IF(B408="","",IFERROR(VALUE(LEFT(UPPER(SUBSTITUTE(SUBSTITUTE(SUBSTITUTE(TRIM(B408),".",""),"-","")," ","")),LEN(UPPER(SUBSTITUTE(SUBSTITUTE(SUBSTITUTE(TRIM(B408),".",""),"-","")," ","")))-1))&amp;RIGHT(UPPER(SUBSTITUTE(SUBSTITUTE(SUBSTITUTE(TRIM(B408),".",""),"-","")," ","")),1),UPPER(SUBSTITUTE(SUBSTITUTE(SUBSTITUTE(TRIM(B408),".",""),"-","")," ",""))))</f>
        <v/>
      </c>
      <c r="N408" s="62" t="str">
        <f aca="false">IF(B408="","",IF(D408="Anexo de modificación","No","Sí"))</f>
        <v/>
      </c>
      <c r="O408" s="62" t="str">
        <f aca="false">IF(AND(N408="Sí",ISNUMBER(F408)),COUNTIFS(C_RUTN,M408,C_DEF,"Sí",C_INI,"&lt;"&amp;F408)+COUNTIFS(M$7:M408,M408,N$7:N408,"Sí",F$7:F408,F408),"")</f>
        <v/>
      </c>
      <c r="P408" s="62" t="str">
        <f aca="false">IF(O408="","",M408&amp;"-P"&amp;O408)</f>
        <v/>
      </c>
      <c r="Q408" s="62" t="str">
        <f aca="false">IF(AND(N408="Sí",E408="Plazo fijo",ISNUMBER(F408)),COUNTIFS(C_RUTN,M408,C_TIPO,"Plazo fijo",C_DEF,"Sí",C_INI,"&lt;"&amp;F408)+COUNTIFS(M$7:M408,M408,E$7:E408,"Plazo fijo",N$7:N408,"Sí",F$7:F408,F408),"")</f>
        <v/>
      </c>
      <c r="R408" s="62" t="str">
        <f aca="false">IF(AND(B408&lt;&gt;"",ISNUMBER(H408),ISNUMBER(F408)),COUNTIFS(C_RUTN,M408,C_SUELDO,"&lt;&gt;",C_INI,"&lt;"&amp;F408)+COUNTIFS(M$7:M408,M408,H$7:H408,"&lt;&gt;",F$7:F408,F408),"")</f>
        <v/>
      </c>
      <c r="S408" s="62" t="str">
        <f aca="false">IF(R408="","",M408&amp;"-S"&amp;R408)</f>
        <v/>
      </c>
    </row>
    <row r="409" customFormat="false" ht="15" hidden="false" customHeight="false" outlineLevel="0" collapsed="false">
      <c r="B409" s="58"/>
      <c r="C409" s="62" t="str">
        <f aca="false">IF(B409="","",IFERROR(INDEX(T_NOMBRE,MATCH(M409,T_RUTN,0)),"⚠ RUT no está en Trabajadores"))</f>
        <v/>
      </c>
      <c r="D409" s="58"/>
      <c r="E409" s="58"/>
      <c r="F409" s="59"/>
      <c r="G409" s="59"/>
      <c r="H409" s="60"/>
      <c r="I409" s="58"/>
      <c r="J409" s="58"/>
      <c r="K409" s="58"/>
      <c r="L409" s="62" t="str">
        <f aca="false">IF(B409="","",IF(LEFT(C409,1)="⚠","⚠ Registre primero al trabajador en la hoja Trabajadores",IF(AND(N409="Sí",OR(E409="",NOT(ISNUMBER(F409)))),"⚠ Falta tipo de contrato o fecha de inicio",IF(NOT(ISNUMBER(F409)),"⚠ Falta fecha de inicio",IF(AND(N409="Sí",E409&lt;&gt;"Indefinido",NOT(ISNUMBER(G409))),"⚠ Falta fecha de término",IF(AND(D409="Paso a indefinido",E409&lt;&gt;"Indefinido"),"⚠ Un paso a indefinido debe tener tipo Indefinido",IF(N(Q409)&gt;=3,"⚠ 3er contrato a plazo fijo: por ley ya es INDEFINIDO (Art. 159 N°4)",IF(AND(E409="Plazo fijo",ISNUMBER(G409),(G409-F409+1)/30.4375&gt;12),"⚠ Plazo fijo mayor a 1 año (máximo legal)",IF(J409&lt;&gt;"Sí","Pendiente de firma","OK")))))))))</f>
        <v/>
      </c>
      <c r="M409" s="62" t="str">
        <f aca="false">IF(B409="","",IFERROR(VALUE(LEFT(UPPER(SUBSTITUTE(SUBSTITUTE(SUBSTITUTE(TRIM(B409),".",""),"-","")," ","")),LEN(UPPER(SUBSTITUTE(SUBSTITUTE(SUBSTITUTE(TRIM(B409),".",""),"-","")," ","")))-1))&amp;RIGHT(UPPER(SUBSTITUTE(SUBSTITUTE(SUBSTITUTE(TRIM(B409),".",""),"-","")," ","")),1),UPPER(SUBSTITUTE(SUBSTITUTE(SUBSTITUTE(TRIM(B409),".",""),"-","")," ",""))))</f>
        <v/>
      </c>
      <c r="N409" s="62" t="str">
        <f aca="false">IF(B409="","",IF(D409="Anexo de modificación","No","Sí"))</f>
        <v/>
      </c>
      <c r="O409" s="62" t="str">
        <f aca="false">IF(AND(N409="Sí",ISNUMBER(F409)),COUNTIFS(C_RUTN,M409,C_DEF,"Sí",C_INI,"&lt;"&amp;F409)+COUNTIFS(M$7:M409,M409,N$7:N409,"Sí",F$7:F409,F409),"")</f>
        <v/>
      </c>
      <c r="P409" s="62" t="str">
        <f aca="false">IF(O409="","",M409&amp;"-P"&amp;O409)</f>
        <v/>
      </c>
      <c r="Q409" s="62" t="str">
        <f aca="false">IF(AND(N409="Sí",E409="Plazo fijo",ISNUMBER(F409)),COUNTIFS(C_RUTN,M409,C_TIPO,"Plazo fijo",C_DEF,"Sí",C_INI,"&lt;"&amp;F409)+COUNTIFS(M$7:M409,M409,E$7:E409,"Plazo fijo",N$7:N409,"Sí",F$7:F409,F409),"")</f>
        <v/>
      </c>
      <c r="R409" s="62" t="str">
        <f aca="false">IF(AND(B409&lt;&gt;"",ISNUMBER(H409),ISNUMBER(F409)),COUNTIFS(C_RUTN,M409,C_SUELDO,"&lt;&gt;",C_INI,"&lt;"&amp;F409)+COUNTIFS(M$7:M409,M409,H$7:H409,"&lt;&gt;",F$7:F409,F409),"")</f>
        <v/>
      </c>
      <c r="S409" s="62" t="str">
        <f aca="false">IF(R409="","",M409&amp;"-S"&amp;R409)</f>
        <v/>
      </c>
    </row>
    <row r="410" customFormat="false" ht="15" hidden="false" customHeight="false" outlineLevel="0" collapsed="false">
      <c r="B410" s="58"/>
      <c r="C410" s="62" t="str">
        <f aca="false">IF(B410="","",IFERROR(INDEX(T_NOMBRE,MATCH(M410,T_RUTN,0)),"⚠ RUT no está en Trabajadores"))</f>
        <v/>
      </c>
      <c r="D410" s="58"/>
      <c r="E410" s="58"/>
      <c r="F410" s="59"/>
      <c r="G410" s="59"/>
      <c r="H410" s="60"/>
      <c r="I410" s="58"/>
      <c r="J410" s="58"/>
      <c r="K410" s="58"/>
      <c r="L410" s="62" t="str">
        <f aca="false">IF(B410="","",IF(LEFT(C410,1)="⚠","⚠ Registre primero al trabajador en la hoja Trabajadores",IF(AND(N410="Sí",OR(E410="",NOT(ISNUMBER(F410)))),"⚠ Falta tipo de contrato o fecha de inicio",IF(NOT(ISNUMBER(F410)),"⚠ Falta fecha de inicio",IF(AND(N410="Sí",E410&lt;&gt;"Indefinido",NOT(ISNUMBER(G410))),"⚠ Falta fecha de término",IF(AND(D410="Paso a indefinido",E410&lt;&gt;"Indefinido"),"⚠ Un paso a indefinido debe tener tipo Indefinido",IF(N(Q410)&gt;=3,"⚠ 3er contrato a plazo fijo: por ley ya es INDEFINIDO (Art. 159 N°4)",IF(AND(E410="Plazo fijo",ISNUMBER(G410),(G410-F410+1)/30.4375&gt;12),"⚠ Plazo fijo mayor a 1 año (máximo legal)",IF(J410&lt;&gt;"Sí","Pendiente de firma","OK")))))))))</f>
        <v/>
      </c>
      <c r="M410" s="62" t="str">
        <f aca="false">IF(B410="","",IFERROR(VALUE(LEFT(UPPER(SUBSTITUTE(SUBSTITUTE(SUBSTITUTE(TRIM(B410),".",""),"-","")," ","")),LEN(UPPER(SUBSTITUTE(SUBSTITUTE(SUBSTITUTE(TRIM(B410),".",""),"-","")," ","")))-1))&amp;RIGHT(UPPER(SUBSTITUTE(SUBSTITUTE(SUBSTITUTE(TRIM(B410),".",""),"-","")," ","")),1),UPPER(SUBSTITUTE(SUBSTITUTE(SUBSTITUTE(TRIM(B410),".",""),"-","")," ",""))))</f>
        <v/>
      </c>
      <c r="N410" s="62" t="str">
        <f aca="false">IF(B410="","",IF(D410="Anexo de modificación","No","Sí"))</f>
        <v/>
      </c>
      <c r="O410" s="62" t="str">
        <f aca="false">IF(AND(N410="Sí",ISNUMBER(F410)),COUNTIFS(C_RUTN,M410,C_DEF,"Sí",C_INI,"&lt;"&amp;F410)+COUNTIFS(M$7:M410,M410,N$7:N410,"Sí",F$7:F410,F410),"")</f>
        <v/>
      </c>
      <c r="P410" s="62" t="str">
        <f aca="false">IF(O410="","",M410&amp;"-P"&amp;O410)</f>
        <v/>
      </c>
      <c r="Q410" s="62" t="str">
        <f aca="false">IF(AND(N410="Sí",E410="Plazo fijo",ISNUMBER(F410)),COUNTIFS(C_RUTN,M410,C_TIPO,"Plazo fijo",C_DEF,"Sí",C_INI,"&lt;"&amp;F410)+COUNTIFS(M$7:M410,M410,E$7:E410,"Plazo fijo",N$7:N410,"Sí",F$7:F410,F410),"")</f>
        <v/>
      </c>
      <c r="R410" s="62" t="str">
        <f aca="false">IF(AND(B410&lt;&gt;"",ISNUMBER(H410),ISNUMBER(F410)),COUNTIFS(C_RUTN,M410,C_SUELDO,"&lt;&gt;",C_INI,"&lt;"&amp;F410)+COUNTIFS(M$7:M410,M410,H$7:H410,"&lt;&gt;",F$7:F410,F410),"")</f>
        <v/>
      </c>
      <c r="S410" s="62" t="str">
        <f aca="false">IF(R410="","",M410&amp;"-S"&amp;R410)</f>
        <v/>
      </c>
    </row>
    <row r="411" customFormat="false" ht="15" hidden="false" customHeight="false" outlineLevel="0" collapsed="false">
      <c r="B411" s="58"/>
      <c r="C411" s="62" t="str">
        <f aca="false">IF(B411="","",IFERROR(INDEX(T_NOMBRE,MATCH(M411,T_RUTN,0)),"⚠ RUT no está en Trabajadores"))</f>
        <v/>
      </c>
      <c r="D411" s="58"/>
      <c r="E411" s="58"/>
      <c r="F411" s="59"/>
      <c r="G411" s="59"/>
      <c r="H411" s="60"/>
      <c r="I411" s="58"/>
      <c r="J411" s="58"/>
      <c r="K411" s="58"/>
      <c r="L411" s="62" t="str">
        <f aca="false">IF(B411="","",IF(LEFT(C411,1)="⚠","⚠ Registre primero al trabajador en la hoja Trabajadores",IF(AND(N411="Sí",OR(E411="",NOT(ISNUMBER(F411)))),"⚠ Falta tipo de contrato o fecha de inicio",IF(NOT(ISNUMBER(F411)),"⚠ Falta fecha de inicio",IF(AND(N411="Sí",E411&lt;&gt;"Indefinido",NOT(ISNUMBER(G411))),"⚠ Falta fecha de término",IF(AND(D411="Paso a indefinido",E411&lt;&gt;"Indefinido"),"⚠ Un paso a indefinido debe tener tipo Indefinido",IF(N(Q411)&gt;=3,"⚠ 3er contrato a plazo fijo: por ley ya es INDEFINIDO (Art. 159 N°4)",IF(AND(E411="Plazo fijo",ISNUMBER(G411),(G411-F411+1)/30.4375&gt;12),"⚠ Plazo fijo mayor a 1 año (máximo legal)",IF(J411&lt;&gt;"Sí","Pendiente de firma","OK")))))))))</f>
        <v/>
      </c>
      <c r="M411" s="62" t="str">
        <f aca="false">IF(B411="","",IFERROR(VALUE(LEFT(UPPER(SUBSTITUTE(SUBSTITUTE(SUBSTITUTE(TRIM(B411),".",""),"-","")," ","")),LEN(UPPER(SUBSTITUTE(SUBSTITUTE(SUBSTITUTE(TRIM(B411),".",""),"-","")," ","")))-1))&amp;RIGHT(UPPER(SUBSTITUTE(SUBSTITUTE(SUBSTITUTE(TRIM(B411),".",""),"-","")," ","")),1),UPPER(SUBSTITUTE(SUBSTITUTE(SUBSTITUTE(TRIM(B411),".",""),"-","")," ",""))))</f>
        <v/>
      </c>
      <c r="N411" s="62" t="str">
        <f aca="false">IF(B411="","",IF(D411="Anexo de modificación","No","Sí"))</f>
        <v/>
      </c>
      <c r="O411" s="62" t="str">
        <f aca="false">IF(AND(N411="Sí",ISNUMBER(F411)),COUNTIFS(C_RUTN,M411,C_DEF,"Sí",C_INI,"&lt;"&amp;F411)+COUNTIFS(M$7:M411,M411,N$7:N411,"Sí",F$7:F411,F411),"")</f>
        <v/>
      </c>
      <c r="P411" s="62" t="str">
        <f aca="false">IF(O411="","",M411&amp;"-P"&amp;O411)</f>
        <v/>
      </c>
      <c r="Q411" s="62" t="str">
        <f aca="false">IF(AND(N411="Sí",E411="Plazo fijo",ISNUMBER(F411)),COUNTIFS(C_RUTN,M411,C_TIPO,"Plazo fijo",C_DEF,"Sí",C_INI,"&lt;"&amp;F411)+COUNTIFS(M$7:M411,M411,E$7:E411,"Plazo fijo",N$7:N411,"Sí",F$7:F411,F411),"")</f>
        <v/>
      </c>
      <c r="R411" s="62" t="str">
        <f aca="false">IF(AND(B411&lt;&gt;"",ISNUMBER(H411),ISNUMBER(F411)),COUNTIFS(C_RUTN,M411,C_SUELDO,"&lt;&gt;",C_INI,"&lt;"&amp;F411)+COUNTIFS(M$7:M411,M411,H$7:H411,"&lt;&gt;",F$7:F411,F411),"")</f>
        <v/>
      </c>
      <c r="S411" s="62" t="str">
        <f aca="false">IF(R411="","",M411&amp;"-S"&amp;R411)</f>
        <v/>
      </c>
    </row>
    <row r="412" customFormat="false" ht="15" hidden="false" customHeight="false" outlineLevel="0" collapsed="false">
      <c r="B412" s="58"/>
      <c r="C412" s="62" t="str">
        <f aca="false">IF(B412="","",IFERROR(INDEX(T_NOMBRE,MATCH(M412,T_RUTN,0)),"⚠ RUT no está en Trabajadores"))</f>
        <v/>
      </c>
      <c r="D412" s="58"/>
      <c r="E412" s="58"/>
      <c r="F412" s="59"/>
      <c r="G412" s="59"/>
      <c r="H412" s="60"/>
      <c r="I412" s="58"/>
      <c r="J412" s="58"/>
      <c r="K412" s="58"/>
      <c r="L412" s="62" t="str">
        <f aca="false">IF(B412="","",IF(LEFT(C412,1)="⚠","⚠ Registre primero al trabajador en la hoja Trabajadores",IF(AND(N412="Sí",OR(E412="",NOT(ISNUMBER(F412)))),"⚠ Falta tipo de contrato o fecha de inicio",IF(NOT(ISNUMBER(F412)),"⚠ Falta fecha de inicio",IF(AND(N412="Sí",E412&lt;&gt;"Indefinido",NOT(ISNUMBER(G412))),"⚠ Falta fecha de término",IF(AND(D412="Paso a indefinido",E412&lt;&gt;"Indefinido"),"⚠ Un paso a indefinido debe tener tipo Indefinido",IF(N(Q412)&gt;=3,"⚠ 3er contrato a plazo fijo: por ley ya es INDEFINIDO (Art. 159 N°4)",IF(AND(E412="Plazo fijo",ISNUMBER(G412),(G412-F412+1)/30.4375&gt;12),"⚠ Plazo fijo mayor a 1 año (máximo legal)",IF(J412&lt;&gt;"Sí","Pendiente de firma","OK")))))))))</f>
        <v/>
      </c>
      <c r="M412" s="62" t="str">
        <f aca="false">IF(B412="","",IFERROR(VALUE(LEFT(UPPER(SUBSTITUTE(SUBSTITUTE(SUBSTITUTE(TRIM(B412),".",""),"-","")," ","")),LEN(UPPER(SUBSTITUTE(SUBSTITUTE(SUBSTITUTE(TRIM(B412),".",""),"-","")," ","")))-1))&amp;RIGHT(UPPER(SUBSTITUTE(SUBSTITUTE(SUBSTITUTE(TRIM(B412),".",""),"-","")," ","")),1),UPPER(SUBSTITUTE(SUBSTITUTE(SUBSTITUTE(TRIM(B412),".",""),"-","")," ",""))))</f>
        <v/>
      </c>
      <c r="N412" s="62" t="str">
        <f aca="false">IF(B412="","",IF(D412="Anexo de modificación","No","Sí"))</f>
        <v/>
      </c>
      <c r="O412" s="62" t="str">
        <f aca="false">IF(AND(N412="Sí",ISNUMBER(F412)),COUNTIFS(C_RUTN,M412,C_DEF,"Sí",C_INI,"&lt;"&amp;F412)+COUNTIFS(M$7:M412,M412,N$7:N412,"Sí",F$7:F412,F412),"")</f>
        <v/>
      </c>
      <c r="P412" s="62" t="str">
        <f aca="false">IF(O412="","",M412&amp;"-P"&amp;O412)</f>
        <v/>
      </c>
      <c r="Q412" s="62" t="str">
        <f aca="false">IF(AND(N412="Sí",E412="Plazo fijo",ISNUMBER(F412)),COUNTIFS(C_RUTN,M412,C_TIPO,"Plazo fijo",C_DEF,"Sí",C_INI,"&lt;"&amp;F412)+COUNTIFS(M$7:M412,M412,E$7:E412,"Plazo fijo",N$7:N412,"Sí",F$7:F412,F412),"")</f>
        <v/>
      </c>
      <c r="R412" s="62" t="str">
        <f aca="false">IF(AND(B412&lt;&gt;"",ISNUMBER(H412),ISNUMBER(F412)),COUNTIFS(C_RUTN,M412,C_SUELDO,"&lt;&gt;",C_INI,"&lt;"&amp;F412)+COUNTIFS(M$7:M412,M412,H$7:H412,"&lt;&gt;",F$7:F412,F412),"")</f>
        <v/>
      </c>
      <c r="S412" s="62" t="str">
        <f aca="false">IF(R412="","",M412&amp;"-S"&amp;R412)</f>
        <v/>
      </c>
    </row>
    <row r="413" customFormat="false" ht="15" hidden="false" customHeight="false" outlineLevel="0" collapsed="false">
      <c r="B413" s="58"/>
      <c r="C413" s="62" t="str">
        <f aca="false">IF(B413="","",IFERROR(INDEX(T_NOMBRE,MATCH(M413,T_RUTN,0)),"⚠ RUT no está en Trabajadores"))</f>
        <v/>
      </c>
      <c r="D413" s="58"/>
      <c r="E413" s="58"/>
      <c r="F413" s="59"/>
      <c r="G413" s="59"/>
      <c r="H413" s="60"/>
      <c r="I413" s="58"/>
      <c r="J413" s="58"/>
      <c r="K413" s="58"/>
      <c r="L413" s="62" t="str">
        <f aca="false">IF(B413="","",IF(LEFT(C413,1)="⚠","⚠ Registre primero al trabajador en la hoja Trabajadores",IF(AND(N413="Sí",OR(E413="",NOT(ISNUMBER(F413)))),"⚠ Falta tipo de contrato o fecha de inicio",IF(NOT(ISNUMBER(F413)),"⚠ Falta fecha de inicio",IF(AND(N413="Sí",E413&lt;&gt;"Indefinido",NOT(ISNUMBER(G413))),"⚠ Falta fecha de término",IF(AND(D413="Paso a indefinido",E413&lt;&gt;"Indefinido"),"⚠ Un paso a indefinido debe tener tipo Indefinido",IF(N(Q413)&gt;=3,"⚠ 3er contrato a plazo fijo: por ley ya es INDEFINIDO (Art. 159 N°4)",IF(AND(E413="Plazo fijo",ISNUMBER(G413),(G413-F413+1)/30.4375&gt;12),"⚠ Plazo fijo mayor a 1 año (máximo legal)",IF(J413&lt;&gt;"Sí","Pendiente de firma","OK")))))))))</f>
        <v/>
      </c>
      <c r="M413" s="62" t="str">
        <f aca="false">IF(B413="","",IFERROR(VALUE(LEFT(UPPER(SUBSTITUTE(SUBSTITUTE(SUBSTITUTE(TRIM(B413),".",""),"-","")," ","")),LEN(UPPER(SUBSTITUTE(SUBSTITUTE(SUBSTITUTE(TRIM(B413),".",""),"-","")," ","")))-1))&amp;RIGHT(UPPER(SUBSTITUTE(SUBSTITUTE(SUBSTITUTE(TRIM(B413),".",""),"-","")," ","")),1),UPPER(SUBSTITUTE(SUBSTITUTE(SUBSTITUTE(TRIM(B413),".",""),"-","")," ",""))))</f>
        <v/>
      </c>
      <c r="N413" s="62" t="str">
        <f aca="false">IF(B413="","",IF(D413="Anexo de modificación","No","Sí"))</f>
        <v/>
      </c>
      <c r="O413" s="62" t="str">
        <f aca="false">IF(AND(N413="Sí",ISNUMBER(F413)),COUNTIFS(C_RUTN,M413,C_DEF,"Sí",C_INI,"&lt;"&amp;F413)+COUNTIFS(M$7:M413,M413,N$7:N413,"Sí",F$7:F413,F413),"")</f>
        <v/>
      </c>
      <c r="P413" s="62" t="str">
        <f aca="false">IF(O413="","",M413&amp;"-P"&amp;O413)</f>
        <v/>
      </c>
      <c r="Q413" s="62" t="str">
        <f aca="false">IF(AND(N413="Sí",E413="Plazo fijo",ISNUMBER(F413)),COUNTIFS(C_RUTN,M413,C_TIPO,"Plazo fijo",C_DEF,"Sí",C_INI,"&lt;"&amp;F413)+COUNTIFS(M$7:M413,M413,E$7:E413,"Plazo fijo",N$7:N413,"Sí",F$7:F413,F413),"")</f>
        <v/>
      </c>
      <c r="R413" s="62" t="str">
        <f aca="false">IF(AND(B413&lt;&gt;"",ISNUMBER(H413),ISNUMBER(F413)),COUNTIFS(C_RUTN,M413,C_SUELDO,"&lt;&gt;",C_INI,"&lt;"&amp;F413)+COUNTIFS(M$7:M413,M413,H$7:H413,"&lt;&gt;",F$7:F413,F413),"")</f>
        <v/>
      </c>
      <c r="S413" s="62" t="str">
        <f aca="false">IF(R413="","",M413&amp;"-S"&amp;R413)</f>
        <v/>
      </c>
    </row>
    <row r="414" customFormat="false" ht="15" hidden="false" customHeight="false" outlineLevel="0" collapsed="false">
      <c r="B414" s="58"/>
      <c r="C414" s="62" t="str">
        <f aca="false">IF(B414="","",IFERROR(INDEX(T_NOMBRE,MATCH(M414,T_RUTN,0)),"⚠ RUT no está en Trabajadores"))</f>
        <v/>
      </c>
      <c r="D414" s="58"/>
      <c r="E414" s="58"/>
      <c r="F414" s="59"/>
      <c r="G414" s="59"/>
      <c r="H414" s="60"/>
      <c r="I414" s="58"/>
      <c r="J414" s="58"/>
      <c r="K414" s="58"/>
      <c r="L414" s="62" t="str">
        <f aca="false">IF(B414="","",IF(LEFT(C414,1)="⚠","⚠ Registre primero al trabajador en la hoja Trabajadores",IF(AND(N414="Sí",OR(E414="",NOT(ISNUMBER(F414)))),"⚠ Falta tipo de contrato o fecha de inicio",IF(NOT(ISNUMBER(F414)),"⚠ Falta fecha de inicio",IF(AND(N414="Sí",E414&lt;&gt;"Indefinido",NOT(ISNUMBER(G414))),"⚠ Falta fecha de término",IF(AND(D414="Paso a indefinido",E414&lt;&gt;"Indefinido"),"⚠ Un paso a indefinido debe tener tipo Indefinido",IF(N(Q414)&gt;=3,"⚠ 3er contrato a plazo fijo: por ley ya es INDEFINIDO (Art. 159 N°4)",IF(AND(E414="Plazo fijo",ISNUMBER(G414),(G414-F414+1)/30.4375&gt;12),"⚠ Plazo fijo mayor a 1 año (máximo legal)",IF(J414&lt;&gt;"Sí","Pendiente de firma","OK")))))))))</f>
        <v/>
      </c>
      <c r="M414" s="62" t="str">
        <f aca="false">IF(B414="","",IFERROR(VALUE(LEFT(UPPER(SUBSTITUTE(SUBSTITUTE(SUBSTITUTE(TRIM(B414),".",""),"-","")," ","")),LEN(UPPER(SUBSTITUTE(SUBSTITUTE(SUBSTITUTE(TRIM(B414),".",""),"-","")," ","")))-1))&amp;RIGHT(UPPER(SUBSTITUTE(SUBSTITUTE(SUBSTITUTE(TRIM(B414),".",""),"-","")," ","")),1),UPPER(SUBSTITUTE(SUBSTITUTE(SUBSTITUTE(TRIM(B414),".",""),"-","")," ",""))))</f>
        <v/>
      </c>
      <c r="N414" s="62" t="str">
        <f aca="false">IF(B414="","",IF(D414="Anexo de modificación","No","Sí"))</f>
        <v/>
      </c>
      <c r="O414" s="62" t="str">
        <f aca="false">IF(AND(N414="Sí",ISNUMBER(F414)),COUNTIFS(C_RUTN,M414,C_DEF,"Sí",C_INI,"&lt;"&amp;F414)+COUNTIFS(M$7:M414,M414,N$7:N414,"Sí",F$7:F414,F414),"")</f>
        <v/>
      </c>
      <c r="P414" s="62" t="str">
        <f aca="false">IF(O414="","",M414&amp;"-P"&amp;O414)</f>
        <v/>
      </c>
      <c r="Q414" s="62" t="str">
        <f aca="false">IF(AND(N414="Sí",E414="Plazo fijo",ISNUMBER(F414)),COUNTIFS(C_RUTN,M414,C_TIPO,"Plazo fijo",C_DEF,"Sí",C_INI,"&lt;"&amp;F414)+COUNTIFS(M$7:M414,M414,E$7:E414,"Plazo fijo",N$7:N414,"Sí",F$7:F414,F414),"")</f>
        <v/>
      </c>
      <c r="R414" s="62" t="str">
        <f aca="false">IF(AND(B414&lt;&gt;"",ISNUMBER(H414),ISNUMBER(F414)),COUNTIFS(C_RUTN,M414,C_SUELDO,"&lt;&gt;",C_INI,"&lt;"&amp;F414)+COUNTIFS(M$7:M414,M414,H$7:H414,"&lt;&gt;",F$7:F414,F414),"")</f>
        <v/>
      </c>
      <c r="S414" s="62" t="str">
        <f aca="false">IF(R414="","",M414&amp;"-S"&amp;R414)</f>
        <v/>
      </c>
    </row>
    <row r="415" customFormat="false" ht="15" hidden="false" customHeight="false" outlineLevel="0" collapsed="false">
      <c r="B415" s="58"/>
      <c r="C415" s="62" t="str">
        <f aca="false">IF(B415="","",IFERROR(INDEX(T_NOMBRE,MATCH(M415,T_RUTN,0)),"⚠ RUT no está en Trabajadores"))</f>
        <v/>
      </c>
      <c r="D415" s="58"/>
      <c r="E415" s="58"/>
      <c r="F415" s="59"/>
      <c r="G415" s="59"/>
      <c r="H415" s="60"/>
      <c r="I415" s="58"/>
      <c r="J415" s="58"/>
      <c r="K415" s="58"/>
      <c r="L415" s="62" t="str">
        <f aca="false">IF(B415="","",IF(LEFT(C415,1)="⚠","⚠ Registre primero al trabajador en la hoja Trabajadores",IF(AND(N415="Sí",OR(E415="",NOT(ISNUMBER(F415)))),"⚠ Falta tipo de contrato o fecha de inicio",IF(NOT(ISNUMBER(F415)),"⚠ Falta fecha de inicio",IF(AND(N415="Sí",E415&lt;&gt;"Indefinido",NOT(ISNUMBER(G415))),"⚠ Falta fecha de término",IF(AND(D415="Paso a indefinido",E415&lt;&gt;"Indefinido"),"⚠ Un paso a indefinido debe tener tipo Indefinido",IF(N(Q415)&gt;=3,"⚠ 3er contrato a plazo fijo: por ley ya es INDEFINIDO (Art. 159 N°4)",IF(AND(E415="Plazo fijo",ISNUMBER(G415),(G415-F415+1)/30.4375&gt;12),"⚠ Plazo fijo mayor a 1 año (máximo legal)",IF(J415&lt;&gt;"Sí","Pendiente de firma","OK")))))))))</f>
        <v/>
      </c>
      <c r="M415" s="62" t="str">
        <f aca="false">IF(B415="","",IFERROR(VALUE(LEFT(UPPER(SUBSTITUTE(SUBSTITUTE(SUBSTITUTE(TRIM(B415),".",""),"-","")," ","")),LEN(UPPER(SUBSTITUTE(SUBSTITUTE(SUBSTITUTE(TRIM(B415),".",""),"-","")," ","")))-1))&amp;RIGHT(UPPER(SUBSTITUTE(SUBSTITUTE(SUBSTITUTE(TRIM(B415),".",""),"-","")," ","")),1),UPPER(SUBSTITUTE(SUBSTITUTE(SUBSTITUTE(TRIM(B415),".",""),"-","")," ",""))))</f>
        <v/>
      </c>
      <c r="N415" s="62" t="str">
        <f aca="false">IF(B415="","",IF(D415="Anexo de modificación","No","Sí"))</f>
        <v/>
      </c>
      <c r="O415" s="62" t="str">
        <f aca="false">IF(AND(N415="Sí",ISNUMBER(F415)),COUNTIFS(C_RUTN,M415,C_DEF,"Sí",C_INI,"&lt;"&amp;F415)+COUNTIFS(M$7:M415,M415,N$7:N415,"Sí",F$7:F415,F415),"")</f>
        <v/>
      </c>
      <c r="P415" s="62" t="str">
        <f aca="false">IF(O415="","",M415&amp;"-P"&amp;O415)</f>
        <v/>
      </c>
      <c r="Q415" s="62" t="str">
        <f aca="false">IF(AND(N415="Sí",E415="Plazo fijo",ISNUMBER(F415)),COUNTIFS(C_RUTN,M415,C_TIPO,"Plazo fijo",C_DEF,"Sí",C_INI,"&lt;"&amp;F415)+COUNTIFS(M$7:M415,M415,E$7:E415,"Plazo fijo",N$7:N415,"Sí",F$7:F415,F415),"")</f>
        <v/>
      </c>
      <c r="R415" s="62" t="str">
        <f aca="false">IF(AND(B415&lt;&gt;"",ISNUMBER(H415),ISNUMBER(F415)),COUNTIFS(C_RUTN,M415,C_SUELDO,"&lt;&gt;",C_INI,"&lt;"&amp;F415)+COUNTIFS(M$7:M415,M415,H$7:H415,"&lt;&gt;",F$7:F415,F415),"")</f>
        <v/>
      </c>
      <c r="S415" s="62" t="str">
        <f aca="false">IF(R415="","",M415&amp;"-S"&amp;R415)</f>
        <v/>
      </c>
    </row>
    <row r="416" customFormat="false" ht="15" hidden="false" customHeight="false" outlineLevel="0" collapsed="false">
      <c r="B416" s="58"/>
      <c r="C416" s="62" t="str">
        <f aca="false">IF(B416="","",IFERROR(INDEX(T_NOMBRE,MATCH(M416,T_RUTN,0)),"⚠ RUT no está en Trabajadores"))</f>
        <v/>
      </c>
      <c r="D416" s="58"/>
      <c r="E416" s="58"/>
      <c r="F416" s="59"/>
      <c r="G416" s="59"/>
      <c r="H416" s="60"/>
      <c r="I416" s="58"/>
      <c r="J416" s="58"/>
      <c r="K416" s="58"/>
      <c r="L416" s="62" t="str">
        <f aca="false">IF(B416="","",IF(LEFT(C416,1)="⚠","⚠ Registre primero al trabajador en la hoja Trabajadores",IF(AND(N416="Sí",OR(E416="",NOT(ISNUMBER(F416)))),"⚠ Falta tipo de contrato o fecha de inicio",IF(NOT(ISNUMBER(F416)),"⚠ Falta fecha de inicio",IF(AND(N416="Sí",E416&lt;&gt;"Indefinido",NOT(ISNUMBER(G416))),"⚠ Falta fecha de término",IF(AND(D416="Paso a indefinido",E416&lt;&gt;"Indefinido"),"⚠ Un paso a indefinido debe tener tipo Indefinido",IF(N(Q416)&gt;=3,"⚠ 3er contrato a plazo fijo: por ley ya es INDEFINIDO (Art. 159 N°4)",IF(AND(E416="Plazo fijo",ISNUMBER(G416),(G416-F416+1)/30.4375&gt;12),"⚠ Plazo fijo mayor a 1 año (máximo legal)",IF(J416&lt;&gt;"Sí","Pendiente de firma","OK")))))))))</f>
        <v/>
      </c>
      <c r="M416" s="62" t="str">
        <f aca="false">IF(B416="","",IFERROR(VALUE(LEFT(UPPER(SUBSTITUTE(SUBSTITUTE(SUBSTITUTE(TRIM(B416),".",""),"-","")," ","")),LEN(UPPER(SUBSTITUTE(SUBSTITUTE(SUBSTITUTE(TRIM(B416),".",""),"-","")," ","")))-1))&amp;RIGHT(UPPER(SUBSTITUTE(SUBSTITUTE(SUBSTITUTE(TRIM(B416),".",""),"-","")," ","")),1),UPPER(SUBSTITUTE(SUBSTITUTE(SUBSTITUTE(TRIM(B416),".",""),"-","")," ",""))))</f>
        <v/>
      </c>
      <c r="N416" s="62" t="str">
        <f aca="false">IF(B416="","",IF(D416="Anexo de modificación","No","Sí"))</f>
        <v/>
      </c>
      <c r="O416" s="62" t="str">
        <f aca="false">IF(AND(N416="Sí",ISNUMBER(F416)),COUNTIFS(C_RUTN,M416,C_DEF,"Sí",C_INI,"&lt;"&amp;F416)+COUNTIFS(M$7:M416,M416,N$7:N416,"Sí",F$7:F416,F416),"")</f>
        <v/>
      </c>
      <c r="P416" s="62" t="str">
        <f aca="false">IF(O416="","",M416&amp;"-P"&amp;O416)</f>
        <v/>
      </c>
      <c r="Q416" s="62" t="str">
        <f aca="false">IF(AND(N416="Sí",E416="Plazo fijo",ISNUMBER(F416)),COUNTIFS(C_RUTN,M416,C_TIPO,"Plazo fijo",C_DEF,"Sí",C_INI,"&lt;"&amp;F416)+COUNTIFS(M$7:M416,M416,E$7:E416,"Plazo fijo",N$7:N416,"Sí",F$7:F416,F416),"")</f>
        <v/>
      </c>
      <c r="R416" s="62" t="str">
        <f aca="false">IF(AND(B416&lt;&gt;"",ISNUMBER(H416),ISNUMBER(F416)),COUNTIFS(C_RUTN,M416,C_SUELDO,"&lt;&gt;",C_INI,"&lt;"&amp;F416)+COUNTIFS(M$7:M416,M416,H$7:H416,"&lt;&gt;",F$7:F416,F416),"")</f>
        <v/>
      </c>
      <c r="S416" s="62" t="str">
        <f aca="false">IF(R416="","",M416&amp;"-S"&amp;R416)</f>
        <v/>
      </c>
    </row>
    <row r="417" customFormat="false" ht="15" hidden="false" customHeight="false" outlineLevel="0" collapsed="false">
      <c r="B417" s="58"/>
      <c r="C417" s="62" t="str">
        <f aca="false">IF(B417="","",IFERROR(INDEX(T_NOMBRE,MATCH(M417,T_RUTN,0)),"⚠ RUT no está en Trabajadores"))</f>
        <v/>
      </c>
      <c r="D417" s="58"/>
      <c r="E417" s="58"/>
      <c r="F417" s="59"/>
      <c r="G417" s="59"/>
      <c r="H417" s="60"/>
      <c r="I417" s="58"/>
      <c r="J417" s="58"/>
      <c r="K417" s="58"/>
      <c r="L417" s="62" t="str">
        <f aca="false">IF(B417="","",IF(LEFT(C417,1)="⚠","⚠ Registre primero al trabajador en la hoja Trabajadores",IF(AND(N417="Sí",OR(E417="",NOT(ISNUMBER(F417)))),"⚠ Falta tipo de contrato o fecha de inicio",IF(NOT(ISNUMBER(F417)),"⚠ Falta fecha de inicio",IF(AND(N417="Sí",E417&lt;&gt;"Indefinido",NOT(ISNUMBER(G417))),"⚠ Falta fecha de término",IF(AND(D417="Paso a indefinido",E417&lt;&gt;"Indefinido"),"⚠ Un paso a indefinido debe tener tipo Indefinido",IF(N(Q417)&gt;=3,"⚠ 3er contrato a plazo fijo: por ley ya es INDEFINIDO (Art. 159 N°4)",IF(AND(E417="Plazo fijo",ISNUMBER(G417),(G417-F417+1)/30.4375&gt;12),"⚠ Plazo fijo mayor a 1 año (máximo legal)",IF(J417&lt;&gt;"Sí","Pendiente de firma","OK")))))))))</f>
        <v/>
      </c>
      <c r="M417" s="62" t="str">
        <f aca="false">IF(B417="","",IFERROR(VALUE(LEFT(UPPER(SUBSTITUTE(SUBSTITUTE(SUBSTITUTE(TRIM(B417),".",""),"-","")," ","")),LEN(UPPER(SUBSTITUTE(SUBSTITUTE(SUBSTITUTE(TRIM(B417),".",""),"-","")," ","")))-1))&amp;RIGHT(UPPER(SUBSTITUTE(SUBSTITUTE(SUBSTITUTE(TRIM(B417),".",""),"-","")," ","")),1),UPPER(SUBSTITUTE(SUBSTITUTE(SUBSTITUTE(TRIM(B417),".",""),"-","")," ",""))))</f>
        <v/>
      </c>
      <c r="N417" s="62" t="str">
        <f aca="false">IF(B417="","",IF(D417="Anexo de modificación","No","Sí"))</f>
        <v/>
      </c>
      <c r="O417" s="62" t="str">
        <f aca="false">IF(AND(N417="Sí",ISNUMBER(F417)),COUNTIFS(C_RUTN,M417,C_DEF,"Sí",C_INI,"&lt;"&amp;F417)+COUNTIFS(M$7:M417,M417,N$7:N417,"Sí",F$7:F417,F417),"")</f>
        <v/>
      </c>
      <c r="P417" s="62" t="str">
        <f aca="false">IF(O417="","",M417&amp;"-P"&amp;O417)</f>
        <v/>
      </c>
      <c r="Q417" s="62" t="str">
        <f aca="false">IF(AND(N417="Sí",E417="Plazo fijo",ISNUMBER(F417)),COUNTIFS(C_RUTN,M417,C_TIPO,"Plazo fijo",C_DEF,"Sí",C_INI,"&lt;"&amp;F417)+COUNTIFS(M$7:M417,M417,E$7:E417,"Plazo fijo",N$7:N417,"Sí",F$7:F417,F417),"")</f>
        <v/>
      </c>
      <c r="R417" s="62" t="str">
        <f aca="false">IF(AND(B417&lt;&gt;"",ISNUMBER(H417),ISNUMBER(F417)),COUNTIFS(C_RUTN,M417,C_SUELDO,"&lt;&gt;",C_INI,"&lt;"&amp;F417)+COUNTIFS(M$7:M417,M417,H$7:H417,"&lt;&gt;",F$7:F417,F417),"")</f>
        <v/>
      </c>
      <c r="S417" s="62" t="str">
        <f aca="false">IF(R417="","",M417&amp;"-S"&amp;R417)</f>
        <v/>
      </c>
    </row>
    <row r="418" customFormat="false" ht="15" hidden="false" customHeight="false" outlineLevel="0" collapsed="false">
      <c r="B418" s="58"/>
      <c r="C418" s="62" t="str">
        <f aca="false">IF(B418="","",IFERROR(INDEX(T_NOMBRE,MATCH(M418,T_RUTN,0)),"⚠ RUT no está en Trabajadores"))</f>
        <v/>
      </c>
      <c r="D418" s="58"/>
      <c r="E418" s="58"/>
      <c r="F418" s="59"/>
      <c r="G418" s="59"/>
      <c r="H418" s="60"/>
      <c r="I418" s="58"/>
      <c r="J418" s="58"/>
      <c r="K418" s="58"/>
      <c r="L418" s="62" t="str">
        <f aca="false">IF(B418="","",IF(LEFT(C418,1)="⚠","⚠ Registre primero al trabajador en la hoja Trabajadores",IF(AND(N418="Sí",OR(E418="",NOT(ISNUMBER(F418)))),"⚠ Falta tipo de contrato o fecha de inicio",IF(NOT(ISNUMBER(F418)),"⚠ Falta fecha de inicio",IF(AND(N418="Sí",E418&lt;&gt;"Indefinido",NOT(ISNUMBER(G418))),"⚠ Falta fecha de término",IF(AND(D418="Paso a indefinido",E418&lt;&gt;"Indefinido"),"⚠ Un paso a indefinido debe tener tipo Indefinido",IF(N(Q418)&gt;=3,"⚠ 3er contrato a plazo fijo: por ley ya es INDEFINIDO (Art. 159 N°4)",IF(AND(E418="Plazo fijo",ISNUMBER(G418),(G418-F418+1)/30.4375&gt;12),"⚠ Plazo fijo mayor a 1 año (máximo legal)",IF(J418&lt;&gt;"Sí","Pendiente de firma","OK")))))))))</f>
        <v/>
      </c>
      <c r="M418" s="62" t="str">
        <f aca="false">IF(B418="","",IFERROR(VALUE(LEFT(UPPER(SUBSTITUTE(SUBSTITUTE(SUBSTITUTE(TRIM(B418),".",""),"-","")," ","")),LEN(UPPER(SUBSTITUTE(SUBSTITUTE(SUBSTITUTE(TRIM(B418),".",""),"-","")," ","")))-1))&amp;RIGHT(UPPER(SUBSTITUTE(SUBSTITUTE(SUBSTITUTE(TRIM(B418),".",""),"-","")," ","")),1),UPPER(SUBSTITUTE(SUBSTITUTE(SUBSTITUTE(TRIM(B418),".",""),"-","")," ",""))))</f>
        <v/>
      </c>
      <c r="N418" s="62" t="str">
        <f aca="false">IF(B418="","",IF(D418="Anexo de modificación","No","Sí"))</f>
        <v/>
      </c>
      <c r="O418" s="62" t="str">
        <f aca="false">IF(AND(N418="Sí",ISNUMBER(F418)),COUNTIFS(C_RUTN,M418,C_DEF,"Sí",C_INI,"&lt;"&amp;F418)+COUNTIFS(M$7:M418,M418,N$7:N418,"Sí",F$7:F418,F418),"")</f>
        <v/>
      </c>
      <c r="P418" s="62" t="str">
        <f aca="false">IF(O418="","",M418&amp;"-P"&amp;O418)</f>
        <v/>
      </c>
      <c r="Q418" s="62" t="str">
        <f aca="false">IF(AND(N418="Sí",E418="Plazo fijo",ISNUMBER(F418)),COUNTIFS(C_RUTN,M418,C_TIPO,"Plazo fijo",C_DEF,"Sí",C_INI,"&lt;"&amp;F418)+COUNTIFS(M$7:M418,M418,E$7:E418,"Plazo fijo",N$7:N418,"Sí",F$7:F418,F418),"")</f>
        <v/>
      </c>
      <c r="R418" s="62" t="str">
        <f aca="false">IF(AND(B418&lt;&gt;"",ISNUMBER(H418),ISNUMBER(F418)),COUNTIFS(C_RUTN,M418,C_SUELDO,"&lt;&gt;",C_INI,"&lt;"&amp;F418)+COUNTIFS(M$7:M418,M418,H$7:H418,"&lt;&gt;",F$7:F418,F418),"")</f>
        <v/>
      </c>
      <c r="S418" s="62" t="str">
        <f aca="false">IF(R418="","",M418&amp;"-S"&amp;R418)</f>
        <v/>
      </c>
    </row>
    <row r="419" customFormat="false" ht="15" hidden="false" customHeight="false" outlineLevel="0" collapsed="false">
      <c r="B419" s="58"/>
      <c r="C419" s="62" t="str">
        <f aca="false">IF(B419="","",IFERROR(INDEX(T_NOMBRE,MATCH(M419,T_RUTN,0)),"⚠ RUT no está en Trabajadores"))</f>
        <v/>
      </c>
      <c r="D419" s="58"/>
      <c r="E419" s="58"/>
      <c r="F419" s="59"/>
      <c r="G419" s="59"/>
      <c r="H419" s="60"/>
      <c r="I419" s="58"/>
      <c r="J419" s="58"/>
      <c r="K419" s="58"/>
      <c r="L419" s="62" t="str">
        <f aca="false">IF(B419="","",IF(LEFT(C419,1)="⚠","⚠ Registre primero al trabajador en la hoja Trabajadores",IF(AND(N419="Sí",OR(E419="",NOT(ISNUMBER(F419)))),"⚠ Falta tipo de contrato o fecha de inicio",IF(NOT(ISNUMBER(F419)),"⚠ Falta fecha de inicio",IF(AND(N419="Sí",E419&lt;&gt;"Indefinido",NOT(ISNUMBER(G419))),"⚠ Falta fecha de término",IF(AND(D419="Paso a indefinido",E419&lt;&gt;"Indefinido"),"⚠ Un paso a indefinido debe tener tipo Indefinido",IF(N(Q419)&gt;=3,"⚠ 3er contrato a plazo fijo: por ley ya es INDEFINIDO (Art. 159 N°4)",IF(AND(E419="Plazo fijo",ISNUMBER(G419),(G419-F419+1)/30.4375&gt;12),"⚠ Plazo fijo mayor a 1 año (máximo legal)",IF(J419&lt;&gt;"Sí","Pendiente de firma","OK")))))))))</f>
        <v/>
      </c>
      <c r="M419" s="62" t="str">
        <f aca="false">IF(B419="","",IFERROR(VALUE(LEFT(UPPER(SUBSTITUTE(SUBSTITUTE(SUBSTITUTE(TRIM(B419),".",""),"-","")," ","")),LEN(UPPER(SUBSTITUTE(SUBSTITUTE(SUBSTITUTE(TRIM(B419),".",""),"-","")," ","")))-1))&amp;RIGHT(UPPER(SUBSTITUTE(SUBSTITUTE(SUBSTITUTE(TRIM(B419),".",""),"-","")," ","")),1),UPPER(SUBSTITUTE(SUBSTITUTE(SUBSTITUTE(TRIM(B419),".",""),"-","")," ",""))))</f>
        <v/>
      </c>
      <c r="N419" s="62" t="str">
        <f aca="false">IF(B419="","",IF(D419="Anexo de modificación","No","Sí"))</f>
        <v/>
      </c>
      <c r="O419" s="62" t="str">
        <f aca="false">IF(AND(N419="Sí",ISNUMBER(F419)),COUNTIFS(C_RUTN,M419,C_DEF,"Sí",C_INI,"&lt;"&amp;F419)+COUNTIFS(M$7:M419,M419,N$7:N419,"Sí",F$7:F419,F419),"")</f>
        <v/>
      </c>
      <c r="P419" s="62" t="str">
        <f aca="false">IF(O419="","",M419&amp;"-P"&amp;O419)</f>
        <v/>
      </c>
      <c r="Q419" s="62" t="str">
        <f aca="false">IF(AND(N419="Sí",E419="Plazo fijo",ISNUMBER(F419)),COUNTIFS(C_RUTN,M419,C_TIPO,"Plazo fijo",C_DEF,"Sí",C_INI,"&lt;"&amp;F419)+COUNTIFS(M$7:M419,M419,E$7:E419,"Plazo fijo",N$7:N419,"Sí",F$7:F419,F419),"")</f>
        <v/>
      </c>
      <c r="R419" s="62" t="str">
        <f aca="false">IF(AND(B419&lt;&gt;"",ISNUMBER(H419),ISNUMBER(F419)),COUNTIFS(C_RUTN,M419,C_SUELDO,"&lt;&gt;",C_INI,"&lt;"&amp;F419)+COUNTIFS(M$7:M419,M419,H$7:H419,"&lt;&gt;",F$7:F419,F419),"")</f>
        <v/>
      </c>
      <c r="S419" s="62" t="str">
        <f aca="false">IF(R419="","",M419&amp;"-S"&amp;R419)</f>
        <v/>
      </c>
    </row>
    <row r="420" customFormat="false" ht="15" hidden="false" customHeight="false" outlineLevel="0" collapsed="false">
      <c r="B420" s="58"/>
      <c r="C420" s="62" t="str">
        <f aca="false">IF(B420="","",IFERROR(INDEX(T_NOMBRE,MATCH(M420,T_RUTN,0)),"⚠ RUT no está en Trabajadores"))</f>
        <v/>
      </c>
      <c r="D420" s="58"/>
      <c r="E420" s="58"/>
      <c r="F420" s="59"/>
      <c r="G420" s="59"/>
      <c r="H420" s="60"/>
      <c r="I420" s="58"/>
      <c r="J420" s="58"/>
      <c r="K420" s="58"/>
      <c r="L420" s="62" t="str">
        <f aca="false">IF(B420="","",IF(LEFT(C420,1)="⚠","⚠ Registre primero al trabajador en la hoja Trabajadores",IF(AND(N420="Sí",OR(E420="",NOT(ISNUMBER(F420)))),"⚠ Falta tipo de contrato o fecha de inicio",IF(NOT(ISNUMBER(F420)),"⚠ Falta fecha de inicio",IF(AND(N420="Sí",E420&lt;&gt;"Indefinido",NOT(ISNUMBER(G420))),"⚠ Falta fecha de término",IF(AND(D420="Paso a indefinido",E420&lt;&gt;"Indefinido"),"⚠ Un paso a indefinido debe tener tipo Indefinido",IF(N(Q420)&gt;=3,"⚠ 3er contrato a plazo fijo: por ley ya es INDEFINIDO (Art. 159 N°4)",IF(AND(E420="Plazo fijo",ISNUMBER(G420),(G420-F420+1)/30.4375&gt;12),"⚠ Plazo fijo mayor a 1 año (máximo legal)",IF(J420&lt;&gt;"Sí","Pendiente de firma","OK")))))))))</f>
        <v/>
      </c>
      <c r="M420" s="62" t="str">
        <f aca="false">IF(B420="","",IFERROR(VALUE(LEFT(UPPER(SUBSTITUTE(SUBSTITUTE(SUBSTITUTE(TRIM(B420),".",""),"-","")," ","")),LEN(UPPER(SUBSTITUTE(SUBSTITUTE(SUBSTITUTE(TRIM(B420),".",""),"-","")," ","")))-1))&amp;RIGHT(UPPER(SUBSTITUTE(SUBSTITUTE(SUBSTITUTE(TRIM(B420),".",""),"-","")," ","")),1),UPPER(SUBSTITUTE(SUBSTITUTE(SUBSTITUTE(TRIM(B420),".",""),"-","")," ",""))))</f>
        <v/>
      </c>
      <c r="N420" s="62" t="str">
        <f aca="false">IF(B420="","",IF(D420="Anexo de modificación","No","Sí"))</f>
        <v/>
      </c>
      <c r="O420" s="62" t="str">
        <f aca="false">IF(AND(N420="Sí",ISNUMBER(F420)),COUNTIFS(C_RUTN,M420,C_DEF,"Sí",C_INI,"&lt;"&amp;F420)+COUNTIFS(M$7:M420,M420,N$7:N420,"Sí",F$7:F420,F420),"")</f>
        <v/>
      </c>
      <c r="P420" s="62" t="str">
        <f aca="false">IF(O420="","",M420&amp;"-P"&amp;O420)</f>
        <v/>
      </c>
      <c r="Q420" s="62" t="str">
        <f aca="false">IF(AND(N420="Sí",E420="Plazo fijo",ISNUMBER(F420)),COUNTIFS(C_RUTN,M420,C_TIPO,"Plazo fijo",C_DEF,"Sí",C_INI,"&lt;"&amp;F420)+COUNTIFS(M$7:M420,M420,E$7:E420,"Plazo fijo",N$7:N420,"Sí",F$7:F420,F420),"")</f>
        <v/>
      </c>
      <c r="R420" s="62" t="str">
        <f aca="false">IF(AND(B420&lt;&gt;"",ISNUMBER(H420),ISNUMBER(F420)),COUNTIFS(C_RUTN,M420,C_SUELDO,"&lt;&gt;",C_INI,"&lt;"&amp;F420)+COUNTIFS(M$7:M420,M420,H$7:H420,"&lt;&gt;",F$7:F420,F420),"")</f>
        <v/>
      </c>
      <c r="S420" s="62" t="str">
        <f aca="false">IF(R420="","",M420&amp;"-S"&amp;R420)</f>
        <v/>
      </c>
    </row>
    <row r="421" customFormat="false" ht="15" hidden="false" customHeight="false" outlineLevel="0" collapsed="false">
      <c r="B421" s="58"/>
      <c r="C421" s="62" t="str">
        <f aca="false">IF(B421="","",IFERROR(INDEX(T_NOMBRE,MATCH(M421,T_RUTN,0)),"⚠ RUT no está en Trabajadores"))</f>
        <v/>
      </c>
      <c r="D421" s="58"/>
      <c r="E421" s="58"/>
      <c r="F421" s="59"/>
      <c r="G421" s="59"/>
      <c r="H421" s="60"/>
      <c r="I421" s="58"/>
      <c r="J421" s="58"/>
      <c r="K421" s="58"/>
      <c r="L421" s="62" t="str">
        <f aca="false">IF(B421="","",IF(LEFT(C421,1)="⚠","⚠ Registre primero al trabajador en la hoja Trabajadores",IF(AND(N421="Sí",OR(E421="",NOT(ISNUMBER(F421)))),"⚠ Falta tipo de contrato o fecha de inicio",IF(NOT(ISNUMBER(F421)),"⚠ Falta fecha de inicio",IF(AND(N421="Sí",E421&lt;&gt;"Indefinido",NOT(ISNUMBER(G421))),"⚠ Falta fecha de término",IF(AND(D421="Paso a indefinido",E421&lt;&gt;"Indefinido"),"⚠ Un paso a indefinido debe tener tipo Indefinido",IF(N(Q421)&gt;=3,"⚠ 3er contrato a plazo fijo: por ley ya es INDEFINIDO (Art. 159 N°4)",IF(AND(E421="Plazo fijo",ISNUMBER(G421),(G421-F421+1)/30.4375&gt;12),"⚠ Plazo fijo mayor a 1 año (máximo legal)",IF(J421&lt;&gt;"Sí","Pendiente de firma","OK")))))))))</f>
        <v/>
      </c>
      <c r="M421" s="62" t="str">
        <f aca="false">IF(B421="","",IFERROR(VALUE(LEFT(UPPER(SUBSTITUTE(SUBSTITUTE(SUBSTITUTE(TRIM(B421),".",""),"-","")," ","")),LEN(UPPER(SUBSTITUTE(SUBSTITUTE(SUBSTITUTE(TRIM(B421),".",""),"-","")," ","")))-1))&amp;RIGHT(UPPER(SUBSTITUTE(SUBSTITUTE(SUBSTITUTE(TRIM(B421),".",""),"-","")," ","")),1),UPPER(SUBSTITUTE(SUBSTITUTE(SUBSTITUTE(TRIM(B421),".",""),"-","")," ",""))))</f>
        <v/>
      </c>
      <c r="N421" s="62" t="str">
        <f aca="false">IF(B421="","",IF(D421="Anexo de modificación","No","Sí"))</f>
        <v/>
      </c>
      <c r="O421" s="62" t="str">
        <f aca="false">IF(AND(N421="Sí",ISNUMBER(F421)),COUNTIFS(C_RUTN,M421,C_DEF,"Sí",C_INI,"&lt;"&amp;F421)+COUNTIFS(M$7:M421,M421,N$7:N421,"Sí",F$7:F421,F421),"")</f>
        <v/>
      </c>
      <c r="P421" s="62" t="str">
        <f aca="false">IF(O421="","",M421&amp;"-P"&amp;O421)</f>
        <v/>
      </c>
      <c r="Q421" s="62" t="str">
        <f aca="false">IF(AND(N421="Sí",E421="Plazo fijo",ISNUMBER(F421)),COUNTIFS(C_RUTN,M421,C_TIPO,"Plazo fijo",C_DEF,"Sí",C_INI,"&lt;"&amp;F421)+COUNTIFS(M$7:M421,M421,E$7:E421,"Plazo fijo",N$7:N421,"Sí",F$7:F421,F421),"")</f>
        <v/>
      </c>
      <c r="R421" s="62" t="str">
        <f aca="false">IF(AND(B421&lt;&gt;"",ISNUMBER(H421),ISNUMBER(F421)),COUNTIFS(C_RUTN,M421,C_SUELDO,"&lt;&gt;",C_INI,"&lt;"&amp;F421)+COUNTIFS(M$7:M421,M421,H$7:H421,"&lt;&gt;",F$7:F421,F421),"")</f>
        <v/>
      </c>
      <c r="S421" s="62" t="str">
        <f aca="false">IF(R421="","",M421&amp;"-S"&amp;R421)</f>
        <v/>
      </c>
    </row>
    <row r="422" customFormat="false" ht="15" hidden="false" customHeight="false" outlineLevel="0" collapsed="false">
      <c r="B422" s="58"/>
      <c r="C422" s="62" t="str">
        <f aca="false">IF(B422="","",IFERROR(INDEX(T_NOMBRE,MATCH(M422,T_RUTN,0)),"⚠ RUT no está en Trabajadores"))</f>
        <v/>
      </c>
      <c r="D422" s="58"/>
      <c r="E422" s="58"/>
      <c r="F422" s="59"/>
      <c r="G422" s="59"/>
      <c r="H422" s="60"/>
      <c r="I422" s="58"/>
      <c r="J422" s="58"/>
      <c r="K422" s="58"/>
      <c r="L422" s="62" t="str">
        <f aca="false">IF(B422="","",IF(LEFT(C422,1)="⚠","⚠ Registre primero al trabajador en la hoja Trabajadores",IF(AND(N422="Sí",OR(E422="",NOT(ISNUMBER(F422)))),"⚠ Falta tipo de contrato o fecha de inicio",IF(NOT(ISNUMBER(F422)),"⚠ Falta fecha de inicio",IF(AND(N422="Sí",E422&lt;&gt;"Indefinido",NOT(ISNUMBER(G422))),"⚠ Falta fecha de término",IF(AND(D422="Paso a indefinido",E422&lt;&gt;"Indefinido"),"⚠ Un paso a indefinido debe tener tipo Indefinido",IF(N(Q422)&gt;=3,"⚠ 3er contrato a plazo fijo: por ley ya es INDEFINIDO (Art. 159 N°4)",IF(AND(E422="Plazo fijo",ISNUMBER(G422),(G422-F422+1)/30.4375&gt;12),"⚠ Plazo fijo mayor a 1 año (máximo legal)",IF(J422&lt;&gt;"Sí","Pendiente de firma","OK")))))))))</f>
        <v/>
      </c>
      <c r="M422" s="62" t="str">
        <f aca="false">IF(B422="","",IFERROR(VALUE(LEFT(UPPER(SUBSTITUTE(SUBSTITUTE(SUBSTITUTE(TRIM(B422),".",""),"-","")," ","")),LEN(UPPER(SUBSTITUTE(SUBSTITUTE(SUBSTITUTE(TRIM(B422),".",""),"-","")," ","")))-1))&amp;RIGHT(UPPER(SUBSTITUTE(SUBSTITUTE(SUBSTITUTE(TRIM(B422),".",""),"-","")," ","")),1),UPPER(SUBSTITUTE(SUBSTITUTE(SUBSTITUTE(TRIM(B422),".",""),"-","")," ",""))))</f>
        <v/>
      </c>
      <c r="N422" s="62" t="str">
        <f aca="false">IF(B422="","",IF(D422="Anexo de modificación","No","Sí"))</f>
        <v/>
      </c>
      <c r="O422" s="62" t="str">
        <f aca="false">IF(AND(N422="Sí",ISNUMBER(F422)),COUNTIFS(C_RUTN,M422,C_DEF,"Sí",C_INI,"&lt;"&amp;F422)+COUNTIFS(M$7:M422,M422,N$7:N422,"Sí",F$7:F422,F422),"")</f>
        <v/>
      </c>
      <c r="P422" s="62" t="str">
        <f aca="false">IF(O422="","",M422&amp;"-P"&amp;O422)</f>
        <v/>
      </c>
      <c r="Q422" s="62" t="str">
        <f aca="false">IF(AND(N422="Sí",E422="Plazo fijo",ISNUMBER(F422)),COUNTIFS(C_RUTN,M422,C_TIPO,"Plazo fijo",C_DEF,"Sí",C_INI,"&lt;"&amp;F422)+COUNTIFS(M$7:M422,M422,E$7:E422,"Plazo fijo",N$7:N422,"Sí",F$7:F422,F422),"")</f>
        <v/>
      </c>
      <c r="R422" s="62" t="str">
        <f aca="false">IF(AND(B422&lt;&gt;"",ISNUMBER(H422),ISNUMBER(F422)),COUNTIFS(C_RUTN,M422,C_SUELDO,"&lt;&gt;",C_INI,"&lt;"&amp;F422)+COUNTIFS(M$7:M422,M422,H$7:H422,"&lt;&gt;",F$7:F422,F422),"")</f>
        <v/>
      </c>
      <c r="S422" s="62" t="str">
        <f aca="false">IF(R422="","",M422&amp;"-S"&amp;R422)</f>
        <v/>
      </c>
    </row>
    <row r="423" customFormat="false" ht="15" hidden="false" customHeight="false" outlineLevel="0" collapsed="false">
      <c r="B423" s="58"/>
      <c r="C423" s="62" t="str">
        <f aca="false">IF(B423="","",IFERROR(INDEX(T_NOMBRE,MATCH(M423,T_RUTN,0)),"⚠ RUT no está en Trabajadores"))</f>
        <v/>
      </c>
      <c r="D423" s="58"/>
      <c r="E423" s="58"/>
      <c r="F423" s="59"/>
      <c r="G423" s="59"/>
      <c r="H423" s="60"/>
      <c r="I423" s="58"/>
      <c r="J423" s="58"/>
      <c r="K423" s="58"/>
      <c r="L423" s="62" t="str">
        <f aca="false">IF(B423="","",IF(LEFT(C423,1)="⚠","⚠ Registre primero al trabajador en la hoja Trabajadores",IF(AND(N423="Sí",OR(E423="",NOT(ISNUMBER(F423)))),"⚠ Falta tipo de contrato o fecha de inicio",IF(NOT(ISNUMBER(F423)),"⚠ Falta fecha de inicio",IF(AND(N423="Sí",E423&lt;&gt;"Indefinido",NOT(ISNUMBER(G423))),"⚠ Falta fecha de término",IF(AND(D423="Paso a indefinido",E423&lt;&gt;"Indefinido"),"⚠ Un paso a indefinido debe tener tipo Indefinido",IF(N(Q423)&gt;=3,"⚠ 3er contrato a plazo fijo: por ley ya es INDEFINIDO (Art. 159 N°4)",IF(AND(E423="Plazo fijo",ISNUMBER(G423),(G423-F423+1)/30.4375&gt;12),"⚠ Plazo fijo mayor a 1 año (máximo legal)",IF(J423&lt;&gt;"Sí","Pendiente de firma","OK")))))))))</f>
        <v/>
      </c>
      <c r="M423" s="62" t="str">
        <f aca="false">IF(B423="","",IFERROR(VALUE(LEFT(UPPER(SUBSTITUTE(SUBSTITUTE(SUBSTITUTE(TRIM(B423),".",""),"-","")," ","")),LEN(UPPER(SUBSTITUTE(SUBSTITUTE(SUBSTITUTE(TRIM(B423),".",""),"-","")," ","")))-1))&amp;RIGHT(UPPER(SUBSTITUTE(SUBSTITUTE(SUBSTITUTE(TRIM(B423),".",""),"-","")," ","")),1),UPPER(SUBSTITUTE(SUBSTITUTE(SUBSTITUTE(TRIM(B423),".",""),"-","")," ",""))))</f>
        <v/>
      </c>
      <c r="N423" s="62" t="str">
        <f aca="false">IF(B423="","",IF(D423="Anexo de modificación","No","Sí"))</f>
        <v/>
      </c>
      <c r="O423" s="62" t="str">
        <f aca="false">IF(AND(N423="Sí",ISNUMBER(F423)),COUNTIFS(C_RUTN,M423,C_DEF,"Sí",C_INI,"&lt;"&amp;F423)+COUNTIFS(M$7:M423,M423,N$7:N423,"Sí",F$7:F423,F423),"")</f>
        <v/>
      </c>
      <c r="P423" s="62" t="str">
        <f aca="false">IF(O423="","",M423&amp;"-P"&amp;O423)</f>
        <v/>
      </c>
      <c r="Q423" s="62" t="str">
        <f aca="false">IF(AND(N423="Sí",E423="Plazo fijo",ISNUMBER(F423)),COUNTIFS(C_RUTN,M423,C_TIPO,"Plazo fijo",C_DEF,"Sí",C_INI,"&lt;"&amp;F423)+COUNTIFS(M$7:M423,M423,E$7:E423,"Plazo fijo",N$7:N423,"Sí",F$7:F423,F423),"")</f>
        <v/>
      </c>
      <c r="R423" s="62" t="str">
        <f aca="false">IF(AND(B423&lt;&gt;"",ISNUMBER(H423),ISNUMBER(F423)),COUNTIFS(C_RUTN,M423,C_SUELDO,"&lt;&gt;",C_INI,"&lt;"&amp;F423)+COUNTIFS(M$7:M423,M423,H$7:H423,"&lt;&gt;",F$7:F423,F423),"")</f>
        <v/>
      </c>
      <c r="S423" s="62" t="str">
        <f aca="false">IF(R423="","",M423&amp;"-S"&amp;R423)</f>
        <v/>
      </c>
    </row>
    <row r="424" customFormat="false" ht="15" hidden="false" customHeight="false" outlineLevel="0" collapsed="false">
      <c r="B424" s="58"/>
      <c r="C424" s="62" t="str">
        <f aca="false">IF(B424="","",IFERROR(INDEX(T_NOMBRE,MATCH(M424,T_RUTN,0)),"⚠ RUT no está en Trabajadores"))</f>
        <v/>
      </c>
      <c r="D424" s="58"/>
      <c r="E424" s="58"/>
      <c r="F424" s="59"/>
      <c r="G424" s="59"/>
      <c r="H424" s="60"/>
      <c r="I424" s="58"/>
      <c r="J424" s="58"/>
      <c r="K424" s="58"/>
      <c r="L424" s="62" t="str">
        <f aca="false">IF(B424="","",IF(LEFT(C424,1)="⚠","⚠ Registre primero al trabajador en la hoja Trabajadores",IF(AND(N424="Sí",OR(E424="",NOT(ISNUMBER(F424)))),"⚠ Falta tipo de contrato o fecha de inicio",IF(NOT(ISNUMBER(F424)),"⚠ Falta fecha de inicio",IF(AND(N424="Sí",E424&lt;&gt;"Indefinido",NOT(ISNUMBER(G424))),"⚠ Falta fecha de término",IF(AND(D424="Paso a indefinido",E424&lt;&gt;"Indefinido"),"⚠ Un paso a indefinido debe tener tipo Indefinido",IF(N(Q424)&gt;=3,"⚠ 3er contrato a plazo fijo: por ley ya es INDEFINIDO (Art. 159 N°4)",IF(AND(E424="Plazo fijo",ISNUMBER(G424),(G424-F424+1)/30.4375&gt;12),"⚠ Plazo fijo mayor a 1 año (máximo legal)",IF(J424&lt;&gt;"Sí","Pendiente de firma","OK")))))))))</f>
        <v/>
      </c>
      <c r="M424" s="62" t="str">
        <f aca="false">IF(B424="","",IFERROR(VALUE(LEFT(UPPER(SUBSTITUTE(SUBSTITUTE(SUBSTITUTE(TRIM(B424),".",""),"-","")," ","")),LEN(UPPER(SUBSTITUTE(SUBSTITUTE(SUBSTITUTE(TRIM(B424),".",""),"-","")," ","")))-1))&amp;RIGHT(UPPER(SUBSTITUTE(SUBSTITUTE(SUBSTITUTE(TRIM(B424),".",""),"-","")," ","")),1),UPPER(SUBSTITUTE(SUBSTITUTE(SUBSTITUTE(TRIM(B424),".",""),"-","")," ",""))))</f>
        <v/>
      </c>
      <c r="N424" s="62" t="str">
        <f aca="false">IF(B424="","",IF(D424="Anexo de modificación","No","Sí"))</f>
        <v/>
      </c>
      <c r="O424" s="62" t="str">
        <f aca="false">IF(AND(N424="Sí",ISNUMBER(F424)),COUNTIFS(C_RUTN,M424,C_DEF,"Sí",C_INI,"&lt;"&amp;F424)+COUNTIFS(M$7:M424,M424,N$7:N424,"Sí",F$7:F424,F424),"")</f>
        <v/>
      </c>
      <c r="P424" s="62" t="str">
        <f aca="false">IF(O424="","",M424&amp;"-P"&amp;O424)</f>
        <v/>
      </c>
      <c r="Q424" s="62" t="str">
        <f aca="false">IF(AND(N424="Sí",E424="Plazo fijo",ISNUMBER(F424)),COUNTIFS(C_RUTN,M424,C_TIPO,"Plazo fijo",C_DEF,"Sí",C_INI,"&lt;"&amp;F424)+COUNTIFS(M$7:M424,M424,E$7:E424,"Plazo fijo",N$7:N424,"Sí",F$7:F424,F424),"")</f>
        <v/>
      </c>
      <c r="R424" s="62" t="str">
        <f aca="false">IF(AND(B424&lt;&gt;"",ISNUMBER(H424),ISNUMBER(F424)),COUNTIFS(C_RUTN,M424,C_SUELDO,"&lt;&gt;",C_INI,"&lt;"&amp;F424)+COUNTIFS(M$7:M424,M424,H$7:H424,"&lt;&gt;",F$7:F424,F424),"")</f>
        <v/>
      </c>
      <c r="S424" s="62" t="str">
        <f aca="false">IF(R424="","",M424&amp;"-S"&amp;R424)</f>
        <v/>
      </c>
    </row>
    <row r="425" customFormat="false" ht="15" hidden="false" customHeight="false" outlineLevel="0" collapsed="false">
      <c r="B425" s="58"/>
      <c r="C425" s="62" t="str">
        <f aca="false">IF(B425="","",IFERROR(INDEX(T_NOMBRE,MATCH(M425,T_RUTN,0)),"⚠ RUT no está en Trabajadores"))</f>
        <v/>
      </c>
      <c r="D425" s="58"/>
      <c r="E425" s="58"/>
      <c r="F425" s="59"/>
      <c r="G425" s="59"/>
      <c r="H425" s="60"/>
      <c r="I425" s="58"/>
      <c r="J425" s="58"/>
      <c r="K425" s="58"/>
      <c r="L425" s="62" t="str">
        <f aca="false">IF(B425="","",IF(LEFT(C425,1)="⚠","⚠ Registre primero al trabajador en la hoja Trabajadores",IF(AND(N425="Sí",OR(E425="",NOT(ISNUMBER(F425)))),"⚠ Falta tipo de contrato o fecha de inicio",IF(NOT(ISNUMBER(F425)),"⚠ Falta fecha de inicio",IF(AND(N425="Sí",E425&lt;&gt;"Indefinido",NOT(ISNUMBER(G425))),"⚠ Falta fecha de término",IF(AND(D425="Paso a indefinido",E425&lt;&gt;"Indefinido"),"⚠ Un paso a indefinido debe tener tipo Indefinido",IF(N(Q425)&gt;=3,"⚠ 3er contrato a plazo fijo: por ley ya es INDEFINIDO (Art. 159 N°4)",IF(AND(E425="Plazo fijo",ISNUMBER(G425),(G425-F425+1)/30.4375&gt;12),"⚠ Plazo fijo mayor a 1 año (máximo legal)",IF(J425&lt;&gt;"Sí","Pendiente de firma","OK")))))))))</f>
        <v/>
      </c>
      <c r="M425" s="62" t="str">
        <f aca="false">IF(B425="","",IFERROR(VALUE(LEFT(UPPER(SUBSTITUTE(SUBSTITUTE(SUBSTITUTE(TRIM(B425),".",""),"-","")," ","")),LEN(UPPER(SUBSTITUTE(SUBSTITUTE(SUBSTITUTE(TRIM(B425),".",""),"-","")," ","")))-1))&amp;RIGHT(UPPER(SUBSTITUTE(SUBSTITUTE(SUBSTITUTE(TRIM(B425),".",""),"-","")," ","")),1),UPPER(SUBSTITUTE(SUBSTITUTE(SUBSTITUTE(TRIM(B425),".",""),"-","")," ",""))))</f>
        <v/>
      </c>
      <c r="N425" s="62" t="str">
        <f aca="false">IF(B425="","",IF(D425="Anexo de modificación","No","Sí"))</f>
        <v/>
      </c>
      <c r="O425" s="62" t="str">
        <f aca="false">IF(AND(N425="Sí",ISNUMBER(F425)),COUNTIFS(C_RUTN,M425,C_DEF,"Sí",C_INI,"&lt;"&amp;F425)+COUNTIFS(M$7:M425,M425,N$7:N425,"Sí",F$7:F425,F425),"")</f>
        <v/>
      </c>
      <c r="P425" s="62" t="str">
        <f aca="false">IF(O425="","",M425&amp;"-P"&amp;O425)</f>
        <v/>
      </c>
      <c r="Q425" s="62" t="str">
        <f aca="false">IF(AND(N425="Sí",E425="Plazo fijo",ISNUMBER(F425)),COUNTIFS(C_RUTN,M425,C_TIPO,"Plazo fijo",C_DEF,"Sí",C_INI,"&lt;"&amp;F425)+COUNTIFS(M$7:M425,M425,E$7:E425,"Plazo fijo",N$7:N425,"Sí",F$7:F425,F425),"")</f>
        <v/>
      </c>
      <c r="R425" s="62" t="str">
        <f aca="false">IF(AND(B425&lt;&gt;"",ISNUMBER(H425),ISNUMBER(F425)),COUNTIFS(C_RUTN,M425,C_SUELDO,"&lt;&gt;",C_INI,"&lt;"&amp;F425)+COUNTIFS(M$7:M425,M425,H$7:H425,"&lt;&gt;",F$7:F425,F425),"")</f>
        <v/>
      </c>
      <c r="S425" s="62" t="str">
        <f aca="false">IF(R425="","",M425&amp;"-S"&amp;R425)</f>
        <v/>
      </c>
    </row>
    <row r="426" customFormat="false" ht="15" hidden="false" customHeight="false" outlineLevel="0" collapsed="false">
      <c r="B426" s="58"/>
      <c r="C426" s="62" t="str">
        <f aca="false">IF(B426="","",IFERROR(INDEX(T_NOMBRE,MATCH(M426,T_RUTN,0)),"⚠ RUT no está en Trabajadores"))</f>
        <v/>
      </c>
      <c r="D426" s="58"/>
      <c r="E426" s="58"/>
      <c r="F426" s="59"/>
      <c r="G426" s="59"/>
      <c r="H426" s="60"/>
      <c r="I426" s="58"/>
      <c r="J426" s="58"/>
      <c r="K426" s="58"/>
      <c r="L426" s="62" t="str">
        <f aca="false">IF(B426="","",IF(LEFT(C426,1)="⚠","⚠ Registre primero al trabajador en la hoja Trabajadores",IF(AND(N426="Sí",OR(E426="",NOT(ISNUMBER(F426)))),"⚠ Falta tipo de contrato o fecha de inicio",IF(NOT(ISNUMBER(F426)),"⚠ Falta fecha de inicio",IF(AND(N426="Sí",E426&lt;&gt;"Indefinido",NOT(ISNUMBER(G426))),"⚠ Falta fecha de término",IF(AND(D426="Paso a indefinido",E426&lt;&gt;"Indefinido"),"⚠ Un paso a indefinido debe tener tipo Indefinido",IF(N(Q426)&gt;=3,"⚠ 3er contrato a plazo fijo: por ley ya es INDEFINIDO (Art. 159 N°4)",IF(AND(E426="Plazo fijo",ISNUMBER(G426),(G426-F426+1)/30.4375&gt;12),"⚠ Plazo fijo mayor a 1 año (máximo legal)",IF(J426&lt;&gt;"Sí","Pendiente de firma","OK")))))))))</f>
        <v/>
      </c>
      <c r="M426" s="62" t="str">
        <f aca="false">IF(B426="","",IFERROR(VALUE(LEFT(UPPER(SUBSTITUTE(SUBSTITUTE(SUBSTITUTE(TRIM(B426),".",""),"-","")," ","")),LEN(UPPER(SUBSTITUTE(SUBSTITUTE(SUBSTITUTE(TRIM(B426),".",""),"-","")," ","")))-1))&amp;RIGHT(UPPER(SUBSTITUTE(SUBSTITUTE(SUBSTITUTE(TRIM(B426),".",""),"-","")," ","")),1),UPPER(SUBSTITUTE(SUBSTITUTE(SUBSTITUTE(TRIM(B426),".",""),"-","")," ",""))))</f>
        <v/>
      </c>
      <c r="N426" s="62" t="str">
        <f aca="false">IF(B426="","",IF(D426="Anexo de modificación","No","Sí"))</f>
        <v/>
      </c>
      <c r="O426" s="62" t="str">
        <f aca="false">IF(AND(N426="Sí",ISNUMBER(F426)),COUNTIFS(C_RUTN,M426,C_DEF,"Sí",C_INI,"&lt;"&amp;F426)+COUNTIFS(M$7:M426,M426,N$7:N426,"Sí",F$7:F426,F426),"")</f>
        <v/>
      </c>
      <c r="P426" s="62" t="str">
        <f aca="false">IF(O426="","",M426&amp;"-P"&amp;O426)</f>
        <v/>
      </c>
      <c r="Q426" s="62" t="str">
        <f aca="false">IF(AND(N426="Sí",E426="Plazo fijo",ISNUMBER(F426)),COUNTIFS(C_RUTN,M426,C_TIPO,"Plazo fijo",C_DEF,"Sí",C_INI,"&lt;"&amp;F426)+COUNTIFS(M$7:M426,M426,E$7:E426,"Plazo fijo",N$7:N426,"Sí",F$7:F426,F426),"")</f>
        <v/>
      </c>
      <c r="R426" s="62" t="str">
        <f aca="false">IF(AND(B426&lt;&gt;"",ISNUMBER(H426),ISNUMBER(F426)),COUNTIFS(C_RUTN,M426,C_SUELDO,"&lt;&gt;",C_INI,"&lt;"&amp;F426)+COUNTIFS(M$7:M426,M426,H$7:H426,"&lt;&gt;",F$7:F426,F426),"")</f>
        <v/>
      </c>
      <c r="S426" s="62" t="str">
        <f aca="false">IF(R426="","",M426&amp;"-S"&amp;R426)</f>
        <v/>
      </c>
    </row>
    <row r="427" customFormat="false" ht="15" hidden="false" customHeight="false" outlineLevel="0" collapsed="false">
      <c r="B427" s="58"/>
      <c r="C427" s="62" t="str">
        <f aca="false">IF(B427="","",IFERROR(INDEX(T_NOMBRE,MATCH(M427,T_RUTN,0)),"⚠ RUT no está en Trabajadores"))</f>
        <v/>
      </c>
      <c r="D427" s="58"/>
      <c r="E427" s="58"/>
      <c r="F427" s="59"/>
      <c r="G427" s="59"/>
      <c r="H427" s="60"/>
      <c r="I427" s="58"/>
      <c r="J427" s="58"/>
      <c r="K427" s="58"/>
      <c r="L427" s="62" t="str">
        <f aca="false">IF(B427="","",IF(LEFT(C427,1)="⚠","⚠ Registre primero al trabajador en la hoja Trabajadores",IF(AND(N427="Sí",OR(E427="",NOT(ISNUMBER(F427)))),"⚠ Falta tipo de contrato o fecha de inicio",IF(NOT(ISNUMBER(F427)),"⚠ Falta fecha de inicio",IF(AND(N427="Sí",E427&lt;&gt;"Indefinido",NOT(ISNUMBER(G427))),"⚠ Falta fecha de término",IF(AND(D427="Paso a indefinido",E427&lt;&gt;"Indefinido"),"⚠ Un paso a indefinido debe tener tipo Indefinido",IF(N(Q427)&gt;=3,"⚠ 3er contrato a plazo fijo: por ley ya es INDEFINIDO (Art. 159 N°4)",IF(AND(E427="Plazo fijo",ISNUMBER(G427),(G427-F427+1)/30.4375&gt;12),"⚠ Plazo fijo mayor a 1 año (máximo legal)",IF(J427&lt;&gt;"Sí","Pendiente de firma","OK")))))))))</f>
        <v/>
      </c>
      <c r="M427" s="62" t="str">
        <f aca="false">IF(B427="","",IFERROR(VALUE(LEFT(UPPER(SUBSTITUTE(SUBSTITUTE(SUBSTITUTE(TRIM(B427),".",""),"-","")," ","")),LEN(UPPER(SUBSTITUTE(SUBSTITUTE(SUBSTITUTE(TRIM(B427),".",""),"-","")," ","")))-1))&amp;RIGHT(UPPER(SUBSTITUTE(SUBSTITUTE(SUBSTITUTE(TRIM(B427),".",""),"-","")," ","")),1),UPPER(SUBSTITUTE(SUBSTITUTE(SUBSTITUTE(TRIM(B427),".",""),"-","")," ",""))))</f>
        <v/>
      </c>
      <c r="N427" s="62" t="str">
        <f aca="false">IF(B427="","",IF(D427="Anexo de modificación","No","Sí"))</f>
        <v/>
      </c>
      <c r="O427" s="62" t="str">
        <f aca="false">IF(AND(N427="Sí",ISNUMBER(F427)),COUNTIFS(C_RUTN,M427,C_DEF,"Sí",C_INI,"&lt;"&amp;F427)+COUNTIFS(M$7:M427,M427,N$7:N427,"Sí",F$7:F427,F427),"")</f>
        <v/>
      </c>
      <c r="P427" s="62" t="str">
        <f aca="false">IF(O427="","",M427&amp;"-P"&amp;O427)</f>
        <v/>
      </c>
      <c r="Q427" s="62" t="str">
        <f aca="false">IF(AND(N427="Sí",E427="Plazo fijo",ISNUMBER(F427)),COUNTIFS(C_RUTN,M427,C_TIPO,"Plazo fijo",C_DEF,"Sí",C_INI,"&lt;"&amp;F427)+COUNTIFS(M$7:M427,M427,E$7:E427,"Plazo fijo",N$7:N427,"Sí",F$7:F427,F427),"")</f>
        <v/>
      </c>
      <c r="R427" s="62" t="str">
        <f aca="false">IF(AND(B427&lt;&gt;"",ISNUMBER(H427),ISNUMBER(F427)),COUNTIFS(C_RUTN,M427,C_SUELDO,"&lt;&gt;",C_INI,"&lt;"&amp;F427)+COUNTIFS(M$7:M427,M427,H$7:H427,"&lt;&gt;",F$7:F427,F427),"")</f>
        <v/>
      </c>
      <c r="S427" s="62" t="str">
        <f aca="false">IF(R427="","",M427&amp;"-S"&amp;R427)</f>
        <v/>
      </c>
    </row>
    <row r="428" customFormat="false" ht="15" hidden="false" customHeight="false" outlineLevel="0" collapsed="false">
      <c r="B428" s="58"/>
      <c r="C428" s="62" t="str">
        <f aca="false">IF(B428="","",IFERROR(INDEX(T_NOMBRE,MATCH(M428,T_RUTN,0)),"⚠ RUT no está en Trabajadores"))</f>
        <v/>
      </c>
      <c r="D428" s="58"/>
      <c r="E428" s="58"/>
      <c r="F428" s="59"/>
      <c r="G428" s="59"/>
      <c r="H428" s="60"/>
      <c r="I428" s="58"/>
      <c r="J428" s="58"/>
      <c r="K428" s="58"/>
      <c r="L428" s="62" t="str">
        <f aca="false">IF(B428="","",IF(LEFT(C428,1)="⚠","⚠ Registre primero al trabajador en la hoja Trabajadores",IF(AND(N428="Sí",OR(E428="",NOT(ISNUMBER(F428)))),"⚠ Falta tipo de contrato o fecha de inicio",IF(NOT(ISNUMBER(F428)),"⚠ Falta fecha de inicio",IF(AND(N428="Sí",E428&lt;&gt;"Indefinido",NOT(ISNUMBER(G428))),"⚠ Falta fecha de término",IF(AND(D428="Paso a indefinido",E428&lt;&gt;"Indefinido"),"⚠ Un paso a indefinido debe tener tipo Indefinido",IF(N(Q428)&gt;=3,"⚠ 3er contrato a plazo fijo: por ley ya es INDEFINIDO (Art. 159 N°4)",IF(AND(E428="Plazo fijo",ISNUMBER(G428),(G428-F428+1)/30.4375&gt;12),"⚠ Plazo fijo mayor a 1 año (máximo legal)",IF(J428&lt;&gt;"Sí","Pendiente de firma","OK")))))))))</f>
        <v/>
      </c>
      <c r="M428" s="62" t="str">
        <f aca="false">IF(B428="","",IFERROR(VALUE(LEFT(UPPER(SUBSTITUTE(SUBSTITUTE(SUBSTITUTE(TRIM(B428),".",""),"-","")," ","")),LEN(UPPER(SUBSTITUTE(SUBSTITUTE(SUBSTITUTE(TRIM(B428),".",""),"-","")," ","")))-1))&amp;RIGHT(UPPER(SUBSTITUTE(SUBSTITUTE(SUBSTITUTE(TRIM(B428),".",""),"-","")," ","")),1),UPPER(SUBSTITUTE(SUBSTITUTE(SUBSTITUTE(TRIM(B428),".",""),"-","")," ",""))))</f>
        <v/>
      </c>
      <c r="N428" s="62" t="str">
        <f aca="false">IF(B428="","",IF(D428="Anexo de modificación","No","Sí"))</f>
        <v/>
      </c>
      <c r="O428" s="62" t="str">
        <f aca="false">IF(AND(N428="Sí",ISNUMBER(F428)),COUNTIFS(C_RUTN,M428,C_DEF,"Sí",C_INI,"&lt;"&amp;F428)+COUNTIFS(M$7:M428,M428,N$7:N428,"Sí",F$7:F428,F428),"")</f>
        <v/>
      </c>
      <c r="P428" s="62" t="str">
        <f aca="false">IF(O428="","",M428&amp;"-P"&amp;O428)</f>
        <v/>
      </c>
      <c r="Q428" s="62" t="str">
        <f aca="false">IF(AND(N428="Sí",E428="Plazo fijo",ISNUMBER(F428)),COUNTIFS(C_RUTN,M428,C_TIPO,"Plazo fijo",C_DEF,"Sí",C_INI,"&lt;"&amp;F428)+COUNTIFS(M$7:M428,M428,E$7:E428,"Plazo fijo",N$7:N428,"Sí",F$7:F428,F428),"")</f>
        <v/>
      </c>
      <c r="R428" s="62" t="str">
        <f aca="false">IF(AND(B428&lt;&gt;"",ISNUMBER(H428),ISNUMBER(F428)),COUNTIFS(C_RUTN,M428,C_SUELDO,"&lt;&gt;",C_INI,"&lt;"&amp;F428)+COUNTIFS(M$7:M428,M428,H$7:H428,"&lt;&gt;",F$7:F428,F428),"")</f>
        <v/>
      </c>
      <c r="S428" s="62" t="str">
        <f aca="false">IF(R428="","",M428&amp;"-S"&amp;R428)</f>
        <v/>
      </c>
    </row>
    <row r="429" customFormat="false" ht="15" hidden="false" customHeight="false" outlineLevel="0" collapsed="false">
      <c r="B429" s="58"/>
      <c r="C429" s="62" t="str">
        <f aca="false">IF(B429="","",IFERROR(INDEX(T_NOMBRE,MATCH(M429,T_RUTN,0)),"⚠ RUT no está en Trabajadores"))</f>
        <v/>
      </c>
      <c r="D429" s="58"/>
      <c r="E429" s="58"/>
      <c r="F429" s="59"/>
      <c r="G429" s="59"/>
      <c r="H429" s="60"/>
      <c r="I429" s="58"/>
      <c r="J429" s="58"/>
      <c r="K429" s="58"/>
      <c r="L429" s="62" t="str">
        <f aca="false">IF(B429="","",IF(LEFT(C429,1)="⚠","⚠ Registre primero al trabajador en la hoja Trabajadores",IF(AND(N429="Sí",OR(E429="",NOT(ISNUMBER(F429)))),"⚠ Falta tipo de contrato o fecha de inicio",IF(NOT(ISNUMBER(F429)),"⚠ Falta fecha de inicio",IF(AND(N429="Sí",E429&lt;&gt;"Indefinido",NOT(ISNUMBER(G429))),"⚠ Falta fecha de término",IF(AND(D429="Paso a indefinido",E429&lt;&gt;"Indefinido"),"⚠ Un paso a indefinido debe tener tipo Indefinido",IF(N(Q429)&gt;=3,"⚠ 3er contrato a plazo fijo: por ley ya es INDEFINIDO (Art. 159 N°4)",IF(AND(E429="Plazo fijo",ISNUMBER(G429),(G429-F429+1)/30.4375&gt;12),"⚠ Plazo fijo mayor a 1 año (máximo legal)",IF(J429&lt;&gt;"Sí","Pendiente de firma","OK")))))))))</f>
        <v/>
      </c>
      <c r="M429" s="62" t="str">
        <f aca="false">IF(B429="","",IFERROR(VALUE(LEFT(UPPER(SUBSTITUTE(SUBSTITUTE(SUBSTITUTE(TRIM(B429),".",""),"-","")," ","")),LEN(UPPER(SUBSTITUTE(SUBSTITUTE(SUBSTITUTE(TRIM(B429),".",""),"-","")," ","")))-1))&amp;RIGHT(UPPER(SUBSTITUTE(SUBSTITUTE(SUBSTITUTE(TRIM(B429),".",""),"-","")," ","")),1),UPPER(SUBSTITUTE(SUBSTITUTE(SUBSTITUTE(TRIM(B429),".",""),"-","")," ",""))))</f>
        <v/>
      </c>
      <c r="N429" s="62" t="str">
        <f aca="false">IF(B429="","",IF(D429="Anexo de modificación","No","Sí"))</f>
        <v/>
      </c>
      <c r="O429" s="62" t="str">
        <f aca="false">IF(AND(N429="Sí",ISNUMBER(F429)),COUNTIFS(C_RUTN,M429,C_DEF,"Sí",C_INI,"&lt;"&amp;F429)+COUNTIFS(M$7:M429,M429,N$7:N429,"Sí",F$7:F429,F429),"")</f>
        <v/>
      </c>
      <c r="P429" s="62" t="str">
        <f aca="false">IF(O429="","",M429&amp;"-P"&amp;O429)</f>
        <v/>
      </c>
      <c r="Q429" s="62" t="str">
        <f aca="false">IF(AND(N429="Sí",E429="Plazo fijo",ISNUMBER(F429)),COUNTIFS(C_RUTN,M429,C_TIPO,"Plazo fijo",C_DEF,"Sí",C_INI,"&lt;"&amp;F429)+COUNTIFS(M$7:M429,M429,E$7:E429,"Plazo fijo",N$7:N429,"Sí",F$7:F429,F429),"")</f>
        <v/>
      </c>
      <c r="R429" s="62" t="str">
        <f aca="false">IF(AND(B429&lt;&gt;"",ISNUMBER(H429),ISNUMBER(F429)),COUNTIFS(C_RUTN,M429,C_SUELDO,"&lt;&gt;",C_INI,"&lt;"&amp;F429)+COUNTIFS(M$7:M429,M429,H$7:H429,"&lt;&gt;",F$7:F429,F429),"")</f>
        <v/>
      </c>
      <c r="S429" s="62" t="str">
        <f aca="false">IF(R429="","",M429&amp;"-S"&amp;R429)</f>
        <v/>
      </c>
    </row>
    <row r="430" customFormat="false" ht="15" hidden="false" customHeight="false" outlineLevel="0" collapsed="false">
      <c r="B430" s="58"/>
      <c r="C430" s="62" t="str">
        <f aca="false">IF(B430="","",IFERROR(INDEX(T_NOMBRE,MATCH(M430,T_RUTN,0)),"⚠ RUT no está en Trabajadores"))</f>
        <v/>
      </c>
      <c r="D430" s="58"/>
      <c r="E430" s="58"/>
      <c r="F430" s="59"/>
      <c r="G430" s="59"/>
      <c r="H430" s="60"/>
      <c r="I430" s="58"/>
      <c r="J430" s="58"/>
      <c r="K430" s="58"/>
      <c r="L430" s="62" t="str">
        <f aca="false">IF(B430="","",IF(LEFT(C430,1)="⚠","⚠ Registre primero al trabajador en la hoja Trabajadores",IF(AND(N430="Sí",OR(E430="",NOT(ISNUMBER(F430)))),"⚠ Falta tipo de contrato o fecha de inicio",IF(NOT(ISNUMBER(F430)),"⚠ Falta fecha de inicio",IF(AND(N430="Sí",E430&lt;&gt;"Indefinido",NOT(ISNUMBER(G430))),"⚠ Falta fecha de término",IF(AND(D430="Paso a indefinido",E430&lt;&gt;"Indefinido"),"⚠ Un paso a indefinido debe tener tipo Indefinido",IF(N(Q430)&gt;=3,"⚠ 3er contrato a plazo fijo: por ley ya es INDEFINIDO (Art. 159 N°4)",IF(AND(E430="Plazo fijo",ISNUMBER(G430),(G430-F430+1)/30.4375&gt;12),"⚠ Plazo fijo mayor a 1 año (máximo legal)",IF(J430&lt;&gt;"Sí","Pendiente de firma","OK")))))))))</f>
        <v/>
      </c>
      <c r="M430" s="62" t="str">
        <f aca="false">IF(B430="","",IFERROR(VALUE(LEFT(UPPER(SUBSTITUTE(SUBSTITUTE(SUBSTITUTE(TRIM(B430),".",""),"-","")," ","")),LEN(UPPER(SUBSTITUTE(SUBSTITUTE(SUBSTITUTE(TRIM(B430),".",""),"-","")," ","")))-1))&amp;RIGHT(UPPER(SUBSTITUTE(SUBSTITUTE(SUBSTITUTE(TRIM(B430),".",""),"-","")," ","")),1),UPPER(SUBSTITUTE(SUBSTITUTE(SUBSTITUTE(TRIM(B430),".",""),"-","")," ",""))))</f>
        <v/>
      </c>
      <c r="N430" s="62" t="str">
        <f aca="false">IF(B430="","",IF(D430="Anexo de modificación","No","Sí"))</f>
        <v/>
      </c>
      <c r="O430" s="62" t="str">
        <f aca="false">IF(AND(N430="Sí",ISNUMBER(F430)),COUNTIFS(C_RUTN,M430,C_DEF,"Sí",C_INI,"&lt;"&amp;F430)+COUNTIFS(M$7:M430,M430,N$7:N430,"Sí",F$7:F430,F430),"")</f>
        <v/>
      </c>
      <c r="P430" s="62" t="str">
        <f aca="false">IF(O430="","",M430&amp;"-P"&amp;O430)</f>
        <v/>
      </c>
      <c r="Q430" s="62" t="str">
        <f aca="false">IF(AND(N430="Sí",E430="Plazo fijo",ISNUMBER(F430)),COUNTIFS(C_RUTN,M430,C_TIPO,"Plazo fijo",C_DEF,"Sí",C_INI,"&lt;"&amp;F430)+COUNTIFS(M$7:M430,M430,E$7:E430,"Plazo fijo",N$7:N430,"Sí",F$7:F430,F430),"")</f>
        <v/>
      </c>
      <c r="R430" s="62" t="str">
        <f aca="false">IF(AND(B430&lt;&gt;"",ISNUMBER(H430),ISNUMBER(F430)),COUNTIFS(C_RUTN,M430,C_SUELDO,"&lt;&gt;",C_INI,"&lt;"&amp;F430)+COUNTIFS(M$7:M430,M430,H$7:H430,"&lt;&gt;",F$7:F430,F430),"")</f>
        <v/>
      </c>
      <c r="S430" s="62" t="str">
        <f aca="false">IF(R430="","",M430&amp;"-S"&amp;R430)</f>
        <v/>
      </c>
    </row>
    <row r="431" customFormat="false" ht="15" hidden="false" customHeight="false" outlineLevel="0" collapsed="false">
      <c r="B431" s="58"/>
      <c r="C431" s="62" t="str">
        <f aca="false">IF(B431="","",IFERROR(INDEX(T_NOMBRE,MATCH(M431,T_RUTN,0)),"⚠ RUT no está en Trabajadores"))</f>
        <v/>
      </c>
      <c r="D431" s="58"/>
      <c r="E431" s="58"/>
      <c r="F431" s="59"/>
      <c r="G431" s="59"/>
      <c r="H431" s="60"/>
      <c r="I431" s="58"/>
      <c r="J431" s="58"/>
      <c r="K431" s="58"/>
      <c r="L431" s="62" t="str">
        <f aca="false">IF(B431="","",IF(LEFT(C431,1)="⚠","⚠ Registre primero al trabajador en la hoja Trabajadores",IF(AND(N431="Sí",OR(E431="",NOT(ISNUMBER(F431)))),"⚠ Falta tipo de contrato o fecha de inicio",IF(NOT(ISNUMBER(F431)),"⚠ Falta fecha de inicio",IF(AND(N431="Sí",E431&lt;&gt;"Indefinido",NOT(ISNUMBER(G431))),"⚠ Falta fecha de término",IF(AND(D431="Paso a indefinido",E431&lt;&gt;"Indefinido"),"⚠ Un paso a indefinido debe tener tipo Indefinido",IF(N(Q431)&gt;=3,"⚠ 3er contrato a plazo fijo: por ley ya es INDEFINIDO (Art. 159 N°4)",IF(AND(E431="Plazo fijo",ISNUMBER(G431),(G431-F431+1)/30.4375&gt;12),"⚠ Plazo fijo mayor a 1 año (máximo legal)",IF(J431&lt;&gt;"Sí","Pendiente de firma","OK")))))))))</f>
        <v/>
      </c>
      <c r="M431" s="62" t="str">
        <f aca="false">IF(B431="","",IFERROR(VALUE(LEFT(UPPER(SUBSTITUTE(SUBSTITUTE(SUBSTITUTE(TRIM(B431),".",""),"-","")," ","")),LEN(UPPER(SUBSTITUTE(SUBSTITUTE(SUBSTITUTE(TRIM(B431),".",""),"-","")," ","")))-1))&amp;RIGHT(UPPER(SUBSTITUTE(SUBSTITUTE(SUBSTITUTE(TRIM(B431),".",""),"-","")," ","")),1),UPPER(SUBSTITUTE(SUBSTITUTE(SUBSTITUTE(TRIM(B431),".",""),"-","")," ",""))))</f>
        <v/>
      </c>
      <c r="N431" s="62" t="str">
        <f aca="false">IF(B431="","",IF(D431="Anexo de modificación","No","Sí"))</f>
        <v/>
      </c>
      <c r="O431" s="62" t="str">
        <f aca="false">IF(AND(N431="Sí",ISNUMBER(F431)),COUNTIFS(C_RUTN,M431,C_DEF,"Sí",C_INI,"&lt;"&amp;F431)+COUNTIFS(M$7:M431,M431,N$7:N431,"Sí",F$7:F431,F431),"")</f>
        <v/>
      </c>
      <c r="P431" s="62" t="str">
        <f aca="false">IF(O431="","",M431&amp;"-P"&amp;O431)</f>
        <v/>
      </c>
      <c r="Q431" s="62" t="str">
        <f aca="false">IF(AND(N431="Sí",E431="Plazo fijo",ISNUMBER(F431)),COUNTIFS(C_RUTN,M431,C_TIPO,"Plazo fijo",C_DEF,"Sí",C_INI,"&lt;"&amp;F431)+COUNTIFS(M$7:M431,M431,E$7:E431,"Plazo fijo",N$7:N431,"Sí",F$7:F431,F431),"")</f>
        <v/>
      </c>
      <c r="R431" s="62" t="str">
        <f aca="false">IF(AND(B431&lt;&gt;"",ISNUMBER(H431),ISNUMBER(F431)),COUNTIFS(C_RUTN,M431,C_SUELDO,"&lt;&gt;",C_INI,"&lt;"&amp;F431)+COUNTIFS(M$7:M431,M431,H$7:H431,"&lt;&gt;",F$7:F431,F431),"")</f>
        <v/>
      </c>
      <c r="S431" s="62" t="str">
        <f aca="false">IF(R431="","",M431&amp;"-S"&amp;R431)</f>
        <v/>
      </c>
    </row>
    <row r="432" customFormat="false" ht="15" hidden="false" customHeight="false" outlineLevel="0" collapsed="false">
      <c r="B432" s="58"/>
      <c r="C432" s="62" t="str">
        <f aca="false">IF(B432="","",IFERROR(INDEX(T_NOMBRE,MATCH(M432,T_RUTN,0)),"⚠ RUT no está en Trabajadores"))</f>
        <v/>
      </c>
      <c r="D432" s="58"/>
      <c r="E432" s="58"/>
      <c r="F432" s="59"/>
      <c r="G432" s="59"/>
      <c r="H432" s="60"/>
      <c r="I432" s="58"/>
      <c r="J432" s="58"/>
      <c r="K432" s="58"/>
      <c r="L432" s="62" t="str">
        <f aca="false">IF(B432="","",IF(LEFT(C432,1)="⚠","⚠ Registre primero al trabajador en la hoja Trabajadores",IF(AND(N432="Sí",OR(E432="",NOT(ISNUMBER(F432)))),"⚠ Falta tipo de contrato o fecha de inicio",IF(NOT(ISNUMBER(F432)),"⚠ Falta fecha de inicio",IF(AND(N432="Sí",E432&lt;&gt;"Indefinido",NOT(ISNUMBER(G432))),"⚠ Falta fecha de término",IF(AND(D432="Paso a indefinido",E432&lt;&gt;"Indefinido"),"⚠ Un paso a indefinido debe tener tipo Indefinido",IF(N(Q432)&gt;=3,"⚠ 3er contrato a plazo fijo: por ley ya es INDEFINIDO (Art. 159 N°4)",IF(AND(E432="Plazo fijo",ISNUMBER(G432),(G432-F432+1)/30.4375&gt;12),"⚠ Plazo fijo mayor a 1 año (máximo legal)",IF(J432&lt;&gt;"Sí","Pendiente de firma","OK")))))))))</f>
        <v/>
      </c>
      <c r="M432" s="62" t="str">
        <f aca="false">IF(B432="","",IFERROR(VALUE(LEFT(UPPER(SUBSTITUTE(SUBSTITUTE(SUBSTITUTE(TRIM(B432),".",""),"-","")," ","")),LEN(UPPER(SUBSTITUTE(SUBSTITUTE(SUBSTITUTE(TRIM(B432),".",""),"-","")," ","")))-1))&amp;RIGHT(UPPER(SUBSTITUTE(SUBSTITUTE(SUBSTITUTE(TRIM(B432),".",""),"-","")," ","")),1),UPPER(SUBSTITUTE(SUBSTITUTE(SUBSTITUTE(TRIM(B432),".",""),"-","")," ",""))))</f>
        <v/>
      </c>
      <c r="N432" s="62" t="str">
        <f aca="false">IF(B432="","",IF(D432="Anexo de modificación","No","Sí"))</f>
        <v/>
      </c>
      <c r="O432" s="62" t="str">
        <f aca="false">IF(AND(N432="Sí",ISNUMBER(F432)),COUNTIFS(C_RUTN,M432,C_DEF,"Sí",C_INI,"&lt;"&amp;F432)+COUNTIFS(M$7:M432,M432,N$7:N432,"Sí",F$7:F432,F432),"")</f>
        <v/>
      </c>
      <c r="P432" s="62" t="str">
        <f aca="false">IF(O432="","",M432&amp;"-P"&amp;O432)</f>
        <v/>
      </c>
      <c r="Q432" s="62" t="str">
        <f aca="false">IF(AND(N432="Sí",E432="Plazo fijo",ISNUMBER(F432)),COUNTIFS(C_RUTN,M432,C_TIPO,"Plazo fijo",C_DEF,"Sí",C_INI,"&lt;"&amp;F432)+COUNTIFS(M$7:M432,M432,E$7:E432,"Plazo fijo",N$7:N432,"Sí",F$7:F432,F432),"")</f>
        <v/>
      </c>
      <c r="R432" s="62" t="str">
        <f aca="false">IF(AND(B432&lt;&gt;"",ISNUMBER(H432),ISNUMBER(F432)),COUNTIFS(C_RUTN,M432,C_SUELDO,"&lt;&gt;",C_INI,"&lt;"&amp;F432)+COUNTIFS(M$7:M432,M432,H$7:H432,"&lt;&gt;",F$7:F432,F432),"")</f>
        <v/>
      </c>
      <c r="S432" s="62" t="str">
        <f aca="false">IF(R432="","",M432&amp;"-S"&amp;R432)</f>
        <v/>
      </c>
    </row>
    <row r="433" customFormat="false" ht="15" hidden="false" customHeight="false" outlineLevel="0" collapsed="false">
      <c r="B433" s="58"/>
      <c r="C433" s="62" t="str">
        <f aca="false">IF(B433="","",IFERROR(INDEX(T_NOMBRE,MATCH(M433,T_RUTN,0)),"⚠ RUT no está en Trabajadores"))</f>
        <v/>
      </c>
      <c r="D433" s="58"/>
      <c r="E433" s="58"/>
      <c r="F433" s="59"/>
      <c r="G433" s="59"/>
      <c r="H433" s="60"/>
      <c r="I433" s="58"/>
      <c r="J433" s="58"/>
      <c r="K433" s="58"/>
      <c r="L433" s="62" t="str">
        <f aca="false">IF(B433="","",IF(LEFT(C433,1)="⚠","⚠ Registre primero al trabajador en la hoja Trabajadores",IF(AND(N433="Sí",OR(E433="",NOT(ISNUMBER(F433)))),"⚠ Falta tipo de contrato o fecha de inicio",IF(NOT(ISNUMBER(F433)),"⚠ Falta fecha de inicio",IF(AND(N433="Sí",E433&lt;&gt;"Indefinido",NOT(ISNUMBER(G433))),"⚠ Falta fecha de término",IF(AND(D433="Paso a indefinido",E433&lt;&gt;"Indefinido"),"⚠ Un paso a indefinido debe tener tipo Indefinido",IF(N(Q433)&gt;=3,"⚠ 3er contrato a plazo fijo: por ley ya es INDEFINIDO (Art. 159 N°4)",IF(AND(E433="Plazo fijo",ISNUMBER(G433),(G433-F433+1)/30.4375&gt;12),"⚠ Plazo fijo mayor a 1 año (máximo legal)",IF(J433&lt;&gt;"Sí","Pendiente de firma","OK")))))))))</f>
        <v/>
      </c>
      <c r="M433" s="62" t="str">
        <f aca="false">IF(B433="","",IFERROR(VALUE(LEFT(UPPER(SUBSTITUTE(SUBSTITUTE(SUBSTITUTE(TRIM(B433),".",""),"-","")," ","")),LEN(UPPER(SUBSTITUTE(SUBSTITUTE(SUBSTITUTE(TRIM(B433),".",""),"-","")," ","")))-1))&amp;RIGHT(UPPER(SUBSTITUTE(SUBSTITUTE(SUBSTITUTE(TRIM(B433),".",""),"-","")," ","")),1),UPPER(SUBSTITUTE(SUBSTITUTE(SUBSTITUTE(TRIM(B433),".",""),"-","")," ",""))))</f>
        <v/>
      </c>
      <c r="N433" s="62" t="str">
        <f aca="false">IF(B433="","",IF(D433="Anexo de modificación","No","Sí"))</f>
        <v/>
      </c>
      <c r="O433" s="62" t="str">
        <f aca="false">IF(AND(N433="Sí",ISNUMBER(F433)),COUNTIFS(C_RUTN,M433,C_DEF,"Sí",C_INI,"&lt;"&amp;F433)+COUNTIFS(M$7:M433,M433,N$7:N433,"Sí",F$7:F433,F433),"")</f>
        <v/>
      </c>
      <c r="P433" s="62" t="str">
        <f aca="false">IF(O433="","",M433&amp;"-P"&amp;O433)</f>
        <v/>
      </c>
      <c r="Q433" s="62" t="str">
        <f aca="false">IF(AND(N433="Sí",E433="Plazo fijo",ISNUMBER(F433)),COUNTIFS(C_RUTN,M433,C_TIPO,"Plazo fijo",C_DEF,"Sí",C_INI,"&lt;"&amp;F433)+COUNTIFS(M$7:M433,M433,E$7:E433,"Plazo fijo",N$7:N433,"Sí",F$7:F433,F433),"")</f>
        <v/>
      </c>
      <c r="R433" s="62" t="str">
        <f aca="false">IF(AND(B433&lt;&gt;"",ISNUMBER(H433),ISNUMBER(F433)),COUNTIFS(C_RUTN,M433,C_SUELDO,"&lt;&gt;",C_INI,"&lt;"&amp;F433)+COUNTIFS(M$7:M433,M433,H$7:H433,"&lt;&gt;",F$7:F433,F433),"")</f>
        <v/>
      </c>
      <c r="S433" s="62" t="str">
        <f aca="false">IF(R433="","",M433&amp;"-S"&amp;R433)</f>
        <v/>
      </c>
    </row>
    <row r="434" customFormat="false" ht="15" hidden="false" customHeight="false" outlineLevel="0" collapsed="false">
      <c r="B434" s="58"/>
      <c r="C434" s="62" t="str">
        <f aca="false">IF(B434="","",IFERROR(INDEX(T_NOMBRE,MATCH(M434,T_RUTN,0)),"⚠ RUT no está en Trabajadores"))</f>
        <v/>
      </c>
      <c r="D434" s="58"/>
      <c r="E434" s="58"/>
      <c r="F434" s="59"/>
      <c r="G434" s="59"/>
      <c r="H434" s="60"/>
      <c r="I434" s="58"/>
      <c r="J434" s="58"/>
      <c r="K434" s="58"/>
      <c r="L434" s="62" t="str">
        <f aca="false">IF(B434="","",IF(LEFT(C434,1)="⚠","⚠ Registre primero al trabajador en la hoja Trabajadores",IF(AND(N434="Sí",OR(E434="",NOT(ISNUMBER(F434)))),"⚠ Falta tipo de contrato o fecha de inicio",IF(NOT(ISNUMBER(F434)),"⚠ Falta fecha de inicio",IF(AND(N434="Sí",E434&lt;&gt;"Indefinido",NOT(ISNUMBER(G434))),"⚠ Falta fecha de término",IF(AND(D434="Paso a indefinido",E434&lt;&gt;"Indefinido"),"⚠ Un paso a indefinido debe tener tipo Indefinido",IF(N(Q434)&gt;=3,"⚠ 3er contrato a plazo fijo: por ley ya es INDEFINIDO (Art. 159 N°4)",IF(AND(E434="Plazo fijo",ISNUMBER(G434),(G434-F434+1)/30.4375&gt;12),"⚠ Plazo fijo mayor a 1 año (máximo legal)",IF(J434&lt;&gt;"Sí","Pendiente de firma","OK")))))))))</f>
        <v/>
      </c>
      <c r="M434" s="62" t="str">
        <f aca="false">IF(B434="","",IFERROR(VALUE(LEFT(UPPER(SUBSTITUTE(SUBSTITUTE(SUBSTITUTE(TRIM(B434),".",""),"-","")," ","")),LEN(UPPER(SUBSTITUTE(SUBSTITUTE(SUBSTITUTE(TRIM(B434),".",""),"-","")," ","")))-1))&amp;RIGHT(UPPER(SUBSTITUTE(SUBSTITUTE(SUBSTITUTE(TRIM(B434),".",""),"-","")," ","")),1),UPPER(SUBSTITUTE(SUBSTITUTE(SUBSTITUTE(TRIM(B434),".",""),"-","")," ",""))))</f>
        <v/>
      </c>
      <c r="N434" s="62" t="str">
        <f aca="false">IF(B434="","",IF(D434="Anexo de modificación","No","Sí"))</f>
        <v/>
      </c>
      <c r="O434" s="62" t="str">
        <f aca="false">IF(AND(N434="Sí",ISNUMBER(F434)),COUNTIFS(C_RUTN,M434,C_DEF,"Sí",C_INI,"&lt;"&amp;F434)+COUNTIFS(M$7:M434,M434,N$7:N434,"Sí",F$7:F434,F434),"")</f>
        <v/>
      </c>
      <c r="P434" s="62" t="str">
        <f aca="false">IF(O434="","",M434&amp;"-P"&amp;O434)</f>
        <v/>
      </c>
      <c r="Q434" s="62" t="str">
        <f aca="false">IF(AND(N434="Sí",E434="Plazo fijo",ISNUMBER(F434)),COUNTIFS(C_RUTN,M434,C_TIPO,"Plazo fijo",C_DEF,"Sí",C_INI,"&lt;"&amp;F434)+COUNTIFS(M$7:M434,M434,E$7:E434,"Plazo fijo",N$7:N434,"Sí",F$7:F434,F434),"")</f>
        <v/>
      </c>
      <c r="R434" s="62" t="str">
        <f aca="false">IF(AND(B434&lt;&gt;"",ISNUMBER(H434),ISNUMBER(F434)),COUNTIFS(C_RUTN,M434,C_SUELDO,"&lt;&gt;",C_INI,"&lt;"&amp;F434)+COUNTIFS(M$7:M434,M434,H$7:H434,"&lt;&gt;",F$7:F434,F434),"")</f>
        <v/>
      </c>
      <c r="S434" s="62" t="str">
        <f aca="false">IF(R434="","",M434&amp;"-S"&amp;R434)</f>
        <v/>
      </c>
    </row>
    <row r="435" customFormat="false" ht="15" hidden="false" customHeight="false" outlineLevel="0" collapsed="false">
      <c r="B435" s="58"/>
      <c r="C435" s="62" t="str">
        <f aca="false">IF(B435="","",IFERROR(INDEX(T_NOMBRE,MATCH(M435,T_RUTN,0)),"⚠ RUT no está en Trabajadores"))</f>
        <v/>
      </c>
      <c r="D435" s="58"/>
      <c r="E435" s="58"/>
      <c r="F435" s="59"/>
      <c r="G435" s="59"/>
      <c r="H435" s="60"/>
      <c r="I435" s="58"/>
      <c r="J435" s="58"/>
      <c r="K435" s="58"/>
      <c r="L435" s="62" t="str">
        <f aca="false">IF(B435="","",IF(LEFT(C435,1)="⚠","⚠ Registre primero al trabajador en la hoja Trabajadores",IF(AND(N435="Sí",OR(E435="",NOT(ISNUMBER(F435)))),"⚠ Falta tipo de contrato o fecha de inicio",IF(NOT(ISNUMBER(F435)),"⚠ Falta fecha de inicio",IF(AND(N435="Sí",E435&lt;&gt;"Indefinido",NOT(ISNUMBER(G435))),"⚠ Falta fecha de término",IF(AND(D435="Paso a indefinido",E435&lt;&gt;"Indefinido"),"⚠ Un paso a indefinido debe tener tipo Indefinido",IF(N(Q435)&gt;=3,"⚠ 3er contrato a plazo fijo: por ley ya es INDEFINIDO (Art. 159 N°4)",IF(AND(E435="Plazo fijo",ISNUMBER(G435),(G435-F435+1)/30.4375&gt;12),"⚠ Plazo fijo mayor a 1 año (máximo legal)",IF(J435&lt;&gt;"Sí","Pendiente de firma","OK")))))))))</f>
        <v/>
      </c>
      <c r="M435" s="62" t="str">
        <f aca="false">IF(B435="","",IFERROR(VALUE(LEFT(UPPER(SUBSTITUTE(SUBSTITUTE(SUBSTITUTE(TRIM(B435),".",""),"-","")," ","")),LEN(UPPER(SUBSTITUTE(SUBSTITUTE(SUBSTITUTE(TRIM(B435),".",""),"-","")," ","")))-1))&amp;RIGHT(UPPER(SUBSTITUTE(SUBSTITUTE(SUBSTITUTE(TRIM(B435),".",""),"-","")," ","")),1),UPPER(SUBSTITUTE(SUBSTITUTE(SUBSTITUTE(TRIM(B435),".",""),"-","")," ",""))))</f>
        <v/>
      </c>
      <c r="N435" s="62" t="str">
        <f aca="false">IF(B435="","",IF(D435="Anexo de modificación","No","Sí"))</f>
        <v/>
      </c>
      <c r="O435" s="62" t="str">
        <f aca="false">IF(AND(N435="Sí",ISNUMBER(F435)),COUNTIFS(C_RUTN,M435,C_DEF,"Sí",C_INI,"&lt;"&amp;F435)+COUNTIFS(M$7:M435,M435,N$7:N435,"Sí",F$7:F435,F435),"")</f>
        <v/>
      </c>
      <c r="P435" s="62" t="str">
        <f aca="false">IF(O435="","",M435&amp;"-P"&amp;O435)</f>
        <v/>
      </c>
      <c r="Q435" s="62" t="str">
        <f aca="false">IF(AND(N435="Sí",E435="Plazo fijo",ISNUMBER(F435)),COUNTIFS(C_RUTN,M435,C_TIPO,"Plazo fijo",C_DEF,"Sí",C_INI,"&lt;"&amp;F435)+COUNTIFS(M$7:M435,M435,E$7:E435,"Plazo fijo",N$7:N435,"Sí",F$7:F435,F435),"")</f>
        <v/>
      </c>
      <c r="R435" s="62" t="str">
        <f aca="false">IF(AND(B435&lt;&gt;"",ISNUMBER(H435),ISNUMBER(F435)),COUNTIFS(C_RUTN,M435,C_SUELDO,"&lt;&gt;",C_INI,"&lt;"&amp;F435)+COUNTIFS(M$7:M435,M435,H$7:H435,"&lt;&gt;",F$7:F435,F435),"")</f>
        <v/>
      </c>
      <c r="S435" s="62" t="str">
        <f aca="false">IF(R435="","",M435&amp;"-S"&amp;R435)</f>
        <v/>
      </c>
    </row>
    <row r="436" customFormat="false" ht="15" hidden="false" customHeight="false" outlineLevel="0" collapsed="false">
      <c r="B436" s="58"/>
      <c r="C436" s="62" t="str">
        <f aca="false">IF(B436="","",IFERROR(INDEX(T_NOMBRE,MATCH(M436,T_RUTN,0)),"⚠ RUT no está en Trabajadores"))</f>
        <v/>
      </c>
      <c r="D436" s="58"/>
      <c r="E436" s="58"/>
      <c r="F436" s="59"/>
      <c r="G436" s="59"/>
      <c r="H436" s="60"/>
      <c r="I436" s="58"/>
      <c r="J436" s="58"/>
      <c r="K436" s="58"/>
      <c r="L436" s="62" t="str">
        <f aca="false">IF(B436="","",IF(LEFT(C436,1)="⚠","⚠ Registre primero al trabajador en la hoja Trabajadores",IF(AND(N436="Sí",OR(E436="",NOT(ISNUMBER(F436)))),"⚠ Falta tipo de contrato o fecha de inicio",IF(NOT(ISNUMBER(F436)),"⚠ Falta fecha de inicio",IF(AND(N436="Sí",E436&lt;&gt;"Indefinido",NOT(ISNUMBER(G436))),"⚠ Falta fecha de término",IF(AND(D436="Paso a indefinido",E436&lt;&gt;"Indefinido"),"⚠ Un paso a indefinido debe tener tipo Indefinido",IF(N(Q436)&gt;=3,"⚠ 3er contrato a plazo fijo: por ley ya es INDEFINIDO (Art. 159 N°4)",IF(AND(E436="Plazo fijo",ISNUMBER(G436),(G436-F436+1)/30.4375&gt;12),"⚠ Plazo fijo mayor a 1 año (máximo legal)",IF(J436&lt;&gt;"Sí","Pendiente de firma","OK")))))))))</f>
        <v/>
      </c>
      <c r="M436" s="62" t="str">
        <f aca="false">IF(B436="","",IFERROR(VALUE(LEFT(UPPER(SUBSTITUTE(SUBSTITUTE(SUBSTITUTE(TRIM(B436),".",""),"-","")," ","")),LEN(UPPER(SUBSTITUTE(SUBSTITUTE(SUBSTITUTE(TRIM(B436),".",""),"-","")," ","")))-1))&amp;RIGHT(UPPER(SUBSTITUTE(SUBSTITUTE(SUBSTITUTE(TRIM(B436),".",""),"-","")," ","")),1),UPPER(SUBSTITUTE(SUBSTITUTE(SUBSTITUTE(TRIM(B436),".",""),"-","")," ",""))))</f>
        <v/>
      </c>
      <c r="N436" s="62" t="str">
        <f aca="false">IF(B436="","",IF(D436="Anexo de modificación","No","Sí"))</f>
        <v/>
      </c>
      <c r="O436" s="62" t="str">
        <f aca="false">IF(AND(N436="Sí",ISNUMBER(F436)),COUNTIFS(C_RUTN,M436,C_DEF,"Sí",C_INI,"&lt;"&amp;F436)+COUNTIFS(M$7:M436,M436,N$7:N436,"Sí",F$7:F436,F436),"")</f>
        <v/>
      </c>
      <c r="P436" s="62" t="str">
        <f aca="false">IF(O436="","",M436&amp;"-P"&amp;O436)</f>
        <v/>
      </c>
      <c r="Q436" s="62" t="str">
        <f aca="false">IF(AND(N436="Sí",E436="Plazo fijo",ISNUMBER(F436)),COUNTIFS(C_RUTN,M436,C_TIPO,"Plazo fijo",C_DEF,"Sí",C_INI,"&lt;"&amp;F436)+COUNTIFS(M$7:M436,M436,E$7:E436,"Plazo fijo",N$7:N436,"Sí",F$7:F436,F436),"")</f>
        <v/>
      </c>
      <c r="R436" s="62" t="str">
        <f aca="false">IF(AND(B436&lt;&gt;"",ISNUMBER(H436),ISNUMBER(F436)),COUNTIFS(C_RUTN,M436,C_SUELDO,"&lt;&gt;",C_INI,"&lt;"&amp;F436)+COUNTIFS(M$7:M436,M436,H$7:H436,"&lt;&gt;",F$7:F436,F436),"")</f>
        <v/>
      </c>
      <c r="S436" s="62" t="str">
        <f aca="false">IF(R436="","",M436&amp;"-S"&amp;R436)</f>
        <v/>
      </c>
    </row>
    <row r="437" customFormat="false" ht="15" hidden="false" customHeight="false" outlineLevel="0" collapsed="false">
      <c r="B437" s="58"/>
      <c r="C437" s="62" t="str">
        <f aca="false">IF(B437="","",IFERROR(INDEX(T_NOMBRE,MATCH(M437,T_RUTN,0)),"⚠ RUT no está en Trabajadores"))</f>
        <v/>
      </c>
      <c r="D437" s="58"/>
      <c r="E437" s="58"/>
      <c r="F437" s="59"/>
      <c r="G437" s="59"/>
      <c r="H437" s="60"/>
      <c r="I437" s="58"/>
      <c r="J437" s="58"/>
      <c r="K437" s="58"/>
      <c r="L437" s="62" t="str">
        <f aca="false">IF(B437="","",IF(LEFT(C437,1)="⚠","⚠ Registre primero al trabajador en la hoja Trabajadores",IF(AND(N437="Sí",OR(E437="",NOT(ISNUMBER(F437)))),"⚠ Falta tipo de contrato o fecha de inicio",IF(NOT(ISNUMBER(F437)),"⚠ Falta fecha de inicio",IF(AND(N437="Sí",E437&lt;&gt;"Indefinido",NOT(ISNUMBER(G437))),"⚠ Falta fecha de término",IF(AND(D437="Paso a indefinido",E437&lt;&gt;"Indefinido"),"⚠ Un paso a indefinido debe tener tipo Indefinido",IF(N(Q437)&gt;=3,"⚠ 3er contrato a plazo fijo: por ley ya es INDEFINIDO (Art. 159 N°4)",IF(AND(E437="Plazo fijo",ISNUMBER(G437),(G437-F437+1)/30.4375&gt;12),"⚠ Plazo fijo mayor a 1 año (máximo legal)",IF(J437&lt;&gt;"Sí","Pendiente de firma","OK")))))))))</f>
        <v/>
      </c>
      <c r="M437" s="62" t="str">
        <f aca="false">IF(B437="","",IFERROR(VALUE(LEFT(UPPER(SUBSTITUTE(SUBSTITUTE(SUBSTITUTE(TRIM(B437),".",""),"-","")," ","")),LEN(UPPER(SUBSTITUTE(SUBSTITUTE(SUBSTITUTE(TRIM(B437),".",""),"-","")," ","")))-1))&amp;RIGHT(UPPER(SUBSTITUTE(SUBSTITUTE(SUBSTITUTE(TRIM(B437),".",""),"-","")," ","")),1),UPPER(SUBSTITUTE(SUBSTITUTE(SUBSTITUTE(TRIM(B437),".",""),"-","")," ",""))))</f>
        <v/>
      </c>
      <c r="N437" s="62" t="str">
        <f aca="false">IF(B437="","",IF(D437="Anexo de modificación","No","Sí"))</f>
        <v/>
      </c>
      <c r="O437" s="62" t="str">
        <f aca="false">IF(AND(N437="Sí",ISNUMBER(F437)),COUNTIFS(C_RUTN,M437,C_DEF,"Sí",C_INI,"&lt;"&amp;F437)+COUNTIFS(M$7:M437,M437,N$7:N437,"Sí",F$7:F437,F437),"")</f>
        <v/>
      </c>
      <c r="P437" s="62" t="str">
        <f aca="false">IF(O437="","",M437&amp;"-P"&amp;O437)</f>
        <v/>
      </c>
      <c r="Q437" s="62" t="str">
        <f aca="false">IF(AND(N437="Sí",E437="Plazo fijo",ISNUMBER(F437)),COUNTIFS(C_RUTN,M437,C_TIPO,"Plazo fijo",C_DEF,"Sí",C_INI,"&lt;"&amp;F437)+COUNTIFS(M$7:M437,M437,E$7:E437,"Plazo fijo",N$7:N437,"Sí",F$7:F437,F437),"")</f>
        <v/>
      </c>
      <c r="R437" s="62" t="str">
        <f aca="false">IF(AND(B437&lt;&gt;"",ISNUMBER(H437),ISNUMBER(F437)),COUNTIFS(C_RUTN,M437,C_SUELDO,"&lt;&gt;",C_INI,"&lt;"&amp;F437)+COUNTIFS(M$7:M437,M437,H$7:H437,"&lt;&gt;",F$7:F437,F437),"")</f>
        <v/>
      </c>
      <c r="S437" s="62" t="str">
        <f aca="false">IF(R437="","",M437&amp;"-S"&amp;R437)</f>
        <v/>
      </c>
    </row>
    <row r="438" customFormat="false" ht="15" hidden="false" customHeight="false" outlineLevel="0" collapsed="false">
      <c r="B438" s="58"/>
      <c r="C438" s="62" t="str">
        <f aca="false">IF(B438="","",IFERROR(INDEX(T_NOMBRE,MATCH(M438,T_RUTN,0)),"⚠ RUT no está en Trabajadores"))</f>
        <v/>
      </c>
      <c r="D438" s="58"/>
      <c r="E438" s="58"/>
      <c r="F438" s="59"/>
      <c r="G438" s="59"/>
      <c r="H438" s="60"/>
      <c r="I438" s="58"/>
      <c r="J438" s="58"/>
      <c r="K438" s="58"/>
      <c r="L438" s="62" t="str">
        <f aca="false">IF(B438="","",IF(LEFT(C438,1)="⚠","⚠ Registre primero al trabajador en la hoja Trabajadores",IF(AND(N438="Sí",OR(E438="",NOT(ISNUMBER(F438)))),"⚠ Falta tipo de contrato o fecha de inicio",IF(NOT(ISNUMBER(F438)),"⚠ Falta fecha de inicio",IF(AND(N438="Sí",E438&lt;&gt;"Indefinido",NOT(ISNUMBER(G438))),"⚠ Falta fecha de término",IF(AND(D438="Paso a indefinido",E438&lt;&gt;"Indefinido"),"⚠ Un paso a indefinido debe tener tipo Indefinido",IF(N(Q438)&gt;=3,"⚠ 3er contrato a plazo fijo: por ley ya es INDEFINIDO (Art. 159 N°4)",IF(AND(E438="Plazo fijo",ISNUMBER(G438),(G438-F438+1)/30.4375&gt;12),"⚠ Plazo fijo mayor a 1 año (máximo legal)",IF(J438&lt;&gt;"Sí","Pendiente de firma","OK")))))))))</f>
        <v/>
      </c>
      <c r="M438" s="62" t="str">
        <f aca="false">IF(B438="","",IFERROR(VALUE(LEFT(UPPER(SUBSTITUTE(SUBSTITUTE(SUBSTITUTE(TRIM(B438),".",""),"-","")," ","")),LEN(UPPER(SUBSTITUTE(SUBSTITUTE(SUBSTITUTE(TRIM(B438),".",""),"-","")," ","")))-1))&amp;RIGHT(UPPER(SUBSTITUTE(SUBSTITUTE(SUBSTITUTE(TRIM(B438),".",""),"-","")," ","")),1),UPPER(SUBSTITUTE(SUBSTITUTE(SUBSTITUTE(TRIM(B438),".",""),"-","")," ",""))))</f>
        <v/>
      </c>
      <c r="N438" s="62" t="str">
        <f aca="false">IF(B438="","",IF(D438="Anexo de modificación","No","Sí"))</f>
        <v/>
      </c>
      <c r="O438" s="62" t="str">
        <f aca="false">IF(AND(N438="Sí",ISNUMBER(F438)),COUNTIFS(C_RUTN,M438,C_DEF,"Sí",C_INI,"&lt;"&amp;F438)+COUNTIFS(M$7:M438,M438,N$7:N438,"Sí",F$7:F438,F438),"")</f>
        <v/>
      </c>
      <c r="P438" s="62" t="str">
        <f aca="false">IF(O438="","",M438&amp;"-P"&amp;O438)</f>
        <v/>
      </c>
      <c r="Q438" s="62" t="str">
        <f aca="false">IF(AND(N438="Sí",E438="Plazo fijo",ISNUMBER(F438)),COUNTIFS(C_RUTN,M438,C_TIPO,"Plazo fijo",C_DEF,"Sí",C_INI,"&lt;"&amp;F438)+COUNTIFS(M$7:M438,M438,E$7:E438,"Plazo fijo",N$7:N438,"Sí",F$7:F438,F438),"")</f>
        <v/>
      </c>
      <c r="R438" s="62" t="str">
        <f aca="false">IF(AND(B438&lt;&gt;"",ISNUMBER(H438),ISNUMBER(F438)),COUNTIFS(C_RUTN,M438,C_SUELDO,"&lt;&gt;",C_INI,"&lt;"&amp;F438)+COUNTIFS(M$7:M438,M438,H$7:H438,"&lt;&gt;",F$7:F438,F438),"")</f>
        <v/>
      </c>
      <c r="S438" s="62" t="str">
        <f aca="false">IF(R438="","",M438&amp;"-S"&amp;R438)</f>
        <v/>
      </c>
    </row>
    <row r="439" customFormat="false" ht="15" hidden="false" customHeight="false" outlineLevel="0" collapsed="false">
      <c r="B439" s="58"/>
      <c r="C439" s="62" t="str">
        <f aca="false">IF(B439="","",IFERROR(INDEX(T_NOMBRE,MATCH(M439,T_RUTN,0)),"⚠ RUT no está en Trabajadores"))</f>
        <v/>
      </c>
      <c r="D439" s="58"/>
      <c r="E439" s="58"/>
      <c r="F439" s="59"/>
      <c r="G439" s="59"/>
      <c r="H439" s="60"/>
      <c r="I439" s="58"/>
      <c r="J439" s="58"/>
      <c r="K439" s="58"/>
      <c r="L439" s="62" t="str">
        <f aca="false">IF(B439="","",IF(LEFT(C439,1)="⚠","⚠ Registre primero al trabajador en la hoja Trabajadores",IF(AND(N439="Sí",OR(E439="",NOT(ISNUMBER(F439)))),"⚠ Falta tipo de contrato o fecha de inicio",IF(NOT(ISNUMBER(F439)),"⚠ Falta fecha de inicio",IF(AND(N439="Sí",E439&lt;&gt;"Indefinido",NOT(ISNUMBER(G439))),"⚠ Falta fecha de término",IF(AND(D439="Paso a indefinido",E439&lt;&gt;"Indefinido"),"⚠ Un paso a indefinido debe tener tipo Indefinido",IF(N(Q439)&gt;=3,"⚠ 3er contrato a plazo fijo: por ley ya es INDEFINIDO (Art. 159 N°4)",IF(AND(E439="Plazo fijo",ISNUMBER(G439),(G439-F439+1)/30.4375&gt;12),"⚠ Plazo fijo mayor a 1 año (máximo legal)",IF(J439&lt;&gt;"Sí","Pendiente de firma","OK")))))))))</f>
        <v/>
      </c>
      <c r="M439" s="62" t="str">
        <f aca="false">IF(B439="","",IFERROR(VALUE(LEFT(UPPER(SUBSTITUTE(SUBSTITUTE(SUBSTITUTE(TRIM(B439),".",""),"-","")," ","")),LEN(UPPER(SUBSTITUTE(SUBSTITUTE(SUBSTITUTE(TRIM(B439),".",""),"-","")," ","")))-1))&amp;RIGHT(UPPER(SUBSTITUTE(SUBSTITUTE(SUBSTITUTE(TRIM(B439),".",""),"-","")," ","")),1),UPPER(SUBSTITUTE(SUBSTITUTE(SUBSTITUTE(TRIM(B439),".",""),"-","")," ",""))))</f>
        <v/>
      </c>
      <c r="N439" s="62" t="str">
        <f aca="false">IF(B439="","",IF(D439="Anexo de modificación","No","Sí"))</f>
        <v/>
      </c>
      <c r="O439" s="62" t="str">
        <f aca="false">IF(AND(N439="Sí",ISNUMBER(F439)),COUNTIFS(C_RUTN,M439,C_DEF,"Sí",C_INI,"&lt;"&amp;F439)+COUNTIFS(M$7:M439,M439,N$7:N439,"Sí",F$7:F439,F439),"")</f>
        <v/>
      </c>
      <c r="P439" s="62" t="str">
        <f aca="false">IF(O439="","",M439&amp;"-P"&amp;O439)</f>
        <v/>
      </c>
      <c r="Q439" s="62" t="str">
        <f aca="false">IF(AND(N439="Sí",E439="Plazo fijo",ISNUMBER(F439)),COUNTIFS(C_RUTN,M439,C_TIPO,"Plazo fijo",C_DEF,"Sí",C_INI,"&lt;"&amp;F439)+COUNTIFS(M$7:M439,M439,E$7:E439,"Plazo fijo",N$7:N439,"Sí",F$7:F439,F439),"")</f>
        <v/>
      </c>
      <c r="R439" s="62" t="str">
        <f aca="false">IF(AND(B439&lt;&gt;"",ISNUMBER(H439),ISNUMBER(F439)),COUNTIFS(C_RUTN,M439,C_SUELDO,"&lt;&gt;",C_INI,"&lt;"&amp;F439)+COUNTIFS(M$7:M439,M439,H$7:H439,"&lt;&gt;",F$7:F439,F439),"")</f>
        <v/>
      </c>
      <c r="S439" s="62" t="str">
        <f aca="false">IF(R439="","",M439&amp;"-S"&amp;R439)</f>
        <v/>
      </c>
    </row>
    <row r="440" customFormat="false" ht="15" hidden="false" customHeight="false" outlineLevel="0" collapsed="false">
      <c r="B440" s="58"/>
      <c r="C440" s="62" t="str">
        <f aca="false">IF(B440="","",IFERROR(INDEX(T_NOMBRE,MATCH(M440,T_RUTN,0)),"⚠ RUT no está en Trabajadores"))</f>
        <v/>
      </c>
      <c r="D440" s="58"/>
      <c r="E440" s="58"/>
      <c r="F440" s="59"/>
      <c r="G440" s="59"/>
      <c r="H440" s="60"/>
      <c r="I440" s="58"/>
      <c r="J440" s="58"/>
      <c r="K440" s="58"/>
      <c r="L440" s="62" t="str">
        <f aca="false">IF(B440="","",IF(LEFT(C440,1)="⚠","⚠ Registre primero al trabajador en la hoja Trabajadores",IF(AND(N440="Sí",OR(E440="",NOT(ISNUMBER(F440)))),"⚠ Falta tipo de contrato o fecha de inicio",IF(NOT(ISNUMBER(F440)),"⚠ Falta fecha de inicio",IF(AND(N440="Sí",E440&lt;&gt;"Indefinido",NOT(ISNUMBER(G440))),"⚠ Falta fecha de término",IF(AND(D440="Paso a indefinido",E440&lt;&gt;"Indefinido"),"⚠ Un paso a indefinido debe tener tipo Indefinido",IF(N(Q440)&gt;=3,"⚠ 3er contrato a plazo fijo: por ley ya es INDEFINIDO (Art. 159 N°4)",IF(AND(E440="Plazo fijo",ISNUMBER(G440),(G440-F440+1)/30.4375&gt;12),"⚠ Plazo fijo mayor a 1 año (máximo legal)",IF(J440&lt;&gt;"Sí","Pendiente de firma","OK")))))))))</f>
        <v/>
      </c>
      <c r="M440" s="62" t="str">
        <f aca="false">IF(B440="","",IFERROR(VALUE(LEFT(UPPER(SUBSTITUTE(SUBSTITUTE(SUBSTITUTE(TRIM(B440),".",""),"-","")," ","")),LEN(UPPER(SUBSTITUTE(SUBSTITUTE(SUBSTITUTE(TRIM(B440),".",""),"-","")," ","")))-1))&amp;RIGHT(UPPER(SUBSTITUTE(SUBSTITUTE(SUBSTITUTE(TRIM(B440),".",""),"-","")," ","")),1),UPPER(SUBSTITUTE(SUBSTITUTE(SUBSTITUTE(TRIM(B440),".",""),"-","")," ",""))))</f>
        <v/>
      </c>
      <c r="N440" s="62" t="str">
        <f aca="false">IF(B440="","",IF(D440="Anexo de modificación","No","Sí"))</f>
        <v/>
      </c>
      <c r="O440" s="62" t="str">
        <f aca="false">IF(AND(N440="Sí",ISNUMBER(F440)),COUNTIFS(C_RUTN,M440,C_DEF,"Sí",C_INI,"&lt;"&amp;F440)+COUNTIFS(M$7:M440,M440,N$7:N440,"Sí",F$7:F440,F440),"")</f>
        <v/>
      </c>
      <c r="P440" s="62" t="str">
        <f aca="false">IF(O440="","",M440&amp;"-P"&amp;O440)</f>
        <v/>
      </c>
      <c r="Q440" s="62" t="str">
        <f aca="false">IF(AND(N440="Sí",E440="Plazo fijo",ISNUMBER(F440)),COUNTIFS(C_RUTN,M440,C_TIPO,"Plazo fijo",C_DEF,"Sí",C_INI,"&lt;"&amp;F440)+COUNTIFS(M$7:M440,M440,E$7:E440,"Plazo fijo",N$7:N440,"Sí",F$7:F440,F440),"")</f>
        <v/>
      </c>
      <c r="R440" s="62" t="str">
        <f aca="false">IF(AND(B440&lt;&gt;"",ISNUMBER(H440),ISNUMBER(F440)),COUNTIFS(C_RUTN,M440,C_SUELDO,"&lt;&gt;",C_INI,"&lt;"&amp;F440)+COUNTIFS(M$7:M440,M440,H$7:H440,"&lt;&gt;",F$7:F440,F440),"")</f>
        <v/>
      </c>
      <c r="S440" s="62" t="str">
        <f aca="false">IF(R440="","",M440&amp;"-S"&amp;R440)</f>
        <v/>
      </c>
    </row>
    <row r="441" customFormat="false" ht="15" hidden="false" customHeight="false" outlineLevel="0" collapsed="false">
      <c r="B441" s="58"/>
      <c r="C441" s="62" t="str">
        <f aca="false">IF(B441="","",IFERROR(INDEX(T_NOMBRE,MATCH(M441,T_RUTN,0)),"⚠ RUT no está en Trabajadores"))</f>
        <v/>
      </c>
      <c r="D441" s="58"/>
      <c r="E441" s="58"/>
      <c r="F441" s="59"/>
      <c r="G441" s="59"/>
      <c r="H441" s="60"/>
      <c r="I441" s="58"/>
      <c r="J441" s="58"/>
      <c r="K441" s="58"/>
      <c r="L441" s="62" t="str">
        <f aca="false">IF(B441="","",IF(LEFT(C441,1)="⚠","⚠ Registre primero al trabajador en la hoja Trabajadores",IF(AND(N441="Sí",OR(E441="",NOT(ISNUMBER(F441)))),"⚠ Falta tipo de contrato o fecha de inicio",IF(NOT(ISNUMBER(F441)),"⚠ Falta fecha de inicio",IF(AND(N441="Sí",E441&lt;&gt;"Indefinido",NOT(ISNUMBER(G441))),"⚠ Falta fecha de término",IF(AND(D441="Paso a indefinido",E441&lt;&gt;"Indefinido"),"⚠ Un paso a indefinido debe tener tipo Indefinido",IF(N(Q441)&gt;=3,"⚠ 3er contrato a plazo fijo: por ley ya es INDEFINIDO (Art. 159 N°4)",IF(AND(E441="Plazo fijo",ISNUMBER(G441),(G441-F441+1)/30.4375&gt;12),"⚠ Plazo fijo mayor a 1 año (máximo legal)",IF(J441&lt;&gt;"Sí","Pendiente de firma","OK")))))))))</f>
        <v/>
      </c>
      <c r="M441" s="62" t="str">
        <f aca="false">IF(B441="","",IFERROR(VALUE(LEFT(UPPER(SUBSTITUTE(SUBSTITUTE(SUBSTITUTE(TRIM(B441),".",""),"-","")," ","")),LEN(UPPER(SUBSTITUTE(SUBSTITUTE(SUBSTITUTE(TRIM(B441),".",""),"-","")," ","")))-1))&amp;RIGHT(UPPER(SUBSTITUTE(SUBSTITUTE(SUBSTITUTE(TRIM(B441),".",""),"-","")," ","")),1),UPPER(SUBSTITUTE(SUBSTITUTE(SUBSTITUTE(TRIM(B441),".",""),"-","")," ",""))))</f>
        <v/>
      </c>
      <c r="N441" s="62" t="str">
        <f aca="false">IF(B441="","",IF(D441="Anexo de modificación","No","Sí"))</f>
        <v/>
      </c>
      <c r="O441" s="62" t="str">
        <f aca="false">IF(AND(N441="Sí",ISNUMBER(F441)),COUNTIFS(C_RUTN,M441,C_DEF,"Sí",C_INI,"&lt;"&amp;F441)+COUNTIFS(M$7:M441,M441,N$7:N441,"Sí",F$7:F441,F441),"")</f>
        <v/>
      </c>
      <c r="P441" s="62" t="str">
        <f aca="false">IF(O441="","",M441&amp;"-P"&amp;O441)</f>
        <v/>
      </c>
      <c r="Q441" s="62" t="str">
        <f aca="false">IF(AND(N441="Sí",E441="Plazo fijo",ISNUMBER(F441)),COUNTIFS(C_RUTN,M441,C_TIPO,"Plazo fijo",C_DEF,"Sí",C_INI,"&lt;"&amp;F441)+COUNTIFS(M$7:M441,M441,E$7:E441,"Plazo fijo",N$7:N441,"Sí",F$7:F441,F441),"")</f>
        <v/>
      </c>
      <c r="R441" s="62" t="str">
        <f aca="false">IF(AND(B441&lt;&gt;"",ISNUMBER(H441),ISNUMBER(F441)),COUNTIFS(C_RUTN,M441,C_SUELDO,"&lt;&gt;",C_INI,"&lt;"&amp;F441)+COUNTIFS(M$7:M441,M441,H$7:H441,"&lt;&gt;",F$7:F441,F441),"")</f>
        <v/>
      </c>
      <c r="S441" s="62" t="str">
        <f aca="false">IF(R441="","",M441&amp;"-S"&amp;R441)</f>
        <v/>
      </c>
    </row>
    <row r="442" customFormat="false" ht="15" hidden="false" customHeight="false" outlineLevel="0" collapsed="false">
      <c r="B442" s="58"/>
      <c r="C442" s="62" t="str">
        <f aca="false">IF(B442="","",IFERROR(INDEX(T_NOMBRE,MATCH(M442,T_RUTN,0)),"⚠ RUT no está en Trabajadores"))</f>
        <v/>
      </c>
      <c r="D442" s="58"/>
      <c r="E442" s="58"/>
      <c r="F442" s="59"/>
      <c r="G442" s="59"/>
      <c r="H442" s="60"/>
      <c r="I442" s="58"/>
      <c r="J442" s="58"/>
      <c r="K442" s="58"/>
      <c r="L442" s="62" t="str">
        <f aca="false">IF(B442="","",IF(LEFT(C442,1)="⚠","⚠ Registre primero al trabajador en la hoja Trabajadores",IF(AND(N442="Sí",OR(E442="",NOT(ISNUMBER(F442)))),"⚠ Falta tipo de contrato o fecha de inicio",IF(NOT(ISNUMBER(F442)),"⚠ Falta fecha de inicio",IF(AND(N442="Sí",E442&lt;&gt;"Indefinido",NOT(ISNUMBER(G442))),"⚠ Falta fecha de término",IF(AND(D442="Paso a indefinido",E442&lt;&gt;"Indefinido"),"⚠ Un paso a indefinido debe tener tipo Indefinido",IF(N(Q442)&gt;=3,"⚠ 3er contrato a plazo fijo: por ley ya es INDEFINIDO (Art. 159 N°4)",IF(AND(E442="Plazo fijo",ISNUMBER(G442),(G442-F442+1)/30.4375&gt;12),"⚠ Plazo fijo mayor a 1 año (máximo legal)",IF(J442&lt;&gt;"Sí","Pendiente de firma","OK")))))))))</f>
        <v/>
      </c>
      <c r="M442" s="62" t="str">
        <f aca="false">IF(B442="","",IFERROR(VALUE(LEFT(UPPER(SUBSTITUTE(SUBSTITUTE(SUBSTITUTE(TRIM(B442),".",""),"-","")," ","")),LEN(UPPER(SUBSTITUTE(SUBSTITUTE(SUBSTITUTE(TRIM(B442),".",""),"-","")," ","")))-1))&amp;RIGHT(UPPER(SUBSTITUTE(SUBSTITUTE(SUBSTITUTE(TRIM(B442),".",""),"-","")," ","")),1),UPPER(SUBSTITUTE(SUBSTITUTE(SUBSTITUTE(TRIM(B442),".",""),"-","")," ",""))))</f>
        <v/>
      </c>
      <c r="N442" s="62" t="str">
        <f aca="false">IF(B442="","",IF(D442="Anexo de modificación","No","Sí"))</f>
        <v/>
      </c>
      <c r="O442" s="62" t="str">
        <f aca="false">IF(AND(N442="Sí",ISNUMBER(F442)),COUNTIFS(C_RUTN,M442,C_DEF,"Sí",C_INI,"&lt;"&amp;F442)+COUNTIFS(M$7:M442,M442,N$7:N442,"Sí",F$7:F442,F442),"")</f>
        <v/>
      </c>
      <c r="P442" s="62" t="str">
        <f aca="false">IF(O442="","",M442&amp;"-P"&amp;O442)</f>
        <v/>
      </c>
      <c r="Q442" s="62" t="str">
        <f aca="false">IF(AND(N442="Sí",E442="Plazo fijo",ISNUMBER(F442)),COUNTIFS(C_RUTN,M442,C_TIPO,"Plazo fijo",C_DEF,"Sí",C_INI,"&lt;"&amp;F442)+COUNTIFS(M$7:M442,M442,E$7:E442,"Plazo fijo",N$7:N442,"Sí",F$7:F442,F442),"")</f>
        <v/>
      </c>
      <c r="R442" s="62" t="str">
        <f aca="false">IF(AND(B442&lt;&gt;"",ISNUMBER(H442),ISNUMBER(F442)),COUNTIFS(C_RUTN,M442,C_SUELDO,"&lt;&gt;",C_INI,"&lt;"&amp;F442)+COUNTIFS(M$7:M442,M442,H$7:H442,"&lt;&gt;",F$7:F442,F442),"")</f>
        <v/>
      </c>
      <c r="S442" s="62" t="str">
        <f aca="false">IF(R442="","",M442&amp;"-S"&amp;R442)</f>
        <v/>
      </c>
    </row>
    <row r="443" customFormat="false" ht="15" hidden="false" customHeight="false" outlineLevel="0" collapsed="false">
      <c r="B443" s="58"/>
      <c r="C443" s="62" t="str">
        <f aca="false">IF(B443="","",IFERROR(INDEX(T_NOMBRE,MATCH(M443,T_RUTN,0)),"⚠ RUT no está en Trabajadores"))</f>
        <v/>
      </c>
      <c r="D443" s="58"/>
      <c r="E443" s="58"/>
      <c r="F443" s="59"/>
      <c r="G443" s="59"/>
      <c r="H443" s="60"/>
      <c r="I443" s="58"/>
      <c r="J443" s="58"/>
      <c r="K443" s="58"/>
      <c r="L443" s="62" t="str">
        <f aca="false">IF(B443="","",IF(LEFT(C443,1)="⚠","⚠ Registre primero al trabajador en la hoja Trabajadores",IF(AND(N443="Sí",OR(E443="",NOT(ISNUMBER(F443)))),"⚠ Falta tipo de contrato o fecha de inicio",IF(NOT(ISNUMBER(F443)),"⚠ Falta fecha de inicio",IF(AND(N443="Sí",E443&lt;&gt;"Indefinido",NOT(ISNUMBER(G443))),"⚠ Falta fecha de término",IF(AND(D443="Paso a indefinido",E443&lt;&gt;"Indefinido"),"⚠ Un paso a indefinido debe tener tipo Indefinido",IF(N(Q443)&gt;=3,"⚠ 3er contrato a plazo fijo: por ley ya es INDEFINIDO (Art. 159 N°4)",IF(AND(E443="Plazo fijo",ISNUMBER(G443),(G443-F443+1)/30.4375&gt;12),"⚠ Plazo fijo mayor a 1 año (máximo legal)",IF(J443&lt;&gt;"Sí","Pendiente de firma","OK")))))))))</f>
        <v/>
      </c>
      <c r="M443" s="62" t="str">
        <f aca="false">IF(B443="","",IFERROR(VALUE(LEFT(UPPER(SUBSTITUTE(SUBSTITUTE(SUBSTITUTE(TRIM(B443),".",""),"-","")," ","")),LEN(UPPER(SUBSTITUTE(SUBSTITUTE(SUBSTITUTE(TRIM(B443),".",""),"-","")," ","")))-1))&amp;RIGHT(UPPER(SUBSTITUTE(SUBSTITUTE(SUBSTITUTE(TRIM(B443),".",""),"-","")," ","")),1),UPPER(SUBSTITUTE(SUBSTITUTE(SUBSTITUTE(TRIM(B443),".",""),"-","")," ",""))))</f>
        <v/>
      </c>
      <c r="N443" s="62" t="str">
        <f aca="false">IF(B443="","",IF(D443="Anexo de modificación","No","Sí"))</f>
        <v/>
      </c>
      <c r="O443" s="62" t="str">
        <f aca="false">IF(AND(N443="Sí",ISNUMBER(F443)),COUNTIFS(C_RUTN,M443,C_DEF,"Sí",C_INI,"&lt;"&amp;F443)+COUNTIFS(M$7:M443,M443,N$7:N443,"Sí",F$7:F443,F443),"")</f>
        <v/>
      </c>
      <c r="P443" s="62" t="str">
        <f aca="false">IF(O443="","",M443&amp;"-P"&amp;O443)</f>
        <v/>
      </c>
      <c r="Q443" s="62" t="str">
        <f aca="false">IF(AND(N443="Sí",E443="Plazo fijo",ISNUMBER(F443)),COUNTIFS(C_RUTN,M443,C_TIPO,"Plazo fijo",C_DEF,"Sí",C_INI,"&lt;"&amp;F443)+COUNTIFS(M$7:M443,M443,E$7:E443,"Plazo fijo",N$7:N443,"Sí",F$7:F443,F443),"")</f>
        <v/>
      </c>
      <c r="R443" s="62" t="str">
        <f aca="false">IF(AND(B443&lt;&gt;"",ISNUMBER(H443),ISNUMBER(F443)),COUNTIFS(C_RUTN,M443,C_SUELDO,"&lt;&gt;",C_INI,"&lt;"&amp;F443)+COUNTIFS(M$7:M443,M443,H$7:H443,"&lt;&gt;",F$7:F443,F443),"")</f>
        <v/>
      </c>
      <c r="S443" s="62" t="str">
        <f aca="false">IF(R443="","",M443&amp;"-S"&amp;R443)</f>
        <v/>
      </c>
    </row>
    <row r="444" customFormat="false" ht="15" hidden="false" customHeight="false" outlineLevel="0" collapsed="false">
      <c r="B444" s="58"/>
      <c r="C444" s="62" t="str">
        <f aca="false">IF(B444="","",IFERROR(INDEX(T_NOMBRE,MATCH(M444,T_RUTN,0)),"⚠ RUT no está en Trabajadores"))</f>
        <v/>
      </c>
      <c r="D444" s="58"/>
      <c r="E444" s="58"/>
      <c r="F444" s="59"/>
      <c r="G444" s="59"/>
      <c r="H444" s="60"/>
      <c r="I444" s="58"/>
      <c r="J444" s="58"/>
      <c r="K444" s="58"/>
      <c r="L444" s="62" t="str">
        <f aca="false">IF(B444="","",IF(LEFT(C444,1)="⚠","⚠ Registre primero al trabajador en la hoja Trabajadores",IF(AND(N444="Sí",OR(E444="",NOT(ISNUMBER(F444)))),"⚠ Falta tipo de contrato o fecha de inicio",IF(NOT(ISNUMBER(F444)),"⚠ Falta fecha de inicio",IF(AND(N444="Sí",E444&lt;&gt;"Indefinido",NOT(ISNUMBER(G444))),"⚠ Falta fecha de término",IF(AND(D444="Paso a indefinido",E444&lt;&gt;"Indefinido"),"⚠ Un paso a indefinido debe tener tipo Indefinido",IF(N(Q444)&gt;=3,"⚠ 3er contrato a plazo fijo: por ley ya es INDEFINIDO (Art. 159 N°4)",IF(AND(E444="Plazo fijo",ISNUMBER(G444),(G444-F444+1)/30.4375&gt;12),"⚠ Plazo fijo mayor a 1 año (máximo legal)",IF(J444&lt;&gt;"Sí","Pendiente de firma","OK")))))))))</f>
        <v/>
      </c>
      <c r="M444" s="62" t="str">
        <f aca="false">IF(B444="","",IFERROR(VALUE(LEFT(UPPER(SUBSTITUTE(SUBSTITUTE(SUBSTITUTE(TRIM(B444),".",""),"-","")," ","")),LEN(UPPER(SUBSTITUTE(SUBSTITUTE(SUBSTITUTE(TRIM(B444),".",""),"-","")," ","")))-1))&amp;RIGHT(UPPER(SUBSTITUTE(SUBSTITUTE(SUBSTITUTE(TRIM(B444),".",""),"-","")," ","")),1),UPPER(SUBSTITUTE(SUBSTITUTE(SUBSTITUTE(TRIM(B444),".",""),"-","")," ",""))))</f>
        <v/>
      </c>
      <c r="N444" s="62" t="str">
        <f aca="false">IF(B444="","",IF(D444="Anexo de modificación","No","Sí"))</f>
        <v/>
      </c>
      <c r="O444" s="62" t="str">
        <f aca="false">IF(AND(N444="Sí",ISNUMBER(F444)),COUNTIFS(C_RUTN,M444,C_DEF,"Sí",C_INI,"&lt;"&amp;F444)+COUNTIFS(M$7:M444,M444,N$7:N444,"Sí",F$7:F444,F444),"")</f>
        <v/>
      </c>
      <c r="P444" s="62" t="str">
        <f aca="false">IF(O444="","",M444&amp;"-P"&amp;O444)</f>
        <v/>
      </c>
      <c r="Q444" s="62" t="str">
        <f aca="false">IF(AND(N444="Sí",E444="Plazo fijo",ISNUMBER(F444)),COUNTIFS(C_RUTN,M444,C_TIPO,"Plazo fijo",C_DEF,"Sí",C_INI,"&lt;"&amp;F444)+COUNTIFS(M$7:M444,M444,E$7:E444,"Plazo fijo",N$7:N444,"Sí",F$7:F444,F444),"")</f>
        <v/>
      </c>
      <c r="R444" s="62" t="str">
        <f aca="false">IF(AND(B444&lt;&gt;"",ISNUMBER(H444),ISNUMBER(F444)),COUNTIFS(C_RUTN,M444,C_SUELDO,"&lt;&gt;",C_INI,"&lt;"&amp;F444)+COUNTIFS(M$7:M444,M444,H$7:H444,"&lt;&gt;",F$7:F444,F444),"")</f>
        <v/>
      </c>
      <c r="S444" s="62" t="str">
        <f aca="false">IF(R444="","",M444&amp;"-S"&amp;R444)</f>
        <v/>
      </c>
    </row>
    <row r="445" customFormat="false" ht="15" hidden="false" customHeight="false" outlineLevel="0" collapsed="false">
      <c r="B445" s="58"/>
      <c r="C445" s="62" t="str">
        <f aca="false">IF(B445="","",IFERROR(INDEX(T_NOMBRE,MATCH(M445,T_RUTN,0)),"⚠ RUT no está en Trabajadores"))</f>
        <v/>
      </c>
      <c r="D445" s="58"/>
      <c r="E445" s="58"/>
      <c r="F445" s="59"/>
      <c r="G445" s="59"/>
      <c r="H445" s="60"/>
      <c r="I445" s="58"/>
      <c r="J445" s="58"/>
      <c r="K445" s="58"/>
      <c r="L445" s="62" t="str">
        <f aca="false">IF(B445="","",IF(LEFT(C445,1)="⚠","⚠ Registre primero al trabajador en la hoja Trabajadores",IF(AND(N445="Sí",OR(E445="",NOT(ISNUMBER(F445)))),"⚠ Falta tipo de contrato o fecha de inicio",IF(NOT(ISNUMBER(F445)),"⚠ Falta fecha de inicio",IF(AND(N445="Sí",E445&lt;&gt;"Indefinido",NOT(ISNUMBER(G445))),"⚠ Falta fecha de término",IF(AND(D445="Paso a indefinido",E445&lt;&gt;"Indefinido"),"⚠ Un paso a indefinido debe tener tipo Indefinido",IF(N(Q445)&gt;=3,"⚠ 3er contrato a plazo fijo: por ley ya es INDEFINIDO (Art. 159 N°4)",IF(AND(E445="Plazo fijo",ISNUMBER(G445),(G445-F445+1)/30.4375&gt;12),"⚠ Plazo fijo mayor a 1 año (máximo legal)",IF(J445&lt;&gt;"Sí","Pendiente de firma","OK")))))))))</f>
        <v/>
      </c>
      <c r="M445" s="62" t="str">
        <f aca="false">IF(B445="","",IFERROR(VALUE(LEFT(UPPER(SUBSTITUTE(SUBSTITUTE(SUBSTITUTE(TRIM(B445),".",""),"-","")," ","")),LEN(UPPER(SUBSTITUTE(SUBSTITUTE(SUBSTITUTE(TRIM(B445),".",""),"-","")," ","")))-1))&amp;RIGHT(UPPER(SUBSTITUTE(SUBSTITUTE(SUBSTITUTE(TRIM(B445),".",""),"-","")," ","")),1),UPPER(SUBSTITUTE(SUBSTITUTE(SUBSTITUTE(TRIM(B445),".",""),"-","")," ",""))))</f>
        <v/>
      </c>
      <c r="N445" s="62" t="str">
        <f aca="false">IF(B445="","",IF(D445="Anexo de modificación","No","Sí"))</f>
        <v/>
      </c>
      <c r="O445" s="62" t="str">
        <f aca="false">IF(AND(N445="Sí",ISNUMBER(F445)),COUNTIFS(C_RUTN,M445,C_DEF,"Sí",C_INI,"&lt;"&amp;F445)+COUNTIFS(M$7:M445,M445,N$7:N445,"Sí",F$7:F445,F445),"")</f>
        <v/>
      </c>
      <c r="P445" s="62" t="str">
        <f aca="false">IF(O445="","",M445&amp;"-P"&amp;O445)</f>
        <v/>
      </c>
      <c r="Q445" s="62" t="str">
        <f aca="false">IF(AND(N445="Sí",E445="Plazo fijo",ISNUMBER(F445)),COUNTIFS(C_RUTN,M445,C_TIPO,"Plazo fijo",C_DEF,"Sí",C_INI,"&lt;"&amp;F445)+COUNTIFS(M$7:M445,M445,E$7:E445,"Plazo fijo",N$7:N445,"Sí",F$7:F445,F445),"")</f>
        <v/>
      </c>
      <c r="R445" s="62" t="str">
        <f aca="false">IF(AND(B445&lt;&gt;"",ISNUMBER(H445),ISNUMBER(F445)),COUNTIFS(C_RUTN,M445,C_SUELDO,"&lt;&gt;",C_INI,"&lt;"&amp;F445)+COUNTIFS(M$7:M445,M445,H$7:H445,"&lt;&gt;",F$7:F445,F445),"")</f>
        <v/>
      </c>
      <c r="S445" s="62" t="str">
        <f aca="false">IF(R445="","",M445&amp;"-S"&amp;R445)</f>
        <v/>
      </c>
    </row>
    <row r="446" customFormat="false" ht="15" hidden="false" customHeight="false" outlineLevel="0" collapsed="false">
      <c r="B446" s="58"/>
      <c r="C446" s="62" t="str">
        <f aca="false">IF(B446="","",IFERROR(INDEX(T_NOMBRE,MATCH(M446,T_RUTN,0)),"⚠ RUT no está en Trabajadores"))</f>
        <v/>
      </c>
      <c r="D446" s="58"/>
      <c r="E446" s="58"/>
      <c r="F446" s="59"/>
      <c r="G446" s="59"/>
      <c r="H446" s="60"/>
      <c r="I446" s="58"/>
      <c r="J446" s="58"/>
      <c r="K446" s="58"/>
      <c r="L446" s="62" t="str">
        <f aca="false">IF(B446="","",IF(LEFT(C446,1)="⚠","⚠ Registre primero al trabajador en la hoja Trabajadores",IF(AND(N446="Sí",OR(E446="",NOT(ISNUMBER(F446)))),"⚠ Falta tipo de contrato o fecha de inicio",IF(NOT(ISNUMBER(F446)),"⚠ Falta fecha de inicio",IF(AND(N446="Sí",E446&lt;&gt;"Indefinido",NOT(ISNUMBER(G446))),"⚠ Falta fecha de término",IF(AND(D446="Paso a indefinido",E446&lt;&gt;"Indefinido"),"⚠ Un paso a indefinido debe tener tipo Indefinido",IF(N(Q446)&gt;=3,"⚠ 3er contrato a plazo fijo: por ley ya es INDEFINIDO (Art. 159 N°4)",IF(AND(E446="Plazo fijo",ISNUMBER(G446),(G446-F446+1)/30.4375&gt;12),"⚠ Plazo fijo mayor a 1 año (máximo legal)",IF(J446&lt;&gt;"Sí","Pendiente de firma","OK")))))))))</f>
        <v/>
      </c>
      <c r="M446" s="62" t="str">
        <f aca="false">IF(B446="","",IFERROR(VALUE(LEFT(UPPER(SUBSTITUTE(SUBSTITUTE(SUBSTITUTE(TRIM(B446),".",""),"-","")," ","")),LEN(UPPER(SUBSTITUTE(SUBSTITUTE(SUBSTITUTE(TRIM(B446),".",""),"-","")," ","")))-1))&amp;RIGHT(UPPER(SUBSTITUTE(SUBSTITUTE(SUBSTITUTE(TRIM(B446),".",""),"-","")," ","")),1),UPPER(SUBSTITUTE(SUBSTITUTE(SUBSTITUTE(TRIM(B446),".",""),"-","")," ",""))))</f>
        <v/>
      </c>
      <c r="N446" s="62" t="str">
        <f aca="false">IF(B446="","",IF(D446="Anexo de modificación","No","Sí"))</f>
        <v/>
      </c>
      <c r="O446" s="62" t="str">
        <f aca="false">IF(AND(N446="Sí",ISNUMBER(F446)),COUNTIFS(C_RUTN,M446,C_DEF,"Sí",C_INI,"&lt;"&amp;F446)+COUNTIFS(M$7:M446,M446,N$7:N446,"Sí",F$7:F446,F446),"")</f>
        <v/>
      </c>
      <c r="P446" s="62" t="str">
        <f aca="false">IF(O446="","",M446&amp;"-P"&amp;O446)</f>
        <v/>
      </c>
      <c r="Q446" s="62" t="str">
        <f aca="false">IF(AND(N446="Sí",E446="Plazo fijo",ISNUMBER(F446)),COUNTIFS(C_RUTN,M446,C_TIPO,"Plazo fijo",C_DEF,"Sí",C_INI,"&lt;"&amp;F446)+COUNTIFS(M$7:M446,M446,E$7:E446,"Plazo fijo",N$7:N446,"Sí",F$7:F446,F446),"")</f>
        <v/>
      </c>
      <c r="R446" s="62" t="str">
        <f aca="false">IF(AND(B446&lt;&gt;"",ISNUMBER(H446),ISNUMBER(F446)),COUNTIFS(C_RUTN,M446,C_SUELDO,"&lt;&gt;",C_INI,"&lt;"&amp;F446)+COUNTIFS(M$7:M446,M446,H$7:H446,"&lt;&gt;",F$7:F446,F446),"")</f>
        <v/>
      </c>
      <c r="S446" s="62" t="str">
        <f aca="false">IF(R446="","",M446&amp;"-S"&amp;R446)</f>
        <v/>
      </c>
    </row>
    <row r="447" customFormat="false" ht="15" hidden="false" customHeight="false" outlineLevel="0" collapsed="false">
      <c r="B447" s="58"/>
      <c r="C447" s="62" t="str">
        <f aca="false">IF(B447="","",IFERROR(INDEX(T_NOMBRE,MATCH(M447,T_RUTN,0)),"⚠ RUT no está en Trabajadores"))</f>
        <v/>
      </c>
      <c r="D447" s="58"/>
      <c r="E447" s="58"/>
      <c r="F447" s="59"/>
      <c r="G447" s="59"/>
      <c r="H447" s="60"/>
      <c r="I447" s="58"/>
      <c r="J447" s="58"/>
      <c r="K447" s="58"/>
      <c r="L447" s="62" t="str">
        <f aca="false">IF(B447="","",IF(LEFT(C447,1)="⚠","⚠ Registre primero al trabajador en la hoja Trabajadores",IF(AND(N447="Sí",OR(E447="",NOT(ISNUMBER(F447)))),"⚠ Falta tipo de contrato o fecha de inicio",IF(NOT(ISNUMBER(F447)),"⚠ Falta fecha de inicio",IF(AND(N447="Sí",E447&lt;&gt;"Indefinido",NOT(ISNUMBER(G447))),"⚠ Falta fecha de término",IF(AND(D447="Paso a indefinido",E447&lt;&gt;"Indefinido"),"⚠ Un paso a indefinido debe tener tipo Indefinido",IF(N(Q447)&gt;=3,"⚠ 3er contrato a plazo fijo: por ley ya es INDEFINIDO (Art. 159 N°4)",IF(AND(E447="Plazo fijo",ISNUMBER(G447),(G447-F447+1)/30.4375&gt;12),"⚠ Plazo fijo mayor a 1 año (máximo legal)",IF(J447&lt;&gt;"Sí","Pendiente de firma","OK")))))))))</f>
        <v/>
      </c>
      <c r="M447" s="62" t="str">
        <f aca="false">IF(B447="","",IFERROR(VALUE(LEFT(UPPER(SUBSTITUTE(SUBSTITUTE(SUBSTITUTE(TRIM(B447),".",""),"-","")," ","")),LEN(UPPER(SUBSTITUTE(SUBSTITUTE(SUBSTITUTE(TRIM(B447),".",""),"-","")," ","")))-1))&amp;RIGHT(UPPER(SUBSTITUTE(SUBSTITUTE(SUBSTITUTE(TRIM(B447),".",""),"-","")," ","")),1),UPPER(SUBSTITUTE(SUBSTITUTE(SUBSTITUTE(TRIM(B447),".",""),"-","")," ",""))))</f>
        <v/>
      </c>
      <c r="N447" s="62" t="str">
        <f aca="false">IF(B447="","",IF(D447="Anexo de modificación","No","Sí"))</f>
        <v/>
      </c>
      <c r="O447" s="62" t="str">
        <f aca="false">IF(AND(N447="Sí",ISNUMBER(F447)),COUNTIFS(C_RUTN,M447,C_DEF,"Sí",C_INI,"&lt;"&amp;F447)+COUNTIFS(M$7:M447,M447,N$7:N447,"Sí",F$7:F447,F447),"")</f>
        <v/>
      </c>
      <c r="P447" s="62" t="str">
        <f aca="false">IF(O447="","",M447&amp;"-P"&amp;O447)</f>
        <v/>
      </c>
      <c r="Q447" s="62" t="str">
        <f aca="false">IF(AND(N447="Sí",E447="Plazo fijo",ISNUMBER(F447)),COUNTIFS(C_RUTN,M447,C_TIPO,"Plazo fijo",C_DEF,"Sí",C_INI,"&lt;"&amp;F447)+COUNTIFS(M$7:M447,M447,E$7:E447,"Plazo fijo",N$7:N447,"Sí",F$7:F447,F447),"")</f>
        <v/>
      </c>
      <c r="R447" s="62" t="str">
        <f aca="false">IF(AND(B447&lt;&gt;"",ISNUMBER(H447),ISNUMBER(F447)),COUNTIFS(C_RUTN,M447,C_SUELDO,"&lt;&gt;",C_INI,"&lt;"&amp;F447)+COUNTIFS(M$7:M447,M447,H$7:H447,"&lt;&gt;",F$7:F447,F447),"")</f>
        <v/>
      </c>
      <c r="S447" s="62" t="str">
        <f aca="false">IF(R447="","",M447&amp;"-S"&amp;R447)</f>
        <v/>
      </c>
    </row>
    <row r="448" customFormat="false" ht="15" hidden="false" customHeight="false" outlineLevel="0" collapsed="false">
      <c r="B448" s="58"/>
      <c r="C448" s="62" t="str">
        <f aca="false">IF(B448="","",IFERROR(INDEX(T_NOMBRE,MATCH(M448,T_RUTN,0)),"⚠ RUT no está en Trabajadores"))</f>
        <v/>
      </c>
      <c r="D448" s="58"/>
      <c r="E448" s="58"/>
      <c r="F448" s="59"/>
      <c r="G448" s="59"/>
      <c r="H448" s="60"/>
      <c r="I448" s="58"/>
      <c r="J448" s="58"/>
      <c r="K448" s="58"/>
      <c r="L448" s="62" t="str">
        <f aca="false">IF(B448="","",IF(LEFT(C448,1)="⚠","⚠ Registre primero al trabajador en la hoja Trabajadores",IF(AND(N448="Sí",OR(E448="",NOT(ISNUMBER(F448)))),"⚠ Falta tipo de contrato o fecha de inicio",IF(NOT(ISNUMBER(F448)),"⚠ Falta fecha de inicio",IF(AND(N448="Sí",E448&lt;&gt;"Indefinido",NOT(ISNUMBER(G448))),"⚠ Falta fecha de término",IF(AND(D448="Paso a indefinido",E448&lt;&gt;"Indefinido"),"⚠ Un paso a indefinido debe tener tipo Indefinido",IF(N(Q448)&gt;=3,"⚠ 3er contrato a plazo fijo: por ley ya es INDEFINIDO (Art. 159 N°4)",IF(AND(E448="Plazo fijo",ISNUMBER(G448),(G448-F448+1)/30.4375&gt;12),"⚠ Plazo fijo mayor a 1 año (máximo legal)",IF(J448&lt;&gt;"Sí","Pendiente de firma","OK")))))))))</f>
        <v/>
      </c>
      <c r="M448" s="62" t="str">
        <f aca="false">IF(B448="","",IFERROR(VALUE(LEFT(UPPER(SUBSTITUTE(SUBSTITUTE(SUBSTITUTE(TRIM(B448),".",""),"-","")," ","")),LEN(UPPER(SUBSTITUTE(SUBSTITUTE(SUBSTITUTE(TRIM(B448),".",""),"-","")," ","")))-1))&amp;RIGHT(UPPER(SUBSTITUTE(SUBSTITUTE(SUBSTITUTE(TRIM(B448),".",""),"-","")," ","")),1),UPPER(SUBSTITUTE(SUBSTITUTE(SUBSTITUTE(TRIM(B448),".",""),"-","")," ",""))))</f>
        <v/>
      </c>
      <c r="N448" s="62" t="str">
        <f aca="false">IF(B448="","",IF(D448="Anexo de modificación","No","Sí"))</f>
        <v/>
      </c>
      <c r="O448" s="62" t="str">
        <f aca="false">IF(AND(N448="Sí",ISNUMBER(F448)),COUNTIFS(C_RUTN,M448,C_DEF,"Sí",C_INI,"&lt;"&amp;F448)+COUNTIFS(M$7:M448,M448,N$7:N448,"Sí",F$7:F448,F448),"")</f>
        <v/>
      </c>
      <c r="P448" s="62" t="str">
        <f aca="false">IF(O448="","",M448&amp;"-P"&amp;O448)</f>
        <v/>
      </c>
      <c r="Q448" s="62" t="str">
        <f aca="false">IF(AND(N448="Sí",E448="Plazo fijo",ISNUMBER(F448)),COUNTIFS(C_RUTN,M448,C_TIPO,"Plazo fijo",C_DEF,"Sí",C_INI,"&lt;"&amp;F448)+COUNTIFS(M$7:M448,M448,E$7:E448,"Plazo fijo",N$7:N448,"Sí",F$7:F448,F448),"")</f>
        <v/>
      </c>
      <c r="R448" s="62" t="str">
        <f aca="false">IF(AND(B448&lt;&gt;"",ISNUMBER(H448),ISNUMBER(F448)),COUNTIFS(C_RUTN,M448,C_SUELDO,"&lt;&gt;",C_INI,"&lt;"&amp;F448)+COUNTIFS(M$7:M448,M448,H$7:H448,"&lt;&gt;",F$7:F448,F448),"")</f>
        <v/>
      </c>
      <c r="S448" s="62" t="str">
        <f aca="false">IF(R448="","",M448&amp;"-S"&amp;R448)</f>
        <v/>
      </c>
    </row>
    <row r="449" customFormat="false" ht="15" hidden="false" customHeight="false" outlineLevel="0" collapsed="false">
      <c r="B449" s="58"/>
      <c r="C449" s="62" t="str">
        <f aca="false">IF(B449="","",IFERROR(INDEX(T_NOMBRE,MATCH(M449,T_RUTN,0)),"⚠ RUT no está en Trabajadores"))</f>
        <v/>
      </c>
      <c r="D449" s="58"/>
      <c r="E449" s="58"/>
      <c r="F449" s="59"/>
      <c r="G449" s="59"/>
      <c r="H449" s="60"/>
      <c r="I449" s="58"/>
      <c r="J449" s="58"/>
      <c r="K449" s="58"/>
      <c r="L449" s="62" t="str">
        <f aca="false">IF(B449="","",IF(LEFT(C449,1)="⚠","⚠ Registre primero al trabajador en la hoja Trabajadores",IF(AND(N449="Sí",OR(E449="",NOT(ISNUMBER(F449)))),"⚠ Falta tipo de contrato o fecha de inicio",IF(NOT(ISNUMBER(F449)),"⚠ Falta fecha de inicio",IF(AND(N449="Sí",E449&lt;&gt;"Indefinido",NOT(ISNUMBER(G449))),"⚠ Falta fecha de término",IF(AND(D449="Paso a indefinido",E449&lt;&gt;"Indefinido"),"⚠ Un paso a indefinido debe tener tipo Indefinido",IF(N(Q449)&gt;=3,"⚠ 3er contrato a plazo fijo: por ley ya es INDEFINIDO (Art. 159 N°4)",IF(AND(E449="Plazo fijo",ISNUMBER(G449),(G449-F449+1)/30.4375&gt;12),"⚠ Plazo fijo mayor a 1 año (máximo legal)",IF(J449&lt;&gt;"Sí","Pendiente de firma","OK")))))))))</f>
        <v/>
      </c>
      <c r="M449" s="62" t="str">
        <f aca="false">IF(B449="","",IFERROR(VALUE(LEFT(UPPER(SUBSTITUTE(SUBSTITUTE(SUBSTITUTE(TRIM(B449),".",""),"-","")," ","")),LEN(UPPER(SUBSTITUTE(SUBSTITUTE(SUBSTITUTE(TRIM(B449),".",""),"-","")," ","")))-1))&amp;RIGHT(UPPER(SUBSTITUTE(SUBSTITUTE(SUBSTITUTE(TRIM(B449),".",""),"-","")," ","")),1),UPPER(SUBSTITUTE(SUBSTITUTE(SUBSTITUTE(TRIM(B449),".",""),"-","")," ",""))))</f>
        <v/>
      </c>
      <c r="N449" s="62" t="str">
        <f aca="false">IF(B449="","",IF(D449="Anexo de modificación","No","Sí"))</f>
        <v/>
      </c>
      <c r="O449" s="62" t="str">
        <f aca="false">IF(AND(N449="Sí",ISNUMBER(F449)),COUNTIFS(C_RUTN,M449,C_DEF,"Sí",C_INI,"&lt;"&amp;F449)+COUNTIFS(M$7:M449,M449,N$7:N449,"Sí",F$7:F449,F449),"")</f>
        <v/>
      </c>
      <c r="P449" s="62" t="str">
        <f aca="false">IF(O449="","",M449&amp;"-P"&amp;O449)</f>
        <v/>
      </c>
      <c r="Q449" s="62" t="str">
        <f aca="false">IF(AND(N449="Sí",E449="Plazo fijo",ISNUMBER(F449)),COUNTIFS(C_RUTN,M449,C_TIPO,"Plazo fijo",C_DEF,"Sí",C_INI,"&lt;"&amp;F449)+COUNTIFS(M$7:M449,M449,E$7:E449,"Plazo fijo",N$7:N449,"Sí",F$7:F449,F449),"")</f>
        <v/>
      </c>
      <c r="R449" s="62" t="str">
        <f aca="false">IF(AND(B449&lt;&gt;"",ISNUMBER(H449),ISNUMBER(F449)),COUNTIFS(C_RUTN,M449,C_SUELDO,"&lt;&gt;",C_INI,"&lt;"&amp;F449)+COUNTIFS(M$7:M449,M449,H$7:H449,"&lt;&gt;",F$7:F449,F449),"")</f>
        <v/>
      </c>
      <c r="S449" s="62" t="str">
        <f aca="false">IF(R449="","",M449&amp;"-S"&amp;R449)</f>
        <v/>
      </c>
    </row>
    <row r="450" customFormat="false" ht="15" hidden="false" customHeight="false" outlineLevel="0" collapsed="false">
      <c r="B450" s="58"/>
      <c r="C450" s="62" t="str">
        <f aca="false">IF(B450="","",IFERROR(INDEX(T_NOMBRE,MATCH(M450,T_RUTN,0)),"⚠ RUT no está en Trabajadores"))</f>
        <v/>
      </c>
      <c r="D450" s="58"/>
      <c r="E450" s="58"/>
      <c r="F450" s="59"/>
      <c r="G450" s="59"/>
      <c r="H450" s="60"/>
      <c r="I450" s="58"/>
      <c r="J450" s="58"/>
      <c r="K450" s="58"/>
      <c r="L450" s="62" t="str">
        <f aca="false">IF(B450="","",IF(LEFT(C450,1)="⚠","⚠ Registre primero al trabajador en la hoja Trabajadores",IF(AND(N450="Sí",OR(E450="",NOT(ISNUMBER(F450)))),"⚠ Falta tipo de contrato o fecha de inicio",IF(NOT(ISNUMBER(F450)),"⚠ Falta fecha de inicio",IF(AND(N450="Sí",E450&lt;&gt;"Indefinido",NOT(ISNUMBER(G450))),"⚠ Falta fecha de término",IF(AND(D450="Paso a indefinido",E450&lt;&gt;"Indefinido"),"⚠ Un paso a indefinido debe tener tipo Indefinido",IF(N(Q450)&gt;=3,"⚠ 3er contrato a plazo fijo: por ley ya es INDEFINIDO (Art. 159 N°4)",IF(AND(E450="Plazo fijo",ISNUMBER(G450),(G450-F450+1)/30.4375&gt;12),"⚠ Plazo fijo mayor a 1 año (máximo legal)",IF(J450&lt;&gt;"Sí","Pendiente de firma","OK")))))))))</f>
        <v/>
      </c>
      <c r="M450" s="62" t="str">
        <f aca="false">IF(B450="","",IFERROR(VALUE(LEFT(UPPER(SUBSTITUTE(SUBSTITUTE(SUBSTITUTE(TRIM(B450),".",""),"-","")," ","")),LEN(UPPER(SUBSTITUTE(SUBSTITUTE(SUBSTITUTE(TRIM(B450),".",""),"-","")," ","")))-1))&amp;RIGHT(UPPER(SUBSTITUTE(SUBSTITUTE(SUBSTITUTE(TRIM(B450),".",""),"-","")," ","")),1),UPPER(SUBSTITUTE(SUBSTITUTE(SUBSTITUTE(TRIM(B450),".",""),"-","")," ",""))))</f>
        <v/>
      </c>
      <c r="N450" s="62" t="str">
        <f aca="false">IF(B450="","",IF(D450="Anexo de modificación","No","Sí"))</f>
        <v/>
      </c>
      <c r="O450" s="62" t="str">
        <f aca="false">IF(AND(N450="Sí",ISNUMBER(F450)),COUNTIFS(C_RUTN,M450,C_DEF,"Sí",C_INI,"&lt;"&amp;F450)+COUNTIFS(M$7:M450,M450,N$7:N450,"Sí",F$7:F450,F450),"")</f>
        <v/>
      </c>
      <c r="P450" s="62" t="str">
        <f aca="false">IF(O450="","",M450&amp;"-P"&amp;O450)</f>
        <v/>
      </c>
      <c r="Q450" s="62" t="str">
        <f aca="false">IF(AND(N450="Sí",E450="Plazo fijo",ISNUMBER(F450)),COUNTIFS(C_RUTN,M450,C_TIPO,"Plazo fijo",C_DEF,"Sí",C_INI,"&lt;"&amp;F450)+COUNTIFS(M$7:M450,M450,E$7:E450,"Plazo fijo",N$7:N450,"Sí",F$7:F450,F450),"")</f>
        <v/>
      </c>
      <c r="R450" s="62" t="str">
        <f aca="false">IF(AND(B450&lt;&gt;"",ISNUMBER(H450),ISNUMBER(F450)),COUNTIFS(C_RUTN,M450,C_SUELDO,"&lt;&gt;",C_INI,"&lt;"&amp;F450)+COUNTIFS(M$7:M450,M450,H$7:H450,"&lt;&gt;",F$7:F450,F450),"")</f>
        <v/>
      </c>
      <c r="S450" s="62" t="str">
        <f aca="false">IF(R450="","",M450&amp;"-S"&amp;R450)</f>
        <v/>
      </c>
    </row>
    <row r="451" customFormat="false" ht="15" hidden="false" customHeight="false" outlineLevel="0" collapsed="false">
      <c r="B451" s="58"/>
      <c r="C451" s="62" t="str">
        <f aca="false">IF(B451="","",IFERROR(INDEX(T_NOMBRE,MATCH(M451,T_RUTN,0)),"⚠ RUT no está en Trabajadores"))</f>
        <v/>
      </c>
      <c r="D451" s="58"/>
      <c r="E451" s="58"/>
      <c r="F451" s="59"/>
      <c r="G451" s="59"/>
      <c r="H451" s="60"/>
      <c r="I451" s="58"/>
      <c r="J451" s="58"/>
      <c r="K451" s="58"/>
      <c r="L451" s="62" t="str">
        <f aca="false">IF(B451="","",IF(LEFT(C451,1)="⚠","⚠ Registre primero al trabajador en la hoja Trabajadores",IF(AND(N451="Sí",OR(E451="",NOT(ISNUMBER(F451)))),"⚠ Falta tipo de contrato o fecha de inicio",IF(NOT(ISNUMBER(F451)),"⚠ Falta fecha de inicio",IF(AND(N451="Sí",E451&lt;&gt;"Indefinido",NOT(ISNUMBER(G451))),"⚠ Falta fecha de término",IF(AND(D451="Paso a indefinido",E451&lt;&gt;"Indefinido"),"⚠ Un paso a indefinido debe tener tipo Indefinido",IF(N(Q451)&gt;=3,"⚠ 3er contrato a plazo fijo: por ley ya es INDEFINIDO (Art. 159 N°4)",IF(AND(E451="Plazo fijo",ISNUMBER(G451),(G451-F451+1)/30.4375&gt;12),"⚠ Plazo fijo mayor a 1 año (máximo legal)",IF(J451&lt;&gt;"Sí","Pendiente de firma","OK")))))))))</f>
        <v/>
      </c>
      <c r="M451" s="62" t="str">
        <f aca="false">IF(B451="","",IFERROR(VALUE(LEFT(UPPER(SUBSTITUTE(SUBSTITUTE(SUBSTITUTE(TRIM(B451),".",""),"-","")," ","")),LEN(UPPER(SUBSTITUTE(SUBSTITUTE(SUBSTITUTE(TRIM(B451),".",""),"-","")," ","")))-1))&amp;RIGHT(UPPER(SUBSTITUTE(SUBSTITUTE(SUBSTITUTE(TRIM(B451),".",""),"-","")," ","")),1),UPPER(SUBSTITUTE(SUBSTITUTE(SUBSTITUTE(TRIM(B451),".",""),"-","")," ",""))))</f>
        <v/>
      </c>
      <c r="N451" s="62" t="str">
        <f aca="false">IF(B451="","",IF(D451="Anexo de modificación","No","Sí"))</f>
        <v/>
      </c>
      <c r="O451" s="62" t="str">
        <f aca="false">IF(AND(N451="Sí",ISNUMBER(F451)),COUNTIFS(C_RUTN,M451,C_DEF,"Sí",C_INI,"&lt;"&amp;F451)+COUNTIFS(M$7:M451,M451,N$7:N451,"Sí",F$7:F451,F451),"")</f>
        <v/>
      </c>
      <c r="P451" s="62" t="str">
        <f aca="false">IF(O451="","",M451&amp;"-P"&amp;O451)</f>
        <v/>
      </c>
      <c r="Q451" s="62" t="str">
        <f aca="false">IF(AND(N451="Sí",E451="Plazo fijo",ISNUMBER(F451)),COUNTIFS(C_RUTN,M451,C_TIPO,"Plazo fijo",C_DEF,"Sí",C_INI,"&lt;"&amp;F451)+COUNTIFS(M$7:M451,M451,E$7:E451,"Plazo fijo",N$7:N451,"Sí",F$7:F451,F451),"")</f>
        <v/>
      </c>
      <c r="R451" s="62" t="str">
        <f aca="false">IF(AND(B451&lt;&gt;"",ISNUMBER(H451),ISNUMBER(F451)),COUNTIFS(C_RUTN,M451,C_SUELDO,"&lt;&gt;",C_INI,"&lt;"&amp;F451)+COUNTIFS(M$7:M451,M451,H$7:H451,"&lt;&gt;",F$7:F451,F451),"")</f>
        <v/>
      </c>
      <c r="S451" s="62" t="str">
        <f aca="false">IF(R451="","",M451&amp;"-S"&amp;R451)</f>
        <v/>
      </c>
    </row>
    <row r="452" customFormat="false" ht="15" hidden="false" customHeight="false" outlineLevel="0" collapsed="false">
      <c r="B452" s="58"/>
      <c r="C452" s="62" t="str">
        <f aca="false">IF(B452="","",IFERROR(INDEX(T_NOMBRE,MATCH(M452,T_RUTN,0)),"⚠ RUT no está en Trabajadores"))</f>
        <v/>
      </c>
      <c r="D452" s="58"/>
      <c r="E452" s="58"/>
      <c r="F452" s="59"/>
      <c r="G452" s="59"/>
      <c r="H452" s="60"/>
      <c r="I452" s="58"/>
      <c r="J452" s="58"/>
      <c r="K452" s="58"/>
      <c r="L452" s="62" t="str">
        <f aca="false">IF(B452="","",IF(LEFT(C452,1)="⚠","⚠ Registre primero al trabajador en la hoja Trabajadores",IF(AND(N452="Sí",OR(E452="",NOT(ISNUMBER(F452)))),"⚠ Falta tipo de contrato o fecha de inicio",IF(NOT(ISNUMBER(F452)),"⚠ Falta fecha de inicio",IF(AND(N452="Sí",E452&lt;&gt;"Indefinido",NOT(ISNUMBER(G452))),"⚠ Falta fecha de término",IF(AND(D452="Paso a indefinido",E452&lt;&gt;"Indefinido"),"⚠ Un paso a indefinido debe tener tipo Indefinido",IF(N(Q452)&gt;=3,"⚠ 3er contrato a plazo fijo: por ley ya es INDEFINIDO (Art. 159 N°4)",IF(AND(E452="Plazo fijo",ISNUMBER(G452),(G452-F452+1)/30.4375&gt;12),"⚠ Plazo fijo mayor a 1 año (máximo legal)",IF(J452&lt;&gt;"Sí","Pendiente de firma","OK")))))))))</f>
        <v/>
      </c>
      <c r="M452" s="62" t="str">
        <f aca="false">IF(B452="","",IFERROR(VALUE(LEFT(UPPER(SUBSTITUTE(SUBSTITUTE(SUBSTITUTE(TRIM(B452),".",""),"-","")," ","")),LEN(UPPER(SUBSTITUTE(SUBSTITUTE(SUBSTITUTE(TRIM(B452),".",""),"-","")," ","")))-1))&amp;RIGHT(UPPER(SUBSTITUTE(SUBSTITUTE(SUBSTITUTE(TRIM(B452),".",""),"-","")," ","")),1),UPPER(SUBSTITUTE(SUBSTITUTE(SUBSTITUTE(TRIM(B452),".",""),"-","")," ",""))))</f>
        <v/>
      </c>
      <c r="N452" s="62" t="str">
        <f aca="false">IF(B452="","",IF(D452="Anexo de modificación","No","Sí"))</f>
        <v/>
      </c>
      <c r="O452" s="62" t="str">
        <f aca="false">IF(AND(N452="Sí",ISNUMBER(F452)),COUNTIFS(C_RUTN,M452,C_DEF,"Sí",C_INI,"&lt;"&amp;F452)+COUNTIFS(M$7:M452,M452,N$7:N452,"Sí",F$7:F452,F452),"")</f>
        <v/>
      </c>
      <c r="P452" s="62" t="str">
        <f aca="false">IF(O452="","",M452&amp;"-P"&amp;O452)</f>
        <v/>
      </c>
      <c r="Q452" s="62" t="str">
        <f aca="false">IF(AND(N452="Sí",E452="Plazo fijo",ISNUMBER(F452)),COUNTIFS(C_RUTN,M452,C_TIPO,"Plazo fijo",C_DEF,"Sí",C_INI,"&lt;"&amp;F452)+COUNTIFS(M$7:M452,M452,E$7:E452,"Plazo fijo",N$7:N452,"Sí",F$7:F452,F452),"")</f>
        <v/>
      </c>
      <c r="R452" s="62" t="str">
        <f aca="false">IF(AND(B452&lt;&gt;"",ISNUMBER(H452),ISNUMBER(F452)),COUNTIFS(C_RUTN,M452,C_SUELDO,"&lt;&gt;",C_INI,"&lt;"&amp;F452)+COUNTIFS(M$7:M452,M452,H$7:H452,"&lt;&gt;",F$7:F452,F452),"")</f>
        <v/>
      </c>
      <c r="S452" s="62" t="str">
        <f aca="false">IF(R452="","",M452&amp;"-S"&amp;R452)</f>
        <v/>
      </c>
    </row>
    <row r="453" customFormat="false" ht="15" hidden="false" customHeight="false" outlineLevel="0" collapsed="false">
      <c r="B453" s="58"/>
      <c r="C453" s="62" t="str">
        <f aca="false">IF(B453="","",IFERROR(INDEX(T_NOMBRE,MATCH(M453,T_RUTN,0)),"⚠ RUT no está en Trabajadores"))</f>
        <v/>
      </c>
      <c r="D453" s="58"/>
      <c r="E453" s="58"/>
      <c r="F453" s="59"/>
      <c r="G453" s="59"/>
      <c r="H453" s="60"/>
      <c r="I453" s="58"/>
      <c r="J453" s="58"/>
      <c r="K453" s="58"/>
      <c r="L453" s="62" t="str">
        <f aca="false">IF(B453="","",IF(LEFT(C453,1)="⚠","⚠ Registre primero al trabajador en la hoja Trabajadores",IF(AND(N453="Sí",OR(E453="",NOT(ISNUMBER(F453)))),"⚠ Falta tipo de contrato o fecha de inicio",IF(NOT(ISNUMBER(F453)),"⚠ Falta fecha de inicio",IF(AND(N453="Sí",E453&lt;&gt;"Indefinido",NOT(ISNUMBER(G453))),"⚠ Falta fecha de término",IF(AND(D453="Paso a indefinido",E453&lt;&gt;"Indefinido"),"⚠ Un paso a indefinido debe tener tipo Indefinido",IF(N(Q453)&gt;=3,"⚠ 3er contrato a plazo fijo: por ley ya es INDEFINIDO (Art. 159 N°4)",IF(AND(E453="Plazo fijo",ISNUMBER(G453),(G453-F453+1)/30.4375&gt;12),"⚠ Plazo fijo mayor a 1 año (máximo legal)",IF(J453&lt;&gt;"Sí","Pendiente de firma","OK")))))))))</f>
        <v/>
      </c>
      <c r="M453" s="62" t="str">
        <f aca="false">IF(B453="","",IFERROR(VALUE(LEFT(UPPER(SUBSTITUTE(SUBSTITUTE(SUBSTITUTE(TRIM(B453),".",""),"-","")," ","")),LEN(UPPER(SUBSTITUTE(SUBSTITUTE(SUBSTITUTE(TRIM(B453),".",""),"-","")," ","")))-1))&amp;RIGHT(UPPER(SUBSTITUTE(SUBSTITUTE(SUBSTITUTE(TRIM(B453),".",""),"-","")," ","")),1),UPPER(SUBSTITUTE(SUBSTITUTE(SUBSTITUTE(TRIM(B453),".",""),"-","")," ",""))))</f>
        <v/>
      </c>
      <c r="N453" s="62" t="str">
        <f aca="false">IF(B453="","",IF(D453="Anexo de modificación","No","Sí"))</f>
        <v/>
      </c>
      <c r="O453" s="62" t="str">
        <f aca="false">IF(AND(N453="Sí",ISNUMBER(F453)),COUNTIFS(C_RUTN,M453,C_DEF,"Sí",C_INI,"&lt;"&amp;F453)+COUNTIFS(M$7:M453,M453,N$7:N453,"Sí",F$7:F453,F453),"")</f>
        <v/>
      </c>
      <c r="P453" s="62" t="str">
        <f aca="false">IF(O453="","",M453&amp;"-P"&amp;O453)</f>
        <v/>
      </c>
      <c r="Q453" s="62" t="str">
        <f aca="false">IF(AND(N453="Sí",E453="Plazo fijo",ISNUMBER(F453)),COUNTIFS(C_RUTN,M453,C_TIPO,"Plazo fijo",C_DEF,"Sí",C_INI,"&lt;"&amp;F453)+COUNTIFS(M$7:M453,M453,E$7:E453,"Plazo fijo",N$7:N453,"Sí",F$7:F453,F453),"")</f>
        <v/>
      </c>
      <c r="R453" s="62" t="str">
        <f aca="false">IF(AND(B453&lt;&gt;"",ISNUMBER(H453),ISNUMBER(F453)),COUNTIFS(C_RUTN,M453,C_SUELDO,"&lt;&gt;",C_INI,"&lt;"&amp;F453)+COUNTIFS(M$7:M453,M453,H$7:H453,"&lt;&gt;",F$7:F453,F453),"")</f>
        <v/>
      </c>
      <c r="S453" s="62" t="str">
        <f aca="false">IF(R453="","",M453&amp;"-S"&amp;R453)</f>
        <v/>
      </c>
    </row>
    <row r="454" customFormat="false" ht="15" hidden="false" customHeight="false" outlineLevel="0" collapsed="false">
      <c r="B454" s="58"/>
      <c r="C454" s="62" t="str">
        <f aca="false">IF(B454="","",IFERROR(INDEX(T_NOMBRE,MATCH(M454,T_RUTN,0)),"⚠ RUT no está en Trabajadores"))</f>
        <v/>
      </c>
      <c r="D454" s="58"/>
      <c r="E454" s="58"/>
      <c r="F454" s="59"/>
      <c r="G454" s="59"/>
      <c r="H454" s="60"/>
      <c r="I454" s="58"/>
      <c r="J454" s="58"/>
      <c r="K454" s="58"/>
      <c r="L454" s="62" t="str">
        <f aca="false">IF(B454="","",IF(LEFT(C454,1)="⚠","⚠ Registre primero al trabajador en la hoja Trabajadores",IF(AND(N454="Sí",OR(E454="",NOT(ISNUMBER(F454)))),"⚠ Falta tipo de contrato o fecha de inicio",IF(NOT(ISNUMBER(F454)),"⚠ Falta fecha de inicio",IF(AND(N454="Sí",E454&lt;&gt;"Indefinido",NOT(ISNUMBER(G454))),"⚠ Falta fecha de término",IF(AND(D454="Paso a indefinido",E454&lt;&gt;"Indefinido"),"⚠ Un paso a indefinido debe tener tipo Indefinido",IF(N(Q454)&gt;=3,"⚠ 3er contrato a plazo fijo: por ley ya es INDEFINIDO (Art. 159 N°4)",IF(AND(E454="Plazo fijo",ISNUMBER(G454),(G454-F454+1)/30.4375&gt;12),"⚠ Plazo fijo mayor a 1 año (máximo legal)",IF(J454&lt;&gt;"Sí","Pendiente de firma","OK")))))))))</f>
        <v/>
      </c>
      <c r="M454" s="62" t="str">
        <f aca="false">IF(B454="","",IFERROR(VALUE(LEFT(UPPER(SUBSTITUTE(SUBSTITUTE(SUBSTITUTE(TRIM(B454),".",""),"-","")," ","")),LEN(UPPER(SUBSTITUTE(SUBSTITUTE(SUBSTITUTE(TRIM(B454),".",""),"-","")," ","")))-1))&amp;RIGHT(UPPER(SUBSTITUTE(SUBSTITUTE(SUBSTITUTE(TRIM(B454),".",""),"-","")," ","")),1),UPPER(SUBSTITUTE(SUBSTITUTE(SUBSTITUTE(TRIM(B454),".",""),"-","")," ",""))))</f>
        <v/>
      </c>
      <c r="N454" s="62" t="str">
        <f aca="false">IF(B454="","",IF(D454="Anexo de modificación","No","Sí"))</f>
        <v/>
      </c>
      <c r="O454" s="62" t="str">
        <f aca="false">IF(AND(N454="Sí",ISNUMBER(F454)),COUNTIFS(C_RUTN,M454,C_DEF,"Sí",C_INI,"&lt;"&amp;F454)+COUNTIFS(M$7:M454,M454,N$7:N454,"Sí",F$7:F454,F454),"")</f>
        <v/>
      </c>
      <c r="P454" s="62" t="str">
        <f aca="false">IF(O454="","",M454&amp;"-P"&amp;O454)</f>
        <v/>
      </c>
      <c r="Q454" s="62" t="str">
        <f aca="false">IF(AND(N454="Sí",E454="Plazo fijo",ISNUMBER(F454)),COUNTIFS(C_RUTN,M454,C_TIPO,"Plazo fijo",C_DEF,"Sí",C_INI,"&lt;"&amp;F454)+COUNTIFS(M$7:M454,M454,E$7:E454,"Plazo fijo",N$7:N454,"Sí",F$7:F454,F454),"")</f>
        <v/>
      </c>
      <c r="R454" s="62" t="str">
        <f aca="false">IF(AND(B454&lt;&gt;"",ISNUMBER(H454),ISNUMBER(F454)),COUNTIFS(C_RUTN,M454,C_SUELDO,"&lt;&gt;",C_INI,"&lt;"&amp;F454)+COUNTIFS(M$7:M454,M454,H$7:H454,"&lt;&gt;",F$7:F454,F454),"")</f>
        <v/>
      </c>
      <c r="S454" s="62" t="str">
        <f aca="false">IF(R454="","",M454&amp;"-S"&amp;R454)</f>
        <v/>
      </c>
    </row>
    <row r="455" customFormat="false" ht="15" hidden="false" customHeight="false" outlineLevel="0" collapsed="false">
      <c r="B455" s="58"/>
      <c r="C455" s="62" t="str">
        <f aca="false">IF(B455="","",IFERROR(INDEX(T_NOMBRE,MATCH(M455,T_RUTN,0)),"⚠ RUT no está en Trabajadores"))</f>
        <v/>
      </c>
      <c r="D455" s="58"/>
      <c r="E455" s="58"/>
      <c r="F455" s="59"/>
      <c r="G455" s="59"/>
      <c r="H455" s="60"/>
      <c r="I455" s="58"/>
      <c r="J455" s="58"/>
      <c r="K455" s="58"/>
      <c r="L455" s="62" t="str">
        <f aca="false">IF(B455="","",IF(LEFT(C455,1)="⚠","⚠ Registre primero al trabajador en la hoja Trabajadores",IF(AND(N455="Sí",OR(E455="",NOT(ISNUMBER(F455)))),"⚠ Falta tipo de contrato o fecha de inicio",IF(NOT(ISNUMBER(F455)),"⚠ Falta fecha de inicio",IF(AND(N455="Sí",E455&lt;&gt;"Indefinido",NOT(ISNUMBER(G455))),"⚠ Falta fecha de término",IF(AND(D455="Paso a indefinido",E455&lt;&gt;"Indefinido"),"⚠ Un paso a indefinido debe tener tipo Indefinido",IF(N(Q455)&gt;=3,"⚠ 3er contrato a plazo fijo: por ley ya es INDEFINIDO (Art. 159 N°4)",IF(AND(E455="Plazo fijo",ISNUMBER(G455),(G455-F455+1)/30.4375&gt;12),"⚠ Plazo fijo mayor a 1 año (máximo legal)",IF(J455&lt;&gt;"Sí","Pendiente de firma","OK")))))))))</f>
        <v/>
      </c>
      <c r="M455" s="62" t="str">
        <f aca="false">IF(B455="","",IFERROR(VALUE(LEFT(UPPER(SUBSTITUTE(SUBSTITUTE(SUBSTITUTE(TRIM(B455),".",""),"-","")," ","")),LEN(UPPER(SUBSTITUTE(SUBSTITUTE(SUBSTITUTE(TRIM(B455),".",""),"-","")," ","")))-1))&amp;RIGHT(UPPER(SUBSTITUTE(SUBSTITUTE(SUBSTITUTE(TRIM(B455),".",""),"-","")," ","")),1),UPPER(SUBSTITUTE(SUBSTITUTE(SUBSTITUTE(TRIM(B455),".",""),"-","")," ",""))))</f>
        <v/>
      </c>
      <c r="N455" s="62" t="str">
        <f aca="false">IF(B455="","",IF(D455="Anexo de modificación","No","Sí"))</f>
        <v/>
      </c>
      <c r="O455" s="62" t="str">
        <f aca="false">IF(AND(N455="Sí",ISNUMBER(F455)),COUNTIFS(C_RUTN,M455,C_DEF,"Sí",C_INI,"&lt;"&amp;F455)+COUNTIFS(M$7:M455,M455,N$7:N455,"Sí",F$7:F455,F455),"")</f>
        <v/>
      </c>
      <c r="P455" s="62" t="str">
        <f aca="false">IF(O455="","",M455&amp;"-P"&amp;O455)</f>
        <v/>
      </c>
      <c r="Q455" s="62" t="str">
        <f aca="false">IF(AND(N455="Sí",E455="Plazo fijo",ISNUMBER(F455)),COUNTIFS(C_RUTN,M455,C_TIPO,"Plazo fijo",C_DEF,"Sí",C_INI,"&lt;"&amp;F455)+COUNTIFS(M$7:M455,M455,E$7:E455,"Plazo fijo",N$7:N455,"Sí",F$7:F455,F455),"")</f>
        <v/>
      </c>
      <c r="R455" s="62" t="str">
        <f aca="false">IF(AND(B455&lt;&gt;"",ISNUMBER(H455),ISNUMBER(F455)),COUNTIFS(C_RUTN,M455,C_SUELDO,"&lt;&gt;",C_INI,"&lt;"&amp;F455)+COUNTIFS(M$7:M455,M455,H$7:H455,"&lt;&gt;",F$7:F455,F455),"")</f>
        <v/>
      </c>
      <c r="S455" s="62" t="str">
        <f aca="false">IF(R455="","",M455&amp;"-S"&amp;R455)</f>
        <v/>
      </c>
    </row>
    <row r="456" customFormat="false" ht="15" hidden="false" customHeight="false" outlineLevel="0" collapsed="false">
      <c r="B456" s="58"/>
      <c r="C456" s="62" t="str">
        <f aca="false">IF(B456="","",IFERROR(INDEX(T_NOMBRE,MATCH(M456,T_RUTN,0)),"⚠ RUT no está en Trabajadores"))</f>
        <v/>
      </c>
      <c r="D456" s="58"/>
      <c r="E456" s="58"/>
      <c r="F456" s="59"/>
      <c r="G456" s="59"/>
      <c r="H456" s="60"/>
      <c r="I456" s="58"/>
      <c r="J456" s="58"/>
      <c r="K456" s="58"/>
      <c r="L456" s="62" t="str">
        <f aca="false">IF(B456="","",IF(LEFT(C456,1)="⚠","⚠ Registre primero al trabajador en la hoja Trabajadores",IF(AND(N456="Sí",OR(E456="",NOT(ISNUMBER(F456)))),"⚠ Falta tipo de contrato o fecha de inicio",IF(NOT(ISNUMBER(F456)),"⚠ Falta fecha de inicio",IF(AND(N456="Sí",E456&lt;&gt;"Indefinido",NOT(ISNUMBER(G456))),"⚠ Falta fecha de término",IF(AND(D456="Paso a indefinido",E456&lt;&gt;"Indefinido"),"⚠ Un paso a indefinido debe tener tipo Indefinido",IF(N(Q456)&gt;=3,"⚠ 3er contrato a plazo fijo: por ley ya es INDEFINIDO (Art. 159 N°4)",IF(AND(E456="Plazo fijo",ISNUMBER(G456),(G456-F456+1)/30.4375&gt;12),"⚠ Plazo fijo mayor a 1 año (máximo legal)",IF(J456&lt;&gt;"Sí","Pendiente de firma","OK")))))))))</f>
        <v/>
      </c>
      <c r="M456" s="62" t="str">
        <f aca="false">IF(B456="","",IFERROR(VALUE(LEFT(UPPER(SUBSTITUTE(SUBSTITUTE(SUBSTITUTE(TRIM(B456),".",""),"-","")," ","")),LEN(UPPER(SUBSTITUTE(SUBSTITUTE(SUBSTITUTE(TRIM(B456),".",""),"-","")," ","")))-1))&amp;RIGHT(UPPER(SUBSTITUTE(SUBSTITUTE(SUBSTITUTE(TRIM(B456),".",""),"-","")," ","")),1),UPPER(SUBSTITUTE(SUBSTITUTE(SUBSTITUTE(TRIM(B456),".",""),"-","")," ",""))))</f>
        <v/>
      </c>
      <c r="N456" s="62" t="str">
        <f aca="false">IF(B456="","",IF(D456="Anexo de modificación","No","Sí"))</f>
        <v/>
      </c>
      <c r="O456" s="62" t="str">
        <f aca="false">IF(AND(N456="Sí",ISNUMBER(F456)),COUNTIFS(C_RUTN,M456,C_DEF,"Sí",C_INI,"&lt;"&amp;F456)+COUNTIFS(M$7:M456,M456,N$7:N456,"Sí",F$7:F456,F456),"")</f>
        <v/>
      </c>
      <c r="P456" s="62" t="str">
        <f aca="false">IF(O456="","",M456&amp;"-P"&amp;O456)</f>
        <v/>
      </c>
      <c r="Q456" s="62" t="str">
        <f aca="false">IF(AND(N456="Sí",E456="Plazo fijo",ISNUMBER(F456)),COUNTIFS(C_RUTN,M456,C_TIPO,"Plazo fijo",C_DEF,"Sí",C_INI,"&lt;"&amp;F456)+COUNTIFS(M$7:M456,M456,E$7:E456,"Plazo fijo",N$7:N456,"Sí",F$7:F456,F456),"")</f>
        <v/>
      </c>
      <c r="R456" s="62" t="str">
        <f aca="false">IF(AND(B456&lt;&gt;"",ISNUMBER(H456),ISNUMBER(F456)),COUNTIFS(C_RUTN,M456,C_SUELDO,"&lt;&gt;",C_INI,"&lt;"&amp;F456)+COUNTIFS(M$7:M456,M456,H$7:H456,"&lt;&gt;",F$7:F456,F456),"")</f>
        <v/>
      </c>
      <c r="S456" s="62" t="str">
        <f aca="false">IF(R456="","",M456&amp;"-S"&amp;R456)</f>
        <v/>
      </c>
    </row>
    <row r="457" customFormat="false" ht="15" hidden="false" customHeight="false" outlineLevel="0" collapsed="false">
      <c r="B457" s="58"/>
      <c r="C457" s="62" t="str">
        <f aca="false">IF(B457="","",IFERROR(INDEX(T_NOMBRE,MATCH(M457,T_RUTN,0)),"⚠ RUT no está en Trabajadores"))</f>
        <v/>
      </c>
      <c r="D457" s="58"/>
      <c r="E457" s="58"/>
      <c r="F457" s="59"/>
      <c r="G457" s="59"/>
      <c r="H457" s="60"/>
      <c r="I457" s="58"/>
      <c r="J457" s="58"/>
      <c r="K457" s="58"/>
      <c r="L457" s="62" t="str">
        <f aca="false">IF(B457="","",IF(LEFT(C457,1)="⚠","⚠ Registre primero al trabajador en la hoja Trabajadores",IF(AND(N457="Sí",OR(E457="",NOT(ISNUMBER(F457)))),"⚠ Falta tipo de contrato o fecha de inicio",IF(NOT(ISNUMBER(F457)),"⚠ Falta fecha de inicio",IF(AND(N457="Sí",E457&lt;&gt;"Indefinido",NOT(ISNUMBER(G457))),"⚠ Falta fecha de término",IF(AND(D457="Paso a indefinido",E457&lt;&gt;"Indefinido"),"⚠ Un paso a indefinido debe tener tipo Indefinido",IF(N(Q457)&gt;=3,"⚠ 3er contrato a plazo fijo: por ley ya es INDEFINIDO (Art. 159 N°4)",IF(AND(E457="Plazo fijo",ISNUMBER(G457),(G457-F457+1)/30.4375&gt;12),"⚠ Plazo fijo mayor a 1 año (máximo legal)",IF(J457&lt;&gt;"Sí","Pendiente de firma","OK")))))))))</f>
        <v/>
      </c>
      <c r="M457" s="62" t="str">
        <f aca="false">IF(B457="","",IFERROR(VALUE(LEFT(UPPER(SUBSTITUTE(SUBSTITUTE(SUBSTITUTE(TRIM(B457),".",""),"-","")," ","")),LEN(UPPER(SUBSTITUTE(SUBSTITUTE(SUBSTITUTE(TRIM(B457),".",""),"-","")," ","")))-1))&amp;RIGHT(UPPER(SUBSTITUTE(SUBSTITUTE(SUBSTITUTE(TRIM(B457),".",""),"-","")," ","")),1),UPPER(SUBSTITUTE(SUBSTITUTE(SUBSTITUTE(TRIM(B457),".",""),"-","")," ",""))))</f>
        <v/>
      </c>
      <c r="N457" s="62" t="str">
        <f aca="false">IF(B457="","",IF(D457="Anexo de modificación","No","Sí"))</f>
        <v/>
      </c>
      <c r="O457" s="62" t="str">
        <f aca="false">IF(AND(N457="Sí",ISNUMBER(F457)),COUNTIFS(C_RUTN,M457,C_DEF,"Sí",C_INI,"&lt;"&amp;F457)+COUNTIFS(M$7:M457,M457,N$7:N457,"Sí",F$7:F457,F457),"")</f>
        <v/>
      </c>
      <c r="P457" s="62" t="str">
        <f aca="false">IF(O457="","",M457&amp;"-P"&amp;O457)</f>
        <v/>
      </c>
      <c r="Q457" s="62" t="str">
        <f aca="false">IF(AND(N457="Sí",E457="Plazo fijo",ISNUMBER(F457)),COUNTIFS(C_RUTN,M457,C_TIPO,"Plazo fijo",C_DEF,"Sí",C_INI,"&lt;"&amp;F457)+COUNTIFS(M$7:M457,M457,E$7:E457,"Plazo fijo",N$7:N457,"Sí",F$7:F457,F457),"")</f>
        <v/>
      </c>
      <c r="R457" s="62" t="str">
        <f aca="false">IF(AND(B457&lt;&gt;"",ISNUMBER(H457),ISNUMBER(F457)),COUNTIFS(C_RUTN,M457,C_SUELDO,"&lt;&gt;",C_INI,"&lt;"&amp;F457)+COUNTIFS(M$7:M457,M457,H$7:H457,"&lt;&gt;",F$7:F457,F457),"")</f>
        <v/>
      </c>
      <c r="S457" s="62" t="str">
        <f aca="false">IF(R457="","",M457&amp;"-S"&amp;R457)</f>
        <v/>
      </c>
    </row>
    <row r="458" customFormat="false" ht="15" hidden="false" customHeight="false" outlineLevel="0" collapsed="false">
      <c r="B458" s="58"/>
      <c r="C458" s="62" t="str">
        <f aca="false">IF(B458="","",IFERROR(INDEX(T_NOMBRE,MATCH(M458,T_RUTN,0)),"⚠ RUT no está en Trabajadores"))</f>
        <v/>
      </c>
      <c r="D458" s="58"/>
      <c r="E458" s="58"/>
      <c r="F458" s="59"/>
      <c r="G458" s="59"/>
      <c r="H458" s="60"/>
      <c r="I458" s="58"/>
      <c r="J458" s="58"/>
      <c r="K458" s="58"/>
      <c r="L458" s="62" t="str">
        <f aca="false">IF(B458="","",IF(LEFT(C458,1)="⚠","⚠ Registre primero al trabajador en la hoja Trabajadores",IF(AND(N458="Sí",OR(E458="",NOT(ISNUMBER(F458)))),"⚠ Falta tipo de contrato o fecha de inicio",IF(NOT(ISNUMBER(F458)),"⚠ Falta fecha de inicio",IF(AND(N458="Sí",E458&lt;&gt;"Indefinido",NOT(ISNUMBER(G458))),"⚠ Falta fecha de término",IF(AND(D458="Paso a indefinido",E458&lt;&gt;"Indefinido"),"⚠ Un paso a indefinido debe tener tipo Indefinido",IF(N(Q458)&gt;=3,"⚠ 3er contrato a plazo fijo: por ley ya es INDEFINIDO (Art. 159 N°4)",IF(AND(E458="Plazo fijo",ISNUMBER(G458),(G458-F458+1)/30.4375&gt;12),"⚠ Plazo fijo mayor a 1 año (máximo legal)",IF(J458&lt;&gt;"Sí","Pendiente de firma","OK")))))))))</f>
        <v/>
      </c>
      <c r="M458" s="62" t="str">
        <f aca="false">IF(B458="","",IFERROR(VALUE(LEFT(UPPER(SUBSTITUTE(SUBSTITUTE(SUBSTITUTE(TRIM(B458),".",""),"-","")," ","")),LEN(UPPER(SUBSTITUTE(SUBSTITUTE(SUBSTITUTE(TRIM(B458),".",""),"-","")," ","")))-1))&amp;RIGHT(UPPER(SUBSTITUTE(SUBSTITUTE(SUBSTITUTE(TRIM(B458),".",""),"-","")," ","")),1),UPPER(SUBSTITUTE(SUBSTITUTE(SUBSTITUTE(TRIM(B458),".",""),"-","")," ",""))))</f>
        <v/>
      </c>
      <c r="N458" s="62" t="str">
        <f aca="false">IF(B458="","",IF(D458="Anexo de modificación","No","Sí"))</f>
        <v/>
      </c>
      <c r="O458" s="62" t="str">
        <f aca="false">IF(AND(N458="Sí",ISNUMBER(F458)),COUNTIFS(C_RUTN,M458,C_DEF,"Sí",C_INI,"&lt;"&amp;F458)+COUNTIFS(M$7:M458,M458,N$7:N458,"Sí",F$7:F458,F458),"")</f>
        <v/>
      </c>
      <c r="P458" s="62" t="str">
        <f aca="false">IF(O458="","",M458&amp;"-P"&amp;O458)</f>
        <v/>
      </c>
      <c r="Q458" s="62" t="str">
        <f aca="false">IF(AND(N458="Sí",E458="Plazo fijo",ISNUMBER(F458)),COUNTIFS(C_RUTN,M458,C_TIPO,"Plazo fijo",C_DEF,"Sí",C_INI,"&lt;"&amp;F458)+COUNTIFS(M$7:M458,M458,E$7:E458,"Plazo fijo",N$7:N458,"Sí",F$7:F458,F458),"")</f>
        <v/>
      </c>
      <c r="R458" s="62" t="str">
        <f aca="false">IF(AND(B458&lt;&gt;"",ISNUMBER(H458),ISNUMBER(F458)),COUNTIFS(C_RUTN,M458,C_SUELDO,"&lt;&gt;",C_INI,"&lt;"&amp;F458)+COUNTIFS(M$7:M458,M458,H$7:H458,"&lt;&gt;",F$7:F458,F458),"")</f>
        <v/>
      </c>
      <c r="S458" s="62" t="str">
        <f aca="false">IF(R458="","",M458&amp;"-S"&amp;R458)</f>
        <v/>
      </c>
    </row>
    <row r="459" customFormat="false" ht="15" hidden="false" customHeight="false" outlineLevel="0" collapsed="false">
      <c r="B459" s="58"/>
      <c r="C459" s="62" t="str">
        <f aca="false">IF(B459="","",IFERROR(INDEX(T_NOMBRE,MATCH(M459,T_RUTN,0)),"⚠ RUT no está en Trabajadores"))</f>
        <v/>
      </c>
      <c r="D459" s="58"/>
      <c r="E459" s="58"/>
      <c r="F459" s="59"/>
      <c r="G459" s="59"/>
      <c r="H459" s="60"/>
      <c r="I459" s="58"/>
      <c r="J459" s="58"/>
      <c r="K459" s="58"/>
      <c r="L459" s="62" t="str">
        <f aca="false">IF(B459="","",IF(LEFT(C459,1)="⚠","⚠ Registre primero al trabajador en la hoja Trabajadores",IF(AND(N459="Sí",OR(E459="",NOT(ISNUMBER(F459)))),"⚠ Falta tipo de contrato o fecha de inicio",IF(NOT(ISNUMBER(F459)),"⚠ Falta fecha de inicio",IF(AND(N459="Sí",E459&lt;&gt;"Indefinido",NOT(ISNUMBER(G459))),"⚠ Falta fecha de término",IF(AND(D459="Paso a indefinido",E459&lt;&gt;"Indefinido"),"⚠ Un paso a indefinido debe tener tipo Indefinido",IF(N(Q459)&gt;=3,"⚠ 3er contrato a plazo fijo: por ley ya es INDEFINIDO (Art. 159 N°4)",IF(AND(E459="Plazo fijo",ISNUMBER(G459),(G459-F459+1)/30.4375&gt;12),"⚠ Plazo fijo mayor a 1 año (máximo legal)",IF(J459&lt;&gt;"Sí","Pendiente de firma","OK")))))))))</f>
        <v/>
      </c>
      <c r="M459" s="62" t="str">
        <f aca="false">IF(B459="","",IFERROR(VALUE(LEFT(UPPER(SUBSTITUTE(SUBSTITUTE(SUBSTITUTE(TRIM(B459),".",""),"-","")," ","")),LEN(UPPER(SUBSTITUTE(SUBSTITUTE(SUBSTITUTE(TRIM(B459),".",""),"-","")," ","")))-1))&amp;RIGHT(UPPER(SUBSTITUTE(SUBSTITUTE(SUBSTITUTE(TRIM(B459),".",""),"-","")," ","")),1),UPPER(SUBSTITUTE(SUBSTITUTE(SUBSTITUTE(TRIM(B459),".",""),"-","")," ",""))))</f>
        <v/>
      </c>
      <c r="N459" s="62" t="str">
        <f aca="false">IF(B459="","",IF(D459="Anexo de modificación","No","Sí"))</f>
        <v/>
      </c>
      <c r="O459" s="62" t="str">
        <f aca="false">IF(AND(N459="Sí",ISNUMBER(F459)),COUNTIFS(C_RUTN,M459,C_DEF,"Sí",C_INI,"&lt;"&amp;F459)+COUNTIFS(M$7:M459,M459,N$7:N459,"Sí",F$7:F459,F459),"")</f>
        <v/>
      </c>
      <c r="P459" s="62" t="str">
        <f aca="false">IF(O459="","",M459&amp;"-P"&amp;O459)</f>
        <v/>
      </c>
      <c r="Q459" s="62" t="str">
        <f aca="false">IF(AND(N459="Sí",E459="Plazo fijo",ISNUMBER(F459)),COUNTIFS(C_RUTN,M459,C_TIPO,"Plazo fijo",C_DEF,"Sí",C_INI,"&lt;"&amp;F459)+COUNTIFS(M$7:M459,M459,E$7:E459,"Plazo fijo",N$7:N459,"Sí",F$7:F459,F459),"")</f>
        <v/>
      </c>
      <c r="R459" s="62" t="str">
        <f aca="false">IF(AND(B459&lt;&gt;"",ISNUMBER(H459),ISNUMBER(F459)),COUNTIFS(C_RUTN,M459,C_SUELDO,"&lt;&gt;",C_INI,"&lt;"&amp;F459)+COUNTIFS(M$7:M459,M459,H$7:H459,"&lt;&gt;",F$7:F459,F459),"")</f>
        <v/>
      </c>
      <c r="S459" s="62" t="str">
        <f aca="false">IF(R459="","",M459&amp;"-S"&amp;R459)</f>
        <v/>
      </c>
    </row>
    <row r="460" customFormat="false" ht="15" hidden="false" customHeight="false" outlineLevel="0" collapsed="false">
      <c r="B460" s="58"/>
      <c r="C460" s="62" t="str">
        <f aca="false">IF(B460="","",IFERROR(INDEX(T_NOMBRE,MATCH(M460,T_RUTN,0)),"⚠ RUT no está en Trabajadores"))</f>
        <v/>
      </c>
      <c r="D460" s="58"/>
      <c r="E460" s="58"/>
      <c r="F460" s="59"/>
      <c r="G460" s="59"/>
      <c r="H460" s="60"/>
      <c r="I460" s="58"/>
      <c r="J460" s="58"/>
      <c r="K460" s="58"/>
      <c r="L460" s="62" t="str">
        <f aca="false">IF(B460="","",IF(LEFT(C460,1)="⚠","⚠ Registre primero al trabajador en la hoja Trabajadores",IF(AND(N460="Sí",OR(E460="",NOT(ISNUMBER(F460)))),"⚠ Falta tipo de contrato o fecha de inicio",IF(NOT(ISNUMBER(F460)),"⚠ Falta fecha de inicio",IF(AND(N460="Sí",E460&lt;&gt;"Indefinido",NOT(ISNUMBER(G460))),"⚠ Falta fecha de término",IF(AND(D460="Paso a indefinido",E460&lt;&gt;"Indefinido"),"⚠ Un paso a indefinido debe tener tipo Indefinido",IF(N(Q460)&gt;=3,"⚠ 3er contrato a plazo fijo: por ley ya es INDEFINIDO (Art. 159 N°4)",IF(AND(E460="Plazo fijo",ISNUMBER(G460),(G460-F460+1)/30.4375&gt;12),"⚠ Plazo fijo mayor a 1 año (máximo legal)",IF(J460&lt;&gt;"Sí","Pendiente de firma","OK")))))))))</f>
        <v/>
      </c>
      <c r="M460" s="62" t="str">
        <f aca="false">IF(B460="","",IFERROR(VALUE(LEFT(UPPER(SUBSTITUTE(SUBSTITUTE(SUBSTITUTE(TRIM(B460),".",""),"-","")," ","")),LEN(UPPER(SUBSTITUTE(SUBSTITUTE(SUBSTITUTE(TRIM(B460),".",""),"-","")," ","")))-1))&amp;RIGHT(UPPER(SUBSTITUTE(SUBSTITUTE(SUBSTITUTE(TRIM(B460),".",""),"-","")," ","")),1),UPPER(SUBSTITUTE(SUBSTITUTE(SUBSTITUTE(TRIM(B460),".",""),"-","")," ",""))))</f>
        <v/>
      </c>
      <c r="N460" s="62" t="str">
        <f aca="false">IF(B460="","",IF(D460="Anexo de modificación","No","Sí"))</f>
        <v/>
      </c>
      <c r="O460" s="62" t="str">
        <f aca="false">IF(AND(N460="Sí",ISNUMBER(F460)),COUNTIFS(C_RUTN,M460,C_DEF,"Sí",C_INI,"&lt;"&amp;F460)+COUNTIFS(M$7:M460,M460,N$7:N460,"Sí",F$7:F460,F460),"")</f>
        <v/>
      </c>
      <c r="P460" s="62" t="str">
        <f aca="false">IF(O460="","",M460&amp;"-P"&amp;O460)</f>
        <v/>
      </c>
      <c r="Q460" s="62" t="str">
        <f aca="false">IF(AND(N460="Sí",E460="Plazo fijo",ISNUMBER(F460)),COUNTIFS(C_RUTN,M460,C_TIPO,"Plazo fijo",C_DEF,"Sí",C_INI,"&lt;"&amp;F460)+COUNTIFS(M$7:M460,M460,E$7:E460,"Plazo fijo",N$7:N460,"Sí",F$7:F460,F460),"")</f>
        <v/>
      </c>
      <c r="R460" s="62" t="str">
        <f aca="false">IF(AND(B460&lt;&gt;"",ISNUMBER(H460),ISNUMBER(F460)),COUNTIFS(C_RUTN,M460,C_SUELDO,"&lt;&gt;",C_INI,"&lt;"&amp;F460)+COUNTIFS(M$7:M460,M460,H$7:H460,"&lt;&gt;",F$7:F460,F460),"")</f>
        <v/>
      </c>
      <c r="S460" s="62" t="str">
        <f aca="false">IF(R460="","",M460&amp;"-S"&amp;R460)</f>
        <v/>
      </c>
    </row>
    <row r="461" customFormat="false" ht="15" hidden="false" customHeight="false" outlineLevel="0" collapsed="false">
      <c r="B461" s="58"/>
      <c r="C461" s="62" t="str">
        <f aca="false">IF(B461="","",IFERROR(INDEX(T_NOMBRE,MATCH(M461,T_RUTN,0)),"⚠ RUT no está en Trabajadores"))</f>
        <v/>
      </c>
      <c r="D461" s="58"/>
      <c r="E461" s="58"/>
      <c r="F461" s="59"/>
      <c r="G461" s="59"/>
      <c r="H461" s="60"/>
      <c r="I461" s="58"/>
      <c r="J461" s="58"/>
      <c r="K461" s="58"/>
      <c r="L461" s="62" t="str">
        <f aca="false">IF(B461="","",IF(LEFT(C461,1)="⚠","⚠ Registre primero al trabajador en la hoja Trabajadores",IF(AND(N461="Sí",OR(E461="",NOT(ISNUMBER(F461)))),"⚠ Falta tipo de contrato o fecha de inicio",IF(NOT(ISNUMBER(F461)),"⚠ Falta fecha de inicio",IF(AND(N461="Sí",E461&lt;&gt;"Indefinido",NOT(ISNUMBER(G461))),"⚠ Falta fecha de término",IF(AND(D461="Paso a indefinido",E461&lt;&gt;"Indefinido"),"⚠ Un paso a indefinido debe tener tipo Indefinido",IF(N(Q461)&gt;=3,"⚠ 3er contrato a plazo fijo: por ley ya es INDEFINIDO (Art. 159 N°4)",IF(AND(E461="Plazo fijo",ISNUMBER(G461),(G461-F461+1)/30.4375&gt;12),"⚠ Plazo fijo mayor a 1 año (máximo legal)",IF(J461&lt;&gt;"Sí","Pendiente de firma","OK")))))))))</f>
        <v/>
      </c>
      <c r="M461" s="62" t="str">
        <f aca="false">IF(B461="","",IFERROR(VALUE(LEFT(UPPER(SUBSTITUTE(SUBSTITUTE(SUBSTITUTE(TRIM(B461),".",""),"-","")," ","")),LEN(UPPER(SUBSTITUTE(SUBSTITUTE(SUBSTITUTE(TRIM(B461),".",""),"-","")," ","")))-1))&amp;RIGHT(UPPER(SUBSTITUTE(SUBSTITUTE(SUBSTITUTE(TRIM(B461),".",""),"-","")," ","")),1),UPPER(SUBSTITUTE(SUBSTITUTE(SUBSTITUTE(TRIM(B461),".",""),"-","")," ",""))))</f>
        <v/>
      </c>
      <c r="N461" s="62" t="str">
        <f aca="false">IF(B461="","",IF(D461="Anexo de modificación","No","Sí"))</f>
        <v/>
      </c>
      <c r="O461" s="62" t="str">
        <f aca="false">IF(AND(N461="Sí",ISNUMBER(F461)),COUNTIFS(C_RUTN,M461,C_DEF,"Sí",C_INI,"&lt;"&amp;F461)+COUNTIFS(M$7:M461,M461,N$7:N461,"Sí",F$7:F461,F461),"")</f>
        <v/>
      </c>
      <c r="P461" s="62" t="str">
        <f aca="false">IF(O461="","",M461&amp;"-P"&amp;O461)</f>
        <v/>
      </c>
      <c r="Q461" s="62" t="str">
        <f aca="false">IF(AND(N461="Sí",E461="Plazo fijo",ISNUMBER(F461)),COUNTIFS(C_RUTN,M461,C_TIPO,"Plazo fijo",C_DEF,"Sí",C_INI,"&lt;"&amp;F461)+COUNTIFS(M$7:M461,M461,E$7:E461,"Plazo fijo",N$7:N461,"Sí",F$7:F461,F461),"")</f>
        <v/>
      </c>
      <c r="R461" s="62" t="str">
        <f aca="false">IF(AND(B461&lt;&gt;"",ISNUMBER(H461),ISNUMBER(F461)),COUNTIFS(C_RUTN,M461,C_SUELDO,"&lt;&gt;",C_INI,"&lt;"&amp;F461)+COUNTIFS(M$7:M461,M461,H$7:H461,"&lt;&gt;",F$7:F461,F461),"")</f>
        <v/>
      </c>
      <c r="S461" s="62" t="str">
        <f aca="false">IF(R461="","",M461&amp;"-S"&amp;R461)</f>
        <v/>
      </c>
    </row>
    <row r="462" customFormat="false" ht="15" hidden="false" customHeight="false" outlineLevel="0" collapsed="false">
      <c r="B462" s="58"/>
      <c r="C462" s="62" t="str">
        <f aca="false">IF(B462="","",IFERROR(INDEX(T_NOMBRE,MATCH(M462,T_RUTN,0)),"⚠ RUT no está en Trabajadores"))</f>
        <v/>
      </c>
      <c r="D462" s="58"/>
      <c r="E462" s="58"/>
      <c r="F462" s="59"/>
      <c r="G462" s="59"/>
      <c r="H462" s="60"/>
      <c r="I462" s="58"/>
      <c r="J462" s="58"/>
      <c r="K462" s="58"/>
      <c r="L462" s="62" t="str">
        <f aca="false">IF(B462="","",IF(LEFT(C462,1)="⚠","⚠ Registre primero al trabajador en la hoja Trabajadores",IF(AND(N462="Sí",OR(E462="",NOT(ISNUMBER(F462)))),"⚠ Falta tipo de contrato o fecha de inicio",IF(NOT(ISNUMBER(F462)),"⚠ Falta fecha de inicio",IF(AND(N462="Sí",E462&lt;&gt;"Indefinido",NOT(ISNUMBER(G462))),"⚠ Falta fecha de término",IF(AND(D462="Paso a indefinido",E462&lt;&gt;"Indefinido"),"⚠ Un paso a indefinido debe tener tipo Indefinido",IF(N(Q462)&gt;=3,"⚠ 3er contrato a plazo fijo: por ley ya es INDEFINIDO (Art. 159 N°4)",IF(AND(E462="Plazo fijo",ISNUMBER(G462),(G462-F462+1)/30.4375&gt;12),"⚠ Plazo fijo mayor a 1 año (máximo legal)",IF(J462&lt;&gt;"Sí","Pendiente de firma","OK")))))))))</f>
        <v/>
      </c>
      <c r="M462" s="62" t="str">
        <f aca="false">IF(B462="","",IFERROR(VALUE(LEFT(UPPER(SUBSTITUTE(SUBSTITUTE(SUBSTITUTE(TRIM(B462),".",""),"-","")," ","")),LEN(UPPER(SUBSTITUTE(SUBSTITUTE(SUBSTITUTE(TRIM(B462),".",""),"-","")," ","")))-1))&amp;RIGHT(UPPER(SUBSTITUTE(SUBSTITUTE(SUBSTITUTE(TRIM(B462),".",""),"-","")," ","")),1),UPPER(SUBSTITUTE(SUBSTITUTE(SUBSTITUTE(TRIM(B462),".",""),"-","")," ",""))))</f>
        <v/>
      </c>
      <c r="N462" s="62" t="str">
        <f aca="false">IF(B462="","",IF(D462="Anexo de modificación","No","Sí"))</f>
        <v/>
      </c>
      <c r="O462" s="62" t="str">
        <f aca="false">IF(AND(N462="Sí",ISNUMBER(F462)),COUNTIFS(C_RUTN,M462,C_DEF,"Sí",C_INI,"&lt;"&amp;F462)+COUNTIFS(M$7:M462,M462,N$7:N462,"Sí",F$7:F462,F462),"")</f>
        <v/>
      </c>
      <c r="P462" s="62" t="str">
        <f aca="false">IF(O462="","",M462&amp;"-P"&amp;O462)</f>
        <v/>
      </c>
      <c r="Q462" s="62" t="str">
        <f aca="false">IF(AND(N462="Sí",E462="Plazo fijo",ISNUMBER(F462)),COUNTIFS(C_RUTN,M462,C_TIPO,"Plazo fijo",C_DEF,"Sí",C_INI,"&lt;"&amp;F462)+COUNTIFS(M$7:M462,M462,E$7:E462,"Plazo fijo",N$7:N462,"Sí",F$7:F462,F462),"")</f>
        <v/>
      </c>
      <c r="R462" s="62" t="str">
        <f aca="false">IF(AND(B462&lt;&gt;"",ISNUMBER(H462),ISNUMBER(F462)),COUNTIFS(C_RUTN,M462,C_SUELDO,"&lt;&gt;",C_INI,"&lt;"&amp;F462)+COUNTIFS(M$7:M462,M462,H$7:H462,"&lt;&gt;",F$7:F462,F462),"")</f>
        <v/>
      </c>
      <c r="S462" s="62" t="str">
        <f aca="false">IF(R462="","",M462&amp;"-S"&amp;R462)</f>
        <v/>
      </c>
    </row>
    <row r="463" customFormat="false" ht="15" hidden="false" customHeight="false" outlineLevel="0" collapsed="false">
      <c r="B463" s="58"/>
      <c r="C463" s="62" t="str">
        <f aca="false">IF(B463="","",IFERROR(INDEX(T_NOMBRE,MATCH(M463,T_RUTN,0)),"⚠ RUT no está en Trabajadores"))</f>
        <v/>
      </c>
      <c r="D463" s="58"/>
      <c r="E463" s="58"/>
      <c r="F463" s="59"/>
      <c r="G463" s="59"/>
      <c r="H463" s="60"/>
      <c r="I463" s="58"/>
      <c r="J463" s="58"/>
      <c r="K463" s="58"/>
      <c r="L463" s="62" t="str">
        <f aca="false">IF(B463="","",IF(LEFT(C463,1)="⚠","⚠ Registre primero al trabajador en la hoja Trabajadores",IF(AND(N463="Sí",OR(E463="",NOT(ISNUMBER(F463)))),"⚠ Falta tipo de contrato o fecha de inicio",IF(NOT(ISNUMBER(F463)),"⚠ Falta fecha de inicio",IF(AND(N463="Sí",E463&lt;&gt;"Indefinido",NOT(ISNUMBER(G463))),"⚠ Falta fecha de término",IF(AND(D463="Paso a indefinido",E463&lt;&gt;"Indefinido"),"⚠ Un paso a indefinido debe tener tipo Indefinido",IF(N(Q463)&gt;=3,"⚠ 3er contrato a plazo fijo: por ley ya es INDEFINIDO (Art. 159 N°4)",IF(AND(E463="Plazo fijo",ISNUMBER(G463),(G463-F463+1)/30.4375&gt;12),"⚠ Plazo fijo mayor a 1 año (máximo legal)",IF(J463&lt;&gt;"Sí","Pendiente de firma","OK")))))))))</f>
        <v/>
      </c>
      <c r="M463" s="62" t="str">
        <f aca="false">IF(B463="","",IFERROR(VALUE(LEFT(UPPER(SUBSTITUTE(SUBSTITUTE(SUBSTITUTE(TRIM(B463),".",""),"-","")," ","")),LEN(UPPER(SUBSTITUTE(SUBSTITUTE(SUBSTITUTE(TRIM(B463),".",""),"-","")," ","")))-1))&amp;RIGHT(UPPER(SUBSTITUTE(SUBSTITUTE(SUBSTITUTE(TRIM(B463),".",""),"-","")," ","")),1),UPPER(SUBSTITUTE(SUBSTITUTE(SUBSTITUTE(TRIM(B463),".",""),"-","")," ",""))))</f>
        <v/>
      </c>
      <c r="N463" s="62" t="str">
        <f aca="false">IF(B463="","",IF(D463="Anexo de modificación","No","Sí"))</f>
        <v/>
      </c>
      <c r="O463" s="62" t="str">
        <f aca="false">IF(AND(N463="Sí",ISNUMBER(F463)),COUNTIFS(C_RUTN,M463,C_DEF,"Sí",C_INI,"&lt;"&amp;F463)+COUNTIFS(M$7:M463,M463,N$7:N463,"Sí",F$7:F463,F463),"")</f>
        <v/>
      </c>
      <c r="P463" s="62" t="str">
        <f aca="false">IF(O463="","",M463&amp;"-P"&amp;O463)</f>
        <v/>
      </c>
      <c r="Q463" s="62" t="str">
        <f aca="false">IF(AND(N463="Sí",E463="Plazo fijo",ISNUMBER(F463)),COUNTIFS(C_RUTN,M463,C_TIPO,"Plazo fijo",C_DEF,"Sí",C_INI,"&lt;"&amp;F463)+COUNTIFS(M$7:M463,M463,E$7:E463,"Plazo fijo",N$7:N463,"Sí",F$7:F463,F463),"")</f>
        <v/>
      </c>
      <c r="R463" s="62" t="str">
        <f aca="false">IF(AND(B463&lt;&gt;"",ISNUMBER(H463),ISNUMBER(F463)),COUNTIFS(C_RUTN,M463,C_SUELDO,"&lt;&gt;",C_INI,"&lt;"&amp;F463)+COUNTIFS(M$7:M463,M463,H$7:H463,"&lt;&gt;",F$7:F463,F463),"")</f>
        <v/>
      </c>
      <c r="S463" s="62" t="str">
        <f aca="false">IF(R463="","",M463&amp;"-S"&amp;R463)</f>
        <v/>
      </c>
    </row>
    <row r="464" customFormat="false" ht="15" hidden="false" customHeight="false" outlineLevel="0" collapsed="false">
      <c r="B464" s="58"/>
      <c r="C464" s="62" t="str">
        <f aca="false">IF(B464="","",IFERROR(INDEX(T_NOMBRE,MATCH(M464,T_RUTN,0)),"⚠ RUT no está en Trabajadores"))</f>
        <v/>
      </c>
      <c r="D464" s="58"/>
      <c r="E464" s="58"/>
      <c r="F464" s="59"/>
      <c r="G464" s="59"/>
      <c r="H464" s="60"/>
      <c r="I464" s="58"/>
      <c r="J464" s="58"/>
      <c r="K464" s="58"/>
      <c r="L464" s="62" t="str">
        <f aca="false">IF(B464="","",IF(LEFT(C464,1)="⚠","⚠ Registre primero al trabajador en la hoja Trabajadores",IF(AND(N464="Sí",OR(E464="",NOT(ISNUMBER(F464)))),"⚠ Falta tipo de contrato o fecha de inicio",IF(NOT(ISNUMBER(F464)),"⚠ Falta fecha de inicio",IF(AND(N464="Sí",E464&lt;&gt;"Indefinido",NOT(ISNUMBER(G464))),"⚠ Falta fecha de término",IF(AND(D464="Paso a indefinido",E464&lt;&gt;"Indefinido"),"⚠ Un paso a indefinido debe tener tipo Indefinido",IF(N(Q464)&gt;=3,"⚠ 3er contrato a plazo fijo: por ley ya es INDEFINIDO (Art. 159 N°4)",IF(AND(E464="Plazo fijo",ISNUMBER(G464),(G464-F464+1)/30.4375&gt;12),"⚠ Plazo fijo mayor a 1 año (máximo legal)",IF(J464&lt;&gt;"Sí","Pendiente de firma","OK")))))))))</f>
        <v/>
      </c>
      <c r="M464" s="62" t="str">
        <f aca="false">IF(B464="","",IFERROR(VALUE(LEFT(UPPER(SUBSTITUTE(SUBSTITUTE(SUBSTITUTE(TRIM(B464),".",""),"-","")," ","")),LEN(UPPER(SUBSTITUTE(SUBSTITUTE(SUBSTITUTE(TRIM(B464),".",""),"-","")," ","")))-1))&amp;RIGHT(UPPER(SUBSTITUTE(SUBSTITUTE(SUBSTITUTE(TRIM(B464),".",""),"-","")," ","")),1),UPPER(SUBSTITUTE(SUBSTITUTE(SUBSTITUTE(TRIM(B464),".",""),"-","")," ",""))))</f>
        <v/>
      </c>
      <c r="N464" s="62" t="str">
        <f aca="false">IF(B464="","",IF(D464="Anexo de modificación","No","Sí"))</f>
        <v/>
      </c>
      <c r="O464" s="62" t="str">
        <f aca="false">IF(AND(N464="Sí",ISNUMBER(F464)),COUNTIFS(C_RUTN,M464,C_DEF,"Sí",C_INI,"&lt;"&amp;F464)+COUNTIFS(M$7:M464,M464,N$7:N464,"Sí",F$7:F464,F464),"")</f>
        <v/>
      </c>
      <c r="P464" s="62" t="str">
        <f aca="false">IF(O464="","",M464&amp;"-P"&amp;O464)</f>
        <v/>
      </c>
      <c r="Q464" s="62" t="str">
        <f aca="false">IF(AND(N464="Sí",E464="Plazo fijo",ISNUMBER(F464)),COUNTIFS(C_RUTN,M464,C_TIPO,"Plazo fijo",C_DEF,"Sí",C_INI,"&lt;"&amp;F464)+COUNTIFS(M$7:M464,M464,E$7:E464,"Plazo fijo",N$7:N464,"Sí",F$7:F464,F464),"")</f>
        <v/>
      </c>
      <c r="R464" s="62" t="str">
        <f aca="false">IF(AND(B464&lt;&gt;"",ISNUMBER(H464),ISNUMBER(F464)),COUNTIFS(C_RUTN,M464,C_SUELDO,"&lt;&gt;",C_INI,"&lt;"&amp;F464)+COUNTIFS(M$7:M464,M464,H$7:H464,"&lt;&gt;",F$7:F464,F464),"")</f>
        <v/>
      </c>
      <c r="S464" s="62" t="str">
        <f aca="false">IF(R464="","",M464&amp;"-S"&amp;R464)</f>
        <v/>
      </c>
    </row>
    <row r="465" customFormat="false" ht="15" hidden="false" customHeight="false" outlineLevel="0" collapsed="false">
      <c r="B465" s="58"/>
      <c r="C465" s="62" t="str">
        <f aca="false">IF(B465="","",IFERROR(INDEX(T_NOMBRE,MATCH(M465,T_RUTN,0)),"⚠ RUT no está en Trabajadores"))</f>
        <v/>
      </c>
      <c r="D465" s="58"/>
      <c r="E465" s="58"/>
      <c r="F465" s="59"/>
      <c r="G465" s="59"/>
      <c r="H465" s="60"/>
      <c r="I465" s="58"/>
      <c r="J465" s="58"/>
      <c r="K465" s="58"/>
      <c r="L465" s="62" t="str">
        <f aca="false">IF(B465="","",IF(LEFT(C465,1)="⚠","⚠ Registre primero al trabajador en la hoja Trabajadores",IF(AND(N465="Sí",OR(E465="",NOT(ISNUMBER(F465)))),"⚠ Falta tipo de contrato o fecha de inicio",IF(NOT(ISNUMBER(F465)),"⚠ Falta fecha de inicio",IF(AND(N465="Sí",E465&lt;&gt;"Indefinido",NOT(ISNUMBER(G465))),"⚠ Falta fecha de término",IF(AND(D465="Paso a indefinido",E465&lt;&gt;"Indefinido"),"⚠ Un paso a indefinido debe tener tipo Indefinido",IF(N(Q465)&gt;=3,"⚠ 3er contrato a plazo fijo: por ley ya es INDEFINIDO (Art. 159 N°4)",IF(AND(E465="Plazo fijo",ISNUMBER(G465),(G465-F465+1)/30.4375&gt;12),"⚠ Plazo fijo mayor a 1 año (máximo legal)",IF(J465&lt;&gt;"Sí","Pendiente de firma","OK")))))))))</f>
        <v/>
      </c>
      <c r="M465" s="62" t="str">
        <f aca="false">IF(B465="","",IFERROR(VALUE(LEFT(UPPER(SUBSTITUTE(SUBSTITUTE(SUBSTITUTE(TRIM(B465),".",""),"-","")," ","")),LEN(UPPER(SUBSTITUTE(SUBSTITUTE(SUBSTITUTE(TRIM(B465),".",""),"-","")," ","")))-1))&amp;RIGHT(UPPER(SUBSTITUTE(SUBSTITUTE(SUBSTITUTE(TRIM(B465),".",""),"-","")," ","")),1),UPPER(SUBSTITUTE(SUBSTITUTE(SUBSTITUTE(TRIM(B465),".",""),"-","")," ",""))))</f>
        <v/>
      </c>
      <c r="N465" s="62" t="str">
        <f aca="false">IF(B465="","",IF(D465="Anexo de modificación","No","Sí"))</f>
        <v/>
      </c>
      <c r="O465" s="62" t="str">
        <f aca="false">IF(AND(N465="Sí",ISNUMBER(F465)),COUNTIFS(C_RUTN,M465,C_DEF,"Sí",C_INI,"&lt;"&amp;F465)+COUNTIFS(M$7:M465,M465,N$7:N465,"Sí",F$7:F465,F465),"")</f>
        <v/>
      </c>
      <c r="P465" s="62" t="str">
        <f aca="false">IF(O465="","",M465&amp;"-P"&amp;O465)</f>
        <v/>
      </c>
      <c r="Q465" s="62" t="str">
        <f aca="false">IF(AND(N465="Sí",E465="Plazo fijo",ISNUMBER(F465)),COUNTIFS(C_RUTN,M465,C_TIPO,"Plazo fijo",C_DEF,"Sí",C_INI,"&lt;"&amp;F465)+COUNTIFS(M$7:M465,M465,E$7:E465,"Plazo fijo",N$7:N465,"Sí",F$7:F465,F465),"")</f>
        <v/>
      </c>
      <c r="R465" s="62" t="str">
        <f aca="false">IF(AND(B465&lt;&gt;"",ISNUMBER(H465),ISNUMBER(F465)),COUNTIFS(C_RUTN,M465,C_SUELDO,"&lt;&gt;",C_INI,"&lt;"&amp;F465)+COUNTIFS(M$7:M465,M465,H$7:H465,"&lt;&gt;",F$7:F465,F465),"")</f>
        <v/>
      </c>
      <c r="S465" s="62" t="str">
        <f aca="false">IF(R465="","",M465&amp;"-S"&amp;R465)</f>
        <v/>
      </c>
    </row>
    <row r="466" customFormat="false" ht="15" hidden="false" customHeight="false" outlineLevel="0" collapsed="false">
      <c r="B466" s="58"/>
      <c r="C466" s="62" t="str">
        <f aca="false">IF(B466="","",IFERROR(INDEX(T_NOMBRE,MATCH(M466,T_RUTN,0)),"⚠ RUT no está en Trabajadores"))</f>
        <v/>
      </c>
      <c r="D466" s="58"/>
      <c r="E466" s="58"/>
      <c r="F466" s="59"/>
      <c r="G466" s="59"/>
      <c r="H466" s="60"/>
      <c r="I466" s="58"/>
      <c r="J466" s="58"/>
      <c r="K466" s="58"/>
      <c r="L466" s="62" t="str">
        <f aca="false">IF(B466="","",IF(LEFT(C466,1)="⚠","⚠ Registre primero al trabajador en la hoja Trabajadores",IF(AND(N466="Sí",OR(E466="",NOT(ISNUMBER(F466)))),"⚠ Falta tipo de contrato o fecha de inicio",IF(NOT(ISNUMBER(F466)),"⚠ Falta fecha de inicio",IF(AND(N466="Sí",E466&lt;&gt;"Indefinido",NOT(ISNUMBER(G466))),"⚠ Falta fecha de término",IF(AND(D466="Paso a indefinido",E466&lt;&gt;"Indefinido"),"⚠ Un paso a indefinido debe tener tipo Indefinido",IF(N(Q466)&gt;=3,"⚠ 3er contrato a plazo fijo: por ley ya es INDEFINIDO (Art. 159 N°4)",IF(AND(E466="Plazo fijo",ISNUMBER(G466),(G466-F466+1)/30.4375&gt;12),"⚠ Plazo fijo mayor a 1 año (máximo legal)",IF(J466&lt;&gt;"Sí","Pendiente de firma","OK")))))))))</f>
        <v/>
      </c>
      <c r="M466" s="62" t="str">
        <f aca="false">IF(B466="","",IFERROR(VALUE(LEFT(UPPER(SUBSTITUTE(SUBSTITUTE(SUBSTITUTE(TRIM(B466),".",""),"-","")," ","")),LEN(UPPER(SUBSTITUTE(SUBSTITUTE(SUBSTITUTE(TRIM(B466),".",""),"-","")," ","")))-1))&amp;RIGHT(UPPER(SUBSTITUTE(SUBSTITUTE(SUBSTITUTE(TRIM(B466),".",""),"-","")," ","")),1),UPPER(SUBSTITUTE(SUBSTITUTE(SUBSTITUTE(TRIM(B466),".",""),"-","")," ",""))))</f>
        <v/>
      </c>
      <c r="N466" s="62" t="str">
        <f aca="false">IF(B466="","",IF(D466="Anexo de modificación","No","Sí"))</f>
        <v/>
      </c>
      <c r="O466" s="62" t="str">
        <f aca="false">IF(AND(N466="Sí",ISNUMBER(F466)),COUNTIFS(C_RUTN,M466,C_DEF,"Sí",C_INI,"&lt;"&amp;F466)+COUNTIFS(M$7:M466,M466,N$7:N466,"Sí",F$7:F466,F466),"")</f>
        <v/>
      </c>
      <c r="P466" s="62" t="str">
        <f aca="false">IF(O466="","",M466&amp;"-P"&amp;O466)</f>
        <v/>
      </c>
      <c r="Q466" s="62" t="str">
        <f aca="false">IF(AND(N466="Sí",E466="Plazo fijo",ISNUMBER(F466)),COUNTIFS(C_RUTN,M466,C_TIPO,"Plazo fijo",C_DEF,"Sí",C_INI,"&lt;"&amp;F466)+COUNTIFS(M$7:M466,M466,E$7:E466,"Plazo fijo",N$7:N466,"Sí",F$7:F466,F466),"")</f>
        <v/>
      </c>
      <c r="R466" s="62" t="str">
        <f aca="false">IF(AND(B466&lt;&gt;"",ISNUMBER(H466),ISNUMBER(F466)),COUNTIFS(C_RUTN,M466,C_SUELDO,"&lt;&gt;",C_INI,"&lt;"&amp;F466)+COUNTIFS(M$7:M466,M466,H$7:H466,"&lt;&gt;",F$7:F466,F466),"")</f>
        <v/>
      </c>
      <c r="S466" s="62" t="str">
        <f aca="false">IF(R466="","",M466&amp;"-S"&amp;R466)</f>
        <v/>
      </c>
    </row>
    <row r="467" customFormat="false" ht="15" hidden="false" customHeight="false" outlineLevel="0" collapsed="false">
      <c r="B467" s="58"/>
      <c r="C467" s="62" t="str">
        <f aca="false">IF(B467="","",IFERROR(INDEX(T_NOMBRE,MATCH(M467,T_RUTN,0)),"⚠ RUT no está en Trabajadores"))</f>
        <v/>
      </c>
      <c r="D467" s="58"/>
      <c r="E467" s="58"/>
      <c r="F467" s="59"/>
      <c r="G467" s="59"/>
      <c r="H467" s="60"/>
      <c r="I467" s="58"/>
      <c r="J467" s="58"/>
      <c r="K467" s="58"/>
      <c r="L467" s="62" t="str">
        <f aca="false">IF(B467="","",IF(LEFT(C467,1)="⚠","⚠ Registre primero al trabajador en la hoja Trabajadores",IF(AND(N467="Sí",OR(E467="",NOT(ISNUMBER(F467)))),"⚠ Falta tipo de contrato o fecha de inicio",IF(NOT(ISNUMBER(F467)),"⚠ Falta fecha de inicio",IF(AND(N467="Sí",E467&lt;&gt;"Indefinido",NOT(ISNUMBER(G467))),"⚠ Falta fecha de término",IF(AND(D467="Paso a indefinido",E467&lt;&gt;"Indefinido"),"⚠ Un paso a indefinido debe tener tipo Indefinido",IF(N(Q467)&gt;=3,"⚠ 3er contrato a plazo fijo: por ley ya es INDEFINIDO (Art. 159 N°4)",IF(AND(E467="Plazo fijo",ISNUMBER(G467),(G467-F467+1)/30.4375&gt;12),"⚠ Plazo fijo mayor a 1 año (máximo legal)",IF(J467&lt;&gt;"Sí","Pendiente de firma","OK")))))))))</f>
        <v/>
      </c>
      <c r="M467" s="62" t="str">
        <f aca="false">IF(B467="","",IFERROR(VALUE(LEFT(UPPER(SUBSTITUTE(SUBSTITUTE(SUBSTITUTE(TRIM(B467),".",""),"-","")," ","")),LEN(UPPER(SUBSTITUTE(SUBSTITUTE(SUBSTITUTE(TRIM(B467),".",""),"-","")," ","")))-1))&amp;RIGHT(UPPER(SUBSTITUTE(SUBSTITUTE(SUBSTITUTE(TRIM(B467),".",""),"-","")," ","")),1),UPPER(SUBSTITUTE(SUBSTITUTE(SUBSTITUTE(TRIM(B467),".",""),"-","")," ",""))))</f>
        <v/>
      </c>
      <c r="N467" s="62" t="str">
        <f aca="false">IF(B467="","",IF(D467="Anexo de modificación","No","Sí"))</f>
        <v/>
      </c>
      <c r="O467" s="62" t="str">
        <f aca="false">IF(AND(N467="Sí",ISNUMBER(F467)),COUNTIFS(C_RUTN,M467,C_DEF,"Sí",C_INI,"&lt;"&amp;F467)+COUNTIFS(M$7:M467,M467,N$7:N467,"Sí",F$7:F467,F467),"")</f>
        <v/>
      </c>
      <c r="P467" s="62" t="str">
        <f aca="false">IF(O467="","",M467&amp;"-P"&amp;O467)</f>
        <v/>
      </c>
      <c r="Q467" s="62" t="str">
        <f aca="false">IF(AND(N467="Sí",E467="Plazo fijo",ISNUMBER(F467)),COUNTIFS(C_RUTN,M467,C_TIPO,"Plazo fijo",C_DEF,"Sí",C_INI,"&lt;"&amp;F467)+COUNTIFS(M$7:M467,M467,E$7:E467,"Plazo fijo",N$7:N467,"Sí",F$7:F467,F467),"")</f>
        <v/>
      </c>
      <c r="R467" s="62" t="str">
        <f aca="false">IF(AND(B467&lt;&gt;"",ISNUMBER(H467),ISNUMBER(F467)),COUNTIFS(C_RUTN,M467,C_SUELDO,"&lt;&gt;",C_INI,"&lt;"&amp;F467)+COUNTIFS(M$7:M467,M467,H$7:H467,"&lt;&gt;",F$7:F467,F467),"")</f>
        <v/>
      </c>
      <c r="S467" s="62" t="str">
        <f aca="false">IF(R467="","",M467&amp;"-S"&amp;R467)</f>
        <v/>
      </c>
    </row>
    <row r="468" customFormat="false" ht="15" hidden="false" customHeight="false" outlineLevel="0" collapsed="false">
      <c r="B468" s="58"/>
      <c r="C468" s="62" t="str">
        <f aca="false">IF(B468="","",IFERROR(INDEX(T_NOMBRE,MATCH(M468,T_RUTN,0)),"⚠ RUT no está en Trabajadores"))</f>
        <v/>
      </c>
      <c r="D468" s="58"/>
      <c r="E468" s="58"/>
      <c r="F468" s="59"/>
      <c r="G468" s="59"/>
      <c r="H468" s="60"/>
      <c r="I468" s="58"/>
      <c r="J468" s="58"/>
      <c r="K468" s="58"/>
      <c r="L468" s="62" t="str">
        <f aca="false">IF(B468="","",IF(LEFT(C468,1)="⚠","⚠ Registre primero al trabajador en la hoja Trabajadores",IF(AND(N468="Sí",OR(E468="",NOT(ISNUMBER(F468)))),"⚠ Falta tipo de contrato o fecha de inicio",IF(NOT(ISNUMBER(F468)),"⚠ Falta fecha de inicio",IF(AND(N468="Sí",E468&lt;&gt;"Indefinido",NOT(ISNUMBER(G468))),"⚠ Falta fecha de término",IF(AND(D468="Paso a indefinido",E468&lt;&gt;"Indefinido"),"⚠ Un paso a indefinido debe tener tipo Indefinido",IF(N(Q468)&gt;=3,"⚠ 3er contrato a plazo fijo: por ley ya es INDEFINIDO (Art. 159 N°4)",IF(AND(E468="Plazo fijo",ISNUMBER(G468),(G468-F468+1)/30.4375&gt;12),"⚠ Plazo fijo mayor a 1 año (máximo legal)",IF(J468&lt;&gt;"Sí","Pendiente de firma","OK")))))))))</f>
        <v/>
      </c>
      <c r="M468" s="62" t="str">
        <f aca="false">IF(B468="","",IFERROR(VALUE(LEFT(UPPER(SUBSTITUTE(SUBSTITUTE(SUBSTITUTE(TRIM(B468),".",""),"-","")," ","")),LEN(UPPER(SUBSTITUTE(SUBSTITUTE(SUBSTITUTE(TRIM(B468),".",""),"-","")," ","")))-1))&amp;RIGHT(UPPER(SUBSTITUTE(SUBSTITUTE(SUBSTITUTE(TRIM(B468),".",""),"-","")," ","")),1),UPPER(SUBSTITUTE(SUBSTITUTE(SUBSTITUTE(TRIM(B468),".",""),"-","")," ",""))))</f>
        <v/>
      </c>
      <c r="N468" s="62" t="str">
        <f aca="false">IF(B468="","",IF(D468="Anexo de modificación","No","Sí"))</f>
        <v/>
      </c>
      <c r="O468" s="62" t="str">
        <f aca="false">IF(AND(N468="Sí",ISNUMBER(F468)),COUNTIFS(C_RUTN,M468,C_DEF,"Sí",C_INI,"&lt;"&amp;F468)+COUNTIFS(M$7:M468,M468,N$7:N468,"Sí",F$7:F468,F468),"")</f>
        <v/>
      </c>
      <c r="P468" s="62" t="str">
        <f aca="false">IF(O468="","",M468&amp;"-P"&amp;O468)</f>
        <v/>
      </c>
      <c r="Q468" s="62" t="str">
        <f aca="false">IF(AND(N468="Sí",E468="Plazo fijo",ISNUMBER(F468)),COUNTIFS(C_RUTN,M468,C_TIPO,"Plazo fijo",C_DEF,"Sí",C_INI,"&lt;"&amp;F468)+COUNTIFS(M$7:M468,M468,E$7:E468,"Plazo fijo",N$7:N468,"Sí",F$7:F468,F468),"")</f>
        <v/>
      </c>
      <c r="R468" s="62" t="str">
        <f aca="false">IF(AND(B468&lt;&gt;"",ISNUMBER(H468),ISNUMBER(F468)),COUNTIFS(C_RUTN,M468,C_SUELDO,"&lt;&gt;",C_INI,"&lt;"&amp;F468)+COUNTIFS(M$7:M468,M468,H$7:H468,"&lt;&gt;",F$7:F468,F468),"")</f>
        <v/>
      </c>
      <c r="S468" s="62" t="str">
        <f aca="false">IF(R468="","",M468&amp;"-S"&amp;R468)</f>
        <v/>
      </c>
    </row>
    <row r="469" customFormat="false" ht="15" hidden="false" customHeight="false" outlineLevel="0" collapsed="false">
      <c r="B469" s="58"/>
      <c r="C469" s="62" t="str">
        <f aca="false">IF(B469="","",IFERROR(INDEX(T_NOMBRE,MATCH(M469,T_RUTN,0)),"⚠ RUT no está en Trabajadores"))</f>
        <v/>
      </c>
      <c r="D469" s="58"/>
      <c r="E469" s="58"/>
      <c r="F469" s="59"/>
      <c r="G469" s="59"/>
      <c r="H469" s="60"/>
      <c r="I469" s="58"/>
      <c r="J469" s="58"/>
      <c r="K469" s="58"/>
      <c r="L469" s="62" t="str">
        <f aca="false">IF(B469="","",IF(LEFT(C469,1)="⚠","⚠ Registre primero al trabajador en la hoja Trabajadores",IF(AND(N469="Sí",OR(E469="",NOT(ISNUMBER(F469)))),"⚠ Falta tipo de contrato o fecha de inicio",IF(NOT(ISNUMBER(F469)),"⚠ Falta fecha de inicio",IF(AND(N469="Sí",E469&lt;&gt;"Indefinido",NOT(ISNUMBER(G469))),"⚠ Falta fecha de término",IF(AND(D469="Paso a indefinido",E469&lt;&gt;"Indefinido"),"⚠ Un paso a indefinido debe tener tipo Indefinido",IF(N(Q469)&gt;=3,"⚠ 3er contrato a plazo fijo: por ley ya es INDEFINIDO (Art. 159 N°4)",IF(AND(E469="Plazo fijo",ISNUMBER(G469),(G469-F469+1)/30.4375&gt;12),"⚠ Plazo fijo mayor a 1 año (máximo legal)",IF(J469&lt;&gt;"Sí","Pendiente de firma","OK")))))))))</f>
        <v/>
      </c>
      <c r="M469" s="62" t="str">
        <f aca="false">IF(B469="","",IFERROR(VALUE(LEFT(UPPER(SUBSTITUTE(SUBSTITUTE(SUBSTITUTE(TRIM(B469),".",""),"-","")," ","")),LEN(UPPER(SUBSTITUTE(SUBSTITUTE(SUBSTITUTE(TRIM(B469),".",""),"-","")," ","")))-1))&amp;RIGHT(UPPER(SUBSTITUTE(SUBSTITUTE(SUBSTITUTE(TRIM(B469),".",""),"-","")," ","")),1),UPPER(SUBSTITUTE(SUBSTITUTE(SUBSTITUTE(TRIM(B469),".",""),"-","")," ",""))))</f>
        <v/>
      </c>
      <c r="N469" s="62" t="str">
        <f aca="false">IF(B469="","",IF(D469="Anexo de modificación","No","Sí"))</f>
        <v/>
      </c>
      <c r="O469" s="62" t="str">
        <f aca="false">IF(AND(N469="Sí",ISNUMBER(F469)),COUNTIFS(C_RUTN,M469,C_DEF,"Sí",C_INI,"&lt;"&amp;F469)+COUNTIFS(M$7:M469,M469,N$7:N469,"Sí",F$7:F469,F469),"")</f>
        <v/>
      </c>
      <c r="P469" s="62" t="str">
        <f aca="false">IF(O469="","",M469&amp;"-P"&amp;O469)</f>
        <v/>
      </c>
      <c r="Q469" s="62" t="str">
        <f aca="false">IF(AND(N469="Sí",E469="Plazo fijo",ISNUMBER(F469)),COUNTIFS(C_RUTN,M469,C_TIPO,"Plazo fijo",C_DEF,"Sí",C_INI,"&lt;"&amp;F469)+COUNTIFS(M$7:M469,M469,E$7:E469,"Plazo fijo",N$7:N469,"Sí",F$7:F469,F469),"")</f>
        <v/>
      </c>
      <c r="R469" s="62" t="str">
        <f aca="false">IF(AND(B469&lt;&gt;"",ISNUMBER(H469),ISNUMBER(F469)),COUNTIFS(C_RUTN,M469,C_SUELDO,"&lt;&gt;",C_INI,"&lt;"&amp;F469)+COUNTIFS(M$7:M469,M469,H$7:H469,"&lt;&gt;",F$7:F469,F469),"")</f>
        <v/>
      </c>
      <c r="S469" s="62" t="str">
        <f aca="false">IF(R469="","",M469&amp;"-S"&amp;R469)</f>
        <v/>
      </c>
    </row>
    <row r="470" customFormat="false" ht="15" hidden="false" customHeight="false" outlineLevel="0" collapsed="false">
      <c r="B470" s="58"/>
      <c r="C470" s="62" t="str">
        <f aca="false">IF(B470="","",IFERROR(INDEX(T_NOMBRE,MATCH(M470,T_RUTN,0)),"⚠ RUT no está en Trabajadores"))</f>
        <v/>
      </c>
      <c r="D470" s="58"/>
      <c r="E470" s="58"/>
      <c r="F470" s="59"/>
      <c r="G470" s="59"/>
      <c r="H470" s="60"/>
      <c r="I470" s="58"/>
      <c r="J470" s="58"/>
      <c r="K470" s="58"/>
      <c r="L470" s="62" t="str">
        <f aca="false">IF(B470="","",IF(LEFT(C470,1)="⚠","⚠ Registre primero al trabajador en la hoja Trabajadores",IF(AND(N470="Sí",OR(E470="",NOT(ISNUMBER(F470)))),"⚠ Falta tipo de contrato o fecha de inicio",IF(NOT(ISNUMBER(F470)),"⚠ Falta fecha de inicio",IF(AND(N470="Sí",E470&lt;&gt;"Indefinido",NOT(ISNUMBER(G470))),"⚠ Falta fecha de término",IF(AND(D470="Paso a indefinido",E470&lt;&gt;"Indefinido"),"⚠ Un paso a indefinido debe tener tipo Indefinido",IF(N(Q470)&gt;=3,"⚠ 3er contrato a plazo fijo: por ley ya es INDEFINIDO (Art. 159 N°4)",IF(AND(E470="Plazo fijo",ISNUMBER(G470),(G470-F470+1)/30.4375&gt;12),"⚠ Plazo fijo mayor a 1 año (máximo legal)",IF(J470&lt;&gt;"Sí","Pendiente de firma","OK")))))))))</f>
        <v/>
      </c>
      <c r="M470" s="62" t="str">
        <f aca="false">IF(B470="","",IFERROR(VALUE(LEFT(UPPER(SUBSTITUTE(SUBSTITUTE(SUBSTITUTE(TRIM(B470),".",""),"-","")," ","")),LEN(UPPER(SUBSTITUTE(SUBSTITUTE(SUBSTITUTE(TRIM(B470),".",""),"-","")," ","")))-1))&amp;RIGHT(UPPER(SUBSTITUTE(SUBSTITUTE(SUBSTITUTE(TRIM(B470),".",""),"-","")," ","")),1),UPPER(SUBSTITUTE(SUBSTITUTE(SUBSTITUTE(TRIM(B470),".",""),"-","")," ",""))))</f>
        <v/>
      </c>
      <c r="N470" s="62" t="str">
        <f aca="false">IF(B470="","",IF(D470="Anexo de modificación","No","Sí"))</f>
        <v/>
      </c>
      <c r="O470" s="62" t="str">
        <f aca="false">IF(AND(N470="Sí",ISNUMBER(F470)),COUNTIFS(C_RUTN,M470,C_DEF,"Sí",C_INI,"&lt;"&amp;F470)+COUNTIFS(M$7:M470,M470,N$7:N470,"Sí",F$7:F470,F470),"")</f>
        <v/>
      </c>
      <c r="P470" s="62" t="str">
        <f aca="false">IF(O470="","",M470&amp;"-P"&amp;O470)</f>
        <v/>
      </c>
      <c r="Q470" s="62" t="str">
        <f aca="false">IF(AND(N470="Sí",E470="Plazo fijo",ISNUMBER(F470)),COUNTIFS(C_RUTN,M470,C_TIPO,"Plazo fijo",C_DEF,"Sí",C_INI,"&lt;"&amp;F470)+COUNTIFS(M$7:M470,M470,E$7:E470,"Plazo fijo",N$7:N470,"Sí",F$7:F470,F470),"")</f>
        <v/>
      </c>
      <c r="R470" s="62" t="str">
        <f aca="false">IF(AND(B470&lt;&gt;"",ISNUMBER(H470),ISNUMBER(F470)),COUNTIFS(C_RUTN,M470,C_SUELDO,"&lt;&gt;",C_INI,"&lt;"&amp;F470)+COUNTIFS(M$7:M470,M470,H$7:H470,"&lt;&gt;",F$7:F470,F470),"")</f>
        <v/>
      </c>
      <c r="S470" s="62" t="str">
        <f aca="false">IF(R470="","",M470&amp;"-S"&amp;R470)</f>
        <v/>
      </c>
    </row>
    <row r="471" customFormat="false" ht="15" hidden="false" customHeight="false" outlineLevel="0" collapsed="false">
      <c r="B471" s="58"/>
      <c r="C471" s="62" t="str">
        <f aca="false">IF(B471="","",IFERROR(INDEX(T_NOMBRE,MATCH(M471,T_RUTN,0)),"⚠ RUT no está en Trabajadores"))</f>
        <v/>
      </c>
      <c r="D471" s="58"/>
      <c r="E471" s="58"/>
      <c r="F471" s="59"/>
      <c r="G471" s="59"/>
      <c r="H471" s="60"/>
      <c r="I471" s="58"/>
      <c r="J471" s="58"/>
      <c r="K471" s="58"/>
      <c r="L471" s="62" t="str">
        <f aca="false">IF(B471="","",IF(LEFT(C471,1)="⚠","⚠ Registre primero al trabajador en la hoja Trabajadores",IF(AND(N471="Sí",OR(E471="",NOT(ISNUMBER(F471)))),"⚠ Falta tipo de contrato o fecha de inicio",IF(NOT(ISNUMBER(F471)),"⚠ Falta fecha de inicio",IF(AND(N471="Sí",E471&lt;&gt;"Indefinido",NOT(ISNUMBER(G471))),"⚠ Falta fecha de término",IF(AND(D471="Paso a indefinido",E471&lt;&gt;"Indefinido"),"⚠ Un paso a indefinido debe tener tipo Indefinido",IF(N(Q471)&gt;=3,"⚠ 3er contrato a plazo fijo: por ley ya es INDEFINIDO (Art. 159 N°4)",IF(AND(E471="Plazo fijo",ISNUMBER(G471),(G471-F471+1)/30.4375&gt;12),"⚠ Plazo fijo mayor a 1 año (máximo legal)",IF(J471&lt;&gt;"Sí","Pendiente de firma","OK")))))))))</f>
        <v/>
      </c>
      <c r="M471" s="62" t="str">
        <f aca="false">IF(B471="","",IFERROR(VALUE(LEFT(UPPER(SUBSTITUTE(SUBSTITUTE(SUBSTITUTE(TRIM(B471),".",""),"-","")," ","")),LEN(UPPER(SUBSTITUTE(SUBSTITUTE(SUBSTITUTE(TRIM(B471),".",""),"-","")," ","")))-1))&amp;RIGHT(UPPER(SUBSTITUTE(SUBSTITUTE(SUBSTITUTE(TRIM(B471),".",""),"-","")," ","")),1),UPPER(SUBSTITUTE(SUBSTITUTE(SUBSTITUTE(TRIM(B471),".",""),"-","")," ",""))))</f>
        <v/>
      </c>
      <c r="N471" s="62" t="str">
        <f aca="false">IF(B471="","",IF(D471="Anexo de modificación","No","Sí"))</f>
        <v/>
      </c>
      <c r="O471" s="62" t="str">
        <f aca="false">IF(AND(N471="Sí",ISNUMBER(F471)),COUNTIFS(C_RUTN,M471,C_DEF,"Sí",C_INI,"&lt;"&amp;F471)+COUNTIFS(M$7:M471,M471,N$7:N471,"Sí",F$7:F471,F471),"")</f>
        <v/>
      </c>
      <c r="P471" s="62" t="str">
        <f aca="false">IF(O471="","",M471&amp;"-P"&amp;O471)</f>
        <v/>
      </c>
      <c r="Q471" s="62" t="str">
        <f aca="false">IF(AND(N471="Sí",E471="Plazo fijo",ISNUMBER(F471)),COUNTIFS(C_RUTN,M471,C_TIPO,"Plazo fijo",C_DEF,"Sí",C_INI,"&lt;"&amp;F471)+COUNTIFS(M$7:M471,M471,E$7:E471,"Plazo fijo",N$7:N471,"Sí",F$7:F471,F471),"")</f>
        <v/>
      </c>
      <c r="R471" s="62" t="str">
        <f aca="false">IF(AND(B471&lt;&gt;"",ISNUMBER(H471),ISNUMBER(F471)),COUNTIFS(C_RUTN,M471,C_SUELDO,"&lt;&gt;",C_INI,"&lt;"&amp;F471)+COUNTIFS(M$7:M471,M471,H$7:H471,"&lt;&gt;",F$7:F471,F471),"")</f>
        <v/>
      </c>
      <c r="S471" s="62" t="str">
        <f aca="false">IF(R471="","",M471&amp;"-S"&amp;R471)</f>
        <v/>
      </c>
    </row>
    <row r="472" customFormat="false" ht="15" hidden="false" customHeight="false" outlineLevel="0" collapsed="false">
      <c r="B472" s="58"/>
      <c r="C472" s="62" t="str">
        <f aca="false">IF(B472="","",IFERROR(INDEX(T_NOMBRE,MATCH(M472,T_RUTN,0)),"⚠ RUT no está en Trabajadores"))</f>
        <v/>
      </c>
      <c r="D472" s="58"/>
      <c r="E472" s="58"/>
      <c r="F472" s="59"/>
      <c r="G472" s="59"/>
      <c r="H472" s="60"/>
      <c r="I472" s="58"/>
      <c r="J472" s="58"/>
      <c r="K472" s="58"/>
      <c r="L472" s="62" t="str">
        <f aca="false">IF(B472="","",IF(LEFT(C472,1)="⚠","⚠ Registre primero al trabajador en la hoja Trabajadores",IF(AND(N472="Sí",OR(E472="",NOT(ISNUMBER(F472)))),"⚠ Falta tipo de contrato o fecha de inicio",IF(NOT(ISNUMBER(F472)),"⚠ Falta fecha de inicio",IF(AND(N472="Sí",E472&lt;&gt;"Indefinido",NOT(ISNUMBER(G472))),"⚠ Falta fecha de término",IF(AND(D472="Paso a indefinido",E472&lt;&gt;"Indefinido"),"⚠ Un paso a indefinido debe tener tipo Indefinido",IF(N(Q472)&gt;=3,"⚠ 3er contrato a plazo fijo: por ley ya es INDEFINIDO (Art. 159 N°4)",IF(AND(E472="Plazo fijo",ISNUMBER(G472),(G472-F472+1)/30.4375&gt;12),"⚠ Plazo fijo mayor a 1 año (máximo legal)",IF(J472&lt;&gt;"Sí","Pendiente de firma","OK")))))))))</f>
        <v/>
      </c>
      <c r="M472" s="62" t="str">
        <f aca="false">IF(B472="","",IFERROR(VALUE(LEFT(UPPER(SUBSTITUTE(SUBSTITUTE(SUBSTITUTE(TRIM(B472),".",""),"-","")," ","")),LEN(UPPER(SUBSTITUTE(SUBSTITUTE(SUBSTITUTE(TRIM(B472),".",""),"-","")," ","")))-1))&amp;RIGHT(UPPER(SUBSTITUTE(SUBSTITUTE(SUBSTITUTE(TRIM(B472),".",""),"-","")," ","")),1),UPPER(SUBSTITUTE(SUBSTITUTE(SUBSTITUTE(TRIM(B472),".",""),"-","")," ",""))))</f>
        <v/>
      </c>
      <c r="N472" s="62" t="str">
        <f aca="false">IF(B472="","",IF(D472="Anexo de modificación","No","Sí"))</f>
        <v/>
      </c>
      <c r="O472" s="62" t="str">
        <f aca="false">IF(AND(N472="Sí",ISNUMBER(F472)),COUNTIFS(C_RUTN,M472,C_DEF,"Sí",C_INI,"&lt;"&amp;F472)+COUNTIFS(M$7:M472,M472,N$7:N472,"Sí",F$7:F472,F472),"")</f>
        <v/>
      </c>
      <c r="P472" s="62" t="str">
        <f aca="false">IF(O472="","",M472&amp;"-P"&amp;O472)</f>
        <v/>
      </c>
      <c r="Q472" s="62" t="str">
        <f aca="false">IF(AND(N472="Sí",E472="Plazo fijo",ISNUMBER(F472)),COUNTIFS(C_RUTN,M472,C_TIPO,"Plazo fijo",C_DEF,"Sí",C_INI,"&lt;"&amp;F472)+COUNTIFS(M$7:M472,M472,E$7:E472,"Plazo fijo",N$7:N472,"Sí",F$7:F472,F472),"")</f>
        <v/>
      </c>
      <c r="R472" s="62" t="str">
        <f aca="false">IF(AND(B472&lt;&gt;"",ISNUMBER(H472),ISNUMBER(F472)),COUNTIFS(C_RUTN,M472,C_SUELDO,"&lt;&gt;",C_INI,"&lt;"&amp;F472)+COUNTIFS(M$7:M472,M472,H$7:H472,"&lt;&gt;",F$7:F472,F472),"")</f>
        <v/>
      </c>
      <c r="S472" s="62" t="str">
        <f aca="false">IF(R472="","",M472&amp;"-S"&amp;R472)</f>
        <v/>
      </c>
    </row>
    <row r="473" customFormat="false" ht="15" hidden="false" customHeight="false" outlineLevel="0" collapsed="false">
      <c r="B473" s="58"/>
      <c r="C473" s="62" t="str">
        <f aca="false">IF(B473="","",IFERROR(INDEX(T_NOMBRE,MATCH(M473,T_RUTN,0)),"⚠ RUT no está en Trabajadores"))</f>
        <v/>
      </c>
      <c r="D473" s="58"/>
      <c r="E473" s="58"/>
      <c r="F473" s="59"/>
      <c r="G473" s="59"/>
      <c r="H473" s="60"/>
      <c r="I473" s="58"/>
      <c r="J473" s="58"/>
      <c r="K473" s="58"/>
      <c r="L473" s="62" t="str">
        <f aca="false">IF(B473="","",IF(LEFT(C473,1)="⚠","⚠ Registre primero al trabajador en la hoja Trabajadores",IF(AND(N473="Sí",OR(E473="",NOT(ISNUMBER(F473)))),"⚠ Falta tipo de contrato o fecha de inicio",IF(NOT(ISNUMBER(F473)),"⚠ Falta fecha de inicio",IF(AND(N473="Sí",E473&lt;&gt;"Indefinido",NOT(ISNUMBER(G473))),"⚠ Falta fecha de término",IF(AND(D473="Paso a indefinido",E473&lt;&gt;"Indefinido"),"⚠ Un paso a indefinido debe tener tipo Indefinido",IF(N(Q473)&gt;=3,"⚠ 3er contrato a plazo fijo: por ley ya es INDEFINIDO (Art. 159 N°4)",IF(AND(E473="Plazo fijo",ISNUMBER(G473),(G473-F473+1)/30.4375&gt;12),"⚠ Plazo fijo mayor a 1 año (máximo legal)",IF(J473&lt;&gt;"Sí","Pendiente de firma","OK")))))))))</f>
        <v/>
      </c>
      <c r="M473" s="62" t="str">
        <f aca="false">IF(B473="","",IFERROR(VALUE(LEFT(UPPER(SUBSTITUTE(SUBSTITUTE(SUBSTITUTE(TRIM(B473),".",""),"-","")," ","")),LEN(UPPER(SUBSTITUTE(SUBSTITUTE(SUBSTITUTE(TRIM(B473),".",""),"-","")," ","")))-1))&amp;RIGHT(UPPER(SUBSTITUTE(SUBSTITUTE(SUBSTITUTE(TRIM(B473),".",""),"-","")," ","")),1),UPPER(SUBSTITUTE(SUBSTITUTE(SUBSTITUTE(TRIM(B473),".",""),"-","")," ",""))))</f>
        <v/>
      </c>
      <c r="N473" s="62" t="str">
        <f aca="false">IF(B473="","",IF(D473="Anexo de modificación","No","Sí"))</f>
        <v/>
      </c>
      <c r="O473" s="62" t="str">
        <f aca="false">IF(AND(N473="Sí",ISNUMBER(F473)),COUNTIFS(C_RUTN,M473,C_DEF,"Sí",C_INI,"&lt;"&amp;F473)+COUNTIFS(M$7:M473,M473,N$7:N473,"Sí",F$7:F473,F473),"")</f>
        <v/>
      </c>
      <c r="P473" s="62" t="str">
        <f aca="false">IF(O473="","",M473&amp;"-P"&amp;O473)</f>
        <v/>
      </c>
      <c r="Q473" s="62" t="str">
        <f aca="false">IF(AND(N473="Sí",E473="Plazo fijo",ISNUMBER(F473)),COUNTIFS(C_RUTN,M473,C_TIPO,"Plazo fijo",C_DEF,"Sí",C_INI,"&lt;"&amp;F473)+COUNTIFS(M$7:M473,M473,E$7:E473,"Plazo fijo",N$7:N473,"Sí",F$7:F473,F473),"")</f>
        <v/>
      </c>
      <c r="R473" s="62" t="str">
        <f aca="false">IF(AND(B473&lt;&gt;"",ISNUMBER(H473),ISNUMBER(F473)),COUNTIFS(C_RUTN,M473,C_SUELDO,"&lt;&gt;",C_INI,"&lt;"&amp;F473)+COUNTIFS(M$7:M473,M473,H$7:H473,"&lt;&gt;",F$7:F473,F473),"")</f>
        <v/>
      </c>
      <c r="S473" s="62" t="str">
        <f aca="false">IF(R473="","",M473&amp;"-S"&amp;R473)</f>
        <v/>
      </c>
    </row>
    <row r="474" customFormat="false" ht="15" hidden="false" customHeight="false" outlineLevel="0" collapsed="false">
      <c r="B474" s="58"/>
      <c r="C474" s="62" t="str">
        <f aca="false">IF(B474="","",IFERROR(INDEX(T_NOMBRE,MATCH(M474,T_RUTN,0)),"⚠ RUT no está en Trabajadores"))</f>
        <v/>
      </c>
      <c r="D474" s="58"/>
      <c r="E474" s="58"/>
      <c r="F474" s="59"/>
      <c r="G474" s="59"/>
      <c r="H474" s="60"/>
      <c r="I474" s="58"/>
      <c r="J474" s="58"/>
      <c r="K474" s="58"/>
      <c r="L474" s="62" t="str">
        <f aca="false">IF(B474="","",IF(LEFT(C474,1)="⚠","⚠ Registre primero al trabajador en la hoja Trabajadores",IF(AND(N474="Sí",OR(E474="",NOT(ISNUMBER(F474)))),"⚠ Falta tipo de contrato o fecha de inicio",IF(NOT(ISNUMBER(F474)),"⚠ Falta fecha de inicio",IF(AND(N474="Sí",E474&lt;&gt;"Indefinido",NOT(ISNUMBER(G474))),"⚠ Falta fecha de término",IF(AND(D474="Paso a indefinido",E474&lt;&gt;"Indefinido"),"⚠ Un paso a indefinido debe tener tipo Indefinido",IF(N(Q474)&gt;=3,"⚠ 3er contrato a plazo fijo: por ley ya es INDEFINIDO (Art. 159 N°4)",IF(AND(E474="Plazo fijo",ISNUMBER(G474),(G474-F474+1)/30.4375&gt;12),"⚠ Plazo fijo mayor a 1 año (máximo legal)",IF(J474&lt;&gt;"Sí","Pendiente de firma","OK")))))))))</f>
        <v/>
      </c>
      <c r="M474" s="62" t="str">
        <f aca="false">IF(B474="","",IFERROR(VALUE(LEFT(UPPER(SUBSTITUTE(SUBSTITUTE(SUBSTITUTE(TRIM(B474),".",""),"-","")," ","")),LEN(UPPER(SUBSTITUTE(SUBSTITUTE(SUBSTITUTE(TRIM(B474),".",""),"-","")," ","")))-1))&amp;RIGHT(UPPER(SUBSTITUTE(SUBSTITUTE(SUBSTITUTE(TRIM(B474),".",""),"-","")," ","")),1),UPPER(SUBSTITUTE(SUBSTITUTE(SUBSTITUTE(TRIM(B474),".",""),"-","")," ",""))))</f>
        <v/>
      </c>
      <c r="N474" s="62" t="str">
        <f aca="false">IF(B474="","",IF(D474="Anexo de modificación","No","Sí"))</f>
        <v/>
      </c>
      <c r="O474" s="62" t="str">
        <f aca="false">IF(AND(N474="Sí",ISNUMBER(F474)),COUNTIFS(C_RUTN,M474,C_DEF,"Sí",C_INI,"&lt;"&amp;F474)+COUNTIFS(M$7:M474,M474,N$7:N474,"Sí",F$7:F474,F474),"")</f>
        <v/>
      </c>
      <c r="P474" s="62" t="str">
        <f aca="false">IF(O474="","",M474&amp;"-P"&amp;O474)</f>
        <v/>
      </c>
      <c r="Q474" s="62" t="str">
        <f aca="false">IF(AND(N474="Sí",E474="Plazo fijo",ISNUMBER(F474)),COUNTIFS(C_RUTN,M474,C_TIPO,"Plazo fijo",C_DEF,"Sí",C_INI,"&lt;"&amp;F474)+COUNTIFS(M$7:M474,M474,E$7:E474,"Plazo fijo",N$7:N474,"Sí",F$7:F474,F474),"")</f>
        <v/>
      </c>
      <c r="R474" s="62" t="str">
        <f aca="false">IF(AND(B474&lt;&gt;"",ISNUMBER(H474),ISNUMBER(F474)),COUNTIFS(C_RUTN,M474,C_SUELDO,"&lt;&gt;",C_INI,"&lt;"&amp;F474)+COUNTIFS(M$7:M474,M474,H$7:H474,"&lt;&gt;",F$7:F474,F474),"")</f>
        <v/>
      </c>
      <c r="S474" s="62" t="str">
        <f aca="false">IF(R474="","",M474&amp;"-S"&amp;R474)</f>
        <v/>
      </c>
    </row>
    <row r="475" customFormat="false" ht="15" hidden="false" customHeight="false" outlineLevel="0" collapsed="false">
      <c r="B475" s="58"/>
      <c r="C475" s="62" t="str">
        <f aca="false">IF(B475="","",IFERROR(INDEX(T_NOMBRE,MATCH(M475,T_RUTN,0)),"⚠ RUT no está en Trabajadores"))</f>
        <v/>
      </c>
      <c r="D475" s="58"/>
      <c r="E475" s="58"/>
      <c r="F475" s="59"/>
      <c r="G475" s="59"/>
      <c r="H475" s="60"/>
      <c r="I475" s="58"/>
      <c r="J475" s="58"/>
      <c r="K475" s="58"/>
      <c r="L475" s="62" t="str">
        <f aca="false">IF(B475="","",IF(LEFT(C475,1)="⚠","⚠ Registre primero al trabajador en la hoja Trabajadores",IF(AND(N475="Sí",OR(E475="",NOT(ISNUMBER(F475)))),"⚠ Falta tipo de contrato o fecha de inicio",IF(NOT(ISNUMBER(F475)),"⚠ Falta fecha de inicio",IF(AND(N475="Sí",E475&lt;&gt;"Indefinido",NOT(ISNUMBER(G475))),"⚠ Falta fecha de término",IF(AND(D475="Paso a indefinido",E475&lt;&gt;"Indefinido"),"⚠ Un paso a indefinido debe tener tipo Indefinido",IF(N(Q475)&gt;=3,"⚠ 3er contrato a plazo fijo: por ley ya es INDEFINIDO (Art. 159 N°4)",IF(AND(E475="Plazo fijo",ISNUMBER(G475),(G475-F475+1)/30.4375&gt;12),"⚠ Plazo fijo mayor a 1 año (máximo legal)",IF(J475&lt;&gt;"Sí","Pendiente de firma","OK")))))))))</f>
        <v/>
      </c>
      <c r="M475" s="62" t="str">
        <f aca="false">IF(B475="","",IFERROR(VALUE(LEFT(UPPER(SUBSTITUTE(SUBSTITUTE(SUBSTITUTE(TRIM(B475),".",""),"-","")," ","")),LEN(UPPER(SUBSTITUTE(SUBSTITUTE(SUBSTITUTE(TRIM(B475),".",""),"-","")," ","")))-1))&amp;RIGHT(UPPER(SUBSTITUTE(SUBSTITUTE(SUBSTITUTE(TRIM(B475),".",""),"-","")," ","")),1),UPPER(SUBSTITUTE(SUBSTITUTE(SUBSTITUTE(TRIM(B475),".",""),"-","")," ",""))))</f>
        <v/>
      </c>
      <c r="N475" s="62" t="str">
        <f aca="false">IF(B475="","",IF(D475="Anexo de modificación","No","Sí"))</f>
        <v/>
      </c>
      <c r="O475" s="62" t="str">
        <f aca="false">IF(AND(N475="Sí",ISNUMBER(F475)),COUNTIFS(C_RUTN,M475,C_DEF,"Sí",C_INI,"&lt;"&amp;F475)+COUNTIFS(M$7:M475,M475,N$7:N475,"Sí",F$7:F475,F475),"")</f>
        <v/>
      </c>
      <c r="P475" s="62" t="str">
        <f aca="false">IF(O475="","",M475&amp;"-P"&amp;O475)</f>
        <v/>
      </c>
      <c r="Q475" s="62" t="str">
        <f aca="false">IF(AND(N475="Sí",E475="Plazo fijo",ISNUMBER(F475)),COUNTIFS(C_RUTN,M475,C_TIPO,"Plazo fijo",C_DEF,"Sí",C_INI,"&lt;"&amp;F475)+COUNTIFS(M$7:M475,M475,E$7:E475,"Plazo fijo",N$7:N475,"Sí",F$7:F475,F475),"")</f>
        <v/>
      </c>
      <c r="R475" s="62" t="str">
        <f aca="false">IF(AND(B475&lt;&gt;"",ISNUMBER(H475),ISNUMBER(F475)),COUNTIFS(C_RUTN,M475,C_SUELDO,"&lt;&gt;",C_INI,"&lt;"&amp;F475)+COUNTIFS(M$7:M475,M475,H$7:H475,"&lt;&gt;",F$7:F475,F475),"")</f>
        <v/>
      </c>
      <c r="S475" s="62" t="str">
        <f aca="false">IF(R475="","",M475&amp;"-S"&amp;R475)</f>
        <v/>
      </c>
    </row>
    <row r="476" customFormat="false" ht="15" hidden="false" customHeight="false" outlineLevel="0" collapsed="false">
      <c r="B476" s="58"/>
      <c r="C476" s="62" t="str">
        <f aca="false">IF(B476="","",IFERROR(INDEX(T_NOMBRE,MATCH(M476,T_RUTN,0)),"⚠ RUT no está en Trabajadores"))</f>
        <v/>
      </c>
      <c r="D476" s="58"/>
      <c r="E476" s="58"/>
      <c r="F476" s="59"/>
      <c r="G476" s="59"/>
      <c r="H476" s="60"/>
      <c r="I476" s="58"/>
      <c r="J476" s="58"/>
      <c r="K476" s="58"/>
      <c r="L476" s="62" t="str">
        <f aca="false">IF(B476="","",IF(LEFT(C476,1)="⚠","⚠ Registre primero al trabajador en la hoja Trabajadores",IF(AND(N476="Sí",OR(E476="",NOT(ISNUMBER(F476)))),"⚠ Falta tipo de contrato o fecha de inicio",IF(NOT(ISNUMBER(F476)),"⚠ Falta fecha de inicio",IF(AND(N476="Sí",E476&lt;&gt;"Indefinido",NOT(ISNUMBER(G476))),"⚠ Falta fecha de término",IF(AND(D476="Paso a indefinido",E476&lt;&gt;"Indefinido"),"⚠ Un paso a indefinido debe tener tipo Indefinido",IF(N(Q476)&gt;=3,"⚠ 3er contrato a plazo fijo: por ley ya es INDEFINIDO (Art. 159 N°4)",IF(AND(E476="Plazo fijo",ISNUMBER(G476),(G476-F476+1)/30.4375&gt;12),"⚠ Plazo fijo mayor a 1 año (máximo legal)",IF(J476&lt;&gt;"Sí","Pendiente de firma","OK")))))))))</f>
        <v/>
      </c>
      <c r="M476" s="62" t="str">
        <f aca="false">IF(B476="","",IFERROR(VALUE(LEFT(UPPER(SUBSTITUTE(SUBSTITUTE(SUBSTITUTE(TRIM(B476),".",""),"-","")," ","")),LEN(UPPER(SUBSTITUTE(SUBSTITUTE(SUBSTITUTE(TRIM(B476),".",""),"-","")," ","")))-1))&amp;RIGHT(UPPER(SUBSTITUTE(SUBSTITUTE(SUBSTITUTE(TRIM(B476),".",""),"-","")," ","")),1),UPPER(SUBSTITUTE(SUBSTITUTE(SUBSTITUTE(TRIM(B476),".",""),"-","")," ",""))))</f>
        <v/>
      </c>
      <c r="N476" s="62" t="str">
        <f aca="false">IF(B476="","",IF(D476="Anexo de modificación","No","Sí"))</f>
        <v/>
      </c>
      <c r="O476" s="62" t="str">
        <f aca="false">IF(AND(N476="Sí",ISNUMBER(F476)),COUNTIFS(C_RUTN,M476,C_DEF,"Sí",C_INI,"&lt;"&amp;F476)+COUNTIFS(M$7:M476,M476,N$7:N476,"Sí",F$7:F476,F476),"")</f>
        <v/>
      </c>
      <c r="P476" s="62" t="str">
        <f aca="false">IF(O476="","",M476&amp;"-P"&amp;O476)</f>
        <v/>
      </c>
      <c r="Q476" s="62" t="str">
        <f aca="false">IF(AND(N476="Sí",E476="Plazo fijo",ISNUMBER(F476)),COUNTIFS(C_RUTN,M476,C_TIPO,"Plazo fijo",C_DEF,"Sí",C_INI,"&lt;"&amp;F476)+COUNTIFS(M$7:M476,M476,E$7:E476,"Plazo fijo",N$7:N476,"Sí",F$7:F476,F476),"")</f>
        <v/>
      </c>
      <c r="R476" s="62" t="str">
        <f aca="false">IF(AND(B476&lt;&gt;"",ISNUMBER(H476),ISNUMBER(F476)),COUNTIFS(C_RUTN,M476,C_SUELDO,"&lt;&gt;",C_INI,"&lt;"&amp;F476)+COUNTIFS(M$7:M476,M476,H$7:H476,"&lt;&gt;",F$7:F476,F476),"")</f>
        <v/>
      </c>
      <c r="S476" s="62" t="str">
        <f aca="false">IF(R476="","",M476&amp;"-S"&amp;R476)</f>
        <v/>
      </c>
    </row>
    <row r="477" customFormat="false" ht="15" hidden="false" customHeight="false" outlineLevel="0" collapsed="false">
      <c r="B477" s="58"/>
      <c r="C477" s="62" t="str">
        <f aca="false">IF(B477="","",IFERROR(INDEX(T_NOMBRE,MATCH(M477,T_RUTN,0)),"⚠ RUT no está en Trabajadores"))</f>
        <v/>
      </c>
      <c r="D477" s="58"/>
      <c r="E477" s="58"/>
      <c r="F477" s="59"/>
      <c r="G477" s="59"/>
      <c r="H477" s="60"/>
      <c r="I477" s="58"/>
      <c r="J477" s="58"/>
      <c r="K477" s="58"/>
      <c r="L477" s="62" t="str">
        <f aca="false">IF(B477="","",IF(LEFT(C477,1)="⚠","⚠ Registre primero al trabajador en la hoja Trabajadores",IF(AND(N477="Sí",OR(E477="",NOT(ISNUMBER(F477)))),"⚠ Falta tipo de contrato o fecha de inicio",IF(NOT(ISNUMBER(F477)),"⚠ Falta fecha de inicio",IF(AND(N477="Sí",E477&lt;&gt;"Indefinido",NOT(ISNUMBER(G477))),"⚠ Falta fecha de término",IF(AND(D477="Paso a indefinido",E477&lt;&gt;"Indefinido"),"⚠ Un paso a indefinido debe tener tipo Indefinido",IF(N(Q477)&gt;=3,"⚠ 3er contrato a plazo fijo: por ley ya es INDEFINIDO (Art. 159 N°4)",IF(AND(E477="Plazo fijo",ISNUMBER(G477),(G477-F477+1)/30.4375&gt;12),"⚠ Plazo fijo mayor a 1 año (máximo legal)",IF(J477&lt;&gt;"Sí","Pendiente de firma","OK")))))))))</f>
        <v/>
      </c>
      <c r="M477" s="62" t="str">
        <f aca="false">IF(B477="","",IFERROR(VALUE(LEFT(UPPER(SUBSTITUTE(SUBSTITUTE(SUBSTITUTE(TRIM(B477),".",""),"-","")," ","")),LEN(UPPER(SUBSTITUTE(SUBSTITUTE(SUBSTITUTE(TRIM(B477),".",""),"-","")," ","")))-1))&amp;RIGHT(UPPER(SUBSTITUTE(SUBSTITUTE(SUBSTITUTE(TRIM(B477),".",""),"-","")," ","")),1),UPPER(SUBSTITUTE(SUBSTITUTE(SUBSTITUTE(TRIM(B477),".",""),"-","")," ",""))))</f>
        <v/>
      </c>
      <c r="N477" s="62" t="str">
        <f aca="false">IF(B477="","",IF(D477="Anexo de modificación","No","Sí"))</f>
        <v/>
      </c>
      <c r="O477" s="62" t="str">
        <f aca="false">IF(AND(N477="Sí",ISNUMBER(F477)),COUNTIFS(C_RUTN,M477,C_DEF,"Sí",C_INI,"&lt;"&amp;F477)+COUNTIFS(M$7:M477,M477,N$7:N477,"Sí",F$7:F477,F477),"")</f>
        <v/>
      </c>
      <c r="P477" s="62" t="str">
        <f aca="false">IF(O477="","",M477&amp;"-P"&amp;O477)</f>
        <v/>
      </c>
      <c r="Q477" s="62" t="str">
        <f aca="false">IF(AND(N477="Sí",E477="Plazo fijo",ISNUMBER(F477)),COUNTIFS(C_RUTN,M477,C_TIPO,"Plazo fijo",C_DEF,"Sí",C_INI,"&lt;"&amp;F477)+COUNTIFS(M$7:M477,M477,E$7:E477,"Plazo fijo",N$7:N477,"Sí",F$7:F477,F477),"")</f>
        <v/>
      </c>
      <c r="R477" s="62" t="str">
        <f aca="false">IF(AND(B477&lt;&gt;"",ISNUMBER(H477),ISNUMBER(F477)),COUNTIFS(C_RUTN,M477,C_SUELDO,"&lt;&gt;",C_INI,"&lt;"&amp;F477)+COUNTIFS(M$7:M477,M477,H$7:H477,"&lt;&gt;",F$7:F477,F477),"")</f>
        <v/>
      </c>
      <c r="S477" s="62" t="str">
        <f aca="false">IF(R477="","",M477&amp;"-S"&amp;R477)</f>
        <v/>
      </c>
    </row>
    <row r="478" customFormat="false" ht="15" hidden="false" customHeight="false" outlineLevel="0" collapsed="false">
      <c r="B478" s="58"/>
      <c r="C478" s="62" t="str">
        <f aca="false">IF(B478="","",IFERROR(INDEX(T_NOMBRE,MATCH(M478,T_RUTN,0)),"⚠ RUT no está en Trabajadores"))</f>
        <v/>
      </c>
      <c r="D478" s="58"/>
      <c r="E478" s="58"/>
      <c r="F478" s="59"/>
      <c r="G478" s="59"/>
      <c r="H478" s="60"/>
      <c r="I478" s="58"/>
      <c r="J478" s="58"/>
      <c r="K478" s="58"/>
      <c r="L478" s="62" t="str">
        <f aca="false">IF(B478="","",IF(LEFT(C478,1)="⚠","⚠ Registre primero al trabajador en la hoja Trabajadores",IF(AND(N478="Sí",OR(E478="",NOT(ISNUMBER(F478)))),"⚠ Falta tipo de contrato o fecha de inicio",IF(NOT(ISNUMBER(F478)),"⚠ Falta fecha de inicio",IF(AND(N478="Sí",E478&lt;&gt;"Indefinido",NOT(ISNUMBER(G478))),"⚠ Falta fecha de término",IF(AND(D478="Paso a indefinido",E478&lt;&gt;"Indefinido"),"⚠ Un paso a indefinido debe tener tipo Indefinido",IF(N(Q478)&gt;=3,"⚠ 3er contrato a plazo fijo: por ley ya es INDEFINIDO (Art. 159 N°4)",IF(AND(E478="Plazo fijo",ISNUMBER(G478),(G478-F478+1)/30.4375&gt;12),"⚠ Plazo fijo mayor a 1 año (máximo legal)",IF(J478&lt;&gt;"Sí","Pendiente de firma","OK")))))))))</f>
        <v/>
      </c>
      <c r="M478" s="62" t="str">
        <f aca="false">IF(B478="","",IFERROR(VALUE(LEFT(UPPER(SUBSTITUTE(SUBSTITUTE(SUBSTITUTE(TRIM(B478),".",""),"-","")," ","")),LEN(UPPER(SUBSTITUTE(SUBSTITUTE(SUBSTITUTE(TRIM(B478),".",""),"-","")," ","")))-1))&amp;RIGHT(UPPER(SUBSTITUTE(SUBSTITUTE(SUBSTITUTE(TRIM(B478),".",""),"-","")," ","")),1),UPPER(SUBSTITUTE(SUBSTITUTE(SUBSTITUTE(TRIM(B478),".",""),"-","")," ",""))))</f>
        <v/>
      </c>
      <c r="N478" s="62" t="str">
        <f aca="false">IF(B478="","",IF(D478="Anexo de modificación","No","Sí"))</f>
        <v/>
      </c>
      <c r="O478" s="62" t="str">
        <f aca="false">IF(AND(N478="Sí",ISNUMBER(F478)),COUNTIFS(C_RUTN,M478,C_DEF,"Sí",C_INI,"&lt;"&amp;F478)+COUNTIFS(M$7:M478,M478,N$7:N478,"Sí",F$7:F478,F478),"")</f>
        <v/>
      </c>
      <c r="P478" s="62" t="str">
        <f aca="false">IF(O478="","",M478&amp;"-P"&amp;O478)</f>
        <v/>
      </c>
      <c r="Q478" s="62" t="str">
        <f aca="false">IF(AND(N478="Sí",E478="Plazo fijo",ISNUMBER(F478)),COUNTIFS(C_RUTN,M478,C_TIPO,"Plazo fijo",C_DEF,"Sí",C_INI,"&lt;"&amp;F478)+COUNTIFS(M$7:M478,M478,E$7:E478,"Plazo fijo",N$7:N478,"Sí",F$7:F478,F478),"")</f>
        <v/>
      </c>
      <c r="R478" s="62" t="str">
        <f aca="false">IF(AND(B478&lt;&gt;"",ISNUMBER(H478),ISNUMBER(F478)),COUNTIFS(C_RUTN,M478,C_SUELDO,"&lt;&gt;",C_INI,"&lt;"&amp;F478)+COUNTIFS(M$7:M478,M478,H$7:H478,"&lt;&gt;",F$7:F478,F478),"")</f>
        <v/>
      </c>
      <c r="S478" s="62" t="str">
        <f aca="false">IF(R478="","",M478&amp;"-S"&amp;R478)</f>
        <v/>
      </c>
    </row>
    <row r="479" customFormat="false" ht="15" hidden="false" customHeight="false" outlineLevel="0" collapsed="false">
      <c r="B479" s="58"/>
      <c r="C479" s="62" t="str">
        <f aca="false">IF(B479="","",IFERROR(INDEX(T_NOMBRE,MATCH(M479,T_RUTN,0)),"⚠ RUT no está en Trabajadores"))</f>
        <v/>
      </c>
      <c r="D479" s="58"/>
      <c r="E479" s="58"/>
      <c r="F479" s="59"/>
      <c r="G479" s="59"/>
      <c r="H479" s="60"/>
      <c r="I479" s="58"/>
      <c r="J479" s="58"/>
      <c r="K479" s="58"/>
      <c r="L479" s="62" t="str">
        <f aca="false">IF(B479="","",IF(LEFT(C479,1)="⚠","⚠ Registre primero al trabajador en la hoja Trabajadores",IF(AND(N479="Sí",OR(E479="",NOT(ISNUMBER(F479)))),"⚠ Falta tipo de contrato o fecha de inicio",IF(NOT(ISNUMBER(F479)),"⚠ Falta fecha de inicio",IF(AND(N479="Sí",E479&lt;&gt;"Indefinido",NOT(ISNUMBER(G479))),"⚠ Falta fecha de término",IF(AND(D479="Paso a indefinido",E479&lt;&gt;"Indefinido"),"⚠ Un paso a indefinido debe tener tipo Indefinido",IF(N(Q479)&gt;=3,"⚠ 3er contrato a plazo fijo: por ley ya es INDEFINIDO (Art. 159 N°4)",IF(AND(E479="Plazo fijo",ISNUMBER(G479),(G479-F479+1)/30.4375&gt;12),"⚠ Plazo fijo mayor a 1 año (máximo legal)",IF(J479&lt;&gt;"Sí","Pendiente de firma","OK")))))))))</f>
        <v/>
      </c>
      <c r="M479" s="62" t="str">
        <f aca="false">IF(B479="","",IFERROR(VALUE(LEFT(UPPER(SUBSTITUTE(SUBSTITUTE(SUBSTITUTE(TRIM(B479),".",""),"-","")," ","")),LEN(UPPER(SUBSTITUTE(SUBSTITUTE(SUBSTITUTE(TRIM(B479),".",""),"-","")," ","")))-1))&amp;RIGHT(UPPER(SUBSTITUTE(SUBSTITUTE(SUBSTITUTE(TRIM(B479),".",""),"-","")," ","")),1),UPPER(SUBSTITUTE(SUBSTITUTE(SUBSTITUTE(TRIM(B479),".",""),"-","")," ",""))))</f>
        <v/>
      </c>
      <c r="N479" s="62" t="str">
        <f aca="false">IF(B479="","",IF(D479="Anexo de modificación","No","Sí"))</f>
        <v/>
      </c>
      <c r="O479" s="62" t="str">
        <f aca="false">IF(AND(N479="Sí",ISNUMBER(F479)),COUNTIFS(C_RUTN,M479,C_DEF,"Sí",C_INI,"&lt;"&amp;F479)+COUNTIFS(M$7:M479,M479,N$7:N479,"Sí",F$7:F479,F479),"")</f>
        <v/>
      </c>
      <c r="P479" s="62" t="str">
        <f aca="false">IF(O479="","",M479&amp;"-P"&amp;O479)</f>
        <v/>
      </c>
      <c r="Q479" s="62" t="str">
        <f aca="false">IF(AND(N479="Sí",E479="Plazo fijo",ISNUMBER(F479)),COUNTIFS(C_RUTN,M479,C_TIPO,"Plazo fijo",C_DEF,"Sí",C_INI,"&lt;"&amp;F479)+COUNTIFS(M$7:M479,M479,E$7:E479,"Plazo fijo",N$7:N479,"Sí",F$7:F479,F479),"")</f>
        <v/>
      </c>
      <c r="R479" s="62" t="str">
        <f aca="false">IF(AND(B479&lt;&gt;"",ISNUMBER(H479),ISNUMBER(F479)),COUNTIFS(C_RUTN,M479,C_SUELDO,"&lt;&gt;",C_INI,"&lt;"&amp;F479)+COUNTIFS(M$7:M479,M479,H$7:H479,"&lt;&gt;",F$7:F479,F479),"")</f>
        <v/>
      </c>
      <c r="S479" s="62" t="str">
        <f aca="false">IF(R479="","",M479&amp;"-S"&amp;R479)</f>
        <v/>
      </c>
    </row>
    <row r="480" customFormat="false" ht="15" hidden="false" customHeight="false" outlineLevel="0" collapsed="false">
      <c r="B480" s="58"/>
      <c r="C480" s="62" t="str">
        <f aca="false">IF(B480="","",IFERROR(INDEX(T_NOMBRE,MATCH(M480,T_RUTN,0)),"⚠ RUT no está en Trabajadores"))</f>
        <v/>
      </c>
      <c r="D480" s="58"/>
      <c r="E480" s="58"/>
      <c r="F480" s="59"/>
      <c r="G480" s="59"/>
      <c r="H480" s="60"/>
      <c r="I480" s="58"/>
      <c r="J480" s="58"/>
      <c r="K480" s="58"/>
      <c r="L480" s="62" t="str">
        <f aca="false">IF(B480="","",IF(LEFT(C480,1)="⚠","⚠ Registre primero al trabajador en la hoja Trabajadores",IF(AND(N480="Sí",OR(E480="",NOT(ISNUMBER(F480)))),"⚠ Falta tipo de contrato o fecha de inicio",IF(NOT(ISNUMBER(F480)),"⚠ Falta fecha de inicio",IF(AND(N480="Sí",E480&lt;&gt;"Indefinido",NOT(ISNUMBER(G480))),"⚠ Falta fecha de término",IF(AND(D480="Paso a indefinido",E480&lt;&gt;"Indefinido"),"⚠ Un paso a indefinido debe tener tipo Indefinido",IF(N(Q480)&gt;=3,"⚠ 3er contrato a plazo fijo: por ley ya es INDEFINIDO (Art. 159 N°4)",IF(AND(E480="Plazo fijo",ISNUMBER(G480),(G480-F480+1)/30.4375&gt;12),"⚠ Plazo fijo mayor a 1 año (máximo legal)",IF(J480&lt;&gt;"Sí","Pendiente de firma","OK")))))))))</f>
        <v/>
      </c>
      <c r="M480" s="62" t="str">
        <f aca="false">IF(B480="","",IFERROR(VALUE(LEFT(UPPER(SUBSTITUTE(SUBSTITUTE(SUBSTITUTE(TRIM(B480),".",""),"-","")," ","")),LEN(UPPER(SUBSTITUTE(SUBSTITUTE(SUBSTITUTE(TRIM(B480),".",""),"-","")," ","")))-1))&amp;RIGHT(UPPER(SUBSTITUTE(SUBSTITUTE(SUBSTITUTE(TRIM(B480),".",""),"-","")," ","")),1),UPPER(SUBSTITUTE(SUBSTITUTE(SUBSTITUTE(TRIM(B480),".",""),"-","")," ",""))))</f>
        <v/>
      </c>
      <c r="N480" s="62" t="str">
        <f aca="false">IF(B480="","",IF(D480="Anexo de modificación","No","Sí"))</f>
        <v/>
      </c>
      <c r="O480" s="62" t="str">
        <f aca="false">IF(AND(N480="Sí",ISNUMBER(F480)),COUNTIFS(C_RUTN,M480,C_DEF,"Sí",C_INI,"&lt;"&amp;F480)+COUNTIFS(M$7:M480,M480,N$7:N480,"Sí",F$7:F480,F480),"")</f>
        <v/>
      </c>
      <c r="P480" s="62" t="str">
        <f aca="false">IF(O480="","",M480&amp;"-P"&amp;O480)</f>
        <v/>
      </c>
      <c r="Q480" s="62" t="str">
        <f aca="false">IF(AND(N480="Sí",E480="Plazo fijo",ISNUMBER(F480)),COUNTIFS(C_RUTN,M480,C_TIPO,"Plazo fijo",C_DEF,"Sí",C_INI,"&lt;"&amp;F480)+COUNTIFS(M$7:M480,M480,E$7:E480,"Plazo fijo",N$7:N480,"Sí",F$7:F480,F480),"")</f>
        <v/>
      </c>
      <c r="R480" s="62" t="str">
        <f aca="false">IF(AND(B480&lt;&gt;"",ISNUMBER(H480),ISNUMBER(F480)),COUNTIFS(C_RUTN,M480,C_SUELDO,"&lt;&gt;",C_INI,"&lt;"&amp;F480)+COUNTIFS(M$7:M480,M480,H$7:H480,"&lt;&gt;",F$7:F480,F480),"")</f>
        <v/>
      </c>
      <c r="S480" s="62" t="str">
        <f aca="false">IF(R480="","",M480&amp;"-S"&amp;R480)</f>
        <v/>
      </c>
    </row>
    <row r="481" customFormat="false" ht="15" hidden="false" customHeight="false" outlineLevel="0" collapsed="false">
      <c r="B481" s="58"/>
      <c r="C481" s="62" t="str">
        <f aca="false">IF(B481="","",IFERROR(INDEX(T_NOMBRE,MATCH(M481,T_RUTN,0)),"⚠ RUT no está en Trabajadores"))</f>
        <v/>
      </c>
      <c r="D481" s="58"/>
      <c r="E481" s="58"/>
      <c r="F481" s="59"/>
      <c r="G481" s="59"/>
      <c r="H481" s="60"/>
      <c r="I481" s="58"/>
      <c r="J481" s="58"/>
      <c r="K481" s="58"/>
      <c r="L481" s="62" t="str">
        <f aca="false">IF(B481="","",IF(LEFT(C481,1)="⚠","⚠ Registre primero al trabajador en la hoja Trabajadores",IF(AND(N481="Sí",OR(E481="",NOT(ISNUMBER(F481)))),"⚠ Falta tipo de contrato o fecha de inicio",IF(NOT(ISNUMBER(F481)),"⚠ Falta fecha de inicio",IF(AND(N481="Sí",E481&lt;&gt;"Indefinido",NOT(ISNUMBER(G481))),"⚠ Falta fecha de término",IF(AND(D481="Paso a indefinido",E481&lt;&gt;"Indefinido"),"⚠ Un paso a indefinido debe tener tipo Indefinido",IF(N(Q481)&gt;=3,"⚠ 3er contrato a plazo fijo: por ley ya es INDEFINIDO (Art. 159 N°4)",IF(AND(E481="Plazo fijo",ISNUMBER(G481),(G481-F481+1)/30.4375&gt;12),"⚠ Plazo fijo mayor a 1 año (máximo legal)",IF(J481&lt;&gt;"Sí","Pendiente de firma","OK")))))))))</f>
        <v/>
      </c>
      <c r="M481" s="62" t="str">
        <f aca="false">IF(B481="","",IFERROR(VALUE(LEFT(UPPER(SUBSTITUTE(SUBSTITUTE(SUBSTITUTE(TRIM(B481),".",""),"-","")," ","")),LEN(UPPER(SUBSTITUTE(SUBSTITUTE(SUBSTITUTE(TRIM(B481),".",""),"-","")," ","")))-1))&amp;RIGHT(UPPER(SUBSTITUTE(SUBSTITUTE(SUBSTITUTE(TRIM(B481),".",""),"-","")," ","")),1),UPPER(SUBSTITUTE(SUBSTITUTE(SUBSTITUTE(TRIM(B481),".",""),"-","")," ",""))))</f>
        <v/>
      </c>
      <c r="N481" s="62" t="str">
        <f aca="false">IF(B481="","",IF(D481="Anexo de modificación","No","Sí"))</f>
        <v/>
      </c>
      <c r="O481" s="62" t="str">
        <f aca="false">IF(AND(N481="Sí",ISNUMBER(F481)),COUNTIFS(C_RUTN,M481,C_DEF,"Sí",C_INI,"&lt;"&amp;F481)+COUNTIFS(M$7:M481,M481,N$7:N481,"Sí",F$7:F481,F481),"")</f>
        <v/>
      </c>
      <c r="P481" s="62" t="str">
        <f aca="false">IF(O481="","",M481&amp;"-P"&amp;O481)</f>
        <v/>
      </c>
      <c r="Q481" s="62" t="str">
        <f aca="false">IF(AND(N481="Sí",E481="Plazo fijo",ISNUMBER(F481)),COUNTIFS(C_RUTN,M481,C_TIPO,"Plazo fijo",C_DEF,"Sí",C_INI,"&lt;"&amp;F481)+COUNTIFS(M$7:M481,M481,E$7:E481,"Plazo fijo",N$7:N481,"Sí",F$7:F481,F481),"")</f>
        <v/>
      </c>
      <c r="R481" s="62" t="str">
        <f aca="false">IF(AND(B481&lt;&gt;"",ISNUMBER(H481),ISNUMBER(F481)),COUNTIFS(C_RUTN,M481,C_SUELDO,"&lt;&gt;",C_INI,"&lt;"&amp;F481)+COUNTIFS(M$7:M481,M481,H$7:H481,"&lt;&gt;",F$7:F481,F481),"")</f>
        <v/>
      </c>
      <c r="S481" s="62" t="str">
        <f aca="false">IF(R481="","",M481&amp;"-S"&amp;R481)</f>
        <v/>
      </c>
    </row>
    <row r="482" customFormat="false" ht="15" hidden="false" customHeight="false" outlineLevel="0" collapsed="false">
      <c r="B482" s="58"/>
      <c r="C482" s="62" t="str">
        <f aca="false">IF(B482="","",IFERROR(INDEX(T_NOMBRE,MATCH(M482,T_RUTN,0)),"⚠ RUT no está en Trabajadores"))</f>
        <v/>
      </c>
      <c r="D482" s="58"/>
      <c r="E482" s="58"/>
      <c r="F482" s="59"/>
      <c r="G482" s="59"/>
      <c r="H482" s="60"/>
      <c r="I482" s="58"/>
      <c r="J482" s="58"/>
      <c r="K482" s="58"/>
      <c r="L482" s="62" t="str">
        <f aca="false">IF(B482="","",IF(LEFT(C482,1)="⚠","⚠ Registre primero al trabajador en la hoja Trabajadores",IF(AND(N482="Sí",OR(E482="",NOT(ISNUMBER(F482)))),"⚠ Falta tipo de contrato o fecha de inicio",IF(NOT(ISNUMBER(F482)),"⚠ Falta fecha de inicio",IF(AND(N482="Sí",E482&lt;&gt;"Indefinido",NOT(ISNUMBER(G482))),"⚠ Falta fecha de término",IF(AND(D482="Paso a indefinido",E482&lt;&gt;"Indefinido"),"⚠ Un paso a indefinido debe tener tipo Indefinido",IF(N(Q482)&gt;=3,"⚠ 3er contrato a plazo fijo: por ley ya es INDEFINIDO (Art. 159 N°4)",IF(AND(E482="Plazo fijo",ISNUMBER(G482),(G482-F482+1)/30.4375&gt;12),"⚠ Plazo fijo mayor a 1 año (máximo legal)",IF(J482&lt;&gt;"Sí","Pendiente de firma","OK")))))))))</f>
        <v/>
      </c>
      <c r="M482" s="62" t="str">
        <f aca="false">IF(B482="","",IFERROR(VALUE(LEFT(UPPER(SUBSTITUTE(SUBSTITUTE(SUBSTITUTE(TRIM(B482),".",""),"-","")," ","")),LEN(UPPER(SUBSTITUTE(SUBSTITUTE(SUBSTITUTE(TRIM(B482),".",""),"-","")," ","")))-1))&amp;RIGHT(UPPER(SUBSTITUTE(SUBSTITUTE(SUBSTITUTE(TRIM(B482),".",""),"-","")," ","")),1),UPPER(SUBSTITUTE(SUBSTITUTE(SUBSTITUTE(TRIM(B482),".",""),"-","")," ",""))))</f>
        <v/>
      </c>
      <c r="N482" s="62" t="str">
        <f aca="false">IF(B482="","",IF(D482="Anexo de modificación","No","Sí"))</f>
        <v/>
      </c>
      <c r="O482" s="62" t="str">
        <f aca="false">IF(AND(N482="Sí",ISNUMBER(F482)),COUNTIFS(C_RUTN,M482,C_DEF,"Sí",C_INI,"&lt;"&amp;F482)+COUNTIFS(M$7:M482,M482,N$7:N482,"Sí",F$7:F482,F482),"")</f>
        <v/>
      </c>
      <c r="P482" s="62" t="str">
        <f aca="false">IF(O482="","",M482&amp;"-P"&amp;O482)</f>
        <v/>
      </c>
      <c r="Q482" s="62" t="str">
        <f aca="false">IF(AND(N482="Sí",E482="Plazo fijo",ISNUMBER(F482)),COUNTIFS(C_RUTN,M482,C_TIPO,"Plazo fijo",C_DEF,"Sí",C_INI,"&lt;"&amp;F482)+COUNTIFS(M$7:M482,M482,E$7:E482,"Plazo fijo",N$7:N482,"Sí",F$7:F482,F482),"")</f>
        <v/>
      </c>
      <c r="R482" s="62" t="str">
        <f aca="false">IF(AND(B482&lt;&gt;"",ISNUMBER(H482),ISNUMBER(F482)),COUNTIFS(C_RUTN,M482,C_SUELDO,"&lt;&gt;",C_INI,"&lt;"&amp;F482)+COUNTIFS(M$7:M482,M482,H$7:H482,"&lt;&gt;",F$7:F482,F482),"")</f>
        <v/>
      </c>
      <c r="S482" s="62" t="str">
        <f aca="false">IF(R482="","",M482&amp;"-S"&amp;R482)</f>
        <v/>
      </c>
    </row>
    <row r="483" customFormat="false" ht="15" hidden="false" customHeight="false" outlineLevel="0" collapsed="false">
      <c r="B483" s="58"/>
      <c r="C483" s="62" t="str">
        <f aca="false">IF(B483="","",IFERROR(INDEX(T_NOMBRE,MATCH(M483,T_RUTN,0)),"⚠ RUT no está en Trabajadores"))</f>
        <v/>
      </c>
      <c r="D483" s="58"/>
      <c r="E483" s="58"/>
      <c r="F483" s="59"/>
      <c r="G483" s="59"/>
      <c r="H483" s="60"/>
      <c r="I483" s="58"/>
      <c r="J483" s="58"/>
      <c r="K483" s="58"/>
      <c r="L483" s="62" t="str">
        <f aca="false">IF(B483="","",IF(LEFT(C483,1)="⚠","⚠ Registre primero al trabajador en la hoja Trabajadores",IF(AND(N483="Sí",OR(E483="",NOT(ISNUMBER(F483)))),"⚠ Falta tipo de contrato o fecha de inicio",IF(NOT(ISNUMBER(F483)),"⚠ Falta fecha de inicio",IF(AND(N483="Sí",E483&lt;&gt;"Indefinido",NOT(ISNUMBER(G483))),"⚠ Falta fecha de término",IF(AND(D483="Paso a indefinido",E483&lt;&gt;"Indefinido"),"⚠ Un paso a indefinido debe tener tipo Indefinido",IF(N(Q483)&gt;=3,"⚠ 3er contrato a plazo fijo: por ley ya es INDEFINIDO (Art. 159 N°4)",IF(AND(E483="Plazo fijo",ISNUMBER(G483),(G483-F483+1)/30.4375&gt;12),"⚠ Plazo fijo mayor a 1 año (máximo legal)",IF(J483&lt;&gt;"Sí","Pendiente de firma","OK")))))))))</f>
        <v/>
      </c>
      <c r="M483" s="62" t="str">
        <f aca="false">IF(B483="","",IFERROR(VALUE(LEFT(UPPER(SUBSTITUTE(SUBSTITUTE(SUBSTITUTE(TRIM(B483),".",""),"-","")," ","")),LEN(UPPER(SUBSTITUTE(SUBSTITUTE(SUBSTITUTE(TRIM(B483),".",""),"-","")," ","")))-1))&amp;RIGHT(UPPER(SUBSTITUTE(SUBSTITUTE(SUBSTITUTE(TRIM(B483),".",""),"-","")," ","")),1),UPPER(SUBSTITUTE(SUBSTITUTE(SUBSTITUTE(TRIM(B483),".",""),"-","")," ",""))))</f>
        <v/>
      </c>
      <c r="N483" s="62" t="str">
        <f aca="false">IF(B483="","",IF(D483="Anexo de modificación","No","Sí"))</f>
        <v/>
      </c>
      <c r="O483" s="62" t="str">
        <f aca="false">IF(AND(N483="Sí",ISNUMBER(F483)),COUNTIFS(C_RUTN,M483,C_DEF,"Sí",C_INI,"&lt;"&amp;F483)+COUNTIFS(M$7:M483,M483,N$7:N483,"Sí",F$7:F483,F483),"")</f>
        <v/>
      </c>
      <c r="P483" s="62" t="str">
        <f aca="false">IF(O483="","",M483&amp;"-P"&amp;O483)</f>
        <v/>
      </c>
      <c r="Q483" s="62" t="str">
        <f aca="false">IF(AND(N483="Sí",E483="Plazo fijo",ISNUMBER(F483)),COUNTIFS(C_RUTN,M483,C_TIPO,"Plazo fijo",C_DEF,"Sí",C_INI,"&lt;"&amp;F483)+COUNTIFS(M$7:M483,M483,E$7:E483,"Plazo fijo",N$7:N483,"Sí",F$7:F483,F483),"")</f>
        <v/>
      </c>
      <c r="R483" s="62" t="str">
        <f aca="false">IF(AND(B483&lt;&gt;"",ISNUMBER(H483),ISNUMBER(F483)),COUNTIFS(C_RUTN,M483,C_SUELDO,"&lt;&gt;",C_INI,"&lt;"&amp;F483)+COUNTIFS(M$7:M483,M483,H$7:H483,"&lt;&gt;",F$7:F483,F483),"")</f>
        <v/>
      </c>
      <c r="S483" s="62" t="str">
        <f aca="false">IF(R483="","",M483&amp;"-S"&amp;R483)</f>
        <v/>
      </c>
    </row>
    <row r="484" customFormat="false" ht="15" hidden="false" customHeight="false" outlineLevel="0" collapsed="false">
      <c r="B484" s="58"/>
      <c r="C484" s="62" t="str">
        <f aca="false">IF(B484="","",IFERROR(INDEX(T_NOMBRE,MATCH(M484,T_RUTN,0)),"⚠ RUT no está en Trabajadores"))</f>
        <v/>
      </c>
      <c r="D484" s="58"/>
      <c r="E484" s="58"/>
      <c r="F484" s="59"/>
      <c r="G484" s="59"/>
      <c r="H484" s="60"/>
      <c r="I484" s="58"/>
      <c r="J484" s="58"/>
      <c r="K484" s="58"/>
      <c r="L484" s="62" t="str">
        <f aca="false">IF(B484="","",IF(LEFT(C484,1)="⚠","⚠ Registre primero al trabajador en la hoja Trabajadores",IF(AND(N484="Sí",OR(E484="",NOT(ISNUMBER(F484)))),"⚠ Falta tipo de contrato o fecha de inicio",IF(NOT(ISNUMBER(F484)),"⚠ Falta fecha de inicio",IF(AND(N484="Sí",E484&lt;&gt;"Indefinido",NOT(ISNUMBER(G484))),"⚠ Falta fecha de término",IF(AND(D484="Paso a indefinido",E484&lt;&gt;"Indefinido"),"⚠ Un paso a indefinido debe tener tipo Indefinido",IF(N(Q484)&gt;=3,"⚠ 3er contrato a plazo fijo: por ley ya es INDEFINIDO (Art. 159 N°4)",IF(AND(E484="Plazo fijo",ISNUMBER(G484),(G484-F484+1)/30.4375&gt;12),"⚠ Plazo fijo mayor a 1 año (máximo legal)",IF(J484&lt;&gt;"Sí","Pendiente de firma","OK")))))))))</f>
        <v/>
      </c>
      <c r="M484" s="62" t="str">
        <f aca="false">IF(B484="","",IFERROR(VALUE(LEFT(UPPER(SUBSTITUTE(SUBSTITUTE(SUBSTITUTE(TRIM(B484),".",""),"-","")," ","")),LEN(UPPER(SUBSTITUTE(SUBSTITUTE(SUBSTITUTE(TRIM(B484),".",""),"-","")," ","")))-1))&amp;RIGHT(UPPER(SUBSTITUTE(SUBSTITUTE(SUBSTITUTE(TRIM(B484),".",""),"-","")," ","")),1),UPPER(SUBSTITUTE(SUBSTITUTE(SUBSTITUTE(TRIM(B484),".",""),"-","")," ",""))))</f>
        <v/>
      </c>
      <c r="N484" s="62" t="str">
        <f aca="false">IF(B484="","",IF(D484="Anexo de modificación","No","Sí"))</f>
        <v/>
      </c>
      <c r="O484" s="62" t="str">
        <f aca="false">IF(AND(N484="Sí",ISNUMBER(F484)),COUNTIFS(C_RUTN,M484,C_DEF,"Sí",C_INI,"&lt;"&amp;F484)+COUNTIFS(M$7:M484,M484,N$7:N484,"Sí",F$7:F484,F484),"")</f>
        <v/>
      </c>
      <c r="P484" s="62" t="str">
        <f aca="false">IF(O484="","",M484&amp;"-P"&amp;O484)</f>
        <v/>
      </c>
      <c r="Q484" s="62" t="str">
        <f aca="false">IF(AND(N484="Sí",E484="Plazo fijo",ISNUMBER(F484)),COUNTIFS(C_RUTN,M484,C_TIPO,"Plazo fijo",C_DEF,"Sí",C_INI,"&lt;"&amp;F484)+COUNTIFS(M$7:M484,M484,E$7:E484,"Plazo fijo",N$7:N484,"Sí",F$7:F484,F484),"")</f>
        <v/>
      </c>
      <c r="R484" s="62" t="str">
        <f aca="false">IF(AND(B484&lt;&gt;"",ISNUMBER(H484),ISNUMBER(F484)),COUNTIFS(C_RUTN,M484,C_SUELDO,"&lt;&gt;",C_INI,"&lt;"&amp;F484)+COUNTIFS(M$7:M484,M484,H$7:H484,"&lt;&gt;",F$7:F484,F484),"")</f>
        <v/>
      </c>
      <c r="S484" s="62" t="str">
        <f aca="false">IF(R484="","",M484&amp;"-S"&amp;R484)</f>
        <v/>
      </c>
    </row>
    <row r="485" customFormat="false" ht="15" hidden="false" customHeight="false" outlineLevel="0" collapsed="false">
      <c r="B485" s="58"/>
      <c r="C485" s="62" t="str">
        <f aca="false">IF(B485="","",IFERROR(INDEX(T_NOMBRE,MATCH(M485,T_RUTN,0)),"⚠ RUT no está en Trabajadores"))</f>
        <v/>
      </c>
      <c r="D485" s="58"/>
      <c r="E485" s="58"/>
      <c r="F485" s="59"/>
      <c r="G485" s="59"/>
      <c r="H485" s="60"/>
      <c r="I485" s="58"/>
      <c r="J485" s="58"/>
      <c r="K485" s="58"/>
      <c r="L485" s="62" t="str">
        <f aca="false">IF(B485="","",IF(LEFT(C485,1)="⚠","⚠ Registre primero al trabajador en la hoja Trabajadores",IF(AND(N485="Sí",OR(E485="",NOT(ISNUMBER(F485)))),"⚠ Falta tipo de contrato o fecha de inicio",IF(NOT(ISNUMBER(F485)),"⚠ Falta fecha de inicio",IF(AND(N485="Sí",E485&lt;&gt;"Indefinido",NOT(ISNUMBER(G485))),"⚠ Falta fecha de término",IF(AND(D485="Paso a indefinido",E485&lt;&gt;"Indefinido"),"⚠ Un paso a indefinido debe tener tipo Indefinido",IF(N(Q485)&gt;=3,"⚠ 3er contrato a plazo fijo: por ley ya es INDEFINIDO (Art. 159 N°4)",IF(AND(E485="Plazo fijo",ISNUMBER(G485),(G485-F485+1)/30.4375&gt;12),"⚠ Plazo fijo mayor a 1 año (máximo legal)",IF(J485&lt;&gt;"Sí","Pendiente de firma","OK")))))))))</f>
        <v/>
      </c>
      <c r="M485" s="62" t="str">
        <f aca="false">IF(B485="","",IFERROR(VALUE(LEFT(UPPER(SUBSTITUTE(SUBSTITUTE(SUBSTITUTE(TRIM(B485),".",""),"-","")," ","")),LEN(UPPER(SUBSTITUTE(SUBSTITUTE(SUBSTITUTE(TRIM(B485),".",""),"-","")," ","")))-1))&amp;RIGHT(UPPER(SUBSTITUTE(SUBSTITUTE(SUBSTITUTE(TRIM(B485),".",""),"-","")," ","")),1),UPPER(SUBSTITUTE(SUBSTITUTE(SUBSTITUTE(TRIM(B485),".",""),"-","")," ",""))))</f>
        <v/>
      </c>
      <c r="N485" s="62" t="str">
        <f aca="false">IF(B485="","",IF(D485="Anexo de modificación","No","Sí"))</f>
        <v/>
      </c>
      <c r="O485" s="62" t="str">
        <f aca="false">IF(AND(N485="Sí",ISNUMBER(F485)),COUNTIFS(C_RUTN,M485,C_DEF,"Sí",C_INI,"&lt;"&amp;F485)+COUNTIFS(M$7:M485,M485,N$7:N485,"Sí",F$7:F485,F485),"")</f>
        <v/>
      </c>
      <c r="P485" s="62" t="str">
        <f aca="false">IF(O485="","",M485&amp;"-P"&amp;O485)</f>
        <v/>
      </c>
      <c r="Q485" s="62" t="str">
        <f aca="false">IF(AND(N485="Sí",E485="Plazo fijo",ISNUMBER(F485)),COUNTIFS(C_RUTN,M485,C_TIPO,"Plazo fijo",C_DEF,"Sí",C_INI,"&lt;"&amp;F485)+COUNTIFS(M$7:M485,M485,E$7:E485,"Plazo fijo",N$7:N485,"Sí",F$7:F485,F485),"")</f>
        <v/>
      </c>
      <c r="R485" s="62" t="str">
        <f aca="false">IF(AND(B485&lt;&gt;"",ISNUMBER(H485),ISNUMBER(F485)),COUNTIFS(C_RUTN,M485,C_SUELDO,"&lt;&gt;",C_INI,"&lt;"&amp;F485)+COUNTIFS(M$7:M485,M485,H$7:H485,"&lt;&gt;",F$7:F485,F485),"")</f>
        <v/>
      </c>
      <c r="S485" s="62" t="str">
        <f aca="false">IF(R485="","",M485&amp;"-S"&amp;R485)</f>
        <v/>
      </c>
    </row>
    <row r="486" customFormat="false" ht="15" hidden="false" customHeight="false" outlineLevel="0" collapsed="false">
      <c r="B486" s="58"/>
      <c r="C486" s="62" t="str">
        <f aca="false">IF(B486="","",IFERROR(INDEX(T_NOMBRE,MATCH(M486,T_RUTN,0)),"⚠ RUT no está en Trabajadores"))</f>
        <v/>
      </c>
      <c r="D486" s="58"/>
      <c r="E486" s="58"/>
      <c r="F486" s="59"/>
      <c r="G486" s="59"/>
      <c r="H486" s="60"/>
      <c r="I486" s="58"/>
      <c r="J486" s="58"/>
      <c r="K486" s="58"/>
      <c r="L486" s="62" t="str">
        <f aca="false">IF(B486="","",IF(LEFT(C486,1)="⚠","⚠ Registre primero al trabajador en la hoja Trabajadores",IF(AND(N486="Sí",OR(E486="",NOT(ISNUMBER(F486)))),"⚠ Falta tipo de contrato o fecha de inicio",IF(NOT(ISNUMBER(F486)),"⚠ Falta fecha de inicio",IF(AND(N486="Sí",E486&lt;&gt;"Indefinido",NOT(ISNUMBER(G486))),"⚠ Falta fecha de término",IF(AND(D486="Paso a indefinido",E486&lt;&gt;"Indefinido"),"⚠ Un paso a indefinido debe tener tipo Indefinido",IF(N(Q486)&gt;=3,"⚠ 3er contrato a plazo fijo: por ley ya es INDEFINIDO (Art. 159 N°4)",IF(AND(E486="Plazo fijo",ISNUMBER(G486),(G486-F486+1)/30.4375&gt;12),"⚠ Plazo fijo mayor a 1 año (máximo legal)",IF(J486&lt;&gt;"Sí","Pendiente de firma","OK")))))))))</f>
        <v/>
      </c>
      <c r="M486" s="62" t="str">
        <f aca="false">IF(B486="","",IFERROR(VALUE(LEFT(UPPER(SUBSTITUTE(SUBSTITUTE(SUBSTITUTE(TRIM(B486),".",""),"-","")," ","")),LEN(UPPER(SUBSTITUTE(SUBSTITUTE(SUBSTITUTE(TRIM(B486),".",""),"-","")," ","")))-1))&amp;RIGHT(UPPER(SUBSTITUTE(SUBSTITUTE(SUBSTITUTE(TRIM(B486),".",""),"-","")," ","")),1),UPPER(SUBSTITUTE(SUBSTITUTE(SUBSTITUTE(TRIM(B486),".",""),"-","")," ",""))))</f>
        <v/>
      </c>
      <c r="N486" s="62" t="str">
        <f aca="false">IF(B486="","",IF(D486="Anexo de modificación","No","Sí"))</f>
        <v/>
      </c>
      <c r="O486" s="62" t="str">
        <f aca="false">IF(AND(N486="Sí",ISNUMBER(F486)),COUNTIFS(C_RUTN,M486,C_DEF,"Sí",C_INI,"&lt;"&amp;F486)+COUNTIFS(M$7:M486,M486,N$7:N486,"Sí",F$7:F486,F486),"")</f>
        <v/>
      </c>
      <c r="P486" s="62" t="str">
        <f aca="false">IF(O486="","",M486&amp;"-P"&amp;O486)</f>
        <v/>
      </c>
      <c r="Q486" s="62" t="str">
        <f aca="false">IF(AND(N486="Sí",E486="Plazo fijo",ISNUMBER(F486)),COUNTIFS(C_RUTN,M486,C_TIPO,"Plazo fijo",C_DEF,"Sí",C_INI,"&lt;"&amp;F486)+COUNTIFS(M$7:M486,M486,E$7:E486,"Plazo fijo",N$7:N486,"Sí",F$7:F486,F486),"")</f>
        <v/>
      </c>
      <c r="R486" s="62" t="str">
        <f aca="false">IF(AND(B486&lt;&gt;"",ISNUMBER(H486),ISNUMBER(F486)),COUNTIFS(C_RUTN,M486,C_SUELDO,"&lt;&gt;",C_INI,"&lt;"&amp;F486)+COUNTIFS(M$7:M486,M486,H$7:H486,"&lt;&gt;",F$7:F486,F486),"")</f>
        <v/>
      </c>
      <c r="S486" s="62" t="str">
        <f aca="false">IF(R486="","",M486&amp;"-S"&amp;R486)</f>
        <v/>
      </c>
    </row>
    <row r="487" customFormat="false" ht="15" hidden="false" customHeight="false" outlineLevel="0" collapsed="false">
      <c r="B487" s="58"/>
      <c r="C487" s="62" t="str">
        <f aca="false">IF(B487="","",IFERROR(INDEX(T_NOMBRE,MATCH(M487,T_RUTN,0)),"⚠ RUT no está en Trabajadores"))</f>
        <v/>
      </c>
      <c r="D487" s="58"/>
      <c r="E487" s="58"/>
      <c r="F487" s="59"/>
      <c r="G487" s="59"/>
      <c r="H487" s="60"/>
      <c r="I487" s="58"/>
      <c r="J487" s="58"/>
      <c r="K487" s="58"/>
      <c r="L487" s="62" t="str">
        <f aca="false">IF(B487="","",IF(LEFT(C487,1)="⚠","⚠ Registre primero al trabajador en la hoja Trabajadores",IF(AND(N487="Sí",OR(E487="",NOT(ISNUMBER(F487)))),"⚠ Falta tipo de contrato o fecha de inicio",IF(NOT(ISNUMBER(F487)),"⚠ Falta fecha de inicio",IF(AND(N487="Sí",E487&lt;&gt;"Indefinido",NOT(ISNUMBER(G487))),"⚠ Falta fecha de término",IF(AND(D487="Paso a indefinido",E487&lt;&gt;"Indefinido"),"⚠ Un paso a indefinido debe tener tipo Indefinido",IF(N(Q487)&gt;=3,"⚠ 3er contrato a plazo fijo: por ley ya es INDEFINIDO (Art. 159 N°4)",IF(AND(E487="Plazo fijo",ISNUMBER(G487),(G487-F487+1)/30.4375&gt;12),"⚠ Plazo fijo mayor a 1 año (máximo legal)",IF(J487&lt;&gt;"Sí","Pendiente de firma","OK")))))))))</f>
        <v/>
      </c>
      <c r="M487" s="62" t="str">
        <f aca="false">IF(B487="","",IFERROR(VALUE(LEFT(UPPER(SUBSTITUTE(SUBSTITUTE(SUBSTITUTE(TRIM(B487),".",""),"-","")," ","")),LEN(UPPER(SUBSTITUTE(SUBSTITUTE(SUBSTITUTE(TRIM(B487),".",""),"-","")," ","")))-1))&amp;RIGHT(UPPER(SUBSTITUTE(SUBSTITUTE(SUBSTITUTE(TRIM(B487),".",""),"-","")," ","")),1),UPPER(SUBSTITUTE(SUBSTITUTE(SUBSTITUTE(TRIM(B487),".",""),"-","")," ",""))))</f>
        <v/>
      </c>
      <c r="N487" s="62" t="str">
        <f aca="false">IF(B487="","",IF(D487="Anexo de modificación","No","Sí"))</f>
        <v/>
      </c>
      <c r="O487" s="62" t="str">
        <f aca="false">IF(AND(N487="Sí",ISNUMBER(F487)),COUNTIFS(C_RUTN,M487,C_DEF,"Sí",C_INI,"&lt;"&amp;F487)+COUNTIFS(M$7:M487,M487,N$7:N487,"Sí",F$7:F487,F487),"")</f>
        <v/>
      </c>
      <c r="P487" s="62" t="str">
        <f aca="false">IF(O487="","",M487&amp;"-P"&amp;O487)</f>
        <v/>
      </c>
      <c r="Q487" s="62" t="str">
        <f aca="false">IF(AND(N487="Sí",E487="Plazo fijo",ISNUMBER(F487)),COUNTIFS(C_RUTN,M487,C_TIPO,"Plazo fijo",C_DEF,"Sí",C_INI,"&lt;"&amp;F487)+COUNTIFS(M$7:M487,M487,E$7:E487,"Plazo fijo",N$7:N487,"Sí",F$7:F487,F487),"")</f>
        <v/>
      </c>
      <c r="R487" s="62" t="str">
        <f aca="false">IF(AND(B487&lt;&gt;"",ISNUMBER(H487),ISNUMBER(F487)),COUNTIFS(C_RUTN,M487,C_SUELDO,"&lt;&gt;",C_INI,"&lt;"&amp;F487)+COUNTIFS(M$7:M487,M487,H$7:H487,"&lt;&gt;",F$7:F487,F487),"")</f>
        <v/>
      </c>
      <c r="S487" s="62" t="str">
        <f aca="false">IF(R487="","",M487&amp;"-S"&amp;R487)</f>
        <v/>
      </c>
    </row>
    <row r="488" customFormat="false" ht="15" hidden="false" customHeight="false" outlineLevel="0" collapsed="false">
      <c r="B488" s="58"/>
      <c r="C488" s="62" t="str">
        <f aca="false">IF(B488="","",IFERROR(INDEX(T_NOMBRE,MATCH(M488,T_RUTN,0)),"⚠ RUT no está en Trabajadores"))</f>
        <v/>
      </c>
      <c r="D488" s="58"/>
      <c r="E488" s="58"/>
      <c r="F488" s="59"/>
      <c r="G488" s="59"/>
      <c r="H488" s="60"/>
      <c r="I488" s="58"/>
      <c r="J488" s="58"/>
      <c r="K488" s="58"/>
      <c r="L488" s="62" t="str">
        <f aca="false">IF(B488="","",IF(LEFT(C488,1)="⚠","⚠ Registre primero al trabajador en la hoja Trabajadores",IF(AND(N488="Sí",OR(E488="",NOT(ISNUMBER(F488)))),"⚠ Falta tipo de contrato o fecha de inicio",IF(NOT(ISNUMBER(F488)),"⚠ Falta fecha de inicio",IF(AND(N488="Sí",E488&lt;&gt;"Indefinido",NOT(ISNUMBER(G488))),"⚠ Falta fecha de término",IF(AND(D488="Paso a indefinido",E488&lt;&gt;"Indefinido"),"⚠ Un paso a indefinido debe tener tipo Indefinido",IF(N(Q488)&gt;=3,"⚠ 3er contrato a plazo fijo: por ley ya es INDEFINIDO (Art. 159 N°4)",IF(AND(E488="Plazo fijo",ISNUMBER(G488),(G488-F488+1)/30.4375&gt;12),"⚠ Plazo fijo mayor a 1 año (máximo legal)",IF(J488&lt;&gt;"Sí","Pendiente de firma","OK")))))))))</f>
        <v/>
      </c>
      <c r="M488" s="62" t="str">
        <f aca="false">IF(B488="","",IFERROR(VALUE(LEFT(UPPER(SUBSTITUTE(SUBSTITUTE(SUBSTITUTE(TRIM(B488),".",""),"-","")," ","")),LEN(UPPER(SUBSTITUTE(SUBSTITUTE(SUBSTITUTE(TRIM(B488),".",""),"-","")," ","")))-1))&amp;RIGHT(UPPER(SUBSTITUTE(SUBSTITUTE(SUBSTITUTE(TRIM(B488),".",""),"-","")," ","")),1),UPPER(SUBSTITUTE(SUBSTITUTE(SUBSTITUTE(TRIM(B488),".",""),"-","")," ",""))))</f>
        <v/>
      </c>
      <c r="N488" s="62" t="str">
        <f aca="false">IF(B488="","",IF(D488="Anexo de modificación","No","Sí"))</f>
        <v/>
      </c>
      <c r="O488" s="62" t="str">
        <f aca="false">IF(AND(N488="Sí",ISNUMBER(F488)),COUNTIFS(C_RUTN,M488,C_DEF,"Sí",C_INI,"&lt;"&amp;F488)+COUNTIFS(M$7:M488,M488,N$7:N488,"Sí",F$7:F488,F488),"")</f>
        <v/>
      </c>
      <c r="P488" s="62" t="str">
        <f aca="false">IF(O488="","",M488&amp;"-P"&amp;O488)</f>
        <v/>
      </c>
      <c r="Q488" s="62" t="str">
        <f aca="false">IF(AND(N488="Sí",E488="Plazo fijo",ISNUMBER(F488)),COUNTIFS(C_RUTN,M488,C_TIPO,"Plazo fijo",C_DEF,"Sí",C_INI,"&lt;"&amp;F488)+COUNTIFS(M$7:M488,M488,E$7:E488,"Plazo fijo",N$7:N488,"Sí",F$7:F488,F488),"")</f>
        <v/>
      </c>
      <c r="R488" s="62" t="str">
        <f aca="false">IF(AND(B488&lt;&gt;"",ISNUMBER(H488),ISNUMBER(F488)),COUNTIFS(C_RUTN,M488,C_SUELDO,"&lt;&gt;",C_INI,"&lt;"&amp;F488)+COUNTIFS(M$7:M488,M488,H$7:H488,"&lt;&gt;",F$7:F488,F488),"")</f>
        <v/>
      </c>
      <c r="S488" s="62" t="str">
        <f aca="false">IF(R488="","",M488&amp;"-S"&amp;R488)</f>
        <v/>
      </c>
    </row>
    <row r="489" customFormat="false" ht="15" hidden="false" customHeight="false" outlineLevel="0" collapsed="false">
      <c r="B489" s="58"/>
      <c r="C489" s="62" t="str">
        <f aca="false">IF(B489="","",IFERROR(INDEX(T_NOMBRE,MATCH(M489,T_RUTN,0)),"⚠ RUT no está en Trabajadores"))</f>
        <v/>
      </c>
      <c r="D489" s="58"/>
      <c r="E489" s="58"/>
      <c r="F489" s="59"/>
      <c r="G489" s="59"/>
      <c r="H489" s="60"/>
      <c r="I489" s="58"/>
      <c r="J489" s="58"/>
      <c r="K489" s="58"/>
      <c r="L489" s="62" t="str">
        <f aca="false">IF(B489="","",IF(LEFT(C489,1)="⚠","⚠ Registre primero al trabajador en la hoja Trabajadores",IF(AND(N489="Sí",OR(E489="",NOT(ISNUMBER(F489)))),"⚠ Falta tipo de contrato o fecha de inicio",IF(NOT(ISNUMBER(F489)),"⚠ Falta fecha de inicio",IF(AND(N489="Sí",E489&lt;&gt;"Indefinido",NOT(ISNUMBER(G489))),"⚠ Falta fecha de término",IF(AND(D489="Paso a indefinido",E489&lt;&gt;"Indefinido"),"⚠ Un paso a indefinido debe tener tipo Indefinido",IF(N(Q489)&gt;=3,"⚠ 3er contrato a plazo fijo: por ley ya es INDEFINIDO (Art. 159 N°4)",IF(AND(E489="Plazo fijo",ISNUMBER(G489),(G489-F489+1)/30.4375&gt;12),"⚠ Plazo fijo mayor a 1 año (máximo legal)",IF(J489&lt;&gt;"Sí","Pendiente de firma","OK")))))))))</f>
        <v/>
      </c>
      <c r="M489" s="62" t="str">
        <f aca="false">IF(B489="","",IFERROR(VALUE(LEFT(UPPER(SUBSTITUTE(SUBSTITUTE(SUBSTITUTE(TRIM(B489),".",""),"-","")," ","")),LEN(UPPER(SUBSTITUTE(SUBSTITUTE(SUBSTITUTE(TRIM(B489),".",""),"-","")," ","")))-1))&amp;RIGHT(UPPER(SUBSTITUTE(SUBSTITUTE(SUBSTITUTE(TRIM(B489),".",""),"-","")," ","")),1),UPPER(SUBSTITUTE(SUBSTITUTE(SUBSTITUTE(TRIM(B489),".",""),"-","")," ",""))))</f>
        <v/>
      </c>
      <c r="N489" s="62" t="str">
        <f aca="false">IF(B489="","",IF(D489="Anexo de modificación","No","Sí"))</f>
        <v/>
      </c>
      <c r="O489" s="62" t="str">
        <f aca="false">IF(AND(N489="Sí",ISNUMBER(F489)),COUNTIFS(C_RUTN,M489,C_DEF,"Sí",C_INI,"&lt;"&amp;F489)+COUNTIFS(M$7:M489,M489,N$7:N489,"Sí",F$7:F489,F489),"")</f>
        <v/>
      </c>
      <c r="P489" s="62" t="str">
        <f aca="false">IF(O489="","",M489&amp;"-P"&amp;O489)</f>
        <v/>
      </c>
      <c r="Q489" s="62" t="str">
        <f aca="false">IF(AND(N489="Sí",E489="Plazo fijo",ISNUMBER(F489)),COUNTIFS(C_RUTN,M489,C_TIPO,"Plazo fijo",C_DEF,"Sí",C_INI,"&lt;"&amp;F489)+COUNTIFS(M$7:M489,M489,E$7:E489,"Plazo fijo",N$7:N489,"Sí",F$7:F489,F489),"")</f>
        <v/>
      </c>
      <c r="R489" s="62" t="str">
        <f aca="false">IF(AND(B489&lt;&gt;"",ISNUMBER(H489),ISNUMBER(F489)),COUNTIFS(C_RUTN,M489,C_SUELDO,"&lt;&gt;",C_INI,"&lt;"&amp;F489)+COUNTIFS(M$7:M489,M489,H$7:H489,"&lt;&gt;",F$7:F489,F489),"")</f>
        <v/>
      </c>
      <c r="S489" s="62" t="str">
        <f aca="false">IF(R489="","",M489&amp;"-S"&amp;R489)</f>
        <v/>
      </c>
    </row>
    <row r="490" customFormat="false" ht="15" hidden="false" customHeight="false" outlineLevel="0" collapsed="false">
      <c r="B490" s="58"/>
      <c r="C490" s="62" t="str">
        <f aca="false">IF(B490="","",IFERROR(INDEX(T_NOMBRE,MATCH(M490,T_RUTN,0)),"⚠ RUT no está en Trabajadores"))</f>
        <v/>
      </c>
      <c r="D490" s="58"/>
      <c r="E490" s="58"/>
      <c r="F490" s="59"/>
      <c r="G490" s="59"/>
      <c r="H490" s="60"/>
      <c r="I490" s="58"/>
      <c r="J490" s="58"/>
      <c r="K490" s="58"/>
      <c r="L490" s="62" t="str">
        <f aca="false">IF(B490="","",IF(LEFT(C490,1)="⚠","⚠ Registre primero al trabajador en la hoja Trabajadores",IF(AND(N490="Sí",OR(E490="",NOT(ISNUMBER(F490)))),"⚠ Falta tipo de contrato o fecha de inicio",IF(NOT(ISNUMBER(F490)),"⚠ Falta fecha de inicio",IF(AND(N490="Sí",E490&lt;&gt;"Indefinido",NOT(ISNUMBER(G490))),"⚠ Falta fecha de término",IF(AND(D490="Paso a indefinido",E490&lt;&gt;"Indefinido"),"⚠ Un paso a indefinido debe tener tipo Indefinido",IF(N(Q490)&gt;=3,"⚠ 3er contrato a plazo fijo: por ley ya es INDEFINIDO (Art. 159 N°4)",IF(AND(E490="Plazo fijo",ISNUMBER(G490),(G490-F490+1)/30.4375&gt;12),"⚠ Plazo fijo mayor a 1 año (máximo legal)",IF(J490&lt;&gt;"Sí","Pendiente de firma","OK")))))))))</f>
        <v/>
      </c>
      <c r="M490" s="62" t="str">
        <f aca="false">IF(B490="","",IFERROR(VALUE(LEFT(UPPER(SUBSTITUTE(SUBSTITUTE(SUBSTITUTE(TRIM(B490),".",""),"-","")," ","")),LEN(UPPER(SUBSTITUTE(SUBSTITUTE(SUBSTITUTE(TRIM(B490),".",""),"-","")," ","")))-1))&amp;RIGHT(UPPER(SUBSTITUTE(SUBSTITUTE(SUBSTITUTE(TRIM(B490),".",""),"-","")," ","")),1),UPPER(SUBSTITUTE(SUBSTITUTE(SUBSTITUTE(TRIM(B490),".",""),"-","")," ",""))))</f>
        <v/>
      </c>
      <c r="N490" s="62" t="str">
        <f aca="false">IF(B490="","",IF(D490="Anexo de modificación","No","Sí"))</f>
        <v/>
      </c>
      <c r="O490" s="62" t="str">
        <f aca="false">IF(AND(N490="Sí",ISNUMBER(F490)),COUNTIFS(C_RUTN,M490,C_DEF,"Sí",C_INI,"&lt;"&amp;F490)+COUNTIFS(M$7:M490,M490,N$7:N490,"Sí",F$7:F490,F490),"")</f>
        <v/>
      </c>
      <c r="P490" s="62" t="str">
        <f aca="false">IF(O490="","",M490&amp;"-P"&amp;O490)</f>
        <v/>
      </c>
      <c r="Q490" s="62" t="str">
        <f aca="false">IF(AND(N490="Sí",E490="Plazo fijo",ISNUMBER(F490)),COUNTIFS(C_RUTN,M490,C_TIPO,"Plazo fijo",C_DEF,"Sí",C_INI,"&lt;"&amp;F490)+COUNTIFS(M$7:M490,M490,E$7:E490,"Plazo fijo",N$7:N490,"Sí",F$7:F490,F490),"")</f>
        <v/>
      </c>
      <c r="R490" s="62" t="str">
        <f aca="false">IF(AND(B490&lt;&gt;"",ISNUMBER(H490),ISNUMBER(F490)),COUNTIFS(C_RUTN,M490,C_SUELDO,"&lt;&gt;",C_INI,"&lt;"&amp;F490)+COUNTIFS(M$7:M490,M490,H$7:H490,"&lt;&gt;",F$7:F490,F490),"")</f>
        <v/>
      </c>
      <c r="S490" s="62" t="str">
        <f aca="false">IF(R490="","",M490&amp;"-S"&amp;R490)</f>
        <v/>
      </c>
    </row>
    <row r="491" customFormat="false" ht="15" hidden="false" customHeight="false" outlineLevel="0" collapsed="false">
      <c r="B491" s="58"/>
      <c r="C491" s="62" t="str">
        <f aca="false">IF(B491="","",IFERROR(INDEX(T_NOMBRE,MATCH(M491,T_RUTN,0)),"⚠ RUT no está en Trabajadores"))</f>
        <v/>
      </c>
      <c r="D491" s="58"/>
      <c r="E491" s="58"/>
      <c r="F491" s="59"/>
      <c r="G491" s="59"/>
      <c r="H491" s="60"/>
      <c r="I491" s="58"/>
      <c r="J491" s="58"/>
      <c r="K491" s="58"/>
      <c r="L491" s="62" t="str">
        <f aca="false">IF(B491="","",IF(LEFT(C491,1)="⚠","⚠ Registre primero al trabajador en la hoja Trabajadores",IF(AND(N491="Sí",OR(E491="",NOT(ISNUMBER(F491)))),"⚠ Falta tipo de contrato o fecha de inicio",IF(NOT(ISNUMBER(F491)),"⚠ Falta fecha de inicio",IF(AND(N491="Sí",E491&lt;&gt;"Indefinido",NOT(ISNUMBER(G491))),"⚠ Falta fecha de término",IF(AND(D491="Paso a indefinido",E491&lt;&gt;"Indefinido"),"⚠ Un paso a indefinido debe tener tipo Indefinido",IF(N(Q491)&gt;=3,"⚠ 3er contrato a plazo fijo: por ley ya es INDEFINIDO (Art. 159 N°4)",IF(AND(E491="Plazo fijo",ISNUMBER(G491),(G491-F491+1)/30.4375&gt;12),"⚠ Plazo fijo mayor a 1 año (máximo legal)",IF(J491&lt;&gt;"Sí","Pendiente de firma","OK")))))))))</f>
        <v/>
      </c>
      <c r="M491" s="62" t="str">
        <f aca="false">IF(B491="","",IFERROR(VALUE(LEFT(UPPER(SUBSTITUTE(SUBSTITUTE(SUBSTITUTE(TRIM(B491),".",""),"-","")," ","")),LEN(UPPER(SUBSTITUTE(SUBSTITUTE(SUBSTITUTE(TRIM(B491),".",""),"-","")," ","")))-1))&amp;RIGHT(UPPER(SUBSTITUTE(SUBSTITUTE(SUBSTITUTE(TRIM(B491),".",""),"-","")," ","")),1),UPPER(SUBSTITUTE(SUBSTITUTE(SUBSTITUTE(TRIM(B491),".",""),"-","")," ",""))))</f>
        <v/>
      </c>
      <c r="N491" s="62" t="str">
        <f aca="false">IF(B491="","",IF(D491="Anexo de modificación","No","Sí"))</f>
        <v/>
      </c>
      <c r="O491" s="62" t="str">
        <f aca="false">IF(AND(N491="Sí",ISNUMBER(F491)),COUNTIFS(C_RUTN,M491,C_DEF,"Sí",C_INI,"&lt;"&amp;F491)+COUNTIFS(M$7:M491,M491,N$7:N491,"Sí",F$7:F491,F491),"")</f>
        <v/>
      </c>
      <c r="P491" s="62" t="str">
        <f aca="false">IF(O491="","",M491&amp;"-P"&amp;O491)</f>
        <v/>
      </c>
      <c r="Q491" s="62" t="str">
        <f aca="false">IF(AND(N491="Sí",E491="Plazo fijo",ISNUMBER(F491)),COUNTIFS(C_RUTN,M491,C_TIPO,"Plazo fijo",C_DEF,"Sí",C_INI,"&lt;"&amp;F491)+COUNTIFS(M$7:M491,M491,E$7:E491,"Plazo fijo",N$7:N491,"Sí",F$7:F491,F491),"")</f>
        <v/>
      </c>
      <c r="R491" s="62" t="str">
        <f aca="false">IF(AND(B491&lt;&gt;"",ISNUMBER(H491),ISNUMBER(F491)),COUNTIFS(C_RUTN,M491,C_SUELDO,"&lt;&gt;",C_INI,"&lt;"&amp;F491)+COUNTIFS(M$7:M491,M491,H$7:H491,"&lt;&gt;",F$7:F491,F491),"")</f>
        <v/>
      </c>
      <c r="S491" s="62" t="str">
        <f aca="false">IF(R491="","",M491&amp;"-S"&amp;R491)</f>
        <v/>
      </c>
    </row>
    <row r="492" customFormat="false" ht="15" hidden="false" customHeight="false" outlineLevel="0" collapsed="false">
      <c r="B492" s="58"/>
      <c r="C492" s="62" t="str">
        <f aca="false">IF(B492="","",IFERROR(INDEX(T_NOMBRE,MATCH(M492,T_RUTN,0)),"⚠ RUT no está en Trabajadores"))</f>
        <v/>
      </c>
      <c r="D492" s="58"/>
      <c r="E492" s="58"/>
      <c r="F492" s="59"/>
      <c r="G492" s="59"/>
      <c r="H492" s="60"/>
      <c r="I492" s="58"/>
      <c r="J492" s="58"/>
      <c r="K492" s="58"/>
      <c r="L492" s="62" t="str">
        <f aca="false">IF(B492="","",IF(LEFT(C492,1)="⚠","⚠ Registre primero al trabajador en la hoja Trabajadores",IF(AND(N492="Sí",OR(E492="",NOT(ISNUMBER(F492)))),"⚠ Falta tipo de contrato o fecha de inicio",IF(NOT(ISNUMBER(F492)),"⚠ Falta fecha de inicio",IF(AND(N492="Sí",E492&lt;&gt;"Indefinido",NOT(ISNUMBER(G492))),"⚠ Falta fecha de término",IF(AND(D492="Paso a indefinido",E492&lt;&gt;"Indefinido"),"⚠ Un paso a indefinido debe tener tipo Indefinido",IF(N(Q492)&gt;=3,"⚠ 3er contrato a plazo fijo: por ley ya es INDEFINIDO (Art. 159 N°4)",IF(AND(E492="Plazo fijo",ISNUMBER(G492),(G492-F492+1)/30.4375&gt;12),"⚠ Plazo fijo mayor a 1 año (máximo legal)",IF(J492&lt;&gt;"Sí","Pendiente de firma","OK")))))))))</f>
        <v/>
      </c>
      <c r="M492" s="62" t="str">
        <f aca="false">IF(B492="","",IFERROR(VALUE(LEFT(UPPER(SUBSTITUTE(SUBSTITUTE(SUBSTITUTE(TRIM(B492),".",""),"-","")," ","")),LEN(UPPER(SUBSTITUTE(SUBSTITUTE(SUBSTITUTE(TRIM(B492),".",""),"-","")," ","")))-1))&amp;RIGHT(UPPER(SUBSTITUTE(SUBSTITUTE(SUBSTITUTE(TRIM(B492),".",""),"-","")," ","")),1),UPPER(SUBSTITUTE(SUBSTITUTE(SUBSTITUTE(TRIM(B492),".",""),"-","")," ",""))))</f>
        <v/>
      </c>
      <c r="N492" s="62" t="str">
        <f aca="false">IF(B492="","",IF(D492="Anexo de modificación","No","Sí"))</f>
        <v/>
      </c>
      <c r="O492" s="62" t="str">
        <f aca="false">IF(AND(N492="Sí",ISNUMBER(F492)),COUNTIFS(C_RUTN,M492,C_DEF,"Sí",C_INI,"&lt;"&amp;F492)+COUNTIFS(M$7:M492,M492,N$7:N492,"Sí",F$7:F492,F492),"")</f>
        <v/>
      </c>
      <c r="P492" s="62" t="str">
        <f aca="false">IF(O492="","",M492&amp;"-P"&amp;O492)</f>
        <v/>
      </c>
      <c r="Q492" s="62" t="str">
        <f aca="false">IF(AND(N492="Sí",E492="Plazo fijo",ISNUMBER(F492)),COUNTIFS(C_RUTN,M492,C_TIPO,"Plazo fijo",C_DEF,"Sí",C_INI,"&lt;"&amp;F492)+COUNTIFS(M$7:M492,M492,E$7:E492,"Plazo fijo",N$7:N492,"Sí",F$7:F492,F492),"")</f>
        <v/>
      </c>
      <c r="R492" s="62" t="str">
        <f aca="false">IF(AND(B492&lt;&gt;"",ISNUMBER(H492),ISNUMBER(F492)),COUNTIFS(C_RUTN,M492,C_SUELDO,"&lt;&gt;",C_INI,"&lt;"&amp;F492)+COUNTIFS(M$7:M492,M492,H$7:H492,"&lt;&gt;",F$7:F492,F492),"")</f>
        <v/>
      </c>
      <c r="S492" s="62" t="str">
        <f aca="false">IF(R492="","",M492&amp;"-S"&amp;R492)</f>
        <v/>
      </c>
    </row>
    <row r="493" customFormat="false" ht="15" hidden="false" customHeight="false" outlineLevel="0" collapsed="false">
      <c r="B493" s="58"/>
      <c r="C493" s="62" t="str">
        <f aca="false">IF(B493="","",IFERROR(INDEX(T_NOMBRE,MATCH(M493,T_RUTN,0)),"⚠ RUT no está en Trabajadores"))</f>
        <v/>
      </c>
      <c r="D493" s="58"/>
      <c r="E493" s="58"/>
      <c r="F493" s="59"/>
      <c r="G493" s="59"/>
      <c r="H493" s="60"/>
      <c r="I493" s="58"/>
      <c r="J493" s="58"/>
      <c r="K493" s="58"/>
      <c r="L493" s="62" t="str">
        <f aca="false">IF(B493="","",IF(LEFT(C493,1)="⚠","⚠ Registre primero al trabajador en la hoja Trabajadores",IF(AND(N493="Sí",OR(E493="",NOT(ISNUMBER(F493)))),"⚠ Falta tipo de contrato o fecha de inicio",IF(NOT(ISNUMBER(F493)),"⚠ Falta fecha de inicio",IF(AND(N493="Sí",E493&lt;&gt;"Indefinido",NOT(ISNUMBER(G493))),"⚠ Falta fecha de término",IF(AND(D493="Paso a indefinido",E493&lt;&gt;"Indefinido"),"⚠ Un paso a indefinido debe tener tipo Indefinido",IF(N(Q493)&gt;=3,"⚠ 3er contrato a plazo fijo: por ley ya es INDEFINIDO (Art. 159 N°4)",IF(AND(E493="Plazo fijo",ISNUMBER(G493),(G493-F493+1)/30.4375&gt;12),"⚠ Plazo fijo mayor a 1 año (máximo legal)",IF(J493&lt;&gt;"Sí","Pendiente de firma","OK")))))))))</f>
        <v/>
      </c>
      <c r="M493" s="62" t="str">
        <f aca="false">IF(B493="","",IFERROR(VALUE(LEFT(UPPER(SUBSTITUTE(SUBSTITUTE(SUBSTITUTE(TRIM(B493),".",""),"-","")," ","")),LEN(UPPER(SUBSTITUTE(SUBSTITUTE(SUBSTITUTE(TRIM(B493),".",""),"-","")," ","")))-1))&amp;RIGHT(UPPER(SUBSTITUTE(SUBSTITUTE(SUBSTITUTE(TRIM(B493),".",""),"-","")," ","")),1),UPPER(SUBSTITUTE(SUBSTITUTE(SUBSTITUTE(TRIM(B493),".",""),"-","")," ",""))))</f>
        <v/>
      </c>
      <c r="N493" s="62" t="str">
        <f aca="false">IF(B493="","",IF(D493="Anexo de modificación","No","Sí"))</f>
        <v/>
      </c>
      <c r="O493" s="62" t="str">
        <f aca="false">IF(AND(N493="Sí",ISNUMBER(F493)),COUNTIFS(C_RUTN,M493,C_DEF,"Sí",C_INI,"&lt;"&amp;F493)+COUNTIFS(M$7:M493,M493,N$7:N493,"Sí",F$7:F493,F493),"")</f>
        <v/>
      </c>
      <c r="P493" s="62" t="str">
        <f aca="false">IF(O493="","",M493&amp;"-P"&amp;O493)</f>
        <v/>
      </c>
      <c r="Q493" s="62" t="str">
        <f aca="false">IF(AND(N493="Sí",E493="Plazo fijo",ISNUMBER(F493)),COUNTIFS(C_RUTN,M493,C_TIPO,"Plazo fijo",C_DEF,"Sí",C_INI,"&lt;"&amp;F493)+COUNTIFS(M$7:M493,M493,E$7:E493,"Plazo fijo",N$7:N493,"Sí",F$7:F493,F493),"")</f>
        <v/>
      </c>
      <c r="R493" s="62" t="str">
        <f aca="false">IF(AND(B493&lt;&gt;"",ISNUMBER(H493),ISNUMBER(F493)),COUNTIFS(C_RUTN,M493,C_SUELDO,"&lt;&gt;",C_INI,"&lt;"&amp;F493)+COUNTIFS(M$7:M493,M493,H$7:H493,"&lt;&gt;",F$7:F493,F493),"")</f>
        <v/>
      </c>
      <c r="S493" s="62" t="str">
        <f aca="false">IF(R493="","",M493&amp;"-S"&amp;R493)</f>
        <v/>
      </c>
    </row>
    <row r="494" customFormat="false" ht="15" hidden="false" customHeight="false" outlineLevel="0" collapsed="false">
      <c r="B494" s="58"/>
      <c r="C494" s="62" t="str">
        <f aca="false">IF(B494="","",IFERROR(INDEX(T_NOMBRE,MATCH(M494,T_RUTN,0)),"⚠ RUT no está en Trabajadores"))</f>
        <v/>
      </c>
      <c r="D494" s="58"/>
      <c r="E494" s="58"/>
      <c r="F494" s="59"/>
      <c r="G494" s="59"/>
      <c r="H494" s="60"/>
      <c r="I494" s="58"/>
      <c r="J494" s="58"/>
      <c r="K494" s="58"/>
      <c r="L494" s="62" t="str">
        <f aca="false">IF(B494="","",IF(LEFT(C494,1)="⚠","⚠ Registre primero al trabajador en la hoja Trabajadores",IF(AND(N494="Sí",OR(E494="",NOT(ISNUMBER(F494)))),"⚠ Falta tipo de contrato o fecha de inicio",IF(NOT(ISNUMBER(F494)),"⚠ Falta fecha de inicio",IF(AND(N494="Sí",E494&lt;&gt;"Indefinido",NOT(ISNUMBER(G494))),"⚠ Falta fecha de término",IF(AND(D494="Paso a indefinido",E494&lt;&gt;"Indefinido"),"⚠ Un paso a indefinido debe tener tipo Indefinido",IF(N(Q494)&gt;=3,"⚠ 3er contrato a plazo fijo: por ley ya es INDEFINIDO (Art. 159 N°4)",IF(AND(E494="Plazo fijo",ISNUMBER(G494),(G494-F494+1)/30.4375&gt;12),"⚠ Plazo fijo mayor a 1 año (máximo legal)",IF(J494&lt;&gt;"Sí","Pendiente de firma","OK")))))))))</f>
        <v/>
      </c>
      <c r="M494" s="62" t="str">
        <f aca="false">IF(B494="","",IFERROR(VALUE(LEFT(UPPER(SUBSTITUTE(SUBSTITUTE(SUBSTITUTE(TRIM(B494),".",""),"-","")," ","")),LEN(UPPER(SUBSTITUTE(SUBSTITUTE(SUBSTITUTE(TRIM(B494),".",""),"-","")," ","")))-1))&amp;RIGHT(UPPER(SUBSTITUTE(SUBSTITUTE(SUBSTITUTE(TRIM(B494),".",""),"-","")," ","")),1),UPPER(SUBSTITUTE(SUBSTITUTE(SUBSTITUTE(TRIM(B494),".",""),"-","")," ",""))))</f>
        <v/>
      </c>
      <c r="N494" s="62" t="str">
        <f aca="false">IF(B494="","",IF(D494="Anexo de modificación","No","Sí"))</f>
        <v/>
      </c>
      <c r="O494" s="62" t="str">
        <f aca="false">IF(AND(N494="Sí",ISNUMBER(F494)),COUNTIFS(C_RUTN,M494,C_DEF,"Sí",C_INI,"&lt;"&amp;F494)+COUNTIFS(M$7:M494,M494,N$7:N494,"Sí",F$7:F494,F494),"")</f>
        <v/>
      </c>
      <c r="P494" s="62" t="str">
        <f aca="false">IF(O494="","",M494&amp;"-P"&amp;O494)</f>
        <v/>
      </c>
      <c r="Q494" s="62" t="str">
        <f aca="false">IF(AND(N494="Sí",E494="Plazo fijo",ISNUMBER(F494)),COUNTIFS(C_RUTN,M494,C_TIPO,"Plazo fijo",C_DEF,"Sí",C_INI,"&lt;"&amp;F494)+COUNTIFS(M$7:M494,M494,E$7:E494,"Plazo fijo",N$7:N494,"Sí",F$7:F494,F494),"")</f>
        <v/>
      </c>
      <c r="R494" s="62" t="str">
        <f aca="false">IF(AND(B494&lt;&gt;"",ISNUMBER(H494),ISNUMBER(F494)),COUNTIFS(C_RUTN,M494,C_SUELDO,"&lt;&gt;",C_INI,"&lt;"&amp;F494)+COUNTIFS(M$7:M494,M494,H$7:H494,"&lt;&gt;",F$7:F494,F494),"")</f>
        <v/>
      </c>
      <c r="S494" s="62" t="str">
        <f aca="false">IF(R494="","",M494&amp;"-S"&amp;R494)</f>
        <v/>
      </c>
    </row>
    <row r="495" customFormat="false" ht="15" hidden="false" customHeight="false" outlineLevel="0" collapsed="false">
      <c r="B495" s="58"/>
      <c r="C495" s="62" t="str">
        <f aca="false">IF(B495="","",IFERROR(INDEX(T_NOMBRE,MATCH(M495,T_RUTN,0)),"⚠ RUT no está en Trabajadores"))</f>
        <v/>
      </c>
      <c r="D495" s="58"/>
      <c r="E495" s="58"/>
      <c r="F495" s="59"/>
      <c r="G495" s="59"/>
      <c r="H495" s="60"/>
      <c r="I495" s="58"/>
      <c r="J495" s="58"/>
      <c r="K495" s="58"/>
      <c r="L495" s="62" t="str">
        <f aca="false">IF(B495="","",IF(LEFT(C495,1)="⚠","⚠ Registre primero al trabajador en la hoja Trabajadores",IF(AND(N495="Sí",OR(E495="",NOT(ISNUMBER(F495)))),"⚠ Falta tipo de contrato o fecha de inicio",IF(NOT(ISNUMBER(F495)),"⚠ Falta fecha de inicio",IF(AND(N495="Sí",E495&lt;&gt;"Indefinido",NOT(ISNUMBER(G495))),"⚠ Falta fecha de término",IF(AND(D495="Paso a indefinido",E495&lt;&gt;"Indefinido"),"⚠ Un paso a indefinido debe tener tipo Indefinido",IF(N(Q495)&gt;=3,"⚠ 3er contrato a plazo fijo: por ley ya es INDEFINIDO (Art. 159 N°4)",IF(AND(E495="Plazo fijo",ISNUMBER(G495),(G495-F495+1)/30.4375&gt;12),"⚠ Plazo fijo mayor a 1 año (máximo legal)",IF(J495&lt;&gt;"Sí","Pendiente de firma","OK")))))))))</f>
        <v/>
      </c>
      <c r="M495" s="62" t="str">
        <f aca="false">IF(B495="","",IFERROR(VALUE(LEFT(UPPER(SUBSTITUTE(SUBSTITUTE(SUBSTITUTE(TRIM(B495),".",""),"-","")," ","")),LEN(UPPER(SUBSTITUTE(SUBSTITUTE(SUBSTITUTE(TRIM(B495),".",""),"-","")," ","")))-1))&amp;RIGHT(UPPER(SUBSTITUTE(SUBSTITUTE(SUBSTITUTE(TRIM(B495),".",""),"-","")," ","")),1),UPPER(SUBSTITUTE(SUBSTITUTE(SUBSTITUTE(TRIM(B495),".",""),"-","")," ",""))))</f>
        <v/>
      </c>
      <c r="N495" s="62" t="str">
        <f aca="false">IF(B495="","",IF(D495="Anexo de modificación","No","Sí"))</f>
        <v/>
      </c>
      <c r="O495" s="62" t="str">
        <f aca="false">IF(AND(N495="Sí",ISNUMBER(F495)),COUNTIFS(C_RUTN,M495,C_DEF,"Sí",C_INI,"&lt;"&amp;F495)+COUNTIFS(M$7:M495,M495,N$7:N495,"Sí",F$7:F495,F495),"")</f>
        <v/>
      </c>
      <c r="P495" s="62" t="str">
        <f aca="false">IF(O495="","",M495&amp;"-P"&amp;O495)</f>
        <v/>
      </c>
      <c r="Q495" s="62" t="str">
        <f aca="false">IF(AND(N495="Sí",E495="Plazo fijo",ISNUMBER(F495)),COUNTIFS(C_RUTN,M495,C_TIPO,"Plazo fijo",C_DEF,"Sí",C_INI,"&lt;"&amp;F495)+COUNTIFS(M$7:M495,M495,E$7:E495,"Plazo fijo",N$7:N495,"Sí",F$7:F495,F495),"")</f>
        <v/>
      </c>
      <c r="R495" s="62" t="str">
        <f aca="false">IF(AND(B495&lt;&gt;"",ISNUMBER(H495),ISNUMBER(F495)),COUNTIFS(C_RUTN,M495,C_SUELDO,"&lt;&gt;",C_INI,"&lt;"&amp;F495)+COUNTIFS(M$7:M495,M495,H$7:H495,"&lt;&gt;",F$7:F495,F495),"")</f>
        <v/>
      </c>
      <c r="S495" s="62" t="str">
        <f aca="false">IF(R495="","",M495&amp;"-S"&amp;R495)</f>
        <v/>
      </c>
    </row>
    <row r="496" customFormat="false" ht="15" hidden="false" customHeight="false" outlineLevel="0" collapsed="false">
      <c r="B496" s="58"/>
      <c r="C496" s="62" t="str">
        <f aca="false">IF(B496="","",IFERROR(INDEX(T_NOMBRE,MATCH(M496,T_RUTN,0)),"⚠ RUT no está en Trabajadores"))</f>
        <v/>
      </c>
      <c r="D496" s="58"/>
      <c r="E496" s="58"/>
      <c r="F496" s="59"/>
      <c r="G496" s="59"/>
      <c r="H496" s="60"/>
      <c r="I496" s="58"/>
      <c r="J496" s="58"/>
      <c r="K496" s="58"/>
      <c r="L496" s="62" t="str">
        <f aca="false">IF(B496="","",IF(LEFT(C496,1)="⚠","⚠ Registre primero al trabajador en la hoja Trabajadores",IF(AND(N496="Sí",OR(E496="",NOT(ISNUMBER(F496)))),"⚠ Falta tipo de contrato o fecha de inicio",IF(NOT(ISNUMBER(F496)),"⚠ Falta fecha de inicio",IF(AND(N496="Sí",E496&lt;&gt;"Indefinido",NOT(ISNUMBER(G496))),"⚠ Falta fecha de término",IF(AND(D496="Paso a indefinido",E496&lt;&gt;"Indefinido"),"⚠ Un paso a indefinido debe tener tipo Indefinido",IF(N(Q496)&gt;=3,"⚠ 3er contrato a plazo fijo: por ley ya es INDEFINIDO (Art. 159 N°4)",IF(AND(E496="Plazo fijo",ISNUMBER(G496),(G496-F496+1)/30.4375&gt;12),"⚠ Plazo fijo mayor a 1 año (máximo legal)",IF(J496&lt;&gt;"Sí","Pendiente de firma","OK")))))))))</f>
        <v/>
      </c>
      <c r="M496" s="62" t="str">
        <f aca="false">IF(B496="","",IFERROR(VALUE(LEFT(UPPER(SUBSTITUTE(SUBSTITUTE(SUBSTITUTE(TRIM(B496),".",""),"-","")," ","")),LEN(UPPER(SUBSTITUTE(SUBSTITUTE(SUBSTITUTE(TRIM(B496),".",""),"-","")," ","")))-1))&amp;RIGHT(UPPER(SUBSTITUTE(SUBSTITUTE(SUBSTITUTE(TRIM(B496),".",""),"-","")," ","")),1),UPPER(SUBSTITUTE(SUBSTITUTE(SUBSTITUTE(TRIM(B496),".",""),"-","")," ",""))))</f>
        <v/>
      </c>
      <c r="N496" s="62" t="str">
        <f aca="false">IF(B496="","",IF(D496="Anexo de modificación","No","Sí"))</f>
        <v/>
      </c>
      <c r="O496" s="62" t="str">
        <f aca="false">IF(AND(N496="Sí",ISNUMBER(F496)),COUNTIFS(C_RUTN,M496,C_DEF,"Sí",C_INI,"&lt;"&amp;F496)+COUNTIFS(M$7:M496,M496,N$7:N496,"Sí",F$7:F496,F496),"")</f>
        <v/>
      </c>
      <c r="P496" s="62" t="str">
        <f aca="false">IF(O496="","",M496&amp;"-P"&amp;O496)</f>
        <v/>
      </c>
      <c r="Q496" s="62" t="str">
        <f aca="false">IF(AND(N496="Sí",E496="Plazo fijo",ISNUMBER(F496)),COUNTIFS(C_RUTN,M496,C_TIPO,"Plazo fijo",C_DEF,"Sí",C_INI,"&lt;"&amp;F496)+COUNTIFS(M$7:M496,M496,E$7:E496,"Plazo fijo",N$7:N496,"Sí",F$7:F496,F496),"")</f>
        <v/>
      </c>
      <c r="R496" s="62" t="str">
        <f aca="false">IF(AND(B496&lt;&gt;"",ISNUMBER(H496),ISNUMBER(F496)),COUNTIFS(C_RUTN,M496,C_SUELDO,"&lt;&gt;",C_INI,"&lt;"&amp;F496)+COUNTIFS(M$7:M496,M496,H$7:H496,"&lt;&gt;",F$7:F496,F496),"")</f>
        <v/>
      </c>
      <c r="S496" s="62" t="str">
        <f aca="false">IF(R496="","",M496&amp;"-S"&amp;R496)</f>
        <v/>
      </c>
    </row>
    <row r="497" customFormat="false" ht="15" hidden="false" customHeight="false" outlineLevel="0" collapsed="false">
      <c r="B497" s="58"/>
      <c r="C497" s="62" t="str">
        <f aca="false">IF(B497="","",IFERROR(INDEX(T_NOMBRE,MATCH(M497,T_RUTN,0)),"⚠ RUT no está en Trabajadores"))</f>
        <v/>
      </c>
      <c r="D497" s="58"/>
      <c r="E497" s="58"/>
      <c r="F497" s="59"/>
      <c r="G497" s="59"/>
      <c r="H497" s="60"/>
      <c r="I497" s="58"/>
      <c r="J497" s="58"/>
      <c r="K497" s="58"/>
      <c r="L497" s="62" t="str">
        <f aca="false">IF(B497="","",IF(LEFT(C497,1)="⚠","⚠ Registre primero al trabajador en la hoja Trabajadores",IF(AND(N497="Sí",OR(E497="",NOT(ISNUMBER(F497)))),"⚠ Falta tipo de contrato o fecha de inicio",IF(NOT(ISNUMBER(F497)),"⚠ Falta fecha de inicio",IF(AND(N497="Sí",E497&lt;&gt;"Indefinido",NOT(ISNUMBER(G497))),"⚠ Falta fecha de término",IF(AND(D497="Paso a indefinido",E497&lt;&gt;"Indefinido"),"⚠ Un paso a indefinido debe tener tipo Indefinido",IF(N(Q497)&gt;=3,"⚠ 3er contrato a plazo fijo: por ley ya es INDEFINIDO (Art. 159 N°4)",IF(AND(E497="Plazo fijo",ISNUMBER(G497),(G497-F497+1)/30.4375&gt;12),"⚠ Plazo fijo mayor a 1 año (máximo legal)",IF(J497&lt;&gt;"Sí","Pendiente de firma","OK")))))))))</f>
        <v/>
      </c>
      <c r="M497" s="62" t="str">
        <f aca="false">IF(B497="","",IFERROR(VALUE(LEFT(UPPER(SUBSTITUTE(SUBSTITUTE(SUBSTITUTE(TRIM(B497),".",""),"-","")," ","")),LEN(UPPER(SUBSTITUTE(SUBSTITUTE(SUBSTITUTE(TRIM(B497),".",""),"-","")," ","")))-1))&amp;RIGHT(UPPER(SUBSTITUTE(SUBSTITUTE(SUBSTITUTE(TRIM(B497),".",""),"-","")," ","")),1),UPPER(SUBSTITUTE(SUBSTITUTE(SUBSTITUTE(TRIM(B497),".",""),"-","")," ",""))))</f>
        <v/>
      </c>
      <c r="N497" s="62" t="str">
        <f aca="false">IF(B497="","",IF(D497="Anexo de modificación","No","Sí"))</f>
        <v/>
      </c>
      <c r="O497" s="62" t="str">
        <f aca="false">IF(AND(N497="Sí",ISNUMBER(F497)),COUNTIFS(C_RUTN,M497,C_DEF,"Sí",C_INI,"&lt;"&amp;F497)+COUNTIFS(M$7:M497,M497,N$7:N497,"Sí",F$7:F497,F497),"")</f>
        <v/>
      </c>
      <c r="P497" s="62" t="str">
        <f aca="false">IF(O497="","",M497&amp;"-P"&amp;O497)</f>
        <v/>
      </c>
      <c r="Q497" s="62" t="str">
        <f aca="false">IF(AND(N497="Sí",E497="Plazo fijo",ISNUMBER(F497)),COUNTIFS(C_RUTN,M497,C_TIPO,"Plazo fijo",C_DEF,"Sí",C_INI,"&lt;"&amp;F497)+COUNTIFS(M$7:M497,M497,E$7:E497,"Plazo fijo",N$7:N497,"Sí",F$7:F497,F497),"")</f>
        <v/>
      </c>
      <c r="R497" s="62" t="str">
        <f aca="false">IF(AND(B497&lt;&gt;"",ISNUMBER(H497),ISNUMBER(F497)),COUNTIFS(C_RUTN,M497,C_SUELDO,"&lt;&gt;",C_INI,"&lt;"&amp;F497)+COUNTIFS(M$7:M497,M497,H$7:H497,"&lt;&gt;",F$7:F497,F497),"")</f>
        <v/>
      </c>
      <c r="S497" s="62" t="str">
        <f aca="false">IF(R497="","",M497&amp;"-S"&amp;R497)</f>
        <v/>
      </c>
    </row>
    <row r="498" customFormat="false" ht="15" hidden="false" customHeight="false" outlineLevel="0" collapsed="false">
      <c r="B498" s="58"/>
      <c r="C498" s="62" t="str">
        <f aca="false">IF(B498="","",IFERROR(INDEX(T_NOMBRE,MATCH(M498,T_RUTN,0)),"⚠ RUT no está en Trabajadores"))</f>
        <v/>
      </c>
      <c r="D498" s="58"/>
      <c r="E498" s="58"/>
      <c r="F498" s="59"/>
      <c r="G498" s="59"/>
      <c r="H498" s="60"/>
      <c r="I498" s="58"/>
      <c r="J498" s="58"/>
      <c r="K498" s="58"/>
      <c r="L498" s="62" t="str">
        <f aca="false">IF(B498="","",IF(LEFT(C498,1)="⚠","⚠ Registre primero al trabajador en la hoja Trabajadores",IF(AND(N498="Sí",OR(E498="",NOT(ISNUMBER(F498)))),"⚠ Falta tipo de contrato o fecha de inicio",IF(NOT(ISNUMBER(F498)),"⚠ Falta fecha de inicio",IF(AND(N498="Sí",E498&lt;&gt;"Indefinido",NOT(ISNUMBER(G498))),"⚠ Falta fecha de término",IF(AND(D498="Paso a indefinido",E498&lt;&gt;"Indefinido"),"⚠ Un paso a indefinido debe tener tipo Indefinido",IF(N(Q498)&gt;=3,"⚠ 3er contrato a plazo fijo: por ley ya es INDEFINIDO (Art. 159 N°4)",IF(AND(E498="Plazo fijo",ISNUMBER(G498),(G498-F498+1)/30.4375&gt;12),"⚠ Plazo fijo mayor a 1 año (máximo legal)",IF(J498&lt;&gt;"Sí","Pendiente de firma","OK")))))))))</f>
        <v/>
      </c>
      <c r="M498" s="62" t="str">
        <f aca="false">IF(B498="","",IFERROR(VALUE(LEFT(UPPER(SUBSTITUTE(SUBSTITUTE(SUBSTITUTE(TRIM(B498),".",""),"-","")," ","")),LEN(UPPER(SUBSTITUTE(SUBSTITUTE(SUBSTITUTE(TRIM(B498),".",""),"-","")," ","")))-1))&amp;RIGHT(UPPER(SUBSTITUTE(SUBSTITUTE(SUBSTITUTE(TRIM(B498),".",""),"-","")," ","")),1),UPPER(SUBSTITUTE(SUBSTITUTE(SUBSTITUTE(TRIM(B498),".",""),"-","")," ",""))))</f>
        <v/>
      </c>
      <c r="N498" s="62" t="str">
        <f aca="false">IF(B498="","",IF(D498="Anexo de modificación","No","Sí"))</f>
        <v/>
      </c>
      <c r="O498" s="62" t="str">
        <f aca="false">IF(AND(N498="Sí",ISNUMBER(F498)),COUNTIFS(C_RUTN,M498,C_DEF,"Sí",C_INI,"&lt;"&amp;F498)+COUNTIFS(M$7:M498,M498,N$7:N498,"Sí",F$7:F498,F498),"")</f>
        <v/>
      </c>
      <c r="P498" s="62" t="str">
        <f aca="false">IF(O498="","",M498&amp;"-P"&amp;O498)</f>
        <v/>
      </c>
      <c r="Q498" s="62" t="str">
        <f aca="false">IF(AND(N498="Sí",E498="Plazo fijo",ISNUMBER(F498)),COUNTIFS(C_RUTN,M498,C_TIPO,"Plazo fijo",C_DEF,"Sí",C_INI,"&lt;"&amp;F498)+COUNTIFS(M$7:M498,M498,E$7:E498,"Plazo fijo",N$7:N498,"Sí",F$7:F498,F498),"")</f>
        <v/>
      </c>
      <c r="R498" s="62" t="str">
        <f aca="false">IF(AND(B498&lt;&gt;"",ISNUMBER(H498),ISNUMBER(F498)),COUNTIFS(C_RUTN,M498,C_SUELDO,"&lt;&gt;",C_INI,"&lt;"&amp;F498)+COUNTIFS(M$7:M498,M498,H$7:H498,"&lt;&gt;",F$7:F498,F498),"")</f>
        <v/>
      </c>
      <c r="S498" s="62" t="str">
        <f aca="false">IF(R498="","",M498&amp;"-S"&amp;R498)</f>
        <v/>
      </c>
    </row>
    <row r="499" customFormat="false" ht="15" hidden="false" customHeight="false" outlineLevel="0" collapsed="false">
      <c r="B499" s="58"/>
      <c r="C499" s="62" t="str">
        <f aca="false">IF(B499="","",IFERROR(INDEX(T_NOMBRE,MATCH(M499,T_RUTN,0)),"⚠ RUT no está en Trabajadores"))</f>
        <v/>
      </c>
      <c r="D499" s="58"/>
      <c r="E499" s="58"/>
      <c r="F499" s="59"/>
      <c r="G499" s="59"/>
      <c r="H499" s="60"/>
      <c r="I499" s="58"/>
      <c r="J499" s="58"/>
      <c r="K499" s="58"/>
      <c r="L499" s="62" t="str">
        <f aca="false">IF(B499="","",IF(LEFT(C499,1)="⚠","⚠ Registre primero al trabajador en la hoja Trabajadores",IF(AND(N499="Sí",OR(E499="",NOT(ISNUMBER(F499)))),"⚠ Falta tipo de contrato o fecha de inicio",IF(NOT(ISNUMBER(F499)),"⚠ Falta fecha de inicio",IF(AND(N499="Sí",E499&lt;&gt;"Indefinido",NOT(ISNUMBER(G499))),"⚠ Falta fecha de término",IF(AND(D499="Paso a indefinido",E499&lt;&gt;"Indefinido"),"⚠ Un paso a indefinido debe tener tipo Indefinido",IF(N(Q499)&gt;=3,"⚠ 3er contrato a plazo fijo: por ley ya es INDEFINIDO (Art. 159 N°4)",IF(AND(E499="Plazo fijo",ISNUMBER(G499),(G499-F499+1)/30.4375&gt;12),"⚠ Plazo fijo mayor a 1 año (máximo legal)",IF(J499&lt;&gt;"Sí","Pendiente de firma","OK")))))))))</f>
        <v/>
      </c>
      <c r="M499" s="62" t="str">
        <f aca="false">IF(B499="","",IFERROR(VALUE(LEFT(UPPER(SUBSTITUTE(SUBSTITUTE(SUBSTITUTE(TRIM(B499),".",""),"-","")," ","")),LEN(UPPER(SUBSTITUTE(SUBSTITUTE(SUBSTITUTE(TRIM(B499),".",""),"-","")," ","")))-1))&amp;RIGHT(UPPER(SUBSTITUTE(SUBSTITUTE(SUBSTITUTE(TRIM(B499),".",""),"-","")," ","")),1),UPPER(SUBSTITUTE(SUBSTITUTE(SUBSTITUTE(TRIM(B499),".",""),"-","")," ",""))))</f>
        <v/>
      </c>
      <c r="N499" s="62" t="str">
        <f aca="false">IF(B499="","",IF(D499="Anexo de modificación","No","Sí"))</f>
        <v/>
      </c>
      <c r="O499" s="62" t="str">
        <f aca="false">IF(AND(N499="Sí",ISNUMBER(F499)),COUNTIFS(C_RUTN,M499,C_DEF,"Sí",C_INI,"&lt;"&amp;F499)+COUNTIFS(M$7:M499,M499,N$7:N499,"Sí",F$7:F499,F499),"")</f>
        <v/>
      </c>
      <c r="P499" s="62" t="str">
        <f aca="false">IF(O499="","",M499&amp;"-P"&amp;O499)</f>
        <v/>
      </c>
      <c r="Q499" s="62" t="str">
        <f aca="false">IF(AND(N499="Sí",E499="Plazo fijo",ISNUMBER(F499)),COUNTIFS(C_RUTN,M499,C_TIPO,"Plazo fijo",C_DEF,"Sí",C_INI,"&lt;"&amp;F499)+COUNTIFS(M$7:M499,M499,E$7:E499,"Plazo fijo",N$7:N499,"Sí",F$7:F499,F499),"")</f>
        <v/>
      </c>
      <c r="R499" s="62" t="str">
        <f aca="false">IF(AND(B499&lt;&gt;"",ISNUMBER(H499),ISNUMBER(F499)),COUNTIFS(C_RUTN,M499,C_SUELDO,"&lt;&gt;",C_INI,"&lt;"&amp;F499)+COUNTIFS(M$7:M499,M499,H$7:H499,"&lt;&gt;",F$7:F499,F499),"")</f>
        <v/>
      </c>
      <c r="S499" s="62" t="str">
        <f aca="false">IF(R499="","",M499&amp;"-S"&amp;R499)</f>
        <v/>
      </c>
    </row>
    <row r="500" customFormat="false" ht="15" hidden="false" customHeight="false" outlineLevel="0" collapsed="false">
      <c r="B500" s="58"/>
      <c r="C500" s="62" t="str">
        <f aca="false">IF(B500="","",IFERROR(INDEX(T_NOMBRE,MATCH(M500,T_RUTN,0)),"⚠ RUT no está en Trabajadores"))</f>
        <v/>
      </c>
      <c r="D500" s="58"/>
      <c r="E500" s="58"/>
      <c r="F500" s="59"/>
      <c r="G500" s="59"/>
      <c r="H500" s="60"/>
      <c r="I500" s="58"/>
      <c r="J500" s="58"/>
      <c r="K500" s="58"/>
      <c r="L500" s="62" t="str">
        <f aca="false">IF(B500="","",IF(LEFT(C500,1)="⚠","⚠ Registre primero al trabajador en la hoja Trabajadores",IF(AND(N500="Sí",OR(E500="",NOT(ISNUMBER(F500)))),"⚠ Falta tipo de contrato o fecha de inicio",IF(NOT(ISNUMBER(F500)),"⚠ Falta fecha de inicio",IF(AND(N500="Sí",E500&lt;&gt;"Indefinido",NOT(ISNUMBER(G500))),"⚠ Falta fecha de término",IF(AND(D500="Paso a indefinido",E500&lt;&gt;"Indefinido"),"⚠ Un paso a indefinido debe tener tipo Indefinido",IF(N(Q500)&gt;=3,"⚠ 3er contrato a plazo fijo: por ley ya es INDEFINIDO (Art. 159 N°4)",IF(AND(E500="Plazo fijo",ISNUMBER(G500),(G500-F500+1)/30.4375&gt;12),"⚠ Plazo fijo mayor a 1 año (máximo legal)",IF(J500&lt;&gt;"Sí","Pendiente de firma","OK")))))))))</f>
        <v/>
      </c>
      <c r="M500" s="62" t="str">
        <f aca="false">IF(B500="","",IFERROR(VALUE(LEFT(UPPER(SUBSTITUTE(SUBSTITUTE(SUBSTITUTE(TRIM(B500),".",""),"-","")," ","")),LEN(UPPER(SUBSTITUTE(SUBSTITUTE(SUBSTITUTE(TRIM(B500),".",""),"-","")," ","")))-1))&amp;RIGHT(UPPER(SUBSTITUTE(SUBSTITUTE(SUBSTITUTE(TRIM(B500),".",""),"-","")," ","")),1),UPPER(SUBSTITUTE(SUBSTITUTE(SUBSTITUTE(TRIM(B500),".",""),"-","")," ",""))))</f>
        <v/>
      </c>
      <c r="N500" s="62" t="str">
        <f aca="false">IF(B500="","",IF(D500="Anexo de modificación","No","Sí"))</f>
        <v/>
      </c>
      <c r="O500" s="62" t="str">
        <f aca="false">IF(AND(N500="Sí",ISNUMBER(F500)),COUNTIFS(C_RUTN,M500,C_DEF,"Sí",C_INI,"&lt;"&amp;F500)+COUNTIFS(M$7:M500,M500,N$7:N500,"Sí",F$7:F500,F500),"")</f>
        <v/>
      </c>
      <c r="P500" s="62" t="str">
        <f aca="false">IF(O500="","",M500&amp;"-P"&amp;O500)</f>
        <v/>
      </c>
      <c r="Q500" s="62" t="str">
        <f aca="false">IF(AND(N500="Sí",E500="Plazo fijo",ISNUMBER(F500)),COUNTIFS(C_RUTN,M500,C_TIPO,"Plazo fijo",C_DEF,"Sí",C_INI,"&lt;"&amp;F500)+COUNTIFS(M$7:M500,M500,E$7:E500,"Plazo fijo",N$7:N500,"Sí",F$7:F500,F500),"")</f>
        <v/>
      </c>
      <c r="R500" s="62" t="str">
        <f aca="false">IF(AND(B500&lt;&gt;"",ISNUMBER(H500),ISNUMBER(F500)),COUNTIFS(C_RUTN,M500,C_SUELDO,"&lt;&gt;",C_INI,"&lt;"&amp;F500)+COUNTIFS(M$7:M500,M500,H$7:H500,"&lt;&gt;",F$7:F500,F500),"")</f>
        <v/>
      </c>
      <c r="S500" s="62" t="str">
        <f aca="false">IF(R500="","",M500&amp;"-S"&amp;R500)</f>
        <v/>
      </c>
    </row>
    <row r="501" customFormat="false" ht="15" hidden="false" customHeight="false" outlineLevel="0" collapsed="false">
      <c r="B501" s="58"/>
      <c r="C501" s="62" t="str">
        <f aca="false">IF(B501="","",IFERROR(INDEX(T_NOMBRE,MATCH(M501,T_RUTN,0)),"⚠ RUT no está en Trabajadores"))</f>
        <v/>
      </c>
      <c r="D501" s="58"/>
      <c r="E501" s="58"/>
      <c r="F501" s="59"/>
      <c r="G501" s="59"/>
      <c r="H501" s="60"/>
      <c r="I501" s="58"/>
      <c r="J501" s="58"/>
      <c r="K501" s="58"/>
      <c r="L501" s="62" t="str">
        <f aca="false">IF(B501="","",IF(LEFT(C501,1)="⚠","⚠ Registre primero al trabajador en la hoja Trabajadores",IF(AND(N501="Sí",OR(E501="",NOT(ISNUMBER(F501)))),"⚠ Falta tipo de contrato o fecha de inicio",IF(NOT(ISNUMBER(F501)),"⚠ Falta fecha de inicio",IF(AND(N501="Sí",E501&lt;&gt;"Indefinido",NOT(ISNUMBER(G501))),"⚠ Falta fecha de término",IF(AND(D501="Paso a indefinido",E501&lt;&gt;"Indefinido"),"⚠ Un paso a indefinido debe tener tipo Indefinido",IF(N(Q501)&gt;=3,"⚠ 3er contrato a plazo fijo: por ley ya es INDEFINIDO (Art. 159 N°4)",IF(AND(E501="Plazo fijo",ISNUMBER(G501),(G501-F501+1)/30.4375&gt;12),"⚠ Plazo fijo mayor a 1 año (máximo legal)",IF(J501&lt;&gt;"Sí","Pendiente de firma","OK")))))))))</f>
        <v/>
      </c>
      <c r="M501" s="62" t="str">
        <f aca="false">IF(B501="","",IFERROR(VALUE(LEFT(UPPER(SUBSTITUTE(SUBSTITUTE(SUBSTITUTE(TRIM(B501),".",""),"-","")," ","")),LEN(UPPER(SUBSTITUTE(SUBSTITUTE(SUBSTITUTE(TRIM(B501),".",""),"-","")," ","")))-1))&amp;RIGHT(UPPER(SUBSTITUTE(SUBSTITUTE(SUBSTITUTE(TRIM(B501),".",""),"-","")," ","")),1),UPPER(SUBSTITUTE(SUBSTITUTE(SUBSTITUTE(TRIM(B501),".",""),"-","")," ",""))))</f>
        <v/>
      </c>
      <c r="N501" s="62" t="str">
        <f aca="false">IF(B501="","",IF(D501="Anexo de modificación","No","Sí"))</f>
        <v/>
      </c>
      <c r="O501" s="62" t="str">
        <f aca="false">IF(AND(N501="Sí",ISNUMBER(F501)),COUNTIFS(C_RUTN,M501,C_DEF,"Sí",C_INI,"&lt;"&amp;F501)+COUNTIFS(M$7:M501,M501,N$7:N501,"Sí",F$7:F501,F501),"")</f>
        <v/>
      </c>
      <c r="P501" s="62" t="str">
        <f aca="false">IF(O501="","",M501&amp;"-P"&amp;O501)</f>
        <v/>
      </c>
      <c r="Q501" s="62" t="str">
        <f aca="false">IF(AND(N501="Sí",E501="Plazo fijo",ISNUMBER(F501)),COUNTIFS(C_RUTN,M501,C_TIPO,"Plazo fijo",C_DEF,"Sí",C_INI,"&lt;"&amp;F501)+COUNTIFS(M$7:M501,M501,E$7:E501,"Plazo fijo",N$7:N501,"Sí",F$7:F501,F501),"")</f>
        <v/>
      </c>
      <c r="R501" s="62" t="str">
        <f aca="false">IF(AND(B501&lt;&gt;"",ISNUMBER(H501),ISNUMBER(F501)),COUNTIFS(C_RUTN,M501,C_SUELDO,"&lt;&gt;",C_INI,"&lt;"&amp;F501)+COUNTIFS(M$7:M501,M501,H$7:H501,"&lt;&gt;",F$7:F501,F501),"")</f>
        <v/>
      </c>
      <c r="S501" s="62" t="str">
        <f aca="false">IF(R501="","",M501&amp;"-S"&amp;R501)</f>
        <v/>
      </c>
    </row>
    <row r="502" customFormat="false" ht="15" hidden="false" customHeight="false" outlineLevel="0" collapsed="false">
      <c r="B502" s="58"/>
      <c r="C502" s="62" t="str">
        <f aca="false">IF(B502="","",IFERROR(INDEX(T_NOMBRE,MATCH(M502,T_RUTN,0)),"⚠ RUT no está en Trabajadores"))</f>
        <v/>
      </c>
      <c r="D502" s="58"/>
      <c r="E502" s="58"/>
      <c r="F502" s="59"/>
      <c r="G502" s="59"/>
      <c r="H502" s="60"/>
      <c r="I502" s="58"/>
      <c r="J502" s="58"/>
      <c r="K502" s="58"/>
      <c r="L502" s="62" t="str">
        <f aca="false">IF(B502="","",IF(LEFT(C502,1)="⚠","⚠ Registre primero al trabajador en la hoja Trabajadores",IF(AND(N502="Sí",OR(E502="",NOT(ISNUMBER(F502)))),"⚠ Falta tipo de contrato o fecha de inicio",IF(NOT(ISNUMBER(F502)),"⚠ Falta fecha de inicio",IF(AND(N502="Sí",E502&lt;&gt;"Indefinido",NOT(ISNUMBER(G502))),"⚠ Falta fecha de término",IF(AND(D502="Paso a indefinido",E502&lt;&gt;"Indefinido"),"⚠ Un paso a indefinido debe tener tipo Indefinido",IF(N(Q502)&gt;=3,"⚠ 3er contrato a plazo fijo: por ley ya es INDEFINIDO (Art. 159 N°4)",IF(AND(E502="Plazo fijo",ISNUMBER(G502),(G502-F502+1)/30.4375&gt;12),"⚠ Plazo fijo mayor a 1 año (máximo legal)",IF(J502&lt;&gt;"Sí","Pendiente de firma","OK")))))))))</f>
        <v/>
      </c>
      <c r="M502" s="62" t="str">
        <f aca="false">IF(B502="","",IFERROR(VALUE(LEFT(UPPER(SUBSTITUTE(SUBSTITUTE(SUBSTITUTE(TRIM(B502),".",""),"-","")," ","")),LEN(UPPER(SUBSTITUTE(SUBSTITUTE(SUBSTITUTE(TRIM(B502),".",""),"-","")," ","")))-1))&amp;RIGHT(UPPER(SUBSTITUTE(SUBSTITUTE(SUBSTITUTE(TRIM(B502),".",""),"-","")," ","")),1),UPPER(SUBSTITUTE(SUBSTITUTE(SUBSTITUTE(TRIM(B502),".",""),"-","")," ",""))))</f>
        <v/>
      </c>
      <c r="N502" s="62" t="str">
        <f aca="false">IF(B502="","",IF(D502="Anexo de modificación","No","Sí"))</f>
        <v/>
      </c>
      <c r="O502" s="62" t="str">
        <f aca="false">IF(AND(N502="Sí",ISNUMBER(F502)),COUNTIFS(C_RUTN,M502,C_DEF,"Sí",C_INI,"&lt;"&amp;F502)+COUNTIFS(M$7:M502,M502,N$7:N502,"Sí",F$7:F502,F502),"")</f>
        <v/>
      </c>
      <c r="P502" s="62" t="str">
        <f aca="false">IF(O502="","",M502&amp;"-P"&amp;O502)</f>
        <v/>
      </c>
      <c r="Q502" s="62" t="str">
        <f aca="false">IF(AND(N502="Sí",E502="Plazo fijo",ISNUMBER(F502)),COUNTIFS(C_RUTN,M502,C_TIPO,"Plazo fijo",C_DEF,"Sí",C_INI,"&lt;"&amp;F502)+COUNTIFS(M$7:M502,M502,E$7:E502,"Plazo fijo",N$7:N502,"Sí",F$7:F502,F502),"")</f>
        <v/>
      </c>
      <c r="R502" s="62" t="str">
        <f aca="false">IF(AND(B502&lt;&gt;"",ISNUMBER(H502),ISNUMBER(F502)),COUNTIFS(C_RUTN,M502,C_SUELDO,"&lt;&gt;",C_INI,"&lt;"&amp;F502)+COUNTIFS(M$7:M502,M502,H$7:H502,"&lt;&gt;",F$7:F502,F502),"")</f>
        <v/>
      </c>
      <c r="S502" s="62" t="str">
        <f aca="false">IF(R502="","",M502&amp;"-S"&amp;R502)</f>
        <v/>
      </c>
    </row>
    <row r="503" customFormat="false" ht="15" hidden="false" customHeight="false" outlineLevel="0" collapsed="false">
      <c r="B503" s="58"/>
      <c r="C503" s="62" t="str">
        <f aca="false">IF(B503="","",IFERROR(INDEX(T_NOMBRE,MATCH(M503,T_RUTN,0)),"⚠ RUT no está en Trabajadores"))</f>
        <v/>
      </c>
      <c r="D503" s="58"/>
      <c r="E503" s="58"/>
      <c r="F503" s="59"/>
      <c r="G503" s="59"/>
      <c r="H503" s="60"/>
      <c r="I503" s="58"/>
      <c r="J503" s="58"/>
      <c r="K503" s="58"/>
      <c r="L503" s="62" t="str">
        <f aca="false">IF(B503="","",IF(LEFT(C503,1)="⚠","⚠ Registre primero al trabajador en la hoja Trabajadores",IF(AND(N503="Sí",OR(E503="",NOT(ISNUMBER(F503)))),"⚠ Falta tipo de contrato o fecha de inicio",IF(NOT(ISNUMBER(F503)),"⚠ Falta fecha de inicio",IF(AND(N503="Sí",E503&lt;&gt;"Indefinido",NOT(ISNUMBER(G503))),"⚠ Falta fecha de término",IF(AND(D503="Paso a indefinido",E503&lt;&gt;"Indefinido"),"⚠ Un paso a indefinido debe tener tipo Indefinido",IF(N(Q503)&gt;=3,"⚠ 3er contrato a plazo fijo: por ley ya es INDEFINIDO (Art. 159 N°4)",IF(AND(E503="Plazo fijo",ISNUMBER(G503),(G503-F503+1)/30.4375&gt;12),"⚠ Plazo fijo mayor a 1 año (máximo legal)",IF(J503&lt;&gt;"Sí","Pendiente de firma","OK")))))))))</f>
        <v/>
      </c>
      <c r="M503" s="62" t="str">
        <f aca="false">IF(B503="","",IFERROR(VALUE(LEFT(UPPER(SUBSTITUTE(SUBSTITUTE(SUBSTITUTE(TRIM(B503),".",""),"-","")," ","")),LEN(UPPER(SUBSTITUTE(SUBSTITUTE(SUBSTITUTE(TRIM(B503),".",""),"-","")," ","")))-1))&amp;RIGHT(UPPER(SUBSTITUTE(SUBSTITUTE(SUBSTITUTE(TRIM(B503),".",""),"-","")," ","")),1),UPPER(SUBSTITUTE(SUBSTITUTE(SUBSTITUTE(TRIM(B503),".",""),"-","")," ",""))))</f>
        <v/>
      </c>
      <c r="N503" s="62" t="str">
        <f aca="false">IF(B503="","",IF(D503="Anexo de modificación","No","Sí"))</f>
        <v/>
      </c>
      <c r="O503" s="62" t="str">
        <f aca="false">IF(AND(N503="Sí",ISNUMBER(F503)),COUNTIFS(C_RUTN,M503,C_DEF,"Sí",C_INI,"&lt;"&amp;F503)+COUNTIFS(M$7:M503,M503,N$7:N503,"Sí",F$7:F503,F503),"")</f>
        <v/>
      </c>
      <c r="P503" s="62" t="str">
        <f aca="false">IF(O503="","",M503&amp;"-P"&amp;O503)</f>
        <v/>
      </c>
      <c r="Q503" s="62" t="str">
        <f aca="false">IF(AND(N503="Sí",E503="Plazo fijo",ISNUMBER(F503)),COUNTIFS(C_RUTN,M503,C_TIPO,"Plazo fijo",C_DEF,"Sí",C_INI,"&lt;"&amp;F503)+COUNTIFS(M$7:M503,M503,E$7:E503,"Plazo fijo",N$7:N503,"Sí",F$7:F503,F503),"")</f>
        <v/>
      </c>
      <c r="R503" s="62" t="str">
        <f aca="false">IF(AND(B503&lt;&gt;"",ISNUMBER(H503),ISNUMBER(F503)),COUNTIFS(C_RUTN,M503,C_SUELDO,"&lt;&gt;",C_INI,"&lt;"&amp;F503)+COUNTIFS(M$7:M503,M503,H$7:H503,"&lt;&gt;",F$7:F503,F503),"")</f>
        <v/>
      </c>
      <c r="S503" s="62" t="str">
        <f aca="false">IF(R503="","",M503&amp;"-S"&amp;R503)</f>
        <v/>
      </c>
    </row>
    <row r="504" customFormat="false" ht="15" hidden="false" customHeight="false" outlineLevel="0" collapsed="false">
      <c r="B504" s="58"/>
      <c r="C504" s="62" t="str">
        <f aca="false">IF(B504="","",IFERROR(INDEX(T_NOMBRE,MATCH(M504,T_RUTN,0)),"⚠ RUT no está en Trabajadores"))</f>
        <v/>
      </c>
      <c r="D504" s="58"/>
      <c r="E504" s="58"/>
      <c r="F504" s="59"/>
      <c r="G504" s="59"/>
      <c r="H504" s="60"/>
      <c r="I504" s="58"/>
      <c r="J504" s="58"/>
      <c r="K504" s="58"/>
      <c r="L504" s="62" t="str">
        <f aca="false">IF(B504="","",IF(LEFT(C504,1)="⚠","⚠ Registre primero al trabajador en la hoja Trabajadores",IF(AND(N504="Sí",OR(E504="",NOT(ISNUMBER(F504)))),"⚠ Falta tipo de contrato o fecha de inicio",IF(NOT(ISNUMBER(F504)),"⚠ Falta fecha de inicio",IF(AND(N504="Sí",E504&lt;&gt;"Indefinido",NOT(ISNUMBER(G504))),"⚠ Falta fecha de término",IF(AND(D504="Paso a indefinido",E504&lt;&gt;"Indefinido"),"⚠ Un paso a indefinido debe tener tipo Indefinido",IF(N(Q504)&gt;=3,"⚠ 3er contrato a plazo fijo: por ley ya es INDEFINIDO (Art. 159 N°4)",IF(AND(E504="Plazo fijo",ISNUMBER(G504),(G504-F504+1)/30.4375&gt;12),"⚠ Plazo fijo mayor a 1 año (máximo legal)",IF(J504&lt;&gt;"Sí","Pendiente de firma","OK")))))))))</f>
        <v/>
      </c>
      <c r="M504" s="62" t="str">
        <f aca="false">IF(B504="","",IFERROR(VALUE(LEFT(UPPER(SUBSTITUTE(SUBSTITUTE(SUBSTITUTE(TRIM(B504),".",""),"-","")," ","")),LEN(UPPER(SUBSTITUTE(SUBSTITUTE(SUBSTITUTE(TRIM(B504),".",""),"-","")," ","")))-1))&amp;RIGHT(UPPER(SUBSTITUTE(SUBSTITUTE(SUBSTITUTE(TRIM(B504),".",""),"-","")," ","")),1),UPPER(SUBSTITUTE(SUBSTITUTE(SUBSTITUTE(TRIM(B504),".",""),"-","")," ",""))))</f>
        <v/>
      </c>
      <c r="N504" s="62" t="str">
        <f aca="false">IF(B504="","",IF(D504="Anexo de modificación","No","Sí"))</f>
        <v/>
      </c>
      <c r="O504" s="62" t="str">
        <f aca="false">IF(AND(N504="Sí",ISNUMBER(F504)),COUNTIFS(C_RUTN,M504,C_DEF,"Sí",C_INI,"&lt;"&amp;F504)+COUNTIFS(M$7:M504,M504,N$7:N504,"Sí",F$7:F504,F504),"")</f>
        <v/>
      </c>
      <c r="P504" s="62" t="str">
        <f aca="false">IF(O504="","",M504&amp;"-P"&amp;O504)</f>
        <v/>
      </c>
      <c r="Q504" s="62" t="str">
        <f aca="false">IF(AND(N504="Sí",E504="Plazo fijo",ISNUMBER(F504)),COUNTIFS(C_RUTN,M504,C_TIPO,"Plazo fijo",C_DEF,"Sí",C_INI,"&lt;"&amp;F504)+COUNTIFS(M$7:M504,M504,E$7:E504,"Plazo fijo",N$7:N504,"Sí",F$7:F504,F504),"")</f>
        <v/>
      </c>
      <c r="R504" s="62" t="str">
        <f aca="false">IF(AND(B504&lt;&gt;"",ISNUMBER(H504),ISNUMBER(F504)),COUNTIFS(C_RUTN,M504,C_SUELDO,"&lt;&gt;",C_INI,"&lt;"&amp;F504)+COUNTIFS(M$7:M504,M504,H$7:H504,"&lt;&gt;",F$7:F504,F504),"")</f>
        <v/>
      </c>
      <c r="S504" s="62" t="str">
        <f aca="false">IF(R504="","",M504&amp;"-S"&amp;R504)</f>
        <v/>
      </c>
    </row>
    <row r="505" customFormat="false" ht="15" hidden="false" customHeight="false" outlineLevel="0" collapsed="false">
      <c r="B505" s="58"/>
      <c r="C505" s="62" t="str">
        <f aca="false">IF(B505="","",IFERROR(INDEX(T_NOMBRE,MATCH(M505,T_RUTN,0)),"⚠ RUT no está en Trabajadores"))</f>
        <v/>
      </c>
      <c r="D505" s="58"/>
      <c r="E505" s="58"/>
      <c r="F505" s="59"/>
      <c r="G505" s="59"/>
      <c r="H505" s="60"/>
      <c r="I505" s="58"/>
      <c r="J505" s="58"/>
      <c r="K505" s="58"/>
      <c r="L505" s="62" t="str">
        <f aca="false">IF(B505="","",IF(LEFT(C505,1)="⚠","⚠ Registre primero al trabajador en la hoja Trabajadores",IF(AND(N505="Sí",OR(E505="",NOT(ISNUMBER(F505)))),"⚠ Falta tipo de contrato o fecha de inicio",IF(NOT(ISNUMBER(F505)),"⚠ Falta fecha de inicio",IF(AND(N505="Sí",E505&lt;&gt;"Indefinido",NOT(ISNUMBER(G505))),"⚠ Falta fecha de término",IF(AND(D505="Paso a indefinido",E505&lt;&gt;"Indefinido"),"⚠ Un paso a indefinido debe tener tipo Indefinido",IF(N(Q505)&gt;=3,"⚠ 3er contrato a plazo fijo: por ley ya es INDEFINIDO (Art. 159 N°4)",IF(AND(E505="Plazo fijo",ISNUMBER(G505),(G505-F505+1)/30.4375&gt;12),"⚠ Plazo fijo mayor a 1 año (máximo legal)",IF(J505&lt;&gt;"Sí","Pendiente de firma","OK")))))))))</f>
        <v/>
      </c>
      <c r="M505" s="62" t="str">
        <f aca="false">IF(B505="","",IFERROR(VALUE(LEFT(UPPER(SUBSTITUTE(SUBSTITUTE(SUBSTITUTE(TRIM(B505),".",""),"-","")," ","")),LEN(UPPER(SUBSTITUTE(SUBSTITUTE(SUBSTITUTE(TRIM(B505),".",""),"-","")," ","")))-1))&amp;RIGHT(UPPER(SUBSTITUTE(SUBSTITUTE(SUBSTITUTE(TRIM(B505),".",""),"-","")," ","")),1),UPPER(SUBSTITUTE(SUBSTITUTE(SUBSTITUTE(TRIM(B505),".",""),"-","")," ",""))))</f>
        <v/>
      </c>
      <c r="N505" s="62" t="str">
        <f aca="false">IF(B505="","",IF(D505="Anexo de modificación","No","Sí"))</f>
        <v/>
      </c>
      <c r="O505" s="62" t="str">
        <f aca="false">IF(AND(N505="Sí",ISNUMBER(F505)),COUNTIFS(C_RUTN,M505,C_DEF,"Sí",C_INI,"&lt;"&amp;F505)+COUNTIFS(M$7:M505,M505,N$7:N505,"Sí",F$7:F505,F505),"")</f>
        <v/>
      </c>
      <c r="P505" s="62" t="str">
        <f aca="false">IF(O505="","",M505&amp;"-P"&amp;O505)</f>
        <v/>
      </c>
      <c r="Q505" s="62" t="str">
        <f aca="false">IF(AND(N505="Sí",E505="Plazo fijo",ISNUMBER(F505)),COUNTIFS(C_RUTN,M505,C_TIPO,"Plazo fijo",C_DEF,"Sí",C_INI,"&lt;"&amp;F505)+COUNTIFS(M$7:M505,M505,E$7:E505,"Plazo fijo",N$7:N505,"Sí",F$7:F505,F505),"")</f>
        <v/>
      </c>
      <c r="R505" s="62" t="str">
        <f aca="false">IF(AND(B505&lt;&gt;"",ISNUMBER(H505),ISNUMBER(F505)),COUNTIFS(C_RUTN,M505,C_SUELDO,"&lt;&gt;",C_INI,"&lt;"&amp;F505)+COUNTIFS(M$7:M505,M505,H$7:H505,"&lt;&gt;",F$7:F505,F505),"")</f>
        <v/>
      </c>
      <c r="S505" s="62" t="str">
        <f aca="false">IF(R505="","",M505&amp;"-S"&amp;R505)</f>
        <v/>
      </c>
    </row>
    <row r="506" customFormat="false" ht="15" hidden="false" customHeight="false" outlineLevel="0" collapsed="false">
      <c r="B506" s="58"/>
      <c r="C506" s="62" t="str">
        <f aca="false">IF(B506="","",IFERROR(INDEX(T_NOMBRE,MATCH(M506,T_RUTN,0)),"⚠ RUT no está en Trabajadores"))</f>
        <v/>
      </c>
      <c r="D506" s="58"/>
      <c r="E506" s="58"/>
      <c r="F506" s="59"/>
      <c r="G506" s="59"/>
      <c r="H506" s="60"/>
      <c r="I506" s="58"/>
      <c r="J506" s="58"/>
      <c r="K506" s="58"/>
      <c r="L506" s="62" t="str">
        <f aca="false">IF(B506="","",IF(LEFT(C506,1)="⚠","⚠ Registre primero al trabajador en la hoja Trabajadores",IF(AND(N506="Sí",OR(E506="",NOT(ISNUMBER(F506)))),"⚠ Falta tipo de contrato o fecha de inicio",IF(NOT(ISNUMBER(F506)),"⚠ Falta fecha de inicio",IF(AND(N506="Sí",E506&lt;&gt;"Indefinido",NOT(ISNUMBER(G506))),"⚠ Falta fecha de término",IF(AND(D506="Paso a indefinido",E506&lt;&gt;"Indefinido"),"⚠ Un paso a indefinido debe tener tipo Indefinido",IF(N(Q506)&gt;=3,"⚠ 3er contrato a plazo fijo: por ley ya es INDEFINIDO (Art. 159 N°4)",IF(AND(E506="Plazo fijo",ISNUMBER(G506),(G506-F506+1)/30.4375&gt;12),"⚠ Plazo fijo mayor a 1 año (máximo legal)",IF(J506&lt;&gt;"Sí","Pendiente de firma","OK")))))))))</f>
        <v/>
      </c>
      <c r="M506" s="62" t="str">
        <f aca="false">IF(B506="","",IFERROR(VALUE(LEFT(UPPER(SUBSTITUTE(SUBSTITUTE(SUBSTITUTE(TRIM(B506),".",""),"-","")," ","")),LEN(UPPER(SUBSTITUTE(SUBSTITUTE(SUBSTITUTE(TRIM(B506),".",""),"-","")," ","")))-1))&amp;RIGHT(UPPER(SUBSTITUTE(SUBSTITUTE(SUBSTITUTE(TRIM(B506),".",""),"-","")," ","")),1),UPPER(SUBSTITUTE(SUBSTITUTE(SUBSTITUTE(TRIM(B506),".",""),"-","")," ",""))))</f>
        <v/>
      </c>
      <c r="N506" s="62" t="str">
        <f aca="false">IF(B506="","",IF(D506="Anexo de modificación","No","Sí"))</f>
        <v/>
      </c>
      <c r="O506" s="62" t="str">
        <f aca="false">IF(AND(N506="Sí",ISNUMBER(F506)),COUNTIFS(C_RUTN,M506,C_DEF,"Sí",C_INI,"&lt;"&amp;F506)+COUNTIFS(M$7:M506,M506,N$7:N506,"Sí",F$7:F506,F506),"")</f>
        <v/>
      </c>
      <c r="P506" s="62" t="str">
        <f aca="false">IF(O506="","",M506&amp;"-P"&amp;O506)</f>
        <v/>
      </c>
      <c r="Q506" s="62" t="str">
        <f aca="false">IF(AND(N506="Sí",E506="Plazo fijo",ISNUMBER(F506)),COUNTIFS(C_RUTN,M506,C_TIPO,"Plazo fijo",C_DEF,"Sí",C_INI,"&lt;"&amp;F506)+COUNTIFS(M$7:M506,M506,E$7:E506,"Plazo fijo",N$7:N506,"Sí",F$7:F506,F506),"")</f>
        <v/>
      </c>
      <c r="R506" s="62" t="str">
        <f aca="false">IF(AND(B506&lt;&gt;"",ISNUMBER(H506),ISNUMBER(F506)),COUNTIFS(C_RUTN,M506,C_SUELDO,"&lt;&gt;",C_INI,"&lt;"&amp;F506)+COUNTIFS(M$7:M506,M506,H$7:H506,"&lt;&gt;",F$7:F506,F506),"")</f>
        <v/>
      </c>
      <c r="S506" s="62" t="str">
        <f aca="false">IF(R506="","",M506&amp;"-S"&amp;R506)</f>
        <v/>
      </c>
    </row>
  </sheetData>
  <autoFilter ref="B6:L506"/>
  <conditionalFormatting sqref="L7:L506">
    <cfRule type="expression" priority="2" aboveAverage="0" equalAverage="0" bottom="0" percent="0" rank="0" text="" dxfId="25">
      <formula>LEFT($L7,1)="⚠"</formula>
    </cfRule>
    <cfRule type="expression" priority="3" aboveAverage="0" equalAverage="0" bottom="0" percent="0" rank="0" text="" dxfId="22">
      <formula>$L7="Pendiente de firma"</formula>
    </cfRule>
    <cfRule type="expression" priority="4" aboveAverage="0" equalAverage="0" bottom="0" percent="0" rank="0" text="" dxfId="24">
      <formula>$L7="OK"</formula>
    </cfRule>
  </conditionalFormatting>
  <dataValidations count="4">
    <dataValidation allowBlank="true" error="Ingrese una fecha (dd-mm-aaaa)." errorStyle="stop" errorTitle="Fecha no válida" operator="between" showDropDown="false" showErrorMessage="true" showInputMessage="false" sqref="F7:G506" type="date">
      <formula1>32874</formula1>
      <formula2>73051</formula2>
    </dataValidation>
    <dataValidation allowBlank="true" error="Seleccione un valor de la lista desplegable." errorStyle="stop" errorTitle="Valor no válido" operator="between" showDropDown="false" showErrorMessage="true" showInputMessage="false" sqref="D7:D506" type="list">
      <formula1>LS_TIPODOC</formula1>
      <formula2>0</formula2>
    </dataValidation>
    <dataValidation allowBlank="true" error="Seleccione un valor de la lista desplegable." errorStyle="stop" errorTitle="Valor no válido" operator="between" showDropDown="false" showErrorMessage="true" showInputMessage="false" sqref="E7:E506" type="list">
      <formula1>LS_TIPOCONT</formula1>
      <formula2>0</formula2>
    </dataValidation>
    <dataValidation allowBlank="true" error="Seleccione un valor de la lista desplegable." errorStyle="stop" errorTitle="Valor no válido" operator="between" showDropDown="false" showErrorMessage="true" showInputMessage="false" sqref="J7:J506" type="list">
      <formula1>LS_SINO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9A9A"/>
    <pageSetUpPr fitToPage="false"/>
  </sheetPr>
  <dimension ref="B2:L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3" min="3" style="0" width="15"/>
    <col collapsed="false" customWidth="true" hidden="false" outlineLevel="0" max="4" min="4" style="0" width="60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3"/>
    <col collapsed="false" customWidth="true" hidden="false" outlineLevel="0" max="12" min="12" style="0" width="12"/>
  </cols>
  <sheetData>
    <row r="2" customFormat="false" ht="24" hidden="false" customHeight="true" outlineLevel="0" collapsed="false">
      <c r="B2" s="1" t="s">
        <v>205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5.75" hidden="false" customHeight="true" outlineLevel="0" collapsed="false">
      <c r="B3" s="3" t="s">
        <v>206</v>
      </c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B4" s="52" t="s">
        <v>161</v>
      </c>
    </row>
    <row r="5" customFormat="false" ht="15" hidden="false" customHeight="false" outlineLevel="0" collapsed="false">
      <c r="B5" s="29" t="s">
        <v>207</v>
      </c>
      <c r="F5" s="29" t="s">
        <v>208</v>
      </c>
    </row>
    <row r="6" customFormat="false" ht="15" hidden="false" customHeight="false" outlineLevel="0" collapsed="false">
      <c r="B6" s="82" t="s">
        <v>209</v>
      </c>
      <c r="C6" s="83"/>
      <c r="D6" s="52" t="s">
        <v>210</v>
      </c>
      <c r="F6" s="53" t="s">
        <v>163</v>
      </c>
      <c r="G6" s="53" t="s">
        <v>164</v>
      </c>
      <c r="H6" s="53" t="s">
        <v>211</v>
      </c>
      <c r="I6" s="53" t="s">
        <v>212</v>
      </c>
      <c r="J6" s="53" t="s">
        <v>66</v>
      </c>
      <c r="L6" s="53" t="s">
        <v>213</v>
      </c>
    </row>
    <row r="7" customFormat="false" ht="15" hidden="false" customHeight="false" outlineLevel="0" collapsed="false">
      <c r="B7" s="82" t="s">
        <v>214</v>
      </c>
      <c r="C7" s="5" t="n">
        <f aca="true">IF(ISNUMBER(C6),C6,TODAY())</f>
        <v>46322</v>
      </c>
      <c r="F7" s="58" t="s">
        <v>177</v>
      </c>
      <c r="G7" s="58" t="s">
        <v>178</v>
      </c>
      <c r="H7" s="58" t="s">
        <v>215</v>
      </c>
      <c r="I7" s="58" t="s">
        <v>104</v>
      </c>
      <c r="J7" s="58" t="s">
        <v>103</v>
      </c>
      <c r="L7" s="84" t="n">
        <v>45292</v>
      </c>
    </row>
    <row r="8" customFormat="false" ht="15" hidden="false" customHeight="false" outlineLevel="0" collapsed="false">
      <c r="B8" s="82" t="s">
        <v>216</v>
      </c>
      <c r="C8" s="85" t="n">
        <v>41247.63</v>
      </c>
      <c r="D8" s="52" t="s">
        <v>217</v>
      </c>
      <c r="F8" s="58" t="s">
        <v>181</v>
      </c>
      <c r="G8" s="58" t="s">
        <v>185</v>
      </c>
      <c r="H8" s="58" t="s">
        <v>218</v>
      </c>
      <c r="I8" s="58" t="s">
        <v>203</v>
      </c>
      <c r="J8" s="58" t="s">
        <v>113</v>
      </c>
      <c r="L8" s="84" t="n">
        <v>45323</v>
      </c>
    </row>
    <row r="9" customFormat="false" ht="15" hidden="false" customHeight="false" outlineLevel="0" collapsed="false">
      <c r="B9" s="82" t="s">
        <v>219</v>
      </c>
      <c r="C9" s="86" t="n">
        <v>553553</v>
      </c>
      <c r="D9" s="52" t="s">
        <v>220</v>
      </c>
      <c r="F9" s="58" t="s">
        <v>184</v>
      </c>
      <c r="G9" s="58" t="s">
        <v>201</v>
      </c>
      <c r="H9" s="58" t="s">
        <v>126</v>
      </c>
      <c r="J9" s="58" t="s">
        <v>221</v>
      </c>
      <c r="L9" s="84" t="n">
        <v>45352</v>
      </c>
    </row>
    <row r="10" customFormat="false" ht="15" hidden="false" customHeight="false" outlineLevel="0" collapsed="false">
      <c r="F10" s="58" t="s">
        <v>188</v>
      </c>
      <c r="H10" s="58" t="s">
        <v>222</v>
      </c>
      <c r="J10" s="58" t="s">
        <v>109</v>
      </c>
      <c r="L10" s="84" t="n">
        <v>45383</v>
      </c>
    </row>
    <row r="11" customFormat="false" ht="15" hidden="false" customHeight="false" outlineLevel="0" collapsed="false">
      <c r="B11" s="29" t="s">
        <v>223</v>
      </c>
      <c r="H11" s="58" t="s">
        <v>224</v>
      </c>
      <c r="J11" s="58" t="s">
        <v>117</v>
      </c>
      <c r="L11" s="84" t="n">
        <v>45413</v>
      </c>
    </row>
    <row r="12" customFormat="false" ht="15" hidden="false" customHeight="false" outlineLevel="0" collapsed="false">
      <c r="B12" s="82" t="s">
        <v>225</v>
      </c>
      <c r="C12" s="87" t="n">
        <v>0.035</v>
      </c>
      <c r="D12" s="52" t="s">
        <v>226</v>
      </c>
      <c r="H12" s="58" t="s">
        <v>227</v>
      </c>
      <c r="J12" s="58" t="s">
        <v>121</v>
      </c>
      <c r="L12" s="84" t="n">
        <v>45444</v>
      </c>
    </row>
    <row r="13" customFormat="false" ht="15" hidden="false" customHeight="false" outlineLevel="0" collapsed="false">
      <c r="B13" s="82" t="s">
        <v>228</v>
      </c>
      <c r="C13" s="87" t="n">
        <v>0.024</v>
      </c>
      <c r="J13" s="58" t="s">
        <v>229</v>
      </c>
      <c r="L13" s="84" t="n">
        <v>45474</v>
      </c>
    </row>
    <row r="14" customFormat="false" ht="15" hidden="false" customHeight="false" outlineLevel="0" collapsed="false">
      <c r="B14" s="82" t="s">
        <v>230</v>
      </c>
      <c r="C14" s="87" t="n">
        <v>0.03</v>
      </c>
      <c r="J14" s="58" t="s">
        <v>125</v>
      </c>
      <c r="L14" s="84" t="n">
        <v>45505</v>
      </c>
    </row>
    <row r="15" customFormat="false" ht="15" hidden="false" customHeight="false" outlineLevel="0" collapsed="false">
      <c r="B15" s="82" t="s">
        <v>231</v>
      </c>
      <c r="C15" s="87" t="n">
        <v>0.0093</v>
      </c>
      <c r="D15" s="52" t="s">
        <v>232</v>
      </c>
      <c r="J15" s="58" t="s">
        <v>233</v>
      </c>
      <c r="L15" s="84" t="n">
        <v>45536</v>
      </c>
    </row>
    <row r="16" customFormat="false" ht="15" hidden="false" customHeight="false" outlineLevel="0" collapsed="false">
      <c r="B16" s="82" t="s">
        <v>234</v>
      </c>
      <c r="C16" s="88" t="n">
        <v>90</v>
      </c>
      <c r="D16" s="52" t="s">
        <v>235</v>
      </c>
      <c r="J16" s="58" t="s">
        <v>236</v>
      </c>
      <c r="L16" s="84" t="n">
        <v>45566</v>
      </c>
    </row>
    <row r="17" customFormat="false" ht="15" hidden="false" customHeight="false" outlineLevel="0" collapsed="false">
      <c r="B17" s="82" t="s">
        <v>237</v>
      </c>
      <c r="C17" s="88" t="n">
        <v>135.2</v>
      </c>
      <c r="J17" s="58"/>
      <c r="L17" s="84" t="n">
        <v>45597</v>
      </c>
    </row>
    <row r="18" customFormat="false" ht="15" hidden="false" customHeight="false" outlineLevel="0" collapsed="false">
      <c r="J18" s="58"/>
      <c r="L18" s="84" t="n">
        <v>45627</v>
      </c>
    </row>
    <row r="19" customFormat="false" ht="15" hidden="false" customHeight="false" outlineLevel="0" collapsed="false">
      <c r="B19" s="29" t="s">
        <v>238</v>
      </c>
      <c r="J19" s="58"/>
      <c r="L19" s="84" t="n">
        <v>45658</v>
      </c>
    </row>
    <row r="20" customFormat="false" ht="15" hidden="false" customHeight="false" outlineLevel="0" collapsed="false">
      <c r="B20" s="82" t="s">
        <v>239</v>
      </c>
      <c r="C20" s="87" t="n">
        <v>0.25</v>
      </c>
      <c r="J20" s="58"/>
      <c r="L20" s="84" t="n">
        <v>45689</v>
      </c>
    </row>
    <row r="21" customFormat="false" ht="15" hidden="false" customHeight="false" outlineLevel="0" collapsed="false">
      <c r="B21" s="82" t="s">
        <v>240</v>
      </c>
      <c r="C21" s="69" t="n">
        <f aca="false">ROUND(4.75*IMM_MES/12,0)</f>
        <v>219115</v>
      </c>
      <c r="J21" s="58"/>
      <c r="L21" s="84" t="n">
        <v>45717</v>
      </c>
    </row>
    <row r="22" customFormat="false" ht="15" hidden="false" customHeight="false" outlineLevel="0" collapsed="false">
      <c r="B22" s="82" t="s">
        <v>241</v>
      </c>
      <c r="C22" s="89" t="n">
        <v>90</v>
      </c>
      <c r="D22" s="52" t="s">
        <v>242</v>
      </c>
      <c r="J22" s="58"/>
      <c r="L22" s="84" t="n">
        <v>45748</v>
      </c>
    </row>
    <row r="23" customFormat="false" ht="15" hidden="false" customHeight="false" outlineLevel="0" collapsed="false">
      <c r="B23" s="82" t="s">
        <v>243</v>
      </c>
      <c r="C23" s="89" t="n">
        <v>11</v>
      </c>
      <c r="D23" s="52" t="s">
        <v>244</v>
      </c>
      <c r="L23" s="84" t="n">
        <v>45778</v>
      </c>
    </row>
    <row r="24" customFormat="false" ht="15" hidden="false" customHeight="false" outlineLevel="0" collapsed="false">
      <c r="B24" s="82" t="s">
        <v>245</v>
      </c>
      <c r="C24" s="88" t="n">
        <v>2.5</v>
      </c>
      <c r="D24" s="52" t="s">
        <v>246</v>
      </c>
      <c r="F24" s="29" t="s">
        <v>247</v>
      </c>
      <c r="L24" s="84" t="n">
        <v>45809</v>
      </c>
    </row>
    <row r="25" customFormat="false" ht="15" hidden="false" customHeight="false" outlineLevel="0" collapsed="false">
      <c r="F25" s="53" t="s">
        <v>248</v>
      </c>
      <c r="G25" s="53" t="s">
        <v>249</v>
      </c>
      <c r="L25" s="84" t="n">
        <v>45839</v>
      </c>
    </row>
    <row r="26" customFormat="false" ht="15" hidden="false" customHeight="false" outlineLevel="0" collapsed="false">
      <c r="B26" s="29" t="s">
        <v>250</v>
      </c>
      <c r="F26" s="59" t="n">
        <v>45658</v>
      </c>
      <c r="G26" s="58" t="s">
        <v>251</v>
      </c>
      <c r="L26" s="84" t="n">
        <v>45870</v>
      </c>
    </row>
    <row r="27" customFormat="false" ht="15" hidden="false" customHeight="false" outlineLevel="0" collapsed="false">
      <c r="B27" s="82" t="s">
        <v>252</v>
      </c>
      <c r="C27" s="89" t="n">
        <v>15</v>
      </c>
      <c r="F27" s="59" t="n">
        <v>45765</v>
      </c>
      <c r="G27" s="58" t="s">
        <v>253</v>
      </c>
      <c r="L27" s="84" t="n">
        <v>45901</v>
      </c>
    </row>
    <row r="28" customFormat="false" ht="15" hidden="false" customHeight="false" outlineLevel="0" collapsed="false">
      <c r="B28" s="82" t="s">
        <v>254</v>
      </c>
      <c r="C28" s="89" t="n">
        <v>30</v>
      </c>
      <c r="F28" s="59" t="n">
        <v>45766</v>
      </c>
      <c r="G28" s="58" t="s">
        <v>255</v>
      </c>
      <c r="L28" s="84" t="n">
        <v>45931</v>
      </c>
    </row>
    <row r="29" customFormat="false" ht="15" hidden="false" customHeight="false" outlineLevel="0" collapsed="false">
      <c r="B29" s="82" t="s">
        <v>256</v>
      </c>
      <c r="C29" s="89" t="n">
        <v>60</v>
      </c>
      <c r="F29" s="59" t="n">
        <v>45778</v>
      </c>
      <c r="G29" s="58" t="s">
        <v>257</v>
      </c>
      <c r="L29" s="84" t="n">
        <v>45962</v>
      </c>
    </row>
    <row r="30" customFormat="false" ht="15" hidden="false" customHeight="false" outlineLevel="0" collapsed="false">
      <c r="F30" s="59" t="n">
        <v>45798</v>
      </c>
      <c r="G30" s="58" t="s">
        <v>258</v>
      </c>
      <c r="L30" s="84" t="n">
        <v>45992</v>
      </c>
    </row>
    <row r="31" customFormat="false" ht="15" hidden="false" customHeight="false" outlineLevel="0" collapsed="false">
      <c r="F31" s="59" t="n">
        <v>45828</v>
      </c>
      <c r="G31" s="58" t="s">
        <v>259</v>
      </c>
      <c r="L31" s="84" t="n">
        <v>46023</v>
      </c>
    </row>
    <row r="32" customFormat="false" ht="15" hidden="false" customHeight="false" outlineLevel="0" collapsed="false">
      <c r="F32" s="59" t="n">
        <v>45837</v>
      </c>
      <c r="G32" s="58" t="s">
        <v>260</v>
      </c>
      <c r="L32" s="84" t="n">
        <v>46054</v>
      </c>
    </row>
    <row r="33" customFormat="false" ht="15" hidden="false" customHeight="false" outlineLevel="0" collapsed="false">
      <c r="F33" s="59" t="n">
        <v>45854</v>
      </c>
      <c r="G33" s="58" t="s">
        <v>261</v>
      </c>
      <c r="L33" s="84" t="n">
        <v>46082</v>
      </c>
    </row>
    <row r="34" customFormat="false" ht="15" hidden="false" customHeight="false" outlineLevel="0" collapsed="false">
      <c r="F34" s="59" t="n">
        <v>45884</v>
      </c>
      <c r="G34" s="58" t="s">
        <v>262</v>
      </c>
      <c r="L34" s="84" t="n">
        <v>46113</v>
      </c>
    </row>
    <row r="35" customFormat="false" ht="15" hidden="false" customHeight="false" outlineLevel="0" collapsed="false">
      <c r="F35" s="59" t="n">
        <v>45918</v>
      </c>
      <c r="G35" s="58" t="s">
        <v>263</v>
      </c>
      <c r="L35" s="84" t="n">
        <v>46143</v>
      </c>
    </row>
    <row r="36" customFormat="false" ht="15" hidden="false" customHeight="false" outlineLevel="0" collapsed="false">
      <c r="F36" s="59" t="n">
        <v>45919</v>
      </c>
      <c r="G36" s="58" t="s">
        <v>264</v>
      </c>
      <c r="L36" s="84" t="n">
        <v>46174</v>
      </c>
    </row>
    <row r="37" customFormat="false" ht="15" hidden="false" customHeight="false" outlineLevel="0" collapsed="false">
      <c r="F37" s="59" t="n">
        <v>45942</v>
      </c>
      <c r="G37" s="58" t="s">
        <v>265</v>
      </c>
      <c r="L37" s="84" t="n">
        <v>46204</v>
      </c>
    </row>
    <row r="38" customFormat="false" ht="15" hidden="false" customHeight="false" outlineLevel="0" collapsed="false">
      <c r="F38" s="59" t="n">
        <v>45961</v>
      </c>
      <c r="G38" s="58" t="s">
        <v>266</v>
      </c>
      <c r="L38" s="84" t="n">
        <v>46235</v>
      </c>
    </row>
    <row r="39" customFormat="false" ht="15" hidden="false" customHeight="false" outlineLevel="0" collapsed="false">
      <c r="F39" s="59" t="n">
        <v>45962</v>
      </c>
      <c r="G39" s="58" t="s">
        <v>267</v>
      </c>
      <c r="L39" s="84" t="n">
        <v>46266</v>
      </c>
    </row>
    <row r="40" customFormat="false" ht="15" hidden="false" customHeight="false" outlineLevel="0" collapsed="false">
      <c r="F40" s="59" t="n">
        <v>45977</v>
      </c>
      <c r="G40" s="58" t="s">
        <v>268</v>
      </c>
      <c r="L40" s="84" t="n">
        <v>46296</v>
      </c>
    </row>
    <row r="41" customFormat="false" ht="15" hidden="false" customHeight="false" outlineLevel="0" collapsed="false">
      <c r="F41" s="59" t="n">
        <v>45999</v>
      </c>
      <c r="G41" s="58" t="s">
        <v>269</v>
      </c>
      <c r="L41" s="84" t="n">
        <v>46327</v>
      </c>
    </row>
    <row r="42" customFormat="false" ht="15" hidden="false" customHeight="false" outlineLevel="0" collapsed="false">
      <c r="F42" s="59" t="n">
        <v>46005</v>
      </c>
      <c r="G42" s="58" t="s">
        <v>270</v>
      </c>
      <c r="L42" s="84" t="n">
        <v>46357</v>
      </c>
    </row>
    <row r="43" customFormat="false" ht="15" hidden="false" customHeight="false" outlineLevel="0" collapsed="false">
      <c r="F43" s="59" t="n">
        <v>46016</v>
      </c>
      <c r="G43" s="58" t="s">
        <v>271</v>
      </c>
      <c r="L43" s="84" t="n">
        <v>46388</v>
      </c>
    </row>
    <row r="44" customFormat="false" ht="15" hidden="false" customHeight="false" outlineLevel="0" collapsed="false">
      <c r="F44" s="59" t="n">
        <v>46023</v>
      </c>
      <c r="G44" s="58" t="s">
        <v>251</v>
      </c>
      <c r="L44" s="84" t="n">
        <v>46419</v>
      </c>
    </row>
    <row r="45" customFormat="false" ht="15" hidden="false" customHeight="false" outlineLevel="0" collapsed="false">
      <c r="F45" s="59" t="n">
        <v>46115</v>
      </c>
      <c r="G45" s="58" t="s">
        <v>253</v>
      </c>
      <c r="L45" s="84" t="n">
        <v>46447</v>
      </c>
    </row>
    <row r="46" customFormat="false" ht="15" hidden="false" customHeight="false" outlineLevel="0" collapsed="false">
      <c r="F46" s="59" t="n">
        <v>46116</v>
      </c>
      <c r="G46" s="58" t="s">
        <v>255</v>
      </c>
      <c r="L46" s="84" t="n">
        <v>46478</v>
      </c>
    </row>
    <row r="47" customFormat="false" ht="15" hidden="false" customHeight="false" outlineLevel="0" collapsed="false">
      <c r="F47" s="59" t="n">
        <v>46143</v>
      </c>
      <c r="G47" s="58" t="s">
        <v>257</v>
      </c>
      <c r="L47" s="84" t="n">
        <v>46508</v>
      </c>
    </row>
    <row r="48" customFormat="false" ht="15" hidden="false" customHeight="false" outlineLevel="0" collapsed="false">
      <c r="F48" s="59" t="n">
        <v>46163</v>
      </c>
      <c r="G48" s="58" t="s">
        <v>258</v>
      </c>
      <c r="L48" s="84" t="n">
        <v>46539</v>
      </c>
    </row>
    <row r="49" customFormat="false" ht="15" hidden="false" customHeight="false" outlineLevel="0" collapsed="false">
      <c r="F49" s="59" t="n">
        <v>46194</v>
      </c>
      <c r="G49" s="58" t="s">
        <v>259</v>
      </c>
      <c r="L49" s="84" t="n">
        <v>46569</v>
      </c>
    </row>
    <row r="50" customFormat="false" ht="15" hidden="false" customHeight="false" outlineLevel="0" collapsed="false">
      <c r="F50" s="59" t="n">
        <v>46202</v>
      </c>
      <c r="G50" s="58" t="s">
        <v>260</v>
      </c>
      <c r="L50" s="84" t="n">
        <v>46600</v>
      </c>
    </row>
    <row r="51" customFormat="false" ht="15" hidden="false" customHeight="false" outlineLevel="0" collapsed="false">
      <c r="F51" s="59" t="n">
        <v>46219</v>
      </c>
      <c r="G51" s="58" t="s">
        <v>261</v>
      </c>
      <c r="L51" s="84" t="n">
        <v>46631</v>
      </c>
    </row>
    <row r="52" customFormat="false" ht="15" hidden="false" customHeight="false" outlineLevel="0" collapsed="false">
      <c r="F52" s="59" t="n">
        <v>46249</v>
      </c>
      <c r="G52" s="58" t="s">
        <v>262</v>
      </c>
      <c r="L52" s="84" t="n">
        <v>46661</v>
      </c>
    </row>
    <row r="53" customFormat="false" ht="15" hidden="false" customHeight="false" outlineLevel="0" collapsed="false">
      <c r="F53" s="59" t="n">
        <v>46283</v>
      </c>
      <c r="G53" s="58" t="s">
        <v>263</v>
      </c>
      <c r="L53" s="84" t="n">
        <v>46692</v>
      </c>
    </row>
    <row r="54" customFormat="false" ht="15" hidden="false" customHeight="false" outlineLevel="0" collapsed="false">
      <c r="F54" s="59" t="n">
        <v>46284</v>
      </c>
      <c r="G54" s="58" t="s">
        <v>264</v>
      </c>
      <c r="L54" s="84" t="n">
        <v>46722</v>
      </c>
    </row>
    <row r="55" customFormat="false" ht="15" hidden="false" customHeight="false" outlineLevel="0" collapsed="false">
      <c r="F55" s="59" t="n">
        <v>46307</v>
      </c>
      <c r="G55" s="58" t="s">
        <v>265</v>
      </c>
      <c r="L55" s="84" t="n">
        <v>46753</v>
      </c>
    </row>
    <row r="56" customFormat="false" ht="15" hidden="false" customHeight="false" outlineLevel="0" collapsed="false">
      <c r="F56" s="59" t="n">
        <v>46326</v>
      </c>
      <c r="G56" s="58" t="s">
        <v>266</v>
      </c>
      <c r="L56" s="84" t="n">
        <v>46784</v>
      </c>
    </row>
    <row r="57" customFormat="false" ht="15" hidden="false" customHeight="false" outlineLevel="0" collapsed="false">
      <c r="F57" s="59" t="n">
        <v>46327</v>
      </c>
      <c r="G57" s="58" t="s">
        <v>267</v>
      </c>
      <c r="L57" s="84" t="n">
        <v>46813</v>
      </c>
    </row>
    <row r="58" customFormat="false" ht="15" hidden="false" customHeight="false" outlineLevel="0" collapsed="false">
      <c r="F58" s="59" t="n">
        <v>46364</v>
      </c>
      <c r="G58" s="58" t="s">
        <v>269</v>
      </c>
      <c r="L58" s="84" t="n">
        <v>46844</v>
      </c>
    </row>
    <row r="59" customFormat="false" ht="15" hidden="false" customHeight="false" outlineLevel="0" collapsed="false">
      <c r="F59" s="59" t="n">
        <v>46381</v>
      </c>
      <c r="G59" s="58" t="s">
        <v>271</v>
      </c>
      <c r="L59" s="84" t="n">
        <v>46874</v>
      </c>
    </row>
    <row r="60" customFormat="false" ht="15" hidden="false" customHeight="false" outlineLevel="0" collapsed="false">
      <c r="F60" s="59" t="n">
        <v>46388</v>
      </c>
      <c r="G60" s="58" t="s">
        <v>251</v>
      </c>
      <c r="L60" s="84" t="n">
        <v>46905</v>
      </c>
    </row>
    <row r="61" customFormat="false" ht="15" hidden="false" customHeight="false" outlineLevel="0" collapsed="false">
      <c r="F61" s="59" t="n">
        <v>46472</v>
      </c>
      <c r="G61" s="58" t="s">
        <v>253</v>
      </c>
      <c r="L61" s="84" t="n">
        <v>46935</v>
      </c>
    </row>
    <row r="62" customFormat="false" ht="15" hidden="false" customHeight="false" outlineLevel="0" collapsed="false">
      <c r="F62" s="59" t="n">
        <v>46473</v>
      </c>
      <c r="G62" s="58" t="s">
        <v>255</v>
      </c>
      <c r="L62" s="84" t="n">
        <v>46966</v>
      </c>
    </row>
    <row r="63" customFormat="false" ht="15" hidden="false" customHeight="false" outlineLevel="0" collapsed="false">
      <c r="F63" s="59" t="n">
        <v>46508</v>
      </c>
      <c r="G63" s="58" t="s">
        <v>257</v>
      </c>
      <c r="L63" s="84" t="n">
        <v>46997</v>
      </c>
    </row>
    <row r="64" customFormat="false" ht="15" hidden="false" customHeight="false" outlineLevel="0" collapsed="false">
      <c r="F64" s="59" t="n">
        <v>46528</v>
      </c>
      <c r="G64" s="58" t="s">
        <v>258</v>
      </c>
      <c r="L64" s="84" t="n">
        <v>47027</v>
      </c>
    </row>
    <row r="65" customFormat="false" ht="15" hidden="false" customHeight="false" outlineLevel="0" collapsed="false">
      <c r="F65" s="59" t="n">
        <v>46559</v>
      </c>
      <c r="G65" s="58" t="s">
        <v>259</v>
      </c>
      <c r="L65" s="84" t="n">
        <v>47058</v>
      </c>
    </row>
    <row r="66" customFormat="false" ht="15" hidden="false" customHeight="false" outlineLevel="0" collapsed="false">
      <c r="F66" s="59" t="n">
        <v>46566</v>
      </c>
      <c r="G66" s="58" t="s">
        <v>260</v>
      </c>
      <c r="L66" s="84" t="n">
        <v>47088</v>
      </c>
    </row>
    <row r="67" customFormat="false" ht="15" hidden="false" customHeight="false" outlineLevel="0" collapsed="false">
      <c r="F67" s="59" t="n">
        <v>46584</v>
      </c>
      <c r="G67" s="58" t="s">
        <v>261</v>
      </c>
      <c r="L67" s="84" t="n">
        <v>47119</v>
      </c>
    </row>
    <row r="68" customFormat="false" ht="15" hidden="false" customHeight="false" outlineLevel="0" collapsed="false">
      <c r="F68" s="59" t="n">
        <v>46614</v>
      </c>
      <c r="G68" s="58" t="s">
        <v>262</v>
      </c>
      <c r="L68" s="84" t="n">
        <v>47150</v>
      </c>
    </row>
    <row r="69" customFormat="false" ht="15" hidden="false" customHeight="false" outlineLevel="0" collapsed="false">
      <c r="F69" s="59" t="n">
        <v>46648</v>
      </c>
      <c r="G69" s="58" t="s">
        <v>263</v>
      </c>
      <c r="L69" s="84" t="n">
        <v>47178</v>
      </c>
    </row>
    <row r="70" customFormat="false" ht="15" hidden="false" customHeight="false" outlineLevel="0" collapsed="false">
      <c r="F70" s="59" t="n">
        <v>46649</v>
      </c>
      <c r="G70" s="58" t="s">
        <v>264</v>
      </c>
      <c r="L70" s="84" t="n">
        <v>47209</v>
      </c>
    </row>
    <row r="71" customFormat="false" ht="15" hidden="false" customHeight="false" outlineLevel="0" collapsed="false">
      <c r="F71" s="59" t="n">
        <v>46671</v>
      </c>
      <c r="G71" s="58" t="s">
        <v>265</v>
      </c>
      <c r="L71" s="84" t="n">
        <v>47239</v>
      </c>
    </row>
    <row r="72" customFormat="false" ht="15" hidden="false" customHeight="false" outlineLevel="0" collapsed="false">
      <c r="F72" s="59" t="n">
        <v>46691</v>
      </c>
      <c r="G72" s="58" t="s">
        <v>266</v>
      </c>
      <c r="L72" s="84" t="n">
        <v>47270</v>
      </c>
    </row>
    <row r="73" customFormat="false" ht="15" hidden="false" customHeight="false" outlineLevel="0" collapsed="false">
      <c r="F73" s="59" t="n">
        <v>46692</v>
      </c>
      <c r="G73" s="58" t="s">
        <v>267</v>
      </c>
      <c r="L73" s="84" t="n">
        <v>47300</v>
      </c>
    </row>
    <row r="74" customFormat="false" ht="15" hidden="false" customHeight="false" outlineLevel="0" collapsed="false">
      <c r="F74" s="59" t="n">
        <v>46729</v>
      </c>
      <c r="G74" s="58" t="s">
        <v>269</v>
      </c>
      <c r="L74" s="84" t="n">
        <v>47331</v>
      </c>
    </row>
    <row r="75" customFormat="false" ht="15" hidden="false" customHeight="false" outlineLevel="0" collapsed="false">
      <c r="F75" s="59" t="n">
        <v>46746</v>
      </c>
      <c r="G75" s="58" t="s">
        <v>271</v>
      </c>
      <c r="L75" s="84" t="n">
        <v>47362</v>
      </c>
    </row>
    <row r="76" customFormat="false" ht="15" hidden="false" customHeight="false" outlineLevel="0" collapsed="false">
      <c r="F76" s="59"/>
      <c r="G76" s="58"/>
      <c r="L76" s="84" t="n">
        <v>47392</v>
      </c>
    </row>
    <row r="77" customFormat="false" ht="15" hidden="false" customHeight="false" outlineLevel="0" collapsed="false">
      <c r="F77" s="59"/>
      <c r="G77" s="58"/>
      <c r="L77" s="84" t="n">
        <v>47423</v>
      </c>
    </row>
    <row r="78" customFormat="false" ht="15" hidden="false" customHeight="false" outlineLevel="0" collapsed="false">
      <c r="F78" s="59"/>
      <c r="G78" s="58"/>
      <c r="L78" s="84" t="n">
        <v>47453</v>
      </c>
    </row>
    <row r="79" customFormat="false" ht="15" hidden="false" customHeight="false" outlineLevel="0" collapsed="false">
      <c r="F79" s="59"/>
      <c r="G79" s="58"/>
      <c r="L79" s="84" t="n">
        <v>47484</v>
      </c>
    </row>
    <row r="80" customFormat="false" ht="15" hidden="false" customHeight="false" outlineLevel="0" collapsed="false">
      <c r="F80" s="59"/>
      <c r="G80" s="58"/>
      <c r="L80" s="84" t="n">
        <v>47515</v>
      </c>
    </row>
    <row r="81" customFormat="false" ht="15" hidden="false" customHeight="false" outlineLevel="0" collapsed="false">
      <c r="F81" s="59"/>
      <c r="G81" s="58"/>
      <c r="L81" s="84" t="n">
        <v>47543</v>
      </c>
    </row>
    <row r="82" customFormat="false" ht="15" hidden="false" customHeight="false" outlineLevel="0" collapsed="false">
      <c r="F82" s="59"/>
      <c r="G82" s="58"/>
      <c r="L82" s="84" t="n">
        <v>47574</v>
      </c>
    </row>
    <row r="83" customFormat="false" ht="15" hidden="false" customHeight="false" outlineLevel="0" collapsed="false">
      <c r="F83" s="59"/>
      <c r="G83" s="58"/>
      <c r="L83" s="84" t="n">
        <v>47604</v>
      </c>
    </row>
    <row r="84" customFormat="false" ht="15" hidden="false" customHeight="false" outlineLevel="0" collapsed="false">
      <c r="F84" s="59"/>
      <c r="G84" s="58"/>
      <c r="L84" s="84" t="n">
        <v>47635</v>
      </c>
    </row>
    <row r="85" customFormat="false" ht="15" hidden="false" customHeight="false" outlineLevel="0" collapsed="false">
      <c r="F85" s="59"/>
      <c r="G85" s="58"/>
      <c r="L85" s="84" t="n">
        <v>47665</v>
      </c>
    </row>
    <row r="86" customFormat="false" ht="15" hidden="false" customHeight="false" outlineLevel="0" collapsed="false">
      <c r="F86" s="59"/>
      <c r="G86" s="58"/>
      <c r="L86" s="84" t="n">
        <v>47696</v>
      </c>
    </row>
    <row r="87" customFormat="false" ht="15" hidden="false" customHeight="false" outlineLevel="0" collapsed="false">
      <c r="F87" s="59"/>
      <c r="G87" s="58"/>
      <c r="L87" s="84" t="n">
        <v>47727</v>
      </c>
    </row>
    <row r="88" customFormat="false" ht="15" hidden="false" customHeight="false" outlineLevel="0" collapsed="false">
      <c r="F88" s="59"/>
      <c r="G88" s="58"/>
      <c r="L88" s="84" t="n">
        <v>47757</v>
      </c>
    </row>
    <row r="89" customFormat="false" ht="15" hidden="false" customHeight="false" outlineLevel="0" collapsed="false">
      <c r="F89" s="59"/>
      <c r="G89" s="58"/>
      <c r="L89" s="84" t="n">
        <v>47788</v>
      </c>
    </row>
    <row r="90" customFormat="false" ht="15" hidden="false" customHeight="false" outlineLevel="0" collapsed="false">
      <c r="F90" s="59"/>
      <c r="G90" s="58"/>
      <c r="L90" s="84" t="n">
        <v>47818</v>
      </c>
    </row>
    <row r="91" customFormat="false" ht="15" hidden="false" customHeight="false" outlineLevel="0" collapsed="false">
      <c r="F91" s="59"/>
      <c r="G91" s="58"/>
    </row>
    <row r="92" customFormat="false" ht="15" hidden="false" customHeight="false" outlineLevel="0" collapsed="false">
      <c r="F92" s="59"/>
      <c r="G92" s="58"/>
    </row>
    <row r="93" customFormat="false" ht="15" hidden="false" customHeight="false" outlineLevel="0" collapsed="false">
      <c r="F93" s="59"/>
      <c r="G93" s="58"/>
    </row>
    <row r="94" customFormat="false" ht="15" hidden="false" customHeight="false" outlineLevel="0" collapsed="false">
      <c r="F94" s="59"/>
      <c r="G94" s="58"/>
    </row>
    <row r="95" customFormat="false" ht="15" hidden="false" customHeight="false" outlineLevel="0" collapsed="false">
      <c r="F95" s="59"/>
      <c r="G95" s="58"/>
    </row>
    <row r="96" customFormat="false" ht="15" hidden="false" customHeight="false" outlineLevel="0" collapsed="false">
      <c r="F96" s="59"/>
      <c r="G96" s="58"/>
    </row>
    <row r="97" customFormat="false" ht="15" hidden="false" customHeight="false" outlineLevel="0" collapsed="false">
      <c r="F97" s="59"/>
      <c r="G97" s="58"/>
    </row>
    <row r="98" customFormat="false" ht="15" hidden="false" customHeight="false" outlineLevel="0" collapsed="false">
      <c r="F98" s="59"/>
      <c r="G98" s="58"/>
    </row>
    <row r="99" customFormat="false" ht="15" hidden="false" customHeight="false" outlineLevel="0" collapsed="false">
      <c r="F99" s="59"/>
      <c r="G99" s="58"/>
    </row>
    <row r="100" customFormat="false" ht="15" hidden="false" customHeight="false" outlineLevel="0" collapsed="false">
      <c r="F100" s="59"/>
      <c r="G100" s="58"/>
    </row>
    <row r="101" customFormat="false" ht="15" hidden="false" customHeight="false" outlineLevel="0" collapsed="false">
      <c r="F101" s="59"/>
      <c r="G101" s="58"/>
    </row>
    <row r="102" customFormat="false" ht="15" hidden="false" customHeight="false" outlineLevel="0" collapsed="false">
      <c r="F102" s="59"/>
      <c r="G102" s="58"/>
    </row>
    <row r="103" customFormat="false" ht="15" hidden="false" customHeight="false" outlineLevel="0" collapsed="false">
      <c r="F103" s="59"/>
      <c r="G103" s="58"/>
    </row>
    <row r="104" customFormat="false" ht="15" hidden="false" customHeight="false" outlineLevel="0" collapsed="false">
      <c r="F104" s="59"/>
      <c r="G104" s="58"/>
    </row>
    <row r="105" customFormat="false" ht="15" hidden="false" customHeight="false" outlineLevel="0" collapsed="false">
      <c r="F105" s="59"/>
      <c r="G105" s="58"/>
    </row>
    <row r="106" customFormat="false" ht="15" hidden="false" customHeight="false" outlineLevel="0" collapsed="false">
      <c r="F106" s="59"/>
      <c r="G106" s="58"/>
    </row>
    <row r="107" customFormat="false" ht="15" hidden="false" customHeight="false" outlineLevel="0" collapsed="false">
      <c r="F107" s="59"/>
      <c r="G107" s="58"/>
    </row>
    <row r="108" customFormat="false" ht="15" hidden="false" customHeight="false" outlineLevel="0" collapsed="false">
      <c r="F108" s="59"/>
      <c r="G108" s="58"/>
    </row>
    <row r="109" customFormat="false" ht="15" hidden="false" customHeight="false" outlineLevel="0" collapsed="false">
      <c r="F109" s="59"/>
      <c r="G109" s="58"/>
    </row>
    <row r="110" customFormat="false" ht="15" hidden="false" customHeight="false" outlineLevel="0" collapsed="false">
      <c r="F110" s="59"/>
      <c r="G110" s="58"/>
    </row>
    <row r="111" customFormat="false" ht="15" hidden="false" customHeight="false" outlineLevel="0" collapsed="false">
      <c r="F111" s="59"/>
      <c r="G111" s="58"/>
    </row>
    <row r="112" customFormat="false" ht="15" hidden="false" customHeight="false" outlineLevel="0" collapsed="false">
      <c r="F112" s="59"/>
      <c r="G112" s="58"/>
    </row>
    <row r="113" customFormat="false" ht="15" hidden="false" customHeight="false" outlineLevel="0" collapsed="false">
      <c r="F113" s="59"/>
      <c r="G113" s="58"/>
    </row>
    <row r="114" customFormat="false" ht="15" hidden="false" customHeight="false" outlineLevel="0" collapsed="false">
      <c r="F114" s="59"/>
      <c r="G114" s="58"/>
    </row>
    <row r="115" customFormat="false" ht="15" hidden="false" customHeight="false" outlineLevel="0" collapsed="false">
      <c r="F115" s="59"/>
      <c r="G115" s="58"/>
    </row>
    <row r="116" customFormat="false" ht="15" hidden="false" customHeight="false" outlineLevel="0" collapsed="false">
      <c r="F116" s="59"/>
      <c r="G116" s="58"/>
    </row>
    <row r="117" customFormat="false" ht="15" hidden="false" customHeight="false" outlineLevel="0" collapsed="false">
      <c r="F117" s="59"/>
      <c r="G117" s="58"/>
    </row>
    <row r="118" customFormat="false" ht="15" hidden="false" customHeight="false" outlineLevel="0" collapsed="false">
      <c r="F118" s="59"/>
      <c r="G118" s="58"/>
    </row>
    <row r="119" customFormat="false" ht="15" hidden="false" customHeight="false" outlineLevel="0" collapsed="false">
      <c r="F119" s="59"/>
      <c r="G119" s="58"/>
    </row>
    <row r="120" customFormat="false" ht="15" hidden="false" customHeight="false" outlineLevel="0" collapsed="false">
      <c r="F120" s="59"/>
      <c r="G120" s="58"/>
    </row>
    <row r="121" customFormat="false" ht="15" hidden="false" customHeight="false" outlineLevel="0" collapsed="false">
      <c r="F121" s="59"/>
      <c r="G121" s="58"/>
    </row>
    <row r="122" customFormat="false" ht="15" hidden="false" customHeight="false" outlineLevel="0" collapsed="false">
      <c r="F122" s="59"/>
      <c r="G122" s="58"/>
    </row>
    <row r="123" customFormat="false" ht="15" hidden="false" customHeight="false" outlineLevel="0" collapsed="false">
      <c r="F123" s="59"/>
      <c r="G123" s="58"/>
    </row>
    <row r="124" customFormat="false" ht="15" hidden="false" customHeight="false" outlineLevel="0" collapsed="false">
      <c r="F124" s="59"/>
      <c r="G124" s="58"/>
    </row>
    <row r="125" customFormat="false" ht="15" hidden="false" customHeight="false" outlineLevel="0" collapsed="false">
      <c r="F125" s="59"/>
      <c r="G125" s="58"/>
    </row>
  </sheetData>
  <dataValidations count="1">
    <dataValidation allowBlank="true" error="Ingrese una fecha (dd-mm-aaaa)." errorStyle="stop" errorTitle="Fecha no válida" operator="between" showDropDown="false" showErrorMessage="true" showInputMessage="false" sqref="C6" type="date">
      <formula1>32874</formula1>
      <formula2>73051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2026-10-27T15:49:43Z</dcterms:created>
  <dc:creator>openpyxl</dc:creator>
  <dc:description/>
  <dc:language>en-US</dc:language>
  <cp:lastModifiedBy/>
  <dcterms:modified xsi:type="dcterms:W3CDTF">2026-10-27T15:49:53Z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